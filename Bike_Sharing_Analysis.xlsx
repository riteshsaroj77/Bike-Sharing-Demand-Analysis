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Raw_D1" sheetId="2" r:id="rId2"/>
    <sheet name="Raw_D2" sheetId="3" r:id="rId3"/>
    <sheet name="Raw_D3" sheetId="4" r:id="rId4"/>
    <sheet name="Lookups" sheetId="5" r:id="rId5"/>
    <sheet name="Clean_Data" sheetId="6" r:id="rId6"/>
    <sheet name="DQ_Log" sheetId="7" r:id="rId7"/>
    <sheet name="T1_Foundations" sheetId="8" r:id="rId8"/>
    <sheet name="T3_Logic_Lookup" sheetId="9" r:id="rId9"/>
    <sheet name="T4_Pivots" sheetId="10" r:id="rId10"/>
    <sheet name="T4_Stats" sheetId="11" r:id="rId11"/>
    <sheet name="Daily_Trend" sheetId="12" r:id="rId12"/>
    <sheet name="Anomaly_Report" sheetId="13" r:id="rId13"/>
    <sheet name="Dashboard" sheetId="14" r:id="rId14"/>
    <sheet name="Dash_Calc" sheetId="15" r:id="rId15"/>
    <sheet name="Insights" sheetId="16" r:id="rId16"/>
  </sheets>
  <definedNames>
    <definedName name="_xlnm._FilterDatabase" localSheetId="1" hidden="1">Raw_D1!$A$1:$J$611</definedName>
    <definedName name="_xlnm._FilterDatabase" localSheetId="2" hidden="1">Raw_D2!$A$1:$H$611</definedName>
    <definedName name="_xlnm._FilterDatabase" localSheetId="3" hidden="1">Raw_D3!$A$1:$P$391</definedName>
  </definedNames>
  <calcPr calcId="124519" fullCalcOnLoad="1"/>
</workbook>
</file>

<file path=xl/sharedStrings.xml><?xml version="1.0" encoding="utf-8"?>
<sst xmlns="http://schemas.openxmlformats.org/spreadsheetml/2006/main" count="782" uniqueCount="510">
  <si>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</si>
  <si>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</si>
  <si>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</si>
  <si>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</si>
  <si>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</si>
  <si>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</si>
  <si>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</si>
  <si>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</si>
  <si>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</si>
  <si>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</si>
  <si>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</si>
  <si>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</si>
  <si>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</si>
  <si>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</si>
  <si>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</si>
  <si>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</si>
  <si>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</si>
  <si>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Lookup tables &amp; model parameters</t>
  </si>
  <si>
    <t>Code tables used by VLOOKUP / INDEX-MATCH in Clean_Data. Parameters (yellow) can be changed and the whole workbook updates.</t>
  </si>
  <si>
    <t>weather_name</t>
  </si>
  <si>
    <t>Clear</t>
  </si>
  <si>
    <t>Mist/Cloudy</t>
  </si>
  <si>
    <t>Light Rain/Snow</t>
  </si>
  <si>
    <t>Heavy Rain/Snow</t>
  </si>
  <si>
    <t>season_name</t>
  </si>
  <si>
    <t>Winter</t>
  </si>
  <si>
    <t>Spring</t>
  </si>
  <si>
    <t>Summer</t>
  </si>
  <si>
    <t>Fall</t>
  </si>
  <si>
    <t>hour_from</t>
  </si>
  <si>
    <t>time_block</t>
  </si>
  <si>
    <t>Night (00-05)</t>
  </si>
  <si>
    <t>Morning Peak (06-09)</t>
  </si>
  <si>
    <t>Midday (10-15)</t>
  </si>
  <si>
    <t>Evening Peak (16-19)</t>
  </si>
  <si>
    <t>Late Evening (20-23)</t>
  </si>
  <si>
    <t>day</t>
  </si>
  <si>
    <t>Sun</t>
  </si>
  <si>
    <t>Mon</t>
  </si>
  <si>
    <t>Tue</t>
  </si>
  <si>
    <t>Wed</t>
  </si>
  <si>
    <t>Thu</t>
  </si>
  <si>
    <t>Fri</t>
  </si>
  <si>
    <t>Sat</t>
  </si>
  <si>
    <t>Parameter</t>
  </si>
  <si>
    <t>Value</t>
  </si>
  <si>
    <t>atemp ~ temp : slope</t>
  </si>
  <si>
    <t>atemp ~ temp : intercept</t>
  </si>
  <si>
    <t>Hourly anomaly threshold (|z|)</t>
  </si>
  <si>
    <t>High-demand cut-off (75th pct of cnt)</t>
  </si>
  <si>
    <t>Low-demand cut-off (25th pct of cnt)</t>
  </si>
  <si>
    <t>Rows used for regression</t>
  </si>
  <si>
    <t>Rows loaded: dataset_1</t>
  </si>
  <si>
    <t>Rows loaded: dataset_3</t>
  </si>
  <si>
    <t>Daily anomaly threshold (|z|)</t>
  </si>
  <si>
    <t>Scaling used for real-world units (dataset documentation): temp x 41 = deg C, atemp x 50 = deg C, hum x 100 = %, windspeed x 67 = km/h.</t>
  </si>
  <si>
    <t>Note: season 1-4 = Winter, Spring, Summer, Fall; weekday 0 = Sunday; weathersit 1 = best, 4 = worst.</t>
  </si>
  <si>
    <t>atemp_raw</t>
  </si>
  <si>
    <t>source</t>
  </si>
  <si>
    <t>atemp_status</t>
  </si>
  <si>
    <t>cnt_check</t>
  </si>
  <si>
    <t>dup_check</t>
  </si>
  <si>
    <t>include</t>
  </si>
  <si>
    <t>day_type</t>
  </si>
  <si>
    <t>day_name</t>
  </si>
  <si>
    <t>month_name</t>
  </si>
  <si>
    <t>hour_label</t>
  </si>
  <si>
    <t>temp_c</t>
  </si>
  <si>
    <t>feels_like_c</t>
  </si>
  <si>
    <t>humidity_pct</t>
  </si>
  <si>
    <t>windspeed_kmh</t>
  </si>
  <si>
    <t>registered_share</t>
  </si>
  <si>
    <t>demand_level</t>
  </si>
  <si>
    <t>temp_band</t>
  </si>
  <si>
    <t>cnt_sq</t>
  </si>
  <si>
    <t>expected_cnt</t>
  </si>
  <si>
    <t>z_score</t>
  </si>
  <si>
    <t>anomaly_flag</t>
  </si>
  <si>
    <t>rank_key</t>
  </si>
  <si>
    <t>m_D1</t>
  </si>
  <si>
    <t>m_D2</t>
  </si>
  <si>
    <t>m_D3</t>
  </si>
  <si>
    <t>Data quality log - merging, missing values, duplicates, consistency</t>
  </si>
  <si>
    <t>Every count is a live formula on the raw sheets or Clean_Data. Zero = no issue found.</t>
  </si>
  <si>
    <t>A. Row counts and key reconciliation (merge on instant)</t>
  </si>
  <si>
    <t>Check</t>
  </si>
  <si>
    <t>Result</t>
  </si>
  <si>
    <t>Comment</t>
  </si>
  <si>
    <t>Rows in dataset_1 (calendar, temp)</t>
  </si>
  <si>
    <t>Instant 1-610</t>
  </si>
  <si>
    <t>Rows in dataset_2 (weather, counts)</t>
  </si>
  <si>
    <t>Instant 1-610; extra index column "Unnamed: 0" ignored</t>
  </si>
  <si>
    <t>Rows in dataset_3 (complete records)</t>
  </si>
  <si>
    <t>Instant 611-1000, supplied unsorted (starts at 620)</t>
  </si>
  <si>
    <t>Expected merged rows (D1 + D3)</t>
  </si>
  <si>
    <t>D1 and D2 are joined on instant; D3 is appended</t>
  </si>
  <si>
    <t>Rows in Clean_Data</t>
  </si>
  <si>
    <t>Must equal expected rows</t>
  </si>
  <si>
    <t>Difference</t>
  </si>
  <si>
    <t>0 = nothing lost in the merge</t>
  </si>
  <si>
    <t>dataset_1 keys with no match in dataset_2</t>
  </si>
  <si>
    <t>Join completeness</t>
  </si>
  <si>
    <t>dataset_2 keys with no match in dataset_1</t>
  </si>
  <si>
    <t>Keys present in both dataset_1 and dataset_3</t>
  </si>
  <si>
    <t>Overlap would create duplicates (dates overlap on 28 Jan but instants do not)</t>
  </si>
  <si>
    <t>B. Missing values in the raw files</t>
  </si>
  <si>
    <t>Dataset / column</t>
  </si>
  <si>
    <t>Blank cells</t>
  </si>
  <si>
    <t>Treatment</t>
  </si>
  <si>
    <t>d1 / instant</t>
  </si>
  <si>
    <t>No action needed</t>
  </si>
  <si>
    <t>d1 / dteday</t>
  </si>
  <si>
    <t>d1 / season</t>
  </si>
  <si>
    <t>d1 / yr</t>
  </si>
  <si>
    <t>d1 / mnth</t>
  </si>
  <si>
    <t>d1 / hr</t>
  </si>
  <si>
    <t>d1 / holiday</t>
  </si>
  <si>
    <t>d1 / weekday</t>
  </si>
  <si>
    <t>d1 / weathersit</t>
  </si>
  <si>
    <t>d1 / temp</t>
  </si>
  <si>
    <t>d2 / Unnamed: 0</t>
  </si>
  <si>
    <t>Redundant row index - not carried into Clean_Data</t>
  </si>
  <si>
    <t>d2 / instant</t>
  </si>
  <si>
    <t>d2 / atemp</t>
  </si>
  <si>
    <t>Imputed: atemp = intercept + slope x temp (regression on valid rows, Lookups K4:K5); flagged "Imputed" in Clean_Data</t>
  </si>
  <si>
    <t>d2 / hum</t>
  </si>
  <si>
    <t>d2 / windspeed</t>
  </si>
  <si>
    <t>d2 / casual</t>
  </si>
  <si>
    <t>d2 / registered</t>
  </si>
  <si>
    <t>d2 / cnt</t>
  </si>
  <si>
    <t>d3 / instant</t>
  </si>
  <si>
    <t>d3 / dteday</t>
  </si>
  <si>
    <t>d3 / season</t>
  </si>
  <si>
    <t>d3 / yr</t>
  </si>
  <si>
    <t>d3 / mnth</t>
  </si>
  <si>
    <t>d3 / hr</t>
  </si>
  <si>
    <t>d3 / holiday</t>
  </si>
  <si>
    <t>d3 / weekday</t>
  </si>
  <si>
    <t>d3 / weathersit</t>
  </si>
  <si>
    <t>d3 / temp</t>
  </si>
  <si>
    <t>d3 / atemp</t>
  </si>
  <si>
    <t>d3 / hum</t>
  </si>
  <si>
    <t>d3 / windspeed</t>
  </si>
  <si>
    <t>d3 / casual</t>
  </si>
  <si>
    <t>d3 / registered</t>
  </si>
  <si>
    <t>d3 / cnt</t>
  </si>
  <si>
    <t>C. Duplicate, range and consistency checks on the merged data</t>
  </si>
  <si>
    <t>Violations</t>
  </si>
  <si>
    <t>Rule</t>
  </si>
  <si>
    <t>Duplicate instants (all rows)</t>
  </si>
  <si>
    <t>Each instant must appear once</t>
  </si>
  <si>
    <t>Duplicate instants in dataset_1</t>
  </si>
  <si>
    <t>Raw check</t>
  </si>
  <si>
    <t>Duplicate instants in dataset_2</t>
  </si>
  <si>
    <t>Duplicate instants in dataset_3</t>
  </si>
  <si>
    <t>cnt &lt;&gt; casual + registered</t>
  </si>
  <si>
    <t>Total must equal the sum of user types</t>
  </si>
  <si>
    <t>Non-numeric or blank cnt</t>
  </si>
  <si>
    <t>Data type check</t>
  </si>
  <si>
    <t>Hour outside 0-23</t>
  </si>
  <si>
    <t>Valid range 0-23</t>
  </si>
  <si>
    <t>Weather code outside 1-4</t>
  </si>
  <si>
    <t>Valid codes 1-4</t>
  </si>
  <si>
    <t>temp outside 0-1 (normalised)</t>
  </si>
  <si>
    <t>Normalised scale</t>
  </si>
  <si>
    <t>humidity outside 0-1</t>
  </si>
  <si>
    <t>windspeed outside 0-1</t>
  </si>
  <si>
    <t>Month in mnth does not match dteday</t>
  </si>
  <si>
    <t>mnth must equal MONTH(dteday)</t>
  </si>
  <si>
    <t>Weekday does not match dteday</t>
  </si>
  <si>
    <t>weekday must equal WEEKDAY(dteday)-1 (0 = Sunday)</t>
  </si>
  <si>
    <t>Rows with atemp = 0 (kept)</t>
  </si>
  <si>
    <t>Genuine minimum: temp 0.02-0.04 on 22 Jan; not treated as missing</t>
  </si>
  <si>
    <t>Days covered</t>
  </si>
  <si>
    <t>Info</t>
  </si>
  <si>
    <t>Hourly records missing vs a full calendar</t>
  </si>
  <si>
    <t>Hours with no rentals are absent from the source; they are not back-filled</t>
  </si>
  <si>
    <t>D. Issue log - what was found and what was done</t>
  </si>
  <si>
    <t>Issue</t>
  </si>
  <si>
    <t>Count</t>
  </si>
  <si>
    <t>Reason</t>
  </si>
  <si>
    <t>Missing atemp in dataset_2</t>
  </si>
  <si>
    <t>Regression imputation from temp (r about 0.93)</t>
  </si>
  <si>
    <t>Keeps all 1,000 hours; atemp and temp are closely related</t>
  </si>
  <si>
    <t>dataset_3 not sorted by instant</t>
  </si>
  <si>
    <t>Merged by key and Clean_Data sorted ascending</t>
  </si>
  <si>
    <t>Row order must not affect results</t>
  </si>
  <si>
    <t>Overlapping calendar day (28 Jan in dataset_1 and dataset_3)</t>
  </si>
  <si>
    <t>Kept - different instants, hours continue where D1 stops</t>
  </si>
  <si>
    <t>Instant is the unique key, not the date</t>
  </si>
  <si>
    <t>Last day (14 Feb) stops at 07:00</t>
  </si>
  <si>
    <t>Kept in hourly analysis, excluded from daily trend model</t>
  </si>
  <si>
    <t>Partial day would bias the trend</t>
  </si>
  <si>
    <t>Weather code 4 (heavy rain/snow) occurs once</t>
  </si>
  <si>
    <t>Kept and labelled; no conclusions drawn from it</t>
  </si>
  <si>
    <t>Too few records</t>
  </si>
  <si>
    <t>Duplicate rows</t>
  </si>
  <si>
    <t>None found; check kept live in dup_check column</t>
  </si>
  <si>
    <t>Task requirement</t>
  </si>
  <si>
    <t>Task 1 - Excel foundations: shortcuts, basic formulas, text functions, sort / filter, conditional formatting</t>
  </si>
  <si>
    <t>A. Navigation and shortcuts used on this workbook</t>
  </si>
  <si>
    <t>Shortcut</t>
  </si>
  <si>
    <t>Action</t>
  </si>
  <si>
    <t>Used for</t>
  </si>
  <si>
    <t>Ctrl + Arrow keys</t>
  </si>
  <si>
    <t>Jump to the edge of the data block</t>
  </si>
  <si>
    <t>Moving through 1,000 rows in Clean_Data</t>
  </si>
  <si>
    <t>Ctrl + Shift + L</t>
  </si>
  <si>
    <t>Switch filters on / off</t>
  </si>
  <si>
    <t>Filtering the table by weather, day type, demand level</t>
  </si>
  <si>
    <t>Ctrl + T</t>
  </si>
  <si>
    <t>Convert a range to a table</t>
  </si>
  <si>
    <t>Clean_Data is the table tblBike</t>
  </si>
  <si>
    <t>Alt + =</t>
  </si>
  <si>
    <t>AutoSum</t>
  </si>
  <si>
    <t>Totals in this sheet</t>
  </si>
  <si>
    <t>F4</t>
  </si>
  <si>
    <t>Cycle absolute / relative references</t>
  </si>
  <si>
    <t>Locking ranges such as $A$2:$A$1001</t>
  </si>
  <si>
    <t>Ctrl + Shift + Enter</t>
  </si>
  <si>
    <t>Enter an array formula</t>
  </si>
  <si>
    <t>Filtered statistics in T4_Stats</t>
  </si>
  <si>
    <t>Ctrl + 1</t>
  </si>
  <si>
    <t>Format cells</t>
  </si>
  <si>
    <t>Dates, percentages, number formats</t>
  </si>
  <si>
    <t>Ctrl + Shift + $ / % / #</t>
  </si>
  <si>
    <t>Currency, percent, date formats</t>
  </si>
  <si>
    <t>Quick formatting</t>
  </si>
  <si>
    <t>F2</t>
  </si>
  <si>
    <t>Edit the active cell</t>
  </si>
  <si>
    <t>Checking formulas</t>
  </si>
  <si>
    <t>Alt + N + V</t>
  </si>
  <si>
    <t>Insert PivotTable</t>
  </si>
  <si>
    <t>Creating native pivots (see macro BuildPivotTables)</t>
  </si>
  <si>
    <t>Alt + F11</t>
  </si>
  <si>
    <t>Open the VBA editor</t>
  </si>
  <si>
    <t>Importing the .bas modules</t>
  </si>
  <si>
    <t>B. Basic formulas: SUM, AVERAGE, COUNT, MAX, MIN, COUNTBLANK, SUBTOTAL</t>
  </si>
  <si>
    <t>Hourly records (COUNT)</t>
  </si>
  <si>
    <t>Total rentals (SUM)</t>
  </si>
  <si>
    <t>Casual rentals (SUM)</t>
  </si>
  <si>
    <t>Registered rentals (SUM)</t>
  </si>
  <si>
    <t>Average rentals per hour (AVERAGE)</t>
  </si>
  <si>
    <t>Busiest hour ever (MAX)</t>
  </si>
  <si>
    <t>Quietest hour (MIN)</t>
  </si>
  <si>
    <t>Blank atemp cells in raw dataset_2 (COUNTBLANK)</t>
  </si>
  <si>
    <t>Total of rows currently visible after filtering (SUBTOTAL 109)</t>
  </si>
  <si>
    <t>Visible rows after filtering (SUBTOTAL 103)</t>
  </si>
  <si>
    <t>C. Text functions: LEFT, MID, RIGHT, LEN, UPPER on the first ten records</t>
  </si>
  <si>
    <t>Date as text</t>
  </si>
  <si>
    <t>Year LEFT(,4)</t>
  </si>
  <si>
    <t>Month MID(,6,2)</t>
  </si>
  <si>
    <t>Day RIGHT(,2)</t>
  </si>
  <si>
    <t>LEN(weather)</t>
  </si>
  <si>
    <t>UPPER(LEFT(day,3))</t>
  </si>
  <si>
    <t>Hour RIGHT(label,5)</t>
  </si>
  <si>
    <t>D. Top 10 busiest hours (LARGE with INDEX / MATCH)</t>
  </si>
  <si>
    <t>Rank</t>
  </si>
  <si>
    <t>Rentals</t>
  </si>
  <si>
    <t>Date</t>
  </si>
  <si>
    <t>Hour</t>
  </si>
  <si>
    <t>Weather</t>
  </si>
  <si>
    <t>Day type</t>
  </si>
  <si>
    <t>Temp (C)</t>
  </si>
  <si>
    <t>E. Conditional formatting: average demand by hour (data bars, top 3 green, bottom 3 red)</t>
  </si>
  <si>
    <t>Avg rentals</t>
  </si>
  <si>
    <t>Total rentals</t>
  </si>
  <si>
    <t>Sorting and filtering: Clean_Data is sorted ascending by instant (dataset_3 arrived unsorted) and carries an AutoFilter; use Ctrl+Shift+L, then filter e.g. day_type = Weekend and demand_level = High - the SUBTOTAL cells above respond to the filter.</t>
  </si>
  <si>
    <t>Task 3 - Conditional logic and lookup functions</t>
  </si>
  <si>
    <t>Yellow cells are inputs. IF / nested IF classify each record; VLOOKUP, INDEX and MATCH pull information from the tables.</t>
  </si>
  <si>
    <t>A. IF classification on selected records (type any instant from 1 to 1000)</t>
  </si>
  <si>
    <t>Weekday no.</t>
  </si>
  <si>
    <t>Day type  IF()</t>
  </si>
  <si>
    <t>Weather code</t>
  </si>
  <si>
    <t>Weather  VLOOKUP()</t>
  </si>
  <si>
    <t>Comfort  nested IF()</t>
  </si>
  <si>
    <t>Demand class  nested IF()</t>
  </si>
  <si>
    <t>Peak window  IF(OR(AND()))</t>
  </si>
  <si>
    <t>Time block  VLOOKUP approx</t>
  </si>
  <si>
    <t>B. Record finder: INDEX + MATCH (row by instant, column by header name)</t>
  </si>
  <si>
    <t>Enter instant</t>
  </si>
  <si>
    <t>Field</t>
  </si>
  <si>
    <t>C. Two-way lookup: average rentals for a chosen weekday and hour</t>
  </si>
  <si>
    <t>Weekday</t>
  </si>
  <si>
    <t>Average rentals</t>
  </si>
  <si>
    <t>Time block for that hour (VLOOKUP, approximate match)</t>
  </si>
  <si>
    <t>Same answer with INDEX / MATCH on the pivot table:</t>
  </si>
  <si>
    <t>Hour total rentals</t>
  </si>
  <si>
    <t>Pivot-style summaries (formula driven - they refresh automatically)</t>
  </si>
  <si>
    <t>Built with COUNTIFS / SUMIFS on Clean_Data (duplicates excluded). Calculated fields: Avg per hour, Registered share, Index vs overall average. Real PivotTables can be generated with macro BuildPivotTables (Module_Pivots).</t>
  </si>
  <si>
    <t>Scope</t>
  </si>
  <si>
    <t>Records</t>
  </si>
  <si>
    <t>Avg / hour</t>
  </si>
  <si>
    <t>Avg casual</t>
  </si>
  <si>
    <t>Avg registered</t>
  </si>
  <si>
    <t>Registered share</t>
  </si>
  <si>
    <t>Index</t>
  </si>
  <si>
    <t>All data</t>
  </si>
  <si>
    <t>Pivot 1 - Demand by hour of day</t>
  </si>
  <si>
    <t>Key</t>
  </si>
  <si>
    <t>Label</t>
  </si>
  <si>
    <t>Index (all=100)</t>
  </si>
  <si>
    <t>Pivot 2 - Demand by day of week</t>
  </si>
  <si>
    <t>Pivot 3 - Weekday vs weekend</t>
  </si>
  <si>
    <t>Weekend</t>
  </si>
  <si>
    <t>Pivot 4 - Demand by weather situation</t>
  </si>
  <si>
    <t>Pivot 5 - Demand by time block</t>
  </si>
  <si>
    <t>Pivot 6 - Demand by temperature band</t>
  </si>
  <si>
    <t>Under 5 C</t>
  </si>
  <si>
    <t>5-10 C</t>
  </si>
  <si>
    <t>10-15 C</t>
  </si>
  <si>
    <t>15 C and above</t>
  </si>
  <si>
    <t>Pivot 7 - Holiday vs regular day</t>
  </si>
  <si>
    <t>Pivot 8 - Casual vs registered users</t>
  </si>
  <si>
    <t>User type</t>
  </si>
  <si>
    <t>Share of total</t>
  </si>
  <si>
    <t>Casual</t>
  </si>
  <si>
    <t>Registered</t>
  </si>
  <si>
    <t>Pivot 9 - Heat map: average rentals by hour (rows) and weekday (columns)</t>
  </si>
  <si>
    <t>weekday code</t>
  </si>
  <si>
    <t>Statistics: descriptive measures, correlation, COUNTIF / SUMIF / STDEV / CORREL</t>
  </si>
  <si>
    <t>All statistics use only valid, de-duplicated rows (include = 1). Array formulas (Ctrl+Shift+Enter) are used for the filtered statistics.</t>
  </si>
  <si>
    <t>A. Descriptive statistics</t>
  </si>
  <si>
    <t>Variable</t>
  </si>
  <si>
    <t>Sum</t>
  </si>
  <si>
    <t>Mean</t>
  </si>
  <si>
    <t>Median</t>
  </si>
  <si>
    <t>Std dev</t>
  </si>
  <si>
    <t>Min</t>
  </si>
  <si>
    <t>Max</t>
  </si>
  <si>
    <t>25th pct</t>
  </si>
  <si>
    <t>75th pct</t>
  </si>
  <si>
    <t>CV (std/mean)</t>
  </si>
  <si>
    <t>Total rentals (cnt)</t>
  </si>
  <si>
    <t>Casual rentals</t>
  </si>
  <si>
    <t>Registered rentals</t>
  </si>
  <si>
    <t>Temperature (C)</t>
  </si>
  <si>
    <t>Feels-like temp (C)</t>
  </si>
  <si>
    <t>Humidity (%)</t>
  </si>
  <si>
    <t>Wind speed (km/h)</t>
  </si>
  <si>
    <t>B. Correlation matrix (CORREL)</t>
  </si>
  <si>
    <t>Pearson r</t>
  </si>
  <si>
    <t>Reading guide: |r| &gt;= 0.7 strong, 0.4-0.7 moderate, 0.2-0.4 weak, &lt; 0.2 negligible.</t>
  </si>
  <si>
    <t>Driver vs total rentals</t>
  </si>
  <si>
    <t>r with cnt</t>
  </si>
  <si>
    <t>Strength</t>
  </si>
  <si>
    <t>Direction</t>
  </si>
  <si>
    <t>C. COUNTIF / SUMIF / AVERAGEIF applications</t>
  </si>
  <si>
    <t>Question</t>
  </si>
  <si>
    <t>Function used</t>
  </si>
  <si>
    <t>Hours with more than 100 rentals</t>
  </si>
  <si>
    <t>COUNTIF</t>
  </si>
  <si>
    <t>Share of all hours with more than 100 rentals</t>
  </si>
  <si>
    <t>COUNTIF / COUNT</t>
  </si>
  <si>
    <t>Hours with zero casual riders</t>
  </si>
  <si>
    <t>Hours with rain / snow (weather code 3 or 4)</t>
  </si>
  <si>
    <t>Total rentals during rain / snow hours</t>
  </si>
  <si>
    <t>SUMIF</t>
  </si>
  <si>
    <t>Total rentals on the public holiday</t>
  </si>
  <si>
    <t>Average rentals when humidity above 80%</t>
  </si>
  <si>
    <t>AVERAGEIF</t>
  </si>
  <si>
    <t>Average rentals when humidity 80% or below</t>
  </si>
  <si>
    <t>Average rentals when wind above 20 km/h</t>
  </si>
  <si>
    <t>Average rentals when wind 20 km/h or below</t>
  </si>
  <si>
    <t>Hours flagged as statistical anomalies</t>
  </si>
  <si>
    <t>D. Variability by weather situation (STDEV)</t>
  </si>
  <si>
    <t>CV</t>
  </si>
  <si>
    <t>Heavy Rain/Snow has a single record, so its standard deviation is not meaningful.</t>
  </si>
  <si>
    <t>Daily demand trend, forecast and anomaly detection</t>
  </si>
  <si>
    <t>Model: daily total rentals = intercept + trend x day + weekend effect (least squares, LINEST). The last day is excluded when the data stops before 23:00.</t>
  </si>
  <si>
    <t>First date in data</t>
  </si>
  <si>
    <t>Last date in data</t>
  </si>
  <si>
    <t>Latest hour recorded on last date</t>
  </si>
  <si>
    <t>Days in data</t>
  </si>
  <si>
    <t>Days used in model (complete days)</t>
  </si>
  <si>
    <t>Intercept (rentals)</t>
  </si>
  <si>
    <t>Trend (extra rentals per day)</t>
  </si>
  <si>
    <t>Weekend effect (rentals per day)</t>
  </si>
  <si>
    <t>R-squared</t>
  </si>
  <si>
    <t>Standard error of estimate</t>
  </si>
  <si>
    <t>Mean daily rentals (complete days)</t>
  </si>
  <si>
    <t>Days flagged as anomalies</t>
  </si>
  <si>
    <t>Day</t>
  </si>
  <si>
    <t>Avg temp (C)</t>
  </si>
  <si>
    <t>Avg humidity %</t>
  </si>
  <si>
    <t>Weekend flag</t>
  </si>
  <si>
    <t>Day no.</t>
  </si>
  <si>
    <t>Status</t>
  </si>
  <si>
    <t>Model value</t>
  </si>
  <si>
    <t>Residual</t>
  </si>
  <si>
    <t>z (residual)</t>
  </si>
  <si>
    <t>Flag</t>
  </si>
  <si>
    <t>7-day forecast (days after the last complete day)</t>
  </si>
  <si>
    <t>Forecast (regression)</t>
  </si>
  <si>
    <t>Lower (95%)</t>
  </si>
  <si>
    <t>Upper (95%)</t>
  </si>
  <si>
    <t>Forecast (ETS)</t>
  </si>
  <si>
    <t>Total next 7 days</t>
  </si>
  <si>
    <t>Regression band is +/-1.96 x standard error (approximate). ETS = Excel FORECAST.ETS (exponential smoothing, Forecast Sheet engine) shown for comparison.</t>
  </si>
  <si>
    <t>Chart feed (actual vs model vs forecast)</t>
  </si>
  <si>
    <t>Actual</t>
  </si>
  <si>
    <t>Model / forecast</t>
  </si>
  <si>
    <t>Lower</t>
  </si>
  <si>
    <t>Upper</t>
  </si>
  <si>
    <t>Anomaly detection - unusual hourly demand</t>
  </si>
  <si>
    <t>Each hour is compared with the average for the same hour and day type (weekday / weekend). Flag when |z| &gt;= threshold (Lookups!K6).</t>
  </si>
  <si>
    <t>Threshold |z|</t>
  </si>
  <si>
    <t>Hours flagged</t>
  </si>
  <si>
    <t>Share of hours</t>
  </si>
  <si>
    <t>#</t>
  </si>
  <si>
    <t>Table row</t>
  </si>
  <si>
    <t>Holiday</t>
  </si>
  <si>
    <t>Actual rentals</t>
  </si>
  <si>
    <t>Expected</t>
  </si>
  <si>
    <t>z-score</t>
  </si>
  <si>
    <t>Type</t>
  </si>
  <si>
    <t>Reading the list (this dataset): 17 Jan is the public holiday (low morning commute); 18 Jan has only 12 hourly records; 26 Jan is the snow day (weather code 4). A high spike at 01:00-02:00 means more night rides than usual for that hour.</t>
  </si>
  <si>
    <t>Dashboard calculations (driven by the filters on the Dashboard sheet)</t>
  </si>
  <si>
    <t>Day type criterion</t>
  </si>
  <si>
    <t>Weather criterion</t>
  </si>
  <si>
    <t>From date</t>
  </si>
  <si>
    <t>To date</t>
  </si>
  <si>
    <t>Weather list</t>
  </si>
  <si>
    <t>All</t>
  </si>
  <si>
    <t>Day type list</t>
  </si>
  <si>
    <t>KPIs for the current selection</t>
  </si>
  <si>
    <t>Records (hours)</t>
  </si>
  <si>
    <t>Average rentals per hour</t>
  </si>
  <si>
    <t>Peak hour (label)</t>
  </si>
  <si>
    <t>Peak hour average</t>
  </si>
  <si>
    <t>Average temperature (C)</t>
  </si>
  <si>
    <t>Days with data in selection</t>
  </si>
  <si>
    <t>Avg total</t>
  </si>
  <si>
    <t>Spacer</t>
  </si>
  <si>
    <t>Chart label</t>
  </si>
  <si>
    <t>Time block</t>
  </si>
  <si>
    <t>Bike Sharing Demand Dashboard</t>
  </si>
  <si>
    <t>From</t>
  </si>
  <si>
    <t>To</t>
  </si>
  <si>
    <t>Change the yellow cells (day type, weather, date range) - every KPI, chart and the heat map below updates. These dropdowns work like slicers / a timeline; the macro AddSlicers adds native slicers on the PivotTables.</t>
  </si>
  <si>
    <t>TOTAL RENTALS</t>
  </si>
  <si>
    <t>AVG RENTALS / HOUR</t>
  </si>
  <si>
    <t>PEAK HOUR</t>
  </si>
  <si>
    <t>REGISTERED SHARE</t>
  </si>
  <si>
    <t>AVG TEMPERATURE</t>
  </si>
  <si>
    <t>DAYS COVERED</t>
  </si>
  <si>
    <t>Heat map - average rentals by hour and weekday</t>
  </si>
  <si>
    <t>code</t>
  </si>
  <si>
    <t>What the data says</t>
  </si>
  <si>
    <t>Findings and recommendations</t>
  </si>
  <si>
    <t>Every number in the findings below is a live formula - it updates when the data changes.</t>
  </si>
  <si>
    <t>Finding</t>
  </si>
  <si>
    <t>Recommendations</t>
  </si>
  <si>
    <t>Fleet rebalancing: pre-position bikes at residential and transit docks before the morning peak and at office clusters before the evening peak; check dock availability every hour from 07:00-09:00 and 16:00-19:00.</t>
  </si>
  <si>
    <t>Maintenance windows: schedule inspections, battery swaps and rebalancing trips in the overnight trough (about 00:00-05:00), when demand is lowest.</t>
  </si>
  <si>
    <t>Weather playbook: when forecasts show rain or snow, reduce deployed fleet and run fewer rebalancing trips; use clear-weather weekends for promotions aimed at casual riders.</t>
  </si>
  <si>
    <t>Member conversion: casual riders are the growth lever on weekends and holidays - offer a weekend pass or a first-month discount to convert them into registered members.</t>
  </si>
  <si>
    <t>Monitoring: keep the anomaly sheet in the weekly review so storms, holidays and data gaps are explained rather than treated as noise.</t>
  </si>
  <si>
    <t>Data improvements: extend the dataset to a full year (the current data covers only mid-winter), and log hours with zero rentals explicitly so gaps are not confused with missing data.</t>
  </si>
  <si>
    <t>Bike Sharing Demand Analysis Project (Excel)</t>
  </si>
  <si>
    <t>NextHikes IT Solutions - Data analysis with Excel, VBA and automated reporting</t>
  </si>
  <si>
    <t>Business question</t>
  </si>
  <si>
    <t>How do time of day, weather, holidays and user type affect bike rentals, and what can be planned better?</t>
  </si>
  <si>
    <t>Data</t>
  </si>
  <si>
    <t>Three hourly files merged on instant: 1,000 records, 1 Jan - 14 Feb 2011 (mid-winter, one city system).</t>
  </si>
  <si>
    <t>Colour code</t>
  </si>
  <si>
    <t>Yellow cells = inputs you can change. Everything else is a formula.</t>
  </si>
  <si>
    <t>Sheet</t>
  </si>
  <si>
    <t>What it contains</t>
  </si>
  <si>
    <t>Project task</t>
  </si>
  <si>
    <t>Raw_D1 / Raw_D2 / Raw_D3</t>
  </si>
  <si>
    <t>The three source files, untouched</t>
  </si>
  <si>
    <t>Task 2 - loading</t>
  </si>
  <si>
    <t>Lookups</t>
  </si>
  <si>
    <t>Code tables, regression and threshold parameters</t>
  </si>
  <si>
    <t>Task 3</t>
  </si>
  <si>
    <t>Clean_Data</t>
  </si>
  <si>
    <t>Merged table (INDEX/MATCH on instant), imputation, flags, derived columns, anomaly z-score</t>
  </si>
  <si>
    <t>Tasks 2, 3</t>
  </si>
  <si>
    <t>DQ_Log</t>
  </si>
  <si>
    <t>Row reconciliation, missing values, duplicates, range checks, issue log</t>
  </si>
  <si>
    <t>Task 2</t>
  </si>
  <si>
    <t>T1_Foundations</t>
  </si>
  <si>
    <t>Shortcuts, SUM/AVERAGE/COUNT, LEFT/MID/RIGHT/LEN, top 10, conditional formatting</t>
  </si>
  <si>
    <t>Task 1</t>
  </si>
  <si>
    <t>T3_Logic_Lookup</t>
  </si>
  <si>
    <t>IF / nested IF, VLOOKUP, INDEX-MATCH, record finder</t>
  </si>
  <si>
    <t>T4_Pivots</t>
  </si>
  <si>
    <t>Nine pivot-style summaries with calculated fields, pivot charts, heat map</t>
  </si>
  <si>
    <t>Task 4</t>
  </si>
  <si>
    <t>T4_Stats</t>
  </si>
  <si>
    <t>Descriptive statistics, CORREL matrix, COUNTIF/SUMIF/AVERAGEIF, STDEV</t>
  </si>
  <si>
    <t>Daily_Trend</t>
  </si>
  <si>
    <t>Daily totals, regression model, 7-day forecast (also FORECAST.ETS), residual anomalies</t>
  </si>
  <si>
    <t>Task 5</t>
  </si>
  <si>
    <t>Anomaly_Report</t>
  </si>
  <si>
    <t>Hourly anomalies (z-score by hour and day type)</t>
  </si>
  <si>
    <t>Dash_Calc</t>
  </si>
  <si>
    <t>Calculation layer for the dashboard</t>
  </si>
  <si>
    <t>Dashboard</t>
  </si>
  <si>
    <t>Interactive dashboard: KPIs, line, bar, funnel, doughnut, heat map, date / weather / day-type filters</t>
  </si>
  <si>
    <t>Insights</t>
  </si>
  <si>
    <t>Formula-driven findings and recommendations</t>
  </si>
  <si>
    <t>Deliverable</t>
  </si>
  <si>
    <t>Method notes</t>
  </si>
  <si>
    <t>Merge: dataset_1 and dataset_2 are joined on instant; dataset_3 (already complete) is appended. Clean_Data pulls every value with INDEX/MATCH, so changing a raw value updates everything.</t>
  </si>
  <si>
    <t>Missing atemp (11 hours) is imputed by regression on temp; atemp = 0 is genuine and kept. Hours with no rentals are absent in the source and are not invented.</t>
  </si>
  <si>
    <t>Pivot tables: the summaries are formula based so they always refresh. Native PivotTables and slicers are created by the VBA module Module_Pivots (see the VBA folder).</t>
  </si>
  <si>
    <t>Forecast: regression with trend and weekend effect, compared with Excel FORECAST.ETS. The last day (14 Feb, data stops at 07:00) is left out of the model.</t>
  </si>
  <si>
    <t>Limit of the data: 45 winter days, so seasonal and temperature conclusions are limited. Hourly patterns and weather effects are well supported.</t>
  </si>
</sst>
</file>

<file path=xl/styles.xml><?xml version="1.0" encoding="utf-8"?>
<styleSheet xmlns="http://schemas.openxmlformats.org/spreadsheetml/2006/main">
  <numFmts count="14">
    <numFmt numFmtId="164" formatCode="yyyy-mm-dd"/>
    <numFmt numFmtId="165" formatCode="0.0000"/>
    <numFmt numFmtId="166" formatCode="0.00"/>
    <numFmt numFmtId="167" formatCode="0.0"/>
    <numFmt numFmtId="168" formatCode="0.0%"/>
    <numFmt numFmtId="169" formatCode="0.00000"/>
    <numFmt numFmtId="170" formatCode="#,##0"/>
    <numFmt numFmtId="171" formatCode="00&quot;:00&quot;"/>
    <numFmt numFmtId="172" formatCode="#,##0.0"/>
    <numFmt numFmtId="173" formatCode="#,##0.00"/>
    <numFmt numFmtId="174" formatCode="0.000"/>
    <numFmt numFmtId="175" formatCode="dd-mmm"/>
    <numFmt numFmtId="176" formatCode="@"/>
    <numFmt numFmtId="177" formatCode="0.0&quot; C&quot;"/>
  </numFmts>
  <fonts count="14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1F3A5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u/>
      <sz val="10"/>
      <color rgb="FF1D4ED8"/>
      <name val="Calibri"/>
      <family val="2"/>
      <scheme val="minor"/>
    </font>
    <font>
      <b/>
      <sz val="14"/>
      <color rgb="FF1F3A5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6B7280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8"/>
      <color rgb="FF6B7280"/>
      <name val="Calibri"/>
      <family val="2"/>
      <scheme val="minor"/>
    </font>
    <font>
      <b/>
      <sz val="20"/>
      <color rgb="FF1F3A5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AFBFC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0B94A"/>
      </left>
      <right style="thin">
        <color rgb="FFE0B94A"/>
      </right>
      <top style="thin">
        <color rgb="FFE0B94A"/>
      </top>
      <bottom style="thin">
        <color rgb="FFE0B94A"/>
      </bottom>
      <diagonal/>
    </border>
    <border>
      <left/>
      <right/>
      <top style="medium">
        <color rgb="FF2A9D8F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65" fontId="4" fillId="0" borderId="1" xfId="0" applyNumberFormat="1" applyFont="1" applyBorder="1" applyAlignment="1">
      <alignment vertical="center"/>
    </xf>
    <xf numFmtId="166" fontId="4" fillId="3" borderId="1" xfId="0" applyNumberFormat="1" applyFont="1" applyFill="1" applyBorder="1" applyAlignment="1">
      <alignment vertical="center"/>
    </xf>
    <xf numFmtId="167" fontId="4" fillId="0" borderId="1" xfId="0" applyNumberFormat="1" applyFont="1" applyBorder="1" applyAlignment="1">
      <alignment vertical="center"/>
    </xf>
    <xf numFmtId="166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9" fontId="4" fillId="0" borderId="0" xfId="0" applyNumberFormat="1" applyFont="1" applyAlignment="1">
      <alignment vertical="center"/>
    </xf>
    <xf numFmtId="0" fontId="8" fillId="4" borderId="0" xfId="0" applyFont="1" applyFill="1" applyAlignment="1">
      <alignment vertical="center"/>
    </xf>
    <xf numFmtId="170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1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7" fontId="9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70" fontId="4" fillId="0" borderId="1" xfId="0" applyNumberFormat="1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8" fontId="4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71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vertical="center"/>
    </xf>
    <xf numFmtId="173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74" fontId="4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vertical="center"/>
    </xf>
    <xf numFmtId="175" fontId="4" fillId="0" borderId="1" xfId="0" applyNumberFormat="1" applyFont="1" applyBorder="1" applyAlignment="1">
      <alignment vertical="center"/>
    </xf>
    <xf numFmtId="0" fontId="1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9" fillId="3" borderId="2" xfId="0" applyFont="1" applyFill="1" applyBorder="1" applyAlignment="1">
      <alignment horizontal="center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12" fillId="5" borderId="3" xfId="0" applyFont="1" applyFill="1" applyBorder="1" applyAlignment="1">
      <alignment horizontal="center" vertical="center"/>
    </xf>
    <xf numFmtId="170" fontId="13" fillId="5" borderId="0" xfId="0" applyNumberFormat="1" applyFont="1" applyFill="1" applyAlignment="1">
      <alignment horizontal="center" vertical="center"/>
    </xf>
    <xf numFmtId="167" fontId="13" fillId="5" borderId="0" xfId="0" applyNumberFormat="1" applyFont="1" applyFill="1" applyAlignment="1">
      <alignment horizontal="center" vertical="center"/>
    </xf>
    <xf numFmtId="176" fontId="13" fillId="5" borderId="0" xfId="0" applyNumberFormat="1" applyFont="1" applyFill="1" applyAlignment="1">
      <alignment horizontal="center" vertical="center"/>
    </xf>
    <xf numFmtId="168" fontId="13" fillId="5" borderId="0" xfId="0" applyNumberFormat="1" applyFont="1" applyFill="1" applyAlignment="1">
      <alignment horizontal="center" vertical="center"/>
    </xf>
    <xf numFmtId="177" fontId="13" fillId="5" borderId="0" xfId="0" applyNumberFormat="1" applyFont="1" applyFill="1" applyAlignment="1">
      <alignment horizontal="center" vertical="center"/>
    </xf>
    <xf numFmtId="1" fontId="13" fillId="5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17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10">
    <dxf>
      <fill>
        <patternFill>
          <bgColor rgb="FFFFE3A3"/>
        </patternFill>
      </fill>
    </dxf>
    <dxf>
      <font>
        <b/>
      </font>
      <fill>
        <patternFill>
          <bgColor rgb="FFF4B6A6"/>
        </patternFill>
      </fill>
    </dxf>
    <dxf>
      <font>
        <b/>
      </font>
      <fill>
        <patternFill>
          <bgColor rgb="FFBBD3F0"/>
        </patternFill>
      </fill>
    </dxf>
    <dxf>
      <font>
        <b/>
      </font>
      <fill>
        <patternFill>
          <bgColor rgb="FFD9E8FB"/>
        </patternFill>
      </fill>
    </dxf>
    <dxf>
      <font>
        <b/>
        <color rgb="FFC8553D"/>
      </font>
    </dxf>
    <dxf>
      <font>
        <b/>
        <color rgb="FF1B7F5C"/>
      </font>
    </dxf>
    <dxf>
      <fill>
        <patternFill>
          <bgColor rgb="FFF4B6A6"/>
        </patternFill>
      </fill>
    </dxf>
    <dxf>
      <font>
        <b/>
      </font>
      <fill>
        <patternFill>
          <bgColor rgb="FFFFE3A3"/>
        </patternFill>
      </fill>
    </dxf>
    <dxf>
      <font>
        <b/>
      </font>
      <fill>
        <patternFill>
          <bgColor rgb="FFBFE5D4"/>
        </patternFill>
      </fill>
    </dxf>
    <dxf>
      <font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average rentals by hour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Casual</c:v>
          </c:tx>
          <c:spPr>
            <a:solidFill>
              <a:srgbClr val="E9A23B"/>
            </a:solidFill>
          </c:spPr>
          <c:cat>
            <c:strRef>
              <c:f>T4_Pivots!$B$9:$B$32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T4_Pivots!$F$9:$F$32</c:f>
              <c:numCache>
                <c:formatCode>General</c:formatCode>
                <c:ptCount val="24"/>
                <c:pt idx="0">
                  <c:v>1.72093023255814</c:v>
                </c:pt>
                <c:pt idx="1">
                  <c:v>1.11627906976744</c:v>
                </c:pt>
                <c:pt idx="2">
                  <c:v>0.804878048780488</c:v>
                </c:pt>
                <c:pt idx="3">
                  <c:v>1.09677419354839</c:v>
                </c:pt>
                <c:pt idx="4">
                  <c:v>0.21875</c:v>
                </c:pt>
                <c:pt idx="5">
                  <c:v>0.0769230769230769</c:v>
                </c:pt>
                <c:pt idx="6">
                  <c:v>0.5</c:v>
                </c:pt>
                <c:pt idx="7">
                  <c:v>1.48837209302326</c:v>
                </c:pt>
                <c:pt idx="8">
                  <c:v>3.02380952380952</c:v>
                </c:pt>
                <c:pt idx="9">
                  <c:v>4.0952380952381</c:v>
                </c:pt>
                <c:pt idx="10">
                  <c:v>5.14285714285714</c:v>
                </c:pt>
                <c:pt idx="11">
                  <c:v>8.73809523809524</c:v>
                </c:pt>
                <c:pt idx="12">
                  <c:v>11.2093023255814</c:v>
                </c:pt>
                <c:pt idx="13">
                  <c:v>11.9302325581395</c:v>
                </c:pt>
                <c:pt idx="14">
                  <c:v>10.8372093023256</c:v>
                </c:pt>
                <c:pt idx="15">
                  <c:v>12.4651162790698</c:v>
                </c:pt>
                <c:pt idx="16">
                  <c:v>11.2045454545455</c:v>
                </c:pt>
                <c:pt idx="17">
                  <c:v>8.97727272727273</c:v>
                </c:pt>
                <c:pt idx="18">
                  <c:v>5.16279069767442</c:v>
                </c:pt>
                <c:pt idx="19">
                  <c:v>4.34883720930233</c:v>
                </c:pt>
                <c:pt idx="20">
                  <c:v>3.25581395348837</c:v>
                </c:pt>
                <c:pt idx="21">
                  <c:v>2.72093023255814</c:v>
                </c:pt>
                <c:pt idx="22">
                  <c:v>2.3953488372093</c:v>
                </c:pt>
                <c:pt idx="23">
                  <c:v>2.34883720930233</c:v>
                </c:pt>
              </c:numCache>
            </c:numRef>
          </c:val>
        </c:ser>
        <c:ser>
          <c:idx val="1"/>
          <c:order val="1"/>
          <c:tx>
            <c:v>Registered</c:v>
          </c:tx>
          <c:spPr>
            <a:solidFill>
              <a:srgbClr val="1F3A5F"/>
            </a:solidFill>
          </c:spPr>
          <c:cat>
            <c:strRef>
              <c:f>T4_Pivots!$B$9:$B$32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T4_Pivots!$G$9:$G$32</c:f>
              <c:numCache>
                <c:formatCode>General</c:formatCode>
                <c:ptCount val="24"/>
                <c:pt idx="0">
                  <c:v>14.6279069767442</c:v>
                </c:pt>
                <c:pt idx="1">
                  <c:v>9.58139534883721</c:v>
                </c:pt>
                <c:pt idx="2">
                  <c:v>6.36585365853659</c:v>
                </c:pt>
                <c:pt idx="3">
                  <c:v>3.7741935483871</c:v>
                </c:pt>
                <c:pt idx="4">
                  <c:v>1.9375</c:v>
                </c:pt>
                <c:pt idx="5">
                  <c:v>4.12820512820513</c:v>
                </c:pt>
                <c:pt idx="6">
                  <c:v>19.0714285714286</c:v>
                </c:pt>
                <c:pt idx="7">
                  <c:v>52.906976744186</c:v>
                </c:pt>
                <c:pt idx="8">
                  <c:v>125.261904761905</c:v>
                </c:pt>
                <c:pt idx="9">
                  <c:v>83.3333333333333</c:v>
                </c:pt>
                <c:pt idx="10">
                  <c:v>48.5</c:v>
                </c:pt>
                <c:pt idx="11">
                  <c:v>50.6428571428571</c:v>
                </c:pt>
                <c:pt idx="12">
                  <c:v>65.1395348837209</c:v>
                </c:pt>
                <c:pt idx="13">
                  <c:v>66.5813953488372</c:v>
                </c:pt>
                <c:pt idx="14">
                  <c:v>63.5813953488372</c:v>
                </c:pt>
                <c:pt idx="15">
                  <c:v>65.4883720930233</c:v>
                </c:pt>
                <c:pt idx="16">
                  <c:v>78.0681818181818</c:v>
                </c:pt>
                <c:pt idx="17">
                  <c:v>131.227272727273</c:v>
                </c:pt>
                <c:pt idx="18">
                  <c:v>117.697674418605</c:v>
                </c:pt>
                <c:pt idx="19">
                  <c:v>80.7906976744186</c:v>
                </c:pt>
                <c:pt idx="20">
                  <c:v>58.5116279069767</c:v>
                </c:pt>
                <c:pt idx="21">
                  <c:v>43.6976744186047</c:v>
                </c:pt>
                <c:pt idx="22">
                  <c:v>32.6744186046512</c:v>
                </c:pt>
                <c:pt idx="23">
                  <c:v>22.8372093023256</c:v>
                </c:pt>
              </c:numCache>
            </c:numRef>
          </c:val>
        </c:ser>
        <c:gapWidth val="6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 per hour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average rentals by weekday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/ hour</c:v>
          </c:tx>
          <c:spPr>
            <a:solidFill>
              <a:srgbClr val="2A9D8F"/>
            </a:solidFill>
          </c:spPr>
          <c:cat>
            <c:strRef>
              <c:f>T4_Pivots!$B$37:$B$43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T4_Pivots!$E$37:$E$43</c:f>
              <c:numCache>
                <c:formatCode>General</c:formatCode>
                <c:ptCount val="7"/>
                <c:pt idx="0">
                  <c:v>49.5182926829268</c:v>
                </c:pt>
                <c:pt idx="1">
                  <c:v>56.7114093959732</c:v>
                </c:pt>
                <c:pt idx="2">
                  <c:v>66.007874015748</c:v>
                </c:pt>
                <c:pt idx="3">
                  <c:v>61.4427480916031</c:v>
                </c:pt>
                <c:pt idx="4">
                  <c:v>67.664</c:v>
                </c:pt>
                <c:pt idx="5">
                  <c:v>65.9057971014493</c:v>
                </c:pt>
                <c:pt idx="6">
                  <c:v>46.6746987951807</c:v>
                </c:pt>
              </c:numCache>
            </c:numRef>
          </c:val>
        </c:ser>
        <c:gapWidth val="6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 per hour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average rentals by weather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/ hour</c:v>
          </c:tx>
          <c:spPr>
            <a:solidFill>
              <a:srgbClr val="2A9D8F"/>
            </a:solidFill>
          </c:spPr>
          <c:cat>
            <c:strRef>
              <c:f>T4_Pivots!$B$71:$B$74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Rain/Snow</c:v>
                </c:pt>
                <c:pt idx="3">
                  <c:v>Heavy Rain/Snow</c:v>
                </c:pt>
              </c:strCache>
            </c:strRef>
          </c:cat>
          <c:val>
            <c:numRef>
              <c:f>T4_Pivots!$E$71:$E$74</c:f>
              <c:numCache>
                <c:formatCode>General</c:formatCode>
                <c:ptCount val="4"/>
                <c:pt idx="0">
                  <c:v>61.6716171617162</c:v>
                </c:pt>
                <c:pt idx="1">
                  <c:v>58.5954692556634</c:v>
                </c:pt>
                <c:pt idx="2">
                  <c:v>33.202380952381</c:v>
                </c:pt>
                <c:pt idx="3">
                  <c:v>36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 per hour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average rentals by time block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/ hour</c:v>
          </c:tx>
          <c:spPr>
            <a:solidFill>
              <a:srgbClr val="1F3A5F"/>
            </a:solidFill>
          </c:spPr>
          <c:cat>
            <c:strRef>
              <c:f>T4_Pivots!$B$88:$B$92</c:f>
              <c:strCache>
                <c:ptCount val="5"/>
                <c:pt idx="0">
                  <c:v>Night (00-05)</c:v>
                </c:pt>
                <c:pt idx="1">
                  <c:v>Morning Peak (06-09)</c:v>
                </c:pt>
                <c:pt idx="2">
                  <c:v>Midday (10-15)</c:v>
                </c:pt>
                <c:pt idx="3">
                  <c:v>Evening Peak (16-19)</c:v>
                </c:pt>
                <c:pt idx="4">
                  <c:v>Late Evening (20-23)</c:v>
                </c:pt>
              </c:strCache>
            </c:strRef>
          </c:cat>
          <c:val>
            <c:numRef>
              <c:f>T4_Pivots!$E$88:$E$92</c:f>
              <c:numCache>
                <c:formatCode>General</c:formatCode>
                <c:ptCount val="5"/>
                <c:pt idx="0">
                  <c:v>8.03930131004367</c:v>
                </c:pt>
                <c:pt idx="1">
                  <c:v>72.3136094674556</c:v>
                </c:pt>
                <c:pt idx="2">
                  <c:v>70.1484375</c:v>
                </c:pt>
                <c:pt idx="3">
                  <c:v>109.431034482759</c:v>
                </c:pt>
                <c:pt idx="4">
                  <c:v>42.1104651162791</c:v>
                </c:pt>
              </c:numCache>
            </c:numRef>
          </c:val>
        </c:ser>
        <c:gapWidth val="60"/>
        <c:axId val="50040001"/>
        <c:axId val="50040002"/>
      </c:barChart>
      <c:catAx>
        <c:axId val="50040001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Rentals per hour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average rentals by temperature band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/ hour</c:v>
          </c:tx>
          <c:spPr>
            <a:solidFill>
              <a:srgbClr val="E9A23B"/>
            </a:solidFill>
          </c:spPr>
          <c:cat>
            <c:strRef>
              <c:f>T4_Pivots!$B$105:$B$108</c:f>
              <c:strCache>
                <c:ptCount val="4"/>
                <c:pt idx="0">
                  <c:v>Under 5 C</c:v>
                </c:pt>
                <c:pt idx="1">
                  <c:v>5-10 C</c:v>
                </c:pt>
                <c:pt idx="2">
                  <c:v>10-15 C</c:v>
                </c:pt>
                <c:pt idx="3">
                  <c:v>15 C and above</c:v>
                </c:pt>
              </c:strCache>
            </c:strRef>
          </c:cat>
          <c:val>
            <c:numRef>
              <c:f>T4_Pivots!$E$105:$E$108</c:f>
              <c:numCache>
                <c:formatCode>General</c:formatCode>
                <c:ptCount val="4"/>
                <c:pt idx="0">
                  <c:v>38.4488188976378</c:v>
                </c:pt>
                <c:pt idx="1">
                  <c:v>55.9601226993865</c:v>
                </c:pt>
                <c:pt idx="2">
                  <c:v>80.731843575419</c:v>
                </c:pt>
                <c:pt idx="3">
                  <c:v>59.1428571428571</c:v>
                </c:pt>
              </c:numCache>
            </c:numRef>
          </c:val>
        </c:ser>
        <c:gapWidth val="6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Rentals per hour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Pivot chart - user type share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User share</c:v>
          </c:tx>
          <c:dPt>
            <c:idx val="0"/>
            <c:spPr>
              <a:solidFill>
                <a:srgbClr val="E9A23B"/>
              </a:solidFill>
            </c:spPr>
          </c:dPt>
          <c:dPt>
            <c:idx val="1"/>
            <c:spPr>
              <a:solidFill>
                <a:srgbClr val="1F3A5F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T4_Pivots!$B$139:$B$140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T4_Pivots!$D$139:$D$140</c:f>
              <c:numCache>
                <c:formatCode>General</c:formatCode>
                <c:ptCount val="2"/>
                <c:pt idx="0">
                  <c:v>4921</c:v>
                </c:pt>
                <c:pt idx="1">
                  <c:v>53383</c:v>
                </c:pt>
              </c:numCache>
            </c:numRef>
          </c:val>
        </c:ser>
        <c:firstSliceAng val="0"/>
        <c:holeSize val="55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Daily rentals: actual, model and 7-day forecast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daily rentals</c:v>
          </c:tx>
          <c:spPr>
            <a:ln w="28575">
              <a:solidFill>
                <a:srgbClr val="1F3A5F"/>
              </a:solidFill>
            </a:ln>
          </c:spPr>
          <c:marker>
            <c:symbol val="circle"/>
            <c:size val="4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strRef>
              <c:f>Daily_Trend!$R$30:$R$81</c:f>
              <c:strCache>
                <c:ptCount val="52"/>
                <c:pt idx="0">
                  <c:v>40544.0</c:v>
                </c:pt>
                <c:pt idx="1">
                  <c:v>40545.0</c:v>
                </c:pt>
                <c:pt idx="2">
                  <c:v>40546.0</c:v>
                </c:pt>
                <c:pt idx="3">
                  <c:v>40547.0</c:v>
                </c:pt>
                <c:pt idx="4">
                  <c:v>40548.0</c:v>
                </c:pt>
                <c:pt idx="5">
                  <c:v>40549.0</c:v>
                </c:pt>
                <c:pt idx="6">
                  <c:v>40550.0</c:v>
                </c:pt>
                <c:pt idx="7">
                  <c:v>40551.0</c:v>
                </c:pt>
                <c:pt idx="8">
                  <c:v>40552.0</c:v>
                </c:pt>
                <c:pt idx="9">
                  <c:v>40553.0</c:v>
                </c:pt>
                <c:pt idx="10">
                  <c:v>40554.0</c:v>
                </c:pt>
                <c:pt idx="11">
                  <c:v>40555.0</c:v>
                </c:pt>
                <c:pt idx="12">
                  <c:v>40556.0</c:v>
                </c:pt>
                <c:pt idx="13">
                  <c:v>40557.0</c:v>
                </c:pt>
                <c:pt idx="14">
                  <c:v>40558.0</c:v>
                </c:pt>
                <c:pt idx="15">
                  <c:v>40559.0</c:v>
                </c:pt>
                <c:pt idx="16">
                  <c:v>40560.0</c:v>
                </c:pt>
                <c:pt idx="17">
                  <c:v>40561.0</c:v>
                </c:pt>
                <c:pt idx="18">
                  <c:v>40562.0</c:v>
                </c:pt>
                <c:pt idx="19">
                  <c:v>40563.0</c:v>
                </c:pt>
                <c:pt idx="20">
                  <c:v>40564.0</c:v>
                </c:pt>
                <c:pt idx="21">
                  <c:v>40565.0</c:v>
                </c:pt>
                <c:pt idx="22">
                  <c:v>40566.0</c:v>
                </c:pt>
                <c:pt idx="23">
                  <c:v>40567.0</c:v>
                </c:pt>
                <c:pt idx="24">
                  <c:v>40568.0</c:v>
                </c:pt>
                <c:pt idx="25">
                  <c:v>40569.0</c:v>
                </c:pt>
                <c:pt idx="26">
                  <c:v>40570.0</c:v>
                </c:pt>
                <c:pt idx="27">
                  <c:v>40571.0</c:v>
                </c:pt>
                <c:pt idx="28">
                  <c:v>40572.0</c:v>
                </c:pt>
                <c:pt idx="29">
                  <c:v>40573.0</c:v>
                </c:pt>
                <c:pt idx="30">
                  <c:v>40574.0</c:v>
                </c:pt>
                <c:pt idx="31">
                  <c:v>40575.0</c:v>
                </c:pt>
                <c:pt idx="32">
                  <c:v>40576.0</c:v>
                </c:pt>
                <c:pt idx="33">
                  <c:v>40577.0</c:v>
                </c:pt>
                <c:pt idx="34">
                  <c:v>40578.0</c:v>
                </c:pt>
                <c:pt idx="35">
                  <c:v>40579.0</c:v>
                </c:pt>
                <c:pt idx="36">
                  <c:v>40580.0</c:v>
                </c:pt>
                <c:pt idx="37">
                  <c:v>40581.0</c:v>
                </c:pt>
                <c:pt idx="38">
                  <c:v>40582.0</c:v>
                </c:pt>
                <c:pt idx="39">
                  <c:v>40583.0</c:v>
                </c:pt>
                <c:pt idx="40">
                  <c:v>40584.0</c:v>
                </c:pt>
                <c:pt idx="41">
                  <c:v>40585.0</c:v>
                </c:pt>
                <c:pt idx="42">
                  <c:v>40586.0</c:v>
                </c:pt>
                <c:pt idx="43">
                  <c:v>40587.0</c:v>
                </c:pt>
                <c:pt idx="44">
                  <c:v>40588.0</c:v>
                </c:pt>
                <c:pt idx="45">
                  <c:v>40589.0</c:v>
                </c:pt>
                <c:pt idx="46">
                  <c:v>40590.0</c:v>
                </c:pt>
                <c:pt idx="47">
                  <c:v>40591.0</c:v>
                </c:pt>
                <c:pt idx="48">
                  <c:v>40592.0</c:v>
                </c:pt>
                <c:pt idx="49">
                  <c:v>40593.0</c:v>
                </c:pt>
                <c:pt idx="50">
                  <c:v>40594.0</c:v>
                </c:pt>
                <c:pt idx="51">
                  <c:v/>
                </c:pt>
              </c:strCache>
            </c:strRef>
          </c:cat>
          <c:val>
            <c:numRef>
              <c:f>Daily_Trend!$S$30:$S$81</c:f>
              <c:numCache>
                <c:formatCode>General</c:formatCode>
                <c:ptCount val="52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1"/>
          <c:order val="1"/>
          <c:tx>
            <c:v>Trend + weekend model / forecast</c:v>
          </c:tx>
          <c:spPr>
            <a:ln w="25400">
              <a:solidFill>
                <a:srgbClr val="2A9D8F"/>
              </a:solidFill>
              <a:prstDash val="dash"/>
            </a:ln>
          </c:spPr>
          <c:marker>
            <c:symbol val="none"/>
          </c:marker>
          <c:cat>
            <c:strRef>
              <c:f>Daily_Trend!$R$30:$R$81</c:f>
              <c:strCache>
                <c:ptCount val="52"/>
                <c:pt idx="0">
                  <c:v>40544.0</c:v>
                </c:pt>
                <c:pt idx="1">
                  <c:v>40545.0</c:v>
                </c:pt>
                <c:pt idx="2">
                  <c:v>40546.0</c:v>
                </c:pt>
                <c:pt idx="3">
                  <c:v>40547.0</c:v>
                </c:pt>
                <c:pt idx="4">
                  <c:v>40548.0</c:v>
                </c:pt>
                <c:pt idx="5">
                  <c:v>40549.0</c:v>
                </c:pt>
                <c:pt idx="6">
                  <c:v>40550.0</c:v>
                </c:pt>
                <c:pt idx="7">
                  <c:v>40551.0</c:v>
                </c:pt>
                <c:pt idx="8">
                  <c:v>40552.0</c:v>
                </c:pt>
                <c:pt idx="9">
                  <c:v>40553.0</c:v>
                </c:pt>
                <c:pt idx="10">
                  <c:v>40554.0</c:v>
                </c:pt>
                <c:pt idx="11">
                  <c:v>40555.0</c:v>
                </c:pt>
                <c:pt idx="12">
                  <c:v>40556.0</c:v>
                </c:pt>
                <c:pt idx="13">
                  <c:v>40557.0</c:v>
                </c:pt>
                <c:pt idx="14">
                  <c:v>40558.0</c:v>
                </c:pt>
                <c:pt idx="15">
                  <c:v>40559.0</c:v>
                </c:pt>
                <c:pt idx="16">
                  <c:v>40560.0</c:v>
                </c:pt>
                <c:pt idx="17">
                  <c:v>40561.0</c:v>
                </c:pt>
                <c:pt idx="18">
                  <c:v>40562.0</c:v>
                </c:pt>
                <c:pt idx="19">
                  <c:v>40563.0</c:v>
                </c:pt>
                <c:pt idx="20">
                  <c:v>40564.0</c:v>
                </c:pt>
                <c:pt idx="21">
                  <c:v>40565.0</c:v>
                </c:pt>
                <c:pt idx="22">
                  <c:v>40566.0</c:v>
                </c:pt>
                <c:pt idx="23">
                  <c:v>40567.0</c:v>
                </c:pt>
                <c:pt idx="24">
                  <c:v>40568.0</c:v>
                </c:pt>
                <c:pt idx="25">
                  <c:v>40569.0</c:v>
                </c:pt>
                <c:pt idx="26">
                  <c:v>40570.0</c:v>
                </c:pt>
                <c:pt idx="27">
                  <c:v>40571.0</c:v>
                </c:pt>
                <c:pt idx="28">
                  <c:v>40572.0</c:v>
                </c:pt>
                <c:pt idx="29">
                  <c:v>40573.0</c:v>
                </c:pt>
                <c:pt idx="30">
                  <c:v>40574.0</c:v>
                </c:pt>
                <c:pt idx="31">
                  <c:v>40575.0</c:v>
                </c:pt>
                <c:pt idx="32">
                  <c:v>40576.0</c:v>
                </c:pt>
                <c:pt idx="33">
                  <c:v>40577.0</c:v>
                </c:pt>
                <c:pt idx="34">
                  <c:v>40578.0</c:v>
                </c:pt>
                <c:pt idx="35">
                  <c:v>40579.0</c:v>
                </c:pt>
                <c:pt idx="36">
                  <c:v>40580.0</c:v>
                </c:pt>
                <c:pt idx="37">
                  <c:v>40581.0</c:v>
                </c:pt>
                <c:pt idx="38">
                  <c:v>40582.0</c:v>
                </c:pt>
                <c:pt idx="39">
                  <c:v>40583.0</c:v>
                </c:pt>
                <c:pt idx="40">
                  <c:v>40584.0</c:v>
                </c:pt>
                <c:pt idx="41">
                  <c:v>40585.0</c:v>
                </c:pt>
                <c:pt idx="42">
                  <c:v>40586.0</c:v>
                </c:pt>
                <c:pt idx="43">
                  <c:v>40587.0</c:v>
                </c:pt>
                <c:pt idx="44">
                  <c:v>40588.0</c:v>
                </c:pt>
                <c:pt idx="45">
                  <c:v>40589.0</c:v>
                </c:pt>
                <c:pt idx="46">
                  <c:v>40590.0</c:v>
                </c:pt>
                <c:pt idx="47">
                  <c:v>40591.0</c:v>
                </c:pt>
                <c:pt idx="48">
                  <c:v>40592.0</c:v>
                </c:pt>
                <c:pt idx="49">
                  <c:v>40593.0</c:v>
                </c:pt>
                <c:pt idx="50">
                  <c:v>40594.0</c:v>
                </c:pt>
                <c:pt idx="51">
                  <c:v/>
                </c:pt>
              </c:strCache>
            </c:strRef>
          </c:cat>
          <c:val>
            <c:numRef>
              <c:f>Daily_Trend!$T$30:$T$81</c:f>
              <c:numCache>
                <c:formatCode>General</c:formatCode>
                <c:ptCount val="52"/>
                <c:pt idx="0">
                  <c:v>969.216666666667</c:v>
                </c:pt>
                <c:pt idx="1">
                  <c:v>976.857751937985</c:v>
                </c:pt>
                <c:pt idx="2">
                  <c:v>1260.46550387597</c:v>
                </c:pt>
                <c:pt idx="3">
                  <c:v>1268.10658914729</c:v>
                </c:pt>
                <c:pt idx="4">
                  <c:v>1275.7476744186</c:v>
                </c:pt>
                <c:pt idx="5">
                  <c:v>1283.38875968992</c:v>
                </c:pt>
                <c:pt idx="6">
                  <c:v>1291.02984496124</c:v>
                </c:pt>
                <c:pt idx="7">
                  <c:v>1022.70426356589</c:v>
                </c:pt>
                <c:pt idx="8">
                  <c:v>1030.34534883721</c:v>
                </c:pt>
                <c:pt idx="9">
                  <c:v>1313.95310077519</c:v>
                </c:pt>
                <c:pt idx="10">
                  <c:v>1321.59418604651</c:v>
                </c:pt>
                <c:pt idx="11">
                  <c:v>1329.23527131783</c:v>
                </c:pt>
                <c:pt idx="12">
                  <c:v>1336.87635658915</c:v>
                </c:pt>
                <c:pt idx="13">
                  <c:v>1344.51744186047</c:v>
                </c:pt>
                <c:pt idx="14">
                  <c:v>1076.19186046512</c:v>
                </c:pt>
                <c:pt idx="15">
                  <c:v>1083.83294573643</c:v>
                </c:pt>
                <c:pt idx="16">
                  <c:v>1367.44069767442</c:v>
                </c:pt>
                <c:pt idx="17">
                  <c:v>1375.08178294574</c:v>
                </c:pt>
                <c:pt idx="18">
                  <c:v>1382.72286821705</c:v>
                </c:pt>
                <c:pt idx="19">
                  <c:v>1390.36395348837</c:v>
                </c:pt>
                <c:pt idx="20">
                  <c:v>1398.00503875969</c:v>
                </c:pt>
                <c:pt idx="21">
                  <c:v>1129.67945736434</c:v>
                </c:pt>
                <c:pt idx="22">
                  <c:v>1137.32054263566</c:v>
                </c:pt>
                <c:pt idx="23">
                  <c:v>1420.92829457364</c:v>
                </c:pt>
                <c:pt idx="24">
                  <c:v>1428.56937984496</c:v>
                </c:pt>
                <c:pt idx="25">
                  <c:v>1436.21046511628</c:v>
                </c:pt>
                <c:pt idx="26">
                  <c:v>1443.8515503876</c:v>
                </c:pt>
                <c:pt idx="27">
                  <c:v>1451.49263565891</c:v>
                </c:pt>
                <c:pt idx="28">
                  <c:v>1183.16705426357</c:v>
                </c:pt>
                <c:pt idx="29">
                  <c:v>1190.80813953488</c:v>
                </c:pt>
                <c:pt idx="30">
                  <c:v>1474.41589147287</c:v>
                </c:pt>
                <c:pt idx="31">
                  <c:v>1482.05697674419</c:v>
                </c:pt>
                <c:pt idx="32">
                  <c:v>1489.6980620155</c:v>
                </c:pt>
                <c:pt idx="33">
                  <c:v>1497.33914728682</c:v>
                </c:pt>
                <c:pt idx="34">
                  <c:v>1504.98023255814</c:v>
                </c:pt>
                <c:pt idx="35">
                  <c:v>1236.65465116279</c:v>
                </c:pt>
                <c:pt idx="36">
                  <c:v>1244.29573643411</c:v>
                </c:pt>
                <c:pt idx="37">
                  <c:v>1527.90348837209</c:v>
                </c:pt>
                <c:pt idx="38">
                  <c:v>1535.54457364341</c:v>
                </c:pt>
                <c:pt idx="39">
                  <c:v>1543.18565891473</c:v>
                </c:pt>
                <c:pt idx="40">
                  <c:v>1550.82674418605</c:v>
                </c:pt>
                <c:pt idx="41">
                  <c:v>1558.46782945736</c:v>
                </c:pt>
                <c:pt idx="42">
                  <c:v>1290.14224806202</c:v>
                </c:pt>
                <c:pt idx="43">
                  <c:v>1297.78333333333</c:v>
                </c:pt>
                <c:pt idx="44">
                  <c:v>1581.39108527132</c:v>
                </c:pt>
                <c:pt idx="45">
                  <c:v>1589.03217054264</c:v>
                </c:pt>
                <c:pt idx="46">
                  <c:v>1596.67325581395</c:v>
                </c:pt>
                <c:pt idx="47">
                  <c:v>1604.31434108527</c:v>
                </c:pt>
                <c:pt idx="48">
                  <c:v>1611.95542635659</c:v>
                </c:pt>
                <c:pt idx="49">
                  <c:v>1343.62984496124</c:v>
                </c:pt>
                <c:pt idx="50">
                  <c:v>1351.27093023256</c:v>
                </c:pt>
                <c:pt idx="51">
                  <c:v>0</c:v>
                </c:pt>
              </c:numCache>
            </c:numRef>
          </c:val>
        </c:ser>
        <c:ser>
          <c:idx val="2"/>
          <c:order val="2"/>
          <c:tx>
            <c:v>Lower 95%</c:v>
          </c:tx>
          <c:spPr>
            <a:ln w="12700">
              <a:solidFill>
                <a:srgbClr val="9CA3AF"/>
              </a:solidFill>
            </a:ln>
          </c:spPr>
          <c:marker>
            <c:symbol val="none"/>
          </c:marker>
          <c:cat>
            <c:strRef>
              <c:f>Daily_Trend!$R$30:$R$81</c:f>
              <c:strCache>
                <c:ptCount val="52"/>
                <c:pt idx="0">
                  <c:v>40544.0</c:v>
                </c:pt>
                <c:pt idx="1">
                  <c:v>40545.0</c:v>
                </c:pt>
                <c:pt idx="2">
                  <c:v>40546.0</c:v>
                </c:pt>
                <c:pt idx="3">
                  <c:v>40547.0</c:v>
                </c:pt>
                <c:pt idx="4">
                  <c:v>40548.0</c:v>
                </c:pt>
                <c:pt idx="5">
                  <c:v>40549.0</c:v>
                </c:pt>
                <c:pt idx="6">
                  <c:v>40550.0</c:v>
                </c:pt>
                <c:pt idx="7">
                  <c:v>40551.0</c:v>
                </c:pt>
                <c:pt idx="8">
                  <c:v>40552.0</c:v>
                </c:pt>
                <c:pt idx="9">
                  <c:v>40553.0</c:v>
                </c:pt>
                <c:pt idx="10">
                  <c:v>40554.0</c:v>
                </c:pt>
                <c:pt idx="11">
                  <c:v>40555.0</c:v>
                </c:pt>
                <c:pt idx="12">
                  <c:v>40556.0</c:v>
                </c:pt>
                <c:pt idx="13">
                  <c:v>40557.0</c:v>
                </c:pt>
                <c:pt idx="14">
                  <c:v>40558.0</c:v>
                </c:pt>
                <c:pt idx="15">
                  <c:v>40559.0</c:v>
                </c:pt>
                <c:pt idx="16">
                  <c:v>40560.0</c:v>
                </c:pt>
                <c:pt idx="17">
                  <c:v>40561.0</c:v>
                </c:pt>
                <c:pt idx="18">
                  <c:v>40562.0</c:v>
                </c:pt>
                <c:pt idx="19">
                  <c:v>40563.0</c:v>
                </c:pt>
                <c:pt idx="20">
                  <c:v>40564.0</c:v>
                </c:pt>
                <c:pt idx="21">
                  <c:v>40565.0</c:v>
                </c:pt>
                <c:pt idx="22">
                  <c:v>40566.0</c:v>
                </c:pt>
                <c:pt idx="23">
                  <c:v>40567.0</c:v>
                </c:pt>
                <c:pt idx="24">
                  <c:v>40568.0</c:v>
                </c:pt>
                <c:pt idx="25">
                  <c:v>40569.0</c:v>
                </c:pt>
                <c:pt idx="26">
                  <c:v>40570.0</c:v>
                </c:pt>
                <c:pt idx="27">
                  <c:v>40571.0</c:v>
                </c:pt>
                <c:pt idx="28">
                  <c:v>40572.0</c:v>
                </c:pt>
                <c:pt idx="29">
                  <c:v>40573.0</c:v>
                </c:pt>
                <c:pt idx="30">
                  <c:v>40574.0</c:v>
                </c:pt>
                <c:pt idx="31">
                  <c:v>40575.0</c:v>
                </c:pt>
                <c:pt idx="32">
                  <c:v>40576.0</c:v>
                </c:pt>
                <c:pt idx="33">
                  <c:v>40577.0</c:v>
                </c:pt>
                <c:pt idx="34">
                  <c:v>40578.0</c:v>
                </c:pt>
                <c:pt idx="35">
                  <c:v>40579.0</c:v>
                </c:pt>
                <c:pt idx="36">
                  <c:v>40580.0</c:v>
                </c:pt>
                <c:pt idx="37">
                  <c:v>40581.0</c:v>
                </c:pt>
                <c:pt idx="38">
                  <c:v>40582.0</c:v>
                </c:pt>
                <c:pt idx="39">
                  <c:v>40583.0</c:v>
                </c:pt>
                <c:pt idx="40">
                  <c:v>40584.0</c:v>
                </c:pt>
                <c:pt idx="41">
                  <c:v>40585.0</c:v>
                </c:pt>
                <c:pt idx="42">
                  <c:v>40586.0</c:v>
                </c:pt>
                <c:pt idx="43">
                  <c:v>40587.0</c:v>
                </c:pt>
                <c:pt idx="44">
                  <c:v>40588.0</c:v>
                </c:pt>
                <c:pt idx="45">
                  <c:v>40589.0</c:v>
                </c:pt>
                <c:pt idx="46">
                  <c:v>40590.0</c:v>
                </c:pt>
                <c:pt idx="47">
                  <c:v>40591.0</c:v>
                </c:pt>
                <c:pt idx="48">
                  <c:v>40592.0</c:v>
                </c:pt>
                <c:pt idx="49">
                  <c:v>40593.0</c:v>
                </c:pt>
                <c:pt idx="50">
                  <c:v>40594.0</c:v>
                </c:pt>
                <c:pt idx="51">
                  <c:v/>
                </c:pt>
              </c:strCache>
            </c:strRef>
          </c:cat>
          <c:val>
            <c:numRef>
              <c:f>Daily_Trend!$U$30:$U$81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946.469355054251</c:v>
                </c:pt>
                <c:pt idx="45">
                  <c:v>954.110440325569</c:v>
                </c:pt>
                <c:pt idx="46">
                  <c:v>961.751525596886</c:v>
                </c:pt>
                <c:pt idx="47">
                  <c:v>969.392610868204</c:v>
                </c:pt>
                <c:pt idx="48">
                  <c:v>977.033696139522</c:v>
                </c:pt>
                <c:pt idx="49">
                  <c:v>708.708114744174</c:v>
                </c:pt>
                <c:pt idx="50">
                  <c:v>716.349200015491</c:v>
                </c:pt>
                <c:pt idx="51">
                  <c:v>0</c:v>
                </c:pt>
              </c:numCache>
            </c:numRef>
          </c:val>
        </c:ser>
        <c:ser>
          <c:idx val="3"/>
          <c:order val="3"/>
          <c:tx>
            <c:v>Upper 95%</c:v>
          </c:tx>
          <c:spPr>
            <a:ln w="12700">
              <a:solidFill>
                <a:srgbClr val="9CA3AF"/>
              </a:solidFill>
            </a:ln>
          </c:spPr>
          <c:marker>
            <c:symbol val="none"/>
          </c:marker>
          <c:cat>
            <c:strRef>
              <c:f>Daily_Trend!$R$30:$R$81</c:f>
              <c:strCache>
                <c:ptCount val="52"/>
                <c:pt idx="0">
                  <c:v>40544.0</c:v>
                </c:pt>
                <c:pt idx="1">
                  <c:v>40545.0</c:v>
                </c:pt>
                <c:pt idx="2">
                  <c:v>40546.0</c:v>
                </c:pt>
                <c:pt idx="3">
                  <c:v>40547.0</c:v>
                </c:pt>
                <c:pt idx="4">
                  <c:v>40548.0</c:v>
                </c:pt>
                <c:pt idx="5">
                  <c:v>40549.0</c:v>
                </c:pt>
                <c:pt idx="6">
                  <c:v>40550.0</c:v>
                </c:pt>
                <c:pt idx="7">
                  <c:v>40551.0</c:v>
                </c:pt>
                <c:pt idx="8">
                  <c:v>40552.0</c:v>
                </c:pt>
                <c:pt idx="9">
                  <c:v>40553.0</c:v>
                </c:pt>
                <c:pt idx="10">
                  <c:v>40554.0</c:v>
                </c:pt>
                <c:pt idx="11">
                  <c:v>40555.0</c:v>
                </c:pt>
                <c:pt idx="12">
                  <c:v>40556.0</c:v>
                </c:pt>
                <c:pt idx="13">
                  <c:v>40557.0</c:v>
                </c:pt>
                <c:pt idx="14">
                  <c:v>40558.0</c:v>
                </c:pt>
                <c:pt idx="15">
                  <c:v>40559.0</c:v>
                </c:pt>
                <c:pt idx="16">
                  <c:v>40560.0</c:v>
                </c:pt>
                <c:pt idx="17">
                  <c:v>40561.0</c:v>
                </c:pt>
                <c:pt idx="18">
                  <c:v>40562.0</c:v>
                </c:pt>
                <c:pt idx="19">
                  <c:v>40563.0</c:v>
                </c:pt>
                <c:pt idx="20">
                  <c:v>40564.0</c:v>
                </c:pt>
                <c:pt idx="21">
                  <c:v>40565.0</c:v>
                </c:pt>
                <c:pt idx="22">
                  <c:v>40566.0</c:v>
                </c:pt>
                <c:pt idx="23">
                  <c:v>40567.0</c:v>
                </c:pt>
                <c:pt idx="24">
                  <c:v>40568.0</c:v>
                </c:pt>
                <c:pt idx="25">
                  <c:v>40569.0</c:v>
                </c:pt>
                <c:pt idx="26">
                  <c:v>40570.0</c:v>
                </c:pt>
                <c:pt idx="27">
                  <c:v>40571.0</c:v>
                </c:pt>
                <c:pt idx="28">
                  <c:v>40572.0</c:v>
                </c:pt>
                <c:pt idx="29">
                  <c:v>40573.0</c:v>
                </c:pt>
                <c:pt idx="30">
                  <c:v>40574.0</c:v>
                </c:pt>
                <c:pt idx="31">
                  <c:v>40575.0</c:v>
                </c:pt>
                <c:pt idx="32">
                  <c:v>40576.0</c:v>
                </c:pt>
                <c:pt idx="33">
                  <c:v>40577.0</c:v>
                </c:pt>
                <c:pt idx="34">
                  <c:v>40578.0</c:v>
                </c:pt>
                <c:pt idx="35">
                  <c:v>40579.0</c:v>
                </c:pt>
                <c:pt idx="36">
                  <c:v>40580.0</c:v>
                </c:pt>
                <c:pt idx="37">
                  <c:v>40581.0</c:v>
                </c:pt>
                <c:pt idx="38">
                  <c:v>40582.0</c:v>
                </c:pt>
                <c:pt idx="39">
                  <c:v>40583.0</c:v>
                </c:pt>
                <c:pt idx="40">
                  <c:v>40584.0</c:v>
                </c:pt>
                <c:pt idx="41">
                  <c:v>40585.0</c:v>
                </c:pt>
                <c:pt idx="42">
                  <c:v>40586.0</c:v>
                </c:pt>
                <c:pt idx="43">
                  <c:v>40587.0</c:v>
                </c:pt>
                <c:pt idx="44">
                  <c:v>40588.0</c:v>
                </c:pt>
                <c:pt idx="45">
                  <c:v>40589.0</c:v>
                </c:pt>
                <c:pt idx="46">
                  <c:v>40590.0</c:v>
                </c:pt>
                <c:pt idx="47">
                  <c:v>40591.0</c:v>
                </c:pt>
                <c:pt idx="48">
                  <c:v>40592.0</c:v>
                </c:pt>
                <c:pt idx="49">
                  <c:v>40593.0</c:v>
                </c:pt>
                <c:pt idx="50">
                  <c:v>40594.0</c:v>
                </c:pt>
                <c:pt idx="51">
                  <c:v/>
                </c:pt>
              </c:strCache>
            </c:strRef>
          </c:cat>
          <c:val>
            <c:numRef>
              <c:f>Daily_Trend!$V$30:$V$81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2216.31281548839</c:v>
                </c:pt>
                <c:pt idx="45">
                  <c:v>2223.9539007597</c:v>
                </c:pt>
                <c:pt idx="46">
                  <c:v>2231.59498603102</c:v>
                </c:pt>
                <c:pt idx="47">
                  <c:v>2239.23607130234</c:v>
                </c:pt>
                <c:pt idx="48">
                  <c:v>2246.87715657366</c:v>
                </c:pt>
                <c:pt idx="49">
                  <c:v>1978.55157517831</c:v>
                </c:pt>
                <c:pt idx="50">
                  <c:v>1986.19266044962</c:v>
                </c:pt>
                <c:pt idx="51">
                  <c:v>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70002"/>
        <c:crosses val="autoZero"/>
        <c:lblAlgn val="ctr"/>
        <c:lblOffset val="100"/>
        <c:tickLblSkip val="3"/>
      </c:catAx>
      <c:valAx>
        <c:axId val="5007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Rentals per day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Daily rentals (selected filters)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Rentals per day</c:v>
          </c:tx>
          <c:spPr>
            <a:ln w="28575">
              <a:solidFill>
                <a:srgbClr val="1F3A5F"/>
              </a:solidFill>
            </a:ln>
          </c:spPr>
          <c:marker>
            <c:symbol val="circle"/>
            <c:size val="4"/>
            <c:spPr>
              <a:solidFill>
                <a:srgbClr val="1F3A5F"/>
              </a:solidFill>
              <a:ln>
                <a:solidFill>
                  <a:srgbClr val="1F3A5F"/>
                </a:solidFill>
              </a:ln>
            </c:spPr>
          </c:marker>
          <c:cat>
            <c:numRef>
              <c:f>Dash_Calc!$A$51:$A$95</c:f>
              <c:numCache>
                <c:formatCode>General</c:formatCode>
                <c:ptCount val="45"/>
                <c:pt idx="0">
                  <c:v>40544.0</c:v>
                </c:pt>
                <c:pt idx="1">
                  <c:v>40545.0</c:v>
                </c:pt>
                <c:pt idx="2">
                  <c:v>40546.0</c:v>
                </c:pt>
                <c:pt idx="3">
                  <c:v>40547.0</c:v>
                </c:pt>
                <c:pt idx="4">
                  <c:v>40548.0</c:v>
                </c:pt>
                <c:pt idx="5">
                  <c:v>40549.0</c:v>
                </c:pt>
                <c:pt idx="6">
                  <c:v>40550.0</c:v>
                </c:pt>
                <c:pt idx="7">
                  <c:v>40551.0</c:v>
                </c:pt>
                <c:pt idx="8">
                  <c:v>40552.0</c:v>
                </c:pt>
                <c:pt idx="9">
                  <c:v>40553.0</c:v>
                </c:pt>
                <c:pt idx="10">
                  <c:v>40554.0</c:v>
                </c:pt>
                <c:pt idx="11">
                  <c:v>40555.0</c:v>
                </c:pt>
                <c:pt idx="12">
                  <c:v>40556.0</c:v>
                </c:pt>
                <c:pt idx="13">
                  <c:v>40557.0</c:v>
                </c:pt>
                <c:pt idx="14">
                  <c:v>40558.0</c:v>
                </c:pt>
                <c:pt idx="15">
                  <c:v>40559.0</c:v>
                </c:pt>
                <c:pt idx="16">
                  <c:v>40560.0</c:v>
                </c:pt>
                <c:pt idx="17">
                  <c:v>40561.0</c:v>
                </c:pt>
                <c:pt idx="18">
                  <c:v>40562.0</c:v>
                </c:pt>
                <c:pt idx="19">
                  <c:v>40563.0</c:v>
                </c:pt>
                <c:pt idx="20">
                  <c:v>40564.0</c:v>
                </c:pt>
                <c:pt idx="21">
                  <c:v>40565.0</c:v>
                </c:pt>
                <c:pt idx="22">
                  <c:v>40566.0</c:v>
                </c:pt>
                <c:pt idx="23">
                  <c:v>40567.0</c:v>
                </c:pt>
                <c:pt idx="24">
                  <c:v>40568.0</c:v>
                </c:pt>
                <c:pt idx="25">
                  <c:v>40569.0</c:v>
                </c:pt>
                <c:pt idx="26">
                  <c:v>40570.0</c:v>
                </c:pt>
                <c:pt idx="27">
                  <c:v>40571.0</c:v>
                </c:pt>
                <c:pt idx="28">
                  <c:v>40572.0</c:v>
                </c:pt>
                <c:pt idx="29">
                  <c:v>40573.0</c:v>
                </c:pt>
                <c:pt idx="30">
                  <c:v>40574.0</c:v>
                </c:pt>
                <c:pt idx="31">
                  <c:v>40575.0</c:v>
                </c:pt>
                <c:pt idx="32">
                  <c:v>40576.0</c:v>
                </c:pt>
                <c:pt idx="33">
                  <c:v>40577.0</c:v>
                </c:pt>
                <c:pt idx="34">
                  <c:v>40578.0</c:v>
                </c:pt>
                <c:pt idx="35">
                  <c:v>40579.0</c:v>
                </c:pt>
                <c:pt idx="36">
                  <c:v>40580.0</c:v>
                </c:pt>
                <c:pt idx="37">
                  <c:v>40581.0</c:v>
                </c:pt>
                <c:pt idx="38">
                  <c:v>40582.0</c:v>
                </c:pt>
                <c:pt idx="39">
                  <c:v>40583.0</c:v>
                </c:pt>
                <c:pt idx="40">
                  <c:v>40584.0</c:v>
                </c:pt>
                <c:pt idx="41">
                  <c:v>40585.0</c:v>
                </c:pt>
                <c:pt idx="42">
                  <c:v>40586.0</c:v>
                </c:pt>
                <c:pt idx="43">
                  <c:v>40587.0</c:v>
                </c:pt>
                <c:pt idx="44">
                  <c:v>40588.0</c:v>
                </c:pt>
              </c:numCache>
            </c:numRef>
          </c:cat>
          <c:val>
            <c:numRef>
              <c:f>Dash_Calc!$B$51:$B$95</c:f>
              <c:numCache>
                <c:formatCode>General</c:formatCode>
                <c:ptCount val="45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151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dd-mmm" sourceLinked="0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80002"/>
        <c:crosses val="autoZero"/>
        <c:lblAlgn val="ctr"/>
        <c:lblOffset val="100"/>
        <c:tickLblSkip val="3"/>
      </c:catAx>
      <c:valAx>
        <c:axId val="5008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080001"/>
        <c:crosses val="autoZero"/>
        <c:crossBetween val="between"/>
      </c:valAx>
    </c:plotArea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Average rentals by hour of day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Casual</c:v>
          </c:tx>
          <c:spPr>
            <a:solidFill>
              <a:srgbClr val="E9A23B"/>
            </a:solidFill>
          </c:spPr>
          <c:cat>
            <c:strRef>
              <c:f>Dash_Calc!$B$24:$B$47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Dash_Calc!$D$24:$D$47</c:f>
              <c:numCache>
                <c:formatCode>General</c:formatCode>
                <c:ptCount val="24"/>
                <c:pt idx="0">
                  <c:v>1.72093023255814</c:v>
                </c:pt>
                <c:pt idx="1">
                  <c:v>1.11627906976744</c:v>
                </c:pt>
                <c:pt idx="2">
                  <c:v>0.804878048780488</c:v>
                </c:pt>
                <c:pt idx="3">
                  <c:v>1.09677419354839</c:v>
                </c:pt>
                <c:pt idx="4">
                  <c:v>0.21875</c:v>
                </c:pt>
                <c:pt idx="5">
                  <c:v>0.0769230769230769</c:v>
                </c:pt>
                <c:pt idx="6">
                  <c:v>0.5</c:v>
                </c:pt>
                <c:pt idx="7">
                  <c:v>1.48837209302326</c:v>
                </c:pt>
                <c:pt idx="8">
                  <c:v>3.02380952380952</c:v>
                </c:pt>
                <c:pt idx="9">
                  <c:v>4.0952380952381</c:v>
                </c:pt>
                <c:pt idx="10">
                  <c:v>5.14285714285714</c:v>
                </c:pt>
                <c:pt idx="11">
                  <c:v>8.73809523809524</c:v>
                </c:pt>
                <c:pt idx="12">
                  <c:v>11.2093023255814</c:v>
                </c:pt>
                <c:pt idx="13">
                  <c:v>11.9302325581395</c:v>
                </c:pt>
                <c:pt idx="14">
                  <c:v>10.8372093023256</c:v>
                </c:pt>
                <c:pt idx="15">
                  <c:v>12.4651162790698</c:v>
                </c:pt>
                <c:pt idx="16">
                  <c:v>11.2045454545455</c:v>
                </c:pt>
                <c:pt idx="17">
                  <c:v>8.97727272727273</c:v>
                </c:pt>
                <c:pt idx="18">
                  <c:v>5.16279069767442</c:v>
                </c:pt>
                <c:pt idx="19">
                  <c:v>4.34883720930233</c:v>
                </c:pt>
                <c:pt idx="20">
                  <c:v>3.25581395348837</c:v>
                </c:pt>
                <c:pt idx="21">
                  <c:v>2.72093023255814</c:v>
                </c:pt>
                <c:pt idx="22">
                  <c:v>2.3953488372093</c:v>
                </c:pt>
                <c:pt idx="23">
                  <c:v>2.34883720930233</c:v>
                </c:pt>
              </c:numCache>
            </c:numRef>
          </c:val>
        </c:ser>
        <c:ser>
          <c:idx val="1"/>
          <c:order val="1"/>
          <c:tx>
            <c:v>Registered</c:v>
          </c:tx>
          <c:spPr>
            <a:solidFill>
              <a:srgbClr val="1F3A5F"/>
            </a:solidFill>
          </c:spPr>
          <c:cat>
            <c:strRef>
              <c:f>Dash_Calc!$B$24:$B$47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Dash_Calc!$E$24:$E$47</c:f>
              <c:numCache>
                <c:formatCode>General</c:formatCode>
                <c:ptCount val="24"/>
                <c:pt idx="0">
                  <c:v>14.6279069767442</c:v>
                </c:pt>
                <c:pt idx="1">
                  <c:v>9.58139534883721</c:v>
                </c:pt>
                <c:pt idx="2">
                  <c:v>6.36585365853659</c:v>
                </c:pt>
                <c:pt idx="3">
                  <c:v>3.7741935483871</c:v>
                </c:pt>
                <c:pt idx="4">
                  <c:v>1.9375</c:v>
                </c:pt>
                <c:pt idx="5">
                  <c:v>4.12820512820513</c:v>
                </c:pt>
                <c:pt idx="6">
                  <c:v>19.0714285714286</c:v>
                </c:pt>
                <c:pt idx="7">
                  <c:v>52.906976744186</c:v>
                </c:pt>
                <c:pt idx="8">
                  <c:v>125.261904761905</c:v>
                </c:pt>
                <c:pt idx="9">
                  <c:v>83.3333333333333</c:v>
                </c:pt>
                <c:pt idx="10">
                  <c:v>48.5</c:v>
                </c:pt>
                <c:pt idx="11">
                  <c:v>50.6428571428571</c:v>
                </c:pt>
                <c:pt idx="12">
                  <c:v>65.1395348837209</c:v>
                </c:pt>
                <c:pt idx="13">
                  <c:v>66.5813953488372</c:v>
                </c:pt>
                <c:pt idx="14">
                  <c:v>63.5813953488372</c:v>
                </c:pt>
                <c:pt idx="15">
                  <c:v>65.4883720930233</c:v>
                </c:pt>
                <c:pt idx="16">
                  <c:v>78.0681818181818</c:v>
                </c:pt>
                <c:pt idx="17">
                  <c:v>131.227272727273</c:v>
                </c:pt>
                <c:pt idx="18">
                  <c:v>117.697674418605</c:v>
                </c:pt>
                <c:pt idx="19">
                  <c:v>80.7906976744186</c:v>
                </c:pt>
                <c:pt idx="20">
                  <c:v>58.5116279069767</c:v>
                </c:pt>
                <c:pt idx="21">
                  <c:v>43.6976744186047</c:v>
                </c:pt>
                <c:pt idx="22">
                  <c:v>32.6744186046512</c:v>
                </c:pt>
                <c:pt idx="23">
                  <c:v>22.8372093023256</c:v>
                </c:pt>
              </c:numCache>
            </c:numRef>
          </c:val>
        </c:ser>
        <c:gapWidth val="50"/>
        <c:overlap val="100"/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Demand funnel by weather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spacer</c:v>
          </c:tx>
          <c:spPr>
            <a:noFill/>
            <a:ln>
              <a:noFill/>
            </a:ln>
          </c:spPr>
          <c:cat>
            <c:strRef>
              <c:f>Dash_Calc!$E$99:$E$102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Rain/Snow</c:v>
                </c:pt>
                <c:pt idx="3">
                  <c:v>Heavy Rain/Snow (n=1)</c:v>
                </c:pt>
              </c:strCache>
            </c:strRef>
          </c:cat>
          <c:val>
            <c:numRef>
              <c:f>Dash_Calc!$D$99:$D$102</c:f>
              <c:numCache>
                <c:formatCode>General</c:formatCode>
                <c:ptCount val="4"/>
                <c:pt idx="0">
                  <c:v>0</c:v>
                </c:pt>
                <c:pt idx="1">
                  <c:v>1.53807395302637</c:v>
                </c:pt>
                <c:pt idx="2">
                  <c:v>14.2346181046676</c:v>
                </c:pt>
                <c:pt idx="3">
                  <c:v>12.8358085808581</c:v>
                </c:pt>
              </c:numCache>
            </c:numRef>
          </c:val>
        </c:ser>
        <c:ser>
          <c:idx val="1"/>
          <c:order val="1"/>
          <c:tx>
            <c:v>Avg rentals / hour</c:v>
          </c:tx>
          <c:spPr>
            <a:solidFill>
              <a:srgbClr val="2A9D8F"/>
            </a:solidFill>
          </c:spPr>
          <c:dLbls>
            <c:numFmt formatCode="0" sourceLinked="0"/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Dash_Calc!$E$99:$E$102</c:f>
              <c:strCache>
                <c:ptCount val="4"/>
                <c:pt idx="0">
                  <c:v>Clear</c:v>
                </c:pt>
                <c:pt idx="1">
                  <c:v>Mist/Cloudy</c:v>
                </c:pt>
                <c:pt idx="2">
                  <c:v>Light Rain/Snow</c:v>
                </c:pt>
                <c:pt idx="3">
                  <c:v>Heavy Rain/Snow (n=1)</c:v>
                </c:pt>
              </c:strCache>
            </c:strRef>
          </c:cat>
          <c:val>
            <c:numRef>
              <c:f>Dash_Calc!$B$99:$B$102</c:f>
              <c:numCache>
                <c:formatCode>General</c:formatCode>
                <c:ptCount val="4"/>
                <c:pt idx="0">
                  <c:v>61.6716171617162</c:v>
                </c:pt>
                <c:pt idx="1">
                  <c:v>58.5954692556634</c:v>
                </c:pt>
                <c:pt idx="2">
                  <c:v>33.202380952381</c:v>
                </c:pt>
                <c:pt idx="3">
                  <c:v>36</c:v>
                </c:pt>
              </c:numCache>
            </c:numRef>
          </c:val>
        </c:ser>
        <c:gapWidth val="25"/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delete val="1"/>
        <c:axPos val="t"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Average rentals by time block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Avg / hour</c:v>
          </c:tx>
          <c:spPr>
            <a:solidFill>
              <a:srgbClr val="1F3A5F"/>
            </a:solidFill>
          </c:spPr>
          <c:dLbls>
            <c:numFmt formatCode="0" sourceLinked="0"/>
            <c:showVal val="1"/>
          </c:dLbls>
          <c:cat>
            <c:strRef>
              <c:f>Dash_Calc!$A$107:$A$111</c:f>
              <c:strCache>
                <c:ptCount val="5"/>
                <c:pt idx="0">
                  <c:v>Night (00-05)</c:v>
                </c:pt>
                <c:pt idx="1">
                  <c:v>Morning Peak (06-09)</c:v>
                </c:pt>
                <c:pt idx="2">
                  <c:v>Midday (10-15)</c:v>
                </c:pt>
                <c:pt idx="3">
                  <c:v>Evening Peak (16-19)</c:v>
                </c:pt>
                <c:pt idx="4">
                  <c:v>Late Evening (20-23)</c:v>
                </c:pt>
              </c:strCache>
            </c:strRef>
          </c:cat>
          <c:val>
            <c:numRef>
              <c:f>Dash_Calc!$B$107:$B$111</c:f>
              <c:numCache>
                <c:formatCode>General</c:formatCode>
                <c:ptCount val="5"/>
                <c:pt idx="0">
                  <c:v>8.03930131004367</c:v>
                </c:pt>
                <c:pt idx="1">
                  <c:v>72.3136094674556</c:v>
                </c:pt>
                <c:pt idx="2">
                  <c:v>70.1484375</c:v>
                </c:pt>
                <c:pt idx="3">
                  <c:v>109.431034482759</c:v>
                </c:pt>
                <c:pt idx="4">
                  <c:v>42.1104651162791</c:v>
                </c:pt>
              </c:numCache>
            </c:numRef>
          </c:val>
        </c:ser>
        <c:gapWidth val="5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t"/>
        <c:majorGridlines>
          <c:spPr>
            <a:ln>
              <a:solidFill>
                <a:srgbClr val="E5E7EB"/>
              </a:solidFill>
            </a:ln>
          </c:spPr>
        </c:majorGridlines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F3A5F"/>
                </a:solidFill>
              </a:defRPr>
            </a:pPr>
            <a:r>
              <a:rPr lang="en-US" sz="1100" baseline="0">
                <a:solidFill>
                  <a:srgbClr val="1F3A5F"/>
                </a:solidFill>
              </a:rPr>
              <a:t>Casual vs registered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User type</c:v>
          </c:tx>
          <c:dPt>
            <c:idx val="0"/>
            <c:spPr>
              <a:solidFill>
                <a:srgbClr val="E9A23B"/>
              </a:solidFill>
            </c:spPr>
          </c:dPt>
          <c:dPt>
            <c:idx val="1"/>
            <c:spPr>
              <a:solidFill>
                <a:srgbClr val="1F3A5F"/>
              </a:solidFill>
            </c:spPr>
          </c:dPt>
          <c:dLbls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Percent val="1"/>
          </c:dLbls>
          <c:cat>
            <c:strRef>
              <c:f>Dash_Calc!$A$115:$A$116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Dash_Calc!$B$115:$B$116</c:f>
              <c:numCache>
                <c:formatCode>General</c:formatCode>
                <c:ptCount val="2"/>
                <c:pt idx="0">
                  <c:v>4921</c:v>
                </c:pt>
                <c:pt idx="1">
                  <c:v>53383</c:v>
                </c:pt>
              </c:numCache>
            </c:numRef>
          </c:val>
        </c:ser>
        <c:firstSliceAng val="0"/>
        <c:holeSize val="55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</xdr:row>
      <xdr:rowOff>0</xdr:rowOff>
    </xdr:from>
    <xdr:to>
      <xdr:col>19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34</xdr:row>
      <xdr:rowOff>0</xdr:rowOff>
    </xdr:from>
    <xdr:to>
      <xdr:col>18</xdr:col>
      <xdr:colOff>457200</xdr:colOff>
      <xdr:row>49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68</xdr:row>
      <xdr:rowOff>0</xdr:rowOff>
    </xdr:from>
    <xdr:to>
      <xdr:col>18</xdr:col>
      <xdr:colOff>457200</xdr:colOff>
      <xdr:row>83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18</xdr:col>
      <xdr:colOff>457200</xdr:colOff>
      <xdr:row>100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102</xdr:row>
      <xdr:rowOff>0</xdr:rowOff>
    </xdr:from>
    <xdr:to>
      <xdr:col>18</xdr:col>
      <xdr:colOff>457200</xdr:colOff>
      <xdr:row>117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136</xdr:row>
      <xdr:rowOff>0</xdr:rowOff>
    </xdr:from>
    <xdr:to>
      <xdr:col>16</xdr:col>
      <xdr:colOff>342900</xdr:colOff>
      <xdr:row>151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209550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361950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17</xdr:col>
      <xdr:colOff>361950</xdr:colOff>
      <xdr:row>24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6</xdr:col>
      <xdr:colOff>428625</xdr:colOff>
      <xdr:row>40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26</xdr:row>
      <xdr:rowOff>0</xdr:rowOff>
    </xdr:from>
    <xdr:to>
      <xdr:col>13</xdr:col>
      <xdr:colOff>57150</xdr:colOff>
      <xdr:row>40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0</xdr:colOff>
      <xdr:row>26</xdr:row>
      <xdr:rowOff>0</xdr:rowOff>
    </xdr:from>
    <xdr:to>
      <xdr:col>18</xdr:col>
      <xdr:colOff>514350</xdr:colOff>
      <xdr:row>40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Bike" displayName="tblBike" ref="A1:AR1001" totalsRowShown="0">
  <autoFilter ref="A1:AR1001"/>
  <tableColumns count="44">
    <tableColumn id="1" name="instant"/>
    <tableColumn id="2" name="dteday"/>
    <tableColumn id="3" name="season"/>
    <tableColumn id="4" name="yr"/>
    <tableColumn id="5" name="mnth"/>
    <tableColumn id="6" name="hr"/>
    <tableColumn id="7" name="holiday"/>
    <tableColumn id="8" name="weekday"/>
    <tableColumn id="9" name="weathersit"/>
    <tableColumn id="10" name="temp"/>
    <tableColumn id="11" name="atemp_raw"/>
    <tableColumn id="12" name="hum"/>
    <tableColumn id="13" name="windspeed"/>
    <tableColumn id="14" name="casual"/>
    <tableColumn id="15" name="registered"/>
    <tableColumn id="16" name="cnt"/>
    <tableColumn id="17" name="source"/>
    <tableColumn id="18" name="atemp"/>
    <tableColumn id="19" name="atemp_status"/>
    <tableColumn id="20" name="cnt_check"/>
    <tableColumn id="21" name="dup_check"/>
    <tableColumn id="22" name="include"/>
    <tableColumn id="23" name="day_type"/>
    <tableColumn id="24" name="day_name"/>
    <tableColumn id="25" name="month_name"/>
    <tableColumn id="26" name="season_name"/>
    <tableColumn id="27" name="weather_name"/>
    <tableColumn id="28" name="hour_label"/>
    <tableColumn id="29" name="time_block"/>
    <tableColumn id="30" name="temp_c"/>
    <tableColumn id="31" name="feels_like_c"/>
    <tableColumn id="32" name="humidity_pct"/>
    <tableColumn id="33" name="windspeed_kmh"/>
    <tableColumn id="34" name="registered_share"/>
    <tableColumn id="35" name="demand_level"/>
    <tableColumn id="36" name="temp_band"/>
    <tableColumn id="37" name="cnt_sq"/>
    <tableColumn id="38" name="expected_cnt"/>
    <tableColumn id="39" name="z_score"/>
    <tableColumn id="40" name="anomaly_flag"/>
    <tableColumn id="41" name="rank_key"/>
    <tableColumn id="42" name="m_D1"/>
    <tableColumn id="43" name="m_D2"/>
    <tableColumn id="44" name="m_D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A5F"/>
  </sheetPr>
  <dimension ref="B1:D29"/>
  <sheetViews>
    <sheetView showGridLines="0" tabSelected="1" workbookViewId="0"/>
  </sheetViews>
  <sheetFormatPr defaultRowHeight="15"/>
  <cols>
    <col min="1" max="1" width="4.7109375" customWidth="1"/>
    <col min="2" max="2" width="30.7109375" customWidth="1"/>
    <col min="3" max="3" width="62.7109375" customWidth="1"/>
    <col min="4" max="4" width="40.7109375" customWidth="1"/>
  </cols>
  <sheetData>
    <row r="1" spans="2:4" ht="22" customHeight="1">
      <c r="B1" s="1" t="s">
        <v>459</v>
      </c>
      <c r="C1" s="1"/>
      <c r="D1" s="1"/>
    </row>
    <row r="2" spans="2:4" ht="22" customHeight="1">
      <c r="B2" s="1"/>
      <c r="C2" s="1"/>
      <c r="D2" s="1"/>
    </row>
    <row r="3" spans="2:4">
      <c r="B3" s="2" t="s">
        <v>460</v>
      </c>
    </row>
    <row r="5" spans="2:4">
      <c r="B5" s="3" t="s">
        <v>461</v>
      </c>
      <c r="C5" s="4" t="s">
        <v>462</v>
      </c>
      <c r="D5" s="4"/>
    </row>
    <row r="6" spans="2:4">
      <c r="B6" s="3" t="s">
        <v>463</v>
      </c>
      <c r="C6" s="4" t="s">
        <v>464</v>
      </c>
      <c r="D6" s="4"/>
    </row>
    <row r="7" spans="2:4">
      <c r="B7" s="3" t="s">
        <v>465</v>
      </c>
      <c r="C7" s="5" t="s">
        <v>466</v>
      </c>
      <c r="D7" s="5"/>
    </row>
    <row r="9" spans="2:4">
      <c r="B9" s="6" t="s">
        <v>467</v>
      </c>
      <c r="C9" s="6" t="s">
        <v>468</v>
      </c>
      <c r="D9" s="6" t="s">
        <v>469</v>
      </c>
    </row>
    <row r="10" spans="2:4">
      <c r="B10" s="7" t="s">
        <v>470</v>
      </c>
      <c r="C10" s="8" t="s">
        <v>471</v>
      </c>
      <c r="D10" s="9" t="s">
        <v>472</v>
      </c>
    </row>
    <row r="11" spans="2:4">
      <c r="B11" s="7" t="s">
        <v>473</v>
      </c>
      <c r="C11" s="8" t="s">
        <v>474</v>
      </c>
      <c r="D11" s="9" t="s">
        <v>475</v>
      </c>
    </row>
    <row r="12" spans="2:4">
      <c r="B12" s="7" t="s">
        <v>476</v>
      </c>
      <c r="C12" s="8" t="s">
        <v>477</v>
      </c>
      <c r="D12" s="9" t="s">
        <v>478</v>
      </c>
    </row>
    <row r="13" spans="2:4">
      <c r="B13" s="7" t="s">
        <v>479</v>
      </c>
      <c r="C13" s="8" t="s">
        <v>480</v>
      </c>
      <c r="D13" s="9" t="s">
        <v>481</v>
      </c>
    </row>
    <row r="14" spans="2:4">
      <c r="B14" s="7" t="s">
        <v>482</v>
      </c>
      <c r="C14" s="8" t="s">
        <v>483</v>
      </c>
      <c r="D14" s="9" t="s">
        <v>484</v>
      </c>
    </row>
    <row r="15" spans="2:4">
      <c r="B15" s="7" t="s">
        <v>485</v>
      </c>
      <c r="C15" s="8" t="s">
        <v>486</v>
      </c>
      <c r="D15" s="9" t="s">
        <v>475</v>
      </c>
    </row>
    <row r="16" spans="2:4">
      <c r="B16" s="7" t="s">
        <v>487</v>
      </c>
      <c r="C16" s="8" t="s">
        <v>488</v>
      </c>
      <c r="D16" s="9" t="s">
        <v>489</v>
      </c>
    </row>
    <row r="17" spans="2:4">
      <c r="B17" s="7" t="s">
        <v>490</v>
      </c>
      <c r="C17" s="8" t="s">
        <v>491</v>
      </c>
      <c r="D17" s="9" t="s">
        <v>489</v>
      </c>
    </row>
    <row r="18" spans="2:4">
      <c r="B18" s="7" t="s">
        <v>492</v>
      </c>
      <c r="C18" s="8" t="s">
        <v>493</v>
      </c>
      <c r="D18" s="9" t="s">
        <v>494</v>
      </c>
    </row>
    <row r="19" spans="2:4">
      <c r="B19" s="7" t="s">
        <v>495</v>
      </c>
      <c r="C19" s="8" t="s">
        <v>496</v>
      </c>
      <c r="D19" s="9" t="s">
        <v>494</v>
      </c>
    </row>
    <row r="20" spans="2:4">
      <c r="B20" s="7" t="s">
        <v>497</v>
      </c>
      <c r="C20" s="8" t="s">
        <v>498</v>
      </c>
      <c r="D20" s="9" t="s">
        <v>494</v>
      </c>
    </row>
    <row r="21" spans="2:4">
      <c r="B21" s="7" t="s">
        <v>499</v>
      </c>
      <c r="C21" s="8" t="s">
        <v>500</v>
      </c>
      <c r="D21" s="9" t="s">
        <v>494</v>
      </c>
    </row>
    <row r="22" spans="2:4">
      <c r="B22" s="7" t="s">
        <v>501</v>
      </c>
      <c r="C22" s="8" t="s">
        <v>502</v>
      </c>
      <c r="D22" s="9" t="s">
        <v>503</v>
      </c>
    </row>
    <row r="24" spans="2:4">
      <c r="B24" s="3" t="s">
        <v>504</v>
      </c>
    </row>
    <row r="25" spans="2:4" ht="32" customHeight="1">
      <c r="B25" s="10" t="s">
        <v>505</v>
      </c>
      <c r="C25" s="10"/>
      <c r="D25" s="10"/>
    </row>
    <row r="26" spans="2:4" ht="32" customHeight="1">
      <c r="B26" s="10" t="s">
        <v>506</v>
      </c>
      <c r="C26" s="10"/>
      <c r="D26" s="10"/>
    </row>
    <row r="27" spans="2:4" ht="32" customHeight="1">
      <c r="B27" s="10" t="s">
        <v>507</v>
      </c>
      <c r="C27" s="10"/>
      <c r="D27" s="10"/>
    </row>
    <row r="28" spans="2:4" ht="32" customHeight="1">
      <c r="B28" s="10" t="s">
        <v>508</v>
      </c>
      <c r="C28" s="10"/>
      <c r="D28" s="10"/>
    </row>
    <row r="29" spans="2:4" ht="32" customHeight="1">
      <c r="B29" s="10" t="s">
        <v>509</v>
      </c>
      <c r="C29" s="10"/>
      <c r="D29" s="10"/>
    </row>
  </sheetData>
  <mergeCells count="9">
    <mergeCell ref="B1:D2"/>
    <mergeCell ref="C5:D5"/>
    <mergeCell ref="C6:D6"/>
    <mergeCell ref="C7:D7"/>
    <mergeCell ref="B25:D25"/>
    <mergeCell ref="B26:D26"/>
    <mergeCell ref="B27:D27"/>
    <mergeCell ref="B28:D28"/>
    <mergeCell ref="B29:D29"/>
  </mergeCells>
  <hyperlinks>
    <hyperlink ref="B10" location="'Raw_D1'!A1" display="Raw_D1 / Raw_D2 / Raw_D3"/>
    <hyperlink ref="B11" location="'Lookups'!A1" display="Lookups"/>
    <hyperlink ref="B12" location="'Clean_Data'!A1" display="Clean_Data"/>
    <hyperlink ref="B13" location="'DQ_Log'!A1" display="DQ_Log"/>
    <hyperlink ref="B14" location="'T1_Foundations'!A1" display="T1_Foundations"/>
    <hyperlink ref="B15" location="'T3_Logic_Lookup'!A1" display="T3_Logic_Lookup"/>
    <hyperlink ref="B16" location="'T4_Pivots'!A1" display="T4_Pivots"/>
    <hyperlink ref="B17" location="'T4_Stats'!A1" display="T4_Stats"/>
    <hyperlink ref="B18" location="'Daily_Trend'!A1" display="Daily_Trend"/>
    <hyperlink ref="B19" location="'Anomaly_Report'!A1" display="Anomaly_Report"/>
    <hyperlink ref="B20" location="'Dash_Calc'!A1" display="Dash_Calc"/>
    <hyperlink ref="B21" location="'Dashboard'!A1" display="Dashboard"/>
    <hyperlink ref="B22" location="'Insights'!A1" display="Insight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B7280"/>
  </sheetPr>
  <dimension ref="A1:J6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0" width="12.7109375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>
      <c r="A2" s="5">
        <v>1</v>
      </c>
      <c r="B2" s="11">
        <v>40544</v>
      </c>
      <c r="C2" s="5">
        <v>1</v>
      </c>
      <c r="D2" s="5">
        <v>0</v>
      </c>
      <c r="E2" s="5">
        <v>1</v>
      </c>
      <c r="F2" s="5">
        <v>0</v>
      </c>
      <c r="G2" s="5" t="b">
        <v>0</v>
      </c>
      <c r="H2" s="5">
        <v>6</v>
      </c>
      <c r="I2" s="5">
        <v>1</v>
      </c>
      <c r="J2" s="5">
        <v>0.24</v>
      </c>
    </row>
    <row r="3" spans="1:10">
      <c r="A3" s="5">
        <v>2</v>
      </c>
      <c r="B3" s="11">
        <v>40544</v>
      </c>
      <c r="C3" s="5">
        <v>1</v>
      </c>
      <c r="D3" s="5">
        <v>0</v>
      </c>
      <c r="E3" s="5">
        <v>1</v>
      </c>
      <c r="F3" s="5">
        <v>1</v>
      </c>
      <c r="G3" s="5" t="b">
        <v>0</v>
      </c>
      <c r="H3" s="5">
        <v>6</v>
      </c>
      <c r="I3" s="5">
        <v>1</v>
      </c>
      <c r="J3" s="5">
        <v>0.22</v>
      </c>
    </row>
    <row r="4" spans="1:10">
      <c r="A4" s="5">
        <v>3</v>
      </c>
      <c r="B4" s="11">
        <v>40544</v>
      </c>
      <c r="C4" s="5">
        <v>1</v>
      </c>
      <c r="D4" s="5">
        <v>0</v>
      </c>
      <c r="E4" s="5">
        <v>1</v>
      </c>
      <c r="F4" s="5">
        <v>2</v>
      </c>
      <c r="G4" s="5" t="b">
        <v>0</v>
      </c>
      <c r="H4" s="5">
        <v>6</v>
      </c>
      <c r="I4" s="5">
        <v>1</v>
      </c>
      <c r="J4" s="5">
        <v>0.22</v>
      </c>
    </row>
    <row r="5" spans="1:10">
      <c r="A5" s="5">
        <v>4</v>
      </c>
      <c r="B5" s="11">
        <v>40544</v>
      </c>
      <c r="C5" s="5">
        <v>1</v>
      </c>
      <c r="D5" s="5">
        <v>0</v>
      </c>
      <c r="E5" s="5">
        <v>1</v>
      </c>
      <c r="F5" s="5">
        <v>3</v>
      </c>
      <c r="G5" s="5" t="b">
        <v>0</v>
      </c>
      <c r="H5" s="5">
        <v>6</v>
      </c>
      <c r="I5" s="5">
        <v>1</v>
      </c>
      <c r="J5" s="5">
        <v>0.24</v>
      </c>
    </row>
    <row r="6" spans="1:10">
      <c r="A6" s="5">
        <v>5</v>
      </c>
      <c r="B6" s="11">
        <v>40544</v>
      </c>
      <c r="C6" s="5">
        <v>1</v>
      </c>
      <c r="D6" s="5">
        <v>0</v>
      </c>
      <c r="E6" s="5">
        <v>1</v>
      </c>
      <c r="F6" s="5">
        <v>4</v>
      </c>
      <c r="G6" s="5" t="b">
        <v>0</v>
      </c>
      <c r="H6" s="5">
        <v>6</v>
      </c>
      <c r="I6" s="5">
        <v>1</v>
      </c>
      <c r="J6" s="5">
        <v>0.24</v>
      </c>
    </row>
    <row r="7" spans="1:10">
      <c r="A7" s="5">
        <v>6</v>
      </c>
      <c r="B7" s="11">
        <v>40544</v>
      </c>
      <c r="C7" s="5">
        <v>1</v>
      </c>
      <c r="D7" s="5">
        <v>0</v>
      </c>
      <c r="E7" s="5">
        <v>1</v>
      </c>
      <c r="F7" s="5">
        <v>5</v>
      </c>
      <c r="G7" s="5" t="b">
        <v>0</v>
      </c>
      <c r="H7" s="5">
        <v>6</v>
      </c>
      <c r="I7" s="5">
        <v>2</v>
      </c>
      <c r="J7" s="5">
        <v>0.24</v>
      </c>
    </row>
    <row r="8" spans="1:10">
      <c r="A8" s="5">
        <v>7</v>
      </c>
      <c r="B8" s="11">
        <v>40544</v>
      </c>
      <c r="C8" s="5">
        <v>1</v>
      </c>
      <c r="D8" s="5">
        <v>0</v>
      </c>
      <c r="E8" s="5">
        <v>1</v>
      </c>
      <c r="F8" s="5">
        <v>6</v>
      </c>
      <c r="G8" s="5" t="b">
        <v>0</v>
      </c>
      <c r="H8" s="5">
        <v>6</v>
      </c>
      <c r="I8" s="5">
        <v>1</v>
      </c>
      <c r="J8" s="5">
        <v>0.22</v>
      </c>
    </row>
    <row r="9" spans="1:10">
      <c r="A9" s="5">
        <v>8</v>
      </c>
      <c r="B9" s="11">
        <v>40544</v>
      </c>
      <c r="C9" s="5">
        <v>1</v>
      </c>
      <c r="D9" s="5">
        <v>0</v>
      </c>
      <c r="E9" s="5">
        <v>1</v>
      </c>
      <c r="F9" s="5">
        <v>7</v>
      </c>
      <c r="G9" s="5" t="b">
        <v>0</v>
      </c>
      <c r="H9" s="5">
        <v>6</v>
      </c>
      <c r="I9" s="5">
        <v>1</v>
      </c>
      <c r="J9" s="5">
        <v>0.2</v>
      </c>
    </row>
    <row r="10" spans="1:10">
      <c r="A10" s="5">
        <v>9</v>
      </c>
      <c r="B10" s="11">
        <v>40544</v>
      </c>
      <c r="C10" s="5">
        <v>1</v>
      </c>
      <c r="D10" s="5">
        <v>0</v>
      </c>
      <c r="E10" s="5">
        <v>1</v>
      </c>
      <c r="F10" s="5">
        <v>8</v>
      </c>
      <c r="G10" s="5" t="b">
        <v>0</v>
      </c>
      <c r="H10" s="5">
        <v>6</v>
      </c>
      <c r="I10" s="5">
        <v>1</v>
      </c>
      <c r="J10" s="5">
        <v>0.24</v>
      </c>
    </row>
    <row r="11" spans="1:10">
      <c r="A11" s="5">
        <v>10</v>
      </c>
      <c r="B11" s="11">
        <v>40544</v>
      </c>
      <c r="C11" s="5">
        <v>1</v>
      </c>
      <c r="D11" s="5">
        <v>0</v>
      </c>
      <c r="E11" s="5">
        <v>1</v>
      </c>
      <c r="F11" s="5">
        <v>9</v>
      </c>
      <c r="G11" s="5" t="b">
        <v>0</v>
      </c>
      <c r="H11" s="5">
        <v>6</v>
      </c>
      <c r="I11" s="5">
        <v>1</v>
      </c>
      <c r="J11" s="5">
        <v>0.32</v>
      </c>
    </row>
    <row r="12" spans="1:10">
      <c r="A12" s="5">
        <v>11</v>
      </c>
      <c r="B12" s="11">
        <v>40544</v>
      </c>
      <c r="C12" s="5">
        <v>1</v>
      </c>
      <c r="D12" s="5">
        <v>0</v>
      </c>
      <c r="E12" s="5">
        <v>1</v>
      </c>
      <c r="F12" s="5">
        <v>10</v>
      </c>
      <c r="G12" s="5" t="b">
        <v>0</v>
      </c>
      <c r="H12" s="5">
        <v>6</v>
      </c>
      <c r="I12" s="5">
        <v>1</v>
      </c>
      <c r="J12" s="5">
        <v>0.38</v>
      </c>
    </row>
    <row r="13" spans="1:10">
      <c r="A13" s="5">
        <v>12</v>
      </c>
      <c r="B13" s="11">
        <v>40544</v>
      </c>
      <c r="C13" s="5">
        <v>1</v>
      </c>
      <c r="D13" s="5">
        <v>0</v>
      </c>
      <c r="E13" s="5">
        <v>1</v>
      </c>
      <c r="F13" s="5">
        <v>11</v>
      </c>
      <c r="G13" s="5" t="b">
        <v>0</v>
      </c>
      <c r="H13" s="5">
        <v>6</v>
      </c>
      <c r="I13" s="5">
        <v>1</v>
      </c>
      <c r="J13" s="5">
        <v>0.36</v>
      </c>
    </row>
    <row r="14" spans="1:10">
      <c r="A14" s="5">
        <v>13</v>
      </c>
      <c r="B14" s="11">
        <v>40544</v>
      </c>
      <c r="C14" s="5">
        <v>1</v>
      </c>
      <c r="D14" s="5">
        <v>0</v>
      </c>
      <c r="E14" s="5">
        <v>1</v>
      </c>
      <c r="F14" s="5">
        <v>12</v>
      </c>
      <c r="G14" s="5" t="b">
        <v>0</v>
      </c>
      <c r="H14" s="5">
        <v>6</v>
      </c>
      <c r="I14" s="5">
        <v>1</v>
      </c>
      <c r="J14" s="5">
        <v>0.42</v>
      </c>
    </row>
    <row r="15" spans="1:10">
      <c r="A15" s="5">
        <v>14</v>
      </c>
      <c r="B15" s="11">
        <v>40544</v>
      </c>
      <c r="C15" s="5">
        <v>1</v>
      </c>
      <c r="D15" s="5">
        <v>0</v>
      </c>
      <c r="E15" s="5">
        <v>1</v>
      </c>
      <c r="F15" s="5">
        <v>13</v>
      </c>
      <c r="G15" s="5" t="b">
        <v>0</v>
      </c>
      <c r="H15" s="5">
        <v>6</v>
      </c>
      <c r="I15" s="5">
        <v>2</v>
      </c>
      <c r="J15" s="5">
        <v>0.46</v>
      </c>
    </row>
    <row r="16" spans="1:10">
      <c r="A16" s="5">
        <v>15</v>
      </c>
      <c r="B16" s="11">
        <v>40544</v>
      </c>
      <c r="C16" s="5">
        <v>1</v>
      </c>
      <c r="D16" s="5">
        <v>0</v>
      </c>
      <c r="E16" s="5">
        <v>1</v>
      </c>
      <c r="F16" s="5">
        <v>14</v>
      </c>
      <c r="G16" s="5" t="b">
        <v>0</v>
      </c>
      <c r="H16" s="5">
        <v>6</v>
      </c>
      <c r="I16" s="5">
        <v>2</v>
      </c>
      <c r="J16" s="5">
        <v>0.46</v>
      </c>
    </row>
    <row r="17" spans="1:10">
      <c r="A17" s="5">
        <v>16</v>
      </c>
      <c r="B17" s="11">
        <v>40544</v>
      </c>
      <c r="C17" s="5">
        <v>1</v>
      </c>
      <c r="D17" s="5">
        <v>0</v>
      </c>
      <c r="E17" s="5">
        <v>1</v>
      </c>
      <c r="F17" s="5">
        <v>15</v>
      </c>
      <c r="G17" s="5" t="b">
        <v>0</v>
      </c>
      <c r="H17" s="5">
        <v>6</v>
      </c>
      <c r="I17" s="5">
        <v>2</v>
      </c>
      <c r="J17" s="5">
        <v>0.44</v>
      </c>
    </row>
    <row r="18" spans="1:10">
      <c r="A18" s="5">
        <v>17</v>
      </c>
      <c r="B18" s="11">
        <v>40544</v>
      </c>
      <c r="C18" s="5">
        <v>1</v>
      </c>
      <c r="D18" s="5">
        <v>0</v>
      </c>
      <c r="E18" s="5">
        <v>1</v>
      </c>
      <c r="F18" s="5">
        <v>16</v>
      </c>
      <c r="G18" s="5" t="b">
        <v>0</v>
      </c>
      <c r="H18" s="5">
        <v>6</v>
      </c>
      <c r="I18" s="5">
        <v>2</v>
      </c>
      <c r="J18" s="5">
        <v>0.42</v>
      </c>
    </row>
    <row r="19" spans="1:10">
      <c r="A19" s="5">
        <v>18</v>
      </c>
      <c r="B19" s="11">
        <v>40544</v>
      </c>
      <c r="C19" s="5">
        <v>1</v>
      </c>
      <c r="D19" s="5">
        <v>0</v>
      </c>
      <c r="E19" s="5">
        <v>1</v>
      </c>
      <c r="F19" s="5">
        <v>17</v>
      </c>
      <c r="G19" s="5" t="b">
        <v>0</v>
      </c>
      <c r="H19" s="5">
        <v>6</v>
      </c>
      <c r="I19" s="5">
        <v>2</v>
      </c>
      <c r="J19" s="5">
        <v>0.44</v>
      </c>
    </row>
    <row r="20" spans="1:10">
      <c r="A20" s="5">
        <v>19</v>
      </c>
      <c r="B20" s="11">
        <v>40544</v>
      </c>
      <c r="C20" s="5">
        <v>1</v>
      </c>
      <c r="D20" s="5">
        <v>0</v>
      </c>
      <c r="E20" s="5">
        <v>1</v>
      </c>
      <c r="F20" s="5">
        <v>18</v>
      </c>
      <c r="G20" s="5" t="b">
        <v>0</v>
      </c>
      <c r="H20" s="5">
        <v>6</v>
      </c>
      <c r="I20" s="5">
        <v>3</v>
      </c>
      <c r="J20" s="5">
        <v>0.42</v>
      </c>
    </row>
    <row r="21" spans="1:10">
      <c r="A21" s="5">
        <v>20</v>
      </c>
      <c r="B21" s="11">
        <v>40544</v>
      </c>
      <c r="C21" s="5">
        <v>1</v>
      </c>
      <c r="D21" s="5">
        <v>0</v>
      </c>
      <c r="E21" s="5">
        <v>1</v>
      </c>
      <c r="F21" s="5">
        <v>19</v>
      </c>
      <c r="G21" s="5" t="b">
        <v>0</v>
      </c>
      <c r="H21" s="5">
        <v>6</v>
      </c>
      <c r="I21" s="5">
        <v>3</v>
      </c>
      <c r="J21" s="5">
        <v>0.42</v>
      </c>
    </row>
    <row r="22" spans="1:10">
      <c r="A22" s="5">
        <v>21</v>
      </c>
      <c r="B22" s="11">
        <v>40544</v>
      </c>
      <c r="C22" s="5">
        <v>1</v>
      </c>
      <c r="D22" s="5">
        <v>0</v>
      </c>
      <c r="E22" s="5">
        <v>1</v>
      </c>
      <c r="F22" s="5">
        <v>20</v>
      </c>
      <c r="G22" s="5" t="b">
        <v>0</v>
      </c>
      <c r="H22" s="5">
        <v>6</v>
      </c>
      <c r="I22" s="5">
        <v>2</v>
      </c>
      <c r="J22" s="5">
        <v>0.4</v>
      </c>
    </row>
    <row r="23" spans="1:10">
      <c r="A23" s="5">
        <v>22</v>
      </c>
      <c r="B23" s="11">
        <v>40544</v>
      </c>
      <c r="C23" s="5">
        <v>1</v>
      </c>
      <c r="D23" s="5">
        <v>0</v>
      </c>
      <c r="E23" s="5">
        <v>1</v>
      </c>
      <c r="F23" s="5">
        <v>21</v>
      </c>
      <c r="G23" s="5" t="b">
        <v>0</v>
      </c>
      <c r="H23" s="5">
        <v>6</v>
      </c>
      <c r="I23" s="5">
        <v>2</v>
      </c>
      <c r="J23" s="5">
        <v>0.4</v>
      </c>
    </row>
    <row r="24" spans="1:10">
      <c r="A24" s="5">
        <v>23</v>
      </c>
      <c r="B24" s="11">
        <v>40544</v>
      </c>
      <c r="C24" s="5">
        <v>1</v>
      </c>
      <c r="D24" s="5">
        <v>0</v>
      </c>
      <c r="E24" s="5">
        <v>1</v>
      </c>
      <c r="F24" s="5">
        <v>22</v>
      </c>
      <c r="G24" s="5" t="b">
        <v>0</v>
      </c>
      <c r="H24" s="5">
        <v>6</v>
      </c>
      <c r="I24" s="5">
        <v>2</v>
      </c>
      <c r="J24" s="5">
        <v>0.4</v>
      </c>
    </row>
    <row r="25" spans="1:10">
      <c r="A25" s="5">
        <v>24</v>
      </c>
      <c r="B25" s="11">
        <v>40544</v>
      </c>
      <c r="C25" s="5">
        <v>1</v>
      </c>
      <c r="D25" s="5">
        <v>0</v>
      </c>
      <c r="E25" s="5">
        <v>1</v>
      </c>
      <c r="F25" s="5">
        <v>23</v>
      </c>
      <c r="G25" s="5" t="b">
        <v>0</v>
      </c>
      <c r="H25" s="5">
        <v>6</v>
      </c>
      <c r="I25" s="5">
        <v>2</v>
      </c>
      <c r="J25" s="5">
        <v>0.46</v>
      </c>
    </row>
    <row r="26" spans="1:10">
      <c r="A26" s="5">
        <v>25</v>
      </c>
      <c r="B26" s="11">
        <v>40545</v>
      </c>
      <c r="C26" s="5">
        <v>1</v>
      </c>
      <c r="D26" s="5">
        <v>0</v>
      </c>
      <c r="E26" s="5">
        <v>1</v>
      </c>
      <c r="F26" s="5">
        <v>0</v>
      </c>
      <c r="G26" s="5" t="b">
        <v>0</v>
      </c>
      <c r="H26" s="5">
        <v>0</v>
      </c>
      <c r="I26" s="5">
        <v>2</v>
      </c>
      <c r="J26" s="5">
        <v>0.46</v>
      </c>
    </row>
    <row r="27" spans="1:10">
      <c r="A27" s="5">
        <v>26</v>
      </c>
      <c r="B27" s="11">
        <v>40545</v>
      </c>
      <c r="C27" s="5">
        <v>1</v>
      </c>
      <c r="D27" s="5">
        <v>0</v>
      </c>
      <c r="E27" s="5">
        <v>1</v>
      </c>
      <c r="F27" s="5">
        <v>1</v>
      </c>
      <c r="G27" s="5" t="b">
        <v>0</v>
      </c>
      <c r="H27" s="5">
        <v>0</v>
      </c>
      <c r="I27" s="5">
        <v>2</v>
      </c>
      <c r="J27" s="5">
        <v>0.44</v>
      </c>
    </row>
    <row r="28" spans="1:10">
      <c r="A28" s="5">
        <v>27</v>
      </c>
      <c r="B28" s="11">
        <v>40545</v>
      </c>
      <c r="C28" s="5">
        <v>1</v>
      </c>
      <c r="D28" s="5">
        <v>0</v>
      </c>
      <c r="E28" s="5">
        <v>1</v>
      </c>
      <c r="F28" s="5">
        <v>2</v>
      </c>
      <c r="G28" s="5" t="b">
        <v>0</v>
      </c>
      <c r="H28" s="5">
        <v>0</v>
      </c>
      <c r="I28" s="5">
        <v>2</v>
      </c>
      <c r="J28" s="5">
        <v>0.42</v>
      </c>
    </row>
    <row r="29" spans="1:10">
      <c r="A29" s="5">
        <v>28</v>
      </c>
      <c r="B29" s="11">
        <v>40545</v>
      </c>
      <c r="C29" s="5">
        <v>1</v>
      </c>
      <c r="D29" s="5">
        <v>0</v>
      </c>
      <c r="E29" s="5">
        <v>1</v>
      </c>
      <c r="F29" s="5">
        <v>3</v>
      </c>
      <c r="G29" s="5" t="b">
        <v>0</v>
      </c>
      <c r="H29" s="5">
        <v>0</v>
      </c>
      <c r="I29" s="5">
        <v>2</v>
      </c>
      <c r="J29" s="5">
        <v>0.46</v>
      </c>
    </row>
    <row r="30" spans="1:10">
      <c r="A30" s="5">
        <v>29</v>
      </c>
      <c r="B30" s="11">
        <v>40545</v>
      </c>
      <c r="C30" s="5">
        <v>1</v>
      </c>
      <c r="D30" s="5">
        <v>0</v>
      </c>
      <c r="E30" s="5">
        <v>1</v>
      </c>
      <c r="F30" s="5">
        <v>4</v>
      </c>
      <c r="G30" s="5" t="b">
        <v>0</v>
      </c>
      <c r="H30" s="5">
        <v>0</v>
      </c>
      <c r="I30" s="5">
        <v>2</v>
      </c>
      <c r="J30" s="5">
        <v>0.46</v>
      </c>
    </row>
    <row r="31" spans="1:10">
      <c r="A31" s="5">
        <v>30</v>
      </c>
      <c r="B31" s="11">
        <v>40545</v>
      </c>
      <c r="C31" s="5">
        <v>1</v>
      </c>
      <c r="D31" s="5">
        <v>0</v>
      </c>
      <c r="E31" s="5">
        <v>1</v>
      </c>
      <c r="F31" s="5">
        <v>6</v>
      </c>
      <c r="G31" s="5" t="b">
        <v>0</v>
      </c>
      <c r="H31" s="5">
        <v>0</v>
      </c>
      <c r="I31" s="5">
        <v>3</v>
      </c>
      <c r="J31" s="5">
        <v>0.42</v>
      </c>
    </row>
    <row r="32" spans="1:10">
      <c r="A32" s="5">
        <v>31</v>
      </c>
      <c r="B32" s="11">
        <v>40545</v>
      </c>
      <c r="C32" s="5">
        <v>1</v>
      </c>
      <c r="D32" s="5">
        <v>0</v>
      </c>
      <c r="E32" s="5">
        <v>1</v>
      </c>
      <c r="F32" s="5">
        <v>7</v>
      </c>
      <c r="G32" s="5" t="b">
        <v>0</v>
      </c>
      <c r="H32" s="5">
        <v>0</v>
      </c>
      <c r="I32" s="5">
        <v>2</v>
      </c>
      <c r="J32" s="5">
        <v>0.4</v>
      </c>
    </row>
    <row r="33" spans="1:10">
      <c r="A33" s="5">
        <v>32</v>
      </c>
      <c r="B33" s="11">
        <v>40545</v>
      </c>
      <c r="C33" s="5">
        <v>1</v>
      </c>
      <c r="D33" s="5">
        <v>0</v>
      </c>
      <c r="E33" s="5">
        <v>1</v>
      </c>
      <c r="F33" s="5">
        <v>8</v>
      </c>
      <c r="G33" s="5" t="b">
        <v>0</v>
      </c>
      <c r="H33" s="5">
        <v>0</v>
      </c>
      <c r="I33" s="5">
        <v>3</v>
      </c>
      <c r="J33" s="5">
        <v>0.4</v>
      </c>
    </row>
    <row r="34" spans="1:10">
      <c r="A34" s="5">
        <v>33</v>
      </c>
      <c r="B34" s="11">
        <v>40545</v>
      </c>
      <c r="C34" s="5">
        <v>1</v>
      </c>
      <c r="D34" s="5">
        <v>0</v>
      </c>
      <c r="E34" s="5">
        <v>1</v>
      </c>
      <c r="F34" s="5">
        <v>9</v>
      </c>
      <c r="G34" s="5" t="b">
        <v>0</v>
      </c>
      <c r="H34" s="5">
        <v>0</v>
      </c>
      <c r="I34" s="5">
        <v>2</v>
      </c>
      <c r="J34" s="5">
        <v>0.38</v>
      </c>
    </row>
    <row r="35" spans="1:10">
      <c r="A35" s="5">
        <v>34</v>
      </c>
      <c r="B35" s="11">
        <v>40545</v>
      </c>
      <c r="C35" s="5">
        <v>1</v>
      </c>
      <c r="D35" s="5">
        <v>0</v>
      </c>
      <c r="E35" s="5">
        <v>1</v>
      </c>
      <c r="F35" s="5">
        <v>10</v>
      </c>
      <c r="G35" s="5" t="b">
        <v>0</v>
      </c>
      <c r="H35" s="5">
        <v>0</v>
      </c>
      <c r="I35" s="5">
        <v>2</v>
      </c>
      <c r="J35" s="5">
        <v>0.36</v>
      </c>
    </row>
    <row r="36" spans="1:10">
      <c r="A36" s="5">
        <v>35</v>
      </c>
      <c r="B36" s="11">
        <v>40545</v>
      </c>
      <c r="C36" s="5">
        <v>1</v>
      </c>
      <c r="D36" s="5">
        <v>0</v>
      </c>
      <c r="E36" s="5">
        <v>1</v>
      </c>
      <c r="F36" s="5">
        <v>11</v>
      </c>
      <c r="G36" s="5" t="b">
        <v>0</v>
      </c>
      <c r="H36" s="5">
        <v>0</v>
      </c>
      <c r="I36" s="5">
        <v>2</v>
      </c>
      <c r="J36" s="5">
        <v>0.36</v>
      </c>
    </row>
    <row r="37" spans="1:10">
      <c r="A37" s="5">
        <v>36</v>
      </c>
      <c r="B37" s="11">
        <v>40545</v>
      </c>
      <c r="C37" s="5">
        <v>1</v>
      </c>
      <c r="D37" s="5">
        <v>0</v>
      </c>
      <c r="E37" s="5">
        <v>1</v>
      </c>
      <c r="F37" s="5">
        <v>12</v>
      </c>
      <c r="G37" s="5" t="b">
        <v>0</v>
      </c>
      <c r="H37" s="5">
        <v>0</v>
      </c>
      <c r="I37" s="5">
        <v>2</v>
      </c>
      <c r="J37" s="5">
        <v>0.36</v>
      </c>
    </row>
    <row r="38" spans="1:10">
      <c r="A38" s="5">
        <v>37</v>
      </c>
      <c r="B38" s="11">
        <v>40545</v>
      </c>
      <c r="C38" s="5">
        <v>1</v>
      </c>
      <c r="D38" s="5">
        <v>0</v>
      </c>
      <c r="E38" s="5">
        <v>1</v>
      </c>
      <c r="F38" s="5">
        <v>13</v>
      </c>
      <c r="G38" s="5" t="b">
        <v>0</v>
      </c>
      <c r="H38" s="5">
        <v>0</v>
      </c>
      <c r="I38" s="5">
        <v>2</v>
      </c>
      <c r="J38" s="5">
        <v>0.36</v>
      </c>
    </row>
    <row r="39" spans="1:10">
      <c r="A39" s="5">
        <v>38</v>
      </c>
      <c r="B39" s="11">
        <v>40545</v>
      </c>
      <c r="C39" s="5">
        <v>1</v>
      </c>
      <c r="D39" s="5">
        <v>0</v>
      </c>
      <c r="E39" s="5">
        <v>1</v>
      </c>
      <c r="F39" s="5">
        <v>14</v>
      </c>
      <c r="G39" s="5" t="b">
        <v>0</v>
      </c>
      <c r="H39" s="5">
        <v>0</v>
      </c>
      <c r="I39" s="5">
        <v>3</v>
      </c>
      <c r="J39" s="5">
        <v>0.36</v>
      </c>
    </row>
    <row r="40" spans="1:10">
      <c r="A40" s="5">
        <v>39</v>
      </c>
      <c r="B40" s="11">
        <v>40545</v>
      </c>
      <c r="C40" s="5">
        <v>1</v>
      </c>
      <c r="D40" s="5">
        <v>0</v>
      </c>
      <c r="E40" s="5">
        <v>1</v>
      </c>
      <c r="F40" s="5">
        <v>15</v>
      </c>
      <c r="G40" s="5" t="b">
        <v>0</v>
      </c>
      <c r="H40" s="5">
        <v>0</v>
      </c>
      <c r="I40" s="5">
        <v>3</v>
      </c>
      <c r="J40" s="5">
        <v>0.34</v>
      </c>
    </row>
    <row r="41" spans="1:10">
      <c r="A41" s="5">
        <v>40</v>
      </c>
      <c r="B41" s="11">
        <v>40545</v>
      </c>
      <c r="C41" s="5">
        <v>1</v>
      </c>
      <c r="D41" s="5">
        <v>0</v>
      </c>
      <c r="E41" s="5">
        <v>1</v>
      </c>
      <c r="F41" s="5">
        <v>16</v>
      </c>
      <c r="G41" s="5" t="b">
        <v>0</v>
      </c>
      <c r="H41" s="5">
        <v>0</v>
      </c>
      <c r="I41" s="5">
        <v>3</v>
      </c>
      <c r="J41" s="5">
        <v>0.34</v>
      </c>
    </row>
    <row r="42" spans="1:10">
      <c r="A42" s="5">
        <v>41</v>
      </c>
      <c r="B42" s="11">
        <v>40545</v>
      </c>
      <c r="C42" s="5">
        <v>1</v>
      </c>
      <c r="D42" s="5">
        <v>0</v>
      </c>
      <c r="E42" s="5">
        <v>1</v>
      </c>
      <c r="F42" s="5">
        <v>17</v>
      </c>
      <c r="G42" s="5" t="b">
        <v>0</v>
      </c>
      <c r="H42" s="5">
        <v>0</v>
      </c>
      <c r="I42" s="5">
        <v>1</v>
      </c>
      <c r="J42" s="5">
        <v>0.34</v>
      </c>
    </row>
    <row r="43" spans="1:10">
      <c r="A43" s="5">
        <v>42</v>
      </c>
      <c r="B43" s="11">
        <v>40545</v>
      </c>
      <c r="C43" s="5">
        <v>1</v>
      </c>
      <c r="D43" s="5">
        <v>0</v>
      </c>
      <c r="E43" s="5">
        <v>1</v>
      </c>
      <c r="F43" s="5">
        <v>18</v>
      </c>
      <c r="G43" s="5" t="b">
        <v>0</v>
      </c>
      <c r="H43" s="5">
        <v>0</v>
      </c>
      <c r="I43" s="5">
        <v>2</v>
      </c>
      <c r="J43" s="5">
        <v>0.36</v>
      </c>
    </row>
    <row r="44" spans="1:10">
      <c r="A44" s="5">
        <v>43</v>
      </c>
      <c r="B44" s="11">
        <v>40545</v>
      </c>
      <c r="C44" s="5">
        <v>1</v>
      </c>
      <c r="D44" s="5">
        <v>0</v>
      </c>
      <c r="E44" s="5">
        <v>1</v>
      </c>
      <c r="F44" s="5">
        <v>19</v>
      </c>
      <c r="G44" s="5" t="b">
        <v>0</v>
      </c>
      <c r="H44" s="5">
        <v>0</v>
      </c>
      <c r="I44" s="5">
        <v>1</v>
      </c>
      <c r="J44" s="5">
        <v>0.32</v>
      </c>
    </row>
    <row r="45" spans="1:10">
      <c r="A45" s="5">
        <v>44</v>
      </c>
      <c r="B45" s="11">
        <v>40545</v>
      </c>
      <c r="C45" s="5">
        <v>1</v>
      </c>
      <c r="D45" s="5">
        <v>0</v>
      </c>
      <c r="E45" s="5">
        <v>1</v>
      </c>
      <c r="F45" s="5">
        <v>20</v>
      </c>
      <c r="G45" s="5" t="b">
        <v>0</v>
      </c>
      <c r="H45" s="5">
        <v>0</v>
      </c>
      <c r="I45" s="5">
        <v>1</v>
      </c>
      <c r="J45" s="5">
        <v>0.3</v>
      </c>
    </row>
    <row r="46" spans="1:10">
      <c r="A46" s="5">
        <v>45</v>
      </c>
      <c r="B46" s="11">
        <v>40545</v>
      </c>
      <c r="C46" s="5">
        <v>1</v>
      </c>
      <c r="D46" s="5">
        <v>0</v>
      </c>
      <c r="E46" s="5">
        <v>1</v>
      </c>
      <c r="F46" s="5">
        <v>21</v>
      </c>
      <c r="G46" s="5" t="b">
        <v>0</v>
      </c>
      <c r="H46" s="5">
        <v>0</v>
      </c>
      <c r="I46" s="5">
        <v>1</v>
      </c>
      <c r="J46" s="5">
        <v>0.26</v>
      </c>
    </row>
    <row r="47" spans="1:10">
      <c r="A47" s="5">
        <v>46</v>
      </c>
      <c r="B47" s="11">
        <v>40545</v>
      </c>
      <c r="C47" s="5">
        <v>1</v>
      </c>
      <c r="D47" s="5">
        <v>0</v>
      </c>
      <c r="E47" s="5">
        <v>1</v>
      </c>
      <c r="F47" s="5">
        <v>22</v>
      </c>
      <c r="G47" s="5" t="b">
        <v>0</v>
      </c>
      <c r="H47" s="5">
        <v>0</v>
      </c>
      <c r="I47" s="5">
        <v>1</v>
      </c>
      <c r="J47" s="5">
        <v>0.24</v>
      </c>
    </row>
    <row r="48" spans="1:10">
      <c r="A48" s="5">
        <v>47</v>
      </c>
      <c r="B48" s="11">
        <v>40545</v>
      </c>
      <c r="C48" s="5">
        <v>1</v>
      </c>
      <c r="D48" s="5">
        <v>0</v>
      </c>
      <c r="E48" s="5">
        <v>1</v>
      </c>
      <c r="F48" s="5">
        <v>23</v>
      </c>
      <c r="G48" s="5" t="b">
        <v>0</v>
      </c>
      <c r="H48" s="5">
        <v>0</v>
      </c>
      <c r="I48" s="5">
        <v>1</v>
      </c>
      <c r="J48" s="5">
        <v>0.22</v>
      </c>
    </row>
    <row r="49" spans="1:10">
      <c r="A49" s="5">
        <v>48</v>
      </c>
      <c r="B49" s="11">
        <v>40546</v>
      </c>
      <c r="C49" s="5">
        <v>1</v>
      </c>
      <c r="D49" s="5">
        <v>0</v>
      </c>
      <c r="E49" s="5">
        <v>1</v>
      </c>
      <c r="F49" s="5">
        <v>0</v>
      </c>
      <c r="G49" s="5" t="b">
        <v>0</v>
      </c>
      <c r="H49" s="5">
        <v>1</v>
      </c>
      <c r="I49" s="5">
        <v>1</v>
      </c>
      <c r="J49" s="5">
        <v>0.22</v>
      </c>
    </row>
    <row r="50" spans="1:10">
      <c r="A50" s="5">
        <v>49</v>
      </c>
      <c r="B50" s="11">
        <v>40546</v>
      </c>
      <c r="C50" s="5">
        <v>1</v>
      </c>
      <c r="D50" s="5">
        <v>0</v>
      </c>
      <c r="E50" s="5">
        <v>1</v>
      </c>
      <c r="F50" s="5">
        <v>1</v>
      </c>
      <c r="G50" s="5" t="b">
        <v>0</v>
      </c>
      <c r="H50" s="5">
        <v>1</v>
      </c>
      <c r="I50" s="5">
        <v>1</v>
      </c>
      <c r="J50" s="5">
        <v>0.2</v>
      </c>
    </row>
    <row r="51" spans="1:10">
      <c r="A51" s="5">
        <v>50</v>
      </c>
      <c r="B51" s="11">
        <v>40546</v>
      </c>
      <c r="C51" s="5">
        <v>1</v>
      </c>
      <c r="D51" s="5">
        <v>0</v>
      </c>
      <c r="E51" s="5">
        <v>1</v>
      </c>
      <c r="F51" s="5">
        <v>4</v>
      </c>
      <c r="G51" s="5" t="b">
        <v>0</v>
      </c>
      <c r="H51" s="5">
        <v>1</v>
      </c>
      <c r="I51" s="5">
        <v>1</v>
      </c>
      <c r="J51" s="5">
        <v>0.16</v>
      </c>
    </row>
    <row r="52" spans="1:10">
      <c r="A52" s="5">
        <v>51</v>
      </c>
      <c r="B52" s="11">
        <v>40546</v>
      </c>
      <c r="C52" s="5">
        <v>1</v>
      </c>
      <c r="D52" s="5">
        <v>0</v>
      </c>
      <c r="E52" s="5">
        <v>1</v>
      </c>
      <c r="F52" s="5">
        <v>5</v>
      </c>
      <c r="G52" s="5" t="b">
        <v>0</v>
      </c>
      <c r="H52" s="5">
        <v>1</v>
      </c>
      <c r="I52" s="5">
        <v>1</v>
      </c>
      <c r="J52" s="5">
        <v>0.16</v>
      </c>
    </row>
    <row r="53" spans="1:10">
      <c r="A53" s="5">
        <v>52</v>
      </c>
      <c r="B53" s="11">
        <v>40546</v>
      </c>
      <c r="C53" s="5">
        <v>1</v>
      </c>
      <c r="D53" s="5">
        <v>0</v>
      </c>
      <c r="E53" s="5">
        <v>1</v>
      </c>
      <c r="F53" s="5">
        <v>6</v>
      </c>
      <c r="G53" s="5" t="b">
        <v>0</v>
      </c>
      <c r="H53" s="5">
        <v>1</v>
      </c>
      <c r="I53" s="5">
        <v>1</v>
      </c>
      <c r="J53" s="5">
        <v>0.14</v>
      </c>
    </row>
    <row r="54" spans="1:10">
      <c r="A54" s="5">
        <v>53</v>
      </c>
      <c r="B54" s="11">
        <v>40546</v>
      </c>
      <c r="C54" s="5">
        <v>1</v>
      </c>
      <c r="D54" s="5">
        <v>0</v>
      </c>
      <c r="E54" s="5">
        <v>1</v>
      </c>
      <c r="F54" s="5">
        <v>7</v>
      </c>
      <c r="G54" s="5" t="b">
        <v>0</v>
      </c>
      <c r="H54" s="5">
        <v>1</v>
      </c>
      <c r="I54" s="5">
        <v>1</v>
      </c>
      <c r="J54" s="5">
        <v>0.14</v>
      </c>
    </row>
    <row r="55" spans="1:10">
      <c r="A55" s="5">
        <v>54</v>
      </c>
      <c r="B55" s="11">
        <v>40546</v>
      </c>
      <c r="C55" s="5">
        <v>1</v>
      </c>
      <c r="D55" s="5">
        <v>0</v>
      </c>
      <c r="E55" s="5">
        <v>1</v>
      </c>
      <c r="F55" s="5">
        <v>8</v>
      </c>
      <c r="G55" s="5" t="b">
        <v>0</v>
      </c>
      <c r="H55" s="5">
        <v>1</v>
      </c>
      <c r="I55" s="5">
        <v>1</v>
      </c>
      <c r="J55" s="5">
        <v>0.14</v>
      </c>
    </row>
    <row r="56" spans="1:10">
      <c r="A56" s="5">
        <v>55</v>
      </c>
      <c r="B56" s="11">
        <v>40546</v>
      </c>
      <c r="C56" s="5">
        <v>1</v>
      </c>
      <c r="D56" s="5">
        <v>0</v>
      </c>
      <c r="E56" s="5">
        <v>1</v>
      </c>
      <c r="F56" s="5">
        <v>9</v>
      </c>
      <c r="G56" s="5" t="b">
        <v>0</v>
      </c>
      <c r="H56" s="5">
        <v>1</v>
      </c>
      <c r="I56" s="5">
        <v>1</v>
      </c>
      <c r="J56" s="5">
        <v>0.16</v>
      </c>
    </row>
    <row r="57" spans="1:10">
      <c r="A57" s="5">
        <v>56</v>
      </c>
      <c r="B57" s="11">
        <v>40546</v>
      </c>
      <c r="C57" s="5">
        <v>1</v>
      </c>
      <c r="D57" s="5">
        <v>0</v>
      </c>
      <c r="E57" s="5">
        <v>1</v>
      </c>
      <c r="F57" s="5">
        <v>10</v>
      </c>
      <c r="G57" s="5" t="b">
        <v>0</v>
      </c>
      <c r="H57" s="5">
        <v>1</v>
      </c>
      <c r="I57" s="5">
        <v>1</v>
      </c>
      <c r="J57" s="5">
        <v>0.18</v>
      </c>
    </row>
    <row r="58" spans="1:10">
      <c r="A58" s="5">
        <v>57</v>
      </c>
      <c r="B58" s="11">
        <v>40546</v>
      </c>
      <c r="C58" s="5">
        <v>1</v>
      </c>
      <c r="D58" s="5">
        <v>0</v>
      </c>
      <c r="E58" s="5">
        <v>1</v>
      </c>
      <c r="F58" s="5">
        <v>11</v>
      </c>
      <c r="G58" s="5" t="b">
        <v>0</v>
      </c>
      <c r="H58" s="5">
        <v>1</v>
      </c>
      <c r="I58" s="5">
        <v>1</v>
      </c>
      <c r="J58" s="5">
        <v>0.2</v>
      </c>
    </row>
    <row r="59" spans="1:10">
      <c r="A59" s="5">
        <v>58</v>
      </c>
      <c r="B59" s="11">
        <v>40546</v>
      </c>
      <c r="C59" s="5">
        <v>1</v>
      </c>
      <c r="D59" s="5">
        <v>0</v>
      </c>
      <c r="E59" s="5">
        <v>1</v>
      </c>
      <c r="F59" s="5">
        <v>12</v>
      </c>
      <c r="G59" s="5" t="b">
        <v>0</v>
      </c>
      <c r="H59" s="5">
        <v>1</v>
      </c>
      <c r="I59" s="5">
        <v>1</v>
      </c>
      <c r="J59" s="5">
        <v>0.22</v>
      </c>
    </row>
    <row r="60" spans="1:10">
      <c r="A60" s="5">
        <v>59</v>
      </c>
      <c r="B60" s="11">
        <v>40546</v>
      </c>
      <c r="C60" s="5">
        <v>1</v>
      </c>
      <c r="D60" s="5">
        <v>0</v>
      </c>
      <c r="E60" s="5">
        <v>1</v>
      </c>
      <c r="F60" s="5">
        <v>13</v>
      </c>
      <c r="G60" s="5" t="b">
        <v>0</v>
      </c>
      <c r="H60" s="5">
        <v>1</v>
      </c>
      <c r="I60" s="5">
        <v>1</v>
      </c>
      <c r="J60" s="5">
        <v>0.24</v>
      </c>
    </row>
    <row r="61" spans="1:10">
      <c r="A61" s="5">
        <v>60</v>
      </c>
      <c r="B61" s="11">
        <v>40546</v>
      </c>
      <c r="C61" s="5">
        <v>1</v>
      </c>
      <c r="D61" s="5">
        <v>0</v>
      </c>
      <c r="E61" s="5">
        <v>1</v>
      </c>
      <c r="F61" s="5">
        <v>14</v>
      </c>
      <c r="G61" s="5" t="b">
        <v>0</v>
      </c>
      <c r="H61" s="5">
        <v>1</v>
      </c>
      <c r="I61" s="5">
        <v>1</v>
      </c>
      <c r="J61" s="5">
        <v>0.26</v>
      </c>
    </row>
    <row r="62" spans="1:10">
      <c r="A62" s="5">
        <v>61</v>
      </c>
      <c r="B62" s="11">
        <v>40546</v>
      </c>
      <c r="C62" s="5">
        <v>1</v>
      </c>
      <c r="D62" s="5">
        <v>0</v>
      </c>
      <c r="E62" s="5">
        <v>1</v>
      </c>
      <c r="F62" s="5">
        <v>15</v>
      </c>
      <c r="G62" s="5" t="b">
        <v>0</v>
      </c>
      <c r="H62" s="5">
        <v>1</v>
      </c>
      <c r="I62" s="5">
        <v>1</v>
      </c>
      <c r="J62" s="5">
        <v>0.26</v>
      </c>
    </row>
    <row r="63" spans="1:10">
      <c r="A63" s="5">
        <v>62</v>
      </c>
      <c r="B63" s="11">
        <v>40546</v>
      </c>
      <c r="C63" s="5">
        <v>1</v>
      </c>
      <c r="D63" s="5">
        <v>0</v>
      </c>
      <c r="E63" s="5">
        <v>1</v>
      </c>
      <c r="F63" s="5">
        <v>16</v>
      </c>
      <c r="G63" s="5" t="b">
        <v>0</v>
      </c>
      <c r="H63" s="5">
        <v>1</v>
      </c>
      <c r="I63" s="5">
        <v>1</v>
      </c>
      <c r="J63" s="5">
        <v>0.26</v>
      </c>
    </row>
    <row r="64" spans="1:10">
      <c r="A64" s="5">
        <v>63</v>
      </c>
      <c r="B64" s="11">
        <v>40546</v>
      </c>
      <c r="C64" s="5">
        <v>1</v>
      </c>
      <c r="D64" s="5">
        <v>0</v>
      </c>
      <c r="E64" s="5">
        <v>1</v>
      </c>
      <c r="F64" s="5">
        <v>17</v>
      </c>
      <c r="G64" s="5" t="b">
        <v>0</v>
      </c>
      <c r="H64" s="5">
        <v>1</v>
      </c>
      <c r="I64" s="5">
        <v>1</v>
      </c>
      <c r="J64" s="5">
        <v>0.24</v>
      </c>
    </row>
    <row r="65" spans="1:10">
      <c r="A65" s="5">
        <v>64</v>
      </c>
      <c r="B65" s="11">
        <v>40546</v>
      </c>
      <c r="C65" s="5">
        <v>1</v>
      </c>
      <c r="D65" s="5">
        <v>0</v>
      </c>
      <c r="E65" s="5">
        <v>1</v>
      </c>
      <c r="F65" s="5">
        <v>18</v>
      </c>
      <c r="G65" s="5" t="b">
        <v>0</v>
      </c>
      <c r="H65" s="5">
        <v>1</v>
      </c>
      <c r="I65" s="5">
        <v>1</v>
      </c>
      <c r="J65" s="5">
        <v>0.24</v>
      </c>
    </row>
    <row r="66" spans="1:10">
      <c r="A66" s="5">
        <v>65</v>
      </c>
      <c r="B66" s="11">
        <v>40546</v>
      </c>
      <c r="C66" s="5">
        <v>1</v>
      </c>
      <c r="D66" s="5">
        <v>0</v>
      </c>
      <c r="E66" s="5">
        <v>1</v>
      </c>
      <c r="F66" s="5">
        <v>19</v>
      </c>
      <c r="G66" s="5" t="b">
        <v>0</v>
      </c>
      <c r="H66" s="5">
        <v>1</v>
      </c>
      <c r="I66" s="5">
        <v>1</v>
      </c>
      <c r="J66" s="5">
        <v>0.2</v>
      </c>
    </row>
    <row r="67" spans="1:10">
      <c r="A67" s="5">
        <v>66</v>
      </c>
      <c r="B67" s="11">
        <v>40546</v>
      </c>
      <c r="C67" s="5">
        <v>1</v>
      </c>
      <c r="D67" s="5">
        <v>0</v>
      </c>
      <c r="E67" s="5">
        <v>1</v>
      </c>
      <c r="F67" s="5">
        <v>20</v>
      </c>
      <c r="G67" s="5" t="b">
        <v>0</v>
      </c>
      <c r="H67" s="5">
        <v>1</v>
      </c>
      <c r="I67" s="5">
        <v>1</v>
      </c>
      <c r="J67" s="5">
        <v>0.2</v>
      </c>
    </row>
    <row r="68" spans="1:10">
      <c r="A68" s="5">
        <v>67</v>
      </c>
      <c r="B68" s="11">
        <v>40546</v>
      </c>
      <c r="C68" s="5">
        <v>1</v>
      </c>
      <c r="D68" s="5">
        <v>0</v>
      </c>
      <c r="E68" s="5">
        <v>1</v>
      </c>
      <c r="F68" s="5">
        <v>21</v>
      </c>
      <c r="G68" s="5" t="b">
        <v>0</v>
      </c>
      <c r="H68" s="5">
        <v>1</v>
      </c>
      <c r="I68" s="5">
        <v>1</v>
      </c>
      <c r="J68" s="5">
        <v>0.18</v>
      </c>
    </row>
    <row r="69" spans="1:10">
      <c r="A69" s="5">
        <v>68</v>
      </c>
      <c r="B69" s="11">
        <v>40546</v>
      </c>
      <c r="C69" s="5">
        <v>1</v>
      </c>
      <c r="D69" s="5">
        <v>0</v>
      </c>
      <c r="E69" s="5">
        <v>1</v>
      </c>
      <c r="F69" s="5">
        <v>22</v>
      </c>
      <c r="G69" s="5" t="b">
        <v>0</v>
      </c>
      <c r="H69" s="5">
        <v>1</v>
      </c>
      <c r="I69" s="5">
        <v>1</v>
      </c>
      <c r="J69" s="5">
        <v>0.14</v>
      </c>
    </row>
    <row r="70" spans="1:10">
      <c r="A70" s="5">
        <v>69</v>
      </c>
      <c r="B70" s="11">
        <v>40546</v>
      </c>
      <c r="C70" s="5">
        <v>1</v>
      </c>
      <c r="D70" s="5">
        <v>0</v>
      </c>
      <c r="E70" s="5">
        <v>1</v>
      </c>
      <c r="F70" s="5">
        <v>23</v>
      </c>
      <c r="G70" s="5" t="b">
        <v>0</v>
      </c>
      <c r="H70" s="5">
        <v>1</v>
      </c>
      <c r="I70" s="5">
        <v>1</v>
      </c>
      <c r="J70" s="5">
        <v>0.18</v>
      </c>
    </row>
    <row r="71" spans="1:10">
      <c r="A71" s="5">
        <v>70</v>
      </c>
      <c r="B71" s="11">
        <v>40547</v>
      </c>
      <c r="C71" s="5">
        <v>1</v>
      </c>
      <c r="D71" s="5">
        <v>0</v>
      </c>
      <c r="E71" s="5">
        <v>1</v>
      </c>
      <c r="F71" s="5">
        <v>0</v>
      </c>
      <c r="G71" s="5" t="b">
        <v>0</v>
      </c>
      <c r="H71" s="5">
        <v>2</v>
      </c>
      <c r="I71" s="5">
        <v>1</v>
      </c>
      <c r="J71" s="5">
        <v>0.16</v>
      </c>
    </row>
    <row r="72" spans="1:10">
      <c r="A72" s="5">
        <v>71</v>
      </c>
      <c r="B72" s="11">
        <v>40547</v>
      </c>
      <c r="C72" s="5">
        <v>1</v>
      </c>
      <c r="D72" s="5">
        <v>0</v>
      </c>
      <c r="E72" s="5">
        <v>1</v>
      </c>
      <c r="F72" s="5">
        <v>1</v>
      </c>
      <c r="G72" s="5" t="b">
        <v>0</v>
      </c>
      <c r="H72" s="5">
        <v>2</v>
      </c>
      <c r="I72" s="5">
        <v>1</v>
      </c>
      <c r="J72" s="5">
        <v>0.16</v>
      </c>
    </row>
    <row r="73" spans="1:10">
      <c r="A73" s="5">
        <v>72</v>
      </c>
      <c r="B73" s="11">
        <v>40547</v>
      </c>
      <c r="C73" s="5">
        <v>1</v>
      </c>
      <c r="D73" s="5">
        <v>0</v>
      </c>
      <c r="E73" s="5">
        <v>1</v>
      </c>
      <c r="F73" s="5">
        <v>2</v>
      </c>
      <c r="G73" s="5" t="b">
        <v>0</v>
      </c>
      <c r="H73" s="5">
        <v>2</v>
      </c>
      <c r="I73" s="5">
        <v>1</v>
      </c>
      <c r="J73" s="5">
        <v>0.14</v>
      </c>
    </row>
    <row r="74" spans="1:10">
      <c r="A74" s="5">
        <v>73</v>
      </c>
      <c r="B74" s="11">
        <v>40547</v>
      </c>
      <c r="C74" s="5">
        <v>1</v>
      </c>
      <c r="D74" s="5">
        <v>0</v>
      </c>
      <c r="E74" s="5">
        <v>1</v>
      </c>
      <c r="F74" s="5">
        <v>4</v>
      </c>
      <c r="G74" s="5" t="b">
        <v>0</v>
      </c>
      <c r="H74" s="5">
        <v>2</v>
      </c>
      <c r="I74" s="5">
        <v>1</v>
      </c>
      <c r="J74" s="5">
        <v>0.14</v>
      </c>
    </row>
    <row r="75" spans="1:10">
      <c r="A75" s="5">
        <v>74</v>
      </c>
      <c r="B75" s="11">
        <v>40547</v>
      </c>
      <c r="C75" s="5">
        <v>1</v>
      </c>
      <c r="D75" s="5">
        <v>0</v>
      </c>
      <c r="E75" s="5">
        <v>1</v>
      </c>
      <c r="F75" s="5">
        <v>5</v>
      </c>
      <c r="G75" s="5" t="b">
        <v>0</v>
      </c>
      <c r="H75" s="5">
        <v>2</v>
      </c>
      <c r="I75" s="5">
        <v>1</v>
      </c>
      <c r="J75" s="5">
        <v>0.12</v>
      </c>
    </row>
    <row r="76" spans="1:10">
      <c r="A76" s="5">
        <v>75</v>
      </c>
      <c r="B76" s="11">
        <v>40547</v>
      </c>
      <c r="C76" s="5">
        <v>1</v>
      </c>
      <c r="D76" s="5">
        <v>0</v>
      </c>
      <c r="E76" s="5">
        <v>1</v>
      </c>
      <c r="F76" s="5">
        <v>6</v>
      </c>
      <c r="G76" s="5" t="b">
        <v>0</v>
      </c>
      <c r="H76" s="5">
        <v>2</v>
      </c>
      <c r="I76" s="5">
        <v>1</v>
      </c>
      <c r="J76" s="5">
        <v>0.12</v>
      </c>
    </row>
    <row r="77" spans="1:10">
      <c r="A77" s="5">
        <v>76</v>
      </c>
      <c r="B77" s="11">
        <v>40547</v>
      </c>
      <c r="C77" s="5">
        <v>1</v>
      </c>
      <c r="D77" s="5">
        <v>0</v>
      </c>
      <c r="E77" s="5">
        <v>1</v>
      </c>
      <c r="F77" s="5">
        <v>7</v>
      </c>
      <c r="G77" s="5" t="b">
        <v>0</v>
      </c>
      <c r="H77" s="5">
        <v>2</v>
      </c>
      <c r="I77" s="5">
        <v>1</v>
      </c>
      <c r="J77" s="5">
        <v>0.12</v>
      </c>
    </row>
    <row r="78" spans="1:10">
      <c r="A78" s="5">
        <v>77</v>
      </c>
      <c r="B78" s="11">
        <v>40547</v>
      </c>
      <c r="C78" s="5">
        <v>1</v>
      </c>
      <c r="D78" s="5">
        <v>0</v>
      </c>
      <c r="E78" s="5">
        <v>1</v>
      </c>
      <c r="F78" s="5">
        <v>8</v>
      </c>
      <c r="G78" s="5" t="b">
        <v>0</v>
      </c>
      <c r="H78" s="5">
        <v>2</v>
      </c>
      <c r="I78" s="5">
        <v>1</v>
      </c>
      <c r="J78" s="5">
        <v>0.14</v>
      </c>
    </row>
    <row r="79" spans="1:10">
      <c r="A79" s="5">
        <v>78</v>
      </c>
      <c r="B79" s="11">
        <v>40547</v>
      </c>
      <c r="C79" s="5">
        <v>1</v>
      </c>
      <c r="D79" s="5">
        <v>0</v>
      </c>
      <c r="E79" s="5">
        <v>1</v>
      </c>
      <c r="F79" s="5">
        <v>9</v>
      </c>
      <c r="G79" s="5" t="b">
        <v>0</v>
      </c>
      <c r="H79" s="5">
        <v>2</v>
      </c>
      <c r="I79" s="5">
        <v>1</v>
      </c>
      <c r="J79" s="5">
        <v>0.16</v>
      </c>
    </row>
    <row r="80" spans="1:10">
      <c r="A80" s="5">
        <v>79</v>
      </c>
      <c r="B80" s="11">
        <v>40547</v>
      </c>
      <c r="C80" s="5">
        <v>1</v>
      </c>
      <c r="D80" s="5">
        <v>0</v>
      </c>
      <c r="E80" s="5">
        <v>1</v>
      </c>
      <c r="F80" s="5">
        <v>10</v>
      </c>
      <c r="G80" s="5" t="b">
        <v>0</v>
      </c>
      <c r="H80" s="5">
        <v>2</v>
      </c>
      <c r="I80" s="5">
        <v>2</v>
      </c>
      <c r="J80" s="5">
        <v>0.16</v>
      </c>
    </row>
    <row r="81" spans="1:10">
      <c r="A81" s="5">
        <v>80</v>
      </c>
      <c r="B81" s="11">
        <v>40547</v>
      </c>
      <c r="C81" s="5">
        <v>1</v>
      </c>
      <c r="D81" s="5">
        <v>0</v>
      </c>
      <c r="E81" s="5">
        <v>1</v>
      </c>
      <c r="F81" s="5">
        <v>11</v>
      </c>
      <c r="G81" s="5" t="b">
        <v>0</v>
      </c>
      <c r="H81" s="5">
        <v>2</v>
      </c>
      <c r="I81" s="5">
        <v>1</v>
      </c>
      <c r="J81" s="5">
        <v>0.22</v>
      </c>
    </row>
    <row r="82" spans="1:10">
      <c r="A82" s="5">
        <v>81</v>
      </c>
      <c r="B82" s="11">
        <v>40547</v>
      </c>
      <c r="C82" s="5">
        <v>1</v>
      </c>
      <c r="D82" s="5">
        <v>0</v>
      </c>
      <c r="E82" s="5">
        <v>1</v>
      </c>
      <c r="F82" s="5">
        <v>12</v>
      </c>
      <c r="G82" s="5" t="b">
        <v>0</v>
      </c>
      <c r="H82" s="5">
        <v>2</v>
      </c>
      <c r="I82" s="5">
        <v>1</v>
      </c>
      <c r="J82" s="5">
        <v>0.22</v>
      </c>
    </row>
    <row r="83" spans="1:10">
      <c r="A83" s="5">
        <v>82</v>
      </c>
      <c r="B83" s="11">
        <v>40547</v>
      </c>
      <c r="C83" s="5">
        <v>1</v>
      </c>
      <c r="D83" s="5">
        <v>0</v>
      </c>
      <c r="E83" s="5">
        <v>1</v>
      </c>
      <c r="F83" s="5">
        <v>13</v>
      </c>
      <c r="G83" s="5" t="b">
        <v>0</v>
      </c>
      <c r="H83" s="5">
        <v>2</v>
      </c>
      <c r="I83" s="5">
        <v>1</v>
      </c>
      <c r="J83" s="5">
        <v>0.24</v>
      </c>
    </row>
    <row r="84" spans="1:10">
      <c r="A84" s="5">
        <v>83</v>
      </c>
      <c r="B84" s="11">
        <v>40547</v>
      </c>
      <c r="C84" s="5">
        <v>1</v>
      </c>
      <c r="D84" s="5">
        <v>0</v>
      </c>
      <c r="E84" s="5">
        <v>1</v>
      </c>
      <c r="F84" s="5">
        <v>14</v>
      </c>
      <c r="G84" s="5" t="b">
        <v>0</v>
      </c>
      <c r="H84" s="5">
        <v>2</v>
      </c>
      <c r="I84" s="5">
        <v>1</v>
      </c>
      <c r="J84" s="5">
        <v>0.26</v>
      </c>
    </row>
    <row r="85" spans="1:10">
      <c r="A85" s="5">
        <v>84</v>
      </c>
      <c r="B85" s="11">
        <v>40547</v>
      </c>
      <c r="C85" s="5">
        <v>1</v>
      </c>
      <c r="D85" s="5">
        <v>0</v>
      </c>
      <c r="E85" s="5">
        <v>1</v>
      </c>
      <c r="F85" s="5">
        <v>15</v>
      </c>
      <c r="G85" s="5" t="b">
        <v>0</v>
      </c>
      <c r="H85" s="5">
        <v>2</v>
      </c>
      <c r="I85" s="5">
        <v>1</v>
      </c>
      <c r="J85" s="5">
        <v>0.28</v>
      </c>
    </row>
    <row r="86" spans="1:10">
      <c r="A86" s="5">
        <v>85</v>
      </c>
      <c r="B86" s="11">
        <v>40547</v>
      </c>
      <c r="C86" s="5">
        <v>1</v>
      </c>
      <c r="D86" s="5">
        <v>0</v>
      </c>
      <c r="E86" s="5">
        <v>1</v>
      </c>
      <c r="F86" s="5">
        <v>16</v>
      </c>
      <c r="G86" s="5" t="b">
        <v>0</v>
      </c>
      <c r="H86" s="5">
        <v>2</v>
      </c>
      <c r="I86" s="5">
        <v>1</v>
      </c>
      <c r="J86" s="5">
        <v>0.3</v>
      </c>
    </row>
    <row r="87" spans="1:10">
      <c r="A87" s="5">
        <v>86</v>
      </c>
      <c r="B87" s="11">
        <v>40547</v>
      </c>
      <c r="C87" s="5">
        <v>1</v>
      </c>
      <c r="D87" s="5">
        <v>0</v>
      </c>
      <c r="E87" s="5">
        <v>1</v>
      </c>
      <c r="F87" s="5">
        <v>17</v>
      </c>
      <c r="G87" s="5" t="b">
        <v>0</v>
      </c>
      <c r="H87" s="5">
        <v>2</v>
      </c>
      <c r="I87" s="5">
        <v>1</v>
      </c>
      <c r="J87" s="5">
        <v>0.28</v>
      </c>
    </row>
    <row r="88" spans="1:10">
      <c r="A88" s="5">
        <v>87</v>
      </c>
      <c r="B88" s="11">
        <v>40547</v>
      </c>
      <c r="C88" s="5">
        <v>1</v>
      </c>
      <c r="D88" s="5">
        <v>0</v>
      </c>
      <c r="E88" s="5">
        <v>1</v>
      </c>
      <c r="F88" s="5">
        <v>18</v>
      </c>
      <c r="G88" s="5" t="b">
        <v>0</v>
      </c>
      <c r="H88" s="5">
        <v>2</v>
      </c>
      <c r="I88" s="5">
        <v>1</v>
      </c>
      <c r="J88" s="5">
        <v>0.26</v>
      </c>
    </row>
    <row r="89" spans="1:10">
      <c r="A89" s="5">
        <v>88</v>
      </c>
      <c r="B89" s="11">
        <v>40547</v>
      </c>
      <c r="C89" s="5">
        <v>1</v>
      </c>
      <c r="D89" s="5">
        <v>0</v>
      </c>
      <c r="E89" s="5">
        <v>1</v>
      </c>
      <c r="F89" s="5">
        <v>19</v>
      </c>
      <c r="G89" s="5" t="b">
        <v>0</v>
      </c>
      <c r="H89" s="5">
        <v>2</v>
      </c>
      <c r="I89" s="5">
        <v>1</v>
      </c>
      <c r="J89" s="5">
        <v>0.24</v>
      </c>
    </row>
    <row r="90" spans="1:10">
      <c r="A90" s="5">
        <v>89</v>
      </c>
      <c r="B90" s="11">
        <v>40547</v>
      </c>
      <c r="C90" s="5">
        <v>1</v>
      </c>
      <c r="D90" s="5">
        <v>0</v>
      </c>
      <c r="E90" s="5">
        <v>1</v>
      </c>
      <c r="F90" s="5">
        <v>20</v>
      </c>
      <c r="G90" s="5" t="b">
        <v>0</v>
      </c>
      <c r="H90" s="5">
        <v>2</v>
      </c>
      <c r="I90" s="5">
        <v>1</v>
      </c>
      <c r="J90" s="5">
        <v>0.24</v>
      </c>
    </row>
    <row r="91" spans="1:10">
      <c r="A91" s="5">
        <v>90</v>
      </c>
      <c r="B91" s="11">
        <v>40547</v>
      </c>
      <c r="C91" s="5">
        <v>1</v>
      </c>
      <c r="D91" s="5">
        <v>0</v>
      </c>
      <c r="E91" s="5">
        <v>1</v>
      </c>
      <c r="F91" s="5">
        <v>21</v>
      </c>
      <c r="G91" s="5" t="b">
        <v>0</v>
      </c>
      <c r="H91" s="5">
        <v>2</v>
      </c>
      <c r="I91" s="5">
        <v>1</v>
      </c>
      <c r="J91" s="5">
        <v>0.22</v>
      </c>
    </row>
    <row r="92" spans="1:10">
      <c r="A92" s="5">
        <v>91</v>
      </c>
      <c r="B92" s="11">
        <v>40547</v>
      </c>
      <c r="C92" s="5">
        <v>1</v>
      </c>
      <c r="D92" s="5">
        <v>0</v>
      </c>
      <c r="E92" s="5">
        <v>1</v>
      </c>
      <c r="F92" s="5">
        <v>22</v>
      </c>
      <c r="G92" s="5" t="b">
        <v>0</v>
      </c>
      <c r="H92" s="5">
        <v>2</v>
      </c>
      <c r="I92" s="5">
        <v>1</v>
      </c>
      <c r="J92" s="5">
        <v>0.22</v>
      </c>
    </row>
    <row r="93" spans="1:10">
      <c r="A93" s="5">
        <v>92</v>
      </c>
      <c r="B93" s="11">
        <v>40547</v>
      </c>
      <c r="C93" s="5">
        <v>1</v>
      </c>
      <c r="D93" s="5">
        <v>0</v>
      </c>
      <c r="E93" s="5">
        <v>1</v>
      </c>
      <c r="F93" s="5">
        <v>23</v>
      </c>
      <c r="G93" s="5" t="b">
        <v>0</v>
      </c>
      <c r="H93" s="5">
        <v>2</v>
      </c>
      <c r="I93" s="5">
        <v>1</v>
      </c>
      <c r="J93" s="5">
        <v>0.2</v>
      </c>
    </row>
    <row r="94" spans="1:10">
      <c r="A94" s="5">
        <v>93</v>
      </c>
      <c r="B94" s="11">
        <v>40548</v>
      </c>
      <c r="C94" s="5">
        <v>1</v>
      </c>
      <c r="D94" s="5">
        <v>0</v>
      </c>
      <c r="E94" s="5">
        <v>1</v>
      </c>
      <c r="F94" s="5">
        <v>0</v>
      </c>
      <c r="G94" s="5" t="b">
        <v>0</v>
      </c>
      <c r="H94" s="5">
        <v>3</v>
      </c>
      <c r="I94" s="5">
        <v>1</v>
      </c>
      <c r="J94" s="5">
        <v>0.2</v>
      </c>
    </row>
    <row r="95" spans="1:10">
      <c r="A95" s="5">
        <v>94</v>
      </c>
      <c r="B95" s="11">
        <v>40548</v>
      </c>
      <c r="C95" s="5">
        <v>1</v>
      </c>
      <c r="D95" s="5">
        <v>0</v>
      </c>
      <c r="E95" s="5">
        <v>1</v>
      </c>
      <c r="F95" s="5">
        <v>1</v>
      </c>
      <c r="G95" s="5" t="b">
        <v>0</v>
      </c>
      <c r="H95" s="5">
        <v>3</v>
      </c>
      <c r="I95" s="5">
        <v>1</v>
      </c>
      <c r="J95" s="5">
        <v>0.16</v>
      </c>
    </row>
    <row r="96" spans="1:10">
      <c r="A96" s="5">
        <v>95</v>
      </c>
      <c r="B96" s="11">
        <v>40548</v>
      </c>
      <c r="C96" s="5">
        <v>1</v>
      </c>
      <c r="D96" s="5">
        <v>0</v>
      </c>
      <c r="E96" s="5">
        <v>1</v>
      </c>
      <c r="F96" s="5">
        <v>2</v>
      </c>
      <c r="G96" s="5" t="b">
        <v>0</v>
      </c>
      <c r="H96" s="5">
        <v>3</v>
      </c>
      <c r="I96" s="5">
        <v>1</v>
      </c>
      <c r="J96" s="5">
        <v>0.16</v>
      </c>
    </row>
    <row r="97" spans="1:10">
      <c r="A97" s="5">
        <v>96</v>
      </c>
      <c r="B97" s="11">
        <v>40548</v>
      </c>
      <c r="C97" s="5">
        <v>1</v>
      </c>
      <c r="D97" s="5">
        <v>0</v>
      </c>
      <c r="E97" s="5">
        <v>1</v>
      </c>
      <c r="F97" s="5">
        <v>4</v>
      </c>
      <c r="G97" s="5" t="b">
        <v>0</v>
      </c>
      <c r="H97" s="5">
        <v>3</v>
      </c>
      <c r="I97" s="5">
        <v>1</v>
      </c>
      <c r="J97" s="5">
        <v>0.24</v>
      </c>
    </row>
    <row r="98" spans="1:10">
      <c r="A98" s="5">
        <v>97</v>
      </c>
      <c r="B98" s="11">
        <v>40548</v>
      </c>
      <c r="C98" s="5">
        <v>1</v>
      </c>
      <c r="D98" s="5">
        <v>0</v>
      </c>
      <c r="E98" s="5">
        <v>1</v>
      </c>
      <c r="F98" s="5">
        <v>5</v>
      </c>
      <c r="G98" s="5" t="b">
        <v>0</v>
      </c>
      <c r="H98" s="5">
        <v>3</v>
      </c>
      <c r="I98" s="5">
        <v>1</v>
      </c>
      <c r="J98" s="5">
        <v>0.22</v>
      </c>
    </row>
    <row r="99" spans="1:10">
      <c r="A99" s="5">
        <v>98</v>
      </c>
      <c r="B99" s="11">
        <v>40548</v>
      </c>
      <c r="C99" s="5">
        <v>1</v>
      </c>
      <c r="D99" s="5">
        <v>0</v>
      </c>
      <c r="E99" s="5">
        <v>1</v>
      </c>
      <c r="F99" s="5">
        <v>6</v>
      </c>
      <c r="G99" s="5" t="b">
        <v>0</v>
      </c>
      <c r="H99" s="5">
        <v>3</v>
      </c>
      <c r="I99" s="5">
        <v>1</v>
      </c>
      <c r="J99" s="5">
        <v>0.2</v>
      </c>
    </row>
    <row r="100" spans="1:10">
      <c r="A100" s="5">
        <v>99</v>
      </c>
      <c r="B100" s="11">
        <v>40548</v>
      </c>
      <c r="C100" s="5">
        <v>1</v>
      </c>
      <c r="D100" s="5">
        <v>0</v>
      </c>
      <c r="E100" s="5">
        <v>1</v>
      </c>
      <c r="F100" s="5">
        <v>7</v>
      </c>
      <c r="G100" s="5" t="b">
        <v>0</v>
      </c>
      <c r="H100" s="5">
        <v>3</v>
      </c>
      <c r="I100" s="5">
        <v>1</v>
      </c>
      <c r="J100" s="5">
        <v>0.18</v>
      </c>
    </row>
    <row r="101" spans="1:10">
      <c r="A101" s="5">
        <v>100</v>
      </c>
      <c r="B101" s="11">
        <v>40548</v>
      </c>
      <c r="C101" s="5">
        <v>1</v>
      </c>
      <c r="D101" s="5">
        <v>0</v>
      </c>
      <c r="E101" s="5">
        <v>1</v>
      </c>
      <c r="F101" s="5">
        <v>8</v>
      </c>
      <c r="G101" s="5" t="b">
        <v>0</v>
      </c>
      <c r="H101" s="5">
        <v>3</v>
      </c>
      <c r="I101" s="5">
        <v>1</v>
      </c>
      <c r="J101" s="5">
        <v>0.2</v>
      </c>
    </row>
    <row r="102" spans="1:10">
      <c r="A102" s="5">
        <v>101</v>
      </c>
      <c r="B102" s="11">
        <v>40548</v>
      </c>
      <c r="C102" s="5">
        <v>1</v>
      </c>
      <c r="D102" s="5">
        <v>0</v>
      </c>
      <c r="E102" s="5">
        <v>1</v>
      </c>
      <c r="F102" s="5">
        <v>9</v>
      </c>
      <c r="G102" s="5" t="b">
        <v>0</v>
      </c>
      <c r="H102" s="5">
        <v>3</v>
      </c>
      <c r="I102" s="5">
        <v>1</v>
      </c>
      <c r="J102" s="5">
        <v>0.22</v>
      </c>
    </row>
    <row r="103" spans="1:10">
      <c r="A103" s="5">
        <v>102</v>
      </c>
      <c r="B103" s="11">
        <v>40548</v>
      </c>
      <c r="C103" s="5">
        <v>1</v>
      </c>
      <c r="D103" s="5">
        <v>0</v>
      </c>
      <c r="E103" s="5">
        <v>1</v>
      </c>
      <c r="F103" s="5">
        <v>10</v>
      </c>
      <c r="G103" s="5" t="b">
        <v>0</v>
      </c>
      <c r="H103" s="5">
        <v>3</v>
      </c>
      <c r="I103" s="5">
        <v>1</v>
      </c>
      <c r="J103" s="5">
        <v>0.22</v>
      </c>
    </row>
    <row r="104" spans="1:10">
      <c r="A104" s="5">
        <v>103</v>
      </c>
      <c r="B104" s="11">
        <v>40548</v>
      </c>
      <c r="C104" s="5">
        <v>1</v>
      </c>
      <c r="D104" s="5">
        <v>0</v>
      </c>
      <c r="E104" s="5">
        <v>1</v>
      </c>
      <c r="F104" s="5">
        <v>11</v>
      </c>
      <c r="G104" s="5" t="b">
        <v>0</v>
      </c>
      <c r="H104" s="5">
        <v>3</v>
      </c>
      <c r="I104" s="5">
        <v>1</v>
      </c>
      <c r="J104" s="5">
        <v>0.26</v>
      </c>
    </row>
    <row r="105" spans="1:10">
      <c r="A105" s="5">
        <v>104</v>
      </c>
      <c r="B105" s="11">
        <v>40548</v>
      </c>
      <c r="C105" s="5">
        <v>1</v>
      </c>
      <c r="D105" s="5">
        <v>0</v>
      </c>
      <c r="E105" s="5">
        <v>1</v>
      </c>
      <c r="F105" s="5">
        <v>12</v>
      </c>
      <c r="G105" s="5" t="b">
        <v>0</v>
      </c>
      <c r="H105" s="5">
        <v>3</v>
      </c>
      <c r="I105" s="5">
        <v>1</v>
      </c>
      <c r="J105" s="5">
        <v>0.26</v>
      </c>
    </row>
    <row r="106" spans="1:10">
      <c r="A106" s="5">
        <v>105</v>
      </c>
      <c r="B106" s="11">
        <v>40548</v>
      </c>
      <c r="C106" s="5">
        <v>1</v>
      </c>
      <c r="D106" s="5">
        <v>0</v>
      </c>
      <c r="E106" s="5">
        <v>1</v>
      </c>
      <c r="F106" s="5">
        <v>13</v>
      </c>
      <c r="G106" s="5" t="b">
        <v>0</v>
      </c>
      <c r="H106" s="5">
        <v>3</v>
      </c>
      <c r="I106" s="5">
        <v>1</v>
      </c>
      <c r="J106" s="5">
        <v>0.28</v>
      </c>
    </row>
    <row r="107" spans="1:10">
      <c r="A107" s="5">
        <v>106</v>
      </c>
      <c r="B107" s="11">
        <v>40548</v>
      </c>
      <c r="C107" s="5">
        <v>1</v>
      </c>
      <c r="D107" s="5">
        <v>0</v>
      </c>
      <c r="E107" s="5">
        <v>1</v>
      </c>
      <c r="F107" s="5">
        <v>14</v>
      </c>
      <c r="G107" s="5" t="b">
        <v>0</v>
      </c>
      <c r="H107" s="5">
        <v>3</v>
      </c>
      <c r="I107" s="5">
        <v>1</v>
      </c>
      <c r="J107" s="5">
        <v>0.3</v>
      </c>
    </row>
    <row r="108" spans="1:10">
      <c r="A108" s="5">
        <v>107</v>
      </c>
      <c r="B108" s="11">
        <v>40548</v>
      </c>
      <c r="C108" s="5">
        <v>1</v>
      </c>
      <c r="D108" s="5">
        <v>0</v>
      </c>
      <c r="E108" s="5">
        <v>1</v>
      </c>
      <c r="F108" s="5">
        <v>15</v>
      </c>
      <c r="G108" s="5" t="b">
        <v>0</v>
      </c>
      <c r="H108" s="5">
        <v>3</v>
      </c>
      <c r="I108" s="5">
        <v>1</v>
      </c>
      <c r="J108" s="5">
        <v>0.3</v>
      </c>
    </row>
    <row r="109" spans="1:10">
      <c r="A109" s="5">
        <v>108</v>
      </c>
      <c r="B109" s="11">
        <v>40548</v>
      </c>
      <c r="C109" s="5">
        <v>1</v>
      </c>
      <c r="D109" s="5">
        <v>0</v>
      </c>
      <c r="E109" s="5">
        <v>1</v>
      </c>
      <c r="F109" s="5">
        <v>16</v>
      </c>
      <c r="G109" s="5" t="b">
        <v>0</v>
      </c>
      <c r="H109" s="5">
        <v>3</v>
      </c>
      <c r="I109" s="5">
        <v>1</v>
      </c>
      <c r="J109" s="5">
        <v>0.3</v>
      </c>
    </row>
    <row r="110" spans="1:10">
      <c r="A110" s="5">
        <v>109</v>
      </c>
      <c r="B110" s="11">
        <v>40548</v>
      </c>
      <c r="C110" s="5">
        <v>1</v>
      </c>
      <c r="D110" s="5">
        <v>0</v>
      </c>
      <c r="E110" s="5">
        <v>1</v>
      </c>
      <c r="F110" s="5">
        <v>17</v>
      </c>
      <c r="G110" s="5" t="b">
        <v>0</v>
      </c>
      <c r="H110" s="5">
        <v>3</v>
      </c>
      <c r="I110" s="5">
        <v>1</v>
      </c>
      <c r="J110" s="5">
        <v>0.24</v>
      </c>
    </row>
    <row r="111" spans="1:10">
      <c r="A111" s="5">
        <v>110</v>
      </c>
      <c r="B111" s="11">
        <v>40548</v>
      </c>
      <c r="C111" s="5">
        <v>1</v>
      </c>
      <c r="D111" s="5">
        <v>0</v>
      </c>
      <c r="E111" s="5">
        <v>1</v>
      </c>
      <c r="F111" s="5">
        <v>18</v>
      </c>
      <c r="G111" s="5" t="b">
        <v>0</v>
      </c>
      <c r="H111" s="5">
        <v>3</v>
      </c>
      <c r="I111" s="5">
        <v>1</v>
      </c>
      <c r="J111" s="5">
        <v>0.24</v>
      </c>
    </row>
    <row r="112" spans="1:10">
      <c r="A112" s="5">
        <v>111</v>
      </c>
      <c r="B112" s="11">
        <v>40548</v>
      </c>
      <c r="C112" s="5">
        <v>1</v>
      </c>
      <c r="D112" s="5">
        <v>0</v>
      </c>
      <c r="E112" s="5">
        <v>1</v>
      </c>
      <c r="F112" s="5">
        <v>19</v>
      </c>
      <c r="G112" s="5" t="b">
        <v>0</v>
      </c>
      <c r="H112" s="5">
        <v>3</v>
      </c>
      <c r="I112" s="5">
        <v>1</v>
      </c>
      <c r="J112" s="5">
        <v>0.24</v>
      </c>
    </row>
    <row r="113" spans="1:10">
      <c r="A113" s="5">
        <v>112</v>
      </c>
      <c r="B113" s="11">
        <v>40548</v>
      </c>
      <c r="C113" s="5">
        <v>1</v>
      </c>
      <c r="D113" s="5">
        <v>0</v>
      </c>
      <c r="E113" s="5">
        <v>1</v>
      </c>
      <c r="F113" s="5">
        <v>20</v>
      </c>
      <c r="G113" s="5" t="b">
        <v>0</v>
      </c>
      <c r="H113" s="5">
        <v>3</v>
      </c>
      <c r="I113" s="5">
        <v>1</v>
      </c>
      <c r="J113" s="5">
        <v>0.22</v>
      </c>
    </row>
    <row r="114" spans="1:10">
      <c r="A114" s="5">
        <v>113</v>
      </c>
      <c r="B114" s="11">
        <v>40548</v>
      </c>
      <c r="C114" s="5">
        <v>1</v>
      </c>
      <c r="D114" s="5">
        <v>0</v>
      </c>
      <c r="E114" s="5">
        <v>1</v>
      </c>
      <c r="F114" s="5">
        <v>21</v>
      </c>
      <c r="G114" s="5" t="b">
        <v>0</v>
      </c>
      <c r="H114" s="5">
        <v>3</v>
      </c>
      <c r="I114" s="5">
        <v>1</v>
      </c>
      <c r="J114" s="5">
        <v>0.2</v>
      </c>
    </row>
    <row r="115" spans="1:10">
      <c r="A115" s="5">
        <v>114</v>
      </c>
      <c r="B115" s="11">
        <v>40548</v>
      </c>
      <c r="C115" s="5">
        <v>1</v>
      </c>
      <c r="D115" s="5">
        <v>0</v>
      </c>
      <c r="E115" s="5">
        <v>1</v>
      </c>
      <c r="F115" s="5">
        <v>22</v>
      </c>
      <c r="G115" s="5" t="b">
        <v>0</v>
      </c>
      <c r="H115" s="5">
        <v>3</v>
      </c>
      <c r="I115" s="5">
        <v>1</v>
      </c>
      <c r="J115" s="5">
        <v>0.18</v>
      </c>
    </row>
    <row r="116" spans="1:10">
      <c r="A116" s="5">
        <v>115</v>
      </c>
      <c r="B116" s="11">
        <v>40548</v>
      </c>
      <c r="C116" s="5">
        <v>1</v>
      </c>
      <c r="D116" s="5">
        <v>0</v>
      </c>
      <c r="E116" s="5">
        <v>1</v>
      </c>
      <c r="F116" s="5">
        <v>23</v>
      </c>
      <c r="G116" s="5" t="b">
        <v>0</v>
      </c>
      <c r="H116" s="5">
        <v>3</v>
      </c>
      <c r="I116" s="5">
        <v>1</v>
      </c>
      <c r="J116" s="5">
        <v>0.2</v>
      </c>
    </row>
    <row r="117" spans="1:10">
      <c r="A117" s="5">
        <v>116</v>
      </c>
      <c r="B117" s="11">
        <v>40549</v>
      </c>
      <c r="C117" s="5">
        <v>1</v>
      </c>
      <c r="D117" s="5">
        <v>0</v>
      </c>
      <c r="E117" s="5">
        <v>1</v>
      </c>
      <c r="F117" s="5">
        <v>0</v>
      </c>
      <c r="G117" s="5" t="b">
        <v>0</v>
      </c>
      <c r="H117" s="5">
        <v>4</v>
      </c>
      <c r="I117" s="5">
        <v>1</v>
      </c>
      <c r="J117" s="5">
        <v>0.18</v>
      </c>
    </row>
    <row r="118" spans="1:10">
      <c r="A118" s="5">
        <v>117</v>
      </c>
      <c r="B118" s="11">
        <v>40549</v>
      </c>
      <c r="C118" s="5">
        <v>1</v>
      </c>
      <c r="D118" s="5">
        <v>0</v>
      </c>
      <c r="E118" s="5">
        <v>1</v>
      </c>
      <c r="F118" s="5">
        <v>1</v>
      </c>
      <c r="G118" s="5" t="b">
        <v>0</v>
      </c>
      <c r="H118" s="5">
        <v>4</v>
      </c>
      <c r="I118" s="5">
        <v>1</v>
      </c>
      <c r="J118" s="5">
        <v>0.16</v>
      </c>
    </row>
    <row r="119" spans="1:10">
      <c r="A119" s="5">
        <v>118</v>
      </c>
      <c r="B119" s="11">
        <v>40549</v>
      </c>
      <c r="C119" s="5">
        <v>1</v>
      </c>
      <c r="D119" s="5">
        <v>0</v>
      </c>
      <c r="E119" s="5">
        <v>1</v>
      </c>
      <c r="F119" s="5">
        <v>2</v>
      </c>
      <c r="G119" s="5" t="b">
        <v>0</v>
      </c>
      <c r="H119" s="5">
        <v>4</v>
      </c>
      <c r="I119" s="5">
        <v>1</v>
      </c>
      <c r="J119" s="5">
        <v>0.16</v>
      </c>
    </row>
    <row r="120" spans="1:10">
      <c r="A120" s="5">
        <v>119</v>
      </c>
      <c r="B120" s="11">
        <v>40549</v>
      </c>
      <c r="C120" s="5">
        <v>1</v>
      </c>
      <c r="D120" s="5">
        <v>0</v>
      </c>
      <c r="E120" s="5">
        <v>1</v>
      </c>
      <c r="F120" s="5">
        <v>4</v>
      </c>
      <c r="G120" s="5" t="b">
        <v>0</v>
      </c>
      <c r="H120" s="5">
        <v>4</v>
      </c>
      <c r="I120" s="5">
        <v>2</v>
      </c>
      <c r="J120" s="5">
        <v>0.16</v>
      </c>
    </row>
    <row r="121" spans="1:10">
      <c r="A121" s="5">
        <v>120</v>
      </c>
      <c r="B121" s="11">
        <v>40549</v>
      </c>
      <c r="C121" s="5">
        <v>1</v>
      </c>
      <c r="D121" s="5">
        <v>0</v>
      </c>
      <c r="E121" s="5">
        <v>1</v>
      </c>
      <c r="F121" s="5">
        <v>5</v>
      </c>
      <c r="G121" s="5" t="b">
        <v>0</v>
      </c>
      <c r="H121" s="5">
        <v>4</v>
      </c>
      <c r="I121" s="5">
        <v>2</v>
      </c>
      <c r="J121" s="5">
        <v>0.14</v>
      </c>
    </row>
    <row r="122" spans="1:10">
      <c r="A122" s="5">
        <v>121</v>
      </c>
      <c r="B122" s="11">
        <v>40549</v>
      </c>
      <c r="C122" s="5">
        <v>1</v>
      </c>
      <c r="D122" s="5">
        <v>0</v>
      </c>
      <c r="E122" s="5">
        <v>1</v>
      </c>
      <c r="F122" s="5">
        <v>6</v>
      </c>
      <c r="G122" s="5" t="b">
        <v>0</v>
      </c>
      <c r="H122" s="5">
        <v>4</v>
      </c>
      <c r="I122" s="5">
        <v>2</v>
      </c>
      <c r="J122" s="5">
        <v>0.14</v>
      </c>
    </row>
    <row r="123" spans="1:10">
      <c r="A123" s="5">
        <v>122</v>
      </c>
      <c r="B123" s="11">
        <v>40549</v>
      </c>
      <c r="C123" s="5">
        <v>1</v>
      </c>
      <c r="D123" s="5">
        <v>0</v>
      </c>
      <c r="E123" s="5">
        <v>1</v>
      </c>
      <c r="F123" s="5">
        <v>7</v>
      </c>
      <c r="G123" s="5" t="b">
        <v>0</v>
      </c>
      <c r="H123" s="5">
        <v>4</v>
      </c>
      <c r="I123" s="5">
        <v>2</v>
      </c>
      <c r="J123" s="5">
        <v>0.16</v>
      </c>
    </row>
    <row r="124" spans="1:10">
      <c r="A124" s="5">
        <v>123</v>
      </c>
      <c r="B124" s="11">
        <v>40549</v>
      </c>
      <c r="C124" s="5">
        <v>1</v>
      </c>
      <c r="D124" s="5">
        <v>0</v>
      </c>
      <c r="E124" s="5">
        <v>1</v>
      </c>
      <c r="F124" s="5">
        <v>8</v>
      </c>
      <c r="G124" s="5" t="b">
        <v>0</v>
      </c>
      <c r="H124" s="5">
        <v>4</v>
      </c>
      <c r="I124" s="5">
        <v>1</v>
      </c>
      <c r="J124" s="5">
        <v>0.16</v>
      </c>
    </row>
    <row r="125" spans="1:10">
      <c r="A125" s="5">
        <v>124</v>
      </c>
      <c r="B125" s="11">
        <v>40549</v>
      </c>
      <c r="C125" s="5">
        <v>1</v>
      </c>
      <c r="D125" s="5">
        <v>0</v>
      </c>
      <c r="E125" s="5">
        <v>1</v>
      </c>
      <c r="F125" s="5">
        <v>9</v>
      </c>
      <c r="G125" s="5" t="b">
        <v>0</v>
      </c>
      <c r="H125" s="5">
        <v>4</v>
      </c>
      <c r="I125" s="5">
        <v>2</v>
      </c>
      <c r="J125" s="5">
        <v>0.18</v>
      </c>
    </row>
    <row r="126" spans="1:10">
      <c r="A126" s="5">
        <v>125</v>
      </c>
      <c r="B126" s="11">
        <v>40549</v>
      </c>
      <c r="C126" s="5">
        <v>1</v>
      </c>
      <c r="D126" s="5">
        <v>0</v>
      </c>
      <c r="E126" s="5">
        <v>1</v>
      </c>
      <c r="F126" s="5">
        <v>10</v>
      </c>
      <c r="G126" s="5" t="b">
        <v>0</v>
      </c>
      <c r="H126" s="5">
        <v>4</v>
      </c>
      <c r="I126" s="5">
        <v>1</v>
      </c>
      <c r="J126" s="5">
        <v>0.2</v>
      </c>
    </row>
    <row r="127" spans="1:10">
      <c r="A127" s="5">
        <v>126</v>
      </c>
      <c r="B127" s="11">
        <v>40549</v>
      </c>
      <c r="C127" s="5">
        <v>1</v>
      </c>
      <c r="D127" s="5">
        <v>0</v>
      </c>
      <c r="E127" s="5">
        <v>1</v>
      </c>
      <c r="F127" s="5">
        <v>11</v>
      </c>
      <c r="G127" s="5" t="b">
        <v>0</v>
      </c>
      <c r="H127" s="5">
        <v>4</v>
      </c>
      <c r="I127" s="5">
        <v>1</v>
      </c>
      <c r="J127" s="5">
        <v>0.22</v>
      </c>
    </row>
    <row r="128" spans="1:10">
      <c r="A128" s="5">
        <v>127</v>
      </c>
      <c r="B128" s="11">
        <v>40549</v>
      </c>
      <c r="C128" s="5">
        <v>1</v>
      </c>
      <c r="D128" s="5">
        <v>0</v>
      </c>
      <c r="E128" s="5">
        <v>1</v>
      </c>
      <c r="F128" s="5">
        <v>12</v>
      </c>
      <c r="G128" s="5" t="b">
        <v>0</v>
      </c>
      <c r="H128" s="5">
        <v>4</v>
      </c>
      <c r="I128" s="5">
        <v>1</v>
      </c>
      <c r="J128" s="5">
        <v>0.26</v>
      </c>
    </row>
    <row r="129" spans="1:10">
      <c r="A129" s="5">
        <v>128</v>
      </c>
      <c r="B129" s="11">
        <v>40549</v>
      </c>
      <c r="C129" s="5">
        <v>1</v>
      </c>
      <c r="D129" s="5">
        <v>0</v>
      </c>
      <c r="E129" s="5">
        <v>1</v>
      </c>
      <c r="F129" s="5">
        <v>13</v>
      </c>
      <c r="G129" s="5" t="b">
        <v>0</v>
      </c>
      <c r="H129" s="5">
        <v>4</v>
      </c>
      <c r="I129" s="5">
        <v>1</v>
      </c>
      <c r="J129" s="5">
        <v>0.26</v>
      </c>
    </row>
    <row r="130" spans="1:10">
      <c r="A130" s="5">
        <v>129</v>
      </c>
      <c r="B130" s="11">
        <v>40549</v>
      </c>
      <c r="C130" s="5">
        <v>1</v>
      </c>
      <c r="D130" s="5">
        <v>0</v>
      </c>
      <c r="E130" s="5">
        <v>1</v>
      </c>
      <c r="F130" s="5">
        <v>14</v>
      </c>
      <c r="G130" s="5" t="b">
        <v>0</v>
      </c>
      <c r="H130" s="5">
        <v>4</v>
      </c>
      <c r="I130" s="5">
        <v>1</v>
      </c>
      <c r="J130" s="5">
        <v>0.28</v>
      </c>
    </row>
    <row r="131" spans="1:10">
      <c r="A131" s="5">
        <v>130</v>
      </c>
      <c r="B131" s="11">
        <v>40549</v>
      </c>
      <c r="C131" s="5">
        <v>1</v>
      </c>
      <c r="D131" s="5">
        <v>0</v>
      </c>
      <c r="E131" s="5">
        <v>1</v>
      </c>
      <c r="F131" s="5">
        <v>15</v>
      </c>
      <c r="G131" s="5" t="b">
        <v>0</v>
      </c>
      <c r="H131" s="5">
        <v>4</v>
      </c>
      <c r="I131" s="5">
        <v>1</v>
      </c>
      <c r="J131" s="5">
        <v>0.28</v>
      </c>
    </row>
    <row r="132" spans="1:10">
      <c r="A132" s="5">
        <v>131</v>
      </c>
      <c r="B132" s="11">
        <v>40549</v>
      </c>
      <c r="C132" s="5">
        <v>1</v>
      </c>
      <c r="D132" s="5">
        <v>0</v>
      </c>
      <c r="E132" s="5">
        <v>1</v>
      </c>
      <c r="F132" s="5">
        <v>16</v>
      </c>
      <c r="G132" s="5" t="b">
        <v>0</v>
      </c>
      <c r="H132" s="5">
        <v>4</v>
      </c>
      <c r="I132" s="5">
        <v>1</v>
      </c>
      <c r="J132" s="5">
        <v>0.26</v>
      </c>
    </row>
    <row r="133" spans="1:10">
      <c r="A133" s="5">
        <v>132</v>
      </c>
      <c r="B133" s="11">
        <v>40549</v>
      </c>
      <c r="C133" s="5">
        <v>1</v>
      </c>
      <c r="D133" s="5">
        <v>0</v>
      </c>
      <c r="E133" s="5">
        <v>1</v>
      </c>
      <c r="F133" s="5">
        <v>17</v>
      </c>
      <c r="G133" s="5" t="b">
        <v>0</v>
      </c>
      <c r="H133" s="5">
        <v>4</v>
      </c>
      <c r="I133" s="5">
        <v>1</v>
      </c>
      <c r="J133" s="5">
        <v>0.22</v>
      </c>
    </row>
    <row r="134" spans="1:10">
      <c r="A134" s="5">
        <v>133</v>
      </c>
      <c r="B134" s="11">
        <v>40549</v>
      </c>
      <c r="C134" s="5">
        <v>1</v>
      </c>
      <c r="D134" s="5">
        <v>0</v>
      </c>
      <c r="E134" s="5">
        <v>1</v>
      </c>
      <c r="F134" s="5">
        <v>18</v>
      </c>
      <c r="G134" s="5" t="b">
        <v>0</v>
      </c>
      <c r="H134" s="5">
        <v>4</v>
      </c>
      <c r="I134" s="5">
        <v>1</v>
      </c>
      <c r="J134" s="5">
        <v>0.22</v>
      </c>
    </row>
    <row r="135" spans="1:10">
      <c r="A135" s="5">
        <v>134</v>
      </c>
      <c r="B135" s="11">
        <v>40549</v>
      </c>
      <c r="C135" s="5">
        <v>1</v>
      </c>
      <c r="D135" s="5">
        <v>0</v>
      </c>
      <c r="E135" s="5">
        <v>1</v>
      </c>
      <c r="F135" s="5">
        <v>19</v>
      </c>
      <c r="G135" s="5" t="b">
        <v>0</v>
      </c>
      <c r="H135" s="5">
        <v>4</v>
      </c>
      <c r="I135" s="5">
        <v>1</v>
      </c>
      <c r="J135" s="5">
        <v>0.22</v>
      </c>
    </row>
    <row r="136" spans="1:10">
      <c r="A136" s="5">
        <v>135</v>
      </c>
      <c r="B136" s="11">
        <v>40549</v>
      </c>
      <c r="C136" s="5">
        <v>1</v>
      </c>
      <c r="D136" s="5">
        <v>0</v>
      </c>
      <c r="E136" s="5">
        <v>1</v>
      </c>
      <c r="F136" s="5">
        <v>20</v>
      </c>
      <c r="G136" s="5" t="b">
        <v>0</v>
      </c>
      <c r="H136" s="5">
        <v>4</v>
      </c>
      <c r="I136" s="5">
        <v>1</v>
      </c>
      <c r="J136" s="5">
        <v>0.2</v>
      </c>
    </row>
    <row r="137" spans="1:10">
      <c r="A137" s="5">
        <v>136</v>
      </c>
      <c r="B137" s="11">
        <v>40549</v>
      </c>
      <c r="C137" s="5">
        <v>1</v>
      </c>
      <c r="D137" s="5">
        <v>0</v>
      </c>
      <c r="E137" s="5">
        <v>1</v>
      </c>
      <c r="F137" s="5">
        <v>21</v>
      </c>
      <c r="G137" s="5" t="b">
        <v>0</v>
      </c>
      <c r="H137" s="5">
        <v>4</v>
      </c>
      <c r="I137" s="5">
        <v>2</v>
      </c>
      <c r="J137" s="5">
        <v>0.22</v>
      </c>
    </row>
    <row r="138" spans="1:10">
      <c r="A138" s="5">
        <v>137</v>
      </c>
      <c r="B138" s="11">
        <v>40549</v>
      </c>
      <c r="C138" s="5">
        <v>1</v>
      </c>
      <c r="D138" s="5">
        <v>0</v>
      </c>
      <c r="E138" s="5">
        <v>1</v>
      </c>
      <c r="F138" s="5">
        <v>22</v>
      </c>
      <c r="G138" s="5" t="b">
        <v>0</v>
      </c>
      <c r="H138" s="5">
        <v>4</v>
      </c>
      <c r="I138" s="5">
        <v>2</v>
      </c>
      <c r="J138" s="5">
        <v>0.22</v>
      </c>
    </row>
    <row r="139" spans="1:10">
      <c r="A139" s="5">
        <v>138</v>
      </c>
      <c r="B139" s="11">
        <v>40549</v>
      </c>
      <c r="C139" s="5">
        <v>1</v>
      </c>
      <c r="D139" s="5">
        <v>0</v>
      </c>
      <c r="E139" s="5">
        <v>1</v>
      </c>
      <c r="F139" s="5">
        <v>23</v>
      </c>
      <c r="G139" s="5" t="b">
        <v>0</v>
      </c>
      <c r="H139" s="5">
        <v>4</v>
      </c>
      <c r="I139" s="5">
        <v>2</v>
      </c>
      <c r="J139" s="5">
        <v>0.2</v>
      </c>
    </row>
    <row r="140" spans="1:10">
      <c r="A140" s="5">
        <v>139</v>
      </c>
      <c r="B140" s="11">
        <v>40550</v>
      </c>
      <c r="C140" s="5">
        <v>1</v>
      </c>
      <c r="D140" s="5">
        <v>0</v>
      </c>
      <c r="E140" s="5">
        <v>1</v>
      </c>
      <c r="F140" s="5">
        <v>0</v>
      </c>
      <c r="G140" s="5" t="b">
        <v>0</v>
      </c>
      <c r="H140" s="5">
        <v>5</v>
      </c>
      <c r="I140" s="5">
        <v>2</v>
      </c>
      <c r="J140" s="5">
        <v>0.2</v>
      </c>
    </row>
    <row r="141" spans="1:10">
      <c r="A141" s="5">
        <v>140</v>
      </c>
      <c r="B141" s="11">
        <v>40550</v>
      </c>
      <c r="C141" s="5">
        <v>1</v>
      </c>
      <c r="D141" s="5">
        <v>0</v>
      </c>
      <c r="E141" s="5">
        <v>1</v>
      </c>
      <c r="F141" s="5">
        <v>1</v>
      </c>
      <c r="G141" s="5" t="b">
        <v>0</v>
      </c>
      <c r="H141" s="5">
        <v>5</v>
      </c>
      <c r="I141" s="5">
        <v>2</v>
      </c>
      <c r="J141" s="5">
        <v>0.2</v>
      </c>
    </row>
    <row r="142" spans="1:10">
      <c r="A142" s="5">
        <v>141</v>
      </c>
      <c r="B142" s="11">
        <v>40550</v>
      </c>
      <c r="C142" s="5">
        <v>1</v>
      </c>
      <c r="D142" s="5">
        <v>0</v>
      </c>
      <c r="E142" s="5">
        <v>1</v>
      </c>
      <c r="F142" s="5">
        <v>2</v>
      </c>
      <c r="G142" s="5" t="b">
        <v>0</v>
      </c>
      <c r="H142" s="5">
        <v>5</v>
      </c>
      <c r="I142" s="5">
        <v>2</v>
      </c>
      <c r="J142" s="5">
        <v>0.2</v>
      </c>
    </row>
    <row r="143" spans="1:10">
      <c r="A143" s="5">
        <v>142</v>
      </c>
      <c r="B143" s="11">
        <v>40550</v>
      </c>
      <c r="C143" s="5">
        <v>1</v>
      </c>
      <c r="D143" s="5">
        <v>0</v>
      </c>
      <c r="E143" s="5">
        <v>1</v>
      </c>
      <c r="F143" s="5">
        <v>4</v>
      </c>
      <c r="G143" s="5" t="b">
        <v>0</v>
      </c>
      <c r="H143" s="5">
        <v>5</v>
      </c>
      <c r="I143" s="5">
        <v>2</v>
      </c>
      <c r="J143" s="5">
        <v>0.2</v>
      </c>
    </row>
    <row r="144" spans="1:10">
      <c r="A144" s="5">
        <v>143</v>
      </c>
      <c r="B144" s="11">
        <v>40550</v>
      </c>
      <c r="C144" s="5">
        <v>1</v>
      </c>
      <c r="D144" s="5">
        <v>0</v>
      </c>
      <c r="E144" s="5">
        <v>1</v>
      </c>
      <c r="F144" s="5">
        <v>5</v>
      </c>
      <c r="G144" s="5" t="b">
        <v>0</v>
      </c>
      <c r="H144" s="5">
        <v>5</v>
      </c>
      <c r="I144" s="5">
        <v>3</v>
      </c>
      <c r="J144" s="5">
        <v>0.22</v>
      </c>
    </row>
    <row r="145" spans="1:10">
      <c r="A145" s="5">
        <v>144</v>
      </c>
      <c r="B145" s="11">
        <v>40550</v>
      </c>
      <c r="C145" s="5">
        <v>1</v>
      </c>
      <c r="D145" s="5">
        <v>0</v>
      </c>
      <c r="E145" s="5">
        <v>1</v>
      </c>
      <c r="F145" s="5">
        <v>6</v>
      </c>
      <c r="G145" s="5" t="b">
        <v>0</v>
      </c>
      <c r="H145" s="5">
        <v>5</v>
      </c>
      <c r="I145" s="5">
        <v>2</v>
      </c>
      <c r="J145" s="5">
        <v>0.2</v>
      </c>
    </row>
    <row r="146" spans="1:10">
      <c r="A146" s="5">
        <v>145</v>
      </c>
      <c r="B146" s="11">
        <v>40550</v>
      </c>
      <c r="C146" s="5">
        <v>1</v>
      </c>
      <c r="D146" s="5">
        <v>0</v>
      </c>
      <c r="E146" s="5">
        <v>1</v>
      </c>
      <c r="F146" s="5">
        <v>7</v>
      </c>
      <c r="G146" s="5" t="b">
        <v>0</v>
      </c>
      <c r="H146" s="5">
        <v>5</v>
      </c>
      <c r="I146" s="5">
        <v>1</v>
      </c>
      <c r="J146" s="5">
        <v>0.2</v>
      </c>
    </row>
    <row r="147" spans="1:10">
      <c r="A147" s="5">
        <v>146</v>
      </c>
      <c r="B147" s="11">
        <v>40550</v>
      </c>
      <c r="C147" s="5">
        <v>1</v>
      </c>
      <c r="D147" s="5">
        <v>0</v>
      </c>
      <c r="E147" s="5">
        <v>1</v>
      </c>
      <c r="F147" s="5">
        <v>8</v>
      </c>
      <c r="G147" s="5" t="b">
        <v>0</v>
      </c>
      <c r="H147" s="5">
        <v>5</v>
      </c>
      <c r="I147" s="5">
        <v>1</v>
      </c>
      <c r="J147" s="5">
        <v>0.2</v>
      </c>
    </row>
    <row r="148" spans="1:10">
      <c r="A148" s="5">
        <v>147</v>
      </c>
      <c r="B148" s="11">
        <v>40550</v>
      </c>
      <c r="C148" s="5">
        <v>1</v>
      </c>
      <c r="D148" s="5">
        <v>0</v>
      </c>
      <c r="E148" s="5">
        <v>1</v>
      </c>
      <c r="F148" s="5">
        <v>9</v>
      </c>
      <c r="G148" s="5" t="b">
        <v>0</v>
      </c>
      <c r="H148" s="5">
        <v>5</v>
      </c>
      <c r="I148" s="5">
        <v>1</v>
      </c>
      <c r="J148" s="5">
        <v>0.2</v>
      </c>
    </row>
    <row r="149" spans="1:10">
      <c r="A149" s="5">
        <v>148</v>
      </c>
      <c r="B149" s="11">
        <v>40550</v>
      </c>
      <c r="C149" s="5">
        <v>1</v>
      </c>
      <c r="D149" s="5">
        <v>0</v>
      </c>
      <c r="E149" s="5">
        <v>1</v>
      </c>
      <c r="F149" s="5">
        <v>10</v>
      </c>
      <c r="G149" s="5" t="b">
        <v>0</v>
      </c>
      <c r="H149" s="5">
        <v>5</v>
      </c>
      <c r="I149" s="5">
        <v>1</v>
      </c>
      <c r="J149" s="5">
        <v>0.22</v>
      </c>
    </row>
    <row r="150" spans="1:10">
      <c r="A150" s="5">
        <v>149</v>
      </c>
      <c r="B150" s="11">
        <v>40550</v>
      </c>
      <c r="C150" s="5">
        <v>1</v>
      </c>
      <c r="D150" s="5">
        <v>0</v>
      </c>
      <c r="E150" s="5">
        <v>1</v>
      </c>
      <c r="F150" s="5">
        <v>11</v>
      </c>
      <c r="G150" s="5" t="b">
        <v>0</v>
      </c>
      <c r="H150" s="5">
        <v>5</v>
      </c>
      <c r="I150" s="5">
        <v>2</v>
      </c>
      <c r="J150" s="5">
        <v>0.2</v>
      </c>
    </row>
    <row r="151" spans="1:10">
      <c r="A151" s="5">
        <v>150</v>
      </c>
      <c r="B151" s="11">
        <v>40550</v>
      </c>
      <c r="C151" s="5">
        <v>1</v>
      </c>
      <c r="D151" s="5">
        <v>0</v>
      </c>
      <c r="E151" s="5">
        <v>1</v>
      </c>
      <c r="F151" s="5">
        <v>12</v>
      </c>
      <c r="G151" s="5" t="b">
        <v>0</v>
      </c>
      <c r="H151" s="5">
        <v>5</v>
      </c>
      <c r="I151" s="5">
        <v>2</v>
      </c>
      <c r="J151" s="5">
        <v>0.2</v>
      </c>
    </row>
    <row r="152" spans="1:10">
      <c r="A152" s="5">
        <v>151</v>
      </c>
      <c r="B152" s="11">
        <v>40550</v>
      </c>
      <c r="C152" s="5">
        <v>1</v>
      </c>
      <c r="D152" s="5">
        <v>0</v>
      </c>
      <c r="E152" s="5">
        <v>1</v>
      </c>
      <c r="F152" s="5">
        <v>13</v>
      </c>
      <c r="G152" s="5" t="b">
        <v>0</v>
      </c>
      <c r="H152" s="5">
        <v>5</v>
      </c>
      <c r="I152" s="5">
        <v>2</v>
      </c>
      <c r="J152" s="5">
        <v>0.2</v>
      </c>
    </row>
    <row r="153" spans="1:10">
      <c r="A153" s="5">
        <v>152</v>
      </c>
      <c r="B153" s="11">
        <v>40550</v>
      </c>
      <c r="C153" s="5">
        <v>1</v>
      </c>
      <c r="D153" s="5">
        <v>0</v>
      </c>
      <c r="E153" s="5">
        <v>1</v>
      </c>
      <c r="F153" s="5">
        <v>14</v>
      </c>
      <c r="G153" s="5" t="b">
        <v>0</v>
      </c>
      <c r="H153" s="5">
        <v>5</v>
      </c>
      <c r="I153" s="5">
        <v>2</v>
      </c>
      <c r="J153" s="5">
        <v>0.2</v>
      </c>
    </row>
    <row r="154" spans="1:10">
      <c r="A154" s="5">
        <v>153</v>
      </c>
      <c r="B154" s="11">
        <v>40550</v>
      </c>
      <c r="C154" s="5">
        <v>1</v>
      </c>
      <c r="D154" s="5">
        <v>0</v>
      </c>
      <c r="E154" s="5">
        <v>1</v>
      </c>
      <c r="F154" s="5">
        <v>15</v>
      </c>
      <c r="G154" s="5" t="b">
        <v>0</v>
      </c>
      <c r="H154" s="5">
        <v>5</v>
      </c>
      <c r="I154" s="5">
        <v>2</v>
      </c>
      <c r="J154" s="5">
        <v>0.2</v>
      </c>
    </row>
    <row r="155" spans="1:10">
      <c r="A155" s="5">
        <v>154</v>
      </c>
      <c r="B155" s="11">
        <v>40550</v>
      </c>
      <c r="C155" s="5">
        <v>1</v>
      </c>
      <c r="D155" s="5">
        <v>0</v>
      </c>
      <c r="E155" s="5">
        <v>1</v>
      </c>
      <c r="F155" s="5">
        <v>16</v>
      </c>
      <c r="G155" s="5" t="b">
        <v>0</v>
      </c>
      <c r="H155" s="5">
        <v>5</v>
      </c>
      <c r="I155" s="5">
        <v>2</v>
      </c>
      <c r="J155" s="5">
        <v>0.2</v>
      </c>
    </row>
    <row r="156" spans="1:10">
      <c r="A156" s="5">
        <v>155</v>
      </c>
      <c r="B156" s="11">
        <v>40550</v>
      </c>
      <c r="C156" s="5">
        <v>1</v>
      </c>
      <c r="D156" s="5">
        <v>0</v>
      </c>
      <c r="E156" s="5">
        <v>1</v>
      </c>
      <c r="F156" s="5">
        <v>17</v>
      </c>
      <c r="G156" s="5" t="b">
        <v>0</v>
      </c>
      <c r="H156" s="5">
        <v>5</v>
      </c>
      <c r="I156" s="5">
        <v>2</v>
      </c>
      <c r="J156" s="5">
        <v>0.2</v>
      </c>
    </row>
    <row r="157" spans="1:10">
      <c r="A157" s="5">
        <v>156</v>
      </c>
      <c r="B157" s="11">
        <v>40550</v>
      </c>
      <c r="C157" s="5">
        <v>1</v>
      </c>
      <c r="D157" s="5">
        <v>0</v>
      </c>
      <c r="E157" s="5">
        <v>1</v>
      </c>
      <c r="F157" s="5">
        <v>18</v>
      </c>
      <c r="G157" s="5" t="b">
        <v>0</v>
      </c>
      <c r="H157" s="5">
        <v>5</v>
      </c>
      <c r="I157" s="5">
        <v>1</v>
      </c>
      <c r="J157" s="5">
        <v>0.2</v>
      </c>
    </row>
    <row r="158" spans="1:10">
      <c r="A158" s="5">
        <v>157</v>
      </c>
      <c r="B158" s="11">
        <v>40550</v>
      </c>
      <c r="C158" s="5">
        <v>1</v>
      </c>
      <c r="D158" s="5">
        <v>0</v>
      </c>
      <c r="E158" s="5">
        <v>1</v>
      </c>
      <c r="F158" s="5">
        <v>19</v>
      </c>
      <c r="G158" s="5" t="b">
        <v>0</v>
      </c>
      <c r="H158" s="5">
        <v>5</v>
      </c>
      <c r="I158" s="5">
        <v>1</v>
      </c>
      <c r="J158" s="5">
        <v>0.16</v>
      </c>
    </row>
    <row r="159" spans="1:10">
      <c r="A159" s="5">
        <v>158</v>
      </c>
      <c r="B159" s="11">
        <v>40550</v>
      </c>
      <c r="C159" s="5">
        <v>1</v>
      </c>
      <c r="D159" s="5">
        <v>0</v>
      </c>
      <c r="E159" s="5">
        <v>1</v>
      </c>
      <c r="F159" s="5">
        <v>20</v>
      </c>
      <c r="G159" s="5" t="b">
        <v>0</v>
      </c>
      <c r="H159" s="5">
        <v>5</v>
      </c>
      <c r="I159" s="5">
        <v>1</v>
      </c>
      <c r="J159" s="5">
        <v>0.18</v>
      </c>
    </row>
    <row r="160" spans="1:10">
      <c r="A160" s="5">
        <v>159</v>
      </c>
      <c r="B160" s="11">
        <v>40550</v>
      </c>
      <c r="C160" s="5">
        <v>1</v>
      </c>
      <c r="D160" s="5">
        <v>0</v>
      </c>
      <c r="E160" s="5">
        <v>1</v>
      </c>
      <c r="F160" s="5">
        <v>21</v>
      </c>
      <c r="G160" s="5" t="b">
        <v>0</v>
      </c>
      <c r="H160" s="5">
        <v>5</v>
      </c>
      <c r="I160" s="5">
        <v>1</v>
      </c>
      <c r="J160" s="5">
        <v>0.18</v>
      </c>
    </row>
    <row r="161" spans="1:10">
      <c r="A161" s="5">
        <v>160</v>
      </c>
      <c r="B161" s="11">
        <v>40550</v>
      </c>
      <c r="C161" s="5">
        <v>1</v>
      </c>
      <c r="D161" s="5">
        <v>0</v>
      </c>
      <c r="E161" s="5">
        <v>1</v>
      </c>
      <c r="F161" s="5">
        <v>22</v>
      </c>
      <c r="G161" s="5" t="b">
        <v>0</v>
      </c>
      <c r="H161" s="5">
        <v>5</v>
      </c>
      <c r="I161" s="5">
        <v>2</v>
      </c>
      <c r="J161" s="5">
        <v>0.18</v>
      </c>
    </row>
    <row r="162" spans="1:10">
      <c r="A162" s="5">
        <v>161</v>
      </c>
      <c r="B162" s="11">
        <v>40550</v>
      </c>
      <c r="C162" s="5">
        <v>1</v>
      </c>
      <c r="D162" s="5">
        <v>0</v>
      </c>
      <c r="E162" s="5">
        <v>1</v>
      </c>
      <c r="F162" s="5">
        <v>23</v>
      </c>
      <c r="G162" s="5" t="b">
        <v>0</v>
      </c>
      <c r="H162" s="5">
        <v>5</v>
      </c>
      <c r="I162" s="5">
        <v>2</v>
      </c>
      <c r="J162" s="5">
        <v>0.18</v>
      </c>
    </row>
    <row r="163" spans="1:10">
      <c r="A163" s="5">
        <v>162</v>
      </c>
      <c r="B163" s="11">
        <v>40551</v>
      </c>
      <c r="C163" s="5">
        <v>1</v>
      </c>
      <c r="D163" s="5">
        <v>0</v>
      </c>
      <c r="E163" s="5">
        <v>1</v>
      </c>
      <c r="F163" s="5">
        <v>0</v>
      </c>
      <c r="G163" s="5" t="b">
        <v>0</v>
      </c>
      <c r="H163" s="5">
        <v>6</v>
      </c>
      <c r="I163" s="5">
        <v>2</v>
      </c>
      <c r="J163" s="5">
        <v>0.18</v>
      </c>
    </row>
    <row r="164" spans="1:10">
      <c r="A164" s="5">
        <v>163</v>
      </c>
      <c r="B164" s="11">
        <v>40551</v>
      </c>
      <c r="C164" s="5">
        <v>1</v>
      </c>
      <c r="D164" s="5">
        <v>0</v>
      </c>
      <c r="E164" s="5">
        <v>1</v>
      </c>
      <c r="F164" s="5">
        <v>1</v>
      </c>
      <c r="G164" s="5" t="b">
        <v>0</v>
      </c>
      <c r="H164" s="5">
        <v>6</v>
      </c>
      <c r="I164" s="5">
        <v>2</v>
      </c>
      <c r="J164" s="5">
        <v>0.18</v>
      </c>
    </row>
    <row r="165" spans="1:10">
      <c r="A165" s="5">
        <v>164</v>
      </c>
      <c r="B165" s="11">
        <v>40551</v>
      </c>
      <c r="C165" s="5">
        <v>1</v>
      </c>
      <c r="D165" s="5">
        <v>0</v>
      </c>
      <c r="E165" s="5">
        <v>1</v>
      </c>
      <c r="F165" s="5">
        <v>2</v>
      </c>
      <c r="G165" s="5" t="b">
        <v>0</v>
      </c>
      <c r="H165" s="5">
        <v>6</v>
      </c>
      <c r="I165" s="5">
        <v>2</v>
      </c>
      <c r="J165" s="5">
        <v>0.18</v>
      </c>
    </row>
    <row r="166" spans="1:10">
      <c r="A166" s="5">
        <v>165</v>
      </c>
      <c r="B166" s="11">
        <v>40551</v>
      </c>
      <c r="C166" s="5">
        <v>1</v>
      </c>
      <c r="D166" s="5">
        <v>0</v>
      </c>
      <c r="E166" s="5">
        <v>1</v>
      </c>
      <c r="F166" s="5">
        <v>3</v>
      </c>
      <c r="G166" s="5" t="b">
        <v>0</v>
      </c>
      <c r="H166" s="5">
        <v>6</v>
      </c>
      <c r="I166" s="5">
        <v>3</v>
      </c>
      <c r="J166" s="5">
        <v>0.18</v>
      </c>
    </row>
    <row r="167" spans="1:10">
      <c r="A167" s="5">
        <v>166</v>
      </c>
      <c r="B167" s="11">
        <v>40551</v>
      </c>
      <c r="C167" s="5">
        <v>1</v>
      </c>
      <c r="D167" s="5">
        <v>0</v>
      </c>
      <c r="E167" s="5">
        <v>1</v>
      </c>
      <c r="F167" s="5">
        <v>4</v>
      </c>
      <c r="G167" s="5" t="b">
        <v>0</v>
      </c>
      <c r="H167" s="5">
        <v>6</v>
      </c>
      <c r="I167" s="5">
        <v>3</v>
      </c>
      <c r="J167" s="5">
        <v>0.18</v>
      </c>
    </row>
    <row r="168" spans="1:10">
      <c r="A168" s="5">
        <v>167</v>
      </c>
      <c r="B168" s="11">
        <v>40551</v>
      </c>
      <c r="C168" s="5">
        <v>1</v>
      </c>
      <c r="D168" s="5">
        <v>0</v>
      </c>
      <c r="E168" s="5">
        <v>1</v>
      </c>
      <c r="F168" s="5">
        <v>5</v>
      </c>
      <c r="G168" s="5" t="b">
        <v>0</v>
      </c>
      <c r="H168" s="5">
        <v>6</v>
      </c>
      <c r="I168" s="5">
        <v>2</v>
      </c>
      <c r="J168" s="5">
        <v>0.16</v>
      </c>
    </row>
    <row r="169" spans="1:10">
      <c r="A169" s="5">
        <v>168</v>
      </c>
      <c r="B169" s="11">
        <v>40551</v>
      </c>
      <c r="C169" s="5">
        <v>1</v>
      </c>
      <c r="D169" s="5">
        <v>0</v>
      </c>
      <c r="E169" s="5">
        <v>1</v>
      </c>
      <c r="F169" s="5">
        <v>6</v>
      </c>
      <c r="G169" s="5" t="b">
        <v>0</v>
      </c>
      <c r="H169" s="5">
        <v>6</v>
      </c>
      <c r="I169" s="5">
        <v>2</v>
      </c>
      <c r="J169" s="5">
        <v>0.16</v>
      </c>
    </row>
    <row r="170" spans="1:10">
      <c r="A170" s="5">
        <v>169</v>
      </c>
      <c r="B170" s="11">
        <v>40551</v>
      </c>
      <c r="C170" s="5">
        <v>1</v>
      </c>
      <c r="D170" s="5">
        <v>0</v>
      </c>
      <c r="E170" s="5">
        <v>1</v>
      </c>
      <c r="F170" s="5">
        <v>7</v>
      </c>
      <c r="G170" s="5" t="b">
        <v>0</v>
      </c>
      <c r="H170" s="5">
        <v>6</v>
      </c>
      <c r="I170" s="5">
        <v>2</v>
      </c>
      <c r="J170" s="5">
        <v>0.16</v>
      </c>
    </row>
    <row r="171" spans="1:10">
      <c r="A171" s="5">
        <v>170</v>
      </c>
      <c r="B171" s="11">
        <v>40551</v>
      </c>
      <c r="C171" s="5">
        <v>1</v>
      </c>
      <c r="D171" s="5">
        <v>0</v>
      </c>
      <c r="E171" s="5">
        <v>1</v>
      </c>
      <c r="F171" s="5">
        <v>8</v>
      </c>
      <c r="G171" s="5" t="b">
        <v>0</v>
      </c>
      <c r="H171" s="5">
        <v>6</v>
      </c>
      <c r="I171" s="5">
        <v>3</v>
      </c>
      <c r="J171" s="5">
        <v>0.16</v>
      </c>
    </row>
    <row r="172" spans="1:10">
      <c r="A172" s="5">
        <v>171</v>
      </c>
      <c r="B172" s="11">
        <v>40551</v>
      </c>
      <c r="C172" s="5">
        <v>1</v>
      </c>
      <c r="D172" s="5">
        <v>0</v>
      </c>
      <c r="E172" s="5">
        <v>1</v>
      </c>
      <c r="F172" s="5">
        <v>9</v>
      </c>
      <c r="G172" s="5" t="b">
        <v>0</v>
      </c>
      <c r="H172" s="5">
        <v>6</v>
      </c>
      <c r="I172" s="5">
        <v>3</v>
      </c>
      <c r="J172" s="5">
        <v>0.16</v>
      </c>
    </row>
    <row r="173" spans="1:10">
      <c r="A173" s="5">
        <v>172</v>
      </c>
      <c r="B173" s="11">
        <v>40551</v>
      </c>
      <c r="C173" s="5">
        <v>1</v>
      </c>
      <c r="D173" s="5">
        <v>0</v>
      </c>
      <c r="E173" s="5">
        <v>1</v>
      </c>
      <c r="F173" s="5">
        <v>10</v>
      </c>
      <c r="G173" s="5" t="b">
        <v>0</v>
      </c>
      <c r="H173" s="5">
        <v>6</v>
      </c>
      <c r="I173" s="5">
        <v>2</v>
      </c>
      <c r="J173" s="5">
        <v>0.18</v>
      </c>
    </row>
    <row r="174" spans="1:10">
      <c r="A174" s="5">
        <v>173</v>
      </c>
      <c r="B174" s="11">
        <v>40551</v>
      </c>
      <c r="C174" s="5">
        <v>1</v>
      </c>
      <c r="D174" s="5">
        <v>0</v>
      </c>
      <c r="E174" s="5">
        <v>1</v>
      </c>
      <c r="F174" s="5">
        <v>11</v>
      </c>
      <c r="G174" s="5" t="b">
        <v>0</v>
      </c>
      <c r="H174" s="5">
        <v>6</v>
      </c>
      <c r="I174" s="5">
        <v>2</v>
      </c>
      <c r="J174" s="5">
        <v>0.2</v>
      </c>
    </row>
    <row r="175" spans="1:10">
      <c r="A175" s="5">
        <v>174</v>
      </c>
      <c r="B175" s="11">
        <v>40551</v>
      </c>
      <c r="C175" s="5">
        <v>1</v>
      </c>
      <c r="D175" s="5">
        <v>0</v>
      </c>
      <c r="E175" s="5">
        <v>1</v>
      </c>
      <c r="F175" s="5">
        <v>12</v>
      </c>
      <c r="G175" s="5" t="b">
        <v>0</v>
      </c>
      <c r="H175" s="5">
        <v>6</v>
      </c>
      <c r="I175" s="5">
        <v>2</v>
      </c>
      <c r="J175" s="5">
        <v>0.2</v>
      </c>
    </row>
    <row r="176" spans="1:10">
      <c r="A176" s="5">
        <v>175</v>
      </c>
      <c r="B176" s="11">
        <v>40551</v>
      </c>
      <c r="C176" s="5">
        <v>1</v>
      </c>
      <c r="D176" s="5">
        <v>0</v>
      </c>
      <c r="E176" s="5">
        <v>1</v>
      </c>
      <c r="F176" s="5">
        <v>13</v>
      </c>
      <c r="G176" s="5" t="b">
        <v>0</v>
      </c>
      <c r="H176" s="5">
        <v>6</v>
      </c>
      <c r="I176" s="5">
        <v>1</v>
      </c>
      <c r="J176" s="5">
        <v>0.2</v>
      </c>
    </row>
    <row r="177" spans="1:10">
      <c r="A177" s="5">
        <v>176</v>
      </c>
      <c r="B177" s="11">
        <v>40551</v>
      </c>
      <c r="C177" s="5">
        <v>1</v>
      </c>
      <c r="D177" s="5">
        <v>0</v>
      </c>
      <c r="E177" s="5">
        <v>1</v>
      </c>
      <c r="F177" s="5">
        <v>14</v>
      </c>
      <c r="G177" s="5" t="b">
        <v>0</v>
      </c>
      <c r="H177" s="5">
        <v>6</v>
      </c>
      <c r="I177" s="5">
        <v>1</v>
      </c>
      <c r="J177" s="5">
        <v>0.2</v>
      </c>
    </row>
    <row r="178" spans="1:10">
      <c r="A178" s="5">
        <v>177</v>
      </c>
      <c r="B178" s="11">
        <v>40551</v>
      </c>
      <c r="C178" s="5">
        <v>1</v>
      </c>
      <c r="D178" s="5">
        <v>0</v>
      </c>
      <c r="E178" s="5">
        <v>1</v>
      </c>
      <c r="F178" s="5">
        <v>15</v>
      </c>
      <c r="G178" s="5" t="b">
        <v>0</v>
      </c>
      <c r="H178" s="5">
        <v>6</v>
      </c>
      <c r="I178" s="5">
        <v>1</v>
      </c>
      <c r="J178" s="5">
        <v>0.2</v>
      </c>
    </row>
    <row r="179" spans="1:10">
      <c r="A179" s="5">
        <v>178</v>
      </c>
      <c r="B179" s="11">
        <v>40551</v>
      </c>
      <c r="C179" s="5">
        <v>1</v>
      </c>
      <c r="D179" s="5">
        <v>0</v>
      </c>
      <c r="E179" s="5">
        <v>1</v>
      </c>
      <c r="F179" s="5">
        <v>16</v>
      </c>
      <c r="G179" s="5" t="b">
        <v>0</v>
      </c>
      <c r="H179" s="5">
        <v>6</v>
      </c>
      <c r="I179" s="5">
        <v>1</v>
      </c>
      <c r="J179" s="5">
        <v>0.18</v>
      </c>
    </row>
    <row r="180" spans="1:10">
      <c r="A180" s="5">
        <v>179</v>
      </c>
      <c r="B180" s="11">
        <v>40551</v>
      </c>
      <c r="C180" s="5">
        <v>1</v>
      </c>
      <c r="D180" s="5">
        <v>0</v>
      </c>
      <c r="E180" s="5">
        <v>1</v>
      </c>
      <c r="F180" s="5">
        <v>17</v>
      </c>
      <c r="G180" s="5" t="b">
        <v>0</v>
      </c>
      <c r="H180" s="5">
        <v>6</v>
      </c>
      <c r="I180" s="5">
        <v>1</v>
      </c>
      <c r="J180" s="5">
        <v>0.16</v>
      </c>
    </row>
    <row r="181" spans="1:10">
      <c r="A181" s="5">
        <v>180</v>
      </c>
      <c r="B181" s="11">
        <v>40551</v>
      </c>
      <c r="C181" s="5">
        <v>1</v>
      </c>
      <c r="D181" s="5">
        <v>0</v>
      </c>
      <c r="E181" s="5">
        <v>1</v>
      </c>
      <c r="F181" s="5">
        <v>18</v>
      </c>
      <c r="G181" s="5" t="b">
        <v>0</v>
      </c>
      <c r="H181" s="5">
        <v>6</v>
      </c>
      <c r="I181" s="5">
        <v>1</v>
      </c>
      <c r="J181" s="5">
        <v>0.14</v>
      </c>
    </row>
    <row r="182" spans="1:10">
      <c r="A182" s="5">
        <v>181</v>
      </c>
      <c r="B182" s="11">
        <v>40551</v>
      </c>
      <c r="C182" s="5">
        <v>1</v>
      </c>
      <c r="D182" s="5">
        <v>0</v>
      </c>
      <c r="E182" s="5">
        <v>1</v>
      </c>
      <c r="F182" s="5">
        <v>19</v>
      </c>
      <c r="G182" s="5" t="b">
        <v>0</v>
      </c>
      <c r="H182" s="5">
        <v>6</v>
      </c>
      <c r="I182" s="5">
        <v>1</v>
      </c>
      <c r="J182" s="5">
        <v>0.14</v>
      </c>
    </row>
    <row r="183" spans="1:10">
      <c r="A183" s="5">
        <v>182</v>
      </c>
      <c r="B183" s="11">
        <v>40551</v>
      </c>
      <c r="C183" s="5">
        <v>1</v>
      </c>
      <c r="D183" s="5">
        <v>0</v>
      </c>
      <c r="E183" s="5">
        <v>1</v>
      </c>
      <c r="F183" s="5">
        <v>20</v>
      </c>
      <c r="G183" s="5" t="b">
        <v>0</v>
      </c>
      <c r="H183" s="5">
        <v>6</v>
      </c>
      <c r="I183" s="5">
        <v>1</v>
      </c>
      <c r="J183" s="5">
        <v>0.12</v>
      </c>
    </row>
    <row r="184" spans="1:10">
      <c r="A184" s="5">
        <v>183</v>
      </c>
      <c r="B184" s="11">
        <v>40551</v>
      </c>
      <c r="C184" s="5">
        <v>1</v>
      </c>
      <c r="D184" s="5">
        <v>0</v>
      </c>
      <c r="E184" s="5">
        <v>1</v>
      </c>
      <c r="F184" s="5">
        <v>21</v>
      </c>
      <c r="G184" s="5" t="b">
        <v>0</v>
      </c>
      <c r="H184" s="5">
        <v>6</v>
      </c>
      <c r="I184" s="5">
        <v>1</v>
      </c>
      <c r="J184" s="5">
        <v>0.12</v>
      </c>
    </row>
    <row r="185" spans="1:10">
      <c r="A185" s="5">
        <v>184</v>
      </c>
      <c r="B185" s="11">
        <v>40551</v>
      </c>
      <c r="C185" s="5">
        <v>1</v>
      </c>
      <c r="D185" s="5">
        <v>0</v>
      </c>
      <c r="E185" s="5">
        <v>1</v>
      </c>
      <c r="F185" s="5">
        <v>22</v>
      </c>
      <c r="G185" s="5" t="b">
        <v>0</v>
      </c>
      <c r="H185" s="5">
        <v>6</v>
      </c>
      <c r="I185" s="5">
        <v>1</v>
      </c>
      <c r="J185" s="5">
        <v>0.12</v>
      </c>
    </row>
    <row r="186" spans="1:10">
      <c r="A186" s="5">
        <v>185</v>
      </c>
      <c r="B186" s="11">
        <v>40551</v>
      </c>
      <c r="C186" s="5">
        <v>1</v>
      </c>
      <c r="D186" s="5">
        <v>0</v>
      </c>
      <c r="E186" s="5">
        <v>1</v>
      </c>
      <c r="F186" s="5">
        <v>23</v>
      </c>
      <c r="G186" s="5" t="b">
        <v>0</v>
      </c>
      <c r="H186" s="5">
        <v>6</v>
      </c>
      <c r="I186" s="5">
        <v>1</v>
      </c>
      <c r="J186" s="5">
        <v>0.1</v>
      </c>
    </row>
    <row r="187" spans="1:10">
      <c r="A187" s="5">
        <v>186</v>
      </c>
      <c r="B187" s="11">
        <v>40552</v>
      </c>
      <c r="C187" s="5">
        <v>1</v>
      </c>
      <c r="D187" s="5">
        <v>0</v>
      </c>
      <c r="E187" s="5">
        <v>1</v>
      </c>
      <c r="F187" s="5">
        <v>0</v>
      </c>
      <c r="G187" s="5" t="b">
        <v>0</v>
      </c>
      <c r="H187" s="5">
        <v>0</v>
      </c>
      <c r="I187" s="5">
        <v>1</v>
      </c>
      <c r="J187" s="5">
        <v>0.1</v>
      </c>
    </row>
    <row r="188" spans="1:10">
      <c r="A188" s="5">
        <v>187</v>
      </c>
      <c r="B188" s="11">
        <v>40552</v>
      </c>
      <c r="C188" s="5">
        <v>1</v>
      </c>
      <c r="D188" s="5">
        <v>0</v>
      </c>
      <c r="E188" s="5">
        <v>1</v>
      </c>
      <c r="F188" s="5">
        <v>1</v>
      </c>
      <c r="G188" s="5" t="b">
        <v>0</v>
      </c>
      <c r="H188" s="5">
        <v>0</v>
      </c>
      <c r="I188" s="5">
        <v>1</v>
      </c>
      <c r="J188" s="5">
        <v>0.1</v>
      </c>
    </row>
    <row r="189" spans="1:10">
      <c r="A189" s="5">
        <v>188</v>
      </c>
      <c r="B189" s="11">
        <v>40552</v>
      </c>
      <c r="C189" s="5">
        <v>1</v>
      </c>
      <c r="D189" s="5">
        <v>0</v>
      </c>
      <c r="E189" s="5">
        <v>1</v>
      </c>
      <c r="F189" s="5">
        <v>2</v>
      </c>
      <c r="G189" s="5" t="b">
        <v>0</v>
      </c>
      <c r="H189" s="5">
        <v>0</v>
      </c>
      <c r="I189" s="5">
        <v>1</v>
      </c>
      <c r="J189" s="5">
        <v>0.1</v>
      </c>
    </row>
    <row r="190" spans="1:10">
      <c r="A190" s="5">
        <v>189</v>
      </c>
      <c r="B190" s="11">
        <v>40552</v>
      </c>
      <c r="C190" s="5">
        <v>1</v>
      </c>
      <c r="D190" s="5">
        <v>0</v>
      </c>
      <c r="E190" s="5">
        <v>1</v>
      </c>
      <c r="F190" s="5">
        <v>3</v>
      </c>
      <c r="G190" s="5" t="b">
        <v>0</v>
      </c>
      <c r="H190" s="5">
        <v>0</v>
      </c>
      <c r="I190" s="5">
        <v>1</v>
      </c>
      <c r="J190" s="5">
        <v>0.1</v>
      </c>
    </row>
    <row r="191" spans="1:10">
      <c r="A191" s="5">
        <v>190</v>
      </c>
      <c r="B191" s="11">
        <v>40552</v>
      </c>
      <c r="C191" s="5">
        <v>1</v>
      </c>
      <c r="D191" s="5">
        <v>0</v>
      </c>
      <c r="E191" s="5">
        <v>1</v>
      </c>
      <c r="F191" s="5">
        <v>4</v>
      </c>
      <c r="G191" s="5" t="b">
        <v>0</v>
      </c>
      <c r="H191" s="5">
        <v>0</v>
      </c>
      <c r="I191" s="5">
        <v>1</v>
      </c>
      <c r="J191" s="5">
        <v>0.08</v>
      </c>
    </row>
    <row r="192" spans="1:10">
      <c r="A192" s="5">
        <v>191</v>
      </c>
      <c r="B192" s="11">
        <v>40552</v>
      </c>
      <c r="C192" s="5">
        <v>1</v>
      </c>
      <c r="D192" s="5">
        <v>0</v>
      </c>
      <c r="E192" s="5">
        <v>1</v>
      </c>
      <c r="F192" s="5">
        <v>5</v>
      </c>
      <c r="G192" s="5" t="b">
        <v>0</v>
      </c>
      <c r="H192" s="5">
        <v>0</v>
      </c>
      <c r="I192" s="5">
        <v>1</v>
      </c>
      <c r="J192" s="5">
        <v>0.08</v>
      </c>
    </row>
    <row r="193" spans="1:10">
      <c r="A193" s="5">
        <v>192</v>
      </c>
      <c r="B193" s="11">
        <v>40552</v>
      </c>
      <c r="C193" s="5">
        <v>1</v>
      </c>
      <c r="D193" s="5">
        <v>0</v>
      </c>
      <c r="E193" s="5">
        <v>1</v>
      </c>
      <c r="F193" s="5">
        <v>6</v>
      </c>
      <c r="G193" s="5" t="b">
        <v>0</v>
      </c>
      <c r="H193" s="5">
        <v>0</v>
      </c>
      <c r="I193" s="5">
        <v>1</v>
      </c>
      <c r="J193" s="5">
        <v>0.1</v>
      </c>
    </row>
    <row r="194" spans="1:10">
      <c r="A194" s="5">
        <v>193</v>
      </c>
      <c r="B194" s="11">
        <v>40552</v>
      </c>
      <c r="C194" s="5">
        <v>1</v>
      </c>
      <c r="D194" s="5">
        <v>0</v>
      </c>
      <c r="E194" s="5">
        <v>1</v>
      </c>
      <c r="F194" s="5">
        <v>7</v>
      </c>
      <c r="G194" s="5" t="b">
        <v>0</v>
      </c>
      <c r="H194" s="5">
        <v>0</v>
      </c>
      <c r="I194" s="5">
        <v>1</v>
      </c>
      <c r="J194" s="5">
        <v>0.08</v>
      </c>
    </row>
    <row r="195" spans="1:10">
      <c r="A195" s="5">
        <v>194</v>
      </c>
      <c r="B195" s="11">
        <v>40552</v>
      </c>
      <c r="C195" s="5">
        <v>1</v>
      </c>
      <c r="D195" s="5">
        <v>0</v>
      </c>
      <c r="E195" s="5">
        <v>1</v>
      </c>
      <c r="F195" s="5">
        <v>8</v>
      </c>
      <c r="G195" s="5" t="b">
        <v>0</v>
      </c>
      <c r="H195" s="5">
        <v>0</v>
      </c>
      <c r="I195" s="5">
        <v>1</v>
      </c>
      <c r="J195" s="5">
        <v>0.1</v>
      </c>
    </row>
    <row r="196" spans="1:10">
      <c r="A196" s="5">
        <v>195</v>
      </c>
      <c r="B196" s="11">
        <v>40552</v>
      </c>
      <c r="C196" s="5">
        <v>1</v>
      </c>
      <c r="D196" s="5">
        <v>0</v>
      </c>
      <c r="E196" s="5">
        <v>1</v>
      </c>
      <c r="F196" s="5">
        <v>9</v>
      </c>
      <c r="G196" s="5" t="b">
        <v>0</v>
      </c>
      <c r="H196" s="5">
        <v>0</v>
      </c>
      <c r="I196" s="5">
        <v>1</v>
      </c>
      <c r="J196" s="5">
        <v>0.12</v>
      </c>
    </row>
    <row r="197" spans="1:10">
      <c r="A197" s="5">
        <v>196</v>
      </c>
      <c r="B197" s="11">
        <v>40552</v>
      </c>
      <c r="C197" s="5">
        <v>1</v>
      </c>
      <c r="D197" s="5">
        <v>0</v>
      </c>
      <c r="E197" s="5">
        <v>1</v>
      </c>
      <c r="F197" s="5">
        <v>10</v>
      </c>
      <c r="G197" s="5" t="b">
        <v>0</v>
      </c>
      <c r="H197" s="5">
        <v>0</v>
      </c>
      <c r="I197" s="5">
        <v>1</v>
      </c>
      <c r="J197" s="5">
        <v>0.14</v>
      </c>
    </row>
    <row r="198" spans="1:10">
      <c r="A198" s="5">
        <v>197</v>
      </c>
      <c r="B198" s="11">
        <v>40552</v>
      </c>
      <c r="C198" s="5">
        <v>1</v>
      </c>
      <c r="D198" s="5">
        <v>0</v>
      </c>
      <c r="E198" s="5">
        <v>1</v>
      </c>
      <c r="F198" s="5">
        <v>11</v>
      </c>
      <c r="G198" s="5" t="b">
        <v>0</v>
      </c>
      <c r="H198" s="5">
        <v>0</v>
      </c>
      <c r="I198" s="5">
        <v>1</v>
      </c>
      <c r="J198" s="5">
        <v>0.16</v>
      </c>
    </row>
    <row r="199" spans="1:10">
      <c r="A199" s="5">
        <v>198</v>
      </c>
      <c r="B199" s="11">
        <v>40552</v>
      </c>
      <c r="C199" s="5">
        <v>1</v>
      </c>
      <c r="D199" s="5">
        <v>0</v>
      </c>
      <c r="E199" s="5">
        <v>1</v>
      </c>
      <c r="F199" s="5">
        <v>12</v>
      </c>
      <c r="G199" s="5" t="b">
        <v>0</v>
      </c>
      <c r="H199" s="5">
        <v>0</v>
      </c>
      <c r="I199" s="5">
        <v>1</v>
      </c>
      <c r="J199" s="5">
        <v>0.18</v>
      </c>
    </row>
    <row r="200" spans="1:10">
      <c r="A200" s="5">
        <v>199</v>
      </c>
      <c r="B200" s="11">
        <v>40552</v>
      </c>
      <c r="C200" s="5">
        <v>1</v>
      </c>
      <c r="D200" s="5">
        <v>0</v>
      </c>
      <c r="E200" s="5">
        <v>1</v>
      </c>
      <c r="F200" s="5">
        <v>13</v>
      </c>
      <c r="G200" s="5" t="b">
        <v>0</v>
      </c>
      <c r="H200" s="5">
        <v>0</v>
      </c>
      <c r="I200" s="5">
        <v>1</v>
      </c>
      <c r="J200" s="5">
        <v>0.2</v>
      </c>
    </row>
    <row r="201" spans="1:10">
      <c r="A201" s="5">
        <v>200</v>
      </c>
      <c r="B201" s="11">
        <v>40552</v>
      </c>
      <c r="C201" s="5">
        <v>1</v>
      </c>
      <c r="D201" s="5">
        <v>0</v>
      </c>
      <c r="E201" s="5">
        <v>1</v>
      </c>
      <c r="F201" s="5">
        <v>14</v>
      </c>
      <c r="G201" s="5" t="b">
        <v>0</v>
      </c>
      <c r="H201" s="5">
        <v>0</v>
      </c>
      <c r="I201" s="5">
        <v>1</v>
      </c>
      <c r="J201" s="5">
        <v>0.22</v>
      </c>
    </row>
    <row r="202" spans="1:10">
      <c r="A202" s="5">
        <v>201</v>
      </c>
      <c r="B202" s="11">
        <v>40552</v>
      </c>
      <c r="C202" s="5">
        <v>1</v>
      </c>
      <c r="D202" s="5">
        <v>0</v>
      </c>
      <c r="E202" s="5">
        <v>1</v>
      </c>
      <c r="F202" s="5">
        <v>15</v>
      </c>
      <c r="G202" s="5" t="b">
        <v>0</v>
      </c>
      <c r="H202" s="5">
        <v>0</v>
      </c>
      <c r="I202" s="5">
        <v>1</v>
      </c>
      <c r="J202" s="5">
        <v>0.22</v>
      </c>
    </row>
    <row r="203" spans="1:10">
      <c r="A203" s="5">
        <v>202</v>
      </c>
      <c r="B203" s="11">
        <v>40552</v>
      </c>
      <c r="C203" s="5">
        <v>1</v>
      </c>
      <c r="D203" s="5">
        <v>0</v>
      </c>
      <c r="E203" s="5">
        <v>1</v>
      </c>
      <c r="F203" s="5">
        <v>16</v>
      </c>
      <c r="G203" s="5" t="b">
        <v>0</v>
      </c>
      <c r="H203" s="5">
        <v>0</v>
      </c>
      <c r="I203" s="5">
        <v>1</v>
      </c>
      <c r="J203" s="5">
        <v>0.2</v>
      </c>
    </row>
    <row r="204" spans="1:10">
      <c r="A204" s="5">
        <v>203</v>
      </c>
      <c r="B204" s="11">
        <v>40552</v>
      </c>
      <c r="C204" s="5">
        <v>1</v>
      </c>
      <c r="D204" s="5">
        <v>0</v>
      </c>
      <c r="E204" s="5">
        <v>1</v>
      </c>
      <c r="F204" s="5">
        <v>17</v>
      </c>
      <c r="G204" s="5" t="b">
        <v>0</v>
      </c>
      <c r="H204" s="5">
        <v>0</v>
      </c>
      <c r="I204" s="5">
        <v>1</v>
      </c>
      <c r="J204" s="5">
        <v>0.18</v>
      </c>
    </row>
    <row r="205" spans="1:10">
      <c r="A205" s="5">
        <v>204</v>
      </c>
      <c r="B205" s="11">
        <v>40552</v>
      </c>
      <c r="C205" s="5">
        <v>1</v>
      </c>
      <c r="D205" s="5">
        <v>0</v>
      </c>
      <c r="E205" s="5">
        <v>1</v>
      </c>
      <c r="F205" s="5">
        <v>18</v>
      </c>
      <c r="G205" s="5" t="b">
        <v>0</v>
      </c>
      <c r="H205" s="5">
        <v>0</v>
      </c>
      <c r="I205" s="5">
        <v>1</v>
      </c>
      <c r="J205" s="5">
        <v>0.16</v>
      </c>
    </row>
    <row r="206" spans="1:10">
      <c r="A206" s="5">
        <v>205</v>
      </c>
      <c r="B206" s="11">
        <v>40552</v>
      </c>
      <c r="C206" s="5">
        <v>1</v>
      </c>
      <c r="D206" s="5">
        <v>0</v>
      </c>
      <c r="E206" s="5">
        <v>1</v>
      </c>
      <c r="F206" s="5">
        <v>19</v>
      </c>
      <c r="G206" s="5" t="b">
        <v>0</v>
      </c>
      <c r="H206" s="5">
        <v>0</v>
      </c>
      <c r="I206" s="5">
        <v>1</v>
      </c>
      <c r="J206" s="5">
        <v>0.16</v>
      </c>
    </row>
    <row r="207" spans="1:10">
      <c r="A207" s="5">
        <v>206</v>
      </c>
      <c r="B207" s="11">
        <v>40552</v>
      </c>
      <c r="C207" s="5">
        <v>1</v>
      </c>
      <c r="D207" s="5">
        <v>0</v>
      </c>
      <c r="E207" s="5">
        <v>1</v>
      </c>
      <c r="F207" s="5">
        <v>20</v>
      </c>
      <c r="G207" s="5" t="b">
        <v>0</v>
      </c>
      <c r="H207" s="5">
        <v>0</v>
      </c>
      <c r="I207" s="5">
        <v>1</v>
      </c>
      <c r="J207" s="5">
        <v>0.14</v>
      </c>
    </row>
    <row r="208" spans="1:10">
      <c r="A208" s="5">
        <v>207</v>
      </c>
      <c r="B208" s="11">
        <v>40552</v>
      </c>
      <c r="C208" s="5">
        <v>1</v>
      </c>
      <c r="D208" s="5">
        <v>0</v>
      </c>
      <c r="E208" s="5">
        <v>1</v>
      </c>
      <c r="F208" s="5">
        <v>21</v>
      </c>
      <c r="G208" s="5" t="b">
        <v>0</v>
      </c>
      <c r="H208" s="5">
        <v>0</v>
      </c>
      <c r="I208" s="5">
        <v>1</v>
      </c>
      <c r="J208" s="5">
        <v>0.14</v>
      </c>
    </row>
    <row r="209" spans="1:10">
      <c r="A209" s="5">
        <v>208</v>
      </c>
      <c r="B209" s="11">
        <v>40552</v>
      </c>
      <c r="C209" s="5">
        <v>1</v>
      </c>
      <c r="D209" s="5">
        <v>0</v>
      </c>
      <c r="E209" s="5">
        <v>1</v>
      </c>
      <c r="F209" s="5">
        <v>22</v>
      </c>
      <c r="G209" s="5" t="b">
        <v>0</v>
      </c>
      <c r="H209" s="5">
        <v>0</v>
      </c>
      <c r="I209" s="5">
        <v>1</v>
      </c>
      <c r="J209" s="5">
        <v>0.14</v>
      </c>
    </row>
    <row r="210" spans="1:10">
      <c r="A210" s="5">
        <v>209</v>
      </c>
      <c r="B210" s="11">
        <v>40552</v>
      </c>
      <c r="C210" s="5">
        <v>1</v>
      </c>
      <c r="D210" s="5">
        <v>0</v>
      </c>
      <c r="E210" s="5">
        <v>1</v>
      </c>
      <c r="F210" s="5">
        <v>23</v>
      </c>
      <c r="G210" s="5" t="b">
        <v>0</v>
      </c>
      <c r="H210" s="5">
        <v>0</v>
      </c>
      <c r="I210" s="5">
        <v>1</v>
      </c>
      <c r="J210" s="5">
        <v>0.12</v>
      </c>
    </row>
    <row r="211" spans="1:10">
      <c r="A211" s="5">
        <v>210</v>
      </c>
      <c r="B211" s="11">
        <v>40553</v>
      </c>
      <c r="C211" s="5">
        <v>1</v>
      </c>
      <c r="D211" s="5">
        <v>0</v>
      </c>
      <c r="E211" s="5">
        <v>1</v>
      </c>
      <c r="F211" s="5">
        <v>0</v>
      </c>
      <c r="G211" s="5" t="b">
        <v>0</v>
      </c>
      <c r="H211" s="5">
        <v>1</v>
      </c>
      <c r="I211" s="5">
        <v>1</v>
      </c>
      <c r="J211" s="5">
        <v>0.12</v>
      </c>
    </row>
    <row r="212" spans="1:10">
      <c r="A212" s="5">
        <v>211</v>
      </c>
      <c r="B212" s="11">
        <v>40553</v>
      </c>
      <c r="C212" s="5">
        <v>1</v>
      </c>
      <c r="D212" s="5">
        <v>0</v>
      </c>
      <c r="E212" s="5">
        <v>1</v>
      </c>
      <c r="F212" s="5">
        <v>1</v>
      </c>
      <c r="G212" s="5" t="b">
        <v>0</v>
      </c>
      <c r="H212" s="5">
        <v>1</v>
      </c>
      <c r="I212" s="5">
        <v>1</v>
      </c>
      <c r="J212" s="5">
        <v>0.12</v>
      </c>
    </row>
    <row r="213" spans="1:10">
      <c r="A213" s="5">
        <v>212</v>
      </c>
      <c r="B213" s="11">
        <v>40553</v>
      </c>
      <c r="C213" s="5">
        <v>1</v>
      </c>
      <c r="D213" s="5">
        <v>0</v>
      </c>
      <c r="E213" s="5">
        <v>1</v>
      </c>
      <c r="F213" s="5">
        <v>2</v>
      </c>
      <c r="G213" s="5" t="b">
        <v>0</v>
      </c>
      <c r="H213" s="5">
        <v>1</v>
      </c>
      <c r="I213" s="5">
        <v>1</v>
      </c>
      <c r="J213" s="5">
        <v>0.12</v>
      </c>
    </row>
    <row r="214" spans="1:10">
      <c r="A214" s="5">
        <v>213</v>
      </c>
      <c r="B214" s="11">
        <v>40553</v>
      </c>
      <c r="C214" s="5">
        <v>1</v>
      </c>
      <c r="D214" s="5">
        <v>0</v>
      </c>
      <c r="E214" s="5">
        <v>1</v>
      </c>
      <c r="F214" s="5">
        <v>3</v>
      </c>
      <c r="G214" s="5" t="b">
        <v>0</v>
      </c>
      <c r="H214" s="5">
        <v>1</v>
      </c>
      <c r="I214" s="5">
        <v>1</v>
      </c>
      <c r="J214" s="5">
        <v>0.12</v>
      </c>
    </row>
    <row r="215" spans="1:10">
      <c r="A215" s="5">
        <v>214</v>
      </c>
      <c r="B215" s="11">
        <v>40553</v>
      </c>
      <c r="C215" s="5">
        <v>1</v>
      </c>
      <c r="D215" s="5">
        <v>0</v>
      </c>
      <c r="E215" s="5">
        <v>1</v>
      </c>
      <c r="F215" s="5">
        <v>4</v>
      </c>
      <c r="G215" s="5" t="b">
        <v>0</v>
      </c>
      <c r="H215" s="5">
        <v>1</v>
      </c>
      <c r="I215" s="5">
        <v>1</v>
      </c>
      <c r="J215" s="5">
        <v>0.1</v>
      </c>
    </row>
    <row r="216" spans="1:10">
      <c r="A216" s="5">
        <v>215</v>
      </c>
      <c r="B216" s="11">
        <v>40553</v>
      </c>
      <c r="C216" s="5">
        <v>1</v>
      </c>
      <c r="D216" s="5">
        <v>0</v>
      </c>
      <c r="E216" s="5">
        <v>1</v>
      </c>
      <c r="F216" s="5">
        <v>5</v>
      </c>
      <c r="G216" s="5" t="b">
        <v>0</v>
      </c>
      <c r="H216" s="5">
        <v>1</v>
      </c>
      <c r="I216" s="5">
        <v>1</v>
      </c>
      <c r="J216" s="5">
        <v>0.1</v>
      </c>
    </row>
    <row r="217" spans="1:10">
      <c r="A217" s="5">
        <v>216</v>
      </c>
      <c r="B217" s="11">
        <v>40553</v>
      </c>
      <c r="C217" s="5">
        <v>1</v>
      </c>
      <c r="D217" s="5">
        <v>0</v>
      </c>
      <c r="E217" s="5">
        <v>1</v>
      </c>
      <c r="F217" s="5">
        <v>6</v>
      </c>
      <c r="G217" s="5" t="b">
        <v>0</v>
      </c>
      <c r="H217" s="5">
        <v>1</v>
      </c>
      <c r="I217" s="5">
        <v>1</v>
      </c>
      <c r="J217" s="5">
        <v>0.12</v>
      </c>
    </row>
    <row r="218" spans="1:10">
      <c r="A218" s="5">
        <v>217</v>
      </c>
      <c r="B218" s="11">
        <v>40553</v>
      </c>
      <c r="C218" s="5">
        <v>1</v>
      </c>
      <c r="D218" s="5">
        <v>0</v>
      </c>
      <c r="E218" s="5">
        <v>1</v>
      </c>
      <c r="F218" s="5">
        <v>7</v>
      </c>
      <c r="G218" s="5" t="b">
        <v>0</v>
      </c>
      <c r="H218" s="5">
        <v>1</v>
      </c>
      <c r="I218" s="5">
        <v>1</v>
      </c>
      <c r="J218" s="5">
        <v>0.12</v>
      </c>
    </row>
    <row r="219" spans="1:10">
      <c r="A219" s="5">
        <v>218</v>
      </c>
      <c r="B219" s="11">
        <v>40553</v>
      </c>
      <c r="C219" s="5">
        <v>1</v>
      </c>
      <c r="D219" s="5">
        <v>0</v>
      </c>
      <c r="E219" s="5">
        <v>1</v>
      </c>
      <c r="F219" s="5">
        <v>8</v>
      </c>
      <c r="G219" s="5" t="b">
        <v>0</v>
      </c>
      <c r="H219" s="5">
        <v>1</v>
      </c>
      <c r="I219" s="5">
        <v>2</v>
      </c>
      <c r="J219" s="5">
        <v>0.12</v>
      </c>
    </row>
    <row r="220" spans="1:10">
      <c r="A220" s="5">
        <v>219</v>
      </c>
      <c r="B220" s="11">
        <v>40553</v>
      </c>
      <c r="C220" s="5">
        <v>1</v>
      </c>
      <c r="D220" s="5">
        <v>0</v>
      </c>
      <c r="E220" s="5">
        <v>1</v>
      </c>
      <c r="F220" s="5">
        <v>9</v>
      </c>
      <c r="G220" s="5" t="b">
        <v>0</v>
      </c>
      <c r="H220" s="5">
        <v>1</v>
      </c>
      <c r="I220" s="5">
        <v>2</v>
      </c>
      <c r="J220" s="5">
        <v>0.14</v>
      </c>
    </row>
    <row r="221" spans="1:10">
      <c r="A221" s="5">
        <v>220</v>
      </c>
      <c r="B221" s="11">
        <v>40553</v>
      </c>
      <c r="C221" s="5">
        <v>1</v>
      </c>
      <c r="D221" s="5">
        <v>0</v>
      </c>
      <c r="E221" s="5">
        <v>1</v>
      </c>
      <c r="F221" s="5">
        <v>10</v>
      </c>
      <c r="G221" s="5" t="b">
        <v>0</v>
      </c>
      <c r="H221" s="5">
        <v>1</v>
      </c>
      <c r="I221" s="5">
        <v>2</v>
      </c>
      <c r="J221" s="5">
        <v>0.14</v>
      </c>
    </row>
    <row r="222" spans="1:10">
      <c r="A222" s="5">
        <v>221</v>
      </c>
      <c r="B222" s="11">
        <v>40553</v>
      </c>
      <c r="C222" s="5">
        <v>1</v>
      </c>
      <c r="D222" s="5">
        <v>0</v>
      </c>
      <c r="E222" s="5">
        <v>1</v>
      </c>
      <c r="F222" s="5">
        <v>11</v>
      </c>
      <c r="G222" s="5" t="b">
        <v>0</v>
      </c>
      <c r="H222" s="5">
        <v>1</v>
      </c>
      <c r="I222" s="5">
        <v>2</v>
      </c>
      <c r="J222" s="5">
        <v>0.16</v>
      </c>
    </row>
    <row r="223" spans="1:10">
      <c r="A223" s="5">
        <v>222</v>
      </c>
      <c r="B223" s="11">
        <v>40553</v>
      </c>
      <c r="C223" s="5">
        <v>1</v>
      </c>
      <c r="D223" s="5">
        <v>0</v>
      </c>
      <c r="E223" s="5">
        <v>1</v>
      </c>
      <c r="F223" s="5">
        <v>12</v>
      </c>
      <c r="G223" s="5" t="b">
        <v>0</v>
      </c>
      <c r="H223" s="5">
        <v>1</v>
      </c>
      <c r="I223" s="5">
        <v>2</v>
      </c>
      <c r="J223" s="5">
        <v>0.2</v>
      </c>
    </row>
    <row r="224" spans="1:10">
      <c r="A224" s="5">
        <v>223</v>
      </c>
      <c r="B224" s="11">
        <v>40553</v>
      </c>
      <c r="C224" s="5">
        <v>1</v>
      </c>
      <c r="D224" s="5">
        <v>0</v>
      </c>
      <c r="E224" s="5">
        <v>1</v>
      </c>
      <c r="F224" s="5">
        <v>13</v>
      </c>
      <c r="G224" s="5" t="b">
        <v>0</v>
      </c>
      <c r="H224" s="5">
        <v>1</v>
      </c>
      <c r="I224" s="5">
        <v>2</v>
      </c>
      <c r="J224" s="5">
        <v>0.2</v>
      </c>
    </row>
    <row r="225" spans="1:10">
      <c r="A225" s="5">
        <v>224</v>
      </c>
      <c r="B225" s="11">
        <v>40553</v>
      </c>
      <c r="C225" s="5">
        <v>1</v>
      </c>
      <c r="D225" s="5">
        <v>0</v>
      </c>
      <c r="E225" s="5">
        <v>1</v>
      </c>
      <c r="F225" s="5">
        <v>14</v>
      </c>
      <c r="G225" s="5" t="b">
        <v>0</v>
      </c>
      <c r="H225" s="5">
        <v>1</v>
      </c>
      <c r="I225" s="5">
        <v>2</v>
      </c>
      <c r="J225" s="5">
        <v>0.2</v>
      </c>
    </row>
    <row r="226" spans="1:10">
      <c r="A226" s="5">
        <v>225</v>
      </c>
      <c r="B226" s="11">
        <v>40553</v>
      </c>
      <c r="C226" s="5">
        <v>1</v>
      </c>
      <c r="D226" s="5">
        <v>0</v>
      </c>
      <c r="E226" s="5">
        <v>1</v>
      </c>
      <c r="F226" s="5">
        <v>15</v>
      </c>
      <c r="G226" s="5" t="b">
        <v>0</v>
      </c>
      <c r="H226" s="5">
        <v>1</v>
      </c>
      <c r="I226" s="5">
        <v>2</v>
      </c>
      <c r="J226" s="5">
        <v>0.2</v>
      </c>
    </row>
    <row r="227" spans="1:10">
      <c r="A227" s="5">
        <v>226</v>
      </c>
      <c r="B227" s="11">
        <v>40553</v>
      </c>
      <c r="C227" s="5">
        <v>1</v>
      </c>
      <c r="D227" s="5">
        <v>0</v>
      </c>
      <c r="E227" s="5">
        <v>1</v>
      </c>
      <c r="F227" s="5">
        <v>16</v>
      </c>
      <c r="G227" s="5" t="b">
        <v>0</v>
      </c>
      <c r="H227" s="5">
        <v>1</v>
      </c>
      <c r="I227" s="5">
        <v>1</v>
      </c>
      <c r="J227" s="5">
        <v>0.2</v>
      </c>
    </row>
    <row r="228" spans="1:10">
      <c r="A228" s="5">
        <v>227</v>
      </c>
      <c r="B228" s="11">
        <v>40553</v>
      </c>
      <c r="C228" s="5">
        <v>1</v>
      </c>
      <c r="D228" s="5">
        <v>0</v>
      </c>
      <c r="E228" s="5">
        <v>1</v>
      </c>
      <c r="F228" s="5">
        <v>17</v>
      </c>
      <c r="G228" s="5" t="b">
        <v>0</v>
      </c>
      <c r="H228" s="5">
        <v>1</v>
      </c>
      <c r="I228" s="5">
        <v>1</v>
      </c>
      <c r="J228" s="5">
        <v>0.2</v>
      </c>
    </row>
    <row r="229" spans="1:10">
      <c r="A229" s="5">
        <v>228</v>
      </c>
      <c r="B229" s="11">
        <v>40553</v>
      </c>
      <c r="C229" s="5">
        <v>1</v>
      </c>
      <c r="D229" s="5">
        <v>0</v>
      </c>
      <c r="E229" s="5">
        <v>1</v>
      </c>
      <c r="F229" s="5">
        <v>18</v>
      </c>
      <c r="G229" s="5" t="b">
        <v>0</v>
      </c>
      <c r="H229" s="5">
        <v>1</v>
      </c>
      <c r="I229" s="5">
        <v>1</v>
      </c>
      <c r="J229" s="5">
        <v>0.2</v>
      </c>
    </row>
    <row r="230" spans="1:10">
      <c r="A230" s="5">
        <v>229</v>
      </c>
      <c r="B230" s="11">
        <v>40553</v>
      </c>
      <c r="C230" s="5">
        <v>1</v>
      </c>
      <c r="D230" s="5">
        <v>0</v>
      </c>
      <c r="E230" s="5">
        <v>1</v>
      </c>
      <c r="F230" s="5">
        <v>19</v>
      </c>
      <c r="G230" s="5" t="b">
        <v>0</v>
      </c>
      <c r="H230" s="5">
        <v>1</v>
      </c>
      <c r="I230" s="5">
        <v>1</v>
      </c>
      <c r="J230" s="5">
        <v>0.16</v>
      </c>
    </row>
    <row r="231" spans="1:10">
      <c r="A231" s="5">
        <v>230</v>
      </c>
      <c r="B231" s="11">
        <v>40553</v>
      </c>
      <c r="C231" s="5">
        <v>1</v>
      </c>
      <c r="D231" s="5">
        <v>0</v>
      </c>
      <c r="E231" s="5">
        <v>1</v>
      </c>
      <c r="F231" s="5">
        <v>20</v>
      </c>
      <c r="G231" s="5" t="b">
        <v>0</v>
      </c>
      <c r="H231" s="5">
        <v>1</v>
      </c>
      <c r="I231" s="5">
        <v>1</v>
      </c>
      <c r="J231" s="5">
        <v>0.16</v>
      </c>
    </row>
    <row r="232" spans="1:10">
      <c r="A232" s="5">
        <v>231</v>
      </c>
      <c r="B232" s="11">
        <v>40553</v>
      </c>
      <c r="C232" s="5">
        <v>1</v>
      </c>
      <c r="D232" s="5">
        <v>0</v>
      </c>
      <c r="E232" s="5">
        <v>1</v>
      </c>
      <c r="F232" s="5">
        <v>21</v>
      </c>
      <c r="G232" s="5" t="b">
        <v>0</v>
      </c>
      <c r="H232" s="5">
        <v>1</v>
      </c>
      <c r="I232" s="5">
        <v>1</v>
      </c>
      <c r="J232" s="5">
        <v>0.14</v>
      </c>
    </row>
    <row r="233" spans="1:10">
      <c r="A233" s="5">
        <v>232</v>
      </c>
      <c r="B233" s="11">
        <v>40553</v>
      </c>
      <c r="C233" s="5">
        <v>1</v>
      </c>
      <c r="D233" s="5">
        <v>0</v>
      </c>
      <c r="E233" s="5">
        <v>1</v>
      </c>
      <c r="F233" s="5">
        <v>22</v>
      </c>
      <c r="G233" s="5" t="b">
        <v>0</v>
      </c>
      <c r="H233" s="5">
        <v>1</v>
      </c>
      <c r="I233" s="5">
        <v>1</v>
      </c>
      <c r="J233" s="5">
        <v>0.14</v>
      </c>
    </row>
    <row r="234" spans="1:10">
      <c r="A234" s="5">
        <v>233</v>
      </c>
      <c r="B234" s="11">
        <v>40553</v>
      </c>
      <c r="C234" s="5">
        <v>1</v>
      </c>
      <c r="D234" s="5">
        <v>0</v>
      </c>
      <c r="E234" s="5">
        <v>1</v>
      </c>
      <c r="F234" s="5">
        <v>23</v>
      </c>
      <c r="G234" s="5" t="b">
        <v>0</v>
      </c>
      <c r="H234" s="5">
        <v>1</v>
      </c>
      <c r="I234" s="5">
        <v>1</v>
      </c>
      <c r="J234" s="5">
        <v>0.14</v>
      </c>
    </row>
    <row r="235" spans="1:10">
      <c r="A235" s="5">
        <v>234</v>
      </c>
      <c r="B235" s="11">
        <v>40554</v>
      </c>
      <c r="C235" s="5">
        <v>1</v>
      </c>
      <c r="D235" s="5">
        <v>0</v>
      </c>
      <c r="E235" s="5">
        <v>1</v>
      </c>
      <c r="F235" s="5">
        <v>0</v>
      </c>
      <c r="G235" s="5" t="b">
        <v>0</v>
      </c>
      <c r="H235" s="5">
        <v>2</v>
      </c>
      <c r="I235" s="5">
        <v>1</v>
      </c>
      <c r="J235" s="5">
        <v>0.14</v>
      </c>
    </row>
    <row r="236" spans="1:10">
      <c r="A236" s="5">
        <v>235</v>
      </c>
      <c r="B236" s="11">
        <v>40554</v>
      </c>
      <c r="C236" s="5">
        <v>1</v>
      </c>
      <c r="D236" s="5">
        <v>0</v>
      </c>
      <c r="E236" s="5">
        <v>1</v>
      </c>
      <c r="F236" s="5">
        <v>1</v>
      </c>
      <c r="G236" s="5" t="b">
        <v>0</v>
      </c>
      <c r="H236" s="5">
        <v>2</v>
      </c>
      <c r="I236" s="5">
        <v>1</v>
      </c>
      <c r="J236" s="5">
        <v>0.14</v>
      </c>
    </row>
    <row r="237" spans="1:10">
      <c r="A237" s="5">
        <v>236</v>
      </c>
      <c r="B237" s="11">
        <v>40554</v>
      </c>
      <c r="C237" s="5">
        <v>1</v>
      </c>
      <c r="D237" s="5">
        <v>0</v>
      </c>
      <c r="E237" s="5">
        <v>1</v>
      </c>
      <c r="F237" s="5">
        <v>2</v>
      </c>
      <c r="G237" s="5" t="b">
        <v>0</v>
      </c>
      <c r="H237" s="5">
        <v>2</v>
      </c>
      <c r="I237" s="5">
        <v>2</v>
      </c>
      <c r="J237" s="5">
        <v>0.16</v>
      </c>
    </row>
    <row r="238" spans="1:10">
      <c r="A238" s="5">
        <v>237</v>
      </c>
      <c r="B238" s="11">
        <v>40554</v>
      </c>
      <c r="C238" s="5">
        <v>1</v>
      </c>
      <c r="D238" s="5">
        <v>0</v>
      </c>
      <c r="E238" s="5">
        <v>1</v>
      </c>
      <c r="F238" s="5">
        <v>5</v>
      </c>
      <c r="G238" s="5" t="b">
        <v>0</v>
      </c>
      <c r="H238" s="5">
        <v>2</v>
      </c>
      <c r="I238" s="5">
        <v>2</v>
      </c>
      <c r="J238" s="5">
        <v>0.16</v>
      </c>
    </row>
    <row r="239" spans="1:10">
      <c r="A239" s="5">
        <v>238</v>
      </c>
      <c r="B239" s="11">
        <v>40554</v>
      </c>
      <c r="C239" s="5">
        <v>1</v>
      </c>
      <c r="D239" s="5">
        <v>0</v>
      </c>
      <c r="E239" s="5">
        <v>1</v>
      </c>
      <c r="F239" s="5">
        <v>6</v>
      </c>
      <c r="G239" s="5" t="b">
        <v>0</v>
      </c>
      <c r="H239" s="5">
        <v>2</v>
      </c>
      <c r="I239" s="5">
        <v>2</v>
      </c>
      <c r="J239" s="5">
        <v>0.16</v>
      </c>
    </row>
    <row r="240" spans="1:10">
      <c r="A240" s="5">
        <v>239</v>
      </c>
      <c r="B240" s="11">
        <v>40554</v>
      </c>
      <c r="C240" s="5">
        <v>1</v>
      </c>
      <c r="D240" s="5">
        <v>0</v>
      </c>
      <c r="E240" s="5">
        <v>1</v>
      </c>
      <c r="F240" s="5">
        <v>7</v>
      </c>
      <c r="G240" s="5" t="b">
        <v>0</v>
      </c>
      <c r="H240" s="5">
        <v>2</v>
      </c>
      <c r="I240" s="5">
        <v>2</v>
      </c>
      <c r="J240" s="5">
        <v>0.16</v>
      </c>
    </row>
    <row r="241" spans="1:10">
      <c r="A241" s="5">
        <v>240</v>
      </c>
      <c r="B241" s="11">
        <v>40554</v>
      </c>
      <c r="C241" s="5">
        <v>1</v>
      </c>
      <c r="D241" s="5">
        <v>0</v>
      </c>
      <c r="E241" s="5">
        <v>1</v>
      </c>
      <c r="F241" s="5">
        <v>8</v>
      </c>
      <c r="G241" s="5" t="b">
        <v>0</v>
      </c>
      <c r="H241" s="5">
        <v>2</v>
      </c>
      <c r="I241" s="5">
        <v>2</v>
      </c>
      <c r="J241" s="5">
        <v>0.18</v>
      </c>
    </row>
    <row r="242" spans="1:10">
      <c r="A242" s="5">
        <v>241</v>
      </c>
      <c r="B242" s="11">
        <v>40554</v>
      </c>
      <c r="C242" s="5">
        <v>1</v>
      </c>
      <c r="D242" s="5">
        <v>0</v>
      </c>
      <c r="E242" s="5">
        <v>1</v>
      </c>
      <c r="F242" s="5">
        <v>9</v>
      </c>
      <c r="G242" s="5" t="b">
        <v>0</v>
      </c>
      <c r="H242" s="5">
        <v>2</v>
      </c>
      <c r="I242" s="5">
        <v>2</v>
      </c>
      <c r="J242" s="5">
        <v>0.18</v>
      </c>
    </row>
    <row r="243" spans="1:10">
      <c r="A243" s="5">
        <v>242</v>
      </c>
      <c r="B243" s="11">
        <v>40554</v>
      </c>
      <c r="C243" s="5">
        <v>1</v>
      </c>
      <c r="D243" s="5">
        <v>0</v>
      </c>
      <c r="E243" s="5">
        <v>1</v>
      </c>
      <c r="F243" s="5">
        <v>10</v>
      </c>
      <c r="G243" s="5" t="b">
        <v>0</v>
      </c>
      <c r="H243" s="5">
        <v>2</v>
      </c>
      <c r="I243" s="5">
        <v>2</v>
      </c>
      <c r="J243" s="5">
        <v>0.2</v>
      </c>
    </row>
    <row r="244" spans="1:10">
      <c r="A244" s="5">
        <v>243</v>
      </c>
      <c r="B244" s="11">
        <v>40554</v>
      </c>
      <c r="C244" s="5">
        <v>1</v>
      </c>
      <c r="D244" s="5">
        <v>0</v>
      </c>
      <c r="E244" s="5">
        <v>1</v>
      </c>
      <c r="F244" s="5">
        <v>11</v>
      </c>
      <c r="G244" s="5" t="b">
        <v>0</v>
      </c>
      <c r="H244" s="5">
        <v>2</v>
      </c>
      <c r="I244" s="5">
        <v>2</v>
      </c>
      <c r="J244" s="5">
        <v>0.2</v>
      </c>
    </row>
    <row r="245" spans="1:10">
      <c r="A245" s="5">
        <v>244</v>
      </c>
      <c r="B245" s="11">
        <v>40554</v>
      </c>
      <c r="C245" s="5">
        <v>1</v>
      </c>
      <c r="D245" s="5">
        <v>0</v>
      </c>
      <c r="E245" s="5">
        <v>1</v>
      </c>
      <c r="F245" s="5">
        <v>12</v>
      </c>
      <c r="G245" s="5" t="b">
        <v>0</v>
      </c>
      <c r="H245" s="5">
        <v>2</v>
      </c>
      <c r="I245" s="5">
        <v>2</v>
      </c>
      <c r="J245" s="5">
        <v>0.2</v>
      </c>
    </row>
    <row r="246" spans="1:10">
      <c r="A246" s="5">
        <v>245</v>
      </c>
      <c r="B246" s="11">
        <v>40554</v>
      </c>
      <c r="C246" s="5">
        <v>1</v>
      </c>
      <c r="D246" s="5">
        <v>0</v>
      </c>
      <c r="E246" s="5">
        <v>1</v>
      </c>
      <c r="F246" s="5">
        <v>13</v>
      </c>
      <c r="G246" s="5" t="b">
        <v>0</v>
      </c>
      <c r="H246" s="5">
        <v>2</v>
      </c>
      <c r="I246" s="5">
        <v>2</v>
      </c>
      <c r="J246" s="5">
        <v>0.2</v>
      </c>
    </row>
    <row r="247" spans="1:10">
      <c r="A247" s="5">
        <v>246</v>
      </c>
      <c r="B247" s="11">
        <v>40554</v>
      </c>
      <c r="C247" s="5">
        <v>1</v>
      </c>
      <c r="D247" s="5">
        <v>0</v>
      </c>
      <c r="E247" s="5">
        <v>1</v>
      </c>
      <c r="F247" s="5">
        <v>14</v>
      </c>
      <c r="G247" s="5" t="b">
        <v>0</v>
      </c>
      <c r="H247" s="5">
        <v>2</v>
      </c>
      <c r="I247" s="5">
        <v>2</v>
      </c>
      <c r="J247" s="5">
        <v>0.2</v>
      </c>
    </row>
    <row r="248" spans="1:10">
      <c r="A248" s="5">
        <v>247</v>
      </c>
      <c r="B248" s="11">
        <v>40554</v>
      </c>
      <c r="C248" s="5">
        <v>1</v>
      </c>
      <c r="D248" s="5">
        <v>0</v>
      </c>
      <c r="E248" s="5">
        <v>1</v>
      </c>
      <c r="F248" s="5">
        <v>15</v>
      </c>
      <c r="G248" s="5" t="b">
        <v>0</v>
      </c>
      <c r="H248" s="5">
        <v>2</v>
      </c>
      <c r="I248" s="5">
        <v>2</v>
      </c>
      <c r="J248" s="5">
        <v>0.16</v>
      </c>
    </row>
    <row r="249" spans="1:10">
      <c r="A249" s="5">
        <v>248</v>
      </c>
      <c r="B249" s="11">
        <v>40554</v>
      </c>
      <c r="C249" s="5">
        <v>1</v>
      </c>
      <c r="D249" s="5">
        <v>0</v>
      </c>
      <c r="E249" s="5">
        <v>1</v>
      </c>
      <c r="F249" s="5">
        <v>16</v>
      </c>
      <c r="G249" s="5" t="b">
        <v>0</v>
      </c>
      <c r="H249" s="5">
        <v>2</v>
      </c>
      <c r="I249" s="5">
        <v>2</v>
      </c>
      <c r="J249" s="5">
        <v>0.16</v>
      </c>
    </row>
    <row r="250" spans="1:10">
      <c r="A250" s="5">
        <v>249</v>
      </c>
      <c r="B250" s="11">
        <v>40554</v>
      </c>
      <c r="C250" s="5">
        <v>1</v>
      </c>
      <c r="D250" s="5">
        <v>0</v>
      </c>
      <c r="E250" s="5">
        <v>1</v>
      </c>
      <c r="F250" s="5">
        <v>17</v>
      </c>
      <c r="G250" s="5" t="b">
        <v>0</v>
      </c>
      <c r="H250" s="5">
        <v>2</v>
      </c>
      <c r="I250" s="5">
        <v>2</v>
      </c>
      <c r="J250" s="5">
        <v>0.16</v>
      </c>
    </row>
    <row r="251" spans="1:10">
      <c r="A251" s="5">
        <v>250</v>
      </c>
      <c r="B251" s="11">
        <v>40554</v>
      </c>
      <c r="C251" s="5">
        <v>1</v>
      </c>
      <c r="D251" s="5">
        <v>0</v>
      </c>
      <c r="E251" s="5">
        <v>1</v>
      </c>
      <c r="F251" s="5">
        <v>18</v>
      </c>
      <c r="G251" s="5" t="b">
        <v>0</v>
      </c>
      <c r="H251" s="5">
        <v>2</v>
      </c>
      <c r="I251" s="5">
        <v>3</v>
      </c>
      <c r="J251" s="5">
        <v>0.16</v>
      </c>
    </row>
    <row r="252" spans="1:10">
      <c r="A252" s="5">
        <v>251</v>
      </c>
      <c r="B252" s="11">
        <v>40554</v>
      </c>
      <c r="C252" s="5">
        <v>1</v>
      </c>
      <c r="D252" s="5">
        <v>0</v>
      </c>
      <c r="E252" s="5">
        <v>1</v>
      </c>
      <c r="F252" s="5">
        <v>19</v>
      </c>
      <c r="G252" s="5" t="b">
        <v>0</v>
      </c>
      <c r="H252" s="5">
        <v>2</v>
      </c>
      <c r="I252" s="5">
        <v>3</v>
      </c>
      <c r="J252" s="5">
        <v>0.16</v>
      </c>
    </row>
    <row r="253" spans="1:10">
      <c r="A253" s="5">
        <v>252</v>
      </c>
      <c r="B253" s="11">
        <v>40554</v>
      </c>
      <c r="C253" s="5">
        <v>1</v>
      </c>
      <c r="D253" s="5">
        <v>0</v>
      </c>
      <c r="E253" s="5">
        <v>1</v>
      </c>
      <c r="F253" s="5">
        <v>20</v>
      </c>
      <c r="G253" s="5" t="b">
        <v>0</v>
      </c>
      <c r="H253" s="5">
        <v>2</v>
      </c>
      <c r="I253" s="5">
        <v>3</v>
      </c>
      <c r="J253" s="5">
        <v>0.16</v>
      </c>
    </row>
    <row r="254" spans="1:10">
      <c r="A254" s="5">
        <v>253</v>
      </c>
      <c r="B254" s="11">
        <v>40554</v>
      </c>
      <c r="C254" s="5">
        <v>1</v>
      </c>
      <c r="D254" s="5">
        <v>0</v>
      </c>
      <c r="E254" s="5">
        <v>1</v>
      </c>
      <c r="F254" s="5">
        <v>21</v>
      </c>
      <c r="G254" s="5" t="b">
        <v>0</v>
      </c>
      <c r="H254" s="5">
        <v>2</v>
      </c>
      <c r="I254" s="5">
        <v>3</v>
      </c>
      <c r="J254" s="5">
        <v>0.16</v>
      </c>
    </row>
    <row r="255" spans="1:10">
      <c r="A255" s="5">
        <v>254</v>
      </c>
      <c r="B255" s="11">
        <v>40554</v>
      </c>
      <c r="C255" s="5">
        <v>1</v>
      </c>
      <c r="D255" s="5">
        <v>0</v>
      </c>
      <c r="E255" s="5">
        <v>1</v>
      </c>
      <c r="F255" s="5">
        <v>22</v>
      </c>
      <c r="G255" s="5" t="b">
        <v>0</v>
      </c>
      <c r="H255" s="5">
        <v>2</v>
      </c>
      <c r="I255" s="5">
        <v>3</v>
      </c>
      <c r="J255" s="5">
        <v>0.16</v>
      </c>
    </row>
    <row r="256" spans="1:10">
      <c r="A256" s="5">
        <v>255</v>
      </c>
      <c r="B256" s="11">
        <v>40554</v>
      </c>
      <c r="C256" s="5">
        <v>1</v>
      </c>
      <c r="D256" s="5">
        <v>0</v>
      </c>
      <c r="E256" s="5">
        <v>1</v>
      </c>
      <c r="F256" s="5">
        <v>23</v>
      </c>
      <c r="G256" s="5" t="b">
        <v>0</v>
      </c>
      <c r="H256" s="5">
        <v>2</v>
      </c>
      <c r="I256" s="5">
        <v>3</v>
      </c>
      <c r="J256" s="5">
        <v>0.16</v>
      </c>
    </row>
    <row r="257" spans="1:10">
      <c r="A257" s="5">
        <v>256</v>
      </c>
      <c r="B257" s="11">
        <v>40555</v>
      </c>
      <c r="C257" s="5">
        <v>1</v>
      </c>
      <c r="D257" s="5">
        <v>0</v>
      </c>
      <c r="E257" s="5">
        <v>1</v>
      </c>
      <c r="F257" s="5">
        <v>0</v>
      </c>
      <c r="G257" s="5" t="b">
        <v>0</v>
      </c>
      <c r="H257" s="5">
        <v>3</v>
      </c>
      <c r="I257" s="5">
        <v>2</v>
      </c>
      <c r="J257" s="5">
        <v>0.16</v>
      </c>
    </row>
    <row r="258" spans="1:10">
      <c r="A258" s="5">
        <v>257</v>
      </c>
      <c r="B258" s="11">
        <v>40555</v>
      </c>
      <c r="C258" s="5">
        <v>1</v>
      </c>
      <c r="D258" s="5">
        <v>0</v>
      </c>
      <c r="E258" s="5">
        <v>1</v>
      </c>
      <c r="F258" s="5">
        <v>1</v>
      </c>
      <c r="G258" s="5" t="b">
        <v>0</v>
      </c>
      <c r="H258" s="5">
        <v>3</v>
      </c>
      <c r="I258" s="5">
        <v>2</v>
      </c>
      <c r="J258" s="5">
        <v>0.16</v>
      </c>
    </row>
    <row r="259" spans="1:10">
      <c r="A259" s="5">
        <v>258</v>
      </c>
      <c r="B259" s="11">
        <v>40555</v>
      </c>
      <c r="C259" s="5">
        <v>1</v>
      </c>
      <c r="D259" s="5">
        <v>0</v>
      </c>
      <c r="E259" s="5">
        <v>1</v>
      </c>
      <c r="F259" s="5">
        <v>2</v>
      </c>
      <c r="G259" s="5" t="b">
        <v>0</v>
      </c>
      <c r="H259" s="5">
        <v>3</v>
      </c>
      <c r="I259" s="5">
        <v>1</v>
      </c>
      <c r="J259" s="5">
        <v>0.14</v>
      </c>
    </row>
    <row r="260" spans="1:10">
      <c r="A260" s="5">
        <v>259</v>
      </c>
      <c r="B260" s="11">
        <v>40555</v>
      </c>
      <c r="C260" s="5">
        <v>1</v>
      </c>
      <c r="D260" s="5">
        <v>0</v>
      </c>
      <c r="E260" s="5">
        <v>1</v>
      </c>
      <c r="F260" s="5">
        <v>5</v>
      </c>
      <c r="G260" s="5" t="b">
        <v>0</v>
      </c>
      <c r="H260" s="5">
        <v>3</v>
      </c>
      <c r="I260" s="5">
        <v>1</v>
      </c>
      <c r="J260" s="5">
        <v>0.14</v>
      </c>
    </row>
    <row r="261" spans="1:10">
      <c r="A261" s="5">
        <v>260</v>
      </c>
      <c r="B261" s="11">
        <v>40555</v>
      </c>
      <c r="C261" s="5">
        <v>1</v>
      </c>
      <c r="D261" s="5">
        <v>0</v>
      </c>
      <c r="E261" s="5">
        <v>1</v>
      </c>
      <c r="F261" s="5">
        <v>6</v>
      </c>
      <c r="G261" s="5" t="b">
        <v>0</v>
      </c>
      <c r="H261" s="5">
        <v>3</v>
      </c>
      <c r="I261" s="5">
        <v>1</v>
      </c>
      <c r="J261" s="5">
        <v>0.12</v>
      </c>
    </row>
    <row r="262" spans="1:10">
      <c r="A262" s="5">
        <v>261</v>
      </c>
      <c r="B262" s="11">
        <v>40555</v>
      </c>
      <c r="C262" s="5">
        <v>1</v>
      </c>
      <c r="D262" s="5">
        <v>0</v>
      </c>
      <c r="E262" s="5">
        <v>1</v>
      </c>
      <c r="F262" s="5">
        <v>7</v>
      </c>
      <c r="G262" s="5" t="b">
        <v>0</v>
      </c>
      <c r="H262" s="5">
        <v>3</v>
      </c>
      <c r="I262" s="5">
        <v>1</v>
      </c>
      <c r="J262" s="5">
        <v>0.14</v>
      </c>
    </row>
    <row r="263" spans="1:10">
      <c r="A263" s="5">
        <v>262</v>
      </c>
      <c r="B263" s="11">
        <v>40555</v>
      </c>
      <c r="C263" s="5">
        <v>1</v>
      </c>
      <c r="D263" s="5">
        <v>0</v>
      </c>
      <c r="E263" s="5">
        <v>1</v>
      </c>
      <c r="F263" s="5">
        <v>8</v>
      </c>
      <c r="G263" s="5" t="b">
        <v>0</v>
      </c>
      <c r="H263" s="5">
        <v>3</v>
      </c>
      <c r="I263" s="5">
        <v>1</v>
      </c>
      <c r="J263" s="5">
        <v>0.16</v>
      </c>
    </row>
    <row r="264" spans="1:10">
      <c r="A264" s="5">
        <v>263</v>
      </c>
      <c r="B264" s="11">
        <v>40555</v>
      </c>
      <c r="C264" s="5">
        <v>1</v>
      </c>
      <c r="D264" s="5">
        <v>0</v>
      </c>
      <c r="E264" s="5">
        <v>1</v>
      </c>
      <c r="F264" s="5">
        <v>9</v>
      </c>
      <c r="G264" s="5" t="b">
        <v>0</v>
      </c>
      <c r="H264" s="5">
        <v>3</v>
      </c>
      <c r="I264" s="5">
        <v>1</v>
      </c>
      <c r="J264" s="5">
        <v>0.16</v>
      </c>
    </row>
    <row r="265" spans="1:10">
      <c r="A265" s="5">
        <v>264</v>
      </c>
      <c r="B265" s="11">
        <v>40555</v>
      </c>
      <c r="C265" s="5">
        <v>1</v>
      </c>
      <c r="D265" s="5">
        <v>0</v>
      </c>
      <c r="E265" s="5">
        <v>1</v>
      </c>
      <c r="F265" s="5">
        <v>10</v>
      </c>
      <c r="G265" s="5" t="b">
        <v>0</v>
      </c>
      <c r="H265" s="5">
        <v>3</v>
      </c>
      <c r="I265" s="5">
        <v>1</v>
      </c>
      <c r="J265" s="5">
        <v>0.18</v>
      </c>
    </row>
    <row r="266" spans="1:10">
      <c r="A266" s="5">
        <v>265</v>
      </c>
      <c r="B266" s="11">
        <v>40555</v>
      </c>
      <c r="C266" s="5">
        <v>1</v>
      </c>
      <c r="D266" s="5">
        <v>0</v>
      </c>
      <c r="E266" s="5">
        <v>1</v>
      </c>
      <c r="F266" s="5">
        <v>11</v>
      </c>
      <c r="G266" s="5" t="b">
        <v>0</v>
      </c>
      <c r="H266" s="5">
        <v>3</v>
      </c>
      <c r="I266" s="5">
        <v>1</v>
      </c>
      <c r="J266" s="5">
        <v>0.2</v>
      </c>
    </row>
    <row r="267" spans="1:10">
      <c r="A267" s="5">
        <v>266</v>
      </c>
      <c r="B267" s="11">
        <v>40555</v>
      </c>
      <c r="C267" s="5">
        <v>1</v>
      </c>
      <c r="D267" s="5">
        <v>0</v>
      </c>
      <c r="E267" s="5">
        <v>1</v>
      </c>
      <c r="F267" s="5">
        <v>12</v>
      </c>
      <c r="G267" s="5" t="b">
        <v>0</v>
      </c>
      <c r="H267" s="5">
        <v>3</v>
      </c>
      <c r="I267" s="5">
        <v>1</v>
      </c>
      <c r="J267" s="5">
        <v>0.2</v>
      </c>
    </row>
    <row r="268" spans="1:10">
      <c r="A268" s="5">
        <v>267</v>
      </c>
      <c r="B268" s="11">
        <v>40555</v>
      </c>
      <c r="C268" s="5">
        <v>1</v>
      </c>
      <c r="D268" s="5">
        <v>0</v>
      </c>
      <c r="E268" s="5">
        <v>1</v>
      </c>
      <c r="F268" s="5">
        <v>13</v>
      </c>
      <c r="G268" s="5" t="b">
        <v>0</v>
      </c>
      <c r="H268" s="5">
        <v>3</v>
      </c>
      <c r="I268" s="5">
        <v>1</v>
      </c>
      <c r="J268" s="5">
        <v>0.22</v>
      </c>
    </row>
    <row r="269" spans="1:10">
      <c r="A269" s="5">
        <v>268</v>
      </c>
      <c r="B269" s="11">
        <v>40555</v>
      </c>
      <c r="C269" s="5">
        <v>1</v>
      </c>
      <c r="D269" s="5">
        <v>0</v>
      </c>
      <c r="E269" s="5">
        <v>1</v>
      </c>
      <c r="F269" s="5">
        <v>14</v>
      </c>
      <c r="G269" s="5" t="b">
        <v>0</v>
      </c>
      <c r="H269" s="5">
        <v>3</v>
      </c>
      <c r="I269" s="5">
        <v>1</v>
      </c>
      <c r="J269" s="5">
        <v>0.2</v>
      </c>
    </row>
    <row r="270" spans="1:10">
      <c r="A270" s="5">
        <v>269</v>
      </c>
      <c r="B270" s="11">
        <v>40555</v>
      </c>
      <c r="C270" s="5">
        <v>1</v>
      </c>
      <c r="D270" s="5">
        <v>0</v>
      </c>
      <c r="E270" s="5">
        <v>1</v>
      </c>
      <c r="F270" s="5">
        <v>15</v>
      </c>
      <c r="G270" s="5" t="b">
        <v>0</v>
      </c>
      <c r="H270" s="5">
        <v>3</v>
      </c>
      <c r="I270" s="5">
        <v>1</v>
      </c>
      <c r="J270" s="5">
        <v>0.2</v>
      </c>
    </row>
    <row r="271" spans="1:10">
      <c r="A271" s="5">
        <v>270</v>
      </c>
      <c r="B271" s="11">
        <v>40555</v>
      </c>
      <c r="C271" s="5">
        <v>1</v>
      </c>
      <c r="D271" s="5">
        <v>0</v>
      </c>
      <c r="E271" s="5">
        <v>1</v>
      </c>
      <c r="F271" s="5">
        <v>16</v>
      </c>
      <c r="G271" s="5" t="b">
        <v>0</v>
      </c>
      <c r="H271" s="5">
        <v>3</v>
      </c>
      <c r="I271" s="5">
        <v>1</v>
      </c>
      <c r="J271" s="5">
        <v>0.22</v>
      </c>
    </row>
    <row r="272" spans="1:10">
      <c r="A272" s="5">
        <v>271</v>
      </c>
      <c r="B272" s="11">
        <v>40555</v>
      </c>
      <c r="C272" s="5">
        <v>1</v>
      </c>
      <c r="D272" s="5">
        <v>0</v>
      </c>
      <c r="E272" s="5">
        <v>1</v>
      </c>
      <c r="F272" s="5">
        <v>17</v>
      </c>
      <c r="G272" s="5" t="b">
        <v>0</v>
      </c>
      <c r="H272" s="5">
        <v>3</v>
      </c>
      <c r="I272" s="5">
        <v>1</v>
      </c>
      <c r="J272" s="5">
        <v>0.2</v>
      </c>
    </row>
    <row r="273" spans="1:10">
      <c r="A273" s="5">
        <v>272</v>
      </c>
      <c r="B273" s="11">
        <v>40555</v>
      </c>
      <c r="C273" s="5">
        <v>1</v>
      </c>
      <c r="D273" s="5">
        <v>0</v>
      </c>
      <c r="E273" s="5">
        <v>1</v>
      </c>
      <c r="F273" s="5">
        <v>18</v>
      </c>
      <c r="G273" s="5" t="b">
        <v>0</v>
      </c>
      <c r="H273" s="5">
        <v>3</v>
      </c>
      <c r="I273" s="5">
        <v>1</v>
      </c>
      <c r="J273" s="5">
        <v>0.2</v>
      </c>
    </row>
    <row r="274" spans="1:10">
      <c r="A274" s="5">
        <v>273</v>
      </c>
      <c r="B274" s="11">
        <v>40555</v>
      </c>
      <c r="C274" s="5">
        <v>1</v>
      </c>
      <c r="D274" s="5">
        <v>0</v>
      </c>
      <c r="E274" s="5">
        <v>1</v>
      </c>
      <c r="F274" s="5">
        <v>19</v>
      </c>
      <c r="G274" s="5" t="b">
        <v>0</v>
      </c>
      <c r="H274" s="5">
        <v>3</v>
      </c>
      <c r="I274" s="5">
        <v>1</v>
      </c>
      <c r="J274" s="5">
        <v>0.18</v>
      </c>
    </row>
    <row r="275" spans="1:10">
      <c r="A275" s="5">
        <v>274</v>
      </c>
      <c r="B275" s="11">
        <v>40555</v>
      </c>
      <c r="C275" s="5">
        <v>1</v>
      </c>
      <c r="D275" s="5">
        <v>0</v>
      </c>
      <c r="E275" s="5">
        <v>1</v>
      </c>
      <c r="F275" s="5">
        <v>20</v>
      </c>
      <c r="G275" s="5" t="b">
        <v>0</v>
      </c>
      <c r="H275" s="5">
        <v>3</v>
      </c>
      <c r="I275" s="5">
        <v>1</v>
      </c>
      <c r="J275" s="5">
        <v>0.16</v>
      </c>
    </row>
    <row r="276" spans="1:10">
      <c r="A276" s="5">
        <v>275</v>
      </c>
      <c r="B276" s="11">
        <v>40555</v>
      </c>
      <c r="C276" s="5">
        <v>1</v>
      </c>
      <c r="D276" s="5">
        <v>0</v>
      </c>
      <c r="E276" s="5">
        <v>1</v>
      </c>
      <c r="F276" s="5">
        <v>21</v>
      </c>
      <c r="G276" s="5" t="b">
        <v>0</v>
      </c>
      <c r="H276" s="5">
        <v>3</v>
      </c>
      <c r="I276" s="5">
        <v>1</v>
      </c>
      <c r="J276" s="5">
        <v>0.16</v>
      </c>
    </row>
    <row r="277" spans="1:10">
      <c r="A277" s="5">
        <v>276</v>
      </c>
      <c r="B277" s="11">
        <v>40555</v>
      </c>
      <c r="C277" s="5">
        <v>1</v>
      </c>
      <c r="D277" s="5">
        <v>0</v>
      </c>
      <c r="E277" s="5">
        <v>1</v>
      </c>
      <c r="F277" s="5">
        <v>22</v>
      </c>
      <c r="G277" s="5" t="b">
        <v>0</v>
      </c>
      <c r="H277" s="5">
        <v>3</v>
      </c>
      <c r="I277" s="5">
        <v>1</v>
      </c>
      <c r="J277" s="5">
        <v>0.16</v>
      </c>
    </row>
    <row r="278" spans="1:10">
      <c r="A278" s="5">
        <v>277</v>
      </c>
      <c r="B278" s="11">
        <v>40555</v>
      </c>
      <c r="C278" s="5">
        <v>1</v>
      </c>
      <c r="D278" s="5">
        <v>0</v>
      </c>
      <c r="E278" s="5">
        <v>1</v>
      </c>
      <c r="F278" s="5">
        <v>23</v>
      </c>
      <c r="G278" s="5" t="b">
        <v>0</v>
      </c>
      <c r="H278" s="5">
        <v>3</v>
      </c>
      <c r="I278" s="5">
        <v>1</v>
      </c>
      <c r="J278" s="5">
        <v>0.14</v>
      </c>
    </row>
    <row r="279" spans="1:10">
      <c r="A279" s="5">
        <v>278</v>
      </c>
      <c r="B279" s="11">
        <v>40556</v>
      </c>
      <c r="C279" s="5">
        <v>1</v>
      </c>
      <c r="D279" s="5">
        <v>0</v>
      </c>
      <c r="E279" s="5">
        <v>1</v>
      </c>
      <c r="F279" s="5">
        <v>0</v>
      </c>
      <c r="G279" s="5" t="b">
        <v>0</v>
      </c>
      <c r="H279" s="5">
        <v>4</v>
      </c>
      <c r="I279" s="5">
        <v>1</v>
      </c>
      <c r="J279" s="5">
        <v>0.14</v>
      </c>
    </row>
    <row r="280" spans="1:10">
      <c r="A280" s="5">
        <v>279</v>
      </c>
      <c r="B280" s="11">
        <v>40556</v>
      </c>
      <c r="C280" s="5">
        <v>1</v>
      </c>
      <c r="D280" s="5">
        <v>0</v>
      </c>
      <c r="E280" s="5">
        <v>1</v>
      </c>
      <c r="F280" s="5">
        <v>1</v>
      </c>
      <c r="G280" s="5" t="b">
        <v>0</v>
      </c>
      <c r="H280" s="5">
        <v>4</v>
      </c>
      <c r="I280" s="5">
        <v>1</v>
      </c>
      <c r="J280" s="5">
        <v>0.14</v>
      </c>
    </row>
    <row r="281" spans="1:10">
      <c r="A281" s="5">
        <v>280</v>
      </c>
      <c r="B281" s="11">
        <v>40556</v>
      </c>
      <c r="C281" s="5">
        <v>1</v>
      </c>
      <c r="D281" s="5">
        <v>0</v>
      </c>
      <c r="E281" s="5">
        <v>1</v>
      </c>
      <c r="F281" s="5">
        <v>2</v>
      </c>
      <c r="G281" s="5" t="b">
        <v>0</v>
      </c>
      <c r="H281" s="5">
        <v>4</v>
      </c>
      <c r="I281" s="5">
        <v>1</v>
      </c>
      <c r="J281" s="5">
        <v>0.14</v>
      </c>
    </row>
    <row r="282" spans="1:10">
      <c r="A282" s="5">
        <v>281</v>
      </c>
      <c r="B282" s="11">
        <v>40556</v>
      </c>
      <c r="C282" s="5">
        <v>1</v>
      </c>
      <c r="D282" s="5">
        <v>0</v>
      </c>
      <c r="E282" s="5">
        <v>1</v>
      </c>
      <c r="F282" s="5">
        <v>3</v>
      </c>
      <c r="G282" s="5" t="b">
        <v>0</v>
      </c>
      <c r="H282" s="5">
        <v>4</v>
      </c>
      <c r="I282" s="5">
        <v>1</v>
      </c>
      <c r="J282" s="5">
        <v>0.14</v>
      </c>
    </row>
    <row r="283" spans="1:10">
      <c r="A283" s="5">
        <v>282</v>
      </c>
      <c r="B283" s="11">
        <v>40556</v>
      </c>
      <c r="C283" s="5">
        <v>1</v>
      </c>
      <c r="D283" s="5">
        <v>0</v>
      </c>
      <c r="E283" s="5">
        <v>1</v>
      </c>
      <c r="F283" s="5">
        <v>4</v>
      </c>
      <c r="G283" s="5" t="b">
        <v>0</v>
      </c>
      <c r="H283" s="5">
        <v>4</v>
      </c>
      <c r="I283" s="5">
        <v>1</v>
      </c>
      <c r="J283" s="5">
        <v>0.14</v>
      </c>
    </row>
    <row r="284" spans="1:10">
      <c r="A284" s="5">
        <v>283</v>
      </c>
      <c r="B284" s="11">
        <v>40556</v>
      </c>
      <c r="C284" s="5">
        <v>1</v>
      </c>
      <c r="D284" s="5">
        <v>0</v>
      </c>
      <c r="E284" s="5">
        <v>1</v>
      </c>
      <c r="F284" s="5">
        <v>5</v>
      </c>
      <c r="G284" s="5" t="b">
        <v>0</v>
      </c>
      <c r="H284" s="5">
        <v>4</v>
      </c>
      <c r="I284" s="5">
        <v>1</v>
      </c>
      <c r="J284" s="5">
        <v>0.14</v>
      </c>
    </row>
    <row r="285" spans="1:10">
      <c r="A285" s="5">
        <v>284</v>
      </c>
      <c r="B285" s="11">
        <v>40556</v>
      </c>
      <c r="C285" s="5">
        <v>1</v>
      </c>
      <c r="D285" s="5">
        <v>0</v>
      </c>
      <c r="E285" s="5">
        <v>1</v>
      </c>
      <c r="F285" s="5">
        <v>6</v>
      </c>
      <c r="G285" s="5" t="b">
        <v>0</v>
      </c>
      <c r="H285" s="5">
        <v>4</v>
      </c>
      <c r="I285" s="5">
        <v>1</v>
      </c>
      <c r="J285" s="5">
        <v>0.12</v>
      </c>
    </row>
    <row r="286" spans="1:10">
      <c r="A286" s="5">
        <v>285</v>
      </c>
      <c r="B286" s="11">
        <v>40556</v>
      </c>
      <c r="C286" s="5">
        <v>1</v>
      </c>
      <c r="D286" s="5">
        <v>0</v>
      </c>
      <c r="E286" s="5">
        <v>1</v>
      </c>
      <c r="F286" s="5">
        <v>7</v>
      </c>
      <c r="G286" s="5" t="b">
        <v>0</v>
      </c>
      <c r="H286" s="5">
        <v>4</v>
      </c>
      <c r="I286" s="5">
        <v>1</v>
      </c>
      <c r="J286" s="5">
        <v>0.12</v>
      </c>
    </row>
    <row r="287" spans="1:10">
      <c r="A287" s="5">
        <v>286</v>
      </c>
      <c r="B287" s="11">
        <v>40556</v>
      </c>
      <c r="C287" s="5">
        <v>1</v>
      </c>
      <c r="D287" s="5">
        <v>0</v>
      </c>
      <c r="E287" s="5">
        <v>1</v>
      </c>
      <c r="F287" s="5">
        <v>8</v>
      </c>
      <c r="G287" s="5" t="b">
        <v>0</v>
      </c>
      <c r="H287" s="5">
        <v>4</v>
      </c>
      <c r="I287" s="5">
        <v>1</v>
      </c>
      <c r="J287" s="5">
        <v>0.14</v>
      </c>
    </row>
    <row r="288" spans="1:10">
      <c r="A288" s="5">
        <v>287</v>
      </c>
      <c r="B288" s="11">
        <v>40556</v>
      </c>
      <c r="C288" s="5">
        <v>1</v>
      </c>
      <c r="D288" s="5">
        <v>0</v>
      </c>
      <c r="E288" s="5">
        <v>1</v>
      </c>
      <c r="F288" s="5">
        <v>9</v>
      </c>
      <c r="G288" s="5" t="b">
        <v>0</v>
      </c>
      <c r="H288" s="5">
        <v>4</v>
      </c>
      <c r="I288" s="5">
        <v>1</v>
      </c>
      <c r="J288" s="5">
        <v>0.14</v>
      </c>
    </row>
    <row r="289" spans="1:10">
      <c r="A289" s="5">
        <v>288</v>
      </c>
      <c r="B289" s="11">
        <v>40556</v>
      </c>
      <c r="C289" s="5">
        <v>1</v>
      </c>
      <c r="D289" s="5">
        <v>0</v>
      </c>
      <c r="E289" s="5">
        <v>1</v>
      </c>
      <c r="F289" s="5">
        <v>10</v>
      </c>
      <c r="G289" s="5" t="b">
        <v>0</v>
      </c>
      <c r="H289" s="5">
        <v>4</v>
      </c>
      <c r="I289" s="5">
        <v>2</v>
      </c>
      <c r="J289" s="5">
        <v>0.16</v>
      </c>
    </row>
    <row r="290" spans="1:10">
      <c r="A290" s="5">
        <v>289</v>
      </c>
      <c r="B290" s="11">
        <v>40556</v>
      </c>
      <c r="C290" s="5">
        <v>1</v>
      </c>
      <c r="D290" s="5">
        <v>0</v>
      </c>
      <c r="E290" s="5">
        <v>1</v>
      </c>
      <c r="F290" s="5">
        <v>11</v>
      </c>
      <c r="G290" s="5" t="b">
        <v>0</v>
      </c>
      <c r="H290" s="5">
        <v>4</v>
      </c>
      <c r="I290" s="5">
        <v>2</v>
      </c>
      <c r="J290" s="5">
        <v>0.2</v>
      </c>
    </row>
    <row r="291" spans="1:10">
      <c r="A291" s="5">
        <v>290</v>
      </c>
      <c r="B291" s="11">
        <v>40556</v>
      </c>
      <c r="C291" s="5">
        <v>1</v>
      </c>
      <c r="D291" s="5">
        <v>0</v>
      </c>
      <c r="E291" s="5">
        <v>1</v>
      </c>
      <c r="F291" s="5">
        <v>12</v>
      </c>
      <c r="G291" s="5" t="b">
        <v>0</v>
      </c>
      <c r="H291" s="5">
        <v>4</v>
      </c>
      <c r="I291" s="5">
        <v>1</v>
      </c>
      <c r="J291" s="5">
        <v>0.2</v>
      </c>
    </row>
    <row r="292" spans="1:10">
      <c r="A292" s="5">
        <v>291</v>
      </c>
      <c r="B292" s="11">
        <v>40556</v>
      </c>
      <c r="C292" s="5">
        <v>1</v>
      </c>
      <c r="D292" s="5">
        <v>0</v>
      </c>
      <c r="E292" s="5">
        <v>1</v>
      </c>
      <c r="F292" s="5">
        <v>13</v>
      </c>
      <c r="G292" s="5" t="b">
        <v>0</v>
      </c>
      <c r="H292" s="5">
        <v>4</v>
      </c>
      <c r="I292" s="5">
        <v>1</v>
      </c>
      <c r="J292" s="5">
        <v>0.22</v>
      </c>
    </row>
    <row r="293" spans="1:10">
      <c r="A293" s="5">
        <v>292</v>
      </c>
      <c r="B293" s="11">
        <v>40556</v>
      </c>
      <c r="C293" s="5">
        <v>1</v>
      </c>
      <c r="D293" s="5">
        <v>0</v>
      </c>
      <c r="E293" s="5">
        <v>1</v>
      </c>
      <c r="F293" s="5">
        <v>14</v>
      </c>
      <c r="G293" s="5" t="b">
        <v>0</v>
      </c>
      <c r="H293" s="5">
        <v>4</v>
      </c>
      <c r="I293" s="5">
        <v>1</v>
      </c>
      <c r="J293" s="5">
        <v>0.22</v>
      </c>
    </row>
    <row r="294" spans="1:10">
      <c r="A294" s="5">
        <v>293</v>
      </c>
      <c r="B294" s="11">
        <v>40556</v>
      </c>
      <c r="C294" s="5">
        <v>1</v>
      </c>
      <c r="D294" s="5">
        <v>0</v>
      </c>
      <c r="E294" s="5">
        <v>1</v>
      </c>
      <c r="F294" s="5">
        <v>15</v>
      </c>
      <c r="G294" s="5" t="b">
        <v>0</v>
      </c>
      <c r="H294" s="5">
        <v>4</v>
      </c>
      <c r="I294" s="5">
        <v>1</v>
      </c>
      <c r="J294" s="5">
        <v>0.24</v>
      </c>
    </row>
    <row r="295" spans="1:10">
      <c r="A295" s="5">
        <v>294</v>
      </c>
      <c r="B295" s="11">
        <v>40556</v>
      </c>
      <c r="C295" s="5">
        <v>1</v>
      </c>
      <c r="D295" s="5">
        <v>0</v>
      </c>
      <c r="E295" s="5">
        <v>1</v>
      </c>
      <c r="F295" s="5">
        <v>16</v>
      </c>
      <c r="G295" s="5" t="b">
        <v>0</v>
      </c>
      <c r="H295" s="5">
        <v>4</v>
      </c>
      <c r="I295" s="5">
        <v>1</v>
      </c>
      <c r="J295" s="5">
        <v>0.24</v>
      </c>
    </row>
    <row r="296" spans="1:10">
      <c r="A296" s="5">
        <v>295</v>
      </c>
      <c r="B296" s="11">
        <v>40556</v>
      </c>
      <c r="C296" s="5">
        <v>1</v>
      </c>
      <c r="D296" s="5">
        <v>0</v>
      </c>
      <c r="E296" s="5">
        <v>1</v>
      </c>
      <c r="F296" s="5">
        <v>17</v>
      </c>
      <c r="G296" s="5" t="b">
        <v>0</v>
      </c>
      <c r="H296" s="5">
        <v>4</v>
      </c>
      <c r="I296" s="5">
        <v>1</v>
      </c>
      <c r="J296" s="5">
        <v>0.2</v>
      </c>
    </row>
    <row r="297" spans="1:10">
      <c r="A297" s="5">
        <v>296</v>
      </c>
      <c r="B297" s="11">
        <v>40556</v>
      </c>
      <c r="C297" s="5">
        <v>1</v>
      </c>
      <c r="D297" s="5">
        <v>0</v>
      </c>
      <c r="E297" s="5">
        <v>1</v>
      </c>
      <c r="F297" s="5">
        <v>18</v>
      </c>
      <c r="G297" s="5" t="b">
        <v>0</v>
      </c>
      <c r="H297" s="5">
        <v>4</v>
      </c>
      <c r="I297" s="5">
        <v>1</v>
      </c>
      <c r="J297" s="5">
        <v>0.2</v>
      </c>
    </row>
    <row r="298" spans="1:10">
      <c r="A298" s="5">
        <v>297</v>
      </c>
      <c r="B298" s="11">
        <v>40556</v>
      </c>
      <c r="C298" s="5">
        <v>1</v>
      </c>
      <c r="D298" s="5">
        <v>0</v>
      </c>
      <c r="E298" s="5">
        <v>1</v>
      </c>
      <c r="F298" s="5">
        <v>19</v>
      </c>
      <c r="G298" s="5" t="b">
        <v>0</v>
      </c>
      <c r="H298" s="5">
        <v>4</v>
      </c>
      <c r="I298" s="5">
        <v>1</v>
      </c>
      <c r="J298" s="5">
        <v>0.16</v>
      </c>
    </row>
    <row r="299" spans="1:10">
      <c r="A299" s="5">
        <v>298</v>
      </c>
      <c r="B299" s="11">
        <v>40556</v>
      </c>
      <c r="C299" s="5">
        <v>1</v>
      </c>
      <c r="D299" s="5">
        <v>0</v>
      </c>
      <c r="E299" s="5">
        <v>1</v>
      </c>
      <c r="F299" s="5">
        <v>20</v>
      </c>
      <c r="G299" s="5" t="b">
        <v>0</v>
      </c>
      <c r="H299" s="5">
        <v>4</v>
      </c>
      <c r="I299" s="5">
        <v>1</v>
      </c>
      <c r="J299" s="5">
        <v>0.16</v>
      </c>
    </row>
    <row r="300" spans="1:10">
      <c r="A300" s="5">
        <v>299</v>
      </c>
      <c r="B300" s="11">
        <v>40556</v>
      </c>
      <c r="C300" s="5">
        <v>1</v>
      </c>
      <c r="D300" s="5">
        <v>0</v>
      </c>
      <c r="E300" s="5">
        <v>1</v>
      </c>
      <c r="F300" s="5">
        <v>21</v>
      </c>
      <c r="G300" s="5" t="b">
        <v>0</v>
      </c>
      <c r="H300" s="5">
        <v>4</v>
      </c>
      <c r="I300" s="5">
        <v>1</v>
      </c>
      <c r="J300" s="5">
        <v>0.14</v>
      </c>
    </row>
    <row r="301" spans="1:10">
      <c r="A301" s="5">
        <v>300</v>
      </c>
      <c r="B301" s="11">
        <v>40556</v>
      </c>
      <c r="C301" s="5">
        <v>1</v>
      </c>
      <c r="D301" s="5">
        <v>0</v>
      </c>
      <c r="E301" s="5">
        <v>1</v>
      </c>
      <c r="F301" s="5">
        <v>22</v>
      </c>
      <c r="G301" s="5" t="b">
        <v>0</v>
      </c>
      <c r="H301" s="5">
        <v>4</v>
      </c>
      <c r="I301" s="5">
        <v>1</v>
      </c>
      <c r="J301" s="5">
        <v>0.14</v>
      </c>
    </row>
    <row r="302" spans="1:10">
      <c r="A302" s="5">
        <v>301</v>
      </c>
      <c r="B302" s="11">
        <v>40556</v>
      </c>
      <c r="C302" s="5">
        <v>1</v>
      </c>
      <c r="D302" s="5">
        <v>0</v>
      </c>
      <c r="E302" s="5">
        <v>1</v>
      </c>
      <c r="F302" s="5">
        <v>23</v>
      </c>
      <c r="G302" s="5" t="b">
        <v>0</v>
      </c>
      <c r="H302" s="5">
        <v>4</v>
      </c>
      <c r="I302" s="5">
        <v>1</v>
      </c>
      <c r="J302" s="5">
        <v>0.12</v>
      </c>
    </row>
    <row r="303" spans="1:10">
      <c r="A303" s="5">
        <v>302</v>
      </c>
      <c r="B303" s="11">
        <v>40557</v>
      </c>
      <c r="C303" s="5">
        <v>1</v>
      </c>
      <c r="D303" s="5">
        <v>0</v>
      </c>
      <c r="E303" s="5">
        <v>1</v>
      </c>
      <c r="F303" s="5">
        <v>0</v>
      </c>
      <c r="G303" s="5" t="b">
        <v>0</v>
      </c>
      <c r="H303" s="5">
        <v>5</v>
      </c>
      <c r="I303" s="5">
        <v>1</v>
      </c>
      <c r="J303" s="5">
        <v>0.12</v>
      </c>
    </row>
    <row r="304" spans="1:10">
      <c r="A304" s="5">
        <v>303</v>
      </c>
      <c r="B304" s="11">
        <v>40557</v>
      </c>
      <c r="C304" s="5">
        <v>1</v>
      </c>
      <c r="D304" s="5">
        <v>0</v>
      </c>
      <c r="E304" s="5">
        <v>1</v>
      </c>
      <c r="F304" s="5">
        <v>1</v>
      </c>
      <c r="G304" s="5" t="b">
        <v>0</v>
      </c>
      <c r="H304" s="5">
        <v>5</v>
      </c>
      <c r="I304" s="5">
        <v>1</v>
      </c>
      <c r="J304" s="5">
        <v>0.1</v>
      </c>
    </row>
    <row r="305" spans="1:10">
      <c r="A305" s="5">
        <v>304</v>
      </c>
      <c r="B305" s="11">
        <v>40557</v>
      </c>
      <c r="C305" s="5">
        <v>1</v>
      </c>
      <c r="D305" s="5">
        <v>0</v>
      </c>
      <c r="E305" s="5">
        <v>1</v>
      </c>
      <c r="F305" s="5">
        <v>2</v>
      </c>
      <c r="G305" s="5" t="b">
        <v>0</v>
      </c>
      <c r="H305" s="5">
        <v>5</v>
      </c>
      <c r="I305" s="5">
        <v>1</v>
      </c>
      <c r="J305" s="5">
        <v>0.1</v>
      </c>
    </row>
    <row r="306" spans="1:10">
      <c r="A306" s="5">
        <v>305</v>
      </c>
      <c r="B306" s="11">
        <v>40557</v>
      </c>
      <c r="C306" s="5">
        <v>1</v>
      </c>
      <c r="D306" s="5">
        <v>0</v>
      </c>
      <c r="E306" s="5">
        <v>1</v>
      </c>
      <c r="F306" s="5">
        <v>3</v>
      </c>
      <c r="G306" s="5" t="b">
        <v>0</v>
      </c>
      <c r="H306" s="5">
        <v>5</v>
      </c>
      <c r="I306" s="5">
        <v>1</v>
      </c>
      <c r="J306" s="5">
        <v>0.1</v>
      </c>
    </row>
    <row r="307" spans="1:10">
      <c r="A307" s="5">
        <v>306</v>
      </c>
      <c r="B307" s="11">
        <v>40557</v>
      </c>
      <c r="C307" s="5">
        <v>1</v>
      </c>
      <c r="D307" s="5">
        <v>0</v>
      </c>
      <c r="E307" s="5">
        <v>1</v>
      </c>
      <c r="F307" s="5">
        <v>5</v>
      </c>
      <c r="G307" s="5" t="b">
        <v>0</v>
      </c>
      <c r="H307" s="5">
        <v>5</v>
      </c>
      <c r="I307" s="5">
        <v>1</v>
      </c>
      <c r="J307" s="5">
        <v>0.1</v>
      </c>
    </row>
    <row r="308" spans="1:10">
      <c r="A308" s="5">
        <v>307</v>
      </c>
      <c r="B308" s="11">
        <v>40557</v>
      </c>
      <c r="C308" s="5">
        <v>1</v>
      </c>
      <c r="D308" s="5">
        <v>0</v>
      </c>
      <c r="E308" s="5">
        <v>1</v>
      </c>
      <c r="F308" s="5">
        <v>6</v>
      </c>
      <c r="G308" s="5" t="b">
        <v>0</v>
      </c>
      <c r="H308" s="5">
        <v>5</v>
      </c>
      <c r="I308" s="5">
        <v>1</v>
      </c>
      <c r="J308" s="5">
        <v>0.1</v>
      </c>
    </row>
    <row r="309" spans="1:10">
      <c r="A309" s="5">
        <v>308</v>
      </c>
      <c r="B309" s="11">
        <v>40557</v>
      </c>
      <c r="C309" s="5">
        <v>1</v>
      </c>
      <c r="D309" s="5">
        <v>0</v>
      </c>
      <c r="E309" s="5">
        <v>1</v>
      </c>
      <c r="F309" s="5">
        <v>7</v>
      </c>
      <c r="G309" s="5" t="b">
        <v>0</v>
      </c>
      <c r="H309" s="5">
        <v>5</v>
      </c>
      <c r="I309" s="5">
        <v>1</v>
      </c>
      <c r="J309" s="5">
        <v>0.1</v>
      </c>
    </row>
    <row r="310" spans="1:10">
      <c r="A310" s="5">
        <v>309</v>
      </c>
      <c r="B310" s="11">
        <v>40557</v>
      </c>
      <c r="C310" s="5">
        <v>1</v>
      </c>
      <c r="D310" s="5">
        <v>0</v>
      </c>
      <c r="E310" s="5">
        <v>1</v>
      </c>
      <c r="F310" s="5">
        <v>8</v>
      </c>
      <c r="G310" s="5" t="b">
        <v>0</v>
      </c>
      <c r="H310" s="5">
        <v>5</v>
      </c>
      <c r="I310" s="5">
        <v>1</v>
      </c>
      <c r="J310" s="5">
        <v>0.12</v>
      </c>
    </row>
    <row r="311" spans="1:10">
      <c r="A311" s="5">
        <v>310</v>
      </c>
      <c r="B311" s="11">
        <v>40557</v>
      </c>
      <c r="C311" s="5">
        <v>1</v>
      </c>
      <c r="D311" s="5">
        <v>0</v>
      </c>
      <c r="E311" s="5">
        <v>1</v>
      </c>
      <c r="F311" s="5">
        <v>9</v>
      </c>
      <c r="G311" s="5" t="b">
        <v>0</v>
      </c>
      <c r="H311" s="5">
        <v>5</v>
      </c>
      <c r="I311" s="5">
        <v>1</v>
      </c>
      <c r="J311" s="5">
        <v>0.14</v>
      </c>
    </row>
    <row r="312" spans="1:10">
      <c r="A312" s="5">
        <v>311</v>
      </c>
      <c r="B312" s="11">
        <v>40557</v>
      </c>
      <c r="C312" s="5">
        <v>1</v>
      </c>
      <c r="D312" s="5">
        <v>0</v>
      </c>
      <c r="E312" s="5">
        <v>1</v>
      </c>
      <c r="F312" s="5">
        <v>10</v>
      </c>
      <c r="G312" s="5" t="b">
        <v>0</v>
      </c>
      <c r="H312" s="5">
        <v>5</v>
      </c>
      <c r="I312" s="5">
        <v>1</v>
      </c>
      <c r="J312" s="5">
        <v>0.18</v>
      </c>
    </row>
    <row r="313" spans="1:10">
      <c r="A313" s="5">
        <v>312</v>
      </c>
      <c r="B313" s="11">
        <v>40557</v>
      </c>
      <c r="C313" s="5">
        <v>1</v>
      </c>
      <c r="D313" s="5">
        <v>0</v>
      </c>
      <c r="E313" s="5">
        <v>1</v>
      </c>
      <c r="F313" s="5">
        <v>11</v>
      </c>
      <c r="G313" s="5" t="b">
        <v>0</v>
      </c>
      <c r="H313" s="5">
        <v>5</v>
      </c>
      <c r="I313" s="5">
        <v>1</v>
      </c>
      <c r="J313" s="5">
        <v>0.18</v>
      </c>
    </row>
    <row r="314" spans="1:10">
      <c r="A314" s="5">
        <v>313</v>
      </c>
      <c r="B314" s="11">
        <v>40557</v>
      </c>
      <c r="C314" s="5">
        <v>1</v>
      </c>
      <c r="D314" s="5">
        <v>0</v>
      </c>
      <c r="E314" s="5">
        <v>1</v>
      </c>
      <c r="F314" s="5">
        <v>12</v>
      </c>
      <c r="G314" s="5" t="b">
        <v>0</v>
      </c>
      <c r="H314" s="5">
        <v>5</v>
      </c>
      <c r="I314" s="5">
        <v>1</v>
      </c>
      <c r="J314" s="5">
        <v>0.2</v>
      </c>
    </row>
    <row r="315" spans="1:10">
      <c r="A315" s="5">
        <v>314</v>
      </c>
      <c r="B315" s="11">
        <v>40557</v>
      </c>
      <c r="C315" s="5">
        <v>1</v>
      </c>
      <c r="D315" s="5">
        <v>0</v>
      </c>
      <c r="E315" s="5">
        <v>1</v>
      </c>
      <c r="F315" s="5">
        <v>13</v>
      </c>
      <c r="G315" s="5" t="b">
        <v>0</v>
      </c>
      <c r="H315" s="5">
        <v>5</v>
      </c>
      <c r="I315" s="5">
        <v>1</v>
      </c>
      <c r="J315" s="5">
        <v>0.22</v>
      </c>
    </row>
    <row r="316" spans="1:10">
      <c r="A316" s="5">
        <v>315</v>
      </c>
      <c r="B316" s="11">
        <v>40557</v>
      </c>
      <c r="C316" s="5">
        <v>1</v>
      </c>
      <c r="D316" s="5">
        <v>0</v>
      </c>
      <c r="E316" s="5">
        <v>1</v>
      </c>
      <c r="F316" s="5">
        <v>14</v>
      </c>
      <c r="G316" s="5" t="b">
        <v>0</v>
      </c>
      <c r="H316" s="5">
        <v>5</v>
      </c>
      <c r="I316" s="5">
        <v>1</v>
      </c>
      <c r="J316" s="5">
        <v>0.22</v>
      </c>
    </row>
    <row r="317" spans="1:10">
      <c r="A317" s="5">
        <v>316</v>
      </c>
      <c r="B317" s="11">
        <v>40557</v>
      </c>
      <c r="C317" s="5">
        <v>1</v>
      </c>
      <c r="D317" s="5">
        <v>0</v>
      </c>
      <c r="E317" s="5">
        <v>1</v>
      </c>
      <c r="F317" s="5">
        <v>15</v>
      </c>
      <c r="G317" s="5" t="b">
        <v>0</v>
      </c>
      <c r="H317" s="5">
        <v>5</v>
      </c>
      <c r="I317" s="5">
        <v>1</v>
      </c>
      <c r="J317" s="5">
        <v>0.24</v>
      </c>
    </row>
    <row r="318" spans="1:10">
      <c r="A318" s="5">
        <v>317</v>
      </c>
      <c r="B318" s="11">
        <v>40557</v>
      </c>
      <c r="C318" s="5">
        <v>1</v>
      </c>
      <c r="D318" s="5">
        <v>0</v>
      </c>
      <c r="E318" s="5">
        <v>1</v>
      </c>
      <c r="F318" s="5">
        <v>16</v>
      </c>
      <c r="G318" s="5" t="b">
        <v>0</v>
      </c>
      <c r="H318" s="5">
        <v>5</v>
      </c>
      <c r="I318" s="5">
        <v>1</v>
      </c>
      <c r="J318" s="5">
        <v>0.22</v>
      </c>
    </row>
    <row r="319" spans="1:10">
      <c r="A319" s="5">
        <v>318</v>
      </c>
      <c r="B319" s="11">
        <v>40557</v>
      </c>
      <c r="C319" s="5">
        <v>1</v>
      </c>
      <c r="D319" s="5">
        <v>0</v>
      </c>
      <c r="E319" s="5">
        <v>1</v>
      </c>
      <c r="F319" s="5">
        <v>17</v>
      </c>
      <c r="G319" s="5" t="b">
        <v>0</v>
      </c>
      <c r="H319" s="5">
        <v>5</v>
      </c>
      <c r="I319" s="5">
        <v>1</v>
      </c>
      <c r="J319" s="5">
        <v>0.22</v>
      </c>
    </row>
    <row r="320" spans="1:10">
      <c r="A320" s="5">
        <v>319</v>
      </c>
      <c r="B320" s="11">
        <v>40557</v>
      </c>
      <c r="C320" s="5">
        <v>1</v>
      </c>
      <c r="D320" s="5">
        <v>0</v>
      </c>
      <c r="E320" s="5">
        <v>1</v>
      </c>
      <c r="F320" s="5">
        <v>18</v>
      </c>
      <c r="G320" s="5" t="b">
        <v>0</v>
      </c>
      <c r="H320" s="5">
        <v>5</v>
      </c>
      <c r="I320" s="5">
        <v>1</v>
      </c>
      <c r="J320" s="5">
        <v>0.2</v>
      </c>
    </row>
    <row r="321" spans="1:10">
      <c r="A321" s="5">
        <v>320</v>
      </c>
      <c r="B321" s="11">
        <v>40557</v>
      </c>
      <c r="C321" s="5">
        <v>1</v>
      </c>
      <c r="D321" s="5">
        <v>0</v>
      </c>
      <c r="E321" s="5">
        <v>1</v>
      </c>
      <c r="F321" s="5">
        <v>19</v>
      </c>
      <c r="G321" s="5" t="b">
        <v>0</v>
      </c>
      <c r="H321" s="5">
        <v>5</v>
      </c>
      <c r="I321" s="5">
        <v>1</v>
      </c>
      <c r="J321" s="5">
        <v>0.16</v>
      </c>
    </row>
    <row r="322" spans="1:10">
      <c r="A322" s="5">
        <v>321</v>
      </c>
      <c r="B322" s="11">
        <v>40557</v>
      </c>
      <c r="C322" s="5">
        <v>1</v>
      </c>
      <c r="D322" s="5">
        <v>0</v>
      </c>
      <c r="E322" s="5">
        <v>1</v>
      </c>
      <c r="F322" s="5">
        <v>20</v>
      </c>
      <c r="G322" s="5" t="b">
        <v>0</v>
      </c>
      <c r="H322" s="5">
        <v>5</v>
      </c>
      <c r="I322" s="5">
        <v>1</v>
      </c>
      <c r="J322" s="5">
        <v>0.18</v>
      </c>
    </row>
    <row r="323" spans="1:10">
      <c r="A323" s="5">
        <v>322</v>
      </c>
      <c r="B323" s="11">
        <v>40557</v>
      </c>
      <c r="C323" s="5">
        <v>1</v>
      </c>
      <c r="D323" s="5">
        <v>0</v>
      </c>
      <c r="E323" s="5">
        <v>1</v>
      </c>
      <c r="F323" s="5">
        <v>21</v>
      </c>
      <c r="G323" s="5" t="b">
        <v>0</v>
      </c>
      <c r="H323" s="5">
        <v>5</v>
      </c>
      <c r="I323" s="5">
        <v>1</v>
      </c>
      <c r="J323" s="5">
        <v>0.16</v>
      </c>
    </row>
    <row r="324" spans="1:10">
      <c r="A324" s="5">
        <v>323</v>
      </c>
      <c r="B324" s="11">
        <v>40557</v>
      </c>
      <c r="C324" s="5">
        <v>1</v>
      </c>
      <c r="D324" s="5">
        <v>0</v>
      </c>
      <c r="E324" s="5">
        <v>1</v>
      </c>
      <c r="F324" s="5">
        <v>22</v>
      </c>
      <c r="G324" s="5" t="b">
        <v>0</v>
      </c>
      <c r="H324" s="5">
        <v>5</v>
      </c>
      <c r="I324" s="5">
        <v>2</v>
      </c>
      <c r="J324" s="5">
        <v>0.16</v>
      </c>
    </row>
    <row r="325" spans="1:10">
      <c r="A325" s="5">
        <v>324</v>
      </c>
      <c r="B325" s="11">
        <v>40557</v>
      </c>
      <c r="C325" s="5">
        <v>1</v>
      </c>
      <c r="D325" s="5">
        <v>0</v>
      </c>
      <c r="E325" s="5">
        <v>1</v>
      </c>
      <c r="F325" s="5">
        <v>23</v>
      </c>
      <c r="G325" s="5" t="b">
        <v>0</v>
      </c>
      <c r="H325" s="5">
        <v>5</v>
      </c>
      <c r="I325" s="5">
        <v>2</v>
      </c>
      <c r="J325" s="5">
        <v>0.18</v>
      </c>
    </row>
    <row r="326" spans="1:10">
      <c r="A326" s="5">
        <v>325</v>
      </c>
      <c r="B326" s="11">
        <v>40558</v>
      </c>
      <c r="C326" s="5">
        <v>1</v>
      </c>
      <c r="D326" s="5">
        <v>0</v>
      </c>
      <c r="E326" s="5">
        <v>1</v>
      </c>
      <c r="F326" s="5">
        <v>0</v>
      </c>
      <c r="G326" s="5" t="b">
        <v>0</v>
      </c>
      <c r="H326" s="5">
        <v>6</v>
      </c>
      <c r="I326" s="5">
        <v>1</v>
      </c>
      <c r="J326" s="5">
        <v>0.18</v>
      </c>
    </row>
    <row r="327" spans="1:10">
      <c r="A327" s="5">
        <v>326</v>
      </c>
      <c r="B327" s="11">
        <v>40558</v>
      </c>
      <c r="C327" s="5">
        <v>1</v>
      </c>
      <c r="D327" s="5">
        <v>0</v>
      </c>
      <c r="E327" s="5">
        <v>1</v>
      </c>
      <c r="F327" s="5">
        <v>1</v>
      </c>
      <c r="G327" s="5" t="b">
        <v>0</v>
      </c>
      <c r="H327" s="5">
        <v>6</v>
      </c>
      <c r="I327" s="5">
        <v>2</v>
      </c>
      <c r="J327" s="5">
        <v>0.16</v>
      </c>
    </row>
    <row r="328" spans="1:10">
      <c r="A328" s="5">
        <v>327</v>
      </c>
      <c r="B328" s="11">
        <v>40558</v>
      </c>
      <c r="C328" s="5">
        <v>1</v>
      </c>
      <c r="D328" s="5">
        <v>0</v>
      </c>
      <c r="E328" s="5">
        <v>1</v>
      </c>
      <c r="F328" s="5">
        <v>2</v>
      </c>
      <c r="G328" s="5" t="b">
        <v>0</v>
      </c>
      <c r="H328" s="5">
        <v>6</v>
      </c>
      <c r="I328" s="5">
        <v>2</v>
      </c>
      <c r="J328" s="5">
        <v>0.16</v>
      </c>
    </row>
    <row r="329" spans="1:10">
      <c r="A329" s="5">
        <v>328</v>
      </c>
      <c r="B329" s="11">
        <v>40558</v>
      </c>
      <c r="C329" s="5">
        <v>1</v>
      </c>
      <c r="D329" s="5">
        <v>0</v>
      </c>
      <c r="E329" s="5">
        <v>1</v>
      </c>
      <c r="F329" s="5">
        <v>3</v>
      </c>
      <c r="G329" s="5" t="b">
        <v>0</v>
      </c>
      <c r="H329" s="5">
        <v>6</v>
      </c>
      <c r="I329" s="5">
        <v>2</v>
      </c>
      <c r="J329" s="5">
        <v>0.16</v>
      </c>
    </row>
    <row r="330" spans="1:10">
      <c r="A330" s="5">
        <v>329</v>
      </c>
      <c r="B330" s="11">
        <v>40558</v>
      </c>
      <c r="C330" s="5">
        <v>1</v>
      </c>
      <c r="D330" s="5">
        <v>0</v>
      </c>
      <c r="E330" s="5">
        <v>1</v>
      </c>
      <c r="F330" s="5">
        <v>4</v>
      </c>
      <c r="G330" s="5" t="b">
        <v>0</v>
      </c>
      <c r="H330" s="5">
        <v>6</v>
      </c>
      <c r="I330" s="5">
        <v>2</v>
      </c>
      <c r="J330" s="5">
        <v>0.16</v>
      </c>
    </row>
    <row r="331" spans="1:10">
      <c r="A331" s="5">
        <v>330</v>
      </c>
      <c r="B331" s="11">
        <v>40558</v>
      </c>
      <c r="C331" s="5">
        <v>1</v>
      </c>
      <c r="D331" s="5">
        <v>0</v>
      </c>
      <c r="E331" s="5">
        <v>1</v>
      </c>
      <c r="F331" s="5">
        <v>5</v>
      </c>
      <c r="G331" s="5" t="b">
        <v>0</v>
      </c>
      <c r="H331" s="5">
        <v>6</v>
      </c>
      <c r="I331" s="5">
        <v>1</v>
      </c>
      <c r="J331" s="5">
        <v>0.16</v>
      </c>
    </row>
    <row r="332" spans="1:10">
      <c r="A332" s="5">
        <v>331</v>
      </c>
      <c r="B332" s="11">
        <v>40558</v>
      </c>
      <c r="C332" s="5">
        <v>1</v>
      </c>
      <c r="D332" s="5">
        <v>0</v>
      </c>
      <c r="E332" s="5">
        <v>1</v>
      </c>
      <c r="F332" s="5">
        <v>6</v>
      </c>
      <c r="G332" s="5" t="b">
        <v>0</v>
      </c>
      <c r="H332" s="5">
        <v>6</v>
      </c>
      <c r="I332" s="5">
        <v>1</v>
      </c>
      <c r="J332" s="5">
        <v>0.14</v>
      </c>
    </row>
    <row r="333" spans="1:10">
      <c r="A333" s="5">
        <v>332</v>
      </c>
      <c r="B333" s="11">
        <v>40558</v>
      </c>
      <c r="C333" s="5">
        <v>1</v>
      </c>
      <c r="D333" s="5">
        <v>0</v>
      </c>
      <c r="E333" s="5">
        <v>1</v>
      </c>
      <c r="F333" s="5">
        <v>7</v>
      </c>
      <c r="G333" s="5" t="b">
        <v>0</v>
      </c>
      <c r="H333" s="5">
        <v>6</v>
      </c>
      <c r="I333" s="5">
        <v>1</v>
      </c>
      <c r="J333" s="5">
        <v>0.14</v>
      </c>
    </row>
    <row r="334" spans="1:10">
      <c r="A334" s="5">
        <v>333</v>
      </c>
      <c r="B334" s="11">
        <v>40558</v>
      </c>
      <c r="C334" s="5">
        <v>1</v>
      </c>
      <c r="D334" s="5">
        <v>0</v>
      </c>
      <c r="E334" s="5">
        <v>1</v>
      </c>
      <c r="F334" s="5">
        <v>8</v>
      </c>
      <c r="G334" s="5" t="b">
        <v>0</v>
      </c>
      <c r="H334" s="5">
        <v>6</v>
      </c>
      <c r="I334" s="5">
        <v>1</v>
      </c>
      <c r="J334" s="5">
        <v>0.14</v>
      </c>
    </row>
    <row r="335" spans="1:10">
      <c r="A335" s="5">
        <v>334</v>
      </c>
      <c r="B335" s="11">
        <v>40558</v>
      </c>
      <c r="C335" s="5">
        <v>1</v>
      </c>
      <c r="D335" s="5">
        <v>0</v>
      </c>
      <c r="E335" s="5">
        <v>1</v>
      </c>
      <c r="F335" s="5">
        <v>9</v>
      </c>
      <c r="G335" s="5" t="b">
        <v>0</v>
      </c>
      <c r="H335" s="5">
        <v>6</v>
      </c>
      <c r="I335" s="5">
        <v>1</v>
      </c>
      <c r="J335" s="5">
        <v>0.16</v>
      </c>
    </row>
    <row r="336" spans="1:10">
      <c r="A336" s="5">
        <v>335</v>
      </c>
      <c r="B336" s="11">
        <v>40558</v>
      </c>
      <c r="C336" s="5">
        <v>1</v>
      </c>
      <c r="D336" s="5">
        <v>0</v>
      </c>
      <c r="E336" s="5">
        <v>1</v>
      </c>
      <c r="F336" s="5">
        <v>10</v>
      </c>
      <c r="G336" s="5" t="b">
        <v>0</v>
      </c>
      <c r="H336" s="5">
        <v>6</v>
      </c>
      <c r="I336" s="5">
        <v>1</v>
      </c>
      <c r="J336" s="5">
        <v>0.18</v>
      </c>
    </row>
    <row r="337" spans="1:10">
      <c r="A337" s="5">
        <v>336</v>
      </c>
      <c r="B337" s="11">
        <v>40558</v>
      </c>
      <c r="C337" s="5">
        <v>1</v>
      </c>
      <c r="D337" s="5">
        <v>0</v>
      </c>
      <c r="E337" s="5">
        <v>1</v>
      </c>
      <c r="F337" s="5">
        <v>11</v>
      </c>
      <c r="G337" s="5" t="b">
        <v>0</v>
      </c>
      <c r="H337" s="5">
        <v>6</v>
      </c>
      <c r="I337" s="5">
        <v>1</v>
      </c>
      <c r="J337" s="5">
        <v>0.2</v>
      </c>
    </row>
    <row r="338" spans="1:10">
      <c r="A338" s="5">
        <v>337</v>
      </c>
      <c r="B338" s="11">
        <v>40558</v>
      </c>
      <c r="C338" s="5">
        <v>1</v>
      </c>
      <c r="D338" s="5">
        <v>0</v>
      </c>
      <c r="E338" s="5">
        <v>1</v>
      </c>
      <c r="F338" s="5">
        <v>12</v>
      </c>
      <c r="G338" s="5" t="b">
        <v>0</v>
      </c>
      <c r="H338" s="5">
        <v>6</v>
      </c>
      <c r="I338" s="5">
        <v>1</v>
      </c>
      <c r="J338" s="5">
        <v>0.24</v>
      </c>
    </row>
    <row r="339" spans="1:10">
      <c r="A339" s="5">
        <v>338</v>
      </c>
      <c r="B339" s="11">
        <v>40558</v>
      </c>
      <c r="C339" s="5">
        <v>1</v>
      </c>
      <c r="D339" s="5">
        <v>0</v>
      </c>
      <c r="E339" s="5">
        <v>1</v>
      </c>
      <c r="F339" s="5">
        <v>13</v>
      </c>
      <c r="G339" s="5" t="b">
        <v>0</v>
      </c>
      <c r="H339" s="5">
        <v>6</v>
      </c>
      <c r="I339" s="5">
        <v>1</v>
      </c>
      <c r="J339" s="5">
        <v>0.28</v>
      </c>
    </row>
    <row r="340" spans="1:10">
      <c r="A340" s="5">
        <v>339</v>
      </c>
      <c r="B340" s="11">
        <v>40558</v>
      </c>
      <c r="C340" s="5">
        <v>1</v>
      </c>
      <c r="D340" s="5">
        <v>0</v>
      </c>
      <c r="E340" s="5">
        <v>1</v>
      </c>
      <c r="F340" s="5">
        <v>14</v>
      </c>
      <c r="G340" s="5" t="b">
        <v>0</v>
      </c>
      <c r="H340" s="5">
        <v>6</v>
      </c>
      <c r="I340" s="5">
        <v>1</v>
      </c>
      <c r="J340" s="5">
        <v>0.3</v>
      </c>
    </row>
    <row r="341" spans="1:10">
      <c r="A341" s="5">
        <v>340</v>
      </c>
      <c r="B341" s="11">
        <v>40558</v>
      </c>
      <c r="C341" s="5">
        <v>1</v>
      </c>
      <c r="D341" s="5">
        <v>0</v>
      </c>
      <c r="E341" s="5">
        <v>1</v>
      </c>
      <c r="F341" s="5">
        <v>15</v>
      </c>
      <c r="G341" s="5" t="b">
        <v>0</v>
      </c>
      <c r="H341" s="5">
        <v>6</v>
      </c>
      <c r="I341" s="5">
        <v>2</v>
      </c>
      <c r="J341" s="5">
        <v>0.32</v>
      </c>
    </row>
    <row r="342" spans="1:10">
      <c r="A342" s="5">
        <v>341</v>
      </c>
      <c r="B342" s="11">
        <v>40558</v>
      </c>
      <c r="C342" s="5">
        <v>1</v>
      </c>
      <c r="D342" s="5">
        <v>0</v>
      </c>
      <c r="E342" s="5">
        <v>1</v>
      </c>
      <c r="F342" s="5">
        <v>16</v>
      </c>
      <c r="G342" s="5" t="b">
        <v>0</v>
      </c>
      <c r="H342" s="5">
        <v>6</v>
      </c>
      <c r="I342" s="5">
        <v>2</v>
      </c>
      <c r="J342" s="5">
        <v>0.34</v>
      </c>
    </row>
    <row r="343" spans="1:10">
      <c r="A343" s="5">
        <v>342</v>
      </c>
      <c r="B343" s="11">
        <v>40558</v>
      </c>
      <c r="C343" s="5">
        <v>1</v>
      </c>
      <c r="D343" s="5">
        <v>0</v>
      </c>
      <c r="E343" s="5">
        <v>1</v>
      </c>
      <c r="F343" s="5">
        <v>17</v>
      </c>
      <c r="G343" s="5" t="b">
        <v>0</v>
      </c>
      <c r="H343" s="5">
        <v>6</v>
      </c>
      <c r="I343" s="5">
        <v>2</v>
      </c>
      <c r="J343" s="5">
        <v>0.32</v>
      </c>
    </row>
    <row r="344" spans="1:10">
      <c r="A344" s="5">
        <v>343</v>
      </c>
      <c r="B344" s="11">
        <v>40558</v>
      </c>
      <c r="C344" s="5">
        <v>1</v>
      </c>
      <c r="D344" s="5">
        <v>0</v>
      </c>
      <c r="E344" s="5">
        <v>1</v>
      </c>
      <c r="F344" s="5">
        <v>18</v>
      </c>
      <c r="G344" s="5" t="b">
        <v>0</v>
      </c>
      <c r="H344" s="5">
        <v>6</v>
      </c>
      <c r="I344" s="5">
        <v>2</v>
      </c>
      <c r="J344" s="5">
        <v>0.3</v>
      </c>
    </row>
    <row r="345" spans="1:10">
      <c r="A345" s="5">
        <v>344</v>
      </c>
      <c r="B345" s="11">
        <v>40558</v>
      </c>
      <c r="C345" s="5">
        <v>1</v>
      </c>
      <c r="D345" s="5">
        <v>0</v>
      </c>
      <c r="E345" s="5">
        <v>1</v>
      </c>
      <c r="F345" s="5">
        <v>19</v>
      </c>
      <c r="G345" s="5" t="b">
        <v>0</v>
      </c>
      <c r="H345" s="5">
        <v>6</v>
      </c>
      <c r="I345" s="5">
        <v>2</v>
      </c>
      <c r="J345" s="5">
        <v>0.32</v>
      </c>
    </row>
    <row r="346" spans="1:10">
      <c r="A346" s="5">
        <v>345</v>
      </c>
      <c r="B346" s="11">
        <v>40558</v>
      </c>
      <c r="C346" s="5">
        <v>1</v>
      </c>
      <c r="D346" s="5">
        <v>0</v>
      </c>
      <c r="E346" s="5">
        <v>1</v>
      </c>
      <c r="F346" s="5">
        <v>20</v>
      </c>
      <c r="G346" s="5" t="b">
        <v>0</v>
      </c>
      <c r="H346" s="5">
        <v>6</v>
      </c>
      <c r="I346" s="5">
        <v>2</v>
      </c>
      <c r="J346" s="5">
        <v>0.32</v>
      </c>
    </row>
    <row r="347" spans="1:10">
      <c r="A347" s="5">
        <v>346</v>
      </c>
      <c r="B347" s="11">
        <v>40558</v>
      </c>
      <c r="C347" s="5">
        <v>1</v>
      </c>
      <c r="D347" s="5">
        <v>0</v>
      </c>
      <c r="E347" s="5">
        <v>1</v>
      </c>
      <c r="F347" s="5">
        <v>21</v>
      </c>
      <c r="G347" s="5" t="b">
        <v>0</v>
      </c>
      <c r="H347" s="5">
        <v>6</v>
      </c>
      <c r="I347" s="5">
        <v>2</v>
      </c>
      <c r="J347" s="5">
        <v>0.32</v>
      </c>
    </row>
    <row r="348" spans="1:10">
      <c r="A348" s="5">
        <v>347</v>
      </c>
      <c r="B348" s="11">
        <v>40558</v>
      </c>
      <c r="C348" s="5">
        <v>1</v>
      </c>
      <c r="D348" s="5">
        <v>0</v>
      </c>
      <c r="E348" s="5">
        <v>1</v>
      </c>
      <c r="F348" s="5">
        <v>22</v>
      </c>
      <c r="G348" s="5" t="b">
        <v>0</v>
      </c>
      <c r="H348" s="5">
        <v>6</v>
      </c>
      <c r="I348" s="5">
        <v>2</v>
      </c>
      <c r="J348" s="5">
        <v>0.3</v>
      </c>
    </row>
    <row r="349" spans="1:10">
      <c r="A349" s="5">
        <v>348</v>
      </c>
      <c r="B349" s="11">
        <v>40558</v>
      </c>
      <c r="C349" s="5">
        <v>1</v>
      </c>
      <c r="D349" s="5">
        <v>0</v>
      </c>
      <c r="E349" s="5">
        <v>1</v>
      </c>
      <c r="F349" s="5">
        <v>23</v>
      </c>
      <c r="G349" s="5" t="b">
        <v>0</v>
      </c>
      <c r="H349" s="5">
        <v>6</v>
      </c>
      <c r="I349" s="5">
        <v>1</v>
      </c>
      <c r="J349" s="5">
        <v>0.3</v>
      </c>
    </row>
    <row r="350" spans="1:10">
      <c r="A350" s="5">
        <v>349</v>
      </c>
      <c r="B350" s="11">
        <v>40559</v>
      </c>
      <c r="C350" s="5">
        <v>1</v>
      </c>
      <c r="D350" s="5">
        <v>0</v>
      </c>
      <c r="E350" s="5">
        <v>1</v>
      </c>
      <c r="F350" s="5">
        <v>0</v>
      </c>
      <c r="G350" s="5" t="b">
        <v>0</v>
      </c>
      <c r="H350" s="5">
        <v>0</v>
      </c>
      <c r="I350" s="5">
        <v>1</v>
      </c>
      <c r="J350" s="5">
        <v>0.26</v>
      </c>
    </row>
    <row r="351" spans="1:10">
      <c r="A351" s="5">
        <v>350</v>
      </c>
      <c r="B351" s="11">
        <v>40559</v>
      </c>
      <c r="C351" s="5">
        <v>1</v>
      </c>
      <c r="D351" s="5">
        <v>0</v>
      </c>
      <c r="E351" s="5">
        <v>1</v>
      </c>
      <c r="F351" s="5">
        <v>1</v>
      </c>
      <c r="G351" s="5" t="b">
        <v>0</v>
      </c>
      <c r="H351" s="5">
        <v>0</v>
      </c>
      <c r="I351" s="5">
        <v>1</v>
      </c>
      <c r="J351" s="5">
        <v>0.26</v>
      </c>
    </row>
    <row r="352" spans="1:10">
      <c r="A352" s="5">
        <v>351</v>
      </c>
      <c r="B352" s="11">
        <v>40559</v>
      </c>
      <c r="C352" s="5">
        <v>1</v>
      </c>
      <c r="D352" s="5">
        <v>0</v>
      </c>
      <c r="E352" s="5">
        <v>1</v>
      </c>
      <c r="F352" s="5">
        <v>2</v>
      </c>
      <c r="G352" s="5" t="b">
        <v>0</v>
      </c>
      <c r="H352" s="5">
        <v>0</v>
      </c>
      <c r="I352" s="5">
        <v>1</v>
      </c>
      <c r="J352" s="5">
        <v>0.26</v>
      </c>
    </row>
    <row r="353" spans="1:10">
      <c r="A353" s="5">
        <v>352</v>
      </c>
      <c r="B353" s="11">
        <v>40559</v>
      </c>
      <c r="C353" s="5">
        <v>1</v>
      </c>
      <c r="D353" s="5">
        <v>0</v>
      </c>
      <c r="E353" s="5">
        <v>1</v>
      </c>
      <c r="F353" s="5">
        <v>3</v>
      </c>
      <c r="G353" s="5" t="b">
        <v>0</v>
      </c>
      <c r="H353" s="5">
        <v>0</v>
      </c>
      <c r="I353" s="5">
        <v>1</v>
      </c>
      <c r="J353" s="5">
        <v>0.22</v>
      </c>
    </row>
    <row r="354" spans="1:10">
      <c r="A354" s="5">
        <v>353</v>
      </c>
      <c r="B354" s="11">
        <v>40559</v>
      </c>
      <c r="C354" s="5">
        <v>1</v>
      </c>
      <c r="D354" s="5">
        <v>0</v>
      </c>
      <c r="E354" s="5">
        <v>1</v>
      </c>
      <c r="F354" s="5">
        <v>4</v>
      </c>
      <c r="G354" s="5" t="b">
        <v>0</v>
      </c>
      <c r="H354" s="5">
        <v>0</v>
      </c>
      <c r="I354" s="5">
        <v>1</v>
      </c>
      <c r="J354" s="5">
        <v>0.26</v>
      </c>
    </row>
    <row r="355" spans="1:10">
      <c r="A355" s="5">
        <v>354</v>
      </c>
      <c r="B355" s="11">
        <v>40559</v>
      </c>
      <c r="C355" s="5">
        <v>1</v>
      </c>
      <c r="D355" s="5">
        <v>0</v>
      </c>
      <c r="E355" s="5">
        <v>1</v>
      </c>
      <c r="F355" s="5">
        <v>5</v>
      </c>
      <c r="G355" s="5" t="b">
        <v>0</v>
      </c>
      <c r="H355" s="5">
        <v>0</v>
      </c>
      <c r="I355" s="5">
        <v>2</v>
      </c>
      <c r="J355" s="5">
        <v>0.26</v>
      </c>
    </row>
    <row r="356" spans="1:10">
      <c r="A356" s="5">
        <v>355</v>
      </c>
      <c r="B356" s="11">
        <v>40559</v>
      </c>
      <c r="C356" s="5">
        <v>1</v>
      </c>
      <c r="D356" s="5">
        <v>0</v>
      </c>
      <c r="E356" s="5">
        <v>1</v>
      </c>
      <c r="F356" s="5">
        <v>6</v>
      </c>
      <c r="G356" s="5" t="b">
        <v>0</v>
      </c>
      <c r="H356" s="5">
        <v>0</v>
      </c>
      <c r="I356" s="5">
        <v>2</v>
      </c>
      <c r="J356" s="5">
        <v>0.26</v>
      </c>
    </row>
    <row r="357" spans="1:10">
      <c r="A357" s="5">
        <v>356</v>
      </c>
      <c r="B357" s="11">
        <v>40559</v>
      </c>
      <c r="C357" s="5">
        <v>1</v>
      </c>
      <c r="D357" s="5">
        <v>0</v>
      </c>
      <c r="E357" s="5">
        <v>1</v>
      </c>
      <c r="F357" s="5">
        <v>7</v>
      </c>
      <c r="G357" s="5" t="b">
        <v>0</v>
      </c>
      <c r="H357" s="5">
        <v>0</v>
      </c>
      <c r="I357" s="5">
        <v>2</v>
      </c>
      <c r="J357" s="5">
        <v>0.24</v>
      </c>
    </row>
    <row r="358" spans="1:10">
      <c r="A358" s="5">
        <v>357</v>
      </c>
      <c r="B358" s="11">
        <v>40559</v>
      </c>
      <c r="C358" s="5">
        <v>1</v>
      </c>
      <c r="D358" s="5">
        <v>0</v>
      </c>
      <c r="E358" s="5">
        <v>1</v>
      </c>
      <c r="F358" s="5">
        <v>8</v>
      </c>
      <c r="G358" s="5" t="b">
        <v>0</v>
      </c>
      <c r="H358" s="5">
        <v>0</v>
      </c>
      <c r="I358" s="5">
        <v>1</v>
      </c>
      <c r="J358" s="5">
        <v>0.22</v>
      </c>
    </row>
    <row r="359" spans="1:10">
      <c r="A359" s="5">
        <v>358</v>
      </c>
      <c r="B359" s="11">
        <v>40559</v>
      </c>
      <c r="C359" s="5">
        <v>1</v>
      </c>
      <c r="D359" s="5">
        <v>0</v>
      </c>
      <c r="E359" s="5">
        <v>1</v>
      </c>
      <c r="F359" s="5">
        <v>9</v>
      </c>
      <c r="G359" s="5" t="b">
        <v>0</v>
      </c>
      <c r="H359" s="5">
        <v>0</v>
      </c>
      <c r="I359" s="5">
        <v>1</v>
      </c>
      <c r="J359" s="5">
        <v>0.22</v>
      </c>
    </row>
    <row r="360" spans="1:10">
      <c r="A360" s="5">
        <v>359</v>
      </c>
      <c r="B360" s="11">
        <v>40559</v>
      </c>
      <c r="C360" s="5">
        <v>1</v>
      </c>
      <c r="D360" s="5">
        <v>0</v>
      </c>
      <c r="E360" s="5">
        <v>1</v>
      </c>
      <c r="F360" s="5">
        <v>10</v>
      </c>
      <c r="G360" s="5" t="b">
        <v>0</v>
      </c>
      <c r="H360" s="5">
        <v>0</v>
      </c>
      <c r="I360" s="5">
        <v>1</v>
      </c>
      <c r="J360" s="5">
        <v>0.22</v>
      </c>
    </row>
    <row r="361" spans="1:10">
      <c r="A361" s="5">
        <v>360</v>
      </c>
      <c r="B361" s="11">
        <v>40559</v>
      </c>
      <c r="C361" s="5">
        <v>1</v>
      </c>
      <c r="D361" s="5">
        <v>0</v>
      </c>
      <c r="E361" s="5">
        <v>1</v>
      </c>
      <c r="F361" s="5">
        <v>11</v>
      </c>
      <c r="G361" s="5" t="b">
        <v>0</v>
      </c>
      <c r="H361" s="5">
        <v>0</v>
      </c>
      <c r="I361" s="5">
        <v>1</v>
      </c>
      <c r="J361" s="5">
        <v>0.24</v>
      </c>
    </row>
    <row r="362" spans="1:10">
      <c r="A362" s="5">
        <v>361</v>
      </c>
      <c r="B362" s="11">
        <v>40559</v>
      </c>
      <c r="C362" s="5">
        <v>1</v>
      </c>
      <c r="D362" s="5">
        <v>0</v>
      </c>
      <c r="E362" s="5">
        <v>1</v>
      </c>
      <c r="F362" s="5">
        <v>12</v>
      </c>
      <c r="G362" s="5" t="b">
        <v>0</v>
      </c>
      <c r="H362" s="5">
        <v>0</v>
      </c>
      <c r="I362" s="5">
        <v>1</v>
      </c>
      <c r="J362" s="5">
        <v>0.24</v>
      </c>
    </row>
    <row r="363" spans="1:10">
      <c r="A363" s="5">
        <v>362</v>
      </c>
      <c r="B363" s="11">
        <v>40559</v>
      </c>
      <c r="C363" s="5">
        <v>1</v>
      </c>
      <c r="D363" s="5">
        <v>0</v>
      </c>
      <c r="E363" s="5">
        <v>1</v>
      </c>
      <c r="F363" s="5">
        <v>13</v>
      </c>
      <c r="G363" s="5" t="b">
        <v>0</v>
      </c>
      <c r="H363" s="5">
        <v>0</v>
      </c>
      <c r="I363" s="5">
        <v>1</v>
      </c>
      <c r="J363" s="5">
        <v>0.26</v>
      </c>
    </row>
    <row r="364" spans="1:10">
      <c r="A364" s="5">
        <v>363</v>
      </c>
      <c r="B364" s="11">
        <v>40559</v>
      </c>
      <c r="C364" s="5">
        <v>1</v>
      </c>
      <c r="D364" s="5">
        <v>0</v>
      </c>
      <c r="E364" s="5">
        <v>1</v>
      </c>
      <c r="F364" s="5">
        <v>14</v>
      </c>
      <c r="G364" s="5" t="b">
        <v>0</v>
      </c>
      <c r="H364" s="5">
        <v>0</v>
      </c>
      <c r="I364" s="5">
        <v>1</v>
      </c>
      <c r="J364" s="5">
        <v>0.28</v>
      </c>
    </row>
    <row r="365" spans="1:10">
      <c r="A365" s="5">
        <v>364</v>
      </c>
      <c r="B365" s="11">
        <v>40559</v>
      </c>
      <c r="C365" s="5">
        <v>1</v>
      </c>
      <c r="D365" s="5">
        <v>0</v>
      </c>
      <c r="E365" s="5">
        <v>1</v>
      </c>
      <c r="F365" s="5">
        <v>15</v>
      </c>
      <c r="G365" s="5" t="b">
        <v>0</v>
      </c>
      <c r="H365" s="5">
        <v>0</v>
      </c>
      <c r="I365" s="5">
        <v>1</v>
      </c>
      <c r="J365" s="5">
        <v>0.26</v>
      </c>
    </row>
    <row r="366" spans="1:10">
      <c r="A366" s="5">
        <v>365</v>
      </c>
      <c r="B366" s="11">
        <v>40559</v>
      </c>
      <c r="C366" s="5">
        <v>1</v>
      </c>
      <c r="D366" s="5">
        <v>0</v>
      </c>
      <c r="E366" s="5">
        <v>1</v>
      </c>
      <c r="F366" s="5">
        <v>16</v>
      </c>
      <c r="G366" s="5" t="b">
        <v>0</v>
      </c>
      <c r="H366" s="5">
        <v>0</v>
      </c>
      <c r="I366" s="5">
        <v>1</v>
      </c>
      <c r="J366" s="5">
        <v>0.24</v>
      </c>
    </row>
    <row r="367" spans="1:10">
      <c r="A367" s="5">
        <v>366</v>
      </c>
      <c r="B367" s="11">
        <v>40559</v>
      </c>
      <c r="C367" s="5">
        <v>1</v>
      </c>
      <c r="D367" s="5">
        <v>0</v>
      </c>
      <c r="E367" s="5">
        <v>1</v>
      </c>
      <c r="F367" s="5">
        <v>17</v>
      </c>
      <c r="G367" s="5" t="b">
        <v>0</v>
      </c>
      <c r="H367" s="5">
        <v>0</v>
      </c>
      <c r="I367" s="5">
        <v>1</v>
      </c>
      <c r="J367" s="5">
        <v>0.22</v>
      </c>
    </row>
    <row r="368" spans="1:10">
      <c r="A368" s="5">
        <v>367</v>
      </c>
      <c r="B368" s="11">
        <v>40559</v>
      </c>
      <c r="C368" s="5">
        <v>1</v>
      </c>
      <c r="D368" s="5">
        <v>0</v>
      </c>
      <c r="E368" s="5">
        <v>1</v>
      </c>
      <c r="F368" s="5">
        <v>18</v>
      </c>
      <c r="G368" s="5" t="b">
        <v>0</v>
      </c>
      <c r="H368" s="5">
        <v>0</v>
      </c>
      <c r="I368" s="5">
        <v>1</v>
      </c>
      <c r="J368" s="5">
        <v>0.2</v>
      </c>
    </row>
    <row r="369" spans="1:10">
      <c r="A369" s="5">
        <v>368</v>
      </c>
      <c r="B369" s="11">
        <v>40559</v>
      </c>
      <c r="C369" s="5">
        <v>1</v>
      </c>
      <c r="D369" s="5">
        <v>0</v>
      </c>
      <c r="E369" s="5">
        <v>1</v>
      </c>
      <c r="F369" s="5">
        <v>19</v>
      </c>
      <c r="G369" s="5" t="b">
        <v>0</v>
      </c>
      <c r="H369" s="5">
        <v>0</v>
      </c>
      <c r="I369" s="5">
        <v>1</v>
      </c>
      <c r="J369" s="5">
        <v>0.18</v>
      </c>
    </row>
    <row r="370" spans="1:10">
      <c r="A370" s="5">
        <v>369</v>
      </c>
      <c r="B370" s="11">
        <v>40559</v>
      </c>
      <c r="C370" s="5">
        <v>1</v>
      </c>
      <c r="D370" s="5">
        <v>0</v>
      </c>
      <c r="E370" s="5">
        <v>1</v>
      </c>
      <c r="F370" s="5">
        <v>20</v>
      </c>
      <c r="G370" s="5" t="b">
        <v>0</v>
      </c>
      <c r="H370" s="5">
        <v>0</v>
      </c>
      <c r="I370" s="5">
        <v>1</v>
      </c>
      <c r="J370" s="5">
        <v>0.18</v>
      </c>
    </row>
    <row r="371" spans="1:10">
      <c r="A371" s="5">
        <v>370</v>
      </c>
      <c r="B371" s="11">
        <v>40559</v>
      </c>
      <c r="C371" s="5">
        <v>1</v>
      </c>
      <c r="D371" s="5">
        <v>0</v>
      </c>
      <c r="E371" s="5">
        <v>1</v>
      </c>
      <c r="F371" s="5">
        <v>21</v>
      </c>
      <c r="G371" s="5" t="b">
        <v>0</v>
      </c>
      <c r="H371" s="5">
        <v>0</v>
      </c>
      <c r="I371" s="5">
        <v>1</v>
      </c>
      <c r="J371" s="5">
        <v>0.18</v>
      </c>
    </row>
    <row r="372" spans="1:10">
      <c r="A372" s="5">
        <v>371</v>
      </c>
      <c r="B372" s="11">
        <v>40559</v>
      </c>
      <c r="C372" s="5">
        <v>1</v>
      </c>
      <c r="D372" s="5">
        <v>0</v>
      </c>
      <c r="E372" s="5">
        <v>1</v>
      </c>
      <c r="F372" s="5">
        <v>22</v>
      </c>
      <c r="G372" s="5" t="b">
        <v>0</v>
      </c>
      <c r="H372" s="5">
        <v>0</v>
      </c>
      <c r="I372" s="5">
        <v>2</v>
      </c>
      <c r="J372" s="5">
        <v>0.2</v>
      </c>
    </row>
    <row r="373" spans="1:10">
      <c r="A373" s="5">
        <v>372</v>
      </c>
      <c r="B373" s="11">
        <v>40559</v>
      </c>
      <c r="C373" s="5">
        <v>1</v>
      </c>
      <c r="D373" s="5">
        <v>0</v>
      </c>
      <c r="E373" s="5">
        <v>1</v>
      </c>
      <c r="F373" s="5">
        <v>23</v>
      </c>
      <c r="G373" s="5" t="b">
        <v>0</v>
      </c>
      <c r="H373" s="5">
        <v>0</v>
      </c>
      <c r="I373" s="5">
        <v>2</v>
      </c>
      <c r="J373" s="5">
        <v>0.2</v>
      </c>
    </row>
    <row r="374" spans="1:10">
      <c r="A374" s="5">
        <v>373</v>
      </c>
      <c r="B374" s="11">
        <v>40560</v>
      </c>
      <c r="C374" s="5">
        <v>1</v>
      </c>
      <c r="D374" s="5">
        <v>0</v>
      </c>
      <c r="E374" s="5">
        <v>1</v>
      </c>
      <c r="F374" s="5">
        <v>0</v>
      </c>
      <c r="G374" s="5" t="b">
        <v>1</v>
      </c>
      <c r="H374" s="5">
        <v>1</v>
      </c>
      <c r="I374" s="5">
        <v>2</v>
      </c>
      <c r="J374" s="5">
        <v>0.2</v>
      </c>
    </row>
    <row r="375" spans="1:10">
      <c r="A375" s="5">
        <v>374</v>
      </c>
      <c r="B375" s="11">
        <v>40560</v>
      </c>
      <c r="C375" s="5">
        <v>1</v>
      </c>
      <c r="D375" s="5">
        <v>0</v>
      </c>
      <c r="E375" s="5">
        <v>1</v>
      </c>
      <c r="F375" s="5">
        <v>1</v>
      </c>
      <c r="G375" s="5" t="b">
        <v>1</v>
      </c>
      <c r="H375" s="5">
        <v>1</v>
      </c>
      <c r="I375" s="5">
        <v>2</v>
      </c>
      <c r="J375" s="5">
        <v>0.2</v>
      </c>
    </row>
    <row r="376" spans="1:10">
      <c r="A376" s="5">
        <v>375</v>
      </c>
      <c r="B376" s="11">
        <v>40560</v>
      </c>
      <c r="C376" s="5">
        <v>1</v>
      </c>
      <c r="D376" s="5">
        <v>0</v>
      </c>
      <c r="E376" s="5">
        <v>1</v>
      </c>
      <c r="F376" s="5">
        <v>2</v>
      </c>
      <c r="G376" s="5" t="b">
        <v>1</v>
      </c>
      <c r="H376" s="5">
        <v>1</v>
      </c>
      <c r="I376" s="5">
        <v>2</v>
      </c>
      <c r="J376" s="5">
        <v>0.18</v>
      </c>
    </row>
    <row r="377" spans="1:10">
      <c r="A377" s="5">
        <v>376</v>
      </c>
      <c r="B377" s="11">
        <v>40560</v>
      </c>
      <c r="C377" s="5">
        <v>1</v>
      </c>
      <c r="D377" s="5">
        <v>0</v>
      </c>
      <c r="E377" s="5">
        <v>1</v>
      </c>
      <c r="F377" s="5">
        <v>3</v>
      </c>
      <c r="G377" s="5" t="b">
        <v>1</v>
      </c>
      <c r="H377" s="5">
        <v>1</v>
      </c>
      <c r="I377" s="5">
        <v>2</v>
      </c>
      <c r="J377" s="5">
        <v>0.18</v>
      </c>
    </row>
    <row r="378" spans="1:10">
      <c r="A378" s="5">
        <v>377</v>
      </c>
      <c r="B378" s="11">
        <v>40560</v>
      </c>
      <c r="C378" s="5">
        <v>1</v>
      </c>
      <c r="D378" s="5">
        <v>0</v>
      </c>
      <c r="E378" s="5">
        <v>1</v>
      </c>
      <c r="F378" s="5">
        <v>4</v>
      </c>
      <c r="G378" s="5" t="b">
        <v>1</v>
      </c>
      <c r="H378" s="5">
        <v>1</v>
      </c>
      <c r="I378" s="5">
        <v>2</v>
      </c>
      <c r="J378" s="5">
        <v>0.18</v>
      </c>
    </row>
    <row r="379" spans="1:10">
      <c r="A379" s="5">
        <v>378</v>
      </c>
      <c r="B379" s="11">
        <v>40560</v>
      </c>
      <c r="C379" s="5">
        <v>1</v>
      </c>
      <c r="D379" s="5">
        <v>0</v>
      </c>
      <c r="E379" s="5">
        <v>1</v>
      </c>
      <c r="F379" s="5">
        <v>5</v>
      </c>
      <c r="G379" s="5" t="b">
        <v>1</v>
      </c>
      <c r="H379" s="5">
        <v>1</v>
      </c>
      <c r="I379" s="5">
        <v>2</v>
      </c>
      <c r="J379" s="5">
        <v>0.18</v>
      </c>
    </row>
    <row r="380" spans="1:10">
      <c r="A380" s="5">
        <v>379</v>
      </c>
      <c r="B380" s="11">
        <v>40560</v>
      </c>
      <c r="C380" s="5">
        <v>1</v>
      </c>
      <c r="D380" s="5">
        <v>0</v>
      </c>
      <c r="E380" s="5">
        <v>1</v>
      </c>
      <c r="F380" s="5">
        <v>6</v>
      </c>
      <c r="G380" s="5" t="b">
        <v>1</v>
      </c>
      <c r="H380" s="5">
        <v>1</v>
      </c>
      <c r="I380" s="5">
        <v>2</v>
      </c>
      <c r="J380" s="5">
        <v>0.18</v>
      </c>
    </row>
    <row r="381" spans="1:10">
      <c r="A381" s="5">
        <v>380</v>
      </c>
      <c r="B381" s="11">
        <v>40560</v>
      </c>
      <c r="C381" s="5">
        <v>1</v>
      </c>
      <c r="D381" s="5">
        <v>0</v>
      </c>
      <c r="E381" s="5">
        <v>1</v>
      </c>
      <c r="F381" s="5">
        <v>7</v>
      </c>
      <c r="G381" s="5" t="b">
        <v>1</v>
      </c>
      <c r="H381" s="5">
        <v>1</v>
      </c>
      <c r="I381" s="5">
        <v>2</v>
      </c>
      <c r="J381" s="5">
        <v>0.16</v>
      </c>
    </row>
    <row r="382" spans="1:10">
      <c r="A382" s="5">
        <v>381</v>
      </c>
      <c r="B382" s="11">
        <v>40560</v>
      </c>
      <c r="C382" s="5">
        <v>1</v>
      </c>
      <c r="D382" s="5">
        <v>0</v>
      </c>
      <c r="E382" s="5">
        <v>1</v>
      </c>
      <c r="F382" s="5">
        <v>8</v>
      </c>
      <c r="G382" s="5" t="b">
        <v>1</v>
      </c>
      <c r="H382" s="5">
        <v>1</v>
      </c>
      <c r="I382" s="5">
        <v>2</v>
      </c>
      <c r="J382" s="5">
        <v>0.16</v>
      </c>
    </row>
    <row r="383" spans="1:10">
      <c r="A383" s="5">
        <v>382</v>
      </c>
      <c r="B383" s="11">
        <v>40560</v>
      </c>
      <c r="C383" s="5">
        <v>1</v>
      </c>
      <c r="D383" s="5">
        <v>0</v>
      </c>
      <c r="E383" s="5">
        <v>1</v>
      </c>
      <c r="F383" s="5">
        <v>9</v>
      </c>
      <c r="G383" s="5" t="b">
        <v>1</v>
      </c>
      <c r="H383" s="5">
        <v>1</v>
      </c>
      <c r="I383" s="5">
        <v>2</v>
      </c>
      <c r="J383" s="5">
        <v>0.16</v>
      </c>
    </row>
    <row r="384" spans="1:10">
      <c r="A384" s="5">
        <v>383</v>
      </c>
      <c r="B384" s="11">
        <v>40560</v>
      </c>
      <c r="C384" s="5">
        <v>1</v>
      </c>
      <c r="D384" s="5">
        <v>0</v>
      </c>
      <c r="E384" s="5">
        <v>1</v>
      </c>
      <c r="F384" s="5">
        <v>10</v>
      </c>
      <c r="G384" s="5" t="b">
        <v>1</v>
      </c>
      <c r="H384" s="5">
        <v>1</v>
      </c>
      <c r="I384" s="5">
        <v>2</v>
      </c>
      <c r="J384" s="5">
        <v>0.16</v>
      </c>
    </row>
    <row r="385" spans="1:10">
      <c r="A385" s="5">
        <v>384</v>
      </c>
      <c r="B385" s="11">
        <v>40560</v>
      </c>
      <c r="C385" s="5">
        <v>1</v>
      </c>
      <c r="D385" s="5">
        <v>0</v>
      </c>
      <c r="E385" s="5">
        <v>1</v>
      </c>
      <c r="F385" s="5">
        <v>11</v>
      </c>
      <c r="G385" s="5" t="b">
        <v>1</v>
      </c>
      <c r="H385" s="5">
        <v>1</v>
      </c>
      <c r="I385" s="5">
        <v>2</v>
      </c>
      <c r="J385" s="5">
        <v>0.16</v>
      </c>
    </row>
    <row r="386" spans="1:10">
      <c r="A386" s="5">
        <v>385</v>
      </c>
      <c r="B386" s="11">
        <v>40560</v>
      </c>
      <c r="C386" s="5">
        <v>1</v>
      </c>
      <c r="D386" s="5">
        <v>0</v>
      </c>
      <c r="E386" s="5">
        <v>1</v>
      </c>
      <c r="F386" s="5">
        <v>12</v>
      </c>
      <c r="G386" s="5" t="b">
        <v>1</v>
      </c>
      <c r="H386" s="5">
        <v>1</v>
      </c>
      <c r="I386" s="5">
        <v>2</v>
      </c>
      <c r="J386" s="5">
        <v>0.18</v>
      </c>
    </row>
    <row r="387" spans="1:10">
      <c r="A387" s="5">
        <v>386</v>
      </c>
      <c r="B387" s="11">
        <v>40560</v>
      </c>
      <c r="C387" s="5">
        <v>1</v>
      </c>
      <c r="D387" s="5">
        <v>0</v>
      </c>
      <c r="E387" s="5">
        <v>1</v>
      </c>
      <c r="F387" s="5">
        <v>13</v>
      </c>
      <c r="G387" s="5" t="b">
        <v>1</v>
      </c>
      <c r="H387" s="5">
        <v>1</v>
      </c>
      <c r="I387" s="5">
        <v>2</v>
      </c>
      <c r="J387" s="5">
        <v>0.18</v>
      </c>
    </row>
    <row r="388" spans="1:10">
      <c r="A388" s="5">
        <v>387</v>
      </c>
      <c r="B388" s="11">
        <v>40560</v>
      </c>
      <c r="C388" s="5">
        <v>1</v>
      </c>
      <c r="D388" s="5">
        <v>0</v>
      </c>
      <c r="E388" s="5">
        <v>1</v>
      </c>
      <c r="F388" s="5">
        <v>14</v>
      </c>
      <c r="G388" s="5" t="b">
        <v>1</v>
      </c>
      <c r="H388" s="5">
        <v>1</v>
      </c>
      <c r="I388" s="5">
        <v>2</v>
      </c>
      <c r="J388" s="5">
        <v>0.18</v>
      </c>
    </row>
    <row r="389" spans="1:10">
      <c r="A389" s="5">
        <v>388</v>
      </c>
      <c r="B389" s="11">
        <v>40560</v>
      </c>
      <c r="C389" s="5">
        <v>1</v>
      </c>
      <c r="D389" s="5">
        <v>0</v>
      </c>
      <c r="E389" s="5">
        <v>1</v>
      </c>
      <c r="F389" s="5">
        <v>15</v>
      </c>
      <c r="G389" s="5" t="b">
        <v>1</v>
      </c>
      <c r="H389" s="5">
        <v>1</v>
      </c>
      <c r="I389" s="5">
        <v>2</v>
      </c>
      <c r="J389" s="5">
        <v>0.2</v>
      </c>
    </row>
    <row r="390" spans="1:10">
      <c r="A390" s="5">
        <v>389</v>
      </c>
      <c r="B390" s="11">
        <v>40560</v>
      </c>
      <c r="C390" s="5">
        <v>1</v>
      </c>
      <c r="D390" s="5">
        <v>0</v>
      </c>
      <c r="E390" s="5">
        <v>1</v>
      </c>
      <c r="F390" s="5">
        <v>16</v>
      </c>
      <c r="G390" s="5" t="b">
        <v>1</v>
      </c>
      <c r="H390" s="5">
        <v>1</v>
      </c>
      <c r="I390" s="5">
        <v>2</v>
      </c>
      <c r="J390" s="5">
        <v>0.2</v>
      </c>
    </row>
    <row r="391" spans="1:10">
      <c r="A391" s="5">
        <v>390</v>
      </c>
      <c r="B391" s="11">
        <v>40560</v>
      </c>
      <c r="C391" s="5">
        <v>1</v>
      </c>
      <c r="D391" s="5">
        <v>0</v>
      </c>
      <c r="E391" s="5">
        <v>1</v>
      </c>
      <c r="F391" s="5">
        <v>17</v>
      </c>
      <c r="G391" s="5" t="b">
        <v>1</v>
      </c>
      <c r="H391" s="5">
        <v>1</v>
      </c>
      <c r="I391" s="5">
        <v>1</v>
      </c>
      <c r="J391" s="5">
        <v>0.2</v>
      </c>
    </row>
    <row r="392" spans="1:10">
      <c r="A392" s="5">
        <v>391</v>
      </c>
      <c r="B392" s="11">
        <v>40560</v>
      </c>
      <c r="C392" s="5">
        <v>1</v>
      </c>
      <c r="D392" s="5">
        <v>0</v>
      </c>
      <c r="E392" s="5">
        <v>1</v>
      </c>
      <c r="F392" s="5">
        <v>18</v>
      </c>
      <c r="G392" s="5" t="b">
        <v>1</v>
      </c>
      <c r="H392" s="5">
        <v>1</v>
      </c>
      <c r="I392" s="5">
        <v>2</v>
      </c>
      <c r="J392" s="5">
        <v>0.18</v>
      </c>
    </row>
    <row r="393" spans="1:10">
      <c r="A393" s="5">
        <v>392</v>
      </c>
      <c r="B393" s="11">
        <v>40560</v>
      </c>
      <c r="C393" s="5">
        <v>1</v>
      </c>
      <c r="D393" s="5">
        <v>0</v>
      </c>
      <c r="E393" s="5">
        <v>1</v>
      </c>
      <c r="F393" s="5">
        <v>19</v>
      </c>
      <c r="G393" s="5" t="b">
        <v>1</v>
      </c>
      <c r="H393" s="5">
        <v>1</v>
      </c>
      <c r="I393" s="5">
        <v>3</v>
      </c>
      <c r="J393" s="5">
        <v>0.18</v>
      </c>
    </row>
    <row r="394" spans="1:10">
      <c r="A394" s="5">
        <v>393</v>
      </c>
      <c r="B394" s="11">
        <v>40560</v>
      </c>
      <c r="C394" s="5">
        <v>1</v>
      </c>
      <c r="D394" s="5">
        <v>0</v>
      </c>
      <c r="E394" s="5">
        <v>1</v>
      </c>
      <c r="F394" s="5">
        <v>20</v>
      </c>
      <c r="G394" s="5" t="b">
        <v>1</v>
      </c>
      <c r="H394" s="5">
        <v>1</v>
      </c>
      <c r="I394" s="5">
        <v>3</v>
      </c>
      <c r="J394" s="5">
        <v>0.16</v>
      </c>
    </row>
    <row r="395" spans="1:10">
      <c r="A395" s="5">
        <v>394</v>
      </c>
      <c r="B395" s="11">
        <v>40560</v>
      </c>
      <c r="C395" s="5">
        <v>1</v>
      </c>
      <c r="D395" s="5">
        <v>0</v>
      </c>
      <c r="E395" s="5">
        <v>1</v>
      </c>
      <c r="F395" s="5">
        <v>21</v>
      </c>
      <c r="G395" s="5" t="b">
        <v>1</v>
      </c>
      <c r="H395" s="5">
        <v>1</v>
      </c>
      <c r="I395" s="5">
        <v>3</v>
      </c>
      <c r="J395" s="5">
        <v>0.16</v>
      </c>
    </row>
    <row r="396" spans="1:10">
      <c r="A396" s="5">
        <v>395</v>
      </c>
      <c r="B396" s="11">
        <v>40560</v>
      </c>
      <c r="C396" s="5">
        <v>1</v>
      </c>
      <c r="D396" s="5">
        <v>0</v>
      </c>
      <c r="E396" s="5">
        <v>1</v>
      </c>
      <c r="F396" s="5">
        <v>22</v>
      </c>
      <c r="G396" s="5" t="b">
        <v>1</v>
      </c>
      <c r="H396" s="5">
        <v>1</v>
      </c>
      <c r="I396" s="5">
        <v>3</v>
      </c>
      <c r="J396" s="5">
        <v>0.14</v>
      </c>
    </row>
    <row r="397" spans="1:10">
      <c r="A397" s="5">
        <v>396</v>
      </c>
      <c r="B397" s="11">
        <v>40560</v>
      </c>
      <c r="C397" s="5">
        <v>1</v>
      </c>
      <c r="D397" s="5">
        <v>0</v>
      </c>
      <c r="E397" s="5">
        <v>1</v>
      </c>
      <c r="F397" s="5">
        <v>23</v>
      </c>
      <c r="G397" s="5" t="b">
        <v>1</v>
      </c>
      <c r="H397" s="5">
        <v>1</v>
      </c>
      <c r="I397" s="5">
        <v>3</v>
      </c>
      <c r="J397" s="5">
        <v>0.16</v>
      </c>
    </row>
    <row r="398" spans="1:10">
      <c r="A398" s="5">
        <v>397</v>
      </c>
      <c r="B398" s="11">
        <v>40561</v>
      </c>
      <c r="C398" s="5">
        <v>1</v>
      </c>
      <c r="D398" s="5">
        <v>0</v>
      </c>
      <c r="E398" s="5">
        <v>1</v>
      </c>
      <c r="F398" s="5">
        <v>12</v>
      </c>
      <c r="G398" s="5" t="b">
        <v>0</v>
      </c>
      <c r="H398" s="5">
        <v>2</v>
      </c>
      <c r="I398" s="5">
        <v>2</v>
      </c>
      <c r="J398" s="5">
        <v>0.2</v>
      </c>
    </row>
    <row r="399" spans="1:10">
      <c r="A399" s="5">
        <v>398</v>
      </c>
      <c r="B399" s="11">
        <v>40561</v>
      </c>
      <c r="C399" s="5">
        <v>1</v>
      </c>
      <c r="D399" s="5">
        <v>0</v>
      </c>
      <c r="E399" s="5">
        <v>1</v>
      </c>
      <c r="F399" s="5">
        <v>13</v>
      </c>
      <c r="G399" s="5" t="b">
        <v>0</v>
      </c>
      <c r="H399" s="5">
        <v>2</v>
      </c>
      <c r="I399" s="5">
        <v>2</v>
      </c>
      <c r="J399" s="5">
        <v>0.2</v>
      </c>
    </row>
    <row r="400" spans="1:10">
      <c r="A400" s="5">
        <v>399</v>
      </c>
      <c r="B400" s="11">
        <v>40561</v>
      </c>
      <c r="C400" s="5">
        <v>1</v>
      </c>
      <c r="D400" s="5">
        <v>0</v>
      </c>
      <c r="E400" s="5">
        <v>1</v>
      </c>
      <c r="F400" s="5">
        <v>14</v>
      </c>
      <c r="G400" s="5" t="b">
        <v>0</v>
      </c>
      <c r="H400" s="5">
        <v>2</v>
      </c>
      <c r="I400" s="5">
        <v>2</v>
      </c>
      <c r="J400" s="5">
        <v>0.22</v>
      </c>
    </row>
    <row r="401" spans="1:10">
      <c r="A401" s="5">
        <v>400</v>
      </c>
      <c r="B401" s="11">
        <v>40561</v>
      </c>
      <c r="C401" s="5">
        <v>1</v>
      </c>
      <c r="D401" s="5">
        <v>0</v>
      </c>
      <c r="E401" s="5">
        <v>1</v>
      </c>
      <c r="F401" s="5">
        <v>15</v>
      </c>
      <c r="G401" s="5" t="b">
        <v>0</v>
      </c>
      <c r="H401" s="5">
        <v>2</v>
      </c>
      <c r="I401" s="5">
        <v>2</v>
      </c>
      <c r="J401" s="5">
        <v>0.22</v>
      </c>
    </row>
    <row r="402" spans="1:10">
      <c r="A402" s="5">
        <v>401</v>
      </c>
      <c r="B402" s="11">
        <v>40561</v>
      </c>
      <c r="C402" s="5">
        <v>1</v>
      </c>
      <c r="D402" s="5">
        <v>0</v>
      </c>
      <c r="E402" s="5">
        <v>1</v>
      </c>
      <c r="F402" s="5">
        <v>16</v>
      </c>
      <c r="G402" s="5" t="b">
        <v>0</v>
      </c>
      <c r="H402" s="5">
        <v>2</v>
      </c>
      <c r="I402" s="5">
        <v>2</v>
      </c>
      <c r="J402" s="5">
        <v>0.22</v>
      </c>
    </row>
    <row r="403" spans="1:10">
      <c r="A403" s="5">
        <v>402</v>
      </c>
      <c r="B403" s="11">
        <v>40561</v>
      </c>
      <c r="C403" s="5">
        <v>1</v>
      </c>
      <c r="D403" s="5">
        <v>0</v>
      </c>
      <c r="E403" s="5">
        <v>1</v>
      </c>
      <c r="F403" s="5">
        <v>17</v>
      </c>
      <c r="G403" s="5" t="b">
        <v>0</v>
      </c>
      <c r="H403" s="5">
        <v>2</v>
      </c>
      <c r="I403" s="5">
        <v>2</v>
      </c>
      <c r="J403" s="5">
        <v>0.22</v>
      </c>
    </row>
    <row r="404" spans="1:10">
      <c r="A404" s="5">
        <v>403</v>
      </c>
      <c r="B404" s="11">
        <v>40561</v>
      </c>
      <c r="C404" s="5">
        <v>1</v>
      </c>
      <c r="D404" s="5">
        <v>0</v>
      </c>
      <c r="E404" s="5">
        <v>1</v>
      </c>
      <c r="F404" s="5">
        <v>18</v>
      </c>
      <c r="G404" s="5" t="b">
        <v>0</v>
      </c>
      <c r="H404" s="5">
        <v>2</v>
      </c>
      <c r="I404" s="5">
        <v>2</v>
      </c>
      <c r="J404" s="5">
        <v>0.22</v>
      </c>
    </row>
    <row r="405" spans="1:10">
      <c r="A405" s="5">
        <v>404</v>
      </c>
      <c r="B405" s="11">
        <v>40561</v>
      </c>
      <c r="C405" s="5">
        <v>1</v>
      </c>
      <c r="D405" s="5">
        <v>0</v>
      </c>
      <c r="E405" s="5">
        <v>1</v>
      </c>
      <c r="F405" s="5">
        <v>19</v>
      </c>
      <c r="G405" s="5" t="b">
        <v>0</v>
      </c>
      <c r="H405" s="5">
        <v>2</v>
      </c>
      <c r="I405" s="5">
        <v>2</v>
      </c>
      <c r="J405" s="5">
        <v>0.22</v>
      </c>
    </row>
    <row r="406" spans="1:10">
      <c r="A406" s="5">
        <v>405</v>
      </c>
      <c r="B406" s="11">
        <v>40561</v>
      </c>
      <c r="C406" s="5">
        <v>1</v>
      </c>
      <c r="D406" s="5">
        <v>0</v>
      </c>
      <c r="E406" s="5">
        <v>1</v>
      </c>
      <c r="F406" s="5">
        <v>20</v>
      </c>
      <c r="G406" s="5" t="b">
        <v>0</v>
      </c>
      <c r="H406" s="5">
        <v>2</v>
      </c>
      <c r="I406" s="5">
        <v>2</v>
      </c>
      <c r="J406" s="5">
        <v>0.22</v>
      </c>
    </row>
    <row r="407" spans="1:10">
      <c r="A407" s="5">
        <v>406</v>
      </c>
      <c r="B407" s="11">
        <v>40561</v>
      </c>
      <c r="C407" s="5">
        <v>1</v>
      </c>
      <c r="D407" s="5">
        <v>0</v>
      </c>
      <c r="E407" s="5">
        <v>1</v>
      </c>
      <c r="F407" s="5">
        <v>21</v>
      </c>
      <c r="G407" s="5" t="b">
        <v>0</v>
      </c>
      <c r="H407" s="5">
        <v>2</v>
      </c>
      <c r="I407" s="5">
        <v>2</v>
      </c>
      <c r="J407" s="5">
        <v>0.22</v>
      </c>
    </row>
    <row r="408" spans="1:10">
      <c r="A408" s="5">
        <v>407</v>
      </c>
      <c r="B408" s="11">
        <v>40561</v>
      </c>
      <c r="C408" s="5">
        <v>1</v>
      </c>
      <c r="D408" s="5">
        <v>0</v>
      </c>
      <c r="E408" s="5">
        <v>1</v>
      </c>
      <c r="F408" s="5">
        <v>22</v>
      </c>
      <c r="G408" s="5" t="b">
        <v>0</v>
      </c>
      <c r="H408" s="5">
        <v>2</v>
      </c>
      <c r="I408" s="5">
        <v>2</v>
      </c>
      <c r="J408" s="5">
        <v>0.22</v>
      </c>
    </row>
    <row r="409" spans="1:10">
      <c r="A409" s="5">
        <v>408</v>
      </c>
      <c r="B409" s="11">
        <v>40561</v>
      </c>
      <c r="C409" s="5">
        <v>1</v>
      </c>
      <c r="D409" s="5">
        <v>0</v>
      </c>
      <c r="E409" s="5">
        <v>1</v>
      </c>
      <c r="F409" s="5">
        <v>23</v>
      </c>
      <c r="G409" s="5" t="b">
        <v>0</v>
      </c>
      <c r="H409" s="5">
        <v>2</v>
      </c>
      <c r="I409" s="5">
        <v>2</v>
      </c>
      <c r="J409" s="5">
        <v>0.22</v>
      </c>
    </row>
    <row r="410" spans="1:10">
      <c r="A410" s="5">
        <v>409</v>
      </c>
      <c r="B410" s="11">
        <v>40562</v>
      </c>
      <c r="C410" s="5">
        <v>1</v>
      </c>
      <c r="D410" s="5">
        <v>0</v>
      </c>
      <c r="E410" s="5">
        <v>1</v>
      </c>
      <c r="F410" s="5">
        <v>0</v>
      </c>
      <c r="G410" s="5" t="b">
        <v>0</v>
      </c>
      <c r="H410" s="5">
        <v>3</v>
      </c>
      <c r="I410" s="5">
        <v>2</v>
      </c>
      <c r="J410" s="5">
        <v>0.22</v>
      </c>
    </row>
    <row r="411" spans="1:10">
      <c r="A411" s="5">
        <v>410</v>
      </c>
      <c r="B411" s="11">
        <v>40562</v>
      </c>
      <c r="C411" s="5">
        <v>1</v>
      </c>
      <c r="D411" s="5">
        <v>0</v>
      </c>
      <c r="E411" s="5">
        <v>1</v>
      </c>
      <c r="F411" s="5">
        <v>1</v>
      </c>
      <c r="G411" s="5" t="b">
        <v>0</v>
      </c>
      <c r="H411" s="5">
        <v>3</v>
      </c>
      <c r="I411" s="5">
        <v>3</v>
      </c>
      <c r="J411" s="5">
        <v>0.22</v>
      </c>
    </row>
    <row r="412" spans="1:10">
      <c r="A412" s="5">
        <v>411</v>
      </c>
      <c r="B412" s="11">
        <v>40562</v>
      </c>
      <c r="C412" s="5">
        <v>1</v>
      </c>
      <c r="D412" s="5">
        <v>0</v>
      </c>
      <c r="E412" s="5">
        <v>1</v>
      </c>
      <c r="F412" s="5">
        <v>2</v>
      </c>
      <c r="G412" s="5" t="b">
        <v>0</v>
      </c>
      <c r="H412" s="5">
        <v>3</v>
      </c>
      <c r="I412" s="5">
        <v>3</v>
      </c>
      <c r="J412" s="5">
        <v>0.22</v>
      </c>
    </row>
    <row r="413" spans="1:10">
      <c r="A413" s="5">
        <v>412</v>
      </c>
      <c r="B413" s="11">
        <v>40562</v>
      </c>
      <c r="C413" s="5">
        <v>1</v>
      </c>
      <c r="D413" s="5">
        <v>0</v>
      </c>
      <c r="E413" s="5">
        <v>1</v>
      </c>
      <c r="F413" s="5">
        <v>4</v>
      </c>
      <c r="G413" s="5" t="b">
        <v>0</v>
      </c>
      <c r="H413" s="5">
        <v>3</v>
      </c>
      <c r="I413" s="5">
        <v>3</v>
      </c>
      <c r="J413" s="5">
        <v>0.22</v>
      </c>
    </row>
    <row r="414" spans="1:10">
      <c r="A414" s="5">
        <v>413</v>
      </c>
      <c r="B414" s="11">
        <v>40562</v>
      </c>
      <c r="C414" s="5">
        <v>1</v>
      </c>
      <c r="D414" s="5">
        <v>0</v>
      </c>
      <c r="E414" s="5">
        <v>1</v>
      </c>
      <c r="F414" s="5">
        <v>5</v>
      </c>
      <c r="G414" s="5" t="b">
        <v>0</v>
      </c>
      <c r="H414" s="5">
        <v>3</v>
      </c>
      <c r="I414" s="5">
        <v>2</v>
      </c>
      <c r="J414" s="5">
        <v>0.22</v>
      </c>
    </row>
    <row r="415" spans="1:10">
      <c r="A415" s="5">
        <v>414</v>
      </c>
      <c r="B415" s="11">
        <v>40562</v>
      </c>
      <c r="C415" s="5">
        <v>1</v>
      </c>
      <c r="D415" s="5">
        <v>0</v>
      </c>
      <c r="E415" s="5">
        <v>1</v>
      </c>
      <c r="F415" s="5">
        <v>6</v>
      </c>
      <c r="G415" s="5" t="b">
        <v>0</v>
      </c>
      <c r="H415" s="5">
        <v>3</v>
      </c>
      <c r="I415" s="5">
        <v>2</v>
      </c>
      <c r="J415" s="5">
        <v>0.22</v>
      </c>
    </row>
    <row r="416" spans="1:10">
      <c r="A416" s="5">
        <v>415</v>
      </c>
      <c r="B416" s="11">
        <v>40562</v>
      </c>
      <c r="C416" s="5">
        <v>1</v>
      </c>
      <c r="D416" s="5">
        <v>0</v>
      </c>
      <c r="E416" s="5">
        <v>1</v>
      </c>
      <c r="F416" s="5">
        <v>7</v>
      </c>
      <c r="G416" s="5" t="b">
        <v>0</v>
      </c>
      <c r="H416" s="5">
        <v>3</v>
      </c>
      <c r="I416" s="5">
        <v>2</v>
      </c>
      <c r="J416" s="5">
        <v>0.24</v>
      </c>
    </row>
    <row r="417" spans="1:10">
      <c r="A417" s="5">
        <v>416</v>
      </c>
      <c r="B417" s="11">
        <v>40562</v>
      </c>
      <c r="C417" s="5">
        <v>1</v>
      </c>
      <c r="D417" s="5">
        <v>0</v>
      </c>
      <c r="E417" s="5">
        <v>1</v>
      </c>
      <c r="F417" s="5">
        <v>8</v>
      </c>
      <c r="G417" s="5" t="b">
        <v>0</v>
      </c>
      <c r="H417" s="5">
        <v>3</v>
      </c>
      <c r="I417" s="5">
        <v>2</v>
      </c>
      <c r="J417" s="5">
        <v>0.24</v>
      </c>
    </row>
    <row r="418" spans="1:10">
      <c r="A418" s="5">
        <v>417</v>
      </c>
      <c r="B418" s="11">
        <v>40562</v>
      </c>
      <c r="C418" s="5">
        <v>1</v>
      </c>
      <c r="D418" s="5">
        <v>0</v>
      </c>
      <c r="E418" s="5">
        <v>1</v>
      </c>
      <c r="F418" s="5">
        <v>9</v>
      </c>
      <c r="G418" s="5" t="b">
        <v>0</v>
      </c>
      <c r="H418" s="5">
        <v>3</v>
      </c>
      <c r="I418" s="5">
        <v>2</v>
      </c>
      <c r="J418" s="5">
        <v>0.24</v>
      </c>
    </row>
    <row r="419" spans="1:10">
      <c r="A419" s="5">
        <v>418</v>
      </c>
      <c r="B419" s="11">
        <v>40562</v>
      </c>
      <c r="C419" s="5">
        <v>1</v>
      </c>
      <c r="D419" s="5">
        <v>0</v>
      </c>
      <c r="E419" s="5">
        <v>1</v>
      </c>
      <c r="F419" s="5">
        <v>10</v>
      </c>
      <c r="G419" s="5" t="b">
        <v>0</v>
      </c>
      <c r="H419" s="5">
        <v>3</v>
      </c>
      <c r="I419" s="5">
        <v>2</v>
      </c>
      <c r="J419" s="5">
        <v>0.26</v>
      </c>
    </row>
    <row r="420" spans="1:10">
      <c r="A420" s="5">
        <v>419</v>
      </c>
      <c r="B420" s="11">
        <v>40562</v>
      </c>
      <c r="C420" s="5">
        <v>1</v>
      </c>
      <c r="D420" s="5">
        <v>0</v>
      </c>
      <c r="E420" s="5">
        <v>1</v>
      </c>
      <c r="F420" s="5">
        <v>11</v>
      </c>
      <c r="G420" s="5" t="b">
        <v>0</v>
      </c>
      <c r="H420" s="5">
        <v>3</v>
      </c>
      <c r="I420" s="5">
        <v>2</v>
      </c>
      <c r="J420" s="5">
        <v>0.28</v>
      </c>
    </row>
    <row r="421" spans="1:10">
      <c r="A421" s="5">
        <v>420</v>
      </c>
      <c r="B421" s="11">
        <v>40562</v>
      </c>
      <c r="C421" s="5">
        <v>1</v>
      </c>
      <c r="D421" s="5">
        <v>0</v>
      </c>
      <c r="E421" s="5">
        <v>1</v>
      </c>
      <c r="F421" s="5">
        <v>12</v>
      </c>
      <c r="G421" s="5" t="b">
        <v>0</v>
      </c>
      <c r="H421" s="5">
        <v>3</v>
      </c>
      <c r="I421" s="5">
        <v>2</v>
      </c>
      <c r="J421" s="5">
        <v>0.3</v>
      </c>
    </row>
    <row r="422" spans="1:10">
      <c r="A422" s="5">
        <v>421</v>
      </c>
      <c r="B422" s="11">
        <v>40562</v>
      </c>
      <c r="C422" s="5">
        <v>1</v>
      </c>
      <c r="D422" s="5">
        <v>0</v>
      </c>
      <c r="E422" s="5">
        <v>1</v>
      </c>
      <c r="F422" s="5">
        <v>13</v>
      </c>
      <c r="G422" s="5" t="b">
        <v>0</v>
      </c>
      <c r="H422" s="5">
        <v>3</v>
      </c>
      <c r="I422" s="5">
        <v>1</v>
      </c>
      <c r="J422" s="5">
        <v>0.4</v>
      </c>
    </row>
    <row r="423" spans="1:10">
      <c r="A423" s="5">
        <v>422</v>
      </c>
      <c r="B423" s="11">
        <v>40562</v>
      </c>
      <c r="C423" s="5">
        <v>1</v>
      </c>
      <c r="D423" s="5">
        <v>0</v>
      </c>
      <c r="E423" s="5">
        <v>1</v>
      </c>
      <c r="F423" s="5">
        <v>14</v>
      </c>
      <c r="G423" s="5" t="b">
        <v>0</v>
      </c>
      <c r="H423" s="5">
        <v>3</v>
      </c>
      <c r="I423" s="5">
        <v>1</v>
      </c>
      <c r="J423" s="5">
        <v>0.4</v>
      </c>
    </row>
    <row r="424" spans="1:10">
      <c r="A424" s="5">
        <v>423</v>
      </c>
      <c r="B424" s="11">
        <v>40562</v>
      </c>
      <c r="C424" s="5">
        <v>1</v>
      </c>
      <c r="D424" s="5">
        <v>0</v>
      </c>
      <c r="E424" s="5">
        <v>1</v>
      </c>
      <c r="F424" s="5">
        <v>15</v>
      </c>
      <c r="G424" s="5" t="b">
        <v>0</v>
      </c>
      <c r="H424" s="5">
        <v>3</v>
      </c>
      <c r="I424" s="5">
        <v>1</v>
      </c>
      <c r="J424" s="5">
        <v>0.4</v>
      </c>
    </row>
    <row r="425" spans="1:10">
      <c r="A425" s="5">
        <v>424</v>
      </c>
      <c r="B425" s="11">
        <v>40562</v>
      </c>
      <c r="C425" s="5">
        <v>1</v>
      </c>
      <c r="D425" s="5">
        <v>0</v>
      </c>
      <c r="E425" s="5">
        <v>1</v>
      </c>
      <c r="F425" s="5">
        <v>16</v>
      </c>
      <c r="G425" s="5" t="b">
        <v>0</v>
      </c>
      <c r="H425" s="5">
        <v>3</v>
      </c>
      <c r="I425" s="5">
        <v>1</v>
      </c>
      <c r="J425" s="5">
        <v>0.38</v>
      </c>
    </row>
    <row r="426" spans="1:10">
      <c r="A426" s="5">
        <v>425</v>
      </c>
      <c r="B426" s="11">
        <v>40562</v>
      </c>
      <c r="C426" s="5">
        <v>1</v>
      </c>
      <c r="D426" s="5">
        <v>0</v>
      </c>
      <c r="E426" s="5">
        <v>1</v>
      </c>
      <c r="F426" s="5">
        <v>17</v>
      </c>
      <c r="G426" s="5" t="b">
        <v>0</v>
      </c>
      <c r="H426" s="5">
        <v>3</v>
      </c>
      <c r="I426" s="5">
        <v>1</v>
      </c>
      <c r="J426" s="5">
        <v>0.36</v>
      </c>
    </row>
    <row r="427" spans="1:10">
      <c r="A427" s="5">
        <v>426</v>
      </c>
      <c r="B427" s="11">
        <v>40562</v>
      </c>
      <c r="C427" s="5">
        <v>1</v>
      </c>
      <c r="D427" s="5">
        <v>0</v>
      </c>
      <c r="E427" s="5">
        <v>1</v>
      </c>
      <c r="F427" s="5">
        <v>18</v>
      </c>
      <c r="G427" s="5" t="b">
        <v>0</v>
      </c>
      <c r="H427" s="5">
        <v>3</v>
      </c>
      <c r="I427" s="5">
        <v>1</v>
      </c>
      <c r="J427" s="5">
        <v>0.34</v>
      </c>
    </row>
    <row r="428" spans="1:10">
      <c r="A428" s="5">
        <v>427</v>
      </c>
      <c r="B428" s="11">
        <v>40562</v>
      </c>
      <c r="C428" s="5">
        <v>1</v>
      </c>
      <c r="D428" s="5">
        <v>0</v>
      </c>
      <c r="E428" s="5">
        <v>1</v>
      </c>
      <c r="F428" s="5">
        <v>19</v>
      </c>
      <c r="G428" s="5" t="b">
        <v>0</v>
      </c>
      <c r="H428" s="5">
        <v>3</v>
      </c>
      <c r="I428" s="5">
        <v>1</v>
      </c>
      <c r="J428" s="5">
        <v>0.32</v>
      </c>
    </row>
    <row r="429" spans="1:10">
      <c r="A429" s="5">
        <v>428</v>
      </c>
      <c r="B429" s="11">
        <v>40562</v>
      </c>
      <c r="C429" s="5">
        <v>1</v>
      </c>
      <c r="D429" s="5">
        <v>0</v>
      </c>
      <c r="E429" s="5">
        <v>1</v>
      </c>
      <c r="F429" s="5">
        <v>20</v>
      </c>
      <c r="G429" s="5" t="b">
        <v>0</v>
      </c>
      <c r="H429" s="5">
        <v>3</v>
      </c>
      <c r="I429" s="5">
        <v>1</v>
      </c>
      <c r="J429" s="5">
        <v>0.32</v>
      </c>
    </row>
    <row r="430" spans="1:10">
      <c r="A430" s="5">
        <v>429</v>
      </c>
      <c r="B430" s="11">
        <v>40562</v>
      </c>
      <c r="C430" s="5">
        <v>1</v>
      </c>
      <c r="D430" s="5">
        <v>0</v>
      </c>
      <c r="E430" s="5">
        <v>1</v>
      </c>
      <c r="F430" s="5">
        <v>21</v>
      </c>
      <c r="G430" s="5" t="b">
        <v>0</v>
      </c>
      <c r="H430" s="5">
        <v>3</v>
      </c>
      <c r="I430" s="5">
        <v>1</v>
      </c>
      <c r="J430" s="5">
        <v>0.32</v>
      </c>
    </row>
    <row r="431" spans="1:10">
      <c r="A431" s="5">
        <v>430</v>
      </c>
      <c r="B431" s="11">
        <v>40562</v>
      </c>
      <c r="C431" s="5">
        <v>1</v>
      </c>
      <c r="D431" s="5">
        <v>0</v>
      </c>
      <c r="E431" s="5">
        <v>1</v>
      </c>
      <c r="F431" s="5">
        <v>22</v>
      </c>
      <c r="G431" s="5" t="b">
        <v>0</v>
      </c>
      <c r="H431" s="5">
        <v>3</v>
      </c>
      <c r="I431" s="5">
        <v>1</v>
      </c>
      <c r="J431" s="5">
        <v>0.3</v>
      </c>
    </row>
    <row r="432" spans="1:10">
      <c r="A432" s="5">
        <v>431</v>
      </c>
      <c r="B432" s="11">
        <v>40562</v>
      </c>
      <c r="C432" s="5">
        <v>1</v>
      </c>
      <c r="D432" s="5">
        <v>0</v>
      </c>
      <c r="E432" s="5">
        <v>1</v>
      </c>
      <c r="F432" s="5">
        <v>23</v>
      </c>
      <c r="G432" s="5" t="b">
        <v>0</v>
      </c>
      <c r="H432" s="5">
        <v>3</v>
      </c>
      <c r="I432" s="5">
        <v>1</v>
      </c>
      <c r="J432" s="5">
        <v>0.3</v>
      </c>
    </row>
    <row r="433" spans="1:10">
      <c r="A433" s="5">
        <v>432</v>
      </c>
      <c r="B433" s="11">
        <v>40563</v>
      </c>
      <c r="C433" s="5">
        <v>1</v>
      </c>
      <c r="D433" s="5">
        <v>0</v>
      </c>
      <c r="E433" s="5">
        <v>1</v>
      </c>
      <c r="F433" s="5">
        <v>0</v>
      </c>
      <c r="G433" s="5" t="b">
        <v>0</v>
      </c>
      <c r="H433" s="5">
        <v>4</v>
      </c>
      <c r="I433" s="5">
        <v>1</v>
      </c>
      <c r="J433" s="5">
        <v>0.26</v>
      </c>
    </row>
    <row r="434" spans="1:10">
      <c r="A434" s="5">
        <v>433</v>
      </c>
      <c r="B434" s="11">
        <v>40563</v>
      </c>
      <c r="C434" s="5">
        <v>1</v>
      </c>
      <c r="D434" s="5">
        <v>0</v>
      </c>
      <c r="E434" s="5">
        <v>1</v>
      </c>
      <c r="F434" s="5">
        <v>1</v>
      </c>
      <c r="G434" s="5" t="b">
        <v>0</v>
      </c>
      <c r="H434" s="5">
        <v>4</v>
      </c>
      <c r="I434" s="5">
        <v>1</v>
      </c>
      <c r="J434" s="5">
        <v>0.26</v>
      </c>
    </row>
    <row r="435" spans="1:10">
      <c r="A435" s="5">
        <v>434</v>
      </c>
      <c r="B435" s="11">
        <v>40563</v>
      </c>
      <c r="C435" s="5">
        <v>1</v>
      </c>
      <c r="D435" s="5">
        <v>0</v>
      </c>
      <c r="E435" s="5">
        <v>1</v>
      </c>
      <c r="F435" s="5">
        <v>2</v>
      </c>
      <c r="G435" s="5" t="b">
        <v>0</v>
      </c>
      <c r="H435" s="5">
        <v>4</v>
      </c>
      <c r="I435" s="5">
        <v>1</v>
      </c>
      <c r="J435" s="5">
        <v>0.26</v>
      </c>
    </row>
    <row r="436" spans="1:10">
      <c r="A436" s="5">
        <v>435</v>
      </c>
      <c r="B436" s="11">
        <v>40563</v>
      </c>
      <c r="C436" s="5">
        <v>1</v>
      </c>
      <c r="D436" s="5">
        <v>0</v>
      </c>
      <c r="E436" s="5">
        <v>1</v>
      </c>
      <c r="F436" s="5">
        <v>3</v>
      </c>
      <c r="G436" s="5" t="b">
        <v>0</v>
      </c>
      <c r="H436" s="5">
        <v>4</v>
      </c>
      <c r="I436" s="5">
        <v>1</v>
      </c>
      <c r="J436" s="5">
        <v>0.26</v>
      </c>
    </row>
    <row r="437" spans="1:10">
      <c r="A437" s="5">
        <v>436</v>
      </c>
      <c r="B437" s="11">
        <v>40563</v>
      </c>
      <c r="C437" s="5">
        <v>1</v>
      </c>
      <c r="D437" s="5">
        <v>0</v>
      </c>
      <c r="E437" s="5">
        <v>1</v>
      </c>
      <c r="F437" s="5">
        <v>4</v>
      </c>
      <c r="G437" s="5" t="b">
        <v>0</v>
      </c>
      <c r="H437" s="5">
        <v>4</v>
      </c>
      <c r="I437" s="5">
        <v>1</v>
      </c>
      <c r="J437" s="5">
        <v>0.26</v>
      </c>
    </row>
    <row r="438" spans="1:10">
      <c r="A438" s="5">
        <v>437</v>
      </c>
      <c r="B438" s="11">
        <v>40563</v>
      </c>
      <c r="C438" s="5">
        <v>1</v>
      </c>
      <c r="D438" s="5">
        <v>0</v>
      </c>
      <c r="E438" s="5">
        <v>1</v>
      </c>
      <c r="F438" s="5">
        <v>5</v>
      </c>
      <c r="G438" s="5" t="b">
        <v>0</v>
      </c>
      <c r="H438" s="5">
        <v>4</v>
      </c>
      <c r="I438" s="5">
        <v>1</v>
      </c>
      <c r="J438" s="5">
        <v>0.24</v>
      </c>
    </row>
    <row r="439" spans="1:10">
      <c r="A439" s="5">
        <v>438</v>
      </c>
      <c r="B439" s="11">
        <v>40563</v>
      </c>
      <c r="C439" s="5">
        <v>1</v>
      </c>
      <c r="D439" s="5">
        <v>0</v>
      </c>
      <c r="E439" s="5">
        <v>1</v>
      </c>
      <c r="F439" s="5">
        <v>6</v>
      </c>
      <c r="G439" s="5" t="b">
        <v>0</v>
      </c>
      <c r="H439" s="5">
        <v>4</v>
      </c>
      <c r="I439" s="5">
        <v>1</v>
      </c>
      <c r="J439" s="5">
        <v>0.22</v>
      </c>
    </row>
    <row r="440" spans="1:10">
      <c r="A440" s="5">
        <v>439</v>
      </c>
      <c r="B440" s="11">
        <v>40563</v>
      </c>
      <c r="C440" s="5">
        <v>1</v>
      </c>
      <c r="D440" s="5">
        <v>0</v>
      </c>
      <c r="E440" s="5">
        <v>1</v>
      </c>
      <c r="F440" s="5">
        <v>7</v>
      </c>
      <c r="G440" s="5" t="b">
        <v>0</v>
      </c>
      <c r="H440" s="5">
        <v>4</v>
      </c>
      <c r="I440" s="5">
        <v>1</v>
      </c>
      <c r="J440" s="5">
        <v>0.22</v>
      </c>
    </row>
    <row r="441" spans="1:10">
      <c r="A441" s="5">
        <v>440</v>
      </c>
      <c r="B441" s="11">
        <v>40563</v>
      </c>
      <c r="C441" s="5">
        <v>1</v>
      </c>
      <c r="D441" s="5">
        <v>0</v>
      </c>
      <c r="E441" s="5">
        <v>1</v>
      </c>
      <c r="F441" s="5">
        <v>8</v>
      </c>
      <c r="G441" s="5" t="b">
        <v>0</v>
      </c>
      <c r="H441" s="5">
        <v>4</v>
      </c>
      <c r="I441" s="5">
        <v>1</v>
      </c>
      <c r="J441" s="5">
        <v>0.22</v>
      </c>
    </row>
    <row r="442" spans="1:10">
      <c r="A442" s="5">
        <v>441</v>
      </c>
      <c r="B442" s="11">
        <v>40563</v>
      </c>
      <c r="C442" s="5">
        <v>1</v>
      </c>
      <c r="D442" s="5">
        <v>0</v>
      </c>
      <c r="E442" s="5">
        <v>1</v>
      </c>
      <c r="F442" s="5">
        <v>9</v>
      </c>
      <c r="G442" s="5" t="b">
        <v>0</v>
      </c>
      <c r="H442" s="5">
        <v>4</v>
      </c>
      <c r="I442" s="5">
        <v>2</v>
      </c>
      <c r="J442" s="5">
        <v>0.24</v>
      </c>
    </row>
    <row r="443" spans="1:10">
      <c r="A443" s="5">
        <v>442</v>
      </c>
      <c r="B443" s="11">
        <v>40563</v>
      </c>
      <c r="C443" s="5">
        <v>1</v>
      </c>
      <c r="D443" s="5">
        <v>0</v>
      </c>
      <c r="E443" s="5">
        <v>1</v>
      </c>
      <c r="F443" s="5">
        <v>10</v>
      </c>
      <c r="G443" s="5" t="b">
        <v>0</v>
      </c>
      <c r="H443" s="5">
        <v>4</v>
      </c>
      <c r="I443" s="5">
        <v>1</v>
      </c>
      <c r="J443" s="5">
        <v>0.26</v>
      </c>
    </row>
    <row r="444" spans="1:10">
      <c r="A444" s="5">
        <v>443</v>
      </c>
      <c r="B444" s="11">
        <v>40563</v>
      </c>
      <c r="C444" s="5">
        <v>1</v>
      </c>
      <c r="D444" s="5">
        <v>0</v>
      </c>
      <c r="E444" s="5">
        <v>1</v>
      </c>
      <c r="F444" s="5">
        <v>11</v>
      </c>
      <c r="G444" s="5" t="b">
        <v>0</v>
      </c>
      <c r="H444" s="5">
        <v>4</v>
      </c>
      <c r="I444" s="5">
        <v>2</v>
      </c>
      <c r="J444" s="5">
        <v>0.28</v>
      </c>
    </row>
    <row r="445" spans="1:10">
      <c r="A445" s="5">
        <v>444</v>
      </c>
      <c r="B445" s="11">
        <v>40563</v>
      </c>
      <c r="C445" s="5">
        <v>1</v>
      </c>
      <c r="D445" s="5">
        <v>0</v>
      </c>
      <c r="E445" s="5">
        <v>1</v>
      </c>
      <c r="F445" s="5">
        <v>12</v>
      </c>
      <c r="G445" s="5" t="b">
        <v>0</v>
      </c>
      <c r="H445" s="5">
        <v>4</v>
      </c>
      <c r="I445" s="5">
        <v>2</v>
      </c>
      <c r="J445" s="5">
        <v>0.3</v>
      </c>
    </row>
    <row r="446" spans="1:10">
      <c r="A446" s="5">
        <v>445</v>
      </c>
      <c r="B446" s="11">
        <v>40563</v>
      </c>
      <c r="C446" s="5">
        <v>1</v>
      </c>
      <c r="D446" s="5">
        <v>0</v>
      </c>
      <c r="E446" s="5">
        <v>1</v>
      </c>
      <c r="F446" s="5">
        <v>13</v>
      </c>
      <c r="G446" s="5" t="b">
        <v>0</v>
      </c>
      <c r="H446" s="5">
        <v>4</v>
      </c>
      <c r="I446" s="5">
        <v>2</v>
      </c>
      <c r="J446" s="5">
        <v>0.28</v>
      </c>
    </row>
    <row r="447" spans="1:10">
      <c r="A447" s="5">
        <v>446</v>
      </c>
      <c r="B447" s="11">
        <v>40563</v>
      </c>
      <c r="C447" s="5">
        <v>1</v>
      </c>
      <c r="D447" s="5">
        <v>0</v>
      </c>
      <c r="E447" s="5">
        <v>1</v>
      </c>
      <c r="F447" s="5">
        <v>14</v>
      </c>
      <c r="G447" s="5" t="b">
        <v>0</v>
      </c>
      <c r="H447" s="5">
        <v>4</v>
      </c>
      <c r="I447" s="5">
        <v>2</v>
      </c>
      <c r="J447" s="5">
        <v>0.3</v>
      </c>
    </row>
    <row r="448" spans="1:10">
      <c r="A448" s="5">
        <v>447</v>
      </c>
      <c r="B448" s="11">
        <v>40563</v>
      </c>
      <c r="C448" s="5">
        <v>1</v>
      </c>
      <c r="D448" s="5">
        <v>0</v>
      </c>
      <c r="E448" s="5">
        <v>1</v>
      </c>
      <c r="F448" s="5">
        <v>15</v>
      </c>
      <c r="G448" s="5" t="b">
        <v>0</v>
      </c>
      <c r="H448" s="5">
        <v>4</v>
      </c>
      <c r="I448" s="5">
        <v>2</v>
      </c>
      <c r="J448" s="5">
        <v>0.32</v>
      </c>
    </row>
    <row r="449" spans="1:10">
      <c r="A449" s="5">
        <v>448</v>
      </c>
      <c r="B449" s="11">
        <v>40563</v>
      </c>
      <c r="C449" s="5">
        <v>1</v>
      </c>
      <c r="D449" s="5">
        <v>0</v>
      </c>
      <c r="E449" s="5">
        <v>1</v>
      </c>
      <c r="F449" s="5">
        <v>16</v>
      </c>
      <c r="G449" s="5" t="b">
        <v>0</v>
      </c>
      <c r="H449" s="5">
        <v>4</v>
      </c>
      <c r="I449" s="5">
        <v>2</v>
      </c>
      <c r="J449" s="5">
        <v>0.3</v>
      </c>
    </row>
    <row r="450" spans="1:10">
      <c r="A450" s="5">
        <v>449</v>
      </c>
      <c r="B450" s="11">
        <v>40563</v>
      </c>
      <c r="C450" s="5">
        <v>1</v>
      </c>
      <c r="D450" s="5">
        <v>0</v>
      </c>
      <c r="E450" s="5">
        <v>1</v>
      </c>
      <c r="F450" s="5">
        <v>17</v>
      </c>
      <c r="G450" s="5" t="b">
        <v>0</v>
      </c>
      <c r="H450" s="5">
        <v>4</v>
      </c>
      <c r="I450" s="5">
        <v>2</v>
      </c>
      <c r="J450" s="5">
        <v>0.3</v>
      </c>
    </row>
    <row r="451" spans="1:10">
      <c r="A451" s="5">
        <v>450</v>
      </c>
      <c r="B451" s="11">
        <v>40563</v>
      </c>
      <c r="C451" s="5">
        <v>1</v>
      </c>
      <c r="D451" s="5">
        <v>0</v>
      </c>
      <c r="E451" s="5">
        <v>1</v>
      </c>
      <c r="F451" s="5">
        <v>18</v>
      </c>
      <c r="G451" s="5" t="b">
        <v>0</v>
      </c>
      <c r="H451" s="5">
        <v>4</v>
      </c>
      <c r="I451" s="5">
        <v>2</v>
      </c>
      <c r="J451" s="5">
        <v>0.26</v>
      </c>
    </row>
    <row r="452" spans="1:10">
      <c r="A452" s="5">
        <v>451</v>
      </c>
      <c r="B452" s="11">
        <v>40563</v>
      </c>
      <c r="C452" s="5">
        <v>1</v>
      </c>
      <c r="D452" s="5">
        <v>0</v>
      </c>
      <c r="E452" s="5">
        <v>1</v>
      </c>
      <c r="F452" s="5">
        <v>19</v>
      </c>
      <c r="G452" s="5" t="b">
        <v>0</v>
      </c>
      <c r="H452" s="5">
        <v>4</v>
      </c>
      <c r="I452" s="5">
        <v>1</v>
      </c>
      <c r="J452" s="5">
        <v>0.26</v>
      </c>
    </row>
    <row r="453" spans="1:10">
      <c r="A453" s="5">
        <v>452</v>
      </c>
      <c r="B453" s="11">
        <v>40563</v>
      </c>
      <c r="C453" s="5">
        <v>1</v>
      </c>
      <c r="D453" s="5">
        <v>0</v>
      </c>
      <c r="E453" s="5">
        <v>1</v>
      </c>
      <c r="F453" s="5">
        <v>20</v>
      </c>
      <c r="G453" s="5" t="b">
        <v>0</v>
      </c>
      <c r="H453" s="5">
        <v>4</v>
      </c>
      <c r="I453" s="5">
        <v>2</v>
      </c>
      <c r="J453" s="5">
        <v>0.26</v>
      </c>
    </row>
    <row r="454" spans="1:10">
      <c r="A454" s="5">
        <v>453</v>
      </c>
      <c r="B454" s="11">
        <v>40563</v>
      </c>
      <c r="C454" s="5">
        <v>1</v>
      </c>
      <c r="D454" s="5">
        <v>0</v>
      </c>
      <c r="E454" s="5">
        <v>1</v>
      </c>
      <c r="F454" s="5">
        <v>21</v>
      </c>
      <c r="G454" s="5" t="b">
        <v>0</v>
      </c>
      <c r="H454" s="5">
        <v>4</v>
      </c>
      <c r="I454" s="5">
        <v>2</v>
      </c>
      <c r="J454" s="5">
        <v>0.24</v>
      </c>
    </row>
    <row r="455" spans="1:10">
      <c r="A455" s="5">
        <v>454</v>
      </c>
      <c r="B455" s="11">
        <v>40563</v>
      </c>
      <c r="C455" s="5">
        <v>1</v>
      </c>
      <c r="D455" s="5">
        <v>0</v>
      </c>
      <c r="E455" s="5">
        <v>1</v>
      </c>
      <c r="F455" s="5">
        <v>22</v>
      </c>
      <c r="G455" s="5" t="b">
        <v>0</v>
      </c>
      <c r="H455" s="5">
        <v>4</v>
      </c>
      <c r="I455" s="5">
        <v>2</v>
      </c>
      <c r="J455" s="5">
        <v>0.24</v>
      </c>
    </row>
    <row r="456" spans="1:10">
      <c r="A456" s="5">
        <v>455</v>
      </c>
      <c r="B456" s="11">
        <v>40563</v>
      </c>
      <c r="C456" s="5">
        <v>1</v>
      </c>
      <c r="D456" s="5">
        <v>0</v>
      </c>
      <c r="E456" s="5">
        <v>1</v>
      </c>
      <c r="F456" s="5">
        <v>23</v>
      </c>
      <c r="G456" s="5" t="b">
        <v>0</v>
      </c>
      <c r="H456" s="5">
        <v>4</v>
      </c>
      <c r="I456" s="5">
        <v>2</v>
      </c>
      <c r="J456" s="5">
        <v>0.24</v>
      </c>
    </row>
    <row r="457" spans="1:10">
      <c r="A457" s="5">
        <v>456</v>
      </c>
      <c r="B457" s="11">
        <v>40564</v>
      </c>
      <c r="C457" s="5">
        <v>1</v>
      </c>
      <c r="D457" s="5">
        <v>0</v>
      </c>
      <c r="E457" s="5">
        <v>1</v>
      </c>
      <c r="F457" s="5">
        <v>0</v>
      </c>
      <c r="G457" s="5" t="b">
        <v>0</v>
      </c>
      <c r="H457" s="5">
        <v>5</v>
      </c>
      <c r="I457" s="5">
        <v>2</v>
      </c>
      <c r="J457" s="5">
        <v>0.24</v>
      </c>
    </row>
    <row r="458" spans="1:10">
      <c r="A458" s="5">
        <v>457</v>
      </c>
      <c r="B458" s="11">
        <v>40564</v>
      </c>
      <c r="C458" s="5">
        <v>1</v>
      </c>
      <c r="D458" s="5">
        <v>0</v>
      </c>
      <c r="E458" s="5">
        <v>1</v>
      </c>
      <c r="F458" s="5">
        <v>1</v>
      </c>
      <c r="G458" s="5" t="b">
        <v>0</v>
      </c>
      <c r="H458" s="5">
        <v>5</v>
      </c>
      <c r="I458" s="5">
        <v>2</v>
      </c>
      <c r="J458" s="5">
        <v>0.24</v>
      </c>
    </row>
    <row r="459" spans="1:10">
      <c r="A459" s="5">
        <v>458</v>
      </c>
      <c r="B459" s="11">
        <v>40564</v>
      </c>
      <c r="C459" s="5">
        <v>1</v>
      </c>
      <c r="D459" s="5">
        <v>0</v>
      </c>
      <c r="E459" s="5">
        <v>1</v>
      </c>
      <c r="F459" s="5">
        <v>2</v>
      </c>
      <c r="G459" s="5" t="b">
        <v>0</v>
      </c>
      <c r="H459" s="5">
        <v>5</v>
      </c>
      <c r="I459" s="5">
        <v>3</v>
      </c>
      <c r="J459" s="5">
        <v>0.24</v>
      </c>
    </row>
    <row r="460" spans="1:10">
      <c r="A460" s="5">
        <v>459</v>
      </c>
      <c r="B460" s="11">
        <v>40564</v>
      </c>
      <c r="C460" s="5">
        <v>1</v>
      </c>
      <c r="D460" s="5">
        <v>0</v>
      </c>
      <c r="E460" s="5">
        <v>1</v>
      </c>
      <c r="F460" s="5">
        <v>3</v>
      </c>
      <c r="G460" s="5" t="b">
        <v>0</v>
      </c>
      <c r="H460" s="5">
        <v>5</v>
      </c>
      <c r="I460" s="5">
        <v>3</v>
      </c>
      <c r="J460" s="5">
        <v>0.22</v>
      </c>
    </row>
    <row r="461" spans="1:10">
      <c r="A461" s="5">
        <v>460</v>
      </c>
      <c r="B461" s="11">
        <v>40564</v>
      </c>
      <c r="C461" s="5">
        <v>1</v>
      </c>
      <c r="D461" s="5">
        <v>0</v>
      </c>
      <c r="E461" s="5">
        <v>1</v>
      </c>
      <c r="F461" s="5">
        <v>4</v>
      </c>
      <c r="G461" s="5" t="b">
        <v>0</v>
      </c>
      <c r="H461" s="5">
        <v>5</v>
      </c>
      <c r="I461" s="5">
        <v>2</v>
      </c>
      <c r="J461" s="5">
        <v>0.22</v>
      </c>
    </row>
    <row r="462" spans="1:10">
      <c r="A462" s="5">
        <v>461</v>
      </c>
      <c r="B462" s="11">
        <v>40564</v>
      </c>
      <c r="C462" s="5">
        <v>1</v>
      </c>
      <c r="D462" s="5">
        <v>0</v>
      </c>
      <c r="E462" s="5">
        <v>1</v>
      </c>
      <c r="F462" s="5">
        <v>5</v>
      </c>
      <c r="G462" s="5" t="b">
        <v>0</v>
      </c>
      <c r="H462" s="5">
        <v>5</v>
      </c>
      <c r="I462" s="5">
        <v>1</v>
      </c>
      <c r="J462" s="5">
        <v>0.24</v>
      </c>
    </row>
    <row r="463" spans="1:10">
      <c r="A463" s="5">
        <v>462</v>
      </c>
      <c r="B463" s="11">
        <v>40564</v>
      </c>
      <c r="C463" s="5">
        <v>1</v>
      </c>
      <c r="D463" s="5">
        <v>0</v>
      </c>
      <c r="E463" s="5">
        <v>1</v>
      </c>
      <c r="F463" s="5">
        <v>6</v>
      </c>
      <c r="G463" s="5" t="b">
        <v>0</v>
      </c>
      <c r="H463" s="5">
        <v>5</v>
      </c>
      <c r="I463" s="5">
        <v>1</v>
      </c>
      <c r="J463" s="5">
        <v>0.22</v>
      </c>
    </row>
    <row r="464" spans="1:10">
      <c r="A464" s="5">
        <v>463</v>
      </c>
      <c r="B464" s="11">
        <v>40564</v>
      </c>
      <c r="C464" s="5">
        <v>1</v>
      </c>
      <c r="D464" s="5">
        <v>0</v>
      </c>
      <c r="E464" s="5">
        <v>1</v>
      </c>
      <c r="F464" s="5">
        <v>7</v>
      </c>
      <c r="G464" s="5" t="b">
        <v>0</v>
      </c>
      <c r="H464" s="5">
        <v>5</v>
      </c>
      <c r="I464" s="5">
        <v>1</v>
      </c>
      <c r="J464" s="5">
        <v>0.2</v>
      </c>
    </row>
    <row r="465" spans="1:10">
      <c r="A465" s="5">
        <v>464</v>
      </c>
      <c r="B465" s="11">
        <v>40564</v>
      </c>
      <c r="C465" s="5">
        <v>1</v>
      </c>
      <c r="D465" s="5">
        <v>0</v>
      </c>
      <c r="E465" s="5">
        <v>1</v>
      </c>
      <c r="F465" s="5">
        <v>8</v>
      </c>
      <c r="G465" s="5" t="b">
        <v>0</v>
      </c>
      <c r="H465" s="5">
        <v>5</v>
      </c>
      <c r="I465" s="5">
        <v>1</v>
      </c>
      <c r="J465" s="5">
        <v>0.2</v>
      </c>
    </row>
    <row r="466" spans="1:10">
      <c r="A466" s="5">
        <v>465</v>
      </c>
      <c r="B466" s="11">
        <v>40564</v>
      </c>
      <c r="C466" s="5">
        <v>1</v>
      </c>
      <c r="D466" s="5">
        <v>0</v>
      </c>
      <c r="E466" s="5">
        <v>1</v>
      </c>
      <c r="F466" s="5">
        <v>9</v>
      </c>
      <c r="G466" s="5" t="b">
        <v>0</v>
      </c>
      <c r="H466" s="5">
        <v>5</v>
      </c>
      <c r="I466" s="5">
        <v>1</v>
      </c>
      <c r="J466" s="5">
        <v>0.2</v>
      </c>
    </row>
    <row r="467" spans="1:10">
      <c r="A467" s="5">
        <v>466</v>
      </c>
      <c r="B467" s="11">
        <v>40564</v>
      </c>
      <c r="C467" s="5">
        <v>1</v>
      </c>
      <c r="D467" s="5">
        <v>0</v>
      </c>
      <c r="E467" s="5">
        <v>1</v>
      </c>
      <c r="F467" s="5">
        <v>10</v>
      </c>
      <c r="G467" s="5" t="b">
        <v>0</v>
      </c>
      <c r="H467" s="5">
        <v>5</v>
      </c>
      <c r="I467" s="5">
        <v>1</v>
      </c>
      <c r="J467" s="5">
        <v>0.2</v>
      </c>
    </row>
    <row r="468" spans="1:10">
      <c r="A468" s="5">
        <v>467</v>
      </c>
      <c r="B468" s="11">
        <v>40564</v>
      </c>
      <c r="C468" s="5">
        <v>1</v>
      </c>
      <c r="D468" s="5">
        <v>0</v>
      </c>
      <c r="E468" s="5">
        <v>1</v>
      </c>
      <c r="F468" s="5">
        <v>11</v>
      </c>
      <c r="G468" s="5" t="b">
        <v>0</v>
      </c>
      <c r="H468" s="5">
        <v>5</v>
      </c>
      <c r="I468" s="5">
        <v>1</v>
      </c>
      <c r="J468" s="5">
        <v>0.22</v>
      </c>
    </row>
    <row r="469" spans="1:10">
      <c r="A469" s="5">
        <v>468</v>
      </c>
      <c r="B469" s="11">
        <v>40564</v>
      </c>
      <c r="C469" s="5">
        <v>1</v>
      </c>
      <c r="D469" s="5">
        <v>0</v>
      </c>
      <c r="E469" s="5">
        <v>1</v>
      </c>
      <c r="F469" s="5">
        <v>12</v>
      </c>
      <c r="G469" s="5" t="b">
        <v>0</v>
      </c>
      <c r="H469" s="5">
        <v>5</v>
      </c>
      <c r="I469" s="5">
        <v>1</v>
      </c>
      <c r="J469" s="5">
        <v>0.22</v>
      </c>
    </row>
    <row r="470" spans="1:10">
      <c r="A470" s="5">
        <v>469</v>
      </c>
      <c r="B470" s="11">
        <v>40564</v>
      </c>
      <c r="C470" s="5">
        <v>1</v>
      </c>
      <c r="D470" s="5">
        <v>0</v>
      </c>
      <c r="E470" s="5">
        <v>1</v>
      </c>
      <c r="F470" s="5">
        <v>13</v>
      </c>
      <c r="G470" s="5" t="b">
        <v>0</v>
      </c>
      <c r="H470" s="5">
        <v>5</v>
      </c>
      <c r="I470" s="5">
        <v>1</v>
      </c>
      <c r="J470" s="5">
        <v>0.2</v>
      </c>
    </row>
    <row r="471" spans="1:10">
      <c r="A471" s="5">
        <v>470</v>
      </c>
      <c r="B471" s="11">
        <v>40564</v>
      </c>
      <c r="C471" s="5">
        <v>1</v>
      </c>
      <c r="D471" s="5">
        <v>0</v>
      </c>
      <c r="E471" s="5">
        <v>1</v>
      </c>
      <c r="F471" s="5">
        <v>14</v>
      </c>
      <c r="G471" s="5" t="b">
        <v>0</v>
      </c>
      <c r="H471" s="5">
        <v>5</v>
      </c>
      <c r="I471" s="5">
        <v>1</v>
      </c>
      <c r="J471" s="5">
        <v>0.2</v>
      </c>
    </row>
    <row r="472" spans="1:10">
      <c r="A472" s="5">
        <v>471</v>
      </c>
      <c r="B472" s="11">
        <v>40564</v>
      </c>
      <c r="C472" s="5">
        <v>1</v>
      </c>
      <c r="D472" s="5">
        <v>0</v>
      </c>
      <c r="E472" s="5">
        <v>1</v>
      </c>
      <c r="F472" s="5">
        <v>15</v>
      </c>
      <c r="G472" s="5" t="b">
        <v>0</v>
      </c>
      <c r="H472" s="5">
        <v>5</v>
      </c>
      <c r="I472" s="5">
        <v>1</v>
      </c>
      <c r="J472" s="5">
        <v>0.16</v>
      </c>
    </row>
    <row r="473" spans="1:10">
      <c r="A473" s="5">
        <v>472</v>
      </c>
      <c r="B473" s="11">
        <v>40564</v>
      </c>
      <c r="C473" s="5">
        <v>1</v>
      </c>
      <c r="D473" s="5">
        <v>0</v>
      </c>
      <c r="E473" s="5">
        <v>1</v>
      </c>
      <c r="F473" s="5">
        <v>16</v>
      </c>
      <c r="G473" s="5" t="b">
        <v>0</v>
      </c>
      <c r="H473" s="5">
        <v>5</v>
      </c>
      <c r="I473" s="5">
        <v>1</v>
      </c>
      <c r="J473" s="5">
        <v>0.16</v>
      </c>
    </row>
    <row r="474" spans="1:10">
      <c r="A474" s="5">
        <v>473</v>
      </c>
      <c r="B474" s="11">
        <v>40564</v>
      </c>
      <c r="C474" s="5">
        <v>1</v>
      </c>
      <c r="D474" s="5">
        <v>0</v>
      </c>
      <c r="E474" s="5">
        <v>1</v>
      </c>
      <c r="F474" s="5">
        <v>17</v>
      </c>
      <c r="G474" s="5" t="b">
        <v>0</v>
      </c>
      <c r="H474" s="5">
        <v>5</v>
      </c>
      <c r="I474" s="5">
        <v>1</v>
      </c>
      <c r="J474" s="5">
        <v>0.14</v>
      </c>
    </row>
    <row r="475" spans="1:10">
      <c r="A475" s="5">
        <v>474</v>
      </c>
      <c r="B475" s="11">
        <v>40564</v>
      </c>
      <c r="C475" s="5">
        <v>1</v>
      </c>
      <c r="D475" s="5">
        <v>0</v>
      </c>
      <c r="E475" s="5">
        <v>1</v>
      </c>
      <c r="F475" s="5">
        <v>18</v>
      </c>
      <c r="G475" s="5" t="b">
        <v>0</v>
      </c>
      <c r="H475" s="5">
        <v>5</v>
      </c>
      <c r="I475" s="5">
        <v>1</v>
      </c>
      <c r="J475" s="5">
        <v>0.12</v>
      </c>
    </row>
    <row r="476" spans="1:10">
      <c r="A476" s="5">
        <v>475</v>
      </c>
      <c r="B476" s="11">
        <v>40564</v>
      </c>
      <c r="C476" s="5">
        <v>1</v>
      </c>
      <c r="D476" s="5">
        <v>0</v>
      </c>
      <c r="E476" s="5">
        <v>1</v>
      </c>
      <c r="F476" s="5">
        <v>19</v>
      </c>
      <c r="G476" s="5" t="b">
        <v>0</v>
      </c>
      <c r="H476" s="5">
        <v>5</v>
      </c>
      <c r="I476" s="5">
        <v>1</v>
      </c>
      <c r="J476" s="5">
        <v>0.12</v>
      </c>
    </row>
    <row r="477" spans="1:10">
      <c r="A477" s="5">
        <v>476</v>
      </c>
      <c r="B477" s="11">
        <v>40564</v>
      </c>
      <c r="C477" s="5">
        <v>1</v>
      </c>
      <c r="D477" s="5">
        <v>0</v>
      </c>
      <c r="E477" s="5">
        <v>1</v>
      </c>
      <c r="F477" s="5">
        <v>20</v>
      </c>
      <c r="G477" s="5" t="b">
        <v>0</v>
      </c>
      <c r="H477" s="5">
        <v>5</v>
      </c>
      <c r="I477" s="5">
        <v>1</v>
      </c>
      <c r="J477" s="5">
        <v>0.1</v>
      </c>
    </row>
    <row r="478" spans="1:10">
      <c r="A478" s="5">
        <v>477</v>
      </c>
      <c r="B478" s="11">
        <v>40564</v>
      </c>
      <c r="C478" s="5">
        <v>1</v>
      </c>
      <c r="D478" s="5">
        <v>0</v>
      </c>
      <c r="E478" s="5">
        <v>1</v>
      </c>
      <c r="F478" s="5">
        <v>21</v>
      </c>
      <c r="G478" s="5" t="b">
        <v>0</v>
      </c>
      <c r="H478" s="5">
        <v>5</v>
      </c>
      <c r="I478" s="5">
        <v>1</v>
      </c>
      <c r="J478" s="5">
        <v>0.08</v>
      </c>
    </row>
    <row r="479" spans="1:10">
      <c r="A479" s="5">
        <v>478</v>
      </c>
      <c r="B479" s="11">
        <v>40564</v>
      </c>
      <c r="C479" s="5">
        <v>1</v>
      </c>
      <c r="D479" s="5">
        <v>0</v>
      </c>
      <c r="E479" s="5">
        <v>1</v>
      </c>
      <c r="F479" s="5">
        <v>22</v>
      </c>
      <c r="G479" s="5" t="b">
        <v>0</v>
      </c>
      <c r="H479" s="5">
        <v>5</v>
      </c>
      <c r="I479" s="5">
        <v>1</v>
      </c>
      <c r="J479" s="5">
        <v>0.06</v>
      </c>
    </row>
    <row r="480" spans="1:10">
      <c r="A480" s="5">
        <v>479</v>
      </c>
      <c r="B480" s="11">
        <v>40564</v>
      </c>
      <c r="C480" s="5">
        <v>1</v>
      </c>
      <c r="D480" s="5">
        <v>0</v>
      </c>
      <c r="E480" s="5">
        <v>1</v>
      </c>
      <c r="F480" s="5">
        <v>23</v>
      </c>
      <c r="G480" s="5" t="b">
        <v>0</v>
      </c>
      <c r="H480" s="5">
        <v>5</v>
      </c>
      <c r="I480" s="5">
        <v>1</v>
      </c>
      <c r="J480" s="5">
        <v>0.06</v>
      </c>
    </row>
    <row r="481" spans="1:10">
      <c r="A481" s="5">
        <v>480</v>
      </c>
      <c r="B481" s="11">
        <v>40565</v>
      </c>
      <c r="C481" s="5">
        <v>1</v>
      </c>
      <c r="D481" s="5">
        <v>0</v>
      </c>
      <c r="E481" s="5">
        <v>1</v>
      </c>
      <c r="F481" s="5">
        <v>0</v>
      </c>
      <c r="G481" s="5" t="b">
        <v>0</v>
      </c>
      <c r="H481" s="5">
        <v>6</v>
      </c>
      <c r="I481" s="5">
        <v>1</v>
      </c>
      <c r="J481" s="5">
        <v>0.04</v>
      </c>
    </row>
    <row r="482" spans="1:10">
      <c r="A482" s="5">
        <v>481</v>
      </c>
      <c r="B482" s="11">
        <v>40565</v>
      </c>
      <c r="C482" s="5">
        <v>1</v>
      </c>
      <c r="D482" s="5">
        <v>0</v>
      </c>
      <c r="E482" s="5">
        <v>1</v>
      </c>
      <c r="F482" s="5">
        <v>1</v>
      </c>
      <c r="G482" s="5" t="b">
        <v>0</v>
      </c>
      <c r="H482" s="5">
        <v>6</v>
      </c>
      <c r="I482" s="5">
        <v>2</v>
      </c>
      <c r="J482" s="5">
        <v>0.04</v>
      </c>
    </row>
    <row r="483" spans="1:10">
      <c r="A483" s="5">
        <v>482</v>
      </c>
      <c r="B483" s="11">
        <v>40565</v>
      </c>
      <c r="C483" s="5">
        <v>1</v>
      </c>
      <c r="D483" s="5">
        <v>0</v>
      </c>
      <c r="E483" s="5">
        <v>1</v>
      </c>
      <c r="F483" s="5">
        <v>2</v>
      </c>
      <c r="G483" s="5" t="b">
        <v>0</v>
      </c>
      <c r="H483" s="5">
        <v>6</v>
      </c>
      <c r="I483" s="5">
        <v>2</v>
      </c>
      <c r="J483" s="5">
        <v>0.04</v>
      </c>
    </row>
    <row r="484" spans="1:10">
      <c r="A484" s="5">
        <v>483</v>
      </c>
      <c r="B484" s="11">
        <v>40565</v>
      </c>
      <c r="C484" s="5">
        <v>1</v>
      </c>
      <c r="D484" s="5">
        <v>0</v>
      </c>
      <c r="E484" s="5">
        <v>1</v>
      </c>
      <c r="F484" s="5">
        <v>3</v>
      </c>
      <c r="G484" s="5" t="b">
        <v>0</v>
      </c>
      <c r="H484" s="5">
        <v>6</v>
      </c>
      <c r="I484" s="5">
        <v>2</v>
      </c>
      <c r="J484" s="5">
        <v>0.04</v>
      </c>
    </row>
    <row r="485" spans="1:10">
      <c r="A485" s="5">
        <v>484</v>
      </c>
      <c r="B485" s="11">
        <v>40565</v>
      </c>
      <c r="C485" s="5">
        <v>1</v>
      </c>
      <c r="D485" s="5">
        <v>0</v>
      </c>
      <c r="E485" s="5">
        <v>1</v>
      </c>
      <c r="F485" s="5">
        <v>4</v>
      </c>
      <c r="G485" s="5" t="b">
        <v>0</v>
      </c>
      <c r="H485" s="5">
        <v>6</v>
      </c>
      <c r="I485" s="5">
        <v>2</v>
      </c>
      <c r="J485" s="5">
        <v>0.02</v>
      </c>
    </row>
    <row r="486" spans="1:10">
      <c r="A486" s="5">
        <v>485</v>
      </c>
      <c r="B486" s="11">
        <v>40565</v>
      </c>
      <c r="C486" s="5">
        <v>1</v>
      </c>
      <c r="D486" s="5">
        <v>0</v>
      </c>
      <c r="E486" s="5">
        <v>1</v>
      </c>
      <c r="F486" s="5">
        <v>6</v>
      </c>
      <c r="G486" s="5" t="b">
        <v>0</v>
      </c>
      <c r="H486" s="5">
        <v>6</v>
      </c>
      <c r="I486" s="5">
        <v>2</v>
      </c>
      <c r="J486" s="5">
        <v>0.02</v>
      </c>
    </row>
    <row r="487" spans="1:10">
      <c r="A487" s="5">
        <v>486</v>
      </c>
      <c r="B487" s="11">
        <v>40565</v>
      </c>
      <c r="C487" s="5">
        <v>1</v>
      </c>
      <c r="D487" s="5">
        <v>0</v>
      </c>
      <c r="E487" s="5">
        <v>1</v>
      </c>
      <c r="F487" s="5">
        <v>7</v>
      </c>
      <c r="G487" s="5" t="b">
        <v>0</v>
      </c>
      <c r="H487" s="5">
        <v>6</v>
      </c>
      <c r="I487" s="5">
        <v>1</v>
      </c>
      <c r="J487" s="5">
        <v>0.02</v>
      </c>
    </row>
    <row r="488" spans="1:10">
      <c r="A488" s="5">
        <v>487</v>
      </c>
      <c r="B488" s="11">
        <v>40565</v>
      </c>
      <c r="C488" s="5">
        <v>1</v>
      </c>
      <c r="D488" s="5">
        <v>0</v>
      </c>
      <c r="E488" s="5">
        <v>1</v>
      </c>
      <c r="F488" s="5">
        <v>8</v>
      </c>
      <c r="G488" s="5" t="b">
        <v>0</v>
      </c>
      <c r="H488" s="5">
        <v>6</v>
      </c>
      <c r="I488" s="5">
        <v>1</v>
      </c>
      <c r="J488" s="5">
        <v>0.02</v>
      </c>
    </row>
    <row r="489" spans="1:10">
      <c r="A489" s="5">
        <v>488</v>
      </c>
      <c r="B489" s="11">
        <v>40565</v>
      </c>
      <c r="C489" s="5">
        <v>1</v>
      </c>
      <c r="D489" s="5">
        <v>0</v>
      </c>
      <c r="E489" s="5">
        <v>1</v>
      </c>
      <c r="F489" s="5">
        <v>9</v>
      </c>
      <c r="G489" s="5" t="b">
        <v>0</v>
      </c>
      <c r="H489" s="5">
        <v>6</v>
      </c>
      <c r="I489" s="5">
        <v>1</v>
      </c>
      <c r="J489" s="5">
        <v>0.04</v>
      </c>
    </row>
    <row r="490" spans="1:10">
      <c r="A490" s="5">
        <v>489</v>
      </c>
      <c r="B490" s="11">
        <v>40565</v>
      </c>
      <c r="C490" s="5">
        <v>1</v>
      </c>
      <c r="D490" s="5">
        <v>0</v>
      </c>
      <c r="E490" s="5">
        <v>1</v>
      </c>
      <c r="F490" s="5">
        <v>10</v>
      </c>
      <c r="G490" s="5" t="b">
        <v>0</v>
      </c>
      <c r="H490" s="5">
        <v>6</v>
      </c>
      <c r="I490" s="5">
        <v>2</v>
      </c>
      <c r="J490" s="5">
        <v>0.04</v>
      </c>
    </row>
    <row r="491" spans="1:10">
      <c r="A491" s="5">
        <v>490</v>
      </c>
      <c r="B491" s="11">
        <v>40565</v>
      </c>
      <c r="C491" s="5">
        <v>1</v>
      </c>
      <c r="D491" s="5">
        <v>0</v>
      </c>
      <c r="E491" s="5">
        <v>1</v>
      </c>
      <c r="F491" s="5">
        <v>11</v>
      </c>
      <c r="G491" s="5" t="b">
        <v>0</v>
      </c>
      <c r="H491" s="5">
        <v>6</v>
      </c>
      <c r="I491" s="5">
        <v>2</v>
      </c>
      <c r="J491" s="5">
        <v>0.06</v>
      </c>
    </row>
    <row r="492" spans="1:10">
      <c r="A492" s="5">
        <v>491</v>
      </c>
      <c r="B492" s="11">
        <v>40565</v>
      </c>
      <c r="C492" s="5">
        <v>1</v>
      </c>
      <c r="D492" s="5">
        <v>0</v>
      </c>
      <c r="E492" s="5">
        <v>1</v>
      </c>
      <c r="F492" s="5">
        <v>12</v>
      </c>
      <c r="G492" s="5" t="b">
        <v>0</v>
      </c>
      <c r="H492" s="5">
        <v>6</v>
      </c>
      <c r="I492" s="5">
        <v>2</v>
      </c>
      <c r="J492" s="5">
        <v>0.06</v>
      </c>
    </row>
    <row r="493" spans="1:10">
      <c r="A493" s="5">
        <v>492</v>
      </c>
      <c r="B493" s="11">
        <v>40565</v>
      </c>
      <c r="C493" s="5">
        <v>1</v>
      </c>
      <c r="D493" s="5">
        <v>0</v>
      </c>
      <c r="E493" s="5">
        <v>1</v>
      </c>
      <c r="F493" s="5">
        <v>13</v>
      </c>
      <c r="G493" s="5" t="b">
        <v>0</v>
      </c>
      <c r="H493" s="5">
        <v>6</v>
      </c>
      <c r="I493" s="5">
        <v>1</v>
      </c>
      <c r="J493" s="5">
        <v>0.08</v>
      </c>
    </row>
    <row r="494" spans="1:10">
      <c r="A494" s="5">
        <v>493</v>
      </c>
      <c r="B494" s="11">
        <v>40565</v>
      </c>
      <c r="C494" s="5">
        <v>1</v>
      </c>
      <c r="D494" s="5">
        <v>0</v>
      </c>
      <c r="E494" s="5">
        <v>1</v>
      </c>
      <c r="F494" s="5">
        <v>14</v>
      </c>
      <c r="G494" s="5" t="b">
        <v>0</v>
      </c>
      <c r="H494" s="5">
        <v>6</v>
      </c>
      <c r="I494" s="5">
        <v>1</v>
      </c>
      <c r="J494" s="5">
        <v>0.1</v>
      </c>
    </row>
    <row r="495" spans="1:10">
      <c r="A495" s="5">
        <v>494</v>
      </c>
      <c r="B495" s="11">
        <v>40565</v>
      </c>
      <c r="C495" s="5">
        <v>1</v>
      </c>
      <c r="D495" s="5">
        <v>0</v>
      </c>
      <c r="E495" s="5">
        <v>1</v>
      </c>
      <c r="F495" s="5">
        <v>15</v>
      </c>
      <c r="G495" s="5" t="b">
        <v>0</v>
      </c>
      <c r="H495" s="5">
        <v>6</v>
      </c>
      <c r="I495" s="5">
        <v>1</v>
      </c>
      <c r="J495" s="5">
        <v>0.12</v>
      </c>
    </row>
    <row r="496" spans="1:10">
      <c r="A496" s="5">
        <v>495</v>
      </c>
      <c r="B496" s="11">
        <v>40565</v>
      </c>
      <c r="C496" s="5">
        <v>1</v>
      </c>
      <c r="D496" s="5">
        <v>0</v>
      </c>
      <c r="E496" s="5">
        <v>1</v>
      </c>
      <c r="F496" s="5">
        <v>16</v>
      </c>
      <c r="G496" s="5" t="b">
        <v>0</v>
      </c>
      <c r="H496" s="5">
        <v>6</v>
      </c>
      <c r="I496" s="5">
        <v>1</v>
      </c>
      <c r="J496" s="5">
        <v>0.12</v>
      </c>
    </row>
    <row r="497" spans="1:10">
      <c r="A497" s="5">
        <v>496</v>
      </c>
      <c r="B497" s="11">
        <v>40565</v>
      </c>
      <c r="C497" s="5">
        <v>1</v>
      </c>
      <c r="D497" s="5">
        <v>0</v>
      </c>
      <c r="E497" s="5">
        <v>1</v>
      </c>
      <c r="F497" s="5">
        <v>17</v>
      </c>
      <c r="G497" s="5" t="b">
        <v>0</v>
      </c>
      <c r="H497" s="5">
        <v>6</v>
      </c>
      <c r="I497" s="5">
        <v>1</v>
      </c>
      <c r="J497" s="5">
        <v>0.12</v>
      </c>
    </row>
    <row r="498" spans="1:10">
      <c r="A498" s="5">
        <v>497</v>
      </c>
      <c r="B498" s="11">
        <v>40565</v>
      </c>
      <c r="C498" s="5">
        <v>1</v>
      </c>
      <c r="D498" s="5">
        <v>0</v>
      </c>
      <c r="E498" s="5">
        <v>1</v>
      </c>
      <c r="F498" s="5">
        <v>18</v>
      </c>
      <c r="G498" s="5" t="b">
        <v>0</v>
      </c>
      <c r="H498" s="5">
        <v>6</v>
      </c>
      <c r="I498" s="5">
        <v>1</v>
      </c>
      <c r="J498" s="5">
        <v>0.08</v>
      </c>
    </row>
    <row r="499" spans="1:10">
      <c r="A499" s="5">
        <v>498</v>
      </c>
      <c r="B499" s="11">
        <v>40565</v>
      </c>
      <c r="C499" s="5">
        <v>1</v>
      </c>
      <c r="D499" s="5">
        <v>0</v>
      </c>
      <c r="E499" s="5">
        <v>1</v>
      </c>
      <c r="F499" s="5">
        <v>19</v>
      </c>
      <c r="G499" s="5" t="b">
        <v>0</v>
      </c>
      <c r="H499" s="5">
        <v>6</v>
      </c>
      <c r="I499" s="5">
        <v>1</v>
      </c>
      <c r="J499" s="5">
        <v>0.08</v>
      </c>
    </row>
    <row r="500" spans="1:10">
      <c r="A500" s="5">
        <v>499</v>
      </c>
      <c r="B500" s="11">
        <v>40565</v>
      </c>
      <c r="C500" s="5">
        <v>1</v>
      </c>
      <c r="D500" s="5">
        <v>0</v>
      </c>
      <c r="E500" s="5">
        <v>1</v>
      </c>
      <c r="F500" s="5">
        <v>20</v>
      </c>
      <c r="G500" s="5" t="b">
        <v>0</v>
      </c>
      <c r="H500" s="5">
        <v>6</v>
      </c>
      <c r="I500" s="5">
        <v>1</v>
      </c>
      <c r="J500" s="5">
        <v>0.06</v>
      </c>
    </row>
    <row r="501" spans="1:10">
      <c r="A501" s="5">
        <v>500</v>
      </c>
      <c r="B501" s="11">
        <v>40565</v>
      </c>
      <c r="C501" s="5">
        <v>1</v>
      </c>
      <c r="D501" s="5">
        <v>0</v>
      </c>
      <c r="E501" s="5">
        <v>1</v>
      </c>
      <c r="F501" s="5">
        <v>21</v>
      </c>
      <c r="G501" s="5" t="b">
        <v>0</v>
      </c>
      <c r="H501" s="5">
        <v>6</v>
      </c>
      <c r="I501" s="5">
        <v>1</v>
      </c>
      <c r="J501" s="5">
        <v>0.06</v>
      </c>
    </row>
    <row r="502" spans="1:10">
      <c r="A502" s="5">
        <v>501</v>
      </c>
      <c r="B502" s="11">
        <v>40565</v>
      </c>
      <c r="C502" s="5">
        <v>1</v>
      </c>
      <c r="D502" s="5">
        <v>0</v>
      </c>
      <c r="E502" s="5">
        <v>1</v>
      </c>
      <c r="F502" s="5">
        <v>22</v>
      </c>
      <c r="G502" s="5" t="b">
        <v>0</v>
      </c>
      <c r="H502" s="5">
        <v>6</v>
      </c>
      <c r="I502" s="5">
        <v>1</v>
      </c>
      <c r="J502" s="5">
        <v>0.06</v>
      </c>
    </row>
    <row r="503" spans="1:10">
      <c r="A503" s="5">
        <v>502</v>
      </c>
      <c r="B503" s="11">
        <v>40565</v>
      </c>
      <c r="C503" s="5">
        <v>1</v>
      </c>
      <c r="D503" s="5">
        <v>0</v>
      </c>
      <c r="E503" s="5">
        <v>1</v>
      </c>
      <c r="F503" s="5">
        <v>23</v>
      </c>
      <c r="G503" s="5" t="b">
        <v>0</v>
      </c>
      <c r="H503" s="5">
        <v>6</v>
      </c>
      <c r="I503" s="5">
        <v>1</v>
      </c>
      <c r="J503" s="5">
        <v>0.04</v>
      </c>
    </row>
    <row r="504" spans="1:10">
      <c r="A504" s="5">
        <v>503</v>
      </c>
      <c r="B504" s="11">
        <v>40566</v>
      </c>
      <c r="C504" s="5">
        <v>1</v>
      </c>
      <c r="D504" s="5">
        <v>0</v>
      </c>
      <c r="E504" s="5">
        <v>1</v>
      </c>
      <c r="F504" s="5">
        <v>0</v>
      </c>
      <c r="G504" s="5" t="b">
        <v>0</v>
      </c>
      <c r="H504" s="5">
        <v>0</v>
      </c>
      <c r="I504" s="5">
        <v>1</v>
      </c>
      <c r="J504" s="5">
        <v>0.04</v>
      </c>
    </row>
    <row r="505" spans="1:10">
      <c r="A505" s="5">
        <v>504</v>
      </c>
      <c r="B505" s="11">
        <v>40566</v>
      </c>
      <c r="C505" s="5">
        <v>1</v>
      </c>
      <c r="D505" s="5">
        <v>0</v>
      </c>
      <c r="E505" s="5">
        <v>1</v>
      </c>
      <c r="F505" s="5">
        <v>1</v>
      </c>
      <c r="G505" s="5" t="b">
        <v>0</v>
      </c>
      <c r="H505" s="5">
        <v>0</v>
      </c>
      <c r="I505" s="5">
        <v>1</v>
      </c>
      <c r="J505" s="5">
        <v>0.04</v>
      </c>
    </row>
    <row r="506" spans="1:10">
      <c r="A506" s="5">
        <v>505</v>
      </c>
      <c r="B506" s="11">
        <v>40566</v>
      </c>
      <c r="C506" s="5">
        <v>1</v>
      </c>
      <c r="D506" s="5">
        <v>0</v>
      </c>
      <c r="E506" s="5">
        <v>1</v>
      </c>
      <c r="F506" s="5">
        <v>2</v>
      </c>
      <c r="G506" s="5" t="b">
        <v>0</v>
      </c>
      <c r="H506" s="5">
        <v>0</v>
      </c>
      <c r="I506" s="5">
        <v>1</v>
      </c>
      <c r="J506" s="5">
        <v>0.02</v>
      </c>
    </row>
    <row r="507" spans="1:10">
      <c r="A507" s="5">
        <v>506</v>
      </c>
      <c r="B507" s="11">
        <v>40566</v>
      </c>
      <c r="C507" s="5">
        <v>1</v>
      </c>
      <c r="D507" s="5">
        <v>0</v>
      </c>
      <c r="E507" s="5">
        <v>1</v>
      </c>
      <c r="F507" s="5">
        <v>3</v>
      </c>
      <c r="G507" s="5" t="b">
        <v>0</v>
      </c>
      <c r="H507" s="5">
        <v>0</v>
      </c>
      <c r="I507" s="5">
        <v>1</v>
      </c>
      <c r="J507" s="5">
        <v>0.02</v>
      </c>
    </row>
    <row r="508" spans="1:10">
      <c r="A508" s="5">
        <v>507</v>
      </c>
      <c r="B508" s="11">
        <v>40566</v>
      </c>
      <c r="C508" s="5">
        <v>1</v>
      </c>
      <c r="D508" s="5">
        <v>0</v>
      </c>
      <c r="E508" s="5">
        <v>1</v>
      </c>
      <c r="F508" s="5">
        <v>5</v>
      </c>
      <c r="G508" s="5" t="b">
        <v>0</v>
      </c>
      <c r="H508" s="5">
        <v>0</v>
      </c>
      <c r="I508" s="5">
        <v>2</v>
      </c>
      <c r="J508" s="5">
        <v>0.04</v>
      </c>
    </row>
    <row r="509" spans="1:10">
      <c r="A509" s="5">
        <v>508</v>
      </c>
      <c r="B509" s="11">
        <v>40566</v>
      </c>
      <c r="C509" s="5">
        <v>1</v>
      </c>
      <c r="D509" s="5">
        <v>0</v>
      </c>
      <c r="E509" s="5">
        <v>1</v>
      </c>
      <c r="F509" s="5">
        <v>6</v>
      </c>
      <c r="G509" s="5" t="b">
        <v>0</v>
      </c>
      <c r="H509" s="5">
        <v>0</v>
      </c>
      <c r="I509" s="5">
        <v>2</v>
      </c>
      <c r="J509" s="5">
        <v>0.04</v>
      </c>
    </row>
    <row r="510" spans="1:10">
      <c r="A510" s="5">
        <v>509</v>
      </c>
      <c r="B510" s="11">
        <v>40566</v>
      </c>
      <c r="C510" s="5">
        <v>1</v>
      </c>
      <c r="D510" s="5">
        <v>0</v>
      </c>
      <c r="E510" s="5">
        <v>1</v>
      </c>
      <c r="F510" s="5">
        <v>7</v>
      </c>
      <c r="G510" s="5" t="b">
        <v>0</v>
      </c>
      <c r="H510" s="5">
        <v>0</v>
      </c>
      <c r="I510" s="5">
        <v>1</v>
      </c>
      <c r="J510" s="5">
        <v>0.08</v>
      </c>
    </row>
    <row r="511" spans="1:10">
      <c r="A511" s="5">
        <v>510</v>
      </c>
      <c r="B511" s="11">
        <v>40566</v>
      </c>
      <c r="C511" s="5">
        <v>1</v>
      </c>
      <c r="D511" s="5">
        <v>0</v>
      </c>
      <c r="E511" s="5">
        <v>1</v>
      </c>
      <c r="F511" s="5">
        <v>8</v>
      </c>
      <c r="G511" s="5" t="b">
        <v>0</v>
      </c>
      <c r="H511" s="5">
        <v>0</v>
      </c>
      <c r="I511" s="5">
        <v>1</v>
      </c>
      <c r="J511" s="5">
        <v>0.06</v>
      </c>
    </row>
    <row r="512" spans="1:10">
      <c r="A512" s="5">
        <v>511</v>
      </c>
      <c r="B512" s="11">
        <v>40566</v>
      </c>
      <c r="C512" s="5">
        <v>1</v>
      </c>
      <c r="D512" s="5">
        <v>0</v>
      </c>
      <c r="E512" s="5">
        <v>1</v>
      </c>
      <c r="F512" s="5">
        <v>9</v>
      </c>
      <c r="G512" s="5" t="b">
        <v>0</v>
      </c>
      <c r="H512" s="5">
        <v>0</v>
      </c>
      <c r="I512" s="5">
        <v>1</v>
      </c>
      <c r="J512" s="5">
        <v>0.1</v>
      </c>
    </row>
    <row r="513" spans="1:10">
      <c r="A513" s="5">
        <v>512</v>
      </c>
      <c r="B513" s="11">
        <v>40566</v>
      </c>
      <c r="C513" s="5">
        <v>1</v>
      </c>
      <c r="D513" s="5">
        <v>0</v>
      </c>
      <c r="E513" s="5">
        <v>1</v>
      </c>
      <c r="F513" s="5">
        <v>10</v>
      </c>
      <c r="G513" s="5" t="b">
        <v>0</v>
      </c>
      <c r="H513" s="5">
        <v>0</v>
      </c>
      <c r="I513" s="5">
        <v>1</v>
      </c>
      <c r="J513" s="5">
        <v>0.14</v>
      </c>
    </row>
    <row r="514" spans="1:10">
      <c r="A514" s="5">
        <v>513</v>
      </c>
      <c r="B514" s="11">
        <v>40566</v>
      </c>
      <c r="C514" s="5">
        <v>1</v>
      </c>
      <c r="D514" s="5">
        <v>0</v>
      </c>
      <c r="E514" s="5">
        <v>1</v>
      </c>
      <c r="F514" s="5">
        <v>11</v>
      </c>
      <c r="G514" s="5" t="b">
        <v>0</v>
      </c>
      <c r="H514" s="5">
        <v>0</v>
      </c>
      <c r="I514" s="5">
        <v>1</v>
      </c>
      <c r="J514" s="5">
        <v>0.14</v>
      </c>
    </row>
    <row r="515" spans="1:10">
      <c r="A515" s="5">
        <v>514</v>
      </c>
      <c r="B515" s="11">
        <v>40566</v>
      </c>
      <c r="C515" s="5">
        <v>1</v>
      </c>
      <c r="D515" s="5">
        <v>0</v>
      </c>
      <c r="E515" s="5">
        <v>1</v>
      </c>
      <c r="F515" s="5">
        <v>12</v>
      </c>
      <c r="G515" s="5" t="b">
        <v>0</v>
      </c>
      <c r="H515" s="5">
        <v>0</v>
      </c>
      <c r="I515" s="5">
        <v>1</v>
      </c>
      <c r="J515" s="5">
        <v>0.16</v>
      </c>
    </row>
    <row r="516" spans="1:10">
      <c r="A516" s="5">
        <v>515</v>
      </c>
      <c r="B516" s="11">
        <v>40566</v>
      </c>
      <c r="C516" s="5">
        <v>1</v>
      </c>
      <c r="D516" s="5">
        <v>0</v>
      </c>
      <c r="E516" s="5">
        <v>1</v>
      </c>
      <c r="F516" s="5">
        <v>13</v>
      </c>
      <c r="G516" s="5" t="b">
        <v>0</v>
      </c>
      <c r="H516" s="5">
        <v>0</v>
      </c>
      <c r="I516" s="5">
        <v>1</v>
      </c>
      <c r="J516" s="5">
        <v>0.14</v>
      </c>
    </row>
    <row r="517" spans="1:10">
      <c r="A517" s="5">
        <v>516</v>
      </c>
      <c r="B517" s="11">
        <v>40566</v>
      </c>
      <c r="C517" s="5">
        <v>1</v>
      </c>
      <c r="D517" s="5">
        <v>0</v>
      </c>
      <c r="E517" s="5">
        <v>1</v>
      </c>
      <c r="F517" s="5">
        <v>14</v>
      </c>
      <c r="G517" s="5" t="b">
        <v>0</v>
      </c>
      <c r="H517" s="5">
        <v>0</v>
      </c>
      <c r="I517" s="5">
        <v>1</v>
      </c>
      <c r="J517" s="5">
        <v>0.16</v>
      </c>
    </row>
    <row r="518" spans="1:10">
      <c r="A518" s="5">
        <v>517</v>
      </c>
      <c r="B518" s="11">
        <v>40566</v>
      </c>
      <c r="C518" s="5">
        <v>1</v>
      </c>
      <c r="D518" s="5">
        <v>0</v>
      </c>
      <c r="E518" s="5">
        <v>1</v>
      </c>
      <c r="F518" s="5">
        <v>15</v>
      </c>
      <c r="G518" s="5" t="b">
        <v>0</v>
      </c>
      <c r="H518" s="5">
        <v>0</v>
      </c>
      <c r="I518" s="5">
        <v>1</v>
      </c>
      <c r="J518" s="5">
        <v>0.16</v>
      </c>
    </row>
    <row r="519" spans="1:10">
      <c r="A519" s="5">
        <v>518</v>
      </c>
      <c r="B519" s="11">
        <v>40566</v>
      </c>
      <c r="C519" s="5">
        <v>1</v>
      </c>
      <c r="D519" s="5">
        <v>0</v>
      </c>
      <c r="E519" s="5">
        <v>1</v>
      </c>
      <c r="F519" s="5">
        <v>16</v>
      </c>
      <c r="G519" s="5" t="b">
        <v>0</v>
      </c>
      <c r="H519" s="5">
        <v>0</v>
      </c>
      <c r="I519" s="5">
        <v>1</v>
      </c>
      <c r="J519" s="5">
        <v>0.16</v>
      </c>
    </row>
    <row r="520" spans="1:10">
      <c r="A520" s="5">
        <v>519</v>
      </c>
      <c r="B520" s="11">
        <v>40566</v>
      </c>
      <c r="C520" s="5">
        <v>1</v>
      </c>
      <c r="D520" s="5">
        <v>0</v>
      </c>
      <c r="E520" s="5">
        <v>1</v>
      </c>
      <c r="F520" s="5">
        <v>17</v>
      </c>
      <c r="G520" s="5" t="b">
        <v>0</v>
      </c>
      <c r="H520" s="5">
        <v>0</v>
      </c>
      <c r="I520" s="5">
        <v>1</v>
      </c>
      <c r="J520" s="5">
        <v>0.14</v>
      </c>
    </row>
    <row r="521" spans="1:10">
      <c r="A521" s="5">
        <v>520</v>
      </c>
      <c r="B521" s="11">
        <v>40566</v>
      </c>
      <c r="C521" s="5">
        <v>1</v>
      </c>
      <c r="D521" s="5">
        <v>0</v>
      </c>
      <c r="E521" s="5">
        <v>1</v>
      </c>
      <c r="F521" s="5">
        <v>18</v>
      </c>
      <c r="G521" s="5" t="b">
        <v>0</v>
      </c>
      <c r="H521" s="5">
        <v>0</v>
      </c>
      <c r="I521" s="5">
        <v>1</v>
      </c>
      <c r="J521" s="5">
        <v>0.12</v>
      </c>
    </row>
    <row r="522" spans="1:10">
      <c r="A522" s="5">
        <v>521</v>
      </c>
      <c r="B522" s="11">
        <v>40566</v>
      </c>
      <c r="C522" s="5">
        <v>1</v>
      </c>
      <c r="D522" s="5">
        <v>0</v>
      </c>
      <c r="E522" s="5">
        <v>1</v>
      </c>
      <c r="F522" s="5">
        <v>19</v>
      </c>
      <c r="G522" s="5" t="b">
        <v>0</v>
      </c>
      <c r="H522" s="5">
        <v>0</v>
      </c>
      <c r="I522" s="5">
        <v>1</v>
      </c>
      <c r="J522" s="5">
        <v>0.12</v>
      </c>
    </row>
    <row r="523" spans="1:10">
      <c r="A523" s="5">
        <v>522</v>
      </c>
      <c r="B523" s="11">
        <v>40566</v>
      </c>
      <c r="C523" s="5">
        <v>1</v>
      </c>
      <c r="D523" s="5">
        <v>0</v>
      </c>
      <c r="E523" s="5">
        <v>1</v>
      </c>
      <c r="F523" s="5">
        <v>20</v>
      </c>
      <c r="G523" s="5" t="b">
        <v>0</v>
      </c>
      <c r="H523" s="5">
        <v>0</v>
      </c>
      <c r="I523" s="5">
        <v>1</v>
      </c>
      <c r="J523" s="5">
        <v>0.1</v>
      </c>
    </row>
    <row r="524" spans="1:10">
      <c r="A524" s="5">
        <v>523</v>
      </c>
      <c r="B524" s="11">
        <v>40566</v>
      </c>
      <c r="C524" s="5">
        <v>1</v>
      </c>
      <c r="D524" s="5">
        <v>0</v>
      </c>
      <c r="E524" s="5">
        <v>1</v>
      </c>
      <c r="F524" s="5">
        <v>21</v>
      </c>
      <c r="G524" s="5" t="b">
        <v>0</v>
      </c>
      <c r="H524" s="5">
        <v>0</v>
      </c>
      <c r="I524" s="5">
        <v>1</v>
      </c>
      <c r="J524" s="5">
        <v>0.1</v>
      </c>
    </row>
    <row r="525" spans="1:10">
      <c r="A525" s="5">
        <v>524</v>
      </c>
      <c r="B525" s="11">
        <v>40566</v>
      </c>
      <c r="C525" s="5">
        <v>1</v>
      </c>
      <c r="D525" s="5">
        <v>0</v>
      </c>
      <c r="E525" s="5">
        <v>1</v>
      </c>
      <c r="F525" s="5">
        <v>22</v>
      </c>
      <c r="G525" s="5" t="b">
        <v>0</v>
      </c>
      <c r="H525" s="5">
        <v>0</v>
      </c>
      <c r="I525" s="5">
        <v>1</v>
      </c>
      <c r="J525" s="5">
        <v>0.08</v>
      </c>
    </row>
    <row r="526" spans="1:10">
      <c r="A526" s="5">
        <v>525</v>
      </c>
      <c r="B526" s="11">
        <v>40566</v>
      </c>
      <c r="C526" s="5">
        <v>1</v>
      </c>
      <c r="D526" s="5">
        <v>0</v>
      </c>
      <c r="E526" s="5">
        <v>1</v>
      </c>
      <c r="F526" s="5">
        <v>23</v>
      </c>
      <c r="G526" s="5" t="b">
        <v>0</v>
      </c>
      <c r="H526" s="5">
        <v>0</v>
      </c>
      <c r="I526" s="5">
        <v>1</v>
      </c>
      <c r="J526" s="5">
        <v>0.06</v>
      </c>
    </row>
    <row r="527" spans="1:10">
      <c r="A527" s="5">
        <v>526</v>
      </c>
      <c r="B527" s="11">
        <v>40567</v>
      </c>
      <c r="C527" s="5">
        <v>1</v>
      </c>
      <c r="D527" s="5">
        <v>0</v>
      </c>
      <c r="E527" s="5">
        <v>1</v>
      </c>
      <c r="F527" s="5">
        <v>0</v>
      </c>
      <c r="G527" s="5" t="b">
        <v>0</v>
      </c>
      <c r="H527" s="5">
        <v>1</v>
      </c>
      <c r="I527" s="5">
        <v>1</v>
      </c>
      <c r="J527" s="5">
        <v>0.06</v>
      </c>
    </row>
    <row r="528" spans="1:10">
      <c r="A528" s="5">
        <v>527</v>
      </c>
      <c r="B528" s="11">
        <v>40567</v>
      </c>
      <c r="C528" s="5">
        <v>1</v>
      </c>
      <c r="D528" s="5">
        <v>0</v>
      </c>
      <c r="E528" s="5">
        <v>1</v>
      </c>
      <c r="F528" s="5">
        <v>1</v>
      </c>
      <c r="G528" s="5" t="b">
        <v>0</v>
      </c>
      <c r="H528" s="5">
        <v>1</v>
      </c>
      <c r="I528" s="5">
        <v>1</v>
      </c>
      <c r="J528" s="5">
        <v>0.04</v>
      </c>
    </row>
    <row r="529" spans="1:10">
      <c r="A529" s="5">
        <v>528</v>
      </c>
      <c r="B529" s="11">
        <v>40567</v>
      </c>
      <c r="C529" s="5">
        <v>1</v>
      </c>
      <c r="D529" s="5">
        <v>0</v>
      </c>
      <c r="E529" s="5">
        <v>1</v>
      </c>
      <c r="F529" s="5">
        <v>3</v>
      </c>
      <c r="G529" s="5" t="b">
        <v>0</v>
      </c>
      <c r="H529" s="5">
        <v>1</v>
      </c>
      <c r="I529" s="5">
        <v>1</v>
      </c>
      <c r="J529" s="5">
        <v>0.04</v>
      </c>
    </row>
    <row r="530" spans="1:10">
      <c r="A530" s="5">
        <v>529</v>
      </c>
      <c r="B530" s="11">
        <v>40567</v>
      </c>
      <c r="C530" s="5">
        <v>1</v>
      </c>
      <c r="D530" s="5">
        <v>0</v>
      </c>
      <c r="E530" s="5">
        <v>1</v>
      </c>
      <c r="F530" s="5">
        <v>4</v>
      </c>
      <c r="G530" s="5" t="b">
        <v>0</v>
      </c>
      <c r="H530" s="5">
        <v>1</v>
      </c>
      <c r="I530" s="5">
        <v>1</v>
      </c>
      <c r="J530" s="5">
        <v>0.02</v>
      </c>
    </row>
    <row r="531" spans="1:10">
      <c r="A531" s="5">
        <v>530</v>
      </c>
      <c r="B531" s="11">
        <v>40567</v>
      </c>
      <c r="C531" s="5">
        <v>1</v>
      </c>
      <c r="D531" s="5">
        <v>0</v>
      </c>
      <c r="E531" s="5">
        <v>1</v>
      </c>
      <c r="F531" s="5">
        <v>5</v>
      </c>
      <c r="G531" s="5" t="b">
        <v>0</v>
      </c>
      <c r="H531" s="5">
        <v>1</v>
      </c>
      <c r="I531" s="5">
        <v>1</v>
      </c>
      <c r="J531" s="5">
        <v>0.02</v>
      </c>
    </row>
    <row r="532" spans="1:10">
      <c r="A532" s="5">
        <v>531</v>
      </c>
      <c r="B532" s="11">
        <v>40567</v>
      </c>
      <c r="C532" s="5">
        <v>1</v>
      </c>
      <c r="D532" s="5">
        <v>0</v>
      </c>
      <c r="E532" s="5">
        <v>1</v>
      </c>
      <c r="F532" s="5">
        <v>6</v>
      </c>
      <c r="G532" s="5" t="b">
        <v>0</v>
      </c>
      <c r="H532" s="5">
        <v>1</v>
      </c>
      <c r="I532" s="5">
        <v>1</v>
      </c>
      <c r="J532" s="5">
        <v>0.02</v>
      </c>
    </row>
    <row r="533" spans="1:10">
      <c r="A533" s="5">
        <v>532</v>
      </c>
      <c r="B533" s="11">
        <v>40567</v>
      </c>
      <c r="C533" s="5">
        <v>1</v>
      </c>
      <c r="D533" s="5">
        <v>0</v>
      </c>
      <c r="E533" s="5">
        <v>1</v>
      </c>
      <c r="F533" s="5">
        <v>7</v>
      </c>
      <c r="G533" s="5" t="b">
        <v>0</v>
      </c>
      <c r="H533" s="5">
        <v>1</v>
      </c>
      <c r="I533" s="5">
        <v>1</v>
      </c>
      <c r="J533" s="5">
        <v>0.02</v>
      </c>
    </row>
    <row r="534" spans="1:10">
      <c r="A534" s="5">
        <v>533</v>
      </c>
      <c r="B534" s="11">
        <v>40567</v>
      </c>
      <c r="C534" s="5">
        <v>1</v>
      </c>
      <c r="D534" s="5">
        <v>0</v>
      </c>
      <c r="E534" s="5">
        <v>1</v>
      </c>
      <c r="F534" s="5">
        <v>8</v>
      </c>
      <c r="G534" s="5" t="b">
        <v>0</v>
      </c>
      <c r="H534" s="5">
        <v>1</v>
      </c>
      <c r="I534" s="5">
        <v>1</v>
      </c>
      <c r="J534" s="5">
        <v>0.04</v>
      </c>
    </row>
    <row r="535" spans="1:10">
      <c r="A535" s="5">
        <v>534</v>
      </c>
      <c r="B535" s="11">
        <v>40567</v>
      </c>
      <c r="C535" s="5">
        <v>1</v>
      </c>
      <c r="D535" s="5">
        <v>0</v>
      </c>
      <c r="E535" s="5">
        <v>1</v>
      </c>
      <c r="F535" s="5">
        <v>9</v>
      </c>
      <c r="G535" s="5" t="b">
        <v>0</v>
      </c>
      <c r="H535" s="5">
        <v>1</v>
      </c>
      <c r="I535" s="5">
        <v>1</v>
      </c>
      <c r="J535" s="5">
        <v>0.06</v>
      </c>
    </row>
    <row r="536" spans="1:10">
      <c r="A536" s="5">
        <v>535</v>
      </c>
      <c r="B536" s="11">
        <v>40567</v>
      </c>
      <c r="C536" s="5">
        <v>1</v>
      </c>
      <c r="D536" s="5">
        <v>0</v>
      </c>
      <c r="E536" s="5">
        <v>1</v>
      </c>
      <c r="F536" s="5">
        <v>10</v>
      </c>
      <c r="G536" s="5" t="b">
        <v>0</v>
      </c>
      <c r="H536" s="5">
        <v>1</v>
      </c>
      <c r="I536" s="5">
        <v>1</v>
      </c>
      <c r="J536" s="5">
        <v>0.1</v>
      </c>
    </row>
    <row r="537" spans="1:10">
      <c r="A537" s="5">
        <v>536</v>
      </c>
      <c r="B537" s="11">
        <v>40567</v>
      </c>
      <c r="C537" s="5">
        <v>1</v>
      </c>
      <c r="D537" s="5">
        <v>0</v>
      </c>
      <c r="E537" s="5">
        <v>1</v>
      </c>
      <c r="F537" s="5">
        <v>11</v>
      </c>
      <c r="G537" s="5" t="b">
        <v>0</v>
      </c>
      <c r="H537" s="5">
        <v>1</v>
      </c>
      <c r="I537" s="5">
        <v>1</v>
      </c>
      <c r="J537" s="5">
        <v>0.1</v>
      </c>
    </row>
    <row r="538" spans="1:10">
      <c r="A538" s="5">
        <v>537</v>
      </c>
      <c r="B538" s="11">
        <v>40567</v>
      </c>
      <c r="C538" s="5">
        <v>1</v>
      </c>
      <c r="D538" s="5">
        <v>0</v>
      </c>
      <c r="E538" s="5">
        <v>1</v>
      </c>
      <c r="F538" s="5">
        <v>12</v>
      </c>
      <c r="G538" s="5" t="b">
        <v>0</v>
      </c>
      <c r="H538" s="5">
        <v>1</v>
      </c>
      <c r="I538" s="5">
        <v>2</v>
      </c>
      <c r="J538" s="5">
        <v>0.12</v>
      </c>
    </row>
    <row r="539" spans="1:10">
      <c r="A539" s="5">
        <v>538</v>
      </c>
      <c r="B539" s="11">
        <v>40567</v>
      </c>
      <c r="C539" s="5">
        <v>1</v>
      </c>
      <c r="D539" s="5">
        <v>0</v>
      </c>
      <c r="E539" s="5">
        <v>1</v>
      </c>
      <c r="F539" s="5">
        <v>13</v>
      </c>
      <c r="G539" s="5" t="b">
        <v>0</v>
      </c>
      <c r="H539" s="5">
        <v>1</v>
      </c>
      <c r="I539" s="5">
        <v>2</v>
      </c>
      <c r="J539" s="5">
        <v>0.14</v>
      </c>
    </row>
    <row r="540" spans="1:10">
      <c r="A540" s="5">
        <v>539</v>
      </c>
      <c r="B540" s="11">
        <v>40567</v>
      </c>
      <c r="C540" s="5">
        <v>1</v>
      </c>
      <c r="D540" s="5">
        <v>0</v>
      </c>
      <c r="E540" s="5">
        <v>1</v>
      </c>
      <c r="F540" s="5">
        <v>14</v>
      </c>
      <c r="G540" s="5" t="b">
        <v>0</v>
      </c>
      <c r="H540" s="5">
        <v>1</v>
      </c>
      <c r="I540" s="5">
        <v>2</v>
      </c>
      <c r="J540" s="5">
        <v>0.14</v>
      </c>
    </row>
    <row r="541" spans="1:10">
      <c r="A541" s="5">
        <v>540</v>
      </c>
      <c r="B541" s="11">
        <v>40567</v>
      </c>
      <c r="C541" s="5">
        <v>1</v>
      </c>
      <c r="D541" s="5">
        <v>0</v>
      </c>
      <c r="E541" s="5">
        <v>1</v>
      </c>
      <c r="F541" s="5">
        <v>15</v>
      </c>
      <c r="G541" s="5" t="b">
        <v>0</v>
      </c>
      <c r="H541" s="5">
        <v>1</v>
      </c>
      <c r="I541" s="5">
        <v>1</v>
      </c>
      <c r="J541" s="5">
        <v>0.16</v>
      </c>
    </row>
    <row r="542" spans="1:10">
      <c r="A542" s="5">
        <v>541</v>
      </c>
      <c r="B542" s="11">
        <v>40567</v>
      </c>
      <c r="C542" s="5">
        <v>1</v>
      </c>
      <c r="D542" s="5">
        <v>0</v>
      </c>
      <c r="E542" s="5">
        <v>1</v>
      </c>
      <c r="F542" s="5">
        <v>16</v>
      </c>
      <c r="G542" s="5" t="b">
        <v>0</v>
      </c>
      <c r="H542" s="5">
        <v>1</v>
      </c>
      <c r="I542" s="5">
        <v>1</v>
      </c>
      <c r="J542" s="5">
        <v>0.16</v>
      </c>
    </row>
    <row r="543" spans="1:10">
      <c r="A543" s="5">
        <v>542</v>
      </c>
      <c r="B543" s="11">
        <v>40567</v>
      </c>
      <c r="C543" s="5">
        <v>1</v>
      </c>
      <c r="D543" s="5">
        <v>0</v>
      </c>
      <c r="E543" s="5">
        <v>1</v>
      </c>
      <c r="F543" s="5">
        <v>17</v>
      </c>
      <c r="G543" s="5" t="b">
        <v>0</v>
      </c>
      <c r="H543" s="5">
        <v>1</v>
      </c>
      <c r="I543" s="5">
        <v>1</v>
      </c>
      <c r="J543" s="5">
        <v>0.14</v>
      </c>
    </row>
    <row r="544" spans="1:10">
      <c r="A544" s="5">
        <v>543</v>
      </c>
      <c r="B544" s="11">
        <v>40567</v>
      </c>
      <c r="C544" s="5">
        <v>1</v>
      </c>
      <c r="D544" s="5">
        <v>0</v>
      </c>
      <c r="E544" s="5">
        <v>1</v>
      </c>
      <c r="F544" s="5">
        <v>18</v>
      </c>
      <c r="G544" s="5" t="b">
        <v>0</v>
      </c>
      <c r="H544" s="5">
        <v>1</v>
      </c>
      <c r="I544" s="5">
        <v>1</v>
      </c>
      <c r="J544" s="5">
        <v>0.14</v>
      </c>
    </row>
    <row r="545" spans="1:10">
      <c r="A545" s="5">
        <v>544</v>
      </c>
      <c r="B545" s="11">
        <v>40567</v>
      </c>
      <c r="C545" s="5">
        <v>1</v>
      </c>
      <c r="D545" s="5">
        <v>0</v>
      </c>
      <c r="E545" s="5">
        <v>1</v>
      </c>
      <c r="F545" s="5">
        <v>19</v>
      </c>
      <c r="G545" s="5" t="b">
        <v>0</v>
      </c>
      <c r="H545" s="5">
        <v>1</v>
      </c>
      <c r="I545" s="5">
        <v>1</v>
      </c>
      <c r="J545" s="5">
        <v>0.14</v>
      </c>
    </row>
    <row r="546" spans="1:10">
      <c r="A546" s="5">
        <v>545</v>
      </c>
      <c r="B546" s="11">
        <v>40567</v>
      </c>
      <c r="C546" s="5">
        <v>1</v>
      </c>
      <c r="D546" s="5">
        <v>0</v>
      </c>
      <c r="E546" s="5">
        <v>1</v>
      </c>
      <c r="F546" s="5">
        <v>20</v>
      </c>
      <c r="G546" s="5" t="b">
        <v>0</v>
      </c>
      <c r="H546" s="5">
        <v>1</v>
      </c>
      <c r="I546" s="5">
        <v>1</v>
      </c>
      <c r="J546" s="5">
        <v>0.14</v>
      </c>
    </row>
    <row r="547" spans="1:10">
      <c r="A547" s="5">
        <v>546</v>
      </c>
      <c r="B547" s="11">
        <v>40567</v>
      </c>
      <c r="C547" s="5">
        <v>1</v>
      </c>
      <c r="D547" s="5">
        <v>0</v>
      </c>
      <c r="E547" s="5">
        <v>1</v>
      </c>
      <c r="F547" s="5">
        <v>21</v>
      </c>
      <c r="G547" s="5" t="b">
        <v>0</v>
      </c>
      <c r="H547" s="5">
        <v>1</v>
      </c>
      <c r="I547" s="5">
        <v>1</v>
      </c>
      <c r="J547" s="5">
        <v>0.14</v>
      </c>
    </row>
    <row r="548" spans="1:10">
      <c r="A548" s="5">
        <v>547</v>
      </c>
      <c r="B548" s="11">
        <v>40567</v>
      </c>
      <c r="C548" s="5">
        <v>1</v>
      </c>
      <c r="D548" s="5">
        <v>0</v>
      </c>
      <c r="E548" s="5">
        <v>1</v>
      </c>
      <c r="F548" s="5">
        <v>22</v>
      </c>
      <c r="G548" s="5" t="b">
        <v>0</v>
      </c>
      <c r="H548" s="5">
        <v>1</v>
      </c>
      <c r="I548" s="5">
        <v>2</v>
      </c>
      <c r="J548" s="5">
        <v>0.14</v>
      </c>
    </row>
    <row r="549" spans="1:10">
      <c r="A549" s="5">
        <v>548</v>
      </c>
      <c r="B549" s="11">
        <v>40567</v>
      </c>
      <c r="C549" s="5">
        <v>1</v>
      </c>
      <c r="D549" s="5">
        <v>0</v>
      </c>
      <c r="E549" s="5">
        <v>1</v>
      </c>
      <c r="F549" s="5">
        <v>23</v>
      </c>
      <c r="G549" s="5" t="b">
        <v>0</v>
      </c>
      <c r="H549" s="5">
        <v>1</v>
      </c>
      <c r="I549" s="5">
        <v>2</v>
      </c>
      <c r="J549" s="5">
        <v>0.16</v>
      </c>
    </row>
    <row r="550" spans="1:10">
      <c r="A550" s="5">
        <v>549</v>
      </c>
      <c r="B550" s="11">
        <v>40568</v>
      </c>
      <c r="C550" s="5">
        <v>1</v>
      </c>
      <c r="D550" s="5">
        <v>0</v>
      </c>
      <c r="E550" s="5">
        <v>1</v>
      </c>
      <c r="F550" s="5">
        <v>0</v>
      </c>
      <c r="G550" s="5" t="b">
        <v>0</v>
      </c>
      <c r="H550" s="5">
        <v>2</v>
      </c>
      <c r="I550" s="5">
        <v>2</v>
      </c>
      <c r="J550" s="5">
        <v>0.16</v>
      </c>
    </row>
    <row r="551" spans="1:10">
      <c r="A551" s="5">
        <v>550</v>
      </c>
      <c r="B551" s="11">
        <v>40568</v>
      </c>
      <c r="C551" s="5">
        <v>1</v>
      </c>
      <c r="D551" s="5">
        <v>0</v>
      </c>
      <c r="E551" s="5">
        <v>1</v>
      </c>
      <c r="F551" s="5">
        <v>1</v>
      </c>
      <c r="G551" s="5" t="b">
        <v>0</v>
      </c>
      <c r="H551" s="5">
        <v>2</v>
      </c>
      <c r="I551" s="5">
        <v>2</v>
      </c>
      <c r="J551" s="5">
        <v>0.16</v>
      </c>
    </row>
    <row r="552" spans="1:10">
      <c r="A552" s="5">
        <v>551</v>
      </c>
      <c r="B552" s="11">
        <v>40568</v>
      </c>
      <c r="C552" s="5">
        <v>1</v>
      </c>
      <c r="D552" s="5">
        <v>0</v>
      </c>
      <c r="E552" s="5">
        <v>1</v>
      </c>
      <c r="F552" s="5">
        <v>2</v>
      </c>
      <c r="G552" s="5" t="b">
        <v>0</v>
      </c>
      <c r="H552" s="5">
        <v>2</v>
      </c>
      <c r="I552" s="5">
        <v>1</v>
      </c>
      <c r="J552" s="5">
        <v>0.16</v>
      </c>
    </row>
    <row r="553" spans="1:10">
      <c r="A553" s="5">
        <v>552</v>
      </c>
      <c r="B553" s="11">
        <v>40568</v>
      </c>
      <c r="C553" s="5">
        <v>1</v>
      </c>
      <c r="D553" s="5">
        <v>0</v>
      </c>
      <c r="E553" s="5">
        <v>1</v>
      </c>
      <c r="F553" s="5">
        <v>4</v>
      </c>
      <c r="G553" s="5" t="b">
        <v>0</v>
      </c>
      <c r="H553" s="5">
        <v>2</v>
      </c>
      <c r="I553" s="5">
        <v>1</v>
      </c>
      <c r="J553" s="5">
        <v>0.14</v>
      </c>
    </row>
    <row r="554" spans="1:10">
      <c r="A554" s="5">
        <v>553</v>
      </c>
      <c r="B554" s="11">
        <v>40568</v>
      </c>
      <c r="C554" s="5">
        <v>1</v>
      </c>
      <c r="D554" s="5">
        <v>0</v>
      </c>
      <c r="E554" s="5">
        <v>1</v>
      </c>
      <c r="F554" s="5">
        <v>5</v>
      </c>
      <c r="G554" s="5" t="b">
        <v>0</v>
      </c>
      <c r="H554" s="5">
        <v>2</v>
      </c>
      <c r="I554" s="5">
        <v>1</v>
      </c>
      <c r="J554" s="5">
        <v>0.14</v>
      </c>
    </row>
    <row r="555" spans="1:10">
      <c r="A555" s="5">
        <v>554</v>
      </c>
      <c r="B555" s="11">
        <v>40568</v>
      </c>
      <c r="C555" s="5">
        <v>1</v>
      </c>
      <c r="D555" s="5">
        <v>0</v>
      </c>
      <c r="E555" s="5">
        <v>1</v>
      </c>
      <c r="F555" s="5">
        <v>6</v>
      </c>
      <c r="G555" s="5" t="b">
        <v>0</v>
      </c>
      <c r="H555" s="5">
        <v>2</v>
      </c>
      <c r="I555" s="5">
        <v>1</v>
      </c>
      <c r="J555" s="5">
        <v>0.16</v>
      </c>
    </row>
    <row r="556" spans="1:10">
      <c r="A556" s="5">
        <v>555</v>
      </c>
      <c r="B556" s="11">
        <v>40568</v>
      </c>
      <c r="C556" s="5">
        <v>1</v>
      </c>
      <c r="D556" s="5">
        <v>0</v>
      </c>
      <c r="E556" s="5">
        <v>1</v>
      </c>
      <c r="F556" s="5">
        <v>7</v>
      </c>
      <c r="G556" s="5" t="b">
        <v>0</v>
      </c>
      <c r="H556" s="5">
        <v>2</v>
      </c>
      <c r="I556" s="5">
        <v>1</v>
      </c>
      <c r="J556" s="5">
        <v>0.16</v>
      </c>
    </row>
    <row r="557" spans="1:10">
      <c r="A557" s="5">
        <v>556</v>
      </c>
      <c r="B557" s="11">
        <v>40568</v>
      </c>
      <c r="C557" s="5">
        <v>1</v>
      </c>
      <c r="D557" s="5">
        <v>0</v>
      </c>
      <c r="E557" s="5">
        <v>1</v>
      </c>
      <c r="F557" s="5">
        <v>8</v>
      </c>
      <c r="G557" s="5" t="b">
        <v>0</v>
      </c>
      <c r="H557" s="5">
        <v>2</v>
      </c>
      <c r="I557" s="5">
        <v>2</v>
      </c>
      <c r="J557" s="5">
        <v>0.16</v>
      </c>
    </row>
    <row r="558" spans="1:10">
      <c r="A558" s="5">
        <v>557</v>
      </c>
      <c r="B558" s="11">
        <v>40568</v>
      </c>
      <c r="C558" s="5">
        <v>1</v>
      </c>
      <c r="D558" s="5">
        <v>0</v>
      </c>
      <c r="E558" s="5">
        <v>1</v>
      </c>
      <c r="F558" s="5">
        <v>9</v>
      </c>
      <c r="G558" s="5" t="b">
        <v>0</v>
      </c>
      <c r="H558" s="5">
        <v>2</v>
      </c>
      <c r="I558" s="5">
        <v>2</v>
      </c>
      <c r="J558" s="5">
        <v>0.2</v>
      </c>
    </row>
    <row r="559" spans="1:10">
      <c r="A559" s="5">
        <v>558</v>
      </c>
      <c r="B559" s="11">
        <v>40568</v>
      </c>
      <c r="C559" s="5">
        <v>1</v>
      </c>
      <c r="D559" s="5">
        <v>0</v>
      </c>
      <c r="E559" s="5">
        <v>1</v>
      </c>
      <c r="F559" s="5">
        <v>10</v>
      </c>
      <c r="G559" s="5" t="b">
        <v>0</v>
      </c>
      <c r="H559" s="5">
        <v>2</v>
      </c>
      <c r="I559" s="5">
        <v>2</v>
      </c>
      <c r="J559" s="5">
        <v>0.22</v>
      </c>
    </row>
    <row r="560" spans="1:10">
      <c r="A560" s="5">
        <v>559</v>
      </c>
      <c r="B560" s="11">
        <v>40568</v>
      </c>
      <c r="C560" s="5">
        <v>1</v>
      </c>
      <c r="D560" s="5">
        <v>0</v>
      </c>
      <c r="E560" s="5">
        <v>1</v>
      </c>
      <c r="F560" s="5">
        <v>11</v>
      </c>
      <c r="G560" s="5" t="b">
        <v>0</v>
      </c>
      <c r="H560" s="5">
        <v>2</v>
      </c>
      <c r="I560" s="5">
        <v>2</v>
      </c>
      <c r="J560" s="5">
        <v>0.24</v>
      </c>
    </row>
    <row r="561" spans="1:10">
      <c r="A561" s="5">
        <v>560</v>
      </c>
      <c r="B561" s="11">
        <v>40568</v>
      </c>
      <c r="C561" s="5">
        <v>1</v>
      </c>
      <c r="D561" s="5">
        <v>0</v>
      </c>
      <c r="E561" s="5">
        <v>1</v>
      </c>
      <c r="F561" s="5">
        <v>12</v>
      </c>
      <c r="G561" s="5" t="b">
        <v>0</v>
      </c>
      <c r="H561" s="5">
        <v>2</v>
      </c>
      <c r="I561" s="5">
        <v>2</v>
      </c>
      <c r="J561" s="5">
        <v>0.26</v>
      </c>
    </row>
    <row r="562" spans="1:10">
      <c r="A562" s="5">
        <v>561</v>
      </c>
      <c r="B562" s="11">
        <v>40568</v>
      </c>
      <c r="C562" s="5">
        <v>1</v>
      </c>
      <c r="D562" s="5">
        <v>0</v>
      </c>
      <c r="E562" s="5">
        <v>1</v>
      </c>
      <c r="F562" s="5">
        <v>13</v>
      </c>
      <c r="G562" s="5" t="b">
        <v>0</v>
      </c>
      <c r="H562" s="5">
        <v>2</v>
      </c>
      <c r="I562" s="5">
        <v>2</v>
      </c>
      <c r="J562" s="5">
        <v>0.26</v>
      </c>
    </row>
    <row r="563" spans="1:10">
      <c r="A563" s="5">
        <v>562</v>
      </c>
      <c r="B563" s="11">
        <v>40568</v>
      </c>
      <c r="C563" s="5">
        <v>1</v>
      </c>
      <c r="D563" s="5">
        <v>0</v>
      </c>
      <c r="E563" s="5">
        <v>1</v>
      </c>
      <c r="F563" s="5">
        <v>14</v>
      </c>
      <c r="G563" s="5" t="b">
        <v>0</v>
      </c>
      <c r="H563" s="5">
        <v>2</v>
      </c>
      <c r="I563" s="5">
        <v>2</v>
      </c>
      <c r="J563" s="5">
        <v>0.3</v>
      </c>
    </row>
    <row r="564" spans="1:10">
      <c r="A564" s="5">
        <v>563</v>
      </c>
      <c r="B564" s="11">
        <v>40568</v>
      </c>
      <c r="C564" s="5">
        <v>1</v>
      </c>
      <c r="D564" s="5">
        <v>0</v>
      </c>
      <c r="E564" s="5">
        <v>1</v>
      </c>
      <c r="F564" s="5">
        <v>15</v>
      </c>
      <c r="G564" s="5" t="b">
        <v>0</v>
      </c>
      <c r="H564" s="5">
        <v>2</v>
      </c>
      <c r="I564" s="5">
        <v>2</v>
      </c>
      <c r="J564" s="5">
        <v>0.32</v>
      </c>
    </row>
    <row r="565" spans="1:10">
      <c r="A565" s="5">
        <v>564</v>
      </c>
      <c r="B565" s="11">
        <v>40568</v>
      </c>
      <c r="C565" s="5">
        <v>1</v>
      </c>
      <c r="D565" s="5">
        <v>0</v>
      </c>
      <c r="E565" s="5">
        <v>1</v>
      </c>
      <c r="F565" s="5">
        <v>16</v>
      </c>
      <c r="G565" s="5" t="b">
        <v>0</v>
      </c>
      <c r="H565" s="5">
        <v>2</v>
      </c>
      <c r="I565" s="5">
        <v>2</v>
      </c>
      <c r="J565" s="5">
        <v>0.32</v>
      </c>
    </row>
    <row r="566" spans="1:10">
      <c r="A566" s="5">
        <v>565</v>
      </c>
      <c r="B566" s="11">
        <v>40568</v>
      </c>
      <c r="C566" s="5">
        <v>1</v>
      </c>
      <c r="D566" s="5">
        <v>0</v>
      </c>
      <c r="E566" s="5">
        <v>1</v>
      </c>
      <c r="F566" s="5">
        <v>17</v>
      </c>
      <c r="G566" s="5" t="b">
        <v>0</v>
      </c>
      <c r="H566" s="5">
        <v>2</v>
      </c>
      <c r="I566" s="5">
        <v>1</v>
      </c>
      <c r="J566" s="5">
        <v>0.3</v>
      </c>
    </row>
    <row r="567" spans="1:10">
      <c r="A567" s="5">
        <v>566</v>
      </c>
      <c r="B567" s="11">
        <v>40568</v>
      </c>
      <c r="C567" s="5">
        <v>1</v>
      </c>
      <c r="D567" s="5">
        <v>0</v>
      </c>
      <c r="E567" s="5">
        <v>1</v>
      </c>
      <c r="F567" s="5">
        <v>18</v>
      </c>
      <c r="G567" s="5" t="b">
        <v>0</v>
      </c>
      <c r="H567" s="5">
        <v>2</v>
      </c>
      <c r="I567" s="5">
        <v>2</v>
      </c>
      <c r="J567" s="5">
        <v>0.3</v>
      </c>
    </row>
    <row r="568" spans="1:10">
      <c r="A568" s="5">
        <v>567</v>
      </c>
      <c r="B568" s="11">
        <v>40568</v>
      </c>
      <c r="C568" s="5">
        <v>1</v>
      </c>
      <c r="D568" s="5">
        <v>0</v>
      </c>
      <c r="E568" s="5">
        <v>1</v>
      </c>
      <c r="F568" s="5">
        <v>19</v>
      </c>
      <c r="G568" s="5" t="b">
        <v>0</v>
      </c>
      <c r="H568" s="5">
        <v>2</v>
      </c>
      <c r="I568" s="5">
        <v>2</v>
      </c>
      <c r="J568" s="5">
        <v>0.26</v>
      </c>
    </row>
    <row r="569" spans="1:10">
      <c r="A569" s="5">
        <v>568</v>
      </c>
      <c r="B569" s="11">
        <v>40568</v>
      </c>
      <c r="C569" s="5">
        <v>1</v>
      </c>
      <c r="D569" s="5">
        <v>0</v>
      </c>
      <c r="E569" s="5">
        <v>1</v>
      </c>
      <c r="F569" s="5">
        <v>20</v>
      </c>
      <c r="G569" s="5" t="b">
        <v>0</v>
      </c>
      <c r="H569" s="5">
        <v>2</v>
      </c>
      <c r="I569" s="5">
        <v>1</v>
      </c>
      <c r="J569" s="5">
        <v>0.24</v>
      </c>
    </row>
    <row r="570" spans="1:10">
      <c r="A570" s="5">
        <v>569</v>
      </c>
      <c r="B570" s="11">
        <v>40568</v>
      </c>
      <c r="C570" s="5">
        <v>1</v>
      </c>
      <c r="D570" s="5">
        <v>0</v>
      </c>
      <c r="E570" s="5">
        <v>1</v>
      </c>
      <c r="F570" s="5">
        <v>21</v>
      </c>
      <c r="G570" s="5" t="b">
        <v>0</v>
      </c>
      <c r="H570" s="5">
        <v>2</v>
      </c>
      <c r="I570" s="5">
        <v>1</v>
      </c>
      <c r="J570" s="5">
        <v>0.24</v>
      </c>
    </row>
    <row r="571" spans="1:10">
      <c r="A571" s="5">
        <v>570</v>
      </c>
      <c r="B571" s="11">
        <v>40568</v>
      </c>
      <c r="C571" s="5">
        <v>1</v>
      </c>
      <c r="D571" s="5">
        <v>0</v>
      </c>
      <c r="E571" s="5">
        <v>1</v>
      </c>
      <c r="F571" s="5">
        <v>22</v>
      </c>
      <c r="G571" s="5" t="b">
        <v>0</v>
      </c>
      <c r="H571" s="5">
        <v>2</v>
      </c>
      <c r="I571" s="5">
        <v>1</v>
      </c>
      <c r="J571" s="5">
        <v>0.22</v>
      </c>
    </row>
    <row r="572" spans="1:10">
      <c r="A572" s="5">
        <v>571</v>
      </c>
      <c r="B572" s="11">
        <v>40568</v>
      </c>
      <c r="C572" s="5">
        <v>1</v>
      </c>
      <c r="D572" s="5">
        <v>0</v>
      </c>
      <c r="E572" s="5">
        <v>1</v>
      </c>
      <c r="F572" s="5">
        <v>23</v>
      </c>
      <c r="G572" s="5" t="b">
        <v>0</v>
      </c>
      <c r="H572" s="5">
        <v>2</v>
      </c>
      <c r="I572" s="5">
        <v>2</v>
      </c>
      <c r="J572" s="5">
        <v>0.22</v>
      </c>
    </row>
    <row r="573" spans="1:10">
      <c r="A573" s="5">
        <v>572</v>
      </c>
      <c r="B573" s="11">
        <v>40569</v>
      </c>
      <c r="C573" s="5">
        <v>1</v>
      </c>
      <c r="D573" s="5">
        <v>0</v>
      </c>
      <c r="E573" s="5">
        <v>1</v>
      </c>
      <c r="F573" s="5">
        <v>0</v>
      </c>
      <c r="G573" s="5" t="b">
        <v>0</v>
      </c>
      <c r="H573" s="5">
        <v>3</v>
      </c>
      <c r="I573" s="5">
        <v>2</v>
      </c>
      <c r="J573" s="5">
        <v>0.22</v>
      </c>
    </row>
    <row r="574" spans="1:10">
      <c r="A574" s="5">
        <v>573</v>
      </c>
      <c r="B574" s="11">
        <v>40569</v>
      </c>
      <c r="C574" s="5">
        <v>1</v>
      </c>
      <c r="D574" s="5">
        <v>0</v>
      </c>
      <c r="E574" s="5">
        <v>1</v>
      </c>
      <c r="F574" s="5">
        <v>1</v>
      </c>
      <c r="G574" s="5" t="b">
        <v>0</v>
      </c>
      <c r="H574" s="5">
        <v>3</v>
      </c>
      <c r="I574" s="5">
        <v>2</v>
      </c>
      <c r="J574" s="5">
        <v>0.24</v>
      </c>
    </row>
    <row r="575" spans="1:10">
      <c r="A575" s="5">
        <v>574</v>
      </c>
      <c r="B575" s="11">
        <v>40569</v>
      </c>
      <c r="C575" s="5">
        <v>1</v>
      </c>
      <c r="D575" s="5">
        <v>0</v>
      </c>
      <c r="E575" s="5">
        <v>1</v>
      </c>
      <c r="F575" s="5">
        <v>2</v>
      </c>
      <c r="G575" s="5" t="b">
        <v>0</v>
      </c>
      <c r="H575" s="5">
        <v>3</v>
      </c>
      <c r="I575" s="5">
        <v>3</v>
      </c>
      <c r="J575" s="5">
        <v>0.22</v>
      </c>
    </row>
    <row r="576" spans="1:10">
      <c r="A576" s="5">
        <v>575</v>
      </c>
      <c r="B576" s="11">
        <v>40569</v>
      </c>
      <c r="C576" s="5">
        <v>1</v>
      </c>
      <c r="D576" s="5">
        <v>0</v>
      </c>
      <c r="E576" s="5">
        <v>1</v>
      </c>
      <c r="F576" s="5">
        <v>5</v>
      </c>
      <c r="G576" s="5" t="b">
        <v>0</v>
      </c>
      <c r="H576" s="5">
        <v>3</v>
      </c>
      <c r="I576" s="5">
        <v>3</v>
      </c>
      <c r="J576" s="5">
        <v>0.2</v>
      </c>
    </row>
    <row r="577" spans="1:10">
      <c r="A577" s="5">
        <v>576</v>
      </c>
      <c r="B577" s="11">
        <v>40569</v>
      </c>
      <c r="C577" s="5">
        <v>1</v>
      </c>
      <c r="D577" s="5">
        <v>0</v>
      </c>
      <c r="E577" s="5">
        <v>1</v>
      </c>
      <c r="F577" s="5">
        <v>6</v>
      </c>
      <c r="G577" s="5" t="b">
        <v>0</v>
      </c>
      <c r="H577" s="5">
        <v>3</v>
      </c>
      <c r="I577" s="5">
        <v>3</v>
      </c>
      <c r="J577" s="5">
        <v>0.2</v>
      </c>
    </row>
    <row r="578" spans="1:10">
      <c r="A578" s="5">
        <v>577</v>
      </c>
      <c r="B578" s="11">
        <v>40569</v>
      </c>
      <c r="C578" s="5">
        <v>1</v>
      </c>
      <c r="D578" s="5">
        <v>0</v>
      </c>
      <c r="E578" s="5">
        <v>1</v>
      </c>
      <c r="F578" s="5">
        <v>7</v>
      </c>
      <c r="G578" s="5" t="b">
        <v>0</v>
      </c>
      <c r="H578" s="5">
        <v>3</v>
      </c>
      <c r="I578" s="5">
        <v>3</v>
      </c>
      <c r="J578" s="5">
        <v>0.22</v>
      </c>
    </row>
    <row r="579" spans="1:10">
      <c r="A579" s="5">
        <v>578</v>
      </c>
      <c r="B579" s="11">
        <v>40569</v>
      </c>
      <c r="C579" s="5">
        <v>1</v>
      </c>
      <c r="D579" s="5">
        <v>0</v>
      </c>
      <c r="E579" s="5">
        <v>1</v>
      </c>
      <c r="F579" s="5">
        <v>8</v>
      </c>
      <c r="G579" s="5" t="b">
        <v>0</v>
      </c>
      <c r="H579" s="5">
        <v>3</v>
      </c>
      <c r="I579" s="5">
        <v>3</v>
      </c>
      <c r="J579" s="5">
        <v>0.22</v>
      </c>
    </row>
    <row r="580" spans="1:10">
      <c r="A580" s="5">
        <v>579</v>
      </c>
      <c r="B580" s="11">
        <v>40569</v>
      </c>
      <c r="C580" s="5">
        <v>1</v>
      </c>
      <c r="D580" s="5">
        <v>0</v>
      </c>
      <c r="E580" s="5">
        <v>1</v>
      </c>
      <c r="F580" s="5">
        <v>9</v>
      </c>
      <c r="G580" s="5" t="b">
        <v>0</v>
      </c>
      <c r="H580" s="5">
        <v>3</v>
      </c>
      <c r="I580" s="5">
        <v>3</v>
      </c>
      <c r="J580" s="5">
        <v>0.22</v>
      </c>
    </row>
    <row r="581" spans="1:10">
      <c r="A581" s="5">
        <v>580</v>
      </c>
      <c r="B581" s="11">
        <v>40569</v>
      </c>
      <c r="C581" s="5">
        <v>1</v>
      </c>
      <c r="D581" s="5">
        <v>0</v>
      </c>
      <c r="E581" s="5">
        <v>1</v>
      </c>
      <c r="F581" s="5">
        <v>10</v>
      </c>
      <c r="G581" s="5" t="b">
        <v>0</v>
      </c>
      <c r="H581" s="5">
        <v>3</v>
      </c>
      <c r="I581" s="5">
        <v>3</v>
      </c>
      <c r="J581" s="5">
        <v>0.22</v>
      </c>
    </row>
    <row r="582" spans="1:10">
      <c r="A582" s="5">
        <v>581</v>
      </c>
      <c r="B582" s="11">
        <v>40569</v>
      </c>
      <c r="C582" s="5">
        <v>1</v>
      </c>
      <c r="D582" s="5">
        <v>0</v>
      </c>
      <c r="E582" s="5">
        <v>1</v>
      </c>
      <c r="F582" s="5">
        <v>11</v>
      </c>
      <c r="G582" s="5" t="b">
        <v>0</v>
      </c>
      <c r="H582" s="5">
        <v>3</v>
      </c>
      <c r="I582" s="5">
        <v>3</v>
      </c>
      <c r="J582" s="5">
        <v>0.22</v>
      </c>
    </row>
    <row r="583" spans="1:10">
      <c r="A583" s="5">
        <v>582</v>
      </c>
      <c r="B583" s="11">
        <v>40569</v>
      </c>
      <c r="C583" s="5">
        <v>1</v>
      </c>
      <c r="D583" s="5">
        <v>0</v>
      </c>
      <c r="E583" s="5">
        <v>1</v>
      </c>
      <c r="F583" s="5">
        <v>12</v>
      </c>
      <c r="G583" s="5" t="b">
        <v>0</v>
      </c>
      <c r="H583" s="5">
        <v>3</v>
      </c>
      <c r="I583" s="5">
        <v>3</v>
      </c>
      <c r="J583" s="5">
        <v>0.22</v>
      </c>
    </row>
    <row r="584" spans="1:10">
      <c r="A584" s="5">
        <v>583</v>
      </c>
      <c r="B584" s="11">
        <v>40569</v>
      </c>
      <c r="C584" s="5">
        <v>1</v>
      </c>
      <c r="D584" s="5">
        <v>0</v>
      </c>
      <c r="E584" s="5">
        <v>1</v>
      </c>
      <c r="F584" s="5">
        <v>13</v>
      </c>
      <c r="G584" s="5" t="b">
        <v>0</v>
      </c>
      <c r="H584" s="5">
        <v>3</v>
      </c>
      <c r="I584" s="5">
        <v>3</v>
      </c>
      <c r="J584" s="5">
        <v>0.22</v>
      </c>
    </row>
    <row r="585" spans="1:10">
      <c r="A585" s="5">
        <v>584</v>
      </c>
      <c r="B585" s="11">
        <v>40569</v>
      </c>
      <c r="C585" s="5">
        <v>1</v>
      </c>
      <c r="D585" s="5">
        <v>0</v>
      </c>
      <c r="E585" s="5">
        <v>1</v>
      </c>
      <c r="F585" s="5">
        <v>14</v>
      </c>
      <c r="G585" s="5" t="b">
        <v>0</v>
      </c>
      <c r="H585" s="5">
        <v>3</v>
      </c>
      <c r="I585" s="5">
        <v>3</v>
      </c>
      <c r="J585" s="5">
        <v>0.22</v>
      </c>
    </row>
    <row r="586" spans="1:10">
      <c r="A586" s="5">
        <v>585</v>
      </c>
      <c r="B586" s="11">
        <v>40569</v>
      </c>
      <c r="C586" s="5">
        <v>1</v>
      </c>
      <c r="D586" s="5">
        <v>0</v>
      </c>
      <c r="E586" s="5">
        <v>1</v>
      </c>
      <c r="F586" s="5">
        <v>15</v>
      </c>
      <c r="G586" s="5" t="b">
        <v>0</v>
      </c>
      <c r="H586" s="5">
        <v>3</v>
      </c>
      <c r="I586" s="5">
        <v>3</v>
      </c>
      <c r="J586" s="5">
        <v>0.22</v>
      </c>
    </row>
    <row r="587" spans="1:10">
      <c r="A587" s="5">
        <v>586</v>
      </c>
      <c r="B587" s="11">
        <v>40569</v>
      </c>
      <c r="C587" s="5">
        <v>1</v>
      </c>
      <c r="D587" s="5">
        <v>0</v>
      </c>
      <c r="E587" s="5">
        <v>1</v>
      </c>
      <c r="F587" s="5">
        <v>16</v>
      </c>
      <c r="G587" s="5" t="b">
        <v>0</v>
      </c>
      <c r="H587" s="5">
        <v>3</v>
      </c>
      <c r="I587" s="5">
        <v>4</v>
      </c>
      <c r="J587" s="5">
        <v>0.22</v>
      </c>
    </row>
    <row r="588" spans="1:10">
      <c r="A588" s="5">
        <v>587</v>
      </c>
      <c r="B588" s="11">
        <v>40569</v>
      </c>
      <c r="C588" s="5">
        <v>1</v>
      </c>
      <c r="D588" s="5">
        <v>0</v>
      </c>
      <c r="E588" s="5">
        <v>1</v>
      </c>
      <c r="F588" s="5">
        <v>17</v>
      </c>
      <c r="G588" s="5" t="b">
        <v>0</v>
      </c>
      <c r="H588" s="5">
        <v>3</v>
      </c>
      <c r="I588" s="5">
        <v>3</v>
      </c>
      <c r="J588" s="5">
        <v>0.2</v>
      </c>
    </row>
    <row r="589" spans="1:10">
      <c r="A589" s="5">
        <v>588</v>
      </c>
      <c r="B589" s="11">
        <v>40570</v>
      </c>
      <c r="C589" s="5">
        <v>1</v>
      </c>
      <c r="D589" s="5">
        <v>0</v>
      </c>
      <c r="E589" s="5">
        <v>1</v>
      </c>
      <c r="F589" s="5">
        <v>16</v>
      </c>
      <c r="G589" s="5" t="b">
        <v>0</v>
      </c>
      <c r="H589" s="5">
        <v>4</v>
      </c>
      <c r="I589" s="5">
        <v>1</v>
      </c>
      <c r="J589" s="5">
        <v>0.22</v>
      </c>
    </row>
    <row r="590" spans="1:10">
      <c r="A590" s="5">
        <v>589</v>
      </c>
      <c r="B590" s="11">
        <v>40570</v>
      </c>
      <c r="C590" s="5">
        <v>1</v>
      </c>
      <c r="D590" s="5">
        <v>0</v>
      </c>
      <c r="E590" s="5">
        <v>1</v>
      </c>
      <c r="F590" s="5">
        <v>17</v>
      </c>
      <c r="G590" s="5" t="b">
        <v>0</v>
      </c>
      <c r="H590" s="5">
        <v>4</v>
      </c>
      <c r="I590" s="5">
        <v>1</v>
      </c>
      <c r="J590" s="5">
        <v>0.22</v>
      </c>
    </row>
    <row r="591" spans="1:10">
      <c r="A591" s="5">
        <v>590</v>
      </c>
      <c r="B591" s="11">
        <v>40570</v>
      </c>
      <c r="C591" s="5">
        <v>1</v>
      </c>
      <c r="D591" s="5">
        <v>0</v>
      </c>
      <c r="E591" s="5">
        <v>1</v>
      </c>
      <c r="F591" s="5">
        <v>18</v>
      </c>
      <c r="G591" s="5" t="b">
        <v>0</v>
      </c>
      <c r="H591" s="5">
        <v>4</v>
      </c>
      <c r="I591" s="5">
        <v>1</v>
      </c>
      <c r="J591" s="5">
        <v>0.2</v>
      </c>
    </row>
    <row r="592" spans="1:10">
      <c r="A592" s="5">
        <v>591</v>
      </c>
      <c r="B592" s="11">
        <v>40570</v>
      </c>
      <c r="C592" s="5">
        <v>1</v>
      </c>
      <c r="D592" s="5">
        <v>0</v>
      </c>
      <c r="E592" s="5">
        <v>1</v>
      </c>
      <c r="F592" s="5">
        <v>19</v>
      </c>
      <c r="G592" s="5" t="b">
        <v>0</v>
      </c>
      <c r="H592" s="5">
        <v>4</v>
      </c>
      <c r="I592" s="5">
        <v>1</v>
      </c>
      <c r="J592" s="5">
        <v>0.2</v>
      </c>
    </row>
    <row r="593" spans="1:10">
      <c r="A593" s="5">
        <v>592</v>
      </c>
      <c r="B593" s="11">
        <v>40570</v>
      </c>
      <c r="C593" s="5">
        <v>1</v>
      </c>
      <c r="D593" s="5">
        <v>0</v>
      </c>
      <c r="E593" s="5">
        <v>1</v>
      </c>
      <c r="F593" s="5">
        <v>20</v>
      </c>
      <c r="G593" s="5" t="b">
        <v>0</v>
      </c>
      <c r="H593" s="5">
        <v>4</v>
      </c>
      <c r="I593" s="5">
        <v>1</v>
      </c>
      <c r="J593" s="5">
        <v>0.18</v>
      </c>
    </row>
    <row r="594" spans="1:10">
      <c r="A594" s="5">
        <v>593</v>
      </c>
      <c r="B594" s="11">
        <v>40570</v>
      </c>
      <c r="C594" s="5">
        <v>1</v>
      </c>
      <c r="D594" s="5">
        <v>0</v>
      </c>
      <c r="E594" s="5">
        <v>1</v>
      </c>
      <c r="F594" s="5">
        <v>21</v>
      </c>
      <c r="G594" s="5" t="b">
        <v>0</v>
      </c>
      <c r="H594" s="5">
        <v>4</v>
      </c>
      <c r="I594" s="5">
        <v>1</v>
      </c>
      <c r="J594" s="5">
        <v>0.18</v>
      </c>
    </row>
    <row r="595" spans="1:10">
      <c r="A595" s="5">
        <v>594</v>
      </c>
      <c r="B595" s="11">
        <v>40570</v>
      </c>
      <c r="C595" s="5">
        <v>1</v>
      </c>
      <c r="D595" s="5">
        <v>0</v>
      </c>
      <c r="E595" s="5">
        <v>1</v>
      </c>
      <c r="F595" s="5">
        <v>22</v>
      </c>
      <c r="G595" s="5" t="b">
        <v>0</v>
      </c>
      <c r="H595" s="5">
        <v>4</v>
      </c>
      <c r="I595" s="5">
        <v>1</v>
      </c>
      <c r="J595" s="5">
        <v>0.18</v>
      </c>
    </row>
    <row r="596" spans="1:10">
      <c r="A596" s="5">
        <v>595</v>
      </c>
      <c r="B596" s="11">
        <v>40570</v>
      </c>
      <c r="C596" s="5">
        <v>1</v>
      </c>
      <c r="D596" s="5">
        <v>0</v>
      </c>
      <c r="E596" s="5">
        <v>1</v>
      </c>
      <c r="F596" s="5">
        <v>23</v>
      </c>
      <c r="G596" s="5" t="b">
        <v>0</v>
      </c>
      <c r="H596" s="5">
        <v>4</v>
      </c>
      <c r="I596" s="5">
        <v>1</v>
      </c>
      <c r="J596" s="5">
        <v>0.18</v>
      </c>
    </row>
    <row r="597" spans="1:10">
      <c r="A597" s="5">
        <v>596</v>
      </c>
      <c r="B597" s="11">
        <v>40571</v>
      </c>
      <c r="C597" s="5">
        <v>1</v>
      </c>
      <c r="D597" s="5">
        <v>0</v>
      </c>
      <c r="E597" s="5">
        <v>1</v>
      </c>
      <c r="F597" s="5">
        <v>0</v>
      </c>
      <c r="G597" s="5" t="b">
        <v>0</v>
      </c>
      <c r="H597" s="5">
        <v>5</v>
      </c>
      <c r="I597" s="5">
        <v>2</v>
      </c>
      <c r="J597" s="5">
        <v>0.2</v>
      </c>
    </row>
    <row r="598" spans="1:10">
      <c r="A598" s="5">
        <v>597</v>
      </c>
      <c r="B598" s="11">
        <v>40571</v>
      </c>
      <c r="C598" s="5">
        <v>1</v>
      </c>
      <c r="D598" s="5">
        <v>0</v>
      </c>
      <c r="E598" s="5">
        <v>1</v>
      </c>
      <c r="F598" s="5">
        <v>1</v>
      </c>
      <c r="G598" s="5" t="b">
        <v>0</v>
      </c>
      <c r="H598" s="5">
        <v>5</v>
      </c>
      <c r="I598" s="5">
        <v>2</v>
      </c>
      <c r="J598" s="5">
        <v>0.2</v>
      </c>
    </row>
    <row r="599" spans="1:10">
      <c r="A599" s="5">
        <v>598</v>
      </c>
      <c r="B599" s="11">
        <v>40571</v>
      </c>
      <c r="C599" s="5">
        <v>1</v>
      </c>
      <c r="D599" s="5">
        <v>0</v>
      </c>
      <c r="E599" s="5">
        <v>1</v>
      </c>
      <c r="F599" s="5">
        <v>2</v>
      </c>
      <c r="G599" s="5" t="b">
        <v>0</v>
      </c>
      <c r="H599" s="5">
        <v>5</v>
      </c>
      <c r="I599" s="5">
        <v>2</v>
      </c>
      <c r="J599" s="5">
        <v>0.2</v>
      </c>
    </row>
    <row r="600" spans="1:10">
      <c r="A600" s="5">
        <v>599</v>
      </c>
      <c r="B600" s="11">
        <v>40571</v>
      </c>
      <c r="C600" s="5">
        <v>1</v>
      </c>
      <c r="D600" s="5">
        <v>0</v>
      </c>
      <c r="E600" s="5">
        <v>1</v>
      </c>
      <c r="F600" s="5">
        <v>3</v>
      </c>
      <c r="G600" s="5" t="b">
        <v>0</v>
      </c>
      <c r="H600" s="5">
        <v>5</v>
      </c>
      <c r="I600" s="5">
        <v>2</v>
      </c>
      <c r="J600" s="5">
        <v>0.2</v>
      </c>
    </row>
    <row r="601" spans="1:10">
      <c r="A601" s="5">
        <v>600</v>
      </c>
      <c r="B601" s="11">
        <v>40571</v>
      </c>
      <c r="C601" s="5">
        <v>1</v>
      </c>
      <c r="D601" s="5">
        <v>0</v>
      </c>
      <c r="E601" s="5">
        <v>1</v>
      </c>
      <c r="F601" s="5">
        <v>5</v>
      </c>
      <c r="G601" s="5" t="b">
        <v>0</v>
      </c>
      <c r="H601" s="5">
        <v>5</v>
      </c>
      <c r="I601" s="5">
        <v>2</v>
      </c>
      <c r="J601" s="5">
        <v>0.18</v>
      </c>
    </row>
    <row r="602" spans="1:10">
      <c r="A602" s="5">
        <v>601</v>
      </c>
      <c r="B602" s="11">
        <v>40571</v>
      </c>
      <c r="C602" s="5">
        <v>1</v>
      </c>
      <c r="D602" s="5">
        <v>0</v>
      </c>
      <c r="E602" s="5">
        <v>1</v>
      </c>
      <c r="F602" s="5">
        <v>6</v>
      </c>
      <c r="G602" s="5" t="b">
        <v>0</v>
      </c>
      <c r="H602" s="5">
        <v>5</v>
      </c>
      <c r="I602" s="5">
        <v>2</v>
      </c>
      <c r="J602" s="5">
        <v>0.18</v>
      </c>
    </row>
    <row r="603" spans="1:10">
      <c r="A603" s="5">
        <v>602</v>
      </c>
      <c r="B603" s="11">
        <v>40571</v>
      </c>
      <c r="C603" s="5">
        <v>1</v>
      </c>
      <c r="D603" s="5">
        <v>0</v>
      </c>
      <c r="E603" s="5">
        <v>1</v>
      </c>
      <c r="F603" s="5">
        <v>7</v>
      </c>
      <c r="G603" s="5" t="b">
        <v>0</v>
      </c>
      <c r="H603" s="5">
        <v>5</v>
      </c>
      <c r="I603" s="5">
        <v>2</v>
      </c>
      <c r="J603" s="5">
        <v>0.16</v>
      </c>
    </row>
    <row r="604" spans="1:10">
      <c r="A604" s="5">
        <v>603</v>
      </c>
      <c r="B604" s="11">
        <v>40571</v>
      </c>
      <c r="C604" s="5">
        <v>1</v>
      </c>
      <c r="D604" s="5">
        <v>0</v>
      </c>
      <c r="E604" s="5">
        <v>1</v>
      </c>
      <c r="F604" s="5">
        <v>8</v>
      </c>
      <c r="G604" s="5" t="b">
        <v>0</v>
      </c>
      <c r="H604" s="5">
        <v>5</v>
      </c>
      <c r="I604" s="5">
        <v>2</v>
      </c>
      <c r="J604" s="5">
        <v>0.16</v>
      </c>
    </row>
    <row r="605" spans="1:10">
      <c r="A605" s="5">
        <v>604</v>
      </c>
      <c r="B605" s="11">
        <v>40571</v>
      </c>
      <c r="C605" s="5">
        <v>1</v>
      </c>
      <c r="D605" s="5">
        <v>0</v>
      </c>
      <c r="E605" s="5">
        <v>1</v>
      </c>
      <c r="F605" s="5">
        <v>9</v>
      </c>
      <c r="G605" s="5" t="b">
        <v>0</v>
      </c>
      <c r="H605" s="5">
        <v>5</v>
      </c>
      <c r="I605" s="5">
        <v>3</v>
      </c>
      <c r="J605" s="5">
        <v>0.18</v>
      </c>
    </row>
    <row r="606" spans="1:10">
      <c r="A606" s="5">
        <v>605</v>
      </c>
      <c r="B606" s="11">
        <v>40571</v>
      </c>
      <c r="C606" s="5">
        <v>1</v>
      </c>
      <c r="D606" s="5">
        <v>0</v>
      </c>
      <c r="E606" s="5">
        <v>1</v>
      </c>
      <c r="F606" s="5">
        <v>10</v>
      </c>
      <c r="G606" s="5" t="b">
        <v>0</v>
      </c>
      <c r="H606" s="5">
        <v>5</v>
      </c>
      <c r="I606" s="5">
        <v>3</v>
      </c>
      <c r="J606" s="5">
        <v>0.18</v>
      </c>
    </row>
    <row r="607" spans="1:10">
      <c r="A607" s="5">
        <v>606</v>
      </c>
      <c r="B607" s="11">
        <v>40571</v>
      </c>
      <c r="C607" s="5">
        <v>1</v>
      </c>
      <c r="D607" s="5">
        <v>0</v>
      </c>
      <c r="E607" s="5">
        <v>1</v>
      </c>
      <c r="F607" s="5">
        <v>11</v>
      </c>
      <c r="G607" s="5" t="b">
        <v>0</v>
      </c>
      <c r="H607" s="5">
        <v>5</v>
      </c>
      <c r="I607" s="5">
        <v>3</v>
      </c>
      <c r="J607" s="5">
        <v>0.18</v>
      </c>
    </row>
    <row r="608" spans="1:10">
      <c r="A608" s="5">
        <v>607</v>
      </c>
      <c r="B608" s="11">
        <v>40571</v>
      </c>
      <c r="C608" s="5">
        <v>1</v>
      </c>
      <c r="D608" s="5">
        <v>0</v>
      </c>
      <c r="E608" s="5">
        <v>1</v>
      </c>
      <c r="F608" s="5">
        <v>12</v>
      </c>
      <c r="G608" s="5" t="b">
        <v>0</v>
      </c>
      <c r="H608" s="5">
        <v>5</v>
      </c>
      <c r="I608" s="5">
        <v>3</v>
      </c>
      <c r="J608" s="5">
        <v>0.18</v>
      </c>
    </row>
    <row r="609" spans="1:10">
      <c r="A609" s="5">
        <v>608</v>
      </c>
      <c r="B609" s="11">
        <v>40571</v>
      </c>
      <c r="C609" s="5">
        <v>1</v>
      </c>
      <c r="D609" s="5">
        <v>0</v>
      </c>
      <c r="E609" s="5">
        <v>1</v>
      </c>
      <c r="F609" s="5">
        <v>13</v>
      </c>
      <c r="G609" s="5" t="b">
        <v>0</v>
      </c>
      <c r="H609" s="5">
        <v>5</v>
      </c>
      <c r="I609" s="5">
        <v>3</v>
      </c>
      <c r="J609" s="5">
        <v>0.18</v>
      </c>
    </row>
    <row r="610" spans="1:10">
      <c r="A610" s="5">
        <v>609</v>
      </c>
      <c r="B610" s="11">
        <v>40571</v>
      </c>
      <c r="C610" s="5">
        <v>1</v>
      </c>
      <c r="D610" s="5">
        <v>0</v>
      </c>
      <c r="E610" s="5">
        <v>1</v>
      </c>
      <c r="F610" s="5">
        <v>14</v>
      </c>
      <c r="G610" s="5" t="b">
        <v>0</v>
      </c>
      <c r="H610" s="5">
        <v>5</v>
      </c>
      <c r="I610" s="5">
        <v>3</v>
      </c>
      <c r="J610" s="5">
        <v>0.22</v>
      </c>
    </row>
    <row r="611" spans="1:10">
      <c r="A611" s="5">
        <v>610</v>
      </c>
      <c r="B611" s="11">
        <v>40571</v>
      </c>
      <c r="C611" s="5">
        <v>1</v>
      </c>
      <c r="D611" s="5">
        <v>0</v>
      </c>
      <c r="E611" s="5">
        <v>1</v>
      </c>
      <c r="F611" s="5">
        <v>15</v>
      </c>
      <c r="G611" s="5" t="b">
        <v>0</v>
      </c>
      <c r="H611" s="5">
        <v>5</v>
      </c>
      <c r="I611" s="5">
        <v>2</v>
      </c>
      <c r="J611" s="5">
        <v>0.2</v>
      </c>
    </row>
  </sheetData>
  <autoFilter ref="A1:J6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B7280"/>
  </sheetPr>
  <dimension ref="A1:H6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8" width="12.7109375" customWidth="1"/>
  </cols>
  <sheetData>
    <row r="1" spans="1:8">
      <c r="A1" s="6" t="s">
        <v>10</v>
      </c>
      <c r="B1" s="6" t="s">
        <v>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</row>
    <row r="2" spans="1:8">
      <c r="A2" s="5">
        <v>0</v>
      </c>
      <c r="B2" s="5">
        <v>1</v>
      </c>
      <c r="C2" s="5">
        <v>0.2879</v>
      </c>
      <c r="D2" s="5">
        <v>0.8100000000000001</v>
      </c>
      <c r="E2" s="5">
        <v>0</v>
      </c>
      <c r="F2" s="5">
        <v>3</v>
      </c>
      <c r="G2" s="5">
        <v>13</v>
      </c>
      <c r="H2" s="5">
        <v>16</v>
      </c>
    </row>
    <row r="3" spans="1:8">
      <c r="A3" s="5">
        <v>1</v>
      </c>
      <c r="B3" s="5">
        <v>2</v>
      </c>
      <c r="C3" s="5">
        <v>0.2727</v>
      </c>
      <c r="D3" s="5">
        <v>0.8</v>
      </c>
      <c r="E3" s="5">
        <v>0</v>
      </c>
      <c r="F3" s="5">
        <v>8</v>
      </c>
      <c r="G3" s="5">
        <v>32</v>
      </c>
      <c r="H3" s="5">
        <v>40</v>
      </c>
    </row>
    <row r="4" spans="1:8">
      <c r="A4" s="5">
        <v>2</v>
      </c>
      <c r="B4" s="5">
        <v>3</v>
      </c>
      <c r="C4" s="5">
        <v>0.2727</v>
      </c>
      <c r="D4" s="5">
        <v>0.8</v>
      </c>
      <c r="E4" s="5">
        <v>0</v>
      </c>
      <c r="F4" s="5">
        <v>5</v>
      </c>
      <c r="G4" s="5">
        <v>27</v>
      </c>
      <c r="H4" s="5">
        <v>32</v>
      </c>
    </row>
    <row r="5" spans="1:8">
      <c r="A5" s="5">
        <v>3</v>
      </c>
      <c r="B5" s="5">
        <v>4</v>
      </c>
      <c r="C5" s="5">
        <v>0.2879</v>
      </c>
      <c r="D5" s="5">
        <v>0.75</v>
      </c>
      <c r="E5" s="5">
        <v>0</v>
      </c>
      <c r="F5" s="5">
        <v>3</v>
      </c>
      <c r="G5" s="5">
        <v>10</v>
      </c>
      <c r="H5" s="5">
        <v>13</v>
      </c>
    </row>
    <row r="6" spans="1:8">
      <c r="A6" s="5">
        <v>4</v>
      </c>
      <c r="B6" s="5">
        <v>5</v>
      </c>
      <c r="C6" s="5">
        <v>0.2879</v>
      </c>
      <c r="D6" s="5">
        <v>0.75</v>
      </c>
      <c r="E6" s="5">
        <v>0</v>
      </c>
      <c r="F6" s="5">
        <v>0</v>
      </c>
      <c r="G6" s="5">
        <v>1</v>
      </c>
      <c r="H6" s="5">
        <v>1</v>
      </c>
    </row>
    <row r="7" spans="1:8">
      <c r="A7" s="5">
        <v>5</v>
      </c>
      <c r="B7" s="5">
        <v>6</v>
      </c>
      <c r="C7" s="5">
        <v>0.2576</v>
      </c>
      <c r="D7" s="5">
        <v>0.75</v>
      </c>
      <c r="E7" s="5">
        <v>0.0896</v>
      </c>
      <c r="F7" s="5">
        <v>0</v>
      </c>
      <c r="G7" s="5">
        <v>1</v>
      </c>
      <c r="H7" s="5">
        <v>1</v>
      </c>
    </row>
    <row r="8" spans="1:8">
      <c r="A8" s="5">
        <v>6</v>
      </c>
      <c r="B8" s="5">
        <v>7</v>
      </c>
      <c r="C8" s="5">
        <v>0.2727</v>
      </c>
      <c r="D8" s="5">
        <v>0.8</v>
      </c>
      <c r="E8" s="5">
        <v>0</v>
      </c>
      <c r="F8" s="5">
        <v>2</v>
      </c>
      <c r="G8" s="5">
        <v>0</v>
      </c>
      <c r="H8" s="5">
        <v>2</v>
      </c>
    </row>
    <row r="9" spans="1:8">
      <c r="A9" s="5">
        <v>7</v>
      </c>
      <c r="B9" s="5">
        <v>8</v>
      </c>
      <c r="C9" s="5">
        <v>0.2576</v>
      </c>
      <c r="D9" s="5">
        <v>0.86</v>
      </c>
      <c r="E9" s="5">
        <v>0</v>
      </c>
      <c r="F9" s="5">
        <v>1</v>
      </c>
      <c r="G9" s="5">
        <v>2</v>
      </c>
      <c r="H9" s="5">
        <v>3</v>
      </c>
    </row>
    <row r="10" spans="1:8">
      <c r="A10" s="5">
        <v>8</v>
      </c>
      <c r="B10" s="5">
        <v>9</v>
      </c>
      <c r="D10" s="5">
        <v>0.75</v>
      </c>
      <c r="E10" s="5">
        <v>0</v>
      </c>
      <c r="F10" s="5">
        <v>1</v>
      </c>
      <c r="G10" s="5">
        <v>7</v>
      </c>
      <c r="H10" s="5">
        <v>8</v>
      </c>
    </row>
    <row r="11" spans="1:8">
      <c r="A11" s="5">
        <v>9</v>
      </c>
      <c r="B11" s="5">
        <v>10</v>
      </c>
      <c r="C11" s="5">
        <v>0.3485</v>
      </c>
      <c r="D11" s="5">
        <v>0.76</v>
      </c>
      <c r="E11" s="5">
        <v>0</v>
      </c>
      <c r="F11" s="5">
        <v>8</v>
      </c>
      <c r="G11" s="5">
        <v>6</v>
      </c>
      <c r="H11" s="5">
        <v>14</v>
      </c>
    </row>
    <row r="12" spans="1:8">
      <c r="A12" s="5">
        <v>10</v>
      </c>
      <c r="B12" s="5">
        <v>11</v>
      </c>
      <c r="C12" s="5">
        <v>0.3939</v>
      </c>
      <c r="D12" s="5">
        <v>0.76</v>
      </c>
      <c r="E12" s="5">
        <v>0.2537</v>
      </c>
      <c r="F12" s="5">
        <v>12</v>
      </c>
      <c r="G12" s="5">
        <v>24</v>
      </c>
      <c r="H12" s="5">
        <v>36</v>
      </c>
    </row>
    <row r="13" spans="1:8">
      <c r="A13" s="5">
        <v>11</v>
      </c>
      <c r="B13" s="5">
        <v>12</v>
      </c>
      <c r="C13" s="5">
        <v>0.3333</v>
      </c>
      <c r="D13" s="5">
        <v>0.8100000000000001</v>
      </c>
      <c r="E13" s="5">
        <v>0.2836</v>
      </c>
      <c r="F13" s="5">
        <v>26</v>
      </c>
      <c r="G13" s="5">
        <v>30</v>
      </c>
      <c r="H13" s="5">
        <v>56</v>
      </c>
    </row>
    <row r="14" spans="1:8">
      <c r="A14" s="5">
        <v>12</v>
      </c>
      <c r="B14" s="5">
        <v>13</v>
      </c>
      <c r="C14" s="5">
        <v>0.4242</v>
      </c>
      <c r="D14" s="5">
        <v>0.77</v>
      </c>
      <c r="E14" s="5">
        <v>0.2836</v>
      </c>
      <c r="F14" s="5">
        <v>29</v>
      </c>
      <c r="G14" s="5">
        <v>55</v>
      </c>
      <c r="H14" s="5">
        <v>84</v>
      </c>
    </row>
    <row r="15" spans="1:8">
      <c r="A15" s="5">
        <v>13</v>
      </c>
      <c r="B15" s="5">
        <v>14</v>
      </c>
      <c r="C15" s="5">
        <v>0.4545</v>
      </c>
      <c r="D15" s="5">
        <v>0.72</v>
      </c>
      <c r="E15" s="5">
        <v>0.2985</v>
      </c>
      <c r="F15" s="5">
        <v>47</v>
      </c>
      <c r="G15" s="5">
        <v>47</v>
      </c>
      <c r="H15" s="5">
        <v>94</v>
      </c>
    </row>
    <row r="16" spans="1:8">
      <c r="A16" s="5">
        <v>14</v>
      </c>
      <c r="B16" s="5">
        <v>15</v>
      </c>
      <c r="C16" s="5">
        <v>0.4545</v>
      </c>
      <c r="D16" s="5">
        <v>0.72</v>
      </c>
      <c r="E16" s="5">
        <v>0.2836</v>
      </c>
      <c r="F16" s="5">
        <v>35</v>
      </c>
      <c r="G16" s="5">
        <v>71</v>
      </c>
      <c r="H16" s="5">
        <v>106</v>
      </c>
    </row>
    <row r="17" spans="1:8">
      <c r="A17" s="5">
        <v>15</v>
      </c>
      <c r="B17" s="5">
        <v>16</v>
      </c>
      <c r="C17" s="5">
        <v>0.4394</v>
      </c>
      <c r="D17" s="5">
        <v>0.77</v>
      </c>
      <c r="E17" s="5">
        <v>0.2985</v>
      </c>
      <c r="F17" s="5">
        <v>40</v>
      </c>
      <c r="G17" s="5">
        <v>70</v>
      </c>
      <c r="H17" s="5">
        <v>110</v>
      </c>
    </row>
    <row r="18" spans="1:8">
      <c r="A18" s="5">
        <v>16</v>
      </c>
      <c r="B18" s="5">
        <v>17</v>
      </c>
      <c r="C18" s="5">
        <v>0.4242</v>
      </c>
      <c r="D18" s="5">
        <v>0.82</v>
      </c>
      <c r="E18" s="5">
        <v>0.2985</v>
      </c>
      <c r="F18" s="5">
        <v>41</v>
      </c>
      <c r="G18" s="5">
        <v>52</v>
      </c>
      <c r="H18" s="5">
        <v>93</v>
      </c>
    </row>
    <row r="19" spans="1:8">
      <c r="A19" s="5">
        <v>17</v>
      </c>
      <c r="B19" s="5">
        <v>18</v>
      </c>
      <c r="D19" s="5">
        <v>0.82</v>
      </c>
      <c r="E19" s="5">
        <v>0.2836</v>
      </c>
      <c r="F19" s="5">
        <v>15</v>
      </c>
      <c r="G19" s="5">
        <v>52</v>
      </c>
      <c r="H19" s="5">
        <v>67</v>
      </c>
    </row>
    <row r="20" spans="1:8">
      <c r="A20" s="5">
        <v>18</v>
      </c>
      <c r="B20" s="5">
        <v>19</v>
      </c>
      <c r="C20" s="5">
        <v>0.4242</v>
      </c>
      <c r="D20" s="5">
        <v>0.88</v>
      </c>
      <c r="E20" s="5">
        <v>0.2537</v>
      </c>
      <c r="F20" s="5">
        <v>9</v>
      </c>
      <c r="G20" s="5">
        <v>26</v>
      </c>
      <c r="H20" s="5">
        <v>35</v>
      </c>
    </row>
    <row r="21" spans="1:8">
      <c r="A21" s="5">
        <v>19</v>
      </c>
      <c r="B21" s="5">
        <v>20</v>
      </c>
      <c r="C21" s="5">
        <v>0.4242</v>
      </c>
      <c r="D21" s="5">
        <v>0.88</v>
      </c>
      <c r="E21" s="5">
        <v>0.2537</v>
      </c>
      <c r="F21" s="5">
        <v>6</v>
      </c>
      <c r="G21" s="5">
        <v>31</v>
      </c>
      <c r="H21" s="5">
        <v>37</v>
      </c>
    </row>
    <row r="22" spans="1:8">
      <c r="A22" s="5">
        <v>20</v>
      </c>
      <c r="B22" s="5">
        <v>21</v>
      </c>
      <c r="C22" s="5">
        <v>0.4091</v>
      </c>
      <c r="D22" s="5">
        <v>0.87</v>
      </c>
      <c r="E22" s="5">
        <v>0.2537</v>
      </c>
      <c r="F22" s="5">
        <v>11</v>
      </c>
      <c r="G22" s="5">
        <v>25</v>
      </c>
      <c r="H22" s="5">
        <v>36</v>
      </c>
    </row>
    <row r="23" spans="1:8">
      <c r="A23" s="5">
        <v>21</v>
      </c>
      <c r="B23" s="5">
        <v>22</v>
      </c>
      <c r="C23" s="5">
        <v>0.4091</v>
      </c>
      <c r="D23" s="5">
        <v>0.87</v>
      </c>
      <c r="E23" s="5">
        <v>0.194</v>
      </c>
      <c r="F23" s="5">
        <v>3</v>
      </c>
      <c r="G23" s="5">
        <v>31</v>
      </c>
      <c r="H23" s="5">
        <v>34</v>
      </c>
    </row>
    <row r="24" spans="1:8">
      <c r="A24" s="5">
        <v>22</v>
      </c>
      <c r="B24" s="5">
        <v>23</v>
      </c>
      <c r="C24" s="5">
        <v>0.4091</v>
      </c>
      <c r="D24" s="5">
        <v>0.9399999999999999</v>
      </c>
      <c r="E24" s="5">
        <v>0.2239</v>
      </c>
      <c r="F24" s="5">
        <v>11</v>
      </c>
      <c r="G24" s="5">
        <v>17</v>
      </c>
      <c r="H24" s="5">
        <v>28</v>
      </c>
    </row>
    <row r="25" spans="1:8">
      <c r="A25" s="5">
        <v>23</v>
      </c>
      <c r="B25" s="5">
        <v>24</v>
      </c>
      <c r="D25" s="5">
        <v>0.88</v>
      </c>
      <c r="E25" s="5">
        <v>0.2985</v>
      </c>
      <c r="F25" s="5">
        <v>15</v>
      </c>
      <c r="G25" s="5">
        <v>24</v>
      </c>
      <c r="H25" s="5">
        <v>39</v>
      </c>
    </row>
    <row r="26" spans="1:8">
      <c r="A26" s="5">
        <v>24</v>
      </c>
      <c r="B26" s="5">
        <v>25</v>
      </c>
      <c r="C26" s="5">
        <v>0.4545</v>
      </c>
      <c r="D26" s="5">
        <v>0.88</v>
      </c>
      <c r="E26" s="5">
        <v>0.2985</v>
      </c>
      <c r="F26" s="5">
        <v>4</v>
      </c>
      <c r="G26" s="5">
        <v>13</v>
      </c>
      <c r="H26" s="5">
        <v>17</v>
      </c>
    </row>
    <row r="27" spans="1:8">
      <c r="A27" s="5">
        <v>25</v>
      </c>
      <c r="B27" s="5">
        <v>26</v>
      </c>
      <c r="C27" s="5">
        <v>0.4394</v>
      </c>
      <c r="D27" s="5">
        <v>0.9399999999999999</v>
      </c>
      <c r="E27" s="5">
        <v>0.2537</v>
      </c>
      <c r="F27" s="5">
        <v>1</v>
      </c>
      <c r="G27" s="5">
        <v>16</v>
      </c>
      <c r="H27" s="5">
        <v>17</v>
      </c>
    </row>
    <row r="28" spans="1:8">
      <c r="A28" s="5">
        <v>26</v>
      </c>
      <c r="B28" s="5">
        <v>27</v>
      </c>
      <c r="C28" s="5">
        <v>0.4242</v>
      </c>
      <c r="D28" s="5">
        <v>1</v>
      </c>
      <c r="E28" s="5">
        <v>0.2836</v>
      </c>
      <c r="F28" s="5">
        <v>1</v>
      </c>
      <c r="G28" s="5">
        <v>8</v>
      </c>
      <c r="H28" s="5">
        <v>9</v>
      </c>
    </row>
    <row r="29" spans="1:8">
      <c r="A29" s="5">
        <v>27</v>
      </c>
      <c r="B29" s="5">
        <v>28</v>
      </c>
      <c r="C29" s="5">
        <v>0.4545</v>
      </c>
      <c r="D29" s="5">
        <v>0.9399999999999999</v>
      </c>
      <c r="E29" s="5">
        <v>0.194</v>
      </c>
      <c r="F29" s="5">
        <v>2</v>
      </c>
      <c r="G29" s="5">
        <v>4</v>
      </c>
      <c r="H29" s="5">
        <v>6</v>
      </c>
    </row>
    <row r="30" spans="1:8">
      <c r="A30" s="5">
        <v>28</v>
      </c>
      <c r="B30" s="5">
        <v>29</v>
      </c>
      <c r="D30" s="5">
        <v>0.9399999999999999</v>
      </c>
      <c r="E30" s="5">
        <v>0.194</v>
      </c>
      <c r="F30" s="5">
        <v>2</v>
      </c>
      <c r="G30" s="5">
        <v>1</v>
      </c>
      <c r="H30" s="5">
        <v>3</v>
      </c>
    </row>
    <row r="31" spans="1:8">
      <c r="A31" s="5">
        <v>29</v>
      </c>
      <c r="B31" s="5">
        <v>30</v>
      </c>
      <c r="C31" s="5">
        <v>0.4242</v>
      </c>
      <c r="D31" s="5">
        <v>0.77</v>
      </c>
      <c r="E31" s="5">
        <v>0.2985</v>
      </c>
      <c r="F31" s="5">
        <v>0</v>
      </c>
      <c r="G31" s="5">
        <v>2</v>
      </c>
      <c r="H31" s="5">
        <v>2</v>
      </c>
    </row>
    <row r="32" spans="1:8">
      <c r="A32" s="5">
        <v>30</v>
      </c>
      <c r="B32" s="5">
        <v>31</v>
      </c>
      <c r="C32" s="5">
        <v>0.4091</v>
      </c>
      <c r="D32" s="5">
        <v>0.76</v>
      </c>
      <c r="E32" s="5">
        <v>0.194</v>
      </c>
      <c r="F32" s="5">
        <v>0</v>
      </c>
      <c r="G32" s="5">
        <v>1</v>
      </c>
      <c r="H32" s="5">
        <v>1</v>
      </c>
    </row>
    <row r="33" spans="1:8">
      <c r="A33" s="5">
        <v>31</v>
      </c>
      <c r="B33" s="5">
        <v>32</v>
      </c>
      <c r="C33" s="5">
        <v>0.4091</v>
      </c>
      <c r="D33" s="5">
        <v>0.71</v>
      </c>
      <c r="E33" s="5">
        <v>0.2239</v>
      </c>
      <c r="F33" s="5">
        <v>0</v>
      </c>
      <c r="G33" s="5">
        <v>8</v>
      </c>
      <c r="H33" s="5">
        <v>8</v>
      </c>
    </row>
    <row r="34" spans="1:8">
      <c r="A34" s="5">
        <v>32</v>
      </c>
      <c r="B34" s="5">
        <v>33</v>
      </c>
      <c r="D34" s="5">
        <v>0.76</v>
      </c>
      <c r="E34" s="5">
        <v>0.2239</v>
      </c>
      <c r="F34" s="5">
        <v>1</v>
      </c>
      <c r="G34" s="5">
        <v>19</v>
      </c>
      <c r="H34" s="5">
        <v>20</v>
      </c>
    </row>
    <row r="35" spans="1:8">
      <c r="A35" s="5">
        <v>33</v>
      </c>
      <c r="B35" s="5">
        <v>34</v>
      </c>
      <c r="C35" s="5">
        <v>0.3485</v>
      </c>
      <c r="D35" s="5">
        <v>0.8100000000000001</v>
      </c>
      <c r="E35" s="5">
        <v>0.2239</v>
      </c>
      <c r="F35" s="5">
        <v>7</v>
      </c>
      <c r="G35" s="5">
        <v>46</v>
      </c>
      <c r="H35" s="5">
        <v>53</v>
      </c>
    </row>
    <row r="36" spans="1:8">
      <c r="A36" s="5">
        <v>34</v>
      </c>
      <c r="B36" s="5">
        <v>35</v>
      </c>
      <c r="C36" s="5">
        <v>0.3333</v>
      </c>
      <c r="D36" s="5">
        <v>0.71</v>
      </c>
      <c r="E36" s="5">
        <v>0.2537</v>
      </c>
      <c r="F36" s="5">
        <v>16</v>
      </c>
      <c r="G36" s="5">
        <v>54</v>
      </c>
      <c r="H36" s="5">
        <v>70</v>
      </c>
    </row>
    <row r="37" spans="1:8">
      <c r="A37" s="5">
        <v>35</v>
      </c>
      <c r="B37" s="5">
        <v>36</v>
      </c>
      <c r="C37" s="5">
        <v>0.3333</v>
      </c>
      <c r="D37" s="5">
        <v>0.66</v>
      </c>
      <c r="E37" s="5">
        <v>0.2985</v>
      </c>
      <c r="F37" s="5">
        <v>20</v>
      </c>
      <c r="G37" s="5">
        <v>73</v>
      </c>
      <c r="H37" s="5">
        <v>93</v>
      </c>
    </row>
    <row r="38" spans="1:8">
      <c r="A38" s="5">
        <v>36</v>
      </c>
      <c r="B38" s="5">
        <v>37</v>
      </c>
      <c r="C38" s="5">
        <v>0.3485</v>
      </c>
      <c r="D38" s="5">
        <v>0.66</v>
      </c>
      <c r="E38" s="5">
        <v>0.1343</v>
      </c>
      <c r="F38" s="5">
        <v>11</v>
      </c>
      <c r="G38" s="5">
        <v>64</v>
      </c>
      <c r="H38" s="5">
        <v>75</v>
      </c>
    </row>
    <row r="39" spans="1:8">
      <c r="A39" s="5">
        <v>37</v>
      </c>
      <c r="B39" s="5">
        <v>38</v>
      </c>
      <c r="D39" s="5">
        <v>0.76</v>
      </c>
      <c r="E39" s="5">
        <v>0.194</v>
      </c>
      <c r="F39" s="5">
        <v>4</v>
      </c>
      <c r="G39" s="5">
        <v>55</v>
      </c>
      <c r="H39" s="5">
        <v>59</v>
      </c>
    </row>
    <row r="40" spans="1:8">
      <c r="A40" s="5">
        <v>38</v>
      </c>
      <c r="B40" s="5">
        <v>39</v>
      </c>
      <c r="C40" s="5">
        <v>0.3333</v>
      </c>
      <c r="D40" s="5">
        <v>0.8100000000000001</v>
      </c>
      <c r="E40" s="5">
        <v>0.1642</v>
      </c>
      <c r="F40" s="5">
        <v>19</v>
      </c>
      <c r="G40" s="5">
        <v>55</v>
      </c>
      <c r="H40" s="5">
        <v>74</v>
      </c>
    </row>
    <row r="41" spans="1:8">
      <c r="A41" s="5">
        <v>39</v>
      </c>
      <c r="B41" s="5">
        <v>40</v>
      </c>
      <c r="C41" s="5">
        <v>0.3333</v>
      </c>
      <c r="D41" s="5">
        <v>0.71</v>
      </c>
      <c r="E41" s="5">
        <v>0.1642</v>
      </c>
      <c r="F41" s="5">
        <v>9</v>
      </c>
      <c r="G41" s="5">
        <v>67</v>
      </c>
      <c r="H41" s="5">
        <v>76</v>
      </c>
    </row>
    <row r="42" spans="1:8">
      <c r="A42" s="5">
        <v>40</v>
      </c>
      <c r="B42" s="5">
        <v>41</v>
      </c>
      <c r="C42" s="5">
        <v>0.3333</v>
      </c>
      <c r="D42" s="5">
        <v>0.57</v>
      </c>
      <c r="E42" s="5">
        <v>0.194</v>
      </c>
      <c r="F42" s="5">
        <v>7</v>
      </c>
      <c r="G42" s="5">
        <v>58</v>
      </c>
      <c r="H42" s="5">
        <v>65</v>
      </c>
    </row>
    <row r="43" spans="1:8">
      <c r="A43" s="5">
        <v>41</v>
      </c>
      <c r="B43" s="5">
        <v>42</v>
      </c>
      <c r="C43" s="5">
        <v>0.3333</v>
      </c>
      <c r="D43" s="5">
        <v>0.46</v>
      </c>
      <c r="E43" s="5">
        <v>0.3284</v>
      </c>
      <c r="F43" s="5">
        <v>10</v>
      </c>
      <c r="G43" s="5">
        <v>43</v>
      </c>
      <c r="H43" s="5">
        <v>53</v>
      </c>
    </row>
    <row r="44" spans="1:8">
      <c r="A44" s="5">
        <v>42</v>
      </c>
      <c r="B44" s="5">
        <v>43</v>
      </c>
      <c r="C44" s="5">
        <v>0.2879</v>
      </c>
      <c r="D44" s="5">
        <v>0.42</v>
      </c>
      <c r="E44" s="5">
        <v>0.4478</v>
      </c>
      <c r="F44" s="5">
        <v>1</v>
      </c>
      <c r="G44" s="5">
        <v>29</v>
      </c>
      <c r="H44" s="5">
        <v>30</v>
      </c>
    </row>
    <row r="45" spans="1:8">
      <c r="A45" s="5">
        <v>43</v>
      </c>
      <c r="B45" s="5">
        <v>44</v>
      </c>
      <c r="D45" s="5">
        <v>0.39</v>
      </c>
      <c r="E45" s="5">
        <v>0.3582</v>
      </c>
      <c r="F45" s="5">
        <v>5</v>
      </c>
      <c r="G45" s="5">
        <v>17</v>
      </c>
      <c r="H45" s="5">
        <v>22</v>
      </c>
    </row>
    <row r="46" spans="1:8">
      <c r="A46" s="5">
        <v>44</v>
      </c>
      <c r="B46" s="5">
        <v>45</v>
      </c>
      <c r="C46" s="5">
        <v>0.2273</v>
      </c>
      <c r="D46" s="5">
        <v>0.44</v>
      </c>
      <c r="E46" s="5">
        <v>0.3284</v>
      </c>
      <c r="F46" s="5">
        <v>11</v>
      </c>
      <c r="G46" s="5">
        <v>20</v>
      </c>
      <c r="H46" s="5">
        <v>31</v>
      </c>
    </row>
    <row r="47" spans="1:8">
      <c r="A47" s="5">
        <v>45</v>
      </c>
      <c r="B47" s="5">
        <v>46</v>
      </c>
      <c r="C47" s="5">
        <v>0.2121</v>
      </c>
      <c r="D47" s="5">
        <v>0.44</v>
      </c>
      <c r="E47" s="5">
        <v>0.2985</v>
      </c>
      <c r="F47" s="5">
        <v>0</v>
      </c>
      <c r="G47" s="5">
        <v>9</v>
      </c>
      <c r="H47" s="5">
        <v>9</v>
      </c>
    </row>
    <row r="48" spans="1:8">
      <c r="A48" s="5">
        <v>46</v>
      </c>
      <c r="B48" s="5">
        <v>47</v>
      </c>
      <c r="C48" s="5">
        <v>0.2273</v>
      </c>
      <c r="D48" s="5">
        <v>0.47</v>
      </c>
      <c r="E48" s="5">
        <v>0.1642</v>
      </c>
      <c r="F48" s="5">
        <v>0</v>
      </c>
      <c r="G48" s="5">
        <v>8</v>
      </c>
      <c r="H48" s="5">
        <v>8</v>
      </c>
    </row>
    <row r="49" spans="1:8">
      <c r="A49" s="5">
        <v>47</v>
      </c>
      <c r="B49" s="5">
        <v>48</v>
      </c>
      <c r="C49" s="5">
        <v>0.197</v>
      </c>
      <c r="D49" s="5">
        <v>0.44</v>
      </c>
      <c r="E49" s="5">
        <v>0.3582</v>
      </c>
      <c r="F49" s="5">
        <v>0</v>
      </c>
      <c r="G49" s="5">
        <v>5</v>
      </c>
      <c r="H49" s="5">
        <v>5</v>
      </c>
    </row>
    <row r="50" spans="1:8">
      <c r="A50" s="5">
        <v>48</v>
      </c>
      <c r="B50" s="5">
        <v>49</v>
      </c>
      <c r="D50" s="5">
        <v>0.44</v>
      </c>
      <c r="E50" s="5">
        <v>0.4179</v>
      </c>
      <c r="F50" s="5">
        <v>0</v>
      </c>
      <c r="G50" s="5">
        <v>2</v>
      </c>
      <c r="H50" s="5">
        <v>2</v>
      </c>
    </row>
    <row r="51" spans="1:8">
      <c r="A51" s="5">
        <v>49</v>
      </c>
      <c r="B51" s="5">
        <v>50</v>
      </c>
      <c r="C51" s="5">
        <v>0.1364</v>
      </c>
      <c r="D51" s="5">
        <v>0.47</v>
      </c>
      <c r="E51" s="5">
        <v>0.3881</v>
      </c>
      <c r="F51" s="5">
        <v>0</v>
      </c>
      <c r="G51" s="5">
        <v>1</v>
      </c>
      <c r="H51" s="5">
        <v>1</v>
      </c>
    </row>
    <row r="52" spans="1:8">
      <c r="A52" s="5">
        <v>50</v>
      </c>
      <c r="B52" s="5">
        <v>51</v>
      </c>
      <c r="C52" s="5">
        <v>0.1364</v>
      </c>
      <c r="D52" s="5">
        <v>0.47</v>
      </c>
      <c r="E52" s="5">
        <v>0.2836</v>
      </c>
      <c r="F52" s="5">
        <v>0</v>
      </c>
      <c r="G52" s="5">
        <v>3</v>
      </c>
      <c r="H52" s="5">
        <v>3</v>
      </c>
    </row>
    <row r="53" spans="1:8">
      <c r="A53" s="5">
        <v>51</v>
      </c>
      <c r="B53" s="5">
        <v>52</v>
      </c>
      <c r="C53" s="5">
        <v>0.1061</v>
      </c>
      <c r="D53" s="5">
        <v>0.5</v>
      </c>
      <c r="E53" s="5">
        <v>0.3881</v>
      </c>
      <c r="F53" s="5">
        <v>0</v>
      </c>
      <c r="G53" s="5">
        <v>30</v>
      </c>
      <c r="H53" s="5">
        <v>30</v>
      </c>
    </row>
    <row r="54" spans="1:8">
      <c r="A54" s="5">
        <v>52</v>
      </c>
      <c r="B54" s="5">
        <v>53</v>
      </c>
      <c r="C54" s="5">
        <v>0.1364</v>
      </c>
      <c r="D54" s="5">
        <v>0.5</v>
      </c>
      <c r="E54" s="5">
        <v>0.194</v>
      </c>
      <c r="F54" s="5">
        <v>1</v>
      </c>
      <c r="G54" s="5">
        <v>63</v>
      </c>
      <c r="H54" s="5">
        <v>64</v>
      </c>
    </row>
    <row r="55" spans="1:8">
      <c r="A55" s="5">
        <v>53</v>
      </c>
      <c r="B55" s="5">
        <v>54</v>
      </c>
      <c r="C55" s="5">
        <v>0.1212</v>
      </c>
      <c r="D55" s="5">
        <v>0.5</v>
      </c>
      <c r="E55" s="5">
        <v>0.2836</v>
      </c>
      <c r="F55" s="5">
        <v>1</v>
      </c>
      <c r="G55" s="5">
        <v>153</v>
      </c>
      <c r="H55" s="5">
        <v>154</v>
      </c>
    </row>
    <row r="56" spans="1:8">
      <c r="A56" s="5">
        <v>54</v>
      </c>
      <c r="B56" s="5">
        <v>55</v>
      </c>
      <c r="C56" s="5">
        <v>0.1364</v>
      </c>
      <c r="D56" s="5">
        <v>0.43</v>
      </c>
      <c r="E56" s="5">
        <v>0.3881</v>
      </c>
      <c r="F56" s="5">
        <v>7</v>
      </c>
      <c r="G56" s="5">
        <v>81</v>
      </c>
      <c r="H56" s="5">
        <v>88</v>
      </c>
    </row>
    <row r="57" spans="1:8">
      <c r="A57" s="5">
        <v>55</v>
      </c>
      <c r="B57" s="5">
        <v>56</v>
      </c>
      <c r="C57" s="5">
        <v>0.1667</v>
      </c>
      <c r="D57" s="5">
        <v>0.43</v>
      </c>
      <c r="E57" s="5">
        <v>0.2537</v>
      </c>
      <c r="F57" s="5">
        <v>11</v>
      </c>
      <c r="G57" s="5">
        <v>33</v>
      </c>
      <c r="H57" s="5">
        <v>44</v>
      </c>
    </row>
    <row r="58" spans="1:8">
      <c r="A58" s="5">
        <v>56</v>
      </c>
      <c r="B58" s="5">
        <v>57</v>
      </c>
      <c r="C58" s="5">
        <v>0.1818</v>
      </c>
      <c r="D58" s="5">
        <v>0.4</v>
      </c>
      <c r="E58" s="5">
        <v>0.3284</v>
      </c>
      <c r="F58" s="5">
        <v>10</v>
      </c>
      <c r="G58" s="5">
        <v>41</v>
      </c>
      <c r="H58" s="5">
        <v>51</v>
      </c>
    </row>
    <row r="59" spans="1:8">
      <c r="A59" s="5">
        <v>57</v>
      </c>
      <c r="B59" s="5">
        <v>58</v>
      </c>
      <c r="C59" s="5">
        <v>0.2121</v>
      </c>
      <c r="D59" s="5">
        <v>0.35</v>
      </c>
      <c r="E59" s="5">
        <v>0.2985</v>
      </c>
      <c r="F59" s="5">
        <v>13</v>
      </c>
      <c r="G59" s="5">
        <v>48</v>
      </c>
      <c r="H59" s="5">
        <v>61</v>
      </c>
    </row>
    <row r="60" spans="1:8">
      <c r="A60" s="5">
        <v>58</v>
      </c>
      <c r="B60" s="5">
        <v>59</v>
      </c>
      <c r="D60" s="5">
        <v>0.35</v>
      </c>
      <c r="E60" s="5">
        <v>0.2836</v>
      </c>
      <c r="F60" s="5">
        <v>8</v>
      </c>
      <c r="G60" s="5">
        <v>53</v>
      </c>
      <c r="H60" s="5">
        <v>61</v>
      </c>
    </row>
    <row r="61" spans="1:8">
      <c r="A61" s="5">
        <v>59</v>
      </c>
      <c r="B61" s="5">
        <v>60</v>
      </c>
      <c r="C61" s="5">
        <v>0.2424</v>
      </c>
      <c r="D61" s="5">
        <v>0.3</v>
      </c>
      <c r="E61" s="5">
        <v>0.2836</v>
      </c>
      <c r="F61" s="5">
        <v>11</v>
      </c>
      <c r="G61" s="5">
        <v>66</v>
      </c>
      <c r="H61" s="5">
        <v>77</v>
      </c>
    </row>
    <row r="62" spans="1:8">
      <c r="A62" s="5">
        <v>60</v>
      </c>
      <c r="B62" s="5">
        <v>61</v>
      </c>
      <c r="C62" s="5">
        <v>0.2424</v>
      </c>
      <c r="D62" s="5">
        <v>0.3</v>
      </c>
      <c r="E62" s="5">
        <v>0.2537</v>
      </c>
      <c r="F62" s="5">
        <v>14</v>
      </c>
      <c r="G62" s="5">
        <v>58</v>
      </c>
      <c r="H62" s="5">
        <v>72</v>
      </c>
    </row>
    <row r="63" spans="1:8">
      <c r="A63" s="5">
        <v>61</v>
      </c>
      <c r="B63" s="5">
        <v>62</v>
      </c>
      <c r="C63" s="5">
        <v>0.2424</v>
      </c>
      <c r="D63" s="5">
        <v>0.3</v>
      </c>
      <c r="E63" s="5">
        <v>0.2537</v>
      </c>
      <c r="F63" s="5">
        <v>9</v>
      </c>
      <c r="G63" s="5">
        <v>67</v>
      </c>
      <c r="H63" s="5">
        <v>76</v>
      </c>
    </row>
    <row r="64" spans="1:8">
      <c r="A64" s="5">
        <v>62</v>
      </c>
      <c r="B64" s="5">
        <v>63</v>
      </c>
      <c r="C64" s="5">
        <v>0.2273</v>
      </c>
      <c r="D64" s="5">
        <v>0.3</v>
      </c>
      <c r="E64" s="5">
        <v>0.2239</v>
      </c>
      <c r="F64" s="5">
        <v>11</v>
      </c>
      <c r="G64" s="5">
        <v>146</v>
      </c>
      <c r="H64" s="5">
        <v>157</v>
      </c>
    </row>
    <row r="65" spans="1:8">
      <c r="A65" s="5">
        <v>63</v>
      </c>
      <c r="B65" s="5">
        <v>64</v>
      </c>
      <c r="C65" s="5">
        <v>0.2576</v>
      </c>
      <c r="D65" s="5">
        <v>0.32</v>
      </c>
      <c r="E65" s="5">
        <v>0.1045</v>
      </c>
      <c r="F65" s="5">
        <v>9</v>
      </c>
      <c r="G65" s="5">
        <v>148</v>
      </c>
      <c r="H65" s="5">
        <v>157</v>
      </c>
    </row>
    <row r="66" spans="1:8">
      <c r="A66" s="5">
        <v>64</v>
      </c>
      <c r="B66" s="5">
        <v>65</v>
      </c>
      <c r="C66" s="5">
        <v>0.2576</v>
      </c>
      <c r="D66" s="5">
        <v>0.47</v>
      </c>
      <c r="E66" s="5">
        <v>0</v>
      </c>
      <c r="F66" s="5">
        <v>8</v>
      </c>
      <c r="G66" s="5">
        <v>102</v>
      </c>
      <c r="H66" s="5">
        <v>110</v>
      </c>
    </row>
    <row r="67" spans="1:8">
      <c r="A67" s="5">
        <v>65</v>
      </c>
      <c r="B67" s="5">
        <v>66</v>
      </c>
      <c r="D67" s="5">
        <v>0.47</v>
      </c>
      <c r="E67" s="5">
        <v>0.1045</v>
      </c>
      <c r="F67" s="5">
        <v>3</v>
      </c>
      <c r="G67" s="5">
        <v>49</v>
      </c>
      <c r="H67" s="5">
        <v>52</v>
      </c>
    </row>
    <row r="68" spans="1:8">
      <c r="A68" s="5">
        <v>66</v>
      </c>
      <c r="B68" s="5">
        <v>67</v>
      </c>
      <c r="C68" s="5">
        <v>0.197</v>
      </c>
      <c r="D68" s="5">
        <v>0.64</v>
      </c>
      <c r="E68" s="5">
        <v>0.1343</v>
      </c>
      <c r="F68" s="5">
        <v>3</v>
      </c>
      <c r="G68" s="5">
        <v>49</v>
      </c>
      <c r="H68" s="5">
        <v>52</v>
      </c>
    </row>
    <row r="69" spans="1:8">
      <c r="A69" s="5">
        <v>67</v>
      </c>
      <c r="B69" s="5">
        <v>68</v>
      </c>
      <c r="C69" s="5">
        <v>0.1515</v>
      </c>
      <c r="D69" s="5">
        <v>0.6899999999999999</v>
      </c>
      <c r="E69" s="5">
        <v>0.1343</v>
      </c>
      <c r="F69" s="5">
        <v>0</v>
      </c>
      <c r="G69" s="5">
        <v>20</v>
      </c>
      <c r="H69" s="5">
        <v>20</v>
      </c>
    </row>
    <row r="70" spans="1:8">
      <c r="A70" s="5">
        <v>68</v>
      </c>
      <c r="B70" s="5">
        <v>69</v>
      </c>
      <c r="C70" s="5">
        <v>0.2121</v>
      </c>
      <c r="D70" s="5">
        <v>0.55</v>
      </c>
      <c r="E70" s="5">
        <v>0.1045</v>
      </c>
      <c r="F70" s="5">
        <v>1</v>
      </c>
      <c r="G70" s="5">
        <v>11</v>
      </c>
      <c r="H70" s="5">
        <v>12</v>
      </c>
    </row>
    <row r="71" spans="1:8">
      <c r="A71" s="5">
        <v>69</v>
      </c>
      <c r="B71" s="5">
        <v>70</v>
      </c>
      <c r="D71" s="5">
        <v>0.55</v>
      </c>
      <c r="E71" s="5">
        <v>0.1045</v>
      </c>
      <c r="F71" s="5">
        <v>0</v>
      </c>
      <c r="G71" s="5">
        <v>5</v>
      </c>
      <c r="H71" s="5">
        <v>5</v>
      </c>
    </row>
    <row r="72" spans="1:8">
      <c r="A72" s="5">
        <v>70</v>
      </c>
      <c r="B72" s="5">
        <v>71</v>
      </c>
      <c r="C72" s="5">
        <v>0.1818</v>
      </c>
      <c r="D72" s="5">
        <v>0.59</v>
      </c>
      <c r="E72" s="5">
        <v>0.1045</v>
      </c>
      <c r="F72" s="5">
        <v>0</v>
      </c>
      <c r="G72" s="5">
        <v>2</v>
      </c>
      <c r="H72" s="5">
        <v>2</v>
      </c>
    </row>
    <row r="73" spans="1:8">
      <c r="A73" s="5">
        <v>71</v>
      </c>
      <c r="B73" s="5">
        <v>72</v>
      </c>
      <c r="C73" s="5">
        <v>0.1515</v>
      </c>
      <c r="D73" s="5">
        <v>0.63</v>
      </c>
      <c r="E73" s="5">
        <v>0.1343</v>
      </c>
      <c r="F73" s="5">
        <v>0</v>
      </c>
      <c r="G73" s="5">
        <v>1</v>
      </c>
      <c r="H73" s="5">
        <v>1</v>
      </c>
    </row>
    <row r="74" spans="1:8">
      <c r="A74" s="5">
        <v>72</v>
      </c>
      <c r="B74" s="5">
        <v>73</v>
      </c>
      <c r="C74" s="5">
        <v>0.1818</v>
      </c>
      <c r="D74" s="5">
        <v>0.63</v>
      </c>
      <c r="E74" s="5">
        <v>0.0896</v>
      </c>
      <c r="F74" s="5">
        <v>0</v>
      </c>
      <c r="G74" s="5">
        <v>2</v>
      </c>
      <c r="H74" s="5">
        <v>2</v>
      </c>
    </row>
    <row r="75" spans="1:8">
      <c r="A75" s="5">
        <v>73</v>
      </c>
      <c r="B75" s="5">
        <v>74</v>
      </c>
      <c r="C75" s="5">
        <v>0.1515</v>
      </c>
      <c r="D75" s="5">
        <v>0.68</v>
      </c>
      <c r="E75" s="5">
        <v>0.1045</v>
      </c>
      <c r="F75" s="5">
        <v>0</v>
      </c>
      <c r="G75" s="5">
        <v>4</v>
      </c>
      <c r="H75" s="5">
        <v>4</v>
      </c>
    </row>
    <row r="76" spans="1:8">
      <c r="A76" s="5">
        <v>74</v>
      </c>
      <c r="B76" s="5">
        <v>75</v>
      </c>
      <c r="C76" s="5">
        <v>0.1515</v>
      </c>
      <c r="D76" s="5">
        <v>0.74</v>
      </c>
      <c r="E76" s="5">
        <v>0.1045</v>
      </c>
      <c r="F76" s="5">
        <v>0</v>
      </c>
      <c r="G76" s="5">
        <v>36</v>
      </c>
      <c r="H76" s="5">
        <v>36</v>
      </c>
    </row>
    <row r="77" spans="1:8">
      <c r="A77" s="5">
        <v>75</v>
      </c>
      <c r="B77" s="5">
        <v>76</v>
      </c>
      <c r="C77" s="5">
        <v>0.1515</v>
      </c>
      <c r="D77" s="5">
        <v>0.74</v>
      </c>
      <c r="E77" s="5">
        <v>0.1343</v>
      </c>
      <c r="F77" s="5">
        <v>2</v>
      </c>
      <c r="G77" s="5">
        <v>92</v>
      </c>
      <c r="H77" s="5">
        <v>94</v>
      </c>
    </row>
    <row r="78" spans="1:8">
      <c r="A78" s="5">
        <v>76</v>
      </c>
      <c r="B78" s="5">
        <v>77</v>
      </c>
      <c r="C78" s="5">
        <v>0.1515</v>
      </c>
      <c r="D78" s="5">
        <v>0.6899999999999999</v>
      </c>
      <c r="E78" s="5">
        <v>0.1642</v>
      </c>
      <c r="F78" s="5">
        <v>2</v>
      </c>
      <c r="G78" s="5">
        <v>177</v>
      </c>
      <c r="H78" s="5">
        <v>179</v>
      </c>
    </row>
    <row r="79" spans="1:8">
      <c r="A79" s="5">
        <v>77</v>
      </c>
      <c r="B79" s="5">
        <v>78</v>
      </c>
      <c r="C79" s="5">
        <v>0.1515</v>
      </c>
      <c r="D79" s="5">
        <v>0.64</v>
      </c>
      <c r="E79" s="5">
        <v>0.2239</v>
      </c>
      <c r="F79" s="5">
        <v>2</v>
      </c>
      <c r="G79" s="5">
        <v>98</v>
      </c>
      <c r="H79" s="5">
        <v>100</v>
      </c>
    </row>
    <row r="80" spans="1:8">
      <c r="A80" s="5">
        <v>78</v>
      </c>
      <c r="B80" s="5">
        <v>79</v>
      </c>
      <c r="C80" s="5">
        <v>0.1364</v>
      </c>
      <c r="D80" s="5">
        <v>0.6899999999999999</v>
      </c>
      <c r="E80" s="5">
        <v>0.3284</v>
      </c>
      <c r="F80" s="5">
        <v>5</v>
      </c>
      <c r="G80" s="5">
        <v>37</v>
      </c>
      <c r="H80" s="5">
        <v>42</v>
      </c>
    </row>
    <row r="81" spans="1:8">
      <c r="A81" s="5">
        <v>79</v>
      </c>
      <c r="B81" s="5">
        <v>80</v>
      </c>
      <c r="C81" s="5">
        <v>0.2121</v>
      </c>
      <c r="D81" s="5">
        <v>0.51</v>
      </c>
      <c r="E81" s="5">
        <v>0.2985</v>
      </c>
      <c r="F81" s="5">
        <v>7</v>
      </c>
      <c r="G81" s="5">
        <v>50</v>
      </c>
      <c r="H81" s="5">
        <v>57</v>
      </c>
    </row>
    <row r="82" spans="1:8">
      <c r="A82" s="5">
        <v>80</v>
      </c>
      <c r="B82" s="5">
        <v>81</v>
      </c>
      <c r="C82" s="5">
        <v>0.2273</v>
      </c>
      <c r="D82" s="5">
        <v>0.51</v>
      </c>
      <c r="E82" s="5">
        <v>0.1642</v>
      </c>
      <c r="F82" s="5">
        <v>12</v>
      </c>
      <c r="G82" s="5">
        <v>66</v>
      </c>
      <c r="H82" s="5">
        <v>78</v>
      </c>
    </row>
    <row r="83" spans="1:8">
      <c r="A83" s="5">
        <v>81</v>
      </c>
      <c r="B83" s="5">
        <v>82</v>
      </c>
      <c r="C83" s="5">
        <v>0.2273</v>
      </c>
      <c r="D83" s="5">
        <v>0.5600000000000001</v>
      </c>
      <c r="E83" s="5">
        <v>0.194</v>
      </c>
      <c r="F83" s="5">
        <v>18</v>
      </c>
      <c r="G83" s="5">
        <v>79</v>
      </c>
      <c r="H83" s="5">
        <v>97</v>
      </c>
    </row>
    <row r="84" spans="1:8">
      <c r="A84" s="5">
        <v>82</v>
      </c>
      <c r="B84" s="5">
        <v>83</v>
      </c>
      <c r="C84" s="5">
        <v>0.2576</v>
      </c>
      <c r="D84" s="5">
        <v>0.52</v>
      </c>
      <c r="E84" s="5">
        <v>0.2239</v>
      </c>
      <c r="F84" s="5">
        <v>9</v>
      </c>
      <c r="G84" s="5">
        <v>54</v>
      </c>
      <c r="H84" s="5">
        <v>63</v>
      </c>
    </row>
    <row r="85" spans="1:8">
      <c r="A85" s="5">
        <v>83</v>
      </c>
      <c r="B85" s="5">
        <v>84</v>
      </c>
      <c r="C85" s="5">
        <v>0.2727</v>
      </c>
      <c r="D85" s="5">
        <v>0.52</v>
      </c>
      <c r="E85" s="5">
        <v>0.2537</v>
      </c>
      <c r="F85" s="5">
        <v>17</v>
      </c>
      <c r="G85" s="5">
        <v>48</v>
      </c>
      <c r="H85" s="5">
        <v>65</v>
      </c>
    </row>
    <row r="86" spans="1:8">
      <c r="A86" s="5">
        <v>84</v>
      </c>
      <c r="B86" s="5">
        <v>85</v>
      </c>
      <c r="C86" s="5">
        <v>0.2879</v>
      </c>
      <c r="D86" s="5">
        <v>0.49</v>
      </c>
      <c r="E86" s="5">
        <v>0.2537</v>
      </c>
      <c r="F86" s="5">
        <v>15</v>
      </c>
      <c r="G86" s="5">
        <v>68</v>
      </c>
      <c r="H86" s="5">
        <v>83</v>
      </c>
    </row>
    <row r="87" spans="1:8">
      <c r="A87" s="5">
        <v>85</v>
      </c>
      <c r="B87" s="5">
        <v>86</v>
      </c>
      <c r="C87" s="5">
        <v>0.2727</v>
      </c>
      <c r="D87" s="5">
        <v>0.48</v>
      </c>
      <c r="E87" s="5">
        <v>0.2239</v>
      </c>
      <c r="F87" s="5">
        <v>10</v>
      </c>
      <c r="G87" s="5">
        <v>202</v>
      </c>
      <c r="H87" s="5">
        <v>212</v>
      </c>
    </row>
    <row r="88" spans="1:8">
      <c r="A88" s="5">
        <v>86</v>
      </c>
      <c r="B88" s="5">
        <v>87</v>
      </c>
      <c r="C88" s="5">
        <v>0.2576</v>
      </c>
      <c r="D88" s="5">
        <v>0.48</v>
      </c>
      <c r="E88" s="5">
        <v>0.194</v>
      </c>
      <c r="F88" s="5">
        <v>3</v>
      </c>
      <c r="G88" s="5">
        <v>179</v>
      </c>
      <c r="H88" s="5">
        <v>182</v>
      </c>
    </row>
    <row r="89" spans="1:8">
      <c r="A89" s="5">
        <v>87</v>
      </c>
      <c r="B89" s="5">
        <v>88</v>
      </c>
      <c r="C89" s="5">
        <v>0.2576</v>
      </c>
      <c r="D89" s="5">
        <v>0.48</v>
      </c>
      <c r="E89" s="5">
        <v>0.1045</v>
      </c>
      <c r="F89" s="5">
        <v>2</v>
      </c>
      <c r="G89" s="5">
        <v>110</v>
      </c>
      <c r="H89" s="5">
        <v>112</v>
      </c>
    </row>
    <row r="90" spans="1:8">
      <c r="A90" s="5">
        <v>88</v>
      </c>
      <c r="B90" s="5">
        <v>89</v>
      </c>
      <c r="C90" s="5">
        <v>0.2576</v>
      </c>
      <c r="D90" s="5">
        <v>0.48</v>
      </c>
      <c r="E90" s="5">
        <v>0.1045</v>
      </c>
      <c r="F90" s="5">
        <v>1</v>
      </c>
      <c r="G90" s="5">
        <v>53</v>
      </c>
      <c r="H90" s="5">
        <v>54</v>
      </c>
    </row>
    <row r="91" spans="1:8">
      <c r="A91" s="5">
        <v>89</v>
      </c>
      <c r="B91" s="5">
        <v>90</v>
      </c>
      <c r="C91" s="5">
        <v>0.2727</v>
      </c>
      <c r="D91" s="5">
        <v>0.64</v>
      </c>
      <c r="E91" s="5">
        <v>0</v>
      </c>
      <c r="F91" s="5">
        <v>0</v>
      </c>
      <c r="G91" s="5">
        <v>48</v>
      </c>
      <c r="H91" s="5">
        <v>48</v>
      </c>
    </row>
    <row r="92" spans="1:8">
      <c r="A92" s="5">
        <v>90</v>
      </c>
      <c r="B92" s="5">
        <v>91</v>
      </c>
      <c r="C92" s="5">
        <v>0.2576</v>
      </c>
      <c r="D92" s="5">
        <v>0.64</v>
      </c>
      <c r="E92" s="5">
        <v>0.0896</v>
      </c>
      <c r="F92" s="5">
        <v>1</v>
      </c>
      <c r="G92" s="5">
        <v>34</v>
      </c>
      <c r="H92" s="5">
        <v>35</v>
      </c>
    </row>
    <row r="93" spans="1:8">
      <c r="A93" s="5">
        <v>91</v>
      </c>
      <c r="B93" s="5">
        <v>92</v>
      </c>
      <c r="C93" s="5">
        <v>0.2273</v>
      </c>
      <c r="D93" s="5">
        <v>0.6899999999999999</v>
      </c>
      <c r="E93" s="5">
        <v>0.0896</v>
      </c>
      <c r="F93" s="5">
        <v>2</v>
      </c>
      <c r="G93" s="5">
        <v>9</v>
      </c>
      <c r="H93" s="5">
        <v>11</v>
      </c>
    </row>
    <row r="94" spans="1:8">
      <c r="A94" s="5">
        <v>92</v>
      </c>
      <c r="B94" s="5">
        <v>93</v>
      </c>
      <c r="C94" s="5">
        <v>0.2576</v>
      </c>
      <c r="D94" s="5">
        <v>0.64</v>
      </c>
      <c r="E94" s="5">
        <v>0</v>
      </c>
      <c r="F94" s="5">
        <v>0</v>
      </c>
      <c r="G94" s="5">
        <v>6</v>
      </c>
      <c r="H94" s="5">
        <v>6</v>
      </c>
    </row>
    <row r="95" spans="1:8">
      <c r="A95" s="5">
        <v>93</v>
      </c>
      <c r="B95" s="5">
        <v>94</v>
      </c>
      <c r="C95" s="5">
        <v>0.197</v>
      </c>
      <c r="D95" s="5">
        <v>0.74</v>
      </c>
      <c r="E95" s="5">
        <v>0.0896</v>
      </c>
      <c r="F95" s="5">
        <v>0</v>
      </c>
      <c r="G95" s="5">
        <v>6</v>
      </c>
      <c r="H95" s="5">
        <v>6</v>
      </c>
    </row>
    <row r="96" spans="1:8">
      <c r="A96" s="5">
        <v>94</v>
      </c>
      <c r="B96" s="5">
        <v>95</v>
      </c>
      <c r="C96" s="5">
        <v>0.197</v>
      </c>
      <c r="D96" s="5">
        <v>0.74</v>
      </c>
      <c r="E96" s="5">
        <v>0.0896</v>
      </c>
      <c r="F96" s="5">
        <v>0</v>
      </c>
      <c r="G96" s="5">
        <v>2</v>
      </c>
      <c r="H96" s="5">
        <v>2</v>
      </c>
    </row>
    <row r="97" spans="1:8">
      <c r="A97" s="5">
        <v>95</v>
      </c>
      <c r="B97" s="5">
        <v>96</v>
      </c>
      <c r="C97" s="5">
        <v>0.2273</v>
      </c>
      <c r="D97" s="5">
        <v>0.48</v>
      </c>
      <c r="E97" s="5">
        <v>0.2239</v>
      </c>
      <c r="F97" s="5">
        <v>0</v>
      </c>
      <c r="G97" s="5">
        <v>2</v>
      </c>
      <c r="H97" s="5">
        <v>2</v>
      </c>
    </row>
    <row r="98" spans="1:8">
      <c r="A98" s="5">
        <v>96</v>
      </c>
      <c r="B98" s="5">
        <v>97</v>
      </c>
      <c r="C98" s="5">
        <v>0.2273</v>
      </c>
      <c r="D98" s="5">
        <v>0.47</v>
      </c>
      <c r="E98" s="5">
        <v>0.1642</v>
      </c>
      <c r="F98" s="5">
        <v>0</v>
      </c>
      <c r="G98" s="5">
        <v>3</v>
      </c>
      <c r="H98" s="5">
        <v>3</v>
      </c>
    </row>
    <row r="99" spans="1:8">
      <c r="A99" s="5">
        <v>97</v>
      </c>
      <c r="B99" s="5">
        <v>98</v>
      </c>
      <c r="C99" s="5">
        <v>0.197</v>
      </c>
      <c r="D99" s="5">
        <v>0.47</v>
      </c>
      <c r="E99" s="5">
        <v>0.2239</v>
      </c>
      <c r="F99" s="5">
        <v>0</v>
      </c>
      <c r="G99" s="5">
        <v>33</v>
      </c>
      <c r="H99" s="5">
        <v>33</v>
      </c>
    </row>
    <row r="100" spans="1:8">
      <c r="A100" s="5">
        <v>98</v>
      </c>
      <c r="B100" s="5">
        <v>99</v>
      </c>
      <c r="C100" s="5">
        <v>0.1818</v>
      </c>
      <c r="D100" s="5">
        <v>0.43</v>
      </c>
      <c r="E100" s="5">
        <v>0.194</v>
      </c>
      <c r="F100" s="5">
        <v>1</v>
      </c>
      <c r="G100" s="5">
        <v>87</v>
      </c>
      <c r="H100" s="5">
        <v>88</v>
      </c>
    </row>
    <row r="101" spans="1:8">
      <c r="A101" s="5">
        <v>99</v>
      </c>
      <c r="B101" s="5">
        <v>100</v>
      </c>
      <c r="C101" s="5">
        <v>0.1818</v>
      </c>
      <c r="D101" s="5">
        <v>0.4</v>
      </c>
      <c r="E101" s="5">
        <v>0.2985</v>
      </c>
      <c r="F101" s="5">
        <v>3</v>
      </c>
      <c r="G101" s="5">
        <v>192</v>
      </c>
      <c r="H101" s="5">
        <v>195</v>
      </c>
    </row>
    <row r="102" spans="1:8">
      <c r="A102" s="5">
        <v>100</v>
      </c>
      <c r="B102" s="5">
        <v>101</v>
      </c>
      <c r="C102" s="5">
        <v>0.197</v>
      </c>
      <c r="D102" s="5">
        <v>0.37</v>
      </c>
      <c r="E102" s="5">
        <v>0.3284</v>
      </c>
      <c r="F102" s="5">
        <v>6</v>
      </c>
      <c r="G102" s="5">
        <v>109</v>
      </c>
      <c r="H102" s="5">
        <v>115</v>
      </c>
    </row>
    <row r="103" spans="1:8">
      <c r="A103" s="5">
        <v>101</v>
      </c>
      <c r="B103" s="5">
        <v>102</v>
      </c>
      <c r="C103" s="5">
        <v>0.197</v>
      </c>
      <c r="D103" s="5">
        <v>0.37</v>
      </c>
      <c r="E103" s="5">
        <v>0.3284</v>
      </c>
      <c r="F103" s="5">
        <v>4</v>
      </c>
      <c r="G103" s="5">
        <v>53</v>
      </c>
      <c r="H103" s="5">
        <v>57</v>
      </c>
    </row>
    <row r="104" spans="1:8">
      <c r="A104" s="5">
        <v>102</v>
      </c>
      <c r="B104" s="5">
        <v>103</v>
      </c>
      <c r="C104" s="5">
        <v>0.2273</v>
      </c>
      <c r="D104" s="5">
        <v>0.33</v>
      </c>
      <c r="E104" s="5">
        <v>0.3284</v>
      </c>
      <c r="F104" s="5">
        <v>12</v>
      </c>
      <c r="G104" s="5">
        <v>34</v>
      </c>
      <c r="H104" s="5">
        <v>46</v>
      </c>
    </row>
    <row r="105" spans="1:8">
      <c r="A105" s="5">
        <v>103</v>
      </c>
      <c r="B105" s="5">
        <v>104</v>
      </c>
      <c r="C105" s="5">
        <v>0.2273</v>
      </c>
      <c r="D105" s="5">
        <v>0.33</v>
      </c>
      <c r="E105" s="5">
        <v>0.3284</v>
      </c>
      <c r="F105" s="5">
        <v>5</v>
      </c>
      <c r="G105" s="5">
        <v>74</v>
      </c>
      <c r="H105" s="5">
        <v>79</v>
      </c>
    </row>
    <row r="106" spans="1:8">
      <c r="A106" s="5">
        <v>104</v>
      </c>
      <c r="B106" s="5">
        <v>105</v>
      </c>
      <c r="C106" s="5">
        <v>0.2576</v>
      </c>
      <c r="D106" s="5">
        <v>0.3</v>
      </c>
      <c r="E106" s="5">
        <v>0.2985</v>
      </c>
      <c r="F106" s="5">
        <v>6</v>
      </c>
      <c r="G106" s="5">
        <v>65</v>
      </c>
      <c r="H106" s="5">
        <v>71</v>
      </c>
    </row>
    <row r="107" spans="1:8">
      <c r="A107" s="5">
        <v>105</v>
      </c>
      <c r="B107" s="5">
        <v>106</v>
      </c>
      <c r="C107" s="5">
        <v>0.2879</v>
      </c>
      <c r="D107" s="5">
        <v>0.28</v>
      </c>
      <c r="E107" s="5">
        <v>0.194</v>
      </c>
      <c r="F107" s="5">
        <v>10</v>
      </c>
      <c r="G107" s="5">
        <v>52</v>
      </c>
      <c r="H107" s="5">
        <v>62</v>
      </c>
    </row>
    <row r="108" spans="1:8">
      <c r="A108" s="5">
        <v>106</v>
      </c>
      <c r="B108" s="5">
        <v>107</v>
      </c>
      <c r="C108" s="5">
        <v>0.2879</v>
      </c>
      <c r="D108" s="5">
        <v>0.28</v>
      </c>
      <c r="E108" s="5">
        <v>0.194</v>
      </c>
      <c r="F108" s="5">
        <v>7</v>
      </c>
      <c r="G108" s="5">
        <v>55</v>
      </c>
      <c r="H108" s="5">
        <v>62</v>
      </c>
    </row>
    <row r="109" spans="1:8">
      <c r="A109" s="5">
        <v>107</v>
      </c>
      <c r="B109" s="5">
        <v>108</v>
      </c>
      <c r="C109" s="5">
        <v>0.3182</v>
      </c>
      <c r="D109" s="5">
        <v>0.28</v>
      </c>
      <c r="E109" s="5">
        <v>0.0896</v>
      </c>
      <c r="F109" s="5">
        <v>4</v>
      </c>
      <c r="G109" s="5">
        <v>85</v>
      </c>
      <c r="H109" s="5">
        <v>89</v>
      </c>
    </row>
    <row r="110" spans="1:8">
      <c r="A110" s="5">
        <v>108</v>
      </c>
      <c r="B110" s="5">
        <v>109</v>
      </c>
      <c r="C110" s="5">
        <v>0.2273</v>
      </c>
      <c r="D110" s="5">
        <v>0.38</v>
      </c>
      <c r="E110" s="5">
        <v>0.194</v>
      </c>
      <c r="F110" s="5">
        <v>4</v>
      </c>
      <c r="G110" s="5">
        <v>186</v>
      </c>
      <c r="H110" s="5">
        <v>190</v>
      </c>
    </row>
    <row r="111" spans="1:8">
      <c r="A111" s="5">
        <v>109</v>
      </c>
      <c r="B111" s="5">
        <v>110</v>
      </c>
      <c r="C111" s="5">
        <v>0.2424</v>
      </c>
      <c r="D111" s="5">
        <v>0.38</v>
      </c>
      <c r="E111" s="5">
        <v>0.1343</v>
      </c>
      <c r="F111" s="5">
        <v>3</v>
      </c>
      <c r="G111" s="5">
        <v>166</v>
      </c>
      <c r="H111" s="5">
        <v>169</v>
      </c>
    </row>
    <row r="112" spans="1:8">
      <c r="A112" s="5">
        <v>110</v>
      </c>
      <c r="B112" s="5">
        <v>111</v>
      </c>
      <c r="C112" s="5">
        <v>0.2576</v>
      </c>
      <c r="D112" s="5">
        <v>0.38</v>
      </c>
      <c r="E112" s="5">
        <v>0.1045</v>
      </c>
      <c r="F112" s="5">
        <v>5</v>
      </c>
      <c r="G112" s="5">
        <v>127</v>
      </c>
      <c r="H112" s="5">
        <v>132</v>
      </c>
    </row>
    <row r="113" spans="1:8">
      <c r="A113" s="5">
        <v>111</v>
      </c>
      <c r="B113" s="5">
        <v>112</v>
      </c>
      <c r="C113" s="5">
        <v>0.2273</v>
      </c>
      <c r="D113" s="5">
        <v>0.47</v>
      </c>
      <c r="E113" s="5">
        <v>0.1642</v>
      </c>
      <c r="F113" s="5">
        <v>7</v>
      </c>
      <c r="G113" s="5">
        <v>82</v>
      </c>
      <c r="H113" s="5">
        <v>89</v>
      </c>
    </row>
    <row r="114" spans="1:8">
      <c r="A114" s="5">
        <v>112</v>
      </c>
      <c r="B114" s="5">
        <v>113</v>
      </c>
      <c r="C114" s="5">
        <v>0.197</v>
      </c>
      <c r="D114" s="5">
        <v>0.51</v>
      </c>
      <c r="E114" s="5">
        <v>0.194</v>
      </c>
      <c r="F114" s="5">
        <v>3</v>
      </c>
      <c r="G114" s="5">
        <v>40</v>
      </c>
      <c r="H114" s="5">
        <v>43</v>
      </c>
    </row>
    <row r="115" spans="1:8">
      <c r="A115" s="5">
        <v>113</v>
      </c>
      <c r="B115" s="5">
        <v>114</v>
      </c>
      <c r="C115" s="5">
        <v>0.197</v>
      </c>
      <c r="D115" s="5">
        <v>0.55</v>
      </c>
      <c r="E115" s="5">
        <v>0.1343</v>
      </c>
      <c r="F115" s="5">
        <v>1</v>
      </c>
      <c r="G115" s="5">
        <v>41</v>
      </c>
      <c r="H115" s="5">
        <v>42</v>
      </c>
    </row>
    <row r="116" spans="1:8">
      <c r="A116" s="5">
        <v>114</v>
      </c>
      <c r="B116" s="5">
        <v>115</v>
      </c>
      <c r="C116" s="5">
        <v>0.2576</v>
      </c>
      <c r="D116" s="5">
        <v>0.47</v>
      </c>
      <c r="E116" s="5">
        <v>0</v>
      </c>
      <c r="F116" s="5">
        <v>1</v>
      </c>
      <c r="G116" s="5">
        <v>18</v>
      </c>
      <c r="H116" s="5">
        <v>19</v>
      </c>
    </row>
    <row r="117" spans="1:8">
      <c r="A117" s="5">
        <v>115</v>
      </c>
      <c r="B117" s="5">
        <v>116</v>
      </c>
      <c r="C117" s="5">
        <v>0.2424</v>
      </c>
      <c r="D117" s="5">
        <v>0.55</v>
      </c>
      <c r="E117" s="5">
        <v>0</v>
      </c>
      <c r="F117" s="5">
        <v>0</v>
      </c>
      <c r="G117" s="5">
        <v>11</v>
      </c>
      <c r="H117" s="5">
        <v>11</v>
      </c>
    </row>
    <row r="118" spans="1:8">
      <c r="A118" s="5">
        <v>116</v>
      </c>
      <c r="B118" s="5">
        <v>117</v>
      </c>
      <c r="C118" s="5">
        <v>0.2273</v>
      </c>
      <c r="D118" s="5">
        <v>0.64</v>
      </c>
      <c r="E118" s="5">
        <v>0</v>
      </c>
      <c r="F118" s="5">
        <v>0</v>
      </c>
      <c r="G118" s="5">
        <v>4</v>
      </c>
      <c r="H118" s="5">
        <v>4</v>
      </c>
    </row>
    <row r="119" spans="1:8">
      <c r="A119" s="5">
        <v>117</v>
      </c>
      <c r="B119" s="5">
        <v>118</v>
      </c>
      <c r="C119" s="5">
        <v>0.2273</v>
      </c>
      <c r="D119" s="5">
        <v>0.64</v>
      </c>
      <c r="E119" s="5">
        <v>0</v>
      </c>
      <c r="F119" s="5">
        <v>0</v>
      </c>
      <c r="G119" s="5">
        <v>2</v>
      </c>
      <c r="H119" s="5">
        <v>2</v>
      </c>
    </row>
    <row r="120" spans="1:8">
      <c r="A120" s="5">
        <v>118</v>
      </c>
      <c r="B120" s="5">
        <v>119</v>
      </c>
      <c r="C120" s="5">
        <v>0.197</v>
      </c>
      <c r="D120" s="5">
        <v>0.64</v>
      </c>
      <c r="E120" s="5">
        <v>0.0896</v>
      </c>
      <c r="F120" s="5">
        <v>0</v>
      </c>
      <c r="G120" s="5">
        <v>1</v>
      </c>
      <c r="H120" s="5">
        <v>1</v>
      </c>
    </row>
    <row r="121" spans="1:8">
      <c r="A121" s="5">
        <v>119</v>
      </c>
      <c r="B121" s="5">
        <v>120</v>
      </c>
      <c r="C121" s="5">
        <v>0.1818</v>
      </c>
      <c r="D121" s="5">
        <v>0.6899999999999999</v>
      </c>
      <c r="E121" s="5">
        <v>0.0896</v>
      </c>
      <c r="F121" s="5">
        <v>0</v>
      </c>
      <c r="G121" s="5">
        <v>4</v>
      </c>
      <c r="H121" s="5">
        <v>4</v>
      </c>
    </row>
    <row r="122" spans="1:8">
      <c r="A122" s="5">
        <v>120</v>
      </c>
      <c r="B122" s="5">
        <v>121</v>
      </c>
      <c r="C122" s="5">
        <v>0.1667</v>
      </c>
      <c r="D122" s="5">
        <v>0.63</v>
      </c>
      <c r="E122" s="5">
        <v>0.1045</v>
      </c>
      <c r="F122" s="5">
        <v>0</v>
      </c>
      <c r="G122" s="5">
        <v>36</v>
      </c>
      <c r="H122" s="5">
        <v>36</v>
      </c>
    </row>
    <row r="123" spans="1:8">
      <c r="A123" s="5">
        <v>121</v>
      </c>
      <c r="B123" s="5">
        <v>122</v>
      </c>
      <c r="C123" s="5">
        <v>0.2273</v>
      </c>
      <c r="D123" s="5">
        <v>0.59</v>
      </c>
      <c r="E123" s="5">
        <v>0</v>
      </c>
      <c r="F123" s="5">
        <v>0</v>
      </c>
      <c r="G123" s="5">
        <v>95</v>
      </c>
      <c r="H123" s="5">
        <v>95</v>
      </c>
    </row>
    <row r="124" spans="1:8">
      <c r="A124" s="5">
        <v>122</v>
      </c>
      <c r="B124" s="5">
        <v>123</v>
      </c>
      <c r="C124" s="5">
        <v>0.2273</v>
      </c>
      <c r="D124" s="5">
        <v>0.59</v>
      </c>
      <c r="E124" s="5">
        <v>0</v>
      </c>
      <c r="F124" s="5">
        <v>3</v>
      </c>
      <c r="G124" s="5">
        <v>216</v>
      </c>
      <c r="H124" s="5">
        <v>219</v>
      </c>
    </row>
    <row r="125" spans="1:8">
      <c r="A125" s="5">
        <v>123</v>
      </c>
      <c r="B125" s="5">
        <v>124</v>
      </c>
      <c r="C125" s="5">
        <v>0.2424</v>
      </c>
      <c r="D125" s="5">
        <v>0.51</v>
      </c>
      <c r="E125" s="5">
        <v>0</v>
      </c>
      <c r="F125" s="5">
        <v>6</v>
      </c>
      <c r="G125" s="5">
        <v>116</v>
      </c>
      <c r="H125" s="5">
        <v>122</v>
      </c>
    </row>
    <row r="126" spans="1:8">
      <c r="A126" s="5">
        <v>124</v>
      </c>
      <c r="B126" s="5">
        <v>125</v>
      </c>
      <c r="C126" s="5">
        <v>0.2576</v>
      </c>
      <c r="D126" s="5">
        <v>0.47</v>
      </c>
      <c r="E126" s="5">
        <v>0</v>
      </c>
      <c r="F126" s="5">
        <v>3</v>
      </c>
      <c r="G126" s="5">
        <v>42</v>
      </c>
      <c r="H126" s="5">
        <v>45</v>
      </c>
    </row>
    <row r="127" spans="1:8">
      <c r="A127" s="5">
        <v>125</v>
      </c>
      <c r="B127" s="5">
        <v>126</v>
      </c>
      <c r="C127" s="5">
        <v>0.2576</v>
      </c>
      <c r="D127" s="5">
        <v>0.44</v>
      </c>
      <c r="E127" s="5">
        <v>0.0896</v>
      </c>
      <c r="F127" s="5">
        <v>2</v>
      </c>
      <c r="G127" s="5">
        <v>57</v>
      </c>
      <c r="H127" s="5">
        <v>59</v>
      </c>
    </row>
    <row r="128" spans="1:8">
      <c r="A128" s="5">
        <v>126</v>
      </c>
      <c r="B128" s="5">
        <v>127</v>
      </c>
      <c r="C128" s="5">
        <v>0.2879</v>
      </c>
      <c r="D128" s="5">
        <v>0.35</v>
      </c>
      <c r="E128" s="5">
        <v>0</v>
      </c>
      <c r="F128" s="5">
        <v>6</v>
      </c>
      <c r="G128" s="5">
        <v>78</v>
      </c>
      <c r="H128" s="5">
        <v>84</v>
      </c>
    </row>
    <row r="129" spans="1:8">
      <c r="A129" s="5">
        <v>127</v>
      </c>
      <c r="B129" s="5">
        <v>128</v>
      </c>
      <c r="C129" s="5">
        <v>0.2727</v>
      </c>
      <c r="D129" s="5">
        <v>0.35</v>
      </c>
      <c r="E129" s="5">
        <v>0.1045</v>
      </c>
      <c r="F129" s="5">
        <v>12</v>
      </c>
      <c r="G129" s="5">
        <v>55</v>
      </c>
      <c r="H129" s="5">
        <v>67</v>
      </c>
    </row>
    <row r="130" spans="1:8">
      <c r="A130" s="5">
        <v>128</v>
      </c>
      <c r="B130" s="5">
        <v>129</v>
      </c>
      <c r="C130" s="5">
        <v>0.2727</v>
      </c>
      <c r="D130" s="5">
        <v>0.36</v>
      </c>
      <c r="E130" s="5">
        <v>0.1642</v>
      </c>
      <c r="F130" s="5">
        <v>11</v>
      </c>
      <c r="G130" s="5">
        <v>59</v>
      </c>
      <c r="H130" s="5">
        <v>70</v>
      </c>
    </row>
    <row r="131" spans="1:8">
      <c r="A131" s="5">
        <v>129</v>
      </c>
      <c r="B131" s="5">
        <v>130</v>
      </c>
      <c r="C131" s="5">
        <v>0.2727</v>
      </c>
      <c r="D131" s="5">
        <v>0.36</v>
      </c>
      <c r="E131" s="5">
        <v>0</v>
      </c>
      <c r="F131" s="5">
        <v>8</v>
      </c>
      <c r="G131" s="5">
        <v>54</v>
      </c>
      <c r="H131" s="5">
        <v>62</v>
      </c>
    </row>
    <row r="132" spans="1:8">
      <c r="A132" s="5">
        <v>130</v>
      </c>
      <c r="B132" s="5">
        <v>131</v>
      </c>
      <c r="C132" s="5">
        <v>0.2576</v>
      </c>
      <c r="D132" s="5">
        <v>0.38</v>
      </c>
      <c r="E132" s="5">
        <v>0.1642</v>
      </c>
      <c r="F132" s="5">
        <v>12</v>
      </c>
      <c r="G132" s="5">
        <v>74</v>
      </c>
      <c r="H132" s="5">
        <v>86</v>
      </c>
    </row>
    <row r="133" spans="1:8">
      <c r="A133" s="5">
        <v>131</v>
      </c>
      <c r="B133" s="5">
        <v>132</v>
      </c>
      <c r="C133" s="5">
        <v>0.2273</v>
      </c>
      <c r="D133" s="5">
        <v>0.51</v>
      </c>
      <c r="E133" s="5">
        <v>0.1642</v>
      </c>
      <c r="F133" s="5">
        <v>9</v>
      </c>
      <c r="G133" s="5">
        <v>163</v>
      </c>
      <c r="H133" s="5">
        <v>172</v>
      </c>
    </row>
    <row r="134" spans="1:8">
      <c r="A134" s="5">
        <v>132</v>
      </c>
      <c r="B134" s="5">
        <v>133</v>
      </c>
      <c r="C134" s="5">
        <v>0.2273</v>
      </c>
      <c r="D134" s="5">
        <v>0.51</v>
      </c>
      <c r="E134" s="5">
        <v>0.1343</v>
      </c>
      <c r="F134" s="5">
        <v>5</v>
      </c>
      <c r="G134" s="5">
        <v>158</v>
      </c>
      <c r="H134" s="5">
        <v>163</v>
      </c>
    </row>
    <row r="135" spans="1:8">
      <c r="A135" s="5">
        <v>133</v>
      </c>
      <c r="B135" s="5">
        <v>134</v>
      </c>
      <c r="C135" s="5">
        <v>0.2576</v>
      </c>
      <c r="D135" s="5">
        <v>0.55</v>
      </c>
      <c r="E135" s="5">
        <v>0.0896</v>
      </c>
      <c r="F135" s="5">
        <v>3</v>
      </c>
      <c r="G135" s="5">
        <v>109</v>
      </c>
      <c r="H135" s="5">
        <v>112</v>
      </c>
    </row>
    <row r="136" spans="1:8">
      <c r="A136" s="5">
        <v>134</v>
      </c>
      <c r="B136" s="5">
        <v>135</v>
      </c>
      <c r="C136" s="5">
        <v>0.2121</v>
      </c>
      <c r="D136" s="5">
        <v>0.51</v>
      </c>
      <c r="E136" s="5">
        <v>0.1642</v>
      </c>
      <c r="F136" s="5">
        <v>3</v>
      </c>
      <c r="G136" s="5">
        <v>66</v>
      </c>
      <c r="H136" s="5">
        <v>69</v>
      </c>
    </row>
    <row r="137" spans="1:8">
      <c r="A137" s="5">
        <v>135</v>
      </c>
      <c r="B137" s="5">
        <v>136</v>
      </c>
      <c r="C137" s="5">
        <v>0.2121</v>
      </c>
      <c r="D137" s="5">
        <v>0.55</v>
      </c>
      <c r="E137" s="5">
        <v>0.2239</v>
      </c>
      <c r="F137" s="5">
        <v>0</v>
      </c>
      <c r="G137" s="5">
        <v>48</v>
      </c>
      <c r="H137" s="5">
        <v>48</v>
      </c>
    </row>
    <row r="138" spans="1:8">
      <c r="A138" s="5">
        <v>136</v>
      </c>
      <c r="B138" s="5">
        <v>137</v>
      </c>
      <c r="C138" s="5">
        <v>0.2121</v>
      </c>
      <c r="D138" s="5">
        <v>0.51</v>
      </c>
      <c r="E138" s="5">
        <v>0.2836</v>
      </c>
      <c r="F138" s="5">
        <v>1</v>
      </c>
      <c r="G138" s="5">
        <v>51</v>
      </c>
      <c r="H138" s="5">
        <v>52</v>
      </c>
    </row>
    <row r="139" spans="1:8">
      <c r="A139" s="5">
        <v>137</v>
      </c>
      <c r="B139" s="5">
        <v>138</v>
      </c>
      <c r="C139" s="5">
        <v>0.197</v>
      </c>
      <c r="D139" s="5">
        <v>0.59</v>
      </c>
      <c r="E139" s="5">
        <v>0.194</v>
      </c>
      <c r="F139" s="5">
        <v>4</v>
      </c>
      <c r="G139" s="5">
        <v>19</v>
      </c>
      <c r="H139" s="5">
        <v>23</v>
      </c>
    </row>
    <row r="140" spans="1:8">
      <c r="A140" s="5">
        <v>138</v>
      </c>
      <c r="B140" s="5">
        <v>139</v>
      </c>
      <c r="C140" s="5">
        <v>0.197</v>
      </c>
      <c r="D140" s="5">
        <v>0.64</v>
      </c>
      <c r="E140" s="5">
        <v>0.194</v>
      </c>
      <c r="F140" s="5">
        <v>4</v>
      </c>
      <c r="G140" s="5">
        <v>13</v>
      </c>
      <c r="H140" s="5">
        <v>17</v>
      </c>
    </row>
    <row r="141" spans="1:8">
      <c r="A141" s="5">
        <v>139</v>
      </c>
      <c r="B141" s="5">
        <v>140</v>
      </c>
      <c r="C141" s="5">
        <v>0.197</v>
      </c>
      <c r="D141" s="5">
        <v>0.6899999999999999</v>
      </c>
      <c r="E141" s="5">
        <v>0.2239</v>
      </c>
      <c r="F141" s="5">
        <v>2</v>
      </c>
      <c r="G141" s="5">
        <v>5</v>
      </c>
      <c r="H141" s="5">
        <v>7</v>
      </c>
    </row>
    <row r="142" spans="1:8">
      <c r="A142" s="5">
        <v>140</v>
      </c>
      <c r="B142" s="5">
        <v>141</v>
      </c>
      <c r="C142" s="5">
        <v>0.197</v>
      </c>
      <c r="D142" s="5">
        <v>0.6899999999999999</v>
      </c>
      <c r="E142" s="5">
        <v>0.2239</v>
      </c>
      <c r="F142" s="5">
        <v>0</v>
      </c>
      <c r="G142" s="5">
        <v>1</v>
      </c>
      <c r="H142" s="5">
        <v>1</v>
      </c>
    </row>
    <row r="143" spans="1:8">
      <c r="A143" s="5">
        <v>141</v>
      </c>
      <c r="B143" s="5">
        <v>142</v>
      </c>
      <c r="C143" s="5">
        <v>0.2121</v>
      </c>
      <c r="D143" s="5">
        <v>0.6899999999999999</v>
      </c>
      <c r="E143" s="5">
        <v>0.1343</v>
      </c>
      <c r="F143" s="5">
        <v>0</v>
      </c>
      <c r="G143" s="5">
        <v>1</v>
      </c>
      <c r="H143" s="5">
        <v>1</v>
      </c>
    </row>
    <row r="144" spans="1:8">
      <c r="A144" s="5">
        <v>142</v>
      </c>
      <c r="B144" s="5">
        <v>143</v>
      </c>
      <c r="C144" s="5">
        <v>0.2727</v>
      </c>
      <c r="D144" s="5">
        <v>0.55</v>
      </c>
      <c r="E144" s="5">
        <v>0</v>
      </c>
      <c r="F144" s="5">
        <v>0</v>
      </c>
      <c r="G144" s="5">
        <v>5</v>
      </c>
      <c r="H144" s="5">
        <v>5</v>
      </c>
    </row>
    <row r="145" spans="1:8">
      <c r="A145" s="5">
        <v>143</v>
      </c>
      <c r="B145" s="5">
        <v>144</v>
      </c>
      <c r="C145" s="5">
        <v>0.2576</v>
      </c>
      <c r="D145" s="5">
        <v>0.6899999999999999</v>
      </c>
      <c r="E145" s="5">
        <v>0</v>
      </c>
      <c r="F145" s="5">
        <v>8</v>
      </c>
      <c r="G145" s="5">
        <v>26</v>
      </c>
      <c r="H145" s="5">
        <v>34</v>
      </c>
    </row>
    <row r="146" spans="1:8">
      <c r="A146" s="5">
        <v>144</v>
      </c>
      <c r="B146" s="5">
        <v>145</v>
      </c>
      <c r="C146" s="5">
        <v>0.2121</v>
      </c>
      <c r="D146" s="5">
        <v>0.6899999999999999</v>
      </c>
      <c r="E146" s="5">
        <v>0.1343</v>
      </c>
      <c r="F146" s="5">
        <v>8</v>
      </c>
      <c r="G146" s="5">
        <v>76</v>
      </c>
      <c r="H146" s="5">
        <v>84</v>
      </c>
    </row>
    <row r="147" spans="1:8">
      <c r="A147" s="5">
        <v>145</v>
      </c>
      <c r="B147" s="5">
        <v>146</v>
      </c>
      <c r="C147" s="5">
        <v>0.197</v>
      </c>
      <c r="D147" s="5">
        <v>0.51</v>
      </c>
      <c r="E147" s="5">
        <v>0.2537</v>
      </c>
      <c r="F147" s="5">
        <v>20</v>
      </c>
      <c r="G147" s="5">
        <v>190</v>
      </c>
      <c r="H147" s="5">
        <v>210</v>
      </c>
    </row>
    <row r="148" spans="1:8">
      <c r="A148" s="5">
        <v>146</v>
      </c>
      <c r="B148" s="5">
        <v>147</v>
      </c>
      <c r="C148" s="5">
        <v>0.1818</v>
      </c>
      <c r="D148" s="5">
        <v>0.47</v>
      </c>
      <c r="E148" s="5">
        <v>0.2985</v>
      </c>
      <c r="F148" s="5">
        <v>9</v>
      </c>
      <c r="G148" s="5">
        <v>125</v>
      </c>
      <c r="H148" s="5">
        <v>134</v>
      </c>
    </row>
    <row r="149" spans="1:8">
      <c r="A149" s="5">
        <v>147</v>
      </c>
      <c r="B149" s="5">
        <v>148</v>
      </c>
      <c r="C149" s="5">
        <v>0.197</v>
      </c>
      <c r="D149" s="5">
        <v>0.37</v>
      </c>
      <c r="E149" s="5">
        <v>0.3284</v>
      </c>
      <c r="F149" s="5">
        <v>16</v>
      </c>
      <c r="G149" s="5">
        <v>47</v>
      </c>
      <c r="H149" s="5">
        <v>63</v>
      </c>
    </row>
    <row r="150" spans="1:8">
      <c r="A150" s="5">
        <v>148</v>
      </c>
      <c r="B150" s="5">
        <v>149</v>
      </c>
      <c r="C150" s="5">
        <v>0.197</v>
      </c>
      <c r="D150" s="5">
        <v>0.4</v>
      </c>
      <c r="E150" s="5">
        <v>0.2239</v>
      </c>
      <c r="F150" s="5">
        <v>19</v>
      </c>
      <c r="G150" s="5">
        <v>48</v>
      </c>
      <c r="H150" s="5">
        <v>67</v>
      </c>
    </row>
    <row r="151" spans="1:8">
      <c r="A151" s="5">
        <v>149</v>
      </c>
      <c r="B151" s="5">
        <v>150</v>
      </c>
      <c r="C151" s="5">
        <v>0.197</v>
      </c>
      <c r="D151" s="5">
        <v>0.37</v>
      </c>
      <c r="E151" s="5">
        <v>0.2537</v>
      </c>
      <c r="F151" s="5">
        <v>9</v>
      </c>
      <c r="G151" s="5">
        <v>50</v>
      </c>
      <c r="H151" s="5">
        <v>59</v>
      </c>
    </row>
    <row r="152" spans="1:8">
      <c r="A152" s="5">
        <v>150</v>
      </c>
      <c r="B152" s="5">
        <v>151</v>
      </c>
      <c r="C152" s="5">
        <v>0.1818</v>
      </c>
      <c r="D152" s="5">
        <v>0.37</v>
      </c>
      <c r="E152" s="5">
        <v>0.2836</v>
      </c>
      <c r="F152" s="5">
        <v>9</v>
      </c>
      <c r="G152" s="5">
        <v>64</v>
      </c>
      <c r="H152" s="5">
        <v>73</v>
      </c>
    </row>
    <row r="153" spans="1:8">
      <c r="A153" s="5">
        <v>151</v>
      </c>
      <c r="B153" s="5">
        <v>152</v>
      </c>
      <c r="C153" s="5">
        <v>0.197</v>
      </c>
      <c r="D153" s="5">
        <v>0.4</v>
      </c>
      <c r="E153" s="5">
        <v>0.2537</v>
      </c>
      <c r="F153" s="5">
        <v>7</v>
      </c>
      <c r="G153" s="5">
        <v>43</v>
      </c>
      <c r="H153" s="5">
        <v>50</v>
      </c>
    </row>
    <row r="154" spans="1:8">
      <c r="A154" s="5">
        <v>152</v>
      </c>
      <c r="B154" s="5">
        <v>153</v>
      </c>
      <c r="C154" s="5">
        <v>0.2121</v>
      </c>
      <c r="D154" s="5">
        <v>0.37</v>
      </c>
      <c r="E154" s="5">
        <v>0.1642</v>
      </c>
      <c r="F154" s="5">
        <v>9</v>
      </c>
      <c r="G154" s="5">
        <v>63</v>
      </c>
      <c r="H154" s="5">
        <v>72</v>
      </c>
    </row>
    <row r="155" spans="1:8">
      <c r="A155" s="5">
        <v>153</v>
      </c>
      <c r="B155" s="5">
        <v>154</v>
      </c>
      <c r="C155" s="5">
        <v>0.2121</v>
      </c>
      <c r="D155" s="5">
        <v>0.37</v>
      </c>
      <c r="E155" s="5">
        <v>0.1642</v>
      </c>
      <c r="F155" s="5">
        <v>5</v>
      </c>
      <c r="G155" s="5">
        <v>82</v>
      </c>
      <c r="H155" s="5">
        <v>87</v>
      </c>
    </row>
    <row r="156" spans="1:8">
      <c r="A156" s="5">
        <v>154</v>
      </c>
      <c r="B156" s="5">
        <v>155</v>
      </c>
      <c r="C156" s="5">
        <v>0.2576</v>
      </c>
      <c r="D156" s="5">
        <v>0.37</v>
      </c>
      <c r="E156" s="5">
        <v>0</v>
      </c>
      <c r="F156" s="5">
        <v>9</v>
      </c>
      <c r="G156" s="5">
        <v>178</v>
      </c>
      <c r="H156" s="5">
        <v>187</v>
      </c>
    </row>
    <row r="157" spans="1:8">
      <c r="A157" s="5">
        <v>155</v>
      </c>
      <c r="B157" s="5">
        <v>156</v>
      </c>
      <c r="C157" s="5">
        <v>0.2273</v>
      </c>
      <c r="D157" s="5">
        <v>0.4</v>
      </c>
      <c r="E157" s="5">
        <v>0.0896</v>
      </c>
      <c r="F157" s="5">
        <v>7</v>
      </c>
      <c r="G157" s="5">
        <v>116</v>
      </c>
      <c r="H157" s="5">
        <v>123</v>
      </c>
    </row>
    <row r="158" spans="1:8">
      <c r="A158" s="5">
        <v>156</v>
      </c>
      <c r="B158" s="5">
        <v>157</v>
      </c>
      <c r="C158" s="5">
        <v>0.197</v>
      </c>
      <c r="D158" s="5">
        <v>0.55</v>
      </c>
      <c r="E158" s="5">
        <v>0.0896</v>
      </c>
      <c r="F158" s="5">
        <v>3</v>
      </c>
      <c r="G158" s="5">
        <v>92</v>
      </c>
      <c r="H158" s="5">
        <v>95</v>
      </c>
    </row>
    <row r="159" spans="1:8">
      <c r="A159" s="5">
        <v>157</v>
      </c>
      <c r="B159" s="5">
        <v>158</v>
      </c>
      <c r="C159" s="5">
        <v>0.2121</v>
      </c>
      <c r="D159" s="5">
        <v>0.47</v>
      </c>
      <c r="E159" s="5">
        <v>0.1045</v>
      </c>
      <c r="F159" s="5">
        <v>1</v>
      </c>
      <c r="G159" s="5">
        <v>50</v>
      </c>
      <c r="H159" s="5">
        <v>51</v>
      </c>
    </row>
    <row r="160" spans="1:8">
      <c r="A160" s="5">
        <v>158</v>
      </c>
      <c r="B160" s="5">
        <v>159</v>
      </c>
      <c r="C160" s="5">
        <v>0.197</v>
      </c>
      <c r="D160" s="5">
        <v>0.47</v>
      </c>
      <c r="E160" s="5">
        <v>0.1343</v>
      </c>
      <c r="F160" s="5">
        <v>0</v>
      </c>
      <c r="G160" s="5">
        <v>39</v>
      </c>
      <c r="H160" s="5">
        <v>39</v>
      </c>
    </row>
    <row r="161" spans="1:8">
      <c r="A161" s="5">
        <v>159</v>
      </c>
      <c r="B161" s="5">
        <v>160</v>
      </c>
      <c r="C161" s="5">
        <v>0.197</v>
      </c>
      <c r="D161" s="5">
        <v>0.43</v>
      </c>
      <c r="E161" s="5">
        <v>0.1642</v>
      </c>
      <c r="F161" s="5">
        <v>2</v>
      </c>
      <c r="G161" s="5">
        <v>34</v>
      </c>
      <c r="H161" s="5">
        <v>36</v>
      </c>
    </row>
    <row r="162" spans="1:8">
      <c r="A162" s="5">
        <v>160</v>
      </c>
      <c r="B162" s="5">
        <v>161</v>
      </c>
      <c r="C162" s="5">
        <v>0.197</v>
      </c>
      <c r="D162" s="5">
        <v>0.51</v>
      </c>
      <c r="E162" s="5">
        <v>0.1642</v>
      </c>
      <c r="F162" s="5">
        <v>1</v>
      </c>
      <c r="G162" s="5">
        <v>14</v>
      </c>
      <c r="H162" s="5">
        <v>15</v>
      </c>
    </row>
    <row r="163" spans="1:8">
      <c r="A163" s="5">
        <v>161</v>
      </c>
      <c r="B163" s="5">
        <v>162</v>
      </c>
      <c r="C163" s="5">
        <v>0.197</v>
      </c>
      <c r="D163" s="5">
        <v>0.51</v>
      </c>
      <c r="E163" s="5">
        <v>0.1642</v>
      </c>
      <c r="F163" s="5">
        <v>1</v>
      </c>
      <c r="G163" s="5">
        <v>24</v>
      </c>
      <c r="H163" s="5">
        <v>25</v>
      </c>
    </row>
    <row r="164" spans="1:8">
      <c r="A164" s="5">
        <v>162</v>
      </c>
      <c r="B164" s="5">
        <v>163</v>
      </c>
      <c r="C164" s="5">
        <v>0.2121</v>
      </c>
      <c r="D164" s="5">
        <v>0.55</v>
      </c>
      <c r="E164" s="5">
        <v>0.0896</v>
      </c>
      <c r="F164" s="5">
        <v>1</v>
      </c>
      <c r="G164" s="5">
        <v>15</v>
      </c>
      <c r="H164" s="5">
        <v>16</v>
      </c>
    </row>
    <row r="165" spans="1:8">
      <c r="A165" s="5">
        <v>163</v>
      </c>
      <c r="B165" s="5">
        <v>164</v>
      </c>
      <c r="C165" s="5">
        <v>0.2424</v>
      </c>
      <c r="D165" s="5">
        <v>0.55</v>
      </c>
      <c r="E165" s="5">
        <v>0</v>
      </c>
      <c r="F165" s="5">
        <v>3</v>
      </c>
      <c r="G165" s="5">
        <v>13</v>
      </c>
      <c r="H165" s="5">
        <v>16</v>
      </c>
    </row>
    <row r="166" spans="1:8">
      <c r="A166" s="5">
        <v>164</v>
      </c>
      <c r="B166" s="5">
        <v>165</v>
      </c>
      <c r="C166" s="5">
        <v>0.197</v>
      </c>
      <c r="D166" s="5">
        <v>0.55</v>
      </c>
      <c r="E166" s="5">
        <v>0.1642</v>
      </c>
      <c r="F166" s="5">
        <v>0</v>
      </c>
      <c r="G166" s="5">
        <v>7</v>
      </c>
      <c r="H166" s="5">
        <v>7</v>
      </c>
    </row>
    <row r="167" spans="1:8">
      <c r="A167" s="5">
        <v>165</v>
      </c>
      <c r="B167" s="5">
        <v>166</v>
      </c>
      <c r="C167" s="5">
        <v>0.197</v>
      </c>
      <c r="D167" s="5">
        <v>0.55</v>
      </c>
      <c r="E167" s="5">
        <v>0.1642</v>
      </c>
      <c r="F167" s="5">
        <v>0</v>
      </c>
      <c r="G167" s="5">
        <v>1</v>
      </c>
      <c r="H167" s="5">
        <v>1</v>
      </c>
    </row>
    <row r="168" spans="1:8">
      <c r="A168" s="5">
        <v>166</v>
      </c>
      <c r="B168" s="5">
        <v>167</v>
      </c>
      <c r="C168" s="5">
        <v>0.1667</v>
      </c>
      <c r="D168" s="5">
        <v>0.74</v>
      </c>
      <c r="E168" s="5">
        <v>0.1642</v>
      </c>
      <c r="F168" s="5">
        <v>0</v>
      </c>
      <c r="G168" s="5">
        <v>5</v>
      </c>
      <c r="H168" s="5">
        <v>5</v>
      </c>
    </row>
    <row r="169" spans="1:8">
      <c r="A169" s="5">
        <v>167</v>
      </c>
      <c r="B169" s="5">
        <v>168</v>
      </c>
      <c r="C169" s="5">
        <v>0.1667</v>
      </c>
      <c r="D169" s="5">
        <v>0.74</v>
      </c>
      <c r="E169" s="5">
        <v>0.1642</v>
      </c>
      <c r="F169" s="5">
        <v>0</v>
      </c>
      <c r="G169" s="5">
        <v>2</v>
      </c>
      <c r="H169" s="5">
        <v>2</v>
      </c>
    </row>
    <row r="170" spans="1:8">
      <c r="A170" s="5">
        <v>168</v>
      </c>
      <c r="B170" s="5">
        <v>169</v>
      </c>
      <c r="C170" s="5">
        <v>0.1818</v>
      </c>
      <c r="D170" s="5">
        <v>0.74</v>
      </c>
      <c r="E170" s="5">
        <v>0.1045</v>
      </c>
      <c r="F170" s="5">
        <v>1</v>
      </c>
      <c r="G170" s="5">
        <v>8</v>
      </c>
      <c r="H170" s="5">
        <v>9</v>
      </c>
    </row>
    <row r="171" spans="1:8">
      <c r="A171" s="5">
        <v>169</v>
      </c>
      <c r="B171" s="5">
        <v>170</v>
      </c>
      <c r="C171" s="5">
        <v>0.1818</v>
      </c>
      <c r="D171" s="5">
        <v>0.93</v>
      </c>
      <c r="E171" s="5">
        <v>0.1045</v>
      </c>
      <c r="F171" s="5">
        <v>0</v>
      </c>
      <c r="G171" s="5">
        <v>15</v>
      </c>
      <c r="H171" s="5">
        <v>15</v>
      </c>
    </row>
    <row r="172" spans="1:8">
      <c r="A172" s="5">
        <v>170</v>
      </c>
      <c r="B172" s="5">
        <v>171</v>
      </c>
      <c r="C172" s="5">
        <v>0.1818</v>
      </c>
      <c r="D172" s="5">
        <v>0.93</v>
      </c>
      <c r="E172" s="5">
        <v>0.1045</v>
      </c>
      <c r="F172" s="5">
        <v>0</v>
      </c>
      <c r="G172" s="5">
        <v>20</v>
      </c>
      <c r="H172" s="5">
        <v>20</v>
      </c>
    </row>
    <row r="173" spans="1:8">
      <c r="A173" s="5">
        <v>171</v>
      </c>
      <c r="B173" s="5">
        <v>172</v>
      </c>
      <c r="C173" s="5">
        <v>0.197</v>
      </c>
      <c r="D173" s="5">
        <v>0.8</v>
      </c>
      <c r="E173" s="5">
        <v>0.1642</v>
      </c>
      <c r="F173" s="5">
        <v>5</v>
      </c>
      <c r="G173" s="5">
        <v>56</v>
      </c>
      <c r="H173" s="5">
        <v>61</v>
      </c>
    </row>
    <row r="174" spans="1:8">
      <c r="A174" s="5">
        <v>172</v>
      </c>
      <c r="B174" s="5">
        <v>173</v>
      </c>
      <c r="C174" s="5">
        <v>0.1818</v>
      </c>
      <c r="D174" s="5">
        <v>0.6899999999999999</v>
      </c>
      <c r="E174" s="5">
        <v>0.3881</v>
      </c>
      <c r="F174" s="5">
        <v>2</v>
      </c>
      <c r="G174" s="5">
        <v>60</v>
      </c>
      <c r="H174" s="5">
        <v>62</v>
      </c>
    </row>
    <row r="175" spans="1:8">
      <c r="A175" s="5">
        <v>173</v>
      </c>
      <c r="B175" s="5">
        <v>174</v>
      </c>
      <c r="C175" s="5">
        <v>0.1818</v>
      </c>
      <c r="D175" s="5">
        <v>0.59</v>
      </c>
      <c r="E175" s="5">
        <v>0.3582</v>
      </c>
      <c r="F175" s="5">
        <v>8</v>
      </c>
      <c r="G175" s="5">
        <v>90</v>
      </c>
      <c r="H175" s="5">
        <v>98</v>
      </c>
    </row>
    <row r="176" spans="1:8">
      <c r="A176" s="5">
        <v>174</v>
      </c>
      <c r="B176" s="5">
        <v>175</v>
      </c>
      <c r="C176" s="5">
        <v>0.1818</v>
      </c>
      <c r="D176" s="5">
        <v>0.44</v>
      </c>
      <c r="E176" s="5">
        <v>0.3284</v>
      </c>
      <c r="F176" s="5">
        <v>7</v>
      </c>
      <c r="G176" s="5">
        <v>95</v>
      </c>
      <c r="H176" s="5">
        <v>102</v>
      </c>
    </row>
    <row r="177" spans="1:8">
      <c r="A177" s="5">
        <v>175</v>
      </c>
      <c r="B177" s="5">
        <v>176</v>
      </c>
      <c r="C177" s="5">
        <v>0.1667</v>
      </c>
      <c r="D177" s="5">
        <v>0.32</v>
      </c>
      <c r="E177" s="5">
        <v>0.4925</v>
      </c>
      <c r="F177" s="5">
        <v>12</v>
      </c>
      <c r="G177" s="5">
        <v>83</v>
      </c>
      <c r="H177" s="5">
        <v>95</v>
      </c>
    </row>
    <row r="178" spans="1:8">
      <c r="A178" s="5">
        <v>176</v>
      </c>
      <c r="B178" s="5">
        <v>177</v>
      </c>
      <c r="C178" s="5">
        <v>0.1667</v>
      </c>
      <c r="D178" s="5">
        <v>0.32</v>
      </c>
      <c r="E178" s="5">
        <v>0.4478</v>
      </c>
      <c r="F178" s="5">
        <v>5</v>
      </c>
      <c r="G178" s="5">
        <v>69</v>
      </c>
      <c r="H178" s="5">
        <v>74</v>
      </c>
    </row>
    <row r="179" spans="1:8">
      <c r="A179" s="5">
        <v>177</v>
      </c>
      <c r="B179" s="5">
        <v>178</v>
      </c>
      <c r="C179" s="5">
        <v>0.1364</v>
      </c>
      <c r="D179" s="5">
        <v>0.29</v>
      </c>
      <c r="E179" s="5">
        <v>0.4478</v>
      </c>
      <c r="F179" s="5">
        <v>8</v>
      </c>
      <c r="G179" s="5">
        <v>68</v>
      </c>
      <c r="H179" s="5">
        <v>76</v>
      </c>
    </row>
    <row r="180" spans="1:8">
      <c r="A180" s="5">
        <v>178</v>
      </c>
      <c r="B180" s="5">
        <v>179</v>
      </c>
      <c r="C180" s="5">
        <v>0.1212</v>
      </c>
      <c r="D180" s="5">
        <v>0.37</v>
      </c>
      <c r="E180" s="5">
        <v>0.5522</v>
      </c>
      <c r="F180" s="5">
        <v>5</v>
      </c>
      <c r="G180" s="5">
        <v>64</v>
      </c>
      <c r="H180" s="5">
        <v>69</v>
      </c>
    </row>
    <row r="181" spans="1:8">
      <c r="A181" s="5">
        <v>179</v>
      </c>
      <c r="B181" s="5">
        <v>180</v>
      </c>
      <c r="C181" s="5">
        <v>0.1212</v>
      </c>
      <c r="D181" s="5">
        <v>0.39</v>
      </c>
      <c r="E181" s="5">
        <v>0.2985</v>
      </c>
      <c r="F181" s="5">
        <v>3</v>
      </c>
      <c r="G181" s="5">
        <v>52</v>
      </c>
      <c r="H181" s="5">
        <v>55</v>
      </c>
    </row>
    <row r="182" spans="1:8">
      <c r="A182" s="5">
        <v>180</v>
      </c>
      <c r="B182" s="5">
        <v>181</v>
      </c>
      <c r="C182" s="5">
        <v>0.1212</v>
      </c>
      <c r="D182" s="5">
        <v>0.36</v>
      </c>
      <c r="E182" s="5">
        <v>0.2537</v>
      </c>
      <c r="F182" s="5">
        <v>4</v>
      </c>
      <c r="G182" s="5">
        <v>26</v>
      </c>
      <c r="H182" s="5">
        <v>30</v>
      </c>
    </row>
    <row r="183" spans="1:8">
      <c r="A183" s="5">
        <v>181</v>
      </c>
      <c r="B183" s="5">
        <v>182</v>
      </c>
      <c r="C183" s="5">
        <v>0.1212</v>
      </c>
      <c r="D183" s="5">
        <v>0.36</v>
      </c>
      <c r="E183" s="5">
        <v>0.2537</v>
      </c>
      <c r="F183" s="5">
        <v>0</v>
      </c>
      <c r="G183" s="5">
        <v>28</v>
      </c>
      <c r="H183" s="5">
        <v>28</v>
      </c>
    </row>
    <row r="184" spans="1:8">
      <c r="A184" s="5">
        <v>182</v>
      </c>
      <c r="B184" s="5">
        <v>183</v>
      </c>
      <c r="C184" s="5">
        <v>0.1061</v>
      </c>
      <c r="D184" s="5">
        <v>0.39</v>
      </c>
      <c r="E184" s="5">
        <v>0.3582</v>
      </c>
      <c r="F184" s="5">
        <v>2</v>
      </c>
      <c r="G184" s="5">
        <v>35</v>
      </c>
      <c r="H184" s="5">
        <v>37</v>
      </c>
    </row>
    <row r="185" spans="1:8">
      <c r="A185" s="5">
        <v>183</v>
      </c>
      <c r="B185" s="5">
        <v>184</v>
      </c>
      <c r="C185" s="5">
        <v>0.1061</v>
      </c>
      <c r="D185" s="5">
        <v>0.36</v>
      </c>
      <c r="E185" s="5">
        <v>0.3881</v>
      </c>
      <c r="F185" s="5">
        <v>1</v>
      </c>
      <c r="G185" s="5">
        <v>33</v>
      </c>
      <c r="H185" s="5">
        <v>34</v>
      </c>
    </row>
    <row r="186" spans="1:8">
      <c r="A186" s="5">
        <v>184</v>
      </c>
      <c r="B186" s="5">
        <v>185</v>
      </c>
      <c r="C186" s="5">
        <v>0.0606</v>
      </c>
      <c r="D186" s="5">
        <v>0.39</v>
      </c>
      <c r="E186" s="5">
        <v>0.4478</v>
      </c>
      <c r="F186" s="5">
        <v>0</v>
      </c>
      <c r="G186" s="5">
        <v>22</v>
      </c>
      <c r="H186" s="5">
        <v>22</v>
      </c>
    </row>
    <row r="187" spans="1:8">
      <c r="A187" s="5">
        <v>185</v>
      </c>
      <c r="B187" s="5">
        <v>186</v>
      </c>
      <c r="C187" s="5">
        <v>0.07580000000000001</v>
      </c>
      <c r="D187" s="5">
        <v>0.42</v>
      </c>
      <c r="E187" s="5">
        <v>0.3881</v>
      </c>
      <c r="F187" s="5">
        <v>1</v>
      </c>
      <c r="G187" s="5">
        <v>24</v>
      </c>
      <c r="H187" s="5">
        <v>25</v>
      </c>
    </row>
    <row r="188" spans="1:8">
      <c r="A188" s="5">
        <v>186</v>
      </c>
      <c r="B188" s="5">
        <v>187</v>
      </c>
      <c r="C188" s="5">
        <v>0.0606</v>
      </c>
      <c r="D188" s="5">
        <v>0.42</v>
      </c>
      <c r="E188" s="5">
        <v>0.4627</v>
      </c>
      <c r="F188" s="5">
        <v>0</v>
      </c>
      <c r="G188" s="5">
        <v>12</v>
      </c>
      <c r="H188" s="5">
        <v>12</v>
      </c>
    </row>
    <row r="189" spans="1:8">
      <c r="A189" s="5">
        <v>187</v>
      </c>
      <c r="B189" s="5">
        <v>188</v>
      </c>
      <c r="C189" s="5">
        <v>0.0606</v>
      </c>
      <c r="D189" s="5">
        <v>0.46</v>
      </c>
      <c r="E189" s="5">
        <v>0.4627</v>
      </c>
      <c r="F189" s="5">
        <v>0</v>
      </c>
      <c r="G189" s="5">
        <v>11</v>
      </c>
      <c r="H189" s="5">
        <v>11</v>
      </c>
    </row>
    <row r="190" spans="1:8">
      <c r="A190" s="5">
        <v>188</v>
      </c>
      <c r="B190" s="5">
        <v>189</v>
      </c>
      <c r="C190" s="5">
        <v>0.07580000000000001</v>
      </c>
      <c r="D190" s="5">
        <v>0.46</v>
      </c>
      <c r="E190" s="5">
        <v>0.4179</v>
      </c>
      <c r="F190" s="5">
        <v>0</v>
      </c>
      <c r="G190" s="5">
        <v>4</v>
      </c>
      <c r="H190" s="5">
        <v>4</v>
      </c>
    </row>
    <row r="191" spans="1:8">
      <c r="A191" s="5">
        <v>189</v>
      </c>
      <c r="B191" s="5">
        <v>190</v>
      </c>
      <c r="C191" s="5">
        <v>0.09089999999999999</v>
      </c>
      <c r="D191" s="5">
        <v>0.53</v>
      </c>
      <c r="E191" s="5">
        <v>0.194</v>
      </c>
      <c r="F191" s="5">
        <v>0</v>
      </c>
      <c r="G191" s="5">
        <v>1</v>
      </c>
      <c r="H191" s="5">
        <v>1</v>
      </c>
    </row>
    <row r="192" spans="1:8">
      <c r="A192" s="5">
        <v>190</v>
      </c>
      <c r="B192" s="5">
        <v>191</v>
      </c>
      <c r="C192" s="5">
        <v>0.09089999999999999</v>
      </c>
      <c r="D192" s="5">
        <v>0.53</v>
      </c>
      <c r="E192" s="5">
        <v>0.194</v>
      </c>
      <c r="F192" s="5">
        <v>0</v>
      </c>
      <c r="G192" s="5">
        <v>1</v>
      </c>
      <c r="H192" s="5">
        <v>1</v>
      </c>
    </row>
    <row r="193" spans="1:8">
      <c r="A193" s="5">
        <v>191</v>
      </c>
      <c r="B193" s="5">
        <v>192</v>
      </c>
      <c r="C193" s="5">
        <v>0.09089999999999999</v>
      </c>
      <c r="D193" s="5">
        <v>0.49</v>
      </c>
      <c r="E193" s="5">
        <v>0.2836</v>
      </c>
      <c r="F193" s="5">
        <v>0</v>
      </c>
      <c r="G193" s="5">
        <v>1</v>
      </c>
      <c r="H193" s="5">
        <v>1</v>
      </c>
    </row>
    <row r="194" spans="1:8">
      <c r="A194" s="5">
        <v>192</v>
      </c>
      <c r="B194" s="5">
        <v>193</v>
      </c>
      <c r="C194" s="5">
        <v>0.09089999999999999</v>
      </c>
      <c r="D194" s="5">
        <v>0.53</v>
      </c>
      <c r="E194" s="5">
        <v>0.194</v>
      </c>
      <c r="F194" s="5">
        <v>1</v>
      </c>
      <c r="G194" s="5">
        <v>5</v>
      </c>
      <c r="H194" s="5">
        <v>6</v>
      </c>
    </row>
    <row r="195" spans="1:8">
      <c r="A195" s="5">
        <v>193</v>
      </c>
      <c r="B195" s="5">
        <v>194</v>
      </c>
      <c r="C195" s="5">
        <v>0.09089999999999999</v>
      </c>
      <c r="D195" s="5">
        <v>0.49</v>
      </c>
      <c r="E195" s="5">
        <v>0.2836</v>
      </c>
      <c r="F195" s="5">
        <v>0</v>
      </c>
      <c r="G195" s="5">
        <v>10</v>
      </c>
      <c r="H195" s="5">
        <v>10</v>
      </c>
    </row>
    <row r="196" spans="1:8">
      <c r="A196" s="5">
        <v>194</v>
      </c>
      <c r="B196" s="5">
        <v>195</v>
      </c>
      <c r="C196" s="5">
        <v>0.07580000000000001</v>
      </c>
      <c r="D196" s="5">
        <v>0.46</v>
      </c>
      <c r="E196" s="5">
        <v>0.5224</v>
      </c>
      <c r="F196" s="5">
        <v>0</v>
      </c>
      <c r="G196" s="5">
        <v>19</v>
      </c>
      <c r="H196" s="5">
        <v>19</v>
      </c>
    </row>
    <row r="197" spans="1:8">
      <c r="A197" s="5">
        <v>195</v>
      </c>
      <c r="B197" s="5">
        <v>196</v>
      </c>
      <c r="C197" s="5">
        <v>0.1061</v>
      </c>
      <c r="D197" s="5">
        <v>0.43</v>
      </c>
      <c r="E197" s="5">
        <v>0.3881</v>
      </c>
      <c r="F197" s="5">
        <v>0</v>
      </c>
      <c r="G197" s="5">
        <v>49</v>
      </c>
      <c r="H197" s="5">
        <v>49</v>
      </c>
    </row>
    <row r="198" spans="1:8">
      <c r="A198" s="5">
        <v>196</v>
      </c>
      <c r="B198" s="5">
        <v>197</v>
      </c>
      <c r="C198" s="5">
        <v>0.1212</v>
      </c>
      <c r="D198" s="5">
        <v>0.4</v>
      </c>
      <c r="E198" s="5">
        <v>0.5224</v>
      </c>
      <c r="F198" s="5">
        <v>2</v>
      </c>
      <c r="G198" s="5">
        <v>47</v>
      </c>
      <c r="H198" s="5">
        <v>49</v>
      </c>
    </row>
    <row r="199" spans="1:8">
      <c r="A199" s="5">
        <v>197</v>
      </c>
      <c r="B199" s="5">
        <v>198</v>
      </c>
      <c r="C199" s="5">
        <v>0.1364</v>
      </c>
      <c r="D199" s="5">
        <v>0.37</v>
      </c>
      <c r="E199" s="5">
        <v>0.4478</v>
      </c>
      <c r="F199" s="5">
        <v>4</v>
      </c>
      <c r="G199" s="5">
        <v>79</v>
      </c>
      <c r="H199" s="5">
        <v>83</v>
      </c>
    </row>
    <row r="200" spans="1:8">
      <c r="A200" s="5">
        <v>198</v>
      </c>
      <c r="B200" s="5">
        <v>199</v>
      </c>
      <c r="C200" s="5">
        <v>0.1667</v>
      </c>
      <c r="D200" s="5">
        <v>0.34</v>
      </c>
      <c r="E200" s="5">
        <v>0.4478</v>
      </c>
      <c r="F200" s="5">
        <v>6</v>
      </c>
      <c r="G200" s="5">
        <v>69</v>
      </c>
      <c r="H200" s="5">
        <v>75</v>
      </c>
    </row>
    <row r="201" spans="1:8">
      <c r="A201" s="5">
        <v>199</v>
      </c>
      <c r="B201" s="5">
        <v>200</v>
      </c>
      <c r="C201" s="5">
        <v>0.1818</v>
      </c>
      <c r="D201" s="5">
        <v>0.32</v>
      </c>
      <c r="E201" s="5">
        <v>0.4627</v>
      </c>
      <c r="F201" s="5">
        <v>8</v>
      </c>
      <c r="G201" s="5">
        <v>64</v>
      </c>
      <c r="H201" s="5">
        <v>72</v>
      </c>
    </row>
    <row r="202" spans="1:8">
      <c r="A202" s="5">
        <v>200</v>
      </c>
      <c r="B202" s="5">
        <v>201</v>
      </c>
      <c r="C202" s="5">
        <v>0.197</v>
      </c>
      <c r="D202" s="5">
        <v>0.35</v>
      </c>
      <c r="E202" s="5">
        <v>0.3582</v>
      </c>
      <c r="F202" s="5">
        <v>5</v>
      </c>
      <c r="G202" s="5">
        <v>77</v>
      </c>
      <c r="H202" s="5">
        <v>82</v>
      </c>
    </row>
    <row r="203" spans="1:8">
      <c r="A203" s="5">
        <v>201</v>
      </c>
      <c r="B203" s="5">
        <v>202</v>
      </c>
      <c r="C203" s="5">
        <v>0.1667</v>
      </c>
      <c r="D203" s="5">
        <v>0.34</v>
      </c>
      <c r="E203" s="5">
        <v>0.4478</v>
      </c>
      <c r="F203" s="5">
        <v>13</v>
      </c>
      <c r="G203" s="5">
        <v>79</v>
      </c>
      <c r="H203" s="5">
        <v>92</v>
      </c>
    </row>
    <row r="204" spans="1:8">
      <c r="A204" s="5">
        <v>202</v>
      </c>
      <c r="B204" s="5">
        <v>203</v>
      </c>
      <c r="C204" s="5">
        <v>0.1515</v>
      </c>
      <c r="D204" s="5">
        <v>0.37</v>
      </c>
      <c r="E204" s="5">
        <v>0.3881</v>
      </c>
      <c r="F204" s="5">
        <v>3</v>
      </c>
      <c r="G204" s="5">
        <v>59</v>
      </c>
      <c r="H204" s="5">
        <v>62</v>
      </c>
    </row>
    <row r="205" spans="1:8">
      <c r="A205" s="5">
        <v>203</v>
      </c>
      <c r="B205" s="5">
        <v>204</v>
      </c>
      <c r="C205" s="5">
        <v>0.1364</v>
      </c>
      <c r="D205" s="5">
        <v>0.4</v>
      </c>
      <c r="E205" s="5">
        <v>0.3284</v>
      </c>
      <c r="F205" s="5">
        <v>4</v>
      </c>
      <c r="G205" s="5">
        <v>44</v>
      </c>
      <c r="H205" s="5">
        <v>48</v>
      </c>
    </row>
    <row r="206" spans="1:8">
      <c r="A206" s="5">
        <v>204</v>
      </c>
      <c r="B206" s="5">
        <v>205</v>
      </c>
      <c r="C206" s="5">
        <v>0.1364</v>
      </c>
      <c r="D206" s="5">
        <v>0.43</v>
      </c>
      <c r="E206" s="5">
        <v>0.3284</v>
      </c>
      <c r="F206" s="5">
        <v>1</v>
      </c>
      <c r="G206" s="5">
        <v>40</v>
      </c>
      <c r="H206" s="5">
        <v>41</v>
      </c>
    </row>
    <row r="207" spans="1:8">
      <c r="A207" s="5">
        <v>205</v>
      </c>
      <c r="B207" s="5">
        <v>206</v>
      </c>
      <c r="C207" s="5">
        <v>0.1212</v>
      </c>
      <c r="D207" s="5">
        <v>0.46</v>
      </c>
      <c r="E207" s="5">
        <v>0.2537</v>
      </c>
      <c r="F207" s="5">
        <v>0</v>
      </c>
      <c r="G207" s="5">
        <v>38</v>
      </c>
      <c r="H207" s="5">
        <v>38</v>
      </c>
    </row>
    <row r="208" spans="1:8">
      <c r="A208" s="5">
        <v>206</v>
      </c>
      <c r="B208" s="5">
        <v>207</v>
      </c>
      <c r="C208" s="5">
        <v>0.1061</v>
      </c>
      <c r="D208" s="5">
        <v>0.46</v>
      </c>
      <c r="E208" s="5">
        <v>0.4179</v>
      </c>
      <c r="F208" s="5">
        <v>1</v>
      </c>
      <c r="G208" s="5">
        <v>19</v>
      </c>
      <c r="H208" s="5">
        <v>20</v>
      </c>
    </row>
    <row r="209" spans="1:8">
      <c r="A209" s="5">
        <v>207</v>
      </c>
      <c r="B209" s="5">
        <v>208</v>
      </c>
      <c r="C209" s="5">
        <v>0.1212</v>
      </c>
      <c r="D209" s="5">
        <v>0.46</v>
      </c>
      <c r="E209" s="5">
        <v>0.2985</v>
      </c>
      <c r="F209" s="5">
        <v>5</v>
      </c>
      <c r="G209" s="5">
        <v>10</v>
      </c>
      <c r="H209" s="5">
        <v>15</v>
      </c>
    </row>
    <row r="210" spans="1:8">
      <c r="A210" s="5">
        <v>208</v>
      </c>
      <c r="B210" s="5">
        <v>209</v>
      </c>
      <c r="C210" s="5">
        <v>0.1364</v>
      </c>
      <c r="D210" s="5">
        <v>0.5</v>
      </c>
      <c r="E210" s="5">
        <v>0.194</v>
      </c>
      <c r="F210" s="5">
        <v>0</v>
      </c>
      <c r="G210" s="5">
        <v>6</v>
      </c>
      <c r="H210" s="5">
        <v>6</v>
      </c>
    </row>
    <row r="211" spans="1:8">
      <c r="A211" s="5">
        <v>209</v>
      </c>
      <c r="B211" s="5">
        <v>210</v>
      </c>
      <c r="C211" s="5">
        <v>0.1212</v>
      </c>
      <c r="D211" s="5">
        <v>0.5</v>
      </c>
      <c r="E211" s="5">
        <v>0.2836</v>
      </c>
      <c r="F211" s="5">
        <v>2</v>
      </c>
      <c r="G211" s="5">
        <v>3</v>
      </c>
      <c r="H211" s="5">
        <v>5</v>
      </c>
    </row>
    <row r="212" spans="1:8">
      <c r="A212" s="5">
        <v>210</v>
      </c>
      <c r="B212" s="5">
        <v>211</v>
      </c>
      <c r="C212" s="5">
        <v>0.1212</v>
      </c>
      <c r="D212" s="5">
        <v>0.5</v>
      </c>
      <c r="E212" s="5">
        <v>0.2836</v>
      </c>
      <c r="F212" s="5">
        <v>1</v>
      </c>
      <c r="G212" s="5">
        <v>0</v>
      </c>
      <c r="H212" s="5">
        <v>1</v>
      </c>
    </row>
    <row r="213" spans="1:8">
      <c r="A213" s="5">
        <v>211</v>
      </c>
      <c r="B213" s="5">
        <v>212</v>
      </c>
      <c r="C213" s="5">
        <v>0.1212</v>
      </c>
      <c r="D213" s="5">
        <v>0.5</v>
      </c>
      <c r="E213" s="5">
        <v>0.2239</v>
      </c>
      <c r="F213" s="5">
        <v>0</v>
      </c>
      <c r="G213" s="5">
        <v>3</v>
      </c>
      <c r="H213" s="5">
        <v>3</v>
      </c>
    </row>
    <row r="214" spans="1:8">
      <c r="A214" s="5">
        <v>212</v>
      </c>
      <c r="B214" s="5">
        <v>213</v>
      </c>
      <c r="C214" s="5">
        <v>0.1212</v>
      </c>
      <c r="D214" s="5">
        <v>0.5</v>
      </c>
      <c r="E214" s="5">
        <v>0.2239</v>
      </c>
      <c r="F214" s="5">
        <v>0</v>
      </c>
      <c r="G214" s="5">
        <v>1</v>
      </c>
      <c r="H214" s="5">
        <v>1</v>
      </c>
    </row>
    <row r="215" spans="1:8">
      <c r="A215" s="5">
        <v>213</v>
      </c>
      <c r="B215" s="5">
        <v>214</v>
      </c>
      <c r="C215" s="5">
        <v>0.1212</v>
      </c>
      <c r="D215" s="5">
        <v>0.54</v>
      </c>
      <c r="E215" s="5">
        <v>0.1343</v>
      </c>
      <c r="F215" s="5">
        <v>1</v>
      </c>
      <c r="G215" s="5">
        <v>2</v>
      </c>
      <c r="H215" s="5">
        <v>3</v>
      </c>
    </row>
    <row r="216" spans="1:8">
      <c r="A216" s="5">
        <v>214</v>
      </c>
      <c r="B216" s="5">
        <v>215</v>
      </c>
      <c r="C216" s="5">
        <v>0.1061</v>
      </c>
      <c r="D216" s="5">
        <v>0.54</v>
      </c>
      <c r="E216" s="5">
        <v>0.2537</v>
      </c>
      <c r="F216" s="5">
        <v>0</v>
      </c>
      <c r="G216" s="5">
        <v>3</v>
      </c>
      <c r="H216" s="5">
        <v>3</v>
      </c>
    </row>
    <row r="217" spans="1:8">
      <c r="A217" s="5">
        <v>215</v>
      </c>
      <c r="B217" s="5">
        <v>216</v>
      </c>
      <c r="C217" s="5">
        <v>0.1212</v>
      </c>
      <c r="D217" s="5">
        <v>0.5</v>
      </c>
      <c r="E217" s="5">
        <v>0.2836</v>
      </c>
      <c r="F217" s="5">
        <v>0</v>
      </c>
      <c r="G217" s="5">
        <v>31</v>
      </c>
      <c r="H217" s="5">
        <v>31</v>
      </c>
    </row>
    <row r="218" spans="1:8">
      <c r="A218" s="5">
        <v>216</v>
      </c>
      <c r="B218" s="5">
        <v>217</v>
      </c>
      <c r="C218" s="5">
        <v>0.1212</v>
      </c>
      <c r="D218" s="5">
        <v>0.5</v>
      </c>
      <c r="E218" s="5">
        <v>0.2239</v>
      </c>
      <c r="F218" s="5">
        <v>2</v>
      </c>
      <c r="G218" s="5">
        <v>75</v>
      </c>
      <c r="H218" s="5">
        <v>77</v>
      </c>
    </row>
    <row r="219" spans="1:8">
      <c r="A219" s="5">
        <v>217</v>
      </c>
      <c r="B219" s="5">
        <v>218</v>
      </c>
      <c r="C219" s="5">
        <v>0.1212</v>
      </c>
      <c r="D219" s="5">
        <v>0.5</v>
      </c>
      <c r="E219" s="5">
        <v>0.2836</v>
      </c>
      <c r="F219" s="5">
        <v>4</v>
      </c>
      <c r="G219" s="5">
        <v>184</v>
      </c>
      <c r="H219" s="5">
        <v>188</v>
      </c>
    </row>
    <row r="220" spans="1:8">
      <c r="A220" s="5">
        <v>218</v>
      </c>
      <c r="B220" s="5">
        <v>219</v>
      </c>
      <c r="C220" s="5">
        <v>0.1212</v>
      </c>
      <c r="D220" s="5">
        <v>0.5</v>
      </c>
      <c r="E220" s="5">
        <v>0.2537</v>
      </c>
      <c r="F220" s="5">
        <v>2</v>
      </c>
      <c r="G220" s="5">
        <v>92</v>
      </c>
      <c r="H220" s="5">
        <v>94</v>
      </c>
    </row>
    <row r="221" spans="1:8">
      <c r="A221" s="5">
        <v>219</v>
      </c>
      <c r="B221" s="5">
        <v>220</v>
      </c>
      <c r="C221" s="5">
        <v>0.1212</v>
      </c>
      <c r="D221" s="5">
        <v>0.5</v>
      </c>
      <c r="E221" s="5">
        <v>0.2985</v>
      </c>
      <c r="F221" s="5">
        <v>0</v>
      </c>
      <c r="G221" s="5">
        <v>31</v>
      </c>
      <c r="H221" s="5">
        <v>31</v>
      </c>
    </row>
    <row r="222" spans="1:8">
      <c r="A222" s="5">
        <v>220</v>
      </c>
      <c r="B222" s="5">
        <v>221</v>
      </c>
      <c r="C222" s="5">
        <v>0.1364</v>
      </c>
      <c r="D222" s="5">
        <v>0.47</v>
      </c>
      <c r="E222" s="5">
        <v>0.2836</v>
      </c>
      <c r="F222" s="5">
        <v>2</v>
      </c>
      <c r="G222" s="5">
        <v>28</v>
      </c>
      <c r="H222" s="5">
        <v>30</v>
      </c>
    </row>
    <row r="223" spans="1:8">
      <c r="A223" s="5">
        <v>221</v>
      </c>
      <c r="B223" s="5">
        <v>222</v>
      </c>
      <c r="C223" s="5">
        <v>0.1818</v>
      </c>
      <c r="D223" s="5">
        <v>0.4</v>
      </c>
      <c r="E223" s="5">
        <v>0.2836</v>
      </c>
      <c r="F223" s="5">
        <v>5</v>
      </c>
      <c r="G223" s="5">
        <v>47</v>
      </c>
      <c r="H223" s="5">
        <v>52</v>
      </c>
    </row>
    <row r="224" spans="1:8">
      <c r="A224" s="5">
        <v>222</v>
      </c>
      <c r="B224" s="5">
        <v>223</v>
      </c>
      <c r="C224" s="5">
        <v>0.1818</v>
      </c>
      <c r="D224" s="5">
        <v>0.4</v>
      </c>
      <c r="E224" s="5">
        <v>0.2836</v>
      </c>
      <c r="F224" s="5">
        <v>4</v>
      </c>
      <c r="G224" s="5">
        <v>50</v>
      </c>
      <c r="H224" s="5">
        <v>54</v>
      </c>
    </row>
    <row r="225" spans="1:8">
      <c r="A225" s="5">
        <v>223</v>
      </c>
      <c r="B225" s="5">
        <v>224</v>
      </c>
      <c r="C225" s="5">
        <v>0.197</v>
      </c>
      <c r="D225" s="5">
        <v>0.4</v>
      </c>
      <c r="E225" s="5">
        <v>0.2239</v>
      </c>
      <c r="F225" s="5">
        <v>0</v>
      </c>
      <c r="G225" s="5">
        <v>47</v>
      </c>
      <c r="H225" s="5">
        <v>47</v>
      </c>
    </row>
    <row r="226" spans="1:8">
      <c r="A226" s="5">
        <v>224</v>
      </c>
      <c r="B226" s="5">
        <v>225</v>
      </c>
      <c r="C226" s="5">
        <v>0.197</v>
      </c>
      <c r="D226" s="5">
        <v>0.4</v>
      </c>
      <c r="E226" s="5">
        <v>0.2239</v>
      </c>
      <c r="F226" s="5">
        <v>2</v>
      </c>
      <c r="G226" s="5">
        <v>43</v>
      </c>
      <c r="H226" s="5">
        <v>45</v>
      </c>
    </row>
    <row r="227" spans="1:8">
      <c r="A227" s="5">
        <v>225</v>
      </c>
      <c r="B227" s="5">
        <v>226</v>
      </c>
      <c r="C227" s="5">
        <v>0.2121</v>
      </c>
      <c r="D227" s="5">
        <v>0.4</v>
      </c>
      <c r="E227" s="5">
        <v>0.1343</v>
      </c>
      <c r="F227" s="5">
        <v>4</v>
      </c>
      <c r="G227" s="5">
        <v>70</v>
      </c>
      <c r="H227" s="5">
        <v>74</v>
      </c>
    </row>
    <row r="228" spans="1:8">
      <c r="A228" s="5">
        <v>226</v>
      </c>
      <c r="B228" s="5">
        <v>227</v>
      </c>
      <c r="C228" s="5">
        <v>0.2273</v>
      </c>
      <c r="D228" s="5">
        <v>0.4</v>
      </c>
      <c r="E228" s="5">
        <v>0.1045</v>
      </c>
      <c r="F228" s="5">
        <v>4</v>
      </c>
      <c r="G228" s="5">
        <v>174</v>
      </c>
      <c r="H228" s="5">
        <v>178</v>
      </c>
    </row>
    <row r="229" spans="1:8">
      <c r="A229" s="5">
        <v>227</v>
      </c>
      <c r="B229" s="5">
        <v>228</v>
      </c>
      <c r="C229" s="5">
        <v>0.197</v>
      </c>
      <c r="D229" s="5">
        <v>0.4</v>
      </c>
      <c r="E229" s="5">
        <v>0.2239</v>
      </c>
      <c r="F229" s="5">
        <v>1</v>
      </c>
      <c r="G229" s="5">
        <v>154</v>
      </c>
      <c r="H229" s="5">
        <v>155</v>
      </c>
    </row>
    <row r="230" spans="1:8">
      <c r="A230" s="5">
        <v>228</v>
      </c>
      <c r="B230" s="5">
        <v>229</v>
      </c>
      <c r="C230" s="5">
        <v>0.1667</v>
      </c>
      <c r="D230" s="5">
        <v>0.47</v>
      </c>
      <c r="E230" s="5">
        <v>0.1642</v>
      </c>
      <c r="F230" s="5">
        <v>3</v>
      </c>
      <c r="G230" s="5">
        <v>92</v>
      </c>
      <c r="H230" s="5">
        <v>95</v>
      </c>
    </row>
    <row r="231" spans="1:8">
      <c r="A231" s="5">
        <v>229</v>
      </c>
      <c r="B231" s="5">
        <v>230</v>
      </c>
      <c r="C231" s="5">
        <v>0.1667</v>
      </c>
      <c r="D231" s="5">
        <v>0.5</v>
      </c>
      <c r="E231" s="5">
        <v>0.1642</v>
      </c>
      <c r="F231" s="5">
        <v>1</v>
      </c>
      <c r="G231" s="5">
        <v>73</v>
      </c>
      <c r="H231" s="5">
        <v>74</v>
      </c>
    </row>
    <row r="232" spans="1:8">
      <c r="A232" s="5">
        <v>230</v>
      </c>
      <c r="B232" s="5">
        <v>231</v>
      </c>
      <c r="C232" s="5">
        <v>0.1364</v>
      </c>
      <c r="D232" s="5">
        <v>0.59</v>
      </c>
      <c r="E232" s="5">
        <v>0.194</v>
      </c>
      <c r="F232" s="5">
        <v>1</v>
      </c>
      <c r="G232" s="5">
        <v>37</v>
      </c>
      <c r="H232" s="5">
        <v>38</v>
      </c>
    </row>
    <row r="233" spans="1:8">
      <c r="A233" s="5">
        <v>231</v>
      </c>
      <c r="B233" s="5">
        <v>232</v>
      </c>
      <c r="C233" s="5">
        <v>0.1515</v>
      </c>
      <c r="D233" s="5">
        <v>0.59</v>
      </c>
      <c r="E233" s="5">
        <v>0.1642</v>
      </c>
      <c r="F233" s="5">
        <v>2</v>
      </c>
      <c r="G233" s="5">
        <v>22</v>
      </c>
      <c r="H233" s="5">
        <v>24</v>
      </c>
    </row>
    <row r="234" spans="1:8">
      <c r="A234" s="5">
        <v>232</v>
      </c>
      <c r="B234" s="5">
        <v>233</v>
      </c>
      <c r="C234" s="5">
        <v>0.1515</v>
      </c>
      <c r="D234" s="5">
        <v>0.59</v>
      </c>
      <c r="E234" s="5">
        <v>0.1642</v>
      </c>
      <c r="F234" s="5">
        <v>0</v>
      </c>
      <c r="G234" s="5">
        <v>18</v>
      </c>
      <c r="H234" s="5">
        <v>18</v>
      </c>
    </row>
    <row r="235" spans="1:8">
      <c r="A235" s="5">
        <v>233</v>
      </c>
      <c r="B235" s="5">
        <v>234</v>
      </c>
      <c r="C235" s="5">
        <v>0.1667</v>
      </c>
      <c r="D235" s="5">
        <v>0.59</v>
      </c>
      <c r="E235" s="5">
        <v>0.1045</v>
      </c>
      <c r="F235" s="5">
        <v>2</v>
      </c>
      <c r="G235" s="5">
        <v>10</v>
      </c>
      <c r="H235" s="5">
        <v>12</v>
      </c>
    </row>
    <row r="236" spans="1:8">
      <c r="A236" s="5">
        <v>234</v>
      </c>
      <c r="B236" s="5">
        <v>235</v>
      </c>
      <c r="C236" s="5">
        <v>0.1515</v>
      </c>
      <c r="D236" s="5">
        <v>0.59</v>
      </c>
      <c r="E236" s="5">
        <v>0.1642</v>
      </c>
      <c r="F236" s="5">
        <v>0</v>
      </c>
      <c r="G236" s="5">
        <v>3</v>
      </c>
      <c r="H236" s="5">
        <v>3</v>
      </c>
    </row>
    <row r="237" spans="1:8">
      <c r="A237" s="5">
        <v>235</v>
      </c>
      <c r="B237" s="5">
        <v>236</v>
      </c>
      <c r="C237" s="5">
        <v>0.1515</v>
      </c>
      <c r="D237" s="5">
        <v>0.55</v>
      </c>
      <c r="E237" s="5">
        <v>0.194</v>
      </c>
      <c r="F237" s="5">
        <v>0</v>
      </c>
      <c r="G237" s="5">
        <v>3</v>
      </c>
      <c r="H237" s="5">
        <v>3</v>
      </c>
    </row>
    <row r="238" spans="1:8">
      <c r="A238" s="5">
        <v>236</v>
      </c>
      <c r="B238" s="5">
        <v>237</v>
      </c>
      <c r="C238" s="5">
        <v>0.1818</v>
      </c>
      <c r="D238" s="5">
        <v>0.55</v>
      </c>
      <c r="E238" s="5">
        <v>0.1343</v>
      </c>
      <c r="F238" s="5">
        <v>0</v>
      </c>
      <c r="G238" s="5">
        <v>6</v>
      </c>
      <c r="H238" s="5">
        <v>6</v>
      </c>
    </row>
    <row r="239" spans="1:8">
      <c r="A239" s="5">
        <v>237</v>
      </c>
      <c r="B239" s="5">
        <v>238</v>
      </c>
      <c r="C239" s="5">
        <v>0.1818</v>
      </c>
      <c r="D239" s="5">
        <v>0.55</v>
      </c>
      <c r="E239" s="5">
        <v>0.1343</v>
      </c>
      <c r="F239" s="5">
        <v>0</v>
      </c>
      <c r="G239" s="5">
        <v>27</v>
      </c>
      <c r="H239" s="5">
        <v>27</v>
      </c>
    </row>
    <row r="240" spans="1:8">
      <c r="A240" s="5">
        <v>238</v>
      </c>
      <c r="B240" s="5">
        <v>239</v>
      </c>
      <c r="C240" s="5">
        <v>0.2273</v>
      </c>
      <c r="D240" s="5">
        <v>0.55</v>
      </c>
      <c r="E240" s="5">
        <v>0</v>
      </c>
      <c r="F240" s="5">
        <v>2</v>
      </c>
      <c r="G240" s="5">
        <v>97</v>
      </c>
      <c r="H240" s="5">
        <v>99</v>
      </c>
    </row>
    <row r="241" spans="1:8">
      <c r="A241" s="5">
        <v>239</v>
      </c>
      <c r="B241" s="5">
        <v>240</v>
      </c>
      <c r="C241" s="5">
        <v>0.2121</v>
      </c>
      <c r="D241" s="5">
        <v>0.51</v>
      </c>
      <c r="E241" s="5">
        <v>0.0896</v>
      </c>
      <c r="F241" s="5">
        <v>3</v>
      </c>
      <c r="G241" s="5">
        <v>214</v>
      </c>
      <c r="H241" s="5">
        <v>217</v>
      </c>
    </row>
    <row r="242" spans="1:8">
      <c r="A242" s="5">
        <v>240</v>
      </c>
      <c r="B242" s="5">
        <v>241</v>
      </c>
      <c r="C242" s="5">
        <v>0.197</v>
      </c>
      <c r="D242" s="5">
        <v>0.51</v>
      </c>
      <c r="E242" s="5">
        <v>0.1642</v>
      </c>
      <c r="F242" s="5">
        <v>3</v>
      </c>
      <c r="G242" s="5">
        <v>127</v>
      </c>
      <c r="H242" s="5">
        <v>130</v>
      </c>
    </row>
    <row r="243" spans="1:8">
      <c r="A243" s="5">
        <v>241</v>
      </c>
      <c r="B243" s="5">
        <v>242</v>
      </c>
      <c r="C243" s="5">
        <v>0.2121</v>
      </c>
      <c r="D243" s="5">
        <v>0.51</v>
      </c>
      <c r="E243" s="5">
        <v>0.1642</v>
      </c>
      <c r="F243" s="5">
        <v>3</v>
      </c>
      <c r="G243" s="5">
        <v>51</v>
      </c>
      <c r="H243" s="5">
        <v>54</v>
      </c>
    </row>
    <row r="244" spans="1:8">
      <c r="A244" s="5">
        <v>242</v>
      </c>
      <c r="B244" s="5">
        <v>243</v>
      </c>
      <c r="C244" s="5">
        <v>0.2121</v>
      </c>
      <c r="D244" s="5">
        <v>0.47</v>
      </c>
      <c r="E244" s="5">
        <v>0.1343</v>
      </c>
      <c r="F244" s="5">
        <v>4</v>
      </c>
      <c r="G244" s="5">
        <v>31</v>
      </c>
      <c r="H244" s="5">
        <v>35</v>
      </c>
    </row>
    <row r="245" spans="1:8">
      <c r="A245" s="5">
        <v>243</v>
      </c>
      <c r="B245" s="5">
        <v>244</v>
      </c>
      <c r="C245" s="5">
        <v>0.2273</v>
      </c>
      <c r="D245" s="5">
        <v>0.51</v>
      </c>
      <c r="E245" s="5">
        <v>0.1045</v>
      </c>
      <c r="F245" s="5">
        <v>2</v>
      </c>
      <c r="G245" s="5">
        <v>55</v>
      </c>
      <c r="H245" s="5">
        <v>57</v>
      </c>
    </row>
    <row r="246" spans="1:8">
      <c r="A246" s="5">
        <v>244</v>
      </c>
      <c r="B246" s="5">
        <v>245</v>
      </c>
      <c r="C246" s="5">
        <v>0.2273</v>
      </c>
      <c r="D246" s="5">
        <v>0.59</v>
      </c>
      <c r="E246" s="5">
        <v>0.0896</v>
      </c>
      <c r="F246" s="5">
        <v>6</v>
      </c>
      <c r="G246" s="5">
        <v>46</v>
      </c>
      <c r="H246" s="5">
        <v>52</v>
      </c>
    </row>
    <row r="247" spans="1:8">
      <c r="A247" s="5">
        <v>245</v>
      </c>
      <c r="B247" s="5">
        <v>246</v>
      </c>
      <c r="C247" s="5">
        <v>0.2273</v>
      </c>
      <c r="D247" s="5">
        <v>0.59</v>
      </c>
      <c r="E247" s="5">
        <v>0.0896</v>
      </c>
      <c r="F247" s="5">
        <v>3</v>
      </c>
      <c r="G247" s="5">
        <v>60</v>
      </c>
      <c r="H247" s="5">
        <v>63</v>
      </c>
    </row>
    <row r="248" spans="1:8">
      <c r="A248" s="5">
        <v>246</v>
      </c>
      <c r="B248" s="5">
        <v>247</v>
      </c>
      <c r="C248" s="5">
        <v>0.197</v>
      </c>
      <c r="D248" s="5">
        <v>0.8</v>
      </c>
      <c r="E248" s="5">
        <v>0.0896</v>
      </c>
      <c r="F248" s="5">
        <v>2</v>
      </c>
      <c r="G248" s="5">
        <v>45</v>
      </c>
      <c r="H248" s="5">
        <v>47</v>
      </c>
    </row>
    <row r="249" spans="1:8">
      <c r="A249" s="5">
        <v>247</v>
      </c>
      <c r="B249" s="5">
        <v>248</v>
      </c>
      <c r="C249" s="5">
        <v>0.1515</v>
      </c>
      <c r="D249" s="5">
        <v>0.86</v>
      </c>
      <c r="E249" s="5">
        <v>0.2239</v>
      </c>
      <c r="F249" s="5">
        <v>4</v>
      </c>
      <c r="G249" s="5">
        <v>72</v>
      </c>
      <c r="H249" s="5">
        <v>76</v>
      </c>
    </row>
    <row r="250" spans="1:8">
      <c r="A250" s="5">
        <v>248</v>
      </c>
      <c r="B250" s="5">
        <v>249</v>
      </c>
      <c r="C250" s="5">
        <v>0.1515</v>
      </c>
      <c r="D250" s="5">
        <v>0.86</v>
      </c>
      <c r="E250" s="5">
        <v>0.2239</v>
      </c>
      <c r="F250" s="5">
        <v>6</v>
      </c>
      <c r="G250" s="5">
        <v>130</v>
      </c>
      <c r="H250" s="5">
        <v>136</v>
      </c>
    </row>
    <row r="251" spans="1:8">
      <c r="A251" s="5">
        <v>249</v>
      </c>
      <c r="B251" s="5">
        <v>250</v>
      </c>
      <c r="C251" s="5">
        <v>0.1818</v>
      </c>
      <c r="D251" s="5">
        <v>0.93</v>
      </c>
      <c r="E251" s="5">
        <v>0.1045</v>
      </c>
      <c r="F251" s="5">
        <v>1</v>
      </c>
      <c r="G251" s="5">
        <v>94</v>
      </c>
      <c r="H251" s="5">
        <v>95</v>
      </c>
    </row>
    <row r="252" spans="1:8">
      <c r="A252" s="5">
        <v>250</v>
      </c>
      <c r="B252" s="5">
        <v>251</v>
      </c>
      <c r="C252" s="5">
        <v>0.2273</v>
      </c>
      <c r="D252" s="5">
        <v>0.93</v>
      </c>
      <c r="E252" s="5">
        <v>0</v>
      </c>
      <c r="F252" s="5">
        <v>0</v>
      </c>
      <c r="G252" s="5">
        <v>51</v>
      </c>
      <c r="H252" s="5">
        <v>51</v>
      </c>
    </row>
    <row r="253" spans="1:8">
      <c r="A253" s="5">
        <v>251</v>
      </c>
      <c r="B253" s="5">
        <v>252</v>
      </c>
      <c r="C253" s="5">
        <v>0.1515</v>
      </c>
      <c r="D253" s="5">
        <v>0.93</v>
      </c>
      <c r="E253" s="5">
        <v>0.194</v>
      </c>
      <c r="F253" s="5">
        <v>0</v>
      </c>
      <c r="G253" s="5">
        <v>32</v>
      </c>
      <c r="H253" s="5">
        <v>32</v>
      </c>
    </row>
    <row r="254" spans="1:8">
      <c r="A254" s="5">
        <v>252</v>
      </c>
      <c r="B254" s="5">
        <v>253</v>
      </c>
      <c r="C254" s="5">
        <v>0.197</v>
      </c>
      <c r="D254" s="5">
        <v>0.86</v>
      </c>
      <c r="E254" s="5">
        <v>0.0896</v>
      </c>
      <c r="F254" s="5">
        <v>0</v>
      </c>
      <c r="G254" s="5">
        <v>20</v>
      </c>
      <c r="H254" s="5">
        <v>20</v>
      </c>
    </row>
    <row r="255" spans="1:8">
      <c r="A255" s="5">
        <v>253</v>
      </c>
      <c r="B255" s="5">
        <v>254</v>
      </c>
      <c r="C255" s="5">
        <v>0.1818</v>
      </c>
      <c r="D255" s="5">
        <v>0.93</v>
      </c>
      <c r="E255" s="5">
        <v>0.1045</v>
      </c>
      <c r="F255" s="5">
        <v>1</v>
      </c>
      <c r="G255" s="5">
        <v>28</v>
      </c>
      <c r="H255" s="5">
        <v>29</v>
      </c>
    </row>
    <row r="256" spans="1:8">
      <c r="A256" s="5">
        <v>254</v>
      </c>
      <c r="B256" s="5">
        <v>255</v>
      </c>
      <c r="C256" s="5">
        <v>0.197</v>
      </c>
      <c r="D256" s="5">
        <v>0.93</v>
      </c>
      <c r="E256" s="5">
        <v>0.0896</v>
      </c>
      <c r="F256" s="5">
        <v>1</v>
      </c>
      <c r="G256" s="5">
        <v>18</v>
      </c>
      <c r="H256" s="5">
        <v>19</v>
      </c>
    </row>
    <row r="257" spans="1:8">
      <c r="A257" s="5">
        <v>255</v>
      </c>
      <c r="B257" s="5">
        <v>256</v>
      </c>
      <c r="C257" s="5">
        <v>0.197</v>
      </c>
      <c r="D257" s="5">
        <v>0.86</v>
      </c>
      <c r="E257" s="5">
        <v>0.0896</v>
      </c>
      <c r="F257" s="5">
        <v>0</v>
      </c>
      <c r="G257" s="5">
        <v>7</v>
      </c>
      <c r="H257" s="5">
        <v>7</v>
      </c>
    </row>
    <row r="258" spans="1:8">
      <c r="A258" s="5">
        <v>256</v>
      </c>
      <c r="B258" s="5">
        <v>257</v>
      </c>
      <c r="C258" s="5">
        <v>0.1818</v>
      </c>
      <c r="D258" s="5">
        <v>0.86</v>
      </c>
      <c r="E258" s="5">
        <v>0.1045</v>
      </c>
      <c r="F258" s="5">
        <v>0</v>
      </c>
      <c r="G258" s="5">
        <v>6</v>
      </c>
      <c r="H258" s="5">
        <v>6</v>
      </c>
    </row>
    <row r="259" spans="1:8">
      <c r="A259" s="5">
        <v>257</v>
      </c>
      <c r="B259" s="5">
        <v>258</v>
      </c>
      <c r="C259" s="5">
        <v>0.1515</v>
      </c>
      <c r="D259" s="5">
        <v>0.86</v>
      </c>
      <c r="E259" s="5">
        <v>0.1343</v>
      </c>
      <c r="F259" s="5">
        <v>0</v>
      </c>
      <c r="G259" s="5">
        <v>1</v>
      </c>
      <c r="H259" s="5">
        <v>1</v>
      </c>
    </row>
    <row r="260" spans="1:8">
      <c r="A260" s="5">
        <v>258</v>
      </c>
      <c r="B260" s="5">
        <v>259</v>
      </c>
      <c r="C260" s="5">
        <v>0.1515</v>
      </c>
      <c r="D260" s="5">
        <v>0.86</v>
      </c>
      <c r="E260" s="5">
        <v>0.1642</v>
      </c>
      <c r="F260" s="5">
        <v>0</v>
      </c>
      <c r="G260" s="5">
        <v>5</v>
      </c>
      <c r="H260" s="5">
        <v>5</v>
      </c>
    </row>
    <row r="261" spans="1:8">
      <c r="A261" s="5">
        <v>259</v>
      </c>
      <c r="B261" s="5">
        <v>260</v>
      </c>
      <c r="C261" s="5">
        <v>0.1515</v>
      </c>
      <c r="D261" s="5">
        <v>0.93</v>
      </c>
      <c r="E261" s="5">
        <v>0.1343</v>
      </c>
      <c r="F261" s="5">
        <v>0</v>
      </c>
      <c r="G261" s="5">
        <v>16</v>
      </c>
      <c r="H261" s="5">
        <v>16</v>
      </c>
    </row>
    <row r="262" spans="1:8">
      <c r="A262" s="5">
        <v>260</v>
      </c>
      <c r="B262" s="5">
        <v>261</v>
      </c>
      <c r="C262" s="5">
        <v>0.1515</v>
      </c>
      <c r="D262" s="5">
        <v>0.6899999999999999</v>
      </c>
      <c r="E262" s="5">
        <v>0.1343</v>
      </c>
      <c r="F262" s="5">
        <v>0</v>
      </c>
      <c r="G262" s="5">
        <v>54</v>
      </c>
      <c r="H262" s="5">
        <v>54</v>
      </c>
    </row>
    <row r="263" spans="1:8">
      <c r="A263" s="5">
        <v>261</v>
      </c>
      <c r="B263" s="5">
        <v>262</v>
      </c>
      <c r="C263" s="5">
        <v>0.1667</v>
      </c>
      <c r="D263" s="5">
        <v>0.59</v>
      </c>
      <c r="E263" s="5">
        <v>0.1642</v>
      </c>
      <c r="F263" s="5">
        <v>3</v>
      </c>
      <c r="G263" s="5">
        <v>125</v>
      </c>
      <c r="H263" s="5">
        <v>128</v>
      </c>
    </row>
    <row r="264" spans="1:8">
      <c r="A264" s="5">
        <v>262</v>
      </c>
      <c r="B264" s="5">
        <v>263</v>
      </c>
      <c r="C264" s="5">
        <v>0.1364</v>
      </c>
      <c r="D264" s="5">
        <v>0.59</v>
      </c>
      <c r="E264" s="5">
        <v>0.3284</v>
      </c>
      <c r="F264" s="5">
        <v>3</v>
      </c>
      <c r="G264" s="5">
        <v>78</v>
      </c>
      <c r="H264" s="5">
        <v>81</v>
      </c>
    </row>
    <row r="265" spans="1:8">
      <c r="A265" s="5">
        <v>263</v>
      </c>
      <c r="B265" s="5">
        <v>264</v>
      </c>
      <c r="C265" s="5">
        <v>0.1818</v>
      </c>
      <c r="D265" s="5">
        <v>0.55</v>
      </c>
      <c r="E265" s="5">
        <v>0.2239</v>
      </c>
      <c r="F265" s="5">
        <v>0</v>
      </c>
      <c r="G265" s="5">
        <v>39</v>
      </c>
      <c r="H265" s="5">
        <v>39</v>
      </c>
    </row>
    <row r="266" spans="1:8">
      <c r="A266" s="5">
        <v>264</v>
      </c>
      <c r="B266" s="5">
        <v>265</v>
      </c>
      <c r="C266" s="5">
        <v>0.1818</v>
      </c>
      <c r="D266" s="5">
        <v>0.51</v>
      </c>
      <c r="E266" s="5">
        <v>0.3881</v>
      </c>
      <c r="F266" s="5">
        <v>3</v>
      </c>
      <c r="G266" s="5">
        <v>32</v>
      </c>
      <c r="H266" s="5">
        <v>35</v>
      </c>
    </row>
    <row r="267" spans="1:8">
      <c r="A267" s="5">
        <v>265</v>
      </c>
      <c r="B267" s="5">
        <v>266</v>
      </c>
      <c r="C267" s="5">
        <v>0.1515</v>
      </c>
      <c r="D267" s="5">
        <v>0.47</v>
      </c>
      <c r="E267" s="5">
        <v>0.5821</v>
      </c>
      <c r="F267" s="5">
        <v>3</v>
      </c>
      <c r="G267" s="5">
        <v>52</v>
      </c>
      <c r="H267" s="5">
        <v>55</v>
      </c>
    </row>
    <row r="268" spans="1:8">
      <c r="A268" s="5">
        <v>266</v>
      </c>
      <c r="B268" s="5">
        <v>267</v>
      </c>
      <c r="C268" s="5">
        <v>0.197</v>
      </c>
      <c r="D268" s="5">
        <v>0.44</v>
      </c>
      <c r="E268" s="5">
        <v>0.3582</v>
      </c>
      <c r="F268" s="5">
        <v>0</v>
      </c>
      <c r="G268" s="5">
        <v>49</v>
      </c>
      <c r="H268" s="5">
        <v>49</v>
      </c>
    </row>
    <row r="269" spans="1:8">
      <c r="A269" s="5">
        <v>267</v>
      </c>
      <c r="B269" s="5">
        <v>268</v>
      </c>
      <c r="C269" s="5">
        <v>0.1818</v>
      </c>
      <c r="D269" s="5">
        <v>0.47</v>
      </c>
      <c r="E269" s="5">
        <v>0.3284</v>
      </c>
      <c r="F269" s="5">
        <v>0</v>
      </c>
      <c r="G269" s="5">
        <v>44</v>
      </c>
      <c r="H269" s="5">
        <v>44</v>
      </c>
    </row>
    <row r="270" spans="1:8">
      <c r="A270" s="5">
        <v>268</v>
      </c>
      <c r="B270" s="5">
        <v>269</v>
      </c>
      <c r="C270" s="5">
        <v>0.1667</v>
      </c>
      <c r="D270" s="5">
        <v>0.47</v>
      </c>
      <c r="E270" s="5">
        <v>0.4179</v>
      </c>
      <c r="F270" s="5">
        <v>1</v>
      </c>
      <c r="G270" s="5">
        <v>48</v>
      </c>
      <c r="H270" s="5">
        <v>49</v>
      </c>
    </row>
    <row r="271" spans="1:8">
      <c r="A271" s="5">
        <v>269</v>
      </c>
      <c r="B271" s="5">
        <v>270</v>
      </c>
      <c r="C271" s="5">
        <v>0.197</v>
      </c>
      <c r="D271" s="5">
        <v>0.44</v>
      </c>
      <c r="E271" s="5">
        <v>0.3284</v>
      </c>
      <c r="F271" s="5">
        <v>5</v>
      </c>
      <c r="G271" s="5">
        <v>63</v>
      </c>
      <c r="H271" s="5">
        <v>68</v>
      </c>
    </row>
    <row r="272" spans="1:8">
      <c r="A272" s="5">
        <v>270</v>
      </c>
      <c r="B272" s="5">
        <v>271</v>
      </c>
      <c r="C272" s="5">
        <v>0.1818</v>
      </c>
      <c r="D272" s="5">
        <v>0.47</v>
      </c>
      <c r="E272" s="5">
        <v>0.3582</v>
      </c>
      <c r="F272" s="5">
        <v>0</v>
      </c>
      <c r="G272" s="5">
        <v>139</v>
      </c>
      <c r="H272" s="5">
        <v>139</v>
      </c>
    </row>
    <row r="273" spans="1:8">
      <c r="A273" s="5">
        <v>271</v>
      </c>
      <c r="B273" s="5">
        <v>272</v>
      </c>
      <c r="C273" s="5">
        <v>0.1515</v>
      </c>
      <c r="D273" s="5">
        <v>0.47</v>
      </c>
      <c r="E273" s="5">
        <v>0.5224</v>
      </c>
      <c r="F273" s="5">
        <v>2</v>
      </c>
      <c r="G273" s="5">
        <v>135</v>
      </c>
      <c r="H273" s="5">
        <v>137</v>
      </c>
    </row>
    <row r="274" spans="1:8">
      <c r="A274" s="5">
        <v>272</v>
      </c>
      <c r="B274" s="5">
        <v>273</v>
      </c>
      <c r="C274" s="5">
        <v>0.1515</v>
      </c>
      <c r="D274" s="5">
        <v>0.47</v>
      </c>
      <c r="E274" s="5">
        <v>0.4179</v>
      </c>
      <c r="F274" s="5">
        <v>1</v>
      </c>
      <c r="G274" s="5">
        <v>82</v>
      </c>
      <c r="H274" s="5">
        <v>83</v>
      </c>
    </row>
    <row r="275" spans="1:8">
      <c r="A275" s="5">
        <v>273</v>
      </c>
      <c r="B275" s="5">
        <v>274</v>
      </c>
      <c r="C275" s="5">
        <v>0.1364</v>
      </c>
      <c r="D275" s="5">
        <v>0.5</v>
      </c>
      <c r="E275" s="5">
        <v>0.3284</v>
      </c>
      <c r="F275" s="5">
        <v>2</v>
      </c>
      <c r="G275" s="5">
        <v>54</v>
      </c>
      <c r="H275" s="5">
        <v>56</v>
      </c>
    </row>
    <row r="276" spans="1:8">
      <c r="A276" s="5">
        <v>274</v>
      </c>
      <c r="B276" s="5">
        <v>275</v>
      </c>
      <c r="C276" s="5">
        <v>0.1364</v>
      </c>
      <c r="D276" s="5">
        <v>0.55</v>
      </c>
      <c r="E276" s="5">
        <v>0.3284</v>
      </c>
      <c r="F276" s="5">
        <v>0</v>
      </c>
      <c r="G276" s="5">
        <v>57</v>
      </c>
      <c r="H276" s="5">
        <v>57</v>
      </c>
    </row>
    <row r="277" spans="1:8">
      <c r="A277" s="5">
        <v>275</v>
      </c>
      <c r="B277" s="5">
        <v>276</v>
      </c>
      <c r="C277" s="5">
        <v>0.1212</v>
      </c>
      <c r="D277" s="5">
        <v>0.55</v>
      </c>
      <c r="E277" s="5">
        <v>0.4478</v>
      </c>
      <c r="F277" s="5">
        <v>1</v>
      </c>
      <c r="G277" s="5">
        <v>32</v>
      </c>
      <c r="H277" s="5">
        <v>33</v>
      </c>
    </row>
    <row r="278" spans="1:8">
      <c r="A278" s="5">
        <v>276</v>
      </c>
      <c r="B278" s="5">
        <v>277</v>
      </c>
      <c r="C278" s="5">
        <v>0.1061</v>
      </c>
      <c r="D278" s="5">
        <v>0.59</v>
      </c>
      <c r="E278" s="5">
        <v>0.4179</v>
      </c>
      <c r="F278" s="5">
        <v>1</v>
      </c>
      <c r="G278" s="5">
        <v>19</v>
      </c>
      <c r="H278" s="5">
        <v>20</v>
      </c>
    </row>
    <row r="279" spans="1:8">
      <c r="A279" s="5">
        <v>277</v>
      </c>
      <c r="B279" s="5">
        <v>278</v>
      </c>
      <c r="C279" s="5">
        <v>0.1212</v>
      </c>
      <c r="D279" s="5">
        <v>0.59</v>
      </c>
      <c r="E279" s="5">
        <v>0.2836</v>
      </c>
      <c r="F279" s="5">
        <v>1</v>
      </c>
      <c r="G279" s="5">
        <v>6</v>
      </c>
      <c r="H279" s="5">
        <v>7</v>
      </c>
    </row>
    <row r="280" spans="1:8">
      <c r="A280" s="5">
        <v>278</v>
      </c>
      <c r="B280" s="5">
        <v>279</v>
      </c>
      <c r="C280" s="5">
        <v>0.1212</v>
      </c>
      <c r="D280" s="5">
        <v>0.5</v>
      </c>
      <c r="E280" s="5">
        <v>0.2836</v>
      </c>
      <c r="F280" s="5">
        <v>0</v>
      </c>
      <c r="G280" s="5">
        <v>2</v>
      </c>
      <c r="H280" s="5">
        <v>2</v>
      </c>
    </row>
    <row r="281" spans="1:8">
      <c r="A281" s="5">
        <v>279</v>
      </c>
      <c r="B281" s="5">
        <v>280</v>
      </c>
      <c r="C281" s="5">
        <v>0.1212</v>
      </c>
      <c r="D281" s="5">
        <v>0.5</v>
      </c>
      <c r="E281" s="5">
        <v>0.3582</v>
      </c>
      <c r="F281" s="5">
        <v>0</v>
      </c>
      <c r="G281" s="5">
        <v>2</v>
      </c>
      <c r="H281" s="5">
        <v>2</v>
      </c>
    </row>
    <row r="282" spans="1:8">
      <c r="A282" s="5">
        <v>280</v>
      </c>
      <c r="B282" s="5">
        <v>281</v>
      </c>
      <c r="C282" s="5">
        <v>0.1212</v>
      </c>
      <c r="D282" s="5">
        <v>0.5</v>
      </c>
      <c r="E282" s="5">
        <v>0.3284</v>
      </c>
      <c r="F282" s="5">
        <v>0</v>
      </c>
      <c r="G282" s="5">
        <v>3</v>
      </c>
      <c r="H282" s="5">
        <v>3</v>
      </c>
    </row>
    <row r="283" spans="1:8">
      <c r="A283" s="5">
        <v>281</v>
      </c>
      <c r="B283" s="5">
        <v>282</v>
      </c>
      <c r="C283" s="5">
        <v>0.1212</v>
      </c>
      <c r="D283" s="5">
        <v>0.5</v>
      </c>
      <c r="E283" s="5">
        <v>0.2537</v>
      </c>
      <c r="F283" s="5">
        <v>0</v>
      </c>
      <c r="G283" s="5">
        <v>4</v>
      </c>
      <c r="H283" s="5">
        <v>4</v>
      </c>
    </row>
    <row r="284" spans="1:8">
      <c r="A284" s="5">
        <v>282</v>
      </c>
      <c r="B284" s="5">
        <v>283</v>
      </c>
      <c r="C284" s="5">
        <v>0.1212</v>
      </c>
      <c r="D284" s="5">
        <v>0.5</v>
      </c>
      <c r="E284" s="5">
        <v>0.2985</v>
      </c>
      <c r="F284" s="5">
        <v>0</v>
      </c>
      <c r="G284" s="5">
        <v>3</v>
      </c>
      <c r="H284" s="5">
        <v>3</v>
      </c>
    </row>
    <row r="285" spans="1:8">
      <c r="A285" s="5">
        <v>283</v>
      </c>
      <c r="B285" s="5">
        <v>284</v>
      </c>
      <c r="C285" s="5">
        <v>0.1515</v>
      </c>
      <c r="D285" s="5">
        <v>0.54</v>
      </c>
      <c r="E285" s="5">
        <v>0.1343</v>
      </c>
      <c r="F285" s="5">
        <v>0</v>
      </c>
      <c r="G285" s="5">
        <v>28</v>
      </c>
      <c r="H285" s="5">
        <v>28</v>
      </c>
    </row>
    <row r="286" spans="1:8">
      <c r="A286" s="5">
        <v>284</v>
      </c>
      <c r="B286" s="5">
        <v>285</v>
      </c>
      <c r="C286" s="5">
        <v>0.1515</v>
      </c>
      <c r="D286" s="5">
        <v>0.54</v>
      </c>
      <c r="E286" s="5">
        <v>0.1343</v>
      </c>
      <c r="F286" s="5">
        <v>0</v>
      </c>
      <c r="G286" s="5">
        <v>72</v>
      </c>
      <c r="H286" s="5">
        <v>72</v>
      </c>
    </row>
    <row r="287" spans="1:8">
      <c r="A287" s="5">
        <v>285</v>
      </c>
      <c r="B287" s="5">
        <v>286</v>
      </c>
      <c r="C287" s="5">
        <v>0.1364</v>
      </c>
      <c r="D287" s="5">
        <v>0.5</v>
      </c>
      <c r="E287" s="5">
        <v>0.194</v>
      </c>
      <c r="F287" s="5">
        <v>5</v>
      </c>
      <c r="G287" s="5">
        <v>197</v>
      </c>
      <c r="H287" s="5">
        <v>202</v>
      </c>
    </row>
    <row r="288" spans="1:8">
      <c r="A288" s="5">
        <v>286</v>
      </c>
      <c r="B288" s="5">
        <v>287</v>
      </c>
      <c r="C288" s="5">
        <v>0.1212</v>
      </c>
      <c r="D288" s="5">
        <v>0.5</v>
      </c>
      <c r="E288" s="5">
        <v>0.3284</v>
      </c>
      <c r="F288" s="5">
        <v>2</v>
      </c>
      <c r="G288" s="5">
        <v>137</v>
      </c>
      <c r="H288" s="5">
        <v>139</v>
      </c>
    </row>
    <row r="289" spans="1:8">
      <c r="A289" s="5">
        <v>287</v>
      </c>
      <c r="B289" s="5">
        <v>288</v>
      </c>
      <c r="C289" s="5">
        <v>0.1364</v>
      </c>
      <c r="D289" s="5">
        <v>0.5</v>
      </c>
      <c r="E289" s="5">
        <v>0.3582</v>
      </c>
      <c r="F289" s="5">
        <v>2</v>
      </c>
      <c r="G289" s="5">
        <v>36</v>
      </c>
      <c r="H289" s="5">
        <v>38</v>
      </c>
    </row>
    <row r="290" spans="1:8">
      <c r="A290" s="5">
        <v>288</v>
      </c>
      <c r="B290" s="5">
        <v>289</v>
      </c>
      <c r="C290" s="5">
        <v>0.1667</v>
      </c>
      <c r="D290" s="5">
        <v>0.44</v>
      </c>
      <c r="E290" s="5">
        <v>0.4478</v>
      </c>
      <c r="F290" s="5">
        <v>4</v>
      </c>
      <c r="G290" s="5">
        <v>33</v>
      </c>
      <c r="H290" s="5">
        <v>37</v>
      </c>
    </row>
    <row r="291" spans="1:8">
      <c r="A291" s="5">
        <v>289</v>
      </c>
      <c r="B291" s="5">
        <v>290</v>
      </c>
      <c r="C291" s="5">
        <v>0.1667</v>
      </c>
      <c r="D291" s="5">
        <v>0.44</v>
      </c>
      <c r="E291" s="5">
        <v>0.4179</v>
      </c>
      <c r="F291" s="5">
        <v>3</v>
      </c>
      <c r="G291" s="5">
        <v>49</v>
      </c>
      <c r="H291" s="5">
        <v>52</v>
      </c>
    </row>
    <row r="292" spans="1:8">
      <c r="A292" s="5">
        <v>290</v>
      </c>
      <c r="B292" s="5">
        <v>291</v>
      </c>
      <c r="C292" s="5">
        <v>0.197</v>
      </c>
      <c r="D292" s="5">
        <v>0.41</v>
      </c>
      <c r="E292" s="5">
        <v>0.4478</v>
      </c>
      <c r="F292" s="5">
        <v>2</v>
      </c>
      <c r="G292" s="5">
        <v>81</v>
      </c>
      <c r="H292" s="5">
        <v>83</v>
      </c>
    </row>
    <row r="293" spans="1:8">
      <c r="A293" s="5">
        <v>291</v>
      </c>
      <c r="B293" s="5">
        <v>292</v>
      </c>
      <c r="C293" s="5">
        <v>0.197</v>
      </c>
      <c r="D293" s="5">
        <v>0.41</v>
      </c>
      <c r="E293" s="5">
        <v>0.3881</v>
      </c>
      <c r="F293" s="5">
        <v>3</v>
      </c>
      <c r="G293" s="5">
        <v>39</v>
      </c>
      <c r="H293" s="5">
        <v>42</v>
      </c>
    </row>
    <row r="294" spans="1:8">
      <c r="A294" s="5">
        <v>292</v>
      </c>
      <c r="B294" s="5">
        <v>293</v>
      </c>
      <c r="C294" s="5">
        <v>0.2121</v>
      </c>
      <c r="D294" s="5">
        <v>0.38</v>
      </c>
      <c r="E294" s="5">
        <v>0.2985</v>
      </c>
      <c r="F294" s="5">
        <v>5</v>
      </c>
      <c r="G294" s="5">
        <v>55</v>
      </c>
      <c r="H294" s="5">
        <v>60</v>
      </c>
    </row>
    <row r="295" spans="1:8">
      <c r="A295" s="5">
        <v>293</v>
      </c>
      <c r="B295" s="5">
        <v>294</v>
      </c>
      <c r="C295" s="5">
        <v>0.2121</v>
      </c>
      <c r="D295" s="5">
        <v>0.38</v>
      </c>
      <c r="E295" s="5">
        <v>0.3582</v>
      </c>
      <c r="F295" s="5">
        <v>2</v>
      </c>
      <c r="G295" s="5">
        <v>76</v>
      </c>
      <c r="H295" s="5">
        <v>78</v>
      </c>
    </row>
    <row r="296" spans="1:8">
      <c r="A296" s="5">
        <v>294</v>
      </c>
      <c r="B296" s="5">
        <v>295</v>
      </c>
      <c r="C296" s="5">
        <v>0.1818</v>
      </c>
      <c r="D296" s="5">
        <v>0.4</v>
      </c>
      <c r="E296" s="5">
        <v>0.2836</v>
      </c>
      <c r="F296" s="5">
        <v>4</v>
      </c>
      <c r="G296" s="5">
        <v>158</v>
      </c>
      <c r="H296" s="5">
        <v>162</v>
      </c>
    </row>
    <row r="297" spans="1:8">
      <c r="A297" s="5">
        <v>295</v>
      </c>
      <c r="B297" s="5">
        <v>296</v>
      </c>
      <c r="C297" s="5">
        <v>0.1818</v>
      </c>
      <c r="D297" s="5">
        <v>0.4</v>
      </c>
      <c r="E297" s="5">
        <v>0.3284</v>
      </c>
      <c r="F297" s="5">
        <v>3</v>
      </c>
      <c r="G297" s="5">
        <v>141</v>
      </c>
      <c r="H297" s="5">
        <v>144</v>
      </c>
    </row>
    <row r="298" spans="1:8">
      <c r="A298" s="5">
        <v>296</v>
      </c>
      <c r="B298" s="5">
        <v>297</v>
      </c>
      <c r="C298" s="5">
        <v>0.1515</v>
      </c>
      <c r="D298" s="5">
        <v>0.47</v>
      </c>
      <c r="E298" s="5">
        <v>0.2537</v>
      </c>
      <c r="F298" s="5">
        <v>1</v>
      </c>
      <c r="G298" s="5">
        <v>98</v>
      </c>
      <c r="H298" s="5">
        <v>99</v>
      </c>
    </row>
    <row r="299" spans="1:8">
      <c r="A299" s="5">
        <v>297</v>
      </c>
      <c r="B299" s="5">
        <v>298</v>
      </c>
      <c r="C299" s="5">
        <v>0.1515</v>
      </c>
      <c r="D299" s="5">
        <v>0.47</v>
      </c>
      <c r="E299" s="5">
        <v>0.2239</v>
      </c>
      <c r="F299" s="5">
        <v>0</v>
      </c>
      <c r="G299" s="5">
        <v>64</v>
      </c>
      <c r="H299" s="5">
        <v>64</v>
      </c>
    </row>
    <row r="300" spans="1:8">
      <c r="A300" s="5">
        <v>298</v>
      </c>
      <c r="B300" s="5">
        <v>299</v>
      </c>
      <c r="C300" s="5">
        <v>0.1212</v>
      </c>
      <c r="D300" s="5">
        <v>0.46</v>
      </c>
      <c r="E300" s="5">
        <v>0.2985</v>
      </c>
      <c r="F300" s="5">
        <v>0</v>
      </c>
      <c r="G300" s="5">
        <v>40</v>
      </c>
      <c r="H300" s="5">
        <v>40</v>
      </c>
    </row>
    <row r="301" spans="1:8">
      <c r="A301" s="5">
        <v>299</v>
      </c>
      <c r="B301" s="5">
        <v>300</v>
      </c>
      <c r="C301" s="5">
        <v>0.1212</v>
      </c>
      <c r="D301" s="5">
        <v>0.46</v>
      </c>
      <c r="E301" s="5">
        <v>0.3284</v>
      </c>
      <c r="F301" s="5">
        <v>0</v>
      </c>
      <c r="G301" s="5">
        <v>30</v>
      </c>
      <c r="H301" s="5">
        <v>30</v>
      </c>
    </row>
    <row r="302" spans="1:8">
      <c r="A302" s="5">
        <v>300</v>
      </c>
      <c r="B302" s="5">
        <v>301</v>
      </c>
      <c r="C302" s="5">
        <v>0.1364</v>
      </c>
      <c r="D302" s="5">
        <v>0.5</v>
      </c>
      <c r="E302" s="5">
        <v>0.194</v>
      </c>
      <c r="F302" s="5">
        <v>1</v>
      </c>
      <c r="G302" s="5">
        <v>14</v>
      </c>
      <c r="H302" s="5">
        <v>15</v>
      </c>
    </row>
    <row r="303" spans="1:8">
      <c r="A303" s="5">
        <v>301</v>
      </c>
      <c r="B303" s="5">
        <v>302</v>
      </c>
      <c r="C303" s="5">
        <v>0.1364</v>
      </c>
      <c r="D303" s="5">
        <v>0.5</v>
      </c>
      <c r="E303" s="5">
        <v>0.194</v>
      </c>
      <c r="F303" s="5">
        <v>0</v>
      </c>
      <c r="G303" s="5">
        <v>14</v>
      </c>
      <c r="H303" s="5">
        <v>14</v>
      </c>
    </row>
    <row r="304" spans="1:8">
      <c r="A304" s="5">
        <v>302</v>
      </c>
      <c r="B304" s="5">
        <v>303</v>
      </c>
      <c r="C304" s="5">
        <v>0.1212</v>
      </c>
      <c r="D304" s="5">
        <v>0.54</v>
      </c>
      <c r="E304" s="5">
        <v>0.1642</v>
      </c>
      <c r="F304" s="5">
        <v>0</v>
      </c>
      <c r="G304" s="5">
        <v>5</v>
      </c>
      <c r="H304" s="5">
        <v>5</v>
      </c>
    </row>
    <row r="305" spans="1:8">
      <c r="A305" s="5">
        <v>303</v>
      </c>
      <c r="B305" s="5">
        <v>304</v>
      </c>
      <c r="C305" s="5">
        <v>0.1212</v>
      </c>
      <c r="D305" s="5">
        <v>0.54</v>
      </c>
      <c r="E305" s="5">
        <v>0.1343</v>
      </c>
      <c r="F305" s="5">
        <v>0</v>
      </c>
      <c r="G305" s="5">
        <v>1</v>
      </c>
      <c r="H305" s="5">
        <v>1</v>
      </c>
    </row>
    <row r="306" spans="1:8">
      <c r="A306" s="5">
        <v>304</v>
      </c>
      <c r="B306" s="5">
        <v>305</v>
      </c>
      <c r="C306" s="5">
        <v>0.1364</v>
      </c>
      <c r="D306" s="5">
        <v>0.54</v>
      </c>
      <c r="E306" s="5">
        <v>0.1045</v>
      </c>
      <c r="F306" s="5">
        <v>0</v>
      </c>
      <c r="G306" s="5">
        <v>1</v>
      </c>
      <c r="H306" s="5">
        <v>1</v>
      </c>
    </row>
    <row r="307" spans="1:8">
      <c r="A307" s="5">
        <v>305</v>
      </c>
      <c r="B307" s="5">
        <v>306</v>
      </c>
      <c r="C307" s="5">
        <v>0.1364</v>
      </c>
      <c r="D307" s="5">
        <v>0.54</v>
      </c>
      <c r="E307" s="5">
        <v>0.0896</v>
      </c>
      <c r="F307" s="5">
        <v>0</v>
      </c>
      <c r="G307" s="5">
        <v>8</v>
      </c>
      <c r="H307" s="5">
        <v>8</v>
      </c>
    </row>
    <row r="308" spans="1:8">
      <c r="A308" s="5">
        <v>306</v>
      </c>
      <c r="B308" s="5">
        <v>307</v>
      </c>
      <c r="C308" s="5">
        <v>0.1818</v>
      </c>
      <c r="D308" s="5">
        <v>0.54</v>
      </c>
      <c r="E308" s="5">
        <v>0</v>
      </c>
      <c r="F308" s="5">
        <v>0</v>
      </c>
      <c r="G308" s="5">
        <v>17</v>
      </c>
      <c r="H308" s="5">
        <v>17</v>
      </c>
    </row>
    <row r="309" spans="1:8">
      <c r="A309" s="5">
        <v>307</v>
      </c>
      <c r="B309" s="5">
        <v>308</v>
      </c>
      <c r="C309" s="5">
        <v>0.1212</v>
      </c>
      <c r="D309" s="5">
        <v>0.74</v>
      </c>
      <c r="E309" s="5">
        <v>0.1642</v>
      </c>
      <c r="F309" s="5">
        <v>0</v>
      </c>
      <c r="G309" s="5">
        <v>70</v>
      </c>
      <c r="H309" s="5">
        <v>70</v>
      </c>
    </row>
    <row r="310" spans="1:8">
      <c r="A310" s="5">
        <v>308</v>
      </c>
      <c r="B310" s="5">
        <v>309</v>
      </c>
      <c r="C310" s="5">
        <v>0.1667</v>
      </c>
      <c r="D310" s="5">
        <v>0.68</v>
      </c>
      <c r="E310" s="5">
        <v>0</v>
      </c>
      <c r="F310" s="5">
        <v>2</v>
      </c>
      <c r="G310" s="5">
        <v>156</v>
      </c>
      <c r="H310" s="5">
        <v>158</v>
      </c>
    </row>
    <row r="311" spans="1:8">
      <c r="A311" s="5">
        <v>309</v>
      </c>
      <c r="B311" s="5">
        <v>310</v>
      </c>
      <c r="C311" s="5">
        <v>0.1515</v>
      </c>
      <c r="D311" s="5">
        <v>0.6899999999999999</v>
      </c>
      <c r="E311" s="5">
        <v>0.1343</v>
      </c>
      <c r="F311" s="5">
        <v>0</v>
      </c>
      <c r="G311" s="5">
        <v>117</v>
      </c>
      <c r="H311" s="5">
        <v>117</v>
      </c>
    </row>
    <row r="312" spans="1:8">
      <c r="A312" s="5">
        <v>310</v>
      </c>
      <c r="B312" s="5">
        <v>311</v>
      </c>
      <c r="C312" s="5">
        <v>0.1818</v>
      </c>
      <c r="D312" s="5">
        <v>0.55</v>
      </c>
      <c r="E312" s="5">
        <v>0.194</v>
      </c>
      <c r="F312" s="5">
        <v>4</v>
      </c>
      <c r="G312" s="5">
        <v>40</v>
      </c>
      <c r="H312" s="5">
        <v>44</v>
      </c>
    </row>
    <row r="313" spans="1:8">
      <c r="A313" s="5">
        <v>311</v>
      </c>
      <c r="B313" s="5">
        <v>312</v>
      </c>
      <c r="C313" s="5">
        <v>0.1667</v>
      </c>
      <c r="D313" s="5">
        <v>0.51</v>
      </c>
      <c r="E313" s="5">
        <v>0.2836</v>
      </c>
      <c r="F313" s="5">
        <v>6</v>
      </c>
      <c r="G313" s="5">
        <v>47</v>
      </c>
      <c r="H313" s="5">
        <v>53</v>
      </c>
    </row>
    <row r="314" spans="1:8">
      <c r="A314" s="5">
        <v>312</v>
      </c>
      <c r="B314" s="5">
        <v>313</v>
      </c>
      <c r="C314" s="5">
        <v>0.197</v>
      </c>
      <c r="D314" s="5">
        <v>0.44</v>
      </c>
      <c r="E314" s="5">
        <v>0.2537</v>
      </c>
      <c r="F314" s="5">
        <v>2</v>
      </c>
      <c r="G314" s="5">
        <v>59</v>
      </c>
      <c r="H314" s="5">
        <v>61</v>
      </c>
    </row>
    <row r="315" spans="1:8">
      <c r="A315" s="5">
        <v>313</v>
      </c>
      <c r="B315" s="5">
        <v>314</v>
      </c>
      <c r="C315" s="5">
        <v>0.197</v>
      </c>
      <c r="D315" s="5">
        <v>0.37</v>
      </c>
      <c r="E315" s="5">
        <v>0.3881</v>
      </c>
      <c r="F315" s="5">
        <v>4</v>
      </c>
      <c r="G315" s="5">
        <v>73</v>
      </c>
      <c r="H315" s="5">
        <v>77</v>
      </c>
    </row>
    <row r="316" spans="1:8">
      <c r="A316" s="5">
        <v>314</v>
      </c>
      <c r="B316" s="5">
        <v>315</v>
      </c>
      <c r="C316" s="5">
        <v>0.2121</v>
      </c>
      <c r="D316" s="5">
        <v>0.41</v>
      </c>
      <c r="E316" s="5">
        <v>0.2836</v>
      </c>
      <c r="F316" s="5">
        <v>5</v>
      </c>
      <c r="G316" s="5">
        <v>59</v>
      </c>
      <c r="H316" s="5">
        <v>64</v>
      </c>
    </row>
    <row r="317" spans="1:8">
      <c r="A317" s="5">
        <v>315</v>
      </c>
      <c r="B317" s="5">
        <v>316</v>
      </c>
      <c r="C317" s="5">
        <v>0.2424</v>
      </c>
      <c r="D317" s="5">
        <v>0.38</v>
      </c>
      <c r="E317" s="5">
        <v>0.1642</v>
      </c>
      <c r="F317" s="5">
        <v>9</v>
      </c>
      <c r="G317" s="5">
        <v>59</v>
      </c>
      <c r="H317" s="5">
        <v>68</v>
      </c>
    </row>
    <row r="318" spans="1:8">
      <c r="A318" s="5">
        <v>316</v>
      </c>
      <c r="B318" s="5">
        <v>317</v>
      </c>
      <c r="C318" s="5">
        <v>0.2424</v>
      </c>
      <c r="D318" s="5">
        <v>0.41</v>
      </c>
      <c r="E318" s="5">
        <v>0.1045</v>
      </c>
      <c r="F318" s="5">
        <v>3</v>
      </c>
      <c r="G318" s="5">
        <v>87</v>
      </c>
      <c r="H318" s="5">
        <v>90</v>
      </c>
    </row>
    <row r="319" spans="1:8">
      <c r="A319" s="5">
        <v>317</v>
      </c>
      <c r="B319" s="5">
        <v>318</v>
      </c>
      <c r="C319" s="5">
        <v>0.2273</v>
      </c>
      <c r="D319" s="5">
        <v>0.41</v>
      </c>
      <c r="E319" s="5">
        <v>0.1642</v>
      </c>
      <c r="F319" s="5">
        <v>4</v>
      </c>
      <c r="G319" s="5">
        <v>155</v>
      </c>
      <c r="H319" s="5">
        <v>159</v>
      </c>
    </row>
    <row r="320" spans="1:8">
      <c r="A320" s="5">
        <v>318</v>
      </c>
      <c r="B320" s="5">
        <v>319</v>
      </c>
      <c r="C320" s="5">
        <v>0.2576</v>
      </c>
      <c r="D320" s="5">
        <v>0.47</v>
      </c>
      <c r="E320" s="5">
        <v>0</v>
      </c>
      <c r="F320" s="5">
        <v>5</v>
      </c>
      <c r="G320" s="5">
        <v>134</v>
      </c>
      <c r="H320" s="5">
        <v>139</v>
      </c>
    </row>
    <row r="321" spans="1:8">
      <c r="A321" s="5">
        <v>319</v>
      </c>
      <c r="B321" s="5">
        <v>320</v>
      </c>
      <c r="C321" s="5">
        <v>0.197</v>
      </c>
      <c r="D321" s="5">
        <v>0.59</v>
      </c>
      <c r="E321" s="5">
        <v>0.0896</v>
      </c>
      <c r="F321" s="5">
        <v>3</v>
      </c>
      <c r="G321" s="5">
        <v>89</v>
      </c>
      <c r="H321" s="5">
        <v>92</v>
      </c>
    </row>
    <row r="322" spans="1:8">
      <c r="A322" s="5">
        <v>320</v>
      </c>
      <c r="B322" s="5">
        <v>321</v>
      </c>
      <c r="C322" s="5">
        <v>0.2424</v>
      </c>
      <c r="D322" s="5">
        <v>0.59</v>
      </c>
      <c r="E322" s="5">
        <v>0</v>
      </c>
      <c r="F322" s="5">
        <v>0</v>
      </c>
      <c r="G322" s="5">
        <v>68</v>
      </c>
      <c r="H322" s="5">
        <v>68</v>
      </c>
    </row>
    <row r="323" spans="1:8">
      <c r="A323" s="5">
        <v>321</v>
      </c>
      <c r="B323" s="5">
        <v>322</v>
      </c>
      <c r="C323" s="5">
        <v>0.2273</v>
      </c>
      <c r="D323" s="5">
        <v>0.6899999999999999</v>
      </c>
      <c r="E323" s="5">
        <v>0</v>
      </c>
      <c r="F323" s="5">
        <v>4</v>
      </c>
      <c r="G323" s="5">
        <v>48</v>
      </c>
      <c r="H323" s="5">
        <v>52</v>
      </c>
    </row>
    <row r="324" spans="1:8">
      <c r="A324" s="5">
        <v>322</v>
      </c>
      <c r="B324" s="5">
        <v>323</v>
      </c>
      <c r="C324" s="5">
        <v>0.2273</v>
      </c>
      <c r="D324" s="5">
        <v>0.6899999999999999</v>
      </c>
      <c r="E324" s="5">
        <v>0</v>
      </c>
      <c r="F324" s="5">
        <v>2</v>
      </c>
      <c r="G324" s="5">
        <v>34</v>
      </c>
      <c r="H324" s="5">
        <v>36</v>
      </c>
    </row>
    <row r="325" spans="1:8">
      <c r="A325" s="5">
        <v>323</v>
      </c>
      <c r="B325" s="5">
        <v>324</v>
      </c>
      <c r="C325" s="5">
        <v>0.2424</v>
      </c>
      <c r="D325" s="5">
        <v>0.55</v>
      </c>
      <c r="E325" s="5">
        <v>0</v>
      </c>
      <c r="F325" s="5">
        <v>1</v>
      </c>
      <c r="G325" s="5">
        <v>26</v>
      </c>
      <c r="H325" s="5">
        <v>27</v>
      </c>
    </row>
    <row r="326" spans="1:8">
      <c r="A326" s="5">
        <v>324</v>
      </c>
      <c r="B326" s="5">
        <v>325</v>
      </c>
      <c r="C326" s="5">
        <v>0.2424</v>
      </c>
      <c r="D326" s="5">
        <v>0.55</v>
      </c>
      <c r="E326" s="5">
        <v>0</v>
      </c>
      <c r="F326" s="5">
        <v>3</v>
      </c>
      <c r="G326" s="5">
        <v>25</v>
      </c>
      <c r="H326" s="5">
        <v>28</v>
      </c>
    </row>
    <row r="327" spans="1:8">
      <c r="A327" s="5">
        <v>325</v>
      </c>
      <c r="B327" s="5">
        <v>326</v>
      </c>
      <c r="C327" s="5">
        <v>0.197</v>
      </c>
      <c r="D327" s="5">
        <v>0.59</v>
      </c>
      <c r="E327" s="5">
        <v>0.0896</v>
      </c>
      <c r="F327" s="5">
        <v>2</v>
      </c>
      <c r="G327" s="5">
        <v>18</v>
      </c>
      <c r="H327" s="5">
        <v>20</v>
      </c>
    </row>
    <row r="328" spans="1:8">
      <c r="A328" s="5">
        <v>326</v>
      </c>
      <c r="B328" s="5">
        <v>327</v>
      </c>
      <c r="C328" s="5">
        <v>0.197</v>
      </c>
      <c r="D328" s="5">
        <v>0.59</v>
      </c>
      <c r="E328" s="5">
        <v>0.0896</v>
      </c>
      <c r="F328" s="5">
        <v>0</v>
      </c>
      <c r="G328" s="5">
        <v>12</v>
      </c>
      <c r="H328" s="5">
        <v>12</v>
      </c>
    </row>
    <row r="329" spans="1:8">
      <c r="A329" s="5">
        <v>327</v>
      </c>
      <c r="B329" s="5">
        <v>328</v>
      </c>
      <c r="C329" s="5">
        <v>0.2273</v>
      </c>
      <c r="D329" s="5">
        <v>0.59</v>
      </c>
      <c r="E329" s="5">
        <v>0</v>
      </c>
      <c r="F329" s="5">
        <v>1</v>
      </c>
      <c r="G329" s="5">
        <v>7</v>
      </c>
      <c r="H329" s="5">
        <v>8</v>
      </c>
    </row>
    <row r="330" spans="1:8">
      <c r="A330" s="5">
        <v>328</v>
      </c>
      <c r="B330" s="5">
        <v>329</v>
      </c>
      <c r="C330" s="5">
        <v>0.2273</v>
      </c>
      <c r="D330" s="5">
        <v>0.59</v>
      </c>
      <c r="E330" s="5">
        <v>0</v>
      </c>
      <c r="F330" s="5">
        <v>0</v>
      </c>
      <c r="G330" s="5">
        <v>5</v>
      </c>
      <c r="H330" s="5">
        <v>5</v>
      </c>
    </row>
    <row r="331" spans="1:8">
      <c r="A331" s="5">
        <v>329</v>
      </c>
      <c r="B331" s="5">
        <v>330</v>
      </c>
      <c r="C331" s="5">
        <v>0.2273</v>
      </c>
      <c r="D331" s="5">
        <v>0.59</v>
      </c>
      <c r="E331" s="5">
        <v>0</v>
      </c>
      <c r="F331" s="5">
        <v>0</v>
      </c>
      <c r="G331" s="5">
        <v>1</v>
      </c>
      <c r="H331" s="5">
        <v>1</v>
      </c>
    </row>
    <row r="332" spans="1:8">
      <c r="A332" s="5">
        <v>330</v>
      </c>
      <c r="B332" s="5">
        <v>331</v>
      </c>
      <c r="C332" s="5">
        <v>0.1667</v>
      </c>
      <c r="D332" s="5">
        <v>0.63</v>
      </c>
      <c r="E332" s="5">
        <v>0.1045</v>
      </c>
      <c r="F332" s="5">
        <v>1</v>
      </c>
      <c r="G332" s="5">
        <v>2</v>
      </c>
      <c r="H332" s="5">
        <v>3</v>
      </c>
    </row>
    <row r="333" spans="1:8">
      <c r="A333" s="5">
        <v>331</v>
      </c>
      <c r="B333" s="5">
        <v>332</v>
      </c>
      <c r="C333" s="5">
        <v>0.2121</v>
      </c>
      <c r="D333" s="5">
        <v>0.63</v>
      </c>
      <c r="E333" s="5">
        <v>0</v>
      </c>
      <c r="F333" s="5">
        <v>1</v>
      </c>
      <c r="G333" s="5">
        <v>9</v>
      </c>
      <c r="H333" s="5">
        <v>10</v>
      </c>
    </row>
    <row r="334" spans="1:8">
      <c r="A334" s="5">
        <v>332</v>
      </c>
      <c r="B334" s="5">
        <v>333</v>
      </c>
      <c r="C334" s="5">
        <v>0.1515</v>
      </c>
      <c r="D334" s="5">
        <v>0.63</v>
      </c>
      <c r="E334" s="5">
        <v>0.1343</v>
      </c>
      <c r="F334" s="5">
        <v>1</v>
      </c>
      <c r="G334" s="5">
        <v>22</v>
      </c>
      <c r="H334" s="5">
        <v>23</v>
      </c>
    </row>
    <row r="335" spans="1:8">
      <c r="A335" s="5">
        <v>333</v>
      </c>
      <c r="B335" s="5">
        <v>334</v>
      </c>
      <c r="C335" s="5">
        <v>0.1818</v>
      </c>
      <c r="D335" s="5">
        <v>0.64</v>
      </c>
      <c r="E335" s="5">
        <v>0.1343</v>
      </c>
      <c r="F335" s="5">
        <v>2</v>
      </c>
      <c r="G335" s="5">
        <v>31</v>
      </c>
      <c r="H335" s="5">
        <v>33</v>
      </c>
    </row>
    <row r="336" spans="1:8">
      <c r="A336" s="5">
        <v>334</v>
      </c>
      <c r="B336" s="5">
        <v>335</v>
      </c>
      <c r="C336" s="5">
        <v>0.197</v>
      </c>
      <c r="D336" s="5">
        <v>0.59</v>
      </c>
      <c r="E336" s="5">
        <v>0.1642</v>
      </c>
      <c r="F336" s="5">
        <v>2</v>
      </c>
      <c r="G336" s="5">
        <v>57</v>
      </c>
      <c r="H336" s="5">
        <v>59</v>
      </c>
    </row>
    <row r="337" spans="1:8">
      <c r="A337" s="5">
        <v>335</v>
      </c>
      <c r="B337" s="5">
        <v>336</v>
      </c>
      <c r="C337" s="5">
        <v>0.197</v>
      </c>
      <c r="D337" s="5">
        <v>0.55</v>
      </c>
      <c r="E337" s="5">
        <v>0.2239</v>
      </c>
      <c r="F337" s="5">
        <v>18</v>
      </c>
      <c r="G337" s="5">
        <v>54</v>
      </c>
      <c r="H337" s="5">
        <v>72</v>
      </c>
    </row>
    <row r="338" spans="1:8">
      <c r="A338" s="5">
        <v>336</v>
      </c>
      <c r="B338" s="5">
        <v>337</v>
      </c>
      <c r="C338" s="5">
        <v>0.2273</v>
      </c>
      <c r="D338" s="5">
        <v>0.48</v>
      </c>
      <c r="E338" s="5">
        <v>0.2239</v>
      </c>
      <c r="F338" s="5">
        <v>15</v>
      </c>
      <c r="G338" s="5">
        <v>74</v>
      </c>
      <c r="H338" s="5">
        <v>89</v>
      </c>
    </row>
    <row r="339" spans="1:8">
      <c r="A339" s="5">
        <v>337</v>
      </c>
      <c r="B339" s="5">
        <v>338</v>
      </c>
      <c r="C339" s="5">
        <v>0.2576</v>
      </c>
      <c r="D339" s="5">
        <v>0.38</v>
      </c>
      <c r="E339" s="5">
        <v>0.2985</v>
      </c>
      <c r="F339" s="5">
        <v>21</v>
      </c>
      <c r="G339" s="5">
        <v>80</v>
      </c>
      <c r="H339" s="5">
        <v>101</v>
      </c>
    </row>
    <row r="340" spans="1:8">
      <c r="A340" s="5">
        <v>338</v>
      </c>
      <c r="B340" s="5">
        <v>339</v>
      </c>
      <c r="C340" s="5">
        <v>0.2879</v>
      </c>
      <c r="D340" s="5">
        <v>0.39</v>
      </c>
      <c r="E340" s="5">
        <v>0.2836</v>
      </c>
      <c r="F340" s="5">
        <v>26</v>
      </c>
      <c r="G340" s="5">
        <v>92</v>
      </c>
      <c r="H340" s="5">
        <v>118</v>
      </c>
    </row>
    <row r="341" spans="1:8">
      <c r="A341" s="5">
        <v>339</v>
      </c>
      <c r="B341" s="5">
        <v>340</v>
      </c>
      <c r="C341" s="5">
        <v>0.3182</v>
      </c>
      <c r="D341" s="5">
        <v>0.36</v>
      </c>
      <c r="E341" s="5">
        <v>0.194</v>
      </c>
      <c r="F341" s="5">
        <v>21</v>
      </c>
      <c r="G341" s="5">
        <v>108</v>
      </c>
      <c r="H341" s="5">
        <v>129</v>
      </c>
    </row>
    <row r="342" spans="1:8">
      <c r="A342" s="5">
        <v>340</v>
      </c>
      <c r="B342" s="5">
        <v>341</v>
      </c>
      <c r="C342" s="5">
        <v>0.3333</v>
      </c>
      <c r="D342" s="5">
        <v>0.34</v>
      </c>
      <c r="E342" s="5">
        <v>0.194</v>
      </c>
      <c r="F342" s="5">
        <v>33</v>
      </c>
      <c r="G342" s="5">
        <v>95</v>
      </c>
      <c r="H342" s="5">
        <v>128</v>
      </c>
    </row>
    <row r="343" spans="1:8">
      <c r="A343" s="5">
        <v>341</v>
      </c>
      <c r="B343" s="5">
        <v>342</v>
      </c>
      <c r="C343" s="5">
        <v>0.303</v>
      </c>
      <c r="D343" s="5">
        <v>0.36</v>
      </c>
      <c r="E343" s="5">
        <v>0.2836</v>
      </c>
      <c r="F343" s="5">
        <v>29</v>
      </c>
      <c r="G343" s="5">
        <v>54</v>
      </c>
      <c r="H343" s="5">
        <v>83</v>
      </c>
    </row>
    <row r="344" spans="1:8">
      <c r="A344" s="5">
        <v>342</v>
      </c>
      <c r="B344" s="5">
        <v>343</v>
      </c>
      <c r="C344" s="5">
        <v>0.2879</v>
      </c>
      <c r="D344" s="5">
        <v>0.45</v>
      </c>
      <c r="E344" s="5">
        <v>0.2537</v>
      </c>
      <c r="F344" s="5">
        <v>15</v>
      </c>
      <c r="G344" s="5">
        <v>69</v>
      </c>
      <c r="H344" s="5">
        <v>84</v>
      </c>
    </row>
    <row r="345" spans="1:8">
      <c r="A345" s="5">
        <v>343</v>
      </c>
      <c r="B345" s="5">
        <v>344</v>
      </c>
      <c r="C345" s="5">
        <v>0.303</v>
      </c>
      <c r="D345" s="5">
        <v>0.39</v>
      </c>
      <c r="E345" s="5">
        <v>0.2537</v>
      </c>
      <c r="F345" s="5">
        <v>14</v>
      </c>
      <c r="G345" s="5">
        <v>60</v>
      </c>
      <c r="H345" s="5">
        <v>74</v>
      </c>
    </row>
    <row r="346" spans="1:8">
      <c r="A346" s="5">
        <v>344</v>
      </c>
      <c r="B346" s="5">
        <v>345</v>
      </c>
      <c r="C346" s="5">
        <v>0.303</v>
      </c>
      <c r="D346" s="5">
        <v>0.39</v>
      </c>
      <c r="E346" s="5">
        <v>0.2537</v>
      </c>
      <c r="F346" s="5">
        <v>6</v>
      </c>
      <c r="G346" s="5">
        <v>35</v>
      </c>
      <c r="H346" s="5">
        <v>41</v>
      </c>
    </row>
    <row r="347" spans="1:8">
      <c r="A347" s="5">
        <v>345</v>
      </c>
      <c r="B347" s="5">
        <v>346</v>
      </c>
      <c r="C347" s="5">
        <v>0.303</v>
      </c>
      <c r="D347" s="5">
        <v>0.39</v>
      </c>
      <c r="E347" s="5">
        <v>0.2239</v>
      </c>
      <c r="F347" s="5">
        <v>6</v>
      </c>
      <c r="G347" s="5">
        <v>51</v>
      </c>
      <c r="H347" s="5">
        <v>57</v>
      </c>
    </row>
    <row r="348" spans="1:8">
      <c r="A348" s="5">
        <v>346</v>
      </c>
      <c r="B348" s="5">
        <v>347</v>
      </c>
      <c r="C348" s="5">
        <v>0.3182</v>
      </c>
      <c r="D348" s="5">
        <v>0.42</v>
      </c>
      <c r="E348" s="5">
        <v>0.1045</v>
      </c>
      <c r="F348" s="5">
        <v>0</v>
      </c>
      <c r="G348" s="5">
        <v>26</v>
      </c>
      <c r="H348" s="5">
        <v>26</v>
      </c>
    </row>
    <row r="349" spans="1:8">
      <c r="A349" s="5">
        <v>347</v>
      </c>
      <c r="B349" s="5">
        <v>348</v>
      </c>
      <c r="C349" s="5">
        <v>0.2879</v>
      </c>
      <c r="D349" s="5">
        <v>0.45</v>
      </c>
      <c r="E349" s="5">
        <v>0.2836</v>
      </c>
      <c r="F349" s="5">
        <v>5</v>
      </c>
      <c r="G349" s="5">
        <v>39</v>
      </c>
      <c r="H349" s="5">
        <v>44</v>
      </c>
    </row>
    <row r="350" spans="1:8">
      <c r="A350" s="5">
        <v>348</v>
      </c>
      <c r="B350" s="5">
        <v>349</v>
      </c>
      <c r="C350" s="5">
        <v>0.303</v>
      </c>
      <c r="D350" s="5">
        <v>0.5600000000000001</v>
      </c>
      <c r="E350" s="5">
        <v>0</v>
      </c>
      <c r="F350" s="5">
        <v>6</v>
      </c>
      <c r="G350" s="5">
        <v>33</v>
      </c>
      <c r="H350" s="5">
        <v>39</v>
      </c>
    </row>
    <row r="351" spans="1:8">
      <c r="A351" s="5">
        <v>349</v>
      </c>
      <c r="B351" s="5">
        <v>350</v>
      </c>
      <c r="C351" s="5">
        <v>0.2727</v>
      </c>
      <c r="D351" s="5">
        <v>0.5600000000000001</v>
      </c>
      <c r="E351" s="5">
        <v>0.1343</v>
      </c>
      <c r="F351" s="5">
        <v>4</v>
      </c>
      <c r="G351" s="5">
        <v>19</v>
      </c>
      <c r="H351" s="5">
        <v>23</v>
      </c>
    </row>
    <row r="352" spans="1:8">
      <c r="A352" s="5">
        <v>350</v>
      </c>
      <c r="B352" s="5">
        <v>351</v>
      </c>
      <c r="C352" s="5">
        <v>0.2879</v>
      </c>
      <c r="D352" s="5">
        <v>0.5600000000000001</v>
      </c>
      <c r="E352" s="5">
        <v>0.0896</v>
      </c>
      <c r="F352" s="5">
        <v>3</v>
      </c>
      <c r="G352" s="5">
        <v>13</v>
      </c>
      <c r="H352" s="5">
        <v>16</v>
      </c>
    </row>
    <row r="353" spans="1:8">
      <c r="A353" s="5">
        <v>351</v>
      </c>
      <c r="B353" s="5">
        <v>352</v>
      </c>
      <c r="C353" s="5">
        <v>0.2727</v>
      </c>
      <c r="D353" s="5">
        <v>0.6899999999999999</v>
      </c>
      <c r="E353" s="5">
        <v>0</v>
      </c>
      <c r="F353" s="5">
        <v>9</v>
      </c>
      <c r="G353" s="5">
        <v>6</v>
      </c>
      <c r="H353" s="5">
        <v>15</v>
      </c>
    </row>
    <row r="354" spans="1:8">
      <c r="A354" s="5">
        <v>352</v>
      </c>
      <c r="B354" s="5">
        <v>353</v>
      </c>
      <c r="C354" s="5">
        <v>0.2576</v>
      </c>
      <c r="D354" s="5">
        <v>0.5600000000000001</v>
      </c>
      <c r="E354" s="5">
        <v>0.1642</v>
      </c>
      <c r="F354" s="5">
        <v>0</v>
      </c>
      <c r="G354" s="5">
        <v>1</v>
      </c>
      <c r="H354" s="5">
        <v>1</v>
      </c>
    </row>
    <row r="355" spans="1:8">
      <c r="A355" s="5">
        <v>353</v>
      </c>
      <c r="B355" s="5">
        <v>354</v>
      </c>
      <c r="C355" s="5">
        <v>0.2576</v>
      </c>
      <c r="D355" s="5">
        <v>0.5600000000000001</v>
      </c>
      <c r="E355" s="5">
        <v>0.1642</v>
      </c>
      <c r="F355" s="5">
        <v>1</v>
      </c>
      <c r="G355" s="5">
        <v>1</v>
      </c>
      <c r="H355" s="5">
        <v>2</v>
      </c>
    </row>
    <row r="356" spans="1:8">
      <c r="A356" s="5">
        <v>354</v>
      </c>
      <c r="B356" s="5">
        <v>355</v>
      </c>
      <c r="C356" s="5">
        <v>0.2576</v>
      </c>
      <c r="D356" s="5">
        <v>0.5600000000000001</v>
      </c>
      <c r="E356" s="5">
        <v>0.1642</v>
      </c>
      <c r="F356" s="5">
        <v>0</v>
      </c>
      <c r="G356" s="5">
        <v>1</v>
      </c>
      <c r="H356" s="5">
        <v>1</v>
      </c>
    </row>
    <row r="357" spans="1:8">
      <c r="A357" s="5">
        <v>355</v>
      </c>
      <c r="B357" s="5">
        <v>356</v>
      </c>
      <c r="C357" s="5">
        <v>0.2121</v>
      </c>
      <c r="D357" s="5">
        <v>0.5600000000000001</v>
      </c>
      <c r="E357" s="5">
        <v>0.2985</v>
      </c>
      <c r="F357" s="5">
        <v>0</v>
      </c>
      <c r="G357" s="5">
        <v>3</v>
      </c>
      <c r="H357" s="5">
        <v>3</v>
      </c>
    </row>
    <row r="358" spans="1:8">
      <c r="A358" s="5">
        <v>356</v>
      </c>
      <c r="B358" s="5">
        <v>357</v>
      </c>
      <c r="C358" s="5">
        <v>0.2121</v>
      </c>
      <c r="D358" s="5">
        <v>0.55</v>
      </c>
      <c r="E358" s="5">
        <v>0.2836</v>
      </c>
      <c r="F358" s="5">
        <v>0</v>
      </c>
      <c r="G358" s="5">
        <v>18</v>
      </c>
      <c r="H358" s="5">
        <v>18</v>
      </c>
    </row>
    <row r="359" spans="1:8">
      <c r="A359" s="5">
        <v>357</v>
      </c>
      <c r="B359" s="5">
        <v>358</v>
      </c>
      <c r="C359" s="5">
        <v>0.2121</v>
      </c>
      <c r="D359" s="5">
        <v>0.51</v>
      </c>
      <c r="E359" s="5">
        <v>0.2537</v>
      </c>
      <c r="F359" s="5">
        <v>3</v>
      </c>
      <c r="G359" s="5">
        <v>29</v>
      </c>
      <c r="H359" s="5">
        <v>32</v>
      </c>
    </row>
    <row r="360" spans="1:8">
      <c r="A360" s="5">
        <v>358</v>
      </c>
      <c r="B360" s="5">
        <v>359</v>
      </c>
      <c r="C360" s="5">
        <v>0.2121</v>
      </c>
      <c r="D360" s="5">
        <v>0.51</v>
      </c>
      <c r="E360" s="5">
        <v>0.2836</v>
      </c>
      <c r="F360" s="5">
        <v>8</v>
      </c>
      <c r="G360" s="5">
        <v>71</v>
      </c>
      <c r="H360" s="5">
        <v>79</v>
      </c>
    </row>
    <row r="361" spans="1:8">
      <c r="A361" s="5">
        <v>359</v>
      </c>
      <c r="B361" s="5">
        <v>360</v>
      </c>
      <c r="C361" s="5">
        <v>0.2273</v>
      </c>
      <c r="D361" s="5">
        <v>0.44</v>
      </c>
      <c r="E361" s="5">
        <v>0.2537</v>
      </c>
      <c r="F361" s="5">
        <v>23</v>
      </c>
      <c r="G361" s="5">
        <v>70</v>
      </c>
      <c r="H361" s="5">
        <v>93</v>
      </c>
    </row>
    <row r="362" spans="1:8">
      <c r="A362" s="5">
        <v>360</v>
      </c>
      <c r="B362" s="5">
        <v>361</v>
      </c>
      <c r="C362" s="5">
        <v>0.2121</v>
      </c>
      <c r="D362" s="5">
        <v>0.41</v>
      </c>
      <c r="E362" s="5">
        <v>0.2836</v>
      </c>
      <c r="F362" s="5">
        <v>29</v>
      </c>
      <c r="G362" s="5">
        <v>75</v>
      </c>
      <c r="H362" s="5">
        <v>104</v>
      </c>
    </row>
    <row r="363" spans="1:8">
      <c r="A363" s="5">
        <v>361</v>
      </c>
      <c r="B363" s="5">
        <v>362</v>
      </c>
      <c r="C363" s="5">
        <v>0.2273</v>
      </c>
      <c r="D363" s="5">
        <v>0.35</v>
      </c>
      <c r="E363" s="5">
        <v>0.2985</v>
      </c>
      <c r="F363" s="5">
        <v>23</v>
      </c>
      <c r="G363" s="5">
        <v>95</v>
      </c>
      <c r="H363" s="5">
        <v>118</v>
      </c>
    </row>
    <row r="364" spans="1:8">
      <c r="A364" s="5">
        <v>362</v>
      </c>
      <c r="B364" s="5">
        <v>363</v>
      </c>
      <c r="C364" s="5">
        <v>0.2727</v>
      </c>
      <c r="D364" s="5">
        <v>0.36</v>
      </c>
      <c r="E364" s="5">
        <v>0.2537</v>
      </c>
      <c r="F364" s="5">
        <v>22</v>
      </c>
      <c r="G364" s="5">
        <v>69</v>
      </c>
      <c r="H364" s="5">
        <v>91</v>
      </c>
    </row>
    <row r="365" spans="1:8">
      <c r="A365" s="5">
        <v>363</v>
      </c>
      <c r="B365" s="5">
        <v>364</v>
      </c>
      <c r="C365" s="5">
        <v>0.2424</v>
      </c>
      <c r="D365" s="5">
        <v>0.38</v>
      </c>
      <c r="E365" s="5">
        <v>0.2537</v>
      </c>
      <c r="F365" s="5">
        <v>35</v>
      </c>
      <c r="G365" s="5">
        <v>78</v>
      </c>
      <c r="H365" s="5">
        <v>113</v>
      </c>
    </row>
    <row r="366" spans="1:8">
      <c r="A366" s="5">
        <v>364</v>
      </c>
      <c r="B366" s="5">
        <v>365</v>
      </c>
      <c r="C366" s="5">
        <v>0.2273</v>
      </c>
      <c r="D366" s="5">
        <v>0.38</v>
      </c>
      <c r="E366" s="5">
        <v>0.2239</v>
      </c>
      <c r="F366" s="5">
        <v>22</v>
      </c>
      <c r="G366" s="5">
        <v>77</v>
      </c>
      <c r="H366" s="5">
        <v>99</v>
      </c>
    </row>
    <row r="367" spans="1:8">
      <c r="A367" s="5">
        <v>365</v>
      </c>
      <c r="B367" s="5">
        <v>366</v>
      </c>
      <c r="C367" s="5">
        <v>0.2121</v>
      </c>
      <c r="D367" s="5">
        <v>0.37</v>
      </c>
      <c r="E367" s="5">
        <v>0.2537</v>
      </c>
      <c r="F367" s="5">
        <v>23</v>
      </c>
      <c r="G367" s="5">
        <v>82</v>
      </c>
      <c r="H367" s="5">
        <v>105</v>
      </c>
    </row>
    <row r="368" spans="1:8">
      <c r="A368" s="5">
        <v>366</v>
      </c>
      <c r="B368" s="5">
        <v>367</v>
      </c>
      <c r="C368" s="5">
        <v>0.2121</v>
      </c>
      <c r="D368" s="5">
        <v>0.4</v>
      </c>
      <c r="E368" s="5">
        <v>0.1642</v>
      </c>
      <c r="F368" s="5">
        <v>11</v>
      </c>
      <c r="G368" s="5">
        <v>56</v>
      </c>
      <c r="H368" s="5">
        <v>67</v>
      </c>
    </row>
    <row r="369" spans="1:8">
      <c r="A369" s="5">
        <v>367</v>
      </c>
      <c r="B369" s="5">
        <v>368</v>
      </c>
      <c r="C369" s="5">
        <v>0.197</v>
      </c>
      <c r="D369" s="5">
        <v>0.47</v>
      </c>
      <c r="E369" s="5">
        <v>0.1343</v>
      </c>
      <c r="F369" s="5">
        <v>14</v>
      </c>
      <c r="G369" s="5">
        <v>47</v>
      </c>
      <c r="H369" s="5">
        <v>61</v>
      </c>
    </row>
    <row r="370" spans="1:8">
      <c r="A370" s="5">
        <v>368</v>
      </c>
      <c r="B370" s="5">
        <v>369</v>
      </c>
      <c r="C370" s="5">
        <v>0.197</v>
      </c>
      <c r="D370" s="5">
        <v>0.47</v>
      </c>
      <c r="E370" s="5">
        <v>0.1642</v>
      </c>
      <c r="F370" s="5">
        <v>7</v>
      </c>
      <c r="G370" s="5">
        <v>50</v>
      </c>
      <c r="H370" s="5">
        <v>57</v>
      </c>
    </row>
    <row r="371" spans="1:8">
      <c r="A371" s="5">
        <v>369</v>
      </c>
      <c r="B371" s="5">
        <v>370</v>
      </c>
      <c r="C371" s="5">
        <v>0.197</v>
      </c>
      <c r="D371" s="5">
        <v>0.51</v>
      </c>
      <c r="E371" s="5">
        <v>0.1642</v>
      </c>
      <c r="F371" s="5">
        <v>6</v>
      </c>
      <c r="G371" s="5">
        <v>22</v>
      </c>
      <c r="H371" s="5">
        <v>28</v>
      </c>
    </row>
    <row r="372" spans="1:8">
      <c r="A372" s="5">
        <v>370</v>
      </c>
      <c r="B372" s="5">
        <v>371</v>
      </c>
      <c r="C372" s="5">
        <v>0.2121</v>
      </c>
      <c r="D372" s="5">
        <v>0.49</v>
      </c>
      <c r="E372" s="5">
        <v>0.1343</v>
      </c>
      <c r="F372" s="5">
        <v>2</v>
      </c>
      <c r="G372" s="5">
        <v>19</v>
      </c>
      <c r="H372" s="5">
        <v>21</v>
      </c>
    </row>
    <row r="373" spans="1:8">
      <c r="A373" s="5">
        <v>371</v>
      </c>
      <c r="B373" s="5">
        <v>372</v>
      </c>
      <c r="C373" s="5">
        <v>0.2273</v>
      </c>
      <c r="D373" s="5">
        <v>0.4</v>
      </c>
      <c r="E373" s="5">
        <v>0.1045</v>
      </c>
      <c r="F373" s="5">
        <v>0</v>
      </c>
      <c r="G373" s="5">
        <v>18</v>
      </c>
      <c r="H373" s="5">
        <v>18</v>
      </c>
    </row>
    <row r="374" spans="1:8">
      <c r="A374" s="5">
        <v>372</v>
      </c>
      <c r="B374" s="5">
        <v>373</v>
      </c>
      <c r="C374" s="5">
        <v>0.197</v>
      </c>
      <c r="D374" s="5">
        <v>0.47</v>
      </c>
      <c r="E374" s="5">
        <v>0.2239</v>
      </c>
      <c r="F374" s="5">
        <v>1</v>
      </c>
      <c r="G374" s="5">
        <v>16</v>
      </c>
      <c r="H374" s="5">
        <v>17</v>
      </c>
    </row>
    <row r="375" spans="1:8">
      <c r="A375" s="5">
        <v>373</v>
      </c>
      <c r="B375" s="5">
        <v>374</v>
      </c>
      <c r="C375" s="5">
        <v>0.197</v>
      </c>
      <c r="D375" s="5">
        <v>0.44</v>
      </c>
      <c r="E375" s="5">
        <v>0.194</v>
      </c>
      <c r="F375" s="5">
        <v>1</v>
      </c>
      <c r="G375" s="5">
        <v>15</v>
      </c>
      <c r="H375" s="5">
        <v>16</v>
      </c>
    </row>
    <row r="376" spans="1:8">
      <c r="A376" s="5">
        <v>374</v>
      </c>
      <c r="B376" s="5">
        <v>375</v>
      </c>
      <c r="C376" s="5">
        <v>0.1667</v>
      </c>
      <c r="D376" s="5">
        <v>0.43</v>
      </c>
      <c r="E376" s="5">
        <v>0.2537</v>
      </c>
      <c r="F376" s="5">
        <v>0</v>
      </c>
      <c r="G376" s="5">
        <v>8</v>
      </c>
      <c r="H376" s="5">
        <v>8</v>
      </c>
    </row>
    <row r="377" spans="1:8">
      <c r="A377" s="5">
        <v>375</v>
      </c>
      <c r="B377" s="5">
        <v>376</v>
      </c>
      <c r="C377" s="5">
        <v>0.1818</v>
      </c>
      <c r="D377" s="5">
        <v>0.43</v>
      </c>
      <c r="E377" s="5">
        <v>0.194</v>
      </c>
      <c r="F377" s="5">
        <v>0</v>
      </c>
      <c r="G377" s="5">
        <v>2</v>
      </c>
      <c r="H377" s="5">
        <v>2</v>
      </c>
    </row>
    <row r="378" spans="1:8">
      <c r="A378" s="5">
        <v>376</v>
      </c>
      <c r="B378" s="5">
        <v>377</v>
      </c>
      <c r="C378" s="5">
        <v>0.197</v>
      </c>
      <c r="D378" s="5">
        <v>0.43</v>
      </c>
      <c r="E378" s="5">
        <v>0.1343</v>
      </c>
      <c r="F378" s="5">
        <v>1</v>
      </c>
      <c r="G378" s="5">
        <v>2</v>
      </c>
      <c r="H378" s="5">
        <v>3</v>
      </c>
    </row>
    <row r="379" spans="1:8">
      <c r="A379" s="5">
        <v>377</v>
      </c>
      <c r="B379" s="5">
        <v>378</v>
      </c>
      <c r="C379" s="5">
        <v>0.197</v>
      </c>
      <c r="D379" s="5">
        <v>0.43</v>
      </c>
      <c r="E379" s="5">
        <v>0.1642</v>
      </c>
      <c r="F379" s="5">
        <v>0</v>
      </c>
      <c r="G379" s="5">
        <v>1</v>
      </c>
      <c r="H379" s="5">
        <v>1</v>
      </c>
    </row>
    <row r="380" spans="1:8">
      <c r="A380" s="5">
        <v>378</v>
      </c>
      <c r="B380" s="5">
        <v>379</v>
      </c>
      <c r="C380" s="5">
        <v>0.1818</v>
      </c>
      <c r="D380" s="5">
        <v>0.43</v>
      </c>
      <c r="E380" s="5">
        <v>0.194</v>
      </c>
      <c r="F380" s="5">
        <v>0</v>
      </c>
      <c r="G380" s="5">
        <v>5</v>
      </c>
      <c r="H380" s="5">
        <v>5</v>
      </c>
    </row>
    <row r="381" spans="1:8">
      <c r="A381" s="5">
        <v>379</v>
      </c>
      <c r="B381" s="5">
        <v>380</v>
      </c>
      <c r="C381" s="5">
        <v>0.1818</v>
      </c>
      <c r="D381" s="5">
        <v>0.5</v>
      </c>
      <c r="E381" s="5">
        <v>0.1343</v>
      </c>
      <c r="F381" s="5">
        <v>4</v>
      </c>
      <c r="G381" s="5">
        <v>9</v>
      </c>
      <c r="H381" s="5">
        <v>13</v>
      </c>
    </row>
    <row r="382" spans="1:8">
      <c r="A382" s="5">
        <v>380</v>
      </c>
      <c r="B382" s="5">
        <v>381</v>
      </c>
      <c r="C382" s="5">
        <v>0.1515</v>
      </c>
      <c r="D382" s="5">
        <v>0.47</v>
      </c>
      <c r="E382" s="5">
        <v>0.2239</v>
      </c>
      <c r="F382" s="5">
        <v>3</v>
      </c>
      <c r="G382" s="5">
        <v>30</v>
      </c>
      <c r="H382" s="5">
        <v>33</v>
      </c>
    </row>
    <row r="383" spans="1:8">
      <c r="A383" s="5">
        <v>381</v>
      </c>
      <c r="B383" s="5">
        <v>382</v>
      </c>
      <c r="C383" s="5">
        <v>0.1515</v>
      </c>
      <c r="D383" s="5">
        <v>0.47</v>
      </c>
      <c r="E383" s="5">
        <v>0.2239</v>
      </c>
      <c r="F383" s="5">
        <v>8</v>
      </c>
      <c r="G383" s="5">
        <v>39</v>
      </c>
      <c r="H383" s="5">
        <v>47</v>
      </c>
    </row>
    <row r="384" spans="1:8">
      <c r="A384" s="5">
        <v>382</v>
      </c>
      <c r="B384" s="5">
        <v>383</v>
      </c>
      <c r="C384" s="5">
        <v>0.1515</v>
      </c>
      <c r="D384" s="5">
        <v>0.5</v>
      </c>
      <c r="E384" s="5">
        <v>0.2537</v>
      </c>
      <c r="F384" s="5">
        <v>7</v>
      </c>
      <c r="G384" s="5">
        <v>50</v>
      </c>
      <c r="H384" s="5">
        <v>57</v>
      </c>
    </row>
    <row r="385" spans="1:8">
      <c r="A385" s="5">
        <v>383</v>
      </c>
      <c r="B385" s="5">
        <v>384</v>
      </c>
      <c r="C385" s="5">
        <v>0.1515</v>
      </c>
      <c r="D385" s="5">
        <v>0.55</v>
      </c>
      <c r="E385" s="5">
        <v>0.194</v>
      </c>
      <c r="F385" s="5">
        <v>9</v>
      </c>
      <c r="G385" s="5">
        <v>55</v>
      </c>
      <c r="H385" s="5">
        <v>64</v>
      </c>
    </row>
    <row r="386" spans="1:8">
      <c r="A386" s="5">
        <v>384</v>
      </c>
      <c r="B386" s="5">
        <v>385</v>
      </c>
      <c r="C386" s="5">
        <v>0.197</v>
      </c>
      <c r="D386" s="5">
        <v>0.47</v>
      </c>
      <c r="E386" s="5">
        <v>0.1343</v>
      </c>
      <c r="F386" s="5">
        <v>10</v>
      </c>
      <c r="G386" s="5">
        <v>70</v>
      </c>
      <c r="H386" s="5">
        <v>80</v>
      </c>
    </row>
    <row r="387" spans="1:8">
      <c r="A387" s="5">
        <v>385</v>
      </c>
      <c r="B387" s="5">
        <v>386</v>
      </c>
      <c r="C387" s="5">
        <v>0.197</v>
      </c>
      <c r="D387" s="5">
        <v>0.47</v>
      </c>
      <c r="E387" s="5">
        <v>0.1343</v>
      </c>
      <c r="F387" s="5">
        <v>13</v>
      </c>
      <c r="G387" s="5">
        <v>80</v>
      </c>
      <c r="H387" s="5">
        <v>93</v>
      </c>
    </row>
    <row r="388" spans="1:8">
      <c r="A388" s="5">
        <v>386</v>
      </c>
      <c r="B388" s="5">
        <v>387</v>
      </c>
      <c r="C388" s="5">
        <v>0.2121</v>
      </c>
      <c r="D388" s="5">
        <v>0.43</v>
      </c>
      <c r="E388" s="5">
        <v>0.1045</v>
      </c>
      <c r="F388" s="5">
        <v>12</v>
      </c>
      <c r="G388" s="5">
        <v>74</v>
      </c>
      <c r="H388" s="5">
        <v>86</v>
      </c>
    </row>
    <row r="389" spans="1:8">
      <c r="A389" s="5">
        <v>387</v>
      </c>
      <c r="B389" s="5">
        <v>388</v>
      </c>
      <c r="C389" s="5">
        <v>0.2121</v>
      </c>
      <c r="D389" s="5">
        <v>0.47</v>
      </c>
      <c r="E389" s="5">
        <v>0.1642</v>
      </c>
      <c r="F389" s="5">
        <v>21</v>
      </c>
      <c r="G389" s="5">
        <v>72</v>
      </c>
      <c r="H389" s="5">
        <v>93</v>
      </c>
    </row>
    <row r="390" spans="1:8">
      <c r="A390" s="5">
        <v>388</v>
      </c>
      <c r="B390" s="5">
        <v>389</v>
      </c>
      <c r="C390" s="5">
        <v>0.2121</v>
      </c>
      <c r="D390" s="5">
        <v>0.47</v>
      </c>
      <c r="E390" s="5">
        <v>0.1642</v>
      </c>
      <c r="F390" s="5">
        <v>6</v>
      </c>
      <c r="G390" s="5">
        <v>76</v>
      </c>
      <c r="H390" s="5">
        <v>82</v>
      </c>
    </row>
    <row r="391" spans="1:8">
      <c r="A391" s="5">
        <v>389</v>
      </c>
      <c r="B391" s="5">
        <v>390</v>
      </c>
      <c r="C391" s="5">
        <v>0.197</v>
      </c>
      <c r="D391" s="5">
        <v>0.51</v>
      </c>
      <c r="E391" s="5">
        <v>0.194</v>
      </c>
      <c r="F391" s="5">
        <v>4</v>
      </c>
      <c r="G391" s="5">
        <v>67</v>
      </c>
      <c r="H391" s="5">
        <v>71</v>
      </c>
    </row>
    <row r="392" spans="1:8">
      <c r="A392" s="5">
        <v>390</v>
      </c>
      <c r="B392" s="5">
        <v>391</v>
      </c>
      <c r="C392" s="5">
        <v>0.1667</v>
      </c>
      <c r="D392" s="5">
        <v>0.55</v>
      </c>
      <c r="E392" s="5">
        <v>0.2537</v>
      </c>
      <c r="F392" s="5">
        <v>7</v>
      </c>
      <c r="G392" s="5">
        <v>85</v>
      </c>
      <c r="H392" s="5">
        <v>92</v>
      </c>
    </row>
    <row r="393" spans="1:8">
      <c r="A393" s="5">
        <v>391</v>
      </c>
      <c r="B393" s="5">
        <v>392</v>
      </c>
      <c r="C393" s="5">
        <v>0.1818</v>
      </c>
      <c r="D393" s="5">
        <v>0.59</v>
      </c>
      <c r="E393" s="5">
        <v>0.194</v>
      </c>
      <c r="F393" s="5">
        <v>2</v>
      </c>
      <c r="G393" s="5">
        <v>58</v>
      </c>
      <c r="H393" s="5">
        <v>60</v>
      </c>
    </row>
    <row r="394" spans="1:8">
      <c r="A394" s="5">
        <v>392</v>
      </c>
      <c r="B394" s="5">
        <v>393</v>
      </c>
      <c r="C394" s="5">
        <v>0.1515</v>
      </c>
      <c r="D394" s="5">
        <v>0.8</v>
      </c>
      <c r="E394" s="5">
        <v>0.194</v>
      </c>
      <c r="F394" s="5">
        <v>4</v>
      </c>
      <c r="G394" s="5">
        <v>29</v>
      </c>
      <c r="H394" s="5">
        <v>33</v>
      </c>
    </row>
    <row r="395" spans="1:8">
      <c r="A395" s="5">
        <v>393</v>
      </c>
      <c r="B395" s="5">
        <v>394</v>
      </c>
      <c r="C395" s="5">
        <v>0.1515</v>
      </c>
      <c r="D395" s="5">
        <v>0.8</v>
      </c>
      <c r="E395" s="5">
        <v>0.194</v>
      </c>
      <c r="F395" s="5">
        <v>3</v>
      </c>
      <c r="G395" s="5">
        <v>24</v>
      </c>
      <c r="H395" s="5">
        <v>27</v>
      </c>
    </row>
    <row r="396" spans="1:8">
      <c r="A396" s="5">
        <v>394</v>
      </c>
      <c r="B396" s="5">
        <v>395</v>
      </c>
      <c r="C396" s="5">
        <v>0.1212</v>
      </c>
      <c r="D396" s="5">
        <v>0.93</v>
      </c>
      <c r="E396" s="5">
        <v>0.2537</v>
      </c>
      <c r="F396" s="5">
        <v>0</v>
      </c>
      <c r="G396" s="5">
        <v>13</v>
      </c>
      <c r="H396" s="5">
        <v>13</v>
      </c>
    </row>
    <row r="397" spans="1:8">
      <c r="A397" s="5">
        <v>395</v>
      </c>
      <c r="B397" s="5">
        <v>396</v>
      </c>
      <c r="C397" s="5">
        <v>0.1364</v>
      </c>
      <c r="D397" s="5">
        <v>0.86</v>
      </c>
      <c r="E397" s="5">
        <v>0.2836</v>
      </c>
      <c r="F397" s="5">
        <v>1</v>
      </c>
      <c r="G397" s="5">
        <v>3</v>
      </c>
      <c r="H397" s="5">
        <v>4</v>
      </c>
    </row>
    <row r="398" spans="1:8">
      <c r="A398" s="5">
        <v>396</v>
      </c>
      <c r="B398" s="5">
        <v>397</v>
      </c>
      <c r="C398" s="5">
        <v>0.1818</v>
      </c>
      <c r="D398" s="5">
        <v>0.86</v>
      </c>
      <c r="E398" s="5">
        <v>0.3284</v>
      </c>
      <c r="F398" s="5">
        <v>0</v>
      </c>
      <c r="G398" s="5">
        <v>3</v>
      </c>
      <c r="H398" s="5">
        <v>3</v>
      </c>
    </row>
    <row r="399" spans="1:8">
      <c r="A399" s="5">
        <v>397</v>
      </c>
      <c r="B399" s="5">
        <v>398</v>
      </c>
      <c r="C399" s="5">
        <v>0.197</v>
      </c>
      <c r="D399" s="5">
        <v>0.86</v>
      </c>
      <c r="E399" s="5">
        <v>0.2239</v>
      </c>
      <c r="F399" s="5">
        <v>0</v>
      </c>
      <c r="G399" s="5">
        <v>22</v>
      </c>
      <c r="H399" s="5">
        <v>22</v>
      </c>
    </row>
    <row r="400" spans="1:8">
      <c r="A400" s="5">
        <v>398</v>
      </c>
      <c r="B400" s="5">
        <v>399</v>
      </c>
      <c r="C400" s="5">
        <v>0.2273</v>
      </c>
      <c r="D400" s="5">
        <v>0.8</v>
      </c>
      <c r="E400" s="5">
        <v>0.1642</v>
      </c>
      <c r="F400" s="5">
        <v>2</v>
      </c>
      <c r="G400" s="5">
        <v>26</v>
      </c>
      <c r="H400" s="5">
        <v>28</v>
      </c>
    </row>
    <row r="401" spans="1:8">
      <c r="A401" s="5">
        <v>399</v>
      </c>
      <c r="B401" s="5">
        <v>400</v>
      </c>
      <c r="C401" s="5">
        <v>0.2273</v>
      </c>
      <c r="D401" s="5">
        <v>0.87</v>
      </c>
      <c r="E401" s="5">
        <v>0.1642</v>
      </c>
      <c r="F401" s="5">
        <v>3</v>
      </c>
      <c r="G401" s="5">
        <v>32</v>
      </c>
      <c r="H401" s="5">
        <v>35</v>
      </c>
    </row>
    <row r="402" spans="1:8">
      <c r="A402" s="5">
        <v>400</v>
      </c>
      <c r="B402" s="5">
        <v>401</v>
      </c>
      <c r="C402" s="5">
        <v>0.2273</v>
      </c>
      <c r="D402" s="5">
        <v>0.87</v>
      </c>
      <c r="E402" s="5">
        <v>0.194</v>
      </c>
      <c r="F402" s="5">
        <v>0</v>
      </c>
      <c r="G402" s="5">
        <v>61</v>
      </c>
      <c r="H402" s="5">
        <v>61</v>
      </c>
    </row>
    <row r="403" spans="1:8">
      <c r="A403" s="5">
        <v>401</v>
      </c>
      <c r="B403" s="5">
        <v>402</v>
      </c>
      <c r="C403" s="5">
        <v>0.2273</v>
      </c>
      <c r="D403" s="5">
        <v>0.82</v>
      </c>
      <c r="E403" s="5">
        <v>0.194</v>
      </c>
      <c r="F403" s="5">
        <v>1</v>
      </c>
      <c r="G403" s="5">
        <v>124</v>
      </c>
      <c r="H403" s="5">
        <v>125</v>
      </c>
    </row>
    <row r="404" spans="1:8">
      <c r="A404" s="5">
        <v>402</v>
      </c>
      <c r="B404" s="5">
        <v>403</v>
      </c>
      <c r="C404" s="5">
        <v>0.2273</v>
      </c>
      <c r="D404" s="5">
        <v>0.8</v>
      </c>
      <c r="E404" s="5">
        <v>0.1642</v>
      </c>
      <c r="F404" s="5">
        <v>1</v>
      </c>
      <c r="G404" s="5">
        <v>132</v>
      </c>
      <c r="H404" s="5">
        <v>133</v>
      </c>
    </row>
    <row r="405" spans="1:8">
      <c r="A405" s="5">
        <v>403</v>
      </c>
      <c r="B405" s="5">
        <v>404</v>
      </c>
      <c r="C405" s="5">
        <v>0.2273</v>
      </c>
      <c r="D405" s="5">
        <v>0.8</v>
      </c>
      <c r="E405" s="5">
        <v>0.1343</v>
      </c>
      <c r="F405" s="5">
        <v>1</v>
      </c>
      <c r="G405" s="5">
        <v>98</v>
      </c>
      <c r="H405" s="5">
        <v>99</v>
      </c>
    </row>
    <row r="406" spans="1:8">
      <c r="A406" s="5">
        <v>404</v>
      </c>
      <c r="B406" s="5">
        <v>405</v>
      </c>
      <c r="C406" s="5">
        <v>0.2727</v>
      </c>
      <c r="D406" s="5">
        <v>0.87</v>
      </c>
      <c r="E406" s="5">
        <v>0</v>
      </c>
      <c r="F406" s="5">
        <v>0</v>
      </c>
      <c r="G406" s="5">
        <v>83</v>
      </c>
      <c r="H406" s="5">
        <v>83</v>
      </c>
    </row>
    <row r="407" spans="1:8">
      <c r="A407" s="5">
        <v>405</v>
      </c>
      <c r="B407" s="5">
        <v>406</v>
      </c>
      <c r="C407" s="5">
        <v>0.2424</v>
      </c>
      <c r="D407" s="5">
        <v>0.93</v>
      </c>
      <c r="E407" s="5">
        <v>0.1045</v>
      </c>
      <c r="F407" s="5">
        <v>0</v>
      </c>
      <c r="G407" s="5">
        <v>41</v>
      </c>
      <c r="H407" s="5">
        <v>41</v>
      </c>
    </row>
    <row r="408" spans="1:8">
      <c r="A408" s="5">
        <v>406</v>
      </c>
      <c r="B408" s="5">
        <v>407</v>
      </c>
      <c r="C408" s="5">
        <v>0.2576</v>
      </c>
      <c r="D408" s="5">
        <v>0.93</v>
      </c>
      <c r="E408" s="5">
        <v>0.0896</v>
      </c>
      <c r="F408" s="5">
        <v>0</v>
      </c>
      <c r="G408" s="5">
        <v>33</v>
      </c>
      <c r="H408" s="5">
        <v>33</v>
      </c>
    </row>
    <row r="409" spans="1:8">
      <c r="A409" s="5">
        <v>407</v>
      </c>
      <c r="B409" s="5">
        <v>408</v>
      </c>
      <c r="C409" s="5">
        <v>0.2727</v>
      </c>
      <c r="D409" s="5">
        <v>0.93</v>
      </c>
      <c r="E409" s="5">
        <v>0</v>
      </c>
      <c r="F409" s="5">
        <v>1</v>
      </c>
      <c r="G409" s="5">
        <v>19</v>
      </c>
      <c r="H409" s="5">
        <v>20</v>
      </c>
    </row>
    <row r="410" spans="1:8">
      <c r="A410" s="5">
        <v>408</v>
      </c>
      <c r="B410" s="5">
        <v>409</v>
      </c>
      <c r="C410" s="5">
        <v>0.2727</v>
      </c>
      <c r="D410" s="5">
        <v>0.93</v>
      </c>
      <c r="E410" s="5">
        <v>0</v>
      </c>
      <c r="F410" s="5">
        <v>0</v>
      </c>
      <c r="G410" s="5">
        <v>3</v>
      </c>
      <c r="H410" s="5">
        <v>3</v>
      </c>
    </row>
    <row r="411" spans="1:8">
      <c r="A411" s="5">
        <v>409</v>
      </c>
      <c r="B411" s="5">
        <v>410</v>
      </c>
      <c r="C411" s="5">
        <v>0.2273</v>
      </c>
      <c r="D411" s="5">
        <v>0.93</v>
      </c>
      <c r="E411" s="5">
        <v>0.1343</v>
      </c>
      <c r="F411" s="5">
        <v>1</v>
      </c>
      <c r="G411" s="5">
        <v>6</v>
      </c>
      <c r="H411" s="5">
        <v>7</v>
      </c>
    </row>
    <row r="412" spans="1:8">
      <c r="A412" s="5">
        <v>410</v>
      </c>
      <c r="B412" s="5">
        <v>411</v>
      </c>
      <c r="C412" s="5">
        <v>0.2273</v>
      </c>
      <c r="D412" s="5">
        <v>0.93</v>
      </c>
      <c r="E412" s="5">
        <v>0.1343</v>
      </c>
      <c r="F412" s="5">
        <v>0</v>
      </c>
      <c r="G412" s="5">
        <v>3</v>
      </c>
      <c r="H412" s="5">
        <v>3</v>
      </c>
    </row>
    <row r="413" spans="1:8">
      <c r="A413" s="5">
        <v>411</v>
      </c>
      <c r="B413" s="5">
        <v>412</v>
      </c>
      <c r="C413" s="5">
        <v>0.2273</v>
      </c>
      <c r="D413" s="5">
        <v>0.93</v>
      </c>
      <c r="E413" s="5">
        <v>0.1343</v>
      </c>
      <c r="F413" s="5">
        <v>1</v>
      </c>
      <c r="G413" s="5">
        <v>1</v>
      </c>
      <c r="H413" s="5">
        <v>2</v>
      </c>
    </row>
    <row r="414" spans="1:8">
      <c r="A414" s="5">
        <v>412</v>
      </c>
      <c r="B414" s="5">
        <v>413</v>
      </c>
      <c r="C414" s="5">
        <v>0.2576</v>
      </c>
      <c r="D414" s="5">
        <v>0.93</v>
      </c>
      <c r="E414" s="5">
        <v>0.0896</v>
      </c>
      <c r="F414" s="5">
        <v>0</v>
      </c>
      <c r="G414" s="5">
        <v>7</v>
      </c>
      <c r="H414" s="5">
        <v>7</v>
      </c>
    </row>
    <row r="415" spans="1:8">
      <c r="A415" s="5">
        <v>413</v>
      </c>
      <c r="B415" s="5">
        <v>414</v>
      </c>
      <c r="C415" s="5">
        <v>0.2576</v>
      </c>
      <c r="D415" s="5">
        <v>0.93</v>
      </c>
      <c r="E415" s="5">
        <v>0.0896</v>
      </c>
      <c r="F415" s="5">
        <v>0</v>
      </c>
      <c r="G415" s="5">
        <v>32</v>
      </c>
      <c r="H415" s="5">
        <v>32</v>
      </c>
    </row>
    <row r="416" spans="1:8">
      <c r="A416" s="5">
        <v>414</v>
      </c>
      <c r="B416" s="5">
        <v>415</v>
      </c>
      <c r="C416" s="5">
        <v>0.2576</v>
      </c>
      <c r="D416" s="5">
        <v>0.92</v>
      </c>
      <c r="E416" s="5">
        <v>0.1045</v>
      </c>
      <c r="F416" s="5">
        <v>1</v>
      </c>
      <c r="G416" s="5">
        <v>89</v>
      </c>
      <c r="H416" s="5">
        <v>90</v>
      </c>
    </row>
    <row r="417" spans="1:8">
      <c r="A417" s="5">
        <v>415</v>
      </c>
      <c r="B417" s="5">
        <v>416</v>
      </c>
      <c r="C417" s="5">
        <v>0.2576</v>
      </c>
      <c r="D417" s="5">
        <v>0.93</v>
      </c>
      <c r="E417" s="5">
        <v>0.1045</v>
      </c>
      <c r="F417" s="5">
        <v>1</v>
      </c>
      <c r="G417" s="5">
        <v>196</v>
      </c>
      <c r="H417" s="5">
        <v>197</v>
      </c>
    </row>
    <row r="418" spans="1:8">
      <c r="A418" s="5">
        <v>416</v>
      </c>
      <c r="B418" s="5">
        <v>417</v>
      </c>
      <c r="C418" s="5">
        <v>0.2576</v>
      </c>
      <c r="D418" s="5">
        <v>0.93</v>
      </c>
      <c r="E418" s="5">
        <v>0.1045</v>
      </c>
      <c r="F418" s="5">
        <v>2</v>
      </c>
      <c r="G418" s="5">
        <v>107</v>
      </c>
      <c r="H418" s="5">
        <v>109</v>
      </c>
    </row>
    <row r="419" spans="1:8">
      <c r="A419" s="5">
        <v>417</v>
      </c>
      <c r="B419" s="5">
        <v>418</v>
      </c>
      <c r="C419" s="5">
        <v>0.2727</v>
      </c>
      <c r="D419" s="5">
        <v>0.93</v>
      </c>
      <c r="E419" s="5">
        <v>0.1343</v>
      </c>
      <c r="F419" s="5">
        <v>1</v>
      </c>
      <c r="G419" s="5">
        <v>46</v>
      </c>
      <c r="H419" s="5">
        <v>47</v>
      </c>
    </row>
    <row r="420" spans="1:8">
      <c r="A420" s="5">
        <v>418</v>
      </c>
      <c r="B420" s="5">
        <v>419</v>
      </c>
      <c r="C420" s="5">
        <v>0.303</v>
      </c>
      <c r="D420" s="5">
        <v>0.87</v>
      </c>
      <c r="E420" s="5">
        <v>0.0896</v>
      </c>
      <c r="F420" s="5">
        <v>5</v>
      </c>
      <c r="G420" s="5">
        <v>47</v>
      </c>
      <c r="H420" s="5">
        <v>52</v>
      </c>
    </row>
    <row r="421" spans="1:8">
      <c r="A421" s="5">
        <v>419</v>
      </c>
      <c r="B421" s="5">
        <v>420</v>
      </c>
      <c r="C421" s="5">
        <v>0.3182</v>
      </c>
      <c r="D421" s="5">
        <v>0.8100000000000001</v>
      </c>
      <c r="E421" s="5">
        <v>0.0896</v>
      </c>
      <c r="F421" s="5">
        <v>5</v>
      </c>
      <c r="G421" s="5">
        <v>65</v>
      </c>
      <c r="H421" s="5">
        <v>70</v>
      </c>
    </row>
    <row r="422" spans="1:8">
      <c r="A422" s="5">
        <v>420</v>
      </c>
      <c r="B422" s="5">
        <v>421</v>
      </c>
      <c r="C422" s="5">
        <v>0.4091</v>
      </c>
      <c r="D422" s="5">
        <v>0.62</v>
      </c>
      <c r="E422" s="5">
        <v>0.2836</v>
      </c>
      <c r="F422" s="5">
        <v>11</v>
      </c>
      <c r="G422" s="5">
        <v>67</v>
      </c>
      <c r="H422" s="5">
        <v>78</v>
      </c>
    </row>
    <row r="423" spans="1:8">
      <c r="A423" s="5">
        <v>421</v>
      </c>
      <c r="B423" s="5">
        <v>422</v>
      </c>
      <c r="C423" s="5">
        <v>0.4091</v>
      </c>
      <c r="D423" s="5">
        <v>0.58</v>
      </c>
      <c r="E423" s="5">
        <v>0.2537</v>
      </c>
      <c r="F423" s="5">
        <v>7</v>
      </c>
      <c r="G423" s="5">
        <v>68</v>
      </c>
      <c r="H423" s="5">
        <v>75</v>
      </c>
    </row>
    <row r="424" spans="1:8">
      <c r="A424" s="5">
        <v>422</v>
      </c>
      <c r="B424" s="5">
        <v>423</v>
      </c>
      <c r="C424" s="5">
        <v>0.4091</v>
      </c>
      <c r="D424" s="5">
        <v>0.54</v>
      </c>
      <c r="E424" s="5">
        <v>0.2836</v>
      </c>
      <c r="F424" s="5">
        <v>4</v>
      </c>
      <c r="G424" s="5">
        <v>78</v>
      </c>
      <c r="H424" s="5">
        <v>82</v>
      </c>
    </row>
    <row r="425" spans="1:8">
      <c r="A425" s="5">
        <v>423</v>
      </c>
      <c r="B425" s="5">
        <v>424</v>
      </c>
      <c r="C425" s="5">
        <v>0.3939</v>
      </c>
      <c r="D425" s="5">
        <v>0.58</v>
      </c>
      <c r="E425" s="5">
        <v>0.3881</v>
      </c>
      <c r="F425" s="5">
        <v>10</v>
      </c>
      <c r="G425" s="5">
        <v>94</v>
      </c>
      <c r="H425" s="5">
        <v>104</v>
      </c>
    </row>
    <row r="426" spans="1:8">
      <c r="A426" s="5">
        <v>424</v>
      </c>
      <c r="B426" s="5">
        <v>425</v>
      </c>
      <c r="C426" s="5">
        <v>0.3333</v>
      </c>
      <c r="D426" s="5">
        <v>0.57</v>
      </c>
      <c r="E426" s="5">
        <v>0.3284</v>
      </c>
      <c r="F426" s="5">
        <v>7</v>
      </c>
      <c r="G426" s="5">
        <v>190</v>
      </c>
      <c r="H426" s="5">
        <v>197</v>
      </c>
    </row>
    <row r="427" spans="1:8">
      <c r="A427" s="5">
        <v>425</v>
      </c>
      <c r="B427" s="5">
        <v>426</v>
      </c>
      <c r="C427" s="5">
        <v>0.3182</v>
      </c>
      <c r="D427" s="5">
        <v>0.61</v>
      </c>
      <c r="E427" s="5">
        <v>0.2836</v>
      </c>
      <c r="F427" s="5">
        <v>5</v>
      </c>
      <c r="G427" s="5">
        <v>156</v>
      </c>
      <c r="H427" s="5">
        <v>161</v>
      </c>
    </row>
    <row r="428" spans="1:8">
      <c r="A428" s="5">
        <v>426</v>
      </c>
      <c r="B428" s="5">
        <v>427</v>
      </c>
      <c r="C428" s="5">
        <v>0.2879</v>
      </c>
      <c r="D428" s="5">
        <v>0.57</v>
      </c>
      <c r="E428" s="5">
        <v>0.4179</v>
      </c>
      <c r="F428" s="5">
        <v>4</v>
      </c>
      <c r="G428" s="5">
        <v>108</v>
      </c>
      <c r="H428" s="5">
        <v>112</v>
      </c>
    </row>
    <row r="429" spans="1:8">
      <c r="A429" s="5">
        <v>427</v>
      </c>
      <c r="B429" s="5">
        <v>428</v>
      </c>
      <c r="C429" s="5">
        <v>0.303</v>
      </c>
      <c r="D429" s="5">
        <v>0.49</v>
      </c>
      <c r="E429" s="5">
        <v>0.2985</v>
      </c>
      <c r="F429" s="5">
        <v>2</v>
      </c>
      <c r="G429" s="5">
        <v>74</v>
      </c>
      <c r="H429" s="5">
        <v>76</v>
      </c>
    </row>
    <row r="430" spans="1:8">
      <c r="A430" s="5">
        <v>428</v>
      </c>
      <c r="B430" s="5">
        <v>429</v>
      </c>
      <c r="C430" s="5">
        <v>0.2879</v>
      </c>
      <c r="D430" s="5">
        <v>0.49</v>
      </c>
      <c r="E430" s="5">
        <v>0.4179</v>
      </c>
      <c r="F430" s="5">
        <v>4</v>
      </c>
      <c r="G430" s="5">
        <v>55</v>
      </c>
      <c r="H430" s="5">
        <v>59</v>
      </c>
    </row>
    <row r="431" spans="1:8">
      <c r="A431" s="5">
        <v>429</v>
      </c>
      <c r="B431" s="5">
        <v>430</v>
      </c>
      <c r="C431" s="5">
        <v>0.303</v>
      </c>
      <c r="D431" s="5">
        <v>0.52</v>
      </c>
      <c r="E431" s="5">
        <v>0.1642</v>
      </c>
      <c r="F431" s="5">
        <v>6</v>
      </c>
      <c r="G431" s="5">
        <v>53</v>
      </c>
      <c r="H431" s="5">
        <v>59</v>
      </c>
    </row>
    <row r="432" spans="1:8">
      <c r="A432" s="5">
        <v>430</v>
      </c>
      <c r="B432" s="5">
        <v>431</v>
      </c>
      <c r="C432" s="5">
        <v>0.2727</v>
      </c>
      <c r="D432" s="5">
        <v>0.52</v>
      </c>
      <c r="E432" s="5">
        <v>0.4627</v>
      </c>
      <c r="F432" s="5">
        <v>1</v>
      </c>
      <c r="G432" s="5">
        <v>27</v>
      </c>
      <c r="H432" s="5">
        <v>28</v>
      </c>
    </row>
    <row r="433" spans="1:8">
      <c r="A433" s="5">
        <v>431</v>
      </c>
      <c r="B433" s="5">
        <v>432</v>
      </c>
      <c r="C433" s="5">
        <v>0.2273</v>
      </c>
      <c r="D433" s="5">
        <v>0.5600000000000001</v>
      </c>
      <c r="E433" s="5">
        <v>0.3881</v>
      </c>
      <c r="F433" s="5">
        <v>5</v>
      </c>
      <c r="G433" s="5">
        <v>8</v>
      </c>
      <c r="H433" s="5">
        <v>13</v>
      </c>
    </row>
    <row r="434" spans="1:8">
      <c r="A434" s="5">
        <v>432</v>
      </c>
      <c r="B434" s="5">
        <v>433</v>
      </c>
      <c r="C434" s="5">
        <v>0.2727</v>
      </c>
      <c r="D434" s="5">
        <v>0.5600000000000001</v>
      </c>
      <c r="E434" s="5">
        <v>0</v>
      </c>
      <c r="F434" s="5">
        <v>2</v>
      </c>
      <c r="G434" s="5">
        <v>3</v>
      </c>
      <c r="H434" s="5">
        <v>5</v>
      </c>
    </row>
    <row r="435" spans="1:8">
      <c r="A435" s="5">
        <v>433</v>
      </c>
      <c r="B435" s="5">
        <v>434</v>
      </c>
      <c r="C435" s="5">
        <v>0.2727</v>
      </c>
      <c r="D435" s="5">
        <v>0.5600000000000001</v>
      </c>
      <c r="E435" s="5">
        <v>0</v>
      </c>
      <c r="F435" s="5">
        <v>0</v>
      </c>
      <c r="G435" s="5">
        <v>2</v>
      </c>
      <c r="H435" s="5">
        <v>2</v>
      </c>
    </row>
    <row r="436" spans="1:8">
      <c r="A436" s="5">
        <v>434</v>
      </c>
      <c r="B436" s="5">
        <v>435</v>
      </c>
      <c r="C436" s="5">
        <v>0.2576</v>
      </c>
      <c r="D436" s="5">
        <v>0.5600000000000001</v>
      </c>
      <c r="E436" s="5">
        <v>0.1642</v>
      </c>
      <c r="F436" s="5">
        <v>0</v>
      </c>
      <c r="G436" s="5">
        <v>1</v>
      </c>
      <c r="H436" s="5">
        <v>1</v>
      </c>
    </row>
    <row r="437" spans="1:8">
      <c r="A437" s="5">
        <v>435</v>
      </c>
      <c r="B437" s="5">
        <v>436</v>
      </c>
      <c r="C437" s="5">
        <v>0.2576</v>
      </c>
      <c r="D437" s="5">
        <v>0.5600000000000001</v>
      </c>
      <c r="E437" s="5">
        <v>0.1642</v>
      </c>
      <c r="F437" s="5">
        <v>0</v>
      </c>
      <c r="G437" s="5">
        <v>1</v>
      </c>
      <c r="H437" s="5">
        <v>1</v>
      </c>
    </row>
    <row r="438" spans="1:8">
      <c r="A438" s="5">
        <v>436</v>
      </c>
      <c r="B438" s="5">
        <v>437</v>
      </c>
      <c r="C438" s="5">
        <v>0.2273</v>
      </c>
      <c r="D438" s="5">
        <v>0.6</v>
      </c>
      <c r="E438" s="5">
        <v>0.2239</v>
      </c>
      <c r="F438" s="5">
        <v>0</v>
      </c>
      <c r="G438" s="5">
        <v>6</v>
      </c>
      <c r="H438" s="5">
        <v>6</v>
      </c>
    </row>
    <row r="439" spans="1:8">
      <c r="A439" s="5">
        <v>437</v>
      </c>
      <c r="B439" s="5">
        <v>438</v>
      </c>
      <c r="C439" s="5">
        <v>0.2121</v>
      </c>
      <c r="D439" s="5">
        <v>0.6</v>
      </c>
      <c r="E439" s="5">
        <v>0.2239</v>
      </c>
      <c r="F439" s="5">
        <v>0</v>
      </c>
      <c r="G439" s="5">
        <v>35</v>
      </c>
      <c r="H439" s="5">
        <v>35</v>
      </c>
    </row>
    <row r="440" spans="1:8">
      <c r="A440" s="5">
        <v>438</v>
      </c>
      <c r="B440" s="5">
        <v>439</v>
      </c>
      <c r="C440" s="5">
        <v>0.2121</v>
      </c>
      <c r="D440" s="5">
        <v>0.55</v>
      </c>
      <c r="E440" s="5">
        <v>0.2239</v>
      </c>
      <c r="F440" s="5">
        <v>1</v>
      </c>
      <c r="G440" s="5">
        <v>100</v>
      </c>
      <c r="H440" s="5">
        <v>101</v>
      </c>
    </row>
    <row r="441" spans="1:8">
      <c r="A441" s="5">
        <v>439</v>
      </c>
      <c r="B441" s="5">
        <v>440</v>
      </c>
      <c r="C441" s="5">
        <v>0.2121</v>
      </c>
      <c r="D441" s="5">
        <v>0.55</v>
      </c>
      <c r="E441" s="5">
        <v>0.2836</v>
      </c>
      <c r="F441" s="5">
        <v>2</v>
      </c>
      <c r="G441" s="5">
        <v>247</v>
      </c>
      <c r="H441" s="5">
        <v>249</v>
      </c>
    </row>
    <row r="442" spans="1:8">
      <c r="A442" s="5">
        <v>440</v>
      </c>
      <c r="B442" s="5">
        <v>441</v>
      </c>
      <c r="C442" s="5">
        <v>0.2273</v>
      </c>
      <c r="D442" s="5">
        <v>0.52</v>
      </c>
      <c r="E442" s="5">
        <v>0.2239</v>
      </c>
      <c r="F442" s="5">
        <v>3</v>
      </c>
      <c r="G442" s="5">
        <v>140</v>
      </c>
      <c r="H442" s="5">
        <v>143</v>
      </c>
    </row>
    <row r="443" spans="1:8">
      <c r="A443" s="5">
        <v>441</v>
      </c>
      <c r="B443" s="5">
        <v>442</v>
      </c>
      <c r="C443" s="5">
        <v>0.2273</v>
      </c>
      <c r="D443" s="5">
        <v>0.48</v>
      </c>
      <c r="E443" s="5">
        <v>0.2985</v>
      </c>
      <c r="F443" s="5">
        <v>1</v>
      </c>
      <c r="G443" s="5">
        <v>56</v>
      </c>
      <c r="H443" s="5">
        <v>57</v>
      </c>
    </row>
    <row r="444" spans="1:8">
      <c r="A444" s="5">
        <v>442</v>
      </c>
      <c r="B444" s="5">
        <v>443</v>
      </c>
      <c r="C444" s="5">
        <v>0.2727</v>
      </c>
      <c r="D444" s="5">
        <v>0.45</v>
      </c>
      <c r="E444" s="5">
        <v>0.1642</v>
      </c>
      <c r="F444" s="5">
        <v>5</v>
      </c>
      <c r="G444" s="5">
        <v>63</v>
      </c>
      <c r="H444" s="5">
        <v>68</v>
      </c>
    </row>
    <row r="445" spans="1:8">
      <c r="A445" s="5">
        <v>443</v>
      </c>
      <c r="B445" s="5">
        <v>444</v>
      </c>
      <c r="C445" s="5">
        <v>0.3333</v>
      </c>
      <c r="D445" s="5">
        <v>0.42</v>
      </c>
      <c r="E445" s="5">
        <v>0</v>
      </c>
      <c r="F445" s="5">
        <v>7</v>
      </c>
      <c r="G445" s="5">
        <v>77</v>
      </c>
      <c r="H445" s="5">
        <v>84</v>
      </c>
    </row>
    <row r="446" spans="1:8">
      <c r="A446" s="5">
        <v>444</v>
      </c>
      <c r="B446" s="5">
        <v>445</v>
      </c>
      <c r="C446" s="5">
        <v>0.2879</v>
      </c>
      <c r="D446" s="5">
        <v>0.45</v>
      </c>
      <c r="E446" s="5">
        <v>0.1045</v>
      </c>
      <c r="F446" s="5">
        <v>12</v>
      </c>
      <c r="G446" s="5">
        <v>86</v>
      </c>
      <c r="H446" s="5">
        <v>98</v>
      </c>
    </row>
    <row r="447" spans="1:8">
      <c r="A447" s="5">
        <v>445</v>
      </c>
      <c r="B447" s="5">
        <v>446</v>
      </c>
      <c r="C447" s="5">
        <v>0.303</v>
      </c>
      <c r="D447" s="5">
        <v>0.45</v>
      </c>
      <c r="E447" s="5">
        <v>0.1343</v>
      </c>
      <c r="F447" s="5">
        <v>6</v>
      </c>
      <c r="G447" s="5">
        <v>75</v>
      </c>
      <c r="H447" s="5">
        <v>81</v>
      </c>
    </row>
    <row r="448" spans="1:8">
      <c r="A448" s="5">
        <v>446</v>
      </c>
      <c r="B448" s="5">
        <v>447</v>
      </c>
      <c r="C448" s="5">
        <v>0.3182</v>
      </c>
      <c r="D448" s="5">
        <v>0.45</v>
      </c>
      <c r="E448" s="5">
        <v>0.194</v>
      </c>
      <c r="F448" s="5">
        <v>8</v>
      </c>
      <c r="G448" s="5">
        <v>62</v>
      </c>
      <c r="H448" s="5">
        <v>70</v>
      </c>
    </row>
    <row r="449" spans="1:8">
      <c r="A449" s="5">
        <v>447</v>
      </c>
      <c r="B449" s="5">
        <v>448</v>
      </c>
      <c r="C449" s="5">
        <v>0.303</v>
      </c>
      <c r="D449" s="5">
        <v>0.49</v>
      </c>
      <c r="E449" s="5">
        <v>0.1343</v>
      </c>
      <c r="F449" s="5">
        <v>8</v>
      </c>
      <c r="G449" s="5">
        <v>83</v>
      </c>
      <c r="H449" s="5">
        <v>91</v>
      </c>
    </row>
    <row r="450" spans="1:8">
      <c r="A450" s="5">
        <v>448</v>
      </c>
      <c r="B450" s="5">
        <v>449</v>
      </c>
      <c r="C450" s="5">
        <v>0.3182</v>
      </c>
      <c r="D450" s="5">
        <v>0.49</v>
      </c>
      <c r="E450" s="5">
        <v>0.1045</v>
      </c>
      <c r="F450" s="5">
        <v>8</v>
      </c>
      <c r="G450" s="5">
        <v>207</v>
      </c>
      <c r="H450" s="5">
        <v>215</v>
      </c>
    </row>
    <row r="451" spans="1:8">
      <c r="A451" s="5">
        <v>449</v>
      </c>
      <c r="B451" s="5">
        <v>450</v>
      </c>
      <c r="C451" s="5">
        <v>0.2576</v>
      </c>
      <c r="D451" s="5">
        <v>0.5600000000000001</v>
      </c>
      <c r="E451" s="5">
        <v>0.194</v>
      </c>
      <c r="F451" s="5">
        <v>1</v>
      </c>
      <c r="G451" s="5">
        <v>184</v>
      </c>
      <c r="H451" s="5">
        <v>185</v>
      </c>
    </row>
    <row r="452" spans="1:8">
      <c r="A452" s="5">
        <v>450</v>
      </c>
      <c r="B452" s="5">
        <v>451</v>
      </c>
      <c r="C452" s="5">
        <v>0.2273</v>
      </c>
      <c r="D452" s="5">
        <v>0.5600000000000001</v>
      </c>
      <c r="E452" s="5">
        <v>0.3284</v>
      </c>
      <c r="F452" s="5">
        <v>6</v>
      </c>
      <c r="G452" s="5">
        <v>146</v>
      </c>
      <c r="H452" s="5">
        <v>152</v>
      </c>
    </row>
    <row r="453" spans="1:8">
      <c r="A453" s="5">
        <v>451</v>
      </c>
      <c r="B453" s="5">
        <v>452</v>
      </c>
      <c r="C453" s="5">
        <v>0.2424</v>
      </c>
      <c r="D453" s="5">
        <v>0.6</v>
      </c>
      <c r="E453" s="5">
        <v>0.2836</v>
      </c>
      <c r="F453" s="5">
        <v>2</v>
      </c>
      <c r="G453" s="5">
        <v>124</v>
      </c>
      <c r="H453" s="5">
        <v>126</v>
      </c>
    </row>
    <row r="454" spans="1:8">
      <c r="A454" s="5">
        <v>452</v>
      </c>
      <c r="B454" s="5">
        <v>453</v>
      </c>
      <c r="C454" s="5">
        <v>0.2273</v>
      </c>
      <c r="D454" s="5">
        <v>0.6</v>
      </c>
      <c r="E454" s="5">
        <v>0.2537</v>
      </c>
      <c r="F454" s="5">
        <v>3</v>
      </c>
      <c r="G454" s="5">
        <v>54</v>
      </c>
      <c r="H454" s="5">
        <v>57</v>
      </c>
    </row>
    <row r="455" spans="1:8">
      <c r="A455" s="5">
        <v>453</v>
      </c>
      <c r="B455" s="5">
        <v>454</v>
      </c>
      <c r="C455" s="5">
        <v>0.2121</v>
      </c>
      <c r="D455" s="5">
        <v>0.65</v>
      </c>
      <c r="E455" s="5">
        <v>0.2836</v>
      </c>
      <c r="F455" s="5">
        <v>0</v>
      </c>
      <c r="G455" s="5">
        <v>56</v>
      </c>
      <c r="H455" s="5">
        <v>56</v>
      </c>
    </row>
    <row r="456" spans="1:8">
      <c r="A456" s="5">
        <v>454</v>
      </c>
      <c r="B456" s="5">
        <v>455</v>
      </c>
      <c r="C456" s="5">
        <v>0.2121</v>
      </c>
      <c r="D456" s="5">
        <v>0.65</v>
      </c>
      <c r="E456" s="5">
        <v>0.3284</v>
      </c>
      <c r="F456" s="5">
        <v>3</v>
      </c>
      <c r="G456" s="5">
        <v>28</v>
      </c>
      <c r="H456" s="5">
        <v>31</v>
      </c>
    </row>
    <row r="457" spans="1:8">
      <c r="A457" s="5">
        <v>455</v>
      </c>
      <c r="B457" s="5">
        <v>456</v>
      </c>
      <c r="C457" s="5">
        <v>0.2273</v>
      </c>
      <c r="D457" s="5">
        <v>0.7</v>
      </c>
      <c r="E457" s="5">
        <v>0.2537</v>
      </c>
      <c r="F457" s="5">
        <v>1</v>
      </c>
      <c r="G457" s="5">
        <v>20</v>
      </c>
      <c r="H457" s="5">
        <v>21</v>
      </c>
    </row>
    <row r="458" spans="1:8">
      <c r="A458" s="5">
        <v>456</v>
      </c>
      <c r="B458" s="5">
        <v>457</v>
      </c>
      <c r="C458" s="5">
        <v>0.2273</v>
      </c>
      <c r="D458" s="5">
        <v>0.7</v>
      </c>
      <c r="E458" s="5">
        <v>0.2537</v>
      </c>
      <c r="F458" s="5">
        <v>0</v>
      </c>
      <c r="G458" s="5">
        <v>6</v>
      </c>
      <c r="H458" s="5">
        <v>6</v>
      </c>
    </row>
    <row r="459" spans="1:8">
      <c r="A459" s="5">
        <v>457</v>
      </c>
      <c r="B459" s="5">
        <v>458</v>
      </c>
      <c r="C459" s="5">
        <v>0.2424</v>
      </c>
      <c r="D459" s="5">
        <v>0.75</v>
      </c>
      <c r="E459" s="5">
        <v>0.1642</v>
      </c>
      <c r="F459" s="5">
        <v>0</v>
      </c>
      <c r="G459" s="5">
        <v>2</v>
      </c>
      <c r="H459" s="5">
        <v>2</v>
      </c>
    </row>
    <row r="460" spans="1:8">
      <c r="A460" s="5">
        <v>458</v>
      </c>
      <c r="B460" s="5">
        <v>459</v>
      </c>
      <c r="C460" s="5">
        <v>0.2121</v>
      </c>
      <c r="D460" s="5">
        <v>0.8</v>
      </c>
      <c r="E460" s="5">
        <v>0.2985</v>
      </c>
      <c r="F460" s="5">
        <v>0</v>
      </c>
      <c r="G460" s="5">
        <v>1</v>
      </c>
      <c r="H460" s="5">
        <v>1</v>
      </c>
    </row>
    <row r="461" spans="1:8">
      <c r="A461" s="5">
        <v>459</v>
      </c>
      <c r="B461" s="5">
        <v>460</v>
      </c>
      <c r="C461" s="5">
        <v>0.2576</v>
      </c>
      <c r="D461" s="5">
        <v>0.87</v>
      </c>
      <c r="E461" s="5">
        <v>0.0896</v>
      </c>
      <c r="F461" s="5">
        <v>0</v>
      </c>
      <c r="G461" s="5">
        <v>1</v>
      </c>
      <c r="H461" s="5">
        <v>1</v>
      </c>
    </row>
    <row r="462" spans="1:8">
      <c r="A462" s="5">
        <v>460</v>
      </c>
      <c r="B462" s="5">
        <v>461</v>
      </c>
      <c r="C462" s="5">
        <v>0.197</v>
      </c>
      <c r="D462" s="5">
        <v>0.6</v>
      </c>
      <c r="E462" s="5">
        <v>0.4179</v>
      </c>
      <c r="F462" s="5">
        <v>1</v>
      </c>
      <c r="G462" s="5">
        <v>4</v>
      </c>
      <c r="H462" s="5">
        <v>5</v>
      </c>
    </row>
    <row r="463" spans="1:8">
      <c r="A463" s="5">
        <v>461</v>
      </c>
      <c r="B463" s="5">
        <v>462</v>
      </c>
      <c r="C463" s="5">
        <v>0.2121</v>
      </c>
      <c r="D463" s="5">
        <v>0.55</v>
      </c>
      <c r="E463" s="5">
        <v>0.2537</v>
      </c>
      <c r="F463" s="5">
        <v>0</v>
      </c>
      <c r="G463" s="5">
        <v>27</v>
      </c>
      <c r="H463" s="5">
        <v>27</v>
      </c>
    </row>
    <row r="464" spans="1:8">
      <c r="A464" s="5">
        <v>462</v>
      </c>
      <c r="B464" s="5">
        <v>463</v>
      </c>
      <c r="C464" s="5">
        <v>0.1818</v>
      </c>
      <c r="D464" s="5">
        <v>0.51</v>
      </c>
      <c r="E464" s="5">
        <v>0.2836</v>
      </c>
      <c r="F464" s="5">
        <v>2</v>
      </c>
      <c r="G464" s="5">
        <v>66</v>
      </c>
      <c r="H464" s="5">
        <v>68</v>
      </c>
    </row>
    <row r="465" spans="1:8">
      <c r="A465" s="5">
        <v>463</v>
      </c>
      <c r="B465" s="5">
        <v>464</v>
      </c>
      <c r="C465" s="5">
        <v>0.1818</v>
      </c>
      <c r="D465" s="5">
        <v>0.47</v>
      </c>
      <c r="E465" s="5">
        <v>0.3284</v>
      </c>
      <c r="F465" s="5">
        <v>7</v>
      </c>
      <c r="G465" s="5">
        <v>210</v>
      </c>
      <c r="H465" s="5">
        <v>217</v>
      </c>
    </row>
    <row r="466" spans="1:8">
      <c r="A466" s="5">
        <v>464</v>
      </c>
      <c r="B466" s="5">
        <v>465</v>
      </c>
      <c r="C466" s="5">
        <v>0.1818</v>
      </c>
      <c r="D466" s="5">
        <v>0.51</v>
      </c>
      <c r="E466" s="5">
        <v>0.3582</v>
      </c>
      <c r="F466" s="5">
        <v>7</v>
      </c>
      <c r="G466" s="5">
        <v>159</v>
      </c>
      <c r="H466" s="5">
        <v>166</v>
      </c>
    </row>
    <row r="467" spans="1:8">
      <c r="A467" s="5">
        <v>465</v>
      </c>
      <c r="B467" s="5">
        <v>466</v>
      </c>
      <c r="C467" s="5">
        <v>0.1667</v>
      </c>
      <c r="D467" s="5">
        <v>0.47</v>
      </c>
      <c r="E467" s="5">
        <v>0.4627</v>
      </c>
      <c r="F467" s="5">
        <v>6</v>
      </c>
      <c r="G467" s="5">
        <v>57</v>
      </c>
      <c r="H467" s="5">
        <v>63</v>
      </c>
    </row>
    <row r="468" spans="1:8">
      <c r="A468" s="5">
        <v>466</v>
      </c>
      <c r="B468" s="5">
        <v>467</v>
      </c>
      <c r="C468" s="5">
        <v>0.1818</v>
      </c>
      <c r="D468" s="5">
        <v>0.41</v>
      </c>
      <c r="E468" s="5">
        <v>0.4627</v>
      </c>
      <c r="F468" s="5">
        <v>6</v>
      </c>
      <c r="G468" s="5">
        <v>53</v>
      </c>
      <c r="H468" s="5">
        <v>59</v>
      </c>
    </row>
    <row r="469" spans="1:8">
      <c r="A469" s="5">
        <v>467</v>
      </c>
      <c r="B469" s="5">
        <v>468</v>
      </c>
      <c r="C469" s="5">
        <v>0.1818</v>
      </c>
      <c r="D469" s="5">
        <v>0.27</v>
      </c>
      <c r="E469" s="5">
        <v>0.5821</v>
      </c>
      <c r="F469" s="5">
        <v>11</v>
      </c>
      <c r="G469" s="5">
        <v>67</v>
      </c>
      <c r="H469" s="5">
        <v>78</v>
      </c>
    </row>
    <row r="470" spans="1:8">
      <c r="A470" s="5">
        <v>468</v>
      </c>
      <c r="B470" s="5">
        <v>469</v>
      </c>
      <c r="C470" s="5">
        <v>0.1515</v>
      </c>
      <c r="D470" s="5">
        <v>0.21</v>
      </c>
      <c r="E470" s="5">
        <v>0.5821</v>
      </c>
      <c r="F470" s="5">
        <v>8</v>
      </c>
      <c r="G470" s="5">
        <v>65</v>
      </c>
      <c r="H470" s="5">
        <v>73</v>
      </c>
    </row>
    <row r="471" spans="1:8">
      <c r="A471" s="5">
        <v>469</v>
      </c>
      <c r="B471" s="5">
        <v>470</v>
      </c>
      <c r="C471" s="5">
        <v>0.1515</v>
      </c>
      <c r="D471" s="5">
        <v>0.25</v>
      </c>
      <c r="E471" s="5">
        <v>0.5224</v>
      </c>
      <c r="F471" s="5">
        <v>6</v>
      </c>
      <c r="G471" s="5">
        <v>56</v>
      </c>
      <c r="H471" s="5">
        <v>62</v>
      </c>
    </row>
    <row r="472" spans="1:8">
      <c r="A472" s="5">
        <v>470</v>
      </c>
      <c r="B472" s="5">
        <v>471</v>
      </c>
      <c r="C472" s="5">
        <v>0.1212</v>
      </c>
      <c r="D472" s="5">
        <v>0.26</v>
      </c>
      <c r="E472" s="5">
        <v>0.4478</v>
      </c>
      <c r="F472" s="5">
        <v>4</v>
      </c>
      <c r="G472" s="5">
        <v>61</v>
      </c>
      <c r="H472" s="5">
        <v>65</v>
      </c>
    </row>
    <row r="473" spans="1:8">
      <c r="A473" s="5">
        <v>471</v>
      </c>
      <c r="B473" s="5">
        <v>472</v>
      </c>
      <c r="C473" s="5">
        <v>0.1364</v>
      </c>
      <c r="D473" s="5">
        <v>0.26</v>
      </c>
      <c r="E473" s="5">
        <v>0.3582</v>
      </c>
      <c r="F473" s="5">
        <v>0</v>
      </c>
      <c r="G473" s="5">
        <v>97</v>
      </c>
      <c r="H473" s="5">
        <v>97</v>
      </c>
    </row>
    <row r="474" spans="1:8">
      <c r="A474" s="5">
        <v>472</v>
      </c>
      <c r="B474" s="5">
        <v>473</v>
      </c>
      <c r="C474" s="5">
        <v>0.1212</v>
      </c>
      <c r="D474" s="5">
        <v>0.28</v>
      </c>
      <c r="E474" s="5">
        <v>0.3582</v>
      </c>
      <c r="F474" s="5">
        <v>10</v>
      </c>
      <c r="G474" s="5">
        <v>151</v>
      </c>
      <c r="H474" s="5">
        <v>161</v>
      </c>
    </row>
    <row r="475" spans="1:8">
      <c r="A475" s="5">
        <v>473</v>
      </c>
      <c r="B475" s="5">
        <v>474</v>
      </c>
      <c r="C475" s="5">
        <v>0.1212</v>
      </c>
      <c r="D475" s="5">
        <v>0.3</v>
      </c>
      <c r="E475" s="5">
        <v>0.2537</v>
      </c>
      <c r="F475" s="5">
        <v>1</v>
      </c>
      <c r="G475" s="5">
        <v>119</v>
      </c>
      <c r="H475" s="5">
        <v>120</v>
      </c>
    </row>
    <row r="476" spans="1:8">
      <c r="A476" s="5">
        <v>474</v>
      </c>
      <c r="B476" s="5">
        <v>475</v>
      </c>
      <c r="C476" s="5">
        <v>0.1061</v>
      </c>
      <c r="D476" s="5">
        <v>0.3</v>
      </c>
      <c r="E476" s="5">
        <v>0.3284</v>
      </c>
      <c r="F476" s="5">
        <v>3</v>
      </c>
      <c r="G476" s="5">
        <v>93</v>
      </c>
      <c r="H476" s="5">
        <v>96</v>
      </c>
    </row>
    <row r="477" spans="1:8">
      <c r="A477" s="5">
        <v>475</v>
      </c>
      <c r="B477" s="5">
        <v>476</v>
      </c>
      <c r="C477" s="5">
        <v>0.07580000000000001</v>
      </c>
      <c r="D477" s="5">
        <v>0.33</v>
      </c>
      <c r="E477" s="5">
        <v>0.4179</v>
      </c>
      <c r="F477" s="5">
        <v>1</v>
      </c>
      <c r="G477" s="5">
        <v>52</v>
      </c>
      <c r="H477" s="5">
        <v>53</v>
      </c>
    </row>
    <row r="478" spans="1:8">
      <c r="A478" s="5">
        <v>476</v>
      </c>
      <c r="B478" s="5">
        <v>477</v>
      </c>
      <c r="C478" s="5">
        <v>0.07580000000000001</v>
      </c>
      <c r="D478" s="5">
        <v>0.38</v>
      </c>
      <c r="E478" s="5">
        <v>0.2836</v>
      </c>
      <c r="F478" s="5">
        <v>0</v>
      </c>
      <c r="G478" s="5">
        <v>41</v>
      </c>
      <c r="H478" s="5">
        <v>41</v>
      </c>
    </row>
    <row r="479" spans="1:8">
      <c r="A479" s="5">
        <v>477</v>
      </c>
      <c r="B479" s="5">
        <v>478</v>
      </c>
      <c r="C479" s="5">
        <v>0.0303</v>
      </c>
      <c r="D479" s="5">
        <v>0.41</v>
      </c>
      <c r="E479" s="5">
        <v>0.3881</v>
      </c>
      <c r="F479" s="5">
        <v>1</v>
      </c>
      <c r="G479" s="5">
        <v>33</v>
      </c>
      <c r="H479" s="5">
        <v>34</v>
      </c>
    </row>
    <row r="480" spans="1:8">
      <c r="A480" s="5">
        <v>478</v>
      </c>
      <c r="B480" s="5">
        <v>479</v>
      </c>
      <c r="C480" s="5">
        <v>0.0455</v>
      </c>
      <c r="D480" s="5">
        <v>0.38</v>
      </c>
      <c r="E480" s="5">
        <v>0.3284</v>
      </c>
      <c r="F480" s="5">
        <v>0</v>
      </c>
      <c r="G480" s="5">
        <v>27</v>
      </c>
      <c r="H480" s="5">
        <v>27</v>
      </c>
    </row>
    <row r="481" spans="1:8">
      <c r="A481" s="5">
        <v>479</v>
      </c>
      <c r="B481" s="5">
        <v>480</v>
      </c>
      <c r="C481" s="5">
        <v>0.0303</v>
      </c>
      <c r="D481" s="5">
        <v>0.45</v>
      </c>
      <c r="E481" s="5">
        <v>0.2537</v>
      </c>
      <c r="F481" s="5">
        <v>0</v>
      </c>
      <c r="G481" s="5">
        <v>13</v>
      </c>
      <c r="H481" s="5">
        <v>13</v>
      </c>
    </row>
    <row r="482" spans="1:8">
      <c r="A482" s="5">
        <v>480</v>
      </c>
      <c r="B482" s="5">
        <v>481</v>
      </c>
      <c r="C482" s="5">
        <v>0</v>
      </c>
      <c r="D482" s="5">
        <v>0.41</v>
      </c>
      <c r="E482" s="5">
        <v>0.3881</v>
      </c>
      <c r="F482" s="5">
        <v>3</v>
      </c>
      <c r="G482" s="5">
        <v>9</v>
      </c>
      <c r="H482" s="5">
        <v>12</v>
      </c>
    </row>
    <row r="483" spans="1:8">
      <c r="A483" s="5">
        <v>481</v>
      </c>
      <c r="B483" s="5">
        <v>482</v>
      </c>
      <c r="C483" s="5">
        <v>0.0303</v>
      </c>
      <c r="D483" s="5">
        <v>0.41</v>
      </c>
      <c r="E483" s="5">
        <v>0.2537</v>
      </c>
      <c r="F483" s="5">
        <v>0</v>
      </c>
      <c r="G483" s="5">
        <v>11</v>
      </c>
      <c r="H483" s="5">
        <v>11</v>
      </c>
    </row>
    <row r="484" spans="1:8">
      <c r="A484" s="5">
        <v>482</v>
      </c>
      <c r="B484" s="5">
        <v>483</v>
      </c>
      <c r="C484" s="5">
        <v>0.0303</v>
      </c>
      <c r="D484" s="5">
        <v>0.41</v>
      </c>
      <c r="E484" s="5">
        <v>0.2836</v>
      </c>
      <c r="F484" s="5">
        <v>1</v>
      </c>
      <c r="G484" s="5">
        <v>6</v>
      </c>
      <c r="H484" s="5">
        <v>7</v>
      </c>
    </row>
    <row r="485" spans="1:8">
      <c r="A485" s="5">
        <v>483</v>
      </c>
      <c r="B485" s="5">
        <v>484</v>
      </c>
      <c r="C485" s="5">
        <v>0.0152</v>
      </c>
      <c r="D485" s="5">
        <v>0.48</v>
      </c>
      <c r="E485" s="5">
        <v>0.2985</v>
      </c>
      <c r="F485" s="5">
        <v>0</v>
      </c>
      <c r="G485" s="5">
        <v>3</v>
      </c>
      <c r="H485" s="5">
        <v>3</v>
      </c>
    </row>
    <row r="486" spans="1:8">
      <c r="A486" s="5">
        <v>484</v>
      </c>
      <c r="B486" s="5">
        <v>485</v>
      </c>
      <c r="C486" s="5">
        <v>0.0303</v>
      </c>
      <c r="D486" s="5">
        <v>0.44</v>
      </c>
      <c r="E486" s="5">
        <v>0.2239</v>
      </c>
      <c r="F486" s="5">
        <v>0</v>
      </c>
      <c r="G486" s="5">
        <v>2</v>
      </c>
      <c r="H486" s="5">
        <v>2</v>
      </c>
    </row>
    <row r="487" spans="1:8">
      <c r="A487" s="5">
        <v>485</v>
      </c>
      <c r="B487" s="5">
        <v>486</v>
      </c>
      <c r="C487" s="5">
        <v>0.0152</v>
      </c>
      <c r="D487" s="5">
        <v>0.44</v>
      </c>
      <c r="E487" s="5">
        <v>0.2836</v>
      </c>
      <c r="F487" s="5">
        <v>0</v>
      </c>
      <c r="G487" s="5">
        <v>8</v>
      </c>
      <c r="H487" s="5">
        <v>8</v>
      </c>
    </row>
    <row r="488" spans="1:8">
      <c r="A488" s="5">
        <v>486</v>
      </c>
      <c r="B488" s="5">
        <v>487</v>
      </c>
      <c r="C488" s="5">
        <v>0</v>
      </c>
      <c r="D488" s="5">
        <v>0.44</v>
      </c>
      <c r="E488" s="5">
        <v>0.3284</v>
      </c>
      <c r="F488" s="5">
        <v>1</v>
      </c>
      <c r="G488" s="5">
        <v>26</v>
      </c>
      <c r="H488" s="5">
        <v>27</v>
      </c>
    </row>
    <row r="489" spans="1:8">
      <c r="A489" s="5">
        <v>487</v>
      </c>
      <c r="B489" s="5">
        <v>488</v>
      </c>
      <c r="C489" s="5">
        <v>0.0303</v>
      </c>
      <c r="D489" s="5">
        <v>0.41</v>
      </c>
      <c r="E489" s="5">
        <v>0.2537</v>
      </c>
      <c r="F489" s="5">
        <v>3</v>
      </c>
      <c r="G489" s="5">
        <v>37</v>
      </c>
      <c r="H489" s="5">
        <v>40</v>
      </c>
    </row>
    <row r="490" spans="1:8">
      <c r="A490" s="5">
        <v>488</v>
      </c>
      <c r="B490" s="5">
        <v>489</v>
      </c>
      <c r="C490" s="5">
        <v>0.0606</v>
      </c>
      <c r="D490" s="5">
        <v>0.41</v>
      </c>
      <c r="E490" s="5">
        <v>0.1642</v>
      </c>
      <c r="F490" s="5">
        <v>3</v>
      </c>
      <c r="G490" s="5">
        <v>50</v>
      </c>
      <c r="H490" s="5">
        <v>53</v>
      </c>
    </row>
    <row r="491" spans="1:8">
      <c r="A491" s="5">
        <v>489</v>
      </c>
      <c r="B491" s="5">
        <v>490</v>
      </c>
      <c r="C491" s="5">
        <v>0.07580000000000001</v>
      </c>
      <c r="D491" s="5">
        <v>0.38</v>
      </c>
      <c r="E491" s="5">
        <v>0.1343</v>
      </c>
      <c r="F491" s="5">
        <v>4</v>
      </c>
      <c r="G491" s="5">
        <v>59</v>
      </c>
      <c r="H491" s="5">
        <v>63</v>
      </c>
    </row>
    <row r="492" spans="1:8">
      <c r="A492" s="5">
        <v>490</v>
      </c>
      <c r="B492" s="5">
        <v>491</v>
      </c>
      <c r="C492" s="5">
        <v>0.1061</v>
      </c>
      <c r="D492" s="5">
        <v>0.38</v>
      </c>
      <c r="E492" s="5">
        <v>0.1045</v>
      </c>
      <c r="F492" s="5">
        <v>10</v>
      </c>
      <c r="G492" s="5">
        <v>60</v>
      </c>
      <c r="H492" s="5">
        <v>70</v>
      </c>
    </row>
    <row r="493" spans="1:8">
      <c r="A493" s="5">
        <v>491</v>
      </c>
      <c r="B493" s="5">
        <v>492</v>
      </c>
      <c r="C493" s="5">
        <v>0.1667</v>
      </c>
      <c r="D493" s="5">
        <v>0.35</v>
      </c>
      <c r="E493" s="5">
        <v>0</v>
      </c>
      <c r="F493" s="5">
        <v>12</v>
      </c>
      <c r="G493" s="5">
        <v>72</v>
      </c>
      <c r="H493" s="5">
        <v>84</v>
      </c>
    </row>
    <row r="494" spans="1:8">
      <c r="A494" s="5">
        <v>492</v>
      </c>
      <c r="B494" s="5">
        <v>493</v>
      </c>
      <c r="C494" s="5">
        <v>0.1364</v>
      </c>
      <c r="D494" s="5">
        <v>0.33</v>
      </c>
      <c r="E494" s="5">
        <v>0.1045</v>
      </c>
      <c r="F494" s="5">
        <v>11</v>
      </c>
      <c r="G494" s="5">
        <v>64</v>
      </c>
      <c r="H494" s="5">
        <v>75</v>
      </c>
    </row>
    <row r="495" spans="1:8">
      <c r="A495" s="5">
        <v>493</v>
      </c>
      <c r="B495" s="5">
        <v>494</v>
      </c>
      <c r="C495" s="5">
        <v>0.1515</v>
      </c>
      <c r="D495" s="5">
        <v>0.28</v>
      </c>
      <c r="E495" s="5">
        <v>0</v>
      </c>
      <c r="F495" s="5">
        <v>10</v>
      </c>
      <c r="G495" s="5">
        <v>93</v>
      </c>
      <c r="H495" s="5">
        <v>103</v>
      </c>
    </row>
    <row r="496" spans="1:8">
      <c r="A496" s="5">
        <v>494</v>
      </c>
      <c r="B496" s="5">
        <v>495</v>
      </c>
      <c r="C496" s="5">
        <v>0.1364</v>
      </c>
      <c r="D496" s="5">
        <v>0.28</v>
      </c>
      <c r="E496" s="5">
        <v>0.194</v>
      </c>
      <c r="F496" s="5">
        <v>11</v>
      </c>
      <c r="G496" s="5">
        <v>72</v>
      </c>
      <c r="H496" s="5">
        <v>83</v>
      </c>
    </row>
    <row r="497" spans="1:8">
      <c r="A497" s="5">
        <v>495</v>
      </c>
      <c r="B497" s="5">
        <v>496</v>
      </c>
      <c r="C497" s="5">
        <v>0.197</v>
      </c>
      <c r="D497" s="5">
        <v>0.28</v>
      </c>
      <c r="E497" s="5">
        <v>0</v>
      </c>
      <c r="F497" s="5">
        <v>8</v>
      </c>
      <c r="G497" s="5">
        <v>59</v>
      </c>
      <c r="H497" s="5">
        <v>67</v>
      </c>
    </row>
    <row r="498" spans="1:8">
      <c r="A498" s="5">
        <v>496</v>
      </c>
      <c r="B498" s="5">
        <v>497</v>
      </c>
      <c r="C498" s="5">
        <v>0.09089999999999999</v>
      </c>
      <c r="D498" s="5">
        <v>0.35</v>
      </c>
      <c r="E498" s="5">
        <v>0.194</v>
      </c>
      <c r="F498" s="5">
        <v>0</v>
      </c>
      <c r="G498" s="5">
        <v>54</v>
      </c>
      <c r="H498" s="5">
        <v>54</v>
      </c>
    </row>
    <row r="499" spans="1:8">
      <c r="A499" s="5">
        <v>497</v>
      </c>
      <c r="B499" s="5">
        <v>498</v>
      </c>
      <c r="C499" s="5">
        <v>0.1061</v>
      </c>
      <c r="D499" s="5">
        <v>0.35</v>
      </c>
      <c r="E499" s="5">
        <v>0.1343</v>
      </c>
      <c r="F499" s="5">
        <v>6</v>
      </c>
      <c r="G499" s="5">
        <v>53</v>
      </c>
      <c r="H499" s="5">
        <v>59</v>
      </c>
    </row>
    <row r="500" spans="1:8">
      <c r="A500" s="5">
        <v>498</v>
      </c>
      <c r="B500" s="5">
        <v>499</v>
      </c>
      <c r="C500" s="5">
        <v>0.07580000000000001</v>
      </c>
      <c r="D500" s="5">
        <v>0.45</v>
      </c>
      <c r="E500" s="5">
        <v>0.1642</v>
      </c>
      <c r="F500" s="5">
        <v>1</v>
      </c>
      <c r="G500" s="5">
        <v>44</v>
      </c>
      <c r="H500" s="5">
        <v>45</v>
      </c>
    </row>
    <row r="501" spans="1:8">
      <c r="A501" s="5">
        <v>499</v>
      </c>
      <c r="B501" s="5">
        <v>500</v>
      </c>
      <c r="C501" s="5">
        <v>0.1061</v>
      </c>
      <c r="D501" s="5">
        <v>0.41</v>
      </c>
      <c r="E501" s="5">
        <v>0.0896</v>
      </c>
      <c r="F501" s="5">
        <v>0</v>
      </c>
      <c r="G501" s="5">
        <v>39</v>
      </c>
      <c r="H501" s="5">
        <v>39</v>
      </c>
    </row>
    <row r="502" spans="1:8">
      <c r="A502" s="5">
        <v>500</v>
      </c>
      <c r="B502" s="5">
        <v>501</v>
      </c>
      <c r="C502" s="5">
        <v>0.1515</v>
      </c>
      <c r="D502" s="5">
        <v>0.49</v>
      </c>
      <c r="E502" s="5">
        <v>0</v>
      </c>
      <c r="F502" s="5">
        <v>7</v>
      </c>
      <c r="G502" s="5">
        <v>23</v>
      </c>
      <c r="H502" s="5">
        <v>30</v>
      </c>
    </row>
    <row r="503" spans="1:8">
      <c r="A503" s="5">
        <v>501</v>
      </c>
      <c r="B503" s="5">
        <v>502</v>
      </c>
      <c r="C503" s="5">
        <v>0.07580000000000001</v>
      </c>
      <c r="D503" s="5">
        <v>0.57</v>
      </c>
      <c r="E503" s="5">
        <v>0.1045</v>
      </c>
      <c r="F503" s="5">
        <v>2</v>
      </c>
      <c r="G503" s="5">
        <v>31</v>
      </c>
      <c r="H503" s="5">
        <v>33</v>
      </c>
    </row>
    <row r="504" spans="1:8">
      <c r="A504" s="5">
        <v>502</v>
      </c>
      <c r="B504" s="5">
        <v>503</v>
      </c>
      <c r="C504" s="5">
        <v>0.07580000000000001</v>
      </c>
      <c r="D504" s="5">
        <v>0.57</v>
      </c>
      <c r="E504" s="5">
        <v>0.1045</v>
      </c>
      <c r="F504" s="5">
        <v>2</v>
      </c>
      <c r="G504" s="5">
        <v>20</v>
      </c>
      <c r="H504" s="5">
        <v>22</v>
      </c>
    </row>
    <row r="505" spans="1:8">
      <c r="A505" s="5">
        <v>503</v>
      </c>
      <c r="B505" s="5">
        <v>504</v>
      </c>
      <c r="C505" s="5">
        <v>0.07580000000000001</v>
      </c>
      <c r="D505" s="5">
        <v>0.57</v>
      </c>
      <c r="E505" s="5">
        <v>0.1045</v>
      </c>
      <c r="F505" s="5">
        <v>1</v>
      </c>
      <c r="G505" s="5">
        <v>12</v>
      </c>
      <c r="H505" s="5">
        <v>13</v>
      </c>
    </row>
    <row r="506" spans="1:8">
      <c r="A506" s="5">
        <v>504</v>
      </c>
      <c r="B506" s="5">
        <v>505</v>
      </c>
      <c r="C506" s="5">
        <v>0.0606</v>
      </c>
      <c r="D506" s="5">
        <v>0.62</v>
      </c>
      <c r="E506" s="5">
        <v>0.1343</v>
      </c>
      <c r="F506" s="5">
        <v>3</v>
      </c>
      <c r="G506" s="5">
        <v>15</v>
      </c>
      <c r="H506" s="5">
        <v>18</v>
      </c>
    </row>
    <row r="507" spans="1:8">
      <c r="A507" s="5">
        <v>505</v>
      </c>
      <c r="B507" s="5">
        <v>506</v>
      </c>
      <c r="C507" s="5">
        <v>0.0606</v>
      </c>
      <c r="D507" s="5">
        <v>0.62</v>
      </c>
      <c r="E507" s="5">
        <v>0.1343</v>
      </c>
      <c r="F507" s="5">
        <v>1</v>
      </c>
      <c r="G507" s="5">
        <v>4</v>
      </c>
      <c r="H507" s="5">
        <v>5</v>
      </c>
    </row>
    <row r="508" spans="1:8">
      <c r="A508" s="5">
        <v>506</v>
      </c>
      <c r="B508" s="5">
        <v>507</v>
      </c>
      <c r="C508" s="5">
        <v>0.07580000000000001</v>
      </c>
      <c r="D508" s="5">
        <v>0.57</v>
      </c>
      <c r="E508" s="5">
        <v>0.1045</v>
      </c>
      <c r="F508" s="5">
        <v>0</v>
      </c>
      <c r="G508" s="5">
        <v>3</v>
      </c>
      <c r="H508" s="5">
        <v>3</v>
      </c>
    </row>
    <row r="509" spans="1:8">
      <c r="A509" s="5">
        <v>507</v>
      </c>
      <c r="B509" s="5">
        <v>508</v>
      </c>
      <c r="C509" s="5">
        <v>0.07580000000000001</v>
      </c>
      <c r="D509" s="5">
        <v>0.57</v>
      </c>
      <c r="E509" s="5">
        <v>0.1045</v>
      </c>
      <c r="F509" s="5">
        <v>0</v>
      </c>
      <c r="G509" s="5">
        <v>1</v>
      </c>
      <c r="H509" s="5">
        <v>1</v>
      </c>
    </row>
    <row r="510" spans="1:8">
      <c r="A510" s="5">
        <v>508</v>
      </c>
      <c r="B510" s="5">
        <v>509</v>
      </c>
      <c r="C510" s="5">
        <v>0.1061</v>
      </c>
      <c r="D510" s="5">
        <v>0.58</v>
      </c>
      <c r="E510" s="5">
        <v>0.1642</v>
      </c>
      <c r="F510" s="5">
        <v>1</v>
      </c>
      <c r="G510" s="5">
        <v>1</v>
      </c>
      <c r="H510" s="5">
        <v>2</v>
      </c>
    </row>
    <row r="511" spans="1:8">
      <c r="A511" s="5">
        <v>509</v>
      </c>
      <c r="B511" s="5">
        <v>510</v>
      </c>
      <c r="C511" s="5">
        <v>0.07580000000000001</v>
      </c>
      <c r="D511" s="5">
        <v>0.62</v>
      </c>
      <c r="E511" s="5">
        <v>0.1642</v>
      </c>
      <c r="F511" s="5">
        <v>2</v>
      </c>
      <c r="G511" s="5">
        <v>17</v>
      </c>
      <c r="H511" s="5">
        <v>19</v>
      </c>
    </row>
    <row r="512" spans="1:8">
      <c r="A512" s="5">
        <v>510</v>
      </c>
      <c r="B512" s="5">
        <v>511</v>
      </c>
      <c r="C512" s="5">
        <v>0.07580000000000001</v>
      </c>
      <c r="D512" s="5">
        <v>0.54</v>
      </c>
      <c r="E512" s="5">
        <v>0.3582</v>
      </c>
      <c r="F512" s="5">
        <v>3</v>
      </c>
      <c r="G512" s="5">
        <v>25</v>
      </c>
      <c r="H512" s="5">
        <v>28</v>
      </c>
    </row>
    <row r="513" spans="1:8">
      <c r="A513" s="5">
        <v>511</v>
      </c>
      <c r="B513" s="5">
        <v>512</v>
      </c>
      <c r="C513" s="5">
        <v>0.1061</v>
      </c>
      <c r="D513" s="5">
        <v>0.46</v>
      </c>
      <c r="E513" s="5">
        <v>0.3881</v>
      </c>
      <c r="F513" s="5">
        <v>7</v>
      </c>
      <c r="G513" s="5">
        <v>51</v>
      </c>
      <c r="H513" s="5">
        <v>58</v>
      </c>
    </row>
    <row r="514" spans="1:8">
      <c r="A514" s="5">
        <v>512</v>
      </c>
      <c r="B514" s="5">
        <v>513</v>
      </c>
      <c r="C514" s="5">
        <v>0.1364</v>
      </c>
      <c r="D514" s="5">
        <v>0.43</v>
      </c>
      <c r="E514" s="5">
        <v>0.2239</v>
      </c>
      <c r="F514" s="5">
        <v>22</v>
      </c>
      <c r="G514" s="5">
        <v>77</v>
      </c>
      <c r="H514" s="5">
        <v>99</v>
      </c>
    </row>
    <row r="515" spans="1:8">
      <c r="A515" s="5">
        <v>513</v>
      </c>
      <c r="B515" s="5">
        <v>514</v>
      </c>
      <c r="C515" s="5">
        <v>0.1212</v>
      </c>
      <c r="D515" s="5">
        <v>0.37</v>
      </c>
      <c r="E515" s="5">
        <v>0.4627</v>
      </c>
      <c r="F515" s="5">
        <v>24</v>
      </c>
      <c r="G515" s="5">
        <v>92</v>
      </c>
      <c r="H515" s="5">
        <v>116</v>
      </c>
    </row>
    <row r="516" spans="1:8">
      <c r="A516" s="5">
        <v>514</v>
      </c>
      <c r="B516" s="5">
        <v>515</v>
      </c>
      <c r="C516" s="5">
        <v>0.1061</v>
      </c>
      <c r="D516" s="5">
        <v>0.33</v>
      </c>
      <c r="E516" s="5">
        <v>0.3881</v>
      </c>
      <c r="F516" s="5">
        <v>12</v>
      </c>
      <c r="G516" s="5">
        <v>75</v>
      </c>
      <c r="H516" s="5">
        <v>87</v>
      </c>
    </row>
    <row r="517" spans="1:8">
      <c r="A517" s="5">
        <v>515</v>
      </c>
      <c r="B517" s="5">
        <v>516</v>
      </c>
      <c r="C517" s="5">
        <v>0.1364</v>
      </c>
      <c r="D517" s="5">
        <v>0.28</v>
      </c>
      <c r="E517" s="5">
        <v>0.3582</v>
      </c>
      <c r="F517" s="5">
        <v>17</v>
      </c>
      <c r="G517" s="5">
        <v>93</v>
      </c>
      <c r="H517" s="5">
        <v>110</v>
      </c>
    </row>
    <row r="518" spans="1:8">
      <c r="A518" s="5">
        <v>516</v>
      </c>
      <c r="B518" s="5">
        <v>517</v>
      </c>
      <c r="C518" s="5">
        <v>0.1364</v>
      </c>
      <c r="D518" s="5">
        <v>0.28</v>
      </c>
      <c r="E518" s="5">
        <v>0.3582</v>
      </c>
      <c r="F518" s="5">
        <v>13</v>
      </c>
      <c r="G518" s="5">
        <v>64</v>
      </c>
      <c r="H518" s="5">
        <v>77</v>
      </c>
    </row>
    <row r="519" spans="1:8">
      <c r="A519" s="5">
        <v>517</v>
      </c>
      <c r="B519" s="5">
        <v>518</v>
      </c>
      <c r="C519" s="5">
        <v>0.1364</v>
      </c>
      <c r="D519" s="5">
        <v>0.26</v>
      </c>
      <c r="E519" s="5">
        <v>0.3284</v>
      </c>
      <c r="F519" s="5">
        <v>9</v>
      </c>
      <c r="G519" s="5">
        <v>56</v>
      </c>
      <c r="H519" s="5">
        <v>65</v>
      </c>
    </row>
    <row r="520" spans="1:8">
      <c r="A520" s="5">
        <v>518</v>
      </c>
      <c r="B520" s="5">
        <v>519</v>
      </c>
      <c r="C520" s="5">
        <v>0.1061</v>
      </c>
      <c r="D520" s="5">
        <v>0.26</v>
      </c>
      <c r="E520" s="5">
        <v>0.3881</v>
      </c>
      <c r="F520" s="5">
        <v>5</v>
      </c>
      <c r="G520" s="5">
        <v>50</v>
      </c>
      <c r="H520" s="5">
        <v>55</v>
      </c>
    </row>
    <row r="521" spans="1:8">
      <c r="A521" s="5">
        <v>519</v>
      </c>
      <c r="B521" s="5">
        <v>520</v>
      </c>
      <c r="C521" s="5">
        <v>0.1212</v>
      </c>
      <c r="D521" s="5">
        <v>0.3</v>
      </c>
      <c r="E521" s="5">
        <v>0.2537</v>
      </c>
      <c r="F521" s="5">
        <v>5</v>
      </c>
      <c r="G521" s="5">
        <v>44</v>
      </c>
      <c r="H521" s="5">
        <v>49</v>
      </c>
    </row>
    <row r="522" spans="1:8">
      <c r="A522" s="5">
        <v>520</v>
      </c>
      <c r="B522" s="5">
        <v>521</v>
      </c>
      <c r="C522" s="5">
        <v>0.1212</v>
      </c>
      <c r="D522" s="5">
        <v>0.3</v>
      </c>
      <c r="E522" s="5">
        <v>0.2836</v>
      </c>
      <c r="F522" s="5">
        <v>5</v>
      </c>
      <c r="G522" s="5">
        <v>45</v>
      </c>
      <c r="H522" s="5">
        <v>50</v>
      </c>
    </row>
    <row r="523" spans="1:8">
      <c r="A523" s="5">
        <v>521</v>
      </c>
      <c r="B523" s="5">
        <v>522</v>
      </c>
      <c r="C523" s="5">
        <v>0.1061</v>
      </c>
      <c r="D523" s="5">
        <v>0.36</v>
      </c>
      <c r="E523" s="5">
        <v>0.2537</v>
      </c>
      <c r="F523" s="5">
        <v>4</v>
      </c>
      <c r="G523" s="5">
        <v>31</v>
      </c>
      <c r="H523" s="5">
        <v>35</v>
      </c>
    </row>
    <row r="524" spans="1:8">
      <c r="A524" s="5">
        <v>522</v>
      </c>
      <c r="B524" s="5">
        <v>523</v>
      </c>
      <c r="C524" s="5">
        <v>0.1061</v>
      </c>
      <c r="D524" s="5">
        <v>0.36</v>
      </c>
      <c r="E524" s="5">
        <v>0.194</v>
      </c>
      <c r="F524" s="5">
        <v>5</v>
      </c>
      <c r="G524" s="5">
        <v>20</v>
      </c>
      <c r="H524" s="5">
        <v>25</v>
      </c>
    </row>
    <row r="525" spans="1:8">
      <c r="A525" s="5">
        <v>523</v>
      </c>
      <c r="B525" s="5">
        <v>524</v>
      </c>
      <c r="C525" s="5">
        <v>0.09089999999999999</v>
      </c>
      <c r="D525" s="5">
        <v>0.38</v>
      </c>
      <c r="E525" s="5">
        <v>0.194</v>
      </c>
      <c r="F525" s="5">
        <v>5</v>
      </c>
      <c r="G525" s="5">
        <v>23</v>
      </c>
      <c r="H525" s="5">
        <v>28</v>
      </c>
    </row>
    <row r="526" spans="1:8">
      <c r="A526" s="5">
        <v>524</v>
      </c>
      <c r="B526" s="5">
        <v>525</v>
      </c>
      <c r="C526" s="5">
        <v>0.0606</v>
      </c>
      <c r="D526" s="5">
        <v>0.41</v>
      </c>
      <c r="E526" s="5">
        <v>0.2239</v>
      </c>
      <c r="F526" s="5">
        <v>4</v>
      </c>
      <c r="G526" s="5">
        <v>17</v>
      </c>
      <c r="H526" s="5">
        <v>21</v>
      </c>
    </row>
    <row r="527" spans="1:8">
      <c r="A527" s="5">
        <v>525</v>
      </c>
      <c r="B527" s="5">
        <v>526</v>
      </c>
      <c r="C527" s="5">
        <v>0.0606</v>
      </c>
      <c r="D527" s="5">
        <v>0.41</v>
      </c>
      <c r="E527" s="5">
        <v>0.194</v>
      </c>
      <c r="F527" s="5">
        <v>0</v>
      </c>
      <c r="G527" s="5">
        <v>7</v>
      </c>
      <c r="H527" s="5">
        <v>7</v>
      </c>
    </row>
    <row r="528" spans="1:8">
      <c r="A528" s="5">
        <v>526</v>
      </c>
      <c r="B528" s="5">
        <v>527</v>
      </c>
      <c r="C528" s="5">
        <v>0.0455</v>
      </c>
      <c r="D528" s="5">
        <v>0.45</v>
      </c>
      <c r="E528" s="5">
        <v>0.194</v>
      </c>
      <c r="F528" s="5">
        <v>0</v>
      </c>
      <c r="G528" s="5">
        <v>1</v>
      </c>
      <c r="H528" s="5">
        <v>1</v>
      </c>
    </row>
    <row r="529" spans="1:8">
      <c r="A529" s="5">
        <v>527</v>
      </c>
      <c r="B529" s="5">
        <v>528</v>
      </c>
      <c r="C529" s="5">
        <v>0.0303</v>
      </c>
      <c r="D529" s="5">
        <v>0.45</v>
      </c>
      <c r="E529" s="5">
        <v>0.2537</v>
      </c>
      <c r="F529" s="5">
        <v>0</v>
      </c>
      <c r="G529" s="5">
        <v>1</v>
      </c>
      <c r="H529" s="5">
        <v>1</v>
      </c>
    </row>
    <row r="530" spans="1:8">
      <c r="A530" s="5">
        <v>528</v>
      </c>
      <c r="B530" s="5">
        <v>529</v>
      </c>
      <c r="C530" s="5">
        <v>0.0606</v>
      </c>
      <c r="D530" s="5">
        <v>0.48</v>
      </c>
      <c r="E530" s="5">
        <v>0.1343</v>
      </c>
      <c r="F530" s="5">
        <v>0</v>
      </c>
      <c r="G530" s="5">
        <v>1</v>
      </c>
      <c r="H530" s="5">
        <v>1</v>
      </c>
    </row>
    <row r="531" spans="1:8">
      <c r="A531" s="5">
        <v>529</v>
      </c>
      <c r="B531" s="5">
        <v>530</v>
      </c>
      <c r="C531" s="5">
        <v>0.0606</v>
      </c>
      <c r="D531" s="5">
        <v>0.48</v>
      </c>
      <c r="E531" s="5">
        <v>0.1343</v>
      </c>
      <c r="F531" s="5">
        <v>0</v>
      </c>
      <c r="G531" s="5">
        <v>5</v>
      </c>
      <c r="H531" s="5">
        <v>5</v>
      </c>
    </row>
    <row r="532" spans="1:8">
      <c r="A532" s="5">
        <v>530</v>
      </c>
      <c r="B532" s="5">
        <v>531</v>
      </c>
      <c r="C532" s="5">
        <v>0.07580000000000001</v>
      </c>
      <c r="D532" s="5">
        <v>0.48</v>
      </c>
      <c r="E532" s="5">
        <v>0.0896</v>
      </c>
      <c r="F532" s="5">
        <v>0</v>
      </c>
      <c r="G532" s="5">
        <v>15</v>
      </c>
      <c r="H532" s="5">
        <v>15</v>
      </c>
    </row>
    <row r="533" spans="1:8">
      <c r="A533" s="5">
        <v>531</v>
      </c>
      <c r="B533" s="5">
        <v>532</v>
      </c>
      <c r="C533" s="5">
        <v>0.1212</v>
      </c>
      <c r="D533" s="5">
        <v>0.48</v>
      </c>
      <c r="E533" s="5">
        <v>0</v>
      </c>
      <c r="F533" s="5">
        <v>5</v>
      </c>
      <c r="G533" s="5">
        <v>79</v>
      </c>
      <c r="H533" s="5">
        <v>84</v>
      </c>
    </row>
    <row r="534" spans="1:8">
      <c r="A534" s="5">
        <v>532</v>
      </c>
      <c r="B534" s="5">
        <v>533</v>
      </c>
      <c r="C534" s="5">
        <v>0.1364</v>
      </c>
      <c r="D534" s="5">
        <v>0.49</v>
      </c>
      <c r="E534" s="5">
        <v>0</v>
      </c>
      <c r="F534" s="5">
        <v>6</v>
      </c>
      <c r="G534" s="5">
        <v>171</v>
      </c>
      <c r="H534" s="5">
        <v>177</v>
      </c>
    </row>
    <row r="535" spans="1:8">
      <c r="A535" s="5">
        <v>533</v>
      </c>
      <c r="B535" s="5">
        <v>534</v>
      </c>
      <c r="C535" s="5">
        <v>0.1515</v>
      </c>
      <c r="D535" s="5">
        <v>0.41</v>
      </c>
      <c r="E535" s="5">
        <v>0</v>
      </c>
      <c r="F535" s="5">
        <v>4</v>
      </c>
      <c r="G535" s="5">
        <v>98</v>
      </c>
      <c r="H535" s="5">
        <v>102</v>
      </c>
    </row>
    <row r="536" spans="1:8">
      <c r="A536" s="5">
        <v>534</v>
      </c>
      <c r="B536" s="5">
        <v>535</v>
      </c>
      <c r="C536" s="5">
        <v>0.1364</v>
      </c>
      <c r="D536" s="5">
        <v>0.42</v>
      </c>
      <c r="E536" s="5">
        <v>0</v>
      </c>
      <c r="F536" s="5">
        <v>6</v>
      </c>
      <c r="G536" s="5">
        <v>34</v>
      </c>
      <c r="H536" s="5">
        <v>40</v>
      </c>
    </row>
    <row r="537" spans="1:8">
      <c r="A537" s="5">
        <v>535</v>
      </c>
      <c r="B537" s="5">
        <v>536</v>
      </c>
      <c r="C537" s="5">
        <v>0.1212</v>
      </c>
      <c r="D537" s="5">
        <v>0.46</v>
      </c>
      <c r="E537" s="5">
        <v>0.1343</v>
      </c>
      <c r="F537" s="5">
        <v>3</v>
      </c>
      <c r="G537" s="5">
        <v>43</v>
      </c>
      <c r="H537" s="5">
        <v>46</v>
      </c>
    </row>
    <row r="538" spans="1:8">
      <c r="A538" s="5">
        <v>536</v>
      </c>
      <c r="B538" s="5">
        <v>537</v>
      </c>
      <c r="C538" s="5">
        <v>0.1364</v>
      </c>
      <c r="D538" s="5">
        <v>0.42</v>
      </c>
      <c r="E538" s="5">
        <v>0.194</v>
      </c>
      <c r="F538" s="5">
        <v>11</v>
      </c>
      <c r="G538" s="5">
        <v>52</v>
      </c>
      <c r="H538" s="5">
        <v>63</v>
      </c>
    </row>
    <row r="539" spans="1:8">
      <c r="A539" s="5">
        <v>537</v>
      </c>
      <c r="B539" s="5">
        <v>538</v>
      </c>
      <c r="C539" s="5">
        <v>0.1364</v>
      </c>
      <c r="D539" s="5">
        <v>0.43</v>
      </c>
      <c r="E539" s="5">
        <v>0.2239</v>
      </c>
      <c r="F539" s="5">
        <v>6</v>
      </c>
      <c r="G539" s="5">
        <v>54</v>
      </c>
      <c r="H539" s="5">
        <v>60</v>
      </c>
    </row>
    <row r="540" spans="1:8">
      <c r="A540" s="5">
        <v>538</v>
      </c>
      <c r="B540" s="5">
        <v>539</v>
      </c>
      <c r="C540" s="5">
        <v>0.1364</v>
      </c>
      <c r="D540" s="5">
        <v>0.46</v>
      </c>
      <c r="E540" s="5">
        <v>0.2239</v>
      </c>
      <c r="F540" s="5">
        <v>2</v>
      </c>
      <c r="G540" s="5">
        <v>43</v>
      </c>
      <c r="H540" s="5">
        <v>45</v>
      </c>
    </row>
    <row r="541" spans="1:8">
      <c r="A541" s="5">
        <v>539</v>
      </c>
      <c r="B541" s="5">
        <v>540</v>
      </c>
      <c r="C541" s="5">
        <v>0.1667</v>
      </c>
      <c r="D541" s="5">
        <v>0.4</v>
      </c>
      <c r="E541" s="5">
        <v>0.1642</v>
      </c>
      <c r="F541" s="5">
        <v>7</v>
      </c>
      <c r="G541" s="5">
        <v>50</v>
      </c>
      <c r="H541" s="5">
        <v>57</v>
      </c>
    </row>
    <row r="542" spans="1:8">
      <c r="A542" s="5">
        <v>540</v>
      </c>
      <c r="B542" s="5">
        <v>541</v>
      </c>
      <c r="C542" s="5">
        <v>0.1515</v>
      </c>
      <c r="D542" s="5">
        <v>0.47</v>
      </c>
      <c r="E542" s="5">
        <v>0.2537</v>
      </c>
      <c r="F542" s="5">
        <v>4</v>
      </c>
      <c r="G542" s="5">
        <v>66</v>
      </c>
      <c r="H542" s="5">
        <v>70</v>
      </c>
    </row>
    <row r="543" spans="1:8">
      <c r="A543" s="5">
        <v>541</v>
      </c>
      <c r="B543" s="5">
        <v>542</v>
      </c>
      <c r="C543" s="5">
        <v>0.1212</v>
      </c>
      <c r="D543" s="5">
        <v>0.5</v>
      </c>
      <c r="E543" s="5">
        <v>0.2537</v>
      </c>
      <c r="F543" s="5">
        <v>6</v>
      </c>
      <c r="G543" s="5">
        <v>178</v>
      </c>
      <c r="H543" s="5">
        <v>184</v>
      </c>
    </row>
    <row r="544" spans="1:8">
      <c r="A544" s="5">
        <v>542</v>
      </c>
      <c r="B544" s="5">
        <v>543</v>
      </c>
      <c r="C544" s="5">
        <v>0.1364</v>
      </c>
      <c r="D544" s="5">
        <v>0.59</v>
      </c>
      <c r="E544" s="5">
        <v>0.194</v>
      </c>
      <c r="F544" s="5">
        <v>8</v>
      </c>
      <c r="G544" s="5">
        <v>145</v>
      </c>
      <c r="H544" s="5">
        <v>153</v>
      </c>
    </row>
    <row r="545" spans="1:8">
      <c r="A545" s="5">
        <v>543</v>
      </c>
      <c r="B545" s="5">
        <v>544</v>
      </c>
      <c r="C545" s="5">
        <v>0.1515</v>
      </c>
      <c r="D545" s="5">
        <v>0.54</v>
      </c>
      <c r="E545" s="5">
        <v>0.1642</v>
      </c>
      <c r="F545" s="5">
        <v>5</v>
      </c>
      <c r="G545" s="5">
        <v>101</v>
      </c>
      <c r="H545" s="5">
        <v>106</v>
      </c>
    </row>
    <row r="546" spans="1:8">
      <c r="A546" s="5">
        <v>544</v>
      </c>
      <c r="B546" s="5">
        <v>545</v>
      </c>
      <c r="C546" s="5">
        <v>0.1364</v>
      </c>
      <c r="D546" s="5">
        <v>0.59</v>
      </c>
      <c r="E546" s="5">
        <v>0.194</v>
      </c>
      <c r="F546" s="5">
        <v>1</v>
      </c>
      <c r="G546" s="5">
        <v>80</v>
      </c>
      <c r="H546" s="5">
        <v>81</v>
      </c>
    </row>
    <row r="547" spans="1:8">
      <c r="A547" s="5">
        <v>545</v>
      </c>
      <c r="B547" s="5">
        <v>546</v>
      </c>
      <c r="C547" s="5">
        <v>0.1515</v>
      </c>
      <c r="D547" s="5">
        <v>0.63</v>
      </c>
      <c r="E547" s="5">
        <v>0.1642</v>
      </c>
      <c r="F547" s="5">
        <v>6</v>
      </c>
      <c r="G547" s="5">
        <v>53</v>
      </c>
      <c r="H547" s="5">
        <v>59</v>
      </c>
    </row>
    <row r="548" spans="1:8">
      <c r="A548" s="5">
        <v>546</v>
      </c>
      <c r="B548" s="5">
        <v>547</v>
      </c>
      <c r="C548" s="5">
        <v>0.1364</v>
      </c>
      <c r="D548" s="5">
        <v>0.63</v>
      </c>
      <c r="E548" s="5">
        <v>0.2239</v>
      </c>
      <c r="F548" s="5">
        <v>3</v>
      </c>
      <c r="G548" s="5">
        <v>32</v>
      </c>
      <c r="H548" s="5">
        <v>35</v>
      </c>
    </row>
    <row r="549" spans="1:8">
      <c r="A549" s="5">
        <v>547</v>
      </c>
      <c r="B549" s="5">
        <v>548</v>
      </c>
      <c r="C549" s="5">
        <v>0.1515</v>
      </c>
      <c r="D549" s="5">
        <v>0.64</v>
      </c>
      <c r="E549" s="5">
        <v>0.2537</v>
      </c>
      <c r="F549" s="5">
        <v>3</v>
      </c>
      <c r="G549" s="5">
        <v>21</v>
      </c>
      <c r="H549" s="5">
        <v>24</v>
      </c>
    </row>
    <row r="550" spans="1:8">
      <c r="A550" s="5">
        <v>548</v>
      </c>
      <c r="B550" s="5">
        <v>549</v>
      </c>
      <c r="C550" s="5">
        <v>0.1364</v>
      </c>
      <c r="D550" s="5">
        <v>0.6899999999999999</v>
      </c>
      <c r="E550" s="5">
        <v>0.2836</v>
      </c>
      <c r="F550" s="5">
        <v>3</v>
      </c>
      <c r="G550" s="5">
        <v>6</v>
      </c>
      <c r="H550" s="5">
        <v>9</v>
      </c>
    </row>
    <row r="551" spans="1:8">
      <c r="A551" s="5">
        <v>549</v>
      </c>
      <c r="B551" s="5">
        <v>550</v>
      </c>
      <c r="C551" s="5">
        <v>0.1667</v>
      </c>
      <c r="D551" s="5">
        <v>0.6899999999999999</v>
      </c>
      <c r="E551" s="5">
        <v>0.1642</v>
      </c>
      <c r="F551" s="5">
        <v>0</v>
      </c>
      <c r="G551" s="5">
        <v>5</v>
      </c>
      <c r="H551" s="5">
        <v>5</v>
      </c>
    </row>
    <row r="552" spans="1:8">
      <c r="A552" s="5">
        <v>550</v>
      </c>
      <c r="B552" s="5">
        <v>551</v>
      </c>
      <c r="C552" s="5">
        <v>0.1515</v>
      </c>
      <c r="D552" s="5">
        <v>0.6899999999999999</v>
      </c>
      <c r="E552" s="5">
        <v>0.2239</v>
      </c>
      <c r="F552" s="5">
        <v>0</v>
      </c>
      <c r="G552" s="5">
        <v>2</v>
      </c>
      <c r="H552" s="5">
        <v>2</v>
      </c>
    </row>
    <row r="553" spans="1:8">
      <c r="A553" s="5">
        <v>551</v>
      </c>
      <c r="B553" s="5">
        <v>552</v>
      </c>
      <c r="C553" s="5">
        <v>0.1667</v>
      </c>
      <c r="D553" s="5">
        <v>0.74</v>
      </c>
      <c r="E553" s="5">
        <v>0.1045</v>
      </c>
      <c r="F553" s="5">
        <v>0</v>
      </c>
      <c r="G553" s="5">
        <v>1</v>
      </c>
      <c r="H553" s="5">
        <v>1</v>
      </c>
    </row>
    <row r="554" spans="1:8">
      <c r="A554" s="5">
        <v>552</v>
      </c>
      <c r="B554" s="5">
        <v>553</v>
      </c>
      <c r="C554" s="5">
        <v>0.1364</v>
      </c>
      <c r="D554" s="5">
        <v>0.74</v>
      </c>
      <c r="E554" s="5">
        <v>0.2239</v>
      </c>
      <c r="F554" s="5">
        <v>0</v>
      </c>
      <c r="G554" s="5">
        <v>9</v>
      </c>
      <c r="H554" s="5">
        <v>9</v>
      </c>
    </row>
    <row r="555" spans="1:8">
      <c r="A555" s="5">
        <v>553</v>
      </c>
      <c r="B555" s="5">
        <v>554</v>
      </c>
      <c r="C555" s="5">
        <v>0.1818</v>
      </c>
      <c r="D555" s="5">
        <v>0.74</v>
      </c>
      <c r="E555" s="5">
        <v>0.1045</v>
      </c>
      <c r="F555" s="5">
        <v>1</v>
      </c>
      <c r="G555" s="5">
        <v>35</v>
      </c>
      <c r="H555" s="5">
        <v>36</v>
      </c>
    </row>
    <row r="556" spans="1:8">
      <c r="A556" s="5">
        <v>554</v>
      </c>
      <c r="B556" s="5">
        <v>555</v>
      </c>
      <c r="C556" s="5">
        <v>0.1515</v>
      </c>
      <c r="D556" s="5">
        <v>0.74</v>
      </c>
      <c r="E556" s="5">
        <v>0.2239</v>
      </c>
      <c r="F556" s="5">
        <v>5</v>
      </c>
      <c r="G556" s="5">
        <v>103</v>
      </c>
      <c r="H556" s="5">
        <v>108</v>
      </c>
    </row>
    <row r="557" spans="1:8">
      <c r="A557" s="5">
        <v>555</v>
      </c>
      <c r="B557" s="5">
        <v>556</v>
      </c>
      <c r="C557" s="5">
        <v>0.1818</v>
      </c>
      <c r="D557" s="5">
        <v>0.74</v>
      </c>
      <c r="E557" s="5">
        <v>0.1343</v>
      </c>
      <c r="F557" s="5">
        <v>5</v>
      </c>
      <c r="G557" s="5">
        <v>233</v>
      </c>
      <c r="H557" s="5">
        <v>238</v>
      </c>
    </row>
    <row r="558" spans="1:8">
      <c r="A558" s="5">
        <v>556</v>
      </c>
      <c r="B558" s="5">
        <v>557</v>
      </c>
      <c r="C558" s="5">
        <v>0.2273</v>
      </c>
      <c r="D558" s="5">
        <v>0.64</v>
      </c>
      <c r="E558" s="5">
        <v>0.0896</v>
      </c>
      <c r="F558" s="5">
        <v>10</v>
      </c>
      <c r="G558" s="5">
        <v>134</v>
      </c>
      <c r="H558" s="5">
        <v>144</v>
      </c>
    </row>
    <row r="559" spans="1:8">
      <c r="A559" s="5">
        <v>557</v>
      </c>
      <c r="B559" s="5">
        <v>558</v>
      </c>
      <c r="C559" s="5">
        <v>0.2424</v>
      </c>
      <c r="D559" s="5">
        <v>0.6</v>
      </c>
      <c r="E559" s="5">
        <v>0.1045</v>
      </c>
      <c r="F559" s="5">
        <v>6</v>
      </c>
      <c r="G559" s="5">
        <v>49</v>
      </c>
      <c r="H559" s="5">
        <v>55</v>
      </c>
    </row>
    <row r="560" spans="1:8">
      <c r="A560" s="5">
        <v>558</v>
      </c>
      <c r="B560" s="5">
        <v>559</v>
      </c>
      <c r="C560" s="5">
        <v>0.2424</v>
      </c>
      <c r="D560" s="5">
        <v>0.6</v>
      </c>
      <c r="E560" s="5">
        <v>0.1343</v>
      </c>
      <c r="F560" s="5">
        <v>6</v>
      </c>
      <c r="G560" s="5">
        <v>55</v>
      </c>
      <c r="H560" s="5">
        <v>61</v>
      </c>
    </row>
    <row r="561" spans="1:8">
      <c r="A561" s="5">
        <v>559</v>
      </c>
      <c r="B561" s="5">
        <v>560</v>
      </c>
      <c r="C561" s="5">
        <v>0.2879</v>
      </c>
      <c r="D561" s="5">
        <v>0.5600000000000001</v>
      </c>
      <c r="E561" s="5">
        <v>0.0896</v>
      </c>
      <c r="F561" s="5">
        <v>21</v>
      </c>
      <c r="G561" s="5">
        <v>85</v>
      </c>
      <c r="H561" s="5">
        <v>106</v>
      </c>
    </row>
    <row r="562" spans="1:8">
      <c r="A562" s="5">
        <v>560</v>
      </c>
      <c r="B562" s="5">
        <v>561</v>
      </c>
      <c r="C562" s="5">
        <v>0.2727</v>
      </c>
      <c r="D562" s="5">
        <v>0.5600000000000001</v>
      </c>
      <c r="E562" s="5">
        <v>0.1343</v>
      </c>
      <c r="F562" s="5">
        <v>21</v>
      </c>
      <c r="G562" s="5">
        <v>72</v>
      </c>
      <c r="H562" s="5">
        <v>93</v>
      </c>
    </row>
    <row r="563" spans="1:8">
      <c r="A563" s="5">
        <v>561</v>
      </c>
      <c r="B563" s="5">
        <v>562</v>
      </c>
      <c r="C563" s="5">
        <v>0.3333</v>
      </c>
      <c r="D563" s="5">
        <v>0.45</v>
      </c>
      <c r="E563" s="5">
        <v>0</v>
      </c>
      <c r="F563" s="5">
        <v>11</v>
      </c>
      <c r="G563" s="5">
        <v>57</v>
      </c>
      <c r="H563" s="5">
        <v>68</v>
      </c>
    </row>
    <row r="564" spans="1:8">
      <c r="A564" s="5">
        <v>562</v>
      </c>
      <c r="B564" s="5">
        <v>563</v>
      </c>
      <c r="C564" s="5">
        <v>0.3485</v>
      </c>
      <c r="D564" s="5">
        <v>0.42</v>
      </c>
      <c r="E564" s="5">
        <v>0</v>
      </c>
      <c r="F564" s="5">
        <v>21</v>
      </c>
      <c r="G564" s="5">
        <v>63</v>
      </c>
      <c r="H564" s="5">
        <v>84</v>
      </c>
    </row>
    <row r="565" spans="1:8">
      <c r="A565" s="5">
        <v>563</v>
      </c>
      <c r="B565" s="5">
        <v>564</v>
      </c>
      <c r="C565" s="5">
        <v>0.3485</v>
      </c>
      <c r="D565" s="5">
        <v>0.42</v>
      </c>
      <c r="E565" s="5">
        <v>0</v>
      </c>
      <c r="F565" s="5">
        <v>14</v>
      </c>
      <c r="G565" s="5">
        <v>102</v>
      </c>
      <c r="H565" s="5">
        <v>116</v>
      </c>
    </row>
    <row r="566" spans="1:8">
      <c r="A566" s="5">
        <v>564</v>
      </c>
      <c r="B566" s="5">
        <v>565</v>
      </c>
      <c r="C566" s="5">
        <v>0.3333</v>
      </c>
      <c r="D566" s="5">
        <v>0.45</v>
      </c>
      <c r="E566" s="5">
        <v>0</v>
      </c>
      <c r="F566" s="5">
        <v>14</v>
      </c>
      <c r="G566" s="5">
        <v>208</v>
      </c>
      <c r="H566" s="5">
        <v>222</v>
      </c>
    </row>
    <row r="567" spans="1:8">
      <c r="A567" s="5">
        <v>565</v>
      </c>
      <c r="B567" s="5">
        <v>566</v>
      </c>
      <c r="C567" s="5">
        <v>0.3182</v>
      </c>
      <c r="D567" s="5">
        <v>0.49</v>
      </c>
      <c r="E567" s="5">
        <v>0.0896</v>
      </c>
      <c r="F567" s="5">
        <v>7</v>
      </c>
      <c r="G567" s="5">
        <v>218</v>
      </c>
      <c r="H567" s="5">
        <v>225</v>
      </c>
    </row>
    <row r="568" spans="1:8">
      <c r="A568" s="5">
        <v>566</v>
      </c>
      <c r="B568" s="5">
        <v>567</v>
      </c>
      <c r="C568" s="5">
        <v>0.2576</v>
      </c>
      <c r="D568" s="5">
        <v>0.65</v>
      </c>
      <c r="E568" s="5">
        <v>0.1642</v>
      </c>
      <c r="F568" s="5">
        <v>13</v>
      </c>
      <c r="G568" s="5">
        <v>133</v>
      </c>
      <c r="H568" s="5">
        <v>146</v>
      </c>
    </row>
    <row r="569" spans="1:8">
      <c r="A569" s="5">
        <v>567</v>
      </c>
      <c r="B569" s="5">
        <v>568</v>
      </c>
      <c r="C569" s="5">
        <v>0.2273</v>
      </c>
      <c r="D569" s="5">
        <v>0.65</v>
      </c>
      <c r="E569" s="5">
        <v>0.194</v>
      </c>
      <c r="F569" s="5">
        <v>16</v>
      </c>
      <c r="G569" s="5">
        <v>103</v>
      </c>
      <c r="H569" s="5">
        <v>119</v>
      </c>
    </row>
    <row r="570" spans="1:8">
      <c r="A570" s="5">
        <v>568</v>
      </c>
      <c r="B570" s="5">
        <v>569</v>
      </c>
      <c r="C570" s="5">
        <v>0.2273</v>
      </c>
      <c r="D570" s="5">
        <v>0.65</v>
      </c>
      <c r="E570" s="5">
        <v>0.194</v>
      </c>
      <c r="F570" s="5">
        <v>5</v>
      </c>
      <c r="G570" s="5">
        <v>40</v>
      </c>
      <c r="H570" s="5">
        <v>45</v>
      </c>
    </row>
    <row r="571" spans="1:8">
      <c r="A571" s="5">
        <v>569</v>
      </c>
      <c r="B571" s="5">
        <v>570</v>
      </c>
      <c r="C571" s="5">
        <v>0.2273</v>
      </c>
      <c r="D571" s="5">
        <v>0.64</v>
      </c>
      <c r="E571" s="5">
        <v>0.1642</v>
      </c>
      <c r="F571" s="5">
        <v>4</v>
      </c>
      <c r="G571" s="5">
        <v>49</v>
      </c>
      <c r="H571" s="5">
        <v>53</v>
      </c>
    </row>
    <row r="572" spans="1:8">
      <c r="A572" s="5">
        <v>570</v>
      </c>
      <c r="B572" s="5">
        <v>571</v>
      </c>
      <c r="C572" s="5">
        <v>0.2273</v>
      </c>
      <c r="D572" s="5">
        <v>0.64</v>
      </c>
      <c r="E572" s="5">
        <v>0.1642</v>
      </c>
      <c r="F572" s="5">
        <v>3</v>
      </c>
      <c r="G572" s="5">
        <v>37</v>
      </c>
      <c r="H572" s="5">
        <v>40</v>
      </c>
    </row>
    <row r="573" spans="1:8">
      <c r="A573" s="5">
        <v>571</v>
      </c>
      <c r="B573" s="5">
        <v>572</v>
      </c>
      <c r="C573" s="5">
        <v>0.2273</v>
      </c>
      <c r="D573" s="5">
        <v>0.6899999999999999</v>
      </c>
      <c r="E573" s="5">
        <v>0.1343</v>
      </c>
      <c r="F573" s="5">
        <v>3</v>
      </c>
      <c r="G573" s="5">
        <v>14</v>
      </c>
      <c r="H573" s="5">
        <v>17</v>
      </c>
    </row>
    <row r="574" spans="1:8">
      <c r="A574" s="5">
        <v>572</v>
      </c>
      <c r="B574" s="5">
        <v>573</v>
      </c>
      <c r="C574" s="5">
        <v>0.2424</v>
      </c>
      <c r="D574" s="5">
        <v>0.65</v>
      </c>
      <c r="E574" s="5">
        <v>0.1343</v>
      </c>
      <c r="F574" s="5">
        <v>0</v>
      </c>
      <c r="G574" s="5">
        <v>5</v>
      </c>
      <c r="H574" s="5">
        <v>5</v>
      </c>
    </row>
    <row r="575" spans="1:8">
      <c r="A575" s="5">
        <v>573</v>
      </c>
      <c r="B575" s="5">
        <v>574</v>
      </c>
      <c r="C575" s="5">
        <v>0.2273</v>
      </c>
      <c r="D575" s="5">
        <v>0.6899999999999999</v>
      </c>
      <c r="E575" s="5">
        <v>0.194</v>
      </c>
      <c r="F575" s="5">
        <v>3</v>
      </c>
      <c r="G575" s="5">
        <v>7</v>
      </c>
      <c r="H575" s="5">
        <v>10</v>
      </c>
    </row>
    <row r="576" spans="1:8">
      <c r="A576" s="5">
        <v>574</v>
      </c>
      <c r="B576" s="5">
        <v>575</v>
      </c>
      <c r="C576" s="5">
        <v>0.1818</v>
      </c>
      <c r="D576" s="5">
        <v>0.86</v>
      </c>
      <c r="E576" s="5">
        <v>0.2836</v>
      </c>
      <c r="F576" s="5">
        <v>0</v>
      </c>
      <c r="G576" s="5">
        <v>1</v>
      </c>
      <c r="H576" s="5">
        <v>1</v>
      </c>
    </row>
    <row r="577" spans="1:8">
      <c r="A577" s="5">
        <v>575</v>
      </c>
      <c r="B577" s="5">
        <v>576</v>
      </c>
      <c r="C577" s="5">
        <v>0.1818</v>
      </c>
      <c r="D577" s="5">
        <v>0.86</v>
      </c>
      <c r="E577" s="5">
        <v>0.2836</v>
      </c>
      <c r="F577" s="5">
        <v>0</v>
      </c>
      <c r="G577" s="5">
        <v>8</v>
      </c>
      <c r="H577" s="5">
        <v>8</v>
      </c>
    </row>
    <row r="578" spans="1:8">
      <c r="A578" s="5">
        <v>576</v>
      </c>
      <c r="B578" s="5">
        <v>577</v>
      </c>
      <c r="C578" s="5">
        <v>0.2121</v>
      </c>
      <c r="D578" s="5">
        <v>0.87</v>
      </c>
      <c r="E578" s="5">
        <v>0.2985</v>
      </c>
      <c r="F578" s="5">
        <v>1</v>
      </c>
      <c r="G578" s="5">
        <v>29</v>
      </c>
      <c r="H578" s="5">
        <v>30</v>
      </c>
    </row>
    <row r="579" spans="1:8">
      <c r="A579" s="5">
        <v>577</v>
      </c>
      <c r="B579" s="5">
        <v>578</v>
      </c>
      <c r="C579" s="5">
        <v>0.2121</v>
      </c>
      <c r="D579" s="5">
        <v>0.87</v>
      </c>
      <c r="E579" s="5">
        <v>0.2985</v>
      </c>
      <c r="F579" s="5">
        <v>3</v>
      </c>
      <c r="G579" s="5">
        <v>69</v>
      </c>
      <c r="H579" s="5">
        <v>72</v>
      </c>
    </row>
    <row r="580" spans="1:8">
      <c r="A580" s="5">
        <v>578</v>
      </c>
      <c r="B580" s="5">
        <v>579</v>
      </c>
      <c r="C580" s="5">
        <v>0.2121</v>
      </c>
      <c r="D580" s="5">
        <v>0.87</v>
      </c>
      <c r="E580" s="5">
        <v>0.2985</v>
      </c>
      <c r="F580" s="5">
        <v>3</v>
      </c>
      <c r="G580" s="5">
        <v>55</v>
      </c>
      <c r="H580" s="5">
        <v>58</v>
      </c>
    </row>
    <row r="581" spans="1:8">
      <c r="A581" s="5">
        <v>579</v>
      </c>
      <c r="B581" s="5">
        <v>580</v>
      </c>
      <c r="C581" s="5">
        <v>0.2121</v>
      </c>
      <c r="D581" s="5">
        <v>0.93</v>
      </c>
      <c r="E581" s="5">
        <v>0.2836</v>
      </c>
      <c r="F581" s="5">
        <v>2</v>
      </c>
      <c r="G581" s="5">
        <v>26</v>
      </c>
      <c r="H581" s="5">
        <v>28</v>
      </c>
    </row>
    <row r="582" spans="1:8">
      <c r="A582" s="5">
        <v>580</v>
      </c>
      <c r="B582" s="5">
        <v>581</v>
      </c>
      <c r="C582" s="5">
        <v>0.197</v>
      </c>
      <c r="D582" s="5">
        <v>0.93</v>
      </c>
      <c r="E582" s="5">
        <v>0.3284</v>
      </c>
      <c r="F582" s="5">
        <v>6</v>
      </c>
      <c r="G582" s="5">
        <v>35</v>
      </c>
      <c r="H582" s="5">
        <v>41</v>
      </c>
    </row>
    <row r="583" spans="1:8">
      <c r="A583" s="5">
        <v>581</v>
      </c>
      <c r="B583" s="5">
        <v>582</v>
      </c>
      <c r="C583" s="5">
        <v>0.197</v>
      </c>
      <c r="D583" s="5">
        <v>0.93</v>
      </c>
      <c r="E583" s="5">
        <v>0.3284</v>
      </c>
      <c r="F583" s="5">
        <v>7</v>
      </c>
      <c r="G583" s="5">
        <v>41</v>
      </c>
      <c r="H583" s="5">
        <v>48</v>
      </c>
    </row>
    <row r="584" spans="1:8">
      <c r="A584" s="5">
        <v>582</v>
      </c>
      <c r="B584" s="5">
        <v>583</v>
      </c>
      <c r="C584" s="5">
        <v>0.197</v>
      </c>
      <c r="D584" s="5">
        <v>0.93</v>
      </c>
      <c r="E584" s="5">
        <v>0.3284</v>
      </c>
      <c r="F584" s="5">
        <v>4</v>
      </c>
      <c r="G584" s="5">
        <v>43</v>
      </c>
      <c r="H584" s="5">
        <v>47</v>
      </c>
    </row>
    <row r="585" spans="1:8">
      <c r="A585" s="5">
        <v>583</v>
      </c>
      <c r="B585" s="5">
        <v>584</v>
      </c>
      <c r="C585" s="5">
        <v>0.197</v>
      </c>
      <c r="D585" s="5">
        <v>0.93</v>
      </c>
      <c r="E585" s="5">
        <v>0.3582</v>
      </c>
      <c r="F585" s="5">
        <v>0</v>
      </c>
      <c r="G585" s="5">
        <v>36</v>
      </c>
      <c r="H585" s="5">
        <v>36</v>
      </c>
    </row>
    <row r="586" spans="1:8">
      <c r="A586" s="5">
        <v>584</v>
      </c>
      <c r="B586" s="5">
        <v>585</v>
      </c>
      <c r="C586" s="5">
        <v>0.1818</v>
      </c>
      <c r="D586" s="5">
        <v>0.93</v>
      </c>
      <c r="E586" s="5">
        <v>0.4627</v>
      </c>
      <c r="F586" s="5">
        <v>1</v>
      </c>
      <c r="G586" s="5">
        <v>42</v>
      </c>
      <c r="H586" s="5">
        <v>43</v>
      </c>
    </row>
    <row r="587" spans="1:8">
      <c r="A587" s="5">
        <v>585</v>
      </c>
      <c r="B587" s="5">
        <v>586</v>
      </c>
      <c r="C587" s="5">
        <v>0.197</v>
      </c>
      <c r="D587" s="5">
        <v>0.93</v>
      </c>
      <c r="E587" s="5">
        <v>0.3284</v>
      </c>
      <c r="F587" s="5">
        <v>1</v>
      </c>
      <c r="G587" s="5">
        <v>35</v>
      </c>
      <c r="H587" s="5">
        <v>36</v>
      </c>
    </row>
    <row r="588" spans="1:8">
      <c r="A588" s="5">
        <v>586</v>
      </c>
      <c r="B588" s="5">
        <v>587</v>
      </c>
      <c r="C588" s="5">
        <v>0.1818</v>
      </c>
      <c r="D588" s="5">
        <v>0.93</v>
      </c>
      <c r="E588" s="5">
        <v>0.3582</v>
      </c>
      <c r="F588" s="5">
        <v>0</v>
      </c>
      <c r="G588" s="5">
        <v>26</v>
      </c>
      <c r="H588" s="5">
        <v>26</v>
      </c>
    </row>
    <row r="589" spans="1:8">
      <c r="A589" s="5">
        <v>587</v>
      </c>
      <c r="B589" s="5">
        <v>588</v>
      </c>
      <c r="C589" s="5">
        <v>0.2273</v>
      </c>
      <c r="D589" s="5">
        <v>0.55</v>
      </c>
      <c r="E589" s="5">
        <v>0.194</v>
      </c>
      <c r="F589" s="5">
        <v>1</v>
      </c>
      <c r="G589" s="5">
        <v>23</v>
      </c>
      <c r="H589" s="5">
        <v>24</v>
      </c>
    </row>
    <row r="590" spans="1:8">
      <c r="A590" s="5">
        <v>588</v>
      </c>
      <c r="B590" s="5">
        <v>589</v>
      </c>
      <c r="C590" s="5">
        <v>0.2424</v>
      </c>
      <c r="D590" s="5">
        <v>0.55</v>
      </c>
      <c r="E590" s="5">
        <v>0.1045</v>
      </c>
      <c r="F590" s="5">
        <v>2</v>
      </c>
      <c r="G590" s="5">
        <v>82</v>
      </c>
      <c r="H590" s="5">
        <v>84</v>
      </c>
    </row>
    <row r="591" spans="1:8">
      <c r="A591" s="5">
        <v>589</v>
      </c>
      <c r="B591" s="5">
        <v>590</v>
      </c>
      <c r="C591" s="5">
        <v>0.2273</v>
      </c>
      <c r="D591" s="5">
        <v>0.6899999999999999</v>
      </c>
      <c r="E591" s="5">
        <v>0.0896</v>
      </c>
      <c r="F591" s="5">
        <v>3</v>
      </c>
      <c r="G591" s="5">
        <v>101</v>
      </c>
      <c r="H591" s="5">
        <v>104</v>
      </c>
    </row>
    <row r="592" spans="1:8">
      <c r="A592" s="5">
        <v>590</v>
      </c>
      <c r="B592" s="5">
        <v>591</v>
      </c>
      <c r="C592" s="5">
        <v>0.2273</v>
      </c>
      <c r="D592" s="5">
        <v>0.6899999999999999</v>
      </c>
      <c r="E592" s="5">
        <v>0.0896</v>
      </c>
      <c r="F592" s="5">
        <v>3</v>
      </c>
      <c r="G592" s="5">
        <v>76</v>
      </c>
      <c r="H592" s="5">
        <v>79</v>
      </c>
    </row>
    <row r="593" spans="1:8">
      <c r="A593" s="5">
        <v>591</v>
      </c>
      <c r="B593" s="5">
        <v>592</v>
      </c>
      <c r="C593" s="5">
        <v>0.2121</v>
      </c>
      <c r="D593" s="5">
        <v>0.74</v>
      </c>
      <c r="E593" s="5">
        <v>0.0896</v>
      </c>
      <c r="F593" s="5">
        <v>4</v>
      </c>
      <c r="G593" s="5">
        <v>55</v>
      </c>
      <c r="H593" s="5">
        <v>59</v>
      </c>
    </row>
    <row r="594" spans="1:8">
      <c r="A594" s="5">
        <v>592</v>
      </c>
      <c r="B594" s="5">
        <v>593</v>
      </c>
      <c r="C594" s="5">
        <v>0.2121</v>
      </c>
      <c r="D594" s="5">
        <v>0.74</v>
      </c>
      <c r="E594" s="5">
        <v>0.0896</v>
      </c>
      <c r="F594" s="5">
        <v>2</v>
      </c>
      <c r="G594" s="5">
        <v>36</v>
      </c>
      <c r="H594" s="5">
        <v>38</v>
      </c>
    </row>
    <row r="595" spans="1:8">
      <c r="A595" s="5">
        <v>593</v>
      </c>
      <c r="B595" s="5">
        <v>594</v>
      </c>
      <c r="C595" s="5">
        <v>0.2121</v>
      </c>
      <c r="D595" s="5">
        <v>0.74</v>
      </c>
      <c r="E595" s="5">
        <v>0.0896</v>
      </c>
      <c r="F595" s="5">
        <v>0</v>
      </c>
      <c r="G595" s="5">
        <v>27</v>
      </c>
      <c r="H595" s="5">
        <v>27</v>
      </c>
    </row>
    <row r="596" spans="1:8">
      <c r="A596" s="5">
        <v>594</v>
      </c>
      <c r="B596" s="5">
        <v>595</v>
      </c>
      <c r="C596" s="5">
        <v>0.197</v>
      </c>
      <c r="D596" s="5">
        <v>0.8</v>
      </c>
      <c r="E596" s="5">
        <v>0.1642</v>
      </c>
      <c r="F596" s="5">
        <v>0</v>
      </c>
      <c r="G596" s="5">
        <v>16</v>
      </c>
      <c r="H596" s="5">
        <v>16</v>
      </c>
    </row>
    <row r="597" spans="1:8">
      <c r="A597" s="5">
        <v>595</v>
      </c>
      <c r="B597" s="5">
        <v>596</v>
      </c>
      <c r="C597" s="5">
        <v>0.2121</v>
      </c>
      <c r="D597" s="5">
        <v>0.75</v>
      </c>
      <c r="E597" s="5">
        <v>0.1343</v>
      </c>
      <c r="F597" s="5">
        <v>0</v>
      </c>
      <c r="G597" s="5">
        <v>9</v>
      </c>
      <c r="H597" s="5">
        <v>9</v>
      </c>
    </row>
    <row r="598" spans="1:8">
      <c r="A598" s="5">
        <v>596</v>
      </c>
      <c r="B598" s="5">
        <v>597</v>
      </c>
      <c r="C598" s="5">
        <v>0.2121</v>
      </c>
      <c r="D598" s="5">
        <v>0.75</v>
      </c>
      <c r="E598" s="5">
        <v>0.1343</v>
      </c>
      <c r="F598" s="5">
        <v>1</v>
      </c>
      <c r="G598" s="5">
        <v>2</v>
      </c>
      <c r="H598" s="5">
        <v>3</v>
      </c>
    </row>
    <row r="599" spans="1:8">
      <c r="A599" s="5">
        <v>597</v>
      </c>
      <c r="B599" s="5">
        <v>598</v>
      </c>
      <c r="C599" s="5">
        <v>0.2121</v>
      </c>
      <c r="D599" s="5">
        <v>0.75</v>
      </c>
      <c r="E599" s="5">
        <v>0.1642</v>
      </c>
      <c r="F599" s="5">
        <v>0</v>
      </c>
      <c r="G599" s="5">
        <v>2</v>
      </c>
      <c r="H599" s="5">
        <v>2</v>
      </c>
    </row>
    <row r="600" spans="1:8">
      <c r="A600" s="5">
        <v>598</v>
      </c>
      <c r="B600" s="5">
        <v>599</v>
      </c>
      <c r="C600" s="5">
        <v>0.2273</v>
      </c>
      <c r="D600" s="5">
        <v>0.75</v>
      </c>
      <c r="E600" s="5">
        <v>0.1045</v>
      </c>
      <c r="F600" s="5">
        <v>1</v>
      </c>
      <c r="G600" s="5">
        <v>0</v>
      </c>
      <c r="H600" s="5">
        <v>1</v>
      </c>
    </row>
    <row r="601" spans="1:8">
      <c r="A601" s="5">
        <v>599</v>
      </c>
      <c r="B601" s="5">
        <v>600</v>
      </c>
      <c r="C601" s="5">
        <v>0.2121</v>
      </c>
      <c r="D601" s="5">
        <v>0.8</v>
      </c>
      <c r="E601" s="5">
        <v>0.1045</v>
      </c>
      <c r="F601" s="5">
        <v>0</v>
      </c>
      <c r="G601" s="5">
        <v>4</v>
      </c>
      <c r="H601" s="5">
        <v>4</v>
      </c>
    </row>
    <row r="602" spans="1:8">
      <c r="A602" s="5">
        <v>600</v>
      </c>
      <c r="B602" s="5">
        <v>601</v>
      </c>
      <c r="C602" s="5">
        <v>0.197</v>
      </c>
      <c r="D602" s="5">
        <v>0.8</v>
      </c>
      <c r="E602" s="5">
        <v>0.1343</v>
      </c>
      <c r="F602" s="5">
        <v>0</v>
      </c>
      <c r="G602" s="5">
        <v>16</v>
      </c>
      <c r="H602" s="5">
        <v>16</v>
      </c>
    </row>
    <row r="603" spans="1:8">
      <c r="A603" s="5">
        <v>601</v>
      </c>
      <c r="B603" s="5">
        <v>602</v>
      </c>
      <c r="C603" s="5">
        <v>0.197</v>
      </c>
      <c r="D603" s="5">
        <v>0.86</v>
      </c>
      <c r="E603" s="5">
        <v>0.0896</v>
      </c>
      <c r="F603" s="5">
        <v>2</v>
      </c>
      <c r="G603" s="5">
        <v>58</v>
      </c>
      <c r="H603" s="5">
        <v>60</v>
      </c>
    </row>
    <row r="604" spans="1:8">
      <c r="A604" s="5">
        <v>602</v>
      </c>
      <c r="B604" s="5">
        <v>603</v>
      </c>
      <c r="C604" s="5">
        <v>0.197</v>
      </c>
      <c r="D604" s="5">
        <v>0.86</v>
      </c>
      <c r="E604" s="5">
        <v>0.0896</v>
      </c>
      <c r="F604" s="5">
        <v>2</v>
      </c>
      <c r="G604" s="5">
        <v>155</v>
      </c>
      <c r="H604" s="5">
        <v>157</v>
      </c>
    </row>
    <row r="605" spans="1:8">
      <c r="A605" s="5">
        <v>603</v>
      </c>
      <c r="B605" s="5">
        <v>604</v>
      </c>
      <c r="C605" s="5">
        <v>0.2121</v>
      </c>
      <c r="D605" s="5">
        <v>0.86</v>
      </c>
      <c r="E605" s="5">
        <v>0.0896</v>
      </c>
      <c r="F605" s="5">
        <v>6</v>
      </c>
      <c r="G605" s="5">
        <v>95</v>
      </c>
      <c r="H605" s="5">
        <v>101</v>
      </c>
    </row>
    <row r="606" spans="1:8">
      <c r="A606" s="5">
        <v>604</v>
      </c>
      <c r="B606" s="5">
        <v>605</v>
      </c>
      <c r="C606" s="5">
        <v>0.2121</v>
      </c>
      <c r="D606" s="5">
        <v>0.86</v>
      </c>
      <c r="E606" s="5">
        <v>0.1045</v>
      </c>
      <c r="F606" s="5">
        <v>0</v>
      </c>
      <c r="G606" s="5">
        <v>49</v>
      </c>
      <c r="H606" s="5">
        <v>49</v>
      </c>
    </row>
    <row r="607" spans="1:8">
      <c r="A607" s="5">
        <v>605</v>
      </c>
      <c r="B607" s="5">
        <v>606</v>
      </c>
      <c r="C607" s="5">
        <v>0.2121</v>
      </c>
      <c r="D607" s="5">
        <v>0.93</v>
      </c>
      <c r="E607" s="5">
        <v>0.1045</v>
      </c>
      <c r="F607" s="5">
        <v>0</v>
      </c>
      <c r="G607" s="5">
        <v>30</v>
      </c>
      <c r="H607" s="5">
        <v>30</v>
      </c>
    </row>
    <row r="608" spans="1:8">
      <c r="A608" s="5">
        <v>606</v>
      </c>
      <c r="B608" s="5">
        <v>607</v>
      </c>
      <c r="C608" s="5">
        <v>0.2121</v>
      </c>
      <c r="D608" s="5">
        <v>0.93</v>
      </c>
      <c r="E608" s="5">
        <v>0.1045</v>
      </c>
      <c r="F608" s="5">
        <v>1</v>
      </c>
      <c r="G608" s="5">
        <v>28</v>
      </c>
      <c r="H608" s="5">
        <v>29</v>
      </c>
    </row>
    <row r="609" spans="1:8">
      <c r="A609" s="5">
        <v>607</v>
      </c>
      <c r="B609" s="5">
        <v>608</v>
      </c>
      <c r="C609" s="5">
        <v>0.2121</v>
      </c>
      <c r="D609" s="5">
        <v>0.93</v>
      </c>
      <c r="E609" s="5">
        <v>0.1045</v>
      </c>
      <c r="F609" s="5">
        <v>0</v>
      </c>
      <c r="G609" s="5">
        <v>31</v>
      </c>
      <c r="H609" s="5">
        <v>31</v>
      </c>
    </row>
    <row r="610" spans="1:8">
      <c r="A610" s="5">
        <v>608</v>
      </c>
      <c r="B610" s="5">
        <v>609</v>
      </c>
      <c r="C610" s="5">
        <v>0.2727</v>
      </c>
      <c r="D610" s="5">
        <v>0.8</v>
      </c>
      <c r="E610" s="5">
        <v>0</v>
      </c>
      <c r="F610" s="5">
        <v>2</v>
      </c>
      <c r="G610" s="5">
        <v>36</v>
      </c>
      <c r="H610" s="5">
        <v>38</v>
      </c>
    </row>
    <row r="611" spans="1:8">
      <c r="A611" s="5">
        <v>609</v>
      </c>
      <c r="B611" s="5">
        <v>610</v>
      </c>
      <c r="C611" s="5">
        <v>0.2576</v>
      </c>
      <c r="D611" s="5">
        <v>0.86</v>
      </c>
      <c r="E611" s="5">
        <v>0</v>
      </c>
      <c r="F611" s="5">
        <v>1</v>
      </c>
      <c r="G611" s="5">
        <v>40</v>
      </c>
      <c r="H611" s="5">
        <v>41</v>
      </c>
    </row>
  </sheetData>
  <autoFilter ref="A1:H6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B7280"/>
  </sheetPr>
  <dimension ref="A1:P39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6" width="12.7109375" customWidth="1"/>
  </cols>
  <sheetData>
    <row r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</row>
    <row r="2" spans="1:16">
      <c r="A2" s="5">
        <v>620</v>
      </c>
      <c r="B2" s="11">
        <v>40572</v>
      </c>
      <c r="C2" s="5">
        <v>1</v>
      </c>
      <c r="D2" s="5">
        <v>0</v>
      </c>
      <c r="E2" s="5">
        <v>1</v>
      </c>
      <c r="F2" s="5">
        <v>1</v>
      </c>
      <c r="G2" s="5" t="b">
        <v>0</v>
      </c>
      <c r="H2" s="5">
        <v>6</v>
      </c>
      <c r="I2" s="5">
        <v>1</v>
      </c>
      <c r="J2" s="5">
        <v>0.22</v>
      </c>
      <c r="K2" s="5">
        <v>0.2273</v>
      </c>
      <c r="L2" s="5">
        <v>0.64</v>
      </c>
      <c r="M2" s="5">
        <v>0.194</v>
      </c>
      <c r="N2" s="5">
        <v>0</v>
      </c>
      <c r="O2" s="5">
        <v>20</v>
      </c>
      <c r="P2" s="5">
        <v>20</v>
      </c>
    </row>
    <row r="3" spans="1:16">
      <c r="A3" s="5">
        <v>621</v>
      </c>
      <c r="B3" s="11">
        <v>40572</v>
      </c>
      <c r="C3" s="5">
        <v>1</v>
      </c>
      <c r="D3" s="5">
        <v>0</v>
      </c>
      <c r="E3" s="5">
        <v>1</v>
      </c>
      <c r="F3" s="5">
        <v>2</v>
      </c>
      <c r="G3" s="5" t="b">
        <v>0</v>
      </c>
      <c r="H3" s="5">
        <v>6</v>
      </c>
      <c r="I3" s="5">
        <v>1</v>
      </c>
      <c r="J3" s="5">
        <v>0.22</v>
      </c>
      <c r="K3" s="5">
        <v>0.2273</v>
      </c>
      <c r="L3" s="5">
        <v>0.64</v>
      </c>
      <c r="M3" s="5">
        <v>0.1642</v>
      </c>
      <c r="N3" s="5">
        <v>0</v>
      </c>
      <c r="O3" s="5">
        <v>15</v>
      </c>
      <c r="P3" s="5">
        <v>15</v>
      </c>
    </row>
    <row r="4" spans="1:16">
      <c r="A4" s="5">
        <v>622</v>
      </c>
      <c r="B4" s="11">
        <v>40572</v>
      </c>
      <c r="C4" s="5">
        <v>1</v>
      </c>
      <c r="D4" s="5">
        <v>0</v>
      </c>
      <c r="E4" s="5">
        <v>1</v>
      </c>
      <c r="F4" s="5">
        <v>3</v>
      </c>
      <c r="G4" s="5" t="b">
        <v>0</v>
      </c>
      <c r="H4" s="5">
        <v>6</v>
      </c>
      <c r="I4" s="5">
        <v>1</v>
      </c>
      <c r="J4" s="5">
        <v>0.2</v>
      </c>
      <c r="K4" s="5">
        <v>0.2121</v>
      </c>
      <c r="L4" s="5">
        <v>0.64</v>
      </c>
      <c r="M4" s="5">
        <v>0.1343</v>
      </c>
      <c r="N4" s="5">
        <v>3</v>
      </c>
      <c r="O4" s="5">
        <v>5</v>
      </c>
      <c r="P4" s="5">
        <v>8</v>
      </c>
    </row>
    <row r="5" spans="1:16">
      <c r="A5" s="5">
        <v>623</v>
      </c>
      <c r="B5" s="11">
        <v>40572</v>
      </c>
      <c r="C5" s="5">
        <v>1</v>
      </c>
      <c r="D5" s="5">
        <v>0</v>
      </c>
      <c r="E5" s="5">
        <v>1</v>
      </c>
      <c r="F5" s="5">
        <v>4</v>
      </c>
      <c r="G5" s="5" t="b">
        <v>0</v>
      </c>
      <c r="H5" s="5">
        <v>6</v>
      </c>
      <c r="I5" s="5">
        <v>1</v>
      </c>
      <c r="J5" s="5">
        <v>0.16</v>
      </c>
      <c r="K5" s="5">
        <v>0.1818</v>
      </c>
      <c r="L5" s="5">
        <v>0.6899999999999999</v>
      </c>
      <c r="M5" s="5">
        <v>0.1045</v>
      </c>
      <c r="N5" s="5">
        <v>1</v>
      </c>
      <c r="O5" s="5">
        <v>2</v>
      </c>
      <c r="P5" s="5">
        <v>3</v>
      </c>
    </row>
    <row r="6" spans="1:16">
      <c r="A6" s="5">
        <v>624</v>
      </c>
      <c r="B6" s="11">
        <v>40572</v>
      </c>
      <c r="C6" s="5">
        <v>1</v>
      </c>
      <c r="D6" s="5">
        <v>0</v>
      </c>
      <c r="E6" s="5">
        <v>1</v>
      </c>
      <c r="F6" s="5">
        <v>6</v>
      </c>
      <c r="G6" s="5" t="b">
        <v>0</v>
      </c>
      <c r="H6" s="5">
        <v>6</v>
      </c>
      <c r="I6" s="5">
        <v>1</v>
      </c>
      <c r="J6" s="5">
        <v>0.16</v>
      </c>
      <c r="K6" s="5">
        <v>0.1818</v>
      </c>
      <c r="L6" s="5">
        <v>0.64</v>
      </c>
      <c r="M6" s="5">
        <v>0.1343</v>
      </c>
      <c r="N6" s="5">
        <v>0</v>
      </c>
      <c r="O6" s="5">
        <v>2</v>
      </c>
      <c r="P6" s="5">
        <v>2</v>
      </c>
    </row>
    <row r="7" spans="1:16">
      <c r="A7" s="5">
        <v>625</v>
      </c>
      <c r="B7" s="11">
        <v>40572</v>
      </c>
      <c r="C7" s="5">
        <v>1</v>
      </c>
      <c r="D7" s="5">
        <v>0</v>
      </c>
      <c r="E7" s="5">
        <v>1</v>
      </c>
      <c r="F7" s="5">
        <v>7</v>
      </c>
      <c r="G7" s="5" t="b">
        <v>0</v>
      </c>
      <c r="H7" s="5">
        <v>6</v>
      </c>
      <c r="I7" s="5">
        <v>1</v>
      </c>
      <c r="J7" s="5">
        <v>0.16</v>
      </c>
      <c r="K7" s="5">
        <v>0.1818</v>
      </c>
      <c r="L7" s="5">
        <v>0.59</v>
      </c>
      <c r="M7" s="5">
        <v>0.1045</v>
      </c>
      <c r="N7" s="5">
        <v>1</v>
      </c>
      <c r="O7" s="5">
        <v>4</v>
      </c>
      <c r="P7" s="5">
        <v>5</v>
      </c>
    </row>
    <row r="8" spans="1:16">
      <c r="A8" s="5">
        <v>626</v>
      </c>
      <c r="B8" s="11">
        <v>40572</v>
      </c>
      <c r="C8" s="5">
        <v>1</v>
      </c>
      <c r="D8" s="5">
        <v>0</v>
      </c>
      <c r="E8" s="5">
        <v>1</v>
      </c>
      <c r="F8" s="5">
        <v>8</v>
      </c>
      <c r="G8" s="5" t="b">
        <v>0</v>
      </c>
      <c r="H8" s="5">
        <v>6</v>
      </c>
      <c r="I8" s="5">
        <v>1</v>
      </c>
      <c r="J8" s="5">
        <v>0.18</v>
      </c>
      <c r="K8" s="5">
        <v>0.197</v>
      </c>
      <c r="L8" s="5">
        <v>0.55</v>
      </c>
      <c r="M8" s="5">
        <v>0.1642</v>
      </c>
      <c r="N8" s="5">
        <v>3</v>
      </c>
      <c r="O8" s="5">
        <v>31</v>
      </c>
      <c r="P8" s="5">
        <v>34</v>
      </c>
    </row>
    <row r="9" spans="1:16">
      <c r="A9" s="5">
        <v>627</v>
      </c>
      <c r="B9" s="11">
        <v>40572</v>
      </c>
      <c r="C9" s="5">
        <v>1</v>
      </c>
      <c r="D9" s="5">
        <v>0</v>
      </c>
      <c r="E9" s="5">
        <v>1</v>
      </c>
      <c r="F9" s="5">
        <v>9</v>
      </c>
      <c r="G9" s="5" t="b">
        <v>0</v>
      </c>
      <c r="H9" s="5">
        <v>6</v>
      </c>
      <c r="I9" s="5">
        <v>1</v>
      </c>
      <c r="J9" s="5">
        <v>0.18</v>
      </c>
      <c r="K9" s="5">
        <v>0.2121</v>
      </c>
      <c r="L9" s="5">
        <v>0.59</v>
      </c>
      <c r="M9" s="5">
        <v>0.0896</v>
      </c>
      <c r="N9" s="5">
        <v>0</v>
      </c>
      <c r="O9" s="5">
        <v>34</v>
      </c>
      <c r="P9" s="5">
        <v>34</v>
      </c>
    </row>
    <row r="10" spans="1:16">
      <c r="A10" s="5">
        <v>628</v>
      </c>
      <c r="B10" s="11">
        <v>40572</v>
      </c>
      <c r="C10" s="5">
        <v>1</v>
      </c>
      <c r="D10" s="5">
        <v>0</v>
      </c>
      <c r="E10" s="5">
        <v>1</v>
      </c>
      <c r="F10" s="5">
        <v>10</v>
      </c>
      <c r="G10" s="5" t="b">
        <v>0</v>
      </c>
      <c r="H10" s="5">
        <v>6</v>
      </c>
      <c r="I10" s="5">
        <v>2</v>
      </c>
      <c r="J10" s="5">
        <v>0.18</v>
      </c>
      <c r="K10" s="5">
        <v>0.2121</v>
      </c>
      <c r="L10" s="5">
        <v>0.64</v>
      </c>
      <c r="M10" s="5">
        <v>0.1045</v>
      </c>
      <c r="N10" s="5">
        <v>4</v>
      </c>
      <c r="O10" s="5">
        <v>51</v>
      </c>
      <c r="P10" s="5">
        <v>55</v>
      </c>
    </row>
    <row r="11" spans="1:16">
      <c r="A11" s="5">
        <v>629</v>
      </c>
      <c r="B11" s="11">
        <v>40572</v>
      </c>
      <c r="C11" s="5">
        <v>1</v>
      </c>
      <c r="D11" s="5">
        <v>0</v>
      </c>
      <c r="E11" s="5">
        <v>1</v>
      </c>
      <c r="F11" s="5">
        <v>11</v>
      </c>
      <c r="G11" s="5" t="b">
        <v>0</v>
      </c>
      <c r="H11" s="5">
        <v>6</v>
      </c>
      <c r="I11" s="5">
        <v>2</v>
      </c>
      <c r="J11" s="5">
        <v>0.18</v>
      </c>
      <c r="K11" s="5">
        <v>0.197</v>
      </c>
      <c r="L11" s="5">
        <v>0.64</v>
      </c>
      <c r="M11" s="5">
        <v>0.1343</v>
      </c>
      <c r="N11" s="5">
        <v>4</v>
      </c>
      <c r="O11" s="5">
        <v>60</v>
      </c>
      <c r="P11" s="5">
        <v>64</v>
      </c>
    </row>
    <row r="12" spans="1:16">
      <c r="A12" s="5">
        <v>630</v>
      </c>
      <c r="B12" s="11">
        <v>40572</v>
      </c>
      <c r="C12" s="5">
        <v>1</v>
      </c>
      <c r="D12" s="5">
        <v>0</v>
      </c>
      <c r="E12" s="5">
        <v>1</v>
      </c>
      <c r="F12" s="5">
        <v>12</v>
      </c>
      <c r="G12" s="5" t="b">
        <v>0</v>
      </c>
      <c r="H12" s="5">
        <v>6</v>
      </c>
      <c r="I12" s="5">
        <v>2</v>
      </c>
      <c r="J12" s="5">
        <v>0.2</v>
      </c>
      <c r="K12" s="5">
        <v>0.197</v>
      </c>
      <c r="L12" s="5">
        <v>0.59</v>
      </c>
      <c r="M12" s="5">
        <v>0.194</v>
      </c>
      <c r="N12" s="5">
        <v>12</v>
      </c>
      <c r="O12" s="5">
        <v>66</v>
      </c>
      <c r="P12" s="5">
        <v>78</v>
      </c>
    </row>
    <row r="13" spans="1:16">
      <c r="A13" s="5">
        <v>631</v>
      </c>
      <c r="B13" s="11">
        <v>40572</v>
      </c>
      <c r="C13" s="5">
        <v>1</v>
      </c>
      <c r="D13" s="5">
        <v>0</v>
      </c>
      <c r="E13" s="5">
        <v>1</v>
      </c>
      <c r="F13" s="5">
        <v>13</v>
      </c>
      <c r="G13" s="5" t="b">
        <v>0</v>
      </c>
      <c r="H13" s="5">
        <v>6</v>
      </c>
      <c r="I13" s="5">
        <v>2</v>
      </c>
      <c r="J13" s="5">
        <v>0.22</v>
      </c>
      <c r="K13" s="5">
        <v>0.2273</v>
      </c>
      <c r="L13" s="5">
        <v>0.55</v>
      </c>
      <c r="M13" s="5">
        <v>0.1642</v>
      </c>
      <c r="N13" s="5">
        <v>9</v>
      </c>
      <c r="O13" s="5">
        <v>56</v>
      </c>
      <c r="P13" s="5">
        <v>65</v>
      </c>
    </row>
    <row r="14" spans="1:16">
      <c r="A14" s="5">
        <v>632</v>
      </c>
      <c r="B14" s="11">
        <v>40572</v>
      </c>
      <c r="C14" s="5">
        <v>1</v>
      </c>
      <c r="D14" s="5">
        <v>0</v>
      </c>
      <c r="E14" s="5">
        <v>1</v>
      </c>
      <c r="F14" s="5">
        <v>14</v>
      </c>
      <c r="G14" s="5" t="b">
        <v>0</v>
      </c>
      <c r="H14" s="5">
        <v>6</v>
      </c>
      <c r="I14" s="5">
        <v>2</v>
      </c>
      <c r="J14" s="5">
        <v>0.22</v>
      </c>
      <c r="K14" s="5">
        <v>0.2273</v>
      </c>
      <c r="L14" s="5">
        <v>0.6</v>
      </c>
      <c r="M14" s="5">
        <v>0.1343</v>
      </c>
      <c r="N14" s="5">
        <v>10</v>
      </c>
      <c r="O14" s="5">
        <v>89</v>
      </c>
      <c r="P14" s="5">
        <v>99</v>
      </c>
    </row>
    <row r="15" spans="1:16">
      <c r="A15" s="5">
        <v>633</v>
      </c>
      <c r="B15" s="11">
        <v>40572</v>
      </c>
      <c r="C15" s="5">
        <v>1</v>
      </c>
      <c r="D15" s="5">
        <v>0</v>
      </c>
      <c r="E15" s="5">
        <v>1</v>
      </c>
      <c r="F15" s="5">
        <v>15</v>
      </c>
      <c r="G15" s="5" t="b">
        <v>0</v>
      </c>
      <c r="H15" s="5">
        <v>6</v>
      </c>
      <c r="I15" s="5">
        <v>1</v>
      </c>
      <c r="J15" s="5">
        <v>0.22</v>
      </c>
      <c r="K15" s="5">
        <v>0.2121</v>
      </c>
      <c r="L15" s="5">
        <v>0.6899999999999999</v>
      </c>
      <c r="M15" s="5">
        <v>0.2537</v>
      </c>
      <c r="N15" s="5">
        <v>22</v>
      </c>
      <c r="O15" s="5">
        <v>98</v>
      </c>
      <c r="P15" s="5">
        <v>120</v>
      </c>
    </row>
    <row r="16" spans="1:16">
      <c r="A16" s="5">
        <v>634</v>
      </c>
      <c r="B16" s="11">
        <v>40572</v>
      </c>
      <c r="C16" s="5">
        <v>1</v>
      </c>
      <c r="D16" s="5">
        <v>0</v>
      </c>
      <c r="E16" s="5">
        <v>1</v>
      </c>
      <c r="F16" s="5">
        <v>16</v>
      </c>
      <c r="G16" s="5" t="b">
        <v>0</v>
      </c>
      <c r="H16" s="5">
        <v>6</v>
      </c>
      <c r="I16" s="5">
        <v>1</v>
      </c>
      <c r="J16" s="5">
        <v>0.24</v>
      </c>
      <c r="K16" s="5">
        <v>0.2424</v>
      </c>
      <c r="L16" s="5">
        <v>0.6</v>
      </c>
      <c r="M16" s="5">
        <v>0.1642</v>
      </c>
      <c r="N16" s="5">
        <v>19</v>
      </c>
      <c r="O16" s="5">
        <v>88</v>
      </c>
      <c r="P16" s="5">
        <v>107</v>
      </c>
    </row>
    <row r="17" spans="1:16">
      <c r="A17" s="5">
        <v>635</v>
      </c>
      <c r="B17" s="11">
        <v>40572</v>
      </c>
      <c r="C17" s="5">
        <v>1</v>
      </c>
      <c r="D17" s="5">
        <v>0</v>
      </c>
      <c r="E17" s="5">
        <v>1</v>
      </c>
      <c r="F17" s="5">
        <v>17</v>
      </c>
      <c r="G17" s="5" t="b">
        <v>0</v>
      </c>
      <c r="H17" s="5">
        <v>6</v>
      </c>
      <c r="I17" s="5">
        <v>1</v>
      </c>
      <c r="J17" s="5">
        <v>0.24</v>
      </c>
      <c r="K17" s="5">
        <v>0.2879</v>
      </c>
      <c r="L17" s="5">
        <v>0.6</v>
      </c>
      <c r="M17" s="5">
        <v>0</v>
      </c>
      <c r="N17" s="5">
        <v>9</v>
      </c>
      <c r="O17" s="5">
        <v>82</v>
      </c>
      <c r="P17" s="5">
        <v>91</v>
      </c>
    </row>
    <row r="18" spans="1:16">
      <c r="A18" s="5">
        <v>636</v>
      </c>
      <c r="B18" s="11">
        <v>40572</v>
      </c>
      <c r="C18" s="5">
        <v>1</v>
      </c>
      <c r="D18" s="5">
        <v>0</v>
      </c>
      <c r="E18" s="5">
        <v>1</v>
      </c>
      <c r="F18" s="5">
        <v>18</v>
      </c>
      <c r="G18" s="5" t="b">
        <v>0</v>
      </c>
      <c r="H18" s="5">
        <v>6</v>
      </c>
      <c r="I18" s="5">
        <v>1</v>
      </c>
      <c r="J18" s="5">
        <v>0.22</v>
      </c>
      <c r="K18" s="5">
        <v>0.2273</v>
      </c>
      <c r="L18" s="5">
        <v>0.6899999999999999</v>
      </c>
      <c r="M18" s="5">
        <v>0.1343</v>
      </c>
      <c r="N18" s="5">
        <v>9</v>
      </c>
      <c r="O18" s="5">
        <v>59</v>
      </c>
      <c r="P18" s="5">
        <v>68</v>
      </c>
    </row>
    <row r="19" spans="1:16">
      <c r="A19" s="5">
        <v>637</v>
      </c>
      <c r="B19" s="11">
        <v>40572</v>
      </c>
      <c r="C19" s="5">
        <v>1</v>
      </c>
      <c r="D19" s="5">
        <v>0</v>
      </c>
      <c r="E19" s="5">
        <v>1</v>
      </c>
      <c r="F19" s="5">
        <v>19</v>
      </c>
      <c r="G19" s="5" t="b">
        <v>0</v>
      </c>
      <c r="H19" s="5">
        <v>6</v>
      </c>
      <c r="I19" s="5">
        <v>2</v>
      </c>
      <c r="J19" s="5">
        <v>0.22</v>
      </c>
      <c r="K19" s="5">
        <v>0.2121</v>
      </c>
      <c r="L19" s="5">
        <v>0.6899999999999999</v>
      </c>
      <c r="M19" s="5">
        <v>0.2537</v>
      </c>
      <c r="N19" s="5">
        <v>6</v>
      </c>
      <c r="O19" s="5">
        <v>52</v>
      </c>
      <c r="P19" s="5">
        <v>58</v>
      </c>
    </row>
    <row r="20" spans="1:16">
      <c r="A20" s="5">
        <v>638</v>
      </c>
      <c r="B20" s="11">
        <v>40572</v>
      </c>
      <c r="C20" s="5">
        <v>1</v>
      </c>
      <c r="D20" s="5">
        <v>0</v>
      </c>
      <c r="E20" s="5">
        <v>1</v>
      </c>
      <c r="F20" s="5">
        <v>20</v>
      </c>
      <c r="G20" s="5" t="b">
        <v>0</v>
      </c>
      <c r="H20" s="5">
        <v>6</v>
      </c>
      <c r="I20" s="5">
        <v>1</v>
      </c>
      <c r="J20" s="5">
        <v>0.18</v>
      </c>
      <c r="K20" s="5">
        <v>0.2121</v>
      </c>
      <c r="L20" s="5">
        <v>0.74</v>
      </c>
      <c r="M20" s="5">
        <v>0.0896</v>
      </c>
      <c r="N20" s="5">
        <v>1</v>
      </c>
      <c r="O20" s="5">
        <v>42</v>
      </c>
      <c r="P20" s="5">
        <v>43</v>
      </c>
    </row>
    <row r="21" spans="1:16">
      <c r="A21" s="5">
        <v>639</v>
      </c>
      <c r="B21" s="11">
        <v>40572</v>
      </c>
      <c r="C21" s="5">
        <v>1</v>
      </c>
      <c r="D21" s="5">
        <v>0</v>
      </c>
      <c r="E21" s="5">
        <v>1</v>
      </c>
      <c r="F21" s="5">
        <v>21</v>
      </c>
      <c r="G21" s="5" t="b">
        <v>0</v>
      </c>
      <c r="H21" s="5">
        <v>6</v>
      </c>
      <c r="I21" s="5">
        <v>1</v>
      </c>
      <c r="J21" s="5">
        <v>0.18</v>
      </c>
      <c r="K21" s="5">
        <v>0.2121</v>
      </c>
      <c r="L21" s="5">
        <v>0.74</v>
      </c>
      <c r="M21" s="5">
        <v>0.0896</v>
      </c>
      <c r="N21" s="5">
        <v>1</v>
      </c>
      <c r="O21" s="5">
        <v>35</v>
      </c>
      <c r="P21" s="5">
        <v>36</v>
      </c>
    </row>
    <row r="22" spans="1:16">
      <c r="A22" s="5">
        <v>640</v>
      </c>
      <c r="B22" s="11">
        <v>40572</v>
      </c>
      <c r="C22" s="5">
        <v>1</v>
      </c>
      <c r="D22" s="5">
        <v>0</v>
      </c>
      <c r="E22" s="5">
        <v>1</v>
      </c>
      <c r="F22" s="5">
        <v>22</v>
      </c>
      <c r="G22" s="5" t="b">
        <v>0</v>
      </c>
      <c r="H22" s="5">
        <v>6</v>
      </c>
      <c r="I22" s="5">
        <v>1</v>
      </c>
      <c r="J22" s="5">
        <v>0.16</v>
      </c>
      <c r="K22" s="5">
        <v>0.197</v>
      </c>
      <c r="L22" s="5">
        <v>0.8</v>
      </c>
      <c r="M22" s="5">
        <v>0.0896</v>
      </c>
      <c r="N22" s="5">
        <v>4</v>
      </c>
      <c r="O22" s="5">
        <v>28</v>
      </c>
      <c r="P22" s="5">
        <v>32</v>
      </c>
    </row>
    <row r="23" spans="1:16">
      <c r="A23" s="5">
        <v>641</v>
      </c>
      <c r="B23" s="11">
        <v>40572</v>
      </c>
      <c r="C23" s="5">
        <v>1</v>
      </c>
      <c r="D23" s="5">
        <v>0</v>
      </c>
      <c r="E23" s="5">
        <v>1</v>
      </c>
      <c r="F23" s="5">
        <v>23</v>
      </c>
      <c r="G23" s="5" t="b">
        <v>0</v>
      </c>
      <c r="H23" s="5">
        <v>6</v>
      </c>
      <c r="I23" s="5">
        <v>1</v>
      </c>
      <c r="J23" s="5">
        <v>0.16</v>
      </c>
      <c r="K23" s="5">
        <v>0.197</v>
      </c>
      <c r="L23" s="5">
        <v>0.8</v>
      </c>
      <c r="M23" s="5">
        <v>0.0896</v>
      </c>
      <c r="N23" s="5">
        <v>3</v>
      </c>
      <c r="O23" s="5">
        <v>30</v>
      </c>
      <c r="P23" s="5">
        <v>33</v>
      </c>
    </row>
    <row r="24" spans="1:16">
      <c r="A24" s="5">
        <v>642</v>
      </c>
      <c r="B24" s="11">
        <v>40573</v>
      </c>
      <c r="C24" s="5">
        <v>1</v>
      </c>
      <c r="D24" s="5">
        <v>0</v>
      </c>
      <c r="E24" s="5">
        <v>1</v>
      </c>
      <c r="F24" s="5">
        <v>0</v>
      </c>
      <c r="G24" s="5" t="b">
        <v>0</v>
      </c>
      <c r="H24" s="5">
        <v>0</v>
      </c>
      <c r="I24" s="5">
        <v>1</v>
      </c>
      <c r="J24" s="5">
        <v>0.16</v>
      </c>
      <c r="K24" s="5">
        <v>0.1818</v>
      </c>
      <c r="L24" s="5">
        <v>0.8</v>
      </c>
      <c r="M24" s="5">
        <v>0.1045</v>
      </c>
      <c r="N24" s="5">
        <v>0</v>
      </c>
      <c r="O24" s="5">
        <v>33</v>
      </c>
      <c r="P24" s="5">
        <v>33</v>
      </c>
    </row>
    <row r="25" spans="1:16">
      <c r="A25" s="5">
        <v>643</v>
      </c>
      <c r="B25" s="11">
        <v>40573</v>
      </c>
      <c r="C25" s="5">
        <v>1</v>
      </c>
      <c r="D25" s="5">
        <v>0</v>
      </c>
      <c r="E25" s="5">
        <v>1</v>
      </c>
      <c r="F25" s="5">
        <v>1</v>
      </c>
      <c r="G25" s="5" t="b">
        <v>0</v>
      </c>
      <c r="H25" s="5">
        <v>0</v>
      </c>
      <c r="I25" s="5">
        <v>1</v>
      </c>
      <c r="J25" s="5">
        <v>0.14</v>
      </c>
      <c r="K25" s="5">
        <v>0.2121</v>
      </c>
      <c r="L25" s="5">
        <v>0.8</v>
      </c>
      <c r="M25" s="5">
        <v>0</v>
      </c>
      <c r="N25" s="5">
        <v>7</v>
      </c>
      <c r="O25" s="5">
        <v>22</v>
      </c>
      <c r="P25" s="5">
        <v>29</v>
      </c>
    </row>
    <row r="26" spans="1:16">
      <c r="A26" s="5">
        <v>644</v>
      </c>
      <c r="B26" s="11">
        <v>40573</v>
      </c>
      <c r="C26" s="5">
        <v>1</v>
      </c>
      <c r="D26" s="5">
        <v>0</v>
      </c>
      <c r="E26" s="5">
        <v>1</v>
      </c>
      <c r="F26" s="5">
        <v>2</v>
      </c>
      <c r="G26" s="5" t="b">
        <v>0</v>
      </c>
      <c r="H26" s="5">
        <v>0</v>
      </c>
      <c r="I26" s="5">
        <v>1</v>
      </c>
      <c r="J26" s="5">
        <v>0.16</v>
      </c>
      <c r="K26" s="5">
        <v>0.2273</v>
      </c>
      <c r="L26" s="5">
        <v>0.8</v>
      </c>
      <c r="M26" s="5">
        <v>0</v>
      </c>
      <c r="N26" s="5">
        <v>1</v>
      </c>
      <c r="O26" s="5">
        <v>10</v>
      </c>
      <c r="P26" s="5">
        <v>11</v>
      </c>
    </row>
    <row r="27" spans="1:16">
      <c r="A27" s="5">
        <v>645</v>
      </c>
      <c r="B27" s="11">
        <v>40573</v>
      </c>
      <c r="C27" s="5">
        <v>1</v>
      </c>
      <c r="D27" s="5">
        <v>0</v>
      </c>
      <c r="E27" s="5">
        <v>1</v>
      </c>
      <c r="F27" s="5">
        <v>3</v>
      </c>
      <c r="G27" s="5" t="b">
        <v>0</v>
      </c>
      <c r="H27" s="5">
        <v>0</v>
      </c>
      <c r="I27" s="5">
        <v>1</v>
      </c>
      <c r="J27" s="5">
        <v>0.14</v>
      </c>
      <c r="K27" s="5">
        <v>0.2121</v>
      </c>
      <c r="L27" s="5">
        <v>0.93</v>
      </c>
      <c r="M27" s="5">
        <v>0</v>
      </c>
      <c r="N27" s="5">
        <v>1</v>
      </c>
      <c r="O27" s="5">
        <v>7</v>
      </c>
      <c r="P27" s="5">
        <v>8</v>
      </c>
    </row>
    <row r="28" spans="1:16">
      <c r="A28" s="5">
        <v>646</v>
      </c>
      <c r="B28" s="11">
        <v>40573</v>
      </c>
      <c r="C28" s="5">
        <v>1</v>
      </c>
      <c r="D28" s="5">
        <v>0</v>
      </c>
      <c r="E28" s="5">
        <v>1</v>
      </c>
      <c r="F28" s="5">
        <v>4</v>
      </c>
      <c r="G28" s="5" t="b">
        <v>0</v>
      </c>
      <c r="H28" s="5">
        <v>0</v>
      </c>
      <c r="I28" s="5">
        <v>1</v>
      </c>
      <c r="J28" s="5">
        <v>0.14</v>
      </c>
      <c r="K28" s="5">
        <v>0.2121</v>
      </c>
      <c r="L28" s="5">
        <v>0.93</v>
      </c>
      <c r="M28" s="5">
        <v>0</v>
      </c>
      <c r="N28" s="5">
        <v>0</v>
      </c>
      <c r="O28" s="5">
        <v>1</v>
      </c>
      <c r="P28" s="5">
        <v>1</v>
      </c>
    </row>
    <row r="29" spans="1:16">
      <c r="A29" s="5">
        <v>647</v>
      </c>
      <c r="B29" s="11">
        <v>40573</v>
      </c>
      <c r="C29" s="5">
        <v>1</v>
      </c>
      <c r="D29" s="5">
        <v>0</v>
      </c>
      <c r="E29" s="5">
        <v>1</v>
      </c>
      <c r="F29" s="5">
        <v>5</v>
      </c>
      <c r="G29" s="5" t="b">
        <v>0</v>
      </c>
      <c r="H29" s="5">
        <v>0</v>
      </c>
      <c r="I29" s="5">
        <v>1</v>
      </c>
      <c r="J29" s="5">
        <v>0.14</v>
      </c>
      <c r="K29" s="5">
        <v>0.2121</v>
      </c>
      <c r="L29" s="5">
        <v>0.86</v>
      </c>
      <c r="M29" s="5">
        <v>0</v>
      </c>
      <c r="N29" s="5">
        <v>0</v>
      </c>
      <c r="O29" s="5">
        <v>3</v>
      </c>
      <c r="P29" s="5">
        <v>3</v>
      </c>
    </row>
    <row r="30" spans="1:16">
      <c r="A30" s="5">
        <v>648</v>
      </c>
      <c r="B30" s="11">
        <v>40573</v>
      </c>
      <c r="C30" s="5">
        <v>1</v>
      </c>
      <c r="D30" s="5">
        <v>0</v>
      </c>
      <c r="E30" s="5">
        <v>1</v>
      </c>
      <c r="F30" s="5">
        <v>7</v>
      </c>
      <c r="G30" s="5" t="b">
        <v>0</v>
      </c>
      <c r="H30" s="5">
        <v>0</v>
      </c>
      <c r="I30" s="5">
        <v>1</v>
      </c>
      <c r="J30" s="5">
        <v>0.14</v>
      </c>
      <c r="K30" s="5">
        <v>0.2121</v>
      </c>
      <c r="L30" s="5">
        <v>0.86</v>
      </c>
      <c r="M30" s="5">
        <v>0</v>
      </c>
      <c r="N30" s="5">
        <v>0</v>
      </c>
      <c r="O30" s="5">
        <v>3</v>
      </c>
      <c r="P30" s="5">
        <v>3</v>
      </c>
    </row>
    <row r="31" spans="1:16">
      <c r="A31" s="5">
        <v>649</v>
      </c>
      <c r="B31" s="11">
        <v>40573</v>
      </c>
      <c r="C31" s="5">
        <v>1</v>
      </c>
      <c r="D31" s="5">
        <v>0</v>
      </c>
      <c r="E31" s="5">
        <v>1</v>
      </c>
      <c r="F31" s="5">
        <v>8</v>
      </c>
      <c r="G31" s="5" t="b">
        <v>0</v>
      </c>
      <c r="H31" s="5">
        <v>0</v>
      </c>
      <c r="I31" s="5">
        <v>2</v>
      </c>
      <c r="J31" s="5">
        <v>0.14</v>
      </c>
      <c r="K31" s="5">
        <v>0.2121</v>
      </c>
      <c r="L31" s="5">
        <v>0.86</v>
      </c>
      <c r="M31" s="5">
        <v>0</v>
      </c>
      <c r="N31" s="5">
        <v>1</v>
      </c>
      <c r="O31" s="5">
        <v>11</v>
      </c>
      <c r="P31" s="5">
        <v>12</v>
      </c>
    </row>
    <row r="32" spans="1:16">
      <c r="A32" s="5">
        <v>650</v>
      </c>
      <c r="B32" s="11">
        <v>40573</v>
      </c>
      <c r="C32" s="5">
        <v>1</v>
      </c>
      <c r="D32" s="5">
        <v>0</v>
      </c>
      <c r="E32" s="5">
        <v>1</v>
      </c>
      <c r="F32" s="5">
        <v>9</v>
      </c>
      <c r="G32" s="5" t="b">
        <v>0</v>
      </c>
      <c r="H32" s="5">
        <v>0</v>
      </c>
      <c r="I32" s="5">
        <v>2</v>
      </c>
      <c r="J32" s="5">
        <v>0.16</v>
      </c>
      <c r="K32" s="5">
        <v>0.2273</v>
      </c>
      <c r="L32" s="5">
        <v>0.8</v>
      </c>
      <c r="M32" s="5">
        <v>0</v>
      </c>
      <c r="N32" s="5">
        <v>4</v>
      </c>
      <c r="O32" s="5">
        <v>34</v>
      </c>
      <c r="P32" s="5">
        <v>38</v>
      </c>
    </row>
    <row r="33" spans="1:16">
      <c r="A33" s="5">
        <v>651</v>
      </c>
      <c r="B33" s="11">
        <v>40573</v>
      </c>
      <c r="C33" s="5">
        <v>1</v>
      </c>
      <c r="D33" s="5">
        <v>0</v>
      </c>
      <c r="E33" s="5">
        <v>1</v>
      </c>
      <c r="F33" s="5">
        <v>10</v>
      </c>
      <c r="G33" s="5" t="b">
        <v>0</v>
      </c>
      <c r="H33" s="5">
        <v>0</v>
      </c>
      <c r="I33" s="5">
        <v>2</v>
      </c>
      <c r="J33" s="5">
        <v>0.18</v>
      </c>
      <c r="K33" s="5">
        <v>0.2424</v>
      </c>
      <c r="L33" s="5">
        <v>0.8</v>
      </c>
      <c r="M33" s="5">
        <v>0</v>
      </c>
      <c r="N33" s="5">
        <v>7</v>
      </c>
      <c r="O33" s="5">
        <v>57</v>
      </c>
      <c r="P33" s="5">
        <v>64</v>
      </c>
    </row>
    <row r="34" spans="1:16">
      <c r="A34" s="5">
        <v>652</v>
      </c>
      <c r="B34" s="11">
        <v>40573</v>
      </c>
      <c r="C34" s="5">
        <v>1</v>
      </c>
      <c r="D34" s="5">
        <v>0</v>
      </c>
      <c r="E34" s="5">
        <v>1</v>
      </c>
      <c r="F34" s="5">
        <v>11</v>
      </c>
      <c r="G34" s="5" t="b">
        <v>0</v>
      </c>
      <c r="H34" s="5">
        <v>0</v>
      </c>
      <c r="I34" s="5">
        <v>1</v>
      </c>
      <c r="J34" s="5">
        <v>0.22</v>
      </c>
      <c r="K34" s="5">
        <v>0.2727</v>
      </c>
      <c r="L34" s="5">
        <v>0.75</v>
      </c>
      <c r="M34" s="5">
        <v>0</v>
      </c>
      <c r="N34" s="5">
        <v>9</v>
      </c>
      <c r="O34" s="5">
        <v>50</v>
      </c>
      <c r="P34" s="5">
        <v>59</v>
      </c>
    </row>
    <row r="35" spans="1:16">
      <c r="A35" s="5">
        <v>653</v>
      </c>
      <c r="B35" s="11">
        <v>40573</v>
      </c>
      <c r="C35" s="5">
        <v>1</v>
      </c>
      <c r="D35" s="5">
        <v>0</v>
      </c>
      <c r="E35" s="5">
        <v>1</v>
      </c>
      <c r="F35" s="5">
        <v>12</v>
      </c>
      <c r="G35" s="5" t="b">
        <v>0</v>
      </c>
      <c r="H35" s="5">
        <v>0</v>
      </c>
      <c r="I35" s="5">
        <v>1</v>
      </c>
      <c r="J35" s="5">
        <v>0.3</v>
      </c>
      <c r="K35" s="5">
        <v>0.3182</v>
      </c>
      <c r="L35" s="5">
        <v>0.52</v>
      </c>
      <c r="M35" s="5">
        <v>0.1045</v>
      </c>
      <c r="N35" s="5">
        <v>10</v>
      </c>
      <c r="O35" s="5">
        <v>87</v>
      </c>
      <c r="P35" s="5">
        <v>97</v>
      </c>
    </row>
    <row r="36" spans="1:16">
      <c r="A36" s="5">
        <v>654</v>
      </c>
      <c r="B36" s="11">
        <v>40573</v>
      </c>
      <c r="C36" s="5">
        <v>1</v>
      </c>
      <c r="D36" s="5">
        <v>0</v>
      </c>
      <c r="E36" s="5">
        <v>1</v>
      </c>
      <c r="F36" s="5">
        <v>13</v>
      </c>
      <c r="G36" s="5" t="b">
        <v>0</v>
      </c>
      <c r="H36" s="5">
        <v>0</v>
      </c>
      <c r="I36" s="5">
        <v>1</v>
      </c>
      <c r="J36" s="5">
        <v>0.28</v>
      </c>
      <c r="K36" s="5">
        <v>0.2879</v>
      </c>
      <c r="L36" s="5">
        <v>0.61</v>
      </c>
      <c r="M36" s="5">
        <v>0.1045</v>
      </c>
      <c r="N36" s="5">
        <v>13</v>
      </c>
      <c r="O36" s="5">
        <v>71</v>
      </c>
      <c r="P36" s="5">
        <v>84</v>
      </c>
    </row>
    <row r="37" spans="1:16">
      <c r="A37" s="5">
        <v>655</v>
      </c>
      <c r="B37" s="11">
        <v>40573</v>
      </c>
      <c r="C37" s="5">
        <v>1</v>
      </c>
      <c r="D37" s="5">
        <v>0</v>
      </c>
      <c r="E37" s="5">
        <v>1</v>
      </c>
      <c r="F37" s="5">
        <v>14</v>
      </c>
      <c r="G37" s="5" t="b">
        <v>0</v>
      </c>
      <c r="H37" s="5">
        <v>0</v>
      </c>
      <c r="I37" s="5">
        <v>1</v>
      </c>
      <c r="J37" s="5">
        <v>0.28</v>
      </c>
      <c r="K37" s="5">
        <v>0.303</v>
      </c>
      <c r="L37" s="5">
        <v>0.61</v>
      </c>
      <c r="M37" s="5">
        <v>0.0896</v>
      </c>
      <c r="N37" s="5">
        <v>18</v>
      </c>
      <c r="O37" s="5">
        <v>104</v>
      </c>
      <c r="P37" s="5">
        <v>122</v>
      </c>
    </row>
    <row r="38" spans="1:16">
      <c r="A38" s="5">
        <v>656</v>
      </c>
      <c r="B38" s="11">
        <v>40573</v>
      </c>
      <c r="C38" s="5">
        <v>1</v>
      </c>
      <c r="D38" s="5">
        <v>0</v>
      </c>
      <c r="E38" s="5">
        <v>1</v>
      </c>
      <c r="F38" s="5">
        <v>15</v>
      </c>
      <c r="G38" s="5" t="b">
        <v>0</v>
      </c>
      <c r="H38" s="5">
        <v>0</v>
      </c>
      <c r="I38" s="5">
        <v>1</v>
      </c>
      <c r="J38" s="5">
        <v>0.3</v>
      </c>
      <c r="K38" s="5">
        <v>0.3333</v>
      </c>
      <c r="L38" s="5">
        <v>0.5600000000000001</v>
      </c>
      <c r="M38" s="5">
        <v>0</v>
      </c>
      <c r="N38" s="5">
        <v>14</v>
      </c>
      <c r="O38" s="5">
        <v>95</v>
      </c>
      <c r="P38" s="5">
        <v>109</v>
      </c>
    </row>
    <row r="39" spans="1:16">
      <c r="A39" s="5">
        <v>657</v>
      </c>
      <c r="B39" s="11">
        <v>40573</v>
      </c>
      <c r="C39" s="5">
        <v>1</v>
      </c>
      <c r="D39" s="5">
        <v>0</v>
      </c>
      <c r="E39" s="5">
        <v>1</v>
      </c>
      <c r="F39" s="5">
        <v>16</v>
      </c>
      <c r="G39" s="5" t="b">
        <v>0</v>
      </c>
      <c r="H39" s="5">
        <v>0</v>
      </c>
      <c r="I39" s="5">
        <v>1</v>
      </c>
      <c r="J39" s="5">
        <v>0.3</v>
      </c>
      <c r="K39" s="5">
        <v>0.3333</v>
      </c>
      <c r="L39" s="5">
        <v>0.5600000000000001</v>
      </c>
      <c r="M39" s="5">
        <v>0</v>
      </c>
      <c r="N39" s="5">
        <v>19</v>
      </c>
      <c r="O39" s="5">
        <v>104</v>
      </c>
      <c r="P39" s="5">
        <v>123</v>
      </c>
    </row>
    <row r="40" spans="1:16">
      <c r="A40" s="5">
        <v>658</v>
      </c>
      <c r="B40" s="11">
        <v>40573</v>
      </c>
      <c r="C40" s="5">
        <v>1</v>
      </c>
      <c r="D40" s="5">
        <v>0</v>
      </c>
      <c r="E40" s="5">
        <v>1</v>
      </c>
      <c r="F40" s="5">
        <v>17</v>
      </c>
      <c r="G40" s="5" t="b">
        <v>0</v>
      </c>
      <c r="H40" s="5">
        <v>0</v>
      </c>
      <c r="I40" s="5">
        <v>1</v>
      </c>
      <c r="J40" s="5">
        <v>0.3</v>
      </c>
      <c r="K40" s="5">
        <v>0.2879</v>
      </c>
      <c r="L40" s="5">
        <v>0.5600000000000001</v>
      </c>
      <c r="M40" s="5">
        <v>0.194</v>
      </c>
      <c r="N40" s="5">
        <v>6</v>
      </c>
      <c r="O40" s="5">
        <v>71</v>
      </c>
      <c r="P40" s="5">
        <v>77</v>
      </c>
    </row>
    <row r="41" spans="1:16">
      <c r="A41" s="5">
        <v>659</v>
      </c>
      <c r="B41" s="11">
        <v>40573</v>
      </c>
      <c r="C41" s="5">
        <v>1</v>
      </c>
      <c r="D41" s="5">
        <v>0</v>
      </c>
      <c r="E41" s="5">
        <v>1</v>
      </c>
      <c r="F41" s="5">
        <v>18</v>
      </c>
      <c r="G41" s="5" t="b">
        <v>0</v>
      </c>
      <c r="H41" s="5">
        <v>0</v>
      </c>
      <c r="I41" s="5">
        <v>1</v>
      </c>
      <c r="J41" s="5">
        <v>0.26</v>
      </c>
      <c r="K41" s="5">
        <v>0.2576</v>
      </c>
      <c r="L41" s="5">
        <v>0.65</v>
      </c>
      <c r="M41" s="5">
        <v>0.1642</v>
      </c>
      <c r="N41" s="5">
        <v>8</v>
      </c>
      <c r="O41" s="5">
        <v>57</v>
      </c>
      <c r="P41" s="5">
        <v>65</v>
      </c>
    </row>
    <row r="42" spans="1:16">
      <c r="A42" s="5">
        <v>660</v>
      </c>
      <c r="B42" s="11">
        <v>40573</v>
      </c>
      <c r="C42" s="5">
        <v>1</v>
      </c>
      <c r="D42" s="5">
        <v>0</v>
      </c>
      <c r="E42" s="5">
        <v>1</v>
      </c>
      <c r="F42" s="5">
        <v>19</v>
      </c>
      <c r="G42" s="5" t="b">
        <v>0</v>
      </c>
      <c r="H42" s="5">
        <v>0</v>
      </c>
      <c r="I42" s="5">
        <v>1</v>
      </c>
      <c r="J42" s="5">
        <v>0.26</v>
      </c>
      <c r="K42" s="5">
        <v>0.2576</v>
      </c>
      <c r="L42" s="5">
        <v>0.65</v>
      </c>
      <c r="M42" s="5">
        <v>0.194</v>
      </c>
      <c r="N42" s="5">
        <v>9</v>
      </c>
      <c r="O42" s="5">
        <v>46</v>
      </c>
      <c r="P42" s="5">
        <v>55</v>
      </c>
    </row>
    <row r="43" spans="1:16">
      <c r="A43" s="5">
        <v>661</v>
      </c>
      <c r="B43" s="11">
        <v>40573</v>
      </c>
      <c r="C43" s="5">
        <v>1</v>
      </c>
      <c r="D43" s="5">
        <v>0</v>
      </c>
      <c r="E43" s="5">
        <v>1</v>
      </c>
      <c r="F43" s="5">
        <v>20</v>
      </c>
      <c r="G43" s="5" t="b">
        <v>0</v>
      </c>
      <c r="H43" s="5">
        <v>0</v>
      </c>
      <c r="I43" s="5">
        <v>2</v>
      </c>
      <c r="J43" s="5">
        <v>0.26</v>
      </c>
      <c r="K43" s="5">
        <v>0.2727</v>
      </c>
      <c r="L43" s="5">
        <v>0.65</v>
      </c>
      <c r="M43" s="5">
        <v>0.1045</v>
      </c>
      <c r="N43" s="5">
        <v>3</v>
      </c>
      <c r="O43" s="5">
        <v>30</v>
      </c>
      <c r="P43" s="5">
        <v>33</v>
      </c>
    </row>
    <row r="44" spans="1:16">
      <c r="A44" s="5">
        <v>662</v>
      </c>
      <c r="B44" s="11">
        <v>40573</v>
      </c>
      <c r="C44" s="5">
        <v>1</v>
      </c>
      <c r="D44" s="5">
        <v>0</v>
      </c>
      <c r="E44" s="5">
        <v>1</v>
      </c>
      <c r="F44" s="5">
        <v>21</v>
      </c>
      <c r="G44" s="5" t="b">
        <v>0</v>
      </c>
      <c r="H44" s="5">
        <v>0</v>
      </c>
      <c r="I44" s="5">
        <v>2</v>
      </c>
      <c r="J44" s="5">
        <v>0.24</v>
      </c>
      <c r="K44" s="5">
        <v>0.2424</v>
      </c>
      <c r="L44" s="5">
        <v>0.7</v>
      </c>
      <c r="M44" s="5">
        <v>0.1642</v>
      </c>
      <c r="N44" s="5">
        <v>3</v>
      </c>
      <c r="O44" s="5">
        <v>25</v>
      </c>
      <c r="P44" s="5">
        <v>28</v>
      </c>
    </row>
    <row r="45" spans="1:16">
      <c r="A45" s="5">
        <v>663</v>
      </c>
      <c r="B45" s="11">
        <v>40573</v>
      </c>
      <c r="C45" s="5">
        <v>1</v>
      </c>
      <c r="D45" s="5">
        <v>0</v>
      </c>
      <c r="E45" s="5">
        <v>1</v>
      </c>
      <c r="F45" s="5">
        <v>22</v>
      </c>
      <c r="G45" s="5" t="b">
        <v>0</v>
      </c>
      <c r="H45" s="5">
        <v>0</v>
      </c>
      <c r="I45" s="5">
        <v>2</v>
      </c>
      <c r="J45" s="5">
        <v>0.24</v>
      </c>
      <c r="K45" s="5">
        <v>0.2273</v>
      </c>
      <c r="L45" s="5">
        <v>0.7</v>
      </c>
      <c r="M45" s="5">
        <v>0.194</v>
      </c>
      <c r="N45" s="5">
        <v>2</v>
      </c>
      <c r="O45" s="5">
        <v>19</v>
      </c>
      <c r="P45" s="5">
        <v>21</v>
      </c>
    </row>
    <row r="46" spans="1:16">
      <c r="A46" s="5">
        <v>664</v>
      </c>
      <c r="B46" s="11">
        <v>40573</v>
      </c>
      <c r="C46" s="5">
        <v>1</v>
      </c>
      <c r="D46" s="5">
        <v>0</v>
      </c>
      <c r="E46" s="5">
        <v>1</v>
      </c>
      <c r="F46" s="5">
        <v>23</v>
      </c>
      <c r="G46" s="5" t="b">
        <v>0</v>
      </c>
      <c r="H46" s="5">
        <v>0</v>
      </c>
      <c r="I46" s="5">
        <v>2</v>
      </c>
      <c r="J46" s="5">
        <v>0.24</v>
      </c>
      <c r="K46" s="5">
        <v>0.2121</v>
      </c>
      <c r="L46" s="5">
        <v>0.65</v>
      </c>
      <c r="M46" s="5">
        <v>0.2836</v>
      </c>
      <c r="N46" s="5">
        <v>5</v>
      </c>
      <c r="O46" s="5">
        <v>16</v>
      </c>
      <c r="P46" s="5">
        <v>21</v>
      </c>
    </row>
    <row r="47" spans="1:16">
      <c r="A47" s="5">
        <v>665</v>
      </c>
      <c r="B47" s="11">
        <v>40574</v>
      </c>
      <c r="C47" s="5">
        <v>1</v>
      </c>
      <c r="D47" s="5">
        <v>0</v>
      </c>
      <c r="E47" s="5">
        <v>1</v>
      </c>
      <c r="F47" s="5">
        <v>0</v>
      </c>
      <c r="G47" s="5" t="b">
        <v>0</v>
      </c>
      <c r="H47" s="5">
        <v>1</v>
      </c>
      <c r="I47" s="5">
        <v>2</v>
      </c>
      <c r="J47" s="5">
        <v>0.24</v>
      </c>
      <c r="K47" s="5">
        <v>0.2273</v>
      </c>
      <c r="L47" s="5">
        <v>0.65</v>
      </c>
      <c r="M47" s="5">
        <v>0.2239</v>
      </c>
      <c r="N47" s="5">
        <v>1</v>
      </c>
      <c r="O47" s="5">
        <v>6</v>
      </c>
      <c r="P47" s="5">
        <v>7</v>
      </c>
    </row>
    <row r="48" spans="1:16">
      <c r="A48" s="5">
        <v>666</v>
      </c>
      <c r="B48" s="11">
        <v>40574</v>
      </c>
      <c r="C48" s="5">
        <v>1</v>
      </c>
      <c r="D48" s="5">
        <v>0</v>
      </c>
      <c r="E48" s="5">
        <v>1</v>
      </c>
      <c r="F48" s="5">
        <v>1</v>
      </c>
      <c r="G48" s="5" t="b">
        <v>0</v>
      </c>
      <c r="H48" s="5">
        <v>1</v>
      </c>
      <c r="I48" s="5">
        <v>1</v>
      </c>
      <c r="J48" s="5">
        <v>0.22</v>
      </c>
      <c r="K48" s="5">
        <v>0.2121</v>
      </c>
      <c r="L48" s="5">
        <v>0.64</v>
      </c>
      <c r="M48" s="5">
        <v>0.2537</v>
      </c>
      <c r="N48" s="5">
        <v>2</v>
      </c>
      <c r="O48" s="5">
        <v>5</v>
      </c>
      <c r="P48" s="5">
        <v>7</v>
      </c>
    </row>
    <row r="49" spans="1:16">
      <c r="A49" s="5">
        <v>667</v>
      </c>
      <c r="B49" s="11">
        <v>40574</v>
      </c>
      <c r="C49" s="5">
        <v>1</v>
      </c>
      <c r="D49" s="5">
        <v>0</v>
      </c>
      <c r="E49" s="5">
        <v>1</v>
      </c>
      <c r="F49" s="5">
        <v>2</v>
      </c>
      <c r="G49" s="5" t="b">
        <v>0</v>
      </c>
      <c r="H49" s="5">
        <v>1</v>
      </c>
      <c r="I49" s="5">
        <v>1</v>
      </c>
      <c r="J49" s="5">
        <v>0.22</v>
      </c>
      <c r="K49" s="5">
        <v>0.2273</v>
      </c>
      <c r="L49" s="5">
        <v>0.64</v>
      </c>
      <c r="M49" s="5">
        <v>0.194</v>
      </c>
      <c r="N49" s="5">
        <v>0</v>
      </c>
      <c r="O49" s="5">
        <v>1</v>
      </c>
      <c r="P49" s="5">
        <v>1</v>
      </c>
    </row>
    <row r="50" spans="1:16">
      <c r="A50" s="5">
        <v>668</v>
      </c>
      <c r="B50" s="11">
        <v>40574</v>
      </c>
      <c r="C50" s="5">
        <v>1</v>
      </c>
      <c r="D50" s="5">
        <v>0</v>
      </c>
      <c r="E50" s="5">
        <v>1</v>
      </c>
      <c r="F50" s="5">
        <v>3</v>
      </c>
      <c r="G50" s="5" t="b">
        <v>0</v>
      </c>
      <c r="H50" s="5">
        <v>1</v>
      </c>
      <c r="I50" s="5">
        <v>1</v>
      </c>
      <c r="J50" s="5">
        <v>0.22</v>
      </c>
      <c r="K50" s="5">
        <v>0.2273</v>
      </c>
      <c r="L50" s="5">
        <v>0.64</v>
      </c>
      <c r="M50" s="5">
        <v>0.194</v>
      </c>
      <c r="N50" s="5">
        <v>0</v>
      </c>
      <c r="O50" s="5">
        <v>2</v>
      </c>
      <c r="P50" s="5">
        <v>2</v>
      </c>
    </row>
    <row r="51" spans="1:16">
      <c r="A51" s="5">
        <v>669</v>
      </c>
      <c r="B51" s="11">
        <v>40574</v>
      </c>
      <c r="C51" s="5">
        <v>1</v>
      </c>
      <c r="D51" s="5">
        <v>0</v>
      </c>
      <c r="E51" s="5">
        <v>1</v>
      </c>
      <c r="F51" s="5">
        <v>4</v>
      </c>
      <c r="G51" s="5" t="b">
        <v>0</v>
      </c>
      <c r="H51" s="5">
        <v>1</v>
      </c>
      <c r="I51" s="5">
        <v>1</v>
      </c>
      <c r="J51" s="5">
        <v>0.2</v>
      </c>
      <c r="K51" s="5">
        <v>0.197</v>
      </c>
      <c r="L51" s="5">
        <v>0.59</v>
      </c>
      <c r="M51" s="5">
        <v>0.2239</v>
      </c>
      <c r="N51" s="5">
        <v>0</v>
      </c>
      <c r="O51" s="5">
        <v>2</v>
      </c>
      <c r="P51" s="5">
        <v>2</v>
      </c>
    </row>
    <row r="52" spans="1:16">
      <c r="A52" s="5">
        <v>670</v>
      </c>
      <c r="B52" s="11">
        <v>40574</v>
      </c>
      <c r="C52" s="5">
        <v>1</v>
      </c>
      <c r="D52" s="5">
        <v>0</v>
      </c>
      <c r="E52" s="5">
        <v>1</v>
      </c>
      <c r="F52" s="5">
        <v>5</v>
      </c>
      <c r="G52" s="5" t="b">
        <v>0</v>
      </c>
      <c r="H52" s="5">
        <v>1</v>
      </c>
      <c r="I52" s="5">
        <v>1</v>
      </c>
      <c r="J52" s="5">
        <v>0.18</v>
      </c>
      <c r="K52" s="5">
        <v>0.1667</v>
      </c>
      <c r="L52" s="5">
        <v>0.64</v>
      </c>
      <c r="M52" s="5">
        <v>0.2836</v>
      </c>
      <c r="N52" s="5">
        <v>0</v>
      </c>
      <c r="O52" s="5">
        <v>8</v>
      </c>
      <c r="P52" s="5">
        <v>8</v>
      </c>
    </row>
    <row r="53" spans="1:16">
      <c r="A53" s="5">
        <v>671</v>
      </c>
      <c r="B53" s="11">
        <v>40574</v>
      </c>
      <c r="C53" s="5">
        <v>1</v>
      </c>
      <c r="D53" s="5">
        <v>0</v>
      </c>
      <c r="E53" s="5">
        <v>1</v>
      </c>
      <c r="F53" s="5">
        <v>6</v>
      </c>
      <c r="G53" s="5" t="b">
        <v>0</v>
      </c>
      <c r="H53" s="5">
        <v>1</v>
      </c>
      <c r="I53" s="5">
        <v>1</v>
      </c>
      <c r="J53" s="5">
        <v>0.16</v>
      </c>
      <c r="K53" s="5">
        <v>0.1364</v>
      </c>
      <c r="L53" s="5">
        <v>0.6899999999999999</v>
      </c>
      <c r="M53" s="5">
        <v>0.3284</v>
      </c>
      <c r="N53" s="5">
        <v>0</v>
      </c>
      <c r="O53" s="5">
        <v>37</v>
      </c>
      <c r="P53" s="5">
        <v>37</v>
      </c>
    </row>
    <row r="54" spans="1:16">
      <c r="A54" s="5">
        <v>672</v>
      </c>
      <c r="B54" s="11">
        <v>40574</v>
      </c>
      <c r="C54" s="5">
        <v>1</v>
      </c>
      <c r="D54" s="5">
        <v>0</v>
      </c>
      <c r="E54" s="5">
        <v>1</v>
      </c>
      <c r="F54" s="5">
        <v>7</v>
      </c>
      <c r="G54" s="5" t="b">
        <v>0</v>
      </c>
      <c r="H54" s="5">
        <v>1</v>
      </c>
      <c r="I54" s="5">
        <v>2</v>
      </c>
      <c r="J54" s="5">
        <v>0.16</v>
      </c>
      <c r="K54" s="5">
        <v>0.1364</v>
      </c>
      <c r="L54" s="5">
        <v>0.64</v>
      </c>
      <c r="M54" s="5">
        <v>0.2836</v>
      </c>
      <c r="N54" s="5">
        <v>1</v>
      </c>
      <c r="O54" s="5">
        <v>71</v>
      </c>
      <c r="P54" s="5">
        <v>72</v>
      </c>
    </row>
    <row r="55" spans="1:16">
      <c r="A55" s="5">
        <v>673</v>
      </c>
      <c r="B55" s="11">
        <v>40574</v>
      </c>
      <c r="C55" s="5">
        <v>1</v>
      </c>
      <c r="D55" s="5">
        <v>0</v>
      </c>
      <c r="E55" s="5">
        <v>1</v>
      </c>
      <c r="F55" s="5">
        <v>8</v>
      </c>
      <c r="G55" s="5" t="b">
        <v>0</v>
      </c>
      <c r="H55" s="5">
        <v>1</v>
      </c>
      <c r="I55" s="5">
        <v>2</v>
      </c>
      <c r="J55" s="5">
        <v>0.16</v>
      </c>
      <c r="K55" s="5">
        <v>0.1364</v>
      </c>
      <c r="L55" s="5">
        <v>0.59</v>
      </c>
      <c r="M55" s="5">
        <v>0.2836</v>
      </c>
      <c r="N55" s="5">
        <v>3</v>
      </c>
      <c r="O55" s="5">
        <v>182</v>
      </c>
      <c r="P55" s="5">
        <v>185</v>
      </c>
    </row>
    <row r="56" spans="1:16">
      <c r="A56" s="5">
        <v>674</v>
      </c>
      <c r="B56" s="11">
        <v>40574</v>
      </c>
      <c r="C56" s="5">
        <v>1</v>
      </c>
      <c r="D56" s="5">
        <v>0</v>
      </c>
      <c r="E56" s="5">
        <v>1</v>
      </c>
      <c r="F56" s="5">
        <v>9</v>
      </c>
      <c r="G56" s="5" t="b">
        <v>0</v>
      </c>
      <c r="H56" s="5">
        <v>1</v>
      </c>
      <c r="I56" s="5">
        <v>2</v>
      </c>
      <c r="J56" s="5">
        <v>0.16</v>
      </c>
      <c r="K56" s="5">
        <v>0.1364</v>
      </c>
      <c r="L56" s="5">
        <v>0.59</v>
      </c>
      <c r="M56" s="5">
        <v>0.2985</v>
      </c>
      <c r="N56" s="5">
        <v>0</v>
      </c>
      <c r="O56" s="5">
        <v>112</v>
      </c>
      <c r="P56" s="5">
        <v>112</v>
      </c>
    </row>
    <row r="57" spans="1:16">
      <c r="A57" s="5">
        <v>675</v>
      </c>
      <c r="B57" s="11">
        <v>40574</v>
      </c>
      <c r="C57" s="5">
        <v>1</v>
      </c>
      <c r="D57" s="5">
        <v>0</v>
      </c>
      <c r="E57" s="5">
        <v>1</v>
      </c>
      <c r="F57" s="5">
        <v>10</v>
      </c>
      <c r="G57" s="5" t="b">
        <v>0</v>
      </c>
      <c r="H57" s="5">
        <v>1</v>
      </c>
      <c r="I57" s="5">
        <v>2</v>
      </c>
      <c r="J57" s="5">
        <v>0.16</v>
      </c>
      <c r="K57" s="5">
        <v>0.1515</v>
      </c>
      <c r="L57" s="5">
        <v>0.59</v>
      </c>
      <c r="M57" s="5">
        <v>0.194</v>
      </c>
      <c r="N57" s="5">
        <v>1</v>
      </c>
      <c r="O57" s="5">
        <v>68</v>
      </c>
      <c r="P57" s="5">
        <v>69</v>
      </c>
    </row>
    <row r="58" spans="1:16">
      <c r="A58" s="5">
        <v>676</v>
      </c>
      <c r="B58" s="11">
        <v>40574</v>
      </c>
      <c r="C58" s="5">
        <v>1</v>
      </c>
      <c r="D58" s="5">
        <v>0</v>
      </c>
      <c r="E58" s="5">
        <v>1</v>
      </c>
      <c r="F58" s="5">
        <v>11</v>
      </c>
      <c r="G58" s="5" t="b">
        <v>0</v>
      </c>
      <c r="H58" s="5">
        <v>1</v>
      </c>
      <c r="I58" s="5">
        <v>2</v>
      </c>
      <c r="J58" s="5">
        <v>0.16</v>
      </c>
      <c r="K58" s="5">
        <v>0.1515</v>
      </c>
      <c r="L58" s="5">
        <v>0.59</v>
      </c>
      <c r="M58" s="5">
        <v>0.194</v>
      </c>
      <c r="N58" s="5">
        <v>2</v>
      </c>
      <c r="O58" s="5">
        <v>46</v>
      </c>
      <c r="P58" s="5">
        <v>48</v>
      </c>
    </row>
    <row r="59" spans="1:16">
      <c r="A59" s="5">
        <v>677</v>
      </c>
      <c r="B59" s="11">
        <v>40574</v>
      </c>
      <c r="C59" s="5">
        <v>1</v>
      </c>
      <c r="D59" s="5">
        <v>0</v>
      </c>
      <c r="E59" s="5">
        <v>1</v>
      </c>
      <c r="F59" s="5">
        <v>12</v>
      </c>
      <c r="G59" s="5" t="b">
        <v>0</v>
      </c>
      <c r="H59" s="5">
        <v>1</v>
      </c>
      <c r="I59" s="5">
        <v>2</v>
      </c>
      <c r="J59" s="5">
        <v>0.18</v>
      </c>
      <c r="K59" s="5">
        <v>0.2121</v>
      </c>
      <c r="L59" s="5">
        <v>0.55</v>
      </c>
      <c r="M59" s="5">
        <v>0.1045</v>
      </c>
      <c r="N59" s="5">
        <v>6</v>
      </c>
      <c r="O59" s="5">
        <v>62</v>
      </c>
      <c r="P59" s="5">
        <v>68</v>
      </c>
    </row>
    <row r="60" spans="1:16">
      <c r="A60" s="5">
        <v>678</v>
      </c>
      <c r="B60" s="11">
        <v>40574</v>
      </c>
      <c r="C60" s="5">
        <v>1</v>
      </c>
      <c r="D60" s="5">
        <v>0</v>
      </c>
      <c r="E60" s="5">
        <v>1</v>
      </c>
      <c r="F60" s="5">
        <v>13</v>
      </c>
      <c r="G60" s="5" t="b">
        <v>0</v>
      </c>
      <c r="H60" s="5">
        <v>1</v>
      </c>
      <c r="I60" s="5">
        <v>2</v>
      </c>
      <c r="J60" s="5">
        <v>0.16</v>
      </c>
      <c r="K60" s="5">
        <v>0.2273</v>
      </c>
      <c r="L60" s="5">
        <v>0.59</v>
      </c>
      <c r="M60" s="5">
        <v>0</v>
      </c>
      <c r="N60" s="5">
        <v>2</v>
      </c>
      <c r="O60" s="5">
        <v>52</v>
      </c>
      <c r="P60" s="5">
        <v>54</v>
      </c>
    </row>
    <row r="61" spans="1:16">
      <c r="A61" s="5">
        <v>679</v>
      </c>
      <c r="B61" s="11">
        <v>40574</v>
      </c>
      <c r="C61" s="5">
        <v>1</v>
      </c>
      <c r="D61" s="5">
        <v>0</v>
      </c>
      <c r="E61" s="5">
        <v>1</v>
      </c>
      <c r="F61" s="5">
        <v>14</v>
      </c>
      <c r="G61" s="5" t="b">
        <v>0</v>
      </c>
      <c r="H61" s="5">
        <v>1</v>
      </c>
      <c r="I61" s="5">
        <v>2</v>
      </c>
      <c r="J61" s="5">
        <v>0.18</v>
      </c>
      <c r="K61" s="5">
        <v>0.197</v>
      </c>
      <c r="L61" s="5">
        <v>0.55</v>
      </c>
      <c r="M61" s="5">
        <v>0.1343</v>
      </c>
      <c r="N61" s="5">
        <v>1</v>
      </c>
      <c r="O61" s="5">
        <v>85</v>
      </c>
      <c r="P61" s="5">
        <v>86</v>
      </c>
    </row>
    <row r="62" spans="1:16">
      <c r="A62" s="5">
        <v>680</v>
      </c>
      <c r="B62" s="11">
        <v>40574</v>
      </c>
      <c r="C62" s="5">
        <v>1</v>
      </c>
      <c r="D62" s="5">
        <v>0</v>
      </c>
      <c r="E62" s="5">
        <v>1</v>
      </c>
      <c r="F62" s="5">
        <v>15</v>
      </c>
      <c r="G62" s="5" t="b">
        <v>0</v>
      </c>
      <c r="H62" s="5">
        <v>1</v>
      </c>
      <c r="I62" s="5">
        <v>2</v>
      </c>
      <c r="J62" s="5">
        <v>0.16</v>
      </c>
      <c r="K62" s="5">
        <v>0.1818</v>
      </c>
      <c r="L62" s="5">
        <v>0.59</v>
      </c>
      <c r="M62" s="5">
        <v>0.1343</v>
      </c>
      <c r="N62" s="5">
        <v>3</v>
      </c>
      <c r="O62" s="5">
        <v>41</v>
      </c>
      <c r="P62" s="5">
        <v>44</v>
      </c>
    </row>
    <row r="63" spans="1:16">
      <c r="A63" s="5">
        <v>681</v>
      </c>
      <c r="B63" s="11">
        <v>40574</v>
      </c>
      <c r="C63" s="5">
        <v>1</v>
      </c>
      <c r="D63" s="5">
        <v>0</v>
      </c>
      <c r="E63" s="5">
        <v>1</v>
      </c>
      <c r="F63" s="5">
        <v>16</v>
      </c>
      <c r="G63" s="5" t="b">
        <v>0</v>
      </c>
      <c r="H63" s="5">
        <v>1</v>
      </c>
      <c r="I63" s="5">
        <v>2</v>
      </c>
      <c r="J63" s="5">
        <v>0.16</v>
      </c>
      <c r="K63" s="5">
        <v>0.1818</v>
      </c>
      <c r="L63" s="5">
        <v>0.5600000000000001</v>
      </c>
      <c r="M63" s="5">
        <v>0.194</v>
      </c>
      <c r="N63" s="5">
        <v>3</v>
      </c>
      <c r="O63" s="5">
        <v>83</v>
      </c>
      <c r="P63" s="5">
        <v>86</v>
      </c>
    </row>
    <row r="64" spans="1:16">
      <c r="A64" s="5">
        <v>682</v>
      </c>
      <c r="B64" s="11">
        <v>40574</v>
      </c>
      <c r="C64" s="5">
        <v>1</v>
      </c>
      <c r="D64" s="5">
        <v>0</v>
      </c>
      <c r="E64" s="5">
        <v>1</v>
      </c>
      <c r="F64" s="5">
        <v>17</v>
      </c>
      <c r="G64" s="5" t="b">
        <v>0</v>
      </c>
      <c r="H64" s="5">
        <v>1</v>
      </c>
      <c r="I64" s="5">
        <v>2</v>
      </c>
      <c r="J64" s="5">
        <v>0.16</v>
      </c>
      <c r="K64" s="5">
        <v>0.1515</v>
      </c>
      <c r="L64" s="5">
        <v>0.59</v>
      </c>
      <c r="M64" s="5">
        <v>0.194</v>
      </c>
      <c r="N64" s="5">
        <v>6</v>
      </c>
      <c r="O64" s="5">
        <v>155</v>
      </c>
      <c r="P64" s="5">
        <v>161</v>
      </c>
    </row>
    <row r="65" spans="1:16">
      <c r="A65" s="5">
        <v>683</v>
      </c>
      <c r="B65" s="11">
        <v>40574</v>
      </c>
      <c r="C65" s="5">
        <v>1</v>
      </c>
      <c r="D65" s="5">
        <v>0</v>
      </c>
      <c r="E65" s="5">
        <v>1</v>
      </c>
      <c r="F65" s="5">
        <v>18</v>
      </c>
      <c r="G65" s="5" t="b">
        <v>0</v>
      </c>
      <c r="H65" s="5">
        <v>1</v>
      </c>
      <c r="I65" s="5">
        <v>2</v>
      </c>
      <c r="J65" s="5">
        <v>0.16</v>
      </c>
      <c r="K65" s="5">
        <v>0.1515</v>
      </c>
      <c r="L65" s="5">
        <v>0.55</v>
      </c>
      <c r="M65" s="5">
        <v>0.2239</v>
      </c>
      <c r="N65" s="5">
        <v>3</v>
      </c>
      <c r="O65" s="5">
        <v>153</v>
      </c>
      <c r="P65" s="5">
        <v>156</v>
      </c>
    </row>
    <row r="66" spans="1:16">
      <c r="A66" s="5">
        <v>684</v>
      </c>
      <c r="B66" s="11">
        <v>40574</v>
      </c>
      <c r="C66" s="5">
        <v>1</v>
      </c>
      <c r="D66" s="5">
        <v>0</v>
      </c>
      <c r="E66" s="5">
        <v>1</v>
      </c>
      <c r="F66" s="5">
        <v>19</v>
      </c>
      <c r="G66" s="5" t="b">
        <v>0</v>
      </c>
      <c r="H66" s="5">
        <v>1</v>
      </c>
      <c r="I66" s="5">
        <v>1</v>
      </c>
      <c r="J66" s="5">
        <v>0.3</v>
      </c>
      <c r="K66" s="5">
        <v>0.3182</v>
      </c>
      <c r="L66" s="5">
        <v>0.61</v>
      </c>
      <c r="M66" s="5">
        <v>0.1045</v>
      </c>
      <c r="N66" s="5">
        <v>3</v>
      </c>
      <c r="O66" s="5">
        <v>108</v>
      </c>
      <c r="P66" s="5">
        <v>111</v>
      </c>
    </row>
    <row r="67" spans="1:16">
      <c r="A67" s="5">
        <v>685</v>
      </c>
      <c r="B67" s="11">
        <v>40574</v>
      </c>
      <c r="C67" s="5">
        <v>1</v>
      </c>
      <c r="D67" s="5">
        <v>0</v>
      </c>
      <c r="E67" s="5">
        <v>1</v>
      </c>
      <c r="F67" s="5">
        <v>20</v>
      </c>
      <c r="G67" s="5" t="b">
        <v>0</v>
      </c>
      <c r="H67" s="5">
        <v>1</v>
      </c>
      <c r="I67" s="5">
        <v>3</v>
      </c>
      <c r="J67" s="5">
        <v>0.16</v>
      </c>
      <c r="K67" s="5">
        <v>0.1667</v>
      </c>
      <c r="L67" s="5">
        <v>0.59</v>
      </c>
      <c r="M67" s="5">
        <v>0.1642</v>
      </c>
      <c r="N67" s="5">
        <v>0</v>
      </c>
      <c r="O67" s="5">
        <v>78</v>
      </c>
      <c r="P67" s="5">
        <v>78</v>
      </c>
    </row>
    <row r="68" spans="1:16">
      <c r="A68" s="5">
        <v>686</v>
      </c>
      <c r="B68" s="11">
        <v>40574</v>
      </c>
      <c r="C68" s="5">
        <v>1</v>
      </c>
      <c r="D68" s="5">
        <v>0</v>
      </c>
      <c r="E68" s="5">
        <v>1</v>
      </c>
      <c r="F68" s="5">
        <v>21</v>
      </c>
      <c r="G68" s="5" t="b">
        <v>0</v>
      </c>
      <c r="H68" s="5">
        <v>1</v>
      </c>
      <c r="I68" s="5">
        <v>3</v>
      </c>
      <c r="J68" s="5">
        <v>0.16</v>
      </c>
      <c r="K68" s="5">
        <v>0.197</v>
      </c>
      <c r="L68" s="5">
        <v>0.59</v>
      </c>
      <c r="M68" s="5">
        <v>0.0896</v>
      </c>
      <c r="N68" s="5">
        <v>3</v>
      </c>
      <c r="O68" s="5">
        <v>53</v>
      </c>
      <c r="P68" s="5">
        <v>56</v>
      </c>
    </row>
    <row r="69" spans="1:16">
      <c r="A69" s="5">
        <v>687</v>
      </c>
      <c r="B69" s="11">
        <v>40574</v>
      </c>
      <c r="C69" s="5">
        <v>1</v>
      </c>
      <c r="D69" s="5">
        <v>0</v>
      </c>
      <c r="E69" s="5">
        <v>1</v>
      </c>
      <c r="F69" s="5">
        <v>22</v>
      </c>
      <c r="G69" s="5" t="b">
        <v>0</v>
      </c>
      <c r="H69" s="5">
        <v>1</v>
      </c>
      <c r="I69" s="5">
        <v>2</v>
      </c>
      <c r="J69" s="5">
        <v>0.16</v>
      </c>
      <c r="K69" s="5">
        <v>0.1818</v>
      </c>
      <c r="L69" s="5">
        <v>0.59</v>
      </c>
      <c r="M69" s="5">
        <v>0.1045</v>
      </c>
      <c r="N69" s="5">
        <v>0</v>
      </c>
      <c r="O69" s="5">
        <v>34</v>
      </c>
      <c r="P69" s="5">
        <v>34</v>
      </c>
    </row>
    <row r="70" spans="1:16">
      <c r="A70" s="5">
        <v>688</v>
      </c>
      <c r="B70" s="11">
        <v>40574</v>
      </c>
      <c r="C70" s="5">
        <v>1</v>
      </c>
      <c r="D70" s="5">
        <v>0</v>
      </c>
      <c r="E70" s="5">
        <v>1</v>
      </c>
      <c r="F70" s="5">
        <v>23</v>
      </c>
      <c r="G70" s="5" t="b">
        <v>0</v>
      </c>
      <c r="H70" s="5">
        <v>1</v>
      </c>
      <c r="I70" s="5">
        <v>2</v>
      </c>
      <c r="J70" s="5">
        <v>0.16</v>
      </c>
      <c r="K70" s="5">
        <v>0.197</v>
      </c>
      <c r="L70" s="5">
        <v>0.64</v>
      </c>
      <c r="M70" s="5">
        <v>0.0896</v>
      </c>
      <c r="N70" s="5">
        <v>2</v>
      </c>
      <c r="O70" s="5">
        <v>15</v>
      </c>
      <c r="P70" s="5">
        <v>17</v>
      </c>
    </row>
    <row r="71" spans="1:16">
      <c r="A71" s="5">
        <v>689</v>
      </c>
      <c r="B71" s="11">
        <v>40575</v>
      </c>
      <c r="C71" s="5">
        <v>1</v>
      </c>
      <c r="D71" s="5">
        <v>0</v>
      </c>
      <c r="E71" s="5">
        <v>2</v>
      </c>
      <c r="F71" s="5">
        <v>0</v>
      </c>
      <c r="G71" s="5" t="b">
        <v>0</v>
      </c>
      <c r="H71" s="5">
        <v>2</v>
      </c>
      <c r="I71" s="5">
        <v>2</v>
      </c>
      <c r="J71" s="5">
        <v>0.16</v>
      </c>
      <c r="K71" s="5">
        <v>0.1818</v>
      </c>
      <c r="L71" s="5">
        <v>0.64</v>
      </c>
      <c r="M71" s="5">
        <v>0.1045</v>
      </c>
      <c r="N71" s="5">
        <v>2</v>
      </c>
      <c r="O71" s="5">
        <v>6</v>
      </c>
      <c r="P71" s="5">
        <v>8</v>
      </c>
    </row>
    <row r="72" spans="1:16">
      <c r="A72" s="5">
        <v>690</v>
      </c>
      <c r="B72" s="11">
        <v>40575</v>
      </c>
      <c r="C72" s="5">
        <v>1</v>
      </c>
      <c r="D72" s="5">
        <v>0</v>
      </c>
      <c r="E72" s="5">
        <v>2</v>
      </c>
      <c r="F72" s="5">
        <v>1</v>
      </c>
      <c r="G72" s="5" t="b">
        <v>0</v>
      </c>
      <c r="H72" s="5">
        <v>2</v>
      </c>
      <c r="I72" s="5">
        <v>2</v>
      </c>
      <c r="J72" s="5">
        <v>0.16</v>
      </c>
      <c r="K72" s="5">
        <v>0.1818</v>
      </c>
      <c r="L72" s="5">
        <v>0.6899999999999999</v>
      </c>
      <c r="M72" s="5">
        <v>0.1045</v>
      </c>
      <c r="N72" s="5">
        <v>0</v>
      </c>
      <c r="O72" s="5">
        <v>3</v>
      </c>
      <c r="P72" s="5">
        <v>3</v>
      </c>
    </row>
    <row r="73" spans="1:16">
      <c r="A73" s="5">
        <v>691</v>
      </c>
      <c r="B73" s="11">
        <v>40575</v>
      </c>
      <c r="C73" s="5">
        <v>1</v>
      </c>
      <c r="D73" s="5">
        <v>0</v>
      </c>
      <c r="E73" s="5">
        <v>2</v>
      </c>
      <c r="F73" s="5">
        <v>2</v>
      </c>
      <c r="G73" s="5" t="b">
        <v>0</v>
      </c>
      <c r="H73" s="5">
        <v>2</v>
      </c>
      <c r="I73" s="5">
        <v>2</v>
      </c>
      <c r="J73" s="5">
        <v>0.16</v>
      </c>
      <c r="K73" s="5">
        <v>0.2273</v>
      </c>
      <c r="L73" s="5">
        <v>0.6899999999999999</v>
      </c>
      <c r="M73" s="5">
        <v>0</v>
      </c>
      <c r="N73" s="5">
        <v>0</v>
      </c>
      <c r="O73" s="5">
        <v>2</v>
      </c>
      <c r="P73" s="5">
        <v>2</v>
      </c>
    </row>
    <row r="74" spans="1:16">
      <c r="A74" s="5">
        <v>692</v>
      </c>
      <c r="B74" s="11">
        <v>40575</v>
      </c>
      <c r="C74" s="5">
        <v>1</v>
      </c>
      <c r="D74" s="5">
        <v>0</v>
      </c>
      <c r="E74" s="5">
        <v>2</v>
      </c>
      <c r="F74" s="5">
        <v>3</v>
      </c>
      <c r="G74" s="5" t="b">
        <v>0</v>
      </c>
      <c r="H74" s="5">
        <v>2</v>
      </c>
      <c r="I74" s="5">
        <v>2</v>
      </c>
      <c r="J74" s="5">
        <v>0.16</v>
      </c>
      <c r="K74" s="5">
        <v>0.2273</v>
      </c>
      <c r="L74" s="5">
        <v>0.6899999999999999</v>
      </c>
      <c r="M74" s="5">
        <v>0</v>
      </c>
      <c r="N74" s="5">
        <v>0</v>
      </c>
      <c r="O74" s="5">
        <v>2</v>
      </c>
      <c r="P74" s="5">
        <v>2</v>
      </c>
    </row>
    <row r="75" spans="1:16">
      <c r="A75" s="5">
        <v>693</v>
      </c>
      <c r="B75" s="11">
        <v>40575</v>
      </c>
      <c r="C75" s="5">
        <v>1</v>
      </c>
      <c r="D75" s="5">
        <v>0</v>
      </c>
      <c r="E75" s="5">
        <v>2</v>
      </c>
      <c r="F75" s="5">
        <v>5</v>
      </c>
      <c r="G75" s="5" t="b">
        <v>0</v>
      </c>
      <c r="H75" s="5">
        <v>2</v>
      </c>
      <c r="I75" s="5">
        <v>3</v>
      </c>
      <c r="J75" s="5">
        <v>0.14</v>
      </c>
      <c r="K75" s="5">
        <v>0.2121</v>
      </c>
      <c r="L75" s="5">
        <v>0.93</v>
      </c>
      <c r="M75" s="5">
        <v>0</v>
      </c>
      <c r="N75" s="5">
        <v>0</v>
      </c>
      <c r="O75" s="5">
        <v>3</v>
      </c>
      <c r="P75" s="5">
        <v>3</v>
      </c>
    </row>
    <row r="76" spans="1:16">
      <c r="A76" s="5">
        <v>694</v>
      </c>
      <c r="B76" s="11">
        <v>40575</v>
      </c>
      <c r="C76" s="5">
        <v>1</v>
      </c>
      <c r="D76" s="5">
        <v>0</v>
      </c>
      <c r="E76" s="5">
        <v>2</v>
      </c>
      <c r="F76" s="5">
        <v>6</v>
      </c>
      <c r="G76" s="5" t="b">
        <v>0</v>
      </c>
      <c r="H76" s="5">
        <v>2</v>
      </c>
      <c r="I76" s="5">
        <v>3</v>
      </c>
      <c r="J76" s="5">
        <v>0.14</v>
      </c>
      <c r="K76" s="5">
        <v>0.2121</v>
      </c>
      <c r="L76" s="5">
        <v>0.93</v>
      </c>
      <c r="M76" s="5">
        <v>0</v>
      </c>
      <c r="N76" s="5">
        <v>0</v>
      </c>
      <c r="O76" s="5">
        <v>22</v>
      </c>
      <c r="P76" s="5">
        <v>22</v>
      </c>
    </row>
    <row r="77" spans="1:16">
      <c r="A77" s="5">
        <v>695</v>
      </c>
      <c r="B77" s="11">
        <v>40575</v>
      </c>
      <c r="C77" s="5">
        <v>1</v>
      </c>
      <c r="D77" s="5">
        <v>0</v>
      </c>
      <c r="E77" s="5">
        <v>2</v>
      </c>
      <c r="F77" s="5">
        <v>7</v>
      </c>
      <c r="G77" s="5" t="b">
        <v>0</v>
      </c>
      <c r="H77" s="5">
        <v>2</v>
      </c>
      <c r="I77" s="5">
        <v>3</v>
      </c>
      <c r="J77" s="5">
        <v>0.16</v>
      </c>
      <c r="K77" s="5">
        <v>0.2273</v>
      </c>
      <c r="L77" s="5">
        <v>0.93</v>
      </c>
      <c r="M77" s="5">
        <v>0</v>
      </c>
      <c r="N77" s="5">
        <v>0</v>
      </c>
      <c r="O77" s="5">
        <v>52</v>
      </c>
      <c r="P77" s="5">
        <v>52</v>
      </c>
    </row>
    <row r="78" spans="1:16">
      <c r="A78" s="5">
        <v>696</v>
      </c>
      <c r="B78" s="11">
        <v>40575</v>
      </c>
      <c r="C78" s="5">
        <v>1</v>
      </c>
      <c r="D78" s="5">
        <v>0</v>
      </c>
      <c r="E78" s="5">
        <v>2</v>
      </c>
      <c r="F78" s="5">
        <v>8</v>
      </c>
      <c r="G78" s="5" t="b">
        <v>0</v>
      </c>
      <c r="H78" s="5">
        <v>2</v>
      </c>
      <c r="I78" s="5">
        <v>3</v>
      </c>
      <c r="J78" s="5">
        <v>0.16</v>
      </c>
      <c r="K78" s="5">
        <v>0.2273</v>
      </c>
      <c r="L78" s="5">
        <v>0.93</v>
      </c>
      <c r="M78" s="5">
        <v>0</v>
      </c>
      <c r="N78" s="5">
        <v>3</v>
      </c>
      <c r="O78" s="5">
        <v>132</v>
      </c>
      <c r="P78" s="5">
        <v>135</v>
      </c>
    </row>
    <row r="79" spans="1:16">
      <c r="A79" s="5">
        <v>697</v>
      </c>
      <c r="B79" s="11">
        <v>40575</v>
      </c>
      <c r="C79" s="5">
        <v>1</v>
      </c>
      <c r="D79" s="5">
        <v>0</v>
      </c>
      <c r="E79" s="5">
        <v>2</v>
      </c>
      <c r="F79" s="5">
        <v>9</v>
      </c>
      <c r="G79" s="5" t="b">
        <v>0</v>
      </c>
      <c r="H79" s="5">
        <v>2</v>
      </c>
      <c r="I79" s="5">
        <v>2</v>
      </c>
      <c r="J79" s="5">
        <v>0.16</v>
      </c>
      <c r="K79" s="5">
        <v>0.2273</v>
      </c>
      <c r="L79" s="5">
        <v>0.93</v>
      </c>
      <c r="M79" s="5">
        <v>0</v>
      </c>
      <c r="N79" s="5">
        <v>2</v>
      </c>
      <c r="O79" s="5">
        <v>114</v>
      </c>
      <c r="P79" s="5">
        <v>116</v>
      </c>
    </row>
    <row r="80" spans="1:16">
      <c r="A80" s="5">
        <v>698</v>
      </c>
      <c r="B80" s="11">
        <v>40575</v>
      </c>
      <c r="C80" s="5">
        <v>1</v>
      </c>
      <c r="D80" s="5">
        <v>0</v>
      </c>
      <c r="E80" s="5">
        <v>2</v>
      </c>
      <c r="F80" s="5">
        <v>10</v>
      </c>
      <c r="G80" s="5" t="b">
        <v>0</v>
      </c>
      <c r="H80" s="5">
        <v>2</v>
      </c>
      <c r="I80" s="5">
        <v>2</v>
      </c>
      <c r="J80" s="5">
        <v>0.16</v>
      </c>
      <c r="K80" s="5">
        <v>0.2273</v>
      </c>
      <c r="L80" s="5">
        <v>0.93</v>
      </c>
      <c r="M80" s="5">
        <v>0</v>
      </c>
      <c r="N80" s="5">
        <v>0</v>
      </c>
      <c r="O80" s="5">
        <v>47</v>
      </c>
      <c r="P80" s="5">
        <v>47</v>
      </c>
    </row>
    <row r="81" spans="1:16">
      <c r="A81" s="5">
        <v>699</v>
      </c>
      <c r="B81" s="11">
        <v>40575</v>
      </c>
      <c r="C81" s="5">
        <v>1</v>
      </c>
      <c r="D81" s="5">
        <v>0</v>
      </c>
      <c r="E81" s="5">
        <v>2</v>
      </c>
      <c r="F81" s="5">
        <v>11</v>
      </c>
      <c r="G81" s="5" t="b">
        <v>0</v>
      </c>
      <c r="H81" s="5">
        <v>2</v>
      </c>
      <c r="I81" s="5">
        <v>2</v>
      </c>
      <c r="J81" s="5">
        <v>0.18</v>
      </c>
      <c r="K81" s="5">
        <v>0.2424</v>
      </c>
      <c r="L81" s="5">
        <v>0.86</v>
      </c>
      <c r="M81" s="5">
        <v>0</v>
      </c>
      <c r="N81" s="5">
        <v>2</v>
      </c>
      <c r="O81" s="5">
        <v>49</v>
      </c>
      <c r="P81" s="5">
        <v>51</v>
      </c>
    </row>
    <row r="82" spans="1:16">
      <c r="A82" s="5">
        <v>700</v>
      </c>
      <c r="B82" s="11">
        <v>40575</v>
      </c>
      <c r="C82" s="5">
        <v>1</v>
      </c>
      <c r="D82" s="5">
        <v>0</v>
      </c>
      <c r="E82" s="5">
        <v>2</v>
      </c>
      <c r="F82" s="5">
        <v>12</v>
      </c>
      <c r="G82" s="5" t="b">
        <v>0</v>
      </c>
      <c r="H82" s="5">
        <v>2</v>
      </c>
      <c r="I82" s="5">
        <v>2</v>
      </c>
      <c r="J82" s="5">
        <v>0.2</v>
      </c>
      <c r="K82" s="5">
        <v>0.2576</v>
      </c>
      <c r="L82" s="5">
        <v>0.86</v>
      </c>
      <c r="M82" s="5">
        <v>0</v>
      </c>
      <c r="N82" s="5">
        <v>2</v>
      </c>
      <c r="O82" s="5">
        <v>53</v>
      </c>
      <c r="P82" s="5">
        <v>55</v>
      </c>
    </row>
    <row r="83" spans="1:16">
      <c r="A83" s="5">
        <v>701</v>
      </c>
      <c r="B83" s="11">
        <v>40575</v>
      </c>
      <c r="C83" s="5">
        <v>1</v>
      </c>
      <c r="D83" s="5">
        <v>0</v>
      </c>
      <c r="E83" s="5">
        <v>2</v>
      </c>
      <c r="F83" s="5">
        <v>13</v>
      </c>
      <c r="G83" s="5" t="b">
        <v>0</v>
      </c>
      <c r="H83" s="5">
        <v>2</v>
      </c>
      <c r="I83" s="5">
        <v>2</v>
      </c>
      <c r="J83" s="5">
        <v>0.2</v>
      </c>
      <c r="K83" s="5">
        <v>0.2576</v>
      </c>
      <c r="L83" s="5">
        <v>0.86</v>
      </c>
      <c r="M83" s="5">
        <v>0</v>
      </c>
      <c r="N83" s="5">
        <v>3</v>
      </c>
      <c r="O83" s="5">
        <v>49</v>
      </c>
      <c r="P83" s="5">
        <v>52</v>
      </c>
    </row>
    <row r="84" spans="1:16">
      <c r="A84" s="5">
        <v>702</v>
      </c>
      <c r="B84" s="11">
        <v>40575</v>
      </c>
      <c r="C84" s="5">
        <v>1</v>
      </c>
      <c r="D84" s="5">
        <v>0</v>
      </c>
      <c r="E84" s="5">
        <v>2</v>
      </c>
      <c r="F84" s="5">
        <v>14</v>
      </c>
      <c r="G84" s="5" t="b">
        <v>0</v>
      </c>
      <c r="H84" s="5">
        <v>2</v>
      </c>
      <c r="I84" s="5">
        <v>2</v>
      </c>
      <c r="J84" s="5">
        <v>0.22</v>
      </c>
      <c r="K84" s="5">
        <v>0.2576</v>
      </c>
      <c r="L84" s="5">
        <v>0.8</v>
      </c>
      <c r="M84" s="5">
        <v>0.0896</v>
      </c>
      <c r="N84" s="5">
        <v>5</v>
      </c>
      <c r="O84" s="5">
        <v>49</v>
      </c>
      <c r="P84" s="5">
        <v>54</v>
      </c>
    </row>
    <row r="85" spans="1:16">
      <c r="A85" s="5">
        <v>703</v>
      </c>
      <c r="B85" s="11">
        <v>40575</v>
      </c>
      <c r="C85" s="5">
        <v>1</v>
      </c>
      <c r="D85" s="5">
        <v>0</v>
      </c>
      <c r="E85" s="5">
        <v>2</v>
      </c>
      <c r="F85" s="5">
        <v>15</v>
      </c>
      <c r="G85" s="5" t="b">
        <v>0</v>
      </c>
      <c r="H85" s="5">
        <v>2</v>
      </c>
      <c r="I85" s="5">
        <v>2</v>
      </c>
      <c r="J85" s="5">
        <v>0.24</v>
      </c>
      <c r="K85" s="5">
        <v>0.2879</v>
      </c>
      <c r="L85" s="5">
        <v>0.75</v>
      </c>
      <c r="M85" s="5">
        <v>0</v>
      </c>
      <c r="N85" s="5">
        <v>7</v>
      </c>
      <c r="O85" s="5">
        <v>45</v>
      </c>
      <c r="P85" s="5">
        <v>52</v>
      </c>
    </row>
    <row r="86" spans="1:16">
      <c r="A86" s="5">
        <v>704</v>
      </c>
      <c r="B86" s="11">
        <v>40575</v>
      </c>
      <c r="C86" s="5">
        <v>1</v>
      </c>
      <c r="D86" s="5">
        <v>0</v>
      </c>
      <c r="E86" s="5">
        <v>2</v>
      </c>
      <c r="F86" s="5">
        <v>16</v>
      </c>
      <c r="G86" s="5" t="b">
        <v>0</v>
      </c>
      <c r="H86" s="5">
        <v>2</v>
      </c>
      <c r="I86" s="5">
        <v>2</v>
      </c>
      <c r="J86" s="5">
        <v>0.24</v>
      </c>
      <c r="K86" s="5">
        <v>0.2424</v>
      </c>
      <c r="L86" s="5">
        <v>0.75</v>
      </c>
      <c r="M86" s="5">
        <v>0.1343</v>
      </c>
      <c r="N86" s="5">
        <v>3</v>
      </c>
      <c r="O86" s="5">
        <v>61</v>
      </c>
      <c r="P86" s="5">
        <v>64</v>
      </c>
    </row>
    <row r="87" spans="1:16">
      <c r="A87" s="5">
        <v>705</v>
      </c>
      <c r="B87" s="11">
        <v>40575</v>
      </c>
      <c r="C87" s="5">
        <v>1</v>
      </c>
      <c r="D87" s="5">
        <v>0</v>
      </c>
      <c r="E87" s="5">
        <v>2</v>
      </c>
      <c r="F87" s="5">
        <v>17</v>
      </c>
      <c r="G87" s="5" t="b">
        <v>0</v>
      </c>
      <c r="H87" s="5">
        <v>2</v>
      </c>
      <c r="I87" s="5">
        <v>2</v>
      </c>
      <c r="J87" s="5">
        <v>0.24</v>
      </c>
      <c r="K87" s="5">
        <v>0.2879</v>
      </c>
      <c r="L87" s="5">
        <v>0.75</v>
      </c>
      <c r="M87" s="5">
        <v>0</v>
      </c>
      <c r="N87" s="5">
        <v>4</v>
      </c>
      <c r="O87" s="5">
        <v>172</v>
      </c>
      <c r="P87" s="5">
        <v>176</v>
      </c>
    </row>
    <row r="88" spans="1:16">
      <c r="A88" s="5">
        <v>706</v>
      </c>
      <c r="B88" s="11">
        <v>40575</v>
      </c>
      <c r="C88" s="5">
        <v>1</v>
      </c>
      <c r="D88" s="5">
        <v>0</v>
      </c>
      <c r="E88" s="5">
        <v>2</v>
      </c>
      <c r="F88" s="5">
        <v>18</v>
      </c>
      <c r="G88" s="5" t="b">
        <v>0</v>
      </c>
      <c r="H88" s="5">
        <v>2</v>
      </c>
      <c r="I88" s="5">
        <v>2</v>
      </c>
      <c r="J88" s="5">
        <v>0.24</v>
      </c>
      <c r="K88" s="5">
        <v>0.2576</v>
      </c>
      <c r="L88" s="5">
        <v>0.8100000000000001</v>
      </c>
      <c r="M88" s="5">
        <v>0.1045</v>
      </c>
      <c r="N88" s="5">
        <v>3</v>
      </c>
      <c r="O88" s="5">
        <v>165</v>
      </c>
      <c r="P88" s="5">
        <v>168</v>
      </c>
    </row>
    <row r="89" spans="1:16">
      <c r="A89" s="5">
        <v>707</v>
      </c>
      <c r="B89" s="11">
        <v>40575</v>
      </c>
      <c r="C89" s="5">
        <v>1</v>
      </c>
      <c r="D89" s="5">
        <v>0</v>
      </c>
      <c r="E89" s="5">
        <v>2</v>
      </c>
      <c r="F89" s="5">
        <v>19</v>
      </c>
      <c r="G89" s="5" t="b">
        <v>0</v>
      </c>
      <c r="H89" s="5">
        <v>2</v>
      </c>
      <c r="I89" s="5">
        <v>2</v>
      </c>
      <c r="J89" s="5">
        <v>0.24</v>
      </c>
      <c r="K89" s="5">
        <v>0.2424</v>
      </c>
      <c r="L89" s="5">
        <v>0.8100000000000001</v>
      </c>
      <c r="M89" s="5">
        <v>0.1343</v>
      </c>
      <c r="N89" s="5">
        <v>3</v>
      </c>
      <c r="O89" s="5">
        <v>105</v>
      </c>
      <c r="P89" s="5">
        <v>108</v>
      </c>
    </row>
    <row r="90" spans="1:16">
      <c r="A90" s="5">
        <v>708</v>
      </c>
      <c r="B90" s="11">
        <v>40575</v>
      </c>
      <c r="C90" s="5">
        <v>1</v>
      </c>
      <c r="D90" s="5">
        <v>0</v>
      </c>
      <c r="E90" s="5">
        <v>2</v>
      </c>
      <c r="F90" s="5">
        <v>20</v>
      </c>
      <c r="G90" s="5" t="b">
        <v>0</v>
      </c>
      <c r="H90" s="5">
        <v>2</v>
      </c>
      <c r="I90" s="5">
        <v>2</v>
      </c>
      <c r="J90" s="5">
        <v>0.22</v>
      </c>
      <c r="K90" s="5">
        <v>0.2273</v>
      </c>
      <c r="L90" s="5">
        <v>0.87</v>
      </c>
      <c r="M90" s="5">
        <v>0.1343</v>
      </c>
      <c r="N90" s="5">
        <v>5</v>
      </c>
      <c r="O90" s="5">
        <v>69</v>
      </c>
      <c r="P90" s="5">
        <v>74</v>
      </c>
    </row>
    <row r="91" spans="1:16">
      <c r="A91" s="5">
        <v>709</v>
      </c>
      <c r="B91" s="11">
        <v>40575</v>
      </c>
      <c r="C91" s="5">
        <v>1</v>
      </c>
      <c r="D91" s="5">
        <v>0</v>
      </c>
      <c r="E91" s="5">
        <v>2</v>
      </c>
      <c r="F91" s="5">
        <v>21</v>
      </c>
      <c r="G91" s="5" t="b">
        <v>0</v>
      </c>
      <c r="H91" s="5">
        <v>2</v>
      </c>
      <c r="I91" s="5">
        <v>2</v>
      </c>
      <c r="J91" s="5">
        <v>0.22</v>
      </c>
      <c r="K91" s="5">
        <v>0.2273</v>
      </c>
      <c r="L91" s="5">
        <v>0.87</v>
      </c>
      <c r="M91" s="5">
        <v>0.1343</v>
      </c>
      <c r="N91" s="5">
        <v>0</v>
      </c>
      <c r="O91" s="5">
        <v>64</v>
      </c>
      <c r="P91" s="5">
        <v>64</v>
      </c>
    </row>
    <row r="92" spans="1:16">
      <c r="A92" s="5">
        <v>710</v>
      </c>
      <c r="B92" s="11">
        <v>40575</v>
      </c>
      <c r="C92" s="5">
        <v>1</v>
      </c>
      <c r="D92" s="5">
        <v>0</v>
      </c>
      <c r="E92" s="5">
        <v>2</v>
      </c>
      <c r="F92" s="5">
        <v>22</v>
      </c>
      <c r="G92" s="5" t="b">
        <v>0</v>
      </c>
      <c r="H92" s="5">
        <v>2</v>
      </c>
      <c r="I92" s="5">
        <v>2</v>
      </c>
      <c r="J92" s="5">
        <v>0.22</v>
      </c>
      <c r="K92" s="5">
        <v>0.2576</v>
      </c>
      <c r="L92" s="5">
        <v>0.87</v>
      </c>
      <c r="M92" s="5">
        <v>0.0896</v>
      </c>
      <c r="N92" s="5">
        <v>2</v>
      </c>
      <c r="O92" s="5">
        <v>34</v>
      </c>
      <c r="P92" s="5">
        <v>36</v>
      </c>
    </row>
    <row r="93" spans="1:16">
      <c r="A93" s="5">
        <v>711</v>
      </c>
      <c r="B93" s="11">
        <v>40575</v>
      </c>
      <c r="C93" s="5">
        <v>1</v>
      </c>
      <c r="D93" s="5">
        <v>0</v>
      </c>
      <c r="E93" s="5">
        <v>2</v>
      </c>
      <c r="F93" s="5">
        <v>23</v>
      </c>
      <c r="G93" s="5" t="b">
        <v>0</v>
      </c>
      <c r="H93" s="5">
        <v>2</v>
      </c>
      <c r="I93" s="5">
        <v>3</v>
      </c>
      <c r="J93" s="5">
        <v>0.2</v>
      </c>
      <c r="K93" s="5">
        <v>0.197</v>
      </c>
      <c r="L93" s="5">
        <v>0.93</v>
      </c>
      <c r="M93" s="5">
        <v>0.194</v>
      </c>
      <c r="N93" s="5">
        <v>1</v>
      </c>
      <c r="O93" s="5">
        <v>15</v>
      </c>
      <c r="P93" s="5">
        <v>16</v>
      </c>
    </row>
    <row r="94" spans="1:16">
      <c r="A94" s="5">
        <v>712</v>
      </c>
      <c r="B94" s="11">
        <v>40576</v>
      </c>
      <c r="C94" s="5">
        <v>1</v>
      </c>
      <c r="D94" s="5">
        <v>0</v>
      </c>
      <c r="E94" s="5">
        <v>2</v>
      </c>
      <c r="F94" s="5">
        <v>0</v>
      </c>
      <c r="G94" s="5" t="b">
        <v>0</v>
      </c>
      <c r="H94" s="5">
        <v>3</v>
      </c>
      <c r="I94" s="5">
        <v>3</v>
      </c>
      <c r="J94" s="5">
        <v>0.22</v>
      </c>
      <c r="K94" s="5">
        <v>0.2424</v>
      </c>
      <c r="L94" s="5">
        <v>0.93</v>
      </c>
      <c r="M94" s="5">
        <v>0.1045</v>
      </c>
      <c r="N94" s="5">
        <v>0</v>
      </c>
      <c r="O94" s="5">
        <v>2</v>
      </c>
      <c r="P94" s="5">
        <v>2</v>
      </c>
    </row>
    <row r="95" spans="1:16">
      <c r="A95" s="5">
        <v>713</v>
      </c>
      <c r="B95" s="11">
        <v>40576</v>
      </c>
      <c r="C95" s="5">
        <v>1</v>
      </c>
      <c r="D95" s="5">
        <v>0</v>
      </c>
      <c r="E95" s="5">
        <v>2</v>
      </c>
      <c r="F95" s="5">
        <v>1</v>
      </c>
      <c r="G95" s="5" t="b">
        <v>0</v>
      </c>
      <c r="H95" s="5">
        <v>3</v>
      </c>
      <c r="I95" s="5">
        <v>3</v>
      </c>
      <c r="J95" s="5">
        <v>0.22</v>
      </c>
      <c r="K95" s="5">
        <v>0.2273</v>
      </c>
      <c r="L95" s="5">
        <v>0.93</v>
      </c>
      <c r="M95" s="5">
        <v>0.194</v>
      </c>
      <c r="N95" s="5">
        <v>0</v>
      </c>
      <c r="O95" s="5">
        <v>3</v>
      </c>
      <c r="P95" s="5">
        <v>3</v>
      </c>
    </row>
    <row r="96" spans="1:16">
      <c r="A96" s="5">
        <v>714</v>
      </c>
      <c r="B96" s="11">
        <v>40576</v>
      </c>
      <c r="C96" s="5">
        <v>1</v>
      </c>
      <c r="D96" s="5">
        <v>0</v>
      </c>
      <c r="E96" s="5">
        <v>2</v>
      </c>
      <c r="F96" s="5">
        <v>2</v>
      </c>
      <c r="G96" s="5" t="b">
        <v>0</v>
      </c>
      <c r="H96" s="5">
        <v>3</v>
      </c>
      <c r="I96" s="5">
        <v>3</v>
      </c>
      <c r="J96" s="5">
        <v>0.22</v>
      </c>
      <c r="K96" s="5">
        <v>0.2273</v>
      </c>
      <c r="L96" s="5">
        <v>0.93</v>
      </c>
      <c r="M96" s="5">
        <v>0.1343</v>
      </c>
      <c r="N96" s="5">
        <v>4</v>
      </c>
      <c r="O96" s="5">
        <v>0</v>
      </c>
      <c r="P96" s="5">
        <v>4</v>
      </c>
    </row>
    <row r="97" spans="1:16">
      <c r="A97" s="5">
        <v>715</v>
      </c>
      <c r="B97" s="11">
        <v>40576</v>
      </c>
      <c r="C97" s="5">
        <v>1</v>
      </c>
      <c r="D97" s="5">
        <v>0</v>
      </c>
      <c r="E97" s="5">
        <v>2</v>
      </c>
      <c r="F97" s="5">
        <v>3</v>
      </c>
      <c r="G97" s="5" t="b">
        <v>0</v>
      </c>
      <c r="H97" s="5">
        <v>3</v>
      </c>
      <c r="I97" s="5">
        <v>3</v>
      </c>
      <c r="J97" s="5">
        <v>0.22</v>
      </c>
      <c r="K97" s="5">
        <v>0.2273</v>
      </c>
      <c r="L97" s="5">
        <v>0.93</v>
      </c>
      <c r="M97" s="5">
        <v>0.1343</v>
      </c>
      <c r="N97" s="5">
        <v>0</v>
      </c>
      <c r="O97" s="5">
        <v>1</v>
      </c>
      <c r="P97" s="5">
        <v>1</v>
      </c>
    </row>
    <row r="98" spans="1:16">
      <c r="A98" s="5">
        <v>716</v>
      </c>
      <c r="B98" s="11">
        <v>40576</v>
      </c>
      <c r="C98" s="5">
        <v>1</v>
      </c>
      <c r="D98" s="5">
        <v>0</v>
      </c>
      <c r="E98" s="5">
        <v>2</v>
      </c>
      <c r="F98" s="5">
        <v>4</v>
      </c>
      <c r="G98" s="5" t="b">
        <v>0</v>
      </c>
      <c r="H98" s="5">
        <v>3</v>
      </c>
      <c r="I98" s="5">
        <v>3</v>
      </c>
      <c r="J98" s="5">
        <v>0.22</v>
      </c>
      <c r="K98" s="5">
        <v>0.2121</v>
      </c>
      <c r="L98" s="5">
        <v>0.93</v>
      </c>
      <c r="M98" s="5">
        <v>0.2836</v>
      </c>
      <c r="N98" s="5">
        <v>0</v>
      </c>
      <c r="O98" s="5">
        <v>1</v>
      </c>
      <c r="P98" s="5">
        <v>1</v>
      </c>
    </row>
    <row r="99" spans="1:16">
      <c r="A99" s="5">
        <v>717</v>
      </c>
      <c r="B99" s="11">
        <v>40576</v>
      </c>
      <c r="C99" s="5">
        <v>1</v>
      </c>
      <c r="D99" s="5">
        <v>0</v>
      </c>
      <c r="E99" s="5">
        <v>2</v>
      </c>
      <c r="F99" s="5">
        <v>5</v>
      </c>
      <c r="G99" s="5" t="b">
        <v>0</v>
      </c>
      <c r="H99" s="5">
        <v>3</v>
      </c>
      <c r="I99" s="5">
        <v>3</v>
      </c>
      <c r="J99" s="5">
        <v>0.22</v>
      </c>
      <c r="K99" s="5">
        <v>0.2424</v>
      </c>
      <c r="L99" s="5">
        <v>0.93</v>
      </c>
      <c r="M99" s="5">
        <v>0.1045</v>
      </c>
      <c r="N99" s="5">
        <v>0</v>
      </c>
      <c r="O99" s="5">
        <v>3</v>
      </c>
      <c r="P99" s="5">
        <v>3</v>
      </c>
    </row>
    <row r="100" spans="1:16">
      <c r="A100" s="5">
        <v>718</v>
      </c>
      <c r="B100" s="11">
        <v>40576</v>
      </c>
      <c r="C100" s="5">
        <v>1</v>
      </c>
      <c r="D100" s="5">
        <v>0</v>
      </c>
      <c r="E100" s="5">
        <v>2</v>
      </c>
      <c r="F100" s="5">
        <v>6</v>
      </c>
      <c r="G100" s="5" t="b">
        <v>0</v>
      </c>
      <c r="H100" s="5">
        <v>3</v>
      </c>
      <c r="I100" s="5">
        <v>3</v>
      </c>
      <c r="J100" s="5">
        <v>0.22</v>
      </c>
      <c r="K100" s="5">
        <v>0.2424</v>
      </c>
      <c r="L100" s="5">
        <v>0.93</v>
      </c>
      <c r="M100" s="5">
        <v>0.1045</v>
      </c>
      <c r="N100" s="5">
        <v>1</v>
      </c>
      <c r="O100" s="5">
        <v>17</v>
      </c>
      <c r="P100" s="5">
        <v>18</v>
      </c>
    </row>
    <row r="101" spans="1:16">
      <c r="A101" s="5">
        <v>719</v>
      </c>
      <c r="B101" s="11">
        <v>40576</v>
      </c>
      <c r="C101" s="5">
        <v>1</v>
      </c>
      <c r="D101" s="5">
        <v>0</v>
      </c>
      <c r="E101" s="5">
        <v>2</v>
      </c>
      <c r="F101" s="5">
        <v>7</v>
      </c>
      <c r="G101" s="5" t="b">
        <v>0</v>
      </c>
      <c r="H101" s="5">
        <v>3</v>
      </c>
      <c r="I101" s="5">
        <v>3</v>
      </c>
      <c r="J101" s="5">
        <v>0.22</v>
      </c>
      <c r="K101" s="5">
        <v>0.2121</v>
      </c>
      <c r="L101" s="5">
        <v>0.93</v>
      </c>
      <c r="M101" s="5">
        <v>0.2239</v>
      </c>
      <c r="N101" s="5">
        <v>1</v>
      </c>
      <c r="O101" s="5">
        <v>48</v>
      </c>
      <c r="P101" s="5">
        <v>49</v>
      </c>
    </row>
    <row r="102" spans="1:16">
      <c r="A102" s="5">
        <v>720</v>
      </c>
      <c r="B102" s="11">
        <v>40576</v>
      </c>
      <c r="C102" s="5">
        <v>1</v>
      </c>
      <c r="D102" s="5">
        <v>0</v>
      </c>
      <c r="E102" s="5">
        <v>2</v>
      </c>
      <c r="F102" s="5">
        <v>8</v>
      </c>
      <c r="G102" s="5" t="b">
        <v>0</v>
      </c>
      <c r="H102" s="5">
        <v>3</v>
      </c>
      <c r="I102" s="5">
        <v>3</v>
      </c>
      <c r="J102" s="5">
        <v>0.22</v>
      </c>
      <c r="K102" s="5">
        <v>0.2121</v>
      </c>
      <c r="L102" s="5">
        <v>0.93</v>
      </c>
      <c r="M102" s="5">
        <v>0.2239</v>
      </c>
      <c r="N102" s="5">
        <v>1</v>
      </c>
      <c r="O102" s="5">
        <v>154</v>
      </c>
      <c r="P102" s="5">
        <v>155</v>
      </c>
    </row>
    <row r="103" spans="1:16">
      <c r="A103" s="5">
        <v>721</v>
      </c>
      <c r="B103" s="11">
        <v>40576</v>
      </c>
      <c r="C103" s="5">
        <v>1</v>
      </c>
      <c r="D103" s="5">
        <v>0</v>
      </c>
      <c r="E103" s="5">
        <v>2</v>
      </c>
      <c r="F103" s="5">
        <v>9</v>
      </c>
      <c r="G103" s="5" t="b">
        <v>0</v>
      </c>
      <c r="H103" s="5">
        <v>3</v>
      </c>
      <c r="I103" s="5">
        <v>2</v>
      </c>
      <c r="J103" s="5">
        <v>0.24</v>
      </c>
      <c r="K103" s="5">
        <v>0.2576</v>
      </c>
      <c r="L103" s="5">
        <v>0.93</v>
      </c>
      <c r="M103" s="5">
        <v>0.0896</v>
      </c>
      <c r="N103" s="5">
        <v>4</v>
      </c>
      <c r="O103" s="5">
        <v>119</v>
      </c>
      <c r="P103" s="5">
        <v>123</v>
      </c>
    </row>
    <row r="104" spans="1:16">
      <c r="A104" s="5">
        <v>722</v>
      </c>
      <c r="B104" s="11">
        <v>40576</v>
      </c>
      <c r="C104" s="5">
        <v>1</v>
      </c>
      <c r="D104" s="5">
        <v>0</v>
      </c>
      <c r="E104" s="5">
        <v>2</v>
      </c>
      <c r="F104" s="5">
        <v>10</v>
      </c>
      <c r="G104" s="5" t="b">
        <v>0</v>
      </c>
      <c r="H104" s="5">
        <v>3</v>
      </c>
      <c r="I104" s="5">
        <v>2</v>
      </c>
      <c r="J104" s="5">
        <v>0.22</v>
      </c>
      <c r="K104" s="5">
        <v>0.2727</v>
      </c>
      <c r="L104" s="5">
        <v>1</v>
      </c>
      <c r="M104" s="5">
        <v>0</v>
      </c>
      <c r="N104" s="5">
        <v>2</v>
      </c>
      <c r="O104" s="5">
        <v>59</v>
      </c>
      <c r="P104" s="5">
        <v>61</v>
      </c>
    </row>
    <row r="105" spans="1:16">
      <c r="A105" s="5">
        <v>723</v>
      </c>
      <c r="B105" s="11">
        <v>40576</v>
      </c>
      <c r="C105" s="5">
        <v>1</v>
      </c>
      <c r="D105" s="5">
        <v>0</v>
      </c>
      <c r="E105" s="5">
        <v>2</v>
      </c>
      <c r="F105" s="5">
        <v>11</v>
      </c>
      <c r="G105" s="5" t="b">
        <v>0</v>
      </c>
      <c r="H105" s="5">
        <v>3</v>
      </c>
      <c r="I105" s="5">
        <v>2</v>
      </c>
      <c r="J105" s="5">
        <v>0.24</v>
      </c>
      <c r="K105" s="5">
        <v>0.2273</v>
      </c>
      <c r="L105" s="5">
        <v>0.93</v>
      </c>
      <c r="M105" s="5">
        <v>0.194</v>
      </c>
      <c r="N105" s="5">
        <v>5</v>
      </c>
      <c r="O105" s="5">
        <v>47</v>
      </c>
      <c r="P105" s="5">
        <v>52</v>
      </c>
    </row>
    <row r="106" spans="1:16">
      <c r="A106" s="5">
        <v>724</v>
      </c>
      <c r="B106" s="11">
        <v>40576</v>
      </c>
      <c r="C106" s="5">
        <v>1</v>
      </c>
      <c r="D106" s="5">
        <v>0</v>
      </c>
      <c r="E106" s="5">
        <v>2</v>
      </c>
      <c r="F106" s="5">
        <v>12</v>
      </c>
      <c r="G106" s="5" t="b">
        <v>0</v>
      </c>
      <c r="H106" s="5">
        <v>3</v>
      </c>
      <c r="I106" s="5">
        <v>2</v>
      </c>
      <c r="J106" s="5">
        <v>0.24</v>
      </c>
      <c r="K106" s="5">
        <v>0.2273</v>
      </c>
      <c r="L106" s="5">
        <v>0.93</v>
      </c>
      <c r="M106" s="5">
        <v>0.2239</v>
      </c>
      <c r="N106" s="5">
        <v>3</v>
      </c>
      <c r="O106" s="5">
        <v>61</v>
      </c>
      <c r="P106" s="5">
        <v>64</v>
      </c>
    </row>
    <row r="107" spans="1:16">
      <c r="A107" s="5">
        <v>725</v>
      </c>
      <c r="B107" s="11">
        <v>40576</v>
      </c>
      <c r="C107" s="5">
        <v>1</v>
      </c>
      <c r="D107" s="5">
        <v>0</v>
      </c>
      <c r="E107" s="5">
        <v>2</v>
      </c>
      <c r="F107" s="5">
        <v>13</v>
      </c>
      <c r="G107" s="5" t="b">
        <v>0</v>
      </c>
      <c r="H107" s="5">
        <v>3</v>
      </c>
      <c r="I107" s="5">
        <v>1</v>
      </c>
      <c r="J107" s="5">
        <v>0.34</v>
      </c>
      <c r="K107" s="5">
        <v>0.3333</v>
      </c>
      <c r="L107" s="5">
        <v>0.93</v>
      </c>
      <c r="M107" s="5">
        <v>0.1642</v>
      </c>
      <c r="N107" s="5">
        <v>1</v>
      </c>
      <c r="O107" s="5">
        <v>74</v>
      </c>
      <c r="P107" s="5">
        <v>75</v>
      </c>
    </row>
    <row r="108" spans="1:16">
      <c r="A108" s="5">
        <v>726</v>
      </c>
      <c r="B108" s="11">
        <v>40576</v>
      </c>
      <c r="C108" s="5">
        <v>1</v>
      </c>
      <c r="D108" s="5">
        <v>0</v>
      </c>
      <c r="E108" s="5">
        <v>2</v>
      </c>
      <c r="F108" s="5">
        <v>14</v>
      </c>
      <c r="G108" s="5" t="b">
        <v>0</v>
      </c>
      <c r="H108" s="5">
        <v>3</v>
      </c>
      <c r="I108" s="5">
        <v>1</v>
      </c>
      <c r="J108" s="5">
        <v>0.38</v>
      </c>
      <c r="K108" s="5">
        <v>0.3939</v>
      </c>
      <c r="L108" s="5">
        <v>0.82</v>
      </c>
      <c r="M108" s="5">
        <v>0.3881</v>
      </c>
      <c r="N108" s="5">
        <v>2</v>
      </c>
      <c r="O108" s="5">
        <v>61</v>
      </c>
      <c r="P108" s="5">
        <v>63</v>
      </c>
    </row>
    <row r="109" spans="1:16">
      <c r="A109" s="5">
        <v>727</v>
      </c>
      <c r="B109" s="11">
        <v>40576</v>
      </c>
      <c r="C109" s="5">
        <v>1</v>
      </c>
      <c r="D109" s="5">
        <v>0</v>
      </c>
      <c r="E109" s="5">
        <v>2</v>
      </c>
      <c r="F109" s="5">
        <v>15</v>
      </c>
      <c r="G109" s="5" t="b">
        <v>0</v>
      </c>
      <c r="H109" s="5">
        <v>3</v>
      </c>
      <c r="I109" s="5">
        <v>1</v>
      </c>
      <c r="J109" s="5">
        <v>0.38</v>
      </c>
      <c r="K109" s="5">
        <v>0.3939</v>
      </c>
      <c r="L109" s="5">
        <v>0.76</v>
      </c>
      <c r="M109" s="5">
        <v>0.3284</v>
      </c>
      <c r="N109" s="5">
        <v>10</v>
      </c>
      <c r="O109" s="5">
        <v>66</v>
      </c>
      <c r="P109" s="5">
        <v>76</v>
      </c>
    </row>
    <row r="110" spans="1:16">
      <c r="A110" s="5">
        <v>728</v>
      </c>
      <c r="B110" s="11">
        <v>40576</v>
      </c>
      <c r="C110" s="5">
        <v>1</v>
      </c>
      <c r="D110" s="5">
        <v>0</v>
      </c>
      <c r="E110" s="5">
        <v>2</v>
      </c>
      <c r="F110" s="5">
        <v>16</v>
      </c>
      <c r="G110" s="5" t="b">
        <v>0</v>
      </c>
      <c r="H110" s="5">
        <v>3</v>
      </c>
      <c r="I110" s="5">
        <v>1</v>
      </c>
      <c r="J110" s="5">
        <v>0.36</v>
      </c>
      <c r="K110" s="5">
        <v>0.3333</v>
      </c>
      <c r="L110" s="5">
        <v>0.71</v>
      </c>
      <c r="M110" s="5">
        <v>0.2985</v>
      </c>
      <c r="N110" s="5">
        <v>8</v>
      </c>
      <c r="O110" s="5">
        <v>95</v>
      </c>
      <c r="P110" s="5">
        <v>103</v>
      </c>
    </row>
    <row r="111" spans="1:16">
      <c r="A111" s="5">
        <v>729</v>
      </c>
      <c r="B111" s="11">
        <v>40576</v>
      </c>
      <c r="C111" s="5">
        <v>1</v>
      </c>
      <c r="D111" s="5">
        <v>0</v>
      </c>
      <c r="E111" s="5">
        <v>2</v>
      </c>
      <c r="F111" s="5">
        <v>17</v>
      </c>
      <c r="G111" s="5" t="b">
        <v>0</v>
      </c>
      <c r="H111" s="5">
        <v>3</v>
      </c>
      <c r="I111" s="5">
        <v>1</v>
      </c>
      <c r="J111" s="5">
        <v>0.36</v>
      </c>
      <c r="K111" s="5">
        <v>0.3182</v>
      </c>
      <c r="L111" s="5">
        <v>0.53</v>
      </c>
      <c r="M111" s="5">
        <v>0.5224</v>
      </c>
      <c r="N111" s="5">
        <v>7</v>
      </c>
      <c r="O111" s="5">
        <v>183</v>
      </c>
      <c r="P111" s="5">
        <v>190</v>
      </c>
    </row>
    <row r="112" spans="1:16">
      <c r="A112" s="5">
        <v>730</v>
      </c>
      <c r="B112" s="11">
        <v>40576</v>
      </c>
      <c r="C112" s="5">
        <v>1</v>
      </c>
      <c r="D112" s="5">
        <v>0</v>
      </c>
      <c r="E112" s="5">
        <v>2</v>
      </c>
      <c r="F112" s="5">
        <v>18</v>
      </c>
      <c r="G112" s="5" t="b">
        <v>0</v>
      </c>
      <c r="H112" s="5">
        <v>3</v>
      </c>
      <c r="I112" s="5">
        <v>1</v>
      </c>
      <c r="J112" s="5">
        <v>0.34</v>
      </c>
      <c r="K112" s="5">
        <v>0.2879</v>
      </c>
      <c r="L112" s="5">
        <v>0.42</v>
      </c>
      <c r="M112" s="5">
        <v>0.5522</v>
      </c>
      <c r="N112" s="5">
        <v>7</v>
      </c>
      <c r="O112" s="5">
        <v>175</v>
      </c>
      <c r="P112" s="5">
        <v>182</v>
      </c>
    </row>
    <row r="113" spans="1:16">
      <c r="A113" s="5">
        <v>731</v>
      </c>
      <c r="B113" s="11">
        <v>40576</v>
      </c>
      <c r="C113" s="5">
        <v>1</v>
      </c>
      <c r="D113" s="5">
        <v>0</v>
      </c>
      <c r="E113" s="5">
        <v>2</v>
      </c>
      <c r="F113" s="5">
        <v>19</v>
      </c>
      <c r="G113" s="5" t="b">
        <v>0</v>
      </c>
      <c r="H113" s="5">
        <v>3</v>
      </c>
      <c r="I113" s="5">
        <v>1</v>
      </c>
      <c r="J113" s="5">
        <v>0.28</v>
      </c>
      <c r="K113" s="5">
        <v>0.2424</v>
      </c>
      <c r="L113" s="5">
        <v>0.45</v>
      </c>
      <c r="M113" s="5">
        <v>0.4925</v>
      </c>
      <c r="N113" s="5">
        <v>3</v>
      </c>
      <c r="O113" s="5">
        <v>88</v>
      </c>
      <c r="P113" s="5">
        <v>91</v>
      </c>
    </row>
    <row r="114" spans="1:16">
      <c r="A114" s="5">
        <v>732</v>
      </c>
      <c r="B114" s="11">
        <v>40576</v>
      </c>
      <c r="C114" s="5">
        <v>1</v>
      </c>
      <c r="D114" s="5">
        <v>0</v>
      </c>
      <c r="E114" s="5">
        <v>2</v>
      </c>
      <c r="F114" s="5">
        <v>20</v>
      </c>
      <c r="G114" s="5" t="b">
        <v>0</v>
      </c>
      <c r="H114" s="5">
        <v>3</v>
      </c>
      <c r="I114" s="5">
        <v>1</v>
      </c>
      <c r="J114" s="5">
        <v>0.24</v>
      </c>
      <c r="K114" s="5">
        <v>0.197</v>
      </c>
      <c r="L114" s="5">
        <v>0.48</v>
      </c>
      <c r="M114" s="5">
        <v>0.5522</v>
      </c>
      <c r="N114" s="5">
        <v>4</v>
      </c>
      <c r="O114" s="5">
        <v>71</v>
      </c>
      <c r="P114" s="5">
        <v>75</v>
      </c>
    </row>
    <row r="115" spans="1:16">
      <c r="A115" s="5">
        <v>733</v>
      </c>
      <c r="B115" s="11">
        <v>40576</v>
      </c>
      <c r="C115" s="5">
        <v>1</v>
      </c>
      <c r="D115" s="5">
        <v>0</v>
      </c>
      <c r="E115" s="5">
        <v>2</v>
      </c>
      <c r="F115" s="5">
        <v>21</v>
      </c>
      <c r="G115" s="5" t="b">
        <v>0</v>
      </c>
      <c r="H115" s="5">
        <v>3</v>
      </c>
      <c r="I115" s="5">
        <v>1</v>
      </c>
      <c r="J115" s="5">
        <v>0.22</v>
      </c>
      <c r="K115" s="5">
        <v>0.197</v>
      </c>
      <c r="L115" s="5">
        <v>0.47</v>
      </c>
      <c r="M115" s="5">
        <v>0.3284</v>
      </c>
      <c r="N115" s="5">
        <v>1</v>
      </c>
      <c r="O115" s="5">
        <v>62</v>
      </c>
      <c r="P115" s="5">
        <v>63</v>
      </c>
    </row>
    <row r="116" spans="1:16">
      <c r="A116" s="5">
        <v>734</v>
      </c>
      <c r="B116" s="11">
        <v>40576</v>
      </c>
      <c r="C116" s="5">
        <v>1</v>
      </c>
      <c r="D116" s="5">
        <v>0</v>
      </c>
      <c r="E116" s="5">
        <v>2</v>
      </c>
      <c r="F116" s="5">
        <v>22</v>
      </c>
      <c r="G116" s="5" t="b">
        <v>0</v>
      </c>
      <c r="H116" s="5">
        <v>3</v>
      </c>
      <c r="I116" s="5">
        <v>1</v>
      </c>
      <c r="J116" s="5">
        <v>0.22</v>
      </c>
      <c r="K116" s="5">
        <v>0.2121</v>
      </c>
      <c r="L116" s="5">
        <v>0.44</v>
      </c>
      <c r="M116" s="5">
        <v>0.2537</v>
      </c>
      <c r="N116" s="5">
        <v>5</v>
      </c>
      <c r="O116" s="5">
        <v>35</v>
      </c>
      <c r="P116" s="5">
        <v>40</v>
      </c>
    </row>
    <row r="117" spans="1:16">
      <c r="A117" s="5">
        <v>735</v>
      </c>
      <c r="B117" s="11">
        <v>40576</v>
      </c>
      <c r="C117" s="5">
        <v>1</v>
      </c>
      <c r="D117" s="5">
        <v>0</v>
      </c>
      <c r="E117" s="5">
        <v>2</v>
      </c>
      <c r="F117" s="5">
        <v>23</v>
      </c>
      <c r="G117" s="5" t="b">
        <v>0</v>
      </c>
      <c r="H117" s="5">
        <v>3</v>
      </c>
      <c r="I117" s="5">
        <v>1</v>
      </c>
      <c r="J117" s="5">
        <v>0.2</v>
      </c>
      <c r="K117" s="5">
        <v>0.1667</v>
      </c>
      <c r="L117" s="5">
        <v>0.44</v>
      </c>
      <c r="M117" s="5">
        <v>0.4478</v>
      </c>
      <c r="N117" s="5">
        <v>3</v>
      </c>
      <c r="O117" s="5">
        <v>29</v>
      </c>
      <c r="P117" s="5">
        <v>32</v>
      </c>
    </row>
    <row r="118" spans="1:16">
      <c r="A118" s="5">
        <v>736</v>
      </c>
      <c r="B118" s="11">
        <v>40577</v>
      </c>
      <c r="C118" s="5">
        <v>1</v>
      </c>
      <c r="D118" s="5">
        <v>0</v>
      </c>
      <c r="E118" s="5">
        <v>2</v>
      </c>
      <c r="F118" s="5">
        <v>0</v>
      </c>
      <c r="G118" s="5" t="b">
        <v>0</v>
      </c>
      <c r="H118" s="5">
        <v>4</v>
      </c>
      <c r="I118" s="5">
        <v>1</v>
      </c>
      <c r="J118" s="5">
        <v>0.2</v>
      </c>
      <c r="K118" s="5">
        <v>0.1667</v>
      </c>
      <c r="L118" s="5">
        <v>0.4</v>
      </c>
      <c r="M118" s="5">
        <v>0.4478</v>
      </c>
      <c r="N118" s="5">
        <v>1</v>
      </c>
      <c r="O118" s="5">
        <v>11</v>
      </c>
      <c r="P118" s="5">
        <v>12</v>
      </c>
    </row>
    <row r="119" spans="1:16">
      <c r="A119" s="5">
        <v>737</v>
      </c>
      <c r="B119" s="11">
        <v>40577</v>
      </c>
      <c r="C119" s="5">
        <v>1</v>
      </c>
      <c r="D119" s="5">
        <v>0</v>
      </c>
      <c r="E119" s="5">
        <v>2</v>
      </c>
      <c r="F119" s="5">
        <v>1</v>
      </c>
      <c r="G119" s="5" t="b">
        <v>0</v>
      </c>
      <c r="H119" s="5">
        <v>4</v>
      </c>
      <c r="I119" s="5">
        <v>1</v>
      </c>
      <c r="J119" s="5">
        <v>0.2</v>
      </c>
      <c r="K119" s="5">
        <v>0.1515</v>
      </c>
      <c r="L119" s="5">
        <v>0.44</v>
      </c>
      <c r="M119" s="5">
        <v>0.5224</v>
      </c>
      <c r="N119" s="5">
        <v>0</v>
      </c>
      <c r="O119" s="5">
        <v>5</v>
      </c>
      <c r="P119" s="5">
        <v>5</v>
      </c>
    </row>
    <row r="120" spans="1:16">
      <c r="A120" s="5">
        <v>738</v>
      </c>
      <c r="B120" s="11">
        <v>40577</v>
      </c>
      <c r="C120" s="5">
        <v>1</v>
      </c>
      <c r="D120" s="5">
        <v>0</v>
      </c>
      <c r="E120" s="5">
        <v>2</v>
      </c>
      <c r="F120" s="5">
        <v>2</v>
      </c>
      <c r="G120" s="5" t="b">
        <v>0</v>
      </c>
      <c r="H120" s="5">
        <v>4</v>
      </c>
      <c r="I120" s="5">
        <v>1</v>
      </c>
      <c r="J120" s="5">
        <v>0.18</v>
      </c>
      <c r="K120" s="5">
        <v>0.1667</v>
      </c>
      <c r="L120" s="5">
        <v>0.43</v>
      </c>
      <c r="M120" s="5">
        <v>0.2537</v>
      </c>
      <c r="N120" s="5">
        <v>0</v>
      </c>
      <c r="O120" s="5">
        <v>2</v>
      </c>
      <c r="P120" s="5">
        <v>2</v>
      </c>
    </row>
    <row r="121" spans="1:16">
      <c r="A121" s="5">
        <v>739</v>
      </c>
      <c r="B121" s="11">
        <v>40577</v>
      </c>
      <c r="C121" s="5">
        <v>1</v>
      </c>
      <c r="D121" s="5">
        <v>0</v>
      </c>
      <c r="E121" s="5">
        <v>2</v>
      </c>
      <c r="F121" s="5">
        <v>3</v>
      </c>
      <c r="G121" s="5" t="b">
        <v>0</v>
      </c>
      <c r="H121" s="5">
        <v>4</v>
      </c>
      <c r="I121" s="5">
        <v>1</v>
      </c>
      <c r="J121" s="5">
        <v>0.18</v>
      </c>
      <c r="K121" s="5">
        <v>0.1667</v>
      </c>
      <c r="L121" s="5">
        <v>0.43</v>
      </c>
      <c r="M121" s="5">
        <v>0.2537</v>
      </c>
      <c r="N121" s="5">
        <v>0</v>
      </c>
      <c r="O121" s="5">
        <v>1</v>
      </c>
      <c r="P121" s="5">
        <v>1</v>
      </c>
    </row>
    <row r="122" spans="1:16">
      <c r="A122" s="5">
        <v>740</v>
      </c>
      <c r="B122" s="11">
        <v>40577</v>
      </c>
      <c r="C122" s="5">
        <v>1</v>
      </c>
      <c r="D122" s="5">
        <v>0</v>
      </c>
      <c r="E122" s="5">
        <v>2</v>
      </c>
      <c r="F122" s="5">
        <v>5</v>
      </c>
      <c r="G122" s="5" t="b">
        <v>0</v>
      </c>
      <c r="H122" s="5">
        <v>4</v>
      </c>
      <c r="I122" s="5">
        <v>1</v>
      </c>
      <c r="J122" s="5">
        <v>0.16</v>
      </c>
      <c r="K122" s="5">
        <v>0.1364</v>
      </c>
      <c r="L122" s="5">
        <v>0.5</v>
      </c>
      <c r="M122" s="5">
        <v>0.2985</v>
      </c>
      <c r="N122" s="5">
        <v>0</v>
      </c>
      <c r="O122" s="5">
        <v>2</v>
      </c>
      <c r="P122" s="5">
        <v>2</v>
      </c>
    </row>
    <row r="123" spans="1:16">
      <c r="A123" s="5">
        <v>741</v>
      </c>
      <c r="B123" s="11">
        <v>40577</v>
      </c>
      <c r="C123" s="5">
        <v>1</v>
      </c>
      <c r="D123" s="5">
        <v>0</v>
      </c>
      <c r="E123" s="5">
        <v>2</v>
      </c>
      <c r="F123" s="5">
        <v>6</v>
      </c>
      <c r="G123" s="5" t="b">
        <v>0</v>
      </c>
      <c r="H123" s="5">
        <v>4</v>
      </c>
      <c r="I123" s="5">
        <v>1</v>
      </c>
      <c r="J123" s="5">
        <v>0.16</v>
      </c>
      <c r="K123" s="5">
        <v>0.1364</v>
      </c>
      <c r="L123" s="5">
        <v>0.43</v>
      </c>
      <c r="M123" s="5">
        <v>0.3582</v>
      </c>
      <c r="N123" s="5">
        <v>0</v>
      </c>
      <c r="O123" s="5">
        <v>39</v>
      </c>
      <c r="P123" s="5">
        <v>39</v>
      </c>
    </row>
    <row r="124" spans="1:16">
      <c r="A124" s="5">
        <v>742</v>
      </c>
      <c r="B124" s="11">
        <v>40577</v>
      </c>
      <c r="C124" s="5">
        <v>1</v>
      </c>
      <c r="D124" s="5">
        <v>0</v>
      </c>
      <c r="E124" s="5">
        <v>2</v>
      </c>
      <c r="F124" s="5">
        <v>7</v>
      </c>
      <c r="G124" s="5" t="b">
        <v>0</v>
      </c>
      <c r="H124" s="5">
        <v>4</v>
      </c>
      <c r="I124" s="5">
        <v>1</v>
      </c>
      <c r="J124" s="5">
        <v>0.14</v>
      </c>
      <c r="K124" s="5">
        <v>0.1212</v>
      </c>
      <c r="L124" s="5">
        <v>0.5</v>
      </c>
      <c r="M124" s="5">
        <v>0.3284</v>
      </c>
      <c r="N124" s="5">
        <v>1</v>
      </c>
      <c r="O124" s="5">
        <v>86</v>
      </c>
      <c r="P124" s="5">
        <v>87</v>
      </c>
    </row>
    <row r="125" spans="1:16">
      <c r="A125" s="5">
        <v>743</v>
      </c>
      <c r="B125" s="11">
        <v>40577</v>
      </c>
      <c r="C125" s="5">
        <v>1</v>
      </c>
      <c r="D125" s="5">
        <v>0</v>
      </c>
      <c r="E125" s="5">
        <v>2</v>
      </c>
      <c r="F125" s="5">
        <v>8</v>
      </c>
      <c r="G125" s="5" t="b">
        <v>0</v>
      </c>
      <c r="H125" s="5">
        <v>4</v>
      </c>
      <c r="I125" s="5">
        <v>1</v>
      </c>
      <c r="J125" s="5">
        <v>0.14</v>
      </c>
      <c r="K125" s="5">
        <v>0.1212</v>
      </c>
      <c r="L125" s="5">
        <v>0.5</v>
      </c>
      <c r="M125" s="5">
        <v>0.3582</v>
      </c>
      <c r="N125" s="5">
        <v>4</v>
      </c>
      <c r="O125" s="5">
        <v>184</v>
      </c>
      <c r="P125" s="5">
        <v>188</v>
      </c>
    </row>
    <row r="126" spans="1:16">
      <c r="A126" s="5">
        <v>744</v>
      </c>
      <c r="B126" s="11">
        <v>40577</v>
      </c>
      <c r="C126" s="5">
        <v>1</v>
      </c>
      <c r="D126" s="5">
        <v>0</v>
      </c>
      <c r="E126" s="5">
        <v>2</v>
      </c>
      <c r="F126" s="5">
        <v>9</v>
      </c>
      <c r="G126" s="5" t="b">
        <v>0</v>
      </c>
      <c r="H126" s="5">
        <v>4</v>
      </c>
      <c r="I126" s="5">
        <v>1</v>
      </c>
      <c r="J126" s="5">
        <v>0.16</v>
      </c>
      <c r="K126" s="5">
        <v>0.1364</v>
      </c>
      <c r="L126" s="5">
        <v>0.47</v>
      </c>
      <c r="M126" s="5">
        <v>0.2985</v>
      </c>
      <c r="N126" s="5">
        <v>6</v>
      </c>
      <c r="O126" s="5">
        <v>127</v>
      </c>
      <c r="P126" s="5">
        <v>133</v>
      </c>
    </row>
    <row r="127" spans="1:16">
      <c r="A127" s="5">
        <v>745</v>
      </c>
      <c r="B127" s="11">
        <v>40577</v>
      </c>
      <c r="C127" s="5">
        <v>1</v>
      </c>
      <c r="D127" s="5">
        <v>0</v>
      </c>
      <c r="E127" s="5">
        <v>2</v>
      </c>
      <c r="F127" s="5">
        <v>10</v>
      </c>
      <c r="G127" s="5" t="b">
        <v>0</v>
      </c>
      <c r="H127" s="5">
        <v>4</v>
      </c>
      <c r="I127" s="5">
        <v>1</v>
      </c>
      <c r="J127" s="5">
        <v>0.18</v>
      </c>
      <c r="K127" s="5">
        <v>0.1515</v>
      </c>
      <c r="L127" s="5">
        <v>0.43</v>
      </c>
      <c r="M127" s="5">
        <v>0.3284</v>
      </c>
      <c r="N127" s="5">
        <v>2</v>
      </c>
      <c r="O127" s="5">
        <v>50</v>
      </c>
      <c r="P127" s="5">
        <v>52</v>
      </c>
    </row>
    <row r="128" spans="1:16">
      <c r="A128" s="5">
        <v>746</v>
      </c>
      <c r="B128" s="11">
        <v>40577</v>
      </c>
      <c r="C128" s="5">
        <v>1</v>
      </c>
      <c r="D128" s="5">
        <v>0</v>
      </c>
      <c r="E128" s="5">
        <v>2</v>
      </c>
      <c r="F128" s="5">
        <v>11</v>
      </c>
      <c r="G128" s="5" t="b">
        <v>0</v>
      </c>
      <c r="H128" s="5">
        <v>4</v>
      </c>
      <c r="I128" s="5">
        <v>1</v>
      </c>
      <c r="J128" s="5">
        <v>0.18</v>
      </c>
      <c r="K128" s="5">
        <v>0.1364</v>
      </c>
      <c r="L128" s="5">
        <v>0.43</v>
      </c>
      <c r="M128" s="5">
        <v>0.4478</v>
      </c>
      <c r="N128" s="5">
        <v>9</v>
      </c>
      <c r="O128" s="5">
        <v>55</v>
      </c>
      <c r="P128" s="5">
        <v>64</v>
      </c>
    </row>
    <row r="129" spans="1:16">
      <c r="A129" s="5">
        <v>747</v>
      </c>
      <c r="B129" s="11">
        <v>40577</v>
      </c>
      <c r="C129" s="5">
        <v>1</v>
      </c>
      <c r="D129" s="5">
        <v>0</v>
      </c>
      <c r="E129" s="5">
        <v>2</v>
      </c>
      <c r="F129" s="5">
        <v>12</v>
      </c>
      <c r="G129" s="5" t="b">
        <v>0</v>
      </c>
      <c r="H129" s="5">
        <v>4</v>
      </c>
      <c r="I129" s="5">
        <v>1</v>
      </c>
      <c r="J129" s="5">
        <v>0.2</v>
      </c>
      <c r="K129" s="5">
        <v>0.1818</v>
      </c>
      <c r="L129" s="5">
        <v>0.4</v>
      </c>
      <c r="M129" s="5">
        <v>0.3582</v>
      </c>
      <c r="N129" s="5">
        <v>2</v>
      </c>
      <c r="O129" s="5">
        <v>67</v>
      </c>
      <c r="P129" s="5">
        <v>69</v>
      </c>
    </row>
    <row r="130" spans="1:16">
      <c r="A130" s="5">
        <v>748</v>
      </c>
      <c r="B130" s="11">
        <v>40577</v>
      </c>
      <c r="C130" s="5">
        <v>1</v>
      </c>
      <c r="D130" s="5">
        <v>0</v>
      </c>
      <c r="E130" s="5">
        <v>2</v>
      </c>
      <c r="F130" s="5">
        <v>13</v>
      </c>
      <c r="G130" s="5" t="b">
        <v>0</v>
      </c>
      <c r="H130" s="5">
        <v>4</v>
      </c>
      <c r="I130" s="5">
        <v>1</v>
      </c>
      <c r="J130" s="5">
        <v>0.2</v>
      </c>
      <c r="K130" s="5">
        <v>0.1667</v>
      </c>
      <c r="L130" s="5">
        <v>0.4</v>
      </c>
      <c r="M130" s="5">
        <v>0.4179</v>
      </c>
      <c r="N130" s="5">
        <v>4</v>
      </c>
      <c r="O130" s="5">
        <v>47</v>
      </c>
      <c r="P130" s="5">
        <v>51</v>
      </c>
    </row>
    <row r="131" spans="1:16">
      <c r="A131" s="5">
        <v>749</v>
      </c>
      <c r="B131" s="11">
        <v>40577</v>
      </c>
      <c r="C131" s="5">
        <v>1</v>
      </c>
      <c r="D131" s="5">
        <v>0</v>
      </c>
      <c r="E131" s="5">
        <v>2</v>
      </c>
      <c r="F131" s="5">
        <v>14</v>
      </c>
      <c r="G131" s="5" t="b">
        <v>0</v>
      </c>
      <c r="H131" s="5">
        <v>4</v>
      </c>
      <c r="I131" s="5">
        <v>1</v>
      </c>
      <c r="J131" s="5">
        <v>0.22</v>
      </c>
      <c r="K131" s="5">
        <v>0.197</v>
      </c>
      <c r="L131" s="5">
        <v>0.37</v>
      </c>
      <c r="M131" s="5">
        <v>0.3881</v>
      </c>
      <c r="N131" s="5">
        <v>4</v>
      </c>
      <c r="O131" s="5">
        <v>43</v>
      </c>
      <c r="P131" s="5">
        <v>47</v>
      </c>
    </row>
    <row r="132" spans="1:16">
      <c r="A132" s="5">
        <v>750</v>
      </c>
      <c r="B132" s="11">
        <v>40577</v>
      </c>
      <c r="C132" s="5">
        <v>1</v>
      </c>
      <c r="D132" s="5">
        <v>0</v>
      </c>
      <c r="E132" s="5">
        <v>2</v>
      </c>
      <c r="F132" s="5">
        <v>15</v>
      </c>
      <c r="G132" s="5" t="b">
        <v>0</v>
      </c>
      <c r="H132" s="5">
        <v>4</v>
      </c>
      <c r="I132" s="5">
        <v>1</v>
      </c>
      <c r="J132" s="5">
        <v>0.22</v>
      </c>
      <c r="K132" s="5">
        <v>0.197</v>
      </c>
      <c r="L132" s="5">
        <v>0.37</v>
      </c>
      <c r="M132" s="5">
        <v>0.3284</v>
      </c>
      <c r="N132" s="5">
        <v>4</v>
      </c>
      <c r="O132" s="5">
        <v>56</v>
      </c>
      <c r="P132" s="5">
        <v>60</v>
      </c>
    </row>
    <row r="133" spans="1:16">
      <c r="A133" s="5">
        <v>751</v>
      </c>
      <c r="B133" s="11">
        <v>40577</v>
      </c>
      <c r="C133" s="5">
        <v>1</v>
      </c>
      <c r="D133" s="5">
        <v>0</v>
      </c>
      <c r="E133" s="5">
        <v>2</v>
      </c>
      <c r="F133" s="5">
        <v>16</v>
      </c>
      <c r="G133" s="5" t="b">
        <v>0</v>
      </c>
      <c r="H133" s="5">
        <v>4</v>
      </c>
      <c r="I133" s="5">
        <v>1</v>
      </c>
      <c r="J133" s="5">
        <v>0.22</v>
      </c>
      <c r="K133" s="5">
        <v>0.2121</v>
      </c>
      <c r="L133" s="5">
        <v>0.37</v>
      </c>
      <c r="M133" s="5">
        <v>0.2537</v>
      </c>
      <c r="N133" s="5">
        <v>5</v>
      </c>
      <c r="O133" s="5">
        <v>73</v>
      </c>
      <c r="P133" s="5">
        <v>78</v>
      </c>
    </row>
    <row r="134" spans="1:16">
      <c r="A134" s="5">
        <v>752</v>
      </c>
      <c r="B134" s="11">
        <v>40577</v>
      </c>
      <c r="C134" s="5">
        <v>1</v>
      </c>
      <c r="D134" s="5">
        <v>0</v>
      </c>
      <c r="E134" s="5">
        <v>2</v>
      </c>
      <c r="F134" s="5">
        <v>17</v>
      </c>
      <c r="G134" s="5" t="b">
        <v>0</v>
      </c>
      <c r="H134" s="5">
        <v>4</v>
      </c>
      <c r="I134" s="5">
        <v>1</v>
      </c>
      <c r="J134" s="5">
        <v>0.2</v>
      </c>
      <c r="K134" s="5">
        <v>0.197</v>
      </c>
      <c r="L134" s="5">
        <v>0.4</v>
      </c>
      <c r="M134" s="5">
        <v>0.194</v>
      </c>
      <c r="N134" s="5">
        <v>5</v>
      </c>
      <c r="O134" s="5">
        <v>170</v>
      </c>
      <c r="P134" s="5">
        <v>175</v>
      </c>
    </row>
    <row r="135" spans="1:16">
      <c r="A135" s="5">
        <v>753</v>
      </c>
      <c r="B135" s="11">
        <v>40577</v>
      </c>
      <c r="C135" s="5">
        <v>1</v>
      </c>
      <c r="D135" s="5">
        <v>0</v>
      </c>
      <c r="E135" s="5">
        <v>2</v>
      </c>
      <c r="F135" s="5">
        <v>18</v>
      </c>
      <c r="G135" s="5" t="b">
        <v>0</v>
      </c>
      <c r="H135" s="5">
        <v>4</v>
      </c>
      <c r="I135" s="5">
        <v>1</v>
      </c>
      <c r="J135" s="5">
        <v>0.2</v>
      </c>
      <c r="K135" s="5">
        <v>0.2121</v>
      </c>
      <c r="L135" s="5">
        <v>0.4</v>
      </c>
      <c r="M135" s="5">
        <v>0.1642</v>
      </c>
      <c r="N135" s="5">
        <v>2</v>
      </c>
      <c r="O135" s="5">
        <v>145</v>
      </c>
      <c r="P135" s="5">
        <v>147</v>
      </c>
    </row>
    <row r="136" spans="1:16">
      <c r="A136" s="5">
        <v>754</v>
      </c>
      <c r="B136" s="11">
        <v>40577</v>
      </c>
      <c r="C136" s="5">
        <v>1</v>
      </c>
      <c r="D136" s="5">
        <v>0</v>
      </c>
      <c r="E136" s="5">
        <v>2</v>
      </c>
      <c r="F136" s="5">
        <v>19</v>
      </c>
      <c r="G136" s="5" t="b">
        <v>0</v>
      </c>
      <c r="H136" s="5">
        <v>4</v>
      </c>
      <c r="I136" s="5">
        <v>1</v>
      </c>
      <c r="J136" s="5">
        <v>0.2</v>
      </c>
      <c r="K136" s="5">
        <v>0.2576</v>
      </c>
      <c r="L136" s="5">
        <v>0.4</v>
      </c>
      <c r="M136" s="5">
        <v>0</v>
      </c>
      <c r="N136" s="5">
        <v>4</v>
      </c>
      <c r="O136" s="5">
        <v>92</v>
      </c>
      <c r="P136" s="5">
        <v>96</v>
      </c>
    </row>
    <row r="137" spans="1:16">
      <c r="A137" s="5">
        <v>755</v>
      </c>
      <c r="B137" s="11">
        <v>40577</v>
      </c>
      <c r="C137" s="5">
        <v>1</v>
      </c>
      <c r="D137" s="5">
        <v>0</v>
      </c>
      <c r="E137" s="5">
        <v>2</v>
      </c>
      <c r="F137" s="5">
        <v>20</v>
      </c>
      <c r="G137" s="5" t="b">
        <v>0</v>
      </c>
      <c r="H137" s="5">
        <v>4</v>
      </c>
      <c r="I137" s="5">
        <v>1</v>
      </c>
      <c r="J137" s="5">
        <v>0.2</v>
      </c>
      <c r="K137" s="5">
        <v>0.2273</v>
      </c>
      <c r="L137" s="5">
        <v>0.47</v>
      </c>
      <c r="M137" s="5">
        <v>0.0896</v>
      </c>
      <c r="N137" s="5">
        <v>1</v>
      </c>
      <c r="O137" s="5">
        <v>108</v>
      </c>
      <c r="P137" s="5">
        <v>109</v>
      </c>
    </row>
    <row r="138" spans="1:16">
      <c r="A138" s="5">
        <v>756</v>
      </c>
      <c r="B138" s="11">
        <v>40577</v>
      </c>
      <c r="C138" s="5">
        <v>1</v>
      </c>
      <c r="D138" s="5">
        <v>0</v>
      </c>
      <c r="E138" s="5">
        <v>2</v>
      </c>
      <c r="F138" s="5">
        <v>21</v>
      </c>
      <c r="G138" s="5" t="b">
        <v>0</v>
      </c>
      <c r="H138" s="5">
        <v>4</v>
      </c>
      <c r="I138" s="5">
        <v>1</v>
      </c>
      <c r="J138" s="5">
        <v>0.18</v>
      </c>
      <c r="K138" s="5">
        <v>0.2121</v>
      </c>
      <c r="L138" s="5">
        <v>0.55</v>
      </c>
      <c r="M138" s="5">
        <v>0.1045</v>
      </c>
      <c r="N138" s="5">
        <v>1</v>
      </c>
      <c r="O138" s="5">
        <v>53</v>
      </c>
      <c r="P138" s="5">
        <v>54</v>
      </c>
    </row>
    <row r="139" spans="1:16">
      <c r="A139" s="5">
        <v>757</v>
      </c>
      <c r="B139" s="11">
        <v>40577</v>
      </c>
      <c r="C139" s="5">
        <v>1</v>
      </c>
      <c r="D139" s="5">
        <v>0</v>
      </c>
      <c r="E139" s="5">
        <v>2</v>
      </c>
      <c r="F139" s="5">
        <v>22</v>
      </c>
      <c r="G139" s="5" t="b">
        <v>0</v>
      </c>
      <c r="H139" s="5">
        <v>4</v>
      </c>
      <c r="I139" s="5">
        <v>1</v>
      </c>
      <c r="J139" s="5">
        <v>0.18</v>
      </c>
      <c r="K139" s="5">
        <v>0.2121</v>
      </c>
      <c r="L139" s="5">
        <v>0.51</v>
      </c>
      <c r="M139" s="5">
        <v>0.0896</v>
      </c>
      <c r="N139" s="5">
        <v>2</v>
      </c>
      <c r="O139" s="5">
        <v>39</v>
      </c>
      <c r="P139" s="5">
        <v>41</v>
      </c>
    </row>
    <row r="140" spans="1:16">
      <c r="A140" s="5">
        <v>758</v>
      </c>
      <c r="B140" s="11">
        <v>40577</v>
      </c>
      <c r="C140" s="5">
        <v>1</v>
      </c>
      <c r="D140" s="5">
        <v>0</v>
      </c>
      <c r="E140" s="5">
        <v>2</v>
      </c>
      <c r="F140" s="5">
        <v>23</v>
      </c>
      <c r="G140" s="5" t="b">
        <v>0</v>
      </c>
      <c r="H140" s="5">
        <v>4</v>
      </c>
      <c r="I140" s="5">
        <v>1</v>
      </c>
      <c r="J140" s="5">
        <v>0.2</v>
      </c>
      <c r="K140" s="5">
        <v>0.2273</v>
      </c>
      <c r="L140" s="5">
        <v>0.47</v>
      </c>
      <c r="M140" s="5">
        <v>0.1045</v>
      </c>
      <c r="N140" s="5">
        <v>4</v>
      </c>
      <c r="O140" s="5">
        <v>34</v>
      </c>
      <c r="P140" s="5">
        <v>38</v>
      </c>
    </row>
    <row r="141" spans="1:16">
      <c r="A141" s="5">
        <v>759</v>
      </c>
      <c r="B141" s="11">
        <v>40578</v>
      </c>
      <c r="C141" s="5">
        <v>1</v>
      </c>
      <c r="D141" s="5">
        <v>0</v>
      </c>
      <c r="E141" s="5">
        <v>2</v>
      </c>
      <c r="F141" s="5">
        <v>0</v>
      </c>
      <c r="G141" s="5" t="b">
        <v>0</v>
      </c>
      <c r="H141" s="5">
        <v>5</v>
      </c>
      <c r="I141" s="5">
        <v>2</v>
      </c>
      <c r="J141" s="5">
        <v>0.2</v>
      </c>
      <c r="K141" s="5">
        <v>0.2576</v>
      </c>
      <c r="L141" s="5">
        <v>0.44</v>
      </c>
      <c r="M141" s="5">
        <v>0</v>
      </c>
      <c r="N141" s="5">
        <v>3</v>
      </c>
      <c r="O141" s="5">
        <v>10</v>
      </c>
      <c r="P141" s="5">
        <v>13</v>
      </c>
    </row>
    <row r="142" spans="1:16">
      <c r="A142" s="5">
        <v>760</v>
      </c>
      <c r="B142" s="11">
        <v>40578</v>
      </c>
      <c r="C142" s="5">
        <v>1</v>
      </c>
      <c r="D142" s="5">
        <v>0</v>
      </c>
      <c r="E142" s="5">
        <v>2</v>
      </c>
      <c r="F142" s="5">
        <v>1</v>
      </c>
      <c r="G142" s="5" t="b">
        <v>0</v>
      </c>
      <c r="H142" s="5">
        <v>5</v>
      </c>
      <c r="I142" s="5">
        <v>2</v>
      </c>
      <c r="J142" s="5">
        <v>0.16</v>
      </c>
      <c r="K142" s="5">
        <v>0.2273</v>
      </c>
      <c r="L142" s="5">
        <v>0.59</v>
      </c>
      <c r="M142" s="5">
        <v>0</v>
      </c>
      <c r="N142" s="5">
        <v>0</v>
      </c>
      <c r="O142" s="5">
        <v>7</v>
      </c>
      <c r="P142" s="5">
        <v>7</v>
      </c>
    </row>
    <row r="143" spans="1:16">
      <c r="A143" s="5">
        <v>761</v>
      </c>
      <c r="B143" s="11">
        <v>40578</v>
      </c>
      <c r="C143" s="5">
        <v>1</v>
      </c>
      <c r="D143" s="5">
        <v>0</v>
      </c>
      <c r="E143" s="5">
        <v>2</v>
      </c>
      <c r="F143" s="5">
        <v>2</v>
      </c>
      <c r="G143" s="5" t="b">
        <v>0</v>
      </c>
      <c r="H143" s="5">
        <v>5</v>
      </c>
      <c r="I143" s="5">
        <v>2</v>
      </c>
      <c r="J143" s="5">
        <v>0.14</v>
      </c>
      <c r="K143" s="5">
        <v>0.1667</v>
      </c>
      <c r="L143" s="5">
        <v>0.63</v>
      </c>
      <c r="M143" s="5">
        <v>0.1045</v>
      </c>
      <c r="N143" s="5">
        <v>0</v>
      </c>
      <c r="O143" s="5">
        <v>1</v>
      </c>
      <c r="P143" s="5">
        <v>1</v>
      </c>
    </row>
    <row r="144" spans="1:16">
      <c r="A144" s="5">
        <v>762</v>
      </c>
      <c r="B144" s="11">
        <v>40578</v>
      </c>
      <c r="C144" s="5">
        <v>1</v>
      </c>
      <c r="D144" s="5">
        <v>0</v>
      </c>
      <c r="E144" s="5">
        <v>2</v>
      </c>
      <c r="F144" s="5">
        <v>3</v>
      </c>
      <c r="G144" s="5" t="b">
        <v>0</v>
      </c>
      <c r="H144" s="5">
        <v>5</v>
      </c>
      <c r="I144" s="5">
        <v>2</v>
      </c>
      <c r="J144" s="5">
        <v>0.14</v>
      </c>
      <c r="K144" s="5">
        <v>0.1667</v>
      </c>
      <c r="L144" s="5">
        <v>0.63</v>
      </c>
      <c r="M144" s="5">
        <v>0.1045</v>
      </c>
      <c r="N144" s="5">
        <v>0</v>
      </c>
      <c r="O144" s="5">
        <v>1</v>
      </c>
      <c r="P144" s="5">
        <v>1</v>
      </c>
    </row>
    <row r="145" spans="1:16">
      <c r="A145" s="5">
        <v>763</v>
      </c>
      <c r="B145" s="11">
        <v>40578</v>
      </c>
      <c r="C145" s="5">
        <v>1</v>
      </c>
      <c r="D145" s="5">
        <v>0</v>
      </c>
      <c r="E145" s="5">
        <v>2</v>
      </c>
      <c r="F145" s="5">
        <v>5</v>
      </c>
      <c r="G145" s="5" t="b">
        <v>0</v>
      </c>
      <c r="H145" s="5">
        <v>5</v>
      </c>
      <c r="I145" s="5">
        <v>2</v>
      </c>
      <c r="J145" s="5">
        <v>0.14</v>
      </c>
      <c r="K145" s="5">
        <v>0.1515</v>
      </c>
      <c r="L145" s="5">
        <v>0.63</v>
      </c>
      <c r="M145" s="5">
        <v>0.1343</v>
      </c>
      <c r="N145" s="5">
        <v>0</v>
      </c>
      <c r="O145" s="5">
        <v>7</v>
      </c>
      <c r="P145" s="5">
        <v>7</v>
      </c>
    </row>
    <row r="146" spans="1:16">
      <c r="A146" s="5">
        <v>764</v>
      </c>
      <c r="B146" s="11">
        <v>40578</v>
      </c>
      <c r="C146" s="5">
        <v>1</v>
      </c>
      <c r="D146" s="5">
        <v>0</v>
      </c>
      <c r="E146" s="5">
        <v>2</v>
      </c>
      <c r="F146" s="5">
        <v>6</v>
      </c>
      <c r="G146" s="5" t="b">
        <v>0</v>
      </c>
      <c r="H146" s="5">
        <v>5</v>
      </c>
      <c r="I146" s="5">
        <v>2</v>
      </c>
      <c r="J146" s="5">
        <v>0.16</v>
      </c>
      <c r="K146" s="5">
        <v>0.2273</v>
      </c>
      <c r="L146" s="5">
        <v>0.55</v>
      </c>
      <c r="M146" s="5">
        <v>0</v>
      </c>
      <c r="N146" s="5">
        <v>2</v>
      </c>
      <c r="O146" s="5">
        <v>26</v>
      </c>
      <c r="P146" s="5">
        <v>28</v>
      </c>
    </row>
    <row r="147" spans="1:16">
      <c r="A147" s="5">
        <v>765</v>
      </c>
      <c r="B147" s="11">
        <v>40578</v>
      </c>
      <c r="C147" s="5">
        <v>1</v>
      </c>
      <c r="D147" s="5">
        <v>0</v>
      </c>
      <c r="E147" s="5">
        <v>2</v>
      </c>
      <c r="F147" s="5">
        <v>7</v>
      </c>
      <c r="G147" s="5" t="b">
        <v>0</v>
      </c>
      <c r="H147" s="5">
        <v>5</v>
      </c>
      <c r="I147" s="5">
        <v>1</v>
      </c>
      <c r="J147" s="5">
        <v>0.14</v>
      </c>
      <c r="K147" s="5">
        <v>0.2121</v>
      </c>
      <c r="L147" s="5">
        <v>0.59</v>
      </c>
      <c r="M147" s="5">
        <v>0</v>
      </c>
      <c r="N147" s="5">
        <v>0</v>
      </c>
      <c r="O147" s="5">
        <v>87</v>
      </c>
      <c r="P147" s="5">
        <v>87</v>
      </c>
    </row>
    <row r="148" spans="1:16">
      <c r="A148" s="5">
        <v>766</v>
      </c>
      <c r="B148" s="11">
        <v>40578</v>
      </c>
      <c r="C148" s="5">
        <v>1</v>
      </c>
      <c r="D148" s="5">
        <v>0</v>
      </c>
      <c r="E148" s="5">
        <v>2</v>
      </c>
      <c r="F148" s="5">
        <v>8</v>
      </c>
      <c r="G148" s="5" t="b">
        <v>0</v>
      </c>
      <c r="H148" s="5">
        <v>5</v>
      </c>
      <c r="I148" s="5">
        <v>1</v>
      </c>
      <c r="J148" s="5">
        <v>0.14</v>
      </c>
      <c r="K148" s="5">
        <v>0.1515</v>
      </c>
      <c r="L148" s="5">
        <v>0.74</v>
      </c>
      <c r="M148" s="5">
        <v>0.1343</v>
      </c>
      <c r="N148" s="5">
        <v>3</v>
      </c>
      <c r="O148" s="5">
        <v>217</v>
      </c>
      <c r="P148" s="5">
        <v>220</v>
      </c>
    </row>
    <row r="149" spans="1:16">
      <c r="A149" s="5">
        <v>767</v>
      </c>
      <c r="B149" s="11">
        <v>40578</v>
      </c>
      <c r="C149" s="5">
        <v>1</v>
      </c>
      <c r="D149" s="5">
        <v>0</v>
      </c>
      <c r="E149" s="5">
        <v>2</v>
      </c>
      <c r="F149" s="5">
        <v>9</v>
      </c>
      <c r="G149" s="5" t="b">
        <v>0</v>
      </c>
      <c r="H149" s="5">
        <v>5</v>
      </c>
      <c r="I149" s="5">
        <v>2</v>
      </c>
      <c r="J149" s="5">
        <v>0.16</v>
      </c>
      <c r="K149" s="5">
        <v>0.1818</v>
      </c>
      <c r="L149" s="5">
        <v>0.8</v>
      </c>
      <c r="M149" s="5">
        <v>0.1343</v>
      </c>
      <c r="N149" s="5">
        <v>3</v>
      </c>
      <c r="O149" s="5">
        <v>124</v>
      </c>
      <c r="P149" s="5">
        <v>127</v>
      </c>
    </row>
    <row r="150" spans="1:16">
      <c r="A150" s="5">
        <v>768</v>
      </c>
      <c r="B150" s="11">
        <v>40578</v>
      </c>
      <c r="C150" s="5">
        <v>1</v>
      </c>
      <c r="D150" s="5">
        <v>0</v>
      </c>
      <c r="E150" s="5">
        <v>2</v>
      </c>
      <c r="F150" s="5">
        <v>10</v>
      </c>
      <c r="G150" s="5" t="b">
        <v>0</v>
      </c>
      <c r="H150" s="5">
        <v>5</v>
      </c>
      <c r="I150" s="5">
        <v>2</v>
      </c>
      <c r="J150" s="5">
        <v>0.2</v>
      </c>
      <c r="K150" s="5">
        <v>0.2121</v>
      </c>
      <c r="L150" s="5">
        <v>0.51</v>
      </c>
      <c r="M150" s="5">
        <v>0.1343</v>
      </c>
      <c r="N150" s="5">
        <v>5</v>
      </c>
      <c r="O150" s="5">
        <v>46</v>
      </c>
      <c r="P150" s="5">
        <v>51</v>
      </c>
    </row>
    <row r="151" spans="1:16">
      <c r="A151" s="5">
        <v>769</v>
      </c>
      <c r="B151" s="11">
        <v>40578</v>
      </c>
      <c r="C151" s="5">
        <v>1</v>
      </c>
      <c r="D151" s="5">
        <v>0</v>
      </c>
      <c r="E151" s="5">
        <v>2</v>
      </c>
      <c r="F151" s="5">
        <v>11</v>
      </c>
      <c r="G151" s="5" t="b">
        <v>0</v>
      </c>
      <c r="H151" s="5">
        <v>5</v>
      </c>
      <c r="I151" s="5">
        <v>1</v>
      </c>
      <c r="J151" s="5">
        <v>0.22</v>
      </c>
      <c r="K151" s="5">
        <v>0.2273</v>
      </c>
      <c r="L151" s="5">
        <v>0.51</v>
      </c>
      <c r="M151" s="5">
        <v>0.1642</v>
      </c>
      <c r="N151" s="5">
        <v>3</v>
      </c>
      <c r="O151" s="5">
        <v>61</v>
      </c>
      <c r="P151" s="5">
        <v>64</v>
      </c>
    </row>
    <row r="152" spans="1:16">
      <c r="A152" s="5">
        <v>770</v>
      </c>
      <c r="B152" s="11">
        <v>40578</v>
      </c>
      <c r="C152" s="5">
        <v>1</v>
      </c>
      <c r="D152" s="5">
        <v>0</v>
      </c>
      <c r="E152" s="5">
        <v>2</v>
      </c>
      <c r="F152" s="5">
        <v>12</v>
      </c>
      <c r="G152" s="5" t="b">
        <v>0</v>
      </c>
      <c r="H152" s="5">
        <v>5</v>
      </c>
      <c r="I152" s="5">
        <v>2</v>
      </c>
      <c r="J152" s="5">
        <v>0.24</v>
      </c>
      <c r="K152" s="5">
        <v>0.2424</v>
      </c>
      <c r="L152" s="5">
        <v>0.48</v>
      </c>
      <c r="M152" s="5">
        <v>0.1642</v>
      </c>
      <c r="N152" s="5">
        <v>8</v>
      </c>
      <c r="O152" s="5">
        <v>78</v>
      </c>
      <c r="P152" s="5">
        <v>86</v>
      </c>
    </row>
    <row r="153" spans="1:16">
      <c r="A153" s="5">
        <v>771</v>
      </c>
      <c r="B153" s="11">
        <v>40578</v>
      </c>
      <c r="C153" s="5">
        <v>1</v>
      </c>
      <c r="D153" s="5">
        <v>0</v>
      </c>
      <c r="E153" s="5">
        <v>2</v>
      </c>
      <c r="F153" s="5">
        <v>13</v>
      </c>
      <c r="G153" s="5" t="b">
        <v>0</v>
      </c>
      <c r="H153" s="5">
        <v>5</v>
      </c>
      <c r="I153" s="5">
        <v>2</v>
      </c>
      <c r="J153" s="5">
        <v>0.26</v>
      </c>
      <c r="K153" s="5">
        <v>0.2576</v>
      </c>
      <c r="L153" s="5">
        <v>0.5</v>
      </c>
      <c r="M153" s="5">
        <v>0.2239</v>
      </c>
      <c r="N153" s="5">
        <v>9</v>
      </c>
      <c r="O153" s="5">
        <v>73</v>
      </c>
      <c r="P153" s="5">
        <v>82</v>
      </c>
    </row>
    <row r="154" spans="1:16">
      <c r="A154" s="5">
        <v>772</v>
      </c>
      <c r="B154" s="11">
        <v>40578</v>
      </c>
      <c r="C154" s="5">
        <v>1</v>
      </c>
      <c r="D154" s="5">
        <v>0</v>
      </c>
      <c r="E154" s="5">
        <v>2</v>
      </c>
      <c r="F154" s="5">
        <v>14</v>
      </c>
      <c r="G154" s="5" t="b">
        <v>0</v>
      </c>
      <c r="H154" s="5">
        <v>5</v>
      </c>
      <c r="I154" s="5">
        <v>2</v>
      </c>
      <c r="J154" s="5">
        <v>0.28</v>
      </c>
      <c r="K154" s="5">
        <v>0.2727</v>
      </c>
      <c r="L154" s="5">
        <v>0.45</v>
      </c>
      <c r="M154" s="5">
        <v>0.1642</v>
      </c>
      <c r="N154" s="5">
        <v>15</v>
      </c>
      <c r="O154" s="5">
        <v>76</v>
      </c>
      <c r="P154" s="5">
        <v>91</v>
      </c>
    </row>
    <row r="155" spans="1:16">
      <c r="A155" s="5">
        <v>773</v>
      </c>
      <c r="B155" s="11">
        <v>40578</v>
      </c>
      <c r="C155" s="5">
        <v>1</v>
      </c>
      <c r="D155" s="5">
        <v>0</v>
      </c>
      <c r="E155" s="5">
        <v>2</v>
      </c>
      <c r="F155" s="5">
        <v>15</v>
      </c>
      <c r="G155" s="5" t="b">
        <v>0</v>
      </c>
      <c r="H155" s="5">
        <v>5</v>
      </c>
      <c r="I155" s="5">
        <v>2</v>
      </c>
      <c r="J155" s="5">
        <v>0.28</v>
      </c>
      <c r="K155" s="5">
        <v>0.2727</v>
      </c>
      <c r="L155" s="5">
        <v>0.48</v>
      </c>
      <c r="M155" s="5">
        <v>0.2537</v>
      </c>
      <c r="N155" s="5">
        <v>9</v>
      </c>
      <c r="O155" s="5">
        <v>81</v>
      </c>
      <c r="P155" s="5">
        <v>90</v>
      </c>
    </row>
    <row r="156" spans="1:16">
      <c r="A156" s="5">
        <v>774</v>
      </c>
      <c r="B156" s="11">
        <v>40578</v>
      </c>
      <c r="C156" s="5">
        <v>1</v>
      </c>
      <c r="D156" s="5">
        <v>0</v>
      </c>
      <c r="E156" s="5">
        <v>2</v>
      </c>
      <c r="F156" s="5">
        <v>16</v>
      </c>
      <c r="G156" s="5" t="b">
        <v>0</v>
      </c>
      <c r="H156" s="5">
        <v>5</v>
      </c>
      <c r="I156" s="5">
        <v>2</v>
      </c>
      <c r="J156" s="5">
        <v>0.3</v>
      </c>
      <c r="K156" s="5">
        <v>0.2879</v>
      </c>
      <c r="L156" s="5">
        <v>0.42</v>
      </c>
      <c r="M156" s="5">
        <v>0.2239</v>
      </c>
      <c r="N156" s="5">
        <v>8</v>
      </c>
      <c r="O156" s="5">
        <v>91</v>
      </c>
      <c r="P156" s="5">
        <v>99</v>
      </c>
    </row>
    <row r="157" spans="1:16">
      <c r="A157" s="5">
        <v>775</v>
      </c>
      <c r="B157" s="11">
        <v>40578</v>
      </c>
      <c r="C157" s="5">
        <v>1</v>
      </c>
      <c r="D157" s="5">
        <v>0</v>
      </c>
      <c r="E157" s="5">
        <v>2</v>
      </c>
      <c r="F157" s="5">
        <v>17</v>
      </c>
      <c r="G157" s="5" t="b">
        <v>0</v>
      </c>
      <c r="H157" s="5">
        <v>5</v>
      </c>
      <c r="I157" s="5">
        <v>2</v>
      </c>
      <c r="J157" s="5">
        <v>0.26</v>
      </c>
      <c r="K157" s="5">
        <v>0.2727</v>
      </c>
      <c r="L157" s="5">
        <v>0.5600000000000001</v>
      </c>
      <c r="M157" s="5">
        <v>0.1343</v>
      </c>
      <c r="N157" s="5">
        <v>10</v>
      </c>
      <c r="O157" s="5">
        <v>195</v>
      </c>
      <c r="P157" s="5">
        <v>205</v>
      </c>
    </row>
    <row r="158" spans="1:16">
      <c r="A158" s="5">
        <v>776</v>
      </c>
      <c r="B158" s="11">
        <v>40578</v>
      </c>
      <c r="C158" s="5">
        <v>1</v>
      </c>
      <c r="D158" s="5">
        <v>0</v>
      </c>
      <c r="E158" s="5">
        <v>2</v>
      </c>
      <c r="F158" s="5">
        <v>18</v>
      </c>
      <c r="G158" s="5" t="b">
        <v>0</v>
      </c>
      <c r="H158" s="5">
        <v>5</v>
      </c>
      <c r="I158" s="5">
        <v>2</v>
      </c>
      <c r="J158" s="5">
        <v>0.24</v>
      </c>
      <c r="K158" s="5">
        <v>0.2576</v>
      </c>
      <c r="L158" s="5">
        <v>0.6</v>
      </c>
      <c r="M158" s="5">
        <v>0.1045</v>
      </c>
      <c r="N158" s="5">
        <v>3</v>
      </c>
      <c r="O158" s="5">
        <v>152</v>
      </c>
      <c r="P158" s="5">
        <v>155</v>
      </c>
    </row>
    <row r="159" spans="1:16">
      <c r="A159" s="5">
        <v>777</v>
      </c>
      <c r="B159" s="11">
        <v>40578</v>
      </c>
      <c r="C159" s="5">
        <v>1</v>
      </c>
      <c r="D159" s="5">
        <v>0</v>
      </c>
      <c r="E159" s="5">
        <v>2</v>
      </c>
      <c r="F159" s="5">
        <v>19</v>
      </c>
      <c r="G159" s="5" t="b">
        <v>0</v>
      </c>
      <c r="H159" s="5">
        <v>5</v>
      </c>
      <c r="I159" s="5">
        <v>2</v>
      </c>
      <c r="J159" s="5">
        <v>0.24</v>
      </c>
      <c r="K159" s="5">
        <v>0.2424</v>
      </c>
      <c r="L159" s="5">
        <v>0.65</v>
      </c>
      <c r="M159" s="5">
        <v>0.1343</v>
      </c>
      <c r="N159" s="5">
        <v>1</v>
      </c>
      <c r="O159" s="5">
        <v>102</v>
      </c>
      <c r="P159" s="5">
        <v>103</v>
      </c>
    </row>
    <row r="160" spans="1:16">
      <c r="A160" s="5">
        <v>778</v>
      </c>
      <c r="B160" s="11">
        <v>40578</v>
      </c>
      <c r="C160" s="5">
        <v>1</v>
      </c>
      <c r="D160" s="5">
        <v>0</v>
      </c>
      <c r="E160" s="5">
        <v>2</v>
      </c>
      <c r="F160" s="5">
        <v>20</v>
      </c>
      <c r="G160" s="5" t="b">
        <v>0</v>
      </c>
      <c r="H160" s="5">
        <v>5</v>
      </c>
      <c r="I160" s="5">
        <v>2</v>
      </c>
      <c r="J160" s="5">
        <v>0.24</v>
      </c>
      <c r="K160" s="5">
        <v>0.2424</v>
      </c>
      <c r="L160" s="5">
        <v>0.65</v>
      </c>
      <c r="M160" s="5">
        <v>0.1642</v>
      </c>
      <c r="N160" s="5">
        <v>2</v>
      </c>
      <c r="O160" s="5">
        <v>69</v>
      </c>
      <c r="P160" s="5">
        <v>71</v>
      </c>
    </row>
    <row r="161" spans="1:16">
      <c r="A161" s="5">
        <v>779</v>
      </c>
      <c r="B161" s="11">
        <v>40578</v>
      </c>
      <c r="C161" s="5">
        <v>1</v>
      </c>
      <c r="D161" s="5">
        <v>0</v>
      </c>
      <c r="E161" s="5">
        <v>2</v>
      </c>
      <c r="F161" s="5">
        <v>21</v>
      </c>
      <c r="G161" s="5" t="b">
        <v>0</v>
      </c>
      <c r="H161" s="5">
        <v>5</v>
      </c>
      <c r="I161" s="5">
        <v>2</v>
      </c>
      <c r="J161" s="5">
        <v>0.24</v>
      </c>
      <c r="K161" s="5">
        <v>0.2424</v>
      </c>
      <c r="L161" s="5">
        <v>0.7</v>
      </c>
      <c r="M161" s="5">
        <v>0.1642</v>
      </c>
      <c r="N161" s="5">
        <v>2</v>
      </c>
      <c r="O161" s="5">
        <v>41</v>
      </c>
      <c r="P161" s="5">
        <v>43</v>
      </c>
    </row>
    <row r="162" spans="1:16">
      <c r="A162" s="5">
        <v>780</v>
      </c>
      <c r="B162" s="11">
        <v>40578</v>
      </c>
      <c r="C162" s="5">
        <v>1</v>
      </c>
      <c r="D162" s="5">
        <v>0</v>
      </c>
      <c r="E162" s="5">
        <v>2</v>
      </c>
      <c r="F162" s="5">
        <v>22</v>
      </c>
      <c r="G162" s="5" t="b">
        <v>0</v>
      </c>
      <c r="H162" s="5">
        <v>5</v>
      </c>
      <c r="I162" s="5">
        <v>2</v>
      </c>
      <c r="J162" s="5">
        <v>0.24</v>
      </c>
      <c r="K162" s="5">
        <v>0.2424</v>
      </c>
      <c r="L162" s="5">
        <v>0.65</v>
      </c>
      <c r="M162" s="5">
        <v>0.1642</v>
      </c>
      <c r="N162" s="5">
        <v>1</v>
      </c>
      <c r="O162" s="5">
        <v>45</v>
      </c>
      <c r="P162" s="5">
        <v>46</v>
      </c>
    </row>
    <row r="163" spans="1:16">
      <c r="A163" s="5">
        <v>781</v>
      </c>
      <c r="B163" s="11">
        <v>40578</v>
      </c>
      <c r="C163" s="5">
        <v>1</v>
      </c>
      <c r="D163" s="5">
        <v>0</v>
      </c>
      <c r="E163" s="5">
        <v>2</v>
      </c>
      <c r="F163" s="5">
        <v>23</v>
      </c>
      <c r="G163" s="5" t="b">
        <v>0</v>
      </c>
      <c r="H163" s="5">
        <v>5</v>
      </c>
      <c r="I163" s="5">
        <v>2</v>
      </c>
      <c r="J163" s="5">
        <v>0.24</v>
      </c>
      <c r="K163" s="5">
        <v>0.2424</v>
      </c>
      <c r="L163" s="5">
        <v>0.7</v>
      </c>
      <c r="M163" s="5">
        <v>0.1343</v>
      </c>
      <c r="N163" s="5">
        <v>1</v>
      </c>
      <c r="O163" s="5">
        <v>30</v>
      </c>
      <c r="P163" s="5">
        <v>31</v>
      </c>
    </row>
    <row r="164" spans="1:16">
      <c r="A164" s="5">
        <v>782</v>
      </c>
      <c r="B164" s="11">
        <v>40579</v>
      </c>
      <c r="C164" s="5">
        <v>1</v>
      </c>
      <c r="D164" s="5">
        <v>0</v>
      </c>
      <c r="E164" s="5">
        <v>2</v>
      </c>
      <c r="F164" s="5">
        <v>0</v>
      </c>
      <c r="G164" s="5" t="b">
        <v>0</v>
      </c>
      <c r="H164" s="5">
        <v>6</v>
      </c>
      <c r="I164" s="5">
        <v>2</v>
      </c>
      <c r="J164" s="5">
        <v>0.24</v>
      </c>
      <c r="K164" s="5">
        <v>0.2424</v>
      </c>
      <c r="L164" s="5">
        <v>0.7</v>
      </c>
      <c r="M164" s="5">
        <v>0.1642</v>
      </c>
      <c r="N164" s="5">
        <v>3</v>
      </c>
      <c r="O164" s="5">
        <v>36</v>
      </c>
      <c r="P164" s="5">
        <v>39</v>
      </c>
    </row>
    <row r="165" spans="1:16">
      <c r="A165" s="5">
        <v>783</v>
      </c>
      <c r="B165" s="11">
        <v>40579</v>
      </c>
      <c r="C165" s="5">
        <v>1</v>
      </c>
      <c r="D165" s="5">
        <v>0</v>
      </c>
      <c r="E165" s="5">
        <v>2</v>
      </c>
      <c r="F165" s="5">
        <v>1</v>
      </c>
      <c r="G165" s="5" t="b">
        <v>0</v>
      </c>
      <c r="H165" s="5">
        <v>6</v>
      </c>
      <c r="I165" s="5">
        <v>2</v>
      </c>
      <c r="J165" s="5">
        <v>0.24</v>
      </c>
      <c r="K165" s="5">
        <v>0.2424</v>
      </c>
      <c r="L165" s="5">
        <v>0.65</v>
      </c>
      <c r="M165" s="5">
        <v>0.1642</v>
      </c>
      <c r="N165" s="5">
        <v>1</v>
      </c>
      <c r="O165" s="5">
        <v>17</v>
      </c>
      <c r="P165" s="5">
        <v>18</v>
      </c>
    </row>
    <row r="166" spans="1:16">
      <c r="A166" s="5">
        <v>784</v>
      </c>
      <c r="B166" s="11">
        <v>40579</v>
      </c>
      <c r="C166" s="5">
        <v>1</v>
      </c>
      <c r="D166" s="5">
        <v>0</v>
      </c>
      <c r="E166" s="5">
        <v>2</v>
      </c>
      <c r="F166" s="5">
        <v>2</v>
      </c>
      <c r="G166" s="5" t="b">
        <v>0</v>
      </c>
      <c r="H166" s="5">
        <v>6</v>
      </c>
      <c r="I166" s="5">
        <v>2</v>
      </c>
      <c r="J166" s="5">
        <v>0.24</v>
      </c>
      <c r="K166" s="5">
        <v>0.2424</v>
      </c>
      <c r="L166" s="5">
        <v>0.75</v>
      </c>
      <c r="M166" s="5">
        <v>0.1642</v>
      </c>
      <c r="N166" s="5">
        <v>5</v>
      </c>
      <c r="O166" s="5">
        <v>12</v>
      </c>
      <c r="P166" s="5">
        <v>17</v>
      </c>
    </row>
    <row r="167" spans="1:16">
      <c r="A167" s="5">
        <v>785</v>
      </c>
      <c r="B167" s="11">
        <v>40579</v>
      </c>
      <c r="C167" s="5">
        <v>1</v>
      </c>
      <c r="D167" s="5">
        <v>0</v>
      </c>
      <c r="E167" s="5">
        <v>2</v>
      </c>
      <c r="F167" s="5">
        <v>3</v>
      </c>
      <c r="G167" s="5" t="b">
        <v>0</v>
      </c>
      <c r="H167" s="5">
        <v>6</v>
      </c>
      <c r="I167" s="5">
        <v>2</v>
      </c>
      <c r="J167" s="5">
        <v>0.24</v>
      </c>
      <c r="K167" s="5">
        <v>0.2424</v>
      </c>
      <c r="L167" s="5">
        <v>0.75</v>
      </c>
      <c r="M167" s="5">
        <v>0.1642</v>
      </c>
      <c r="N167" s="5">
        <v>1</v>
      </c>
      <c r="O167" s="5">
        <v>10</v>
      </c>
      <c r="P167" s="5">
        <v>11</v>
      </c>
    </row>
    <row r="168" spans="1:16">
      <c r="A168" s="5">
        <v>786</v>
      </c>
      <c r="B168" s="11">
        <v>40579</v>
      </c>
      <c r="C168" s="5">
        <v>1</v>
      </c>
      <c r="D168" s="5">
        <v>0</v>
      </c>
      <c r="E168" s="5">
        <v>2</v>
      </c>
      <c r="F168" s="5">
        <v>4</v>
      </c>
      <c r="G168" s="5" t="b">
        <v>0</v>
      </c>
      <c r="H168" s="5">
        <v>6</v>
      </c>
      <c r="I168" s="5">
        <v>3</v>
      </c>
      <c r="J168" s="5">
        <v>0.22</v>
      </c>
      <c r="K168" s="5">
        <v>0.2273</v>
      </c>
      <c r="L168" s="5">
        <v>0.93</v>
      </c>
      <c r="M168" s="5">
        <v>0.1343</v>
      </c>
      <c r="N168" s="5">
        <v>0</v>
      </c>
      <c r="O168" s="5">
        <v>8</v>
      </c>
      <c r="P168" s="5">
        <v>8</v>
      </c>
    </row>
    <row r="169" spans="1:16">
      <c r="A169" s="5">
        <v>787</v>
      </c>
      <c r="B169" s="11">
        <v>40579</v>
      </c>
      <c r="C169" s="5">
        <v>1</v>
      </c>
      <c r="D169" s="5">
        <v>0</v>
      </c>
      <c r="E169" s="5">
        <v>2</v>
      </c>
      <c r="F169" s="5">
        <v>5</v>
      </c>
      <c r="G169" s="5" t="b">
        <v>0</v>
      </c>
      <c r="H169" s="5">
        <v>6</v>
      </c>
      <c r="I169" s="5">
        <v>3</v>
      </c>
      <c r="J169" s="5">
        <v>0.2</v>
      </c>
      <c r="K169" s="5">
        <v>0.2273</v>
      </c>
      <c r="L169" s="5">
        <v>1</v>
      </c>
      <c r="M169" s="5">
        <v>0.0896</v>
      </c>
      <c r="N169" s="5">
        <v>0</v>
      </c>
      <c r="O169" s="5">
        <v>9</v>
      </c>
      <c r="P169" s="5">
        <v>9</v>
      </c>
    </row>
    <row r="170" spans="1:16">
      <c r="A170" s="5">
        <v>788</v>
      </c>
      <c r="B170" s="11">
        <v>40579</v>
      </c>
      <c r="C170" s="5">
        <v>1</v>
      </c>
      <c r="D170" s="5">
        <v>0</v>
      </c>
      <c r="E170" s="5">
        <v>2</v>
      </c>
      <c r="F170" s="5">
        <v>6</v>
      </c>
      <c r="G170" s="5" t="b">
        <v>0</v>
      </c>
      <c r="H170" s="5">
        <v>6</v>
      </c>
      <c r="I170" s="5">
        <v>3</v>
      </c>
      <c r="J170" s="5">
        <v>0.2</v>
      </c>
      <c r="K170" s="5">
        <v>0.2576</v>
      </c>
      <c r="L170" s="5">
        <v>1</v>
      </c>
      <c r="M170" s="5">
        <v>0</v>
      </c>
      <c r="N170" s="5">
        <v>0</v>
      </c>
      <c r="O170" s="5">
        <v>4</v>
      </c>
      <c r="P170" s="5">
        <v>4</v>
      </c>
    </row>
    <row r="171" spans="1:16">
      <c r="A171" s="5">
        <v>789</v>
      </c>
      <c r="B171" s="11">
        <v>40579</v>
      </c>
      <c r="C171" s="5">
        <v>1</v>
      </c>
      <c r="D171" s="5">
        <v>0</v>
      </c>
      <c r="E171" s="5">
        <v>2</v>
      </c>
      <c r="F171" s="5">
        <v>7</v>
      </c>
      <c r="G171" s="5" t="b">
        <v>0</v>
      </c>
      <c r="H171" s="5">
        <v>6</v>
      </c>
      <c r="I171" s="5">
        <v>3</v>
      </c>
      <c r="J171" s="5">
        <v>0.22</v>
      </c>
      <c r="K171" s="5">
        <v>0.2576</v>
      </c>
      <c r="L171" s="5">
        <v>0.93</v>
      </c>
      <c r="M171" s="5">
        <v>0.0896</v>
      </c>
      <c r="N171" s="5">
        <v>0</v>
      </c>
      <c r="O171" s="5">
        <v>4</v>
      </c>
      <c r="P171" s="5">
        <v>4</v>
      </c>
    </row>
    <row r="172" spans="1:16">
      <c r="A172" s="5">
        <v>790</v>
      </c>
      <c r="B172" s="11">
        <v>40579</v>
      </c>
      <c r="C172" s="5">
        <v>1</v>
      </c>
      <c r="D172" s="5">
        <v>0</v>
      </c>
      <c r="E172" s="5">
        <v>2</v>
      </c>
      <c r="F172" s="5">
        <v>8</v>
      </c>
      <c r="G172" s="5" t="b">
        <v>0</v>
      </c>
      <c r="H172" s="5">
        <v>6</v>
      </c>
      <c r="I172" s="5">
        <v>3</v>
      </c>
      <c r="J172" s="5">
        <v>0.2</v>
      </c>
      <c r="K172" s="5">
        <v>0.2273</v>
      </c>
      <c r="L172" s="5">
        <v>1</v>
      </c>
      <c r="M172" s="5">
        <v>0.0896</v>
      </c>
      <c r="N172" s="5">
        <v>0</v>
      </c>
      <c r="O172" s="5">
        <v>10</v>
      </c>
      <c r="P172" s="5">
        <v>10</v>
      </c>
    </row>
    <row r="173" spans="1:16">
      <c r="A173" s="5">
        <v>791</v>
      </c>
      <c r="B173" s="11">
        <v>40579</v>
      </c>
      <c r="C173" s="5">
        <v>1</v>
      </c>
      <c r="D173" s="5">
        <v>0</v>
      </c>
      <c r="E173" s="5">
        <v>2</v>
      </c>
      <c r="F173" s="5">
        <v>9</v>
      </c>
      <c r="G173" s="5" t="b">
        <v>0</v>
      </c>
      <c r="H173" s="5">
        <v>6</v>
      </c>
      <c r="I173" s="5">
        <v>3</v>
      </c>
      <c r="J173" s="5">
        <v>0.2</v>
      </c>
      <c r="K173" s="5">
        <v>0.2273</v>
      </c>
      <c r="L173" s="5">
        <v>1</v>
      </c>
      <c r="M173" s="5">
        <v>0.0896</v>
      </c>
      <c r="N173" s="5">
        <v>3</v>
      </c>
      <c r="O173" s="5">
        <v>17</v>
      </c>
      <c r="P173" s="5">
        <v>20</v>
      </c>
    </row>
    <row r="174" spans="1:16">
      <c r="A174" s="5">
        <v>792</v>
      </c>
      <c r="B174" s="11">
        <v>40579</v>
      </c>
      <c r="C174" s="5">
        <v>1</v>
      </c>
      <c r="D174" s="5">
        <v>0</v>
      </c>
      <c r="E174" s="5">
        <v>2</v>
      </c>
      <c r="F174" s="5">
        <v>10</v>
      </c>
      <c r="G174" s="5" t="b">
        <v>0</v>
      </c>
      <c r="H174" s="5">
        <v>6</v>
      </c>
      <c r="I174" s="5">
        <v>3</v>
      </c>
      <c r="J174" s="5">
        <v>0.2</v>
      </c>
      <c r="K174" s="5">
        <v>0.2121</v>
      </c>
      <c r="L174" s="5">
        <v>1</v>
      </c>
      <c r="M174" s="5">
        <v>0.1343</v>
      </c>
      <c r="N174" s="5">
        <v>3</v>
      </c>
      <c r="O174" s="5">
        <v>31</v>
      </c>
      <c r="P174" s="5">
        <v>34</v>
      </c>
    </row>
    <row r="175" spans="1:16">
      <c r="A175" s="5">
        <v>793</v>
      </c>
      <c r="B175" s="11">
        <v>40579</v>
      </c>
      <c r="C175" s="5">
        <v>1</v>
      </c>
      <c r="D175" s="5">
        <v>0</v>
      </c>
      <c r="E175" s="5">
        <v>2</v>
      </c>
      <c r="F175" s="5">
        <v>11</v>
      </c>
      <c r="G175" s="5" t="b">
        <v>0</v>
      </c>
      <c r="H175" s="5">
        <v>6</v>
      </c>
      <c r="I175" s="5">
        <v>3</v>
      </c>
      <c r="J175" s="5">
        <v>0.22</v>
      </c>
      <c r="K175" s="5">
        <v>0.2273</v>
      </c>
      <c r="L175" s="5">
        <v>1</v>
      </c>
      <c r="M175" s="5">
        <v>0.1343</v>
      </c>
      <c r="N175" s="5">
        <v>1</v>
      </c>
      <c r="O175" s="5">
        <v>46</v>
      </c>
      <c r="P175" s="5">
        <v>47</v>
      </c>
    </row>
    <row r="176" spans="1:16">
      <c r="A176" s="5">
        <v>794</v>
      </c>
      <c r="B176" s="11">
        <v>40579</v>
      </c>
      <c r="C176" s="5">
        <v>1</v>
      </c>
      <c r="D176" s="5">
        <v>0</v>
      </c>
      <c r="E176" s="5">
        <v>2</v>
      </c>
      <c r="F176" s="5">
        <v>12</v>
      </c>
      <c r="G176" s="5" t="b">
        <v>0</v>
      </c>
      <c r="H176" s="5">
        <v>6</v>
      </c>
      <c r="I176" s="5">
        <v>3</v>
      </c>
      <c r="J176" s="5">
        <v>0.22</v>
      </c>
      <c r="K176" s="5">
        <v>0.2273</v>
      </c>
      <c r="L176" s="5">
        <v>1</v>
      </c>
      <c r="M176" s="5">
        <v>0.1642</v>
      </c>
      <c r="N176" s="5">
        <v>10</v>
      </c>
      <c r="O176" s="5">
        <v>42</v>
      </c>
      <c r="P176" s="5">
        <v>52</v>
      </c>
    </row>
    <row r="177" spans="1:16">
      <c r="A177" s="5">
        <v>795</v>
      </c>
      <c r="B177" s="11">
        <v>40579</v>
      </c>
      <c r="C177" s="5">
        <v>1</v>
      </c>
      <c r="D177" s="5">
        <v>0</v>
      </c>
      <c r="E177" s="5">
        <v>2</v>
      </c>
      <c r="F177" s="5">
        <v>13</v>
      </c>
      <c r="G177" s="5" t="b">
        <v>0</v>
      </c>
      <c r="H177" s="5">
        <v>6</v>
      </c>
      <c r="I177" s="5">
        <v>3</v>
      </c>
      <c r="J177" s="5">
        <v>0.22</v>
      </c>
      <c r="K177" s="5">
        <v>0.2273</v>
      </c>
      <c r="L177" s="5">
        <v>1</v>
      </c>
      <c r="M177" s="5">
        <v>0.1642</v>
      </c>
      <c r="N177" s="5">
        <v>10</v>
      </c>
      <c r="O177" s="5">
        <v>62</v>
      </c>
      <c r="P177" s="5">
        <v>72</v>
      </c>
    </row>
    <row r="178" spans="1:16">
      <c r="A178" s="5">
        <v>796</v>
      </c>
      <c r="B178" s="11">
        <v>40579</v>
      </c>
      <c r="C178" s="5">
        <v>1</v>
      </c>
      <c r="D178" s="5">
        <v>0</v>
      </c>
      <c r="E178" s="5">
        <v>2</v>
      </c>
      <c r="F178" s="5">
        <v>14</v>
      </c>
      <c r="G178" s="5" t="b">
        <v>0</v>
      </c>
      <c r="H178" s="5">
        <v>6</v>
      </c>
      <c r="I178" s="5">
        <v>3</v>
      </c>
      <c r="J178" s="5">
        <v>0.22</v>
      </c>
      <c r="K178" s="5">
        <v>0.2727</v>
      </c>
      <c r="L178" s="5">
        <v>1</v>
      </c>
      <c r="M178" s="5">
        <v>0</v>
      </c>
      <c r="N178" s="5">
        <v>5</v>
      </c>
      <c r="O178" s="5">
        <v>50</v>
      </c>
      <c r="P178" s="5">
        <v>55</v>
      </c>
    </row>
    <row r="179" spans="1:16">
      <c r="A179" s="5">
        <v>797</v>
      </c>
      <c r="B179" s="11">
        <v>40579</v>
      </c>
      <c r="C179" s="5">
        <v>1</v>
      </c>
      <c r="D179" s="5">
        <v>0</v>
      </c>
      <c r="E179" s="5">
        <v>2</v>
      </c>
      <c r="F179" s="5">
        <v>15</v>
      </c>
      <c r="G179" s="5" t="b">
        <v>0</v>
      </c>
      <c r="H179" s="5">
        <v>6</v>
      </c>
      <c r="I179" s="5">
        <v>3</v>
      </c>
      <c r="J179" s="5">
        <v>0.22</v>
      </c>
      <c r="K179" s="5">
        <v>0.2727</v>
      </c>
      <c r="L179" s="5">
        <v>1</v>
      </c>
      <c r="M179" s="5">
        <v>0</v>
      </c>
      <c r="N179" s="5">
        <v>11</v>
      </c>
      <c r="O179" s="5">
        <v>49</v>
      </c>
      <c r="P179" s="5">
        <v>60</v>
      </c>
    </row>
    <row r="180" spans="1:16">
      <c r="A180" s="5">
        <v>798</v>
      </c>
      <c r="B180" s="11">
        <v>40579</v>
      </c>
      <c r="C180" s="5">
        <v>1</v>
      </c>
      <c r="D180" s="5">
        <v>0</v>
      </c>
      <c r="E180" s="5">
        <v>2</v>
      </c>
      <c r="F180" s="5">
        <v>16</v>
      </c>
      <c r="G180" s="5" t="b">
        <v>0</v>
      </c>
      <c r="H180" s="5">
        <v>6</v>
      </c>
      <c r="I180" s="5">
        <v>3</v>
      </c>
      <c r="J180" s="5">
        <v>0.22</v>
      </c>
      <c r="K180" s="5">
        <v>0.2273</v>
      </c>
      <c r="L180" s="5">
        <v>1</v>
      </c>
      <c r="M180" s="5">
        <v>0.1343</v>
      </c>
      <c r="N180" s="5">
        <v>8</v>
      </c>
      <c r="O180" s="5">
        <v>63</v>
      </c>
      <c r="P180" s="5">
        <v>71</v>
      </c>
    </row>
    <row r="181" spans="1:16">
      <c r="A181" s="5">
        <v>799</v>
      </c>
      <c r="B181" s="11">
        <v>40579</v>
      </c>
      <c r="C181" s="5">
        <v>1</v>
      </c>
      <c r="D181" s="5">
        <v>0</v>
      </c>
      <c r="E181" s="5">
        <v>2</v>
      </c>
      <c r="F181" s="5">
        <v>17</v>
      </c>
      <c r="G181" s="5" t="b">
        <v>0</v>
      </c>
      <c r="H181" s="5">
        <v>6</v>
      </c>
      <c r="I181" s="5">
        <v>2</v>
      </c>
      <c r="J181" s="5">
        <v>0.24</v>
      </c>
      <c r="K181" s="5">
        <v>0.2121</v>
      </c>
      <c r="L181" s="5">
        <v>1</v>
      </c>
      <c r="M181" s="5">
        <v>0.2836</v>
      </c>
      <c r="N181" s="5">
        <v>14</v>
      </c>
      <c r="O181" s="5">
        <v>64</v>
      </c>
      <c r="P181" s="5">
        <v>78</v>
      </c>
    </row>
    <row r="182" spans="1:16">
      <c r="A182" s="5">
        <v>800</v>
      </c>
      <c r="B182" s="11">
        <v>40579</v>
      </c>
      <c r="C182" s="5">
        <v>1</v>
      </c>
      <c r="D182" s="5">
        <v>0</v>
      </c>
      <c r="E182" s="5">
        <v>2</v>
      </c>
      <c r="F182" s="5">
        <v>18</v>
      </c>
      <c r="G182" s="5" t="b">
        <v>0</v>
      </c>
      <c r="H182" s="5">
        <v>6</v>
      </c>
      <c r="I182" s="5">
        <v>2</v>
      </c>
      <c r="J182" s="5">
        <v>0.28</v>
      </c>
      <c r="K182" s="5">
        <v>0.2424</v>
      </c>
      <c r="L182" s="5">
        <v>0.93</v>
      </c>
      <c r="M182" s="5">
        <v>0.4478</v>
      </c>
      <c r="N182" s="5">
        <v>2</v>
      </c>
      <c r="O182" s="5">
        <v>81</v>
      </c>
      <c r="P182" s="5">
        <v>83</v>
      </c>
    </row>
    <row r="183" spans="1:16">
      <c r="A183" s="5">
        <v>801</v>
      </c>
      <c r="B183" s="11">
        <v>40579</v>
      </c>
      <c r="C183" s="5">
        <v>1</v>
      </c>
      <c r="D183" s="5">
        <v>0</v>
      </c>
      <c r="E183" s="5">
        <v>2</v>
      </c>
      <c r="F183" s="5">
        <v>19</v>
      </c>
      <c r="G183" s="5" t="b">
        <v>0</v>
      </c>
      <c r="H183" s="5">
        <v>6</v>
      </c>
      <c r="I183" s="5">
        <v>2</v>
      </c>
      <c r="J183" s="5">
        <v>0.28</v>
      </c>
      <c r="K183" s="5">
        <v>0.2424</v>
      </c>
      <c r="L183" s="5">
        <v>0.93</v>
      </c>
      <c r="M183" s="5">
        <v>0.4478</v>
      </c>
      <c r="N183" s="5">
        <v>6</v>
      </c>
      <c r="O183" s="5">
        <v>78</v>
      </c>
      <c r="P183" s="5">
        <v>84</v>
      </c>
    </row>
    <row r="184" spans="1:16">
      <c r="A184" s="5">
        <v>802</v>
      </c>
      <c r="B184" s="11">
        <v>40579</v>
      </c>
      <c r="C184" s="5">
        <v>1</v>
      </c>
      <c r="D184" s="5">
        <v>0</v>
      </c>
      <c r="E184" s="5">
        <v>2</v>
      </c>
      <c r="F184" s="5">
        <v>20</v>
      </c>
      <c r="G184" s="5" t="b">
        <v>0</v>
      </c>
      <c r="H184" s="5">
        <v>6</v>
      </c>
      <c r="I184" s="5">
        <v>1</v>
      </c>
      <c r="J184" s="5">
        <v>0.3</v>
      </c>
      <c r="K184" s="5">
        <v>0.2879</v>
      </c>
      <c r="L184" s="5">
        <v>0.87</v>
      </c>
      <c r="M184" s="5">
        <v>0.2537</v>
      </c>
      <c r="N184" s="5">
        <v>5</v>
      </c>
      <c r="O184" s="5">
        <v>64</v>
      </c>
      <c r="P184" s="5">
        <v>69</v>
      </c>
    </row>
    <row r="185" spans="1:16">
      <c r="A185" s="5">
        <v>803</v>
      </c>
      <c r="B185" s="11">
        <v>40579</v>
      </c>
      <c r="C185" s="5">
        <v>1</v>
      </c>
      <c r="D185" s="5">
        <v>0</v>
      </c>
      <c r="E185" s="5">
        <v>2</v>
      </c>
      <c r="F185" s="5">
        <v>21</v>
      </c>
      <c r="G185" s="5" t="b">
        <v>0</v>
      </c>
      <c r="H185" s="5">
        <v>6</v>
      </c>
      <c r="I185" s="5">
        <v>1</v>
      </c>
      <c r="J185" s="5">
        <v>0.26</v>
      </c>
      <c r="K185" s="5">
        <v>0.2576</v>
      </c>
      <c r="L185" s="5">
        <v>1</v>
      </c>
      <c r="M185" s="5">
        <v>0.194</v>
      </c>
      <c r="N185" s="5">
        <v>3</v>
      </c>
      <c r="O185" s="5">
        <v>53</v>
      </c>
      <c r="P185" s="5">
        <v>56</v>
      </c>
    </row>
    <row r="186" spans="1:16">
      <c r="A186" s="5">
        <v>804</v>
      </c>
      <c r="B186" s="11">
        <v>40579</v>
      </c>
      <c r="C186" s="5">
        <v>1</v>
      </c>
      <c r="D186" s="5">
        <v>0</v>
      </c>
      <c r="E186" s="5">
        <v>2</v>
      </c>
      <c r="F186" s="5">
        <v>22</v>
      </c>
      <c r="G186" s="5" t="b">
        <v>0</v>
      </c>
      <c r="H186" s="5">
        <v>6</v>
      </c>
      <c r="I186" s="5">
        <v>1</v>
      </c>
      <c r="J186" s="5">
        <v>0.26</v>
      </c>
      <c r="K186" s="5">
        <v>0.2727</v>
      </c>
      <c r="L186" s="5">
        <v>0.93</v>
      </c>
      <c r="M186" s="5">
        <v>0.1343</v>
      </c>
      <c r="N186" s="5">
        <v>2</v>
      </c>
      <c r="O186" s="5">
        <v>43</v>
      </c>
      <c r="P186" s="5">
        <v>45</v>
      </c>
    </row>
    <row r="187" spans="1:16">
      <c r="A187" s="5">
        <v>805</v>
      </c>
      <c r="B187" s="11">
        <v>40579</v>
      </c>
      <c r="C187" s="5">
        <v>1</v>
      </c>
      <c r="D187" s="5">
        <v>0</v>
      </c>
      <c r="E187" s="5">
        <v>2</v>
      </c>
      <c r="F187" s="5">
        <v>23</v>
      </c>
      <c r="G187" s="5" t="b">
        <v>0</v>
      </c>
      <c r="H187" s="5">
        <v>6</v>
      </c>
      <c r="I187" s="5">
        <v>1</v>
      </c>
      <c r="J187" s="5">
        <v>0.26</v>
      </c>
      <c r="K187" s="5">
        <v>0.2576</v>
      </c>
      <c r="L187" s="5">
        <v>0.93</v>
      </c>
      <c r="M187" s="5">
        <v>0.2239</v>
      </c>
      <c r="N187" s="5">
        <v>7</v>
      </c>
      <c r="O187" s="5">
        <v>52</v>
      </c>
      <c r="P187" s="5">
        <v>59</v>
      </c>
    </row>
    <row r="188" spans="1:16">
      <c r="A188" s="5">
        <v>806</v>
      </c>
      <c r="B188" s="11">
        <v>40580</v>
      </c>
      <c r="C188" s="5">
        <v>1</v>
      </c>
      <c r="D188" s="5">
        <v>0</v>
      </c>
      <c r="E188" s="5">
        <v>2</v>
      </c>
      <c r="F188" s="5">
        <v>0</v>
      </c>
      <c r="G188" s="5" t="b">
        <v>0</v>
      </c>
      <c r="H188" s="5">
        <v>0</v>
      </c>
      <c r="I188" s="5">
        <v>1</v>
      </c>
      <c r="J188" s="5">
        <v>0.26</v>
      </c>
      <c r="K188" s="5">
        <v>0.2576</v>
      </c>
      <c r="L188" s="5">
        <v>0.7</v>
      </c>
      <c r="M188" s="5">
        <v>0.194</v>
      </c>
      <c r="N188" s="5">
        <v>2</v>
      </c>
      <c r="O188" s="5">
        <v>37</v>
      </c>
      <c r="P188" s="5">
        <v>39</v>
      </c>
    </row>
    <row r="189" spans="1:16">
      <c r="A189" s="5">
        <v>807</v>
      </c>
      <c r="B189" s="11">
        <v>40580</v>
      </c>
      <c r="C189" s="5">
        <v>1</v>
      </c>
      <c r="D189" s="5">
        <v>0</v>
      </c>
      <c r="E189" s="5">
        <v>2</v>
      </c>
      <c r="F189" s="5">
        <v>1</v>
      </c>
      <c r="G189" s="5" t="b">
        <v>0</v>
      </c>
      <c r="H189" s="5">
        <v>0</v>
      </c>
      <c r="I189" s="5">
        <v>1</v>
      </c>
      <c r="J189" s="5">
        <v>0.26</v>
      </c>
      <c r="K189" s="5">
        <v>0.2273</v>
      </c>
      <c r="L189" s="5">
        <v>0.65</v>
      </c>
      <c r="M189" s="5">
        <v>0.4179</v>
      </c>
      <c r="N189" s="5">
        <v>4</v>
      </c>
      <c r="O189" s="5">
        <v>40</v>
      </c>
      <c r="P189" s="5">
        <v>44</v>
      </c>
    </row>
    <row r="190" spans="1:16">
      <c r="A190" s="5">
        <v>808</v>
      </c>
      <c r="B190" s="11">
        <v>40580</v>
      </c>
      <c r="C190" s="5">
        <v>1</v>
      </c>
      <c r="D190" s="5">
        <v>0</v>
      </c>
      <c r="E190" s="5">
        <v>2</v>
      </c>
      <c r="F190" s="5">
        <v>2</v>
      </c>
      <c r="G190" s="5" t="b">
        <v>0</v>
      </c>
      <c r="H190" s="5">
        <v>0</v>
      </c>
      <c r="I190" s="5">
        <v>1</v>
      </c>
      <c r="J190" s="5">
        <v>0.26</v>
      </c>
      <c r="K190" s="5">
        <v>0.2273</v>
      </c>
      <c r="L190" s="5">
        <v>0.6</v>
      </c>
      <c r="M190" s="5">
        <v>0.3284</v>
      </c>
      <c r="N190" s="5">
        <v>0</v>
      </c>
      <c r="O190" s="5">
        <v>20</v>
      </c>
      <c r="P190" s="5">
        <v>20</v>
      </c>
    </row>
    <row r="191" spans="1:16">
      <c r="A191" s="5">
        <v>809</v>
      </c>
      <c r="B191" s="11">
        <v>40580</v>
      </c>
      <c r="C191" s="5">
        <v>1</v>
      </c>
      <c r="D191" s="5">
        <v>0</v>
      </c>
      <c r="E191" s="5">
        <v>2</v>
      </c>
      <c r="F191" s="5">
        <v>3</v>
      </c>
      <c r="G191" s="5" t="b">
        <v>0</v>
      </c>
      <c r="H191" s="5">
        <v>0</v>
      </c>
      <c r="I191" s="5">
        <v>1</v>
      </c>
      <c r="J191" s="5">
        <v>0.26</v>
      </c>
      <c r="K191" s="5">
        <v>0.2879</v>
      </c>
      <c r="L191" s="5">
        <v>0.6</v>
      </c>
      <c r="M191" s="5">
        <v>0.0896</v>
      </c>
      <c r="N191" s="5">
        <v>3</v>
      </c>
      <c r="O191" s="5">
        <v>10</v>
      </c>
      <c r="P191" s="5">
        <v>13</v>
      </c>
    </row>
    <row r="192" spans="1:16">
      <c r="A192" s="5">
        <v>810</v>
      </c>
      <c r="B192" s="11">
        <v>40580</v>
      </c>
      <c r="C192" s="5">
        <v>1</v>
      </c>
      <c r="D192" s="5">
        <v>0</v>
      </c>
      <c r="E192" s="5">
        <v>2</v>
      </c>
      <c r="F192" s="5">
        <v>4</v>
      </c>
      <c r="G192" s="5" t="b">
        <v>0</v>
      </c>
      <c r="H192" s="5">
        <v>0</v>
      </c>
      <c r="I192" s="5">
        <v>1</v>
      </c>
      <c r="J192" s="5">
        <v>0.26</v>
      </c>
      <c r="K192" s="5">
        <v>0.2273</v>
      </c>
      <c r="L192" s="5">
        <v>0.6</v>
      </c>
      <c r="M192" s="5">
        <v>0.3582</v>
      </c>
      <c r="N192" s="5">
        <v>0</v>
      </c>
      <c r="O192" s="5">
        <v>2</v>
      </c>
      <c r="P192" s="5">
        <v>2</v>
      </c>
    </row>
    <row r="193" spans="1:16">
      <c r="A193" s="5">
        <v>811</v>
      </c>
      <c r="B193" s="11">
        <v>40580</v>
      </c>
      <c r="C193" s="5">
        <v>1</v>
      </c>
      <c r="D193" s="5">
        <v>0</v>
      </c>
      <c r="E193" s="5">
        <v>2</v>
      </c>
      <c r="F193" s="5">
        <v>5</v>
      </c>
      <c r="G193" s="5" t="b">
        <v>0</v>
      </c>
      <c r="H193" s="5">
        <v>0</v>
      </c>
      <c r="I193" s="5">
        <v>1</v>
      </c>
      <c r="J193" s="5">
        <v>0.26</v>
      </c>
      <c r="K193" s="5">
        <v>0.2576</v>
      </c>
      <c r="L193" s="5">
        <v>0.6</v>
      </c>
      <c r="M193" s="5">
        <v>0.2239</v>
      </c>
      <c r="N193" s="5">
        <v>0</v>
      </c>
      <c r="O193" s="5">
        <v>1</v>
      </c>
      <c r="P193" s="5">
        <v>1</v>
      </c>
    </row>
    <row r="194" spans="1:16">
      <c r="A194" s="5">
        <v>812</v>
      </c>
      <c r="B194" s="11">
        <v>40580</v>
      </c>
      <c r="C194" s="5">
        <v>1</v>
      </c>
      <c r="D194" s="5">
        <v>0</v>
      </c>
      <c r="E194" s="5">
        <v>2</v>
      </c>
      <c r="F194" s="5">
        <v>6</v>
      </c>
      <c r="G194" s="5" t="b">
        <v>0</v>
      </c>
      <c r="H194" s="5">
        <v>0</v>
      </c>
      <c r="I194" s="5">
        <v>1</v>
      </c>
      <c r="J194" s="5">
        <v>0.26</v>
      </c>
      <c r="K194" s="5">
        <v>0.2576</v>
      </c>
      <c r="L194" s="5">
        <v>0.6</v>
      </c>
      <c r="M194" s="5">
        <v>0.2239</v>
      </c>
      <c r="N194" s="5">
        <v>0</v>
      </c>
      <c r="O194" s="5">
        <v>1</v>
      </c>
      <c r="P194" s="5">
        <v>1</v>
      </c>
    </row>
    <row r="195" spans="1:16">
      <c r="A195" s="5">
        <v>813</v>
      </c>
      <c r="B195" s="11">
        <v>40580</v>
      </c>
      <c r="C195" s="5">
        <v>1</v>
      </c>
      <c r="D195" s="5">
        <v>0</v>
      </c>
      <c r="E195" s="5">
        <v>2</v>
      </c>
      <c r="F195" s="5">
        <v>7</v>
      </c>
      <c r="G195" s="5" t="b">
        <v>0</v>
      </c>
      <c r="H195" s="5">
        <v>0</v>
      </c>
      <c r="I195" s="5">
        <v>1</v>
      </c>
      <c r="J195" s="5">
        <v>0.24</v>
      </c>
      <c r="K195" s="5">
        <v>0.2424</v>
      </c>
      <c r="L195" s="5">
        <v>0.65</v>
      </c>
      <c r="M195" s="5">
        <v>0.1642</v>
      </c>
      <c r="N195" s="5">
        <v>0</v>
      </c>
      <c r="O195" s="5">
        <v>8</v>
      </c>
      <c r="P195" s="5">
        <v>8</v>
      </c>
    </row>
    <row r="196" spans="1:16">
      <c r="A196" s="5">
        <v>814</v>
      </c>
      <c r="B196" s="11">
        <v>40580</v>
      </c>
      <c r="C196" s="5">
        <v>1</v>
      </c>
      <c r="D196" s="5">
        <v>0</v>
      </c>
      <c r="E196" s="5">
        <v>2</v>
      </c>
      <c r="F196" s="5">
        <v>8</v>
      </c>
      <c r="G196" s="5" t="b">
        <v>0</v>
      </c>
      <c r="H196" s="5">
        <v>0</v>
      </c>
      <c r="I196" s="5">
        <v>1</v>
      </c>
      <c r="J196" s="5">
        <v>0.24</v>
      </c>
      <c r="K196" s="5">
        <v>0.2576</v>
      </c>
      <c r="L196" s="5">
        <v>0.65</v>
      </c>
      <c r="M196" s="5">
        <v>0.1045</v>
      </c>
      <c r="N196" s="5">
        <v>2</v>
      </c>
      <c r="O196" s="5">
        <v>21</v>
      </c>
      <c r="P196" s="5">
        <v>23</v>
      </c>
    </row>
    <row r="197" spans="1:16">
      <c r="A197" s="5">
        <v>815</v>
      </c>
      <c r="B197" s="11">
        <v>40580</v>
      </c>
      <c r="C197" s="5">
        <v>1</v>
      </c>
      <c r="D197" s="5">
        <v>0</v>
      </c>
      <c r="E197" s="5">
        <v>2</v>
      </c>
      <c r="F197" s="5">
        <v>9</v>
      </c>
      <c r="G197" s="5" t="b">
        <v>0</v>
      </c>
      <c r="H197" s="5">
        <v>0</v>
      </c>
      <c r="I197" s="5">
        <v>1</v>
      </c>
      <c r="J197" s="5">
        <v>0.28</v>
      </c>
      <c r="K197" s="5">
        <v>0.2879</v>
      </c>
      <c r="L197" s="5">
        <v>0.5600000000000001</v>
      </c>
      <c r="M197" s="5">
        <v>0.1045</v>
      </c>
      <c r="N197" s="5">
        <v>7</v>
      </c>
      <c r="O197" s="5">
        <v>38</v>
      </c>
      <c r="P197" s="5">
        <v>45</v>
      </c>
    </row>
    <row r="198" spans="1:16">
      <c r="A198" s="5">
        <v>816</v>
      </c>
      <c r="B198" s="11">
        <v>40580</v>
      </c>
      <c r="C198" s="5">
        <v>1</v>
      </c>
      <c r="D198" s="5">
        <v>0</v>
      </c>
      <c r="E198" s="5">
        <v>2</v>
      </c>
      <c r="F198" s="5">
        <v>10</v>
      </c>
      <c r="G198" s="5" t="b">
        <v>0</v>
      </c>
      <c r="H198" s="5">
        <v>0</v>
      </c>
      <c r="I198" s="5">
        <v>1</v>
      </c>
      <c r="J198" s="5">
        <v>0.3</v>
      </c>
      <c r="K198" s="5">
        <v>0.2879</v>
      </c>
      <c r="L198" s="5">
        <v>0.52</v>
      </c>
      <c r="M198" s="5">
        <v>0.2537</v>
      </c>
      <c r="N198" s="5">
        <v>15</v>
      </c>
      <c r="O198" s="5">
        <v>74</v>
      </c>
      <c r="P198" s="5">
        <v>89</v>
      </c>
    </row>
    <row r="199" spans="1:16">
      <c r="A199" s="5">
        <v>817</v>
      </c>
      <c r="B199" s="11">
        <v>40580</v>
      </c>
      <c r="C199" s="5">
        <v>1</v>
      </c>
      <c r="D199" s="5">
        <v>0</v>
      </c>
      <c r="E199" s="5">
        <v>2</v>
      </c>
      <c r="F199" s="5">
        <v>11</v>
      </c>
      <c r="G199" s="5" t="b">
        <v>0</v>
      </c>
      <c r="H199" s="5">
        <v>0</v>
      </c>
      <c r="I199" s="5">
        <v>1</v>
      </c>
      <c r="J199" s="5">
        <v>0.32</v>
      </c>
      <c r="K199" s="5">
        <v>0.303</v>
      </c>
      <c r="L199" s="5">
        <v>0.49</v>
      </c>
      <c r="M199" s="5">
        <v>0.2537</v>
      </c>
      <c r="N199" s="5">
        <v>28</v>
      </c>
      <c r="O199" s="5">
        <v>89</v>
      </c>
      <c r="P199" s="5">
        <v>117</v>
      </c>
    </row>
    <row r="200" spans="1:16">
      <c r="A200" s="5">
        <v>818</v>
      </c>
      <c r="B200" s="11">
        <v>40580</v>
      </c>
      <c r="C200" s="5">
        <v>1</v>
      </c>
      <c r="D200" s="5">
        <v>0</v>
      </c>
      <c r="E200" s="5">
        <v>2</v>
      </c>
      <c r="F200" s="5">
        <v>12</v>
      </c>
      <c r="G200" s="5" t="b">
        <v>0</v>
      </c>
      <c r="H200" s="5">
        <v>0</v>
      </c>
      <c r="I200" s="5">
        <v>1</v>
      </c>
      <c r="J200" s="5">
        <v>0.34</v>
      </c>
      <c r="K200" s="5">
        <v>0.3333</v>
      </c>
      <c r="L200" s="5">
        <v>0.46</v>
      </c>
      <c r="M200" s="5">
        <v>0</v>
      </c>
      <c r="N200" s="5">
        <v>48</v>
      </c>
      <c r="O200" s="5">
        <v>126</v>
      </c>
      <c r="P200" s="5">
        <v>174</v>
      </c>
    </row>
    <row r="201" spans="1:16">
      <c r="A201" s="5">
        <v>819</v>
      </c>
      <c r="B201" s="11">
        <v>40580</v>
      </c>
      <c r="C201" s="5">
        <v>1</v>
      </c>
      <c r="D201" s="5">
        <v>0</v>
      </c>
      <c r="E201" s="5">
        <v>2</v>
      </c>
      <c r="F201" s="5">
        <v>13</v>
      </c>
      <c r="G201" s="5" t="b">
        <v>0</v>
      </c>
      <c r="H201" s="5">
        <v>0</v>
      </c>
      <c r="I201" s="5">
        <v>1</v>
      </c>
      <c r="J201" s="5">
        <v>0.34</v>
      </c>
      <c r="K201" s="5">
        <v>0.3636</v>
      </c>
      <c r="L201" s="5">
        <v>0.46</v>
      </c>
      <c r="M201" s="5">
        <v>0</v>
      </c>
      <c r="N201" s="5">
        <v>47</v>
      </c>
      <c r="O201" s="5">
        <v>135</v>
      </c>
      <c r="P201" s="5">
        <v>182</v>
      </c>
    </row>
    <row r="202" spans="1:16">
      <c r="A202" s="5">
        <v>820</v>
      </c>
      <c r="B202" s="11">
        <v>40580</v>
      </c>
      <c r="C202" s="5">
        <v>1</v>
      </c>
      <c r="D202" s="5">
        <v>0</v>
      </c>
      <c r="E202" s="5">
        <v>2</v>
      </c>
      <c r="F202" s="5">
        <v>14</v>
      </c>
      <c r="G202" s="5" t="b">
        <v>0</v>
      </c>
      <c r="H202" s="5">
        <v>0</v>
      </c>
      <c r="I202" s="5">
        <v>1</v>
      </c>
      <c r="J202" s="5">
        <v>0.34</v>
      </c>
      <c r="K202" s="5">
        <v>0.3485</v>
      </c>
      <c r="L202" s="5">
        <v>0.46</v>
      </c>
      <c r="M202" s="5">
        <v>0.0896</v>
      </c>
      <c r="N202" s="5">
        <v>47</v>
      </c>
      <c r="O202" s="5">
        <v>114</v>
      </c>
      <c r="P202" s="5">
        <v>161</v>
      </c>
    </row>
    <row r="203" spans="1:16">
      <c r="A203" s="5">
        <v>821</v>
      </c>
      <c r="B203" s="11">
        <v>40580</v>
      </c>
      <c r="C203" s="5">
        <v>1</v>
      </c>
      <c r="D203" s="5">
        <v>0</v>
      </c>
      <c r="E203" s="5">
        <v>2</v>
      </c>
      <c r="F203" s="5">
        <v>15</v>
      </c>
      <c r="G203" s="5" t="b">
        <v>0</v>
      </c>
      <c r="H203" s="5">
        <v>0</v>
      </c>
      <c r="I203" s="5">
        <v>1</v>
      </c>
      <c r="J203" s="5">
        <v>0.34</v>
      </c>
      <c r="K203" s="5">
        <v>0.3485</v>
      </c>
      <c r="L203" s="5">
        <v>0.46</v>
      </c>
      <c r="M203" s="5">
        <v>0.0896</v>
      </c>
      <c r="N203" s="5">
        <v>52</v>
      </c>
      <c r="O203" s="5">
        <v>130</v>
      </c>
      <c r="P203" s="5">
        <v>182</v>
      </c>
    </row>
    <row r="204" spans="1:16">
      <c r="A204" s="5">
        <v>822</v>
      </c>
      <c r="B204" s="11">
        <v>40580</v>
      </c>
      <c r="C204" s="5">
        <v>1</v>
      </c>
      <c r="D204" s="5">
        <v>0</v>
      </c>
      <c r="E204" s="5">
        <v>2</v>
      </c>
      <c r="F204" s="5">
        <v>16</v>
      </c>
      <c r="G204" s="5" t="b">
        <v>0</v>
      </c>
      <c r="H204" s="5">
        <v>0</v>
      </c>
      <c r="I204" s="5">
        <v>1</v>
      </c>
      <c r="J204" s="5">
        <v>0.34</v>
      </c>
      <c r="K204" s="5">
        <v>0.3485</v>
      </c>
      <c r="L204" s="5">
        <v>0.49</v>
      </c>
      <c r="M204" s="5">
        <v>0.1045</v>
      </c>
      <c r="N204" s="5">
        <v>42</v>
      </c>
      <c r="O204" s="5">
        <v>115</v>
      </c>
      <c r="P204" s="5">
        <v>157</v>
      </c>
    </row>
    <row r="205" spans="1:16">
      <c r="A205" s="5">
        <v>823</v>
      </c>
      <c r="B205" s="11">
        <v>40580</v>
      </c>
      <c r="C205" s="5">
        <v>1</v>
      </c>
      <c r="D205" s="5">
        <v>0</v>
      </c>
      <c r="E205" s="5">
        <v>2</v>
      </c>
      <c r="F205" s="5">
        <v>17</v>
      </c>
      <c r="G205" s="5" t="b">
        <v>0</v>
      </c>
      <c r="H205" s="5">
        <v>0</v>
      </c>
      <c r="I205" s="5">
        <v>1</v>
      </c>
      <c r="J205" s="5">
        <v>0.34</v>
      </c>
      <c r="K205" s="5">
        <v>0.3636</v>
      </c>
      <c r="L205" s="5">
        <v>0.46</v>
      </c>
      <c r="M205" s="5">
        <v>0</v>
      </c>
      <c r="N205" s="5">
        <v>24</v>
      </c>
      <c r="O205" s="5">
        <v>97</v>
      </c>
      <c r="P205" s="5">
        <v>121</v>
      </c>
    </row>
    <row r="206" spans="1:16">
      <c r="A206" s="5">
        <v>824</v>
      </c>
      <c r="B206" s="11">
        <v>40580</v>
      </c>
      <c r="C206" s="5">
        <v>1</v>
      </c>
      <c r="D206" s="5">
        <v>0</v>
      </c>
      <c r="E206" s="5">
        <v>2</v>
      </c>
      <c r="F206" s="5">
        <v>18</v>
      </c>
      <c r="G206" s="5" t="b">
        <v>0</v>
      </c>
      <c r="H206" s="5">
        <v>0</v>
      </c>
      <c r="I206" s="5">
        <v>1</v>
      </c>
      <c r="J206" s="5">
        <v>0.3</v>
      </c>
      <c r="K206" s="5">
        <v>0.303</v>
      </c>
      <c r="L206" s="5">
        <v>0.5600000000000001</v>
      </c>
      <c r="M206" s="5">
        <v>0.1642</v>
      </c>
      <c r="N206" s="5">
        <v>13</v>
      </c>
      <c r="O206" s="5">
        <v>65</v>
      </c>
      <c r="P206" s="5">
        <v>78</v>
      </c>
    </row>
    <row r="207" spans="1:16">
      <c r="A207" s="5">
        <v>825</v>
      </c>
      <c r="B207" s="11">
        <v>40580</v>
      </c>
      <c r="C207" s="5">
        <v>1</v>
      </c>
      <c r="D207" s="5">
        <v>0</v>
      </c>
      <c r="E207" s="5">
        <v>2</v>
      </c>
      <c r="F207" s="5">
        <v>19</v>
      </c>
      <c r="G207" s="5" t="b">
        <v>0</v>
      </c>
      <c r="H207" s="5">
        <v>0</v>
      </c>
      <c r="I207" s="5">
        <v>1</v>
      </c>
      <c r="J207" s="5">
        <v>0.28</v>
      </c>
      <c r="K207" s="5">
        <v>0.2879</v>
      </c>
      <c r="L207" s="5">
        <v>0.61</v>
      </c>
      <c r="M207" s="5">
        <v>0.1343</v>
      </c>
      <c r="N207" s="5">
        <v>1</v>
      </c>
      <c r="O207" s="5">
        <v>20</v>
      </c>
      <c r="P207" s="5">
        <v>21</v>
      </c>
    </row>
    <row r="208" spans="1:16">
      <c r="A208" s="5">
        <v>826</v>
      </c>
      <c r="B208" s="11">
        <v>40580</v>
      </c>
      <c r="C208" s="5">
        <v>1</v>
      </c>
      <c r="D208" s="5">
        <v>0</v>
      </c>
      <c r="E208" s="5">
        <v>2</v>
      </c>
      <c r="F208" s="5">
        <v>20</v>
      </c>
      <c r="G208" s="5" t="b">
        <v>0</v>
      </c>
      <c r="H208" s="5">
        <v>0</v>
      </c>
      <c r="I208" s="5">
        <v>1</v>
      </c>
      <c r="J208" s="5">
        <v>0.28</v>
      </c>
      <c r="K208" s="5">
        <v>0.2879</v>
      </c>
      <c r="L208" s="5">
        <v>0.61</v>
      </c>
      <c r="M208" s="5">
        <v>0.1045</v>
      </c>
      <c r="N208" s="5">
        <v>5</v>
      </c>
      <c r="O208" s="5">
        <v>21</v>
      </c>
      <c r="P208" s="5">
        <v>26</v>
      </c>
    </row>
    <row r="209" spans="1:16">
      <c r="A209" s="5">
        <v>827</v>
      </c>
      <c r="B209" s="11">
        <v>40580</v>
      </c>
      <c r="C209" s="5">
        <v>1</v>
      </c>
      <c r="D209" s="5">
        <v>0</v>
      </c>
      <c r="E209" s="5">
        <v>2</v>
      </c>
      <c r="F209" s="5">
        <v>21</v>
      </c>
      <c r="G209" s="5" t="b">
        <v>0</v>
      </c>
      <c r="H209" s="5">
        <v>0</v>
      </c>
      <c r="I209" s="5">
        <v>1</v>
      </c>
      <c r="J209" s="5">
        <v>0.26</v>
      </c>
      <c r="K209" s="5">
        <v>0.303</v>
      </c>
      <c r="L209" s="5">
        <v>0.6</v>
      </c>
      <c r="M209" s="5">
        <v>0</v>
      </c>
      <c r="N209" s="5">
        <v>5</v>
      </c>
      <c r="O209" s="5">
        <v>22</v>
      </c>
      <c r="P209" s="5">
        <v>27</v>
      </c>
    </row>
    <row r="210" spans="1:16">
      <c r="A210" s="5">
        <v>828</v>
      </c>
      <c r="B210" s="11">
        <v>40580</v>
      </c>
      <c r="C210" s="5">
        <v>1</v>
      </c>
      <c r="D210" s="5">
        <v>0</v>
      </c>
      <c r="E210" s="5">
        <v>2</v>
      </c>
      <c r="F210" s="5">
        <v>22</v>
      </c>
      <c r="G210" s="5" t="b">
        <v>0</v>
      </c>
      <c r="H210" s="5">
        <v>0</v>
      </c>
      <c r="I210" s="5">
        <v>1</v>
      </c>
      <c r="J210" s="5">
        <v>0.26</v>
      </c>
      <c r="K210" s="5">
        <v>0.303</v>
      </c>
      <c r="L210" s="5">
        <v>0.6</v>
      </c>
      <c r="M210" s="5">
        <v>0</v>
      </c>
      <c r="N210" s="5">
        <v>5</v>
      </c>
      <c r="O210" s="5">
        <v>57</v>
      </c>
      <c r="P210" s="5">
        <v>62</v>
      </c>
    </row>
    <row r="211" spans="1:16">
      <c r="A211" s="5">
        <v>829</v>
      </c>
      <c r="B211" s="11">
        <v>40580</v>
      </c>
      <c r="C211" s="5">
        <v>1</v>
      </c>
      <c r="D211" s="5">
        <v>0</v>
      </c>
      <c r="E211" s="5">
        <v>2</v>
      </c>
      <c r="F211" s="5">
        <v>23</v>
      </c>
      <c r="G211" s="5" t="b">
        <v>0</v>
      </c>
      <c r="H211" s="5">
        <v>0</v>
      </c>
      <c r="I211" s="5">
        <v>1</v>
      </c>
      <c r="J211" s="5">
        <v>0.24</v>
      </c>
      <c r="K211" s="5">
        <v>0.2879</v>
      </c>
      <c r="L211" s="5">
        <v>0.65</v>
      </c>
      <c r="M211" s="5">
        <v>0</v>
      </c>
      <c r="N211" s="5">
        <v>4</v>
      </c>
      <c r="O211" s="5">
        <v>26</v>
      </c>
      <c r="P211" s="5">
        <v>30</v>
      </c>
    </row>
    <row r="212" spans="1:16">
      <c r="A212" s="5">
        <v>830</v>
      </c>
      <c r="B212" s="11">
        <v>40581</v>
      </c>
      <c r="C212" s="5">
        <v>1</v>
      </c>
      <c r="D212" s="5">
        <v>0</v>
      </c>
      <c r="E212" s="5">
        <v>2</v>
      </c>
      <c r="F212" s="5">
        <v>0</v>
      </c>
      <c r="G212" s="5" t="b">
        <v>0</v>
      </c>
      <c r="H212" s="5">
        <v>1</v>
      </c>
      <c r="I212" s="5">
        <v>1</v>
      </c>
      <c r="J212" s="5">
        <v>0.24</v>
      </c>
      <c r="K212" s="5">
        <v>0.2879</v>
      </c>
      <c r="L212" s="5">
        <v>0.65</v>
      </c>
      <c r="M212" s="5">
        <v>0</v>
      </c>
      <c r="N212" s="5">
        <v>1</v>
      </c>
      <c r="O212" s="5">
        <v>14</v>
      </c>
      <c r="P212" s="5">
        <v>15</v>
      </c>
    </row>
    <row r="213" spans="1:16">
      <c r="A213" s="5">
        <v>831</v>
      </c>
      <c r="B213" s="11">
        <v>40581</v>
      </c>
      <c r="C213" s="5">
        <v>1</v>
      </c>
      <c r="D213" s="5">
        <v>0</v>
      </c>
      <c r="E213" s="5">
        <v>2</v>
      </c>
      <c r="F213" s="5">
        <v>1</v>
      </c>
      <c r="G213" s="5" t="b">
        <v>0</v>
      </c>
      <c r="H213" s="5">
        <v>1</v>
      </c>
      <c r="I213" s="5">
        <v>1</v>
      </c>
      <c r="J213" s="5">
        <v>0.22</v>
      </c>
      <c r="K213" s="5">
        <v>0.2727</v>
      </c>
      <c r="L213" s="5">
        <v>0.75</v>
      </c>
      <c r="M213" s="5">
        <v>0</v>
      </c>
      <c r="N213" s="5">
        <v>1</v>
      </c>
      <c r="O213" s="5">
        <v>4</v>
      </c>
      <c r="P213" s="5">
        <v>5</v>
      </c>
    </row>
    <row r="214" spans="1:16">
      <c r="A214" s="5">
        <v>832</v>
      </c>
      <c r="B214" s="11">
        <v>40581</v>
      </c>
      <c r="C214" s="5">
        <v>1</v>
      </c>
      <c r="D214" s="5">
        <v>0</v>
      </c>
      <c r="E214" s="5">
        <v>2</v>
      </c>
      <c r="F214" s="5">
        <v>2</v>
      </c>
      <c r="G214" s="5" t="b">
        <v>0</v>
      </c>
      <c r="H214" s="5">
        <v>1</v>
      </c>
      <c r="I214" s="5">
        <v>1</v>
      </c>
      <c r="J214" s="5">
        <v>0.2</v>
      </c>
      <c r="K214" s="5">
        <v>0.2576</v>
      </c>
      <c r="L214" s="5">
        <v>0.8</v>
      </c>
      <c r="M214" s="5">
        <v>0</v>
      </c>
      <c r="N214" s="5">
        <v>0</v>
      </c>
      <c r="O214" s="5">
        <v>3</v>
      </c>
      <c r="P214" s="5">
        <v>3</v>
      </c>
    </row>
    <row r="215" spans="1:16">
      <c r="A215" s="5">
        <v>833</v>
      </c>
      <c r="B215" s="11">
        <v>40581</v>
      </c>
      <c r="C215" s="5">
        <v>1</v>
      </c>
      <c r="D215" s="5">
        <v>0</v>
      </c>
      <c r="E215" s="5">
        <v>2</v>
      </c>
      <c r="F215" s="5">
        <v>3</v>
      </c>
      <c r="G215" s="5" t="b">
        <v>0</v>
      </c>
      <c r="H215" s="5">
        <v>1</v>
      </c>
      <c r="I215" s="5">
        <v>1</v>
      </c>
      <c r="J215" s="5">
        <v>0.2</v>
      </c>
      <c r="K215" s="5">
        <v>0.2576</v>
      </c>
      <c r="L215" s="5">
        <v>0.86</v>
      </c>
      <c r="M215" s="5">
        <v>0</v>
      </c>
      <c r="N215" s="5">
        <v>0</v>
      </c>
      <c r="O215" s="5">
        <v>1</v>
      </c>
      <c r="P215" s="5">
        <v>1</v>
      </c>
    </row>
    <row r="216" spans="1:16">
      <c r="A216" s="5">
        <v>834</v>
      </c>
      <c r="B216" s="11">
        <v>40581</v>
      </c>
      <c r="C216" s="5">
        <v>1</v>
      </c>
      <c r="D216" s="5">
        <v>0</v>
      </c>
      <c r="E216" s="5">
        <v>2</v>
      </c>
      <c r="F216" s="5">
        <v>4</v>
      </c>
      <c r="G216" s="5" t="b">
        <v>0</v>
      </c>
      <c r="H216" s="5">
        <v>1</v>
      </c>
      <c r="I216" s="5">
        <v>1</v>
      </c>
      <c r="J216" s="5">
        <v>0.2</v>
      </c>
      <c r="K216" s="5">
        <v>0.2576</v>
      </c>
      <c r="L216" s="5">
        <v>0.86</v>
      </c>
      <c r="M216" s="5">
        <v>0</v>
      </c>
      <c r="N216" s="5">
        <v>1</v>
      </c>
      <c r="O216" s="5">
        <v>1</v>
      </c>
      <c r="P216" s="5">
        <v>2</v>
      </c>
    </row>
    <row r="217" spans="1:16">
      <c r="A217" s="5">
        <v>835</v>
      </c>
      <c r="B217" s="11">
        <v>40581</v>
      </c>
      <c r="C217" s="5">
        <v>1</v>
      </c>
      <c r="D217" s="5">
        <v>0</v>
      </c>
      <c r="E217" s="5">
        <v>2</v>
      </c>
      <c r="F217" s="5">
        <v>5</v>
      </c>
      <c r="G217" s="5" t="b">
        <v>0</v>
      </c>
      <c r="H217" s="5">
        <v>1</v>
      </c>
      <c r="I217" s="5">
        <v>1</v>
      </c>
      <c r="J217" s="5">
        <v>0.2</v>
      </c>
      <c r="K217" s="5">
        <v>0.2576</v>
      </c>
      <c r="L217" s="5">
        <v>0.86</v>
      </c>
      <c r="M217" s="5">
        <v>0</v>
      </c>
      <c r="N217" s="5">
        <v>1</v>
      </c>
      <c r="O217" s="5">
        <v>9</v>
      </c>
      <c r="P217" s="5">
        <v>10</v>
      </c>
    </row>
    <row r="218" spans="1:16">
      <c r="A218" s="5">
        <v>836</v>
      </c>
      <c r="B218" s="11">
        <v>40581</v>
      </c>
      <c r="C218" s="5">
        <v>1</v>
      </c>
      <c r="D218" s="5">
        <v>0</v>
      </c>
      <c r="E218" s="5">
        <v>2</v>
      </c>
      <c r="F218" s="5">
        <v>6</v>
      </c>
      <c r="G218" s="5" t="b">
        <v>0</v>
      </c>
      <c r="H218" s="5">
        <v>1</v>
      </c>
      <c r="I218" s="5">
        <v>1</v>
      </c>
      <c r="J218" s="5">
        <v>0.18</v>
      </c>
      <c r="K218" s="5">
        <v>0.2424</v>
      </c>
      <c r="L218" s="5">
        <v>0.93</v>
      </c>
      <c r="M218" s="5">
        <v>0</v>
      </c>
      <c r="N218" s="5">
        <v>1</v>
      </c>
      <c r="O218" s="5">
        <v>29</v>
      </c>
      <c r="P218" s="5">
        <v>30</v>
      </c>
    </row>
    <row r="219" spans="1:16">
      <c r="A219" s="5">
        <v>837</v>
      </c>
      <c r="B219" s="11">
        <v>40581</v>
      </c>
      <c r="C219" s="5">
        <v>1</v>
      </c>
      <c r="D219" s="5">
        <v>0</v>
      </c>
      <c r="E219" s="5">
        <v>2</v>
      </c>
      <c r="F219" s="5">
        <v>7</v>
      </c>
      <c r="G219" s="5" t="b">
        <v>0</v>
      </c>
      <c r="H219" s="5">
        <v>1</v>
      </c>
      <c r="I219" s="5">
        <v>1</v>
      </c>
      <c r="J219" s="5">
        <v>0.18</v>
      </c>
      <c r="K219" s="5">
        <v>0.2424</v>
      </c>
      <c r="L219" s="5">
        <v>0.86</v>
      </c>
      <c r="M219" s="5">
        <v>0</v>
      </c>
      <c r="N219" s="5">
        <v>6</v>
      </c>
      <c r="O219" s="5">
        <v>89</v>
      </c>
      <c r="P219" s="5">
        <v>95</v>
      </c>
    </row>
    <row r="220" spans="1:16">
      <c r="A220" s="5">
        <v>838</v>
      </c>
      <c r="B220" s="11">
        <v>40581</v>
      </c>
      <c r="C220" s="5">
        <v>1</v>
      </c>
      <c r="D220" s="5">
        <v>0</v>
      </c>
      <c r="E220" s="5">
        <v>2</v>
      </c>
      <c r="F220" s="5">
        <v>8</v>
      </c>
      <c r="G220" s="5" t="b">
        <v>0</v>
      </c>
      <c r="H220" s="5">
        <v>1</v>
      </c>
      <c r="I220" s="5">
        <v>2</v>
      </c>
      <c r="J220" s="5">
        <v>0.16</v>
      </c>
      <c r="K220" s="5">
        <v>0.2273</v>
      </c>
      <c r="L220" s="5">
        <v>1</v>
      </c>
      <c r="M220" s="5">
        <v>0</v>
      </c>
      <c r="N220" s="5">
        <v>7</v>
      </c>
      <c r="O220" s="5">
        <v>223</v>
      </c>
      <c r="P220" s="5">
        <v>230</v>
      </c>
    </row>
    <row r="221" spans="1:16">
      <c r="A221" s="5">
        <v>839</v>
      </c>
      <c r="B221" s="11">
        <v>40581</v>
      </c>
      <c r="C221" s="5">
        <v>1</v>
      </c>
      <c r="D221" s="5">
        <v>0</v>
      </c>
      <c r="E221" s="5">
        <v>2</v>
      </c>
      <c r="F221" s="5">
        <v>9</v>
      </c>
      <c r="G221" s="5" t="b">
        <v>0</v>
      </c>
      <c r="H221" s="5">
        <v>1</v>
      </c>
      <c r="I221" s="5">
        <v>1</v>
      </c>
      <c r="J221" s="5">
        <v>0.22</v>
      </c>
      <c r="K221" s="5">
        <v>0.2727</v>
      </c>
      <c r="L221" s="5">
        <v>0.8</v>
      </c>
      <c r="M221" s="5">
        <v>0</v>
      </c>
      <c r="N221" s="5">
        <v>3</v>
      </c>
      <c r="O221" s="5">
        <v>115</v>
      </c>
      <c r="P221" s="5">
        <v>118</v>
      </c>
    </row>
    <row r="222" spans="1:16">
      <c r="A222" s="5">
        <v>840</v>
      </c>
      <c r="B222" s="11">
        <v>40581</v>
      </c>
      <c r="C222" s="5">
        <v>1</v>
      </c>
      <c r="D222" s="5">
        <v>0</v>
      </c>
      <c r="E222" s="5">
        <v>2</v>
      </c>
      <c r="F222" s="5">
        <v>10</v>
      </c>
      <c r="G222" s="5" t="b">
        <v>0</v>
      </c>
      <c r="H222" s="5">
        <v>1</v>
      </c>
      <c r="I222" s="5">
        <v>1</v>
      </c>
      <c r="J222" s="5">
        <v>0.24</v>
      </c>
      <c r="K222" s="5">
        <v>0.2576</v>
      </c>
      <c r="L222" s="5">
        <v>0.75</v>
      </c>
      <c r="M222" s="5">
        <v>0.1045</v>
      </c>
      <c r="N222" s="5">
        <v>6</v>
      </c>
      <c r="O222" s="5">
        <v>49</v>
      </c>
      <c r="P222" s="5">
        <v>55</v>
      </c>
    </row>
    <row r="223" spans="1:16">
      <c r="A223" s="5">
        <v>841</v>
      </c>
      <c r="B223" s="11">
        <v>40581</v>
      </c>
      <c r="C223" s="5">
        <v>1</v>
      </c>
      <c r="D223" s="5">
        <v>0</v>
      </c>
      <c r="E223" s="5">
        <v>2</v>
      </c>
      <c r="F223" s="5">
        <v>11</v>
      </c>
      <c r="G223" s="5" t="b">
        <v>0</v>
      </c>
      <c r="H223" s="5">
        <v>1</v>
      </c>
      <c r="I223" s="5">
        <v>1</v>
      </c>
      <c r="J223" s="5">
        <v>0.3</v>
      </c>
      <c r="K223" s="5">
        <v>0.3182</v>
      </c>
      <c r="L223" s="5">
        <v>0.65</v>
      </c>
      <c r="M223" s="5">
        <v>0.0896</v>
      </c>
      <c r="N223" s="5">
        <v>11</v>
      </c>
      <c r="O223" s="5">
        <v>36</v>
      </c>
      <c r="P223" s="5">
        <v>47</v>
      </c>
    </row>
    <row r="224" spans="1:16">
      <c r="A224" s="5">
        <v>842</v>
      </c>
      <c r="B224" s="11">
        <v>40581</v>
      </c>
      <c r="C224" s="5">
        <v>1</v>
      </c>
      <c r="D224" s="5">
        <v>0</v>
      </c>
      <c r="E224" s="5">
        <v>2</v>
      </c>
      <c r="F224" s="5">
        <v>12</v>
      </c>
      <c r="G224" s="5" t="b">
        <v>0</v>
      </c>
      <c r="H224" s="5">
        <v>1</v>
      </c>
      <c r="I224" s="5">
        <v>2</v>
      </c>
      <c r="J224" s="5">
        <v>0.32</v>
      </c>
      <c r="K224" s="5">
        <v>0.3485</v>
      </c>
      <c r="L224" s="5">
        <v>0.62</v>
      </c>
      <c r="M224" s="5">
        <v>0</v>
      </c>
      <c r="N224" s="5">
        <v>7</v>
      </c>
      <c r="O224" s="5">
        <v>59</v>
      </c>
      <c r="P224" s="5">
        <v>66</v>
      </c>
    </row>
    <row r="225" spans="1:16">
      <c r="A225" s="5">
        <v>843</v>
      </c>
      <c r="B225" s="11">
        <v>40581</v>
      </c>
      <c r="C225" s="5">
        <v>1</v>
      </c>
      <c r="D225" s="5">
        <v>0</v>
      </c>
      <c r="E225" s="5">
        <v>2</v>
      </c>
      <c r="F225" s="5">
        <v>13</v>
      </c>
      <c r="G225" s="5" t="b">
        <v>0</v>
      </c>
      <c r="H225" s="5">
        <v>1</v>
      </c>
      <c r="I225" s="5">
        <v>2</v>
      </c>
      <c r="J225" s="5">
        <v>0.36</v>
      </c>
      <c r="K225" s="5">
        <v>0.3636</v>
      </c>
      <c r="L225" s="5">
        <v>0.57</v>
      </c>
      <c r="M225" s="5">
        <v>0.0896</v>
      </c>
      <c r="N225" s="5">
        <v>10</v>
      </c>
      <c r="O225" s="5">
        <v>54</v>
      </c>
      <c r="P225" s="5">
        <v>64</v>
      </c>
    </row>
    <row r="226" spans="1:16">
      <c r="A226" s="5">
        <v>844</v>
      </c>
      <c r="B226" s="11">
        <v>40581</v>
      </c>
      <c r="C226" s="5">
        <v>1</v>
      </c>
      <c r="D226" s="5">
        <v>0</v>
      </c>
      <c r="E226" s="5">
        <v>2</v>
      </c>
      <c r="F226" s="5">
        <v>14</v>
      </c>
      <c r="G226" s="5" t="b">
        <v>0</v>
      </c>
      <c r="H226" s="5">
        <v>1</v>
      </c>
      <c r="I226" s="5">
        <v>2</v>
      </c>
      <c r="J226" s="5">
        <v>0.36</v>
      </c>
      <c r="K226" s="5">
        <v>0.3636</v>
      </c>
      <c r="L226" s="5">
        <v>0.57</v>
      </c>
      <c r="M226" s="5">
        <v>0.0896</v>
      </c>
      <c r="N226" s="5">
        <v>8</v>
      </c>
      <c r="O226" s="5">
        <v>52</v>
      </c>
      <c r="P226" s="5">
        <v>60</v>
      </c>
    </row>
    <row r="227" spans="1:16">
      <c r="A227" s="5">
        <v>845</v>
      </c>
      <c r="B227" s="11">
        <v>40581</v>
      </c>
      <c r="C227" s="5">
        <v>1</v>
      </c>
      <c r="D227" s="5">
        <v>0</v>
      </c>
      <c r="E227" s="5">
        <v>2</v>
      </c>
      <c r="F227" s="5">
        <v>15</v>
      </c>
      <c r="G227" s="5" t="b">
        <v>0</v>
      </c>
      <c r="H227" s="5">
        <v>1</v>
      </c>
      <c r="I227" s="5">
        <v>2</v>
      </c>
      <c r="J227" s="5">
        <v>0.38</v>
      </c>
      <c r="K227" s="5">
        <v>0.3939</v>
      </c>
      <c r="L227" s="5">
        <v>0.54</v>
      </c>
      <c r="M227" s="5">
        <v>0.0896</v>
      </c>
      <c r="N227" s="5">
        <v>4</v>
      </c>
      <c r="O227" s="5">
        <v>46</v>
      </c>
      <c r="P227" s="5">
        <v>50</v>
      </c>
    </row>
    <row r="228" spans="1:16">
      <c r="A228" s="5">
        <v>846</v>
      </c>
      <c r="B228" s="11">
        <v>40581</v>
      </c>
      <c r="C228" s="5">
        <v>1</v>
      </c>
      <c r="D228" s="5">
        <v>0</v>
      </c>
      <c r="E228" s="5">
        <v>2</v>
      </c>
      <c r="F228" s="5">
        <v>16</v>
      </c>
      <c r="G228" s="5" t="b">
        <v>0</v>
      </c>
      <c r="H228" s="5">
        <v>1</v>
      </c>
      <c r="I228" s="5">
        <v>2</v>
      </c>
      <c r="J228" s="5">
        <v>0.36</v>
      </c>
      <c r="K228" s="5">
        <v>0.3485</v>
      </c>
      <c r="L228" s="5">
        <v>0.57</v>
      </c>
      <c r="M228" s="5">
        <v>0.1343</v>
      </c>
      <c r="N228" s="5">
        <v>16</v>
      </c>
      <c r="O228" s="5">
        <v>98</v>
      </c>
      <c r="P228" s="5">
        <v>114</v>
      </c>
    </row>
    <row r="229" spans="1:16">
      <c r="A229" s="5">
        <v>847</v>
      </c>
      <c r="B229" s="11">
        <v>40581</v>
      </c>
      <c r="C229" s="5">
        <v>1</v>
      </c>
      <c r="D229" s="5">
        <v>0</v>
      </c>
      <c r="E229" s="5">
        <v>2</v>
      </c>
      <c r="F229" s="5">
        <v>17</v>
      </c>
      <c r="G229" s="5" t="b">
        <v>0</v>
      </c>
      <c r="H229" s="5">
        <v>1</v>
      </c>
      <c r="I229" s="5">
        <v>2</v>
      </c>
      <c r="J229" s="5">
        <v>0.32</v>
      </c>
      <c r="K229" s="5">
        <v>0.3182</v>
      </c>
      <c r="L229" s="5">
        <v>0.7</v>
      </c>
      <c r="M229" s="5">
        <v>0.1642</v>
      </c>
      <c r="N229" s="5">
        <v>9</v>
      </c>
      <c r="O229" s="5">
        <v>207</v>
      </c>
      <c r="P229" s="5">
        <v>216</v>
      </c>
    </row>
    <row r="230" spans="1:16">
      <c r="A230" s="5">
        <v>848</v>
      </c>
      <c r="B230" s="11">
        <v>40581</v>
      </c>
      <c r="C230" s="5">
        <v>1</v>
      </c>
      <c r="D230" s="5">
        <v>0</v>
      </c>
      <c r="E230" s="5">
        <v>2</v>
      </c>
      <c r="F230" s="5">
        <v>18</v>
      </c>
      <c r="G230" s="5" t="b">
        <v>0</v>
      </c>
      <c r="H230" s="5">
        <v>1</v>
      </c>
      <c r="I230" s="5">
        <v>2</v>
      </c>
      <c r="J230" s="5">
        <v>0.34</v>
      </c>
      <c r="K230" s="5">
        <v>0.3333</v>
      </c>
      <c r="L230" s="5">
        <v>0.66</v>
      </c>
      <c r="M230" s="5">
        <v>0.1343</v>
      </c>
      <c r="N230" s="5">
        <v>5</v>
      </c>
      <c r="O230" s="5">
        <v>170</v>
      </c>
      <c r="P230" s="5">
        <v>175</v>
      </c>
    </row>
    <row r="231" spans="1:16">
      <c r="A231" s="5">
        <v>849</v>
      </c>
      <c r="B231" s="11">
        <v>40581</v>
      </c>
      <c r="C231" s="5">
        <v>1</v>
      </c>
      <c r="D231" s="5">
        <v>0</v>
      </c>
      <c r="E231" s="5">
        <v>2</v>
      </c>
      <c r="F231" s="5">
        <v>19</v>
      </c>
      <c r="G231" s="5" t="b">
        <v>0</v>
      </c>
      <c r="H231" s="5">
        <v>1</v>
      </c>
      <c r="I231" s="5">
        <v>2</v>
      </c>
      <c r="J231" s="5">
        <v>0.32</v>
      </c>
      <c r="K231" s="5">
        <v>0.3485</v>
      </c>
      <c r="L231" s="5">
        <v>0.7</v>
      </c>
      <c r="M231" s="5">
        <v>0</v>
      </c>
      <c r="N231" s="5">
        <v>5</v>
      </c>
      <c r="O231" s="5">
        <v>123</v>
      </c>
      <c r="P231" s="5">
        <v>128</v>
      </c>
    </row>
    <row r="232" spans="1:16">
      <c r="A232" s="5">
        <v>850</v>
      </c>
      <c r="B232" s="11">
        <v>40581</v>
      </c>
      <c r="C232" s="5">
        <v>1</v>
      </c>
      <c r="D232" s="5">
        <v>0</v>
      </c>
      <c r="E232" s="5">
        <v>2</v>
      </c>
      <c r="F232" s="5">
        <v>20</v>
      </c>
      <c r="G232" s="5" t="b">
        <v>0</v>
      </c>
      <c r="H232" s="5">
        <v>1</v>
      </c>
      <c r="I232" s="5">
        <v>2</v>
      </c>
      <c r="J232" s="5">
        <v>0.32</v>
      </c>
      <c r="K232" s="5">
        <v>0.3333</v>
      </c>
      <c r="L232" s="5">
        <v>0.7</v>
      </c>
      <c r="M232" s="5">
        <v>0.1045</v>
      </c>
      <c r="N232" s="5">
        <v>6</v>
      </c>
      <c r="O232" s="5">
        <v>82</v>
      </c>
      <c r="P232" s="5">
        <v>88</v>
      </c>
    </row>
    <row r="233" spans="1:16">
      <c r="A233" s="5">
        <v>851</v>
      </c>
      <c r="B233" s="11">
        <v>40581</v>
      </c>
      <c r="C233" s="5">
        <v>1</v>
      </c>
      <c r="D233" s="5">
        <v>0</v>
      </c>
      <c r="E233" s="5">
        <v>2</v>
      </c>
      <c r="F233" s="5">
        <v>21</v>
      </c>
      <c r="G233" s="5" t="b">
        <v>0</v>
      </c>
      <c r="H233" s="5">
        <v>1</v>
      </c>
      <c r="I233" s="5">
        <v>1</v>
      </c>
      <c r="J233" s="5">
        <v>0.32</v>
      </c>
      <c r="K233" s="5">
        <v>0.3485</v>
      </c>
      <c r="L233" s="5">
        <v>0.7</v>
      </c>
      <c r="M233" s="5">
        <v>0</v>
      </c>
      <c r="N233" s="5">
        <v>3</v>
      </c>
      <c r="O233" s="5">
        <v>75</v>
      </c>
      <c r="P233" s="5">
        <v>78</v>
      </c>
    </row>
    <row r="234" spans="1:16">
      <c r="A234" s="5">
        <v>852</v>
      </c>
      <c r="B234" s="11">
        <v>40581</v>
      </c>
      <c r="C234" s="5">
        <v>1</v>
      </c>
      <c r="D234" s="5">
        <v>0</v>
      </c>
      <c r="E234" s="5">
        <v>2</v>
      </c>
      <c r="F234" s="5">
        <v>22</v>
      </c>
      <c r="G234" s="5" t="b">
        <v>0</v>
      </c>
      <c r="H234" s="5">
        <v>1</v>
      </c>
      <c r="I234" s="5">
        <v>1</v>
      </c>
      <c r="J234" s="5">
        <v>0.28</v>
      </c>
      <c r="K234" s="5">
        <v>0.303</v>
      </c>
      <c r="L234" s="5">
        <v>0.8100000000000001</v>
      </c>
      <c r="M234" s="5">
        <v>0.0896</v>
      </c>
      <c r="N234" s="5">
        <v>3</v>
      </c>
      <c r="O234" s="5">
        <v>34</v>
      </c>
      <c r="P234" s="5">
        <v>37</v>
      </c>
    </row>
    <row r="235" spans="1:16">
      <c r="A235" s="5">
        <v>853</v>
      </c>
      <c r="B235" s="11">
        <v>40581</v>
      </c>
      <c r="C235" s="5">
        <v>1</v>
      </c>
      <c r="D235" s="5">
        <v>0</v>
      </c>
      <c r="E235" s="5">
        <v>2</v>
      </c>
      <c r="F235" s="5">
        <v>23</v>
      </c>
      <c r="G235" s="5" t="b">
        <v>0</v>
      </c>
      <c r="H235" s="5">
        <v>1</v>
      </c>
      <c r="I235" s="5">
        <v>2</v>
      </c>
      <c r="J235" s="5">
        <v>0.3</v>
      </c>
      <c r="K235" s="5">
        <v>0.3333</v>
      </c>
      <c r="L235" s="5">
        <v>0.8100000000000001</v>
      </c>
      <c r="M235" s="5">
        <v>0</v>
      </c>
      <c r="N235" s="5">
        <v>6</v>
      </c>
      <c r="O235" s="5">
        <v>19</v>
      </c>
      <c r="P235" s="5">
        <v>25</v>
      </c>
    </row>
    <row r="236" spans="1:16">
      <c r="A236" s="5">
        <v>854</v>
      </c>
      <c r="B236" s="11">
        <v>40582</v>
      </c>
      <c r="C236" s="5">
        <v>1</v>
      </c>
      <c r="D236" s="5">
        <v>0</v>
      </c>
      <c r="E236" s="5">
        <v>2</v>
      </c>
      <c r="F236" s="5">
        <v>0</v>
      </c>
      <c r="G236" s="5" t="b">
        <v>0</v>
      </c>
      <c r="H236" s="5">
        <v>2</v>
      </c>
      <c r="I236" s="5">
        <v>2</v>
      </c>
      <c r="J236" s="5">
        <v>0.28</v>
      </c>
      <c r="K236" s="5">
        <v>0.3182</v>
      </c>
      <c r="L236" s="5">
        <v>0.87</v>
      </c>
      <c r="M236" s="5">
        <v>0</v>
      </c>
      <c r="N236" s="5">
        <v>4</v>
      </c>
      <c r="O236" s="5">
        <v>6</v>
      </c>
      <c r="P236" s="5">
        <v>10</v>
      </c>
    </row>
    <row r="237" spans="1:16">
      <c r="A237" s="5">
        <v>855</v>
      </c>
      <c r="B237" s="11">
        <v>40582</v>
      </c>
      <c r="C237" s="5">
        <v>1</v>
      </c>
      <c r="D237" s="5">
        <v>0</v>
      </c>
      <c r="E237" s="5">
        <v>2</v>
      </c>
      <c r="F237" s="5">
        <v>1</v>
      </c>
      <c r="G237" s="5" t="b">
        <v>0</v>
      </c>
      <c r="H237" s="5">
        <v>2</v>
      </c>
      <c r="I237" s="5">
        <v>2</v>
      </c>
      <c r="J237" s="5">
        <v>0.28</v>
      </c>
      <c r="K237" s="5">
        <v>0.3182</v>
      </c>
      <c r="L237" s="5">
        <v>0.87</v>
      </c>
      <c r="M237" s="5">
        <v>0</v>
      </c>
      <c r="N237" s="5">
        <v>0</v>
      </c>
      <c r="O237" s="5">
        <v>4</v>
      </c>
      <c r="P237" s="5">
        <v>4</v>
      </c>
    </row>
    <row r="238" spans="1:16">
      <c r="A238" s="5">
        <v>856</v>
      </c>
      <c r="B238" s="11">
        <v>40582</v>
      </c>
      <c r="C238" s="5">
        <v>1</v>
      </c>
      <c r="D238" s="5">
        <v>0</v>
      </c>
      <c r="E238" s="5">
        <v>2</v>
      </c>
      <c r="F238" s="5">
        <v>2</v>
      </c>
      <c r="G238" s="5" t="b">
        <v>0</v>
      </c>
      <c r="H238" s="5">
        <v>2</v>
      </c>
      <c r="I238" s="5">
        <v>2</v>
      </c>
      <c r="J238" s="5">
        <v>0.26</v>
      </c>
      <c r="K238" s="5">
        <v>0.2727</v>
      </c>
      <c r="L238" s="5">
        <v>0.93</v>
      </c>
      <c r="M238" s="5">
        <v>0.1045</v>
      </c>
      <c r="N238" s="5">
        <v>1</v>
      </c>
      <c r="O238" s="5">
        <v>1</v>
      </c>
      <c r="P238" s="5">
        <v>2</v>
      </c>
    </row>
    <row r="239" spans="1:16">
      <c r="A239" s="5">
        <v>857</v>
      </c>
      <c r="B239" s="11">
        <v>40582</v>
      </c>
      <c r="C239" s="5">
        <v>1</v>
      </c>
      <c r="D239" s="5">
        <v>0</v>
      </c>
      <c r="E239" s="5">
        <v>2</v>
      </c>
      <c r="F239" s="5">
        <v>3</v>
      </c>
      <c r="G239" s="5" t="b">
        <v>0</v>
      </c>
      <c r="H239" s="5">
        <v>2</v>
      </c>
      <c r="I239" s="5">
        <v>3</v>
      </c>
      <c r="J239" s="5">
        <v>0.28</v>
      </c>
      <c r="K239" s="5">
        <v>0.2727</v>
      </c>
      <c r="L239" s="5">
        <v>0.93</v>
      </c>
      <c r="M239" s="5">
        <v>0.1642</v>
      </c>
      <c r="N239" s="5">
        <v>0</v>
      </c>
      <c r="O239" s="5">
        <v>1</v>
      </c>
      <c r="P239" s="5">
        <v>1</v>
      </c>
    </row>
    <row r="240" spans="1:16">
      <c r="A240" s="5">
        <v>858</v>
      </c>
      <c r="B240" s="11">
        <v>40582</v>
      </c>
      <c r="C240" s="5">
        <v>1</v>
      </c>
      <c r="D240" s="5">
        <v>0</v>
      </c>
      <c r="E240" s="5">
        <v>2</v>
      </c>
      <c r="F240" s="5">
        <v>4</v>
      </c>
      <c r="G240" s="5" t="b">
        <v>0</v>
      </c>
      <c r="H240" s="5">
        <v>2</v>
      </c>
      <c r="I240" s="5">
        <v>1</v>
      </c>
      <c r="J240" s="5">
        <v>0.26</v>
      </c>
      <c r="K240" s="5">
        <v>0.2576</v>
      </c>
      <c r="L240" s="5">
        <v>0.93</v>
      </c>
      <c r="M240" s="5">
        <v>0.1642</v>
      </c>
      <c r="N240" s="5">
        <v>0</v>
      </c>
      <c r="O240" s="5">
        <v>3</v>
      </c>
      <c r="P240" s="5">
        <v>3</v>
      </c>
    </row>
    <row r="241" spans="1:16">
      <c r="A241" s="5">
        <v>859</v>
      </c>
      <c r="B241" s="11">
        <v>40582</v>
      </c>
      <c r="C241" s="5">
        <v>1</v>
      </c>
      <c r="D241" s="5">
        <v>0</v>
      </c>
      <c r="E241" s="5">
        <v>2</v>
      </c>
      <c r="F241" s="5">
        <v>5</v>
      </c>
      <c r="G241" s="5" t="b">
        <v>0</v>
      </c>
      <c r="H241" s="5">
        <v>2</v>
      </c>
      <c r="I241" s="5">
        <v>1</v>
      </c>
      <c r="J241" s="5">
        <v>0.26</v>
      </c>
      <c r="K241" s="5">
        <v>0.2273</v>
      </c>
      <c r="L241" s="5">
        <v>0.8100000000000001</v>
      </c>
      <c r="M241" s="5">
        <v>0.3284</v>
      </c>
      <c r="N241" s="5">
        <v>0</v>
      </c>
      <c r="O241" s="5">
        <v>2</v>
      </c>
      <c r="P241" s="5">
        <v>2</v>
      </c>
    </row>
    <row r="242" spans="1:16">
      <c r="A242" s="5">
        <v>860</v>
      </c>
      <c r="B242" s="11">
        <v>40582</v>
      </c>
      <c r="C242" s="5">
        <v>1</v>
      </c>
      <c r="D242" s="5">
        <v>0</v>
      </c>
      <c r="E242" s="5">
        <v>2</v>
      </c>
      <c r="F242" s="5">
        <v>6</v>
      </c>
      <c r="G242" s="5" t="b">
        <v>0</v>
      </c>
      <c r="H242" s="5">
        <v>2</v>
      </c>
      <c r="I242" s="5">
        <v>1</v>
      </c>
      <c r="J242" s="5">
        <v>0.26</v>
      </c>
      <c r="K242" s="5">
        <v>0.2273</v>
      </c>
      <c r="L242" s="5">
        <v>0.7</v>
      </c>
      <c r="M242" s="5">
        <v>0.3284</v>
      </c>
      <c r="N242" s="5">
        <v>0</v>
      </c>
      <c r="O242" s="5">
        <v>39</v>
      </c>
      <c r="P242" s="5">
        <v>39</v>
      </c>
    </row>
    <row r="243" spans="1:16">
      <c r="A243" s="5">
        <v>861</v>
      </c>
      <c r="B243" s="11">
        <v>40582</v>
      </c>
      <c r="C243" s="5">
        <v>1</v>
      </c>
      <c r="D243" s="5">
        <v>0</v>
      </c>
      <c r="E243" s="5">
        <v>2</v>
      </c>
      <c r="F243" s="5">
        <v>7</v>
      </c>
      <c r="G243" s="5" t="b">
        <v>0</v>
      </c>
      <c r="H243" s="5">
        <v>2</v>
      </c>
      <c r="I243" s="5">
        <v>1</v>
      </c>
      <c r="J243" s="5">
        <v>0.24</v>
      </c>
      <c r="K243" s="5">
        <v>0.197</v>
      </c>
      <c r="L243" s="5">
        <v>0.65</v>
      </c>
      <c r="M243" s="5">
        <v>0.4179</v>
      </c>
      <c r="N243" s="5">
        <v>3</v>
      </c>
      <c r="O243" s="5">
        <v>97</v>
      </c>
      <c r="P243" s="5">
        <v>100</v>
      </c>
    </row>
    <row r="244" spans="1:16">
      <c r="A244" s="5">
        <v>862</v>
      </c>
      <c r="B244" s="11">
        <v>40582</v>
      </c>
      <c r="C244" s="5">
        <v>1</v>
      </c>
      <c r="D244" s="5">
        <v>0</v>
      </c>
      <c r="E244" s="5">
        <v>2</v>
      </c>
      <c r="F244" s="5">
        <v>8</v>
      </c>
      <c r="G244" s="5" t="b">
        <v>0</v>
      </c>
      <c r="H244" s="5">
        <v>2</v>
      </c>
      <c r="I244" s="5">
        <v>1</v>
      </c>
      <c r="J244" s="5">
        <v>0.24</v>
      </c>
      <c r="K244" s="5">
        <v>0.197</v>
      </c>
      <c r="L244" s="5">
        <v>0.5600000000000001</v>
      </c>
      <c r="M244" s="5">
        <v>0.4925</v>
      </c>
      <c r="N244" s="5">
        <v>7</v>
      </c>
      <c r="O244" s="5">
        <v>236</v>
      </c>
      <c r="P244" s="5">
        <v>243</v>
      </c>
    </row>
    <row r="245" spans="1:16">
      <c r="A245" s="5">
        <v>863</v>
      </c>
      <c r="B245" s="11">
        <v>40582</v>
      </c>
      <c r="C245" s="5">
        <v>1</v>
      </c>
      <c r="D245" s="5">
        <v>0</v>
      </c>
      <c r="E245" s="5">
        <v>2</v>
      </c>
      <c r="F245" s="5">
        <v>9</v>
      </c>
      <c r="G245" s="5" t="b">
        <v>0</v>
      </c>
      <c r="H245" s="5">
        <v>2</v>
      </c>
      <c r="I245" s="5">
        <v>1</v>
      </c>
      <c r="J245" s="5">
        <v>0.24</v>
      </c>
      <c r="K245" s="5">
        <v>0.197</v>
      </c>
      <c r="L245" s="5">
        <v>0.52</v>
      </c>
      <c r="M245" s="5">
        <v>0.4925</v>
      </c>
      <c r="N245" s="5">
        <v>7</v>
      </c>
      <c r="O245" s="5">
        <v>128</v>
      </c>
      <c r="P245" s="5">
        <v>135</v>
      </c>
    </row>
    <row r="246" spans="1:16">
      <c r="A246" s="5">
        <v>864</v>
      </c>
      <c r="B246" s="11">
        <v>40582</v>
      </c>
      <c r="C246" s="5">
        <v>1</v>
      </c>
      <c r="D246" s="5">
        <v>0</v>
      </c>
      <c r="E246" s="5">
        <v>2</v>
      </c>
      <c r="F246" s="5">
        <v>10</v>
      </c>
      <c r="G246" s="5" t="b">
        <v>0</v>
      </c>
      <c r="H246" s="5">
        <v>2</v>
      </c>
      <c r="I246" s="5">
        <v>1</v>
      </c>
      <c r="J246" s="5">
        <v>0.22</v>
      </c>
      <c r="K246" s="5">
        <v>0.1818</v>
      </c>
      <c r="L246" s="5">
        <v>0.47</v>
      </c>
      <c r="M246" s="5">
        <v>0.5522</v>
      </c>
      <c r="N246" s="5">
        <v>4</v>
      </c>
      <c r="O246" s="5">
        <v>44</v>
      </c>
      <c r="P246" s="5">
        <v>48</v>
      </c>
    </row>
    <row r="247" spans="1:16">
      <c r="A247" s="5">
        <v>865</v>
      </c>
      <c r="B247" s="11">
        <v>40582</v>
      </c>
      <c r="C247" s="5">
        <v>1</v>
      </c>
      <c r="D247" s="5">
        <v>0</v>
      </c>
      <c r="E247" s="5">
        <v>2</v>
      </c>
      <c r="F247" s="5">
        <v>11</v>
      </c>
      <c r="G247" s="5" t="b">
        <v>0</v>
      </c>
      <c r="H247" s="5">
        <v>2</v>
      </c>
      <c r="I247" s="5">
        <v>1</v>
      </c>
      <c r="J247" s="5">
        <v>0.22</v>
      </c>
      <c r="K247" s="5">
        <v>0.1818</v>
      </c>
      <c r="L247" s="5">
        <v>0.47</v>
      </c>
      <c r="M247" s="5">
        <v>0.4627</v>
      </c>
      <c r="N247" s="5">
        <v>1</v>
      </c>
      <c r="O247" s="5">
        <v>49</v>
      </c>
      <c r="P247" s="5">
        <v>50</v>
      </c>
    </row>
    <row r="248" spans="1:16">
      <c r="A248" s="5">
        <v>866</v>
      </c>
      <c r="B248" s="11">
        <v>40582</v>
      </c>
      <c r="C248" s="5">
        <v>1</v>
      </c>
      <c r="D248" s="5">
        <v>0</v>
      </c>
      <c r="E248" s="5">
        <v>2</v>
      </c>
      <c r="F248" s="5">
        <v>12</v>
      </c>
      <c r="G248" s="5" t="b">
        <v>0</v>
      </c>
      <c r="H248" s="5">
        <v>2</v>
      </c>
      <c r="I248" s="5">
        <v>1</v>
      </c>
      <c r="J248" s="5">
        <v>0.24</v>
      </c>
      <c r="K248" s="5">
        <v>0.197</v>
      </c>
      <c r="L248" s="5">
        <v>0.38</v>
      </c>
      <c r="M248" s="5">
        <v>0.4925</v>
      </c>
      <c r="N248" s="5">
        <v>2</v>
      </c>
      <c r="O248" s="5">
        <v>63</v>
      </c>
      <c r="P248" s="5">
        <v>65</v>
      </c>
    </row>
    <row r="249" spans="1:16">
      <c r="A249" s="5">
        <v>867</v>
      </c>
      <c r="B249" s="11">
        <v>40582</v>
      </c>
      <c r="C249" s="5">
        <v>1</v>
      </c>
      <c r="D249" s="5">
        <v>0</v>
      </c>
      <c r="E249" s="5">
        <v>2</v>
      </c>
      <c r="F249" s="5">
        <v>13</v>
      </c>
      <c r="G249" s="5" t="b">
        <v>0</v>
      </c>
      <c r="H249" s="5">
        <v>2</v>
      </c>
      <c r="I249" s="5">
        <v>2</v>
      </c>
      <c r="J249" s="5">
        <v>0.24</v>
      </c>
      <c r="K249" s="5">
        <v>0.197</v>
      </c>
      <c r="L249" s="5">
        <v>0.32</v>
      </c>
      <c r="M249" s="5">
        <v>0.4478</v>
      </c>
      <c r="N249" s="5">
        <v>2</v>
      </c>
      <c r="O249" s="5">
        <v>48</v>
      </c>
      <c r="P249" s="5">
        <v>50</v>
      </c>
    </row>
    <row r="250" spans="1:16">
      <c r="A250" s="5">
        <v>868</v>
      </c>
      <c r="B250" s="11">
        <v>40582</v>
      </c>
      <c r="C250" s="5">
        <v>1</v>
      </c>
      <c r="D250" s="5">
        <v>0</v>
      </c>
      <c r="E250" s="5">
        <v>2</v>
      </c>
      <c r="F250" s="5">
        <v>14</v>
      </c>
      <c r="G250" s="5" t="b">
        <v>0</v>
      </c>
      <c r="H250" s="5">
        <v>2</v>
      </c>
      <c r="I250" s="5">
        <v>1</v>
      </c>
      <c r="J250" s="5">
        <v>0.22</v>
      </c>
      <c r="K250" s="5">
        <v>0.197</v>
      </c>
      <c r="L250" s="5">
        <v>0.37</v>
      </c>
      <c r="M250" s="5">
        <v>0.4179</v>
      </c>
      <c r="N250" s="5">
        <v>3</v>
      </c>
      <c r="O250" s="5">
        <v>61</v>
      </c>
      <c r="P250" s="5">
        <v>64</v>
      </c>
    </row>
    <row r="251" spans="1:16">
      <c r="A251" s="5">
        <v>869</v>
      </c>
      <c r="B251" s="11">
        <v>40582</v>
      </c>
      <c r="C251" s="5">
        <v>1</v>
      </c>
      <c r="D251" s="5">
        <v>0</v>
      </c>
      <c r="E251" s="5">
        <v>2</v>
      </c>
      <c r="F251" s="5">
        <v>15</v>
      </c>
      <c r="G251" s="5" t="b">
        <v>0</v>
      </c>
      <c r="H251" s="5">
        <v>2</v>
      </c>
      <c r="I251" s="5">
        <v>1</v>
      </c>
      <c r="J251" s="5">
        <v>0.22</v>
      </c>
      <c r="K251" s="5">
        <v>0.197</v>
      </c>
      <c r="L251" s="5">
        <v>0.35</v>
      </c>
      <c r="M251" s="5">
        <v>0.3881</v>
      </c>
      <c r="N251" s="5">
        <v>6</v>
      </c>
      <c r="O251" s="5">
        <v>45</v>
      </c>
      <c r="P251" s="5">
        <v>51</v>
      </c>
    </row>
    <row r="252" spans="1:16">
      <c r="A252" s="5">
        <v>870</v>
      </c>
      <c r="B252" s="11">
        <v>40582</v>
      </c>
      <c r="C252" s="5">
        <v>1</v>
      </c>
      <c r="D252" s="5">
        <v>0</v>
      </c>
      <c r="E252" s="5">
        <v>2</v>
      </c>
      <c r="F252" s="5">
        <v>16</v>
      </c>
      <c r="G252" s="5" t="b">
        <v>0</v>
      </c>
      <c r="H252" s="5">
        <v>2</v>
      </c>
      <c r="I252" s="5">
        <v>1</v>
      </c>
      <c r="J252" s="5">
        <v>0.22</v>
      </c>
      <c r="K252" s="5">
        <v>0.1818</v>
      </c>
      <c r="L252" s="5">
        <v>0.35</v>
      </c>
      <c r="M252" s="5">
        <v>0.5224</v>
      </c>
      <c r="N252" s="5">
        <v>4</v>
      </c>
      <c r="O252" s="5">
        <v>79</v>
      </c>
      <c r="P252" s="5">
        <v>83</v>
      </c>
    </row>
    <row r="253" spans="1:16">
      <c r="A253" s="5">
        <v>871</v>
      </c>
      <c r="B253" s="11">
        <v>40582</v>
      </c>
      <c r="C253" s="5">
        <v>1</v>
      </c>
      <c r="D253" s="5">
        <v>0</v>
      </c>
      <c r="E253" s="5">
        <v>2</v>
      </c>
      <c r="F253" s="5">
        <v>17</v>
      </c>
      <c r="G253" s="5" t="b">
        <v>0</v>
      </c>
      <c r="H253" s="5">
        <v>2</v>
      </c>
      <c r="I253" s="5">
        <v>1</v>
      </c>
      <c r="J253" s="5">
        <v>0.22</v>
      </c>
      <c r="K253" s="5">
        <v>0.1818</v>
      </c>
      <c r="L253" s="5">
        <v>0.32</v>
      </c>
      <c r="M253" s="5">
        <v>0.5821</v>
      </c>
      <c r="N253" s="5">
        <v>4</v>
      </c>
      <c r="O253" s="5">
        <v>172</v>
      </c>
      <c r="P253" s="5">
        <v>176</v>
      </c>
    </row>
    <row r="254" spans="1:16">
      <c r="A254" s="5">
        <v>872</v>
      </c>
      <c r="B254" s="11">
        <v>40582</v>
      </c>
      <c r="C254" s="5">
        <v>1</v>
      </c>
      <c r="D254" s="5">
        <v>0</v>
      </c>
      <c r="E254" s="5">
        <v>2</v>
      </c>
      <c r="F254" s="5">
        <v>18</v>
      </c>
      <c r="G254" s="5" t="b">
        <v>0</v>
      </c>
      <c r="H254" s="5">
        <v>2</v>
      </c>
      <c r="I254" s="5">
        <v>1</v>
      </c>
      <c r="J254" s="5">
        <v>0.2</v>
      </c>
      <c r="K254" s="5">
        <v>0.1818</v>
      </c>
      <c r="L254" s="5">
        <v>0.32</v>
      </c>
      <c r="M254" s="5">
        <v>0.3881</v>
      </c>
      <c r="N254" s="5">
        <v>1</v>
      </c>
      <c r="O254" s="5">
        <v>151</v>
      </c>
      <c r="P254" s="5">
        <v>152</v>
      </c>
    </row>
    <row r="255" spans="1:16">
      <c r="A255" s="5">
        <v>873</v>
      </c>
      <c r="B255" s="11">
        <v>40582</v>
      </c>
      <c r="C255" s="5">
        <v>1</v>
      </c>
      <c r="D255" s="5">
        <v>0</v>
      </c>
      <c r="E255" s="5">
        <v>2</v>
      </c>
      <c r="F255" s="5">
        <v>19</v>
      </c>
      <c r="G255" s="5" t="b">
        <v>0</v>
      </c>
      <c r="H255" s="5">
        <v>2</v>
      </c>
      <c r="I255" s="5">
        <v>1</v>
      </c>
      <c r="J255" s="5">
        <v>0.16</v>
      </c>
      <c r="K255" s="5">
        <v>0.1212</v>
      </c>
      <c r="L255" s="5">
        <v>0.4</v>
      </c>
      <c r="M255" s="5">
        <v>0.4627</v>
      </c>
      <c r="N255" s="5">
        <v>1</v>
      </c>
      <c r="O255" s="5">
        <v>100</v>
      </c>
      <c r="P255" s="5">
        <v>101</v>
      </c>
    </row>
    <row r="256" spans="1:16">
      <c r="A256" s="5">
        <v>874</v>
      </c>
      <c r="B256" s="11">
        <v>40582</v>
      </c>
      <c r="C256" s="5">
        <v>1</v>
      </c>
      <c r="D256" s="5">
        <v>0</v>
      </c>
      <c r="E256" s="5">
        <v>2</v>
      </c>
      <c r="F256" s="5">
        <v>20</v>
      </c>
      <c r="G256" s="5" t="b">
        <v>0</v>
      </c>
      <c r="H256" s="5">
        <v>2</v>
      </c>
      <c r="I256" s="5">
        <v>1</v>
      </c>
      <c r="J256" s="5">
        <v>0.16</v>
      </c>
      <c r="K256" s="5">
        <v>0.1364</v>
      </c>
      <c r="L256" s="5">
        <v>0.4</v>
      </c>
      <c r="M256" s="5">
        <v>0.3284</v>
      </c>
      <c r="N256" s="5">
        <v>3</v>
      </c>
      <c r="O256" s="5">
        <v>53</v>
      </c>
      <c r="P256" s="5">
        <v>56</v>
      </c>
    </row>
    <row r="257" spans="1:16">
      <c r="A257" s="5">
        <v>875</v>
      </c>
      <c r="B257" s="11">
        <v>40582</v>
      </c>
      <c r="C257" s="5">
        <v>1</v>
      </c>
      <c r="D257" s="5">
        <v>0</v>
      </c>
      <c r="E257" s="5">
        <v>2</v>
      </c>
      <c r="F257" s="5">
        <v>21</v>
      </c>
      <c r="G257" s="5" t="b">
        <v>0</v>
      </c>
      <c r="H257" s="5">
        <v>2</v>
      </c>
      <c r="I257" s="5">
        <v>1</v>
      </c>
      <c r="J257" s="5">
        <v>0.14</v>
      </c>
      <c r="K257" s="5">
        <v>0.1061</v>
      </c>
      <c r="L257" s="5">
        <v>0.33</v>
      </c>
      <c r="M257" s="5">
        <v>0.4627</v>
      </c>
      <c r="N257" s="5">
        <v>8</v>
      </c>
      <c r="O257" s="5">
        <v>46</v>
      </c>
      <c r="P257" s="5">
        <v>54</v>
      </c>
    </row>
    <row r="258" spans="1:16">
      <c r="A258" s="5">
        <v>876</v>
      </c>
      <c r="B258" s="11">
        <v>40582</v>
      </c>
      <c r="C258" s="5">
        <v>1</v>
      </c>
      <c r="D258" s="5">
        <v>0</v>
      </c>
      <c r="E258" s="5">
        <v>2</v>
      </c>
      <c r="F258" s="5">
        <v>22</v>
      </c>
      <c r="G258" s="5" t="b">
        <v>0</v>
      </c>
      <c r="H258" s="5">
        <v>2</v>
      </c>
      <c r="I258" s="5">
        <v>1</v>
      </c>
      <c r="J258" s="5">
        <v>0.12</v>
      </c>
      <c r="K258" s="5">
        <v>0.1061</v>
      </c>
      <c r="L258" s="5">
        <v>0.33</v>
      </c>
      <c r="M258" s="5">
        <v>0.3582</v>
      </c>
      <c r="N258" s="5">
        <v>0</v>
      </c>
      <c r="O258" s="5">
        <v>29</v>
      </c>
      <c r="P258" s="5">
        <v>29</v>
      </c>
    </row>
    <row r="259" spans="1:16">
      <c r="A259" s="5">
        <v>877</v>
      </c>
      <c r="B259" s="11">
        <v>40582</v>
      </c>
      <c r="C259" s="5">
        <v>1</v>
      </c>
      <c r="D259" s="5">
        <v>0</v>
      </c>
      <c r="E259" s="5">
        <v>2</v>
      </c>
      <c r="F259" s="5">
        <v>23</v>
      </c>
      <c r="G259" s="5" t="b">
        <v>0</v>
      </c>
      <c r="H259" s="5">
        <v>2</v>
      </c>
      <c r="I259" s="5">
        <v>1</v>
      </c>
      <c r="J259" s="5">
        <v>0.12</v>
      </c>
      <c r="K259" s="5">
        <v>0.1061</v>
      </c>
      <c r="L259" s="5">
        <v>0.33</v>
      </c>
      <c r="M259" s="5">
        <v>0.3284</v>
      </c>
      <c r="N259" s="5">
        <v>3</v>
      </c>
      <c r="O259" s="5">
        <v>9</v>
      </c>
      <c r="P259" s="5">
        <v>12</v>
      </c>
    </row>
    <row r="260" spans="1:16">
      <c r="A260" s="5">
        <v>878</v>
      </c>
      <c r="B260" s="11">
        <v>40583</v>
      </c>
      <c r="C260" s="5">
        <v>1</v>
      </c>
      <c r="D260" s="5">
        <v>0</v>
      </c>
      <c r="E260" s="5">
        <v>2</v>
      </c>
      <c r="F260" s="5">
        <v>0</v>
      </c>
      <c r="G260" s="5" t="b">
        <v>0</v>
      </c>
      <c r="H260" s="5">
        <v>3</v>
      </c>
      <c r="I260" s="5">
        <v>1</v>
      </c>
      <c r="J260" s="5">
        <v>0.1</v>
      </c>
      <c r="K260" s="5">
        <v>0.07580000000000001</v>
      </c>
      <c r="L260" s="5">
        <v>0.36</v>
      </c>
      <c r="M260" s="5">
        <v>0.3582</v>
      </c>
      <c r="N260" s="5">
        <v>0</v>
      </c>
      <c r="O260" s="5">
        <v>17</v>
      </c>
      <c r="P260" s="5">
        <v>17</v>
      </c>
    </row>
    <row r="261" spans="1:16">
      <c r="A261" s="5">
        <v>879</v>
      </c>
      <c r="B261" s="11">
        <v>40583</v>
      </c>
      <c r="C261" s="5">
        <v>1</v>
      </c>
      <c r="D261" s="5">
        <v>0</v>
      </c>
      <c r="E261" s="5">
        <v>2</v>
      </c>
      <c r="F261" s="5">
        <v>1</v>
      </c>
      <c r="G261" s="5" t="b">
        <v>0</v>
      </c>
      <c r="H261" s="5">
        <v>3</v>
      </c>
      <c r="I261" s="5">
        <v>1</v>
      </c>
      <c r="J261" s="5">
        <v>0.1</v>
      </c>
      <c r="K261" s="5">
        <v>0.1061</v>
      </c>
      <c r="L261" s="5">
        <v>0.36</v>
      </c>
      <c r="M261" s="5">
        <v>0.2239</v>
      </c>
      <c r="N261" s="5">
        <v>0</v>
      </c>
      <c r="O261" s="5">
        <v>7</v>
      </c>
      <c r="P261" s="5">
        <v>7</v>
      </c>
    </row>
    <row r="262" spans="1:16">
      <c r="A262" s="5">
        <v>880</v>
      </c>
      <c r="B262" s="11">
        <v>40583</v>
      </c>
      <c r="C262" s="5">
        <v>1</v>
      </c>
      <c r="D262" s="5">
        <v>0</v>
      </c>
      <c r="E262" s="5">
        <v>2</v>
      </c>
      <c r="F262" s="5">
        <v>2</v>
      </c>
      <c r="G262" s="5" t="b">
        <v>0</v>
      </c>
      <c r="H262" s="5">
        <v>3</v>
      </c>
      <c r="I262" s="5">
        <v>1</v>
      </c>
      <c r="J262" s="5">
        <v>0.08</v>
      </c>
      <c r="K262" s="5">
        <v>0.07580000000000001</v>
      </c>
      <c r="L262" s="5">
        <v>0.38</v>
      </c>
      <c r="M262" s="5">
        <v>0.2836</v>
      </c>
      <c r="N262" s="5">
        <v>1</v>
      </c>
      <c r="O262" s="5">
        <v>2</v>
      </c>
      <c r="P262" s="5">
        <v>3</v>
      </c>
    </row>
    <row r="263" spans="1:16">
      <c r="A263" s="5">
        <v>881</v>
      </c>
      <c r="B263" s="11">
        <v>40583</v>
      </c>
      <c r="C263" s="5">
        <v>1</v>
      </c>
      <c r="D263" s="5">
        <v>0</v>
      </c>
      <c r="E263" s="5">
        <v>2</v>
      </c>
      <c r="F263" s="5">
        <v>3</v>
      </c>
      <c r="G263" s="5" t="b">
        <v>0</v>
      </c>
      <c r="H263" s="5">
        <v>3</v>
      </c>
      <c r="I263" s="5">
        <v>1</v>
      </c>
      <c r="J263" s="5">
        <v>0.06</v>
      </c>
      <c r="K263" s="5">
        <v>0.07580000000000001</v>
      </c>
      <c r="L263" s="5">
        <v>0.45</v>
      </c>
      <c r="M263" s="5">
        <v>0.1343</v>
      </c>
      <c r="N263" s="5">
        <v>0</v>
      </c>
      <c r="O263" s="5">
        <v>2</v>
      </c>
      <c r="P263" s="5">
        <v>2</v>
      </c>
    </row>
    <row r="264" spans="1:16">
      <c r="A264" s="5">
        <v>882</v>
      </c>
      <c r="B264" s="11">
        <v>40583</v>
      </c>
      <c r="C264" s="5">
        <v>1</v>
      </c>
      <c r="D264" s="5">
        <v>0</v>
      </c>
      <c r="E264" s="5">
        <v>2</v>
      </c>
      <c r="F264" s="5">
        <v>5</v>
      </c>
      <c r="G264" s="5" t="b">
        <v>0</v>
      </c>
      <c r="H264" s="5">
        <v>3</v>
      </c>
      <c r="I264" s="5">
        <v>1</v>
      </c>
      <c r="J264" s="5">
        <v>0.06</v>
      </c>
      <c r="K264" s="5">
        <v>0.1061</v>
      </c>
      <c r="L264" s="5">
        <v>0.45</v>
      </c>
      <c r="M264" s="5">
        <v>0.1045</v>
      </c>
      <c r="N264" s="5">
        <v>0</v>
      </c>
      <c r="O264" s="5">
        <v>7</v>
      </c>
      <c r="P264" s="5">
        <v>7</v>
      </c>
    </row>
    <row r="265" spans="1:16">
      <c r="A265" s="5">
        <v>883</v>
      </c>
      <c r="B265" s="11">
        <v>40583</v>
      </c>
      <c r="C265" s="5">
        <v>1</v>
      </c>
      <c r="D265" s="5">
        <v>0</v>
      </c>
      <c r="E265" s="5">
        <v>2</v>
      </c>
      <c r="F265" s="5">
        <v>6</v>
      </c>
      <c r="G265" s="5" t="b">
        <v>0</v>
      </c>
      <c r="H265" s="5">
        <v>3</v>
      </c>
      <c r="I265" s="5">
        <v>1</v>
      </c>
      <c r="J265" s="5">
        <v>0.06</v>
      </c>
      <c r="K265" s="5">
        <v>0.1515</v>
      </c>
      <c r="L265" s="5">
        <v>0.45</v>
      </c>
      <c r="M265" s="5">
        <v>0</v>
      </c>
      <c r="N265" s="5">
        <v>0</v>
      </c>
      <c r="O265" s="5">
        <v>43</v>
      </c>
      <c r="P265" s="5">
        <v>43</v>
      </c>
    </row>
    <row r="266" spans="1:16">
      <c r="A266" s="5">
        <v>884</v>
      </c>
      <c r="B266" s="11">
        <v>40583</v>
      </c>
      <c r="C266" s="5">
        <v>1</v>
      </c>
      <c r="D266" s="5">
        <v>0</v>
      </c>
      <c r="E266" s="5">
        <v>2</v>
      </c>
      <c r="F266" s="5">
        <v>7</v>
      </c>
      <c r="G266" s="5" t="b">
        <v>0</v>
      </c>
      <c r="H266" s="5">
        <v>3</v>
      </c>
      <c r="I266" s="5">
        <v>1</v>
      </c>
      <c r="J266" s="5">
        <v>0.06</v>
      </c>
      <c r="K266" s="5">
        <v>0.1061</v>
      </c>
      <c r="L266" s="5">
        <v>0.49</v>
      </c>
      <c r="M266" s="5">
        <v>0.1045</v>
      </c>
      <c r="N266" s="5">
        <v>4</v>
      </c>
      <c r="O266" s="5">
        <v>95</v>
      </c>
      <c r="P266" s="5">
        <v>99</v>
      </c>
    </row>
    <row r="267" spans="1:16">
      <c r="A267" s="5">
        <v>885</v>
      </c>
      <c r="B267" s="11">
        <v>40583</v>
      </c>
      <c r="C267" s="5">
        <v>1</v>
      </c>
      <c r="D267" s="5">
        <v>0</v>
      </c>
      <c r="E267" s="5">
        <v>2</v>
      </c>
      <c r="F267" s="5">
        <v>8</v>
      </c>
      <c r="G267" s="5" t="b">
        <v>0</v>
      </c>
      <c r="H267" s="5">
        <v>3</v>
      </c>
      <c r="I267" s="5">
        <v>1</v>
      </c>
      <c r="J267" s="5">
        <v>0.1</v>
      </c>
      <c r="K267" s="5">
        <v>0.1364</v>
      </c>
      <c r="L267" s="5">
        <v>0.42</v>
      </c>
      <c r="M267" s="5">
        <v>0</v>
      </c>
      <c r="N267" s="5">
        <v>1</v>
      </c>
      <c r="O267" s="5">
        <v>198</v>
      </c>
      <c r="P267" s="5">
        <v>199</v>
      </c>
    </row>
    <row r="268" spans="1:16">
      <c r="A268" s="5">
        <v>886</v>
      </c>
      <c r="B268" s="11">
        <v>40583</v>
      </c>
      <c r="C268" s="5">
        <v>1</v>
      </c>
      <c r="D268" s="5">
        <v>0</v>
      </c>
      <c r="E268" s="5">
        <v>2</v>
      </c>
      <c r="F268" s="5">
        <v>9</v>
      </c>
      <c r="G268" s="5" t="b">
        <v>0</v>
      </c>
      <c r="H268" s="5">
        <v>3</v>
      </c>
      <c r="I268" s="5">
        <v>1</v>
      </c>
      <c r="J268" s="5">
        <v>0.12</v>
      </c>
      <c r="K268" s="5">
        <v>0.1364</v>
      </c>
      <c r="L268" s="5">
        <v>0.39</v>
      </c>
      <c r="M268" s="5">
        <v>0.1642</v>
      </c>
      <c r="N268" s="5">
        <v>4</v>
      </c>
      <c r="O268" s="5">
        <v>119</v>
      </c>
      <c r="P268" s="5">
        <v>123</v>
      </c>
    </row>
    <row r="269" spans="1:16">
      <c r="A269" s="5">
        <v>887</v>
      </c>
      <c r="B269" s="11">
        <v>40583</v>
      </c>
      <c r="C269" s="5">
        <v>1</v>
      </c>
      <c r="D269" s="5">
        <v>0</v>
      </c>
      <c r="E269" s="5">
        <v>2</v>
      </c>
      <c r="F269" s="5">
        <v>10</v>
      </c>
      <c r="G269" s="5" t="b">
        <v>0</v>
      </c>
      <c r="H269" s="5">
        <v>3</v>
      </c>
      <c r="I269" s="5">
        <v>1</v>
      </c>
      <c r="J269" s="5">
        <v>0.14</v>
      </c>
      <c r="K269" s="5">
        <v>0.1818</v>
      </c>
      <c r="L269" s="5">
        <v>0.36</v>
      </c>
      <c r="M269" s="5">
        <v>0</v>
      </c>
      <c r="N269" s="5">
        <v>8</v>
      </c>
      <c r="O269" s="5">
        <v>51</v>
      </c>
      <c r="P269" s="5">
        <v>59</v>
      </c>
    </row>
    <row r="270" spans="1:16">
      <c r="A270" s="5">
        <v>888</v>
      </c>
      <c r="B270" s="11">
        <v>40583</v>
      </c>
      <c r="C270" s="5">
        <v>1</v>
      </c>
      <c r="D270" s="5">
        <v>0</v>
      </c>
      <c r="E270" s="5">
        <v>2</v>
      </c>
      <c r="F270" s="5">
        <v>11</v>
      </c>
      <c r="G270" s="5" t="b">
        <v>0</v>
      </c>
      <c r="H270" s="5">
        <v>3</v>
      </c>
      <c r="I270" s="5">
        <v>2</v>
      </c>
      <c r="J270" s="5">
        <v>0.14</v>
      </c>
      <c r="K270" s="5">
        <v>0.1515</v>
      </c>
      <c r="L270" s="5">
        <v>0.43</v>
      </c>
      <c r="M270" s="5">
        <v>0.1642</v>
      </c>
      <c r="N270" s="5">
        <v>1</v>
      </c>
      <c r="O270" s="5">
        <v>40</v>
      </c>
      <c r="P270" s="5">
        <v>41</v>
      </c>
    </row>
    <row r="271" spans="1:16">
      <c r="A271" s="5">
        <v>889</v>
      </c>
      <c r="B271" s="11">
        <v>40583</v>
      </c>
      <c r="C271" s="5">
        <v>1</v>
      </c>
      <c r="D271" s="5">
        <v>0</v>
      </c>
      <c r="E271" s="5">
        <v>2</v>
      </c>
      <c r="F271" s="5">
        <v>12</v>
      </c>
      <c r="G271" s="5" t="b">
        <v>0</v>
      </c>
      <c r="H271" s="5">
        <v>3</v>
      </c>
      <c r="I271" s="5">
        <v>2</v>
      </c>
      <c r="J271" s="5">
        <v>0.18</v>
      </c>
      <c r="K271" s="5">
        <v>0.1818</v>
      </c>
      <c r="L271" s="5">
        <v>0.4</v>
      </c>
      <c r="M271" s="5">
        <v>0.2239</v>
      </c>
      <c r="N271" s="5">
        <v>4</v>
      </c>
      <c r="O271" s="5">
        <v>57</v>
      </c>
      <c r="P271" s="5">
        <v>61</v>
      </c>
    </row>
    <row r="272" spans="1:16">
      <c r="A272" s="5">
        <v>890</v>
      </c>
      <c r="B272" s="11">
        <v>40583</v>
      </c>
      <c r="C272" s="5">
        <v>1</v>
      </c>
      <c r="D272" s="5">
        <v>0</v>
      </c>
      <c r="E272" s="5">
        <v>2</v>
      </c>
      <c r="F272" s="5">
        <v>13</v>
      </c>
      <c r="G272" s="5" t="b">
        <v>0</v>
      </c>
      <c r="H272" s="5">
        <v>3</v>
      </c>
      <c r="I272" s="5">
        <v>1</v>
      </c>
      <c r="J272" s="5">
        <v>0.18</v>
      </c>
      <c r="K272" s="5">
        <v>0.1667</v>
      </c>
      <c r="L272" s="5">
        <v>0.4</v>
      </c>
      <c r="M272" s="5">
        <v>0.2537</v>
      </c>
      <c r="N272" s="5">
        <v>2</v>
      </c>
      <c r="O272" s="5">
        <v>67</v>
      </c>
      <c r="P272" s="5">
        <v>69</v>
      </c>
    </row>
    <row r="273" spans="1:16">
      <c r="A273" s="5">
        <v>891</v>
      </c>
      <c r="B273" s="11">
        <v>40583</v>
      </c>
      <c r="C273" s="5">
        <v>1</v>
      </c>
      <c r="D273" s="5">
        <v>0</v>
      </c>
      <c r="E273" s="5">
        <v>2</v>
      </c>
      <c r="F273" s="5">
        <v>14</v>
      </c>
      <c r="G273" s="5" t="b">
        <v>0</v>
      </c>
      <c r="H273" s="5">
        <v>3</v>
      </c>
      <c r="I273" s="5">
        <v>1</v>
      </c>
      <c r="J273" s="5">
        <v>0.2</v>
      </c>
      <c r="K273" s="5">
        <v>0.1818</v>
      </c>
      <c r="L273" s="5">
        <v>0.34</v>
      </c>
      <c r="M273" s="5">
        <v>0.2985</v>
      </c>
      <c r="N273" s="5">
        <v>2</v>
      </c>
      <c r="O273" s="5">
        <v>56</v>
      </c>
      <c r="P273" s="5">
        <v>58</v>
      </c>
    </row>
    <row r="274" spans="1:16">
      <c r="A274" s="5">
        <v>892</v>
      </c>
      <c r="B274" s="11">
        <v>40583</v>
      </c>
      <c r="C274" s="5">
        <v>1</v>
      </c>
      <c r="D274" s="5">
        <v>0</v>
      </c>
      <c r="E274" s="5">
        <v>2</v>
      </c>
      <c r="F274" s="5">
        <v>15</v>
      </c>
      <c r="G274" s="5" t="b">
        <v>0</v>
      </c>
      <c r="H274" s="5">
        <v>3</v>
      </c>
      <c r="I274" s="5">
        <v>2</v>
      </c>
      <c r="J274" s="5">
        <v>0.2</v>
      </c>
      <c r="K274" s="5">
        <v>0.1818</v>
      </c>
      <c r="L274" s="5">
        <v>0.34</v>
      </c>
      <c r="M274" s="5">
        <v>0.2836</v>
      </c>
      <c r="N274" s="5">
        <v>3</v>
      </c>
      <c r="O274" s="5">
        <v>61</v>
      </c>
      <c r="P274" s="5">
        <v>64</v>
      </c>
    </row>
    <row r="275" spans="1:16">
      <c r="A275" s="5">
        <v>893</v>
      </c>
      <c r="B275" s="11">
        <v>40583</v>
      </c>
      <c r="C275" s="5">
        <v>1</v>
      </c>
      <c r="D275" s="5">
        <v>0</v>
      </c>
      <c r="E275" s="5">
        <v>2</v>
      </c>
      <c r="F275" s="5">
        <v>16</v>
      </c>
      <c r="G275" s="5" t="b">
        <v>0</v>
      </c>
      <c r="H275" s="5">
        <v>3</v>
      </c>
      <c r="I275" s="5">
        <v>2</v>
      </c>
      <c r="J275" s="5">
        <v>0.2</v>
      </c>
      <c r="K275" s="5">
        <v>0.197</v>
      </c>
      <c r="L275" s="5">
        <v>0.37</v>
      </c>
      <c r="M275" s="5">
        <v>0.2537</v>
      </c>
      <c r="N275" s="5">
        <v>7</v>
      </c>
      <c r="O275" s="5">
        <v>72</v>
      </c>
      <c r="P275" s="5">
        <v>79</v>
      </c>
    </row>
    <row r="276" spans="1:16">
      <c r="A276" s="5">
        <v>894</v>
      </c>
      <c r="B276" s="11">
        <v>40583</v>
      </c>
      <c r="C276" s="5">
        <v>1</v>
      </c>
      <c r="D276" s="5">
        <v>0</v>
      </c>
      <c r="E276" s="5">
        <v>2</v>
      </c>
      <c r="F276" s="5">
        <v>17</v>
      </c>
      <c r="G276" s="5" t="b">
        <v>0</v>
      </c>
      <c r="H276" s="5">
        <v>3</v>
      </c>
      <c r="I276" s="5">
        <v>2</v>
      </c>
      <c r="J276" s="5">
        <v>0.2</v>
      </c>
      <c r="K276" s="5">
        <v>0.197</v>
      </c>
      <c r="L276" s="5">
        <v>0.34</v>
      </c>
      <c r="M276" s="5">
        <v>0.2537</v>
      </c>
      <c r="N276" s="5">
        <v>9</v>
      </c>
      <c r="O276" s="5">
        <v>157</v>
      </c>
      <c r="P276" s="5">
        <v>166</v>
      </c>
    </row>
    <row r="277" spans="1:16">
      <c r="A277" s="5">
        <v>895</v>
      </c>
      <c r="B277" s="11">
        <v>40583</v>
      </c>
      <c r="C277" s="5">
        <v>1</v>
      </c>
      <c r="D277" s="5">
        <v>0</v>
      </c>
      <c r="E277" s="5">
        <v>2</v>
      </c>
      <c r="F277" s="5">
        <v>18</v>
      </c>
      <c r="G277" s="5" t="b">
        <v>0</v>
      </c>
      <c r="H277" s="5">
        <v>3</v>
      </c>
      <c r="I277" s="5">
        <v>2</v>
      </c>
      <c r="J277" s="5">
        <v>0.18</v>
      </c>
      <c r="K277" s="5">
        <v>0.1667</v>
      </c>
      <c r="L277" s="5">
        <v>0.47</v>
      </c>
      <c r="M277" s="5">
        <v>0.2985</v>
      </c>
      <c r="N277" s="5">
        <v>2</v>
      </c>
      <c r="O277" s="5">
        <v>168</v>
      </c>
      <c r="P277" s="5">
        <v>170</v>
      </c>
    </row>
    <row r="278" spans="1:16">
      <c r="A278" s="5">
        <v>896</v>
      </c>
      <c r="B278" s="11">
        <v>40583</v>
      </c>
      <c r="C278" s="5">
        <v>1</v>
      </c>
      <c r="D278" s="5">
        <v>0</v>
      </c>
      <c r="E278" s="5">
        <v>2</v>
      </c>
      <c r="F278" s="5">
        <v>19</v>
      </c>
      <c r="G278" s="5" t="b">
        <v>0</v>
      </c>
      <c r="H278" s="5">
        <v>3</v>
      </c>
      <c r="I278" s="5">
        <v>3</v>
      </c>
      <c r="J278" s="5">
        <v>0.14</v>
      </c>
      <c r="K278" s="5">
        <v>0.1212</v>
      </c>
      <c r="L278" s="5">
        <v>0.86</v>
      </c>
      <c r="M278" s="5">
        <v>0.2537</v>
      </c>
      <c r="N278" s="5">
        <v>1</v>
      </c>
      <c r="O278" s="5">
        <v>87</v>
      </c>
      <c r="P278" s="5">
        <v>88</v>
      </c>
    </row>
    <row r="279" spans="1:16">
      <c r="A279" s="5">
        <v>897</v>
      </c>
      <c r="B279" s="11">
        <v>40583</v>
      </c>
      <c r="C279" s="5">
        <v>1</v>
      </c>
      <c r="D279" s="5">
        <v>0</v>
      </c>
      <c r="E279" s="5">
        <v>2</v>
      </c>
      <c r="F279" s="5">
        <v>20</v>
      </c>
      <c r="G279" s="5" t="b">
        <v>0</v>
      </c>
      <c r="H279" s="5">
        <v>3</v>
      </c>
      <c r="I279" s="5">
        <v>3</v>
      </c>
      <c r="J279" s="5">
        <v>0.14</v>
      </c>
      <c r="K279" s="5">
        <v>0.1515</v>
      </c>
      <c r="L279" s="5">
        <v>0.86</v>
      </c>
      <c r="M279" s="5">
        <v>0.1642</v>
      </c>
      <c r="N279" s="5">
        <v>0</v>
      </c>
      <c r="O279" s="5">
        <v>84</v>
      </c>
      <c r="P279" s="5">
        <v>84</v>
      </c>
    </row>
    <row r="280" spans="1:16">
      <c r="A280" s="5">
        <v>898</v>
      </c>
      <c r="B280" s="11">
        <v>40583</v>
      </c>
      <c r="C280" s="5">
        <v>1</v>
      </c>
      <c r="D280" s="5">
        <v>0</v>
      </c>
      <c r="E280" s="5">
        <v>2</v>
      </c>
      <c r="F280" s="5">
        <v>21</v>
      </c>
      <c r="G280" s="5" t="b">
        <v>0</v>
      </c>
      <c r="H280" s="5">
        <v>3</v>
      </c>
      <c r="I280" s="5">
        <v>2</v>
      </c>
      <c r="J280" s="5">
        <v>0.14</v>
      </c>
      <c r="K280" s="5">
        <v>0.1515</v>
      </c>
      <c r="L280" s="5">
        <v>0.86</v>
      </c>
      <c r="M280" s="5">
        <v>0.1642</v>
      </c>
      <c r="N280" s="5">
        <v>0</v>
      </c>
      <c r="O280" s="5">
        <v>83</v>
      </c>
      <c r="P280" s="5">
        <v>83</v>
      </c>
    </row>
    <row r="281" spans="1:16">
      <c r="A281" s="5">
        <v>899</v>
      </c>
      <c r="B281" s="11">
        <v>40583</v>
      </c>
      <c r="C281" s="5">
        <v>1</v>
      </c>
      <c r="D281" s="5">
        <v>0</v>
      </c>
      <c r="E281" s="5">
        <v>2</v>
      </c>
      <c r="F281" s="5">
        <v>22</v>
      </c>
      <c r="G281" s="5" t="b">
        <v>0</v>
      </c>
      <c r="H281" s="5">
        <v>3</v>
      </c>
      <c r="I281" s="5">
        <v>3</v>
      </c>
      <c r="J281" s="5">
        <v>0.16</v>
      </c>
      <c r="K281" s="5">
        <v>0.1667</v>
      </c>
      <c r="L281" s="5">
        <v>0.8</v>
      </c>
      <c r="M281" s="5">
        <v>0.1642</v>
      </c>
      <c r="N281" s="5">
        <v>4</v>
      </c>
      <c r="O281" s="5">
        <v>42</v>
      </c>
      <c r="P281" s="5">
        <v>46</v>
      </c>
    </row>
    <row r="282" spans="1:16">
      <c r="A282" s="5">
        <v>900</v>
      </c>
      <c r="B282" s="11">
        <v>40583</v>
      </c>
      <c r="C282" s="5">
        <v>1</v>
      </c>
      <c r="D282" s="5">
        <v>0</v>
      </c>
      <c r="E282" s="5">
        <v>2</v>
      </c>
      <c r="F282" s="5">
        <v>23</v>
      </c>
      <c r="G282" s="5" t="b">
        <v>0</v>
      </c>
      <c r="H282" s="5">
        <v>3</v>
      </c>
      <c r="I282" s="5">
        <v>3</v>
      </c>
      <c r="J282" s="5">
        <v>0.16</v>
      </c>
      <c r="K282" s="5">
        <v>0.1515</v>
      </c>
      <c r="L282" s="5">
        <v>0.8</v>
      </c>
      <c r="M282" s="5">
        <v>0.194</v>
      </c>
      <c r="N282" s="5">
        <v>0</v>
      </c>
      <c r="O282" s="5">
        <v>37</v>
      </c>
      <c r="P282" s="5">
        <v>37</v>
      </c>
    </row>
    <row r="283" spans="1:16">
      <c r="A283" s="5">
        <v>901</v>
      </c>
      <c r="B283" s="11">
        <v>40584</v>
      </c>
      <c r="C283" s="5">
        <v>1</v>
      </c>
      <c r="D283" s="5">
        <v>0</v>
      </c>
      <c r="E283" s="5">
        <v>2</v>
      </c>
      <c r="F283" s="5">
        <v>0</v>
      </c>
      <c r="G283" s="5" t="b">
        <v>0</v>
      </c>
      <c r="H283" s="5">
        <v>4</v>
      </c>
      <c r="I283" s="5">
        <v>3</v>
      </c>
      <c r="J283" s="5">
        <v>0.14</v>
      </c>
      <c r="K283" s="5">
        <v>0.1364</v>
      </c>
      <c r="L283" s="5">
        <v>0.86</v>
      </c>
      <c r="M283" s="5">
        <v>0.194</v>
      </c>
      <c r="N283" s="5">
        <v>0</v>
      </c>
      <c r="O283" s="5">
        <v>16</v>
      </c>
      <c r="P283" s="5">
        <v>16</v>
      </c>
    </row>
    <row r="284" spans="1:16">
      <c r="A284" s="5">
        <v>902</v>
      </c>
      <c r="B284" s="11">
        <v>40584</v>
      </c>
      <c r="C284" s="5">
        <v>1</v>
      </c>
      <c r="D284" s="5">
        <v>0</v>
      </c>
      <c r="E284" s="5">
        <v>2</v>
      </c>
      <c r="F284" s="5">
        <v>1</v>
      </c>
      <c r="G284" s="5" t="b">
        <v>0</v>
      </c>
      <c r="H284" s="5">
        <v>4</v>
      </c>
      <c r="I284" s="5">
        <v>3</v>
      </c>
      <c r="J284" s="5">
        <v>0.14</v>
      </c>
      <c r="K284" s="5">
        <v>0.1515</v>
      </c>
      <c r="L284" s="5">
        <v>0.8</v>
      </c>
      <c r="M284" s="5">
        <v>0.1343</v>
      </c>
      <c r="N284" s="5">
        <v>0</v>
      </c>
      <c r="O284" s="5">
        <v>7</v>
      </c>
      <c r="P284" s="5">
        <v>7</v>
      </c>
    </row>
    <row r="285" spans="1:16">
      <c r="A285" s="5">
        <v>903</v>
      </c>
      <c r="B285" s="11">
        <v>40584</v>
      </c>
      <c r="C285" s="5">
        <v>1</v>
      </c>
      <c r="D285" s="5">
        <v>0</v>
      </c>
      <c r="E285" s="5">
        <v>2</v>
      </c>
      <c r="F285" s="5">
        <v>2</v>
      </c>
      <c r="G285" s="5" t="b">
        <v>0</v>
      </c>
      <c r="H285" s="5">
        <v>4</v>
      </c>
      <c r="I285" s="5">
        <v>3</v>
      </c>
      <c r="J285" s="5">
        <v>0.14</v>
      </c>
      <c r="K285" s="5">
        <v>0.1515</v>
      </c>
      <c r="L285" s="5">
        <v>0.8</v>
      </c>
      <c r="M285" s="5">
        <v>0.1343</v>
      </c>
      <c r="N285" s="5">
        <v>0</v>
      </c>
      <c r="O285" s="5">
        <v>3</v>
      </c>
      <c r="P285" s="5">
        <v>3</v>
      </c>
    </row>
    <row r="286" spans="1:16">
      <c r="A286" s="5">
        <v>904</v>
      </c>
      <c r="B286" s="11">
        <v>40584</v>
      </c>
      <c r="C286" s="5">
        <v>1</v>
      </c>
      <c r="D286" s="5">
        <v>0</v>
      </c>
      <c r="E286" s="5">
        <v>2</v>
      </c>
      <c r="F286" s="5">
        <v>4</v>
      </c>
      <c r="G286" s="5" t="b">
        <v>0</v>
      </c>
      <c r="H286" s="5">
        <v>4</v>
      </c>
      <c r="I286" s="5">
        <v>2</v>
      </c>
      <c r="J286" s="5">
        <v>0.14</v>
      </c>
      <c r="K286" s="5">
        <v>0.1364</v>
      </c>
      <c r="L286" s="5">
        <v>0.59</v>
      </c>
      <c r="M286" s="5">
        <v>0.2239</v>
      </c>
      <c r="N286" s="5">
        <v>0</v>
      </c>
      <c r="O286" s="5">
        <v>1</v>
      </c>
      <c r="P286" s="5">
        <v>1</v>
      </c>
    </row>
    <row r="287" spans="1:16">
      <c r="A287" s="5">
        <v>905</v>
      </c>
      <c r="B287" s="11">
        <v>40584</v>
      </c>
      <c r="C287" s="5">
        <v>1</v>
      </c>
      <c r="D287" s="5">
        <v>0</v>
      </c>
      <c r="E287" s="5">
        <v>2</v>
      </c>
      <c r="F287" s="5">
        <v>5</v>
      </c>
      <c r="G287" s="5" t="b">
        <v>0</v>
      </c>
      <c r="H287" s="5">
        <v>4</v>
      </c>
      <c r="I287" s="5">
        <v>2</v>
      </c>
      <c r="J287" s="5">
        <v>0.12</v>
      </c>
      <c r="K287" s="5">
        <v>0.1212</v>
      </c>
      <c r="L287" s="5">
        <v>0.5</v>
      </c>
      <c r="M287" s="5">
        <v>0.2239</v>
      </c>
      <c r="N287" s="5">
        <v>0</v>
      </c>
      <c r="O287" s="5">
        <v>6</v>
      </c>
      <c r="P287" s="5">
        <v>6</v>
      </c>
    </row>
    <row r="288" spans="1:16">
      <c r="A288" s="5">
        <v>906</v>
      </c>
      <c r="B288" s="11">
        <v>40584</v>
      </c>
      <c r="C288" s="5">
        <v>1</v>
      </c>
      <c r="D288" s="5">
        <v>0</v>
      </c>
      <c r="E288" s="5">
        <v>2</v>
      </c>
      <c r="F288" s="5">
        <v>6</v>
      </c>
      <c r="G288" s="5" t="b">
        <v>0</v>
      </c>
      <c r="H288" s="5">
        <v>4</v>
      </c>
      <c r="I288" s="5">
        <v>2</v>
      </c>
      <c r="J288" s="5">
        <v>0.12</v>
      </c>
      <c r="K288" s="5">
        <v>0.1212</v>
      </c>
      <c r="L288" s="5">
        <v>0.54</v>
      </c>
      <c r="M288" s="5">
        <v>0.2836</v>
      </c>
      <c r="N288" s="5">
        <v>0</v>
      </c>
      <c r="O288" s="5">
        <v>26</v>
      </c>
      <c r="P288" s="5">
        <v>26</v>
      </c>
    </row>
    <row r="289" spans="1:16">
      <c r="A289" s="5">
        <v>907</v>
      </c>
      <c r="B289" s="11">
        <v>40584</v>
      </c>
      <c r="C289" s="5">
        <v>1</v>
      </c>
      <c r="D289" s="5">
        <v>0</v>
      </c>
      <c r="E289" s="5">
        <v>2</v>
      </c>
      <c r="F289" s="5">
        <v>7</v>
      </c>
      <c r="G289" s="5" t="b">
        <v>0</v>
      </c>
      <c r="H289" s="5">
        <v>4</v>
      </c>
      <c r="I289" s="5">
        <v>1</v>
      </c>
      <c r="J289" s="5">
        <v>0.1</v>
      </c>
      <c r="K289" s="5">
        <v>0.07580000000000001</v>
      </c>
      <c r="L289" s="5">
        <v>0.5</v>
      </c>
      <c r="M289" s="5">
        <v>0.4179</v>
      </c>
      <c r="N289" s="5">
        <v>0</v>
      </c>
      <c r="O289" s="5">
        <v>99</v>
      </c>
      <c r="P289" s="5">
        <v>99</v>
      </c>
    </row>
    <row r="290" spans="1:16">
      <c r="A290" s="5">
        <v>908</v>
      </c>
      <c r="B290" s="11">
        <v>40584</v>
      </c>
      <c r="C290" s="5">
        <v>1</v>
      </c>
      <c r="D290" s="5">
        <v>0</v>
      </c>
      <c r="E290" s="5">
        <v>2</v>
      </c>
      <c r="F290" s="5">
        <v>8</v>
      </c>
      <c r="G290" s="5" t="b">
        <v>0</v>
      </c>
      <c r="H290" s="5">
        <v>4</v>
      </c>
      <c r="I290" s="5">
        <v>1</v>
      </c>
      <c r="J290" s="5">
        <v>0.1</v>
      </c>
      <c r="K290" s="5">
        <v>0.07580000000000001</v>
      </c>
      <c r="L290" s="5">
        <v>0.49</v>
      </c>
      <c r="M290" s="5">
        <v>0.3284</v>
      </c>
      <c r="N290" s="5">
        <v>5</v>
      </c>
      <c r="O290" s="5">
        <v>173</v>
      </c>
      <c r="P290" s="5">
        <v>178</v>
      </c>
    </row>
    <row r="291" spans="1:16">
      <c r="A291" s="5">
        <v>909</v>
      </c>
      <c r="B291" s="11">
        <v>40584</v>
      </c>
      <c r="C291" s="5">
        <v>1</v>
      </c>
      <c r="D291" s="5">
        <v>0</v>
      </c>
      <c r="E291" s="5">
        <v>2</v>
      </c>
      <c r="F291" s="5">
        <v>9</v>
      </c>
      <c r="G291" s="5" t="b">
        <v>0</v>
      </c>
      <c r="H291" s="5">
        <v>4</v>
      </c>
      <c r="I291" s="5">
        <v>1</v>
      </c>
      <c r="J291" s="5">
        <v>0.12</v>
      </c>
      <c r="K291" s="5">
        <v>0.1061</v>
      </c>
      <c r="L291" s="5">
        <v>0.42</v>
      </c>
      <c r="M291" s="5">
        <v>0.3582</v>
      </c>
      <c r="N291" s="5">
        <v>1</v>
      </c>
      <c r="O291" s="5">
        <v>121</v>
      </c>
      <c r="P291" s="5">
        <v>122</v>
      </c>
    </row>
    <row r="292" spans="1:16">
      <c r="A292" s="5">
        <v>910</v>
      </c>
      <c r="B292" s="11">
        <v>40584</v>
      </c>
      <c r="C292" s="5">
        <v>1</v>
      </c>
      <c r="D292" s="5">
        <v>0</v>
      </c>
      <c r="E292" s="5">
        <v>2</v>
      </c>
      <c r="F292" s="5">
        <v>10</v>
      </c>
      <c r="G292" s="5" t="b">
        <v>0</v>
      </c>
      <c r="H292" s="5">
        <v>4</v>
      </c>
      <c r="I292" s="5">
        <v>1</v>
      </c>
      <c r="J292" s="5">
        <v>0.12</v>
      </c>
      <c r="K292" s="5">
        <v>0.1061</v>
      </c>
      <c r="L292" s="5">
        <v>0.42</v>
      </c>
      <c r="M292" s="5">
        <v>0.2985</v>
      </c>
      <c r="N292" s="5">
        <v>1</v>
      </c>
      <c r="O292" s="5">
        <v>34</v>
      </c>
      <c r="P292" s="5">
        <v>35</v>
      </c>
    </row>
    <row r="293" spans="1:16">
      <c r="A293" s="5">
        <v>911</v>
      </c>
      <c r="B293" s="11">
        <v>40584</v>
      </c>
      <c r="C293" s="5">
        <v>1</v>
      </c>
      <c r="D293" s="5">
        <v>0</v>
      </c>
      <c r="E293" s="5">
        <v>2</v>
      </c>
      <c r="F293" s="5">
        <v>11</v>
      </c>
      <c r="G293" s="5" t="b">
        <v>0</v>
      </c>
      <c r="H293" s="5">
        <v>4</v>
      </c>
      <c r="I293" s="5">
        <v>1</v>
      </c>
      <c r="J293" s="5">
        <v>0.14</v>
      </c>
      <c r="K293" s="5">
        <v>0.1212</v>
      </c>
      <c r="L293" s="5">
        <v>0.39</v>
      </c>
      <c r="M293" s="5">
        <v>0.3582</v>
      </c>
      <c r="N293" s="5">
        <v>1</v>
      </c>
      <c r="O293" s="5">
        <v>44</v>
      </c>
      <c r="P293" s="5">
        <v>45</v>
      </c>
    </row>
    <row r="294" spans="1:16">
      <c r="A294" s="5">
        <v>912</v>
      </c>
      <c r="B294" s="11">
        <v>40584</v>
      </c>
      <c r="C294" s="5">
        <v>1</v>
      </c>
      <c r="D294" s="5">
        <v>0</v>
      </c>
      <c r="E294" s="5">
        <v>2</v>
      </c>
      <c r="F294" s="5">
        <v>12</v>
      </c>
      <c r="G294" s="5" t="b">
        <v>0</v>
      </c>
      <c r="H294" s="5">
        <v>4</v>
      </c>
      <c r="I294" s="5">
        <v>1</v>
      </c>
      <c r="J294" s="5">
        <v>0.16</v>
      </c>
      <c r="K294" s="5">
        <v>0.1364</v>
      </c>
      <c r="L294" s="5">
        <v>0.34</v>
      </c>
      <c r="M294" s="5">
        <v>0.3881</v>
      </c>
      <c r="N294" s="5">
        <v>4</v>
      </c>
      <c r="O294" s="5">
        <v>65</v>
      </c>
      <c r="P294" s="5">
        <v>69</v>
      </c>
    </row>
    <row r="295" spans="1:16">
      <c r="A295" s="5">
        <v>913</v>
      </c>
      <c r="B295" s="11">
        <v>40584</v>
      </c>
      <c r="C295" s="5">
        <v>1</v>
      </c>
      <c r="D295" s="5">
        <v>0</v>
      </c>
      <c r="E295" s="5">
        <v>2</v>
      </c>
      <c r="F295" s="5">
        <v>13</v>
      </c>
      <c r="G295" s="5" t="b">
        <v>0</v>
      </c>
      <c r="H295" s="5">
        <v>4</v>
      </c>
      <c r="I295" s="5">
        <v>1</v>
      </c>
      <c r="J295" s="5">
        <v>0.18</v>
      </c>
      <c r="K295" s="5">
        <v>0.1667</v>
      </c>
      <c r="L295" s="5">
        <v>0.29</v>
      </c>
      <c r="M295" s="5">
        <v>0.2985</v>
      </c>
      <c r="N295" s="5">
        <v>3</v>
      </c>
      <c r="O295" s="5">
        <v>59</v>
      </c>
      <c r="P295" s="5">
        <v>62</v>
      </c>
    </row>
    <row r="296" spans="1:16">
      <c r="A296" s="5">
        <v>914</v>
      </c>
      <c r="B296" s="11">
        <v>40584</v>
      </c>
      <c r="C296" s="5">
        <v>1</v>
      </c>
      <c r="D296" s="5">
        <v>0</v>
      </c>
      <c r="E296" s="5">
        <v>2</v>
      </c>
      <c r="F296" s="5">
        <v>14</v>
      </c>
      <c r="G296" s="5" t="b">
        <v>0</v>
      </c>
      <c r="H296" s="5">
        <v>4</v>
      </c>
      <c r="I296" s="5">
        <v>1</v>
      </c>
      <c r="J296" s="5">
        <v>0.2</v>
      </c>
      <c r="K296" s="5">
        <v>0.1818</v>
      </c>
      <c r="L296" s="5">
        <v>0.27</v>
      </c>
      <c r="M296" s="5">
        <v>0.2836</v>
      </c>
      <c r="N296" s="5">
        <v>6</v>
      </c>
      <c r="O296" s="5">
        <v>42</v>
      </c>
      <c r="P296" s="5">
        <v>48</v>
      </c>
    </row>
    <row r="297" spans="1:16">
      <c r="A297" s="5">
        <v>915</v>
      </c>
      <c r="B297" s="11">
        <v>40584</v>
      </c>
      <c r="C297" s="5">
        <v>1</v>
      </c>
      <c r="D297" s="5">
        <v>0</v>
      </c>
      <c r="E297" s="5">
        <v>2</v>
      </c>
      <c r="F297" s="5">
        <v>15</v>
      </c>
      <c r="G297" s="5" t="b">
        <v>0</v>
      </c>
      <c r="H297" s="5">
        <v>4</v>
      </c>
      <c r="I297" s="5">
        <v>1</v>
      </c>
      <c r="J297" s="5">
        <v>0.2</v>
      </c>
      <c r="K297" s="5">
        <v>0.197</v>
      </c>
      <c r="L297" s="5">
        <v>0.25</v>
      </c>
      <c r="M297" s="5">
        <v>0.2537</v>
      </c>
      <c r="N297" s="5">
        <v>0</v>
      </c>
      <c r="O297" s="5">
        <v>50</v>
      </c>
      <c r="P297" s="5">
        <v>50</v>
      </c>
    </row>
    <row r="298" spans="1:16">
      <c r="A298" s="5">
        <v>916</v>
      </c>
      <c r="B298" s="11">
        <v>40584</v>
      </c>
      <c r="C298" s="5">
        <v>1</v>
      </c>
      <c r="D298" s="5">
        <v>0</v>
      </c>
      <c r="E298" s="5">
        <v>2</v>
      </c>
      <c r="F298" s="5">
        <v>16</v>
      </c>
      <c r="G298" s="5" t="b">
        <v>0</v>
      </c>
      <c r="H298" s="5">
        <v>4</v>
      </c>
      <c r="I298" s="5">
        <v>1</v>
      </c>
      <c r="J298" s="5">
        <v>0.2</v>
      </c>
      <c r="K298" s="5">
        <v>0.1818</v>
      </c>
      <c r="L298" s="5">
        <v>0.27</v>
      </c>
      <c r="M298" s="5">
        <v>0.2985</v>
      </c>
      <c r="N298" s="5">
        <v>4</v>
      </c>
      <c r="O298" s="5">
        <v>76</v>
      </c>
      <c r="P298" s="5">
        <v>80</v>
      </c>
    </row>
    <row r="299" spans="1:16">
      <c r="A299" s="5">
        <v>917</v>
      </c>
      <c r="B299" s="11">
        <v>40584</v>
      </c>
      <c r="C299" s="5">
        <v>1</v>
      </c>
      <c r="D299" s="5">
        <v>0</v>
      </c>
      <c r="E299" s="5">
        <v>2</v>
      </c>
      <c r="F299" s="5">
        <v>17</v>
      </c>
      <c r="G299" s="5" t="b">
        <v>0</v>
      </c>
      <c r="H299" s="5">
        <v>4</v>
      </c>
      <c r="I299" s="5">
        <v>1</v>
      </c>
      <c r="J299" s="5">
        <v>0.18</v>
      </c>
      <c r="K299" s="5">
        <v>0.1818</v>
      </c>
      <c r="L299" s="5">
        <v>0.26</v>
      </c>
      <c r="M299" s="5">
        <v>0.194</v>
      </c>
      <c r="N299" s="5">
        <v>6</v>
      </c>
      <c r="O299" s="5">
        <v>159</v>
      </c>
      <c r="P299" s="5">
        <v>165</v>
      </c>
    </row>
    <row r="300" spans="1:16">
      <c r="A300" s="5">
        <v>918</v>
      </c>
      <c r="B300" s="11">
        <v>40584</v>
      </c>
      <c r="C300" s="5">
        <v>1</v>
      </c>
      <c r="D300" s="5">
        <v>0</v>
      </c>
      <c r="E300" s="5">
        <v>2</v>
      </c>
      <c r="F300" s="5">
        <v>18</v>
      </c>
      <c r="G300" s="5" t="b">
        <v>0</v>
      </c>
      <c r="H300" s="5">
        <v>4</v>
      </c>
      <c r="I300" s="5">
        <v>1</v>
      </c>
      <c r="J300" s="5">
        <v>0.16</v>
      </c>
      <c r="K300" s="5">
        <v>0.1818</v>
      </c>
      <c r="L300" s="5">
        <v>0.28</v>
      </c>
      <c r="M300" s="5">
        <v>0.1343</v>
      </c>
      <c r="N300" s="5">
        <v>3</v>
      </c>
      <c r="O300" s="5">
        <v>157</v>
      </c>
      <c r="P300" s="5">
        <v>160</v>
      </c>
    </row>
    <row r="301" spans="1:16">
      <c r="A301" s="5">
        <v>919</v>
      </c>
      <c r="B301" s="11">
        <v>40584</v>
      </c>
      <c r="C301" s="5">
        <v>1</v>
      </c>
      <c r="D301" s="5">
        <v>0</v>
      </c>
      <c r="E301" s="5">
        <v>2</v>
      </c>
      <c r="F301" s="5">
        <v>19</v>
      </c>
      <c r="G301" s="5" t="b">
        <v>0</v>
      </c>
      <c r="H301" s="5">
        <v>4</v>
      </c>
      <c r="I301" s="5">
        <v>1</v>
      </c>
      <c r="J301" s="5">
        <v>0.14</v>
      </c>
      <c r="K301" s="5">
        <v>0.1667</v>
      </c>
      <c r="L301" s="5">
        <v>0.28</v>
      </c>
      <c r="M301" s="5">
        <v>0.1045</v>
      </c>
      <c r="N301" s="5">
        <v>2</v>
      </c>
      <c r="O301" s="5">
        <v>110</v>
      </c>
      <c r="P301" s="5">
        <v>112</v>
      </c>
    </row>
    <row r="302" spans="1:16">
      <c r="A302" s="5">
        <v>920</v>
      </c>
      <c r="B302" s="11">
        <v>40584</v>
      </c>
      <c r="C302" s="5">
        <v>1</v>
      </c>
      <c r="D302" s="5">
        <v>0</v>
      </c>
      <c r="E302" s="5">
        <v>2</v>
      </c>
      <c r="F302" s="5">
        <v>20</v>
      </c>
      <c r="G302" s="5" t="b">
        <v>0</v>
      </c>
      <c r="H302" s="5">
        <v>4</v>
      </c>
      <c r="I302" s="5">
        <v>1</v>
      </c>
      <c r="J302" s="5">
        <v>0.14</v>
      </c>
      <c r="K302" s="5">
        <v>0.1818</v>
      </c>
      <c r="L302" s="5">
        <v>0.31</v>
      </c>
      <c r="M302" s="5">
        <v>0.0896</v>
      </c>
      <c r="N302" s="5">
        <v>4</v>
      </c>
      <c r="O302" s="5">
        <v>93</v>
      </c>
      <c r="P302" s="5">
        <v>97</v>
      </c>
    </row>
    <row r="303" spans="1:16">
      <c r="A303" s="5">
        <v>921</v>
      </c>
      <c r="B303" s="11">
        <v>40584</v>
      </c>
      <c r="C303" s="5">
        <v>1</v>
      </c>
      <c r="D303" s="5">
        <v>0</v>
      </c>
      <c r="E303" s="5">
        <v>2</v>
      </c>
      <c r="F303" s="5">
        <v>21</v>
      </c>
      <c r="G303" s="5" t="b">
        <v>0</v>
      </c>
      <c r="H303" s="5">
        <v>4</v>
      </c>
      <c r="I303" s="5">
        <v>1</v>
      </c>
      <c r="J303" s="5">
        <v>0.14</v>
      </c>
      <c r="K303" s="5">
        <v>0.2121</v>
      </c>
      <c r="L303" s="5">
        <v>0.39</v>
      </c>
      <c r="M303" s="5">
        <v>0</v>
      </c>
      <c r="N303" s="5">
        <v>2</v>
      </c>
      <c r="O303" s="5">
        <v>70</v>
      </c>
      <c r="P303" s="5">
        <v>72</v>
      </c>
    </row>
    <row r="304" spans="1:16">
      <c r="A304" s="5">
        <v>922</v>
      </c>
      <c r="B304" s="11">
        <v>40584</v>
      </c>
      <c r="C304" s="5">
        <v>1</v>
      </c>
      <c r="D304" s="5">
        <v>0</v>
      </c>
      <c r="E304" s="5">
        <v>2</v>
      </c>
      <c r="F304" s="5">
        <v>22</v>
      </c>
      <c r="G304" s="5" t="b">
        <v>0</v>
      </c>
      <c r="H304" s="5">
        <v>4</v>
      </c>
      <c r="I304" s="5">
        <v>1</v>
      </c>
      <c r="J304" s="5">
        <v>0.12</v>
      </c>
      <c r="K304" s="5">
        <v>0.197</v>
      </c>
      <c r="L304" s="5">
        <v>0.39</v>
      </c>
      <c r="M304" s="5">
        <v>0</v>
      </c>
      <c r="N304" s="5">
        <v>4</v>
      </c>
      <c r="O304" s="5">
        <v>47</v>
      </c>
      <c r="P304" s="5">
        <v>51</v>
      </c>
    </row>
    <row r="305" spans="1:16">
      <c r="A305" s="5">
        <v>923</v>
      </c>
      <c r="B305" s="11">
        <v>40584</v>
      </c>
      <c r="C305" s="5">
        <v>1</v>
      </c>
      <c r="D305" s="5">
        <v>0</v>
      </c>
      <c r="E305" s="5">
        <v>2</v>
      </c>
      <c r="F305" s="5">
        <v>23</v>
      </c>
      <c r="G305" s="5" t="b">
        <v>0</v>
      </c>
      <c r="H305" s="5">
        <v>4</v>
      </c>
      <c r="I305" s="5">
        <v>1</v>
      </c>
      <c r="J305" s="5">
        <v>0.12</v>
      </c>
      <c r="K305" s="5">
        <v>0.1515</v>
      </c>
      <c r="L305" s="5">
        <v>0.42</v>
      </c>
      <c r="M305" s="5">
        <v>0.1045</v>
      </c>
      <c r="N305" s="5">
        <v>1</v>
      </c>
      <c r="O305" s="5">
        <v>33</v>
      </c>
      <c r="P305" s="5">
        <v>34</v>
      </c>
    </row>
    <row r="306" spans="1:16">
      <c r="A306" s="5">
        <v>924</v>
      </c>
      <c r="B306" s="11">
        <v>40585</v>
      </c>
      <c r="C306" s="5">
        <v>1</v>
      </c>
      <c r="D306" s="5">
        <v>0</v>
      </c>
      <c r="E306" s="5">
        <v>2</v>
      </c>
      <c r="F306" s="5">
        <v>0</v>
      </c>
      <c r="G306" s="5" t="b">
        <v>0</v>
      </c>
      <c r="H306" s="5">
        <v>5</v>
      </c>
      <c r="I306" s="5">
        <v>1</v>
      </c>
      <c r="J306" s="5">
        <v>0.1</v>
      </c>
      <c r="K306" s="5">
        <v>0.1364</v>
      </c>
      <c r="L306" s="5">
        <v>0.49</v>
      </c>
      <c r="M306" s="5">
        <v>0.1045</v>
      </c>
      <c r="N306" s="5">
        <v>2</v>
      </c>
      <c r="O306" s="5">
        <v>12</v>
      </c>
      <c r="P306" s="5">
        <v>14</v>
      </c>
    </row>
    <row r="307" spans="1:16">
      <c r="A307" s="5">
        <v>925</v>
      </c>
      <c r="B307" s="11">
        <v>40585</v>
      </c>
      <c r="C307" s="5">
        <v>1</v>
      </c>
      <c r="D307" s="5">
        <v>0</v>
      </c>
      <c r="E307" s="5">
        <v>2</v>
      </c>
      <c r="F307" s="5">
        <v>1</v>
      </c>
      <c r="G307" s="5" t="b">
        <v>0</v>
      </c>
      <c r="H307" s="5">
        <v>5</v>
      </c>
      <c r="I307" s="5">
        <v>1</v>
      </c>
      <c r="J307" s="5">
        <v>0.1</v>
      </c>
      <c r="K307" s="5">
        <v>0.1364</v>
      </c>
      <c r="L307" s="5">
        <v>0.54</v>
      </c>
      <c r="M307" s="5">
        <v>0.0896</v>
      </c>
      <c r="N307" s="5">
        <v>1</v>
      </c>
      <c r="O307" s="5">
        <v>6</v>
      </c>
      <c r="P307" s="5">
        <v>7</v>
      </c>
    </row>
    <row r="308" spans="1:16">
      <c r="A308" s="5">
        <v>926</v>
      </c>
      <c r="B308" s="11">
        <v>40585</v>
      </c>
      <c r="C308" s="5">
        <v>1</v>
      </c>
      <c r="D308" s="5">
        <v>0</v>
      </c>
      <c r="E308" s="5">
        <v>2</v>
      </c>
      <c r="F308" s="5">
        <v>2</v>
      </c>
      <c r="G308" s="5" t="b">
        <v>0</v>
      </c>
      <c r="H308" s="5">
        <v>5</v>
      </c>
      <c r="I308" s="5">
        <v>1</v>
      </c>
      <c r="J308" s="5">
        <v>0.1</v>
      </c>
      <c r="K308" s="5">
        <v>0.1364</v>
      </c>
      <c r="L308" s="5">
        <v>0.54</v>
      </c>
      <c r="M308" s="5">
        <v>0.0896</v>
      </c>
      <c r="N308" s="5">
        <v>0</v>
      </c>
      <c r="O308" s="5">
        <v>3</v>
      </c>
      <c r="P308" s="5">
        <v>3</v>
      </c>
    </row>
    <row r="309" spans="1:16">
      <c r="A309" s="5">
        <v>927</v>
      </c>
      <c r="B309" s="11">
        <v>40585</v>
      </c>
      <c r="C309" s="5">
        <v>1</v>
      </c>
      <c r="D309" s="5">
        <v>0</v>
      </c>
      <c r="E309" s="5">
        <v>2</v>
      </c>
      <c r="F309" s="5">
        <v>5</v>
      </c>
      <c r="G309" s="5" t="b">
        <v>0</v>
      </c>
      <c r="H309" s="5">
        <v>5</v>
      </c>
      <c r="I309" s="5">
        <v>1</v>
      </c>
      <c r="J309" s="5">
        <v>0.08</v>
      </c>
      <c r="K309" s="5">
        <v>0.1212</v>
      </c>
      <c r="L309" s="5">
        <v>0.63</v>
      </c>
      <c r="M309" s="5">
        <v>0.0896</v>
      </c>
      <c r="N309" s="5">
        <v>0</v>
      </c>
      <c r="O309" s="5">
        <v>4</v>
      </c>
      <c r="P309" s="5">
        <v>4</v>
      </c>
    </row>
    <row r="310" spans="1:16">
      <c r="A310" s="5">
        <v>928</v>
      </c>
      <c r="B310" s="11">
        <v>40585</v>
      </c>
      <c r="C310" s="5">
        <v>1</v>
      </c>
      <c r="D310" s="5">
        <v>0</v>
      </c>
      <c r="E310" s="5">
        <v>2</v>
      </c>
      <c r="F310" s="5">
        <v>6</v>
      </c>
      <c r="G310" s="5" t="b">
        <v>0</v>
      </c>
      <c r="H310" s="5">
        <v>5</v>
      </c>
      <c r="I310" s="5">
        <v>1</v>
      </c>
      <c r="J310" s="5">
        <v>0.1</v>
      </c>
      <c r="K310" s="5">
        <v>0.1818</v>
      </c>
      <c r="L310" s="5">
        <v>0.68</v>
      </c>
      <c r="M310" s="5">
        <v>0</v>
      </c>
      <c r="N310" s="5">
        <v>1</v>
      </c>
      <c r="O310" s="5">
        <v>23</v>
      </c>
      <c r="P310" s="5">
        <v>24</v>
      </c>
    </row>
    <row r="311" spans="1:16">
      <c r="A311" s="5">
        <v>929</v>
      </c>
      <c r="B311" s="11">
        <v>40585</v>
      </c>
      <c r="C311" s="5">
        <v>1</v>
      </c>
      <c r="D311" s="5">
        <v>0</v>
      </c>
      <c r="E311" s="5">
        <v>2</v>
      </c>
      <c r="F311" s="5">
        <v>7</v>
      </c>
      <c r="G311" s="5" t="b">
        <v>0</v>
      </c>
      <c r="H311" s="5">
        <v>5</v>
      </c>
      <c r="I311" s="5">
        <v>1</v>
      </c>
      <c r="J311" s="5">
        <v>0.08</v>
      </c>
      <c r="K311" s="5">
        <v>0.1667</v>
      </c>
      <c r="L311" s="5">
        <v>0.73</v>
      </c>
      <c r="M311" s="5">
        <v>0</v>
      </c>
      <c r="N311" s="5">
        <v>1</v>
      </c>
      <c r="O311" s="5">
        <v>73</v>
      </c>
      <c r="P311" s="5">
        <v>74</v>
      </c>
    </row>
    <row r="312" spans="1:16">
      <c r="A312" s="5">
        <v>930</v>
      </c>
      <c r="B312" s="11">
        <v>40585</v>
      </c>
      <c r="C312" s="5">
        <v>1</v>
      </c>
      <c r="D312" s="5">
        <v>0</v>
      </c>
      <c r="E312" s="5">
        <v>2</v>
      </c>
      <c r="F312" s="5">
        <v>8</v>
      </c>
      <c r="G312" s="5" t="b">
        <v>0</v>
      </c>
      <c r="H312" s="5">
        <v>5</v>
      </c>
      <c r="I312" s="5">
        <v>1</v>
      </c>
      <c r="J312" s="5">
        <v>0.1</v>
      </c>
      <c r="K312" s="5">
        <v>0.1212</v>
      </c>
      <c r="L312" s="5">
        <v>0.74</v>
      </c>
      <c r="M312" s="5">
        <v>0.1642</v>
      </c>
      <c r="N312" s="5">
        <v>4</v>
      </c>
      <c r="O312" s="5">
        <v>212</v>
      </c>
      <c r="P312" s="5">
        <v>216</v>
      </c>
    </row>
    <row r="313" spans="1:16">
      <c r="A313" s="5">
        <v>931</v>
      </c>
      <c r="B313" s="11">
        <v>40585</v>
      </c>
      <c r="C313" s="5">
        <v>1</v>
      </c>
      <c r="D313" s="5">
        <v>0</v>
      </c>
      <c r="E313" s="5">
        <v>2</v>
      </c>
      <c r="F313" s="5">
        <v>9</v>
      </c>
      <c r="G313" s="5" t="b">
        <v>0</v>
      </c>
      <c r="H313" s="5">
        <v>5</v>
      </c>
      <c r="I313" s="5">
        <v>1</v>
      </c>
      <c r="J313" s="5">
        <v>0.12</v>
      </c>
      <c r="K313" s="5">
        <v>0.1212</v>
      </c>
      <c r="L313" s="5">
        <v>0.74</v>
      </c>
      <c r="M313" s="5">
        <v>0.2239</v>
      </c>
      <c r="N313" s="5">
        <v>8</v>
      </c>
      <c r="O313" s="5">
        <v>132</v>
      </c>
      <c r="P313" s="5">
        <v>140</v>
      </c>
    </row>
    <row r="314" spans="1:16">
      <c r="A314" s="5">
        <v>932</v>
      </c>
      <c r="B314" s="11">
        <v>40585</v>
      </c>
      <c r="C314" s="5">
        <v>1</v>
      </c>
      <c r="D314" s="5">
        <v>0</v>
      </c>
      <c r="E314" s="5">
        <v>2</v>
      </c>
      <c r="F314" s="5">
        <v>10</v>
      </c>
      <c r="G314" s="5" t="b">
        <v>0</v>
      </c>
      <c r="H314" s="5">
        <v>5</v>
      </c>
      <c r="I314" s="5">
        <v>1</v>
      </c>
      <c r="J314" s="5">
        <v>0.14</v>
      </c>
      <c r="K314" s="5">
        <v>0.1364</v>
      </c>
      <c r="L314" s="5">
        <v>0.6899999999999999</v>
      </c>
      <c r="M314" s="5">
        <v>0.194</v>
      </c>
      <c r="N314" s="5">
        <v>5</v>
      </c>
      <c r="O314" s="5">
        <v>39</v>
      </c>
      <c r="P314" s="5">
        <v>44</v>
      </c>
    </row>
    <row r="315" spans="1:16">
      <c r="A315" s="5">
        <v>933</v>
      </c>
      <c r="B315" s="11">
        <v>40585</v>
      </c>
      <c r="C315" s="5">
        <v>1</v>
      </c>
      <c r="D315" s="5">
        <v>0</v>
      </c>
      <c r="E315" s="5">
        <v>2</v>
      </c>
      <c r="F315" s="5">
        <v>11</v>
      </c>
      <c r="G315" s="5" t="b">
        <v>0</v>
      </c>
      <c r="H315" s="5">
        <v>5</v>
      </c>
      <c r="I315" s="5">
        <v>1</v>
      </c>
      <c r="J315" s="5">
        <v>0.22</v>
      </c>
      <c r="K315" s="5">
        <v>0.2273</v>
      </c>
      <c r="L315" s="5">
        <v>0.47</v>
      </c>
      <c r="M315" s="5">
        <v>0.1343</v>
      </c>
      <c r="N315" s="5">
        <v>12</v>
      </c>
      <c r="O315" s="5">
        <v>52</v>
      </c>
      <c r="P315" s="5">
        <v>64</v>
      </c>
    </row>
    <row r="316" spans="1:16">
      <c r="A316" s="5">
        <v>934</v>
      </c>
      <c r="B316" s="11">
        <v>40585</v>
      </c>
      <c r="C316" s="5">
        <v>1</v>
      </c>
      <c r="D316" s="5">
        <v>0</v>
      </c>
      <c r="E316" s="5">
        <v>2</v>
      </c>
      <c r="F316" s="5">
        <v>12</v>
      </c>
      <c r="G316" s="5" t="b">
        <v>0</v>
      </c>
      <c r="H316" s="5">
        <v>5</v>
      </c>
      <c r="I316" s="5">
        <v>1</v>
      </c>
      <c r="J316" s="5">
        <v>0.22</v>
      </c>
      <c r="K316" s="5">
        <v>0.2273</v>
      </c>
      <c r="L316" s="5">
        <v>0.47</v>
      </c>
      <c r="M316" s="5">
        <v>0.1343</v>
      </c>
      <c r="N316" s="5">
        <v>7</v>
      </c>
      <c r="O316" s="5">
        <v>64</v>
      </c>
      <c r="P316" s="5">
        <v>71</v>
      </c>
    </row>
    <row r="317" spans="1:16">
      <c r="A317" s="5">
        <v>935</v>
      </c>
      <c r="B317" s="11">
        <v>40585</v>
      </c>
      <c r="C317" s="5">
        <v>1</v>
      </c>
      <c r="D317" s="5">
        <v>0</v>
      </c>
      <c r="E317" s="5">
        <v>2</v>
      </c>
      <c r="F317" s="5">
        <v>13</v>
      </c>
      <c r="G317" s="5" t="b">
        <v>0</v>
      </c>
      <c r="H317" s="5">
        <v>5</v>
      </c>
      <c r="I317" s="5">
        <v>1</v>
      </c>
      <c r="J317" s="5">
        <v>0.24</v>
      </c>
      <c r="K317" s="5">
        <v>0.2273</v>
      </c>
      <c r="L317" s="5">
        <v>0.35</v>
      </c>
      <c r="M317" s="5">
        <v>0.194</v>
      </c>
      <c r="N317" s="5">
        <v>21</v>
      </c>
      <c r="O317" s="5">
        <v>89</v>
      </c>
      <c r="P317" s="5">
        <v>110</v>
      </c>
    </row>
    <row r="318" spans="1:16">
      <c r="A318" s="5">
        <v>936</v>
      </c>
      <c r="B318" s="11">
        <v>40585</v>
      </c>
      <c r="C318" s="5">
        <v>1</v>
      </c>
      <c r="D318" s="5">
        <v>0</v>
      </c>
      <c r="E318" s="5">
        <v>2</v>
      </c>
      <c r="F318" s="5">
        <v>14</v>
      </c>
      <c r="G318" s="5" t="b">
        <v>0</v>
      </c>
      <c r="H318" s="5">
        <v>5</v>
      </c>
      <c r="I318" s="5">
        <v>1</v>
      </c>
      <c r="J318" s="5">
        <v>0.3</v>
      </c>
      <c r="K318" s="5">
        <v>0.2879</v>
      </c>
      <c r="L318" s="5">
        <v>0.26</v>
      </c>
      <c r="M318" s="5">
        <v>0.2537</v>
      </c>
      <c r="N318" s="5">
        <v>17</v>
      </c>
      <c r="O318" s="5">
        <v>67</v>
      </c>
      <c r="P318" s="5">
        <v>84</v>
      </c>
    </row>
    <row r="319" spans="1:16">
      <c r="A319" s="5">
        <v>937</v>
      </c>
      <c r="B319" s="11">
        <v>40585</v>
      </c>
      <c r="C319" s="5">
        <v>1</v>
      </c>
      <c r="D319" s="5">
        <v>0</v>
      </c>
      <c r="E319" s="5">
        <v>2</v>
      </c>
      <c r="F319" s="5">
        <v>15</v>
      </c>
      <c r="G319" s="5" t="b">
        <v>0</v>
      </c>
      <c r="H319" s="5">
        <v>5</v>
      </c>
      <c r="I319" s="5">
        <v>1</v>
      </c>
      <c r="J319" s="5">
        <v>0.32</v>
      </c>
      <c r="K319" s="5">
        <v>0.3182</v>
      </c>
      <c r="L319" s="5">
        <v>0.21</v>
      </c>
      <c r="M319" s="5">
        <v>0.1642</v>
      </c>
      <c r="N319" s="5">
        <v>12</v>
      </c>
      <c r="O319" s="5">
        <v>62</v>
      </c>
      <c r="P319" s="5">
        <v>74</v>
      </c>
    </row>
    <row r="320" spans="1:16">
      <c r="A320" s="5">
        <v>938</v>
      </c>
      <c r="B320" s="11">
        <v>40585</v>
      </c>
      <c r="C320" s="5">
        <v>1</v>
      </c>
      <c r="D320" s="5">
        <v>0</v>
      </c>
      <c r="E320" s="5">
        <v>2</v>
      </c>
      <c r="F320" s="5">
        <v>16</v>
      </c>
      <c r="G320" s="5" t="b">
        <v>0</v>
      </c>
      <c r="H320" s="5">
        <v>5</v>
      </c>
      <c r="I320" s="5">
        <v>1</v>
      </c>
      <c r="J320" s="5">
        <v>0.3</v>
      </c>
      <c r="K320" s="5">
        <v>0.2879</v>
      </c>
      <c r="L320" s="5">
        <v>0.28</v>
      </c>
      <c r="M320" s="5">
        <v>0.194</v>
      </c>
      <c r="N320" s="5">
        <v>14</v>
      </c>
      <c r="O320" s="5">
        <v>111</v>
      </c>
      <c r="P320" s="5">
        <v>125</v>
      </c>
    </row>
    <row r="321" spans="1:16">
      <c r="A321" s="5">
        <v>939</v>
      </c>
      <c r="B321" s="11">
        <v>40585</v>
      </c>
      <c r="C321" s="5">
        <v>1</v>
      </c>
      <c r="D321" s="5">
        <v>0</v>
      </c>
      <c r="E321" s="5">
        <v>2</v>
      </c>
      <c r="F321" s="5">
        <v>17</v>
      </c>
      <c r="G321" s="5" t="b">
        <v>0</v>
      </c>
      <c r="H321" s="5">
        <v>5</v>
      </c>
      <c r="I321" s="5">
        <v>1</v>
      </c>
      <c r="J321" s="5">
        <v>0.3</v>
      </c>
      <c r="K321" s="5">
        <v>0.3333</v>
      </c>
      <c r="L321" s="5">
        <v>0.24</v>
      </c>
      <c r="M321" s="5">
        <v>0</v>
      </c>
      <c r="N321" s="5">
        <v>18</v>
      </c>
      <c r="O321" s="5">
        <v>193</v>
      </c>
      <c r="P321" s="5">
        <v>211</v>
      </c>
    </row>
    <row r="322" spans="1:16">
      <c r="A322" s="5">
        <v>940</v>
      </c>
      <c r="B322" s="11">
        <v>40585</v>
      </c>
      <c r="C322" s="5">
        <v>1</v>
      </c>
      <c r="D322" s="5">
        <v>0</v>
      </c>
      <c r="E322" s="5">
        <v>2</v>
      </c>
      <c r="F322" s="5">
        <v>18</v>
      </c>
      <c r="G322" s="5" t="b">
        <v>0</v>
      </c>
      <c r="H322" s="5">
        <v>5</v>
      </c>
      <c r="I322" s="5">
        <v>1</v>
      </c>
      <c r="J322" s="5">
        <v>0.28</v>
      </c>
      <c r="K322" s="5">
        <v>0.3182</v>
      </c>
      <c r="L322" s="5">
        <v>0.28</v>
      </c>
      <c r="M322" s="5">
        <v>0</v>
      </c>
      <c r="N322" s="5">
        <v>9</v>
      </c>
      <c r="O322" s="5">
        <v>165</v>
      </c>
      <c r="P322" s="5">
        <v>174</v>
      </c>
    </row>
    <row r="323" spans="1:16">
      <c r="A323" s="5">
        <v>941</v>
      </c>
      <c r="B323" s="11">
        <v>40585</v>
      </c>
      <c r="C323" s="5">
        <v>1</v>
      </c>
      <c r="D323" s="5">
        <v>0</v>
      </c>
      <c r="E323" s="5">
        <v>2</v>
      </c>
      <c r="F323" s="5">
        <v>19</v>
      </c>
      <c r="G323" s="5" t="b">
        <v>0</v>
      </c>
      <c r="H323" s="5">
        <v>5</v>
      </c>
      <c r="I323" s="5">
        <v>1</v>
      </c>
      <c r="J323" s="5">
        <v>0.26</v>
      </c>
      <c r="K323" s="5">
        <v>0.303</v>
      </c>
      <c r="L323" s="5">
        <v>0.33</v>
      </c>
      <c r="M323" s="5">
        <v>0</v>
      </c>
      <c r="N323" s="5">
        <v>7</v>
      </c>
      <c r="O323" s="5">
        <v>94</v>
      </c>
      <c r="P323" s="5">
        <v>101</v>
      </c>
    </row>
    <row r="324" spans="1:16">
      <c r="A324" s="5">
        <v>942</v>
      </c>
      <c r="B324" s="11">
        <v>40585</v>
      </c>
      <c r="C324" s="5">
        <v>1</v>
      </c>
      <c r="D324" s="5">
        <v>0</v>
      </c>
      <c r="E324" s="5">
        <v>2</v>
      </c>
      <c r="F324" s="5">
        <v>20</v>
      </c>
      <c r="G324" s="5" t="b">
        <v>0</v>
      </c>
      <c r="H324" s="5">
        <v>5</v>
      </c>
      <c r="I324" s="5">
        <v>1</v>
      </c>
      <c r="J324" s="5">
        <v>0.22</v>
      </c>
      <c r="K324" s="5">
        <v>0.2273</v>
      </c>
      <c r="L324" s="5">
        <v>0.55</v>
      </c>
      <c r="M324" s="5">
        <v>0.1343</v>
      </c>
      <c r="N324" s="5">
        <v>2</v>
      </c>
      <c r="O324" s="5">
        <v>61</v>
      </c>
      <c r="P324" s="5">
        <v>63</v>
      </c>
    </row>
    <row r="325" spans="1:16">
      <c r="A325" s="5">
        <v>943</v>
      </c>
      <c r="B325" s="11">
        <v>40585</v>
      </c>
      <c r="C325" s="5">
        <v>1</v>
      </c>
      <c r="D325" s="5">
        <v>0</v>
      </c>
      <c r="E325" s="5">
        <v>2</v>
      </c>
      <c r="F325" s="5">
        <v>21</v>
      </c>
      <c r="G325" s="5" t="b">
        <v>0</v>
      </c>
      <c r="H325" s="5">
        <v>5</v>
      </c>
      <c r="I325" s="5">
        <v>1</v>
      </c>
      <c r="J325" s="5">
        <v>0.2</v>
      </c>
      <c r="K325" s="5">
        <v>0.2121</v>
      </c>
      <c r="L325" s="5">
        <v>0.59</v>
      </c>
      <c r="M325" s="5">
        <v>0.1343</v>
      </c>
      <c r="N325" s="5">
        <v>1</v>
      </c>
      <c r="O325" s="5">
        <v>46</v>
      </c>
      <c r="P325" s="5">
        <v>47</v>
      </c>
    </row>
    <row r="326" spans="1:16">
      <c r="A326" s="5">
        <v>944</v>
      </c>
      <c r="B326" s="11">
        <v>40585</v>
      </c>
      <c r="C326" s="5">
        <v>1</v>
      </c>
      <c r="D326" s="5">
        <v>0</v>
      </c>
      <c r="E326" s="5">
        <v>2</v>
      </c>
      <c r="F326" s="5">
        <v>22</v>
      </c>
      <c r="G326" s="5" t="b">
        <v>0</v>
      </c>
      <c r="H326" s="5">
        <v>5</v>
      </c>
      <c r="I326" s="5">
        <v>1</v>
      </c>
      <c r="J326" s="5">
        <v>0.2</v>
      </c>
      <c r="K326" s="5">
        <v>0.2273</v>
      </c>
      <c r="L326" s="5">
        <v>0.64</v>
      </c>
      <c r="M326" s="5">
        <v>0.0896</v>
      </c>
      <c r="N326" s="5">
        <v>2</v>
      </c>
      <c r="O326" s="5">
        <v>41</v>
      </c>
      <c r="P326" s="5">
        <v>43</v>
      </c>
    </row>
    <row r="327" spans="1:16">
      <c r="A327" s="5">
        <v>945</v>
      </c>
      <c r="B327" s="11">
        <v>40585</v>
      </c>
      <c r="C327" s="5">
        <v>1</v>
      </c>
      <c r="D327" s="5">
        <v>0</v>
      </c>
      <c r="E327" s="5">
        <v>2</v>
      </c>
      <c r="F327" s="5">
        <v>23</v>
      </c>
      <c r="G327" s="5" t="b">
        <v>0</v>
      </c>
      <c r="H327" s="5">
        <v>5</v>
      </c>
      <c r="I327" s="5">
        <v>1</v>
      </c>
      <c r="J327" s="5">
        <v>0.18</v>
      </c>
      <c r="K327" s="5">
        <v>0.2424</v>
      </c>
      <c r="L327" s="5">
        <v>0.6899999999999999</v>
      </c>
      <c r="M327" s="5">
        <v>0</v>
      </c>
      <c r="N327" s="5">
        <v>5</v>
      </c>
      <c r="O327" s="5">
        <v>48</v>
      </c>
      <c r="P327" s="5">
        <v>53</v>
      </c>
    </row>
    <row r="328" spans="1:16">
      <c r="A328" s="5">
        <v>946</v>
      </c>
      <c r="B328" s="11">
        <v>40586</v>
      </c>
      <c r="C328" s="5">
        <v>1</v>
      </c>
      <c r="D328" s="5">
        <v>0</v>
      </c>
      <c r="E328" s="5">
        <v>2</v>
      </c>
      <c r="F328" s="5">
        <v>0</v>
      </c>
      <c r="G328" s="5" t="b">
        <v>0</v>
      </c>
      <c r="H328" s="5">
        <v>6</v>
      </c>
      <c r="I328" s="5">
        <v>1</v>
      </c>
      <c r="J328" s="5">
        <v>0.16</v>
      </c>
      <c r="K328" s="5">
        <v>0.197</v>
      </c>
      <c r="L328" s="5">
        <v>0.6899999999999999</v>
      </c>
      <c r="M328" s="5">
        <v>0.0896</v>
      </c>
      <c r="N328" s="5">
        <v>3</v>
      </c>
      <c r="O328" s="5">
        <v>27</v>
      </c>
      <c r="P328" s="5">
        <v>30</v>
      </c>
    </row>
    <row r="329" spans="1:16">
      <c r="A329" s="5">
        <v>947</v>
      </c>
      <c r="B329" s="11">
        <v>40586</v>
      </c>
      <c r="C329" s="5">
        <v>1</v>
      </c>
      <c r="D329" s="5">
        <v>0</v>
      </c>
      <c r="E329" s="5">
        <v>2</v>
      </c>
      <c r="F329" s="5">
        <v>1</v>
      </c>
      <c r="G329" s="5" t="b">
        <v>0</v>
      </c>
      <c r="H329" s="5">
        <v>6</v>
      </c>
      <c r="I329" s="5">
        <v>1</v>
      </c>
      <c r="J329" s="5">
        <v>0.14</v>
      </c>
      <c r="K329" s="5">
        <v>0.2121</v>
      </c>
      <c r="L329" s="5">
        <v>0.86</v>
      </c>
      <c r="M329" s="5">
        <v>0</v>
      </c>
      <c r="N329" s="5">
        <v>2</v>
      </c>
      <c r="O329" s="5">
        <v>22</v>
      </c>
      <c r="P329" s="5">
        <v>24</v>
      </c>
    </row>
    <row r="330" spans="1:16">
      <c r="A330" s="5">
        <v>948</v>
      </c>
      <c r="B330" s="11">
        <v>40586</v>
      </c>
      <c r="C330" s="5">
        <v>1</v>
      </c>
      <c r="D330" s="5">
        <v>0</v>
      </c>
      <c r="E330" s="5">
        <v>2</v>
      </c>
      <c r="F330" s="5">
        <v>2</v>
      </c>
      <c r="G330" s="5" t="b">
        <v>0</v>
      </c>
      <c r="H330" s="5">
        <v>6</v>
      </c>
      <c r="I330" s="5">
        <v>1</v>
      </c>
      <c r="J330" s="5">
        <v>0.14</v>
      </c>
      <c r="K330" s="5">
        <v>0.2121</v>
      </c>
      <c r="L330" s="5">
        <v>0.8</v>
      </c>
      <c r="M330" s="5">
        <v>0</v>
      </c>
      <c r="N330" s="5">
        <v>2</v>
      </c>
      <c r="O330" s="5">
        <v>13</v>
      </c>
      <c r="P330" s="5">
        <v>15</v>
      </c>
    </row>
    <row r="331" spans="1:16">
      <c r="A331" s="5">
        <v>949</v>
      </c>
      <c r="B331" s="11">
        <v>40586</v>
      </c>
      <c r="C331" s="5">
        <v>1</v>
      </c>
      <c r="D331" s="5">
        <v>0</v>
      </c>
      <c r="E331" s="5">
        <v>2</v>
      </c>
      <c r="F331" s="5">
        <v>3</v>
      </c>
      <c r="G331" s="5" t="b">
        <v>0</v>
      </c>
      <c r="H331" s="5">
        <v>6</v>
      </c>
      <c r="I331" s="5">
        <v>1</v>
      </c>
      <c r="J331" s="5">
        <v>0.12</v>
      </c>
      <c r="K331" s="5">
        <v>0.197</v>
      </c>
      <c r="L331" s="5">
        <v>0.8</v>
      </c>
      <c r="M331" s="5">
        <v>0</v>
      </c>
      <c r="N331" s="5">
        <v>3</v>
      </c>
      <c r="O331" s="5">
        <v>7</v>
      </c>
      <c r="P331" s="5">
        <v>10</v>
      </c>
    </row>
    <row r="332" spans="1:16">
      <c r="A332" s="5">
        <v>950</v>
      </c>
      <c r="B332" s="11">
        <v>40586</v>
      </c>
      <c r="C332" s="5">
        <v>1</v>
      </c>
      <c r="D332" s="5">
        <v>0</v>
      </c>
      <c r="E332" s="5">
        <v>2</v>
      </c>
      <c r="F332" s="5">
        <v>4</v>
      </c>
      <c r="G332" s="5" t="b">
        <v>0</v>
      </c>
      <c r="H332" s="5">
        <v>6</v>
      </c>
      <c r="I332" s="5">
        <v>1</v>
      </c>
      <c r="J332" s="5">
        <v>0.12</v>
      </c>
      <c r="K332" s="5">
        <v>0.1667</v>
      </c>
      <c r="L332" s="5">
        <v>0.74</v>
      </c>
      <c r="M332" s="5">
        <v>0.0896</v>
      </c>
      <c r="N332" s="5">
        <v>0</v>
      </c>
      <c r="O332" s="5">
        <v>4</v>
      </c>
      <c r="P332" s="5">
        <v>4</v>
      </c>
    </row>
    <row r="333" spans="1:16">
      <c r="A333" s="5">
        <v>951</v>
      </c>
      <c r="B333" s="11">
        <v>40586</v>
      </c>
      <c r="C333" s="5">
        <v>1</v>
      </c>
      <c r="D333" s="5">
        <v>0</v>
      </c>
      <c r="E333" s="5">
        <v>2</v>
      </c>
      <c r="F333" s="5">
        <v>5</v>
      </c>
      <c r="G333" s="5" t="b">
        <v>0</v>
      </c>
      <c r="H333" s="5">
        <v>6</v>
      </c>
      <c r="I333" s="5">
        <v>1</v>
      </c>
      <c r="J333" s="5">
        <v>0.12</v>
      </c>
      <c r="K333" s="5">
        <v>0.1667</v>
      </c>
      <c r="L333" s="5">
        <v>0.74</v>
      </c>
      <c r="M333" s="5">
        <v>0.0896</v>
      </c>
      <c r="N333" s="5">
        <v>0</v>
      </c>
      <c r="O333" s="5">
        <v>1</v>
      </c>
      <c r="P333" s="5">
        <v>1</v>
      </c>
    </row>
    <row r="334" spans="1:16">
      <c r="A334" s="5">
        <v>952</v>
      </c>
      <c r="B334" s="11">
        <v>40586</v>
      </c>
      <c r="C334" s="5">
        <v>1</v>
      </c>
      <c r="D334" s="5">
        <v>0</v>
      </c>
      <c r="E334" s="5">
        <v>2</v>
      </c>
      <c r="F334" s="5">
        <v>6</v>
      </c>
      <c r="G334" s="5" t="b">
        <v>0</v>
      </c>
      <c r="H334" s="5">
        <v>6</v>
      </c>
      <c r="I334" s="5">
        <v>1</v>
      </c>
      <c r="J334" s="5">
        <v>0.12</v>
      </c>
      <c r="K334" s="5">
        <v>0.1364</v>
      </c>
      <c r="L334" s="5">
        <v>0.93</v>
      </c>
      <c r="M334" s="5">
        <v>0.194</v>
      </c>
      <c r="N334" s="5">
        <v>1</v>
      </c>
      <c r="O334" s="5">
        <v>1</v>
      </c>
      <c r="P334" s="5">
        <v>2</v>
      </c>
    </row>
    <row r="335" spans="1:16">
      <c r="A335" s="5">
        <v>953</v>
      </c>
      <c r="B335" s="11">
        <v>40586</v>
      </c>
      <c r="C335" s="5">
        <v>1</v>
      </c>
      <c r="D335" s="5">
        <v>0</v>
      </c>
      <c r="E335" s="5">
        <v>2</v>
      </c>
      <c r="F335" s="5">
        <v>7</v>
      </c>
      <c r="G335" s="5" t="b">
        <v>0</v>
      </c>
      <c r="H335" s="5">
        <v>6</v>
      </c>
      <c r="I335" s="5">
        <v>1</v>
      </c>
      <c r="J335" s="5">
        <v>0.12</v>
      </c>
      <c r="K335" s="5">
        <v>0.1515</v>
      </c>
      <c r="L335" s="5">
        <v>0.8</v>
      </c>
      <c r="M335" s="5">
        <v>0.1045</v>
      </c>
      <c r="N335" s="5">
        <v>2</v>
      </c>
      <c r="O335" s="5">
        <v>9</v>
      </c>
      <c r="P335" s="5">
        <v>11</v>
      </c>
    </row>
    <row r="336" spans="1:16">
      <c r="A336" s="5">
        <v>954</v>
      </c>
      <c r="B336" s="11">
        <v>40586</v>
      </c>
      <c r="C336" s="5">
        <v>1</v>
      </c>
      <c r="D336" s="5">
        <v>0</v>
      </c>
      <c r="E336" s="5">
        <v>2</v>
      </c>
      <c r="F336" s="5">
        <v>8</v>
      </c>
      <c r="G336" s="5" t="b">
        <v>0</v>
      </c>
      <c r="H336" s="5">
        <v>6</v>
      </c>
      <c r="I336" s="5">
        <v>1</v>
      </c>
      <c r="J336" s="5">
        <v>0.14</v>
      </c>
      <c r="K336" s="5">
        <v>0.1515</v>
      </c>
      <c r="L336" s="5">
        <v>0.86</v>
      </c>
      <c r="M336" s="5">
        <v>0.1343</v>
      </c>
      <c r="N336" s="5">
        <v>2</v>
      </c>
      <c r="O336" s="5">
        <v>28</v>
      </c>
      <c r="P336" s="5">
        <v>30</v>
      </c>
    </row>
    <row r="337" spans="1:16">
      <c r="A337" s="5">
        <v>955</v>
      </c>
      <c r="B337" s="11">
        <v>40586</v>
      </c>
      <c r="C337" s="5">
        <v>1</v>
      </c>
      <c r="D337" s="5">
        <v>0</v>
      </c>
      <c r="E337" s="5">
        <v>2</v>
      </c>
      <c r="F337" s="5">
        <v>9</v>
      </c>
      <c r="G337" s="5" t="b">
        <v>0</v>
      </c>
      <c r="H337" s="5">
        <v>6</v>
      </c>
      <c r="I337" s="5">
        <v>1</v>
      </c>
      <c r="J337" s="5">
        <v>0.16</v>
      </c>
      <c r="K337" s="5">
        <v>0.1818</v>
      </c>
      <c r="L337" s="5">
        <v>0.64</v>
      </c>
      <c r="M337" s="5">
        <v>0.1343</v>
      </c>
      <c r="N337" s="5">
        <v>5</v>
      </c>
      <c r="O337" s="5">
        <v>38</v>
      </c>
      <c r="P337" s="5">
        <v>43</v>
      </c>
    </row>
    <row r="338" spans="1:16">
      <c r="A338" s="5">
        <v>956</v>
      </c>
      <c r="B338" s="11">
        <v>40586</v>
      </c>
      <c r="C338" s="5">
        <v>1</v>
      </c>
      <c r="D338" s="5">
        <v>0</v>
      </c>
      <c r="E338" s="5">
        <v>2</v>
      </c>
      <c r="F338" s="5">
        <v>10</v>
      </c>
      <c r="G338" s="5" t="b">
        <v>0</v>
      </c>
      <c r="H338" s="5">
        <v>6</v>
      </c>
      <c r="I338" s="5">
        <v>1</v>
      </c>
      <c r="J338" s="5">
        <v>0.22</v>
      </c>
      <c r="K338" s="5">
        <v>0.2121</v>
      </c>
      <c r="L338" s="5">
        <v>0.41</v>
      </c>
      <c r="M338" s="5">
        <v>0.2537</v>
      </c>
      <c r="N338" s="5">
        <v>13</v>
      </c>
      <c r="O338" s="5">
        <v>71</v>
      </c>
      <c r="P338" s="5">
        <v>84</v>
      </c>
    </row>
    <row r="339" spans="1:16">
      <c r="A339" s="5">
        <v>957</v>
      </c>
      <c r="B339" s="11">
        <v>40586</v>
      </c>
      <c r="C339" s="5">
        <v>1</v>
      </c>
      <c r="D339" s="5">
        <v>0</v>
      </c>
      <c r="E339" s="5">
        <v>2</v>
      </c>
      <c r="F339" s="5">
        <v>11</v>
      </c>
      <c r="G339" s="5" t="b">
        <v>0</v>
      </c>
      <c r="H339" s="5">
        <v>6</v>
      </c>
      <c r="I339" s="5">
        <v>1</v>
      </c>
      <c r="J339" s="5">
        <v>0.3</v>
      </c>
      <c r="K339" s="5">
        <v>0.2727</v>
      </c>
      <c r="L339" s="5">
        <v>0.28</v>
      </c>
      <c r="M339" s="5">
        <v>0.3284</v>
      </c>
      <c r="N339" s="5">
        <v>30</v>
      </c>
      <c r="O339" s="5">
        <v>84</v>
      </c>
      <c r="P339" s="5">
        <v>114</v>
      </c>
    </row>
    <row r="340" spans="1:16">
      <c r="A340" s="5">
        <v>958</v>
      </c>
      <c r="B340" s="11">
        <v>40586</v>
      </c>
      <c r="C340" s="5">
        <v>1</v>
      </c>
      <c r="D340" s="5">
        <v>0</v>
      </c>
      <c r="E340" s="5">
        <v>2</v>
      </c>
      <c r="F340" s="5">
        <v>12</v>
      </c>
      <c r="G340" s="5" t="b">
        <v>0</v>
      </c>
      <c r="H340" s="5">
        <v>6</v>
      </c>
      <c r="I340" s="5">
        <v>1</v>
      </c>
      <c r="J340" s="5">
        <v>0.3</v>
      </c>
      <c r="K340" s="5">
        <v>0.2727</v>
      </c>
      <c r="L340" s="5">
        <v>0.39</v>
      </c>
      <c r="M340" s="5">
        <v>0.4627</v>
      </c>
      <c r="N340" s="5">
        <v>27</v>
      </c>
      <c r="O340" s="5">
        <v>93</v>
      </c>
      <c r="P340" s="5">
        <v>120</v>
      </c>
    </row>
    <row r="341" spans="1:16">
      <c r="A341" s="5">
        <v>959</v>
      </c>
      <c r="B341" s="11">
        <v>40586</v>
      </c>
      <c r="C341" s="5">
        <v>1</v>
      </c>
      <c r="D341" s="5">
        <v>0</v>
      </c>
      <c r="E341" s="5">
        <v>2</v>
      </c>
      <c r="F341" s="5">
        <v>13</v>
      </c>
      <c r="G341" s="5" t="b">
        <v>0</v>
      </c>
      <c r="H341" s="5">
        <v>6</v>
      </c>
      <c r="I341" s="5">
        <v>1</v>
      </c>
      <c r="J341" s="5">
        <v>0.3</v>
      </c>
      <c r="K341" s="5">
        <v>0.2727</v>
      </c>
      <c r="L341" s="5">
        <v>0.39</v>
      </c>
      <c r="M341" s="5">
        <v>0.4179</v>
      </c>
      <c r="N341" s="5">
        <v>32</v>
      </c>
      <c r="O341" s="5">
        <v>103</v>
      </c>
      <c r="P341" s="5">
        <v>135</v>
      </c>
    </row>
    <row r="342" spans="1:16">
      <c r="A342" s="5">
        <v>960</v>
      </c>
      <c r="B342" s="11">
        <v>40586</v>
      </c>
      <c r="C342" s="5">
        <v>1</v>
      </c>
      <c r="D342" s="5">
        <v>0</v>
      </c>
      <c r="E342" s="5">
        <v>2</v>
      </c>
      <c r="F342" s="5">
        <v>14</v>
      </c>
      <c r="G342" s="5" t="b">
        <v>0</v>
      </c>
      <c r="H342" s="5">
        <v>6</v>
      </c>
      <c r="I342" s="5">
        <v>1</v>
      </c>
      <c r="J342" s="5">
        <v>0.34</v>
      </c>
      <c r="K342" s="5">
        <v>0.3182</v>
      </c>
      <c r="L342" s="5">
        <v>0.31</v>
      </c>
      <c r="M342" s="5">
        <v>0.2836</v>
      </c>
      <c r="N342" s="5">
        <v>30</v>
      </c>
      <c r="O342" s="5">
        <v>90</v>
      </c>
      <c r="P342" s="5">
        <v>120</v>
      </c>
    </row>
    <row r="343" spans="1:16">
      <c r="A343" s="5">
        <v>961</v>
      </c>
      <c r="B343" s="11">
        <v>40586</v>
      </c>
      <c r="C343" s="5">
        <v>1</v>
      </c>
      <c r="D343" s="5">
        <v>0</v>
      </c>
      <c r="E343" s="5">
        <v>2</v>
      </c>
      <c r="F343" s="5">
        <v>15</v>
      </c>
      <c r="G343" s="5" t="b">
        <v>0</v>
      </c>
      <c r="H343" s="5">
        <v>6</v>
      </c>
      <c r="I343" s="5">
        <v>1</v>
      </c>
      <c r="J343" s="5">
        <v>0.34</v>
      </c>
      <c r="K343" s="5">
        <v>0.303</v>
      </c>
      <c r="L343" s="5">
        <v>0.29</v>
      </c>
      <c r="M343" s="5">
        <v>0.4179</v>
      </c>
      <c r="N343" s="5">
        <v>47</v>
      </c>
      <c r="O343" s="5">
        <v>127</v>
      </c>
      <c r="P343" s="5">
        <v>174</v>
      </c>
    </row>
    <row r="344" spans="1:16">
      <c r="A344" s="5">
        <v>962</v>
      </c>
      <c r="B344" s="11">
        <v>40586</v>
      </c>
      <c r="C344" s="5">
        <v>1</v>
      </c>
      <c r="D344" s="5">
        <v>0</v>
      </c>
      <c r="E344" s="5">
        <v>2</v>
      </c>
      <c r="F344" s="5">
        <v>16</v>
      </c>
      <c r="G344" s="5" t="b">
        <v>0</v>
      </c>
      <c r="H344" s="5">
        <v>6</v>
      </c>
      <c r="I344" s="5">
        <v>1</v>
      </c>
      <c r="J344" s="5">
        <v>0.34</v>
      </c>
      <c r="K344" s="5">
        <v>0.303</v>
      </c>
      <c r="L344" s="5">
        <v>0.29</v>
      </c>
      <c r="M344" s="5">
        <v>0.4179</v>
      </c>
      <c r="N344" s="5">
        <v>42</v>
      </c>
      <c r="O344" s="5">
        <v>103</v>
      </c>
      <c r="P344" s="5">
        <v>145</v>
      </c>
    </row>
    <row r="345" spans="1:16">
      <c r="A345" s="5">
        <v>963</v>
      </c>
      <c r="B345" s="11">
        <v>40586</v>
      </c>
      <c r="C345" s="5">
        <v>1</v>
      </c>
      <c r="D345" s="5">
        <v>0</v>
      </c>
      <c r="E345" s="5">
        <v>2</v>
      </c>
      <c r="F345" s="5">
        <v>17</v>
      </c>
      <c r="G345" s="5" t="b">
        <v>0</v>
      </c>
      <c r="H345" s="5">
        <v>6</v>
      </c>
      <c r="I345" s="5">
        <v>1</v>
      </c>
      <c r="J345" s="5">
        <v>0.32</v>
      </c>
      <c r="K345" s="5">
        <v>0.2879</v>
      </c>
      <c r="L345" s="5">
        <v>0.31</v>
      </c>
      <c r="M345" s="5">
        <v>0.5224</v>
      </c>
      <c r="N345" s="5">
        <v>24</v>
      </c>
      <c r="O345" s="5">
        <v>113</v>
      </c>
      <c r="P345" s="5">
        <v>137</v>
      </c>
    </row>
    <row r="346" spans="1:16">
      <c r="A346" s="5">
        <v>964</v>
      </c>
      <c r="B346" s="11">
        <v>40586</v>
      </c>
      <c r="C346" s="5">
        <v>1</v>
      </c>
      <c r="D346" s="5">
        <v>0</v>
      </c>
      <c r="E346" s="5">
        <v>2</v>
      </c>
      <c r="F346" s="5">
        <v>18</v>
      </c>
      <c r="G346" s="5" t="b">
        <v>0</v>
      </c>
      <c r="H346" s="5">
        <v>6</v>
      </c>
      <c r="I346" s="5">
        <v>1</v>
      </c>
      <c r="J346" s="5">
        <v>0.28</v>
      </c>
      <c r="K346" s="5">
        <v>0.2576</v>
      </c>
      <c r="L346" s="5">
        <v>0.38</v>
      </c>
      <c r="M346" s="5">
        <v>0.3284</v>
      </c>
      <c r="N346" s="5">
        <v>4</v>
      </c>
      <c r="O346" s="5">
        <v>60</v>
      </c>
      <c r="P346" s="5">
        <v>64</v>
      </c>
    </row>
    <row r="347" spans="1:16">
      <c r="A347" s="5">
        <v>965</v>
      </c>
      <c r="B347" s="11">
        <v>40586</v>
      </c>
      <c r="C347" s="5">
        <v>1</v>
      </c>
      <c r="D347" s="5">
        <v>0</v>
      </c>
      <c r="E347" s="5">
        <v>2</v>
      </c>
      <c r="F347" s="5">
        <v>19</v>
      </c>
      <c r="G347" s="5" t="b">
        <v>0</v>
      </c>
      <c r="H347" s="5">
        <v>6</v>
      </c>
      <c r="I347" s="5">
        <v>1</v>
      </c>
      <c r="J347" s="5">
        <v>0.28</v>
      </c>
      <c r="K347" s="5">
        <v>0.2727</v>
      </c>
      <c r="L347" s="5">
        <v>0.38</v>
      </c>
      <c r="M347" s="5">
        <v>0.1642</v>
      </c>
      <c r="N347" s="5">
        <v>2</v>
      </c>
      <c r="O347" s="5">
        <v>39</v>
      </c>
      <c r="P347" s="5">
        <v>41</v>
      </c>
    </row>
    <row r="348" spans="1:16">
      <c r="A348" s="5">
        <v>966</v>
      </c>
      <c r="B348" s="11">
        <v>40586</v>
      </c>
      <c r="C348" s="5">
        <v>1</v>
      </c>
      <c r="D348" s="5">
        <v>0</v>
      </c>
      <c r="E348" s="5">
        <v>2</v>
      </c>
      <c r="F348" s="5">
        <v>20</v>
      </c>
      <c r="G348" s="5" t="b">
        <v>0</v>
      </c>
      <c r="H348" s="5">
        <v>6</v>
      </c>
      <c r="I348" s="5">
        <v>1</v>
      </c>
      <c r="J348" s="5">
        <v>0.26</v>
      </c>
      <c r="K348" s="5">
        <v>0.2576</v>
      </c>
      <c r="L348" s="5">
        <v>0.41</v>
      </c>
      <c r="M348" s="5">
        <v>0.2239</v>
      </c>
      <c r="N348" s="5">
        <v>1</v>
      </c>
      <c r="O348" s="5">
        <v>39</v>
      </c>
      <c r="P348" s="5">
        <v>40</v>
      </c>
    </row>
    <row r="349" spans="1:16">
      <c r="A349" s="5">
        <v>967</v>
      </c>
      <c r="B349" s="11">
        <v>40586</v>
      </c>
      <c r="C349" s="5">
        <v>1</v>
      </c>
      <c r="D349" s="5">
        <v>0</v>
      </c>
      <c r="E349" s="5">
        <v>2</v>
      </c>
      <c r="F349" s="5">
        <v>21</v>
      </c>
      <c r="G349" s="5" t="b">
        <v>0</v>
      </c>
      <c r="H349" s="5">
        <v>6</v>
      </c>
      <c r="I349" s="5">
        <v>1</v>
      </c>
      <c r="J349" s="5">
        <v>0.26</v>
      </c>
      <c r="K349" s="5">
        <v>0.303</v>
      </c>
      <c r="L349" s="5">
        <v>0.41</v>
      </c>
      <c r="M349" s="5">
        <v>0</v>
      </c>
      <c r="N349" s="5">
        <v>9</v>
      </c>
      <c r="O349" s="5">
        <v>42</v>
      </c>
      <c r="P349" s="5">
        <v>51</v>
      </c>
    </row>
    <row r="350" spans="1:16">
      <c r="A350" s="5">
        <v>968</v>
      </c>
      <c r="B350" s="11">
        <v>40586</v>
      </c>
      <c r="C350" s="5">
        <v>1</v>
      </c>
      <c r="D350" s="5">
        <v>0</v>
      </c>
      <c r="E350" s="5">
        <v>2</v>
      </c>
      <c r="F350" s="5">
        <v>22</v>
      </c>
      <c r="G350" s="5" t="b">
        <v>0</v>
      </c>
      <c r="H350" s="5">
        <v>6</v>
      </c>
      <c r="I350" s="5">
        <v>1</v>
      </c>
      <c r="J350" s="5">
        <v>0.24</v>
      </c>
      <c r="K350" s="5">
        <v>0.2576</v>
      </c>
      <c r="L350" s="5">
        <v>0.44</v>
      </c>
      <c r="M350" s="5">
        <v>0.0896</v>
      </c>
      <c r="N350" s="5">
        <v>6</v>
      </c>
      <c r="O350" s="5">
        <v>39</v>
      </c>
      <c r="P350" s="5">
        <v>45</v>
      </c>
    </row>
    <row r="351" spans="1:16">
      <c r="A351" s="5">
        <v>969</v>
      </c>
      <c r="B351" s="11">
        <v>40586</v>
      </c>
      <c r="C351" s="5">
        <v>1</v>
      </c>
      <c r="D351" s="5">
        <v>0</v>
      </c>
      <c r="E351" s="5">
        <v>2</v>
      </c>
      <c r="F351" s="5">
        <v>23</v>
      </c>
      <c r="G351" s="5" t="b">
        <v>0</v>
      </c>
      <c r="H351" s="5">
        <v>6</v>
      </c>
      <c r="I351" s="5">
        <v>1</v>
      </c>
      <c r="J351" s="5">
        <v>0.22</v>
      </c>
      <c r="K351" s="5">
        <v>0.2273</v>
      </c>
      <c r="L351" s="5">
        <v>0.51</v>
      </c>
      <c r="M351" s="5">
        <v>0.1343</v>
      </c>
      <c r="N351" s="5">
        <v>1</v>
      </c>
      <c r="O351" s="5">
        <v>31</v>
      </c>
      <c r="P351" s="5">
        <v>32</v>
      </c>
    </row>
    <row r="352" spans="1:16">
      <c r="A352" s="5">
        <v>970</v>
      </c>
      <c r="B352" s="11">
        <v>40587</v>
      </c>
      <c r="C352" s="5">
        <v>1</v>
      </c>
      <c r="D352" s="5">
        <v>0</v>
      </c>
      <c r="E352" s="5">
        <v>2</v>
      </c>
      <c r="F352" s="5">
        <v>0</v>
      </c>
      <c r="G352" s="5" t="b">
        <v>0</v>
      </c>
      <c r="H352" s="5">
        <v>0</v>
      </c>
      <c r="I352" s="5">
        <v>1</v>
      </c>
      <c r="J352" s="5">
        <v>0.2</v>
      </c>
      <c r="K352" s="5">
        <v>0.2273</v>
      </c>
      <c r="L352" s="5">
        <v>0.64</v>
      </c>
      <c r="M352" s="5">
        <v>0.1045</v>
      </c>
      <c r="N352" s="5">
        <v>5</v>
      </c>
      <c r="O352" s="5">
        <v>34</v>
      </c>
      <c r="P352" s="5">
        <v>39</v>
      </c>
    </row>
    <row r="353" spans="1:16">
      <c r="A353" s="5">
        <v>971</v>
      </c>
      <c r="B353" s="11">
        <v>40587</v>
      </c>
      <c r="C353" s="5">
        <v>1</v>
      </c>
      <c r="D353" s="5">
        <v>0</v>
      </c>
      <c r="E353" s="5">
        <v>2</v>
      </c>
      <c r="F353" s="5">
        <v>1</v>
      </c>
      <c r="G353" s="5" t="b">
        <v>0</v>
      </c>
      <c r="H353" s="5">
        <v>0</v>
      </c>
      <c r="I353" s="5">
        <v>1</v>
      </c>
      <c r="J353" s="5">
        <v>0.2</v>
      </c>
      <c r="K353" s="5">
        <v>0.2273</v>
      </c>
      <c r="L353" s="5">
        <v>0.59</v>
      </c>
      <c r="M353" s="5">
        <v>0.0896</v>
      </c>
      <c r="N353" s="5">
        <v>1</v>
      </c>
      <c r="O353" s="5">
        <v>23</v>
      </c>
      <c r="P353" s="5">
        <v>24</v>
      </c>
    </row>
    <row r="354" spans="1:16">
      <c r="A354" s="5">
        <v>972</v>
      </c>
      <c r="B354" s="11">
        <v>40587</v>
      </c>
      <c r="C354" s="5">
        <v>1</v>
      </c>
      <c r="D354" s="5">
        <v>0</v>
      </c>
      <c r="E354" s="5">
        <v>2</v>
      </c>
      <c r="F354" s="5">
        <v>2</v>
      </c>
      <c r="G354" s="5" t="b">
        <v>0</v>
      </c>
      <c r="H354" s="5">
        <v>0</v>
      </c>
      <c r="I354" s="5">
        <v>2</v>
      </c>
      <c r="J354" s="5">
        <v>0.2</v>
      </c>
      <c r="K354" s="5">
        <v>0.2273</v>
      </c>
      <c r="L354" s="5">
        <v>0.75</v>
      </c>
      <c r="M354" s="5">
        <v>0.0896</v>
      </c>
      <c r="N354" s="5">
        <v>1</v>
      </c>
      <c r="O354" s="5">
        <v>19</v>
      </c>
      <c r="P354" s="5">
        <v>20</v>
      </c>
    </row>
    <row r="355" spans="1:16">
      <c r="A355" s="5">
        <v>973</v>
      </c>
      <c r="B355" s="11">
        <v>40587</v>
      </c>
      <c r="C355" s="5">
        <v>1</v>
      </c>
      <c r="D355" s="5">
        <v>0</v>
      </c>
      <c r="E355" s="5">
        <v>2</v>
      </c>
      <c r="F355" s="5">
        <v>3</v>
      </c>
      <c r="G355" s="5" t="b">
        <v>0</v>
      </c>
      <c r="H355" s="5">
        <v>0</v>
      </c>
      <c r="I355" s="5">
        <v>2</v>
      </c>
      <c r="J355" s="5">
        <v>0.2</v>
      </c>
      <c r="K355" s="5">
        <v>0.2273</v>
      </c>
      <c r="L355" s="5">
        <v>0.6899999999999999</v>
      </c>
      <c r="M355" s="5">
        <v>0.1045</v>
      </c>
      <c r="N355" s="5">
        <v>4</v>
      </c>
      <c r="O355" s="5">
        <v>8</v>
      </c>
      <c r="P355" s="5">
        <v>12</v>
      </c>
    </row>
    <row r="356" spans="1:16">
      <c r="A356" s="5">
        <v>974</v>
      </c>
      <c r="B356" s="11">
        <v>40587</v>
      </c>
      <c r="C356" s="5">
        <v>1</v>
      </c>
      <c r="D356" s="5">
        <v>0</v>
      </c>
      <c r="E356" s="5">
        <v>2</v>
      </c>
      <c r="F356" s="5">
        <v>4</v>
      </c>
      <c r="G356" s="5" t="b">
        <v>0</v>
      </c>
      <c r="H356" s="5">
        <v>0</v>
      </c>
      <c r="I356" s="5">
        <v>2</v>
      </c>
      <c r="J356" s="5">
        <v>0.2</v>
      </c>
      <c r="K356" s="5">
        <v>0.2121</v>
      </c>
      <c r="L356" s="5">
        <v>0.6899999999999999</v>
      </c>
      <c r="M356" s="5">
        <v>0.1642</v>
      </c>
      <c r="N356" s="5">
        <v>0</v>
      </c>
      <c r="O356" s="5">
        <v>2</v>
      </c>
      <c r="P356" s="5">
        <v>2</v>
      </c>
    </row>
    <row r="357" spans="1:16">
      <c r="A357" s="5">
        <v>975</v>
      </c>
      <c r="B357" s="11">
        <v>40587</v>
      </c>
      <c r="C357" s="5">
        <v>1</v>
      </c>
      <c r="D357" s="5">
        <v>0</v>
      </c>
      <c r="E357" s="5">
        <v>2</v>
      </c>
      <c r="F357" s="5">
        <v>6</v>
      </c>
      <c r="G357" s="5" t="b">
        <v>0</v>
      </c>
      <c r="H357" s="5">
        <v>0</v>
      </c>
      <c r="I357" s="5">
        <v>2</v>
      </c>
      <c r="J357" s="5">
        <v>0.2</v>
      </c>
      <c r="K357" s="5">
        <v>0.2121</v>
      </c>
      <c r="L357" s="5">
        <v>0.6899999999999999</v>
      </c>
      <c r="M357" s="5">
        <v>0.1343</v>
      </c>
      <c r="N357" s="5">
        <v>2</v>
      </c>
      <c r="O357" s="5">
        <v>3</v>
      </c>
      <c r="P357" s="5">
        <v>5</v>
      </c>
    </row>
    <row r="358" spans="1:16">
      <c r="A358" s="5">
        <v>976</v>
      </c>
      <c r="B358" s="11">
        <v>40587</v>
      </c>
      <c r="C358" s="5">
        <v>1</v>
      </c>
      <c r="D358" s="5">
        <v>0</v>
      </c>
      <c r="E358" s="5">
        <v>2</v>
      </c>
      <c r="F358" s="5">
        <v>7</v>
      </c>
      <c r="G358" s="5" t="b">
        <v>0</v>
      </c>
      <c r="H358" s="5">
        <v>0</v>
      </c>
      <c r="I358" s="5">
        <v>2</v>
      </c>
      <c r="J358" s="5">
        <v>0.22</v>
      </c>
      <c r="K358" s="5">
        <v>0.2727</v>
      </c>
      <c r="L358" s="5">
        <v>0.55</v>
      </c>
      <c r="M358" s="5">
        <v>0</v>
      </c>
      <c r="N358" s="5">
        <v>0</v>
      </c>
      <c r="O358" s="5">
        <v>3</v>
      </c>
      <c r="P358" s="5">
        <v>3</v>
      </c>
    </row>
    <row r="359" spans="1:16">
      <c r="A359" s="5">
        <v>977</v>
      </c>
      <c r="B359" s="11">
        <v>40587</v>
      </c>
      <c r="C359" s="5">
        <v>1</v>
      </c>
      <c r="D359" s="5">
        <v>0</v>
      </c>
      <c r="E359" s="5">
        <v>2</v>
      </c>
      <c r="F359" s="5">
        <v>8</v>
      </c>
      <c r="G359" s="5" t="b">
        <v>0</v>
      </c>
      <c r="H359" s="5">
        <v>0</v>
      </c>
      <c r="I359" s="5">
        <v>2</v>
      </c>
      <c r="J359" s="5">
        <v>0.22</v>
      </c>
      <c r="K359" s="5">
        <v>0.2273</v>
      </c>
      <c r="L359" s="5">
        <v>0.64</v>
      </c>
      <c r="M359" s="5">
        <v>0.194</v>
      </c>
      <c r="N359" s="5">
        <v>1</v>
      </c>
      <c r="O359" s="5">
        <v>11</v>
      </c>
      <c r="P359" s="5">
        <v>12</v>
      </c>
    </row>
    <row r="360" spans="1:16">
      <c r="A360" s="5">
        <v>978</v>
      </c>
      <c r="B360" s="11">
        <v>40587</v>
      </c>
      <c r="C360" s="5">
        <v>1</v>
      </c>
      <c r="D360" s="5">
        <v>0</v>
      </c>
      <c r="E360" s="5">
        <v>2</v>
      </c>
      <c r="F360" s="5">
        <v>9</v>
      </c>
      <c r="G360" s="5" t="b">
        <v>0</v>
      </c>
      <c r="H360" s="5">
        <v>0</v>
      </c>
      <c r="I360" s="5">
        <v>2</v>
      </c>
      <c r="J360" s="5">
        <v>0.24</v>
      </c>
      <c r="K360" s="5">
        <v>0.2273</v>
      </c>
      <c r="L360" s="5">
        <v>0.6</v>
      </c>
      <c r="M360" s="5">
        <v>0.2239</v>
      </c>
      <c r="N360" s="5">
        <v>12</v>
      </c>
      <c r="O360" s="5">
        <v>35</v>
      </c>
      <c r="P360" s="5">
        <v>47</v>
      </c>
    </row>
    <row r="361" spans="1:16">
      <c r="A361" s="5">
        <v>979</v>
      </c>
      <c r="B361" s="11">
        <v>40587</v>
      </c>
      <c r="C361" s="5">
        <v>1</v>
      </c>
      <c r="D361" s="5">
        <v>0</v>
      </c>
      <c r="E361" s="5">
        <v>2</v>
      </c>
      <c r="F361" s="5">
        <v>10</v>
      </c>
      <c r="G361" s="5" t="b">
        <v>0</v>
      </c>
      <c r="H361" s="5">
        <v>0</v>
      </c>
      <c r="I361" s="5">
        <v>1</v>
      </c>
      <c r="J361" s="5">
        <v>0.3</v>
      </c>
      <c r="K361" s="5">
        <v>0.2727</v>
      </c>
      <c r="L361" s="5">
        <v>0.45</v>
      </c>
      <c r="M361" s="5">
        <v>0.3284</v>
      </c>
      <c r="N361" s="5">
        <v>19</v>
      </c>
      <c r="O361" s="5">
        <v>86</v>
      </c>
      <c r="P361" s="5">
        <v>105</v>
      </c>
    </row>
    <row r="362" spans="1:16">
      <c r="A362" s="5">
        <v>980</v>
      </c>
      <c r="B362" s="11">
        <v>40587</v>
      </c>
      <c r="C362" s="5">
        <v>1</v>
      </c>
      <c r="D362" s="5">
        <v>0</v>
      </c>
      <c r="E362" s="5">
        <v>2</v>
      </c>
      <c r="F362" s="5">
        <v>11</v>
      </c>
      <c r="G362" s="5" t="b">
        <v>0</v>
      </c>
      <c r="H362" s="5">
        <v>0</v>
      </c>
      <c r="I362" s="5">
        <v>1</v>
      </c>
      <c r="J362" s="5">
        <v>0.32</v>
      </c>
      <c r="K362" s="5">
        <v>0.2879</v>
      </c>
      <c r="L362" s="5">
        <v>0.39</v>
      </c>
      <c r="M362" s="5">
        <v>0.4478</v>
      </c>
      <c r="N362" s="5">
        <v>26</v>
      </c>
      <c r="O362" s="5">
        <v>86</v>
      </c>
      <c r="P362" s="5">
        <v>112</v>
      </c>
    </row>
    <row r="363" spans="1:16">
      <c r="A363" s="5">
        <v>981</v>
      </c>
      <c r="B363" s="11">
        <v>40587</v>
      </c>
      <c r="C363" s="5">
        <v>1</v>
      </c>
      <c r="D363" s="5">
        <v>0</v>
      </c>
      <c r="E363" s="5">
        <v>2</v>
      </c>
      <c r="F363" s="5">
        <v>12</v>
      </c>
      <c r="G363" s="5" t="b">
        <v>0</v>
      </c>
      <c r="H363" s="5">
        <v>0</v>
      </c>
      <c r="I363" s="5">
        <v>1</v>
      </c>
      <c r="J363" s="5">
        <v>0.36</v>
      </c>
      <c r="K363" s="5">
        <v>0.3182</v>
      </c>
      <c r="L363" s="5">
        <v>0.32</v>
      </c>
      <c r="M363" s="5">
        <v>0.4627</v>
      </c>
      <c r="N363" s="5">
        <v>58</v>
      </c>
      <c r="O363" s="5">
        <v>94</v>
      </c>
      <c r="P363" s="5">
        <v>152</v>
      </c>
    </row>
    <row r="364" spans="1:16">
      <c r="A364" s="5">
        <v>982</v>
      </c>
      <c r="B364" s="11">
        <v>40587</v>
      </c>
      <c r="C364" s="5">
        <v>1</v>
      </c>
      <c r="D364" s="5">
        <v>0</v>
      </c>
      <c r="E364" s="5">
        <v>2</v>
      </c>
      <c r="F364" s="5">
        <v>13</v>
      </c>
      <c r="G364" s="5" t="b">
        <v>0</v>
      </c>
      <c r="H364" s="5">
        <v>0</v>
      </c>
      <c r="I364" s="5">
        <v>1</v>
      </c>
      <c r="J364" s="5">
        <v>0.38</v>
      </c>
      <c r="K364" s="5">
        <v>0.3939</v>
      </c>
      <c r="L364" s="5">
        <v>0.29</v>
      </c>
      <c r="M364" s="5">
        <v>0.3582</v>
      </c>
      <c r="N364" s="5">
        <v>62</v>
      </c>
      <c r="O364" s="5">
        <v>92</v>
      </c>
      <c r="P364" s="5">
        <v>154</v>
      </c>
    </row>
    <row r="365" spans="1:16">
      <c r="A365" s="5">
        <v>983</v>
      </c>
      <c r="B365" s="11">
        <v>40587</v>
      </c>
      <c r="C365" s="5">
        <v>1</v>
      </c>
      <c r="D365" s="5">
        <v>0</v>
      </c>
      <c r="E365" s="5">
        <v>2</v>
      </c>
      <c r="F365" s="5">
        <v>14</v>
      </c>
      <c r="G365" s="5" t="b">
        <v>0</v>
      </c>
      <c r="H365" s="5">
        <v>0</v>
      </c>
      <c r="I365" s="5">
        <v>2</v>
      </c>
      <c r="J365" s="5">
        <v>0.4</v>
      </c>
      <c r="K365" s="5">
        <v>0.4091</v>
      </c>
      <c r="L365" s="5">
        <v>0.3</v>
      </c>
      <c r="M365" s="5">
        <v>0.4179</v>
      </c>
      <c r="N365" s="5">
        <v>51</v>
      </c>
      <c r="O365" s="5">
        <v>110</v>
      </c>
      <c r="P365" s="5">
        <v>161</v>
      </c>
    </row>
    <row r="366" spans="1:16">
      <c r="A366" s="5">
        <v>984</v>
      </c>
      <c r="B366" s="11">
        <v>40587</v>
      </c>
      <c r="C366" s="5">
        <v>1</v>
      </c>
      <c r="D366" s="5">
        <v>0</v>
      </c>
      <c r="E366" s="5">
        <v>2</v>
      </c>
      <c r="F366" s="5">
        <v>15</v>
      </c>
      <c r="G366" s="5" t="b">
        <v>0</v>
      </c>
      <c r="H366" s="5">
        <v>0</v>
      </c>
      <c r="I366" s="5">
        <v>2</v>
      </c>
      <c r="J366" s="5">
        <v>0.4</v>
      </c>
      <c r="K366" s="5">
        <v>0.4091</v>
      </c>
      <c r="L366" s="5">
        <v>0.3</v>
      </c>
      <c r="M366" s="5">
        <v>0.2985</v>
      </c>
      <c r="N366" s="5">
        <v>40</v>
      </c>
      <c r="O366" s="5">
        <v>122</v>
      </c>
      <c r="P366" s="5">
        <v>162</v>
      </c>
    </row>
    <row r="367" spans="1:16">
      <c r="A367" s="5">
        <v>985</v>
      </c>
      <c r="B367" s="11">
        <v>40587</v>
      </c>
      <c r="C367" s="5">
        <v>1</v>
      </c>
      <c r="D367" s="5">
        <v>0</v>
      </c>
      <c r="E367" s="5">
        <v>2</v>
      </c>
      <c r="F367" s="5">
        <v>16</v>
      </c>
      <c r="G367" s="5" t="b">
        <v>0</v>
      </c>
      <c r="H367" s="5">
        <v>0</v>
      </c>
      <c r="I367" s="5">
        <v>2</v>
      </c>
      <c r="J367" s="5">
        <v>0.42</v>
      </c>
      <c r="K367" s="5">
        <v>0.4242</v>
      </c>
      <c r="L367" s="5">
        <v>0.28</v>
      </c>
      <c r="M367" s="5">
        <v>0.3284</v>
      </c>
      <c r="N367" s="5">
        <v>28</v>
      </c>
      <c r="O367" s="5">
        <v>106</v>
      </c>
      <c r="P367" s="5">
        <v>134</v>
      </c>
    </row>
    <row r="368" spans="1:16">
      <c r="A368" s="5">
        <v>986</v>
      </c>
      <c r="B368" s="11">
        <v>40587</v>
      </c>
      <c r="C368" s="5">
        <v>1</v>
      </c>
      <c r="D368" s="5">
        <v>0</v>
      </c>
      <c r="E368" s="5">
        <v>2</v>
      </c>
      <c r="F368" s="5">
        <v>17</v>
      </c>
      <c r="G368" s="5" t="b">
        <v>0</v>
      </c>
      <c r="H368" s="5">
        <v>0</v>
      </c>
      <c r="I368" s="5">
        <v>1</v>
      </c>
      <c r="J368" s="5">
        <v>0.42</v>
      </c>
      <c r="K368" s="5">
        <v>0.4242</v>
      </c>
      <c r="L368" s="5">
        <v>0.28</v>
      </c>
      <c r="M368" s="5">
        <v>0.3284</v>
      </c>
      <c r="N368" s="5">
        <v>30</v>
      </c>
      <c r="O368" s="5">
        <v>95</v>
      </c>
      <c r="P368" s="5">
        <v>125</v>
      </c>
    </row>
    <row r="369" spans="1:16">
      <c r="A369" s="5">
        <v>987</v>
      </c>
      <c r="B369" s="11">
        <v>40587</v>
      </c>
      <c r="C369" s="5">
        <v>1</v>
      </c>
      <c r="D369" s="5">
        <v>0</v>
      </c>
      <c r="E369" s="5">
        <v>2</v>
      </c>
      <c r="F369" s="5">
        <v>18</v>
      </c>
      <c r="G369" s="5" t="b">
        <v>0</v>
      </c>
      <c r="H369" s="5">
        <v>0</v>
      </c>
      <c r="I369" s="5">
        <v>1</v>
      </c>
      <c r="J369" s="5">
        <v>0.4</v>
      </c>
      <c r="K369" s="5">
        <v>0.4091</v>
      </c>
      <c r="L369" s="5">
        <v>0.32</v>
      </c>
      <c r="M369" s="5">
        <v>0.2985</v>
      </c>
      <c r="N369" s="5">
        <v>17</v>
      </c>
      <c r="O369" s="5">
        <v>78</v>
      </c>
      <c r="P369" s="5">
        <v>95</v>
      </c>
    </row>
    <row r="370" spans="1:16">
      <c r="A370" s="5">
        <v>988</v>
      </c>
      <c r="B370" s="11">
        <v>40587</v>
      </c>
      <c r="C370" s="5">
        <v>1</v>
      </c>
      <c r="D370" s="5">
        <v>0</v>
      </c>
      <c r="E370" s="5">
        <v>2</v>
      </c>
      <c r="F370" s="5">
        <v>19</v>
      </c>
      <c r="G370" s="5" t="b">
        <v>0</v>
      </c>
      <c r="H370" s="5">
        <v>0</v>
      </c>
      <c r="I370" s="5">
        <v>1</v>
      </c>
      <c r="J370" s="5">
        <v>0.4</v>
      </c>
      <c r="K370" s="5">
        <v>0.4091</v>
      </c>
      <c r="L370" s="5">
        <v>0.35</v>
      </c>
      <c r="M370" s="5">
        <v>0.2836</v>
      </c>
      <c r="N370" s="5">
        <v>11</v>
      </c>
      <c r="O370" s="5">
        <v>50</v>
      </c>
      <c r="P370" s="5">
        <v>61</v>
      </c>
    </row>
    <row r="371" spans="1:16">
      <c r="A371" s="5">
        <v>989</v>
      </c>
      <c r="B371" s="11">
        <v>40587</v>
      </c>
      <c r="C371" s="5">
        <v>1</v>
      </c>
      <c r="D371" s="5">
        <v>0</v>
      </c>
      <c r="E371" s="5">
        <v>2</v>
      </c>
      <c r="F371" s="5">
        <v>20</v>
      </c>
      <c r="G371" s="5" t="b">
        <v>0</v>
      </c>
      <c r="H371" s="5">
        <v>0</v>
      </c>
      <c r="I371" s="5">
        <v>1</v>
      </c>
      <c r="J371" s="5">
        <v>0.4</v>
      </c>
      <c r="K371" s="5">
        <v>0.4091</v>
      </c>
      <c r="L371" s="5">
        <v>0.35</v>
      </c>
      <c r="M371" s="5">
        <v>0.3284</v>
      </c>
      <c r="N371" s="5">
        <v>15</v>
      </c>
      <c r="O371" s="5">
        <v>32</v>
      </c>
      <c r="P371" s="5">
        <v>47</v>
      </c>
    </row>
    <row r="372" spans="1:16">
      <c r="A372" s="5">
        <v>990</v>
      </c>
      <c r="B372" s="11">
        <v>40587</v>
      </c>
      <c r="C372" s="5">
        <v>1</v>
      </c>
      <c r="D372" s="5">
        <v>0</v>
      </c>
      <c r="E372" s="5">
        <v>2</v>
      </c>
      <c r="F372" s="5">
        <v>21</v>
      </c>
      <c r="G372" s="5" t="b">
        <v>0</v>
      </c>
      <c r="H372" s="5">
        <v>0</v>
      </c>
      <c r="I372" s="5">
        <v>1</v>
      </c>
      <c r="J372" s="5">
        <v>0.4</v>
      </c>
      <c r="K372" s="5">
        <v>0.4091</v>
      </c>
      <c r="L372" s="5">
        <v>0.35</v>
      </c>
      <c r="M372" s="5">
        <v>0.3582</v>
      </c>
      <c r="N372" s="5">
        <v>6</v>
      </c>
      <c r="O372" s="5">
        <v>45</v>
      </c>
      <c r="P372" s="5">
        <v>51</v>
      </c>
    </row>
    <row r="373" spans="1:16">
      <c r="A373" s="5">
        <v>991</v>
      </c>
      <c r="B373" s="11">
        <v>40587</v>
      </c>
      <c r="C373" s="5">
        <v>1</v>
      </c>
      <c r="D373" s="5">
        <v>0</v>
      </c>
      <c r="E373" s="5">
        <v>2</v>
      </c>
      <c r="F373" s="5">
        <v>22</v>
      </c>
      <c r="G373" s="5" t="b">
        <v>0</v>
      </c>
      <c r="H373" s="5">
        <v>0</v>
      </c>
      <c r="I373" s="5">
        <v>1</v>
      </c>
      <c r="J373" s="5">
        <v>0.4</v>
      </c>
      <c r="K373" s="5">
        <v>0.4091</v>
      </c>
      <c r="L373" s="5">
        <v>0.35</v>
      </c>
      <c r="M373" s="5">
        <v>0.2985</v>
      </c>
      <c r="N373" s="5">
        <v>5</v>
      </c>
      <c r="O373" s="5">
        <v>31</v>
      </c>
      <c r="P373" s="5">
        <v>36</v>
      </c>
    </row>
    <row r="374" spans="1:16">
      <c r="A374" s="5">
        <v>992</v>
      </c>
      <c r="B374" s="11">
        <v>40587</v>
      </c>
      <c r="C374" s="5">
        <v>1</v>
      </c>
      <c r="D374" s="5">
        <v>0</v>
      </c>
      <c r="E374" s="5">
        <v>2</v>
      </c>
      <c r="F374" s="5">
        <v>23</v>
      </c>
      <c r="G374" s="5" t="b">
        <v>0</v>
      </c>
      <c r="H374" s="5">
        <v>0</v>
      </c>
      <c r="I374" s="5">
        <v>1</v>
      </c>
      <c r="J374" s="5">
        <v>0.4</v>
      </c>
      <c r="K374" s="5">
        <v>0.4091</v>
      </c>
      <c r="L374" s="5">
        <v>0.35</v>
      </c>
      <c r="M374" s="5">
        <v>0.3582</v>
      </c>
      <c r="N374" s="5">
        <v>3</v>
      </c>
      <c r="O374" s="5">
        <v>27</v>
      </c>
      <c r="P374" s="5">
        <v>30</v>
      </c>
    </row>
    <row r="375" spans="1:16">
      <c r="A375" s="5">
        <v>993</v>
      </c>
      <c r="B375" s="11">
        <v>40588</v>
      </c>
      <c r="C375" s="5">
        <v>1</v>
      </c>
      <c r="D375" s="5">
        <v>0</v>
      </c>
      <c r="E375" s="5">
        <v>2</v>
      </c>
      <c r="F375" s="5">
        <v>0</v>
      </c>
      <c r="G375" s="5" t="b">
        <v>0</v>
      </c>
      <c r="H375" s="5">
        <v>1</v>
      </c>
      <c r="I375" s="5">
        <v>1</v>
      </c>
      <c r="J375" s="5">
        <v>0.38</v>
      </c>
      <c r="K375" s="5">
        <v>0.3939</v>
      </c>
      <c r="L375" s="5">
        <v>0.37</v>
      </c>
      <c r="M375" s="5">
        <v>0.3582</v>
      </c>
      <c r="N375" s="5">
        <v>3</v>
      </c>
      <c r="O375" s="5">
        <v>8</v>
      </c>
      <c r="P375" s="5">
        <v>11</v>
      </c>
    </row>
    <row r="376" spans="1:16">
      <c r="A376" s="5">
        <v>994</v>
      </c>
      <c r="B376" s="11">
        <v>40588</v>
      </c>
      <c r="C376" s="5">
        <v>1</v>
      </c>
      <c r="D376" s="5">
        <v>0</v>
      </c>
      <c r="E376" s="5">
        <v>2</v>
      </c>
      <c r="F376" s="5">
        <v>1</v>
      </c>
      <c r="G376" s="5" t="b">
        <v>0</v>
      </c>
      <c r="H376" s="5">
        <v>1</v>
      </c>
      <c r="I376" s="5">
        <v>1</v>
      </c>
      <c r="J376" s="5">
        <v>0.38</v>
      </c>
      <c r="K376" s="5">
        <v>0.3939</v>
      </c>
      <c r="L376" s="5">
        <v>0.37</v>
      </c>
      <c r="M376" s="5">
        <v>0.3582</v>
      </c>
      <c r="N376" s="5">
        <v>1</v>
      </c>
      <c r="O376" s="5">
        <v>6</v>
      </c>
      <c r="P376" s="5">
        <v>7</v>
      </c>
    </row>
    <row r="377" spans="1:16">
      <c r="A377" s="5">
        <v>995</v>
      </c>
      <c r="B377" s="11">
        <v>40588</v>
      </c>
      <c r="C377" s="5">
        <v>1</v>
      </c>
      <c r="D377" s="5">
        <v>0</v>
      </c>
      <c r="E377" s="5">
        <v>2</v>
      </c>
      <c r="F377" s="5">
        <v>2</v>
      </c>
      <c r="G377" s="5" t="b">
        <v>0</v>
      </c>
      <c r="H377" s="5">
        <v>1</v>
      </c>
      <c r="I377" s="5">
        <v>1</v>
      </c>
      <c r="J377" s="5">
        <v>0.36</v>
      </c>
      <c r="K377" s="5">
        <v>0.3333</v>
      </c>
      <c r="L377" s="5">
        <v>0.4</v>
      </c>
      <c r="M377" s="5">
        <v>0.2985</v>
      </c>
      <c r="N377" s="5">
        <v>0</v>
      </c>
      <c r="O377" s="5">
        <v>2</v>
      </c>
      <c r="P377" s="5">
        <v>2</v>
      </c>
    </row>
    <row r="378" spans="1:16">
      <c r="A378" s="5">
        <v>996</v>
      </c>
      <c r="B378" s="11">
        <v>40588</v>
      </c>
      <c r="C378" s="5">
        <v>1</v>
      </c>
      <c r="D378" s="5">
        <v>0</v>
      </c>
      <c r="E378" s="5">
        <v>2</v>
      </c>
      <c r="F378" s="5">
        <v>3</v>
      </c>
      <c r="G378" s="5" t="b">
        <v>0</v>
      </c>
      <c r="H378" s="5">
        <v>1</v>
      </c>
      <c r="I378" s="5">
        <v>1</v>
      </c>
      <c r="J378" s="5">
        <v>0.34</v>
      </c>
      <c r="K378" s="5">
        <v>0.3182</v>
      </c>
      <c r="L378" s="5">
        <v>0.46</v>
      </c>
      <c r="M378" s="5">
        <v>0.2239</v>
      </c>
      <c r="N378" s="5">
        <v>1</v>
      </c>
      <c r="O378" s="5">
        <v>1</v>
      </c>
      <c r="P378" s="5">
        <v>2</v>
      </c>
    </row>
    <row r="379" spans="1:16">
      <c r="A379" s="5">
        <v>997</v>
      </c>
      <c r="B379" s="11">
        <v>40588</v>
      </c>
      <c r="C379" s="5">
        <v>1</v>
      </c>
      <c r="D379" s="5">
        <v>0</v>
      </c>
      <c r="E379" s="5">
        <v>2</v>
      </c>
      <c r="F379" s="5">
        <v>4</v>
      </c>
      <c r="G379" s="5" t="b">
        <v>0</v>
      </c>
      <c r="H379" s="5">
        <v>1</v>
      </c>
      <c r="I379" s="5">
        <v>1</v>
      </c>
      <c r="J379" s="5">
        <v>0.32</v>
      </c>
      <c r="K379" s="5">
        <v>0.303</v>
      </c>
      <c r="L379" s="5">
        <v>0.53</v>
      </c>
      <c r="M379" s="5">
        <v>0.2836</v>
      </c>
      <c r="N379" s="5">
        <v>0</v>
      </c>
      <c r="O379" s="5">
        <v>2</v>
      </c>
      <c r="P379" s="5">
        <v>2</v>
      </c>
    </row>
    <row r="380" spans="1:16">
      <c r="A380" s="5">
        <v>998</v>
      </c>
      <c r="B380" s="11">
        <v>40588</v>
      </c>
      <c r="C380" s="5">
        <v>1</v>
      </c>
      <c r="D380" s="5">
        <v>0</v>
      </c>
      <c r="E380" s="5">
        <v>2</v>
      </c>
      <c r="F380" s="5">
        <v>5</v>
      </c>
      <c r="G380" s="5" t="b">
        <v>0</v>
      </c>
      <c r="H380" s="5">
        <v>1</v>
      </c>
      <c r="I380" s="5">
        <v>1</v>
      </c>
      <c r="J380" s="5">
        <v>0.32</v>
      </c>
      <c r="K380" s="5">
        <v>0.303</v>
      </c>
      <c r="L380" s="5">
        <v>0.53</v>
      </c>
      <c r="M380" s="5">
        <v>0.2836</v>
      </c>
      <c r="N380" s="5">
        <v>0</v>
      </c>
      <c r="O380" s="5">
        <v>3</v>
      </c>
      <c r="P380" s="5">
        <v>3</v>
      </c>
    </row>
    <row r="381" spans="1:16">
      <c r="A381" s="5">
        <v>999</v>
      </c>
      <c r="B381" s="11">
        <v>40588</v>
      </c>
      <c r="C381" s="5">
        <v>1</v>
      </c>
      <c r="D381" s="5">
        <v>0</v>
      </c>
      <c r="E381" s="5">
        <v>2</v>
      </c>
      <c r="F381" s="5">
        <v>6</v>
      </c>
      <c r="G381" s="5" t="b">
        <v>0</v>
      </c>
      <c r="H381" s="5">
        <v>1</v>
      </c>
      <c r="I381" s="5">
        <v>1</v>
      </c>
      <c r="J381" s="5">
        <v>0.34</v>
      </c>
      <c r="K381" s="5">
        <v>0.303</v>
      </c>
      <c r="L381" s="5">
        <v>0.46</v>
      </c>
      <c r="M381" s="5">
        <v>0.2985</v>
      </c>
      <c r="N381" s="5">
        <v>1</v>
      </c>
      <c r="O381" s="5">
        <v>25</v>
      </c>
      <c r="P381" s="5">
        <v>26</v>
      </c>
    </row>
    <row r="382" spans="1:16">
      <c r="A382" s="5">
        <v>1000</v>
      </c>
      <c r="B382" s="11">
        <v>40588</v>
      </c>
      <c r="C382" s="5">
        <v>1</v>
      </c>
      <c r="D382" s="5">
        <v>0</v>
      </c>
      <c r="E382" s="5">
        <v>2</v>
      </c>
      <c r="F382" s="5">
        <v>7</v>
      </c>
      <c r="G382" s="5" t="b">
        <v>0</v>
      </c>
      <c r="H382" s="5">
        <v>1</v>
      </c>
      <c r="I382" s="5">
        <v>1</v>
      </c>
      <c r="J382" s="5">
        <v>0.34</v>
      </c>
      <c r="K382" s="5">
        <v>0.303</v>
      </c>
      <c r="L382" s="5">
        <v>0.46</v>
      </c>
      <c r="M382" s="5">
        <v>0.2985</v>
      </c>
      <c r="N382" s="5">
        <v>2</v>
      </c>
      <c r="O382" s="5">
        <v>96</v>
      </c>
      <c r="P382" s="5">
        <v>98</v>
      </c>
    </row>
    <row r="383" spans="1:16">
      <c r="A383" s="5">
        <v>611</v>
      </c>
      <c r="B383" s="11">
        <v>40571</v>
      </c>
      <c r="C383" s="5">
        <v>1</v>
      </c>
      <c r="D383" s="5">
        <v>0</v>
      </c>
      <c r="E383" s="5">
        <v>1</v>
      </c>
      <c r="F383" s="5">
        <v>16</v>
      </c>
      <c r="G383" s="5" t="b">
        <v>0</v>
      </c>
      <c r="H383" s="5">
        <v>5</v>
      </c>
      <c r="I383" s="5">
        <v>1</v>
      </c>
      <c r="J383" s="5">
        <v>0.22</v>
      </c>
      <c r="K383" s="5">
        <v>0.2727</v>
      </c>
      <c r="L383" s="5">
        <v>0.8</v>
      </c>
      <c r="M383" s="5">
        <v>0</v>
      </c>
      <c r="N383" s="5">
        <v>10</v>
      </c>
      <c r="O383" s="5">
        <v>70</v>
      </c>
      <c r="P383" s="5">
        <v>80</v>
      </c>
    </row>
    <row r="384" spans="1:16">
      <c r="A384" s="5">
        <v>612</v>
      </c>
      <c r="B384" s="11">
        <v>40571</v>
      </c>
      <c r="C384" s="5">
        <v>1</v>
      </c>
      <c r="D384" s="5">
        <v>0</v>
      </c>
      <c r="E384" s="5">
        <v>1</v>
      </c>
      <c r="F384" s="5">
        <v>17</v>
      </c>
      <c r="G384" s="5" t="b">
        <v>0</v>
      </c>
      <c r="H384" s="5">
        <v>5</v>
      </c>
      <c r="I384" s="5">
        <v>1</v>
      </c>
      <c r="J384" s="5">
        <v>0.24</v>
      </c>
      <c r="K384" s="5">
        <v>0.2424</v>
      </c>
      <c r="L384" s="5">
        <v>0.75</v>
      </c>
      <c r="M384" s="5">
        <v>0.1343</v>
      </c>
      <c r="N384" s="5">
        <v>2</v>
      </c>
      <c r="O384" s="5">
        <v>147</v>
      </c>
      <c r="P384" s="5">
        <v>149</v>
      </c>
    </row>
    <row r="385" spans="1:16">
      <c r="A385" s="5">
        <v>613</v>
      </c>
      <c r="B385" s="11">
        <v>40571</v>
      </c>
      <c r="C385" s="5">
        <v>1</v>
      </c>
      <c r="D385" s="5">
        <v>0</v>
      </c>
      <c r="E385" s="5">
        <v>1</v>
      </c>
      <c r="F385" s="5">
        <v>18</v>
      </c>
      <c r="G385" s="5" t="b">
        <v>0</v>
      </c>
      <c r="H385" s="5">
        <v>5</v>
      </c>
      <c r="I385" s="5">
        <v>1</v>
      </c>
      <c r="J385" s="5">
        <v>0.24</v>
      </c>
      <c r="K385" s="5">
        <v>0.2273</v>
      </c>
      <c r="L385" s="5">
        <v>0.75</v>
      </c>
      <c r="M385" s="5">
        <v>0.194</v>
      </c>
      <c r="N385" s="5">
        <v>2</v>
      </c>
      <c r="O385" s="5">
        <v>107</v>
      </c>
      <c r="P385" s="5">
        <v>109</v>
      </c>
    </row>
    <row r="386" spans="1:16">
      <c r="A386" s="5">
        <v>614</v>
      </c>
      <c r="B386" s="11">
        <v>40571</v>
      </c>
      <c r="C386" s="5">
        <v>1</v>
      </c>
      <c r="D386" s="5">
        <v>0</v>
      </c>
      <c r="E386" s="5">
        <v>1</v>
      </c>
      <c r="F386" s="5">
        <v>19</v>
      </c>
      <c r="G386" s="5" t="b">
        <v>0</v>
      </c>
      <c r="H386" s="5">
        <v>5</v>
      </c>
      <c r="I386" s="5">
        <v>2</v>
      </c>
      <c r="J386" s="5">
        <v>0.24</v>
      </c>
      <c r="K386" s="5">
        <v>0.2424</v>
      </c>
      <c r="L386" s="5">
        <v>0.75</v>
      </c>
      <c r="M386" s="5">
        <v>0.1343</v>
      </c>
      <c r="N386" s="5">
        <v>5</v>
      </c>
      <c r="O386" s="5">
        <v>84</v>
      </c>
      <c r="P386" s="5">
        <v>89</v>
      </c>
    </row>
    <row r="387" spans="1:16">
      <c r="A387" s="5">
        <v>615</v>
      </c>
      <c r="B387" s="11">
        <v>40571</v>
      </c>
      <c r="C387" s="5">
        <v>1</v>
      </c>
      <c r="D387" s="5">
        <v>0</v>
      </c>
      <c r="E387" s="5">
        <v>1</v>
      </c>
      <c r="F387" s="5">
        <v>20</v>
      </c>
      <c r="G387" s="5" t="b">
        <v>0</v>
      </c>
      <c r="H387" s="5">
        <v>5</v>
      </c>
      <c r="I387" s="5">
        <v>2</v>
      </c>
      <c r="J387" s="5">
        <v>0.24</v>
      </c>
      <c r="K387" s="5">
        <v>0.2273</v>
      </c>
      <c r="L387" s="5">
        <v>0.7</v>
      </c>
      <c r="M387" s="5">
        <v>0.194</v>
      </c>
      <c r="N387" s="5">
        <v>1</v>
      </c>
      <c r="O387" s="5">
        <v>61</v>
      </c>
      <c r="P387" s="5">
        <v>62</v>
      </c>
    </row>
    <row r="388" spans="1:16">
      <c r="A388" s="5">
        <v>616</v>
      </c>
      <c r="B388" s="11">
        <v>40571</v>
      </c>
      <c r="C388" s="5">
        <v>1</v>
      </c>
      <c r="D388" s="5">
        <v>0</v>
      </c>
      <c r="E388" s="5">
        <v>1</v>
      </c>
      <c r="F388" s="5">
        <v>21</v>
      </c>
      <c r="G388" s="5" t="b">
        <v>0</v>
      </c>
      <c r="H388" s="5">
        <v>5</v>
      </c>
      <c r="I388" s="5">
        <v>2</v>
      </c>
      <c r="J388" s="5">
        <v>0.22</v>
      </c>
      <c r="K388" s="5">
        <v>0.2273</v>
      </c>
      <c r="L388" s="5">
        <v>0.75</v>
      </c>
      <c r="M388" s="5">
        <v>0.1343</v>
      </c>
      <c r="N388" s="5">
        <v>1</v>
      </c>
      <c r="O388" s="5">
        <v>57</v>
      </c>
      <c r="P388" s="5">
        <v>58</v>
      </c>
    </row>
    <row r="389" spans="1:16">
      <c r="A389" s="5">
        <v>617</v>
      </c>
      <c r="B389" s="11">
        <v>40571</v>
      </c>
      <c r="C389" s="5">
        <v>1</v>
      </c>
      <c r="D389" s="5">
        <v>0</v>
      </c>
      <c r="E389" s="5">
        <v>1</v>
      </c>
      <c r="F389" s="5">
        <v>22</v>
      </c>
      <c r="G389" s="5" t="b">
        <v>0</v>
      </c>
      <c r="H389" s="5">
        <v>5</v>
      </c>
      <c r="I389" s="5">
        <v>1</v>
      </c>
      <c r="J389" s="5">
        <v>0.24</v>
      </c>
      <c r="K389" s="5">
        <v>0.2121</v>
      </c>
      <c r="L389" s="5">
        <v>0.65</v>
      </c>
      <c r="M389" s="5">
        <v>0.3582</v>
      </c>
      <c r="N389" s="5">
        <v>0</v>
      </c>
      <c r="O389" s="5">
        <v>26</v>
      </c>
      <c r="P389" s="5">
        <v>26</v>
      </c>
    </row>
    <row r="390" spans="1:16">
      <c r="A390" s="5">
        <v>618</v>
      </c>
      <c r="B390" s="11">
        <v>40571</v>
      </c>
      <c r="C390" s="5">
        <v>1</v>
      </c>
      <c r="D390" s="5">
        <v>0</v>
      </c>
      <c r="E390" s="5">
        <v>1</v>
      </c>
      <c r="F390" s="5">
        <v>23</v>
      </c>
      <c r="G390" s="5" t="b">
        <v>0</v>
      </c>
      <c r="H390" s="5">
        <v>5</v>
      </c>
      <c r="I390" s="5">
        <v>1</v>
      </c>
      <c r="J390" s="5">
        <v>0.24</v>
      </c>
      <c r="K390" s="5">
        <v>0.2273</v>
      </c>
      <c r="L390" s="5">
        <v>0.6</v>
      </c>
      <c r="M390" s="5">
        <v>0.2239</v>
      </c>
      <c r="N390" s="5">
        <v>1</v>
      </c>
      <c r="O390" s="5">
        <v>22</v>
      </c>
      <c r="P390" s="5">
        <v>23</v>
      </c>
    </row>
    <row r="391" spans="1:16">
      <c r="A391" s="5">
        <v>619</v>
      </c>
      <c r="B391" s="11">
        <v>40572</v>
      </c>
      <c r="C391" s="5">
        <v>1</v>
      </c>
      <c r="D391" s="5">
        <v>0</v>
      </c>
      <c r="E391" s="5">
        <v>1</v>
      </c>
      <c r="F391" s="5">
        <v>0</v>
      </c>
      <c r="G391" s="5" t="b">
        <v>0</v>
      </c>
      <c r="H391" s="5">
        <v>6</v>
      </c>
      <c r="I391" s="5">
        <v>1</v>
      </c>
      <c r="J391" s="5">
        <v>0.22</v>
      </c>
      <c r="K391" s="5">
        <v>0.197</v>
      </c>
      <c r="L391" s="5">
        <v>0.64</v>
      </c>
      <c r="M391" s="5">
        <v>0.3582</v>
      </c>
      <c r="N391" s="5">
        <v>2</v>
      </c>
      <c r="O391" s="5">
        <v>26</v>
      </c>
      <c r="P391" s="5">
        <v>28</v>
      </c>
    </row>
  </sheetData>
  <autoFilter ref="A1:P39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6B7280"/>
  </sheetPr>
  <dimension ref="A1:N12"/>
  <sheetViews>
    <sheetView showGridLines="0" workbookViewId="0"/>
  </sheetViews>
  <sheetFormatPr defaultRowHeight="15"/>
  <cols>
    <col min="1" max="1" width="11.7109375" customWidth="1"/>
    <col min="2" max="2" width="18.7109375" customWidth="1"/>
    <col min="3" max="3" width="3.7109375" customWidth="1"/>
    <col min="4" max="5" width="12.7109375" customWidth="1"/>
    <col min="6" max="6" width="3.7109375" customWidth="1"/>
    <col min="7" max="7" width="10.7109375" customWidth="1"/>
    <col min="8" max="8" width="22.7109375" customWidth="1"/>
    <col min="9" max="9" width="3.7109375" customWidth="1"/>
    <col min="10" max="10" width="36.7109375" customWidth="1"/>
    <col min="11" max="11" width="12.7109375" customWidth="1"/>
    <col min="12" max="12" width="3.7109375" customWidth="1"/>
    <col min="13" max="14" width="10.7109375" customWidth="1"/>
  </cols>
  <sheetData>
    <row r="1" spans="1:14">
      <c r="A1" s="12" t="s">
        <v>17</v>
      </c>
    </row>
    <row r="2" spans="1:14">
      <c r="A2" s="2" t="s">
        <v>18</v>
      </c>
    </row>
    <row r="3" spans="1:14">
      <c r="A3" s="6" t="s">
        <v>8</v>
      </c>
      <c r="B3" s="6" t="s">
        <v>19</v>
      </c>
      <c r="D3" s="6" t="s">
        <v>2</v>
      </c>
      <c r="E3" s="6" t="s">
        <v>24</v>
      </c>
      <c r="G3" s="6" t="s">
        <v>29</v>
      </c>
      <c r="H3" s="6" t="s">
        <v>30</v>
      </c>
      <c r="J3" s="6" t="s">
        <v>44</v>
      </c>
      <c r="K3" s="6" t="s">
        <v>45</v>
      </c>
      <c r="M3" s="6" t="s">
        <v>7</v>
      </c>
      <c r="N3" s="6" t="s">
        <v>36</v>
      </c>
    </row>
    <row r="4" spans="1:14">
      <c r="A4" s="9">
        <v>1</v>
      </c>
      <c r="B4" s="9" t="s">
        <v>20</v>
      </c>
      <c r="D4" s="9">
        <v>1</v>
      </c>
      <c r="E4" s="9" t="s">
        <v>25</v>
      </c>
      <c r="G4" s="9">
        <v>0</v>
      </c>
      <c r="H4" s="9" t="s">
        <v>31</v>
      </c>
      <c r="J4" s="9" t="s">
        <v>46</v>
      </c>
      <c r="K4" s="13">
        <f>SLOPE(Clean_Data!$K$2:$K$1001,Clean_Data!$J$2:$J$1001)</f>
        <v>0.918497441769215</v>
      </c>
      <c r="M4" s="9">
        <v>0</v>
      </c>
      <c r="N4" s="9" t="s">
        <v>37</v>
      </c>
    </row>
    <row r="5" spans="1:14">
      <c r="A5" s="9">
        <v>2</v>
      </c>
      <c r="B5" s="9" t="s">
        <v>21</v>
      </c>
      <c r="D5" s="9">
        <v>2</v>
      </c>
      <c r="E5" s="9" t="s">
        <v>26</v>
      </c>
      <c r="G5" s="9">
        <v>6</v>
      </c>
      <c r="H5" s="9" t="s">
        <v>32</v>
      </c>
      <c r="J5" s="9" t="s">
        <v>47</v>
      </c>
      <c r="K5" s="13">
        <f>INTERCEPT(Clean_Data!$K$2:$K$1001,Clean_Data!$J$2:$J$1001)</f>
        <v>0.0239305439225528</v>
      </c>
      <c r="M5" s="9">
        <v>1</v>
      </c>
      <c r="N5" s="9" t="s">
        <v>38</v>
      </c>
    </row>
    <row r="6" spans="1:14">
      <c r="A6" s="9">
        <v>3</v>
      </c>
      <c r="B6" s="9" t="s">
        <v>22</v>
      </c>
      <c r="D6" s="9">
        <v>3</v>
      </c>
      <c r="E6" s="9" t="s">
        <v>27</v>
      </c>
      <c r="G6" s="9">
        <v>10</v>
      </c>
      <c r="H6" s="9" t="s">
        <v>33</v>
      </c>
      <c r="J6" s="9" t="s">
        <v>48</v>
      </c>
      <c r="K6" s="14">
        <v>3</v>
      </c>
      <c r="M6" s="9">
        <v>2</v>
      </c>
      <c r="N6" s="9" t="s">
        <v>39</v>
      </c>
    </row>
    <row r="7" spans="1:14">
      <c r="A7" s="9">
        <v>4</v>
      </c>
      <c r="B7" s="9" t="s">
        <v>23</v>
      </c>
      <c r="D7" s="9">
        <v>4</v>
      </c>
      <c r="E7" s="9" t="s">
        <v>28</v>
      </c>
      <c r="G7" s="9">
        <v>16</v>
      </c>
      <c r="H7" s="9" t="s">
        <v>34</v>
      </c>
      <c r="J7" s="9" t="s">
        <v>49</v>
      </c>
      <c r="K7" s="15">
        <f t="array" ref="K7">PERCENTILE(IF(Clean_Data!$V$2:$V$1001=1,Clean_Data!$P$2:$P$1001),0.75)</f>
        <v>83</v>
      </c>
      <c r="M7" s="9">
        <v>3</v>
      </c>
      <c r="N7" s="9" t="s">
        <v>40</v>
      </c>
    </row>
    <row r="8" spans="1:14">
      <c r="G8" s="9">
        <v>20</v>
      </c>
      <c r="H8" s="9" t="s">
        <v>35</v>
      </c>
      <c r="J8" s="9" t="s">
        <v>50</v>
      </c>
      <c r="K8" s="15">
        <f t="array" ref="K8">PERCENTILE(IF(Clean_Data!$V$2:$V$1001=1,Clean_Data!$P$2:$P$1001),0.25)</f>
        <v>16</v>
      </c>
      <c r="M8" s="9">
        <v>4</v>
      </c>
      <c r="N8" s="9" t="s">
        <v>41</v>
      </c>
    </row>
    <row r="9" spans="1:14">
      <c r="J9" s="9" t="s">
        <v>51</v>
      </c>
      <c r="K9" s="9">
        <f>SUMPRODUCT(ISNUMBER(Clean_Data!$K$2:$K$1001)*ISNUMBER(Clean_Data!$J$2:$J$1001))</f>
        <v>989</v>
      </c>
      <c r="M9" s="9">
        <v>5</v>
      </c>
      <c r="N9" s="9" t="s">
        <v>42</v>
      </c>
    </row>
    <row r="10" spans="1:14">
      <c r="A10" s="2" t="s">
        <v>55</v>
      </c>
      <c r="J10" s="9" t="s">
        <v>52</v>
      </c>
      <c r="K10" s="9">
        <f>COUNT(Raw_D1!$A$2:$A$1001)</f>
        <v>610</v>
      </c>
      <c r="M10" s="9">
        <v>6</v>
      </c>
      <c r="N10" s="9" t="s">
        <v>43</v>
      </c>
    </row>
    <row r="11" spans="1:14">
      <c r="A11" s="2" t="s">
        <v>56</v>
      </c>
      <c r="J11" s="9" t="s">
        <v>53</v>
      </c>
      <c r="K11" s="9">
        <f>COUNT(Raw_D3!$A$2:$A$1001)</f>
        <v>390</v>
      </c>
    </row>
    <row r="12" spans="1:14">
      <c r="J12" s="9" t="s">
        <v>54</v>
      </c>
      <c r="K12" s="1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9D8F"/>
  </sheetPr>
  <dimension ref="A1:AR100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1" max="1" width="12.7109375" customWidth="1"/>
    <col min="2" max="2" width="13.7109375" customWidth="1"/>
    <col min="3" max="9" width="9.7109375" customWidth="1"/>
    <col min="10" max="25" width="12.7109375" customWidth="1"/>
    <col min="26" max="26" width="13.7109375" customWidth="1"/>
    <col min="27" max="27" width="18.7109375" customWidth="1"/>
    <col min="28" max="28" width="12.7109375" customWidth="1"/>
    <col min="29" max="29" width="18.7109375" customWidth="1"/>
    <col min="30" max="34" width="12.7109375" customWidth="1"/>
    <col min="35" max="35" width="13.7109375" customWidth="1"/>
    <col min="36" max="39" width="12.7109375" customWidth="1"/>
    <col min="40" max="40" width="13.7109375" customWidth="1"/>
    <col min="41" max="41" width="12.7109375" customWidth="1"/>
    <col min="42" max="44" width="9.7109375" customWidth="1"/>
  </cols>
  <sheetData>
    <row r="1" spans="1:44" ht="32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57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58</v>
      </c>
      <c r="R1" t="s">
        <v>11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24</v>
      </c>
      <c r="AA1" t="s">
        <v>19</v>
      </c>
      <c r="AB1" t="s">
        <v>66</v>
      </c>
      <c r="AC1" t="s">
        <v>30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</row>
    <row r="2" spans="1:44" x14ac:dyDescent="0.25">
      <c r="A2" s="5">
        <v>1</v>
      </c>
      <c r="B2" s="11">
        <f>IF($A2="","",IF($AP2&lt;&gt;"",INDEX(Raw_D1!$B$2:$B$1001,$AP2),IF($AR2&lt;&gt;"",INDEX(Raw_D3!$B$2:$B$1001,$AR2),"")))</f>
        <v>40544.0</v>
      </c>
      <c r="C2" s="5">
        <f>IF($A2="","",IF($AP2&lt;&gt;"",INDEX(Raw_D1!$C$2:$C$1001,$AP2),IF($AR2&lt;&gt;"",INDEX(Raw_D3!$C$2:$C$1001,$AR2),"")))</f>
        <v>1</v>
      </c>
      <c r="D2" s="5">
        <f>IF($A2="","",IF($AP2&lt;&gt;"",INDEX(Raw_D1!$D$2:$D$1001,$AP2),IF($AR2&lt;&gt;"",INDEX(Raw_D3!$D$2:$D$1001,$AR2),"")))</f>
        <v>0</v>
      </c>
      <c r="E2" s="5">
        <f>IF($A2="","",IF($AP2&lt;&gt;"",INDEX(Raw_D1!$E$2:$E$1001,$AP2),IF($AR2&lt;&gt;"",INDEX(Raw_D3!$E$2:$E$1001,$AR2),"")))</f>
        <v>1</v>
      </c>
      <c r="F2" s="5">
        <f>IF($A2="","",IF($AP2&lt;&gt;"",INDEX(Raw_D1!$F$2:$F$1001,$AP2),IF($AR2&lt;&gt;"",INDEX(Raw_D3!$F$2:$F$1001,$AR2),"")))</f>
        <v>0</v>
      </c>
      <c r="G2" s="5">
        <f>IF($A2="","",IF($AP2&lt;&gt;"",IF(INDEX(Raw_D1!$G$2:$G$1001,$AP2),1,0),IF($AR2&lt;&gt;"",IF(INDEX(Raw_D3!$G$2:$G$1001,$AR2),1,0),"")))</f>
        <v>0</v>
      </c>
      <c r="H2" s="5">
        <f>IF($A2="","",IF($AP2&lt;&gt;"",INDEX(Raw_D1!$H$2:$H$1001,$AP2),IF($AR2&lt;&gt;"",INDEX(Raw_D3!$H$2:$H$1001,$AR2),"")))</f>
        <v>6</v>
      </c>
      <c r="I2" s="5">
        <f>IF($A2="","",IF($AP2&lt;&gt;"",INDEX(Raw_D1!$I$2:$I$1001,$AP2),IF($AR2&lt;&gt;"",INDEX(Raw_D3!$I$2:$I$1001,$AR2),"")))</f>
        <v>1</v>
      </c>
      <c r="J2" s="16">
        <f>IF($A2="","",IF($AP2&lt;&gt;"",INDEX(Raw_D1!$J$2:$J$1001,$AP2),IF($AR2&lt;&gt;"",INDEX(Raw_D3!$J$2:$J$1001,$AR2),"")))</f>
        <v>0.24</v>
      </c>
      <c r="K2" s="17">
        <f>IF($A2="","",IF($AQ2&lt;&gt;"",IF(INDEX(Raw_D2!$C$2:$C$1001,$AQ2)="","",INDEX(Raw_D2!$C$2:$C$1001,$AQ2)),IF($AR2&lt;&gt;"",IF(INDEX(Raw_D3!$K$2:$K$1001,$AR2)="","",INDEX(Raw_D3!$K$2:$K$1001,$AR2)),"")))</f>
        <v>0.2879</v>
      </c>
      <c r="L2" s="16">
        <f>IF($A2="","",IF($AQ2&lt;&gt;"",IF(INDEX(Raw_D2!$D$2:$D$1001,$AQ2)="","",INDEX(Raw_D2!$D$2:$D$1001,$AQ2)),IF($AR2&lt;&gt;"",IF(INDEX(Raw_D3!$L$2:$L$1001,$AR2)="","",INDEX(Raw_D3!$L$2:$L$1001,$AR2)),"")))</f>
        <v>0.81</v>
      </c>
      <c r="M2" s="17">
        <f>IF($A2="","",IF($AQ2&lt;&gt;"",IF(INDEX(Raw_D2!$E$2:$E$1001,$AQ2)="","",INDEX(Raw_D2!$E$2:$E$1001,$AQ2)),IF($AR2&lt;&gt;"",IF(INDEX(Raw_D3!$M$2:$M$1001,$AR2)="","",INDEX(Raw_D3!$M$2:$M$1001,$AR2)),"")))</f>
        <v>0</v>
      </c>
      <c r="N2" s="5">
        <f>IF($A2="","",IF($AQ2&lt;&gt;"",IF(INDEX(Raw_D2!$F$2:$F$1001,$AQ2)="","",INDEX(Raw_D2!$F$2:$F$1001,$AQ2)),IF($AR2&lt;&gt;"",IF(INDEX(Raw_D3!$N$2:$N$1001,$AR2)="","",INDEX(Raw_D3!$N$2:$N$1001,$AR2)),"")))</f>
        <v>3</v>
      </c>
      <c r="O2" s="5">
        <f>IF($A2="","",IF($AQ2&lt;&gt;"",IF(INDEX(Raw_D2!$G$2:$G$1001,$AQ2)="","",INDEX(Raw_D2!$G$2:$G$1001,$AQ2)),IF($AR2&lt;&gt;"",IF(INDEX(Raw_D3!$O$2:$O$1001,$AR2)="","",INDEX(Raw_D3!$O$2:$O$1001,$AR2)),"")))</f>
        <v>13</v>
      </c>
      <c r="P2" s="5">
        <f>IF($A2="","",IF($AQ2&lt;&gt;"",IF(INDEX(Raw_D2!$H$2:$H$1001,$AQ2)="","",INDEX(Raw_D2!$H$2:$H$1001,$AQ2)),IF($AR2&lt;&gt;"",IF(INDEX(Raw_D3!$P$2:$P$1001,$AR2)="","",INDEX(Raw_D3!$P$2:$P$1001,$AR2)),"")))</f>
        <v>16</v>
      </c>
      <c r="Q2" s="5" t="str">
        <f>IF($A2="","",IF(AND($AP2&lt;&gt;"",$AQ2&lt;&gt;""),"D1+D2",IF($AR2&lt;&gt;"","D3","Incomplete")))</f>
        <v>D1+D2</v>
      </c>
      <c r="R2" s="17">
        <f>IF($A2="","",IF($K2="",IF($J2="","",ROUND(Lookups!$K$5+Lookups!$K$4*$J2,4)),$K2))</f>
        <v>0.2879</v>
      </c>
      <c r="S2" s="5" t="str">
        <f>IF($A2="","",IF($K2="","Imputed","Original"))</f>
        <v>Original</v>
      </c>
      <c r="T2" s="5" t="str">
        <f>IF($A2="","",IF($P2="","Missing",IF($P2=$N2+$O2,"OK","Mismatch")))</f>
        <v>OK</v>
      </c>
      <c r="U2" s="5" t="str">
        <f>IF($A2="","",IF(COUNTIF($A$2:$A2,$A2)&gt;1,"Duplicate","Unique"))</f>
        <v>Unique</v>
      </c>
      <c r="V2" s="5">
        <f>IF($A2="","",IF(AND($U2="Unique",ISNUMBER($P2)),1,0))</f>
        <v>1</v>
      </c>
      <c r="W2" s="5" t="str">
        <f>IF($A2="","",IF(OR($H2=0,$H2=6),"Weekend","Weekday"))</f>
        <v>Weekend</v>
      </c>
      <c r="X2" s="5" t="str">
        <f>IF($A2="","",TEXT($B2,"ddd"))</f>
        <v>Sat</v>
      </c>
      <c r="Y2" s="5" t="str">
        <f>IF($A2="","",TEXT($B2,"mmm"))</f>
        <v>Jan</v>
      </c>
      <c r="Z2" s="5" t="str">
        <f>IF($A2="","",IFERROR(VLOOKUP($C2,Lookups!$D$4:$E$7,2,FALSE),"Unknown"))</f>
        <v>Winter</v>
      </c>
      <c r="AA2" s="5" t="str">
        <f>IF($A2="","",IFERROR(VLOOKUP($I2,Lookups!$A$4:$B$7,2,FALSE),"Unknown"))</f>
        <v>Clear</v>
      </c>
      <c r="AB2" s="5" t="str">
        <f>IF($A2="","",TEXT($F2,"00")&amp;":00")</f>
        <v>00:00</v>
      </c>
      <c r="AC2" s="5" t="str">
        <f>IF($A2="","",VLOOKUP($F2,Lookups!$G$4:$H$8,2,TRUE))</f>
        <v>Night (00-05)</v>
      </c>
      <c r="AD2" s="18">
        <f>IF($A2="","",IF($J2="","",ROUND($J2*41,1)))</f>
        <v>9.8</v>
      </c>
      <c r="AE2" s="18">
        <f>IF($A2="","",IF($R2="","",ROUND($R2*50,1)))</f>
        <v>14.4</v>
      </c>
      <c r="AF2" s="5">
        <f>IF($A2="","",IF($L2="","",ROUND($L2*100,0)))</f>
        <v>81</v>
      </c>
      <c r="AG2" s="18">
        <f>IF($A2="","",IF($M2="","",ROUND($M2*67,1)))</f>
        <v>0</v>
      </c>
      <c r="AH2" s="19">
        <f>IF($A2="","",IF($P2="","",IF($P2=0,0,$O2/$P2)))</f>
        <v>0.8125</v>
      </c>
      <c r="AI2" s="5" t="str">
        <f>IF($A2="","",IF($P2="","",IF($P2&gt;=Lookups!$K$7,"High",IF($P2&lt;=Lookups!$K$8,"Low","Medium"))))</f>
        <v>Low</v>
      </c>
      <c r="AJ2" s="5" t="str">
        <f>IF($A2="","",IF($AD2="","",IF($AD2&lt;5,"Under 5 C",IF($AD2&lt;10,"5-10 C",IF($AD2&lt;15,"10-15 C","15 C and above")))))</f>
        <v>5-10 C</v>
      </c>
      <c r="AK2" s="5">
        <f>IF($A2="","",IF($P2="","",$P2^2))</f>
        <v>256</v>
      </c>
      <c r="AL2" s="18">
        <f>IF($V2&lt;&gt;1,"",AVERAGEIFS(Clean_Data!$P$2:$P$1001,Clean_Data!$F$2:$F$1001,$F2,Clean_Data!$W$2:$W$1001,$W2,Clean_Data!$V$2:$V$1001,1))</f>
        <v>28.0714285714286</v>
      </c>
      <c r="AM2" s="16">
        <f>IF($V2&lt;&gt;1,"",IFERROR(($P2-$AL2)/SQRT(MAX(0,(SUMIFS(Clean_Data!$AK$2:$AK$1001,Clean_Data!$F$2:$F$1001,$F2,Clean_Data!$W$2:$W$1001,$W2,Clean_Data!$V$2:$V$1001,1)-COUNTIFS(Clean_Data!$F$2:$F$1001,$F2,Clean_Data!$W$2:$W$1001,$W2,Clean_Data!$V$2:$V$1001,1)*$AL2^2)/(COUNTIFS(Clean_Data!$F$2:$F$1001,$F2,Clean_Data!$W$2:$W$1001,$W2,Clean_Data!$V$2:$V$1001,1)-1))),""))</f>
        <v>-1.33877479095453</v>
      </c>
      <c r="AN2" s="5" t="str">
        <f>IF($AM2="","",IF($AM2&gt;=Lookups!$K$6,"High spike",IF($AM2&lt;=-Lookups!$K$6,"Unusual low","Normal")))</f>
        <v>Normal</v>
      </c>
      <c r="AO2" s="20">
        <f>IF($V2&lt;&gt;1,"",$P2+ROW()/100000)</f>
        <v>16.00002</v>
      </c>
      <c r="AP2" s="5">
        <f>IF($A2="","",IFERROR(MATCH($A2,Raw_D1!$A$2:$A$1001,0),""))</f>
        <v>1</v>
      </c>
      <c r="AQ2" s="5">
        <f>IF($A2="","",IFERROR(MATCH($A2,Raw_D2!$B$2:$B$1001,0),""))</f>
        <v>1</v>
      </c>
      <c r="AR2" s="5">
        <f>IF($A2="","",IFERROR(MATCH($A2,Raw_D3!$A$2:$A$1001,0),""))</f>
        <v/>
      </c>
    </row>
    <row r="3" spans="1:44" x14ac:dyDescent="0.25">
      <c r="A3" s="5">
        <v>2</v>
      </c>
      <c r="B3" s="11">
        <f>IF($A3="","",IF($AP3&lt;&gt;"",INDEX(Raw_D1!$B$2:$B$1001,$AP3),IF($AR3&lt;&gt;"",INDEX(Raw_D3!$B$2:$B$1001,$AR3),"")))</f>
        <v>40544.0</v>
      </c>
      <c r="C3" s="5">
        <f>IF($A3="","",IF($AP3&lt;&gt;"",INDEX(Raw_D1!$C$2:$C$1001,$AP3),IF($AR3&lt;&gt;"",INDEX(Raw_D3!$C$2:$C$1001,$AR3),"")))</f>
        <v>1</v>
      </c>
      <c r="D3" s="5">
        <f>IF($A3="","",IF($AP3&lt;&gt;"",INDEX(Raw_D1!$D$2:$D$1001,$AP3),IF($AR3&lt;&gt;"",INDEX(Raw_D3!$D$2:$D$1001,$AR3),"")))</f>
        <v>0</v>
      </c>
      <c r="E3" s="5">
        <f>IF($A3="","",IF($AP3&lt;&gt;"",INDEX(Raw_D1!$E$2:$E$1001,$AP3),IF($AR3&lt;&gt;"",INDEX(Raw_D3!$E$2:$E$1001,$AR3),"")))</f>
        <v>1</v>
      </c>
      <c r="F3" s="5">
        <f>IF($A3="","",IF($AP3&lt;&gt;"",INDEX(Raw_D1!$F$2:$F$1001,$AP3),IF($AR3&lt;&gt;"",INDEX(Raw_D3!$F$2:$F$1001,$AR3),"")))</f>
        <v>1</v>
      </c>
      <c r="G3" s="5">
        <f>IF($A3="","",IF($AP3&lt;&gt;"",IF(INDEX(Raw_D1!$G$2:$G$1001,$AP3),1,0),IF($AR3&lt;&gt;"",IF(INDEX(Raw_D3!$G$2:$G$1001,$AR3),1,0),"")))</f>
        <v>0</v>
      </c>
      <c r="H3" s="5">
        <f>IF($A3="","",IF($AP3&lt;&gt;"",INDEX(Raw_D1!$H$2:$H$1001,$AP3),IF($AR3&lt;&gt;"",INDEX(Raw_D3!$H$2:$H$1001,$AR3),"")))</f>
        <v>6</v>
      </c>
      <c r="I3" s="5">
        <f>IF($A3="","",IF($AP3&lt;&gt;"",INDEX(Raw_D1!$I$2:$I$1001,$AP3),IF($AR3&lt;&gt;"",INDEX(Raw_D3!$I$2:$I$1001,$AR3),"")))</f>
        <v>1</v>
      </c>
      <c r="J3" s="16">
        <f>IF($A3="","",IF($AP3&lt;&gt;"",INDEX(Raw_D1!$J$2:$J$1001,$AP3),IF($AR3&lt;&gt;"",INDEX(Raw_D3!$J$2:$J$1001,$AR3),"")))</f>
        <v>0.22</v>
      </c>
      <c r="K3" s="17">
        <f>IF($A3="","",IF($AQ3&lt;&gt;"",IF(INDEX(Raw_D2!$C$2:$C$1001,$AQ3)="","",INDEX(Raw_D2!$C$2:$C$1001,$AQ3)),IF($AR3&lt;&gt;"",IF(INDEX(Raw_D3!$K$2:$K$1001,$AR3)="","",INDEX(Raw_D3!$K$2:$K$1001,$AR3)),"")))</f>
        <v>0.2727</v>
      </c>
      <c r="L3" s="16">
        <f>IF($A3="","",IF($AQ3&lt;&gt;"",IF(INDEX(Raw_D2!$D$2:$D$1001,$AQ3)="","",INDEX(Raw_D2!$D$2:$D$1001,$AQ3)),IF($AR3&lt;&gt;"",IF(INDEX(Raw_D3!$L$2:$L$1001,$AR3)="","",INDEX(Raw_D3!$L$2:$L$1001,$AR3)),"")))</f>
        <v>0.8</v>
      </c>
      <c r="M3" s="17">
        <f>IF($A3="","",IF($AQ3&lt;&gt;"",IF(INDEX(Raw_D2!$E$2:$E$1001,$AQ3)="","",INDEX(Raw_D2!$E$2:$E$1001,$AQ3)),IF($AR3&lt;&gt;"",IF(INDEX(Raw_D3!$M$2:$M$1001,$AR3)="","",INDEX(Raw_D3!$M$2:$M$1001,$AR3)),"")))</f>
        <v>0</v>
      </c>
      <c r="N3" s="5">
        <f>IF($A3="","",IF($AQ3&lt;&gt;"",IF(INDEX(Raw_D2!$F$2:$F$1001,$AQ3)="","",INDEX(Raw_D2!$F$2:$F$1001,$AQ3)),IF($AR3&lt;&gt;"",IF(INDEX(Raw_D3!$N$2:$N$1001,$AR3)="","",INDEX(Raw_D3!$N$2:$N$1001,$AR3)),"")))</f>
        <v>8</v>
      </c>
      <c r="O3" s="5">
        <f>IF($A3="","",IF($AQ3&lt;&gt;"",IF(INDEX(Raw_D2!$G$2:$G$1001,$AQ3)="","",INDEX(Raw_D2!$G$2:$G$1001,$AQ3)),IF($AR3&lt;&gt;"",IF(INDEX(Raw_D3!$O$2:$O$1001,$AR3)="","",INDEX(Raw_D3!$O$2:$O$1001,$AR3)),"")))</f>
        <v>32</v>
      </c>
      <c r="P3" s="5">
        <f>IF($A3="","",IF($AQ3&lt;&gt;"",IF(INDEX(Raw_D2!$H$2:$H$1001,$AQ3)="","",INDEX(Raw_D2!$H$2:$H$1001,$AQ3)),IF($AR3&lt;&gt;"",IF(INDEX(Raw_D3!$P$2:$P$1001,$AR3)="","",INDEX(Raw_D3!$P$2:$P$1001,$AR3)),"")))</f>
        <v>40</v>
      </c>
      <c r="Q3" s="5" t="str">
        <f>IF($A3="","",IF(AND($AP3&lt;&gt;"",$AQ3&lt;&gt;""),"D1+D2",IF($AR3&lt;&gt;"","D3","Incomplete")))</f>
        <v>D1+D2</v>
      </c>
      <c r="R3" s="17">
        <f>IF($A3="","",IF($K3="",IF($J3="","",ROUND(Lookups!$K$5+Lookups!$K$4*$J3,4)),$K3))</f>
        <v>0.2727</v>
      </c>
      <c r="S3" s="5" t="str">
        <f>IF($A3="","",IF($K3="","Imputed","Original"))</f>
        <v>Original</v>
      </c>
      <c r="T3" s="5" t="str">
        <f>IF($A3="","",IF($P3="","Missing",IF($P3=$N3+$O3,"OK","Mismatch")))</f>
        <v>OK</v>
      </c>
      <c r="U3" s="5" t="str">
        <f>IF($A3="","",IF(COUNTIF($A$2:$A3,$A3)&gt;1,"Duplicate","Unique"))</f>
        <v>Unique</v>
      </c>
      <c r="V3" s="5">
        <f>IF($A3="","",IF(AND($U3="Unique",ISNUMBER($P3)),1,0))</f>
        <v>1</v>
      </c>
      <c r="W3" s="5" t="str">
        <f>IF($A3="","",IF(OR($H3=0,$H3=6),"Weekend","Weekday"))</f>
        <v>Weekend</v>
      </c>
      <c r="X3" s="5" t="str">
        <f>IF($A3="","",TEXT($B3,"ddd"))</f>
        <v>Sat</v>
      </c>
      <c r="Y3" s="5" t="str">
        <f>IF($A3="","",TEXT($B3,"mmm"))</f>
        <v>Jan</v>
      </c>
      <c r="Z3" s="5" t="str">
        <f>IF($A3="","",IFERROR(VLOOKUP($C3,Lookups!$D$4:$E$7,2,FALSE),"Unknown"))</f>
        <v>Winter</v>
      </c>
      <c r="AA3" s="5" t="str">
        <f>IF($A3="","",IFERROR(VLOOKUP($I3,Lookups!$A$4:$B$7,2,FALSE),"Unknown"))</f>
        <v>Clear</v>
      </c>
      <c r="AB3" s="5" t="str">
        <f>IF($A3="","",TEXT($F3,"00")&amp;":00")</f>
        <v>01:00</v>
      </c>
      <c r="AC3" s="5" t="str">
        <f>IF($A3="","",VLOOKUP($F3,Lookups!$G$4:$H$8,2,TRUE))</f>
        <v>Night (00-05)</v>
      </c>
      <c r="AD3" s="18">
        <f>IF($A3="","",IF($J3="","",ROUND($J3*41,1)))</f>
        <v>9</v>
      </c>
      <c r="AE3" s="18">
        <f>IF($A3="","",IF($R3="","",ROUND($R3*50,1)))</f>
        <v>13.6</v>
      </c>
      <c r="AF3" s="5">
        <f>IF($A3="","",IF($L3="","",ROUND($L3*100,0)))</f>
        <v>80</v>
      </c>
      <c r="AG3" s="18">
        <f>IF($A3="","",IF($M3="","",ROUND($M3*67,1)))</f>
        <v>0</v>
      </c>
      <c r="AH3" s="19">
        <f>IF($A3="","",IF($P3="","",IF($P3=0,0,$O3/$P3)))</f>
        <v>0.8</v>
      </c>
      <c r="AI3" s="5" t="str">
        <f>IF($A3="","",IF($P3="","",IF($P3&gt;=Lookups!$K$7,"High",IF($P3&lt;=Lookups!$K$8,"Low","Medium"))))</f>
        <v>Medium</v>
      </c>
      <c r="AJ3" s="5" t="str">
        <f>IF($A3="","",IF($AD3="","",IF($AD3&lt;5,"Under 5 C",IF($AD3&lt;10,"5-10 C",IF($AD3&lt;15,"10-15 C","15 C and above")))))</f>
        <v>5-10 C</v>
      </c>
      <c r="AK3" s="5">
        <f>IF($A3="","",IF($P3="","",$P3^2))</f>
        <v>1600</v>
      </c>
      <c r="AL3" s="18">
        <f>IF($V3&lt;&gt;1,"",AVERAGEIFS(Clean_Data!$P$2:$P$1001,Clean_Data!$F$2:$F$1001,$F3,Clean_Data!$W$2:$W$1001,$W3,Clean_Data!$V$2:$V$1001,1))</f>
        <v>22.2857142857143</v>
      </c>
      <c r="AM3" s="16">
        <f>IF($V3&lt;&gt;1,"",IFERROR(($P3-$AL3)/SQRT(MAX(0,(SUMIFS(Clean_Data!$AK$2:$AK$1001,Clean_Data!$F$2:$F$1001,$F3,Clean_Data!$W$2:$W$1001,$W3,Clean_Data!$V$2:$V$1001,1)-COUNTIFS(Clean_Data!$F$2:$F$1001,$F3,Clean_Data!$W$2:$W$1001,$W3,Clean_Data!$V$2:$V$1001,1)*$AL3^2)/(COUNTIFS(Clean_Data!$F$2:$F$1001,$F3,Clean_Data!$W$2:$W$1001,$W3,Clean_Data!$V$2:$V$1001,1)-1))),""))</f>
        <v>1.82050340753623</v>
      </c>
      <c r="AN3" s="5" t="str">
        <f>IF($AM3="","",IF($AM3&gt;=Lookups!$K$6,"High spike",IF($AM3&lt;=-Lookups!$K$6,"Unusual low","Normal")))</f>
        <v>Normal</v>
      </c>
      <c r="AO3" s="20">
        <f>IF($V3&lt;&gt;1,"",$P3+ROW()/100000)</f>
        <v>40.00003</v>
      </c>
      <c r="AP3" s="5">
        <f>IF($A3="","",IFERROR(MATCH($A3,Raw_D1!$A$2:$A$1001,0),""))</f>
        <v>2</v>
      </c>
      <c r="AQ3" s="5">
        <f>IF($A3="","",IFERROR(MATCH($A3,Raw_D2!$B$2:$B$1001,0),""))</f>
        <v>2</v>
      </c>
      <c r="AR3" s="5">
        <f>IF($A3="","",IFERROR(MATCH($A3,Raw_D3!$A$2:$A$1001,0),""))</f>
        <v/>
      </c>
    </row>
    <row r="4" spans="1:44" x14ac:dyDescent="0.25">
      <c r="A4" s="5">
        <v>3</v>
      </c>
      <c r="B4" s="11">
        <f>IF($A4="","",IF($AP4&lt;&gt;"",INDEX(Raw_D1!$B$2:$B$1001,$AP4),IF($AR4&lt;&gt;"",INDEX(Raw_D3!$B$2:$B$1001,$AR4),"")))</f>
        <v>40544.0</v>
      </c>
      <c r="C4" s="5">
        <f>IF($A4="","",IF($AP4&lt;&gt;"",INDEX(Raw_D1!$C$2:$C$1001,$AP4),IF($AR4&lt;&gt;"",INDEX(Raw_D3!$C$2:$C$1001,$AR4),"")))</f>
        <v>1</v>
      </c>
      <c r="D4" s="5">
        <f>IF($A4="","",IF($AP4&lt;&gt;"",INDEX(Raw_D1!$D$2:$D$1001,$AP4),IF($AR4&lt;&gt;"",INDEX(Raw_D3!$D$2:$D$1001,$AR4),"")))</f>
        <v>0</v>
      </c>
      <c r="E4" s="5">
        <f>IF($A4="","",IF($AP4&lt;&gt;"",INDEX(Raw_D1!$E$2:$E$1001,$AP4),IF($AR4&lt;&gt;"",INDEX(Raw_D3!$E$2:$E$1001,$AR4),"")))</f>
        <v>1</v>
      </c>
      <c r="F4" s="5">
        <f>IF($A4="","",IF($AP4&lt;&gt;"",INDEX(Raw_D1!$F$2:$F$1001,$AP4),IF($AR4&lt;&gt;"",INDEX(Raw_D3!$F$2:$F$1001,$AR4),"")))</f>
        <v>2</v>
      </c>
      <c r="G4" s="5">
        <f>IF($A4="","",IF($AP4&lt;&gt;"",IF(INDEX(Raw_D1!$G$2:$G$1001,$AP4),1,0),IF($AR4&lt;&gt;"",IF(INDEX(Raw_D3!$G$2:$G$1001,$AR4),1,0),"")))</f>
        <v>0</v>
      </c>
      <c r="H4" s="5">
        <f>IF($A4="","",IF($AP4&lt;&gt;"",INDEX(Raw_D1!$H$2:$H$1001,$AP4),IF($AR4&lt;&gt;"",INDEX(Raw_D3!$H$2:$H$1001,$AR4),"")))</f>
        <v>6</v>
      </c>
      <c r="I4" s="5">
        <f>IF($A4="","",IF($AP4&lt;&gt;"",INDEX(Raw_D1!$I$2:$I$1001,$AP4),IF($AR4&lt;&gt;"",INDEX(Raw_D3!$I$2:$I$1001,$AR4),"")))</f>
        <v>1</v>
      </c>
      <c r="J4" s="16">
        <f>IF($A4="","",IF($AP4&lt;&gt;"",INDEX(Raw_D1!$J$2:$J$1001,$AP4),IF($AR4&lt;&gt;"",INDEX(Raw_D3!$J$2:$J$1001,$AR4),"")))</f>
        <v>0.22</v>
      </c>
      <c r="K4" s="17">
        <f>IF($A4="","",IF($AQ4&lt;&gt;"",IF(INDEX(Raw_D2!$C$2:$C$1001,$AQ4)="","",INDEX(Raw_D2!$C$2:$C$1001,$AQ4)),IF($AR4&lt;&gt;"",IF(INDEX(Raw_D3!$K$2:$K$1001,$AR4)="","",INDEX(Raw_D3!$K$2:$K$1001,$AR4)),"")))</f>
        <v>0.2727</v>
      </c>
      <c r="L4" s="16">
        <f>IF($A4="","",IF($AQ4&lt;&gt;"",IF(INDEX(Raw_D2!$D$2:$D$1001,$AQ4)="","",INDEX(Raw_D2!$D$2:$D$1001,$AQ4)),IF($AR4&lt;&gt;"",IF(INDEX(Raw_D3!$L$2:$L$1001,$AR4)="","",INDEX(Raw_D3!$L$2:$L$1001,$AR4)),"")))</f>
        <v>0.8</v>
      </c>
      <c r="M4" s="17">
        <f>IF($A4="","",IF($AQ4&lt;&gt;"",IF(INDEX(Raw_D2!$E$2:$E$1001,$AQ4)="","",INDEX(Raw_D2!$E$2:$E$1001,$AQ4)),IF($AR4&lt;&gt;"",IF(INDEX(Raw_D3!$M$2:$M$1001,$AR4)="","",INDEX(Raw_D3!$M$2:$M$1001,$AR4)),"")))</f>
        <v>0</v>
      </c>
      <c r="N4" s="5">
        <f>IF($A4="","",IF($AQ4&lt;&gt;"",IF(INDEX(Raw_D2!$F$2:$F$1001,$AQ4)="","",INDEX(Raw_D2!$F$2:$F$1001,$AQ4)),IF($AR4&lt;&gt;"",IF(INDEX(Raw_D3!$N$2:$N$1001,$AR4)="","",INDEX(Raw_D3!$N$2:$N$1001,$AR4)),"")))</f>
        <v>5</v>
      </c>
      <c r="O4" s="5">
        <f>IF($A4="","",IF($AQ4&lt;&gt;"",IF(INDEX(Raw_D2!$G$2:$G$1001,$AQ4)="","",INDEX(Raw_D2!$G$2:$G$1001,$AQ4)),IF($AR4&lt;&gt;"",IF(INDEX(Raw_D3!$O$2:$O$1001,$AR4)="","",INDEX(Raw_D3!$O$2:$O$1001,$AR4)),"")))</f>
        <v>27</v>
      </c>
      <c r="P4" s="5">
        <f>IF($A4="","",IF($AQ4&lt;&gt;"",IF(INDEX(Raw_D2!$H$2:$H$1001,$AQ4)="","",INDEX(Raw_D2!$H$2:$H$1001,$AQ4)),IF($AR4&lt;&gt;"",IF(INDEX(Raw_D3!$P$2:$P$1001,$AR4)="","",INDEX(Raw_D3!$P$2:$P$1001,$AR4)),"")))</f>
        <v>32</v>
      </c>
      <c r="Q4" s="5" t="str">
        <f>IF($A4="","",IF(AND($AP4&lt;&gt;"",$AQ4&lt;&gt;""),"D1+D2",IF($AR4&lt;&gt;"","D3","Incomplete")))</f>
        <v>D1+D2</v>
      </c>
      <c r="R4" s="17">
        <f>IF($A4="","",IF($K4="",IF($J4="","",ROUND(Lookups!$K$5+Lookups!$K$4*$J4,4)),$K4))</f>
        <v>0.2727</v>
      </c>
      <c r="S4" s="5" t="str">
        <f>IF($A4="","",IF($K4="","Imputed","Original"))</f>
        <v>Original</v>
      </c>
      <c r="T4" s="5" t="str">
        <f>IF($A4="","",IF($P4="","Missing",IF($P4=$N4+$O4,"OK","Mismatch")))</f>
        <v>OK</v>
      </c>
      <c r="U4" s="5" t="str">
        <f>IF($A4="","",IF(COUNTIF($A$2:$A4,$A4)&gt;1,"Duplicate","Unique"))</f>
        <v>Unique</v>
      </c>
      <c r="V4" s="5">
        <f>IF($A4="","",IF(AND($U4="Unique",ISNUMBER($P4)),1,0))</f>
        <v>1</v>
      </c>
      <c r="W4" s="5" t="str">
        <f>IF($A4="","",IF(OR($H4=0,$H4=6),"Weekend","Weekday"))</f>
        <v>Weekend</v>
      </c>
      <c r="X4" s="5" t="str">
        <f>IF($A4="","",TEXT($B4,"ddd"))</f>
        <v>Sat</v>
      </c>
      <c r="Y4" s="5" t="str">
        <f>IF($A4="","",TEXT($B4,"mmm"))</f>
        <v>Jan</v>
      </c>
      <c r="Z4" s="5" t="str">
        <f>IF($A4="","",IFERROR(VLOOKUP($C4,Lookups!$D$4:$E$7,2,FALSE),"Unknown"))</f>
        <v>Winter</v>
      </c>
      <c r="AA4" s="5" t="str">
        <f>IF($A4="","",IFERROR(VLOOKUP($I4,Lookups!$A$4:$B$7,2,FALSE),"Unknown"))</f>
        <v>Clear</v>
      </c>
      <c r="AB4" s="5" t="str">
        <f>IF($A4="","",TEXT($F4,"00")&amp;":00")</f>
        <v>02:00</v>
      </c>
      <c r="AC4" s="5" t="str">
        <f>IF($A4="","",VLOOKUP($F4,Lookups!$G$4:$H$8,2,TRUE))</f>
        <v>Night (00-05)</v>
      </c>
      <c r="AD4" s="18">
        <f>IF($A4="","",IF($J4="","",ROUND($J4*41,1)))</f>
        <v>9</v>
      </c>
      <c r="AE4" s="18">
        <f>IF($A4="","",IF($R4="","",ROUND($R4*50,1)))</f>
        <v>13.6</v>
      </c>
      <c r="AF4" s="5">
        <f>IF($A4="","",IF($L4="","",ROUND($L4*100,0)))</f>
        <v>80</v>
      </c>
      <c r="AG4" s="18">
        <f>IF($A4="","",IF($M4="","",ROUND($M4*67,1)))</f>
        <v>0</v>
      </c>
      <c r="AH4" s="19">
        <f>IF($A4="","",IF($P4="","",IF($P4=0,0,$O4/$P4)))</f>
        <v>0.84375</v>
      </c>
      <c r="AI4" s="5" t="str">
        <f>IF($A4="","",IF($P4="","",IF($P4&gt;=Lookups!$K$7,"High",IF($P4&lt;=Lookups!$K$8,"Low","Medium"))))</f>
        <v>Medium</v>
      </c>
      <c r="AJ4" s="5" t="str">
        <f>IF($A4="","",IF($AD4="","",IF($AD4&lt;5,"Under 5 C",IF($AD4&lt;10,"5-10 C",IF($AD4&lt;15,"10-15 C","15 C and above")))))</f>
        <v>5-10 C</v>
      </c>
      <c r="AK4" s="5">
        <f>IF($A4="","",IF($P4="","",$P4^2))</f>
        <v>1024</v>
      </c>
      <c r="AL4" s="18">
        <f>IF($V4&lt;&gt;1,"",AVERAGEIFS(Clean_Data!$P$2:$P$1001,Clean_Data!$F$2:$F$1001,$F4,Clean_Data!$W$2:$W$1001,$W4,Clean_Data!$V$2:$V$1001,1))</f>
        <v>15.9285714285714</v>
      </c>
      <c r="AM4" s="16">
        <f>IF($V4&lt;&gt;1,"",IFERROR(($P4-$AL4)/SQRT(MAX(0,(SUMIFS(Clean_Data!$AK$2:$AK$1001,Clean_Data!$F$2:$F$1001,$F4,Clean_Data!$W$2:$W$1001,$W4,Clean_Data!$V$2:$V$1001,1)-COUNTIFS(Clean_Data!$F$2:$F$1001,$F4,Clean_Data!$W$2:$W$1001,$W4,Clean_Data!$V$2:$V$1001,1)*$AL4^2)/(COUNTIFS(Clean_Data!$F$2:$F$1001,$F4,Clean_Data!$W$2:$W$1001,$W4,Clean_Data!$V$2:$V$1001,1)-1))),""))</f>
        <v>2.77854342992104</v>
      </c>
      <c r="AN4" s="5" t="str">
        <f>IF($AM4="","",IF($AM4&gt;=Lookups!$K$6,"High spike",IF($AM4&lt;=-Lookups!$K$6,"Unusual low","Normal")))</f>
        <v>Normal</v>
      </c>
      <c r="AO4" s="20">
        <f>IF($V4&lt;&gt;1,"",$P4+ROW()/100000)</f>
        <v>32.00004</v>
      </c>
      <c r="AP4" s="5">
        <f>IF($A4="","",IFERROR(MATCH($A4,Raw_D1!$A$2:$A$1001,0),""))</f>
        <v>3</v>
      </c>
      <c r="AQ4" s="5">
        <f>IF($A4="","",IFERROR(MATCH($A4,Raw_D2!$B$2:$B$1001,0),""))</f>
        <v>3</v>
      </c>
      <c r="AR4" s="5">
        <f>IF($A4="","",IFERROR(MATCH($A4,Raw_D3!$A$2:$A$1001,0),""))</f>
        <v/>
      </c>
    </row>
    <row r="5" spans="1:44" x14ac:dyDescent="0.25">
      <c r="A5" s="5">
        <v>4</v>
      </c>
      <c r="B5" s="11">
        <f>IF($A5="","",IF($AP5&lt;&gt;"",INDEX(Raw_D1!$B$2:$B$1001,$AP5),IF($AR5&lt;&gt;"",INDEX(Raw_D3!$B$2:$B$1001,$AR5),"")))</f>
        <v>40544.0</v>
      </c>
      <c r="C5" s="5">
        <f>IF($A5="","",IF($AP5&lt;&gt;"",INDEX(Raw_D1!$C$2:$C$1001,$AP5),IF($AR5&lt;&gt;"",INDEX(Raw_D3!$C$2:$C$1001,$AR5),"")))</f>
        <v>1</v>
      </c>
      <c r="D5" s="5">
        <f>IF($A5="","",IF($AP5&lt;&gt;"",INDEX(Raw_D1!$D$2:$D$1001,$AP5),IF($AR5&lt;&gt;"",INDEX(Raw_D3!$D$2:$D$1001,$AR5),"")))</f>
        <v>0</v>
      </c>
      <c r="E5" s="5">
        <f>IF($A5="","",IF($AP5&lt;&gt;"",INDEX(Raw_D1!$E$2:$E$1001,$AP5),IF($AR5&lt;&gt;"",INDEX(Raw_D3!$E$2:$E$1001,$AR5),"")))</f>
        <v>1</v>
      </c>
      <c r="F5" s="5">
        <f>IF($A5="","",IF($AP5&lt;&gt;"",INDEX(Raw_D1!$F$2:$F$1001,$AP5),IF($AR5&lt;&gt;"",INDEX(Raw_D3!$F$2:$F$1001,$AR5),"")))</f>
        <v>3</v>
      </c>
      <c r="G5" s="5">
        <f>IF($A5="","",IF($AP5&lt;&gt;"",IF(INDEX(Raw_D1!$G$2:$G$1001,$AP5),1,0),IF($AR5&lt;&gt;"",IF(INDEX(Raw_D3!$G$2:$G$1001,$AR5),1,0),"")))</f>
        <v>0</v>
      </c>
      <c r="H5" s="5">
        <f>IF($A5="","",IF($AP5&lt;&gt;"",INDEX(Raw_D1!$H$2:$H$1001,$AP5),IF($AR5&lt;&gt;"",INDEX(Raw_D3!$H$2:$H$1001,$AR5),"")))</f>
        <v>6</v>
      </c>
      <c r="I5" s="5">
        <f>IF($A5="","",IF($AP5&lt;&gt;"",INDEX(Raw_D1!$I$2:$I$1001,$AP5),IF($AR5&lt;&gt;"",INDEX(Raw_D3!$I$2:$I$1001,$AR5),"")))</f>
        <v>1</v>
      </c>
      <c r="J5" s="16">
        <f>IF($A5="","",IF($AP5&lt;&gt;"",INDEX(Raw_D1!$J$2:$J$1001,$AP5),IF($AR5&lt;&gt;"",INDEX(Raw_D3!$J$2:$J$1001,$AR5),"")))</f>
        <v>0.24</v>
      </c>
      <c r="K5" s="17">
        <f>IF($A5="","",IF($AQ5&lt;&gt;"",IF(INDEX(Raw_D2!$C$2:$C$1001,$AQ5)="","",INDEX(Raw_D2!$C$2:$C$1001,$AQ5)),IF($AR5&lt;&gt;"",IF(INDEX(Raw_D3!$K$2:$K$1001,$AR5)="","",INDEX(Raw_D3!$K$2:$K$1001,$AR5)),"")))</f>
        <v>0.2879</v>
      </c>
      <c r="L5" s="16">
        <f>IF($A5="","",IF($AQ5&lt;&gt;"",IF(INDEX(Raw_D2!$D$2:$D$1001,$AQ5)="","",INDEX(Raw_D2!$D$2:$D$1001,$AQ5)),IF($AR5&lt;&gt;"",IF(INDEX(Raw_D3!$L$2:$L$1001,$AR5)="","",INDEX(Raw_D3!$L$2:$L$1001,$AR5)),"")))</f>
        <v>0.75</v>
      </c>
      <c r="M5" s="17">
        <f>IF($A5="","",IF($AQ5&lt;&gt;"",IF(INDEX(Raw_D2!$E$2:$E$1001,$AQ5)="","",INDEX(Raw_D2!$E$2:$E$1001,$AQ5)),IF($AR5&lt;&gt;"",IF(INDEX(Raw_D3!$M$2:$M$1001,$AR5)="","",INDEX(Raw_D3!$M$2:$M$1001,$AR5)),"")))</f>
        <v>0</v>
      </c>
      <c r="N5" s="5">
        <f>IF($A5="","",IF($AQ5&lt;&gt;"",IF(INDEX(Raw_D2!$F$2:$F$1001,$AQ5)="","",INDEX(Raw_D2!$F$2:$F$1001,$AQ5)),IF($AR5&lt;&gt;"",IF(INDEX(Raw_D3!$N$2:$N$1001,$AR5)="","",INDEX(Raw_D3!$N$2:$N$1001,$AR5)),"")))</f>
        <v>3</v>
      </c>
      <c r="O5" s="5">
        <f>IF($A5="","",IF($AQ5&lt;&gt;"",IF(INDEX(Raw_D2!$G$2:$G$1001,$AQ5)="","",INDEX(Raw_D2!$G$2:$G$1001,$AQ5)),IF($AR5&lt;&gt;"",IF(INDEX(Raw_D3!$O$2:$O$1001,$AR5)="","",INDEX(Raw_D3!$O$2:$O$1001,$AR5)),"")))</f>
        <v>10</v>
      </c>
      <c r="P5" s="5">
        <f>IF($A5="","",IF($AQ5&lt;&gt;"",IF(INDEX(Raw_D2!$H$2:$H$1001,$AQ5)="","",INDEX(Raw_D2!$H$2:$H$1001,$AQ5)),IF($AR5&lt;&gt;"",IF(INDEX(Raw_D3!$P$2:$P$1001,$AR5)="","",INDEX(Raw_D3!$P$2:$P$1001,$AR5)),"")))</f>
        <v>13</v>
      </c>
      <c r="Q5" s="5" t="str">
        <f>IF($A5="","",IF(AND($AP5&lt;&gt;"",$AQ5&lt;&gt;""),"D1+D2",IF($AR5&lt;&gt;"","D3","Incomplete")))</f>
        <v>D1+D2</v>
      </c>
      <c r="R5" s="17">
        <f>IF($A5="","",IF($K5="",IF($J5="","",ROUND(Lookups!$K$5+Lookups!$K$4*$J5,4)),$K5))</f>
        <v>0.2879</v>
      </c>
      <c r="S5" s="5" t="str">
        <f>IF($A5="","",IF($K5="","Imputed","Original"))</f>
        <v>Original</v>
      </c>
      <c r="T5" s="5" t="str">
        <f>IF($A5="","",IF($P5="","Missing",IF($P5=$N5+$O5,"OK","Mismatch")))</f>
        <v>OK</v>
      </c>
      <c r="U5" s="5" t="str">
        <f>IF($A5="","",IF(COUNTIF($A$2:$A5,$A5)&gt;1,"Duplicate","Unique"))</f>
        <v>Unique</v>
      </c>
      <c r="V5" s="5">
        <f>IF($A5="","",IF(AND($U5="Unique",ISNUMBER($P5)),1,0))</f>
        <v>1</v>
      </c>
      <c r="W5" s="5" t="str">
        <f>IF($A5="","",IF(OR($H5=0,$H5=6),"Weekend","Weekday"))</f>
        <v>Weekend</v>
      </c>
      <c r="X5" s="5" t="str">
        <f>IF($A5="","",TEXT($B5,"ddd"))</f>
        <v>Sat</v>
      </c>
      <c r="Y5" s="5" t="str">
        <f>IF($A5="","",TEXT($B5,"mmm"))</f>
        <v>Jan</v>
      </c>
      <c r="Z5" s="5" t="str">
        <f>IF($A5="","",IFERROR(VLOOKUP($C5,Lookups!$D$4:$E$7,2,FALSE),"Unknown"))</f>
        <v>Winter</v>
      </c>
      <c r="AA5" s="5" t="str">
        <f>IF($A5="","",IFERROR(VLOOKUP($I5,Lookups!$A$4:$B$7,2,FALSE),"Unknown"))</f>
        <v>Clear</v>
      </c>
      <c r="AB5" s="5" t="str">
        <f>IF($A5="","",TEXT($F5,"00")&amp;":00")</f>
        <v>03:00</v>
      </c>
      <c r="AC5" s="5" t="str">
        <f>IF($A5="","",VLOOKUP($F5,Lookups!$G$4:$H$8,2,TRUE))</f>
        <v>Night (00-05)</v>
      </c>
      <c r="AD5" s="18">
        <f>IF($A5="","",IF($J5="","",ROUND($J5*41,1)))</f>
        <v>9.8</v>
      </c>
      <c r="AE5" s="18">
        <f>IF($A5="","",IF($R5="","",ROUND($R5*50,1)))</f>
        <v>14.4</v>
      </c>
      <c r="AF5" s="5">
        <f>IF($A5="","",IF($L5="","",ROUND($L5*100,0)))</f>
        <v>75</v>
      </c>
      <c r="AG5" s="18">
        <f>IF($A5="","",IF($M5="","",ROUND($M5*67,1)))</f>
        <v>0</v>
      </c>
      <c r="AH5" s="19">
        <f>IF($A5="","",IF($P5="","",IF($P5=0,0,$O5/$P5)))</f>
        <v>0.769230769230769</v>
      </c>
      <c r="AI5" s="5" t="str">
        <f>IF($A5="","",IF($P5="","",IF($P5&gt;=Lookups!$K$7,"High",IF($P5&lt;=Lookups!$K$8,"Low","Medium"))))</f>
        <v>Low</v>
      </c>
      <c r="AJ5" s="5" t="str">
        <f>IF($A5="","",IF($AD5="","",IF($AD5&lt;5,"Under 5 C",IF($AD5&lt;10,"5-10 C",IF($AD5&lt;15,"10-15 C","15 C and above")))))</f>
        <v>5-10 C</v>
      </c>
      <c r="AK5" s="5">
        <f>IF($A5="","",IF($P5="","",$P5^2))</f>
        <v>169</v>
      </c>
      <c r="AL5" s="18">
        <f>IF($V5&lt;&gt;1,"",AVERAGEIFS(Clean_Data!$P$2:$P$1001,Clean_Data!$F$2:$F$1001,$F5,Clean_Data!$W$2:$W$1001,$W5,Clean_Data!$V$2:$V$1001,1))</f>
        <v>9.07142857142857</v>
      </c>
      <c r="AM5" s="16">
        <f>IF($V5&lt;&gt;1,"",IFERROR(($P5-$AL5)/SQRT(MAX(0,(SUMIFS(Clean_Data!$AK$2:$AK$1001,Clean_Data!$F$2:$F$1001,$F5,Clean_Data!$W$2:$W$1001,$W5,Clean_Data!$V$2:$V$1001,1)-COUNTIFS(Clean_Data!$F$2:$F$1001,$F5,Clean_Data!$W$2:$W$1001,$W5,Clean_Data!$V$2:$V$1001,1)*$AL5^2)/(COUNTIFS(Clean_Data!$F$2:$F$1001,$F5,Clean_Data!$W$2:$W$1001,$W5,Clean_Data!$V$2:$V$1001,1)-1))),""))</f>
        <v>1.18480479595249</v>
      </c>
      <c r="AN5" s="5" t="str">
        <f>IF($AM5="","",IF($AM5&gt;=Lookups!$K$6,"High spike",IF($AM5&lt;=-Lookups!$K$6,"Unusual low","Normal")))</f>
        <v>Normal</v>
      </c>
      <c r="AO5" s="20">
        <f>IF($V5&lt;&gt;1,"",$P5+ROW()/100000)</f>
        <v>13.00005</v>
      </c>
      <c r="AP5" s="5">
        <f>IF($A5="","",IFERROR(MATCH($A5,Raw_D1!$A$2:$A$1001,0),""))</f>
        <v>4</v>
      </c>
      <c r="AQ5" s="5">
        <f>IF($A5="","",IFERROR(MATCH($A5,Raw_D2!$B$2:$B$1001,0),""))</f>
        <v>4</v>
      </c>
      <c r="AR5" s="5">
        <f>IF($A5="","",IFERROR(MATCH($A5,Raw_D3!$A$2:$A$1001,0),""))</f>
        <v/>
      </c>
    </row>
    <row r="6" spans="1:44" x14ac:dyDescent="0.25">
      <c r="A6" s="5">
        <v>5</v>
      </c>
      <c r="B6" s="11">
        <f>IF($A6="","",IF($AP6&lt;&gt;"",INDEX(Raw_D1!$B$2:$B$1001,$AP6),IF($AR6&lt;&gt;"",INDEX(Raw_D3!$B$2:$B$1001,$AR6),"")))</f>
        <v>40544.0</v>
      </c>
      <c r="C6" s="5">
        <f>IF($A6="","",IF($AP6&lt;&gt;"",INDEX(Raw_D1!$C$2:$C$1001,$AP6),IF($AR6&lt;&gt;"",INDEX(Raw_D3!$C$2:$C$1001,$AR6),"")))</f>
        <v>1</v>
      </c>
      <c r="D6" s="5">
        <f>IF($A6="","",IF($AP6&lt;&gt;"",INDEX(Raw_D1!$D$2:$D$1001,$AP6),IF($AR6&lt;&gt;"",INDEX(Raw_D3!$D$2:$D$1001,$AR6),"")))</f>
        <v>0</v>
      </c>
      <c r="E6" s="5">
        <f>IF($A6="","",IF($AP6&lt;&gt;"",INDEX(Raw_D1!$E$2:$E$1001,$AP6),IF($AR6&lt;&gt;"",INDEX(Raw_D3!$E$2:$E$1001,$AR6),"")))</f>
        <v>1</v>
      </c>
      <c r="F6" s="5">
        <f>IF($A6="","",IF($AP6&lt;&gt;"",INDEX(Raw_D1!$F$2:$F$1001,$AP6),IF($AR6&lt;&gt;"",INDEX(Raw_D3!$F$2:$F$1001,$AR6),"")))</f>
        <v>4</v>
      </c>
      <c r="G6" s="5">
        <f>IF($A6="","",IF($AP6&lt;&gt;"",IF(INDEX(Raw_D1!$G$2:$G$1001,$AP6),1,0),IF($AR6&lt;&gt;"",IF(INDEX(Raw_D3!$G$2:$G$1001,$AR6),1,0),"")))</f>
        <v>0</v>
      </c>
      <c r="H6" s="5">
        <f>IF($A6="","",IF($AP6&lt;&gt;"",INDEX(Raw_D1!$H$2:$H$1001,$AP6),IF($AR6&lt;&gt;"",INDEX(Raw_D3!$H$2:$H$1001,$AR6),"")))</f>
        <v>6</v>
      </c>
      <c r="I6" s="5">
        <f>IF($A6="","",IF($AP6&lt;&gt;"",INDEX(Raw_D1!$I$2:$I$1001,$AP6),IF($AR6&lt;&gt;"",INDEX(Raw_D3!$I$2:$I$1001,$AR6),"")))</f>
        <v>1</v>
      </c>
      <c r="J6" s="16">
        <f>IF($A6="","",IF($AP6&lt;&gt;"",INDEX(Raw_D1!$J$2:$J$1001,$AP6),IF($AR6&lt;&gt;"",INDEX(Raw_D3!$J$2:$J$1001,$AR6),"")))</f>
        <v>0.24</v>
      </c>
      <c r="K6" s="17">
        <f>IF($A6="","",IF($AQ6&lt;&gt;"",IF(INDEX(Raw_D2!$C$2:$C$1001,$AQ6)="","",INDEX(Raw_D2!$C$2:$C$1001,$AQ6)),IF($AR6&lt;&gt;"",IF(INDEX(Raw_D3!$K$2:$K$1001,$AR6)="","",INDEX(Raw_D3!$K$2:$K$1001,$AR6)),"")))</f>
        <v>0.2879</v>
      </c>
      <c r="L6" s="16">
        <f>IF($A6="","",IF($AQ6&lt;&gt;"",IF(INDEX(Raw_D2!$D$2:$D$1001,$AQ6)="","",INDEX(Raw_D2!$D$2:$D$1001,$AQ6)),IF($AR6&lt;&gt;"",IF(INDEX(Raw_D3!$L$2:$L$1001,$AR6)="","",INDEX(Raw_D3!$L$2:$L$1001,$AR6)),"")))</f>
        <v>0.75</v>
      </c>
      <c r="M6" s="17">
        <f>IF($A6="","",IF($AQ6&lt;&gt;"",IF(INDEX(Raw_D2!$E$2:$E$1001,$AQ6)="","",INDEX(Raw_D2!$E$2:$E$1001,$AQ6)),IF($AR6&lt;&gt;"",IF(INDEX(Raw_D3!$M$2:$M$1001,$AR6)="","",INDEX(Raw_D3!$M$2:$M$1001,$AR6)),"")))</f>
        <v>0</v>
      </c>
      <c r="N6" s="5">
        <f>IF($A6="","",IF($AQ6&lt;&gt;"",IF(INDEX(Raw_D2!$F$2:$F$1001,$AQ6)="","",INDEX(Raw_D2!$F$2:$F$1001,$AQ6)),IF($AR6&lt;&gt;"",IF(INDEX(Raw_D3!$N$2:$N$1001,$AR6)="","",INDEX(Raw_D3!$N$2:$N$1001,$AR6)),"")))</f>
        <v>0</v>
      </c>
      <c r="O6" s="5">
        <f>IF($A6="","",IF($AQ6&lt;&gt;"",IF(INDEX(Raw_D2!$G$2:$G$1001,$AQ6)="","",INDEX(Raw_D2!$G$2:$G$1001,$AQ6)),IF($AR6&lt;&gt;"",IF(INDEX(Raw_D3!$O$2:$O$1001,$AR6)="","",INDEX(Raw_D3!$O$2:$O$1001,$AR6)),"")))</f>
        <v>1</v>
      </c>
      <c r="P6" s="5">
        <f>IF($A6="","",IF($AQ6&lt;&gt;"",IF(INDEX(Raw_D2!$H$2:$H$1001,$AQ6)="","",INDEX(Raw_D2!$H$2:$H$1001,$AQ6)),IF($AR6&lt;&gt;"",IF(INDEX(Raw_D3!$P$2:$P$1001,$AR6)="","",INDEX(Raw_D3!$P$2:$P$1001,$AR6)),"")))</f>
        <v>1</v>
      </c>
      <c r="Q6" s="5" t="str">
        <f>IF($A6="","",IF(AND($AP6&lt;&gt;"",$AQ6&lt;&gt;""),"D1+D2",IF($AR6&lt;&gt;"","D3","Incomplete")))</f>
        <v>D1+D2</v>
      </c>
      <c r="R6" s="17">
        <f>IF($A6="","",IF($K6="",IF($J6="","",ROUND(Lookups!$K$5+Lookups!$K$4*$J6,4)),$K6))</f>
        <v>0.2879</v>
      </c>
      <c r="S6" s="5" t="str">
        <f>IF($A6="","",IF($K6="","Imputed","Original"))</f>
        <v>Original</v>
      </c>
      <c r="T6" s="5" t="str">
        <f>IF($A6="","",IF($P6="","Missing",IF($P6=$N6+$O6,"OK","Mismatch")))</f>
        <v>OK</v>
      </c>
      <c r="U6" s="5" t="str">
        <f>IF($A6="","",IF(COUNTIF($A$2:$A6,$A6)&gt;1,"Duplicate","Unique"))</f>
        <v>Unique</v>
      </c>
      <c r="V6" s="5">
        <f>IF($A6="","",IF(AND($U6="Unique",ISNUMBER($P6)),1,0))</f>
        <v>1</v>
      </c>
      <c r="W6" s="5" t="str">
        <f>IF($A6="","",IF(OR($H6=0,$H6=6),"Weekend","Weekday"))</f>
        <v>Weekend</v>
      </c>
      <c r="X6" s="5" t="str">
        <f>IF($A6="","",TEXT($B6,"ddd"))</f>
        <v>Sat</v>
      </c>
      <c r="Y6" s="5" t="str">
        <f>IF($A6="","",TEXT($B6,"mmm"))</f>
        <v>Jan</v>
      </c>
      <c r="Z6" s="5" t="str">
        <f>IF($A6="","",IFERROR(VLOOKUP($C6,Lookups!$D$4:$E$7,2,FALSE),"Unknown"))</f>
        <v>Winter</v>
      </c>
      <c r="AA6" s="5" t="str">
        <f>IF($A6="","",IFERROR(VLOOKUP($I6,Lookups!$A$4:$B$7,2,FALSE),"Unknown"))</f>
        <v>Clear</v>
      </c>
      <c r="AB6" s="5" t="str">
        <f>IF($A6="","",TEXT($F6,"00")&amp;":00")</f>
        <v>04:00</v>
      </c>
      <c r="AC6" s="5" t="str">
        <f>IF($A6="","",VLOOKUP($F6,Lookups!$G$4:$H$8,2,TRUE))</f>
        <v>Night (00-05)</v>
      </c>
      <c r="AD6" s="18">
        <f>IF($A6="","",IF($J6="","",ROUND($J6*41,1)))</f>
        <v>9.8</v>
      </c>
      <c r="AE6" s="18">
        <f>IF($A6="","",IF($R6="","",ROUND($R6*50,1)))</f>
        <v>14.4</v>
      </c>
      <c r="AF6" s="5">
        <f>IF($A6="","",IF($L6="","",ROUND($L6*100,0)))</f>
        <v>75</v>
      </c>
      <c r="AG6" s="18">
        <f>IF($A6="","",IF($M6="","",ROUND($M6*67,1)))</f>
        <v>0</v>
      </c>
      <c r="AH6" s="19">
        <f>IF($A6="","",IF($P6="","",IF($P6=0,0,$O6/$P6)))</f>
        <v>1</v>
      </c>
      <c r="AI6" s="5" t="str">
        <f>IF($A6="","",IF($P6="","",IF($P6&gt;=Lookups!$K$7,"High",IF($P6&lt;=Lookups!$K$8,"Low","Medium"))))</f>
        <v>Low</v>
      </c>
      <c r="AJ6" s="5" t="str">
        <f>IF($A6="","",IF($AD6="","",IF($AD6&lt;5,"Under 5 C",IF($AD6&lt;10,"5-10 C",IF($AD6&lt;15,"10-15 C","15 C and above")))))</f>
        <v>5-10 C</v>
      </c>
      <c r="AK6" s="5">
        <f>IF($A6="","",IF($P6="","",$P6^2))</f>
        <v>1</v>
      </c>
      <c r="AL6" s="18">
        <f>IF($V6&lt;&gt;1,"",AVERAGEIFS(Clean_Data!$P$2:$P$1001,Clean_Data!$F$2:$F$1001,$F6,Clean_Data!$W$2:$W$1001,$W6,Clean_Data!$V$2:$V$1001,1))</f>
        <v>2.69230769230769</v>
      </c>
      <c r="AM6" s="16">
        <f>IF($V6&lt;&gt;1,"",IFERROR(($P6-$AL6)/SQRT(MAX(0,(SUMIFS(Clean_Data!$AK$2:$AK$1001,Clean_Data!$F$2:$F$1001,$F6,Clean_Data!$W$2:$W$1001,$W6,Clean_Data!$V$2:$V$1001,1)-COUNTIFS(Clean_Data!$F$2:$F$1001,$F6,Clean_Data!$W$2:$W$1001,$W6,Clean_Data!$V$2:$V$1001,1)*$AL6^2)/(COUNTIFS(Clean_Data!$F$2:$F$1001,$F6,Clean_Data!$W$2:$W$1001,$W6,Clean_Data!$V$2:$V$1001,1)-1))),""))</f>
        <v>-0.822753351207442</v>
      </c>
      <c r="AN6" s="5" t="str">
        <f>IF($AM6="","",IF($AM6&gt;=Lookups!$K$6,"High spike",IF($AM6&lt;=-Lookups!$K$6,"Unusual low","Normal")))</f>
        <v>Normal</v>
      </c>
      <c r="AO6" s="20">
        <f>IF($V6&lt;&gt;1,"",$P6+ROW()/100000)</f>
        <v>1.00006</v>
      </c>
      <c r="AP6" s="5">
        <f>IF($A6="","",IFERROR(MATCH($A6,Raw_D1!$A$2:$A$1001,0),""))</f>
        <v>5</v>
      </c>
      <c r="AQ6" s="5">
        <f>IF($A6="","",IFERROR(MATCH($A6,Raw_D2!$B$2:$B$1001,0),""))</f>
        <v>5</v>
      </c>
      <c r="AR6" s="5">
        <f>IF($A6="","",IFERROR(MATCH($A6,Raw_D3!$A$2:$A$1001,0),""))</f>
        <v/>
      </c>
    </row>
    <row r="7" spans="1:44" x14ac:dyDescent="0.25">
      <c r="A7" s="5">
        <v>6</v>
      </c>
      <c r="B7" s="11">
        <f>IF($A7="","",IF($AP7&lt;&gt;"",INDEX(Raw_D1!$B$2:$B$1001,$AP7),IF($AR7&lt;&gt;"",INDEX(Raw_D3!$B$2:$B$1001,$AR7),"")))</f>
        <v>40544.0</v>
      </c>
      <c r="C7" s="5">
        <f>IF($A7="","",IF($AP7&lt;&gt;"",INDEX(Raw_D1!$C$2:$C$1001,$AP7),IF($AR7&lt;&gt;"",INDEX(Raw_D3!$C$2:$C$1001,$AR7),"")))</f>
        <v>1</v>
      </c>
      <c r="D7" s="5">
        <f>IF($A7="","",IF($AP7&lt;&gt;"",INDEX(Raw_D1!$D$2:$D$1001,$AP7),IF($AR7&lt;&gt;"",INDEX(Raw_D3!$D$2:$D$1001,$AR7),"")))</f>
        <v>0</v>
      </c>
      <c r="E7" s="5">
        <f>IF($A7="","",IF($AP7&lt;&gt;"",INDEX(Raw_D1!$E$2:$E$1001,$AP7),IF($AR7&lt;&gt;"",INDEX(Raw_D3!$E$2:$E$1001,$AR7),"")))</f>
        <v>1</v>
      </c>
      <c r="F7" s="5">
        <f>IF($A7="","",IF($AP7&lt;&gt;"",INDEX(Raw_D1!$F$2:$F$1001,$AP7),IF($AR7&lt;&gt;"",INDEX(Raw_D3!$F$2:$F$1001,$AR7),"")))</f>
        <v>5</v>
      </c>
      <c r="G7" s="5">
        <f>IF($A7="","",IF($AP7&lt;&gt;"",IF(INDEX(Raw_D1!$G$2:$G$1001,$AP7),1,0),IF($AR7&lt;&gt;"",IF(INDEX(Raw_D3!$G$2:$G$1001,$AR7),1,0),"")))</f>
        <v>0</v>
      </c>
      <c r="H7" s="5">
        <f>IF($A7="","",IF($AP7&lt;&gt;"",INDEX(Raw_D1!$H$2:$H$1001,$AP7),IF($AR7&lt;&gt;"",INDEX(Raw_D3!$H$2:$H$1001,$AR7),"")))</f>
        <v>6</v>
      </c>
      <c r="I7" s="5">
        <f>IF($A7="","",IF($AP7&lt;&gt;"",INDEX(Raw_D1!$I$2:$I$1001,$AP7),IF($AR7&lt;&gt;"",INDEX(Raw_D3!$I$2:$I$1001,$AR7),"")))</f>
        <v>2</v>
      </c>
      <c r="J7" s="16">
        <f>IF($A7="","",IF($AP7&lt;&gt;"",INDEX(Raw_D1!$J$2:$J$1001,$AP7),IF($AR7&lt;&gt;"",INDEX(Raw_D3!$J$2:$J$1001,$AR7),"")))</f>
        <v>0.24</v>
      </c>
      <c r="K7" s="17">
        <f>IF($A7="","",IF($AQ7&lt;&gt;"",IF(INDEX(Raw_D2!$C$2:$C$1001,$AQ7)="","",INDEX(Raw_D2!$C$2:$C$1001,$AQ7)),IF($AR7&lt;&gt;"",IF(INDEX(Raw_D3!$K$2:$K$1001,$AR7)="","",INDEX(Raw_D3!$K$2:$K$1001,$AR7)),"")))</f>
        <v>0.2576</v>
      </c>
      <c r="L7" s="16">
        <f>IF($A7="","",IF($AQ7&lt;&gt;"",IF(INDEX(Raw_D2!$D$2:$D$1001,$AQ7)="","",INDEX(Raw_D2!$D$2:$D$1001,$AQ7)),IF($AR7&lt;&gt;"",IF(INDEX(Raw_D3!$L$2:$L$1001,$AR7)="","",INDEX(Raw_D3!$L$2:$L$1001,$AR7)),"")))</f>
        <v>0.75</v>
      </c>
      <c r="M7" s="17">
        <f>IF($A7="","",IF($AQ7&lt;&gt;"",IF(INDEX(Raw_D2!$E$2:$E$1001,$AQ7)="","",INDEX(Raw_D2!$E$2:$E$1001,$AQ7)),IF($AR7&lt;&gt;"",IF(INDEX(Raw_D3!$M$2:$M$1001,$AR7)="","",INDEX(Raw_D3!$M$2:$M$1001,$AR7)),"")))</f>
        <v>0.0896</v>
      </c>
      <c r="N7" s="5">
        <f>IF($A7="","",IF($AQ7&lt;&gt;"",IF(INDEX(Raw_D2!$F$2:$F$1001,$AQ7)="","",INDEX(Raw_D2!$F$2:$F$1001,$AQ7)),IF($AR7&lt;&gt;"",IF(INDEX(Raw_D3!$N$2:$N$1001,$AR7)="","",INDEX(Raw_D3!$N$2:$N$1001,$AR7)),"")))</f>
        <v>0</v>
      </c>
      <c r="O7" s="5">
        <f>IF($A7="","",IF($AQ7&lt;&gt;"",IF(INDEX(Raw_D2!$G$2:$G$1001,$AQ7)="","",INDEX(Raw_D2!$G$2:$G$1001,$AQ7)),IF($AR7&lt;&gt;"",IF(INDEX(Raw_D3!$O$2:$O$1001,$AR7)="","",INDEX(Raw_D3!$O$2:$O$1001,$AR7)),"")))</f>
        <v>1</v>
      </c>
      <c r="P7" s="5">
        <f>IF($A7="","",IF($AQ7&lt;&gt;"",IF(INDEX(Raw_D2!$H$2:$H$1001,$AQ7)="","",INDEX(Raw_D2!$H$2:$H$1001,$AQ7)),IF($AR7&lt;&gt;"",IF(INDEX(Raw_D3!$P$2:$P$1001,$AR7)="","",INDEX(Raw_D3!$P$2:$P$1001,$AR7)),"")))</f>
        <v>1</v>
      </c>
      <c r="Q7" s="5" t="str">
        <f>IF($A7="","",IF(AND($AP7&lt;&gt;"",$AQ7&lt;&gt;""),"D1+D2",IF($AR7&lt;&gt;"","D3","Incomplete")))</f>
        <v>D1+D2</v>
      </c>
      <c r="R7" s="17">
        <f>IF($A7="","",IF($K7="",IF($J7="","",ROUND(Lookups!$K$5+Lookups!$K$4*$J7,4)),$K7))</f>
        <v>0.2576</v>
      </c>
      <c r="S7" s="5" t="str">
        <f>IF($A7="","",IF($K7="","Imputed","Original"))</f>
        <v>Original</v>
      </c>
      <c r="T7" s="5" t="str">
        <f>IF($A7="","",IF($P7="","Missing",IF($P7=$N7+$O7,"OK","Mismatch")))</f>
        <v>OK</v>
      </c>
      <c r="U7" s="5" t="str">
        <f>IF($A7="","",IF(COUNTIF($A$2:$A7,$A7)&gt;1,"Duplicate","Unique"))</f>
        <v>Unique</v>
      </c>
      <c r="V7" s="5">
        <f>IF($A7="","",IF(AND($U7="Unique",ISNUMBER($P7)),1,0))</f>
        <v>1</v>
      </c>
      <c r="W7" s="5" t="str">
        <f>IF($A7="","",IF(OR($H7=0,$H7=6),"Weekend","Weekday"))</f>
        <v>Weekend</v>
      </c>
      <c r="X7" s="5" t="str">
        <f>IF($A7="","",TEXT($B7,"ddd"))</f>
        <v>Sat</v>
      </c>
      <c r="Y7" s="5" t="str">
        <f>IF($A7="","",TEXT($B7,"mmm"))</f>
        <v>Jan</v>
      </c>
      <c r="Z7" s="5" t="str">
        <f>IF($A7="","",IFERROR(VLOOKUP($C7,Lookups!$D$4:$E$7,2,FALSE),"Unknown"))</f>
        <v>Winter</v>
      </c>
      <c r="AA7" s="5" t="str">
        <f>IF($A7="","",IFERROR(VLOOKUP($I7,Lookups!$A$4:$B$7,2,FALSE),"Unknown"))</f>
        <v>Mist/Cloudy</v>
      </c>
      <c r="AB7" s="5" t="str">
        <f>IF($A7="","",TEXT($F7,"00")&amp;":00")</f>
        <v>05:00</v>
      </c>
      <c r="AC7" s="5" t="str">
        <f>IF($A7="","",VLOOKUP($F7,Lookups!$G$4:$H$8,2,TRUE))</f>
        <v>Night (00-05)</v>
      </c>
      <c r="AD7" s="18">
        <f>IF($A7="","",IF($J7="","",ROUND($J7*41,1)))</f>
        <v>9.8</v>
      </c>
      <c r="AE7" s="18">
        <f>IF($A7="","",IF($R7="","",ROUND($R7*50,1)))</f>
        <v>12.9</v>
      </c>
      <c r="AF7" s="5">
        <f>IF($A7="","",IF($L7="","",ROUND($L7*100,0)))</f>
        <v>75</v>
      </c>
      <c r="AG7" s="18">
        <f>IF($A7="","",IF($M7="","",ROUND($M7*67,1)))</f>
        <v>6</v>
      </c>
      <c r="AH7" s="19">
        <f>IF($A7="","",IF($P7="","",IF($P7=0,0,$O7/$P7)))</f>
        <v>1</v>
      </c>
      <c r="AI7" s="5" t="str">
        <f>IF($A7="","",IF($P7="","",IF($P7&gt;=Lookups!$K$7,"High",IF($P7&lt;=Lookups!$K$8,"Low","Medium"))))</f>
        <v>Low</v>
      </c>
      <c r="AJ7" s="5" t="str">
        <f>IF($A7="","",IF($AD7="","",IF($AD7&lt;5,"Under 5 C",IF($AD7&lt;10,"5-10 C",IF($AD7&lt;15,"10-15 C","15 C and above")))))</f>
        <v>5-10 C</v>
      </c>
      <c r="AK7" s="5">
        <f>IF($A7="","",IF($P7="","",$P7^2))</f>
        <v>1</v>
      </c>
      <c r="AL7" s="18">
        <f>IF($V7&lt;&gt;1,"",AVERAGEIFS(Clean_Data!$P$2:$P$1001,Clean_Data!$F$2:$F$1001,$F7,Clean_Data!$W$2:$W$1001,$W7,Clean_Data!$V$2:$V$1001,1))</f>
        <v>2.7</v>
      </c>
      <c r="AM7" s="16">
        <f>IF($V7&lt;&gt;1,"",IFERROR(($P7-$AL7)/SQRT(MAX(0,(SUMIFS(Clean_Data!$AK$2:$AK$1001,Clean_Data!$F$2:$F$1001,$F7,Clean_Data!$W$2:$W$1001,$W7,Clean_Data!$V$2:$V$1001,1)-COUNTIFS(Clean_Data!$F$2:$F$1001,$F7,Clean_Data!$W$2:$W$1001,$W7,Clean_Data!$V$2:$V$1001,1)*$AL7^2)/(COUNTIFS(Clean_Data!$F$2:$F$1001,$F7,Clean_Data!$W$2:$W$1001,$W7,Clean_Data!$V$2:$V$1001,1)-1))),""))</f>
        <v>-0.65785918110418</v>
      </c>
      <c r="AN7" s="5" t="str">
        <f>IF($AM7="","",IF($AM7&gt;=Lookups!$K$6,"High spike",IF($AM7&lt;=-Lookups!$K$6,"Unusual low","Normal")))</f>
        <v>Normal</v>
      </c>
      <c r="AO7" s="20">
        <f>IF($V7&lt;&gt;1,"",$P7+ROW()/100000)</f>
        <v>1.00007</v>
      </c>
      <c r="AP7" s="5">
        <f>IF($A7="","",IFERROR(MATCH($A7,Raw_D1!$A$2:$A$1001,0),""))</f>
        <v>6</v>
      </c>
      <c r="AQ7" s="5">
        <f>IF($A7="","",IFERROR(MATCH($A7,Raw_D2!$B$2:$B$1001,0),""))</f>
        <v>6</v>
      </c>
      <c r="AR7" s="5">
        <f>IF($A7="","",IFERROR(MATCH($A7,Raw_D3!$A$2:$A$1001,0),""))</f>
        <v/>
      </c>
    </row>
    <row r="8" spans="1:44" x14ac:dyDescent="0.25">
      <c r="A8" s="5">
        <v>7</v>
      </c>
      <c r="B8" s="11">
        <f>IF($A8="","",IF($AP8&lt;&gt;"",INDEX(Raw_D1!$B$2:$B$1001,$AP8),IF($AR8&lt;&gt;"",INDEX(Raw_D3!$B$2:$B$1001,$AR8),"")))</f>
        <v>40544.0</v>
      </c>
      <c r="C8" s="5">
        <f>IF($A8="","",IF($AP8&lt;&gt;"",INDEX(Raw_D1!$C$2:$C$1001,$AP8),IF($AR8&lt;&gt;"",INDEX(Raw_D3!$C$2:$C$1001,$AR8),"")))</f>
        <v>1</v>
      </c>
      <c r="D8" s="5">
        <f>IF($A8="","",IF($AP8&lt;&gt;"",INDEX(Raw_D1!$D$2:$D$1001,$AP8),IF($AR8&lt;&gt;"",INDEX(Raw_D3!$D$2:$D$1001,$AR8),"")))</f>
        <v>0</v>
      </c>
      <c r="E8" s="5">
        <f>IF($A8="","",IF($AP8&lt;&gt;"",INDEX(Raw_D1!$E$2:$E$1001,$AP8),IF($AR8&lt;&gt;"",INDEX(Raw_D3!$E$2:$E$1001,$AR8),"")))</f>
        <v>1</v>
      </c>
      <c r="F8" s="5">
        <f>IF($A8="","",IF($AP8&lt;&gt;"",INDEX(Raw_D1!$F$2:$F$1001,$AP8),IF($AR8&lt;&gt;"",INDEX(Raw_D3!$F$2:$F$1001,$AR8),"")))</f>
        <v>6</v>
      </c>
      <c r="G8" s="5">
        <f>IF($A8="","",IF($AP8&lt;&gt;"",IF(INDEX(Raw_D1!$G$2:$G$1001,$AP8),1,0),IF($AR8&lt;&gt;"",IF(INDEX(Raw_D3!$G$2:$G$1001,$AR8),1,0),"")))</f>
        <v>0</v>
      </c>
      <c r="H8" s="5">
        <f>IF($A8="","",IF($AP8&lt;&gt;"",INDEX(Raw_D1!$H$2:$H$1001,$AP8),IF($AR8&lt;&gt;"",INDEX(Raw_D3!$H$2:$H$1001,$AR8),"")))</f>
        <v>6</v>
      </c>
      <c r="I8" s="5">
        <f>IF($A8="","",IF($AP8&lt;&gt;"",INDEX(Raw_D1!$I$2:$I$1001,$AP8),IF($AR8&lt;&gt;"",INDEX(Raw_D3!$I$2:$I$1001,$AR8),"")))</f>
        <v>1</v>
      </c>
      <c r="J8" s="16">
        <f>IF($A8="","",IF($AP8&lt;&gt;"",INDEX(Raw_D1!$J$2:$J$1001,$AP8),IF($AR8&lt;&gt;"",INDEX(Raw_D3!$J$2:$J$1001,$AR8),"")))</f>
        <v>0.22</v>
      </c>
      <c r="K8" s="17">
        <f>IF($A8="","",IF($AQ8&lt;&gt;"",IF(INDEX(Raw_D2!$C$2:$C$1001,$AQ8)="","",INDEX(Raw_D2!$C$2:$C$1001,$AQ8)),IF($AR8&lt;&gt;"",IF(INDEX(Raw_D3!$K$2:$K$1001,$AR8)="","",INDEX(Raw_D3!$K$2:$K$1001,$AR8)),"")))</f>
        <v>0.2727</v>
      </c>
      <c r="L8" s="16">
        <f>IF($A8="","",IF($AQ8&lt;&gt;"",IF(INDEX(Raw_D2!$D$2:$D$1001,$AQ8)="","",INDEX(Raw_D2!$D$2:$D$1001,$AQ8)),IF($AR8&lt;&gt;"",IF(INDEX(Raw_D3!$L$2:$L$1001,$AR8)="","",INDEX(Raw_D3!$L$2:$L$1001,$AR8)),"")))</f>
        <v>0.8</v>
      </c>
      <c r="M8" s="17">
        <f>IF($A8="","",IF($AQ8&lt;&gt;"",IF(INDEX(Raw_D2!$E$2:$E$1001,$AQ8)="","",INDEX(Raw_D2!$E$2:$E$1001,$AQ8)),IF($AR8&lt;&gt;"",IF(INDEX(Raw_D3!$M$2:$M$1001,$AR8)="","",INDEX(Raw_D3!$M$2:$M$1001,$AR8)),"")))</f>
        <v>0</v>
      </c>
      <c r="N8" s="5">
        <f>IF($A8="","",IF($AQ8&lt;&gt;"",IF(INDEX(Raw_D2!$F$2:$F$1001,$AQ8)="","",INDEX(Raw_D2!$F$2:$F$1001,$AQ8)),IF($AR8&lt;&gt;"",IF(INDEX(Raw_D3!$N$2:$N$1001,$AR8)="","",INDEX(Raw_D3!$N$2:$N$1001,$AR8)),"")))</f>
        <v>2</v>
      </c>
      <c r="O8" s="5">
        <f>IF($A8="","",IF($AQ8&lt;&gt;"",IF(INDEX(Raw_D2!$G$2:$G$1001,$AQ8)="","",INDEX(Raw_D2!$G$2:$G$1001,$AQ8)),IF($AR8&lt;&gt;"",IF(INDEX(Raw_D3!$O$2:$O$1001,$AR8)="","",INDEX(Raw_D3!$O$2:$O$1001,$AR8)),"")))</f>
        <v>0</v>
      </c>
      <c r="P8" s="5">
        <f>IF($A8="","",IF($AQ8&lt;&gt;"",IF(INDEX(Raw_D2!$H$2:$H$1001,$AQ8)="","",INDEX(Raw_D2!$H$2:$H$1001,$AQ8)),IF($AR8&lt;&gt;"",IF(INDEX(Raw_D3!$P$2:$P$1001,$AR8)="","",INDEX(Raw_D3!$P$2:$P$1001,$AR8)),"")))</f>
        <v>2</v>
      </c>
      <c r="Q8" s="5" t="str">
        <f>IF($A8="","",IF(AND($AP8&lt;&gt;"",$AQ8&lt;&gt;""),"D1+D2",IF($AR8&lt;&gt;"","D3","Incomplete")))</f>
        <v>D1+D2</v>
      </c>
      <c r="R8" s="17">
        <f>IF($A8="","",IF($K8="",IF($J8="","",ROUND(Lookups!$K$5+Lookups!$K$4*$J8,4)),$K8))</f>
        <v>0.2727</v>
      </c>
      <c r="S8" s="5" t="str">
        <f>IF($A8="","",IF($K8="","Imputed","Original"))</f>
        <v>Original</v>
      </c>
      <c r="T8" s="5" t="str">
        <f>IF($A8="","",IF($P8="","Missing",IF($P8=$N8+$O8,"OK","Mismatch")))</f>
        <v>OK</v>
      </c>
      <c r="U8" s="5" t="str">
        <f>IF($A8="","",IF(COUNTIF($A$2:$A8,$A8)&gt;1,"Duplicate","Unique"))</f>
        <v>Unique</v>
      </c>
      <c r="V8" s="5">
        <f>IF($A8="","",IF(AND($U8="Unique",ISNUMBER($P8)),1,0))</f>
        <v>1</v>
      </c>
      <c r="W8" s="5" t="str">
        <f>IF($A8="","",IF(OR($H8=0,$H8=6),"Weekend","Weekday"))</f>
        <v>Weekend</v>
      </c>
      <c r="X8" s="5" t="str">
        <f>IF($A8="","",TEXT($B8,"ddd"))</f>
        <v>Sat</v>
      </c>
      <c r="Y8" s="5" t="str">
        <f>IF($A8="","",TEXT($B8,"mmm"))</f>
        <v>Jan</v>
      </c>
      <c r="Z8" s="5" t="str">
        <f>IF($A8="","",IFERROR(VLOOKUP($C8,Lookups!$D$4:$E$7,2,FALSE),"Unknown"))</f>
        <v>Winter</v>
      </c>
      <c r="AA8" s="5" t="str">
        <f>IF($A8="","",IFERROR(VLOOKUP($I8,Lookups!$A$4:$B$7,2,FALSE),"Unknown"))</f>
        <v>Clear</v>
      </c>
      <c r="AB8" s="5" t="str">
        <f>IF($A8="","",TEXT($F8,"00")&amp;":00")</f>
        <v>06:00</v>
      </c>
      <c r="AC8" s="5" t="str">
        <f>IF($A8="","",VLOOKUP($F8,Lookups!$G$4:$H$8,2,TRUE))</f>
        <v>Morning Peak (06-09)</v>
      </c>
      <c r="AD8" s="18">
        <f>IF($A8="","",IF($J8="","",ROUND($J8*41,1)))</f>
        <v>9</v>
      </c>
      <c r="AE8" s="18">
        <f>IF($A8="","",IF($R8="","",ROUND($R8*50,1)))</f>
        <v>13.6</v>
      </c>
      <c r="AF8" s="5">
        <f>IF($A8="","",IF($L8="","",ROUND($L8*100,0)))</f>
        <v>80</v>
      </c>
      <c r="AG8" s="18">
        <f>IF($A8="","",IF($M8="","",ROUND($M8*67,1)))</f>
        <v>0</v>
      </c>
      <c r="AH8" s="19">
        <f>IF($A8="","",IF($P8="","",IF($P8=0,0,$O8/$P8)))</f>
        <v>0</v>
      </c>
      <c r="AI8" s="5" t="str">
        <f>IF($A8="","",IF($P8="","",IF($P8&gt;=Lookups!$K$7,"High",IF($P8&lt;=Lookups!$K$8,"Low","Medium"))))</f>
        <v>Low</v>
      </c>
      <c r="AJ8" s="5" t="str">
        <f>IF($A8="","",IF($AD8="","",IF($AD8&lt;5,"Under 5 C",IF($AD8&lt;10,"5-10 C",IF($AD8&lt;15,"10-15 C","15 C and above")))))</f>
        <v>5-10 C</v>
      </c>
      <c r="AK8" s="5">
        <f>IF($A8="","",IF($P8="","",$P8^2))</f>
        <v>4</v>
      </c>
      <c r="AL8" s="18">
        <f>IF($V8&lt;&gt;1,"",AVERAGEIFS(Clean_Data!$P$2:$P$1001,Clean_Data!$F$2:$F$1001,$F8,Clean_Data!$W$2:$W$1001,$W8,Clean_Data!$V$2:$V$1001,1))</f>
        <v>2.15384615384615</v>
      </c>
      <c r="AM8" s="16">
        <f>IF($V8&lt;&gt;1,"",IFERROR(($P8-$AL8)/SQRT(MAX(0,(SUMIFS(Clean_Data!$AK$2:$AK$1001,Clean_Data!$F$2:$F$1001,$F8,Clean_Data!$W$2:$W$1001,$W8,Clean_Data!$V$2:$V$1001,1)-COUNTIFS(Clean_Data!$F$2:$F$1001,$F8,Clean_Data!$W$2:$W$1001,$W8,Clean_Data!$V$2:$V$1001,1)*$AL8^2)/(COUNTIFS(Clean_Data!$F$2:$F$1001,$F8,Clean_Data!$W$2:$W$1001,$W8,Clean_Data!$V$2:$V$1001,1)-1))),""))</f>
        <v>-0.12670245343199</v>
      </c>
      <c r="AN8" s="5" t="str">
        <f>IF($AM8="","",IF($AM8&gt;=Lookups!$K$6,"High spike",IF($AM8&lt;=-Lookups!$K$6,"Unusual low","Normal")))</f>
        <v>Normal</v>
      </c>
      <c r="AO8" s="20">
        <f>IF($V8&lt;&gt;1,"",$P8+ROW()/100000)</f>
        <v>2.00008</v>
      </c>
      <c r="AP8" s="5">
        <f>IF($A8="","",IFERROR(MATCH($A8,Raw_D1!$A$2:$A$1001,0),""))</f>
        <v>7</v>
      </c>
      <c r="AQ8" s="5">
        <f>IF($A8="","",IFERROR(MATCH($A8,Raw_D2!$B$2:$B$1001,0),""))</f>
        <v>7</v>
      </c>
      <c r="AR8" s="5">
        <f>IF($A8="","",IFERROR(MATCH($A8,Raw_D3!$A$2:$A$1001,0),""))</f>
        <v/>
      </c>
    </row>
    <row r="9" spans="1:44" x14ac:dyDescent="0.25">
      <c r="A9" s="5">
        <v>8</v>
      </c>
      <c r="B9" s="11">
        <f>IF($A9="","",IF($AP9&lt;&gt;"",INDEX(Raw_D1!$B$2:$B$1001,$AP9),IF($AR9&lt;&gt;"",INDEX(Raw_D3!$B$2:$B$1001,$AR9),"")))</f>
        <v>40544.0</v>
      </c>
      <c r="C9" s="5">
        <f>IF($A9="","",IF($AP9&lt;&gt;"",INDEX(Raw_D1!$C$2:$C$1001,$AP9),IF($AR9&lt;&gt;"",INDEX(Raw_D3!$C$2:$C$1001,$AR9),"")))</f>
        <v>1</v>
      </c>
      <c r="D9" s="5">
        <f>IF($A9="","",IF($AP9&lt;&gt;"",INDEX(Raw_D1!$D$2:$D$1001,$AP9),IF($AR9&lt;&gt;"",INDEX(Raw_D3!$D$2:$D$1001,$AR9),"")))</f>
        <v>0</v>
      </c>
      <c r="E9" s="5">
        <f>IF($A9="","",IF($AP9&lt;&gt;"",INDEX(Raw_D1!$E$2:$E$1001,$AP9),IF($AR9&lt;&gt;"",INDEX(Raw_D3!$E$2:$E$1001,$AR9),"")))</f>
        <v>1</v>
      </c>
      <c r="F9" s="5">
        <f>IF($A9="","",IF($AP9&lt;&gt;"",INDEX(Raw_D1!$F$2:$F$1001,$AP9),IF($AR9&lt;&gt;"",INDEX(Raw_D3!$F$2:$F$1001,$AR9),"")))</f>
        <v>7</v>
      </c>
      <c r="G9" s="5">
        <f>IF($A9="","",IF($AP9&lt;&gt;"",IF(INDEX(Raw_D1!$G$2:$G$1001,$AP9),1,0),IF($AR9&lt;&gt;"",IF(INDEX(Raw_D3!$G$2:$G$1001,$AR9),1,0),"")))</f>
        <v>0</v>
      </c>
      <c r="H9" s="5">
        <f>IF($A9="","",IF($AP9&lt;&gt;"",INDEX(Raw_D1!$H$2:$H$1001,$AP9),IF($AR9&lt;&gt;"",INDEX(Raw_D3!$H$2:$H$1001,$AR9),"")))</f>
        <v>6</v>
      </c>
      <c r="I9" s="5">
        <f>IF($A9="","",IF($AP9&lt;&gt;"",INDEX(Raw_D1!$I$2:$I$1001,$AP9),IF($AR9&lt;&gt;"",INDEX(Raw_D3!$I$2:$I$1001,$AR9),"")))</f>
        <v>1</v>
      </c>
      <c r="J9" s="16">
        <f>IF($A9="","",IF($AP9&lt;&gt;"",INDEX(Raw_D1!$J$2:$J$1001,$AP9),IF($AR9&lt;&gt;"",INDEX(Raw_D3!$J$2:$J$1001,$AR9),"")))</f>
        <v>0.2</v>
      </c>
      <c r="K9" s="17">
        <f>IF($A9="","",IF($AQ9&lt;&gt;"",IF(INDEX(Raw_D2!$C$2:$C$1001,$AQ9)="","",INDEX(Raw_D2!$C$2:$C$1001,$AQ9)),IF($AR9&lt;&gt;"",IF(INDEX(Raw_D3!$K$2:$K$1001,$AR9)="","",INDEX(Raw_D3!$K$2:$K$1001,$AR9)),"")))</f>
        <v>0.2576</v>
      </c>
      <c r="L9" s="16">
        <f>IF($A9="","",IF($AQ9&lt;&gt;"",IF(INDEX(Raw_D2!$D$2:$D$1001,$AQ9)="","",INDEX(Raw_D2!$D$2:$D$1001,$AQ9)),IF($AR9&lt;&gt;"",IF(INDEX(Raw_D3!$L$2:$L$1001,$AR9)="","",INDEX(Raw_D3!$L$2:$L$1001,$AR9)),"")))</f>
        <v>0.86</v>
      </c>
      <c r="M9" s="17">
        <f>IF($A9="","",IF($AQ9&lt;&gt;"",IF(INDEX(Raw_D2!$E$2:$E$1001,$AQ9)="","",INDEX(Raw_D2!$E$2:$E$1001,$AQ9)),IF($AR9&lt;&gt;"",IF(INDEX(Raw_D3!$M$2:$M$1001,$AR9)="","",INDEX(Raw_D3!$M$2:$M$1001,$AR9)),"")))</f>
        <v>0</v>
      </c>
      <c r="N9" s="5">
        <f>IF($A9="","",IF($AQ9&lt;&gt;"",IF(INDEX(Raw_D2!$F$2:$F$1001,$AQ9)="","",INDEX(Raw_D2!$F$2:$F$1001,$AQ9)),IF($AR9&lt;&gt;"",IF(INDEX(Raw_D3!$N$2:$N$1001,$AR9)="","",INDEX(Raw_D3!$N$2:$N$1001,$AR9)),"")))</f>
        <v>1</v>
      </c>
      <c r="O9" s="5">
        <f>IF($A9="","",IF($AQ9&lt;&gt;"",IF(INDEX(Raw_D2!$G$2:$G$1001,$AQ9)="","",INDEX(Raw_D2!$G$2:$G$1001,$AQ9)),IF($AR9&lt;&gt;"",IF(INDEX(Raw_D3!$O$2:$O$1001,$AR9)="","",INDEX(Raw_D3!$O$2:$O$1001,$AR9)),"")))</f>
        <v>2</v>
      </c>
      <c r="P9" s="5">
        <f>IF($A9="","",IF($AQ9&lt;&gt;"",IF(INDEX(Raw_D2!$H$2:$H$1001,$AQ9)="","",INDEX(Raw_D2!$H$2:$H$1001,$AQ9)),IF($AR9&lt;&gt;"",IF(INDEX(Raw_D3!$P$2:$P$1001,$AR9)="","",INDEX(Raw_D3!$P$2:$P$1001,$AR9)),"")))</f>
        <v>3</v>
      </c>
      <c r="Q9" s="5" t="str">
        <f>IF($A9="","",IF(AND($AP9&lt;&gt;"",$AQ9&lt;&gt;""),"D1+D2",IF($AR9&lt;&gt;"","D3","Incomplete")))</f>
        <v>D1+D2</v>
      </c>
      <c r="R9" s="17">
        <f>IF($A9="","",IF($K9="",IF($J9="","",ROUND(Lookups!$K$5+Lookups!$K$4*$J9,4)),$K9))</f>
        <v>0.2576</v>
      </c>
      <c r="S9" s="5" t="str">
        <f>IF($A9="","",IF($K9="","Imputed","Original"))</f>
        <v>Original</v>
      </c>
      <c r="T9" s="5" t="str">
        <f>IF($A9="","",IF($P9="","Missing",IF($P9=$N9+$O9,"OK","Mismatch")))</f>
        <v>OK</v>
      </c>
      <c r="U9" s="5" t="str">
        <f>IF($A9="","",IF(COUNTIF($A$2:$A9,$A9)&gt;1,"Duplicate","Unique"))</f>
        <v>Unique</v>
      </c>
      <c r="V9" s="5">
        <f>IF($A9="","",IF(AND($U9="Unique",ISNUMBER($P9)),1,0))</f>
        <v>1</v>
      </c>
      <c r="W9" s="5" t="str">
        <f>IF($A9="","",IF(OR($H9=0,$H9=6),"Weekend","Weekday"))</f>
        <v>Weekend</v>
      </c>
      <c r="X9" s="5" t="str">
        <f>IF($A9="","",TEXT($B9,"ddd"))</f>
        <v>Sat</v>
      </c>
      <c r="Y9" s="5" t="str">
        <f>IF($A9="","",TEXT($B9,"mmm"))</f>
        <v>Jan</v>
      </c>
      <c r="Z9" s="5" t="str">
        <f>IF($A9="","",IFERROR(VLOOKUP($C9,Lookups!$D$4:$E$7,2,FALSE),"Unknown"))</f>
        <v>Winter</v>
      </c>
      <c r="AA9" s="5" t="str">
        <f>IF($A9="","",IFERROR(VLOOKUP($I9,Lookups!$A$4:$B$7,2,FALSE),"Unknown"))</f>
        <v>Clear</v>
      </c>
      <c r="AB9" s="5" t="str">
        <f>IF($A9="","",TEXT($F9,"00")&amp;":00")</f>
        <v>07:00</v>
      </c>
      <c r="AC9" s="5" t="str">
        <f>IF($A9="","",VLOOKUP($F9,Lookups!$G$4:$H$8,2,TRUE))</f>
        <v>Morning Peak (06-09)</v>
      </c>
      <c r="AD9" s="18">
        <f>IF($A9="","",IF($J9="","",ROUND($J9*41,1)))</f>
        <v>8.2</v>
      </c>
      <c r="AE9" s="18">
        <f>IF($A9="","",IF($R9="","",ROUND($R9*50,1)))</f>
        <v>12.9</v>
      </c>
      <c r="AF9" s="5">
        <f>IF($A9="","",IF($L9="","",ROUND($L9*100,0)))</f>
        <v>86</v>
      </c>
      <c r="AG9" s="18">
        <f>IF($A9="","",IF($M9="","",ROUND($M9*67,1)))</f>
        <v>0</v>
      </c>
      <c r="AH9" s="19">
        <f>IF($A9="","",IF($P9="","",IF($P9=0,0,$O9/$P9)))</f>
        <v>0.666666666666667</v>
      </c>
      <c r="AI9" s="5" t="str">
        <f>IF($A9="","",IF($P9="","",IF($P9&gt;=Lookups!$K$7,"High",IF($P9&lt;=Lookups!$K$8,"Low","Medium"))))</f>
        <v>Low</v>
      </c>
      <c r="AJ9" s="5" t="str">
        <f>IF($A9="","",IF($AD9="","",IF($AD9&lt;5,"Under 5 C",IF($AD9&lt;10,"5-10 C",IF($AD9&lt;15,"10-15 C","15 C and above")))))</f>
        <v>5-10 C</v>
      </c>
      <c r="AK9" s="5">
        <f>IF($A9="","",IF($P9="","",$P9^2))</f>
        <v>9</v>
      </c>
      <c r="AL9" s="18">
        <f>IF($V9&lt;&gt;1,"",AVERAGEIFS(Clean_Data!$P$2:$P$1001,Clean_Data!$F$2:$F$1001,$F9,Clean_Data!$W$2:$W$1001,$W9,Clean_Data!$V$2:$V$1001,1))</f>
        <v>5.42857142857143</v>
      </c>
      <c r="AM9" s="16">
        <f>IF($V9&lt;&gt;1,"",IFERROR(($P9-$AL9)/SQRT(MAX(0,(SUMIFS(Clean_Data!$AK$2:$AK$1001,Clean_Data!$F$2:$F$1001,$F9,Clean_Data!$W$2:$W$1001,$W9,Clean_Data!$V$2:$V$1001,1)-COUNTIFS(Clean_Data!$F$2:$F$1001,$F9,Clean_Data!$W$2:$W$1001,$W9,Clean_Data!$V$2:$V$1001,1)*$AL9^2)/(COUNTIFS(Clean_Data!$F$2:$F$1001,$F9,Clean_Data!$W$2:$W$1001,$W9,Clean_Data!$V$2:$V$1001,1)-1))),""))</f>
        <v>-0.752432262615843</v>
      </c>
      <c r="AN9" s="5" t="str">
        <f>IF($AM9="","",IF($AM9&gt;=Lookups!$K$6,"High spike",IF($AM9&lt;=-Lookups!$K$6,"Unusual low","Normal")))</f>
        <v>Normal</v>
      </c>
      <c r="AO9" s="20">
        <f>IF($V9&lt;&gt;1,"",$P9+ROW()/100000)</f>
        <v>3.00009</v>
      </c>
      <c r="AP9" s="5">
        <f>IF($A9="","",IFERROR(MATCH($A9,Raw_D1!$A$2:$A$1001,0),""))</f>
        <v>8</v>
      </c>
      <c r="AQ9" s="5">
        <f>IF($A9="","",IFERROR(MATCH($A9,Raw_D2!$B$2:$B$1001,0),""))</f>
        <v>8</v>
      </c>
      <c r="AR9" s="5">
        <f>IF($A9="","",IFERROR(MATCH($A9,Raw_D3!$A$2:$A$1001,0),""))</f>
        <v/>
      </c>
    </row>
    <row r="10" spans="1:44" x14ac:dyDescent="0.25">
      <c r="A10" s="5">
        <v>9</v>
      </c>
      <c r="B10" s="11">
        <f>IF($A10="","",IF($AP10&lt;&gt;"",INDEX(Raw_D1!$B$2:$B$1001,$AP10),IF($AR10&lt;&gt;"",INDEX(Raw_D3!$B$2:$B$1001,$AR10),"")))</f>
        <v>40544.0</v>
      </c>
      <c r="C10" s="5">
        <f>IF($A10="","",IF($AP10&lt;&gt;"",INDEX(Raw_D1!$C$2:$C$1001,$AP10),IF($AR10&lt;&gt;"",INDEX(Raw_D3!$C$2:$C$1001,$AR10),"")))</f>
        <v>1</v>
      </c>
      <c r="D10" s="5">
        <f>IF($A10="","",IF($AP10&lt;&gt;"",INDEX(Raw_D1!$D$2:$D$1001,$AP10),IF($AR10&lt;&gt;"",INDEX(Raw_D3!$D$2:$D$1001,$AR10),"")))</f>
        <v>0</v>
      </c>
      <c r="E10" s="5">
        <f>IF($A10="","",IF($AP10&lt;&gt;"",INDEX(Raw_D1!$E$2:$E$1001,$AP10),IF($AR10&lt;&gt;"",INDEX(Raw_D3!$E$2:$E$1001,$AR10),"")))</f>
        <v>1</v>
      </c>
      <c r="F10" s="5">
        <f>IF($A10="","",IF($AP10&lt;&gt;"",INDEX(Raw_D1!$F$2:$F$1001,$AP10),IF($AR10&lt;&gt;"",INDEX(Raw_D3!$F$2:$F$1001,$AR10),"")))</f>
        <v>8</v>
      </c>
      <c r="G10" s="5">
        <f>IF($A10="","",IF($AP10&lt;&gt;"",IF(INDEX(Raw_D1!$G$2:$G$1001,$AP10),1,0),IF($AR10&lt;&gt;"",IF(INDEX(Raw_D3!$G$2:$G$1001,$AR10),1,0),"")))</f>
        <v>0</v>
      </c>
      <c r="H10" s="5">
        <f>IF($A10="","",IF($AP10&lt;&gt;"",INDEX(Raw_D1!$H$2:$H$1001,$AP10),IF($AR10&lt;&gt;"",INDEX(Raw_D3!$H$2:$H$1001,$AR10),"")))</f>
        <v>6</v>
      </c>
      <c r="I10" s="5">
        <f>IF($A10="","",IF($AP10&lt;&gt;"",INDEX(Raw_D1!$I$2:$I$1001,$AP10),IF($AR10&lt;&gt;"",INDEX(Raw_D3!$I$2:$I$1001,$AR10),"")))</f>
        <v>1</v>
      </c>
      <c r="J10" s="16">
        <f>IF($A10="","",IF($AP10&lt;&gt;"",INDEX(Raw_D1!$J$2:$J$1001,$AP10),IF($AR10&lt;&gt;"",INDEX(Raw_D3!$J$2:$J$1001,$AR10),"")))</f>
        <v>0.24</v>
      </c>
      <c r="K10" s="17">
        <f>IF($A10="","",IF($AQ10&lt;&gt;"",IF(INDEX(Raw_D2!$C$2:$C$1001,$AQ10)="","",INDEX(Raw_D2!$C$2:$C$1001,$AQ10)),IF($AR10&lt;&gt;"",IF(INDEX(Raw_D3!$K$2:$K$1001,$AR10)="","",INDEX(Raw_D3!$K$2:$K$1001,$AR10)),"")))</f>
        <v/>
      </c>
      <c r="L10" s="16">
        <f>IF($A10="","",IF($AQ10&lt;&gt;"",IF(INDEX(Raw_D2!$D$2:$D$1001,$AQ10)="","",INDEX(Raw_D2!$D$2:$D$1001,$AQ10)),IF($AR10&lt;&gt;"",IF(INDEX(Raw_D3!$L$2:$L$1001,$AR10)="","",INDEX(Raw_D3!$L$2:$L$1001,$AR10)),"")))</f>
        <v>0.75</v>
      </c>
      <c r="M10" s="17">
        <f>IF($A10="","",IF($AQ10&lt;&gt;"",IF(INDEX(Raw_D2!$E$2:$E$1001,$AQ10)="","",INDEX(Raw_D2!$E$2:$E$1001,$AQ10)),IF($AR10&lt;&gt;"",IF(INDEX(Raw_D3!$M$2:$M$1001,$AR10)="","",INDEX(Raw_D3!$M$2:$M$1001,$AR10)),"")))</f>
        <v>0</v>
      </c>
      <c r="N10" s="5">
        <f>IF($A10="","",IF($AQ10&lt;&gt;"",IF(INDEX(Raw_D2!$F$2:$F$1001,$AQ10)="","",INDEX(Raw_D2!$F$2:$F$1001,$AQ10)),IF($AR10&lt;&gt;"",IF(INDEX(Raw_D3!$N$2:$N$1001,$AR10)="","",INDEX(Raw_D3!$N$2:$N$1001,$AR10)),"")))</f>
        <v>1</v>
      </c>
      <c r="O10" s="5">
        <f>IF($A10="","",IF($AQ10&lt;&gt;"",IF(INDEX(Raw_D2!$G$2:$G$1001,$AQ10)="","",INDEX(Raw_D2!$G$2:$G$1001,$AQ10)),IF($AR10&lt;&gt;"",IF(INDEX(Raw_D3!$O$2:$O$1001,$AR10)="","",INDEX(Raw_D3!$O$2:$O$1001,$AR10)),"")))</f>
        <v>7</v>
      </c>
      <c r="P10" s="5">
        <f>IF($A10="","",IF($AQ10&lt;&gt;"",IF(INDEX(Raw_D2!$H$2:$H$1001,$AQ10)="","",INDEX(Raw_D2!$H$2:$H$1001,$AQ10)),IF($AR10&lt;&gt;"",IF(INDEX(Raw_D3!$P$2:$P$1001,$AR10)="","",INDEX(Raw_D3!$P$2:$P$1001,$AR10)),"")))</f>
        <v>8</v>
      </c>
      <c r="Q10" s="5" t="str">
        <f>IF($A10="","",IF(AND($AP10&lt;&gt;"",$AQ10&lt;&gt;""),"D1+D2",IF($AR10&lt;&gt;"","D3","Incomplete")))</f>
        <v>D1+D2</v>
      </c>
      <c r="R10" s="17">
        <f>IF($A10="","",IF($K10="",IF($J10="","",ROUND(Lookups!$K$5+Lookups!$K$4*$J10,4)),$K10))</f>
        <v>0.2444</v>
      </c>
      <c r="S10" s="5" t="str">
        <f>IF($A10="","",IF($K10="","Imputed","Original"))</f>
        <v>Imputed</v>
      </c>
      <c r="T10" s="5" t="str">
        <f>IF($A10="","",IF($P10="","Missing",IF($P10=$N10+$O10,"OK","Mismatch")))</f>
        <v>OK</v>
      </c>
      <c r="U10" s="5" t="str">
        <f>IF($A10="","",IF(COUNTIF($A$2:$A10,$A10)&gt;1,"Duplicate","Unique"))</f>
        <v>Unique</v>
      </c>
      <c r="V10" s="5">
        <f>IF($A10="","",IF(AND($U10="Unique",ISNUMBER($P10)),1,0))</f>
        <v>1</v>
      </c>
      <c r="W10" s="5" t="str">
        <f>IF($A10="","",IF(OR($H10=0,$H10=6),"Weekend","Weekday"))</f>
        <v>Weekend</v>
      </c>
      <c r="X10" s="5" t="str">
        <f>IF($A10="","",TEXT($B10,"ddd"))</f>
        <v>Sat</v>
      </c>
      <c r="Y10" s="5" t="str">
        <f>IF($A10="","",TEXT($B10,"mmm"))</f>
        <v>Jan</v>
      </c>
      <c r="Z10" s="5" t="str">
        <f>IF($A10="","",IFERROR(VLOOKUP($C10,Lookups!$D$4:$E$7,2,FALSE),"Unknown"))</f>
        <v>Winter</v>
      </c>
      <c r="AA10" s="5" t="str">
        <f>IF($A10="","",IFERROR(VLOOKUP($I10,Lookups!$A$4:$B$7,2,FALSE),"Unknown"))</f>
        <v>Clear</v>
      </c>
      <c r="AB10" s="5" t="str">
        <f>IF($A10="","",TEXT($F10,"00")&amp;":00")</f>
        <v>08:00</v>
      </c>
      <c r="AC10" s="5" t="str">
        <f>IF($A10="","",VLOOKUP($F10,Lookups!$G$4:$H$8,2,TRUE))</f>
        <v>Morning Peak (06-09)</v>
      </c>
      <c r="AD10" s="18">
        <f>IF($A10="","",IF($J10="","",ROUND($J10*41,1)))</f>
        <v>9.8</v>
      </c>
      <c r="AE10" s="18">
        <f>IF($A10="","",IF($R10="","",ROUND($R10*50,1)))</f>
        <v>12.2</v>
      </c>
      <c r="AF10" s="5">
        <f>IF($A10="","",IF($L10="","",ROUND($L10*100,0)))</f>
        <v>75</v>
      </c>
      <c r="AG10" s="18">
        <f>IF($A10="","",IF($M10="","",ROUND($M10*67,1)))</f>
        <v>0</v>
      </c>
      <c r="AH10" s="19">
        <f>IF($A10="","",IF($P10="","",IF($P10=0,0,$O10/$P10)))</f>
        <v>0.875</v>
      </c>
      <c r="AI10" s="5" t="str">
        <f>IF($A10="","",IF($P10="","",IF($P10&gt;=Lookups!$K$7,"High",IF($P10&lt;=Lookups!$K$8,"Low","Medium"))))</f>
        <v>Low</v>
      </c>
      <c r="AJ10" s="5" t="str">
        <f>IF($A10="","",IF($AD10="","",IF($AD10&lt;5,"Under 5 C",IF($AD10&lt;10,"5-10 C",IF($AD10&lt;15,"10-15 C","15 C and above")))))</f>
        <v>5-10 C</v>
      </c>
      <c r="AK10" s="5">
        <f>IF($A10="","",IF($P10="","",$P10^2))</f>
        <v>64</v>
      </c>
      <c r="AL10" s="18">
        <f>IF($V10&lt;&gt;1,"",AVERAGEIFS(Clean_Data!$P$2:$P$1001,Clean_Data!$F$2:$F$1001,$F10,Clean_Data!$W$2:$W$1001,$W10,Clean_Data!$V$2:$V$1001,1))</f>
        <v>17.7857142857143</v>
      </c>
      <c r="AM10" s="16">
        <f>IF($V10&lt;&gt;1,"",IFERROR(($P10-$AL10)/SQRT(MAX(0,(SUMIFS(Clean_Data!$AK$2:$AK$1001,Clean_Data!$F$2:$F$1001,$F10,Clean_Data!$W$2:$W$1001,$W10,Clean_Data!$V$2:$V$1001,1)-COUNTIFS(Clean_Data!$F$2:$F$1001,$F10,Clean_Data!$W$2:$W$1001,$W10,Clean_Data!$V$2:$V$1001,1)*$AL10^2)/(COUNTIFS(Clean_Data!$F$2:$F$1001,$F10,Clean_Data!$W$2:$W$1001,$W10,Clean_Data!$V$2:$V$1001,1)-1))),""))</f>
        <v>-1.15058257813676</v>
      </c>
      <c r="AN10" s="5" t="str">
        <f>IF($AM10="","",IF($AM10&gt;=Lookups!$K$6,"High spike",IF($AM10&lt;=-Lookups!$K$6,"Unusual low","Normal")))</f>
        <v>Normal</v>
      </c>
      <c r="AO10" s="20">
        <f>IF($V10&lt;&gt;1,"",$P10+ROW()/100000)</f>
        <v>8.0001</v>
      </c>
      <c r="AP10" s="5">
        <f>IF($A10="","",IFERROR(MATCH($A10,Raw_D1!$A$2:$A$1001,0),""))</f>
        <v>9</v>
      </c>
      <c r="AQ10" s="5">
        <f>IF($A10="","",IFERROR(MATCH($A10,Raw_D2!$B$2:$B$1001,0),""))</f>
        <v>9</v>
      </c>
      <c r="AR10" s="5">
        <f>IF($A10="","",IFERROR(MATCH($A10,Raw_D3!$A$2:$A$1001,0),""))</f>
        <v/>
      </c>
    </row>
    <row r="11" spans="1:44" x14ac:dyDescent="0.25">
      <c r="A11" s="5">
        <v>10</v>
      </c>
      <c r="B11" s="11">
        <f>IF($A11="","",IF($AP11&lt;&gt;"",INDEX(Raw_D1!$B$2:$B$1001,$AP11),IF($AR11&lt;&gt;"",INDEX(Raw_D3!$B$2:$B$1001,$AR11),"")))</f>
        <v>40544.0</v>
      </c>
      <c r="C11" s="5">
        <f>IF($A11="","",IF($AP11&lt;&gt;"",INDEX(Raw_D1!$C$2:$C$1001,$AP11),IF($AR11&lt;&gt;"",INDEX(Raw_D3!$C$2:$C$1001,$AR11),"")))</f>
        <v>1</v>
      </c>
      <c r="D11" s="5">
        <f>IF($A11="","",IF($AP11&lt;&gt;"",INDEX(Raw_D1!$D$2:$D$1001,$AP11),IF($AR11&lt;&gt;"",INDEX(Raw_D3!$D$2:$D$1001,$AR11),"")))</f>
        <v>0</v>
      </c>
      <c r="E11" s="5">
        <f>IF($A11="","",IF($AP11&lt;&gt;"",INDEX(Raw_D1!$E$2:$E$1001,$AP11),IF($AR11&lt;&gt;"",INDEX(Raw_D3!$E$2:$E$1001,$AR11),"")))</f>
        <v>1</v>
      </c>
      <c r="F11" s="5">
        <f>IF($A11="","",IF($AP11&lt;&gt;"",INDEX(Raw_D1!$F$2:$F$1001,$AP11),IF($AR11&lt;&gt;"",INDEX(Raw_D3!$F$2:$F$1001,$AR11),"")))</f>
        <v>9</v>
      </c>
      <c r="G11" s="5">
        <f>IF($A11="","",IF($AP11&lt;&gt;"",IF(INDEX(Raw_D1!$G$2:$G$1001,$AP11),1,0),IF($AR11&lt;&gt;"",IF(INDEX(Raw_D3!$G$2:$G$1001,$AR11),1,0),"")))</f>
        <v>0</v>
      </c>
      <c r="H11" s="5">
        <f>IF($A11="","",IF($AP11&lt;&gt;"",INDEX(Raw_D1!$H$2:$H$1001,$AP11),IF($AR11&lt;&gt;"",INDEX(Raw_D3!$H$2:$H$1001,$AR11),"")))</f>
        <v>6</v>
      </c>
      <c r="I11" s="5">
        <f>IF($A11="","",IF($AP11&lt;&gt;"",INDEX(Raw_D1!$I$2:$I$1001,$AP11),IF($AR11&lt;&gt;"",INDEX(Raw_D3!$I$2:$I$1001,$AR11),"")))</f>
        <v>1</v>
      </c>
      <c r="J11" s="16">
        <f>IF($A11="","",IF($AP11&lt;&gt;"",INDEX(Raw_D1!$J$2:$J$1001,$AP11),IF($AR11&lt;&gt;"",INDEX(Raw_D3!$J$2:$J$1001,$AR11),"")))</f>
        <v>0.32</v>
      </c>
      <c r="K11" s="17">
        <f>IF($A11="","",IF($AQ11&lt;&gt;"",IF(INDEX(Raw_D2!$C$2:$C$1001,$AQ11)="","",INDEX(Raw_D2!$C$2:$C$1001,$AQ11)),IF($AR11&lt;&gt;"",IF(INDEX(Raw_D3!$K$2:$K$1001,$AR11)="","",INDEX(Raw_D3!$K$2:$K$1001,$AR11)),"")))</f>
        <v>0.3485</v>
      </c>
      <c r="L11" s="16">
        <f>IF($A11="","",IF($AQ11&lt;&gt;"",IF(INDEX(Raw_D2!$D$2:$D$1001,$AQ11)="","",INDEX(Raw_D2!$D$2:$D$1001,$AQ11)),IF($AR11&lt;&gt;"",IF(INDEX(Raw_D3!$L$2:$L$1001,$AR11)="","",INDEX(Raw_D3!$L$2:$L$1001,$AR11)),"")))</f>
        <v>0.76</v>
      </c>
      <c r="M11" s="17">
        <f>IF($A11="","",IF($AQ11&lt;&gt;"",IF(INDEX(Raw_D2!$E$2:$E$1001,$AQ11)="","",INDEX(Raw_D2!$E$2:$E$1001,$AQ11)),IF($AR11&lt;&gt;"",IF(INDEX(Raw_D3!$M$2:$M$1001,$AR11)="","",INDEX(Raw_D3!$M$2:$M$1001,$AR11)),"")))</f>
        <v>0</v>
      </c>
      <c r="N11" s="5">
        <f>IF($A11="","",IF($AQ11&lt;&gt;"",IF(INDEX(Raw_D2!$F$2:$F$1001,$AQ11)="","",INDEX(Raw_D2!$F$2:$F$1001,$AQ11)),IF($AR11&lt;&gt;"",IF(INDEX(Raw_D3!$N$2:$N$1001,$AR11)="","",INDEX(Raw_D3!$N$2:$N$1001,$AR11)),"")))</f>
        <v>8</v>
      </c>
      <c r="O11" s="5">
        <f>IF($A11="","",IF($AQ11&lt;&gt;"",IF(INDEX(Raw_D2!$G$2:$G$1001,$AQ11)="","",INDEX(Raw_D2!$G$2:$G$1001,$AQ11)),IF($AR11&lt;&gt;"",IF(INDEX(Raw_D3!$O$2:$O$1001,$AR11)="","",INDEX(Raw_D3!$O$2:$O$1001,$AR11)),"")))</f>
        <v>6</v>
      </c>
      <c r="P11" s="5">
        <f>IF($A11="","",IF($AQ11&lt;&gt;"",IF(INDEX(Raw_D2!$H$2:$H$1001,$AQ11)="","",INDEX(Raw_D2!$H$2:$H$1001,$AQ11)),IF($AR11&lt;&gt;"",IF(INDEX(Raw_D3!$P$2:$P$1001,$AR11)="","",INDEX(Raw_D3!$P$2:$P$1001,$AR11)),"")))</f>
        <v>14</v>
      </c>
      <c r="Q11" s="5" t="str">
        <f>IF($A11="","",IF(AND($AP11&lt;&gt;"",$AQ11&lt;&gt;""),"D1+D2",IF($AR11&lt;&gt;"","D3","Incomplete")))</f>
        <v>D1+D2</v>
      </c>
      <c r="R11" s="17">
        <f>IF($A11="","",IF($K11="",IF($J11="","",ROUND(Lookups!$K$5+Lookups!$K$4*$J11,4)),$K11))</f>
        <v>0.3485</v>
      </c>
      <c r="S11" s="5" t="str">
        <f>IF($A11="","",IF($K11="","Imputed","Original"))</f>
        <v>Original</v>
      </c>
      <c r="T11" s="5" t="str">
        <f>IF($A11="","",IF($P11="","Missing",IF($P11=$N11+$O11,"OK","Mismatch")))</f>
        <v>OK</v>
      </c>
      <c r="U11" s="5" t="str">
        <f>IF($A11="","",IF(COUNTIF($A$2:$A11,$A11)&gt;1,"Duplicate","Unique"))</f>
        <v>Unique</v>
      </c>
      <c r="V11" s="5">
        <f>IF($A11="","",IF(AND($U11="Unique",ISNUMBER($P11)),1,0))</f>
        <v>1</v>
      </c>
      <c r="W11" s="5" t="str">
        <f>IF($A11="","",IF(OR($H11=0,$H11=6),"Weekend","Weekday"))</f>
        <v>Weekend</v>
      </c>
      <c r="X11" s="5" t="str">
        <f>IF($A11="","",TEXT($B11,"ddd"))</f>
        <v>Sat</v>
      </c>
      <c r="Y11" s="5" t="str">
        <f>IF($A11="","",TEXT($B11,"mmm"))</f>
        <v>Jan</v>
      </c>
      <c r="Z11" s="5" t="str">
        <f>IF($A11="","",IFERROR(VLOOKUP($C11,Lookups!$D$4:$E$7,2,FALSE),"Unknown"))</f>
        <v>Winter</v>
      </c>
      <c r="AA11" s="5" t="str">
        <f>IF($A11="","",IFERROR(VLOOKUP($I11,Lookups!$A$4:$B$7,2,FALSE),"Unknown"))</f>
        <v>Clear</v>
      </c>
      <c r="AB11" s="5" t="str">
        <f>IF($A11="","",TEXT($F11,"00")&amp;":00")</f>
        <v>09:00</v>
      </c>
      <c r="AC11" s="5" t="str">
        <f>IF($A11="","",VLOOKUP($F11,Lookups!$G$4:$H$8,2,TRUE))</f>
        <v>Morning Peak (06-09)</v>
      </c>
      <c r="AD11" s="18">
        <f>IF($A11="","",IF($J11="","",ROUND($J11*41,1)))</f>
        <v>13.1</v>
      </c>
      <c r="AE11" s="18">
        <f>IF($A11="","",IF($R11="","",ROUND($R11*50,1)))</f>
        <v>17.4</v>
      </c>
      <c r="AF11" s="5">
        <f>IF($A11="","",IF($L11="","",ROUND($L11*100,0)))</f>
        <v>76</v>
      </c>
      <c r="AG11" s="18">
        <f>IF($A11="","",IF($M11="","",ROUND($M11*67,1)))</f>
        <v>0</v>
      </c>
      <c r="AH11" s="19">
        <f>IF($A11="","",IF($P11="","",IF($P11=0,0,$O11/$P11)))</f>
        <v>0.428571428571429</v>
      </c>
      <c r="AI11" s="5" t="str">
        <f>IF($A11="","",IF($P11="","",IF($P11&gt;=Lookups!$K$7,"High",IF($P11&lt;=Lookups!$K$8,"Low","Medium"))))</f>
        <v>Low</v>
      </c>
      <c r="AJ11" s="5" t="str">
        <f>IF($A11="","",IF($AD11="","",IF($AD11&lt;5,"Under 5 C",IF($AD11&lt;10,"5-10 C",IF($AD11&lt;15,"10-15 C","15 C and above")))))</f>
        <v>10-15 C</v>
      </c>
      <c r="AK11" s="5">
        <f>IF($A11="","",IF($P11="","",$P11^2))</f>
        <v>196</v>
      </c>
      <c r="AL11" s="18">
        <f>IF($V11&lt;&gt;1,"",AVERAGEIFS(Clean_Data!$P$2:$P$1001,Clean_Data!$F$2:$F$1001,$F11,Clean_Data!$W$2:$W$1001,$W11,Clean_Data!$V$2:$V$1001,1))</f>
        <v>30.9285714285714</v>
      </c>
      <c r="AM11" s="16">
        <f>IF($V11&lt;&gt;1,"",IFERROR(($P11-$AL11)/SQRT(MAX(0,(SUMIFS(Clean_Data!$AK$2:$AK$1001,Clean_Data!$F$2:$F$1001,$F11,Clean_Data!$W$2:$W$1001,$W11,Clean_Data!$V$2:$V$1001,1)-COUNTIFS(Clean_Data!$F$2:$F$1001,$F11,Clean_Data!$W$2:$W$1001,$W11,Clean_Data!$V$2:$V$1001,1)*$AL11^2)/(COUNTIFS(Clean_Data!$F$2:$F$1001,$F11,Clean_Data!$W$2:$W$1001,$W11,Clean_Data!$V$2:$V$1001,1)-1))),""))</f>
        <v>-1.55287959746393</v>
      </c>
      <c r="AN11" s="5" t="str">
        <f>IF($AM11="","",IF($AM11&gt;=Lookups!$K$6,"High spike",IF($AM11&lt;=-Lookups!$K$6,"Unusual low","Normal")))</f>
        <v>Normal</v>
      </c>
      <c r="AO11" s="20">
        <f>IF($V11&lt;&gt;1,"",$P11+ROW()/100000)</f>
        <v>14.00011</v>
      </c>
      <c r="AP11" s="5">
        <f>IF($A11="","",IFERROR(MATCH($A11,Raw_D1!$A$2:$A$1001,0),""))</f>
        <v>10</v>
      </c>
      <c r="AQ11" s="5">
        <f>IF($A11="","",IFERROR(MATCH($A11,Raw_D2!$B$2:$B$1001,0),""))</f>
        <v>10</v>
      </c>
      <c r="AR11" s="5">
        <f>IF($A11="","",IFERROR(MATCH($A11,Raw_D3!$A$2:$A$1001,0),""))</f>
        <v/>
      </c>
    </row>
    <row r="12" spans="1:44" x14ac:dyDescent="0.25">
      <c r="A12" s="5">
        <v>11</v>
      </c>
      <c r="B12" s="11">
        <f>IF($A12="","",IF($AP12&lt;&gt;"",INDEX(Raw_D1!$B$2:$B$1001,$AP12),IF($AR12&lt;&gt;"",INDEX(Raw_D3!$B$2:$B$1001,$AR12),"")))</f>
        <v>40544.0</v>
      </c>
      <c r="C12" s="5">
        <f>IF($A12="","",IF($AP12&lt;&gt;"",INDEX(Raw_D1!$C$2:$C$1001,$AP12),IF($AR12&lt;&gt;"",INDEX(Raw_D3!$C$2:$C$1001,$AR12),"")))</f>
        <v>1</v>
      </c>
      <c r="D12" s="5">
        <f>IF($A12="","",IF($AP12&lt;&gt;"",INDEX(Raw_D1!$D$2:$D$1001,$AP12),IF($AR12&lt;&gt;"",INDEX(Raw_D3!$D$2:$D$1001,$AR12),"")))</f>
        <v>0</v>
      </c>
      <c r="E12" s="5">
        <f>IF($A12="","",IF($AP12&lt;&gt;"",INDEX(Raw_D1!$E$2:$E$1001,$AP12),IF($AR12&lt;&gt;"",INDEX(Raw_D3!$E$2:$E$1001,$AR12),"")))</f>
        <v>1</v>
      </c>
      <c r="F12" s="5">
        <f>IF($A12="","",IF($AP12&lt;&gt;"",INDEX(Raw_D1!$F$2:$F$1001,$AP12),IF($AR12&lt;&gt;"",INDEX(Raw_D3!$F$2:$F$1001,$AR12),"")))</f>
        <v>10</v>
      </c>
      <c r="G12" s="5">
        <f>IF($A12="","",IF($AP12&lt;&gt;"",IF(INDEX(Raw_D1!$G$2:$G$1001,$AP12),1,0),IF($AR12&lt;&gt;"",IF(INDEX(Raw_D3!$G$2:$G$1001,$AR12),1,0),"")))</f>
        <v>0</v>
      </c>
      <c r="H12" s="5">
        <f>IF($A12="","",IF($AP12&lt;&gt;"",INDEX(Raw_D1!$H$2:$H$1001,$AP12),IF($AR12&lt;&gt;"",INDEX(Raw_D3!$H$2:$H$1001,$AR12),"")))</f>
        <v>6</v>
      </c>
      <c r="I12" s="5">
        <f>IF($A12="","",IF($AP12&lt;&gt;"",INDEX(Raw_D1!$I$2:$I$1001,$AP12),IF($AR12&lt;&gt;"",INDEX(Raw_D3!$I$2:$I$1001,$AR12),"")))</f>
        <v>1</v>
      </c>
      <c r="J12" s="16">
        <f>IF($A12="","",IF($AP12&lt;&gt;"",INDEX(Raw_D1!$J$2:$J$1001,$AP12),IF($AR12&lt;&gt;"",INDEX(Raw_D3!$J$2:$J$1001,$AR12),"")))</f>
        <v>0.38</v>
      </c>
      <c r="K12" s="17">
        <f>IF($A12="","",IF($AQ12&lt;&gt;"",IF(INDEX(Raw_D2!$C$2:$C$1001,$AQ12)="","",INDEX(Raw_D2!$C$2:$C$1001,$AQ12)),IF($AR12&lt;&gt;"",IF(INDEX(Raw_D3!$K$2:$K$1001,$AR12)="","",INDEX(Raw_D3!$K$2:$K$1001,$AR12)),"")))</f>
        <v>0.3939</v>
      </c>
      <c r="L12" s="16">
        <f>IF($A12="","",IF($AQ12&lt;&gt;"",IF(INDEX(Raw_D2!$D$2:$D$1001,$AQ12)="","",INDEX(Raw_D2!$D$2:$D$1001,$AQ12)),IF($AR12&lt;&gt;"",IF(INDEX(Raw_D3!$L$2:$L$1001,$AR12)="","",INDEX(Raw_D3!$L$2:$L$1001,$AR12)),"")))</f>
        <v>0.76</v>
      </c>
      <c r="M12" s="17">
        <f>IF($A12="","",IF($AQ12&lt;&gt;"",IF(INDEX(Raw_D2!$E$2:$E$1001,$AQ12)="","",INDEX(Raw_D2!$E$2:$E$1001,$AQ12)),IF($AR12&lt;&gt;"",IF(INDEX(Raw_D3!$M$2:$M$1001,$AR12)="","",INDEX(Raw_D3!$M$2:$M$1001,$AR12)),"")))</f>
        <v>0.2537</v>
      </c>
      <c r="N12" s="5">
        <f>IF($A12="","",IF($AQ12&lt;&gt;"",IF(INDEX(Raw_D2!$F$2:$F$1001,$AQ12)="","",INDEX(Raw_D2!$F$2:$F$1001,$AQ12)),IF($AR12&lt;&gt;"",IF(INDEX(Raw_D3!$N$2:$N$1001,$AR12)="","",INDEX(Raw_D3!$N$2:$N$1001,$AR12)),"")))</f>
        <v>12</v>
      </c>
      <c r="O12" s="5">
        <f>IF($A12="","",IF($AQ12&lt;&gt;"",IF(INDEX(Raw_D2!$G$2:$G$1001,$AQ12)="","",INDEX(Raw_D2!$G$2:$G$1001,$AQ12)),IF($AR12&lt;&gt;"",IF(INDEX(Raw_D3!$O$2:$O$1001,$AR12)="","",INDEX(Raw_D3!$O$2:$O$1001,$AR12)),"")))</f>
        <v>24</v>
      </c>
      <c r="P12" s="5">
        <f>IF($A12="","",IF($AQ12&lt;&gt;"",IF(INDEX(Raw_D2!$H$2:$H$1001,$AQ12)="","",INDEX(Raw_D2!$H$2:$H$1001,$AQ12)),IF($AR12&lt;&gt;"",IF(INDEX(Raw_D3!$P$2:$P$1001,$AR12)="","",INDEX(Raw_D3!$P$2:$P$1001,$AR12)),"")))</f>
        <v>36</v>
      </c>
      <c r="Q12" s="5" t="str">
        <f>IF($A12="","",IF(AND($AP12&lt;&gt;"",$AQ12&lt;&gt;""),"D1+D2",IF($AR12&lt;&gt;"","D3","Incomplete")))</f>
        <v>D1+D2</v>
      </c>
      <c r="R12" s="17">
        <f>IF($A12="","",IF($K12="",IF($J12="","",ROUND(Lookups!$K$5+Lookups!$K$4*$J12,4)),$K12))</f>
        <v>0.3939</v>
      </c>
      <c r="S12" s="5" t="str">
        <f>IF($A12="","",IF($K12="","Imputed","Original"))</f>
        <v>Original</v>
      </c>
      <c r="T12" s="5" t="str">
        <f>IF($A12="","",IF($P12="","Missing",IF($P12=$N12+$O12,"OK","Mismatch")))</f>
        <v>OK</v>
      </c>
      <c r="U12" s="5" t="str">
        <f>IF($A12="","",IF(COUNTIF($A$2:$A12,$A12)&gt;1,"Duplicate","Unique"))</f>
        <v>Unique</v>
      </c>
      <c r="V12" s="5">
        <f>IF($A12="","",IF(AND($U12="Unique",ISNUMBER($P12)),1,0))</f>
        <v>1</v>
      </c>
      <c r="W12" s="5" t="str">
        <f>IF($A12="","",IF(OR($H12=0,$H12=6),"Weekend","Weekday"))</f>
        <v>Weekend</v>
      </c>
      <c r="X12" s="5" t="str">
        <f>IF($A12="","",TEXT($B12,"ddd"))</f>
        <v>Sat</v>
      </c>
      <c r="Y12" s="5" t="str">
        <f>IF($A12="","",TEXT($B12,"mmm"))</f>
        <v>Jan</v>
      </c>
      <c r="Z12" s="5" t="str">
        <f>IF($A12="","",IFERROR(VLOOKUP($C12,Lookups!$D$4:$E$7,2,FALSE),"Unknown"))</f>
        <v>Winter</v>
      </c>
      <c r="AA12" s="5" t="str">
        <f>IF($A12="","",IFERROR(VLOOKUP($I12,Lookups!$A$4:$B$7,2,FALSE),"Unknown"))</f>
        <v>Clear</v>
      </c>
      <c r="AB12" s="5" t="str">
        <f>IF($A12="","",TEXT($F12,"00")&amp;":00")</f>
        <v>10:00</v>
      </c>
      <c r="AC12" s="5" t="str">
        <f>IF($A12="","",VLOOKUP($F12,Lookups!$G$4:$H$8,2,TRUE))</f>
        <v>Midday (10-15)</v>
      </c>
      <c r="AD12" s="18">
        <f>IF($A12="","",IF($J12="","",ROUND($J12*41,1)))</f>
        <v>15.6</v>
      </c>
      <c r="AE12" s="18">
        <f>IF($A12="","",IF($R12="","",ROUND($R12*50,1)))</f>
        <v>19.7</v>
      </c>
      <c r="AF12" s="5">
        <f>IF($A12="","",IF($L12="","",ROUND($L12*100,0)))</f>
        <v>76</v>
      </c>
      <c r="AG12" s="18">
        <f>IF($A12="","",IF($M12="","",ROUND($M12*67,1)))</f>
        <v>17</v>
      </c>
      <c r="AH12" s="19">
        <f>IF($A12="","",IF($P12="","",IF($P12=0,0,$O12/$P12)))</f>
        <v>0.666666666666667</v>
      </c>
      <c r="AI12" s="5" t="str">
        <f>IF($A12="","",IF($P12="","",IF($P12&gt;=Lookups!$K$7,"High",IF($P12&lt;=Lookups!$K$8,"Low","Medium"))))</f>
        <v>Medium</v>
      </c>
      <c r="AJ12" s="5" t="str">
        <f>IF($A12="","",IF($AD12="","",IF($AD12&lt;5,"Under 5 C",IF($AD12&lt;10,"5-10 C",IF($AD12&lt;15,"10-15 C","15 C and above")))))</f>
        <v>15 C and above</v>
      </c>
      <c r="AK12" s="5">
        <f>IF($A12="","",IF($P12="","",$P12^2))</f>
        <v>1296</v>
      </c>
      <c r="AL12" s="18">
        <f>IF($V12&lt;&gt;1,"",AVERAGEIFS(Clean_Data!$P$2:$P$1001,Clean_Data!$F$2:$F$1001,$F12,Clean_Data!$W$2:$W$1001,$W12,Clean_Data!$V$2:$V$1001,1))</f>
        <v>62.7857142857143</v>
      </c>
      <c r="AM12" s="16">
        <f>IF($V12&lt;&gt;1,"",IFERROR(($P12-$AL12)/SQRT(MAX(0,(SUMIFS(Clean_Data!$AK$2:$AK$1001,Clean_Data!$F$2:$F$1001,$F12,Clean_Data!$W$2:$W$1001,$W12,Clean_Data!$V$2:$V$1001,1)-COUNTIFS(Clean_Data!$F$2:$F$1001,$F12,Clean_Data!$W$2:$W$1001,$W12,Clean_Data!$V$2:$V$1001,1)*$AL12^2)/(COUNTIFS(Clean_Data!$F$2:$F$1001,$F12,Clean_Data!$W$2:$W$1001,$W12,Clean_Data!$V$2:$V$1001,1)-1))),""))</f>
        <v>-1.3376972232371</v>
      </c>
      <c r="AN12" s="5" t="str">
        <f>IF($AM12="","",IF($AM12&gt;=Lookups!$K$6,"High spike",IF($AM12&lt;=-Lookups!$K$6,"Unusual low","Normal")))</f>
        <v>Normal</v>
      </c>
      <c r="AO12" s="20">
        <f>IF($V12&lt;&gt;1,"",$P12+ROW()/100000)</f>
        <v>36.00012</v>
      </c>
      <c r="AP12" s="5">
        <f>IF($A12="","",IFERROR(MATCH($A12,Raw_D1!$A$2:$A$1001,0),""))</f>
        <v>11</v>
      </c>
      <c r="AQ12" s="5">
        <f>IF($A12="","",IFERROR(MATCH($A12,Raw_D2!$B$2:$B$1001,0),""))</f>
        <v>11</v>
      </c>
      <c r="AR12" s="5">
        <f>IF($A12="","",IFERROR(MATCH($A12,Raw_D3!$A$2:$A$1001,0),""))</f>
        <v/>
      </c>
    </row>
    <row r="13" spans="1:44" x14ac:dyDescent="0.25">
      <c r="A13" s="5">
        <v>12</v>
      </c>
      <c r="B13" s="11">
        <f>IF($A13="","",IF($AP13&lt;&gt;"",INDEX(Raw_D1!$B$2:$B$1001,$AP13),IF($AR13&lt;&gt;"",INDEX(Raw_D3!$B$2:$B$1001,$AR13),"")))</f>
        <v>40544.0</v>
      </c>
      <c r="C13" s="5">
        <f>IF($A13="","",IF($AP13&lt;&gt;"",INDEX(Raw_D1!$C$2:$C$1001,$AP13),IF($AR13&lt;&gt;"",INDEX(Raw_D3!$C$2:$C$1001,$AR13),"")))</f>
        <v>1</v>
      </c>
      <c r="D13" s="5">
        <f>IF($A13="","",IF($AP13&lt;&gt;"",INDEX(Raw_D1!$D$2:$D$1001,$AP13),IF($AR13&lt;&gt;"",INDEX(Raw_D3!$D$2:$D$1001,$AR13),"")))</f>
        <v>0</v>
      </c>
      <c r="E13" s="5">
        <f>IF($A13="","",IF($AP13&lt;&gt;"",INDEX(Raw_D1!$E$2:$E$1001,$AP13),IF($AR13&lt;&gt;"",INDEX(Raw_D3!$E$2:$E$1001,$AR13),"")))</f>
        <v>1</v>
      </c>
      <c r="F13" s="5">
        <f>IF($A13="","",IF($AP13&lt;&gt;"",INDEX(Raw_D1!$F$2:$F$1001,$AP13),IF($AR13&lt;&gt;"",INDEX(Raw_D3!$F$2:$F$1001,$AR13),"")))</f>
        <v>11</v>
      </c>
      <c r="G13" s="5">
        <f>IF($A13="","",IF($AP13&lt;&gt;"",IF(INDEX(Raw_D1!$G$2:$G$1001,$AP13),1,0),IF($AR13&lt;&gt;"",IF(INDEX(Raw_D3!$G$2:$G$1001,$AR13),1,0),"")))</f>
        <v>0</v>
      </c>
      <c r="H13" s="5">
        <f>IF($A13="","",IF($AP13&lt;&gt;"",INDEX(Raw_D1!$H$2:$H$1001,$AP13),IF($AR13&lt;&gt;"",INDEX(Raw_D3!$H$2:$H$1001,$AR13),"")))</f>
        <v>6</v>
      </c>
      <c r="I13" s="5">
        <f>IF($A13="","",IF($AP13&lt;&gt;"",INDEX(Raw_D1!$I$2:$I$1001,$AP13),IF($AR13&lt;&gt;"",INDEX(Raw_D3!$I$2:$I$1001,$AR13),"")))</f>
        <v>1</v>
      </c>
      <c r="J13" s="16">
        <f>IF($A13="","",IF($AP13&lt;&gt;"",INDEX(Raw_D1!$J$2:$J$1001,$AP13),IF($AR13&lt;&gt;"",INDEX(Raw_D3!$J$2:$J$1001,$AR13),"")))</f>
        <v>0.36</v>
      </c>
      <c r="K13" s="17">
        <f>IF($A13="","",IF($AQ13&lt;&gt;"",IF(INDEX(Raw_D2!$C$2:$C$1001,$AQ13)="","",INDEX(Raw_D2!$C$2:$C$1001,$AQ13)),IF($AR13&lt;&gt;"",IF(INDEX(Raw_D3!$K$2:$K$1001,$AR13)="","",INDEX(Raw_D3!$K$2:$K$1001,$AR13)),"")))</f>
        <v>0.3333</v>
      </c>
      <c r="L13" s="16">
        <f>IF($A13="","",IF($AQ13&lt;&gt;"",IF(INDEX(Raw_D2!$D$2:$D$1001,$AQ13)="","",INDEX(Raw_D2!$D$2:$D$1001,$AQ13)),IF($AR13&lt;&gt;"",IF(INDEX(Raw_D3!$L$2:$L$1001,$AR13)="","",INDEX(Raw_D3!$L$2:$L$1001,$AR13)),"")))</f>
        <v>0.81</v>
      </c>
      <c r="M13" s="17">
        <f>IF($A13="","",IF($AQ13&lt;&gt;"",IF(INDEX(Raw_D2!$E$2:$E$1001,$AQ13)="","",INDEX(Raw_D2!$E$2:$E$1001,$AQ13)),IF($AR13&lt;&gt;"",IF(INDEX(Raw_D3!$M$2:$M$1001,$AR13)="","",INDEX(Raw_D3!$M$2:$M$1001,$AR13)),"")))</f>
        <v>0.2836</v>
      </c>
      <c r="N13" s="5">
        <f>IF($A13="","",IF($AQ13&lt;&gt;"",IF(INDEX(Raw_D2!$F$2:$F$1001,$AQ13)="","",INDEX(Raw_D2!$F$2:$F$1001,$AQ13)),IF($AR13&lt;&gt;"",IF(INDEX(Raw_D3!$N$2:$N$1001,$AR13)="","",INDEX(Raw_D3!$N$2:$N$1001,$AR13)),"")))</f>
        <v>26</v>
      </c>
      <c r="O13" s="5">
        <f>IF($A13="","",IF($AQ13&lt;&gt;"",IF(INDEX(Raw_D2!$G$2:$G$1001,$AQ13)="","",INDEX(Raw_D2!$G$2:$G$1001,$AQ13)),IF($AR13&lt;&gt;"",IF(INDEX(Raw_D3!$O$2:$O$1001,$AR13)="","",INDEX(Raw_D3!$O$2:$O$1001,$AR13)),"")))</f>
        <v>30</v>
      </c>
      <c r="P13" s="5">
        <f>IF($A13="","",IF($AQ13&lt;&gt;"",IF(INDEX(Raw_D2!$H$2:$H$1001,$AQ13)="","",INDEX(Raw_D2!$H$2:$H$1001,$AQ13)),IF($AR13&lt;&gt;"",IF(INDEX(Raw_D3!$P$2:$P$1001,$AR13)="","",INDEX(Raw_D3!$P$2:$P$1001,$AR13)),"")))</f>
        <v>56</v>
      </c>
      <c r="Q13" s="5" t="str">
        <f>IF($A13="","",IF(AND($AP13&lt;&gt;"",$AQ13&lt;&gt;""),"D1+D2",IF($AR13&lt;&gt;"","D3","Incomplete")))</f>
        <v>D1+D2</v>
      </c>
      <c r="R13" s="17">
        <f>IF($A13="","",IF($K13="",IF($J13="","",ROUND(Lookups!$K$5+Lookups!$K$4*$J13,4)),$K13))</f>
        <v>0.3333</v>
      </c>
      <c r="S13" s="5" t="str">
        <f>IF($A13="","",IF($K13="","Imputed","Original"))</f>
        <v>Original</v>
      </c>
      <c r="T13" s="5" t="str">
        <f>IF($A13="","",IF($P13="","Missing",IF($P13=$N13+$O13,"OK","Mismatch")))</f>
        <v>OK</v>
      </c>
      <c r="U13" s="5" t="str">
        <f>IF($A13="","",IF(COUNTIF($A$2:$A13,$A13)&gt;1,"Duplicate","Unique"))</f>
        <v>Unique</v>
      </c>
      <c r="V13" s="5">
        <f>IF($A13="","",IF(AND($U13="Unique",ISNUMBER($P13)),1,0))</f>
        <v>1</v>
      </c>
      <c r="W13" s="5" t="str">
        <f>IF($A13="","",IF(OR($H13=0,$H13=6),"Weekend","Weekday"))</f>
        <v>Weekend</v>
      </c>
      <c r="X13" s="5" t="str">
        <f>IF($A13="","",TEXT($B13,"ddd"))</f>
        <v>Sat</v>
      </c>
      <c r="Y13" s="5" t="str">
        <f>IF($A13="","",TEXT($B13,"mmm"))</f>
        <v>Jan</v>
      </c>
      <c r="Z13" s="5" t="str">
        <f>IF($A13="","",IFERROR(VLOOKUP($C13,Lookups!$D$4:$E$7,2,FALSE),"Unknown"))</f>
        <v>Winter</v>
      </c>
      <c r="AA13" s="5" t="str">
        <f>IF($A13="","",IFERROR(VLOOKUP($I13,Lookups!$A$4:$B$7,2,FALSE),"Unknown"))</f>
        <v>Clear</v>
      </c>
      <c r="AB13" s="5" t="str">
        <f>IF($A13="","",TEXT($F13,"00")&amp;":00")</f>
        <v>11:00</v>
      </c>
      <c r="AC13" s="5" t="str">
        <f>IF($A13="","",VLOOKUP($F13,Lookups!$G$4:$H$8,2,TRUE))</f>
        <v>Midday (10-15)</v>
      </c>
      <c r="AD13" s="18">
        <f>IF($A13="","",IF($J13="","",ROUND($J13*41,1)))</f>
        <v>14.8</v>
      </c>
      <c r="AE13" s="18">
        <f>IF($A13="","",IF($R13="","",ROUND($R13*50,1)))</f>
        <v>16.7</v>
      </c>
      <c r="AF13" s="5">
        <f>IF($A13="","",IF($L13="","",ROUND($L13*100,0)))</f>
        <v>81</v>
      </c>
      <c r="AG13" s="18">
        <f>IF($A13="","",IF($M13="","",ROUND($M13*67,1)))</f>
        <v>19</v>
      </c>
      <c r="AH13" s="19">
        <f>IF($A13="","",IF($P13="","",IF($P13=0,0,$O13/$P13)))</f>
        <v>0.535714285714286</v>
      </c>
      <c r="AI13" s="5" t="str">
        <f>IF($A13="","",IF($P13="","",IF($P13&gt;=Lookups!$K$7,"High",IF($P13&lt;=Lookups!$K$8,"Low","Medium"))))</f>
        <v>Medium</v>
      </c>
      <c r="AJ13" s="5" t="str">
        <f>IF($A13="","",IF($AD13="","",IF($AD13&lt;5,"Under 5 C",IF($AD13&lt;10,"5-10 C",IF($AD13&lt;15,"10-15 C","15 C and above")))))</f>
        <v>10-15 C</v>
      </c>
      <c r="AK13" s="5">
        <f>IF($A13="","",IF($P13="","",$P13^2))</f>
        <v>3136</v>
      </c>
      <c r="AL13" s="18">
        <f>IF($V13&lt;&gt;1,"",AVERAGEIFS(Clean_Data!$P$2:$P$1001,Clean_Data!$F$2:$F$1001,$F13,Clean_Data!$W$2:$W$1001,$W13,Clean_Data!$V$2:$V$1001,1))</f>
        <v>76.9285714285714</v>
      </c>
      <c r="AM13" s="16">
        <f>IF($V13&lt;&gt;1,"",IFERROR(($P13-$AL13)/SQRT(MAX(0,(SUMIFS(Clean_Data!$AK$2:$AK$1001,Clean_Data!$F$2:$F$1001,$F13,Clean_Data!$W$2:$W$1001,$W13,Clean_Data!$V$2:$V$1001,1)-COUNTIFS(Clean_Data!$F$2:$F$1001,$F13,Clean_Data!$W$2:$W$1001,$W13,Clean_Data!$V$2:$V$1001,1)*$AL13^2)/(COUNTIFS(Clean_Data!$F$2:$F$1001,$F13,Clean_Data!$W$2:$W$1001,$W13,Clean_Data!$V$2:$V$1001,1)-1))),""))</f>
        <v>-0.841194041333818</v>
      </c>
      <c r="AN13" s="5" t="str">
        <f>IF($AM13="","",IF($AM13&gt;=Lookups!$K$6,"High spike",IF($AM13&lt;=-Lookups!$K$6,"Unusual low","Normal")))</f>
        <v>Normal</v>
      </c>
      <c r="AO13" s="20">
        <f>IF($V13&lt;&gt;1,"",$P13+ROW()/100000)</f>
        <v>56.00013</v>
      </c>
      <c r="AP13" s="5">
        <f>IF($A13="","",IFERROR(MATCH($A13,Raw_D1!$A$2:$A$1001,0),""))</f>
        <v>12</v>
      </c>
      <c r="AQ13" s="5">
        <f>IF($A13="","",IFERROR(MATCH($A13,Raw_D2!$B$2:$B$1001,0),""))</f>
        <v>12</v>
      </c>
      <c r="AR13" s="5">
        <f>IF($A13="","",IFERROR(MATCH($A13,Raw_D3!$A$2:$A$1001,0),""))</f>
        <v/>
      </c>
    </row>
    <row r="14" spans="1:44" x14ac:dyDescent="0.25">
      <c r="A14" s="5">
        <v>13</v>
      </c>
      <c r="B14" s="11">
        <f>IF($A14="","",IF($AP14&lt;&gt;"",INDEX(Raw_D1!$B$2:$B$1001,$AP14),IF($AR14&lt;&gt;"",INDEX(Raw_D3!$B$2:$B$1001,$AR14),"")))</f>
        <v>40544.0</v>
      </c>
      <c r="C14" s="5">
        <f>IF($A14="","",IF($AP14&lt;&gt;"",INDEX(Raw_D1!$C$2:$C$1001,$AP14),IF($AR14&lt;&gt;"",INDEX(Raw_D3!$C$2:$C$1001,$AR14),"")))</f>
        <v>1</v>
      </c>
      <c r="D14" s="5">
        <f>IF($A14="","",IF($AP14&lt;&gt;"",INDEX(Raw_D1!$D$2:$D$1001,$AP14),IF($AR14&lt;&gt;"",INDEX(Raw_D3!$D$2:$D$1001,$AR14),"")))</f>
        <v>0</v>
      </c>
      <c r="E14" s="5">
        <f>IF($A14="","",IF($AP14&lt;&gt;"",INDEX(Raw_D1!$E$2:$E$1001,$AP14),IF($AR14&lt;&gt;"",INDEX(Raw_D3!$E$2:$E$1001,$AR14),"")))</f>
        <v>1</v>
      </c>
      <c r="F14" s="5">
        <f>IF($A14="","",IF($AP14&lt;&gt;"",INDEX(Raw_D1!$F$2:$F$1001,$AP14),IF($AR14&lt;&gt;"",INDEX(Raw_D3!$F$2:$F$1001,$AR14),"")))</f>
        <v>12</v>
      </c>
      <c r="G14" s="5">
        <f>IF($A14="","",IF($AP14&lt;&gt;"",IF(INDEX(Raw_D1!$G$2:$G$1001,$AP14),1,0),IF($AR14&lt;&gt;"",IF(INDEX(Raw_D3!$G$2:$G$1001,$AR14),1,0),"")))</f>
        <v>0</v>
      </c>
      <c r="H14" s="5">
        <f>IF($A14="","",IF($AP14&lt;&gt;"",INDEX(Raw_D1!$H$2:$H$1001,$AP14),IF($AR14&lt;&gt;"",INDEX(Raw_D3!$H$2:$H$1001,$AR14),"")))</f>
        <v>6</v>
      </c>
      <c r="I14" s="5">
        <f>IF($A14="","",IF($AP14&lt;&gt;"",INDEX(Raw_D1!$I$2:$I$1001,$AP14),IF($AR14&lt;&gt;"",INDEX(Raw_D3!$I$2:$I$1001,$AR14),"")))</f>
        <v>1</v>
      </c>
      <c r="J14" s="16">
        <f>IF($A14="","",IF($AP14&lt;&gt;"",INDEX(Raw_D1!$J$2:$J$1001,$AP14),IF($AR14&lt;&gt;"",INDEX(Raw_D3!$J$2:$J$1001,$AR14),"")))</f>
        <v>0.42</v>
      </c>
      <c r="K14" s="17">
        <f>IF($A14="","",IF($AQ14&lt;&gt;"",IF(INDEX(Raw_D2!$C$2:$C$1001,$AQ14)="","",INDEX(Raw_D2!$C$2:$C$1001,$AQ14)),IF($AR14&lt;&gt;"",IF(INDEX(Raw_D3!$K$2:$K$1001,$AR14)="","",INDEX(Raw_D3!$K$2:$K$1001,$AR14)),"")))</f>
        <v>0.4242</v>
      </c>
      <c r="L14" s="16">
        <f>IF($A14="","",IF($AQ14&lt;&gt;"",IF(INDEX(Raw_D2!$D$2:$D$1001,$AQ14)="","",INDEX(Raw_D2!$D$2:$D$1001,$AQ14)),IF($AR14&lt;&gt;"",IF(INDEX(Raw_D3!$L$2:$L$1001,$AR14)="","",INDEX(Raw_D3!$L$2:$L$1001,$AR14)),"")))</f>
        <v>0.77</v>
      </c>
      <c r="M14" s="17">
        <f>IF($A14="","",IF($AQ14&lt;&gt;"",IF(INDEX(Raw_D2!$E$2:$E$1001,$AQ14)="","",INDEX(Raw_D2!$E$2:$E$1001,$AQ14)),IF($AR14&lt;&gt;"",IF(INDEX(Raw_D3!$M$2:$M$1001,$AR14)="","",INDEX(Raw_D3!$M$2:$M$1001,$AR14)),"")))</f>
        <v>0.2836</v>
      </c>
      <c r="N14" s="5">
        <f>IF($A14="","",IF($AQ14&lt;&gt;"",IF(INDEX(Raw_D2!$F$2:$F$1001,$AQ14)="","",INDEX(Raw_D2!$F$2:$F$1001,$AQ14)),IF($AR14&lt;&gt;"",IF(INDEX(Raw_D3!$N$2:$N$1001,$AR14)="","",INDEX(Raw_D3!$N$2:$N$1001,$AR14)),"")))</f>
        <v>29</v>
      </c>
      <c r="O14" s="5">
        <f>IF($A14="","",IF($AQ14&lt;&gt;"",IF(INDEX(Raw_D2!$G$2:$G$1001,$AQ14)="","",INDEX(Raw_D2!$G$2:$G$1001,$AQ14)),IF($AR14&lt;&gt;"",IF(INDEX(Raw_D3!$O$2:$O$1001,$AR14)="","",INDEX(Raw_D3!$O$2:$O$1001,$AR14)),"")))</f>
        <v>55</v>
      </c>
      <c r="P14" s="5">
        <f>IF($A14="","",IF($AQ14&lt;&gt;"",IF(INDEX(Raw_D2!$H$2:$H$1001,$AQ14)="","",INDEX(Raw_D2!$H$2:$H$1001,$AQ14)),IF($AR14&lt;&gt;"",IF(INDEX(Raw_D3!$P$2:$P$1001,$AR14)="","",INDEX(Raw_D3!$P$2:$P$1001,$AR14)),"")))</f>
        <v>84</v>
      </c>
      <c r="Q14" s="5" t="str">
        <f>IF($A14="","",IF(AND($AP14&lt;&gt;"",$AQ14&lt;&gt;""),"D1+D2",IF($AR14&lt;&gt;"","D3","Incomplete")))</f>
        <v>D1+D2</v>
      </c>
      <c r="R14" s="17">
        <f>IF($A14="","",IF($K14="",IF($J14="","",ROUND(Lookups!$K$5+Lookups!$K$4*$J14,4)),$K14))</f>
        <v>0.4242</v>
      </c>
      <c r="S14" s="5" t="str">
        <f>IF($A14="","",IF($K14="","Imputed","Original"))</f>
        <v>Original</v>
      </c>
      <c r="T14" s="5" t="str">
        <f>IF($A14="","",IF($P14="","Missing",IF($P14=$N14+$O14,"OK","Mismatch")))</f>
        <v>OK</v>
      </c>
      <c r="U14" s="5" t="str">
        <f>IF($A14="","",IF(COUNTIF($A$2:$A14,$A14)&gt;1,"Duplicate","Unique"))</f>
        <v>Unique</v>
      </c>
      <c r="V14" s="5">
        <f>IF($A14="","",IF(AND($U14="Unique",ISNUMBER($P14)),1,0))</f>
        <v>1</v>
      </c>
      <c r="W14" s="5" t="str">
        <f>IF($A14="","",IF(OR($H14=0,$H14=6),"Weekend","Weekday"))</f>
        <v>Weekend</v>
      </c>
      <c r="X14" s="5" t="str">
        <f>IF($A14="","",TEXT($B14,"ddd"))</f>
        <v>Sat</v>
      </c>
      <c r="Y14" s="5" t="str">
        <f>IF($A14="","",TEXT($B14,"mmm"))</f>
        <v>Jan</v>
      </c>
      <c r="Z14" s="5" t="str">
        <f>IF($A14="","",IFERROR(VLOOKUP($C14,Lookups!$D$4:$E$7,2,FALSE),"Unknown"))</f>
        <v>Winter</v>
      </c>
      <c r="AA14" s="5" t="str">
        <f>IF($A14="","",IFERROR(VLOOKUP($I14,Lookups!$A$4:$B$7,2,FALSE),"Unknown"))</f>
        <v>Clear</v>
      </c>
      <c r="AB14" s="5" t="str">
        <f>IF($A14="","",TEXT($F14,"00")&amp;":00")</f>
        <v>12:00</v>
      </c>
      <c r="AC14" s="5" t="str">
        <f>IF($A14="","",VLOOKUP($F14,Lookups!$G$4:$H$8,2,TRUE))</f>
        <v>Midday (10-15)</v>
      </c>
      <c r="AD14" s="18">
        <f>IF($A14="","",IF($J14="","",ROUND($J14*41,1)))</f>
        <v>17.2</v>
      </c>
      <c r="AE14" s="18">
        <f>IF($A14="","",IF($R14="","",ROUND($R14*50,1)))</f>
        <v>21.2</v>
      </c>
      <c r="AF14" s="5">
        <f>IF($A14="","",IF($L14="","",ROUND($L14*100,0)))</f>
        <v>77</v>
      </c>
      <c r="AG14" s="18">
        <f>IF($A14="","",IF($M14="","",ROUND($M14*67,1)))</f>
        <v>19</v>
      </c>
      <c r="AH14" s="19">
        <f>IF($A14="","",IF($P14="","",IF($P14=0,0,$O14/$P14)))</f>
        <v>0.654761904761905</v>
      </c>
      <c r="AI14" s="5" t="str">
        <f>IF($A14="","",IF($P14="","",IF($P14&gt;=Lookups!$K$7,"High",IF($P14&lt;=Lookups!$K$8,"Low","Medium"))))</f>
        <v>High</v>
      </c>
      <c r="AJ14" s="5" t="str">
        <f>IF($A14="","",IF($AD14="","",IF($AD14&lt;5,"Under 5 C",IF($AD14&lt;10,"5-10 C",IF($AD14&lt;15,"10-15 C","15 C and above")))))</f>
        <v>15 C and above</v>
      </c>
      <c r="AK14" s="5">
        <f>IF($A14="","",IF($P14="","",$P14^2))</f>
        <v>7056</v>
      </c>
      <c r="AL14" s="18">
        <f>IF($V14&lt;&gt;1,"",AVERAGEIFS(Clean_Data!$P$2:$P$1001,Clean_Data!$F$2:$F$1001,$F14,Clean_Data!$W$2:$W$1001,$W14,Clean_Data!$V$2:$V$1001,1))</f>
        <v>100.714285714286</v>
      </c>
      <c r="AM14" s="16">
        <f>IF($V14&lt;&gt;1,"",IFERROR(($P14-$AL14)/SQRT(MAX(0,(SUMIFS(Clean_Data!$AK$2:$AK$1001,Clean_Data!$F$2:$F$1001,$F14,Clean_Data!$W$2:$W$1001,$W14,Clean_Data!$V$2:$V$1001,1)-COUNTIFS(Clean_Data!$F$2:$F$1001,$F14,Clean_Data!$W$2:$W$1001,$W14,Clean_Data!$V$2:$V$1001,1)*$AL14^2)/(COUNTIFS(Clean_Data!$F$2:$F$1001,$F14,Clean_Data!$W$2:$W$1001,$W14,Clean_Data!$V$2:$V$1001,1)-1))),""))</f>
        <v>-0.523327672119374</v>
      </c>
      <c r="AN14" s="5" t="str">
        <f>IF($AM14="","",IF($AM14&gt;=Lookups!$K$6,"High spike",IF($AM14&lt;=-Lookups!$K$6,"Unusual low","Normal")))</f>
        <v>Normal</v>
      </c>
      <c r="AO14" s="20">
        <f>IF($V14&lt;&gt;1,"",$P14+ROW()/100000)</f>
        <v>84.00014</v>
      </c>
      <c r="AP14" s="5">
        <f>IF($A14="","",IFERROR(MATCH($A14,Raw_D1!$A$2:$A$1001,0),""))</f>
        <v>13</v>
      </c>
      <c r="AQ14" s="5">
        <f>IF($A14="","",IFERROR(MATCH($A14,Raw_D2!$B$2:$B$1001,0),""))</f>
        <v>13</v>
      </c>
      <c r="AR14" s="5">
        <f>IF($A14="","",IFERROR(MATCH($A14,Raw_D3!$A$2:$A$1001,0),""))</f>
        <v/>
      </c>
    </row>
    <row r="15" spans="1:44" x14ac:dyDescent="0.25">
      <c r="A15" s="5">
        <v>14</v>
      </c>
      <c r="B15" s="11">
        <f>IF($A15="","",IF($AP15&lt;&gt;"",INDEX(Raw_D1!$B$2:$B$1001,$AP15),IF($AR15&lt;&gt;"",INDEX(Raw_D3!$B$2:$B$1001,$AR15),"")))</f>
        <v>40544.0</v>
      </c>
      <c r="C15" s="5">
        <f>IF($A15="","",IF($AP15&lt;&gt;"",INDEX(Raw_D1!$C$2:$C$1001,$AP15),IF($AR15&lt;&gt;"",INDEX(Raw_D3!$C$2:$C$1001,$AR15),"")))</f>
        <v>1</v>
      </c>
      <c r="D15" s="5">
        <f>IF($A15="","",IF($AP15&lt;&gt;"",INDEX(Raw_D1!$D$2:$D$1001,$AP15),IF($AR15&lt;&gt;"",INDEX(Raw_D3!$D$2:$D$1001,$AR15),"")))</f>
        <v>0</v>
      </c>
      <c r="E15" s="5">
        <f>IF($A15="","",IF($AP15&lt;&gt;"",INDEX(Raw_D1!$E$2:$E$1001,$AP15),IF($AR15&lt;&gt;"",INDEX(Raw_D3!$E$2:$E$1001,$AR15),"")))</f>
        <v>1</v>
      </c>
      <c r="F15" s="5">
        <f>IF($A15="","",IF($AP15&lt;&gt;"",INDEX(Raw_D1!$F$2:$F$1001,$AP15),IF($AR15&lt;&gt;"",INDEX(Raw_D3!$F$2:$F$1001,$AR15),"")))</f>
        <v>13</v>
      </c>
      <c r="G15" s="5">
        <f>IF($A15="","",IF($AP15&lt;&gt;"",IF(INDEX(Raw_D1!$G$2:$G$1001,$AP15),1,0),IF($AR15&lt;&gt;"",IF(INDEX(Raw_D3!$G$2:$G$1001,$AR15),1,0),"")))</f>
        <v>0</v>
      </c>
      <c r="H15" s="5">
        <f>IF($A15="","",IF($AP15&lt;&gt;"",INDEX(Raw_D1!$H$2:$H$1001,$AP15),IF($AR15&lt;&gt;"",INDEX(Raw_D3!$H$2:$H$1001,$AR15),"")))</f>
        <v>6</v>
      </c>
      <c r="I15" s="5">
        <f>IF($A15="","",IF($AP15&lt;&gt;"",INDEX(Raw_D1!$I$2:$I$1001,$AP15),IF($AR15&lt;&gt;"",INDEX(Raw_D3!$I$2:$I$1001,$AR15),"")))</f>
        <v>2</v>
      </c>
      <c r="J15" s="16">
        <f>IF($A15="","",IF($AP15&lt;&gt;"",INDEX(Raw_D1!$J$2:$J$1001,$AP15),IF($AR15&lt;&gt;"",INDEX(Raw_D3!$J$2:$J$1001,$AR15),"")))</f>
        <v>0.46</v>
      </c>
      <c r="K15" s="17">
        <f>IF($A15="","",IF($AQ15&lt;&gt;"",IF(INDEX(Raw_D2!$C$2:$C$1001,$AQ15)="","",INDEX(Raw_D2!$C$2:$C$1001,$AQ15)),IF($AR15&lt;&gt;"",IF(INDEX(Raw_D3!$K$2:$K$1001,$AR15)="","",INDEX(Raw_D3!$K$2:$K$1001,$AR15)),"")))</f>
        <v>0.4545</v>
      </c>
      <c r="L15" s="16">
        <f>IF($A15="","",IF($AQ15&lt;&gt;"",IF(INDEX(Raw_D2!$D$2:$D$1001,$AQ15)="","",INDEX(Raw_D2!$D$2:$D$1001,$AQ15)),IF($AR15&lt;&gt;"",IF(INDEX(Raw_D3!$L$2:$L$1001,$AR15)="","",INDEX(Raw_D3!$L$2:$L$1001,$AR15)),"")))</f>
        <v>0.72</v>
      </c>
      <c r="M15" s="17">
        <f>IF($A15="","",IF($AQ15&lt;&gt;"",IF(INDEX(Raw_D2!$E$2:$E$1001,$AQ15)="","",INDEX(Raw_D2!$E$2:$E$1001,$AQ15)),IF($AR15&lt;&gt;"",IF(INDEX(Raw_D3!$M$2:$M$1001,$AR15)="","",INDEX(Raw_D3!$M$2:$M$1001,$AR15)),"")))</f>
        <v>0.2985</v>
      </c>
      <c r="N15" s="5">
        <f>IF($A15="","",IF($AQ15&lt;&gt;"",IF(INDEX(Raw_D2!$F$2:$F$1001,$AQ15)="","",INDEX(Raw_D2!$F$2:$F$1001,$AQ15)),IF($AR15&lt;&gt;"",IF(INDEX(Raw_D3!$N$2:$N$1001,$AR15)="","",INDEX(Raw_D3!$N$2:$N$1001,$AR15)),"")))</f>
        <v>47</v>
      </c>
      <c r="O15" s="5">
        <f>IF($A15="","",IF($AQ15&lt;&gt;"",IF(INDEX(Raw_D2!$G$2:$G$1001,$AQ15)="","",INDEX(Raw_D2!$G$2:$G$1001,$AQ15)),IF($AR15&lt;&gt;"",IF(INDEX(Raw_D3!$O$2:$O$1001,$AR15)="","",INDEX(Raw_D3!$O$2:$O$1001,$AR15)),"")))</f>
        <v>47</v>
      </c>
      <c r="P15" s="5">
        <f>IF($A15="","",IF($AQ15&lt;&gt;"",IF(INDEX(Raw_D2!$H$2:$H$1001,$AQ15)="","",INDEX(Raw_D2!$H$2:$H$1001,$AQ15)),IF($AR15&lt;&gt;"",IF(INDEX(Raw_D3!$P$2:$P$1001,$AR15)="","",INDEX(Raw_D3!$P$2:$P$1001,$AR15)),"")))</f>
        <v>94</v>
      </c>
      <c r="Q15" s="5" t="str">
        <f>IF($A15="","",IF(AND($AP15&lt;&gt;"",$AQ15&lt;&gt;""),"D1+D2",IF($AR15&lt;&gt;"","D3","Incomplete")))</f>
        <v>D1+D2</v>
      </c>
      <c r="R15" s="17">
        <f>IF($A15="","",IF($K15="",IF($J15="","",ROUND(Lookups!$K$5+Lookups!$K$4*$J15,4)),$K15))</f>
        <v>0.4545</v>
      </c>
      <c r="S15" s="5" t="str">
        <f>IF($A15="","",IF($K15="","Imputed","Original"))</f>
        <v>Original</v>
      </c>
      <c r="T15" s="5" t="str">
        <f>IF($A15="","",IF($P15="","Missing",IF($P15=$N15+$O15,"OK","Mismatch")))</f>
        <v>OK</v>
      </c>
      <c r="U15" s="5" t="str">
        <f>IF($A15="","",IF(COUNTIF($A$2:$A15,$A15)&gt;1,"Duplicate","Unique"))</f>
        <v>Unique</v>
      </c>
      <c r="V15" s="5">
        <f>IF($A15="","",IF(AND($U15="Unique",ISNUMBER($P15)),1,0))</f>
        <v>1</v>
      </c>
      <c r="W15" s="5" t="str">
        <f>IF($A15="","",IF(OR($H15=0,$H15=6),"Weekend","Weekday"))</f>
        <v>Weekend</v>
      </c>
      <c r="X15" s="5" t="str">
        <f>IF($A15="","",TEXT($B15,"ddd"))</f>
        <v>Sat</v>
      </c>
      <c r="Y15" s="5" t="str">
        <f>IF($A15="","",TEXT($B15,"mmm"))</f>
        <v>Jan</v>
      </c>
      <c r="Z15" s="5" t="str">
        <f>IF($A15="","",IFERROR(VLOOKUP($C15,Lookups!$D$4:$E$7,2,FALSE),"Unknown"))</f>
        <v>Winter</v>
      </c>
      <c r="AA15" s="5" t="str">
        <f>IF($A15="","",IFERROR(VLOOKUP($I15,Lookups!$A$4:$B$7,2,FALSE),"Unknown"))</f>
        <v>Mist/Cloudy</v>
      </c>
      <c r="AB15" s="5" t="str">
        <f>IF($A15="","",TEXT($F15,"00")&amp;":00")</f>
        <v>13:00</v>
      </c>
      <c r="AC15" s="5" t="str">
        <f>IF($A15="","",VLOOKUP($F15,Lookups!$G$4:$H$8,2,TRUE))</f>
        <v>Midday (10-15)</v>
      </c>
      <c r="AD15" s="18">
        <f>IF($A15="","",IF($J15="","",ROUND($J15*41,1)))</f>
        <v>18.9</v>
      </c>
      <c r="AE15" s="18">
        <f>IF($A15="","",IF($R15="","",ROUND($R15*50,1)))</f>
        <v>22.7</v>
      </c>
      <c r="AF15" s="5">
        <f>IF($A15="","",IF($L15="","",ROUND($L15*100,0)))</f>
        <v>72</v>
      </c>
      <c r="AG15" s="18">
        <f>IF($A15="","",IF($M15="","",ROUND($M15*67,1)))</f>
        <v>20</v>
      </c>
      <c r="AH15" s="19">
        <f>IF($A15="","",IF($P15="","",IF($P15=0,0,$O15/$P15)))</f>
        <v>0.5</v>
      </c>
      <c r="AI15" s="5" t="str">
        <f>IF($A15="","",IF($P15="","",IF($P15&gt;=Lookups!$K$7,"High",IF($P15&lt;=Lookups!$K$8,"Low","Medium"))))</f>
        <v>High</v>
      </c>
      <c r="AJ15" s="5" t="str">
        <f>IF($A15="","",IF($AD15="","",IF($AD15&lt;5,"Under 5 C",IF($AD15&lt;10,"5-10 C",IF($AD15&lt;15,"10-15 C","15 C and above")))))</f>
        <v>15 C and above</v>
      </c>
      <c r="AK15" s="5">
        <f>IF($A15="","",IF($P15="","",$P15^2))</f>
        <v>8836</v>
      </c>
      <c r="AL15" s="18">
        <f>IF($V15&lt;&gt;1,"",AVERAGEIFS(Clean_Data!$P$2:$P$1001,Clean_Data!$F$2:$F$1001,$F15,Clean_Data!$W$2:$W$1001,$W15,Clean_Data!$V$2:$V$1001,1))</f>
        <v>102</v>
      </c>
      <c r="AM15" s="16">
        <f>IF($V15&lt;&gt;1,"",IFERROR(($P15-$AL15)/SQRT(MAX(0,(SUMIFS(Clean_Data!$AK$2:$AK$1001,Clean_Data!$F$2:$F$1001,$F15,Clean_Data!$W$2:$W$1001,$W15,Clean_Data!$V$2:$V$1001,1)-COUNTIFS(Clean_Data!$F$2:$F$1001,$F15,Clean_Data!$W$2:$W$1001,$W15,Clean_Data!$V$2:$V$1001,1)*$AL15^2)/(COUNTIFS(Clean_Data!$F$2:$F$1001,$F15,Clean_Data!$W$2:$W$1001,$W15,Clean_Data!$V$2:$V$1001,1)-1))),""))</f>
        <v>-0.234623740464993</v>
      </c>
      <c r="AN15" s="5" t="str">
        <f>IF($AM15="","",IF($AM15&gt;=Lookups!$K$6,"High spike",IF($AM15&lt;=-Lookups!$K$6,"Unusual low","Normal")))</f>
        <v>Normal</v>
      </c>
      <c r="AO15" s="20">
        <f>IF($V15&lt;&gt;1,"",$P15+ROW()/100000)</f>
        <v>94.00015</v>
      </c>
      <c r="AP15" s="5">
        <f>IF($A15="","",IFERROR(MATCH($A15,Raw_D1!$A$2:$A$1001,0),""))</f>
        <v>14</v>
      </c>
      <c r="AQ15" s="5">
        <f>IF($A15="","",IFERROR(MATCH($A15,Raw_D2!$B$2:$B$1001,0),""))</f>
        <v>14</v>
      </c>
      <c r="AR15" s="5">
        <f>IF($A15="","",IFERROR(MATCH($A15,Raw_D3!$A$2:$A$1001,0),""))</f>
        <v/>
      </c>
    </row>
    <row r="16" spans="1:44" x14ac:dyDescent="0.25">
      <c r="A16" s="5">
        <v>15</v>
      </c>
      <c r="B16" s="11">
        <f>IF($A16="","",IF($AP16&lt;&gt;"",INDEX(Raw_D1!$B$2:$B$1001,$AP16),IF($AR16&lt;&gt;"",INDEX(Raw_D3!$B$2:$B$1001,$AR16),"")))</f>
        <v>40544.0</v>
      </c>
      <c r="C16" s="5">
        <f>IF($A16="","",IF($AP16&lt;&gt;"",INDEX(Raw_D1!$C$2:$C$1001,$AP16),IF($AR16&lt;&gt;"",INDEX(Raw_D3!$C$2:$C$1001,$AR16),"")))</f>
        <v>1</v>
      </c>
      <c r="D16" s="5">
        <f>IF($A16="","",IF($AP16&lt;&gt;"",INDEX(Raw_D1!$D$2:$D$1001,$AP16),IF($AR16&lt;&gt;"",INDEX(Raw_D3!$D$2:$D$1001,$AR16),"")))</f>
        <v>0</v>
      </c>
      <c r="E16" s="5">
        <f>IF($A16="","",IF($AP16&lt;&gt;"",INDEX(Raw_D1!$E$2:$E$1001,$AP16),IF($AR16&lt;&gt;"",INDEX(Raw_D3!$E$2:$E$1001,$AR16),"")))</f>
        <v>1</v>
      </c>
      <c r="F16" s="5">
        <f>IF($A16="","",IF($AP16&lt;&gt;"",INDEX(Raw_D1!$F$2:$F$1001,$AP16),IF($AR16&lt;&gt;"",INDEX(Raw_D3!$F$2:$F$1001,$AR16),"")))</f>
        <v>14</v>
      </c>
      <c r="G16" s="5">
        <f>IF($A16="","",IF($AP16&lt;&gt;"",IF(INDEX(Raw_D1!$G$2:$G$1001,$AP16),1,0),IF($AR16&lt;&gt;"",IF(INDEX(Raw_D3!$G$2:$G$1001,$AR16),1,0),"")))</f>
        <v>0</v>
      </c>
      <c r="H16" s="5">
        <f>IF($A16="","",IF($AP16&lt;&gt;"",INDEX(Raw_D1!$H$2:$H$1001,$AP16),IF($AR16&lt;&gt;"",INDEX(Raw_D3!$H$2:$H$1001,$AR16),"")))</f>
        <v>6</v>
      </c>
      <c r="I16" s="5">
        <f>IF($A16="","",IF($AP16&lt;&gt;"",INDEX(Raw_D1!$I$2:$I$1001,$AP16),IF($AR16&lt;&gt;"",INDEX(Raw_D3!$I$2:$I$1001,$AR16),"")))</f>
        <v>2</v>
      </c>
      <c r="J16" s="16">
        <f>IF($A16="","",IF($AP16&lt;&gt;"",INDEX(Raw_D1!$J$2:$J$1001,$AP16),IF($AR16&lt;&gt;"",INDEX(Raw_D3!$J$2:$J$1001,$AR16),"")))</f>
        <v>0.46</v>
      </c>
      <c r="K16" s="17">
        <f>IF($A16="","",IF($AQ16&lt;&gt;"",IF(INDEX(Raw_D2!$C$2:$C$1001,$AQ16)="","",INDEX(Raw_D2!$C$2:$C$1001,$AQ16)),IF($AR16&lt;&gt;"",IF(INDEX(Raw_D3!$K$2:$K$1001,$AR16)="","",INDEX(Raw_D3!$K$2:$K$1001,$AR16)),"")))</f>
        <v>0.4545</v>
      </c>
      <c r="L16" s="16">
        <f>IF($A16="","",IF($AQ16&lt;&gt;"",IF(INDEX(Raw_D2!$D$2:$D$1001,$AQ16)="","",INDEX(Raw_D2!$D$2:$D$1001,$AQ16)),IF($AR16&lt;&gt;"",IF(INDEX(Raw_D3!$L$2:$L$1001,$AR16)="","",INDEX(Raw_D3!$L$2:$L$1001,$AR16)),"")))</f>
        <v>0.72</v>
      </c>
      <c r="M16" s="17">
        <f>IF($A16="","",IF($AQ16&lt;&gt;"",IF(INDEX(Raw_D2!$E$2:$E$1001,$AQ16)="","",INDEX(Raw_D2!$E$2:$E$1001,$AQ16)),IF($AR16&lt;&gt;"",IF(INDEX(Raw_D3!$M$2:$M$1001,$AR16)="","",INDEX(Raw_D3!$M$2:$M$1001,$AR16)),"")))</f>
        <v>0.2836</v>
      </c>
      <c r="N16" s="5">
        <f>IF($A16="","",IF($AQ16&lt;&gt;"",IF(INDEX(Raw_D2!$F$2:$F$1001,$AQ16)="","",INDEX(Raw_D2!$F$2:$F$1001,$AQ16)),IF($AR16&lt;&gt;"",IF(INDEX(Raw_D3!$N$2:$N$1001,$AR16)="","",INDEX(Raw_D3!$N$2:$N$1001,$AR16)),"")))</f>
        <v>35</v>
      </c>
      <c r="O16" s="5">
        <f>IF($A16="","",IF($AQ16&lt;&gt;"",IF(INDEX(Raw_D2!$G$2:$G$1001,$AQ16)="","",INDEX(Raw_D2!$G$2:$G$1001,$AQ16)),IF($AR16&lt;&gt;"",IF(INDEX(Raw_D3!$O$2:$O$1001,$AR16)="","",INDEX(Raw_D3!$O$2:$O$1001,$AR16)),"")))</f>
        <v>71</v>
      </c>
      <c r="P16" s="5">
        <f>IF($A16="","",IF($AQ16&lt;&gt;"",IF(INDEX(Raw_D2!$H$2:$H$1001,$AQ16)="","",INDEX(Raw_D2!$H$2:$H$1001,$AQ16)),IF($AR16&lt;&gt;"",IF(INDEX(Raw_D3!$P$2:$P$1001,$AR16)="","",INDEX(Raw_D3!$P$2:$P$1001,$AR16)),"")))</f>
        <v>106</v>
      </c>
      <c r="Q16" s="5" t="str">
        <f>IF($A16="","",IF(AND($AP16&lt;&gt;"",$AQ16&lt;&gt;""),"D1+D2",IF($AR16&lt;&gt;"","D3","Incomplete")))</f>
        <v>D1+D2</v>
      </c>
      <c r="R16" s="17">
        <f>IF($A16="","",IF($K16="",IF($J16="","",ROUND(Lookups!$K$5+Lookups!$K$4*$J16,4)),$K16))</f>
        <v>0.4545</v>
      </c>
      <c r="S16" s="5" t="str">
        <f>IF($A16="","",IF($K16="","Imputed","Original"))</f>
        <v>Original</v>
      </c>
      <c r="T16" s="5" t="str">
        <f>IF($A16="","",IF($P16="","Missing",IF($P16=$N16+$O16,"OK","Mismatch")))</f>
        <v>OK</v>
      </c>
      <c r="U16" s="5" t="str">
        <f>IF($A16="","",IF(COUNTIF($A$2:$A16,$A16)&gt;1,"Duplicate","Unique"))</f>
        <v>Unique</v>
      </c>
      <c r="V16" s="5">
        <f>IF($A16="","",IF(AND($U16="Unique",ISNUMBER($P16)),1,0))</f>
        <v>1</v>
      </c>
      <c r="W16" s="5" t="str">
        <f>IF($A16="","",IF(OR($H16=0,$H16=6),"Weekend","Weekday"))</f>
        <v>Weekend</v>
      </c>
      <c r="X16" s="5" t="str">
        <f>IF($A16="","",TEXT($B16,"ddd"))</f>
        <v>Sat</v>
      </c>
      <c r="Y16" s="5" t="str">
        <f>IF($A16="","",TEXT($B16,"mmm"))</f>
        <v>Jan</v>
      </c>
      <c r="Z16" s="5" t="str">
        <f>IF($A16="","",IFERROR(VLOOKUP($C16,Lookups!$D$4:$E$7,2,FALSE),"Unknown"))</f>
        <v>Winter</v>
      </c>
      <c r="AA16" s="5" t="str">
        <f>IF($A16="","",IFERROR(VLOOKUP($I16,Lookups!$A$4:$B$7,2,FALSE),"Unknown"))</f>
        <v>Mist/Cloudy</v>
      </c>
      <c r="AB16" s="5" t="str">
        <f>IF($A16="","",TEXT($F16,"00")&amp;":00")</f>
        <v>14:00</v>
      </c>
      <c r="AC16" s="5" t="str">
        <f>IF($A16="","",VLOOKUP($F16,Lookups!$G$4:$H$8,2,TRUE))</f>
        <v>Midday (10-15)</v>
      </c>
      <c r="AD16" s="18">
        <f>IF($A16="","",IF($J16="","",ROUND($J16*41,1)))</f>
        <v>18.9</v>
      </c>
      <c r="AE16" s="18">
        <f>IF($A16="","",IF($R16="","",ROUND($R16*50,1)))</f>
        <v>22.7</v>
      </c>
      <c r="AF16" s="5">
        <f>IF($A16="","",IF($L16="","",ROUND($L16*100,0)))</f>
        <v>72</v>
      </c>
      <c r="AG16" s="18">
        <f>IF($A16="","",IF($M16="","",ROUND($M16*67,1)))</f>
        <v>19</v>
      </c>
      <c r="AH16" s="19">
        <f>IF($A16="","",IF($P16="","",IF($P16=0,0,$O16/$P16)))</f>
        <v>0.669811320754717</v>
      </c>
      <c r="AI16" s="5" t="str">
        <f>IF($A16="","",IF($P16="","",IF($P16&gt;=Lookups!$K$7,"High",IF($P16&lt;=Lookups!$K$8,"Low","Medium"))))</f>
        <v>High</v>
      </c>
      <c r="AJ16" s="5" t="str">
        <f>IF($A16="","",IF($AD16="","",IF($AD16&lt;5,"Under 5 C",IF($AD16&lt;10,"5-10 C",IF($AD16&lt;15,"10-15 C","15 C and above")))))</f>
        <v>15 C and above</v>
      </c>
      <c r="AK16" s="5">
        <f>IF($A16="","",IF($P16="","",$P16^2))</f>
        <v>11236</v>
      </c>
      <c r="AL16" s="18">
        <f>IF($V16&lt;&gt;1,"",AVERAGEIFS(Clean_Data!$P$2:$P$1001,Clean_Data!$F$2:$F$1001,$F16,Clean_Data!$W$2:$W$1001,$W16,Clean_Data!$V$2:$V$1001,1))</f>
        <v>103.142857142857</v>
      </c>
      <c r="AM16" s="16">
        <f>IF($V16&lt;&gt;1,"",IFERROR(($P16-$AL16)/SQRT(MAX(0,(SUMIFS(Clean_Data!$AK$2:$AK$1001,Clean_Data!$F$2:$F$1001,$F16,Clean_Data!$W$2:$W$1001,$W16,Clean_Data!$V$2:$V$1001,1)-COUNTIFS(Clean_Data!$F$2:$F$1001,$F16,Clean_Data!$W$2:$W$1001,$W16,Clean_Data!$V$2:$V$1001,1)*$AL16^2)/(COUNTIFS(Clean_Data!$F$2:$F$1001,$F16,Clean_Data!$W$2:$W$1001,$W16,Clean_Data!$V$2:$V$1001,1)-1))),""))</f>
        <v>0.087472164730268</v>
      </c>
      <c r="AN16" s="5" t="str">
        <f>IF($AM16="","",IF($AM16&gt;=Lookups!$K$6,"High spike",IF($AM16&lt;=-Lookups!$K$6,"Unusual low","Normal")))</f>
        <v>Normal</v>
      </c>
      <c r="AO16" s="20">
        <f>IF($V16&lt;&gt;1,"",$P16+ROW()/100000)</f>
        <v>106.00016</v>
      </c>
      <c r="AP16" s="5">
        <f>IF($A16="","",IFERROR(MATCH($A16,Raw_D1!$A$2:$A$1001,0),""))</f>
        <v>15</v>
      </c>
      <c r="AQ16" s="5">
        <f>IF($A16="","",IFERROR(MATCH($A16,Raw_D2!$B$2:$B$1001,0),""))</f>
        <v>15</v>
      </c>
      <c r="AR16" s="5">
        <f>IF($A16="","",IFERROR(MATCH($A16,Raw_D3!$A$2:$A$1001,0),""))</f>
        <v/>
      </c>
    </row>
    <row r="17" spans="1:44" x14ac:dyDescent="0.25">
      <c r="A17" s="5">
        <v>16</v>
      </c>
      <c r="B17" s="11">
        <f>IF($A17="","",IF($AP17&lt;&gt;"",INDEX(Raw_D1!$B$2:$B$1001,$AP17),IF($AR17&lt;&gt;"",INDEX(Raw_D3!$B$2:$B$1001,$AR17),"")))</f>
        <v>40544.0</v>
      </c>
      <c r="C17" s="5">
        <f>IF($A17="","",IF($AP17&lt;&gt;"",INDEX(Raw_D1!$C$2:$C$1001,$AP17),IF($AR17&lt;&gt;"",INDEX(Raw_D3!$C$2:$C$1001,$AR17),"")))</f>
        <v>1</v>
      </c>
      <c r="D17" s="5">
        <f>IF($A17="","",IF($AP17&lt;&gt;"",INDEX(Raw_D1!$D$2:$D$1001,$AP17),IF($AR17&lt;&gt;"",INDEX(Raw_D3!$D$2:$D$1001,$AR17),"")))</f>
        <v>0</v>
      </c>
      <c r="E17" s="5">
        <f>IF($A17="","",IF($AP17&lt;&gt;"",INDEX(Raw_D1!$E$2:$E$1001,$AP17),IF($AR17&lt;&gt;"",INDEX(Raw_D3!$E$2:$E$1001,$AR17),"")))</f>
        <v>1</v>
      </c>
      <c r="F17" s="5">
        <f>IF($A17="","",IF($AP17&lt;&gt;"",INDEX(Raw_D1!$F$2:$F$1001,$AP17),IF($AR17&lt;&gt;"",INDEX(Raw_D3!$F$2:$F$1001,$AR17),"")))</f>
        <v>15</v>
      </c>
      <c r="G17" s="5">
        <f>IF($A17="","",IF($AP17&lt;&gt;"",IF(INDEX(Raw_D1!$G$2:$G$1001,$AP17),1,0),IF($AR17&lt;&gt;"",IF(INDEX(Raw_D3!$G$2:$G$1001,$AR17),1,0),"")))</f>
        <v>0</v>
      </c>
      <c r="H17" s="5">
        <f>IF($A17="","",IF($AP17&lt;&gt;"",INDEX(Raw_D1!$H$2:$H$1001,$AP17),IF($AR17&lt;&gt;"",INDEX(Raw_D3!$H$2:$H$1001,$AR17),"")))</f>
        <v>6</v>
      </c>
      <c r="I17" s="5">
        <f>IF($A17="","",IF($AP17&lt;&gt;"",INDEX(Raw_D1!$I$2:$I$1001,$AP17),IF($AR17&lt;&gt;"",INDEX(Raw_D3!$I$2:$I$1001,$AR17),"")))</f>
        <v>2</v>
      </c>
      <c r="J17" s="16">
        <f>IF($A17="","",IF($AP17&lt;&gt;"",INDEX(Raw_D1!$J$2:$J$1001,$AP17),IF($AR17&lt;&gt;"",INDEX(Raw_D3!$J$2:$J$1001,$AR17),"")))</f>
        <v>0.44</v>
      </c>
      <c r="K17" s="17">
        <f>IF($A17="","",IF($AQ17&lt;&gt;"",IF(INDEX(Raw_D2!$C$2:$C$1001,$AQ17)="","",INDEX(Raw_D2!$C$2:$C$1001,$AQ17)),IF($AR17&lt;&gt;"",IF(INDEX(Raw_D3!$K$2:$K$1001,$AR17)="","",INDEX(Raw_D3!$K$2:$K$1001,$AR17)),"")))</f>
        <v>0.4394</v>
      </c>
      <c r="L17" s="16">
        <f>IF($A17="","",IF($AQ17&lt;&gt;"",IF(INDEX(Raw_D2!$D$2:$D$1001,$AQ17)="","",INDEX(Raw_D2!$D$2:$D$1001,$AQ17)),IF($AR17&lt;&gt;"",IF(INDEX(Raw_D3!$L$2:$L$1001,$AR17)="","",INDEX(Raw_D3!$L$2:$L$1001,$AR17)),"")))</f>
        <v>0.77</v>
      </c>
      <c r="M17" s="17">
        <f>IF($A17="","",IF($AQ17&lt;&gt;"",IF(INDEX(Raw_D2!$E$2:$E$1001,$AQ17)="","",INDEX(Raw_D2!$E$2:$E$1001,$AQ17)),IF($AR17&lt;&gt;"",IF(INDEX(Raw_D3!$M$2:$M$1001,$AR17)="","",INDEX(Raw_D3!$M$2:$M$1001,$AR17)),"")))</f>
        <v>0.2985</v>
      </c>
      <c r="N17" s="5">
        <f>IF($A17="","",IF($AQ17&lt;&gt;"",IF(INDEX(Raw_D2!$F$2:$F$1001,$AQ17)="","",INDEX(Raw_D2!$F$2:$F$1001,$AQ17)),IF($AR17&lt;&gt;"",IF(INDEX(Raw_D3!$N$2:$N$1001,$AR17)="","",INDEX(Raw_D3!$N$2:$N$1001,$AR17)),"")))</f>
        <v>40</v>
      </c>
      <c r="O17" s="5">
        <f>IF($A17="","",IF($AQ17&lt;&gt;"",IF(INDEX(Raw_D2!$G$2:$G$1001,$AQ17)="","",INDEX(Raw_D2!$G$2:$G$1001,$AQ17)),IF($AR17&lt;&gt;"",IF(INDEX(Raw_D3!$O$2:$O$1001,$AR17)="","",INDEX(Raw_D3!$O$2:$O$1001,$AR17)),"")))</f>
        <v>70</v>
      </c>
      <c r="P17" s="5">
        <f>IF($A17="","",IF($AQ17&lt;&gt;"",IF(INDEX(Raw_D2!$H$2:$H$1001,$AQ17)="","",INDEX(Raw_D2!$H$2:$H$1001,$AQ17)),IF($AR17&lt;&gt;"",IF(INDEX(Raw_D3!$P$2:$P$1001,$AR17)="","",INDEX(Raw_D3!$P$2:$P$1001,$AR17)),"")))</f>
        <v>110</v>
      </c>
      <c r="Q17" s="5" t="str">
        <f>IF($A17="","",IF(AND($AP17&lt;&gt;"",$AQ17&lt;&gt;""),"D1+D2",IF($AR17&lt;&gt;"","D3","Incomplete")))</f>
        <v>D1+D2</v>
      </c>
      <c r="R17" s="17">
        <f>IF($A17="","",IF($K17="",IF($J17="","",ROUND(Lookups!$K$5+Lookups!$K$4*$J17,4)),$K17))</f>
        <v>0.4394</v>
      </c>
      <c r="S17" s="5" t="str">
        <f>IF($A17="","",IF($K17="","Imputed","Original"))</f>
        <v>Original</v>
      </c>
      <c r="T17" s="5" t="str">
        <f>IF($A17="","",IF($P17="","Missing",IF($P17=$N17+$O17,"OK","Mismatch")))</f>
        <v>OK</v>
      </c>
      <c r="U17" s="5" t="str">
        <f>IF($A17="","",IF(COUNTIF($A$2:$A17,$A17)&gt;1,"Duplicate","Unique"))</f>
        <v>Unique</v>
      </c>
      <c r="V17" s="5">
        <f>IF($A17="","",IF(AND($U17="Unique",ISNUMBER($P17)),1,0))</f>
        <v>1</v>
      </c>
      <c r="W17" s="5" t="str">
        <f>IF($A17="","",IF(OR($H17=0,$H17=6),"Weekend","Weekday"))</f>
        <v>Weekend</v>
      </c>
      <c r="X17" s="5" t="str">
        <f>IF($A17="","",TEXT($B17,"ddd"))</f>
        <v>Sat</v>
      </c>
      <c r="Y17" s="5" t="str">
        <f>IF($A17="","",TEXT($B17,"mmm"))</f>
        <v>Jan</v>
      </c>
      <c r="Z17" s="5" t="str">
        <f>IF($A17="","",IFERROR(VLOOKUP($C17,Lookups!$D$4:$E$7,2,FALSE),"Unknown"))</f>
        <v>Winter</v>
      </c>
      <c r="AA17" s="5" t="str">
        <f>IF($A17="","",IFERROR(VLOOKUP($I17,Lookups!$A$4:$B$7,2,FALSE),"Unknown"))</f>
        <v>Mist/Cloudy</v>
      </c>
      <c r="AB17" s="5" t="str">
        <f>IF($A17="","",TEXT($F17,"00")&amp;":00")</f>
        <v>15:00</v>
      </c>
      <c r="AC17" s="5" t="str">
        <f>IF($A17="","",VLOOKUP($F17,Lookups!$G$4:$H$8,2,TRUE))</f>
        <v>Midday (10-15)</v>
      </c>
      <c r="AD17" s="18">
        <f>IF($A17="","",IF($J17="","",ROUND($J17*41,1)))</f>
        <v>18</v>
      </c>
      <c r="AE17" s="18">
        <f>IF($A17="","",IF($R17="","",ROUND($R17*50,1)))</f>
        <v>22</v>
      </c>
      <c r="AF17" s="5">
        <f>IF($A17="","",IF($L17="","",ROUND($L17*100,0)))</f>
        <v>77</v>
      </c>
      <c r="AG17" s="18">
        <f>IF($A17="","",IF($M17="","",ROUND($M17*67,1)))</f>
        <v>20</v>
      </c>
      <c r="AH17" s="19">
        <f>IF($A17="","",IF($P17="","",IF($P17=0,0,$O17/$P17)))</f>
        <v>0.636363636363636</v>
      </c>
      <c r="AI17" s="5" t="str">
        <f>IF($A17="","",IF($P17="","",IF($P17&gt;=Lookups!$K$7,"High",IF($P17&lt;=Lookups!$K$8,"Low","Medium"))))</f>
        <v>High</v>
      </c>
      <c r="AJ17" s="5" t="str">
        <f>IF($A17="","",IF($AD17="","",IF($AD17&lt;5,"Under 5 C",IF($AD17&lt;10,"5-10 C",IF($AD17&lt;15,"10-15 C","15 C and above")))))</f>
        <v>15 C and above</v>
      </c>
      <c r="AK17" s="5">
        <f>IF($A17="","",IF($P17="","",$P17^2))</f>
        <v>12100</v>
      </c>
      <c r="AL17" s="18">
        <f>IF($V17&lt;&gt;1,"",AVERAGEIFS(Clean_Data!$P$2:$P$1001,Clean_Data!$F$2:$F$1001,$F17,Clean_Data!$W$2:$W$1001,$W17,Clean_Data!$V$2:$V$1001,1))</f>
        <v>112.071428571429</v>
      </c>
      <c r="AM17" s="16">
        <f>IF($V17&lt;&gt;1,"",IFERROR(($P17-$AL17)/SQRT(MAX(0,(SUMIFS(Clean_Data!$AK$2:$AK$1001,Clean_Data!$F$2:$F$1001,$F17,Clean_Data!$W$2:$W$1001,$W17,Clean_Data!$V$2:$V$1001,1)-COUNTIFS(Clean_Data!$F$2:$F$1001,$F17,Clean_Data!$W$2:$W$1001,$W17,Clean_Data!$V$2:$V$1001,1)*$AL17^2)/(COUNTIFS(Clean_Data!$F$2:$F$1001,$F17,Clean_Data!$W$2:$W$1001,$W17,Clean_Data!$V$2:$V$1001,1)-1))),""))</f>
        <v>-0.0536093890015524</v>
      </c>
      <c r="AN17" s="5" t="str">
        <f>IF($AM17="","",IF($AM17&gt;=Lookups!$K$6,"High spike",IF($AM17&lt;=-Lookups!$K$6,"Unusual low","Normal")))</f>
        <v>Normal</v>
      </c>
      <c r="AO17" s="20">
        <f>IF($V17&lt;&gt;1,"",$P17+ROW()/100000)</f>
        <v>110.00017</v>
      </c>
      <c r="AP17" s="5">
        <f>IF($A17="","",IFERROR(MATCH($A17,Raw_D1!$A$2:$A$1001,0),""))</f>
        <v>16</v>
      </c>
      <c r="AQ17" s="5">
        <f>IF($A17="","",IFERROR(MATCH($A17,Raw_D2!$B$2:$B$1001,0),""))</f>
        <v>16</v>
      </c>
      <c r="AR17" s="5">
        <f>IF($A17="","",IFERROR(MATCH($A17,Raw_D3!$A$2:$A$1001,0),""))</f>
        <v/>
      </c>
    </row>
    <row r="18" spans="1:44" x14ac:dyDescent="0.25">
      <c r="A18" s="5">
        <v>17</v>
      </c>
      <c r="B18" s="11">
        <f>IF($A18="","",IF($AP18&lt;&gt;"",INDEX(Raw_D1!$B$2:$B$1001,$AP18),IF($AR18&lt;&gt;"",INDEX(Raw_D3!$B$2:$B$1001,$AR18),"")))</f>
        <v>40544.0</v>
      </c>
      <c r="C18" s="5">
        <f>IF($A18="","",IF($AP18&lt;&gt;"",INDEX(Raw_D1!$C$2:$C$1001,$AP18),IF($AR18&lt;&gt;"",INDEX(Raw_D3!$C$2:$C$1001,$AR18),"")))</f>
        <v>1</v>
      </c>
      <c r="D18" s="5">
        <f>IF($A18="","",IF($AP18&lt;&gt;"",INDEX(Raw_D1!$D$2:$D$1001,$AP18),IF($AR18&lt;&gt;"",INDEX(Raw_D3!$D$2:$D$1001,$AR18),"")))</f>
        <v>0</v>
      </c>
      <c r="E18" s="5">
        <f>IF($A18="","",IF($AP18&lt;&gt;"",INDEX(Raw_D1!$E$2:$E$1001,$AP18),IF($AR18&lt;&gt;"",INDEX(Raw_D3!$E$2:$E$1001,$AR18),"")))</f>
        <v>1</v>
      </c>
      <c r="F18" s="5">
        <f>IF($A18="","",IF($AP18&lt;&gt;"",INDEX(Raw_D1!$F$2:$F$1001,$AP18),IF($AR18&lt;&gt;"",INDEX(Raw_D3!$F$2:$F$1001,$AR18),"")))</f>
        <v>16</v>
      </c>
      <c r="G18" s="5">
        <f>IF($A18="","",IF($AP18&lt;&gt;"",IF(INDEX(Raw_D1!$G$2:$G$1001,$AP18),1,0),IF($AR18&lt;&gt;"",IF(INDEX(Raw_D3!$G$2:$G$1001,$AR18),1,0),"")))</f>
        <v>0</v>
      </c>
      <c r="H18" s="5">
        <f>IF($A18="","",IF($AP18&lt;&gt;"",INDEX(Raw_D1!$H$2:$H$1001,$AP18),IF($AR18&lt;&gt;"",INDEX(Raw_D3!$H$2:$H$1001,$AR18),"")))</f>
        <v>6</v>
      </c>
      <c r="I18" s="5">
        <f>IF($A18="","",IF($AP18&lt;&gt;"",INDEX(Raw_D1!$I$2:$I$1001,$AP18),IF($AR18&lt;&gt;"",INDEX(Raw_D3!$I$2:$I$1001,$AR18),"")))</f>
        <v>2</v>
      </c>
      <c r="J18" s="16">
        <f>IF($A18="","",IF($AP18&lt;&gt;"",INDEX(Raw_D1!$J$2:$J$1001,$AP18),IF($AR18&lt;&gt;"",INDEX(Raw_D3!$J$2:$J$1001,$AR18),"")))</f>
        <v>0.42</v>
      </c>
      <c r="K18" s="17">
        <f>IF($A18="","",IF($AQ18&lt;&gt;"",IF(INDEX(Raw_D2!$C$2:$C$1001,$AQ18)="","",INDEX(Raw_D2!$C$2:$C$1001,$AQ18)),IF($AR18&lt;&gt;"",IF(INDEX(Raw_D3!$K$2:$K$1001,$AR18)="","",INDEX(Raw_D3!$K$2:$K$1001,$AR18)),"")))</f>
        <v>0.4242</v>
      </c>
      <c r="L18" s="16">
        <f>IF($A18="","",IF($AQ18&lt;&gt;"",IF(INDEX(Raw_D2!$D$2:$D$1001,$AQ18)="","",INDEX(Raw_D2!$D$2:$D$1001,$AQ18)),IF($AR18&lt;&gt;"",IF(INDEX(Raw_D3!$L$2:$L$1001,$AR18)="","",INDEX(Raw_D3!$L$2:$L$1001,$AR18)),"")))</f>
        <v>0.82</v>
      </c>
      <c r="M18" s="17">
        <f>IF($A18="","",IF($AQ18&lt;&gt;"",IF(INDEX(Raw_D2!$E$2:$E$1001,$AQ18)="","",INDEX(Raw_D2!$E$2:$E$1001,$AQ18)),IF($AR18&lt;&gt;"",IF(INDEX(Raw_D3!$M$2:$M$1001,$AR18)="","",INDEX(Raw_D3!$M$2:$M$1001,$AR18)),"")))</f>
        <v>0.2985</v>
      </c>
      <c r="N18" s="5">
        <f>IF($A18="","",IF($AQ18&lt;&gt;"",IF(INDEX(Raw_D2!$F$2:$F$1001,$AQ18)="","",INDEX(Raw_D2!$F$2:$F$1001,$AQ18)),IF($AR18&lt;&gt;"",IF(INDEX(Raw_D3!$N$2:$N$1001,$AR18)="","",INDEX(Raw_D3!$N$2:$N$1001,$AR18)),"")))</f>
        <v>41</v>
      </c>
      <c r="O18" s="5">
        <f>IF($A18="","",IF($AQ18&lt;&gt;"",IF(INDEX(Raw_D2!$G$2:$G$1001,$AQ18)="","",INDEX(Raw_D2!$G$2:$G$1001,$AQ18)),IF($AR18&lt;&gt;"",IF(INDEX(Raw_D3!$O$2:$O$1001,$AR18)="","",INDEX(Raw_D3!$O$2:$O$1001,$AR18)),"")))</f>
        <v>52</v>
      </c>
      <c r="P18" s="5">
        <f>IF($A18="","",IF($AQ18&lt;&gt;"",IF(INDEX(Raw_D2!$H$2:$H$1001,$AQ18)="","",INDEX(Raw_D2!$H$2:$H$1001,$AQ18)),IF($AR18&lt;&gt;"",IF(INDEX(Raw_D3!$P$2:$P$1001,$AR18)="","",INDEX(Raw_D3!$P$2:$P$1001,$AR18)),"")))</f>
        <v>93</v>
      </c>
      <c r="Q18" s="5" t="str">
        <f>IF($A18="","",IF(AND($AP18&lt;&gt;"",$AQ18&lt;&gt;""),"D1+D2",IF($AR18&lt;&gt;"","D3","Incomplete")))</f>
        <v>D1+D2</v>
      </c>
      <c r="R18" s="17">
        <f>IF($A18="","",IF($K18="",IF($J18="","",ROUND(Lookups!$K$5+Lookups!$K$4*$J18,4)),$K18))</f>
        <v>0.4242</v>
      </c>
      <c r="S18" s="5" t="str">
        <f>IF($A18="","",IF($K18="","Imputed","Original"))</f>
        <v>Original</v>
      </c>
      <c r="T18" s="5" t="str">
        <f>IF($A18="","",IF($P18="","Missing",IF($P18=$N18+$O18,"OK","Mismatch")))</f>
        <v>OK</v>
      </c>
      <c r="U18" s="5" t="str">
        <f>IF($A18="","",IF(COUNTIF($A$2:$A18,$A18)&gt;1,"Duplicate","Unique"))</f>
        <v>Unique</v>
      </c>
      <c r="V18" s="5">
        <f>IF($A18="","",IF(AND($U18="Unique",ISNUMBER($P18)),1,0))</f>
        <v>1</v>
      </c>
      <c r="W18" s="5" t="str">
        <f>IF($A18="","",IF(OR($H18=0,$H18=6),"Weekend","Weekday"))</f>
        <v>Weekend</v>
      </c>
      <c r="X18" s="5" t="str">
        <f>IF($A18="","",TEXT($B18,"ddd"))</f>
        <v>Sat</v>
      </c>
      <c r="Y18" s="5" t="str">
        <f>IF($A18="","",TEXT($B18,"mmm"))</f>
        <v>Jan</v>
      </c>
      <c r="Z18" s="5" t="str">
        <f>IF($A18="","",IFERROR(VLOOKUP($C18,Lookups!$D$4:$E$7,2,FALSE),"Unknown"))</f>
        <v>Winter</v>
      </c>
      <c r="AA18" s="5" t="str">
        <f>IF($A18="","",IFERROR(VLOOKUP($I18,Lookups!$A$4:$B$7,2,FALSE),"Unknown"))</f>
        <v>Mist/Cloudy</v>
      </c>
      <c r="AB18" s="5" t="str">
        <f>IF($A18="","",TEXT($F18,"00")&amp;":00")</f>
        <v>16:00</v>
      </c>
      <c r="AC18" s="5" t="str">
        <f>IF($A18="","",VLOOKUP($F18,Lookups!$G$4:$H$8,2,TRUE))</f>
        <v>Evening Peak (16-19)</v>
      </c>
      <c r="AD18" s="18">
        <f>IF($A18="","",IF($J18="","",ROUND($J18*41,1)))</f>
        <v>17.2</v>
      </c>
      <c r="AE18" s="18">
        <f>IF($A18="","",IF($R18="","",ROUND($R18*50,1)))</f>
        <v>21.2</v>
      </c>
      <c r="AF18" s="5">
        <f>IF($A18="","",IF($L18="","",ROUND($L18*100,0)))</f>
        <v>82</v>
      </c>
      <c r="AG18" s="18">
        <f>IF($A18="","",IF($M18="","",ROUND($M18*67,1)))</f>
        <v>20</v>
      </c>
      <c r="AH18" s="19">
        <f>IF($A18="","",IF($P18="","",IF($P18=0,0,$O18/$P18)))</f>
        <v>0.559139784946237</v>
      </c>
      <c r="AI18" s="5" t="str">
        <f>IF($A18="","",IF($P18="","",IF($P18&gt;=Lookups!$K$7,"High",IF($P18&lt;=Lookups!$K$8,"Low","Medium"))))</f>
        <v>High</v>
      </c>
      <c r="AJ18" s="5" t="str">
        <f>IF($A18="","",IF($AD18="","",IF($AD18&lt;5,"Under 5 C",IF($AD18&lt;10,"5-10 C",IF($AD18&lt;15,"10-15 C","15 C and above")))))</f>
        <v>15 C and above</v>
      </c>
      <c r="AK18" s="5">
        <f>IF($A18="","",IF($P18="","",$P18^2))</f>
        <v>8649</v>
      </c>
      <c r="AL18" s="18">
        <f>IF($V18&lt;&gt;1,"",AVERAGEIFS(Clean_Data!$P$2:$P$1001,Clean_Data!$F$2:$F$1001,$F18,Clean_Data!$W$2:$W$1001,$W18,Clean_Data!$V$2:$V$1001,1))</f>
        <v>103.5</v>
      </c>
      <c r="AM18" s="16">
        <f>IF($V18&lt;&gt;1,"",IFERROR(($P18-$AL18)/SQRT(MAX(0,(SUMIFS(Clean_Data!$AK$2:$AK$1001,Clean_Data!$F$2:$F$1001,$F18,Clean_Data!$W$2:$W$1001,$W18,Clean_Data!$V$2:$V$1001,1)-COUNTIFS(Clean_Data!$F$2:$F$1001,$F18,Clean_Data!$W$2:$W$1001,$W18,Clean_Data!$V$2:$V$1001,1)*$AL18^2)/(COUNTIFS(Clean_Data!$F$2:$F$1001,$F18,Clean_Data!$W$2:$W$1001,$W18,Clean_Data!$V$2:$V$1001,1)-1))),""))</f>
        <v>-0.357066283147637</v>
      </c>
      <c r="AN18" s="5" t="str">
        <f>IF($AM18="","",IF($AM18&gt;=Lookups!$K$6,"High spike",IF($AM18&lt;=-Lookups!$K$6,"Unusual low","Normal")))</f>
        <v>Normal</v>
      </c>
      <c r="AO18" s="20">
        <f>IF($V18&lt;&gt;1,"",$P18+ROW()/100000)</f>
        <v>93.00018</v>
      </c>
      <c r="AP18" s="5">
        <f>IF($A18="","",IFERROR(MATCH($A18,Raw_D1!$A$2:$A$1001,0),""))</f>
        <v>17</v>
      </c>
      <c r="AQ18" s="5">
        <f>IF($A18="","",IFERROR(MATCH($A18,Raw_D2!$B$2:$B$1001,0),""))</f>
        <v>17</v>
      </c>
      <c r="AR18" s="5">
        <f>IF($A18="","",IFERROR(MATCH($A18,Raw_D3!$A$2:$A$1001,0),""))</f>
        <v/>
      </c>
    </row>
    <row r="19" spans="1:44" x14ac:dyDescent="0.25">
      <c r="A19" s="5">
        <v>18</v>
      </c>
      <c r="B19" s="11">
        <f>IF($A19="","",IF($AP19&lt;&gt;"",INDEX(Raw_D1!$B$2:$B$1001,$AP19),IF($AR19&lt;&gt;"",INDEX(Raw_D3!$B$2:$B$1001,$AR19),"")))</f>
        <v>40544.0</v>
      </c>
      <c r="C19" s="5">
        <f>IF($A19="","",IF($AP19&lt;&gt;"",INDEX(Raw_D1!$C$2:$C$1001,$AP19),IF($AR19&lt;&gt;"",INDEX(Raw_D3!$C$2:$C$1001,$AR19),"")))</f>
        <v>1</v>
      </c>
      <c r="D19" s="5">
        <f>IF($A19="","",IF($AP19&lt;&gt;"",INDEX(Raw_D1!$D$2:$D$1001,$AP19),IF($AR19&lt;&gt;"",INDEX(Raw_D3!$D$2:$D$1001,$AR19),"")))</f>
        <v>0</v>
      </c>
      <c r="E19" s="5">
        <f>IF($A19="","",IF($AP19&lt;&gt;"",INDEX(Raw_D1!$E$2:$E$1001,$AP19),IF($AR19&lt;&gt;"",INDEX(Raw_D3!$E$2:$E$1001,$AR19),"")))</f>
        <v>1</v>
      </c>
      <c r="F19" s="5">
        <f>IF($A19="","",IF($AP19&lt;&gt;"",INDEX(Raw_D1!$F$2:$F$1001,$AP19),IF($AR19&lt;&gt;"",INDEX(Raw_D3!$F$2:$F$1001,$AR19),"")))</f>
        <v>17</v>
      </c>
      <c r="G19" s="5">
        <f>IF($A19="","",IF($AP19&lt;&gt;"",IF(INDEX(Raw_D1!$G$2:$G$1001,$AP19),1,0),IF($AR19&lt;&gt;"",IF(INDEX(Raw_D3!$G$2:$G$1001,$AR19),1,0),"")))</f>
        <v>0</v>
      </c>
      <c r="H19" s="5">
        <f>IF($A19="","",IF($AP19&lt;&gt;"",INDEX(Raw_D1!$H$2:$H$1001,$AP19),IF($AR19&lt;&gt;"",INDEX(Raw_D3!$H$2:$H$1001,$AR19),"")))</f>
        <v>6</v>
      </c>
      <c r="I19" s="5">
        <f>IF($A19="","",IF($AP19&lt;&gt;"",INDEX(Raw_D1!$I$2:$I$1001,$AP19),IF($AR19&lt;&gt;"",INDEX(Raw_D3!$I$2:$I$1001,$AR19),"")))</f>
        <v>2</v>
      </c>
      <c r="J19" s="16">
        <f>IF($A19="","",IF($AP19&lt;&gt;"",INDEX(Raw_D1!$J$2:$J$1001,$AP19),IF($AR19&lt;&gt;"",INDEX(Raw_D3!$J$2:$J$1001,$AR19),"")))</f>
        <v>0.44</v>
      </c>
      <c r="K19" s="17">
        <f>IF($A19="","",IF($AQ19&lt;&gt;"",IF(INDEX(Raw_D2!$C$2:$C$1001,$AQ19)="","",INDEX(Raw_D2!$C$2:$C$1001,$AQ19)),IF($AR19&lt;&gt;"",IF(INDEX(Raw_D3!$K$2:$K$1001,$AR19)="","",INDEX(Raw_D3!$K$2:$K$1001,$AR19)),"")))</f>
        <v/>
      </c>
      <c r="L19" s="16">
        <f>IF($A19="","",IF($AQ19&lt;&gt;"",IF(INDEX(Raw_D2!$D$2:$D$1001,$AQ19)="","",INDEX(Raw_D2!$D$2:$D$1001,$AQ19)),IF($AR19&lt;&gt;"",IF(INDEX(Raw_D3!$L$2:$L$1001,$AR19)="","",INDEX(Raw_D3!$L$2:$L$1001,$AR19)),"")))</f>
        <v>0.82</v>
      </c>
      <c r="M19" s="17">
        <f>IF($A19="","",IF($AQ19&lt;&gt;"",IF(INDEX(Raw_D2!$E$2:$E$1001,$AQ19)="","",INDEX(Raw_D2!$E$2:$E$1001,$AQ19)),IF($AR19&lt;&gt;"",IF(INDEX(Raw_D3!$M$2:$M$1001,$AR19)="","",INDEX(Raw_D3!$M$2:$M$1001,$AR19)),"")))</f>
        <v>0.2836</v>
      </c>
      <c r="N19" s="5">
        <f>IF($A19="","",IF($AQ19&lt;&gt;"",IF(INDEX(Raw_D2!$F$2:$F$1001,$AQ19)="","",INDEX(Raw_D2!$F$2:$F$1001,$AQ19)),IF($AR19&lt;&gt;"",IF(INDEX(Raw_D3!$N$2:$N$1001,$AR19)="","",INDEX(Raw_D3!$N$2:$N$1001,$AR19)),"")))</f>
        <v>15</v>
      </c>
      <c r="O19" s="5">
        <f>IF($A19="","",IF($AQ19&lt;&gt;"",IF(INDEX(Raw_D2!$G$2:$G$1001,$AQ19)="","",INDEX(Raw_D2!$G$2:$G$1001,$AQ19)),IF($AR19&lt;&gt;"",IF(INDEX(Raw_D3!$O$2:$O$1001,$AR19)="","",INDEX(Raw_D3!$O$2:$O$1001,$AR19)),"")))</f>
        <v>52</v>
      </c>
      <c r="P19" s="5">
        <f>IF($A19="","",IF($AQ19&lt;&gt;"",IF(INDEX(Raw_D2!$H$2:$H$1001,$AQ19)="","",INDEX(Raw_D2!$H$2:$H$1001,$AQ19)),IF($AR19&lt;&gt;"",IF(INDEX(Raw_D3!$P$2:$P$1001,$AR19)="","",INDEX(Raw_D3!$P$2:$P$1001,$AR19)),"")))</f>
        <v>67</v>
      </c>
      <c r="Q19" s="5" t="str">
        <f>IF($A19="","",IF(AND($AP19&lt;&gt;"",$AQ19&lt;&gt;""),"D1+D2",IF($AR19&lt;&gt;"","D3","Incomplete")))</f>
        <v>D1+D2</v>
      </c>
      <c r="R19" s="17">
        <f>IF($A19="","",IF($K19="",IF($J19="","",ROUND(Lookups!$K$5+Lookups!$K$4*$J19,4)),$K19))</f>
        <v>0.4281</v>
      </c>
      <c r="S19" s="5" t="str">
        <f>IF($A19="","",IF($K19="","Imputed","Original"))</f>
        <v>Imputed</v>
      </c>
      <c r="T19" s="5" t="str">
        <f>IF($A19="","",IF($P19="","Missing",IF($P19=$N19+$O19,"OK","Mismatch")))</f>
        <v>OK</v>
      </c>
      <c r="U19" s="5" t="str">
        <f>IF($A19="","",IF(COUNTIF($A$2:$A19,$A19)&gt;1,"Duplicate","Unique"))</f>
        <v>Unique</v>
      </c>
      <c r="V19" s="5">
        <f>IF($A19="","",IF(AND($U19="Unique",ISNUMBER($P19)),1,0))</f>
        <v>1</v>
      </c>
      <c r="W19" s="5" t="str">
        <f>IF($A19="","",IF(OR($H19=0,$H19=6),"Weekend","Weekday"))</f>
        <v>Weekend</v>
      </c>
      <c r="X19" s="5" t="str">
        <f>IF($A19="","",TEXT($B19,"ddd"))</f>
        <v>Sat</v>
      </c>
      <c r="Y19" s="5" t="str">
        <f>IF($A19="","",TEXT($B19,"mmm"))</f>
        <v>Jan</v>
      </c>
      <c r="Z19" s="5" t="str">
        <f>IF($A19="","",IFERROR(VLOOKUP($C19,Lookups!$D$4:$E$7,2,FALSE),"Unknown"))</f>
        <v>Winter</v>
      </c>
      <c r="AA19" s="5" t="str">
        <f>IF($A19="","",IFERROR(VLOOKUP($I19,Lookups!$A$4:$B$7,2,FALSE),"Unknown"))</f>
        <v>Mist/Cloudy</v>
      </c>
      <c r="AB19" s="5" t="str">
        <f>IF($A19="","",TEXT($F19,"00")&amp;":00")</f>
        <v>17:00</v>
      </c>
      <c r="AC19" s="5" t="str">
        <f>IF($A19="","",VLOOKUP($F19,Lookups!$G$4:$H$8,2,TRUE))</f>
        <v>Evening Peak (16-19)</v>
      </c>
      <c r="AD19" s="18">
        <f>IF($A19="","",IF($J19="","",ROUND($J19*41,1)))</f>
        <v>18</v>
      </c>
      <c r="AE19" s="18">
        <f>IF($A19="","",IF($R19="","",ROUND($R19*50,1)))</f>
        <v>21.4</v>
      </c>
      <c r="AF19" s="5">
        <f>IF($A19="","",IF($L19="","",ROUND($L19*100,0)))</f>
        <v>82</v>
      </c>
      <c r="AG19" s="18">
        <f>IF($A19="","",IF($M19="","",ROUND($M19*67,1)))</f>
        <v>19</v>
      </c>
      <c r="AH19" s="19">
        <f>IF($A19="","",IF($P19="","",IF($P19=0,0,$O19/$P19)))</f>
        <v>0.776119402985075</v>
      </c>
      <c r="AI19" s="5" t="str">
        <f>IF($A19="","",IF($P19="","",IF($P19&gt;=Lookups!$K$7,"High",IF($P19&lt;=Lookups!$K$8,"Low","Medium"))))</f>
        <v>Medium</v>
      </c>
      <c r="AJ19" s="5" t="str">
        <f>IF($A19="","",IF($AD19="","",IF($AD19&lt;5,"Under 5 C",IF($AD19&lt;10,"5-10 C",IF($AD19&lt;15,"10-15 C","15 C and above")))))</f>
        <v>15 C and above</v>
      </c>
      <c r="AK19" s="5">
        <f>IF($A19="","",IF($P19="","",$P19^2))</f>
        <v>4489</v>
      </c>
      <c r="AL19" s="18">
        <f>IF($V19&lt;&gt;1,"",AVERAGEIFS(Clean_Data!$P$2:$P$1001,Clean_Data!$F$2:$F$1001,$F19,Clean_Data!$W$2:$W$1001,$W19,Clean_Data!$V$2:$V$1001,1))</f>
        <v>85.8571428571429</v>
      </c>
      <c r="AM19" s="16">
        <f>IF($V19&lt;&gt;1,"",IFERROR(($P19-$AL19)/SQRT(MAX(0,(SUMIFS(Clean_Data!$AK$2:$AK$1001,Clean_Data!$F$2:$F$1001,$F19,Clean_Data!$W$2:$W$1001,$W19,Clean_Data!$V$2:$V$1001,1)-COUNTIFS(Clean_Data!$F$2:$F$1001,$F19,Clean_Data!$W$2:$W$1001,$W19,Clean_Data!$V$2:$V$1001,1)*$AL19^2)/(COUNTIFS(Clean_Data!$F$2:$F$1001,$F19,Clean_Data!$W$2:$W$1001,$W19,Clean_Data!$V$2:$V$1001,1)-1))),""))</f>
        <v>-0.721682061766472</v>
      </c>
      <c r="AN19" s="5" t="str">
        <f>IF($AM19="","",IF($AM19&gt;=Lookups!$K$6,"High spike",IF($AM19&lt;=-Lookups!$K$6,"Unusual low","Normal")))</f>
        <v>Normal</v>
      </c>
      <c r="AO19" s="20">
        <f>IF($V19&lt;&gt;1,"",$P19+ROW()/100000)</f>
        <v>67.00019</v>
      </c>
      <c r="AP19" s="5">
        <f>IF($A19="","",IFERROR(MATCH($A19,Raw_D1!$A$2:$A$1001,0),""))</f>
        <v>18</v>
      </c>
      <c r="AQ19" s="5">
        <f>IF($A19="","",IFERROR(MATCH($A19,Raw_D2!$B$2:$B$1001,0),""))</f>
        <v>18</v>
      </c>
      <c r="AR19" s="5">
        <f>IF($A19="","",IFERROR(MATCH($A19,Raw_D3!$A$2:$A$1001,0),""))</f>
        <v/>
      </c>
    </row>
    <row r="20" spans="1:44" x14ac:dyDescent="0.25">
      <c r="A20" s="5">
        <v>19</v>
      </c>
      <c r="B20" s="11">
        <f>IF($A20="","",IF($AP20&lt;&gt;"",INDEX(Raw_D1!$B$2:$B$1001,$AP20),IF($AR20&lt;&gt;"",INDEX(Raw_D3!$B$2:$B$1001,$AR20),"")))</f>
        <v>40544.0</v>
      </c>
      <c r="C20" s="5">
        <f>IF($A20="","",IF($AP20&lt;&gt;"",INDEX(Raw_D1!$C$2:$C$1001,$AP20),IF($AR20&lt;&gt;"",INDEX(Raw_D3!$C$2:$C$1001,$AR20),"")))</f>
        <v>1</v>
      </c>
      <c r="D20" s="5">
        <f>IF($A20="","",IF($AP20&lt;&gt;"",INDEX(Raw_D1!$D$2:$D$1001,$AP20),IF($AR20&lt;&gt;"",INDEX(Raw_D3!$D$2:$D$1001,$AR20),"")))</f>
        <v>0</v>
      </c>
      <c r="E20" s="5">
        <f>IF($A20="","",IF($AP20&lt;&gt;"",INDEX(Raw_D1!$E$2:$E$1001,$AP20),IF($AR20&lt;&gt;"",INDEX(Raw_D3!$E$2:$E$1001,$AR20),"")))</f>
        <v>1</v>
      </c>
      <c r="F20" s="5">
        <f>IF($A20="","",IF($AP20&lt;&gt;"",INDEX(Raw_D1!$F$2:$F$1001,$AP20),IF($AR20&lt;&gt;"",INDEX(Raw_D3!$F$2:$F$1001,$AR20),"")))</f>
        <v>18</v>
      </c>
      <c r="G20" s="5">
        <f>IF($A20="","",IF($AP20&lt;&gt;"",IF(INDEX(Raw_D1!$G$2:$G$1001,$AP20),1,0),IF($AR20&lt;&gt;"",IF(INDEX(Raw_D3!$G$2:$G$1001,$AR20),1,0),"")))</f>
        <v>0</v>
      </c>
      <c r="H20" s="5">
        <f>IF($A20="","",IF($AP20&lt;&gt;"",INDEX(Raw_D1!$H$2:$H$1001,$AP20),IF($AR20&lt;&gt;"",INDEX(Raw_D3!$H$2:$H$1001,$AR20),"")))</f>
        <v>6</v>
      </c>
      <c r="I20" s="5">
        <f>IF($A20="","",IF($AP20&lt;&gt;"",INDEX(Raw_D1!$I$2:$I$1001,$AP20),IF($AR20&lt;&gt;"",INDEX(Raw_D3!$I$2:$I$1001,$AR20),"")))</f>
        <v>3</v>
      </c>
      <c r="J20" s="16">
        <f>IF($A20="","",IF($AP20&lt;&gt;"",INDEX(Raw_D1!$J$2:$J$1001,$AP20),IF($AR20&lt;&gt;"",INDEX(Raw_D3!$J$2:$J$1001,$AR20),"")))</f>
        <v>0.42</v>
      </c>
      <c r="K20" s="17">
        <f>IF($A20="","",IF($AQ20&lt;&gt;"",IF(INDEX(Raw_D2!$C$2:$C$1001,$AQ20)="","",INDEX(Raw_D2!$C$2:$C$1001,$AQ20)),IF($AR20&lt;&gt;"",IF(INDEX(Raw_D3!$K$2:$K$1001,$AR20)="","",INDEX(Raw_D3!$K$2:$K$1001,$AR20)),"")))</f>
        <v>0.4242</v>
      </c>
      <c r="L20" s="16">
        <f>IF($A20="","",IF($AQ20&lt;&gt;"",IF(INDEX(Raw_D2!$D$2:$D$1001,$AQ20)="","",INDEX(Raw_D2!$D$2:$D$1001,$AQ20)),IF($AR20&lt;&gt;"",IF(INDEX(Raw_D3!$L$2:$L$1001,$AR20)="","",INDEX(Raw_D3!$L$2:$L$1001,$AR20)),"")))</f>
        <v>0.88</v>
      </c>
      <c r="M20" s="17">
        <f>IF($A20="","",IF($AQ20&lt;&gt;"",IF(INDEX(Raw_D2!$E$2:$E$1001,$AQ20)="","",INDEX(Raw_D2!$E$2:$E$1001,$AQ20)),IF($AR20&lt;&gt;"",IF(INDEX(Raw_D3!$M$2:$M$1001,$AR20)="","",INDEX(Raw_D3!$M$2:$M$1001,$AR20)),"")))</f>
        <v>0.2537</v>
      </c>
      <c r="N20" s="5">
        <f>IF($A20="","",IF($AQ20&lt;&gt;"",IF(INDEX(Raw_D2!$F$2:$F$1001,$AQ20)="","",INDEX(Raw_D2!$F$2:$F$1001,$AQ20)),IF($AR20&lt;&gt;"",IF(INDEX(Raw_D3!$N$2:$N$1001,$AR20)="","",INDEX(Raw_D3!$N$2:$N$1001,$AR20)),"")))</f>
        <v>9</v>
      </c>
      <c r="O20" s="5">
        <f>IF($A20="","",IF($AQ20&lt;&gt;"",IF(INDEX(Raw_D2!$G$2:$G$1001,$AQ20)="","",INDEX(Raw_D2!$G$2:$G$1001,$AQ20)),IF($AR20&lt;&gt;"",IF(INDEX(Raw_D3!$O$2:$O$1001,$AR20)="","",INDEX(Raw_D3!$O$2:$O$1001,$AR20)),"")))</f>
        <v>26</v>
      </c>
      <c r="P20" s="5">
        <f>IF($A20="","",IF($AQ20&lt;&gt;"",IF(INDEX(Raw_D2!$H$2:$H$1001,$AQ20)="","",INDEX(Raw_D2!$H$2:$H$1001,$AQ20)),IF($AR20&lt;&gt;"",IF(INDEX(Raw_D3!$P$2:$P$1001,$AR20)="","",INDEX(Raw_D3!$P$2:$P$1001,$AR20)),"")))</f>
        <v>35</v>
      </c>
      <c r="Q20" s="5" t="str">
        <f>IF($A20="","",IF(AND($AP20&lt;&gt;"",$AQ20&lt;&gt;""),"D1+D2",IF($AR20&lt;&gt;"","D3","Incomplete")))</f>
        <v>D1+D2</v>
      </c>
      <c r="R20" s="17">
        <f>IF($A20="","",IF($K20="",IF($J20="","",ROUND(Lookups!$K$5+Lookups!$K$4*$J20,4)),$K20))</f>
        <v>0.4242</v>
      </c>
      <c r="S20" s="5" t="str">
        <f>IF($A20="","",IF($K20="","Imputed","Original"))</f>
        <v>Original</v>
      </c>
      <c r="T20" s="5" t="str">
        <f>IF($A20="","",IF($P20="","Missing",IF($P20=$N20+$O20,"OK","Mismatch")))</f>
        <v>OK</v>
      </c>
      <c r="U20" s="5" t="str">
        <f>IF($A20="","",IF(COUNTIF($A$2:$A20,$A20)&gt;1,"Duplicate","Unique"))</f>
        <v>Unique</v>
      </c>
      <c r="V20" s="5">
        <f>IF($A20="","",IF(AND($U20="Unique",ISNUMBER($P20)),1,0))</f>
        <v>1</v>
      </c>
      <c r="W20" s="5" t="str">
        <f>IF($A20="","",IF(OR($H20=0,$H20=6),"Weekend","Weekday"))</f>
        <v>Weekend</v>
      </c>
      <c r="X20" s="5" t="str">
        <f>IF($A20="","",TEXT($B20,"ddd"))</f>
        <v>Sat</v>
      </c>
      <c r="Y20" s="5" t="str">
        <f>IF($A20="","",TEXT($B20,"mmm"))</f>
        <v>Jan</v>
      </c>
      <c r="Z20" s="5" t="str">
        <f>IF($A20="","",IFERROR(VLOOKUP($C20,Lookups!$D$4:$E$7,2,FALSE),"Unknown"))</f>
        <v>Winter</v>
      </c>
      <c r="AA20" s="5" t="str">
        <f>IF($A20="","",IFERROR(VLOOKUP($I20,Lookups!$A$4:$B$7,2,FALSE),"Unknown"))</f>
        <v>Light Rain/Snow</v>
      </c>
      <c r="AB20" s="5" t="str">
        <f>IF($A20="","",TEXT($F20,"00")&amp;":00")</f>
        <v>18:00</v>
      </c>
      <c r="AC20" s="5" t="str">
        <f>IF($A20="","",VLOOKUP($F20,Lookups!$G$4:$H$8,2,TRUE))</f>
        <v>Evening Peak (16-19)</v>
      </c>
      <c r="AD20" s="18">
        <f>IF($A20="","",IF($J20="","",ROUND($J20*41,1)))</f>
        <v>17.2</v>
      </c>
      <c r="AE20" s="18">
        <f>IF($A20="","",IF($R20="","",ROUND($R20*50,1)))</f>
        <v>21.2</v>
      </c>
      <c r="AF20" s="5">
        <f>IF($A20="","",IF($L20="","",ROUND($L20*100,0)))</f>
        <v>88</v>
      </c>
      <c r="AG20" s="18">
        <f>IF($A20="","",IF($M20="","",ROUND($M20*67,1)))</f>
        <v>17</v>
      </c>
      <c r="AH20" s="19">
        <f>IF($A20="","",IF($P20="","",IF($P20=0,0,$O20/$P20)))</f>
        <v>0.742857142857143</v>
      </c>
      <c r="AI20" s="5" t="str">
        <f>IF($A20="","",IF($P20="","",IF($P20&gt;=Lookups!$K$7,"High",IF($P20&lt;=Lookups!$K$8,"Low","Medium"))))</f>
        <v>Medium</v>
      </c>
      <c r="AJ20" s="5" t="str">
        <f>IF($A20="","",IF($AD20="","",IF($AD20&lt;5,"Under 5 C",IF($AD20&lt;10,"5-10 C",IF($AD20&lt;15,"10-15 C","15 C and above")))))</f>
        <v>15 C and above</v>
      </c>
      <c r="AK20" s="5">
        <f>IF($A20="","",IF($P20="","",$P20^2))</f>
        <v>1225</v>
      </c>
      <c r="AL20" s="18">
        <f>IF($V20&lt;&gt;1,"",AVERAGEIFS(Clean_Data!$P$2:$P$1001,Clean_Data!$F$2:$F$1001,$F20,Clean_Data!$W$2:$W$1001,$W20,Clean_Data!$V$2:$V$1001,1))</f>
        <v>64.1428571428571</v>
      </c>
      <c r="AM20" s="16">
        <f>IF($V20&lt;&gt;1,"",IFERROR(($P20-$AL20)/SQRT(MAX(0,(SUMIFS(Clean_Data!$AK$2:$AK$1001,Clean_Data!$F$2:$F$1001,$F20,Clean_Data!$W$2:$W$1001,$W20,Clean_Data!$V$2:$V$1001,1)-COUNTIFS(Clean_Data!$F$2:$F$1001,$F20,Clean_Data!$W$2:$W$1001,$W20,Clean_Data!$V$2:$V$1001,1)*$AL20^2)/(COUNTIFS(Clean_Data!$F$2:$F$1001,$F20,Clean_Data!$W$2:$W$1001,$W20,Clean_Data!$V$2:$V$1001,1)-1))),""))</f>
        <v>-1.75917388742305</v>
      </c>
      <c r="AN20" s="5" t="str">
        <f>IF($AM20="","",IF($AM20&gt;=Lookups!$K$6,"High spike",IF($AM20&lt;=-Lookups!$K$6,"Unusual low","Normal")))</f>
        <v>Normal</v>
      </c>
      <c r="AO20" s="20">
        <f>IF($V20&lt;&gt;1,"",$P20+ROW()/100000)</f>
        <v>35.0002</v>
      </c>
      <c r="AP20" s="5">
        <f>IF($A20="","",IFERROR(MATCH($A20,Raw_D1!$A$2:$A$1001,0),""))</f>
        <v>19</v>
      </c>
      <c r="AQ20" s="5">
        <f>IF($A20="","",IFERROR(MATCH($A20,Raw_D2!$B$2:$B$1001,0),""))</f>
        <v>19</v>
      </c>
      <c r="AR20" s="5">
        <f>IF($A20="","",IFERROR(MATCH($A20,Raw_D3!$A$2:$A$1001,0),""))</f>
        <v/>
      </c>
    </row>
    <row r="21" spans="1:44" x14ac:dyDescent="0.25">
      <c r="A21" s="5">
        <v>20</v>
      </c>
      <c r="B21" s="11">
        <f>IF($A21="","",IF($AP21&lt;&gt;"",INDEX(Raw_D1!$B$2:$B$1001,$AP21),IF($AR21&lt;&gt;"",INDEX(Raw_D3!$B$2:$B$1001,$AR21),"")))</f>
        <v>40544.0</v>
      </c>
      <c r="C21" s="5">
        <f>IF($A21="","",IF($AP21&lt;&gt;"",INDEX(Raw_D1!$C$2:$C$1001,$AP21),IF($AR21&lt;&gt;"",INDEX(Raw_D3!$C$2:$C$1001,$AR21),"")))</f>
        <v>1</v>
      </c>
      <c r="D21" s="5">
        <f>IF($A21="","",IF($AP21&lt;&gt;"",INDEX(Raw_D1!$D$2:$D$1001,$AP21),IF($AR21&lt;&gt;"",INDEX(Raw_D3!$D$2:$D$1001,$AR21),"")))</f>
        <v>0</v>
      </c>
      <c r="E21" s="5">
        <f>IF($A21="","",IF($AP21&lt;&gt;"",INDEX(Raw_D1!$E$2:$E$1001,$AP21),IF($AR21&lt;&gt;"",INDEX(Raw_D3!$E$2:$E$1001,$AR21),"")))</f>
        <v>1</v>
      </c>
      <c r="F21" s="5">
        <f>IF($A21="","",IF($AP21&lt;&gt;"",INDEX(Raw_D1!$F$2:$F$1001,$AP21),IF($AR21&lt;&gt;"",INDEX(Raw_D3!$F$2:$F$1001,$AR21),"")))</f>
        <v>19</v>
      </c>
      <c r="G21" s="5">
        <f>IF($A21="","",IF($AP21&lt;&gt;"",IF(INDEX(Raw_D1!$G$2:$G$1001,$AP21),1,0),IF($AR21&lt;&gt;"",IF(INDEX(Raw_D3!$G$2:$G$1001,$AR21),1,0),"")))</f>
        <v>0</v>
      </c>
      <c r="H21" s="5">
        <f>IF($A21="","",IF($AP21&lt;&gt;"",INDEX(Raw_D1!$H$2:$H$1001,$AP21),IF($AR21&lt;&gt;"",INDEX(Raw_D3!$H$2:$H$1001,$AR21),"")))</f>
        <v>6</v>
      </c>
      <c r="I21" s="5">
        <f>IF($A21="","",IF($AP21&lt;&gt;"",INDEX(Raw_D1!$I$2:$I$1001,$AP21),IF($AR21&lt;&gt;"",INDEX(Raw_D3!$I$2:$I$1001,$AR21),"")))</f>
        <v>3</v>
      </c>
      <c r="J21" s="16">
        <f>IF($A21="","",IF($AP21&lt;&gt;"",INDEX(Raw_D1!$J$2:$J$1001,$AP21),IF($AR21&lt;&gt;"",INDEX(Raw_D3!$J$2:$J$1001,$AR21),"")))</f>
        <v>0.42</v>
      </c>
      <c r="K21" s="17">
        <f>IF($A21="","",IF($AQ21&lt;&gt;"",IF(INDEX(Raw_D2!$C$2:$C$1001,$AQ21)="","",INDEX(Raw_D2!$C$2:$C$1001,$AQ21)),IF($AR21&lt;&gt;"",IF(INDEX(Raw_D3!$K$2:$K$1001,$AR21)="","",INDEX(Raw_D3!$K$2:$K$1001,$AR21)),"")))</f>
        <v>0.4242</v>
      </c>
      <c r="L21" s="16">
        <f>IF($A21="","",IF($AQ21&lt;&gt;"",IF(INDEX(Raw_D2!$D$2:$D$1001,$AQ21)="","",INDEX(Raw_D2!$D$2:$D$1001,$AQ21)),IF($AR21&lt;&gt;"",IF(INDEX(Raw_D3!$L$2:$L$1001,$AR21)="","",INDEX(Raw_D3!$L$2:$L$1001,$AR21)),"")))</f>
        <v>0.88</v>
      </c>
      <c r="M21" s="17">
        <f>IF($A21="","",IF($AQ21&lt;&gt;"",IF(INDEX(Raw_D2!$E$2:$E$1001,$AQ21)="","",INDEX(Raw_D2!$E$2:$E$1001,$AQ21)),IF($AR21&lt;&gt;"",IF(INDEX(Raw_D3!$M$2:$M$1001,$AR21)="","",INDEX(Raw_D3!$M$2:$M$1001,$AR21)),"")))</f>
        <v>0.2537</v>
      </c>
      <c r="N21" s="5">
        <f>IF($A21="","",IF($AQ21&lt;&gt;"",IF(INDEX(Raw_D2!$F$2:$F$1001,$AQ21)="","",INDEX(Raw_D2!$F$2:$F$1001,$AQ21)),IF($AR21&lt;&gt;"",IF(INDEX(Raw_D3!$N$2:$N$1001,$AR21)="","",INDEX(Raw_D3!$N$2:$N$1001,$AR21)),"")))</f>
        <v>6</v>
      </c>
      <c r="O21" s="5">
        <f>IF($A21="","",IF($AQ21&lt;&gt;"",IF(INDEX(Raw_D2!$G$2:$G$1001,$AQ21)="","",INDEX(Raw_D2!$G$2:$G$1001,$AQ21)),IF($AR21&lt;&gt;"",IF(INDEX(Raw_D3!$O$2:$O$1001,$AR21)="","",INDEX(Raw_D3!$O$2:$O$1001,$AR21)),"")))</f>
        <v>31</v>
      </c>
      <c r="P21" s="5">
        <f>IF($A21="","",IF($AQ21&lt;&gt;"",IF(INDEX(Raw_D2!$H$2:$H$1001,$AQ21)="","",INDEX(Raw_D2!$H$2:$H$1001,$AQ21)),IF($AR21&lt;&gt;"",IF(INDEX(Raw_D3!$P$2:$P$1001,$AR21)="","",INDEX(Raw_D3!$P$2:$P$1001,$AR21)),"")))</f>
        <v>37</v>
      </c>
      <c r="Q21" s="5" t="str">
        <f>IF($A21="","",IF(AND($AP21&lt;&gt;"",$AQ21&lt;&gt;""),"D1+D2",IF($AR21&lt;&gt;"","D3","Incomplete")))</f>
        <v>D1+D2</v>
      </c>
      <c r="R21" s="17">
        <f>IF($A21="","",IF($K21="",IF($J21="","",ROUND(Lookups!$K$5+Lookups!$K$4*$J21,4)),$K21))</f>
        <v>0.4242</v>
      </c>
      <c r="S21" s="5" t="str">
        <f>IF($A21="","",IF($K21="","Imputed","Original"))</f>
        <v>Original</v>
      </c>
      <c r="T21" s="5" t="str">
        <f>IF($A21="","",IF($P21="","Missing",IF($P21=$N21+$O21,"OK","Mismatch")))</f>
        <v>OK</v>
      </c>
      <c r="U21" s="5" t="str">
        <f>IF($A21="","",IF(COUNTIF($A$2:$A21,$A21)&gt;1,"Duplicate","Unique"))</f>
        <v>Unique</v>
      </c>
      <c r="V21" s="5">
        <f>IF($A21="","",IF(AND($U21="Unique",ISNUMBER($P21)),1,0))</f>
        <v>1</v>
      </c>
      <c r="W21" s="5" t="str">
        <f>IF($A21="","",IF(OR($H21=0,$H21=6),"Weekend","Weekday"))</f>
        <v>Weekend</v>
      </c>
      <c r="X21" s="5" t="str">
        <f>IF($A21="","",TEXT($B21,"ddd"))</f>
        <v>Sat</v>
      </c>
      <c r="Y21" s="5" t="str">
        <f>IF($A21="","",TEXT($B21,"mmm"))</f>
        <v>Jan</v>
      </c>
      <c r="Z21" s="5" t="str">
        <f>IF($A21="","",IFERROR(VLOOKUP($C21,Lookups!$D$4:$E$7,2,FALSE),"Unknown"))</f>
        <v>Winter</v>
      </c>
      <c r="AA21" s="5" t="str">
        <f>IF($A21="","",IFERROR(VLOOKUP($I21,Lookups!$A$4:$B$7,2,FALSE),"Unknown"))</f>
        <v>Light Rain/Snow</v>
      </c>
      <c r="AB21" s="5" t="str">
        <f>IF($A21="","",TEXT($F21,"00")&amp;":00")</f>
        <v>19:00</v>
      </c>
      <c r="AC21" s="5" t="str">
        <f>IF($A21="","",VLOOKUP($F21,Lookups!$G$4:$H$8,2,TRUE))</f>
        <v>Evening Peak (16-19)</v>
      </c>
      <c r="AD21" s="18">
        <f>IF($A21="","",IF($J21="","",ROUND($J21*41,1)))</f>
        <v>17.2</v>
      </c>
      <c r="AE21" s="18">
        <f>IF($A21="","",IF($R21="","",ROUND($R21*50,1)))</f>
        <v>21.2</v>
      </c>
      <c r="AF21" s="5">
        <f>IF($A21="","",IF($L21="","",ROUND($L21*100,0)))</f>
        <v>88</v>
      </c>
      <c r="AG21" s="18">
        <f>IF($A21="","",IF($M21="","",ROUND($M21*67,1)))</f>
        <v>17</v>
      </c>
      <c r="AH21" s="19">
        <f>IF($A21="","",IF($P21="","",IF($P21=0,0,$O21/$P21)))</f>
        <v>0.837837837837838</v>
      </c>
      <c r="AI21" s="5" t="str">
        <f>IF($A21="","",IF($P21="","",IF($P21&gt;=Lookups!$K$7,"High",IF($P21&lt;=Lookups!$K$8,"Low","Medium"))))</f>
        <v>Medium</v>
      </c>
      <c r="AJ21" s="5" t="str">
        <f>IF($A21="","",IF($AD21="","",IF($AD21&lt;5,"Under 5 C",IF($AD21&lt;10,"5-10 C",IF($AD21&lt;15,"10-15 C","15 C and above")))))</f>
        <v>15 C and above</v>
      </c>
      <c r="AK21" s="5">
        <f>IF($A21="","",IF($P21="","",$P21^2))</f>
        <v>1369</v>
      </c>
      <c r="AL21" s="18">
        <f>IF($V21&lt;&gt;1,"",AVERAGEIFS(Clean_Data!$P$2:$P$1001,Clean_Data!$F$2:$F$1001,$F21,Clean_Data!$W$2:$W$1001,$W21,Clean_Data!$V$2:$V$1001,1))</f>
        <v>50.1428571428571</v>
      </c>
      <c r="AM21" s="16">
        <f>IF($V21&lt;&gt;1,"",IFERROR(($P21-$AL21)/SQRT(MAX(0,(SUMIFS(Clean_Data!$AK$2:$AK$1001,Clean_Data!$F$2:$F$1001,$F21,Clean_Data!$W$2:$W$1001,$W21,Clean_Data!$V$2:$V$1001,1)-COUNTIFS(Clean_Data!$F$2:$F$1001,$F21,Clean_Data!$W$2:$W$1001,$W21,Clean_Data!$V$2:$V$1001,1)*$AL21^2)/(COUNTIFS(Clean_Data!$F$2:$F$1001,$F21,Clean_Data!$W$2:$W$1001,$W21,Clean_Data!$V$2:$V$1001,1)-1))),""))</f>
        <v>-0.738650258843234</v>
      </c>
      <c r="AN21" s="5" t="str">
        <f>IF($AM21="","",IF($AM21&gt;=Lookups!$K$6,"High spike",IF($AM21&lt;=-Lookups!$K$6,"Unusual low","Normal")))</f>
        <v>Normal</v>
      </c>
      <c r="AO21" s="20">
        <f>IF($V21&lt;&gt;1,"",$P21+ROW()/100000)</f>
        <v>37.00021</v>
      </c>
      <c r="AP21" s="5">
        <f>IF($A21="","",IFERROR(MATCH($A21,Raw_D1!$A$2:$A$1001,0),""))</f>
        <v>20</v>
      </c>
      <c r="AQ21" s="5">
        <f>IF($A21="","",IFERROR(MATCH($A21,Raw_D2!$B$2:$B$1001,0),""))</f>
        <v>20</v>
      </c>
      <c r="AR21" s="5">
        <f>IF($A21="","",IFERROR(MATCH($A21,Raw_D3!$A$2:$A$1001,0),""))</f>
        <v/>
      </c>
    </row>
    <row r="22" spans="1:44" x14ac:dyDescent="0.25">
      <c r="A22" s="5">
        <v>21</v>
      </c>
      <c r="B22" s="11">
        <f>IF($A22="","",IF($AP22&lt;&gt;"",INDEX(Raw_D1!$B$2:$B$1001,$AP22),IF($AR22&lt;&gt;"",INDEX(Raw_D3!$B$2:$B$1001,$AR22),"")))</f>
        <v>40544.0</v>
      </c>
      <c r="C22" s="5">
        <f>IF($A22="","",IF($AP22&lt;&gt;"",INDEX(Raw_D1!$C$2:$C$1001,$AP22),IF($AR22&lt;&gt;"",INDEX(Raw_D3!$C$2:$C$1001,$AR22),"")))</f>
        <v>1</v>
      </c>
      <c r="D22" s="5">
        <f>IF($A22="","",IF($AP22&lt;&gt;"",INDEX(Raw_D1!$D$2:$D$1001,$AP22),IF($AR22&lt;&gt;"",INDEX(Raw_D3!$D$2:$D$1001,$AR22),"")))</f>
        <v>0</v>
      </c>
      <c r="E22" s="5">
        <f>IF($A22="","",IF($AP22&lt;&gt;"",INDEX(Raw_D1!$E$2:$E$1001,$AP22),IF($AR22&lt;&gt;"",INDEX(Raw_D3!$E$2:$E$1001,$AR22),"")))</f>
        <v>1</v>
      </c>
      <c r="F22" s="5">
        <f>IF($A22="","",IF($AP22&lt;&gt;"",INDEX(Raw_D1!$F$2:$F$1001,$AP22),IF($AR22&lt;&gt;"",INDEX(Raw_D3!$F$2:$F$1001,$AR22),"")))</f>
        <v>20</v>
      </c>
      <c r="G22" s="5">
        <f>IF($A22="","",IF($AP22&lt;&gt;"",IF(INDEX(Raw_D1!$G$2:$G$1001,$AP22),1,0),IF($AR22&lt;&gt;"",IF(INDEX(Raw_D3!$G$2:$G$1001,$AR22),1,0),"")))</f>
        <v>0</v>
      </c>
      <c r="H22" s="5">
        <f>IF($A22="","",IF($AP22&lt;&gt;"",INDEX(Raw_D1!$H$2:$H$1001,$AP22),IF($AR22&lt;&gt;"",INDEX(Raw_D3!$H$2:$H$1001,$AR22),"")))</f>
        <v>6</v>
      </c>
      <c r="I22" s="5">
        <f>IF($A22="","",IF($AP22&lt;&gt;"",INDEX(Raw_D1!$I$2:$I$1001,$AP22),IF($AR22&lt;&gt;"",INDEX(Raw_D3!$I$2:$I$1001,$AR22),"")))</f>
        <v>2</v>
      </c>
      <c r="J22" s="16">
        <f>IF($A22="","",IF($AP22&lt;&gt;"",INDEX(Raw_D1!$J$2:$J$1001,$AP22),IF($AR22&lt;&gt;"",INDEX(Raw_D3!$J$2:$J$1001,$AR22),"")))</f>
        <v>0.4</v>
      </c>
      <c r="K22" s="17">
        <f>IF($A22="","",IF($AQ22&lt;&gt;"",IF(INDEX(Raw_D2!$C$2:$C$1001,$AQ22)="","",INDEX(Raw_D2!$C$2:$C$1001,$AQ22)),IF($AR22&lt;&gt;"",IF(INDEX(Raw_D3!$K$2:$K$1001,$AR22)="","",INDEX(Raw_D3!$K$2:$K$1001,$AR22)),"")))</f>
        <v>0.4091</v>
      </c>
      <c r="L22" s="16">
        <f>IF($A22="","",IF($AQ22&lt;&gt;"",IF(INDEX(Raw_D2!$D$2:$D$1001,$AQ22)="","",INDEX(Raw_D2!$D$2:$D$1001,$AQ22)),IF($AR22&lt;&gt;"",IF(INDEX(Raw_D3!$L$2:$L$1001,$AR22)="","",INDEX(Raw_D3!$L$2:$L$1001,$AR22)),"")))</f>
        <v>0.87</v>
      </c>
      <c r="M22" s="17">
        <f>IF($A22="","",IF($AQ22&lt;&gt;"",IF(INDEX(Raw_D2!$E$2:$E$1001,$AQ22)="","",INDEX(Raw_D2!$E$2:$E$1001,$AQ22)),IF($AR22&lt;&gt;"",IF(INDEX(Raw_D3!$M$2:$M$1001,$AR22)="","",INDEX(Raw_D3!$M$2:$M$1001,$AR22)),"")))</f>
        <v>0.2537</v>
      </c>
      <c r="N22" s="5">
        <f>IF($A22="","",IF($AQ22&lt;&gt;"",IF(INDEX(Raw_D2!$F$2:$F$1001,$AQ22)="","",INDEX(Raw_D2!$F$2:$F$1001,$AQ22)),IF($AR22&lt;&gt;"",IF(INDEX(Raw_D3!$N$2:$N$1001,$AR22)="","",INDEX(Raw_D3!$N$2:$N$1001,$AR22)),"")))</f>
        <v>11</v>
      </c>
      <c r="O22" s="5">
        <f>IF($A22="","",IF($AQ22&lt;&gt;"",IF(INDEX(Raw_D2!$G$2:$G$1001,$AQ22)="","",INDEX(Raw_D2!$G$2:$G$1001,$AQ22)),IF($AR22&lt;&gt;"",IF(INDEX(Raw_D3!$O$2:$O$1001,$AR22)="","",INDEX(Raw_D3!$O$2:$O$1001,$AR22)),"")))</f>
        <v>25</v>
      </c>
      <c r="P22" s="5">
        <f>IF($A22="","",IF($AQ22&lt;&gt;"",IF(INDEX(Raw_D2!$H$2:$H$1001,$AQ22)="","",INDEX(Raw_D2!$H$2:$H$1001,$AQ22)),IF($AR22&lt;&gt;"",IF(INDEX(Raw_D3!$P$2:$P$1001,$AR22)="","",INDEX(Raw_D3!$P$2:$P$1001,$AR22)),"")))</f>
        <v>36</v>
      </c>
      <c r="Q22" s="5" t="str">
        <f>IF($A22="","",IF(AND($AP22&lt;&gt;"",$AQ22&lt;&gt;""),"D1+D2",IF($AR22&lt;&gt;"","D3","Incomplete")))</f>
        <v>D1+D2</v>
      </c>
      <c r="R22" s="17">
        <f>IF($A22="","",IF($K22="",IF($J22="","",ROUND(Lookups!$K$5+Lookups!$K$4*$J22,4)),$K22))</f>
        <v>0.4091</v>
      </c>
      <c r="S22" s="5" t="str">
        <f>IF($A22="","",IF($K22="","Imputed","Original"))</f>
        <v>Original</v>
      </c>
      <c r="T22" s="5" t="str">
        <f>IF($A22="","",IF($P22="","Missing",IF($P22=$N22+$O22,"OK","Mismatch")))</f>
        <v>OK</v>
      </c>
      <c r="U22" s="5" t="str">
        <f>IF($A22="","",IF(COUNTIF($A$2:$A22,$A22)&gt;1,"Duplicate","Unique"))</f>
        <v>Unique</v>
      </c>
      <c r="V22" s="5">
        <f>IF($A22="","",IF(AND($U22="Unique",ISNUMBER($P22)),1,0))</f>
        <v>1</v>
      </c>
      <c r="W22" s="5" t="str">
        <f>IF($A22="","",IF(OR($H22=0,$H22=6),"Weekend","Weekday"))</f>
        <v>Weekend</v>
      </c>
      <c r="X22" s="5" t="str">
        <f>IF($A22="","",TEXT($B22,"ddd"))</f>
        <v>Sat</v>
      </c>
      <c r="Y22" s="5" t="str">
        <f>IF($A22="","",TEXT($B22,"mmm"))</f>
        <v>Jan</v>
      </c>
      <c r="Z22" s="5" t="str">
        <f>IF($A22="","",IFERROR(VLOOKUP($C22,Lookups!$D$4:$E$7,2,FALSE),"Unknown"))</f>
        <v>Winter</v>
      </c>
      <c r="AA22" s="5" t="str">
        <f>IF($A22="","",IFERROR(VLOOKUP($I22,Lookups!$A$4:$B$7,2,FALSE),"Unknown"))</f>
        <v>Mist/Cloudy</v>
      </c>
      <c r="AB22" s="5" t="str">
        <f>IF($A22="","",TEXT($F22,"00")&amp;":00")</f>
        <v>20:00</v>
      </c>
      <c r="AC22" s="5" t="str">
        <f>IF($A22="","",VLOOKUP($F22,Lookups!$G$4:$H$8,2,TRUE))</f>
        <v>Late Evening (20-23)</v>
      </c>
      <c r="AD22" s="18">
        <f>IF($A22="","",IF($J22="","",ROUND($J22*41,1)))</f>
        <v>16.4</v>
      </c>
      <c r="AE22" s="18">
        <f>IF($A22="","",IF($R22="","",ROUND($R22*50,1)))</f>
        <v>20.5</v>
      </c>
      <c r="AF22" s="5">
        <f>IF($A22="","",IF($L22="","",ROUND($L22*100,0)))</f>
        <v>87</v>
      </c>
      <c r="AG22" s="18">
        <f>IF($A22="","",IF($M22="","",ROUND($M22*67,1)))</f>
        <v>17</v>
      </c>
      <c r="AH22" s="19">
        <f>IF($A22="","",IF($P22="","",IF($P22=0,0,$O22/$P22)))</f>
        <v>0.694444444444444</v>
      </c>
      <c r="AI22" s="5" t="str">
        <f>IF($A22="","",IF($P22="","",IF($P22&gt;=Lookups!$K$7,"High",IF($P22&lt;=Lookups!$K$8,"Low","Medium"))))</f>
        <v>Medium</v>
      </c>
      <c r="AJ22" s="5" t="str">
        <f>IF($A22="","",IF($AD22="","",IF($AD22&lt;5,"Under 5 C",IF($AD22&lt;10,"5-10 C",IF($AD22&lt;15,"10-15 C","15 C and above")))))</f>
        <v>15 C and above</v>
      </c>
      <c r="AK22" s="5">
        <f>IF($A22="","",IF($P22="","",$P22^2))</f>
        <v>1296</v>
      </c>
      <c r="AL22" s="18">
        <f>IF($V22&lt;&gt;1,"",AVERAGEIFS(Clean_Data!$P$2:$P$1001,Clean_Data!$F$2:$F$1001,$F22,Clean_Data!$W$2:$W$1001,$W22,Clean_Data!$V$2:$V$1001,1))</f>
        <v>40</v>
      </c>
      <c r="AM22" s="16">
        <f>IF($V22&lt;&gt;1,"",IFERROR(($P22-$AL22)/SQRT(MAX(0,(SUMIFS(Clean_Data!$AK$2:$AK$1001,Clean_Data!$F$2:$F$1001,$F22,Clean_Data!$W$2:$W$1001,$W22,Clean_Data!$V$2:$V$1001,1)-COUNTIFS(Clean_Data!$F$2:$F$1001,$F22,Clean_Data!$W$2:$W$1001,$W22,Clean_Data!$V$2:$V$1001,1)*$AL22^2)/(COUNTIFS(Clean_Data!$F$2:$F$1001,$F22,Clean_Data!$W$2:$W$1001,$W22,Clean_Data!$V$2:$V$1001,1)-1))),""))</f>
        <v>-0.324771725105484</v>
      </c>
      <c r="AN22" s="5" t="str">
        <f>IF($AM22="","",IF($AM22&gt;=Lookups!$K$6,"High spike",IF($AM22&lt;=-Lookups!$K$6,"Unusual low","Normal")))</f>
        <v>Normal</v>
      </c>
      <c r="AO22" s="20">
        <f>IF($V22&lt;&gt;1,"",$P22+ROW()/100000)</f>
        <v>36.00022</v>
      </c>
      <c r="AP22" s="5">
        <f>IF($A22="","",IFERROR(MATCH($A22,Raw_D1!$A$2:$A$1001,0),""))</f>
        <v>21</v>
      </c>
      <c r="AQ22" s="5">
        <f>IF($A22="","",IFERROR(MATCH($A22,Raw_D2!$B$2:$B$1001,0),""))</f>
        <v>21</v>
      </c>
      <c r="AR22" s="5">
        <f>IF($A22="","",IFERROR(MATCH($A22,Raw_D3!$A$2:$A$1001,0),""))</f>
        <v/>
      </c>
    </row>
    <row r="23" spans="1:44" x14ac:dyDescent="0.25">
      <c r="A23" s="5">
        <v>22</v>
      </c>
      <c r="B23" s="11">
        <f>IF($A23="","",IF($AP23&lt;&gt;"",INDEX(Raw_D1!$B$2:$B$1001,$AP23),IF($AR23&lt;&gt;"",INDEX(Raw_D3!$B$2:$B$1001,$AR23),"")))</f>
        <v>40544.0</v>
      </c>
      <c r="C23" s="5">
        <f>IF($A23="","",IF($AP23&lt;&gt;"",INDEX(Raw_D1!$C$2:$C$1001,$AP23),IF($AR23&lt;&gt;"",INDEX(Raw_D3!$C$2:$C$1001,$AR23),"")))</f>
        <v>1</v>
      </c>
      <c r="D23" s="5">
        <f>IF($A23="","",IF($AP23&lt;&gt;"",INDEX(Raw_D1!$D$2:$D$1001,$AP23),IF($AR23&lt;&gt;"",INDEX(Raw_D3!$D$2:$D$1001,$AR23),"")))</f>
        <v>0</v>
      </c>
      <c r="E23" s="5">
        <f>IF($A23="","",IF($AP23&lt;&gt;"",INDEX(Raw_D1!$E$2:$E$1001,$AP23),IF($AR23&lt;&gt;"",INDEX(Raw_D3!$E$2:$E$1001,$AR23),"")))</f>
        <v>1</v>
      </c>
      <c r="F23" s="5">
        <f>IF($A23="","",IF($AP23&lt;&gt;"",INDEX(Raw_D1!$F$2:$F$1001,$AP23),IF($AR23&lt;&gt;"",INDEX(Raw_D3!$F$2:$F$1001,$AR23),"")))</f>
        <v>21</v>
      </c>
      <c r="G23" s="5">
        <f>IF($A23="","",IF($AP23&lt;&gt;"",IF(INDEX(Raw_D1!$G$2:$G$1001,$AP23),1,0),IF($AR23&lt;&gt;"",IF(INDEX(Raw_D3!$G$2:$G$1001,$AR23),1,0),"")))</f>
        <v>0</v>
      </c>
      <c r="H23" s="5">
        <f>IF($A23="","",IF($AP23&lt;&gt;"",INDEX(Raw_D1!$H$2:$H$1001,$AP23),IF($AR23&lt;&gt;"",INDEX(Raw_D3!$H$2:$H$1001,$AR23),"")))</f>
        <v>6</v>
      </c>
      <c r="I23" s="5">
        <f>IF($A23="","",IF($AP23&lt;&gt;"",INDEX(Raw_D1!$I$2:$I$1001,$AP23),IF($AR23&lt;&gt;"",INDEX(Raw_D3!$I$2:$I$1001,$AR23),"")))</f>
        <v>2</v>
      </c>
      <c r="J23" s="16">
        <f>IF($A23="","",IF($AP23&lt;&gt;"",INDEX(Raw_D1!$J$2:$J$1001,$AP23),IF($AR23&lt;&gt;"",INDEX(Raw_D3!$J$2:$J$1001,$AR23),"")))</f>
        <v>0.4</v>
      </c>
      <c r="K23" s="17">
        <f>IF($A23="","",IF($AQ23&lt;&gt;"",IF(INDEX(Raw_D2!$C$2:$C$1001,$AQ23)="","",INDEX(Raw_D2!$C$2:$C$1001,$AQ23)),IF($AR23&lt;&gt;"",IF(INDEX(Raw_D3!$K$2:$K$1001,$AR23)="","",INDEX(Raw_D3!$K$2:$K$1001,$AR23)),"")))</f>
        <v>0.4091</v>
      </c>
      <c r="L23" s="16">
        <f>IF($A23="","",IF($AQ23&lt;&gt;"",IF(INDEX(Raw_D2!$D$2:$D$1001,$AQ23)="","",INDEX(Raw_D2!$D$2:$D$1001,$AQ23)),IF($AR23&lt;&gt;"",IF(INDEX(Raw_D3!$L$2:$L$1001,$AR23)="","",INDEX(Raw_D3!$L$2:$L$1001,$AR23)),"")))</f>
        <v>0.87</v>
      </c>
      <c r="M23" s="17">
        <f>IF($A23="","",IF($AQ23&lt;&gt;"",IF(INDEX(Raw_D2!$E$2:$E$1001,$AQ23)="","",INDEX(Raw_D2!$E$2:$E$1001,$AQ23)),IF($AR23&lt;&gt;"",IF(INDEX(Raw_D3!$M$2:$M$1001,$AR23)="","",INDEX(Raw_D3!$M$2:$M$1001,$AR23)),"")))</f>
        <v>0.194</v>
      </c>
      <c r="N23" s="5">
        <f>IF($A23="","",IF($AQ23&lt;&gt;"",IF(INDEX(Raw_D2!$F$2:$F$1001,$AQ23)="","",INDEX(Raw_D2!$F$2:$F$1001,$AQ23)),IF($AR23&lt;&gt;"",IF(INDEX(Raw_D3!$N$2:$N$1001,$AR23)="","",INDEX(Raw_D3!$N$2:$N$1001,$AR23)),"")))</f>
        <v>3</v>
      </c>
      <c r="O23" s="5">
        <f>IF($A23="","",IF($AQ23&lt;&gt;"",IF(INDEX(Raw_D2!$G$2:$G$1001,$AQ23)="","",INDEX(Raw_D2!$G$2:$G$1001,$AQ23)),IF($AR23&lt;&gt;"",IF(INDEX(Raw_D3!$O$2:$O$1001,$AR23)="","",INDEX(Raw_D3!$O$2:$O$1001,$AR23)),"")))</f>
        <v>31</v>
      </c>
      <c r="P23" s="5">
        <f>IF($A23="","",IF($AQ23&lt;&gt;"",IF(INDEX(Raw_D2!$H$2:$H$1001,$AQ23)="","",INDEX(Raw_D2!$H$2:$H$1001,$AQ23)),IF($AR23&lt;&gt;"",IF(INDEX(Raw_D3!$P$2:$P$1001,$AR23)="","",INDEX(Raw_D3!$P$2:$P$1001,$AR23)),"")))</f>
        <v>34</v>
      </c>
      <c r="Q23" s="5" t="str">
        <f>IF($A23="","",IF(AND($AP23&lt;&gt;"",$AQ23&lt;&gt;""),"D1+D2",IF($AR23&lt;&gt;"","D3","Incomplete")))</f>
        <v>D1+D2</v>
      </c>
      <c r="R23" s="17">
        <f>IF($A23="","",IF($K23="",IF($J23="","",ROUND(Lookups!$K$5+Lookups!$K$4*$J23,4)),$K23))</f>
        <v>0.4091</v>
      </c>
      <c r="S23" s="5" t="str">
        <f>IF($A23="","",IF($K23="","Imputed","Original"))</f>
        <v>Original</v>
      </c>
      <c r="T23" s="5" t="str">
        <f>IF($A23="","",IF($P23="","Missing",IF($P23=$N23+$O23,"OK","Mismatch")))</f>
        <v>OK</v>
      </c>
      <c r="U23" s="5" t="str">
        <f>IF($A23="","",IF(COUNTIF($A$2:$A23,$A23)&gt;1,"Duplicate","Unique"))</f>
        <v>Unique</v>
      </c>
      <c r="V23" s="5">
        <f>IF($A23="","",IF(AND($U23="Unique",ISNUMBER($P23)),1,0))</f>
        <v>1</v>
      </c>
      <c r="W23" s="5" t="str">
        <f>IF($A23="","",IF(OR($H23=0,$H23=6),"Weekend","Weekday"))</f>
        <v>Weekend</v>
      </c>
      <c r="X23" s="5" t="str">
        <f>IF($A23="","",TEXT($B23,"ddd"))</f>
        <v>Sat</v>
      </c>
      <c r="Y23" s="5" t="str">
        <f>IF($A23="","",TEXT($B23,"mmm"))</f>
        <v>Jan</v>
      </c>
      <c r="Z23" s="5" t="str">
        <f>IF($A23="","",IFERROR(VLOOKUP($C23,Lookups!$D$4:$E$7,2,FALSE),"Unknown"))</f>
        <v>Winter</v>
      </c>
      <c r="AA23" s="5" t="str">
        <f>IF($A23="","",IFERROR(VLOOKUP($I23,Lookups!$A$4:$B$7,2,FALSE),"Unknown"))</f>
        <v>Mist/Cloudy</v>
      </c>
      <c r="AB23" s="5" t="str">
        <f>IF($A23="","",TEXT($F23,"00")&amp;":00")</f>
        <v>21:00</v>
      </c>
      <c r="AC23" s="5" t="str">
        <f>IF($A23="","",VLOOKUP($F23,Lookups!$G$4:$H$8,2,TRUE))</f>
        <v>Late Evening (20-23)</v>
      </c>
      <c r="AD23" s="18">
        <f>IF($A23="","",IF($J23="","",ROUND($J23*41,1)))</f>
        <v>16.4</v>
      </c>
      <c r="AE23" s="18">
        <f>IF($A23="","",IF($R23="","",ROUND($R23*50,1)))</f>
        <v>20.5</v>
      </c>
      <c r="AF23" s="5">
        <f>IF($A23="","",IF($L23="","",ROUND($L23*100,0)))</f>
        <v>87</v>
      </c>
      <c r="AG23" s="18">
        <f>IF($A23="","",IF($M23="","",ROUND($M23*67,1)))</f>
        <v>13</v>
      </c>
      <c r="AH23" s="19">
        <f>IF($A23="","",IF($P23="","",IF($P23=0,0,$O23/$P23)))</f>
        <v>0.911764705882353</v>
      </c>
      <c r="AI23" s="5" t="str">
        <f>IF($A23="","",IF($P23="","",IF($P23&gt;=Lookups!$K$7,"High",IF($P23&lt;=Lookups!$K$8,"Low","Medium"))))</f>
        <v>Medium</v>
      </c>
      <c r="AJ23" s="5" t="str">
        <f>IF($A23="","",IF($AD23="","",IF($AD23&lt;5,"Under 5 C",IF($AD23&lt;10,"5-10 C",IF($AD23&lt;15,"10-15 C","15 C and above")))))</f>
        <v>15 C and above</v>
      </c>
      <c r="AK23" s="5">
        <f>IF($A23="","",IF($P23="","",$P23^2))</f>
        <v>1156</v>
      </c>
      <c r="AL23" s="18">
        <f>IF($V23&lt;&gt;1,"",AVERAGEIFS(Clean_Data!$P$2:$P$1001,Clean_Data!$F$2:$F$1001,$F23,Clean_Data!$W$2:$W$1001,$W23,Clean_Data!$V$2:$V$1001,1))</f>
        <v>37.1428571428571</v>
      </c>
      <c r="AM23" s="16">
        <f>IF($V23&lt;&gt;1,"",IFERROR(($P23-$AL23)/SQRT(MAX(0,(SUMIFS(Clean_Data!$AK$2:$AK$1001,Clean_Data!$F$2:$F$1001,$F23,Clean_Data!$W$2:$W$1001,$W23,Clean_Data!$V$2:$V$1001,1)-COUNTIFS(Clean_Data!$F$2:$F$1001,$F23,Clean_Data!$W$2:$W$1001,$W23,Clean_Data!$V$2:$V$1001,1)*$AL23^2)/(COUNTIFS(Clean_Data!$F$2:$F$1001,$F23,Clean_Data!$W$2:$W$1001,$W23,Clean_Data!$V$2:$V$1001,1)-1))),""))</f>
        <v>-0.260124287409726</v>
      </c>
      <c r="AN23" s="5" t="str">
        <f>IF($AM23="","",IF($AM23&gt;=Lookups!$K$6,"High spike",IF($AM23&lt;=-Lookups!$K$6,"Unusual low","Normal")))</f>
        <v>Normal</v>
      </c>
      <c r="AO23" s="20">
        <f>IF($V23&lt;&gt;1,"",$P23+ROW()/100000)</f>
        <v>34.00023</v>
      </c>
      <c r="AP23" s="5">
        <f>IF($A23="","",IFERROR(MATCH($A23,Raw_D1!$A$2:$A$1001,0),""))</f>
        <v>22</v>
      </c>
      <c r="AQ23" s="5">
        <f>IF($A23="","",IFERROR(MATCH($A23,Raw_D2!$B$2:$B$1001,0),""))</f>
        <v>22</v>
      </c>
      <c r="AR23" s="5">
        <f>IF($A23="","",IFERROR(MATCH($A23,Raw_D3!$A$2:$A$1001,0),""))</f>
        <v/>
      </c>
    </row>
    <row r="24" spans="1:44" x14ac:dyDescent="0.25">
      <c r="A24" s="5">
        <v>23</v>
      </c>
      <c r="B24" s="11">
        <f>IF($A24="","",IF($AP24&lt;&gt;"",INDEX(Raw_D1!$B$2:$B$1001,$AP24),IF($AR24&lt;&gt;"",INDEX(Raw_D3!$B$2:$B$1001,$AR24),"")))</f>
        <v>40544.0</v>
      </c>
      <c r="C24" s="5">
        <f>IF($A24="","",IF($AP24&lt;&gt;"",INDEX(Raw_D1!$C$2:$C$1001,$AP24),IF($AR24&lt;&gt;"",INDEX(Raw_D3!$C$2:$C$1001,$AR24),"")))</f>
        <v>1</v>
      </c>
      <c r="D24" s="5">
        <f>IF($A24="","",IF($AP24&lt;&gt;"",INDEX(Raw_D1!$D$2:$D$1001,$AP24),IF($AR24&lt;&gt;"",INDEX(Raw_D3!$D$2:$D$1001,$AR24),"")))</f>
        <v>0</v>
      </c>
      <c r="E24" s="5">
        <f>IF($A24="","",IF($AP24&lt;&gt;"",INDEX(Raw_D1!$E$2:$E$1001,$AP24),IF($AR24&lt;&gt;"",INDEX(Raw_D3!$E$2:$E$1001,$AR24),"")))</f>
        <v>1</v>
      </c>
      <c r="F24" s="5">
        <f>IF($A24="","",IF($AP24&lt;&gt;"",INDEX(Raw_D1!$F$2:$F$1001,$AP24),IF($AR24&lt;&gt;"",INDEX(Raw_D3!$F$2:$F$1001,$AR24),"")))</f>
        <v>22</v>
      </c>
      <c r="G24" s="5">
        <f>IF($A24="","",IF($AP24&lt;&gt;"",IF(INDEX(Raw_D1!$G$2:$G$1001,$AP24),1,0),IF($AR24&lt;&gt;"",IF(INDEX(Raw_D3!$G$2:$G$1001,$AR24),1,0),"")))</f>
        <v>0</v>
      </c>
      <c r="H24" s="5">
        <f>IF($A24="","",IF($AP24&lt;&gt;"",INDEX(Raw_D1!$H$2:$H$1001,$AP24),IF($AR24&lt;&gt;"",INDEX(Raw_D3!$H$2:$H$1001,$AR24),"")))</f>
        <v>6</v>
      </c>
      <c r="I24" s="5">
        <f>IF($A24="","",IF($AP24&lt;&gt;"",INDEX(Raw_D1!$I$2:$I$1001,$AP24),IF($AR24&lt;&gt;"",INDEX(Raw_D3!$I$2:$I$1001,$AR24),"")))</f>
        <v>2</v>
      </c>
      <c r="J24" s="16">
        <f>IF($A24="","",IF($AP24&lt;&gt;"",INDEX(Raw_D1!$J$2:$J$1001,$AP24),IF($AR24&lt;&gt;"",INDEX(Raw_D3!$J$2:$J$1001,$AR24),"")))</f>
        <v>0.4</v>
      </c>
      <c r="K24" s="17">
        <f>IF($A24="","",IF($AQ24&lt;&gt;"",IF(INDEX(Raw_D2!$C$2:$C$1001,$AQ24)="","",INDEX(Raw_D2!$C$2:$C$1001,$AQ24)),IF($AR24&lt;&gt;"",IF(INDEX(Raw_D3!$K$2:$K$1001,$AR24)="","",INDEX(Raw_D3!$K$2:$K$1001,$AR24)),"")))</f>
        <v>0.4091</v>
      </c>
      <c r="L24" s="16">
        <f>IF($A24="","",IF($AQ24&lt;&gt;"",IF(INDEX(Raw_D2!$D$2:$D$1001,$AQ24)="","",INDEX(Raw_D2!$D$2:$D$1001,$AQ24)),IF($AR24&lt;&gt;"",IF(INDEX(Raw_D3!$L$2:$L$1001,$AR24)="","",INDEX(Raw_D3!$L$2:$L$1001,$AR24)),"")))</f>
        <v>0.94</v>
      </c>
      <c r="M24" s="17">
        <f>IF($A24="","",IF($AQ24&lt;&gt;"",IF(INDEX(Raw_D2!$E$2:$E$1001,$AQ24)="","",INDEX(Raw_D2!$E$2:$E$1001,$AQ24)),IF($AR24&lt;&gt;"",IF(INDEX(Raw_D3!$M$2:$M$1001,$AR24)="","",INDEX(Raw_D3!$M$2:$M$1001,$AR24)),"")))</f>
        <v>0.2239</v>
      </c>
      <c r="N24" s="5">
        <f>IF($A24="","",IF($AQ24&lt;&gt;"",IF(INDEX(Raw_D2!$F$2:$F$1001,$AQ24)="","",INDEX(Raw_D2!$F$2:$F$1001,$AQ24)),IF($AR24&lt;&gt;"",IF(INDEX(Raw_D3!$N$2:$N$1001,$AR24)="","",INDEX(Raw_D3!$N$2:$N$1001,$AR24)),"")))</f>
        <v>11</v>
      </c>
      <c r="O24" s="5">
        <f>IF($A24="","",IF($AQ24&lt;&gt;"",IF(INDEX(Raw_D2!$G$2:$G$1001,$AQ24)="","",INDEX(Raw_D2!$G$2:$G$1001,$AQ24)),IF($AR24&lt;&gt;"",IF(INDEX(Raw_D3!$O$2:$O$1001,$AR24)="","",INDEX(Raw_D3!$O$2:$O$1001,$AR24)),"")))</f>
        <v>17</v>
      </c>
      <c r="P24" s="5">
        <f>IF($A24="","",IF($AQ24&lt;&gt;"",IF(INDEX(Raw_D2!$H$2:$H$1001,$AQ24)="","",INDEX(Raw_D2!$H$2:$H$1001,$AQ24)),IF($AR24&lt;&gt;"",IF(INDEX(Raw_D3!$P$2:$P$1001,$AR24)="","",INDEX(Raw_D3!$P$2:$P$1001,$AR24)),"")))</f>
        <v>28</v>
      </c>
      <c r="Q24" s="5" t="str">
        <f>IF($A24="","",IF(AND($AP24&lt;&gt;"",$AQ24&lt;&gt;""),"D1+D2",IF($AR24&lt;&gt;"","D3","Incomplete")))</f>
        <v>D1+D2</v>
      </c>
      <c r="R24" s="17">
        <f>IF($A24="","",IF($K24="",IF($J24="","",ROUND(Lookups!$K$5+Lookups!$K$4*$J24,4)),$K24))</f>
        <v>0.4091</v>
      </c>
      <c r="S24" s="5" t="str">
        <f>IF($A24="","",IF($K24="","Imputed","Original"))</f>
        <v>Original</v>
      </c>
      <c r="T24" s="5" t="str">
        <f>IF($A24="","",IF($P24="","Missing",IF($P24=$N24+$O24,"OK","Mismatch")))</f>
        <v>OK</v>
      </c>
      <c r="U24" s="5" t="str">
        <f>IF($A24="","",IF(COUNTIF($A$2:$A24,$A24)&gt;1,"Duplicate","Unique"))</f>
        <v>Unique</v>
      </c>
      <c r="V24" s="5">
        <f>IF($A24="","",IF(AND($U24="Unique",ISNUMBER($P24)),1,0))</f>
        <v>1</v>
      </c>
      <c r="W24" s="5" t="str">
        <f>IF($A24="","",IF(OR($H24=0,$H24=6),"Weekend","Weekday"))</f>
        <v>Weekend</v>
      </c>
      <c r="X24" s="5" t="str">
        <f>IF($A24="","",TEXT($B24,"ddd"))</f>
        <v>Sat</v>
      </c>
      <c r="Y24" s="5" t="str">
        <f>IF($A24="","",TEXT($B24,"mmm"))</f>
        <v>Jan</v>
      </c>
      <c r="Z24" s="5" t="str">
        <f>IF($A24="","",IFERROR(VLOOKUP($C24,Lookups!$D$4:$E$7,2,FALSE),"Unknown"))</f>
        <v>Winter</v>
      </c>
      <c r="AA24" s="5" t="str">
        <f>IF($A24="","",IFERROR(VLOOKUP($I24,Lookups!$A$4:$B$7,2,FALSE),"Unknown"))</f>
        <v>Mist/Cloudy</v>
      </c>
      <c r="AB24" s="5" t="str">
        <f>IF($A24="","",TEXT($F24,"00")&amp;":00")</f>
        <v>22:00</v>
      </c>
      <c r="AC24" s="5" t="str">
        <f>IF($A24="","",VLOOKUP($F24,Lookups!$G$4:$H$8,2,TRUE))</f>
        <v>Late Evening (20-23)</v>
      </c>
      <c r="AD24" s="18">
        <f>IF($A24="","",IF($J24="","",ROUND($J24*41,1)))</f>
        <v>16.4</v>
      </c>
      <c r="AE24" s="18">
        <f>IF($A24="","",IF($R24="","",ROUND($R24*50,1)))</f>
        <v>20.5</v>
      </c>
      <c r="AF24" s="5">
        <f>IF($A24="","",IF($L24="","",ROUND($L24*100,0)))</f>
        <v>94</v>
      </c>
      <c r="AG24" s="18">
        <f>IF($A24="","",IF($M24="","",ROUND($M24*67,1)))</f>
        <v>15</v>
      </c>
      <c r="AH24" s="19">
        <f>IF($A24="","",IF($P24="","",IF($P24=0,0,$O24/$P24)))</f>
        <v>0.607142857142857</v>
      </c>
      <c r="AI24" s="5" t="str">
        <f>IF($A24="","",IF($P24="","",IF($P24&gt;=Lookups!$K$7,"High",IF($P24&lt;=Lookups!$K$8,"Low","Medium"))))</f>
        <v>Medium</v>
      </c>
      <c r="AJ24" s="5" t="str">
        <f>IF($A24="","",IF($AD24="","",IF($AD24&lt;5,"Under 5 C",IF($AD24&lt;10,"5-10 C",IF($AD24&lt;15,"10-15 C","15 C and above")))))</f>
        <v>15 C and above</v>
      </c>
      <c r="AK24" s="5">
        <f>IF($A24="","",IF($P24="","",$P24^2))</f>
        <v>784</v>
      </c>
      <c r="AL24" s="18">
        <f>IF($V24&lt;&gt;1,"",AVERAGEIFS(Clean_Data!$P$2:$P$1001,Clean_Data!$F$2:$F$1001,$F24,Clean_Data!$W$2:$W$1001,$W24,Clean_Data!$V$2:$V$1001,1))</f>
        <v>30.8571428571429</v>
      </c>
      <c r="AM24" s="16">
        <f>IF($V24&lt;&gt;1,"",IFERROR(($P24-$AL24)/SQRT(MAX(0,(SUMIFS(Clean_Data!$AK$2:$AK$1001,Clean_Data!$F$2:$F$1001,$F24,Clean_Data!$W$2:$W$1001,$W24,Clean_Data!$V$2:$V$1001,1)-COUNTIFS(Clean_Data!$F$2:$F$1001,$F24,Clean_Data!$W$2:$W$1001,$W24,Clean_Data!$V$2:$V$1001,1)*$AL24^2)/(COUNTIFS(Clean_Data!$F$2:$F$1001,$F24,Clean_Data!$W$2:$W$1001,$W24,Clean_Data!$V$2:$V$1001,1)-1))),""))</f>
        <v>-0.211530232647737</v>
      </c>
      <c r="AN24" s="5" t="str">
        <f>IF($AM24="","",IF($AM24&gt;=Lookups!$K$6,"High spike",IF($AM24&lt;=-Lookups!$K$6,"Unusual low","Normal")))</f>
        <v>Normal</v>
      </c>
      <c r="AO24" s="20">
        <f>IF($V24&lt;&gt;1,"",$P24+ROW()/100000)</f>
        <v>28.00024</v>
      </c>
      <c r="AP24" s="5">
        <f>IF($A24="","",IFERROR(MATCH($A24,Raw_D1!$A$2:$A$1001,0),""))</f>
        <v>23</v>
      </c>
      <c r="AQ24" s="5">
        <f>IF($A24="","",IFERROR(MATCH($A24,Raw_D2!$B$2:$B$1001,0),""))</f>
        <v>23</v>
      </c>
      <c r="AR24" s="5">
        <f>IF($A24="","",IFERROR(MATCH($A24,Raw_D3!$A$2:$A$1001,0),""))</f>
        <v/>
      </c>
    </row>
    <row r="25" spans="1:44" x14ac:dyDescent="0.25">
      <c r="A25" s="5">
        <v>24</v>
      </c>
      <c r="B25" s="11">
        <f>IF($A25="","",IF($AP25&lt;&gt;"",INDEX(Raw_D1!$B$2:$B$1001,$AP25),IF($AR25&lt;&gt;"",INDEX(Raw_D3!$B$2:$B$1001,$AR25),"")))</f>
        <v>40544.0</v>
      </c>
      <c r="C25" s="5">
        <f>IF($A25="","",IF($AP25&lt;&gt;"",INDEX(Raw_D1!$C$2:$C$1001,$AP25),IF($AR25&lt;&gt;"",INDEX(Raw_D3!$C$2:$C$1001,$AR25),"")))</f>
        <v>1</v>
      </c>
      <c r="D25" s="5">
        <f>IF($A25="","",IF($AP25&lt;&gt;"",INDEX(Raw_D1!$D$2:$D$1001,$AP25),IF($AR25&lt;&gt;"",INDEX(Raw_D3!$D$2:$D$1001,$AR25),"")))</f>
        <v>0</v>
      </c>
      <c r="E25" s="5">
        <f>IF($A25="","",IF($AP25&lt;&gt;"",INDEX(Raw_D1!$E$2:$E$1001,$AP25),IF($AR25&lt;&gt;"",INDEX(Raw_D3!$E$2:$E$1001,$AR25),"")))</f>
        <v>1</v>
      </c>
      <c r="F25" s="5">
        <f>IF($A25="","",IF($AP25&lt;&gt;"",INDEX(Raw_D1!$F$2:$F$1001,$AP25),IF($AR25&lt;&gt;"",INDEX(Raw_D3!$F$2:$F$1001,$AR25),"")))</f>
        <v>23</v>
      </c>
      <c r="G25" s="5">
        <f>IF($A25="","",IF($AP25&lt;&gt;"",IF(INDEX(Raw_D1!$G$2:$G$1001,$AP25),1,0),IF($AR25&lt;&gt;"",IF(INDEX(Raw_D3!$G$2:$G$1001,$AR25),1,0),"")))</f>
        <v>0</v>
      </c>
      <c r="H25" s="5">
        <f>IF($A25="","",IF($AP25&lt;&gt;"",INDEX(Raw_D1!$H$2:$H$1001,$AP25),IF($AR25&lt;&gt;"",INDEX(Raw_D3!$H$2:$H$1001,$AR25),"")))</f>
        <v>6</v>
      </c>
      <c r="I25" s="5">
        <f>IF($A25="","",IF($AP25&lt;&gt;"",INDEX(Raw_D1!$I$2:$I$1001,$AP25),IF($AR25&lt;&gt;"",INDEX(Raw_D3!$I$2:$I$1001,$AR25),"")))</f>
        <v>2</v>
      </c>
      <c r="J25" s="16">
        <f>IF($A25="","",IF($AP25&lt;&gt;"",INDEX(Raw_D1!$J$2:$J$1001,$AP25),IF($AR25&lt;&gt;"",INDEX(Raw_D3!$J$2:$J$1001,$AR25),"")))</f>
        <v>0.46</v>
      </c>
      <c r="K25" s="17">
        <f>IF($A25="","",IF($AQ25&lt;&gt;"",IF(INDEX(Raw_D2!$C$2:$C$1001,$AQ25)="","",INDEX(Raw_D2!$C$2:$C$1001,$AQ25)),IF($AR25&lt;&gt;"",IF(INDEX(Raw_D3!$K$2:$K$1001,$AR25)="","",INDEX(Raw_D3!$K$2:$K$1001,$AR25)),"")))</f>
        <v/>
      </c>
      <c r="L25" s="16">
        <f>IF($A25="","",IF($AQ25&lt;&gt;"",IF(INDEX(Raw_D2!$D$2:$D$1001,$AQ25)="","",INDEX(Raw_D2!$D$2:$D$1001,$AQ25)),IF($AR25&lt;&gt;"",IF(INDEX(Raw_D3!$L$2:$L$1001,$AR25)="","",INDEX(Raw_D3!$L$2:$L$1001,$AR25)),"")))</f>
        <v>0.88</v>
      </c>
      <c r="M25" s="17">
        <f>IF($A25="","",IF($AQ25&lt;&gt;"",IF(INDEX(Raw_D2!$E$2:$E$1001,$AQ25)="","",INDEX(Raw_D2!$E$2:$E$1001,$AQ25)),IF($AR25&lt;&gt;"",IF(INDEX(Raw_D3!$M$2:$M$1001,$AR25)="","",INDEX(Raw_D3!$M$2:$M$1001,$AR25)),"")))</f>
        <v>0.2985</v>
      </c>
      <c r="N25" s="5">
        <f>IF($A25="","",IF($AQ25&lt;&gt;"",IF(INDEX(Raw_D2!$F$2:$F$1001,$AQ25)="","",INDEX(Raw_D2!$F$2:$F$1001,$AQ25)),IF($AR25&lt;&gt;"",IF(INDEX(Raw_D3!$N$2:$N$1001,$AR25)="","",INDEX(Raw_D3!$N$2:$N$1001,$AR25)),"")))</f>
        <v>15</v>
      </c>
      <c r="O25" s="5">
        <f>IF($A25="","",IF($AQ25&lt;&gt;"",IF(INDEX(Raw_D2!$G$2:$G$1001,$AQ25)="","",INDEX(Raw_D2!$G$2:$G$1001,$AQ25)),IF($AR25&lt;&gt;"",IF(INDEX(Raw_D3!$O$2:$O$1001,$AR25)="","",INDEX(Raw_D3!$O$2:$O$1001,$AR25)),"")))</f>
        <v>24</v>
      </c>
      <c r="P25" s="5">
        <f>IF($A25="","",IF($AQ25&lt;&gt;"",IF(INDEX(Raw_D2!$H$2:$H$1001,$AQ25)="","",INDEX(Raw_D2!$H$2:$H$1001,$AQ25)),IF($AR25&lt;&gt;"",IF(INDEX(Raw_D3!$P$2:$P$1001,$AR25)="","",INDEX(Raw_D3!$P$2:$P$1001,$AR25)),"")))</f>
        <v>39</v>
      </c>
      <c r="Q25" s="5" t="str">
        <f>IF($A25="","",IF(AND($AP25&lt;&gt;"",$AQ25&lt;&gt;""),"D1+D2",IF($AR25&lt;&gt;"","D3","Incomplete")))</f>
        <v>D1+D2</v>
      </c>
      <c r="R25" s="17">
        <f>IF($A25="","",IF($K25="",IF($J25="","",ROUND(Lookups!$K$5+Lookups!$K$4*$J25,4)),$K25))</f>
        <v>0.4464</v>
      </c>
      <c r="S25" s="5" t="str">
        <f>IF($A25="","",IF($K25="","Imputed","Original"))</f>
        <v>Imputed</v>
      </c>
      <c r="T25" s="5" t="str">
        <f>IF($A25="","",IF($P25="","Missing",IF($P25=$N25+$O25,"OK","Mismatch")))</f>
        <v>OK</v>
      </c>
      <c r="U25" s="5" t="str">
        <f>IF($A25="","",IF(COUNTIF($A$2:$A25,$A25)&gt;1,"Duplicate","Unique"))</f>
        <v>Unique</v>
      </c>
      <c r="V25" s="5">
        <f>IF($A25="","",IF(AND($U25="Unique",ISNUMBER($P25)),1,0))</f>
        <v>1</v>
      </c>
      <c r="W25" s="5" t="str">
        <f>IF($A25="","",IF(OR($H25=0,$H25=6),"Weekend","Weekday"))</f>
        <v>Weekend</v>
      </c>
      <c r="X25" s="5" t="str">
        <f>IF($A25="","",TEXT($B25,"ddd"))</f>
        <v>Sat</v>
      </c>
      <c r="Y25" s="5" t="str">
        <f>IF($A25="","",TEXT($B25,"mmm"))</f>
        <v>Jan</v>
      </c>
      <c r="Z25" s="5" t="str">
        <f>IF($A25="","",IFERROR(VLOOKUP($C25,Lookups!$D$4:$E$7,2,FALSE),"Unknown"))</f>
        <v>Winter</v>
      </c>
      <c r="AA25" s="5" t="str">
        <f>IF($A25="","",IFERROR(VLOOKUP($I25,Lookups!$A$4:$B$7,2,FALSE),"Unknown"))</f>
        <v>Mist/Cloudy</v>
      </c>
      <c r="AB25" s="5" t="str">
        <f>IF($A25="","",TEXT($F25,"00")&amp;":00")</f>
        <v>23:00</v>
      </c>
      <c r="AC25" s="5" t="str">
        <f>IF($A25="","",VLOOKUP($F25,Lookups!$G$4:$H$8,2,TRUE))</f>
        <v>Late Evening (20-23)</v>
      </c>
      <c r="AD25" s="18">
        <f>IF($A25="","",IF($J25="","",ROUND($J25*41,1)))</f>
        <v>18.9</v>
      </c>
      <c r="AE25" s="18">
        <f>IF($A25="","",IF($R25="","",ROUND($R25*50,1)))</f>
        <v>22.3</v>
      </c>
      <c r="AF25" s="5">
        <f>IF($A25="","",IF($L25="","",ROUND($L25*100,0)))</f>
        <v>88</v>
      </c>
      <c r="AG25" s="18">
        <f>IF($A25="","",IF($M25="","",ROUND($M25*67,1)))</f>
        <v>20</v>
      </c>
      <c r="AH25" s="19">
        <f>IF($A25="","",IF($P25="","",IF($P25=0,0,$O25/$P25)))</f>
        <v>0.615384615384615</v>
      </c>
      <c r="AI25" s="5" t="str">
        <f>IF($A25="","",IF($P25="","",IF($P25&gt;=Lookups!$K$7,"High",IF($P25&lt;=Lookups!$K$8,"Low","Medium"))))</f>
        <v>Medium</v>
      </c>
      <c r="AJ25" s="5" t="str">
        <f>IF($A25="","",IF($AD25="","",IF($AD25&lt;5,"Under 5 C",IF($AD25&lt;10,"5-10 C",IF($AD25&lt;15,"10-15 C","15 C and above")))))</f>
        <v>15 C and above</v>
      </c>
      <c r="AK25" s="5">
        <f>IF($A25="","",IF($P25="","",$P25^2))</f>
        <v>1521</v>
      </c>
      <c r="AL25" s="18">
        <f>IF($V25&lt;&gt;1,"",AVERAGEIFS(Clean_Data!$P$2:$P$1001,Clean_Data!$F$2:$F$1001,$F25,Clean_Data!$W$2:$W$1001,$W25,Clean_Data!$V$2:$V$1001,1))</f>
        <v>28.2857142857143</v>
      </c>
      <c r="AM25" s="16">
        <f>IF($V25&lt;&gt;1,"",IFERROR(($P25-$AL25)/SQRT(MAX(0,(SUMIFS(Clean_Data!$AK$2:$AK$1001,Clean_Data!$F$2:$F$1001,$F25,Clean_Data!$W$2:$W$1001,$W25,Clean_Data!$V$2:$V$1001,1)-COUNTIFS(Clean_Data!$F$2:$F$1001,$F25,Clean_Data!$W$2:$W$1001,$W25,Clean_Data!$V$2:$V$1001,1)*$AL25^2)/(COUNTIFS(Clean_Data!$F$2:$F$1001,$F25,Clean_Data!$W$2:$W$1001,$W25,Clean_Data!$V$2:$V$1001,1)-1))),""))</f>
        <v>0.768197255645235</v>
      </c>
      <c r="AN25" s="5" t="str">
        <f>IF($AM25="","",IF($AM25&gt;=Lookups!$K$6,"High spike",IF($AM25&lt;=-Lookups!$K$6,"Unusual low","Normal")))</f>
        <v>Normal</v>
      </c>
      <c r="AO25" s="20">
        <f>IF($V25&lt;&gt;1,"",$P25+ROW()/100000)</f>
        <v>39.00025</v>
      </c>
      <c r="AP25" s="5">
        <f>IF($A25="","",IFERROR(MATCH($A25,Raw_D1!$A$2:$A$1001,0),""))</f>
        <v>24</v>
      </c>
      <c r="AQ25" s="5">
        <f>IF($A25="","",IFERROR(MATCH($A25,Raw_D2!$B$2:$B$1001,0),""))</f>
        <v>24</v>
      </c>
      <c r="AR25" s="5">
        <f>IF($A25="","",IFERROR(MATCH($A25,Raw_D3!$A$2:$A$1001,0),""))</f>
        <v/>
      </c>
    </row>
    <row r="26" spans="1:44" x14ac:dyDescent="0.25">
      <c r="A26" s="5">
        <v>25</v>
      </c>
      <c r="B26" s="11">
        <f>IF($A26="","",IF($AP26&lt;&gt;"",INDEX(Raw_D1!$B$2:$B$1001,$AP26),IF($AR26&lt;&gt;"",INDEX(Raw_D3!$B$2:$B$1001,$AR26),"")))</f>
        <v>40545.0</v>
      </c>
      <c r="C26" s="5">
        <f>IF($A26="","",IF($AP26&lt;&gt;"",INDEX(Raw_D1!$C$2:$C$1001,$AP26),IF($AR26&lt;&gt;"",INDEX(Raw_D3!$C$2:$C$1001,$AR26),"")))</f>
        <v>1</v>
      </c>
      <c r="D26" s="5">
        <f>IF($A26="","",IF($AP26&lt;&gt;"",INDEX(Raw_D1!$D$2:$D$1001,$AP26),IF($AR26&lt;&gt;"",INDEX(Raw_D3!$D$2:$D$1001,$AR26),"")))</f>
        <v>0</v>
      </c>
      <c r="E26" s="5">
        <f>IF($A26="","",IF($AP26&lt;&gt;"",INDEX(Raw_D1!$E$2:$E$1001,$AP26),IF($AR26&lt;&gt;"",INDEX(Raw_D3!$E$2:$E$1001,$AR26),"")))</f>
        <v>1</v>
      </c>
      <c r="F26" s="5">
        <f>IF($A26="","",IF($AP26&lt;&gt;"",INDEX(Raw_D1!$F$2:$F$1001,$AP26),IF($AR26&lt;&gt;"",INDEX(Raw_D3!$F$2:$F$1001,$AR26),"")))</f>
        <v>0</v>
      </c>
      <c r="G26" s="5">
        <f>IF($A26="","",IF($AP26&lt;&gt;"",IF(INDEX(Raw_D1!$G$2:$G$1001,$AP26),1,0),IF($AR26&lt;&gt;"",IF(INDEX(Raw_D3!$G$2:$G$1001,$AR26),1,0),"")))</f>
        <v>0</v>
      </c>
      <c r="H26" s="5">
        <f>IF($A26="","",IF($AP26&lt;&gt;"",INDEX(Raw_D1!$H$2:$H$1001,$AP26),IF($AR26&lt;&gt;"",INDEX(Raw_D3!$H$2:$H$1001,$AR26),"")))</f>
        <v>0</v>
      </c>
      <c r="I26" s="5">
        <f>IF($A26="","",IF($AP26&lt;&gt;"",INDEX(Raw_D1!$I$2:$I$1001,$AP26),IF($AR26&lt;&gt;"",INDEX(Raw_D3!$I$2:$I$1001,$AR26),"")))</f>
        <v>2</v>
      </c>
      <c r="J26" s="16">
        <f>IF($A26="","",IF($AP26&lt;&gt;"",INDEX(Raw_D1!$J$2:$J$1001,$AP26),IF($AR26&lt;&gt;"",INDEX(Raw_D3!$J$2:$J$1001,$AR26),"")))</f>
        <v>0.46</v>
      </c>
      <c r="K26" s="17">
        <f>IF($A26="","",IF($AQ26&lt;&gt;"",IF(INDEX(Raw_D2!$C$2:$C$1001,$AQ26)="","",INDEX(Raw_D2!$C$2:$C$1001,$AQ26)),IF($AR26&lt;&gt;"",IF(INDEX(Raw_D3!$K$2:$K$1001,$AR26)="","",INDEX(Raw_D3!$K$2:$K$1001,$AR26)),"")))</f>
        <v>0.4545</v>
      </c>
      <c r="L26" s="16">
        <f>IF($A26="","",IF($AQ26&lt;&gt;"",IF(INDEX(Raw_D2!$D$2:$D$1001,$AQ26)="","",INDEX(Raw_D2!$D$2:$D$1001,$AQ26)),IF($AR26&lt;&gt;"",IF(INDEX(Raw_D3!$L$2:$L$1001,$AR26)="","",INDEX(Raw_D3!$L$2:$L$1001,$AR26)),"")))</f>
        <v>0.88</v>
      </c>
      <c r="M26" s="17">
        <f>IF($A26="","",IF($AQ26&lt;&gt;"",IF(INDEX(Raw_D2!$E$2:$E$1001,$AQ26)="","",INDEX(Raw_D2!$E$2:$E$1001,$AQ26)),IF($AR26&lt;&gt;"",IF(INDEX(Raw_D3!$M$2:$M$1001,$AR26)="","",INDEX(Raw_D3!$M$2:$M$1001,$AR26)),"")))</f>
        <v>0.2985</v>
      </c>
      <c r="N26" s="5">
        <f>IF($A26="","",IF($AQ26&lt;&gt;"",IF(INDEX(Raw_D2!$F$2:$F$1001,$AQ26)="","",INDEX(Raw_D2!$F$2:$F$1001,$AQ26)),IF($AR26&lt;&gt;"",IF(INDEX(Raw_D3!$N$2:$N$1001,$AR26)="","",INDEX(Raw_D3!$N$2:$N$1001,$AR26)),"")))</f>
        <v>4</v>
      </c>
      <c r="O26" s="5">
        <f>IF($A26="","",IF($AQ26&lt;&gt;"",IF(INDEX(Raw_D2!$G$2:$G$1001,$AQ26)="","",INDEX(Raw_D2!$G$2:$G$1001,$AQ26)),IF($AR26&lt;&gt;"",IF(INDEX(Raw_D3!$O$2:$O$1001,$AR26)="","",INDEX(Raw_D3!$O$2:$O$1001,$AR26)),"")))</f>
        <v>13</v>
      </c>
      <c r="P26" s="5">
        <f>IF($A26="","",IF($AQ26&lt;&gt;"",IF(INDEX(Raw_D2!$H$2:$H$1001,$AQ26)="","",INDEX(Raw_D2!$H$2:$H$1001,$AQ26)),IF($AR26&lt;&gt;"",IF(INDEX(Raw_D3!$P$2:$P$1001,$AR26)="","",INDEX(Raw_D3!$P$2:$P$1001,$AR26)),"")))</f>
        <v>17</v>
      </c>
      <c r="Q26" s="5" t="str">
        <f>IF($A26="","",IF(AND($AP26&lt;&gt;"",$AQ26&lt;&gt;""),"D1+D2",IF($AR26&lt;&gt;"","D3","Incomplete")))</f>
        <v>D1+D2</v>
      </c>
      <c r="R26" s="17">
        <f>IF($A26="","",IF($K26="",IF($J26="","",ROUND(Lookups!$K$5+Lookups!$K$4*$J26,4)),$K26))</f>
        <v>0.4545</v>
      </c>
      <c r="S26" s="5" t="str">
        <f>IF($A26="","",IF($K26="","Imputed","Original"))</f>
        <v>Original</v>
      </c>
      <c r="T26" s="5" t="str">
        <f>IF($A26="","",IF($P26="","Missing",IF($P26=$N26+$O26,"OK","Mismatch")))</f>
        <v>OK</v>
      </c>
      <c r="U26" s="5" t="str">
        <f>IF($A26="","",IF(COUNTIF($A$2:$A26,$A26)&gt;1,"Duplicate","Unique"))</f>
        <v>Unique</v>
      </c>
      <c r="V26" s="5">
        <f>IF($A26="","",IF(AND($U26="Unique",ISNUMBER($P26)),1,0))</f>
        <v>1</v>
      </c>
      <c r="W26" s="5" t="str">
        <f>IF($A26="","",IF(OR($H26=0,$H26=6),"Weekend","Weekday"))</f>
        <v>Weekend</v>
      </c>
      <c r="X26" s="5" t="str">
        <f>IF($A26="","",TEXT($B26,"ddd"))</f>
        <v>Sun</v>
      </c>
      <c r="Y26" s="5" t="str">
        <f>IF($A26="","",TEXT($B26,"mmm"))</f>
        <v>Jan</v>
      </c>
      <c r="Z26" s="5" t="str">
        <f>IF($A26="","",IFERROR(VLOOKUP($C26,Lookups!$D$4:$E$7,2,FALSE),"Unknown"))</f>
        <v>Winter</v>
      </c>
      <c r="AA26" s="5" t="str">
        <f>IF($A26="","",IFERROR(VLOOKUP($I26,Lookups!$A$4:$B$7,2,FALSE),"Unknown"))</f>
        <v>Mist/Cloudy</v>
      </c>
      <c r="AB26" s="5" t="str">
        <f>IF($A26="","",TEXT($F26,"00")&amp;":00")</f>
        <v>00:00</v>
      </c>
      <c r="AC26" s="5" t="str">
        <f>IF($A26="","",VLOOKUP($F26,Lookups!$G$4:$H$8,2,TRUE))</f>
        <v>Night (00-05)</v>
      </c>
      <c r="AD26" s="18">
        <f>IF($A26="","",IF($J26="","",ROUND($J26*41,1)))</f>
        <v>18.9</v>
      </c>
      <c r="AE26" s="18">
        <f>IF($A26="","",IF($R26="","",ROUND($R26*50,1)))</f>
        <v>22.7</v>
      </c>
      <c r="AF26" s="5">
        <f>IF($A26="","",IF($L26="","",ROUND($L26*100,0)))</f>
        <v>88</v>
      </c>
      <c r="AG26" s="18">
        <f>IF($A26="","",IF($M26="","",ROUND($M26*67,1)))</f>
        <v>20</v>
      </c>
      <c r="AH26" s="19">
        <f>IF($A26="","",IF($P26="","",IF($P26=0,0,$O26/$P26)))</f>
        <v>0.764705882352941</v>
      </c>
      <c r="AI26" s="5" t="str">
        <f>IF($A26="","",IF($P26="","",IF($P26&gt;=Lookups!$K$7,"High",IF($P26&lt;=Lookups!$K$8,"Low","Medium"))))</f>
        <v>Medium</v>
      </c>
      <c r="AJ26" s="5" t="str">
        <f>IF($A26="","",IF($AD26="","",IF($AD26&lt;5,"Under 5 C",IF($AD26&lt;10,"5-10 C",IF($AD26&lt;15,"10-15 C","15 C and above")))))</f>
        <v>15 C and above</v>
      </c>
      <c r="AK26" s="5">
        <f>IF($A26="","",IF($P26="","",$P26^2))</f>
        <v>289</v>
      </c>
      <c r="AL26" s="18">
        <f>IF($V26&lt;&gt;1,"",AVERAGEIFS(Clean_Data!$P$2:$P$1001,Clean_Data!$F$2:$F$1001,$F26,Clean_Data!$W$2:$W$1001,$W26,Clean_Data!$V$2:$V$1001,1))</f>
        <v>28.0714285714286</v>
      </c>
      <c r="AM26" s="16">
        <f>IF($V26&lt;&gt;1,"",IFERROR(($P26-$AL26)/SQRT(MAX(0,(SUMIFS(Clean_Data!$AK$2:$AK$1001,Clean_Data!$F$2:$F$1001,$F26,Clean_Data!$W$2:$W$1001,$W26,Clean_Data!$V$2:$V$1001,1)-COUNTIFS(Clean_Data!$F$2:$F$1001,$F26,Clean_Data!$W$2:$W$1001,$W26,Clean_Data!$V$2:$V$1001,1)*$AL26^2)/(COUNTIFS(Clean_Data!$F$2:$F$1001,$F26,Clean_Data!$W$2:$W$1001,$W26,Clean_Data!$V$2:$V$1001,1)-1))),""))</f>
        <v>-1.22787037040209</v>
      </c>
      <c r="AN26" s="5" t="str">
        <f>IF($AM26="","",IF($AM26&gt;=Lookups!$K$6,"High spike",IF($AM26&lt;=-Lookups!$K$6,"Unusual low","Normal")))</f>
        <v>Normal</v>
      </c>
      <c r="AO26" s="20">
        <f>IF($V26&lt;&gt;1,"",$P26+ROW()/100000)</f>
        <v>17.00026</v>
      </c>
      <c r="AP26" s="5">
        <f>IF($A26="","",IFERROR(MATCH($A26,Raw_D1!$A$2:$A$1001,0),""))</f>
        <v>25</v>
      </c>
      <c r="AQ26" s="5">
        <f>IF($A26="","",IFERROR(MATCH($A26,Raw_D2!$B$2:$B$1001,0),""))</f>
        <v>25</v>
      </c>
      <c r="AR26" s="5">
        <f>IF($A26="","",IFERROR(MATCH($A26,Raw_D3!$A$2:$A$1001,0),""))</f>
        <v/>
      </c>
    </row>
    <row r="27" spans="1:44" x14ac:dyDescent="0.25">
      <c r="A27" s="5">
        <v>26</v>
      </c>
      <c r="B27" s="11">
        <f>IF($A27="","",IF($AP27&lt;&gt;"",INDEX(Raw_D1!$B$2:$B$1001,$AP27),IF($AR27&lt;&gt;"",INDEX(Raw_D3!$B$2:$B$1001,$AR27),"")))</f>
        <v>40545.0</v>
      </c>
      <c r="C27" s="5">
        <f>IF($A27="","",IF($AP27&lt;&gt;"",INDEX(Raw_D1!$C$2:$C$1001,$AP27),IF($AR27&lt;&gt;"",INDEX(Raw_D3!$C$2:$C$1001,$AR27),"")))</f>
        <v>1</v>
      </c>
      <c r="D27" s="5">
        <f>IF($A27="","",IF($AP27&lt;&gt;"",INDEX(Raw_D1!$D$2:$D$1001,$AP27),IF($AR27&lt;&gt;"",INDEX(Raw_D3!$D$2:$D$1001,$AR27),"")))</f>
        <v>0</v>
      </c>
      <c r="E27" s="5">
        <f>IF($A27="","",IF($AP27&lt;&gt;"",INDEX(Raw_D1!$E$2:$E$1001,$AP27),IF($AR27&lt;&gt;"",INDEX(Raw_D3!$E$2:$E$1001,$AR27),"")))</f>
        <v>1</v>
      </c>
      <c r="F27" s="5">
        <f>IF($A27="","",IF($AP27&lt;&gt;"",INDEX(Raw_D1!$F$2:$F$1001,$AP27),IF($AR27&lt;&gt;"",INDEX(Raw_D3!$F$2:$F$1001,$AR27),"")))</f>
        <v>1</v>
      </c>
      <c r="G27" s="5">
        <f>IF($A27="","",IF($AP27&lt;&gt;"",IF(INDEX(Raw_D1!$G$2:$G$1001,$AP27),1,0),IF($AR27&lt;&gt;"",IF(INDEX(Raw_D3!$G$2:$G$1001,$AR27),1,0),"")))</f>
        <v>0</v>
      </c>
      <c r="H27" s="5">
        <f>IF($A27="","",IF($AP27&lt;&gt;"",INDEX(Raw_D1!$H$2:$H$1001,$AP27),IF($AR27&lt;&gt;"",INDEX(Raw_D3!$H$2:$H$1001,$AR27),"")))</f>
        <v>0</v>
      </c>
      <c r="I27" s="5">
        <f>IF($A27="","",IF($AP27&lt;&gt;"",INDEX(Raw_D1!$I$2:$I$1001,$AP27),IF($AR27&lt;&gt;"",INDEX(Raw_D3!$I$2:$I$1001,$AR27),"")))</f>
        <v>2</v>
      </c>
      <c r="J27" s="16">
        <f>IF($A27="","",IF($AP27&lt;&gt;"",INDEX(Raw_D1!$J$2:$J$1001,$AP27),IF($AR27&lt;&gt;"",INDEX(Raw_D3!$J$2:$J$1001,$AR27),"")))</f>
        <v>0.44</v>
      </c>
      <c r="K27" s="17">
        <f>IF($A27="","",IF($AQ27&lt;&gt;"",IF(INDEX(Raw_D2!$C$2:$C$1001,$AQ27)="","",INDEX(Raw_D2!$C$2:$C$1001,$AQ27)),IF($AR27&lt;&gt;"",IF(INDEX(Raw_D3!$K$2:$K$1001,$AR27)="","",INDEX(Raw_D3!$K$2:$K$1001,$AR27)),"")))</f>
        <v>0.4394</v>
      </c>
      <c r="L27" s="16">
        <f>IF($A27="","",IF($AQ27&lt;&gt;"",IF(INDEX(Raw_D2!$D$2:$D$1001,$AQ27)="","",INDEX(Raw_D2!$D$2:$D$1001,$AQ27)),IF($AR27&lt;&gt;"",IF(INDEX(Raw_D3!$L$2:$L$1001,$AR27)="","",INDEX(Raw_D3!$L$2:$L$1001,$AR27)),"")))</f>
        <v>0.94</v>
      </c>
      <c r="M27" s="17">
        <f>IF($A27="","",IF($AQ27&lt;&gt;"",IF(INDEX(Raw_D2!$E$2:$E$1001,$AQ27)="","",INDEX(Raw_D2!$E$2:$E$1001,$AQ27)),IF($AR27&lt;&gt;"",IF(INDEX(Raw_D3!$M$2:$M$1001,$AR27)="","",INDEX(Raw_D3!$M$2:$M$1001,$AR27)),"")))</f>
        <v>0.2537</v>
      </c>
      <c r="N27" s="5">
        <f>IF($A27="","",IF($AQ27&lt;&gt;"",IF(INDEX(Raw_D2!$F$2:$F$1001,$AQ27)="","",INDEX(Raw_D2!$F$2:$F$1001,$AQ27)),IF($AR27&lt;&gt;"",IF(INDEX(Raw_D3!$N$2:$N$1001,$AR27)="","",INDEX(Raw_D3!$N$2:$N$1001,$AR27)),"")))</f>
        <v>1</v>
      </c>
      <c r="O27" s="5">
        <f>IF($A27="","",IF($AQ27&lt;&gt;"",IF(INDEX(Raw_D2!$G$2:$G$1001,$AQ27)="","",INDEX(Raw_D2!$G$2:$G$1001,$AQ27)),IF($AR27&lt;&gt;"",IF(INDEX(Raw_D3!$O$2:$O$1001,$AR27)="","",INDEX(Raw_D3!$O$2:$O$1001,$AR27)),"")))</f>
        <v>16</v>
      </c>
      <c r="P27" s="5">
        <f>IF($A27="","",IF($AQ27&lt;&gt;"",IF(INDEX(Raw_D2!$H$2:$H$1001,$AQ27)="","",INDEX(Raw_D2!$H$2:$H$1001,$AQ27)),IF($AR27&lt;&gt;"",IF(INDEX(Raw_D3!$P$2:$P$1001,$AR27)="","",INDEX(Raw_D3!$P$2:$P$1001,$AR27)),"")))</f>
        <v>17</v>
      </c>
      <c r="Q27" s="5" t="str">
        <f>IF($A27="","",IF(AND($AP27&lt;&gt;"",$AQ27&lt;&gt;""),"D1+D2",IF($AR27&lt;&gt;"","D3","Incomplete")))</f>
        <v>D1+D2</v>
      </c>
      <c r="R27" s="17">
        <f>IF($A27="","",IF($K27="",IF($J27="","",ROUND(Lookups!$K$5+Lookups!$K$4*$J27,4)),$K27))</f>
        <v>0.4394</v>
      </c>
      <c r="S27" s="5" t="str">
        <f>IF($A27="","",IF($K27="","Imputed","Original"))</f>
        <v>Original</v>
      </c>
      <c r="T27" s="5" t="str">
        <f>IF($A27="","",IF($P27="","Missing",IF($P27=$N27+$O27,"OK","Mismatch")))</f>
        <v>OK</v>
      </c>
      <c r="U27" s="5" t="str">
        <f>IF($A27="","",IF(COUNTIF($A$2:$A27,$A27)&gt;1,"Duplicate","Unique"))</f>
        <v>Unique</v>
      </c>
      <c r="V27" s="5">
        <f>IF($A27="","",IF(AND($U27="Unique",ISNUMBER($P27)),1,0))</f>
        <v>1</v>
      </c>
      <c r="W27" s="5" t="str">
        <f>IF($A27="","",IF(OR($H27=0,$H27=6),"Weekend","Weekday"))</f>
        <v>Weekend</v>
      </c>
      <c r="X27" s="5" t="str">
        <f>IF($A27="","",TEXT($B27,"ddd"))</f>
        <v>Sun</v>
      </c>
      <c r="Y27" s="5" t="str">
        <f>IF($A27="","",TEXT($B27,"mmm"))</f>
        <v>Jan</v>
      </c>
      <c r="Z27" s="5" t="str">
        <f>IF($A27="","",IFERROR(VLOOKUP($C27,Lookups!$D$4:$E$7,2,FALSE),"Unknown"))</f>
        <v>Winter</v>
      </c>
      <c r="AA27" s="5" t="str">
        <f>IF($A27="","",IFERROR(VLOOKUP($I27,Lookups!$A$4:$B$7,2,FALSE),"Unknown"))</f>
        <v>Mist/Cloudy</v>
      </c>
      <c r="AB27" s="5" t="str">
        <f>IF($A27="","",TEXT($F27,"00")&amp;":00")</f>
        <v>01:00</v>
      </c>
      <c r="AC27" s="5" t="str">
        <f>IF($A27="","",VLOOKUP($F27,Lookups!$G$4:$H$8,2,TRUE))</f>
        <v>Night (00-05)</v>
      </c>
      <c r="AD27" s="18">
        <f>IF($A27="","",IF($J27="","",ROUND($J27*41,1)))</f>
        <v>18</v>
      </c>
      <c r="AE27" s="18">
        <f>IF($A27="","",IF($R27="","",ROUND($R27*50,1)))</f>
        <v>22</v>
      </c>
      <c r="AF27" s="5">
        <f>IF($A27="","",IF($L27="","",ROUND($L27*100,0)))</f>
        <v>94</v>
      </c>
      <c r="AG27" s="18">
        <f>IF($A27="","",IF($M27="","",ROUND($M27*67,1)))</f>
        <v>17</v>
      </c>
      <c r="AH27" s="19">
        <f>IF($A27="","",IF($P27="","",IF($P27=0,0,$O27/$P27)))</f>
        <v>0.941176470588235</v>
      </c>
      <c r="AI27" s="5" t="str">
        <f>IF($A27="","",IF($P27="","",IF($P27&gt;=Lookups!$K$7,"High",IF($P27&lt;=Lookups!$K$8,"Low","Medium"))))</f>
        <v>Medium</v>
      </c>
      <c r="AJ27" s="5" t="str">
        <f>IF($A27="","",IF($AD27="","",IF($AD27&lt;5,"Under 5 C",IF($AD27&lt;10,"5-10 C",IF($AD27&lt;15,"10-15 C","15 C and above")))))</f>
        <v>15 C and above</v>
      </c>
      <c r="AK27" s="5">
        <f>IF($A27="","",IF($P27="","",$P27^2))</f>
        <v>289</v>
      </c>
      <c r="AL27" s="18">
        <f>IF($V27&lt;&gt;1,"",AVERAGEIFS(Clean_Data!$P$2:$P$1001,Clean_Data!$F$2:$F$1001,$F27,Clean_Data!$W$2:$W$1001,$W27,Clean_Data!$V$2:$V$1001,1))</f>
        <v>22.2857142857143</v>
      </c>
      <c r="AM27" s="16">
        <f>IF($V27&lt;&gt;1,"",IFERROR(($P27-$AL27)/SQRT(MAX(0,(SUMIFS(Clean_Data!$AK$2:$AK$1001,Clean_Data!$F$2:$F$1001,$F27,Clean_Data!$W$2:$W$1001,$W27,Clean_Data!$V$2:$V$1001,1)-COUNTIFS(Clean_Data!$F$2:$F$1001,$F27,Clean_Data!$W$2:$W$1001,$W27,Clean_Data!$V$2:$V$1001,1)*$AL27^2)/(COUNTIFS(Clean_Data!$F$2:$F$1001,$F27,Clean_Data!$W$2:$W$1001,$W27,Clean_Data!$V$2:$V$1001,1)-1))),""))</f>
        <v>-0.543214726442263</v>
      </c>
      <c r="AN27" s="5" t="str">
        <f>IF($AM27="","",IF($AM27&gt;=Lookups!$K$6,"High spike",IF($AM27&lt;=-Lookups!$K$6,"Unusual low","Normal")))</f>
        <v>Normal</v>
      </c>
      <c r="AO27" s="20">
        <f>IF($V27&lt;&gt;1,"",$P27+ROW()/100000)</f>
        <v>17.00027</v>
      </c>
      <c r="AP27" s="5">
        <f>IF($A27="","",IFERROR(MATCH($A27,Raw_D1!$A$2:$A$1001,0),""))</f>
        <v>26</v>
      </c>
      <c r="AQ27" s="5">
        <f>IF($A27="","",IFERROR(MATCH($A27,Raw_D2!$B$2:$B$1001,0),""))</f>
        <v>26</v>
      </c>
      <c r="AR27" s="5">
        <f>IF($A27="","",IFERROR(MATCH($A27,Raw_D3!$A$2:$A$1001,0),""))</f>
        <v/>
      </c>
    </row>
    <row r="28" spans="1:44" x14ac:dyDescent="0.25">
      <c r="A28" s="5">
        <v>27</v>
      </c>
      <c r="B28" s="11">
        <f>IF($A28="","",IF($AP28&lt;&gt;"",INDEX(Raw_D1!$B$2:$B$1001,$AP28),IF($AR28&lt;&gt;"",INDEX(Raw_D3!$B$2:$B$1001,$AR28),"")))</f>
        <v>40545.0</v>
      </c>
      <c r="C28" s="5">
        <f>IF($A28="","",IF($AP28&lt;&gt;"",INDEX(Raw_D1!$C$2:$C$1001,$AP28),IF($AR28&lt;&gt;"",INDEX(Raw_D3!$C$2:$C$1001,$AR28),"")))</f>
        <v>1</v>
      </c>
      <c r="D28" s="5">
        <f>IF($A28="","",IF($AP28&lt;&gt;"",INDEX(Raw_D1!$D$2:$D$1001,$AP28),IF($AR28&lt;&gt;"",INDEX(Raw_D3!$D$2:$D$1001,$AR28),"")))</f>
        <v>0</v>
      </c>
      <c r="E28" s="5">
        <f>IF($A28="","",IF($AP28&lt;&gt;"",INDEX(Raw_D1!$E$2:$E$1001,$AP28),IF($AR28&lt;&gt;"",INDEX(Raw_D3!$E$2:$E$1001,$AR28),"")))</f>
        <v>1</v>
      </c>
      <c r="F28" s="5">
        <f>IF($A28="","",IF($AP28&lt;&gt;"",INDEX(Raw_D1!$F$2:$F$1001,$AP28),IF($AR28&lt;&gt;"",INDEX(Raw_D3!$F$2:$F$1001,$AR28),"")))</f>
        <v>2</v>
      </c>
      <c r="G28" s="5">
        <f>IF($A28="","",IF($AP28&lt;&gt;"",IF(INDEX(Raw_D1!$G$2:$G$1001,$AP28),1,0),IF($AR28&lt;&gt;"",IF(INDEX(Raw_D3!$G$2:$G$1001,$AR28),1,0),"")))</f>
        <v>0</v>
      </c>
      <c r="H28" s="5">
        <f>IF($A28="","",IF($AP28&lt;&gt;"",INDEX(Raw_D1!$H$2:$H$1001,$AP28),IF($AR28&lt;&gt;"",INDEX(Raw_D3!$H$2:$H$1001,$AR28),"")))</f>
        <v>0</v>
      </c>
      <c r="I28" s="5">
        <f>IF($A28="","",IF($AP28&lt;&gt;"",INDEX(Raw_D1!$I$2:$I$1001,$AP28),IF($AR28&lt;&gt;"",INDEX(Raw_D3!$I$2:$I$1001,$AR28),"")))</f>
        <v>2</v>
      </c>
      <c r="J28" s="16">
        <f>IF($A28="","",IF($AP28&lt;&gt;"",INDEX(Raw_D1!$J$2:$J$1001,$AP28),IF($AR28&lt;&gt;"",INDEX(Raw_D3!$J$2:$J$1001,$AR28),"")))</f>
        <v>0.42</v>
      </c>
      <c r="K28" s="17">
        <f>IF($A28="","",IF($AQ28&lt;&gt;"",IF(INDEX(Raw_D2!$C$2:$C$1001,$AQ28)="","",INDEX(Raw_D2!$C$2:$C$1001,$AQ28)),IF($AR28&lt;&gt;"",IF(INDEX(Raw_D3!$K$2:$K$1001,$AR28)="","",INDEX(Raw_D3!$K$2:$K$1001,$AR28)),"")))</f>
        <v>0.4242</v>
      </c>
      <c r="L28" s="16">
        <f>IF($A28="","",IF($AQ28&lt;&gt;"",IF(INDEX(Raw_D2!$D$2:$D$1001,$AQ28)="","",INDEX(Raw_D2!$D$2:$D$1001,$AQ28)),IF($AR28&lt;&gt;"",IF(INDEX(Raw_D3!$L$2:$L$1001,$AR28)="","",INDEX(Raw_D3!$L$2:$L$1001,$AR28)),"")))</f>
        <v>1</v>
      </c>
      <c r="M28" s="17">
        <f>IF($A28="","",IF($AQ28&lt;&gt;"",IF(INDEX(Raw_D2!$E$2:$E$1001,$AQ28)="","",INDEX(Raw_D2!$E$2:$E$1001,$AQ28)),IF($AR28&lt;&gt;"",IF(INDEX(Raw_D3!$M$2:$M$1001,$AR28)="","",INDEX(Raw_D3!$M$2:$M$1001,$AR28)),"")))</f>
        <v>0.2836</v>
      </c>
      <c r="N28" s="5">
        <f>IF($A28="","",IF($AQ28&lt;&gt;"",IF(INDEX(Raw_D2!$F$2:$F$1001,$AQ28)="","",INDEX(Raw_D2!$F$2:$F$1001,$AQ28)),IF($AR28&lt;&gt;"",IF(INDEX(Raw_D3!$N$2:$N$1001,$AR28)="","",INDEX(Raw_D3!$N$2:$N$1001,$AR28)),"")))</f>
        <v>1</v>
      </c>
      <c r="O28" s="5">
        <f>IF($A28="","",IF($AQ28&lt;&gt;"",IF(INDEX(Raw_D2!$G$2:$G$1001,$AQ28)="","",INDEX(Raw_D2!$G$2:$G$1001,$AQ28)),IF($AR28&lt;&gt;"",IF(INDEX(Raw_D3!$O$2:$O$1001,$AR28)="","",INDEX(Raw_D3!$O$2:$O$1001,$AR28)),"")))</f>
        <v>8</v>
      </c>
      <c r="P28" s="5">
        <f>IF($A28="","",IF($AQ28&lt;&gt;"",IF(INDEX(Raw_D2!$H$2:$H$1001,$AQ28)="","",INDEX(Raw_D2!$H$2:$H$1001,$AQ28)),IF($AR28&lt;&gt;"",IF(INDEX(Raw_D3!$P$2:$P$1001,$AR28)="","",INDEX(Raw_D3!$P$2:$P$1001,$AR28)),"")))</f>
        <v>9</v>
      </c>
      <c r="Q28" s="5" t="str">
        <f>IF($A28="","",IF(AND($AP28&lt;&gt;"",$AQ28&lt;&gt;""),"D1+D2",IF($AR28&lt;&gt;"","D3","Incomplete")))</f>
        <v>D1+D2</v>
      </c>
      <c r="R28" s="17">
        <f>IF($A28="","",IF($K28="",IF($J28="","",ROUND(Lookups!$K$5+Lookups!$K$4*$J28,4)),$K28))</f>
        <v>0.4242</v>
      </c>
      <c r="S28" s="5" t="str">
        <f>IF($A28="","",IF($K28="","Imputed","Original"))</f>
        <v>Original</v>
      </c>
      <c r="T28" s="5" t="str">
        <f>IF($A28="","",IF($P28="","Missing",IF($P28=$N28+$O28,"OK","Mismatch")))</f>
        <v>OK</v>
      </c>
      <c r="U28" s="5" t="str">
        <f>IF($A28="","",IF(COUNTIF($A$2:$A28,$A28)&gt;1,"Duplicate","Unique"))</f>
        <v>Unique</v>
      </c>
      <c r="V28" s="5">
        <f>IF($A28="","",IF(AND($U28="Unique",ISNUMBER($P28)),1,0))</f>
        <v>1</v>
      </c>
      <c r="W28" s="5" t="str">
        <f>IF($A28="","",IF(OR($H28=0,$H28=6),"Weekend","Weekday"))</f>
        <v>Weekend</v>
      </c>
      <c r="X28" s="5" t="str">
        <f>IF($A28="","",TEXT($B28,"ddd"))</f>
        <v>Sun</v>
      </c>
      <c r="Y28" s="5" t="str">
        <f>IF($A28="","",TEXT($B28,"mmm"))</f>
        <v>Jan</v>
      </c>
      <c r="Z28" s="5" t="str">
        <f>IF($A28="","",IFERROR(VLOOKUP($C28,Lookups!$D$4:$E$7,2,FALSE),"Unknown"))</f>
        <v>Winter</v>
      </c>
      <c r="AA28" s="5" t="str">
        <f>IF($A28="","",IFERROR(VLOOKUP($I28,Lookups!$A$4:$B$7,2,FALSE),"Unknown"))</f>
        <v>Mist/Cloudy</v>
      </c>
      <c r="AB28" s="5" t="str">
        <f>IF($A28="","",TEXT($F28,"00")&amp;":00")</f>
        <v>02:00</v>
      </c>
      <c r="AC28" s="5" t="str">
        <f>IF($A28="","",VLOOKUP($F28,Lookups!$G$4:$H$8,2,TRUE))</f>
        <v>Night (00-05)</v>
      </c>
      <c r="AD28" s="18">
        <f>IF($A28="","",IF($J28="","",ROUND($J28*41,1)))</f>
        <v>17.2</v>
      </c>
      <c r="AE28" s="18">
        <f>IF($A28="","",IF($R28="","",ROUND($R28*50,1)))</f>
        <v>21.2</v>
      </c>
      <c r="AF28" s="5">
        <f>IF($A28="","",IF($L28="","",ROUND($L28*100,0)))</f>
        <v>100</v>
      </c>
      <c r="AG28" s="18">
        <f>IF($A28="","",IF($M28="","",ROUND($M28*67,1)))</f>
        <v>19</v>
      </c>
      <c r="AH28" s="19">
        <f>IF($A28="","",IF($P28="","",IF($P28=0,0,$O28/$P28)))</f>
        <v>0.888888888888889</v>
      </c>
      <c r="AI28" s="5" t="str">
        <f>IF($A28="","",IF($P28="","",IF($P28&gt;=Lookups!$K$7,"High",IF($P28&lt;=Lookups!$K$8,"Low","Medium"))))</f>
        <v>Low</v>
      </c>
      <c r="AJ28" s="5" t="str">
        <f>IF($A28="","",IF($AD28="","",IF($AD28&lt;5,"Under 5 C",IF($AD28&lt;10,"5-10 C",IF($AD28&lt;15,"10-15 C","15 C and above")))))</f>
        <v>15 C and above</v>
      </c>
      <c r="AK28" s="5">
        <f>IF($A28="","",IF($P28="","",$P28^2))</f>
        <v>81</v>
      </c>
      <c r="AL28" s="18">
        <f>IF($V28&lt;&gt;1,"",AVERAGEIFS(Clean_Data!$P$2:$P$1001,Clean_Data!$F$2:$F$1001,$F28,Clean_Data!$W$2:$W$1001,$W28,Clean_Data!$V$2:$V$1001,1))</f>
        <v>15.9285714285714</v>
      </c>
      <c r="AM28" s="16">
        <f>IF($V28&lt;&gt;1,"",IFERROR(($P28-$AL28)/SQRT(MAX(0,(SUMIFS(Clean_Data!$AK$2:$AK$1001,Clean_Data!$F$2:$F$1001,$F28,Clean_Data!$W$2:$W$1001,$W28,Clean_Data!$V$2:$V$1001,1)-COUNTIFS(Clean_Data!$F$2:$F$1001,$F28,Clean_Data!$W$2:$W$1001,$W28,Clean_Data!$V$2:$V$1001,1)*$AL28^2)/(COUNTIFS(Clean_Data!$F$2:$F$1001,$F28,Clean_Data!$W$2:$W$1001,$W28,Clean_Data!$V$2:$V$1001,1)-1))),""))</f>
        <v>-1.19786094534374</v>
      </c>
      <c r="AN28" s="5" t="str">
        <f>IF($AM28="","",IF($AM28&gt;=Lookups!$K$6,"High spike",IF($AM28&lt;=-Lookups!$K$6,"Unusual low","Normal")))</f>
        <v>Normal</v>
      </c>
      <c r="AO28" s="20">
        <f>IF($V28&lt;&gt;1,"",$P28+ROW()/100000)</f>
        <v>9.00028</v>
      </c>
      <c r="AP28" s="5">
        <f>IF($A28="","",IFERROR(MATCH($A28,Raw_D1!$A$2:$A$1001,0),""))</f>
        <v>27</v>
      </c>
      <c r="AQ28" s="5">
        <f>IF($A28="","",IFERROR(MATCH($A28,Raw_D2!$B$2:$B$1001,0),""))</f>
        <v>27</v>
      </c>
      <c r="AR28" s="5">
        <f>IF($A28="","",IFERROR(MATCH($A28,Raw_D3!$A$2:$A$1001,0),""))</f>
        <v/>
      </c>
    </row>
    <row r="29" spans="1:44" x14ac:dyDescent="0.25">
      <c r="A29" s="5">
        <v>28</v>
      </c>
      <c r="B29" s="11">
        <f>IF($A29="","",IF($AP29&lt;&gt;"",INDEX(Raw_D1!$B$2:$B$1001,$AP29),IF($AR29&lt;&gt;"",INDEX(Raw_D3!$B$2:$B$1001,$AR29),"")))</f>
        <v>40545.0</v>
      </c>
      <c r="C29" s="5">
        <f>IF($A29="","",IF($AP29&lt;&gt;"",INDEX(Raw_D1!$C$2:$C$1001,$AP29),IF($AR29&lt;&gt;"",INDEX(Raw_D3!$C$2:$C$1001,$AR29),"")))</f>
        <v>1</v>
      </c>
      <c r="D29" s="5">
        <f>IF($A29="","",IF($AP29&lt;&gt;"",INDEX(Raw_D1!$D$2:$D$1001,$AP29),IF($AR29&lt;&gt;"",INDEX(Raw_D3!$D$2:$D$1001,$AR29),"")))</f>
        <v>0</v>
      </c>
      <c r="E29" s="5">
        <f>IF($A29="","",IF($AP29&lt;&gt;"",INDEX(Raw_D1!$E$2:$E$1001,$AP29),IF($AR29&lt;&gt;"",INDEX(Raw_D3!$E$2:$E$1001,$AR29),"")))</f>
        <v>1</v>
      </c>
      <c r="F29" s="5">
        <f>IF($A29="","",IF($AP29&lt;&gt;"",INDEX(Raw_D1!$F$2:$F$1001,$AP29),IF($AR29&lt;&gt;"",INDEX(Raw_D3!$F$2:$F$1001,$AR29),"")))</f>
        <v>3</v>
      </c>
      <c r="G29" s="5">
        <f>IF($A29="","",IF($AP29&lt;&gt;"",IF(INDEX(Raw_D1!$G$2:$G$1001,$AP29),1,0),IF($AR29&lt;&gt;"",IF(INDEX(Raw_D3!$G$2:$G$1001,$AR29),1,0),"")))</f>
        <v>0</v>
      </c>
      <c r="H29" s="5">
        <f>IF($A29="","",IF($AP29&lt;&gt;"",INDEX(Raw_D1!$H$2:$H$1001,$AP29),IF($AR29&lt;&gt;"",INDEX(Raw_D3!$H$2:$H$1001,$AR29),"")))</f>
        <v>0</v>
      </c>
      <c r="I29" s="5">
        <f>IF($A29="","",IF($AP29&lt;&gt;"",INDEX(Raw_D1!$I$2:$I$1001,$AP29),IF($AR29&lt;&gt;"",INDEX(Raw_D3!$I$2:$I$1001,$AR29),"")))</f>
        <v>2</v>
      </c>
      <c r="J29" s="16">
        <f>IF($A29="","",IF($AP29&lt;&gt;"",INDEX(Raw_D1!$J$2:$J$1001,$AP29),IF($AR29&lt;&gt;"",INDEX(Raw_D3!$J$2:$J$1001,$AR29),"")))</f>
        <v>0.46</v>
      </c>
      <c r="K29" s="17">
        <f>IF($A29="","",IF($AQ29&lt;&gt;"",IF(INDEX(Raw_D2!$C$2:$C$1001,$AQ29)="","",INDEX(Raw_D2!$C$2:$C$1001,$AQ29)),IF($AR29&lt;&gt;"",IF(INDEX(Raw_D3!$K$2:$K$1001,$AR29)="","",INDEX(Raw_D3!$K$2:$K$1001,$AR29)),"")))</f>
        <v>0.4545</v>
      </c>
      <c r="L29" s="16">
        <f>IF($A29="","",IF($AQ29&lt;&gt;"",IF(INDEX(Raw_D2!$D$2:$D$1001,$AQ29)="","",INDEX(Raw_D2!$D$2:$D$1001,$AQ29)),IF($AR29&lt;&gt;"",IF(INDEX(Raw_D3!$L$2:$L$1001,$AR29)="","",INDEX(Raw_D3!$L$2:$L$1001,$AR29)),"")))</f>
        <v>0.94</v>
      </c>
      <c r="M29" s="17">
        <f>IF($A29="","",IF($AQ29&lt;&gt;"",IF(INDEX(Raw_D2!$E$2:$E$1001,$AQ29)="","",INDEX(Raw_D2!$E$2:$E$1001,$AQ29)),IF($AR29&lt;&gt;"",IF(INDEX(Raw_D3!$M$2:$M$1001,$AR29)="","",INDEX(Raw_D3!$M$2:$M$1001,$AR29)),"")))</f>
        <v>0.194</v>
      </c>
      <c r="N29" s="5">
        <f>IF($A29="","",IF($AQ29&lt;&gt;"",IF(INDEX(Raw_D2!$F$2:$F$1001,$AQ29)="","",INDEX(Raw_D2!$F$2:$F$1001,$AQ29)),IF($AR29&lt;&gt;"",IF(INDEX(Raw_D3!$N$2:$N$1001,$AR29)="","",INDEX(Raw_D3!$N$2:$N$1001,$AR29)),"")))</f>
        <v>2</v>
      </c>
      <c r="O29" s="5">
        <f>IF($A29="","",IF($AQ29&lt;&gt;"",IF(INDEX(Raw_D2!$G$2:$G$1001,$AQ29)="","",INDEX(Raw_D2!$G$2:$G$1001,$AQ29)),IF($AR29&lt;&gt;"",IF(INDEX(Raw_D3!$O$2:$O$1001,$AR29)="","",INDEX(Raw_D3!$O$2:$O$1001,$AR29)),"")))</f>
        <v>4</v>
      </c>
      <c r="P29" s="5">
        <f>IF($A29="","",IF($AQ29&lt;&gt;"",IF(INDEX(Raw_D2!$H$2:$H$1001,$AQ29)="","",INDEX(Raw_D2!$H$2:$H$1001,$AQ29)),IF($AR29&lt;&gt;"",IF(INDEX(Raw_D3!$P$2:$P$1001,$AR29)="","",INDEX(Raw_D3!$P$2:$P$1001,$AR29)),"")))</f>
        <v>6</v>
      </c>
      <c r="Q29" s="5" t="str">
        <f>IF($A29="","",IF(AND($AP29&lt;&gt;"",$AQ29&lt;&gt;""),"D1+D2",IF($AR29&lt;&gt;"","D3","Incomplete")))</f>
        <v>D1+D2</v>
      </c>
      <c r="R29" s="17">
        <f>IF($A29="","",IF($K29="",IF($J29="","",ROUND(Lookups!$K$5+Lookups!$K$4*$J29,4)),$K29))</f>
        <v>0.4545</v>
      </c>
      <c r="S29" s="5" t="str">
        <f>IF($A29="","",IF($K29="","Imputed","Original"))</f>
        <v>Original</v>
      </c>
      <c r="T29" s="5" t="str">
        <f>IF($A29="","",IF($P29="","Missing",IF($P29=$N29+$O29,"OK","Mismatch")))</f>
        <v>OK</v>
      </c>
      <c r="U29" s="5" t="str">
        <f>IF($A29="","",IF(COUNTIF($A$2:$A29,$A29)&gt;1,"Duplicate","Unique"))</f>
        <v>Unique</v>
      </c>
      <c r="V29" s="5">
        <f>IF($A29="","",IF(AND($U29="Unique",ISNUMBER($P29)),1,0))</f>
        <v>1</v>
      </c>
      <c r="W29" s="5" t="str">
        <f>IF($A29="","",IF(OR($H29=0,$H29=6),"Weekend","Weekday"))</f>
        <v>Weekend</v>
      </c>
      <c r="X29" s="5" t="str">
        <f>IF($A29="","",TEXT($B29,"ddd"))</f>
        <v>Sun</v>
      </c>
      <c r="Y29" s="5" t="str">
        <f>IF($A29="","",TEXT($B29,"mmm"))</f>
        <v>Jan</v>
      </c>
      <c r="Z29" s="5" t="str">
        <f>IF($A29="","",IFERROR(VLOOKUP($C29,Lookups!$D$4:$E$7,2,FALSE),"Unknown"))</f>
        <v>Winter</v>
      </c>
      <c r="AA29" s="5" t="str">
        <f>IF($A29="","",IFERROR(VLOOKUP($I29,Lookups!$A$4:$B$7,2,FALSE),"Unknown"))</f>
        <v>Mist/Cloudy</v>
      </c>
      <c r="AB29" s="5" t="str">
        <f>IF($A29="","",TEXT($F29,"00")&amp;":00")</f>
        <v>03:00</v>
      </c>
      <c r="AC29" s="5" t="str">
        <f>IF($A29="","",VLOOKUP($F29,Lookups!$G$4:$H$8,2,TRUE))</f>
        <v>Night (00-05)</v>
      </c>
      <c r="AD29" s="18">
        <f>IF($A29="","",IF($J29="","",ROUND($J29*41,1)))</f>
        <v>18.9</v>
      </c>
      <c r="AE29" s="18">
        <f>IF($A29="","",IF($R29="","",ROUND($R29*50,1)))</f>
        <v>22.7</v>
      </c>
      <c r="AF29" s="5">
        <f>IF($A29="","",IF($L29="","",ROUND($L29*100,0)))</f>
        <v>94</v>
      </c>
      <c r="AG29" s="18">
        <f>IF($A29="","",IF($M29="","",ROUND($M29*67,1)))</f>
        <v>13</v>
      </c>
      <c r="AH29" s="19">
        <f>IF($A29="","",IF($P29="","",IF($P29=0,0,$O29/$P29)))</f>
        <v>0.666666666666667</v>
      </c>
      <c r="AI29" s="5" t="str">
        <f>IF($A29="","",IF($P29="","",IF($P29&gt;=Lookups!$K$7,"High",IF($P29&lt;=Lookups!$K$8,"Low","Medium"))))</f>
        <v>Low</v>
      </c>
      <c r="AJ29" s="5" t="str">
        <f>IF($A29="","",IF($AD29="","",IF($AD29&lt;5,"Under 5 C",IF($AD29&lt;10,"5-10 C",IF($AD29&lt;15,"10-15 C","15 C and above")))))</f>
        <v>15 C and above</v>
      </c>
      <c r="AK29" s="5">
        <f>IF($A29="","",IF($P29="","",$P29^2))</f>
        <v>36</v>
      </c>
      <c r="AL29" s="18">
        <f>IF($V29&lt;&gt;1,"",AVERAGEIFS(Clean_Data!$P$2:$P$1001,Clean_Data!$F$2:$F$1001,$F29,Clean_Data!$W$2:$W$1001,$W29,Clean_Data!$V$2:$V$1001,1))</f>
        <v>9.07142857142857</v>
      </c>
      <c r="AM29" s="16">
        <f>IF($V29&lt;&gt;1,"",IFERROR(($P29-$AL29)/SQRT(MAX(0,(SUMIFS(Clean_Data!$AK$2:$AK$1001,Clean_Data!$F$2:$F$1001,$F29,Clean_Data!$W$2:$W$1001,$W29,Clean_Data!$V$2:$V$1001,1)-COUNTIFS(Clean_Data!$F$2:$F$1001,$F29,Clean_Data!$W$2:$W$1001,$W29,Clean_Data!$V$2:$V$1001,1)*$AL29^2)/(COUNTIFS(Clean_Data!$F$2:$F$1001,$F29,Clean_Data!$W$2:$W$1001,$W29,Clean_Data!$V$2:$V$1001,1)-1))),""))</f>
        <v>-0.92630193138104</v>
      </c>
      <c r="AN29" s="5" t="str">
        <f>IF($AM29="","",IF($AM29&gt;=Lookups!$K$6,"High spike",IF($AM29&lt;=-Lookups!$K$6,"Unusual low","Normal")))</f>
        <v>Normal</v>
      </c>
      <c r="AO29" s="20">
        <f>IF($V29&lt;&gt;1,"",$P29+ROW()/100000)</f>
        <v>6.00029</v>
      </c>
      <c r="AP29" s="5">
        <f>IF($A29="","",IFERROR(MATCH($A29,Raw_D1!$A$2:$A$1001,0),""))</f>
        <v>28</v>
      </c>
      <c r="AQ29" s="5">
        <f>IF($A29="","",IFERROR(MATCH($A29,Raw_D2!$B$2:$B$1001,0),""))</f>
        <v>28</v>
      </c>
      <c r="AR29" s="5">
        <f>IF($A29="","",IFERROR(MATCH($A29,Raw_D3!$A$2:$A$1001,0),""))</f>
        <v/>
      </c>
    </row>
    <row r="30" spans="1:44" x14ac:dyDescent="0.25">
      <c r="A30" s="5">
        <v>29</v>
      </c>
      <c r="B30" s="11">
        <f>IF($A30="","",IF($AP30&lt;&gt;"",INDEX(Raw_D1!$B$2:$B$1001,$AP30),IF($AR30&lt;&gt;"",INDEX(Raw_D3!$B$2:$B$1001,$AR30),"")))</f>
        <v>40545.0</v>
      </c>
      <c r="C30" s="5">
        <f>IF($A30="","",IF($AP30&lt;&gt;"",INDEX(Raw_D1!$C$2:$C$1001,$AP30),IF($AR30&lt;&gt;"",INDEX(Raw_D3!$C$2:$C$1001,$AR30),"")))</f>
        <v>1</v>
      </c>
      <c r="D30" s="5">
        <f>IF($A30="","",IF($AP30&lt;&gt;"",INDEX(Raw_D1!$D$2:$D$1001,$AP30),IF($AR30&lt;&gt;"",INDEX(Raw_D3!$D$2:$D$1001,$AR30),"")))</f>
        <v>0</v>
      </c>
      <c r="E30" s="5">
        <f>IF($A30="","",IF($AP30&lt;&gt;"",INDEX(Raw_D1!$E$2:$E$1001,$AP30),IF($AR30&lt;&gt;"",INDEX(Raw_D3!$E$2:$E$1001,$AR30),"")))</f>
        <v>1</v>
      </c>
      <c r="F30" s="5">
        <f>IF($A30="","",IF($AP30&lt;&gt;"",INDEX(Raw_D1!$F$2:$F$1001,$AP30),IF($AR30&lt;&gt;"",INDEX(Raw_D3!$F$2:$F$1001,$AR30),"")))</f>
        <v>4</v>
      </c>
      <c r="G30" s="5">
        <f>IF($A30="","",IF($AP30&lt;&gt;"",IF(INDEX(Raw_D1!$G$2:$G$1001,$AP30),1,0),IF($AR30&lt;&gt;"",IF(INDEX(Raw_D3!$G$2:$G$1001,$AR30),1,0),"")))</f>
        <v>0</v>
      </c>
      <c r="H30" s="5">
        <f>IF($A30="","",IF($AP30&lt;&gt;"",INDEX(Raw_D1!$H$2:$H$1001,$AP30),IF($AR30&lt;&gt;"",INDEX(Raw_D3!$H$2:$H$1001,$AR30),"")))</f>
        <v>0</v>
      </c>
      <c r="I30" s="5">
        <f>IF($A30="","",IF($AP30&lt;&gt;"",INDEX(Raw_D1!$I$2:$I$1001,$AP30),IF($AR30&lt;&gt;"",INDEX(Raw_D3!$I$2:$I$1001,$AR30),"")))</f>
        <v>2</v>
      </c>
      <c r="J30" s="16">
        <f>IF($A30="","",IF($AP30&lt;&gt;"",INDEX(Raw_D1!$J$2:$J$1001,$AP30),IF($AR30&lt;&gt;"",INDEX(Raw_D3!$J$2:$J$1001,$AR30),"")))</f>
        <v>0.46</v>
      </c>
      <c r="K30" s="17">
        <f>IF($A30="","",IF($AQ30&lt;&gt;"",IF(INDEX(Raw_D2!$C$2:$C$1001,$AQ30)="","",INDEX(Raw_D2!$C$2:$C$1001,$AQ30)),IF($AR30&lt;&gt;"",IF(INDEX(Raw_D3!$K$2:$K$1001,$AR30)="","",INDEX(Raw_D3!$K$2:$K$1001,$AR30)),"")))</f>
        <v/>
      </c>
      <c r="L30" s="16">
        <f>IF($A30="","",IF($AQ30&lt;&gt;"",IF(INDEX(Raw_D2!$D$2:$D$1001,$AQ30)="","",INDEX(Raw_D2!$D$2:$D$1001,$AQ30)),IF($AR30&lt;&gt;"",IF(INDEX(Raw_D3!$L$2:$L$1001,$AR30)="","",INDEX(Raw_D3!$L$2:$L$1001,$AR30)),"")))</f>
        <v>0.94</v>
      </c>
      <c r="M30" s="17">
        <f>IF($A30="","",IF($AQ30&lt;&gt;"",IF(INDEX(Raw_D2!$E$2:$E$1001,$AQ30)="","",INDEX(Raw_D2!$E$2:$E$1001,$AQ30)),IF($AR30&lt;&gt;"",IF(INDEX(Raw_D3!$M$2:$M$1001,$AR30)="","",INDEX(Raw_D3!$M$2:$M$1001,$AR30)),"")))</f>
        <v>0.194</v>
      </c>
      <c r="N30" s="5">
        <f>IF($A30="","",IF($AQ30&lt;&gt;"",IF(INDEX(Raw_D2!$F$2:$F$1001,$AQ30)="","",INDEX(Raw_D2!$F$2:$F$1001,$AQ30)),IF($AR30&lt;&gt;"",IF(INDEX(Raw_D3!$N$2:$N$1001,$AR30)="","",INDEX(Raw_D3!$N$2:$N$1001,$AR30)),"")))</f>
        <v>2</v>
      </c>
      <c r="O30" s="5">
        <f>IF($A30="","",IF($AQ30&lt;&gt;"",IF(INDEX(Raw_D2!$G$2:$G$1001,$AQ30)="","",INDEX(Raw_D2!$G$2:$G$1001,$AQ30)),IF($AR30&lt;&gt;"",IF(INDEX(Raw_D3!$O$2:$O$1001,$AR30)="","",INDEX(Raw_D3!$O$2:$O$1001,$AR30)),"")))</f>
        <v>1</v>
      </c>
      <c r="P30" s="5">
        <f>IF($A30="","",IF($AQ30&lt;&gt;"",IF(INDEX(Raw_D2!$H$2:$H$1001,$AQ30)="","",INDEX(Raw_D2!$H$2:$H$1001,$AQ30)),IF($AR30&lt;&gt;"",IF(INDEX(Raw_D3!$P$2:$P$1001,$AR30)="","",INDEX(Raw_D3!$P$2:$P$1001,$AR30)),"")))</f>
        <v>3</v>
      </c>
      <c r="Q30" s="5" t="str">
        <f>IF($A30="","",IF(AND($AP30&lt;&gt;"",$AQ30&lt;&gt;""),"D1+D2",IF($AR30&lt;&gt;"","D3","Incomplete")))</f>
        <v>D1+D2</v>
      </c>
      <c r="R30" s="17">
        <f>IF($A30="","",IF($K30="",IF($J30="","",ROUND(Lookups!$K$5+Lookups!$K$4*$J30,4)),$K30))</f>
        <v>0.4464</v>
      </c>
      <c r="S30" s="5" t="str">
        <f>IF($A30="","",IF($K30="","Imputed","Original"))</f>
        <v>Imputed</v>
      </c>
      <c r="T30" s="5" t="str">
        <f>IF($A30="","",IF($P30="","Missing",IF($P30=$N30+$O30,"OK","Mismatch")))</f>
        <v>OK</v>
      </c>
      <c r="U30" s="5" t="str">
        <f>IF($A30="","",IF(COUNTIF($A$2:$A30,$A30)&gt;1,"Duplicate","Unique"))</f>
        <v>Unique</v>
      </c>
      <c r="V30" s="5">
        <f>IF($A30="","",IF(AND($U30="Unique",ISNUMBER($P30)),1,0))</f>
        <v>1</v>
      </c>
      <c r="W30" s="5" t="str">
        <f>IF($A30="","",IF(OR($H30=0,$H30=6),"Weekend","Weekday"))</f>
        <v>Weekend</v>
      </c>
      <c r="X30" s="5" t="str">
        <f>IF($A30="","",TEXT($B30,"ddd"))</f>
        <v>Sun</v>
      </c>
      <c r="Y30" s="5" t="str">
        <f>IF($A30="","",TEXT($B30,"mmm"))</f>
        <v>Jan</v>
      </c>
      <c r="Z30" s="5" t="str">
        <f>IF($A30="","",IFERROR(VLOOKUP($C30,Lookups!$D$4:$E$7,2,FALSE),"Unknown"))</f>
        <v>Winter</v>
      </c>
      <c r="AA30" s="5" t="str">
        <f>IF($A30="","",IFERROR(VLOOKUP($I30,Lookups!$A$4:$B$7,2,FALSE),"Unknown"))</f>
        <v>Mist/Cloudy</v>
      </c>
      <c r="AB30" s="5" t="str">
        <f>IF($A30="","",TEXT($F30,"00")&amp;":00")</f>
        <v>04:00</v>
      </c>
      <c r="AC30" s="5" t="str">
        <f>IF($A30="","",VLOOKUP($F30,Lookups!$G$4:$H$8,2,TRUE))</f>
        <v>Night (00-05)</v>
      </c>
      <c r="AD30" s="18">
        <f>IF($A30="","",IF($J30="","",ROUND($J30*41,1)))</f>
        <v>18.9</v>
      </c>
      <c r="AE30" s="18">
        <f>IF($A30="","",IF($R30="","",ROUND($R30*50,1)))</f>
        <v>22.3</v>
      </c>
      <c r="AF30" s="5">
        <f>IF($A30="","",IF($L30="","",ROUND($L30*100,0)))</f>
        <v>94</v>
      </c>
      <c r="AG30" s="18">
        <f>IF($A30="","",IF($M30="","",ROUND($M30*67,1)))</f>
        <v>13</v>
      </c>
      <c r="AH30" s="19">
        <f>IF($A30="","",IF($P30="","",IF($P30=0,0,$O30/$P30)))</f>
        <v>0.333333333333333</v>
      </c>
      <c r="AI30" s="5" t="str">
        <f>IF($A30="","",IF($P30="","",IF($P30&gt;=Lookups!$K$7,"High",IF($P30&lt;=Lookups!$K$8,"Low","Medium"))))</f>
        <v>Low</v>
      </c>
      <c r="AJ30" s="5" t="str">
        <f>IF($A30="","",IF($AD30="","",IF($AD30&lt;5,"Under 5 C",IF($AD30&lt;10,"5-10 C",IF($AD30&lt;15,"10-15 C","15 C and above")))))</f>
        <v>15 C and above</v>
      </c>
      <c r="AK30" s="5">
        <f>IF($A30="","",IF($P30="","",$P30^2))</f>
        <v>9</v>
      </c>
      <c r="AL30" s="18">
        <f>IF($V30&lt;&gt;1,"",AVERAGEIFS(Clean_Data!$P$2:$P$1001,Clean_Data!$F$2:$F$1001,$F30,Clean_Data!$W$2:$W$1001,$W30,Clean_Data!$V$2:$V$1001,1))</f>
        <v>2.69230769230769</v>
      </c>
      <c r="AM30" s="16">
        <f>IF($V30&lt;&gt;1,"",IFERROR(($P30-$AL30)/SQRT(MAX(0,(SUMIFS(Clean_Data!$AK$2:$AK$1001,Clean_Data!$F$2:$F$1001,$F30,Clean_Data!$W$2:$W$1001,$W30,Clean_Data!$V$2:$V$1001,1)-COUNTIFS(Clean_Data!$F$2:$F$1001,$F30,Clean_Data!$W$2:$W$1001,$W30,Clean_Data!$V$2:$V$1001,1)*$AL30^2)/(COUNTIFS(Clean_Data!$F$2:$F$1001,$F30,Clean_Data!$W$2:$W$1001,$W30,Clean_Data!$V$2:$V$1001,1)-1))),""))</f>
        <v>0.149591518401353</v>
      </c>
      <c r="AN30" s="5" t="str">
        <f>IF($AM30="","",IF($AM30&gt;=Lookups!$K$6,"High spike",IF($AM30&lt;=-Lookups!$K$6,"Unusual low","Normal")))</f>
        <v>Normal</v>
      </c>
      <c r="AO30" s="20">
        <f>IF($V30&lt;&gt;1,"",$P30+ROW()/100000)</f>
        <v>3.0003</v>
      </c>
      <c r="AP30" s="5">
        <f>IF($A30="","",IFERROR(MATCH($A30,Raw_D1!$A$2:$A$1001,0),""))</f>
        <v>29</v>
      </c>
      <c r="AQ30" s="5">
        <f>IF($A30="","",IFERROR(MATCH($A30,Raw_D2!$B$2:$B$1001,0),""))</f>
        <v>29</v>
      </c>
      <c r="AR30" s="5">
        <f>IF($A30="","",IFERROR(MATCH($A30,Raw_D3!$A$2:$A$1001,0),""))</f>
        <v/>
      </c>
    </row>
    <row r="31" spans="1:44" x14ac:dyDescent="0.25">
      <c r="A31" s="5">
        <v>30</v>
      </c>
      <c r="B31" s="11">
        <f>IF($A31="","",IF($AP31&lt;&gt;"",INDEX(Raw_D1!$B$2:$B$1001,$AP31),IF($AR31&lt;&gt;"",INDEX(Raw_D3!$B$2:$B$1001,$AR31),"")))</f>
        <v>40545.0</v>
      </c>
      <c r="C31" s="5">
        <f>IF($A31="","",IF($AP31&lt;&gt;"",INDEX(Raw_D1!$C$2:$C$1001,$AP31),IF($AR31&lt;&gt;"",INDEX(Raw_D3!$C$2:$C$1001,$AR31),"")))</f>
        <v>1</v>
      </c>
      <c r="D31" s="5">
        <f>IF($A31="","",IF($AP31&lt;&gt;"",INDEX(Raw_D1!$D$2:$D$1001,$AP31),IF($AR31&lt;&gt;"",INDEX(Raw_D3!$D$2:$D$1001,$AR31),"")))</f>
        <v>0</v>
      </c>
      <c r="E31" s="5">
        <f>IF($A31="","",IF($AP31&lt;&gt;"",INDEX(Raw_D1!$E$2:$E$1001,$AP31),IF($AR31&lt;&gt;"",INDEX(Raw_D3!$E$2:$E$1001,$AR31),"")))</f>
        <v>1</v>
      </c>
      <c r="F31" s="5">
        <f>IF($A31="","",IF($AP31&lt;&gt;"",INDEX(Raw_D1!$F$2:$F$1001,$AP31),IF($AR31&lt;&gt;"",INDEX(Raw_D3!$F$2:$F$1001,$AR31),"")))</f>
        <v>6</v>
      </c>
      <c r="G31" s="5">
        <f>IF($A31="","",IF($AP31&lt;&gt;"",IF(INDEX(Raw_D1!$G$2:$G$1001,$AP31),1,0),IF($AR31&lt;&gt;"",IF(INDEX(Raw_D3!$G$2:$G$1001,$AR31),1,0),"")))</f>
        <v>0</v>
      </c>
      <c r="H31" s="5">
        <f>IF($A31="","",IF($AP31&lt;&gt;"",INDEX(Raw_D1!$H$2:$H$1001,$AP31),IF($AR31&lt;&gt;"",INDEX(Raw_D3!$H$2:$H$1001,$AR31),"")))</f>
        <v>0</v>
      </c>
      <c r="I31" s="5">
        <f>IF($A31="","",IF($AP31&lt;&gt;"",INDEX(Raw_D1!$I$2:$I$1001,$AP31),IF($AR31&lt;&gt;"",INDEX(Raw_D3!$I$2:$I$1001,$AR31),"")))</f>
        <v>3</v>
      </c>
      <c r="J31" s="16">
        <f>IF($A31="","",IF($AP31&lt;&gt;"",INDEX(Raw_D1!$J$2:$J$1001,$AP31),IF($AR31&lt;&gt;"",INDEX(Raw_D3!$J$2:$J$1001,$AR31),"")))</f>
        <v>0.42</v>
      </c>
      <c r="K31" s="17">
        <f>IF($A31="","",IF($AQ31&lt;&gt;"",IF(INDEX(Raw_D2!$C$2:$C$1001,$AQ31)="","",INDEX(Raw_D2!$C$2:$C$1001,$AQ31)),IF($AR31&lt;&gt;"",IF(INDEX(Raw_D3!$K$2:$K$1001,$AR31)="","",INDEX(Raw_D3!$K$2:$K$1001,$AR31)),"")))</f>
        <v>0.4242</v>
      </c>
      <c r="L31" s="16">
        <f>IF($A31="","",IF($AQ31&lt;&gt;"",IF(INDEX(Raw_D2!$D$2:$D$1001,$AQ31)="","",INDEX(Raw_D2!$D$2:$D$1001,$AQ31)),IF($AR31&lt;&gt;"",IF(INDEX(Raw_D3!$L$2:$L$1001,$AR31)="","",INDEX(Raw_D3!$L$2:$L$1001,$AR31)),"")))</f>
        <v>0.77</v>
      </c>
      <c r="M31" s="17">
        <f>IF($A31="","",IF($AQ31&lt;&gt;"",IF(INDEX(Raw_D2!$E$2:$E$1001,$AQ31)="","",INDEX(Raw_D2!$E$2:$E$1001,$AQ31)),IF($AR31&lt;&gt;"",IF(INDEX(Raw_D3!$M$2:$M$1001,$AR31)="","",INDEX(Raw_D3!$M$2:$M$1001,$AR31)),"")))</f>
        <v>0.2985</v>
      </c>
      <c r="N31" s="5">
        <f>IF($A31="","",IF($AQ31&lt;&gt;"",IF(INDEX(Raw_D2!$F$2:$F$1001,$AQ31)="","",INDEX(Raw_D2!$F$2:$F$1001,$AQ31)),IF($AR31&lt;&gt;"",IF(INDEX(Raw_D3!$N$2:$N$1001,$AR31)="","",INDEX(Raw_D3!$N$2:$N$1001,$AR31)),"")))</f>
        <v>0</v>
      </c>
      <c r="O31" s="5">
        <f>IF($A31="","",IF($AQ31&lt;&gt;"",IF(INDEX(Raw_D2!$G$2:$G$1001,$AQ31)="","",INDEX(Raw_D2!$G$2:$G$1001,$AQ31)),IF($AR31&lt;&gt;"",IF(INDEX(Raw_D3!$O$2:$O$1001,$AR31)="","",INDEX(Raw_D3!$O$2:$O$1001,$AR31)),"")))</f>
        <v>2</v>
      </c>
      <c r="P31" s="5">
        <f>IF($A31="","",IF($AQ31&lt;&gt;"",IF(INDEX(Raw_D2!$H$2:$H$1001,$AQ31)="","",INDEX(Raw_D2!$H$2:$H$1001,$AQ31)),IF($AR31&lt;&gt;"",IF(INDEX(Raw_D3!$P$2:$P$1001,$AR31)="","",INDEX(Raw_D3!$P$2:$P$1001,$AR31)),"")))</f>
        <v>2</v>
      </c>
      <c r="Q31" s="5" t="str">
        <f>IF($A31="","",IF(AND($AP31&lt;&gt;"",$AQ31&lt;&gt;""),"D1+D2",IF($AR31&lt;&gt;"","D3","Incomplete")))</f>
        <v>D1+D2</v>
      </c>
      <c r="R31" s="17">
        <f>IF($A31="","",IF($K31="",IF($J31="","",ROUND(Lookups!$K$5+Lookups!$K$4*$J31,4)),$K31))</f>
        <v>0.4242</v>
      </c>
      <c r="S31" s="5" t="str">
        <f>IF($A31="","",IF($K31="","Imputed","Original"))</f>
        <v>Original</v>
      </c>
      <c r="T31" s="5" t="str">
        <f>IF($A31="","",IF($P31="","Missing",IF($P31=$N31+$O31,"OK","Mismatch")))</f>
        <v>OK</v>
      </c>
      <c r="U31" s="5" t="str">
        <f>IF($A31="","",IF(COUNTIF($A$2:$A31,$A31)&gt;1,"Duplicate","Unique"))</f>
        <v>Unique</v>
      </c>
      <c r="V31" s="5">
        <f>IF($A31="","",IF(AND($U31="Unique",ISNUMBER($P31)),1,0))</f>
        <v>1</v>
      </c>
      <c r="W31" s="5" t="str">
        <f>IF($A31="","",IF(OR($H31=0,$H31=6),"Weekend","Weekday"))</f>
        <v>Weekend</v>
      </c>
      <c r="X31" s="5" t="str">
        <f>IF($A31="","",TEXT($B31,"ddd"))</f>
        <v>Sun</v>
      </c>
      <c r="Y31" s="5" t="str">
        <f>IF($A31="","",TEXT($B31,"mmm"))</f>
        <v>Jan</v>
      </c>
      <c r="Z31" s="5" t="str">
        <f>IF($A31="","",IFERROR(VLOOKUP($C31,Lookups!$D$4:$E$7,2,FALSE),"Unknown"))</f>
        <v>Winter</v>
      </c>
      <c r="AA31" s="5" t="str">
        <f>IF($A31="","",IFERROR(VLOOKUP($I31,Lookups!$A$4:$B$7,2,FALSE),"Unknown"))</f>
        <v>Light Rain/Snow</v>
      </c>
      <c r="AB31" s="5" t="str">
        <f>IF($A31="","",TEXT($F31,"00")&amp;":00")</f>
        <v>06:00</v>
      </c>
      <c r="AC31" s="5" t="str">
        <f>IF($A31="","",VLOOKUP($F31,Lookups!$G$4:$H$8,2,TRUE))</f>
        <v>Morning Peak (06-09)</v>
      </c>
      <c r="AD31" s="18">
        <f>IF($A31="","",IF($J31="","",ROUND($J31*41,1)))</f>
        <v>17.2</v>
      </c>
      <c r="AE31" s="18">
        <f>IF($A31="","",IF($R31="","",ROUND($R31*50,1)))</f>
        <v>21.2</v>
      </c>
      <c r="AF31" s="5">
        <f>IF($A31="","",IF($L31="","",ROUND($L31*100,0)))</f>
        <v>77</v>
      </c>
      <c r="AG31" s="18">
        <f>IF($A31="","",IF($M31="","",ROUND($M31*67,1)))</f>
        <v>20</v>
      </c>
      <c r="AH31" s="19">
        <f>IF($A31="","",IF($P31="","",IF($P31=0,0,$O31/$P31)))</f>
        <v>1</v>
      </c>
      <c r="AI31" s="5" t="str">
        <f>IF($A31="","",IF($P31="","",IF($P31&gt;=Lookups!$K$7,"High",IF($P31&lt;=Lookups!$K$8,"Low","Medium"))))</f>
        <v>Low</v>
      </c>
      <c r="AJ31" s="5" t="str">
        <f>IF($A31="","",IF($AD31="","",IF($AD31&lt;5,"Under 5 C",IF($AD31&lt;10,"5-10 C",IF($AD31&lt;15,"10-15 C","15 C and above")))))</f>
        <v>15 C and above</v>
      </c>
      <c r="AK31" s="5">
        <f>IF($A31="","",IF($P31="","",$P31^2))</f>
        <v>4</v>
      </c>
      <c r="AL31" s="18">
        <f>IF($V31&lt;&gt;1,"",AVERAGEIFS(Clean_Data!$P$2:$P$1001,Clean_Data!$F$2:$F$1001,$F31,Clean_Data!$W$2:$W$1001,$W31,Clean_Data!$V$2:$V$1001,1))</f>
        <v>2.15384615384615</v>
      </c>
      <c r="AM31" s="16">
        <f>IF($V31&lt;&gt;1,"",IFERROR(($P31-$AL31)/SQRT(MAX(0,(SUMIFS(Clean_Data!$AK$2:$AK$1001,Clean_Data!$F$2:$F$1001,$F31,Clean_Data!$W$2:$W$1001,$W31,Clean_Data!$V$2:$V$1001,1)-COUNTIFS(Clean_Data!$F$2:$F$1001,$F31,Clean_Data!$W$2:$W$1001,$W31,Clean_Data!$V$2:$V$1001,1)*$AL31^2)/(COUNTIFS(Clean_Data!$F$2:$F$1001,$F31,Clean_Data!$W$2:$W$1001,$W31,Clean_Data!$V$2:$V$1001,1)-1))),""))</f>
        <v>-0.12670245343199</v>
      </c>
      <c r="AN31" s="5" t="str">
        <f>IF($AM31="","",IF($AM31&gt;=Lookups!$K$6,"High spike",IF($AM31&lt;=-Lookups!$K$6,"Unusual low","Normal")))</f>
        <v>Normal</v>
      </c>
      <c r="AO31" s="20">
        <f>IF($V31&lt;&gt;1,"",$P31+ROW()/100000)</f>
        <v>2.00031</v>
      </c>
      <c r="AP31" s="5">
        <f>IF($A31="","",IFERROR(MATCH($A31,Raw_D1!$A$2:$A$1001,0),""))</f>
        <v>30</v>
      </c>
      <c r="AQ31" s="5">
        <f>IF($A31="","",IFERROR(MATCH($A31,Raw_D2!$B$2:$B$1001,0),""))</f>
        <v>30</v>
      </c>
      <c r="AR31" s="5">
        <f>IF($A31="","",IFERROR(MATCH($A31,Raw_D3!$A$2:$A$1001,0),""))</f>
        <v/>
      </c>
    </row>
    <row r="32" spans="1:44" x14ac:dyDescent="0.25">
      <c r="A32" s="5">
        <v>31</v>
      </c>
      <c r="B32" s="11">
        <f>IF($A32="","",IF($AP32&lt;&gt;"",INDEX(Raw_D1!$B$2:$B$1001,$AP32),IF($AR32&lt;&gt;"",INDEX(Raw_D3!$B$2:$B$1001,$AR32),"")))</f>
        <v>40545.0</v>
      </c>
      <c r="C32" s="5">
        <f>IF($A32="","",IF($AP32&lt;&gt;"",INDEX(Raw_D1!$C$2:$C$1001,$AP32),IF($AR32&lt;&gt;"",INDEX(Raw_D3!$C$2:$C$1001,$AR32),"")))</f>
        <v>1</v>
      </c>
      <c r="D32" s="5">
        <f>IF($A32="","",IF($AP32&lt;&gt;"",INDEX(Raw_D1!$D$2:$D$1001,$AP32),IF($AR32&lt;&gt;"",INDEX(Raw_D3!$D$2:$D$1001,$AR32),"")))</f>
        <v>0</v>
      </c>
      <c r="E32" s="5">
        <f>IF($A32="","",IF($AP32&lt;&gt;"",INDEX(Raw_D1!$E$2:$E$1001,$AP32),IF($AR32&lt;&gt;"",INDEX(Raw_D3!$E$2:$E$1001,$AR32),"")))</f>
        <v>1</v>
      </c>
      <c r="F32" s="5">
        <f>IF($A32="","",IF($AP32&lt;&gt;"",INDEX(Raw_D1!$F$2:$F$1001,$AP32),IF($AR32&lt;&gt;"",INDEX(Raw_D3!$F$2:$F$1001,$AR32),"")))</f>
        <v>7</v>
      </c>
      <c r="G32" s="5">
        <f>IF($A32="","",IF($AP32&lt;&gt;"",IF(INDEX(Raw_D1!$G$2:$G$1001,$AP32),1,0),IF($AR32&lt;&gt;"",IF(INDEX(Raw_D3!$G$2:$G$1001,$AR32),1,0),"")))</f>
        <v>0</v>
      </c>
      <c r="H32" s="5">
        <f>IF($A32="","",IF($AP32&lt;&gt;"",INDEX(Raw_D1!$H$2:$H$1001,$AP32),IF($AR32&lt;&gt;"",INDEX(Raw_D3!$H$2:$H$1001,$AR32),"")))</f>
        <v>0</v>
      </c>
      <c r="I32" s="5">
        <f>IF($A32="","",IF($AP32&lt;&gt;"",INDEX(Raw_D1!$I$2:$I$1001,$AP32),IF($AR32&lt;&gt;"",INDEX(Raw_D3!$I$2:$I$1001,$AR32),"")))</f>
        <v>2</v>
      </c>
      <c r="J32" s="16">
        <f>IF($A32="","",IF($AP32&lt;&gt;"",INDEX(Raw_D1!$J$2:$J$1001,$AP32),IF($AR32&lt;&gt;"",INDEX(Raw_D3!$J$2:$J$1001,$AR32),"")))</f>
        <v>0.4</v>
      </c>
      <c r="K32" s="17">
        <f>IF($A32="","",IF($AQ32&lt;&gt;"",IF(INDEX(Raw_D2!$C$2:$C$1001,$AQ32)="","",INDEX(Raw_D2!$C$2:$C$1001,$AQ32)),IF($AR32&lt;&gt;"",IF(INDEX(Raw_D3!$K$2:$K$1001,$AR32)="","",INDEX(Raw_D3!$K$2:$K$1001,$AR32)),"")))</f>
        <v>0.4091</v>
      </c>
      <c r="L32" s="16">
        <f>IF($A32="","",IF($AQ32&lt;&gt;"",IF(INDEX(Raw_D2!$D$2:$D$1001,$AQ32)="","",INDEX(Raw_D2!$D$2:$D$1001,$AQ32)),IF($AR32&lt;&gt;"",IF(INDEX(Raw_D3!$L$2:$L$1001,$AR32)="","",INDEX(Raw_D3!$L$2:$L$1001,$AR32)),"")))</f>
        <v>0.76</v>
      </c>
      <c r="M32" s="17">
        <f>IF($A32="","",IF($AQ32&lt;&gt;"",IF(INDEX(Raw_D2!$E$2:$E$1001,$AQ32)="","",INDEX(Raw_D2!$E$2:$E$1001,$AQ32)),IF($AR32&lt;&gt;"",IF(INDEX(Raw_D3!$M$2:$M$1001,$AR32)="","",INDEX(Raw_D3!$M$2:$M$1001,$AR32)),"")))</f>
        <v>0.194</v>
      </c>
      <c r="N32" s="5">
        <f>IF($A32="","",IF($AQ32&lt;&gt;"",IF(INDEX(Raw_D2!$F$2:$F$1001,$AQ32)="","",INDEX(Raw_D2!$F$2:$F$1001,$AQ32)),IF($AR32&lt;&gt;"",IF(INDEX(Raw_D3!$N$2:$N$1001,$AR32)="","",INDEX(Raw_D3!$N$2:$N$1001,$AR32)),"")))</f>
        <v>0</v>
      </c>
      <c r="O32" s="5">
        <f>IF($A32="","",IF($AQ32&lt;&gt;"",IF(INDEX(Raw_D2!$G$2:$G$1001,$AQ32)="","",INDEX(Raw_D2!$G$2:$G$1001,$AQ32)),IF($AR32&lt;&gt;"",IF(INDEX(Raw_D3!$O$2:$O$1001,$AR32)="","",INDEX(Raw_D3!$O$2:$O$1001,$AR32)),"")))</f>
        <v>1</v>
      </c>
      <c r="P32" s="5">
        <f>IF($A32="","",IF($AQ32&lt;&gt;"",IF(INDEX(Raw_D2!$H$2:$H$1001,$AQ32)="","",INDEX(Raw_D2!$H$2:$H$1001,$AQ32)),IF($AR32&lt;&gt;"",IF(INDEX(Raw_D3!$P$2:$P$1001,$AR32)="","",INDEX(Raw_D3!$P$2:$P$1001,$AR32)),"")))</f>
        <v>1</v>
      </c>
      <c r="Q32" s="5" t="str">
        <f>IF($A32="","",IF(AND($AP32&lt;&gt;"",$AQ32&lt;&gt;""),"D1+D2",IF($AR32&lt;&gt;"","D3","Incomplete")))</f>
        <v>D1+D2</v>
      </c>
      <c r="R32" s="17">
        <f>IF($A32="","",IF($K32="",IF($J32="","",ROUND(Lookups!$K$5+Lookups!$K$4*$J32,4)),$K32))</f>
        <v>0.4091</v>
      </c>
      <c r="S32" s="5" t="str">
        <f>IF($A32="","",IF($K32="","Imputed","Original"))</f>
        <v>Original</v>
      </c>
      <c r="T32" s="5" t="str">
        <f>IF($A32="","",IF($P32="","Missing",IF($P32=$N32+$O32,"OK","Mismatch")))</f>
        <v>OK</v>
      </c>
      <c r="U32" s="5" t="str">
        <f>IF($A32="","",IF(COUNTIF($A$2:$A32,$A32)&gt;1,"Duplicate","Unique"))</f>
        <v>Unique</v>
      </c>
      <c r="V32" s="5">
        <f>IF($A32="","",IF(AND($U32="Unique",ISNUMBER($P32)),1,0))</f>
        <v>1</v>
      </c>
      <c r="W32" s="5" t="str">
        <f>IF($A32="","",IF(OR($H32=0,$H32=6),"Weekend","Weekday"))</f>
        <v>Weekend</v>
      </c>
      <c r="X32" s="5" t="str">
        <f>IF($A32="","",TEXT($B32,"ddd"))</f>
        <v>Sun</v>
      </c>
      <c r="Y32" s="5" t="str">
        <f>IF($A32="","",TEXT($B32,"mmm"))</f>
        <v>Jan</v>
      </c>
      <c r="Z32" s="5" t="str">
        <f>IF($A32="","",IFERROR(VLOOKUP($C32,Lookups!$D$4:$E$7,2,FALSE),"Unknown"))</f>
        <v>Winter</v>
      </c>
      <c r="AA32" s="5" t="str">
        <f>IF($A32="","",IFERROR(VLOOKUP($I32,Lookups!$A$4:$B$7,2,FALSE),"Unknown"))</f>
        <v>Mist/Cloudy</v>
      </c>
      <c r="AB32" s="5" t="str">
        <f>IF($A32="","",TEXT($F32,"00")&amp;":00")</f>
        <v>07:00</v>
      </c>
      <c r="AC32" s="5" t="str">
        <f>IF($A32="","",VLOOKUP($F32,Lookups!$G$4:$H$8,2,TRUE))</f>
        <v>Morning Peak (06-09)</v>
      </c>
      <c r="AD32" s="18">
        <f>IF($A32="","",IF($J32="","",ROUND($J32*41,1)))</f>
        <v>16.4</v>
      </c>
      <c r="AE32" s="18">
        <f>IF($A32="","",IF($R32="","",ROUND($R32*50,1)))</f>
        <v>20.5</v>
      </c>
      <c r="AF32" s="5">
        <f>IF($A32="","",IF($L32="","",ROUND($L32*100,0)))</f>
        <v>76</v>
      </c>
      <c r="AG32" s="18">
        <f>IF($A32="","",IF($M32="","",ROUND($M32*67,1)))</f>
        <v>13</v>
      </c>
      <c r="AH32" s="19">
        <f>IF($A32="","",IF($P32="","",IF($P32=0,0,$O32/$P32)))</f>
        <v>1</v>
      </c>
      <c r="AI32" s="5" t="str">
        <f>IF($A32="","",IF($P32="","",IF($P32&gt;=Lookups!$K$7,"High",IF($P32&lt;=Lookups!$K$8,"Low","Medium"))))</f>
        <v>Low</v>
      </c>
      <c r="AJ32" s="5" t="str">
        <f>IF($A32="","",IF($AD32="","",IF($AD32&lt;5,"Under 5 C",IF($AD32&lt;10,"5-10 C",IF($AD32&lt;15,"10-15 C","15 C and above")))))</f>
        <v>15 C and above</v>
      </c>
      <c r="AK32" s="5">
        <f>IF($A32="","",IF($P32="","",$P32^2))</f>
        <v>1</v>
      </c>
      <c r="AL32" s="18">
        <f>IF($V32&lt;&gt;1,"",AVERAGEIFS(Clean_Data!$P$2:$P$1001,Clean_Data!$F$2:$F$1001,$F32,Clean_Data!$W$2:$W$1001,$W32,Clean_Data!$V$2:$V$1001,1))</f>
        <v>5.42857142857143</v>
      </c>
      <c r="AM32" s="16">
        <f>IF($V32&lt;&gt;1,"",IFERROR(($P32-$AL32)/SQRT(MAX(0,(SUMIFS(Clean_Data!$AK$2:$AK$1001,Clean_Data!$F$2:$F$1001,$F32,Clean_Data!$W$2:$W$1001,$W32,Clean_Data!$V$2:$V$1001,1)-COUNTIFS(Clean_Data!$F$2:$F$1001,$F32,Clean_Data!$W$2:$W$1001,$W32,Clean_Data!$V$2:$V$1001,1)*$AL32^2)/(COUNTIFS(Clean_Data!$F$2:$F$1001,$F32,Clean_Data!$W$2:$W$1001,$W32,Clean_Data!$V$2:$V$1001,1)-1))),""))</f>
        <v>-1.37208236124065</v>
      </c>
      <c r="AN32" s="5" t="str">
        <f>IF($AM32="","",IF($AM32&gt;=Lookups!$K$6,"High spike",IF($AM32&lt;=-Lookups!$K$6,"Unusual low","Normal")))</f>
        <v>Normal</v>
      </c>
      <c r="AO32" s="20">
        <f>IF($V32&lt;&gt;1,"",$P32+ROW()/100000)</f>
        <v>1.00032</v>
      </c>
      <c r="AP32" s="5">
        <f>IF($A32="","",IFERROR(MATCH($A32,Raw_D1!$A$2:$A$1001,0),""))</f>
        <v>31</v>
      </c>
      <c r="AQ32" s="5">
        <f>IF($A32="","",IFERROR(MATCH($A32,Raw_D2!$B$2:$B$1001,0),""))</f>
        <v>31</v>
      </c>
      <c r="AR32" s="5">
        <f>IF($A32="","",IFERROR(MATCH($A32,Raw_D3!$A$2:$A$1001,0),""))</f>
        <v/>
      </c>
    </row>
    <row r="33" spans="1:44" x14ac:dyDescent="0.25">
      <c r="A33" s="5">
        <v>32</v>
      </c>
      <c r="B33" s="11">
        <f>IF($A33="","",IF($AP33&lt;&gt;"",INDEX(Raw_D1!$B$2:$B$1001,$AP33),IF($AR33&lt;&gt;"",INDEX(Raw_D3!$B$2:$B$1001,$AR33),"")))</f>
        <v>40545.0</v>
      </c>
      <c r="C33" s="5">
        <f>IF($A33="","",IF($AP33&lt;&gt;"",INDEX(Raw_D1!$C$2:$C$1001,$AP33),IF($AR33&lt;&gt;"",INDEX(Raw_D3!$C$2:$C$1001,$AR33),"")))</f>
        <v>1</v>
      </c>
      <c r="D33" s="5">
        <f>IF($A33="","",IF($AP33&lt;&gt;"",INDEX(Raw_D1!$D$2:$D$1001,$AP33),IF($AR33&lt;&gt;"",INDEX(Raw_D3!$D$2:$D$1001,$AR33),"")))</f>
        <v>0</v>
      </c>
      <c r="E33" s="5">
        <f>IF($A33="","",IF($AP33&lt;&gt;"",INDEX(Raw_D1!$E$2:$E$1001,$AP33),IF($AR33&lt;&gt;"",INDEX(Raw_D3!$E$2:$E$1001,$AR33),"")))</f>
        <v>1</v>
      </c>
      <c r="F33" s="5">
        <f>IF($A33="","",IF($AP33&lt;&gt;"",INDEX(Raw_D1!$F$2:$F$1001,$AP33),IF($AR33&lt;&gt;"",INDEX(Raw_D3!$F$2:$F$1001,$AR33),"")))</f>
        <v>8</v>
      </c>
      <c r="G33" s="5">
        <f>IF($A33="","",IF($AP33&lt;&gt;"",IF(INDEX(Raw_D1!$G$2:$G$1001,$AP33),1,0),IF($AR33&lt;&gt;"",IF(INDEX(Raw_D3!$G$2:$G$1001,$AR33),1,0),"")))</f>
        <v>0</v>
      </c>
      <c r="H33" s="5">
        <f>IF($A33="","",IF($AP33&lt;&gt;"",INDEX(Raw_D1!$H$2:$H$1001,$AP33),IF($AR33&lt;&gt;"",INDEX(Raw_D3!$H$2:$H$1001,$AR33),"")))</f>
        <v>0</v>
      </c>
      <c r="I33" s="5">
        <f>IF($A33="","",IF($AP33&lt;&gt;"",INDEX(Raw_D1!$I$2:$I$1001,$AP33),IF($AR33&lt;&gt;"",INDEX(Raw_D3!$I$2:$I$1001,$AR33),"")))</f>
        <v>3</v>
      </c>
      <c r="J33" s="16">
        <f>IF($A33="","",IF($AP33&lt;&gt;"",INDEX(Raw_D1!$J$2:$J$1001,$AP33),IF($AR33&lt;&gt;"",INDEX(Raw_D3!$J$2:$J$1001,$AR33),"")))</f>
        <v>0.4</v>
      </c>
      <c r="K33" s="17">
        <f>IF($A33="","",IF($AQ33&lt;&gt;"",IF(INDEX(Raw_D2!$C$2:$C$1001,$AQ33)="","",INDEX(Raw_D2!$C$2:$C$1001,$AQ33)),IF($AR33&lt;&gt;"",IF(INDEX(Raw_D3!$K$2:$K$1001,$AR33)="","",INDEX(Raw_D3!$K$2:$K$1001,$AR33)),"")))</f>
        <v>0.4091</v>
      </c>
      <c r="L33" s="16">
        <f>IF($A33="","",IF($AQ33&lt;&gt;"",IF(INDEX(Raw_D2!$D$2:$D$1001,$AQ33)="","",INDEX(Raw_D2!$D$2:$D$1001,$AQ33)),IF($AR33&lt;&gt;"",IF(INDEX(Raw_D3!$L$2:$L$1001,$AR33)="","",INDEX(Raw_D3!$L$2:$L$1001,$AR33)),"")))</f>
        <v>0.71</v>
      </c>
      <c r="M33" s="17">
        <f>IF($A33="","",IF($AQ33&lt;&gt;"",IF(INDEX(Raw_D2!$E$2:$E$1001,$AQ33)="","",INDEX(Raw_D2!$E$2:$E$1001,$AQ33)),IF($AR33&lt;&gt;"",IF(INDEX(Raw_D3!$M$2:$M$1001,$AR33)="","",INDEX(Raw_D3!$M$2:$M$1001,$AR33)),"")))</f>
        <v>0.2239</v>
      </c>
      <c r="N33" s="5">
        <f>IF($A33="","",IF($AQ33&lt;&gt;"",IF(INDEX(Raw_D2!$F$2:$F$1001,$AQ33)="","",INDEX(Raw_D2!$F$2:$F$1001,$AQ33)),IF($AR33&lt;&gt;"",IF(INDEX(Raw_D3!$N$2:$N$1001,$AR33)="","",INDEX(Raw_D3!$N$2:$N$1001,$AR33)),"")))</f>
        <v>0</v>
      </c>
      <c r="O33" s="5">
        <f>IF($A33="","",IF($AQ33&lt;&gt;"",IF(INDEX(Raw_D2!$G$2:$G$1001,$AQ33)="","",INDEX(Raw_D2!$G$2:$G$1001,$AQ33)),IF($AR33&lt;&gt;"",IF(INDEX(Raw_D3!$O$2:$O$1001,$AR33)="","",INDEX(Raw_D3!$O$2:$O$1001,$AR33)),"")))</f>
        <v>8</v>
      </c>
      <c r="P33" s="5">
        <f>IF($A33="","",IF($AQ33&lt;&gt;"",IF(INDEX(Raw_D2!$H$2:$H$1001,$AQ33)="","",INDEX(Raw_D2!$H$2:$H$1001,$AQ33)),IF($AR33&lt;&gt;"",IF(INDEX(Raw_D3!$P$2:$P$1001,$AR33)="","",INDEX(Raw_D3!$P$2:$P$1001,$AR33)),"")))</f>
        <v>8</v>
      </c>
      <c r="Q33" s="5" t="str">
        <f>IF($A33="","",IF(AND($AP33&lt;&gt;"",$AQ33&lt;&gt;""),"D1+D2",IF($AR33&lt;&gt;"","D3","Incomplete")))</f>
        <v>D1+D2</v>
      </c>
      <c r="R33" s="17">
        <f>IF($A33="","",IF($K33="",IF($J33="","",ROUND(Lookups!$K$5+Lookups!$K$4*$J33,4)),$K33))</f>
        <v>0.4091</v>
      </c>
      <c r="S33" s="5" t="str">
        <f>IF($A33="","",IF($K33="","Imputed","Original"))</f>
        <v>Original</v>
      </c>
      <c r="T33" s="5" t="str">
        <f>IF($A33="","",IF($P33="","Missing",IF($P33=$N33+$O33,"OK","Mismatch")))</f>
        <v>OK</v>
      </c>
      <c r="U33" s="5" t="str">
        <f>IF($A33="","",IF(COUNTIF($A$2:$A33,$A33)&gt;1,"Duplicate","Unique"))</f>
        <v>Unique</v>
      </c>
      <c r="V33" s="5">
        <f>IF($A33="","",IF(AND($U33="Unique",ISNUMBER($P33)),1,0))</f>
        <v>1</v>
      </c>
      <c r="W33" s="5" t="str">
        <f>IF($A33="","",IF(OR($H33=0,$H33=6),"Weekend","Weekday"))</f>
        <v>Weekend</v>
      </c>
      <c r="X33" s="5" t="str">
        <f>IF($A33="","",TEXT($B33,"ddd"))</f>
        <v>Sun</v>
      </c>
      <c r="Y33" s="5" t="str">
        <f>IF($A33="","",TEXT($B33,"mmm"))</f>
        <v>Jan</v>
      </c>
      <c r="Z33" s="5" t="str">
        <f>IF($A33="","",IFERROR(VLOOKUP($C33,Lookups!$D$4:$E$7,2,FALSE),"Unknown"))</f>
        <v>Winter</v>
      </c>
      <c r="AA33" s="5" t="str">
        <f>IF($A33="","",IFERROR(VLOOKUP($I33,Lookups!$A$4:$B$7,2,FALSE),"Unknown"))</f>
        <v>Light Rain/Snow</v>
      </c>
      <c r="AB33" s="5" t="str">
        <f>IF($A33="","",TEXT($F33,"00")&amp;":00")</f>
        <v>08:00</v>
      </c>
      <c r="AC33" s="5" t="str">
        <f>IF($A33="","",VLOOKUP($F33,Lookups!$G$4:$H$8,2,TRUE))</f>
        <v>Morning Peak (06-09)</v>
      </c>
      <c r="AD33" s="18">
        <f>IF($A33="","",IF($J33="","",ROUND($J33*41,1)))</f>
        <v>16.4</v>
      </c>
      <c r="AE33" s="18">
        <f>IF($A33="","",IF($R33="","",ROUND($R33*50,1)))</f>
        <v>20.5</v>
      </c>
      <c r="AF33" s="5">
        <f>IF($A33="","",IF($L33="","",ROUND($L33*100,0)))</f>
        <v>71</v>
      </c>
      <c r="AG33" s="18">
        <f>IF($A33="","",IF($M33="","",ROUND($M33*67,1)))</f>
        <v>15</v>
      </c>
      <c r="AH33" s="19">
        <f>IF($A33="","",IF($P33="","",IF($P33=0,0,$O33/$P33)))</f>
        <v>1</v>
      </c>
      <c r="AI33" s="5" t="str">
        <f>IF($A33="","",IF($P33="","",IF($P33&gt;=Lookups!$K$7,"High",IF($P33&lt;=Lookups!$K$8,"Low","Medium"))))</f>
        <v>Low</v>
      </c>
      <c r="AJ33" s="5" t="str">
        <f>IF($A33="","",IF($AD33="","",IF($AD33&lt;5,"Under 5 C",IF($AD33&lt;10,"5-10 C",IF($AD33&lt;15,"10-15 C","15 C and above")))))</f>
        <v>15 C and above</v>
      </c>
      <c r="AK33" s="5">
        <f>IF($A33="","",IF($P33="","",$P33^2))</f>
        <v>64</v>
      </c>
      <c r="AL33" s="18">
        <f>IF($V33&lt;&gt;1,"",AVERAGEIFS(Clean_Data!$P$2:$P$1001,Clean_Data!$F$2:$F$1001,$F33,Clean_Data!$W$2:$W$1001,$W33,Clean_Data!$V$2:$V$1001,1))</f>
        <v>17.7857142857143</v>
      </c>
      <c r="AM33" s="16">
        <f>IF($V33&lt;&gt;1,"",IFERROR(($P33-$AL33)/SQRT(MAX(0,(SUMIFS(Clean_Data!$AK$2:$AK$1001,Clean_Data!$F$2:$F$1001,$F33,Clean_Data!$W$2:$W$1001,$W33,Clean_Data!$V$2:$V$1001,1)-COUNTIFS(Clean_Data!$F$2:$F$1001,$F33,Clean_Data!$W$2:$W$1001,$W33,Clean_Data!$V$2:$V$1001,1)*$AL33^2)/(COUNTIFS(Clean_Data!$F$2:$F$1001,$F33,Clean_Data!$W$2:$W$1001,$W33,Clean_Data!$V$2:$V$1001,1)-1))),""))</f>
        <v>-1.15058257813676</v>
      </c>
      <c r="AN33" s="5" t="str">
        <f>IF($AM33="","",IF($AM33&gt;=Lookups!$K$6,"High spike",IF($AM33&lt;=-Lookups!$K$6,"Unusual low","Normal")))</f>
        <v>Normal</v>
      </c>
      <c r="AO33" s="20">
        <f>IF($V33&lt;&gt;1,"",$P33+ROW()/100000)</f>
        <v>8.00033</v>
      </c>
      <c r="AP33" s="5">
        <f>IF($A33="","",IFERROR(MATCH($A33,Raw_D1!$A$2:$A$1001,0),""))</f>
        <v>32</v>
      </c>
      <c r="AQ33" s="5">
        <f>IF($A33="","",IFERROR(MATCH($A33,Raw_D2!$B$2:$B$1001,0),""))</f>
        <v>32</v>
      </c>
      <c r="AR33" s="5">
        <f>IF($A33="","",IFERROR(MATCH($A33,Raw_D3!$A$2:$A$1001,0),""))</f>
        <v/>
      </c>
    </row>
    <row r="34" spans="1:44" x14ac:dyDescent="0.25">
      <c r="A34" s="5">
        <v>33</v>
      </c>
      <c r="B34" s="11">
        <f>IF($A34="","",IF($AP34&lt;&gt;"",INDEX(Raw_D1!$B$2:$B$1001,$AP34),IF($AR34&lt;&gt;"",INDEX(Raw_D3!$B$2:$B$1001,$AR34),"")))</f>
        <v>40545.0</v>
      </c>
      <c r="C34" s="5">
        <f>IF($A34="","",IF($AP34&lt;&gt;"",INDEX(Raw_D1!$C$2:$C$1001,$AP34),IF($AR34&lt;&gt;"",INDEX(Raw_D3!$C$2:$C$1001,$AR34),"")))</f>
        <v>1</v>
      </c>
      <c r="D34" s="5">
        <f>IF($A34="","",IF($AP34&lt;&gt;"",INDEX(Raw_D1!$D$2:$D$1001,$AP34),IF($AR34&lt;&gt;"",INDEX(Raw_D3!$D$2:$D$1001,$AR34),"")))</f>
        <v>0</v>
      </c>
      <c r="E34" s="5">
        <f>IF($A34="","",IF($AP34&lt;&gt;"",INDEX(Raw_D1!$E$2:$E$1001,$AP34),IF($AR34&lt;&gt;"",INDEX(Raw_D3!$E$2:$E$1001,$AR34),"")))</f>
        <v>1</v>
      </c>
      <c r="F34" s="5">
        <f>IF($A34="","",IF($AP34&lt;&gt;"",INDEX(Raw_D1!$F$2:$F$1001,$AP34),IF($AR34&lt;&gt;"",INDEX(Raw_D3!$F$2:$F$1001,$AR34),"")))</f>
        <v>9</v>
      </c>
      <c r="G34" s="5">
        <f>IF($A34="","",IF($AP34&lt;&gt;"",IF(INDEX(Raw_D1!$G$2:$G$1001,$AP34),1,0),IF($AR34&lt;&gt;"",IF(INDEX(Raw_D3!$G$2:$G$1001,$AR34),1,0),"")))</f>
        <v>0</v>
      </c>
      <c r="H34" s="5">
        <f>IF($A34="","",IF($AP34&lt;&gt;"",INDEX(Raw_D1!$H$2:$H$1001,$AP34),IF($AR34&lt;&gt;"",INDEX(Raw_D3!$H$2:$H$1001,$AR34),"")))</f>
        <v>0</v>
      </c>
      <c r="I34" s="5">
        <f>IF($A34="","",IF($AP34&lt;&gt;"",INDEX(Raw_D1!$I$2:$I$1001,$AP34),IF($AR34&lt;&gt;"",INDEX(Raw_D3!$I$2:$I$1001,$AR34),"")))</f>
        <v>2</v>
      </c>
      <c r="J34" s="16">
        <f>IF($A34="","",IF($AP34&lt;&gt;"",INDEX(Raw_D1!$J$2:$J$1001,$AP34),IF($AR34&lt;&gt;"",INDEX(Raw_D3!$J$2:$J$1001,$AR34),"")))</f>
        <v>0.38</v>
      </c>
      <c r="K34" s="17">
        <f>IF($A34="","",IF($AQ34&lt;&gt;"",IF(INDEX(Raw_D2!$C$2:$C$1001,$AQ34)="","",INDEX(Raw_D2!$C$2:$C$1001,$AQ34)),IF($AR34&lt;&gt;"",IF(INDEX(Raw_D3!$K$2:$K$1001,$AR34)="","",INDEX(Raw_D3!$K$2:$K$1001,$AR34)),"")))</f>
        <v/>
      </c>
      <c r="L34" s="16">
        <f>IF($A34="","",IF($AQ34&lt;&gt;"",IF(INDEX(Raw_D2!$D$2:$D$1001,$AQ34)="","",INDEX(Raw_D2!$D$2:$D$1001,$AQ34)),IF($AR34&lt;&gt;"",IF(INDEX(Raw_D3!$L$2:$L$1001,$AR34)="","",INDEX(Raw_D3!$L$2:$L$1001,$AR34)),"")))</f>
        <v>0.76</v>
      </c>
      <c r="M34" s="17">
        <f>IF($A34="","",IF($AQ34&lt;&gt;"",IF(INDEX(Raw_D2!$E$2:$E$1001,$AQ34)="","",INDEX(Raw_D2!$E$2:$E$1001,$AQ34)),IF($AR34&lt;&gt;"",IF(INDEX(Raw_D3!$M$2:$M$1001,$AR34)="","",INDEX(Raw_D3!$M$2:$M$1001,$AR34)),"")))</f>
        <v>0.2239</v>
      </c>
      <c r="N34" s="5">
        <f>IF($A34="","",IF($AQ34&lt;&gt;"",IF(INDEX(Raw_D2!$F$2:$F$1001,$AQ34)="","",INDEX(Raw_D2!$F$2:$F$1001,$AQ34)),IF($AR34&lt;&gt;"",IF(INDEX(Raw_D3!$N$2:$N$1001,$AR34)="","",INDEX(Raw_D3!$N$2:$N$1001,$AR34)),"")))</f>
        <v>1</v>
      </c>
      <c r="O34" s="5">
        <f>IF($A34="","",IF($AQ34&lt;&gt;"",IF(INDEX(Raw_D2!$G$2:$G$1001,$AQ34)="","",INDEX(Raw_D2!$G$2:$G$1001,$AQ34)),IF($AR34&lt;&gt;"",IF(INDEX(Raw_D3!$O$2:$O$1001,$AR34)="","",INDEX(Raw_D3!$O$2:$O$1001,$AR34)),"")))</f>
        <v>19</v>
      </c>
      <c r="P34" s="5">
        <f>IF($A34="","",IF($AQ34&lt;&gt;"",IF(INDEX(Raw_D2!$H$2:$H$1001,$AQ34)="","",INDEX(Raw_D2!$H$2:$H$1001,$AQ34)),IF($AR34&lt;&gt;"",IF(INDEX(Raw_D3!$P$2:$P$1001,$AR34)="","",INDEX(Raw_D3!$P$2:$P$1001,$AR34)),"")))</f>
        <v>20</v>
      </c>
      <c r="Q34" s="5" t="str">
        <f>IF($A34="","",IF(AND($AP34&lt;&gt;"",$AQ34&lt;&gt;""),"D1+D2",IF($AR34&lt;&gt;"","D3","Incomplete")))</f>
        <v>D1+D2</v>
      </c>
      <c r="R34" s="17">
        <f>IF($A34="","",IF($K34="",IF($J34="","",ROUND(Lookups!$K$5+Lookups!$K$4*$J34,4)),$K34))</f>
        <v>0.373</v>
      </c>
      <c r="S34" s="5" t="str">
        <f>IF($A34="","",IF($K34="","Imputed","Original"))</f>
        <v>Imputed</v>
      </c>
      <c r="T34" s="5" t="str">
        <f>IF($A34="","",IF($P34="","Missing",IF($P34=$N34+$O34,"OK","Mismatch")))</f>
        <v>OK</v>
      </c>
      <c r="U34" s="5" t="str">
        <f>IF($A34="","",IF(COUNTIF($A$2:$A34,$A34)&gt;1,"Duplicate","Unique"))</f>
        <v>Unique</v>
      </c>
      <c r="V34" s="5">
        <f>IF($A34="","",IF(AND($U34="Unique",ISNUMBER($P34)),1,0))</f>
        <v>1</v>
      </c>
      <c r="W34" s="5" t="str">
        <f>IF($A34="","",IF(OR($H34=0,$H34=6),"Weekend","Weekday"))</f>
        <v>Weekend</v>
      </c>
      <c r="X34" s="5" t="str">
        <f>IF($A34="","",TEXT($B34,"ddd"))</f>
        <v>Sun</v>
      </c>
      <c r="Y34" s="5" t="str">
        <f>IF($A34="","",TEXT($B34,"mmm"))</f>
        <v>Jan</v>
      </c>
      <c r="Z34" s="5" t="str">
        <f>IF($A34="","",IFERROR(VLOOKUP($C34,Lookups!$D$4:$E$7,2,FALSE),"Unknown"))</f>
        <v>Winter</v>
      </c>
      <c r="AA34" s="5" t="str">
        <f>IF($A34="","",IFERROR(VLOOKUP($I34,Lookups!$A$4:$B$7,2,FALSE),"Unknown"))</f>
        <v>Mist/Cloudy</v>
      </c>
      <c r="AB34" s="5" t="str">
        <f>IF($A34="","",TEXT($F34,"00")&amp;":00")</f>
        <v>09:00</v>
      </c>
      <c r="AC34" s="5" t="str">
        <f>IF($A34="","",VLOOKUP($F34,Lookups!$G$4:$H$8,2,TRUE))</f>
        <v>Morning Peak (06-09)</v>
      </c>
      <c r="AD34" s="18">
        <f>IF($A34="","",IF($J34="","",ROUND($J34*41,1)))</f>
        <v>15.6</v>
      </c>
      <c r="AE34" s="18">
        <f>IF($A34="","",IF($R34="","",ROUND($R34*50,1)))</f>
        <v>18.7</v>
      </c>
      <c r="AF34" s="5">
        <f>IF($A34="","",IF($L34="","",ROUND($L34*100,0)))</f>
        <v>76</v>
      </c>
      <c r="AG34" s="18">
        <f>IF($A34="","",IF($M34="","",ROUND($M34*67,1)))</f>
        <v>15</v>
      </c>
      <c r="AH34" s="19">
        <f>IF($A34="","",IF($P34="","",IF($P34=0,0,$O34/$P34)))</f>
        <v>0.95</v>
      </c>
      <c r="AI34" s="5" t="str">
        <f>IF($A34="","",IF($P34="","",IF($P34&gt;=Lookups!$K$7,"High",IF($P34&lt;=Lookups!$K$8,"Low","Medium"))))</f>
        <v>Medium</v>
      </c>
      <c r="AJ34" s="5" t="str">
        <f>IF($A34="","",IF($AD34="","",IF($AD34&lt;5,"Under 5 C",IF($AD34&lt;10,"5-10 C",IF($AD34&lt;15,"10-15 C","15 C and above")))))</f>
        <v>15 C and above</v>
      </c>
      <c r="AK34" s="5">
        <f>IF($A34="","",IF($P34="","",$P34^2))</f>
        <v>400</v>
      </c>
      <c r="AL34" s="18">
        <f>IF($V34&lt;&gt;1,"",AVERAGEIFS(Clean_Data!$P$2:$P$1001,Clean_Data!$F$2:$F$1001,$F34,Clean_Data!$W$2:$W$1001,$W34,Clean_Data!$V$2:$V$1001,1))</f>
        <v>30.9285714285714</v>
      </c>
      <c r="AM34" s="16">
        <f>IF($V34&lt;&gt;1,"",IFERROR(($P34-$AL34)/SQRT(MAX(0,(SUMIFS(Clean_Data!$AK$2:$AK$1001,Clean_Data!$F$2:$F$1001,$F34,Clean_Data!$W$2:$W$1001,$W34,Clean_Data!$V$2:$V$1001,1)-COUNTIFS(Clean_Data!$F$2:$F$1001,$F34,Clean_Data!$W$2:$W$1001,$W34,Clean_Data!$V$2:$V$1001,1)*$AL34^2)/(COUNTIFS(Clean_Data!$F$2:$F$1001,$F34,Clean_Data!$W$2:$W$1001,$W34,Clean_Data!$V$2:$V$1001,1)-1))),""))</f>
        <v>-1.00249189203367</v>
      </c>
      <c r="AN34" s="5" t="str">
        <f>IF($AM34="","",IF($AM34&gt;=Lookups!$K$6,"High spike",IF($AM34&lt;=-Lookups!$K$6,"Unusual low","Normal")))</f>
        <v>Normal</v>
      </c>
      <c r="AO34" s="20">
        <f>IF($V34&lt;&gt;1,"",$P34+ROW()/100000)</f>
        <v>20.00034</v>
      </c>
      <c r="AP34" s="5">
        <f>IF($A34="","",IFERROR(MATCH($A34,Raw_D1!$A$2:$A$1001,0),""))</f>
        <v>33</v>
      </c>
      <c r="AQ34" s="5">
        <f>IF($A34="","",IFERROR(MATCH($A34,Raw_D2!$B$2:$B$1001,0),""))</f>
        <v>33</v>
      </c>
      <c r="AR34" s="5">
        <f>IF($A34="","",IFERROR(MATCH($A34,Raw_D3!$A$2:$A$1001,0),""))</f>
        <v/>
      </c>
    </row>
    <row r="35" spans="1:44" x14ac:dyDescent="0.25">
      <c r="A35" s="5">
        <v>34</v>
      </c>
      <c r="B35" s="11">
        <f>IF($A35="","",IF($AP35&lt;&gt;"",INDEX(Raw_D1!$B$2:$B$1001,$AP35),IF($AR35&lt;&gt;"",INDEX(Raw_D3!$B$2:$B$1001,$AR35),"")))</f>
        <v>40545.0</v>
      </c>
      <c r="C35" s="5">
        <f>IF($A35="","",IF($AP35&lt;&gt;"",INDEX(Raw_D1!$C$2:$C$1001,$AP35),IF($AR35&lt;&gt;"",INDEX(Raw_D3!$C$2:$C$1001,$AR35),"")))</f>
        <v>1</v>
      </c>
      <c r="D35" s="5">
        <f>IF($A35="","",IF($AP35&lt;&gt;"",INDEX(Raw_D1!$D$2:$D$1001,$AP35),IF($AR35&lt;&gt;"",INDEX(Raw_D3!$D$2:$D$1001,$AR35),"")))</f>
        <v>0</v>
      </c>
      <c r="E35" s="5">
        <f>IF($A35="","",IF($AP35&lt;&gt;"",INDEX(Raw_D1!$E$2:$E$1001,$AP35),IF($AR35&lt;&gt;"",INDEX(Raw_D3!$E$2:$E$1001,$AR35),"")))</f>
        <v>1</v>
      </c>
      <c r="F35" s="5">
        <f>IF($A35="","",IF($AP35&lt;&gt;"",INDEX(Raw_D1!$F$2:$F$1001,$AP35),IF($AR35&lt;&gt;"",INDEX(Raw_D3!$F$2:$F$1001,$AR35),"")))</f>
        <v>10</v>
      </c>
      <c r="G35" s="5">
        <f>IF($A35="","",IF($AP35&lt;&gt;"",IF(INDEX(Raw_D1!$G$2:$G$1001,$AP35),1,0),IF($AR35&lt;&gt;"",IF(INDEX(Raw_D3!$G$2:$G$1001,$AR35),1,0),"")))</f>
        <v>0</v>
      </c>
      <c r="H35" s="5">
        <f>IF($A35="","",IF($AP35&lt;&gt;"",INDEX(Raw_D1!$H$2:$H$1001,$AP35),IF($AR35&lt;&gt;"",INDEX(Raw_D3!$H$2:$H$1001,$AR35),"")))</f>
        <v>0</v>
      </c>
      <c r="I35" s="5">
        <f>IF($A35="","",IF($AP35&lt;&gt;"",INDEX(Raw_D1!$I$2:$I$1001,$AP35),IF($AR35&lt;&gt;"",INDEX(Raw_D3!$I$2:$I$1001,$AR35),"")))</f>
        <v>2</v>
      </c>
      <c r="J35" s="16">
        <f>IF($A35="","",IF($AP35&lt;&gt;"",INDEX(Raw_D1!$J$2:$J$1001,$AP35),IF($AR35&lt;&gt;"",INDEX(Raw_D3!$J$2:$J$1001,$AR35),"")))</f>
        <v>0.36</v>
      </c>
      <c r="K35" s="17">
        <f>IF($A35="","",IF($AQ35&lt;&gt;"",IF(INDEX(Raw_D2!$C$2:$C$1001,$AQ35)="","",INDEX(Raw_D2!$C$2:$C$1001,$AQ35)),IF($AR35&lt;&gt;"",IF(INDEX(Raw_D3!$K$2:$K$1001,$AR35)="","",INDEX(Raw_D3!$K$2:$K$1001,$AR35)),"")))</f>
        <v>0.3485</v>
      </c>
      <c r="L35" s="16">
        <f>IF($A35="","",IF($AQ35&lt;&gt;"",IF(INDEX(Raw_D2!$D$2:$D$1001,$AQ35)="","",INDEX(Raw_D2!$D$2:$D$1001,$AQ35)),IF($AR35&lt;&gt;"",IF(INDEX(Raw_D3!$L$2:$L$1001,$AR35)="","",INDEX(Raw_D3!$L$2:$L$1001,$AR35)),"")))</f>
        <v>0.81</v>
      </c>
      <c r="M35" s="17">
        <f>IF($A35="","",IF($AQ35&lt;&gt;"",IF(INDEX(Raw_D2!$E$2:$E$1001,$AQ35)="","",INDEX(Raw_D2!$E$2:$E$1001,$AQ35)),IF($AR35&lt;&gt;"",IF(INDEX(Raw_D3!$M$2:$M$1001,$AR35)="","",INDEX(Raw_D3!$M$2:$M$1001,$AR35)),"")))</f>
        <v>0.2239</v>
      </c>
      <c r="N35" s="5">
        <f>IF($A35="","",IF($AQ35&lt;&gt;"",IF(INDEX(Raw_D2!$F$2:$F$1001,$AQ35)="","",INDEX(Raw_D2!$F$2:$F$1001,$AQ35)),IF($AR35&lt;&gt;"",IF(INDEX(Raw_D3!$N$2:$N$1001,$AR35)="","",INDEX(Raw_D3!$N$2:$N$1001,$AR35)),"")))</f>
        <v>7</v>
      </c>
      <c r="O35" s="5">
        <f>IF($A35="","",IF($AQ35&lt;&gt;"",IF(INDEX(Raw_D2!$G$2:$G$1001,$AQ35)="","",INDEX(Raw_D2!$G$2:$G$1001,$AQ35)),IF($AR35&lt;&gt;"",IF(INDEX(Raw_D3!$O$2:$O$1001,$AR35)="","",INDEX(Raw_D3!$O$2:$O$1001,$AR35)),"")))</f>
        <v>46</v>
      </c>
      <c r="P35" s="5">
        <f>IF($A35="","",IF($AQ35&lt;&gt;"",IF(INDEX(Raw_D2!$H$2:$H$1001,$AQ35)="","",INDEX(Raw_D2!$H$2:$H$1001,$AQ35)),IF($AR35&lt;&gt;"",IF(INDEX(Raw_D3!$P$2:$P$1001,$AR35)="","",INDEX(Raw_D3!$P$2:$P$1001,$AR35)),"")))</f>
        <v>53</v>
      </c>
      <c r="Q35" s="5" t="str">
        <f>IF($A35="","",IF(AND($AP35&lt;&gt;"",$AQ35&lt;&gt;""),"D1+D2",IF($AR35&lt;&gt;"","D3","Incomplete")))</f>
        <v>D1+D2</v>
      </c>
      <c r="R35" s="17">
        <f>IF($A35="","",IF($K35="",IF($J35="","",ROUND(Lookups!$K$5+Lookups!$K$4*$J35,4)),$K35))</f>
        <v>0.3485</v>
      </c>
      <c r="S35" s="5" t="str">
        <f>IF($A35="","",IF($K35="","Imputed","Original"))</f>
        <v>Original</v>
      </c>
      <c r="T35" s="5" t="str">
        <f>IF($A35="","",IF($P35="","Missing",IF($P35=$N35+$O35,"OK","Mismatch")))</f>
        <v>OK</v>
      </c>
      <c r="U35" s="5" t="str">
        <f>IF($A35="","",IF(COUNTIF($A$2:$A35,$A35)&gt;1,"Duplicate","Unique"))</f>
        <v>Unique</v>
      </c>
      <c r="V35" s="5">
        <f>IF($A35="","",IF(AND($U35="Unique",ISNUMBER($P35)),1,0))</f>
        <v>1</v>
      </c>
      <c r="W35" s="5" t="str">
        <f>IF($A35="","",IF(OR($H35=0,$H35=6),"Weekend","Weekday"))</f>
        <v>Weekend</v>
      </c>
      <c r="X35" s="5" t="str">
        <f>IF($A35="","",TEXT($B35,"ddd"))</f>
        <v>Sun</v>
      </c>
      <c r="Y35" s="5" t="str">
        <f>IF($A35="","",TEXT($B35,"mmm"))</f>
        <v>Jan</v>
      </c>
      <c r="Z35" s="5" t="str">
        <f>IF($A35="","",IFERROR(VLOOKUP($C35,Lookups!$D$4:$E$7,2,FALSE),"Unknown"))</f>
        <v>Winter</v>
      </c>
      <c r="AA35" s="5" t="str">
        <f>IF($A35="","",IFERROR(VLOOKUP($I35,Lookups!$A$4:$B$7,2,FALSE),"Unknown"))</f>
        <v>Mist/Cloudy</v>
      </c>
      <c r="AB35" s="5" t="str">
        <f>IF($A35="","",TEXT($F35,"00")&amp;":00")</f>
        <v>10:00</v>
      </c>
      <c r="AC35" s="5" t="str">
        <f>IF($A35="","",VLOOKUP($F35,Lookups!$G$4:$H$8,2,TRUE))</f>
        <v>Midday (10-15)</v>
      </c>
      <c r="AD35" s="18">
        <f>IF($A35="","",IF($J35="","",ROUND($J35*41,1)))</f>
        <v>14.8</v>
      </c>
      <c r="AE35" s="18">
        <f>IF($A35="","",IF($R35="","",ROUND($R35*50,1)))</f>
        <v>17.4</v>
      </c>
      <c r="AF35" s="5">
        <f>IF($A35="","",IF($L35="","",ROUND($L35*100,0)))</f>
        <v>81</v>
      </c>
      <c r="AG35" s="18">
        <f>IF($A35="","",IF($M35="","",ROUND($M35*67,1)))</f>
        <v>15</v>
      </c>
      <c r="AH35" s="19">
        <f>IF($A35="","",IF($P35="","",IF($P35=0,0,$O35/$P35)))</f>
        <v>0.867924528301887</v>
      </c>
      <c r="AI35" s="5" t="str">
        <f>IF($A35="","",IF($P35="","",IF($P35&gt;=Lookups!$K$7,"High",IF($P35&lt;=Lookups!$K$8,"Low","Medium"))))</f>
        <v>Medium</v>
      </c>
      <c r="AJ35" s="5" t="str">
        <f>IF($A35="","",IF($AD35="","",IF($AD35&lt;5,"Under 5 C",IF($AD35&lt;10,"5-10 C",IF($AD35&lt;15,"10-15 C","15 C and above")))))</f>
        <v>10-15 C</v>
      </c>
      <c r="AK35" s="5">
        <f>IF($A35="","",IF($P35="","",$P35^2))</f>
        <v>2809</v>
      </c>
      <c r="AL35" s="18">
        <f>IF($V35&lt;&gt;1,"",AVERAGEIFS(Clean_Data!$P$2:$P$1001,Clean_Data!$F$2:$F$1001,$F35,Clean_Data!$W$2:$W$1001,$W35,Clean_Data!$V$2:$V$1001,1))</f>
        <v>62.7857142857143</v>
      </c>
      <c r="AM35" s="16">
        <f>IF($V35&lt;&gt;1,"",IFERROR(($P35-$AL35)/SQRT(MAX(0,(SUMIFS(Clean_Data!$AK$2:$AK$1001,Clean_Data!$F$2:$F$1001,$F35,Clean_Data!$W$2:$W$1001,$W35,Clean_Data!$V$2:$V$1001,1)-COUNTIFS(Clean_Data!$F$2:$F$1001,$F35,Clean_Data!$W$2:$W$1001,$W35,Clean_Data!$V$2:$V$1001,1)*$AL35^2)/(COUNTIFS(Clean_Data!$F$2:$F$1001,$F35,Clean_Data!$W$2:$W$1001,$W35,Clean_Data!$V$2:$V$1001,1)-1))),""))</f>
        <v>-0.488705385555953</v>
      </c>
      <c r="AN35" s="5" t="str">
        <f>IF($AM35="","",IF($AM35&gt;=Lookups!$K$6,"High spike",IF($AM35&lt;=-Lookups!$K$6,"Unusual low","Normal")))</f>
        <v>Normal</v>
      </c>
      <c r="AO35" s="20">
        <f>IF($V35&lt;&gt;1,"",$P35+ROW()/100000)</f>
        <v>53.00035</v>
      </c>
      <c r="AP35" s="5">
        <f>IF($A35="","",IFERROR(MATCH($A35,Raw_D1!$A$2:$A$1001,0),""))</f>
        <v>34</v>
      </c>
      <c r="AQ35" s="5">
        <f>IF($A35="","",IFERROR(MATCH($A35,Raw_D2!$B$2:$B$1001,0),""))</f>
        <v>34</v>
      </c>
      <c r="AR35" s="5">
        <f>IF($A35="","",IFERROR(MATCH($A35,Raw_D3!$A$2:$A$1001,0),""))</f>
        <v/>
      </c>
    </row>
    <row r="36" spans="1:44" x14ac:dyDescent="0.25">
      <c r="A36" s="5">
        <v>35</v>
      </c>
      <c r="B36" s="11">
        <f>IF($A36="","",IF($AP36&lt;&gt;"",INDEX(Raw_D1!$B$2:$B$1001,$AP36),IF($AR36&lt;&gt;"",INDEX(Raw_D3!$B$2:$B$1001,$AR36),"")))</f>
        <v>40545.0</v>
      </c>
      <c r="C36" s="5">
        <f>IF($A36="","",IF($AP36&lt;&gt;"",INDEX(Raw_D1!$C$2:$C$1001,$AP36),IF($AR36&lt;&gt;"",INDEX(Raw_D3!$C$2:$C$1001,$AR36),"")))</f>
        <v>1</v>
      </c>
      <c r="D36" s="5">
        <f>IF($A36="","",IF($AP36&lt;&gt;"",INDEX(Raw_D1!$D$2:$D$1001,$AP36),IF($AR36&lt;&gt;"",INDEX(Raw_D3!$D$2:$D$1001,$AR36),"")))</f>
        <v>0</v>
      </c>
      <c r="E36" s="5">
        <f>IF($A36="","",IF($AP36&lt;&gt;"",INDEX(Raw_D1!$E$2:$E$1001,$AP36),IF($AR36&lt;&gt;"",INDEX(Raw_D3!$E$2:$E$1001,$AR36),"")))</f>
        <v>1</v>
      </c>
      <c r="F36" s="5">
        <f>IF($A36="","",IF($AP36&lt;&gt;"",INDEX(Raw_D1!$F$2:$F$1001,$AP36),IF($AR36&lt;&gt;"",INDEX(Raw_D3!$F$2:$F$1001,$AR36),"")))</f>
        <v>11</v>
      </c>
      <c r="G36" s="5">
        <f>IF($A36="","",IF($AP36&lt;&gt;"",IF(INDEX(Raw_D1!$G$2:$G$1001,$AP36),1,0),IF($AR36&lt;&gt;"",IF(INDEX(Raw_D3!$G$2:$G$1001,$AR36),1,0),"")))</f>
        <v>0</v>
      </c>
      <c r="H36" s="5">
        <f>IF($A36="","",IF($AP36&lt;&gt;"",INDEX(Raw_D1!$H$2:$H$1001,$AP36),IF($AR36&lt;&gt;"",INDEX(Raw_D3!$H$2:$H$1001,$AR36),"")))</f>
        <v>0</v>
      </c>
      <c r="I36" s="5">
        <f>IF($A36="","",IF($AP36&lt;&gt;"",INDEX(Raw_D1!$I$2:$I$1001,$AP36),IF($AR36&lt;&gt;"",INDEX(Raw_D3!$I$2:$I$1001,$AR36),"")))</f>
        <v>2</v>
      </c>
      <c r="J36" s="16">
        <f>IF($A36="","",IF($AP36&lt;&gt;"",INDEX(Raw_D1!$J$2:$J$1001,$AP36),IF($AR36&lt;&gt;"",INDEX(Raw_D3!$J$2:$J$1001,$AR36),"")))</f>
        <v>0.36</v>
      </c>
      <c r="K36" s="17">
        <f>IF($A36="","",IF($AQ36&lt;&gt;"",IF(INDEX(Raw_D2!$C$2:$C$1001,$AQ36)="","",INDEX(Raw_D2!$C$2:$C$1001,$AQ36)),IF($AR36&lt;&gt;"",IF(INDEX(Raw_D3!$K$2:$K$1001,$AR36)="","",INDEX(Raw_D3!$K$2:$K$1001,$AR36)),"")))</f>
        <v>0.3333</v>
      </c>
      <c r="L36" s="16">
        <f>IF($A36="","",IF($AQ36&lt;&gt;"",IF(INDEX(Raw_D2!$D$2:$D$1001,$AQ36)="","",INDEX(Raw_D2!$D$2:$D$1001,$AQ36)),IF($AR36&lt;&gt;"",IF(INDEX(Raw_D3!$L$2:$L$1001,$AR36)="","",INDEX(Raw_D3!$L$2:$L$1001,$AR36)),"")))</f>
        <v>0.71</v>
      </c>
      <c r="M36" s="17">
        <f>IF($A36="","",IF($AQ36&lt;&gt;"",IF(INDEX(Raw_D2!$E$2:$E$1001,$AQ36)="","",INDEX(Raw_D2!$E$2:$E$1001,$AQ36)),IF($AR36&lt;&gt;"",IF(INDEX(Raw_D3!$M$2:$M$1001,$AR36)="","",INDEX(Raw_D3!$M$2:$M$1001,$AR36)),"")))</f>
        <v>0.2537</v>
      </c>
      <c r="N36" s="5">
        <f>IF($A36="","",IF($AQ36&lt;&gt;"",IF(INDEX(Raw_D2!$F$2:$F$1001,$AQ36)="","",INDEX(Raw_D2!$F$2:$F$1001,$AQ36)),IF($AR36&lt;&gt;"",IF(INDEX(Raw_D3!$N$2:$N$1001,$AR36)="","",INDEX(Raw_D3!$N$2:$N$1001,$AR36)),"")))</f>
        <v>16</v>
      </c>
      <c r="O36" s="5">
        <f>IF($A36="","",IF($AQ36&lt;&gt;"",IF(INDEX(Raw_D2!$G$2:$G$1001,$AQ36)="","",INDEX(Raw_D2!$G$2:$G$1001,$AQ36)),IF($AR36&lt;&gt;"",IF(INDEX(Raw_D3!$O$2:$O$1001,$AR36)="","",INDEX(Raw_D3!$O$2:$O$1001,$AR36)),"")))</f>
        <v>54</v>
      </c>
      <c r="P36" s="5">
        <f>IF($A36="","",IF($AQ36&lt;&gt;"",IF(INDEX(Raw_D2!$H$2:$H$1001,$AQ36)="","",INDEX(Raw_D2!$H$2:$H$1001,$AQ36)),IF($AR36&lt;&gt;"",IF(INDEX(Raw_D3!$P$2:$P$1001,$AR36)="","",INDEX(Raw_D3!$P$2:$P$1001,$AR36)),"")))</f>
        <v>70</v>
      </c>
      <c r="Q36" s="5" t="str">
        <f>IF($A36="","",IF(AND($AP36&lt;&gt;"",$AQ36&lt;&gt;""),"D1+D2",IF($AR36&lt;&gt;"","D3","Incomplete")))</f>
        <v>D1+D2</v>
      </c>
      <c r="R36" s="17">
        <f>IF($A36="","",IF($K36="",IF($J36="","",ROUND(Lookups!$K$5+Lookups!$K$4*$J36,4)),$K36))</f>
        <v>0.3333</v>
      </c>
      <c r="S36" s="5" t="str">
        <f>IF($A36="","",IF($K36="","Imputed","Original"))</f>
        <v>Original</v>
      </c>
      <c r="T36" s="5" t="str">
        <f>IF($A36="","",IF($P36="","Missing",IF($P36=$N36+$O36,"OK","Mismatch")))</f>
        <v>OK</v>
      </c>
      <c r="U36" s="5" t="str">
        <f>IF($A36="","",IF(COUNTIF($A$2:$A36,$A36)&gt;1,"Duplicate","Unique"))</f>
        <v>Unique</v>
      </c>
      <c r="V36" s="5">
        <f>IF($A36="","",IF(AND($U36="Unique",ISNUMBER($P36)),1,0))</f>
        <v>1</v>
      </c>
      <c r="W36" s="5" t="str">
        <f>IF($A36="","",IF(OR($H36=0,$H36=6),"Weekend","Weekday"))</f>
        <v>Weekend</v>
      </c>
      <c r="X36" s="5" t="str">
        <f>IF($A36="","",TEXT($B36,"ddd"))</f>
        <v>Sun</v>
      </c>
      <c r="Y36" s="5" t="str">
        <f>IF($A36="","",TEXT($B36,"mmm"))</f>
        <v>Jan</v>
      </c>
      <c r="Z36" s="5" t="str">
        <f>IF($A36="","",IFERROR(VLOOKUP($C36,Lookups!$D$4:$E$7,2,FALSE),"Unknown"))</f>
        <v>Winter</v>
      </c>
      <c r="AA36" s="5" t="str">
        <f>IF($A36="","",IFERROR(VLOOKUP($I36,Lookups!$A$4:$B$7,2,FALSE),"Unknown"))</f>
        <v>Mist/Cloudy</v>
      </c>
      <c r="AB36" s="5" t="str">
        <f>IF($A36="","",TEXT($F36,"00")&amp;":00")</f>
        <v>11:00</v>
      </c>
      <c r="AC36" s="5" t="str">
        <f>IF($A36="","",VLOOKUP($F36,Lookups!$G$4:$H$8,2,TRUE))</f>
        <v>Midday (10-15)</v>
      </c>
      <c r="AD36" s="18">
        <f>IF($A36="","",IF($J36="","",ROUND($J36*41,1)))</f>
        <v>14.8</v>
      </c>
      <c r="AE36" s="18">
        <f>IF($A36="","",IF($R36="","",ROUND($R36*50,1)))</f>
        <v>16.7</v>
      </c>
      <c r="AF36" s="5">
        <f>IF($A36="","",IF($L36="","",ROUND($L36*100,0)))</f>
        <v>71</v>
      </c>
      <c r="AG36" s="18">
        <f>IF($A36="","",IF($M36="","",ROUND($M36*67,1)))</f>
        <v>17</v>
      </c>
      <c r="AH36" s="19">
        <f>IF($A36="","",IF($P36="","",IF($P36=0,0,$O36/$P36)))</f>
        <v>0.771428571428572</v>
      </c>
      <c r="AI36" s="5" t="str">
        <f>IF($A36="","",IF($P36="","",IF($P36&gt;=Lookups!$K$7,"High",IF($P36&lt;=Lookups!$K$8,"Low","Medium"))))</f>
        <v>Medium</v>
      </c>
      <c r="AJ36" s="5" t="str">
        <f>IF($A36="","",IF($AD36="","",IF($AD36&lt;5,"Under 5 C",IF($AD36&lt;10,"5-10 C",IF($AD36&lt;15,"10-15 C","15 C and above")))))</f>
        <v>10-15 C</v>
      </c>
      <c r="AK36" s="5">
        <f>IF($A36="","",IF($P36="","",$P36^2))</f>
        <v>4900</v>
      </c>
      <c r="AL36" s="18">
        <f>IF($V36&lt;&gt;1,"",AVERAGEIFS(Clean_Data!$P$2:$P$1001,Clean_Data!$F$2:$F$1001,$F36,Clean_Data!$W$2:$W$1001,$W36,Clean_Data!$V$2:$V$1001,1))</f>
        <v>76.9285714285714</v>
      </c>
      <c r="AM36" s="16">
        <f>IF($V36&lt;&gt;1,"",IFERROR(($P36-$AL36)/SQRT(MAX(0,(SUMIFS(Clean_Data!$AK$2:$AK$1001,Clean_Data!$F$2:$F$1001,$F36,Clean_Data!$W$2:$W$1001,$W36,Clean_Data!$V$2:$V$1001,1)-COUNTIFS(Clean_Data!$F$2:$F$1001,$F36,Clean_Data!$W$2:$W$1001,$W36,Clean_Data!$V$2:$V$1001,1)*$AL36^2)/(COUNTIFS(Clean_Data!$F$2:$F$1001,$F36,Clean_Data!$W$2:$W$1001,$W36,Clean_Data!$V$2:$V$1001,1)-1))),""))</f>
        <v>-0.278484034161708</v>
      </c>
      <c r="AN36" s="5" t="str">
        <f>IF($AM36="","",IF($AM36&gt;=Lookups!$K$6,"High spike",IF($AM36&lt;=-Lookups!$K$6,"Unusual low","Normal")))</f>
        <v>Normal</v>
      </c>
      <c r="AO36" s="20">
        <f>IF($V36&lt;&gt;1,"",$P36+ROW()/100000)</f>
        <v>70.00036</v>
      </c>
      <c r="AP36" s="5">
        <f>IF($A36="","",IFERROR(MATCH($A36,Raw_D1!$A$2:$A$1001,0),""))</f>
        <v>35</v>
      </c>
      <c r="AQ36" s="5">
        <f>IF($A36="","",IFERROR(MATCH($A36,Raw_D2!$B$2:$B$1001,0),""))</f>
        <v>35</v>
      </c>
      <c r="AR36" s="5">
        <f>IF($A36="","",IFERROR(MATCH($A36,Raw_D3!$A$2:$A$1001,0),""))</f>
        <v/>
      </c>
    </row>
    <row r="37" spans="1:44" x14ac:dyDescent="0.25">
      <c r="A37" s="5">
        <v>36</v>
      </c>
      <c r="B37" s="11">
        <f>IF($A37="","",IF($AP37&lt;&gt;"",INDEX(Raw_D1!$B$2:$B$1001,$AP37),IF($AR37&lt;&gt;"",INDEX(Raw_D3!$B$2:$B$1001,$AR37),"")))</f>
        <v>40545.0</v>
      </c>
      <c r="C37" s="5">
        <f>IF($A37="","",IF($AP37&lt;&gt;"",INDEX(Raw_D1!$C$2:$C$1001,$AP37),IF($AR37&lt;&gt;"",INDEX(Raw_D3!$C$2:$C$1001,$AR37),"")))</f>
        <v>1</v>
      </c>
      <c r="D37" s="5">
        <f>IF($A37="","",IF($AP37&lt;&gt;"",INDEX(Raw_D1!$D$2:$D$1001,$AP37),IF($AR37&lt;&gt;"",INDEX(Raw_D3!$D$2:$D$1001,$AR37),"")))</f>
        <v>0</v>
      </c>
      <c r="E37" s="5">
        <f>IF($A37="","",IF($AP37&lt;&gt;"",INDEX(Raw_D1!$E$2:$E$1001,$AP37),IF($AR37&lt;&gt;"",INDEX(Raw_D3!$E$2:$E$1001,$AR37),"")))</f>
        <v>1</v>
      </c>
      <c r="F37" s="5">
        <f>IF($A37="","",IF($AP37&lt;&gt;"",INDEX(Raw_D1!$F$2:$F$1001,$AP37),IF($AR37&lt;&gt;"",INDEX(Raw_D3!$F$2:$F$1001,$AR37),"")))</f>
        <v>12</v>
      </c>
      <c r="G37" s="5">
        <f>IF($A37="","",IF($AP37&lt;&gt;"",IF(INDEX(Raw_D1!$G$2:$G$1001,$AP37),1,0),IF($AR37&lt;&gt;"",IF(INDEX(Raw_D3!$G$2:$G$1001,$AR37),1,0),"")))</f>
        <v>0</v>
      </c>
      <c r="H37" s="5">
        <f>IF($A37="","",IF($AP37&lt;&gt;"",INDEX(Raw_D1!$H$2:$H$1001,$AP37),IF($AR37&lt;&gt;"",INDEX(Raw_D3!$H$2:$H$1001,$AR37),"")))</f>
        <v>0</v>
      </c>
      <c r="I37" s="5">
        <f>IF($A37="","",IF($AP37&lt;&gt;"",INDEX(Raw_D1!$I$2:$I$1001,$AP37),IF($AR37&lt;&gt;"",INDEX(Raw_D3!$I$2:$I$1001,$AR37),"")))</f>
        <v>2</v>
      </c>
      <c r="J37" s="16">
        <f>IF($A37="","",IF($AP37&lt;&gt;"",INDEX(Raw_D1!$J$2:$J$1001,$AP37),IF($AR37&lt;&gt;"",INDEX(Raw_D3!$J$2:$J$1001,$AR37),"")))</f>
        <v>0.36</v>
      </c>
      <c r="K37" s="17">
        <f>IF($A37="","",IF($AQ37&lt;&gt;"",IF(INDEX(Raw_D2!$C$2:$C$1001,$AQ37)="","",INDEX(Raw_D2!$C$2:$C$1001,$AQ37)),IF($AR37&lt;&gt;"",IF(INDEX(Raw_D3!$K$2:$K$1001,$AR37)="","",INDEX(Raw_D3!$K$2:$K$1001,$AR37)),"")))</f>
        <v>0.3333</v>
      </c>
      <c r="L37" s="16">
        <f>IF($A37="","",IF($AQ37&lt;&gt;"",IF(INDEX(Raw_D2!$D$2:$D$1001,$AQ37)="","",INDEX(Raw_D2!$D$2:$D$1001,$AQ37)),IF($AR37&lt;&gt;"",IF(INDEX(Raw_D3!$L$2:$L$1001,$AR37)="","",INDEX(Raw_D3!$L$2:$L$1001,$AR37)),"")))</f>
        <v>0.66</v>
      </c>
      <c r="M37" s="17">
        <f>IF($A37="","",IF($AQ37&lt;&gt;"",IF(INDEX(Raw_D2!$E$2:$E$1001,$AQ37)="","",INDEX(Raw_D2!$E$2:$E$1001,$AQ37)),IF($AR37&lt;&gt;"",IF(INDEX(Raw_D3!$M$2:$M$1001,$AR37)="","",INDEX(Raw_D3!$M$2:$M$1001,$AR37)),"")))</f>
        <v>0.2985</v>
      </c>
      <c r="N37" s="5">
        <f>IF($A37="","",IF($AQ37&lt;&gt;"",IF(INDEX(Raw_D2!$F$2:$F$1001,$AQ37)="","",INDEX(Raw_D2!$F$2:$F$1001,$AQ37)),IF($AR37&lt;&gt;"",IF(INDEX(Raw_D3!$N$2:$N$1001,$AR37)="","",INDEX(Raw_D3!$N$2:$N$1001,$AR37)),"")))</f>
        <v>20</v>
      </c>
      <c r="O37" s="5">
        <f>IF($A37="","",IF($AQ37&lt;&gt;"",IF(INDEX(Raw_D2!$G$2:$G$1001,$AQ37)="","",INDEX(Raw_D2!$G$2:$G$1001,$AQ37)),IF($AR37&lt;&gt;"",IF(INDEX(Raw_D3!$O$2:$O$1001,$AR37)="","",INDEX(Raw_D3!$O$2:$O$1001,$AR37)),"")))</f>
        <v>73</v>
      </c>
      <c r="P37" s="5">
        <f>IF($A37="","",IF($AQ37&lt;&gt;"",IF(INDEX(Raw_D2!$H$2:$H$1001,$AQ37)="","",INDEX(Raw_D2!$H$2:$H$1001,$AQ37)),IF($AR37&lt;&gt;"",IF(INDEX(Raw_D3!$P$2:$P$1001,$AR37)="","",INDEX(Raw_D3!$P$2:$P$1001,$AR37)),"")))</f>
        <v>93</v>
      </c>
      <c r="Q37" s="5" t="str">
        <f>IF($A37="","",IF(AND($AP37&lt;&gt;"",$AQ37&lt;&gt;""),"D1+D2",IF($AR37&lt;&gt;"","D3","Incomplete")))</f>
        <v>D1+D2</v>
      </c>
      <c r="R37" s="17">
        <f>IF($A37="","",IF($K37="",IF($J37="","",ROUND(Lookups!$K$5+Lookups!$K$4*$J37,4)),$K37))</f>
        <v>0.3333</v>
      </c>
      <c r="S37" s="5" t="str">
        <f>IF($A37="","",IF($K37="","Imputed","Original"))</f>
        <v>Original</v>
      </c>
      <c r="T37" s="5" t="str">
        <f>IF($A37="","",IF($P37="","Missing",IF($P37=$N37+$O37,"OK","Mismatch")))</f>
        <v>OK</v>
      </c>
      <c r="U37" s="5" t="str">
        <f>IF($A37="","",IF(COUNTIF($A$2:$A37,$A37)&gt;1,"Duplicate","Unique"))</f>
        <v>Unique</v>
      </c>
      <c r="V37" s="5">
        <f>IF($A37="","",IF(AND($U37="Unique",ISNUMBER($P37)),1,0))</f>
        <v>1</v>
      </c>
      <c r="W37" s="5" t="str">
        <f>IF($A37="","",IF(OR($H37=0,$H37=6),"Weekend","Weekday"))</f>
        <v>Weekend</v>
      </c>
      <c r="X37" s="5" t="str">
        <f>IF($A37="","",TEXT($B37,"ddd"))</f>
        <v>Sun</v>
      </c>
      <c r="Y37" s="5" t="str">
        <f>IF($A37="","",TEXT($B37,"mmm"))</f>
        <v>Jan</v>
      </c>
      <c r="Z37" s="5" t="str">
        <f>IF($A37="","",IFERROR(VLOOKUP($C37,Lookups!$D$4:$E$7,2,FALSE),"Unknown"))</f>
        <v>Winter</v>
      </c>
      <c r="AA37" s="5" t="str">
        <f>IF($A37="","",IFERROR(VLOOKUP($I37,Lookups!$A$4:$B$7,2,FALSE),"Unknown"))</f>
        <v>Mist/Cloudy</v>
      </c>
      <c r="AB37" s="5" t="str">
        <f>IF($A37="","",TEXT($F37,"00")&amp;":00")</f>
        <v>12:00</v>
      </c>
      <c r="AC37" s="5" t="str">
        <f>IF($A37="","",VLOOKUP($F37,Lookups!$G$4:$H$8,2,TRUE))</f>
        <v>Midday (10-15)</v>
      </c>
      <c r="AD37" s="18">
        <f>IF($A37="","",IF($J37="","",ROUND($J37*41,1)))</f>
        <v>14.8</v>
      </c>
      <c r="AE37" s="18">
        <f>IF($A37="","",IF($R37="","",ROUND($R37*50,1)))</f>
        <v>16.7</v>
      </c>
      <c r="AF37" s="5">
        <f>IF($A37="","",IF($L37="","",ROUND($L37*100,0)))</f>
        <v>66</v>
      </c>
      <c r="AG37" s="18">
        <f>IF($A37="","",IF($M37="","",ROUND($M37*67,1)))</f>
        <v>20</v>
      </c>
      <c r="AH37" s="19">
        <f>IF($A37="","",IF($P37="","",IF($P37=0,0,$O37/$P37)))</f>
        <v>0.78494623655914</v>
      </c>
      <c r="AI37" s="5" t="str">
        <f>IF($A37="","",IF($P37="","",IF($P37&gt;=Lookups!$K$7,"High",IF($P37&lt;=Lookups!$K$8,"Low","Medium"))))</f>
        <v>High</v>
      </c>
      <c r="AJ37" s="5" t="str">
        <f>IF($A37="","",IF($AD37="","",IF($AD37&lt;5,"Under 5 C",IF($AD37&lt;10,"5-10 C",IF($AD37&lt;15,"10-15 C","15 C and above")))))</f>
        <v>10-15 C</v>
      </c>
      <c r="AK37" s="5">
        <f>IF($A37="","",IF($P37="","",$P37^2))</f>
        <v>8649</v>
      </c>
      <c r="AL37" s="18">
        <f>IF($V37&lt;&gt;1,"",AVERAGEIFS(Clean_Data!$P$2:$P$1001,Clean_Data!$F$2:$F$1001,$F37,Clean_Data!$W$2:$W$1001,$W37,Clean_Data!$V$2:$V$1001,1))</f>
        <v>100.714285714286</v>
      </c>
      <c r="AM37" s="16">
        <f>IF($V37&lt;&gt;1,"",IFERROR(($P37-$AL37)/SQRT(MAX(0,(SUMIFS(Clean_Data!$AK$2:$AK$1001,Clean_Data!$F$2:$F$1001,$F37,Clean_Data!$W$2:$W$1001,$W37,Clean_Data!$V$2:$V$1001,1)-COUNTIFS(Clean_Data!$F$2:$F$1001,$F37,Clean_Data!$W$2:$W$1001,$W37,Clean_Data!$V$2:$V$1001,1)*$AL37^2)/(COUNTIFS(Clean_Data!$F$2:$F$1001,$F37,Clean_Data!$W$2:$W$1001,$W37,Clean_Data!$V$2:$V$1001,1)-1))),""))</f>
        <v>-0.24153584867048</v>
      </c>
      <c r="AN37" s="5" t="str">
        <f>IF($AM37="","",IF($AM37&gt;=Lookups!$K$6,"High spike",IF($AM37&lt;=-Lookups!$K$6,"Unusual low","Normal")))</f>
        <v>Normal</v>
      </c>
      <c r="AO37" s="20">
        <f>IF($V37&lt;&gt;1,"",$P37+ROW()/100000)</f>
        <v>93.00037</v>
      </c>
      <c r="AP37" s="5">
        <f>IF($A37="","",IFERROR(MATCH($A37,Raw_D1!$A$2:$A$1001,0),""))</f>
        <v>36</v>
      </c>
      <c r="AQ37" s="5">
        <f>IF($A37="","",IFERROR(MATCH($A37,Raw_D2!$B$2:$B$1001,0),""))</f>
        <v>36</v>
      </c>
      <c r="AR37" s="5">
        <f>IF($A37="","",IFERROR(MATCH($A37,Raw_D3!$A$2:$A$1001,0),""))</f>
        <v/>
      </c>
    </row>
    <row r="38" spans="1:44" x14ac:dyDescent="0.25">
      <c r="A38" s="5">
        <v>37</v>
      </c>
      <c r="B38" s="11">
        <f>IF($A38="","",IF($AP38&lt;&gt;"",INDEX(Raw_D1!$B$2:$B$1001,$AP38),IF($AR38&lt;&gt;"",INDEX(Raw_D3!$B$2:$B$1001,$AR38),"")))</f>
        <v>40545.0</v>
      </c>
      <c r="C38" s="5">
        <f>IF($A38="","",IF($AP38&lt;&gt;"",INDEX(Raw_D1!$C$2:$C$1001,$AP38),IF($AR38&lt;&gt;"",INDEX(Raw_D3!$C$2:$C$1001,$AR38),"")))</f>
        <v>1</v>
      </c>
      <c r="D38" s="5">
        <f>IF($A38="","",IF($AP38&lt;&gt;"",INDEX(Raw_D1!$D$2:$D$1001,$AP38),IF($AR38&lt;&gt;"",INDEX(Raw_D3!$D$2:$D$1001,$AR38),"")))</f>
        <v>0</v>
      </c>
      <c r="E38" s="5">
        <f>IF($A38="","",IF($AP38&lt;&gt;"",INDEX(Raw_D1!$E$2:$E$1001,$AP38),IF($AR38&lt;&gt;"",INDEX(Raw_D3!$E$2:$E$1001,$AR38),"")))</f>
        <v>1</v>
      </c>
      <c r="F38" s="5">
        <f>IF($A38="","",IF($AP38&lt;&gt;"",INDEX(Raw_D1!$F$2:$F$1001,$AP38),IF($AR38&lt;&gt;"",INDEX(Raw_D3!$F$2:$F$1001,$AR38),"")))</f>
        <v>13</v>
      </c>
      <c r="G38" s="5">
        <f>IF($A38="","",IF($AP38&lt;&gt;"",IF(INDEX(Raw_D1!$G$2:$G$1001,$AP38),1,0),IF($AR38&lt;&gt;"",IF(INDEX(Raw_D3!$G$2:$G$1001,$AR38),1,0),"")))</f>
        <v>0</v>
      </c>
      <c r="H38" s="5">
        <f>IF($A38="","",IF($AP38&lt;&gt;"",INDEX(Raw_D1!$H$2:$H$1001,$AP38),IF($AR38&lt;&gt;"",INDEX(Raw_D3!$H$2:$H$1001,$AR38),"")))</f>
        <v>0</v>
      </c>
      <c r="I38" s="5">
        <f>IF($A38="","",IF($AP38&lt;&gt;"",INDEX(Raw_D1!$I$2:$I$1001,$AP38),IF($AR38&lt;&gt;"",INDEX(Raw_D3!$I$2:$I$1001,$AR38),"")))</f>
        <v>2</v>
      </c>
      <c r="J38" s="16">
        <f>IF($A38="","",IF($AP38&lt;&gt;"",INDEX(Raw_D1!$J$2:$J$1001,$AP38),IF($AR38&lt;&gt;"",INDEX(Raw_D3!$J$2:$J$1001,$AR38),"")))</f>
        <v>0.36</v>
      </c>
      <c r="K38" s="17">
        <f>IF($A38="","",IF($AQ38&lt;&gt;"",IF(INDEX(Raw_D2!$C$2:$C$1001,$AQ38)="","",INDEX(Raw_D2!$C$2:$C$1001,$AQ38)),IF($AR38&lt;&gt;"",IF(INDEX(Raw_D3!$K$2:$K$1001,$AR38)="","",INDEX(Raw_D3!$K$2:$K$1001,$AR38)),"")))</f>
        <v>0.3485</v>
      </c>
      <c r="L38" s="16">
        <f>IF($A38="","",IF($AQ38&lt;&gt;"",IF(INDEX(Raw_D2!$D$2:$D$1001,$AQ38)="","",INDEX(Raw_D2!$D$2:$D$1001,$AQ38)),IF($AR38&lt;&gt;"",IF(INDEX(Raw_D3!$L$2:$L$1001,$AR38)="","",INDEX(Raw_D3!$L$2:$L$1001,$AR38)),"")))</f>
        <v>0.66</v>
      </c>
      <c r="M38" s="17">
        <f>IF($A38="","",IF($AQ38&lt;&gt;"",IF(INDEX(Raw_D2!$E$2:$E$1001,$AQ38)="","",INDEX(Raw_D2!$E$2:$E$1001,$AQ38)),IF($AR38&lt;&gt;"",IF(INDEX(Raw_D3!$M$2:$M$1001,$AR38)="","",INDEX(Raw_D3!$M$2:$M$1001,$AR38)),"")))</f>
        <v>0.1343</v>
      </c>
      <c r="N38" s="5">
        <f>IF($A38="","",IF($AQ38&lt;&gt;"",IF(INDEX(Raw_D2!$F$2:$F$1001,$AQ38)="","",INDEX(Raw_D2!$F$2:$F$1001,$AQ38)),IF($AR38&lt;&gt;"",IF(INDEX(Raw_D3!$N$2:$N$1001,$AR38)="","",INDEX(Raw_D3!$N$2:$N$1001,$AR38)),"")))</f>
        <v>11</v>
      </c>
      <c r="O38" s="5">
        <f>IF($A38="","",IF($AQ38&lt;&gt;"",IF(INDEX(Raw_D2!$G$2:$G$1001,$AQ38)="","",INDEX(Raw_D2!$G$2:$G$1001,$AQ38)),IF($AR38&lt;&gt;"",IF(INDEX(Raw_D3!$O$2:$O$1001,$AR38)="","",INDEX(Raw_D3!$O$2:$O$1001,$AR38)),"")))</f>
        <v>64</v>
      </c>
      <c r="P38" s="5">
        <f>IF($A38="","",IF($AQ38&lt;&gt;"",IF(INDEX(Raw_D2!$H$2:$H$1001,$AQ38)="","",INDEX(Raw_D2!$H$2:$H$1001,$AQ38)),IF($AR38&lt;&gt;"",IF(INDEX(Raw_D3!$P$2:$P$1001,$AR38)="","",INDEX(Raw_D3!$P$2:$P$1001,$AR38)),"")))</f>
        <v>75</v>
      </c>
      <c r="Q38" s="5" t="str">
        <f>IF($A38="","",IF(AND($AP38&lt;&gt;"",$AQ38&lt;&gt;""),"D1+D2",IF($AR38&lt;&gt;"","D3","Incomplete")))</f>
        <v>D1+D2</v>
      </c>
      <c r="R38" s="17">
        <f>IF($A38="","",IF($K38="",IF($J38="","",ROUND(Lookups!$K$5+Lookups!$K$4*$J38,4)),$K38))</f>
        <v>0.3485</v>
      </c>
      <c r="S38" s="5" t="str">
        <f>IF($A38="","",IF($K38="","Imputed","Original"))</f>
        <v>Original</v>
      </c>
      <c r="T38" s="5" t="str">
        <f>IF($A38="","",IF($P38="","Missing",IF($P38=$N38+$O38,"OK","Mismatch")))</f>
        <v>OK</v>
      </c>
      <c r="U38" s="5" t="str">
        <f>IF($A38="","",IF(COUNTIF($A$2:$A38,$A38)&gt;1,"Duplicate","Unique"))</f>
        <v>Unique</v>
      </c>
      <c r="V38" s="5">
        <f>IF($A38="","",IF(AND($U38="Unique",ISNUMBER($P38)),1,0))</f>
        <v>1</v>
      </c>
      <c r="W38" s="5" t="str">
        <f>IF($A38="","",IF(OR($H38=0,$H38=6),"Weekend","Weekday"))</f>
        <v>Weekend</v>
      </c>
      <c r="X38" s="5" t="str">
        <f>IF($A38="","",TEXT($B38,"ddd"))</f>
        <v>Sun</v>
      </c>
      <c r="Y38" s="5" t="str">
        <f>IF($A38="","",TEXT($B38,"mmm"))</f>
        <v>Jan</v>
      </c>
      <c r="Z38" s="5" t="str">
        <f>IF($A38="","",IFERROR(VLOOKUP($C38,Lookups!$D$4:$E$7,2,FALSE),"Unknown"))</f>
        <v>Winter</v>
      </c>
      <c r="AA38" s="5" t="str">
        <f>IF($A38="","",IFERROR(VLOOKUP($I38,Lookups!$A$4:$B$7,2,FALSE),"Unknown"))</f>
        <v>Mist/Cloudy</v>
      </c>
      <c r="AB38" s="5" t="str">
        <f>IF($A38="","",TEXT($F38,"00")&amp;":00")</f>
        <v>13:00</v>
      </c>
      <c r="AC38" s="5" t="str">
        <f>IF($A38="","",VLOOKUP($F38,Lookups!$G$4:$H$8,2,TRUE))</f>
        <v>Midday (10-15)</v>
      </c>
      <c r="AD38" s="18">
        <f>IF($A38="","",IF($J38="","",ROUND($J38*41,1)))</f>
        <v>14.8</v>
      </c>
      <c r="AE38" s="18">
        <f>IF($A38="","",IF($R38="","",ROUND($R38*50,1)))</f>
        <v>17.4</v>
      </c>
      <c r="AF38" s="5">
        <f>IF($A38="","",IF($L38="","",ROUND($L38*100,0)))</f>
        <v>66</v>
      </c>
      <c r="AG38" s="18">
        <f>IF($A38="","",IF($M38="","",ROUND($M38*67,1)))</f>
        <v>9</v>
      </c>
      <c r="AH38" s="19">
        <f>IF($A38="","",IF($P38="","",IF($P38=0,0,$O38/$P38)))</f>
        <v>0.853333333333333</v>
      </c>
      <c r="AI38" s="5" t="str">
        <f>IF($A38="","",IF($P38="","",IF($P38&gt;=Lookups!$K$7,"High",IF($P38&lt;=Lookups!$K$8,"Low","Medium"))))</f>
        <v>Medium</v>
      </c>
      <c r="AJ38" s="5" t="str">
        <f>IF($A38="","",IF($AD38="","",IF($AD38&lt;5,"Under 5 C",IF($AD38&lt;10,"5-10 C",IF($AD38&lt;15,"10-15 C","15 C and above")))))</f>
        <v>10-15 C</v>
      </c>
      <c r="AK38" s="5">
        <f>IF($A38="","",IF($P38="","",$P38^2))</f>
        <v>5625</v>
      </c>
      <c r="AL38" s="18">
        <f>IF($V38&lt;&gt;1,"",AVERAGEIFS(Clean_Data!$P$2:$P$1001,Clean_Data!$F$2:$F$1001,$F38,Clean_Data!$W$2:$W$1001,$W38,Clean_Data!$V$2:$V$1001,1))</f>
        <v>102</v>
      </c>
      <c r="AM38" s="16">
        <f>IF($V38&lt;&gt;1,"",IFERROR(($P38-$AL38)/SQRT(MAX(0,(SUMIFS(Clean_Data!$AK$2:$AK$1001,Clean_Data!$F$2:$F$1001,$F38,Clean_Data!$W$2:$W$1001,$W38,Clean_Data!$V$2:$V$1001,1)-COUNTIFS(Clean_Data!$F$2:$F$1001,$F38,Clean_Data!$W$2:$W$1001,$W38,Clean_Data!$V$2:$V$1001,1)*$AL38^2)/(COUNTIFS(Clean_Data!$F$2:$F$1001,$F38,Clean_Data!$W$2:$W$1001,$W38,Clean_Data!$V$2:$V$1001,1)-1))),""))</f>
        <v>-0.791855124069351</v>
      </c>
      <c r="AN38" s="5" t="str">
        <f>IF($AM38="","",IF($AM38&gt;=Lookups!$K$6,"High spike",IF($AM38&lt;=-Lookups!$K$6,"Unusual low","Normal")))</f>
        <v>Normal</v>
      </c>
      <c r="AO38" s="20">
        <f>IF($V38&lt;&gt;1,"",$P38+ROW()/100000)</f>
        <v>75.00038</v>
      </c>
      <c r="AP38" s="5">
        <f>IF($A38="","",IFERROR(MATCH($A38,Raw_D1!$A$2:$A$1001,0),""))</f>
        <v>37</v>
      </c>
      <c r="AQ38" s="5">
        <f>IF($A38="","",IFERROR(MATCH($A38,Raw_D2!$B$2:$B$1001,0),""))</f>
        <v>37</v>
      </c>
      <c r="AR38" s="5">
        <f>IF($A38="","",IFERROR(MATCH($A38,Raw_D3!$A$2:$A$1001,0),""))</f>
        <v/>
      </c>
    </row>
    <row r="39" spans="1:44" x14ac:dyDescent="0.25">
      <c r="A39" s="5">
        <v>38</v>
      </c>
      <c r="B39" s="11">
        <f>IF($A39="","",IF($AP39&lt;&gt;"",INDEX(Raw_D1!$B$2:$B$1001,$AP39),IF($AR39&lt;&gt;"",INDEX(Raw_D3!$B$2:$B$1001,$AR39),"")))</f>
        <v>40545.0</v>
      </c>
      <c r="C39" s="5">
        <f>IF($A39="","",IF($AP39&lt;&gt;"",INDEX(Raw_D1!$C$2:$C$1001,$AP39),IF($AR39&lt;&gt;"",INDEX(Raw_D3!$C$2:$C$1001,$AR39),"")))</f>
        <v>1</v>
      </c>
      <c r="D39" s="5">
        <f>IF($A39="","",IF($AP39&lt;&gt;"",INDEX(Raw_D1!$D$2:$D$1001,$AP39),IF($AR39&lt;&gt;"",INDEX(Raw_D3!$D$2:$D$1001,$AR39),"")))</f>
        <v>0</v>
      </c>
      <c r="E39" s="5">
        <f>IF($A39="","",IF($AP39&lt;&gt;"",INDEX(Raw_D1!$E$2:$E$1001,$AP39),IF($AR39&lt;&gt;"",INDEX(Raw_D3!$E$2:$E$1001,$AR39),"")))</f>
        <v>1</v>
      </c>
      <c r="F39" s="5">
        <f>IF($A39="","",IF($AP39&lt;&gt;"",INDEX(Raw_D1!$F$2:$F$1001,$AP39),IF($AR39&lt;&gt;"",INDEX(Raw_D3!$F$2:$F$1001,$AR39),"")))</f>
        <v>14</v>
      </c>
      <c r="G39" s="5">
        <f>IF($A39="","",IF($AP39&lt;&gt;"",IF(INDEX(Raw_D1!$G$2:$G$1001,$AP39),1,0),IF($AR39&lt;&gt;"",IF(INDEX(Raw_D3!$G$2:$G$1001,$AR39),1,0),"")))</f>
        <v>0</v>
      </c>
      <c r="H39" s="5">
        <f>IF($A39="","",IF($AP39&lt;&gt;"",INDEX(Raw_D1!$H$2:$H$1001,$AP39),IF($AR39&lt;&gt;"",INDEX(Raw_D3!$H$2:$H$1001,$AR39),"")))</f>
        <v>0</v>
      </c>
      <c r="I39" s="5">
        <f>IF($A39="","",IF($AP39&lt;&gt;"",INDEX(Raw_D1!$I$2:$I$1001,$AP39),IF($AR39&lt;&gt;"",INDEX(Raw_D3!$I$2:$I$1001,$AR39),"")))</f>
        <v>3</v>
      </c>
      <c r="J39" s="16">
        <f>IF($A39="","",IF($AP39&lt;&gt;"",INDEX(Raw_D1!$J$2:$J$1001,$AP39),IF($AR39&lt;&gt;"",INDEX(Raw_D3!$J$2:$J$1001,$AR39),"")))</f>
        <v>0.36</v>
      </c>
      <c r="K39" s="17">
        <f>IF($A39="","",IF($AQ39&lt;&gt;"",IF(INDEX(Raw_D2!$C$2:$C$1001,$AQ39)="","",INDEX(Raw_D2!$C$2:$C$1001,$AQ39)),IF($AR39&lt;&gt;"",IF(INDEX(Raw_D3!$K$2:$K$1001,$AR39)="","",INDEX(Raw_D3!$K$2:$K$1001,$AR39)),"")))</f>
        <v/>
      </c>
      <c r="L39" s="16">
        <f>IF($A39="","",IF($AQ39&lt;&gt;"",IF(INDEX(Raw_D2!$D$2:$D$1001,$AQ39)="","",INDEX(Raw_D2!$D$2:$D$1001,$AQ39)),IF($AR39&lt;&gt;"",IF(INDEX(Raw_D3!$L$2:$L$1001,$AR39)="","",INDEX(Raw_D3!$L$2:$L$1001,$AR39)),"")))</f>
        <v>0.76</v>
      </c>
      <c r="M39" s="17">
        <f>IF($A39="","",IF($AQ39&lt;&gt;"",IF(INDEX(Raw_D2!$E$2:$E$1001,$AQ39)="","",INDEX(Raw_D2!$E$2:$E$1001,$AQ39)),IF($AR39&lt;&gt;"",IF(INDEX(Raw_D3!$M$2:$M$1001,$AR39)="","",INDEX(Raw_D3!$M$2:$M$1001,$AR39)),"")))</f>
        <v>0.194</v>
      </c>
      <c r="N39" s="5">
        <f>IF($A39="","",IF($AQ39&lt;&gt;"",IF(INDEX(Raw_D2!$F$2:$F$1001,$AQ39)="","",INDEX(Raw_D2!$F$2:$F$1001,$AQ39)),IF($AR39&lt;&gt;"",IF(INDEX(Raw_D3!$N$2:$N$1001,$AR39)="","",INDEX(Raw_D3!$N$2:$N$1001,$AR39)),"")))</f>
        <v>4</v>
      </c>
      <c r="O39" s="5">
        <f>IF($A39="","",IF($AQ39&lt;&gt;"",IF(INDEX(Raw_D2!$G$2:$G$1001,$AQ39)="","",INDEX(Raw_D2!$G$2:$G$1001,$AQ39)),IF($AR39&lt;&gt;"",IF(INDEX(Raw_D3!$O$2:$O$1001,$AR39)="","",INDEX(Raw_D3!$O$2:$O$1001,$AR39)),"")))</f>
        <v>55</v>
      </c>
      <c r="P39" s="5">
        <f>IF($A39="","",IF($AQ39&lt;&gt;"",IF(INDEX(Raw_D2!$H$2:$H$1001,$AQ39)="","",INDEX(Raw_D2!$H$2:$H$1001,$AQ39)),IF($AR39&lt;&gt;"",IF(INDEX(Raw_D3!$P$2:$P$1001,$AR39)="","",INDEX(Raw_D3!$P$2:$P$1001,$AR39)),"")))</f>
        <v>59</v>
      </c>
      <c r="Q39" s="5" t="str">
        <f>IF($A39="","",IF(AND($AP39&lt;&gt;"",$AQ39&lt;&gt;""),"D1+D2",IF($AR39&lt;&gt;"","D3","Incomplete")))</f>
        <v>D1+D2</v>
      </c>
      <c r="R39" s="17">
        <f>IF($A39="","",IF($K39="",IF($J39="","",ROUND(Lookups!$K$5+Lookups!$K$4*$J39,4)),$K39))</f>
        <v>0.3546</v>
      </c>
      <c r="S39" s="5" t="str">
        <f>IF($A39="","",IF($K39="","Imputed","Original"))</f>
        <v>Imputed</v>
      </c>
      <c r="T39" s="5" t="str">
        <f>IF($A39="","",IF($P39="","Missing",IF($P39=$N39+$O39,"OK","Mismatch")))</f>
        <v>OK</v>
      </c>
      <c r="U39" s="5" t="str">
        <f>IF($A39="","",IF(COUNTIF($A$2:$A39,$A39)&gt;1,"Duplicate","Unique"))</f>
        <v>Unique</v>
      </c>
      <c r="V39" s="5">
        <f>IF($A39="","",IF(AND($U39="Unique",ISNUMBER($P39)),1,0))</f>
        <v>1</v>
      </c>
      <c r="W39" s="5" t="str">
        <f>IF($A39="","",IF(OR($H39=0,$H39=6),"Weekend","Weekday"))</f>
        <v>Weekend</v>
      </c>
      <c r="X39" s="5" t="str">
        <f>IF($A39="","",TEXT($B39,"ddd"))</f>
        <v>Sun</v>
      </c>
      <c r="Y39" s="5" t="str">
        <f>IF($A39="","",TEXT($B39,"mmm"))</f>
        <v>Jan</v>
      </c>
      <c r="Z39" s="5" t="str">
        <f>IF($A39="","",IFERROR(VLOOKUP($C39,Lookups!$D$4:$E$7,2,FALSE),"Unknown"))</f>
        <v>Winter</v>
      </c>
      <c r="AA39" s="5" t="str">
        <f>IF($A39="","",IFERROR(VLOOKUP($I39,Lookups!$A$4:$B$7,2,FALSE),"Unknown"))</f>
        <v>Light Rain/Snow</v>
      </c>
      <c r="AB39" s="5" t="str">
        <f>IF($A39="","",TEXT($F39,"00")&amp;":00")</f>
        <v>14:00</v>
      </c>
      <c r="AC39" s="5" t="str">
        <f>IF($A39="","",VLOOKUP($F39,Lookups!$G$4:$H$8,2,TRUE))</f>
        <v>Midday (10-15)</v>
      </c>
      <c r="AD39" s="18">
        <f>IF($A39="","",IF($J39="","",ROUND($J39*41,1)))</f>
        <v>14.8</v>
      </c>
      <c r="AE39" s="18">
        <f>IF($A39="","",IF($R39="","",ROUND($R39*50,1)))</f>
        <v>17.7</v>
      </c>
      <c r="AF39" s="5">
        <f>IF($A39="","",IF($L39="","",ROUND($L39*100,0)))</f>
        <v>76</v>
      </c>
      <c r="AG39" s="18">
        <f>IF($A39="","",IF($M39="","",ROUND($M39*67,1)))</f>
        <v>13</v>
      </c>
      <c r="AH39" s="19">
        <f>IF($A39="","",IF($P39="","",IF($P39=0,0,$O39/$P39)))</f>
        <v>0.932203389830508</v>
      </c>
      <c r="AI39" s="5" t="str">
        <f>IF($A39="","",IF($P39="","",IF($P39&gt;=Lookups!$K$7,"High",IF($P39&lt;=Lookups!$K$8,"Low","Medium"))))</f>
        <v>Medium</v>
      </c>
      <c r="AJ39" s="5" t="str">
        <f>IF($A39="","",IF($AD39="","",IF($AD39&lt;5,"Under 5 C",IF($AD39&lt;10,"5-10 C",IF($AD39&lt;15,"10-15 C","15 C and above")))))</f>
        <v>10-15 C</v>
      </c>
      <c r="AK39" s="5">
        <f>IF($A39="","",IF($P39="","",$P39^2))</f>
        <v>3481</v>
      </c>
      <c r="AL39" s="18">
        <f>IF($V39&lt;&gt;1,"",AVERAGEIFS(Clean_Data!$P$2:$P$1001,Clean_Data!$F$2:$F$1001,$F39,Clean_Data!$W$2:$W$1001,$W39,Clean_Data!$V$2:$V$1001,1))</f>
        <v>103.142857142857</v>
      </c>
      <c r="AM39" s="16">
        <f>IF($V39&lt;&gt;1,"",IFERROR(($P39-$AL39)/SQRT(MAX(0,(SUMIFS(Clean_Data!$AK$2:$AK$1001,Clean_Data!$F$2:$F$1001,$F39,Clean_Data!$W$2:$W$1001,$W39,Clean_Data!$V$2:$V$1001,1)-COUNTIFS(Clean_Data!$F$2:$F$1001,$F39,Clean_Data!$W$2:$W$1001,$W39,Clean_Data!$V$2:$V$1001,1)*$AL39^2)/(COUNTIFS(Clean_Data!$F$2:$F$1001,$F39,Clean_Data!$W$2:$W$1001,$W39,Clean_Data!$V$2:$V$1001,1)-1))),""))</f>
        <v>-1.35144494508264</v>
      </c>
      <c r="AN39" s="5" t="str">
        <f>IF($AM39="","",IF($AM39&gt;=Lookups!$K$6,"High spike",IF($AM39&lt;=-Lookups!$K$6,"Unusual low","Normal")))</f>
        <v>Normal</v>
      </c>
      <c r="AO39" s="20">
        <f>IF($V39&lt;&gt;1,"",$P39+ROW()/100000)</f>
        <v>59.00039</v>
      </c>
      <c r="AP39" s="5">
        <f>IF($A39="","",IFERROR(MATCH($A39,Raw_D1!$A$2:$A$1001,0),""))</f>
        <v>38</v>
      </c>
      <c r="AQ39" s="5">
        <f>IF($A39="","",IFERROR(MATCH($A39,Raw_D2!$B$2:$B$1001,0),""))</f>
        <v>38</v>
      </c>
      <c r="AR39" s="5">
        <f>IF($A39="","",IFERROR(MATCH($A39,Raw_D3!$A$2:$A$1001,0),""))</f>
        <v/>
      </c>
    </row>
    <row r="40" spans="1:44" x14ac:dyDescent="0.25">
      <c r="A40" s="5">
        <v>39</v>
      </c>
      <c r="B40" s="11">
        <f>IF($A40="","",IF($AP40&lt;&gt;"",INDEX(Raw_D1!$B$2:$B$1001,$AP40),IF($AR40&lt;&gt;"",INDEX(Raw_D3!$B$2:$B$1001,$AR40),"")))</f>
        <v>40545.0</v>
      </c>
      <c r="C40" s="5">
        <f>IF($A40="","",IF($AP40&lt;&gt;"",INDEX(Raw_D1!$C$2:$C$1001,$AP40),IF($AR40&lt;&gt;"",INDEX(Raw_D3!$C$2:$C$1001,$AR40),"")))</f>
        <v>1</v>
      </c>
      <c r="D40" s="5">
        <f>IF($A40="","",IF($AP40&lt;&gt;"",INDEX(Raw_D1!$D$2:$D$1001,$AP40),IF($AR40&lt;&gt;"",INDEX(Raw_D3!$D$2:$D$1001,$AR40),"")))</f>
        <v>0</v>
      </c>
      <c r="E40" s="5">
        <f>IF($A40="","",IF($AP40&lt;&gt;"",INDEX(Raw_D1!$E$2:$E$1001,$AP40),IF($AR40&lt;&gt;"",INDEX(Raw_D3!$E$2:$E$1001,$AR40),"")))</f>
        <v>1</v>
      </c>
      <c r="F40" s="5">
        <f>IF($A40="","",IF($AP40&lt;&gt;"",INDEX(Raw_D1!$F$2:$F$1001,$AP40),IF($AR40&lt;&gt;"",INDEX(Raw_D3!$F$2:$F$1001,$AR40),"")))</f>
        <v>15</v>
      </c>
      <c r="G40" s="5">
        <f>IF($A40="","",IF($AP40&lt;&gt;"",IF(INDEX(Raw_D1!$G$2:$G$1001,$AP40),1,0),IF($AR40&lt;&gt;"",IF(INDEX(Raw_D3!$G$2:$G$1001,$AR40),1,0),"")))</f>
        <v>0</v>
      </c>
      <c r="H40" s="5">
        <f>IF($A40="","",IF($AP40&lt;&gt;"",INDEX(Raw_D1!$H$2:$H$1001,$AP40),IF($AR40&lt;&gt;"",INDEX(Raw_D3!$H$2:$H$1001,$AR40),"")))</f>
        <v>0</v>
      </c>
      <c r="I40" s="5">
        <f>IF($A40="","",IF($AP40&lt;&gt;"",INDEX(Raw_D1!$I$2:$I$1001,$AP40),IF($AR40&lt;&gt;"",INDEX(Raw_D3!$I$2:$I$1001,$AR40),"")))</f>
        <v>3</v>
      </c>
      <c r="J40" s="16">
        <f>IF($A40="","",IF($AP40&lt;&gt;"",INDEX(Raw_D1!$J$2:$J$1001,$AP40),IF($AR40&lt;&gt;"",INDEX(Raw_D3!$J$2:$J$1001,$AR40),"")))</f>
        <v>0.34</v>
      </c>
      <c r="K40" s="17">
        <f>IF($A40="","",IF($AQ40&lt;&gt;"",IF(INDEX(Raw_D2!$C$2:$C$1001,$AQ40)="","",INDEX(Raw_D2!$C$2:$C$1001,$AQ40)),IF($AR40&lt;&gt;"",IF(INDEX(Raw_D3!$K$2:$K$1001,$AR40)="","",INDEX(Raw_D3!$K$2:$K$1001,$AR40)),"")))</f>
        <v>0.3333</v>
      </c>
      <c r="L40" s="16">
        <f>IF($A40="","",IF($AQ40&lt;&gt;"",IF(INDEX(Raw_D2!$D$2:$D$1001,$AQ40)="","",INDEX(Raw_D2!$D$2:$D$1001,$AQ40)),IF($AR40&lt;&gt;"",IF(INDEX(Raw_D3!$L$2:$L$1001,$AR40)="","",INDEX(Raw_D3!$L$2:$L$1001,$AR40)),"")))</f>
        <v>0.81</v>
      </c>
      <c r="M40" s="17">
        <f>IF($A40="","",IF($AQ40&lt;&gt;"",IF(INDEX(Raw_D2!$E$2:$E$1001,$AQ40)="","",INDEX(Raw_D2!$E$2:$E$1001,$AQ40)),IF($AR40&lt;&gt;"",IF(INDEX(Raw_D3!$M$2:$M$1001,$AR40)="","",INDEX(Raw_D3!$M$2:$M$1001,$AR40)),"")))</f>
        <v>0.1642</v>
      </c>
      <c r="N40" s="5">
        <f>IF($A40="","",IF($AQ40&lt;&gt;"",IF(INDEX(Raw_D2!$F$2:$F$1001,$AQ40)="","",INDEX(Raw_D2!$F$2:$F$1001,$AQ40)),IF($AR40&lt;&gt;"",IF(INDEX(Raw_D3!$N$2:$N$1001,$AR40)="","",INDEX(Raw_D3!$N$2:$N$1001,$AR40)),"")))</f>
        <v>19</v>
      </c>
      <c r="O40" s="5">
        <f>IF($A40="","",IF($AQ40&lt;&gt;"",IF(INDEX(Raw_D2!$G$2:$G$1001,$AQ40)="","",INDEX(Raw_D2!$G$2:$G$1001,$AQ40)),IF($AR40&lt;&gt;"",IF(INDEX(Raw_D3!$O$2:$O$1001,$AR40)="","",INDEX(Raw_D3!$O$2:$O$1001,$AR40)),"")))</f>
        <v>55</v>
      </c>
      <c r="P40" s="5">
        <f>IF($A40="","",IF($AQ40&lt;&gt;"",IF(INDEX(Raw_D2!$H$2:$H$1001,$AQ40)="","",INDEX(Raw_D2!$H$2:$H$1001,$AQ40)),IF($AR40&lt;&gt;"",IF(INDEX(Raw_D3!$P$2:$P$1001,$AR40)="","",INDEX(Raw_D3!$P$2:$P$1001,$AR40)),"")))</f>
        <v>74</v>
      </c>
      <c r="Q40" s="5" t="str">
        <f>IF($A40="","",IF(AND($AP40&lt;&gt;"",$AQ40&lt;&gt;""),"D1+D2",IF($AR40&lt;&gt;"","D3","Incomplete")))</f>
        <v>D1+D2</v>
      </c>
      <c r="R40" s="17">
        <f>IF($A40="","",IF($K40="",IF($J40="","",ROUND(Lookups!$K$5+Lookups!$K$4*$J40,4)),$K40))</f>
        <v>0.3333</v>
      </c>
      <c r="S40" s="5" t="str">
        <f>IF($A40="","",IF($K40="","Imputed","Original"))</f>
        <v>Original</v>
      </c>
      <c r="T40" s="5" t="str">
        <f>IF($A40="","",IF($P40="","Missing",IF($P40=$N40+$O40,"OK","Mismatch")))</f>
        <v>OK</v>
      </c>
      <c r="U40" s="5" t="str">
        <f>IF($A40="","",IF(COUNTIF($A$2:$A40,$A40)&gt;1,"Duplicate","Unique"))</f>
        <v>Unique</v>
      </c>
      <c r="V40" s="5">
        <f>IF($A40="","",IF(AND($U40="Unique",ISNUMBER($P40)),1,0))</f>
        <v>1</v>
      </c>
      <c r="W40" s="5" t="str">
        <f>IF($A40="","",IF(OR($H40=0,$H40=6),"Weekend","Weekday"))</f>
        <v>Weekend</v>
      </c>
      <c r="X40" s="5" t="str">
        <f>IF($A40="","",TEXT($B40,"ddd"))</f>
        <v>Sun</v>
      </c>
      <c r="Y40" s="5" t="str">
        <f>IF($A40="","",TEXT($B40,"mmm"))</f>
        <v>Jan</v>
      </c>
      <c r="Z40" s="5" t="str">
        <f>IF($A40="","",IFERROR(VLOOKUP($C40,Lookups!$D$4:$E$7,2,FALSE),"Unknown"))</f>
        <v>Winter</v>
      </c>
      <c r="AA40" s="5" t="str">
        <f>IF($A40="","",IFERROR(VLOOKUP($I40,Lookups!$A$4:$B$7,2,FALSE),"Unknown"))</f>
        <v>Light Rain/Snow</v>
      </c>
      <c r="AB40" s="5" t="str">
        <f>IF($A40="","",TEXT($F40,"00")&amp;":00")</f>
        <v>15:00</v>
      </c>
      <c r="AC40" s="5" t="str">
        <f>IF($A40="","",VLOOKUP($F40,Lookups!$G$4:$H$8,2,TRUE))</f>
        <v>Midday (10-15)</v>
      </c>
      <c r="AD40" s="18">
        <f>IF($A40="","",IF($J40="","",ROUND($J40*41,1)))</f>
        <v>13.9</v>
      </c>
      <c r="AE40" s="18">
        <f>IF($A40="","",IF($R40="","",ROUND($R40*50,1)))</f>
        <v>16.7</v>
      </c>
      <c r="AF40" s="5">
        <f>IF($A40="","",IF($L40="","",ROUND($L40*100,0)))</f>
        <v>81</v>
      </c>
      <c r="AG40" s="18">
        <f>IF($A40="","",IF($M40="","",ROUND($M40*67,1)))</f>
        <v>11</v>
      </c>
      <c r="AH40" s="19">
        <f>IF($A40="","",IF($P40="","",IF($P40=0,0,$O40/$P40)))</f>
        <v>0.743243243243243</v>
      </c>
      <c r="AI40" s="5" t="str">
        <f>IF($A40="","",IF($P40="","",IF($P40&gt;=Lookups!$K$7,"High",IF($P40&lt;=Lookups!$K$8,"Low","Medium"))))</f>
        <v>Medium</v>
      </c>
      <c r="AJ40" s="5" t="str">
        <f>IF($A40="","",IF($AD40="","",IF($AD40&lt;5,"Under 5 C",IF($AD40&lt;10,"5-10 C",IF($AD40&lt;15,"10-15 C","15 C and above")))))</f>
        <v>10-15 C</v>
      </c>
      <c r="AK40" s="5">
        <f>IF($A40="","",IF($P40="","",$P40^2))</f>
        <v>5476</v>
      </c>
      <c r="AL40" s="18">
        <f>IF($V40&lt;&gt;1,"",AVERAGEIFS(Clean_Data!$P$2:$P$1001,Clean_Data!$F$2:$F$1001,$F40,Clean_Data!$W$2:$W$1001,$W40,Clean_Data!$V$2:$V$1001,1))</f>
        <v>112.071428571429</v>
      </c>
      <c r="AM40" s="16">
        <f>IF($V40&lt;&gt;1,"",IFERROR(($P40-$AL40)/SQRT(MAX(0,(SUMIFS(Clean_Data!$AK$2:$AK$1001,Clean_Data!$F$2:$F$1001,$F40,Clean_Data!$W$2:$W$1001,$W40,Clean_Data!$V$2:$V$1001,1)-COUNTIFS(Clean_Data!$F$2:$F$1001,$F40,Clean_Data!$W$2:$W$1001,$W40,Clean_Data!$V$2:$V$1001,1)*$AL40^2)/(COUNTIFS(Clean_Data!$F$2:$F$1001,$F40,Clean_Data!$W$2:$W$1001,$W40,Clean_Data!$V$2:$V$1001,1)-1))),""))</f>
        <v>-0.98530359785612</v>
      </c>
      <c r="AN40" s="5" t="str">
        <f>IF($AM40="","",IF($AM40&gt;=Lookups!$K$6,"High spike",IF($AM40&lt;=-Lookups!$K$6,"Unusual low","Normal")))</f>
        <v>Normal</v>
      </c>
      <c r="AO40" s="20">
        <f>IF($V40&lt;&gt;1,"",$P40+ROW()/100000)</f>
        <v>74.0004</v>
      </c>
      <c r="AP40" s="5">
        <f>IF($A40="","",IFERROR(MATCH($A40,Raw_D1!$A$2:$A$1001,0),""))</f>
        <v>39</v>
      </c>
      <c r="AQ40" s="5">
        <f>IF($A40="","",IFERROR(MATCH($A40,Raw_D2!$B$2:$B$1001,0),""))</f>
        <v>39</v>
      </c>
      <c r="AR40" s="5">
        <f>IF($A40="","",IFERROR(MATCH($A40,Raw_D3!$A$2:$A$1001,0),""))</f>
        <v/>
      </c>
    </row>
    <row r="41" spans="1:44" x14ac:dyDescent="0.25">
      <c r="A41" s="5">
        <v>40</v>
      </c>
      <c r="B41" s="11">
        <f>IF($A41="","",IF($AP41&lt;&gt;"",INDEX(Raw_D1!$B$2:$B$1001,$AP41),IF($AR41&lt;&gt;"",INDEX(Raw_D3!$B$2:$B$1001,$AR41),"")))</f>
        <v>40545.0</v>
      </c>
      <c r="C41" s="5">
        <f>IF($A41="","",IF($AP41&lt;&gt;"",INDEX(Raw_D1!$C$2:$C$1001,$AP41),IF($AR41&lt;&gt;"",INDEX(Raw_D3!$C$2:$C$1001,$AR41),"")))</f>
        <v>1</v>
      </c>
      <c r="D41" s="5">
        <f>IF($A41="","",IF($AP41&lt;&gt;"",INDEX(Raw_D1!$D$2:$D$1001,$AP41),IF($AR41&lt;&gt;"",INDEX(Raw_D3!$D$2:$D$1001,$AR41),"")))</f>
        <v>0</v>
      </c>
      <c r="E41" s="5">
        <f>IF($A41="","",IF($AP41&lt;&gt;"",INDEX(Raw_D1!$E$2:$E$1001,$AP41),IF($AR41&lt;&gt;"",INDEX(Raw_D3!$E$2:$E$1001,$AR41),"")))</f>
        <v>1</v>
      </c>
      <c r="F41" s="5">
        <f>IF($A41="","",IF($AP41&lt;&gt;"",INDEX(Raw_D1!$F$2:$F$1001,$AP41),IF($AR41&lt;&gt;"",INDEX(Raw_D3!$F$2:$F$1001,$AR41),"")))</f>
        <v>16</v>
      </c>
      <c r="G41" s="5">
        <f>IF($A41="","",IF($AP41&lt;&gt;"",IF(INDEX(Raw_D1!$G$2:$G$1001,$AP41),1,0),IF($AR41&lt;&gt;"",IF(INDEX(Raw_D3!$G$2:$G$1001,$AR41),1,0),"")))</f>
        <v>0</v>
      </c>
      <c r="H41" s="5">
        <f>IF($A41="","",IF($AP41&lt;&gt;"",INDEX(Raw_D1!$H$2:$H$1001,$AP41),IF($AR41&lt;&gt;"",INDEX(Raw_D3!$H$2:$H$1001,$AR41),"")))</f>
        <v>0</v>
      </c>
      <c r="I41" s="5">
        <f>IF($A41="","",IF($AP41&lt;&gt;"",INDEX(Raw_D1!$I$2:$I$1001,$AP41),IF($AR41&lt;&gt;"",INDEX(Raw_D3!$I$2:$I$1001,$AR41),"")))</f>
        <v>3</v>
      </c>
      <c r="J41" s="16">
        <f>IF($A41="","",IF($AP41&lt;&gt;"",INDEX(Raw_D1!$J$2:$J$1001,$AP41),IF($AR41&lt;&gt;"",INDEX(Raw_D3!$J$2:$J$1001,$AR41),"")))</f>
        <v>0.34</v>
      </c>
      <c r="K41" s="17">
        <f>IF($A41="","",IF($AQ41&lt;&gt;"",IF(INDEX(Raw_D2!$C$2:$C$1001,$AQ41)="","",INDEX(Raw_D2!$C$2:$C$1001,$AQ41)),IF($AR41&lt;&gt;"",IF(INDEX(Raw_D3!$K$2:$K$1001,$AR41)="","",INDEX(Raw_D3!$K$2:$K$1001,$AR41)),"")))</f>
        <v>0.3333</v>
      </c>
      <c r="L41" s="16">
        <f>IF($A41="","",IF($AQ41&lt;&gt;"",IF(INDEX(Raw_D2!$D$2:$D$1001,$AQ41)="","",INDEX(Raw_D2!$D$2:$D$1001,$AQ41)),IF($AR41&lt;&gt;"",IF(INDEX(Raw_D3!$L$2:$L$1001,$AR41)="","",INDEX(Raw_D3!$L$2:$L$1001,$AR41)),"")))</f>
        <v>0.71</v>
      </c>
      <c r="M41" s="17">
        <f>IF($A41="","",IF($AQ41&lt;&gt;"",IF(INDEX(Raw_D2!$E$2:$E$1001,$AQ41)="","",INDEX(Raw_D2!$E$2:$E$1001,$AQ41)),IF($AR41&lt;&gt;"",IF(INDEX(Raw_D3!$M$2:$M$1001,$AR41)="","",INDEX(Raw_D3!$M$2:$M$1001,$AR41)),"")))</f>
        <v>0.1642</v>
      </c>
      <c r="N41" s="5">
        <f>IF($A41="","",IF($AQ41&lt;&gt;"",IF(INDEX(Raw_D2!$F$2:$F$1001,$AQ41)="","",INDEX(Raw_D2!$F$2:$F$1001,$AQ41)),IF($AR41&lt;&gt;"",IF(INDEX(Raw_D3!$N$2:$N$1001,$AR41)="","",INDEX(Raw_D3!$N$2:$N$1001,$AR41)),"")))</f>
        <v>9</v>
      </c>
      <c r="O41" s="5">
        <f>IF($A41="","",IF($AQ41&lt;&gt;"",IF(INDEX(Raw_D2!$G$2:$G$1001,$AQ41)="","",INDEX(Raw_D2!$G$2:$G$1001,$AQ41)),IF($AR41&lt;&gt;"",IF(INDEX(Raw_D3!$O$2:$O$1001,$AR41)="","",INDEX(Raw_D3!$O$2:$O$1001,$AR41)),"")))</f>
        <v>67</v>
      </c>
      <c r="P41" s="5">
        <f>IF($A41="","",IF($AQ41&lt;&gt;"",IF(INDEX(Raw_D2!$H$2:$H$1001,$AQ41)="","",INDEX(Raw_D2!$H$2:$H$1001,$AQ41)),IF($AR41&lt;&gt;"",IF(INDEX(Raw_D3!$P$2:$P$1001,$AR41)="","",INDEX(Raw_D3!$P$2:$P$1001,$AR41)),"")))</f>
        <v>76</v>
      </c>
      <c r="Q41" s="5" t="str">
        <f>IF($A41="","",IF(AND($AP41&lt;&gt;"",$AQ41&lt;&gt;""),"D1+D2",IF($AR41&lt;&gt;"","D3","Incomplete")))</f>
        <v>D1+D2</v>
      </c>
      <c r="R41" s="17">
        <f>IF($A41="","",IF($K41="",IF($J41="","",ROUND(Lookups!$K$5+Lookups!$K$4*$J41,4)),$K41))</f>
        <v>0.3333</v>
      </c>
      <c r="S41" s="5" t="str">
        <f>IF($A41="","",IF($K41="","Imputed","Original"))</f>
        <v>Original</v>
      </c>
      <c r="T41" s="5" t="str">
        <f>IF($A41="","",IF($P41="","Missing",IF($P41=$N41+$O41,"OK","Mismatch")))</f>
        <v>OK</v>
      </c>
      <c r="U41" s="5" t="str">
        <f>IF($A41="","",IF(COUNTIF($A$2:$A41,$A41)&gt;1,"Duplicate","Unique"))</f>
        <v>Unique</v>
      </c>
      <c r="V41" s="5">
        <f>IF($A41="","",IF(AND($U41="Unique",ISNUMBER($P41)),1,0))</f>
        <v>1</v>
      </c>
      <c r="W41" s="5" t="str">
        <f>IF($A41="","",IF(OR($H41=0,$H41=6),"Weekend","Weekday"))</f>
        <v>Weekend</v>
      </c>
      <c r="X41" s="5" t="str">
        <f>IF($A41="","",TEXT($B41,"ddd"))</f>
        <v>Sun</v>
      </c>
      <c r="Y41" s="5" t="str">
        <f>IF($A41="","",TEXT($B41,"mmm"))</f>
        <v>Jan</v>
      </c>
      <c r="Z41" s="5" t="str">
        <f>IF($A41="","",IFERROR(VLOOKUP($C41,Lookups!$D$4:$E$7,2,FALSE),"Unknown"))</f>
        <v>Winter</v>
      </c>
      <c r="AA41" s="5" t="str">
        <f>IF($A41="","",IFERROR(VLOOKUP($I41,Lookups!$A$4:$B$7,2,FALSE),"Unknown"))</f>
        <v>Light Rain/Snow</v>
      </c>
      <c r="AB41" s="5" t="str">
        <f>IF($A41="","",TEXT($F41,"00")&amp;":00")</f>
        <v>16:00</v>
      </c>
      <c r="AC41" s="5" t="str">
        <f>IF($A41="","",VLOOKUP($F41,Lookups!$G$4:$H$8,2,TRUE))</f>
        <v>Evening Peak (16-19)</v>
      </c>
      <c r="AD41" s="18">
        <f>IF($A41="","",IF($J41="","",ROUND($J41*41,1)))</f>
        <v>13.9</v>
      </c>
      <c r="AE41" s="18">
        <f>IF($A41="","",IF($R41="","",ROUND($R41*50,1)))</f>
        <v>16.7</v>
      </c>
      <c r="AF41" s="5">
        <f>IF($A41="","",IF($L41="","",ROUND($L41*100,0)))</f>
        <v>71</v>
      </c>
      <c r="AG41" s="18">
        <f>IF($A41="","",IF($M41="","",ROUND($M41*67,1)))</f>
        <v>11</v>
      </c>
      <c r="AH41" s="19">
        <f>IF($A41="","",IF($P41="","",IF($P41=0,0,$O41/$P41)))</f>
        <v>0.881578947368421</v>
      </c>
      <c r="AI41" s="5" t="str">
        <f>IF($A41="","",IF($P41="","",IF($P41&gt;=Lookups!$K$7,"High",IF($P41&lt;=Lookups!$K$8,"Low","Medium"))))</f>
        <v>Medium</v>
      </c>
      <c r="AJ41" s="5" t="str">
        <f>IF($A41="","",IF($AD41="","",IF($AD41&lt;5,"Under 5 C",IF($AD41&lt;10,"5-10 C",IF($AD41&lt;15,"10-15 C","15 C and above")))))</f>
        <v>10-15 C</v>
      </c>
      <c r="AK41" s="5">
        <f>IF($A41="","",IF($P41="","",$P41^2))</f>
        <v>5776</v>
      </c>
      <c r="AL41" s="18">
        <f>IF($V41&lt;&gt;1,"",AVERAGEIFS(Clean_Data!$P$2:$P$1001,Clean_Data!$F$2:$F$1001,$F41,Clean_Data!$W$2:$W$1001,$W41,Clean_Data!$V$2:$V$1001,1))</f>
        <v>103.5</v>
      </c>
      <c r="AM41" s="16">
        <f>IF($V41&lt;&gt;1,"",IFERROR(($P41-$AL41)/SQRT(MAX(0,(SUMIFS(Clean_Data!$AK$2:$AK$1001,Clean_Data!$F$2:$F$1001,$F41,Clean_Data!$W$2:$W$1001,$W41,Clean_Data!$V$2:$V$1001,1)-COUNTIFS(Clean_Data!$F$2:$F$1001,$F41,Clean_Data!$W$2:$W$1001,$W41,Clean_Data!$V$2:$V$1001,1)*$AL41^2)/(COUNTIFS(Clean_Data!$F$2:$F$1001,$F41,Clean_Data!$W$2:$W$1001,$W41,Clean_Data!$V$2:$V$1001,1)-1))),""))</f>
        <v>-0.935173598720001</v>
      </c>
      <c r="AN41" s="5" t="str">
        <f>IF($AM41="","",IF($AM41&gt;=Lookups!$K$6,"High spike",IF($AM41&lt;=-Lookups!$K$6,"Unusual low","Normal")))</f>
        <v>Normal</v>
      </c>
      <c r="AO41" s="20">
        <f>IF($V41&lt;&gt;1,"",$P41+ROW()/100000)</f>
        <v>76.00041</v>
      </c>
      <c r="AP41" s="5">
        <f>IF($A41="","",IFERROR(MATCH($A41,Raw_D1!$A$2:$A$1001,0),""))</f>
        <v>40</v>
      </c>
      <c r="AQ41" s="5">
        <f>IF($A41="","",IFERROR(MATCH($A41,Raw_D2!$B$2:$B$1001,0),""))</f>
        <v>40</v>
      </c>
      <c r="AR41" s="5">
        <f>IF($A41="","",IFERROR(MATCH($A41,Raw_D3!$A$2:$A$1001,0),""))</f>
        <v/>
      </c>
    </row>
    <row r="42" spans="1:44" x14ac:dyDescent="0.25">
      <c r="A42" s="5">
        <v>41</v>
      </c>
      <c r="B42" s="11">
        <f>IF($A42="","",IF($AP42&lt;&gt;"",INDEX(Raw_D1!$B$2:$B$1001,$AP42),IF($AR42&lt;&gt;"",INDEX(Raw_D3!$B$2:$B$1001,$AR42),"")))</f>
        <v>40545.0</v>
      </c>
      <c r="C42" s="5">
        <f>IF($A42="","",IF($AP42&lt;&gt;"",INDEX(Raw_D1!$C$2:$C$1001,$AP42),IF($AR42&lt;&gt;"",INDEX(Raw_D3!$C$2:$C$1001,$AR42),"")))</f>
        <v>1</v>
      </c>
      <c r="D42" s="5">
        <f>IF($A42="","",IF($AP42&lt;&gt;"",INDEX(Raw_D1!$D$2:$D$1001,$AP42),IF($AR42&lt;&gt;"",INDEX(Raw_D3!$D$2:$D$1001,$AR42),"")))</f>
        <v>0</v>
      </c>
      <c r="E42" s="5">
        <f>IF($A42="","",IF($AP42&lt;&gt;"",INDEX(Raw_D1!$E$2:$E$1001,$AP42),IF($AR42&lt;&gt;"",INDEX(Raw_D3!$E$2:$E$1001,$AR42),"")))</f>
        <v>1</v>
      </c>
      <c r="F42" s="5">
        <f>IF($A42="","",IF($AP42&lt;&gt;"",INDEX(Raw_D1!$F$2:$F$1001,$AP42),IF($AR42&lt;&gt;"",INDEX(Raw_D3!$F$2:$F$1001,$AR42),"")))</f>
        <v>17</v>
      </c>
      <c r="G42" s="5">
        <f>IF($A42="","",IF($AP42&lt;&gt;"",IF(INDEX(Raw_D1!$G$2:$G$1001,$AP42),1,0),IF($AR42&lt;&gt;"",IF(INDEX(Raw_D3!$G$2:$G$1001,$AR42),1,0),"")))</f>
        <v>0</v>
      </c>
      <c r="H42" s="5">
        <f>IF($A42="","",IF($AP42&lt;&gt;"",INDEX(Raw_D1!$H$2:$H$1001,$AP42),IF($AR42&lt;&gt;"",INDEX(Raw_D3!$H$2:$H$1001,$AR42),"")))</f>
        <v>0</v>
      </c>
      <c r="I42" s="5">
        <f>IF($A42="","",IF($AP42&lt;&gt;"",INDEX(Raw_D1!$I$2:$I$1001,$AP42),IF($AR42&lt;&gt;"",INDEX(Raw_D3!$I$2:$I$1001,$AR42),"")))</f>
        <v>1</v>
      </c>
      <c r="J42" s="16">
        <f>IF($A42="","",IF($AP42&lt;&gt;"",INDEX(Raw_D1!$J$2:$J$1001,$AP42),IF($AR42&lt;&gt;"",INDEX(Raw_D3!$J$2:$J$1001,$AR42),"")))</f>
        <v>0.34</v>
      </c>
      <c r="K42" s="17">
        <f>IF($A42="","",IF($AQ42&lt;&gt;"",IF(INDEX(Raw_D2!$C$2:$C$1001,$AQ42)="","",INDEX(Raw_D2!$C$2:$C$1001,$AQ42)),IF($AR42&lt;&gt;"",IF(INDEX(Raw_D3!$K$2:$K$1001,$AR42)="","",INDEX(Raw_D3!$K$2:$K$1001,$AR42)),"")))</f>
        <v>0.3333</v>
      </c>
      <c r="L42" s="16">
        <f>IF($A42="","",IF($AQ42&lt;&gt;"",IF(INDEX(Raw_D2!$D$2:$D$1001,$AQ42)="","",INDEX(Raw_D2!$D$2:$D$1001,$AQ42)),IF($AR42&lt;&gt;"",IF(INDEX(Raw_D3!$L$2:$L$1001,$AR42)="","",INDEX(Raw_D3!$L$2:$L$1001,$AR42)),"")))</f>
        <v>0.57</v>
      </c>
      <c r="M42" s="17">
        <f>IF($A42="","",IF($AQ42&lt;&gt;"",IF(INDEX(Raw_D2!$E$2:$E$1001,$AQ42)="","",INDEX(Raw_D2!$E$2:$E$1001,$AQ42)),IF($AR42&lt;&gt;"",IF(INDEX(Raw_D3!$M$2:$M$1001,$AR42)="","",INDEX(Raw_D3!$M$2:$M$1001,$AR42)),"")))</f>
        <v>0.194</v>
      </c>
      <c r="N42" s="5">
        <f>IF($A42="","",IF($AQ42&lt;&gt;"",IF(INDEX(Raw_D2!$F$2:$F$1001,$AQ42)="","",INDEX(Raw_D2!$F$2:$F$1001,$AQ42)),IF($AR42&lt;&gt;"",IF(INDEX(Raw_D3!$N$2:$N$1001,$AR42)="","",INDEX(Raw_D3!$N$2:$N$1001,$AR42)),"")))</f>
        <v>7</v>
      </c>
      <c r="O42" s="5">
        <f>IF($A42="","",IF($AQ42&lt;&gt;"",IF(INDEX(Raw_D2!$G$2:$G$1001,$AQ42)="","",INDEX(Raw_D2!$G$2:$G$1001,$AQ42)),IF($AR42&lt;&gt;"",IF(INDEX(Raw_D3!$O$2:$O$1001,$AR42)="","",INDEX(Raw_D3!$O$2:$O$1001,$AR42)),"")))</f>
        <v>58</v>
      </c>
      <c r="P42" s="5">
        <f>IF($A42="","",IF($AQ42&lt;&gt;"",IF(INDEX(Raw_D2!$H$2:$H$1001,$AQ42)="","",INDEX(Raw_D2!$H$2:$H$1001,$AQ42)),IF($AR42&lt;&gt;"",IF(INDEX(Raw_D3!$P$2:$P$1001,$AR42)="","",INDEX(Raw_D3!$P$2:$P$1001,$AR42)),"")))</f>
        <v>65</v>
      </c>
      <c r="Q42" s="5" t="str">
        <f>IF($A42="","",IF(AND($AP42&lt;&gt;"",$AQ42&lt;&gt;""),"D1+D2",IF($AR42&lt;&gt;"","D3","Incomplete")))</f>
        <v>D1+D2</v>
      </c>
      <c r="R42" s="17">
        <f>IF($A42="","",IF($K42="",IF($J42="","",ROUND(Lookups!$K$5+Lookups!$K$4*$J42,4)),$K42))</f>
        <v>0.3333</v>
      </c>
      <c r="S42" s="5" t="str">
        <f>IF($A42="","",IF($K42="","Imputed","Original"))</f>
        <v>Original</v>
      </c>
      <c r="T42" s="5" t="str">
        <f>IF($A42="","",IF($P42="","Missing",IF($P42=$N42+$O42,"OK","Mismatch")))</f>
        <v>OK</v>
      </c>
      <c r="U42" s="5" t="str">
        <f>IF($A42="","",IF(COUNTIF($A$2:$A42,$A42)&gt;1,"Duplicate","Unique"))</f>
        <v>Unique</v>
      </c>
      <c r="V42" s="5">
        <f>IF($A42="","",IF(AND($U42="Unique",ISNUMBER($P42)),1,0))</f>
        <v>1</v>
      </c>
      <c r="W42" s="5" t="str">
        <f>IF($A42="","",IF(OR($H42=0,$H42=6),"Weekend","Weekday"))</f>
        <v>Weekend</v>
      </c>
      <c r="X42" s="5" t="str">
        <f>IF($A42="","",TEXT($B42,"ddd"))</f>
        <v>Sun</v>
      </c>
      <c r="Y42" s="5" t="str">
        <f>IF($A42="","",TEXT($B42,"mmm"))</f>
        <v>Jan</v>
      </c>
      <c r="Z42" s="5" t="str">
        <f>IF($A42="","",IFERROR(VLOOKUP($C42,Lookups!$D$4:$E$7,2,FALSE),"Unknown"))</f>
        <v>Winter</v>
      </c>
      <c r="AA42" s="5" t="str">
        <f>IF($A42="","",IFERROR(VLOOKUP($I42,Lookups!$A$4:$B$7,2,FALSE),"Unknown"))</f>
        <v>Clear</v>
      </c>
      <c r="AB42" s="5" t="str">
        <f>IF($A42="","",TEXT($F42,"00")&amp;":00")</f>
        <v>17:00</v>
      </c>
      <c r="AC42" s="5" t="str">
        <f>IF($A42="","",VLOOKUP($F42,Lookups!$G$4:$H$8,2,TRUE))</f>
        <v>Evening Peak (16-19)</v>
      </c>
      <c r="AD42" s="18">
        <f>IF($A42="","",IF($J42="","",ROUND($J42*41,1)))</f>
        <v>13.9</v>
      </c>
      <c r="AE42" s="18">
        <f>IF($A42="","",IF($R42="","",ROUND($R42*50,1)))</f>
        <v>16.7</v>
      </c>
      <c r="AF42" s="5">
        <f>IF($A42="","",IF($L42="","",ROUND($L42*100,0)))</f>
        <v>57</v>
      </c>
      <c r="AG42" s="18">
        <f>IF($A42="","",IF($M42="","",ROUND($M42*67,1)))</f>
        <v>13</v>
      </c>
      <c r="AH42" s="19">
        <f>IF($A42="","",IF($P42="","",IF($P42=0,0,$O42/$P42)))</f>
        <v>0.892307692307692</v>
      </c>
      <c r="AI42" s="5" t="str">
        <f>IF($A42="","",IF($P42="","",IF($P42&gt;=Lookups!$K$7,"High",IF($P42&lt;=Lookups!$K$8,"Low","Medium"))))</f>
        <v>Medium</v>
      </c>
      <c r="AJ42" s="5" t="str">
        <f>IF($A42="","",IF($AD42="","",IF($AD42&lt;5,"Under 5 C",IF($AD42&lt;10,"5-10 C",IF($AD42&lt;15,"10-15 C","15 C and above")))))</f>
        <v>10-15 C</v>
      </c>
      <c r="AK42" s="5">
        <f>IF($A42="","",IF($P42="","",$P42^2))</f>
        <v>4225</v>
      </c>
      <c r="AL42" s="18">
        <f>IF($V42&lt;&gt;1,"",AVERAGEIFS(Clean_Data!$P$2:$P$1001,Clean_Data!$F$2:$F$1001,$F42,Clean_Data!$W$2:$W$1001,$W42,Clean_Data!$V$2:$V$1001,1))</f>
        <v>85.8571428571429</v>
      </c>
      <c r="AM42" s="16">
        <f>IF($V42&lt;&gt;1,"",IFERROR(($P42-$AL42)/SQRT(MAX(0,(SUMIFS(Clean_Data!$AK$2:$AK$1001,Clean_Data!$F$2:$F$1001,$F42,Clean_Data!$W$2:$W$1001,$W42,Clean_Data!$V$2:$V$1001,1)-COUNTIFS(Clean_Data!$F$2:$F$1001,$F42,Clean_Data!$W$2:$W$1001,$W42,Clean_Data!$V$2:$V$1001,1)*$AL42^2)/(COUNTIFS(Clean_Data!$F$2:$F$1001,$F42,Clean_Data!$W$2:$W$1001,$W42,Clean_Data!$V$2:$V$1001,1)-1))),""))</f>
        <v>-0.798224098620492</v>
      </c>
      <c r="AN42" s="5" t="str">
        <f>IF($AM42="","",IF($AM42&gt;=Lookups!$K$6,"High spike",IF($AM42&lt;=-Lookups!$K$6,"Unusual low","Normal")))</f>
        <v>Normal</v>
      </c>
      <c r="AO42" s="20">
        <f>IF($V42&lt;&gt;1,"",$P42+ROW()/100000)</f>
        <v>65.00042</v>
      </c>
      <c r="AP42" s="5">
        <f>IF($A42="","",IFERROR(MATCH($A42,Raw_D1!$A$2:$A$1001,0),""))</f>
        <v>41</v>
      </c>
      <c r="AQ42" s="5">
        <f>IF($A42="","",IFERROR(MATCH($A42,Raw_D2!$B$2:$B$1001,0),""))</f>
        <v>41</v>
      </c>
      <c r="AR42" s="5">
        <f>IF($A42="","",IFERROR(MATCH($A42,Raw_D3!$A$2:$A$1001,0),""))</f>
        <v/>
      </c>
    </row>
    <row r="43" spans="1:44" x14ac:dyDescent="0.25">
      <c r="A43" s="5">
        <v>42</v>
      </c>
      <c r="B43" s="11">
        <f>IF($A43="","",IF($AP43&lt;&gt;"",INDEX(Raw_D1!$B$2:$B$1001,$AP43),IF($AR43&lt;&gt;"",INDEX(Raw_D3!$B$2:$B$1001,$AR43),"")))</f>
        <v>40545.0</v>
      </c>
      <c r="C43" s="5">
        <f>IF($A43="","",IF($AP43&lt;&gt;"",INDEX(Raw_D1!$C$2:$C$1001,$AP43),IF($AR43&lt;&gt;"",INDEX(Raw_D3!$C$2:$C$1001,$AR43),"")))</f>
        <v>1</v>
      </c>
      <c r="D43" s="5">
        <f>IF($A43="","",IF($AP43&lt;&gt;"",INDEX(Raw_D1!$D$2:$D$1001,$AP43),IF($AR43&lt;&gt;"",INDEX(Raw_D3!$D$2:$D$1001,$AR43),"")))</f>
        <v>0</v>
      </c>
      <c r="E43" s="5">
        <f>IF($A43="","",IF($AP43&lt;&gt;"",INDEX(Raw_D1!$E$2:$E$1001,$AP43),IF($AR43&lt;&gt;"",INDEX(Raw_D3!$E$2:$E$1001,$AR43),"")))</f>
        <v>1</v>
      </c>
      <c r="F43" s="5">
        <f>IF($A43="","",IF($AP43&lt;&gt;"",INDEX(Raw_D1!$F$2:$F$1001,$AP43),IF($AR43&lt;&gt;"",INDEX(Raw_D3!$F$2:$F$1001,$AR43),"")))</f>
        <v>18</v>
      </c>
      <c r="G43" s="5">
        <f>IF($A43="","",IF($AP43&lt;&gt;"",IF(INDEX(Raw_D1!$G$2:$G$1001,$AP43),1,0),IF($AR43&lt;&gt;"",IF(INDEX(Raw_D3!$G$2:$G$1001,$AR43),1,0),"")))</f>
        <v>0</v>
      </c>
      <c r="H43" s="5">
        <f>IF($A43="","",IF($AP43&lt;&gt;"",INDEX(Raw_D1!$H$2:$H$1001,$AP43),IF($AR43&lt;&gt;"",INDEX(Raw_D3!$H$2:$H$1001,$AR43),"")))</f>
        <v>0</v>
      </c>
      <c r="I43" s="5">
        <f>IF($A43="","",IF($AP43&lt;&gt;"",INDEX(Raw_D1!$I$2:$I$1001,$AP43),IF($AR43&lt;&gt;"",INDEX(Raw_D3!$I$2:$I$1001,$AR43),"")))</f>
        <v>2</v>
      </c>
      <c r="J43" s="16">
        <f>IF($A43="","",IF($AP43&lt;&gt;"",INDEX(Raw_D1!$J$2:$J$1001,$AP43),IF($AR43&lt;&gt;"",INDEX(Raw_D3!$J$2:$J$1001,$AR43),"")))</f>
        <v>0.36</v>
      </c>
      <c r="K43" s="17">
        <f>IF($A43="","",IF($AQ43&lt;&gt;"",IF(INDEX(Raw_D2!$C$2:$C$1001,$AQ43)="","",INDEX(Raw_D2!$C$2:$C$1001,$AQ43)),IF($AR43&lt;&gt;"",IF(INDEX(Raw_D3!$K$2:$K$1001,$AR43)="","",INDEX(Raw_D3!$K$2:$K$1001,$AR43)),"")))</f>
        <v>0.3333</v>
      </c>
      <c r="L43" s="16">
        <f>IF($A43="","",IF($AQ43&lt;&gt;"",IF(INDEX(Raw_D2!$D$2:$D$1001,$AQ43)="","",INDEX(Raw_D2!$D$2:$D$1001,$AQ43)),IF($AR43&lt;&gt;"",IF(INDEX(Raw_D3!$L$2:$L$1001,$AR43)="","",INDEX(Raw_D3!$L$2:$L$1001,$AR43)),"")))</f>
        <v>0.46</v>
      </c>
      <c r="M43" s="17">
        <f>IF($A43="","",IF($AQ43&lt;&gt;"",IF(INDEX(Raw_D2!$E$2:$E$1001,$AQ43)="","",INDEX(Raw_D2!$E$2:$E$1001,$AQ43)),IF($AR43&lt;&gt;"",IF(INDEX(Raw_D3!$M$2:$M$1001,$AR43)="","",INDEX(Raw_D3!$M$2:$M$1001,$AR43)),"")))</f>
        <v>0.3284</v>
      </c>
      <c r="N43" s="5">
        <f>IF($A43="","",IF($AQ43&lt;&gt;"",IF(INDEX(Raw_D2!$F$2:$F$1001,$AQ43)="","",INDEX(Raw_D2!$F$2:$F$1001,$AQ43)),IF($AR43&lt;&gt;"",IF(INDEX(Raw_D3!$N$2:$N$1001,$AR43)="","",INDEX(Raw_D3!$N$2:$N$1001,$AR43)),"")))</f>
        <v>10</v>
      </c>
      <c r="O43" s="5">
        <f>IF($A43="","",IF($AQ43&lt;&gt;"",IF(INDEX(Raw_D2!$G$2:$G$1001,$AQ43)="","",INDEX(Raw_D2!$G$2:$G$1001,$AQ43)),IF($AR43&lt;&gt;"",IF(INDEX(Raw_D3!$O$2:$O$1001,$AR43)="","",INDEX(Raw_D3!$O$2:$O$1001,$AR43)),"")))</f>
        <v>43</v>
      </c>
      <c r="P43" s="5">
        <f>IF($A43="","",IF($AQ43&lt;&gt;"",IF(INDEX(Raw_D2!$H$2:$H$1001,$AQ43)="","",INDEX(Raw_D2!$H$2:$H$1001,$AQ43)),IF($AR43&lt;&gt;"",IF(INDEX(Raw_D3!$P$2:$P$1001,$AR43)="","",INDEX(Raw_D3!$P$2:$P$1001,$AR43)),"")))</f>
        <v>53</v>
      </c>
      <c r="Q43" s="5" t="str">
        <f>IF($A43="","",IF(AND($AP43&lt;&gt;"",$AQ43&lt;&gt;""),"D1+D2",IF($AR43&lt;&gt;"","D3","Incomplete")))</f>
        <v>D1+D2</v>
      </c>
      <c r="R43" s="17">
        <f>IF($A43="","",IF($K43="",IF($J43="","",ROUND(Lookups!$K$5+Lookups!$K$4*$J43,4)),$K43))</f>
        <v>0.3333</v>
      </c>
      <c r="S43" s="5" t="str">
        <f>IF($A43="","",IF($K43="","Imputed","Original"))</f>
        <v>Original</v>
      </c>
      <c r="T43" s="5" t="str">
        <f>IF($A43="","",IF($P43="","Missing",IF($P43=$N43+$O43,"OK","Mismatch")))</f>
        <v>OK</v>
      </c>
      <c r="U43" s="5" t="str">
        <f>IF($A43="","",IF(COUNTIF($A$2:$A43,$A43)&gt;1,"Duplicate","Unique"))</f>
        <v>Unique</v>
      </c>
      <c r="V43" s="5">
        <f>IF($A43="","",IF(AND($U43="Unique",ISNUMBER($P43)),1,0))</f>
        <v>1</v>
      </c>
      <c r="W43" s="5" t="str">
        <f>IF($A43="","",IF(OR($H43=0,$H43=6),"Weekend","Weekday"))</f>
        <v>Weekend</v>
      </c>
      <c r="X43" s="5" t="str">
        <f>IF($A43="","",TEXT($B43,"ddd"))</f>
        <v>Sun</v>
      </c>
      <c r="Y43" s="5" t="str">
        <f>IF($A43="","",TEXT($B43,"mmm"))</f>
        <v>Jan</v>
      </c>
      <c r="Z43" s="5" t="str">
        <f>IF($A43="","",IFERROR(VLOOKUP($C43,Lookups!$D$4:$E$7,2,FALSE),"Unknown"))</f>
        <v>Winter</v>
      </c>
      <c r="AA43" s="5" t="str">
        <f>IF($A43="","",IFERROR(VLOOKUP($I43,Lookups!$A$4:$B$7,2,FALSE),"Unknown"))</f>
        <v>Mist/Cloudy</v>
      </c>
      <c r="AB43" s="5" t="str">
        <f>IF($A43="","",TEXT($F43,"00")&amp;":00")</f>
        <v>18:00</v>
      </c>
      <c r="AC43" s="5" t="str">
        <f>IF($A43="","",VLOOKUP($F43,Lookups!$G$4:$H$8,2,TRUE))</f>
        <v>Evening Peak (16-19)</v>
      </c>
      <c r="AD43" s="18">
        <f>IF($A43="","",IF($J43="","",ROUND($J43*41,1)))</f>
        <v>14.8</v>
      </c>
      <c r="AE43" s="18">
        <f>IF($A43="","",IF($R43="","",ROUND($R43*50,1)))</f>
        <v>16.7</v>
      </c>
      <c r="AF43" s="5">
        <f>IF($A43="","",IF($L43="","",ROUND($L43*100,0)))</f>
        <v>46</v>
      </c>
      <c r="AG43" s="18">
        <f>IF($A43="","",IF($M43="","",ROUND($M43*67,1)))</f>
        <v>22</v>
      </c>
      <c r="AH43" s="19">
        <f>IF($A43="","",IF($P43="","",IF($P43=0,0,$O43/$P43)))</f>
        <v>0.811320754716981</v>
      </c>
      <c r="AI43" s="5" t="str">
        <f>IF($A43="","",IF($P43="","",IF($P43&gt;=Lookups!$K$7,"High",IF($P43&lt;=Lookups!$K$8,"Low","Medium"))))</f>
        <v>Medium</v>
      </c>
      <c r="AJ43" s="5" t="str">
        <f>IF($A43="","",IF($AD43="","",IF($AD43&lt;5,"Under 5 C",IF($AD43&lt;10,"5-10 C",IF($AD43&lt;15,"10-15 C","15 C and above")))))</f>
        <v>10-15 C</v>
      </c>
      <c r="AK43" s="5">
        <f>IF($A43="","",IF($P43="","",$P43^2))</f>
        <v>2809</v>
      </c>
      <c r="AL43" s="18">
        <f>IF($V43&lt;&gt;1,"",AVERAGEIFS(Clean_Data!$P$2:$P$1001,Clean_Data!$F$2:$F$1001,$F43,Clean_Data!$W$2:$W$1001,$W43,Clean_Data!$V$2:$V$1001,1))</f>
        <v>64.1428571428571</v>
      </c>
      <c r="AM43" s="16">
        <f>IF($V43&lt;&gt;1,"",IFERROR(($P43-$AL43)/SQRT(MAX(0,(SUMIFS(Clean_Data!$AK$2:$AK$1001,Clean_Data!$F$2:$F$1001,$F43,Clean_Data!$W$2:$W$1001,$W43,Clean_Data!$V$2:$V$1001,1)-COUNTIFS(Clean_Data!$F$2:$F$1001,$F43,Clean_Data!$W$2:$W$1001,$W43,Clean_Data!$V$2:$V$1001,1)*$AL43^2)/(COUNTIFS(Clean_Data!$F$2:$F$1001,$F43,Clean_Data!$W$2:$W$1001,$W43,Clean_Data!$V$2:$V$1001,1)-1))),""))</f>
        <v>-0.672625309897048</v>
      </c>
      <c r="AN43" s="5" t="str">
        <f>IF($AM43="","",IF($AM43&gt;=Lookups!$K$6,"High spike",IF($AM43&lt;=-Lookups!$K$6,"Unusual low","Normal")))</f>
        <v>Normal</v>
      </c>
      <c r="AO43" s="20">
        <f>IF($V43&lt;&gt;1,"",$P43+ROW()/100000)</f>
        <v>53.00043</v>
      </c>
      <c r="AP43" s="5">
        <f>IF($A43="","",IFERROR(MATCH($A43,Raw_D1!$A$2:$A$1001,0),""))</f>
        <v>42</v>
      </c>
      <c r="AQ43" s="5">
        <f>IF($A43="","",IFERROR(MATCH($A43,Raw_D2!$B$2:$B$1001,0),""))</f>
        <v>42</v>
      </c>
      <c r="AR43" s="5">
        <f>IF($A43="","",IFERROR(MATCH($A43,Raw_D3!$A$2:$A$1001,0),""))</f>
        <v/>
      </c>
    </row>
    <row r="44" spans="1:44" x14ac:dyDescent="0.25">
      <c r="A44" s="5">
        <v>43</v>
      </c>
      <c r="B44" s="11">
        <f>IF($A44="","",IF($AP44&lt;&gt;"",INDEX(Raw_D1!$B$2:$B$1001,$AP44),IF($AR44&lt;&gt;"",INDEX(Raw_D3!$B$2:$B$1001,$AR44),"")))</f>
        <v>40545.0</v>
      </c>
      <c r="C44" s="5">
        <f>IF($A44="","",IF($AP44&lt;&gt;"",INDEX(Raw_D1!$C$2:$C$1001,$AP44),IF($AR44&lt;&gt;"",INDEX(Raw_D3!$C$2:$C$1001,$AR44),"")))</f>
        <v>1</v>
      </c>
      <c r="D44" s="5">
        <f>IF($A44="","",IF($AP44&lt;&gt;"",INDEX(Raw_D1!$D$2:$D$1001,$AP44),IF($AR44&lt;&gt;"",INDEX(Raw_D3!$D$2:$D$1001,$AR44),"")))</f>
        <v>0</v>
      </c>
      <c r="E44" s="5">
        <f>IF($A44="","",IF($AP44&lt;&gt;"",INDEX(Raw_D1!$E$2:$E$1001,$AP44),IF($AR44&lt;&gt;"",INDEX(Raw_D3!$E$2:$E$1001,$AR44),"")))</f>
        <v>1</v>
      </c>
      <c r="F44" s="5">
        <f>IF($A44="","",IF($AP44&lt;&gt;"",INDEX(Raw_D1!$F$2:$F$1001,$AP44),IF($AR44&lt;&gt;"",INDEX(Raw_D3!$F$2:$F$1001,$AR44),"")))</f>
        <v>19</v>
      </c>
      <c r="G44" s="5">
        <f>IF($A44="","",IF($AP44&lt;&gt;"",IF(INDEX(Raw_D1!$G$2:$G$1001,$AP44),1,0),IF($AR44&lt;&gt;"",IF(INDEX(Raw_D3!$G$2:$G$1001,$AR44),1,0),"")))</f>
        <v>0</v>
      </c>
      <c r="H44" s="5">
        <f>IF($A44="","",IF($AP44&lt;&gt;"",INDEX(Raw_D1!$H$2:$H$1001,$AP44),IF($AR44&lt;&gt;"",INDEX(Raw_D3!$H$2:$H$1001,$AR44),"")))</f>
        <v>0</v>
      </c>
      <c r="I44" s="5">
        <f>IF($A44="","",IF($AP44&lt;&gt;"",INDEX(Raw_D1!$I$2:$I$1001,$AP44),IF($AR44&lt;&gt;"",INDEX(Raw_D3!$I$2:$I$1001,$AR44),"")))</f>
        <v>1</v>
      </c>
      <c r="J44" s="16">
        <f>IF($A44="","",IF($AP44&lt;&gt;"",INDEX(Raw_D1!$J$2:$J$1001,$AP44),IF($AR44&lt;&gt;"",INDEX(Raw_D3!$J$2:$J$1001,$AR44),"")))</f>
        <v>0.32</v>
      </c>
      <c r="K44" s="17">
        <f>IF($A44="","",IF($AQ44&lt;&gt;"",IF(INDEX(Raw_D2!$C$2:$C$1001,$AQ44)="","",INDEX(Raw_D2!$C$2:$C$1001,$AQ44)),IF($AR44&lt;&gt;"",IF(INDEX(Raw_D3!$K$2:$K$1001,$AR44)="","",INDEX(Raw_D3!$K$2:$K$1001,$AR44)),"")))</f>
        <v>0.2879</v>
      </c>
      <c r="L44" s="16">
        <f>IF($A44="","",IF($AQ44&lt;&gt;"",IF(INDEX(Raw_D2!$D$2:$D$1001,$AQ44)="","",INDEX(Raw_D2!$D$2:$D$1001,$AQ44)),IF($AR44&lt;&gt;"",IF(INDEX(Raw_D3!$L$2:$L$1001,$AR44)="","",INDEX(Raw_D3!$L$2:$L$1001,$AR44)),"")))</f>
        <v>0.42</v>
      </c>
      <c r="M44" s="17">
        <f>IF($A44="","",IF($AQ44&lt;&gt;"",IF(INDEX(Raw_D2!$E$2:$E$1001,$AQ44)="","",INDEX(Raw_D2!$E$2:$E$1001,$AQ44)),IF($AR44&lt;&gt;"",IF(INDEX(Raw_D3!$M$2:$M$1001,$AR44)="","",INDEX(Raw_D3!$M$2:$M$1001,$AR44)),"")))</f>
        <v>0.4478</v>
      </c>
      <c r="N44" s="5">
        <f>IF($A44="","",IF($AQ44&lt;&gt;"",IF(INDEX(Raw_D2!$F$2:$F$1001,$AQ44)="","",INDEX(Raw_D2!$F$2:$F$1001,$AQ44)),IF($AR44&lt;&gt;"",IF(INDEX(Raw_D3!$N$2:$N$1001,$AR44)="","",INDEX(Raw_D3!$N$2:$N$1001,$AR44)),"")))</f>
        <v>1</v>
      </c>
      <c r="O44" s="5">
        <f>IF($A44="","",IF($AQ44&lt;&gt;"",IF(INDEX(Raw_D2!$G$2:$G$1001,$AQ44)="","",INDEX(Raw_D2!$G$2:$G$1001,$AQ44)),IF($AR44&lt;&gt;"",IF(INDEX(Raw_D3!$O$2:$O$1001,$AR44)="","",INDEX(Raw_D3!$O$2:$O$1001,$AR44)),"")))</f>
        <v>29</v>
      </c>
      <c r="P44" s="5">
        <f>IF($A44="","",IF($AQ44&lt;&gt;"",IF(INDEX(Raw_D2!$H$2:$H$1001,$AQ44)="","",INDEX(Raw_D2!$H$2:$H$1001,$AQ44)),IF($AR44&lt;&gt;"",IF(INDEX(Raw_D3!$P$2:$P$1001,$AR44)="","",INDEX(Raw_D3!$P$2:$P$1001,$AR44)),"")))</f>
        <v>30</v>
      </c>
      <c r="Q44" s="5" t="str">
        <f>IF($A44="","",IF(AND($AP44&lt;&gt;"",$AQ44&lt;&gt;""),"D1+D2",IF($AR44&lt;&gt;"","D3","Incomplete")))</f>
        <v>D1+D2</v>
      </c>
      <c r="R44" s="17">
        <f>IF($A44="","",IF($K44="",IF($J44="","",ROUND(Lookups!$K$5+Lookups!$K$4*$J44,4)),$K44))</f>
        <v>0.2879</v>
      </c>
      <c r="S44" s="5" t="str">
        <f>IF($A44="","",IF($K44="","Imputed","Original"))</f>
        <v>Original</v>
      </c>
      <c r="T44" s="5" t="str">
        <f>IF($A44="","",IF($P44="","Missing",IF($P44=$N44+$O44,"OK","Mismatch")))</f>
        <v>OK</v>
      </c>
      <c r="U44" s="5" t="str">
        <f>IF($A44="","",IF(COUNTIF($A$2:$A44,$A44)&gt;1,"Duplicate","Unique"))</f>
        <v>Unique</v>
      </c>
      <c r="V44" s="5">
        <f>IF($A44="","",IF(AND($U44="Unique",ISNUMBER($P44)),1,0))</f>
        <v>1</v>
      </c>
      <c r="W44" s="5" t="str">
        <f>IF($A44="","",IF(OR($H44=0,$H44=6),"Weekend","Weekday"))</f>
        <v>Weekend</v>
      </c>
      <c r="X44" s="5" t="str">
        <f>IF($A44="","",TEXT($B44,"ddd"))</f>
        <v>Sun</v>
      </c>
      <c r="Y44" s="5" t="str">
        <f>IF($A44="","",TEXT($B44,"mmm"))</f>
        <v>Jan</v>
      </c>
      <c r="Z44" s="5" t="str">
        <f>IF($A44="","",IFERROR(VLOOKUP($C44,Lookups!$D$4:$E$7,2,FALSE),"Unknown"))</f>
        <v>Winter</v>
      </c>
      <c r="AA44" s="5" t="str">
        <f>IF($A44="","",IFERROR(VLOOKUP($I44,Lookups!$A$4:$B$7,2,FALSE),"Unknown"))</f>
        <v>Clear</v>
      </c>
      <c r="AB44" s="5" t="str">
        <f>IF($A44="","",TEXT($F44,"00")&amp;":00")</f>
        <v>19:00</v>
      </c>
      <c r="AC44" s="5" t="str">
        <f>IF($A44="","",VLOOKUP($F44,Lookups!$G$4:$H$8,2,TRUE))</f>
        <v>Evening Peak (16-19)</v>
      </c>
      <c r="AD44" s="18">
        <f>IF($A44="","",IF($J44="","",ROUND($J44*41,1)))</f>
        <v>13.1</v>
      </c>
      <c r="AE44" s="18">
        <f>IF($A44="","",IF($R44="","",ROUND($R44*50,1)))</f>
        <v>14.4</v>
      </c>
      <c r="AF44" s="5">
        <f>IF($A44="","",IF($L44="","",ROUND($L44*100,0)))</f>
        <v>42</v>
      </c>
      <c r="AG44" s="18">
        <f>IF($A44="","",IF($M44="","",ROUND($M44*67,1)))</f>
        <v>30</v>
      </c>
      <c r="AH44" s="19">
        <f>IF($A44="","",IF($P44="","",IF($P44=0,0,$O44/$P44)))</f>
        <v>0.966666666666667</v>
      </c>
      <c r="AI44" s="5" t="str">
        <f>IF($A44="","",IF($P44="","",IF($P44&gt;=Lookups!$K$7,"High",IF($P44&lt;=Lookups!$K$8,"Low","Medium"))))</f>
        <v>Medium</v>
      </c>
      <c r="AJ44" s="5" t="str">
        <f>IF($A44="","",IF($AD44="","",IF($AD44&lt;5,"Under 5 C",IF($AD44&lt;10,"5-10 C",IF($AD44&lt;15,"10-15 C","15 C and above")))))</f>
        <v>10-15 C</v>
      </c>
      <c r="AK44" s="5">
        <f>IF($A44="","",IF($P44="","",$P44^2))</f>
        <v>900</v>
      </c>
      <c r="AL44" s="18">
        <f>IF($V44&lt;&gt;1,"",AVERAGEIFS(Clean_Data!$P$2:$P$1001,Clean_Data!$F$2:$F$1001,$F44,Clean_Data!$W$2:$W$1001,$W44,Clean_Data!$V$2:$V$1001,1))</f>
        <v>50.1428571428571</v>
      </c>
      <c r="AM44" s="16">
        <f>IF($V44&lt;&gt;1,"",IFERROR(($P44-$AL44)/SQRT(MAX(0,(SUMIFS(Clean_Data!$AK$2:$AK$1001,Clean_Data!$F$2:$F$1001,$F44,Clean_Data!$W$2:$W$1001,$W44,Clean_Data!$V$2:$V$1001,1)-COUNTIFS(Clean_Data!$F$2:$F$1001,$F44,Clean_Data!$W$2:$W$1001,$W44,Clean_Data!$V$2:$V$1001,1)*$AL44^2)/(COUNTIFS(Clean_Data!$F$2:$F$1001,$F44,Clean_Data!$W$2:$W$1001,$W44,Clean_Data!$V$2:$V$1001,1)-1))),""))</f>
        <v>-1.13206180974887</v>
      </c>
      <c r="AN44" s="5" t="str">
        <f>IF($AM44="","",IF($AM44&gt;=Lookups!$K$6,"High spike",IF($AM44&lt;=-Lookups!$K$6,"Unusual low","Normal")))</f>
        <v>Normal</v>
      </c>
      <c r="AO44" s="20">
        <f>IF($V44&lt;&gt;1,"",$P44+ROW()/100000)</f>
        <v>30.00044</v>
      </c>
      <c r="AP44" s="5">
        <f>IF($A44="","",IFERROR(MATCH($A44,Raw_D1!$A$2:$A$1001,0),""))</f>
        <v>43</v>
      </c>
      <c r="AQ44" s="5">
        <f>IF($A44="","",IFERROR(MATCH($A44,Raw_D2!$B$2:$B$1001,0),""))</f>
        <v>43</v>
      </c>
      <c r="AR44" s="5">
        <f>IF($A44="","",IFERROR(MATCH($A44,Raw_D3!$A$2:$A$1001,0),""))</f>
        <v/>
      </c>
    </row>
    <row r="45" spans="1:44" x14ac:dyDescent="0.25">
      <c r="A45" s="5">
        <v>44</v>
      </c>
      <c r="B45" s="11">
        <f>IF($A45="","",IF($AP45&lt;&gt;"",INDEX(Raw_D1!$B$2:$B$1001,$AP45),IF($AR45&lt;&gt;"",INDEX(Raw_D3!$B$2:$B$1001,$AR45),"")))</f>
        <v>40545.0</v>
      </c>
      <c r="C45" s="5">
        <f>IF($A45="","",IF($AP45&lt;&gt;"",INDEX(Raw_D1!$C$2:$C$1001,$AP45),IF($AR45&lt;&gt;"",INDEX(Raw_D3!$C$2:$C$1001,$AR45),"")))</f>
        <v>1</v>
      </c>
      <c r="D45" s="5">
        <f>IF($A45="","",IF($AP45&lt;&gt;"",INDEX(Raw_D1!$D$2:$D$1001,$AP45),IF($AR45&lt;&gt;"",INDEX(Raw_D3!$D$2:$D$1001,$AR45),"")))</f>
        <v>0</v>
      </c>
      <c r="E45" s="5">
        <f>IF($A45="","",IF($AP45&lt;&gt;"",INDEX(Raw_D1!$E$2:$E$1001,$AP45),IF($AR45&lt;&gt;"",INDEX(Raw_D3!$E$2:$E$1001,$AR45),"")))</f>
        <v>1</v>
      </c>
      <c r="F45" s="5">
        <f>IF($A45="","",IF($AP45&lt;&gt;"",INDEX(Raw_D1!$F$2:$F$1001,$AP45),IF($AR45&lt;&gt;"",INDEX(Raw_D3!$F$2:$F$1001,$AR45),"")))</f>
        <v>20</v>
      </c>
      <c r="G45" s="5">
        <f>IF($A45="","",IF($AP45&lt;&gt;"",IF(INDEX(Raw_D1!$G$2:$G$1001,$AP45),1,0),IF($AR45&lt;&gt;"",IF(INDEX(Raw_D3!$G$2:$G$1001,$AR45),1,0),"")))</f>
        <v>0</v>
      </c>
      <c r="H45" s="5">
        <f>IF($A45="","",IF($AP45&lt;&gt;"",INDEX(Raw_D1!$H$2:$H$1001,$AP45),IF($AR45&lt;&gt;"",INDEX(Raw_D3!$H$2:$H$1001,$AR45),"")))</f>
        <v>0</v>
      </c>
      <c r="I45" s="5">
        <f>IF($A45="","",IF($AP45&lt;&gt;"",INDEX(Raw_D1!$I$2:$I$1001,$AP45),IF($AR45&lt;&gt;"",INDEX(Raw_D3!$I$2:$I$1001,$AR45),"")))</f>
        <v>1</v>
      </c>
      <c r="J45" s="16">
        <f>IF($A45="","",IF($AP45&lt;&gt;"",INDEX(Raw_D1!$J$2:$J$1001,$AP45),IF($AR45&lt;&gt;"",INDEX(Raw_D3!$J$2:$J$1001,$AR45),"")))</f>
        <v>0.3</v>
      </c>
      <c r="K45" s="17">
        <f>IF($A45="","",IF($AQ45&lt;&gt;"",IF(INDEX(Raw_D2!$C$2:$C$1001,$AQ45)="","",INDEX(Raw_D2!$C$2:$C$1001,$AQ45)),IF($AR45&lt;&gt;"",IF(INDEX(Raw_D3!$K$2:$K$1001,$AR45)="","",INDEX(Raw_D3!$K$2:$K$1001,$AR45)),"")))</f>
        <v/>
      </c>
      <c r="L45" s="16">
        <f>IF($A45="","",IF($AQ45&lt;&gt;"",IF(INDEX(Raw_D2!$D$2:$D$1001,$AQ45)="","",INDEX(Raw_D2!$D$2:$D$1001,$AQ45)),IF($AR45&lt;&gt;"",IF(INDEX(Raw_D3!$L$2:$L$1001,$AR45)="","",INDEX(Raw_D3!$L$2:$L$1001,$AR45)),"")))</f>
        <v>0.39</v>
      </c>
      <c r="M45" s="17">
        <f>IF($A45="","",IF($AQ45&lt;&gt;"",IF(INDEX(Raw_D2!$E$2:$E$1001,$AQ45)="","",INDEX(Raw_D2!$E$2:$E$1001,$AQ45)),IF($AR45&lt;&gt;"",IF(INDEX(Raw_D3!$M$2:$M$1001,$AR45)="","",INDEX(Raw_D3!$M$2:$M$1001,$AR45)),"")))</f>
        <v>0.3582</v>
      </c>
      <c r="N45" s="5">
        <f>IF($A45="","",IF($AQ45&lt;&gt;"",IF(INDEX(Raw_D2!$F$2:$F$1001,$AQ45)="","",INDEX(Raw_D2!$F$2:$F$1001,$AQ45)),IF($AR45&lt;&gt;"",IF(INDEX(Raw_D3!$N$2:$N$1001,$AR45)="","",INDEX(Raw_D3!$N$2:$N$1001,$AR45)),"")))</f>
        <v>5</v>
      </c>
      <c r="O45" s="5">
        <f>IF($A45="","",IF($AQ45&lt;&gt;"",IF(INDEX(Raw_D2!$G$2:$G$1001,$AQ45)="","",INDEX(Raw_D2!$G$2:$G$1001,$AQ45)),IF($AR45&lt;&gt;"",IF(INDEX(Raw_D3!$O$2:$O$1001,$AR45)="","",INDEX(Raw_D3!$O$2:$O$1001,$AR45)),"")))</f>
        <v>17</v>
      </c>
      <c r="P45" s="5">
        <f>IF($A45="","",IF($AQ45&lt;&gt;"",IF(INDEX(Raw_D2!$H$2:$H$1001,$AQ45)="","",INDEX(Raw_D2!$H$2:$H$1001,$AQ45)),IF($AR45&lt;&gt;"",IF(INDEX(Raw_D3!$P$2:$P$1001,$AR45)="","",INDEX(Raw_D3!$P$2:$P$1001,$AR45)),"")))</f>
        <v>22</v>
      </c>
      <c r="Q45" s="5" t="str">
        <f>IF($A45="","",IF(AND($AP45&lt;&gt;"",$AQ45&lt;&gt;""),"D1+D2",IF($AR45&lt;&gt;"","D3","Incomplete")))</f>
        <v>D1+D2</v>
      </c>
      <c r="R45" s="17">
        <f>IF($A45="","",IF($K45="",IF($J45="","",ROUND(Lookups!$K$5+Lookups!$K$4*$J45,4)),$K45))</f>
        <v>0.2995</v>
      </c>
      <c r="S45" s="5" t="str">
        <f>IF($A45="","",IF($K45="","Imputed","Original"))</f>
        <v>Imputed</v>
      </c>
      <c r="T45" s="5" t="str">
        <f>IF($A45="","",IF($P45="","Missing",IF($P45=$N45+$O45,"OK","Mismatch")))</f>
        <v>OK</v>
      </c>
      <c r="U45" s="5" t="str">
        <f>IF($A45="","",IF(COUNTIF($A$2:$A45,$A45)&gt;1,"Duplicate","Unique"))</f>
        <v>Unique</v>
      </c>
      <c r="V45" s="5">
        <f>IF($A45="","",IF(AND($U45="Unique",ISNUMBER($P45)),1,0))</f>
        <v>1</v>
      </c>
      <c r="W45" s="5" t="str">
        <f>IF($A45="","",IF(OR($H45=0,$H45=6),"Weekend","Weekday"))</f>
        <v>Weekend</v>
      </c>
      <c r="X45" s="5" t="str">
        <f>IF($A45="","",TEXT($B45,"ddd"))</f>
        <v>Sun</v>
      </c>
      <c r="Y45" s="5" t="str">
        <f>IF($A45="","",TEXT($B45,"mmm"))</f>
        <v>Jan</v>
      </c>
      <c r="Z45" s="5" t="str">
        <f>IF($A45="","",IFERROR(VLOOKUP($C45,Lookups!$D$4:$E$7,2,FALSE),"Unknown"))</f>
        <v>Winter</v>
      </c>
      <c r="AA45" s="5" t="str">
        <f>IF($A45="","",IFERROR(VLOOKUP($I45,Lookups!$A$4:$B$7,2,FALSE),"Unknown"))</f>
        <v>Clear</v>
      </c>
      <c r="AB45" s="5" t="str">
        <f>IF($A45="","",TEXT($F45,"00")&amp;":00")</f>
        <v>20:00</v>
      </c>
      <c r="AC45" s="5" t="str">
        <f>IF($A45="","",VLOOKUP($F45,Lookups!$G$4:$H$8,2,TRUE))</f>
        <v>Late Evening (20-23)</v>
      </c>
      <c r="AD45" s="18">
        <f>IF($A45="","",IF($J45="","",ROUND($J45*41,1)))</f>
        <v>12.3</v>
      </c>
      <c r="AE45" s="18">
        <f>IF($A45="","",IF($R45="","",ROUND($R45*50,1)))</f>
        <v>15</v>
      </c>
      <c r="AF45" s="5">
        <f>IF($A45="","",IF($L45="","",ROUND($L45*100,0)))</f>
        <v>39</v>
      </c>
      <c r="AG45" s="18">
        <f>IF($A45="","",IF($M45="","",ROUND($M45*67,1)))</f>
        <v>24</v>
      </c>
      <c r="AH45" s="19">
        <f>IF($A45="","",IF($P45="","",IF($P45=0,0,$O45/$P45)))</f>
        <v>0.772727272727273</v>
      </c>
      <c r="AI45" s="5" t="str">
        <f>IF($A45="","",IF($P45="","",IF($P45&gt;=Lookups!$K$7,"High",IF($P45&lt;=Lookups!$K$8,"Low","Medium"))))</f>
        <v>Medium</v>
      </c>
      <c r="AJ45" s="5" t="str">
        <f>IF($A45="","",IF($AD45="","",IF($AD45&lt;5,"Under 5 C",IF($AD45&lt;10,"5-10 C",IF($AD45&lt;15,"10-15 C","15 C and above")))))</f>
        <v>10-15 C</v>
      </c>
      <c r="AK45" s="5">
        <f>IF($A45="","",IF($P45="","",$P45^2))</f>
        <v>484</v>
      </c>
      <c r="AL45" s="18">
        <f>IF($V45&lt;&gt;1,"",AVERAGEIFS(Clean_Data!$P$2:$P$1001,Clean_Data!$F$2:$F$1001,$F45,Clean_Data!$W$2:$W$1001,$W45,Clean_Data!$V$2:$V$1001,1))</f>
        <v>40</v>
      </c>
      <c r="AM45" s="16">
        <f>IF($V45&lt;&gt;1,"",IFERROR(($P45-$AL45)/SQRT(MAX(0,(SUMIFS(Clean_Data!$AK$2:$AK$1001,Clean_Data!$F$2:$F$1001,$F45,Clean_Data!$W$2:$W$1001,$W45,Clean_Data!$V$2:$V$1001,1)-COUNTIFS(Clean_Data!$F$2:$F$1001,$F45,Clean_Data!$W$2:$W$1001,$W45,Clean_Data!$V$2:$V$1001,1)*$AL45^2)/(COUNTIFS(Clean_Data!$F$2:$F$1001,$F45,Clean_Data!$W$2:$W$1001,$W45,Clean_Data!$V$2:$V$1001,1)-1))),""))</f>
        <v>-1.46147276297468</v>
      </c>
      <c r="AN45" s="5" t="str">
        <f>IF($AM45="","",IF($AM45&gt;=Lookups!$K$6,"High spike",IF($AM45&lt;=-Lookups!$K$6,"Unusual low","Normal")))</f>
        <v>Normal</v>
      </c>
      <c r="AO45" s="20">
        <f>IF($V45&lt;&gt;1,"",$P45+ROW()/100000)</f>
        <v>22.00045</v>
      </c>
      <c r="AP45" s="5">
        <f>IF($A45="","",IFERROR(MATCH($A45,Raw_D1!$A$2:$A$1001,0),""))</f>
        <v>44</v>
      </c>
      <c r="AQ45" s="5">
        <f>IF($A45="","",IFERROR(MATCH($A45,Raw_D2!$B$2:$B$1001,0),""))</f>
        <v>44</v>
      </c>
      <c r="AR45" s="5">
        <f>IF($A45="","",IFERROR(MATCH($A45,Raw_D3!$A$2:$A$1001,0),""))</f>
        <v/>
      </c>
    </row>
    <row r="46" spans="1:44" x14ac:dyDescent="0.25">
      <c r="A46" s="5">
        <v>45</v>
      </c>
      <c r="B46" s="11">
        <f>IF($A46="","",IF($AP46&lt;&gt;"",INDEX(Raw_D1!$B$2:$B$1001,$AP46),IF($AR46&lt;&gt;"",INDEX(Raw_D3!$B$2:$B$1001,$AR46),"")))</f>
        <v>40545.0</v>
      </c>
      <c r="C46" s="5">
        <f>IF($A46="","",IF($AP46&lt;&gt;"",INDEX(Raw_D1!$C$2:$C$1001,$AP46),IF($AR46&lt;&gt;"",INDEX(Raw_D3!$C$2:$C$1001,$AR46),"")))</f>
        <v>1</v>
      </c>
      <c r="D46" s="5">
        <f>IF($A46="","",IF($AP46&lt;&gt;"",INDEX(Raw_D1!$D$2:$D$1001,$AP46),IF($AR46&lt;&gt;"",INDEX(Raw_D3!$D$2:$D$1001,$AR46),"")))</f>
        <v>0</v>
      </c>
      <c r="E46" s="5">
        <f>IF($A46="","",IF($AP46&lt;&gt;"",INDEX(Raw_D1!$E$2:$E$1001,$AP46),IF($AR46&lt;&gt;"",INDEX(Raw_D3!$E$2:$E$1001,$AR46),"")))</f>
        <v>1</v>
      </c>
      <c r="F46" s="5">
        <f>IF($A46="","",IF($AP46&lt;&gt;"",INDEX(Raw_D1!$F$2:$F$1001,$AP46),IF($AR46&lt;&gt;"",INDEX(Raw_D3!$F$2:$F$1001,$AR46),"")))</f>
        <v>21</v>
      </c>
      <c r="G46" s="5">
        <f>IF($A46="","",IF($AP46&lt;&gt;"",IF(INDEX(Raw_D1!$G$2:$G$1001,$AP46),1,0),IF($AR46&lt;&gt;"",IF(INDEX(Raw_D3!$G$2:$G$1001,$AR46),1,0),"")))</f>
        <v>0</v>
      </c>
      <c r="H46" s="5">
        <f>IF($A46="","",IF($AP46&lt;&gt;"",INDEX(Raw_D1!$H$2:$H$1001,$AP46),IF($AR46&lt;&gt;"",INDEX(Raw_D3!$H$2:$H$1001,$AR46),"")))</f>
        <v>0</v>
      </c>
      <c r="I46" s="5">
        <f>IF($A46="","",IF($AP46&lt;&gt;"",INDEX(Raw_D1!$I$2:$I$1001,$AP46),IF($AR46&lt;&gt;"",INDEX(Raw_D3!$I$2:$I$1001,$AR46),"")))</f>
        <v>1</v>
      </c>
      <c r="J46" s="16">
        <f>IF($A46="","",IF($AP46&lt;&gt;"",INDEX(Raw_D1!$J$2:$J$1001,$AP46),IF($AR46&lt;&gt;"",INDEX(Raw_D3!$J$2:$J$1001,$AR46),"")))</f>
        <v>0.26</v>
      </c>
      <c r="K46" s="17">
        <f>IF($A46="","",IF($AQ46&lt;&gt;"",IF(INDEX(Raw_D2!$C$2:$C$1001,$AQ46)="","",INDEX(Raw_D2!$C$2:$C$1001,$AQ46)),IF($AR46&lt;&gt;"",IF(INDEX(Raw_D3!$K$2:$K$1001,$AR46)="","",INDEX(Raw_D3!$K$2:$K$1001,$AR46)),"")))</f>
        <v>0.2273</v>
      </c>
      <c r="L46" s="16">
        <f>IF($A46="","",IF($AQ46&lt;&gt;"",IF(INDEX(Raw_D2!$D$2:$D$1001,$AQ46)="","",INDEX(Raw_D2!$D$2:$D$1001,$AQ46)),IF($AR46&lt;&gt;"",IF(INDEX(Raw_D3!$L$2:$L$1001,$AR46)="","",INDEX(Raw_D3!$L$2:$L$1001,$AR46)),"")))</f>
        <v>0.44</v>
      </c>
      <c r="M46" s="17">
        <f>IF($A46="","",IF($AQ46&lt;&gt;"",IF(INDEX(Raw_D2!$E$2:$E$1001,$AQ46)="","",INDEX(Raw_D2!$E$2:$E$1001,$AQ46)),IF($AR46&lt;&gt;"",IF(INDEX(Raw_D3!$M$2:$M$1001,$AR46)="","",INDEX(Raw_D3!$M$2:$M$1001,$AR46)),"")))</f>
        <v>0.3284</v>
      </c>
      <c r="N46" s="5">
        <f>IF($A46="","",IF($AQ46&lt;&gt;"",IF(INDEX(Raw_D2!$F$2:$F$1001,$AQ46)="","",INDEX(Raw_D2!$F$2:$F$1001,$AQ46)),IF($AR46&lt;&gt;"",IF(INDEX(Raw_D3!$N$2:$N$1001,$AR46)="","",INDEX(Raw_D3!$N$2:$N$1001,$AR46)),"")))</f>
        <v>11</v>
      </c>
      <c r="O46" s="5">
        <f>IF($A46="","",IF($AQ46&lt;&gt;"",IF(INDEX(Raw_D2!$G$2:$G$1001,$AQ46)="","",INDEX(Raw_D2!$G$2:$G$1001,$AQ46)),IF($AR46&lt;&gt;"",IF(INDEX(Raw_D3!$O$2:$O$1001,$AR46)="","",INDEX(Raw_D3!$O$2:$O$1001,$AR46)),"")))</f>
        <v>20</v>
      </c>
      <c r="P46" s="5">
        <f>IF($A46="","",IF($AQ46&lt;&gt;"",IF(INDEX(Raw_D2!$H$2:$H$1001,$AQ46)="","",INDEX(Raw_D2!$H$2:$H$1001,$AQ46)),IF($AR46&lt;&gt;"",IF(INDEX(Raw_D3!$P$2:$P$1001,$AR46)="","",INDEX(Raw_D3!$P$2:$P$1001,$AR46)),"")))</f>
        <v>31</v>
      </c>
      <c r="Q46" s="5" t="str">
        <f>IF($A46="","",IF(AND($AP46&lt;&gt;"",$AQ46&lt;&gt;""),"D1+D2",IF($AR46&lt;&gt;"","D3","Incomplete")))</f>
        <v>D1+D2</v>
      </c>
      <c r="R46" s="17">
        <f>IF($A46="","",IF($K46="",IF($J46="","",ROUND(Lookups!$K$5+Lookups!$K$4*$J46,4)),$K46))</f>
        <v>0.2273</v>
      </c>
      <c r="S46" s="5" t="str">
        <f>IF($A46="","",IF($K46="","Imputed","Original"))</f>
        <v>Original</v>
      </c>
      <c r="T46" s="5" t="str">
        <f>IF($A46="","",IF($P46="","Missing",IF($P46=$N46+$O46,"OK","Mismatch")))</f>
        <v>OK</v>
      </c>
      <c r="U46" s="5" t="str">
        <f>IF($A46="","",IF(COUNTIF($A$2:$A46,$A46)&gt;1,"Duplicate","Unique"))</f>
        <v>Unique</v>
      </c>
      <c r="V46" s="5">
        <f>IF($A46="","",IF(AND($U46="Unique",ISNUMBER($P46)),1,0))</f>
        <v>1</v>
      </c>
      <c r="W46" s="5" t="str">
        <f>IF($A46="","",IF(OR($H46=0,$H46=6),"Weekend","Weekday"))</f>
        <v>Weekend</v>
      </c>
      <c r="X46" s="5" t="str">
        <f>IF($A46="","",TEXT($B46,"ddd"))</f>
        <v>Sun</v>
      </c>
      <c r="Y46" s="5" t="str">
        <f>IF($A46="","",TEXT($B46,"mmm"))</f>
        <v>Jan</v>
      </c>
      <c r="Z46" s="5" t="str">
        <f>IF($A46="","",IFERROR(VLOOKUP($C46,Lookups!$D$4:$E$7,2,FALSE),"Unknown"))</f>
        <v>Winter</v>
      </c>
      <c r="AA46" s="5" t="str">
        <f>IF($A46="","",IFERROR(VLOOKUP($I46,Lookups!$A$4:$B$7,2,FALSE),"Unknown"))</f>
        <v>Clear</v>
      </c>
      <c r="AB46" s="5" t="str">
        <f>IF($A46="","",TEXT($F46,"00")&amp;":00")</f>
        <v>21:00</v>
      </c>
      <c r="AC46" s="5" t="str">
        <f>IF($A46="","",VLOOKUP($F46,Lookups!$G$4:$H$8,2,TRUE))</f>
        <v>Late Evening (20-23)</v>
      </c>
      <c r="AD46" s="18">
        <f>IF($A46="","",IF($J46="","",ROUND($J46*41,1)))</f>
        <v>10.7</v>
      </c>
      <c r="AE46" s="18">
        <f>IF($A46="","",IF($R46="","",ROUND($R46*50,1)))</f>
        <v>11.4</v>
      </c>
      <c r="AF46" s="5">
        <f>IF($A46="","",IF($L46="","",ROUND($L46*100,0)))</f>
        <v>44</v>
      </c>
      <c r="AG46" s="18">
        <f>IF($A46="","",IF($M46="","",ROUND($M46*67,1)))</f>
        <v>22</v>
      </c>
      <c r="AH46" s="19">
        <f>IF($A46="","",IF($P46="","",IF($P46=0,0,$O46/$P46)))</f>
        <v>0.645161290322581</v>
      </c>
      <c r="AI46" s="5" t="str">
        <f>IF($A46="","",IF($P46="","",IF($P46&gt;=Lookups!$K$7,"High",IF($P46&lt;=Lookups!$K$8,"Low","Medium"))))</f>
        <v>Medium</v>
      </c>
      <c r="AJ46" s="5" t="str">
        <f>IF($A46="","",IF($AD46="","",IF($AD46&lt;5,"Under 5 C",IF($AD46&lt;10,"5-10 C",IF($AD46&lt;15,"10-15 C","15 C and above")))))</f>
        <v>10-15 C</v>
      </c>
      <c r="AK46" s="5">
        <f>IF($A46="","",IF($P46="","",$P46^2))</f>
        <v>961</v>
      </c>
      <c r="AL46" s="18">
        <f>IF($V46&lt;&gt;1,"",AVERAGEIFS(Clean_Data!$P$2:$P$1001,Clean_Data!$F$2:$F$1001,$F46,Clean_Data!$W$2:$W$1001,$W46,Clean_Data!$V$2:$V$1001,1))</f>
        <v>37.1428571428571</v>
      </c>
      <c r="AM46" s="16">
        <f>IF($V46&lt;&gt;1,"",IFERROR(($P46-$AL46)/SQRT(MAX(0,(SUMIFS(Clean_Data!$AK$2:$AK$1001,Clean_Data!$F$2:$F$1001,$F46,Clean_Data!$W$2:$W$1001,$W46,Clean_Data!$V$2:$V$1001,1)-COUNTIFS(Clean_Data!$F$2:$F$1001,$F46,Clean_Data!$W$2:$W$1001,$W46,Clean_Data!$V$2:$V$1001,1)*$AL46^2)/(COUNTIFS(Clean_Data!$F$2:$F$1001,$F46,Clean_Data!$W$2:$W$1001,$W46,Clean_Data!$V$2:$V$1001,1)-1))),""))</f>
        <v>-0.508424743573554</v>
      </c>
      <c r="AN46" s="5" t="str">
        <f>IF($AM46="","",IF($AM46&gt;=Lookups!$K$6,"High spike",IF($AM46&lt;=-Lookups!$K$6,"Unusual low","Normal")))</f>
        <v>Normal</v>
      </c>
      <c r="AO46" s="20">
        <f>IF($V46&lt;&gt;1,"",$P46+ROW()/100000)</f>
        <v>31.00046</v>
      </c>
      <c r="AP46" s="5">
        <f>IF($A46="","",IFERROR(MATCH($A46,Raw_D1!$A$2:$A$1001,0),""))</f>
        <v>45</v>
      </c>
      <c r="AQ46" s="5">
        <f>IF($A46="","",IFERROR(MATCH($A46,Raw_D2!$B$2:$B$1001,0),""))</f>
        <v>45</v>
      </c>
      <c r="AR46" s="5">
        <f>IF($A46="","",IFERROR(MATCH($A46,Raw_D3!$A$2:$A$1001,0),""))</f>
        <v/>
      </c>
    </row>
    <row r="47" spans="1:44" x14ac:dyDescent="0.25">
      <c r="A47" s="5">
        <v>46</v>
      </c>
      <c r="B47" s="11">
        <f>IF($A47="","",IF($AP47&lt;&gt;"",INDEX(Raw_D1!$B$2:$B$1001,$AP47),IF($AR47&lt;&gt;"",INDEX(Raw_D3!$B$2:$B$1001,$AR47),"")))</f>
        <v>40545.0</v>
      </c>
      <c r="C47" s="5">
        <f>IF($A47="","",IF($AP47&lt;&gt;"",INDEX(Raw_D1!$C$2:$C$1001,$AP47),IF($AR47&lt;&gt;"",INDEX(Raw_D3!$C$2:$C$1001,$AR47),"")))</f>
        <v>1</v>
      </c>
      <c r="D47" s="5">
        <f>IF($A47="","",IF($AP47&lt;&gt;"",INDEX(Raw_D1!$D$2:$D$1001,$AP47),IF($AR47&lt;&gt;"",INDEX(Raw_D3!$D$2:$D$1001,$AR47),"")))</f>
        <v>0</v>
      </c>
      <c r="E47" s="5">
        <f>IF($A47="","",IF($AP47&lt;&gt;"",INDEX(Raw_D1!$E$2:$E$1001,$AP47),IF($AR47&lt;&gt;"",INDEX(Raw_D3!$E$2:$E$1001,$AR47),"")))</f>
        <v>1</v>
      </c>
      <c r="F47" s="5">
        <f>IF($A47="","",IF($AP47&lt;&gt;"",INDEX(Raw_D1!$F$2:$F$1001,$AP47),IF($AR47&lt;&gt;"",INDEX(Raw_D3!$F$2:$F$1001,$AR47),"")))</f>
        <v>22</v>
      </c>
      <c r="G47" s="5">
        <f>IF($A47="","",IF($AP47&lt;&gt;"",IF(INDEX(Raw_D1!$G$2:$G$1001,$AP47),1,0),IF($AR47&lt;&gt;"",IF(INDEX(Raw_D3!$G$2:$G$1001,$AR47),1,0),"")))</f>
        <v>0</v>
      </c>
      <c r="H47" s="5">
        <f>IF($A47="","",IF($AP47&lt;&gt;"",INDEX(Raw_D1!$H$2:$H$1001,$AP47),IF($AR47&lt;&gt;"",INDEX(Raw_D3!$H$2:$H$1001,$AR47),"")))</f>
        <v>0</v>
      </c>
      <c r="I47" s="5">
        <f>IF($A47="","",IF($AP47&lt;&gt;"",INDEX(Raw_D1!$I$2:$I$1001,$AP47),IF($AR47&lt;&gt;"",INDEX(Raw_D3!$I$2:$I$1001,$AR47),"")))</f>
        <v>1</v>
      </c>
      <c r="J47" s="16">
        <f>IF($A47="","",IF($AP47&lt;&gt;"",INDEX(Raw_D1!$J$2:$J$1001,$AP47),IF($AR47&lt;&gt;"",INDEX(Raw_D3!$J$2:$J$1001,$AR47),"")))</f>
        <v>0.24</v>
      </c>
      <c r="K47" s="17">
        <f>IF($A47="","",IF($AQ47&lt;&gt;"",IF(INDEX(Raw_D2!$C$2:$C$1001,$AQ47)="","",INDEX(Raw_D2!$C$2:$C$1001,$AQ47)),IF($AR47&lt;&gt;"",IF(INDEX(Raw_D3!$K$2:$K$1001,$AR47)="","",INDEX(Raw_D3!$K$2:$K$1001,$AR47)),"")))</f>
        <v>0.2121</v>
      </c>
      <c r="L47" s="16">
        <f>IF($A47="","",IF($AQ47&lt;&gt;"",IF(INDEX(Raw_D2!$D$2:$D$1001,$AQ47)="","",INDEX(Raw_D2!$D$2:$D$1001,$AQ47)),IF($AR47&lt;&gt;"",IF(INDEX(Raw_D3!$L$2:$L$1001,$AR47)="","",INDEX(Raw_D3!$L$2:$L$1001,$AR47)),"")))</f>
        <v>0.44</v>
      </c>
      <c r="M47" s="17">
        <f>IF($A47="","",IF($AQ47&lt;&gt;"",IF(INDEX(Raw_D2!$E$2:$E$1001,$AQ47)="","",INDEX(Raw_D2!$E$2:$E$1001,$AQ47)),IF($AR47&lt;&gt;"",IF(INDEX(Raw_D3!$M$2:$M$1001,$AR47)="","",INDEX(Raw_D3!$M$2:$M$1001,$AR47)),"")))</f>
        <v>0.2985</v>
      </c>
      <c r="N47" s="5">
        <f>IF($A47="","",IF($AQ47&lt;&gt;"",IF(INDEX(Raw_D2!$F$2:$F$1001,$AQ47)="","",INDEX(Raw_D2!$F$2:$F$1001,$AQ47)),IF($AR47&lt;&gt;"",IF(INDEX(Raw_D3!$N$2:$N$1001,$AR47)="","",INDEX(Raw_D3!$N$2:$N$1001,$AR47)),"")))</f>
        <v>0</v>
      </c>
      <c r="O47" s="5">
        <f>IF($A47="","",IF($AQ47&lt;&gt;"",IF(INDEX(Raw_D2!$G$2:$G$1001,$AQ47)="","",INDEX(Raw_D2!$G$2:$G$1001,$AQ47)),IF($AR47&lt;&gt;"",IF(INDEX(Raw_D3!$O$2:$O$1001,$AR47)="","",INDEX(Raw_D3!$O$2:$O$1001,$AR47)),"")))</f>
        <v>9</v>
      </c>
      <c r="P47" s="5">
        <f>IF($A47="","",IF($AQ47&lt;&gt;"",IF(INDEX(Raw_D2!$H$2:$H$1001,$AQ47)="","",INDEX(Raw_D2!$H$2:$H$1001,$AQ47)),IF($AR47&lt;&gt;"",IF(INDEX(Raw_D3!$P$2:$P$1001,$AR47)="","",INDEX(Raw_D3!$P$2:$P$1001,$AR47)),"")))</f>
        <v>9</v>
      </c>
      <c r="Q47" s="5" t="str">
        <f>IF($A47="","",IF(AND($AP47&lt;&gt;"",$AQ47&lt;&gt;""),"D1+D2",IF($AR47&lt;&gt;"","D3","Incomplete")))</f>
        <v>D1+D2</v>
      </c>
      <c r="R47" s="17">
        <f>IF($A47="","",IF($K47="",IF($J47="","",ROUND(Lookups!$K$5+Lookups!$K$4*$J47,4)),$K47))</f>
        <v>0.2121</v>
      </c>
      <c r="S47" s="5" t="str">
        <f>IF($A47="","",IF($K47="","Imputed","Original"))</f>
        <v>Original</v>
      </c>
      <c r="T47" s="5" t="str">
        <f>IF($A47="","",IF($P47="","Missing",IF($P47=$N47+$O47,"OK","Mismatch")))</f>
        <v>OK</v>
      </c>
      <c r="U47" s="5" t="str">
        <f>IF($A47="","",IF(COUNTIF($A$2:$A47,$A47)&gt;1,"Duplicate","Unique"))</f>
        <v>Unique</v>
      </c>
      <c r="V47" s="5">
        <f>IF($A47="","",IF(AND($U47="Unique",ISNUMBER($P47)),1,0))</f>
        <v>1</v>
      </c>
      <c r="W47" s="5" t="str">
        <f>IF($A47="","",IF(OR($H47=0,$H47=6),"Weekend","Weekday"))</f>
        <v>Weekend</v>
      </c>
      <c r="X47" s="5" t="str">
        <f>IF($A47="","",TEXT($B47,"ddd"))</f>
        <v>Sun</v>
      </c>
      <c r="Y47" s="5" t="str">
        <f>IF($A47="","",TEXT($B47,"mmm"))</f>
        <v>Jan</v>
      </c>
      <c r="Z47" s="5" t="str">
        <f>IF($A47="","",IFERROR(VLOOKUP($C47,Lookups!$D$4:$E$7,2,FALSE),"Unknown"))</f>
        <v>Winter</v>
      </c>
      <c r="AA47" s="5" t="str">
        <f>IF($A47="","",IFERROR(VLOOKUP($I47,Lookups!$A$4:$B$7,2,FALSE),"Unknown"))</f>
        <v>Clear</v>
      </c>
      <c r="AB47" s="5" t="str">
        <f>IF($A47="","",TEXT($F47,"00")&amp;":00")</f>
        <v>22:00</v>
      </c>
      <c r="AC47" s="5" t="str">
        <f>IF($A47="","",VLOOKUP($F47,Lookups!$G$4:$H$8,2,TRUE))</f>
        <v>Late Evening (20-23)</v>
      </c>
      <c r="AD47" s="18">
        <f>IF($A47="","",IF($J47="","",ROUND($J47*41,1)))</f>
        <v>9.8</v>
      </c>
      <c r="AE47" s="18">
        <f>IF($A47="","",IF($R47="","",ROUND($R47*50,1)))</f>
        <v>10.6</v>
      </c>
      <c r="AF47" s="5">
        <f>IF($A47="","",IF($L47="","",ROUND($L47*100,0)))</f>
        <v>44</v>
      </c>
      <c r="AG47" s="18">
        <f>IF($A47="","",IF($M47="","",ROUND($M47*67,1)))</f>
        <v>20</v>
      </c>
      <c r="AH47" s="19">
        <f>IF($A47="","",IF($P47="","",IF($P47=0,0,$O47/$P47)))</f>
        <v>1</v>
      </c>
      <c r="AI47" s="5" t="str">
        <f>IF($A47="","",IF($P47="","",IF($P47&gt;=Lookups!$K$7,"High",IF($P47&lt;=Lookups!$K$8,"Low","Medium"))))</f>
        <v>Low</v>
      </c>
      <c r="AJ47" s="5" t="str">
        <f>IF($A47="","",IF($AD47="","",IF($AD47&lt;5,"Under 5 C",IF($AD47&lt;10,"5-10 C",IF($AD47&lt;15,"10-15 C","15 C and above")))))</f>
        <v>5-10 C</v>
      </c>
      <c r="AK47" s="5">
        <f>IF($A47="","",IF($P47="","",$P47^2))</f>
        <v>81</v>
      </c>
      <c r="AL47" s="18">
        <f>IF($V47&lt;&gt;1,"",AVERAGEIFS(Clean_Data!$P$2:$P$1001,Clean_Data!$F$2:$F$1001,$F47,Clean_Data!$W$2:$W$1001,$W47,Clean_Data!$V$2:$V$1001,1))</f>
        <v>30.8571428571429</v>
      </c>
      <c r="AM47" s="16">
        <f>IF($V47&lt;&gt;1,"",IFERROR(($P47-$AL47)/SQRT(MAX(0,(SUMIFS(Clean_Data!$AK$2:$AK$1001,Clean_Data!$F$2:$F$1001,$F47,Clean_Data!$W$2:$W$1001,$W47,Clean_Data!$V$2:$V$1001,1)-COUNTIFS(Clean_Data!$F$2:$F$1001,$F47,Clean_Data!$W$2:$W$1001,$W47,Clean_Data!$V$2:$V$1001,1)*$AL47^2)/(COUNTIFS(Clean_Data!$F$2:$F$1001,$F47,Clean_Data!$W$2:$W$1001,$W47,Clean_Data!$V$2:$V$1001,1)-1))),""))</f>
        <v>-1.61820627975519</v>
      </c>
      <c r="AN47" s="5" t="str">
        <f>IF($AM47="","",IF($AM47&gt;=Lookups!$K$6,"High spike",IF($AM47&lt;=-Lookups!$K$6,"Unusual low","Normal")))</f>
        <v>Normal</v>
      </c>
      <c r="AO47" s="20">
        <f>IF($V47&lt;&gt;1,"",$P47+ROW()/100000)</f>
        <v>9.00047</v>
      </c>
      <c r="AP47" s="5">
        <f>IF($A47="","",IFERROR(MATCH($A47,Raw_D1!$A$2:$A$1001,0),""))</f>
        <v>46</v>
      </c>
      <c r="AQ47" s="5">
        <f>IF($A47="","",IFERROR(MATCH($A47,Raw_D2!$B$2:$B$1001,0),""))</f>
        <v>46</v>
      </c>
      <c r="AR47" s="5">
        <f>IF($A47="","",IFERROR(MATCH($A47,Raw_D3!$A$2:$A$1001,0),""))</f>
        <v/>
      </c>
    </row>
    <row r="48" spans="1:44" x14ac:dyDescent="0.25">
      <c r="A48" s="5">
        <v>47</v>
      </c>
      <c r="B48" s="11">
        <f>IF($A48="","",IF($AP48&lt;&gt;"",INDEX(Raw_D1!$B$2:$B$1001,$AP48),IF($AR48&lt;&gt;"",INDEX(Raw_D3!$B$2:$B$1001,$AR48),"")))</f>
        <v>40545.0</v>
      </c>
      <c r="C48" s="5">
        <f>IF($A48="","",IF($AP48&lt;&gt;"",INDEX(Raw_D1!$C$2:$C$1001,$AP48),IF($AR48&lt;&gt;"",INDEX(Raw_D3!$C$2:$C$1001,$AR48),"")))</f>
        <v>1</v>
      </c>
      <c r="D48" s="5">
        <f>IF($A48="","",IF($AP48&lt;&gt;"",INDEX(Raw_D1!$D$2:$D$1001,$AP48),IF($AR48&lt;&gt;"",INDEX(Raw_D3!$D$2:$D$1001,$AR48),"")))</f>
        <v>0</v>
      </c>
      <c r="E48" s="5">
        <f>IF($A48="","",IF($AP48&lt;&gt;"",INDEX(Raw_D1!$E$2:$E$1001,$AP48),IF($AR48&lt;&gt;"",INDEX(Raw_D3!$E$2:$E$1001,$AR48),"")))</f>
        <v>1</v>
      </c>
      <c r="F48" s="5">
        <f>IF($A48="","",IF($AP48&lt;&gt;"",INDEX(Raw_D1!$F$2:$F$1001,$AP48),IF($AR48&lt;&gt;"",INDEX(Raw_D3!$F$2:$F$1001,$AR48),"")))</f>
        <v>23</v>
      </c>
      <c r="G48" s="5">
        <f>IF($A48="","",IF($AP48&lt;&gt;"",IF(INDEX(Raw_D1!$G$2:$G$1001,$AP48),1,0),IF($AR48&lt;&gt;"",IF(INDEX(Raw_D3!$G$2:$G$1001,$AR48),1,0),"")))</f>
        <v>0</v>
      </c>
      <c r="H48" s="5">
        <f>IF($A48="","",IF($AP48&lt;&gt;"",INDEX(Raw_D1!$H$2:$H$1001,$AP48),IF($AR48&lt;&gt;"",INDEX(Raw_D3!$H$2:$H$1001,$AR48),"")))</f>
        <v>0</v>
      </c>
      <c r="I48" s="5">
        <f>IF($A48="","",IF($AP48&lt;&gt;"",INDEX(Raw_D1!$I$2:$I$1001,$AP48),IF($AR48&lt;&gt;"",INDEX(Raw_D3!$I$2:$I$1001,$AR48),"")))</f>
        <v>1</v>
      </c>
      <c r="J48" s="16">
        <f>IF($A48="","",IF($AP48&lt;&gt;"",INDEX(Raw_D1!$J$2:$J$1001,$AP48),IF($AR48&lt;&gt;"",INDEX(Raw_D3!$J$2:$J$1001,$AR48),"")))</f>
        <v>0.22</v>
      </c>
      <c r="K48" s="17">
        <f>IF($A48="","",IF($AQ48&lt;&gt;"",IF(INDEX(Raw_D2!$C$2:$C$1001,$AQ48)="","",INDEX(Raw_D2!$C$2:$C$1001,$AQ48)),IF($AR48&lt;&gt;"",IF(INDEX(Raw_D3!$K$2:$K$1001,$AR48)="","",INDEX(Raw_D3!$K$2:$K$1001,$AR48)),"")))</f>
        <v>0.2273</v>
      </c>
      <c r="L48" s="16">
        <f>IF($A48="","",IF($AQ48&lt;&gt;"",IF(INDEX(Raw_D2!$D$2:$D$1001,$AQ48)="","",INDEX(Raw_D2!$D$2:$D$1001,$AQ48)),IF($AR48&lt;&gt;"",IF(INDEX(Raw_D3!$L$2:$L$1001,$AR48)="","",INDEX(Raw_D3!$L$2:$L$1001,$AR48)),"")))</f>
        <v>0.47</v>
      </c>
      <c r="M48" s="17">
        <f>IF($A48="","",IF($AQ48&lt;&gt;"",IF(INDEX(Raw_D2!$E$2:$E$1001,$AQ48)="","",INDEX(Raw_D2!$E$2:$E$1001,$AQ48)),IF($AR48&lt;&gt;"",IF(INDEX(Raw_D3!$M$2:$M$1001,$AR48)="","",INDEX(Raw_D3!$M$2:$M$1001,$AR48)),"")))</f>
        <v>0.1642</v>
      </c>
      <c r="N48" s="5">
        <f>IF($A48="","",IF($AQ48&lt;&gt;"",IF(INDEX(Raw_D2!$F$2:$F$1001,$AQ48)="","",INDEX(Raw_D2!$F$2:$F$1001,$AQ48)),IF($AR48&lt;&gt;"",IF(INDEX(Raw_D3!$N$2:$N$1001,$AR48)="","",INDEX(Raw_D3!$N$2:$N$1001,$AR48)),"")))</f>
        <v>0</v>
      </c>
      <c r="O48" s="5">
        <f>IF($A48="","",IF($AQ48&lt;&gt;"",IF(INDEX(Raw_D2!$G$2:$G$1001,$AQ48)="","",INDEX(Raw_D2!$G$2:$G$1001,$AQ48)),IF($AR48&lt;&gt;"",IF(INDEX(Raw_D3!$O$2:$O$1001,$AR48)="","",INDEX(Raw_D3!$O$2:$O$1001,$AR48)),"")))</f>
        <v>8</v>
      </c>
      <c r="P48" s="5">
        <f>IF($A48="","",IF($AQ48&lt;&gt;"",IF(INDEX(Raw_D2!$H$2:$H$1001,$AQ48)="","",INDEX(Raw_D2!$H$2:$H$1001,$AQ48)),IF($AR48&lt;&gt;"",IF(INDEX(Raw_D3!$P$2:$P$1001,$AR48)="","",INDEX(Raw_D3!$P$2:$P$1001,$AR48)),"")))</f>
        <v>8</v>
      </c>
      <c r="Q48" s="5" t="str">
        <f>IF($A48="","",IF(AND($AP48&lt;&gt;"",$AQ48&lt;&gt;""),"D1+D2",IF($AR48&lt;&gt;"","D3","Incomplete")))</f>
        <v>D1+D2</v>
      </c>
      <c r="R48" s="17">
        <f>IF($A48="","",IF($K48="",IF($J48="","",ROUND(Lookups!$K$5+Lookups!$K$4*$J48,4)),$K48))</f>
        <v>0.2273</v>
      </c>
      <c r="S48" s="5" t="str">
        <f>IF($A48="","",IF($K48="","Imputed","Original"))</f>
        <v>Original</v>
      </c>
      <c r="T48" s="5" t="str">
        <f>IF($A48="","",IF($P48="","Missing",IF($P48=$N48+$O48,"OK","Mismatch")))</f>
        <v>OK</v>
      </c>
      <c r="U48" s="5" t="str">
        <f>IF($A48="","",IF(COUNTIF($A$2:$A48,$A48)&gt;1,"Duplicate","Unique"))</f>
        <v>Unique</v>
      </c>
      <c r="V48" s="5">
        <f>IF($A48="","",IF(AND($U48="Unique",ISNUMBER($P48)),1,0))</f>
        <v>1</v>
      </c>
      <c r="W48" s="5" t="str">
        <f>IF($A48="","",IF(OR($H48=0,$H48=6),"Weekend","Weekday"))</f>
        <v>Weekend</v>
      </c>
      <c r="X48" s="5" t="str">
        <f>IF($A48="","",TEXT($B48,"ddd"))</f>
        <v>Sun</v>
      </c>
      <c r="Y48" s="5" t="str">
        <f>IF($A48="","",TEXT($B48,"mmm"))</f>
        <v>Jan</v>
      </c>
      <c r="Z48" s="5" t="str">
        <f>IF($A48="","",IFERROR(VLOOKUP($C48,Lookups!$D$4:$E$7,2,FALSE),"Unknown"))</f>
        <v>Winter</v>
      </c>
      <c r="AA48" s="5" t="str">
        <f>IF($A48="","",IFERROR(VLOOKUP($I48,Lookups!$A$4:$B$7,2,FALSE),"Unknown"))</f>
        <v>Clear</v>
      </c>
      <c r="AB48" s="5" t="str">
        <f>IF($A48="","",TEXT($F48,"00")&amp;":00")</f>
        <v>23:00</v>
      </c>
      <c r="AC48" s="5" t="str">
        <f>IF($A48="","",VLOOKUP($F48,Lookups!$G$4:$H$8,2,TRUE))</f>
        <v>Late Evening (20-23)</v>
      </c>
      <c r="AD48" s="18">
        <f>IF($A48="","",IF($J48="","",ROUND($J48*41,1)))</f>
        <v>9</v>
      </c>
      <c r="AE48" s="18">
        <f>IF($A48="","",IF($R48="","",ROUND($R48*50,1)))</f>
        <v>11.4</v>
      </c>
      <c r="AF48" s="5">
        <f>IF($A48="","",IF($L48="","",ROUND($L48*100,0)))</f>
        <v>47</v>
      </c>
      <c r="AG48" s="18">
        <f>IF($A48="","",IF($M48="","",ROUND($M48*67,1)))</f>
        <v>11</v>
      </c>
      <c r="AH48" s="19">
        <f>IF($A48="","",IF($P48="","",IF($P48=0,0,$O48/$P48)))</f>
        <v>1</v>
      </c>
      <c r="AI48" s="5" t="str">
        <f>IF($A48="","",IF($P48="","",IF($P48&gt;=Lookups!$K$7,"High",IF($P48&lt;=Lookups!$K$8,"Low","Medium"))))</f>
        <v>Low</v>
      </c>
      <c r="AJ48" s="5" t="str">
        <f>IF($A48="","",IF($AD48="","",IF($AD48&lt;5,"Under 5 C",IF($AD48&lt;10,"5-10 C",IF($AD48&lt;15,"10-15 C","15 C and above")))))</f>
        <v>5-10 C</v>
      </c>
      <c r="AK48" s="5">
        <f>IF($A48="","",IF($P48="","",$P48^2))</f>
        <v>64</v>
      </c>
      <c r="AL48" s="18">
        <f>IF($V48&lt;&gt;1,"",AVERAGEIFS(Clean_Data!$P$2:$P$1001,Clean_Data!$F$2:$F$1001,$F48,Clean_Data!$W$2:$W$1001,$W48,Clean_Data!$V$2:$V$1001,1))</f>
        <v>28.2857142857143</v>
      </c>
      <c r="AM48" s="16">
        <f>IF($V48&lt;&gt;1,"",IFERROR(($P48-$AL48)/SQRT(MAX(0,(SUMIFS(Clean_Data!$AK$2:$AK$1001,Clean_Data!$F$2:$F$1001,$F48,Clean_Data!$W$2:$W$1001,$W48,Clean_Data!$V$2:$V$1001,1)-COUNTIFS(Clean_Data!$F$2:$F$1001,$F48,Clean_Data!$W$2:$W$1001,$W48,Clean_Data!$V$2:$V$1001,1)*$AL48^2)/(COUNTIFS(Clean_Data!$F$2:$F$1001,$F48,Clean_Data!$W$2:$W$1001,$W48,Clean_Data!$V$2:$V$1001,1)-1))),""))</f>
        <v>-1.45445347068831</v>
      </c>
      <c r="AN48" s="5" t="str">
        <f>IF($AM48="","",IF($AM48&gt;=Lookups!$K$6,"High spike",IF($AM48&lt;=-Lookups!$K$6,"Unusual low","Normal")))</f>
        <v>Normal</v>
      </c>
      <c r="AO48" s="20">
        <f>IF($V48&lt;&gt;1,"",$P48+ROW()/100000)</f>
        <v>8.00048</v>
      </c>
      <c r="AP48" s="5">
        <f>IF($A48="","",IFERROR(MATCH($A48,Raw_D1!$A$2:$A$1001,0),""))</f>
        <v>47</v>
      </c>
      <c r="AQ48" s="5">
        <f>IF($A48="","",IFERROR(MATCH($A48,Raw_D2!$B$2:$B$1001,0),""))</f>
        <v>47</v>
      </c>
      <c r="AR48" s="5">
        <f>IF($A48="","",IFERROR(MATCH($A48,Raw_D3!$A$2:$A$1001,0),""))</f>
        <v/>
      </c>
    </row>
    <row r="49" spans="1:44" x14ac:dyDescent="0.25">
      <c r="A49" s="5">
        <v>48</v>
      </c>
      <c r="B49" s="11">
        <f>IF($A49="","",IF($AP49&lt;&gt;"",INDEX(Raw_D1!$B$2:$B$1001,$AP49),IF($AR49&lt;&gt;"",INDEX(Raw_D3!$B$2:$B$1001,$AR49),"")))</f>
        <v>40546.0</v>
      </c>
      <c r="C49" s="5">
        <f>IF($A49="","",IF($AP49&lt;&gt;"",INDEX(Raw_D1!$C$2:$C$1001,$AP49),IF($AR49&lt;&gt;"",INDEX(Raw_D3!$C$2:$C$1001,$AR49),"")))</f>
        <v>1</v>
      </c>
      <c r="D49" s="5">
        <f>IF($A49="","",IF($AP49&lt;&gt;"",INDEX(Raw_D1!$D$2:$D$1001,$AP49),IF($AR49&lt;&gt;"",INDEX(Raw_D3!$D$2:$D$1001,$AR49),"")))</f>
        <v>0</v>
      </c>
      <c r="E49" s="5">
        <f>IF($A49="","",IF($AP49&lt;&gt;"",INDEX(Raw_D1!$E$2:$E$1001,$AP49),IF($AR49&lt;&gt;"",INDEX(Raw_D3!$E$2:$E$1001,$AR49),"")))</f>
        <v>1</v>
      </c>
      <c r="F49" s="5">
        <f>IF($A49="","",IF($AP49&lt;&gt;"",INDEX(Raw_D1!$F$2:$F$1001,$AP49),IF($AR49&lt;&gt;"",INDEX(Raw_D3!$F$2:$F$1001,$AR49),"")))</f>
        <v>0</v>
      </c>
      <c r="G49" s="5">
        <f>IF($A49="","",IF($AP49&lt;&gt;"",IF(INDEX(Raw_D1!$G$2:$G$1001,$AP49),1,0),IF($AR49&lt;&gt;"",IF(INDEX(Raw_D3!$G$2:$G$1001,$AR49),1,0),"")))</f>
        <v>0</v>
      </c>
      <c r="H49" s="5">
        <f>IF($A49="","",IF($AP49&lt;&gt;"",INDEX(Raw_D1!$H$2:$H$1001,$AP49),IF($AR49&lt;&gt;"",INDEX(Raw_D3!$H$2:$H$1001,$AR49),"")))</f>
        <v>1</v>
      </c>
      <c r="I49" s="5">
        <f>IF($A49="","",IF($AP49&lt;&gt;"",INDEX(Raw_D1!$I$2:$I$1001,$AP49),IF($AR49&lt;&gt;"",INDEX(Raw_D3!$I$2:$I$1001,$AR49),"")))</f>
        <v>1</v>
      </c>
      <c r="J49" s="16">
        <f>IF($A49="","",IF($AP49&lt;&gt;"",INDEX(Raw_D1!$J$2:$J$1001,$AP49),IF($AR49&lt;&gt;"",INDEX(Raw_D3!$J$2:$J$1001,$AR49),"")))</f>
        <v>0.22</v>
      </c>
      <c r="K49" s="17">
        <f>IF($A49="","",IF($AQ49&lt;&gt;"",IF(INDEX(Raw_D2!$C$2:$C$1001,$AQ49)="","",INDEX(Raw_D2!$C$2:$C$1001,$AQ49)),IF($AR49&lt;&gt;"",IF(INDEX(Raw_D3!$K$2:$K$1001,$AR49)="","",INDEX(Raw_D3!$K$2:$K$1001,$AR49)),"")))</f>
        <v>0.197</v>
      </c>
      <c r="L49" s="16">
        <f>IF($A49="","",IF($AQ49&lt;&gt;"",IF(INDEX(Raw_D2!$D$2:$D$1001,$AQ49)="","",INDEX(Raw_D2!$D$2:$D$1001,$AQ49)),IF($AR49&lt;&gt;"",IF(INDEX(Raw_D3!$L$2:$L$1001,$AR49)="","",INDEX(Raw_D3!$L$2:$L$1001,$AR49)),"")))</f>
        <v>0.44</v>
      </c>
      <c r="M49" s="17">
        <f>IF($A49="","",IF($AQ49&lt;&gt;"",IF(INDEX(Raw_D2!$E$2:$E$1001,$AQ49)="","",INDEX(Raw_D2!$E$2:$E$1001,$AQ49)),IF($AR49&lt;&gt;"",IF(INDEX(Raw_D3!$M$2:$M$1001,$AR49)="","",INDEX(Raw_D3!$M$2:$M$1001,$AR49)),"")))</f>
        <v>0.3582</v>
      </c>
      <c r="N49" s="5">
        <f>IF($A49="","",IF($AQ49&lt;&gt;"",IF(INDEX(Raw_D2!$F$2:$F$1001,$AQ49)="","",INDEX(Raw_D2!$F$2:$F$1001,$AQ49)),IF($AR49&lt;&gt;"",IF(INDEX(Raw_D3!$N$2:$N$1001,$AR49)="","",INDEX(Raw_D3!$N$2:$N$1001,$AR49)),"")))</f>
        <v>0</v>
      </c>
      <c r="O49" s="5">
        <f>IF($A49="","",IF($AQ49&lt;&gt;"",IF(INDEX(Raw_D2!$G$2:$G$1001,$AQ49)="","",INDEX(Raw_D2!$G$2:$G$1001,$AQ49)),IF($AR49&lt;&gt;"",IF(INDEX(Raw_D3!$O$2:$O$1001,$AR49)="","",INDEX(Raw_D3!$O$2:$O$1001,$AR49)),"")))</f>
        <v>5</v>
      </c>
      <c r="P49" s="5">
        <f>IF($A49="","",IF($AQ49&lt;&gt;"",IF(INDEX(Raw_D2!$H$2:$H$1001,$AQ49)="","",INDEX(Raw_D2!$H$2:$H$1001,$AQ49)),IF($AR49&lt;&gt;"",IF(INDEX(Raw_D3!$P$2:$P$1001,$AR49)="","",INDEX(Raw_D3!$P$2:$P$1001,$AR49)),"")))</f>
        <v>5</v>
      </c>
      <c r="Q49" s="5" t="str">
        <f>IF($A49="","",IF(AND($AP49&lt;&gt;"",$AQ49&lt;&gt;""),"D1+D2",IF($AR49&lt;&gt;"","D3","Incomplete")))</f>
        <v>D1+D2</v>
      </c>
      <c r="R49" s="17">
        <f>IF($A49="","",IF($K49="",IF($J49="","",ROUND(Lookups!$K$5+Lookups!$K$4*$J49,4)),$K49))</f>
        <v>0.197</v>
      </c>
      <c r="S49" s="5" t="str">
        <f>IF($A49="","",IF($K49="","Imputed","Original"))</f>
        <v>Original</v>
      </c>
      <c r="T49" s="5" t="str">
        <f>IF($A49="","",IF($P49="","Missing",IF($P49=$N49+$O49,"OK","Mismatch")))</f>
        <v>OK</v>
      </c>
      <c r="U49" s="5" t="str">
        <f>IF($A49="","",IF(COUNTIF($A$2:$A49,$A49)&gt;1,"Duplicate","Unique"))</f>
        <v>Unique</v>
      </c>
      <c r="V49" s="5">
        <f>IF($A49="","",IF(AND($U49="Unique",ISNUMBER($P49)),1,0))</f>
        <v>1</v>
      </c>
      <c r="W49" s="5" t="str">
        <f>IF($A49="","",IF(OR($H49=0,$H49=6),"Weekend","Weekday"))</f>
        <v>Weekday</v>
      </c>
      <c r="X49" s="5" t="str">
        <f>IF($A49="","",TEXT($B49,"ddd"))</f>
        <v>Mon</v>
      </c>
      <c r="Y49" s="5" t="str">
        <f>IF($A49="","",TEXT($B49,"mmm"))</f>
        <v>Jan</v>
      </c>
      <c r="Z49" s="5" t="str">
        <f>IF($A49="","",IFERROR(VLOOKUP($C49,Lookups!$D$4:$E$7,2,FALSE),"Unknown"))</f>
        <v>Winter</v>
      </c>
      <c r="AA49" s="5" t="str">
        <f>IF($A49="","",IFERROR(VLOOKUP($I49,Lookups!$A$4:$B$7,2,FALSE),"Unknown"))</f>
        <v>Clear</v>
      </c>
      <c r="AB49" s="5" t="str">
        <f>IF($A49="","",TEXT($F49,"00")&amp;":00")</f>
        <v>00:00</v>
      </c>
      <c r="AC49" s="5" t="str">
        <f>IF($A49="","",VLOOKUP($F49,Lookups!$G$4:$H$8,2,TRUE))</f>
        <v>Night (00-05)</v>
      </c>
      <c r="AD49" s="18">
        <f>IF($A49="","",IF($J49="","",ROUND($J49*41,1)))</f>
        <v>9</v>
      </c>
      <c r="AE49" s="18">
        <f>IF($A49="","",IF($R49="","",ROUND($R49*50,1)))</f>
        <v>9.9</v>
      </c>
      <c r="AF49" s="5">
        <f>IF($A49="","",IF($L49="","",ROUND($L49*100,0)))</f>
        <v>44</v>
      </c>
      <c r="AG49" s="18">
        <f>IF($A49="","",IF($M49="","",ROUND($M49*67,1)))</f>
        <v>24</v>
      </c>
      <c r="AH49" s="19">
        <f>IF($A49="","",IF($P49="","",IF($P49=0,0,$O49/$P49)))</f>
        <v>1</v>
      </c>
      <c r="AI49" s="5" t="str">
        <f>IF($A49="","",IF($P49="","",IF($P49&gt;=Lookups!$K$7,"High",IF($P49&lt;=Lookups!$K$8,"Low","Medium"))))</f>
        <v>Low</v>
      </c>
      <c r="AJ49" s="5" t="str">
        <f>IF($A49="","",IF($AD49="","",IF($AD49&lt;5,"Under 5 C",IF($AD49&lt;10,"5-10 C",IF($AD49&lt;15,"10-15 C","15 C and above")))))</f>
        <v>5-10 C</v>
      </c>
      <c r="AK49" s="5">
        <f>IF($A49="","",IF($P49="","",$P49^2))</f>
        <v>25</v>
      </c>
      <c r="AL49" s="18">
        <f>IF($V49&lt;&gt;1,"",AVERAGEIFS(Clean_Data!$P$2:$P$1001,Clean_Data!$F$2:$F$1001,$F49,Clean_Data!$W$2:$W$1001,$W49,Clean_Data!$V$2:$V$1001,1))</f>
        <v>10.6896551724138</v>
      </c>
      <c r="AM49" s="16">
        <f>IF($V49&lt;&gt;1,"",IFERROR(($P49-$AL49)/SQRT(MAX(0,(SUMIFS(Clean_Data!$AK$2:$AK$1001,Clean_Data!$F$2:$F$1001,$F49,Clean_Data!$W$2:$W$1001,$W49,Clean_Data!$V$2:$V$1001,1)-COUNTIFS(Clean_Data!$F$2:$F$1001,$F49,Clean_Data!$W$2:$W$1001,$W49,Clean_Data!$V$2:$V$1001,1)*$AL49^2)/(COUNTIFS(Clean_Data!$F$2:$F$1001,$F49,Clean_Data!$W$2:$W$1001,$W49,Clean_Data!$V$2:$V$1001,1)-1))),""))</f>
        <v>-1.16294858804129</v>
      </c>
      <c r="AN49" s="5" t="str">
        <f>IF($AM49="","",IF($AM49&gt;=Lookups!$K$6,"High spike",IF($AM49&lt;=-Lookups!$K$6,"Unusual low","Normal")))</f>
        <v>Normal</v>
      </c>
      <c r="AO49" s="20">
        <f>IF($V49&lt;&gt;1,"",$P49+ROW()/100000)</f>
        <v>5.00049</v>
      </c>
      <c r="AP49" s="5">
        <f>IF($A49="","",IFERROR(MATCH($A49,Raw_D1!$A$2:$A$1001,0),""))</f>
        <v>48</v>
      </c>
      <c r="AQ49" s="5">
        <f>IF($A49="","",IFERROR(MATCH($A49,Raw_D2!$B$2:$B$1001,0),""))</f>
        <v>48</v>
      </c>
      <c r="AR49" s="5">
        <f>IF($A49="","",IFERROR(MATCH($A49,Raw_D3!$A$2:$A$1001,0),""))</f>
        <v/>
      </c>
    </row>
    <row r="50" spans="1:44" x14ac:dyDescent="0.25">
      <c r="A50" s="5">
        <v>49</v>
      </c>
      <c r="B50" s="11">
        <f>IF($A50="","",IF($AP50&lt;&gt;"",INDEX(Raw_D1!$B$2:$B$1001,$AP50),IF($AR50&lt;&gt;"",INDEX(Raw_D3!$B$2:$B$1001,$AR50),"")))</f>
        <v>40546.0</v>
      </c>
      <c r="C50" s="5">
        <f>IF($A50="","",IF($AP50&lt;&gt;"",INDEX(Raw_D1!$C$2:$C$1001,$AP50),IF($AR50&lt;&gt;"",INDEX(Raw_D3!$C$2:$C$1001,$AR50),"")))</f>
        <v>1</v>
      </c>
      <c r="D50" s="5">
        <f>IF($A50="","",IF($AP50&lt;&gt;"",INDEX(Raw_D1!$D$2:$D$1001,$AP50),IF($AR50&lt;&gt;"",INDEX(Raw_D3!$D$2:$D$1001,$AR50),"")))</f>
        <v>0</v>
      </c>
      <c r="E50" s="5">
        <f>IF($A50="","",IF($AP50&lt;&gt;"",INDEX(Raw_D1!$E$2:$E$1001,$AP50),IF($AR50&lt;&gt;"",INDEX(Raw_D3!$E$2:$E$1001,$AR50),"")))</f>
        <v>1</v>
      </c>
      <c r="F50" s="5">
        <f>IF($A50="","",IF($AP50&lt;&gt;"",INDEX(Raw_D1!$F$2:$F$1001,$AP50),IF($AR50&lt;&gt;"",INDEX(Raw_D3!$F$2:$F$1001,$AR50),"")))</f>
        <v>1</v>
      </c>
      <c r="G50" s="5">
        <f>IF($A50="","",IF($AP50&lt;&gt;"",IF(INDEX(Raw_D1!$G$2:$G$1001,$AP50),1,0),IF($AR50&lt;&gt;"",IF(INDEX(Raw_D3!$G$2:$G$1001,$AR50),1,0),"")))</f>
        <v>0</v>
      </c>
      <c r="H50" s="5">
        <f>IF($A50="","",IF($AP50&lt;&gt;"",INDEX(Raw_D1!$H$2:$H$1001,$AP50),IF($AR50&lt;&gt;"",INDEX(Raw_D3!$H$2:$H$1001,$AR50),"")))</f>
        <v>1</v>
      </c>
      <c r="I50" s="5">
        <f>IF($A50="","",IF($AP50&lt;&gt;"",INDEX(Raw_D1!$I$2:$I$1001,$AP50),IF($AR50&lt;&gt;"",INDEX(Raw_D3!$I$2:$I$1001,$AR50),"")))</f>
        <v>1</v>
      </c>
      <c r="J50" s="16">
        <f>IF($A50="","",IF($AP50&lt;&gt;"",INDEX(Raw_D1!$J$2:$J$1001,$AP50),IF($AR50&lt;&gt;"",INDEX(Raw_D3!$J$2:$J$1001,$AR50),"")))</f>
        <v>0.2</v>
      </c>
      <c r="K50" s="17">
        <f>IF($A50="","",IF($AQ50&lt;&gt;"",IF(INDEX(Raw_D2!$C$2:$C$1001,$AQ50)="","",INDEX(Raw_D2!$C$2:$C$1001,$AQ50)),IF($AR50&lt;&gt;"",IF(INDEX(Raw_D3!$K$2:$K$1001,$AR50)="","",INDEX(Raw_D3!$K$2:$K$1001,$AR50)),"")))</f>
        <v/>
      </c>
      <c r="L50" s="16">
        <f>IF($A50="","",IF($AQ50&lt;&gt;"",IF(INDEX(Raw_D2!$D$2:$D$1001,$AQ50)="","",INDEX(Raw_D2!$D$2:$D$1001,$AQ50)),IF($AR50&lt;&gt;"",IF(INDEX(Raw_D3!$L$2:$L$1001,$AR50)="","",INDEX(Raw_D3!$L$2:$L$1001,$AR50)),"")))</f>
        <v>0.44</v>
      </c>
      <c r="M50" s="17">
        <f>IF($A50="","",IF($AQ50&lt;&gt;"",IF(INDEX(Raw_D2!$E$2:$E$1001,$AQ50)="","",INDEX(Raw_D2!$E$2:$E$1001,$AQ50)),IF($AR50&lt;&gt;"",IF(INDEX(Raw_D3!$M$2:$M$1001,$AR50)="","",INDEX(Raw_D3!$M$2:$M$1001,$AR50)),"")))</f>
        <v>0.4179</v>
      </c>
      <c r="N50" s="5">
        <f>IF($A50="","",IF($AQ50&lt;&gt;"",IF(INDEX(Raw_D2!$F$2:$F$1001,$AQ50)="","",INDEX(Raw_D2!$F$2:$F$1001,$AQ50)),IF($AR50&lt;&gt;"",IF(INDEX(Raw_D3!$N$2:$N$1001,$AR50)="","",INDEX(Raw_D3!$N$2:$N$1001,$AR50)),"")))</f>
        <v>0</v>
      </c>
      <c r="O50" s="5">
        <f>IF($A50="","",IF($AQ50&lt;&gt;"",IF(INDEX(Raw_D2!$G$2:$G$1001,$AQ50)="","",INDEX(Raw_D2!$G$2:$G$1001,$AQ50)),IF($AR50&lt;&gt;"",IF(INDEX(Raw_D3!$O$2:$O$1001,$AR50)="","",INDEX(Raw_D3!$O$2:$O$1001,$AR50)),"")))</f>
        <v>2</v>
      </c>
      <c r="P50" s="5">
        <f>IF($A50="","",IF($AQ50&lt;&gt;"",IF(INDEX(Raw_D2!$H$2:$H$1001,$AQ50)="","",INDEX(Raw_D2!$H$2:$H$1001,$AQ50)),IF($AR50&lt;&gt;"",IF(INDEX(Raw_D3!$P$2:$P$1001,$AR50)="","",INDEX(Raw_D3!$P$2:$P$1001,$AR50)),"")))</f>
        <v>2</v>
      </c>
      <c r="Q50" s="5" t="str">
        <f>IF($A50="","",IF(AND($AP50&lt;&gt;"",$AQ50&lt;&gt;""),"D1+D2",IF($AR50&lt;&gt;"","D3","Incomplete")))</f>
        <v>D1+D2</v>
      </c>
      <c r="R50" s="17">
        <f>IF($A50="","",IF($K50="",IF($J50="","",ROUND(Lookups!$K$5+Lookups!$K$4*$J50,4)),$K50))</f>
        <v>0.2076</v>
      </c>
      <c r="S50" s="5" t="str">
        <f>IF($A50="","",IF($K50="","Imputed","Original"))</f>
        <v>Imputed</v>
      </c>
      <c r="T50" s="5" t="str">
        <f>IF($A50="","",IF($P50="","Missing",IF($P50=$N50+$O50,"OK","Mismatch")))</f>
        <v>OK</v>
      </c>
      <c r="U50" s="5" t="str">
        <f>IF($A50="","",IF(COUNTIF($A$2:$A50,$A50)&gt;1,"Duplicate","Unique"))</f>
        <v>Unique</v>
      </c>
      <c r="V50" s="5">
        <f>IF($A50="","",IF(AND($U50="Unique",ISNUMBER($P50)),1,0))</f>
        <v>1</v>
      </c>
      <c r="W50" s="5" t="str">
        <f>IF($A50="","",IF(OR($H50=0,$H50=6),"Weekend","Weekday"))</f>
        <v>Weekday</v>
      </c>
      <c r="X50" s="5" t="str">
        <f>IF($A50="","",TEXT($B50,"ddd"))</f>
        <v>Mon</v>
      </c>
      <c r="Y50" s="5" t="str">
        <f>IF($A50="","",TEXT($B50,"mmm"))</f>
        <v>Jan</v>
      </c>
      <c r="Z50" s="5" t="str">
        <f>IF($A50="","",IFERROR(VLOOKUP($C50,Lookups!$D$4:$E$7,2,FALSE),"Unknown"))</f>
        <v>Winter</v>
      </c>
      <c r="AA50" s="5" t="str">
        <f>IF($A50="","",IFERROR(VLOOKUP($I50,Lookups!$A$4:$B$7,2,FALSE),"Unknown"))</f>
        <v>Clear</v>
      </c>
      <c r="AB50" s="5" t="str">
        <f>IF($A50="","",TEXT($F50,"00")&amp;":00")</f>
        <v>01:00</v>
      </c>
      <c r="AC50" s="5" t="str">
        <f>IF($A50="","",VLOOKUP($F50,Lookups!$G$4:$H$8,2,TRUE))</f>
        <v>Night (00-05)</v>
      </c>
      <c r="AD50" s="18">
        <f>IF($A50="","",IF($J50="","",ROUND($J50*41,1)))</f>
        <v>8.2</v>
      </c>
      <c r="AE50" s="18">
        <f>IF($A50="","",IF($R50="","",ROUND($R50*50,1)))</f>
        <v>10.4</v>
      </c>
      <c r="AF50" s="5">
        <f>IF($A50="","",IF($L50="","",ROUND($L50*100,0)))</f>
        <v>44</v>
      </c>
      <c r="AG50" s="18">
        <f>IF($A50="","",IF($M50="","",ROUND($M50*67,1)))</f>
        <v>28</v>
      </c>
      <c r="AH50" s="19">
        <f>IF($A50="","",IF($P50="","",IF($P50=0,0,$O50/$P50)))</f>
        <v>1</v>
      </c>
      <c r="AI50" s="5" t="str">
        <f>IF($A50="","",IF($P50="","",IF($P50&gt;=Lookups!$K$7,"High",IF($P50&lt;=Lookups!$K$8,"Low","Medium"))))</f>
        <v>Low</v>
      </c>
      <c r="AJ50" s="5" t="str">
        <f>IF($A50="","",IF($AD50="","",IF($AD50&lt;5,"Under 5 C",IF($AD50&lt;10,"5-10 C",IF($AD50&lt;15,"10-15 C","15 C and above")))))</f>
        <v>5-10 C</v>
      </c>
      <c r="AK50" s="5">
        <f>IF($A50="","",IF($P50="","",$P50^2))</f>
        <v>4</v>
      </c>
      <c r="AL50" s="18">
        <f>IF($V50&lt;&gt;1,"",AVERAGEIFS(Clean_Data!$P$2:$P$1001,Clean_Data!$F$2:$F$1001,$F50,Clean_Data!$W$2:$W$1001,$W50,Clean_Data!$V$2:$V$1001,1))</f>
        <v>5.10344827586207</v>
      </c>
      <c r="AM50" s="16">
        <f>IF($V50&lt;&gt;1,"",IFERROR(($P50-$AL50)/SQRT(MAX(0,(SUMIFS(Clean_Data!$AK$2:$AK$1001,Clean_Data!$F$2:$F$1001,$F50,Clean_Data!$W$2:$W$1001,$W50,Clean_Data!$V$2:$V$1001,1)-COUNTIFS(Clean_Data!$F$2:$F$1001,$F50,Clean_Data!$W$2:$W$1001,$W50,Clean_Data!$V$2:$V$1001,1)*$AL50^2)/(COUNTIFS(Clean_Data!$F$2:$F$1001,$F50,Clean_Data!$W$2:$W$1001,$W50,Clean_Data!$V$2:$V$1001,1)-1))),""))</f>
        <v>-1.07655194320642</v>
      </c>
      <c r="AN50" s="5" t="str">
        <f>IF($AM50="","",IF($AM50&gt;=Lookups!$K$6,"High spike",IF($AM50&lt;=-Lookups!$K$6,"Unusual low","Normal")))</f>
        <v>Normal</v>
      </c>
      <c r="AO50" s="20">
        <f>IF($V50&lt;&gt;1,"",$P50+ROW()/100000)</f>
        <v>2.0005</v>
      </c>
      <c r="AP50" s="5">
        <f>IF($A50="","",IFERROR(MATCH($A50,Raw_D1!$A$2:$A$1001,0),""))</f>
        <v>49</v>
      </c>
      <c r="AQ50" s="5">
        <f>IF($A50="","",IFERROR(MATCH($A50,Raw_D2!$B$2:$B$1001,0),""))</f>
        <v>49</v>
      </c>
      <c r="AR50" s="5">
        <f>IF($A50="","",IFERROR(MATCH($A50,Raw_D3!$A$2:$A$1001,0),""))</f>
        <v/>
      </c>
    </row>
    <row r="51" spans="1:44" x14ac:dyDescent="0.25">
      <c r="A51" s="5">
        <v>50</v>
      </c>
      <c r="B51" s="11">
        <f>IF($A51="","",IF($AP51&lt;&gt;"",INDEX(Raw_D1!$B$2:$B$1001,$AP51),IF($AR51&lt;&gt;"",INDEX(Raw_D3!$B$2:$B$1001,$AR51),"")))</f>
        <v>40546.0</v>
      </c>
      <c r="C51" s="5">
        <f>IF($A51="","",IF($AP51&lt;&gt;"",INDEX(Raw_D1!$C$2:$C$1001,$AP51),IF($AR51&lt;&gt;"",INDEX(Raw_D3!$C$2:$C$1001,$AR51),"")))</f>
        <v>1</v>
      </c>
      <c r="D51" s="5">
        <f>IF($A51="","",IF($AP51&lt;&gt;"",INDEX(Raw_D1!$D$2:$D$1001,$AP51),IF($AR51&lt;&gt;"",INDEX(Raw_D3!$D$2:$D$1001,$AR51),"")))</f>
        <v>0</v>
      </c>
      <c r="E51" s="5">
        <f>IF($A51="","",IF($AP51&lt;&gt;"",INDEX(Raw_D1!$E$2:$E$1001,$AP51),IF($AR51&lt;&gt;"",INDEX(Raw_D3!$E$2:$E$1001,$AR51),"")))</f>
        <v>1</v>
      </c>
      <c r="F51" s="5">
        <f>IF($A51="","",IF($AP51&lt;&gt;"",INDEX(Raw_D1!$F$2:$F$1001,$AP51),IF($AR51&lt;&gt;"",INDEX(Raw_D3!$F$2:$F$1001,$AR51),"")))</f>
        <v>4</v>
      </c>
      <c r="G51" s="5">
        <f>IF($A51="","",IF($AP51&lt;&gt;"",IF(INDEX(Raw_D1!$G$2:$G$1001,$AP51),1,0),IF($AR51&lt;&gt;"",IF(INDEX(Raw_D3!$G$2:$G$1001,$AR51),1,0),"")))</f>
        <v>0</v>
      </c>
      <c r="H51" s="5">
        <f>IF($A51="","",IF($AP51&lt;&gt;"",INDEX(Raw_D1!$H$2:$H$1001,$AP51),IF($AR51&lt;&gt;"",INDEX(Raw_D3!$H$2:$H$1001,$AR51),"")))</f>
        <v>1</v>
      </c>
      <c r="I51" s="5">
        <f>IF($A51="","",IF($AP51&lt;&gt;"",INDEX(Raw_D1!$I$2:$I$1001,$AP51),IF($AR51&lt;&gt;"",INDEX(Raw_D3!$I$2:$I$1001,$AR51),"")))</f>
        <v>1</v>
      </c>
      <c r="J51" s="16">
        <f>IF($A51="","",IF($AP51&lt;&gt;"",INDEX(Raw_D1!$J$2:$J$1001,$AP51),IF($AR51&lt;&gt;"",INDEX(Raw_D3!$J$2:$J$1001,$AR51),"")))</f>
        <v>0.16</v>
      </c>
      <c r="K51" s="17">
        <f>IF($A51="","",IF($AQ51&lt;&gt;"",IF(INDEX(Raw_D2!$C$2:$C$1001,$AQ51)="","",INDEX(Raw_D2!$C$2:$C$1001,$AQ51)),IF($AR51&lt;&gt;"",IF(INDEX(Raw_D3!$K$2:$K$1001,$AR51)="","",INDEX(Raw_D3!$K$2:$K$1001,$AR51)),"")))</f>
        <v>0.1364</v>
      </c>
      <c r="L51" s="16">
        <f>IF($A51="","",IF($AQ51&lt;&gt;"",IF(INDEX(Raw_D2!$D$2:$D$1001,$AQ51)="","",INDEX(Raw_D2!$D$2:$D$1001,$AQ51)),IF($AR51&lt;&gt;"",IF(INDEX(Raw_D3!$L$2:$L$1001,$AR51)="","",INDEX(Raw_D3!$L$2:$L$1001,$AR51)),"")))</f>
        <v>0.47</v>
      </c>
      <c r="M51" s="17">
        <f>IF($A51="","",IF($AQ51&lt;&gt;"",IF(INDEX(Raw_D2!$E$2:$E$1001,$AQ51)="","",INDEX(Raw_D2!$E$2:$E$1001,$AQ51)),IF($AR51&lt;&gt;"",IF(INDEX(Raw_D3!$M$2:$M$1001,$AR51)="","",INDEX(Raw_D3!$M$2:$M$1001,$AR51)),"")))</f>
        <v>0.3881</v>
      </c>
      <c r="N51" s="5">
        <f>IF($A51="","",IF($AQ51&lt;&gt;"",IF(INDEX(Raw_D2!$F$2:$F$1001,$AQ51)="","",INDEX(Raw_D2!$F$2:$F$1001,$AQ51)),IF($AR51&lt;&gt;"",IF(INDEX(Raw_D3!$N$2:$N$1001,$AR51)="","",INDEX(Raw_D3!$N$2:$N$1001,$AR51)),"")))</f>
        <v>0</v>
      </c>
      <c r="O51" s="5">
        <f>IF($A51="","",IF($AQ51&lt;&gt;"",IF(INDEX(Raw_D2!$G$2:$G$1001,$AQ51)="","",INDEX(Raw_D2!$G$2:$G$1001,$AQ51)),IF($AR51&lt;&gt;"",IF(INDEX(Raw_D3!$O$2:$O$1001,$AR51)="","",INDEX(Raw_D3!$O$2:$O$1001,$AR51)),"")))</f>
        <v>1</v>
      </c>
      <c r="P51" s="5">
        <f>IF($A51="","",IF($AQ51&lt;&gt;"",IF(INDEX(Raw_D2!$H$2:$H$1001,$AQ51)="","",INDEX(Raw_D2!$H$2:$H$1001,$AQ51)),IF($AR51&lt;&gt;"",IF(INDEX(Raw_D3!$P$2:$P$1001,$AR51)="","",INDEX(Raw_D3!$P$2:$P$1001,$AR51)),"")))</f>
        <v>1</v>
      </c>
      <c r="Q51" s="5" t="str">
        <f>IF($A51="","",IF(AND($AP51&lt;&gt;"",$AQ51&lt;&gt;""),"D1+D2",IF($AR51&lt;&gt;"","D3","Incomplete")))</f>
        <v>D1+D2</v>
      </c>
      <c r="R51" s="17">
        <f>IF($A51="","",IF($K51="",IF($J51="","",ROUND(Lookups!$K$5+Lookups!$K$4*$J51,4)),$K51))</f>
        <v>0.1364</v>
      </c>
      <c r="S51" s="5" t="str">
        <f>IF($A51="","",IF($K51="","Imputed","Original"))</f>
        <v>Original</v>
      </c>
      <c r="T51" s="5" t="str">
        <f>IF($A51="","",IF($P51="","Missing",IF($P51=$N51+$O51,"OK","Mismatch")))</f>
        <v>OK</v>
      </c>
      <c r="U51" s="5" t="str">
        <f>IF($A51="","",IF(COUNTIF($A$2:$A51,$A51)&gt;1,"Duplicate","Unique"))</f>
        <v>Unique</v>
      </c>
      <c r="V51" s="5">
        <f>IF($A51="","",IF(AND($U51="Unique",ISNUMBER($P51)),1,0))</f>
        <v>1</v>
      </c>
      <c r="W51" s="5" t="str">
        <f>IF($A51="","",IF(OR($H51=0,$H51=6),"Weekend","Weekday"))</f>
        <v>Weekday</v>
      </c>
      <c r="X51" s="5" t="str">
        <f>IF($A51="","",TEXT($B51,"ddd"))</f>
        <v>Mon</v>
      </c>
      <c r="Y51" s="5" t="str">
        <f>IF($A51="","",TEXT($B51,"mmm"))</f>
        <v>Jan</v>
      </c>
      <c r="Z51" s="5" t="str">
        <f>IF($A51="","",IFERROR(VLOOKUP($C51,Lookups!$D$4:$E$7,2,FALSE),"Unknown"))</f>
        <v>Winter</v>
      </c>
      <c r="AA51" s="5" t="str">
        <f>IF($A51="","",IFERROR(VLOOKUP($I51,Lookups!$A$4:$B$7,2,FALSE),"Unknown"))</f>
        <v>Clear</v>
      </c>
      <c r="AB51" s="5" t="str">
        <f>IF($A51="","",TEXT($F51,"00")&amp;":00")</f>
        <v>04:00</v>
      </c>
      <c r="AC51" s="5" t="str">
        <f>IF($A51="","",VLOOKUP($F51,Lookups!$G$4:$H$8,2,TRUE))</f>
        <v>Night (00-05)</v>
      </c>
      <c r="AD51" s="18">
        <f>IF($A51="","",IF($J51="","",ROUND($J51*41,1)))</f>
        <v>6.6</v>
      </c>
      <c r="AE51" s="18">
        <f>IF($A51="","",IF($R51="","",ROUND($R51*50,1)))</f>
        <v>6.8</v>
      </c>
      <c r="AF51" s="5">
        <f>IF($A51="","",IF($L51="","",ROUND($L51*100,0)))</f>
        <v>47</v>
      </c>
      <c r="AG51" s="18">
        <f>IF($A51="","",IF($M51="","",ROUND($M51*67,1)))</f>
        <v>26</v>
      </c>
      <c r="AH51" s="19">
        <f>IF($A51="","",IF($P51="","",IF($P51=0,0,$O51/$P51)))</f>
        <v>1</v>
      </c>
      <c r="AI51" s="5" t="str">
        <f>IF($A51="","",IF($P51="","",IF($P51&gt;=Lookups!$K$7,"High",IF($P51&lt;=Lookups!$K$8,"Low","Medium"))))</f>
        <v>Low</v>
      </c>
      <c r="AJ51" s="5" t="str">
        <f>IF($A51="","",IF($AD51="","",IF($AD51&lt;5,"Under 5 C",IF($AD51&lt;10,"5-10 C",IF($AD51&lt;15,"10-15 C","15 C and above")))))</f>
        <v>5-10 C</v>
      </c>
      <c r="AK51" s="5">
        <f>IF($A51="","",IF($P51="","",$P51^2))</f>
        <v>1</v>
      </c>
      <c r="AL51" s="18">
        <f>IF($V51&lt;&gt;1,"",AVERAGEIFS(Clean_Data!$P$2:$P$1001,Clean_Data!$F$2:$F$1001,$F51,Clean_Data!$W$2:$W$1001,$W51,Clean_Data!$V$2:$V$1001,1))</f>
        <v>1.78947368421053</v>
      </c>
      <c r="AM51" s="16">
        <f>IF($V51&lt;&gt;1,"",IFERROR(($P51-$AL51)/SQRT(MAX(0,(SUMIFS(Clean_Data!$AK$2:$AK$1001,Clean_Data!$F$2:$F$1001,$F51,Clean_Data!$W$2:$W$1001,$W51,Clean_Data!$V$2:$V$1001,1)-COUNTIFS(Clean_Data!$F$2:$F$1001,$F51,Clean_Data!$W$2:$W$1001,$W51,Clean_Data!$V$2:$V$1001,1)*$AL51^2)/(COUNTIFS(Clean_Data!$F$2:$F$1001,$F51,Clean_Data!$W$2:$W$1001,$W51,Clean_Data!$V$2:$V$1001,1)-1))),""))</f>
        <v>-0.860309002014607</v>
      </c>
      <c r="AN51" s="5" t="str">
        <f>IF($AM51="","",IF($AM51&gt;=Lookups!$K$6,"High spike",IF($AM51&lt;=-Lookups!$K$6,"Unusual low","Normal")))</f>
        <v>Normal</v>
      </c>
      <c r="AO51" s="20">
        <f>IF($V51&lt;&gt;1,"",$P51+ROW()/100000)</f>
        <v>1.00051</v>
      </c>
      <c r="AP51" s="5">
        <f>IF($A51="","",IFERROR(MATCH($A51,Raw_D1!$A$2:$A$1001,0),""))</f>
        <v>50</v>
      </c>
      <c r="AQ51" s="5">
        <f>IF($A51="","",IFERROR(MATCH($A51,Raw_D2!$B$2:$B$1001,0),""))</f>
        <v>50</v>
      </c>
      <c r="AR51" s="5">
        <f>IF($A51="","",IFERROR(MATCH($A51,Raw_D3!$A$2:$A$1001,0),""))</f>
        <v/>
      </c>
    </row>
    <row r="52" spans="1:44" x14ac:dyDescent="0.25">
      <c r="A52" s="5">
        <v>51</v>
      </c>
      <c r="B52" s="11">
        <f>IF($A52="","",IF($AP52&lt;&gt;"",INDEX(Raw_D1!$B$2:$B$1001,$AP52),IF($AR52&lt;&gt;"",INDEX(Raw_D3!$B$2:$B$1001,$AR52),"")))</f>
        <v>40546.0</v>
      </c>
      <c r="C52" s="5">
        <f>IF($A52="","",IF($AP52&lt;&gt;"",INDEX(Raw_D1!$C$2:$C$1001,$AP52),IF($AR52&lt;&gt;"",INDEX(Raw_D3!$C$2:$C$1001,$AR52),"")))</f>
        <v>1</v>
      </c>
      <c r="D52" s="5">
        <f>IF($A52="","",IF($AP52&lt;&gt;"",INDEX(Raw_D1!$D$2:$D$1001,$AP52),IF($AR52&lt;&gt;"",INDEX(Raw_D3!$D$2:$D$1001,$AR52),"")))</f>
        <v>0</v>
      </c>
      <c r="E52" s="5">
        <f>IF($A52="","",IF($AP52&lt;&gt;"",INDEX(Raw_D1!$E$2:$E$1001,$AP52),IF($AR52&lt;&gt;"",INDEX(Raw_D3!$E$2:$E$1001,$AR52),"")))</f>
        <v>1</v>
      </c>
      <c r="F52" s="5">
        <f>IF($A52="","",IF($AP52&lt;&gt;"",INDEX(Raw_D1!$F$2:$F$1001,$AP52),IF($AR52&lt;&gt;"",INDEX(Raw_D3!$F$2:$F$1001,$AR52),"")))</f>
        <v>5</v>
      </c>
      <c r="G52" s="5">
        <f>IF($A52="","",IF($AP52&lt;&gt;"",IF(INDEX(Raw_D1!$G$2:$G$1001,$AP52),1,0),IF($AR52&lt;&gt;"",IF(INDEX(Raw_D3!$G$2:$G$1001,$AR52),1,0),"")))</f>
        <v>0</v>
      </c>
      <c r="H52" s="5">
        <f>IF($A52="","",IF($AP52&lt;&gt;"",INDEX(Raw_D1!$H$2:$H$1001,$AP52),IF($AR52&lt;&gt;"",INDEX(Raw_D3!$H$2:$H$1001,$AR52),"")))</f>
        <v>1</v>
      </c>
      <c r="I52" s="5">
        <f>IF($A52="","",IF($AP52&lt;&gt;"",INDEX(Raw_D1!$I$2:$I$1001,$AP52),IF($AR52&lt;&gt;"",INDEX(Raw_D3!$I$2:$I$1001,$AR52),"")))</f>
        <v>1</v>
      </c>
      <c r="J52" s="16">
        <f>IF($A52="","",IF($AP52&lt;&gt;"",INDEX(Raw_D1!$J$2:$J$1001,$AP52),IF($AR52&lt;&gt;"",INDEX(Raw_D3!$J$2:$J$1001,$AR52),"")))</f>
        <v>0.16</v>
      </c>
      <c r="K52" s="17">
        <f>IF($A52="","",IF($AQ52&lt;&gt;"",IF(INDEX(Raw_D2!$C$2:$C$1001,$AQ52)="","",INDEX(Raw_D2!$C$2:$C$1001,$AQ52)),IF($AR52&lt;&gt;"",IF(INDEX(Raw_D3!$K$2:$K$1001,$AR52)="","",INDEX(Raw_D3!$K$2:$K$1001,$AR52)),"")))</f>
        <v>0.1364</v>
      </c>
      <c r="L52" s="16">
        <f>IF($A52="","",IF($AQ52&lt;&gt;"",IF(INDEX(Raw_D2!$D$2:$D$1001,$AQ52)="","",INDEX(Raw_D2!$D$2:$D$1001,$AQ52)),IF($AR52&lt;&gt;"",IF(INDEX(Raw_D3!$L$2:$L$1001,$AR52)="","",INDEX(Raw_D3!$L$2:$L$1001,$AR52)),"")))</f>
        <v>0.47</v>
      </c>
      <c r="M52" s="17">
        <f>IF($A52="","",IF($AQ52&lt;&gt;"",IF(INDEX(Raw_D2!$E$2:$E$1001,$AQ52)="","",INDEX(Raw_D2!$E$2:$E$1001,$AQ52)),IF($AR52&lt;&gt;"",IF(INDEX(Raw_D3!$M$2:$M$1001,$AR52)="","",INDEX(Raw_D3!$M$2:$M$1001,$AR52)),"")))</f>
        <v>0.2836</v>
      </c>
      <c r="N52" s="5">
        <f>IF($A52="","",IF($AQ52&lt;&gt;"",IF(INDEX(Raw_D2!$F$2:$F$1001,$AQ52)="","",INDEX(Raw_D2!$F$2:$F$1001,$AQ52)),IF($AR52&lt;&gt;"",IF(INDEX(Raw_D3!$N$2:$N$1001,$AR52)="","",INDEX(Raw_D3!$N$2:$N$1001,$AR52)),"")))</f>
        <v>0</v>
      </c>
      <c r="O52" s="5">
        <f>IF($A52="","",IF($AQ52&lt;&gt;"",IF(INDEX(Raw_D2!$G$2:$G$1001,$AQ52)="","",INDEX(Raw_D2!$G$2:$G$1001,$AQ52)),IF($AR52&lt;&gt;"",IF(INDEX(Raw_D3!$O$2:$O$1001,$AR52)="","",INDEX(Raw_D3!$O$2:$O$1001,$AR52)),"")))</f>
        <v>3</v>
      </c>
      <c r="P52" s="5">
        <f>IF($A52="","",IF($AQ52&lt;&gt;"",IF(INDEX(Raw_D2!$H$2:$H$1001,$AQ52)="","",INDEX(Raw_D2!$H$2:$H$1001,$AQ52)),IF($AR52&lt;&gt;"",IF(INDEX(Raw_D3!$P$2:$P$1001,$AR52)="","",INDEX(Raw_D3!$P$2:$P$1001,$AR52)),"")))</f>
        <v>3</v>
      </c>
      <c r="Q52" s="5" t="str">
        <f>IF($A52="","",IF(AND($AP52&lt;&gt;"",$AQ52&lt;&gt;""),"D1+D2",IF($AR52&lt;&gt;"","D3","Incomplete")))</f>
        <v>D1+D2</v>
      </c>
      <c r="R52" s="17">
        <f>IF($A52="","",IF($K52="",IF($J52="","",ROUND(Lookups!$K$5+Lookups!$K$4*$J52,4)),$K52))</f>
        <v>0.1364</v>
      </c>
      <c r="S52" s="5" t="str">
        <f>IF($A52="","",IF($K52="","Imputed","Original"))</f>
        <v>Original</v>
      </c>
      <c r="T52" s="5" t="str">
        <f>IF($A52="","",IF($P52="","Missing",IF($P52=$N52+$O52,"OK","Mismatch")))</f>
        <v>OK</v>
      </c>
      <c r="U52" s="5" t="str">
        <f>IF($A52="","",IF(COUNTIF($A$2:$A52,$A52)&gt;1,"Duplicate","Unique"))</f>
        <v>Unique</v>
      </c>
      <c r="V52" s="5">
        <f>IF($A52="","",IF(AND($U52="Unique",ISNUMBER($P52)),1,0))</f>
        <v>1</v>
      </c>
      <c r="W52" s="5" t="str">
        <f>IF($A52="","",IF(OR($H52=0,$H52=6),"Weekend","Weekday"))</f>
        <v>Weekday</v>
      </c>
      <c r="X52" s="5" t="str">
        <f>IF($A52="","",TEXT($B52,"ddd"))</f>
        <v>Mon</v>
      </c>
      <c r="Y52" s="5" t="str">
        <f>IF($A52="","",TEXT($B52,"mmm"))</f>
        <v>Jan</v>
      </c>
      <c r="Z52" s="5" t="str">
        <f>IF($A52="","",IFERROR(VLOOKUP($C52,Lookups!$D$4:$E$7,2,FALSE),"Unknown"))</f>
        <v>Winter</v>
      </c>
      <c r="AA52" s="5" t="str">
        <f>IF($A52="","",IFERROR(VLOOKUP($I52,Lookups!$A$4:$B$7,2,FALSE),"Unknown"))</f>
        <v>Clear</v>
      </c>
      <c r="AB52" s="5" t="str">
        <f>IF($A52="","",TEXT($F52,"00")&amp;":00")</f>
        <v>05:00</v>
      </c>
      <c r="AC52" s="5" t="str">
        <f>IF($A52="","",VLOOKUP($F52,Lookups!$G$4:$H$8,2,TRUE))</f>
        <v>Night (00-05)</v>
      </c>
      <c r="AD52" s="18">
        <f>IF($A52="","",IF($J52="","",ROUND($J52*41,1)))</f>
        <v>6.6</v>
      </c>
      <c r="AE52" s="18">
        <f>IF($A52="","",IF($R52="","",ROUND($R52*50,1)))</f>
        <v>6.8</v>
      </c>
      <c r="AF52" s="5">
        <f>IF($A52="","",IF($L52="","",ROUND($L52*100,0)))</f>
        <v>47</v>
      </c>
      <c r="AG52" s="18">
        <f>IF($A52="","",IF($M52="","",ROUND($M52*67,1)))</f>
        <v>19</v>
      </c>
      <c r="AH52" s="19">
        <f>IF($A52="","",IF($P52="","",IF($P52=0,0,$O52/$P52)))</f>
        <v>1</v>
      </c>
      <c r="AI52" s="5" t="str">
        <f>IF($A52="","",IF($P52="","",IF($P52&gt;=Lookups!$K$7,"High",IF($P52&lt;=Lookups!$K$8,"Low","Medium"))))</f>
        <v>Low</v>
      </c>
      <c r="AJ52" s="5" t="str">
        <f>IF($A52="","",IF($AD52="","",IF($AD52&lt;5,"Under 5 C",IF($AD52&lt;10,"5-10 C",IF($AD52&lt;15,"10-15 C","15 C and above")))))</f>
        <v>5-10 C</v>
      </c>
      <c r="AK52" s="5">
        <f>IF($A52="","",IF($P52="","",$P52^2))</f>
        <v>9</v>
      </c>
      <c r="AL52" s="18">
        <f>IF($V52&lt;&gt;1,"",AVERAGEIFS(Clean_Data!$P$2:$P$1001,Clean_Data!$F$2:$F$1001,$F52,Clean_Data!$W$2:$W$1001,$W52,Clean_Data!$V$2:$V$1001,1))</f>
        <v>4.72413793103448</v>
      </c>
      <c r="AM52" s="16">
        <f>IF($V52&lt;&gt;1,"",IFERROR(($P52-$AL52)/SQRT(MAX(0,(SUMIFS(Clean_Data!$AK$2:$AK$1001,Clean_Data!$F$2:$F$1001,$F52,Clean_Data!$W$2:$W$1001,$W52,Clean_Data!$V$2:$V$1001,1)-COUNTIFS(Clean_Data!$F$2:$F$1001,$F52,Clean_Data!$W$2:$W$1001,$W52,Clean_Data!$V$2:$V$1001,1)*$AL52^2)/(COUNTIFS(Clean_Data!$F$2:$F$1001,$F52,Clean_Data!$W$2:$W$1001,$W52,Clean_Data!$V$2:$V$1001,1)-1))),""))</f>
        <v>-0.735669230034663</v>
      </c>
      <c r="AN52" s="5" t="str">
        <f>IF($AM52="","",IF($AM52&gt;=Lookups!$K$6,"High spike",IF($AM52&lt;=-Lookups!$K$6,"Unusual low","Normal")))</f>
        <v>Normal</v>
      </c>
      <c r="AO52" s="20">
        <f>IF($V52&lt;&gt;1,"",$P52+ROW()/100000)</f>
        <v>3.00052</v>
      </c>
      <c r="AP52" s="5">
        <f>IF($A52="","",IFERROR(MATCH($A52,Raw_D1!$A$2:$A$1001,0),""))</f>
        <v>51</v>
      </c>
      <c r="AQ52" s="5">
        <f>IF($A52="","",IFERROR(MATCH($A52,Raw_D2!$B$2:$B$1001,0),""))</f>
        <v>51</v>
      </c>
      <c r="AR52" s="5">
        <f>IF($A52="","",IFERROR(MATCH($A52,Raw_D3!$A$2:$A$1001,0),""))</f>
        <v/>
      </c>
    </row>
    <row r="53" spans="1:44" x14ac:dyDescent="0.25">
      <c r="A53" s="5">
        <v>52</v>
      </c>
      <c r="B53" s="11">
        <f>IF($A53="","",IF($AP53&lt;&gt;"",INDEX(Raw_D1!$B$2:$B$1001,$AP53),IF($AR53&lt;&gt;"",INDEX(Raw_D3!$B$2:$B$1001,$AR53),"")))</f>
        <v>40546.0</v>
      </c>
      <c r="C53" s="5">
        <f>IF($A53="","",IF($AP53&lt;&gt;"",INDEX(Raw_D1!$C$2:$C$1001,$AP53),IF($AR53&lt;&gt;"",INDEX(Raw_D3!$C$2:$C$1001,$AR53),"")))</f>
        <v>1</v>
      </c>
      <c r="D53" s="5">
        <f>IF($A53="","",IF($AP53&lt;&gt;"",INDEX(Raw_D1!$D$2:$D$1001,$AP53),IF($AR53&lt;&gt;"",INDEX(Raw_D3!$D$2:$D$1001,$AR53),"")))</f>
        <v>0</v>
      </c>
      <c r="E53" s="5">
        <f>IF($A53="","",IF($AP53&lt;&gt;"",INDEX(Raw_D1!$E$2:$E$1001,$AP53),IF($AR53&lt;&gt;"",INDEX(Raw_D3!$E$2:$E$1001,$AR53),"")))</f>
        <v>1</v>
      </c>
      <c r="F53" s="5">
        <f>IF($A53="","",IF($AP53&lt;&gt;"",INDEX(Raw_D1!$F$2:$F$1001,$AP53),IF($AR53&lt;&gt;"",INDEX(Raw_D3!$F$2:$F$1001,$AR53),"")))</f>
        <v>6</v>
      </c>
      <c r="G53" s="5">
        <f>IF($A53="","",IF($AP53&lt;&gt;"",IF(INDEX(Raw_D1!$G$2:$G$1001,$AP53),1,0),IF($AR53&lt;&gt;"",IF(INDEX(Raw_D3!$G$2:$G$1001,$AR53),1,0),"")))</f>
        <v>0</v>
      </c>
      <c r="H53" s="5">
        <f>IF($A53="","",IF($AP53&lt;&gt;"",INDEX(Raw_D1!$H$2:$H$1001,$AP53),IF($AR53&lt;&gt;"",INDEX(Raw_D3!$H$2:$H$1001,$AR53),"")))</f>
        <v>1</v>
      </c>
      <c r="I53" s="5">
        <f>IF($A53="","",IF($AP53&lt;&gt;"",INDEX(Raw_D1!$I$2:$I$1001,$AP53),IF($AR53&lt;&gt;"",INDEX(Raw_D3!$I$2:$I$1001,$AR53),"")))</f>
        <v>1</v>
      </c>
      <c r="J53" s="16">
        <f>IF($A53="","",IF($AP53&lt;&gt;"",INDEX(Raw_D1!$J$2:$J$1001,$AP53),IF($AR53&lt;&gt;"",INDEX(Raw_D3!$J$2:$J$1001,$AR53),"")))</f>
        <v>0.14</v>
      </c>
      <c r="K53" s="17">
        <f>IF($A53="","",IF($AQ53&lt;&gt;"",IF(INDEX(Raw_D2!$C$2:$C$1001,$AQ53)="","",INDEX(Raw_D2!$C$2:$C$1001,$AQ53)),IF($AR53&lt;&gt;"",IF(INDEX(Raw_D3!$K$2:$K$1001,$AR53)="","",INDEX(Raw_D3!$K$2:$K$1001,$AR53)),"")))</f>
        <v>0.1061</v>
      </c>
      <c r="L53" s="16">
        <f>IF($A53="","",IF($AQ53&lt;&gt;"",IF(INDEX(Raw_D2!$D$2:$D$1001,$AQ53)="","",INDEX(Raw_D2!$D$2:$D$1001,$AQ53)),IF($AR53&lt;&gt;"",IF(INDEX(Raw_D3!$L$2:$L$1001,$AR53)="","",INDEX(Raw_D3!$L$2:$L$1001,$AR53)),"")))</f>
        <v>0.5</v>
      </c>
      <c r="M53" s="17">
        <f>IF($A53="","",IF($AQ53&lt;&gt;"",IF(INDEX(Raw_D2!$E$2:$E$1001,$AQ53)="","",INDEX(Raw_D2!$E$2:$E$1001,$AQ53)),IF($AR53&lt;&gt;"",IF(INDEX(Raw_D3!$M$2:$M$1001,$AR53)="","",INDEX(Raw_D3!$M$2:$M$1001,$AR53)),"")))</f>
        <v>0.3881</v>
      </c>
      <c r="N53" s="5">
        <f>IF($A53="","",IF($AQ53&lt;&gt;"",IF(INDEX(Raw_D2!$F$2:$F$1001,$AQ53)="","",INDEX(Raw_D2!$F$2:$F$1001,$AQ53)),IF($AR53&lt;&gt;"",IF(INDEX(Raw_D3!$N$2:$N$1001,$AR53)="","",INDEX(Raw_D3!$N$2:$N$1001,$AR53)),"")))</f>
        <v>0</v>
      </c>
      <c r="O53" s="5">
        <f>IF($A53="","",IF($AQ53&lt;&gt;"",IF(INDEX(Raw_D2!$G$2:$G$1001,$AQ53)="","",INDEX(Raw_D2!$G$2:$G$1001,$AQ53)),IF($AR53&lt;&gt;"",IF(INDEX(Raw_D3!$O$2:$O$1001,$AR53)="","",INDEX(Raw_D3!$O$2:$O$1001,$AR53)),"")))</f>
        <v>30</v>
      </c>
      <c r="P53" s="5">
        <f>IF($A53="","",IF($AQ53&lt;&gt;"",IF(INDEX(Raw_D2!$H$2:$H$1001,$AQ53)="","",INDEX(Raw_D2!$H$2:$H$1001,$AQ53)),IF($AR53&lt;&gt;"",IF(INDEX(Raw_D3!$P$2:$P$1001,$AR53)="","",INDEX(Raw_D3!$P$2:$P$1001,$AR53)),"")))</f>
        <v>30</v>
      </c>
      <c r="Q53" s="5" t="str">
        <f>IF($A53="","",IF(AND($AP53&lt;&gt;"",$AQ53&lt;&gt;""),"D1+D2",IF($AR53&lt;&gt;"","D3","Incomplete")))</f>
        <v>D1+D2</v>
      </c>
      <c r="R53" s="17">
        <f>IF($A53="","",IF($K53="",IF($J53="","",ROUND(Lookups!$K$5+Lookups!$K$4*$J53,4)),$K53))</f>
        <v>0.1061</v>
      </c>
      <c r="S53" s="5" t="str">
        <f>IF($A53="","",IF($K53="","Imputed","Original"))</f>
        <v>Original</v>
      </c>
      <c r="T53" s="5" t="str">
        <f>IF($A53="","",IF($P53="","Missing",IF($P53=$N53+$O53,"OK","Mismatch")))</f>
        <v>OK</v>
      </c>
      <c r="U53" s="5" t="str">
        <f>IF($A53="","",IF(COUNTIF($A$2:$A53,$A53)&gt;1,"Duplicate","Unique"))</f>
        <v>Unique</v>
      </c>
      <c r="V53" s="5">
        <f>IF($A53="","",IF(AND($U53="Unique",ISNUMBER($P53)),1,0))</f>
        <v>1</v>
      </c>
      <c r="W53" s="5" t="str">
        <f>IF($A53="","",IF(OR($H53=0,$H53=6),"Weekend","Weekday"))</f>
        <v>Weekday</v>
      </c>
      <c r="X53" s="5" t="str">
        <f>IF($A53="","",TEXT($B53,"ddd"))</f>
        <v>Mon</v>
      </c>
      <c r="Y53" s="5" t="str">
        <f>IF($A53="","",TEXT($B53,"mmm"))</f>
        <v>Jan</v>
      </c>
      <c r="Z53" s="5" t="str">
        <f>IF($A53="","",IFERROR(VLOOKUP($C53,Lookups!$D$4:$E$7,2,FALSE),"Unknown"))</f>
        <v>Winter</v>
      </c>
      <c r="AA53" s="5" t="str">
        <f>IF($A53="","",IFERROR(VLOOKUP($I53,Lookups!$A$4:$B$7,2,FALSE),"Unknown"))</f>
        <v>Clear</v>
      </c>
      <c r="AB53" s="5" t="str">
        <f>IF($A53="","",TEXT($F53,"00")&amp;":00")</f>
        <v>06:00</v>
      </c>
      <c r="AC53" s="5" t="str">
        <f>IF($A53="","",VLOOKUP($F53,Lookups!$G$4:$H$8,2,TRUE))</f>
        <v>Morning Peak (06-09)</v>
      </c>
      <c r="AD53" s="18">
        <f>IF($A53="","",IF($J53="","",ROUND($J53*41,1)))</f>
        <v>5.7</v>
      </c>
      <c r="AE53" s="18">
        <f>IF($A53="","",IF($R53="","",ROUND($R53*50,1)))</f>
        <v>5.3</v>
      </c>
      <c r="AF53" s="5">
        <f>IF($A53="","",IF($L53="","",ROUND($L53*100,0)))</f>
        <v>50</v>
      </c>
      <c r="AG53" s="18">
        <f>IF($A53="","",IF($M53="","",ROUND($M53*67,1)))</f>
        <v>26</v>
      </c>
      <c r="AH53" s="19">
        <f>IF($A53="","",IF($P53="","",IF($P53=0,0,$O53/$P53)))</f>
        <v>1</v>
      </c>
      <c r="AI53" s="5" t="str">
        <f>IF($A53="","",IF($P53="","",IF($P53&gt;=Lookups!$K$7,"High",IF($P53&lt;=Lookups!$K$8,"Low","Medium"))))</f>
        <v>Medium</v>
      </c>
      <c r="AJ53" s="5" t="str">
        <f>IF($A53="","",IF($AD53="","",IF($AD53&lt;5,"Under 5 C",IF($AD53&lt;10,"5-10 C",IF($AD53&lt;15,"10-15 C","15 C and above")))))</f>
        <v>5-10 C</v>
      </c>
      <c r="AK53" s="5">
        <f>IF($A53="","",IF($P53="","",$P53^2))</f>
        <v>900</v>
      </c>
      <c r="AL53" s="18">
        <f>IF($V53&lt;&gt;1,"",AVERAGEIFS(Clean_Data!$P$2:$P$1001,Clean_Data!$F$2:$F$1001,$F53,Clean_Data!$W$2:$W$1001,$W53,Clean_Data!$V$2:$V$1001,1))</f>
        <v>27.3793103448276</v>
      </c>
      <c r="AM53" s="16">
        <f>IF($V53&lt;&gt;1,"",IFERROR(($P53-$AL53)/SQRT(MAX(0,(SUMIFS(Clean_Data!$AK$2:$AK$1001,Clean_Data!$F$2:$F$1001,$F53,Clean_Data!$W$2:$W$1001,$W53,Clean_Data!$V$2:$V$1001,1)-COUNTIFS(Clean_Data!$F$2:$F$1001,$F53,Clean_Data!$W$2:$W$1001,$W53,Clean_Data!$V$2:$V$1001,1)*$AL53^2)/(COUNTIFS(Clean_Data!$F$2:$F$1001,$F53,Clean_Data!$W$2:$W$1001,$W53,Clean_Data!$V$2:$V$1001,1)-1))),""))</f>
        <v>0.275110402359366</v>
      </c>
      <c r="AN53" s="5" t="str">
        <f>IF($AM53="","",IF($AM53&gt;=Lookups!$K$6,"High spike",IF($AM53&lt;=-Lookups!$K$6,"Unusual low","Normal")))</f>
        <v>Normal</v>
      </c>
      <c r="AO53" s="20">
        <f>IF($V53&lt;&gt;1,"",$P53+ROW()/100000)</f>
        <v>30.00053</v>
      </c>
      <c r="AP53" s="5">
        <f>IF($A53="","",IFERROR(MATCH($A53,Raw_D1!$A$2:$A$1001,0),""))</f>
        <v>52</v>
      </c>
      <c r="AQ53" s="5">
        <f>IF($A53="","",IFERROR(MATCH($A53,Raw_D2!$B$2:$B$1001,0),""))</f>
        <v>52</v>
      </c>
      <c r="AR53" s="5">
        <f>IF($A53="","",IFERROR(MATCH($A53,Raw_D3!$A$2:$A$1001,0),""))</f>
        <v/>
      </c>
    </row>
    <row r="54" spans="1:44" x14ac:dyDescent="0.25">
      <c r="A54" s="5">
        <v>53</v>
      </c>
      <c r="B54" s="11">
        <f>IF($A54="","",IF($AP54&lt;&gt;"",INDEX(Raw_D1!$B$2:$B$1001,$AP54),IF($AR54&lt;&gt;"",INDEX(Raw_D3!$B$2:$B$1001,$AR54),"")))</f>
        <v>40546.0</v>
      </c>
      <c r="C54" s="5">
        <f>IF($A54="","",IF($AP54&lt;&gt;"",INDEX(Raw_D1!$C$2:$C$1001,$AP54),IF($AR54&lt;&gt;"",INDEX(Raw_D3!$C$2:$C$1001,$AR54),"")))</f>
        <v>1</v>
      </c>
      <c r="D54" s="5">
        <f>IF($A54="","",IF($AP54&lt;&gt;"",INDEX(Raw_D1!$D$2:$D$1001,$AP54),IF($AR54&lt;&gt;"",INDEX(Raw_D3!$D$2:$D$1001,$AR54),"")))</f>
        <v>0</v>
      </c>
      <c r="E54" s="5">
        <f>IF($A54="","",IF($AP54&lt;&gt;"",INDEX(Raw_D1!$E$2:$E$1001,$AP54),IF($AR54&lt;&gt;"",INDEX(Raw_D3!$E$2:$E$1001,$AR54),"")))</f>
        <v>1</v>
      </c>
      <c r="F54" s="5">
        <f>IF($A54="","",IF($AP54&lt;&gt;"",INDEX(Raw_D1!$F$2:$F$1001,$AP54),IF($AR54&lt;&gt;"",INDEX(Raw_D3!$F$2:$F$1001,$AR54),"")))</f>
        <v>7</v>
      </c>
      <c r="G54" s="5">
        <f>IF($A54="","",IF($AP54&lt;&gt;"",IF(INDEX(Raw_D1!$G$2:$G$1001,$AP54),1,0),IF($AR54&lt;&gt;"",IF(INDEX(Raw_D3!$G$2:$G$1001,$AR54),1,0),"")))</f>
        <v>0</v>
      </c>
      <c r="H54" s="5">
        <f>IF($A54="","",IF($AP54&lt;&gt;"",INDEX(Raw_D1!$H$2:$H$1001,$AP54),IF($AR54&lt;&gt;"",INDEX(Raw_D3!$H$2:$H$1001,$AR54),"")))</f>
        <v>1</v>
      </c>
      <c r="I54" s="5">
        <f>IF($A54="","",IF($AP54&lt;&gt;"",INDEX(Raw_D1!$I$2:$I$1001,$AP54),IF($AR54&lt;&gt;"",INDEX(Raw_D3!$I$2:$I$1001,$AR54),"")))</f>
        <v>1</v>
      </c>
      <c r="J54" s="16">
        <f>IF($A54="","",IF($AP54&lt;&gt;"",INDEX(Raw_D1!$J$2:$J$1001,$AP54),IF($AR54&lt;&gt;"",INDEX(Raw_D3!$J$2:$J$1001,$AR54),"")))</f>
        <v>0.14</v>
      </c>
      <c r="K54" s="17">
        <f>IF($A54="","",IF($AQ54&lt;&gt;"",IF(INDEX(Raw_D2!$C$2:$C$1001,$AQ54)="","",INDEX(Raw_D2!$C$2:$C$1001,$AQ54)),IF($AR54&lt;&gt;"",IF(INDEX(Raw_D3!$K$2:$K$1001,$AR54)="","",INDEX(Raw_D3!$K$2:$K$1001,$AR54)),"")))</f>
        <v>0.1364</v>
      </c>
      <c r="L54" s="16">
        <f>IF($A54="","",IF($AQ54&lt;&gt;"",IF(INDEX(Raw_D2!$D$2:$D$1001,$AQ54)="","",INDEX(Raw_D2!$D$2:$D$1001,$AQ54)),IF($AR54&lt;&gt;"",IF(INDEX(Raw_D3!$L$2:$L$1001,$AR54)="","",INDEX(Raw_D3!$L$2:$L$1001,$AR54)),"")))</f>
        <v>0.5</v>
      </c>
      <c r="M54" s="17">
        <f>IF($A54="","",IF($AQ54&lt;&gt;"",IF(INDEX(Raw_D2!$E$2:$E$1001,$AQ54)="","",INDEX(Raw_D2!$E$2:$E$1001,$AQ54)),IF($AR54&lt;&gt;"",IF(INDEX(Raw_D3!$M$2:$M$1001,$AR54)="","",INDEX(Raw_D3!$M$2:$M$1001,$AR54)),"")))</f>
        <v>0.194</v>
      </c>
      <c r="N54" s="5">
        <f>IF($A54="","",IF($AQ54&lt;&gt;"",IF(INDEX(Raw_D2!$F$2:$F$1001,$AQ54)="","",INDEX(Raw_D2!$F$2:$F$1001,$AQ54)),IF($AR54&lt;&gt;"",IF(INDEX(Raw_D3!$N$2:$N$1001,$AR54)="","",INDEX(Raw_D3!$N$2:$N$1001,$AR54)),"")))</f>
        <v>1</v>
      </c>
      <c r="O54" s="5">
        <f>IF($A54="","",IF($AQ54&lt;&gt;"",IF(INDEX(Raw_D2!$G$2:$G$1001,$AQ54)="","",INDEX(Raw_D2!$G$2:$G$1001,$AQ54)),IF($AR54&lt;&gt;"",IF(INDEX(Raw_D3!$O$2:$O$1001,$AR54)="","",INDEX(Raw_D3!$O$2:$O$1001,$AR54)),"")))</f>
        <v>63</v>
      </c>
      <c r="P54" s="5">
        <f>IF($A54="","",IF($AQ54&lt;&gt;"",IF(INDEX(Raw_D2!$H$2:$H$1001,$AQ54)="","",INDEX(Raw_D2!$H$2:$H$1001,$AQ54)),IF($AR54&lt;&gt;"",IF(INDEX(Raw_D3!$P$2:$P$1001,$AR54)="","",INDEX(Raw_D3!$P$2:$P$1001,$AR54)),"")))</f>
        <v>64</v>
      </c>
      <c r="Q54" s="5" t="str">
        <f>IF($A54="","",IF(AND($AP54&lt;&gt;"",$AQ54&lt;&gt;""),"D1+D2",IF($AR54&lt;&gt;"","D3","Incomplete")))</f>
        <v>D1+D2</v>
      </c>
      <c r="R54" s="17">
        <f>IF($A54="","",IF($K54="",IF($J54="","",ROUND(Lookups!$K$5+Lookups!$K$4*$J54,4)),$K54))</f>
        <v>0.1364</v>
      </c>
      <c r="S54" s="5" t="str">
        <f>IF($A54="","",IF($K54="","Imputed","Original"))</f>
        <v>Original</v>
      </c>
      <c r="T54" s="5" t="str">
        <f>IF($A54="","",IF($P54="","Missing",IF($P54=$N54+$O54,"OK","Mismatch")))</f>
        <v>OK</v>
      </c>
      <c r="U54" s="5" t="str">
        <f>IF($A54="","",IF(COUNTIF($A$2:$A54,$A54)&gt;1,"Duplicate","Unique"))</f>
        <v>Unique</v>
      </c>
      <c r="V54" s="5">
        <f>IF($A54="","",IF(AND($U54="Unique",ISNUMBER($P54)),1,0))</f>
        <v>1</v>
      </c>
      <c r="W54" s="5" t="str">
        <f>IF($A54="","",IF(OR($H54=0,$H54=6),"Weekend","Weekday"))</f>
        <v>Weekday</v>
      </c>
      <c r="X54" s="5" t="str">
        <f>IF($A54="","",TEXT($B54,"ddd"))</f>
        <v>Mon</v>
      </c>
      <c r="Y54" s="5" t="str">
        <f>IF($A54="","",TEXT($B54,"mmm"))</f>
        <v>Jan</v>
      </c>
      <c r="Z54" s="5" t="str">
        <f>IF($A54="","",IFERROR(VLOOKUP($C54,Lookups!$D$4:$E$7,2,FALSE),"Unknown"))</f>
        <v>Winter</v>
      </c>
      <c r="AA54" s="5" t="str">
        <f>IF($A54="","",IFERROR(VLOOKUP($I54,Lookups!$A$4:$B$7,2,FALSE),"Unknown"))</f>
        <v>Clear</v>
      </c>
      <c r="AB54" s="5" t="str">
        <f>IF($A54="","",TEXT($F54,"00")&amp;":00")</f>
        <v>07:00</v>
      </c>
      <c r="AC54" s="5" t="str">
        <f>IF($A54="","",VLOOKUP($F54,Lookups!$G$4:$H$8,2,TRUE))</f>
        <v>Morning Peak (06-09)</v>
      </c>
      <c r="AD54" s="18">
        <f>IF($A54="","",IF($J54="","",ROUND($J54*41,1)))</f>
        <v>5.7</v>
      </c>
      <c r="AE54" s="18">
        <f>IF($A54="","",IF($R54="","",ROUND($R54*50,1)))</f>
        <v>6.8</v>
      </c>
      <c r="AF54" s="5">
        <f>IF($A54="","",IF($L54="","",ROUND($L54*100,0)))</f>
        <v>50</v>
      </c>
      <c r="AG54" s="18">
        <f>IF($A54="","",IF($M54="","",ROUND($M54*67,1)))</f>
        <v>13</v>
      </c>
      <c r="AH54" s="19">
        <f>IF($A54="","",IF($P54="","",IF($P54=0,0,$O54/$P54)))</f>
        <v>0.984375</v>
      </c>
      <c r="AI54" s="5" t="str">
        <f>IF($A54="","",IF($P54="","",IF($P54&gt;=Lookups!$K$7,"High",IF($P54&lt;=Lookups!$K$8,"Low","Medium"))))</f>
        <v>Medium</v>
      </c>
      <c r="AJ54" s="5" t="str">
        <f>IF($A54="","",IF($AD54="","",IF($AD54&lt;5,"Under 5 C",IF($AD54&lt;10,"5-10 C",IF($AD54&lt;15,"10-15 C","15 C and above")))))</f>
        <v>5-10 C</v>
      </c>
      <c r="AK54" s="5">
        <f>IF($A54="","",IF($P54="","",$P54^2))</f>
        <v>4096</v>
      </c>
      <c r="AL54" s="18">
        <f>IF($V54&lt;&gt;1,"",AVERAGEIFS(Clean_Data!$P$2:$P$1001,Clean_Data!$F$2:$F$1001,$F54,Clean_Data!$W$2:$W$1001,$W54,Clean_Data!$V$2:$V$1001,1))</f>
        <v>78.0344827586207</v>
      </c>
      <c r="AM54" s="16">
        <f>IF($V54&lt;&gt;1,"",IFERROR(($P54-$AL54)/SQRT(MAX(0,(SUMIFS(Clean_Data!$AK$2:$AK$1001,Clean_Data!$F$2:$F$1001,$F54,Clean_Data!$W$2:$W$1001,$W54,Clean_Data!$V$2:$V$1001,1)-COUNTIFS(Clean_Data!$F$2:$F$1001,$F54,Clean_Data!$W$2:$W$1001,$W54,Clean_Data!$V$2:$V$1001,1)*$AL54^2)/(COUNTIFS(Clean_Data!$F$2:$F$1001,$F54,Clean_Data!$W$2:$W$1001,$W54,Clean_Data!$V$2:$V$1001,1)-1))),""))</f>
        <v>-0.620091745036074</v>
      </c>
      <c r="AN54" s="5" t="str">
        <f>IF($AM54="","",IF($AM54&gt;=Lookups!$K$6,"High spike",IF($AM54&lt;=-Lookups!$K$6,"Unusual low","Normal")))</f>
        <v>Normal</v>
      </c>
      <c r="AO54" s="20">
        <f>IF($V54&lt;&gt;1,"",$P54+ROW()/100000)</f>
        <v>64.00054</v>
      </c>
      <c r="AP54" s="5">
        <f>IF($A54="","",IFERROR(MATCH($A54,Raw_D1!$A$2:$A$1001,0),""))</f>
        <v>53</v>
      </c>
      <c r="AQ54" s="5">
        <f>IF($A54="","",IFERROR(MATCH($A54,Raw_D2!$B$2:$B$1001,0),""))</f>
        <v>53</v>
      </c>
      <c r="AR54" s="5">
        <f>IF($A54="","",IFERROR(MATCH($A54,Raw_D3!$A$2:$A$1001,0),""))</f>
        <v/>
      </c>
    </row>
    <row r="55" spans="1:44" x14ac:dyDescent="0.25">
      <c r="A55" s="5">
        <v>54</v>
      </c>
      <c r="B55" s="11">
        <f>IF($A55="","",IF($AP55&lt;&gt;"",INDEX(Raw_D1!$B$2:$B$1001,$AP55),IF($AR55&lt;&gt;"",INDEX(Raw_D3!$B$2:$B$1001,$AR55),"")))</f>
        <v>40546.0</v>
      </c>
      <c r="C55" s="5">
        <f>IF($A55="","",IF($AP55&lt;&gt;"",INDEX(Raw_D1!$C$2:$C$1001,$AP55),IF($AR55&lt;&gt;"",INDEX(Raw_D3!$C$2:$C$1001,$AR55),"")))</f>
        <v>1</v>
      </c>
      <c r="D55" s="5">
        <f>IF($A55="","",IF($AP55&lt;&gt;"",INDEX(Raw_D1!$D$2:$D$1001,$AP55),IF($AR55&lt;&gt;"",INDEX(Raw_D3!$D$2:$D$1001,$AR55),"")))</f>
        <v>0</v>
      </c>
      <c r="E55" s="5">
        <f>IF($A55="","",IF($AP55&lt;&gt;"",INDEX(Raw_D1!$E$2:$E$1001,$AP55),IF($AR55&lt;&gt;"",INDEX(Raw_D3!$E$2:$E$1001,$AR55),"")))</f>
        <v>1</v>
      </c>
      <c r="F55" s="5">
        <f>IF($A55="","",IF($AP55&lt;&gt;"",INDEX(Raw_D1!$F$2:$F$1001,$AP55),IF($AR55&lt;&gt;"",INDEX(Raw_D3!$F$2:$F$1001,$AR55),"")))</f>
        <v>8</v>
      </c>
      <c r="G55" s="5">
        <f>IF($A55="","",IF($AP55&lt;&gt;"",IF(INDEX(Raw_D1!$G$2:$G$1001,$AP55),1,0),IF($AR55&lt;&gt;"",IF(INDEX(Raw_D3!$G$2:$G$1001,$AR55),1,0),"")))</f>
        <v>0</v>
      </c>
      <c r="H55" s="5">
        <f>IF($A55="","",IF($AP55&lt;&gt;"",INDEX(Raw_D1!$H$2:$H$1001,$AP55),IF($AR55&lt;&gt;"",INDEX(Raw_D3!$H$2:$H$1001,$AR55),"")))</f>
        <v>1</v>
      </c>
      <c r="I55" s="5">
        <f>IF($A55="","",IF($AP55&lt;&gt;"",INDEX(Raw_D1!$I$2:$I$1001,$AP55),IF($AR55&lt;&gt;"",INDEX(Raw_D3!$I$2:$I$1001,$AR55),"")))</f>
        <v>1</v>
      </c>
      <c r="J55" s="16">
        <f>IF($A55="","",IF($AP55&lt;&gt;"",INDEX(Raw_D1!$J$2:$J$1001,$AP55),IF($AR55&lt;&gt;"",INDEX(Raw_D3!$J$2:$J$1001,$AR55),"")))</f>
        <v>0.14</v>
      </c>
      <c r="K55" s="17">
        <f>IF($A55="","",IF($AQ55&lt;&gt;"",IF(INDEX(Raw_D2!$C$2:$C$1001,$AQ55)="","",INDEX(Raw_D2!$C$2:$C$1001,$AQ55)),IF($AR55&lt;&gt;"",IF(INDEX(Raw_D3!$K$2:$K$1001,$AR55)="","",INDEX(Raw_D3!$K$2:$K$1001,$AR55)),"")))</f>
        <v>0.1212</v>
      </c>
      <c r="L55" s="16">
        <f>IF($A55="","",IF($AQ55&lt;&gt;"",IF(INDEX(Raw_D2!$D$2:$D$1001,$AQ55)="","",INDEX(Raw_D2!$D$2:$D$1001,$AQ55)),IF($AR55&lt;&gt;"",IF(INDEX(Raw_D3!$L$2:$L$1001,$AR55)="","",INDEX(Raw_D3!$L$2:$L$1001,$AR55)),"")))</f>
        <v>0.5</v>
      </c>
      <c r="M55" s="17">
        <f>IF($A55="","",IF($AQ55&lt;&gt;"",IF(INDEX(Raw_D2!$E$2:$E$1001,$AQ55)="","",INDEX(Raw_D2!$E$2:$E$1001,$AQ55)),IF($AR55&lt;&gt;"",IF(INDEX(Raw_D3!$M$2:$M$1001,$AR55)="","",INDEX(Raw_D3!$M$2:$M$1001,$AR55)),"")))</f>
        <v>0.2836</v>
      </c>
      <c r="N55" s="5">
        <f>IF($A55="","",IF($AQ55&lt;&gt;"",IF(INDEX(Raw_D2!$F$2:$F$1001,$AQ55)="","",INDEX(Raw_D2!$F$2:$F$1001,$AQ55)),IF($AR55&lt;&gt;"",IF(INDEX(Raw_D3!$N$2:$N$1001,$AR55)="","",INDEX(Raw_D3!$N$2:$N$1001,$AR55)),"")))</f>
        <v>1</v>
      </c>
      <c r="O55" s="5">
        <f>IF($A55="","",IF($AQ55&lt;&gt;"",IF(INDEX(Raw_D2!$G$2:$G$1001,$AQ55)="","",INDEX(Raw_D2!$G$2:$G$1001,$AQ55)),IF($AR55&lt;&gt;"",IF(INDEX(Raw_D3!$O$2:$O$1001,$AR55)="","",INDEX(Raw_D3!$O$2:$O$1001,$AR55)),"")))</f>
        <v>153</v>
      </c>
      <c r="P55" s="5">
        <f>IF($A55="","",IF($AQ55&lt;&gt;"",IF(INDEX(Raw_D2!$H$2:$H$1001,$AQ55)="","",INDEX(Raw_D2!$H$2:$H$1001,$AQ55)),IF($AR55&lt;&gt;"",IF(INDEX(Raw_D3!$P$2:$P$1001,$AR55)="","",INDEX(Raw_D3!$P$2:$P$1001,$AR55)),"")))</f>
        <v>154</v>
      </c>
      <c r="Q55" s="5" t="str">
        <f>IF($A55="","",IF(AND($AP55&lt;&gt;"",$AQ55&lt;&gt;""),"D1+D2",IF($AR55&lt;&gt;"","D3","Incomplete")))</f>
        <v>D1+D2</v>
      </c>
      <c r="R55" s="17">
        <f>IF($A55="","",IF($K55="",IF($J55="","",ROUND(Lookups!$K$5+Lookups!$K$4*$J55,4)),$K55))</f>
        <v>0.1212</v>
      </c>
      <c r="S55" s="5" t="str">
        <f>IF($A55="","",IF($K55="","Imputed","Original"))</f>
        <v>Original</v>
      </c>
      <c r="T55" s="5" t="str">
        <f>IF($A55="","",IF($P55="","Missing",IF($P55=$N55+$O55,"OK","Mismatch")))</f>
        <v>OK</v>
      </c>
      <c r="U55" s="5" t="str">
        <f>IF($A55="","",IF(COUNTIF($A$2:$A55,$A55)&gt;1,"Duplicate","Unique"))</f>
        <v>Unique</v>
      </c>
      <c r="V55" s="5">
        <f>IF($A55="","",IF(AND($U55="Unique",ISNUMBER($P55)),1,0))</f>
        <v>1</v>
      </c>
      <c r="W55" s="5" t="str">
        <f>IF($A55="","",IF(OR($H55=0,$H55=6),"Weekend","Weekday"))</f>
        <v>Weekday</v>
      </c>
      <c r="X55" s="5" t="str">
        <f>IF($A55="","",TEXT($B55,"ddd"))</f>
        <v>Mon</v>
      </c>
      <c r="Y55" s="5" t="str">
        <f>IF($A55="","",TEXT($B55,"mmm"))</f>
        <v>Jan</v>
      </c>
      <c r="Z55" s="5" t="str">
        <f>IF($A55="","",IFERROR(VLOOKUP($C55,Lookups!$D$4:$E$7,2,FALSE),"Unknown"))</f>
        <v>Winter</v>
      </c>
      <c r="AA55" s="5" t="str">
        <f>IF($A55="","",IFERROR(VLOOKUP($I55,Lookups!$A$4:$B$7,2,FALSE),"Unknown"))</f>
        <v>Clear</v>
      </c>
      <c r="AB55" s="5" t="str">
        <f>IF($A55="","",TEXT($F55,"00")&amp;":00")</f>
        <v>08:00</v>
      </c>
      <c r="AC55" s="5" t="str">
        <f>IF($A55="","",VLOOKUP($F55,Lookups!$G$4:$H$8,2,TRUE))</f>
        <v>Morning Peak (06-09)</v>
      </c>
      <c r="AD55" s="18">
        <f>IF($A55="","",IF($J55="","",ROUND($J55*41,1)))</f>
        <v>5.7</v>
      </c>
      <c r="AE55" s="18">
        <f>IF($A55="","",IF($R55="","",ROUND($R55*50,1)))</f>
        <v>6.1</v>
      </c>
      <c r="AF55" s="5">
        <f>IF($A55="","",IF($L55="","",ROUND($L55*100,0)))</f>
        <v>50</v>
      </c>
      <c r="AG55" s="18">
        <f>IF($A55="","",IF($M55="","",ROUND($M55*67,1)))</f>
        <v>19</v>
      </c>
      <c r="AH55" s="19">
        <f>IF($A55="","",IF($P55="","",IF($P55=0,0,$O55/$P55)))</f>
        <v>0.993506493506494</v>
      </c>
      <c r="AI55" s="5" t="str">
        <f>IF($A55="","",IF($P55="","",IF($P55&gt;=Lookups!$K$7,"High",IF($P55&lt;=Lookups!$K$8,"Low","Medium"))))</f>
        <v>High</v>
      </c>
      <c r="AJ55" s="5" t="str">
        <f>IF($A55="","",IF($AD55="","",IF($AD55&lt;5,"Under 5 C",IF($AD55&lt;10,"5-10 C",IF($AD55&lt;15,"10-15 C","15 C and above")))))</f>
        <v>5-10 C</v>
      </c>
      <c r="AK55" s="5">
        <f>IF($A55="","",IF($P55="","",$P55^2))</f>
        <v>23716</v>
      </c>
      <c r="AL55" s="18">
        <f>IF($V55&lt;&gt;1,"",AVERAGEIFS(Clean_Data!$P$2:$P$1001,Clean_Data!$F$2:$F$1001,$F55,Clean_Data!$W$2:$W$1001,$W55,Clean_Data!$V$2:$V$1001,1))</f>
        <v>183.535714285714</v>
      </c>
      <c r="AM55" s="16">
        <f>IF($V55&lt;&gt;1,"",IFERROR(($P55-$AL55)/SQRT(MAX(0,(SUMIFS(Clean_Data!$AK$2:$AK$1001,Clean_Data!$F$2:$F$1001,$F55,Clean_Data!$W$2:$W$1001,$W55,Clean_Data!$V$2:$V$1001,1)-COUNTIFS(Clean_Data!$F$2:$F$1001,$F55,Clean_Data!$W$2:$W$1001,$W55,Clean_Data!$V$2:$V$1001,1)*$AL55^2)/(COUNTIFS(Clean_Data!$F$2:$F$1001,$F55,Clean_Data!$W$2:$W$1001,$W55,Clean_Data!$V$2:$V$1001,1)-1))),""))</f>
        <v>-0.605984642432221</v>
      </c>
      <c r="AN55" s="5" t="str">
        <f>IF($AM55="","",IF($AM55&gt;=Lookups!$K$6,"High spike",IF($AM55&lt;=-Lookups!$K$6,"Unusual low","Normal")))</f>
        <v>Normal</v>
      </c>
      <c r="AO55" s="20">
        <f>IF($V55&lt;&gt;1,"",$P55+ROW()/100000)</f>
        <v>154.00055</v>
      </c>
      <c r="AP55" s="5">
        <f>IF($A55="","",IFERROR(MATCH($A55,Raw_D1!$A$2:$A$1001,0),""))</f>
        <v>54</v>
      </c>
      <c r="AQ55" s="5">
        <f>IF($A55="","",IFERROR(MATCH($A55,Raw_D2!$B$2:$B$1001,0),""))</f>
        <v>54</v>
      </c>
      <c r="AR55" s="5">
        <f>IF($A55="","",IFERROR(MATCH($A55,Raw_D3!$A$2:$A$1001,0),""))</f>
        <v/>
      </c>
    </row>
    <row r="56" spans="1:44" x14ac:dyDescent="0.25">
      <c r="A56" s="5">
        <v>55</v>
      </c>
      <c r="B56" s="11">
        <f>IF($A56="","",IF($AP56&lt;&gt;"",INDEX(Raw_D1!$B$2:$B$1001,$AP56),IF($AR56&lt;&gt;"",INDEX(Raw_D3!$B$2:$B$1001,$AR56),"")))</f>
        <v>40546.0</v>
      </c>
      <c r="C56" s="5">
        <f>IF($A56="","",IF($AP56&lt;&gt;"",INDEX(Raw_D1!$C$2:$C$1001,$AP56),IF($AR56&lt;&gt;"",INDEX(Raw_D3!$C$2:$C$1001,$AR56),"")))</f>
        <v>1</v>
      </c>
      <c r="D56" s="5">
        <f>IF($A56="","",IF($AP56&lt;&gt;"",INDEX(Raw_D1!$D$2:$D$1001,$AP56),IF($AR56&lt;&gt;"",INDEX(Raw_D3!$D$2:$D$1001,$AR56),"")))</f>
        <v>0</v>
      </c>
      <c r="E56" s="5">
        <f>IF($A56="","",IF($AP56&lt;&gt;"",INDEX(Raw_D1!$E$2:$E$1001,$AP56),IF($AR56&lt;&gt;"",INDEX(Raw_D3!$E$2:$E$1001,$AR56),"")))</f>
        <v>1</v>
      </c>
      <c r="F56" s="5">
        <f>IF($A56="","",IF($AP56&lt;&gt;"",INDEX(Raw_D1!$F$2:$F$1001,$AP56),IF($AR56&lt;&gt;"",INDEX(Raw_D3!$F$2:$F$1001,$AR56),"")))</f>
        <v>9</v>
      </c>
      <c r="G56" s="5">
        <f>IF($A56="","",IF($AP56&lt;&gt;"",IF(INDEX(Raw_D1!$G$2:$G$1001,$AP56),1,0),IF($AR56&lt;&gt;"",IF(INDEX(Raw_D3!$G$2:$G$1001,$AR56),1,0),"")))</f>
        <v>0</v>
      </c>
      <c r="H56" s="5">
        <f>IF($A56="","",IF($AP56&lt;&gt;"",INDEX(Raw_D1!$H$2:$H$1001,$AP56),IF($AR56&lt;&gt;"",INDEX(Raw_D3!$H$2:$H$1001,$AR56),"")))</f>
        <v>1</v>
      </c>
      <c r="I56" s="5">
        <f>IF($A56="","",IF($AP56&lt;&gt;"",INDEX(Raw_D1!$I$2:$I$1001,$AP56),IF($AR56&lt;&gt;"",INDEX(Raw_D3!$I$2:$I$1001,$AR56),"")))</f>
        <v>1</v>
      </c>
      <c r="J56" s="16">
        <f>IF($A56="","",IF($AP56&lt;&gt;"",INDEX(Raw_D1!$J$2:$J$1001,$AP56),IF($AR56&lt;&gt;"",INDEX(Raw_D3!$J$2:$J$1001,$AR56),"")))</f>
        <v>0.16</v>
      </c>
      <c r="K56" s="17">
        <f>IF($A56="","",IF($AQ56&lt;&gt;"",IF(INDEX(Raw_D2!$C$2:$C$1001,$AQ56)="","",INDEX(Raw_D2!$C$2:$C$1001,$AQ56)),IF($AR56&lt;&gt;"",IF(INDEX(Raw_D3!$K$2:$K$1001,$AR56)="","",INDEX(Raw_D3!$K$2:$K$1001,$AR56)),"")))</f>
        <v>0.1364</v>
      </c>
      <c r="L56" s="16">
        <f>IF($A56="","",IF($AQ56&lt;&gt;"",IF(INDEX(Raw_D2!$D$2:$D$1001,$AQ56)="","",INDEX(Raw_D2!$D$2:$D$1001,$AQ56)),IF($AR56&lt;&gt;"",IF(INDEX(Raw_D3!$L$2:$L$1001,$AR56)="","",INDEX(Raw_D3!$L$2:$L$1001,$AR56)),"")))</f>
        <v>0.43</v>
      </c>
      <c r="M56" s="17">
        <f>IF($A56="","",IF($AQ56&lt;&gt;"",IF(INDEX(Raw_D2!$E$2:$E$1001,$AQ56)="","",INDEX(Raw_D2!$E$2:$E$1001,$AQ56)),IF($AR56&lt;&gt;"",IF(INDEX(Raw_D3!$M$2:$M$1001,$AR56)="","",INDEX(Raw_D3!$M$2:$M$1001,$AR56)),"")))</f>
        <v>0.3881</v>
      </c>
      <c r="N56" s="5">
        <f>IF($A56="","",IF($AQ56&lt;&gt;"",IF(INDEX(Raw_D2!$F$2:$F$1001,$AQ56)="","",INDEX(Raw_D2!$F$2:$F$1001,$AQ56)),IF($AR56&lt;&gt;"",IF(INDEX(Raw_D3!$N$2:$N$1001,$AR56)="","",INDEX(Raw_D3!$N$2:$N$1001,$AR56)),"")))</f>
        <v>7</v>
      </c>
      <c r="O56" s="5">
        <f>IF($A56="","",IF($AQ56&lt;&gt;"",IF(INDEX(Raw_D2!$G$2:$G$1001,$AQ56)="","",INDEX(Raw_D2!$G$2:$G$1001,$AQ56)),IF($AR56&lt;&gt;"",IF(INDEX(Raw_D3!$O$2:$O$1001,$AR56)="","",INDEX(Raw_D3!$O$2:$O$1001,$AR56)),"")))</f>
        <v>81</v>
      </c>
      <c r="P56" s="5">
        <f>IF($A56="","",IF($AQ56&lt;&gt;"",IF(INDEX(Raw_D2!$H$2:$H$1001,$AQ56)="","",INDEX(Raw_D2!$H$2:$H$1001,$AQ56)),IF($AR56&lt;&gt;"",IF(INDEX(Raw_D3!$P$2:$P$1001,$AR56)="","",INDEX(Raw_D3!$P$2:$P$1001,$AR56)),"")))</f>
        <v>88</v>
      </c>
      <c r="Q56" s="5" t="str">
        <f>IF($A56="","",IF(AND($AP56&lt;&gt;"",$AQ56&lt;&gt;""),"D1+D2",IF($AR56&lt;&gt;"","D3","Incomplete")))</f>
        <v>D1+D2</v>
      </c>
      <c r="R56" s="17">
        <f>IF($A56="","",IF($K56="",IF($J56="","",ROUND(Lookups!$K$5+Lookups!$K$4*$J56,4)),$K56))</f>
        <v>0.1364</v>
      </c>
      <c r="S56" s="5" t="str">
        <f>IF($A56="","",IF($K56="","Imputed","Original"))</f>
        <v>Original</v>
      </c>
      <c r="T56" s="5" t="str">
        <f>IF($A56="","",IF($P56="","Missing",IF($P56=$N56+$O56,"OK","Mismatch")))</f>
        <v>OK</v>
      </c>
      <c r="U56" s="5" t="str">
        <f>IF($A56="","",IF(COUNTIF($A$2:$A56,$A56)&gt;1,"Duplicate","Unique"))</f>
        <v>Unique</v>
      </c>
      <c r="V56" s="5">
        <f>IF($A56="","",IF(AND($U56="Unique",ISNUMBER($P56)),1,0))</f>
        <v>1</v>
      </c>
      <c r="W56" s="5" t="str">
        <f>IF($A56="","",IF(OR($H56=0,$H56=6),"Weekend","Weekday"))</f>
        <v>Weekday</v>
      </c>
      <c r="X56" s="5" t="str">
        <f>IF($A56="","",TEXT($B56,"ddd"))</f>
        <v>Mon</v>
      </c>
      <c r="Y56" s="5" t="str">
        <f>IF($A56="","",TEXT($B56,"mmm"))</f>
        <v>Jan</v>
      </c>
      <c r="Z56" s="5" t="str">
        <f>IF($A56="","",IFERROR(VLOOKUP($C56,Lookups!$D$4:$E$7,2,FALSE),"Unknown"))</f>
        <v>Winter</v>
      </c>
      <c r="AA56" s="5" t="str">
        <f>IF($A56="","",IFERROR(VLOOKUP($I56,Lookups!$A$4:$B$7,2,FALSE),"Unknown"))</f>
        <v>Clear</v>
      </c>
      <c r="AB56" s="5" t="str">
        <f>IF($A56="","",TEXT($F56,"00")&amp;":00")</f>
        <v>09:00</v>
      </c>
      <c r="AC56" s="5" t="str">
        <f>IF($A56="","",VLOOKUP($F56,Lookups!$G$4:$H$8,2,TRUE))</f>
        <v>Morning Peak (06-09)</v>
      </c>
      <c r="AD56" s="18">
        <f>IF($A56="","",IF($J56="","",ROUND($J56*41,1)))</f>
        <v>6.6</v>
      </c>
      <c r="AE56" s="18">
        <f>IF($A56="","",IF($R56="","",ROUND($R56*50,1)))</f>
        <v>6.8</v>
      </c>
      <c r="AF56" s="5">
        <f>IF($A56="","",IF($L56="","",ROUND($L56*100,0)))</f>
        <v>43</v>
      </c>
      <c r="AG56" s="18">
        <f>IF($A56="","",IF($M56="","",ROUND($M56*67,1)))</f>
        <v>26</v>
      </c>
      <c r="AH56" s="19">
        <f>IF($A56="","",IF($P56="","",IF($P56=0,0,$O56/$P56)))</f>
        <v>0.920454545454545</v>
      </c>
      <c r="AI56" s="5" t="str">
        <f>IF($A56="","",IF($P56="","",IF($P56&gt;=Lookups!$K$7,"High",IF($P56&lt;=Lookups!$K$8,"Low","Medium"))))</f>
        <v>High</v>
      </c>
      <c r="AJ56" s="5" t="str">
        <f>IF($A56="","",IF($AD56="","",IF($AD56&lt;5,"Under 5 C",IF($AD56&lt;10,"5-10 C",IF($AD56&lt;15,"10-15 C","15 C and above")))))</f>
        <v>5-10 C</v>
      </c>
      <c r="AK56" s="5">
        <f>IF($A56="","",IF($P56="","",$P56^2))</f>
        <v>7744</v>
      </c>
      <c r="AL56" s="18">
        <f>IF($V56&lt;&gt;1,"",AVERAGEIFS(Clean_Data!$P$2:$P$1001,Clean_Data!$F$2:$F$1001,$F56,Clean_Data!$W$2:$W$1001,$W56,Clean_Data!$V$2:$V$1001,1))</f>
        <v>115.678571428571</v>
      </c>
      <c r="AM56" s="16">
        <f>IF($V56&lt;&gt;1,"",IFERROR(($P56-$AL56)/SQRT(MAX(0,(SUMIFS(Clean_Data!$AK$2:$AK$1001,Clean_Data!$F$2:$F$1001,$F56,Clean_Data!$W$2:$W$1001,$W56,Clean_Data!$V$2:$V$1001,1)-COUNTIFS(Clean_Data!$F$2:$F$1001,$F56,Clean_Data!$W$2:$W$1001,$W56,Clean_Data!$V$2:$V$1001,1)*$AL56^2)/(COUNTIFS(Clean_Data!$F$2:$F$1001,$F56,Clean_Data!$W$2:$W$1001,$W56,Clean_Data!$V$2:$V$1001,1)-1))),""))</f>
        <v>-1.07371453033035</v>
      </c>
      <c r="AN56" s="5" t="str">
        <f>IF($AM56="","",IF($AM56&gt;=Lookups!$K$6,"High spike",IF($AM56&lt;=-Lookups!$K$6,"Unusual low","Normal")))</f>
        <v>Normal</v>
      </c>
      <c r="AO56" s="20">
        <f>IF($V56&lt;&gt;1,"",$P56+ROW()/100000)</f>
        <v>88.00056</v>
      </c>
      <c r="AP56" s="5">
        <f>IF($A56="","",IFERROR(MATCH($A56,Raw_D1!$A$2:$A$1001,0),""))</f>
        <v>55</v>
      </c>
      <c r="AQ56" s="5">
        <f>IF($A56="","",IFERROR(MATCH($A56,Raw_D2!$B$2:$B$1001,0),""))</f>
        <v>55</v>
      </c>
      <c r="AR56" s="5">
        <f>IF($A56="","",IFERROR(MATCH($A56,Raw_D3!$A$2:$A$1001,0),""))</f>
        <v/>
      </c>
    </row>
    <row r="57" spans="1:44" x14ac:dyDescent="0.25">
      <c r="A57" s="5">
        <v>56</v>
      </c>
      <c r="B57" s="11">
        <f>IF($A57="","",IF($AP57&lt;&gt;"",INDEX(Raw_D1!$B$2:$B$1001,$AP57),IF($AR57&lt;&gt;"",INDEX(Raw_D3!$B$2:$B$1001,$AR57),"")))</f>
        <v>40546.0</v>
      </c>
      <c r="C57" s="5">
        <f>IF($A57="","",IF($AP57&lt;&gt;"",INDEX(Raw_D1!$C$2:$C$1001,$AP57),IF($AR57&lt;&gt;"",INDEX(Raw_D3!$C$2:$C$1001,$AR57),"")))</f>
        <v>1</v>
      </c>
      <c r="D57" s="5">
        <f>IF($A57="","",IF($AP57&lt;&gt;"",INDEX(Raw_D1!$D$2:$D$1001,$AP57),IF($AR57&lt;&gt;"",INDEX(Raw_D3!$D$2:$D$1001,$AR57),"")))</f>
        <v>0</v>
      </c>
      <c r="E57" s="5">
        <f>IF($A57="","",IF($AP57&lt;&gt;"",INDEX(Raw_D1!$E$2:$E$1001,$AP57),IF($AR57&lt;&gt;"",INDEX(Raw_D3!$E$2:$E$1001,$AR57),"")))</f>
        <v>1</v>
      </c>
      <c r="F57" s="5">
        <f>IF($A57="","",IF($AP57&lt;&gt;"",INDEX(Raw_D1!$F$2:$F$1001,$AP57),IF($AR57&lt;&gt;"",INDEX(Raw_D3!$F$2:$F$1001,$AR57),"")))</f>
        <v>10</v>
      </c>
      <c r="G57" s="5">
        <f>IF($A57="","",IF($AP57&lt;&gt;"",IF(INDEX(Raw_D1!$G$2:$G$1001,$AP57),1,0),IF($AR57&lt;&gt;"",IF(INDEX(Raw_D3!$G$2:$G$1001,$AR57),1,0),"")))</f>
        <v>0</v>
      </c>
      <c r="H57" s="5">
        <f>IF($A57="","",IF($AP57&lt;&gt;"",INDEX(Raw_D1!$H$2:$H$1001,$AP57),IF($AR57&lt;&gt;"",INDEX(Raw_D3!$H$2:$H$1001,$AR57),"")))</f>
        <v>1</v>
      </c>
      <c r="I57" s="5">
        <f>IF($A57="","",IF($AP57&lt;&gt;"",INDEX(Raw_D1!$I$2:$I$1001,$AP57),IF($AR57&lt;&gt;"",INDEX(Raw_D3!$I$2:$I$1001,$AR57),"")))</f>
        <v>1</v>
      </c>
      <c r="J57" s="16">
        <f>IF($A57="","",IF($AP57&lt;&gt;"",INDEX(Raw_D1!$J$2:$J$1001,$AP57),IF($AR57&lt;&gt;"",INDEX(Raw_D3!$J$2:$J$1001,$AR57),"")))</f>
        <v>0.18</v>
      </c>
      <c r="K57" s="17">
        <f>IF($A57="","",IF($AQ57&lt;&gt;"",IF(INDEX(Raw_D2!$C$2:$C$1001,$AQ57)="","",INDEX(Raw_D2!$C$2:$C$1001,$AQ57)),IF($AR57&lt;&gt;"",IF(INDEX(Raw_D3!$K$2:$K$1001,$AR57)="","",INDEX(Raw_D3!$K$2:$K$1001,$AR57)),"")))</f>
        <v>0.1667</v>
      </c>
      <c r="L57" s="16">
        <f>IF($A57="","",IF($AQ57&lt;&gt;"",IF(INDEX(Raw_D2!$D$2:$D$1001,$AQ57)="","",INDEX(Raw_D2!$D$2:$D$1001,$AQ57)),IF($AR57&lt;&gt;"",IF(INDEX(Raw_D3!$L$2:$L$1001,$AR57)="","",INDEX(Raw_D3!$L$2:$L$1001,$AR57)),"")))</f>
        <v>0.43</v>
      </c>
      <c r="M57" s="17">
        <f>IF($A57="","",IF($AQ57&lt;&gt;"",IF(INDEX(Raw_D2!$E$2:$E$1001,$AQ57)="","",INDEX(Raw_D2!$E$2:$E$1001,$AQ57)),IF($AR57&lt;&gt;"",IF(INDEX(Raw_D3!$M$2:$M$1001,$AR57)="","",INDEX(Raw_D3!$M$2:$M$1001,$AR57)),"")))</f>
        <v>0.2537</v>
      </c>
      <c r="N57" s="5">
        <f>IF($A57="","",IF($AQ57&lt;&gt;"",IF(INDEX(Raw_D2!$F$2:$F$1001,$AQ57)="","",INDEX(Raw_D2!$F$2:$F$1001,$AQ57)),IF($AR57&lt;&gt;"",IF(INDEX(Raw_D3!$N$2:$N$1001,$AR57)="","",INDEX(Raw_D3!$N$2:$N$1001,$AR57)),"")))</f>
        <v>11</v>
      </c>
      <c r="O57" s="5">
        <f>IF($A57="","",IF($AQ57&lt;&gt;"",IF(INDEX(Raw_D2!$G$2:$G$1001,$AQ57)="","",INDEX(Raw_D2!$G$2:$G$1001,$AQ57)),IF($AR57&lt;&gt;"",IF(INDEX(Raw_D3!$O$2:$O$1001,$AR57)="","",INDEX(Raw_D3!$O$2:$O$1001,$AR57)),"")))</f>
        <v>33</v>
      </c>
      <c r="P57" s="5">
        <f>IF($A57="","",IF($AQ57&lt;&gt;"",IF(INDEX(Raw_D2!$H$2:$H$1001,$AQ57)="","",INDEX(Raw_D2!$H$2:$H$1001,$AQ57)),IF($AR57&lt;&gt;"",IF(INDEX(Raw_D3!$P$2:$P$1001,$AR57)="","",INDEX(Raw_D3!$P$2:$P$1001,$AR57)),"")))</f>
        <v>44</v>
      </c>
      <c r="Q57" s="5" t="str">
        <f>IF($A57="","",IF(AND($AP57&lt;&gt;"",$AQ57&lt;&gt;""),"D1+D2",IF($AR57&lt;&gt;"","D3","Incomplete")))</f>
        <v>D1+D2</v>
      </c>
      <c r="R57" s="17">
        <f>IF($A57="","",IF($K57="",IF($J57="","",ROUND(Lookups!$K$5+Lookups!$K$4*$J57,4)),$K57))</f>
        <v>0.1667</v>
      </c>
      <c r="S57" s="5" t="str">
        <f>IF($A57="","",IF($K57="","Imputed","Original"))</f>
        <v>Original</v>
      </c>
      <c r="T57" s="5" t="str">
        <f>IF($A57="","",IF($P57="","Missing",IF($P57=$N57+$O57,"OK","Mismatch")))</f>
        <v>OK</v>
      </c>
      <c r="U57" s="5" t="str">
        <f>IF($A57="","",IF(COUNTIF($A$2:$A57,$A57)&gt;1,"Duplicate","Unique"))</f>
        <v>Unique</v>
      </c>
      <c r="V57" s="5">
        <f>IF($A57="","",IF(AND($U57="Unique",ISNUMBER($P57)),1,0))</f>
        <v>1</v>
      </c>
      <c r="W57" s="5" t="str">
        <f>IF($A57="","",IF(OR($H57=0,$H57=6),"Weekend","Weekday"))</f>
        <v>Weekday</v>
      </c>
      <c r="X57" s="5" t="str">
        <f>IF($A57="","",TEXT($B57,"ddd"))</f>
        <v>Mon</v>
      </c>
      <c r="Y57" s="5" t="str">
        <f>IF($A57="","",TEXT($B57,"mmm"))</f>
        <v>Jan</v>
      </c>
      <c r="Z57" s="5" t="str">
        <f>IF($A57="","",IFERROR(VLOOKUP($C57,Lookups!$D$4:$E$7,2,FALSE),"Unknown"))</f>
        <v>Winter</v>
      </c>
      <c r="AA57" s="5" t="str">
        <f>IF($A57="","",IFERROR(VLOOKUP($I57,Lookups!$A$4:$B$7,2,FALSE),"Unknown"))</f>
        <v>Clear</v>
      </c>
      <c r="AB57" s="5" t="str">
        <f>IF($A57="","",TEXT($F57,"00")&amp;":00")</f>
        <v>10:00</v>
      </c>
      <c r="AC57" s="5" t="str">
        <f>IF($A57="","",VLOOKUP($F57,Lookups!$G$4:$H$8,2,TRUE))</f>
        <v>Midday (10-15)</v>
      </c>
      <c r="AD57" s="18">
        <f>IF($A57="","",IF($J57="","",ROUND($J57*41,1)))</f>
        <v>7.4</v>
      </c>
      <c r="AE57" s="18">
        <f>IF($A57="","",IF($R57="","",ROUND($R57*50,1)))</f>
        <v>8.3</v>
      </c>
      <c r="AF57" s="5">
        <f>IF($A57="","",IF($L57="","",ROUND($L57*100,0)))</f>
        <v>43</v>
      </c>
      <c r="AG57" s="18">
        <f>IF($A57="","",IF($M57="","",ROUND($M57*67,1)))</f>
        <v>17</v>
      </c>
      <c r="AH57" s="19">
        <f>IF($A57="","",IF($P57="","",IF($P57=0,0,$O57/$P57)))</f>
        <v>0.75</v>
      </c>
      <c r="AI57" s="5" t="str">
        <f>IF($A57="","",IF($P57="","",IF($P57&gt;=Lookups!$K$7,"High",IF($P57&lt;=Lookups!$K$8,"Low","Medium"))))</f>
        <v>Medium</v>
      </c>
      <c r="AJ57" s="5" t="str">
        <f>IF($A57="","",IF($AD57="","",IF($AD57&lt;5,"Under 5 C",IF($AD57&lt;10,"5-10 C",IF($AD57&lt;15,"10-15 C","15 C and above")))))</f>
        <v>5-10 C</v>
      </c>
      <c r="AK57" s="5">
        <f>IF($A57="","",IF($P57="","",$P57^2))</f>
        <v>1936</v>
      </c>
      <c r="AL57" s="18">
        <f>IF($V57&lt;&gt;1,"",AVERAGEIFS(Clean_Data!$P$2:$P$1001,Clean_Data!$F$2:$F$1001,$F57,Clean_Data!$W$2:$W$1001,$W57,Clean_Data!$V$2:$V$1001,1))</f>
        <v>49.0714285714286</v>
      </c>
      <c r="AM57" s="16">
        <f>IF($V57&lt;&gt;1,"",IFERROR(($P57-$AL57)/SQRT(MAX(0,(SUMIFS(Clean_Data!$AK$2:$AK$1001,Clean_Data!$F$2:$F$1001,$F57,Clean_Data!$W$2:$W$1001,$W57,Clean_Data!$V$2:$V$1001,1)-COUNTIFS(Clean_Data!$F$2:$F$1001,$F57,Clean_Data!$W$2:$W$1001,$W57,Clean_Data!$V$2:$V$1001,1)*$AL57^2)/(COUNTIFS(Clean_Data!$F$2:$F$1001,$F57,Clean_Data!$W$2:$W$1001,$W57,Clean_Data!$V$2:$V$1001,1)-1))),""))</f>
        <v>-0.502524371261835</v>
      </c>
      <c r="AN57" s="5" t="str">
        <f>IF($AM57="","",IF($AM57&gt;=Lookups!$K$6,"High spike",IF($AM57&lt;=-Lookups!$K$6,"Unusual low","Normal")))</f>
        <v>Normal</v>
      </c>
      <c r="AO57" s="20">
        <f>IF($V57&lt;&gt;1,"",$P57+ROW()/100000)</f>
        <v>44.00057</v>
      </c>
      <c r="AP57" s="5">
        <f>IF($A57="","",IFERROR(MATCH($A57,Raw_D1!$A$2:$A$1001,0),""))</f>
        <v>56</v>
      </c>
      <c r="AQ57" s="5">
        <f>IF($A57="","",IFERROR(MATCH($A57,Raw_D2!$B$2:$B$1001,0),""))</f>
        <v>56</v>
      </c>
      <c r="AR57" s="5">
        <f>IF($A57="","",IFERROR(MATCH($A57,Raw_D3!$A$2:$A$1001,0),""))</f>
        <v/>
      </c>
    </row>
    <row r="58" spans="1:44" x14ac:dyDescent="0.25">
      <c r="A58" s="5">
        <v>57</v>
      </c>
      <c r="B58" s="11">
        <f>IF($A58="","",IF($AP58&lt;&gt;"",INDEX(Raw_D1!$B$2:$B$1001,$AP58),IF($AR58&lt;&gt;"",INDEX(Raw_D3!$B$2:$B$1001,$AR58),"")))</f>
        <v>40546.0</v>
      </c>
      <c r="C58" s="5">
        <f>IF($A58="","",IF($AP58&lt;&gt;"",INDEX(Raw_D1!$C$2:$C$1001,$AP58),IF($AR58&lt;&gt;"",INDEX(Raw_D3!$C$2:$C$1001,$AR58),"")))</f>
        <v>1</v>
      </c>
      <c r="D58" s="5">
        <f>IF($A58="","",IF($AP58&lt;&gt;"",INDEX(Raw_D1!$D$2:$D$1001,$AP58),IF($AR58&lt;&gt;"",INDEX(Raw_D3!$D$2:$D$1001,$AR58),"")))</f>
        <v>0</v>
      </c>
      <c r="E58" s="5">
        <f>IF($A58="","",IF($AP58&lt;&gt;"",INDEX(Raw_D1!$E$2:$E$1001,$AP58),IF($AR58&lt;&gt;"",INDEX(Raw_D3!$E$2:$E$1001,$AR58),"")))</f>
        <v>1</v>
      </c>
      <c r="F58" s="5">
        <f>IF($A58="","",IF($AP58&lt;&gt;"",INDEX(Raw_D1!$F$2:$F$1001,$AP58),IF($AR58&lt;&gt;"",INDEX(Raw_D3!$F$2:$F$1001,$AR58),"")))</f>
        <v>11</v>
      </c>
      <c r="G58" s="5">
        <f>IF($A58="","",IF($AP58&lt;&gt;"",IF(INDEX(Raw_D1!$G$2:$G$1001,$AP58),1,0),IF($AR58&lt;&gt;"",IF(INDEX(Raw_D3!$G$2:$G$1001,$AR58),1,0),"")))</f>
        <v>0</v>
      </c>
      <c r="H58" s="5">
        <f>IF($A58="","",IF($AP58&lt;&gt;"",INDEX(Raw_D1!$H$2:$H$1001,$AP58),IF($AR58&lt;&gt;"",INDEX(Raw_D3!$H$2:$H$1001,$AR58),"")))</f>
        <v>1</v>
      </c>
      <c r="I58" s="5">
        <f>IF($A58="","",IF($AP58&lt;&gt;"",INDEX(Raw_D1!$I$2:$I$1001,$AP58),IF($AR58&lt;&gt;"",INDEX(Raw_D3!$I$2:$I$1001,$AR58),"")))</f>
        <v>1</v>
      </c>
      <c r="J58" s="16">
        <f>IF($A58="","",IF($AP58&lt;&gt;"",INDEX(Raw_D1!$J$2:$J$1001,$AP58),IF($AR58&lt;&gt;"",INDEX(Raw_D3!$J$2:$J$1001,$AR58),"")))</f>
        <v>0.2</v>
      </c>
      <c r="K58" s="17">
        <f>IF($A58="","",IF($AQ58&lt;&gt;"",IF(INDEX(Raw_D2!$C$2:$C$1001,$AQ58)="","",INDEX(Raw_D2!$C$2:$C$1001,$AQ58)),IF($AR58&lt;&gt;"",IF(INDEX(Raw_D3!$K$2:$K$1001,$AR58)="","",INDEX(Raw_D3!$K$2:$K$1001,$AR58)),"")))</f>
        <v>0.1818</v>
      </c>
      <c r="L58" s="16">
        <f>IF($A58="","",IF($AQ58&lt;&gt;"",IF(INDEX(Raw_D2!$D$2:$D$1001,$AQ58)="","",INDEX(Raw_D2!$D$2:$D$1001,$AQ58)),IF($AR58&lt;&gt;"",IF(INDEX(Raw_D3!$L$2:$L$1001,$AR58)="","",INDEX(Raw_D3!$L$2:$L$1001,$AR58)),"")))</f>
        <v>0.4</v>
      </c>
      <c r="M58" s="17">
        <f>IF($A58="","",IF($AQ58&lt;&gt;"",IF(INDEX(Raw_D2!$E$2:$E$1001,$AQ58)="","",INDEX(Raw_D2!$E$2:$E$1001,$AQ58)),IF($AR58&lt;&gt;"",IF(INDEX(Raw_D3!$M$2:$M$1001,$AR58)="","",INDEX(Raw_D3!$M$2:$M$1001,$AR58)),"")))</f>
        <v>0.3284</v>
      </c>
      <c r="N58" s="5">
        <f>IF($A58="","",IF($AQ58&lt;&gt;"",IF(INDEX(Raw_D2!$F$2:$F$1001,$AQ58)="","",INDEX(Raw_D2!$F$2:$F$1001,$AQ58)),IF($AR58&lt;&gt;"",IF(INDEX(Raw_D3!$N$2:$N$1001,$AR58)="","",INDEX(Raw_D3!$N$2:$N$1001,$AR58)),"")))</f>
        <v>10</v>
      </c>
      <c r="O58" s="5">
        <f>IF($A58="","",IF($AQ58&lt;&gt;"",IF(INDEX(Raw_D2!$G$2:$G$1001,$AQ58)="","",INDEX(Raw_D2!$G$2:$G$1001,$AQ58)),IF($AR58&lt;&gt;"",IF(INDEX(Raw_D3!$O$2:$O$1001,$AR58)="","",INDEX(Raw_D3!$O$2:$O$1001,$AR58)),"")))</f>
        <v>41</v>
      </c>
      <c r="P58" s="5">
        <f>IF($A58="","",IF($AQ58&lt;&gt;"",IF(INDEX(Raw_D2!$H$2:$H$1001,$AQ58)="","",INDEX(Raw_D2!$H$2:$H$1001,$AQ58)),IF($AR58&lt;&gt;"",IF(INDEX(Raw_D3!$P$2:$P$1001,$AR58)="","",INDEX(Raw_D3!$P$2:$P$1001,$AR58)),"")))</f>
        <v>51</v>
      </c>
      <c r="Q58" s="5" t="str">
        <f>IF($A58="","",IF(AND($AP58&lt;&gt;"",$AQ58&lt;&gt;""),"D1+D2",IF($AR58&lt;&gt;"","D3","Incomplete")))</f>
        <v>D1+D2</v>
      </c>
      <c r="R58" s="17">
        <f>IF($A58="","",IF($K58="",IF($J58="","",ROUND(Lookups!$K$5+Lookups!$K$4*$J58,4)),$K58))</f>
        <v>0.1818</v>
      </c>
      <c r="S58" s="5" t="str">
        <f>IF($A58="","",IF($K58="","Imputed","Original"))</f>
        <v>Original</v>
      </c>
      <c r="T58" s="5" t="str">
        <f>IF($A58="","",IF($P58="","Missing",IF($P58=$N58+$O58,"OK","Mismatch")))</f>
        <v>OK</v>
      </c>
      <c r="U58" s="5" t="str">
        <f>IF($A58="","",IF(COUNTIF($A$2:$A58,$A58)&gt;1,"Duplicate","Unique"))</f>
        <v>Unique</v>
      </c>
      <c r="V58" s="5">
        <f>IF($A58="","",IF(AND($U58="Unique",ISNUMBER($P58)),1,0))</f>
        <v>1</v>
      </c>
      <c r="W58" s="5" t="str">
        <f>IF($A58="","",IF(OR($H58=0,$H58=6),"Weekend","Weekday"))</f>
        <v>Weekday</v>
      </c>
      <c r="X58" s="5" t="str">
        <f>IF($A58="","",TEXT($B58,"ddd"))</f>
        <v>Mon</v>
      </c>
      <c r="Y58" s="5" t="str">
        <f>IF($A58="","",TEXT($B58,"mmm"))</f>
        <v>Jan</v>
      </c>
      <c r="Z58" s="5" t="str">
        <f>IF($A58="","",IFERROR(VLOOKUP($C58,Lookups!$D$4:$E$7,2,FALSE),"Unknown"))</f>
        <v>Winter</v>
      </c>
      <c r="AA58" s="5" t="str">
        <f>IF($A58="","",IFERROR(VLOOKUP($I58,Lookups!$A$4:$B$7,2,FALSE),"Unknown"))</f>
        <v>Clear</v>
      </c>
      <c r="AB58" s="5" t="str">
        <f>IF($A58="","",TEXT($F58,"00")&amp;":00")</f>
        <v>11:00</v>
      </c>
      <c r="AC58" s="5" t="str">
        <f>IF($A58="","",VLOOKUP($F58,Lookups!$G$4:$H$8,2,TRUE))</f>
        <v>Midday (10-15)</v>
      </c>
      <c r="AD58" s="18">
        <f>IF($A58="","",IF($J58="","",ROUND($J58*41,1)))</f>
        <v>8.2</v>
      </c>
      <c r="AE58" s="18">
        <f>IF($A58="","",IF($R58="","",ROUND($R58*50,1)))</f>
        <v>9.1</v>
      </c>
      <c r="AF58" s="5">
        <f>IF($A58="","",IF($L58="","",ROUND($L58*100,0)))</f>
        <v>40</v>
      </c>
      <c r="AG58" s="18">
        <f>IF($A58="","",IF($M58="","",ROUND($M58*67,1)))</f>
        <v>22</v>
      </c>
      <c r="AH58" s="19">
        <f>IF($A58="","",IF($P58="","",IF($P58=0,0,$O58/$P58)))</f>
        <v>0.803921568627451</v>
      </c>
      <c r="AI58" s="5" t="str">
        <f>IF($A58="","",IF($P58="","",IF($P58&gt;=Lookups!$K$7,"High",IF($P58&lt;=Lookups!$K$8,"Low","Medium"))))</f>
        <v>Medium</v>
      </c>
      <c r="AJ58" s="5" t="str">
        <f>IF($A58="","",IF($AD58="","",IF($AD58&lt;5,"Under 5 C",IF($AD58&lt;10,"5-10 C",IF($AD58&lt;15,"10-15 C","15 C and above")))))</f>
        <v>5-10 C</v>
      </c>
      <c r="AK58" s="5">
        <f>IF($A58="","",IF($P58="","",$P58^2))</f>
        <v>2601</v>
      </c>
      <c r="AL58" s="18">
        <f>IF($V58&lt;&gt;1,"",AVERAGEIFS(Clean_Data!$P$2:$P$1001,Clean_Data!$F$2:$F$1001,$F58,Clean_Data!$W$2:$W$1001,$W58,Clean_Data!$V$2:$V$1001,1))</f>
        <v>50.6071428571429</v>
      </c>
      <c r="AM58" s="16">
        <f>IF($V58&lt;&gt;1,"",IFERROR(($P58-$AL58)/SQRT(MAX(0,(SUMIFS(Clean_Data!$AK$2:$AK$1001,Clean_Data!$F$2:$F$1001,$F58,Clean_Data!$W$2:$W$1001,$W58,Clean_Data!$V$2:$V$1001,1)-COUNTIFS(Clean_Data!$F$2:$F$1001,$F58,Clean_Data!$W$2:$W$1001,$W58,Clean_Data!$V$2:$V$1001,1)*$AL58^2)/(COUNTIFS(Clean_Data!$F$2:$F$1001,$F58,Clean_Data!$W$2:$W$1001,$W58,Clean_Data!$V$2:$V$1001,1)-1))),""))</f>
        <v>0.0350672207857526</v>
      </c>
      <c r="AN58" s="5" t="str">
        <f>IF($AM58="","",IF($AM58&gt;=Lookups!$K$6,"High spike",IF($AM58&lt;=-Lookups!$K$6,"Unusual low","Normal")))</f>
        <v>Normal</v>
      </c>
      <c r="AO58" s="20">
        <f>IF($V58&lt;&gt;1,"",$P58+ROW()/100000)</f>
        <v>51.00058</v>
      </c>
      <c r="AP58" s="5">
        <f>IF($A58="","",IFERROR(MATCH($A58,Raw_D1!$A$2:$A$1001,0),""))</f>
        <v>57</v>
      </c>
      <c r="AQ58" s="5">
        <f>IF($A58="","",IFERROR(MATCH($A58,Raw_D2!$B$2:$B$1001,0),""))</f>
        <v>57</v>
      </c>
      <c r="AR58" s="5">
        <f>IF($A58="","",IFERROR(MATCH($A58,Raw_D3!$A$2:$A$1001,0),""))</f>
        <v/>
      </c>
    </row>
    <row r="59" spans="1:44" x14ac:dyDescent="0.25">
      <c r="A59" s="5">
        <v>58</v>
      </c>
      <c r="B59" s="11">
        <f>IF($A59="","",IF($AP59&lt;&gt;"",INDEX(Raw_D1!$B$2:$B$1001,$AP59),IF($AR59&lt;&gt;"",INDEX(Raw_D3!$B$2:$B$1001,$AR59),"")))</f>
        <v>40546.0</v>
      </c>
      <c r="C59" s="5">
        <f>IF($A59="","",IF($AP59&lt;&gt;"",INDEX(Raw_D1!$C$2:$C$1001,$AP59),IF($AR59&lt;&gt;"",INDEX(Raw_D3!$C$2:$C$1001,$AR59),"")))</f>
        <v>1</v>
      </c>
      <c r="D59" s="5">
        <f>IF($A59="","",IF($AP59&lt;&gt;"",INDEX(Raw_D1!$D$2:$D$1001,$AP59),IF($AR59&lt;&gt;"",INDEX(Raw_D3!$D$2:$D$1001,$AR59),"")))</f>
        <v>0</v>
      </c>
      <c r="E59" s="5">
        <f>IF($A59="","",IF($AP59&lt;&gt;"",INDEX(Raw_D1!$E$2:$E$1001,$AP59),IF($AR59&lt;&gt;"",INDEX(Raw_D3!$E$2:$E$1001,$AR59),"")))</f>
        <v>1</v>
      </c>
      <c r="F59" s="5">
        <f>IF($A59="","",IF($AP59&lt;&gt;"",INDEX(Raw_D1!$F$2:$F$1001,$AP59),IF($AR59&lt;&gt;"",INDEX(Raw_D3!$F$2:$F$1001,$AR59),"")))</f>
        <v>12</v>
      </c>
      <c r="G59" s="5">
        <f>IF($A59="","",IF($AP59&lt;&gt;"",IF(INDEX(Raw_D1!$G$2:$G$1001,$AP59),1,0),IF($AR59&lt;&gt;"",IF(INDEX(Raw_D3!$G$2:$G$1001,$AR59),1,0),"")))</f>
        <v>0</v>
      </c>
      <c r="H59" s="5">
        <f>IF($A59="","",IF($AP59&lt;&gt;"",INDEX(Raw_D1!$H$2:$H$1001,$AP59),IF($AR59&lt;&gt;"",INDEX(Raw_D3!$H$2:$H$1001,$AR59),"")))</f>
        <v>1</v>
      </c>
      <c r="I59" s="5">
        <f>IF($A59="","",IF($AP59&lt;&gt;"",INDEX(Raw_D1!$I$2:$I$1001,$AP59),IF($AR59&lt;&gt;"",INDEX(Raw_D3!$I$2:$I$1001,$AR59),"")))</f>
        <v>1</v>
      </c>
      <c r="J59" s="16">
        <f>IF($A59="","",IF($AP59&lt;&gt;"",INDEX(Raw_D1!$J$2:$J$1001,$AP59),IF($AR59&lt;&gt;"",INDEX(Raw_D3!$J$2:$J$1001,$AR59),"")))</f>
        <v>0.22</v>
      </c>
      <c r="K59" s="17">
        <f>IF($A59="","",IF($AQ59&lt;&gt;"",IF(INDEX(Raw_D2!$C$2:$C$1001,$AQ59)="","",INDEX(Raw_D2!$C$2:$C$1001,$AQ59)),IF($AR59&lt;&gt;"",IF(INDEX(Raw_D3!$K$2:$K$1001,$AR59)="","",INDEX(Raw_D3!$K$2:$K$1001,$AR59)),"")))</f>
        <v>0.2121</v>
      </c>
      <c r="L59" s="16">
        <f>IF($A59="","",IF($AQ59&lt;&gt;"",IF(INDEX(Raw_D2!$D$2:$D$1001,$AQ59)="","",INDEX(Raw_D2!$D$2:$D$1001,$AQ59)),IF($AR59&lt;&gt;"",IF(INDEX(Raw_D3!$L$2:$L$1001,$AR59)="","",INDEX(Raw_D3!$L$2:$L$1001,$AR59)),"")))</f>
        <v>0.35</v>
      </c>
      <c r="M59" s="17">
        <f>IF($A59="","",IF($AQ59&lt;&gt;"",IF(INDEX(Raw_D2!$E$2:$E$1001,$AQ59)="","",INDEX(Raw_D2!$E$2:$E$1001,$AQ59)),IF($AR59&lt;&gt;"",IF(INDEX(Raw_D3!$M$2:$M$1001,$AR59)="","",INDEX(Raw_D3!$M$2:$M$1001,$AR59)),"")))</f>
        <v>0.2985</v>
      </c>
      <c r="N59" s="5">
        <f>IF($A59="","",IF($AQ59&lt;&gt;"",IF(INDEX(Raw_D2!$F$2:$F$1001,$AQ59)="","",INDEX(Raw_D2!$F$2:$F$1001,$AQ59)),IF($AR59&lt;&gt;"",IF(INDEX(Raw_D3!$N$2:$N$1001,$AR59)="","",INDEX(Raw_D3!$N$2:$N$1001,$AR59)),"")))</f>
        <v>13</v>
      </c>
      <c r="O59" s="5">
        <f>IF($A59="","",IF($AQ59&lt;&gt;"",IF(INDEX(Raw_D2!$G$2:$G$1001,$AQ59)="","",INDEX(Raw_D2!$G$2:$G$1001,$AQ59)),IF($AR59&lt;&gt;"",IF(INDEX(Raw_D3!$O$2:$O$1001,$AR59)="","",INDEX(Raw_D3!$O$2:$O$1001,$AR59)),"")))</f>
        <v>48</v>
      </c>
      <c r="P59" s="5">
        <f>IF($A59="","",IF($AQ59&lt;&gt;"",IF(INDEX(Raw_D2!$H$2:$H$1001,$AQ59)="","",INDEX(Raw_D2!$H$2:$H$1001,$AQ59)),IF($AR59&lt;&gt;"",IF(INDEX(Raw_D3!$P$2:$P$1001,$AR59)="","",INDEX(Raw_D3!$P$2:$P$1001,$AR59)),"")))</f>
        <v>61</v>
      </c>
      <c r="Q59" s="5" t="str">
        <f>IF($A59="","",IF(AND($AP59&lt;&gt;"",$AQ59&lt;&gt;""),"D1+D2",IF($AR59&lt;&gt;"","D3","Incomplete")))</f>
        <v>D1+D2</v>
      </c>
      <c r="R59" s="17">
        <f>IF($A59="","",IF($K59="",IF($J59="","",ROUND(Lookups!$K$5+Lookups!$K$4*$J59,4)),$K59))</f>
        <v>0.2121</v>
      </c>
      <c r="S59" s="5" t="str">
        <f>IF($A59="","",IF($K59="","Imputed","Original"))</f>
        <v>Original</v>
      </c>
      <c r="T59" s="5" t="str">
        <f>IF($A59="","",IF($P59="","Missing",IF($P59=$N59+$O59,"OK","Mismatch")))</f>
        <v>OK</v>
      </c>
      <c r="U59" s="5" t="str">
        <f>IF($A59="","",IF(COUNTIF($A$2:$A59,$A59)&gt;1,"Duplicate","Unique"))</f>
        <v>Unique</v>
      </c>
      <c r="V59" s="5">
        <f>IF($A59="","",IF(AND($U59="Unique",ISNUMBER($P59)),1,0))</f>
        <v>1</v>
      </c>
      <c r="W59" s="5" t="str">
        <f>IF($A59="","",IF(OR($H59=0,$H59=6),"Weekend","Weekday"))</f>
        <v>Weekday</v>
      </c>
      <c r="X59" s="5" t="str">
        <f>IF($A59="","",TEXT($B59,"ddd"))</f>
        <v>Mon</v>
      </c>
      <c r="Y59" s="5" t="str">
        <f>IF($A59="","",TEXT($B59,"mmm"))</f>
        <v>Jan</v>
      </c>
      <c r="Z59" s="5" t="str">
        <f>IF($A59="","",IFERROR(VLOOKUP($C59,Lookups!$D$4:$E$7,2,FALSE),"Unknown"))</f>
        <v>Winter</v>
      </c>
      <c r="AA59" s="5" t="str">
        <f>IF($A59="","",IFERROR(VLOOKUP($I59,Lookups!$A$4:$B$7,2,FALSE),"Unknown"))</f>
        <v>Clear</v>
      </c>
      <c r="AB59" s="5" t="str">
        <f>IF($A59="","",TEXT($F59,"00")&amp;":00")</f>
        <v>12:00</v>
      </c>
      <c r="AC59" s="5" t="str">
        <f>IF($A59="","",VLOOKUP($F59,Lookups!$G$4:$H$8,2,TRUE))</f>
        <v>Midday (10-15)</v>
      </c>
      <c r="AD59" s="18">
        <f>IF($A59="","",IF($J59="","",ROUND($J59*41,1)))</f>
        <v>9</v>
      </c>
      <c r="AE59" s="18">
        <f>IF($A59="","",IF($R59="","",ROUND($R59*50,1)))</f>
        <v>10.6</v>
      </c>
      <c r="AF59" s="5">
        <f>IF($A59="","",IF($L59="","",ROUND($L59*100,0)))</f>
        <v>35</v>
      </c>
      <c r="AG59" s="18">
        <f>IF($A59="","",IF($M59="","",ROUND($M59*67,1)))</f>
        <v>20</v>
      </c>
      <c r="AH59" s="19">
        <f>IF($A59="","",IF($P59="","",IF($P59=0,0,$O59/$P59)))</f>
        <v>0.786885245901639</v>
      </c>
      <c r="AI59" s="5" t="str">
        <f>IF($A59="","",IF($P59="","",IF($P59&gt;=Lookups!$K$7,"High",IF($P59&lt;=Lookups!$K$8,"Low","Medium"))))</f>
        <v>Medium</v>
      </c>
      <c r="AJ59" s="5" t="str">
        <f>IF($A59="","",IF($AD59="","",IF($AD59&lt;5,"Under 5 C",IF($AD59&lt;10,"5-10 C",IF($AD59&lt;15,"10-15 C","15 C and above")))))</f>
        <v>5-10 C</v>
      </c>
      <c r="AK59" s="5">
        <f>IF($A59="","",IF($P59="","",$P59^2))</f>
        <v>3721</v>
      </c>
      <c r="AL59" s="18">
        <f>IF($V59&lt;&gt;1,"",AVERAGEIFS(Clean_Data!$P$2:$P$1001,Clean_Data!$F$2:$F$1001,$F59,Clean_Data!$W$2:$W$1001,$W59,Clean_Data!$V$2:$V$1001,1))</f>
        <v>64.5862068965517</v>
      </c>
      <c r="AM59" s="16">
        <f>IF($V59&lt;&gt;1,"",IFERROR(($P59-$AL59)/SQRT(MAX(0,(SUMIFS(Clean_Data!$AK$2:$AK$1001,Clean_Data!$F$2:$F$1001,$F59,Clean_Data!$W$2:$W$1001,$W59,Clean_Data!$V$2:$V$1001,1)-COUNTIFS(Clean_Data!$F$2:$F$1001,$F59,Clean_Data!$W$2:$W$1001,$W59,Clean_Data!$V$2:$V$1001,1)*$AL59^2)/(COUNTIFS(Clean_Data!$F$2:$F$1001,$F59,Clean_Data!$W$2:$W$1001,$W59,Clean_Data!$V$2:$V$1001,1)-1))),""))</f>
        <v>-0.191485432089307</v>
      </c>
      <c r="AN59" s="5" t="str">
        <f>IF($AM59="","",IF($AM59&gt;=Lookups!$K$6,"High spike",IF($AM59&lt;=-Lookups!$K$6,"Unusual low","Normal")))</f>
        <v>Normal</v>
      </c>
      <c r="AO59" s="20">
        <f>IF($V59&lt;&gt;1,"",$P59+ROW()/100000)</f>
        <v>61.00059</v>
      </c>
      <c r="AP59" s="5">
        <f>IF($A59="","",IFERROR(MATCH($A59,Raw_D1!$A$2:$A$1001,0),""))</f>
        <v>58</v>
      </c>
      <c r="AQ59" s="5">
        <f>IF($A59="","",IFERROR(MATCH($A59,Raw_D2!$B$2:$B$1001,0),""))</f>
        <v>58</v>
      </c>
      <c r="AR59" s="5">
        <f>IF($A59="","",IFERROR(MATCH($A59,Raw_D3!$A$2:$A$1001,0),""))</f>
        <v/>
      </c>
    </row>
    <row r="60" spans="1:44" x14ac:dyDescent="0.25">
      <c r="A60" s="5">
        <v>59</v>
      </c>
      <c r="B60" s="11">
        <f>IF($A60="","",IF($AP60&lt;&gt;"",INDEX(Raw_D1!$B$2:$B$1001,$AP60),IF($AR60&lt;&gt;"",INDEX(Raw_D3!$B$2:$B$1001,$AR60),"")))</f>
        <v>40546.0</v>
      </c>
      <c r="C60" s="5">
        <f>IF($A60="","",IF($AP60&lt;&gt;"",INDEX(Raw_D1!$C$2:$C$1001,$AP60),IF($AR60&lt;&gt;"",INDEX(Raw_D3!$C$2:$C$1001,$AR60),"")))</f>
        <v>1</v>
      </c>
      <c r="D60" s="5">
        <f>IF($A60="","",IF($AP60&lt;&gt;"",INDEX(Raw_D1!$D$2:$D$1001,$AP60),IF($AR60&lt;&gt;"",INDEX(Raw_D3!$D$2:$D$1001,$AR60),"")))</f>
        <v>0</v>
      </c>
      <c r="E60" s="5">
        <f>IF($A60="","",IF($AP60&lt;&gt;"",INDEX(Raw_D1!$E$2:$E$1001,$AP60),IF($AR60&lt;&gt;"",INDEX(Raw_D3!$E$2:$E$1001,$AR60),"")))</f>
        <v>1</v>
      </c>
      <c r="F60" s="5">
        <f>IF($A60="","",IF($AP60&lt;&gt;"",INDEX(Raw_D1!$F$2:$F$1001,$AP60),IF($AR60&lt;&gt;"",INDEX(Raw_D3!$F$2:$F$1001,$AR60),"")))</f>
        <v>13</v>
      </c>
      <c r="G60" s="5">
        <f>IF($A60="","",IF($AP60&lt;&gt;"",IF(INDEX(Raw_D1!$G$2:$G$1001,$AP60),1,0),IF($AR60&lt;&gt;"",IF(INDEX(Raw_D3!$G$2:$G$1001,$AR60),1,0),"")))</f>
        <v>0</v>
      </c>
      <c r="H60" s="5">
        <f>IF($A60="","",IF($AP60&lt;&gt;"",INDEX(Raw_D1!$H$2:$H$1001,$AP60),IF($AR60&lt;&gt;"",INDEX(Raw_D3!$H$2:$H$1001,$AR60),"")))</f>
        <v>1</v>
      </c>
      <c r="I60" s="5">
        <f>IF($A60="","",IF($AP60&lt;&gt;"",INDEX(Raw_D1!$I$2:$I$1001,$AP60),IF($AR60&lt;&gt;"",INDEX(Raw_D3!$I$2:$I$1001,$AR60),"")))</f>
        <v>1</v>
      </c>
      <c r="J60" s="16">
        <f>IF($A60="","",IF($AP60&lt;&gt;"",INDEX(Raw_D1!$J$2:$J$1001,$AP60),IF($AR60&lt;&gt;"",INDEX(Raw_D3!$J$2:$J$1001,$AR60),"")))</f>
        <v>0.24</v>
      </c>
      <c r="K60" s="17">
        <f>IF($A60="","",IF($AQ60&lt;&gt;"",IF(INDEX(Raw_D2!$C$2:$C$1001,$AQ60)="","",INDEX(Raw_D2!$C$2:$C$1001,$AQ60)),IF($AR60&lt;&gt;"",IF(INDEX(Raw_D3!$K$2:$K$1001,$AR60)="","",INDEX(Raw_D3!$K$2:$K$1001,$AR60)),"")))</f>
        <v/>
      </c>
      <c r="L60" s="16">
        <f>IF($A60="","",IF($AQ60&lt;&gt;"",IF(INDEX(Raw_D2!$D$2:$D$1001,$AQ60)="","",INDEX(Raw_D2!$D$2:$D$1001,$AQ60)),IF($AR60&lt;&gt;"",IF(INDEX(Raw_D3!$L$2:$L$1001,$AR60)="","",INDEX(Raw_D3!$L$2:$L$1001,$AR60)),"")))</f>
        <v>0.35</v>
      </c>
      <c r="M60" s="17">
        <f>IF($A60="","",IF($AQ60&lt;&gt;"",IF(INDEX(Raw_D2!$E$2:$E$1001,$AQ60)="","",INDEX(Raw_D2!$E$2:$E$1001,$AQ60)),IF($AR60&lt;&gt;"",IF(INDEX(Raw_D3!$M$2:$M$1001,$AR60)="","",INDEX(Raw_D3!$M$2:$M$1001,$AR60)),"")))</f>
        <v>0.2836</v>
      </c>
      <c r="N60" s="5">
        <f>IF($A60="","",IF($AQ60&lt;&gt;"",IF(INDEX(Raw_D2!$F$2:$F$1001,$AQ60)="","",INDEX(Raw_D2!$F$2:$F$1001,$AQ60)),IF($AR60&lt;&gt;"",IF(INDEX(Raw_D3!$N$2:$N$1001,$AR60)="","",INDEX(Raw_D3!$N$2:$N$1001,$AR60)),"")))</f>
        <v>8</v>
      </c>
      <c r="O60" s="5">
        <f>IF($A60="","",IF($AQ60&lt;&gt;"",IF(INDEX(Raw_D2!$G$2:$G$1001,$AQ60)="","",INDEX(Raw_D2!$G$2:$G$1001,$AQ60)),IF($AR60&lt;&gt;"",IF(INDEX(Raw_D3!$O$2:$O$1001,$AR60)="","",INDEX(Raw_D3!$O$2:$O$1001,$AR60)),"")))</f>
        <v>53</v>
      </c>
      <c r="P60" s="5">
        <f>IF($A60="","",IF($AQ60&lt;&gt;"",IF(INDEX(Raw_D2!$H$2:$H$1001,$AQ60)="","",INDEX(Raw_D2!$H$2:$H$1001,$AQ60)),IF($AR60&lt;&gt;"",IF(INDEX(Raw_D3!$P$2:$P$1001,$AR60)="","",INDEX(Raw_D3!$P$2:$P$1001,$AR60)),"")))</f>
        <v>61</v>
      </c>
      <c r="Q60" s="5" t="str">
        <f>IF($A60="","",IF(AND($AP60&lt;&gt;"",$AQ60&lt;&gt;""),"D1+D2",IF($AR60&lt;&gt;"","D3","Incomplete")))</f>
        <v>D1+D2</v>
      </c>
      <c r="R60" s="17">
        <f>IF($A60="","",IF($K60="",IF($J60="","",ROUND(Lookups!$K$5+Lookups!$K$4*$J60,4)),$K60))</f>
        <v>0.2444</v>
      </c>
      <c r="S60" s="5" t="str">
        <f>IF($A60="","",IF($K60="","Imputed","Original"))</f>
        <v>Imputed</v>
      </c>
      <c r="T60" s="5" t="str">
        <f>IF($A60="","",IF($P60="","Missing",IF($P60=$N60+$O60,"OK","Mismatch")))</f>
        <v>OK</v>
      </c>
      <c r="U60" s="5" t="str">
        <f>IF($A60="","",IF(COUNTIF($A$2:$A60,$A60)&gt;1,"Duplicate","Unique"))</f>
        <v>Unique</v>
      </c>
      <c r="V60" s="5">
        <f>IF($A60="","",IF(AND($U60="Unique",ISNUMBER($P60)),1,0))</f>
        <v>1</v>
      </c>
      <c r="W60" s="5" t="str">
        <f>IF($A60="","",IF(OR($H60=0,$H60=6),"Weekend","Weekday"))</f>
        <v>Weekday</v>
      </c>
      <c r="X60" s="5" t="str">
        <f>IF($A60="","",TEXT($B60,"ddd"))</f>
        <v>Mon</v>
      </c>
      <c r="Y60" s="5" t="str">
        <f>IF($A60="","",TEXT($B60,"mmm"))</f>
        <v>Jan</v>
      </c>
      <c r="Z60" s="5" t="str">
        <f>IF($A60="","",IFERROR(VLOOKUP($C60,Lookups!$D$4:$E$7,2,FALSE),"Unknown"))</f>
        <v>Winter</v>
      </c>
      <c r="AA60" s="5" t="str">
        <f>IF($A60="","",IFERROR(VLOOKUP($I60,Lookups!$A$4:$B$7,2,FALSE),"Unknown"))</f>
        <v>Clear</v>
      </c>
      <c r="AB60" s="5" t="str">
        <f>IF($A60="","",TEXT($F60,"00")&amp;":00")</f>
        <v>13:00</v>
      </c>
      <c r="AC60" s="5" t="str">
        <f>IF($A60="","",VLOOKUP($F60,Lookups!$G$4:$H$8,2,TRUE))</f>
        <v>Midday (10-15)</v>
      </c>
      <c r="AD60" s="18">
        <f>IF($A60="","",IF($J60="","",ROUND($J60*41,1)))</f>
        <v>9.8</v>
      </c>
      <c r="AE60" s="18">
        <f>IF($A60="","",IF($R60="","",ROUND($R60*50,1)))</f>
        <v>12.2</v>
      </c>
      <c r="AF60" s="5">
        <f>IF($A60="","",IF($L60="","",ROUND($L60*100,0)))</f>
        <v>35</v>
      </c>
      <c r="AG60" s="18">
        <f>IF($A60="","",IF($M60="","",ROUND($M60*67,1)))</f>
        <v>19</v>
      </c>
      <c r="AH60" s="19">
        <f>IF($A60="","",IF($P60="","",IF($P60=0,0,$O60/$P60)))</f>
        <v>0.868852459016393</v>
      </c>
      <c r="AI60" s="5" t="str">
        <f>IF($A60="","",IF($P60="","",IF($P60&gt;=Lookups!$K$7,"High",IF($P60&lt;=Lookups!$K$8,"Low","Medium"))))</f>
        <v>Medium</v>
      </c>
      <c r="AJ60" s="5" t="str">
        <f>IF($A60="","",IF($AD60="","",IF($AD60&lt;5,"Under 5 C",IF($AD60&lt;10,"5-10 C",IF($AD60&lt;15,"10-15 C","15 C and above")))))</f>
        <v>5-10 C</v>
      </c>
      <c r="AK60" s="5">
        <f>IF($A60="","",IF($P60="","",$P60^2))</f>
        <v>3721</v>
      </c>
      <c r="AL60" s="18">
        <f>IF($V60&lt;&gt;1,"",AVERAGEIFS(Clean_Data!$P$2:$P$1001,Clean_Data!$F$2:$F$1001,$F60,Clean_Data!$W$2:$W$1001,$W60,Clean_Data!$V$2:$V$1001,1))</f>
        <v>67.1724137931034</v>
      </c>
      <c r="AM60" s="16">
        <f>IF($V60&lt;&gt;1,"",IFERROR(($P60-$AL60)/SQRT(MAX(0,(SUMIFS(Clean_Data!$AK$2:$AK$1001,Clean_Data!$F$2:$F$1001,$F60,Clean_Data!$W$2:$W$1001,$W60,Clean_Data!$V$2:$V$1001,1)-COUNTIFS(Clean_Data!$F$2:$F$1001,$F60,Clean_Data!$W$2:$W$1001,$W60,Clean_Data!$V$2:$V$1001,1)*$AL60^2)/(COUNTIFS(Clean_Data!$F$2:$F$1001,$F60,Clean_Data!$W$2:$W$1001,$W60,Clean_Data!$V$2:$V$1001,1)-1))),""))</f>
        <v>-0.305685222928416</v>
      </c>
      <c r="AN60" s="5" t="str">
        <f>IF($AM60="","",IF($AM60&gt;=Lookups!$K$6,"High spike",IF($AM60&lt;=-Lookups!$K$6,"Unusual low","Normal")))</f>
        <v>Normal</v>
      </c>
      <c r="AO60" s="20">
        <f>IF($V60&lt;&gt;1,"",$P60+ROW()/100000)</f>
        <v>61.0006</v>
      </c>
      <c r="AP60" s="5">
        <f>IF($A60="","",IFERROR(MATCH($A60,Raw_D1!$A$2:$A$1001,0),""))</f>
        <v>59</v>
      </c>
      <c r="AQ60" s="5">
        <f>IF($A60="","",IFERROR(MATCH($A60,Raw_D2!$B$2:$B$1001,0),""))</f>
        <v>59</v>
      </c>
      <c r="AR60" s="5">
        <f>IF($A60="","",IFERROR(MATCH($A60,Raw_D3!$A$2:$A$1001,0),""))</f>
        <v/>
      </c>
    </row>
    <row r="61" spans="1:44" x14ac:dyDescent="0.25">
      <c r="A61" s="5">
        <v>60</v>
      </c>
      <c r="B61" s="11">
        <f>IF($A61="","",IF($AP61&lt;&gt;"",INDEX(Raw_D1!$B$2:$B$1001,$AP61),IF($AR61&lt;&gt;"",INDEX(Raw_D3!$B$2:$B$1001,$AR61),"")))</f>
        <v>40546.0</v>
      </c>
      <c r="C61" s="5">
        <f>IF($A61="","",IF($AP61&lt;&gt;"",INDEX(Raw_D1!$C$2:$C$1001,$AP61),IF($AR61&lt;&gt;"",INDEX(Raw_D3!$C$2:$C$1001,$AR61),"")))</f>
        <v>1</v>
      </c>
      <c r="D61" s="5">
        <f>IF($A61="","",IF($AP61&lt;&gt;"",INDEX(Raw_D1!$D$2:$D$1001,$AP61),IF($AR61&lt;&gt;"",INDEX(Raw_D3!$D$2:$D$1001,$AR61),"")))</f>
        <v>0</v>
      </c>
      <c r="E61" s="5">
        <f>IF($A61="","",IF($AP61&lt;&gt;"",INDEX(Raw_D1!$E$2:$E$1001,$AP61),IF($AR61&lt;&gt;"",INDEX(Raw_D3!$E$2:$E$1001,$AR61),"")))</f>
        <v>1</v>
      </c>
      <c r="F61" s="5">
        <f>IF($A61="","",IF($AP61&lt;&gt;"",INDEX(Raw_D1!$F$2:$F$1001,$AP61),IF($AR61&lt;&gt;"",INDEX(Raw_D3!$F$2:$F$1001,$AR61),"")))</f>
        <v>14</v>
      </c>
      <c r="G61" s="5">
        <f>IF($A61="","",IF($AP61&lt;&gt;"",IF(INDEX(Raw_D1!$G$2:$G$1001,$AP61),1,0),IF($AR61&lt;&gt;"",IF(INDEX(Raw_D3!$G$2:$G$1001,$AR61),1,0),"")))</f>
        <v>0</v>
      </c>
      <c r="H61" s="5">
        <f>IF($A61="","",IF($AP61&lt;&gt;"",INDEX(Raw_D1!$H$2:$H$1001,$AP61),IF($AR61&lt;&gt;"",INDEX(Raw_D3!$H$2:$H$1001,$AR61),"")))</f>
        <v>1</v>
      </c>
      <c r="I61" s="5">
        <f>IF($A61="","",IF($AP61&lt;&gt;"",INDEX(Raw_D1!$I$2:$I$1001,$AP61),IF($AR61&lt;&gt;"",INDEX(Raw_D3!$I$2:$I$1001,$AR61),"")))</f>
        <v>1</v>
      </c>
      <c r="J61" s="16">
        <f>IF($A61="","",IF($AP61&lt;&gt;"",INDEX(Raw_D1!$J$2:$J$1001,$AP61),IF($AR61&lt;&gt;"",INDEX(Raw_D3!$J$2:$J$1001,$AR61),"")))</f>
        <v>0.26</v>
      </c>
      <c r="K61" s="17">
        <f>IF($A61="","",IF($AQ61&lt;&gt;"",IF(INDEX(Raw_D2!$C$2:$C$1001,$AQ61)="","",INDEX(Raw_D2!$C$2:$C$1001,$AQ61)),IF($AR61&lt;&gt;"",IF(INDEX(Raw_D3!$K$2:$K$1001,$AR61)="","",INDEX(Raw_D3!$K$2:$K$1001,$AR61)),"")))</f>
        <v>0.2424</v>
      </c>
      <c r="L61" s="16">
        <f>IF($A61="","",IF($AQ61&lt;&gt;"",IF(INDEX(Raw_D2!$D$2:$D$1001,$AQ61)="","",INDEX(Raw_D2!$D$2:$D$1001,$AQ61)),IF($AR61&lt;&gt;"",IF(INDEX(Raw_D3!$L$2:$L$1001,$AR61)="","",INDEX(Raw_D3!$L$2:$L$1001,$AR61)),"")))</f>
        <v>0.3</v>
      </c>
      <c r="M61" s="17">
        <f>IF($A61="","",IF($AQ61&lt;&gt;"",IF(INDEX(Raw_D2!$E$2:$E$1001,$AQ61)="","",INDEX(Raw_D2!$E$2:$E$1001,$AQ61)),IF($AR61&lt;&gt;"",IF(INDEX(Raw_D3!$M$2:$M$1001,$AR61)="","",INDEX(Raw_D3!$M$2:$M$1001,$AR61)),"")))</f>
        <v>0.2836</v>
      </c>
      <c r="N61" s="5">
        <f>IF($A61="","",IF($AQ61&lt;&gt;"",IF(INDEX(Raw_D2!$F$2:$F$1001,$AQ61)="","",INDEX(Raw_D2!$F$2:$F$1001,$AQ61)),IF($AR61&lt;&gt;"",IF(INDEX(Raw_D3!$N$2:$N$1001,$AR61)="","",INDEX(Raw_D3!$N$2:$N$1001,$AR61)),"")))</f>
        <v>11</v>
      </c>
      <c r="O61" s="5">
        <f>IF($A61="","",IF($AQ61&lt;&gt;"",IF(INDEX(Raw_D2!$G$2:$G$1001,$AQ61)="","",INDEX(Raw_D2!$G$2:$G$1001,$AQ61)),IF($AR61&lt;&gt;"",IF(INDEX(Raw_D3!$O$2:$O$1001,$AR61)="","",INDEX(Raw_D3!$O$2:$O$1001,$AR61)),"")))</f>
        <v>66</v>
      </c>
      <c r="P61" s="5">
        <f>IF($A61="","",IF($AQ61&lt;&gt;"",IF(INDEX(Raw_D2!$H$2:$H$1001,$AQ61)="","",INDEX(Raw_D2!$H$2:$H$1001,$AQ61)),IF($AR61&lt;&gt;"",IF(INDEX(Raw_D3!$P$2:$P$1001,$AR61)="","",INDEX(Raw_D3!$P$2:$P$1001,$AR61)),"")))</f>
        <v>77</v>
      </c>
      <c r="Q61" s="5" t="str">
        <f>IF($A61="","",IF(AND($AP61&lt;&gt;"",$AQ61&lt;&gt;""),"D1+D2",IF($AR61&lt;&gt;"","D3","Incomplete")))</f>
        <v>D1+D2</v>
      </c>
      <c r="R61" s="17">
        <f>IF($A61="","",IF($K61="",IF($J61="","",ROUND(Lookups!$K$5+Lookups!$K$4*$J61,4)),$K61))</f>
        <v>0.2424</v>
      </c>
      <c r="S61" s="5" t="str">
        <f>IF($A61="","",IF($K61="","Imputed","Original"))</f>
        <v>Original</v>
      </c>
      <c r="T61" s="5" t="str">
        <f>IF($A61="","",IF($P61="","Missing",IF($P61=$N61+$O61,"OK","Mismatch")))</f>
        <v>OK</v>
      </c>
      <c r="U61" s="5" t="str">
        <f>IF($A61="","",IF(COUNTIF($A$2:$A61,$A61)&gt;1,"Duplicate","Unique"))</f>
        <v>Unique</v>
      </c>
      <c r="V61" s="5">
        <f>IF($A61="","",IF(AND($U61="Unique",ISNUMBER($P61)),1,0))</f>
        <v>1</v>
      </c>
      <c r="W61" s="5" t="str">
        <f>IF($A61="","",IF(OR($H61=0,$H61=6),"Weekend","Weekday"))</f>
        <v>Weekday</v>
      </c>
      <c r="X61" s="5" t="str">
        <f>IF($A61="","",TEXT($B61,"ddd"))</f>
        <v>Mon</v>
      </c>
      <c r="Y61" s="5" t="str">
        <f>IF($A61="","",TEXT($B61,"mmm"))</f>
        <v>Jan</v>
      </c>
      <c r="Z61" s="5" t="str">
        <f>IF($A61="","",IFERROR(VLOOKUP($C61,Lookups!$D$4:$E$7,2,FALSE),"Unknown"))</f>
        <v>Winter</v>
      </c>
      <c r="AA61" s="5" t="str">
        <f>IF($A61="","",IFERROR(VLOOKUP($I61,Lookups!$A$4:$B$7,2,FALSE),"Unknown"))</f>
        <v>Clear</v>
      </c>
      <c r="AB61" s="5" t="str">
        <f>IF($A61="","",TEXT($F61,"00")&amp;":00")</f>
        <v>14:00</v>
      </c>
      <c r="AC61" s="5" t="str">
        <f>IF($A61="","",VLOOKUP($F61,Lookups!$G$4:$H$8,2,TRUE))</f>
        <v>Midday (10-15)</v>
      </c>
      <c r="AD61" s="18">
        <f>IF($A61="","",IF($J61="","",ROUND($J61*41,1)))</f>
        <v>10.7</v>
      </c>
      <c r="AE61" s="18">
        <f>IF($A61="","",IF($R61="","",ROUND($R61*50,1)))</f>
        <v>12.1</v>
      </c>
      <c r="AF61" s="5">
        <f>IF($A61="","",IF($L61="","",ROUND($L61*100,0)))</f>
        <v>30</v>
      </c>
      <c r="AG61" s="18">
        <f>IF($A61="","",IF($M61="","",ROUND($M61*67,1)))</f>
        <v>19</v>
      </c>
      <c r="AH61" s="19">
        <f>IF($A61="","",IF($P61="","",IF($P61=0,0,$O61/$P61)))</f>
        <v>0.857142857142857</v>
      </c>
      <c r="AI61" s="5" t="str">
        <f>IF($A61="","",IF($P61="","",IF($P61&gt;=Lookups!$K$7,"High",IF($P61&lt;=Lookups!$K$8,"Low","Medium"))))</f>
        <v>Medium</v>
      </c>
      <c r="AJ61" s="5" t="str">
        <f>IF($A61="","",IF($AD61="","",IF($AD61&lt;5,"Under 5 C",IF($AD61&lt;10,"5-10 C",IF($AD61&lt;15,"10-15 C","15 C and above")))))</f>
        <v>10-15 C</v>
      </c>
      <c r="AK61" s="5">
        <f>IF($A61="","",IF($P61="","",$P61^2))</f>
        <v>5929</v>
      </c>
      <c r="AL61" s="18">
        <f>IF($V61&lt;&gt;1,"",AVERAGEIFS(Clean_Data!$P$2:$P$1001,Clean_Data!$F$2:$F$1001,$F61,Clean_Data!$W$2:$W$1001,$W61,Clean_Data!$V$2:$V$1001,1))</f>
        <v>60.551724137931</v>
      </c>
      <c r="AM61" s="16">
        <f>IF($V61&lt;&gt;1,"",IFERROR(($P61-$AL61)/SQRT(MAX(0,(SUMIFS(Clean_Data!$AK$2:$AK$1001,Clean_Data!$F$2:$F$1001,$F61,Clean_Data!$W$2:$W$1001,$W61,Clean_Data!$V$2:$V$1001,1)-COUNTIFS(Clean_Data!$F$2:$F$1001,$F61,Clean_Data!$W$2:$W$1001,$W61,Clean_Data!$V$2:$V$1001,1)*$AL61^2)/(COUNTIFS(Clean_Data!$F$2:$F$1001,$F61,Clean_Data!$W$2:$W$1001,$W61,Clean_Data!$V$2:$V$1001,1)-1))),""))</f>
        <v>0.999875235492521</v>
      </c>
      <c r="AN61" s="5" t="str">
        <f>IF($AM61="","",IF($AM61&gt;=Lookups!$K$6,"High spike",IF($AM61&lt;=-Lookups!$K$6,"Unusual low","Normal")))</f>
        <v>Normal</v>
      </c>
      <c r="AO61" s="20">
        <f>IF($V61&lt;&gt;1,"",$P61+ROW()/100000)</f>
        <v>77.00061</v>
      </c>
      <c r="AP61" s="5">
        <f>IF($A61="","",IFERROR(MATCH($A61,Raw_D1!$A$2:$A$1001,0),""))</f>
        <v>60</v>
      </c>
      <c r="AQ61" s="5">
        <f>IF($A61="","",IFERROR(MATCH($A61,Raw_D2!$B$2:$B$1001,0),""))</f>
        <v>60</v>
      </c>
      <c r="AR61" s="5">
        <f>IF($A61="","",IFERROR(MATCH($A61,Raw_D3!$A$2:$A$1001,0),""))</f>
        <v/>
      </c>
    </row>
    <row r="62" spans="1:44" x14ac:dyDescent="0.25">
      <c r="A62" s="5">
        <v>61</v>
      </c>
      <c r="B62" s="11">
        <f>IF($A62="","",IF($AP62&lt;&gt;"",INDEX(Raw_D1!$B$2:$B$1001,$AP62),IF($AR62&lt;&gt;"",INDEX(Raw_D3!$B$2:$B$1001,$AR62),"")))</f>
        <v>40546.0</v>
      </c>
      <c r="C62" s="5">
        <f>IF($A62="","",IF($AP62&lt;&gt;"",INDEX(Raw_D1!$C$2:$C$1001,$AP62),IF($AR62&lt;&gt;"",INDEX(Raw_D3!$C$2:$C$1001,$AR62),"")))</f>
        <v>1</v>
      </c>
      <c r="D62" s="5">
        <f>IF($A62="","",IF($AP62&lt;&gt;"",INDEX(Raw_D1!$D$2:$D$1001,$AP62),IF($AR62&lt;&gt;"",INDEX(Raw_D3!$D$2:$D$1001,$AR62),"")))</f>
        <v>0</v>
      </c>
      <c r="E62" s="5">
        <f>IF($A62="","",IF($AP62&lt;&gt;"",INDEX(Raw_D1!$E$2:$E$1001,$AP62),IF($AR62&lt;&gt;"",INDEX(Raw_D3!$E$2:$E$1001,$AR62),"")))</f>
        <v>1</v>
      </c>
      <c r="F62" s="5">
        <f>IF($A62="","",IF($AP62&lt;&gt;"",INDEX(Raw_D1!$F$2:$F$1001,$AP62),IF($AR62&lt;&gt;"",INDEX(Raw_D3!$F$2:$F$1001,$AR62),"")))</f>
        <v>15</v>
      </c>
      <c r="G62" s="5">
        <f>IF($A62="","",IF($AP62&lt;&gt;"",IF(INDEX(Raw_D1!$G$2:$G$1001,$AP62),1,0),IF($AR62&lt;&gt;"",IF(INDEX(Raw_D3!$G$2:$G$1001,$AR62),1,0),"")))</f>
        <v>0</v>
      </c>
      <c r="H62" s="5">
        <f>IF($A62="","",IF($AP62&lt;&gt;"",INDEX(Raw_D1!$H$2:$H$1001,$AP62),IF($AR62&lt;&gt;"",INDEX(Raw_D3!$H$2:$H$1001,$AR62),"")))</f>
        <v>1</v>
      </c>
      <c r="I62" s="5">
        <f>IF($A62="","",IF($AP62&lt;&gt;"",INDEX(Raw_D1!$I$2:$I$1001,$AP62),IF($AR62&lt;&gt;"",INDEX(Raw_D3!$I$2:$I$1001,$AR62),"")))</f>
        <v>1</v>
      </c>
      <c r="J62" s="16">
        <f>IF($A62="","",IF($AP62&lt;&gt;"",INDEX(Raw_D1!$J$2:$J$1001,$AP62),IF($AR62&lt;&gt;"",INDEX(Raw_D3!$J$2:$J$1001,$AR62),"")))</f>
        <v>0.26</v>
      </c>
      <c r="K62" s="17">
        <f>IF($A62="","",IF($AQ62&lt;&gt;"",IF(INDEX(Raw_D2!$C$2:$C$1001,$AQ62)="","",INDEX(Raw_D2!$C$2:$C$1001,$AQ62)),IF($AR62&lt;&gt;"",IF(INDEX(Raw_D3!$K$2:$K$1001,$AR62)="","",INDEX(Raw_D3!$K$2:$K$1001,$AR62)),"")))</f>
        <v>0.2424</v>
      </c>
      <c r="L62" s="16">
        <f>IF($A62="","",IF($AQ62&lt;&gt;"",IF(INDEX(Raw_D2!$D$2:$D$1001,$AQ62)="","",INDEX(Raw_D2!$D$2:$D$1001,$AQ62)),IF($AR62&lt;&gt;"",IF(INDEX(Raw_D3!$L$2:$L$1001,$AR62)="","",INDEX(Raw_D3!$L$2:$L$1001,$AR62)),"")))</f>
        <v>0.3</v>
      </c>
      <c r="M62" s="17">
        <f>IF($A62="","",IF($AQ62&lt;&gt;"",IF(INDEX(Raw_D2!$E$2:$E$1001,$AQ62)="","",INDEX(Raw_D2!$E$2:$E$1001,$AQ62)),IF($AR62&lt;&gt;"",IF(INDEX(Raw_D3!$M$2:$M$1001,$AR62)="","",INDEX(Raw_D3!$M$2:$M$1001,$AR62)),"")))</f>
        <v>0.2537</v>
      </c>
      <c r="N62" s="5">
        <f>IF($A62="","",IF($AQ62&lt;&gt;"",IF(INDEX(Raw_D2!$F$2:$F$1001,$AQ62)="","",INDEX(Raw_D2!$F$2:$F$1001,$AQ62)),IF($AR62&lt;&gt;"",IF(INDEX(Raw_D3!$N$2:$N$1001,$AR62)="","",INDEX(Raw_D3!$N$2:$N$1001,$AR62)),"")))</f>
        <v>14</v>
      </c>
      <c r="O62" s="5">
        <f>IF($A62="","",IF($AQ62&lt;&gt;"",IF(INDEX(Raw_D2!$G$2:$G$1001,$AQ62)="","",INDEX(Raw_D2!$G$2:$G$1001,$AQ62)),IF($AR62&lt;&gt;"",IF(INDEX(Raw_D3!$O$2:$O$1001,$AR62)="","",INDEX(Raw_D3!$O$2:$O$1001,$AR62)),"")))</f>
        <v>58</v>
      </c>
      <c r="P62" s="5">
        <f>IF($A62="","",IF($AQ62&lt;&gt;"",IF(INDEX(Raw_D2!$H$2:$H$1001,$AQ62)="","",INDEX(Raw_D2!$H$2:$H$1001,$AQ62)),IF($AR62&lt;&gt;"",IF(INDEX(Raw_D3!$P$2:$P$1001,$AR62)="","",INDEX(Raw_D3!$P$2:$P$1001,$AR62)),"")))</f>
        <v>72</v>
      </c>
      <c r="Q62" s="5" t="str">
        <f>IF($A62="","",IF(AND($AP62&lt;&gt;"",$AQ62&lt;&gt;""),"D1+D2",IF($AR62&lt;&gt;"","D3","Incomplete")))</f>
        <v>D1+D2</v>
      </c>
      <c r="R62" s="17">
        <f>IF($A62="","",IF($K62="",IF($J62="","",ROUND(Lookups!$K$5+Lookups!$K$4*$J62,4)),$K62))</f>
        <v>0.2424</v>
      </c>
      <c r="S62" s="5" t="str">
        <f>IF($A62="","",IF($K62="","Imputed","Original"))</f>
        <v>Original</v>
      </c>
      <c r="T62" s="5" t="str">
        <f>IF($A62="","",IF($P62="","Missing",IF($P62=$N62+$O62,"OK","Mismatch")))</f>
        <v>OK</v>
      </c>
      <c r="U62" s="5" t="str">
        <f>IF($A62="","",IF(COUNTIF($A$2:$A62,$A62)&gt;1,"Duplicate","Unique"))</f>
        <v>Unique</v>
      </c>
      <c r="V62" s="5">
        <f>IF($A62="","",IF(AND($U62="Unique",ISNUMBER($P62)),1,0))</f>
        <v>1</v>
      </c>
      <c r="W62" s="5" t="str">
        <f>IF($A62="","",IF(OR($H62=0,$H62=6),"Weekend","Weekday"))</f>
        <v>Weekday</v>
      </c>
      <c r="X62" s="5" t="str">
        <f>IF($A62="","",TEXT($B62,"ddd"))</f>
        <v>Mon</v>
      </c>
      <c r="Y62" s="5" t="str">
        <f>IF($A62="","",TEXT($B62,"mmm"))</f>
        <v>Jan</v>
      </c>
      <c r="Z62" s="5" t="str">
        <f>IF($A62="","",IFERROR(VLOOKUP($C62,Lookups!$D$4:$E$7,2,FALSE),"Unknown"))</f>
        <v>Winter</v>
      </c>
      <c r="AA62" s="5" t="str">
        <f>IF($A62="","",IFERROR(VLOOKUP($I62,Lookups!$A$4:$B$7,2,FALSE),"Unknown"))</f>
        <v>Clear</v>
      </c>
      <c r="AB62" s="5" t="str">
        <f>IF($A62="","",TEXT($F62,"00")&amp;":00")</f>
        <v>15:00</v>
      </c>
      <c r="AC62" s="5" t="str">
        <f>IF($A62="","",VLOOKUP($F62,Lookups!$G$4:$H$8,2,TRUE))</f>
        <v>Midday (10-15)</v>
      </c>
      <c r="AD62" s="18">
        <f>IF($A62="","",IF($J62="","",ROUND($J62*41,1)))</f>
        <v>10.7</v>
      </c>
      <c r="AE62" s="18">
        <f>IF($A62="","",IF($R62="","",ROUND($R62*50,1)))</f>
        <v>12.1</v>
      </c>
      <c r="AF62" s="5">
        <f>IF($A62="","",IF($L62="","",ROUND($L62*100,0)))</f>
        <v>30</v>
      </c>
      <c r="AG62" s="18">
        <f>IF($A62="","",IF($M62="","",ROUND($M62*67,1)))</f>
        <v>17</v>
      </c>
      <c r="AH62" s="19">
        <f>IF($A62="","",IF($P62="","",IF($P62=0,0,$O62/$P62)))</f>
        <v>0.805555555555556</v>
      </c>
      <c r="AI62" s="5" t="str">
        <f>IF($A62="","",IF($P62="","",IF($P62&gt;=Lookups!$K$7,"High",IF($P62&lt;=Lookups!$K$8,"Low","Medium"))))</f>
        <v>Medium</v>
      </c>
      <c r="AJ62" s="5" t="str">
        <f>IF($A62="","",IF($AD62="","",IF($AD62&lt;5,"Under 5 C",IF($AD62&lt;10,"5-10 C",IF($AD62&lt;15,"10-15 C","15 C and above")))))</f>
        <v>10-15 C</v>
      </c>
      <c r="AK62" s="5">
        <f>IF($A62="","",IF($P62="","",$P62^2))</f>
        <v>5184</v>
      </c>
      <c r="AL62" s="18">
        <f>IF($V62&lt;&gt;1,"",AVERAGEIFS(Clean_Data!$P$2:$P$1001,Clean_Data!$F$2:$F$1001,$F62,Clean_Data!$W$2:$W$1001,$W62,Clean_Data!$V$2:$V$1001,1))</f>
        <v>61.4827586206897</v>
      </c>
      <c r="AM62" s="16">
        <f>IF($V62&lt;&gt;1,"",IFERROR(($P62-$AL62)/SQRT(MAX(0,(SUMIFS(Clean_Data!$AK$2:$AK$1001,Clean_Data!$F$2:$F$1001,$F62,Clean_Data!$W$2:$W$1001,$W62,Clean_Data!$V$2:$V$1001,1)-COUNTIFS(Clean_Data!$F$2:$F$1001,$F62,Clean_Data!$W$2:$W$1001,$W62,Clean_Data!$V$2:$V$1001,1)*$AL62^2)/(COUNTIFS(Clean_Data!$F$2:$F$1001,$F62,Clean_Data!$W$2:$W$1001,$W62,Clean_Data!$V$2:$V$1001,1)-1))),""))</f>
        <v>0.697656521440713</v>
      </c>
      <c r="AN62" s="5" t="str">
        <f>IF($AM62="","",IF($AM62&gt;=Lookups!$K$6,"High spike",IF($AM62&lt;=-Lookups!$K$6,"Unusual low","Normal")))</f>
        <v>Normal</v>
      </c>
      <c r="AO62" s="20">
        <f>IF($V62&lt;&gt;1,"",$P62+ROW()/100000)</f>
        <v>72.00062</v>
      </c>
      <c r="AP62" s="5">
        <f>IF($A62="","",IFERROR(MATCH($A62,Raw_D1!$A$2:$A$1001,0),""))</f>
        <v>61</v>
      </c>
      <c r="AQ62" s="5">
        <f>IF($A62="","",IFERROR(MATCH($A62,Raw_D2!$B$2:$B$1001,0),""))</f>
        <v>61</v>
      </c>
      <c r="AR62" s="5">
        <f>IF($A62="","",IFERROR(MATCH($A62,Raw_D3!$A$2:$A$1001,0),""))</f>
        <v/>
      </c>
    </row>
    <row r="63" spans="1:44" x14ac:dyDescent="0.25">
      <c r="A63" s="5">
        <v>62</v>
      </c>
      <c r="B63" s="11">
        <f>IF($A63="","",IF($AP63&lt;&gt;"",INDEX(Raw_D1!$B$2:$B$1001,$AP63),IF($AR63&lt;&gt;"",INDEX(Raw_D3!$B$2:$B$1001,$AR63),"")))</f>
        <v>40546.0</v>
      </c>
      <c r="C63" s="5">
        <f>IF($A63="","",IF($AP63&lt;&gt;"",INDEX(Raw_D1!$C$2:$C$1001,$AP63),IF($AR63&lt;&gt;"",INDEX(Raw_D3!$C$2:$C$1001,$AR63),"")))</f>
        <v>1</v>
      </c>
      <c r="D63" s="5">
        <f>IF($A63="","",IF($AP63&lt;&gt;"",INDEX(Raw_D1!$D$2:$D$1001,$AP63),IF($AR63&lt;&gt;"",INDEX(Raw_D3!$D$2:$D$1001,$AR63),"")))</f>
        <v>0</v>
      </c>
      <c r="E63" s="5">
        <f>IF($A63="","",IF($AP63&lt;&gt;"",INDEX(Raw_D1!$E$2:$E$1001,$AP63),IF($AR63&lt;&gt;"",INDEX(Raw_D3!$E$2:$E$1001,$AR63),"")))</f>
        <v>1</v>
      </c>
      <c r="F63" s="5">
        <f>IF($A63="","",IF($AP63&lt;&gt;"",INDEX(Raw_D1!$F$2:$F$1001,$AP63),IF($AR63&lt;&gt;"",INDEX(Raw_D3!$F$2:$F$1001,$AR63),"")))</f>
        <v>16</v>
      </c>
      <c r="G63" s="5">
        <f>IF($A63="","",IF($AP63&lt;&gt;"",IF(INDEX(Raw_D1!$G$2:$G$1001,$AP63),1,0),IF($AR63&lt;&gt;"",IF(INDEX(Raw_D3!$G$2:$G$1001,$AR63),1,0),"")))</f>
        <v>0</v>
      </c>
      <c r="H63" s="5">
        <f>IF($A63="","",IF($AP63&lt;&gt;"",INDEX(Raw_D1!$H$2:$H$1001,$AP63),IF($AR63&lt;&gt;"",INDEX(Raw_D3!$H$2:$H$1001,$AR63),"")))</f>
        <v>1</v>
      </c>
      <c r="I63" s="5">
        <f>IF($A63="","",IF($AP63&lt;&gt;"",INDEX(Raw_D1!$I$2:$I$1001,$AP63),IF($AR63&lt;&gt;"",INDEX(Raw_D3!$I$2:$I$1001,$AR63),"")))</f>
        <v>1</v>
      </c>
      <c r="J63" s="16">
        <f>IF($A63="","",IF($AP63&lt;&gt;"",INDEX(Raw_D1!$J$2:$J$1001,$AP63),IF($AR63&lt;&gt;"",INDEX(Raw_D3!$J$2:$J$1001,$AR63),"")))</f>
        <v>0.26</v>
      </c>
      <c r="K63" s="17">
        <f>IF($A63="","",IF($AQ63&lt;&gt;"",IF(INDEX(Raw_D2!$C$2:$C$1001,$AQ63)="","",INDEX(Raw_D2!$C$2:$C$1001,$AQ63)),IF($AR63&lt;&gt;"",IF(INDEX(Raw_D3!$K$2:$K$1001,$AR63)="","",INDEX(Raw_D3!$K$2:$K$1001,$AR63)),"")))</f>
        <v>0.2424</v>
      </c>
      <c r="L63" s="16">
        <f>IF($A63="","",IF($AQ63&lt;&gt;"",IF(INDEX(Raw_D2!$D$2:$D$1001,$AQ63)="","",INDEX(Raw_D2!$D$2:$D$1001,$AQ63)),IF($AR63&lt;&gt;"",IF(INDEX(Raw_D3!$L$2:$L$1001,$AR63)="","",INDEX(Raw_D3!$L$2:$L$1001,$AR63)),"")))</f>
        <v>0.3</v>
      </c>
      <c r="M63" s="17">
        <f>IF($A63="","",IF($AQ63&lt;&gt;"",IF(INDEX(Raw_D2!$E$2:$E$1001,$AQ63)="","",INDEX(Raw_D2!$E$2:$E$1001,$AQ63)),IF($AR63&lt;&gt;"",IF(INDEX(Raw_D3!$M$2:$M$1001,$AR63)="","",INDEX(Raw_D3!$M$2:$M$1001,$AR63)),"")))</f>
        <v>0.2537</v>
      </c>
      <c r="N63" s="5">
        <f>IF($A63="","",IF($AQ63&lt;&gt;"",IF(INDEX(Raw_D2!$F$2:$F$1001,$AQ63)="","",INDEX(Raw_D2!$F$2:$F$1001,$AQ63)),IF($AR63&lt;&gt;"",IF(INDEX(Raw_D3!$N$2:$N$1001,$AR63)="","",INDEX(Raw_D3!$N$2:$N$1001,$AR63)),"")))</f>
        <v>9</v>
      </c>
      <c r="O63" s="5">
        <f>IF($A63="","",IF($AQ63&lt;&gt;"",IF(INDEX(Raw_D2!$G$2:$G$1001,$AQ63)="","",INDEX(Raw_D2!$G$2:$G$1001,$AQ63)),IF($AR63&lt;&gt;"",IF(INDEX(Raw_D3!$O$2:$O$1001,$AR63)="","",INDEX(Raw_D3!$O$2:$O$1001,$AR63)),"")))</f>
        <v>67</v>
      </c>
      <c r="P63" s="5">
        <f>IF($A63="","",IF($AQ63&lt;&gt;"",IF(INDEX(Raw_D2!$H$2:$H$1001,$AQ63)="","",INDEX(Raw_D2!$H$2:$H$1001,$AQ63)),IF($AR63&lt;&gt;"",IF(INDEX(Raw_D3!$P$2:$P$1001,$AR63)="","",INDEX(Raw_D3!$P$2:$P$1001,$AR63)),"")))</f>
        <v>76</v>
      </c>
      <c r="Q63" s="5" t="str">
        <f>IF($A63="","",IF(AND($AP63&lt;&gt;"",$AQ63&lt;&gt;""),"D1+D2",IF($AR63&lt;&gt;"","D3","Incomplete")))</f>
        <v>D1+D2</v>
      </c>
      <c r="R63" s="17">
        <f>IF($A63="","",IF($K63="",IF($J63="","",ROUND(Lookups!$K$5+Lookups!$K$4*$J63,4)),$K63))</f>
        <v>0.2424</v>
      </c>
      <c r="S63" s="5" t="str">
        <f>IF($A63="","",IF($K63="","Imputed","Original"))</f>
        <v>Original</v>
      </c>
      <c r="T63" s="5" t="str">
        <f>IF($A63="","",IF($P63="","Missing",IF($P63=$N63+$O63,"OK","Mismatch")))</f>
        <v>OK</v>
      </c>
      <c r="U63" s="5" t="str">
        <f>IF($A63="","",IF(COUNTIF($A$2:$A63,$A63)&gt;1,"Duplicate","Unique"))</f>
        <v>Unique</v>
      </c>
      <c r="V63" s="5">
        <f>IF($A63="","",IF(AND($U63="Unique",ISNUMBER($P63)),1,0))</f>
        <v>1</v>
      </c>
      <c r="W63" s="5" t="str">
        <f>IF($A63="","",IF(OR($H63=0,$H63=6),"Weekend","Weekday"))</f>
        <v>Weekday</v>
      </c>
      <c r="X63" s="5" t="str">
        <f>IF($A63="","",TEXT($B63,"ddd"))</f>
        <v>Mon</v>
      </c>
      <c r="Y63" s="5" t="str">
        <f>IF($A63="","",TEXT($B63,"mmm"))</f>
        <v>Jan</v>
      </c>
      <c r="Z63" s="5" t="str">
        <f>IF($A63="","",IFERROR(VLOOKUP($C63,Lookups!$D$4:$E$7,2,FALSE),"Unknown"))</f>
        <v>Winter</v>
      </c>
      <c r="AA63" s="5" t="str">
        <f>IF($A63="","",IFERROR(VLOOKUP($I63,Lookups!$A$4:$B$7,2,FALSE),"Unknown"))</f>
        <v>Clear</v>
      </c>
      <c r="AB63" s="5" t="str">
        <f>IF($A63="","",TEXT($F63,"00")&amp;":00")</f>
        <v>16:00</v>
      </c>
      <c r="AC63" s="5" t="str">
        <f>IF($A63="","",VLOOKUP($F63,Lookups!$G$4:$H$8,2,TRUE))</f>
        <v>Evening Peak (16-19)</v>
      </c>
      <c r="AD63" s="18">
        <f>IF($A63="","",IF($J63="","",ROUND($J63*41,1)))</f>
        <v>10.7</v>
      </c>
      <c r="AE63" s="18">
        <f>IF($A63="","",IF($R63="","",ROUND($R63*50,1)))</f>
        <v>12.1</v>
      </c>
      <c r="AF63" s="5">
        <f>IF($A63="","",IF($L63="","",ROUND($L63*100,0)))</f>
        <v>30</v>
      </c>
      <c r="AG63" s="18">
        <f>IF($A63="","",IF($M63="","",ROUND($M63*67,1)))</f>
        <v>17</v>
      </c>
      <c r="AH63" s="19">
        <f>IF($A63="","",IF($P63="","",IF($P63=0,0,$O63/$P63)))</f>
        <v>0.881578947368421</v>
      </c>
      <c r="AI63" s="5" t="str">
        <f>IF($A63="","",IF($P63="","",IF($P63&gt;=Lookups!$K$7,"High",IF($P63&lt;=Lookups!$K$8,"Low","Medium"))))</f>
        <v>Medium</v>
      </c>
      <c r="AJ63" s="5" t="str">
        <f>IF($A63="","",IF($AD63="","",IF($AD63&lt;5,"Under 5 C",IF($AD63&lt;10,"5-10 C",IF($AD63&lt;15,"10-15 C","15 C and above")))))</f>
        <v>10-15 C</v>
      </c>
      <c r="AK63" s="5">
        <f>IF($A63="","",IF($P63="","",$P63^2))</f>
        <v>5776</v>
      </c>
      <c r="AL63" s="18">
        <f>IF($V63&lt;&gt;1,"",AVERAGEIFS(Clean_Data!$P$2:$P$1001,Clean_Data!$F$2:$F$1001,$F63,Clean_Data!$W$2:$W$1001,$W63,Clean_Data!$V$2:$V$1001,1))</f>
        <v>82.6333333333333</v>
      </c>
      <c r="AM63" s="16">
        <f>IF($V63&lt;&gt;1,"",IFERROR(($P63-$AL63)/SQRT(MAX(0,(SUMIFS(Clean_Data!$AK$2:$AK$1001,Clean_Data!$F$2:$F$1001,$F63,Clean_Data!$W$2:$W$1001,$W63,Clean_Data!$V$2:$V$1001,1)-COUNTIFS(Clean_Data!$F$2:$F$1001,$F63,Clean_Data!$W$2:$W$1001,$W63,Clean_Data!$V$2:$V$1001,1)*$AL63^2)/(COUNTIFS(Clean_Data!$F$2:$F$1001,$F63,Clean_Data!$W$2:$W$1001,$W63,Clean_Data!$V$2:$V$1001,1)-1))),""))</f>
        <v>-0.319772791602213</v>
      </c>
      <c r="AN63" s="5" t="str">
        <f>IF($AM63="","",IF($AM63&gt;=Lookups!$K$6,"High spike",IF($AM63&lt;=-Lookups!$K$6,"Unusual low","Normal")))</f>
        <v>Normal</v>
      </c>
      <c r="AO63" s="20">
        <f>IF($V63&lt;&gt;1,"",$P63+ROW()/100000)</f>
        <v>76.00063</v>
      </c>
      <c r="AP63" s="5">
        <f>IF($A63="","",IFERROR(MATCH($A63,Raw_D1!$A$2:$A$1001,0),""))</f>
        <v>62</v>
      </c>
      <c r="AQ63" s="5">
        <f>IF($A63="","",IFERROR(MATCH($A63,Raw_D2!$B$2:$B$1001,0),""))</f>
        <v>62</v>
      </c>
      <c r="AR63" s="5">
        <f>IF($A63="","",IFERROR(MATCH($A63,Raw_D3!$A$2:$A$1001,0),""))</f>
        <v/>
      </c>
    </row>
    <row r="64" spans="1:44" x14ac:dyDescent="0.25">
      <c r="A64" s="5">
        <v>63</v>
      </c>
      <c r="B64" s="11">
        <f>IF($A64="","",IF($AP64&lt;&gt;"",INDEX(Raw_D1!$B$2:$B$1001,$AP64),IF($AR64&lt;&gt;"",INDEX(Raw_D3!$B$2:$B$1001,$AR64),"")))</f>
        <v>40546.0</v>
      </c>
      <c r="C64" s="5">
        <f>IF($A64="","",IF($AP64&lt;&gt;"",INDEX(Raw_D1!$C$2:$C$1001,$AP64),IF($AR64&lt;&gt;"",INDEX(Raw_D3!$C$2:$C$1001,$AR64),"")))</f>
        <v>1</v>
      </c>
      <c r="D64" s="5">
        <f>IF($A64="","",IF($AP64&lt;&gt;"",INDEX(Raw_D1!$D$2:$D$1001,$AP64),IF($AR64&lt;&gt;"",INDEX(Raw_D3!$D$2:$D$1001,$AR64),"")))</f>
        <v>0</v>
      </c>
      <c r="E64" s="5">
        <f>IF($A64="","",IF($AP64&lt;&gt;"",INDEX(Raw_D1!$E$2:$E$1001,$AP64),IF($AR64&lt;&gt;"",INDEX(Raw_D3!$E$2:$E$1001,$AR64),"")))</f>
        <v>1</v>
      </c>
      <c r="F64" s="5">
        <f>IF($A64="","",IF($AP64&lt;&gt;"",INDEX(Raw_D1!$F$2:$F$1001,$AP64),IF($AR64&lt;&gt;"",INDEX(Raw_D3!$F$2:$F$1001,$AR64),"")))</f>
        <v>17</v>
      </c>
      <c r="G64" s="5">
        <f>IF($A64="","",IF($AP64&lt;&gt;"",IF(INDEX(Raw_D1!$G$2:$G$1001,$AP64),1,0),IF($AR64&lt;&gt;"",IF(INDEX(Raw_D3!$G$2:$G$1001,$AR64),1,0),"")))</f>
        <v>0</v>
      </c>
      <c r="H64" s="5">
        <f>IF($A64="","",IF($AP64&lt;&gt;"",INDEX(Raw_D1!$H$2:$H$1001,$AP64),IF($AR64&lt;&gt;"",INDEX(Raw_D3!$H$2:$H$1001,$AR64),"")))</f>
        <v>1</v>
      </c>
      <c r="I64" s="5">
        <f>IF($A64="","",IF($AP64&lt;&gt;"",INDEX(Raw_D1!$I$2:$I$1001,$AP64),IF($AR64&lt;&gt;"",INDEX(Raw_D3!$I$2:$I$1001,$AR64),"")))</f>
        <v>1</v>
      </c>
      <c r="J64" s="16">
        <f>IF($A64="","",IF($AP64&lt;&gt;"",INDEX(Raw_D1!$J$2:$J$1001,$AP64),IF($AR64&lt;&gt;"",INDEX(Raw_D3!$J$2:$J$1001,$AR64),"")))</f>
        <v>0.24</v>
      </c>
      <c r="K64" s="17">
        <f>IF($A64="","",IF($AQ64&lt;&gt;"",IF(INDEX(Raw_D2!$C$2:$C$1001,$AQ64)="","",INDEX(Raw_D2!$C$2:$C$1001,$AQ64)),IF($AR64&lt;&gt;"",IF(INDEX(Raw_D3!$K$2:$K$1001,$AR64)="","",INDEX(Raw_D3!$K$2:$K$1001,$AR64)),"")))</f>
        <v>0.2273</v>
      </c>
      <c r="L64" s="16">
        <f>IF($A64="","",IF($AQ64&lt;&gt;"",IF(INDEX(Raw_D2!$D$2:$D$1001,$AQ64)="","",INDEX(Raw_D2!$D$2:$D$1001,$AQ64)),IF($AR64&lt;&gt;"",IF(INDEX(Raw_D3!$L$2:$L$1001,$AR64)="","",INDEX(Raw_D3!$L$2:$L$1001,$AR64)),"")))</f>
        <v>0.3</v>
      </c>
      <c r="M64" s="17">
        <f>IF($A64="","",IF($AQ64&lt;&gt;"",IF(INDEX(Raw_D2!$E$2:$E$1001,$AQ64)="","",INDEX(Raw_D2!$E$2:$E$1001,$AQ64)),IF($AR64&lt;&gt;"",IF(INDEX(Raw_D3!$M$2:$M$1001,$AR64)="","",INDEX(Raw_D3!$M$2:$M$1001,$AR64)),"")))</f>
        <v>0.2239</v>
      </c>
      <c r="N64" s="5">
        <f>IF($A64="","",IF($AQ64&lt;&gt;"",IF(INDEX(Raw_D2!$F$2:$F$1001,$AQ64)="","",INDEX(Raw_D2!$F$2:$F$1001,$AQ64)),IF($AR64&lt;&gt;"",IF(INDEX(Raw_D3!$N$2:$N$1001,$AR64)="","",INDEX(Raw_D3!$N$2:$N$1001,$AR64)),"")))</f>
        <v>11</v>
      </c>
      <c r="O64" s="5">
        <f>IF($A64="","",IF($AQ64&lt;&gt;"",IF(INDEX(Raw_D2!$G$2:$G$1001,$AQ64)="","",INDEX(Raw_D2!$G$2:$G$1001,$AQ64)),IF($AR64&lt;&gt;"",IF(INDEX(Raw_D3!$O$2:$O$1001,$AR64)="","",INDEX(Raw_D3!$O$2:$O$1001,$AR64)),"")))</f>
        <v>146</v>
      </c>
      <c r="P64" s="5">
        <f>IF($A64="","",IF($AQ64&lt;&gt;"",IF(INDEX(Raw_D2!$H$2:$H$1001,$AQ64)="","",INDEX(Raw_D2!$H$2:$H$1001,$AQ64)),IF($AR64&lt;&gt;"",IF(INDEX(Raw_D3!$P$2:$P$1001,$AR64)="","",INDEX(Raw_D3!$P$2:$P$1001,$AR64)),"")))</f>
        <v>157</v>
      </c>
      <c r="Q64" s="5" t="str">
        <f>IF($A64="","",IF(AND($AP64&lt;&gt;"",$AQ64&lt;&gt;""),"D1+D2",IF($AR64&lt;&gt;"","D3","Incomplete")))</f>
        <v>D1+D2</v>
      </c>
      <c r="R64" s="17">
        <f>IF($A64="","",IF($K64="",IF($J64="","",ROUND(Lookups!$K$5+Lookups!$K$4*$J64,4)),$K64))</f>
        <v>0.2273</v>
      </c>
      <c r="S64" s="5" t="str">
        <f>IF($A64="","",IF($K64="","Imputed","Original"))</f>
        <v>Original</v>
      </c>
      <c r="T64" s="5" t="str">
        <f>IF($A64="","",IF($P64="","Missing",IF($P64=$N64+$O64,"OK","Mismatch")))</f>
        <v>OK</v>
      </c>
      <c r="U64" s="5" t="str">
        <f>IF($A64="","",IF(COUNTIF($A$2:$A64,$A64)&gt;1,"Duplicate","Unique"))</f>
        <v>Unique</v>
      </c>
      <c r="V64" s="5">
        <f>IF($A64="","",IF(AND($U64="Unique",ISNUMBER($P64)),1,0))</f>
        <v>1</v>
      </c>
      <c r="W64" s="5" t="str">
        <f>IF($A64="","",IF(OR($H64=0,$H64=6),"Weekend","Weekday"))</f>
        <v>Weekday</v>
      </c>
      <c r="X64" s="5" t="str">
        <f>IF($A64="","",TEXT($B64,"ddd"))</f>
        <v>Mon</v>
      </c>
      <c r="Y64" s="5" t="str">
        <f>IF($A64="","",TEXT($B64,"mmm"))</f>
        <v>Jan</v>
      </c>
      <c r="Z64" s="5" t="str">
        <f>IF($A64="","",IFERROR(VLOOKUP($C64,Lookups!$D$4:$E$7,2,FALSE),"Unknown"))</f>
        <v>Winter</v>
      </c>
      <c r="AA64" s="5" t="str">
        <f>IF($A64="","",IFERROR(VLOOKUP($I64,Lookups!$A$4:$B$7,2,FALSE),"Unknown"))</f>
        <v>Clear</v>
      </c>
      <c r="AB64" s="5" t="str">
        <f>IF($A64="","",TEXT($F64,"00")&amp;":00")</f>
        <v>17:00</v>
      </c>
      <c r="AC64" s="5" t="str">
        <f>IF($A64="","",VLOOKUP($F64,Lookups!$G$4:$H$8,2,TRUE))</f>
        <v>Evening Peak (16-19)</v>
      </c>
      <c r="AD64" s="18">
        <f>IF($A64="","",IF($J64="","",ROUND($J64*41,1)))</f>
        <v>9.8</v>
      </c>
      <c r="AE64" s="18">
        <f>IF($A64="","",IF($R64="","",ROUND($R64*50,1)))</f>
        <v>11.4</v>
      </c>
      <c r="AF64" s="5">
        <f>IF($A64="","",IF($L64="","",ROUND($L64*100,0)))</f>
        <v>30</v>
      </c>
      <c r="AG64" s="18">
        <f>IF($A64="","",IF($M64="","",ROUND($M64*67,1)))</f>
        <v>15</v>
      </c>
      <c r="AH64" s="19">
        <f>IF($A64="","",IF($P64="","",IF($P64=0,0,$O64/$P64)))</f>
        <v>0.929936305732484</v>
      </c>
      <c r="AI64" s="5" t="str">
        <f>IF($A64="","",IF($P64="","",IF($P64&gt;=Lookups!$K$7,"High",IF($P64&lt;=Lookups!$K$8,"Low","Medium"))))</f>
        <v>High</v>
      </c>
      <c r="AJ64" s="5" t="str">
        <f>IF($A64="","",IF($AD64="","",IF($AD64&lt;5,"Under 5 C",IF($AD64&lt;10,"5-10 C",IF($AD64&lt;15,"10-15 C","15 C and above")))))</f>
        <v>5-10 C</v>
      </c>
      <c r="AK64" s="5">
        <f>IF($A64="","",IF($P64="","",$P64^2))</f>
        <v>24649</v>
      </c>
      <c r="AL64" s="18">
        <f>IF($V64&lt;&gt;1,"",AVERAGEIFS(Clean_Data!$P$2:$P$1001,Clean_Data!$F$2:$F$1001,$F64,Clean_Data!$W$2:$W$1001,$W64,Clean_Data!$V$2:$V$1001,1))</f>
        <v>165.566666666667</v>
      </c>
      <c r="AM64" s="16">
        <f>IF($V64&lt;&gt;1,"",IFERROR(($P64-$AL64)/SQRT(MAX(0,(SUMIFS(Clean_Data!$AK$2:$AK$1001,Clean_Data!$F$2:$F$1001,$F64,Clean_Data!$W$2:$W$1001,$W64,Clean_Data!$V$2:$V$1001,1)-COUNTIFS(Clean_Data!$F$2:$F$1001,$F64,Clean_Data!$W$2:$W$1001,$W64,Clean_Data!$V$2:$V$1001,1)*$AL64^2)/(COUNTIFS(Clean_Data!$F$2:$F$1001,$F64,Clean_Data!$W$2:$W$1001,$W64,Clean_Data!$V$2:$V$1001,1)-1))),""))</f>
        <v>-0.194639140768729</v>
      </c>
      <c r="AN64" s="5" t="str">
        <f>IF($AM64="","",IF($AM64&gt;=Lookups!$K$6,"High spike",IF($AM64&lt;=-Lookups!$K$6,"Unusual low","Normal")))</f>
        <v>Normal</v>
      </c>
      <c r="AO64" s="20">
        <f>IF($V64&lt;&gt;1,"",$P64+ROW()/100000)</f>
        <v>157.00064</v>
      </c>
      <c r="AP64" s="5">
        <f>IF($A64="","",IFERROR(MATCH($A64,Raw_D1!$A$2:$A$1001,0),""))</f>
        <v>63</v>
      </c>
      <c r="AQ64" s="5">
        <f>IF($A64="","",IFERROR(MATCH($A64,Raw_D2!$B$2:$B$1001,0),""))</f>
        <v>63</v>
      </c>
      <c r="AR64" s="5">
        <f>IF($A64="","",IFERROR(MATCH($A64,Raw_D3!$A$2:$A$1001,0),""))</f>
        <v/>
      </c>
    </row>
    <row r="65" spans="1:44" x14ac:dyDescent="0.25">
      <c r="A65" s="5">
        <v>64</v>
      </c>
      <c r="B65" s="11">
        <f>IF($A65="","",IF($AP65&lt;&gt;"",INDEX(Raw_D1!$B$2:$B$1001,$AP65),IF($AR65&lt;&gt;"",INDEX(Raw_D3!$B$2:$B$1001,$AR65),"")))</f>
        <v>40546.0</v>
      </c>
      <c r="C65" s="5">
        <f>IF($A65="","",IF($AP65&lt;&gt;"",INDEX(Raw_D1!$C$2:$C$1001,$AP65),IF($AR65&lt;&gt;"",INDEX(Raw_D3!$C$2:$C$1001,$AR65),"")))</f>
        <v>1</v>
      </c>
      <c r="D65" s="5">
        <f>IF($A65="","",IF($AP65&lt;&gt;"",INDEX(Raw_D1!$D$2:$D$1001,$AP65),IF($AR65&lt;&gt;"",INDEX(Raw_D3!$D$2:$D$1001,$AR65),"")))</f>
        <v>0</v>
      </c>
      <c r="E65" s="5">
        <f>IF($A65="","",IF($AP65&lt;&gt;"",INDEX(Raw_D1!$E$2:$E$1001,$AP65),IF($AR65&lt;&gt;"",INDEX(Raw_D3!$E$2:$E$1001,$AR65),"")))</f>
        <v>1</v>
      </c>
      <c r="F65" s="5">
        <f>IF($A65="","",IF($AP65&lt;&gt;"",INDEX(Raw_D1!$F$2:$F$1001,$AP65),IF($AR65&lt;&gt;"",INDEX(Raw_D3!$F$2:$F$1001,$AR65),"")))</f>
        <v>18</v>
      </c>
      <c r="G65" s="5">
        <f>IF($A65="","",IF($AP65&lt;&gt;"",IF(INDEX(Raw_D1!$G$2:$G$1001,$AP65),1,0),IF($AR65&lt;&gt;"",IF(INDEX(Raw_D3!$G$2:$G$1001,$AR65),1,0),"")))</f>
        <v>0</v>
      </c>
      <c r="H65" s="5">
        <f>IF($A65="","",IF($AP65&lt;&gt;"",INDEX(Raw_D1!$H$2:$H$1001,$AP65),IF($AR65&lt;&gt;"",INDEX(Raw_D3!$H$2:$H$1001,$AR65),"")))</f>
        <v>1</v>
      </c>
      <c r="I65" s="5">
        <f>IF($A65="","",IF($AP65&lt;&gt;"",INDEX(Raw_D1!$I$2:$I$1001,$AP65),IF($AR65&lt;&gt;"",INDEX(Raw_D3!$I$2:$I$1001,$AR65),"")))</f>
        <v>1</v>
      </c>
      <c r="J65" s="16">
        <f>IF($A65="","",IF($AP65&lt;&gt;"",INDEX(Raw_D1!$J$2:$J$1001,$AP65),IF($AR65&lt;&gt;"",INDEX(Raw_D3!$J$2:$J$1001,$AR65),"")))</f>
        <v>0.24</v>
      </c>
      <c r="K65" s="17">
        <f>IF($A65="","",IF($AQ65&lt;&gt;"",IF(INDEX(Raw_D2!$C$2:$C$1001,$AQ65)="","",INDEX(Raw_D2!$C$2:$C$1001,$AQ65)),IF($AR65&lt;&gt;"",IF(INDEX(Raw_D3!$K$2:$K$1001,$AR65)="","",INDEX(Raw_D3!$K$2:$K$1001,$AR65)),"")))</f>
        <v>0.2576</v>
      </c>
      <c r="L65" s="16">
        <f>IF($A65="","",IF($AQ65&lt;&gt;"",IF(INDEX(Raw_D2!$D$2:$D$1001,$AQ65)="","",INDEX(Raw_D2!$D$2:$D$1001,$AQ65)),IF($AR65&lt;&gt;"",IF(INDEX(Raw_D3!$L$2:$L$1001,$AR65)="","",INDEX(Raw_D3!$L$2:$L$1001,$AR65)),"")))</f>
        <v>0.32</v>
      </c>
      <c r="M65" s="17">
        <f>IF($A65="","",IF($AQ65&lt;&gt;"",IF(INDEX(Raw_D2!$E$2:$E$1001,$AQ65)="","",INDEX(Raw_D2!$E$2:$E$1001,$AQ65)),IF($AR65&lt;&gt;"",IF(INDEX(Raw_D3!$M$2:$M$1001,$AR65)="","",INDEX(Raw_D3!$M$2:$M$1001,$AR65)),"")))</f>
        <v>0.1045</v>
      </c>
      <c r="N65" s="5">
        <f>IF($A65="","",IF($AQ65&lt;&gt;"",IF(INDEX(Raw_D2!$F$2:$F$1001,$AQ65)="","",INDEX(Raw_D2!$F$2:$F$1001,$AQ65)),IF($AR65&lt;&gt;"",IF(INDEX(Raw_D3!$N$2:$N$1001,$AR65)="","",INDEX(Raw_D3!$N$2:$N$1001,$AR65)),"")))</f>
        <v>9</v>
      </c>
      <c r="O65" s="5">
        <f>IF($A65="","",IF($AQ65&lt;&gt;"",IF(INDEX(Raw_D2!$G$2:$G$1001,$AQ65)="","",INDEX(Raw_D2!$G$2:$G$1001,$AQ65)),IF($AR65&lt;&gt;"",IF(INDEX(Raw_D3!$O$2:$O$1001,$AR65)="","",INDEX(Raw_D3!$O$2:$O$1001,$AR65)),"")))</f>
        <v>148</v>
      </c>
      <c r="P65" s="5">
        <f>IF($A65="","",IF($AQ65&lt;&gt;"",IF(INDEX(Raw_D2!$H$2:$H$1001,$AQ65)="","",INDEX(Raw_D2!$H$2:$H$1001,$AQ65)),IF($AR65&lt;&gt;"",IF(INDEX(Raw_D3!$P$2:$P$1001,$AR65)="","",INDEX(Raw_D3!$P$2:$P$1001,$AR65)),"")))</f>
        <v>157</v>
      </c>
      <c r="Q65" s="5" t="str">
        <f>IF($A65="","",IF(AND($AP65&lt;&gt;"",$AQ65&lt;&gt;""),"D1+D2",IF($AR65&lt;&gt;"","D3","Incomplete")))</f>
        <v>D1+D2</v>
      </c>
      <c r="R65" s="17">
        <f>IF($A65="","",IF($K65="",IF($J65="","",ROUND(Lookups!$K$5+Lookups!$K$4*$J65,4)),$K65))</f>
        <v>0.2576</v>
      </c>
      <c r="S65" s="5" t="str">
        <f>IF($A65="","",IF($K65="","Imputed","Original"))</f>
        <v>Original</v>
      </c>
      <c r="T65" s="5" t="str">
        <f>IF($A65="","",IF($P65="","Missing",IF($P65=$N65+$O65,"OK","Mismatch")))</f>
        <v>OK</v>
      </c>
      <c r="U65" s="5" t="str">
        <f>IF($A65="","",IF(COUNTIF($A$2:$A65,$A65)&gt;1,"Duplicate","Unique"))</f>
        <v>Unique</v>
      </c>
      <c r="V65" s="5">
        <f>IF($A65="","",IF(AND($U65="Unique",ISNUMBER($P65)),1,0))</f>
        <v>1</v>
      </c>
      <c r="W65" s="5" t="str">
        <f>IF($A65="","",IF(OR($H65=0,$H65=6),"Weekend","Weekday"))</f>
        <v>Weekday</v>
      </c>
      <c r="X65" s="5" t="str">
        <f>IF($A65="","",TEXT($B65,"ddd"))</f>
        <v>Mon</v>
      </c>
      <c r="Y65" s="5" t="str">
        <f>IF($A65="","",TEXT($B65,"mmm"))</f>
        <v>Jan</v>
      </c>
      <c r="Z65" s="5" t="str">
        <f>IF($A65="","",IFERROR(VLOOKUP($C65,Lookups!$D$4:$E$7,2,FALSE),"Unknown"))</f>
        <v>Winter</v>
      </c>
      <c r="AA65" s="5" t="str">
        <f>IF($A65="","",IFERROR(VLOOKUP($I65,Lookups!$A$4:$B$7,2,FALSE),"Unknown"))</f>
        <v>Clear</v>
      </c>
      <c r="AB65" s="5" t="str">
        <f>IF($A65="","",TEXT($F65,"00")&amp;":00")</f>
        <v>18:00</v>
      </c>
      <c r="AC65" s="5" t="str">
        <f>IF($A65="","",VLOOKUP($F65,Lookups!$G$4:$H$8,2,TRUE))</f>
        <v>Evening Peak (16-19)</v>
      </c>
      <c r="AD65" s="18">
        <f>IF($A65="","",IF($J65="","",ROUND($J65*41,1)))</f>
        <v>9.8</v>
      </c>
      <c r="AE65" s="18">
        <f>IF($A65="","",IF($R65="","",ROUND($R65*50,1)))</f>
        <v>12.9</v>
      </c>
      <c r="AF65" s="5">
        <f>IF($A65="","",IF($L65="","",ROUND($L65*100,0)))</f>
        <v>32</v>
      </c>
      <c r="AG65" s="18">
        <f>IF($A65="","",IF($M65="","",ROUND($M65*67,1)))</f>
        <v>7</v>
      </c>
      <c r="AH65" s="19">
        <f>IF($A65="","",IF($P65="","",IF($P65=0,0,$O65/$P65)))</f>
        <v>0.942675159235669</v>
      </c>
      <c r="AI65" s="5" t="str">
        <f>IF($A65="","",IF($P65="","",IF($P65&gt;=Lookups!$K$7,"High",IF($P65&lt;=Lookups!$K$8,"Low","Medium"))))</f>
        <v>High</v>
      </c>
      <c r="AJ65" s="5" t="str">
        <f>IF($A65="","",IF($AD65="","",IF($AD65&lt;5,"Under 5 C",IF($AD65&lt;10,"5-10 C",IF($AD65&lt;15,"10-15 C","15 C and above")))))</f>
        <v>5-10 C</v>
      </c>
      <c r="AK65" s="5">
        <f>IF($A65="","",IF($P65="","",$P65^2))</f>
        <v>24649</v>
      </c>
      <c r="AL65" s="18">
        <f>IF($V65&lt;&gt;1,"",AVERAGEIFS(Clean_Data!$P$2:$P$1001,Clean_Data!$F$2:$F$1001,$F65,Clean_Data!$W$2:$W$1001,$W65,Clean_Data!$V$2:$V$1001,1))</f>
        <v>151.206896551724</v>
      </c>
      <c r="AM65" s="16">
        <f>IF($V65&lt;&gt;1,"",IFERROR(($P65-$AL65)/SQRT(MAX(0,(SUMIFS(Clean_Data!$AK$2:$AK$1001,Clean_Data!$F$2:$F$1001,$F65,Clean_Data!$W$2:$W$1001,$W65,Clean_Data!$V$2:$V$1001,1)-COUNTIFS(Clean_Data!$F$2:$F$1001,$F65,Clean_Data!$W$2:$W$1001,$W65,Clean_Data!$V$2:$V$1001,1)*$AL65^2)/(COUNTIFS(Clean_Data!$F$2:$F$1001,$F65,Clean_Data!$W$2:$W$1001,$W65,Clean_Data!$V$2:$V$1001,1)-1))),""))</f>
        <v>0.197384399133328</v>
      </c>
      <c r="AN65" s="5" t="str">
        <f>IF($AM65="","",IF($AM65&gt;=Lookups!$K$6,"High spike",IF($AM65&lt;=-Lookups!$K$6,"Unusual low","Normal")))</f>
        <v>Normal</v>
      </c>
      <c r="AO65" s="20">
        <f>IF($V65&lt;&gt;1,"",$P65+ROW()/100000)</f>
        <v>157.00065</v>
      </c>
      <c r="AP65" s="5">
        <f>IF($A65="","",IFERROR(MATCH($A65,Raw_D1!$A$2:$A$1001,0),""))</f>
        <v>64</v>
      </c>
      <c r="AQ65" s="5">
        <f>IF($A65="","",IFERROR(MATCH($A65,Raw_D2!$B$2:$B$1001,0),""))</f>
        <v>64</v>
      </c>
      <c r="AR65" s="5">
        <f>IF($A65="","",IFERROR(MATCH($A65,Raw_D3!$A$2:$A$1001,0),""))</f>
        <v/>
      </c>
    </row>
    <row r="66" spans="1:44" x14ac:dyDescent="0.25">
      <c r="A66" s="5">
        <v>65</v>
      </c>
      <c r="B66" s="11">
        <f>IF($A66="","",IF($AP66&lt;&gt;"",INDEX(Raw_D1!$B$2:$B$1001,$AP66),IF($AR66&lt;&gt;"",INDEX(Raw_D3!$B$2:$B$1001,$AR66),"")))</f>
        <v>40546.0</v>
      </c>
      <c r="C66" s="5">
        <f>IF($A66="","",IF($AP66&lt;&gt;"",INDEX(Raw_D1!$C$2:$C$1001,$AP66),IF($AR66&lt;&gt;"",INDEX(Raw_D3!$C$2:$C$1001,$AR66),"")))</f>
        <v>1</v>
      </c>
      <c r="D66" s="5">
        <f>IF($A66="","",IF($AP66&lt;&gt;"",INDEX(Raw_D1!$D$2:$D$1001,$AP66),IF($AR66&lt;&gt;"",INDEX(Raw_D3!$D$2:$D$1001,$AR66),"")))</f>
        <v>0</v>
      </c>
      <c r="E66" s="5">
        <f>IF($A66="","",IF($AP66&lt;&gt;"",INDEX(Raw_D1!$E$2:$E$1001,$AP66),IF($AR66&lt;&gt;"",INDEX(Raw_D3!$E$2:$E$1001,$AR66),"")))</f>
        <v>1</v>
      </c>
      <c r="F66" s="5">
        <f>IF($A66="","",IF($AP66&lt;&gt;"",INDEX(Raw_D1!$F$2:$F$1001,$AP66),IF($AR66&lt;&gt;"",INDEX(Raw_D3!$F$2:$F$1001,$AR66),"")))</f>
        <v>19</v>
      </c>
      <c r="G66" s="5">
        <f>IF($A66="","",IF($AP66&lt;&gt;"",IF(INDEX(Raw_D1!$G$2:$G$1001,$AP66),1,0),IF($AR66&lt;&gt;"",IF(INDEX(Raw_D3!$G$2:$G$1001,$AR66),1,0),"")))</f>
        <v>0</v>
      </c>
      <c r="H66" s="5">
        <f>IF($A66="","",IF($AP66&lt;&gt;"",INDEX(Raw_D1!$H$2:$H$1001,$AP66),IF($AR66&lt;&gt;"",INDEX(Raw_D3!$H$2:$H$1001,$AR66),"")))</f>
        <v>1</v>
      </c>
      <c r="I66" s="5">
        <f>IF($A66="","",IF($AP66&lt;&gt;"",INDEX(Raw_D1!$I$2:$I$1001,$AP66),IF($AR66&lt;&gt;"",INDEX(Raw_D3!$I$2:$I$1001,$AR66),"")))</f>
        <v>1</v>
      </c>
      <c r="J66" s="16">
        <f>IF($A66="","",IF($AP66&lt;&gt;"",INDEX(Raw_D1!$J$2:$J$1001,$AP66),IF($AR66&lt;&gt;"",INDEX(Raw_D3!$J$2:$J$1001,$AR66),"")))</f>
        <v>0.2</v>
      </c>
      <c r="K66" s="17">
        <f>IF($A66="","",IF($AQ66&lt;&gt;"",IF(INDEX(Raw_D2!$C$2:$C$1001,$AQ66)="","",INDEX(Raw_D2!$C$2:$C$1001,$AQ66)),IF($AR66&lt;&gt;"",IF(INDEX(Raw_D3!$K$2:$K$1001,$AR66)="","",INDEX(Raw_D3!$K$2:$K$1001,$AR66)),"")))</f>
        <v>0.2576</v>
      </c>
      <c r="L66" s="16">
        <f>IF($A66="","",IF($AQ66&lt;&gt;"",IF(INDEX(Raw_D2!$D$2:$D$1001,$AQ66)="","",INDEX(Raw_D2!$D$2:$D$1001,$AQ66)),IF($AR66&lt;&gt;"",IF(INDEX(Raw_D3!$L$2:$L$1001,$AR66)="","",INDEX(Raw_D3!$L$2:$L$1001,$AR66)),"")))</f>
        <v>0.47</v>
      </c>
      <c r="M66" s="17">
        <f>IF($A66="","",IF($AQ66&lt;&gt;"",IF(INDEX(Raw_D2!$E$2:$E$1001,$AQ66)="","",INDEX(Raw_D2!$E$2:$E$1001,$AQ66)),IF($AR66&lt;&gt;"",IF(INDEX(Raw_D3!$M$2:$M$1001,$AR66)="","",INDEX(Raw_D3!$M$2:$M$1001,$AR66)),"")))</f>
        <v>0</v>
      </c>
      <c r="N66" s="5">
        <f>IF($A66="","",IF($AQ66&lt;&gt;"",IF(INDEX(Raw_D2!$F$2:$F$1001,$AQ66)="","",INDEX(Raw_D2!$F$2:$F$1001,$AQ66)),IF($AR66&lt;&gt;"",IF(INDEX(Raw_D3!$N$2:$N$1001,$AR66)="","",INDEX(Raw_D3!$N$2:$N$1001,$AR66)),"")))</f>
        <v>8</v>
      </c>
      <c r="O66" s="5">
        <f>IF($A66="","",IF($AQ66&lt;&gt;"",IF(INDEX(Raw_D2!$G$2:$G$1001,$AQ66)="","",INDEX(Raw_D2!$G$2:$G$1001,$AQ66)),IF($AR66&lt;&gt;"",IF(INDEX(Raw_D3!$O$2:$O$1001,$AR66)="","",INDEX(Raw_D3!$O$2:$O$1001,$AR66)),"")))</f>
        <v>102</v>
      </c>
      <c r="P66" s="5">
        <f>IF($A66="","",IF($AQ66&lt;&gt;"",IF(INDEX(Raw_D2!$H$2:$H$1001,$AQ66)="","",INDEX(Raw_D2!$H$2:$H$1001,$AQ66)),IF($AR66&lt;&gt;"",IF(INDEX(Raw_D3!$P$2:$P$1001,$AR66)="","",INDEX(Raw_D3!$P$2:$P$1001,$AR66)),"")))</f>
        <v>110</v>
      </c>
      <c r="Q66" s="5" t="str">
        <f>IF($A66="","",IF(AND($AP66&lt;&gt;"",$AQ66&lt;&gt;""),"D1+D2",IF($AR66&lt;&gt;"","D3","Incomplete")))</f>
        <v>D1+D2</v>
      </c>
      <c r="R66" s="17">
        <f>IF($A66="","",IF($K66="",IF($J66="","",ROUND(Lookups!$K$5+Lookups!$K$4*$J66,4)),$K66))</f>
        <v>0.2576</v>
      </c>
      <c r="S66" s="5" t="str">
        <f>IF($A66="","",IF($K66="","Imputed","Original"))</f>
        <v>Original</v>
      </c>
      <c r="T66" s="5" t="str">
        <f>IF($A66="","",IF($P66="","Missing",IF($P66=$N66+$O66,"OK","Mismatch")))</f>
        <v>OK</v>
      </c>
      <c r="U66" s="5" t="str">
        <f>IF($A66="","",IF(COUNTIF($A$2:$A66,$A66)&gt;1,"Duplicate","Unique"))</f>
        <v>Unique</v>
      </c>
      <c r="V66" s="5">
        <f>IF($A66="","",IF(AND($U66="Unique",ISNUMBER($P66)),1,0))</f>
        <v>1</v>
      </c>
      <c r="W66" s="5" t="str">
        <f>IF($A66="","",IF(OR($H66=0,$H66=6),"Weekend","Weekday"))</f>
        <v>Weekday</v>
      </c>
      <c r="X66" s="5" t="str">
        <f>IF($A66="","",TEXT($B66,"ddd"))</f>
        <v>Mon</v>
      </c>
      <c r="Y66" s="5" t="str">
        <f>IF($A66="","",TEXT($B66,"mmm"))</f>
        <v>Jan</v>
      </c>
      <c r="Z66" s="5" t="str">
        <f>IF($A66="","",IFERROR(VLOOKUP($C66,Lookups!$D$4:$E$7,2,FALSE),"Unknown"))</f>
        <v>Winter</v>
      </c>
      <c r="AA66" s="5" t="str">
        <f>IF($A66="","",IFERROR(VLOOKUP($I66,Lookups!$A$4:$B$7,2,FALSE),"Unknown"))</f>
        <v>Clear</v>
      </c>
      <c r="AB66" s="5" t="str">
        <f>IF($A66="","",TEXT($F66,"00")&amp;":00")</f>
        <v>19:00</v>
      </c>
      <c r="AC66" s="5" t="str">
        <f>IF($A66="","",VLOOKUP($F66,Lookups!$G$4:$H$8,2,TRUE))</f>
        <v>Evening Peak (16-19)</v>
      </c>
      <c r="AD66" s="18">
        <f>IF($A66="","",IF($J66="","",ROUND($J66*41,1)))</f>
        <v>8.2</v>
      </c>
      <c r="AE66" s="18">
        <f>IF($A66="","",IF($R66="","",ROUND($R66*50,1)))</f>
        <v>12.9</v>
      </c>
      <c r="AF66" s="5">
        <f>IF($A66="","",IF($L66="","",ROUND($L66*100,0)))</f>
        <v>47</v>
      </c>
      <c r="AG66" s="18">
        <f>IF($A66="","",IF($M66="","",ROUND($M66*67,1)))</f>
        <v>0</v>
      </c>
      <c r="AH66" s="19">
        <f>IF($A66="","",IF($P66="","",IF($P66=0,0,$O66/$P66)))</f>
        <v>0.927272727272727</v>
      </c>
      <c r="AI66" s="5" t="str">
        <f>IF($A66="","",IF($P66="","",IF($P66&gt;=Lookups!$K$7,"High",IF($P66&lt;=Lookups!$K$8,"Low","Medium"))))</f>
        <v>High</v>
      </c>
      <c r="AJ66" s="5" t="str">
        <f>IF($A66="","",IF($AD66="","",IF($AD66&lt;5,"Under 5 C",IF($AD66&lt;10,"5-10 C",IF($AD66&lt;15,"10-15 C","15 C and above")))))</f>
        <v>5-10 C</v>
      </c>
      <c r="AK66" s="5">
        <f>IF($A66="","",IF($P66="","",$P66^2))</f>
        <v>12100</v>
      </c>
      <c r="AL66" s="18">
        <f>IF($V66&lt;&gt;1,"",AVERAGEIFS(Clean_Data!$P$2:$P$1001,Clean_Data!$F$2:$F$1001,$F66,Clean_Data!$W$2:$W$1001,$W66,Clean_Data!$V$2:$V$1001,1))</f>
        <v>102.034482758621</v>
      </c>
      <c r="AM66" s="16">
        <f>IF($V66&lt;&gt;1,"",IFERROR(($P66-$AL66)/SQRT(MAX(0,(SUMIFS(Clean_Data!$AK$2:$AK$1001,Clean_Data!$F$2:$F$1001,$F66,Clean_Data!$W$2:$W$1001,$W66,Clean_Data!$V$2:$V$1001,1)-COUNTIFS(Clean_Data!$F$2:$F$1001,$F66,Clean_Data!$W$2:$W$1001,$W66,Clean_Data!$V$2:$V$1001,1)*$AL66^2)/(COUNTIFS(Clean_Data!$F$2:$F$1001,$F66,Clean_Data!$W$2:$W$1001,$W66,Clean_Data!$V$2:$V$1001,1)-1))),""))</f>
        <v>0.374889152628831</v>
      </c>
      <c r="AN66" s="5" t="str">
        <f>IF($AM66="","",IF($AM66&gt;=Lookups!$K$6,"High spike",IF($AM66&lt;=-Lookups!$K$6,"Unusual low","Normal")))</f>
        <v>Normal</v>
      </c>
      <c r="AO66" s="20">
        <f>IF($V66&lt;&gt;1,"",$P66+ROW()/100000)</f>
        <v>110.00066</v>
      </c>
      <c r="AP66" s="5">
        <f>IF($A66="","",IFERROR(MATCH($A66,Raw_D1!$A$2:$A$1001,0),""))</f>
        <v>65</v>
      </c>
      <c r="AQ66" s="5">
        <f>IF($A66="","",IFERROR(MATCH($A66,Raw_D2!$B$2:$B$1001,0),""))</f>
        <v>65</v>
      </c>
      <c r="AR66" s="5">
        <f>IF($A66="","",IFERROR(MATCH($A66,Raw_D3!$A$2:$A$1001,0),""))</f>
        <v/>
      </c>
    </row>
    <row r="67" spans="1:44" x14ac:dyDescent="0.25">
      <c r="A67" s="5">
        <v>66</v>
      </c>
      <c r="B67" s="11">
        <f>IF($A67="","",IF($AP67&lt;&gt;"",INDEX(Raw_D1!$B$2:$B$1001,$AP67),IF($AR67&lt;&gt;"",INDEX(Raw_D3!$B$2:$B$1001,$AR67),"")))</f>
        <v>40546.0</v>
      </c>
      <c r="C67" s="5">
        <f>IF($A67="","",IF($AP67&lt;&gt;"",INDEX(Raw_D1!$C$2:$C$1001,$AP67),IF($AR67&lt;&gt;"",INDEX(Raw_D3!$C$2:$C$1001,$AR67),"")))</f>
        <v>1</v>
      </c>
      <c r="D67" s="5">
        <f>IF($A67="","",IF($AP67&lt;&gt;"",INDEX(Raw_D1!$D$2:$D$1001,$AP67),IF($AR67&lt;&gt;"",INDEX(Raw_D3!$D$2:$D$1001,$AR67),"")))</f>
        <v>0</v>
      </c>
      <c r="E67" s="5">
        <f>IF($A67="","",IF($AP67&lt;&gt;"",INDEX(Raw_D1!$E$2:$E$1001,$AP67),IF($AR67&lt;&gt;"",INDEX(Raw_D3!$E$2:$E$1001,$AR67),"")))</f>
        <v>1</v>
      </c>
      <c r="F67" s="5">
        <f>IF($A67="","",IF($AP67&lt;&gt;"",INDEX(Raw_D1!$F$2:$F$1001,$AP67),IF($AR67&lt;&gt;"",INDEX(Raw_D3!$F$2:$F$1001,$AR67),"")))</f>
        <v>20</v>
      </c>
      <c r="G67" s="5">
        <f>IF($A67="","",IF($AP67&lt;&gt;"",IF(INDEX(Raw_D1!$G$2:$G$1001,$AP67),1,0),IF($AR67&lt;&gt;"",IF(INDEX(Raw_D3!$G$2:$G$1001,$AR67),1,0),"")))</f>
        <v>0</v>
      </c>
      <c r="H67" s="5">
        <f>IF($A67="","",IF($AP67&lt;&gt;"",INDEX(Raw_D1!$H$2:$H$1001,$AP67),IF($AR67&lt;&gt;"",INDEX(Raw_D3!$H$2:$H$1001,$AR67),"")))</f>
        <v>1</v>
      </c>
      <c r="I67" s="5">
        <f>IF($A67="","",IF($AP67&lt;&gt;"",INDEX(Raw_D1!$I$2:$I$1001,$AP67),IF($AR67&lt;&gt;"",INDEX(Raw_D3!$I$2:$I$1001,$AR67),"")))</f>
        <v>1</v>
      </c>
      <c r="J67" s="16">
        <f>IF($A67="","",IF($AP67&lt;&gt;"",INDEX(Raw_D1!$J$2:$J$1001,$AP67),IF($AR67&lt;&gt;"",INDEX(Raw_D3!$J$2:$J$1001,$AR67),"")))</f>
        <v>0.2</v>
      </c>
      <c r="K67" s="17">
        <f>IF($A67="","",IF($AQ67&lt;&gt;"",IF(INDEX(Raw_D2!$C$2:$C$1001,$AQ67)="","",INDEX(Raw_D2!$C$2:$C$1001,$AQ67)),IF($AR67&lt;&gt;"",IF(INDEX(Raw_D3!$K$2:$K$1001,$AR67)="","",INDEX(Raw_D3!$K$2:$K$1001,$AR67)),"")))</f>
        <v/>
      </c>
      <c r="L67" s="16">
        <f>IF($A67="","",IF($AQ67&lt;&gt;"",IF(INDEX(Raw_D2!$D$2:$D$1001,$AQ67)="","",INDEX(Raw_D2!$D$2:$D$1001,$AQ67)),IF($AR67&lt;&gt;"",IF(INDEX(Raw_D3!$L$2:$L$1001,$AR67)="","",INDEX(Raw_D3!$L$2:$L$1001,$AR67)),"")))</f>
        <v>0.47</v>
      </c>
      <c r="M67" s="17">
        <f>IF($A67="","",IF($AQ67&lt;&gt;"",IF(INDEX(Raw_D2!$E$2:$E$1001,$AQ67)="","",INDEX(Raw_D2!$E$2:$E$1001,$AQ67)),IF($AR67&lt;&gt;"",IF(INDEX(Raw_D3!$M$2:$M$1001,$AR67)="","",INDEX(Raw_D3!$M$2:$M$1001,$AR67)),"")))</f>
        <v>0.1045</v>
      </c>
      <c r="N67" s="5">
        <f>IF($A67="","",IF($AQ67&lt;&gt;"",IF(INDEX(Raw_D2!$F$2:$F$1001,$AQ67)="","",INDEX(Raw_D2!$F$2:$F$1001,$AQ67)),IF($AR67&lt;&gt;"",IF(INDEX(Raw_D3!$N$2:$N$1001,$AR67)="","",INDEX(Raw_D3!$N$2:$N$1001,$AR67)),"")))</f>
        <v>3</v>
      </c>
      <c r="O67" s="5">
        <f>IF($A67="","",IF($AQ67&lt;&gt;"",IF(INDEX(Raw_D2!$G$2:$G$1001,$AQ67)="","",INDEX(Raw_D2!$G$2:$G$1001,$AQ67)),IF($AR67&lt;&gt;"",IF(INDEX(Raw_D3!$O$2:$O$1001,$AR67)="","",INDEX(Raw_D3!$O$2:$O$1001,$AR67)),"")))</f>
        <v>49</v>
      </c>
      <c r="P67" s="5">
        <f>IF($A67="","",IF($AQ67&lt;&gt;"",IF(INDEX(Raw_D2!$H$2:$H$1001,$AQ67)="","",INDEX(Raw_D2!$H$2:$H$1001,$AQ67)),IF($AR67&lt;&gt;"",IF(INDEX(Raw_D3!$P$2:$P$1001,$AR67)="","",INDEX(Raw_D3!$P$2:$P$1001,$AR67)),"")))</f>
        <v>52</v>
      </c>
      <c r="Q67" s="5" t="str">
        <f>IF($A67="","",IF(AND($AP67&lt;&gt;"",$AQ67&lt;&gt;""),"D1+D2",IF($AR67&lt;&gt;"","D3","Incomplete")))</f>
        <v>D1+D2</v>
      </c>
      <c r="R67" s="17">
        <f>IF($A67="","",IF($K67="",IF($J67="","",ROUND(Lookups!$K$5+Lookups!$K$4*$J67,4)),$K67))</f>
        <v>0.2076</v>
      </c>
      <c r="S67" s="5" t="str">
        <f>IF($A67="","",IF($K67="","Imputed","Original"))</f>
        <v>Imputed</v>
      </c>
      <c r="T67" s="5" t="str">
        <f>IF($A67="","",IF($P67="","Missing",IF($P67=$N67+$O67,"OK","Mismatch")))</f>
        <v>OK</v>
      </c>
      <c r="U67" s="5" t="str">
        <f>IF($A67="","",IF(COUNTIF($A$2:$A67,$A67)&gt;1,"Duplicate","Unique"))</f>
        <v>Unique</v>
      </c>
      <c r="V67" s="5">
        <f>IF($A67="","",IF(AND($U67="Unique",ISNUMBER($P67)),1,0))</f>
        <v>1</v>
      </c>
      <c r="W67" s="5" t="str">
        <f>IF($A67="","",IF(OR($H67=0,$H67=6),"Weekend","Weekday"))</f>
        <v>Weekday</v>
      </c>
      <c r="X67" s="5" t="str">
        <f>IF($A67="","",TEXT($B67,"ddd"))</f>
        <v>Mon</v>
      </c>
      <c r="Y67" s="5" t="str">
        <f>IF($A67="","",TEXT($B67,"mmm"))</f>
        <v>Jan</v>
      </c>
      <c r="Z67" s="5" t="str">
        <f>IF($A67="","",IFERROR(VLOOKUP($C67,Lookups!$D$4:$E$7,2,FALSE),"Unknown"))</f>
        <v>Winter</v>
      </c>
      <c r="AA67" s="5" t="str">
        <f>IF($A67="","",IFERROR(VLOOKUP($I67,Lookups!$A$4:$B$7,2,FALSE),"Unknown"))</f>
        <v>Clear</v>
      </c>
      <c r="AB67" s="5" t="str">
        <f>IF($A67="","",TEXT($F67,"00")&amp;":00")</f>
        <v>20:00</v>
      </c>
      <c r="AC67" s="5" t="str">
        <f>IF($A67="","",VLOOKUP($F67,Lookups!$G$4:$H$8,2,TRUE))</f>
        <v>Late Evening (20-23)</v>
      </c>
      <c r="AD67" s="18">
        <f>IF($A67="","",IF($J67="","",ROUND($J67*41,1)))</f>
        <v>8.2</v>
      </c>
      <c r="AE67" s="18">
        <f>IF($A67="","",IF($R67="","",ROUND($R67*50,1)))</f>
        <v>10.4</v>
      </c>
      <c r="AF67" s="5">
        <f>IF($A67="","",IF($L67="","",ROUND($L67*100,0)))</f>
        <v>47</v>
      </c>
      <c r="AG67" s="18">
        <f>IF($A67="","",IF($M67="","",ROUND($M67*67,1)))</f>
        <v>7</v>
      </c>
      <c r="AH67" s="19">
        <f>IF($A67="","",IF($P67="","",IF($P67=0,0,$O67/$P67)))</f>
        <v>0.942307692307692</v>
      </c>
      <c r="AI67" s="5" t="str">
        <f>IF($A67="","",IF($P67="","",IF($P67&gt;=Lookups!$K$7,"High",IF($P67&lt;=Lookups!$K$8,"Low","Medium"))))</f>
        <v>Medium</v>
      </c>
      <c r="AJ67" s="5" t="str">
        <f>IF($A67="","",IF($AD67="","",IF($AD67&lt;5,"Under 5 C",IF($AD67&lt;10,"5-10 C",IF($AD67&lt;15,"10-15 C","15 C and above")))))</f>
        <v>5-10 C</v>
      </c>
      <c r="AK67" s="5">
        <f>IF($A67="","",IF($P67="","",$P67^2))</f>
        <v>2704</v>
      </c>
      <c r="AL67" s="18">
        <f>IF($V67&lt;&gt;1,"",AVERAGEIFS(Clean_Data!$P$2:$P$1001,Clean_Data!$F$2:$F$1001,$F67,Clean_Data!$W$2:$W$1001,$W67,Clean_Data!$V$2:$V$1001,1))</f>
        <v>72.2758620689655</v>
      </c>
      <c r="AM67" s="16">
        <f>IF($V67&lt;&gt;1,"",IFERROR(($P67-$AL67)/SQRT(MAX(0,(SUMIFS(Clean_Data!$AK$2:$AK$1001,Clean_Data!$F$2:$F$1001,$F67,Clean_Data!$W$2:$W$1001,$W67,Clean_Data!$V$2:$V$1001,1)-COUNTIFS(Clean_Data!$F$2:$F$1001,$F67,Clean_Data!$W$2:$W$1001,$W67,Clean_Data!$V$2:$V$1001,1)*$AL67^2)/(COUNTIFS(Clean_Data!$F$2:$F$1001,$F67,Clean_Data!$W$2:$W$1001,$W67,Clean_Data!$V$2:$V$1001,1)-1))),""))</f>
        <v>-0.917449319572342</v>
      </c>
      <c r="AN67" s="5" t="str">
        <f>IF($AM67="","",IF($AM67&gt;=Lookups!$K$6,"High spike",IF($AM67&lt;=-Lookups!$K$6,"Unusual low","Normal")))</f>
        <v>Normal</v>
      </c>
      <c r="AO67" s="20">
        <f>IF($V67&lt;&gt;1,"",$P67+ROW()/100000)</f>
        <v>52.00067</v>
      </c>
      <c r="AP67" s="5">
        <f>IF($A67="","",IFERROR(MATCH($A67,Raw_D1!$A$2:$A$1001,0),""))</f>
        <v>66</v>
      </c>
      <c r="AQ67" s="5">
        <f>IF($A67="","",IFERROR(MATCH($A67,Raw_D2!$B$2:$B$1001,0),""))</f>
        <v>66</v>
      </c>
      <c r="AR67" s="5">
        <f>IF($A67="","",IFERROR(MATCH($A67,Raw_D3!$A$2:$A$1001,0),""))</f>
        <v/>
      </c>
    </row>
    <row r="68" spans="1:44" x14ac:dyDescent="0.25">
      <c r="A68" s="5">
        <v>67</v>
      </c>
      <c r="B68" s="11">
        <f>IF($A68="","",IF($AP68&lt;&gt;"",INDEX(Raw_D1!$B$2:$B$1001,$AP68),IF($AR68&lt;&gt;"",INDEX(Raw_D3!$B$2:$B$1001,$AR68),"")))</f>
        <v>40546.0</v>
      </c>
      <c r="C68" s="5">
        <f>IF($A68="","",IF($AP68&lt;&gt;"",INDEX(Raw_D1!$C$2:$C$1001,$AP68),IF($AR68&lt;&gt;"",INDEX(Raw_D3!$C$2:$C$1001,$AR68),"")))</f>
        <v>1</v>
      </c>
      <c r="D68" s="5">
        <f>IF($A68="","",IF($AP68&lt;&gt;"",INDEX(Raw_D1!$D$2:$D$1001,$AP68),IF($AR68&lt;&gt;"",INDEX(Raw_D3!$D$2:$D$1001,$AR68),"")))</f>
        <v>0</v>
      </c>
      <c r="E68" s="5">
        <f>IF($A68="","",IF($AP68&lt;&gt;"",INDEX(Raw_D1!$E$2:$E$1001,$AP68),IF($AR68&lt;&gt;"",INDEX(Raw_D3!$E$2:$E$1001,$AR68),"")))</f>
        <v>1</v>
      </c>
      <c r="F68" s="5">
        <f>IF($A68="","",IF($AP68&lt;&gt;"",INDEX(Raw_D1!$F$2:$F$1001,$AP68),IF($AR68&lt;&gt;"",INDEX(Raw_D3!$F$2:$F$1001,$AR68),"")))</f>
        <v>21</v>
      </c>
      <c r="G68" s="5">
        <f>IF($A68="","",IF($AP68&lt;&gt;"",IF(INDEX(Raw_D1!$G$2:$G$1001,$AP68),1,0),IF($AR68&lt;&gt;"",IF(INDEX(Raw_D3!$G$2:$G$1001,$AR68),1,0),"")))</f>
        <v>0</v>
      </c>
      <c r="H68" s="5">
        <f>IF($A68="","",IF($AP68&lt;&gt;"",INDEX(Raw_D1!$H$2:$H$1001,$AP68),IF($AR68&lt;&gt;"",INDEX(Raw_D3!$H$2:$H$1001,$AR68),"")))</f>
        <v>1</v>
      </c>
      <c r="I68" s="5">
        <f>IF($A68="","",IF($AP68&lt;&gt;"",INDEX(Raw_D1!$I$2:$I$1001,$AP68),IF($AR68&lt;&gt;"",INDEX(Raw_D3!$I$2:$I$1001,$AR68),"")))</f>
        <v>1</v>
      </c>
      <c r="J68" s="16">
        <f>IF($A68="","",IF($AP68&lt;&gt;"",INDEX(Raw_D1!$J$2:$J$1001,$AP68),IF($AR68&lt;&gt;"",INDEX(Raw_D3!$J$2:$J$1001,$AR68),"")))</f>
        <v>0.18</v>
      </c>
      <c r="K68" s="17">
        <f>IF($A68="","",IF($AQ68&lt;&gt;"",IF(INDEX(Raw_D2!$C$2:$C$1001,$AQ68)="","",INDEX(Raw_D2!$C$2:$C$1001,$AQ68)),IF($AR68&lt;&gt;"",IF(INDEX(Raw_D3!$K$2:$K$1001,$AR68)="","",INDEX(Raw_D3!$K$2:$K$1001,$AR68)),"")))</f>
        <v>0.197</v>
      </c>
      <c r="L68" s="16">
        <f>IF($A68="","",IF($AQ68&lt;&gt;"",IF(INDEX(Raw_D2!$D$2:$D$1001,$AQ68)="","",INDEX(Raw_D2!$D$2:$D$1001,$AQ68)),IF($AR68&lt;&gt;"",IF(INDEX(Raw_D3!$L$2:$L$1001,$AR68)="","",INDEX(Raw_D3!$L$2:$L$1001,$AR68)),"")))</f>
        <v>0.64</v>
      </c>
      <c r="M68" s="17">
        <f>IF($A68="","",IF($AQ68&lt;&gt;"",IF(INDEX(Raw_D2!$E$2:$E$1001,$AQ68)="","",INDEX(Raw_D2!$E$2:$E$1001,$AQ68)),IF($AR68&lt;&gt;"",IF(INDEX(Raw_D3!$M$2:$M$1001,$AR68)="","",INDEX(Raw_D3!$M$2:$M$1001,$AR68)),"")))</f>
        <v>0.1343</v>
      </c>
      <c r="N68" s="5">
        <f>IF($A68="","",IF($AQ68&lt;&gt;"",IF(INDEX(Raw_D2!$F$2:$F$1001,$AQ68)="","",INDEX(Raw_D2!$F$2:$F$1001,$AQ68)),IF($AR68&lt;&gt;"",IF(INDEX(Raw_D3!$N$2:$N$1001,$AR68)="","",INDEX(Raw_D3!$N$2:$N$1001,$AR68)),"")))</f>
        <v>3</v>
      </c>
      <c r="O68" s="5">
        <f>IF($A68="","",IF($AQ68&lt;&gt;"",IF(INDEX(Raw_D2!$G$2:$G$1001,$AQ68)="","",INDEX(Raw_D2!$G$2:$G$1001,$AQ68)),IF($AR68&lt;&gt;"",IF(INDEX(Raw_D3!$O$2:$O$1001,$AR68)="","",INDEX(Raw_D3!$O$2:$O$1001,$AR68)),"")))</f>
        <v>49</v>
      </c>
      <c r="P68" s="5">
        <f>IF($A68="","",IF($AQ68&lt;&gt;"",IF(INDEX(Raw_D2!$H$2:$H$1001,$AQ68)="","",INDEX(Raw_D2!$H$2:$H$1001,$AQ68)),IF($AR68&lt;&gt;"",IF(INDEX(Raw_D3!$P$2:$P$1001,$AR68)="","",INDEX(Raw_D3!$P$2:$P$1001,$AR68)),"")))</f>
        <v>52</v>
      </c>
      <c r="Q68" s="5" t="str">
        <f>IF($A68="","",IF(AND($AP68&lt;&gt;"",$AQ68&lt;&gt;""),"D1+D2",IF($AR68&lt;&gt;"","D3","Incomplete")))</f>
        <v>D1+D2</v>
      </c>
      <c r="R68" s="17">
        <f>IF($A68="","",IF($K68="",IF($J68="","",ROUND(Lookups!$K$5+Lookups!$K$4*$J68,4)),$K68))</f>
        <v>0.197</v>
      </c>
      <c r="S68" s="5" t="str">
        <f>IF($A68="","",IF($K68="","Imputed","Original"))</f>
        <v>Original</v>
      </c>
      <c r="T68" s="5" t="str">
        <f>IF($A68="","",IF($P68="","Missing",IF($P68=$N68+$O68,"OK","Mismatch")))</f>
        <v>OK</v>
      </c>
      <c r="U68" s="5" t="str">
        <f>IF($A68="","",IF(COUNTIF($A$2:$A68,$A68)&gt;1,"Duplicate","Unique"))</f>
        <v>Unique</v>
      </c>
      <c r="V68" s="5">
        <f>IF($A68="","",IF(AND($U68="Unique",ISNUMBER($P68)),1,0))</f>
        <v>1</v>
      </c>
      <c r="W68" s="5" t="str">
        <f>IF($A68="","",IF(OR($H68=0,$H68=6),"Weekend","Weekday"))</f>
        <v>Weekday</v>
      </c>
      <c r="X68" s="5" t="str">
        <f>IF($A68="","",TEXT($B68,"ddd"))</f>
        <v>Mon</v>
      </c>
      <c r="Y68" s="5" t="str">
        <f>IF($A68="","",TEXT($B68,"mmm"))</f>
        <v>Jan</v>
      </c>
      <c r="Z68" s="5" t="str">
        <f>IF($A68="","",IFERROR(VLOOKUP($C68,Lookups!$D$4:$E$7,2,FALSE),"Unknown"))</f>
        <v>Winter</v>
      </c>
      <c r="AA68" s="5" t="str">
        <f>IF($A68="","",IFERROR(VLOOKUP($I68,Lookups!$A$4:$B$7,2,FALSE),"Unknown"))</f>
        <v>Clear</v>
      </c>
      <c r="AB68" s="5" t="str">
        <f>IF($A68="","",TEXT($F68,"00")&amp;":00")</f>
        <v>21:00</v>
      </c>
      <c r="AC68" s="5" t="str">
        <f>IF($A68="","",VLOOKUP($F68,Lookups!$G$4:$H$8,2,TRUE))</f>
        <v>Late Evening (20-23)</v>
      </c>
      <c r="AD68" s="18">
        <f>IF($A68="","",IF($J68="","",ROUND($J68*41,1)))</f>
        <v>7.4</v>
      </c>
      <c r="AE68" s="18">
        <f>IF($A68="","",IF($R68="","",ROUND($R68*50,1)))</f>
        <v>9.9</v>
      </c>
      <c r="AF68" s="5">
        <f>IF($A68="","",IF($L68="","",ROUND($L68*100,0)))</f>
        <v>64</v>
      </c>
      <c r="AG68" s="18">
        <f>IF($A68="","",IF($M68="","",ROUND($M68*67,1)))</f>
        <v>9</v>
      </c>
      <c r="AH68" s="19">
        <f>IF($A68="","",IF($P68="","",IF($P68=0,0,$O68/$P68)))</f>
        <v>0.942307692307692</v>
      </c>
      <c r="AI68" s="5" t="str">
        <f>IF($A68="","",IF($P68="","",IF($P68&gt;=Lookups!$K$7,"High",IF($P68&lt;=Lookups!$K$8,"Low","Medium"))))</f>
        <v>Medium</v>
      </c>
      <c r="AJ68" s="5" t="str">
        <f>IF($A68="","",IF($AD68="","",IF($AD68&lt;5,"Under 5 C",IF($AD68&lt;10,"5-10 C",IF($AD68&lt;15,"10-15 C","15 C and above")))))</f>
        <v>5-10 C</v>
      </c>
      <c r="AK68" s="5">
        <f>IF($A68="","",IF($P68="","",$P68^2))</f>
        <v>2704</v>
      </c>
      <c r="AL68" s="18">
        <f>IF($V68&lt;&gt;1,"",AVERAGEIFS(Clean_Data!$P$2:$P$1001,Clean_Data!$F$2:$F$1001,$F68,Clean_Data!$W$2:$W$1001,$W68,Clean_Data!$V$2:$V$1001,1))</f>
        <v>50.8965517241379</v>
      </c>
      <c r="AM68" s="16">
        <f>IF($V68&lt;&gt;1,"",IFERROR(($P68-$AL68)/SQRT(MAX(0,(SUMIFS(Clean_Data!$AK$2:$AK$1001,Clean_Data!$F$2:$F$1001,$F68,Clean_Data!$W$2:$W$1001,$W68,Clean_Data!$V$2:$V$1001,1)-COUNTIFS(Clean_Data!$F$2:$F$1001,$F68,Clean_Data!$W$2:$W$1001,$W68,Clean_Data!$V$2:$V$1001,1)*$AL68^2)/(COUNTIFS(Clean_Data!$F$2:$F$1001,$F68,Clean_Data!$W$2:$W$1001,$W68,Clean_Data!$V$2:$V$1001,1)-1))),""))</f>
        <v>0.0799123051201765</v>
      </c>
      <c r="AN68" s="5" t="str">
        <f>IF($AM68="","",IF($AM68&gt;=Lookups!$K$6,"High spike",IF($AM68&lt;=-Lookups!$K$6,"Unusual low","Normal")))</f>
        <v>Normal</v>
      </c>
      <c r="AO68" s="20">
        <f>IF($V68&lt;&gt;1,"",$P68+ROW()/100000)</f>
        <v>52.00068</v>
      </c>
      <c r="AP68" s="5">
        <f>IF($A68="","",IFERROR(MATCH($A68,Raw_D1!$A$2:$A$1001,0),""))</f>
        <v>67</v>
      </c>
      <c r="AQ68" s="5">
        <f>IF($A68="","",IFERROR(MATCH($A68,Raw_D2!$B$2:$B$1001,0),""))</f>
        <v>67</v>
      </c>
      <c r="AR68" s="5">
        <f>IF($A68="","",IFERROR(MATCH($A68,Raw_D3!$A$2:$A$1001,0),""))</f>
        <v/>
      </c>
    </row>
    <row r="69" spans="1:44" x14ac:dyDescent="0.25">
      <c r="A69" s="5">
        <v>68</v>
      </c>
      <c r="B69" s="11">
        <f>IF($A69="","",IF($AP69&lt;&gt;"",INDEX(Raw_D1!$B$2:$B$1001,$AP69),IF($AR69&lt;&gt;"",INDEX(Raw_D3!$B$2:$B$1001,$AR69),"")))</f>
        <v>40546.0</v>
      </c>
      <c r="C69" s="5">
        <f>IF($A69="","",IF($AP69&lt;&gt;"",INDEX(Raw_D1!$C$2:$C$1001,$AP69),IF($AR69&lt;&gt;"",INDEX(Raw_D3!$C$2:$C$1001,$AR69),"")))</f>
        <v>1</v>
      </c>
      <c r="D69" s="5">
        <f>IF($A69="","",IF($AP69&lt;&gt;"",INDEX(Raw_D1!$D$2:$D$1001,$AP69),IF($AR69&lt;&gt;"",INDEX(Raw_D3!$D$2:$D$1001,$AR69),"")))</f>
        <v>0</v>
      </c>
      <c r="E69" s="5">
        <f>IF($A69="","",IF($AP69&lt;&gt;"",INDEX(Raw_D1!$E$2:$E$1001,$AP69),IF($AR69&lt;&gt;"",INDEX(Raw_D3!$E$2:$E$1001,$AR69),"")))</f>
        <v>1</v>
      </c>
      <c r="F69" s="5">
        <f>IF($A69="","",IF($AP69&lt;&gt;"",INDEX(Raw_D1!$F$2:$F$1001,$AP69),IF($AR69&lt;&gt;"",INDEX(Raw_D3!$F$2:$F$1001,$AR69),"")))</f>
        <v>22</v>
      </c>
      <c r="G69" s="5">
        <f>IF($A69="","",IF($AP69&lt;&gt;"",IF(INDEX(Raw_D1!$G$2:$G$1001,$AP69),1,0),IF($AR69&lt;&gt;"",IF(INDEX(Raw_D3!$G$2:$G$1001,$AR69),1,0),"")))</f>
        <v>0</v>
      </c>
      <c r="H69" s="5">
        <f>IF($A69="","",IF($AP69&lt;&gt;"",INDEX(Raw_D1!$H$2:$H$1001,$AP69),IF($AR69&lt;&gt;"",INDEX(Raw_D3!$H$2:$H$1001,$AR69),"")))</f>
        <v>1</v>
      </c>
      <c r="I69" s="5">
        <f>IF($A69="","",IF($AP69&lt;&gt;"",INDEX(Raw_D1!$I$2:$I$1001,$AP69),IF($AR69&lt;&gt;"",INDEX(Raw_D3!$I$2:$I$1001,$AR69),"")))</f>
        <v>1</v>
      </c>
      <c r="J69" s="16">
        <f>IF($A69="","",IF($AP69&lt;&gt;"",INDEX(Raw_D1!$J$2:$J$1001,$AP69),IF($AR69&lt;&gt;"",INDEX(Raw_D3!$J$2:$J$1001,$AR69),"")))</f>
        <v>0.14</v>
      </c>
      <c r="K69" s="17">
        <f>IF($A69="","",IF($AQ69&lt;&gt;"",IF(INDEX(Raw_D2!$C$2:$C$1001,$AQ69)="","",INDEX(Raw_D2!$C$2:$C$1001,$AQ69)),IF($AR69&lt;&gt;"",IF(INDEX(Raw_D3!$K$2:$K$1001,$AR69)="","",INDEX(Raw_D3!$K$2:$K$1001,$AR69)),"")))</f>
        <v>0.1515</v>
      </c>
      <c r="L69" s="16">
        <f>IF($A69="","",IF($AQ69&lt;&gt;"",IF(INDEX(Raw_D2!$D$2:$D$1001,$AQ69)="","",INDEX(Raw_D2!$D$2:$D$1001,$AQ69)),IF($AR69&lt;&gt;"",IF(INDEX(Raw_D3!$L$2:$L$1001,$AR69)="","",INDEX(Raw_D3!$L$2:$L$1001,$AR69)),"")))</f>
        <v>0.69</v>
      </c>
      <c r="M69" s="17">
        <f>IF($A69="","",IF($AQ69&lt;&gt;"",IF(INDEX(Raw_D2!$E$2:$E$1001,$AQ69)="","",INDEX(Raw_D2!$E$2:$E$1001,$AQ69)),IF($AR69&lt;&gt;"",IF(INDEX(Raw_D3!$M$2:$M$1001,$AR69)="","",INDEX(Raw_D3!$M$2:$M$1001,$AR69)),"")))</f>
        <v>0.1343</v>
      </c>
      <c r="N69" s="5">
        <f>IF($A69="","",IF($AQ69&lt;&gt;"",IF(INDEX(Raw_D2!$F$2:$F$1001,$AQ69)="","",INDEX(Raw_D2!$F$2:$F$1001,$AQ69)),IF($AR69&lt;&gt;"",IF(INDEX(Raw_D3!$N$2:$N$1001,$AR69)="","",INDEX(Raw_D3!$N$2:$N$1001,$AR69)),"")))</f>
        <v>0</v>
      </c>
      <c r="O69" s="5">
        <f>IF($A69="","",IF($AQ69&lt;&gt;"",IF(INDEX(Raw_D2!$G$2:$G$1001,$AQ69)="","",INDEX(Raw_D2!$G$2:$G$1001,$AQ69)),IF($AR69&lt;&gt;"",IF(INDEX(Raw_D3!$O$2:$O$1001,$AR69)="","",INDEX(Raw_D3!$O$2:$O$1001,$AR69)),"")))</f>
        <v>20</v>
      </c>
      <c r="P69" s="5">
        <f>IF($A69="","",IF($AQ69&lt;&gt;"",IF(INDEX(Raw_D2!$H$2:$H$1001,$AQ69)="","",INDEX(Raw_D2!$H$2:$H$1001,$AQ69)),IF($AR69&lt;&gt;"",IF(INDEX(Raw_D3!$P$2:$P$1001,$AR69)="","",INDEX(Raw_D3!$P$2:$P$1001,$AR69)),"")))</f>
        <v>20</v>
      </c>
      <c r="Q69" s="5" t="str">
        <f>IF($A69="","",IF(AND($AP69&lt;&gt;"",$AQ69&lt;&gt;""),"D1+D2",IF($AR69&lt;&gt;"","D3","Incomplete")))</f>
        <v>D1+D2</v>
      </c>
      <c r="R69" s="17">
        <f>IF($A69="","",IF($K69="",IF($J69="","",ROUND(Lookups!$K$5+Lookups!$K$4*$J69,4)),$K69))</f>
        <v>0.1515</v>
      </c>
      <c r="S69" s="5" t="str">
        <f>IF($A69="","",IF($K69="","Imputed","Original"))</f>
        <v>Original</v>
      </c>
      <c r="T69" s="5" t="str">
        <f>IF($A69="","",IF($P69="","Missing",IF($P69=$N69+$O69,"OK","Mismatch")))</f>
        <v>OK</v>
      </c>
      <c r="U69" s="5" t="str">
        <f>IF($A69="","",IF(COUNTIF($A$2:$A69,$A69)&gt;1,"Duplicate","Unique"))</f>
        <v>Unique</v>
      </c>
      <c r="V69" s="5">
        <f>IF($A69="","",IF(AND($U69="Unique",ISNUMBER($P69)),1,0))</f>
        <v>1</v>
      </c>
      <c r="W69" s="5" t="str">
        <f>IF($A69="","",IF(OR($H69=0,$H69=6),"Weekend","Weekday"))</f>
        <v>Weekday</v>
      </c>
      <c r="X69" s="5" t="str">
        <f>IF($A69="","",TEXT($B69,"ddd"))</f>
        <v>Mon</v>
      </c>
      <c r="Y69" s="5" t="str">
        <f>IF($A69="","",TEXT($B69,"mmm"))</f>
        <v>Jan</v>
      </c>
      <c r="Z69" s="5" t="str">
        <f>IF($A69="","",IFERROR(VLOOKUP($C69,Lookups!$D$4:$E$7,2,FALSE),"Unknown"))</f>
        <v>Winter</v>
      </c>
      <c r="AA69" s="5" t="str">
        <f>IF($A69="","",IFERROR(VLOOKUP($I69,Lookups!$A$4:$B$7,2,FALSE),"Unknown"))</f>
        <v>Clear</v>
      </c>
      <c r="AB69" s="5" t="str">
        <f>IF($A69="","",TEXT($F69,"00")&amp;":00")</f>
        <v>22:00</v>
      </c>
      <c r="AC69" s="5" t="str">
        <f>IF($A69="","",VLOOKUP($F69,Lookups!$G$4:$H$8,2,TRUE))</f>
        <v>Late Evening (20-23)</v>
      </c>
      <c r="AD69" s="18">
        <f>IF($A69="","",IF($J69="","",ROUND($J69*41,1)))</f>
        <v>5.7</v>
      </c>
      <c r="AE69" s="18">
        <f>IF($A69="","",IF($R69="","",ROUND($R69*50,1)))</f>
        <v>7.6</v>
      </c>
      <c r="AF69" s="5">
        <f>IF($A69="","",IF($L69="","",ROUND($L69*100,0)))</f>
        <v>69</v>
      </c>
      <c r="AG69" s="18">
        <f>IF($A69="","",IF($M69="","",ROUND($M69*67,1)))</f>
        <v>9</v>
      </c>
      <c r="AH69" s="19">
        <f>IF($A69="","",IF($P69="","",IF($P69=0,0,$O69/$P69)))</f>
        <v>1</v>
      </c>
      <c r="AI69" s="5" t="str">
        <f>IF($A69="","",IF($P69="","",IF($P69&gt;=Lookups!$K$7,"High",IF($P69&lt;=Lookups!$K$8,"Low","Medium"))))</f>
        <v>Medium</v>
      </c>
      <c r="AJ69" s="5" t="str">
        <f>IF($A69="","",IF($AD69="","",IF($AD69&lt;5,"Under 5 C",IF($AD69&lt;10,"5-10 C",IF($AD69&lt;15,"10-15 C","15 C and above")))))</f>
        <v>5-10 C</v>
      </c>
      <c r="AK69" s="5">
        <f>IF($A69="","",IF($P69="","",$P69^2))</f>
        <v>400</v>
      </c>
      <c r="AL69" s="18">
        <f>IF($V69&lt;&gt;1,"",AVERAGEIFS(Clean_Data!$P$2:$P$1001,Clean_Data!$F$2:$F$1001,$F69,Clean_Data!$W$2:$W$1001,$W69,Clean_Data!$V$2:$V$1001,1))</f>
        <v>37.1034482758621</v>
      </c>
      <c r="AM69" s="16">
        <f>IF($V69&lt;&gt;1,"",IFERROR(($P69-$AL69)/SQRT(MAX(0,(SUMIFS(Clean_Data!$AK$2:$AK$1001,Clean_Data!$F$2:$F$1001,$F69,Clean_Data!$W$2:$W$1001,$W69,Clean_Data!$V$2:$V$1001,1)-COUNTIFS(Clean_Data!$F$2:$F$1001,$F69,Clean_Data!$W$2:$W$1001,$W69,Clean_Data!$V$2:$V$1001,1)*$AL69^2)/(COUNTIFS(Clean_Data!$F$2:$F$1001,$F69,Clean_Data!$W$2:$W$1001,$W69,Clean_Data!$V$2:$V$1001,1)-1))),""))</f>
        <v>-1.58443640068191</v>
      </c>
      <c r="AN69" s="5" t="str">
        <f>IF($AM69="","",IF($AM69&gt;=Lookups!$K$6,"High spike",IF($AM69&lt;=-Lookups!$K$6,"Unusual low","Normal")))</f>
        <v>Normal</v>
      </c>
      <c r="AO69" s="20">
        <f>IF($V69&lt;&gt;1,"",$P69+ROW()/100000)</f>
        <v>20.00069</v>
      </c>
      <c r="AP69" s="5">
        <f>IF($A69="","",IFERROR(MATCH($A69,Raw_D1!$A$2:$A$1001,0),""))</f>
        <v>68</v>
      </c>
      <c r="AQ69" s="5">
        <f>IF($A69="","",IFERROR(MATCH($A69,Raw_D2!$B$2:$B$1001,0),""))</f>
        <v>68</v>
      </c>
      <c r="AR69" s="5">
        <f>IF($A69="","",IFERROR(MATCH($A69,Raw_D3!$A$2:$A$1001,0),""))</f>
        <v/>
      </c>
    </row>
    <row r="70" spans="1:44" x14ac:dyDescent="0.25">
      <c r="A70" s="5">
        <v>69</v>
      </c>
      <c r="B70" s="11">
        <f>IF($A70="","",IF($AP70&lt;&gt;"",INDEX(Raw_D1!$B$2:$B$1001,$AP70),IF($AR70&lt;&gt;"",INDEX(Raw_D3!$B$2:$B$1001,$AR70),"")))</f>
        <v>40546.0</v>
      </c>
      <c r="C70" s="5">
        <f>IF($A70="","",IF($AP70&lt;&gt;"",INDEX(Raw_D1!$C$2:$C$1001,$AP70),IF($AR70&lt;&gt;"",INDEX(Raw_D3!$C$2:$C$1001,$AR70),"")))</f>
        <v>1</v>
      </c>
      <c r="D70" s="5">
        <f>IF($A70="","",IF($AP70&lt;&gt;"",INDEX(Raw_D1!$D$2:$D$1001,$AP70),IF($AR70&lt;&gt;"",INDEX(Raw_D3!$D$2:$D$1001,$AR70),"")))</f>
        <v>0</v>
      </c>
      <c r="E70" s="5">
        <f>IF($A70="","",IF($AP70&lt;&gt;"",INDEX(Raw_D1!$E$2:$E$1001,$AP70),IF($AR70&lt;&gt;"",INDEX(Raw_D3!$E$2:$E$1001,$AR70),"")))</f>
        <v>1</v>
      </c>
      <c r="F70" s="5">
        <f>IF($A70="","",IF($AP70&lt;&gt;"",INDEX(Raw_D1!$F$2:$F$1001,$AP70),IF($AR70&lt;&gt;"",INDEX(Raw_D3!$F$2:$F$1001,$AR70),"")))</f>
        <v>23</v>
      </c>
      <c r="G70" s="5">
        <f>IF($A70="","",IF($AP70&lt;&gt;"",IF(INDEX(Raw_D1!$G$2:$G$1001,$AP70),1,0),IF($AR70&lt;&gt;"",IF(INDEX(Raw_D3!$G$2:$G$1001,$AR70),1,0),"")))</f>
        <v>0</v>
      </c>
      <c r="H70" s="5">
        <f>IF($A70="","",IF($AP70&lt;&gt;"",INDEX(Raw_D1!$H$2:$H$1001,$AP70),IF($AR70&lt;&gt;"",INDEX(Raw_D3!$H$2:$H$1001,$AR70),"")))</f>
        <v>1</v>
      </c>
      <c r="I70" s="5">
        <f>IF($A70="","",IF($AP70&lt;&gt;"",INDEX(Raw_D1!$I$2:$I$1001,$AP70),IF($AR70&lt;&gt;"",INDEX(Raw_D3!$I$2:$I$1001,$AR70),"")))</f>
        <v>1</v>
      </c>
      <c r="J70" s="16">
        <f>IF($A70="","",IF($AP70&lt;&gt;"",INDEX(Raw_D1!$J$2:$J$1001,$AP70),IF($AR70&lt;&gt;"",INDEX(Raw_D3!$J$2:$J$1001,$AR70),"")))</f>
        <v>0.18</v>
      </c>
      <c r="K70" s="17">
        <f>IF($A70="","",IF($AQ70&lt;&gt;"",IF(INDEX(Raw_D2!$C$2:$C$1001,$AQ70)="","",INDEX(Raw_D2!$C$2:$C$1001,$AQ70)),IF($AR70&lt;&gt;"",IF(INDEX(Raw_D3!$K$2:$K$1001,$AR70)="","",INDEX(Raw_D3!$K$2:$K$1001,$AR70)),"")))</f>
        <v>0.2121</v>
      </c>
      <c r="L70" s="16">
        <f>IF($A70="","",IF($AQ70&lt;&gt;"",IF(INDEX(Raw_D2!$D$2:$D$1001,$AQ70)="","",INDEX(Raw_D2!$D$2:$D$1001,$AQ70)),IF($AR70&lt;&gt;"",IF(INDEX(Raw_D3!$L$2:$L$1001,$AR70)="","",INDEX(Raw_D3!$L$2:$L$1001,$AR70)),"")))</f>
        <v>0.55</v>
      </c>
      <c r="M70" s="17">
        <f>IF($A70="","",IF($AQ70&lt;&gt;"",IF(INDEX(Raw_D2!$E$2:$E$1001,$AQ70)="","",INDEX(Raw_D2!$E$2:$E$1001,$AQ70)),IF($AR70&lt;&gt;"",IF(INDEX(Raw_D3!$M$2:$M$1001,$AR70)="","",INDEX(Raw_D3!$M$2:$M$1001,$AR70)),"")))</f>
        <v>0.1045</v>
      </c>
      <c r="N70" s="5">
        <f>IF($A70="","",IF($AQ70&lt;&gt;"",IF(INDEX(Raw_D2!$F$2:$F$1001,$AQ70)="","",INDEX(Raw_D2!$F$2:$F$1001,$AQ70)),IF($AR70&lt;&gt;"",IF(INDEX(Raw_D3!$N$2:$N$1001,$AR70)="","",INDEX(Raw_D3!$N$2:$N$1001,$AR70)),"")))</f>
        <v>1</v>
      </c>
      <c r="O70" s="5">
        <f>IF($A70="","",IF($AQ70&lt;&gt;"",IF(INDEX(Raw_D2!$G$2:$G$1001,$AQ70)="","",INDEX(Raw_D2!$G$2:$G$1001,$AQ70)),IF($AR70&lt;&gt;"",IF(INDEX(Raw_D3!$O$2:$O$1001,$AR70)="","",INDEX(Raw_D3!$O$2:$O$1001,$AR70)),"")))</f>
        <v>11</v>
      </c>
      <c r="P70" s="5">
        <f>IF($A70="","",IF($AQ70&lt;&gt;"",IF(INDEX(Raw_D2!$H$2:$H$1001,$AQ70)="","",INDEX(Raw_D2!$H$2:$H$1001,$AQ70)),IF($AR70&lt;&gt;"",IF(INDEX(Raw_D3!$P$2:$P$1001,$AR70)="","",INDEX(Raw_D3!$P$2:$P$1001,$AR70)),"")))</f>
        <v>12</v>
      </c>
      <c r="Q70" s="5" t="str">
        <f>IF($A70="","",IF(AND($AP70&lt;&gt;"",$AQ70&lt;&gt;""),"D1+D2",IF($AR70&lt;&gt;"","D3","Incomplete")))</f>
        <v>D1+D2</v>
      </c>
      <c r="R70" s="17">
        <f>IF($A70="","",IF($K70="",IF($J70="","",ROUND(Lookups!$K$5+Lookups!$K$4*$J70,4)),$K70))</f>
        <v>0.2121</v>
      </c>
      <c r="S70" s="5" t="str">
        <f>IF($A70="","",IF($K70="","Imputed","Original"))</f>
        <v>Original</v>
      </c>
      <c r="T70" s="5" t="str">
        <f>IF($A70="","",IF($P70="","Missing",IF($P70=$N70+$O70,"OK","Mismatch")))</f>
        <v>OK</v>
      </c>
      <c r="U70" s="5" t="str">
        <f>IF($A70="","",IF(COUNTIF($A$2:$A70,$A70)&gt;1,"Duplicate","Unique"))</f>
        <v>Unique</v>
      </c>
      <c r="V70" s="5">
        <f>IF($A70="","",IF(AND($U70="Unique",ISNUMBER($P70)),1,0))</f>
        <v>1</v>
      </c>
      <c r="W70" s="5" t="str">
        <f>IF($A70="","",IF(OR($H70=0,$H70=6),"Weekend","Weekday"))</f>
        <v>Weekday</v>
      </c>
      <c r="X70" s="5" t="str">
        <f>IF($A70="","",TEXT($B70,"ddd"))</f>
        <v>Mon</v>
      </c>
      <c r="Y70" s="5" t="str">
        <f>IF($A70="","",TEXT($B70,"mmm"))</f>
        <v>Jan</v>
      </c>
      <c r="Z70" s="5" t="str">
        <f>IF($A70="","",IFERROR(VLOOKUP($C70,Lookups!$D$4:$E$7,2,FALSE),"Unknown"))</f>
        <v>Winter</v>
      </c>
      <c r="AA70" s="5" t="str">
        <f>IF($A70="","",IFERROR(VLOOKUP($I70,Lookups!$A$4:$B$7,2,FALSE),"Unknown"))</f>
        <v>Clear</v>
      </c>
      <c r="AB70" s="5" t="str">
        <f>IF($A70="","",TEXT($F70,"00")&amp;":00")</f>
        <v>23:00</v>
      </c>
      <c r="AC70" s="5" t="str">
        <f>IF($A70="","",VLOOKUP($F70,Lookups!$G$4:$H$8,2,TRUE))</f>
        <v>Late Evening (20-23)</v>
      </c>
      <c r="AD70" s="18">
        <f>IF($A70="","",IF($J70="","",ROUND($J70*41,1)))</f>
        <v>7.4</v>
      </c>
      <c r="AE70" s="18">
        <f>IF($A70="","",IF($R70="","",ROUND($R70*50,1)))</f>
        <v>10.6</v>
      </c>
      <c r="AF70" s="5">
        <f>IF($A70="","",IF($L70="","",ROUND($L70*100,0)))</f>
        <v>55</v>
      </c>
      <c r="AG70" s="18">
        <f>IF($A70="","",IF($M70="","",ROUND($M70*67,1)))</f>
        <v>7</v>
      </c>
      <c r="AH70" s="19">
        <f>IF($A70="","",IF($P70="","",IF($P70=0,0,$O70/$P70)))</f>
        <v>0.916666666666667</v>
      </c>
      <c r="AI70" s="5" t="str">
        <f>IF($A70="","",IF($P70="","",IF($P70&gt;=Lookups!$K$7,"High",IF($P70&lt;=Lookups!$K$8,"Low","Medium"))))</f>
        <v>Low</v>
      </c>
      <c r="AJ70" s="5" t="str">
        <f>IF($A70="","",IF($AD70="","",IF($AD70&lt;5,"Under 5 C",IF($AD70&lt;10,"5-10 C",IF($AD70&lt;15,"10-15 C","15 C and above")))))</f>
        <v>5-10 C</v>
      </c>
      <c r="AK70" s="5">
        <f>IF($A70="","",IF($P70="","",$P70^2))</f>
        <v>144</v>
      </c>
      <c r="AL70" s="18">
        <f>IF($V70&lt;&gt;1,"",AVERAGEIFS(Clean_Data!$P$2:$P$1001,Clean_Data!$F$2:$F$1001,$F70,Clean_Data!$W$2:$W$1001,$W70,Clean_Data!$V$2:$V$1001,1))</f>
        <v>23.6896551724138</v>
      </c>
      <c r="AM70" s="16">
        <f>IF($V70&lt;&gt;1,"",IFERROR(($P70-$AL70)/SQRT(MAX(0,(SUMIFS(Clean_Data!$AK$2:$AK$1001,Clean_Data!$F$2:$F$1001,$F70,Clean_Data!$W$2:$W$1001,$W70,Clean_Data!$V$2:$V$1001,1)-COUNTIFS(Clean_Data!$F$2:$F$1001,$F70,Clean_Data!$W$2:$W$1001,$W70,Clean_Data!$V$2:$V$1001,1)*$AL70^2)/(COUNTIFS(Clean_Data!$F$2:$F$1001,$F70,Clean_Data!$W$2:$W$1001,$W70,Clean_Data!$V$2:$V$1001,1)-1))),""))</f>
        <v>-1.11597762214062</v>
      </c>
      <c r="AN70" s="5" t="str">
        <f>IF($AM70="","",IF($AM70&gt;=Lookups!$K$6,"High spike",IF($AM70&lt;=-Lookups!$K$6,"Unusual low","Normal")))</f>
        <v>Normal</v>
      </c>
      <c r="AO70" s="20">
        <f>IF($V70&lt;&gt;1,"",$P70+ROW()/100000)</f>
        <v>12.0007</v>
      </c>
      <c r="AP70" s="5">
        <f>IF($A70="","",IFERROR(MATCH($A70,Raw_D1!$A$2:$A$1001,0),""))</f>
        <v>69</v>
      </c>
      <c r="AQ70" s="5">
        <f>IF($A70="","",IFERROR(MATCH($A70,Raw_D2!$B$2:$B$1001,0),""))</f>
        <v>69</v>
      </c>
      <c r="AR70" s="5">
        <f>IF($A70="","",IFERROR(MATCH($A70,Raw_D3!$A$2:$A$1001,0),""))</f>
        <v/>
      </c>
    </row>
    <row r="71" spans="1:44" x14ac:dyDescent="0.25">
      <c r="A71" s="5">
        <v>70</v>
      </c>
      <c r="B71" s="11">
        <f>IF($A71="","",IF($AP71&lt;&gt;"",INDEX(Raw_D1!$B$2:$B$1001,$AP71),IF($AR71&lt;&gt;"",INDEX(Raw_D3!$B$2:$B$1001,$AR71),"")))</f>
        <v>40547.0</v>
      </c>
      <c r="C71" s="5">
        <f>IF($A71="","",IF($AP71&lt;&gt;"",INDEX(Raw_D1!$C$2:$C$1001,$AP71),IF($AR71&lt;&gt;"",INDEX(Raw_D3!$C$2:$C$1001,$AR71),"")))</f>
        <v>1</v>
      </c>
      <c r="D71" s="5">
        <f>IF($A71="","",IF($AP71&lt;&gt;"",INDEX(Raw_D1!$D$2:$D$1001,$AP71),IF($AR71&lt;&gt;"",INDEX(Raw_D3!$D$2:$D$1001,$AR71),"")))</f>
        <v>0</v>
      </c>
      <c r="E71" s="5">
        <f>IF($A71="","",IF($AP71&lt;&gt;"",INDEX(Raw_D1!$E$2:$E$1001,$AP71),IF($AR71&lt;&gt;"",INDEX(Raw_D3!$E$2:$E$1001,$AR71),"")))</f>
        <v>1</v>
      </c>
      <c r="F71" s="5">
        <f>IF($A71="","",IF($AP71&lt;&gt;"",INDEX(Raw_D1!$F$2:$F$1001,$AP71),IF($AR71&lt;&gt;"",INDEX(Raw_D3!$F$2:$F$1001,$AR71),"")))</f>
        <v>0</v>
      </c>
      <c r="G71" s="5">
        <f>IF($A71="","",IF($AP71&lt;&gt;"",IF(INDEX(Raw_D1!$G$2:$G$1001,$AP71),1,0),IF($AR71&lt;&gt;"",IF(INDEX(Raw_D3!$G$2:$G$1001,$AR71),1,0),"")))</f>
        <v>0</v>
      </c>
      <c r="H71" s="5">
        <f>IF($A71="","",IF($AP71&lt;&gt;"",INDEX(Raw_D1!$H$2:$H$1001,$AP71),IF($AR71&lt;&gt;"",INDEX(Raw_D3!$H$2:$H$1001,$AR71),"")))</f>
        <v>2</v>
      </c>
      <c r="I71" s="5">
        <f>IF($A71="","",IF($AP71&lt;&gt;"",INDEX(Raw_D1!$I$2:$I$1001,$AP71),IF($AR71&lt;&gt;"",INDEX(Raw_D3!$I$2:$I$1001,$AR71),"")))</f>
        <v>1</v>
      </c>
      <c r="J71" s="16">
        <f>IF($A71="","",IF($AP71&lt;&gt;"",INDEX(Raw_D1!$J$2:$J$1001,$AP71),IF($AR71&lt;&gt;"",INDEX(Raw_D3!$J$2:$J$1001,$AR71),"")))</f>
        <v>0.16</v>
      </c>
      <c r="K71" s="17">
        <f>IF($A71="","",IF($AQ71&lt;&gt;"",IF(INDEX(Raw_D2!$C$2:$C$1001,$AQ71)="","",INDEX(Raw_D2!$C$2:$C$1001,$AQ71)),IF($AR71&lt;&gt;"",IF(INDEX(Raw_D3!$K$2:$K$1001,$AR71)="","",INDEX(Raw_D3!$K$2:$K$1001,$AR71)),"")))</f>
        <v/>
      </c>
      <c r="L71" s="16">
        <f>IF($A71="","",IF($AQ71&lt;&gt;"",IF(INDEX(Raw_D2!$D$2:$D$1001,$AQ71)="","",INDEX(Raw_D2!$D$2:$D$1001,$AQ71)),IF($AR71&lt;&gt;"",IF(INDEX(Raw_D3!$L$2:$L$1001,$AR71)="","",INDEX(Raw_D3!$L$2:$L$1001,$AR71)),"")))</f>
        <v>0.55</v>
      </c>
      <c r="M71" s="17">
        <f>IF($A71="","",IF($AQ71&lt;&gt;"",IF(INDEX(Raw_D2!$E$2:$E$1001,$AQ71)="","",INDEX(Raw_D2!$E$2:$E$1001,$AQ71)),IF($AR71&lt;&gt;"",IF(INDEX(Raw_D3!$M$2:$M$1001,$AR71)="","",INDEX(Raw_D3!$M$2:$M$1001,$AR71)),"")))</f>
        <v>0.1045</v>
      </c>
      <c r="N71" s="5">
        <f>IF($A71="","",IF($AQ71&lt;&gt;"",IF(INDEX(Raw_D2!$F$2:$F$1001,$AQ71)="","",INDEX(Raw_D2!$F$2:$F$1001,$AQ71)),IF($AR71&lt;&gt;"",IF(INDEX(Raw_D3!$N$2:$N$1001,$AR71)="","",INDEX(Raw_D3!$N$2:$N$1001,$AR71)),"")))</f>
        <v>0</v>
      </c>
      <c r="O71" s="5">
        <f>IF($A71="","",IF($AQ71&lt;&gt;"",IF(INDEX(Raw_D2!$G$2:$G$1001,$AQ71)="","",INDEX(Raw_D2!$G$2:$G$1001,$AQ71)),IF($AR71&lt;&gt;"",IF(INDEX(Raw_D3!$O$2:$O$1001,$AR71)="","",INDEX(Raw_D3!$O$2:$O$1001,$AR71)),"")))</f>
        <v>5</v>
      </c>
      <c r="P71" s="5">
        <f>IF($A71="","",IF($AQ71&lt;&gt;"",IF(INDEX(Raw_D2!$H$2:$H$1001,$AQ71)="","",INDEX(Raw_D2!$H$2:$H$1001,$AQ71)),IF($AR71&lt;&gt;"",IF(INDEX(Raw_D3!$P$2:$P$1001,$AR71)="","",INDEX(Raw_D3!$P$2:$P$1001,$AR71)),"")))</f>
        <v>5</v>
      </c>
      <c r="Q71" s="5" t="str">
        <f>IF($A71="","",IF(AND($AP71&lt;&gt;"",$AQ71&lt;&gt;""),"D1+D2",IF($AR71&lt;&gt;"","D3","Incomplete")))</f>
        <v>D1+D2</v>
      </c>
      <c r="R71" s="17">
        <f>IF($A71="","",IF($K71="",IF($J71="","",ROUND(Lookups!$K$5+Lookups!$K$4*$J71,4)),$K71))</f>
        <v>0.1709</v>
      </c>
      <c r="S71" s="5" t="str">
        <f>IF($A71="","",IF($K71="","Imputed","Original"))</f>
        <v>Imputed</v>
      </c>
      <c r="T71" s="5" t="str">
        <f>IF($A71="","",IF($P71="","Missing",IF($P71=$N71+$O71,"OK","Mismatch")))</f>
        <v>OK</v>
      </c>
      <c r="U71" s="5" t="str">
        <f>IF($A71="","",IF(COUNTIF($A$2:$A71,$A71)&gt;1,"Duplicate","Unique"))</f>
        <v>Unique</v>
      </c>
      <c r="V71" s="5">
        <f>IF($A71="","",IF(AND($U71="Unique",ISNUMBER($P71)),1,0))</f>
        <v>1</v>
      </c>
      <c r="W71" s="5" t="str">
        <f>IF($A71="","",IF(OR($H71=0,$H71=6),"Weekend","Weekday"))</f>
        <v>Weekday</v>
      </c>
      <c r="X71" s="5" t="str">
        <f>IF($A71="","",TEXT($B71,"ddd"))</f>
        <v>Tue</v>
      </c>
      <c r="Y71" s="5" t="str">
        <f>IF($A71="","",TEXT($B71,"mmm"))</f>
        <v>Jan</v>
      </c>
      <c r="Z71" s="5" t="str">
        <f>IF($A71="","",IFERROR(VLOOKUP($C71,Lookups!$D$4:$E$7,2,FALSE),"Unknown"))</f>
        <v>Winter</v>
      </c>
      <c r="AA71" s="5" t="str">
        <f>IF($A71="","",IFERROR(VLOOKUP($I71,Lookups!$A$4:$B$7,2,FALSE),"Unknown"))</f>
        <v>Clear</v>
      </c>
      <c r="AB71" s="5" t="str">
        <f>IF($A71="","",TEXT($F71,"00")&amp;":00")</f>
        <v>00:00</v>
      </c>
      <c r="AC71" s="5" t="str">
        <f>IF($A71="","",VLOOKUP($F71,Lookups!$G$4:$H$8,2,TRUE))</f>
        <v>Night (00-05)</v>
      </c>
      <c r="AD71" s="18">
        <f>IF($A71="","",IF($J71="","",ROUND($J71*41,1)))</f>
        <v>6.6</v>
      </c>
      <c r="AE71" s="18">
        <f>IF($A71="","",IF($R71="","",ROUND($R71*50,1)))</f>
        <v>8.5</v>
      </c>
      <c r="AF71" s="5">
        <f>IF($A71="","",IF($L71="","",ROUND($L71*100,0)))</f>
        <v>55</v>
      </c>
      <c r="AG71" s="18">
        <f>IF($A71="","",IF($M71="","",ROUND($M71*67,1)))</f>
        <v>7</v>
      </c>
      <c r="AH71" s="19">
        <f>IF($A71="","",IF($P71="","",IF($P71=0,0,$O71/$P71)))</f>
        <v>1</v>
      </c>
      <c r="AI71" s="5" t="str">
        <f>IF($A71="","",IF($P71="","",IF($P71&gt;=Lookups!$K$7,"High",IF($P71&lt;=Lookups!$K$8,"Low","Medium"))))</f>
        <v>Low</v>
      </c>
      <c r="AJ71" s="5" t="str">
        <f>IF($A71="","",IF($AD71="","",IF($AD71&lt;5,"Under 5 C",IF($AD71&lt;10,"5-10 C",IF($AD71&lt;15,"10-15 C","15 C and above")))))</f>
        <v>5-10 C</v>
      </c>
      <c r="AK71" s="5">
        <f>IF($A71="","",IF($P71="","",$P71^2))</f>
        <v>25</v>
      </c>
      <c r="AL71" s="18">
        <f>IF($V71&lt;&gt;1,"",AVERAGEIFS(Clean_Data!$P$2:$P$1001,Clean_Data!$F$2:$F$1001,$F71,Clean_Data!$W$2:$W$1001,$W71,Clean_Data!$V$2:$V$1001,1))</f>
        <v>10.6896551724138</v>
      </c>
      <c r="AM71" s="16">
        <f>IF($V71&lt;&gt;1,"",IFERROR(($P71-$AL71)/SQRT(MAX(0,(SUMIFS(Clean_Data!$AK$2:$AK$1001,Clean_Data!$F$2:$F$1001,$F71,Clean_Data!$W$2:$W$1001,$W71,Clean_Data!$V$2:$V$1001,1)-COUNTIFS(Clean_Data!$F$2:$F$1001,$F71,Clean_Data!$W$2:$W$1001,$W71,Clean_Data!$V$2:$V$1001,1)*$AL71^2)/(COUNTIFS(Clean_Data!$F$2:$F$1001,$F71,Clean_Data!$W$2:$W$1001,$W71,Clean_Data!$V$2:$V$1001,1)-1))),""))</f>
        <v>-1.16294858804129</v>
      </c>
      <c r="AN71" s="5" t="str">
        <f>IF($AM71="","",IF($AM71&gt;=Lookups!$K$6,"High spike",IF($AM71&lt;=-Lookups!$K$6,"Unusual low","Normal")))</f>
        <v>Normal</v>
      </c>
      <c r="AO71" s="20">
        <f>IF($V71&lt;&gt;1,"",$P71+ROW()/100000)</f>
        <v>5.00071</v>
      </c>
      <c r="AP71" s="5">
        <f>IF($A71="","",IFERROR(MATCH($A71,Raw_D1!$A$2:$A$1001,0),""))</f>
        <v>70</v>
      </c>
      <c r="AQ71" s="5">
        <f>IF($A71="","",IFERROR(MATCH($A71,Raw_D2!$B$2:$B$1001,0),""))</f>
        <v>70</v>
      </c>
      <c r="AR71" s="5">
        <f>IF($A71="","",IFERROR(MATCH($A71,Raw_D3!$A$2:$A$1001,0),""))</f>
        <v/>
      </c>
    </row>
    <row r="72" spans="1:44" x14ac:dyDescent="0.25">
      <c r="A72" s="5">
        <v>71</v>
      </c>
      <c r="B72" s="11">
        <f>IF($A72="","",IF($AP72&lt;&gt;"",INDEX(Raw_D1!$B$2:$B$1001,$AP72),IF($AR72&lt;&gt;"",INDEX(Raw_D3!$B$2:$B$1001,$AR72),"")))</f>
        <v>40547.0</v>
      </c>
      <c r="C72" s="5">
        <f>IF($A72="","",IF($AP72&lt;&gt;"",INDEX(Raw_D1!$C$2:$C$1001,$AP72),IF($AR72&lt;&gt;"",INDEX(Raw_D3!$C$2:$C$1001,$AR72),"")))</f>
        <v>1</v>
      </c>
      <c r="D72" s="5">
        <f>IF($A72="","",IF($AP72&lt;&gt;"",INDEX(Raw_D1!$D$2:$D$1001,$AP72),IF($AR72&lt;&gt;"",INDEX(Raw_D3!$D$2:$D$1001,$AR72),"")))</f>
        <v>0</v>
      </c>
      <c r="E72" s="5">
        <f>IF($A72="","",IF($AP72&lt;&gt;"",INDEX(Raw_D1!$E$2:$E$1001,$AP72),IF($AR72&lt;&gt;"",INDEX(Raw_D3!$E$2:$E$1001,$AR72),"")))</f>
        <v>1</v>
      </c>
      <c r="F72" s="5">
        <f>IF($A72="","",IF($AP72&lt;&gt;"",INDEX(Raw_D1!$F$2:$F$1001,$AP72),IF($AR72&lt;&gt;"",INDEX(Raw_D3!$F$2:$F$1001,$AR72),"")))</f>
        <v>1</v>
      </c>
      <c r="G72" s="5">
        <f>IF($A72="","",IF($AP72&lt;&gt;"",IF(INDEX(Raw_D1!$G$2:$G$1001,$AP72),1,0),IF($AR72&lt;&gt;"",IF(INDEX(Raw_D3!$G$2:$G$1001,$AR72),1,0),"")))</f>
        <v>0</v>
      </c>
      <c r="H72" s="5">
        <f>IF($A72="","",IF($AP72&lt;&gt;"",INDEX(Raw_D1!$H$2:$H$1001,$AP72),IF($AR72&lt;&gt;"",INDEX(Raw_D3!$H$2:$H$1001,$AR72),"")))</f>
        <v>2</v>
      </c>
      <c r="I72" s="5">
        <f>IF($A72="","",IF($AP72&lt;&gt;"",INDEX(Raw_D1!$I$2:$I$1001,$AP72),IF($AR72&lt;&gt;"",INDEX(Raw_D3!$I$2:$I$1001,$AR72),"")))</f>
        <v>1</v>
      </c>
      <c r="J72" s="16">
        <f>IF($A72="","",IF($AP72&lt;&gt;"",INDEX(Raw_D1!$J$2:$J$1001,$AP72),IF($AR72&lt;&gt;"",INDEX(Raw_D3!$J$2:$J$1001,$AR72),"")))</f>
        <v>0.16</v>
      </c>
      <c r="K72" s="17">
        <f>IF($A72="","",IF($AQ72&lt;&gt;"",IF(INDEX(Raw_D2!$C$2:$C$1001,$AQ72)="","",INDEX(Raw_D2!$C$2:$C$1001,$AQ72)),IF($AR72&lt;&gt;"",IF(INDEX(Raw_D3!$K$2:$K$1001,$AR72)="","",INDEX(Raw_D3!$K$2:$K$1001,$AR72)),"")))</f>
        <v>0.1818</v>
      </c>
      <c r="L72" s="16">
        <f>IF($A72="","",IF($AQ72&lt;&gt;"",IF(INDEX(Raw_D2!$D$2:$D$1001,$AQ72)="","",INDEX(Raw_D2!$D$2:$D$1001,$AQ72)),IF($AR72&lt;&gt;"",IF(INDEX(Raw_D3!$L$2:$L$1001,$AR72)="","",INDEX(Raw_D3!$L$2:$L$1001,$AR72)),"")))</f>
        <v>0.59</v>
      </c>
      <c r="M72" s="17">
        <f>IF($A72="","",IF($AQ72&lt;&gt;"",IF(INDEX(Raw_D2!$E$2:$E$1001,$AQ72)="","",INDEX(Raw_D2!$E$2:$E$1001,$AQ72)),IF($AR72&lt;&gt;"",IF(INDEX(Raw_D3!$M$2:$M$1001,$AR72)="","",INDEX(Raw_D3!$M$2:$M$1001,$AR72)),"")))</f>
        <v>0.1045</v>
      </c>
      <c r="N72" s="5">
        <f>IF($A72="","",IF($AQ72&lt;&gt;"",IF(INDEX(Raw_D2!$F$2:$F$1001,$AQ72)="","",INDEX(Raw_D2!$F$2:$F$1001,$AQ72)),IF($AR72&lt;&gt;"",IF(INDEX(Raw_D3!$N$2:$N$1001,$AR72)="","",INDEX(Raw_D3!$N$2:$N$1001,$AR72)),"")))</f>
        <v>0</v>
      </c>
      <c r="O72" s="5">
        <f>IF($A72="","",IF($AQ72&lt;&gt;"",IF(INDEX(Raw_D2!$G$2:$G$1001,$AQ72)="","",INDEX(Raw_D2!$G$2:$G$1001,$AQ72)),IF($AR72&lt;&gt;"",IF(INDEX(Raw_D3!$O$2:$O$1001,$AR72)="","",INDEX(Raw_D3!$O$2:$O$1001,$AR72)),"")))</f>
        <v>2</v>
      </c>
      <c r="P72" s="5">
        <f>IF($A72="","",IF($AQ72&lt;&gt;"",IF(INDEX(Raw_D2!$H$2:$H$1001,$AQ72)="","",INDEX(Raw_D2!$H$2:$H$1001,$AQ72)),IF($AR72&lt;&gt;"",IF(INDEX(Raw_D3!$P$2:$P$1001,$AR72)="","",INDEX(Raw_D3!$P$2:$P$1001,$AR72)),"")))</f>
        <v>2</v>
      </c>
      <c r="Q72" s="5" t="str">
        <f>IF($A72="","",IF(AND($AP72&lt;&gt;"",$AQ72&lt;&gt;""),"D1+D2",IF($AR72&lt;&gt;"","D3","Incomplete")))</f>
        <v>D1+D2</v>
      </c>
      <c r="R72" s="17">
        <f>IF($A72="","",IF($K72="",IF($J72="","",ROUND(Lookups!$K$5+Lookups!$K$4*$J72,4)),$K72))</f>
        <v>0.1818</v>
      </c>
      <c r="S72" s="5" t="str">
        <f>IF($A72="","",IF($K72="","Imputed","Original"))</f>
        <v>Original</v>
      </c>
      <c r="T72" s="5" t="str">
        <f>IF($A72="","",IF($P72="","Missing",IF($P72=$N72+$O72,"OK","Mismatch")))</f>
        <v>OK</v>
      </c>
      <c r="U72" s="5" t="str">
        <f>IF($A72="","",IF(COUNTIF($A$2:$A72,$A72)&gt;1,"Duplicate","Unique"))</f>
        <v>Unique</v>
      </c>
      <c r="V72" s="5">
        <f>IF($A72="","",IF(AND($U72="Unique",ISNUMBER($P72)),1,0))</f>
        <v>1</v>
      </c>
      <c r="W72" s="5" t="str">
        <f>IF($A72="","",IF(OR($H72=0,$H72=6),"Weekend","Weekday"))</f>
        <v>Weekday</v>
      </c>
      <c r="X72" s="5" t="str">
        <f>IF($A72="","",TEXT($B72,"ddd"))</f>
        <v>Tue</v>
      </c>
      <c r="Y72" s="5" t="str">
        <f>IF($A72="","",TEXT($B72,"mmm"))</f>
        <v>Jan</v>
      </c>
      <c r="Z72" s="5" t="str">
        <f>IF($A72="","",IFERROR(VLOOKUP($C72,Lookups!$D$4:$E$7,2,FALSE),"Unknown"))</f>
        <v>Winter</v>
      </c>
      <c r="AA72" s="5" t="str">
        <f>IF($A72="","",IFERROR(VLOOKUP($I72,Lookups!$A$4:$B$7,2,FALSE),"Unknown"))</f>
        <v>Clear</v>
      </c>
      <c r="AB72" s="5" t="str">
        <f>IF($A72="","",TEXT($F72,"00")&amp;":00")</f>
        <v>01:00</v>
      </c>
      <c r="AC72" s="5" t="str">
        <f>IF($A72="","",VLOOKUP($F72,Lookups!$G$4:$H$8,2,TRUE))</f>
        <v>Night (00-05)</v>
      </c>
      <c r="AD72" s="18">
        <f>IF($A72="","",IF($J72="","",ROUND($J72*41,1)))</f>
        <v>6.6</v>
      </c>
      <c r="AE72" s="18">
        <f>IF($A72="","",IF($R72="","",ROUND($R72*50,1)))</f>
        <v>9.1</v>
      </c>
      <c r="AF72" s="5">
        <f>IF($A72="","",IF($L72="","",ROUND($L72*100,0)))</f>
        <v>59</v>
      </c>
      <c r="AG72" s="18">
        <f>IF($A72="","",IF($M72="","",ROUND($M72*67,1)))</f>
        <v>7</v>
      </c>
      <c r="AH72" s="19">
        <f>IF($A72="","",IF($P72="","",IF($P72=0,0,$O72/$P72)))</f>
        <v>1</v>
      </c>
      <c r="AI72" s="5" t="str">
        <f>IF($A72="","",IF($P72="","",IF($P72&gt;=Lookups!$K$7,"High",IF($P72&lt;=Lookups!$K$8,"Low","Medium"))))</f>
        <v>Low</v>
      </c>
      <c r="AJ72" s="5" t="str">
        <f>IF($A72="","",IF($AD72="","",IF($AD72&lt;5,"Under 5 C",IF($AD72&lt;10,"5-10 C",IF($AD72&lt;15,"10-15 C","15 C and above")))))</f>
        <v>5-10 C</v>
      </c>
      <c r="AK72" s="5">
        <f>IF($A72="","",IF($P72="","",$P72^2))</f>
        <v>4</v>
      </c>
      <c r="AL72" s="18">
        <f>IF($V72&lt;&gt;1,"",AVERAGEIFS(Clean_Data!$P$2:$P$1001,Clean_Data!$F$2:$F$1001,$F72,Clean_Data!$W$2:$W$1001,$W72,Clean_Data!$V$2:$V$1001,1))</f>
        <v>5.10344827586207</v>
      </c>
      <c r="AM72" s="16">
        <f>IF($V72&lt;&gt;1,"",IFERROR(($P72-$AL72)/SQRT(MAX(0,(SUMIFS(Clean_Data!$AK$2:$AK$1001,Clean_Data!$F$2:$F$1001,$F72,Clean_Data!$W$2:$W$1001,$W72,Clean_Data!$V$2:$V$1001,1)-COUNTIFS(Clean_Data!$F$2:$F$1001,$F72,Clean_Data!$W$2:$W$1001,$W72,Clean_Data!$V$2:$V$1001,1)*$AL72^2)/(COUNTIFS(Clean_Data!$F$2:$F$1001,$F72,Clean_Data!$W$2:$W$1001,$W72,Clean_Data!$V$2:$V$1001,1)-1))),""))</f>
        <v>-1.07655194320642</v>
      </c>
      <c r="AN72" s="5" t="str">
        <f>IF($AM72="","",IF($AM72&gt;=Lookups!$K$6,"High spike",IF($AM72&lt;=-Lookups!$K$6,"Unusual low","Normal")))</f>
        <v>Normal</v>
      </c>
      <c r="AO72" s="20">
        <f>IF($V72&lt;&gt;1,"",$P72+ROW()/100000)</f>
        <v>2.00072</v>
      </c>
      <c r="AP72" s="5">
        <f>IF($A72="","",IFERROR(MATCH($A72,Raw_D1!$A$2:$A$1001,0),""))</f>
        <v>71</v>
      </c>
      <c r="AQ72" s="5">
        <f>IF($A72="","",IFERROR(MATCH($A72,Raw_D2!$B$2:$B$1001,0),""))</f>
        <v>71</v>
      </c>
      <c r="AR72" s="5">
        <f>IF($A72="","",IFERROR(MATCH($A72,Raw_D3!$A$2:$A$1001,0),""))</f>
        <v/>
      </c>
    </row>
    <row r="73" spans="1:44" x14ac:dyDescent="0.25">
      <c r="A73" s="5">
        <v>72</v>
      </c>
      <c r="B73" s="11">
        <f>IF($A73="","",IF($AP73&lt;&gt;"",INDEX(Raw_D1!$B$2:$B$1001,$AP73),IF($AR73&lt;&gt;"",INDEX(Raw_D3!$B$2:$B$1001,$AR73),"")))</f>
        <v>40547.0</v>
      </c>
      <c r="C73" s="5">
        <f>IF($A73="","",IF($AP73&lt;&gt;"",INDEX(Raw_D1!$C$2:$C$1001,$AP73),IF($AR73&lt;&gt;"",INDEX(Raw_D3!$C$2:$C$1001,$AR73),"")))</f>
        <v>1</v>
      </c>
      <c r="D73" s="5">
        <f>IF($A73="","",IF($AP73&lt;&gt;"",INDEX(Raw_D1!$D$2:$D$1001,$AP73),IF($AR73&lt;&gt;"",INDEX(Raw_D3!$D$2:$D$1001,$AR73),"")))</f>
        <v>0</v>
      </c>
      <c r="E73" s="5">
        <f>IF($A73="","",IF($AP73&lt;&gt;"",INDEX(Raw_D1!$E$2:$E$1001,$AP73),IF($AR73&lt;&gt;"",INDEX(Raw_D3!$E$2:$E$1001,$AR73),"")))</f>
        <v>1</v>
      </c>
      <c r="F73" s="5">
        <f>IF($A73="","",IF($AP73&lt;&gt;"",INDEX(Raw_D1!$F$2:$F$1001,$AP73),IF($AR73&lt;&gt;"",INDEX(Raw_D3!$F$2:$F$1001,$AR73),"")))</f>
        <v>2</v>
      </c>
      <c r="G73" s="5">
        <f>IF($A73="","",IF($AP73&lt;&gt;"",IF(INDEX(Raw_D1!$G$2:$G$1001,$AP73),1,0),IF($AR73&lt;&gt;"",IF(INDEX(Raw_D3!$G$2:$G$1001,$AR73),1,0),"")))</f>
        <v>0</v>
      </c>
      <c r="H73" s="5">
        <f>IF($A73="","",IF($AP73&lt;&gt;"",INDEX(Raw_D1!$H$2:$H$1001,$AP73),IF($AR73&lt;&gt;"",INDEX(Raw_D3!$H$2:$H$1001,$AR73),"")))</f>
        <v>2</v>
      </c>
      <c r="I73" s="5">
        <f>IF($A73="","",IF($AP73&lt;&gt;"",INDEX(Raw_D1!$I$2:$I$1001,$AP73),IF($AR73&lt;&gt;"",INDEX(Raw_D3!$I$2:$I$1001,$AR73),"")))</f>
        <v>1</v>
      </c>
      <c r="J73" s="16">
        <f>IF($A73="","",IF($AP73&lt;&gt;"",INDEX(Raw_D1!$J$2:$J$1001,$AP73),IF($AR73&lt;&gt;"",INDEX(Raw_D3!$J$2:$J$1001,$AR73),"")))</f>
        <v>0.14</v>
      </c>
      <c r="K73" s="17">
        <f>IF($A73="","",IF($AQ73&lt;&gt;"",IF(INDEX(Raw_D2!$C$2:$C$1001,$AQ73)="","",INDEX(Raw_D2!$C$2:$C$1001,$AQ73)),IF($AR73&lt;&gt;"",IF(INDEX(Raw_D3!$K$2:$K$1001,$AR73)="","",INDEX(Raw_D3!$K$2:$K$1001,$AR73)),"")))</f>
        <v>0.1515</v>
      </c>
      <c r="L73" s="16">
        <f>IF($A73="","",IF($AQ73&lt;&gt;"",IF(INDEX(Raw_D2!$D$2:$D$1001,$AQ73)="","",INDEX(Raw_D2!$D$2:$D$1001,$AQ73)),IF($AR73&lt;&gt;"",IF(INDEX(Raw_D3!$L$2:$L$1001,$AR73)="","",INDEX(Raw_D3!$L$2:$L$1001,$AR73)),"")))</f>
        <v>0.63</v>
      </c>
      <c r="M73" s="17">
        <f>IF($A73="","",IF($AQ73&lt;&gt;"",IF(INDEX(Raw_D2!$E$2:$E$1001,$AQ73)="","",INDEX(Raw_D2!$E$2:$E$1001,$AQ73)),IF($AR73&lt;&gt;"",IF(INDEX(Raw_D3!$M$2:$M$1001,$AR73)="","",INDEX(Raw_D3!$M$2:$M$1001,$AR73)),"")))</f>
        <v>0.1343</v>
      </c>
      <c r="N73" s="5">
        <f>IF($A73="","",IF($AQ73&lt;&gt;"",IF(INDEX(Raw_D2!$F$2:$F$1001,$AQ73)="","",INDEX(Raw_D2!$F$2:$F$1001,$AQ73)),IF($AR73&lt;&gt;"",IF(INDEX(Raw_D3!$N$2:$N$1001,$AR73)="","",INDEX(Raw_D3!$N$2:$N$1001,$AR73)),"")))</f>
        <v>0</v>
      </c>
      <c r="O73" s="5">
        <f>IF($A73="","",IF($AQ73&lt;&gt;"",IF(INDEX(Raw_D2!$G$2:$G$1001,$AQ73)="","",INDEX(Raw_D2!$G$2:$G$1001,$AQ73)),IF($AR73&lt;&gt;"",IF(INDEX(Raw_D3!$O$2:$O$1001,$AR73)="","",INDEX(Raw_D3!$O$2:$O$1001,$AR73)),"")))</f>
        <v>1</v>
      </c>
      <c r="P73" s="5">
        <f>IF($A73="","",IF($AQ73&lt;&gt;"",IF(INDEX(Raw_D2!$H$2:$H$1001,$AQ73)="","",INDEX(Raw_D2!$H$2:$H$1001,$AQ73)),IF($AR73&lt;&gt;"",IF(INDEX(Raw_D3!$P$2:$P$1001,$AR73)="","",INDEX(Raw_D3!$P$2:$P$1001,$AR73)),"")))</f>
        <v>1</v>
      </c>
      <c r="Q73" s="5" t="str">
        <f>IF($A73="","",IF(AND($AP73&lt;&gt;"",$AQ73&lt;&gt;""),"D1+D2",IF($AR73&lt;&gt;"","D3","Incomplete")))</f>
        <v>D1+D2</v>
      </c>
      <c r="R73" s="17">
        <f>IF($A73="","",IF($K73="",IF($J73="","",ROUND(Lookups!$K$5+Lookups!$K$4*$J73,4)),$K73))</f>
        <v>0.1515</v>
      </c>
      <c r="S73" s="5" t="str">
        <f>IF($A73="","",IF($K73="","Imputed","Original"))</f>
        <v>Original</v>
      </c>
      <c r="T73" s="5" t="str">
        <f>IF($A73="","",IF($P73="","Missing",IF($P73=$N73+$O73,"OK","Mismatch")))</f>
        <v>OK</v>
      </c>
      <c r="U73" s="5" t="str">
        <f>IF($A73="","",IF(COUNTIF($A$2:$A73,$A73)&gt;1,"Duplicate","Unique"))</f>
        <v>Unique</v>
      </c>
      <c r="V73" s="5">
        <f>IF($A73="","",IF(AND($U73="Unique",ISNUMBER($P73)),1,0))</f>
        <v>1</v>
      </c>
      <c r="W73" s="5" t="str">
        <f>IF($A73="","",IF(OR($H73=0,$H73=6),"Weekend","Weekday"))</f>
        <v>Weekday</v>
      </c>
      <c r="X73" s="5" t="str">
        <f>IF($A73="","",TEXT($B73,"ddd"))</f>
        <v>Tue</v>
      </c>
      <c r="Y73" s="5" t="str">
        <f>IF($A73="","",TEXT($B73,"mmm"))</f>
        <v>Jan</v>
      </c>
      <c r="Z73" s="5" t="str">
        <f>IF($A73="","",IFERROR(VLOOKUP($C73,Lookups!$D$4:$E$7,2,FALSE),"Unknown"))</f>
        <v>Winter</v>
      </c>
      <c r="AA73" s="5" t="str">
        <f>IF($A73="","",IFERROR(VLOOKUP($I73,Lookups!$A$4:$B$7,2,FALSE),"Unknown"))</f>
        <v>Clear</v>
      </c>
      <c r="AB73" s="5" t="str">
        <f>IF($A73="","",TEXT($F73,"00")&amp;":00")</f>
        <v>02:00</v>
      </c>
      <c r="AC73" s="5" t="str">
        <f>IF($A73="","",VLOOKUP($F73,Lookups!$G$4:$H$8,2,TRUE))</f>
        <v>Night (00-05)</v>
      </c>
      <c r="AD73" s="18">
        <f>IF($A73="","",IF($J73="","",ROUND($J73*41,1)))</f>
        <v>5.7</v>
      </c>
      <c r="AE73" s="18">
        <f>IF($A73="","",IF($R73="","",ROUND($R73*50,1)))</f>
        <v>7.6</v>
      </c>
      <c r="AF73" s="5">
        <f>IF($A73="","",IF($L73="","",ROUND($L73*100,0)))</f>
        <v>63</v>
      </c>
      <c r="AG73" s="18">
        <f>IF($A73="","",IF($M73="","",ROUND($M73*67,1)))</f>
        <v>9</v>
      </c>
      <c r="AH73" s="19">
        <f>IF($A73="","",IF($P73="","",IF($P73=0,0,$O73/$P73)))</f>
        <v>1</v>
      </c>
      <c r="AI73" s="5" t="str">
        <f>IF($A73="","",IF($P73="","",IF($P73&gt;=Lookups!$K$7,"High",IF($P73&lt;=Lookups!$K$8,"Low","Medium"))))</f>
        <v>Low</v>
      </c>
      <c r="AJ73" s="5" t="str">
        <f>IF($A73="","",IF($AD73="","",IF($AD73&lt;5,"Under 5 C",IF($AD73&lt;10,"5-10 C",IF($AD73&lt;15,"10-15 C","15 C and above")))))</f>
        <v>5-10 C</v>
      </c>
      <c r="AK73" s="5">
        <f>IF($A73="","",IF($P73="","",$P73^2))</f>
        <v>1</v>
      </c>
      <c r="AL73" s="18">
        <f>IF($V73&lt;&gt;1,"",AVERAGEIFS(Clean_Data!$P$2:$P$1001,Clean_Data!$F$2:$F$1001,$F73,Clean_Data!$W$2:$W$1001,$W73,Clean_Data!$V$2:$V$1001,1))</f>
        <v>2.62962962962963</v>
      </c>
      <c r="AM73" s="16">
        <f>IF($V73&lt;&gt;1,"",IFERROR(($P73-$AL73)/SQRT(MAX(0,(SUMIFS(Clean_Data!$AK$2:$AK$1001,Clean_Data!$F$2:$F$1001,$F73,Clean_Data!$W$2:$W$1001,$W73,Clean_Data!$V$2:$V$1001,1)-COUNTIFS(Clean_Data!$F$2:$F$1001,$F73,Clean_Data!$W$2:$W$1001,$W73,Clean_Data!$V$2:$V$1001,1)*$AL73^2)/(COUNTIFS(Clean_Data!$F$2:$F$1001,$F73,Clean_Data!$W$2:$W$1001,$W73,Clean_Data!$V$2:$V$1001,1)-1))),""))</f>
        <v>-0.80596562646555</v>
      </c>
      <c r="AN73" s="5" t="str">
        <f>IF($AM73="","",IF($AM73&gt;=Lookups!$K$6,"High spike",IF($AM73&lt;=-Lookups!$K$6,"Unusual low","Normal")))</f>
        <v>Normal</v>
      </c>
      <c r="AO73" s="20">
        <f>IF($V73&lt;&gt;1,"",$P73+ROW()/100000)</f>
        <v>1.00073</v>
      </c>
      <c r="AP73" s="5">
        <f>IF($A73="","",IFERROR(MATCH($A73,Raw_D1!$A$2:$A$1001,0),""))</f>
        <v>72</v>
      </c>
      <c r="AQ73" s="5">
        <f>IF($A73="","",IFERROR(MATCH($A73,Raw_D2!$B$2:$B$1001,0),""))</f>
        <v>72</v>
      </c>
      <c r="AR73" s="5">
        <f>IF($A73="","",IFERROR(MATCH($A73,Raw_D3!$A$2:$A$1001,0),""))</f>
        <v/>
      </c>
    </row>
    <row r="74" spans="1:44" x14ac:dyDescent="0.25">
      <c r="A74" s="5">
        <v>73</v>
      </c>
      <c r="B74" s="11">
        <f>IF($A74="","",IF($AP74&lt;&gt;"",INDEX(Raw_D1!$B$2:$B$1001,$AP74),IF($AR74&lt;&gt;"",INDEX(Raw_D3!$B$2:$B$1001,$AR74),"")))</f>
        <v>40547.0</v>
      </c>
      <c r="C74" s="5">
        <f>IF($A74="","",IF($AP74&lt;&gt;"",INDEX(Raw_D1!$C$2:$C$1001,$AP74),IF($AR74&lt;&gt;"",INDEX(Raw_D3!$C$2:$C$1001,$AR74),"")))</f>
        <v>1</v>
      </c>
      <c r="D74" s="5">
        <f>IF($A74="","",IF($AP74&lt;&gt;"",INDEX(Raw_D1!$D$2:$D$1001,$AP74),IF($AR74&lt;&gt;"",INDEX(Raw_D3!$D$2:$D$1001,$AR74),"")))</f>
        <v>0</v>
      </c>
      <c r="E74" s="5">
        <f>IF($A74="","",IF($AP74&lt;&gt;"",INDEX(Raw_D1!$E$2:$E$1001,$AP74),IF($AR74&lt;&gt;"",INDEX(Raw_D3!$E$2:$E$1001,$AR74),"")))</f>
        <v>1</v>
      </c>
      <c r="F74" s="5">
        <f>IF($A74="","",IF($AP74&lt;&gt;"",INDEX(Raw_D1!$F$2:$F$1001,$AP74),IF($AR74&lt;&gt;"",INDEX(Raw_D3!$F$2:$F$1001,$AR74),"")))</f>
        <v>4</v>
      </c>
      <c r="G74" s="5">
        <f>IF($A74="","",IF($AP74&lt;&gt;"",IF(INDEX(Raw_D1!$G$2:$G$1001,$AP74),1,0),IF($AR74&lt;&gt;"",IF(INDEX(Raw_D3!$G$2:$G$1001,$AR74),1,0),"")))</f>
        <v>0</v>
      </c>
      <c r="H74" s="5">
        <f>IF($A74="","",IF($AP74&lt;&gt;"",INDEX(Raw_D1!$H$2:$H$1001,$AP74),IF($AR74&lt;&gt;"",INDEX(Raw_D3!$H$2:$H$1001,$AR74),"")))</f>
        <v>2</v>
      </c>
      <c r="I74" s="5">
        <f>IF($A74="","",IF($AP74&lt;&gt;"",INDEX(Raw_D1!$I$2:$I$1001,$AP74),IF($AR74&lt;&gt;"",INDEX(Raw_D3!$I$2:$I$1001,$AR74),"")))</f>
        <v>1</v>
      </c>
      <c r="J74" s="16">
        <f>IF($A74="","",IF($AP74&lt;&gt;"",INDEX(Raw_D1!$J$2:$J$1001,$AP74),IF($AR74&lt;&gt;"",INDEX(Raw_D3!$J$2:$J$1001,$AR74),"")))</f>
        <v>0.14</v>
      </c>
      <c r="K74" s="17">
        <f>IF($A74="","",IF($AQ74&lt;&gt;"",IF(INDEX(Raw_D2!$C$2:$C$1001,$AQ74)="","",INDEX(Raw_D2!$C$2:$C$1001,$AQ74)),IF($AR74&lt;&gt;"",IF(INDEX(Raw_D3!$K$2:$K$1001,$AR74)="","",INDEX(Raw_D3!$K$2:$K$1001,$AR74)),"")))</f>
        <v>0.1818</v>
      </c>
      <c r="L74" s="16">
        <f>IF($A74="","",IF($AQ74&lt;&gt;"",IF(INDEX(Raw_D2!$D$2:$D$1001,$AQ74)="","",INDEX(Raw_D2!$D$2:$D$1001,$AQ74)),IF($AR74&lt;&gt;"",IF(INDEX(Raw_D3!$L$2:$L$1001,$AR74)="","",INDEX(Raw_D3!$L$2:$L$1001,$AR74)),"")))</f>
        <v>0.63</v>
      </c>
      <c r="M74" s="17">
        <f>IF($A74="","",IF($AQ74&lt;&gt;"",IF(INDEX(Raw_D2!$E$2:$E$1001,$AQ74)="","",INDEX(Raw_D2!$E$2:$E$1001,$AQ74)),IF($AR74&lt;&gt;"",IF(INDEX(Raw_D3!$M$2:$M$1001,$AR74)="","",INDEX(Raw_D3!$M$2:$M$1001,$AR74)),"")))</f>
        <v>0.0896</v>
      </c>
      <c r="N74" s="5">
        <f>IF($A74="","",IF($AQ74&lt;&gt;"",IF(INDEX(Raw_D2!$F$2:$F$1001,$AQ74)="","",INDEX(Raw_D2!$F$2:$F$1001,$AQ74)),IF($AR74&lt;&gt;"",IF(INDEX(Raw_D3!$N$2:$N$1001,$AR74)="","",INDEX(Raw_D3!$N$2:$N$1001,$AR74)),"")))</f>
        <v>0</v>
      </c>
      <c r="O74" s="5">
        <f>IF($A74="","",IF($AQ74&lt;&gt;"",IF(INDEX(Raw_D2!$G$2:$G$1001,$AQ74)="","",INDEX(Raw_D2!$G$2:$G$1001,$AQ74)),IF($AR74&lt;&gt;"",IF(INDEX(Raw_D3!$O$2:$O$1001,$AR74)="","",INDEX(Raw_D3!$O$2:$O$1001,$AR74)),"")))</f>
        <v>2</v>
      </c>
      <c r="P74" s="5">
        <f>IF($A74="","",IF($AQ74&lt;&gt;"",IF(INDEX(Raw_D2!$H$2:$H$1001,$AQ74)="","",INDEX(Raw_D2!$H$2:$H$1001,$AQ74)),IF($AR74&lt;&gt;"",IF(INDEX(Raw_D3!$P$2:$P$1001,$AR74)="","",INDEX(Raw_D3!$P$2:$P$1001,$AR74)),"")))</f>
        <v>2</v>
      </c>
      <c r="Q74" s="5" t="str">
        <f>IF($A74="","",IF(AND($AP74&lt;&gt;"",$AQ74&lt;&gt;""),"D1+D2",IF($AR74&lt;&gt;"","D3","Incomplete")))</f>
        <v>D1+D2</v>
      </c>
      <c r="R74" s="17">
        <f>IF($A74="","",IF($K74="",IF($J74="","",ROUND(Lookups!$K$5+Lookups!$K$4*$J74,4)),$K74))</f>
        <v>0.1818</v>
      </c>
      <c r="S74" s="5" t="str">
        <f>IF($A74="","",IF($K74="","Imputed","Original"))</f>
        <v>Original</v>
      </c>
      <c r="T74" s="5" t="str">
        <f>IF($A74="","",IF($P74="","Missing",IF($P74=$N74+$O74,"OK","Mismatch")))</f>
        <v>OK</v>
      </c>
      <c r="U74" s="5" t="str">
        <f>IF($A74="","",IF(COUNTIF($A$2:$A74,$A74)&gt;1,"Duplicate","Unique"))</f>
        <v>Unique</v>
      </c>
      <c r="V74" s="5">
        <f>IF($A74="","",IF(AND($U74="Unique",ISNUMBER($P74)),1,0))</f>
        <v>1</v>
      </c>
      <c r="W74" s="5" t="str">
        <f>IF($A74="","",IF(OR($H74=0,$H74=6),"Weekend","Weekday"))</f>
        <v>Weekday</v>
      </c>
      <c r="X74" s="5" t="str">
        <f>IF($A74="","",TEXT($B74,"ddd"))</f>
        <v>Tue</v>
      </c>
      <c r="Y74" s="5" t="str">
        <f>IF($A74="","",TEXT($B74,"mmm"))</f>
        <v>Jan</v>
      </c>
      <c r="Z74" s="5" t="str">
        <f>IF($A74="","",IFERROR(VLOOKUP($C74,Lookups!$D$4:$E$7,2,FALSE),"Unknown"))</f>
        <v>Winter</v>
      </c>
      <c r="AA74" s="5" t="str">
        <f>IF($A74="","",IFERROR(VLOOKUP($I74,Lookups!$A$4:$B$7,2,FALSE),"Unknown"))</f>
        <v>Clear</v>
      </c>
      <c r="AB74" s="5" t="str">
        <f>IF($A74="","",TEXT($F74,"00")&amp;":00")</f>
        <v>04:00</v>
      </c>
      <c r="AC74" s="5" t="str">
        <f>IF($A74="","",VLOOKUP($F74,Lookups!$G$4:$H$8,2,TRUE))</f>
        <v>Night (00-05)</v>
      </c>
      <c r="AD74" s="18">
        <f>IF($A74="","",IF($J74="","",ROUND($J74*41,1)))</f>
        <v>5.7</v>
      </c>
      <c r="AE74" s="18">
        <f>IF($A74="","",IF($R74="","",ROUND($R74*50,1)))</f>
        <v>9.1</v>
      </c>
      <c r="AF74" s="5">
        <f>IF($A74="","",IF($L74="","",ROUND($L74*100,0)))</f>
        <v>63</v>
      </c>
      <c r="AG74" s="18">
        <f>IF($A74="","",IF($M74="","",ROUND($M74*67,1)))</f>
        <v>6</v>
      </c>
      <c r="AH74" s="19">
        <f>IF($A74="","",IF($P74="","",IF($P74=0,0,$O74/$P74)))</f>
        <v>1</v>
      </c>
      <c r="AI74" s="5" t="str">
        <f>IF($A74="","",IF($P74="","",IF($P74&gt;=Lookups!$K$7,"High",IF($P74&lt;=Lookups!$K$8,"Low","Medium"))))</f>
        <v>Low</v>
      </c>
      <c r="AJ74" s="5" t="str">
        <f>IF($A74="","",IF($AD74="","",IF($AD74&lt;5,"Under 5 C",IF($AD74&lt;10,"5-10 C",IF($AD74&lt;15,"10-15 C","15 C and above")))))</f>
        <v>5-10 C</v>
      </c>
      <c r="AK74" s="5">
        <f>IF($A74="","",IF($P74="","",$P74^2))</f>
        <v>4</v>
      </c>
      <c r="AL74" s="18">
        <f>IF($V74&lt;&gt;1,"",AVERAGEIFS(Clean_Data!$P$2:$P$1001,Clean_Data!$F$2:$F$1001,$F74,Clean_Data!$W$2:$W$1001,$W74,Clean_Data!$V$2:$V$1001,1))</f>
        <v>1.78947368421053</v>
      </c>
      <c r="AM74" s="16">
        <f>IF($V74&lt;&gt;1,"",IFERROR(($P74-$AL74)/SQRT(MAX(0,(SUMIFS(Clean_Data!$AK$2:$AK$1001,Clean_Data!$F$2:$F$1001,$F74,Clean_Data!$W$2:$W$1001,$W74,Clean_Data!$V$2:$V$1001,1)-COUNTIFS(Clean_Data!$F$2:$F$1001,$F74,Clean_Data!$W$2:$W$1001,$W74,Clean_Data!$V$2:$V$1001,1)*$AL74^2)/(COUNTIFS(Clean_Data!$F$2:$F$1001,$F74,Clean_Data!$W$2:$W$1001,$W74,Clean_Data!$V$2:$V$1001,1)-1))),""))</f>
        <v>0.229415733870562</v>
      </c>
      <c r="AN74" s="5" t="str">
        <f>IF($AM74="","",IF($AM74&gt;=Lookups!$K$6,"High spike",IF($AM74&lt;=-Lookups!$K$6,"Unusual low","Normal")))</f>
        <v>Normal</v>
      </c>
      <c r="AO74" s="20">
        <f>IF($V74&lt;&gt;1,"",$P74+ROW()/100000)</f>
        <v>2.00074</v>
      </c>
      <c r="AP74" s="5">
        <f>IF($A74="","",IFERROR(MATCH($A74,Raw_D1!$A$2:$A$1001,0),""))</f>
        <v>73</v>
      </c>
      <c r="AQ74" s="5">
        <f>IF($A74="","",IFERROR(MATCH($A74,Raw_D2!$B$2:$B$1001,0),""))</f>
        <v>73</v>
      </c>
      <c r="AR74" s="5">
        <f>IF($A74="","",IFERROR(MATCH($A74,Raw_D3!$A$2:$A$1001,0),""))</f>
        <v/>
      </c>
    </row>
    <row r="75" spans="1:44" x14ac:dyDescent="0.25">
      <c r="A75" s="5">
        <v>74</v>
      </c>
      <c r="B75" s="11">
        <f>IF($A75="","",IF($AP75&lt;&gt;"",INDEX(Raw_D1!$B$2:$B$1001,$AP75),IF($AR75&lt;&gt;"",INDEX(Raw_D3!$B$2:$B$1001,$AR75),"")))</f>
        <v>40547.0</v>
      </c>
      <c r="C75" s="5">
        <f>IF($A75="","",IF($AP75&lt;&gt;"",INDEX(Raw_D1!$C$2:$C$1001,$AP75),IF($AR75&lt;&gt;"",INDEX(Raw_D3!$C$2:$C$1001,$AR75),"")))</f>
        <v>1</v>
      </c>
      <c r="D75" s="5">
        <f>IF($A75="","",IF($AP75&lt;&gt;"",INDEX(Raw_D1!$D$2:$D$1001,$AP75),IF($AR75&lt;&gt;"",INDEX(Raw_D3!$D$2:$D$1001,$AR75),"")))</f>
        <v>0</v>
      </c>
      <c r="E75" s="5">
        <f>IF($A75="","",IF($AP75&lt;&gt;"",INDEX(Raw_D1!$E$2:$E$1001,$AP75),IF($AR75&lt;&gt;"",INDEX(Raw_D3!$E$2:$E$1001,$AR75),"")))</f>
        <v>1</v>
      </c>
      <c r="F75" s="5">
        <f>IF($A75="","",IF($AP75&lt;&gt;"",INDEX(Raw_D1!$F$2:$F$1001,$AP75),IF($AR75&lt;&gt;"",INDEX(Raw_D3!$F$2:$F$1001,$AR75),"")))</f>
        <v>5</v>
      </c>
      <c r="G75" s="5">
        <f>IF($A75="","",IF($AP75&lt;&gt;"",IF(INDEX(Raw_D1!$G$2:$G$1001,$AP75),1,0),IF($AR75&lt;&gt;"",IF(INDEX(Raw_D3!$G$2:$G$1001,$AR75),1,0),"")))</f>
        <v>0</v>
      </c>
      <c r="H75" s="5">
        <f>IF($A75="","",IF($AP75&lt;&gt;"",INDEX(Raw_D1!$H$2:$H$1001,$AP75),IF($AR75&lt;&gt;"",INDEX(Raw_D3!$H$2:$H$1001,$AR75),"")))</f>
        <v>2</v>
      </c>
      <c r="I75" s="5">
        <f>IF($A75="","",IF($AP75&lt;&gt;"",INDEX(Raw_D1!$I$2:$I$1001,$AP75),IF($AR75&lt;&gt;"",INDEX(Raw_D3!$I$2:$I$1001,$AR75),"")))</f>
        <v>1</v>
      </c>
      <c r="J75" s="16">
        <f>IF($A75="","",IF($AP75&lt;&gt;"",INDEX(Raw_D1!$J$2:$J$1001,$AP75),IF($AR75&lt;&gt;"",INDEX(Raw_D3!$J$2:$J$1001,$AR75),"")))</f>
        <v>0.12</v>
      </c>
      <c r="K75" s="17">
        <f>IF($A75="","",IF($AQ75&lt;&gt;"",IF(INDEX(Raw_D2!$C$2:$C$1001,$AQ75)="","",INDEX(Raw_D2!$C$2:$C$1001,$AQ75)),IF($AR75&lt;&gt;"",IF(INDEX(Raw_D3!$K$2:$K$1001,$AR75)="","",INDEX(Raw_D3!$K$2:$K$1001,$AR75)),"")))</f>
        <v>0.1515</v>
      </c>
      <c r="L75" s="16">
        <f>IF($A75="","",IF($AQ75&lt;&gt;"",IF(INDEX(Raw_D2!$D$2:$D$1001,$AQ75)="","",INDEX(Raw_D2!$D$2:$D$1001,$AQ75)),IF($AR75&lt;&gt;"",IF(INDEX(Raw_D3!$L$2:$L$1001,$AR75)="","",INDEX(Raw_D3!$L$2:$L$1001,$AR75)),"")))</f>
        <v>0.68</v>
      </c>
      <c r="M75" s="17">
        <f>IF($A75="","",IF($AQ75&lt;&gt;"",IF(INDEX(Raw_D2!$E$2:$E$1001,$AQ75)="","",INDEX(Raw_D2!$E$2:$E$1001,$AQ75)),IF($AR75&lt;&gt;"",IF(INDEX(Raw_D3!$M$2:$M$1001,$AR75)="","",INDEX(Raw_D3!$M$2:$M$1001,$AR75)),"")))</f>
        <v>0.1045</v>
      </c>
      <c r="N75" s="5">
        <f>IF($A75="","",IF($AQ75&lt;&gt;"",IF(INDEX(Raw_D2!$F$2:$F$1001,$AQ75)="","",INDEX(Raw_D2!$F$2:$F$1001,$AQ75)),IF($AR75&lt;&gt;"",IF(INDEX(Raw_D3!$N$2:$N$1001,$AR75)="","",INDEX(Raw_D3!$N$2:$N$1001,$AR75)),"")))</f>
        <v>0</v>
      </c>
      <c r="O75" s="5">
        <f>IF($A75="","",IF($AQ75&lt;&gt;"",IF(INDEX(Raw_D2!$G$2:$G$1001,$AQ75)="","",INDEX(Raw_D2!$G$2:$G$1001,$AQ75)),IF($AR75&lt;&gt;"",IF(INDEX(Raw_D3!$O$2:$O$1001,$AR75)="","",INDEX(Raw_D3!$O$2:$O$1001,$AR75)),"")))</f>
        <v>4</v>
      </c>
      <c r="P75" s="5">
        <f>IF($A75="","",IF($AQ75&lt;&gt;"",IF(INDEX(Raw_D2!$H$2:$H$1001,$AQ75)="","",INDEX(Raw_D2!$H$2:$H$1001,$AQ75)),IF($AR75&lt;&gt;"",IF(INDEX(Raw_D3!$P$2:$P$1001,$AR75)="","",INDEX(Raw_D3!$P$2:$P$1001,$AR75)),"")))</f>
        <v>4</v>
      </c>
      <c r="Q75" s="5" t="str">
        <f>IF($A75="","",IF(AND($AP75&lt;&gt;"",$AQ75&lt;&gt;""),"D1+D2",IF($AR75&lt;&gt;"","D3","Incomplete")))</f>
        <v>D1+D2</v>
      </c>
      <c r="R75" s="17">
        <f>IF($A75="","",IF($K75="",IF($J75="","",ROUND(Lookups!$K$5+Lookups!$K$4*$J75,4)),$K75))</f>
        <v>0.1515</v>
      </c>
      <c r="S75" s="5" t="str">
        <f>IF($A75="","",IF($K75="","Imputed","Original"))</f>
        <v>Original</v>
      </c>
      <c r="T75" s="5" t="str">
        <f>IF($A75="","",IF($P75="","Missing",IF($P75=$N75+$O75,"OK","Mismatch")))</f>
        <v>OK</v>
      </c>
      <c r="U75" s="5" t="str">
        <f>IF($A75="","",IF(COUNTIF($A$2:$A75,$A75)&gt;1,"Duplicate","Unique"))</f>
        <v>Unique</v>
      </c>
      <c r="V75" s="5">
        <f>IF($A75="","",IF(AND($U75="Unique",ISNUMBER($P75)),1,0))</f>
        <v>1</v>
      </c>
      <c r="W75" s="5" t="str">
        <f>IF($A75="","",IF(OR($H75=0,$H75=6),"Weekend","Weekday"))</f>
        <v>Weekday</v>
      </c>
      <c r="X75" s="5" t="str">
        <f>IF($A75="","",TEXT($B75,"ddd"))</f>
        <v>Tue</v>
      </c>
      <c r="Y75" s="5" t="str">
        <f>IF($A75="","",TEXT($B75,"mmm"))</f>
        <v>Jan</v>
      </c>
      <c r="Z75" s="5" t="str">
        <f>IF($A75="","",IFERROR(VLOOKUP($C75,Lookups!$D$4:$E$7,2,FALSE),"Unknown"))</f>
        <v>Winter</v>
      </c>
      <c r="AA75" s="5" t="str">
        <f>IF($A75="","",IFERROR(VLOOKUP($I75,Lookups!$A$4:$B$7,2,FALSE),"Unknown"))</f>
        <v>Clear</v>
      </c>
      <c r="AB75" s="5" t="str">
        <f>IF($A75="","",TEXT($F75,"00")&amp;":00")</f>
        <v>05:00</v>
      </c>
      <c r="AC75" s="5" t="str">
        <f>IF($A75="","",VLOOKUP($F75,Lookups!$G$4:$H$8,2,TRUE))</f>
        <v>Night (00-05)</v>
      </c>
      <c r="AD75" s="18">
        <f>IF($A75="","",IF($J75="","",ROUND($J75*41,1)))</f>
        <v>4.9</v>
      </c>
      <c r="AE75" s="18">
        <f>IF($A75="","",IF($R75="","",ROUND($R75*50,1)))</f>
        <v>7.6</v>
      </c>
      <c r="AF75" s="5">
        <f>IF($A75="","",IF($L75="","",ROUND($L75*100,0)))</f>
        <v>68</v>
      </c>
      <c r="AG75" s="18">
        <f>IF($A75="","",IF($M75="","",ROUND($M75*67,1)))</f>
        <v>7</v>
      </c>
      <c r="AH75" s="19">
        <f>IF($A75="","",IF($P75="","",IF($P75=0,0,$O75/$P75)))</f>
        <v>1</v>
      </c>
      <c r="AI75" s="5" t="str">
        <f>IF($A75="","",IF($P75="","",IF($P75&gt;=Lookups!$K$7,"High",IF($P75&lt;=Lookups!$K$8,"Low","Medium"))))</f>
        <v>Low</v>
      </c>
      <c r="AJ75" s="5" t="str">
        <f>IF($A75="","",IF($AD75="","",IF($AD75&lt;5,"Under 5 C",IF($AD75&lt;10,"5-10 C",IF($AD75&lt;15,"10-15 C","15 C and above")))))</f>
        <v>Under 5 C</v>
      </c>
      <c r="AK75" s="5">
        <f>IF($A75="","",IF($P75="","",$P75^2))</f>
        <v>16</v>
      </c>
      <c r="AL75" s="18">
        <f>IF($V75&lt;&gt;1,"",AVERAGEIFS(Clean_Data!$P$2:$P$1001,Clean_Data!$F$2:$F$1001,$F75,Clean_Data!$W$2:$W$1001,$W75,Clean_Data!$V$2:$V$1001,1))</f>
        <v>4.72413793103448</v>
      </c>
      <c r="AM75" s="16">
        <f>IF($V75&lt;&gt;1,"",IFERROR(($P75-$AL75)/SQRT(MAX(0,(SUMIFS(Clean_Data!$AK$2:$AK$1001,Clean_Data!$F$2:$F$1001,$F75,Clean_Data!$W$2:$W$1001,$W75,Clean_Data!$V$2:$V$1001,1)-COUNTIFS(Clean_Data!$F$2:$F$1001,$F75,Clean_Data!$W$2:$W$1001,$W75,Clean_Data!$V$2:$V$1001,1)*$AL75^2)/(COUNTIFS(Clean_Data!$F$2:$F$1001,$F75,Clean_Data!$W$2:$W$1001,$W75,Clean_Data!$V$2:$V$1001,1)-1))),""))</f>
        <v>-0.308981076614558</v>
      </c>
      <c r="AN75" s="5" t="str">
        <f>IF($AM75="","",IF($AM75&gt;=Lookups!$K$6,"High spike",IF($AM75&lt;=-Lookups!$K$6,"Unusual low","Normal")))</f>
        <v>Normal</v>
      </c>
      <c r="AO75" s="20">
        <f>IF($V75&lt;&gt;1,"",$P75+ROW()/100000)</f>
        <v>4.00075</v>
      </c>
      <c r="AP75" s="5">
        <f>IF($A75="","",IFERROR(MATCH($A75,Raw_D1!$A$2:$A$1001,0),""))</f>
        <v>74</v>
      </c>
      <c r="AQ75" s="5">
        <f>IF($A75="","",IFERROR(MATCH($A75,Raw_D2!$B$2:$B$1001,0),""))</f>
        <v>74</v>
      </c>
      <c r="AR75" s="5">
        <f>IF($A75="","",IFERROR(MATCH($A75,Raw_D3!$A$2:$A$1001,0),""))</f>
        <v/>
      </c>
    </row>
    <row r="76" spans="1:44" x14ac:dyDescent="0.25">
      <c r="A76" s="5">
        <v>75</v>
      </c>
      <c r="B76" s="11">
        <f>IF($A76="","",IF($AP76&lt;&gt;"",INDEX(Raw_D1!$B$2:$B$1001,$AP76),IF($AR76&lt;&gt;"",INDEX(Raw_D3!$B$2:$B$1001,$AR76),"")))</f>
        <v>40547.0</v>
      </c>
      <c r="C76" s="5">
        <f>IF($A76="","",IF($AP76&lt;&gt;"",INDEX(Raw_D1!$C$2:$C$1001,$AP76),IF($AR76&lt;&gt;"",INDEX(Raw_D3!$C$2:$C$1001,$AR76),"")))</f>
        <v>1</v>
      </c>
      <c r="D76" s="5">
        <f>IF($A76="","",IF($AP76&lt;&gt;"",INDEX(Raw_D1!$D$2:$D$1001,$AP76),IF($AR76&lt;&gt;"",INDEX(Raw_D3!$D$2:$D$1001,$AR76),"")))</f>
        <v>0</v>
      </c>
      <c r="E76" s="5">
        <f>IF($A76="","",IF($AP76&lt;&gt;"",INDEX(Raw_D1!$E$2:$E$1001,$AP76),IF($AR76&lt;&gt;"",INDEX(Raw_D3!$E$2:$E$1001,$AR76),"")))</f>
        <v>1</v>
      </c>
      <c r="F76" s="5">
        <f>IF($A76="","",IF($AP76&lt;&gt;"",INDEX(Raw_D1!$F$2:$F$1001,$AP76),IF($AR76&lt;&gt;"",INDEX(Raw_D3!$F$2:$F$1001,$AR76),"")))</f>
        <v>6</v>
      </c>
      <c r="G76" s="5">
        <f>IF($A76="","",IF($AP76&lt;&gt;"",IF(INDEX(Raw_D1!$G$2:$G$1001,$AP76),1,0),IF($AR76&lt;&gt;"",IF(INDEX(Raw_D3!$G$2:$G$1001,$AR76),1,0),"")))</f>
        <v>0</v>
      </c>
      <c r="H76" s="5">
        <f>IF($A76="","",IF($AP76&lt;&gt;"",INDEX(Raw_D1!$H$2:$H$1001,$AP76),IF($AR76&lt;&gt;"",INDEX(Raw_D3!$H$2:$H$1001,$AR76),"")))</f>
        <v>2</v>
      </c>
      <c r="I76" s="5">
        <f>IF($A76="","",IF($AP76&lt;&gt;"",INDEX(Raw_D1!$I$2:$I$1001,$AP76),IF($AR76&lt;&gt;"",INDEX(Raw_D3!$I$2:$I$1001,$AR76),"")))</f>
        <v>1</v>
      </c>
      <c r="J76" s="16">
        <f>IF($A76="","",IF($AP76&lt;&gt;"",INDEX(Raw_D1!$J$2:$J$1001,$AP76),IF($AR76&lt;&gt;"",INDEX(Raw_D3!$J$2:$J$1001,$AR76),"")))</f>
        <v>0.12</v>
      </c>
      <c r="K76" s="17">
        <f>IF($A76="","",IF($AQ76&lt;&gt;"",IF(INDEX(Raw_D2!$C$2:$C$1001,$AQ76)="","",INDEX(Raw_D2!$C$2:$C$1001,$AQ76)),IF($AR76&lt;&gt;"",IF(INDEX(Raw_D3!$K$2:$K$1001,$AR76)="","",INDEX(Raw_D3!$K$2:$K$1001,$AR76)),"")))</f>
        <v>0.1515</v>
      </c>
      <c r="L76" s="16">
        <f>IF($A76="","",IF($AQ76&lt;&gt;"",IF(INDEX(Raw_D2!$D$2:$D$1001,$AQ76)="","",INDEX(Raw_D2!$D$2:$D$1001,$AQ76)),IF($AR76&lt;&gt;"",IF(INDEX(Raw_D3!$L$2:$L$1001,$AR76)="","",INDEX(Raw_D3!$L$2:$L$1001,$AR76)),"")))</f>
        <v>0.74</v>
      </c>
      <c r="M76" s="17">
        <f>IF($A76="","",IF($AQ76&lt;&gt;"",IF(INDEX(Raw_D2!$E$2:$E$1001,$AQ76)="","",INDEX(Raw_D2!$E$2:$E$1001,$AQ76)),IF($AR76&lt;&gt;"",IF(INDEX(Raw_D3!$M$2:$M$1001,$AR76)="","",INDEX(Raw_D3!$M$2:$M$1001,$AR76)),"")))</f>
        <v>0.1045</v>
      </c>
      <c r="N76" s="5">
        <f>IF($A76="","",IF($AQ76&lt;&gt;"",IF(INDEX(Raw_D2!$F$2:$F$1001,$AQ76)="","",INDEX(Raw_D2!$F$2:$F$1001,$AQ76)),IF($AR76&lt;&gt;"",IF(INDEX(Raw_D3!$N$2:$N$1001,$AR76)="","",INDEX(Raw_D3!$N$2:$N$1001,$AR76)),"")))</f>
        <v>0</v>
      </c>
      <c r="O76" s="5">
        <f>IF($A76="","",IF($AQ76&lt;&gt;"",IF(INDEX(Raw_D2!$G$2:$G$1001,$AQ76)="","",INDEX(Raw_D2!$G$2:$G$1001,$AQ76)),IF($AR76&lt;&gt;"",IF(INDEX(Raw_D3!$O$2:$O$1001,$AR76)="","",INDEX(Raw_D3!$O$2:$O$1001,$AR76)),"")))</f>
        <v>36</v>
      </c>
      <c r="P76" s="5">
        <f>IF($A76="","",IF($AQ76&lt;&gt;"",IF(INDEX(Raw_D2!$H$2:$H$1001,$AQ76)="","",INDEX(Raw_D2!$H$2:$H$1001,$AQ76)),IF($AR76&lt;&gt;"",IF(INDEX(Raw_D3!$P$2:$P$1001,$AR76)="","",INDEX(Raw_D3!$P$2:$P$1001,$AR76)),"")))</f>
        <v>36</v>
      </c>
      <c r="Q76" s="5" t="str">
        <f>IF($A76="","",IF(AND($AP76&lt;&gt;"",$AQ76&lt;&gt;""),"D1+D2",IF($AR76&lt;&gt;"","D3","Incomplete")))</f>
        <v>D1+D2</v>
      </c>
      <c r="R76" s="17">
        <f>IF($A76="","",IF($K76="",IF($J76="","",ROUND(Lookups!$K$5+Lookups!$K$4*$J76,4)),$K76))</f>
        <v>0.1515</v>
      </c>
      <c r="S76" s="5" t="str">
        <f>IF($A76="","",IF($K76="","Imputed","Original"))</f>
        <v>Original</v>
      </c>
      <c r="T76" s="5" t="str">
        <f>IF($A76="","",IF($P76="","Missing",IF($P76=$N76+$O76,"OK","Mismatch")))</f>
        <v>OK</v>
      </c>
      <c r="U76" s="5" t="str">
        <f>IF($A76="","",IF(COUNTIF($A$2:$A76,$A76)&gt;1,"Duplicate","Unique"))</f>
        <v>Unique</v>
      </c>
      <c r="V76" s="5">
        <f>IF($A76="","",IF(AND($U76="Unique",ISNUMBER($P76)),1,0))</f>
        <v>1</v>
      </c>
      <c r="W76" s="5" t="str">
        <f>IF($A76="","",IF(OR($H76=0,$H76=6),"Weekend","Weekday"))</f>
        <v>Weekday</v>
      </c>
      <c r="X76" s="5" t="str">
        <f>IF($A76="","",TEXT($B76,"ddd"))</f>
        <v>Tue</v>
      </c>
      <c r="Y76" s="5" t="str">
        <f>IF($A76="","",TEXT($B76,"mmm"))</f>
        <v>Jan</v>
      </c>
      <c r="Z76" s="5" t="str">
        <f>IF($A76="","",IFERROR(VLOOKUP($C76,Lookups!$D$4:$E$7,2,FALSE),"Unknown"))</f>
        <v>Winter</v>
      </c>
      <c r="AA76" s="5" t="str">
        <f>IF($A76="","",IFERROR(VLOOKUP($I76,Lookups!$A$4:$B$7,2,FALSE),"Unknown"))</f>
        <v>Clear</v>
      </c>
      <c r="AB76" s="5" t="str">
        <f>IF($A76="","",TEXT($F76,"00")&amp;":00")</f>
        <v>06:00</v>
      </c>
      <c r="AC76" s="5" t="str">
        <f>IF($A76="","",VLOOKUP($F76,Lookups!$G$4:$H$8,2,TRUE))</f>
        <v>Morning Peak (06-09)</v>
      </c>
      <c r="AD76" s="18">
        <f>IF($A76="","",IF($J76="","",ROUND($J76*41,1)))</f>
        <v>4.9</v>
      </c>
      <c r="AE76" s="18">
        <f>IF($A76="","",IF($R76="","",ROUND($R76*50,1)))</f>
        <v>7.6</v>
      </c>
      <c r="AF76" s="5">
        <f>IF($A76="","",IF($L76="","",ROUND($L76*100,0)))</f>
        <v>74</v>
      </c>
      <c r="AG76" s="18">
        <f>IF($A76="","",IF($M76="","",ROUND($M76*67,1)))</f>
        <v>7</v>
      </c>
      <c r="AH76" s="19">
        <f>IF($A76="","",IF($P76="","",IF($P76=0,0,$O76/$P76)))</f>
        <v>1</v>
      </c>
      <c r="AI76" s="5" t="str">
        <f>IF($A76="","",IF($P76="","",IF($P76&gt;=Lookups!$K$7,"High",IF($P76&lt;=Lookups!$K$8,"Low","Medium"))))</f>
        <v>Medium</v>
      </c>
      <c r="AJ76" s="5" t="str">
        <f>IF($A76="","",IF($AD76="","",IF($AD76&lt;5,"Under 5 C",IF($AD76&lt;10,"5-10 C",IF($AD76&lt;15,"10-15 C","15 C and above")))))</f>
        <v>Under 5 C</v>
      </c>
      <c r="AK76" s="5">
        <f>IF($A76="","",IF($P76="","",$P76^2))</f>
        <v>1296</v>
      </c>
      <c r="AL76" s="18">
        <f>IF($V76&lt;&gt;1,"",AVERAGEIFS(Clean_Data!$P$2:$P$1001,Clean_Data!$F$2:$F$1001,$F76,Clean_Data!$W$2:$W$1001,$W76,Clean_Data!$V$2:$V$1001,1))</f>
        <v>27.3793103448276</v>
      </c>
      <c r="AM76" s="16">
        <f>IF($V76&lt;&gt;1,"",IFERROR(($P76-$AL76)/SQRT(MAX(0,(SUMIFS(Clean_Data!$AK$2:$AK$1001,Clean_Data!$F$2:$F$1001,$F76,Clean_Data!$W$2:$W$1001,$W76,Clean_Data!$V$2:$V$1001,1)-COUNTIFS(Clean_Data!$F$2:$F$1001,$F76,Clean_Data!$W$2:$W$1001,$W76,Clean_Data!$V$2:$V$1001,1)*$AL76^2)/(COUNTIFS(Clean_Data!$F$2:$F$1001,$F76,Clean_Data!$W$2:$W$1001,$W76,Clean_Data!$V$2:$V$1001,1)-1))),""))</f>
        <v>0.904968428813703</v>
      </c>
      <c r="AN76" s="5" t="str">
        <f>IF($AM76="","",IF($AM76&gt;=Lookups!$K$6,"High spike",IF($AM76&lt;=-Lookups!$K$6,"Unusual low","Normal")))</f>
        <v>Normal</v>
      </c>
      <c r="AO76" s="20">
        <f>IF($V76&lt;&gt;1,"",$P76+ROW()/100000)</f>
        <v>36.00076</v>
      </c>
      <c r="AP76" s="5">
        <f>IF($A76="","",IFERROR(MATCH($A76,Raw_D1!$A$2:$A$1001,0),""))</f>
        <v>75</v>
      </c>
      <c r="AQ76" s="5">
        <f>IF($A76="","",IFERROR(MATCH($A76,Raw_D2!$B$2:$B$1001,0),""))</f>
        <v>75</v>
      </c>
      <c r="AR76" s="5">
        <f>IF($A76="","",IFERROR(MATCH($A76,Raw_D3!$A$2:$A$1001,0),""))</f>
        <v/>
      </c>
    </row>
    <row r="77" spans="1:44" x14ac:dyDescent="0.25">
      <c r="A77" s="5">
        <v>76</v>
      </c>
      <c r="B77" s="11">
        <f>IF($A77="","",IF($AP77&lt;&gt;"",INDEX(Raw_D1!$B$2:$B$1001,$AP77),IF($AR77&lt;&gt;"",INDEX(Raw_D3!$B$2:$B$1001,$AR77),"")))</f>
        <v>40547.0</v>
      </c>
      <c r="C77" s="5">
        <f>IF($A77="","",IF($AP77&lt;&gt;"",INDEX(Raw_D1!$C$2:$C$1001,$AP77),IF($AR77&lt;&gt;"",INDEX(Raw_D3!$C$2:$C$1001,$AR77),"")))</f>
        <v>1</v>
      </c>
      <c r="D77" s="5">
        <f>IF($A77="","",IF($AP77&lt;&gt;"",INDEX(Raw_D1!$D$2:$D$1001,$AP77),IF($AR77&lt;&gt;"",INDEX(Raw_D3!$D$2:$D$1001,$AR77),"")))</f>
        <v>0</v>
      </c>
      <c r="E77" s="5">
        <f>IF($A77="","",IF($AP77&lt;&gt;"",INDEX(Raw_D1!$E$2:$E$1001,$AP77),IF($AR77&lt;&gt;"",INDEX(Raw_D3!$E$2:$E$1001,$AR77),"")))</f>
        <v>1</v>
      </c>
      <c r="F77" s="5">
        <f>IF($A77="","",IF($AP77&lt;&gt;"",INDEX(Raw_D1!$F$2:$F$1001,$AP77),IF($AR77&lt;&gt;"",INDEX(Raw_D3!$F$2:$F$1001,$AR77),"")))</f>
        <v>7</v>
      </c>
      <c r="G77" s="5">
        <f>IF($A77="","",IF($AP77&lt;&gt;"",IF(INDEX(Raw_D1!$G$2:$G$1001,$AP77),1,0),IF($AR77&lt;&gt;"",IF(INDEX(Raw_D3!$G$2:$G$1001,$AR77),1,0),"")))</f>
        <v>0</v>
      </c>
      <c r="H77" s="5">
        <f>IF($A77="","",IF($AP77&lt;&gt;"",INDEX(Raw_D1!$H$2:$H$1001,$AP77),IF($AR77&lt;&gt;"",INDEX(Raw_D3!$H$2:$H$1001,$AR77),"")))</f>
        <v>2</v>
      </c>
      <c r="I77" s="5">
        <f>IF($A77="","",IF($AP77&lt;&gt;"",INDEX(Raw_D1!$I$2:$I$1001,$AP77),IF($AR77&lt;&gt;"",INDEX(Raw_D3!$I$2:$I$1001,$AR77),"")))</f>
        <v>1</v>
      </c>
      <c r="J77" s="16">
        <f>IF($A77="","",IF($AP77&lt;&gt;"",INDEX(Raw_D1!$J$2:$J$1001,$AP77),IF($AR77&lt;&gt;"",INDEX(Raw_D3!$J$2:$J$1001,$AR77),"")))</f>
        <v>0.12</v>
      </c>
      <c r="K77" s="17">
        <f>IF($A77="","",IF($AQ77&lt;&gt;"",IF(INDEX(Raw_D2!$C$2:$C$1001,$AQ77)="","",INDEX(Raw_D2!$C$2:$C$1001,$AQ77)),IF($AR77&lt;&gt;"",IF(INDEX(Raw_D3!$K$2:$K$1001,$AR77)="","",INDEX(Raw_D3!$K$2:$K$1001,$AR77)),"")))</f>
        <v>0.1515</v>
      </c>
      <c r="L77" s="16">
        <f>IF($A77="","",IF($AQ77&lt;&gt;"",IF(INDEX(Raw_D2!$D$2:$D$1001,$AQ77)="","",INDEX(Raw_D2!$D$2:$D$1001,$AQ77)),IF($AR77&lt;&gt;"",IF(INDEX(Raw_D3!$L$2:$L$1001,$AR77)="","",INDEX(Raw_D3!$L$2:$L$1001,$AR77)),"")))</f>
        <v>0.74</v>
      </c>
      <c r="M77" s="17">
        <f>IF($A77="","",IF($AQ77&lt;&gt;"",IF(INDEX(Raw_D2!$E$2:$E$1001,$AQ77)="","",INDEX(Raw_D2!$E$2:$E$1001,$AQ77)),IF($AR77&lt;&gt;"",IF(INDEX(Raw_D3!$M$2:$M$1001,$AR77)="","",INDEX(Raw_D3!$M$2:$M$1001,$AR77)),"")))</f>
        <v>0.1343</v>
      </c>
      <c r="N77" s="5">
        <f>IF($A77="","",IF($AQ77&lt;&gt;"",IF(INDEX(Raw_D2!$F$2:$F$1001,$AQ77)="","",INDEX(Raw_D2!$F$2:$F$1001,$AQ77)),IF($AR77&lt;&gt;"",IF(INDEX(Raw_D3!$N$2:$N$1001,$AR77)="","",INDEX(Raw_D3!$N$2:$N$1001,$AR77)),"")))</f>
        <v>2</v>
      </c>
      <c r="O77" s="5">
        <f>IF($A77="","",IF($AQ77&lt;&gt;"",IF(INDEX(Raw_D2!$G$2:$G$1001,$AQ77)="","",INDEX(Raw_D2!$G$2:$G$1001,$AQ77)),IF($AR77&lt;&gt;"",IF(INDEX(Raw_D3!$O$2:$O$1001,$AR77)="","",INDEX(Raw_D3!$O$2:$O$1001,$AR77)),"")))</f>
        <v>92</v>
      </c>
      <c r="P77" s="5">
        <f>IF($A77="","",IF($AQ77&lt;&gt;"",IF(INDEX(Raw_D2!$H$2:$H$1001,$AQ77)="","",INDEX(Raw_D2!$H$2:$H$1001,$AQ77)),IF($AR77&lt;&gt;"",IF(INDEX(Raw_D3!$P$2:$P$1001,$AR77)="","",INDEX(Raw_D3!$P$2:$P$1001,$AR77)),"")))</f>
        <v>94</v>
      </c>
      <c r="Q77" s="5" t="str">
        <f>IF($A77="","",IF(AND($AP77&lt;&gt;"",$AQ77&lt;&gt;""),"D1+D2",IF($AR77&lt;&gt;"","D3","Incomplete")))</f>
        <v>D1+D2</v>
      </c>
      <c r="R77" s="17">
        <f>IF($A77="","",IF($K77="",IF($J77="","",ROUND(Lookups!$K$5+Lookups!$K$4*$J77,4)),$K77))</f>
        <v>0.1515</v>
      </c>
      <c r="S77" s="5" t="str">
        <f>IF($A77="","",IF($K77="","Imputed","Original"))</f>
        <v>Original</v>
      </c>
      <c r="T77" s="5" t="str">
        <f>IF($A77="","",IF($P77="","Missing",IF($P77=$N77+$O77,"OK","Mismatch")))</f>
        <v>OK</v>
      </c>
      <c r="U77" s="5" t="str">
        <f>IF($A77="","",IF(COUNTIF($A$2:$A77,$A77)&gt;1,"Duplicate","Unique"))</f>
        <v>Unique</v>
      </c>
      <c r="V77" s="5">
        <f>IF($A77="","",IF(AND($U77="Unique",ISNUMBER($P77)),1,0))</f>
        <v>1</v>
      </c>
      <c r="W77" s="5" t="str">
        <f>IF($A77="","",IF(OR($H77=0,$H77=6),"Weekend","Weekday"))</f>
        <v>Weekday</v>
      </c>
      <c r="X77" s="5" t="str">
        <f>IF($A77="","",TEXT($B77,"ddd"))</f>
        <v>Tue</v>
      </c>
      <c r="Y77" s="5" t="str">
        <f>IF($A77="","",TEXT($B77,"mmm"))</f>
        <v>Jan</v>
      </c>
      <c r="Z77" s="5" t="str">
        <f>IF($A77="","",IFERROR(VLOOKUP($C77,Lookups!$D$4:$E$7,2,FALSE),"Unknown"))</f>
        <v>Winter</v>
      </c>
      <c r="AA77" s="5" t="str">
        <f>IF($A77="","",IFERROR(VLOOKUP($I77,Lookups!$A$4:$B$7,2,FALSE),"Unknown"))</f>
        <v>Clear</v>
      </c>
      <c r="AB77" s="5" t="str">
        <f>IF($A77="","",TEXT($F77,"00")&amp;":00")</f>
        <v>07:00</v>
      </c>
      <c r="AC77" s="5" t="str">
        <f>IF($A77="","",VLOOKUP($F77,Lookups!$G$4:$H$8,2,TRUE))</f>
        <v>Morning Peak (06-09)</v>
      </c>
      <c r="AD77" s="18">
        <f>IF($A77="","",IF($J77="","",ROUND($J77*41,1)))</f>
        <v>4.9</v>
      </c>
      <c r="AE77" s="18">
        <f>IF($A77="","",IF($R77="","",ROUND($R77*50,1)))</f>
        <v>7.6</v>
      </c>
      <c r="AF77" s="5">
        <f>IF($A77="","",IF($L77="","",ROUND($L77*100,0)))</f>
        <v>74</v>
      </c>
      <c r="AG77" s="18">
        <f>IF($A77="","",IF($M77="","",ROUND($M77*67,1)))</f>
        <v>9</v>
      </c>
      <c r="AH77" s="19">
        <f>IF($A77="","",IF($P77="","",IF($P77=0,0,$O77/$P77)))</f>
        <v>0.978723404255319</v>
      </c>
      <c r="AI77" s="5" t="str">
        <f>IF($A77="","",IF($P77="","",IF($P77&gt;=Lookups!$K$7,"High",IF($P77&lt;=Lookups!$K$8,"Low","Medium"))))</f>
        <v>High</v>
      </c>
      <c r="AJ77" s="5" t="str">
        <f>IF($A77="","",IF($AD77="","",IF($AD77&lt;5,"Under 5 C",IF($AD77&lt;10,"5-10 C",IF($AD77&lt;15,"10-15 C","15 C and above")))))</f>
        <v>Under 5 C</v>
      </c>
      <c r="AK77" s="5">
        <f>IF($A77="","",IF($P77="","",$P77^2))</f>
        <v>8836</v>
      </c>
      <c r="AL77" s="18">
        <f>IF($V77&lt;&gt;1,"",AVERAGEIFS(Clean_Data!$P$2:$P$1001,Clean_Data!$F$2:$F$1001,$F77,Clean_Data!$W$2:$W$1001,$W77,Clean_Data!$V$2:$V$1001,1))</f>
        <v>78.0344827586207</v>
      </c>
      <c r="AM77" s="16">
        <f>IF($V77&lt;&gt;1,"",IFERROR(($P77-$AL77)/SQRT(MAX(0,(SUMIFS(Clean_Data!$AK$2:$AK$1001,Clean_Data!$F$2:$F$1001,$F77,Clean_Data!$W$2:$W$1001,$W77,Clean_Data!$V$2:$V$1001,1)-COUNTIFS(Clean_Data!$F$2:$F$1001,$F77,Clean_Data!$W$2:$W$1001,$W77,Clean_Data!$V$2:$V$1001,1)*$AL77^2)/(COUNTIFS(Clean_Data!$F$2:$F$1001,$F77,Clean_Data!$W$2:$W$1001,$W77,Clean_Data!$V$2:$V$1001,1)-1))),""))</f>
        <v>0.705411493738826</v>
      </c>
      <c r="AN77" s="5" t="str">
        <f>IF($AM77="","",IF($AM77&gt;=Lookups!$K$6,"High spike",IF($AM77&lt;=-Lookups!$K$6,"Unusual low","Normal")))</f>
        <v>Normal</v>
      </c>
      <c r="AO77" s="20">
        <f>IF($V77&lt;&gt;1,"",$P77+ROW()/100000)</f>
        <v>94.00077</v>
      </c>
      <c r="AP77" s="5">
        <f>IF($A77="","",IFERROR(MATCH($A77,Raw_D1!$A$2:$A$1001,0),""))</f>
        <v>76</v>
      </c>
      <c r="AQ77" s="5">
        <f>IF($A77="","",IFERROR(MATCH($A77,Raw_D2!$B$2:$B$1001,0),""))</f>
        <v>76</v>
      </c>
      <c r="AR77" s="5">
        <f>IF($A77="","",IFERROR(MATCH($A77,Raw_D3!$A$2:$A$1001,0),""))</f>
        <v/>
      </c>
    </row>
    <row r="78" spans="1:44" x14ac:dyDescent="0.25">
      <c r="A78" s="5">
        <v>77</v>
      </c>
      <c r="B78" s="11">
        <f>IF($A78="","",IF($AP78&lt;&gt;"",INDEX(Raw_D1!$B$2:$B$1001,$AP78),IF($AR78&lt;&gt;"",INDEX(Raw_D3!$B$2:$B$1001,$AR78),"")))</f>
        <v>40547.0</v>
      </c>
      <c r="C78" s="5">
        <f>IF($A78="","",IF($AP78&lt;&gt;"",INDEX(Raw_D1!$C$2:$C$1001,$AP78),IF($AR78&lt;&gt;"",INDEX(Raw_D3!$C$2:$C$1001,$AR78),"")))</f>
        <v>1</v>
      </c>
      <c r="D78" s="5">
        <f>IF($A78="","",IF($AP78&lt;&gt;"",INDEX(Raw_D1!$D$2:$D$1001,$AP78),IF($AR78&lt;&gt;"",INDEX(Raw_D3!$D$2:$D$1001,$AR78),"")))</f>
        <v>0</v>
      </c>
      <c r="E78" s="5">
        <f>IF($A78="","",IF($AP78&lt;&gt;"",INDEX(Raw_D1!$E$2:$E$1001,$AP78),IF($AR78&lt;&gt;"",INDEX(Raw_D3!$E$2:$E$1001,$AR78),"")))</f>
        <v>1</v>
      </c>
      <c r="F78" s="5">
        <f>IF($A78="","",IF($AP78&lt;&gt;"",INDEX(Raw_D1!$F$2:$F$1001,$AP78),IF($AR78&lt;&gt;"",INDEX(Raw_D3!$F$2:$F$1001,$AR78),"")))</f>
        <v>8</v>
      </c>
      <c r="G78" s="5">
        <f>IF($A78="","",IF($AP78&lt;&gt;"",IF(INDEX(Raw_D1!$G$2:$G$1001,$AP78),1,0),IF($AR78&lt;&gt;"",IF(INDEX(Raw_D3!$G$2:$G$1001,$AR78),1,0),"")))</f>
        <v>0</v>
      </c>
      <c r="H78" s="5">
        <f>IF($A78="","",IF($AP78&lt;&gt;"",INDEX(Raw_D1!$H$2:$H$1001,$AP78),IF($AR78&lt;&gt;"",INDEX(Raw_D3!$H$2:$H$1001,$AR78),"")))</f>
        <v>2</v>
      </c>
      <c r="I78" s="5">
        <f>IF($A78="","",IF($AP78&lt;&gt;"",INDEX(Raw_D1!$I$2:$I$1001,$AP78),IF($AR78&lt;&gt;"",INDEX(Raw_D3!$I$2:$I$1001,$AR78),"")))</f>
        <v>1</v>
      </c>
      <c r="J78" s="16">
        <f>IF($A78="","",IF($AP78&lt;&gt;"",INDEX(Raw_D1!$J$2:$J$1001,$AP78),IF($AR78&lt;&gt;"",INDEX(Raw_D3!$J$2:$J$1001,$AR78),"")))</f>
        <v>0.14</v>
      </c>
      <c r="K78" s="17">
        <f>IF($A78="","",IF($AQ78&lt;&gt;"",IF(INDEX(Raw_D2!$C$2:$C$1001,$AQ78)="","",INDEX(Raw_D2!$C$2:$C$1001,$AQ78)),IF($AR78&lt;&gt;"",IF(INDEX(Raw_D3!$K$2:$K$1001,$AR78)="","",INDEX(Raw_D3!$K$2:$K$1001,$AR78)),"")))</f>
        <v>0.1515</v>
      </c>
      <c r="L78" s="16">
        <f>IF($A78="","",IF($AQ78&lt;&gt;"",IF(INDEX(Raw_D2!$D$2:$D$1001,$AQ78)="","",INDEX(Raw_D2!$D$2:$D$1001,$AQ78)),IF($AR78&lt;&gt;"",IF(INDEX(Raw_D3!$L$2:$L$1001,$AR78)="","",INDEX(Raw_D3!$L$2:$L$1001,$AR78)),"")))</f>
        <v>0.69</v>
      </c>
      <c r="M78" s="17">
        <f>IF($A78="","",IF($AQ78&lt;&gt;"",IF(INDEX(Raw_D2!$E$2:$E$1001,$AQ78)="","",INDEX(Raw_D2!$E$2:$E$1001,$AQ78)),IF($AR78&lt;&gt;"",IF(INDEX(Raw_D3!$M$2:$M$1001,$AR78)="","",INDEX(Raw_D3!$M$2:$M$1001,$AR78)),"")))</f>
        <v>0.1642</v>
      </c>
      <c r="N78" s="5">
        <f>IF($A78="","",IF($AQ78&lt;&gt;"",IF(INDEX(Raw_D2!$F$2:$F$1001,$AQ78)="","",INDEX(Raw_D2!$F$2:$F$1001,$AQ78)),IF($AR78&lt;&gt;"",IF(INDEX(Raw_D3!$N$2:$N$1001,$AR78)="","",INDEX(Raw_D3!$N$2:$N$1001,$AR78)),"")))</f>
        <v>2</v>
      </c>
      <c r="O78" s="5">
        <f>IF($A78="","",IF($AQ78&lt;&gt;"",IF(INDEX(Raw_D2!$G$2:$G$1001,$AQ78)="","",INDEX(Raw_D2!$G$2:$G$1001,$AQ78)),IF($AR78&lt;&gt;"",IF(INDEX(Raw_D3!$O$2:$O$1001,$AR78)="","",INDEX(Raw_D3!$O$2:$O$1001,$AR78)),"")))</f>
        <v>177</v>
      </c>
      <c r="P78" s="5">
        <f>IF($A78="","",IF($AQ78&lt;&gt;"",IF(INDEX(Raw_D2!$H$2:$H$1001,$AQ78)="","",INDEX(Raw_D2!$H$2:$H$1001,$AQ78)),IF($AR78&lt;&gt;"",IF(INDEX(Raw_D3!$P$2:$P$1001,$AR78)="","",INDEX(Raw_D3!$P$2:$P$1001,$AR78)),"")))</f>
        <v>179</v>
      </c>
      <c r="Q78" s="5" t="str">
        <f>IF($A78="","",IF(AND($AP78&lt;&gt;"",$AQ78&lt;&gt;""),"D1+D2",IF($AR78&lt;&gt;"","D3","Incomplete")))</f>
        <v>D1+D2</v>
      </c>
      <c r="R78" s="17">
        <f>IF($A78="","",IF($K78="",IF($J78="","",ROUND(Lookups!$K$5+Lookups!$K$4*$J78,4)),$K78))</f>
        <v>0.1515</v>
      </c>
      <c r="S78" s="5" t="str">
        <f>IF($A78="","",IF($K78="","Imputed","Original"))</f>
        <v>Original</v>
      </c>
      <c r="T78" s="5" t="str">
        <f>IF($A78="","",IF($P78="","Missing",IF($P78=$N78+$O78,"OK","Mismatch")))</f>
        <v>OK</v>
      </c>
      <c r="U78" s="5" t="str">
        <f>IF($A78="","",IF(COUNTIF($A$2:$A78,$A78)&gt;1,"Duplicate","Unique"))</f>
        <v>Unique</v>
      </c>
      <c r="V78" s="5">
        <f>IF($A78="","",IF(AND($U78="Unique",ISNUMBER($P78)),1,0))</f>
        <v>1</v>
      </c>
      <c r="W78" s="5" t="str">
        <f>IF($A78="","",IF(OR($H78=0,$H78=6),"Weekend","Weekday"))</f>
        <v>Weekday</v>
      </c>
      <c r="X78" s="5" t="str">
        <f>IF($A78="","",TEXT($B78,"ddd"))</f>
        <v>Tue</v>
      </c>
      <c r="Y78" s="5" t="str">
        <f>IF($A78="","",TEXT($B78,"mmm"))</f>
        <v>Jan</v>
      </c>
      <c r="Z78" s="5" t="str">
        <f>IF($A78="","",IFERROR(VLOOKUP($C78,Lookups!$D$4:$E$7,2,FALSE),"Unknown"))</f>
        <v>Winter</v>
      </c>
      <c r="AA78" s="5" t="str">
        <f>IF($A78="","",IFERROR(VLOOKUP($I78,Lookups!$A$4:$B$7,2,FALSE),"Unknown"))</f>
        <v>Clear</v>
      </c>
      <c r="AB78" s="5" t="str">
        <f>IF($A78="","",TEXT($F78,"00")&amp;":00")</f>
        <v>08:00</v>
      </c>
      <c r="AC78" s="5" t="str">
        <f>IF($A78="","",VLOOKUP($F78,Lookups!$G$4:$H$8,2,TRUE))</f>
        <v>Morning Peak (06-09)</v>
      </c>
      <c r="AD78" s="18">
        <f>IF($A78="","",IF($J78="","",ROUND($J78*41,1)))</f>
        <v>5.7</v>
      </c>
      <c r="AE78" s="18">
        <f>IF($A78="","",IF($R78="","",ROUND($R78*50,1)))</f>
        <v>7.6</v>
      </c>
      <c r="AF78" s="5">
        <f>IF($A78="","",IF($L78="","",ROUND($L78*100,0)))</f>
        <v>69</v>
      </c>
      <c r="AG78" s="18">
        <f>IF($A78="","",IF($M78="","",ROUND($M78*67,1)))</f>
        <v>11</v>
      </c>
      <c r="AH78" s="19">
        <f>IF($A78="","",IF($P78="","",IF($P78=0,0,$O78/$P78)))</f>
        <v>0.988826815642458</v>
      </c>
      <c r="AI78" s="5" t="str">
        <f>IF($A78="","",IF($P78="","",IF($P78&gt;=Lookups!$K$7,"High",IF($P78&lt;=Lookups!$K$8,"Low","Medium"))))</f>
        <v>High</v>
      </c>
      <c r="AJ78" s="5" t="str">
        <f>IF($A78="","",IF($AD78="","",IF($AD78&lt;5,"Under 5 C",IF($AD78&lt;10,"5-10 C",IF($AD78&lt;15,"10-15 C","15 C and above")))))</f>
        <v>5-10 C</v>
      </c>
      <c r="AK78" s="5">
        <f>IF($A78="","",IF($P78="","",$P78^2))</f>
        <v>32041</v>
      </c>
      <c r="AL78" s="18">
        <f>IF($V78&lt;&gt;1,"",AVERAGEIFS(Clean_Data!$P$2:$P$1001,Clean_Data!$F$2:$F$1001,$F78,Clean_Data!$W$2:$W$1001,$W78,Clean_Data!$V$2:$V$1001,1))</f>
        <v>183.535714285714</v>
      </c>
      <c r="AM78" s="16">
        <f>IF($V78&lt;&gt;1,"",IFERROR(($P78-$AL78)/SQRT(MAX(0,(SUMIFS(Clean_Data!$AK$2:$AK$1001,Clean_Data!$F$2:$F$1001,$F78,Clean_Data!$W$2:$W$1001,$W78,Clean_Data!$V$2:$V$1001,1)-COUNTIFS(Clean_Data!$F$2:$F$1001,$F78,Clean_Data!$W$2:$W$1001,$W78,Clean_Data!$V$2:$V$1001,1)*$AL78^2)/(COUNTIFS(Clean_Data!$F$2:$F$1001,$F78,Clean_Data!$W$2:$W$1001,$W78,Clean_Data!$V$2:$V$1001,1)-1))),""))</f>
        <v>-0.0930593102646819</v>
      </c>
      <c r="AN78" s="5" t="str">
        <f>IF($AM78="","",IF($AM78&gt;=Lookups!$K$6,"High spike",IF($AM78&lt;=-Lookups!$K$6,"Unusual low","Normal")))</f>
        <v>Normal</v>
      </c>
      <c r="AO78" s="20">
        <f>IF($V78&lt;&gt;1,"",$P78+ROW()/100000)</f>
        <v>179.00078</v>
      </c>
      <c r="AP78" s="5">
        <f>IF($A78="","",IFERROR(MATCH($A78,Raw_D1!$A$2:$A$1001,0),""))</f>
        <v>77</v>
      </c>
      <c r="AQ78" s="5">
        <f>IF($A78="","",IFERROR(MATCH($A78,Raw_D2!$B$2:$B$1001,0),""))</f>
        <v>77</v>
      </c>
      <c r="AR78" s="5">
        <f>IF($A78="","",IFERROR(MATCH($A78,Raw_D3!$A$2:$A$1001,0),""))</f>
        <v/>
      </c>
    </row>
    <row r="79" spans="1:44" x14ac:dyDescent="0.25">
      <c r="A79" s="5">
        <v>78</v>
      </c>
      <c r="B79" s="11">
        <f>IF($A79="","",IF($AP79&lt;&gt;"",INDEX(Raw_D1!$B$2:$B$1001,$AP79),IF($AR79&lt;&gt;"",INDEX(Raw_D3!$B$2:$B$1001,$AR79),"")))</f>
        <v>40547.0</v>
      </c>
      <c r="C79" s="5">
        <f>IF($A79="","",IF($AP79&lt;&gt;"",INDEX(Raw_D1!$C$2:$C$1001,$AP79),IF($AR79&lt;&gt;"",INDEX(Raw_D3!$C$2:$C$1001,$AR79),"")))</f>
        <v>1</v>
      </c>
      <c r="D79" s="5">
        <f>IF($A79="","",IF($AP79&lt;&gt;"",INDEX(Raw_D1!$D$2:$D$1001,$AP79),IF($AR79&lt;&gt;"",INDEX(Raw_D3!$D$2:$D$1001,$AR79),"")))</f>
        <v>0</v>
      </c>
      <c r="E79" s="5">
        <f>IF($A79="","",IF($AP79&lt;&gt;"",INDEX(Raw_D1!$E$2:$E$1001,$AP79),IF($AR79&lt;&gt;"",INDEX(Raw_D3!$E$2:$E$1001,$AR79),"")))</f>
        <v>1</v>
      </c>
      <c r="F79" s="5">
        <f>IF($A79="","",IF($AP79&lt;&gt;"",INDEX(Raw_D1!$F$2:$F$1001,$AP79),IF($AR79&lt;&gt;"",INDEX(Raw_D3!$F$2:$F$1001,$AR79),"")))</f>
        <v>9</v>
      </c>
      <c r="G79" s="5">
        <f>IF($A79="","",IF($AP79&lt;&gt;"",IF(INDEX(Raw_D1!$G$2:$G$1001,$AP79),1,0),IF($AR79&lt;&gt;"",IF(INDEX(Raw_D3!$G$2:$G$1001,$AR79),1,0),"")))</f>
        <v>0</v>
      </c>
      <c r="H79" s="5">
        <f>IF($A79="","",IF($AP79&lt;&gt;"",INDEX(Raw_D1!$H$2:$H$1001,$AP79),IF($AR79&lt;&gt;"",INDEX(Raw_D3!$H$2:$H$1001,$AR79),"")))</f>
        <v>2</v>
      </c>
      <c r="I79" s="5">
        <f>IF($A79="","",IF($AP79&lt;&gt;"",INDEX(Raw_D1!$I$2:$I$1001,$AP79),IF($AR79&lt;&gt;"",INDEX(Raw_D3!$I$2:$I$1001,$AR79),"")))</f>
        <v>1</v>
      </c>
      <c r="J79" s="16">
        <f>IF($A79="","",IF($AP79&lt;&gt;"",INDEX(Raw_D1!$J$2:$J$1001,$AP79),IF($AR79&lt;&gt;"",INDEX(Raw_D3!$J$2:$J$1001,$AR79),"")))</f>
        <v>0.16</v>
      </c>
      <c r="K79" s="17">
        <f>IF($A79="","",IF($AQ79&lt;&gt;"",IF(INDEX(Raw_D2!$C$2:$C$1001,$AQ79)="","",INDEX(Raw_D2!$C$2:$C$1001,$AQ79)),IF($AR79&lt;&gt;"",IF(INDEX(Raw_D3!$K$2:$K$1001,$AR79)="","",INDEX(Raw_D3!$K$2:$K$1001,$AR79)),"")))</f>
        <v>0.1515</v>
      </c>
      <c r="L79" s="16">
        <f>IF($A79="","",IF($AQ79&lt;&gt;"",IF(INDEX(Raw_D2!$D$2:$D$1001,$AQ79)="","",INDEX(Raw_D2!$D$2:$D$1001,$AQ79)),IF($AR79&lt;&gt;"",IF(INDEX(Raw_D3!$L$2:$L$1001,$AR79)="","",INDEX(Raw_D3!$L$2:$L$1001,$AR79)),"")))</f>
        <v>0.64</v>
      </c>
      <c r="M79" s="17">
        <f>IF($A79="","",IF($AQ79&lt;&gt;"",IF(INDEX(Raw_D2!$E$2:$E$1001,$AQ79)="","",INDEX(Raw_D2!$E$2:$E$1001,$AQ79)),IF($AR79&lt;&gt;"",IF(INDEX(Raw_D3!$M$2:$M$1001,$AR79)="","",INDEX(Raw_D3!$M$2:$M$1001,$AR79)),"")))</f>
        <v>0.2239</v>
      </c>
      <c r="N79" s="5">
        <f>IF($A79="","",IF($AQ79&lt;&gt;"",IF(INDEX(Raw_D2!$F$2:$F$1001,$AQ79)="","",INDEX(Raw_D2!$F$2:$F$1001,$AQ79)),IF($AR79&lt;&gt;"",IF(INDEX(Raw_D3!$N$2:$N$1001,$AR79)="","",INDEX(Raw_D3!$N$2:$N$1001,$AR79)),"")))</f>
        <v>2</v>
      </c>
      <c r="O79" s="5">
        <f>IF($A79="","",IF($AQ79&lt;&gt;"",IF(INDEX(Raw_D2!$G$2:$G$1001,$AQ79)="","",INDEX(Raw_D2!$G$2:$G$1001,$AQ79)),IF($AR79&lt;&gt;"",IF(INDEX(Raw_D3!$O$2:$O$1001,$AR79)="","",INDEX(Raw_D3!$O$2:$O$1001,$AR79)),"")))</f>
        <v>98</v>
      </c>
      <c r="P79" s="5">
        <f>IF($A79="","",IF($AQ79&lt;&gt;"",IF(INDEX(Raw_D2!$H$2:$H$1001,$AQ79)="","",INDEX(Raw_D2!$H$2:$H$1001,$AQ79)),IF($AR79&lt;&gt;"",IF(INDEX(Raw_D3!$P$2:$P$1001,$AR79)="","",INDEX(Raw_D3!$P$2:$P$1001,$AR79)),"")))</f>
        <v>100</v>
      </c>
      <c r="Q79" s="5" t="str">
        <f>IF($A79="","",IF(AND($AP79&lt;&gt;"",$AQ79&lt;&gt;""),"D1+D2",IF($AR79&lt;&gt;"","D3","Incomplete")))</f>
        <v>D1+D2</v>
      </c>
      <c r="R79" s="17">
        <f>IF($A79="","",IF($K79="",IF($J79="","",ROUND(Lookups!$K$5+Lookups!$K$4*$J79,4)),$K79))</f>
        <v>0.1515</v>
      </c>
      <c r="S79" s="5" t="str">
        <f>IF($A79="","",IF($K79="","Imputed","Original"))</f>
        <v>Original</v>
      </c>
      <c r="T79" s="5" t="str">
        <f>IF($A79="","",IF($P79="","Missing",IF($P79=$N79+$O79,"OK","Mismatch")))</f>
        <v>OK</v>
      </c>
      <c r="U79" s="5" t="str">
        <f>IF($A79="","",IF(COUNTIF($A$2:$A79,$A79)&gt;1,"Duplicate","Unique"))</f>
        <v>Unique</v>
      </c>
      <c r="V79" s="5">
        <f>IF($A79="","",IF(AND($U79="Unique",ISNUMBER($P79)),1,0))</f>
        <v>1</v>
      </c>
      <c r="W79" s="5" t="str">
        <f>IF($A79="","",IF(OR($H79=0,$H79=6),"Weekend","Weekday"))</f>
        <v>Weekday</v>
      </c>
      <c r="X79" s="5" t="str">
        <f>IF($A79="","",TEXT($B79,"ddd"))</f>
        <v>Tue</v>
      </c>
      <c r="Y79" s="5" t="str">
        <f>IF($A79="","",TEXT($B79,"mmm"))</f>
        <v>Jan</v>
      </c>
      <c r="Z79" s="5" t="str">
        <f>IF($A79="","",IFERROR(VLOOKUP($C79,Lookups!$D$4:$E$7,2,FALSE),"Unknown"))</f>
        <v>Winter</v>
      </c>
      <c r="AA79" s="5" t="str">
        <f>IF($A79="","",IFERROR(VLOOKUP($I79,Lookups!$A$4:$B$7,2,FALSE),"Unknown"))</f>
        <v>Clear</v>
      </c>
      <c r="AB79" s="5" t="str">
        <f>IF($A79="","",TEXT($F79,"00")&amp;":00")</f>
        <v>09:00</v>
      </c>
      <c r="AC79" s="5" t="str">
        <f>IF($A79="","",VLOOKUP($F79,Lookups!$G$4:$H$8,2,TRUE))</f>
        <v>Morning Peak (06-09)</v>
      </c>
      <c r="AD79" s="18">
        <f>IF($A79="","",IF($J79="","",ROUND($J79*41,1)))</f>
        <v>6.6</v>
      </c>
      <c r="AE79" s="18">
        <f>IF($A79="","",IF($R79="","",ROUND($R79*50,1)))</f>
        <v>7.6</v>
      </c>
      <c r="AF79" s="5">
        <f>IF($A79="","",IF($L79="","",ROUND($L79*100,0)))</f>
        <v>64</v>
      </c>
      <c r="AG79" s="18">
        <f>IF($A79="","",IF($M79="","",ROUND($M79*67,1)))</f>
        <v>15</v>
      </c>
      <c r="AH79" s="19">
        <f>IF($A79="","",IF($P79="","",IF($P79=0,0,$O79/$P79)))</f>
        <v>0.98</v>
      </c>
      <c r="AI79" s="5" t="str">
        <f>IF($A79="","",IF($P79="","",IF($P79&gt;=Lookups!$K$7,"High",IF($P79&lt;=Lookups!$K$8,"Low","Medium"))))</f>
        <v>High</v>
      </c>
      <c r="AJ79" s="5" t="str">
        <f>IF($A79="","",IF($AD79="","",IF($AD79&lt;5,"Under 5 C",IF($AD79&lt;10,"5-10 C",IF($AD79&lt;15,"10-15 C","15 C and above")))))</f>
        <v>5-10 C</v>
      </c>
      <c r="AK79" s="5">
        <f>IF($A79="","",IF($P79="","",$P79^2))</f>
        <v>10000</v>
      </c>
      <c r="AL79" s="18">
        <f>IF($V79&lt;&gt;1,"",AVERAGEIFS(Clean_Data!$P$2:$P$1001,Clean_Data!$F$2:$F$1001,$F79,Clean_Data!$W$2:$W$1001,$W79,Clean_Data!$V$2:$V$1001,1))</f>
        <v>115.678571428571</v>
      </c>
      <c r="AM79" s="16">
        <f>IF($V79&lt;&gt;1,"",IFERROR(($P79-$AL79)/SQRT(MAX(0,(SUMIFS(Clean_Data!$AK$2:$AK$1001,Clean_Data!$F$2:$F$1001,$F79,Clean_Data!$W$2:$W$1001,$W79,Clean_Data!$V$2:$V$1001,1)-COUNTIFS(Clean_Data!$F$2:$F$1001,$F79,Clean_Data!$W$2:$W$1001,$W79,Clean_Data!$V$2:$V$1001,1)*$AL79^2)/(COUNTIFS(Clean_Data!$F$2:$F$1001,$F79,Clean_Data!$W$2:$W$1001,$W79,Clean_Data!$V$2:$V$1001,1)-1))),""))</f>
        <v>-0.608207327503255</v>
      </c>
      <c r="AN79" s="5" t="str">
        <f>IF($AM79="","",IF($AM79&gt;=Lookups!$K$6,"High spike",IF($AM79&lt;=-Lookups!$K$6,"Unusual low","Normal")))</f>
        <v>Normal</v>
      </c>
      <c r="AO79" s="20">
        <f>IF($V79&lt;&gt;1,"",$P79+ROW()/100000)</f>
        <v>100.00079</v>
      </c>
      <c r="AP79" s="5">
        <f>IF($A79="","",IFERROR(MATCH($A79,Raw_D1!$A$2:$A$1001,0),""))</f>
        <v>78</v>
      </c>
      <c r="AQ79" s="5">
        <f>IF($A79="","",IFERROR(MATCH($A79,Raw_D2!$B$2:$B$1001,0),""))</f>
        <v>78</v>
      </c>
      <c r="AR79" s="5">
        <f>IF($A79="","",IFERROR(MATCH($A79,Raw_D3!$A$2:$A$1001,0),""))</f>
        <v/>
      </c>
    </row>
    <row r="80" spans="1:44" x14ac:dyDescent="0.25">
      <c r="A80" s="5">
        <v>79</v>
      </c>
      <c r="B80" s="11">
        <f>IF($A80="","",IF($AP80&lt;&gt;"",INDEX(Raw_D1!$B$2:$B$1001,$AP80),IF($AR80&lt;&gt;"",INDEX(Raw_D3!$B$2:$B$1001,$AR80),"")))</f>
        <v>40547.0</v>
      </c>
      <c r="C80" s="5">
        <f>IF($A80="","",IF($AP80&lt;&gt;"",INDEX(Raw_D1!$C$2:$C$1001,$AP80),IF($AR80&lt;&gt;"",INDEX(Raw_D3!$C$2:$C$1001,$AR80),"")))</f>
        <v>1</v>
      </c>
      <c r="D80" s="5">
        <f>IF($A80="","",IF($AP80&lt;&gt;"",INDEX(Raw_D1!$D$2:$D$1001,$AP80),IF($AR80&lt;&gt;"",INDEX(Raw_D3!$D$2:$D$1001,$AR80),"")))</f>
        <v>0</v>
      </c>
      <c r="E80" s="5">
        <f>IF($A80="","",IF($AP80&lt;&gt;"",INDEX(Raw_D1!$E$2:$E$1001,$AP80),IF($AR80&lt;&gt;"",INDEX(Raw_D3!$E$2:$E$1001,$AR80),"")))</f>
        <v>1</v>
      </c>
      <c r="F80" s="5">
        <f>IF($A80="","",IF($AP80&lt;&gt;"",INDEX(Raw_D1!$F$2:$F$1001,$AP80),IF($AR80&lt;&gt;"",INDEX(Raw_D3!$F$2:$F$1001,$AR80),"")))</f>
        <v>10</v>
      </c>
      <c r="G80" s="5">
        <f>IF($A80="","",IF($AP80&lt;&gt;"",IF(INDEX(Raw_D1!$G$2:$G$1001,$AP80),1,0),IF($AR80&lt;&gt;"",IF(INDEX(Raw_D3!$G$2:$G$1001,$AR80),1,0),"")))</f>
        <v>0</v>
      </c>
      <c r="H80" s="5">
        <f>IF($A80="","",IF($AP80&lt;&gt;"",INDEX(Raw_D1!$H$2:$H$1001,$AP80),IF($AR80&lt;&gt;"",INDEX(Raw_D3!$H$2:$H$1001,$AR80),"")))</f>
        <v>2</v>
      </c>
      <c r="I80" s="5">
        <f>IF($A80="","",IF($AP80&lt;&gt;"",INDEX(Raw_D1!$I$2:$I$1001,$AP80),IF($AR80&lt;&gt;"",INDEX(Raw_D3!$I$2:$I$1001,$AR80),"")))</f>
        <v>2</v>
      </c>
      <c r="J80" s="16">
        <f>IF($A80="","",IF($AP80&lt;&gt;"",INDEX(Raw_D1!$J$2:$J$1001,$AP80),IF($AR80&lt;&gt;"",INDEX(Raw_D3!$J$2:$J$1001,$AR80),"")))</f>
        <v>0.16</v>
      </c>
      <c r="K80" s="17">
        <f>IF($A80="","",IF($AQ80&lt;&gt;"",IF(INDEX(Raw_D2!$C$2:$C$1001,$AQ80)="","",INDEX(Raw_D2!$C$2:$C$1001,$AQ80)),IF($AR80&lt;&gt;"",IF(INDEX(Raw_D3!$K$2:$K$1001,$AR80)="","",INDEX(Raw_D3!$K$2:$K$1001,$AR80)),"")))</f>
        <v>0.1364</v>
      </c>
      <c r="L80" s="16">
        <f>IF($A80="","",IF($AQ80&lt;&gt;"",IF(INDEX(Raw_D2!$D$2:$D$1001,$AQ80)="","",INDEX(Raw_D2!$D$2:$D$1001,$AQ80)),IF($AR80&lt;&gt;"",IF(INDEX(Raw_D3!$L$2:$L$1001,$AR80)="","",INDEX(Raw_D3!$L$2:$L$1001,$AR80)),"")))</f>
        <v>0.69</v>
      </c>
      <c r="M80" s="17">
        <f>IF($A80="","",IF($AQ80&lt;&gt;"",IF(INDEX(Raw_D2!$E$2:$E$1001,$AQ80)="","",INDEX(Raw_D2!$E$2:$E$1001,$AQ80)),IF($AR80&lt;&gt;"",IF(INDEX(Raw_D3!$M$2:$M$1001,$AR80)="","",INDEX(Raw_D3!$M$2:$M$1001,$AR80)),"")))</f>
        <v>0.3284</v>
      </c>
      <c r="N80" s="5">
        <f>IF($A80="","",IF($AQ80&lt;&gt;"",IF(INDEX(Raw_D2!$F$2:$F$1001,$AQ80)="","",INDEX(Raw_D2!$F$2:$F$1001,$AQ80)),IF($AR80&lt;&gt;"",IF(INDEX(Raw_D3!$N$2:$N$1001,$AR80)="","",INDEX(Raw_D3!$N$2:$N$1001,$AR80)),"")))</f>
        <v>5</v>
      </c>
      <c r="O80" s="5">
        <f>IF($A80="","",IF($AQ80&lt;&gt;"",IF(INDEX(Raw_D2!$G$2:$G$1001,$AQ80)="","",INDEX(Raw_D2!$G$2:$G$1001,$AQ80)),IF($AR80&lt;&gt;"",IF(INDEX(Raw_D3!$O$2:$O$1001,$AR80)="","",INDEX(Raw_D3!$O$2:$O$1001,$AR80)),"")))</f>
        <v>37</v>
      </c>
      <c r="P80" s="5">
        <f>IF($A80="","",IF($AQ80&lt;&gt;"",IF(INDEX(Raw_D2!$H$2:$H$1001,$AQ80)="","",INDEX(Raw_D2!$H$2:$H$1001,$AQ80)),IF($AR80&lt;&gt;"",IF(INDEX(Raw_D3!$P$2:$P$1001,$AR80)="","",INDEX(Raw_D3!$P$2:$P$1001,$AR80)),"")))</f>
        <v>42</v>
      </c>
      <c r="Q80" s="5" t="str">
        <f>IF($A80="","",IF(AND($AP80&lt;&gt;"",$AQ80&lt;&gt;""),"D1+D2",IF($AR80&lt;&gt;"","D3","Incomplete")))</f>
        <v>D1+D2</v>
      </c>
      <c r="R80" s="17">
        <f>IF($A80="","",IF($K80="",IF($J80="","",ROUND(Lookups!$K$5+Lookups!$K$4*$J80,4)),$K80))</f>
        <v>0.1364</v>
      </c>
      <c r="S80" s="5" t="str">
        <f>IF($A80="","",IF($K80="","Imputed","Original"))</f>
        <v>Original</v>
      </c>
      <c r="T80" s="5" t="str">
        <f>IF($A80="","",IF($P80="","Missing",IF($P80=$N80+$O80,"OK","Mismatch")))</f>
        <v>OK</v>
      </c>
      <c r="U80" s="5" t="str">
        <f>IF($A80="","",IF(COUNTIF($A$2:$A80,$A80)&gt;1,"Duplicate","Unique"))</f>
        <v>Unique</v>
      </c>
      <c r="V80" s="5">
        <f>IF($A80="","",IF(AND($U80="Unique",ISNUMBER($P80)),1,0))</f>
        <v>1</v>
      </c>
      <c r="W80" s="5" t="str">
        <f>IF($A80="","",IF(OR($H80=0,$H80=6),"Weekend","Weekday"))</f>
        <v>Weekday</v>
      </c>
      <c r="X80" s="5" t="str">
        <f>IF($A80="","",TEXT($B80,"ddd"))</f>
        <v>Tue</v>
      </c>
      <c r="Y80" s="5" t="str">
        <f>IF($A80="","",TEXT($B80,"mmm"))</f>
        <v>Jan</v>
      </c>
      <c r="Z80" s="5" t="str">
        <f>IF($A80="","",IFERROR(VLOOKUP($C80,Lookups!$D$4:$E$7,2,FALSE),"Unknown"))</f>
        <v>Winter</v>
      </c>
      <c r="AA80" s="5" t="str">
        <f>IF($A80="","",IFERROR(VLOOKUP($I80,Lookups!$A$4:$B$7,2,FALSE),"Unknown"))</f>
        <v>Mist/Cloudy</v>
      </c>
      <c r="AB80" s="5" t="str">
        <f>IF($A80="","",TEXT($F80,"00")&amp;":00")</f>
        <v>10:00</v>
      </c>
      <c r="AC80" s="5" t="str">
        <f>IF($A80="","",VLOOKUP($F80,Lookups!$G$4:$H$8,2,TRUE))</f>
        <v>Midday (10-15)</v>
      </c>
      <c r="AD80" s="18">
        <f>IF($A80="","",IF($J80="","",ROUND($J80*41,1)))</f>
        <v>6.6</v>
      </c>
      <c r="AE80" s="18">
        <f>IF($A80="","",IF($R80="","",ROUND($R80*50,1)))</f>
        <v>6.8</v>
      </c>
      <c r="AF80" s="5">
        <f>IF($A80="","",IF($L80="","",ROUND($L80*100,0)))</f>
        <v>69</v>
      </c>
      <c r="AG80" s="18">
        <f>IF($A80="","",IF($M80="","",ROUND($M80*67,1)))</f>
        <v>22</v>
      </c>
      <c r="AH80" s="19">
        <f>IF($A80="","",IF($P80="","",IF($P80=0,0,$O80/$P80)))</f>
        <v>0.880952380952381</v>
      </c>
      <c r="AI80" s="5" t="str">
        <f>IF($A80="","",IF($P80="","",IF($P80&gt;=Lookups!$K$7,"High",IF($P80&lt;=Lookups!$K$8,"Low","Medium"))))</f>
        <v>Medium</v>
      </c>
      <c r="AJ80" s="5" t="str">
        <f>IF($A80="","",IF($AD80="","",IF($AD80&lt;5,"Under 5 C",IF($AD80&lt;10,"5-10 C",IF($AD80&lt;15,"10-15 C","15 C and above")))))</f>
        <v>5-10 C</v>
      </c>
      <c r="AK80" s="5">
        <f>IF($A80="","",IF($P80="","",$P80^2))</f>
        <v>1764</v>
      </c>
      <c r="AL80" s="18">
        <f>IF($V80&lt;&gt;1,"",AVERAGEIFS(Clean_Data!$P$2:$P$1001,Clean_Data!$F$2:$F$1001,$F80,Clean_Data!$W$2:$W$1001,$W80,Clean_Data!$V$2:$V$1001,1))</f>
        <v>49.0714285714286</v>
      </c>
      <c r="AM80" s="16">
        <f>IF($V80&lt;&gt;1,"",IFERROR(($P80-$AL80)/SQRT(MAX(0,(SUMIFS(Clean_Data!$AK$2:$AK$1001,Clean_Data!$F$2:$F$1001,$F80,Clean_Data!$W$2:$W$1001,$W80,Clean_Data!$V$2:$V$1001,1)-COUNTIFS(Clean_Data!$F$2:$F$1001,$F80,Clean_Data!$W$2:$W$1001,$W80,Clean_Data!$V$2:$V$1001,1)*$AL80^2)/(COUNTIFS(Clean_Data!$F$2:$F$1001,$F80,Clean_Data!$W$2:$W$1001,$W80,Clean_Data!$V$2:$V$1001,1)-1))),""))</f>
        <v>-0.700702996548192</v>
      </c>
      <c r="AN80" s="5" t="str">
        <f>IF($AM80="","",IF($AM80&gt;=Lookups!$K$6,"High spike",IF($AM80&lt;=-Lookups!$K$6,"Unusual low","Normal")))</f>
        <v>Normal</v>
      </c>
      <c r="AO80" s="20">
        <f>IF($V80&lt;&gt;1,"",$P80+ROW()/100000)</f>
        <v>42.0008</v>
      </c>
      <c r="AP80" s="5">
        <f>IF($A80="","",IFERROR(MATCH($A80,Raw_D1!$A$2:$A$1001,0),""))</f>
        <v>79</v>
      </c>
      <c r="AQ80" s="5">
        <f>IF($A80="","",IFERROR(MATCH($A80,Raw_D2!$B$2:$B$1001,0),""))</f>
        <v>79</v>
      </c>
      <c r="AR80" s="5">
        <f>IF($A80="","",IFERROR(MATCH($A80,Raw_D3!$A$2:$A$1001,0),""))</f>
        <v/>
      </c>
    </row>
    <row r="81" spans="1:44" x14ac:dyDescent="0.25">
      <c r="A81" s="5">
        <v>80</v>
      </c>
      <c r="B81" s="11">
        <f>IF($A81="","",IF($AP81&lt;&gt;"",INDEX(Raw_D1!$B$2:$B$1001,$AP81),IF($AR81&lt;&gt;"",INDEX(Raw_D3!$B$2:$B$1001,$AR81),"")))</f>
        <v>40547.0</v>
      </c>
      <c r="C81" s="5">
        <f>IF($A81="","",IF($AP81&lt;&gt;"",INDEX(Raw_D1!$C$2:$C$1001,$AP81),IF($AR81&lt;&gt;"",INDEX(Raw_D3!$C$2:$C$1001,$AR81),"")))</f>
        <v>1</v>
      </c>
      <c r="D81" s="5">
        <f>IF($A81="","",IF($AP81&lt;&gt;"",INDEX(Raw_D1!$D$2:$D$1001,$AP81),IF($AR81&lt;&gt;"",INDEX(Raw_D3!$D$2:$D$1001,$AR81),"")))</f>
        <v>0</v>
      </c>
      <c r="E81" s="5">
        <f>IF($A81="","",IF($AP81&lt;&gt;"",INDEX(Raw_D1!$E$2:$E$1001,$AP81),IF($AR81&lt;&gt;"",INDEX(Raw_D3!$E$2:$E$1001,$AR81),"")))</f>
        <v>1</v>
      </c>
      <c r="F81" s="5">
        <f>IF($A81="","",IF($AP81&lt;&gt;"",INDEX(Raw_D1!$F$2:$F$1001,$AP81),IF($AR81&lt;&gt;"",INDEX(Raw_D3!$F$2:$F$1001,$AR81),"")))</f>
        <v>11</v>
      </c>
      <c r="G81" s="5">
        <f>IF($A81="","",IF($AP81&lt;&gt;"",IF(INDEX(Raw_D1!$G$2:$G$1001,$AP81),1,0),IF($AR81&lt;&gt;"",IF(INDEX(Raw_D3!$G$2:$G$1001,$AR81),1,0),"")))</f>
        <v>0</v>
      </c>
      <c r="H81" s="5">
        <f>IF($A81="","",IF($AP81&lt;&gt;"",INDEX(Raw_D1!$H$2:$H$1001,$AP81),IF($AR81&lt;&gt;"",INDEX(Raw_D3!$H$2:$H$1001,$AR81),"")))</f>
        <v>2</v>
      </c>
      <c r="I81" s="5">
        <f>IF($A81="","",IF($AP81&lt;&gt;"",INDEX(Raw_D1!$I$2:$I$1001,$AP81),IF($AR81&lt;&gt;"",INDEX(Raw_D3!$I$2:$I$1001,$AR81),"")))</f>
        <v>1</v>
      </c>
      <c r="J81" s="16">
        <f>IF($A81="","",IF($AP81&lt;&gt;"",INDEX(Raw_D1!$J$2:$J$1001,$AP81),IF($AR81&lt;&gt;"",INDEX(Raw_D3!$J$2:$J$1001,$AR81),"")))</f>
        <v>0.22</v>
      </c>
      <c r="K81" s="17">
        <f>IF($A81="","",IF($AQ81&lt;&gt;"",IF(INDEX(Raw_D2!$C$2:$C$1001,$AQ81)="","",INDEX(Raw_D2!$C$2:$C$1001,$AQ81)),IF($AR81&lt;&gt;"",IF(INDEX(Raw_D3!$K$2:$K$1001,$AR81)="","",INDEX(Raw_D3!$K$2:$K$1001,$AR81)),"")))</f>
        <v>0.2121</v>
      </c>
      <c r="L81" s="16">
        <f>IF($A81="","",IF($AQ81&lt;&gt;"",IF(INDEX(Raw_D2!$D$2:$D$1001,$AQ81)="","",INDEX(Raw_D2!$D$2:$D$1001,$AQ81)),IF($AR81&lt;&gt;"",IF(INDEX(Raw_D3!$L$2:$L$1001,$AR81)="","",INDEX(Raw_D3!$L$2:$L$1001,$AR81)),"")))</f>
        <v>0.51</v>
      </c>
      <c r="M81" s="17">
        <f>IF($A81="","",IF($AQ81&lt;&gt;"",IF(INDEX(Raw_D2!$E$2:$E$1001,$AQ81)="","",INDEX(Raw_D2!$E$2:$E$1001,$AQ81)),IF($AR81&lt;&gt;"",IF(INDEX(Raw_D3!$M$2:$M$1001,$AR81)="","",INDEX(Raw_D3!$M$2:$M$1001,$AR81)),"")))</f>
        <v>0.2985</v>
      </c>
      <c r="N81" s="5">
        <f>IF($A81="","",IF($AQ81&lt;&gt;"",IF(INDEX(Raw_D2!$F$2:$F$1001,$AQ81)="","",INDEX(Raw_D2!$F$2:$F$1001,$AQ81)),IF($AR81&lt;&gt;"",IF(INDEX(Raw_D3!$N$2:$N$1001,$AR81)="","",INDEX(Raw_D3!$N$2:$N$1001,$AR81)),"")))</f>
        <v>7</v>
      </c>
      <c r="O81" s="5">
        <f>IF($A81="","",IF($AQ81&lt;&gt;"",IF(INDEX(Raw_D2!$G$2:$G$1001,$AQ81)="","",INDEX(Raw_D2!$G$2:$G$1001,$AQ81)),IF($AR81&lt;&gt;"",IF(INDEX(Raw_D3!$O$2:$O$1001,$AR81)="","",INDEX(Raw_D3!$O$2:$O$1001,$AR81)),"")))</f>
        <v>50</v>
      </c>
      <c r="P81" s="5">
        <f>IF($A81="","",IF($AQ81&lt;&gt;"",IF(INDEX(Raw_D2!$H$2:$H$1001,$AQ81)="","",INDEX(Raw_D2!$H$2:$H$1001,$AQ81)),IF($AR81&lt;&gt;"",IF(INDEX(Raw_D3!$P$2:$P$1001,$AR81)="","",INDEX(Raw_D3!$P$2:$P$1001,$AR81)),"")))</f>
        <v>57</v>
      </c>
      <c r="Q81" s="5" t="str">
        <f>IF($A81="","",IF(AND($AP81&lt;&gt;"",$AQ81&lt;&gt;""),"D1+D2",IF($AR81&lt;&gt;"","D3","Incomplete")))</f>
        <v>D1+D2</v>
      </c>
      <c r="R81" s="17">
        <f>IF($A81="","",IF($K81="",IF($J81="","",ROUND(Lookups!$K$5+Lookups!$K$4*$J81,4)),$K81))</f>
        <v>0.2121</v>
      </c>
      <c r="S81" s="5" t="str">
        <f>IF($A81="","",IF($K81="","Imputed","Original"))</f>
        <v>Original</v>
      </c>
      <c r="T81" s="5" t="str">
        <f>IF($A81="","",IF($P81="","Missing",IF($P81=$N81+$O81,"OK","Mismatch")))</f>
        <v>OK</v>
      </c>
      <c r="U81" s="5" t="str">
        <f>IF($A81="","",IF(COUNTIF($A$2:$A81,$A81)&gt;1,"Duplicate","Unique"))</f>
        <v>Unique</v>
      </c>
      <c r="V81" s="5">
        <f>IF($A81="","",IF(AND($U81="Unique",ISNUMBER($P81)),1,0))</f>
        <v>1</v>
      </c>
      <c r="W81" s="5" t="str">
        <f>IF($A81="","",IF(OR($H81=0,$H81=6),"Weekend","Weekday"))</f>
        <v>Weekday</v>
      </c>
      <c r="X81" s="5" t="str">
        <f>IF($A81="","",TEXT($B81,"ddd"))</f>
        <v>Tue</v>
      </c>
      <c r="Y81" s="5" t="str">
        <f>IF($A81="","",TEXT($B81,"mmm"))</f>
        <v>Jan</v>
      </c>
      <c r="Z81" s="5" t="str">
        <f>IF($A81="","",IFERROR(VLOOKUP($C81,Lookups!$D$4:$E$7,2,FALSE),"Unknown"))</f>
        <v>Winter</v>
      </c>
      <c r="AA81" s="5" t="str">
        <f>IF($A81="","",IFERROR(VLOOKUP($I81,Lookups!$A$4:$B$7,2,FALSE),"Unknown"))</f>
        <v>Clear</v>
      </c>
      <c r="AB81" s="5" t="str">
        <f>IF($A81="","",TEXT($F81,"00")&amp;":00")</f>
        <v>11:00</v>
      </c>
      <c r="AC81" s="5" t="str">
        <f>IF($A81="","",VLOOKUP($F81,Lookups!$G$4:$H$8,2,TRUE))</f>
        <v>Midday (10-15)</v>
      </c>
      <c r="AD81" s="18">
        <f>IF($A81="","",IF($J81="","",ROUND($J81*41,1)))</f>
        <v>9</v>
      </c>
      <c r="AE81" s="18">
        <f>IF($A81="","",IF($R81="","",ROUND($R81*50,1)))</f>
        <v>10.6</v>
      </c>
      <c r="AF81" s="5">
        <f>IF($A81="","",IF($L81="","",ROUND($L81*100,0)))</f>
        <v>51</v>
      </c>
      <c r="AG81" s="18">
        <f>IF($A81="","",IF($M81="","",ROUND($M81*67,1)))</f>
        <v>20</v>
      </c>
      <c r="AH81" s="19">
        <f>IF($A81="","",IF($P81="","",IF($P81=0,0,$O81/$P81)))</f>
        <v>0.87719298245614</v>
      </c>
      <c r="AI81" s="5" t="str">
        <f>IF($A81="","",IF($P81="","",IF($P81&gt;=Lookups!$K$7,"High",IF($P81&lt;=Lookups!$K$8,"Low","Medium"))))</f>
        <v>Medium</v>
      </c>
      <c r="AJ81" s="5" t="str">
        <f>IF($A81="","",IF($AD81="","",IF($AD81&lt;5,"Under 5 C",IF($AD81&lt;10,"5-10 C",IF($AD81&lt;15,"10-15 C","15 C and above")))))</f>
        <v>5-10 C</v>
      </c>
      <c r="AK81" s="5">
        <f>IF($A81="","",IF($P81="","",$P81^2))</f>
        <v>3249</v>
      </c>
      <c r="AL81" s="18">
        <f>IF($V81&lt;&gt;1,"",AVERAGEIFS(Clean_Data!$P$2:$P$1001,Clean_Data!$F$2:$F$1001,$F81,Clean_Data!$W$2:$W$1001,$W81,Clean_Data!$V$2:$V$1001,1))</f>
        <v>50.6071428571429</v>
      </c>
      <c r="AM81" s="16">
        <f>IF($V81&lt;&gt;1,"",IFERROR(($P81-$AL81)/SQRT(MAX(0,(SUMIFS(Clean_Data!$AK$2:$AK$1001,Clean_Data!$F$2:$F$1001,$F81,Clean_Data!$W$2:$W$1001,$W81,Clean_Data!$V$2:$V$1001,1)-COUNTIFS(Clean_Data!$F$2:$F$1001,$F81,Clean_Data!$W$2:$W$1001,$W81,Clean_Data!$V$2:$V$1001,1)*$AL81^2)/(COUNTIFS(Clean_Data!$F$2:$F$1001,$F81,Clean_Data!$W$2:$W$1001,$W81,Clean_Data!$V$2:$V$1001,1)-1))),""))</f>
        <v>0.570639320059061</v>
      </c>
      <c r="AN81" s="5" t="str">
        <f>IF($AM81="","",IF($AM81&gt;=Lookups!$K$6,"High spike",IF($AM81&lt;=-Lookups!$K$6,"Unusual low","Normal")))</f>
        <v>Normal</v>
      </c>
      <c r="AO81" s="20">
        <f>IF($V81&lt;&gt;1,"",$P81+ROW()/100000)</f>
        <v>57.00081</v>
      </c>
      <c r="AP81" s="5">
        <f>IF($A81="","",IFERROR(MATCH($A81,Raw_D1!$A$2:$A$1001,0),""))</f>
        <v>80</v>
      </c>
      <c r="AQ81" s="5">
        <f>IF($A81="","",IFERROR(MATCH($A81,Raw_D2!$B$2:$B$1001,0),""))</f>
        <v>80</v>
      </c>
      <c r="AR81" s="5">
        <f>IF($A81="","",IFERROR(MATCH($A81,Raw_D3!$A$2:$A$1001,0),""))</f>
        <v/>
      </c>
    </row>
    <row r="82" spans="1:44" x14ac:dyDescent="0.25">
      <c r="A82" s="5">
        <v>81</v>
      </c>
      <c r="B82" s="11">
        <f>IF($A82="","",IF($AP82&lt;&gt;"",INDEX(Raw_D1!$B$2:$B$1001,$AP82),IF($AR82&lt;&gt;"",INDEX(Raw_D3!$B$2:$B$1001,$AR82),"")))</f>
        <v>40547.0</v>
      </c>
      <c r="C82" s="5">
        <f>IF($A82="","",IF($AP82&lt;&gt;"",INDEX(Raw_D1!$C$2:$C$1001,$AP82),IF($AR82&lt;&gt;"",INDEX(Raw_D3!$C$2:$C$1001,$AR82),"")))</f>
        <v>1</v>
      </c>
      <c r="D82" s="5">
        <f>IF($A82="","",IF($AP82&lt;&gt;"",INDEX(Raw_D1!$D$2:$D$1001,$AP82),IF($AR82&lt;&gt;"",INDEX(Raw_D3!$D$2:$D$1001,$AR82),"")))</f>
        <v>0</v>
      </c>
      <c r="E82" s="5">
        <f>IF($A82="","",IF($AP82&lt;&gt;"",INDEX(Raw_D1!$E$2:$E$1001,$AP82),IF($AR82&lt;&gt;"",INDEX(Raw_D3!$E$2:$E$1001,$AR82),"")))</f>
        <v>1</v>
      </c>
      <c r="F82" s="5">
        <f>IF($A82="","",IF($AP82&lt;&gt;"",INDEX(Raw_D1!$F$2:$F$1001,$AP82),IF($AR82&lt;&gt;"",INDEX(Raw_D3!$F$2:$F$1001,$AR82),"")))</f>
        <v>12</v>
      </c>
      <c r="G82" s="5">
        <f>IF($A82="","",IF($AP82&lt;&gt;"",IF(INDEX(Raw_D1!$G$2:$G$1001,$AP82),1,0),IF($AR82&lt;&gt;"",IF(INDEX(Raw_D3!$G$2:$G$1001,$AR82),1,0),"")))</f>
        <v>0</v>
      </c>
      <c r="H82" s="5">
        <f>IF($A82="","",IF($AP82&lt;&gt;"",INDEX(Raw_D1!$H$2:$H$1001,$AP82),IF($AR82&lt;&gt;"",INDEX(Raw_D3!$H$2:$H$1001,$AR82),"")))</f>
        <v>2</v>
      </c>
      <c r="I82" s="5">
        <f>IF($A82="","",IF($AP82&lt;&gt;"",INDEX(Raw_D1!$I$2:$I$1001,$AP82),IF($AR82&lt;&gt;"",INDEX(Raw_D3!$I$2:$I$1001,$AR82),"")))</f>
        <v>1</v>
      </c>
      <c r="J82" s="16">
        <f>IF($A82="","",IF($AP82&lt;&gt;"",INDEX(Raw_D1!$J$2:$J$1001,$AP82),IF($AR82&lt;&gt;"",INDEX(Raw_D3!$J$2:$J$1001,$AR82),"")))</f>
        <v>0.22</v>
      </c>
      <c r="K82" s="17">
        <f>IF($A82="","",IF($AQ82&lt;&gt;"",IF(INDEX(Raw_D2!$C$2:$C$1001,$AQ82)="","",INDEX(Raw_D2!$C$2:$C$1001,$AQ82)),IF($AR82&lt;&gt;"",IF(INDEX(Raw_D3!$K$2:$K$1001,$AR82)="","",INDEX(Raw_D3!$K$2:$K$1001,$AR82)),"")))</f>
        <v>0.2273</v>
      </c>
      <c r="L82" s="16">
        <f>IF($A82="","",IF($AQ82&lt;&gt;"",IF(INDEX(Raw_D2!$D$2:$D$1001,$AQ82)="","",INDEX(Raw_D2!$D$2:$D$1001,$AQ82)),IF($AR82&lt;&gt;"",IF(INDEX(Raw_D3!$L$2:$L$1001,$AR82)="","",INDEX(Raw_D3!$L$2:$L$1001,$AR82)),"")))</f>
        <v>0.51</v>
      </c>
      <c r="M82" s="17">
        <f>IF($A82="","",IF($AQ82&lt;&gt;"",IF(INDEX(Raw_D2!$E$2:$E$1001,$AQ82)="","",INDEX(Raw_D2!$E$2:$E$1001,$AQ82)),IF($AR82&lt;&gt;"",IF(INDEX(Raw_D3!$M$2:$M$1001,$AR82)="","",INDEX(Raw_D3!$M$2:$M$1001,$AR82)),"")))</f>
        <v>0.1642</v>
      </c>
      <c r="N82" s="5">
        <f>IF($A82="","",IF($AQ82&lt;&gt;"",IF(INDEX(Raw_D2!$F$2:$F$1001,$AQ82)="","",INDEX(Raw_D2!$F$2:$F$1001,$AQ82)),IF($AR82&lt;&gt;"",IF(INDEX(Raw_D3!$N$2:$N$1001,$AR82)="","",INDEX(Raw_D3!$N$2:$N$1001,$AR82)),"")))</f>
        <v>12</v>
      </c>
      <c r="O82" s="5">
        <f>IF($A82="","",IF($AQ82&lt;&gt;"",IF(INDEX(Raw_D2!$G$2:$G$1001,$AQ82)="","",INDEX(Raw_D2!$G$2:$G$1001,$AQ82)),IF($AR82&lt;&gt;"",IF(INDEX(Raw_D3!$O$2:$O$1001,$AR82)="","",INDEX(Raw_D3!$O$2:$O$1001,$AR82)),"")))</f>
        <v>66</v>
      </c>
      <c r="P82" s="5">
        <f>IF($A82="","",IF($AQ82&lt;&gt;"",IF(INDEX(Raw_D2!$H$2:$H$1001,$AQ82)="","",INDEX(Raw_D2!$H$2:$H$1001,$AQ82)),IF($AR82&lt;&gt;"",IF(INDEX(Raw_D3!$P$2:$P$1001,$AR82)="","",INDEX(Raw_D3!$P$2:$P$1001,$AR82)),"")))</f>
        <v>78</v>
      </c>
      <c r="Q82" s="5" t="str">
        <f>IF($A82="","",IF(AND($AP82&lt;&gt;"",$AQ82&lt;&gt;""),"D1+D2",IF($AR82&lt;&gt;"","D3","Incomplete")))</f>
        <v>D1+D2</v>
      </c>
      <c r="R82" s="17">
        <f>IF($A82="","",IF($K82="",IF($J82="","",ROUND(Lookups!$K$5+Lookups!$K$4*$J82,4)),$K82))</f>
        <v>0.2273</v>
      </c>
      <c r="S82" s="5" t="str">
        <f>IF($A82="","",IF($K82="","Imputed","Original"))</f>
        <v>Original</v>
      </c>
      <c r="T82" s="5" t="str">
        <f>IF($A82="","",IF($P82="","Missing",IF($P82=$N82+$O82,"OK","Mismatch")))</f>
        <v>OK</v>
      </c>
      <c r="U82" s="5" t="str">
        <f>IF($A82="","",IF(COUNTIF($A$2:$A82,$A82)&gt;1,"Duplicate","Unique"))</f>
        <v>Unique</v>
      </c>
      <c r="V82" s="5">
        <f>IF($A82="","",IF(AND($U82="Unique",ISNUMBER($P82)),1,0))</f>
        <v>1</v>
      </c>
      <c r="W82" s="5" t="str">
        <f>IF($A82="","",IF(OR($H82=0,$H82=6),"Weekend","Weekday"))</f>
        <v>Weekday</v>
      </c>
      <c r="X82" s="5" t="str">
        <f>IF($A82="","",TEXT($B82,"ddd"))</f>
        <v>Tue</v>
      </c>
      <c r="Y82" s="5" t="str">
        <f>IF($A82="","",TEXT($B82,"mmm"))</f>
        <v>Jan</v>
      </c>
      <c r="Z82" s="5" t="str">
        <f>IF($A82="","",IFERROR(VLOOKUP($C82,Lookups!$D$4:$E$7,2,FALSE),"Unknown"))</f>
        <v>Winter</v>
      </c>
      <c r="AA82" s="5" t="str">
        <f>IF($A82="","",IFERROR(VLOOKUP($I82,Lookups!$A$4:$B$7,2,FALSE),"Unknown"))</f>
        <v>Clear</v>
      </c>
      <c r="AB82" s="5" t="str">
        <f>IF($A82="","",TEXT($F82,"00")&amp;":00")</f>
        <v>12:00</v>
      </c>
      <c r="AC82" s="5" t="str">
        <f>IF($A82="","",VLOOKUP($F82,Lookups!$G$4:$H$8,2,TRUE))</f>
        <v>Midday (10-15)</v>
      </c>
      <c r="AD82" s="18">
        <f>IF($A82="","",IF($J82="","",ROUND($J82*41,1)))</f>
        <v>9</v>
      </c>
      <c r="AE82" s="18">
        <f>IF($A82="","",IF($R82="","",ROUND($R82*50,1)))</f>
        <v>11.4</v>
      </c>
      <c r="AF82" s="5">
        <f>IF($A82="","",IF($L82="","",ROUND($L82*100,0)))</f>
        <v>51</v>
      </c>
      <c r="AG82" s="18">
        <f>IF($A82="","",IF($M82="","",ROUND($M82*67,1)))</f>
        <v>11</v>
      </c>
      <c r="AH82" s="19">
        <f>IF($A82="","",IF($P82="","",IF($P82=0,0,$O82/$P82)))</f>
        <v>0.846153846153846</v>
      </c>
      <c r="AI82" s="5" t="str">
        <f>IF($A82="","",IF($P82="","",IF($P82&gt;=Lookups!$K$7,"High",IF($P82&lt;=Lookups!$K$8,"Low","Medium"))))</f>
        <v>Medium</v>
      </c>
      <c r="AJ82" s="5" t="str">
        <f>IF($A82="","",IF($AD82="","",IF($AD82&lt;5,"Under 5 C",IF($AD82&lt;10,"5-10 C",IF($AD82&lt;15,"10-15 C","15 C and above")))))</f>
        <v>5-10 C</v>
      </c>
      <c r="AK82" s="5">
        <f>IF($A82="","",IF($P82="","",$P82^2))</f>
        <v>6084</v>
      </c>
      <c r="AL82" s="18">
        <f>IF($V82&lt;&gt;1,"",AVERAGEIFS(Clean_Data!$P$2:$P$1001,Clean_Data!$F$2:$F$1001,$F82,Clean_Data!$W$2:$W$1001,$W82,Clean_Data!$V$2:$V$1001,1))</f>
        <v>64.5862068965517</v>
      </c>
      <c r="AM82" s="16">
        <f>IF($V82&lt;&gt;1,"",IFERROR(($P82-$AL82)/SQRT(MAX(0,(SUMIFS(Clean_Data!$AK$2:$AK$1001,Clean_Data!$F$2:$F$1001,$F82,Clean_Data!$W$2:$W$1001,$W82,Clean_Data!$V$2:$V$1001,1)-COUNTIFS(Clean_Data!$F$2:$F$1001,$F82,Clean_Data!$W$2:$W$1001,$W82,Clean_Data!$V$2:$V$1001,1)*$AL82^2)/(COUNTIFS(Clean_Data!$F$2:$F$1001,$F82,Clean_Data!$W$2:$W$1001,$W82,Clean_Data!$V$2:$V$1001,1)-1))),""))</f>
        <v>0.716229164257117</v>
      </c>
      <c r="AN82" s="5" t="str">
        <f>IF($AM82="","",IF($AM82&gt;=Lookups!$K$6,"High spike",IF($AM82&lt;=-Lookups!$K$6,"Unusual low","Normal")))</f>
        <v>Normal</v>
      </c>
      <c r="AO82" s="20">
        <f>IF($V82&lt;&gt;1,"",$P82+ROW()/100000)</f>
        <v>78.00082</v>
      </c>
      <c r="AP82" s="5">
        <f>IF($A82="","",IFERROR(MATCH($A82,Raw_D1!$A$2:$A$1001,0),""))</f>
        <v>81</v>
      </c>
      <c r="AQ82" s="5">
        <f>IF($A82="","",IFERROR(MATCH($A82,Raw_D2!$B$2:$B$1001,0),""))</f>
        <v>81</v>
      </c>
      <c r="AR82" s="5">
        <f>IF($A82="","",IFERROR(MATCH($A82,Raw_D3!$A$2:$A$1001,0),""))</f>
        <v/>
      </c>
    </row>
    <row r="83" spans="1:44" x14ac:dyDescent="0.25">
      <c r="A83" s="5">
        <v>82</v>
      </c>
      <c r="B83" s="11">
        <f>IF($A83="","",IF($AP83&lt;&gt;"",INDEX(Raw_D1!$B$2:$B$1001,$AP83),IF($AR83&lt;&gt;"",INDEX(Raw_D3!$B$2:$B$1001,$AR83),"")))</f>
        <v>40547.0</v>
      </c>
      <c r="C83" s="5">
        <f>IF($A83="","",IF($AP83&lt;&gt;"",INDEX(Raw_D1!$C$2:$C$1001,$AP83),IF($AR83&lt;&gt;"",INDEX(Raw_D3!$C$2:$C$1001,$AR83),"")))</f>
        <v>1</v>
      </c>
      <c r="D83" s="5">
        <f>IF($A83="","",IF($AP83&lt;&gt;"",INDEX(Raw_D1!$D$2:$D$1001,$AP83),IF($AR83&lt;&gt;"",INDEX(Raw_D3!$D$2:$D$1001,$AR83),"")))</f>
        <v>0</v>
      </c>
      <c r="E83" s="5">
        <f>IF($A83="","",IF($AP83&lt;&gt;"",INDEX(Raw_D1!$E$2:$E$1001,$AP83),IF($AR83&lt;&gt;"",INDEX(Raw_D3!$E$2:$E$1001,$AR83),"")))</f>
        <v>1</v>
      </c>
      <c r="F83" s="5">
        <f>IF($A83="","",IF($AP83&lt;&gt;"",INDEX(Raw_D1!$F$2:$F$1001,$AP83),IF($AR83&lt;&gt;"",INDEX(Raw_D3!$F$2:$F$1001,$AR83),"")))</f>
        <v>13</v>
      </c>
      <c r="G83" s="5">
        <f>IF($A83="","",IF($AP83&lt;&gt;"",IF(INDEX(Raw_D1!$G$2:$G$1001,$AP83),1,0),IF($AR83&lt;&gt;"",IF(INDEX(Raw_D3!$G$2:$G$1001,$AR83),1,0),"")))</f>
        <v>0</v>
      </c>
      <c r="H83" s="5">
        <f>IF($A83="","",IF($AP83&lt;&gt;"",INDEX(Raw_D1!$H$2:$H$1001,$AP83),IF($AR83&lt;&gt;"",INDEX(Raw_D3!$H$2:$H$1001,$AR83),"")))</f>
        <v>2</v>
      </c>
      <c r="I83" s="5">
        <f>IF($A83="","",IF($AP83&lt;&gt;"",INDEX(Raw_D1!$I$2:$I$1001,$AP83),IF($AR83&lt;&gt;"",INDEX(Raw_D3!$I$2:$I$1001,$AR83),"")))</f>
        <v>1</v>
      </c>
      <c r="J83" s="16">
        <f>IF($A83="","",IF($AP83&lt;&gt;"",INDEX(Raw_D1!$J$2:$J$1001,$AP83),IF($AR83&lt;&gt;"",INDEX(Raw_D3!$J$2:$J$1001,$AR83),"")))</f>
        <v>0.24</v>
      </c>
      <c r="K83" s="17">
        <f>IF($A83="","",IF($AQ83&lt;&gt;"",IF(INDEX(Raw_D2!$C$2:$C$1001,$AQ83)="","",INDEX(Raw_D2!$C$2:$C$1001,$AQ83)),IF($AR83&lt;&gt;"",IF(INDEX(Raw_D3!$K$2:$K$1001,$AR83)="","",INDEX(Raw_D3!$K$2:$K$1001,$AR83)),"")))</f>
        <v>0.2273</v>
      </c>
      <c r="L83" s="16">
        <f>IF($A83="","",IF($AQ83&lt;&gt;"",IF(INDEX(Raw_D2!$D$2:$D$1001,$AQ83)="","",INDEX(Raw_D2!$D$2:$D$1001,$AQ83)),IF($AR83&lt;&gt;"",IF(INDEX(Raw_D3!$L$2:$L$1001,$AR83)="","",INDEX(Raw_D3!$L$2:$L$1001,$AR83)),"")))</f>
        <v>0.56</v>
      </c>
      <c r="M83" s="17">
        <f>IF($A83="","",IF($AQ83&lt;&gt;"",IF(INDEX(Raw_D2!$E$2:$E$1001,$AQ83)="","",INDEX(Raw_D2!$E$2:$E$1001,$AQ83)),IF($AR83&lt;&gt;"",IF(INDEX(Raw_D3!$M$2:$M$1001,$AR83)="","",INDEX(Raw_D3!$M$2:$M$1001,$AR83)),"")))</f>
        <v>0.194</v>
      </c>
      <c r="N83" s="5">
        <f>IF($A83="","",IF($AQ83&lt;&gt;"",IF(INDEX(Raw_D2!$F$2:$F$1001,$AQ83)="","",INDEX(Raw_D2!$F$2:$F$1001,$AQ83)),IF($AR83&lt;&gt;"",IF(INDEX(Raw_D3!$N$2:$N$1001,$AR83)="","",INDEX(Raw_D3!$N$2:$N$1001,$AR83)),"")))</f>
        <v>18</v>
      </c>
      <c r="O83" s="5">
        <f>IF($A83="","",IF($AQ83&lt;&gt;"",IF(INDEX(Raw_D2!$G$2:$G$1001,$AQ83)="","",INDEX(Raw_D2!$G$2:$G$1001,$AQ83)),IF($AR83&lt;&gt;"",IF(INDEX(Raw_D3!$O$2:$O$1001,$AR83)="","",INDEX(Raw_D3!$O$2:$O$1001,$AR83)),"")))</f>
        <v>79</v>
      </c>
      <c r="P83" s="5">
        <f>IF($A83="","",IF($AQ83&lt;&gt;"",IF(INDEX(Raw_D2!$H$2:$H$1001,$AQ83)="","",INDEX(Raw_D2!$H$2:$H$1001,$AQ83)),IF($AR83&lt;&gt;"",IF(INDEX(Raw_D3!$P$2:$P$1001,$AR83)="","",INDEX(Raw_D3!$P$2:$P$1001,$AR83)),"")))</f>
        <v>97</v>
      </c>
      <c r="Q83" s="5" t="str">
        <f>IF($A83="","",IF(AND($AP83&lt;&gt;"",$AQ83&lt;&gt;""),"D1+D2",IF($AR83&lt;&gt;"","D3","Incomplete")))</f>
        <v>D1+D2</v>
      </c>
      <c r="R83" s="17">
        <f>IF($A83="","",IF($K83="",IF($J83="","",ROUND(Lookups!$K$5+Lookups!$K$4*$J83,4)),$K83))</f>
        <v>0.2273</v>
      </c>
      <c r="S83" s="5" t="str">
        <f>IF($A83="","",IF($K83="","Imputed","Original"))</f>
        <v>Original</v>
      </c>
      <c r="T83" s="5" t="str">
        <f>IF($A83="","",IF($P83="","Missing",IF($P83=$N83+$O83,"OK","Mismatch")))</f>
        <v>OK</v>
      </c>
      <c r="U83" s="5" t="str">
        <f>IF($A83="","",IF(COUNTIF($A$2:$A83,$A83)&gt;1,"Duplicate","Unique"))</f>
        <v>Unique</v>
      </c>
      <c r="V83" s="5">
        <f>IF($A83="","",IF(AND($U83="Unique",ISNUMBER($P83)),1,0))</f>
        <v>1</v>
      </c>
      <c r="W83" s="5" t="str">
        <f>IF($A83="","",IF(OR($H83=0,$H83=6),"Weekend","Weekday"))</f>
        <v>Weekday</v>
      </c>
      <c r="X83" s="5" t="str">
        <f>IF($A83="","",TEXT($B83,"ddd"))</f>
        <v>Tue</v>
      </c>
      <c r="Y83" s="5" t="str">
        <f>IF($A83="","",TEXT($B83,"mmm"))</f>
        <v>Jan</v>
      </c>
      <c r="Z83" s="5" t="str">
        <f>IF($A83="","",IFERROR(VLOOKUP($C83,Lookups!$D$4:$E$7,2,FALSE),"Unknown"))</f>
        <v>Winter</v>
      </c>
      <c r="AA83" s="5" t="str">
        <f>IF($A83="","",IFERROR(VLOOKUP($I83,Lookups!$A$4:$B$7,2,FALSE),"Unknown"))</f>
        <v>Clear</v>
      </c>
      <c r="AB83" s="5" t="str">
        <f>IF($A83="","",TEXT($F83,"00")&amp;":00")</f>
        <v>13:00</v>
      </c>
      <c r="AC83" s="5" t="str">
        <f>IF($A83="","",VLOOKUP($F83,Lookups!$G$4:$H$8,2,TRUE))</f>
        <v>Midday (10-15)</v>
      </c>
      <c r="AD83" s="18">
        <f>IF($A83="","",IF($J83="","",ROUND($J83*41,1)))</f>
        <v>9.8</v>
      </c>
      <c r="AE83" s="18">
        <f>IF($A83="","",IF($R83="","",ROUND($R83*50,1)))</f>
        <v>11.4</v>
      </c>
      <c r="AF83" s="5">
        <f>IF($A83="","",IF($L83="","",ROUND($L83*100,0)))</f>
        <v>56</v>
      </c>
      <c r="AG83" s="18">
        <f>IF($A83="","",IF($M83="","",ROUND($M83*67,1)))</f>
        <v>13</v>
      </c>
      <c r="AH83" s="19">
        <f>IF($A83="","",IF($P83="","",IF($P83=0,0,$O83/$P83)))</f>
        <v>0.814432989690722</v>
      </c>
      <c r="AI83" s="5" t="str">
        <f>IF($A83="","",IF($P83="","",IF($P83&gt;=Lookups!$K$7,"High",IF($P83&lt;=Lookups!$K$8,"Low","Medium"))))</f>
        <v>High</v>
      </c>
      <c r="AJ83" s="5" t="str">
        <f>IF($A83="","",IF($AD83="","",IF($AD83&lt;5,"Under 5 C",IF($AD83&lt;10,"5-10 C",IF($AD83&lt;15,"10-15 C","15 C and above")))))</f>
        <v>5-10 C</v>
      </c>
      <c r="AK83" s="5">
        <f>IF($A83="","",IF($P83="","",$P83^2))</f>
        <v>9409</v>
      </c>
      <c r="AL83" s="18">
        <f>IF($V83&lt;&gt;1,"",AVERAGEIFS(Clean_Data!$P$2:$P$1001,Clean_Data!$F$2:$F$1001,$F83,Clean_Data!$W$2:$W$1001,$W83,Clean_Data!$V$2:$V$1001,1))</f>
        <v>67.1724137931034</v>
      </c>
      <c r="AM83" s="16">
        <f>IF($V83&lt;&gt;1,"",IFERROR(($P83-$AL83)/SQRT(MAX(0,(SUMIFS(Clean_Data!$AK$2:$AK$1001,Clean_Data!$F$2:$F$1001,$F83,Clean_Data!$W$2:$W$1001,$W83,Clean_Data!$V$2:$V$1001,1)-COUNTIFS(Clean_Data!$F$2:$F$1001,$F83,Clean_Data!$W$2:$W$1001,$W83,Clean_Data!$V$2:$V$1001,1)*$AL83^2)/(COUNTIFS(Clean_Data!$F$2:$F$1001,$F83,Clean_Data!$W$2:$W$1001,$W83,Clean_Data!$V$2:$V$1001,1)-1))),""))</f>
        <v>1.47719395437475</v>
      </c>
      <c r="AN83" s="5" t="str">
        <f>IF($AM83="","",IF($AM83&gt;=Lookups!$K$6,"High spike",IF($AM83&lt;=-Lookups!$K$6,"Unusual low","Normal")))</f>
        <v>Normal</v>
      </c>
      <c r="AO83" s="20">
        <f>IF($V83&lt;&gt;1,"",$P83+ROW()/100000)</f>
        <v>97.00083</v>
      </c>
      <c r="AP83" s="5">
        <f>IF($A83="","",IFERROR(MATCH($A83,Raw_D1!$A$2:$A$1001,0),""))</f>
        <v>82</v>
      </c>
      <c r="AQ83" s="5">
        <f>IF($A83="","",IFERROR(MATCH($A83,Raw_D2!$B$2:$B$1001,0),""))</f>
        <v>82</v>
      </c>
      <c r="AR83" s="5">
        <f>IF($A83="","",IFERROR(MATCH($A83,Raw_D3!$A$2:$A$1001,0),""))</f>
        <v/>
      </c>
    </row>
    <row r="84" spans="1:44" x14ac:dyDescent="0.25">
      <c r="A84" s="5">
        <v>83</v>
      </c>
      <c r="B84" s="11">
        <f>IF($A84="","",IF($AP84&lt;&gt;"",INDEX(Raw_D1!$B$2:$B$1001,$AP84),IF($AR84&lt;&gt;"",INDEX(Raw_D3!$B$2:$B$1001,$AR84),"")))</f>
        <v>40547.0</v>
      </c>
      <c r="C84" s="5">
        <f>IF($A84="","",IF($AP84&lt;&gt;"",INDEX(Raw_D1!$C$2:$C$1001,$AP84),IF($AR84&lt;&gt;"",INDEX(Raw_D3!$C$2:$C$1001,$AR84),"")))</f>
        <v>1</v>
      </c>
      <c r="D84" s="5">
        <f>IF($A84="","",IF($AP84&lt;&gt;"",INDEX(Raw_D1!$D$2:$D$1001,$AP84),IF($AR84&lt;&gt;"",INDEX(Raw_D3!$D$2:$D$1001,$AR84),"")))</f>
        <v>0</v>
      </c>
      <c r="E84" s="5">
        <f>IF($A84="","",IF($AP84&lt;&gt;"",INDEX(Raw_D1!$E$2:$E$1001,$AP84),IF($AR84&lt;&gt;"",INDEX(Raw_D3!$E$2:$E$1001,$AR84),"")))</f>
        <v>1</v>
      </c>
      <c r="F84" s="5">
        <f>IF($A84="","",IF($AP84&lt;&gt;"",INDEX(Raw_D1!$F$2:$F$1001,$AP84),IF($AR84&lt;&gt;"",INDEX(Raw_D3!$F$2:$F$1001,$AR84),"")))</f>
        <v>14</v>
      </c>
      <c r="G84" s="5">
        <f>IF($A84="","",IF($AP84&lt;&gt;"",IF(INDEX(Raw_D1!$G$2:$G$1001,$AP84),1,0),IF($AR84&lt;&gt;"",IF(INDEX(Raw_D3!$G$2:$G$1001,$AR84),1,0),"")))</f>
        <v>0</v>
      </c>
      <c r="H84" s="5">
        <f>IF($A84="","",IF($AP84&lt;&gt;"",INDEX(Raw_D1!$H$2:$H$1001,$AP84),IF($AR84&lt;&gt;"",INDEX(Raw_D3!$H$2:$H$1001,$AR84),"")))</f>
        <v>2</v>
      </c>
      <c r="I84" s="5">
        <f>IF($A84="","",IF($AP84&lt;&gt;"",INDEX(Raw_D1!$I$2:$I$1001,$AP84),IF($AR84&lt;&gt;"",INDEX(Raw_D3!$I$2:$I$1001,$AR84),"")))</f>
        <v>1</v>
      </c>
      <c r="J84" s="16">
        <f>IF($A84="","",IF($AP84&lt;&gt;"",INDEX(Raw_D1!$J$2:$J$1001,$AP84),IF($AR84&lt;&gt;"",INDEX(Raw_D3!$J$2:$J$1001,$AR84),"")))</f>
        <v>0.26</v>
      </c>
      <c r="K84" s="17">
        <f>IF($A84="","",IF($AQ84&lt;&gt;"",IF(INDEX(Raw_D2!$C$2:$C$1001,$AQ84)="","",INDEX(Raw_D2!$C$2:$C$1001,$AQ84)),IF($AR84&lt;&gt;"",IF(INDEX(Raw_D3!$K$2:$K$1001,$AR84)="","",INDEX(Raw_D3!$K$2:$K$1001,$AR84)),"")))</f>
        <v>0.2576</v>
      </c>
      <c r="L84" s="16">
        <f>IF($A84="","",IF($AQ84&lt;&gt;"",IF(INDEX(Raw_D2!$D$2:$D$1001,$AQ84)="","",INDEX(Raw_D2!$D$2:$D$1001,$AQ84)),IF($AR84&lt;&gt;"",IF(INDEX(Raw_D3!$L$2:$L$1001,$AR84)="","",INDEX(Raw_D3!$L$2:$L$1001,$AR84)),"")))</f>
        <v>0.52</v>
      </c>
      <c r="M84" s="17">
        <f>IF($A84="","",IF($AQ84&lt;&gt;"",IF(INDEX(Raw_D2!$E$2:$E$1001,$AQ84)="","",INDEX(Raw_D2!$E$2:$E$1001,$AQ84)),IF($AR84&lt;&gt;"",IF(INDEX(Raw_D3!$M$2:$M$1001,$AR84)="","",INDEX(Raw_D3!$M$2:$M$1001,$AR84)),"")))</f>
        <v>0.2239</v>
      </c>
      <c r="N84" s="5">
        <f>IF($A84="","",IF($AQ84&lt;&gt;"",IF(INDEX(Raw_D2!$F$2:$F$1001,$AQ84)="","",INDEX(Raw_D2!$F$2:$F$1001,$AQ84)),IF($AR84&lt;&gt;"",IF(INDEX(Raw_D3!$N$2:$N$1001,$AR84)="","",INDEX(Raw_D3!$N$2:$N$1001,$AR84)),"")))</f>
        <v>9</v>
      </c>
      <c r="O84" s="5">
        <f>IF($A84="","",IF($AQ84&lt;&gt;"",IF(INDEX(Raw_D2!$G$2:$G$1001,$AQ84)="","",INDEX(Raw_D2!$G$2:$G$1001,$AQ84)),IF($AR84&lt;&gt;"",IF(INDEX(Raw_D3!$O$2:$O$1001,$AR84)="","",INDEX(Raw_D3!$O$2:$O$1001,$AR84)),"")))</f>
        <v>54</v>
      </c>
      <c r="P84" s="5">
        <f>IF($A84="","",IF($AQ84&lt;&gt;"",IF(INDEX(Raw_D2!$H$2:$H$1001,$AQ84)="","",INDEX(Raw_D2!$H$2:$H$1001,$AQ84)),IF($AR84&lt;&gt;"",IF(INDEX(Raw_D3!$P$2:$P$1001,$AR84)="","",INDEX(Raw_D3!$P$2:$P$1001,$AR84)),"")))</f>
        <v>63</v>
      </c>
      <c r="Q84" s="5" t="str">
        <f>IF($A84="","",IF(AND($AP84&lt;&gt;"",$AQ84&lt;&gt;""),"D1+D2",IF($AR84&lt;&gt;"","D3","Incomplete")))</f>
        <v>D1+D2</v>
      </c>
      <c r="R84" s="17">
        <f>IF($A84="","",IF($K84="",IF($J84="","",ROUND(Lookups!$K$5+Lookups!$K$4*$J84,4)),$K84))</f>
        <v>0.2576</v>
      </c>
      <c r="S84" s="5" t="str">
        <f>IF($A84="","",IF($K84="","Imputed","Original"))</f>
        <v>Original</v>
      </c>
      <c r="T84" s="5" t="str">
        <f>IF($A84="","",IF($P84="","Missing",IF($P84=$N84+$O84,"OK","Mismatch")))</f>
        <v>OK</v>
      </c>
      <c r="U84" s="5" t="str">
        <f>IF($A84="","",IF(COUNTIF($A$2:$A84,$A84)&gt;1,"Duplicate","Unique"))</f>
        <v>Unique</v>
      </c>
      <c r="V84" s="5">
        <f>IF($A84="","",IF(AND($U84="Unique",ISNUMBER($P84)),1,0))</f>
        <v>1</v>
      </c>
      <c r="W84" s="5" t="str">
        <f>IF($A84="","",IF(OR($H84=0,$H84=6),"Weekend","Weekday"))</f>
        <v>Weekday</v>
      </c>
      <c r="X84" s="5" t="str">
        <f>IF($A84="","",TEXT($B84,"ddd"))</f>
        <v>Tue</v>
      </c>
      <c r="Y84" s="5" t="str">
        <f>IF($A84="","",TEXT($B84,"mmm"))</f>
        <v>Jan</v>
      </c>
      <c r="Z84" s="5" t="str">
        <f>IF($A84="","",IFERROR(VLOOKUP($C84,Lookups!$D$4:$E$7,2,FALSE),"Unknown"))</f>
        <v>Winter</v>
      </c>
      <c r="AA84" s="5" t="str">
        <f>IF($A84="","",IFERROR(VLOOKUP($I84,Lookups!$A$4:$B$7,2,FALSE),"Unknown"))</f>
        <v>Clear</v>
      </c>
      <c r="AB84" s="5" t="str">
        <f>IF($A84="","",TEXT($F84,"00")&amp;":00")</f>
        <v>14:00</v>
      </c>
      <c r="AC84" s="5" t="str">
        <f>IF($A84="","",VLOOKUP($F84,Lookups!$G$4:$H$8,2,TRUE))</f>
        <v>Midday (10-15)</v>
      </c>
      <c r="AD84" s="18">
        <f>IF($A84="","",IF($J84="","",ROUND($J84*41,1)))</f>
        <v>10.7</v>
      </c>
      <c r="AE84" s="18">
        <f>IF($A84="","",IF($R84="","",ROUND($R84*50,1)))</f>
        <v>12.9</v>
      </c>
      <c r="AF84" s="5">
        <f>IF($A84="","",IF($L84="","",ROUND($L84*100,0)))</f>
        <v>52</v>
      </c>
      <c r="AG84" s="18">
        <f>IF($A84="","",IF($M84="","",ROUND($M84*67,1)))</f>
        <v>15</v>
      </c>
      <c r="AH84" s="19">
        <f>IF($A84="","",IF($P84="","",IF($P84=0,0,$O84/$P84)))</f>
        <v>0.857142857142857</v>
      </c>
      <c r="AI84" s="5" t="str">
        <f>IF($A84="","",IF($P84="","",IF($P84&gt;=Lookups!$K$7,"High",IF($P84&lt;=Lookups!$K$8,"Low","Medium"))))</f>
        <v>Medium</v>
      </c>
      <c r="AJ84" s="5" t="str">
        <f>IF($A84="","",IF($AD84="","",IF($AD84&lt;5,"Under 5 C",IF($AD84&lt;10,"5-10 C",IF($AD84&lt;15,"10-15 C","15 C and above")))))</f>
        <v>10-15 C</v>
      </c>
      <c r="AK84" s="5">
        <f>IF($A84="","",IF($P84="","",$P84^2))</f>
        <v>3969</v>
      </c>
      <c r="AL84" s="18">
        <f>IF($V84&lt;&gt;1,"",AVERAGEIFS(Clean_Data!$P$2:$P$1001,Clean_Data!$F$2:$F$1001,$F84,Clean_Data!$W$2:$W$1001,$W84,Clean_Data!$V$2:$V$1001,1))</f>
        <v>60.551724137931</v>
      </c>
      <c r="AM84" s="16">
        <f>IF($V84&lt;&gt;1,"",IFERROR(($P84-$AL84)/SQRT(MAX(0,(SUMIFS(Clean_Data!$AK$2:$AK$1001,Clean_Data!$F$2:$F$1001,$F84,Clean_Data!$W$2:$W$1001,$W84,Clean_Data!$V$2:$V$1001,1)-COUNTIFS(Clean_Data!$F$2:$F$1001,$F84,Clean_Data!$W$2:$W$1001,$W84,Clean_Data!$V$2:$V$1001,1)*$AL84^2)/(COUNTIFS(Clean_Data!$F$2:$F$1001,$F84,Clean_Data!$W$2:$W$1001,$W84,Clean_Data!$V$2:$V$1001,1)-1))),""))</f>
        <v>0.14882838935004</v>
      </c>
      <c r="AN84" s="5" t="str">
        <f>IF($AM84="","",IF($AM84&gt;=Lookups!$K$6,"High spike",IF($AM84&lt;=-Lookups!$K$6,"Unusual low","Normal")))</f>
        <v>Normal</v>
      </c>
      <c r="AO84" s="20">
        <f>IF($V84&lt;&gt;1,"",$P84+ROW()/100000)</f>
        <v>63.00084</v>
      </c>
      <c r="AP84" s="5">
        <f>IF($A84="","",IFERROR(MATCH($A84,Raw_D1!$A$2:$A$1001,0),""))</f>
        <v>83</v>
      </c>
      <c r="AQ84" s="5">
        <f>IF($A84="","",IFERROR(MATCH($A84,Raw_D2!$B$2:$B$1001,0),""))</f>
        <v>83</v>
      </c>
      <c r="AR84" s="5">
        <f>IF($A84="","",IFERROR(MATCH($A84,Raw_D3!$A$2:$A$1001,0),""))</f>
        <v/>
      </c>
    </row>
    <row r="85" spans="1:44" x14ac:dyDescent="0.25">
      <c r="A85" s="5">
        <v>84</v>
      </c>
      <c r="B85" s="11">
        <f>IF($A85="","",IF($AP85&lt;&gt;"",INDEX(Raw_D1!$B$2:$B$1001,$AP85),IF($AR85&lt;&gt;"",INDEX(Raw_D3!$B$2:$B$1001,$AR85),"")))</f>
        <v>40547.0</v>
      </c>
      <c r="C85" s="5">
        <f>IF($A85="","",IF($AP85&lt;&gt;"",INDEX(Raw_D1!$C$2:$C$1001,$AP85),IF($AR85&lt;&gt;"",INDEX(Raw_D3!$C$2:$C$1001,$AR85),"")))</f>
        <v>1</v>
      </c>
      <c r="D85" s="5">
        <f>IF($A85="","",IF($AP85&lt;&gt;"",INDEX(Raw_D1!$D$2:$D$1001,$AP85),IF($AR85&lt;&gt;"",INDEX(Raw_D3!$D$2:$D$1001,$AR85),"")))</f>
        <v>0</v>
      </c>
      <c r="E85" s="5">
        <f>IF($A85="","",IF($AP85&lt;&gt;"",INDEX(Raw_D1!$E$2:$E$1001,$AP85),IF($AR85&lt;&gt;"",INDEX(Raw_D3!$E$2:$E$1001,$AR85),"")))</f>
        <v>1</v>
      </c>
      <c r="F85" s="5">
        <f>IF($A85="","",IF($AP85&lt;&gt;"",INDEX(Raw_D1!$F$2:$F$1001,$AP85),IF($AR85&lt;&gt;"",INDEX(Raw_D3!$F$2:$F$1001,$AR85),"")))</f>
        <v>15</v>
      </c>
      <c r="G85" s="5">
        <f>IF($A85="","",IF($AP85&lt;&gt;"",IF(INDEX(Raw_D1!$G$2:$G$1001,$AP85),1,0),IF($AR85&lt;&gt;"",IF(INDEX(Raw_D3!$G$2:$G$1001,$AR85),1,0),"")))</f>
        <v>0</v>
      </c>
      <c r="H85" s="5">
        <f>IF($A85="","",IF($AP85&lt;&gt;"",INDEX(Raw_D1!$H$2:$H$1001,$AP85),IF($AR85&lt;&gt;"",INDEX(Raw_D3!$H$2:$H$1001,$AR85),"")))</f>
        <v>2</v>
      </c>
      <c r="I85" s="5">
        <f>IF($A85="","",IF($AP85&lt;&gt;"",INDEX(Raw_D1!$I$2:$I$1001,$AP85),IF($AR85&lt;&gt;"",INDEX(Raw_D3!$I$2:$I$1001,$AR85),"")))</f>
        <v>1</v>
      </c>
      <c r="J85" s="16">
        <f>IF($A85="","",IF($AP85&lt;&gt;"",INDEX(Raw_D1!$J$2:$J$1001,$AP85),IF($AR85&lt;&gt;"",INDEX(Raw_D3!$J$2:$J$1001,$AR85),"")))</f>
        <v>0.28</v>
      </c>
      <c r="K85" s="17">
        <f>IF($A85="","",IF($AQ85&lt;&gt;"",IF(INDEX(Raw_D2!$C$2:$C$1001,$AQ85)="","",INDEX(Raw_D2!$C$2:$C$1001,$AQ85)),IF($AR85&lt;&gt;"",IF(INDEX(Raw_D3!$K$2:$K$1001,$AR85)="","",INDEX(Raw_D3!$K$2:$K$1001,$AR85)),"")))</f>
        <v>0.2727</v>
      </c>
      <c r="L85" s="16">
        <f>IF($A85="","",IF($AQ85&lt;&gt;"",IF(INDEX(Raw_D2!$D$2:$D$1001,$AQ85)="","",INDEX(Raw_D2!$D$2:$D$1001,$AQ85)),IF($AR85&lt;&gt;"",IF(INDEX(Raw_D3!$L$2:$L$1001,$AR85)="","",INDEX(Raw_D3!$L$2:$L$1001,$AR85)),"")))</f>
        <v>0.52</v>
      </c>
      <c r="M85" s="17">
        <f>IF($A85="","",IF($AQ85&lt;&gt;"",IF(INDEX(Raw_D2!$E$2:$E$1001,$AQ85)="","",INDEX(Raw_D2!$E$2:$E$1001,$AQ85)),IF($AR85&lt;&gt;"",IF(INDEX(Raw_D3!$M$2:$M$1001,$AR85)="","",INDEX(Raw_D3!$M$2:$M$1001,$AR85)),"")))</f>
        <v>0.2537</v>
      </c>
      <c r="N85" s="5">
        <f>IF($A85="","",IF($AQ85&lt;&gt;"",IF(INDEX(Raw_D2!$F$2:$F$1001,$AQ85)="","",INDEX(Raw_D2!$F$2:$F$1001,$AQ85)),IF($AR85&lt;&gt;"",IF(INDEX(Raw_D3!$N$2:$N$1001,$AR85)="","",INDEX(Raw_D3!$N$2:$N$1001,$AR85)),"")))</f>
        <v>17</v>
      </c>
      <c r="O85" s="5">
        <f>IF($A85="","",IF($AQ85&lt;&gt;"",IF(INDEX(Raw_D2!$G$2:$G$1001,$AQ85)="","",INDEX(Raw_D2!$G$2:$G$1001,$AQ85)),IF($AR85&lt;&gt;"",IF(INDEX(Raw_D3!$O$2:$O$1001,$AR85)="","",INDEX(Raw_D3!$O$2:$O$1001,$AR85)),"")))</f>
        <v>48</v>
      </c>
      <c r="P85" s="5">
        <f>IF($A85="","",IF($AQ85&lt;&gt;"",IF(INDEX(Raw_D2!$H$2:$H$1001,$AQ85)="","",INDEX(Raw_D2!$H$2:$H$1001,$AQ85)),IF($AR85&lt;&gt;"",IF(INDEX(Raw_D3!$P$2:$P$1001,$AR85)="","",INDEX(Raw_D3!$P$2:$P$1001,$AR85)),"")))</f>
        <v>65</v>
      </c>
      <c r="Q85" s="5" t="str">
        <f>IF($A85="","",IF(AND($AP85&lt;&gt;"",$AQ85&lt;&gt;""),"D1+D2",IF($AR85&lt;&gt;"","D3","Incomplete")))</f>
        <v>D1+D2</v>
      </c>
      <c r="R85" s="17">
        <f>IF($A85="","",IF($K85="",IF($J85="","",ROUND(Lookups!$K$5+Lookups!$K$4*$J85,4)),$K85))</f>
        <v>0.2727</v>
      </c>
      <c r="S85" s="5" t="str">
        <f>IF($A85="","",IF($K85="","Imputed","Original"))</f>
        <v>Original</v>
      </c>
      <c r="T85" s="5" t="str">
        <f>IF($A85="","",IF($P85="","Missing",IF($P85=$N85+$O85,"OK","Mismatch")))</f>
        <v>OK</v>
      </c>
      <c r="U85" s="5" t="str">
        <f>IF($A85="","",IF(COUNTIF($A$2:$A85,$A85)&gt;1,"Duplicate","Unique"))</f>
        <v>Unique</v>
      </c>
      <c r="V85" s="5">
        <f>IF($A85="","",IF(AND($U85="Unique",ISNUMBER($P85)),1,0))</f>
        <v>1</v>
      </c>
      <c r="W85" s="5" t="str">
        <f>IF($A85="","",IF(OR($H85=0,$H85=6),"Weekend","Weekday"))</f>
        <v>Weekday</v>
      </c>
      <c r="X85" s="5" t="str">
        <f>IF($A85="","",TEXT($B85,"ddd"))</f>
        <v>Tue</v>
      </c>
      <c r="Y85" s="5" t="str">
        <f>IF($A85="","",TEXT($B85,"mmm"))</f>
        <v>Jan</v>
      </c>
      <c r="Z85" s="5" t="str">
        <f>IF($A85="","",IFERROR(VLOOKUP($C85,Lookups!$D$4:$E$7,2,FALSE),"Unknown"))</f>
        <v>Winter</v>
      </c>
      <c r="AA85" s="5" t="str">
        <f>IF($A85="","",IFERROR(VLOOKUP($I85,Lookups!$A$4:$B$7,2,FALSE),"Unknown"))</f>
        <v>Clear</v>
      </c>
      <c r="AB85" s="5" t="str">
        <f>IF($A85="","",TEXT($F85,"00")&amp;":00")</f>
        <v>15:00</v>
      </c>
      <c r="AC85" s="5" t="str">
        <f>IF($A85="","",VLOOKUP($F85,Lookups!$G$4:$H$8,2,TRUE))</f>
        <v>Midday (10-15)</v>
      </c>
      <c r="AD85" s="18">
        <f>IF($A85="","",IF($J85="","",ROUND($J85*41,1)))</f>
        <v>11.5</v>
      </c>
      <c r="AE85" s="18">
        <f>IF($A85="","",IF($R85="","",ROUND($R85*50,1)))</f>
        <v>13.6</v>
      </c>
      <c r="AF85" s="5">
        <f>IF($A85="","",IF($L85="","",ROUND($L85*100,0)))</f>
        <v>52</v>
      </c>
      <c r="AG85" s="18">
        <f>IF($A85="","",IF($M85="","",ROUND($M85*67,1)))</f>
        <v>17</v>
      </c>
      <c r="AH85" s="19">
        <f>IF($A85="","",IF($P85="","",IF($P85=0,0,$O85/$P85)))</f>
        <v>0.738461538461539</v>
      </c>
      <c r="AI85" s="5" t="str">
        <f>IF($A85="","",IF($P85="","",IF($P85&gt;=Lookups!$K$7,"High",IF($P85&lt;=Lookups!$K$8,"Low","Medium"))))</f>
        <v>Medium</v>
      </c>
      <c r="AJ85" s="5" t="str">
        <f>IF($A85="","",IF($AD85="","",IF($AD85&lt;5,"Under 5 C",IF($AD85&lt;10,"5-10 C",IF($AD85&lt;15,"10-15 C","15 C and above")))))</f>
        <v>10-15 C</v>
      </c>
      <c r="AK85" s="5">
        <f>IF($A85="","",IF($P85="","",$P85^2))</f>
        <v>4225</v>
      </c>
      <c r="AL85" s="18">
        <f>IF($V85&lt;&gt;1,"",AVERAGEIFS(Clean_Data!$P$2:$P$1001,Clean_Data!$F$2:$F$1001,$F85,Clean_Data!$W$2:$W$1001,$W85,Clean_Data!$V$2:$V$1001,1))</f>
        <v>61.4827586206897</v>
      </c>
      <c r="AM85" s="16">
        <f>IF($V85&lt;&gt;1,"",IFERROR(($P85-$AL85)/SQRT(MAX(0,(SUMIFS(Clean_Data!$AK$2:$AK$1001,Clean_Data!$F$2:$F$1001,$F85,Clean_Data!$W$2:$W$1001,$W85,Clean_Data!$V$2:$V$1001,1)-COUNTIFS(Clean_Data!$F$2:$F$1001,$F85,Clean_Data!$W$2:$W$1001,$W85,Clean_Data!$V$2:$V$1001,1)*$AL85^2)/(COUNTIFS(Clean_Data!$F$2:$F$1001,$F85,Clean_Data!$W$2:$W$1001,$W85,Clean_Data!$V$2:$V$1001,1)-1))),""))</f>
        <v>0.233314639957222</v>
      </c>
      <c r="AN85" s="5" t="str">
        <f>IF($AM85="","",IF($AM85&gt;=Lookups!$K$6,"High spike",IF($AM85&lt;=-Lookups!$K$6,"Unusual low","Normal")))</f>
        <v>Normal</v>
      </c>
      <c r="AO85" s="20">
        <f>IF($V85&lt;&gt;1,"",$P85+ROW()/100000)</f>
        <v>65.00085</v>
      </c>
      <c r="AP85" s="5">
        <f>IF($A85="","",IFERROR(MATCH($A85,Raw_D1!$A$2:$A$1001,0),""))</f>
        <v>84</v>
      </c>
      <c r="AQ85" s="5">
        <f>IF($A85="","",IFERROR(MATCH($A85,Raw_D2!$B$2:$B$1001,0),""))</f>
        <v>84</v>
      </c>
      <c r="AR85" s="5">
        <f>IF($A85="","",IFERROR(MATCH($A85,Raw_D3!$A$2:$A$1001,0),""))</f>
        <v/>
      </c>
    </row>
    <row r="86" spans="1:44" x14ac:dyDescent="0.25">
      <c r="A86" s="5">
        <v>85</v>
      </c>
      <c r="B86" s="11">
        <f>IF($A86="","",IF($AP86&lt;&gt;"",INDEX(Raw_D1!$B$2:$B$1001,$AP86),IF($AR86&lt;&gt;"",INDEX(Raw_D3!$B$2:$B$1001,$AR86),"")))</f>
        <v>40547.0</v>
      </c>
      <c r="C86" s="5">
        <f>IF($A86="","",IF($AP86&lt;&gt;"",INDEX(Raw_D1!$C$2:$C$1001,$AP86),IF($AR86&lt;&gt;"",INDEX(Raw_D3!$C$2:$C$1001,$AR86),"")))</f>
        <v>1</v>
      </c>
      <c r="D86" s="5">
        <f>IF($A86="","",IF($AP86&lt;&gt;"",INDEX(Raw_D1!$D$2:$D$1001,$AP86),IF($AR86&lt;&gt;"",INDEX(Raw_D3!$D$2:$D$1001,$AR86),"")))</f>
        <v>0</v>
      </c>
      <c r="E86" s="5">
        <f>IF($A86="","",IF($AP86&lt;&gt;"",INDEX(Raw_D1!$E$2:$E$1001,$AP86),IF($AR86&lt;&gt;"",INDEX(Raw_D3!$E$2:$E$1001,$AR86),"")))</f>
        <v>1</v>
      </c>
      <c r="F86" s="5">
        <f>IF($A86="","",IF($AP86&lt;&gt;"",INDEX(Raw_D1!$F$2:$F$1001,$AP86),IF($AR86&lt;&gt;"",INDEX(Raw_D3!$F$2:$F$1001,$AR86),"")))</f>
        <v>16</v>
      </c>
      <c r="G86" s="5">
        <f>IF($A86="","",IF($AP86&lt;&gt;"",IF(INDEX(Raw_D1!$G$2:$G$1001,$AP86),1,0),IF($AR86&lt;&gt;"",IF(INDEX(Raw_D3!$G$2:$G$1001,$AR86),1,0),"")))</f>
        <v>0</v>
      </c>
      <c r="H86" s="5">
        <f>IF($A86="","",IF($AP86&lt;&gt;"",INDEX(Raw_D1!$H$2:$H$1001,$AP86),IF($AR86&lt;&gt;"",INDEX(Raw_D3!$H$2:$H$1001,$AR86),"")))</f>
        <v>2</v>
      </c>
      <c r="I86" s="5">
        <f>IF($A86="","",IF($AP86&lt;&gt;"",INDEX(Raw_D1!$I$2:$I$1001,$AP86),IF($AR86&lt;&gt;"",INDEX(Raw_D3!$I$2:$I$1001,$AR86),"")))</f>
        <v>1</v>
      </c>
      <c r="J86" s="16">
        <f>IF($A86="","",IF($AP86&lt;&gt;"",INDEX(Raw_D1!$J$2:$J$1001,$AP86),IF($AR86&lt;&gt;"",INDEX(Raw_D3!$J$2:$J$1001,$AR86),"")))</f>
        <v>0.3</v>
      </c>
      <c r="K86" s="17">
        <f>IF($A86="","",IF($AQ86&lt;&gt;"",IF(INDEX(Raw_D2!$C$2:$C$1001,$AQ86)="","",INDEX(Raw_D2!$C$2:$C$1001,$AQ86)),IF($AR86&lt;&gt;"",IF(INDEX(Raw_D3!$K$2:$K$1001,$AR86)="","",INDEX(Raw_D3!$K$2:$K$1001,$AR86)),"")))</f>
        <v>0.2879</v>
      </c>
      <c r="L86" s="16">
        <f>IF($A86="","",IF($AQ86&lt;&gt;"",IF(INDEX(Raw_D2!$D$2:$D$1001,$AQ86)="","",INDEX(Raw_D2!$D$2:$D$1001,$AQ86)),IF($AR86&lt;&gt;"",IF(INDEX(Raw_D3!$L$2:$L$1001,$AR86)="","",INDEX(Raw_D3!$L$2:$L$1001,$AR86)),"")))</f>
        <v>0.49</v>
      </c>
      <c r="M86" s="17">
        <f>IF($A86="","",IF($AQ86&lt;&gt;"",IF(INDEX(Raw_D2!$E$2:$E$1001,$AQ86)="","",INDEX(Raw_D2!$E$2:$E$1001,$AQ86)),IF($AR86&lt;&gt;"",IF(INDEX(Raw_D3!$M$2:$M$1001,$AR86)="","",INDEX(Raw_D3!$M$2:$M$1001,$AR86)),"")))</f>
        <v>0.2537</v>
      </c>
      <c r="N86" s="5">
        <f>IF($A86="","",IF($AQ86&lt;&gt;"",IF(INDEX(Raw_D2!$F$2:$F$1001,$AQ86)="","",INDEX(Raw_D2!$F$2:$F$1001,$AQ86)),IF($AR86&lt;&gt;"",IF(INDEX(Raw_D3!$N$2:$N$1001,$AR86)="","",INDEX(Raw_D3!$N$2:$N$1001,$AR86)),"")))</f>
        <v>15</v>
      </c>
      <c r="O86" s="5">
        <f>IF($A86="","",IF($AQ86&lt;&gt;"",IF(INDEX(Raw_D2!$G$2:$G$1001,$AQ86)="","",INDEX(Raw_D2!$G$2:$G$1001,$AQ86)),IF($AR86&lt;&gt;"",IF(INDEX(Raw_D3!$O$2:$O$1001,$AR86)="","",INDEX(Raw_D3!$O$2:$O$1001,$AR86)),"")))</f>
        <v>68</v>
      </c>
      <c r="P86" s="5">
        <f>IF($A86="","",IF($AQ86&lt;&gt;"",IF(INDEX(Raw_D2!$H$2:$H$1001,$AQ86)="","",INDEX(Raw_D2!$H$2:$H$1001,$AQ86)),IF($AR86&lt;&gt;"",IF(INDEX(Raw_D3!$P$2:$P$1001,$AR86)="","",INDEX(Raw_D3!$P$2:$P$1001,$AR86)),"")))</f>
        <v>83</v>
      </c>
      <c r="Q86" s="5" t="str">
        <f>IF($A86="","",IF(AND($AP86&lt;&gt;"",$AQ86&lt;&gt;""),"D1+D2",IF($AR86&lt;&gt;"","D3","Incomplete")))</f>
        <v>D1+D2</v>
      </c>
      <c r="R86" s="17">
        <f>IF($A86="","",IF($K86="",IF($J86="","",ROUND(Lookups!$K$5+Lookups!$K$4*$J86,4)),$K86))</f>
        <v>0.2879</v>
      </c>
      <c r="S86" s="5" t="str">
        <f>IF($A86="","",IF($K86="","Imputed","Original"))</f>
        <v>Original</v>
      </c>
      <c r="T86" s="5" t="str">
        <f>IF($A86="","",IF($P86="","Missing",IF($P86=$N86+$O86,"OK","Mismatch")))</f>
        <v>OK</v>
      </c>
      <c r="U86" s="5" t="str">
        <f>IF($A86="","",IF(COUNTIF($A$2:$A86,$A86)&gt;1,"Duplicate","Unique"))</f>
        <v>Unique</v>
      </c>
      <c r="V86" s="5">
        <f>IF($A86="","",IF(AND($U86="Unique",ISNUMBER($P86)),1,0))</f>
        <v>1</v>
      </c>
      <c r="W86" s="5" t="str">
        <f>IF($A86="","",IF(OR($H86=0,$H86=6),"Weekend","Weekday"))</f>
        <v>Weekday</v>
      </c>
      <c r="X86" s="5" t="str">
        <f>IF($A86="","",TEXT($B86,"ddd"))</f>
        <v>Tue</v>
      </c>
      <c r="Y86" s="5" t="str">
        <f>IF($A86="","",TEXT($B86,"mmm"))</f>
        <v>Jan</v>
      </c>
      <c r="Z86" s="5" t="str">
        <f>IF($A86="","",IFERROR(VLOOKUP($C86,Lookups!$D$4:$E$7,2,FALSE),"Unknown"))</f>
        <v>Winter</v>
      </c>
      <c r="AA86" s="5" t="str">
        <f>IF($A86="","",IFERROR(VLOOKUP($I86,Lookups!$A$4:$B$7,2,FALSE),"Unknown"))</f>
        <v>Clear</v>
      </c>
      <c r="AB86" s="5" t="str">
        <f>IF($A86="","",TEXT($F86,"00")&amp;":00")</f>
        <v>16:00</v>
      </c>
      <c r="AC86" s="5" t="str">
        <f>IF($A86="","",VLOOKUP($F86,Lookups!$G$4:$H$8,2,TRUE))</f>
        <v>Evening Peak (16-19)</v>
      </c>
      <c r="AD86" s="18">
        <f>IF($A86="","",IF($J86="","",ROUND($J86*41,1)))</f>
        <v>12.3</v>
      </c>
      <c r="AE86" s="18">
        <f>IF($A86="","",IF($R86="","",ROUND($R86*50,1)))</f>
        <v>14.4</v>
      </c>
      <c r="AF86" s="5">
        <f>IF($A86="","",IF($L86="","",ROUND($L86*100,0)))</f>
        <v>49</v>
      </c>
      <c r="AG86" s="18">
        <f>IF($A86="","",IF($M86="","",ROUND($M86*67,1)))</f>
        <v>17</v>
      </c>
      <c r="AH86" s="19">
        <f>IF($A86="","",IF($P86="","",IF($P86=0,0,$O86/$P86)))</f>
        <v>0.819277108433735</v>
      </c>
      <c r="AI86" s="5" t="str">
        <f>IF($A86="","",IF($P86="","",IF($P86&gt;=Lookups!$K$7,"High",IF($P86&lt;=Lookups!$K$8,"Low","Medium"))))</f>
        <v>High</v>
      </c>
      <c r="AJ86" s="5" t="str">
        <f>IF($A86="","",IF($AD86="","",IF($AD86&lt;5,"Under 5 C",IF($AD86&lt;10,"5-10 C",IF($AD86&lt;15,"10-15 C","15 C and above")))))</f>
        <v>10-15 C</v>
      </c>
      <c r="AK86" s="5">
        <f>IF($A86="","",IF($P86="","",$P86^2))</f>
        <v>6889</v>
      </c>
      <c r="AL86" s="18">
        <f>IF($V86&lt;&gt;1,"",AVERAGEIFS(Clean_Data!$P$2:$P$1001,Clean_Data!$F$2:$F$1001,$F86,Clean_Data!$W$2:$W$1001,$W86,Clean_Data!$V$2:$V$1001,1))</f>
        <v>82.6333333333333</v>
      </c>
      <c r="AM86" s="16">
        <f>IF($V86&lt;&gt;1,"",IFERROR(($P86-$AL86)/SQRT(MAX(0,(SUMIFS(Clean_Data!$AK$2:$AK$1001,Clean_Data!$F$2:$F$1001,$F86,Clean_Data!$W$2:$W$1001,$W86,Clean_Data!$V$2:$V$1001,1)-COUNTIFS(Clean_Data!$F$2:$F$1001,$F86,Clean_Data!$W$2:$W$1001,$W86,Clean_Data!$V$2:$V$1001,1)*$AL86^2)/(COUNTIFS(Clean_Data!$F$2:$F$1001,$F86,Clean_Data!$W$2:$W$1001,$W86,Clean_Data!$V$2:$V$1001,1)-1))),""))</f>
        <v>0.0176758829528858</v>
      </c>
      <c r="AN86" s="5" t="str">
        <f>IF($AM86="","",IF($AM86&gt;=Lookups!$K$6,"High spike",IF($AM86&lt;=-Lookups!$K$6,"Unusual low","Normal")))</f>
        <v>Normal</v>
      </c>
      <c r="AO86" s="20">
        <f>IF($V86&lt;&gt;1,"",$P86+ROW()/100000)</f>
        <v>83.00086</v>
      </c>
      <c r="AP86" s="5">
        <f>IF($A86="","",IFERROR(MATCH($A86,Raw_D1!$A$2:$A$1001,0),""))</f>
        <v>85</v>
      </c>
      <c r="AQ86" s="5">
        <f>IF($A86="","",IFERROR(MATCH($A86,Raw_D2!$B$2:$B$1001,0),""))</f>
        <v>85</v>
      </c>
      <c r="AR86" s="5">
        <f>IF($A86="","",IFERROR(MATCH($A86,Raw_D3!$A$2:$A$1001,0),""))</f>
        <v/>
      </c>
    </row>
    <row r="87" spans="1:44" x14ac:dyDescent="0.25">
      <c r="A87" s="5">
        <v>86</v>
      </c>
      <c r="B87" s="11">
        <f>IF($A87="","",IF($AP87&lt;&gt;"",INDEX(Raw_D1!$B$2:$B$1001,$AP87),IF($AR87&lt;&gt;"",INDEX(Raw_D3!$B$2:$B$1001,$AR87),"")))</f>
        <v>40547.0</v>
      </c>
      <c r="C87" s="5">
        <f>IF($A87="","",IF($AP87&lt;&gt;"",INDEX(Raw_D1!$C$2:$C$1001,$AP87),IF($AR87&lt;&gt;"",INDEX(Raw_D3!$C$2:$C$1001,$AR87),"")))</f>
        <v>1</v>
      </c>
      <c r="D87" s="5">
        <f>IF($A87="","",IF($AP87&lt;&gt;"",INDEX(Raw_D1!$D$2:$D$1001,$AP87),IF($AR87&lt;&gt;"",INDEX(Raw_D3!$D$2:$D$1001,$AR87),"")))</f>
        <v>0</v>
      </c>
      <c r="E87" s="5">
        <f>IF($A87="","",IF($AP87&lt;&gt;"",INDEX(Raw_D1!$E$2:$E$1001,$AP87),IF($AR87&lt;&gt;"",INDEX(Raw_D3!$E$2:$E$1001,$AR87),"")))</f>
        <v>1</v>
      </c>
      <c r="F87" s="5">
        <f>IF($A87="","",IF($AP87&lt;&gt;"",INDEX(Raw_D1!$F$2:$F$1001,$AP87),IF($AR87&lt;&gt;"",INDEX(Raw_D3!$F$2:$F$1001,$AR87),"")))</f>
        <v>17</v>
      </c>
      <c r="G87" s="5">
        <f>IF($A87="","",IF($AP87&lt;&gt;"",IF(INDEX(Raw_D1!$G$2:$G$1001,$AP87),1,0),IF($AR87&lt;&gt;"",IF(INDEX(Raw_D3!$G$2:$G$1001,$AR87),1,0),"")))</f>
        <v>0</v>
      </c>
      <c r="H87" s="5">
        <f>IF($A87="","",IF($AP87&lt;&gt;"",INDEX(Raw_D1!$H$2:$H$1001,$AP87),IF($AR87&lt;&gt;"",INDEX(Raw_D3!$H$2:$H$1001,$AR87),"")))</f>
        <v>2</v>
      </c>
      <c r="I87" s="5">
        <f>IF($A87="","",IF($AP87&lt;&gt;"",INDEX(Raw_D1!$I$2:$I$1001,$AP87),IF($AR87&lt;&gt;"",INDEX(Raw_D3!$I$2:$I$1001,$AR87),"")))</f>
        <v>1</v>
      </c>
      <c r="J87" s="16">
        <f>IF($A87="","",IF($AP87&lt;&gt;"",INDEX(Raw_D1!$J$2:$J$1001,$AP87),IF($AR87&lt;&gt;"",INDEX(Raw_D3!$J$2:$J$1001,$AR87),"")))</f>
        <v>0.28</v>
      </c>
      <c r="K87" s="17">
        <f>IF($A87="","",IF($AQ87&lt;&gt;"",IF(INDEX(Raw_D2!$C$2:$C$1001,$AQ87)="","",INDEX(Raw_D2!$C$2:$C$1001,$AQ87)),IF($AR87&lt;&gt;"",IF(INDEX(Raw_D3!$K$2:$K$1001,$AR87)="","",INDEX(Raw_D3!$K$2:$K$1001,$AR87)),"")))</f>
        <v>0.2727</v>
      </c>
      <c r="L87" s="16">
        <f>IF($A87="","",IF($AQ87&lt;&gt;"",IF(INDEX(Raw_D2!$D$2:$D$1001,$AQ87)="","",INDEX(Raw_D2!$D$2:$D$1001,$AQ87)),IF($AR87&lt;&gt;"",IF(INDEX(Raw_D3!$L$2:$L$1001,$AR87)="","",INDEX(Raw_D3!$L$2:$L$1001,$AR87)),"")))</f>
        <v>0.48</v>
      </c>
      <c r="M87" s="17">
        <f>IF($A87="","",IF($AQ87&lt;&gt;"",IF(INDEX(Raw_D2!$E$2:$E$1001,$AQ87)="","",INDEX(Raw_D2!$E$2:$E$1001,$AQ87)),IF($AR87&lt;&gt;"",IF(INDEX(Raw_D3!$M$2:$M$1001,$AR87)="","",INDEX(Raw_D3!$M$2:$M$1001,$AR87)),"")))</f>
        <v>0.2239</v>
      </c>
      <c r="N87" s="5">
        <f>IF($A87="","",IF($AQ87&lt;&gt;"",IF(INDEX(Raw_D2!$F$2:$F$1001,$AQ87)="","",INDEX(Raw_D2!$F$2:$F$1001,$AQ87)),IF($AR87&lt;&gt;"",IF(INDEX(Raw_D3!$N$2:$N$1001,$AR87)="","",INDEX(Raw_D3!$N$2:$N$1001,$AR87)),"")))</f>
        <v>10</v>
      </c>
      <c r="O87" s="5">
        <f>IF($A87="","",IF($AQ87&lt;&gt;"",IF(INDEX(Raw_D2!$G$2:$G$1001,$AQ87)="","",INDEX(Raw_D2!$G$2:$G$1001,$AQ87)),IF($AR87&lt;&gt;"",IF(INDEX(Raw_D3!$O$2:$O$1001,$AR87)="","",INDEX(Raw_D3!$O$2:$O$1001,$AR87)),"")))</f>
        <v>202</v>
      </c>
      <c r="P87" s="5">
        <f>IF($A87="","",IF($AQ87&lt;&gt;"",IF(INDEX(Raw_D2!$H$2:$H$1001,$AQ87)="","",INDEX(Raw_D2!$H$2:$H$1001,$AQ87)),IF($AR87&lt;&gt;"",IF(INDEX(Raw_D3!$P$2:$P$1001,$AR87)="","",INDEX(Raw_D3!$P$2:$P$1001,$AR87)),"")))</f>
        <v>212</v>
      </c>
      <c r="Q87" s="5" t="str">
        <f>IF($A87="","",IF(AND($AP87&lt;&gt;"",$AQ87&lt;&gt;""),"D1+D2",IF($AR87&lt;&gt;"","D3","Incomplete")))</f>
        <v>D1+D2</v>
      </c>
      <c r="R87" s="17">
        <f>IF($A87="","",IF($K87="",IF($J87="","",ROUND(Lookups!$K$5+Lookups!$K$4*$J87,4)),$K87))</f>
        <v>0.2727</v>
      </c>
      <c r="S87" s="5" t="str">
        <f>IF($A87="","",IF($K87="","Imputed","Original"))</f>
        <v>Original</v>
      </c>
      <c r="T87" s="5" t="str">
        <f>IF($A87="","",IF($P87="","Missing",IF($P87=$N87+$O87,"OK","Mismatch")))</f>
        <v>OK</v>
      </c>
      <c r="U87" s="5" t="str">
        <f>IF($A87="","",IF(COUNTIF($A$2:$A87,$A87)&gt;1,"Duplicate","Unique"))</f>
        <v>Unique</v>
      </c>
      <c r="V87" s="5">
        <f>IF($A87="","",IF(AND($U87="Unique",ISNUMBER($P87)),1,0))</f>
        <v>1</v>
      </c>
      <c r="W87" s="5" t="str">
        <f>IF($A87="","",IF(OR($H87=0,$H87=6),"Weekend","Weekday"))</f>
        <v>Weekday</v>
      </c>
      <c r="X87" s="5" t="str">
        <f>IF($A87="","",TEXT($B87,"ddd"))</f>
        <v>Tue</v>
      </c>
      <c r="Y87" s="5" t="str">
        <f>IF($A87="","",TEXT($B87,"mmm"))</f>
        <v>Jan</v>
      </c>
      <c r="Z87" s="5" t="str">
        <f>IF($A87="","",IFERROR(VLOOKUP($C87,Lookups!$D$4:$E$7,2,FALSE),"Unknown"))</f>
        <v>Winter</v>
      </c>
      <c r="AA87" s="5" t="str">
        <f>IF($A87="","",IFERROR(VLOOKUP($I87,Lookups!$A$4:$B$7,2,FALSE),"Unknown"))</f>
        <v>Clear</v>
      </c>
      <c r="AB87" s="5" t="str">
        <f>IF($A87="","",TEXT($F87,"00")&amp;":00")</f>
        <v>17:00</v>
      </c>
      <c r="AC87" s="5" t="str">
        <f>IF($A87="","",VLOOKUP($F87,Lookups!$G$4:$H$8,2,TRUE))</f>
        <v>Evening Peak (16-19)</v>
      </c>
      <c r="AD87" s="18">
        <f>IF($A87="","",IF($J87="","",ROUND($J87*41,1)))</f>
        <v>11.5</v>
      </c>
      <c r="AE87" s="18">
        <f>IF($A87="","",IF($R87="","",ROUND($R87*50,1)))</f>
        <v>13.6</v>
      </c>
      <c r="AF87" s="5">
        <f>IF($A87="","",IF($L87="","",ROUND($L87*100,0)))</f>
        <v>48</v>
      </c>
      <c r="AG87" s="18">
        <f>IF($A87="","",IF($M87="","",ROUND($M87*67,1)))</f>
        <v>15</v>
      </c>
      <c r="AH87" s="19">
        <f>IF($A87="","",IF($P87="","",IF($P87=0,0,$O87/$P87)))</f>
        <v>0.952830188679245</v>
      </c>
      <c r="AI87" s="5" t="str">
        <f>IF($A87="","",IF($P87="","",IF($P87&gt;=Lookups!$K$7,"High",IF($P87&lt;=Lookups!$K$8,"Low","Medium"))))</f>
        <v>High</v>
      </c>
      <c r="AJ87" s="5" t="str">
        <f>IF($A87="","",IF($AD87="","",IF($AD87&lt;5,"Under 5 C",IF($AD87&lt;10,"5-10 C",IF($AD87&lt;15,"10-15 C","15 C and above")))))</f>
        <v>10-15 C</v>
      </c>
      <c r="AK87" s="5">
        <f>IF($A87="","",IF($P87="","",$P87^2))</f>
        <v>44944</v>
      </c>
      <c r="AL87" s="18">
        <f>IF($V87&lt;&gt;1,"",AVERAGEIFS(Clean_Data!$P$2:$P$1001,Clean_Data!$F$2:$F$1001,$F87,Clean_Data!$W$2:$W$1001,$W87,Clean_Data!$V$2:$V$1001,1))</f>
        <v>165.566666666667</v>
      </c>
      <c r="AM87" s="16">
        <f>IF($V87&lt;&gt;1,"",IFERROR(($P87-$AL87)/SQRT(MAX(0,(SUMIFS(Clean_Data!$AK$2:$AK$1001,Clean_Data!$F$2:$F$1001,$F87,Clean_Data!$W$2:$W$1001,$W87,Clean_Data!$V$2:$V$1001,1)-COUNTIFS(Clean_Data!$F$2:$F$1001,$F87,Clean_Data!$W$2:$W$1001,$W87,Clean_Data!$V$2:$V$1001,1)*$AL87^2)/(COUNTIFS(Clean_Data!$F$2:$F$1001,$F87,Clean_Data!$W$2:$W$1001,$W87,Clean_Data!$V$2:$V$1001,1)-1))),""))</f>
        <v>1.05498958401105</v>
      </c>
      <c r="AN87" s="5" t="str">
        <f>IF($AM87="","",IF($AM87&gt;=Lookups!$K$6,"High spike",IF($AM87&lt;=-Lookups!$K$6,"Unusual low","Normal")))</f>
        <v>Normal</v>
      </c>
      <c r="AO87" s="20">
        <f>IF($V87&lt;&gt;1,"",$P87+ROW()/100000)</f>
        <v>212.00087</v>
      </c>
      <c r="AP87" s="5">
        <f>IF($A87="","",IFERROR(MATCH($A87,Raw_D1!$A$2:$A$1001,0),""))</f>
        <v>86</v>
      </c>
      <c r="AQ87" s="5">
        <f>IF($A87="","",IFERROR(MATCH($A87,Raw_D2!$B$2:$B$1001,0),""))</f>
        <v>86</v>
      </c>
      <c r="AR87" s="5">
        <f>IF($A87="","",IFERROR(MATCH($A87,Raw_D3!$A$2:$A$1001,0),""))</f>
        <v/>
      </c>
    </row>
    <row r="88" spans="1:44" x14ac:dyDescent="0.25">
      <c r="A88" s="5">
        <v>87</v>
      </c>
      <c r="B88" s="11">
        <f>IF($A88="","",IF($AP88&lt;&gt;"",INDEX(Raw_D1!$B$2:$B$1001,$AP88),IF($AR88&lt;&gt;"",INDEX(Raw_D3!$B$2:$B$1001,$AR88),"")))</f>
        <v>40547.0</v>
      </c>
      <c r="C88" s="5">
        <f>IF($A88="","",IF($AP88&lt;&gt;"",INDEX(Raw_D1!$C$2:$C$1001,$AP88),IF($AR88&lt;&gt;"",INDEX(Raw_D3!$C$2:$C$1001,$AR88),"")))</f>
        <v>1</v>
      </c>
      <c r="D88" s="5">
        <f>IF($A88="","",IF($AP88&lt;&gt;"",INDEX(Raw_D1!$D$2:$D$1001,$AP88),IF($AR88&lt;&gt;"",INDEX(Raw_D3!$D$2:$D$1001,$AR88),"")))</f>
        <v>0</v>
      </c>
      <c r="E88" s="5">
        <f>IF($A88="","",IF($AP88&lt;&gt;"",INDEX(Raw_D1!$E$2:$E$1001,$AP88),IF($AR88&lt;&gt;"",INDEX(Raw_D3!$E$2:$E$1001,$AR88),"")))</f>
        <v>1</v>
      </c>
      <c r="F88" s="5">
        <f>IF($A88="","",IF($AP88&lt;&gt;"",INDEX(Raw_D1!$F$2:$F$1001,$AP88),IF($AR88&lt;&gt;"",INDEX(Raw_D3!$F$2:$F$1001,$AR88),"")))</f>
        <v>18</v>
      </c>
      <c r="G88" s="5">
        <f>IF($A88="","",IF($AP88&lt;&gt;"",IF(INDEX(Raw_D1!$G$2:$G$1001,$AP88),1,0),IF($AR88&lt;&gt;"",IF(INDEX(Raw_D3!$G$2:$G$1001,$AR88),1,0),"")))</f>
        <v>0</v>
      </c>
      <c r="H88" s="5">
        <f>IF($A88="","",IF($AP88&lt;&gt;"",INDEX(Raw_D1!$H$2:$H$1001,$AP88),IF($AR88&lt;&gt;"",INDEX(Raw_D3!$H$2:$H$1001,$AR88),"")))</f>
        <v>2</v>
      </c>
      <c r="I88" s="5">
        <f>IF($A88="","",IF($AP88&lt;&gt;"",INDEX(Raw_D1!$I$2:$I$1001,$AP88),IF($AR88&lt;&gt;"",INDEX(Raw_D3!$I$2:$I$1001,$AR88),"")))</f>
        <v>1</v>
      </c>
      <c r="J88" s="16">
        <f>IF($A88="","",IF($AP88&lt;&gt;"",INDEX(Raw_D1!$J$2:$J$1001,$AP88),IF($AR88&lt;&gt;"",INDEX(Raw_D3!$J$2:$J$1001,$AR88),"")))</f>
        <v>0.26</v>
      </c>
      <c r="K88" s="17">
        <f>IF($A88="","",IF($AQ88&lt;&gt;"",IF(INDEX(Raw_D2!$C$2:$C$1001,$AQ88)="","",INDEX(Raw_D2!$C$2:$C$1001,$AQ88)),IF($AR88&lt;&gt;"",IF(INDEX(Raw_D3!$K$2:$K$1001,$AR88)="","",INDEX(Raw_D3!$K$2:$K$1001,$AR88)),"")))</f>
        <v>0.2576</v>
      </c>
      <c r="L88" s="16">
        <f>IF($A88="","",IF($AQ88&lt;&gt;"",IF(INDEX(Raw_D2!$D$2:$D$1001,$AQ88)="","",INDEX(Raw_D2!$D$2:$D$1001,$AQ88)),IF($AR88&lt;&gt;"",IF(INDEX(Raw_D3!$L$2:$L$1001,$AR88)="","",INDEX(Raw_D3!$L$2:$L$1001,$AR88)),"")))</f>
        <v>0.48</v>
      </c>
      <c r="M88" s="17">
        <f>IF($A88="","",IF($AQ88&lt;&gt;"",IF(INDEX(Raw_D2!$E$2:$E$1001,$AQ88)="","",INDEX(Raw_D2!$E$2:$E$1001,$AQ88)),IF($AR88&lt;&gt;"",IF(INDEX(Raw_D3!$M$2:$M$1001,$AR88)="","",INDEX(Raw_D3!$M$2:$M$1001,$AR88)),"")))</f>
        <v>0.194</v>
      </c>
      <c r="N88" s="5">
        <f>IF($A88="","",IF($AQ88&lt;&gt;"",IF(INDEX(Raw_D2!$F$2:$F$1001,$AQ88)="","",INDEX(Raw_D2!$F$2:$F$1001,$AQ88)),IF($AR88&lt;&gt;"",IF(INDEX(Raw_D3!$N$2:$N$1001,$AR88)="","",INDEX(Raw_D3!$N$2:$N$1001,$AR88)),"")))</f>
        <v>3</v>
      </c>
      <c r="O88" s="5">
        <f>IF($A88="","",IF($AQ88&lt;&gt;"",IF(INDEX(Raw_D2!$G$2:$G$1001,$AQ88)="","",INDEX(Raw_D2!$G$2:$G$1001,$AQ88)),IF($AR88&lt;&gt;"",IF(INDEX(Raw_D3!$O$2:$O$1001,$AR88)="","",INDEX(Raw_D3!$O$2:$O$1001,$AR88)),"")))</f>
        <v>179</v>
      </c>
      <c r="P88" s="5">
        <f>IF($A88="","",IF($AQ88&lt;&gt;"",IF(INDEX(Raw_D2!$H$2:$H$1001,$AQ88)="","",INDEX(Raw_D2!$H$2:$H$1001,$AQ88)),IF($AR88&lt;&gt;"",IF(INDEX(Raw_D3!$P$2:$P$1001,$AR88)="","",INDEX(Raw_D3!$P$2:$P$1001,$AR88)),"")))</f>
        <v>182</v>
      </c>
      <c r="Q88" s="5" t="str">
        <f>IF($A88="","",IF(AND($AP88&lt;&gt;"",$AQ88&lt;&gt;""),"D1+D2",IF($AR88&lt;&gt;"","D3","Incomplete")))</f>
        <v>D1+D2</v>
      </c>
      <c r="R88" s="17">
        <f>IF($A88="","",IF($K88="",IF($J88="","",ROUND(Lookups!$K$5+Lookups!$K$4*$J88,4)),$K88))</f>
        <v>0.2576</v>
      </c>
      <c r="S88" s="5" t="str">
        <f>IF($A88="","",IF($K88="","Imputed","Original"))</f>
        <v>Original</v>
      </c>
      <c r="T88" s="5" t="str">
        <f>IF($A88="","",IF($P88="","Missing",IF($P88=$N88+$O88,"OK","Mismatch")))</f>
        <v>OK</v>
      </c>
      <c r="U88" s="5" t="str">
        <f>IF($A88="","",IF(COUNTIF($A$2:$A88,$A88)&gt;1,"Duplicate","Unique"))</f>
        <v>Unique</v>
      </c>
      <c r="V88" s="5">
        <f>IF($A88="","",IF(AND($U88="Unique",ISNUMBER($P88)),1,0))</f>
        <v>1</v>
      </c>
      <c r="W88" s="5" t="str">
        <f>IF($A88="","",IF(OR($H88=0,$H88=6),"Weekend","Weekday"))</f>
        <v>Weekday</v>
      </c>
      <c r="X88" s="5" t="str">
        <f>IF($A88="","",TEXT($B88,"ddd"))</f>
        <v>Tue</v>
      </c>
      <c r="Y88" s="5" t="str">
        <f>IF($A88="","",TEXT($B88,"mmm"))</f>
        <v>Jan</v>
      </c>
      <c r="Z88" s="5" t="str">
        <f>IF($A88="","",IFERROR(VLOOKUP($C88,Lookups!$D$4:$E$7,2,FALSE),"Unknown"))</f>
        <v>Winter</v>
      </c>
      <c r="AA88" s="5" t="str">
        <f>IF($A88="","",IFERROR(VLOOKUP($I88,Lookups!$A$4:$B$7,2,FALSE),"Unknown"))</f>
        <v>Clear</v>
      </c>
      <c r="AB88" s="5" t="str">
        <f>IF($A88="","",TEXT($F88,"00")&amp;":00")</f>
        <v>18:00</v>
      </c>
      <c r="AC88" s="5" t="str">
        <f>IF($A88="","",VLOOKUP($F88,Lookups!$G$4:$H$8,2,TRUE))</f>
        <v>Evening Peak (16-19)</v>
      </c>
      <c r="AD88" s="18">
        <f>IF($A88="","",IF($J88="","",ROUND($J88*41,1)))</f>
        <v>10.7</v>
      </c>
      <c r="AE88" s="18">
        <f>IF($A88="","",IF($R88="","",ROUND($R88*50,1)))</f>
        <v>12.9</v>
      </c>
      <c r="AF88" s="5">
        <f>IF($A88="","",IF($L88="","",ROUND($L88*100,0)))</f>
        <v>48</v>
      </c>
      <c r="AG88" s="18">
        <f>IF($A88="","",IF($M88="","",ROUND($M88*67,1)))</f>
        <v>13</v>
      </c>
      <c r="AH88" s="19">
        <f>IF($A88="","",IF($P88="","",IF($P88=0,0,$O88/$P88)))</f>
        <v>0.983516483516484</v>
      </c>
      <c r="AI88" s="5" t="str">
        <f>IF($A88="","",IF($P88="","",IF($P88&gt;=Lookups!$K$7,"High",IF($P88&lt;=Lookups!$K$8,"Low","Medium"))))</f>
        <v>High</v>
      </c>
      <c r="AJ88" s="5" t="str">
        <f>IF($A88="","",IF($AD88="","",IF($AD88&lt;5,"Under 5 C",IF($AD88&lt;10,"5-10 C",IF($AD88&lt;15,"10-15 C","15 C and above")))))</f>
        <v>10-15 C</v>
      </c>
      <c r="AK88" s="5">
        <f>IF($A88="","",IF($P88="","",$P88^2))</f>
        <v>33124</v>
      </c>
      <c r="AL88" s="18">
        <f>IF($V88&lt;&gt;1,"",AVERAGEIFS(Clean_Data!$P$2:$P$1001,Clean_Data!$F$2:$F$1001,$F88,Clean_Data!$W$2:$W$1001,$W88,Clean_Data!$V$2:$V$1001,1))</f>
        <v>151.206896551724</v>
      </c>
      <c r="AM88" s="16">
        <f>IF($V88&lt;&gt;1,"",IFERROR(($P88-$AL88)/SQRT(MAX(0,(SUMIFS(Clean_Data!$AK$2:$AK$1001,Clean_Data!$F$2:$F$1001,$F88,Clean_Data!$W$2:$W$1001,$W88,Clean_Data!$V$2:$V$1001,1)-COUNTIFS(Clean_Data!$F$2:$F$1001,$F88,Clean_Data!$W$2:$W$1001,$W88,Clean_Data!$V$2:$V$1001,1)*$AL88^2)/(COUNTIFS(Clean_Data!$F$2:$F$1001,$F88,Clean_Data!$W$2:$W$1001,$W88,Clean_Data!$V$2:$V$1001,1)-1))),""))</f>
        <v>1.04919207396465</v>
      </c>
      <c r="AN88" s="5" t="str">
        <f>IF($AM88="","",IF($AM88&gt;=Lookups!$K$6,"High spike",IF($AM88&lt;=-Lookups!$K$6,"Unusual low","Normal")))</f>
        <v>Normal</v>
      </c>
      <c r="AO88" s="20">
        <f>IF($V88&lt;&gt;1,"",$P88+ROW()/100000)</f>
        <v>182.00088</v>
      </c>
      <c r="AP88" s="5">
        <f>IF($A88="","",IFERROR(MATCH($A88,Raw_D1!$A$2:$A$1001,0),""))</f>
        <v>87</v>
      </c>
      <c r="AQ88" s="5">
        <f>IF($A88="","",IFERROR(MATCH($A88,Raw_D2!$B$2:$B$1001,0),""))</f>
        <v>87</v>
      </c>
      <c r="AR88" s="5">
        <f>IF($A88="","",IFERROR(MATCH($A88,Raw_D3!$A$2:$A$1001,0),""))</f>
        <v/>
      </c>
    </row>
    <row r="89" spans="1:44" x14ac:dyDescent="0.25">
      <c r="A89" s="5">
        <v>88</v>
      </c>
      <c r="B89" s="11">
        <f>IF($A89="","",IF($AP89&lt;&gt;"",INDEX(Raw_D1!$B$2:$B$1001,$AP89),IF($AR89&lt;&gt;"",INDEX(Raw_D3!$B$2:$B$1001,$AR89),"")))</f>
        <v>40547.0</v>
      </c>
      <c r="C89" s="5">
        <f>IF($A89="","",IF($AP89&lt;&gt;"",INDEX(Raw_D1!$C$2:$C$1001,$AP89),IF($AR89&lt;&gt;"",INDEX(Raw_D3!$C$2:$C$1001,$AR89),"")))</f>
        <v>1</v>
      </c>
      <c r="D89" s="5">
        <f>IF($A89="","",IF($AP89&lt;&gt;"",INDEX(Raw_D1!$D$2:$D$1001,$AP89),IF($AR89&lt;&gt;"",INDEX(Raw_D3!$D$2:$D$1001,$AR89),"")))</f>
        <v>0</v>
      </c>
      <c r="E89" s="5">
        <f>IF($A89="","",IF($AP89&lt;&gt;"",INDEX(Raw_D1!$E$2:$E$1001,$AP89),IF($AR89&lt;&gt;"",INDEX(Raw_D3!$E$2:$E$1001,$AR89),"")))</f>
        <v>1</v>
      </c>
      <c r="F89" s="5">
        <f>IF($A89="","",IF($AP89&lt;&gt;"",INDEX(Raw_D1!$F$2:$F$1001,$AP89),IF($AR89&lt;&gt;"",INDEX(Raw_D3!$F$2:$F$1001,$AR89),"")))</f>
        <v>19</v>
      </c>
      <c r="G89" s="5">
        <f>IF($A89="","",IF($AP89&lt;&gt;"",IF(INDEX(Raw_D1!$G$2:$G$1001,$AP89),1,0),IF($AR89&lt;&gt;"",IF(INDEX(Raw_D3!$G$2:$G$1001,$AR89),1,0),"")))</f>
        <v>0</v>
      </c>
      <c r="H89" s="5">
        <f>IF($A89="","",IF($AP89&lt;&gt;"",INDEX(Raw_D1!$H$2:$H$1001,$AP89),IF($AR89&lt;&gt;"",INDEX(Raw_D3!$H$2:$H$1001,$AR89),"")))</f>
        <v>2</v>
      </c>
      <c r="I89" s="5">
        <f>IF($A89="","",IF($AP89&lt;&gt;"",INDEX(Raw_D1!$I$2:$I$1001,$AP89),IF($AR89&lt;&gt;"",INDEX(Raw_D3!$I$2:$I$1001,$AR89),"")))</f>
        <v>1</v>
      </c>
      <c r="J89" s="16">
        <f>IF($A89="","",IF($AP89&lt;&gt;"",INDEX(Raw_D1!$J$2:$J$1001,$AP89),IF($AR89&lt;&gt;"",INDEX(Raw_D3!$J$2:$J$1001,$AR89),"")))</f>
        <v>0.24</v>
      </c>
      <c r="K89" s="17">
        <f>IF($A89="","",IF($AQ89&lt;&gt;"",IF(INDEX(Raw_D2!$C$2:$C$1001,$AQ89)="","",INDEX(Raw_D2!$C$2:$C$1001,$AQ89)),IF($AR89&lt;&gt;"",IF(INDEX(Raw_D3!$K$2:$K$1001,$AR89)="","",INDEX(Raw_D3!$K$2:$K$1001,$AR89)),"")))</f>
        <v>0.2576</v>
      </c>
      <c r="L89" s="16">
        <f>IF($A89="","",IF($AQ89&lt;&gt;"",IF(INDEX(Raw_D2!$D$2:$D$1001,$AQ89)="","",INDEX(Raw_D2!$D$2:$D$1001,$AQ89)),IF($AR89&lt;&gt;"",IF(INDEX(Raw_D3!$L$2:$L$1001,$AR89)="","",INDEX(Raw_D3!$L$2:$L$1001,$AR89)),"")))</f>
        <v>0.48</v>
      </c>
      <c r="M89" s="17">
        <f>IF($A89="","",IF($AQ89&lt;&gt;"",IF(INDEX(Raw_D2!$E$2:$E$1001,$AQ89)="","",INDEX(Raw_D2!$E$2:$E$1001,$AQ89)),IF($AR89&lt;&gt;"",IF(INDEX(Raw_D3!$M$2:$M$1001,$AR89)="","",INDEX(Raw_D3!$M$2:$M$1001,$AR89)),"")))</f>
        <v>0.1045</v>
      </c>
      <c r="N89" s="5">
        <f>IF($A89="","",IF($AQ89&lt;&gt;"",IF(INDEX(Raw_D2!$F$2:$F$1001,$AQ89)="","",INDEX(Raw_D2!$F$2:$F$1001,$AQ89)),IF($AR89&lt;&gt;"",IF(INDEX(Raw_D3!$N$2:$N$1001,$AR89)="","",INDEX(Raw_D3!$N$2:$N$1001,$AR89)),"")))</f>
        <v>2</v>
      </c>
      <c r="O89" s="5">
        <f>IF($A89="","",IF($AQ89&lt;&gt;"",IF(INDEX(Raw_D2!$G$2:$G$1001,$AQ89)="","",INDEX(Raw_D2!$G$2:$G$1001,$AQ89)),IF($AR89&lt;&gt;"",IF(INDEX(Raw_D3!$O$2:$O$1001,$AR89)="","",INDEX(Raw_D3!$O$2:$O$1001,$AR89)),"")))</f>
        <v>110</v>
      </c>
      <c r="P89" s="5">
        <f>IF($A89="","",IF($AQ89&lt;&gt;"",IF(INDEX(Raw_D2!$H$2:$H$1001,$AQ89)="","",INDEX(Raw_D2!$H$2:$H$1001,$AQ89)),IF($AR89&lt;&gt;"",IF(INDEX(Raw_D3!$P$2:$P$1001,$AR89)="","",INDEX(Raw_D3!$P$2:$P$1001,$AR89)),"")))</f>
        <v>112</v>
      </c>
      <c r="Q89" s="5" t="str">
        <f>IF($A89="","",IF(AND($AP89&lt;&gt;"",$AQ89&lt;&gt;""),"D1+D2",IF($AR89&lt;&gt;"","D3","Incomplete")))</f>
        <v>D1+D2</v>
      </c>
      <c r="R89" s="17">
        <f>IF($A89="","",IF($K89="",IF($J89="","",ROUND(Lookups!$K$5+Lookups!$K$4*$J89,4)),$K89))</f>
        <v>0.2576</v>
      </c>
      <c r="S89" s="5" t="str">
        <f>IF($A89="","",IF($K89="","Imputed","Original"))</f>
        <v>Original</v>
      </c>
      <c r="T89" s="5" t="str">
        <f>IF($A89="","",IF($P89="","Missing",IF($P89=$N89+$O89,"OK","Mismatch")))</f>
        <v>OK</v>
      </c>
      <c r="U89" s="5" t="str">
        <f>IF($A89="","",IF(COUNTIF($A$2:$A89,$A89)&gt;1,"Duplicate","Unique"))</f>
        <v>Unique</v>
      </c>
      <c r="V89" s="5">
        <f>IF($A89="","",IF(AND($U89="Unique",ISNUMBER($P89)),1,0))</f>
        <v>1</v>
      </c>
      <c r="W89" s="5" t="str">
        <f>IF($A89="","",IF(OR($H89=0,$H89=6),"Weekend","Weekday"))</f>
        <v>Weekday</v>
      </c>
      <c r="X89" s="5" t="str">
        <f>IF($A89="","",TEXT($B89,"ddd"))</f>
        <v>Tue</v>
      </c>
      <c r="Y89" s="5" t="str">
        <f>IF($A89="","",TEXT($B89,"mmm"))</f>
        <v>Jan</v>
      </c>
      <c r="Z89" s="5" t="str">
        <f>IF($A89="","",IFERROR(VLOOKUP($C89,Lookups!$D$4:$E$7,2,FALSE),"Unknown"))</f>
        <v>Winter</v>
      </c>
      <c r="AA89" s="5" t="str">
        <f>IF($A89="","",IFERROR(VLOOKUP($I89,Lookups!$A$4:$B$7,2,FALSE),"Unknown"))</f>
        <v>Clear</v>
      </c>
      <c r="AB89" s="5" t="str">
        <f>IF($A89="","",TEXT($F89,"00")&amp;":00")</f>
        <v>19:00</v>
      </c>
      <c r="AC89" s="5" t="str">
        <f>IF($A89="","",VLOOKUP($F89,Lookups!$G$4:$H$8,2,TRUE))</f>
        <v>Evening Peak (16-19)</v>
      </c>
      <c r="AD89" s="18">
        <f>IF($A89="","",IF($J89="","",ROUND($J89*41,1)))</f>
        <v>9.8</v>
      </c>
      <c r="AE89" s="18">
        <f>IF($A89="","",IF($R89="","",ROUND($R89*50,1)))</f>
        <v>12.9</v>
      </c>
      <c r="AF89" s="5">
        <f>IF($A89="","",IF($L89="","",ROUND($L89*100,0)))</f>
        <v>48</v>
      </c>
      <c r="AG89" s="18">
        <f>IF($A89="","",IF($M89="","",ROUND($M89*67,1)))</f>
        <v>7</v>
      </c>
      <c r="AH89" s="19">
        <f>IF($A89="","",IF($P89="","",IF($P89=0,0,$O89/$P89)))</f>
        <v>0.982142857142857</v>
      </c>
      <c r="AI89" s="5" t="str">
        <f>IF($A89="","",IF($P89="","",IF($P89&gt;=Lookups!$K$7,"High",IF($P89&lt;=Lookups!$K$8,"Low","Medium"))))</f>
        <v>High</v>
      </c>
      <c r="AJ89" s="5" t="str">
        <f>IF($A89="","",IF($AD89="","",IF($AD89&lt;5,"Under 5 C",IF($AD89&lt;10,"5-10 C",IF($AD89&lt;15,"10-15 C","15 C and above")))))</f>
        <v>5-10 C</v>
      </c>
      <c r="AK89" s="5">
        <f>IF($A89="","",IF($P89="","",$P89^2))</f>
        <v>12544</v>
      </c>
      <c r="AL89" s="18">
        <f>IF($V89&lt;&gt;1,"",AVERAGEIFS(Clean_Data!$P$2:$P$1001,Clean_Data!$F$2:$F$1001,$F89,Clean_Data!$W$2:$W$1001,$W89,Clean_Data!$V$2:$V$1001,1))</f>
        <v>102.034482758621</v>
      </c>
      <c r="AM89" s="16">
        <f>IF($V89&lt;&gt;1,"",IFERROR(($P89-$AL89)/SQRT(MAX(0,(SUMIFS(Clean_Data!$AK$2:$AK$1001,Clean_Data!$F$2:$F$1001,$F89,Clean_Data!$W$2:$W$1001,$W89,Clean_Data!$V$2:$V$1001,1)-COUNTIFS(Clean_Data!$F$2:$F$1001,$F89,Clean_Data!$W$2:$W$1001,$W89,Clean_Data!$V$2:$V$1001,1)*$AL89^2)/(COUNTIFS(Clean_Data!$F$2:$F$1001,$F89,Clean_Data!$W$2:$W$1001,$W89,Clean_Data!$V$2:$V$1001,1)-1))),""))</f>
        <v>0.469017164977196</v>
      </c>
      <c r="AN89" s="5" t="str">
        <f>IF($AM89="","",IF($AM89&gt;=Lookups!$K$6,"High spike",IF($AM89&lt;=-Lookups!$K$6,"Unusual low","Normal")))</f>
        <v>Normal</v>
      </c>
      <c r="AO89" s="20">
        <f>IF($V89&lt;&gt;1,"",$P89+ROW()/100000)</f>
        <v>112.00089</v>
      </c>
      <c r="AP89" s="5">
        <f>IF($A89="","",IFERROR(MATCH($A89,Raw_D1!$A$2:$A$1001,0),""))</f>
        <v>88</v>
      </c>
      <c r="AQ89" s="5">
        <f>IF($A89="","",IFERROR(MATCH($A89,Raw_D2!$B$2:$B$1001,0),""))</f>
        <v>88</v>
      </c>
      <c r="AR89" s="5">
        <f>IF($A89="","",IFERROR(MATCH($A89,Raw_D3!$A$2:$A$1001,0),""))</f>
        <v/>
      </c>
    </row>
    <row r="90" spans="1:44" x14ac:dyDescent="0.25">
      <c r="A90" s="5">
        <v>89</v>
      </c>
      <c r="B90" s="11">
        <f>IF($A90="","",IF($AP90&lt;&gt;"",INDEX(Raw_D1!$B$2:$B$1001,$AP90),IF($AR90&lt;&gt;"",INDEX(Raw_D3!$B$2:$B$1001,$AR90),"")))</f>
        <v>40547.0</v>
      </c>
      <c r="C90" s="5">
        <f>IF($A90="","",IF($AP90&lt;&gt;"",INDEX(Raw_D1!$C$2:$C$1001,$AP90),IF($AR90&lt;&gt;"",INDEX(Raw_D3!$C$2:$C$1001,$AR90),"")))</f>
        <v>1</v>
      </c>
      <c r="D90" s="5">
        <f>IF($A90="","",IF($AP90&lt;&gt;"",INDEX(Raw_D1!$D$2:$D$1001,$AP90),IF($AR90&lt;&gt;"",INDEX(Raw_D3!$D$2:$D$1001,$AR90),"")))</f>
        <v>0</v>
      </c>
      <c r="E90" s="5">
        <f>IF($A90="","",IF($AP90&lt;&gt;"",INDEX(Raw_D1!$E$2:$E$1001,$AP90),IF($AR90&lt;&gt;"",INDEX(Raw_D3!$E$2:$E$1001,$AR90),"")))</f>
        <v>1</v>
      </c>
      <c r="F90" s="5">
        <f>IF($A90="","",IF($AP90&lt;&gt;"",INDEX(Raw_D1!$F$2:$F$1001,$AP90),IF($AR90&lt;&gt;"",INDEX(Raw_D3!$F$2:$F$1001,$AR90),"")))</f>
        <v>20</v>
      </c>
      <c r="G90" s="5">
        <f>IF($A90="","",IF($AP90&lt;&gt;"",IF(INDEX(Raw_D1!$G$2:$G$1001,$AP90),1,0),IF($AR90&lt;&gt;"",IF(INDEX(Raw_D3!$G$2:$G$1001,$AR90),1,0),"")))</f>
        <v>0</v>
      </c>
      <c r="H90" s="5">
        <f>IF($A90="","",IF($AP90&lt;&gt;"",INDEX(Raw_D1!$H$2:$H$1001,$AP90),IF($AR90&lt;&gt;"",INDEX(Raw_D3!$H$2:$H$1001,$AR90),"")))</f>
        <v>2</v>
      </c>
      <c r="I90" s="5">
        <f>IF($A90="","",IF($AP90&lt;&gt;"",INDEX(Raw_D1!$I$2:$I$1001,$AP90),IF($AR90&lt;&gt;"",INDEX(Raw_D3!$I$2:$I$1001,$AR90),"")))</f>
        <v>1</v>
      </c>
      <c r="J90" s="16">
        <f>IF($A90="","",IF($AP90&lt;&gt;"",INDEX(Raw_D1!$J$2:$J$1001,$AP90),IF($AR90&lt;&gt;"",INDEX(Raw_D3!$J$2:$J$1001,$AR90),"")))</f>
        <v>0.24</v>
      </c>
      <c r="K90" s="17">
        <f>IF($A90="","",IF($AQ90&lt;&gt;"",IF(INDEX(Raw_D2!$C$2:$C$1001,$AQ90)="","",INDEX(Raw_D2!$C$2:$C$1001,$AQ90)),IF($AR90&lt;&gt;"",IF(INDEX(Raw_D3!$K$2:$K$1001,$AR90)="","",INDEX(Raw_D3!$K$2:$K$1001,$AR90)),"")))</f>
        <v>0.2576</v>
      </c>
      <c r="L90" s="16">
        <f>IF($A90="","",IF($AQ90&lt;&gt;"",IF(INDEX(Raw_D2!$D$2:$D$1001,$AQ90)="","",INDEX(Raw_D2!$D$2:$D$1001,$AQ90)),IF($AR90&lt;&gt;"",IF(INDEX(Raw_D3!$L$2:$L$1001,$AR90)="","",INDEX(Raw_D3!$L$2:$L$1001,$AR90)),"")))</f>
        <v>0.48</v>
      </c>
      <c r="M90" s="17">
        <f>IF($A90="","",IF($AQ90&lt;&gt;"",IF(INDEX(Raw_D2!$E$2:$E$1001,$AQ90)="","",INDEX(Raw_D2!$E$2:$E$1001,$AQ90)),IF($AR90&lt;&gt;"",IF(INDEX(Raw_D3!$M$2:$M$1001,$AR90)="","",INDEX(Raw_D3!$M$2:$M$1001,$AR90)),"")))</f>
        <v>0.1045</v>
      </c>
      <c r="N90" s="5">
        <f>IF($A90="","",IF($AQ90&lt;&gt;"",IF(INDEX(Raw_D2!$F$2:$F$1001,$AQ90)="","",INDEX(Raw_D2!$F$2:$F$1001,$AQ90)),IF($AR90&lt;&gt;"",IF(INDEX(Raw_D3!$N$2:$N$1001,$AR90)="","",INDEX(Raw_D3!$N$2:$N$1001,$AR90)),"")))</f>
        <v>1</v>
      </c>
      <c r="O90" s="5">
        <f>IF($A90="","",IF($AQ90&lt;&gt;"",IF(INDEX(Raw_D2!$G$2:$G$1001,$AQ90)="","",INDEX(Raw_D2!$G$2:$G$1001,$AQ90)),IF($AR90&lt;&gt;"",IF(INDEX(Raw_D3!$O$2:$O$1001,$AR90)="","",INDEX(Raw_D3!$O$2:$O$1001,$AR90)),"")))</f>
        <v>53</v>
      </c>
      <c r="P90" s="5">
        <f>IF($A90="","",IF($AQ90&lt;&gt;"",IF(INDEX(Raw_D2!$H$2:$H$1001,$AQ90)="","",INDEX(Raw_D2!$H$2:$H$1001,$AQ90)),IF($AR90&lt;&gt;"",IF(INDEX(Raw_D3!$P$2:$P$1001,$AR90)="","",INDEX(Raw_D3!$P$2:$P$1001,$AR90)),"")))</f>
        <v>54</v>
      </c>
      <c r="Q90" s="5" t="str">
        <f>IF($A90="","",IF(AND($AP90&lt;&gt;"",$AQ90&lt;&gt;""),"D1+D2",IF($AR90&lt;&gt;"","D3","Incomplete")))</f>
        <v>D1+D2</v>
      </c>
      <c r="R90" s="17">
        <f>IF($A90="","",IF($K90="",IF($J90="","",ROUND(Lookups!$K$5+Lookups!$K$4*$J90,4)),$K90))</f>
        <v>0.2576</v>
      </c>
      <c r="S90" s="5" t="str">
        <f>IF($A90="","",IF($K90="","Imputed","Original"))</f>
        <v>Original</v>
      </c>
      <c r="T90" s="5" t="str">
        <f>IF($A90="","",IF($P90="","Missing",IF($P90=$N90+$O90,"OK","Mismatch")))</f>
        <v>OK</v>
      </c>
      <c r="U90" s="5" t="str">
        <f>IF($A90="","",IF(COUNTIF($A$2:$A90,$A90)&gt;1,"Duplicate","Unique"))</f>
        <v>Unique</v>
      </c>
      <c r="V90" s="5">
        <f>IF($A90="","",IF(AND($U90="Unique",ISNUMBER($P90)),1,0))</f>
        <v>1</v>
      </c>
      <c r="W90" s="5" t="str">
        <f>IF($A90="","",IF(OR($H90=0,$H90=6),"Weekend","Weekday"))</f>
        <v>Weekday</v>
      </c>
      <c r="X90" s="5" t="str">
        <f>IF($A90="","",TEXT($B90,"ddd"))</f>
        <v>Tue</v>
      </c>
      <c r="Y90" s="5" t="str">
        <f>IF($A90="","",TEXT($B90,"mmm"))</f>
        <v>Jan</v>
      </c>
      <c r="Z90" s="5" t="str">
        <f>IF($A90="","",IFERROR(VLOOKUP($C90,Lookups!$D$4:$E$7,2,FALSE),"Unknown"))</f>
        <v>Winter</v>
      </c>
      <c r="AA90" s="5" t="str">
        <f>IF($A90="","",IFERROR(VLOOKUP($I90,Lookups!$A$4:$B$7,2,FALSE),"Unknown"))</f>
        <v>Clear</v>
      </c>
      <c r="AB90" s="5" t="str">
        <f>IF($A90="","",TEXT($F90,"00")&amp;":00")</f>
        <v>20:00</v>
      </c>
      <c r="AC90" s="5" t="str">
        <f>IF($A90="","",VLOOKUP($F90,Lookups!$G$4:$H$8,2,TRUE))</f>
        <v>Late Evening (20-23)</v>
      </c>
      <c r="AD90" s="18">
        <f>IF($A90="","",IF($J90="","",ROUND($J90*41,1)))</f>
        <v>9.8</v>
      </c>
      <c r="AE90" s="18">
        <f>IF($A90="","",IF($R90="","",ROUND($R90*50,1)))</f>
        <v>12.9</v>
      </c>
      <c r="AF90" s="5">
        <f>IF($A90="","",IF($L90="","",ROUND($L90*100,0)))</f>
        <v>48</v>
      </c>
      <c r="AG90" s="18">
        <f>IF($A90="","",IF($M90="","",ROUND($M90*67,1)))</f>
        <v>7</v>
      </c>
      <c r="AH90" s="19">
        <f>IF($A90="","",IF($P90="","",IF($P90=0,0,$O90/$P90)))</f>
        <v>0.981481481481482</v>
      </c>
      <c r="AI90" s="5" t="str">
        <f>IF($A90="","",IF($P90="","",IF($P90&gt;=Lookups!$K$7,"High",IF($P90&lt;=Lookups!$K$8,"Low","Medium"))))</f>
        <v>Medium</v>
      </c>
      <c r="AJ90" s="5" t="str">
        <f>IF($A90="","",IF($AD90="","",IF($AD90&lt;5,"Under 5 C",IF($AD90&lt;10,"5-10 C",IF($AD90&lt;15,"10-15 C","15 C and above")))))</f>
        <v>5-10 C</v>
      </c>
      <c r="AK90" s="5">
        <f>IF($A90="","",IF($P90="","",$P90^2))</f>
        <v>2916</v>
      </c>
      <c r="AL90" s="18">
        <f>IF($V90&lt;&gt;1,"",AVERAGEIFS(Clean_Data!$P$2:$P$1001,Clean_Data!$F$2:$F$1001,$F90,Clean_Data!$W$2:$W$1001,$W90,Clean_Data!$V$2:$V$1001,1))</f>
        <v>72.2758620689655</v>
      </c>
      <c r="AM90" s="16">
        <f>IF($V90&lt;&gt;1,"",IFERROR(($P90-$AL90)/SQRT(MAX(0,(SUMIFS(Clean_Data!$AK$2:$AK$1001,Clean_Data!$F$2:$F$1001,$F90,Clean_Data!$W$2:$W$1001,$W90,Clean_Data!$V$2:$V$1001,1)-COUNTIFS(Clean_Data!$F$2:$F$1001,$F90,Clean_Data!$W$2:$W$1001,$W90,Clean_Data!$V$2:$V$1001,1)*$AL90^2)/(COUNTIFS(Clean_Data!$F$2:$F$1001,$F90,Clean_Data!$W$2:$W$1001,$W90,Clean_Data!$V$2:$V$1001,1)-1))),""))</f>
        <v>-0.826952617981873</v>
      </c>
      <c r="AN90" s="5" t="str">
        <f>IF($AM90="","",IF($AM90&gt;=Lookups!$K$6,"High spike",IF($AM90&lt;=-Lookups!$K$6,"Unusual low","Normal")))</f>
        <v>Normal</v>
      </c>
      <c r="AO90" s="20">
        <f>IF($V90&lt;&gt;1,"",$P90+ROW()/100000)</f>
        <v>54.0009</v>
      </c>
      <c r="AP90" s="5">
        <f>IF($A90="","",IFERROR(MATCH($A90,Raw_D1!$A$2:$A$1001,0),""))</f>
        <v>89</v>
      </c>
      <c r="AQ90" s="5">
        <f>IF($A90="","",IFERROR(MATCH($A90,Raw_D2!$B$2:$B$1001,0),""))</f>
        <v>89</v>
      </c>
      <c r="AR90" s="5">
        <f>IF($A90="","",IFERROR(MATCH($A90,Raw_D3!$A$2:$A$1001,0),""))</f>
        <v/>
      </c>
    </row>
    <row r="91" spans="1:44" x14ac:dyDescent="0.25">
      <c r="A91" s="5">
        <v>90</v>
      </c>
      <c r="B91" s="11">
        <f>IF($A91="","",IF($AP91&lt;&gt;"",INDEX(Raw_D1!$B$2:$B$1001,$AP91),IF($AR91&lt;&gt;"",INDEX(Raw_D3!$B$2:$B$1001,$AR91),"")))</f>
        <v>40547.0</v>
      </c>
      <c r="C91" s="5">
        <f>IF($A91="","",IF($AP91&lt;&gt;"",INDEX(Raw_D1!$C$2:$C$1001,$AP91),IF($AR91&lt;&gt;"",INDEX(Raw_D3!$C$2:$C$1001,$AR91),"")))</f>
        <v>1</v>
      </c>
      <c r="D91" s="5">
        <f>IF($A91="","",IF($AP91&lt;&gt;"",INDEX(Raw_D1!$D$2:$D$1001,$AP91),IF($AR91&lt;&gt;"",INDEX(Raw_D3!$D$2:$D$1001,$AR91),"")))</f>
        <v>0</v>
      </c>
      <c r="E91" s="5">
        <f>IF($A91="","",IF($AP91&lt;&gt;"",INDEX(Raw_D1!$E$2:$E$1001,$AP91),IF($AR91&lt;&gt;"",INDEX(Raw_D3!$E$2:$E$1001,$AR91),"")))</f>
        <v>1</v>
      </c>
      <c r="F91" s="5">
        <f>IF($A91="","",IF($AP91&lt;&gt;"",INDEX(Raw_D1!$F$2:$F$1001,$AP91),IF($AR91&lt;&gt;"",INDEX(Raw_D3!$F$2:$F$1001,$AR91),"")))</f>
        <v>21</v>
      </c>
      <c r="G91" s="5">
        <f>IF($A91="","",IF($AP91&lt;&gt;"",IF(INDEX(Raw_D1!$G$2:$G$1001,$AP91),1,0),IF($AR91&lt;&gt;"",IF(INDEX(Raw_D3!$G$2:$G$1001,$AR91),1,0),"")))</f>
        <v>0</v>
      </c>
      <c r="H91" s="5">
        <f>IF($A91="","",IF($AP91&lt;&gt;"",INDEX(Raw_D1!$H$2:$H$1001,$AP91),IF($AR91&lt;&gt;"",INDEX(Raw_D3!$H$2:$H$1001,$AR91),"")))</f>
        <v>2</v>
      </c>
      <c r="I91" s="5">
        <f>IF($A91="","",IF($AP91&lt;&gt;"",INDEX(Raw_D1!$I$2:$I$1001,$AP91),IF($AR91&lt;&gt;"",INDEX(Raw_D3!$I$2:$I$1001,$AR91),"")))</f>
        <v>1</v>
      </c>
      <c r="J91" s="16">
        <f>IF($A91="","",IF($AP91&lt;&gt;"",INDEX(Raw_D1!$J$2:$J$1001,$AP91),IF($AR91&lt;&gt;"",INDEX(Raw_D3!$J$2:$J$1001,$AR91),"")))</f>
        <v>0.22</v>
      </c>
      <c r="K91" s="17">
        <f>IF($A91="","",IF($AQ91&lt;&gt;"",IF(INDEX(Raw_D2!$C$2:$C$1001,$AQ91)="","",INDEX(Raw_D2!$C$2:$C$1001,$AQ91)),IF($AR91&lt;&gt;"",IF(INDEX(Raw_D3!$K$2:$K$1001,$AR91)="","",INDEX(Raw_D3!$K$2:$K$1001,$AR91)),"")))</f>
        <v>0.2727</v>
      </c>
      <c r="L91" s="16">
        <f>IF($A91="","",IF($AQ91&lt;&gt;"",IF(INDEX(Raw_D2!$D$2:$D$1001,$AQ91)="","",INDEX(Raw_D2!$D$2:$D$1001,$AQ91)),IF($AR91&lt;&gt;"",IF(INDEX(Raw_D3!$L$2:$L$1001,$AR91)="","",INDEX(Raw_D3!$L$2:$L$1001,$AR91)),"")))</f>
        <v>0.64</v>
      </c>
      <c r="M91" s="17">
        <f>IF($A91="","",IF($AQ91&lt;&gt;"",IF(INDEX(Raw_D2!$E$2:$E$1001,$AQ91)="","",INDEX(Raw_D2!$E$2:$E$1001,$AQ91)),IF($AR91&lt;&gt;"",IF(INDEX(Raw_D3!$M$2:$M$1001,$AR91)="","",INDEX(Raw_D3!$M$2:$M$1001,$AR91)),"")))</f>
        <v>0</v>
      </c>
      <c r="N91" s="5">
        <f>IF($A91="","",IF($AQ91&lt;&gt;"",IF(INDEX(Raw_D2!$F$2:$F$1001,$AQ91)="","",INDEX(Raw_D2!$F$2:$F$1001,$AQ91)),IF($AR91&lt;&gt;"",IF(INDEX(Raw_D3!$N$2:$N$1001,$AR91)="","",INDEX(Raw_D3!$N$2:$N$1001,$AR91)),"")))</f>
        <v>0</v>
      </c>
      <c r="O91" s="5">
        <f>IF($A91="","",IF($AQ91&lt;&gt;"",IF(INDEX(Raw_D2!$G$2:$G$1001,$AQ91)="","",INDEX(Raw_D2!$G$2:$G$1001,$AQ91)),IF($AR91&lt;&gt;"",IF(INDEX(Raw_D3!$O$2:$O$1001,$AR91)="","",INDEX(Raw_D3!$O$2:$O$1001,$AR91)),"")))</f>
        <v>48</v>
      </c>
      <c r="P91" s="5">
        <f>IF($A91="","",IF($AQ91&lt;&gt;"",IF(INDEX(Raw_D2!$H$2:$H$1001,$AQ91)="","",INDEX(Raw_D2!$H$2:$H$1001,$AQ91)),IF($AR91&lt;&gt;"",IF(INDEX(Raw_D3!$P$2:$P$1001,$AR91)="","",INDEX(Raw_D3!$P$2:$P$1001,$AR91)),"")))</f>
        <v>48</v>
      </c>
      <c r="Q91" s="5" t="str">
        <f>IF($A91="","",IF(AND($AP91&lt;&gt;"",$AQ91&lt;&gt;""),"D1+D2",IF($AR91&lt;&gt;"","D3","Incomplete")))</f>
        <v>D1+D2</v>
      </c>
      <c r="R91" s="17">
        <f>IF($A91="","",IF($K91="",IF($J91="","",ROUND(Lookups!$K$5+Lookups!$K$4*$J91,4)),$K91))</f>
        <v>0.2727</v>
      </c>
      <c r="S91" s="5" t="str">
        <f>IF($A91="","",IF($K91="","Imputed","Original"))</f>
        <v>Original</v>
      </c>
      <c r="T91" s="5" t="str">
        <f>IF($A91="","",IF($P91="","Missing",IF($P91=$N91+$O91,"OK","Mismatch")))</f>
        <v>OK</v>
      </c>
      <c r="U91" s="5" t="str">
        <f>IF($A91="","",IF(COUNTIF($A$2:$A91,$A91)&gt;1,"Duplicate","Unique"))</f>
        <v>Unique</v>
      </c>
      <c r="V91" s="5">
        <f>IF($A91="","",IF(AND($U91="Unique",ISNUMBER($P91)),1,0))</f>
        <v>1</v>
      </c>
      <c r="W91" s="5" t="str">
        <f>IF($A91="","",IF(OR($H91=0,$H91=6),"Weekend","Weekday"))</f>
        <v>Weekday</v>
      </c>
      <c r="X91" s="5" t="str">
        <f>IF($A91="","",TEXT($B91,"ddd"))</f>
        <v>Tue</v>
      </c>
      <c r="Y91" s="5" t="str">
        <f>IF($A91="","",TEXT($B91,"mmm"))</f>
        <v>Jan</v>
      </c>
      <c r="Z91" s="5" t="str">
        <f>IF($A91="","",IFERROR(VLOOKUP($C91,Lookups!$D$4:$E$7,2,FALSE),"Unknown"))</f>
        <v>Winter</v>
      </c>
      <c r="AA91" s="5" t="str">
        <f>IF($A91="","",IFERROR(VLOOKUP($I91,Lookups!$A$4:$B$7,2,FALSE),"Unknown"))</f>
        <v>Clear</v>
      </c>
      <c r="AB91" s="5" t="str">
        <f>IF($A91="","",TEXT($F91,"00")&amp;":00")</f>
        <v>21:00</v>
      </c>
      <c r="AC91" s="5" t="str">
        <f>IF($A91="","",VLOOKUP($F91,Lookups!$G$4:$H$8,2,TRUE))</f>
        <v>Late Evening (20-23)</v>
      </c>
      <c r="AD91" s="18">
        <f>IF($A91="","",IF($J91="","",ROUND($J91*41,1)))</f>
        <v>9</v>
      </c>
      <c r="AE91" s="18">
        <f>IF($A91="","",IF($R91="","",ROUND($R91*50,1)))</f>
        <v>13.6</v>
      </c>
      <c r="AF91" s="5">
        <f>IF($A91="","",IF($L91="","",ROUND($L91*100,0)))</f>
        <v>64</v>
      </c>
      <c r="AG91" s="18">
        <f>IF($A91="","",IF($M91="","",ROUND($M91*67,1)))</f>
        <v>0</v>
      </c>
      <c r="AH91" s="19">
        <f>IF($A91="","",IF($P91="","",IF($P91=0,0,$O91/$P91)))</f>
        <v>1</v>
      </c>
      <c r="AI91" s="5" t="str">
        <f>IF($A91="","",IF($P91="","",IF($P91&gt;=Lookups!$K$7,"High",IF($P91&lt;=Lookups!$K$8,"Low","Medium"))))</f>
        <v>Medium</v>
      </c>
      <c r="AJ91" s="5" t="str">
        <f>IF($A91="","",IF($AD91="","",IF($AD91&lt;5,"Under 5 C",IF($AD91&lt;10,"5-10 C",IF($AD91&lt;15,"10-15 C","15 C and above")))))</f>
        <v>5-10 C</v>
      </c>
      <c r="AK91" s="5">
        <f>IF($A91="","",IF($P91="","",$P91^2))</f>
        <v>2304</v>
      </c>
      <c r="AL91" s="18">
        <f>IF($V91&lt;&gt;1,"",AVERAGEIFS(Clean_Data!$P$2:$P$1001,Clean_Data!$F$2:$F$1001,$F91,Clean_Data!$W$2:$W$1001,$W91,Clean_Data!$V$2:$V$1001,1))</f>
        <v>50.8965517241379</v>
      </c>
      <c r="AM91" s="16">
        <f>IF($V91&lt;&gt;1,"",IFERROR(($P91-$AL91)/SQRT(MAX(0,(SUMIFS(Clean_Data!$AK$2:$AK$1001,Clean_Data!$F$2:$F$1001,$F91,Clean_Data!$W$2:$W$1001,$W91,Clean_Data!$V$2:$V$1001,1)-COUNTIFS(Clean_Data!$F$2:$F$1001,$F91,Clean_Data!$W$2:$W$1001,$W91,Clean_Data!$V$2:$V$1001,1)*$AL91^2)/(COUNTIFS(Clean_Data!$F$2:$F$1001,$F91,Clean_Data!$W$2:$W$1001,$W91,Clean_Data!$V$2:$V$1001,1)-1))),""))</f>
        <v>-0.209769800940463</v>
      </c>
      <c r="AN91" s="5" t="str">
        <f>IF($AM91="","",IF($AM91&gt;=Lookups!$K$6,"High spike",IF($AM91&lt;=-Lookups!$K$6,"Unusual low","Normal")))</f>
        <v>Normal</v>
      </c>
      <c r="AO91" s="20">
        <f>IF($V91&lt;&gt;1,"",$P91+ROW()/100000)</f>
        <v>48.00091</v>
      </c>
      <c r="AP91" s="5">
        <f>IF($A91="","",IFERROR(MATCH($A91,Raw_D1!$A$2:$A$1001,0),""))</f>
        <v>90</v>
      </c>
      <c r="AQ91" s="5">
        <f>IF($A91="","",IFERROR(MATCH($A91,Raw_D2!$B$2:$B$1001,0),""))</f>
        <v>90</v>
      </c>
      <c r="AR91" s="5">
        <f>IF($A91="","",IFERROR(MATCH($A91,Raw_D3!$A$2:$A$1001,0),""))</f>
        <v/>
      </c>
    </row>
    <row r="92" spans="1:44" x14ac:dyDescent="0.25">
      <c r="A92" s="5">
        <v>91</v>
      </c>
      <c r="B92" s="11">
        <f>IF($A92="","",IF($AP92&lt;&gt;"",INDEX(Raw_D1!$B$2:$B$1001,$AP92),IF($AR92&lt;&gt;"",INDEX(Raw_D3!$B$2:$B$1001,$AR92),"")))</f>
        <v>40547.0</v>
      </c>
      <c r="C92" s="5">
        <f>IF($A92="","",IF($AP92&lt;&gt;"",INDEX(Raw_D1!$C$2:$C$1001,$AP92),IF($AR92&lt;&gt;"",INDEX(Raw_D3!$C$2:$C$1001,$AR92),"")))</f>
        <v>1</v>
      </c>
      <c r="D92" s="5">
        <f>IF($A92="","",IF($AP92&lt;&gt;"",INDEX(Raw_D1!$D$2:$D$1001,$AP92),IF($AR92&lt;&gt;"",INDEX(Raw_D3!$D$2:$D$1001,$AR92),"")))</f>
        <v>0</v>
      </c>
      <c r="E92" s="5">
        <f>IF($A92="","",IF($AP92&lt;&gt;"",INDEX(Raw_D1!$E$2:$E$1001,$AP92),IF($AR92&lt;&gt;"",INDEX(Raw_D3!$E$2:$E$1001,$AR92),"")))</f>
        <v>1</v>
      </c>
      <c r="F92" s="5">
        <f>IF($A92="","",IF($AP92&lt;&gt;"",INDEX(Raw_D1!$F$2:$F$1001,$AP92),IF($AR92&lt;&gt;"",INDEX(Raw_D3!$F$2:$F$1001,$AR92),"")))</f>
        <v>22</v>
      </c>
      <c r="G92" s="5">
        <f>IF($A92="","",IF($AP92&lt;&gt;"",IF(INDEX(Raw_D1!$G$2:$G$1001,$AP92),1,0),IF($AR92&lt;&gt;"",IF(INDEX(Raw_D3!$G$2:$G$1001,$AR92),1,0),"")))</f>
        <v>0</v>
      </c>
      <c r="H92" s="5">
        <f>IF($A92="","",IF($AP92&lt;&gt;"",INDEX(Raw_D1!$H$2:$H$1001,$AP92),IF($AR92&lt;&gt;"",INDEX(Raw_D3!$H$2:$H$1001,$AR92),"")))</f>
        <v>2</v>
      </c>
      <c r="I92" s="5">
        <f>IF($A92="","",IF($AP92&lt;&gt;"",INDEX(Raw_D1!$I$2:$I$1001,$AP92),IF($AR92&lt;&gt;"",INDEX(Raw_D3!$I$2:$I$1001,$AR92),"")))</f>
        <v>1</v>
      </c>
      <c r="J92" s="16">
        <f>IF($A92="","",IF($AP92&lt;&gt;"",INDEX(Raw_D1!$J$2:$J$1001,$AP92),IF($AR92&lt;&gt;"",INDEX(Raw_D3!$J$2:$J$1001,$AR92),"")))</f>
        <v>0.22</v>
      </c>
      <c r="K92" s="17">
        <f>IF($A92="","",IF($AQ92&lt;&gt;"",IF(INDEX(Raw_D2!$C$2:$C$1001,$AQ92)="","",INDEX(Raw_D2!$C$2:$C$1001,$AQ92)),IF($AR92&lt;&gt;"",IF(INDEX(Raw_D3!$K$2:$K$1001,$AR92)="","",INDEX(Raw_D3!$K$2:$K$1001,$AR92)),"")))</f>
        <v>0.2576</v>
      </c>
      <c r="L92" s="16">
        <f>IF($A92="","",IF($AQ92&lt;&gt;"",IF(INDEX(Raw_D2!$D$2:$D$1001,$AQ92)="","",INDEX(Raw_D2!$D$2:$D$1001,$AQ92)),IF($AR92&lt;&gt;"",IF(INDEX(Raw_D3!$L$2:$L$1001,$AR92)="","",INDEX(Raw_D3!$L$2:$L$1001,$AR92)),"")))</f>
        <v>0.64</v>
      </c>
      <c r="M92" s="17">
        <f>IF($A92="","",IF($AQ92&lt;&gt;"",IF(INDEX(Raw_D2!$E$2:$E$1001,$AQ92)="","",INDEX(Raw_D2!$E$2:$E$1001,$AQ92)),IF($AR92&lt;&gt;"",IF(INDEX(Raw_D3!$M$2:$M$1001,$AR92)="","",INDEX(Raw_D3!$M$2:$M$1001,$AR92)),"")))</f>
        <v>0.0896</v>
      </c>
      <c r="N92" s="5">
        <f>IF($A92="","",IF($AQ92&lt;&gt;"",IF(INDEX(Raw_D2!$F$2:$F$1001,$AQ92)="","",INDEX(Raw_D2!$F$2:$F$1001,$AQ92)),IF($AR92&lt;&gt;"",IF(INDEX(Raw_D3!$N$2:$N$1001,$AR92)="","",INDEX(Raw_D3!$N$2:$N$1001,$AR92)),"")))</f>
        <v>1</v>
      </c>
      <c r="O92" s="5">
        <f>IF($A92="","",IF($AQ92&lt;&gt;"",IF(INDEX(Raw_D2!$G$2:$G$1001,$AQ92)="","",INDEX(Raw_D2!$G$2:$G$1001,$AQ92)),IF($AR92&lt;&gt;"",IF(INDEX(Raw_D3!$O$2:$O$1001,$AR92)="","",INDEX(Raw_D3!$O$2:$O$1001,$AR92)),"")))</f>
        <v>34</v>
      </c>
      <c r="P92" s="5">
        <f>IF($A92="","",IF($AQ92&lt;&gt;"",IF(INDEX(Raw_D2!$H$2:$H$1001,$AQ92)="","",INDEX(Raw_D2!$H$2:$H$1001,$AQ92)),IF($AR92&lt;&gt;"",IF(INDEX(Raw_D3!$P$2:$P$1001,$AR92)="","",INDEX(Raw_D3!$P$2:$P$1001,$AR92)),"")))</f>
        <v>35</v>
      </c>
      <c r="Q92" s="5" t="str">
        <f>IF($A92="","",IF(AND($AP92&lt;&gt;"",$AQ92&lt;&gt;""),"D1+D2",IF($AR92&lt;&gt;"","D3","Incomplete")))</f>
        <v>D1+D2</v>
      </c>
      <c r="R92" s="17">
        <f>IF($A92="","",IF($K92="",IF($J92="","",ROUND(Lookups!$K$5+Lookups!$K$4*$J92,4)),$K92))</f>
        <v>0.2576</v>
      </c>
      <c r="S92" s="5" t="str">
        <f>IF($A92="","",IF($K92="","Imputed","Original"))</f>
        <v>Original</v>
      </c>
      <c r="T92" s="5" t="str">
        <f>IF($A92="","",IF($P92="","Missing",IF($P92=$N92+$O92,"OK","Mismatch")))</f>
        <v>OK</v>
      </c>
      <c r="U92" s="5" t="str">
        <f>IF($A92="","",IF(COUNTIF($A$2:$A92,$A92)&gt;1,"Duplicate","Unique"))</f>
        <v>Unique</v>
      </c>
      <c r="V92" s="5">
        <f>IF($A92="","",IF(AND($U92="Unique",ISNUMBER($P92)),1,0))</f>
        <v>1</v>
      </c>
      <c r="W92" s="5" t="str">
        <f>IF($A92="","",IF(OR($H92=0,$H92=6),"Weekend","Weekday"))</f>
        <v>Weekday</v>
      </c>
      <c r="X92" s="5" t="str">
        <f>IF($A92="","",TEXT($B92,"ddd"))</f>
        <v>Tue</v>
      </c>
      <c r="Y92" s="5" t="str">
        <f>IF($A92="","",TEXT($B92,"mmm"))</f>
        <v>Jan</v>
      </c>
      <c r="Z92" s="5" t="str">
        <f>IF($A92="","",IFERROR(VLOOKUP($C92,Lookups!$D$4:$E$7,2,FALSE),"Unknown"))</f>
        <v>Winter</v>
      </c>
      <c r="AA92" s="5" t="str">
        <f>IF($A92="","",IFERROR(VLOOKUP($I92,Lookups!$A$4:$B$7,2,FALSE),"Unknown"))</f>
        <v>Clear</v>
      </c>
      <c r="AB92" s="5" t="str">
        <f>IF($A92="","",TEXT($F92,"00")&amp;":00")</f>
        <v>22:00</v>
      </c>
      <c r="AC92" s="5" t="str">
        <f>IF($A92="","",VLOOKUP($F92,Lookups!$G$4:$H$8,2,TRUE))</f>
        <v>Late Evening (20-23)</v>
      </c>
      <c r="AD92" s="18">
        <f>IF($A92="","",IF($J92="","",ROUND($J92*41,1)))</f>
        <v>9</v>
      </c>
      <c r="AE92" s="18">
        <f>IF($A92="","",IF($R92="","",ROUND($R92*50,1)))</f>
        <v>12.9</v>
      </c>
      <c r="AF92" s="5">
        <f>IF($A92="","",IF($L92="","",ROUND($L92*100,0)))</f>
        <v>64</v>
      </c>
      <c r="AG92" s="18">
        <f>IF($A92="","",IF($M92="","",ROUND($M92*67,1)))</f>
        <v>6</v>
      </c>
      <c r="AH92" s="19">
        <f>IF($A92="","",IF($P92="","",IF($P92=0,0,$O92/$P92)))</f>
        <v>0.971428571428571</v>
      </c>
      <c r="AI92" s="5" t="str">
        <f>IF($A92="","",IF($P92="","",IF($P92&gt;=Lookups!$K$7,"High",IF($P92&lt;=Lookups!$K$8,"Low","Medium"))))</f>
        <v>Medium</v>
      </c>
      <c r="AJ92" s="5" t="str">
        <f>IF($A92="","",IF($AD92="","",IF($AD92&lt;5,"Under 5 C",IF($AD92&lt;10,"5-10 C",IF($AD92&lt;15,"10-15 C","15 C and above")))))</f>
        <v>5-10 C</v>
      </c>
      <c r="AK92" s="5">
        <f>IF($A92="","",IF($P92="","",$P92^2))</f>
        <v>1225</v>
      </c>
      <c r="AL92" s="18">
        <f>IF($V92&lt;&gt;1,"",AVERAGEIFS(Clean_Data!$P$2:$P$1001,Clean_Data!$F$2:$F$1001,$F92,Clean_Data!$W$2:$W$1001,$W92,Clean_Data!$V$2:$V$1001,1))</f>
        <v>37.1034482758621</v>
      </c>
      <c r="AM92" s="16">
        <f>IF($V92&lt;&gt;1,"",IFERROR(($P92-$AL92)/SQRT(MAX(0,(SUMIFS(Clean_Data!$AK$2:$AK$1001,Clean_Data!$F$2:$F$1001,$F92,Clean_Data!$W$2:$W$1001,$W92,Clean_Data!$V$2:$V$1001,1)-COUNTIFS(Clean_Data!$F$2:$F$1001,$F92,Clean_Data!$W$2:$W$1001,$W92,Clean_Data!$V$2:$V$1001,1)*$AL92^2)/(COUNTIFS(Clean_Data!$F$2:$F$1001,$F92,Clean_Data!$W$2:$W$1001,$W92,Clean_Data!$V$2:$V$1001,1)-1))),""))</f>
        <v>-0.194860121858057</v>
      </c>
      <c r="AN92" s="5" t="str">
        <f>IF($AM92="","",IF($AM92&gt;=Lookups!$K$6,"High spike",IF($AM92&lt;=-Lookups!$K$6,"Unusual low","Normal")))</f>
        <v>Normal</v>
      </c>
      <c r="AO92" s="20">
        <f>IF($V92&lt;&gt;1,"",$P92+ROW()/100000)</f>
        <v>35.00092</v>
      </c>
      <c r="AP92" s="5">
        <f>IF($A92="","",IFERROR(MATCH($A92,Raw_D1!$A$2:$A$1001,0),""))</f>
        <v>91</v>
      </c>
      <c r="AQ92" s="5">
        <f>IF($A92="","",IFERROR(MATCH($A92,Raw_D2!$B$2:$B$1001,0),""))</f>
        <v>91</v>
      </c>
      <c r="AR92" s="5">
        <f>IF($A92="","",IFERROR(MATCH($A92,Raw_D3!$A$2:$A$1001,0),""))</f>
        <v/>
      </c>
    </row>
    <row r="93" spans="1:44" x14ac:dyDescent="0.25">
      <c r="A93" s="5">
        <v>92</v>
      </c>
      <c r="B93" s="11">
        <f>IF($A93="","",IF($AP93&lt;&gt;"",INDEX(Raw_D1!$B$2:$B$1001,$AP93),IF($AR93&lt;&gt;"",INDEX(Raw_D3!$B$2:$B$1001,$AR93),"")))</f>
        <v>40547.0</v>
      </c>
      <c r="C93" s="5">
        <f>IF($A93="","",IF($AP93&lt;&gt;"",INDEX(Raw_D1!$C$2:$C$1001,$AP93),IF($AR93&lt;&gt;"",INDEX(Raw_D3!$C$2:$C$1001,$AR93),"")))</f>
        <v>1</v>
      </c>
      <c r="D93" s="5">
        <f>IF($A93="","",IF($AP93&lt;&gt;"",INDEX(Raw_D1!$D$2:$D$1001,$AP93),IF($AR93&lt;&gt;"",INDEX(Raw_D3!$D$2:$D$1001,$AR93),"")))</f>
        <v>0</v>
      </c>
      <c r="E93" s="5">
        <f>IF($A93="","",IF($AP93&lt;&gt;"",INDEX(Raw_D1!$E$2:$E$1001,$AP93),IF($AR93&lt;&gt;"",INDEX(Raw_D3!$E$2:$E$1001,$AR93),"")))</f>
        <v>1</v>
      </c>
      <c r="F93" s="5">
        <f>IF($A93="","",IF($AP93&lt;&gt;"",INDEX(Raw_D1!$F$2:$F$1001,$AP93),IF($AR93&lt;&gt;"",INDEX(Raw_D3!$F$2:$F$1001,$AR93),"")))</f>
        <v>23</v>
      </c>
      <c r="G93" s="5">
        <f>IF($A93="","",IF($AP93&lt;&gt;"",IF(INDEX(Raw_D1!$G$2:$G$1001,$AP93),1,0),IF($AR93&lt;&gt;"",IF(INDEX(Raw_D3!$G$2:$G$1001,$AR93),1,0),"")))</f>
        <v>0</v>
      </c>
      <c r="H93" s="5">
        <f>IF($A93="","",IF($AP93&lt;&gt;"",INDEX(Raw_D1!$H$2:$H$1001,$AP93),IF($AR93&lt;&gt;"",INDEX(Raw_D3!$H$2:$H$1001,$AR93),"")))</f>
        <v>2</v>
      </c>
      <c r="I93" s="5">
        <f>IF($A93="","",IF($AP93&lt;&gt;"",INDEX(Raw_D1!$I$2:$I$1001,$AP93),IF($AR93&lt;&gt;"",INDEX(Raw_D3!$I$2:$I$1001,$AR93),"")))</f>
        <v>1</v>
      </c>
      <c r="J93" s="16">
        <f>IF($A93="","",IF($AP93&lt;&gt;"",INDEX(Raw_D1!$J$2:$J$1001,$AP93),IF($AR93&lt;&gt;"",INDEX(Raw_D3!$J$2:$J$1001,$AR93),"")))</f>
        <v>0.2</v>
      </c>
      <c r="K93" s="17">
        <f>IF($A93="","",IF($AQ93&lt;&gt;"",IF(INDEX(Raw_D2!$C$2:$C$1001,$AQ93)="","",INDEX(Raw_D2!$C$2:$C$1001,$AQ93)),IF($AR93&lt;&gt;"",IF(INDEX(Raw_D3!$K$2:$K$1001,$AR93)="","",INDEX(Raw_D3!$K$2:$K$1001,$AR93)),"")))</f>
        <v>0.2273</v>
      </c>
      <c r="L93" s="16">
        <f>IF($A93="","",IF($AQ93&lt;&gt;"",IF(INDEX(Raw_D2!$D$2:$D$1001,$AQ93)="","",INDEX(Raw_D2!$D$2:$D$1001,$AQ93)),IF($AR93&lt;&gt;"",IF(INDEX(Raw_D3!$L$2:$L$1001,$AR93)="","",INDEX(Raw_D3!$L$2:$L$1001,$AR93)),"")))</f>
        <v>0.69</v>
      </c>
      <c r="M93" s="17">
        <f>IF($A93="","",IF($AQ93&lt;&gt;"",IF(INDEX(Raw_D2!$E$2:$E$1001,$AQ93)="","",INDEX(Raw_D2!$E$2:$E$1001,$AQ93)),IF($AR93&lt;&gt;"",IF(INDEX(Raw_D3!$M$2:$M$1001,$AR93)="","",INDEX(Raw_D3!$M$2:$M$1001,$AR93)),"")))</f>
        <v>0.0896</v>
      </c>
      <c r="N93" s="5">
        <f>IF($A93="","",IF($AQ93&lt;&gt;"",IF(INDEX(Raw_D2!$F$2:$F$1001,$AQ93)="","",INDEX(Raw_D2!$F$2:$F$1001,$AQ93)),IF($AR93&lt;&gt;"",IF(INDEX(Raw_D3!$N$2:$N$1001,$AR93)="","",INDEX(Raw_D3!$N$2:$N$1001,$AR93)),"")))</f>
        <v>2</v>
      </c>
      <c r="O93" s="5">
        <f>IF($A93="","",IF($AQ93&lt;&gt;"",IF(INDEX(Raw_D2!$G$2:$G$1001,$AQ93)="","",INDEX(Raw_D2!$G$2:$G$1001,$AQ93)),IF($AR93&lt;&gt;"",IF(INDEX(Raw_D3!$O$2:$O$1001,$AR93)="","",INDEX(Raw_D3!$O$2:$O$1001,$AR93)),"")))</f>
        <v>9</v>
      </c>
      <c r="P93" s="5">
        <f>IF($A93="","",IF($AQ93&lt;&gt;"",IF(INDEX(Raw_D2!$H$2:$H$1001,$AQ93)="","",INDEX(Raw_D2!$H$2:$H$1001,$AQ93)),IF($AR93&lt;&gt;"",IF(INDEX(Raw_D3!$P$2:$P$1001,$AR93)="","",INDEX(Raw_D3!$P$2:$P$1001,$AR93)),"")))</f>
        <v>11</v>
      </c>
      <c r="Q93" s="5" t="str">
        <f>IF($A93="","",IF(AND($AP93&lt;&gt;"",$AQ93&lt;&gt;""),"D1+D2",IF($AR93&lt;&gt;"","D3","Incomplete")))</f>
        <v>D1+D2</v>
      </c>
      <c r="R93" s="17">
        <f>IF($A93="","",IF($K93="",IF($J93="","",ROUND(Lookups!$K$5+Lookups!$K$4*$J93,4)),$K93))</f>
        <v>0.2273</v>
      </c>
      <c r="S93" s="5" t="str">
        <f>IF($A93="","",IF($K93="","Imputed","Original"))</f>
        <v>Original</v>
      </c>
      <c r="T93" s="5" t="str">
        <f>IF($A93="","",IF($P93="","Missing",IF($P93=$N93+$O93,"OK","Mismatch")))</f>
        <v>OK</v>
      </c>
      <c r="U93" s="5" t="str">
        <f>IF($A93="","",IF(COUNTIF($A$2:$A93,$A93)&gt;1,"Duplicate","Unique"))</f>
        <v>Unique</v>
      </c>
      <c r="V93" s="5">
        <f>IF($A93="","",IF(AND($U93="Unique",ISNUMBER($P93)),1,0))</f>
        <v>1</v>
      </c>
      <c r="W93" s="5" t="str">
        <f>IF($A93="","",IF(OR($H93=0,$H93=6),"Weekend","Weekday"))</f>
        <v>Weekday</v>
      </c>
      <c r="X93" s="5" t="str">
        <f>IF($A93="","",TEXT($B93,"ddd"))</f>
        <v>Tue</v>
      </c>
      <c r="Y93" s="5" t="str">
        <f>IF($A93="","",TEXT($B93,"mmm"))</f>
        <v>Jan</v>
      </c>
      <c r="Z93" s="5" t="str">
        <f>IF($A93="","",IFERROR(VLOOKUP($C93,Lookups!$D$4:$E$7,2,FALSE),"Unknown"))</f>
        <v>Winter</v>
      </c>
      <c r="AA93" s="5" t="str">
        <f>IF($A93="","",IFERROR(VLOOKUP($I93,Lookups!$A$4:$B$7,2,FALSE),"Unknown"))</f>
        <v>Clear</v>
      </c>
      <c r="AB93" s="5" t="str">
        <f>IF($A93="","",TEXT($F93,"00")&amp;":00")</f>
        <v>23:00</v>
      </c>
      <c r="AC93" s="5" t="str">
        <f>IF($A93="","",VLOOKUP($F93,Lookups!$G$4:$H$8,2,TRUE))</f>
        <v>Late Evening (20-23)</v>
      </c>
      <c r="AD93" s="18">
        <f>IF($A93="","",IF($J93="","",ROUND($J93*41,1)))</f>
        <v>8.2</v>
      </c>
      <c r="AE93" s="18">
        <f>IF($A93="","",IF($R93="","",ROUND($R93*50,1)))</f>
        <v>11.4</v>
      </c>
      <c r="AF93" s="5">
        <f>IF($A93="","",IF($L93="","",ROUND($L93*100,0)))</f>
        <v>69</v>
      </c>
      <c r="AG93" s="18">
        <f>IF($A93="","",IF($M93="","",ROUND($M93*67,1)))</f>
        <v>6</v>
      </c>
      <c r="AH93" s="19">
        <f>IF($A93="","",IF($P93="","",IF($P93=0,0,$O93/$P93)))</f>
        <v>0.818181818181818</v>
      </c>
      <c r="AI93" s="5" t="str">
        <f>IF($A93="","",IF($P93="","",IF($P93&gt;=Lookups!$K$7,"High",IF($P93&lt;=Lookups!$K$8,"Low","Medium"))))</f>
        <v>Low</v>
      </c>
      <c r="AJ93" s="5" t="str">
        <f>IF($A93="","",IF($AD93="","",IF($AD93&lt;5,"Under 5 C",IF($AD93&lt;10,"5-10 C",IF($AD93&lt;15,"10-15 C","15 C and above")))))</f>
        <v>5-10 C</v>
      </c>
      <c r="AK93" s="5">
        <f>IF($A93="","",IF($P93="","",$P93^2))</f>
        <v>121</v>
      </c>
      <c r="AL93" s="18">
        <f>IF($V93&lt;&gt;1,"",AVERAGEIFS(Clean_Data!$P$2:$P$1001,Clean_Data!$F$2:$F$1001,$F93,Clean_Data!$W$2:$W$1001,$W93,Clean_Data!$V$2:$V$1001,1))</f>
        <v>23.6896551724138</v>
      </c>
      <c r="AM93" s="16">
        <f>IF($V93&lt;&gt;1,"",IFERROR(($P93-$AL93)/SQRT(MAX(0,(SUMIFS(Clean_Data!$AK$2:$AK$1001,Clean_Data!$F$2:$F$1001,$F93,Clean_Data!$W$2:$W$1001,$W93,Clean_Data!$V$2:$V$1001,1)-COUNTIFS(Clean_Data!$F$2:$F$1001,$F93,Clean_Data!$W$2:$W$1001,$W93,Clean_Data!$V$2:$V$1001,1)*$AL93^2)/(COUNTIFS(Clean_Data!$F$2:$F$1001,$F93,Clean_Data!$W$2:$W$1001,$W93,Clean_Data!$V$2:$V$1001,1)-1))),""))</f>
        <v>-1.21144473435914</v>
      </c>
      <c r="AN93" s="5" t="str">
        <f>IF($AM93="","",IF($AM93&gt;=Lookups!$K$6,"High spike",IF($AM93&lt;=-Lookups!$K$6,"Unusual low","Normal")))</f>
        <v>Normal</v>
      </c>
      <c r="AO93" s="20">
        <f>IF($V93&lt;&gt;1,"",$P93+ROW()/100000)</f>
        <v>11.00093</v>
      </c>
      <c r="AP93" s="5">
        <f>IF($A93="","",IFERROR(MATCH($A93,Raw_D1!$A$2:$A$1001,0),""))</f>
        <v>92</v>
      </c>
      <c r="AQ93" s="5">
        <f>IF($A93="","",IFERROR(MATCH($A93,Raw_D2!$B$2:$B$1001,0),""))</f>
        <v>92</v>
      </c>
      <c r="AR93" s="5">
        <f>IF($A93="","",IFERROR(MATCH($A93,Raw_D3!$A$2:$A$1001,0),""))</f>
        <v/>
      </c>
    </row>
    <row r="94" spans="1:44" x14ac:dyDescent="0.25">
      <c r="A94" s="5">
        <v>93</v>
      </c>
      <c r="B94" s="11">
        <f>IF($A94="","",IF($AP94&lt;&gt;"",INDEX(Raw_D1!$B$2:$B$1001,$AP94),IF($AR94&lt;&gt;"",INDEX(Raw_D3!$B$2:$B$1001,$AR94),"")))</f>
        <v>40548.0</v>
      </c>
      <c r="C94" s="5">
        <f>IF($A94="","",IF($AP94&lt;&gt;"",INDEX(Raw_D1!$C$2:$C$1001,$AP94),IF($AR94&lt;&gt;"",INDEX(Raw_D3!$C$2:$C$1001,$AR94),"")))</f>
        <v>1</v>
      </c>
      <c r="D94" s="5">
        <f>IF($A94="","",IF($AP94&lt;&gt;"",INDEX(Raw_D1!$D$2:$D$1001,$AP94),IF($AR94&lt;&gt;"",INDEX(Raw_D3!$D$2:$D$1001,$AR94),"")))</f>
        <v>0</v>
      </c>
      <c r="E94" s="5">
        <f>IF($A94="","",IF($AP94&lt;&gt;"",INDEX(Raw_D1!$E$2:$E$1001,$AP94),IF($AR94&lt;&gt;"",INDEX(Raw_D3!$E$2:$E$1001,$AR94),"")))</f>
        <v>1</v>
      </c>
      <c r="F94" s="5">
        <f>IF($A94="","",IF($AP94&lt;&gt;"",INDEX(Raw_D1!$F$2:$F$1001,$AP94),IF($AR94&lt;&gt;"",INDEX(Raw_D3!$F$2:$F$1001,$AR94),"")))</f>
        <v>0</v>
      </c>
      <c r="G94" s="5">
        <f>IF($A94="","",IF($AP94&lt;&gt;"",IF(INDEX(Raw_D1!$G$2:$G$1001,$AP94),1,0),IF($AR94&lt;&gt;"",IF(INDEX(Raw_D3!$G$2:$G$1001,$AR94),1,0),"")))</f>
        <v>0</v>
      </c>
      <c r="H94" s="5">
        <f>IF($A94="","",IF($AP94&lt;&gt;"",INDEX(Raw_D1!$H$2:$H$1001,$AP94),IF($AR94&lt;&gt;"",INDEX(Raw_D3!$H$2:$H$1001,$AR94),"")))</f>
        <v>3</v>
      </c>
      <c r="I94" s="5">
        <f>IF($A94="","",IF($AP94&lt;&gt;"",INDEX(Raw_D1!$I$2:$I$1001,$AP94),IF($AR94&lt;&gt;"",INDEX(Raw_D3!$I$2:$I$1001,$AR94),"")))</f>
        <v>1</v>
      </c>
      <c r="J94" s="16">
        <f>IF($A94="","",IF($AP94&lt;&gt;"",INDEX(Raw_D1!$J$2:$J$1001,$AP94),IF($AR94&lt;&gt;"",INDEX(Raw_D3!$J$2:$J$1001,$AR94),"")))</f>
        <v>0.2</v>
      </c>
      <c r="K94" s="17">
        <f>IF($A94="","",IF($AQ94&lt;&gt;"",IF(INDEX(Raw_D2!$C$2:$C$1001,$AQ94)="","",INDEX(Raw_D2!$C$2:$C$1001,$AQ94)),IF($AR94&lt;&gt;"",IF(INDEX(Raw_D3!$K$2:$K$1001,$AR94)="","",INDEX(Raw_D3!$K$2:$K$1001,$AR94)),"")))</f>
        <v>0.2576</v>
      </c>
      <c r="L94" s="16">
        <f>IF($A94="","",IF($AQ94&lt;&gt;"",IF(INDEX(Raw_D2!$D$2:$D$1001,$AQ94)="","",INDEX(Raw_D2!$D$2:$D$1001,$AQ94)),IF($AR94&lt;&gt;"",IF(INDEX(Raw_D3!$L$2:$L$1001,$AR94)="","",INDEX(Raw_D3!$L$2:$L$1001,$AR94)),"")))</f>
        <v>0.64</v>
      </c>
      <c r="M94" s="17">
        <f>IF($A94="","",IF($AQ94&lt;&gt;"",IF(INDEX(Raw_D2!$E$2:$E$1001,$AQ94)="","",INDEX(Raw_D2!$E$2:$E$1001,$AQ94)),IF($AR94&lt;&gt;"",IF(INDEX(Raw_D3!$M$2:$M$1001,$AR94)="","",INDEX(Raw_D3!$M$2:$M$1001,$AR94)),"")))</f>
        <v>0</v>
      </c>
      <c r="N94" s="5">
        <f>IF($A94="","",IF($AQ94&lt;&gt;"",IF(INDEX(Raw_D2!$F$2:$F$1001,$AQ94)="","",INDEX(Raw_D2!$F$2:$F$1001,$AQ94)),IF($AR94&lt;&gt;"",IF(INDEX(Raw_D3!$N$2:$N$1001,$AR94)="","",INDEX(Raw_D3!$N$2:$N$1001,$AR94)),"")))</f>
        <v>0</v>
      </c>
      <c r="O94" s="5">
        <f>IF($A94="","",IF($AQ94&lt;&gt;"",IF(INDEX(Raw_D2!$G$2:$G$1001,$AQ94)="","",INDEX(Raw_D2!$G$2:$G$1001,$AQ94)),IF($AR94&lt;&gt;"",IF(INDEX(Raw_D3!$O$2:$O$1001,$AR94)="","",INDEX(Raw_D3!$O$2:$O$1001,$AR94)),"")))</f>
        <v>6</v>
      </c>
      <c r="P94" s="5">
        <f>IF($A94="","",IF($AQ94&lt;&gt;"",IF(INDEX(Raw_D2!$H$2:$H$1001,$AQ94)="","",INDEX(Raw_D2!$H$2:$H$1001,$AQ94)),IF($AR94&lt;&gt;"",IF(INDEX(Raw_D3!$P$2:$P$1001,$AR94)="","",INDEX(Raw_D3!$P$2:$P$1001,$AR94)),"")))</f>
        <v>6</v>
      </c>
      <c r="Q94" s="5" t="str">
        <f>IF($A94="","",IF(AND($AP94&lt;&gt;"",$AQ94&lt;&gt;""),"D1+D2",IF($AR94&lt;&gt;"","D3","Incomplete")))</f>
        <v>D1+D2</v>
      </c>
      <c r="R94" s="17">
        <f>IF($A94="","",IF($K94="",IF($J94="","",ROUND(Lookups!$K$5+Lookups!$K$4*$J94,4)),$K94))</f>
        <v>0.2576</v>
      </c>
      <c r="S94" s="5" t="str">
        <f>IF($A94="","",IF($K94="","Imputed","Original"))</f>
        <v>Original</v>
      </c>
      <c r="T94" s="5" t="str">
        <f>IF($A94="","",IF($P94="","Missing",IF($P94=$N94+$O94,"OK","Mismatch")))</f>
        <v>OK</v>
      </c>
      <c r="U94" s="5" t="str">
        <f>IF($A94="","",IF(COUNTIF($A$2:$A94,$A94)&gt;1,"Duplicate","Unique"))</f>
        <v>Unique</v>
      </c>
      <c r="V94" s="5">
        <f>IF($A94="","",IF(AND($U94="Unique",ISNUMBER($P94)),1,0))</f>
        <v>1</v>
      </c>
      <c r="W94" s="5" t="str">
        <f>IF($A94="","",IF(OR($H94=0,$H94=6),"Weekend","Weekday"))</f>
        <v>Weekday</v>
      </c>
      <c r="X94" s="5" t="str">
        <f>IF($A94="","",TEXT($B94,"ddd"))</f>
        <v>Wed</v>
      </c>
      <c r="Y94" s="5" t="str">
        <f>IF($A94="","",TEXT($B94,"mmm"))</f>
        <v>Jan</v>
      </c>
      <c r="Z94" s="5" t="str">
        <f>IF($A94="","",IFERROR(VLOOKUP($C94,Lookups!$D$4:$E$7,2,FALSE),"Unknown"))</f>
        <v>Winter</v>
      </c>
      <c r="AA94" s="5" t="str">
        <f>IF($A94="","",IFERROR(VLOOKUP($I94,Lookups!$A$4:$B$7,2,FALSE),"Unknown"))</f>
        <v>Clear</v>
      </c>
      <c r="AB94" s="5" t="str">
        <f>IF($A94="","",TEXT($F94,"00")&amp;":00")</f>
        <v>00:00</v>
      </c>
      <c r="AC94" s="5" t="str">
        <f>IF($A94="","",VLOOKUP($F94,Lookups!$G$4:$H$8,2,TRUE))</f>
        <v>Night (00-05)</v>
      </c>
      <c r="AD94" s="18">
        <f>IF($A94="","",IF($J94="","",ROUND($J94*41,1)))</f>
        <v>8.2</v>
      </c>
      <c r="AE94" s="18">
        <f>IF($A94="","",IF($R94="","",ROUND($R94*50,1)))</f>
        <v>12.9</v>
      </c>
      <c r="AF94" s="5">
        <f>IF($A94="","",IF($L94="","",ROUND($L94*100,0)))</f>
        <v>64</v>
      </c>
      <c r="AG94" s="18">
        <f>IF($A94="","",IF($M94="","",ROUND($M94*67,1)))</f>
        <v>0</v>
      </c>
      <c r="AH94" s="19">
        <f>IF($A94="","",IF($P94="","",IF($P94=0,0,$O94/$P94)))</f>
        <v>1</v>
      </c>
      <c r="AI94" s="5" t="str">
        <f>IF($A94="","",IF($P94="","",IF($P94&gt;=Lookups!$K$7,"High",IF($P94&lt;=Lookups!$K$8,"Low","Medium"))))</f>
        <v>Low</v>
      </c>
      <c r="AJ94" s="5" t="str">
        <f>IF($A94="","",IF($AD94="","",IF($AD94&lt;5,"Under 5 C",IF($AD94&lt;10,"5-10 C",IF($AD94&lt;15,"10-15 C","15 C and above")))))</f>
        <v>5-10 C</v>
      </c>
      <c r="AK94" s="5">
        <f>IF($A94="","",IF($P94="","",$P94^2))</f>
        <v>36</v>
      </c>
      <c r="AL94" s="18">
        <f>IF($V94&lt;&gt;1,"",AVERAGEIFS(Clean_Data!$P$2:$P$1001,Clean_Data!$F$2:$F$1001,$F94,Clean_Data!$W$2:$W$1001,$W94,Clean_Data!$V$2:$V$1001,1))</f>
        <v>10.6896551724138</v>
      </c>
      <c r="AM94" s="16">
        <f>IF($V94&lt;&gt;1,"",IFERROR(($P94-$AL94)/SQRT(MAX(0,(SUMIFS(Clean_Data!$AK$2:$AK$1001,Clean_Data!$F$2:$F$1001,$F94,Clean_Data!$W$2:$W$1001,$W94,Clean_Data!$V$2:$V$1001,1)-COUNTIFS(Clean_Data!$F$2:$F$1001,$F94,Clean_Data!$W$2:$W$1001,$W94,Clean_Data!$V$2:$V$1001,1)*$AL94^2)/(COUNTIFS(Clean_Data!$F$2:$F$1001,$F94,Clean_Data!$W$2:$W$1001,$W94,Clean_Data!$V$2:$V$1001,1)-1))),""))</f>
        <v>-0.958551563476459</v>
      </c>
      <c r="AN94" s="5" t="str">
        <f>IF($AM94="","",IF($AM94&gt;=Lookups!$K$6,"High spike",IF($AM94&lt;=-Lookups!$K$6,"Unusual low","Normal")))</f>
        <v>Normal</v>
      </c>
      <c r="AO94" s="20">
        <f>IF($V94&lt;&gt;1,"",$P94+ROW()/100000)</f>
        <v>6.00094</v>
      </c>
      <c r="AP94" s="5">
        <f>IF($A94="","",IFERROR(MATCH($A94,Raw_D1!$A$2:$A$1001,0),""))</f>
        <v>93</v>
      </c>
      <c r="AQ94" s="5">
        <f>IF($A94="","",IFERROR(MATCH($A94,Raw_D2!$B$2:$B$1001,0),""))</f>
        <v>93</v>
      </c>
      <c r="AR94" s="5">
        <f>IF($A94="","",IFERROR(MATCH($A94,Raw_D3!$A$2:$A$1001,0),""))</f>
        <v/>
      </c>
    </row>
    <row r="95" spans="1:44" x14ac:dyDescent="0.25">
      <c r="A95" s="5">
        <v>94</v>
      </c>
      <c r="B95" s="11">
        <f>IF($A95="","",IF($AP95&lt;&gt;"",INDEX(Raw_D1!$B$2:$B$1001,$AP95),IF($AR95&lt;&gt;"",INDEX(Raw_D3!$B$2:$B$1001,$AR95),"")))</f>
        <v>40548.0</v>
      </c>
      <c r="C95" s="5">
        <f>IF($A95="","",IF($AP95&lt;&gt;"",INDEX(Raw_D1!$C$2:$C$1001,$AP95),IF($AR95&lt;&gt;"",INDEX(Raw_D3!$C$2:$C$1001,$AR95),"")))</f>
        <v>1</v>
      </c>
      <c r="D95" s="5">
        <f>IF($A95="","",IF($AP95&lt;&gt;"",INDEX(Raw_D1!$D$2:$D$1001,$AP95),IF($AR95&lt;&gt;"",INDEX(Raw_D3!$D$2:$D$1001,$AR95),"")))</f>
        <v>0</v>
      </c>
      <c r="E95" s="5">
        <f>IF($A95="","",IF($AP95&lt;&gt;"",INDEX(Raw_D1!$E$2:$E$1001,$AP95),IF($AR95&lt;&gt;"",INDEX(Raw_D3!$E$2:$E$1001,$AR95),"")))</f>
        <v>1</v>
      </c>
      <c r="F95" s="5">
        <f>IF($A95="","",IF($AP95&lt;&gt;"",INDEX(Raw_D1!$F$2:$F$1001,$AP95),IF($AR95&lt;&gt;"",INDEX(Raw_D3!$F$2:$F$1001,$AR95),"")))</f>
        <v>1</v>
      </c>
      <c r="G95" s="5">
        <f>IF($A95="","",IF($AP95&lt;&gt;"",IF(INDEX(Raw_D1!$G$2:$G$1001,$AP95),1,0),IF($AR95&lt;&gt;"",IF(INDEX(Raw_D3!$G$2:$G$1001,$AR95),1,0),"")))</f>
        <v>0</v>
      </c>
      <c r="H95" s="5">
        <f>IF($A95="","",IF($AP95&lt;&gt;"",INDEX(Raw_D1!$H$2:$H$1001,$AP95),IF($AR95&lt;&gt;"",INDEX(Raw_D3!$H$2:$H$1001,$AR95),"")))</f>
        <v>3</v>
      </c>
      <c r="I95" s="5">
        <f>IF($A95="","",IF($AP95&lt;&gt;"",INDEX(Raw_D1!$I$2:$I$1001,$AP95),IF($AR95&lt;&gt;"",INDEX(Raw_D3!$I$2:$I$1001,$AR95),"")))</f>
        <v>1</v>
      </c>
      <c r="J95" s="16">
        <f>IF($A95="","",IF($AP95&lt;&gt;"",INDEX(Raw_D1!$J$2:$J$1001,$AP95),IF($AR95&lt;&gt;"",INDEX(Raw_D3!$J$2:$J$1001,$AR95),"")))</f>
        <v>0.16</v>
      </c>
      <c r="K95" s="17">
        <f>IF($A95="","",IF($AQ95&lt;&gt;"",IF(INDEX(Raw_D2!$C$2:$C$1001,$AQ95)="","",INDEX(Raw_D2!$C$2:$C$1001,$AQ95)),IF($AR95&lt;&gt;"",IF(INDEX(Raw_D3!$K$2:$K$1001,$AR95)="","",INDEX(Raw_D3!$K$2:$K$1001,$AR95)),"")))</f>
        <v>0.197</v>
      </c>
      <c r="L95" s="16">
        <f>IF($A95="","",IF($AQ95&lt;&gt;"",IF(INDEX(Raw_D2!$D$2:$D$1001,$AQ95)="","",INDEX(Raw_D2!$D$2:$D$1001,$AQ95)),IF($AR95&lt;&gt;"",IF(INDEX(Raw_D3!$L$2:$L$1001,$AR95)="","",INDEX(Raw_D3!$L$2:$L$1001,$AR95)),"")))</f>
        <v>0.74</v>
      </c>
      <c r="M95" s="17">
        <f>IF($A95="","",IF($AQ95&lt;&gt;"",IF(INDEX(Raw_D2!$E$2:$E$1001,$AQ95)="","",INDEX(Raw_D2!$E$2:$E$1001,$AQ95)),IF($AR95&lt;&gt;"",IF(INDEX(Raw_D3!$M$2:$M$1001,$AR95)="","",INDEX(Raw_D3!$M$2:$M$1001,$AR95)),"")))</f>
        <v>0.0896</v>
      </c>
      <c r="N95" s="5">
        <f>IF($A95="","",IF($AQ95&lt;&gt;"",IF(INDEX(Raw_D2!$F$2:$F$1001,$AQ95)="","",INDEX(Raw_D2!$F$2:$F$1001,$AQ95)),IF($AR95&lt;&gt;"",IF(INDEX(Raw_D3!$N$2:$N$1001,$AR95)="","",INDEX(Raw_D3!$N$2:$N$1001,$AR95)),"")))</f>
        <v>0</v>
      </c>
      <c r="O95" s="5">
        <f>IF($A95="","",IF($AQ95&lt;&gt;"",IF(INDEX(Raw_D2!$G$2:$G$1001,$AQ95)="","",INDEX(Raw_D2!$G$2:$G$1001,$AQ95)),IF($AR95&lt;&gt;"",IF(INDEX(Raw_D3!$O$2:$O$1001,$AR95)="","",INDEX(Raw_D3!$O$2:$O$1001,$AR95)),"")))</f>
        <v>6</v>
      </c>
      <c r="P95" s="5">
        <f>IF($A95="","",IF($AQ95&lt;&gt;"",IF(INDEX(Raw_D2!$H$2:$H$1001,$AQ95)="","",INDEX(Raw_D2!$H$2:$H$1001,$AQ95)),IF($AR95&lt;&gt;"",IF(INDEX(Raw_D3!$P$2:$P$1001,$AR95)="","",INDEX(Raw_D3!$P$2:$P$1001,$AR95)),"")))</f>
        <v>6</v>
      </c>
      <c r="Q95" s="5" t="str">
        <f>IF($A95="","",IF(AND($AP95&lt;&gt;"",$AQ95&lt;&gt;""),"D1+D2",IF($AR95&lt;&gt;"","D3","Incomplete")))</f>
        <v>D1+D2</v>
      </c>
      <c r="R95" s="17">
        <f>IF($A95="","",IF($K95="",IF($J95="","",ROUND(Lookups!$K$5+Lookups!$K$4*$J95,4)),$K95))</f>
        <v>0.197</v>
      </c>
      <c r="S95" s="5" t="str">
        <f>IF($A95="","",IF($K95="","Imputed","Original"))</f>
        <v>Original</v>
      </c>
      <c r="T95" s="5" t="str">
        <f>IF($A95="","",IF($P95="","Missing",IF($P95=$N95+$O95,"OK","Mismatch")))</f>
        <v>OK</v>
      </c>
      <c r="U95" s="5" t="str">
        <f>IF($A95="","",IF(COUNTIF($A$2:$A95,$A95)&gt;1,"Duplicate","Unique"))</f>
        <v>Unique</v>
      </c>
      <c r="V95" s="5">
        <f>IF($A95="","",IF(AND($U95="Unique",ISNUMBER($P95)),1,0))</f>
        <v>1</v>
      </c>
      <c r="W95" s="5" t="str">
        <f>IF($A95="","",IF(OR($H95=0,$H95=6),"Weekend","Weekday"))</f>
        <v>Weekday</v>
      </c>
      <c r="X95" s="5" t="str">
        <f>IF($A95="","",TEXT($B95,"ddd"))</f>
        <v>Wed</v>
      </c>
      <c r="Y95" s="5" t="str">
        <f>IF($A95="","",TEXT($B95,"mmm"))</f>
        <v>Jan</v>
      </c>
      <c r="Z95" s="5" t="str">
        <f>IF($A95="","",IFERROR(VLOOKUP($C95,Lookups!$D$4:$E$7,2,FALSE),"Unknown"))</f>
        <v>Winter</v>
      </c>
      <c r="AA95" s="5" t="str">
        <f>IF($A95="","",IFERROR(VLOOKUP($I95,Lookups!$A$4:$B$7,2,FALSE),"Unknown"))</f>
        <v>Clear</v>
      </c>
      <c r="AB95" s="5" t="str">
        <f>IF($A95="","",TEXT($F95,"00")&amp;":00")</f>
        <v>01:00</v>
      </c>
      <c r="AC95" s="5" t="str">
        <f>IF($A95="","",VLOOKUP($F95,Lookups!$G$4:$H$8,2,TRUE))</f>
        <v>Night (00-05)</v>
      </c>
      <c r="AD95" s="18">
        <f>IF($A95="","",IF($J95="","",ROUND($J95*41,1)))</f>
        <v>6.6</v>
      </c>
      <c r="AE95" s="18">
        <f>IF($A95="","",IF($R95="","",ROUND($R95*50,1)))</f>
        <v>9.9</v>
      </c>
      <c r="AF95" s="5">
        <f>IF($A95="","",IF($L95="","",ROUND($L95*100,0)))</f>
        <v>74</v>
      </c>
      <c r="AG95" s="18">
        <f>IF($A95="","",IF($M95="","",ROUND($M95*67,1)))</f>
        <v>6</v>
      </c>
      <c r="AH95" s="19">
        <f>IF($A95="","",IF($P95="","",IF($P95=0,0,$O95/$P95)))</f>
        <v>1</v>
      </c>
      <c r="AI95" s="5" t="str">
        <f>IF($A95="","",IF($P95="","",IF($P95&gt;=Lookups!$K$7,"High",IF($P95&lt;=Lookups!$K$8,"Low","Medium"))))</f>
        <v>Low</v>
      </c>
      <c r="AJ95" s="5" t="str">
        <f>IF($A95="","",IF($AD95="","",IF($AD95&lt;5,"Under 5 C",IF($AD95&lt;10,"5-10 C",IF($AD95&lt;15,"10-15 C","15 C and above")))))</f>
        <v>5-10 C</v>
      </c>
      <c r="AK95" s="5">
        <f>IF($A95="","",IF($P95="","",$P95^2))</f>
        <v>36</v>
      </c>
      <c r="AL95" s="18">
        <f>IF($V95&lt;&gt;1,"",AVERAGEIFS(Clean_Data!$P$2:$P$1001,Clean_Data!$F$2:$F$1001,$F95,Clean_Data!$W$2:$W$1001,$W95,Clean_Data!$V$2:$V$1001,1))</f>
        <v>5.10344827586207</v>
      </c>
      <c r="AM95" s="16">
        <f>IF($V95&lt;&gt;1,"",IFERROR(($P95-$AL95)/SQRT(MAX(0,(SUMIFS(Clean_Data!$AK$2:$AK$1001,Clean_Data!$F$2:$F$1001,$F95,Clean_Data!$W$2:$W$1001,$W95,Clean_Data!$V$2:$V$1001,1)-COUNTIFS(Clean_Data!$F$2:$F$1001,$F95,Clean_Data!$W$2:$W$1001,$W95,Clean_Data!$V$2:$V$1001,1)*$AL95^2)/(COUNTIFS(Clean_Data!$F$2:$F$1001,$F95,Clean_Data!$W$2:$W$1001,$W95,Clean_Data!$V$2:$V$1001,1)-1))),""))</f>
        <v>0.311003894704077</v>
      </c>
      <c r="AN95" s="5" t="str">
        <f>IF($AM95="","",IF($AM95&gt;=Lookups!$K$6,"High spike",IF($AM95&lt;=-Lookups!$K$6,"Unusual low","Normal")))</f>
        <v>Normal</v>
      </c>
      <c r="AO95" s="20">
        <f>IF($V95&lt;&gt;1,"",$P95+ROW()/100000)</f>
        <v>6.00095</v>
      </c>
      <c r="AP95" s="5">
        <f>IF($A95="","",IFERROR(MATCH($A95,Raw_D1!$A$2:$A$1001,0),""))</f>
        <v>94</v>
      </c>
      <c r="AQ95" s="5">
        <f>IF($A95="","",IFERROR(MATCH($A95,Raw_D2!$B$2:$B$1001,0),""))</f>
        <v>94</v>
      </c>
      <c r="AR95" s="5">
        <f>IF($A95="","",IFERROR(MATCH($A95,Raw_D3!$A$2:$A$1001,0),""))</f>
        <v/>
      </c>
    </row>
    <row r="96" spans="1:44" x14ac:dyDescent="0.25">
      <c r="A96" s="5">
        <v>95</v>
      </c>
      <c r="B96" s="11">
        <f>IF($A96="","",IF($AP96&lt;&gt;"",INDEX(Raw_D1!$B$2:$B$1001,$AP96),IF($AR96&lt;&gt;"",INDEX(Raw_D3!$B$2:$B$1001,$AR96),"")))</f>
        <v>40548.0</v>
      </c>
      <c r="C96" s="5">
        <f>IF($A96="","",IF($AP96&lt;&gt;"",INDEX(Raw_D1!$C$2:$C$1001,$AP96),IF($AR96&lt;&gt;"",INDEX(Raw_D3!$C$2:$C$1001,$AR96),"")))</f>
        <v>1</v>
      </c>
      <c r="D96" s="5">
        <f>IF($A96="","",IF($AP96&lt;&gt;"",INDEX(Raw_D1!$D$2:$D$1001,$AP96),IF($AR96&lt;&gt;"",INDEX(Raw_D3!$D$2:$D$1001,$AR96),"")))</f>
        <v>0</v>
      </c>
      <c r="E96" s="5">
        <f>IF($A96="","",IF($AP96&lt;&gt;"",INDEX(Raw_D1!$E$2:$E$1001,$AP96),IF($AR96&lt;&gt;"",INDEX(Raw_D3!$E$2:$E$1001,$AR96),"")))</f>
        <v>1</v>
      </c>
      <c r="F96" s="5">
        <f>IF($A96="","",IF($AP96&lt;&gt;"",INDEX(Raw_D1!$F$2:$F$1001,$AP96),IF($AR96&lt;&gt;"",INDEX(Raw_D3!$F$2:$F$1001,$AR96),"")))</f>
        <v>2</v>
      </c>
      <c r="G96" s="5">
        <f>IF($A96="","",IF($AP96&lt;&gt;"",IF(INDEX(Raw_D1!$G$2:$G$1001,$AP96),1,0),IF($AR96&lt;&gt;"",IF(INDEX(Raw_D3!$G$2:$G$1001,$AR96),1,0),"")))</f>
        <v>0</v>
      </c>
      <c r="H96" s="5">
        <f>IF($A96="","",IF($AP96&lt;&gt;"",INDEX(Raw_D1!$H$2:$H$1001,$AP96),IF($AR96&lt;&gt;"",INDEX(Raw_D3!$H$2:$H$1001,$AR96),"")))</f>
        <v>3</v>
      </c>
      <c r="I96" s="5">
        <f>IF($A96="","",IF($AP96&lt;&gt;"",INDEX(Raw_D1!$I$2:$I$1001,$AP96),IF($AR96&lt;&gt;"",INDEX(Raw_D3!$I$2:$I$1001,$AR96),"")))</f>
        <v>1</v>
      </c>
      <c r="J96" s="16">
        <f>IF($A96="","",IF($AP96&lt;&gt;"",INDEX(Raw_D1!$J$2:$J$1001,$AP96),IF($AR96&lt;&gt;"",INDEX(Raw_D3!$J$2:$J$1001,$AR96),"")))</f>
        <v>0.16</v>
      </c>
      <c r="K96" s="17">
        <f>IF($A96="","",IF($AQ96&lt;&gt;"",IF(INDEX(Raw_D2!$C$2:$C$1001,$AQ96)="","",INDEX(Raw_D2!$C$2:$C$1001,$AQ96)),IF($AR96&lt;&gt;"",IF(INDEX(Raw_D3!$K$2:$K$1001,$AR96)="","",INDEX(Raw_D3!$K$2:$K$1001,$AR96)),"")))</f>
        <v>0.197</v>
      </c>
      <c r="L96" s="16">
        <f>IF($A96="","",IF($AQ96&lt;&gt;"",IF(INDEX(Raw_D2!$D$2:$D$1001,$AQ96)="","",INDEX(Raw_D2!$D$2:$D$1001,$AQ96)),IF($AR96&lt;&gt;"",IF(INDEX(Raw_D3!$L$2:$L$1001,$AR96)="","",INDEX(Raw_D3!$L$2:$L$1001,$AR96)),"")))</f>
        <v>0.74</v>
      </c>
      <c r="M96" s="17">
        <f>IF($A96="","",IF($AQ96&lt;&gt;"",IF(INDEX(Raw_D2!$E$2:$E$1001,$AQ96)="","",INDEX(Raw_D2!$E$2:$E$1001,$AQ96)),IF($AR96&lt;&gt;"",IF(INDEX(Raw_D3!$M$2:$M$1001,$AR96)="","",INDEX(Raw_D3!$M$2:$M$1001,$AR96)),"")))</f>
        <v>0.0896</v>
      </c>
      <c r="N96" s="5">
        <f>IF($A96="","",IF($AQ96&lt;&gt;"",IF(INDEX(Raw_D2!$F$2:$F$1001,$AQ96)="","",INDEX(Raw_D2!$F$2:$F$1001,$AQ96)),IF($AR96&lt;&gt;"",IF(INDEX(Raw_D3!$N$2:$N$1001,$AR96)="","",INDEX(Raw_D3!$N$2:$N$1001,$AR96)),"")))</f>
        <v>0</v>
      </c>
      <c r="O96" s="5">
        <f>IF($A96="","",IF($AQ96&lt;&gt;"",IF(INDEX(Raw_D2!$G$2:$G$1001,$AQ96)="","",INDEX(Raw_D2!$G$2:$G$1001,$AQ96)),IF($AR96&lt;&gt;"",IF(INDEX(Raw_D3!$O$2:$O$1001,$AR96)="","",INDEX(Raw_D3!$O$2:$O$1001,$AR96)),"")))</f>
        <v>2</v>
      </c>
      <c r="P96" s="5">
        <f>IF($A96="","",IF($AQ96&lt;&gt;"",IF(INDEX(Raw_D2!$H$2:$H$1001,$AQ96)="","",INDEX(Raw_D2!$H$2:$H$1001,$AQ96)),IF($AR96&lt;&gt;"",IF(INDEX(Raw_D3!$P$2:$P$1001,$AR96)="","",INDEX(Raw_D3!$P$2:$P$1001,$AR96)),"")))</f>
        <v>2</v>
      </c>
      <c r="Q96" s="5" t="str">
        <f>IF($A96="","",IF(AND($AP96&lt;&gt;"",$AQ96&lt;&gt;""),"D1+D2",IF($AR96&lt;&gt;"","D3","Incomplete")))</f>
        <v>D1+D2</v>
      </c>
      <c r="R96" s="17">
        <f>IF($A96="","",IF($K96="",IF($J96="","",ROUND(Lookups!$K$5+Lookups!$K$4*$J96,4)),$K96))</f>
        <v>0.197</v>
      </c>
      <c r="S96" s="5" t="str">
        <f>IF($A96="","",IF($K96="","Imputed","Original"))</f>
        <v>Original</v>
      </c>
      <c r="T96" s="5" t="str">
        <f>IF($A96="","",IF($P96="","Missing",IF($P96=$N96+$O96,"OK","Mismatch")))</f>
        <v>OK</v>
      </c>
      <c r="U96" s="5" t="str">
        <f>IF($A96="","",IF(COUNTIF($A$2:$A96,$A96)&gt;1,"Duplicate","Unique"))</f>
        <v>Unique</v>
      </c>
      <c r="V96" s="5">
        <f>IF($A96="","",IF(AND($U96="Unique",ISNUMBER($P96)),1,0))</f>
        <v>1</v>
      </c>
      <c r="W96" s="5" t="str">
        <f>IF($A96="","",IF(OR($H96=0,$H96=6),"Weekend","Weekday"))</f>
        <v>Weekday</v>
      </c>
      <c r="X96" s="5" t="str">
        <f>IF($A96="","",TEXT($B96,"ddd"))</f>
        <v>Wed</v>
      </c>
      <c r="Y96" s="5" t="str">
        <f>IF($A96="","",TEXT($B96,"mmm"))</f>
        <v>Jan</v>
      </c>
      <c r="Z96" s="5" t="str">
        <f>IF($A96="","",IFERROR(VLOOKUP($C96,Lookups!$D$4:$E$7,2,FALSE),"Unknown"))</f>
        <v>Winter</v>
      </c>
      <c r="AA96" s="5" t="str">
        <f>IF($A96="","",IFERROR(VLOOKUP($I96,Lookups!$A$4:$B$7,2,FALSE),"Unknown"))</f>
        <v>Clear</v>
      </c>
      <c r="AB96" s="5" t="str">
        <f>IF($A96="","",TEXT($F96,"00")&amp;":00")</f>
        <v>02:00</v>
      </c>
      <c r="AC96" s="5" t="str">
        <f>IF($A96="","",VLOOKUP($F96,Lookups!$G$4:$H$8,2,TRUE))</f>
        <v>Night (00-05)</v>
      </c>
      <c r="AD96" s="18">
        <f>IF($A96="","",IF($J96="","",ROUND($J96*41,1)))</f>
        <v>6.6</v>
      </c>
      <c r="AE96" s="18">
        <f>IF($A96="","",IF($R96="","",ROUND($R96*50,1)))</f>
        <v>9.9</v>
      </c>
      <c r="AF96" s="5">
        <f>IF($A96="","",IF($L96="","",ROUND($L96*100,0)))</f>
        <v>74</v>
      </c>
      <c r="AG96" s="18">
        <f>IF($A96="","",IF($M96="","",ROUND($M96*67,1)))</f>
        <v>6</v>
      </c>
      <c r="AH96" s="19">
        <f>IF($A96="","",IF($P96="","",IF($P96=0,0,$O96/$P96)))</f>
        <v>1</v>
      </c>
      <c r="AI96" s="5" t="str">
        <f>IF($A96="","",IF($P96="","",IF($P96&gt;=Lookups!$K$7,"High",IF($P96&lt;=Lookups!$K$8,"Low","Medium"))))</f>
        <v>Low</v>
      </c>
      <c r="AJ96" s="5" t="str">
        <f>IF($A96="","",IF($AD96="","",IF($AD96&lt;5,"Under 5 C",IF($AD96&lt;10,"5-10 C",IF($AD96&lt;15,"10-15 C","15 C and above")))))</f>
        <v>5-10 C</v>
      </c>
      <c r="AK96" s="5">
        <f>IF($A96="","",IF($P96="","",$P96^2))</f>
        <v>4</v>
      </c>
      <c r="AL96" s="18">
        <f>IF($V96&lt;&gt;1,"",AVERAGEIFS(Clean_Data!$P$2:$P$1001,Clean_Data!$F$2:$F$1001,$F96,Clean_Data!$W$2:$W$1001,$W96,Clean_Data!$V$2:$V$1001,1))</f>
        <v>2.62962962962963</v>
      </c>
      <c r="AM96" s="16">
        <f>IF($V96&lt;&gt;1,"",IFERROR(($P96-$AL96)/SQRT(MAX(0,(SUMIFS(Clean_Data!$AK$2:$AK$1001,Clean_Data!$F$2:$F$1001,$F96,Clean_Data!$W$2:$W$1001,$W96,Clean_Data!$V$2:$V$1001,1)-COUNTIFS(Clean_Data!$F$2:$F$1001,$F96,Clean_Data!$W$2:$W$1001,$W96,Clean_Data!$V$2:$V$1001,1)*$AL96^2)/(COUNTIFS(Clean_Data!$F$2:$F$1001,$F96,Clean_Data!$W$2:$W$1001,$W96,Clean_Data!$V$2:$V$1001,1)-1))),""))</f>
        <v>-0.311395810225326</v>
      </c>
      <c r="AN96" s="5" t="str">
        <f>IF($AM96="","",IF($AM96&gt;=Lookups!$K$6,"High spike",IF($AM96&lt;=-Lookups!$K$6,"Unusual low","Normal")))</f>
        <v>Normal</v>
      </c>
      <c r="AO96" s="20">
        <f>IF($V96&lt;&gt;1,"",$P96+ROW()/100000)</f>
        <v>2.00096</v>
      </c>
      <c r="AP96" s="5">
        <f>IF($A96="","",IFERROR(MATCH($A96,Raw_D1!$A$2:$A$1001,0),""))</f>
        <v>95</v>
      </c>
      <c r="AQ96" s="5">
        <f>IF($A96="","",IFERROR(MATCH($A96,Raw_D2!$B$2:$B$1001,0),""))</f>
        <v>95</v>
      </c>
      <c r="AR96" s="5">
        <f>IF($A96="","",IFERROR(MATCH($A96,Raw_D3!$A$2:$A$1001,0),""))</f>
        <v/>
      </c>
    </row>
    <row r="97" spans="1:44" x14ac:dyDescent="0.25">
      <c r="A97" s="5">
        <v>96</v>
      </c>
      <c r="B97" s="11">
        <f>IF($A97="","",IF($AP97&lt;&gt;"",INDEX(Raw_D1!$B$2:$B$1001,$AP97),IF($AR97&lt;&gt;"",INDEX(Raw_D3!$B$2:$B$1001,$AR97),"")))</f>
        <v>40548.0</v>
      </c>
      <c r="C97" s="5">
        <f>IF($A97="","",IF($AP97&lt;&gt;"",INDEX(Raw_D1!$C$2:$C$1001,$AP97),IF($AR97&lt;&gt;"",INDEX(Raw_D3!$C$2:$C$1001,$AR97),"")))</f>
        <v>1</v>
      </c>
      <c r="D97" s="5">
        <f>IF($A97="","",IF($AP97&lt;&gt;"",INDEX(Raw_D1!$D$2:$D$1001,$AP97),IF($AR97&lt;&gt;"",INDEX(Raw_D3!$D$2:$D$1001,$AR97),"")))</f>
        <v>0</v>
      </c>
      <c r="E97" s="5">
        <f>IF($A97="","",IF($AP97&lt;&gt;"",INDEX(Raw_D1!$E$2:$E$1001,$AP97),IF($AR97&lt;&gt;"",INDEX(Raw_D3!$E$2:$E$1001,$AR97),"")))</f>
        <v>1</v>
      </c>
      <c r="F97" s="5">
        <f>IF($A97="","",IF($AP97&lt;&gt;"",INDEX(Raw_D1!$F$2:$F$1001,$AP97),IF($AR97&lt;&gt;"",INDEX(Raw_D3!$F$2:$F$1001,$AR97),"")))</f>
        <v>4</v>
      </c>
      <c r="G97" s="5">
        <f>IF($A97="","",IF($AP97&lt;&gt;"",IF(INDEX(Raw_D1!$G$2:$G$1001,$AP97),1,0),IF($AR97&lt;&gt;"",IF(INDEX(Raw_D3!$G$2:$G$1001,$AR97),1,0),"")))</f>
        <v>0</v>
      </c>
      <c r="H97" s="5">
        <f>IF($A97="","",IF($AP97&lt;&gt;"",INDEX(Raw_D1!$H$2:$H$1001,$AP97),IF($AR97&lt;&gt;"",INDEX(Raw_D3!$H$2:$H$1001,$AR97),"")))</f>
        <v>3</v>
      </c>
      <c r="I97" s="5">
        <f>IF($A97="","",IF($AP97&lt;&gt;"",INDEX(Raw_D1!$I$2:$I$1001,$AP97),IF($AR97&lt;&gt;"",INDEX(Raw_D3!$I$2:$I$1001,$AR97),"")))</f>
        <v>1</v>
      </c>
      <c r="J97" s="16">
        <f>IF($A97="","",IF($AP97&lt;&gt;"",INDEX(Raw_D1!$J$2:$J$1001,$AP97),IF($AR97&lt;&gt;"",INDEX(Raw_D3!$J$2:$J$1001,$AR97),"")))</f>
        <v>0.24</v>
      </c>
      <c r="K97" s="17">
        <f>IF($A97="","",IF($AQ97&lt;&gt;"",IF(INDEX(Raw_D2!$C$2:$C$1001,$AQ97)="","",INDEX(Raw_D2!$C$2:$C$1001,$AQ97)),IF($AR97&lt;&gt;"",IF(INDEX(Raw_D3!$K$2:$K$1001,$AR97)="","",INDEX(Raw_D3!$K$2:$K$1001,$AR97)),"")))</f>
        <v>0.2273</v>
      </c>
      <c r="L97" s="16">
        <f>IF($A97="","",IF($AQ97&lt;&gt;"",IF(INDEX(Raw_D2!$D$2:$D$1001,$AQ97)="","",INDEX(Raw_D2!$D$2:$D$1001,$AQ97)),IF($AR97&lt;&gt;"",IF(INDEX(Raw_D3!$L$2:$L$1001,$AR97)="","",INDEX(Raw_D3!$L$2:$L$1001,$AR97)),"")))</f>
        <v>0.48</v>
      </c>
      <c r="M97" s="17">
        <f>IF($A97="","",IF($AQ97&lt;&gt;"",IF(INDEX(Raw_D2!$E$2:$E$1001,$AQ97)="","",INDEX(Raw_D2!$E$2:$E$1001,$AQ97)),IF($AR97&lt;&gt;"",IF(INDEX(Raw_D3!$M$2:$M$1001,$AR97)="","",INDEX(Raw_D3!$M$2:$M$1001,$AR97)),"")))</f>
        <v>0.2239</v>
      </c>
      <c r="N97" s="5">
        <f>IF($A97="","",IF($AQ97&lt;&gt;"",IF(INDEX(Raw_D2!$F$2:$F$1001,$AQ97)="","",INDEX(Raw_D2!$F$2:$F$1001,$AQ97)),IF($AR97&lt;&gt;"",IF(INDEX(Raw_D3!$N$2:$N$1001,$AR97)="","",INDEX(Raw_D3!$N$2:$N$1001,$AR97)),"")))</f>
        <v>0</v>
      </c>
      <c r="O97" s="5">
        <f>IF($A97="","",IF($AQ97&lt;&gt;"",IF(INDEX(Raw_D2!$G$2:$G$1001,$AQ97)="","",INDEX(Raw_D2!$G$2:$G$1001,$AQ97)),IF($AR97&lt;&gt;"",IF(INDEX(Raw_D3!$O$2:$O$1001,$AR97)="","",INDEX(Raw_D3!$O$2:$O$1001,$AR97)),"")))</f>
        <v>2</v>
      </c>
      <c r="P97" s="5">
        <f>IF($A97="","",IF($AQ97&lt;&gt;"",IF(INDEX(Raw_D2!$H$2:$H$1001,$AQ97)="","",INDEX(Raw_D2!$H$2:$H$1001,$AQ97)),IF($AR97&lt;&gt;"",IF(INDEX(Raw_D3!$P$2:$P$1001,$AR97)="","",INDEX(Raw_D3!$P$2:$P$1001,$AR97)),"")))</f>
        <v>2</v>
      </c>
      <c r="Q97" s="5" t="str">
        <f>IF($A97="","",IF(AND($AP97&lt;&gt;"",$AQ97&lt;&gt;""),"D1+D2",IF($AR97&lt;&gt;"","D3","Incomplete")))</f>
        <v>D1+D2</v>
      </c>
      <c r="R97" s="17">
        <f>IF($A97="","",IF($K97="",IF($J97="","",ROUND(Lookups!$K$5+Lookups!$K$4*$J97,4)),$K97))</f>
        <v>0.2273</v>
      </c>
      <c r="S97" s="5" t="str">
        <f>IF($A97="","",IF($K97="","Imputed","Original"))</f>
        <v>Original</v>
      </c>
      <c r="T97" s="5" t="str">
        <f>IF($A97="","",IF($P97="","Missing",IF($P97=$N97+$O97,"OK","Mismatch")))</f>
        <v>OK</v>
      </c>
      <c r="U97" s="5" t="str">
        <f>IF($A97="","",IF(COUNTIF($A$2:$A97,$A97)&gt;1,"Duplicate","Unique"))</f>
        <v>Unique</v>
      </c>
      <c r="V97" s="5">
        <f>IF($A97="","",IF(AND($U97="Unique",ISNUMBER($P97)),1,0))</f>
        <v>1</v>
      </c>
      <c r="W97" s="5" t="str">
        <f>IF($A97="","",IF(OR($H97=0,$H97=6),"Weekend","Weekday"))</f>
        <v>Weekday</v>
      </c>
      <c r="X97" s="5" t="str">
        <f>IF($A97="","",TEXT($B97,"ddd"))</f>
        <v>Wed</v>
      </c>
      <c r="Y97" s="5" t="str">
        <f>IF($A97="","",TEXT($B97,"mmm"))</f>
        <v>Jan</v>
      </c>
      <c r="Z97" s="5" t="str">
        <f>IF($A97="","",IFERROR(VLOOKUP($C97,Lookups!$D$4:$E$7,2,FALSE),"Unknown"))</f>
        <v>Winter</v>
      </c>
      <c r="AA97" s="5" t="str">
        <f>IF($A97="","",IFERROR(VLOOKUP($I97,Lookups!$A$4:$B$7,2,FALSE),"Unknown"))</f>
        <v>Clear</v>
      </c>
      <c r="AB97" s="5" t="str">
        <f>IF($A97="","",TEXT($F97,"00")&amp;":00")</f>
        <v>04:00</v>
      </c>
      <c r="AC97" s="5" t="str">
        <f>IF($A97="","",VLOOKUP($F97,Lookups!$G$4:$H$8,2,TRUE))</f>
        <v>Night (00-05)</v>
      </c>
      <c r="AD97" s="18">
        <f>IF($A97="","",IF($J97="","",ROUND($J97*41,1)))</f>
        <v>9.8</v>
      </c>
      <c r="AE97" s="18">
        <f>IF($A97="","",IF($R97="","",ROUND($R97*50,1)))</f>
        <v>11.4</v>
      </c>
      <c r="AF97" s="5">
        <f>IF($A97="","",IF($L97="","",ROUND($L97*100,0)))</f>
        <v>48</v>
      </c>
      <c r="AG97" s="18">
        <f>IF($A97="","",IF($M97="","",ROUND($M97*67,1)))</f>
        <v>15</v>
      </c>
      <c r="AH97" s="19">
        <f>IF($A97="","",IF($P97="","",IF($P97=0,0,$O97/$P97)))</f>
        <v>1</v>
      </c>
      <c r="AI97" s="5" t="str">
        <f>IF($A97="","",IF($P97="","",IF($P97&gt;=Lookups!$K$7,"High",IF($P97&lt;=Lookups!$K$8,"Low","Medium"))))</f>
        <v>Low</v>
      </c>
      <c r="AJ97" s="5" t="str">
        <f>IF($A97="","",IF($AD97="","",IF($AD97&lt;5,"Under 5 C",IF($AD97&lt;10,"5-10 C",IF($AD97&lt;15,"10-15 C","15 C and above")))))</f>
        <v>5-10 C</v>
      </c>
      <c r="AK97" s="5">
        <f>IF($A97="","",IF($P97="","",$P97^2))</f>
        <v>4</v>
      </c>
      <c r="AL97" s="18">
        <f>IF($V97&lt;&gt;1,"",AVERAGEIFS(Clean_Data!$P$2:$P$1001,Clean_Data!$F$2:$F$1001,$F97,Clean_Data!$W$2:$W$1001,$W97,Clean_Data!$V$2:$V$1001,1))</f>
        <v>1.78947368421053</v>
      </c>
      <c r="AM97" s="16">
        <f>IF($V97&lt;&gt;1,"",IFERROR(($P97-$AL97)/SQRT(MAX(0,(SUMIFS(Clean_Data!$AK$2:$AK$1001,Clean_Data!$F$2:$F$1001,$F97,Clean_Data!$W$2:$W$1001,$W97,Clean_Data!$V$2:$V$1001,1)-COUNTIFS(Clean_Data!$F$2:$F$1001,$F97,Clean_Data!$W$2:$W$1001,$W97,Clean_Data!$V$2:$V$1001,1)*$AL97^2)/(COUNTIFS(Clean_Data!$F$2:$F$1001,$F97,Clean_Data!$W$2:$W$1001,$W97,Clean_Data!$V$2:$V$1001,1)-1))),""))</f>
        <v>0.229415733870562</v>
      </c>
      <c r="AN97" s="5" t="str">
        <f>IF($AM97="","",IF($AM97&gt;=Lookups!$K$6,"High spike",IF($AM97&lt;=-Lookups!$K$6,"Unusual low","Normal")))</f>
        <v>Normal</v>
      </c>
      <c r="AO97" s="20">
        <f>IF($V97&lt;&gt;1,"",$P97+ROW()/100000)</f>
        <v>2.00097</v>
      </c>
      <c r="AP97" s="5">
        <f>IF($A97="","",IFERROR(MATCH($A97,Raw_D1!$A$2:$A$1001,0),""))</f>
        <v>96</v>
      </c>
      <c r="AQ97" s="5">
        <f>IF($A97="","",IFERROR(MATCH($A97,Raw_D2!$B$2:$B$1001,0),""))</f>
        <v>96</v>
      </c>
      <c r="AR97" s="5">
        <f>IF($A97="","",IFERROR(MATCH($A97,Raw_D3!$A$2:$A$1001,0),""))</f>
        <v/>
      </c>
    </row>
    <row r="98" spans="1:44" x14ac:dyDescent="0.25">
      <c r="A98" s="5">
        <v>97</v>
      </c>
      <c r="B98" s="11">
        <f>IF($A98="","",IF($AP98&lt;&gt;"",INDEX(Raw_D1!$B$2:$B$1001,$AP98),IF($AR98&lt;&gt;"",INDEX(Raw_D3!$B$2:$B$1001,$AR98),"")))</f>
        <v>40548.0</v>
      </c>
      <c r="C98" s="5">
        <f>IF($A98="","",IF($AP98&lt;&gt;"",INDEX(Raw_D1!$C$2:$C$1001,$AP98),IF($AR98&lt;&gt;"",INDEX(Raw_D3!$C$2:$C$1001,$AR98),"")))</f>
        <v>1</v>
      </c>
      <c r="D98" s="5">
        <f>IF($A98="","",IF($AP98&lt;&gt;"",INDEX(Raw_D1!$D$2:$D$1001,$AP98),IF($AR98&lt;&gt;"",INDEX(Raw_D3!$D$2:$D$1001,$AR98),"")))</f>
        <v>0</v>
      </c>
      <c r="E98" s="5">
        <f>IF($A98="","",IF($AP98&lt;&gt;"",INDEX(Raw_D1!$E$2:$E$1001,$AP98),IF($AR98&lt;&gt;"",INDEX(Raw_D3!$E$2:$E$1001,$AR98),"")))</f>
        <v>1</v>
      </c>
      <c r="F98" s="5">
        <f>IF($A98="","",IF($AP98&lt;&gt;"",INDEX(Raw_D1!$F$2:$F$1001,$AP98),IF($AR98&lt;&gt;"",INDEX(Raw_D3!$F$2:$F$1001,$AR98),"")))</f>
        <v>5</v>
      </c>
      <c r="G98" s="5">
        <f>IF($A98="","",IF($AP98&lt;&gt;"",IF(INDEX(Raw_D1!$G$2:$G$1001,$AP98),1,0),IF($AR98&lt;&gt;"",IF(INDEX(Raw_D3!$G$2:$G$1001,$AR98),1,0),"")))</f>
        <v>0</v>
      </c>
      <c r="H98" s="5">
        <f>IF($A98="","",IF($AP98&lt;&gt;"",INDEX(Raw_D1!$H$2:$H$1001,$AP98),IF($AR98&lt;&gt;"",INDEX(Raw_D3!$H$2:$H$1001,$AR98),"")))</f>
        <v>3</v>
      </c>
      <c r="I98" s="5">
        <f>IF($A98="","",IF($AP98&lt;&gt;"",INDEX(Raw_D1!$I$2:$I$1001,$AP98),IF($AR98&lt;&gt;"",INDEX(Raw_D3!$I$2:$I$1001,$AR98),"")))</f>
        <v>1</v>
      </c>
      <c r="J98" s="16">
        <f>IF($A98="","",IF($AP98&lt;&gt;"",INDEX(Raw_D1!$J$2:$J$1001,$AP98),IF($AR98&lt;&gt;"",INDEX(Raw_D3!$J$2:$J$1001,$AR98),"")))</f>
        <v>0.22</v>
      </c>
      <c r="K98" s="17">
        <f>IF($A98="","",IF($AQ98&lt;&gt;"",IF(INDEX(Raw_D2!$C$2:$C$1001,$AQ98)="","",INDEX(Raw_D2!$C$2:$C$1001,$AQ98)),IF($AR98&lt;&gt;"",IF(INDEX(Raw_D3!$K$2:$K$1001,$AR98)="","",INDEX(Raw_D3!$K$2:$K$1001,$AR98)),"")))</f>
        <v>0.2273</v>
      </c>
      <c r="L98" s="16">
        <f>IF($A98="","",IF($AQ98&lt;&gt;"",IF(INDEX(Raw_D2!$D$2:$D$1001,$AQ98)="","",INDEX(Raw_D2!$D$2:$D$1001,$AQ98)),IF($AR98&lt;&gt;"",IF(INDEX(Raw_D3!$L$2:$L$1001,$AR98)="","",INDEX(Raw_D3!$L$2:$L$1001,$AR98)),"")))</f>
        <v>0.47</v>
      </c>
      <c r="M98" s="17">
        <f>IF($A98="","",IF($AQ98&lt;&gt;"",IF(INDEX(Raw_D2!$E$2:$E$1001,$AQ98)="","",INDEX(Raw_D2!$E$2:$E$1001,$AQ98)),IF($AR98&lt;&gt;"",IF(INDEX(Raw_D3!$M$2:$M$1001,$AR98)="","",INDEX(Raw_D3!$M$2:$M$1001,$AR98)),"")))</f>
        <v>0.1642</v>
      </c>
      <c r="N98" s="5">
        <f>IF($A98="","",IF($AQ98&lt;&gt;"",IF(INDEX(Raw_D2!$F$2:$F$1001,$AQ98)="","",INDEX(Raw_D2!$F$2:$F$1001,$AQ98)),IF($AR98&lt;&gt;"",IF(INDEX(Raw_D3!$N$2:$N$1001,$AR98)="","",INDEX(Raw_D3!$N$2:$N$1001,$AR98)),"")))</f>
        <v>0</v>
      </c>
      <c r="O98" s="5">
        <f>IF($A98="","",IF($AQ98&lt;&gt;"",IF(INDEX(Raw_D2!$G$2:$G$1001,$AQ98)="","",INDEX(Raw_D2!$G$2:$G$1001,$AQ98)),IF($AR98&lt;&gt;"",IF(INDEX(Raw_D3!$O$2:$O$1001,$AR98)="","",INDEX(Raw_D3!$O$2:$O$1001,$AR98)),"")))</f>
        <v>3</v>
      </c>
      <c r="P98" s="5">
        <f>IF($A98="","",IF($AQ98&lt;&gt;"",IF(INDEX(Raw_D2!$H$2:$H$1001,$AQ98)="","",INDEX(Raw_D2!$H$2:$H$1001,$AQ98)),IF($AR98&lt;&gt;"",IF(INDEX(Raw_D3!$P$2:$P$1001,$AR98)="","",INDEX(Raw_D3!$P$2:$P$1001,$AR98)),"")))</f>
        <v>3</v>
      </c>
      <c r="Q98" s="5" t="str">
        <f>IF($A98="","",IF(AND($AP98&lt;&gt;"",$AQ98&lt;&gt;""),"D1+D2",IF($AR98&lt;&gt;"","D3","Incomplete")))</f>
        <v>D1+D2</v>
      </c>
      <c r="R98" s="17">
        <f>IF($A98="","",IF($K98="",IF($J98="","",ROUND(Lookups!$K$5+Lookups!$K$4*$J98,4)),$K98))</f>
        <v>0.2273</v>
      </c>
      <c r="S98" s="5" t="str">
        <f>IF($A98="","",IF($K98="","Imputed","Original"))</f>
        <v>Original</v>
      </c>
      <c r="T98" s="5" t="str">
        <f>IF($A98="","",IF($P98="","Missing",IF($P98=$N98+$O98,"OK","Mismatch")))</f>
        <v>OK</v>
      </c>
      <c r="U98" s="5" t="str">
        <f>IF($A98="","",IF(COUNTIF($A$2:$A98,$A98)&gt;1,"Duplicate","Unique"))</f>
        <v>Unique</v>
      </c>
      <c r="V98" s="5">
        <f>IF($A98="","",IF(AND($U98="Unique",ISNUMBER($P98)),1,0))</f>
        <v>1</v>
      </c>
      <c r="W98" s="5" t="str">
        <f>IF($A98="","",IF(OR($H98=0,$H98=6),"Weekend","Weekday"))</f>
        <v>Weekday</v>
      </c>
      <c r="X98" s="5" t="str">
        <f>IF($A98="","",TEXT($B98,"ddd"))</f>
        <v>Wed</v>
      </c>
      <c r="Y98" s="5" t="str">
        <f>IF($A98="","",TEXT($B98,"mmm"))</f>
        <v>Jan</v>
      </c>
      <c r="Z98" s="5" t="str">
        <f>IF($A98="","",IFERROR(VLOOKUP($C98,Lookups!$D$4:$E$7,2,FALSE),"Unknown"))</f>
        <v>Winter</v>
      </c>
      <c r="AA98" s="5" t="str">
        <f>IF($A98="","",IFERROR(VLOOKUP($I98,Lookups!$A$4:$B$7,2,FALSE),"Unknown"))</f>
        <v>Clear</v>
      </c>
      <c r="AB98" s="5" t="str">
        <f>IF($A98="","",TEXT($F98,"00")&amp;":00")</f>
        <v>05:00</v>
      </c>
      <c r="AC98" s="5" t="str">
        <f>IF($A98="","",VLOOKUP($F98,Lookups!$G$4:$H$8,2,TRUE))</f>
        <v>Night (00-05)</v>
      </c>
      <c r="AD98" s="18">
        <f>IF($A98="","",IF($J98="","",ROUND($J98*41,1)))</f>
        <v>9</v>
      </c>
      <c r="AE98" s="18">
        <f>IF($A98="","",IF($R98="","",ROUND($R98*50,1)))</f>
        <v>11.4</v>
      </c>
      <c r="AF98" s="5">
        <f>IF($A98="","",IF($L98="","",ROUND($L98*100,0)))</f>
        <v>47</v>
      </c>
      <c r="AG98" s="18">
        <f>IF($A98="","",IF($M98="","",ROUND($M98*67,1)))</f>
        <v>11</v>
      </c>
      <c r="AH98" s="19">
        <f>IF($A98="","",IF($P98="","",IF($P98=0,0,$O98/$P98)))</f>
        <v>1</v>
      </c>
      <c r="AI98" s="5" t="str">
        <f>IF($A98="","",IF($P98="","",IF($P98&gt;=Lookups!$K$7,"High",IF($P98&lt;=Lookups!$K$8,"Low","Medium"))))</f>
        <v>Low</v>
      </c>
      <c r="AJ98" s="5" t="str">
        <f>IF($A98="","",IF($AD98="","",IF($AD98&lt;5,"Under 5 C",IF($AD98&lt;10,"5-10 C",IF($AD98&lt;15,"10-15 C","15 C and above")))))</f>
        <v>5-10 C</v>
      </c>
      <c r="AK98" s="5">
        <f>IF($A98="","",IF($P98="","",$P98^2))</f>
        <v>9</v>
      </c>
      <c r="AL98" s="18">
        <f>IF($V98&lt;&gt;1,"",AVERAGEIFS(Clean_Data!$P$2:$P$1001,Clean_Data!$F$2:$F$1001,$F98,Clean_Data!$W$2:$W$1001,$W98,Clean_Data!$V$2:$V$1001,1))</f>
        <v>4.72413793103448</v>
      </c>
      <c r="AM98" s="16">
        <f>IF($V98&lt;&gt;1,"",IFERROR(($P98-$AL98)/SQRT(MAX(0,(SUMIFS(Clean_Data!$AK$2:$AK$1001,Clean_Data!$F$2:$F$1001,$F98,Clean_Data!$W$2:$W$1001,$W98,Clean_Data!$V$2:$V$1001,1)-COUNTIFS(Clean_Data!$F$2:$F$1001,$F98,Clean_Data!$W$2:$W$1001,$W98,Clean_Data!$V$2:$V$1001,1)*$AL98^2)/(COUNTIFS(Clean_Data!$F$2:$F$1001,$F98,Clean_Data!$W$2:$W$1001,$W98,Clean_Data!$V$2:$V$1001,1)-1))),""))</f>
        <v>-0.735669230034663</v>
      </c>
      <c r="AN98" s="5" t="str">
        <f>IF($AM98="","",IF($AM98&gt;=Lookups!$K$6,"High spike",IF($AM98&lt;=-Lookups!$K$6,"Unusual low","Normal")))</f>
        <v>Normal</v>
      </c>
      <c r="AO98" s="20">
        <f>IF($V98&lt;&gt;1,"",$P98+ROW()/100000)</f>
        <v>3.00098</v>
      </c>
      <c r="AP98" s="5">
        <f>IF($A98="","",IFERROR(MATCH($A98,Raw_D1!$A$2:$A$1001,0),""))</f>
        <v>97</v>
      </c>
      <c r="AQ98" s="5">
        <f>IF($A98="","",IFERROR(MATCH($A98,Raw_D2!$B$2:$B$1001,0),""))</f>
        <v>97</v>
      </c>
      <c r="AR98" s="5">
        <f>IF($A98="","",IFERROR(MATCH($A98,Raw_D3!$A$2:$A$1001,0),""))</f>
        <v/>
      </c>
    </row>
    <row r="99" spans="1:44" x14ac:dyDescent="0.25">
      <c r="A99" s="5">
        <v>98</v>
      </c>
      <c r="B99" s="11">
        <f>IF($A99="","",IF($AP99&lt;&gt;"",INDEX(Raw_D1!$B$2:$B$1001,$AP99),IF($AR99&lt;&gt;"",INDEX(Raw_D3!$B$2:$B$1001,$AR99),"")))</f>
        <v>40548.0</v>
      </c>
      <c r="C99" s="5">
        <f>IF($A99="","",IF($AP99&lt;&gt;"",INDEX(Raw_D1!$C$2:$C$1001,$AP99),IF($AR99&lt;&gt;"",INDEX(Raw_D3!$C$2:$C$1001,$AR99),"")))</f>
        <v>1</v>
      </c>
      <c r="D99" s="5">
        <f>IF($A99="","",IF($AP99&lt;&gt;"",INDEX(Raw_D1!$D$2:$D$1001,$AP99),IF($AR99&lt;&gt;"",INDEX(Raw_D3!$D$2:$D$1001,$AR99),"")))</f>
        <v>0</v>
      </c>
      <c r="E99" s="5">
        <f>IF($A99="","",IF($AP99&lt;&gt;"",INDEX(Raw_D1!$E$2:$E$1001,$AP99),IF($AR99&lt;&gt;"",INDEX(Raw_D3!$E$2:$E$1001,$AR99),"")))</f>
        <v>1</v>
      </c>
      <c r="F99" s="5">
        <f>IF($A99="","",IF($AP99&lt;&gt;"",INDEX(Raw_D1!$F$2:$F$1001,$AP99),IF($AR99&lt;&gt;"",INDEX(Raw_D3!$F$2:$F$1001,$AR99),"")))</f>
        <v>6</v>
      </c>
      <c r="G99" s="5">
        <f>IF($A99="","",IF($AP99&lt;&gt;"",IF(INDEX(Raw_D1!$G$2:$G$1001,$AP99),1,0),IF($AR99&lt;&gt;"",IF(INDEX(Raw_D3!$G$2:$G$1001,$AR99),1,0),"")))</f>
        <v>0</v>
      </c>
      <c r="H99" s="5">
        <f>IF($A99="","",IF($AP99&lt;&gt;"",INDEX(Raw_D1!$H$2:$H$1001,$AP99),IF($AR99&lt;&gt;"",INDEX(Raw_D3!$H$2:$H$1001,$AR99),"")))</f>
        <v>3</v>
      </c>
      <c r="I99" s="5">
        <f>IF($A99="","",IF($AP99&lt;&gt;"",INDEX(Raw_D1!$I$2:$I$1001,$AP99),IF($AR99&lt;&gt;"",INDEX(Raw_D3!$I$2:$I$1001,$AR99),"")))</f>
        <v>1</v>
      </c>
      <c r="J99" s="16">
        <f>IF($A99="","",IF($AP99&lt;&gt;"",INDEX(Raw_D1!$J$2:$J$1001,$AP99),IF($AR99&lt;&gt;"",INDEX(Raw_D3!$J$2:$J$1001,$AR99),"")))</f>
        <v>0.2</v>
      </c>
      <c r="K99" s="17">
        <f>IF($A99="","",IF($AQ99&lt;&gt;"",IF(INDEX(Raw_D2!$C$2:$C$1001,$AQ99)="","",INDEX(Raw_D2!$C$2:$C$1001,$AQ99)),IF($AR99&lt;&gt;"",IF(INDEX(Raw_D3!$K$2:$K$1001,$AR99)="","",INDEX(Raw_D3!$K$2:$K$1001,$AR99)),"")))</f>
        <v>0.197</v>
      </c>
      <c r="L99" s="16">
        <f>IF($A99="","",IF($AQ99&lt;&gt;"",IF(INDEX(Raw_D2!$D$2:$D$1001,$AQ99)="","",INDEX(Raw_D2!$D$2:$D$1001,$AQ99)),IF($AR99&lt;&gt;"",IF(INDEX(Raw_D3!$L$2:$L$1001,$AR99)="","",INDEX(Raw_D3!$L$2:$L$1001,$AR99)),"")))</f>
        <v>0.47</v>
      </c>
      <c r="M99" s="17">
        <f>IF($A99="","",IF($AQ99&lt;&gt;"",IF(INDEX(Raw_D2!$E$2:$E$1001,$AQ99)="","",INDEX(Raw_D2!$E$2:$E$1001,$AQ99)),IF($AR99&lt;&gt;"",IF(INDEX(Raw_D3!$M$2:$M$1001,$AR99)="","",INDEX(Raw_D3!$M$2:$M$1001,$AR99)),"")))</f>
        <v>0.2239</v>
      </c>
      <c r="N99" s="5">
        <f>IF($A99="","",IF($AQ99&lt;&gt;"",IF(INDEX(Raw_D2!$F$2:$F$1001,$AQ99)="","",INDEX(Raw_D2!$F$2:$F$1001,$AQ99)),IF($AR99&lt;&gt;"",IF(INDEX(Raw_D3!$N$2:$N$1001,$AR99)="","",INDEX(Raw_D3!$N$2:$N$1001,$AR99)),"")))</f>
        <v>0</v>
      </c>
      <c r="O99" s="5">
        <f>IF($A99="","",IF($AQ99&lt;&gt;"",IF(INDEX(Raw_D2!$G$2:$G$1001,$AQ99)="","",INDEX(Raw_D2!$G$2:$G$1001,$AQ99)),IF($AR99&lt;&gt;"",IF(INDEX(Raw_D3!$O$2:$O$1001,$AR99)="","",INDEX(Raw_D3!$O$2:$O$1001,$AR99)),"")))</f>
        <v>33</v>
      </c>
      <c r="P99" s="5">
        <f>IF($A99="","",IF($AQ99&lt;&gt;"",IF(INDEX(Raw_D2!$H$2:$H$1001,$AQ99)="","",INDEX(Raw_D2!$H$2:$H$1001,$AQ99)),IF($AR99&lt;&gt;"",IF(INDEX(Raw_D3!$P$2:$P$1001,$AR99)="","",INDEX(Raw_D3!$P$2:$P$1001,$AR99)),"")))</f>
        <v>33</v>
      </c>
      <c r="Q99" s="5" t="str">
        <f>IF($A99="","",IF(AND($AP99&lt;&gt;"",$AQ99&lt;&gt;""),"D1+D2",IF($AR99&lt;&gt;"","D3","Incomplete")))</f>
        <v>D1+D2</v>
      </c>
      <c r="R99" s="17">
        <f>IF($A99="","",IF($K99="",IF($J99="","",ROUND(Lookups!$K$5+Lookups!$K$4*$J99,4)),$K99))</f>
        <v>0.197</v>
      </c>
      <c r="S99" s="5" t="str">
        <f>IF($A99="","",IF($K99="","Imputed","Original"))</f>
        <v>Original</v>
      </c>
      <c r="T99" s="5" t="str">
        <f>IF($A99="","",IF($P99="","Missing",IF($P99=$N99+$O99,"OK","Mismatch")))</f>
        <v>OK</v>
      </c>
      <c r="U99" s="5" t="str">
        <f>IF($A99="","",IF(COUNTIF($A$2:$A99,$A99)&gt;1,"Duplicate","Unique"))</f>
        <v>Unique</v>
      </c>
      <c r="V99" s="5">
        <f>IF($A99="","",IF(AND($U99="Unique",ISNUMBER($P99)),1,0))</f>
        <v>1</v>
      </c>
      <c r="W99" s="5" t="str">
        <f>IF($A99="","",IF(OR($H99=0,$H99=6),"Weekend","Weekday"))</f>
        <v>Weekday</v>
      </c>
      <c r="X99" s="5" t="str">
        <f>IF($A99="","",TEXT($B99,"ddd"))</f>
        <v>Wed</v>
      </c>
      <c r="Y99" s="5" t="str">
        <f>IF($A99="","",TEXT($B99,"mmm"))</f>
        <v>Jan</v>
      </c>
      <c r="Z99" s="5" t="str">
        <f>IF($A99="","",IFERROR(VLOOKUP($C99,Lookups!$D$4:$E$7,2,FALSE),"Unknown"))</f>
        <v>Winter</v>
      </c>
      <c r="AA99" s="5" t="str">
        <f>IF($A99="","",IFERROR(VLOOKUP($I99,Lookups!$A$4:$B$7,2,FALSE),"Unknown"))</f>
        <v>Clear</v>
      </c>
      <c r="AB99" s="5" t="str">
        <f>IF($A99="","",TEXT($F99,"00")&amp;":00")</f>
        <v>06:00</v>
      </c>
      <c r="AC99" s="5" t="str">
        <f>IF($A99="","",VLOOKUP($F99,Lookups!$G$4:$H$8,2,TRUE))</f>
        <v>Morning Peak (06-09)</v>
      </c>
      <c r="AD99" s="18">
        <f>IF($A99="","",IF($J99="","",ROUND($J99*41,1)))</f>
        <v>8.2</v>
      </c>
      <c r="AE99" s="18">
        <f>IF($A99="","",IF($R99="","",ROUND($R99*50,1)))</f>
        <v>9.9</v>
      </c>
      <c r="AF99" s="5">
        <f>IF($A99="","",IF($L99="","",ROUND($L99*100,0)))</f>
        <v>47</v>
      </c>
      <c r="AG99" s="18">
        <f>IF($A99="","",IF($M99="","",ROUND($M99*67,1)))</f>
        <v>15</v>
      </c>
      <c r="AH99" s="19">
        <f>IF($A99="","",IF($P99="","",IF($P99=0,0,$O99/$P99)))</f>
        <v>1</v>
      </c>
      <c r="AI99" s="5" t="str">
        <f>IF($A99="","",IF($P99="","",IF($P99&gt;=Lookups!$K$7,"High",IF($P99&lt;=Lookups!$K$8,"Low","Medium"))))</f>
        <v>Medium</v>
      </c>
      <c r="AJ99" s="5" t="str">
        <f>IF($A99="","",IF($AD99="","",IF($AD99&lt;5,"Under 5 C",IF($AD99&lt;10,"5-10 C",IF($AD99&lt;15,"10-15 C","15 C and above")))))</f>
        <v>5-10 C</v>
      </c>
      <c r="AK99" s="5">
        <f>IF($A99="","",IF($P99="","",$P99^2))</f>
        <v>1089</v>
      </c>
      <c r="AL99" s="18">
        <f>IF($V99&lt;&gt;1,"",AVERAGEIFS(Clean_Data!$P$2:$P$1001,Clean_Data!$F$2:$F$1001,$F99,Clean_Data!$W$2:$W$1001,$W99,Clean_Data!$V$2:$V$1001,1))</f>
        <v>27.3793103448276</v>
      </c>
      <c r="AM99" s="16">
        <f>IF($V99&lt;&gt;1,"",IFERROR(($P99-$AL99)/SQRT(MAX(0,(SUMIFS(Clean_Data!$AK$2:$AK$1001,Clean_Data!$F$2:$F$1001,$F99,Clean_Data!$W$2:$W$1001,$W99,Clean_Data!$V$2:$V$1001,1)-COUNTIFS(Clean_Data!$F$2:$F$1001,$F99,Clean_Data!$W$2:$W$1001,$W99,Clean_Data!$V$2:$V$1001,1)*$AL99^2)/(COUNTIFS(Clean_Data!$F$2:$F$1001,$F99,Clean_Data!$W$2:$W$1001,$W99,Clean_Data!$V$2:$V$1001,1)-1))),""))</f>
        <v>0.590039415586535</v>
      </c>
      <c r="AN99" s="5" t="str">
        <f>IF($AM99="","",IF($AM99&gt;=Lookups!$K$6,"High spike",IF($AM99&lt;=-Lookups!$K$6,"Unusual low","Normal")))</f>
        <v>Normal</v>
      </c>
      <c r="AO99" s="20">
        <f>IF($V99&lt;&gt;1,"",$P99+ROW()/100000)</f>
        <v>33.00099</v>
      </c>
      <c r="AP99" s="5">
        <f>IF($A99="","",IFERROR(MATCH($A99,Raw_D1!$A$2:$A$1001,0),""))</f>
        <v>98</v>
      </c>
      <c r="AQ99" s="5">
        <f>IF($A99="","",IFERROR(MATCH($A99,Raw_D2!$B$2:$B$1001,0),""))</f>
        <v>98</v>
      </c>
      <c r="AR99" s="5">
        <f>IF($A99="","",IFERROR(MATCH($A99,Raw_D3!$A$2:$A$1001,0),""))</f>
        <v/>
      </c>
    </row>
    <row r="100" spans="1:44" x14ac:dyDescent="0.25">
      <c r="A100" s="5">
        <v>99</v>
      </c>
      <c r="B100" s="11">
        <f>IF($A100="","",IF($AP100&lt;&gt;"",INDEX(Raw_D1!$B$2:$B$1001,$AP100),IF($AR100&lt;&gt;"",INDEX(Raw_D3!$B$2:$B$1001,$AR100),"")))</f>
        <v>40548.0</v>
      </c>
      <c r="C100" s="5">
        <f>IF($A100="","",IF($AP100&lt;&gt;"",INDEX(Raw_D1!$C$2:$C$1001,$AP100),IF($AR100&lt;&gt;"",INDEX(Raw_D3!$C$2:$C$1001,$AR100),"")))</f>
        <v>1</v>
      </c>
      <c r="D100" s="5">
        <f>IF($A100="","",IF($AP100&lt;&gt;"",INDEX(Raw_D1!$D$2:$D$1001,$AP100),IF($AR100&lt;&gt;"",INDEX(Raw_D3!$D$2:$D$1001,$AR100),"")))</f>
        <v>0</v>
      </c>
      <c r="E100" s="5">
        <f>IF($A100="","",IF($AP100&lt;&gt;"",INDEX(Raw_D1!$E$2:$E$1001,$AP100),IF($AR100&lt;&gt;"",INDEX(Raw_D3!$E$2:$E$1001,$AR100),"")))</f>
        <v>1</v>
      </c>
      <c r="F100" s="5">
        <f>IF($A100="","",IF($AP100&lt;&gt;"",INDEX(Raw_D1!$F$2:$F$1001,$AP100),IF($AR100&lt;&gt;"",INDEX(Raw_D3!$F$2:$F$1001,$AR100),"")))</f>
        <v>7</v>
      </c>
      <c r="G100" s="5">
        <f>IF($A100="","",IF($AP100&lt;&gt;"",IF(INDEX(Raw_D1!$G$2:$G$1001,$AP100),1,0),IF($AR100&lt;&gt;"",IF(INDEX(Raw_D3!$G$2:$G$1001,$AR100),1,0),"")))</f>
        <v>0</v>
      </c>
      <c r="H100" s="5">
        <f>IF($A100="","",IF($AP100&lt;&gt;"",INDEX(Raw_D1!$H$2:$H$1001,$AP100),IF($AR100&lt;&gt;"",INDEX(Raw_D3!$H$2:$H$1001,$AR100),"")))</f>
        <v>3</v>
      </c>
      <c r="I100" s="5">
        <f>IF($A100="","",IF($AP100&lt;&gt;"",INDEX(Raw_D1!$I$2:$I$1001,$AP100),IF($AR100&lt;&gt;"",INDEX(Raw_D3!$I$2:$I$1001,$AR100),"")))</f>
        <v>1</v>
      </c>
      <c r="J100" s="16">
        <f>IF($A100="","",IF($AP100&lt;&gt;"",INDEX(Raw_D1!$J$2:$J$1001,$AP100),IF($AR100&lt;&gt;"",INDEX(Raw_D3!$J$2:$J$1001,$AR100),"")))</f>
        <v>0.18</v>
      </c>
      <c r="K100" s="17">
        <f>IF($A100="","",IF($AQ100&lt;&gt;"",IF(INDEX(Raw_D2!$C$2:$C$1001,$AQ100)="","",INDEX(Raw_D2!$C$2:$C$1001,$AQ100)),IF($AR100&lt;&gt;"",IF(INDEX(Raw_D3!$K$2:$K$1001,$AR100)="","",INDEX(Raw_D3!$K$2:$K$1001,$AR100)),"")))</f>
        <v>0.1818</v>
      </c>
      <c r="L100" s="16">
        <f>IF($A100="","",IF($AQ100&lt;&gt;"",IF(INDEX(Raw_D2!$D$2:$D$1001,$AQ100)="","",INDEX(Raw_D2!$D$2:$D$1001,$AQ100)),IF($AR100&lt;&gt;"",IF(INDEX(Raw_D3!$L$2:$L$1001,$AR100)="","",INDEX(Raw_D3!$L$2:$L$1001,$AR100)),"")))</f>
        <v>0.43</v>
      </c>
      <c r="M100" s="17">
        <f>IF($A100="","",IF($AQ100&lt;&gt;"",IF(INDEX(Raw_D2!$E$2:$E$1001,$AQ100)="","",INDEX(Raw_D2!$E$2:$E$1001,$AQ100)),IF($AR100&lt;&gt;"",IF(INDEX(Raw_D3!$M$2:$M$1001,$AR100)="","",INDEX(Raw_D3!$M$2:$M$1001,$AR100)),"")))</f>
        <v>0.194</v>
      </c>
      <c r="N100" s="5">
        <f>IF($A100="","",IF($AQ100&lt;&gt;"",IF(INDEX(Raw_D2!$F$2:$F$1001,$AQ100)="","",INDEX(Raw_D2!$F$2:$F$1001,$AQ100)),IF($AR100&lt;&gt;"",IF(INDEX(Raw_D3!$N$2:$N$1001,$AR100)="","",INDEX(Raw_D3!$N$2:$N$1001,$AR100)),"")))</f>
        <v>1</v>
      </c>
      <c r="O100" s="5">
        <f>IF($A100="","",IF($AQ100&lt;&gt;"",IF(INDEX(Raw_D2!$G$2:$G$1001,$AQ100)="","",INDEX(Raw_D2!$G$2:$G$1001,$AQ100)),IF($AR100&lt;&gt;"",IF(INDEX(Raw_D3!$O$2:$O$1001,$AR100)="","",INDEX(Raw_D3!$O$2:$O$1001,$AR100)),"")))</f>
        <v>87</v>
      </c>
      <c r="P100" s="5">
        <f>IF($A100="","",IF($AQ100&lt;&gt;"",IF(INDEX(Raw_D2!$H$2:$H$1001,$AQ100)="","",INDEX(Raw_D2!$H$2:$H$1001,$AQ100)),IF($AR100&lt;&gt;"",IF(INDEX(Raw_D3!$P$2:$P$1001,$AR100)="","",INDEX(Raw_D3!$P$2:$P$1001,$AR100)),"")))</f>
        <v>88</v>
      </c>
      <c r="Q100" s="5" t="str">
        <f>IF($A100="","",IF(AND($AP100&lt;&gt;"",$AQ100&lt;&gt;""),"D1+D2",IF($AR100&lt;&gt;"","D3","Incomplete")))</f>
        <v>D1+D2</v>
      </c>
      <c r="R100" s="17">
        <f>IF($A100="","",IF($K100="",IF($J100="","",ROUND(Lookups!$K$5+Lookups!$K$4*$J100,4)),$K100))</f>
        <v>0.1818</v>
      </c>
      <c r="S100" s="5" t="str">
        <f>IF($A100="","",IF($K100="","Imputed","Original"))</f>
        <v>Original</v>
      </c>
      <c r="T100" s="5" t="str">
        <f>IF($A100="","",IF($P100="","Missing",IF($P100=$N100+$O100,"OK","Mismatch")))</f>
        <v>OK</v>
      </c>
      <c r="U100" s="5" t="str">
        <f>IF($A100="","",IF(COUNTIF($A$2:$A100,$A100)&gt;1,"Duplicate","Unique"))</f>
        <v>Unique</v>
      </c>
      <c r="V100" s="5">
        <f>IF($A100="","",IF(AND($U100="Unique",ISNUMBER($P100)),1,0))</f>
        <v>1</v>
      </c>
      <c r="W100" s="5" t="str">
        <f>IF($A100="","",IF(OR($H100=0,$H100=6),"Weekend","Weekday"))</f>
        <v>Weekday</v>
      </c>
      <c r="X100" s="5" t="str">
        <f>IF($A100="","",TEXT($B100,"ddd"))</f>
        <v>Wed</v>
      </c>
      <c r="Y100" s="5" t="str">
        <f>IF($A100="","",TEXT($B100,"mmm"))</f>
        <v>Jan</v>
      </c>
      <c r="Z100" s="5" t="str">
        <f>IF($A100="","",IFERROR(VLOOKUP($C100,Lookups!$D$4:$E$7,2,FALSE),"Unknown"))</f>
        <v>Winter</v>
      </c>
      <c r="AA100" s="5" t="str">
        <f>IF($A100="","",IFERROR(VLOOKUP($I100,Lookups!$A$4:$B$7,2,FALSE),"Unknown"))</f>
        <v>Clear</v>
      </c>
      <c r="AB100" s="5" t="str">
        <f>IF($A100="","",TEXT($F100,"00")&amp;":00")</f>
        <v>07:00</v>
      </c>
      <c r="AC100" s="5" t="str">
        <f>IF($A100="","",VLOOKUP($F100,Lookups!$G$4:$H$8,2,TRUE))</f>
        <v>Morning Peak (06-09)</v>
      </c>
      <c r="AD100" s="18">
        <f>IF($A100="","",IF($J100="","",ROUND($J100*41,1)))</f>
        <v>7.4</v>
      </c>
      <c r="AE100" s="18">
        <f>IF($A100="","",IF($R100="","",ROUND($R100*50,1)))</f>
        <v>9.1</v>
      </c>
      <c r="AF100" s="5">
        <f>IF($A100="","",IF($L100="","",ROUND($L100*100,0)))</f>
        <v>43</v>
      </c>
      <c r="AG100" s="18">
        <f>IF($A100="","",IF($M100="","",ROUND($M100*67,1)))</f>
        <v>13</v>
      </c>
      <c r="AH100" s="19">
        <f>IF($A100="","",IF($P100="","",IF($P100=0,0,$O100/$P100)))</f>
        <v>0.988636363636364</v>
      </c>
      <c r="AI100" s="5" t="str">
        <f>IF($A100="","",IF($P100="","",IF($P100&gt;=Lookups!$K$7,"High",IF($P100&lt;=Lookups!$K$8,"Low","Medium"))))</f>
        <v>High</v>
      </c>
      <c r="AJ100" s="5" t="str">
        <f>IF($A100="","",IF($AD100="","",IF($AD100&lt;5,"Under 5 C",IF($AD100&lt;10,"5-10 C",IF($AD100&lt;15,"10-15 C","15 C and above")))))</f>
        <v>5-10 C</v>
      </c>
      <c r="AK100" s="5">
        <f>IF($A100="","",IF($P100="","",$P100^2))</f>
        <v>7744</v>
      </c>
      <c r="AL100" s="18">
        <f>IF($V100&lt;&gt;1,"",AVERAGEIFS(Clean_Data!$P$2:$P$1001,Clean_Data!$F$2:$F$1001,$F100,Clean_Data!$W$2:$W$1001,$W100,Clean_Data!$V$2:$V$1001,1))</f>
        <v>78.0344827586207</v>
      </c>
      <c r="AM100" s="16">
        <f>IF($V100&lt;&gt;1,"",IFERROR(($P100-$AL100)/SQRT(MAX(0,(SUMIFS(Clean_Data!$AK$2:$AK$1001,Clean_Data!$F$2:$F$1001,$F100,Clean_Data!$W$2:$W$1001,$W100,Clean_Data!$V$2:$V$1001,1)-COUNTIFS(Clean_Data!$F$2:$F$1001,$F100,Clean_Data!$W$2:$W$1001,$W100,Clean_Data!$V$2:$V$1001,1)*$AL100^2)/(COUNTIFS(Clean_Data!$F$2:$F$1001,$F100,Clean_Data!$W$2:$W$1001,$W100,Clean_Data!$V$2:$V$1001,1)-1))),""))</f>
        <v>0.440310845983846</v>
      </c>
      <c r="AN100" s="5" t="str">
        <f>IF($AM100="","",IF($AM100&gt;=Lookups!$K$6,"High spike",IF($AM100&lt;=-Lookups!$K$6,"Unusual low","Normal")))</f>
        <v>Normal</v>
      </c>
      <c r="AO100" s="20">
        <f>IF($V100&lt;&gt;1,"",$P100+ROW()/100000)</f>
        <v>88.001</v>
      </c>
      <c r="AP100" s="5">
        <f>IF($A100="","",IFERROR(MATCH($A100,Raw_D1!$A$2:$A$1001,0),""))</f>
        <v>99</v>
      </c>
      <c r="AQ100" s="5">
        <f>IF($A100="","",IFERROR(MATCH($A100,Raw_D2!$B$2:$B$1001,0),""))</f>
        <v>99</v>
      </c>
      <c r="AR100" s="5">
        <f>IF($A100="","",IFERROR(MATCH($A100,Raw_D3!$A$2:$A$1001,0),""))</f>
        <v/>
      </c>
    </row>
    <row r="101" spans="1:44" x14ac:dyDescent="0.25">
      <c r="A101" s="5">
        <v>100</v>
      </c>
      <c r="B101" s="11">
        <f>IF($A101="","",IF($AP101&lt;&gt;"",INDEX(Raw_D1!$B$2:$B$1001,$AP101),IF($AR101&lt;&gt;"",INDEX(Raw_D3!$B$2:$B$1001,$AR101),"")))</f>
        <v>40548.0</v>
      </c>
      <c r="C101" s="5">
        <f>IF($A101="","",IF($AP101&lt;&gt;"",INDEX(Raw_D1!$C$2:$C$1001,$AP101),IF($AR101&lt;&gt;"",INDEX(Raw_D3!$C$2:$C$1001,$AR101),"")))</f>
        <v>1</v>
      </c>
      <c r="D101" s="5">
        <f>IF($A101="","",IF($AP101&lt;&gt;"",INDEX(Raw_D1!$D$2:$D$1001,$AP101),IF($AR101&lt;&gt;"",INDEX(Raw_D3!$D$2:$D$1001,$AR101),"")))</f>
        <v>0</v>
      </c>
      <c r="E101" s="5">
        <f>IF($A101="","",IF($AP101&lt;&gt;"",INDEX(Raw_D1!$E$2:$E$1001,$AP101),IF($AR101&lt;&gt;"",INDEX(Raw_D3!$E$2:$E$1001,$AR101),"")))</f>
        <v>1</v>
      </c>
      <c r="F101" s="5">
        <f>IF($A101="","",IF($AP101&lt;&gt;"",INDEX(Raw_D1!$F$2:$F$1001,$AP101),IF($AR101&lt;&gt;"",INDEX(Raw_D3!$F$2:$F$1001,$AR101),"")))</f>
        <v>8</v>
      </c>
      <c r="G101" s="5">
        <f>IF($A101="","",IF($AP101&lt;&gt;"",IF(INDEX(Raw_D1!$G$2:$G$1001,$AP101),1,0),IF($AR101&lt;&gt;"",IF(INDEX(Raw_D3!$G$2:$G$1001,$AR101),1,0),"")))</f>
        <v>0</v>
      </c>
      <c r="H101" s="5">
        <f>IF($A101="","",IF($AP101&lt;&gt;"",INDEX(Raw_D1!$H$2:$H$1001,$AP101),IF($AR101&lt;&gt;"",INDEX(Raw_D3!$H$2:$H$1001,$AR101),"")))</f>
        <v>3</v>
      </c>
      <c r="I101" s="5">
        <f>IF($A101="","",IF($AP101&lt;&gt;"",INDEX(Raw_D1!$I$2:$I$1001,$AP101),IF($AR101&lt;&gt;"",INDEX(Raw_D3!$I$2:$I$1001,$AR101),"")))</f>
        <v>1</v>
      </c>
      <c r="J101" s="16">
        <f>IF($A101="","",IF($AP101&lt;&gt;"",INDEX(Raw_D1!$J$2:$J$1001,$AP101),IF($AR101&lt;&gt;"",INDEX(Raw_D3!$J$2:$J$1001,$AR101),"")))</f>
        <v>0.2</v>
      </c>
      <c r="K101" s="17">
        <f>IF($A101="","",IF($AQ101&lt;&gt;"",IF(INDEX(Raw_D2!$C$2:$C$1001,$AQ101)="","",INDEX(Raw_D2!$C$2:$C$1001,$AQ101)),IF($AR101&lt;&gt;"",IF(INDEX(Raw_D3!$K$2:$K$1001,$AR101)="","",INDEX(Raw_D3!$K$2:$K$1001,$AR101)),"")))</f>
        <v>0.1818</v>
      </c>
      <c r="L101" s="16">
        <f>IF($A101="","",IF($AQ101&lt;&gt;"",IF(INDEX(Raw_D2!$D$2:$D$1001,$AQ101)="","",INDEX(Raw_D2!$D$2:$D$1001,$AQ101)),IF($AR101&lt;&gt;"",IF(INDEX(Raw_D3!$L$2:$L$1001,$AR101)="","",INDEX(Raw_D3!$L$2:$L$1001,$AR101)),"")))</f>
        <v>0.4</v>
      </c>
      <c r="M101" s="17">
        <f>IF($A101="","",IF($AQ101&lt;&gt;"",IF(INDEX(Raw_D2!$E$2:$E$1001,$AQ101)="","",INDEX(Raw_D2!$E$2:$E$1001,$AQ101)),IF($AR101&lt;&gt;"",IF(INDEX(Raw_D3!$M$2:$M$1001,$AR101)="","",INDEX(Raw_D3!$M$2:$M$1001,$AR101)),"")))</f>
        <v>0.2985</v>
      </c>
      <c r="N101" s="5">
        <f>IF($A101="","",IF($AQ101&lt;&gt;"",IF(INDEX(Raw_D2!$F$2:$F$1001,$AQ101)="","",INDEX(Raw_D2!$F$2:$F$1001,$AQ101)),IF($AR101&lt;&gt;"",IF(INDEX(Raw_D3!$N$2:$N$1001,$AR101)="","",INDEX(Raw_D3!$N$2:$N$1001,$AR101)),"")))</f>
        <v>3</v>
      </c>
      <c r="O101" s="5">
        <f>IF($A101="","",IF($AQ101&lt;&gt;"",IF(INDEX(Raw_D2!$G$2:$G$1001,$AQ101)="","",INDEX(Raw_D2!$G$2:$G$1001,$AQ101)),IF($AR101&lt;&gt;"",IF(INDEX(Raw_D3!$O$2:$O$1001,$AR101)="","",INDEX(Raw_D3!$O$2:$O$1001,$AR101)),"")))</f>
        <v>192</v>
      </c>
      <c r="P101" s="5">
        <f>IF($A101="","",IF($AQ101&lt;&gt;"",IF(INDEX(Raw_D2!$H$2:$H$1001,$AQ101)="","",INDEX(Raw_D2!$H$2:$H$1001,$AQ101)),IF($AR101&lt;&gt;"",IF(INDEX(Raw_D3!$P$2:$P$1001,$AR101)="","",INDEX(Raw_D3!$P$2:$P$1001,$AR101)),"")))</f>
        <v>195</v>
      </c>
      <c r="Q101" s="5" t="str">
        <f>IF($A101="","",IF(AND($AP101&lt;&gt;"",$AQ101&lt;&gt;""),"D1+D2",IF($AR101&lt;&gt;"","D3","Incomplete")))</f>
        <v>D1+D2</v>
      </c>
      <c r="R101" s="17">
        <f>IF($A101="","",IF($K101="",IF($J101="","",ROUND(Lookups!$K$5+Lookups!$K$4*$J101,4)),$K101))</f>
        <v>0.1818</v>
      </c>
      <c r="S101" s="5" t="str">
        <f>IF($A101="","",IF($K101="","Imputed","Original"))</f>
        <v>Original</v>
      </c>
      <c r="T101" s="5" t="str">
        <f>IF($A101="","",IF($P101="","Missing",IF($P101=$N101+$O101,"OK","Mismatch")))</f>
        <v>OK</v>
      </c>
      <c r="U101" s="5" t="str">
        <f>IF($A101="","",IF(COUNTIF($A$2:$A101,$A101)&gt;1,"Duplicate","Unique"))</f>
        <v>Unique</v>
      </c>
      <c r="V101" s="5">
        <f>IF($A101="","",IF(AND($U101="Unique",ISNUMBER($P101)),1,0))</f>
        <v>1</v>
      </c>
      <c r="W101" s="5" t="str">
        <f>IF($A101="","",IF(OR($H101=0,$H101=6),"Weekend","Weekday"))</f>
        <v>Weekday</v>
      </c>
      <c r="X101" s="5" t="str">
        <f>IF($A101="","",TEXT($B101,"ddd"))</f>
        <v>Wed</v>
      </c>
      <c r="Y101" s="5" t="str">
        <f>IF($A101="","",TEXT($B101,"mmm"))</f>
        <v>Jan</v>
      </c>
      <c r="Z101" s="5" t="str">
        <f>IF($A101="","",IFERROR(VLOOKUP($C101,Lookups!$D$4:$E$7,2,FALSE),"Unknown"))</f>
        <v>Winter</v>
      </c>
      <c r="AA101" s="5" t="str">
        <f>IF($A101="","",IFERROR(VLOOKUP($I101,Lookups!$A$4:$B$7,2,FALSE),"Unknown"))</f>
        <v>Clear</v>
      </c>
      <c r="AB101" s="5" t="str">
        <f>IF($A101="","",TEXT($F101,"00")&amp;":00")</f>
        <v>08:00</v>
      </c>
      <c r="AC101" s="5" t="str">
        <f>IF($A101="","",VLOOKUP($F101,Lookups!$G$4:$H$8,2,TRUE))</f>
        <v>Morning Peak (06-09)</v>
      </c>
      <c r="AD101" s="18">
        <f>IF($A101="","",IF($J101="","",ROUND($J101*41,1)))</f>
        <v>8.2</v>
      </c>
      <c r="AE101" s="18">
        <f>IF($A101="","",IF($R101="","",ROUND($R101*50,1)))</f>
        <v>9.1</v>
      </c>
      <c r="AF101" s="5">
        <f>IF($A101="","",IF($L101="","",ROUND($L101*100,0)))</f>
        <v>40</v>
      </c>
      <c r="AG101" s="18">
        <f>IF($A101="","",IF($M101="","",ROUND($M101*67,1)))</f>
        <v>20</v>
      </c>
      <c r="AH101" s="19">
        <f>IF($A101="","",IF($P101="","",IF($P101=0,0,$O101/$P101)))</f>
        <v>0.984615384615385</v>
      </c>
      <c r="AI101" s="5" t="str">
        <f>IF($A101="","",IF($P101="","",IF($P101&gt;=Lookups!$K$7,"High",IF($P101&lt;=Lookups!$K$8,"Low","Medium"))))</f>
        <v>High</v>
      </c>
      <c r="AJ101" s="5" t="str">
        <f>IF($A101="","",IF($AD101="","",IF($AD101&lt;5,"Under 5 C",IF($AD101&lt;10,"5-10 C",IF($AD101&lt;15,"10-15 C","15 C and above")))))</f>
        <v>5-10 C</v>
      </c>
      <c r="AK101" s="5">
        <f>IF($A101="","",IF($P101="","",$P101^2))</f>
        <v>38025</v>
      </c>
      <c r="AL101" s="18">
        <f>IF($V101&lt;&gt;1,"",AVERAGEIFS(Clean_Data!$P$2:$P$1001,Clean_Data!$F$2:$F$1001,$F101,Clean_Data!$W$2:$W$1001,$W101,Clean_Data!$V$2:$V$1001,1))</f>
        <v>183.535714285714</v>
      </c>
      <c r="AM101" s="16">
        <f>IF($V101&lt;&gt;1,"",IFERROR(($P101-$AL101)/SQRT(MAX(0,(SUMIFS(Clean_Data!$AK$2:$AK$1001,Clean_Data!$F$2:$F$1001,$F101,Clean_Data!$W$2:$W$1001,$W101,Clean_Data!$V$2:$V$1001,1)-COUNTIFS(Clean_Data!$F$2:$F$1001,$F101,Clean_Data!$W$2:$W$1001,$W101,Clean_Data!$V$2:$V$1001,1)*$AL101^2)/(COUNTIFS(Clean_Data!$F$2:$F$1001,$F101,Clean_Data!$W$2:$W$1001,$W101,Clean_Data!$V$2:$V$1001,1)-1))),""))</f>
        <v>0.235212902322543</v>
      </c>
      <c r="AN101" s="5" t="str">
        <f>IF($AM101="","",IF($AM101&gt;=Lookups!$K$6,"High spike",IF($AM101&lt;=-Lookups!$K$6,"Unusual low","Normal")))</f>
        <v>Normal</v>
      </c>
      <c r="AO101" s="20">
        <f>IF($V101&lt;&gt;1,"",$P101+ROW()/100000)</f>
        <v>195.00101</v>
      </c>
      <c r="AP101" s="5">
        <f>IF($A101="","",IFERROR(MATCH($A101,Raw_D1!$A$2:$A$1001,0),""))</f>
        <v>100</v>
      </c>
      <c r="AQ101" s="5">
        <f>IF($A101="","",IFERROR(MATCH($A101,Raw_D2!$B$2:$B$1001,0),""))</f>
        <v>100</v>
      </c>
      <c r="AR101" s="5">
        <f>IF($A101="","",IFERROR(MATCH($A101,Raw_D3!$A$2:$A$1001,0),""))</f>
        <v/>
      </c>
    </row>
    <row r="102" spans="1:44" x14ac:dyDescent="0.25">
      <c r="A102" s="5">
        <v>101</v>
      </c>
      <c r="B102" s="11">
        <f>IF($A102="","",IF($AP102&lt;&gt;"",INDEX(Raw_D1!$B$2:$B$1001,$AP102),IF($AR102&lt;&gt;"",INDEX(Raw_D3!$B$2:$B$1001,$AR102),"")))</f>
        <v>40548.0</v>
      </c>
      <c r="C102" s="5">
        <f>IF($A102="","",IF($AP102&lt;&gt;"",INDEX(Raw_D1!$C$2:$C$1001,$AP102),IF($AR102&lt;&gt;"",INDEX(Raw_D3!$C$2:$C$1001,$AR102),"")))</f>
        <v>1</v>
      </c>
      <c r="D102" s="5">
        <f>IF($A102="","",IF($AP102&lt;&gt;"",INDEX(Raw_D1!$D$2:$D$1001,$AP102),IF($AR102&lt;&gt;"",INDEX(Raw_D3!$D$2:$D$1001,$AR102),"")))</f>
        <v>0</v>
      </c>
      <c r="E102" s="5">
        <f>IF($A102="","",IF($AP102&lt;&gt;"",INDEX(Raw_D1!$E$2:$E$1001,$AP102),IF($AR102&lt;&gt;"",INDEX(Raw_D3!$E$2:$E$1001,$AR102),"")))</f>
        <v>1</v>
      </c>
      <c r="F102" s="5">
        <f>IF($A102="","",IF($AP102&lt;&gt;"",INDEX(Raw_D1!$F$2:$F$1001,$AP102),IF($AR102&lt;&gt;"",INDEX(Raw_D3!$F$2:$F$1001,$AR102),"")))</f>
        <v>9</v>
      </c>
      <c r="G102" s="5">
        <f>IF($A102="","",IF($AP102&lt;&gt;"",IF(INDEX(Raw_D1!$G$2:$G$1001,$AP102),1,0),IF($AR102&lt;&gt;"",IF(INDEX(Raw_D3!$G$2:$G$1001,$AR102),1,0),"")))</f>
        <v>0</v>
      </c>
      <c r="H102" s="5">
        <f>IF($A102="","",IF($AP102&lt;&gt;"",INDEX(Raw_D1!$H$2:$H$1001,$AP102),IF($AR102&lt;&gt;"",INDEX(Raw_D3!$H$2:$H$1001,$AR102),"")))</f>
        <v>3</v>
      </c>
      <c r="I102" s="5">
        <f>IF($A102="","",IF($AP102&lt;&gt;"",INDEX(Raw_D1!$I$2:$I$1001,$AP102),IF($AR102&lt;&gt;"",INDEX(Raw_D3!$I$2:$I$1001,$AR102),"")))</f>
        <v>1</v>
      </c>
      <c r="J102" s="16">
        <f>IF($A102="","",IF($AP102&lt;&gt;"",INDEX(Raw_D1!$J$2:$J$1001,$AP102),IF($AR102&lt;&gt;"",INDEX(Raw_D3!$J$2:$J$1001,$AR102),"")))</f>
        <v>0.22</v>
      </c>
      <c r="K102" s="17">
        <f>IF($A102="","",IF($AQ102&lt;&gt;"",IF(INDEX(Raw_D2!$C$2:$C$1001,$AQ102)="","",INDEX(Raw_D2!$C$2:$C$1001,$AQ102)),IF($AR102&lt;&gt;"",IF(INDEX(Raw_D3!$K$2:$K$1001,$AR102)="","",INDEX(Raw_D3!$K$2:$K$1001,$AR102)),"")))</f>
        <v>0.197</v>
      </c>
      <c r="L102" s="16">
        <f>IF($A102="","",IF($AQ102&lt;&gt;"",IF(INDEX(Raw_D2!$D$2:$D$1001,$AQ102)="","",INDEX(Raw_D2!$D$2:$D$1001,$AQ102)),IF($AR102&lt;&gt;"",IF(INDEX(Raw_D3!$L$2:$L$1001,$AR102)="","",INDEX(Raw_D3!$L$2:$L$1001,$AR102)),"")))</f>
        <v>0.37</v>
      </c>
      <c r="M102" s="17">
        <f>IF($A102="","",IF($AQ102&lt;&gt;"",IF(INDEX(Raw_D2!$E$2:$E$1001,$AQ102)="","",INDEX(Raw_D2!$E$2:$E$1001,$AQ102)),IF($AR102&lt;&gt;"",IF(INDEX(Raw_D3!$M$2:$M$1001,$AR102)="","",INDEX(Raw_D3!$M$2:$M$1001,$AR102)),"")))</f>
        <v>0.3284</v>
      </c>
      <c r="N102" s="5">
        <f>IF($A102="","",IF($AQ102&lt;&gt;"",IF(INDEX(Raw_D2!$F$2:$F$1001,$AQ102)="","",INDEX(Raw_D2!$F$2:$F$1001,$AQ102)),IF($AR102&lt;&gt;"",IF(INDEX(Raw_D3!$N$2:$N$1001,$AR102)="","",INDEX(Raw_D3!$N$2:$N$1001,$AR102)),"")))</f>
        <v>6</v>
      </c>
      <c r="O102" s="5">
        <f>IF($A102="","",IF($AQ102&lt;&gt;"",IF(INDEX(Raw_D2!$G$2:$G$1001,$AQ102)="","",INDEX(Raw_D2!$G$2:$G$1001,$AQ102)),IF($AR102&lt;&gt;"",IF(INDEX(Raw_D3!$O$2:$O$1001,$AR102)="","",INDEX(Raw_D3!$O$2:$O$1001,$AR102)),"")))</f>
        <v>109</v>
      </c>
      <c r="P102" s="5">
        <f>IF($A102="","",IF($AQ102&lt;&gt;"",IF(INDEX(Raw_D2!$H$2:$H$1001,$AQ102)="","",INDEX(Raw_D2!$H$2:$H$1001,$AQ102)),IF($AR102&lt;&gt;"",IF(INDEX(Raw_D3!$P$2:$P$1001,$AR102)="","",INDEX(Raw_D3!$P$2:$P$1001,$AR102)),"")))</f>
        <v>115</v>
      </c>
      <c r="Q102" s="5" t="str">
        <f>IF($A102="","",IF(AND($AP102&lt;&gt;"",$AQ102&lt;&gt;""),"D1+D2",IF($AR102&lt;&gt;"","D3","Incomplete")))</f>
        <v>D1+D2</v>
      </c>
      <c r="R102" s="17">
        <f>IF($A102="","",IF($K102="",IF($J102="","",ROUND(Lookups!$K$5+Lookups!$K$4*$J102,4)),$K102))</f>
        <v>0.197</v>
      </c>
      <c r="S102" s="5" t="str">
        <f>IF($A102="","",IF($K102="","Imputed","Original"))</f>
        <v>Original</v>
      </c>
      <c r="T102" s="5" t="str">
        <f>IF($A102="","",IF($P102="","Missing",IF($P102=$N102+$O102,"OK","Mismatch")))</f>
        <v>OK</v>
      </c>
      <c r="U102" s="5" t="str">
        <f>IF($A102="","",IF(COUNTIF($A$2:$A102,$A102)&gt;1,"Duplicate","Unique"))</f>
        <v>Unique</v>
      </c>
      <c r="V102" s="5">
        <f>IF($A102="","",IF(AND($U102="Unique",ISNUMBER($P102)),1,0))</f>
        <v>1</v>
      </c>
      <c r="W102" s="5" t="str">
        <f>IF($A102="","",IF(OR($H102=0,$H102=6),"Weekend","Weekday"))</f>
        <v>Weekday</v>
      </c>
      <c r="X102" s="5" t="str">
        <f>IF($A102="","",TEXT($B102,"ddd"))</f>
        <v>Wed</v>
      </c>
      <c r="Y102" s="5" t="str">
        <f>IF($A102="","",TEXT($B102,"mmm"))</f>
        <v>Jan</v>
      </c>
      <c r="Z102" s="5" t="str">
        <f>IF($A102="","",IFERROR(VLOOKUP($C102,Lookups!$D$4:$E$7,2,FALSE),"Unknown"))</f>
        <v>Winter</v>
      </c>
      <c r="AA102" s="5" t="str">
        <f>IF($A102="","",IFERROR(VLOOKUP($I102,Lookups!$A$4:$B$7,2,FALSE),"Unknown"))</f>
        <v>Clear</v>
      </c>
      <c r="AB102" s="5" t="str">
        <f>IF($A102="","",TEXT($F102,"00")&amp;":00")</f>
        <v>09:00</v>
      </c>
      <c r="AC102" s="5" t="str">
        <f>IF($A102="","",VLOOKUP($F102,Lookups!$G$4:$H$8,2,TRUE))</f>
        <v>Morning Peak (06-09)</v>
      </c>
      <c r="AD102" s="18">
        <f>IF($A102="","",IF($J102="","",ROUND($J102*41,1)))</f>
        <v>9</v>
      </c>
      <c r="AE102" s="18">
        <f>IF($A102="","",IF($R102="","",ROUND($R102*50,1)))</f>
        <v>9.9</v>
      </c>
      <c r="AF102" s="5">
        <f>IF($A102="","",IF($L102="","",ROUND($L102*100,0)))</f>
        <v>37</v>
      </c>
      <c r="AG102" s="18">
        <f>IF($A102="","",IF($M102="","",ROUND($M102*67,1)))</f>
        <v>22</v>
      </c>
      <c r="AH102" s="19">
        <f>IF($A102="","",IF($P102="","",IF($P102=0,0,$O102/$P102)))</f>
        <v>0.947826086956522</v>
      </c>
      <c r="AI102" s="5" t="str">
        <f>IF($A102="","",IF($P102="","",IF($P102&gt;=Lookups!$K$7,"High",IF($P102&lt;=Lookups!$K$8,"Low","Medium"))))</f>
        <v>High</v>
      </c>
      <c r="AJ102" s="5" t="str">
        <f>IF($A102="","",IF($AD102="","",IF($AD102&lt;5,"Under 5 C",IF($AD102&lt;10,"5-10 C",IF($AD102&lt;15,"10-15 C","15 C and above")))))</f>
        <v>5-10 C</v>
      </c>
      <c r="AK102" s="5">
        <f>IF($A102="","",IF($P102="","",$P102^2))</f>
        <v>13225</v>
      </c>
      <c r="AL102" s="18">
        <f>IF($V102&lt;&gt;1,"",AVERAGEIFS(Clean_Data!$P$2:$P$1001,Clean_Data!$F$2:$F$1001,$F102,Clean_Data!$W$2:$W$1001,$W102,Clean_Data!$V$2:$V$1001,1))</f>
        <v>115.678571428571</v>
      </c>
      <c r="AM102" s="16">
        <f>IF($V102&lt;&gt;1,"",IFERROR(($P102-$AL102)/SQRT(MAX(0,(SUMIFS(Clean_Data!$AK$2:$AK$1001,Clean_Data!$F$2:$F$1001,$F102,Clean_Data!$W$2:$W$1001,$W102,Clean_Data!$V$2:$V$1001,1)-COUNTIFS(Clean_Data!$F$2:$F$1001,$F102,Clean_Data!$W$2:$W$1001,$W102,Clean_Data!$V$2:$V$1001,1)*$AL102^2)/(COUNTIFS(Clean_Data!$F$2:$F$1001,$F102,Clean_Data!$W$2:$W$1001,$W102,Clean_Data!$V$2:$V$1001,1)-1))),""))</f>
        <v>-0.0263233239693893</v>
      </c>
      <c r="AN102" s="5" t="str">
        <f>IF($AM102="","",IF($AM102&gt;=Lookups!$K$6,"High spike",IF($AM102&lt;=-Lookups!$K$6,"Unusual low","Normal")))</f>
        <v>Normal</v>
      </c>
      <c r="AO102" s="20">
        <f>IF($V102&lt;&gt;1,"",$P102+ROW()/100000)</f>
        <v>115.00102</v>
      </c>
      <c r="AP102" s="5">
        <f>IF($A102="","",IFERROR(MATCH($A102,Raw_D1!$A$2:$A$1001,0),""))</f>
        <v>101</v>
      </c>
      <c r="AQ102" s="5">
        <f>IF($A102="","",IFERROR(MATCH($A102,Raw_D2!$B$2:$B$1001,0),""))</f>
        <v>101</v>
      </c>
      <c r="AR102" s="5">
        <f>IF($A102="","",IFERROR(MATCH($A102,Raw_D3!$A$2:$A$1001,0),""))</f>
        <v/>
      </c>
    </row>
    <row r="103" spans="1:44" x14ac:dyDescent="0.25">
      <c r="A103" s="5">
        <v>102</v>
      </c>
      <c r="B103" s="11">
        <f>IF($A103="","",IF($AP103&lt;&gt;"",INDEX(Raw_D1!$B$2:$B$1001,$AP103),IF($AR103&lt;&gt;"",INDEX(Raw_D3!$B$2:$B$1001,$AR103),"")))</f>
        <v>40548.0</v>
      </c>
      <c r="C103" s="5">
        <f>IF($A103="","",IF($AP103&lt;&gt;"",INDEX(Raw_D1!$C$2:$C$1001,$AP103),IF($AR103&lt;&gt;"",INDEX(Raw_D3!$C$2:$C$1001,$AR103),"")))</f>
        <v>1</v>
      </c>
      <c r="D103" s="5">
        <f>IF($A103="","",IF($AP103&lt;&gt;"",INDEX(Raw_D1!$D$2:$D$1001,$AP103),IF($AR103&lt;&gt;"",INDEX(Raw_D3!$D$2:$D$1001,$AR103),"")))</f>
        <v>0</v>
      </c>
      <c r="E103" s="5">
        <f>IF($A103="","",IF($AP103&lt;&gt;"",INDEX(Raw_D1!$E$2:$E$1001,$AP103),IF($AR103&lt;&gt;"",INDEX(Raw_D3!$E$2:$E$1001,$AR103),"")))</f>
        <v>1</v>
      </c>
      <c r="F103" s="5">
        <f>IF($A103="","",IF($AP103&lt;&gt;"",INDEX(Raw_D1!$F$2:$F$1001,$AP103),IF($AR103&lt;&gt;"",INDEX(Raw_D3!$F$2:$F$1001,$AR103),"")))</f>
        <v>10</v>
      </c>
      <c r="G103" s="5">
        <f>IF($A103="","",IF($AP103&lt;&gt;"",IF(INDEX(Raw_D1!$G$2:$G$1001,$AP103),1,0),IF($AR103&lt;&gt;"",IF(INDEX(Raw_D3!$G$2:$G$1001,$AR103),1,0),"")))</f>
        <v>0</v>
      </c>
      <c r="H103" s="5">
        <f>IF($A103="","",IF($AP103&lt;&gt;"",INDEX(Raw_D1!$H$2:$H$1001,$AP103),IF($AR103&lt;&gt;"",INDEX(Raw_D3!$H$2:$H$1001,$AR103),"")))</f>
        <v>3</v>
      </c>
      <c r="I103" s="5">
        <f>IF($A103="","",IF($AP103&lt;&gt;"",INDEX(Raw_D1!$I$2:$I$1001,$AP103),IF($AR103&lt;&gt;"",INDEX(Raw_D3!$I$2:$I$1001,$AR103),"")))</f>
        <v>1</v>
      </c>
      <c r="J103" s="16">
        <f>IF($A103="","",IF($AP103&lt;&gt;"",INDEX(Raw_D1!$J$2:$J$1001,$AP103),IF($AR103&lt;&gt;"",INDEX(Raw_D3!$J$2:$J$1001,$AR103),"")))</f>
        <v>0.22</v>
      </c>
      <c r="K103" s="17">
        <f>IF($A103="","",IF($AQ103&lt;&gt;"",IF(INDEX(Raw_D2!$C$2:$C$1001,$AQ103)="","",INDEX(Raw_D2!$C$2:$C$1001,$AQ103)),IF($AR103&lt;&gt;"",IF(INDEX(Raw_D3!$K$2:$K$1001,$AR103)="","",INDEX(Raw_D3!$K$2:$K$1001,$AR103)),"")))</f>
        <v>0.197</v>
      </c>
      <c r="L103" s="16">
        <f>IF($A103="","",IF($AQ103&lt;&gt;"",IF(INDEX(Raw_D2!$D$2:$D$1001,$AQ103)="","",INDEX(Raw_D2!$D$2:$D$1001,$AQ103)),IF($AR103&lt;&gt;"",IF(INDEX(Raw_D3!$L$2:$L$1001,$AR103)="","",INDEX(Raw_D3!$L$2:$L$1001,$AR103)),"")))</f>
        <v>0.37</v>
      </c>
      <c r="M103" s="17">
        <f>IF($A103="","",IF($AQ103&lt;&gt;"",IF(INDEX(Raw_D2!$E$2:$E$1001,$AQ103)="","",INDEX(Raw_D2!$E$2:$E$1001,$AQ103)),IF($AR103&lt;&gt;"",IF(INDEX(Raw_D3!$M$2:$M$1001,$AR103)="","",INDEX(Raw_D3!$M$2:$M$1001,$AR103)),"")))</f>
        <v>0.3284</v>
      </c>
      <c r="N103" s="5">
        <f>IF($A103="","",IF($AQ103&lt;&gt;"",IF(INDEX(Raw_D2!$F$2:$F$1001,$AQ103)="","",INDEX(Raw_D2!$F$2:$F$1001,$AQ103)),IF($AR103&lt;&gt;"",IF(INDEX(Raw_D3!$N$2:$N$1001,$AR103)="","",INDEX(Raw_D3!$N$2:$N$1001,$AR103)),"")))</f>
        <v>4</v>
      </c>
      <c r="O103" s="5">
        <f>IF($A103="","",IF($AQ103&lt;&gt;"",IF(INDEX(Raw_D2!$G$2:$G$1001,$AQ103)="","",INDEX(Raw_D2!$G$2:$G$1001,$AQ103)),IF($AR103&lt;&gt;"",IF(INDEX(Raw_D3!$O$2:$O$1001,$AR103)="","",INDEX(Raw_D3!$O$2:$O$1001,$AR103)),"")))</f>
        <v>53</v>
      </c>
      <c r="P103" s="5">
        <f>IF($A103="","",IF($AQ103&lt;&gt;"",IF(INDEX(Raw_D2!$H$2:$H$1001,$AQ103)="","",INDEX(Raw_D2!$H$2:$H$1001,$AQ103)),IF($AR103&lt;&gt;"",IF(INDEX(Raw_D3!$P$2:$P$1001,$AR103)="","",INDEX(Raw_D3!$P$2:$P$1001,$AR103)),"")))</f>
        <v>57</v>
      </c>
      <c r="Q103" s="5" t="str">
        <f>IF($A103="","",IF(AND($AP103&lt;&gt;"",$AQ103&lt;&gt;""),"D1+D2",IF($AR103&lt;&gt;"","D3","Incomplete")))</f>
        <v>D1+D2</v>
      </c>
      <c r="R103" s="17">
        <f>IF($A103="","",IF($K103="",IF($J103="","",ROUND(Lookups!$K$5+Lookups!$K$4*$J103,4)),$K103))</f>
        <v>0.197</v>
      </c>
      <c r="S103" s="5" t="str">
        <f>IF($A103="","",IF($K103="","Imputed","Original"))</f>
        <v>Original</v>
      </c>
      <c r="T103" s="5" t="str">
        <f>IF($A103="","",IF($P103="","Missing",IF($P103=$N103+$O103,"OK","Mismatch")))</f>
        <v>OK</v>
      </c>
      <c r="U103" s="5" t="str">
        <f>IF($A103="","",IF(COUNTIF($A$2:$A103,$A103)&gt;1,"Duplicate","Unique"))</f>
        <v>Unique</v>
      </c>
      <c r="V103" s="5">
        <f>IF($A103="","",IF(AND($U103="Unique",ISNUMBER($P103)),1,0))</f>
        <v>1</v>
      </c>
      <c r="W103" s="5" t="str">
        <f>IF($A103="","",IF(OR($H103=0,$H103=6),"Weekend","Weekday"))</f>
        <v>Weekday</v>
      </c>
      <c r="X103" s="5" t="str">
        <f>IF($A103="","",TEXT($B103,"ddd"))</f>
        <v>Wed</v>
      </c>
      <c r="Y103" s="5" t="str">
        <f>IF($A103="","",TEXT($B103,"mmm"))</f>
        <v>Jan</v>
      </c>
      <c r="Z103" s="5" t="str">
        <f>IF($A103="","",IFERROR(VLOOKUP($C103,Lookups!$D$4:$E$7,2,FALSE),"Unknown"))</f>
        <v>Winter</v>
      </c>
      <c r="AA103" s="5" t="str">
        <f>IF($A103="","",IFERROR(VLOOKUP($I103,Lookups!$A$4:$B$7,2,FALSE),"Unknown"))</f>
        <v>Clear</v>
      </c>
      <c r="AB103" s="5" t="str">
        <f>IF($A103="","",TEXT($F103,"00")&amp;":00")</f>
        <v>10:00</v>
      </c>
      <c r="AC103" s="5" t="str">
        <f>IF($A103="","",VLOOKUP($F103,Lookups!$G$4:$H$8,2,TRUE))</f>
        <v>Midday (10-15)</v>
      </c>
      <c r="AD103" s="18">
        <f>IF($A103="","",IF($J103="","",ROUND($J103*41,1)))</f>
        <v>9</v>
      </c>
      <c r="AE103" s="18">
        <f>IF($A103="","",IF($R103="","",ROUND($R103*50,1)))</f>
        <v>9.9</v>
      </c>
      <c r="AF103" s="5">
        <f>IF($A103="","",IF($L103="","",ROUND($L103*100,0)))</f>
        <v>37</v>
      </c>
      <c r="AG103" s="18">
        <f>IF($A103="","",IF($M103="","",ROUND($M103*67,1)))</f>
        <v>22</v>
      </c>
      <c r="AH103" s="19">
        <f>IF($A103="","",IF($P103="","",IF($P103=0,0,$O103/$P103)))</f>
        <v>0.929824561403509</v>
      </c>
      <c r="AI103" s="5" t="str">
        <f>IF($A103="","",IF($P103="","",IF($P103&gt;=Lookups!$K$7,"High",IF($P103&lt;=Lookups!$K$8,"Low","Medium"))))</f>
        <v>Medium</v>
      </c>
      <c r="AJ103" s="5" t="str">
        <f>IF($A103="","",IF($AD103="","",IF($AD103&lt;5,"Under 5 C",IF($AD103&lt;10,"5-10 C",IF($AD103&lt;15,"10-15 C","15 C and above")))))</f>
        <v>5-10 C</v>
      </c>
      <c r="AK103" s="5">
        <f>IF($A103="","",IF($P103="","",$P103^2))</f>
        <v>3249</v>
      </c>
      <c r="AL103" s="18">
        <f>IF($V103&lt;&gt;1,"",AVERAGEIFS(Clean_Data!$P$2:$P$1001,Clean_Data!$F$2:$F$1001,$F103,Clean_Data!$W$2:$W$1001,$W103,Clean_Data!$V$2:$V$1001,1))</f>
        <v>49.0714285714286</v>
      </c>
      <c r="AM103" s="16">
        <f>IF($V103&lt;&gt;1,"",IFERROR(($P103-$AL103)/SQRT(MAX(0,(SUMIFS(Clean_Data!$AK$2:$AK$1001,Clean_Data!$F$2:$F$1001,$F103,Clean_Data!$W$2:$W$1001,$W103,Clean_Data!$V$2:$V$1001,1)-COUNTIFS(Clean_Data!$F$2:$F$1001,$F103,Clean_Data!$W$2:$W$1001,$W103,Clean_Data!$V$2:$V$1001,1)*$AL103^2)/(COUNTIFS(Clean_Data!$F$2:$F$1001,$F103,Clean_Data!$W$2:$W$1001,$W103,Clean_Data!$V$2:$V$1001,1)-1))),""))</f>
        <v>0.785636693099488</v>
      </c>
      <c r="AN103" s="5" t="str">
        <f>IF($AM103="","",IF($AM103&gt;=Lookups!$K$6,"High spike",IF($AM103&lt;=-Lookups!$K$6,"Unusual low","Normal")))</f>
        <v>Normal</v>
      </c>
      <c r="AO103" s="20">
        <f>IF($V103&lt;&gt;1,"",$P103+ROW()/100000)</f>
        <v>57.00103</v>
      </c>
      <c r="AP103" s="5">
        <f>IF($A103="","",IFERROR(MATCH($A103,Raw_D1!$A$2:$A$1001,0),""))</f>
        <v>102</v>
      </c>
      <c r="AQ103" s="5">
        <f>IF($A103="","",IFERROR(MATCH($A103,Raw_D2!$B$2:$B$1001,0),""))</f>
        <v>102</v>
      </c>
      <c r="AR103" s="5">
        <f>IF($A103="","",IFERROR(MATCH($A103,Raw_D3!$A$2:$A$1001,0),""))</f>
        <v/>
      </c>
    </row>
    <row r="104" spans="1:44" x14ac:dyDescent="0.25">
      <c r="A104" s="5">
        <v>103</v>
      </c>
      <c r="B104" s="11">
        <f>IF($A104="","",IF($AP104&lt;&gt;"",INDEX(Raw_D1!$B$2:$B$1001,$AP104),IF($AR104&lt;&gt;"",INDEX(Raw_D3!$B$2:$B$1001,$AR104),"")))</f>
        <v>40548.0</v>
      </c>
      <c r="C104" s="5">
        <f>IF($A104="","",IF($AP104&lt;&gt;"",INDEX(Raw_D1!$C$2:$C$1001,$AP104),IF($AR104&lt;&gt;"",INDEX(Raw_D3!$C$2:$C$1001,$AR104),"")))</f>
        <v>1</v>
      </c>
      <c r="D104" s="5">
        <f>IF($A104="","",IF($AP104&lt;&gt;"",INDEX(Raw_D1!$D$2:$D$1001,$AP104),IF($AR104&lt;&gt;"",INDEX(Raw_D3!$D$2:$D$1001,$AR104),"")))</f>
        <v>0</v>
      </c>
      <c r="E104" s="5">
        <f>IF($A104="","",IF($AP104&lt;&gt;"",INDEX(Raw_D1!$E$2:$E$1001,$AP104),IF($AR104&lt;&gt;"",INDEX(Raw_D3!$E$2:$E$1001,$AR104),"")))</f>
        <v>1</v>
      </c>
      <c r="F104" s="5">
        <f>IF($A104="","",IF($AP104&lt;&gt;"",INDEX(Raw_D1!$F$2:$F$1001,$AP104),IF($AR104&lt;&gt;"",INDEX(Raw_D3!$F$2:$F$1001,$AR104),"")))</f>
        <v>11</v>
      </c>
      <c r="G104" s="5">
        <f>IF($A104="","",IF($AP104&lt;&gt;"",IF(INDEX(Raw_D1!$G$2:$G$1001,$AP104),1,0),IF($AR104&lt;&gt;"",IF(INDEX(Raw_D3!$G$2:$G$1001,$AR104),1,0),"")))</f>
        <v>0</v>
      </c>
      <c r="H104" s="5">
        <f>IF($A104="","",IF($AP104&lt;&gt;"",INDEX(Raw_D1!$H$2:$H$1001,$AP104),IF($AR104&lt;&gt;"",INDEX(Raw_D3!$H$2:$H$1001,$AR104),"")))</f>
        <v>3</v>
      </c>
      <c r="I104" s="5">
        <f>IF($A104="","",IF($AP104&lt;&gt;"",INDEX(Raw_D1!$I$2:$I$1001,$AP104),IF($AR104&lt;&gt;"",INDEX(Raw_D3!$I$2:$I$1001,$AR104),"")))</f>
        <v>1</v>
      </c>
      <c r="J104" s="16">
        <f>IF($A104="","",IF($AP104&lt;&gt;"",INDEX(Raw_D1!$J$2:$J$1001,$AP104),IF($AR104&lt;&gt;"",INDEX(Raw_D3!$J$2:$J$1001,$AR104),"")))</f>
        <v>0.26</v>
      </c>
      <c r="K104" s="17">
        <f>IF($A104="","",IF($AQ104&lt;&gt;"",IF(INDEX(Raw_D2!$C$2:$C$1001,$AQ104)="","",INDEX(Raw_D2!$C$2:$C$1001,$AQ104)),IF($AR104&lt;&gt;"",IF(INDEX(Raw_D3!$K$2:$K$1001,$AR104)="","",INDEX(Raw_D3!$K$2:$K$1001,$AR104)),"")))</f>
        <v>0.2273</v>
      </c>
      <c r="L104" s="16">
        <f>IF($A104="","",IF($AQ104&lt;&gt;"",IF(INDEX(Raw_D2!$D$2:$D$1001,$AQ104)="","",INDEX(Raw_D2!$D$2:$D$1001,$AQ104)),IF($AR104&lt;&gt;"",IF(INDEX(Raw_D3!$L$2:$L$1001,$AR104)="","",INDEX(Raw_D3!$L$2:$L$1001,$AR104)),"")))</f>
        <v>0.33</v>
      </c>
      <c r="M104" s="17">
        <f>IF($A104="","",IF($AQ104&lt;&gt;"",IF(INDEX(Raw_D2!$E$2:$E$1001,$AQ104)="","",INDEX(Raw_D2!$E$2:$E$1001,$AQ104)),IF($AR104&lt;&gt;"",IF(INDEX(Raw_D3!$M$2:$M$1001,$AR104)="","",INDEX(Raw_D3!$M$2:$M$1001,$AR104)),"")))</f>
        <v>0.3284</v>
      </c>
      <c r="N104" s="5">
        <f>IF($A104="","",IF($AQ104&lt;&gt;"",IF(INDEX(Raw_D2!$F$2:$F$1001,$AQ104)="","",INDEX(Raw_D2!$F$2:$F$1001,$AQ104)),IF($AR104&lt;&gt;"",IF(INDEX(Raw_D3!$N$2:$N$1001,$AR104)="","",INDEX(Raw_D3!$N$2:$N$1001,$AR104)),"")))</f>
        <v>12</v>
      </c>
      <c r="O104" s="5">
        <f>IF($A104="","",IF($AQ104&lt;&gt;"",IF(INDEX(Raw_D2!$G$2:$G$1001,$AQ104)="","",INDEX(Raw_D2!$G$2:$G$1001,$AQ104)),IF($AR104&lt;&gt;"",IF(INDEX(Raw_D3!$O$2:$O$1001,$AR104)="","",INDEX(Raw_D3!$O$2:$O$1001,$AR104)),"")))</f>
        <v>34</v>
      </c>
      <c r="P104" s="5">
        <f>IF($A104="","",IF($AQ104&lt;&gt;"",IF(INDEX(Raw_D2!$H$2:$H$1001,$AQ104)="","",INDEX(Raw_D2!$H$2:$H$1001,$AQ104)),IF($AR104&lt;&gt;"",IF(INDEX(Raw_D3!$P$2:$P$1001,$AR104)="","",INDEX(Raw_D3!$P$2:$P$1001,$AR104)),"")))</f>
        <v>46</v>
      </c>
      <c r="Q104" s="5" t="str">
        <f>IF($A104="","",IF(AND($AP104&lt;&gt;"",$AQ104&lt;&gt;""),"D1+D2",IF($AR104&lt;&gt;"","D3","Incomplete")))</f>
        <v>D1+D2</v>
      </c>
      <c r="R104" s="17">
        <f>IF($A104="","",IF($K104="",IF($J104="","",ROUND(Lookups!$K$5+Lookups!$K$4*$J104,4)),$K104))</f>
        <v>0.2273</v>
      </c>
      <c r="S104" s="5" t="str">
        <f>IF($A104="","",IF($K104="","Imputed","Original"))</f>
        <v>Original</v>
      </c>
      <c r="T104" s="5" t="str">
        <f>IF($A104="","",IF($P104="","Missing",IF($P104=$N104+$O104,"OK","Mismatch")))</f>
        <v>OK</v>
      </c>
      <c r="U104" s="5" t="str">
        <f>IF($A104="","",IF(COUNTIF($A$2:$A104,$A104)&gt;1,"Duplicate","Unique"))</f>
        <v>Unique</v>
      </c>
      <c r="V104" s="5">
        <f>IF($A104="","",IF(AND($U104="Unique",ISNUMBER($P104)),1,0))</f>
        <v>1</v>
      </c>
      <c r="W104" s="5" t="str">
        <f>IF($A104="","",IF(OR($H104=0,$H104=6),"Weekend","Weekday"))</f>
        <v>Weekday</v>
      </c>
      <c r="X104" s="5" t="str">
        <f>IF($A104="","",TEXT($B104,"ddd"))</f>
        <v>Wed</v>
      </c>
      <c r="Y104" s="5" t="str">
        <f>IF($A104="","",TEXT($B104,"mmm"))</f>
        <v>Jan</v>
      </c>
      <c r="Z104" s="5" t="str">
        <f>IF($A104="","",IFERROR(VLOOKUP($C104,Lookups!$D$4:$E$7,2,FALSE),"Unknown"))</f>
        <v>Winter</v>
      </c>
      <c r="AA104" s="5" t="str">
        <f>IF($A104="","",IFERROR(VLOOKUP($I104,Lookups!$A$4:$B$7,2,FALSE),"Unknown"))</f>
        <v>Clear</v>
      </c>
      <c r="AB104" s="5" t="str">
        <f>IF($A104="","",TEXT($F104,"00")&amp;":00")</f>
        <v>11:00</v>
      </c>
      <c r="AC104" s="5" t="str">
        <f>IF($A104="","",VLOOKUP($F104,Lookups!$G$4:$H$8,2,TRUE))</f>
        <v>Midday (10-15)</v>
      </c>
      <c r="AD104" s="18">
        <f>IF($A104="","",IF($J104="","",ROUND($J104*41,1)))</f>
        <v>10.7</v>
      </c>
      <c r="AE104" s="18">
        <f>IF($A104="","",IF($R104="","",ROUND($R104*50,1)))</f>
        <v>11.4</v>
      </c>
      <c r="AF104" s="5">
        <f>IF($A104="","",IF($L104="","",ROUND($L104*100,0)))</f>
        <v>33</v>
      </c>
      <c r="AG104" s="18">
        <f>IF($A104="","",IF($M104="","",ROUND($M104*67,1)))</f>
        <v>22</v>
      </c>
      <c r="AH104" s="19">
        <f>IF($A104="","",IF($P104="","",IF($P104=0,0,$O104/$P104)))</f>
        <v>0.739130434782609</v>
      </c>
      <c r="AI104" s="5" t="str">
        <f>IF($A104="","",IF($P104="","",IF($P104&gt;=Lookups!$K$7,"High",IF($P104&lt;=Lookups!$K$8,"Low","Medium"))))</f>
        <v>Medium</v>
      </c>
      <c r="AJ104" s="5" t="str">
        <f>IF($A104="","",IF($AD104="","",IF($AD104&lt;5,"Under 5 C",IF($AD104&lt;10,"5-10 C",IF($AD104&lt;15,"10-15 C","15 C and above")))))</f>
        <v>10-15 C</v>
      </c>
      <c r="AK104" s="5">
        <f>IF($A104="","",IF($P104="","",$P104^2))</f>
        <v>2116</v>
      </c>
      <c r="AL104" s="18">
        <f>IF($V104&lt;&gt;1,"",AVERAGEIFS(Clean_Data!$P$2:$P$1001,Clean_Data!$F$2:$F$1001,$F104,Clean_Data!$W$2:$W$1001,$W104,Clean_Data!$V$2:$V$1001,1))</f>
        <v>50.6071428571429</v>
      </c>
      <c r="AM104" s="16">
        <f>IF($V104&lt;&gt;1,"",IFERROR(($P104-$AL104)/SQRT(MAX(0,(SUMIFS(Clean_Data!$AK$2:$AK$1001,Clean_Data!$F$2:$F$1001,$F104,Clean_Data!$W$2:$W$1001,$W104,Clean_Data!$V$2:$V$1001,1)-COUNTIFS(Clean_Data!$F$2:$F$1001,$F104,Clean_Data!$W$2:$W$1001,$W104,Clean_Data!$V$2:$V$1001,1)*$AL104^2)/(COUNTIFS(Clean_Data!$F$2:$F$1001,$F104,Clean_Data!$W$2:$W$1001,$W104,Clean_Data!$V$2:$V$1001,1)-1))),""))</f>
        <v>-0.411242861942005</v>
      </c>
      <c r="AN104" s="5" t="str">
        <f>IF($AM104="","",IF($AM104&gt;=Lookups!$K$6,"High spike",IF($AM104&lt;=-Lookups!$K$6,"Unusual low","Normal")))</f>
        <v>Normal</v>
      </c>
      <c r="AO104" s="20">
        <f>IF($V104&lt;&gt;1,"",$P104+ROW()/100000)</f>
        <v>46.00104</v>
      </c>
      <c r="AP104" s="5">
        <f>IF($A104="","",IFERROR(MATCH($A104,Raw_D1!$A$2:$A$1001,0),""))</f>
        <v>103</v>
      </c>
      <c r="AQ104" s="5">
        <f>IF($A104="","",IFERROR(MATCH($A104,Raw_D2!$B$2:$B$1001,0),""))</f>
        <v>103</v>
      </c>
      <c r="AR104" s="5">
        <f>IF($A104="","",IFERROR(MATCH($A104,Raw_D3!$A$2:$A$1001,0),""))</f>
        <v/>
      </c>
    </row>
    <row r="105" spans="1:44" x14ac:dyDescent="0.25">
      <c r="A105" s="5">
        <v>104</v>
      </c>
      <c r="B105" s="11">
        <f>IF($A105="","",IF($AP105&lt;&gt;"",INDEX(Raw_D1!$B$2:$B$1001,$AP105),IF($AR105&lt;&gt;"",INDEX(Raw_D3!$B$2:$B$1001,$AR105),"")))</f>
        <v>40548.0</v>
      </c>
      <c r="C105" s="5">
        <f>IF($A105="","",IF($AP105&lt;&gt;"",INDEX(Raw_D1!$C$2:$C$1001,$AP105),IF($AR105&lt;&gt;"",INDEX(Raw_D3!$C$2:$C$1001,$AR105),"")))</f>
        <v>1</v>
      </c>
      <c r="D105" s="5">
        <f>IF($A105="","",IF($AP105&lt;&gt;"",INDEX(Raw_D1!$D$2:$D$1001,$AP105),IF($AR105&lt;&gt;"",INDEX(Raw_D3!$D$2:$D$1001,$AR105),"")))</f>
        <v>0</v>
      </c>
      <c r="E105" s="5">
        <f>IF($A105="","",IF($AP105&lt;&gt;"",INDEX(Raw_D1!$E$2:$E$1001,$AP105),IF($AR105&lt;&gt;"",INDEX(Raw_D3!$E$2:$E$1001,$AR105),"")))</f>
        <v>1</v>
      </c>
      <c r="F105" s="5">
        <f>IF($A105="","",IF($AP105&lt;&gt;"",INDEX(Raw_D1!$F$2:$F$1001,$AP105),IF($AR105&lt;&gt;"",INDEX(Raw_D3!$F$2:$F$1001,$AR105),"")))</f>
        <v>12</v>
      </c>
      <c r="G105" s="5">
        <f>IF($A105="","",IF($AP105&lt;&gt;"",IF(INDEX(Raw_D1!$G$2:$G$1001,$AP105),1,0),IF($AR105&lt;&gt;"",IF(INDEX(Raw_D3!$G$2:$G$1001,$AR105),1,0),"")))</f>
        <v>0</v>
      </c>
      <c r="H105" s="5">
        <f>IF($A105="","",IF($AP105&lt;&gt;"",INDEX(Raw_D1!$H$2:$H$1001,$AP105),IF($AR105&lt;&gt;"",INDEX(Raw_D3!$H$2:$H$1001,$AR105),"")))</f>
        <v>3</v>
      </c>
      <c r="I105" s="5">
        <f>IF($A105="","",IF($AP105&lt;&gt;"",INDEX(Raw_D1!$I$2:$I$1001,$AP105),IF($AR105&lt;&gt;"",INDEX(Raw_D3!$I$2:$I$1001,$AR105),"")))</f>
        <v>1</v>
      </c>
      <c r="J105" s="16">
        <f>IF($A105="","",IF($AP105&lt;&gt;"",INDEX(Raw_D1!$J$2:$J$1001,$AP105),IF($AR105&lt;&gt;"",INDEX(Raw_D3!$J$2:$J$1001,$AR105),"")))</f>
        <v>0.26</v>
      </c>
      <c r="K105" s="17">
        <f>IF($A105="","",IF($AQ105&lt;&gt;"",IF(INDEX(Raw_D2!$C$2:$C$1001,$AQ105)="","",INDEX(Raw_D2!$C$2:$C$1001,$AQ105)),IF($AR105&lt;&gt;"",IF(INDEX(Raw_D3!$K$2:$K$1001,$AR105)="","",INDEX(Raw_D3!$K$2:$K$1001,$AR105)),"")))</f>
        <v>0.2273</v>
      </c>
      <c r="L105" s="16">
        <f>IF($A105="","",IF($AQ105&lt;&gt;"",IF(INDEX(Raw_D2!$D$2:$D$1001,$AQ105)="","",INDEX(Raw_D2!$D$2:$D$1001,$AQ105)),IF($AR105&lt;&gt;"",IF(INDEX(Raw_D3!$L$2:$L$1001,$AR105)="","",INDEX(Raw_D3!$L$2:$L$1001,$AR105)),"")))</f>
        <v>0.33</v>
      </c>
      <c r="M105" s="17">
        <f>IF($A105="","",IF($AQ105&lt;&gt;"",IF(INDEX(Raw_D2!$E$2:$E$1001,$AQ105)="","",INDEX(Raw_D2!$E$2:$E$1001,$AQ105)),IF($AR105&lt;&gt;"",IF(INDEX(Raw_D3!$M$2:$M$1001,$AR105)="","",INDEX(Raw_D3!$M$2:$M$1001,$AR105)),"")))</f>
        <v>0.3284</v>
      </c>
      <c r="N105" s="5">
        <f>IF($A105="","",IF($AQ105&lt;&gt;"",IF(INDEX(Raw_D2!$F$2:$F$1001,$AQ105)="","",INDEX(Raw_D2!$F$2:$F$1001,$AQ105)),IF($AR105&lt;&gt;"",IF(INDEX(Raw_D3!$N$2:$N$1001,$AR105)="","",INDEX(Raw_D3!$N$2:$N$1001,$AR105)),"")))</f>
        <v>5</v>
      </c>
      <c r="O105" s="5">
        <f>IF($A105="","",IF($AQ105&lt;&gt;"",IF(INDEX(Raw_D2!$G$2:$G$1001,$AQ105)="","",INDEX(Raw_D2!$G$2:$G$1001,$AQ105)),IF($AR105&lt;&gt;"",IF(INDEX(Raw_D3!$O$2:$O$1001,$AR105)="","",INDEX(Raw_D3!$O$2:$O$1001,$AR105)),"")))</f>
        <v>74</v>
      </c>
      <c r="P105" s="5">
        <f>IF($A105="","",IF($AQ105&lt;&gt;"",IF(INDEX(Raw_D2!$H$2:$H$1001,$AQ105)="","",INDEX(Raw_D2!$H$2:$H$1001,$AQ105)),IF($AR105&lt;&gt;"",IF(INDEX(Raw_D3!$P$2:$P$1001,$AR105)="","",INDEX(Raw_D3!$P$2:$P$1001,$AR105)),"")))</f>
        <v>79</v>
      </c>
      <c r="Q105" s="5" t="str">
        <f>IF($A105="","",IF(AND($AP105&lt;&gt;"",$AQ105&lt;&gt;""),"D1+D2",IF($AR105&lt;&gt;"","D3","Incomplete")))</f>
        <v>D1+D2</v>
      </c>
      <c r="R105" s="17">
        <f>IF($A105="","",IF($K105="",IF($J105="","",ROUND(Lookups!$K$5+Lookups!$K$4*$J105,4)),$K105))</f>
        <v>0.2273</v>
      </c>
      <c r="S105" s="5" t="str">
        <f>IF($A105="","",IF($K105="","Imputed","Original"))</f>
        <v>Original</v>
      </c>
      <c r="T105" s="5" t="str">
        <f>IF($A105="","",IF($P105="","Missing",IF($P105=$N105+$O105,"OK","Mismatch")))</f>
        <v>OK</v>
      </c>
      <c r="U105" s="5" t="str">
        <f>IF($A105="","",IF(COUNTIF($A$2:$A105,$A105)&gt;1,"Duplicate","Unique"))</f>
        <v>Unique</v>
      </c>
      <c r="V105" s="5">
        <f>IF($A105="","",IF(AND($U105="Unique",ISNUMBER($P105)),1,0))</f>
        <v>1</v>
      </c>
      <c r="W105" s="5" t="str">
        <f>IF($A105="","",IF(OR($H105=0,$H105=6),"Weekend","Weekday"))</f>
        <v>Weekday</v>
      </c>
      <c r="X105" s="5" t="str">
        <f>IF($A105="","",TEXT($B105,"ddd"))</f>
        <v>Wed</v>
      </c>
      <c r="Y105" s="5" t="str">
        <f>IF($A105="","",TEXT($B105,"mmm"))</f>
        <v>Jan</v>
      </c>
      <c r="Z105" s="5" t="str">
        <f>IF($A105="","",IFERROR(VLOOKUP($C105,Lookups!$D$4:$E$7,2,FALSE),"Unknown"))</f>
        <v>Winter</v>
      </c>
      <c r="AA105" s="5" t="str">
        <f>IF($A105="","",IFERROR(VLOOKUP($I105,Lookups!$A$4:$B$7,2,FALSE),"Unknown"))</f>
        <v>Clear</v>
      </c>
      <c r="AB105" s="5" t="str">
        <f>IF($A105="","",TEXT($F105,"00")&amp;":00")</f>
        <v>12:00</v>
      </c>
      <c r="AC105" s="5" t="str">
        <f>IF($A105="","",VLOOKUP($F105,Lookups!$G$4:$H$8,2,TRUE))</f>
        <v>Midday (10-15)</v>
      </c>
      <c r="AD105" s="18">
        <f>IF($A105="","",IF($J105="","",ROUND($J105*41,1)))</f>
        <v>10.7</v>
      </c>
      <c r="AE105" s="18">
        <f>IF($A105="","",IF($R105="","",ROUND($R105*50,1)))</f>
        <v>11.4</v>
      </c>
      <c r="AF105" s="5">
        <f>IF($A105="","",IF($L105="","",ROUND($L105*100,0)))</f>
        <v>33</v>
      </c>
      <c r="AG105" s="18">
        <f>IF($A105="","",IF($M105="","",ROUND($M105*67,1)))</f>
        <v>22</v>
      </c>
      <c r="AH105" s="19">
        <f>IF($A105="","",IF($P105="","",IF($P105=0,0,$O105/$P105)))</f>
        <v>0.936708860759494</v>
      </c>
      <c r="AI105" s="5" t="str">
        <f>IF($A105="","",IF($P105="","",IF($P105&gt;=Lookups!$K$7,"High",IF($P105&lt;=Lookups!$K$8,"Low","Medium"))))</f>
        <v>Medium</v>
      </c>
      <c r="AJ105" s="5" t="str">
        <f>IF($A105="","",IF($AD105="","",IF($AD105&lt;5,"Under 5 C",IF($AD105&lt;10,"5-10 C",IF($AD105&lt;15,"10-15 C","15 C and above")))))</f>
        <v>10-15 C</v>
      </c>
      <c r="AK105" s="5">
        <f>IF($A105="","",IF($P105="","",$P105^2))</f>
        <v>6241</v>
      </c>
      <c r="AL105" s="18">
        <f>IF($V105&lt;&gt;1,"",AVERAGEIFS(Clean_Data!$P$2:$P$1001,Clean_Data!$F$2:$F$1001,$F105,Clean_Data!$W$2:$W$1001,$W105,Clean_Data!$V$2:$V$1001,1))</f>
        <v>64.5862068965517</v>
      </c>
      <c r="AM105" s="16">
        <f>IF($V105&lt;&gt;1,"",IFERROR(($P105-$AL105)/SQRT(MAX(0,(SUMIFS(Clean_Data!$AK$2:$AK$1001,Clean_Data!$F$2:$F$1001,$F105,Clean_Data!$W$2:$W$1001,$W105,Clean_Data!$V$2:$V$1001,1)-COUNTIFS(Clean_Data!$F$2:$F$1001,$F105,Clean_Data!$W$2:$W$1001,$W105,Clean_Data!$V$2:$V$1001,1)*$AL105^2)/(COUNTIFS(Clean_Data!$F$2:$F$1001,$F105,Clean_Data!$W$2:$W$1001,$W105,Clean_Data!$V$2:$V$1001,1)-1))),""))</f>
        <v>0.769624140512789</v>
      </c>
      <c r="AN105" s="5" t="str">
        <f>IF($AM105="","",IF($AM105&gt;=Lookups!$K$6,"High spike",IF($AM105&lt;=-Lookups!$K$6,"Unusual low","Normal")))</f>
        <v>Normal</v>
      </c>
      <c r="AO105" s="20">
        <f>IF($V105&lt;&gt;1,"",$P105+ROW()/100000)</f>
        <v>79.00105</v>
      </c>
      <c r="AP105" s="5">
        <f>IF($A105="","",IFERROR(MATCH($A105,Raw_D1!$A$2:$A$1001,0),""))</f>
        <v>104</v>
      </c>
      <c r="AQ105" s="5">
        <f>IF($A105="","",IFERROR(MATCH($A105,Raw_D2!$B$2:$B$1001,0),""))</f>
        <v>104</v>
      </c>
      <c r="AR105" s="5">
        <f>IF($A105="","",IFERROR(MATCH($A105,Raw_D3!$A$2:$A$1001,0),""))</f>
        <v/>
      </c>
    </row>
    <row r="106" spans="1:44" x14ac:dyDescent="0.25">
      <c r="A106" s="5">
        <v>105</v>
      </c>
      <c r="B106" s="11">
        <f>IF($A106="","",IF($AP106&lt;&gt;"",INDEX(Raw_D1!$B$2:$B$1001,$AP106),IF($AR106&lt;&gt;"",INDEX(Raw_D3!$B$2:$B$1001,$AR106),"")))</f>
        <v>40548.0</v>
      </c>
      <c r="C106" s="5">
        <f>IF($A106="","",IF($AP106&lt;&gt;"",INDEX(Raw_D1!$C$2:$C$1001,$AP106),IF($AR106&lt;&gt;"",INDEX(Raw_D3!$C$2:$C$1001,$AR106),"")))</f>
        <v>1</v>
      </c>
      <c r="D106" s="5">
        <f>IF($A106="","",IF($AP106&lt;&gt;"",INDEX(Raw_D1!$D$2:$D$1001,$AP106),IF($AR106&lt;&gt;"",INDEX(Raw_D3!$D$2:$D$1001,$AR106),"")))</f>
        <v>0</v>
      </c>
      <c r="E106" s="5">
        <f>IF($A106="","",IF($AP106&lt;&gt;"",INDEX(Raw_D1!$E$2:$E$1001,$AP106),IF($AR106&lt;&gt;"",INDEX(Raw_D3!$E$2:$E$1001,$AR106),"")))</f>
        <v>1</v>
      </c>
      <c r="F106" s="5">
        <f>IF($A106="","",IF($AP106&lt;&gt;"",INDEX(Raw_D1!$F$2:$F$1001,$AP106),IF($AR106&lt;&gt;"",INDEX(Raw_D3!$F$2:$F$1001,$AR106),"")))</f>
        <v>13</v>
      </c>
      <c r="G106" s="5">
        <f>IF($A106="","",IF($AP106&lt;&gt;"",IF(INDEX(Raw_D1!$G$2:$G$1001,$AP106),1,0),IF($AR106&lt;&gt;"",IF(INDEX(Raw_D3!$G$2:$G$1001,$AR106),1,0),"")))</f>
        <v>0</v>
      </c>
      <c r="H106" s="5">
        <f>IF($A106="","",IF($AP106&lt;&gt;"",INDEX(Raw_D1!$H$2:$H$1001,$AP106),IF($AR106&lt;&gt;"",INDEX(Raw_D3!$H$2:$H$1001,$AR106),"")))</f>
        <v>3</v>
      </c>
      <c r="I106" s="5">
        <f>IF($A106="","",IF($AP106&lt;&gt;"",INDEX(Raw_D1!$I$2:$I$1001,$AP106),IF($AR106&lt;&gt;"",INDEX(Raw_D3!$I$2:$I$1001,$AR106),"")))</f>
        <v>1</v>
      </c>
      <c r="J106" s="16">
        <f>IF($A106="","",IF($AP106&lt;&gt;"",INDEX(Raw_D1!$J$2:$J$1001,$AP106),IF($AR106&lt;&gt;"",INDEX(Raw_D3!$J$2:$J$1001,$AR106),"")))</f>
        <v>0.28</v>
      </c>
      <c r="K106" s="17">
        <f>IF($A106="","",IF($AQ106&lt;&gt;"",IF(INDEX(Raw_D2!$C$2:$C$1001,$AQ106)="","",INDEX(Raw_D2!$C$2:$C$1001,$AQ106)),IF($AR106&lt;&gt;"",IF(INDEX(Raw_D3!$K$2:$K$1001,$AR106)="","",INDEX(Raw_D3!$K$2:$K$1001,$AR106)),"")))</f>
        <v>0.2576</v>
      </c>
      <c r="L106" s="16">
        <f>IF($A106="","",IF($AQ106&lt;&gt;"",IF(INDEX(Raw_D2!$D$2:$D$1001,$AQ106)="","",INDEX(Raw_D2!$D$2:$D$1001,$AQ106)),IF($AR106&lt;&gt;"",IF(INDEX(Raw_D3!$L$2:$L$1001,$AR106)="","",INDEX(Raw_D3!$L$2:$L$1001,$AR106)),"")))</f>
        <v>0.3</v>
      </c>
      <c r="M106" s="17">
        <f>IF($A106="","",IF($AQ106&lt;&gt;"",IF(INDEX(Raw_D2!$E$2:$E$1001,$AQ106)="","",INDEX(Raw_D2!$E$2:$E$1001,$AQ106)),IF($AR106&lt;&gt;"",IF(INDEX(Raw_D3!$M$2:$M$1001,$AR106)="","",INDEX(Raw_D3!$M$2:$M$1001,$AR106)),"")))</f>
        <v>0.2985</v>
      </c>
      <c r="N106" s="5">
        <f>IF($A106="","",IF($AQ106&lt;&gt;"",IF(INDEX(Raw_D2!$F$2:$F$1001,$AQ106)="","",INDEX(Raw_D2!$F$2:$F$1001,$AQ106)),IF($AR106&lt;&gt;"",IF(INDEX(Raw_D3!$N$2:$N$1001,$AR106)="","",INDEX(Raw_D3!$N$2:$N$1001,$AR106)),"")))</f>
        <v>6</v>
      </c>
      <c r="O106" s="5">
        <f>IF($A106="","",IF($AQ106&lt;&gt;"",IF(INDEX(Raw_D2!$G$2:$G$1001,$AQ106)="","",INDEX(Raw_D2!$G$2:$G$1001,$AQ106)),IF($AR106&lt;&gt;"",IF(INDEX(Raw_D3!$O$2:$O$1001,$AR106)="","",INDEX(Raw_D3!$O$2:$O$1001,$AR106)),"")))</f>
        <v>65</v>
      </c>
      <c r="P106" s="5">
        <f>IF($A106="","",IF($AQ106&lt;&gt;"",IF(INDEX(Raw_D2!$H$2:$H$1001,$AQ106)="","",INDEX(Raw_D2!$H$2:$H$1001,$AQ106)),IF($AR106&lt;&gt;"",IF(INDEX(Raw_D3!$P$2:$P$1001,$AR106)="","",INDEX(Raw_D3!$P$2:$P$1001,$AR106)),"")))</f>
        <v>71</v>
      </c>
      <c r="Q106" s="5" t="str">
        <f>IF($A106="","",IF(AND($AP106&lt;&gt;"",$AQ106&lt;&gt;""),"D1+D2",IF($AR106&lt;&gt;"","D3","Incomplete")))</f>
        <v>D1+D2</v>
      </c>
      <c r="R106" s="17">
        <f>IF($A106="","",IF($K106="",IF($J106="","",ROUND(Lookups!$K$5+Lookups!$K$4*$J106,4)),$K106))</f>
        <v>0.2576</v>
      </c>
      <c r="S106" s="5" t="str">
        <f>IF($A106="","",IF($K106="","Imputed","Original"))</f>
        <v>Original</v>
      </c>
      <c r="T106" s="5" t="str">
        <f>IF($A106="","",IF($P106="","Missing",IF($P106=$N106+$O106,"OK","Mismatch")))</f>
        <v>OK</v>
      </c>
      <c r="U106" s="5" t="str">
        <f>IF($A106="","",IF(COUNTIF($A$2:$A106,$A106)&gt;1,"Duplicate","Unique"))</f>
        <v>Unique</v>
      </c>
      <c r="V106" s="5">
        <f>IF($A106="","",IF(AND($U106="Unique",ISNUMBER($P106)),1,0))</f>
        <v>1</v>
      </c>
      <c r="W106" s="5" t="str">
        <f>IF($A106="","",IF(OR($H106=0,$H106=6),"Weekend","Weekday"))</f>
        <v>Weekday</v>
      </c>
      <c r="X106" s="5" t="str">
        <f>IF($A106="","",TEXT($B106,"ddd"))</f>
        <v>Wed</v>
      </c>
      <c r="Y106" s="5" t="str">
        <f>IF($A106="","",TEXT($B106,"mmm"))</f>
        <v>Jan</v>
      </c>
      <c r="Z106" s="5" t="str">
        <f>IF($A106="","",IFERROR(VLOOKUP($C106,Lookups!$D$4:$E$7,2,FALSE),"Unknown"))</f>
        <v>Winter</v>
      </c>
      <c r="AA106" s="5" t="str">
        <f>IF($A106="","",IFERROR(VLOOKUP($I106,Lookups!$A$4:$B$7,2,FALSE),"Unknown"))</f>
        <v>Clear</v>
      </c>
      <c r="AB106" s="5" t="str">
        <f>IF($A106="","",TEXT($F106,"00")&amp;":00")</f>
        <v>13:00</v>
      </c>
      <c r="AC106" s="5" t="str">
        <f>IF($A106="","",VLOOKUP($F106,Lookups!$G$4:$H$8,2,TRUE))</f>
        <v>Midday (10-15)</v>
      </c>
      <c r="AD106" s="18">
        <f>IF($A106="","",IF($J106="","",ROUND($J106*41,1)))</f>
        <v>11.5</v>
      </c>
      <c r="AE106" s="18">
        <f>IF($A106="","",IF($R106="","",ROUND($R106*50,1)))</f>
        <v>12.9</v>
      </c>
      <c r="AF106" s="5">
        <f>IF($A106="","",IF($L106="","",ROUND($L106*100,0)))</f>
        <v>30</v>
      </c>
      <c r="AG106" s="18">
        <f>IF($A106="","",IF($M106="","",ROUND($M106*67,1)))</f>
        <v>20</v>
      </c>
      <c r="AH106" s="19">
        <f>IF($A106="","",IF($P106="","",IF($P106=0,0,$O106/$P106)))</f>
        <v>0.915492957746479</v>
      </c>
      <c r="AI106" s="5" t="str">
        <f>IF($A106="","",IF($P106="","",IF($P106&gt;=Lookups!$K$7,"High",IF($P106&lt;=Lookups!$K$8,"Low","Medium"))))</f>
        <v>Medium</v>
      </c>
      <c r="AJ106" s="5" t="str">
        <f>IF($A106="","",IF($AD106="","",IF($AD106&lt;5,"Under 5 C",IF($AD106&lt;10,"5-10 C",IF($AD106&lt;15,"10-15 C","15 C and above")))))</f>
        <v>10-15 C</v>
      </c>
      <c r="AK106" s="5">
        <f>IF($A106="","",IF($P106="","",$P106^2))</f>
        <v>5041</v>
      </c>
      <c r="AL106" s="18">
        <f>IF($V106&lt;&gt;1,"",AVERAGEIFS(Clean_Data!$P$2:$P$1001,Clean_Data!$F$2:$F$1001,$F106,Clean_Data!$W$2:$W$1001,$W106,Clean_Data!$V$2:$V$1001,1))</f>
        <v>67.1724137931034</v>
      </c>
      <c r="AM106" s="16">
        <f>IF($V106&lt;&gt;1,"",IFERROR(($P106-$AL106)/SQRT(MAX(0,(SUMIFS(Clean_Data!$AK$2:$AK$1001,Clean_Data!$F$2:$F$1001,$F106,Clean_Data!$W$2:$W$1001,$W106,Clean_Data!$V$2:$V$1001,1)-COUNTIFS(Clean_Data!$F$2:$F$1001,$F106,Clean_Data!$W$2:$W$1001,$W106,Clean_Data!$V$2:$V$1001,1)*$AL106^2)/(COUNTIFS(Clean_Data!$F$2:$F$1001,$F106,Clean_Data!$W$2:$W$1001,$W106,Clean_Data!$V$2:$V$1001,1)-1))),""))</f>
        <v>0.18955899298913</v>
      </c>
      <c r="AN106" s="5" t="str">
        <f>IF($AM106="","",IF($AM106&gt;=Lookups!$K$6,"High spike",IF($AM106&lt;=-Lookups!$K$6,"Unusual low","Normal")))</f>
        <v>Normal</v>
      </c>
      <c r="AO106" s="20">
        <f>IF($V106&lt;&gt;1,"",$P106+ROW()/100000)</f>
        <v>71.00106</v>
      </c>
      <c r="AP106" s="5">
        <f>IF($A106="","",IFERROR(MATCH($A106,Raw_D1!$A$2:$A$1001,0),""))</f>
        <v>105</v>
      </c>
      <c r="AQ106" s="5">
        <f>IF($A106="","",IFERROR(MATCH($A106,Raw_D2!$B$2:$B$1001,0),""))</f>
        <v>105</v>
      </c>
      <c r="AR106" s="5">
        <f>IF($A106="","",IFERROR(MATCH($A106,Raw_D3!$A$2:$A$1001,0),""))</f>
        <v/>
      </c>
    </row>
    <row r="107" spans="1:44" x14ac:dyDescent="0.25">
      <c r="A107" s="5">
        <v>106</v>
      </c>
      <c r="B107" s="11">
        <f>IF($A107="","",IF($AP107&lt;&gt;"",INDEX(Raw_D1!$B$2:$B$1001,$AP107),IF($AR107&lt;&gt;"",INDEX(Raw_D3!$B$2:$B$1001,$AR107),"")))</f>
        <v>40548.0</v>
      </c>
      <c r="C107" s="5">
        <f>IF($A107="","",IF($AP107&lt;&gt;"",INDEX(Raw_D1!$C$2:$C$1001,$AP107),IF($AR107&lt;&gt;"",INDEX(Raw_D3!$C$2:$C$1001,$AR107),"")))</f>
        <v>1</v>
      </c>
      <c r="D107" s="5">
        <f>IF($A107="","",IF($AP107&lt;&gt;"",INDEX(Raw_D1!$D$2:$D$1001,$AP107),IF($AR107&lt;&gt;"",INDEX(Raw_D3!$D$2:$D$1001,$AR107),"")))</f>
        <v>0</v>
      </c>
      <c r="E107" s="5">
        <f>IF($A107="","",IF($AP107&lt;&gt;"",INDEX(Raw_D1!$E$2:$E$1001,$AP107),IF($AR107&lt;&gt;"",INDEX(Raw_D3!$E$2:$E$1001,$AR107),"")))</f>
        <v>1</v>
      </c>
      <c r="F107" s="5">
        <f>IF($A107="","",IF($AP107&lt;&gt;"",INDEX(Raw_D1!$F$2:$F$1001,$AP107),IF($AR107&lt;&gt;"",INDEX(Raw_D3!$F$2:$F$1001,$AR107),"")))</f>
        <v>14</v>
      </c>
      <c r="G107" s="5">
        <f>IF($A107="","",IF($AP107&lt;&gt;"",IF(INDEX(Raw_D1!$G$2:$G$1001,$AP107),1,0),IF($AR107&lt;&gt;"",IF(INDEX(Raw_D3!$G$2:$G$1001,$AR107),1,0),"")))</f>
        <v>0</v>
      </c>
      <c r="H107" s="5">
        <f>IF($A107="","",IF($AP107&lt;&gt;"",INDEX(Raw_D1!$H$2:$H$1001,$AP107),IF($AR107&lt;&gt;"",INDEX(Raw_D3!$H$2:$H$1001,$AR107),"")))</f>
        <v>3</v>
      </c>
      <c r="I107" s="5">
        <f>IF($A107="","",IF($AP107&lt;&gt;"",INDEX(Raw_D1!$I$2:$I$1001,$AP107),IF($AR107&lt;&gt;"",INDEX(Raw_D3!$I$2:$I$1001,$AR107),"")))</f>
        <v>1</v>
      </c>
      <c r="J107" s="16">
        <f>IF($A107="","",IF($AP107&lt;&gt;"",INDEX(Raw_D1!$J$2:$J$1001,$AP107),IF($AR107&lt;&gt;"",INDEX(Raw_D3!$J$2:$J$1001,$AR107),"")))</f>
        <v>0.3</v>
      </c>
      <c r="K107" s="17">
        <f>IF($A107="","",IF($AQ107&lt;&gt;"",IF(INDEX(Raw_D2!$C$2:$C$1001,$AQ107)="","",INDEX(Raw_D2!$C$2:$C$1001,$AQ107)),IF($AR107&lt;&gt;"",IF(INDEX(Raw_D3!$K$2:$K$1001,$AR107)="","",INDEX(Raw_D3!$K$2:$K$1001,$AR107)),"")))</f>
        <v>0.2879</v>
      </c>
      <c r="L107" s="16">
        <f>IF($A107="","",IF($AQ107&lt;&gt;"",IF(INDEX(Raw_D2!$D$2:$D$1001,$AQ107)="","",INDEX(Raw_D2!$D$2:$D$1001,$AQ107)),IF($AR107&lt;&gt;"",IF(INDEX(Raw_D3!$L$2:$L$1001,$AR107)="","",INDEX(Raw_D3!$L$2:$L$1001,$AR107)),"")))</f>
        <v>0.28</v>
      </c>
      <c r="M107" s="17">
        <f>IF($A107="","",IF($AQ107&lt;&gt;"",IF(INDEX(Raw_D2!$E$2:$E$1001,$AQ107)="","",INDEX(Raw_D2!$E$2:$E$1001,$AQ107)),IF($AR107&lt;&gt;"",IF(INDEX(Raw_D3!$M$2:$M$1001,$AR107)="","",INDEX(Raw_D3!$M$2:$M$1001,$AR107)),"")))</f>
        <v>0.194</v>
      </c>
      <c r="N107" s="5">
        <f>IF($A107="","",IF($AQ107&lt;&gt;"",IF(INDEX(Raw_D2!$F$2:$F$1001,$AQ107)="","",INDEX(Raw_D2!$F$2:$F$1001,$AQ107)),IF($AR107&lt;&gt;"",IF(INDEX(Raw_D3!$N$2:$N$1001,$AR107)="","",INDEX(Raw_D3!$N$2:$N$1001,$AR107)),"")))</f>
        <v>10</v>
      </c>
      <c r="O107" s="5">
        <f>IF($A107="","",IF($AQ107&lt;&gt;"",IF(INDEX(Raw_D2!$G$2:$G$1001,$AQ107)="","",INDEX(Raw_D2!$G$2:$G$1001,$AQ107)),IF($AR107&lt;&gt;"",IF(INDEX(Raw_D3!$O$2:$O$1001,$AR107)="","",INDEX(Raw_D3!$O$2:$O$1001,$AR107)),"")))</f>
        <v>52</v>
      </c>
      <c r="P107" s="5">
        <f>IF($A107="","",IF($AQ107&lt;&gt;"",IF(INDEX(Raw_D2!$H$2:$H$1001,$AQ107)="","",INDEX(Raw_D2!$H$2:$H$1001,$AQ107)),IF($AR107&lt;&gt;"",IF(INDEX(Raw_D3!$P$2:$P$1001,$AR107)="","",INDEX(Raw_D3!$P$2:$P$1001,$AR107)),"")))</f>
        <v>62</v>
      </c>
      <c r="Q107" s="5" t="str">
        <f>IF($A107="","",IF(AND($AP107&lt;&gt;"",$AQ107&lt;&gt;""),"D1+D2",IF($AR107&lt;&gt;"","D3","Incomplete")))</f>
        <v>D1+D2</v>
      </c>
      <c r="R107" s="17">
        <f>IF($A107="","",IF($K107="",IF($J107="","",ROUND(Lookups!$K$5+Lookups!$K$4*$J107,4)),$K107))</f>
        <v>0.2879</v>
      </c>
      <c r="S107" s="5" t="str">
        <f>IF($A107="","",IF($K107="","Imputed","Original"))</f>
        <v>Original</v>
      </c>
      <c r="T107" s="5" t="str">
        <f>IF($A107="","",IF($P107="","Missing",IF($P107=$N107+$O107,"OK","Mismatch")))</f>
        <v>OK</v>
      </c>
      <c r="U107" s="5" t="str">
        <f>IF($A107="","",IF(COUNTIF($A$2:$A107,$A107)&gt;1,"Duplicate","Unique"))</f>
        <v>Unique</v>
      </c>
      <c r="V107" s="5">
        <f>IF($A107="","",IF(AND($U107="Unique",ISNUMBER($P107)),1,0))</f>
        <v>1</v>
      </c>
      <c r="W107" s="5" t="str">
        <f>IF($A107="","",IF(OR($H107=0,$H107=6),"Weekend","Weekday"))</f>
        <v>Weekday</v>
      </c>
      <c r="X107" s="5" t="str">
        <f>IF($A107="","",TEXT($B107,"ddd"))</f>
        <v>Wed</v>
      </c>
      <c r="Y107" s="5" t="str">
        <f>IF($A107="","",TEXT($B107,"mmm"))</f>
        <v>Jan</v>
      </c>
      <c r="Z107" s="5" t="str">
        <f>IF($A107="","",IFERROR(VLOOKUP($C107,Lookups!$D$4:$E$7,2,FALSE),"Unknown"))</f>
        <v>Winter</v>
      </c>
      <c r="AA107" s="5" t="str">
        <f>IF($A107="","",IFERROR(VLOOKUP($I107,Lookups!$A$4:$B$7,2,FALSE),"Unknown"))</f>
        <v>Clear</v>
      </c>
      <c r="AB107" s="5" t="str">
        <f>IF($A107="","",TEXT($F107,"00")&amp;":00")</f>
        <v>14:00</v>
      </c>
      <c r="AC107" s="5" t="str">
        <f>IF($A107="","",VLOOKUP($F107,Lookups!$G$4:$H$8,2,TRUE))</f>
        <v>Midday (10-15)</v>
      </c>
      <c r="AD107" s="18">
        <f>IF($A107="","",IF($J107="","",ROUND($J107*41,1)))</f>
        <v>12.3</v>
      </c>
      <c r="AE107" s="18">
        <f>IF($A107="","",IF($R107="","",ROUND($R107*50,1)))</f>
        <v>14.4</v>
      </c>
      <c r="AF107" s="5">
        <f>IF($A107="","",IF($L107="","",ROUND($L107*100,0)))</f>
        <v>28</v>
      </c>
      <c r="AG107" s="18">
        <f>IF($A107="","",IF($M107="","",ROUND($M107*67,1)))</f>
        <v>13</v>
      </c>
      <c r="AH107" s="19">
        <f>IF($A107="","",IF($P107="","",IF($P107=0,0,$O107/$P107)))</f>
        <v>0.838709677419355</v>
      </c>
      <c r="AI107" s="5" t="str">
        <f>IF($A107="","",IF($P107="","",IF($P107&gt;=Lookups!$K$7,"High",IF($P107&lt;=Lookups!$K$8,"Low","Medium"))))</f>
        <v>Medium</v>
      </c>
      <c r="AJ107" s="5" t="str">
        <f>IF($A107="","",IF($AD107="","",IF($AD107&lt;5,"Under 5 C",IF($AD107&lt;10,"5-10 C",IF($AD107&lt;15,"10-15 C","15 C and above")))))</f>
        <v>10-15 C</v>
      </c>
      <c r="AK107" s="5">
        <f>IF($A107="","",IF($P107="","",$P107^2))</f>
        <v>3844</v>
      </c>
      <c r="AL107" s="18">
        <f>IF($V107&lt;&gt;1,"",AVERAGEIFS(Clean_Data!$P$2:$P$1001,Clean_Data!$F$2:$F$1001,$F107,Clean_Data!$W$2:$W$1001,$W107,Clean_Data!$V$2:$V$1001,1))</f>
        <v>60.551724137931</v>
      </c>
      <c r="AM107" s="16">
        <f>IF($V107&lt;&gt;1,"",IFERROR(($P107-$AL107)/SQRT(MAX(0,(SUMIFS(Clean_Data!$AK$2:$AK$1001,Clean_Data!$F$2:$F$1001,$F107,Clean_Data!$W$2:$W$1001,$W107,Clean_Data!$V$2:$V$1001,1)-COUNTIFS(Clean_Data!$F$2:$F$1001,$F107,Clean_Data!$W$2:$W$1001,$W107,Clean_Data!$V$2:$V$1001,1)*$AL107^2)/(COUNTIFS(Clean_Data!$F$2:$F$1001,$F107,Clean_Data!$W$2:$W$1001,$W107,Clean_Data!$V$2:$V$1001,1)-1))),""))</f>
        <v>0.0880393289112913</v>
      </c>
      <c r="AN107" s="5" t="str">
        <f>IF($AM107="","",IF($AM107&gt;=Lookups!$K$6,"High spike",IF($AM107&lt;=-Lookups!$K$6,"Unusual low","Normal")))</f>
        <v>Normal</v>
      </c>
      <c r="AO107" s="20">
        <f>IF($V107&lt;&gt;1,"",$P107+ROW()/100000)</f>
        <v>62.00107</v>
      </c>
      <c r="AP107" s="5">
        <f>IF($A107="","",IFERROR(MATCH($A107,Raw_D1!$A$2:$A$1001,0),""))</f>
        <v>106</v>
      </c>
      <c r="AQ107" s="5">
        <f>IF($A107="","",IFERROR(MATCH($A107,Raw_D2!$B$2:$B$1001,0),""))</f>
        <v>106</v>
      </c>
      <c r="AR107" s="5">
        <f>IF($A107="","",IFERROR(MATCH($A107,Raw_D3!$A$2:$A$1001,0),""))</f>
        <v/>
      </c>
    </row>
    <row r="108" spans="1:44" x14ac:dyDescent="0.25">
      <c r="A108" s="5">
        <v>107</v>
      </c>
      <c r="B108" s="11">
        <f>IF($A108="","",IF($AP108&lt;&gt;"",INDEX(Raw_D1!$B$2:$B$1001,$AP108),IF($AR108&lt;&gt;"",INDEX(Raw_D3!$B$2:$B$1001,$AR108),"")))</f>
        <v>40548.0</v>
      </c>
      <c r="C108" s="5">
        <f>IF($A108="","",IF($AP108&lt;&gt;"",INDEX(Raw_D1!$C$2:$C$1001,$AP108),IF($AR108&lt;&gt;"",INDEX(Raw_D3!$C$2:$C$1001,$AR108),"")))</f>
        <v>1</v>
      </c>
      <c r="D108" s="5">
        <f>IF($A108="","",IF($AP108&lt;&gt;"",INDEX(Raw_D1!$D$2:$D$1001,$AP108),IF($AR108&lt;&gt;"",INDEX(Raw_D3!$D$2:$D$1001,$AR108),"")))</f>
        <v>0</v>
      </c>
      <c r="E108" s="5">
        <f>IF($A108="","",IF($AP108&lt;&gt;"",INDEX(Raw_D1!$E$2:$E$1001,$AP108),IF($AR108&lt;&gt;"",INDEX(Raw_D3!$E$2:$E$1001,$AR108),"")))</f>
        <v>1</v>
      </c>
      <c r="F108" s="5">
        <f>IF($A108="","",IF($AP108&lt;&gt;"",INDEX(Raw_D1!$F$2:$F$1001,$AP108),IF($AR108&lt;&gt;"",INDEX(Raw_D3!$F$2:$F$1001,$AR108),"")))</f>
        <v>15</v>
      </c>
      <c r="G108" s="5">
        <f>IF($A108="","",IF($AP108&lt;&gt;"",IF(INDEX(Raw_D1!$G$2:$G$1001,$AP108),1,0),IF($AR108&lt;&gt;"",IF(INDEX(Raw_D3!$G$2:$G$1001,$AR108),1,0),"")))</f>
        <v>0</v>
      </c>
      <c r="H108" s="5">
        <f>IF($A108="","",IF($AP108&lt;&gt;"",INDEX(Raw_D1!$H$2:$H$1001,$AP108),IF($AR108&lt;&gt;"",INDEX(Raw_D3!$H$2:$H$1001,$AR108),"")))</f>
        <v>3</v>
      </c>
      <c r="I108" s="5">
        <f>IF($A108="","",IF($AP108&lt;&gt;"",INDEX(Raw_D1!$I$2:$I$1001,$AP108),IF($AR108&lt;&gt;"",INDEX(Raw_D3!$I$2:$I$1001,$AR108),"")))</f>
        <v>1</v>
      </c>
      <c r="J108" s="16">
        <f>IF($A108="","",IF($AP108&lt;&gt;"",INDEX(Raw_D1!$J$2:$J$1001,$AP108),IF($AR108&lt;&gt;"",INDEX(Raw_D3!$J$2:$J$1001,$AR108),"")))</f>
        <v>0.3</v>
      </c>
      <c r="K108" s="17">
        <f>IF($A108="","",IF($AQ108&lt;&gt;"",IF(INDEX(Raw_D2!$C$2:$C$1001,$AQ108)="","",INDEX(Raw_D2!$C$2:$C$1001,$AQ108)),IF($AR108&lt;&gt;"",IF(INDEX(Raw_D3!$K$2:$K$1001,$AR108)="","",INDEX(Raw_D3!$K$2:$K$1001,$AR108)),"")))</f>
        <v>0.2879</v>
      </c>
      <c r="L108" s="16">
        <f>IF($A108="","",IF($AQ108&lt;&gt;"",IF(INDEX(Raw_D2!$D$2:$D$1001,$AQ108)="","",INDEX(Raw_D2!$D$2:$D$1001,$AQ108)),IF($AR108&lt;&gt;"",IF(INDEX(Raw_D3!$L$2:$L$1001,$AR108)="","",INDEX(Raw_D3!$L$2:$L$1001,$AR108)),"")))</f>
        <v>0.28</v>
      </c>
      <c r="M108" s="17">
        <f>IF($A108="","",IF($AQ108&lt;&gt;"",IF(INDEX(Raw_D2!$E$2:$E$1001,$AQ108)="","",INDEX(Raw_D2!$E$2:$E$1001,$AQ108)),IF($AR108&lt;&gt;"",IF(INDEX(Raw_D3!$M$2:$M$1001,$AR108)="","",INDEX(Raw_D3!$M$2:$M$1001,$AR108)),"")))</f>
        <v>0.194</v>
      </c>
      <c r="N108" s="5">
        <f>IF($A108="","",IF($AQ108&lt;&gt;"",IF(INDEX(Raw_D2!$F$2:$F$1001,$AQ108)="","",INDEX(Raw_D2!$F$2:$F$1001,$AQ108)),IF($AR108&lt;&gt;"",IF(INDEX(Raw_D3!$N$2:$N$1001,$AR108)="","",INDEX(Raw_D3!$N$2:$N$1001,$AR108)),"")))</f>
        <v>7</v>
      </c>
      <c r="O108" s="5">
        <f>IF($A108="","",IF($AQ108&lt;&gt;"",IF(INDEX(Raw_D2!$G$2:$G$1001,$AQ108)="","",INDEX(Raw_D2!$G$2:$G$1001,$AQ108)),IF($AR108&lt;&gt;"",IF(INDEX(Raw_D3!$O$2:$O$1001,$AR108)="","",INDEX(Raw_D3!$O$2:$O$1001,$AR108)),"")))</f>
        <v>55</v>
      </c>
      <c r="P108" s="5">
        <f>IF($A108="","",IF($AQ108&lt;&gt;"",IF(INDEX(Raw_D2!$H$2:$H$1001,$AQ108)="","",INDEX(Raw_D2!$H$2:$H$1001,$AQ108)),IF($AR108&lt;&gt;"",IF(INDEX(Raw_D3!$P$2:$P$1001,$AR108)="","",INDEX(Raw_D3!$P$2:$P$1001,$AR108)),"")))</f>
        <v>62</v>
      </c>
      <c r="Q108" s="5" t="str">
        <f>IF($A108="","",IF(AND($AP108&lt;&gt;"",$AQ108&lt;&gt;""),"D1+D2",IF($AR108&lt;&gt;"","D3","Incomplete")))</f>
        <v>D1+D2</v>
      </c>
      <c r="R108" s="17">
        <f>IF($A108="","",IF($K108="",IF($J108="","",ROUND(Lookups!$K$5+Lookups!$K$4*$J108,4)),$K108))</f>
        <v>0.2879</v>
      </c>
      <c r="S108" s="5" t="str">
        <f>IF($A108="","",IF($K108="","Imputed","Original"))</f>
        <v>Original</v>
      </c>
      <c r="T108" s="5" t="str">
        <f>IF($A108="","",IF($P108="","Missing",IF($P108=$N108+$O108,"OK","Mismatch")))</f>
        <v>OK</v>
      </c>
      <c r="U108" s="5" t="str">
        <f>IF($A108="","",IF(COUNTIF($A$2:$A108,$A108)&gt;1,"Duplicate","Unique"))</f>
        <v>Unique</v>
      </c>
      <c r="V108" s="5">
        <f>IF($A108="","",IF(AND($U108="Unique",ISNUMBER($P108)),1,0))</f>
        <v>1</v>
      </c>
      <c r="W108" s="5" t="str">
        <f>IF($A108="","",IF(OR($H108=0,$H108=6),"Weekend","Weekday"))</f>
        <v>Weekday</v>
      </c>
      <c r="X108" s="5" t="str">
        <f>IF($A108="","",TEXT($B108,"ddd"))</f>
        <v>Wed</v>
      </c>
      <c r="Y108" s="5" t="str">
        <f>IF($A108="","",TEXT($B108,"mmm"))</f>
        <v>Jan</v>
      </c>
      <c r="Z108" s="5" t="str">
        <f>IF($A108="","",IFERROR(VLOOKUP($C108,Lookups!$D$4:$E$7,2,FALSE),"Unknown"))</f>
        <v>Winter</v>
      </c>
      <c r="AA108" s="5" t="str">
        <f>IF($A108="","",IFERROR(VLOOKUP($I108,Lookups!$A$4:$B$7,2,FALSE),"Unknown"))</f>
        <v>Clear</v>
      </c>
      <c r="AB108" s="5" t="str">
        <f>IF($A108="","",TEXT($F108,"00")&amp;":00")</f>
        <v>15:00</v>
      </c>
      <c r="AC108" s="5" t="str">
        <f>IF($A108="","",VLOOKUP($F108,Lookups!$G$4:$H$8,2,TRUE))</f>
        <v>Midday (10-15)</v>
      </c>
      <c r="AD108" s="18">
        <f>IF($A108="","",IF($J108="","",ROUND($J108*41,1)))</f>
        <v>12.3</v>
      </c>
      <c r="AE108" s="18">
        <f>IF($A108="","",IF($R108="","",ROUND($R108*50,1)))</f>
        <v>14.4</v>
      </c>
      <c r="AF108" s="5">
        <f>IF($A108="","",IF($L108="","",ROUND($L108*100,0)))</f>
        <v>28</v>
      </c>
      <c r="AG108" s="18">
        <f>IF($A108="","",IF($M108="","",ROUND($M108*67,1)))</f>
        <v>13</v>
      </c>
      <c r="AH108" s="19">
        <f>IF($A108="","",IF($P108="","",IF($P108=0,0,$O108/$P108)))</f>
        <v>0.887096774193548</v>
      </c>
      <c r="AI108" s="5" t="str">
        <f>IF($A108="","",IF($P108="","",IF($P108&gt;=Lookups!$K$7,"High",IF($P108&lt;=Lookups!$K$8,"Low","Medium"))))</f>
        <v>Medium</v>
      </c>
      <c r="AJ108" s="5" t="str">
        <f>IF($A108="","",IF($AD108="","",IF($AD108&lt;5,"Under 5 C",IF($AD108&lt;10,"5-10 C",IF($AD108&lt;15,"10-15 C","15 C and above")))))</f>
        <v>10-15 C</v>
      </c>
      <c r="AK108" s="5">
        <f>IF($A108="","",IF($P108="","",$P108^2))</f>
        <v>3844</v>
      </c>
      <c r="AL108" s="18">
        <f>IF($V108&lt;&gt;1,"",AVERAGEIFS(Clean_Data!$P$2:$P$1001,Clean_Data!$F$2:$F$1001,$F108,Clean_Data!$W$2:$W$1001,$W108,Clean_Data!$V$2:$V$1001,1))</f>
        <v>61.4827586206897</v>
      </c>
      <c r="AM108" s="16">
        <f>IF($V108&lt;&gt;1,"",IFERROR(($P108-$AL108)/SQRT(MAX(0,(SUMIFS(Clean_Data!$AK$2:$AK$1001,Clean_Data!$F$2:$F$1001,$F108,Clean_Data!$W$2:$W$1001,$W108,Clean_Data!$V$2:$V$1001,1)-COUNTIFS(Clean_Data!$F$2:$F$1001,$F108,Clean_Data!$W$2:$W$1001,$W108,Clean_Data!$V$2:$V$1001,1)*$AL108^2)/(COUNTIFS(Clean_Data!$F$2:$F$1001,$F108,Clean_Data!$W$2:$W$1001,$W108,Clean_Data!$V$2:$V$1001,1)-1))),""))</f>
        <v>0.0343109764642972</v>
      </c>
      <c r="AN108" s="5" t="str">
        <f>IF($AM108="","",IF($AM108&gt;=Lookups!$K$6,"High spike",IF($AM108&lt;=-Lookups!$K$6,"Unusual low","Normal")))</f>
        <v>Normal</v>
      </c>
      <c r="AO108" s="20">
        <f>IF($V108&lt;&gt;1,"",$P108+ROW()/100000)</f>
        <v>62.00108</v>
      </c>
      <c r="AP108" s="5">
        <f>IF($A108="","",IFERROR(MATCH($A108,Raw_D1!$A$2:$A$1001,0),""))</f>
        <v>107</v>
      </c>
      <c r="AQ108" s="5">
        <f>IF($A108="","",IFERROR(MATCH($A108,Raw_D2!$B$2:$B$1001,0),""))</f>
        <v>107</v>
      </c>
      <c r="AR108" s="5">
        <f>IF($A108="","",IFERROR(MATCH($A108,Raw_D3!$A$2:$A$1001,0),""))</f>
        <v/>
      </c>
    </row>
    <row r="109" spans="1:44" x14ac:dyDescent="0.25">
      <c r="A109" s="5">
        <v>108</v>
      </c>
      <c r="B109" s="11">
        <f>IF($A109="","",IF($AP109&lt;&gt;"",INDEX(Raw_D1!$B$2:$B$1001,$AP109),IF($AR109&lt;&gt;"",INDEX(Raw_D3!$B$2:$B$1001,$AR109),"")))</f>
        <v>40548.0</v>
      </c>
      <c r="C109" s="5">
        <f>IF($A109="","",IF($AP109&lt;&gt;"",INDEX(Raw_D1!$C$2:$C$1001,$AP109),IF($AR109&lt;&gt;"",INDEX(Raw_D3!$C$2:$C$1001,$AR109),"")))</f>
        <v>1</v>
      </c>
      <c r="D109" s="5">
        <f>IF($A109="","",IF($AP109&lt;&gt;"",INDEX(Raw_D1!$D$2:$D$1001,$AP109),IF($AR109&lt;&gt;"",INDEX(Raw_D3!$D$2:$D$1001,$AR109),"")))</f>
        <v>0</v>
      </c>
      <c r="E109" s="5">
        <f>IF($A109="","",IF($AP109&lt;&gt;"",INDEX(Raw_D1!$E$2:$E$1001,$AP109),IF($AR109&lt;&gt;"",INDEX(Raw_D3!$E$2:$E$1001,$AR109),"")))</f>
        <v>1</v>
      </c>
      <c r="F109" s="5">
        <f>IF($A109="","",IF($AP109&lt;&gt;"",INDEX(Raw_D1!$F$2:$F$1001,$AP109),IF($AR109&lt;&gt;"",INDEX(Raw_D3!$F$2:$F$1001,$AR109),"")))</f>
        <v>16</v>
      </c>
      <c r="G109" s="5">
        <f>IF($A109="","",IF($AP109&lt;&gt;"",IF(INDEX(Raw_D1!$G$2:$G$1001,$AP109),1,0),IF($AR109&lt;&gt;"",IF(INDEX(Raw_D3!$G$2:$G$1001,$AR109),1,0),"")))</f>
        <v>0</v>
      </c>
      <c r="H109" s="5">
        <f>IF($A109="","",IF($AP109&lt;&gt;"",INDEX(Raw_D1!$H$2:$H$1001,$AP109),IF($AR109&lt;&gt;"",INDEX(Raw_D3!$H$2:$H$1001,$AR109),"")))</f>
        <v>3</v>
      </c>
      <c r="I109" s="5">
        <f>IF($A109="","",IF($AP109&lt;&gt;"",INDEX(Raw_D1!$I$2:$I$1001,$AP109),IF($AR109&lt;&gt;"",INDEX(Raw_D3!$I$2:$I$1001,$AR109),"")))</f>
        <v>1</v>
      </c>
      <c r="J109" s="16">
        <f>IF($A109="","",IF($AP109&lt;&gt;"",INDEX(Raw_D1!$J$2:$J$1001,$AP109),IF($AR109&lt;&gt;"",INDEX(Raw_D3!$J$2:$J$1001,$AR109),"")))</f>
        <v>0.3</v>
      </c>
      <c r="K109" s="17">
        <f>IF($A109="","",IF($AQ109&lt;&gt;"",IF(INDEX(Raw_D2!$C$2:$C$1001,$AQ109)="","",INDEX(Raw_D2!$C$2:$C$1001,$AQ109)),IF($AR109&lt;&gt;"",IF(INDEX(Raw_D3!$K$2:$K$1001,$AR109)="","",INDEX(Raw_D3!$K$2:$K$1001,$AR109)),"")))</f>
        <v>0.3182</v>
      </c>
      <c r="L109" s="16">
        <f>IF($A109="","",IF($AQ109&lt;&gt;"",IF(INDEX(Raw_D2!$D$2:$D$1001,$AQ109)="","",INDEX(Raw_D2!$D$2:$D$1001,$AQ109)),IF($AR109&lt;&gt;"",IF(INDEX(Raw_D3!$L$2:$L$1001,$AR109)="","",INDEX(Raw_D3!$L$2:$L$1001,$AR109)),"")))</f>
        <v>0.28</v>
      </c>
      <c r="M109" s="17">
        <f>IF($A109="","",IF($AQ109&lt;&gt;"",IF(INDEX(Raw_D2!$E$2:$E$1001,$AQ109)="","",INDEX(Raw_D2!$E$2:$E$1001,$AQ109)),IF($AR109&lt;&gt;"",IF(INDEX(Raw_D3!$M$2:$M$1001,$AR109)="","",INDEX(Raw_D3!$M$2:$M$1001,$AR109)),"")))</f>
        <v>0.0896</v>
      </c>
      <c r="N109" s="5">
        <f>IF($A109="","",IF($AQ109&lt;&gt;"",IF(INDEX(Raw_D2!$F$2:$F$1001,$AQ109)="","",INDEX(Raw_D2!$F$2:$F$1001,$AQ109)),IF($AR109&lt;&gt;"",IF(INDEX(Raw_D3!$N$2:$N$1001,$AR109)="","",INDEX(Raw_D3!$N$2:$N$1001,$AR109)),"")))</f>
        <v>4</v>
      </c>
      <c r="O109" s="5">
        <f>IF($A109="","",IF($AQ109&lt;&gt;"",IF(INDEX(Raw_D2!$G$2:$G$1001,$AQ109)="","",INDEX(Raw_D2!$G$2:$G$1001,$AQ109)),IF($AR109&lt;&gt;"",IF(INDEX(Raw_D3!$O$2:$O$1001,$AR109)="","",INDEX(Raw_D3!$O$2:$O$1001,$AR109)),"")))</f>
        <v>85</v>
      </c>
      <c r="P109" s="5">
        <f>IF($A109="","",IF($AQ109&lt;&gt;"",IF(INDEX(Raw_D2!$H$2:$H$1001,$AQ109)="","",INDEX(Raw_D2!$H$2:$H$1001,$AQ109)),IF($AR109&lt;&gt;"",IF(INDEX(Raw_D3!$P$2:$P$1001,$AR109)="","",INDEX(Raw_D3!$P$2:$P$1001,$AR109)),"")))</f>
        <v>89</v>
      </c>
      <c r="Q109" s="5" t="str">
        <f>IF($A109="","",IF(AND($AP109&lt;&gt;"",$AQ109&lt;&gt;""),"D1+D2",IF($AR109&lt;&gt;"","D3","Incomplete")))</f>
        <v>D1+D2</v>
      </c>
      <c r="R109" s="17">
        <f>IF($A109="","",IF($K109="",IF($J109="","",ROUND(Lookups!$K$5+Lookups!$K$4*$J109,4)),$K109))</f>
        <v>0.3182</v>
      </c>
      <c r="S109" s="5" t="str">
        <f>IF($A109="","",IF($K109="","Imputed","Original"))</f>
        <v>Original</v>
      </c>
      <c r="T109" s="5" t="str">
        <f>IF($A109="","",IF($P109="","Missing",IF($P109=$N109+$O109,"OK","Mismatch")))</f>
        <v>OK</v>
      </c>
      <c r="U109" s="5" t="str">
        <f>IF($A109="","",IF(COUNTIF($A$2:$A109,$A109)&gt;1,"Duplicate","Unique"))</f>
        <v>Unique</v>
      </c>
      <c r="V109" s="5">
        <f>IF($A109="","",IF(AND($U109="Unique",ISNUMBER($P109)),1,0))</f>
        <v>1</v>
      </c>
      <c r="W109" s="5" t="str">
        <f>IF($A109="","",IF(OR($H109=0,$H109=6),"Weekend","Weekday"))</f>
        <v>Weekday</v>
      </c>
      <c r="X109" s="5" t="str">
        <f>IF($A109="","",TEXT($B109,"ddd"))</f>
        <v>Wed</v>
      </c>
      <c r="Y109" s="5" t="str">
        <f>IF($A109="","",TEXT($B109,"mmm"))</f>
        <v>Jan</v>
      </c>
      <c r="Z109" s="5" t="str">
        <f>IF($A109="","",IFERROR(VLOOKUP($C109,Lookups!$D$4:$E$7,2,FALSE),"Unknown"))</f>
        <v>Winter</v>
      </c>
      <c r="AA109" s="5" t="str">
        <f>IF($A109="","",IFERROR(VLOOKUP($I109,Lookups!$A$4:$B$7,2,FALSE),"Unknown"))</f>
        <v>Clear</v>
      </c>
      <c r="AB109" s="5" t="str">
        <f>IF($A109="","",TEXT($F109,"00")&amp;":00")</f>
        <v>16:00</v>
      </c>
      <c r="AC109" s="5" t="str">
        <f>IF($A109="","",VLOOKUP($F109,Lookups!$G$4:$H$8,2,TRUE))</f>
        <v>Evening Peak (16-19)</v>
      </c>
      <c r="AD109" s="18">
        <f>IF($A109="","",IF($J109="","",ROUND($J109*41,1)))</f>
        <v>12.3</v>
      </c>
      <c r="AE109" s="18">
        <f>IF($A109="","",IF($R109="","",ROUND($R109*50,1)))</f>
        <v>15.9</v>
      </c>
      <c r="AF109" s="5">
        <f>IF($A109="","",IF($L109="","",ROUND($L109*100,0)))</f>
        <v>28</v>
      </c>
      <c r="AG109" s="18">
        <f>IF($A109="","",IF($M109="","",ROUND($M109*67,1)))</f>
        <v>6</v>
      </c>
      <c r="AH109" s="19">
        <f>IF($A109="","",IF($P109="","",IF($P109=0,0,$O109/$P109)))</f>
        <v>0.955056179775281</v>
      </c>
      <c r="AI109" s="5" t="str">
        <f>IF($A109="","",IF($P109="","",IF($P109&gt;=Lookups!$K$7,"High",IF($P109&lt;=Lookups!$K$8,"Low","Medium"))))</f>
        <v>High</v>
      </c>
      <c r="AJ109" s="5" t="str">
        <f>IF($A109="","",IF($AD109="","",IF($AD109&lt;5,"Under 5 C",IF($AD109&lt;10,"5-10 C",IF($AD109&lt;15,"10-15 C","15 C and above")))))</f>
        <v>10-15 C</v>
      </c>
      <c r="AK109" s="5">
        <f>IF($A109="","",IF($P109="","",$P109^2))</f>
        <v>7921</v>
      </c>
      <c r="AL109" s="18">
        <f>IF($V109&lt;&gt;1,"",AVERAGEIFS(Clean_Data!$P$2:$P$1001,Clean_Data!$F$2:$F$1001,$F109,Clean_Data!$W$2:$W$1001,$W109,Clean_Data!$V$2:$V$1001,1))</f>
        <v>82.6333333333333</v>
      </c>
      <c r="AM109" s="16">
        <f>IF($V109&lt;&gt;1,"",IFERROR(($P109-$AL109)/SQRT(MAX(0,(SUMIFS(Clean_Data!$AK$2:$AK$1001,Clean_Data!$F$2:$F$1001,$F109,Clean_Data!$W$2:$W$1001,$W109,Clean_Data!$V$2:$V$1001,1)-COUNTIFS(Clean_Data!$F$2:$F$1001,$F109,Clean_Data!$W$2:$W$1001,$W109,Clean_Data!$V$2:$V$1001,1)*$AL109^2)/(COUNTIFS(Clean_Data!$F$2:$F$1001,$F109,Clean_Data!$W$2:$W$1001,$W109,Clean_Data!$V$2:$V$1001,1)-1))),""))</f>
        <v>0.306917604000113</v>
      </c>
      <c r="AN109" s="5" t="str">
        <f>IF($AM109="","",IF($AM109&gt;=Lookups!$K$6,"High spike",IF($AM109&lt;=-Lookups!$K$6,"Unusual low","Normal")))</f>
        <v>Normal</v>
      </c>
      <c r="AO109" s="20">
        <f>IF($V109&lt;&gt;1,"",$P109+ROW()/100000)</f>
        <v>89.00109</v>
      </c>
      <c r="AP109" s="5">
        <f>IF($A109="","",IFERROR(MATCH($A109,Raw_D1!$A$2:$A$1001,0),""))</f>
        <v>108</v>
      </c>
      <c r="AQ109" s="5">
        <f>IF($A109="","",IFERROR(MATCH($A109,Raw_D2!$B$2:$B$1001,0),""))</f>
        <v>108</v>
      </c>
      <c r="AR109" s="5">
        <f>IF($A109="","",IFERROR(MATCH($A109,Raw_D3!$A$2:$A$1001,0),""))</f>
        <v/>
      </c>
    </row>
    <row r="110" spans="1:44" x14ac:dyDescent="0.25">
      <c r="A110" s="5">
        <v>109</v>
      </c>
      <c r="B110" s="11">
        <f>IF($A110="","",IF($AP110&lt;&gt;"",INDEX(Raw_D1!$B$2:$B$1001,$AP110),IF($AR110&lt;&gt;"",INDEX(Raw_D3!$B$2:$B$1001,$AR110),"")))</f>
        <v>40548.0</v>
      </c>
      <c r="C110" s="5">
        <f>IF($A110="","",IF($AP110&lt;&gt;"",INDEX(Raw_D1!$C$2:$C$1001,$AP110),IF($AR110&lt;&gt;"",INDEX(Raw_D3!$C$2:$C$1001,$AR110),"")))</f>
        <v>1</v>
      </c>
      <c r="D110" s="5">
        <f>IF($A110="","",IF($AP110&lt;&gt;"",INDEX(Raw_D1!$D$2:$D$1001,$AP110),IF($AR110&lt;&gt;"",INDEX(Raw_D3!$D$2:$D$1001,$AR110),"")))</f>
        <v>0</v>
      </c>
      <c r="E110" s="5">
        <f>IF($A110="","",IF($AP110&lt;&gt;"",INDEX(Raw_D1!$E$2:$E$1001,$AP110),IF($AR110&lt;&gt;"",INDEX(Raw_D3!$E$2:$E$1001,$AR110),"")))</f>
        <v>1</v>
      </c>
      <c r="F110" s="5">
        <f>IF($A110="","",IF($AP110&lt;&gt;"",INDEX(Raw_D1!$F$2:$F$1001,$AP110),IF($AR110&lt;&gt;"",INDEX(Raw_D3!$F$2:$F$1001,$AR110),"")))</f>
        <v>17</v>
      </c>
      <c r="G110" s="5">
        <f>IF($A110="","",IF($AP110&lt;&gt;"",IF(INDEX(Raw_D1!$G$2:$G$1001,$AP110),1,0),IF($AR110&lt;&gt;"",IF(INDEX(Raw_D3!$G$2:$G$1001,$AR110),1,0),"")))</f>
        <v>0</v>
      </c>
      <c r="H110" s="5">
        <f>IF($A110="","",IF($AP110&lt;&gt;"",INDEX(Raw_D1!$H$2:$H$1001,$AP110),IF($AR110&lt;&gt;"",INDEX(Raw_D3!$H$2:$H$1001,$AR110),"")))</f>
        <v>3</v>
      </c>
      <c r="I110" s="5">
        <f>IF($A110="","",IF($AP110&lt;&gt;"",INDEX(Raw_D1!$I$2:$I$1001,$AP110),IF($AR110&lt;&gt;"",INDEX(Raw_D3!$I$2:$I$1001,$AR110),"")))</f>
        <v>1</v>
      </c>
      <c r="J110" s="16">
        <f>IF($A110="","",IF($AP110&lt;&gt;"",INDEX(Raw_D1!$J$2:$J$1001,$AP110),IF($AR110&lt;&gt;"",INDEX(Raw_D3!$J$2:$J$1001,$AR110),"")))</f>
        <v>0.24</v>
      </c>
      <c r="K110" s="17">
        <f>IF($A110="","",IF($AQ110&lt;&gt;"",IF(INDEX(Raw_D2!$C$2:$C$1001,$AQ110)="","",INDEX(Raw_D2!$C$2:$C$1001,$AQ110)),IF($AR110&lt;&gt;"",IF(INDEX(Raw_D3!$K$2:$K$1001,$AR110)="","",INDEX(Raw_D3!$K$2:$K$1001,$AR110)),"")))</f>
        <v>0.2273</v>
      </c>
      <c r="L110" s="16">
        <f>IF($A110="","",IF($AQ110&lt;&gt;"",IF(INDEX(Raw_D2!$D$2:$D$1001,$AQ110)="","",INDEX(Raw_D2!$D$2:$D$1001,$AQ110)),IF($AR110&lt;&gt;"",IF(INDEX(Raw_D3!$L$2:$L$1001,$AR110)="","",INDEX(Raw_D3!$L$2:$L$1001,$AR110)),"")))</f>
        <v>0.38</v>
      </c>
      <c r="M110" s="17">
        <f>IF($A110="","",IF($AQ110&lt;&gt;"",IF(INDEX(Raw_D2!$E$2:$E$1001,$AQ110)="","",INDEX(Raw_D2!$E$2:$E$1001,$AQ110)),IF($AR110&lt;&gt;"",IF(INDEX(Raw_D3!$M$2:$M$1001,$AR110)="","",INDEX(Raw_D3!$M$2:$M$1001,$AR110)),"")))</f>
        <v>0.194</v>
      </c>
      <c r="N110" s="5">
        <f>IF($A110="","",IF($AQ110&lt;&gt;"",IF(INDEX(Raw_D2!$F$2:$F$1001,$AQ110)="","",INDEX(Raw_D2!$F$2:$F$1001,$AQ110)),IF($AR110&lt;&gt;"",IF(INDEX(Raw_D3!$N$2:$N$1001,$AR110)="","",INDEX(Raw_D3!$N$2:$N$1001,$AR110)),"")))</f>
        <v>4</v>
      </c>
      <c r="O110" s="5">
        <f>IF($A110="","",IF($AQ110&lt;&gt;"",IF(INDEX(Raw_D2!$G$2:$G$1001,$AQ110)="","",INDEX(Raw_D2!$G$2:$G$1001,$AQ110)),IF($AR110&lt;&gt;"",IF(INDEX(Raw_D3!$O$2:$O$1001,$AR110)="","",INDEX(Raw_D3!$O$2:$O$1001,$AR110)),"")))</f>
        <v>186</v>
      </c>
      <c r="P110" s="5">
        <f>IF($A110="","",IF($AQ110&lt;&gt;"",IF(INDEX(Raw_D2!$H$2:$H$1001,$AQ110)="","",INDEX(Raw_D2!$H$2:$H$1001,$AQ110)),IF($AR110&lt;&gt;"",IF(INDEX(Raw_D3!$P$2:$P$1001,$AR110)="","",INDEX(Raw_D3!$P$2:$P$1001,$AR110)),"")))</f>
        <v>190</v>
      </c>
      <c r="Q110" s="5" t="str">
        <f>IF($A110="","",IF(AND($AP110&lt;&gt;"",$AQ110&lt;&gt;""),"D1+D2",IF($AR110&lt;&gt;"","D3","Incomplete")))</f>
        <v>D1+D2</v>
      </c>
      <c r="R110" s="17">
        <f>IF($A110="","",IF($K110="",IF($J110="","",ROUND(Lookups!$K$5+Lookups!$K$4*$J110,4)),$K110))</f>
        <v>0.2273</v>
      </c>
      <c r="S110" s="5" t="str">
        <f>IF($A110="","",IF($K110="","Imputed","Original"))</f>
        <v>Original</v>
      </c>
      <c r="T110" s="5" t="str">
        <f>IF($A110="","",IF($P110="","Missing",IF($P110=$N110+$O110,"OK","Mismatch")))</f>
        <v>OK</v>
      </c>
      <c r="U110" s="5" t="str">
        <f>IF($A110="","",IF(COUNTIF($A$2:$A110,$A110)&gt;1,"Duplicate","Unique"))</f>
        <v>Unique</v>
      </c>
      <c r="V110" s="5">
        <f>IF($A110="","",IF(AND($U110="Unique",ISNUMBER($P110)),1,0))</f>
        <v>1</v>
      </c>
      <c r="W110" s="5" t="str">
        <f>IF($A110="","",IF(OR($H110=0,$H110=6),"Weekend","Weekday"))</f>
        <v>Weekday</v>
      </c>
      <c r="X110" s="5" t="str">
        <f>IF($A110="","",TEXT($B110,"ddd"))</f>
        <v>Wed</v>
      </c>
      <c r="Y110" s="5" t="str">
        <f>IF($A110="","",TEXT($B110,"mmm"))</f>
        <v>Jan</v>
      </c>
      <c r="Z110" s="5" t="str">
        <f>IF($A110="","",IFERROR(VLOOKUP($C110,Lookups!$D$4:$E$7,2,FALSE),"Unknown"))</f>
        <v>Winter</v>
      </c>
      <c r="AA110" s="5" t="str">
        <f>IF($A110="","",IFERROR(VLOOKUP($I110,Lookups!$A$4:$B$7,2,FALSE),"Unknown"))</f>
        <v>Clear</v>
      </c>
      <c r="AB110" s="5" t="str">
        <f>IF($A110="","",TEXT($F110,"00")&amp;":00")</f>
        <v>17:00</v>
      </c>
      <c r="AC110" s="5" t="str">
        <f>IF($A110="","",VLOOKUP($F110,Lookups!$G$4:$H$8,2,TRUE))</f>
        <v>Evening Peak (16-19)</v>
      </c>
      <c r="AD110" s="18">
        <f>IF($A110="","",IF($J110="","",ROUND($J110*41,1)))</f>
        <v>9.8</v>
      </c>
      <c r="AE110" s="18">
        <f>IF($A110="","",IF($R110="","",ROUND($R110*50,1)))</f>
        <v>11.4</v>
      </c>
      <c r="AF110" s="5">
        <f>IF($A110="","",IF($L110="","",ROUND($L110*100,0)))</f>
        <v>38</v>
      </c>
      <c r="AG110" s="18">
        <f>IF($A110="","",IF($M110="","",ROUND($M110*67,1)))</f>
        <v>13</v>
      </c>
      <c r="AH110" s="19">
        <f>IF($A110="","",IF($P110="","",IF($P110=0,0,$O110/$P110)))</f>
        <v>0.978947368421053</v>
      </c>
      <c r="AI110" s="5" t="str">
        <f>IF($A110="","",IF($P110="","",IF($P110&gt;=Lookups!$K$7,"High",IF($P110&lt;=Lookups!$K$8,"Low","Medium"))))</f>
        <v>High</v>
      </c>
      <c r="AJ110" s="5" t="str">
        <f>IF($A110="","",IF($AD110="","",IF($AD110&lt;5,"Under 5 C",IF($AD110&lt;10,"5-10 C",IF($AD110&lt;15,"10-15 C","15 C and above")))))</f>
        <v>5-10 C</v>
      </c>
      <c r="AK110" s="5">
        <f>IF($A110="","",IF($P110="","",$P110^2))</f>
        <v>36100</v>
      </c>
      <c r="AL110" s="18">
        <f>IF($V110&lt;&gt;1,"",AVERAGEIFS(Clean_Data!$P$2:$P$1001,Clean_Data!$F$2:$F$1001,$F110,Clean_Data!$W$2:$W$1001,$W110,Clean_Data!$V$2:$V$1001,1))</f>
        <v>165.566666666667</v>
      </c>
      <c r="AM110" s="16">
        <f>IF($V110&lt;&gt;1,"",IFERROR(($P110-$AL110)/SQRT(MAX(0,(SUMIFS(Clean_Data!$AK$2:$AK$1001,Clean_Data!$F$2:$F$1001,$F110,Clean_Data!$W$2:$W$1001,$W110,Clean_Data!$V$2:$V$1001,1)-COUNTIFS(Clean_Data!$F$2:$F$1001,$F110,Clean_Data!$W$2:$W$1001,$W110,Clean_Data!$V$2:$V$1001,1)*$AL110^2)/(COUNTIFS(Clean_Data!$F$2:$F$1001,$F110,Clean_Data!$W$2:$W$1001,$W110,Clean_Data!$V$2:$V$1001,1)-1))),""))</f>
        <v>0.555138094099137</v>
      </c>
      <c r="AN110" s="5" t="str">
        <f>IF($AM110="","",IF($AM110&gt;=Lookups!$K$6,"High spike",IF($AM110&lt;=-Lookups!$K$6,"Unusual low","Normal")))</f>
        <v>Normal</v>
      </c>
      <c r="AO110" s="20">
        <f>IF($V110&lt;&gt;1,"",$P110+ROW()/100000)</f>
        <v>190.0011</v>
      </c>
      <c r="AP110" s="5">
        <f>IF($A110="","",IFERROR(MATCH($A110,Raw_D1!$A$2:$A$1001,0),""))</f>
        <v>109</v>
      </c>
      <c r="AQ110" s="5">
        <f>IF($A110="","",IFERROR(MATCH($A110,Raw_D2!$B$2:$B$1001,0),""))</f>
        <v>109</v>
      </c>
      <c r="AR110" s="5">
        <f>IF($A110="","",IFERROR(MATCH($A110,Raw_D3!$A$2:$A$1001,0),""))</f>
        <v/>
      </c>
    </row>
    <row r="111" spans="1:44" x14ac:dyDescent="0.25">
      <c r="A111" s="5">
        <v>110</v>
      </c>
      <c r="B111" s="11">
        <f>IF($A111="","",IF($AP111&lt;&gt;"",INDEX(Raw_D1!$B$2:$B$1001,$AP111),IF($AR111&lt;&gt;"",INDEX(Raw_D3!$B$2:$B$1001,$AR111),"")))</f>
        <v>40548.0</v>
      </c>
      <c r="C111" s="5">
        <f>IF($A111="","",IF($AP111&lt;&gt;"",INDEX(Raw_D1!$C$2:$C$1001,$AP111),IF($AR111&lt;&gt;"",INDEX(Raw_D3!$C$2:$C$1001,$AR111),"")))</f>
        <v>1</v>
      </c>
      <c r="D111" s="5">
        <f>IF($A111="","",IF($AP111&lt;&gt;"",INDEX(Raw_D1!$D$2:$D$1001,$AP111),IF($AR111&lt;&gt;"",INDEX(Raw_D3!$D$2:$D$1001,$AR111),"")))</f>
        <v>0</v>
      </c>
      <c r="E111" s="5">
        <f>IF($A111="","",IF($AP111&lt;&gt;"",INDEX(Raw_D1!$E$2:$E$1001,$AP111),IF($AR111&lt;&gt;"",INDEX(Raw_D3!$E$2:$E$1001,$AR111),"")))</f>
        <v>1</v>
      </c>
      <c r="F111" s="5">
        <f>IF($A111="","",IF($AP111&lt;&gt;"",INDEX(Raw_D1!$F$2:$F$1001,$AP111),IF($AR111&lt;&gt;"",INDEX(Raw_D3!$F$2:$F$1001,$AR111),"")))</f>
        <v>18</v>
      </c>
      <c r="G111" s="5">
        <f>IF($A111="","",IF($AP111&lt;&gt;"",IF(INDEX(Raw_D1!$G$2:$G$1001,$AP111),1,0),IF($AR111&lt;&gt;"",IF(INDEX(Raw_D3!$G$2:$G$1001,$AR111),1,0),"")))</f>
        <v>0</v>
      </c>
      <c r="H111" s="5">
        <f>IF($A111="","",IF($AP111&lt;&gt;"",INDEX(Raw_D1!$H$2:$H$1001,$AP111),IF($AR111&lt;&gt;"",INDEX(Raw_D3!$H$2:$H$1001,$AR111),"")))</f>
        <v>3</v>
      </c>
      <c r="I111" s="5">
        <f>IF($A111="","",IF($AP111&lt;&gt;"",INDEX(Raw_D1!$I$2:$I$1001,$AP111),IF($AR111&lt;&gt;"",INDEX(Raw_D3!$I$2:$I$1001,$AR111),"")))</f>
        <v>1</v>
      </c>
      <c r="J111" s="16">
        <f>IF($A111="","",IF($AP111&lt;&gt;"",INDEX(Raw_D1!$J$2:$J$1001,$AP111),IF($AR111&lt;&gt;"",INDEX(Raw_D3!$J$2:$J$1001,$AR111),"")))</f>
        <v>0.24</v>
      </c>
      <c r="K111" s="17">
        <f>IF($A111="","",IF($AQ111&lt;&gt;"",IF(INDEX(Raw_D2!$C$2:$C$1001,$AQ111)="","",INDEX(Raw_D2!$C$2:$C$1001,$AQ111)),IF($AR111&lt;&gt;"",IF(INDEX(Raw_D3!$K$2:$K$1001,$AR111)="","",INDEX(Raw_D3!$K$2:$K$1001,$AR111)),"")))</f>
        <v>0.2424</v>
      </c>
      <c r="L111" s="16">
        <f>IF($A111="","",IF($AQ111&lt;&gt;"",IF(INDEX(Raw_D2!$D$2:$D$1001,$AQ111)="","",INDEX(Raw_D2!$D$2:$D$1001,$AQ111)),IF($AR111&lt;&gt;"",IF(INDEX(Raw_D3!$L$2:$L$1001,$AR111)="","",INDEX(Raw_D3!$L$2:$L$1001,$AR111)),"")))</f>
        <v>0.38</v>
      </c>
      <c r="M111" s="17">
        <f>IF($A111="","",IF($AQ111&lt;&gt;"",IF(INDEX(Raw_D2!$E$2:$E$1001,$AQ111)="","",INDEX(Raw_D2!$E$2:$E$1001,$AQ111)),IF($AR111&lt;&gt;"",IF(INDEX(Raw_D3!$M$2:$M$1001,$AR111)="","",INDEX(Raw_D3!$M$2:$M$1001,$AR111)),"")))</f>
        <v>0.1343</v>
      </c>
      <c r="N111" s="5">
        <f>IF($A111="","",IF($AQ111&lt;&gt;"",IF(INDEX(Raw_D2!$F$2:$F$1001,$AQ111)="","",INDEX(Raw_D2!$F$2:$F$1001,$AQ111)),IF($AR111&lt;&gt;"",IF(INDEX(Raw_D3!$N$2:$N$1001,$AR111)="","",INDEX(Raw_D3!$N$2:$N$1001,$AR111)),"")))</f>
        <v>3</v>
      </c>
      <c r="O111" s="5">
        <f>IF($A111="","",IF($AQ111&lt;&gt;"",IF(INDEX(Raw_D2!$G$2:$G$1001,$AQ111)="","",INDEX(Raw_D2!$G$2:$G$1001,$AQ111)),IF($AR111&lt;&gt;"",IF(INDEX(Raw_D3!$O$2:$O$1001,$AR111)="","",INDEX(Raw_D3!$O$2:$O$1001,$AR111)),"")))</f>
        <v>166</v>
      </c>
      <c r="P111" s="5">
        <f>IF($A111="","",IF($AQ111&lt;&gt;"",IF(INDEX(Raw_D2!$H$2:$H$1001,$AQ111)="","",INDEX(Raw_D2!$H$2:$H$1001,$AQ111)),IF($AR111&lt;&gt;"",IF(INDEX(Raw_D3!$P$2:$P$1001,$AR111)="","",INDEX(Raw_D3!$P$2:$P$1001,$AR111)),"")))</f>
        <v>169</v>
      </c>
      <c r="Q111" s="5" t="str">
        <f>IF($A111="","",IF(AND($AP111&lt;&gt;"",$AQ111&lt;&gt;""),"D1+D2",IF($AR111&lt;&gt;"","D3","Incomplete")))</f>
        <v>D1+D2</v>
      </c>
      <c r="R111" s="17">
        <f>IF($A111="","",IF($K111="",IF($J111="","",ROUND(Lookups!$K$5+Lookups!$K$4*$J111,4)),$K111))</f>
        <v>0.2424</v>
      </c>
      <c r="S111" s="5" t="str">
        <f>IF($A111="","",IF($K111="","Imputed","Original"))</f>
        <v>Original</v>
      </c>
      <c r="T111" s="5" t="str">
        <f>IF($A111="","",IF($P111="","Missing",IF($P111=$N111+$O111,"OK","Mismatch")))</f>
        <v>OK</v>
      </c>
      <c r="U111" s="5" t="str">
        <f>IF($A111="","",IF(COUNTIF($A$2:$A111,$A111)&gt;1,"Duplicate","Unique"))</f>
        <v>Unique</v>
      </c>
      <c r="V111" s="5">
        <f>IF($A111="","",IF(AND($U111="Unique",ISNUMBER($P111)),1,0))</f>
        <v>1</v>
      </c>
      <c r="W111" s="5" t="str">
        <f>IF($A111="","",IF(OR($H111=0,$H111=6),"Weekend","Weekday"))</f>
        <v>Weekday</v>
      </c>
      <c r="X111" s="5" t="str">
        <f>IF($A111="","",TEXT($B111,"ddd"))</f>
        <v>Wed</v>
      </c>
      <c r="Y111" s="5" t="str">
        <f>IF($A111="","",TEXT($B111,"mmm"))</f>
        <v>Jan</v>
      </c>
      <c r="Z111" s="5" t="str">
        <f>IF($A111="","",IFERROR(VLOOKUP($C111,Lookups!$D$4:$E$7,2,FALSE),"Unknown"))</f>
        <v>Winter</v>
      </c>
      <c r="AA111" s="5" t="str">
        <f>IF($A111="","",IFERROR(VLOOKUP($I111,Lookups!$A$4:$B$7,2,FALSE),"Unknown"))</f>
        <v>Clear</v>
      </c>
      <c r="AB111" s="5" t="str">
        <f>IF($A111="","",TEXT($F111,"00")&amp;":00")</f>
        <v>18:00</v>
      </c>
      <c r="AC111" s="5" t="str">
        <f>IF($A111="","",VLOOKUP($F111,Lookups!$G$4:$H$8,2,TRUE))</f>
        <v>Evening Peak (16-19)</v>
      </c>
      <c r="AD111" s="18">
        <f>IF($A111="","",IF($J111="","",ROUND($J111*41,1)))</f>
        <v>9.8</v>
      </c>
      <c r="AE111" s="18">
        <f>IF($A111="","",IF($R111="","",ROUND($R111*50,1)))</f>
        <v>12.1</v>
      </c>
      <c r="AF111" s="5">
        <f>IF($A111="","",IF($L111="","",ROUND($L111*100,0)))</f>
        <v>38</v>
      </c>
      <c r="AG111" s="18">
        <f>IF($A111="","",IF($M111="","",ROUND($M111*67,1)))</f>
        <v>9</v>
      </c>
      <c r="AH111" s="19">
        <f>IF($A111="","",IF($P111="","",IF($P111=0,0,$O111/$P111)))</f>
        <v>0.982248520710059</v>
      </c>
      <c r="AI111" s="5" t="str">
        <f>IF($A111="","",IF($P111="","",IF($P111&gt;=Lookups!$K$7,"High",IF($P111&lt;=Lookups!$K$8,"Low","Medium"))))</f>
        <v>High</v>
      </c>
      <c r="AJ111" s="5" t="str">
        <f>IF($A111="","",IF($AD111="","",IF($AD111&lt;5,"Under 5 C",IF($AD111&lt;10,"5-10 C",IF($AD111&lt;15,"10-15 C","15 C and above")))))</f>
        <v>5-10 C</v>
      </c>
      <c r="AK111" s="5">
        <f>IF($A111="","",IF($P111="","",$P111^2))</f>
        <v>28561</v>
      </c>
      <c r="AL111" s="18">
        <f>IF($V111&lt;&gt;1,"",AVERAGEIFS(Clean_Data!$P$2:$P$1001,Clean_Data!$F$2:$F$1001,$F111,Clean_Data!$W$2:$W$1001,$W111,Clean_Data!$V$2:$V$1001,1))</f>
        <v>151.206896551724</v>
      </c>
      <c r="AM111" s="16">
        <f>IF($V111&lt;&gt;1,"",IFERROR(($P111-$AL111)/SQRT(MAX(0,(SUMIFS(Clean_Data!$AK$2:$AK$1001,Clean_Data!$F$2:$F$1001,$F111,Clean_Data!$W$2:$W$1001,$W111,Clean_Data!$V$2:$V$1001,1)-COUNTIFS(Clean_Data!$F$2:$F$1001,$F111,Clean_Data!$W$2:$W$1001,$W111,Clean_Data!$V$2:$V$1001,1)*$AL111^2)/(COUNTIFS(Clean_Data!$F$2:$F$1001,$F111,Clean_Data!$W$2:$W$1001,$W111,Clean_Data!$V$2:$V$1001,1)-1))),""))</f>
        <v>0.606252083052364</v>
      </c>
      <c r="AN111" s="5" t="str">
        <f>IF($AM111="","",IF($AM111&gt;=Lookups!$K$6,"High spike",IF($AM111&lt;=-Lookups!$K$6,"Unusual low","Normal")))</f>
        <v>Normal</v>
      </c>
      <c r="AO111" s="20">
        <f>IF($V111&lt;&gt;1,"",$P111+ROW()/100000)</f>
        <v>169.00111</v>
      </c>
      <c r="AP111" s="5">
        <f>IF($A111="","",IFERROR(MATCH($A111,Raw_D1!$A$2:$A$1001,0),""))</f>
        <v>110</v>
      </c>
      <c r="AQ111" s="5">
        <f>IF($A111="","",IFERROR(MATCH($A111,Raw_D2!$B$2:$B$1001,0),""))</f>
        <v>110</v>
      </c>
      <c r="AR111" s="5">
        <f>IF($A111="","",IFERROR(MATCH($A111,Raw_D3!$A$2:$A$1001,0),""))</f>
        <v/>
      </c>
    </row>
    <row r="112" spans="1:44" x14ac:dyDescent="0.25">
      <c r="A112" s="5">
        <v>111</v>
      </c>
      <c r="B112" s="11">
        <f>IF($A112="","",IF($AP112&lt;&gt;"",INDEX(Raw_D1!$B$2:$B$1001,$AP112),IF($AR112&lt;&gt;"",INDEX(Raw_D3!$B$2:$B$1001,$AR112),"")))</f>
        <v>40548.0</v>
      </c>
      <c r="C112" s="5">
        <f>IF($A112="","",IF($AP112&lt;&gt;"",INDEX(Raw_D1!$C$2:$C$1001,$AP112),IF($AR112&lt;&gt;"",INDEX(Raw_D3!$C$2:$C$1001,$AR112),"")))</f>
        <v>1</v>
      </c>
      <c r="D112" s="5">
        <f>IF($A112="","",IF($AP112&lt;&gt;"",INDEX(Raw_D1!$D$2:$D$1001,$AP112),IF($AR112&lt;&gt;"",INDEX(Raw_D3!$D$2:$D$1001,$AR112),"")))</f>
        <v>0</v>
      </c>
      <c r="E112" s="5">
        <f>IF($A112="","",IF($AP112&lt;&gt;"",INDEX(Raw_D1!$E$2:$E$1001,$AP112),IF($AR112&lt;&gt;"",INDEX(Raw_D3!$E$2:$E$1001,$AR112),"")))</f>
        <v>1</v>
      </c>
      <c r="F112" s="5">
        <f>IF($A112="","",IF($AP112&lt;&gt;"",INDEX(Raw_D1!$F$2:$F$1001,$AP112),IF($AR112&lt;&gt;"",INDEX(Raw_D3!$F$2:$F$1001,$AR112),"")))</f>
        <v>19</v>
      </c>
      <c r="G112" s="5">
        <f>IF($A112="","",IF($AP112&lt;&gt;"",IF(INDEX(Raw_D1!$G$2:$G$1001,$AP112),1,0),IF($AR112&lt;&gt;"",IF(INDEX(Raw_D3!$G$2:$G$1001,$AR112),1,0),"")))</f>
        <v>0</v>
      </c>
      <c r="H112" s="5">
        <f>IF($A112="","",IF($AP112&lt;&gt;"",INDEX(Raw_D1!$H$2:$H$1001,$AP112),IF($AR112&lt;&gt;"",INDEX(Raw_D3!$H$2:$H$1001,$AR112),"")))</f>
        <v>3</v>
      </c>
      <c r="I112" s="5">
        <f>IF($A112="","",IF($AP112&lt;&gt;"",INDEX(Raw_D1!$I$2:$I$1001,$AP112),IF($AR112&lt;&gt;"",INDEX(Raw_D3!$I$2:$I$1001,$AR112),"")))</f>
        <v>1</v>
      </c>
      <c r="J112" s="16">
        <f>IF($A112="","",IF($AP112&lt;&gt;"",INDEX(Raw_D1!$J$2:$J$1001,$AP112),IF($AR112&lt;&gt;"",INDEX(Raw_D3!$J$2:$J$1001,$AR112),"")))</f>
        <v>0.24</v>
      </c>
      <c r="K112" s="17">
        <f>IF($A112="","",IF($AQ112&lt;&gt;"",IF(INDEX(Raw_D2!$C$2:$C$1001,$AQ112)="","",INDEX(Raw_D2!$C$2:$C$1001,$AQ112)),IF($AR112&lt;&gt;"",IF(INDEX(Raw_D3!$K$2:$K$1001,$AR112)="","",INDEX(Raw_D3!$K$2:$K$1001,$AR112)),"")))</f>
        <v>0.2576</v>
      </c>
      <c r="L112" s="16">
        <f>IF($A112="","",IF($AQ112&lt;&gt;"",IF(INDEX(Raw_D2!$D$2:$D$1001,$AQ112)="","",INDEX(Raw_D2!$D$2:$D$1001,$AQ112)),IF($AR112&lt;&gt;"",IF(INDEX(Raw_D3!$L$2:$L$1001,$AR112)="","",INDEX(Raw_D3!$L$2:$L$1001,$AR112)),"")))</f>
        <v>0.38</v>
      </c>
      <c r="M112" s="17">
        <f>IF($A112="","",IF($AQ112&lt;&gt;"",IF(INDEX(Raw_D2!$E$2:$E$1001,$AQ112)="","",INDEX(Raw_D2!$E$2:$E$1001,$AQ112)),IF($AR112&lt;&gt;"",IF(INDEX(Raw_D3!$M$2:$M$1001,$AR112)="","",INDEX(Raw_D3!$M$2:$M$1001,$AR112)),"")))</f>
        <v>0.1045</v>
      </c>
      <c r="N112" s="5">
        <f>IF($A112="","",IF($AQ112&lt;&gt;"",IF(INDEX(Raw_D2!$F$2:$F$1001,$AQ112)="","",INDEX(Raw_D2!$F$2:$F$1001,$AQ112)),IF($AR112&lt;&gt;"",IF(INDEX(Raw_D3!$N$2:$N$1001,$AR112)="","",INDEX(Raw_D3!$N$2:$N$1001,$AR112)),"")))</f>
        <v>5</v>
      </c>
      <c r="O112" s="5">
        <f>IF($A112="","",IF($AQ112&lt;&gt;"",IF(INDEX(Raw_D2!$G$2:$G$1001,$AQ112)="","",INDEX(Raw_D2!$G$2:$G$1001,$AQ112)),IF($AR112&lt;&gt;"",IF(INDEX(Raw_D3!$O$2:$O$1001,$AR112)="","",INDEX(Raw_D3!$O$2:$O$1001,$AR112)),"")))</f>
        <v>127</v>
      </c>
      <c r="P112" s="5">
        <f>IF($A112="","",IF($AQ112&lt;&gt;"",IF(INDEX(Raw_D2!$H$2:$H$1001,$AQ112)="","",INDEX(Raw_D2!$H$2:$H$1001,$AQ112)),IF($AR112&lt;&gt;"",IF(INDEX(Raw_D3!$P$2:$P$1001,$AR112)="","",INDEX(Raw_D3!$P$2:$P$1001,$AR112)),"")))</f>
        <v>132</v>
      </c>
      <c r="Q112" s="5" t="str">
        <f>IF($A112="","",IF(AND($AP112&lt;&gt;"",$AQ112&lt;&gt;""),"D1+D2",IF($AR112&lt;&gt;"","D3","Incomplete")))</f>
        <v>D1+D2</v>
      </c>
      <c r="R112" s="17">
        <f>IF($A112="","",IF($K112="",IF($J112="","",ROUND(Lookups!$K$5+Lookups!$K$4*$J112,4)),$K112))</f>
        <v>0.2576</v>
      </c>
      <c r="S112" s="5" t="str">
        <f>IF($A112="","",IF($K112="","Imputed","Original"))</f>
        <v>Original</v>
      </c>
      <c r="T112" s="5" t="str">
        <f>IF($A112="","",IF($P112="","Missing",IF($P112=$N112+$O112,"OK","Mismatch")))</f>
        <v>OK</v>
      </c>
      <c r="U112" s="5" t="str">
        <f>IF($A112="","",IF(COUNTIF($A$2:$A112,$A112)&gt;1,"Duplicate","Unique"))</f>
        <v>Unique</v>
      </c>
      <c r="V112" s="5">
        <f>IF($A112="","",IF(AND($U112="Unique",ISNUMBER($P112)),1,0))</f>
        <v>1</v>
      </c>
      <c r="W112" s="5" t="str">
        <f>IF($A112="","",IF(OR($H112=0,$H112=6),"Weekend","Weekday"))</f>
        <v>Weekday</v>
      </c>
      <c r="X112" s="5" t="str">
        <f>IF($A112="","",TEXT($B112,"ddd"))</f>
        <v>Wed</v>
      </c>
      <c r="Y112" s="5" t="str">
        <f>IF($A112="","",TEXT($B112,"mmm"))</f>
        <v>Jan</v>
      </c>
      <c r="Z112" s="5" t="str">
        <f>IF($A112="","",IFERROR(VLOOKUP($C112,Lookups!$D$4:$E$7,2,FALSE),"Unknown"))</f>
        <v>Winter</v>
      </c>
      <c r="AA112" s="5" t="str">
        <f>IF($A112="","",IFERROR(VLOOKUP($I112,Lookups!$A$4:$B$7,2,FALSE),"Unknown"))</f>
        <v>Clear</v>
      </c>
      <c r="AB112" s="5" t="str">
        <f>IF($A112="","",TEXT($F112,"00")&amp;":00")</f>
        <v>19:00</v>
      </c>
      <c r="AC112" s="5" t="str">
        <f>IF($A112="","",VLOOKUP($F112,Lookups!$G$4:$H$8,2,TRUE))</f>
        <v>Evening Peak (16-19)</v>
      </c>
      <c r="AD112" s="18">
        <f>IF($A112="","",IF($J112="","",ROUND($J112*41,1)))</f>
        <v>9.8</v>
      </c>
      <c r="AE112" s="18">
        <f>IF($A112="","",IF($R112="","",ROUND($R112*50,1)))</f>
        <v>12.9</v>
      </c>
      <c r="AF112" s="5">
        <f>IF($A112="","",IF($L112="","",ROUND($L112*100,0)))</f>
        <v>38</v>
      </c>
      <c r="AG112" s="18">
        <f>IF($A112="","",IF($M112="","",ROUND($M112*67,1)))</f>
        <v>7</v>
      </c>
      <c r="AH112" s="19">
        <f>IF($A112="","",IF($P112="","",IF($P112=0,0,$O112/$P112)))</f>
        <v>0.962121212121212</v>
      </c>
      <c r="AI112" s="5" t="str">
        <f>IF($A112="","",IF($P112="","",IF($P112&gt;=Lookups!$K$7,"High",IF($P112&lt;=Lookups!$K$8,"Low","Medium"))))</f>
        <v>High</v>
      </c>
      <c r="AJ112" s="5" t="str">
        <f>IF($A112="","",IF($AD112="","",IF($AD112&lt;5,"Under 5 C",IF($AD112&lt;10,"5-10 C",IF($AD112&lt;15,"10-15 C","15 C and above")))))</f>
        <v>5-10 C</v>
      </c>
      <c r="AK112" s="5">
        <f>IF($A112="","",IF($P112="","",$P112^2))</f>
        <v>17424</v>
      </c>
      <c r="AL112" s="18">
        <f>IF($V112&lt;&gt;1,"",AVERAGEIFS(Clean_Data!$P$2:$P$1001,Clean_Data!$F$2:$F$1001,$F112,Clean_Data!$W$2:$W$1001,$W112,Clean_Data!$V$2:$V$1001,1))</f>
        <v>102.034482758621</v>
      </c>
      <c r="AM112" s="16">
        <f>IF($V112&lt;&gt;1,"",IFERROR(($P112-$AL112)/SQRT(MAX(0,(SUMIFS(Clean_Data!$AK$2:$AK$1001,Clean_Data!$F$2:$F$1001,$F112,Clean_Data!$W$2:$W$1001,$W112,Clean_Data!$V$2:$V$1001,1)-COUNTIFS(Clean_Data!$F$2:$F$1001,$F112,Clean_Data!$W$2:$W$1001,$W112,Clean_Data!$V$2:$V$1001,1)*$AL112^2)/(COUNTIFS(Clean_Data!$F$2:$F$1001,$F112,Clean_Data!$W$2:$W$1001,$W112,Clean_Data!$V$2:$V$1001,1)-1))),""))</f>
        <v>1.41029728846084</v>
      </c>
      <c r="AN112" s="5" t="str">
        <f>IF($AM112="","",IF($AM112&gt;=Lookups!$K$6,"High spike",IF($AM112&lt;=-Lookups!$K$6,"Unusual low","Normal")))</f>
        <v>Normal</v>
      </c>
      <c r="AO112" s="20">
        <f>IF($V112&lt;&gt;1,"",$P112+ROW()/100000)</f>
        <v>132.00112</v>
      </c>
      <c r="AP112" s="5">
        <f>IF($A112="","",IFERROR(MATCH($A112,Raw_D1!$A$2:$A$1001,0),""))</f>
        <v>111</v>
      </c>
      <c r="AQ112" s="5">
        <f>IF($A112="","",IFERROR(MATCH($A112,Raw_D2!$B$2:$B$1001,0),""))</f>
        <v>111</v>
      </c>
      <c r="AR112" s="5">
        <f>IF($A112="","",IFERROR(MATCH($A112,Raw_D3!$A$2:$A$1001,0),""))</f>
        <v/>
      </c>
    </row>
    <row r="113" spans="1:44" x14ac:dyDescent="0.25">
      <c r="A113" s="5">
        <v>112</v>
      </c>
      <c r="B113" s="11">
        <f>IF($A113="","",IF($AP113&lt;&gt;"",INDEX(Raw_D1!$B$2:$B$1001,$AP113),IF($AR113&lt;&gt;"",INDEX(Raw_D3!$B$2:$B$1001,$AR113),"")))</f>
        <v>40548.0</v>
      </c>
      <c r="C113" s="5">
        <f>IF($A113="","",IF($AP113&lt;&gt;"",INDEX(Raw_D1!$C$2:$C$1001,$AP113),IF($AR113&lt;&gt;"",INDEX(Raw_D3!$C$2:$C$1001,$AR113),"")))</f>
        <v>1</v>
      </c>
      <c r="D113" s="5">
        <f>IF($A113="","",IF($AP113&lt;&gt;"",INDEX(Raw_D1!$D$2:$D$1001,$AP113),IF($AR113&lt;&gt;"",INDEX(Raw_D3!$D$2:$D$1001,$AR113),"")))</f>
        <v>0</v>
      </c>
      <c r="E113" s="5">
        <f>IF($A113="","",IF($AP113&lt;&gt;"",INDEX(Raw_D1!$E$2:$E$1001,$AP113),IF($AR113&lt;&gt;"",INDEX(Raw_D3!$E$2:$E$1001,$AR113),"")))</f>
        <v>1</v>
      </c>
      <c r="F113" s="5">
        <f>IF($A113="","",IF($AP113&lt;&gt;"",INDEX(Raw_D1!$F$2:$F$1001,$AP113),IF($AR113&lt;&gt;"",INDEX(Raw_D3!$F$2:$F$1001,$AR113),"")))</f>
        <v>20</v>
      </c>
      <c r="G113" s="5">
        <f>IF($A113="","",IF($AP113&lt;&gt;"",IF(INDEX(Raw_D1!$G$2:$G$1001,$AP113),1,0),IF($AR113&lt;&gt;"",IF(INDEX(Raw_D3!$G$2:$G$1001,$AR113),1,0),"")))</f>
        <v>0</v>
      </c>
      <c r="H113" s="5">
        <f>IF($A113="","",IF($AP113&lt;&gt;"",INDEX(Raw_D1!$H$2:$H$1001,$AP113),IF($AR113&lt;&gt;"",INDEX(Raw_D3!$H$2:$H$1001,$AR113),"")))</f>
        <v>3</v>
      </c>
      <c r="I113" s="5">
        <f>IF($A113="","",IF($AP113&lt;&gt;"",INDEX(Raw_D1!$I$2:$I$1001,$AP113),IF($AR113&lt;&gt;"",INDEX(Raw_D3!$I$2:$I$1001,$AR113),"")))</f>
        <v>1</v>
      </c>
      <c r="J113" s="16">
        <f>IF($A113="","",IF($AP113&lt;&gt;"",INDEX(Raw_D1!$J$2:$J$1001,$AP113),IF($AR113&lt;&gt;"",INDEX(Raw_D3!$J$2:$J$1001,$AR113),"")))</f>
        <v>0.22</v>
      </c>
      <c r="K113" s="17">
        <f>IF($A113="","",IF($AQ113&lt;&gt;"",IF(INDEX(Raw_D2!$C$2:$C$1001,$AQ113)="","",INDEX(Raw_D2!$C$2:$C$1001,$AQ113)),IF($AR113&lt;&gt;"",IF(INDEX(Raw_D3!$K$2:$K$1001,$AR113)="","",INDEX(Raw_D3!$K$2:$K$1001,$AR113)),"")))</f>
        <v>0.2273</v>
      </c>
      <c r="L113" s="16">
        <f>IF($A113="","",IF($AQ113&lt;&gt;"",IF(INDEX(Raw_D2!$D$2:$D$1001,$AQ113)="","",INDEX(Raw_D2!$D$2:$D$1001,$AQ113)),IF($AR113&lt;&gt;"",IF(INDEX(Raw_D3!$L$2:$L$1001,$AR113)="","",INDEX(Raw_D3!$L$2:$L$1001,$AR113)),"")))</f>
        <v>0.47</v>
      </c>
      <c r="M113" s="17">
        <f>IF($A113="","",IF($AQ113&lt;&gt;"",IF(INDEX(Raw_D2!$E$2:$E$1001,$AQ113)="","",INDEX(Raw_D2!$E$2:$E$1001,$AQ113)),IF($AR113&lt;&gt;"",IF(INDEX(Raw_D3!$M$2:$M$1001,$AR113)="","",INDEX(Raw_D3!$M$2:$M$1001,$AR113)),"")))</f>
        <v>0.1642</v>
      </c>
      <c r="N113" s="5">
        <f>IF($A113="","",IF($AQ113&lt;&gt;"",IF(INDEX(Raw_D2!$F$2:$F$1001,$AQ113)="","",INDEX(Raw_D2!$F$2:$F$1001,$AQ113)),IF($AR113&lt;&gt;"",IF(INDEX(Raw_D3!$N$2:$N$1001,$AR113)="","",INDEX(Raw_D3!$N$2:$N$1001,$AR113)),"")))</f>
        <v>7</v>
      </c>
      <c r="O113" s="5">
        <f>IF($A113="","",IF($AQ113&lt;&gt;"",IF(INDEX(Raw_D2!$G$2:$G$1001,$AQ113)="","",INDEX(Raw_D2!$G$2:$G$1001,$AQ113)),IF($AR113&lt;&gt;"",IF(INDEX(Raw_D3!$O$2:$O$1001,$AR113)="","",INDEX(Raw_D3!$O$2:$O$1001,$AR113)),"")))</f>
        <v>82</v>
      </c>
      <c r="P113" s="5">
        <f>IF($A113="","",IF($AQ113&lt;&gt;"",IF(INDEX(Raw_D2!$H$2:$H$1001,$AQ113)="","",INDEX(Raw_D2!$H$2:$H$1001,$AQ113)),IF($AR113&lt;&gt;"",IF(INDEX(Raw_D3!$P$2:$P$1001,$AR113)="","",INDEX(Raw_D3!$P$2:$P$1001,$AR113)),"")))</f>
        <v>89</v>
      </c>
      <c r="Q113" s="5" t="str">
        <f>IF($A113="","",IF(AND($AP113&lt;&gt;"",$AQ113&lt;&gt;""),"D1+D2",IF($AR113&lt;&gt;"","D3","Incomplete")))</f>
        <v>D1+D2</v>
      </c>
      <c r="R113" s="17">
        <f>IF($A113="","",IF($K113="",IF($J113="","",ROUND(Lookups!$K$5+Lookups!$K$4*$J113,4)),$K113))</f>
        <v>0.2273</v>
      </c>
      <c r="S113" s="5" t="str">
        <f>IF($A113="","",IF($K113="","Imputed","Original"))</f>
        <v>Original</v>
      </c>
      <c r="T113" s="5" t="str">
        <f>IF($A113="","",IF($P113="","Missing",IF($P113=$N113+$O113,"OK","Mismatch")))</f>
        <v>OK</v>
      </c>
      <c r="U113" s="5" t="str">
        <f>IF($A113="","",IF(COUNTIF($A$2:$A113,$A113)&gt;1,"Duplicate","Unique"))</f>
        <v>Unique</v>
      </c>
      <c r="V113" s="5">
        <f>IF($A113="","",IF(AND($U113="Unique",ISNUMBER($P113)),1,0))</f>
        <v>1</v>
      </c>
      <c r="W113" s="5" t="str">
        <f>IF($A113="","",IF(OR($H113=0,$H113=6),"Weekend","Weekday"))</f>
        <v>Weekday</v>
      </c>
      <c r="X113" s="5" t="str">
        <f>IF($A113="","",TEXT($B113,"ddd"))</f>
        <v>Wed</v>
      </c>
      <c r="Y113" s="5" t="str">
        <f>IF($A113="","",TEXT($B113,"mmm"))</f>
        <v>Jan</v>
      </c>
      <c r="Z113" s="5" t="str">
        <f>IF($A113="","",IFERROR(VLOOKUP($C113,Lookups!$D$4:$E$7,2,FALSE),"Unknown"))</f>
        <v>Winter</v>
      </c>
      <c r="AA113" s="5" t="str">
        <f>IF($A113="","",IFERROR(VLOOKUP($I113,Lookups!$A$4:$B$7,2,FALSE),"Unknown"))</f>
        <v>Clear</v>
      </c>
      <c r="AB113" s="5" t="str">
        <f>IF($A113="","",TEXT($F113,"00")&amp;":00")</f>
        <v>20:00</v>
      </c>
      <c r="AC113" s="5" t="str">
        <f>IF($A113="","",VLOOKUP($F113,Lookups!$G$4:$H$8,2,TRUE))</f>
        <v>Late Evening (20-23)</v>
      </c>
      <c r="AD113" s="18">
        <f>IF($A113="","",IF($J113="","",ROUND($J113*41,1)))</f>
        <v>9</v>
      </c>
      <c r="AE113" s="18">
        <f>IF($A113="","",IF($R113="","",ROUND($R113*50,1)))</f>
        <v>11.4</v>
      </c>
      <c r="AF113" s="5">
        <f>IF($A113="","",IF($L113="","",ROUND($L113*100,0)))</f>
        <v>47</v>
      </c>
      <c r="AG113" s="18">
        <f>IF($A113="","",IF($M113="","",ROUND($M113*67,1)))</f>
        <v>11</v>
      </c>
      <c r="AH113" s="19">
        <f>IF($A113="","",IF($P113="","",IF($P113=0,0,$O113/$P113)))</f>
        <v>0.921348314606742</v>
      </c>
      <c r="AI113" s="5" t="str">
        <f>IF($A113="","",IF($P113="","",IF($P113&gt;=Lookups!$K$7,"High",IF($P113&lt;=Lookups!$K$8,"Low","Medium"))))</f>
        <v>High</v>
      </c>
      <c r="AJ113" s="5" t="str">
        <f>IF($A113="","",IF($AD113="","",IF($AD113&lt;5,"Under 5 C",IF($AD113&lt;10,"5-10 C",IF($AD113&lt;15,"10-15 C","15 C and above")))))</f>
        <v>5-10 C</v>
      </c>
      <c r="AK113" s="5">
        <f>IF($A113="","",IF($P113="","",$P113^2))</f>
        <v>7921</v>
      </c>
      <c r="AL113" s="18">
        <f>IF($V113&lt;&gt;1,"",AVERAGEIFS(Clean_Data!$P$2:$P$1001,Clean_Data!$F$2:$F$1001,$F113,Clean_Data!$W$2:$W$1001,$W113,Clean_Data!$V$2:$V$1001,1))</f>
        <v>72.2758620689655</v>
      </c>
      <c r="AM113" s="16">
        <f>IF($V113&lt;&gt;1,"",IFERROR(($P113-$AL113)/SQRT(MAX(0,(SUMIFS(Clean_Data!$AK$2:$AK$1001,Clean_Data!$F$2:$F$1001,$F113,Clean_Data!$W$2:$W$1001,$W113,Clean_Data!$V$2:$V$1001,1)-COUNTIFS(Clean_Data!$F$2:$F$1001,$F113,Clean_Data!$W$2:$W$1001,$W113,Clean_Data!$V$2:$V$1001,1)*$AL113^2)/(COUNTIFS(Clean_Data!$F$2:$F$1001,$F113,Clean_Data!$W$2:$W$1001,$W113,Clean_Data!$V$2:$V$1001,1)-1))),""))</f>
        <v>0.756739659851336</v>
      </c>
      <c r="AN113" s="5" t="str">
        <f>IF($AM113="","",IF($AM113&gt;=Lookups!$K$6,"High spike",IF($AM113&lt;=-Lookups!$K$6,"Unusual low","Normal")))</f>
        <v>Normal</v>
      </c>
      <c r="AO113" s="20">
        <f>IF($V113&lt;&gt;1,"",$P113+ROW()/100000)</f>
        <v>89.00113</v>
      </c>
      <c r="AP113" s="5">
        <f>IF($A113="","",IFERROR(MATCH($A113,Raw_D1!$A$2:$A$1001,0),""))</f>
        <v>112</v>
      </c>
      <c r="AQ113" s="5">
        <f>IF($A113="","",IFERROR(MATCH($A113,Raw_D2!$B$2:$B$1001,0),""))</f>
        <v>112</v>
      </c>
      <c r="AR113" s="5">
        <f>IF($A113="","",IFERROR(MATCH($A113,Raw_D3!$A$2:$A$1001,0),""))</f>
        <v/>
      </c>
    </row>
    <row r="114" spans="1:44" x14ac:dyDescent="0.25">
      <c r="A114" s="5">
        <v>113</v>
      </c>
      <c r="B114" s="11">
        <f>IF($A114="","",IF($AP114&lt;&gt;"",INDEX(Raw_D1!$B$2:$B$1001,$AP114),IF($AR114&lt;&gt;"",INDEX(Raw_D3!$B$2:$B$1001,$AR114),"")))</f>
        <v>40548.0</v>
      </c>
      <c r="C114" s="5">
        <f>IF($A114="","",IF($AP114&lt;&gt;"",INDEX(Raw_D1!$C$2:$C$1001,$AP114),IF($AR114&lt;&gt;"",INDEX(Raw_D3!$C$2:$C$1001,$AR114),"")))</f>
        <v>1</v>
      </c>
      <c r="D114" s="5">
        <f>IF($A114="","",IF($AP114&lt;&gt;"",INDEX(Raw_D1!$D$2:$D$1001,$AP114),IF($AR114&lt;&gt;"",INDEX(Raw_D3!$D$2:$D$1001,$AR114),"")))</f>
        <v>0</v>
      </c>
      <c r="E114" s="5">
        <f>IF($A114="","",IF($AP114&lt;&gt;"",INDEX(Raw_D1!$E$2:$E$1001,$AP114),IF($AR114&lt;&gt;"",INDEX(Raw_D3!$E$2:$E$1001,$AR114),"")))</f>
        <v>1</v>
      </c>
      <c r="F114" s="5">
        <f>IF($A114="","",IF($AP114&lt;&gt;"",INDEX(Raw_D1!$F$2:$F$1001,$AP114),IF($AR114&lt;&gt;"",INDEX(Raw_D3!$F$2:$F$1001,$AR114),"")))</f>
        <v>21</v>
      </c>
      <c r="G114" s="5">
        <f>IF($A114="","",IF($AP114&lt;&gt;"",IF(INDEX(Raw_D1!$G$2:$G$1001,$AP114),1,0),IF($AR114&lt;&gt;"",IF(INDEX(Raw_D3!$G$2:$G$1001,$AR114),1,0),"")))</f>
        <v>0</v>
      </c>
      <c r="H114" s="5">
        <f>IF($A114="","",IF($AP114&lt;&gt;"",INDEX(Raw_D1!$H$2:$H$1001,$AP114),IF($AR114&lt;&gt;"",INDEX(Raw_D3!$H$2:$H$1001,$AR114),"")))</f>
        <v>3</v>
      </c>
      <c r="I114" s="5">
        <f>IF($A114="","",IF($AP114&lt;&gt;"",INDEX(Raw_D1!$I$2:$I$1001,$AP114),IF($AR114&lt;&gt;"",INDEX(Raw_D3!$I$2:$I$1001,$AR114),"")))</f>
        <v>1</v>
      </c>
      <c r="J114" s="16">
        <f>IF($A114="","",IF($AP114&lt;&gt;"",INDEX(Raw_D1!$J$2:$J$1001,$AP114),IF($AR114&lt;&gt;"",INDEX(Raw_D3!$J$2:$J$1001,$AR114),"")))</f>
        <v>0.2</v>
      </c>
      <c r="K114" s="17">
        <f>IF($A114="","",IF($AQ114&lt;&gt;"",IF(INDEX(Raw_D2!$C$2:$C$1001,$AQ114)="","",INDEX(Raw_D2!$C$2:$C$1001,$AQ114)),IF($AR114&lt;&gt;"",IF(INDEX(Raw_D3!$K$2:$K$1001,$AR114)="","",INDEX(Raw_D3!$K$2:$K$1001,$AR114)),"")))</f>
        <v>0.197</v>
      </c>
      <c r="L114" s="16">
        <f>IF($A114="","",IF($AQ114&lt;&gt;"",IF(INDEX(Raw_D2!$D$2:$D$1001,$AQ114)="","",INDEX(Raw_D2!$D$2:$D$1001,$AQ114)),IF($AR114&lt;&gt;"",IF(INDEX(Raw_D3!$L$2:$L$1001,$AR114)="","",INDEX(Raw_D3!$L$2:$L$1001,$AR114)),"")))</f>
        <v>0.51</v>
      </c>
      <c r="M114" s="17">
        <f>IF($A114="","",IF($AQ114&lt;&gt;"",IF(INDEX(Raw_D2!$E$2:$E$1001,$AQ114)="","",INDEX(Raw_D2!$E$2:$E$1001,$AQ114)),IF($AR114&lt;&gt;"",IF(INDEX(Raw_D3!$M$2:$M$1001,$AR114)="","",INDEX(Raw_D3!$M$2:$M$1001,$AR114)),"")))</f>
        <v>0.194</v>
      </c>
      <c r="N114" s="5">
        <f>IF($A114="","",IF($AQ114&lt;&gt;"",IF(INDEX(Raw_D2!$F$2:$F$1001,$AQ114)="","",INDEX(Raw_D2!$F$2:$F$1001,$AQ114)),IF($AR114&lt;&gt;"",IF(INDEX(Raw_D3!$N$2:$N$1001,$AR114)="","",INDEX(Raw_D3!$N$2:$N$1001,$AR114)),"")))</f>
        <v>3</v>
      </c>
      <c r="O114" s="5">
        <f>IF($A114="","",IF($AQ114&lt;&gt;"",IF(INDEX(Raw_D2!$G$2:$G$1001,$AQ114)="","",INDEX(Raw_D2!$G$2:$G$1001,$AQ114)),IF($AR114&lt;&gt;"",IF(INDEX(Raw_D3!$O$2:$O$1001,$AR114)="","",INDEX(Raw_D3!$O$2:$O$1001,$AR114)),"")))</f>
        <v>40</v>
      </c>
      <c r="P114" s="5">
        <f>IF($A114="","",IF($AQ114&lt;&gt;"",IF(INDEX(Raw_D2!$H$2:$H$1001,$AQ114)="","",INDEX(Raw_D2!$H$2:$H$1001,$AQ114)),IF($AR114&lt;&gt;"",IF(INDEX(Raw_D3!$P$2:$P$1001,$AR114)="","",INDEX(Raw_D3!$P$2:$P$1001,$AR114)),"")))</f>
        <v>43</v>
      </c>
      <c r="Q114" s="5" t="str">
        <f>IF($A114="","",IF(AND($AP114&lt;&gt;"",$AQ114&lt;&gt;""),"D1+D2",IF($AR114&lt;&gt;"","D3","Incomplete")))</f>
        <v>D1+D2</v>
      </c>
      <c r="R114" s="17">
        <f>IF($A114="","",IF($K114="",IF($J114="","",ROUND(Lookups!$K$5+Lookups!$K$4*$J114,4)),$K114))</f>
        <v>0.197</v>
      </c>
      <c r="S114" s="5" t="str">
        <f>IF($A114="","",IF($K114="","Imputed","Original"))</f>
        <v>Original</v>
      </c>
      <c r="T114" s="5" t="str">
        <f>IF($A114="","",IF($P114="","Missing",IF($P114=$N114+$O114,"OK","Mismatch")))</f>
        <v>OK</v>
      </c>
      <c r="U114" s="5" t="str">
        <f>IF($A114="","",IF(COUNTIF($A$2:$A114,$A114)&gt;1,"Duplicate","Unique"))</f>
        <v>Unique</v>
      </c>
      <c r="V114" s="5">
        <f>IF($A114="","",IF(AND($U114="Unique",ISNUMBER($P114)),1,0))</f>
        <v>1</v>
      </c>
      <c r="W114" s="5" t="str">
        <f>IF($A114="","",IF(OR($H114=0,$H114=6),"Weekend","Weekday"))</f>
        <v>Weekday</v>
      </c>
      <c r="X114" s="5" t="str">
        <f>IF($A114="","",TEXT($B114,"ddd"))</f>
        <v>Wed</v>
      </c>
      <c r="Y114" s="5" t="str">
        <f>IF($A114="","",TEXT($B114,"mmm"))</f>
        <v>Jan</v>
      </c>
      <c r="Z114" s="5" t="str">
        <f>IF($A114="","",IFERROR(VLOOKUP($C114,Lookups!$D$4:$E$7,2,FALSE),"Unknown"))</f>
        <v>Winter</v>
      </c>
      <c r="AA114" s="5" t="str">
        <f>IF($A114="","",IFERROR(VLOOKUP($I114,Lookups!$A$4:$B$7,2,FALSE),"Unknown"))</f>
        <v>Clear</v>
      </c>
      <c r="AB114" s="5" t="str">
        <f>IF($A114="","",TEXT($F114,"00")&amp;":00")</f>
        <v>21:00</v>
      </c>
      <c r="AC114" s="5" t="str">
        <f>IF($A114="","",VLOOKUP($F114,Lookups!$G$4:$H$8,2,TRUE))</f>
        <v>Late Evening (20-23)</v>
      </c>
      <c r="AD114" s="18">
        <f>IF($A114="","",IF($J114="","",ROUND($J114*41,1)))</f>
        <v>8.2</v>
      </c>
      <c r="AE114" s="18">
        <f>IF($A114="","",IF($R114="","",ROUND($R114*50,1)))</f>
        <v>9.9</v>
      </c>
      <c r="AF114" s="5">
        <f>IF($A114="","",IF($L114="","",ROUND($L114*100,0)))</f>
        <v>51</v>
      </c>
      <c r="AG114" s="18">
        <f>IF($A114="","",IF($M114="","",ROUND($M114*67,1)))</f>
        <v>13</v>
      </c>
      <c r="AH114" s="19">
        <f>IF($A114="","",IF($P114="","",IF($P114=0,0,$O114/$P114)))</f>
        <v>0.930232558139535</v>
      </c>
      <c r="AI114" s="5" t="str">
        <f>IF($A114="","",IF($P114="","",IF($P114&gt;=Lookups!$K$7,"High",IF($P114&lt;=Lookups!$K$8,"Low","Medium"))))</f>
        <v>Medium</v>
      </c>
      <c r="AJ114" s="5" t="str">
        <f>IF($A114="","",IF($AD114="","",IF($AD114&lt;5,"Under 5 C",IF($AD114&lt;10,"5-10 C",IF($AD114&lt;15,"10-15 C","15 C and above")))))</f>
        <v>5-10 C</v>
      </c>
      <c r="AK114" s="5">
        <f>IF($A114="","",IF($P114="","",$P114^2))</f>
        <v>1849</v>
      </c>
      <c r="AL114" s="18">
        <f>IF($V114&lt;&gt;1,"",AVERAGEIFS(Clean_Data!$P$2:$P$1001,Clean_Data!$F$2:$F$1001,$F114,Clean_Data!$W$2:$W$1001,$W114,Clean_Data!$V$2:$V$1001,1))</f>
        <v>50.8965517241379</v>
      </c>
      <c r="AM114" s="16">
        <f>IF($V114&lt;&gt;1,"",IFERROR(($P114-$AL114)/SQRT(MAX(0,(SUMIFS(Clean_Data!$AK$2:$AK$1001,Clean_Data!$F$2:$F$1001,$F114,Clean_Data!$W$2:$W$1001,$W114,Clean_Data!$V$2:$V$1001,1)-COUNTIFS(Clean_Data!$F$2:$F$1001,$F114,Clean_Data!$W$2:$W$1001,$W114,Clean_Data!$V$2:$V$1001,1)*$AL114^2)/(COUNTIFS(Clean_Data!$F$2:$F$1001,$F114,Clean_Data!$W$2:$W$1001,$W114,Clean_Data!$V$2:$V$1001,1)-1))),""))</f>
        <v>-0.571872433516262</v>
      </c>
      <c r="AN114" s="5" t="str">
        <f>IF($AM114="","",IF($AM114&gt;=Lookups!$K$6,"High spike",IF($AM114&lt;=-Lookups!$K$6,"Unusual low","Normal")))</f>
        <v>Normal</v>
      </c>
      <c r="AO114" s="20">
        <f>IF($V114&lt;&gt;1,"",$P114+ROW()/100000)</f>
        <v>43.00114</v>
      </c>
      <c r="AP114" s="5">
        <f>IF($A114="","",IFERROR(MATCH($A114,Raw_D1!$A$2:$A$1001,0),""))</f>
        <v>113</v>
      </c>
      <c r="AQ114" s="5">
        <f>IF($A114="","",IFERROR(MATCH($A114,Raw_D2!$B$2:$B$1001,0),""))</f>
        <v>113</v>
      </c>
      <c r="AR114" s="5">
        <f>IF($A114="","",IFERROR(MATCH($A114,Raw_D3!$A$2:$A$1001,0),""))</f>
        <v/>
      </c>
    </row>
    <row r="115" spans="1:44" x14ac:dyDescent="0.25">
      <c r="A115" s="5">
        <v>114</v>
      </c>
      <c r="B115" s="11">
        <f>IF($A115="","",IF($AP115&lt;&gt;"",INDEX(Raw_D1!$B$2:$B$1001,$AP115),IF($AR115&lt;&gt;"",INDEX(Raw_D3!$B$2:$B$1001,$AR115),"")))</f>
        <v>40548.0</v>
      </c>
      <c r="C115" s="5">
        <f>IF($A115="","",IF($AP115&lt;&gt;"",INDEX(Raw_D1!$C$2:$C$1001,$AP115),IF($AR115&lt;&gt;"",INDEX(Raw_D3!$C$2:$C$1001,$AR115),"")))</f>
        <v>1</v>
      </c>
      <c r="D115" s="5">
        <f>IF($A115="","",IF($AP115&lt;&gt;"",INDEX(Raw_D1!$D$2:$D$1001,$AP115),IF($AR115&lt;&gt;"",INDEX(Raw_D3!$D$2:$D$1001,$AR115),"")))</f>
        <v>0</v>
      </c>
      <c r="E115" s="5">
        <f>IF($A115="","",IF($AP115&lt;&gt;"",INDEX(Raw_D1!$E$2:$E$1001,$AP115),IF($AR115&lt;&gt;"",INDEX(Raw_D3!$E$2:$E$1001,$AR115),"")))</f>
        <v>1</v>
      </c>
      <c r="F115" s="5">
        <f>IF($A115="","",IF($AP115&lt;&gt;"",INDEX(Raw_D1!$F$2:$F$1001,$AP115),IF($AR115&lt;&gt;"",INDEX(Raw_D3!$F$2:$F$1001,$AR115),"")))</f>
        <v>22</v>
      </c>
      <c r="G115" s="5">
        <f>IF($A115="","",IF($AP115&lt;&gt;"",IF(INDEX(Raw_D1!$G$2:$G$1001,$AP115),1,0),IF($AR115&lt;&gt;"",IF(INDEX(Raw_D3!$G$2:$G$1001,$AR115),1,0),"")))</f>
        <v>0</v>
      </c>
      <c r="H115" s="5">
        <f>IF($A115="","",IF($AP115&lt;&gt;"",INDEX(Raw_D1!$H$2:$H$1001,$AP115),IF($AR115&lt;&gt;"",INDEX(Raw_D3!$H$2:$H$1001,$AR115),"")))</f>
        <v>3</v>
      </c>
      <c r="I115" s="5">
        <f>IF($A115="","",IF($AP115&lt;&gt;"",INDEX(Raw_D1!$I$2:$I$1001,$AP115),IF($AR115&lt;&gt;"",INDEX(Raw_D3!$I$2:$I$1001,$AR115),"")))</f>
        <v>1</v>
      </c>
      <c r="J115" s="16">
        <f>IF($A115="","",IF($AP115&lt;&gt;"",INDEX(Raw_D1!$J$2:$J$1001,$AP115),IF($AR115&lt;&gt;"",INDEX(Raw_D3!$J$2:$J$1001,$AR115),"")))</f>
        <v>0.18</v>
      </c>
      <c r="K115" s="17">
        <f>IF($A115="","",IF($AQ115&lt;&gt;"",IF(INDEX(Raw_D2!$C$2:$C$1001,$AQ115)="","",INDEX(Raw_D2!$C$2:$C$1001,$AQ115)),IF($AR115&lt;&gt;"",IF(INDEX(Raw_D3!$K$2:$K$1001,$AR115)="","",INDEX(Raw_D3!$K$2:$K$1001,$AR115)),"")))</f>
        <v>0.197</v>
      </c>
      <c r="L115" s="16">
        <f>IF($A115="","",IF($AQ115&lt;&gt;"",IF(INDEX(Raw_D2!$D$2:$D$1001,$AQ115)="","",INDEX(Raw_D2!$D$2:$D$1001,$AQ115)),IF($AR115&lt;&gt;"",IF(INDEX(Raw_D3!$L$2:$L$1001,$AR115)="","",INDEX(Raw_D3!$L$2:$L$1001,$AR115)),"")))</f>
        <v>0.55</v>
      </c>
      <c r="M115" s="17">
        <f>IF($A115="","",IF($AQ115&lt;&gt;"",IF(INDEX(Raw_D2!$E$2:$E$1001,$AQ115)="","",INDEX(Raw_D2!$E$2:$E$1001,$AQ115)),IF($AR115&lt;&gt;"",IF(INDEX(Raw_D3!$M$2:$M$1001,$AR115)="","",INDEX(Raw_D3!$M$2:$M$1001,$AR115)),"")))</f>
        <v>0.1343</v>
      </c>
      <c r="N115" s="5">
        <f>IF($A115="","",IF($AQ115&lt;&gt;"",IF(INDEX(Raw_D2!$F$2:$F$1001,$AQ115)="","",INDEX(Raw_D2!$F$2:$F$1001,$AQ115)),IF($AR115&lt;&gt;"",IF(INDEX(Raw_D3!$N$2:$N$1001,$AR115)="","",INDEX(Raw_D3!$N$2:$N$1001,$AR115)),"")))</f>
        <v>1</v>
      </c>
      <c r="O115" s="5">
        <f>IF($A115="","",IF($AQ115&lt;&gt;"",IF(INDEX(Raw_D2!$G$2:$G$1001,$AQ115)="","",INDEX(Raw_D2!$G$2:$G$1001,$AQ115)),IF($AR115&lt;&gt;"",IF(INDEX(Raw_D3!$O$2:$O$1001,$AR115)="","",INDEX(Raw_D3!$O$2:$O$1001,$AR115)),"")))</f>
        <v>41</v>
      </c>
      <c r="P115" s="5">
        <f>IF($A115="","",IF($AQ115&lt;&gt;"",IF(INDEX(Raw_D2!$H$2:$H$1001,$AQ115)="","",INDEX(Raw_D2!$H$2:$H$1001,$AQ115)),IF($AR115&lt;&gt;"",IF(INDEX(Raw_D3!$P$2:$P$1001,$AR115)="","",INDEX(Raw_D3!$P$2:$P$1001,$AR115)),"")))</f>
        <v>42</v>
      </c>
      <c r="Q115" s="5" t="str">
        <f>IF($A115="","",IF(AND($AP115&lt;&gt;"",$AQ115&lt;&gt;""),"D1+D2",IF($AR115&lt;&gt;"","D3","Incomplete")))</f>
        <v>D1+D2</v>
      </c>
      <c r="R115" s="17">
        <f>IF($A115="","",IF($K115="",IF($J115="","",ROUND(Lookups!$K$5+Lookups!$K$4*$J115,4)),$K115))</f>
        <v>0.197</v>
      </c>
      <c r="S115" s="5" t="str">
        <f>IF($A115="","",IF($K115="","Imputed","Original"))</f>
        <v>Original</v>
      </c>
      <c r="T115" s="5" t="str">
        <f>IF($A115="","",IF($P115="","Missing",IF($P115=$N115+$O115,"OK","Mismatch")))</f>
        <v>OK</v>
      </c>
      <c r="U115" s="5" t="str">
        <f>IF($A115="","",IF(COUNTIF($A$2:$A115,$A115)&gt;1,"Duplicate","Unique"))</f>
        <v>Unique</v>
      </c>
      <c r="V115" s="5">
        <f>IF($A115="","",IF(AND($U115="Unique",ISNUMBER($P115)),1,0))</f>
        <v>1</v>
      </c>
      <c r="W115" s="5" t="str">
        <f>IF($A115="","",IF(OR($H115=0,$H115=6),"Weekend","Weekday"))</f>
        <v>Weekday</v>
      </c>
      <c r="X115" s="5" t="str">
        <f>IF($A115="","",TEXT($B115,"ddd"))</f>
        <v>Wed</v>
      </c>
      <c r="Y115" s="5" t="str">
        <f>IF($A115="","",TEXT($B115,"mmm"))</f>
        <v>Jan</v>
      </c>
      <c r="Z115" s="5" t="str">
        <f>IF($A115="","",IFERROR(VLOOKUP($C115,Lookups!$D$4:$E$7,2,FALSE),"Unknown"))</f>
        <v>Winter</v>
      </c>
      <c r="AA115" s="5" t="str">
        <f>IF($A115="","",IFERROR(VLOOKUP($I115,Lookups!$A$4:$B$7,2,FALSE),"Unknown"))</f>
        <v>Clear</v>
      </c>
      <c r="AB115" s="5" t="str">
        <f>IF($A115="","",TEXT($F115,"00")&amp;":00")</f>
        <v>22:00</v>
      </c>
      <c r="AC115" s="5" t="str">
        <f>IF($A115="","",VLOOKUP($F115,Lookups!$G$4:$H$8,2,TRUE))</f>
        <v>Late Evening (20-23)</v>
      </c>
      <c r="AD115" s="18">
        <f>IF($A115="","",IF($J115="","",ROUND($J115*41,1)))</f>
        <v>7.4</v>
      </c>
      <c r="AE115" s="18">
        <f>IF($A115="","",IF($R115="","",ROUND($R115*50,1)))</f>
        <v>9.9</v>
      </c>
      <c r="AF115" s="5">
        <f>IF($A115="","",IF($L115="","",ROUND($L115*100,0)))</f>
        <v>55</v>
      </c>
      <c r="AG115" s="18">
        <f>IF($A115="","",IF($M115="","",ROUND($M115*67,1)))</f>
        <v>9</v>
      </c>
      <c r="AH115" s="19">
        <f>IF($A115="","",IF($P115="","",IF($P115=0,0,$O115/$P115)))</f>
        <v>0.976190476190476</v>
      </c>
      <c r="AI115" s="5" t="str">
        <f>IF($A115="","",IF($P115="","",IF($P115&gt;=Lookups!$K$7,"High",IF($P115&lt;=Lookups!$K$8,"Low","Medium"))))</f>
        <v>Medium</v>
      </c>
      <c r="AJ115" s="5" t="str">
        <f>IF($A115="","",IF($AD115="","",IF($AD115&lt;5,"Under 5 C",IF($AD115&lt;10,"5-10 C",IF($AD115&lt;15,"10-15 C","15 C and above")))))</f>
        <v>5-10 C</v>
      </c>
      <c r="AK115" s="5">
        <f>IF($A115="","",IF($P115="","",$P115^2))</f>
        <v>1764</v>
      </c>
      <c r="AL115" s="18">
        <f>IF($V115&lt;&gt;1,"",AVERAGEIFS(Clean_Data!$P$2:$P$1001,Clean_Data!$F$2:$F$1001,$F115,Clean_Data!$W$2:$W$1001,$W115,Clean_Data!$V$2:$V$1001,1))</f>
        <v>37.1034482758621</v>
      </c>
      <c r="AM115" s="16">
        <f>IF($V115&lt;&gt;1,"",IFERROR(($P115-$AL115)/SQRT(MAX(0,(SUMIFS(Clean_Data!$AK$2:$AK$1001,Clean_Data!$F$2:$F$1001,$F115,Clean_Data!$W$2:$W$1001,$W115,Clean_Data!$V$2:$V$1001,1)-COUNTIFS(Clean_Data!$F$2:$F$1001,$F115,Clean_Data!$W$2:$W$1001,$W115,Clean_Data!$V$2:$V$1001,1)*$AL115^2)/(COUNTIFS(Clean_Data!$F$2:$F$1001,$F115,Clean_Data!$W$2:$W$1001,$W115,Clean_Data!$V$2:$V$1001,1)-1))),""))</f>
        <v>0.453608808259739</v>
      </c>
      <c r="AN115" s="5" t="str">
        <f>IF($AM115="","",IF($AM115&gt;=Lookups!$K$6,"High spike",IF($AM115&lt;=-Lookups!$K$6,"Unusual low","Normal")))</f>
        <v>Normal</v>
      </c>
      <c r="AO115" s="20">
        <f>IF($V115&lt;&gt;1,"",$P115+ROW()/100000)</f>
        <v>42.00115</v>
      </c>
      <c r="AP115" s="5">
        <f>IF($A115="","",IFERROR(MATCH($A115,Raw_D1!$A$2:$A$1001,0),""))</f>
        <v>114</v>
      </c>
      <c r="AQ115" s="5">
        <f>IF($A115="","",IFERROR(MATCH($A115,Raw_D2!$B$2:$B$1001,0),""))</f>
        <v>114</v>
      </c>
      <c r="AR115" s="5">
        <f>IF($A115="","",IFERROR(MATCH($A115,Raw_D3!$A$2:$A$1001,0),""))</f>
        <v/>
      </c>
    </row>
    <row r="116" spans="1:44" x14ac:dyDescent="0.25">
      <c r="A116" s="5">
        <v>115</v>
      </c>
      <c r="B116" s="11">
        <f>IF($A116="","",IF($AP116&lt;&gt;"",INDEX(Raw_D1!$B$2:$B$1001,$AP116),IF($AR116&lt;&gt;"",INDEX(Raw_D3!$B$2:$B$1001,$AR116),"")))</f>
        <v>40548.0</v>
      </c>
      <c r="C116" s="5">
        <f>IF($A116="","",IF($AP116&lt;&gt;"",INDEX(Raw_D1!$C$2:$C$1001,$AP116),IF($AR116&lt;&gt;"",INDEX(Raw_D3!$C$2:$C$1001,$AR116),"")))</f>
        <v>1</v>
      </c>
      <c r="D116" s="5">
        <f>IF($A116="","",IF($AP116&lt;&gt;"",INDEX(Raw_D1!$D$2:$D$1001,$AP116),IF($AR116&lt;&gt;"",INDEX(Raw_D3!$D$2:$D$1001,$AR116),"")))</f>
        <v>0</v>
      </c>
      <c r="E116" s="5">
        <f>IF($A116="","",IF($AP116&lt;&gt;"",INDEX(Raw_D1!$E$2:$E$1001,$AP116),IF($AR116&lt;&gt;"",INDEX(Raw_D3!$E$2:$E$1001,$AR116),"")))</f>
        <v>1</v>
      </c>
      <c r="F116" s="5">
        <f>IF($A116="","",IF($AP116&lt;&gt;"",INDEX(Raw_D1!$F$2:$F$1001,$AP116),IF($AR116&lt;&gt;"",INDEX(Raw_D3!$F$2:$F$1001,$AR116),"")))</f>
        <v>23</v>
      </c>
      <c r="G116" s="5">
        <f>IF($A116="","",IF($AP116&lt;&gt;"",IF(INDEX(Raw_D1!$G$2:$G$1001,$AP116),1,0),IF($AR116&lt;&gt;"",IF(INDEX(Raw_D3!$G$2:$G$1001,$AR116),1,0),"")))</f>
        <v>0</v>
      </c>
      <c r="H116" s="5">
        <f>IF($A116="","",IF($AP116&lt;&gt;"",INDEX(Raw_D1!$H$2:$H$1001,$AP116),IF($AR116&lt;&gt;"",INDEX(Raw_D3!$H$2:$H$1001,$AR116),"")))</f>
        <v>3</v>
      </c>
      <c r="I116" s="5">
        <f>IF($A116="","",IF($AP116&lt;&gt;"",INDEX(Raw_D1!$I$2:$I$1001,$AP116),IF($AR116&lt;&gt;"",INDEX(Raw_D3!$I$2:$I$1001,$AR116),"")))</f>
        <v>1</v>
      </c>
      <c r="J116" s="16">
        <f>IF($A116="","",IF($AP116&lt;&gt;"",INDEX(Raw_D1!$J$2:$J$1001,$AP116),IF($AR116&lt;&gt;"",INDEX(Raw_D3!$J$2:$J$1001,$AR116),"")))</f>
        <v>0.2</v>
      </c>
      <c r="K116" s="17">
        <f>IF($A116="","",IF($AQ116&lt;&gt;"",IF(INDEX(Raw_D2!$C$2:$C$1001,$AQ116)="","",INDEX(Raw_D2!$C$2:$C$1001,$AQ116)),IF($AR116&lt;&gt;"",IF(INDEX(Raw_D3!$K$2:$K$1001,$AR116)="","",INDEX(Raw_D3!$K$2:$K$1001,$AR116)),"")))</f>
        <v>0.2576</v>
      </c>
      <c r="L116" s="16">
        <f>IF($A116="","",IF($AQ116&lt;&gt;"",IF(INDEX(Raw_D2!$D$2:$D$1001,$AQ116)="","",INDEX(Raw_D2!$D$2:$D$1001,$AQ116)),IF($AR116&lt;&gt;"",IF(INDEX(Raw_D3!$L$2:$L$1001,$AR116)="","",INDEX(Raw_D3!$L$2:$L$1001,$AR116)),"")))</f>
        <v>0.47</v>
      </c>
      <c r="M116" s="17">
        <f>IF($A116="","",IF($AQ116&lt;&gt;"",IF(INDEX(Raw_D2!$E$2:$E$1001,$AQ116)="","",INDEX(Raw_D2!$E$2:$E$1001,$AQ116)),IF($AR116&lt;&gt;"",IF(INDEX(Raw_D3!$M$2:$M$1001,$AR116)="","",INDEX(Raw_D3!$M$2:$M$1001,$AR116)),"")))</f>
        <v>0</v>
      </c>
      <c r="N116" s="5">
        <f>IF($A116="","",IF($AQ116&lt;&gt;"",IF(INDEX(Raw_D2!$F$2:$F$1001,$AQ116)="","",INDEX(Raw_D2!$F$2:$F$1001,$AQ116)),IF($AR116&lt;&gt;"",IF(INDEX(Raw_D3!$N$2:$N$1001,$AR116)="","",INDEX(Raw_D3!$N$2:$N$1001,$AR116)),"")))</f>
        <v>1</v>
      </c>
      <c r="O116" s="5">
        <f>IF($A116="","",IF($AQ116&lt;&gt;"",IF(INDEX(Raw_D2!$G$2:$G$1001,$AQ116)="","",INDEX(Raw_D2!$G$2:$G$1001,$AQ116)),IF($AR116&lt;&gt;"",IF(INDEX(Raw_D3!$O$2:$O$1001,$AR116)="","",INDEX(Raw_D3!$O$2:$O$1001,$AR116)),"")))</f>
        <v>18</v>
      </c>
      <c r="P116" s="5">
        <f>IF($A116="","",IF($AQ116&lt;&gt;"",IF(INDEX(Raw_D2!$H$2:$H$1001,$AQ116)="","",INDEX(Raw_D2!$H$2:$H$1001,$AQ116)),IF($AR116&lt;&gt;"",IF(INDEX(Raw_D3!$P$2:$P$1001,$AR116)="","",INDEX(Raw_D3!$P$2:$P$1001,$AR116)),"")))</f>
        <v>19</v>
      </c>
      <c r="Q116" s="5" t="str">
        <f>IF($A116="","",IF(AND($AP116&lt;&gt;"",$AQ116&lt;&gt;""),"D1+D2",IF($AR116&lt;&gt;"","D3","Incomplete")))</f>
        <v>D1+D2</v>
      </c>
      <c r="R116" s="17">
        <f>IF($A116="","",IF($K116="",IF($J116="","",ROUND(Lookups!$K$5+Lookups!$K$4*$J116,4)),$K116))</f>
        <v>0.2576</v>
      </c>
      <c r="S116" s="5" t="str">
        <f>IF($A116="","",IF($K116="","Imputed","Original"))</f>
        <v>Original</v>
      </c>
      <c r="T116" s="5" t="str">
        <f>IF($A116="","",IF($P116="","Missing",IF($P116=$N116+$O116,"OK","Mismatch")))</f>
        <v>OK</v>
      </c>
      <c r="U116" s="5" t="str">
        <f>IF($A116="","",IF(COUNTIF($A$2:$A116,$A116)&gt;1,"Duplicate","Unique"))</f>
        <v>Unique</v>
      </c>
      <c r="V116" s="5">
        <f>IF($A116="","",IF(AND($U116="Unique",ISNUMBER($P116)),1,0))</f>
        <v>1</v>
      </c>
      <c r="W116" s="5" t="str">
        <f>IF($A116="","",IF(OR($H116=0,$H116=6),"Weekend","Weekday"))</f>
        <v>Weekday</v>
      </c>
      <c r="X116" s="5" t="str">
        <f>IF($A116="","",TEXT($B116,"ddd"))</f>
        <v>Wed</v>
      </c>
      <c r="Y116" s="5" t="str">
        <f>IF($A116="","",TEXT($B116,"mmm"))</f>
        <v>Jan</v>
      </c>
      <c r="Z116" s="5" t="str">
        <f>IF($A116="","",IFERROR(VLOOKUP($C116,Lookups!$D$4:$E$7,2,FALSE),"Unknown"))</f>
        <v>Winter</v>
      </c>
      <c r="AA116" s="5" t="str">
        <f>IF($A116="","",IFERROR(VLOOKUP($I116,Lookups!$A$4:$B$7,2,FALSE),"Unknown"))</f>
        <v>Clear</v>
      </c>
      <c r="AB116" s="5" t="str">
        <f>IF($A116="","",TEXT($F116,"00")&amp;":00")</f>
        <v>23:00</v>
      </c>
      <c r="AC116" s="5" t="str">
        <f>IF($A116="","",VLOOKUP($F116,Lookups!$G$4:$H$8,2,TRUE))</f>
        <v>Late Evening (20-23)</v>
      </c>
      <c r="AD116" s="18">
        <f>IF($A116="","",IF($J116="","",ROUND($J116*41,1)))</f>
        <v>8.2</v>
      </c>
      <c r="AE116" s="18">
        <f>IF($A116="","",IF($R116="","",ROUND($R116*50,1)))</f>
        <v>12.9</v>
      </c>
      <c r="AF116" s="5">
        <f>IF($A116="","",IF($L116="","",ROUND($L116*100,0)))</f>
        <v>47</v>
      </c>
      <c r="AG116" s="18">
        <f>IF($A116="","",IF($M116="","",ROUND($M116*67,1)))</f>
        <v>0</v>
      </c>
      <c r="AH116" s="19">
        <f>IF($A116="","",IF($P116="","",IF($P116=0,0,$O116/$P116)))</f>
        <v>0.947368421052632</v>
      </c>
      <c r="AI116" s="5" t="str">
        <f>IF($A116="","",IF($P116="","",IF($P116&gt;=Lookups!$K$7,"High",IF($P116&lt;=Lookups!$K$8,"Low","Medium"))))</f>
        <v>Medium</v>
      </c>
      <c r="AJ116" s="5" t="str">
        <f>IF($A116="","",IF($AD116="","",IF($AD116&lt;5,"Under 5 C",IF($AD116&lt;10,"5-10 C",IF($AD116&lt;15,"10-15 C","15 C and above")))))</f>
        <v>5-10 C</v>
      </c>
      <c r="AK116" s="5">
        <f>IF($A116="","",IF($P116="","",$P116^2))</f>
        <v>361</v>
      </c>
      <c r="AL116" s="18">
        <f>IF($V116&lt;&gt;1,"",AVERAGEIFS(Clean_Data!$P$2:$P$1001,Clean_Data!$F$2:$F$1001,$F116,Clean_Data!$W$2:$W$1001,$W116,Clean_Data!$V$2:$V$1001,1))</f>
        <v>23.6896551724138</v>
      </c>
      <c r="AM116" s="16">
        <f>IF($V116&lt;&gt;1,"",IFERROR(($P116-$AL116)/SQRT(MAX(0,(SUMIFS(Clean_Data!$AK$2:$AK$1001,Clean_Data!$F$2:$F$1001,$F116,Clean_Data!$W$2:$W$1001,$W116,Clean_Data!$V$2:$V$1001,1)-COUNTIFS(Clean_Data!$F$2:$F$1001,$F116,Clean_Data!$W$2:$W$1001,$W116,Clean_Data!$V$2:$V$1001,1)*$AL116^2)/(COUNTIFS(Clean_Data!$F$2:$F$1001,$F116,Clean_Data!$W$2:$W$1001,$W116,Clean_Data!$V$2:$V$1001,1)-1))),""))</f>
        <v>-0.447707836610987</v>
      </c>
      <c r="AN116" s="5" t="str">
        <f>IF($AM116="","",IF($AM116&gt;=Lookups!$K$6,"High spike",IF($AM116&lt;=-Lookups!$K$6,"Unusual low","Normal")))</f>
        <v>Normal</v>
      </c>
      <c r="AO116" s="20">
        <f>IF($V116&lt;&gt;1,"",$P116+ROW()/100000)</f>
        <v>19.00116</v>
      </c>
      <c r="AP116" s="5">
        <f>IF($A116="","",IFERROR(MATCH($A116,Raw_D1!$A$2:$A$1001,0),""))</f>
        <v>115</v>
      </c>
      <c r="AQ116" s="5">
        <f>IF($A116="","",IFERROR(MATCH($A116,Raw_D2!$B$2:$B$1001,0),""))</f>
        <v>115</v>
      </c>
      <c r="AR116" s="5">
        <f>IF($A116="","",IFERROR(MATCH($A116,Raw_D3!$A$2:$A$1001,0),""))</f>
        <v/>
      </c>
    </row>
    <row r="117" spans="1:44" x14ac:dyDescent="0.25">
      <c r="A117" s="5">
        <v>116</v>
      </c>
      <c r="B117" s="11">
        <f>IF($A117="","",IF($AP117&lt;&gt;"",INDEX(Raw_D1!$B$2:$B$1001,$AP117),IF($AR117&lt;&gt;"",INDEX(Raw_D3!$B$2:$B$1001,$AR117),"")))</f>
        <v>40549.0</v>
      </c>
      <c r="C117" s="5">
        <f>IF($A117="","",IF($AP117&lt;&gt;"",INDEX(Raw_D1!$C$2:$C$1001,$AP117),IF($AR117&lt;&gt;"",INDEX(Raw_D3!$C$2:$C$1001,$AR117),"")))</f>
        <v>1</v>
      </c>
      <c r="D117" s="5">
        <f>IF($A117="","",IF($AP117&lt;&gt;"",INDEX(Raw_D1!$D$2:$D$1001,$AP117),IF($AR117&lt;&gt;"",INDEX(Raw_D3!$D$2:$D$1001,$AR117),"")))</f>
        <v>0</v>
      </c>
      <c r="E117" s="5">
        <f>IF($A117="","",IF($AP117&lt;&gt;"",INDEX(Raw_D1!$E$2:$E$1001,$AP117),IF($AR117&lt;&gt;"",INDEX(Raw_D3!$E$2:$E$1001,$AR117),"")))</f>
        <v>1</v>
      </c>
      <c r="F117" s="5">
        <f>IF($A117="","",IF($AP117&lt;&gt;"",INDEX(Raw_D1!$F$2:$F$1001,$AP117),IF($AR117&lt;&gt;"",INDEX(Raw_D3!$F$2:$F$1001,$AR117),"")))</f>
        <v>0</v>
      </c>
      <c r="G117" s="5">
        <f>IF($A117="","",IF($AP117&lt;&gt;"",IF(INDEX(Raw_D1!$G$2:$G$1001,$AP117),1,0),IF($AR117&lt;&gt;"",IF(INDEX(Raw_D3!$G$2:$G$1001,$AR117),1,0),"")))</f>
        <v>0</v>
      </c>
      <c r="H117" s="5">
        <f>IF($A117="","",IF($AP117&lt;&gt;"",INDEX(Raw_D1!$H$2:$H$1001,$AP117),IF($AR117&lt;&gt;"",INDEX(Raw_D3!$H$2:$H$1001,$AR117),"")))</f>
        <v>4</v>
      </c>
      <c r="I117" s="5">
        <f>IF($A117="","",IF($AP117&lt;&gt;"",INDEX(Raw_D1!$I$2:$I$1001,$AP117),IF($AR117&lt;&gt;"",INDEX(Raw_D3!$I$2:$I$1001,$AR117),"")))</f>
        <v>1</v>
      </c>
      <c r="J117" s="16">
        <f>IF($A117="","",IF($AP117&lt;&gt;"",INDEX(Raw_D1!$J$2:$J$1001,$AP117),IF($AR117&lt;&gt;"",INDEX(Raw_D3!$J$2:$J$1001,$AR117),"")))</f>
        <v>0.18</v>
      </c>
      <c r="K117" s="17">
        <f>IF($A117="","",IF($AQ117&lt;&gt;"",IF(INDEX(Raw_D2!$C$2:$C$1001,$AQ117)="","",INDEX(Raw_D2!$C$2:$C$1001,$AQ117)),IF($AR117&lt;&gt;"",IF(INDEX(Raw_D3!$K$2:$K$1001,$AR117)="","",INDEX(Raw_D3!$K$2:$K$1001,$AR117)),"")))</f>
        <v>0.2424</v>
      </c>
      <c r="L117" s="16">
        <f>IF($A117="","",IF($AQ117&lt;&gt;"",IF(INDEX(Raw_D2!$D$2:$D$1001,$AQ117)="","",INDEX(Raw_D2!$D$2:$D$1001,$AQ117)),IF($AR117&lt;&gt;"",IF(INDEX(Raw_D3!$L$2:$L$1001,$AR117)="","",INDEX(Raw_D3!$L$2:$L$1001,$AR117)),"")))</f>
        <v>0.55</v>
      </c>
      <c r="M117" s="17">
        <f>IF($A117="","",IF($AQ117&lt;&gt;"",IF(INDEX(Raw_D2!$E$2:$E$1001,$AQ117)="","",INDEX(Raw_D2!$E$2:$E$1001,$AQ117)),IF($AR117&lt;&gt;"",IF(INDEX(Raw_D3!$M$2:$M$1001,$AR117)="","",INDEX(Raw_D3!$M$2:$M$1001,$AR117)),"")))</f>
        <v>0</v>
      </c>
      <c r="N117" s="5">
        <f>IF($A117="","",IF($AQ117&lt;&gt;"",IF(INDEX(Raw_D2!$F$2:$F$1001,$AQ117)="","",INDEX(Raw_D2!$F$2:$F$1001,$AQ117)),IF($AR117&lt;&gt;"",IF(INDEX(Raw_D3!$N$2:$N$1001,$AR117)="","",INDEX(Raw_D3!$N$2:$N$1001,$AR117)),"")))</f>
        <v>0</v>
      </c>
      <c r="O117" s="5">
        <f>IF($A117="","",IF($AQ117&lt;&gt;"",IF(INDEX(Raw_D2!$G$2:$G$1001,$AQ117)="","",INDEX(Raw_D2!$G$2:$G$1001,$AQ117)),IF($AR117&lt;&gt;"",IF(INDEX(Raw_D3!$O$2:$O$1001,$AR117)="","",INDEX(Raw_D3!$O$2:$O$1001,$AR117)),"")))</f>
        <v>11</v>
      </c>
      <c r="P117" s="5">
        <f>IF($A117="","",IF($AQ117&lt;&gt;"",IF(INDEX(Raw_D2!$H$2:$H$1001,$AQ117)="","",INDEX(Raw_D2!$H$2:$H$1001,$AQ117)),IF($AR117&lt;&gt;"",IF(INDEX(Raw_D3!$P$2:$P$1001,$AR117)="","",INDEX(Raw_D3!$P$2:$P$1001,$AR117)),"")))</f>
        <v>11</v>
      </c>
      <c r="Q117" s="5" t="str">
        <f>IF($A117="","",IF(AND($AP117&lt;&gt;"",$AQ117&lt;&gt;""),"D1+D2",IF($AR117&lt;&gt;"","D3","Incomplete")))</f>
        <v>D1+D2</v>
      </c>
      <c r="R117" s="17">
        <f>IF($A117="","",IF($K117="",IF($J117="","",ROUND(Lookups!$K$5+Lookups!$K$4*$J117,4)),$K117))</f>
        <v>0.2424</v>
      </c>
      <c r="S117" s="5" t="str">
        <f>IF($A117="","",IF($K117="","Imputed","Original"))</f>
        <v>Original</v>
      </c>
      <c r="T117" s="5" t="str">
        <f>IF($A117="","",IF($P117="","Missing",IF($P117=$N117+$O117,"OK","Mismatch")))</f>
        <v>OK</v>
      </c>
      <c r="U117" s="5" t="str">
        <f>IF($A117="","",IF(COUNTIF($A$2:$A117,$A117)&gt;1,"Duplicate","Unique"))</f>
        <v>Unique</v>
      </c>
      <c r="V117" s="5">
        <f>IF($A117="","",IF(AND($U117="Unique",ISNUMBER($P117)),1,0))</f>
        <v>1</v>
      </c>
      <c r="W117" s="5" t="str">
        <f>IF($A117="","",IF(OR($H117=0,$H117=6),"Weekend","Weekday"))</f>
        <v>Weekday</v>
      </c>
      <c r="X117" s="5" t="str">
        <f>IF($A117="","",TEXT($B117,"ddd"))</f>
        <v>Thu</v>
      </c>
      <c r="Y117" s="5" t="str">
        <f>IF($A117="","",TEXT($B117,"mmm"))</f>
        <v>Jan</v>
      </c>
      <c r="Z117" s="5" t="str">
        <f>IF($A117="","",IFERROR(VLOOKUP($C117,Lookups!$D$4:$E$7,2,FALSE),"Unknown"))</f>
        <v>Winter</v>
      </c>
      <c r="AA117" s="5" t="str">
        <f>IF($A117="","",IFERROR(VLOOKUP($I117,Lookups!$A$4:$B$7,2,FALSE),"Unknown"))</f>
        <v>Clear</v>
      </c>
      <c r="AB117" s="5" t="str">
        <f>IF($A117="","",TEXT($F117,"00")&amp;":00")</f>
        <v>00:00</v>
      </c>
      <c r="AC117" s="5" t="str">
        <f>IF($A117="","",VLOOKUP($F117,Lookups!$G$4:$H$8,2,TRUE))</f>
        <v>Night (00-05)</v>
      </c>
      <c r="AD117" s="18">
        <f>IF($A117="","",IF($J117="","",ROUND($J117*41,1)))</f>
        <v>7.4</v>
      </c>
      <c r="AE117" s="18">
        <f>IF($A117="","",IF($R117="","",ROUND($R117*50,1)))</f>
        <v>12.1</v>
      </c>
      <c r="AF117" s="5">
        <f>IF($A117="","",IF($L117="","",ROUND($L117*100,0)))</f>
        <v>55</v>
      </c>
      <c r="AG117" s="18">
        <f>IF($A117="","",IF($M117="","",ROUND($M117*67,1)))</f>
        <v>0</v>
      </c>
      <c r="AH117" s="19">
        <f>IF($A117="","",IF($P117="","",IF($P117=0,0,$O117/$P117)))</f>
        <v>1</v>
      </c>
      <c r="AI117" s="5" t="str">
        <f>IF($A117="","",IF($P117="","",IF($P117&gt;=Lookups!$K$7,"High",IF($P117&lt;=Lookups!$K$8,"Low","Medium"))))</f>
        <v>Low</v>
      </c>
      <c r="AJ117" s="5" t="str">
        <f>IF($A117="","",IF($AD117="","",IF($AD117&lt;5,"Under 5 C",IF($AD117&lt;10,"5-10 C",IF($AD117&lt;15,"10-15 C","15 C and above")))))</f>
        <v>5-10 C</v>
      </c>
      <c r="AK117" s="5">
        <f>IF($A117="","",IF($P117="","",$P117^2))</f>
        <v>121</v>
      </c>
      <c r="AL117" s="18">
        <f>IF($V117&lt;&gt;1,"",AVERAGEIFS(Clean_Data!$P$2:$P$1001,Clean_Data!$F$2:$F$1001,$F117,Clean_Data!$W$2:$W$1001,$W117,Clean_Data!$V$2:$V$1001,1))</f>
        <v>10.6896551724138</v>
      </c>
      <c r="AM117" s="16">
        <f>IF($V117&lt;&gt;1,"",IFERROR(($P117-$AL117)/SQRT(MAX(0,(SUMIFS(Clean_Data!$AK$2:$AK$1001,Clean_Data!$F$2:$F$1001,$F117,Clean_Data!$W$2:$W$1001,$W117,Clean_Data!$V$2:$V$1001,1)-COUNTIFS(Clean_Data!$F$2:$F$1001,$F117,Clean_Data!$W$2:$W$1001,$W117,Clean_Data!$V$2:$V$1001,1)*$AL117^2)/(COUNTIFS(Clean_Data!$F$2:$F$1001,$F117,Clean_Data!$W$2:$W$1001,$W117,Clean_Data!$V$2:$V$1001,1)-1))),""))</f>
        <v>0.0634335593477067</v>
      </c>
      <c r="AN117" s="5" t="str">
        <f>IF($AM117="","",IF($AM117&gt;=Lookups!$K$6,"High spike",IF($AM117&lt;=-Lookups!$K$6,"Unusual low","Normal")))</f>
        <v>Normal</v>
      </c>
      <c r="AO117" s="20">
        <f>IF($V117&lt;&gt;1,"",$P117+ROW()/100000)</f>
        <v>11.00117</v>
      </c>
      <c r="AP117" s="5">
        <f>IF($A117="","",IFERROR(MATCH($A117,Raw_D1!$A$2:$A$1001,0),""))</f>
        <v>116</v>
      </c>
      <c r="AQ117" s="5">
        <f>IF($A117="","",IFERROR(MATCH($A117,Raw_D2!$B$2:$B$1001,0),""))</f>
        <v>116</v>
      </c>
      <c r="AR117" s="5">
        <f>IF($A117="","",IFERROR(MATCH($A117,Raw_D3!$A$2:$A$1001,0),""))</f>
        <v/>
      </c>
    </row>
    <row r="118" spans="1:44" x14ac:dyDescent="0.25">
      <c r="A118" s="5">
        <v>117</v>
      </c>
      <c r="B118" s="11">
        <f>IF($A118="","",IF($AP118&lt;&gt;"",INDEX(Raw_D1!$B$2:$B$1001,$AP118),IF($AR118&lt;&gt;"",INDEX(Raw_D3!$B$2:$B$1001,$AR118),"")))</f>
        <v>40549.0</v>
      </c>
      <c r="C118" s="5">
        <f>IF($A118="","",IF($AP118&lt;&gt;"",INDEX(Raw_D1!$C$2:$C$1001,$AP118),IF($AR118&lt;&gt;"",INDEX(Raw_D3!$C$2:$C$1001,$AR118),"")))</f>
        <v>1</v>
      </c>
      <c r="D118" s="5">
        <f>IF($A118="","",IF($AP118&lt;&gt;"",INDEX(Raw_D1!$D$2:$D$1001,$AP118),IF($AR118&lt;&gt;"",INDEX(Raw_D3!$D$2:$D$1001,$AR118),"")))</f>
        <v>0</v>
      </c>
      <c r="E118" s="5">
        <f>IF($A118="","",IF($AP118&lt;&gt;"",INDEX(Raw_D1!$E$2:$E$1001,$AP118),IF($AR118&lt;&gt;"",INDEX(Raw_D3!$E$2:$E$1001,$AR118),"")))</f>
        <v>1</v>
      </c>
      <c r="F118" s="5">
        <f>IF($A118="","",IF($AP118&lt;&gt;"",INDEX(Raw_D1!$F$2:$F$1001,$AP118),IF($AR118&lt;&gt;"",INDEX(Raw_D3!$F$2:$F$1001,$AR118),"")))</f>
        <v>1</v>
      </c>
      <c r="G118" s="5">
        <f>IF($A118="","",IF($AP118&lt;&gt;"",IF(INDEX(Raw_D1!$G$2:$G$1001,$AP118),1,0),IF($AR118&lt;&gt;"",IF(INDEX(Raw_D3!$G$2:$G$1001,$AR118),1,0),"")))</f>
        <v>0</v>
      </c>
      <c r="H118" s="5">
        <f>IF($A118="","",IF($AP118&lt;&gt;"",INDEX(Raw_D1!$H$2:$H$1001,$AP118),IF($AR118&lt;&gt;"",INDEX(Raw_D3!$H$2:$H$1001,$AR118),"")))</f>
        <v>4</v>
      </c>
      <c r="I118" s="5">
        <f>IF($A118="","",IF($AP118&lt;&gt;"",INDEX(Raw_D1!$I$2:$I$1001,$AP118),IF($AR118&lt;&gt;"",INDEX(Raw_D3!$I$2:$I$1001,$AR118),"")))</f>
        <v>1</v>
      </c>
      <c r="J118" s="16">
        <f>IF($A118="","",IF($AP118&lt;&gt;"",INDEX(Raw_D1!$J$2:$J$1001,$AP118),IF($AR118&lt;&gt;"",INDEX(Raw_D3!$J$2:$J$1001,$AR118),"")))</f>
        <v>0.16</v>
      </c>
      <c r="K118" s="17">
        <f>IF($A118="","",IF($AQ118&lt;&gt;"",IF(INDEX(Raw_D2!$C$2:$C$1001,$AQ118)="","",INDEX(Raw_D2!$C$2:$C$1001,$AQ118)),IF($AR118&lt;&gt;"",IF(INDEX(Raw_D3!$K$2:$K$1001,$AR118)="","",INDEX(Raw_D3!$K$2:$K$1001,$AR118)),"")))</f>
        <v>0.2273</v>
      </c>
      <c r="L118" s="16">
        <f>IF($A118="","",IF($AQ118&lt;&gt;"",IF(INDEX(Raw_D2!$D$2:$D$1001,$AQ118)="","",INDEX(Raw_D2!$D$2:$D$1001,$AQ118)),IF($AR118&lt;&gt;"",IF(INDEX(Raw_D3!$L$2:$L$1001,$AR118)="","",INDEX(Raw_D3!$L$2:$L$1001,$AR118)),"")))</f>
        <v>0.64</v>
      </c>
      <c r="M118" s="17">
        <f>IF($A118="","",IF($AQ118&lt;&gt;"",IF(INDEX(Raw_D2!$E$2:$E$1001,$AQ118)="","",INDEX(Raw_D2!$E$2:$E$1001,$AQ118)),IF($AR118&lt;&gt;"",IF(INDEX(Raw_D3!$M$2:$M$1001,$AR118)="","",INDEX(Raw_D3!$M$2:$M$1001,$AR118)),"")))</f>
        <v>0</v>
      </c>
      <c r="N118" s="5">
        <f>IF($A118="","",IF($AQ118&lt;&gt;"",IF(INDEX(Raw_D2!$F$2:$F$1001,$AQ118)="","",INDEX(Raw_D2!$F$2:$F$1001,$AQ118)),IF($AR118&lt;&gt;"",IF(INDEX(Raw_D3!$N$2:$N$1001,$AR118)="","",INDEX(Raw_D3!$N$2:$N$1001,$AR118)),"")))</f>
        <v>0</v>
      </c>
      <c r="O118" s="5">
        <f>IF($A118="","",IF($AQ118&lt;&gt;"",IF(INDEX(Raw_D2!$G$2:$G$1001,$AQ118)="","",INDEX(Raw_D2!$G$2:$G$1001,$AQ118)),IF($AR118&lt;&gt;"",IF(INDEX(Raw_D3!$O$2:$O$1001,$AR118)="","",INDEX(Raw_D3!$O$2:$O$1001,$AR118)),"")))</f>
        <v>4</v>
      </c>
      <c r="P118" s="5">
        <f>IF($A118="","",IF($AQ118&lt;&gt;"",IF(INDEX(Raw_D2!$H$2:$H$1001,$AQ118)="","",INDEX(Raw_D2!$H$2:$H$1001,$AQ118)),IF($AR118&lt;&gt;"",IF(INDEX(Raw_D3!$P$2:$P$1001,$AR118)="","",INDEX(Raw_D3!$P$2:$P$1001,$AR118)),"")))</f>
        <v>4</v>
      </c>
      <c r="Q118" s="5" t="str">
        <f>IF($A118="","",IF(AND($AP118&lt;&gt;"",$AQ118&lt;&gt;""),"D1+D2",IF($AR118&lt;&gt;"","D3","Incomplete")))</f>
        <v>D1+D2</v>
      </c>
      <c r="R118" s="17">
        <f>IF($A118="","",IF($K118="",IF($J118="","",ROUND(Lookups!$K$5+Lookups!$K$4*$J118,4)),$K118))</f>
        <v>0.2273</v>
      </c>
      <c r="S118" s="5" t="str">
        <f>IF($A118="","",IF($K118="","Imputed","Original"))</f>
        <v>Original</v>
      </c>
      <c r="T118" s="5" t="str">
        <f>IF($A118="","",IF($P118="","Missing",IF($P118=$N118+$O118,"OK","Mismatch")))</f>
        <v>OK</v>
      </c>
      <c r="U118" s="5" t="str">
        <f>IF($A118="","",IF(COUNTIF($A$2:$A118,$A118)&gt;1,"Duplicate","Unique"))</f>
        <v>Unique</v>
      </c>
      <c r="V118" s="5">
        <f>IF($A118="","",IF(AND($U118="Unique",ISNUMBER($P118)),1,0))</f>
        <v>1</v>
      </c>
      <c r="W118" s="5" t="str">
        <f>IF($A118="","",IF(OR($H118=0,$H118=6),"Weekend","Weekday"))</f>
        <v>Weekday</v>
      </c>
      <c r="X118" s="5" t="str">
        <f>IF($A118="","",TEXT($B118,"ddd"))</f>
        <v>Thu</v>
      </c>
      <c r="Y118" s="5" t="str">
        <f>IF($A118="","",TEXT($B118,"mmm"))</f>
        <v>Jan</v>
      </c>
      <c r="Z118" s="5" t="str">
        <f>IF($A118="","",IFERROR(VLOOKUP($C118,Lookups!$D$4:$E$7,2,FALSE),"Unknown"))</f>
        <v>Winter</v>
      </c>
      <c r="AA118" s="5" t="str">
        <f>IF($A118="","",IFERROR(VLOOKUP($I118,Lookups!$A$4:$B$7,2,FALSE),"Unknown"))</f>
        <v>Clear</v>
      </c>
      <c r="AB118" s="5" t="str">
        <f>IF($A118="","",TEXT($F118,"00")&amp;":00")</f>
        <v>01:00</v>
      </c>
      <c r="AC118" s="5" t="str">
        <f>IF($A118="","",VLOOKUP($F118,Lookups!$G$4:$H$8,2,TRUE))</f>
        <v>Night (00-05)</v>
      </c>
      <c r="AD118" s="18">
        <f>IF($A118="","",IF($J118="","",ROUND($J118*41,1)))</f>
        <v>6.6</v>
      </c>
      <c r="AE118" s="18">
        <f>IF($A118="","",IF($R118="","",ROUND($R118*50,1)))</f>
        <v>11.4</v>
      </c>
      <c r="AF118" s="5">
        <f>IF($A118="","",IF($L118="","",ROUND($L118*100,0)))</f>
        <v>64</v>
      </c>
      <c r="AG118" s="18">
        <f>IF($A118="","",IF($M118="","",ROUND($M118*67,1)))</f>
        <v>0</v>
      </c>
      <c r="AH118" s="19">
        <f>IF($A118="","",IF($P118="","",IF($P118=0,0,$O118/$P118)))</f>
        <v>1</v>
      </c>
      <c r="AI118" s="5" t="str">
        <f>IF($A118="","",IF($P118="","",IF($P118&gt;=Lookups!$K$7,"High",IF($P118&lt;=Lookups!$K$8,"Low","Medium"))))</f>
        <v>Low</v>
      </c>
      <c r="AJ118" s="5" t="str">
        <f>IF($A118="","",IF($AD118="","",IF($AD118&lt;5,"Under 5 C",IF($AD118&lt;10,"5-10 C",IF($AD118&lt;15,"10-15 C","15 C and above")))))</f>
        <v>5-10 C</v>
      </c>
      <c r="AK118" s="5">
        <f>IF($A118="","",IF($P118="","",$P118^2))</f>
        <v>16</v>
      </c>
      <c r="AL118" s="18">
        <f>IF($V118&lt;&gt;1,"",AVERAGEIFS(Clean_Data!$P$2:$P$1001,Clean_Data!$F$2:$F$1001,$F118,Clean_Data!$W$2:$W$1001,$W118,Clean_Data!$V$2:$V$1001,1))</f>
        <v>5.10344827586207</v>
      </c>
      <c r="AM118" s="16">
        <f>IF($V118&lt;&gt;1,"",IFERROR(($P118-$AL118)/SQRT(MAX(0,(SUMIFS(Clean_Data!$AK$2:$AK$1001,Clean_Data!$F$2:$F$1001,$F118,Clean_Data!$W$2:$W$1001,$W118,Clean_Data!$V$2:$V$1001,1)-COUNTIFS(Clean_Data!$F$2:$F$1001,$F118,Clean_Data!$W$2:$W$1001,$W118,Clean_Data!$V$2:$V$1001,1)*$AL118^2)/(COUNTIFS(Clean_Data!$F$2:$F$1001,$F118,Clean_Data!$W$2:$W$1001,$W118,Clean_Data!$V$2:$V$1001,1)-1))),""))</f>
        <v>-0.382774024251172</v>
      </c>
      <c r="AN118" s="5" t="str">
        <f>IF($AM118="","",IF($AM118&gt;=Lookups!$K$6,"High spike",IF($AM118&lt;=-Lookups!$K$6,"Unusual low","Normal")))</f>
        <v>Normal</v>
      </c>
      <c r="AO118" s="20">
        <f>IF($V118&lt;&gt;1,"",$P118+ROW()/100000)</f>
        <v>4.00118</v>
      </c>
      <c r="AP118" s="5">
        <f>IF($A118="","",IFERROR(MATCH($A118,Raw_D1!$A$2:$A$1001,0),""))</f>
        <v>117</v>
      </c>
      <c r="AQ118" s="5">
        <f>IF($A118="","",IFERROR(MATCH($A118,Raw_D2!$B$2:$B$1001,0),""))</f>
        <v>117</v>
      </c>
      <c r="AR118" s="5">
        <f>IF($A118="","",IFERROR(MATCH($A118,Raw_D3!$A$2:$A$1001,0),""))</f>
        <v/>
      </c>
    </row>
    <row r="119" spans="1:44" x14ac:dyDescent="0.25">
      <c r="A119" s="5">
        <v>118</v>
      </c>
      <c r="B119" s="11">
        <f>IF($A119="","",IF($AP119&lt;&gt;"",INDEX(Raw_D1!$B$2:$B$1001,$AP119),IF($AR119&lt;&gt;"",INDEX(Raw_D3!$B$2:$B$1001,$AR119),"")))</f>
        <v>40549.0</v>
      </c>
      <c r="C119" s="5">
        <f>IF($A119="","",IF($AP119&lt;&gt;"",INDEX(Raw_D1!$C$2:$C$1001,$AP119),IF($AR119&lt;&gt;"",INDEX(Raw_D3!$C$2:$C$1001,$AR119),"")))</f>
        <v>1</v>
      </c>
      <c r="D119" s="5">
        <f>IF($A119="","",IF($AP119&lt;&gt;"",INDEX(Raw_D1!$D$2:$D$1001,$AP119),IF($AR119&lt;&gt;"",INDEX(Raw_D3!$D$2:$D$1001,$AR119),"")))</f>
        <v>0</v>
      </c>
      <c r="E119" s="5">
        <f>IF($A119="","",IF($AP119&lt;&gt;"",INDEX(Raw_D1!$E$2:$E$1001,$AP119),IF($AR119&lt;&gt;"",INDEX(Raw_D3!$E$2:$E$1001,$AR119),"")))</f>
        <v>1</v>
      </c>
      <c r="F119" s="5">
        <f>IF($A119="","",IF($AP119&lt;&gt;"",INDEX(Raw_D1!$F$2:$F$1001,$AP119),IF($AR119&lt;&gt;"",INDEX(Raw_D3!$F$2:$F$1001,$AR119),"")))</f>
        <v>2</v>
      </c>
      <c r="G119" s="5">
        <f>IF($A119="","",IF($AP119&lt;&gt;"",IF(INDEX(Raw_D1!$G$2:$G$1001,$AP119),1,0),IF($AR119&lt;&gt;"",IF(INDEX(Raw_D3!$G$2:$G$1001,$AR119),1,0),"")))</f>
        <v>0</v>
      </c>
      <c r="H119" s="5">
        <f>IF($A119="","",IF($AP119&lt;&gt;"",INDEX(Raw_D1!$H$2:$H$1001,$AP119),IF($AR119&lt;&gt;"",INDEX(Raw_D3!$H$2:$H$1001,$AR119),"")))</f>
        <v>4</v>
      </c>
      <c r="I119" s="5">
        <f>IF($A119="","",IF($AP119&lt;&gt;"",INDEX(Raw_D1!$I$2:$I$1001,$AP119),IF($AR119&lt;&gt;"",INDEX(Raw_D3!$I$2:$I$1001,$AR119),"")))</f>
        <v>1</v>
      </c>
      <c r="J119" s="16">
        <f>IF($A119="","",IF($AP119&lt;&gt;"",INDEX(Raw_D1!$J$2:$J$1001,$AP119),IF($AR119&lt;&gt;"",INDEX(Raw_D3!$J$2:$J$1001,$AR119),"")))</f>
        <v>0.16</v>
      </c>
      <c r="K119" s="17">
        <f>IF($A119="","",IF($AQ119&lt;&gt;"",IF(INDEX(Raw_D2!$C$2:$C$1001,$AQ119)="","",INDEX(Raw_D2!$C$2:$C$1001,$AQ119)),IF($AR119&lt;&gt;"",IF(INDEX(Raw_D3!$K$2:$K$1001,$AR119)="","",INDEX(Raw_D3!$K$2:$K$1001,$AR119)),"")))</f>
        <v>0.2273</v>
      </c>
      <c r="L119" s="16">
        <f>IF($A119="","",IF($AQ119&lt;&gt;"",IF(INDEX(Raw_D2!$D$2:$D$1001,$AQ119)="","",INDEX(Raw_D2!$D$2:$D$1001,$AQ119)),IF($AR119&lt;&gt;"",IF(INDEX(Raw_D3!$L$2:$L$1001,$AR119)="","",INDEX(Raw_D3!$L$2:$L$1001,$AR119)),"")))</f>
        <v>0.64</v>
      </c>
      <c r="M119" s="17">
        <f>IF($A119="","",IF($AQ119&lt;&gt;"",IF(INDEX(Raw_D2!$E$2:$E$1001,$AQ119)="","",INDEX(Raw_D2!$E$2:$E$1001,$AQ119)),IF($AR119&lt;&gt;"",IF(INDEX(Raw_D3!$M$2:$M$1001,$AR119)="","",INDEX(Raw_D3!$M$2:$M$1001,$AR119)),"")))</f>
        <v>0</v>
      </c>
      <c r="N119" s="5">
        <f>IF($A119="","",IF($AQ119&lt;&gt;"",IF(INDEX(Raw_D2!$F$2:$F$1001,$AQ119)="","",INDEX(Raw_D2!$F$2:$F$1001,$AQ119)),IF($AR119&lt;&gt;"",IF(INDEX(Raw_D3!$N$2:$N$1001,$AR119)="","",INDEX(Raw_D3!$N$2:$N$1001,$AR119)),"")))</f>
        <v>0</v>
      </c>
      <c r="O119" s="5">
        <f>IF($A119="","",IF($AQ119&lt;&gt;"",IF(INDEX(Raw_D2!$G$2:$G$1001,$AQ119)="","",INDEX(Raw_D2!$G$2:$G$1001,$AQ119)),IF($AR119&lt;&gt;"",IF(INDEX(Raw_D3!$O$2:$O$1001,$AR119)="","",INDEX(Raw_D3!$O$2:$O$1001,$AR119)),"")))</f>
        <v>2</v>
      </c>
      <c r="P119" s="5">
        <f>IF($A119="","",IF($AQ119&lt;&gt;"",IF(INDEX(Raw_D2!$H$2:$H$1001,$AQ119)="","",INDEX(Raw_D2!$H$2:$H$1001,$AQ119)),IF($AR119&lt;&gt;"",IF(INDEX(Raw_D3!$P$2:$P$1001,$AR119)="","",INDEX(Raw_D3!$P$2:$P$1001,$AR119)),"")))</f>
        <v>2</v>
      </c>
      <c r="Q119" s="5" t="str">
        <f>IF($A119="","",IF(AND($AP119&lt;&gt;"",$AQ119&lt;&gt;""),"D1+D2",IF($AR119&lt;&gt;"","D3","Incomplete")))</f>
        <v>D1+D2</v>
      </c>
      <c r="R119" s="17">
        <f>IF($A119="","",IF($K119="",IF($J119="","",ROUND(Lookups!$K$5+Lookups!$K$4*$J119,4)),$K119))</f>
        <v>0.2273</v>
      </c>
      <c r="S119" s="5" t="str">
        <f>IF($A119="","",IF($K119="","Imputed","Original"))</f>
        <v>Original</v>
      </c>
      <c r="T119" s="5" t="str">
        <f>IF($A119="","",IF($P119="","Missing",IF($P119=$N119+$O119,"OK","Mismatch")))</f>
        <v>OK</v>
      </c>
      <c r="U119" s="5" t="str">
        <f>IF($A119="","",IF(COUNTIF($A$2:$A119,$A119)&gt;1,"Duplicate","Unique"))</f>
        <v>Unique</v>
      </c>
      <c r="V119" s="5">
        <f>IF($A119="","",IF(AND($U119="Unique",ISNUMBER($P119)),1,0))</f>
        <v>1</v>
      </c>
      <c r="W119" s="5" t="str">
        <f>IF($A119="","",IF(OR($H119=0,$H119=6),"Weekend","Weekday"))</f>
        <v>Weekday</v>
      </c>
      <c r="X119" s="5" t="str">
        <f>IF($A119="","",TEXT($B119,"ddd"))</f>
        <v>Thu</v>
      </c>
      <c r="Y119" s="5" t="str">
        <f>IF($A119="","",TEXT($B119,"mmm"))</f>
        <v>Jan</v>
      </c>
      <c r="Z119" s="5" t="str">
        <f>IF($A119="","",IFERROR(VLOOKUP($C119,Lookups!$D$4:$E$7,2,FALSE),"Unknown"))</f>
        <v>Winter</v>
      </c>
      <c r="AA119" s="5" t="str">
        <f>IF($A119="","",IFERROR(VLOOKUP($I119,Lookups!$A$4:$B$7,2,FALSE),"Unknown"))</f>
        <v>Clear</v>
      </c>
      <c r="AB119" s="5" t="str">
        <f>IF($A119="","",TEXT($F119,"00")&amp;":00")</f>
        <v>02:00</v>
      </c>
      <c r="AC119" s="5" t="str">
        <f>IF($A119="","",VLOOKUP($F119,Lookups!$G$4:$H$8,2,TRUE))</f>
        <v>Night (00-05)</v>
      </c>
      <c r="AD119" s="18">
        <f>IF($A119="","",IF($J119="","",ROUND($J119*41,1)))</f>
        <v>6.6</v>
      </c>
      <c r="AE119" s="18">
        <f>IF($A119="","",IF($R119="","",ROUND($R119*50,1)))</f>
        <v>11.4</v>
      </c>
      <c r="AF119" s="5">
        <f>IF($A119="","",IF($L119="","",ROUND($L119*100,0)))</f>
        <v>64</v>
      </c>
      <c r="AG119" s="18">
        <f>IF($A119="","",IF($M119="","",ROUND($M119*67,1)))</f>
        <v>0</v>
      </c>
      <c r="AH119" s="19">
        <f>IF($A119="","",IF($P119="","",IF($P119=0,0,$O119/$P119)))</f>
        <v>1</v>
      </c>
      <c r="AI119" s="5" t="str">
        <f>IF($A119="","",IF($P119="","",IF($P119&gt;=Lookups!$K$7,"High",IF($P119&lt;=Lookups!$K$8,"Low","Medium"))))</f>
        <v>Low</v>
      </c>
      <c r="AJ119" s="5" t="str">
        <f>IF($A119="","",IF($AD119="","",IF($AD119&lt;5,"Under 5 C",IF($AD119&lt;10,"5-10 C",IF($AD119&lt;15,"10-15 C","15 C and above")))))</f>
        <v>5-10 C</v>
      </c>
      <c r="AK119" s="5">
        <f>IF($A119="","",IF($P119="","",$P119^2))</f>
        <v>4</v>
      </c>
      <c r="AL119" s="18">
        <f>IF($V119&lt;&gt;1,"",AVERAGEIFS(Clean_Data!$P$2:$P$1001,Clean_Data!$F$2:$F$1001,$F119,Clean_Data!$W$2:$W$1001,$W119,Clean_Data!$V$2:$V$1001,1))</f>
        <v>2.62962962962963</v>
      </c>
      <c r="AM119" s="16">
        <f>IF($V119&lt;&gt;1,"",IFERROR(($P119-$AL119)/SQRT(MAX(0,(SUMIFS(Clean_Data!$AK$2:$AK$1001,Clean_Data!$F$2:$F$1001,$F119,Clean_Data!$W$2:$W$1001,$W119,Clean_Data!$V$2:$V$1001,1)-COUNTIFS(Clean_Data!$F$2:$F$1001,$F119,Clean_Data!$W$2:$W$1001,$W119,Clean_Data!$V$2:$V$1001,1)*$AL119^2)/(COUNTIFS(Clean_Data!$F$2:$F$1001,$F119,Clean_Data!$W$2:$W$1001,$W119,Clean_Data!$V$2:$V$1001,1)-1))),""))</f>
        <v>-0.311395810225326</v>
      </c>
      <c r="AN119" s="5" t="str">
        <f>IF($AM119="","",IF($AM119&gt;=Lookups!$K$6,"High spike",IF($AM119&lt;=-Lookups!$K$6,"Unusual low","Normal")))</f>
        <v>Normal</v>
      </c>
      <c r="AO119" s="20">
        <f>IF($V119&lt;&gt;1,"",$P119+ROW()/100000)</f>
        <v>2.00119</v>
      </c>
      <c r="AP119" s="5">
        <f>IF($A119="","",IFERROR(MATCH($A119,Raw_D1!$A$2:$A$1001,0),""))</f>
        <v>118</v>
      </c>
      <c r="AQ119" s="5">
        <f>IF($A119="","",IFERROR(MATCH($A119,Raw_D2!$B$2:$B$1001,0),""))</f>
        <v>118</v>
      </c>
      <c r="AR119" s="5">
        <f>IF($A119="","",IFERROR(MATCH($A119,Raw_D3!$A$2:$A$1001,0),""))</f>
        <v/>
      </c>
    </row>
    <row r="120" spans="1:44" x14ac:dyDescent="0.25">
      <c r="A120" s="5">
        <v>119</v>
      </c>
      <c r="B120" s="11">
        <f>IF($A120="","",IF($AP120&lt;&gt;"",INDEX(Raw_D1!$B$2:$B$1001,$AP120),IF($AR120&lt;&gt;"",INDEX(Raw_D3!$B$2:$B$1001,$AR120),"")))</f>
        <v>40549.0</v>
      </c>
      <c r="C120" s="5">
        <f>IF($A120="","",IF($AP120&lt;&gt;"",INDEX(Raw_D1!$C$2:$C$1001,$AP120),IF($AR120&lt;&gt;"",INDEX(Raw_D3!$C$2:$C$1001,$AR120),"")))</f>
        <v>1</v>
      </c>
      <c r="D120" s="5">
        <f>IF($A120="","",IF($AP120&lt;&gt;"",INDEX(Raw_D1!$D$2:$D$1001,$AP120),IF($AR120&lt;&gt;"",INDEX(Raw_D3!$D$2:$D$1001,$AR120),"")))</f>
        <v>0</v>
      </c>
      <c r="E120" s="5">
        <f>IF($A120="","",IF($AP120&lt;&gt;"",INDEX(Raw_D1!$E$2:$E$1001,$AP120),IF($AR120&lt;&gt;"",INDEX(Raw_D3!$E$2:$E$1001,$AR120),"")))</f>
        <v>1</v>
      </c>
      <c r="F120" s="5">
        <f>IF($A120="","",IF($AP120&lt;&gt;"",INDEX(Raw_D1!$F$2:$F$1001,$AP120),IF($AR120&lt;&gt;"",INDEX(Raw_D3!$F$2:$F$1001,$AR120),"")))</f>
        <v>4</v>
      </c>
      <c r="G120" s="5">
        <f>IF($A120="","",IF($AP120&lt;&gt;"",IF(INDEX(Raw_D1!$G$2:$G$1001,$AP120),1,0),IF($AR120&lt;&gt;"",IF(INDEX(Raw_D3!$G$2:$G$1001,$AR120),1,0),"")))</f>
        <v>0</v>
      </c>
      <c r="H120" s="5">
        <f>IF($A120="","",IF($AP120&lt;&gt;"",INDEX(Raw_D1!$H$2:$H$1001,$AP120),IF($AR120&lt;&gt;"",INDEX(Raw_D3!$H$2:$H$1001,$AR120),"")))</f>
        <v>4</v>
      </c>
      <c r="I120" s="5">
        <f>IF($A120="","",IF($AP120&lt;&gt;"",INDEX(Raw_D1!$I$2:$I$1001,$AP120),IF($AR120&lt;&gt;"",INDEX(Raw_D3!$I$2:$I$1001,$AR120),"")))</f>
        <v>2</v>
      </c>
      <c r="J120" s="16">
        <f>IF($A120="","",IF($AP120&lt;&gt;"",INDEX(Raw_D1!$J$2:$J$1001,$AP120),IF($AR120&lt;&gt;"",INDEX(Raw_D3!$J$2:$J$1001,$AR120),"")))</f>
        <v>0.16</v>
      </c>
      <c r="K120" s="17">
        <f>IF($A120="","",IF($AQ120&lt;&gt;"",IF(INDEX(Raw_D2!$C$2:$C$1001,$AQ120)="","",INDEX(Raw_D2!$C$2:$C$1001,$AQ120)),IF($AR120&lt;&gt;"",IF(INDEX(Raw_D3!$K$2:$K$1001,$AR120)="","",INDEX(Raw_D3!$K$2:$K$1001,$AR120)),"")))</f>
        <v>0.197</v>
      </c>
      <c r="L120" s="16">
        <f>IF($A120="","",IF($AQ120&lt;&gt;"",IF(INDEX(Raw_D2!$D$2:$D$1001,$AQ120)="","",INDEX(Raw_D2!$D$2:$D$1001,$AQ120)),IF($AR120&lt;&gt;"",IF(INDEX(Raw_D3!$L$2:$L$1001,$AR120)="","",INDEX(Raw_D3!$L$2:$L$1001,$AR120)),"")))</f>
        <v>0.64</v>
      </c>
      <c r="M120" s="17">
        <f>IF($A120="","",IF($AQ120&lt;&gt;"",IF(INDEX(Raw_D2!$E$2:$E$1001,$AQ120)="","",INDEX(Raw_D2!$E$2:$E$1001,$AQ120)),IF($AR120&lt;&gt;"",IF(INDEX(Raw_D3!$M$2:$M$1001,$AR120)="","",INDEX(Raw_D3!$M$2:$M$1001,$AR120)),"")))</f>
        <v>0.0896</v>
      </c>
      <c r="N120" s="5">
        <f>IF($A120="","",IF($AQ120&lt;&gt;"",IF(INDEX(Raw_D2!$F$2:$F$1001,$AQ120)="","",INDEX(Raw_D2!$F$2:$F$1001,$AQ120)),IF($AR120&lt;&gt;"",IF(INDEX(Raw_D3!$N$2:$N$1001,$AR120)="","",INDEX(Raw_D3!$N$2:$N$1001,$AR120)),"")))</f>
        <v>0</v>
      </c>
      <c r="O120" s="5">
        <f>IF($A120="","",IF($AQ120&lt;&gt;"",IF(INDEX(Raw_D2!$G$2:$G$1001,$AQ120)="","",INDEX(Raw_D2!$G$2:$G$1001,$AQ120)),IF($AR120&lt;&gt;"",IF(INDEX(Raw_D3!$O$2:$O$1001,$AR120)="","",INDEX(Raw_D3!$O$2:$O$1001,$AR120)),"")))</f>
        <v>1</v>
      </c>
      <c r="P120" s="5">
        <f>IF($A120="","",IF($AQ120&lt;&gt;"",IF(INDEX(Raw_D2!$H$2:$H$1001,$AQ120)="","",INDEX(Raw_D2!$H$2:$H$1001,$AQ120)),IF($AR120&lt;&gt;"",IF(INDEX(Raw_D3!$P$2:$P$1001,$AR120)="","",INDEX(Raw_D3!$P$2:$P$1001,$AR120)),"")))</f>
        <v>1</v>
      </c>
      <c r="Q120" s="5" t="str">
        <f>IF($A120="","",IF(AND($AP120&lt;&gt;"",$AQ120&lt;&gt;""),"D1+D2",IF($AR120&lt;&gt;"","D3","Incomplete")))</f>
        <v>D1+D2</v>
      </c>
      <c r="R120" s="17">
        <f>IF($A120="","",IF($K120="",IF($J120="","",ROUND(Lookups!$K$5+Lookups!$K$4*$J120,4)),$K120))</f>
        <v>0.197</v>
      </c>
      <c r="S120" s="5" t="str">
        <f>IF($A120="","",IF($K120="","Imputed","Original"))</f>
        <v>Original</v>
      </c>
      <c r="T120" s="5" t="str">
        <f>IF($A120="","",IF($P120="","Missing",IF($P120=$N120+$O120,"OK","Mismatch")))</f>
        <v>OK</v>
      </c>
      <c r="U120" s="5" t="str">
        <f>IF($A120="","",IF(COUNTIF($A$2:$A120,$A120)&gt;1,"Duplicate","Unique"))</f>
        <v>Unique</v>
      </c>
      <c r="V120" s="5">
        <f>IF($A120="","",IF(AND($U120="Unique",ISNUMBER($P120)),1,0))</f>
        <v>1</v>
      </c>
      <c r="W120" s="5" t="str">
        <f>IF($A120="","",IF(OR($H120=0,$H120=6),"Weekend","Weekday"))</f>
        <v>Weekday</v>
      </c>
      <c r="X120" s="5" t="str">
        <f>IF($A120="","",TEXT($B120,"ddd"))</f>
        <v>Thu</v>
      </c>
      <c r="Y120" s="5" t="str">
        <f>IF($A120="","",TEXT($B120,"mmm"))</f>
        <v>Jan</v>
      </c>
      <c r="Z120" s="5" t="str">
        <f>IF($A120="","",IFERROR(VLOOKUP($C120,Lookups!$D$4:$E$7,2,FALSE),"Unknown"))</f>
        <v>Winter</v>
      </c>
      <c r="AA120" s="5" t="str">
        <f>IF($A120="","",IFERROR(VLOOKUP($I120,Lookups!$A$4:$B$7,2,FALSE),"Unknown"))</f>
        <v>Mist/Cloudy</v>
      </c>
      <c r="AB120" s="5" t="str">
        <f>IF($A120="","",TEXT($F120,"00")&amp;":00")</f>
        <v>04:00</v>
      </c>
      <c r="AC120" s="5" t="str">
        <f>IF($A120="","",VLOOKUP($F120,Lookups!$G$4:$H$8,2,TRUE))</f>
        <v>Night (00-05)</v>
      </c>
      <c r="AD120" s="18">
        <f>IF($A120="","",IF($J120="","",ROUND($J120*41,1)))</f>
        <v>6.6</v>
      </c>
      <c r="AE120" s="18">
        <f>IF($A120="","",IF($R120="","",ROUND($R120*50,1)))</f>
        <v>9.9</v>
      </c>
      <c r="AF120" s="5">
        <f>IF($A120="","",IF($L120="","",ROUND($L120*100,0)))</f>
        <v>64</v>
      </c>
      <c r="AG120" s="18">
        <f>IF($A120="","",IF($M120="","",ROUND($M120*67,1)))</f>
        <v>6</v>
      </c>
      <c r="AH120" s="19">
        <f>IF($A120="","",IF($P120="","",IF($P120=0,0,$O120/$P120)))</f>
        <v>1</v>
      </c>
      <c r="AI120" s="5" t="str">
        <f>IF($A120="","",IF($P120="","",IF($P120&gt;=Lookups!$K$7,"High",IF($P120&lt;=Lookups!$K$8,"Low","Medium"))))</f>
        <v>Low</v>
      </c>
      <c r="AJ120" s="5" t="str">
        <f>IF($A120="","",IF($AD120="","",IF($AD120&lt;5,"Under 5 C",IF($AD120&lt;10,"5-10 C",IF($AD120&lt;15,"10-15 C","15 C and above")))))</f>
        <v>5-10 C</v>
      </c>
      <c r="AK120" s="5">
        <f>IF($A120="","",IF($P120="","",$P120^2))</f>
        <v>1</v>
      </c>
      <c r="AL120" s="18">
        <f>IF($V120&lt;&gt;1,"",AVERAGEIFS(Clean_Data!$P$2:$P$1001,Clean_Data!$F$2:$F$1001,$F120,Clean_Data!$W$2:$W$1001,$W120,Clean_Data!$V$2:$V$1001,1))</f>
        <v>1.78947368421053</v>
      </c>
      <c r="AM120" s="16">
        <f>IF($V120&lt;&gt;1,"",IFERROR(($P120-$AL120)/SQRT(MAX(0,(SUMIFS(Clean_Data!$AK$2:$AK$1001,Clean_Data!$F$2:$F$1001,$F120,Clean_Data!$W$2:$W$1001,$W120,Clean_Data!$V$2:$V$1001,1)-COUNTIFS(Clean_Data!$F$2:$F$1001,$F120,Clean_Data!$W$2:$W$1001,$W120,Clean_Data!$V$2:$V$1001,1)*$AL120^2)/(COUNTIFS(Clean_Data!$F$2:$F$1001,$F120,Clean_Data!$W$2:$W$1001,$W120,Clean_Data!$V$2:$V$1001,1)-1))),""))</f>
        <v>-0.860309002014607</v>
      </c>
      <c r="AN120" s="5" t="str">
        <f>IF($AM120="","",IF($AM120&gt;=Lookups!$K$6,"High spike",IF($AM120&lt;=-Lookups!$K$6,"Unusual low","Normal")))</f>
        <v>Normal</v>
      </c>
      <c r="AO120" s="20">
        <f>IF($V120&lt;&gt;1,"",$P120+ROW()/100000)</f>
        <v>1.0012</v>
      </c>
      <c r="AP120" s="5">
        <f>IF($A120="","",IFERROR(MATCH($A120,Raw_D1!$A$2:$A$1001,0),""))</f>
        <v>119</v>
      </c>
      <c r="AQ120" s="5">
        <f>IF($A120="","",IFERROR(MATCH($A120,Raw_D2!$B$2:$B$1001,0),""))</f>
        <v>119</v>
      </c>
      <c r="AR120" s="5">
        <f>IF($A120="","",IFERROR(MATCH($A120,Raw_D3!$A$2:$A$1001,0),""))</f>
        <v/>
      </c>
    </row>
    <row r="121" spans="1:44" x14ac:dyDescent="0.25">
      <c r="A121" s="5">
        <v>120</v>
      </c>
      <c r="B121" s="11">
        <f>IF($A121="","",IF($AP121&lt;&gt;"",INDEX(Raw_D1!$B$2:$B$1001,$AP121),IF($AR121&lt;&gt;"",INDEX(Raw_D3!$B$2:$B$1001,$AR121),"")))</f>
        <v>40549.0</v>
      </c>
      <c r="C121" s="5">
        <f>IF($A121="","",IF($AP121&lt;&gt;"",INDEX(Raw_D1!$C$2:$C$1001,$AP121),IF($AR121&lt;&gt;"",INDEX(Raw_D3!$C$2:$C$1001,$AR121),"")))</f>
        <v>1</v>
      </c>
      <c r="D121" s="5">
        <f>IF($A121="","",IF($AP121&lt;&gt;"",INDEX(Raw_D1!$D$2:$D$1001,$AP121),IF($AR121&lt;&gt;"",INDEX(Raw_D3!$D$2:$D$1001,$AR121),"")))</f>
        <v>0</v>
      </c>
      <c r="E121" s="5">
        <f>IF($A121="","",IF($AP121&lt;&gt;"",INDEX(Raw_D1!$E$2:$E$1001,$AP121),IF($AR121&lt;&gt;"",INDEX(Raw_D3!$E$2:$E$1001,$AR121),"")))</f>
        <v>1</v>
      </c>
      <c r="F121" s="5">
        <f>IF($A121="","",IF($AP121&lt;&gt;"",INDEX(Raw_D1!$F$2:$F$1001,$AP121),IF($AR121&lt;&gt;"",INDEX(Raw_D3!$F$2:$F$1001,$AR121),"")))</f>
        <v>5</v>
      </c>
      <c r="G121" s="5">
        <f>IF($A121="","",IF($AP121&lt;&gt;"",IF(INDEX(Raw_D1!$G$2:$G$1001,$AP121),1,0),IF($AR121&lt;&gt;"",IF(INDEX(Raw_D3!$G$2:$G$1001,$AR121),1,0),"")))</f>
        <v>0</v>
      </c>
      <c r="H121" s="5">
        <f>IF($A121="","",IF($AP121&lt;&gt;"",INDEX(Raw_D1!$H$2:$H$1001,$AP121),IF($AR121&lt;&gt;"",INDEX(Raw_D3!$H$2:$H$1001,$AR121),"")))</f>
        <v>4</v>
      </c>
      <c r="I121" s="5">
        <f>IF($A121="","",IF($AP121&lt;&gt;"",INDEX(Raw_D1!$I$2:$I$1001,$AP121),IF($AR121&lt;&gt;"",INDEX(Raw_D3!$I$2:$I$1001,$AR121),"")))</f>
        <v>2</v>
      </c>
      <c r="J121" s="16">
        <f>IF($A121="","",IF($AP121&lt;&gt;"",INDEX(Raw_D1!$J$2:$J$1001,$AP121),IF($AR121&lt;&gt;"",INDEX(Raw_D3!$J$2:$J$1001,$AR121),"")))</f>
        <v>0.14</v>
      </c>
      <c r="K121" s="17">
        <f>IF($A121="","",IF($AQ121&lt;&gt;"",IF(INDEX(Raw_D2!$C$2:$C$1001,$AQ121)="","",INDEX(Raw_D2!$C$2:$C$1001,$AQ121)),IF($AR121&lt;&gt;"",IF(INDEX(Raw_D3!$K$2:$K$1001,$AR121)="","",INDEX(Raw_D3!$K$2:$K$1001,$AR121)),"")))</f>
        <v>0.1818</v>
      </c>
      <c r="L121" s="16">
        <f>IF($A121="","",IF($AQ121&lt;&gt;"",IF(INDEX(Raw_D2!$D$2:$D$1001,$AQ121)="","",INDEX(Raw_D2!$D$2:$D$1001,$AQ121)),IF($AR121&lt;&gt;"",IF(INDEX(Raw_D3!$L$2:$L$1001,$AR121)="","",INDEX(Raw_D3!$L$2:$L$1001,$AR121)),"")))</f>
        <v>0.69</v>
      </c>
      <c r="M121" s="17">
        <f>IF($A121="","",IF($AQ121&lt;&gt;"",IF(INDEX(Raw_D2!$E$2:$E$1001,$AQ121)="","",INDEX(Raw_D2!$E$2:$E$1001,$AQ121)),IF($AR121&lt;&gt;"",IF(INDEX(Raw_D3!$M$2:$M$1001,$AR121)="","",INDEX(Raw_D3!$M$2:$M$1001,$AR121)),"")))</f>
        <v>0.0896</v>
      </c>
      <c r="N121" s="5">
        <f>IF($A121="","",IF($AQ121&lt;&gt;"",IF(INDEX(Raw_D2!$F$2:$F$1001,$AQ121)="","",INDEX(Raw_D2!$F$2:$F$1001,$AQ121)),IF($AR121&lt;&gt;"",IF(INDEX(Raw_D3!$N$2:$N$1001,$AR121)="","",INDEX(Raw_D3!$N$2:$N$1001,$AR121)),"")))</f>
        <v>0</v>
      </c>
      <c r="O121" s="5">
        <f>IF($A121="","",IF($AQ121&lt;&gt;"",IF(INDEX(Raw_D2!$G$2:$G$1001,$AQ121)="","",INDEX(Raw_D2!$G$2:$G$1001,$AQ121)),IF($AR121&lt;&gt;"",IF(INDEX(Raw_D3!$O$2:$O$1001,$AR121)="","",INDEX(Raw_D3!$O$2:$O$1001,$AR121)),"")))</f>
        <v>4</v>
      </c>
      <c r="P121" s="5">
        <f>IF($A121="","",IF($AQ121&lt;&gt;"",IF(INDEX(Raw_D2!$H$2:$H$1001,$AQ121)="","",INDEX(Raw_D2!$H$2:$H$1001,$AQ121)),IF($AR121&lt;&gt;"",IF(INDEX(Raw_D3!$P$2:$P$1001,$AR121)="","",INDEX(Raw_D3!$P$2:$P$1001,$AR121)),"")))</f>
        <v>4</v>
      </c>
      <c r="Q121" s="5" t="str">
        <f>IF($A121="","",IF(AND($AP121&lt;&gt;"",$AQ121&lt;&gt;""),"D1+D2",IF($AR121&lt;&gt;"","D3","Incomplete")))</f>
        <v>D1+D2</v>
      </c>
      <c r="R121" s="17">
        <f>IF($A121="","",IF($K121="",IF($J121="","",ROUND(Lookups!$K$5+Lookups!$K$4*$J121,4)),$K121))</f>
        <v>0.1818</v>
      </c>
      <c r="S121" s="5" t="str">
        <f>IF($A121="","",IF($K121="","Imputed","Original"))</f>
        <v>Original</v>
      </c>
      <c r="T121" s="5" t="str">
        <f>IF($A121="","",IF($P121="","Missing",IF($P121=$N121+$O121,"OK","Mismatch")))</f>
        <v>OK</v>
      </c>
      <c r="U121" s="5" t="str">
        <f>IF($A121="","",IF(COUNTIF($A$2:$A121,$A121)&gt;1,"Duplicate","Unique"))</f>
        <v>Unique</v>
      </c>
      <c r="V121" s="5">
        <f>IF($A121="","",IF(AND($U121="Unique",ISNUMBER($P121)),1,0))</f>
        <v>1</v>
      </c>
      <c r="W121" s="5" t="str">
        <f>IF($A121="","",IF(OR($H121=0,$H121=6),"Weekend","Weekday"))</f>
        <v>Weekday</v>
      </c>
      <c r="X121" s="5" t="str">
        <f>IF($A121="","",TEXT($B121,"ddd"))</f>
        <v>Thu</v>
      </c>
      <c r="Y121" s="5" t="str">
        <f>IF($A121="","",TEXT($B121,"mmm"))</f>
        <v>Jan</v>
      </c>
      <c r="Z121" s="5" t="str">
        <f>IF($A121="","",IFERROR(VLOOKUP($C121,Lookups!$D$4:$E$7,2,FALSE),"Unknown"))</f>
        <v>Winter</v>
      </c>
      <c r="AA121" s="5" t="str">
        <f>IF($A121="","",IFERROR(VLOOKUP($I121,Lookups!$A$4:$B$7,2,FALSE),"Unknown"))</f>
        <v>Mist/Cloudy</v>
      </c>
      <c r="AB121" s="5" t="str">
        <f>IF($A121="","",TEXT($F121,"00")&amp;":00")</f>
        <v>05:00</v>
      </c>
      <c r="AC121" s="5" t="str">
        <f>IF($A121="","",VLOOKUP($F121,Lookups!$G$4:$H$8,2,TRUE))</f>
        <v>Night (00-05)</v>
      </c>
      <c r="AD121" s="18">
        <f>IF($A121="","",IF($J121="","",ROUND($J121*41,1)))</f>
        <v>5.7</v>
      </c>
      <c r="AE121" s="18">
        <f>IF($A121="","",IF($R121="","",ROUND($R121*50,1)))</f>
        <v>9.1</v>
      </c>
      <c r="AF121" s="5">
        <f>IF($A121="","",IF($L121="","",ROUND($L121*100,0)))</f>
        <v>69</v>
      </c>
      <c r="AG121" s="18">
        <f>IF($A121="","",IF($M121="","",ROUND($M121*67,1)))</f>
        <v>6</v>
      </c>
      <c r="AH121" s="19">
        <f>IF($A121="","",IF($P121="","",IF($P121=0,0,$O121/$P121)))</f>
        <v>1</v>
      </c>
      <c r="AI121" s="5" t="str">
        <f>IF($A121="","",IF($P121="","",IF($P121&gt;=Lookups!$K$7,"High",IF($P121&lt;=Lookups!$K$8,"Low","Medium"))))</f>
        <v>Low</v>
      </c>
      <c r="AJ121" s="5" t="str">
        <f>IF($A121="","",IF($AD121="","",IF($AD121&lt;5,"Under 5 C",IF($AD121&lt;10,"5-10 C",IF($AD121&lt;15,"10-15 C","15 C and above")))))</f>
        <v>5-10 C</v>
      </c>
      <c r="AK121" s="5">
        <f>IF($A121="","",IF($P121="","",$P121^2))</f>
        <v>16</v>
      </c>
      <c r="AL121" s="18">
        <f>IF($V121&lt;&gt;1,"",AVERAGEIFS(Clean_Data!$P$2:$P$1001,Clean_Data!$F$2:$F$1001,$F121,Clean_Data!$W$2:$W$1001,$W121,Clean_Data!$V$2:$V$1001,1))</f>
        <v>4.72413793103448</v>
      </c>
      <c r="AM121" s="16">
        <f>IF($V121&lt;&gt;1,"",IFERROR(($P121-$AL121)/SQRT(MAX(0,(SUMIFS(Clean_Data!$AK$2:$AK$1001,Clean_Data!$F$2:$F$1001,$F121,Clean_Data!$W$2:$W$1001,$W121,Clean_Data!$V$2:$V$1001,1)-COUNTIFS(Clean_Data!$F$2:$F$1001,$F121,Clean_Data!$W$2:$W$1001,$W121,Clean_Data!$V$2:$V$1001,1)*$AL121^2)/(COUNTIFS(Clean_Data!$F$2:$F$1001,$F121,Clean_Data!$W$2:$W$1001,$W121,Clean_Data!$V$2:$V$1001,1)-1))),""))</f>
        <v>-0.308981076614558</v>
      </c>
      <c r="AN121" s="5" t="str">
        <f>IF($AM121="","",IF($AM121&gt;=Lookups!$K$6,"High spike",IF($AM121&lt;=-Lookups!$K$6,"Unusual low","Normal")))</f>
        <v>Normal</v>
      </c>
      <c r="AO121" s="20">
        <f>IF($V121&lt;&gt;1,"",$P121+ROW()/100000)</f>
        <v>4.00121</v>
      </c>
      <c r="AP121" s="5">
        <f>IF($A121="","",IFERROR(MATCH($A121,Raw_D1!$A$2:$A$1001,0),""))</f>
        <v>120</v>
      </c>
      <c r="AQ121" s="5">
        <f>IF($A121="","",IFERROR(MATCH($A121,Raw_D2!$B$2:$B$1001,0),""))</f>
        <v>120</v>
      </c>
      <c r="AR121" s="5">
        <f>IF($A121="","",IFERROR(MATCH($A121,Raw_D3!$A$2:$A$1001,0),""))</f>
        <v/>
      </c>
    </row>
    <row r="122" spans="1:44" x14ac:dyDescent="0.25">
      <c r="A122" s="5">
        <v>121</v>
      </c>
      <c r="B122" s="11">
        <f>IF($A122="","",IF($AP122&lt;&gt;"",INDEX(Raw_D1!$B$2:$B$1001,$AP122),IF($AR122&lt;&gt;"",INDEX(Raw_D3!$B$2:$B$1001,$AR122),"")))</f>
        <v>40549.0</v>
      </c>
      <c r="C122" s="5">
        <f>IF($A122="","",IF($AP122&lt;&gt;"",INDEX(Raw_D1!$C$2:$C$1001,$AP122),IF($AR122&lt;&gt;"",INDEX(Raw_D3!$C$2:$C$1001,$AR122),"")))</f>
        <v>1</v>
      </c>
      <c r="D122" s="5">
        <f>IF($A122="","",IF($AP122&lt;&gt;"",INDEX(Raw_D1!$D$2:$D$1001,$AP122),IF($AR122&lt;&gt;"",INDEX(Raw_D3!$D$2:$D$1001,$AR122),"")))</f>
        <v>0</v>
      </c>
      <c r="E122" s="5">
        <f>IF($A122="","",IF($AP122&lt;&gt;"",INDEX(Raw_D1!$E$2:$E$1001,$AP122),IF($AR122&lt;&gt;"",INDEX(Raw_D3!$E$2:$E$1001,$AR122),"")))</f>
        <v>1</v>
      </c>
      <c r="F122" s="5">
        <f>IF($A122="","",IF($AP122&lt;&gt;"",INDEX(Raw_D1!$F$2:$F$1001,$AP122),IF($AR122&lt;&gt;"",INDEX(Raw_D3!$F$2:$F$1001,$AR122),"")))</f>
        <v>6</v>
      </c>
      <c r="G122" s="5">
        <f>IF($A122="","",IF($AP122&lt;&gt;"",IF(INDEX(Raw_D1!$G$2:$G$1001,$AP122),1,0),IF($AR122&lt;&gt;"",IF(INDEX(Raw_D3!$G$2:$G$1001,$AR122),1,0),"")))</f>
        <v>0</v>
      </c>
      <c r="H122" s="5">
        <f>IF($A122="","",IF($AP122&lt;&gt;"",INDEX(Raw_D1!$H$2:$H$1001,$AP122),IF($AR122&lt;&gt;"",INDEX(Raw_D3!$H$2:$H$1001,$AR122),"")))</f>
        <v>4</v>
      </c>
      <c r="I122" s="5">
        <f>IF($A122="","",IF($AP122&lt;&gt;"",INDEX(Raw_D1!$I$2:$I$1001,$AP122),IF($AR122&lt;&gt;"",INDEX(Raw_D3!$I$2:$I$1001,$AR122),"")))</f>
        <v>2</v>
      </c>
      <c r="J122" s="16">
        <f>IF($A122="","",IF($AP122&lt;&gt;"",INDEX(Raw_D1!$J$2:$J$1001,$AP122),IF($AR122&lt;&gt;"",INDEX(Raw_D3!$J$2:$J$1001,$AR122),"")))</f>
        <v>0.14</v>
      </c>
      <c r="K122" s="17">
        <f>IF($A122="","",IF($AQ122&lt;&gt;"",IF(INDEX(Raw_D2!$C$2:$C$1001,$AQ122)="","",INDEX(Raw_D2!$C$2:$C$1001,$AQ122)),IF($AR122&lt;&gt;"",IF(INDEX(Raw_D3!$K$2:$K$1001,$AR122)="","",INDEX(Raw_D3!$K$2:$K$1001,$AR122)),"")))</f>
        <v>0.1667</v>
      </c>
      <c r="L122" s="16">
        <f>IF($A122="","",IF($AQ122&lt;&gt;"",IF(INDEX(Raw_D2!$D$2:$D$1001,$AQ122)="","",INDEX(Raw_D2!$D$2:$D$1001,$AQ122)),IF($AR122&lt;&gt;"",IF(INDEX(Raw_D3!$L$2:$L$1001,$AR122)="","",INDEX(Raw_D3!$L$2:$L$1001,$AR122)),"")))</f>
        <v>0.63</v>
      </c>
      <c r="M122" s="17">
        <f>IF($A122="","",IF($AQ122&lt;&gt;"",IF(INDEX(Raw_D2!$E$2:$E$1001,$AQ122)="","",INDEX(Raw_D2!$E$2:$E$1001,$AQ122)),IF($AR122&lt;&gt;"",IF(INDEX(Raw_D3!$M$2:$M$1001,$AR122)="","",INDEX(Raw_D3!$M$2:$M$1001,$AR122)),"")))</f>
        <v>0.1045</v>
      </c>
      <c r="N122" s="5">
        <f>IF($A122="","",IF($AQ122&lt;&gt;"",IF(INDEX(Raw_D2!$F$2:$F$1001,$AQ122)="","",INDEX(Raw_D2!$F$2:$F$1001,$AQ122)),IF($AR122&lt;&gt;"",IF(INDEX(Raw_D3!$N$2:$N$1001,$AR122)="","",INDEX(Raw_D3!$N$2:$N$1001,$AR122)),"")))</f>
        <v>0</v>
      </c>
      <c r="O122" s="5">
        <f>IF($A122="","",IF($AQ122&lt;&gt;"",IF(INDEX(Raw_D2!$G$2:$G$1001,$AQ122)="","",INDEX(Raw_D2!$G$2:$G$1001,$AQ122)),IF($AR122&lt;&gt;"",IF(INDEX(Raw_D3!$O$2:$O$1001,$AR122)="","",INDEX(Raw_D3!$O$2:$O$1001,$AR122)),"")))</f>
        <v>36</v>
      </c>
      <c r="P122" s="5">
        <f>IF($A122="","",IF($AQ122&lt;&gt;"",IF(INDEX(Raw_D2!$H$2:$H$1001,$AQ122)="","",INDEX(Raw_D2!$H$2:$H$1001,$AQ122)),IF($AR122&lt;&gt;"",IF(INDEX(Raw_D3!$P$2:$P$1001,$AR122)="","",INDEX(Raw_D3!$P$2:$P$1001,$AR122)),"")))</f>
        <v>36</v>
      </c>
      <c r="Q122" s="5" t="str">
        <f>IF($A122="","",IF(AND($AP122&lt;&gt;"",$AQ122&lt;&gt;""),"D1+D2",IF($AR122&lt;&gt;"","D3","Incomplete")))</f>
        <v>D1+D2</v>
      </c>
      <c r="R122" s="17">
        <f>IF($A122="","",IF($K122="",IF($J122="","",ROUND(Lookups!$K$5+Lookups!$K$4*$J122,4)),$K122))</f>
        <v>0.1667</v>
      </c>
      <c r="S122" s="5" t="str">
        <f>IF($A122="","",IF($K122="","Imputed","Original"))</f>
        <v>Original</v>
      </c>
      <c r="T122" s="5" t="str">
        <f>IF($A122="","",IF($P122="","Missing",IF($P122=$N122+$O122,"OK","Mismatch")))</f>
        <v>OK</v>
      </c>
      <c r="U122" s="5" t="str">
        <f>IF($A122="","",IF(COUNTIF($A$2:$A122,$A122)&gt;1,"Duplicate","Unique"))</f>
        <v>Unique</v>
      </c>
      <c r="V122" s="5">
        <f>IF($A122="","",IF(AND($U122="Unique",ISNUMBER($P122)),1,0))</f>
        <v>1</v>
      </c>
      <c r="W122" s="5" t="str">
        <f>IF($A122="","",IF(OR($H122=0,$H122=6),"Weekend","Weekday"))</f>
        <v>Weekday</v>
      </c>
      <c r="X122" s="5" t="str">
        <f>IF($A122="","",TEXT($B122,"ddd"))</f>
        <v>Thu</v>
      </c>
      <c r="Y122" s="5" t="str">
        <f>IF($A122="","",TEXT($B122,"mmm"))</f>
        <v>Jan</v>
      </c>
      <c r="Z122" s="5" t="str">
        <f>IF($A122="","",IFERROR(VLOOKUP($C122,Lookups!$D$4:$E$7,2,FALSE),"Unknown"))</f>
        <v>Winter</v>
      </c>
      <c r="AA122" s="5" t="str">
        <f>IF($A122="","",IFERROR(VLOOKUP($I122,Lookups!$A$4:$B$7,2,FALSE),"Unknown"))</f>
        <v>Mist/Cloudy</v>
      </c>
      <c r="AB122" s="5" t="str">
        <f>IF($A122="","",TEXT($F122,"00")&amp;":00")</f>
        <v>06:00</v>
      </c>
      <c r="AC122" s="5" t="str">
        <f>IF($A122="","",VLOOKUP($F122,Lookups!$G$4:$H$8,2,TRUE))</f>
        <v>Morning Peak (06-09)</v>
      </c>
      <c r="AD122" s="18">
        <f>IF($A122="","",IF($J122="","",ROUND($J122*41,1)))</f>
        <v>5.7</v>
      </c>
      <c r="AE122" s="18">
        <f>IF($A122="","",IF($R122="","",ROUND($R122*50,1)))</f>
        <v>8.3</v>
      </c>
      <c r="AF122" s="5">
        <f>IF($A122="","",IF($L122="","",ROUND($L122*100,0)))</f>
        <v>63</v>
      </c>
      <c r="AG122" s="18">
        <f>IF($A122="","",IF($M122="","",ROUND($M122*67,1)))</f>
        <v>7</v>
      </c>
      <c r="AH122" s="19">
        <f>IF($A122="","",IF($P122="","",IF($P122=0,0,$O122/$P122)))</f>
        <v>1</v>
      </c>
      <c r="AI122" s="5" t="str">
        <f>IF($A122="","",IF($P122="","",IF($P122&gt;=Lookups!$K$7,"High",IF($P122&lt;=Lookups!$K$8,"Low","Medium"))))</f>
        <v>Medium</v>
      </c>
      <c r="AJ122" s="5" t="str">
        <f>IF($A122="","",IF($AD122="","",IF($AD122&lt;5,"Under 5 C",IF($AD122&lt;10,"5-10 C",IF($AD122&lt;15,"10-15 C","15 C and above")))))</f>
        <v>5-10 C</v>
      </c>
      <c r="AK122" s="5">
        <f>IF($A122="","",IF($P122="","",$P122^2))</f>
        <v>1296</v>
      </c>
      <c r="AL122" s="18">
        <f>IF($V122&lt;&gt;1,"",AVERAGEIFS(Clean_Data!$P$2:$P$1001,Clean_Data!$F$2:$F$1001,$F122,Clean_Data!$W$2:$W$1001,$W122,Clean_Data!$V$2:$V$1001,1))</f>
        <v>27.3793103448276</v>
      </c>
      <c r="AM122" s="16">
        <f>IF($V122&lt;&gt;1,"",IFERROR(($P122-$AL122)/SQRT(MAX(0,(SUMIFS(Clean_Data!$AK$2:$AK$1001,Clean_Data!$F$2:$F$1001,$F122,Clean_Data!$W$2:$W$1001,$W122,Clean_Data!$V$2:$V$1001,1)-COUNTIFS(Clean_Data!$F$2:$F$1001,$F122,Clean_Data!$W$2:$W$1001,$W122,Clean_Data!$V$2:$V$1001,1)*$AL122^2)/(COUNTIFS(Clean_Data!$F$2:$F$1001,$F122,Clean_Data!$W$2:$W$1001,$W122,Clean_Data!$V$2:$V$1001,1)-1))),""))</f>
        <v>0.904968428813703</v>
      </c>
      <c r="AN122" s="5" t="str">
        <f>IF($AM122="","",IF($AM122&gt;=Lookups!$K$6,"High spike",IF($AM122&lt;=-Lookups!$K$6,"Unusual low","Normal")))</f>
        <v>Normal</v>
      </c>
      <c r="AO122" s="20">
        <f>IF($V122&lt;&gt;1,"",$P122+ROW()/100000)</f>
        <v>36.00122</v>
      </c>
      <c r="AP122" s="5">
        <f>IF($A122="","",IFERROR(MATCH($A122,Raw_D1!$A$2:$A$1001,0),""))</f>
        <v>121</v>
      </c>
      <c r="AQ122" s="5">
        <f>IF($A122="","",IFERROR(MATCH($A122,Raw_D2!$B$2:$B$1001,0),""))</f>
        <v>121</v>
      </c>
      <c r="AR122" s="5">
        <f>IF($A122="","",IFERROR(MATCH($A122,Raw_D3!$A$2:$A$1001,0),""))</f>
        <v/>
      </c>
    </row>
    <row r="123" spans="1:44" x14ac:dyDescent="0.25">
      <c r="A123" s="5">
        <v>122</v>
      </c>
      <c r="B123" s="11">
        <f>IF($A123="","",IF($AP123&lt;&gt;"",INDEX(Raw_D1!$B$2:$B$1001,$AP123),IF($AR123&lt;&gt;"",INDEX(Raw_D3!$B$2:$B$1001,$AR123),"")))</f>
        <v>40549.0</v>
      </c>
      <c r="C123" s="5">
        <f>IF($A123="","",IF($AP123&lt;&gt;"",INDEX(Raw_D1!$C$2:$C$1001,$AP123),IF($AR123&lt;&gt;"",INDEX(Raw_D3!$C$2:$C$1001,$AR123),"")))</f>
        <v>1</v>
      </c>
      <c r="D123" s="5">
        <f>IF($A123="","",IF($AP123&lt;&gt;"",INDEX(Raw_D1!$D$2:$D$1001,$AP123),IF($AR123&lt;&gt;"",INDEX(Raw_D3!$D$2:$D$1001,$AR123),"")))</f>
        <v>0</v>
      </c>
      <c r="E123" s="5">
        <f>IF($A123="","",IF($AP123&lt;&gt;"",INDEX(Raw_D1!$E$2:$E$1001,$AP123),IF($AR123&lt;&gt;"",INDEX(Raw_D3!$E$2:$E$1001,$AR123),"")))</f>
        <v>1</v>
      </c>
      <c r="F123" s="5">
        <f>IF($A123="","",IF($AP123&lt;&gt;"",INDEX(Raw_D1!$F$2:$F$1001,$AP123),IF($AR123&lt;&gt;"",INDEX(Raw_D3!$F$2:$F$1001,$AR123),"")))</f>
        <v>7</v>
      </c>
      <c r="G123" s="5">
        <f>IF($A123="","",IF($AP123&lt;&gt;"",IF(INDEX(Raw_D1!$G$2:$G$1001,$AP123),1,0),IF($AR123&lt;&gt;"",IF(INDEX(Raw_D3!$G$2:$G$1001,$AR123),1,0),"")))</f>
        <v>0</v>
      </c>
      <c r="H123" s="5">
        <f>IF($A123="","",IF($AP123&lt;&gt;"",INDEX(Raw_D1!$H$2:$H$1001,$AP123),IF($AR123&lt;&gt;"",INDEX(Raw_D3!$H$2:$H$1001,$AR123),"")))</f>
        <v>4</v>
      </c>
      <c r="I123" s="5">
        <f>IF($A123="","",IF($AP123&lt;&gt;"",INDEX(Raw_D1!$I$2:$I$1001,$AP123),IF($AR123&lt;&gt;"",INDEX(Raw_D3!$I$2:$I$1001,$AR123),"")))</f>
        <v>2</v>
      </c>
      <c r="J123" s="16">
        <f>IF($A123="","",IF($AP123&lt;&gt;"",INDEX(Raw_D1!$J$2:$J$1001,$AP123),IF($AR123&lt;&gt;"",INDEX(Raw_D3!$J$2:$J$1001,$AR123),"")))</f>
        <v>0.16</v>
      </c>
      <c r="K123" s="17">
        <f>IF($A123="","",IF($AQ123&lt;&gt;"",IF(INDEX(Raw_D2!$C$2:$C$1001,$AQ123)="","",INDEX(Raw_D2!$C$2:$C$1001,$AQ123)),IF($AR123&lt;&gt;"",IF(INDEX(Raw_D3!$K$2:$K$1001,$AR123)="","",INDEX(Raw_D3!$K$2:$K$1001,$AR123)),"")))</f>
        <v>0.2273</v>
      </c>
      <c r="L123" s="16">
        <f>IF($A123="","",IF($AQ123&lt;&gt;"",IF(INDEX(Raw_D2!$D$2:$D$1001,$AQ123)="","",INDEX(Raw_D2!$D$2:$D$1001,$AQ123)),IF($AR123&lt;&gt;"",IF(INDEX(Raw_D3!$L$2:$L$1001,$AR123)="","",INDEX(Raw_D3!$L$2:$L$1001,$AR123)),"")))</f>
        <v>0.59</v>
      </c>
      <c r="M123" s="17">
        <f>IF($A123="","",IF($AQ123&lt;&gt;"",IF(INDEX(Raw_D2!$E$2:$E$1001,$AQ123)="","",INDEX(Raw_D2!$E$2:$E$1001,$AQ123)),IF($AR123&lt;&gt;"",IF(INDEX(Raw_D3!$M$2:$M$1001,$AR123)="","",INDEX(Raw_D3!$M$2:$M$1001,$AR123)),"")))</f>
        <v>0</v>
      </c>
      <c r="N123" s="5">
        <f>IF($A123="","",IF($AQ123&lt;&gt;"",IF(INDEX(Raw_D2!$F$2:$F$1001,$AQ123)="","",INDEX(Raw_D2!$F$2:$F$1001,$AQ123)),IF($AR123&lt;&gt;"",IF(INDEX(Raw_D3!$N$2:$N$1001,$AR123)="","",INDEX(Raw_D3!$N$2:$N$1001,$AR123)),"")))</f>
        <v>0</v>
      </c>
      <c r="O123" s="5">
        <f>IF($A123="","",IF($AQ123&lt;&gt;"",IF(INDEX(Raw_D2!$G$2:$G$1001,$AQ123)="","",INDEX(Raw_D2!$G$2:$G$1001,$AQ123)),IF($AR123&lt;&gt;"",IF(INDEX(Raw_D3!$O$2:$O$1001,$AR123)="","",INDEX(Raw_D3!$O$2:$O$1001,$AR123)),"")))</f>
        <v>95</v>
      </c>
      <c r="P123" s="5">
        <f>IF($A123="","",IF($AQ123&lt;&gt;"",IF(INDEX(Raw_D2!$H$2:$H$1001,$AQ123)="","",INDEX(Raw_D2!$H$2:$H$1001,$AQ123)),IF($AR123&lt;&gt;"",IF(INDEX(Raw_D3!$P$2:$P$1001,$AR123)="","",INDEX(Raw_D3!$P$2:$P$1001,$AR123)),"")))</f>
        <v>95</v>
      </c>
      <c r="Q123" s="5" t="str">
        <f>IF($A123="","",IF(AND($AP123&lt;&gt;"",$AQ123&lt;&gt;""),"D1+D2",IF($AR123&lt;&gt;"","D3","Incomplete")))</f>
        <v>D1+D2</v>
      </c>
      <c r="R123" s="17">
        <f>IF($A123="","",IF($K123="",IF($J123="","",ROUND(Lookups!$K$5+Lookups!$K$4*$J123,4)),$K123))</f>
        <v>0.2273</v>
      </c>
      <c r="S123" s="5" t="str">
        <f>IF($A123="","",IF($K123="","Imputed","Original"))</f>
        <v>Original</v>
      </c>
      <c r="T123" s="5" t="str">
        <f>IF($A123="","",IF($P123="","Missing",IF($P123=$N123+$O123,"OK","Mismatch")))</f>
        <v>OK</v>
      </c>
      <c r="U123" s="5" t="str">
        <f>IF($A123="","",IF(COUNTIF($A$2:$A123,$A123)&gt;1,"Duplicate","Unique"))</f>
        <v>Unique</v>
      </c>
      <c r="V123" s="5">
        <f>IF($A123="","",IF(AND($U123="Unique",ISNUMBER($P123)),1,0))</f>
        <v>1</v>
      </c>
      <c r="W123" s="5" t="str">
        <f>IF($A123="","",IF(OR($H123=0,$H123=6),"Weekend","Weekday"))</f>
        <v>Weekday</v>
      </c>
      <c r="X123" s="5" t="str">
        <f>IF($A123="","",TEXT($B123,"ddd"))</f>
        <v>Thu</v>
      </c>
      <c r="Y123" s="5" t="str">
        <f>IF($A123="","",TEXT($B123,"mmm"))</f>
        <v>Jan</v>
      </c>
      <c r="Z123" s="5" t="str">
        <f>IF($A123="","",IFERROR(VLOOKUP($C123,Lookups!$D$4:$E$7,2,FALSE),"Unknown"))</f>
        <v>Winter</v>
      </c>
      <c r="AA123" s="5" t="str">
        <f>IF($A123="","",IFERROR(VLOOKUP($I123,Lookups!$A$4:$B$7,2,FALSE),"Unknown"))</f>
        <v>Mist/Cloudy</v>
      </c>
      <c r="AB123" s="5" t="str">
        <f>IF($A123="","",TEXT($F123,"00")&amp;":00")</f>
        <v>07:00</v>
      </c>
      <c r="AC123" s="5" t="str">
        <f>IF($A123="","",VLOOKUP($F123,Lookups!$G$4:$H$8,2,TRUE))</f>
        <v>Morning Peak (06-09)</v>
      </c>
      <c r="AD123" s="18">
        <f>IF($A123="","",IF($J123="","",ROUND($J123*41,1)))</f>
        <v>6.6</v>
      </c>
      <c r="AE123" s="18">
        <f>IF($A123="","",IF($R123="","",ROUND($R123*50,1)))</f>
        <v>11.4</v>
      </c>
      <c r="AF123" s="5">
        <f>IF($A123="","",IF($L123="","",ROUND($L123*100,0)))</f>
        <v>59</v>
      </c>
      <c r="AG123" s="18">
        <f>IF($A123="","",IF($M123="","",ROUND($M123*67,1)))</f>
        <v>0</v>
      </c>
      <c r="AH123" s="19">
        <f>IF($A123="","",IF($P123="","",IF($P123=0,0,$O123/$P123)))</f>
        <v>1</v>
      </c>
      <c r="AI123" s="5" t="str">
        <f>IF($A123="","",IF($P123="","",IF($P123&gt;=Lookups!$K$7,"High",IF($P123&lt;=Lookups!$K$8,"Low","Medium"))))</f>
        <v>High</v>
      </c>
      <c r="AJ123" s="5" t="str">
        <f>IF($A123="","",IF($AD123="","",IF($AD123&lt;5,"Under 5 C",IF($AD123&lt;10,"5-10 C",IF($AD123&lt;15,"10-15 C","15 C and above")))))</f>
        <v>5-10 C</v>
      </c>
      <c r="AK123" s="5">
        <f>IF($A123="","",IF($P123="","",$P123^2))</f>
        <v>9025</v>
      </c>
      <c r="AL123" s="18">
        <f>IF($V123&lt;&gt;1,"",AVERAGEIFS(Clean_Data!$P$2:$P$1001,Clean_Data!$F$2:$F$1001,$F123,Clean_Data!$W$2:$W$1001,$W123,Clean_Data!$V$2:$V$1001,1))</f>
        <v>78.0344827586207</v>
      </c>
      <c r="AM123" s="16">
        <f>IF($V123&lt;&gt;1,"",IFERROR(($P123-$AL123)/SQRT(MAX(0,(SUMIFS(Clean_Data!$AK$2:$AK$1001,Clean_Data!$F$2:$F$1001,$F123,Clean_Data!$W$2:$W$1001,$W123,Clean_Data!$V$2:$V$1001,1)-COUNTIFS(Clean_Data!$F$2:$F$1001,$F123,Clean_Data!$W$2:$W$1001,$W123,Clean_Data!$V$2:$V$1001,1)*$AL123^2)/(COUNTIFS(Clean_Data!$F$2:$F$1001,$F123,Clean_Data!$W$2:$W$1001,$W123,Clean_Data!$V$2:$V$1001,1)-1))),""))</f>
        <v>0.749594935031323</v>
      </c>
      <c r="AN123" s="5" t="str">
        <f>IF($AM123="","",IF($AM123&gt;=Lookups!$K$6,"High spike",IF($AM123&lt;=-Lookups!$K$6,"Unusual low","Normal")))</f>
        <v>Normal</v>
      </c>
      <c r="AO123" s="20">
        <f>IF($V123&lt;&gt;1,"",$P123+ROW()/100000)</f>
        <v>95.00123</v>
      </c>
      <c r="AP123" s="5">
        <f>IF($A123="","",IFERROR(MATCH($A123,Raw_D1!$A$2:$A$1001,0),""))</f>
        <v>122</v>
      </c>
      <c r="AQ123" s="5">
        <f>IF($A123="","",IFERROR(MATCH($A123,Raw_D2!$B$2:$B$1001,0),""))</f>
        <v>122</v>
      </c>
      <c r="AR123" s="5">
        <f>IF($A123="","",IFERROR(MATCH($A123,Raw_D3!$A$2:$A$1001,0),""))</f>
        <v/>
      </c>
    </row>
    <row r="124" spans="1:44" x14ac:dyDescent="0.25">
      <c r="A124" s="5">
        <v>123</v>
      </c>
      <c r="B124" s="11">
        <f>IF($A124="","",IF($AP124&lt;&gt;"",INDEX(Raw_D1!$B$2:$B$1001,$AP124),IF($AR124&lt;&gt;"",INDEX(Raw_D3!$B$2:$B$1001,$AR124),"")))</f>
        <v>40549.0</v>
      </c>
      <c r="C124" s="5">
        <f>IF($A124="","",IF($AP124&lt;&gt;"",INDEX(Raw_D1!$C$2:$C$1001,$AP124),IF($AR124&lt;&gt;"",INDEX(Raw_D3!$C$2:$C$1001,$AR124),"")))</f>
        <v>1</v>
      </c>
      <c r="D124" s="5">
        <f>IF($A124="","",IF($AP124&lt;&gt;"",INDEX(Raw_D1!$D$2:$D$1001,$AP124),IF($AR124&lt;&gt;"",INDEX(Raw_D3!$D$2:$D$1001,$AR124),"")))</f>
        <v>0</v>
      </c>
      <c r="E124" s="5">
        <f>IF($A124="","",IF($AP124&lt;&gt;"",INDEX(Raw_D1!$E$2:$E$1001,$AP124),IF($AR124&lt;&gt;"",INDEX(Raw_D3!$E$2:$E$1001,$AR124),"")))</f>
        <v>1</v>
      </c>
      <c r="F124" s="5">
        <f>IF($A124="","",IF($AP124&lt;&gt;"",INDEX(Raw_D1!$F$2:$F$1001,$AP124),IF($AR124&lt;&gt;"",INDEX(Raw_D3!$F$2:$F$1001,$AR124),"")))</f>
        <v>8</v>
      </c>
      <c r="G124" s="5">
        <f>IF($A124="","",IF($AP124&lt;&gt;"",IF(INDEX(Raw_D1!$G$2:$G$1001,$AP124),1,0),IF($AR124&lt;&gt;"",IF(INDEX(Raw_D3!$G$2:$G$1001,$AR124),1,0),"")))</f>
        <v>0</v>
      </c>
      <c r="H124" s="5">
        <f>IF($A124="","",IF($AP124&lt;&gt;"",INDEX(Raw_D1!$H$2:$H$1001,$AP124),IF($AR124&lt;&gt;"",INDEX(Raw_D3!$H$2:$H$1001,$AR124),"")))</f>
        <v>4</v>
      </c>
      <c r="I124" s="5">
        <f>IF($A124="","",IF($AP124&lt;&gt;"",INDEX(Raw_D1!$I$2:$I$1001,$AP124),IF($AR124&lt;&gt;"",INDEX(Raw_D3!$I$2:$I$1001,$AR124),"")))</f>
        <v>1</v>
      </c>
      <c r="J124" s="16">
        <f>IF($A124="","",IF($AP124&lt;&gt;"",INDEX(Raw_D1!$J$2:$J$1001,$AP124),IF($AR124&lt;&gt;"",INDEX(Raw_D3!$J$2:$J$1001,$AR124),"")))</f>
        <v>0.16</v>
      </c>
      <c r="K124" s="17">
        <f>IF($A124="","",IF($AQ124&lt;&gt;"",IF(INDEX(Raw_D2!$C$2:$C$1001,$AQ124)="","",INDEX(Raw_D2!$C$2:$C$1001,$AQ124)),IF($AR124&lt;&gt;"",IF(INDEX(Raw_D3!$K$2:$K$1001,$AR124)="","",INDEX(Raw_D3!$K$2:$K$1001,$AR124)),"")))</f>
        <v>0.2273</v>
      </c>
      <c r="L124" s="16">
        <f>IF($A124="","",IF($AQ124&lt;&gt;"",IF(INDEX(Raw_D2!$D$2:$D$1001,$AQ124)="","",INDEX(Raw_D2!$D$2:$D$1001,$AQ124)),IF($AR124&lt;&gt;"",IF(INDEX(Raw_D3!$L$2:$L$1001,$AR124)="","",INDEX(Raw_D3!$L$2:$L$1001,$AR124)),"")))</f>
        <v>0.59</v>
      </c>
      <c r="M124" s="17">
        <f>IF($A124="","",IF($AQ124&lt;&gt;"",IF(INDEX(Raw_D2!$E$2:$E$1001,$AQ124)="","",INDEX(Raw_D2!$E$2:$E$1001,$AQ124)),IF($AR124&lt;&gt;"",IF(INDEX(Raw_D3!$M$2:$M$1001,$AR124)="","",INDEX(Raw_D3!$M$2:$M$1001,$AR124)),"")))</f>
        <v>0</v>
      </c>
      <c r="N124" s="5">
        <f>IF($A124="","",IF($AQ124&lt;&gt;"",IF(INDEX(Raw_D2!$F$2:$F$1001,$AQ124)="","",INDEX(Raw_D2!$F$2:$F$1001,$AQ124)),IF($AR124&lt;&gt;"",IF(INDEX(Raw_D3!$N$2:$N$1001,$AR124)="","",INDEX(Raw_D3!$N$2:$N$1001,$AR124)),"")))</f>
        <v>3</v>
      </c>
      <c r="O124" s="5">
        <f>IF($A124="","",IF($AQ124&lt;&gt;"",IF(INDEX(Raw_D2!$G$2:$G$1001,$AQ124)="","",INDEX(Raw_D2!$G$2:$G$1001,$AQ124)),IF($AR124&lt;&gt;"",IF(INDEX(Raw_D3!$O$2:$O$1001,$AR124)="","",INDEX(Raw_D3!$O$2:$O$1001,$AR124)),"")))</f>
        <v>216</v>
      </c>
      <c r="P124" s="5">
        <f>IF($A124="","",IF($AQ124&lt;&gt;"",IF(INDEX(Raw_D2!$H$2:$H$1001,$AQ124)="","",INDEX(Raw_D2!$H$2:$H$1001,$AQ124)),IF($AR124&lt;&gt;"",IF(INDEX(Raw_D3!$P$2:$P$1001,$AR124)="","",INDEX(Raw_D3!$P$2:$P$1001,$AR124)),"")))</f>
        <v>219</v>
      </c>
      <c r="Q124" s="5" t="str">
        <f>IF($A124="","",IF(AND($AP124&lt;&gt;"",$AQ124&lt;&gt;""),"D1+D2",IF($AR124&lt;&gt;"","D3","Incomplete")))</f>
        <v>D1+D2</v>
      </c>
      <c r="R124" s="17">
        <f>IF($A124="","",IF($K124="",IF($J124="","",ROUND(Lookups!$K$5+Lookups!$K$4*$J124,4)),$K124))</f>
        <v>0.2273</v>
      </c>
      <c r="S124" s="5" t="str">
        <f>IF($A124="","",IF($K124="","Imputed","Original"))</f>
        <v>Original</v>
      </c>
      <c r="T124" s="5" t="str">
        <f>IF($A124="","",IF($P124="","Missing",IF($P124=$N124+$O124,"OK","Mismatch")))</f>
        <v>OK</v>
      </c>
      <c r="U124" s="5" t="str">
        <f>IF($A124="","",IF(COUNTIF($A$2:$A124,$A124)&gt;1,"Duplicate","Unique"))</f>
        <v>Unique</v>
      </c>
      <c r="V124" s="5">
        <f>IF($A124="","",IF(AND($U124="Unique",ISNUMBER($P124)),1,0))</f>
        <v>1</v>
      </c>
      <c r="W124" s="5" t="str">
        <f>IF($A124="","",IF(OR($H124=0,$H124=6),"Weekend","Weekday"))</f>
        <v>Weekday</v>
      </c>
      <c r="X124" s="5" t="str">
        <f>IF($A124="","",TEXT($B124,"ddd"))</f>
        <v>Thu</v>
      </c>
      <c r="Y124" s="5" t="str">
        <f>IF($A124="","",TEXT($B124,"mmm"))</f>
        <v>Jan</v>
      </c>
      <c r="Z124" s="5" t="str">
        <f>IF($A124="","",IFERROR(VLOOKUP($C124,Lookups!$D$4:$E$7,2,FALSE),"Unknown"))</f>
        <v>Winter</v>
      </c>
      <c r="AA124" s="5" t="str">
        <f>IF($A124="","",IFERROR(VLOOKUP($I124,Lookups!$A$4:$B$7,2,FALSE),"Unknown"))</f>
        <v>Clear</v>
      </c>
      <c r="AB124" s="5" t="str">
        <f>IF($A124="","",TEXT($F124,"00")&amp;":00")</f>
        <v>08:00</v>
      </c>
      <c r="AC124" s="5" t="str">
        <f>IF($A124="","",VLOOKUP($F124,Lookups!$G$4:$H$8,2,TRUE))</f>
        <v>Morning Peak (06-09)</v>
      </c>
      <c r="AD124" s="18">
        <f>IF($A124="","",IF($J124="","",ROUND($J124*41,1)))</f>
        <v>6.6</v>
      </c>
      <c r="AE124" s="18">
        <f>IF($A124="","",IF($R124="","",ROUND($R124*50,1)))</f>
        <v>11.4</v>
      </c>
      <c r="AF124" s="5">
        <f>IF($A124="","",IF($L124="","",ROUND($L124*100,0)))</f>
        <v>59</v>
      </c>
      <c r="AG124" s="18">
        <f>IF($A124="","",IF($M124="","",ROUND($M124*67,1)))</f>
        <v>0</v>
      </c>
      <c r="AH124" s="19">
        <f>IF($A124="","",IF($P124="","",IF($P124=0,0,$O124/$P124)))</f>
        <v>0.986301369863014</v>
      </c>
      <c r="AI124" s="5" t="str">
        <f>IF($A124="","",IF($P124="","",IF($P124&gt;=Lookups!$K$7,"High",IF($P124&lt;=Lookups!$K$8,"Low","Medium"))))</f>
        <v>High</v>
      </c>
      <c r="AJ124" s="5" t="str">
        <f>IF($A124="","",IF($AD124="","",IF($AD124&lt;5,"Under 5 C",IF($AD124&lt;10,"5-10 C",IF($AD124&lt;15,"10-15 C","15 C and above")))))</f>
        <v>5-10 C</v>
      </c>
      <c r="AK124" s="5">
        <f>IF($A124="","",IF($P124="","",$P124^2))</f>
        <v>47961</v>
      </c>
      <c r="AL124" s="18">
        <f>IF($V124&lt;&gt;1,"",AVERAGEIFS(Clean_Data!$P$2:$P$1001,Clean_Data!$F$2:$F$1001,$F124,Clean_Data!$W$2:$W$1001,$W124,Clean_Data!$V$2:$V$1001,1))</f>
        <v>183.535714285714</v>
      </c>
      <c r="AM124" s="16">
        <f>IF($V124&lt;&gt;1,"",IFERROR(($P124-$AL124)/SQRT(MAX(0,(SUMIFS(Clean_Data!$AK$2:$AK$1001,Clean_Data!$F$2:$F$1001,$F124,Clean_Data!$W$2:$W$1001,$W124,Clean_Data!$V$2:$V$1001,1)-COUNTIFS(Clean_Data!$F$2:$F$1001,$F124,Clean_Data!$W$2:$W$1001,$W124,Clean_Data!$V$2:$V$1001,1)*$AL124^2)/(COUNTIFS(Clean_Data!$F$2:$F$1001,$F124,Clean_Data!$W$2:$W$1001,$W124,Clean_Data!$V$2:$V$1001,1)-1))),""))</f>
        <v>0.727621221203381</v>
      </c>
      <c r="AN124" s="5" t="str">
        <f>IF($AM124="","",IF($AM124&gt;=Lookups!$K$6,"High spike",IF($AM124&lt;=-Lookups!$K$6,"Unusual low","Normal")))</f>
        <v>Normal</v>
      </c>
      <c r="AO124" s="20">
        <f>IF($V124&lt;&gt;1,"",$P124+ROW()/100000)</f>
        <v>219.00124</v>
      </c>
      <c r="AP124" s="5">
        <f>IF($A124="","",IFERROR(MATCH($A124,Raw_D1!$A$2:$A$1001,0),""))</f>
        <v>123</v>
      </c>
      <c r="AQ124" s="5">
        <f>IF($A124="","",IFERROR(MATCH($A124,Raw_D2!$B$2:$B$1001,0),""))</f>
        <v>123</v>
      </c>
      <c r="AR124" s="5">
        <f>IF($A124="","",IFERROR(MATCH($A124,Raw_D3!$A$2:$A$1001,0),""))</f>
        <v/>
      </c>
    </row>
    <row r="125" spans="1:44" x14ac:dyDescent="0.25">
      <c r="A125" s="5">
        <v>124</v>
      </c>
      <c r="B125" s="11">
        <f>IF($A125="","",IF($AP125&lt;&gt;"",INDEX(Raw_D1!$B$2:$B$1001,$AP125),IF($AR125&lt;&gt;"",INDEX(Raw_D3!$B$2:$B$1001,$AR125),"")))</f>
        <v>40549.0</v>
      </c>
      <c r="C125" s="5">
        <f>IF($A125="","",IF($AP125&lt;&gt;"",INDEX(Raw_D1!$C$2:$C$1001,$AP125),IF($AR125&lt;&gt;"",INDEX(Raw_D3!$C$2:$C$1001,$AR125),"")))</f>
        <v>1</v>
      </c>
      <c r="D125" s="5">
        <f>IF($A125="","",IF($AP125&lt;&gt;"",INDEX(Raw_D1!$D$2:$D$1001,$AP125),IF($AR125&lt;&gt;"",INDEX(Raw_D3!$D$2:$D$1001,$AR125),"")))</f>
        <v>0</v>
      </c>
      <c r="E125" s="5">
        <f>IF($A125="","",IF($AP125&lt;&gt;"",INDEX(Raw_D1!$E$2:$E$1001,$AP125),IF($AR125&lt;&gt;"",INDEX(Raw_D3!$E$2:$E$1001,$AR125),"")))</f>
        <v>1</v>
      </c>
      <c r="F125" s="5">
        <f>IF($A125="","",IF($AP125&lt;&gt;"",INDEX(Raw_D1!$F$2:$F$1001,$AP125),IF($AR125&lt;&gt;"",INDEX(Raw_D3!$F$2:$F$1001,$AR125),"")))</f>
        <v>9</v>
      </c>
      <c r="G125" s="5">
        <f>IF($A125="","",IF($AP125&lt;&gt;"",IF(INDEX(Raw_D1!$G$2:$G$1001,$AP125),1,0),IF($AR125&lt;&gt;"",IF(INDEX(Raw_D3!$G$2:$G$1001,$AR125),1,0),"")))</f>
        <v>0</v>
      </c>
      <c r="H125" s="5">
        <f>IF($A125="","",IF($AP125&lt;&gt;"",INDEX(Raw_D1!$H$2:$H$1001,$AP125),IF($AR125&lt;&gt;"",INDEX(Raw_D3!$H$2:$H$1001,$AR125),"")))</f>
        <v>4</v>
      </c>
      <c r="I125" s="5">
        <f>IF($A125="","",IF($AP125&lt;&gt;"",INDEX(Raw_D1!$I$2:$I$1001,$AP125),IF($AR125&lt;&gt;"",INDEX(Raw_D3!$I$2:$I$1001,$AR125),"")))</f>
        <v>2</v>
      </c>
      <c r="J125" s="16">
        <f>IF($A125="","",IF($AP125&lt;&gt;"",INDEX(Raw_D1!$J$2:$J$1001,$AP125),IF($AR125&lt;&gt;"",INDEX(Raw_D3!$J$2:$J$1001,$AR125),"")))</f>
        <v>0.18</v>
      </c>
      <c r="K125" s="17">
        <f>IF($A125="","",IF($AQ125&lt;&gt;"",IF(INDEX(Raw_D2!$C$2:$C$1001,$AQ125)="","",INDEX(Raw_D2!$C$2:$C$1001,$AQ125)),IF($AR125&lt;&gt;"",IF(INDEX(Raw_D3!$K$2:$K$1001,$AR125)="","",INDEX(Raw_D3!$K$2:$K$1001,$AR125)),"")))</f>
        <v>0.2424</v>
      </c>
      <c r="L125" s="16">
        <f>IF($A125="","",IF($AQ125&lt;&gt;"",IF(INDEX(Raw_D2!$D$2:$D$1001,$AQ125)="","",INDEX(Raw_D2!$D$2:$D$1001,$AQ125)),IF($AR125&lt;&gt;"",IF(INDEX(Raw_D3!$L$2:$L$1001,$AR125)="","",INDEX(Raw_D3!$L$2:$L$1001,$AR125)),"")))</f>
        <v>0.51</v>
      </c>
      <c r="M125" s="17">
        <f>IF($A125="","",IF($AQ125&lt;&gt;"",IF(INDEX(Raw_D2!$E$2:$E$1001,$AQ125)="","",INDEX(Raw_D2!$E$2:$E$1001,$AQ125)),IF($AR125&lt;&gt;"",IF(INDEX(Raw_D3!$M$2:$M$1001,$AR125)="","",INDEX(Raw_D3!$M$2:$M$1001,$AR125)),"")))</f>
        <v>0</v>
      </c>
      <c r="N125" s="5">
        <f>IF($A125="","",IF($AQ125&lt;&gt;"",IF(INDEX(Raw_D2!$F$2:$F$1001,$AQ125)="","",INDEX(Raw_D2!$F$2:$F$1001,$AQ125)),IF($AR125&lt;&gt;"",IF(INDEX(Raw_D3!$N$2:$N$1001,$AR125)="","",INDEX(Raw_D3!$N$2:$N$1001,$AR125)),"")))</f>
        <v>6</v>
      </c>
      <c r="O125" s="5">
        <f>IF($A125="","",IF($AQ125&lt;&gt;"",IF(INDEX(Raw_D2!$G$2:$G$1001,$AQ125)="","",INDEX(Raw_D2!$G$2:$G$1001,$AQ125)),IF($AR125&lt;&gt;"",IF(INDEX(Raw_D3!$O$2:$O$1001,$AR125)="","",INDEX(Raw_D3!$O$2:$O$1001,$AR125)),"")))</f>
        <v>116</v>
      </c>
      <c r="P125" s="5">
        <f>IF($A125="","",IF($AQ125&lt;&gt;"",IF(INDEX(Raw_D2!$H$2:$H$1001,$AQ125)="","",INDEX(Raw_D2!$H$2:$H$1001,$AQ125)),IF($AR125&lt;&gt;"",IF(INDEX(Raw_D3!$P$2:$P$1001,$AR125)="","",INDEX(Raw_D3!$P$2:$P$1001,$AR125)),"")))</f>
        <v>122</v>
      </c>
      <c r="Q125" s="5" t="str">
        <f>IF($A125="","",IF(AND($AP125&lt;&gt;"",$AQ125&lt;&gt;""),"D1+D2",IF($AR125&lt;&gt;"","D3","Incomplete")))</f>
        <v>D1+D2</v>
      </c>
      <c r="R125" s="17">
        <f>IF($A125="","",IF($K125="",IF($J125="","",ROUND(Lookups!$K$5+Lookups!$K$4*$J125,4)),$K125))</f>
        <v>0.2424</v>
      </c>
      <c r="S125" s="5" t="str">
        <f>IF($A125="","",IF($K125="","Imputed","Original"))</f>
        <v>Original</v>
      </c>
      <c r="T125" s="5" t="str">
        <f>IF($A125="","",IF($P125="","Missing",IF($P125=$N125+$O125,"OK","Mismatch")))</f>
        <v>OK</v>
      </c>
      <c r="U125" s="5" t="str">
        <f>IF($A125="","",IF(COUNTIF($A$2:$A125,$A125)&gt;1,"Duplicate","Unique"))</f>
        <v>Unique</v>
      </c>
      <c r="V125" s="5">
        <f>IF($A125="","",IF(AND($U125="Unique",ISNUMBER($P125)),1,0))</f>
        <v>1</v>
      </c>
      <c r="W125" s="5" t="str">
        <f>IF($A125="","",IF(OR($H125=0,$H125=6),"Weekend","Weekday"))</f>
        <v>Weekday</v>
      </c>
      <c r="X125" s="5" t="str">
        <f>IF($A125="","",TEXT($B125,"ddd"))</f>
        <v>Thu</v>
      </c>
      <c r="Y125" s="5" t="str">
        <f>IF($A125="","",TEXT($B125,"mmm"))</f>
        <v>Jan</v>
      </c>
      <c r="Z125" s="5" t="str">
        <f>IF($A125="","",IFERROR(VLOOKUP($C125,Lookups!$D$4:$E$7,2,FALSE),"Unknown"))</f>
        <v>Winter</v>
      </c>
      <c r="AA125" s="5" t="str">
        <f>IF($A125="","",IFERROR(VLOOKUP($I125,Lookups!$A$4:$B$7,2,FALSE),"Unknown"))</f>
        <v>Mist/Cloudy</v>
      </c>
      <c r="AB125" s="5" t="str">
        <f>IF($A125="","",TEXT($F125,"00")&amp;":00")</f>
        <v>09:00</v>
      </c>
      <c r="AC125" s="5" t="str">
        <f>IF($A125="","",VLOOKUP($F125,Lookups!$G$4:$H$8,2,TRUE))</f>
        <v>Morning Peak (06-09)</v>
      </c>
      <c r="AD125" s="18">
        <f>IF($A125="","",IF($J125="","",ROUND($J125*41,1)))</f>
        <v>7.4</v>
      </c>
      <c r="AE125" s="18">
        <f>IF($A125="","",IF($R125="","",ROUND($R125*50,1)))</f>
        <v>12.1</v>
      </c>
      <c r="AF125" s="5">
        <f>IF($A125="","",IF($L125="","",ROUND($L125*100,0)))</f>
        <v>51</v>
      </c>
      <c r="AG125" s="18">
        <f>IF($A125="","",IF($M125="","",ROUND($M125*67,1)))</f>
        <v>0</v>
      </c>
      <c r="AH125" s="19">
        <f>IF($A125="","",IF($P125="","",IF($P125=0,0,$O125/$P125)))</f>
        <v>0.950819672131148</v>
      </c>
      <c r="AI125" s="5" t="str">
        <f>IF($A125="","",IF($P125="","",IF($P125&gt;=Lookups!$K$7,"High",IF($P125&lt;=Lookups!$K$8,"Low","Medium"))))</f>
        <v>High</v>
      </c>
      <c r="AJ125" s="5" t="str">
        <f>IF($A125="","",IF($AD125="","",IF($AD125&lt;5,"Under 5 C",IF($AD125&lt;10,"5-10 C",IF($AD125&lt;15,"10-15 C","15 C and above")))))</f>
        <v>5-10 C</v>
      </c>
      <c r="AK125" s="5">
        <f>IF($A125="","",IF($P125="","",$P125^2))</f>
        <v>14884</v>
      </c>
      <c r="AL125" s="18">
        <f>IF($V125&lt;&gt;1,"",AVERAGEIFS(Clean_Data!$P$2:$P$1001,Clean_Data!$F$2:$F$1001,$F125,Clean_Data!$W$2:$W$1001,$W125,Clean_Data!$V$2:$V$1001,1))</f>
        <v>115.678571428571</v>
      </c>
      <c r="AM125" s="16">
        <f>IF($V125&lt;&gt;1,"",IFERROR(($P125-$AL125)/SQRT(MAX(0,(SUMIFS(Clean_Data!$AK$2:$AK$1001,Clean_Data!$F$2:$F$1001,$F125,Clean_Data!$W$2:$W$1001,$W125,Clean_Data!$V$2:$V$1001,1)-COUNTIFS(Clean_Data!$F$2:$F$1001,$F125,Clean_Data!$W$2:$W$1001,$W125,Clean_Data!$V$2:$V$1001,1)*$AL125^2)/(COUNTIFS(Clean_Data!$F$2:$F$1001,$F125,Clean_Data!$W$2:$W$1001,$W125,Clean_Data!$V$2:$V$1001,1)-1))),""))</f>
        <v>0.245222544346415</v>
      </c>
      <c r="AN125" s="5" t="str">
        <f>IF($AM125="","",IF($AM125&gt;=Lookups!$K$6,"High spike",IF($AM125&lt;=-Lookups!$K$6,"Unusual low","Normal")))</f>
        <v>Normal</v>
      </c>
      <c r="AO125" s="20">
        <f>IF($V125&lt;&gt;1,"",$P125+ROW()/100000)</f>
        <v>122.00125</v>
      </c>
      <c r="AP125" s="5">
        <f>IF($A125="","",IFERROR(MATCH($A125,Raw_D1!$A$2:$A$1001,0),""))</f>
        <v>124</v>
      </c>
      <c r="AQ125" s="5">
        <f>IF($A125="","",IFERROR(MATCH($A125,Raw_D2!$B$2:$B$1001,0),""))</f>
        <v>124</v>
      </c>
      <c r="AR125" s="5">
        <f>IF($A125="","",IFERROR(MATCH($A125,Raw_D3!$A$2:$A$1001,0),""))</f>
        <v/>
      </c>
    </row>
    <row r="126" spans="1:44" x14ac:dyDescent="0.25">
      <c r="A126" s="5">
        <v>125</v>
      </c>
      <c r="B126" s="11">
        <f>IF($A126="","",IF($AP126&lt;&gt;"",INDEX(Raw_D1!$B$2:$B$1001,$AP126),IF($AR126&lt;&gt;"",INDEX(Raw_D3!$B$2:$B$1001,$AR126),"")))</f>
        <v>40549.0</v>
      </c>
      <c r="C126" s="5">
        <f>IF($A126="","",IF($AP126&lt;&gt;"",INDEX(Raw_D1!$C$2:$C$1001,$AP126),IF($AR126&lt;&gt;"",INDEX(Raw_D3!$C$2:$C$1001,$AR126),"")))</f>
        <v>1</v>
      </c>
      <c r="D126" s="5">
        <f>IF($A126="","",IF($AP126&lt;&gt;"",INDEX(Raw_D1!$D$2:$D$1001,$AP126),IF($AR126&lt;&gt;"",INDEX(Raw_D3!$D$2:$D$1001,$AR126),"")))</f>
        <v>0</v>
      </c>
      <c r="E126" s="5">
        <f>IF($A126="","",IF($AP126&lt;&gt;"",INDEX(Raw_D1!$E$2:$E$1001,$AP126),IF($AR126&lt;&gt;"",INDEX(Raw_D3!$E$2:$E$1001,$AR126),"")))</f>
        <v>1</v>
      </c>
      <c r="F126" s="5">
        <f>IF($A126="","",IF($AP126&lt;&gt;"",INDEX(Raw_D1!$F$2:$F$1001,$AP126),IF($AR126&lt;&gt;"",INDEX(Raw_D3!$F$2:$F$1001,$AR126),"")))</f>
        <v>10</v>
      </c>
      <c r="G126" s="5">
        <f>IF($A126="","",IF($AP126&lt;&gt;"",IF(INDEX(Raw_D1!$G$2:$G$1001,$AP126),1,0),IF($AR126&lt;&gt;"",IF(INDEX(Raw_D3!$G$2:$G$1001,$AR126),1,0),"")))</f>
        <v>0</v>
      </c>
      <c r="H126" s="5">
        <f>IF($A126="","",IF($AP126&lt;&gt;"",INDEX(Raw_D1!$H$2:$H$1001,$AP126),IF($AR126&lt;&gt;"",INDEX(Raw_D3!$H$2:$H$1001,$AR126),"")))</f>
        <v>4</v>
      </c>
      <c r="I126" s="5">
        <f>IF($A126="","",IF($AP126&lt;&gt;"",INDEX(Raw_D1!$I$2:$I$1001,$AP126),IF($AR126&lt;&gt;"",INDEX(Raw_D3!$I$2:$I$1001,$AR126),"")))</f>
        <v>1</v>
      </c>
      <c r="J126" s="16">
        <f>IF($A126="","",IF($AP126&lt;&gt;"",INDEX(Raw_D1!$J$2:$J$1001,$AP126),IF($AR126&lt;&gt;"",INDEX(Raw_D3!$J$2:$J$1001,$AR126),"")))</f>
        <v>0.2</v>
      </c>
      <c r="K126" s="17">
        <f>IF($A126="","",IF($AQ126&lt;&gt;"",IF(INDEX(Raw_D2!$C$2:$C$1001,$AQ126)="","",INDEX(Raw_D2!$C$2:$C$1001,$AQ126)),IF($AR126&lt;&gt;"",IF(INDEX(Raw_D3!$K$2:$K$1001,$AR126)="","",INDEX(Raw_D3!$K$2:$K$1001,$AR126)),"")))</f>
        <v>0.2576</v>
      </c>
      <c r="L126" s="16">
        <f>IF($A126="","",IF($AQ126&lt;&gt;"",IF(INDEX(Raw_D2!$D$2:$D$1001,$AQ126)="","",INDEX(Raw_D2!$D$2:$D$1001,$AQ126)),IF($AR126&lt;&gt;"",IF(INDEX(Raw_D3!$L$2:$L$1001,$AR126)="","",INDEX(Raw_D3!$L$2:$L$1001,$AR126)),"")))</f>
        <v>0.47</v>
      </c>
      <c r="M126" s="17">
        <f>IF($A126="","",IF($AQ126&lt;&gt;"",IF(INDEX(Raw_D2!$E$2:$E$1001,$AQ126)="","",INDEX(Raw_D2!$E$2:$E$1001,$AQ126)),IF($AR126&lt;&gt;"",IF(INDEX(Raw_D3!$M$2:$M$1001,$AR126)="","",INDEX(Raw_D3!$M$2:$M$1001,$AR126)),"")))</f>
        <v>0</v>
      </c>
      <c r="N126" s="5">
        <f>IF($A126="","",IF($AQ126&lt;&gt;"",IF(INDEX(Raw_D2!$F$2:$F$1001,$AQ126)="","",INDEX(Raw_D2!$F$2:$F$1001,$AQ126)),IF($AR126&lt;&gt;"",IF(INDEX(Raw_D3!$N$2:$N$1001,$AR126)="","",INDEX(Raw_D3!$N$2:$N$1001,$AR126)),"")))</f>
        <v>3</v>
      </c>
      <c r="O126" s="5">
        <f>IF($A126="","",IF($AQ126&lt;&gt;"",IF(INDEX(Raw_D2!$G$2:$G$1001,$AQ126)="","",INDEX(Raw_D2!$G$2:$G$1001,$AQ126)),IF($AR126&lt;&gt;"",IF(INDEX(Raw_D3!$O$2:$O$1001,$AR126)="","",INDEX(Raw_D3!$O$2:$O$1001,$AR126)),"")))</f>
        <v>42</v>
      </c>
      <c r="P126" s="5">
        <f>IF($A126="","",IF($AQ126&lt;&gt;"",IF(INDEX(Raw_D2!$H$2:$H$1001,$AQ126)="","",INDEX(Raw_D2!$H$2:$H$1001,$AQ126)),IF($AR126&lt;&gt;"",IF(INDEX(Raw_D3!$P$2:$P$1001,$AR126)="","",INDEX(Raw_D3!$P$2:$P$1001,$AR126)),"")))</f>
        <v>45</v>
      </c>
      <c r="Q126" s="5" t="str">
        <f>IF($A126="","",IF(AND($AP126&lt;&gt;"",$AQ126&lt;&gt;""),"D1+D2",IF($AR126&lt;&gt;"","D3","Incomplete")))</f>
        <v>D1+D2</v>
      </c>
      <c r="R126" s="17">
        <f>IF($A126="","",IF($K126="",IF($J126="","",ROUND(Lookups!$K$5+Lookups!$K$4*$J126,4)),$K126))</f>
        <v>0.2576</v>
      </c>
      <c r="S126" s="5" t="str">
        <f>IF($A126="","",IF($K126="","Imputed","Original"))</f>
        <v>Original</v>
      </c>
      <c r="T126" s="5" t="str">
        <f>IF($A126="","",IF($P126="","Missing",IF($P126=$N126+$O126,"OK","Mismatch")))</f>
        <v>OK</v>
      </c>
      <c r="U126" s="5" t="str">
        <f>IF($A126="","",IF(COUNTIF($A$2:$A126,$A126)&gt;1,"Duplicate","Unique"))</f>
        <v>Unique</v>
      </c>
      <c r="V126" s="5">
        <f>IF($A126="","",IF(AND($U126="Unique",ISNUMBER($P126)),1,0))</f>
        <v>1</v>
      </c>
      <c r="W126" s="5" t="str">
        <f>IF($A126="","",IF(OR($H126=0,$H126=6),"Weekend","Weekday"))</f>
        <v>Weekday</v>
      </c>
      <c r="X126" s="5" t="str">
        <f>IF($A126="","",TEXT($B126,"ddd"))</f>
        <v>Thu</v>
      </c>
      <c r="Y126" s="5" t="str">
        <f>IF($A126="","",TEXT($B126,"mmm"))</f>
        <v>Jan</v>
      </c>
      <c r="Z126" s="5" t="str">
        <f>IF($A126="","",IFERROR(VLOOKUP($C126,Lookups!$D$4:$E$7,2,FALSE),"Unknown"))</f>
        <v>Winter</v>
      </c>
      <c r="AA126" s="5" t="str">
        <f>IF($A126="","",IFERROR(VLOOKUP($I126,Lookups!$A$4:$B$7,2,FALSE),"Unknown"))</f>
        <v>Clear</v>
      </c>
      <c r="AB126" s="5" t="str">
        <f>IF($A126="","",TEXT($F126,"00")&amp;":00")</f>
        <v>10:00</v>
      </c>
      <c r="AC126" s="5" t="str">
        <f>IF($A126="","",VLOOKUP($F126,Lookups!$G$4:$H$8,2,TRUE))</f>
        <v>Midday (10-15)</v>
      </c>
      <c r="AD126" s="18">
        <f>IF($A126="","",IF($J126="","",ROUND($J126*41,1)))</f>
        <v>8.2</v>
      </c>
      <c r="AE126" s="18">
        <f>IF($A126="","",IF($R126="","",ROUND($R126*50,1)))</f>
        <v>12.9</v>
      </c>
      <c r="AF126" s="5">
        <f>IF($A126="","",IF($L126="","",ROUND($L126*100,0)))</f>
        <v>47</v>
      </c>
      <c r="AG126" s="18">
        <f>IF($A126="","",IF($M126="","",ROUND($M126*67,1)))</f>
        <v>0</v>
      </c>
      <c r="AH126" s="19">
        <f>IF($A126="","",IF($P126="","",IF($P126=0,0,$O126/$P126)))</f>
        <v>0.933333333333333</v>
      </c>
      <c r="AI126" s="5" t="str">
        <f>IF($A126="","",IF($P126="","",IF($P126&gt;=Lookups!$K$7,"High",IF($P126&lt;=Lookups!$K$8,"Low","Medium"))))</f>
        <v>Medium</v>
      </c>
      <c r="AJ126" s="5" t="str">
        <f>IF($A126="","",IF($AD126="","",IF($AD126&lt;5,"Under 5 C",IF($AD126&lt;10,"5-10 C",IF($AD126&lt;15,"10-15 C","15 C and above")))))</f>
        <v>5-10 C</v>
      </c>
      <c r="AK126" s="5">
        <f>IF($A126="","",IF($P126="","",$P126^2))</f>
        <v>2025</v>
      </c>
      <c r="AL126" s="18">
        <f>IF($V126&lt;&gt;1,"",AVERAGEIFS(Clean_Data!$P$2:$P$1001,Clean_Data!$F$2:$F$1001,$F126,Clean_Data!$W$2:$W$1001,$W126,Clean_Data!$V$2:$V$1001,1))</f>
        <v>49.0714285714286</v>
      </c>
      <c r="AM126" s="16">
        <f>IF($V126&lt;&gt;1,"",IFERROR(($P126-$AL126)/SQRT(MAX(0,(SUMIFS(Clean_Data!$AK$2:$AK$1001,Clean_Data!$F$2:$F$1001,$F126,Clean_Data!$W$2:$W$1001,$W126,Clean_Data!$V$2:$V$1001,1)-COUNTIFS(Clean_Data!$F$2:$F$1001,$F126,Clean_Data!$W$2:$W$1001,$W126,Clean_Data!$V$2:$V$1001,1)*$AL126^2)/(COUNTIFS(Clean_Data!$F$2:$F$1001,$F126,Clean_Data!$W$2:$W$1001,$W126,Clean_Data!$V$2:$V$1001,1)-1))),""))</f>
        <v>-0.403435058618656</v>
      </c>
      <c r="AN126" s="5" t="str">
        <f>IF($AM126="","",IF($AM126&gt;=Lookups!$K$6,"High spike",IF($AM126&lt;=-Lookups!$K$6,"Unusual low","Normal")))</f>
        <v>Normal</v>
      </c>
      <c r="AO126" s="20">
        <f>IF($V126&lt;&gt;1,"",$P126+ROW()/100000)</f>
        <v>45.00126</v>
      </c>
      <c r="AP126" s="5">
        <f>IF($A126="","",IFERROR(MATCH($A126,Raw_D1!$A$2:$A$1001,0),""))</f>
        <v>125</v>
      </c>
      <c r="AQ126" s="5">
        <f>IF($A126="","",IFERROR(MATCH($A126,Raw_D2!$B$2:$B$1001,0),""))</f>
        <v>125</v>
      </c>
      <c r="AR126" s="5">
        <f>IF($A126="","",IFERROR(MATCH($A126,Raw_D3!$A$2:$A$1001,0),""))</f>
        <v/>
      </c>
    </row>
    <row r="127" spans="1:44" x14ac:dyDescent="0.25">
      <c r="A127" s="5">
        <v>126</v>
      </c>
      <c r="B127" s="11">
        <f>IF($A127="","",IF($AP127&lt;&gt;"",INDEX(Raw_D1!$B$2:$B$1001,$AP127),IF($AR127&lt;&gt;"",INDEX(Raw_D3!$B$2:$B$1001,$AR127),"")))</f>
        <v>40549.0</v>
      </c>
      <c r="C127" s="5">
        <f>IF($A127="","",IF($AP127&lt;&gt;"",INDEX(Raw_D1!$C$2:$C$1001,$AP127),IF($AR127&lt;&gt;"",INDEX(Raw_D3!$C$2:$C$1001,$AR127),"")))</f>
        <v>1</v>
      </c>
      <c r="D127" s="5">
        <f>IF($A127="","",IF($AP127&lt;&gt;"",INDEX(Raw_D1!$D$2:$D$1001,$AP127),IF($AR127&lt;&gt;"",INDEX(Raw_D3!$D$2:$D$1001,$AR127),"")))</f>
        <v>0</v>
      </c>
      <c r="E127" s="5">
        <f>IF($A127="","",IF($AP127&lt;&gt;"",INDEX(Raw_D1!$E$2:$E$1001,$AP127),IF($AR127&lt;&gt;"",INDEX(Raw_D3!$E$2:$E$1001,$AR127),"")))</f>
        <v>1</v>
      </c>
      <c r="F127" s="5">
        <f>IF($A127="","",IF($AP127&lt;&gt;"",INDEX(Raw_D1!$F$2:$F$1001,$AP127),IF($AR127&lt;&gt;"",INDEX(Raw_D3!$F$2:$F$1001,$AR127),"")))</f>
        <v>11</v>
      </c>
      <c r="G127" s="5">
        <f>IF($A127="","",IF($AP127&lt;&gt;"",IF(INDEX(Raw_D1!$G$2:$G$1001,$AP127),1,0),IF($AR127&lt;&gt;"",IF(INDEX(Raw_D3!$G$2:$G$1001,$AR127),1,0),"")))</f>
        <v>0</v>
      </c>
      <c r="H127" s="5">
        <f>IF($A127="","",IF($AP127&lt;&gt;"",INDEX(Raw_D1!$H$2:$H$1001,$AP127),IF($AR127&lt;&gt;"",INDEX(Raw_D3!$H$2:$H$1001,$AR127),"")))</f>
        <v>4</v>
      </c>
      <c r="I127" s="5">
        <f>IF($A127="","",IF($AP127&lt;&gt;"",INDEX(Raw_D1!$I$2:$I$1001,$AP127),IF($AR127&lt;&gt;"",INDEX(Raw_D3!$I$2:$I$1001,$AR127),"")))</f>
        <v>1</v>
      </c>
      <c r="J127" s="16">
        <f>IF($A127="","",IF($AP127&lt;&gt;"",INDEX(Raw_D1!$J$2:$J$1001,$AP127),IF($AR127&lt;&gt;"",INDEX(Raw_D3!$J$2:$J$1001,$AR127),"")))</f>
        <v>0.22</v>
      </c>
      <c r="K127" s="17">
        <f>IF($A127="","",IF($AQ127&lt;&gt;"",IF(INDEX(Raw_D2!$C$2:$C$1001,$AQ127)="","",INDEX(Raw_D2!$C$2:$C$1001,$AQ127)),IF($AR127&lt;&gt;"",IF(INDEX(Raw_D3!$K$2:$K$1001,$AR127)="","",INDEX(Raw_D3!$K$2:$K$1001,$AR127)),"")))</f>
        <v>0.2576</v>
      </c>
      <c r="L127" s="16">
        <f>IF($A127="","",IF($AQ127&lt;&gt;"",IF(INDEX(Raw_D2!$D$2:$D$1001,$AQ127)="","",INDEX(Raw_D2!$D$2:$D$1001,$AQ127)),IF($AR127&lt;&gt;"",IF(INDEX(Raw_D3!$L$2:$L$1001,$AR127)="","",INDEX(Raw_D3!$L$2:$L$1001,$AR127)),"")))</f>
        <v>0.44</v>
      </c>
      <c r="M127" s="17">
        <f>IF($A127="","",IF($AQ127&lt;&gt;"",IF(INDEX(Raw_D2!$E$2:$E$1001,$AQ127)="","",INDEX(Raw_D2!$E$2:$E$1001,$AQ127)),IF($AR127&lt;&gt;"",IF(INDEX(Raw_D3!$M$2:$M$1001,$AR127)="","",INDEX(Raw_D3!$M$2:$M$1001,$AR127)),"")))</f>
        <v>0.0896</v>
      </c>
      <c r="N127" s="5">
        <f>IF($A127="","",IF($AQ127&lt;&gt;"",IF(INDEX(Raw_D2!$F$2:$F$1001,$AQ127)="","",INDEX(Raw_D2!$F$2:$F$1001,$AQ127)),IF($AR127&lt;&gt;"",IF(INDEX(Raw_D3!$N$2:$N$1001,$AR127)="","",INDEX(Raw_D3!$N$2:$N$1001,$AR127)),"")))</f>
        <v>2</v>
      </c>
      <c r="O127" s="5">
        <f>IF($A127="","",IF($AQ127&lt;&gt;"",IF(INDEX(Raw_D2!$G$2:$G$1001,$AQ127)="","",INDEX(Raw_D2!$G$2:$G$1001,$AQ127)),IF($AR127&lt;&gt;"",IF(INDEX(Raw_D3!$O$2:$O$1001,$AR127)="","",INDEX(Raw_D3!$O$2:$O$1001,$AR127)),"")))</f>
        <v>57</v>
      </c>
      <c r="P127" s="5">
        <f>IF($A127="","",IF($AQ127&lt;&gt;"",IF(INDEX(Raw_D2!$H$2:$H$1001,$AQ127)="","",INDEX(Raw_D2!$H$2:$H$1001,$AQ127)),IF($AR127&lt;&gt;"",IF(INDEX(Raw_D3!$P$2:$P$1001,$AR127)="","",INDEX(Raw_D3!$P$2:$P$1001,$AR127)),"")))</f>
        <v>59</v>
      </c>
      <c r="Q127" s="5" t="str">
        <f>IF($A127="","",IF(AND($AP127&lt;&gt;"",$AQ127&lt;&gt;""),"D1+D2",IF($AR127&lt;&gt;"","D3","Incomplete")))</f>
        <v>D1+D2</v>
      </c>
      <c r="R127" s="17">
        <f>IF($A127="","",IF($K127="",IF($J127="","",ROUND(Lookups!$K$5+Lookups!$K$4*$J127,4)),$K127))</f>
        <v>0.2576</v>
      </c>
      <c r="S127" s="5" t="str">
        <f>IF($A127="","",IF($K127="","Imputed","Original"))</f>
        <v>Original</v>
      </c>
      <c r="T127" s="5" t="str">
        <f>IF($A127="","",IF($P127="","Missing",IF($P127=$N127+$O127,"OK","Mismatch")))</f>
        <v>OK</v>
      </c>
      <c r="U127" s="5" t="str">
        <f>IF($A127="","",IF(COUNTIF($A$2:$A127,$A127)&gt;1,"Duplicate","Unique"))</f>
        <v>Unique</v>
      </c>
      <c r="V127" s="5">
        <f>IF($A127="","",IF(AND($U127="Unique",ISNUMBER($P127)),1,0))</f>
        <v>1</v>
      </c>
      <c r="W127" s="5" t="str">
        <f>IF($A127="","",IF(OR($H127=0,$H127=6),"Weekend","Weekday"))</f>
        <v>Weekday</v>
      </c>
      <c r="X127" s="5" t="str">
        <f>IF($A127="","",TEXT($B127,"ddd"))</f>
        <v>Thu</v>
      </c>
      <c r="Y127" s="5" t="str">
        <f>IF($A127="","",TEXT($B127,"mmm"))</f>
        <v>Jan</v>
      </c>
      <c r="Z127" s="5" t="str">
        <f>IF($A127="","",IFERROR(VLOOKUP($C127,Lookups!$D$4:$E$7,2,FALSE),"Unknown"))</f>
        <v>Winter</v>
      </c>
      <c r="AA127" s="5" t="str">
        <f>IF($A127="","",IFERROR(VLOOKUP($I127,Lookups!$A$4:$B$7,2,FALSE),"Unknown"))</f>
        <v>Clear</v>
      </c>
      <c r="AB127" s="5" t="str">
        <f>IF($A127="","",TEXT($F127,"00")&amp;":00")</f>
        <v>11:00</v>
      </c>
      <c r="AC127" s="5" t="str">
        <f>IF($A127="","",VLOOKUP($F127,Lookups!$G$4:$H$8,2,TRUE))</f>
        <v>Midday (10-15)</v>
      </c>
      <c r="AD127" s="18">
        <f>IF($A127="","",IF($J127="","",ROUND($J127*41,1)))</f>
        <v>9</v>
      </c>
      <c r="AE127" s="18">
        <f>IF($A127="","",IF($R127="","",ROUND($R127*50,1)))</f>
        <v>12.9</v>
      </c>
      <c r="AF127" s="5">
        <f>IF($A127="","",IF($L127="","",ROUND($L127*100,0)))</f>
        <v>44</v>
      </c>
      <c r="AG127" s="18">
        <f>IF($A127="","",IF($M127="","",ROUND($M127*67,1)))</f>
        <v>6</v>
      </c>
      <c r="AH127" s="19">
        <f>IF($A127="","",IF($P127="","",IF($P127=0,0,$O127/$P127)))</f>
        <v>0.966101694915254</v>
      </c>
      <c r="AI127" s="5" t="str">
        <f>IF($A127="","",IF($P127="","",IF($P127&gt;=Lookups!$K$7,"High",IF($P127&lt;=Lookups!$K$8,"Low","Medium"))))</f>
        <v>Medium</v>
      </c>
      <c r="AJ127" s="5" t="str">
        <f>IF($A127="","",IF($AD127="","",IF($AD127&lt;5,"Under 5 C",IF($AD127&lt;10,"5-10 C",IF($AD127&lt;15,"10-15 C","15 C and above")))))</f>
        <v>5-10 C</v>
      </c>
      <c r="AK127" s="5">
        <f>IF($A127="","",IF($P127="","",$P127^2))</f>
        <v>3481</v>
      </c>
      <c r="AL127" s="18">
        <f>IF($V127&lt;&gt;1,"",AVERAGEIFS(Clean_Data!$P$2:$P$1001,Clean_Data!$F$2:$F$1001,$F127,Clean_Data!$W$2:$W$1001,$W127,Clean_Data!$V$2:$V$1001,1))</f>
        <v>50.6071428571429</v>
      </c>
      <c r="AM127" s="16">
        <f>IF($V127&lt;&gt;1,"",IFERROR(($P127-$AL127)/SQRT(MAX(0,(SUMIFS(Clean_Data!$AK$2:$AK$1001,Clean_Data!$F$2:$F$1001,$F127,Clean_Data!$W$2:$W$1001,$W127,Clean_Data!$V$2:$V$1001,1)-COUNTIFS(Clean_Data!$F$2:$F$1001,$F127,Clean_Data!$W$2:$W$1001,$W127,Clean_Data!$V$2:$V$1001,1)*$AL127^2)/(COUNTIFS(Clean_Data!$F$2:$F$1001,$F127,Clean_Data!$W$2:$W$1001,$W127,Clean_Data!$V$2:$V$1001,1)-1))),""))</f>
        <v>0.749163353150164</v>
      </c>
      <c r="AN127" s="5" t="str">
        <f>IF($AM127="","",IF($AM127&gt;=Lookups!$K$6,"High spike",IF($AM127&lt;=-Lookups!$K$6,"Unusual low","Normal")))</f>
        <v>Normal</v>
      </c>
      <c r="AO127" s="20">
        <f>IF($V127&lt;&gt;1,"",$P127+ROW()/100000)</f>
        <v>59.00127</v>
      </c>
      <c r="AP127" s="5">
        <f>IF($A127="","",IFERROR(MATCH($A127,Raw_D1!$A$2:$A$1001,0),""))</f>
        <v>126</v>
      </c>
      <c r="AQ127" s="5">
        <f>IF($A127="","",IFERROR(MATCH($A127,Raw_D2!$B$2:$B$1001,0),""))</f>
        <v>126</v>
      </c>
      <c r="AR127" s="5">
        <f>IF($A127="","",IFERROR(MATCH($A127,Raw_D3!$A$2:$A$1001,0),""))</f>
        <v/>
      </c>
    </row>
    <row r="128" spans="1:44" x14ac:dyDescent="0.25">
      <c r="A128" s="5">
        <v>127</v>
      </c>
      <c r="B128" s="11">
        <f>IF($A128="","",IF($AP128&lt;&gt;"",INDEX(Raw_D1!$B$2:$B$1001,$AP128),IF($AR128&lt;&gt;"",INDEX(Raw_D3!$B$2:$B$1001,$AR128),"")))</f>
        <v>40549.0</v>
      </c>
      <c r="C128" s="5">
        <f>IF($A128="","",IF($AP128&lt;&gt;"",INDEX(Raw_D1!$C$2:$C$1001,$AP128),IF($AR128&lt;&gt;"",INDEX(Raw_D3!$C$2:$C$1001,$AR128),"")))</f>
        <v>1</v>
      </c>
      <c r="D128" s="5">
        <f>IF($A128="","",IF($AP128&lt;&gt;"",INDEX(Raw_D1!$D$2:$D$1001,$AP128),IF($AR128&lt;&gt;"",INDEX(Raw_D3!$D$2:$D$1001,$AR128),"")))</f>
        <v>0</v>
      </c>
      <c r="E128" s="5">
        <f>IF($A128="","",IF($AP128&lt;&gt;"",INDEX(Raw_D1!$E$2:$E$1001,$AP128),IF($AR128&lt;&gt;"",INDEX(Raw_D3!$E$2:$E$1001,$AR128),"")))</f>
        <v>1</v>
      </c>
      <c r="F128" s="5">
        <f>IF($A128="","",IF($AP128&lt;&gt;"",INDEX(Raw_D1!$F$2:$F$1001,$AP128),IF($AR128&lt;&gt;"",INDEX(Raw_D3!$F$2:$F$1001,$AR128),"")))</f>
        <v>12</v>
      </c>
      <c r="G128" s="5">
        <f>IF($A128="","",IF($AP128&lt;&gt;"",IF(INDEX(Raw_D1!$G$2:$G$1001,$AP128),1,0),IF($AR128&lt;&gt;"",IF(INDEX(Raw_D3!$G$2:$G$1001,$AR128),1,0),"")))</f>
        <v>0</v>
      </c>
      <c r="H128" s="5">
        <f>IF($A128="","",IF($AP128&lt;&gt;"",INDEX(Raw_D1!$H$2:$H$1001,$AP128),IF($AR128&lt;&gt;"",INDEX(Raw_D3!$H$2:$H$1001,$AR128),"")))</f>
        <v>4</v>
      </c>
      <c r="I128" s="5">
        <f>IF($A128="","",IF($AP128&lt;&gt;"",INDEX(Raw_D1!$I$2:$I$1001,$AP128),IF($AR128&lt;&gt;"",INDEX(Raw_D3!$I$2:$I$1001,$AR128),"")))</f>
        <v>1</v>
      </c>
      <c r="J128" s="16">
        <f>IF($A128="","",IF($AP128&lt;&gt;"",INDEX(Raw_D1!$J$2:$J$1001,$AP128),IF($AR128&lt;&gt;"",INDEX(Raw_D3!$J$2:$J$1001,$AR128),"")))</f>
        <v>0.26</v>
      </c>
      <c r="K128" s="17">
        <f>IF($A128="","",IF($AQ128&lt;&gt;"",IF(INDEX(Raw_D2!$C$2:$C$1001,$AQ128)="","",INDEX(Raw_D2!$C$2:$C$1001,$AQ128)),IF($AR128&lt;&gt;"",IF(INDEX(Raw_D3!$K$2:$K$1001,$AR128)="","",INDEX(Raw_D3!$K$2:$K$1001,$AR128)),"")))</f>
        <v>0.2879</v>
      </c>
      <c r="L128" s="16">
        <f>IF($A128="","",IF($AQ128&lt;&gt;"",IF(INDEX(Raw_D2!$D$2:$D$1001,$AQ128)="","",INDEX(Raw_D2!$D$2:$D$1001,$AQ128)),IF($AR128&lt;&gt;"",IF(INDEX(Raw_D3!$L$2:$L$1001,$AR128)="","",INDEX(Raw_D3!$L$2:$L$1001,$AR128)),"")))</f>
        <v>0.35</v>
      </c>
      <c r="M128" s="17">
        <f>IF($A128="","",IF($AQ128&lt;&gt;"",IF(INDEX(Raw_D2!$E$2:$E$1001,$AQ128)="","",INDEX(Raw_D2!$E$2:$E$1001,$AQ128)),IF($AR128&lt;&gt;"",IF(INDEX(Raw_D3!$M$2:$M$1001,$AR128)="","",INDEX(Raw_D3!$M$2:$M$1001,$AR128)),"")))</f>
        <v>0</v>
      </c>
      <c r="N128" s="5">
        <f>IF($A128="","",IF($AQ128&lt;&gt;"",IF(INDEX(Raw_D2!$F$2:$F$1001,$AQ128)="","",INDEX(Raw_D2!$F$2:$F$1001,$AQ128)),IF($AR128&lt;&gt;"",IF(INDEX(Raw_D3!$N$2:$N$1001,$AR128)="","",INDEX(Raw_D3!$N$2:$N$1001,$AR128)),"")))</f>
        <v>6</v>
      </c>
      <c r="O128" s="5">
        <f>IF($A128="","",IF($AQ128&lt;&gt;"",IF(INDEX(Raw_D2!$G$2:$G$1001,$AQ128)="","",INDEX(Raw_D2!$G$2:$G$1001,$AQ128)),IF($AR128&lt;&gt;"",IF(INDEX(Raw_D3!$O$2:$O$1001,$AR128)="","",INDEX(Raw_D3!$O$2:$O$1001,$AR128)),"")))</f>
        <v>78</v>
      </c>
      <c r="P128" s="5">
        <f>IF($A128="","",IF($AQ128&lt;&gt;"",IF(INDEX(Raw_D2!$H$2:$H$1001,$AQ128)="","",INDEX(Raw_D2!$H$2:$H$1001,$AQ128)),IF($AR128&lt;&gt;"",IF(INDEX(Raw_D3!$P$2:$P$1001,$AR128)="","",INDEX(Raw_D3!$P$2:$P$1001,$AR128)),"")))</f>
        <v>84</v>
      </c>
      <c r="Q128" s="5" t="str">
        <f>IF($A128="","",IF(AND($AP128&lt;&gt;"",$AQ128&lt;&gt;""),"D1+D2",IF($AR128&lt;&gt;"","D3","Incomplete")))</f>
        <v>D1+D2</v>
      </c>
      <c r="R128" s="17">
        <f>IF($A128="","",IF($K128="",IF($J128="","",ROUND(Lookups!$K$5+Lookups!$K$4*$J128,4)),$K128))</f>
        <v>0.2879</v>
      </c>
      <c r="S128" s="5" t="str">
        <f>IF($A128="","",IF($K128="","Imputed","Original"))</f>
        <v>Original</v>
      </c>
      <c r="T128" s="5" t="str">
        <f>IF($A128="","",IF($P128="","Missing",IF($P128=$N128+$O128,"OK","Mismatch")))</f>
        <v>OK</v>
      </c>
      <c r="U128" s="5" t="str">
        <f>IF($A128="","",IF(COUNTIF($A$2:$A128,$A128)&gt;1,"Duplicate","Unique"))</f>
        <v>Unique</v>
      </c>
      <c r="V128" s="5">
        <f>IF($A128="","",IF(AND($U128="Unique",ISNUMBER($P128)),1,0))</f>
        <v>1</v>
      </c>
      <c r="W128" s="5" t="str">
        <f>IF($A128="","",IF(OR($H128=0,$H128=6),"Weekend","Weekday"))</f>
        <v>Weekday</v>
      </c>
      <c r="X128" s="5" t="str">
        <f>IF($A128="","",TEXT($B128,"ddd"))</f>
        <v>Thu</v>
      </c>
      <c r="Y128" s="5" t="str">
        <f>IF($A128="","",TEXT($B128,"mmm"))</f>
        <v>Jan</v>
      </c>
      <c r="Z128" s="5" t="str">
        <f>IF($A128="","",IFERROR(VLOOKUP($C128,Lookups!$D$4:$E$7,2,FALSE),"Unknown"))</f>
        <v>Winter</v>
      </c>
      <c r="AA128" s="5" t="str">
        <f>IF($A128="","",IFERROR(VLOOKUP($I128,Lookups!$A$4:$B$7,2,FALSE),"Unknown"))</f>
        <v>Clear</v>
      </c>
      <c r="AB128" s="5" t="str">
        <f>IF($A128="","",TEXT($F128,"00")&amp;":00")</f>
        <v>12:00</v>
      </c>
      <c r="AC128" s="5" t="str">
        <f>IF($A128="","",VLOOKUP($F128,Lookups!$G$4:$H$8,2,TRUE))</f>
        <v>Midday (10-15)</v>
      </c>
      <c r="AD128" s="18">
        <f>IF($A128="","",IF($J128="","",ROUND($J128*41,1)))</f>
        <v>10.7</v>
      </c>
      <c r="AE128" s="18">
        <f>IF($A128="","",IF($R128="","",ROUND($R128*50,1)))</f>
        <v>14.4</v>
      </c>
      <c r="AF128" s="5">
        <f>IF($A128="","",IF($L128="","",ROUND($L128*100,0)))</f>
        <v>35</v>
      </c>
      <c r="AG128" s="18">
        <f>IF($A128="","",IF($M128="","",ROUND($M128*67,1)))</f>
        <v>0</v>
      </c>
      <c r="AH128" s="19">
        <f>IF($A128="","",IF($P128="","",IF($P128=0,0,$O128/$P128)))</f>
        <v>0.928571428571429</v>
      </c>
      <c r="AI128" s="5" t="str">
        <f>IF($A128="","",IF($P128="","",IF($P128&gt;=Lookups!$K$7,"High",IF($P128&lt;=Lookups!$K$8,"Low","Medium"))))</f>
        <v>High</v>
      </c>
      <c r="AJ128" s="5" t="str">
        <f>IF($A128="","",IF($AD128="","",IF($AD128&lt;5,"Under 5 C",IF($AD128&lt;10,"5-10 C",IF($AD128&lt;15,"10-15 C","15 C and above")))))</f>
        <v>10-15 C</v>
      </c>
      <c r="AK128" s="5">
        <f>IF($A128="","",IF($P128="","",$P128^2))</f>
        <v>7056</v>
      </c>
      <c r="AL128" s="18">
        <f>IF($V128&lt;&gt;1,"",AVERAGEIFS(Clean_Data!$P$2:$P$1001,Clean_Data!$F$2:$F$1001,$F128,Clean_Data!$W$2:$W$1001,$W128,Clean_Data!$V$2:$V$1001,1))</f>
        <v>64.5862068965517</v>
      </c>
      <c r="AM128" s="16">
        <f>IF($V128&lt;&gt;1,"",IFERROR(($P128-$AL128)/SQRT(MAX(0,(SUMIFS(Clean_Data!$AK$2:$AK$1001,Clean_Data!$F$2:$F$1001,$F128,Clean_Data!$W$2:$W$1001,$W128,Clean_Data!$V$2:$V$1001,1)-COUNTIFS(Clean_Data!$F$2:$F$1001,$F128,Clean_Data!$W$2:$W$1001,$W128,Clean_Data!$V$2:$V$1001,1)*$AL128^2)/(COUNTIFS(Clean_Data!$F$2:$F$1001,$F128,Clean_Data!$W$2:$W$1001,$W128,Clean_Data!$V$2:$V$1001,1)-1))),""))</f>
        <v>1.03659902179115</v>
      </c>
      <c r="AN128" s="5" t="str">
        <f>IF($AM128="","",IF($AM128&gt;=Lookups!$K$6,"High spike",IF($AM128&lt;=-Lookups!$K$6,"Unusual low","Normal")))</f>
        <v>Normal</v>
      </c>
      <c r="AO128" s="20">
        <f>IF($V128&lt;&gt;1,"",$P128+ROW()/100000)</f>
        <v>84.00128</v>
      </c>
      <c r="AP128" s="5">
        <f>IF($A128="","",IFERROR(MATCH($A128,Raw_D1!$A$2:$A$1001,0),""))</f>
        <v>127</v>
      </c>
      <c r="AQ128" s="5">
        <f>IF($A128="","",IFERROR(MATCH($A128,Raw_D2!$B$2:$B$1001,0),""))</f>
        <v>127</v>
      </c>
      <c r="AR128" s="5">
        <f>IF($A128="","",IFERROR(MATCH($A128,Raw_D3!$A$2:$A$1001,0),""))</f>
        <v/>
      </c>
    </row>
    <row r="129" spans="1:44" x14ac:dyDescent="0.25">
      <c r="A129" s="5">
        <v>128</v>
      </c>
      <c r="B129" s="11">
        <f>IF($A129="","",IF($AP129&lt;&gt;"",INDEX(Raw_D1!$B$2:$B$1001,$AP129),IF($AR129&lt;&gt;"",INDEX(Raw_D3!$B$2:$B$1001,$AR129),"")))</f>
        <v>40549.0</v>
      </c>
      <c r="C129" s="5">
        <f>IF($A129="","",IF($AP129&lt;&gt;"",INDEX(Raw_D1!$C$2:$C$1001,$AP129),IF($AR129&lt;&gt;"",INDEX(Raw_D3!$C$2:$C$1001,$AR129),"")))</f>
        <v>1</v>
      </c>
      <c r="D129" s="5">
        <f>IF($A129="","",IF($AP129&lt;&gt;"",INDEX(Raw_D1!$D$2:$D$1001,$AP129),IF($AR129&lt;&gt;"",INDEX(Raw_D3!$D$2:$D$1001,$AR129),"")))</f>
        <v>0</v>
      </c>
      <c r="E129" s="5">
        <f>IF($A129="","",IF($AP129&lt;&gt;"",INDEX(Raw_D1!$E$2:$E$1001,$AP129),IF($AR129&lt;&gt;"",INDEX(Raw_D3!$E$2:$E$1001,$AR129),"")))</f>
        <v>1</v>
      </c>
      <c r="F129" s="5">
        <f>IF($A129="","",IF($AP129&lt;&gt;"",INDEX(Raw_D1!$F$2:$F$1001,$AP129),IF($AR129&lt;&gt;"",INDEX(Raw_D3!$F$2:$F$1001,$AR129),"")))</f>
        <v>13</v>
      </c>
      <c r="G129" s="5">
        <f>IF($A129="","",IF($AP129&lt;&gt;"",IF(INDEX(Raw_D1!$G$2:$G$1001,$AP129),1,0),IF($AR129&lt;&gt;"",IF(INDEX(Raw_D3!$G$2:$G$1001,$AR129),1,0),"")))</f>
        <v>0</v>
      </c>
      <c r="H129" s="5">
        <f>IF($A129="","",IF($AP129&lt;&gt;"",INDEX(Raw_D1!$H$2:$H$1001,$AP129),IF($AR129&lt;&gt;"",INDEX(Raw_D3!$H$2:$H$1001,$AR129),"")))</f>
        <v>4</v>
      </c>
      <c r="I129" s="5">
        <f>IF($A129="","",IF($AP129&lt;&gt;"",INDEX(Raw_D1!$I$2:$I$1001,$AP129),IF($AR129&lt;&gt;"",INDEX(Raw_D3!$I$2:$I$1001,$AR129),"")))</f>
        <v>1</v>
      </c>
      <c r="J129" s="16">
        <f>IF($A129="","",IF($AP129&lt;&gt;"",INDEX(Raw_D1!$J$2:$J$1001,$AP129),IF($AR129&lt;&gt;"",INDEX(Raw_D3!$J$2:$J$1001,$AR129),"")))</f>
        <v>0.26</v>
      </c>
      <c r="K129" s="17">
        <f>IF($A129="","",IF($AQ129&lt;&gt;"",IF(INDEX(Raw_D2!$C$2:$C$1001,$AQ129)="","",INDEX(Raw_D2!$C$2:$C$1001,$AQ129)),IF($AR129&lt;&gt;"",IF(INDEX(Raw_D3!$K$2:$K$1001,$AR129)="","",INDEX(Raw_D3!$K$2:$K$1001,$AR129)),"")))</f>
        <v>0.2727</v>
      </c>
      <c r="L129" s="16">
        <f>IF($A129="","",IF($AQ129&lt;&gt;"",IF(INDEX(Raw_D2!$D$2:$D$1001,$AQ129)="","",INDEX(Raw_D2!$D$2:$D$1001,$AQ129)),IF($AR129&lt;&gt;"",IF(INDEX(Raw_D3!$L$2:$L$1001,$AR129)="","",INDEX(Raw_D3!$L$2:$L$1001,$AR129)),"")))</f>
        <v>0.35</v>
      </c>
      <c r="M129" s="17">
        <f>IF($A129="","",IF($AQ129&lt;&gt;"",IF(INDEX(Raw_D2!$E$2:$E$1001,$AQ129)="","",INDEX(Raw_D2!$E$2:$E$1001,$AQ129)),IF($AR129&lt;&gt;"",IF(INDEX(Raw_D3!$M$2:$M$1001,$AR129)="","",INDEX(Raw_D3!$M$2:$M$1001,$AR129)),"")))</f>
        <v>0.1045</v>
      </c>
      <c r="N129" s="5">
        <f>IF($A129="","",IF($AQ129&lt;&gt;"",IF(INDEX(Raw_D2!$F$2:$F$1001,$AQ129)="","",INDEX(Raw_D2!$F$2:$F$1001,$AQ129)),IF($AR129&lt;&gt;"",IF(INDEX(Raw_D3!$N$2:$N$1001,$AR129)="","",INDEX(Raw_D3!$N$2:$N$1001,$AR129)),"")))</f>
        <v>12</v>
      </c>
      <c r="O129" s="5">
        <f>IF($A129="","",IF($AQ129&lt;&gt;"",IF(INDEX(Raw_D2!$G$2:$G$1001,$AQ129)="","",INDEX(Raw_D2!$G$2:$G$1001,$AQ129)),IF($AR129&lt;&gt;"",IF(INDEX(Raw_D3!$O$2:$O$1001,$AR129)="","",INDEX(Raw_D3!$O$2:$O$1001,$AR129)),"")))</f>
        <v>55</v>
      </c>
      <c r="P129" s="5">
        <f>IF($A129="","",IF($AQ129&lt;&gt;"",IF(INDEX(Raw_D2!$H$2:$H$1001,$AQ129)="","",INDEX(Raw_D2!$H$2:$H$1001,$AQ129)),IF($AR129&lt;&gt;"",IF(INDEX(Raw_D3!$P$2:$P$1001,$AR129)="","",INDEX(Raw_D3!$P$2:$P$1001,$AR129)),"")))</f>
        <v>67</v>
      </c>
      <c r="Q129" s="5" t="str">
        <f>IF($A129="","",IF(AND($AP129&lt;&gt;"",$AQ129&lt;&gt;""),"D1+D2",IF($AR129&lt;&gt;"","D3","Incomplete")))</f>
        <v>D1+D2</v>
      </c>
      <c r="R129" s="17">
        <f>IF($A129="","",IF($K129="",IF($J129="","",ROUND(Lookups!$K$5+Lookups!$K$4*$J129,4)),$K129))</f>
        <v>0.2727</v>
      </c>
      <c r="S129" s="5" t="str">
        <f>IF($A129="","",IF($K129="","Imputed","Original"))</f>
        <v>Original</v>
      </c>
      <c r="T129" s="5" t="str">
        <f>IF($A129="","",IF($P129="","Missing",IF($P129=$N129+$O129,"OK","Mismatch")))</f>
        <v>OK</v>
      </c>
      <c r="U129" s="5" t="str">
        <f>IF($A129="","",IF(COUNTIF($A$2:$A129,$A129)&gt;1,"Duplicate","Unique"))</f>
        <v>Unique</v>
      </c>
      <c r="V129" s="5">
        <f>IF($A129="","",IF(AND($U129="Unique",ISNUMBER($P129)),1,0))</f>
        <v>1</v>
      </c>
      <c r="W129" s="5" t="str">
        <f>IF($A129="","",IF(OR($H129=0,$H129=6),"Weekend","Weekday"))</f>
        <v>Weekday</v>
      </c>
      <c r="X129" s="5" t="str">
        <f>IF($A129="","",TEXT($B129,"ddd"))</f>
        <v>Thu</v>
      </c>
      <c r="Y129" s="5" t="str">
        <f>IF($A129="","",TEXT($B129,"mmm"))</f>
        <v>Jan</v>
      </c>
      <c r="Z129" s="5" t="str">
        <f>IF($A129="","",IFERROR(VLOOKUP($C129,Lookups!$D$4:$E$7,2,FALSE),"Unknown"))</f>
        <v>Winter</v>
      </c>
      <c r="AA129" s="5" t="str">
        <f>IF($A129="","",IFERROR(VLOOKUP($I129,Lookups!$A$4:$B$7,2,FALSE),"Unknown"))</f>
        <v>Clear</v>
      </c>
      <c r="AB129" s="5" t="str">
        <f>IF($A129="","",TEXT($F129,"00")&amp;":00")</f>
        <v>13:00</v>
      </c>
      <c r="AC129" s="5" t="str">
        <f>IF($A129="","",VLOOKUP($F129,Lookups!$G$4:$H$8,2,TRUE))</f>
        <v>Midday (10-15)</v>
      </c>
      <c r="AD129" s="18">
        <f>IF($A129="","",IF($J129="","",ROUND($J129*41,1)))</f>
        <v>10.7</v>
      </c>
      <c r="AE129" s="18">
        <f>IF($A129="","",IF($R129="","",ROUND($R129*50,1)))</f>
        <v>13.6</v>
      </c>
      <c r="AF129" s="5">
        <f>IF($A129="","",IF($L129="","",ROUND($L129*100,0)))</f>
        <v>35</v>
      </c>
      <c r="AG129" s="18">
        <f>IF($A129="","",IF($M129="","",ROUND($M129*67,1)))</f>
        <v>7</v>
      </c>
      <c r="AH129" s="19">
        <f>IF($A129="","",IF($P129="","",IF($P129=0,0,$O129/$P129)))</f>
        <v>0.82089552238806</v>
      </c>
      <c r="AI129" s="5" t="str">
        <f>IF($A129="","",IF($P129="","",IF($P129&gt;=Lookups!$K$7,"High",IF($P129&lt;=Lookups!$K$8,"Low","Medium"))))</f>
        <v>Medium</v>
      </c>
      <c r="AJ129" s="5" t="str">
        <f>IF($A129="","",IF($AD129="","",IF($AD129&lt;5,"Under 5 C",IF($AD129&lt;10,"5-10 C",IF($AD129&lt;15,"10-15 C","15 C and above")))))</f>
        <v>10-15 C</v>
      </c>
      <c r="AK129" s="5">
        <f>IF($A129="","",IF($P129="","",$P129^2))</f>
        <v>4489</v>
      </c>
      <c r="AL129" s="18">
        <f>IF($V129&lt;&gt;1,"",AVERAGEIFS(Clean_Data!$P$2:$P$1001,Clean_Data!$F$2:$F$1001,$F129,Clean_Data!$W$2:$W$1001,$W129,Clean_Data!$V$2:$V$1001,1))</f>
        <v>67.1724137931034</v>
      </c>
      <c r="AM129" s="16">
        <f>IF($V129&lt;&gt;1,"",IFERROR(($P129-$AL129)/SQRT(MAX(0,(SUMIFS(Clean_Data!$AK$2:$AK$1001,Clean_Data!$F$2:$F$1001,$F129,Clean_Data!$W$2:$W$1001,$W129,Clean_Data!$V$2:$V$1001,1)-COUNTIFS(Clean_Data!$F$2:$F$1001,$F129,Clean_Data!$W$2:$W$1001,$W129,Clean_Data!$V$2:$V$1001,1)*$AL129^2)/(COUNTIFS(Clean_Data!$F$2:$F$1001,$F129,Clean_Data!$W$2:$W$1001,$W129,Clean_Data!$V$2:$V$1001,1)-1))),""))</f>
        <v>-0.00853869337788855</v>
      </c>
      <c r="AN129" s="5" t="str">
        <f>IF($AM129="","",IF($AM129&gt;=Lookups!$K$6,"High spike",IF($AM129&lt;=-Lookups!$K$6,"Unusual low","Normal")))</f>
        <v>Normal</v>
      </c>
      <c r="AO129" s="20">
        <f>IF($V129&lt;&gt;1,"",$P129+ROW()/100000)</f>
        <v>67.00129</v>
      </c>
      <c r="AP129" s="5">
        <f>IF($A129="","",IFERROR(MATCH($A129,Raw_D1!$A$2:$A$1001,0),""))</f>
        <v>128</v>
      </c>
      <c r="AQ129" s="5">
        <f>IF($A129="","",IFERROR(MATCH($A129,Raw_D2!$B$2:$B$1001,0),""))</f>
        <v>128</v>
      </c>
      <c r="AR129" s="5">
        <f>IF($A129="","",IFERROR(MATCH($A129,Raw_D3!$A$2:$A$1001,0),""))</f>
        <v/>
      </c>
    </row>
    <row r="130" spans="1:44" x14ac:dyDescent="0.25">
      <c r="A130" s="5">
        <v>129</v>
      </c>
      <c r="B130" s="11">
        <f>IF($A130="","",IF($AP130&lt;&gt;"",INDEX(Raw_D1!$B$2:$B$1001,$AP130),IF($AR130&lt;&gt;"",INDEX(Raw_D3!$B$2:$B$1001,$AR130),"")))</f>
        <v>40549.0</v>
      </c>
      <c r="C130" s="5">
        <f>IF($A130="","",IF($AP130&lt;&gt;"",INDEX(Raw_D1!$C$2:$C$1001,$AP130),IF($AR130&lt;&gt;"",INDEX(Raw_D3!$C$2:$C$1001,$AR130),"")))</f>
        <v>1</v>
      </c>
      <c r="D130" s="5">
        <f>IF($A130="","",IF($AP130&lt;&gt;"",INDEX(Raw_D1!$D$2:$D$1001,$AP130),IF($AR130&lt;&gt;"",INDEX(Raw_D3!$D$2:$D$1001,$AR130),"")))</f>
        <v>0</v>
      </c>
      <c r="E130" s="5">
        <f>IF($A130="","",IF($AP130&lt;&gt;"",INDEX(Raw_D1!$E$2:$E$1001,$AP130),IF($AR130&lt;&gt;"",INDEX(Raw_D3!$E$2:$E$1001,$AR130),"")))</f>
        <v>1</v>
      </c>
      <c r="F130" s="5">
        <f>IF($A130="","",IF($AP130&lt;&gt;"",INDEX(Raw_D1!$F$2:$F$1001,$AP130),IF($AR130&lt;&gt;"",INDEX(Raw_D3!$F$2:$F$1001,$AR130),"")))</f>
        <v>14</v>
      </c>
      <c r="G130" s="5">
        <f>IF($A130="","",IF($AP130&lt;&gt;"",IF(INDEX(Raw_D1!$G$2:$G$1001,$AP130),1,0),IF($AR130&lt;&gt;"",IF(INDEX(Raw_D3!$G$2:$G$1001,$AR130),1,0),"")))</f>
        <v>0</v>
      </c>
      <c r="H130" s="5">
        <f>IF($A130="","",IF($AP130&lt;&gt;"",INDEX(Raw_D1!$H$2:$H$1001,$AP130),IF($AR130&lt;&gt;"",INDEX(Raw_D3!$H$2:$H$1001,$AR130),"")))</f>
        <v>4</v>
      </c>
      <c r="I130" s="5">
        <f>IF($A130="","",IF($AP130&lt;&gt;"",INDEX(Raw_D1!$I$2:$I$1001,$AP130),IF($AR130&lt;&gt;"",INDEX(Raw_D3!$I$2:$I$1001,$AR130),"")))</f>
        <v>1</v>
      </c>
      <c r="J130" s="16">
        <f>IF($A130="","",IF($AP130&lt;&gt;"",INDEX(Raw_D1!$J$2:$J$1001,$AP130),IF($AR130&lt;&gt;"",INDEX(Raw_D3!$J$2:$J$1001,$AR130),"")))</f>
        <v>0.28</v>
      </c>
      <c r="K130" s="17">
        <f>IF($A130="","",IF($AQ130&lt;&gt;"",IF(INDEX(Raw_D2!$C$2:$C$1001,$AQ130)="","",INDEX(Raw_D2!$C$2:$C$1001,$AQ130)),IF($AR130&lt;&gt;"",IF(INDEX(Raw_D3!$K$2:$K$1001,$AR130)="","",INDEX(Raw_D3!$K$2:$K$1001,$AR130)),"")))</f>
        <v>0.2727</v>
      </c>
      <c r="L130" s="16">
        <f>IF($A130="","",IF($AQ130&lt;&gt;"",IF(INDEX(Raw_D2!$D$2:$D$1001,$AQ130)="","",INDEX(Raw_D2!$D$2:$D$1001,$AQ130)),IF($AR130&lt;&gt;"",IF(INDEX(Raw_D3!$L$2:$L$1001,$AR130)="","",INDEX(Raw_D3!$L$2:$L$1001,$AR130)),"")))</f>
        <v>0.36</v>
      </c>
      <c r="M130" s="17">
        <f>IF($A130="","",IF($AQ130&lt;&gt;"",IF(INDEX(Raw_D2!$E$2:$E$1001,$AQ130)="","",INDEX(Raw_D2!$E$2:$E$1001,$AQ130)),IF($AR130&lt;&gt;"",IF(INDEX(Raw_D3!$M$2:$M$1001,$AR130)="","",INDEX(Raw_D3!$M$2:$M$1001,$AR130)),"")))</f>
        <v>0.1642</v>
      </c>
      <c r="N130" s="5">
        <f>IF($A130="","",IF($AQ130&lt;&gt;"",IF(INDEX(Raw_D2!$F$2:$F$1001,$AQ130)="","",INDEX(Raw_D2!$F$2:$F$1001,$AQ130)),IF($AR130&lt;&gt;"",IF(INDEX(Raw_D3!$N$2:$N$1001,$AR130)="","",INDEX(Raw_D3!$N$2:$N$1001,$AR130)),"")))</f>
        <v>11</v>
      </c>
      <c r="O130" s="5">
        <f>IF($A130="","",IF($AQ130&lt;&gt;"",IF(INDEX(Raw_D2!$G$2:$G$1001,$AQ130)="","",INDEX(Raw_D2!$G$2:$G$1001,$AQ130)),IF($AR130&lt;&gt;"",IF(INDEX(Raw_D3!$O$2:$O$1001,$AR130)="","",INDEX(Raw_D3!$O$2:$O$1001,$AR130)),"")))</f>
        <v>59</v>
      </c>
      <c r="P130" s="5">
        <f>IF($A130="","",IF($AQ130&lt;&gt;"",IF(INDEX(Raw_D2!$H$2:$H$1001,$AQ130)="","",INDEX(Raw_D2!$H$2:$H$1001,$AQ130)),IF($AR130&lt;&gt;"",IF(INDEX(Raw_D3!$P$2:$P$1001,$AR130)="","",INDEX(Raw_D3!$P$2:$P$1001,$AR130)),"")))</f>
        <v>70</v>
      </c>
      <c r="Q130" s="5" t="str">
        <f>IF($A130="","",IF(AND($AP130&lt;&gt;"",$AQ130&lt;&gt;""),"D1+D2",IF($AR130&lt;&gt;"","D3","Incomplete")))</f>
        <v>D1+D2</v>
      </c>
      <c r="R130" s="17">
        <f>IF($A130="","",IF($K130="",IF($J130="","",ROUND(Lookups!$K$5+Lookups!$K$4*$J130,4)),$K130))</f>
        <v>0.2727</v>
      </c>
      <c r="S130" s="5" t="str">
        <f>IF($A130="","",IF($K130="","Imputed","Original"))</f>
        <v>Original</v>
      </c>
      <c r="T130" s="5" t="str">
        <f>IF($A130="","",IF($P130="","Missing",IF($P130=$N130+$O130,"OK","Mismatch")))</f>
        <v>OK</v>
      </c>
      <c r="U130" s="5" t="str">
        <f>IF($A130="","",IF(COUNTIF($A$2:$A130,$A130)&gt;1,"Duplicate","Unique"))</f>
        <v>Unique</v>
      </c>
      <c r="V130" s="5">
        <f>IF($A130="","",IF(AND($U130="Unique",ISNUMBER($P130)),1,0))</f>
        <v>1</v>
      </c>
      <c r="W130" s="5" t="str">
        <f>IF($A130="","",IF(OR($H130=0,$H130=6),"Weekend","Weekday"))</f>
        <v>Weekday</v>
      </c>
      <c r="X130" s="5" t="str">
        <f>IF($A130="","",TEXT($B130,"ddd"))</f>
        <v>Thu</v>
      </c>
      <c r="Y130" s="5" t="str">
        <f>IF($A130="","",TEXT($B130,"mmm"))</f>
        <v>Jan</v>
      </c>
      <c r="Z130" s="5" t="str">
        <f>IF($A130="","",IFERROR(VLOOKUP($C130,Lookups!$D$4:$E$7,2,FALSE),"Unknown"))</f>
        <v>Winter</v>
      </c>
      <c r="AA130" s="5" t="str">
        <f>IF($A130="","",IFERROR(VLOOKUP($I130,Lookups!$A$4:$B$7,2,FALSE),"Unknown"))</f>
        <v>Clear</v>
      </c>
      <c r="AB130" s="5" t="str">
        <f>IF($A130="","",TEXT($F130,"00")&amp;":00")</f>
        <v>14:00</v>
      </c>
      <c r="AC130" s="5" t="str">
        <f>IF($A130="","",VLOOKUP($F130,Lookups!$G$4:$H$8,2,TRUE))</f>
        <v>Midday (10-15)</v>
      </c>
      <c r="AD130" s="18">
        <f>IF($A130="","",IF($J130="","",ROUND($J130*41,1)))</f>
        <v>11.5</v>
      </c>
      <c r="AE130" s="18">
        <f>IF($A130="","",IF($R130="","",ROUND($R130*50,1)))</f>
        <v>13.6</v>
      </c>
      <c r="AF130" s="5">
        <f>IF($A130="","",IF($L130="","",ROUND($L130*100,0)))</f>
        <v>36</v>
      </c>
      <c r="AG130" s="18">
        <f>IF($A130="","",IF($M130="","",ROUND($M130*67,1)))</f>
        <v>11</v>
      </c>
      <c r="AH130" s="19">
        <f>IF($A130="","",IF($P130="","",IF($P130=0,0,$O130/$P130)))</f>
        <v>0.842857142857143</v>
      </c>
      <c r="AI130" s="5" t="str">
        <f>IF($A130="","",IF($P130="","",IF($P130&gt;=Lookups!$K$7,"High",IF($P130&lt;=Lookups!$K$8,"Low","Medium"))))</f>
        <v>Medium</v>
      </c>
      <c r="AJ130" s="5" t="str">
        <f>IF($A130="","",IF($AD130="","",IF($AD130&lt;5,"Under 5 C",IF($AD130&lt;10,"5-10 C",IF($AD130&lt;15,"10-15 C","15 C and above")))))</f>
        <v>10-15 C</v>
      </c>
      <c r="AK130" s="5">
        <f>IF($A130="","",IF($P130="","",$P130^2))</f>
        <v>4900</v>
      </c>
      <c r="AL130" s="18">
        <f>IF($V130&lt;&gt;1,"",AVERAGEIFS(Clean_Data!$P$2:$P$1001,Clean_Data!$F$2:$F$1001,$F130,Clean_Data!$W$2:$W$1001,$W130,Clean_Data!$V$2:$V$1001,1))</f>
        <v>60.551724137931</v>
      </c>
      <c r="AM130" s="16">
        <f>IF($V130&lt;&gt;1,"",IFERROR(($P130-$AL130)/SQRT(MAX(0,(SUMIFS(Clean_Data!$AK$2:$AK$1001,Clean_Data!$F$2:$F$1001,$F130,Clean_Data!$W$2:$W$1001,$W130,Clean_Data!$V$2:$V$1001,1)-COUNTIFS(Clean_Data!$F$2:$F$1001,$F130,Clean_Data!$W$2:$W$1001,$W130,Clean_Data!$V$2:$V$1001,1)*$AL130^2)/(COUNTIFS(Clean_Data!$F$2:$F$1001,$F130,Clean_Data!$W$2:$W$1001,$W130,Clean_Data!$V$2:$V$1001,1)-1))),""))</f>
        <v>0.57435181242128</v>
      </c>
      <c r="AN130" s="5" t="str">
        <f>IF($AM130="","",IF($AM130&gt;=Lookups!$K$6,"High spike",IF($AM130&lt;=-Lookups!$K$6,"Unusual low","Normal")))</f>
        <v>Normal</v>
      </c>
      <c r="AO130" s="20">
        <f>IF($V130&lt;&gt;1,"",$P130+ROW()/100000)</f>
        <v>70.0013</v>
      </c>
      <c r="AP130" s="5">
        <f>IF($A130="","",IFERROR(MATCH($A130,Raw_D1!$A$2:$A$1001,0),""))</f>
        <v>129</v>
      </c>
      <c r="AQ130" s="5">
        <f>IF($A130="","",IFERROR(MATCH($A130,Raw_D2!$B$2:$B$1001,0),""))</f>
        <v>129</v>
      </c>
      <c r="AR130" s="5">
        <f>IF($A130="","",IFERROR(MATCH($A130,Raw_D3!$A$2:$A$1001,0),""))</f>
        <v/>
      </c>
    </row>
    <row r="131" spans="1:44" x14ac:dyDescent="0.25">
      <c r="A131" s="5">
        <v>130</v>
      </c>
      <c r="B131" s="11">
        <f>IF($A131="","",IF($AP131&lt;&gt;"",INDEX(Raw_D1!$B$2:$B$1001,$AP131),IF($AR131&lt;&gt;"",INDEX(Raw_D3!$B$2:$B$1001,$AR131),"")))</f>
        <v>40549.0</v>
      </c>
      <c r="C131" s="5">
        <f>IF($A131="","",IF($AP131&lt;&gt;"",INDEX(Raw_D1!$C$2:$C$1001,$AP131),IF($AR131&lt;&gt;"",INDEX(Raw_D3!$C$2:$C$1001,$AR131),"")))</f>
        <v>1</v>
      </c>
      <c r="D131" s="5">
        <f>IF($A131="","",IF($AP131&lt;&gt;"",INDEX(Raw_D1!$D$2:$D$1001,$AP131),IF($AR131&lt;&gt;"",INDEX(Raw_D3!$D$2:$D$1001,$AR131),"")))</f>
        <v>0</v>
      </c>
      <c r="E131" s="5">
        <f>IF($A131="","",IF($AP131&lt;&gt;"",INDEX(Raw_D1!$E$2:$E$1001,$AP131),IF($AR131&lt;&gt;"",INDEX(Raw_D3!$E$2:$E$1001,$AR131),"")))</f>
        <v>1</v>
      </c>
      <c r="F131" s="5">
        <f>IF($A131="","",IF($AP131&lt;&gt;"",INDEX(Raw_D1!$F$2:$F$1001,$AP131),IF($AR131&lt;&gt;"",INDEX(Raw_D3!$F$2:$F$1001,$AR131),"")))</f>
        <v>15</v>
      </c>
      <c r="G131" s="5">
        <f>IF($A131="","",IF($AP131&lt;&gt;"",IF(INDEX(Raw_D1!$G$2:$G$1001,$AP131),1,0),IF($AR131&lt;&gt;"",IF(INDEX(Raw_D3!$G$2:$G$1001,$AR131),1,0),"")))</f>
        <v>0</v>
      </c>
      <c r="H131" s="5">
        <f>IF($A131="","",IF($AP131&lt;&gt;"",INDEX(Raw_D1!$H$2:$H$1001,$AP131),IF($AR131&lt;&gt;"",INDEX(Raw_D3!$H$2:$H$1001,$AR131),"")))</f>
        <v>4</v>
      </c>
      <c r="I131" s="5">
        <f>IF($A131="","",IF($AP131&lt;&gt;"",INDEX(Raw_D1!$I$2:$I$1001,$AP131),IF($AR131&lt;&gt;"",INDEX(Raw_D3!$I$2:$I$1001,$AR131),"")))</f>
        <v>1</v>
      </c>
      <c r="J131" s="16">
        <f>IF($A131="","",IF($AP131&lt;&gt;"",INDEX(Raw_D1!$J$2:$J$1001,$AP131),IF($AR131&lt;&gt;"",INDEX(Raw_D3!$J$2:$J$1001,$AR131),"")))</f>
        <v>0.28</v>
      </c>
      <c r="K131" s="17">
        <f>IF($A131="","",IF($AQ131&lt;&gt;"",IF(INDEX(Raw_D2!$C$2:$C$1001,$AQ131)="","",INDEX(Raw_D2!$C$2:$C$1001,$AQ131)),IF($AR131&lt;&gt;"",IF(INDEX(Raw_D3!$K$2:$K$1001,$AR131)="","",INDEX(Raw_D3!$K$2:$K$1001,$AR131)),"")))</f>
        <v>0.2727</v>
      </c>
      <c r="L131" s="16">
        <f>IF($A131="","",IF($AQ131&lt;&gt;"",IF(INDEX(Raw_D2!$D$2:$D$1001,$AQ131)="","",INDEX(Raw_D2!$D$2:$D$1001,$AQ131)),IF($AR131&lt;&gt;"",IF(INDEX(Raw_D3!$L$2:$L$1001,$AR131)="","",INDEX(Raw_D3!$L$2:$L$1001,$AR131)),"")))</f>
        <v>0.36</v>
      </c>
      <c r="M131" s="17">
        <f>IF($A131="","",IF($AQ131&lt;&gt;"",IF(INDEX(Raw_D2!$E$2:$E$1001,$AQ131)="","",INDEX(Raw_D2!$E$2:$E$1001,$AQ131)),IF($AR131&lt;&gt;"",IF(INDEX(Raw_D3!$M$2:$M$1001,$AR131)="","",INDEX(Raw_D3!$M$2:$M$1001,$AR131)),"")))</f>
        <v>0</v>
      </c>
      <c r="N131" s="5">
        <f>IF($A131="","",IF($AQ131&lt;&gt;"",IF(INDEX(Raw_D2!$F$2:$F$1001,$AQ131)="","",INDEX(Raw_D2!$F$2:$F$1001,$AQ131)),IF($AR131&lt;&gt;"",IF(INDEX(Raw_D3!$N$2:$N$1001,$AR131)="","",INDEX(Raw_D3!$N$2:$N$1001,$AR131)),"")))</f>
        <v>8</v>
      </c>
      <c r="O131" s="5">
        <f>IF($A131="","",IF($AQ131&lt;&gt;"",IF(INDEX(Raw_D2!$G$2:$G$1001,$AQ131)="","",INDEX(Raw_D2!$G$2:$G$1001,$AQ131)),IF($AR131&lt;&gt;"",IF(INDEX(Raw_D3!$O$2:$O$1001,$AR131)="","",INDEX(Raw_D3!$O$2:$O$1001,$AR131)),"")))</f>
        <v>54</v>
      </c>
      <c r="P131" s="5">
        <f>IF($A131="","",IF($AQ131&lt;&gt;"",IF(INDEX(Raw_D2!$H$2:$H$1001,$AQ131)="","",INDEX(Raw_D2!$H$2:$H$1001,$AQ131)),IF($AR131&lt;&gt;"",IF(INDEX(Raw_D3!$P$2:$P$1001,$AR131)="","",INDEX(Raw_D3!$P$2:$P$1001,$AR131)),"")))</f>
        <v>62</v>
      </c>
      <c r="Q131" s="5" t="str">
        <f>IF($A131="","",IF(AND($AP131&lt;&gt;"",$AQ131&lt;&gt;""),"D1+D2",IF($AR131&lt;&gt;"","D3","Incomplete")))</f>
        <v>D1+D2</v>
      </c>
      <c r="R131" s="17">
        <f>IF($A131="","",IF($K131="",IF($J131="","",ROUND(Lookups!$K$5+Lookups!$K$4*$J131,4)),$K131))</f>
        <v>0.2727</v>
      </c>
      <c r="S131" s="5" t="str">
        <f>IF($A131="","",IF($K131="","Imputed","Original"))</f>
        <v>Original</v>
      </c>
      <c r="T131" s="5" t="str">
        <f>IF($A131="","",IF($P131="","Missing",IF($P131=$N131+$O131,"OK","Mismatch")))</f>
        <v>OK</v>
      </c>
      <c r="U131" s="5" t="str">
        <f>IF($A131="","",IF(COUNTIF($A$2:$A131,$A131)&gt;1,"Duplicate","Unique"))</f>
        <v>Unique</v>
      </c>
      <c r="V131" s="5">
        <f>IF($A131="","",IF(AND($U131="Unique",ISNUMBER($P131)),1,0))</f>
        <v>1</v>
      </c>
      <c r="W131" s="5" t="str">
        <f>IF($A131="","",IF(OR($H131=0,$H131=6),"Weekend","Weekday"))</f>
        <v>Weekday</v>
      </c>
      <c r="X131" s="5" t="str">
        <f>IF($A131="","",TEXT($B131,"ddd"))</f>
        <v>Thu</v>
      </c>
      <c r="Y131" s="5" t="str">
        <f>IF($A131="","",TEXT($B131,"mmm"))</f>
        <v>Jan</v>
      </c>
      <c r="Z131" s="5" t="str">
        <f>IF($A131="","",IFERROR(VLOOKUP($C131,Lookups!$D$4:$E$7,2,FALSE),"Unknown"))</f>
        <v>Winter</v>
      </c>
      <c r="AA131" s="5" t="str">
        <f>IF($A131="","",IFERROR(VLOOKUP($I131,Lookups!$A$4:$B$7,2,FALSE),"Unknown"))</f>
        <v>Clear</v>
      </c>
      <c r="AB131" s="5" t="str">
        <f>IF($A131="","",TEXT($F131,"00")&amp;":00")</f>
        <v>15:00</v>
      </c>
      <c r="AC131" s="5" t="str">
        <f>IF($A131="","",VLOOKUP($F131,Lookups!$G$4:$H$8,2,TRUE))</f>
        <v>Midday (10-15)</v>
      </c>
      <c r="AD131" s="18">
        <f>IF($A131="","",IF($J131="","",ROUND($J131*41,1)))</f>
        <v>11.5</v>
      </c>
      <c r="AE131" s="18">
        <f>IF($A131="","",IF($R131="","",ROUND($R131*50,1)))</f>
        <v>13.6</v>
      </c>
      <c r="AF131" s="5">
        <f>IF($A131="","",IF($L131="","",ROUND($L131*100,0)))</f>
        <v>36</v>
      </c>
      <c r="AG131" s="18">
        <f>IF($A131="","",IF($M131="","",ROUND($M131*67,1)))</f>
        <v>0</v>
      </c>
      <c r="AH131" s="19">
        <f>IF($A131="","",IF($P131="","",IF($P131=0,0,$O131/$P131)))</f>
        <v>0.870967741935484</v>
      </c>
      <c r="AI131" s="5" t="str">
        <f>IF($A131="","",IF($P131="","",IF($P131&gt;=Lookups!$K$7,"High",IF($P131&lt;=Lookups!$K$8,"Low","Medium"))))</f>
        <v>Medium</v>
      </c>
      <c r="AJ131" s="5" t="str">
        <f>IF($A131="","",IF($AD131="","",IF($AD131&lt;5,"Under 5 C",IF($AD131&lt;10,"5-10 C",IF($AD131&lt;15,"10-15 C","15 C and above")))))</f>
        <v>10-15 C</v>
      </c>
      <c r="AK131" s="5">
        <f>IF($A131="","",IF($P131="","",$P131^2))</f>
        <v>3844</v>
      </c>
      <c r="AL131" s="18">
        <f>IF($V131&lt;&gt;1,"",AVERAGEIFS(Clean_Data!$P$2:$P$1001,Clean_Data!$F$2:$F$1001,$F131,Clean_Data!$W$2:$W$1001,$W131,Clean_Data!$V$2:$V$1001,1))</f>
        <v>61.4827586206897</v>
      </c>
      <c r="AM131" s="16">
        <f>IF($V131&lt;&gt;1,"",IFERROR(($P131-$AL131)/SQRT(MAX(0,(SUMIFS(Clean_Data!$AK$2:$AK$1001,Clean_Data!$F$2:$F$1001,$F131,Clean_Data!$W$2:$W$1001,$W131,Clean_Data!$V$2:$V$1001,1)-COUNTIFS(Clean_Data!$F$2:$F$1001,$F131,Clean_Data!$W$2:$W$1001,$W131,Clean_Data!$V$2:$V$1001,1)*$AL131^2)/(COUNTIFS(Clean_Data!$F$2:$F$1001,$F131,Clean_Data!$W$2:$W$1001,$W131,Clean_Data!$V$2:$V$1001,1)-1))),""))</f>
        <v>0.0343109764642972</v>
      </c>
      <c r="AN131" s="5" t="str">
        <f>IF($AM131="","",IF($AM131&gt;=Lookups!$K$6,"High spike",IF($AM131&lt;=-Lookups!$K$6,"Unusual low","Normal")))</f>
        <v>Normal</v>
      </c>
      <c r="AO131" s="20">
        <f>IF($V131&lt;&gt;1,"",$P131+ROW()/100000)</f>
        <v>62.00131</v>
      </c>
      <c r="AP131" s="5">
        <f>IF($A131="","",IFERROR(MATCH($A131,Raw_D1!$A$2:$A$1001,0),""))</f>
        <v>130</v>
      </c>
      <c r="AQ131" s="5">
        <f>IF($A131="","",IFERROR(MATCH($A131,Raw_D2!$B$2:$B$1001,0),""))</f>
        <v>130</v>
      </c>
      <c r="AR131" s="5">
        <f>IF($A131="","",IFERROR(MATCH($A131,Raw_D3!$A$2:$A$1001,0),""))</f>
        <v/>
      </c>
    </row>
    <row r="132" spans="1:44" x14ac:dyDescent="0.25">
      <c r="A132" s="5">
        <v>131</v>
      </c>
      <c r="B132" s="11">
        <f>IF($A132="","",IF($AP132&lt;&gt;"",INDEX(Raw_D1!$B$2:$B$1001,$AP132),IF($AR132&lt;&gt;"",INDEX(Raw_D3!$B$2:$B$1001,$AR132),"")))</f>
        <v>40549.0</v>
      </c>
      <c r="C132" s="5">
        <f>IF($A132="","",IF($AP132&lt;&gt;"",INDEX(Raw_D1!$C$2:$C$1001,$AP132),IF($AR132&lt;&gt;"",INDEX(Raw_D3!$C$2:$C$1001,$AR132),"")))</f>
        <v>1</v>
      </c>
      <c r="D132" s="5">
        <f>IF($A132="","",IF($AP132&lt;&gt;"",INDEX(Raw_D1!$D$2:$D$1001,$AP132),IF($AR132&lt;&gt;"",INDEX(Raw_D3!$D$2:$D$1001,$AR132),"")))</f>
        <v>0</v>
      </c>
      <c r="E132" s="5">
        <f>IF($A132="","",IF($AP132&lt;&gt;"",INDEX(Raw_D1!$E$2:$E$1001,$AP132),IF($AR132&lt;&gt;"",INDEX(Raw_D3!$E$2:$E$1001,$AR132),"")))</f>
        <v>1</v>
      </c>
      <c r="F132" s="5">
        <f>IF($A132="","",IF($AP132&lt;&gt;"",INDEX(Raw_D1!$F$2:$F$1001,$AP132),IF($AR132&lt;&gt;"",INDEX(Raw_D3!$F$2:$F$1001,$AR132),"")))</f>
        <v>16</v>
      </c>
      <c r="G132" s="5">
        <f>IF($A132="","",IF($AP132&lt;&gt;"",IF(INDEX(Raw_D1!$G$2:$G$1001,$AP132),1,0),IF($AR132&lt;&gt;"",IF(INDEX(Raw_D3!$G$2:$G$1001,$AR132),1,0),"")))</f>
        <v>0</v>
      </c>
      <c r="H132" s="5">
        <f>IF($A132="","",IF($AP132&lt;&gt;"",INDEX(Raw_D1!$H$2:$H$1001,$AP132),IF($AR132&lt;&gt;"",INDEX(Raw_D3!$H$2:$H$1001,$AR132),"")))</f>
        <v>4</v>
      </c>
      <c r="I132" s="5">
        <f>IF($A132="","",IF($AP132&lt;&gt;"",INDEX(Raw_D1!$I$2:$I$1001,$AP132),IF($AR132&lt;&gt;"",INDEX(Raw_D3!$I$2:$I$1001,$AR132),"")))</f>
        <v>1</v>
      </c>
      <c r="J132" s="16">
        <f>IF($A132="","",IF($AP132&lt;&gt;"",INDEX(Raw_D1!$J$2:$J$1001,$AP132),IF($AR132&lt;&gt;"",INDEX(Raw_D3!$J$2:$J$1001,$AR132),"")))</f>
        <v>0.26</v>
      </c>
      <c r="K132" s="17">
        <f>IF($A132="","",IF($AQ132&lt;&gt;"",IF(INDEX(Raw_D2!$C$2:$C$1001,$AQ132)="","",INDEX(Raw_D2!$C$2:$C$1001,$AQ132)),IF($AR132&lt;&gt;"",IF(INDEX(Raw_D3!$K$2:$K$1001,$AR132)="","",INDEX(Raw_D3!$K$2:$K$1001,$AR132)),"")))</f>
        <v>0.2576</v>
      </c>
      <c r="L132" s="16">
        <f>IF($A132="","",IF($AQ132&lt;&gt;"",IF(INDEX(Raw_D2!$D$2:$D$1001,$AQ132)="","",INDEX(Raw_D2!$D$2:$D$1001,$AQ132)),IF($AR132&lt;&gt;"",IF(INDEX(Raw_D3!$L$2:$L$1001,$AR132)="","",INDEX(Raw_D3!$L$2:$L$1001,$AR132)),"")))</f>
        <v>0.38</v>
      </c>
      <c r="M132" s="17">
        <f>IF($A132="","",IF($AQ132&lt;&gt;"",IF(INDEX(Raw_D2!$E$2:$E$1001,$AQ132)="","",INDEX(Raw_D2!$E$2:$E$1001,$AQ132)),IF($AR132&lt;&gt;"",IF(INDEX(Raw_D3!$M$2:$M$1001,$AR132)="","",INDEX(Raw_D3!$M$2:$M$1001,$AR132)),"")))</f>
        <v>0.1642</v>
      </c>
      <c r="N132" s="5">
        <f>IF($A132="","",IF($AQ132&lt;&gt;"",IF(INDEX(Raw_D2!$F$2:$F$1001,$AQ132)="","",INDEX(Raw_D2!$F$2:$F$1001,$AQ132)),IF($AR132&lt;&gt;"",IF(INDEX(Raw_D3!$N$2:$N$1001,$AR132)="","",INDEX(Raw_D3!$N$2:$N$1001,$AR132)),"")))</f>
        <v>12</v>
      </c>
      <c r="O132" s="5">
        <f>IF($A132="","",IF($AQ132&lt;&gt;"",IF(INDEX(Raw_D2!$G$2:$G$1001,$AQ132)="","",INDEX(Raw_D2!$G$2:$G$1001,$AQ132)),IF($AR132&lt;&gt;"",IF(INDEX(Raw_D3!$O$2:$O$1001,$AR132)="","",INDEX(Raw_D3!$O$2:$O$1001,$AR132)),"")))</f>
        <v>74</v>
      </c>
      <c r="P132" s="5">
        <f>IF($A132="","",IF($AQ132&lt;&gt;"",IF(INDEX(Raw_D2!$H$2:$H$1001,$AQ132)="","",INDEX(Raw_D2!$H$2:$H$1001,$AQ132)),IF($AR132&lt;&gt;"",IF(INDEX(Raw_D3!$P$2:$P$1001,$AR132)="","",INDEX(Raw_D3!$P$2:$P$1001,$AR132)),"")))</f>
        <v>86</v>
      </c>
      <c r="Q132" s="5" t="str">
        <f>IF($A132="","",IF(AND($AP132&lt;&gt;"",$AQ132&lt;&gt;""),"D1+D2",IF($AR132&lt;&gt;"","D3","Incomplete")))</f>
        <v>D1+D2</v>
      </c>
      <c r="R132" s="17">
        <f>IF($A132="","",IF($K132="",IF($J132="","",ROUND(Lookups!$K$5+Lookups!$K$4*$J132,4)),$K132))</f>
        <v>0.2576</v>
      </c>
      <c r="S132" s="5" t="str">
        <f>IF($A132="","",IF($K132="","Imputed","Original"))</f>
        <v>Original</v>
      </c>
      <c r="T132" s="5" t="str">
        <f>IF($A132="","",IF($P132="","Missing",IF($P132=$N132+$O132,"OK","Mismatch")))</f>
        <v>OK</v>
      </c>
      <c r="U132" s="5" t="str">
        <f>IF($A132="","",IF(COUNTIF($A$2:$A132,$A132)&gt;1,"Duplicate","Unique"))</f>
        <v>Unique</v>
      </c>
      <c r="V132" s="5">
        <f>IF($A132="","",IF(AND($U132="Unique",ISNUMBER($P132)),1,0))</f>
        <v>1</v>
      </c>
      <c r="W132" s="5" t="str">
        <f>IF($A132="","",IF(OR($H132=0,$H132=6),"Weekend","Weekday"))</f>
        <v>Weekday</v>
      </c>
      <c r="X132" s="5" t="str">
        <f>IF($A132="","",TEXT($B132,"ddd"))</f>
        <v>Thu</v>
      </c>
      <c r="Y132" s="5" t="str">
        <f>IF($A132="","",TEXT($B132,"mmm"))</f>
        <v>Jan</v>
      </c>
      <c r="Z132" s="5" t="str">
        <f>IF($A132="","",IFERROR(VLOOKUP($C132,Lookups!$D$4:$E$7,2,FALSE),"Unknown"))</f>
        <v>Winter</v>
      </c>
      <c r="AA132" s="5" t="str">
        <f>IF($A132="","",IFERROR(VLOOKUP($I132,Lookups!$A$4:$B$7,2,FALSE),"Unknown"))</f>
        <v>Clear</v>
      </c>
      <c r="AB132" s="5" t="str">
        <f>IF($A132="","",TEXT($F132,"00")&amp;":00")</f>
        <v>16:00</v>
      </c>
      <c r="AC132" s="5" t="str">
        <f>IF($A132="","",VLOOKUP($F132,Lookups!$G$4:$H$8,2,TRUE))</f>
        <v>Evening Peak (16-19)</v>
      </c>
      <c r="AD132" s="18">
        <f>IF($A132="","",IF($J132="","",ROUND($J132*41,1)))</f>
        <v>10.7</v>
      </c>
      <c r="AE132" s="18">
        <f>IF($A132="","",IF($R132="","",ROUND($R132*50,1)))</f>
        <v>12.9</v>
      </c>
      <c r="AF132" s="5">
        <f>IF($A132="","",IF($L132="","",ROUND($L132*100,0)))</f>
        <v>38</v>
      </c>
      <c r="AG132" s="18">
        <f>IF($A132="","",IF($M132="","",ROUND($M132*67,1)))</f>
        <v>11</v>
      </c>
      <c r="AH132" s="19">
        <f>IF($A132="","",IF($P132="","",IF($P132=0,0,$O132/$P132)))</f>
        <v>0.86046511627907</v>
      </c>
      <c r="AI132" s="5" t="str">
        <f>IF($A132="","",IF($P132="","",IF($P132&gt;=Lookups!$K$7,"High",IF($P132&lt;=Lookups!$K$8,"Low","Medium"))))</f>
        <v>High</v>
      </c>
      <c r="AJ132" s="5" t="str">
        <f>IF($A132="","",IF($AD132="","",IF($AD132&lt;5,"Under 5 C",IF($AD132&lt;10,"5-10 C",IF($AD132&lt;15,"10-15 C","15 C and above")))))</f>
        <v>10-15 C</v>
      </c>
      <c r="AK132" s="5">
        <f>IF($A132="","",IF($P132="","",$P132^2))</f>
        <v>7396</v>
      </c>
      <c r="AL132" s="18">
        <f>IF($V132&lt;&gt;1,"",AVERAGEIFS(Clean_Data!$P$2:$P$1001,Clean_Data!$F$2:$F$1001,$F132,Clean_Data!$W$2:$W$1001,$W132,Clean_Data!$V$2:$V$1001,1))</f>
        <v>82.6333333333333</v>
      </c>
      <c r="AM132" s="16">
        <f>IF($V132&lt;&gt;1,"",IFERROR(($P132-$AL132)/SQRT(MAX(0,(SUMIFS(Clean_Data!$AK$2:$AK$1001,Clean_Data!$F$2:$F$1001,$F132,Clean_Data!$W$2:$W$1001,$W132,Clean_Data!$V$2:$V$1001,1)-COUNTIFS(Clean_Data!$F$2:$F$1001,$F132,Clean_Data!$W$2:$W$1001,$W132,Clean_Data!$V$2:$V$1001,1)*$AL132^2)/(COUNTIFS(Clean_Data!$F$2:$F$1001,$F132,Clean_Data!$W$2:$W$1001,$W132,Clean_Data!$V$2:$V$1001,1)-1))),""))</f>
        <v>0.162296743476499</v>
      </c>
      <c r="AN132" s="5" t="str">
        <f>IF($AM132="","",IF($AM132&gt;=Lookups!$K$6,"High spike",IF($AM132&lt;=-Lookups!$K$6,"Unusual low","Normal")))</f>
        <v>Normal</v>
      </c>
      <c r="AO132" s="20">
        <f>IF($V132&lt;&gt;1,"",$P132+ROW()/100000)</f>
        <v>86.00132</v>
      </c>
      <c r="AP132" s="5">
        <f>IF($A132="","",IFERROR(MATCH($A132,Raw_D1!$A$2:$A$1001,0),""))</f>
        <v>131</v>
      </c>
      <c r="AQ132" s="5">
        <f>IF($A132="","",IFERROR(MATCH($A132,Raw_D2!$B$2:$B$1001,0),""))</f>
        <v>131</v>
      </c>
      <c r="AR132" s="5">
        <f>IF($A132="","",IFERROR(MATCH($A132,Raw_D3!$A$2:$A$1001,0),""))</f>
        <v/>
      </c>
    </row>
    <row r="133" spans="1:44" x14ac:dyDescent="0.25">
      <c r="A133" s="5">
        <v>132</v>
      </c>
      <c r="B133" s="11">
        <f>IF($A133="","",IF($AP133&lt;&gt;"",INDEX(Raw_D1!$B$2:$B$1001,$AP133),IF($AR133&lt;&gt;"",INDEX(Raw_D3!$B$2:$B$1001,$AR133),"")))</f>
        <v>40549.0</v>
      </c>
      <c r="C133" s="5">
        <f>IF($A133="","",IF($AP133&lt;&gt;"",INDEX(Raw_D1!$C$2:$C$1001,$AP133),IF($AR133&lt;&gt;"",INDEX(Raw_D3!$C$2:$C$1001,$AR133),"")))</f>
        <v>1</v>
      </c>
      <c r="D133" s="5">
        <f>IF($A133="","",IF($AP133&lt;&gt;"",INDEX(Raw_D1!$D$2:$D$1001,$AP133),IF($AR133&lt;&gt;"",INDEX(Raw_D3!$D$2:$D$1001,$AR133),"")))</f>
        <v>0</v>
      </c>
      <c r="E133" s="5">
        <f>IF($A133="","",IF($AP133&lt;&gt;"",INDEX(Raw_D1!$E$2:$E$1001,$AP133),IF($AR133&lt;&gt;"",INDEX(Raw_D3!$E$2:$E$1001,$AR133),"")))</f>
        <v>1</v>
      </c>
      <c r="F133" s="5">
        <f>IF($A133="","",IF($AP133&lt;&gt;"",INDEX(Raw_D1!$F$2:$F$1001,$AP133),IF($AR133&lt;&gt;"",INDEX(Raw_D3!$F$2:$F$1001,$AR133),"")))</f>
        <v>17</v>
      </c>
      <c r="G133" s="5">
        <f>IF($A133="","",IF($AP133&lt;&gt;"",IF(INDEX(Raw_D1!$G$2:$G$1001,$AP133),1,0),IF($AR133&lt;&gt;"",IF(INDEX(Raw_D3!$G$2:$G$1001,$AR133),1,0),"")))</f>
        <v>0</v>
      </c>
      <c r="H133" s="5">
        <f>IF($A133="","",IF($AP133&lt;&gt;"",INDEX(Raw_D1!$H$2:$H$1001,$AP133),IF($AR133&lt;&gt;"",INDEX(Raw_D3!$H$2:$H$1001,$AR133),"")))</f>
        <v>4</v>
      </c>
      <c r="I133" s="5">
        <f>IF($A133="","",IF($AP133&lt;&gt;"",INDEX(Raw_D1!$I$2:$I$1001,$AP133),IF($AR133&lt;&gt;"",INDEX(Raw_D3!$I$2:$I$1001,$AR133),"")))</f>
        <v>1</v>
      </c>
      <c r="J133" s="16">
        <f>IF($A133="","",IF($AP133&lt;&gt;"",INDEX(Raw_D1!$J$2:$J$1001,$AP133),IF($AR133&lt;&gt;"",INDEX(Raw_D3!$J$2:$J$1001,$AR133),"")))</f>
        <v>0.22</v>
      </c>
      <c r="K133" s="17">
        <f>IF($A133="","",IF($AQ133&lt;&gt;"",IF(INDEX(Raw_D2!$C$2:$C$1001,$AQ133)="","",INDEX(Raw_D2!$C$2:$C$1001,$AQ133)),IF($AR133&lt;&gt;"",IF(INDEX(Raw_D3!$K$2:$K$1001,$AR133)="","",INDEX(Raw_D3!$K$2:$K$1001,$AR133)),"")))</f>
        <v>0.2273</v>
      </c>
      <c r="L133" s="16">
        <f>IF($A133="","",IF($AQ133&lt;&gt;"",IF(INDEX(Raw_D2!$D$2:$D$1001,$AQ133)="","",INDEX(Raw_D2!$D$2:$D$1001,$AQ133)),IF($AR133&lt;&gt;"",IF(INDEX(Raw_D3!$L$2:$L$1001,$AR133)="","",INDEX(Raw_D3!$L$2:$L$1001,$AR133)),"")))</f>
        <v>0.51</v>
      </c>
      <c r="M133" s="17">
        <f>IF($A133="","",IF($AQ133&lt;&gt;"",IF(INDEX(Raw_D2!$E$2:$E$1001,$AQ133)="","",INDEX(Raw_D2!$E$2:$E$1001,$AQ133)),IF($AR133&lt;&gt;"",IF(INDEX(Raw_D3!$M$2:$M$1001,$AR133)="","",INDEX(Raw_D3!$M$2:$M$1001,$AR133)),"")))</f>
        <v>0.1642</v>
      </c>
      <c r="N133" s="5">
        <f>IF($A133="","",IF($AQ133&lt;&gt;"",IF(INDEX(Raw_D2!$F$2:$F$1001,$AQ133)="","",INDEX(Raw_D2!$F$2:$F$1001,$AQ133)),IF($AR133&lt;&gt;"",IF(INDEX(Raw_D3!$N$2:$N$1001,$AR133)="","",INDEX(Raw_D3!$N$2:$N$1001,$AR133)),"")))</f>
        <v>9</v>
      </c>
      <c r="O133" s="5">
        <f>IF($A133="","",IF($AQ133&lt;&gt;"",IF(INDEX(Raw_D2!$G$2:$G$1001,$AQ133)="","",INDEX(Raw_D2!$G$2:$G$1001,$AQ133)),IF($AR133&lt;&gt;"",IF(INDEX(Raw_D3!$O$2:$O$1001,$AR133)="","",INDEX(Raw_D3!$O$2:$O$1001,$AR133)),"")))</f>
        <v>163</v>
      </c>
      <c r="P133" s="5">
        <f>IF($A133="","",IF($AQ133&lt;&gt;"",IF(INDEX(Raw_D2!$H$2:$H$1001,$AQ133)="","",INDEX(Raw_D2!$H$2:$H$1001,$AQ133)),IF($AR133&lt;&gt;"",IF(INDEX(Raw_D3!$P$2:$P$1001,$AR133)="","",INDEX(Raw_D3!$P$2:$P$1001,$AR133)),"")))</f>
        <v>172</v>
      </c>
      <c r="Q133" s="5" t="str">
        <f>IF($A133="","",IF(AND($AP133&lt;&gt;"",$AQ133&lt;&gt;""),"D1+D2",IF($AR133&lt;&gt;"","D3","Incomplete")))</f>
        <v>D1+D2</v>
      </c>
      <c r="R133" s="17">
        <f>IF($A133="","",IF($K133="",IF($J133="","",ROUND(Lookups!$K$5+Lookups!$K$4*$J133,4)),$K133))</f>
        <v>0.2273</v>
      </c>
      <c r="S133" s="5" t="str">
        <f>IF($A133="","",IF($K133="","Imputed","Original"))</f>
        <v>Original</v>
      </c>
      <c r="T133" s="5" t="str">
        <f>IF($A133="","",IF($P133="","Missing",IF($P133=$N133+$O133,"OK","Mismatch")))</f>
        <v>OK</v>
      </c>
      <c r="U133" s="5" t="str">
        <f>IF($A133="","",IF(COUNTIF($A$2:$A133,$A133)&gt;1,"Duplicate","Unique"))</f>
        <v>Unique</v>
      </c>
      <c r="V133" s="5">
        <f>IF($A133="","",IF(AND($U133="Unique",ISNUMBER($P133)),1,0))</f>
        <v>1</v>
      </c>
      <c r="W133" s="5" t="str">
        <f>IF($A133="","",IF(OR($H133=0,$H133=6),"Weekend","Weekday"))</f>
        <v>Weekday</v>
      </c>
      <c r="X133" s="5" t="str">
        <f>IF($A133="","",TEXT($B133,"ddd"))</f>
        <v>Thu</v>
      </c>
      <c r="Y133" s="5" t="str">
        <f>IF($A133="","",TEXT($B133,"mmm"))</f>
        <v>Jan</v>
      </c>
      <c r="Z133" s="5" t="str">
        <f>IF($A133="","",IFERROR(VLOOKUP($C133,Lookups!$D$4:$E$7,2,FALSE),"Unknown"))</f>
        <v>Winter</v>
      </c>
      <c r="AA133" s="5" t="str">
        <f>IF($A133="","",IFERROR(VLOOKUP($I133,Lookups!$A$4:$B$7,2,FALSE),"Unknown"))</f>
        <v>Clear</v>
      </c>
      <c r="AB133" s="5" t="str">
        <f>IF($A133="","",TEXT($F133,"00")&amp;":00")</f>
        <v>17:00</v>
      </c>
      <c r="AC133" s="5" t="str">
        <f>IF($A133="","",VLOOKUP($F133,Lookups!$G$4:$H$8,2,TRUE))</f>
        <v>Evening Peak (16-19)</v>
      </c>
      <c r="AD133" s="18">
        <f>IF($A133="","",IF($J133="","",ROUND($J133*41,1)))</f>
        <v>9</v>
      </c>
      <c r="AE133" s="18">
        <f>IF($A133="","",IF($R133="","",ROUND($R133*50,1)))</f>
        <v>11.4</v>
      </c>
      <c r="AF133" s="5">
        <f>IF($A133="","",IF($L133="","",ROUND($L133*100,0)))</f>
        <v>51</v>
      </c>
      <c r="AG133" s="18">
        <f>IF($A133="","",IF($M133="","",ROUND($M133*67,1)))</f>
        <v>11</v>
      </c>
      <c r="AH133" s="19">
        <f>IF($A133="","",IF($P133="","",IF($P133=0,0,$O133/$P133)))</f>
        <v>0.947674418604651</v>
      </c>
      <c r="AI133" s="5" t="str">
        <f>IF($A133="","",IF($P133="","",IF($P133&gt;=Lookups!$K$7,"High",IF($P133&lt;=Lookups!$K$8,"Low","Medium"))))</f>
        <v>High</v>
      </c>
      <c r="AJ133" s="5" t="str">
        <f>IF($A133="","",IF($AD133="","",IF($AD133&lt;5,"Under 5 C",IF($AD133&lt;10,"5-10 C",IF($AD133&lt;15,"10-15 C","15 C and above")))))</f>
        <v>5-10 C</v>
      </c>
      <c r="AK133" s="5">
        <f>IF($A133="","",IF($P133="","",$P133^2))</f>
        <v>29584</v>
      </c>
      <c r="AL133" s="18">
        <f>IF($V133&lt;&gt;1,"",AVERAGEIFS(Clean_Data!$P$2:$P$1001,Clean_Data!$F$2:$F$1001,$F133,Clean_Data!$W$2:$W$1001,$W133,Clean_Data!$V$2:$V$1001,1))</f>
        <v>165.566666666667</v>
      </c>
      <c r="AM133" s="16">
        <f>IF($V133&lt;&gt;1,"",IFERROR(($P133-$AL133)/SQRT(MAX(0,(SUMIFS(Clean_Data!$AK$2:$AK$1001,Clean_Data!$F$2:$F$1001,$F133,Clean_Data!$W$2:$W$1001,$W133,Clean_Data!$V$2:$V$1001,1)-COUNTIFS(Clean_Data!$F$2:$F$1001,$F133,Clean_Data!$W$2:$W$1001,$W133,Clean_Data!$V$2:$V$1001,1)*$AL133^2)/(COUNTIFS(Clean_Data!$F$2:$F$1001,$F133,Clean_Data!$W$2:$W$1001,$W133,Clean_Data!$V$2:$V$1001,1)-1))),""))</f>
        <v>0.146168693262119</v>
      </c>
      <c r="AN133" s="5" t="str">
        <f>IF($AM133="","",IF($AM133&gt;=Lookups!$K$6,"High spike",IF($AM133&lt;=-Lookups!$K$6,"Unusual low","Normal")))</f>
        <v>Normal</v>
      </c>
      <c r="AO133" s="20">
        <f>IF($V133&lt;&gt;1,"",$P133+ROW()/100000)</f>
        <v>172.00133</v>
      </c>
      <c r="AP133" s="5">
        <f>IF($A133="","",IFERROR(MATCH($A133,Raw_D1!$A$2:$A$1001,0),""))</f>
        <v>132</v>
      </c>
      <c r="AQ133" s="5">
        <f>IF($A133="","",IFERROR(MATCH($A133,Raw_D2!$B$2:$B$1001,0),""))</f>
        <v>132</v>
      </c>
      <c r="AR133" s="5">
        <f>IF($A133="","",IFERROR(MATCH($A133,Raw_D3!$A$2:$A$1001,0),""))</f>
        <v/>
      </c>
    </row>
    <row r="134" spans="1:44" x14ac:dyDescent="0.25">
      <c r="A134" s="5">
        <v>133</v>
      </c>
      <c r="B134" s="11">
        <f>IF($A134="","",IF($AP134&lt;&gt;"",INDEX(Raw_D1!$B$2:$B$1001,$AP134),IF($AR134&lt;&gt;"",INDEX(Raw_D3!$B$2:$B$1001,$AR134),"")))</f>
        <v>40549.0</v>
      </c>
      <c r="C134" s="5">
        <f>IF($A134="","",IF($AP134&lt;&gt;"",INDEX(Raw_D1!$C$2:$C$1001,$AP134),IF($AR134&lt;&gt;"",INDEX(Raw_D3!$C$2:$C$1001,$AR134),"")))</f>
        <v>1</v>
      </c>
      <c r="D134" s="5">
        <f>IF($A134="","",IF($AP134&lt;&gt;"",INDEX(Raw_D1!$D$2:$D$1001,$AP134),IF($AR134&lt;&gt;"",INDEX(Raw_D3!$D$2:$D$1001,$AR134),"")))</f>
        <v>0</v>
      </c>
      <c r="E134" s="5">
        <f>IF($A134="","",IF($AP134&lt;&gt;"",INDEX(Raw_D1!$E$2:$E$1001,$AP134),IF($AR134&lt;&gt;"",INDEX(Raw_D3!$E$2:$E$1001,$AR134),"")))</f>
        <v>1</v>
      </c>
      <c r="F134" s="5">
        <f>IF($A134="","",IF($AP134&lt;&gt;"",INDEX(Raw_D1!$F$2:$F$1001,$AP134),IF($AR134&lt;&gt;"",INDEX(Raw_D3!$F$2:$F$1001,$AR134),"")))</f>
        <v>18</v>
      </c>
      <c r="G134" s="5">
        <f>IF($A134="","",IF($AP134&lt;&gt;"",IF(INDEX(Raw_D1!$G$2:$G$1001,$AP134),1,0),IF($AR134&lt;&gt;"",IF(INDEX(Raw_D3!$G$2:$G$1001,$AR134),1,0),"")))</f>
        <v>0</v>
      </c>
      <c r="H134" s="5">
        <f>IF($A134="","",IF($AP134&lt;&gt;"",INDEX(Raw_D1!$H$2:$H$1001,$AP134),IF($AR134&lt;&gt;"",INDEX(Raw_D3!$H$2:$H$1001,$AR134),"")))</f>
        <v>4</v>
      </c>
      <c r="I134" s="5">
        <f>IF($A134="","",IF($AP134&lt;&gt;"",INDEX(Raw_D1!$I$2:$I$1001,$AP134),IF($AR134&lt;&gt;"",INDEX(Raw_D3!$I$2:$I$1001,$AR134),"")))</f>
        <v>1</v>
      </c>
      <c r="J134" s="16">
        <f>IF($A134="","",IF($AP134&lt;&gt;"",INDEX(Raw_D1!$J$2:$J$1001,$AP134),IF($AR134&lt;&gt;"",INDEX(Raw_D3!$J$2:$J$1001,$AR134),"")))</f>
        <v>0.22</v>
      </c>
      <c r="K134" s="17">
        <f>IF($A134="","",IF($AQ134&lt;&gt;"",IF(INDEX(Raw_D2!$C$2:$C$1001,$AQ134)="","",INDEX(Raw_D2!$C$2:$C$1001,$AQ134)),IF($AR134&lt;&gt;"",IF(INDEX(Raw_D3!$K$2:$K$1001,$AR134)="","",INDEX(Raw_D3!$K$2:$K$1001,$AR134)),"")))</f>
        <v>0.2273</v>
      </c>
      <c r="L134" s="16">
        <f>IF($A134="","",IF($AQ134&lt;&gt;"",IF(INDEX(Raw_D2!$D$2:$D$1001,$AQ134)="","",INDEX(Raw_D2!$D$2:$D$1001,$AQ134)),IF($AR134&lt;&gt;"",IF(INDEX(Raw_D3!$L$2:$L$1001,$AR134)="","",INDEX(Raw_D3!$L$2:$L$1001,$AR134)),"")))</f>
        <v>0.51</v>
      </c>
      <c r="M134" s="17">
        <f>IF($A134="","",IF($AQ134&lt;&gt;"",IF(INDEX(Raw_D2!$E$2:$E$1001,$AQ134)="","",INDEX(Raw_D2!$E$2:$E$1001,$AQ134)),IF($AR134&lt;&gt;"",IF(INDEX(Raw_D3!$M$2:$M$1001,$AR134)="","",INDEX(Raw_D3!$M$2:$M$1001,$AR134)),"")))</f>
        <v>0.1343</v>
      </c>
      <c r="N134" s="5">
        <f>IF($A134="","",IF($AQ134&lt;&gt;"",IF(INDEX(Raw_D2!$F$2:$F$1001,$AQ134)="","",INDEX(Raw_D2!$F$2:$F$1001,$AQ134)),IF($AR134&lt;&gt;"",IF(INDEX(Raw_D3!$N$2:$N$1001,$AR134)="","",INDEX(Raw_D3!$N$2:$N$1001,$AR134)),"")))</f>
        <v>5</v>
      </c>
      <c r="O134" s="5">
        <f>IF($A134="","",IF($AQ134&lt;&gt;"",IF(INDEX(Raw_D2!$G$2:$G$1001,$AQ134)="","",INDEX(Raw_D2!$G$2:$G$1001,$AQ134)),IF($AR134&lt;&gt;"",IF(INDEX(Raw_D3!$O$2:$O$1001,$AR134)="","",INDEX(Raw_D3!$O$2:$O$1001,$AR134)),"")))</f>
        <v>158</v>
      </c>
      <c r="P134" s="5">
        <f>IF($A134="","",IF($AQ134&lt;&gt;"",IF(INDEX(Raw_D2!$H$2:$H$1001,$AQ134)="","",INDEX(Raw_D2!$H$2:$H$1001,$AQ134)),IF($AR134&lt;&gt;"",IF(INDEX(Raw_D3!$P$2:$P$1001,$AR134)="","",INDEX(Raw_D3!$P$2:$P$1001,$AR134)),"")))</f>
        <v>163</v>
      </c>
      <c r="Q134" s="5" t="str">
        <f>IF($A134="","",IF(AND($AP134&lt;&gt;"",$AQ134&lt;&gt;""),"D1+D2",IF($AR134&lt;&gt;"","D3","Incomplete")))</f>
        <v>D1+D2</v>
      </c>
      <c r="R134" s="17">
        <f>IF($A134="","",IF($K134="",IF($J134="","",ROUND(Lookups!$K$5+Lookups!$K$4*$J134,4)),$K134))</f>
        <v>0.2273</v>
      </c>
      <c r="S134" s="5" t="str">
        <f>IF($A134="","",IF($K134="","Imputed","Original"))</f>
        <v>Original</v>
      </c>
      <c r="T134" s="5" t="str">
        <f>IF($A134="","",IF($P134="","Missing",IF($P134=$N134+$O134,"OK","Mismatch")))</f>
        <v>OK</v>
      </c>
      <c r="U134" s="5" t="str">
        <f>IF($A134="","",IF(COUNTIF($A$2:$A134,$A134)&gt;1,"Duplicate","Unique"))</f>
        <v>Unique</v>
      </c>
      <c r="V134" s="5">
        <f>IF($A134="","",IF(AND($U134="Unique",ISNUMBER($P134)),1,0))</f>
        <v>1</v>
      </c>
      <c r="W134" s="5" t="str">
        <f>IF($A134="","",IF(OR($H134=0,$H134=6),"Weekend","Weekday"))</f>
        <v>Weekday</v>
      </c>
      <c r="X134" s="5" t="str">
        <f>IF($A134="","",TEXT($B134,"ddd"))</f>
        <v>Thu</v>
      </c>
      <c r="Y134" s="5" t="str">
        <f>IF($A134="","",TEXT($B134,"mmm"))</f>
        <v>Jan</v>
      </c>
      <c r="Z134" s="5" t="str">
        <f>IF($A134="","",IFERROR(VLOOKUP($C134,Lookups!$D$4:$E$7,2,FALSE),"Unknown"))</f>
        <v>Winter</v>
      </c>
      <c r="AA134" s="5" t="str">
        <f>IF($A134="","",IFERROR(VLOOKUP($I134,Lookups!$A$4:$B$7,2,FALSE),"Unknown"))</f>
        <v>Clear</v>
      </c>
      <c r="AB134" s="5" t="str">
        <f>IF($A134="","",TEXT($F134,"00")&amp;":00")</f>
        <v>18:00</v>
      </c>
      <c r="AC134" s="5" t="str">
        <f>IF($A134="","",VLOOKUP($F134,Lookups!$G$4:$H$8,2,TRUE))</f>
        <v>Evening Peak (16-19)</v>
      </c>
      <c r="AD134" s="18">
        <f>IF($A134="","",IF($J134="","",ROUND($J134*41,1)))</f>
        <v>9</v>
      </c>
      <c r="AE134" s="18">
        <f>IF($A134="","",IF($R134="","",ROUND($R134*50,1)))</f>
        <v>11.4</v>
      </c>
      <c r="AF134" s="5">
        <f>IF($A134="","",IF($L134="","",ROUND($L134*100,0)))</f>
        <v>51</v>
      </c>
      <c r="AG134" s="18">
        <f>IF($A134="","",IF($M134="","",ROUND($M134*67,1)))</f>
        <v>9</v>
      </c>
      <c r="AH134" s="19">
        <f>IF($A134="","",IF($P134="","",IF($P134=0,0,$O134/$P134)))</f>
        <v>0.969325153374233</v>
      </c>
      <c r="AI134" s="5" t="str">
        <f>IF($A134="","",IF($P134="","",IF($P134&gt;=Lookups!$K$7,"High",IF($P134&lt;=Lookups!$K$8,"Low","Medium"))))</f>
        <v>High</v>
      </c>
      <c r="AJ134" s="5" t="str">
        <f>IF($A134="","",IF($AD134="","",IF($AD134&lt;5,"Under 5 C",IF($AD134&lt;10,"5-10 C",IF($AD134&lt;15,"10-15 C","15 C and above")))))</f>
        <v>5-10 C</v>
      </c>
      <c r="AK134" s="5">
        <f>IF($A134="","",IF($P134="","",$P134^2))</f>
        <v>26569</v>
      </c>
      <c r="AL134" s="18">
        <f>IF($V134&lt;&gt;1,"",AVERAGEIFS(Clean_Data!$P$2:$P$1001,Clean_Data!$F$2:$F$1001,$F134,Clean_Data!$W$2:$W$1001,$W134,Clean_Data!$V$2:$V$1001,1))</f>
        <v>151.206896551724</v>
      </c>
      <c r="AM134" s="16">
        <f>IF($V134&lt;&gt;1,"",IFERROR(($P134-$AL134)/SQRT(MAX(0,(SUMIFS(Clean_Data!$AK$2:$AK$1001,Clean_Data!$F$2:$F$1001,$F134,Clean_Data!$W$2:$W$1001,$W134,Clean_Data!$V$2:$V$1001,1)-COUNTIFS(Clean_Data!$F$2:$F$1001,$F134,Clean_Data!$W$2:$W$1001,$W134,Clean_Data!$V$2:$V$1001,1)*$AL134^2)/(COUNTIFS(Clean_Data!$F$2:$F$1001,$F134,Clean_Data!$W$2:$W$1001,$W134,Clean_Data!$V$2:$V$1001,1)-1))),""))</f>
        <v>0.401818241092846</v>
      </c>
      <c r="AN134" s="5" t="str">
        <f>IF($AM134="","",IF($AM134&gt;=Lookups!$K$6,"High spike",IF($AM134&lt;=-Lookups!$K$6,"Unusual low","Normal")))</f>
        <v>Normal</v>
      </c>
      <c r="AO134" s="20">
        <f>IF($V134&lt;&gt;1,"",$P134+ROW()/100000)</f>
        <v>163.00134</v>
      </c>
      <c r="AP134" s="5">
        <f>IF($A134="","",IFERROR(MATCH($A134,Raw_D1!$A$2:$A$1001,0),""))</f>
        <v>133</v>
      </c>
      <c r="AQ134" s="5">
        <f>IF($A134="","",IFERROR(MATCH($A134,Raw_D2!$B$2:$B$1001,0),""))</f>
        <v>133</v>
      </c>
      <c r="AR134" s="5">
        <f>IF($A134="","",IFERROR(MATCH($A134,Raw_D3!$A$2:$A$1001,0),""))</f>
        <v/>
      </c>
    </row>
    <row r="135" spans="1:44" x14ac:dyDescent="0.25">
      <c r="A135" s="5">
        <v>134</v>
      </c>
      <c r="B135" s="11">
        <f>IF($A135="","",IF($AP135&lt;&gt;"",INDEX(Raw_D1!$B$2:$B$1001,$AP135),IF($AR135&lt;&gt;"",INDEX(Raw_D3!$B$2:$B$1001,$AR135),"")))</f>
        <v>40549.0</v>
      </c>
      <c r="C135" s="5">
        <f>IF($A135="","",IF($AP135&lt;&gt;"",INDEX(Raw_D1!$C$2:$C$1001,$AP135),IF($AR135&lt;&gt;"",INDEX(Raw_D3!$C$2:$C$1001,$AR135),"")))</f>
        <v>1</v>
      </c>
      <c r="D135" s="5">
        <f>IF($A135="","",IF($AP135&lt;&gt;"",INDEX(Raw_D1!$D$2:$D$1001,$AP135),IF($AR135&lt;&gt;"",INDEX(Raw_D3!$D$2:$D$1001,$AR135),"")))</f>
        <v>0</v>
      </c>
      <c r="E135" s="5">
        <f>IF($A135="","",IF($AP135&lt;&gt;"",INDEX(Raw_D1!$E$2:$E$1001,$AP135),IF($AR135&lt;&gt;"",INDEX(Raw_D3!$E$2:$E$1001,$AR135),"")))</f>
        <v>1</v>
      </c>
      <c r="F135" s="5">
        <f>IF($A135="","",IF($AP135&lt;&gt;"",INDEX(Raw_D1!$F$2:$F$1001,$AP135),IF($AR135&lt;&gt;"",INDEX(Raw_D3!$F$2:$F$1001,$AR135),"")))</f>
        <v>19</v>
      </c>
      <c r="G135" s="5">
        <f>IF($A135="","",IF($AP135&lt;&gt;"",IF(INDEX(Raw_D1!$G$2:$G$1001,$AP135),1,0),IF($AR135&lt;&gt;"",IF(INDEX(Raw_D3!$G$2:$G$1001,$AR135),1,0),"")))</f>
        <v>0</v>
      </c>
      <c r="H135" s="5">
        <f>IF($A135="","",IF($AP135&lt;&gt;"",INDEX(Raw_D1!$H$2:$H$1001,$AP135),IF($AR135&lt;&gt;"",INDEX(Raw_D3!$H$2:$H$1001,$AR135),"")))</f>
        <v>4</v>
      </c>
      <c r="I135" s="5">
        <f>IF($A135="","",IF($AP135&lt;&gt;"",INDEX(Raw_D1!$I$2:$I$1001,$AP135),IF($AR135&lt;&gt;"",INDEX(Raw_D3!$I$2:$I$1001,$AR135),"")))</f>
        <v>1</v>
      </c>
      <c r="J135" s="16">
        <f>IF($A135="","",IF($AP135&lt;&gt;"",INDEX(Raw_D1!$J$2:$J$1001,$AP135),IF($AR135&lt;&gt;"",INDEX(Raw_D3!$J$2:$J$1001,$AR135),"")))</f>
        <v>0.22</v>
      </c>
      <c r="K135" s="17">
        <f>IF($A135="","",IF($AQ135&lt;&gt;"",IF(INDEX(Raw_D2!$C$2:$C$1001,$AQ135)="","",INDEX(Raw_D2!$C$2:$C$1001,$AQ135)),IF($AR135&lt;&gt;"",IF(INDEX(Raw_D3!$K$2:$K$1001,$AR135)="","",INDEX(Raw_D3!$K$2:$K$1001,$AR135)),"")))</f>
        <v>0.2576</v>
      </c>
      <c r="L135" s="16">
        <f>IF($A135="","",IF($AQ135&lt;&gt;"",IF(INDEX(Raw_D2!$D$2:$D$1001,$AQ135)="","",INDEX(Raw_D2!$D$2:$D$1001,$AQ135)),IF($AR135&lt;&gt;"",IF(INDEX(Raw_D3!$L$2:$L$1001,$AR135)="","",INDEX(Raw_D3!$L$2:$L$1001,$AR135)),"")))</f>
        <v>0.55</v>
      </c>
      <c r="M135" s="17">
        <f>IF($A135="","",IF($AQ135&lt;&gt;"",IF(INDEX(Raw_D2!$E$2:$E$1001,$AQ135)="","",INDEX(Raw_D2!$E$2:$E$1001,$AQ135)),IF($AR135&lt;&gt;"",IF(INDEX(Raw_D3!$M$2:$M$1001,$AR135)="","",INDEX(Raw_D3!$M$2:$M$1001,$AR135)),"")))</f>
        <v>0.0896</v>
      </c>
      <c r="N135" s="5">
        <f>IF($A135="","",IF($AQ135&lt;&gt;"",IF(INDEX(Raw_D2!$F$2:$F$1001,$AQ135)="","",INDEX(Raw_D2!$F$2:$F$1001,$AQ135)),IF($AR135&lt;&gt;"",IF(INDEX(Raw_D3!$N$2:$N$1001,$AR135)="","",INDEX(Raw_D3!$N$2:$N$1001,$AR135)),"")))</f>
        <v>3</v>
      </c>
      <c r="O135" s="5">
        <f>IF($A135="","",IF($AQ135&lt;&gt;"",IF(INDEX(Raw_D2!$G$2:$G$1001,$AQ135)="","",INDEX(Raw_D2!$G$2:$G$1001,$AQ135)),IF($AR135&lt;&gt;"",IF(INDEX(Raw_D3!$O$2:$O$1001,$AR135)="","",INDEX(Raw_D3!$O$2:$O$1001,$AR135)),"")))</f>
        <v>109</v>
      </c>
      <c r="P135" s="5">
        <f>IF($A135="","",IF($AQ135&lt;&gt;"",IF(INDEX(Raw_D2!$H$2:$H$1001,$AQ135)="","",INDEX(Raw_D2!$H$2:$H$1001,$AQ135)),IF($AR135&lt;&gt;"",IF(INDEX(Raw_D3!$P$2:$P$1001,$AR135)="","",INDEX(Raw_D3!$P$2:$P$1001,$AR135)),"")))</f>
        <v>112</v>
      </c>
      <c r="Q135" s="5" t="str">
        <f>IF($A135="","",IF(AND($AP135&lt;&gt;"",$AQ135&lt;&gt;""),"D1+D2",IF($AR135&lt;&gt;"","D3","Incomplete")))</f>
        <v>D1+D2</v>
      </c>
      <c r="R135" s="17">
        <f>IF($A135="","",IF($K135="",IF($J135="","",ROUND(Lookups!$K$5+Lookups!$K$4*$J135,4)),$K135))</f>
        <v>0.2576</v>
      </c>
      <c r="S135" s="5" t="str">
        <f>IF($A135="","",IF($K135="","Imputed","Original"))</f>
        <v>Original</v>
      </c>
      <c r="T135" s="5" t="str">
        <f>IF($A135="","",IF($P135="","Missing",IF($P135=$N135+$O135,"OK","Mismatch")))</f>
        <v>OK</v>
      </c>
      <c r="U135" s="5" t="str">
        <f>IF($A135="","",IF(COUNTIF($A$2:$A135,$A135)&gt;1,"Duplicate","Unique"))</f>
        <v>Unique</v>
      </c>
      <c r="V135" s="5">
        <f>IF($A135="","",IF(AND($U135="Unique",ISNUMBER($P135)),1,0))</f>
        <v>1</v>
      </c>
      <c r="W135" s="5" t="str">
        <f>IF($A135="","",IF(OR($H135=0,$H135=6),"Weekend","Weekday"))</f>
        <v>Weekday</v>
      </c>
      <c r="X135" s="5" t="str">
        <f>IF($A135="","",TEXT($B135,"ddd"))</f>
        <v>Thu</v>
      </c>
      <c r="Y135" s="5" t="str">
        <f>IF($A135="","",TEXT($B135,"mmm"))</f>
        <v>Jan</v>
      </c>
      <c r="Z135" s="5" t="str">
        <f>IF($A135="","",IFERROR(VLOOKUP($C135,Lookups!$D$4:$E$7,2,FALSE),"Unknown"))</f>
        <v>Winter</v>
      </c>
      <c r="AA135" s="5" t="str">
        <f>IF($A135="","",IFERROR(VLOOKUP($I135,Lookups!$A$4:$B$7,2,FALSE),"Unknown"))</f>
        <v>Clear</v>
      </c>
      <c r="AB135" s="5" t="str">
        <f>IF($A135="","",TEXT($F135,"00")&amp;":00")</f>
        <v>19:00</v>
      </c>
      <c r="AC135" s="5" t="str">
        <f>IF($A135="","",VLOOKUP($F135,Lookups!$G$4:$H$8,2,TRUE))</f>
        <v>Evening Peak (16-19)</v>
      </c>
      <c r="AD135" s="18">
        <f>IF($A135="","",IF($J135="","",ROUND($J135*41,1)))</f>
        <v>9</v>
      </c>
      <c r="AE135" s="18">
        <f>IF($A135="","",IF($R135="","",ROUND($R135*50,1)))</f>
        <v>12.9</v>
      </c>
      <c r="AF135" s="5">
        <f>IF($A135="","",IF($L135="","",ROUND($L135*100,0)))</f>
        <v>55</v>
      </c>
      <c r="AG135" s="18">
        <f>IF($A135="","",IF($M135="","",ROUND($M135*67,1)))</f>
        <v>6</v>
      </c>
      <c r="AH135" s="19">
        <f>IF($A135="","",IF($P135="","",IF($P135=0,0,$O135/$P135)))</f>
        <v>0.973214285714286</v>
      </c>
      <c r="AI135" s="5" t="str">
        <f>IF($A135="","",IF($P135="","",IF($P135&gt;=Lookups!$K$7,"High",IF($P135&lt;=Lookups!$K$8,"Low","Medium"))))</f>
        <v>High</v>
      </c>
      <c r="AJ135" s="5" t="str">
        <f>IF($A135="","",IF($AD135="","",IF($AD135&lt;5,"Under 5 C",IF($AD135&lt;10,"5-10 C",IF($AD135&lt;15,"10-15 C","15 C and above")))))</f>
        <v>5-10 C</v>
      </c>
      <c r="AK135" s="5">
        <f>IF($A135="","",IF($P135="","",$P135^2))</f>
        <v>12544</v>
      </c>
      <c r="AL135" s="18">
        <f>IF($V135&lt;&gt;1,"",AVERAGEIFS(Clean_Data!$P$2:$P$1001,Clean_Data!$F$2:$F$1001,$F135,Clean_Data!$W$2:$W$1001,$W135,Clean_Data!$V$2:$V$1001,1))</f>
        <v>102.034482758621</v>
      </c>
      <c r="AM135" s="16">
        <f>IF($V135&lt;&gt;1,"",IFERROR(($P135-$AL135)/SQRT(MAX(0,(SUMIFS(Clean_Data!$AK$2:$AK$1001,Clean_Data!$F$2:$F$1001,$F135,Clean_Data!$W$2:$W$1001,$W135,Clean_Data!$V$2:$V$1001,1)-COUNTIFS(Clean_Data!$F$2:$F$1001,$F135,Clean_Data!$W$2:$W$1001,$W135,Clean_Data!$V$2:$V$1001,1)*$AL135^2)/(COUNTIFS(Clean_Data!$F$2:$F$1001,$F135,Clean_Data!$W$2:$W$1001,$W135,Clean_Data!$V$2:$V$1001,1)-1))),""))</f>
        <v>0.469017164977196</v>
      </c>
      <c r="AN135" s="5" t="str">
        <f>IF($AM135="","",IF($AM135&gt;=Lookups!$K$6,"High spike",IF($AM135&lt;=-Lookups!$K$6,"Unusual low","Normal")))</f>
        <v>Normal</v>
      </c>
      <c r="AO135" s="20">
        <f>IF($V135&lt;&gt;1,"",$P135+ROW()/100000)</f>
        <v>112.00135</v>
      </c>
      <c r="AP135" s="5">
        <f>IF($A135="","",IFERROR(MATCH($A135,Raw_D1!$A$2:$A$1001,0),""))</f>
        <v>134</v>
      </c>
      <c r="AQ135" s="5">
        <f>IF($A135="","",IFERROR(MATCH($A135,Raw_D2!$B$2:$B$1001,0),""))</f>
        <v>134</v>
      </c>
      <c r="AR135" s="5">
        <f>IF($A135="","",IFERROR(MATCH($A135,Raw_D3!$A$2:$A$1001,0),""))</f>
        <v/>
      </c>
    </row>
    <row r="136" spans="1:44" x14ac:dyDescent="0.25">
      <c r="A136" s="5">
        <v>135</v>
      </c>
      <c r="B136" s="11">
        <f>IF($A136="","",IF($AP136&lt;&gt;"",INDEX(Raw_D1!$B$2:$B$1001,$AP136),IF($AR136&lt;&gt;"",INDEX(Raw_D3!$B$2:$B$1001,$AR136),"")))</f>
        <v>40549.0</v>
      </c>
      <c r="C136" s="5">
        <f>IF($A136="","",IF($AP136&lt;&gt;"",INDEX(Raw_D1!$C$2:$C$1001,$AP136),IF($AR136&lt;&gt;"",INDEX(Raw_D3!$C$2:$C$1001,$AR136),"")))</f>
        <v>1</v>
      </c>
      <c r="D136" s="5">
        <f>IF($A136="","",IF($AP136&lt;&gt;"",INDEX(Raw_D1!$D$2:$D$1001,$AP136),IF($AR136&lt;&gt;"",INDEX(Raw_D3!$D$2:$D$1001,$AR136),"")))</f>
        <v>0</v>
      </c>
      <c r="E136" s="5">
        <f>IF($A136="","",IF($AP136&lt;&gt;"",INDEX(Raw_D1!$E$2:$E$1001,$AP136),IF($AR136&lt;&gt;"",INDEX(Raw_D3!$E$2:$E$1001,$AR136),"")))</f>
        <v>1</v>
      </c>
      <c r="F136" s="5">
        <f>IF($A136="","",IF($AP136&lt;&gt;"",INDEX(Raw_D1!$F$2:$F$1001,$AP136),IF($AR136&lt;&gt;"",INDEX(Raw_D3!$F$2:$F$1001,$AR136),"")))</f>
        <v>20</v>
      </c>
      <c r="G136" s="5">
        <f>IF($A136="","",IF($AP136&lt;&gt;"",IF(INDEX(Raw_D1!$G$2:$G$1001,$AP136),1,0),IF($AR136&lt;&gt;"",IF(INDEX(Raw_D3!$G$2:$G$1001,$AR136),1,0),"")))</f>
        <v>0</v>
      </c>
      <c r="H136" s="5">
        <f>IF($A136="","",IF($AP136&lt;&gt;"",INDEX(Raw_D1!$H$2:$H$1001,$AP136),IF($AR136&lt;&gt;"",INDEX(Raw_D3!$H$2:$H$1001,$AR136),"")))</f>
        <v>4</v>
      </c>
      <c r="I136" s="5">
        <f>IF($A136="","",IF($AP136&lt;&gt;"",INDEX(Raw_D1!$I$2:$I$1001,$AP136),IF($AR136&lt;&gt;"",INDEX(Raw_D3!$I$2:$I$1001,$AR136),"")))</f>
        <v>1</v>
      </c>
      <c r="J136" s="16">
        <f>IF($A136="","",IF($AP136&lt;&gt;"",INDEX(Raw_D1!$J$2:$J$1001,$AP136),IF($AR136&lt;&gt;"",INDEX(Raw_D3!$J$2:$J$1001,$AR136),"")))</f>
        <v>0.2</v>
      </c>
      <c r="K136" s="17">
        <f>IF($A136="","",IF($AQ136&lt;&gt;"",IF(INDEX(Raw_D2!$C$2:$C$1001,$AQ136)="","",INDEX(Raw_D2!$C$2:$C$1001,$AQ136)),IF($AR136&lt;&gt;"",IF(INDEX(Raw_D3!$K$2:$K$1001,$AR136)="","",INDEX(Raw_D3!$K$2:$K$1001,$AR136)),"")))</f>
        <v>0.2121</v>
      </c>
      <c r="L136" s="16">
        <f>IF($A136="","",IF($AQ136&lt;&gt;"",IF(INDEX(Raw_D2!$D$2:$D$1001,$AQ136)="","",INDEX(Raw_D2!$D$2:$D$1001,$AQ136)),IF($AR136&lt;&gt;"",IF(INDEX(Raw_D3!$L$2:$L$1001,$AR136)="","",INDEX(Raw_D3!$L$2:$L$1001,$AR136)),"")))</f>
        <v>0.51</v>
      </c>
      <c r="M136" s="17">
        <f>IF($A136="","",IF($AQ136&lt;&gt;"",IF(INDEX(Raw_D2!$E$2:$E$1001,$AQ136)="","",INDEX(Raw_D2!$E$2:$E$1001,$AQ136)),IF($AR136&lt;&gt;"",IF(INDEX(Raw_D3!$M$2:$M$1001,$AR136)="","",INDEX(Raw_D3!$M$2:$M$1001,$AR136)),"")))</f>
        <v>0.1642</v>
      </c>
      <c r="N136" s="5">
        <f>IF($A136="","",IF($AQ136&lt;&gt;"",IF(INDEX(Raw_D2!$F$2:$F$1001,$AQ136)="","",INDEX(Raw_D2!$F$2:$F$1001,$AQ136)),IF($AR136&lt;&gt;"",IF(INDEX(Raw_D3!$N$2:$N$1001,$AR136)="","",INDEX(Raw_D3!$N$2:$N$1001,$AR136)),"")))</f>
        <v>3</v>
      </c>
      <c r="O136" s="5">
        <f>IF($A136="","",IF($AQ136&lt;&gt;"",IF(INDEX(Raw_D2!$G$2:$G$1001,$AQ136)="","",INDEX(Raw_D2!$G$2:$G$1001,$AQ136)),IF($AR136&lt;&gt;"",IF(INDEX(Raw_D3!$O$2:$O$1001,$AR136)="","",INDEX(Raw_D3!$O$2:$O$1001,$AR136)),"")))</f>
        <v>66</v>
      </c>
      <c r="P136" s="5">
        <f>IF($A136="","",IF($AQ136&lt;&gt;"",IF(INDEX(Raw_D2!$H$2:$H$1001,$AQ136)="","",INDEX(Raw_D2!$H$2:$H$1001,$AQ136)),IF($AR136&lt;&gt;"",IF(INDEX(Raw_D3!$P$2:$P$1001,$AR136)="","",INDEX(Raw_D3!$P$2:$P$1001,$AR136)),"")))</f>
        <v>69</v>
      </c>
      <c r="Q136" s="5" t="str">
        <f>IF($A136="","",IF(AND($AP136&lt;&gt;"",$AQ136&lt;&gt;""),"D1+D2",IF($AR136&lt;&gt;"","D3","Incomplete")))</f>
        <v>D1+D2</v>
      </c>
      <c r="R136" s="17">
        <f>IF($A136="","",IF($K136="",IF($J136="","",ROUND(Lookups!$K$5+Lookups!$K$4*$J136,4)),$K136))</f>
        <v>0.2121</v>
      </c>
      <c r="S136" s="5" t="str">
        <f>IF($A136="","",IF($K136="","Imputed","Original"))</f>
        <v>Original</v>
      </c>
      <c r="T136" s="5" t="str">
        <f>IF($A136="","",IF($P136="","Missing",IF($P136=$N136+$O136,"OK","Mismatch")))</f>
        <v>OK</v>
      </c>
      <c r="U136" s="5" t="str">
        <f>IF($A136="","",IF(COUNTIF($A$2:$A136,$A136)&gt;1,"Duplicate","Unique"))</f>
        <v>Unique</v>
      </c>
      <c r="V136" s="5">
        <f>IF($A136="","",IF(AND($U136="Unique",ISNUMBER($P136)),1,0))</f>
        <v>1</v>
      </c>
      <c r="W136" s="5" t="str">
        <f>IF($A136="","",IF(OR($H136=0,$H136=6),"Weekend","Weekday"))</f>
        <v>Weekday</v>
      </c>
      <c r="X136" s="5" t="str">
        <f>IF($A136="","",TEXT($B136,"ddd"))</f>
        <v>Thu</v>
      </c>
      <c r="Y136" s="5" t="str">
        <f>IF($A136="","",TEXT($B136,"mmm"))</f>
        <v>Jan</v>
      </c>
      <c r="Z136" s="5" t="str">
        <f>IF($A136="","",IFERROR(VLOOKUP($C136,Lookups!$D$4:$E$7,2,FALSE),"Unknown"))</f>
        <v>Winter</v>
      </c>
      <c r="AA136" s="5" t="str">
        <f>IF($A136="","",IFERROR(VLOOKUP($I136,Lookups!$A$4:$B$7,2,FALSE),"Unknown"))</f>
        <v>Clear</v>
      </c>
      <c r="AB136" s="5" t="str">
        <f>IF($A136="","",TEXT($F136,"00")&amp;":00")</f>
        <v>20:00</v>
      </c>
      <c r="AC136" s="5" t="str">
        <f>IF($A136="","",VLOOKUP($F136,Lookups!$G$4:$H$8,2,TRUE))</f>
        <v>Late Evening (20-23)</v>
      </c>
      <c r="AD136" s="18">
        <f>IF($A136="","",IF($J136="","",ROUND($J136*41,1)))</f>
        <v>8.2</v>
      </c>
      <c r="AE136" s="18">
        <f>IF($A136="","",IF($R136="","",ROUND($R136*50,1)))</f>
        <v>10.6</v>
      </c>
      <c r="AF136" s="5">
        <f>IF($A136="","",IF($L136="","",ROUND($L136*100,0)))</f>
        <v>51</v>
      </c>
      <c r="AG136" s="18">
        <f>IF($A136="","",IF($M136="","",ROUND($M136*67,1)))</f>
        <v>11</v>
      </c>
      <c r="AH136" s="19">
        <f>IF($A136="","",IF($P136="","",IF($P136=0,0,$O136/$P136)))</f>
        <v>0.956521739130435</v>
      </c>
      <c r="AI136" s="5" t="str">
        <f>IF($A136="","",IF($P136="","",IF($P136&gt;=Lookups!$K$7,"High",IF($P136&lt;=Lookups!$K$8,"Low","Medium"))))</f>
        <v>Medium</v>
      </c>
      <c r="AJ136" s="5" t="str">
        <f>IF($A136="","",IF($AD136="","",IF($AD136&lt;5,"Under 5 C",IF($AD136&lt;10,"5-10 C",IF($AD136&lt;15,"10-15 C","15 C and above")))))</f>
        <v>5-10 C</v>
      </c>
      <c r="AK136" s="5">
        <f>IF($A136="","",IF($P136="","",$P136^2))</f>
        <v>4761</v>
      </c>
      <c r="AL136" s="18">
        <f>IF($V136&lt;&gt;1,"",AVERAGEIFS(Clean_Data!$P$2:$P$1001,Clean_Data!$F$2:$F$1001,$F136,Clean_Data!$W$2:$W$1001,$W136,Clean_Data!$V$2:$V$1001,1))</f>
        <v>72.2758620689655</v>
      </c>
      <c r="AM136" s="16">
        <f>IF($V136&lt;&gt;1,"",IFERROR(($P136-$AL136)/SQRT(MAX(0,(SUMIFS(Clean_Data!$AK$2:$AK$1001,Clean_Data!$F$2:$F$1001,$F136,Clean_Data!$W$2:$W$1001,$W136,Clean_Data!$V$2:$V$1001,1)-COUNTIFS(Clean_Data!$F$2:$F$1001,$F136,Clean_Data!$W$2:$W$1001,$W136,Clean_Data!$V$2:$V$1001,1)*$AL136^2)/(COUNTIFS(Clean_Data!$F$2:$F$1001,$F136,Clean_Data!$W$2:$W$1001,$W136,Clean_Data!$V$2:$V$1001,1)-1))),""))</f>
        <v>-0.148227356053355</v>
      </c>
      <c r="AN136" s="5" t="str">
        <f>IF($AM136="","",IF($AM136&gt;=Lookups!$K$6,"High spike",IF($AM136&lt;=-Lookups!$K$6,"Unusual low","Normal")))</f>
        <v>Normal</v>
      </c>
      <c r="AO136" s="20">
        <f>IF($V136&lt;&gt;1,"",$P136+ROW()/100000)</f>
        <v>69.00136</v>
      </c>
      <c r="AP136" s="5">
        <f>IF($A136="","",IFERROR(MATCH($A136,Raw_D1!$A$2:$A$1001,0),""))</f>
        <v>135</v>
      </c>
      <c r="AQ136" s="5">
        <f>IF($A136="","",IFERROR(MATCH($A136,Raw_D2!$B$2:$B$1001,0),""))</f>
        <v>135</v>
      </c>
      <c r="AR136" s="5">
        <f>IF($A136="","",IFERROR(MATCH($A136,Raw_D3!$A$2:$A$1001,0),""))</f>
        <v/>
      </c>
    </row>
    <row r="137" spans="1:44" x14ac:dyDescent="0.25">
      <c r="A137" s="5">
        <v>136</v>
      </c>
      <c r="B137" s="11">
        <f>IF($A137="","",IF($AP137&lt;&gt;"",INDEX(Raw_D1!$B$2:$B$1001,$AP137),IF($AR137&lt;&gt;"",INDEX(Raw_D3!$B$2:$B$1001,$AR137),"")))</f>
        <v>40549.0</v>
      </c>
      <c r="C137" s="5">
        <f>IF($A137="","",IF($AP137&lt;&gt;"",INDEX(Raw_D1!$C$2:$C$1001,$AP137),IF($AR137&lt;&gt;"",INDEX(Raw_D3!$C$2:$C$1001,$AR137),"")))</f>
        <v>1</v>
      </c>
      <c r="D137" s="5">
        <f>IF($A137="","",IF($AP137&lt;&gt;"",INDEX(Raw_D1!$D$2:$D$1001,$AP137),IF($AR137&lt;&gt;"",INDEX(Raw_D3!$D$2:$D$1001,$AR137),"")))</f>
        <v>0</v>
      </c>
      <c r="E137" s="5">
        <f>IF($A137="","",IF($AP137&lt;&gt;"",INDEX(Raw_D1!$E$2:$E$1001,$AP137),IF($AR137&lt;&gt;"",INDEX(Raw_D3!$E$2:$E$1001,$AR137),"")))</f>
        <v>1</v>
      </c>
      <c r="F137" s="5">
        <f>IF($A137="","",IF($AP137&lt;&gt;"",INDEX(Raw_D1!$F$2:$F$1001,$AP137),IF($AR137&lt;&gt;"",INDEX(Raw_D3!$F$2:$F$1001,$AR137),"")))</f>
        <v>21</v>
      </c>
      <c r="G137" s="5">
        <f>IF($A137="","",IF($AP137&lt;&gt;"",IF(INDEX(Raw_D1!$G$2:$G$1001,$AP137),1,0),IF($AR137&lt;&gt;"",IF(INDEX(Raw_D3!$G$2:$G$1001,$AR137),1,0),"")))</f>
        <v>0</v>
      </c>
      <c r="H137" s="5">
        <f>IF($A137="","",IF($AP137&lt;&gt;"",INDEX(Raw_D1!$H$2:$H$1001,$AP137),IF($AR137&lt;&gt;"",INDEX(Raw_D3!$H$2:$H$1001,$AR137),"")))</f>
        <v>4</v>
      </c>
      <c r="I137" s="5">
        <f>IF($A137="","",IF($AP137&lt;&gt;"",INDEX(Raw_D1!$I$2:$I$1001,$AP137),IF($AR137&lt;&gt;"",INDEX(Raw_D3!$I$2:$I$1001,$AR137),"")))</f>
        <v>2</v>
      </c>
      <c r="J137" s="16">
        <f>IF($A137="","",IF($AP137&lt;&gt;"",INDEX(Raw_D1!$J$2:$J$1001,$AP137),IF($AR137&lt;&gt;"",INDEX(Raw_D3!$J$2:$J$1001,$AR137),"")))</f>
        <v>0.22</v>
      </c>
      <c r="K137" s="17">
        <f>IF($A137="","",IF($AQ137&lt;&gt;"",IF(INDEX(Raw_D2!$C$2:$C$1001,$AQ137)="","",INDEX(Raw_D2!$C$2:$C$1001,$AQ137)),IF($AR137&lt;&gt;"",IF(INDEX(Raw_D3!$K$2:$K$1001,$AR137)="","",INDEX(Raw_D3!$K$2:$K$1001,$AR137)),"")))</f>
        <v>0.2121</v>
      </c>
      <c r="L137" s="16">
        <f>IF($A137="","",IF($AQ137&lt;&gt;"",IF(INDEX(Raw_D2!$D$2:$D$1001,$AQ137)="","",INDEX(Raw_D2!$D$2:$D$1001,$AQ137)),IF($AR137&lt;&gt;"",IF(INDEX(Raw_D3!$L$2:$L$1001,$AR137)="","",INDEX(Raw_D3!$L$2:$L$1001,$AR137)),"")))</f>
        <v>0.55</v>
      </c>
      <c r="M137" s="17">
        <f>IF($A137="","",IF($AQ137&lt;&gt;"",IF(INDEX(Raw_D2!$E$2:$E$1001,$AQ137)="","",INDEX(Raw_D2!$E$2:$E$1001,$AQ137)),IF($AR137&lt;&gt;"",IF(INDEX(Raw_D3!$M$2:$M$1001,$AR137)="","",INDEX(Raw_D3!$M$2:$M$1001,$AR137)),"")))</f>
        <v>0.2239</v>
      </c>
      <c r="N137" s="5">
        <f>IF($A137="","",IF($AQ137&lt;&gt;"",IF(INDEX(Raw_D2!$F$2:$F$1001,$AQ137)="","",INDEX(Raw_D2!$F$2:$F$1001,$AQ137)),IF($AR137&lt;&gt;"",IF(INDEX(Raw_D3!$N$2:$N$1001,$AR137)="","",INDEX(Raw_D3!$N$2:$N$1001,$AR137)),"")))</f>
        <v>0</v>
      </c>
      <c r="O137" s="5">
        <f>IF($A137="","",IF($AQ137&lt;&gt;"",IF(INDEX(Raw_D2!$G$2:$G$1001,$AQ137)="","",INDEX(Raw_D2!$G$2:$G$1001,$AQ137)),IF($AR137&lt;&gt;"",IF(INDEX(Raw_D3!$O$2:$O$1001,$AR137)="","",INDEX(Raw_D3!$O$2:$O$1001,$AR137)),"")))</f>
        <v>48</v>
      </c>
      <c r="P137" s="5">
        <f>IF($A137="","",IF($AQ137&lt;&gt;"",IF(INDEX(Raw_D2!$H$2:$H$1001,$AQ137)="","",INDEX(Raw_D2!$H$2:$H$1001,$AQ137)),IF($AR137&lt;&gt;"",IF(INDEX(Raw_D3!$P$2:$P$1001,$AR137)="","",INDEX(Raw_D3!$P$2:$P$1001,$AR137)),"")))</f>
        <v>48</v>
      </c>
      <c r="Q137" s="5" t="str">
        <f>IF($A137="","",IF(AND($AP137&lt;&gt;"",$AQ137&lt;&gt;""),"D1+D2",IF($AR137&lt;&gt;"","D3","Incomplete")))</f>
        <v>D1+D2</v>
      </c>
      <c r="R137" s="17">
        <f>IF($A137="","",IF($K137="",IF($J137="","",ROUND(Lookups!$K$5+Lookups!$K$4*$J137,4)),$K137))</f>
        <v>0.2121</v>
      </c>
      <c r="S137" s="5" t="str">
        <f>IF($A137="","",IF($K137="","Imputed","Original"))</f>
        <v>Original</v>
      </c>
      <c r="T137" s="5" t="str">
        <f>IF($A137="","",IF($P137="","Missing",IF($P137=$N137+$O137,"OK","Mismatch")))</f>
        <v>OK</v>
      </c>
      <c r="U137" s="5" t="str">
        <f>IF($A137="","",IF(COUNTIF($A$2:$A137,$A137)&gt;1,"Duplicate","Unique"))</f>
        <v>Unique</v>
      </c>
      <c r="V137" s="5">
        <f>IF($A137="","",IF(AND($U137="Unique",ISNUMBER($P137)),1,0))</f>
        <v>1</v>
      </c>
      <c r="W137" s="5" t="str">
        <f>IF($A137="","",IF(OR($H137=0,$H137=6),"Weekend","Weekday"))</f>
        <v>Weekday</v>
      </c>
      <c r="X137" s="5" t="str">
        <f>IF($A137="","",TEXT($B137,"ddd"))</f>
        <v>Thu</v>
      </c>
      <c r="Y137" s="5" t="str">
        <f>IF($A137="","",TEXT($B137,"mmm"))</f>
        <v>Jan</v>
      </c>
      <c r="Z137" s="5" t="str">
        <f>IF($A137="","",IFERROR(VLOOKUP($C137,Lookups!$D$4:$E$7,2,FALSE),"Unknown"))</f>
        <v>Winter</v>
      </c>
      <c r="AA137" s="5" t="str">
        <f>IF($A137="","",IFERROR(VLOOKUP($I137,Lookups!$A$4:$B$7,2,FALSE),"Unknown"))</f>
        <v>Mist/Cloudy</v>
      </c>
      <c r="AB137" s="5" t="str">
        <f>IF($A137="","",TEXT($F137,"00")&amp;":00")</f>
        <v>21:00</v>
      </c>
      <c r="AC137" s="5" t="str">
        <f>IF($A137="","",VLOOKUP($F137,Lookups!$G$4:$H$8,2,TRUE))</f>
        <v>Late Evening (20-23)</v>
      </c>
      <c r="AD137" s="18">
        <f>IF($A137="","",IF($J137="","",ROUND($J137*41,1)))</f>
        <v>9</v>
      </c>
      <c r="AE137" s="18">
        <f>IF($A137="","",IF($R137="","",ROUND($R137*50,1)))</f>
        <v>10.6</v>
      </c>
      <c r="AF137" s="5">
        <f>IF($A137="","",IF($L137="","",ROUND($L137*100,0)))</f>
        <v>55</v>
      </c>
      <c r="AG137" s="18">
        <f>IF($A137="","",IF($M137="","",ROUND($M137*67,1)))</f>
        <v>15</v>
      </c>
      <c r="AH137" s="19">
        <f>IF($A137="","",IF($P137="","",IF($P137=0,0,$O137/$P137)))</f>
        <v>1</v>
      </c>
      <c r="AI137" s="5" t="str">
        <f>IF($A137="","",IF($P137="","",IF($P137&gt;=Lookups!$K$7,"High",IF($P137&lt;=Lookups!$K$8,"Low","Medium"))))</f>
        <v>Medium</v>
      </c>
      <c r="AJ137" s="5" t="str">
        <f>IF($A137="","",IF($AD137="","",IF($AD137&lt;5,"Under 5 C",IF($AD137&lt;10,"5-10 C",IF($AD137&lt;15,"10-15 C","15 C and above")))))</f>
        <v>5-10 C</v>
      </c>
      <c r="AK137" s="5">
        <f>IF($A137="","",IF($P137="","",$P137^2))</f>
        <v>2304</v>
      </c>
      <c r="AL137" s="18">
        <f>IF($V137&lt;&gt;1,"",AVERAGEIFS(Clean_Data!$P$2:$P$1001,Clean_Data!$F$2:$F$1001,$F137,Clean_Data!$W$2:$W$1001,$W137,Clean_Data!$V$2:$V$1001,1))</f>
        <v>50.8965517241379</v>
      </c>
      <c r="AM137" s="16">
        <f>IF($V137&lt;&gt;1,"",IFERROR(($P137-$AL137)/SQRT(MAX(0,(SUMIFS(Clean_Data!$AK$2:$AK$1001,Clean_Data!$F$2:$F$1001,$F137,Clean_Data!$W$2:$W$1001,$W137,Clean_Data!$V$2:$V$1001,1)-COUNTIFS(Clean_Data!$F$2:$F$1001,$F137,Clean_Data!$W$2:$W$1001,$W137,Clean_Data!$V$2:$V$1001,1)*$AL137^2)/(COUNTIFS(Clean_Data!$F$2:$F$1001,$F137,Clean_Data!$W$2:$W$1001,$W137,Clean_Data!$V$2:$V$1001,1)-1))),""))</f>
        <v>-0.209769800940463</v>
      </c>
      <c r="AN137" s="5" t="str">
        <f>IF($AM137="","",IF($AM137&gt;=Lookups!$K$6,"High spike",IF($AM137&lt;=-Lookups!$K$6,"Unusual low","Normal")))</f>
        <v>Normal</v>
      </c>
      <c r="AO137" s="20">
        <f>IF($V137&lt;&gt;1,"",$P137+ROW()/100000)</f>
        <v>48.00137</v>
      </c>
      <c r="AP137" s="5">
        <f>IF($A137="","",IFERROR(MATCH($A137,Raw_D1!$A$2:$A$1001,0),""))</f>
        <v>136</v>
      </c>
      <c r="AQ137" s="5">
        <f>IF($A137="","",IFERROR(MATCH($A137,Raw_D2!$B$2:$B$1001,0),""))</f>
        <v>136</v>
      </c>
      <c r="AR137" s="5">
        <f>IF($A137="","",IFERROR(MATCH($A137,Raw_D3!$A$2:$A$1001,0),""))</f>
        <v/>
      </c>
    </row>
    <row r="138" spans="1:44" x14ac:dyDescent="0.25">
      <c r="A138" s="5">
        <v>137</v>
      </c>
      <c r="B138" s="11">
        <f>IF($A138="","",IF($AP138&lt;&gt;"",INDEX(Raw_D1!$B$2:$B$1001,$AP138),IF($AR138&lt;&gt;"",INDEX(Raw_D3!$B$2:$B$1001,$AR138),"")))</f>
        <v>40549.0</v>
      </c>
      <c r="C138" s="5">
        <f>IF($A138="","",IF($AP138&lt;&gt;"",INDEX(Raw_D1!$C$2:$C$1001,$AP138),IF($AR138&lt;&gt;"",INDEX(Raw_D3!$C$2:$C$1001,$AR138),"")))</f>
        <v>1</v>
      </c>
      <c r="D138" s="5">
        <f>IF($A138="","",IF($AP138&lt;&gt;"",INDEX(Raw_D1!$D$2:$D$1001,$AP138),IF($AR138&lt;&gt;"",INDEX(Raw_D3!$D$2:$D$1001,$AR138),"")))</f>
        <v>0</v>
      </c>
      <c r="E138" s="5">
        <f>IF($A138="","",IF($AP138&lt;&gt;"",INDEX(Raw_D1!$E$2:$E$1001,$AP138),IF($AR138&lt;&gt;"",INDEX(Raw_D3!$E$2:$E$1001,$AR138),"")))</f>
        <v>1</v>
      </c>
      <c r="F138" s="5">
        <f>IF($A138="","",IF($AP138&lt;&gt;"",INDEX(Raw_D1!$F$2:$F$1001,$AP138),IF($AR138&lt;&gt;"",INDEX(Raw_D3!$F$2:$F$1001,$AR138),"")))</f>
        <v>22</v>
      </c>
      <c r="G138" s="5">
        <f>IF($A138="","",IF($AP138&lt;&gt;"",IF(INDEX(Raw_D1!$G$2:$G$1001,$AP138),1,0),IF($AR138&lt;&gt;"",IF(INDEX(Raw_D3!$G$2:$G$1001,$AR138),1,0),"")))</f>
        <v>0</v>
      </c>
      <c r="H138" s="5">
        <f>IF($A138="","",IF($AP138&lt;&gt;"",INDEX(Raw_D1!$H$2:$H$1001,$AP138),IF($AR138&lt;&gt;"",INDEX(Raw_D3!$H$2:$H$1001,$AR138),"")))</f>
        <v>4</v>
      </c>
      <c r="I138" s="5">
        <f>IF($A138="","",IF($AP138&lt;&gt;"",INDEX(Raw_D1!$I$2:$I$1001,$AP138),IF($AR138&lt;&gt;"",INDEX(Raw_D3!$I$2:$I$1001,$AR138),"")))</f>
        <v>2</v>
      </c>
      <c r="J138" s="16">
        <f>IF($A138="","",IF($AP138&lt;&gt;"",INDEX(Raw_D1!$J$2:$J$1001,$AP138),IF($AR138&lt;&gt;"",INDEX(Raw_D3!$J$2:$J$1001,$AR138),"")))</f>
        <v>0.22</v>
      </c>
      <c r="K138" s="17">
        <f>IF($A138="","",IF($AQ138&lt;&gt;"",IF(INDEX(Raw_D2!$C$2:$C$1001,$AQ138)="","",INDEX(Raw_D2!$C$2:$C$1001,$AQ138)),IF($AR138&lt;&gt;"",IF(INDEX(Raw_D3!$K$2:$K$1001,$AR138)="","",INDEX(Raw_D3!$K$2:$K$1001,$AR138)),"")))</f>
        <v>0.2121</v>
      </c>
      <c r="L138" s="16">
        <f>IF($A138="","",IF($AQ138&lt;&gt;"",IF(INDEX(Raw_D2!$D$2:$D$1001,$AQ138)="","",INDEX(Raw_D2!$D$2:$D$1001,$AQ138)),IF($AR138&lt;&gt;"",IF(INDEX(Raw_D3!$L$2:$L$1001,$AR138)="","",INDEX(Raw_D3!$L$2:$L$1001,$AR138)),"")))</f>
        <v>0.51</v>
      </c>
      <c r="M138" s="17">
        <f>IF($A138="","",IF($AQ138&lt;&gt;"",IF(INDEX(Raw_D2!$E$2:$E$1001,$AQ138)="","",INDEX(Raw_D2!$E$2:$E$1001,$AQ138)),IF($AR138&lt;&gt;"",IF(INDEX(Raw_D3!$M$2:$M$1001,$AR138)="","",INDEX(Raw_D3!$M$2:$M$1001,$AR138)),"")))</f>
        <v>0.2836</v>
      </c>
      <c r="N138" s="5">
        <f>IF($A138="","",IF($AQ138&lt;&gt;"",IF(INDEX(Raw_D2!$F$2:$F$1001,$AQ138)="","",INDEX(Raw_D2!$F$2:$F$1001,$AQ138)),IF($AR138&lt;&gt;"",IF(INDEX(Raw_D3!$N$2:$N$1001,$AR138)="","",INDEX(Raw_D3!$N$2:$N$1001,$AR138)),"")))</f>
        <v>1</v>
      </c>
      <c r="O138" s="5">
        <f>IF($A138="","",IF($AQ138&lt;&gt;"",IF(INDEX(Raw_D2!$G$2:$G$1001,$AQ138)="","",INDEX(Raw_D2!$G$2:$G$1001,$AQ138)),IF($AR138&lt;&gt;"",IF(INDEX(Raw_D3!$O$2:$O$1001,$AR138)="","",INDEX(Raw_D3!$O$2:$O$1001,$AR138)),"")))</f>
        <v>51</v>
      </c>
      <c r="P138" s="5">
        <f>IF($A138="","",IF($AQ138&lt;&gt;"",IF(INDEX(Raw_D2!$H$2:$H$1001,$AQ138)="","",INDEX(Raw_D2!$H$2:$H$1001,$AQ138)),IF($AR138&lt;&gt;"",IF(INDEX(Raw_D3!$P$2:$P$1001,$AR138)="","",INDEX(Raw_D3!$P$2:$P$1001,$AR138)),"")))</f>
        <v>52</v>
      </c>
      <c r="Q138" s="5" t="str">
        <f>IF($A138="","",IF(AND($AP138&lt;&gt;"",$AQ138&lt;&gt;""),"D1+D2",IF($AR138&lt;&gt;"","D3","Incomplete")))</f>
        <v>D1+D2</v>
      </c>
      <c r="R138" s="17">
        <f>IF($A138="","",IF($K138="",IF($J138="","",ROUND(Lookups!$K$5+Lookups!$K$4*$J138,4)),$K138))</f>
        <v>0.2121</v>
      </c>
      <c r="S138" s="5" t="str">
        <f>IF($A138="","",IF($K138="","Imputed","Original"))</f>
        <v>Original</v>
      </c>
      <c r="T138" s="5" t="str">
        <f>IF($A138="","",IF($P138="","Missing",IF($P138=$N138+$O138,"OK","Mismatch")))</f>
        <v>OK</v>
      </c>
      <c r="U138" s="5" t="str">
        <f>IF($A138="","",IF(COUNTIF($A$2:$A138,$A138)&gt;1,"Duplicate","Unique"))</f>
        <v>Unique</v>
      </c>
      <c r="V138" s="5">
        <f>IF($A138="","",IF(AND($U138="Unique",ISNUMBER($P138)),1,0))</f>
        <v>1</v>
      </c>
      <c r="W138" s="5" t="str">
        <f>IF($A138="","",IF(OR($H138=0,$H138=6),"Weekend","Weekday"))</f>
        <v>Weekday</v>
      </c>
      <c r="X138" s="5" t="str">
        <f>IF($A138="","",TEXT($B138,"ddd"))</f>
        <v>Thu</v>
      </c>
      <c r="Y138" s="5" t="str">
        <f>IF($A138="","",TEXT($B138,"mmm"))</f>
        <v>Jan</v>
      </c>
      <c r="Z138" s="5" t="str">
        <f>IF($A138="","",IFERROR(VLOOKUP($C138,Lookups!$D$4:$E$7,2,FALSE),"Unknown"))</f>
        <v>Winter</v>
      </c>
      <c r="AA138" s="5" t="str">
        <f>IF($A138="","",IFERROR(VLOOKUP($I138,Lookups!$A$4:$B$7,2,FALSE),"Unknown"))</f>
        <v>Mist/Cloudy</v>
      </c>
      <c r="AB138" s="5" t="str">
        <f>IF($A138="","",TEXT($F138,"00")&amp;":00")</f>
        <v>22:00</v>
      </c>
      <c r="AC138" s="5" t="str">
        <f>IF($A138="","",VLOOKUP($F138,Lookups!$G$4:$H$8,2,TRUE))</f>
        <v>Late Evening (20-23)</v>
      </c>
      <c r="AD138" s="18">
        <f>IF($A138="","",IF($J138="","",ROUND($J138*41,1)))</f>
        <v>9</v>
      </c>
      <c r="AE138" s="18">
        <f>IF($A138="","",IF($R138="","",ROUND($R138*50,1)))</f>
        <v>10.6</v>
      </c>
      <c r="AF138" s="5">
        <f>IF($A138="","",IF($L138="","",ROUND($L138*100,0)))</f>
        <v>51</v>
      </c>
      <c r="AG138" s="18">
        <f>IF($A138="","",IF($M138="","",ROUND($M138*67,1)))</f>
        <v>19</v>
      </c>
      <c r="AH138" s="19">
        <f>IF($A138="","",IF($P138="","",IF($P138=0,0,$O138/$P138)))</f>
        <v>0.980769230769231</v>
      </c>
      <c r="AI138" s="5" t="str">
        <f>IF($A138="","",IF($P138="","",IF($P138&gt;=Lookups!$K$7,"High",IF($P138&lt;=Lookups!$K$8,"Low","Medium"))))</f>
        <v>Medium</v>
      </c>
      <c r="AJ138" s="5" t="str">
        <f>IF($A138="","",IF($AD138="","",IF($AD138&lt;5,"Under 5 C",IF($AD138&lt;10,"5-10 C",IF($AD138&lt;15,"10-15 C","15 C and above")))))</f>
        <v>5-10 C</v>
      </c>
      <c r="AK138" s="5">
        <f>IF($A138="","",IF($P138="","",$P138^2))</f>
        <v>2704</v>
      </c>
      <c r="AL138" s="18">
        <f>IF($V138&lt;&gt;1,"",AVERAGEIFS(Clean_Data!$P$2:$P$1001,Clean_Data!$F$2:$F$1001,$F138,Clean_Data!$W$2:$W$1001,$W138,Clean_Data!$V$2:$V$1001,1))</f>
        <v>37.1034482758621</v>
      </c>
      <c r="AM138" s="16">
        <f>IF($V138&lt;&gt;1,"",IFERROR(($P138-$AL138)/SQRT(MAX(0,(SUMIFS(Clean_Data!$AK$2:$AK$1001,Clean_Data!$F$2:$F$1001,$F138,Clean_Data!$W$2:$W$1001,$W138,Clean_Data!$V$2:$V$1001,1)-COUNTIFS(Clean_Data!$F$2:$F$1001,$F138,Clean_Data!$W$2:$W$1001,$W138,Clean_Data!$V$2:$V$1001,1)*$AL138^2)/(COUNTIFS(Clean_Data!$F$2:$F$1001,$F138,Clean_Data!$W$2:$W$1001,$W138,Clean_Data!$V$2:$V$1001,1)-1))),""))</f>
        <v>1.37999299414231</v>
      </c>
      <c r="AN138" s="5" t="str">
        <f>IF($AM138="","",IF($AM138&gt;=Lookups!$K$6,"High spike",IF($AM138&lt;=-Lookups!$K$6,"Unusual low","Normal")))</f>
        <v>Normal</v>
      </c>
      <c r="AO138" s="20">
        <f>IF($V138&lt;&gt;1,"",$P138+ROW()/100000)</f>
        <v>52.00138</v>
      </c>
      <c r="AP138" s="5">
        <f>IF($A138="","",IFERROR(MATCH($A138,Raw_D1!$A$2:$A$1001,0),""))</f>
        <v>137</v>
      </c>
      <c r="AQ138" s="5">
        <f>IF($A138="","",IFERROR(MATCH($A138,Raw_D2!$B$2:$B$1001,0),""))</f>
        <v>137</v>
      </c>
      <c r="AR138" s="5">
        <f>IF($A138="","",IFERROR(MATCH($A138,Raw_D3!$A$2:$A$1001,0),""))</f>
        <v/>
      </c>
    </row>
    <row r="139" spans="1:44" x14ac:dyDescent="0.25">
      <c r="A139" s="5">
        <v>138</v>
      </c>
      <c r="B139" s="11">
        <f>IF($A139="","",IF($AP139&lt;&gt;"",INDEX(Raw_D1!$B$2:$B$1001,$AP139),IF($AR139&lt;&gt;"",INDEX(Raw_D3!$B$2:$B$1001,$AR139),"")))</f>
        <v>40549.0</v>
      </c>
      <c r="C139" s="5">
        <f>IF($A139="","",IF($AP139&lt;&gt;"",INDEX(Raw_D1!$C$2:$C$1001,$AP139),IF($AR139&lt;&gt;"",INDEX(Raw_D3!$C$2:$C$1001,$AR139),"")))</f>
        <v>1</v>
      </c>
      <c r="D139" s="5">
        <f>IF($A139="","",IF($AP139&lt;&gt;"",INDEX(Raw_D1!$D$2:$D$1001,$AP139),IF($AR139&lt;&gt;"",INDEX(Raw_D3!$D$2:$D$1001,$AR139),"")))</f>
        <v>0</v>
      </c>
      <c r="E139" s="5">
        <f>IF($A139="","",IF($AP139&lt;&gt;"",INDEX(Raw_D1!$E$2:$E$1001,$AP139),IF($AR139&lt;&gt;"",INDEX(Raw_D3!$E$2:$E$1001,$AR139),"")))</f>
        <v>1</v>
      </c>
      <c r="F139" s="5">
        <f>IF($A139="","",IF($AP139&lt;&gt;"",INDEX(Raw_D1!$F$2:$F$1001,$AP139),IF($AR139&lt;&gt;"",INDEX(Raw_D3!$F$2:$F$1001,$AR139),"")))</f>
        <v>23</v>
      </c>
      <c r="G139" s="5">
        <f>IF($A139="","",IF($AP139&lt;&gt;"",IF(INDEX(Raw_D1!$G$2:$G$1001,$AP139),1,0),IF($AR139&lt;&gt;"",IF(INDEX(Raw_D3!$G$2:$G$1001,$AR139),1,0),"")))</f>
        <v>0</v>
      </c>
      <c r="H139" s="5">
        <f>IF($A139="","",IF($AP139&lt;&gt;"",INDEX(Raw_D1!$H$2:$H$1001,$AP139),IF($AR139&lt;&gt;"",INDEX(Raw_D3!$H$2:$H$1001,$AR139),"")))</f>
        <v>4</v>
      </c>
      <c r="I139" s="5">
        <f>IF($A139="","",IF($AP139&lt;&gt;"",INDEX(Raw_D1!$I$2:$I$1001,$AP139),IF($AR139&lt;&gt;"",INDEX(Raw_D3!$I$2:$I$1001,$AR139),"")))</f>
        <v>2</v>
      </c>
      <c r="J139" s="16">
        <f>IF($A139="","",IF($AP139&lt;&gt;"",INDEX(Raw_D1!$J$2:$J$1001,$AP139),IF($AR139&lt;&gt;"",INDEX(Raw_D3!$J$2:$J$1001,$AR139),"")))</f>
        <v>0.2</v>
      </c>
      <c r="K139" s="17">
        <f>IF($A139="","",IF($AQ139&lt;&gt;"",IF(INDEX(Raw_D2!$C$2:$C$1001,$AQ139)="","",INDEX(Raw_D2!$C$2:$C$1001,$AQ139)),IF($AR139&lt;&gt;"",IF(INDEX(Raw_D3!$K$2:$K$1001,$AR139)="","",INDEX(Raw_D3!$K$2:$K$1001,$AR139)),"")))</f>
        <v>0.197</v>
      </c>
      <c r="L139" s="16">
        <f>IF($A139="","",IF($AQ139&lt;&gt;"",IF(INDEX(Raw_D2!$D$2:$D$1001,$AQ139)="","",INDEX(Raw_D2!$D$2:$D$1001,$AQ139)),IF($AR139&lt;&gt;"",IF(INDEX(Raw_D3!$L$2:$L$1001,$AR139)="","",INDEX(Raw_D3!$L$2:$L$1001,$AR139)),"")))</f>
        <v>0.59</v>
      </c>
      <c r="M139" s="17">
        <f>IF($A139="","",IF($AQ139&lt;&gt;"",IF(INDEX(Raw_D2!$E$2:$E$1001,$AQ139)="","",INDEX(Raw_D2!$E$2:$E$1001,$AQ139)),IF($AR139&lt;&gt;"",IF(INDEX(Raw_D3!$M$2:$M$1001,$AR139)="","",INDEX(Raw_D3!$M$2:$M$1001,$AR139)),"")))</f>
        <v>0.194</v>
      </c>
      <c r="N139" s="5">
        <f>IF($A139="","",IF($AQ139&lt;&gt;"",IF(INDEX(Raw_D2!$F$2:$F$1001,$AQ139)="","",INDEX(Raw_D2!$F$2:$F$1001,$AQ139)),IF($AR139&lt;&gt;"",IF(INDEX(Raw_D3!$N$2:$N$1001,$AR139)="","",INDEX(Raw_D3!$N$2:$N$1001,$AR139)),"")))</f>
        <v>4</v>
      </c>
      <c r="O139" s="5">
        <f>IF($A139="","",IF($AQ139&lt;&gt;"",IF(INDEX(Raw_D2!$G$2:$G$1001,$AQ139)="","",INDEX(Raw_D2!$G$2:$G$1001,$AQ139)),IF($AR139&lt;&gt;"",IF(INDEX(Raw_D3!$O$2:$O$1001,$AR139)="","",INDEX(Raw_D3!$O$2:$O$1001,$AR139)),"")))</f>
        <v>19</v>
      </c>
      <c r="P139" s="5">
        <f>IF($A139="","",IF($AQ139&lt;&gt;"",IF(INDEX(Raw_D2!$H$2:$H$1001,$AQ139)="","",INDEX(Raw_D2!$H$2:$H$1001,$AQ139)),IF($AR139&lt;&gt;"",IF(INDEX(Raw_D3!$P$2:$P$1001,$AR139)="","",INDEX(Raw_D3!$P$2:$P$1001,$AR139)),"")))</f>
        <v>23</v>
      </c>
      <c r="Q139" s="5" t="str">
        <f>IF($A139="","",IF(AND($AP139&lt;&gt;"",$AQ139&lt;&gt;""),"D1+D2",IF($AR139&lt;&gt;"","D3","Incomplete")))</f>
        <v>D1+D2</v>
      </c>
      <c r="R139" s="17">
        <f>IF($A139="","",IF($K139="",IF($J139="","",ROUND(Lookups!$K$5+Lookups!$K$4*$J139,4)),$K139))</f>
        <v>0.197</v>
      </c>
      <c r="S139" s="5" t="str">
        <f>IF($A139="","",IF($K139="","Imputed","Original"))</f>
        <v>Original</v>
      </c>
      <c r="T139" s="5" t="str">
        <f>IF($A139="","",IF($P139="","Missing",IF($P139=$N139+$O139,"OK","Mismatch")))</f>
        <v>OK</v>
      </c>
      <c r="U139" s="5" t="str">
        <f>IF($A139="","",IF(COUNTIF($A$2:$A139,$A139)&gt;1,"Duplicate","Unique"))</f>
        <v>Unique</v>
      </c>
      <c r="V139" s="5">
        <f>IF($A139="","",IF(AND($U139="Unique",ISNUMBER($P139)),1,0))</f>
        <v>1</v>
      </c>
      <c r="W139" s="5" t="str">
        <f>IF($A139="","",IF(OR($H139=0,$H139=6),"Weekend","Weekday"))</f>
        <v>Weekday</v>
      </c>
      <c r="X139" s="5" t="str">
        <f>IF($A139="","",TEXT($B139,"ddd"))</f>
        <v>Thu</v>
      </c>
      <c r="Y139" s="5" t="str">
        <f>IF($A139="","",TEXT($B139,"mmm"))</f>
        <v>Jan</v>
      </c>
      <c r="Z139" s="5" t="str">
        <f>IF($A139="","",IFERROR(VLOOKUP($C139,Lookups!$D$4:$E$7,2,FALSE),"Unknown"))</f>
        <v>Winter</v>
      </c>
      <c r="AA139" s="5" t="str">
        <f>IF($A139="","",IFERROR(VLOOKUP($I139,Lookups!$A$4:$B$7,2,FALSE),"Unknown"))</f>
        <v>Mist/Cloudy</v>
      </c>
      <c r="AB139" s="5" t="str">
        <f>IF($A139="","",TEXT($F139,"00")&amp;":00")</f>
        <v>23:00</v>
      </c>
      <c r="AC139" s="5" t="str">
        <f>IF($A139="","",VLOOKUP($F139,Lookups!$G$4:$H$8,2,TRUE))</f>
        <v>Late Evening (20-23)</v>
      </c>
      <c r="AD139" s="18">
        <f>IF($A139="","",IF($J139="","",ROUND($J139*41,1)))</f>
        <v>8.2</v>
      </c>
      <c r="AE139" s="18">
        <f>IF($A139="","",IF($R139="","",ROUND($R139*50,1)))</f>
        <v>9.9</v>
      </c>
      <c r="AF139" s="5">
        <f>IF($A139="","",IF($L139="","",ROUND($L139*100,0)))</f>
        <v>59</v>
      </c>
      <c r="AG139" s="18">
        <f>IF($A139="","",IF($M139="","",ROUND($M139*67,1)))</f>
        <v>13</v>
      </c>
      <c r="AH139" s="19">
        <f>IF($A139="","",IF($P139="","",IF($P139=0,0,$O139/$P139)))</f>
        <v>0.826086956521739</v>
      </c>
      <c r="AI139" s="5" t="str">
        <f>IF($A139="","",IF($P139="","",IF($P139&gt;=Lookups!$K$7,"High",IF($P139&lt;=Lookups!$K$8,"Low","Medium"))))</f>
        <v>Medium</v>
      </c>
      <c r="AJ139" s="5" t="str">
        <f>IF($A139="","",IF($AD139="","",IF($AD139&lt;5,"Under 5 C",IF($AD139&lt;10,"5-10 C",IF($AD139&lt;15,"10-15 C","15 C and above")))))</f>
        <v>5-10 C</v>
      </c>
      <c r="AK139" s="5">
        <f>IF($A139="","",IF($P139="","",$P139^2))</f>
        <v>529</v>
      </c>
      <c r="AL139" s="18">
        <f>IF($V139&lt;&gt;1,"",AVERAGEIFS(Clean_Data!$P$2:$P$1001,Clean_Data!$F$2:$F$1001,$F139,Clean_Data!$W$2:$W$1001,$W139,Clean_Data!$V$2:$V$1001,1))</f>
        <v>23.6896551724138</v>
      </c>
      <c r="AM139" s="16">
        <f>IF($V139&lt;&gt;1,"",IFERROR(($P139-$AL139)/SQRT(MAX(0,(SUMIFS(Clean_Data!$AK$2:$AK$1001,Clean_Data!$F$2:$F$1001,$F139,Clean_Data!$W$2:$W$1001,$W139,Clean_Data!$V$2:$V$1001,1)-COUNTIFS(Clean_Data!$F$2:$F$1001,$F139,Clean_Data!$W$2:$W$1001,$W139,Clean_Data!$V$2:$V$1001,1)*$AL139^2)/(COUNTIFS(Clean_Data!$F$2:$F$1001,$F139,Clean_Data!$W$2:$W$1001,$W139,Clean_Data!$V$2:$V$1001,1)-1))),""))</f>
        <v>-0.0658393877369099</v>
      </c>
      <c r="AN139" s="5" t="str">
        <f>IF($AM139="","",IF($AM139&gt;=Lookups!$K$6,"High spike",IF($AM139&lt;=-Lookups!$K$6,"Unusual low","Normal")))</f>
        <v>Normal</v>
      </c>
      <c r="AO139" s="20">
        <f>IF($V139&lt;&gt;1,"",$P139+ROW()/100000)</f>
        <v>23.00139</v>
      </c>
      <c r="AP139" s="5">
        <f>IF($A139="","",IFERROR(MATCH($A139,Raw_D1!$A$2:$A$1001,0),""))</f>
        <v>138</v>
      </c>
      <c r="AQ139" s="5">
        <f>IF($A139="","",IFERROR(MATCH($A139,Raw_D2!$B$2:$B$1001,0),""))</f>
        <v>138</v>
      </c>
      <c r="AR139" s="5">
        <f>IF($A139="","",IFERROR(MATCH($A139,Raw_D3!$A$2:$A$1001,0),""))</f>
        <v/>
      </c>
    </row>
    <row r="140" spans="1:44" x14ac:dyDescent="0.25">
      <c r="A140" s="5">
        <v>139</v>
      </c>
      <c r="B140" s="11">
        <f>IF($A140="","",IF($AP140&lt;&gt;"",INDEX(Raw_D1!$B$2:$B$1001,$AP140),IF($AR140&lt;&gt;"",INDEX(Raw_D3!$B$2:$B$1001,$AR140),"")))</f>
        <v>40550.0</v>
      </c>
      <c r="C140" s="5">
        <f>IF($A140="","",IF($AP140&lt;&gt;"",INDEX(Raw_D1!$C$2:$C$1001,$AP140),IF($AR140&lt;&gt;"",INDEX(Raw_D3!$C$2:$C$1001,$AR140),"")))</f>
        <v>1</v>
      </c>
      <c r="D140" s="5">
        <f>IF($A140="","",IF($AP140&lt;&gt;"",INDEX(Raw_D1!$D$2:$D$1001,$AP140),IF($AR140&lt;&gt;"",INDEX(Raw_D3!$D$2:$D$1001,$AR140),"")))</f>
        <v>0</v>
      </c>
      <c r="E140" s="5">
        <f>IF($A140="","",IF($AP140&lt;&gt;"",INDEX(Raw_D1!$E$2:$E$1001,$AP140),IF($AR140&lt;&gt;"",INDEX(Raw_D3!$E$2:$E$1001,$AR140),"")))</f>
        <v>1</v>
      </c>
      <c r="F140" s="5">
        <f>IF($A140="","",IF($AP140&lt;&gt;"",INDEX(Raw_D1!$F$2:$F$1001,$AP140),IF($AR140&lt;&gt;"",INDEX(Raw_D3!$F$2:$F$1001,$AR140),"")))</f>
        <v>0</v>
      </c>
      <c r="G140" s="5">
        <f>IF($A140="","",IF($AP140&lt;&gt;"",IF(INDEX(Raw_D1!$G$2:$G$1001,$AP140),1,0),IF($AR140&lt;&gt;"",IF(INDEX(Raw_D3!$G$2:$G$1001,$AR140),1,0),"")))</f>
        <v>0</v>
      </c>
      <c r="H140" s="5">
        <f>IF($A140="","",IF($AP140&lt;&gt;"",INDEX(Raw_D1!$H$2:$H$1001,$AP140),IF($AR140&lt;&gt;"",INDEX(Raw_D3!$H$2:$H$1001,$AR140),"")))</f>
        <v>5</v>
      </c>
      <c r="I140" s="5">
        <f>IF($A140="","",IF($AP140&lt;&gt;"",INDEX(Raw_D1!$I$2:$I$1001,$AP140),IF($AR140&lt;&gt;"",INDEX(Raw_D3!$I$2:$I$1001,$AR140),"")))</f>
        <v>2</v>
      </c>
      <c r="J140" s="16">
        <f>IF($A140="","",IF($AP140&lt;&gt;"",INDEX(Raw_D1!$J$2:$J$1001,$AP140),IF($AR140&lt;&gt;"",INDEX(Raw_D3!$J$2:$J$1001,$AR140),"")))</f>
        <v>0.2</v>
      </c>
      <c r="K140" s="17">
        <f>IF($A140="","",IF($AQ140&lt;&gt;"",IF(INDEX(Raw_D2!$C$2:$C$1001,$AQ140)="","",INDEX(Raw_D2!$C$2:$C$1001,$AQ140)),IF($AR140&lt;&gt;"",IF(INDEX(Raw_D3!$K$2:$K$1001,$AR140)="","",INDEX(Raw_D3!$K$2:$K$1001,$AR140)),"")))</f>
        <v>0.197</v>
      </c>
      <c r="L140" s="16">
        <f>IF($A140="","",IF($AQ140&lt;&gt;"",IF(INDEX(Raw_D2!$D$2:$D$1001,$AQ140)="","",INDEX(Raw_D2!$D$2:$D$1001,$AQ140)),IF($AR140&lt;&gt;"",IF(INDEX(Raw_D3!$L$2:$L$1001,$AR140)="","",INDEX(Raw_D3!$L$2:$L$1001,$AR140)),"")))</f>
        <v>0.64</v>
      </c>
      <c r="M140" s="17">
        <f>IF($A140="","",IF($AQ140&lt;&gt;"",IF(INDEX(Raw_D2!$E$2:$E$1001,$AQ140)="","",INDEX(Raw_D2!$E$2:$E$1001,$AQ140)),IF($AR140&lt;&gt;"",IF(INDEX(Raw_D3!$M$2:$M$1001,$AR140)="","",INDEX(Raw_D3!$M$2:$M$1001,$AR140)),"")))</f>
        <v>0.194</v>
      </c>
      <c r="N140" s="5">
        <f>IF($A140="","",IF($AQ140&lt;&gt;"",IF(INDEX(Raw_D2!$F$2:$F$1001,$AQ140)="","",INDEX(Raw_D2!$F$2:$F$1001,$AQ140)),IF($AR140&lt;&gt;"",IF(INDEX(Raw_D3!$N$2:$N$1001,$AR140)="","",INDEX(Raw_D3!$N$2:$N$1001,$AR140)),"")))</f>
        <v>4</v>
      </c>
      <c r="O140" s="5">
        <f>IF($A140="","",IF($AQ140&lt;&gt;"",IF(INDEX(Raw_D2!$G$2:$G$1001,$AQ140)="","",INDEX(Raw_D2!$G$2:$G$1001,$AQ140)),IF($AR140&lt;&gt;"",IF(INDEX(Raw_D3!$O$2:$O$1001,$AR140)="","",INDEX(Raw_D3!$O$2:$O$1001,$AR140)),"")))</f>
        <v>13</v>
      </c>
      <c r="P140" s="5">
        <f>IF($A140="","",IF($AQ140&lt;&gt;"",IF(INDEX(Raw_D2!$H$2:$H$1001,$AQ140)="","",INDEX(Raw_D2!$H$2:$H$1001,$AQ140)),IF($AR140&lt;&gt;"",IF(INDEX(Raw_D3!$P$2:$P$1001,$AR140)="","",INDEX(Raw_D3!$P$2:$P$1001,$AR140)),"")))</f>
        <v>17</v>
      </c>
      <c r="Q140" s="5" t="str">
        <f>IF($A140="","",IF(AND($AP140&lt;&gt;"",$AQ140&lt;&gt;""),"D1+D2",IF($AR140&lt;&gt;"","D3","Incomplete")))</f>
        <v>D1+D2</v>
      </c>
      <c r="R140" s="17">
        <f>IF($A140="","",IF($K140="",IF($J140="","",ROUND(Lookups!$K$5+Lookups!$K$4*$J140,4)),$K140))</f>
        <v>0.197</v>
      </c>
      <c r="S140" s="5" t="str">
        <f>IF($A140="","",IF($K140="","Imputed","Original"))</f>
        <v>Original</v>
      </c>
      <c r="T140" s="5" t="str">
        <f>IF($A140="","",IF($P140="","Missing",IF($P140=$N140+$O140,"OK","Mismatch")))</f>
        <v>OK</v>
      </c>
      <c r="U140" s="5" t="str">
        <f>IF($A140="","",IF(COUNTIF($A$2:$A140,$A140)&gt;1,"Duplicate","Unique"))</f>
        <v>Unique</v>
      </c>
      <c r="V140" s="5">
        <f>IF($A140="","",IF(AND($U140="Unique",ISNUMBER($P140)),1,0))</f>
        <v>1</v>
      </c>
      <c r="W140" s="5" t="str">
        <f>IF($A140="","",IF(OR($H140=0,$H140=6),"Weekend","Weekday"))</f>
        <v>Weekday</v>
      </c>
      <c r="X140" s="5" t="str">
        <f>IF($A140="","",TEXT($B140,"ddd"))</f>
        <v>Fri</v>
      </c>
      <c r="Y140" s="5" t="str">
        <f>IF($A140="","",TEXT($B140,"mmm"))</f>
        <v>Jan</v>
      </c>
      <c r="Z140" s="5" t="str">
        <f>IF($A140="","",IFERROR(VLOOKUP($C140,Lookups!$D$4:$E$7,2,FALSE),"Unknown"))</f>
        <v>Winter</v>
      </c>
      <c r="AA140" s="5" t="str">
        <f>IF($A140="","",IFERROR(VLOOKUP($I140,Lookups!$A$4:$B$7,2,FALSE),"Unknown"))</f>
        <v>Mist/Cloudy</v>
      </c>
      <c r="AB140" s="5" t="str">
        <f>IF($A140="","",TEXT($F140,"00")&amp;":00")</f>
        <v>00:00</v>
      </c>
      <c r="AC140" s="5" t="str">
        <f>IF($A140="","",VLOOKUP($F140,Lookups!$G$4:$H$8,2,TRUE))</f>
        <v>Night (00-05)</v>
      </c>
      <c r="AD140" s="18">
        <f>IF($A140="","",IF($J140="","",ROUND($J140*41,1)))</f>
        <v>8.2</v>
      </c>
      <c r="AE140" s="18">
        <f>IF($A140="","",IF($R140="","",ROUND($R140*50,1)))</f>
        <v>9.9</v>
      </c>
      <c r="AF140" s="5">
        <f>IF($A140="","",IF($L140="","",ROUND($L140*100,0)))</f>
        <v>64</v>
      </c>
      <c r="AG140" s="18">
        <f>IF($A140="","",IF($M140="","",ROUND($M140*67,1)))</f>
        <v>13</v>
      </c>
      <c r="AH140" s="19">
        <f>IF($A140="","",IF($P140="","",IF($P140=0,0,$O140/$P140)))</f>
        <v>0.764705882352941</v>
      </c>
      <c r="AI140" s="5" t="str">
        <f>IF($A140="","",IF($P140="","",IF($P140&gt;=Lookups!$K$7,"High",IF($P140&lt;=Lookups!$K$8,"Low","Medium"))))</f>
        <v>Medium</v>
      </c>
      <c r="AJ140" s="5" t="str">
        <f>IF($A140="","",IF($AD140="","",IF($AD140&lt;5,"Under 5 C",IF($AD140&lt;10,"5-10 C",IF($AD140&lt;15,"10-15 C","15 C and above")))))</f>
        <v>5-10 C</v>
      </c>
      <c r="AK140" s="5">
        <f>IF($A140="","",IF($P140="","",$P140^2))</f>
        <v>289</v>
      </c>
      <c r="AL140" s="18">
        <f>IF($V140&lt;&gt;1,"",AVERAGEIFS(Clean_Data!$P$2:$P$1001,Clean_Data!$F$2:$F$1001,$F140,Clean_Data!$W$2:$W$1001,$W140,Clean_Data!$V$2:$V$1001,1))</f>
        <v>10.6896551724138</v>
      </c>
      <c r="AM140" s="16">
        <f>IF($V140&lt;&gt;1,"",IFERROR(($P140-$AL140)/SQRT(MAX(0,(SUMIFS(Clean_Data!$AK$2:$AK$1001,Clean_Data!$F$2:$F$1001,$F140,Clean_Data!$W$2:$W$1001,$W140,Clean_Data!$V$2:$V$1001,1)-COUNTIFS(Clean_Data!$F$2:$F$1001,$F140,Clean_Data!$W$2:$W$1001,$W140,Clean_Data!$V$2:$V$1001,1)*$AL140^2)/(COUNTIFS(Clean_Data!$F$2:$F$1001,$F140,Clean_Data!$W$2:$W$1001,$W140,Clean_Data!$V$2:$V$1001,1)-1))),""))</f>
        <v>1.28981570673671</v>
      </c>
      <c r="AN140" s="5" t="str">
        <f>IF($AM140="","",IF($AM140&gt;=Lookups!$K$6,"High spike",IF($AM140&lt;=-Lookups!$K$6,"Unusual low","Normal")))</f>
        <v>Normal</v>
      </c>
      <c r="AO140" s="20">
        <f>IF($V140&lt;&gt;1,"",$P140+ROW()/100000)</f>
        <v>17.0014</v>
      </c>
      <c r="AP140" s="5">
        <f>IF($A140="","",IFERROR(MATCH($A140,Raw_D1!$A$2:$A$1001,0),""))</f>
        <v>139</v>
      </c>
      <c r="AQ140" s="5">
        <f>IF($A140="","",IFERROR(MATCH($A140,Raw_D2!$B$2:$B$1001,0),""))</f>
        <v>139</v>
      </c>
      <c r="AR140" s="5">
        <f>IF($A140="","",IFERROR(MATCH($A140,Raw_D3!$A$2:$A$1001,0),""))</f>
        <v/>
      </c>
    </row>
    <row r="141" spans="1:44" x14ac:dyDescent="0.25">
      <c r="A141" s="5">
        <v>140</v>
      </c>
      <c r="B141" s="11">
        <f>IF($A141="","",IF($AP141&lt;&gt;"",INDEX(Raw_D1!$B$2:$B$1001,$AP141),IF($AR141&lt;&gt;"",INDEX(Raw_D3!$B$2:$B$1001,$AR141),"")))</f>
        <v>40550.0</v>
      </c>
      <c r="C141" s="5">
        <f>IF($A141="","",IF($AP141&lt;&gt;"",INDEX(Raw_D1!$C$2:$C$1001,$AP141),IF($AR141&lt;&gt;"",INDEX(Raw_D3!$C$2:$C$1001,$AR141),"")))</f>
        <v>1</v>
      </c>
      <c r="D141" s="5">
        <f>IF($A141="","",IF($AP141&lt;&gt;"",INDEX(Raw_D1!$D$2:$D$1001,$AP141),IF($AR141&lt;&gt;"",INDEX(Raw_D3!$D$2:$D$1001,$AR141),"")))</f>
        <v>0</v>
      </c>
      <c r="E141" s="5">
        <f>IF($A141="","",IF($AP141&lt;&gt;"",INDEX(Raw_D1!$E$2:$E$1001,$AP141),IF($AR141&lt;&gt;"",INDEX(Raw_D3!$E$2:$E$1001,$AR141),"")))</f>
        <v>1</v>
      </c>
      <c r="F141" s="5">
        <f>IF($A141="","",IF($AP141&lt;&gt;"",INDEX(Raw_D1!$F$2:$F$1001,$AP141),IF($AR141&lt;&gt;"",INDEX(Raw_D3!$F$2:$F$1001,$AR141),"")))</f>
        <v>1</v>
      </c>
      <c r="G141" s="5">
        <f>IF($A141="","",IF($AP141&lt;&gt;"",IF(INDEX(Raw_D1!$G$2:$G$1001,$AP141),1,0),IF($AR141&lt;&gt;"",IF(INDEX(Raw_D3!$G$2:$G$1001,$AR141),1,0),"")))</f>
        <v>0</v>
      </c>
      <c r="H141" s="5">
        <f>IF($A141="","",IF($AP141&lt;&gt;"",INDEX(Raw_D1!$H$2:$H$1001,$AP141),IF($AR141&lt;&gt;"",INDEX(Raw_D3!$H$2:$H$1001,$AR141),"")))</f>
        <v>5</v>
      </c>
      <c r="I141" s="5">
        <f>IF($A141="","",IF($AP141&lt;&gt;"",INDEX(Raw_D1!$I$2:$I$1001,$AP141),IF($AR141&lt;&gt;"",INDEX(Raw_D3!$I$2:$I$1001,$AR141),"")))</f>
        <v>2</v>
      </c>
      <c r="J141" s="16">
        <f>IF($A141="","",IF($AP141&lt;&gt;"",INDEX(Raw_D1!$J$2:$J$1001,$AP141),IF($AR141&lt;&gt;"",INDEX(Raw_D3!$J$2:$J$1001,$AR141),"")))</f>
        <v>0.2</v>
      </c>
      <c r="K141" s="17">
        <f>IF($A141="","",IF($AQ141&lt;&gt;"",IF(INDEX(Raw_D2!$C$2:$C$1001,$AQ141)="","",INDEX(Raw_D2!$C$2:$C$1001,$AQ141)),IF($AR141&lt;&gt;"",IF(INDEX(Raw_D3!$K$2:$K$1001,$AR141)="","",INDEX(Raw_D3!$K$2:$K$1001,$AR141)),"")))</f>
        <v>0.197</v>
      </c>
      <c r="L141" s="16">
        <f>IF($A141="","",IF($AQ141&lt;&gt;"",IF(INDEX(Raw_D2!$D$2:$D$1001,$AQ141)="","",INDEX(Raw_D2!$D$2:$D$1001,$AQ141)),IF($AR141&lt;&gt;"",IF(INDEX(Raw_D3!$L$2:$L$1001,$AR141)="","",INDEX(Raw_D3!$L$2:$L$1001,$AR141)),"")))</f>
        <v>0.69</v>
      </c>
      <c r="M141" s="17">
        <f>IF($A141="","",IF($AQ141&lt;&gt;"",IF(INDEX(Raw_D2!$E$2:$E$1001,$AQ141)="","",INDEX(Raw_D2!$E$2:$E$1001,$AQ141)),IF($AR141&lt;&gt;"",IF(INDEX(Raw_D3!$M$2:$M$1001,$AR141)="","",INDEX(Raw_D3!$M$2:$M$1001,$AR141)),"")))</f>
        <v>0.2239</v>
      </c>
      <c r="N141" s="5">
        <f>IF($A141="","",IF($AQ141&lt;&gt;"",IF(INDEX(Raw_D2!$F$2:$F$1001,$AQ141)="","",INDEX(Raw_D2!$F$2:$F$1001,$AQ141)),IF($AR141&lt;&gt;"",IF(INDEX(Raw_D3!$N$2:$N$1001,$AR141)="","",INDEX(Raw_D3!$N$2:$N$1001,$AR141)),"")))</f>
        <v>2</v>
      </c>
      <c r="O141" s="5">
        <f>IF($A141="","",IF($AQ141&lt;&gt;"",IF(INDEX(Raw_D2!$G$2:$G$1001,$AQ141)="","",INDEX(Raw_D2!$G$2:$G$1001,$AQ141)),IF($AR141&lt;&gt;"",IF(INDEX(Raw_D3!$O$2:$O$1001,$AR141)="","",INDEX(Raw_D3!$O$2:$O$1001,$AR141)),"")))</f>
        <v>5</v>
      </c>
      <c r="P141" s="5">
        <f>IF($A141="","",IF($AQ141&lt;&gt;"",IF(INDEX(Raw_D2!$H$2:$H$1001,$AQ141)="","",INDEX(Raw_D2!$H$2:$H$1001,$AQ141)),IF($AR141&lt;&gt;"",IF(INDEX(Raw_D3!$P$2:$P$1001,$AR141)="","",INDEX(Raw_D3!$P$2:$P$1001,$AR141)),"")))</f>
        <v>7</v>
      </c>
      <c r="Q141" s="5" t="str">
        <f>IF($A141="","",IF(AND($AP141&lt;&gt;"",$AQ141&lt;&gt;""),"D1+D2",IF($AR141&lt;&gt;"","D3","Incomplete")))</f>
        <v>D1+D2</v>
      </c>
      <c r="R141" s="17">
        <f>IF($A141="","",IF($K141="",IF($J141="","",ROUND(Lookups!$K$5+Lookups!$K$4*$J141,4)),$K141))</f>
        <v>0.197</v>
      </c>
      <c r="S141" s="5" t="str">
        <f>IF($A141="","",IF($K141="","Imputed","Original"))</f>
        <v>Original</v>
      </c>
      <c r="T141" s="5" t="str">
        <f>IF($A141="","",IF($P141="","Missing",IF($P141=$N141+$O141,"OK","Mismatch")))</f>
        <v>OK</v>
      </c>
      <c r="U141" s="5" t="str">
        <f>IF($A141="","",IF(COUNTIF($A$2:$A141,$A141)&gt;1,"Duplicate","Unique"))</f>
        <v>Unique</v>
      </c>
      <c r="V141" s="5">
        <f>IF($A141="","",IF(AND($U141="Unique",ISNUMBER($P141)),1,0))</f>
        <v>1</v>
      </c>
      <c r="W141" s="5" t="str">
        <f>IF($A141="","",IF(OR($H141=0,$H141=6),"Weekend","Weekday"))</f>
        <v>Weekday</v>
      </c>
      <c r="X141" s="5" t="str">
        <f>IF($A141="","",TEXT($B141,"ddd"))</f>
        <v>Fri</v>
      </c>
      <c r="Y141" s="5" t="str">
        <f>IF($A141="","",TEXT($B141,"mmm"))</f>
        <v>Jan</v>
      </c>
      <c r="Z141" s="5" t="str">
        <f>IF($A141="","",IFERROR(VLOOKUP($C141,Lookups!$D$4:$E$7,2,FALSE),"Unknown"))</f>
        <v>Winter</v>
      </c>
      <c r="AA141" s="5" t="str">
        <f>IF($A141="","",IFERROR(VLOOKUP($I141,Lookups!$A$4:$B$7,2,FALSE),"Unknown"))</f>
        <v>Mist/Cloudy</v>
      </c>
      <c r="AB141" s="5" t="str">
        <f>IF($A141="","",TEXT($F141,"00")&amp;":00")</f>
        <v>01:00</v>
      </c>
      <c r="AC141" s="5" t="str">
        <f>IF($A141="","",VLOOKUP($F141,Lookups!$G$4:$H$8,2,TRUE))</f>
        <v>Night (00-05)</v>
      </c>
      <c r="AD141" s="18">
        <f>IF($A141="","",IF($J141="","",ROUND($J141*41,1)))</f>
        <v>8.2</v>
      </c>
      <c r="AE141" s="18">
        <f>IF($A141="","",IF($R141="","",ROUND($R141*50,1)))</f>
        <v>9.9</v>
      </c>
      <c r="AF141" s="5">
        <f>IF($A141="","",IF($L141="","",ROUND($L141*100,0)))</f>
        <v>69</v>
      </c>
      <c r="AG141" s="18">
        <f>IF($A141="","",IF($M141="","",ROUND($M141*67,1)))</f>
        <v>15</v>
      </c>
      <c r="AH141" s="19">
        <f>IF($A141="","",IF($P141="","",IF($P141=0,0,$O141/$P141)))</f>
        <v>0.714285714285714</v>
      </c>
      <c r="AI141" s="5" t="str">
        <f>IF($A141="","",IF($P141="","",IF($P141&gt;=Lookups!$K$7,"High",IF($P141&lt;=Lookups!$K$8,"Low","Medium"))))</f>
        <v>Low</v>
      </c>
      <c r="AJ141" s="5" t="str">
        <f>IF($A141="","",IF($AD141="","",IF($AD141&lt;5,"Under 5 C",IF($AD141&lt;10,"5-10 C",IF($AD141&lt;15,"10-15 C","15 C and above")))))</f>
        <v>5-10 C</v>
      </c>
      <c r="AK141" s="5">
        <f>IF($A141="","",IF($P141="","",$P141^2))</f>
        <v>49</v>
      </c>
      <c r="AL141" s="18">
        <f>IF($V141&lt;&gt;1,"",AVERAGEIFS(Clean_Data!$P$2:$P$1001,Clean_Data!$F$2:$F$1001,$F141,Clean_Data!$W$2:$W$1001,$W141,Clean_Data!$V$2:$V$1001,1))</f>
        <v>5.10344827586207</v>
      </c>
      <c r="AM141" s="16">
        <f>IF($V141&lt;&gt;1,"",IFERROR(($P141-$AL141)/SQRT(MAX(0,(SUMIFS(Clean_Data!$AK$2:$AK$1001,Clean_Data!$F$2:$F$1001,$F141,Clean_Data!$W$2:$W$1001,$W141,Clean_Data!$V$2:$V$1001,1)-COUNTIFS(Clean_Data!$F$2:$F$1001,$F141,Clean_Data!$W$2:$W$1001,$W141,Clean_Data!$V$2:$V$1001,1)*$AL141^2)/(COUNTIFS(Clean_Data!$F$2:$F$1001,$F141,Clean_Data!$W$2:$W$1001,$W141,Clean_Data!$V$2:$V$1001,1)-1))),""))</f>
        <v>0.657892854181701</v>
      </c>
      <c r="AN141" s="5" t="str">
        <f>IF($AM141="","",IF($AM141&gt;=Lookups!$K$6,"High spike",IF($AM141&lt;=-Lookups!$K$6,"Unusual low","Normal")))</f>
        <v>Normal</v>
      </c>
      <c r="AO141" s="20">
        <f>IF($V141&lt;&gt;1,"",$P141+ROW()/100000)</f>
        <v>7.00141</v>
      </c>
      <c r="AP141" s="5">
        <f>IF($A141="","",IFERROR(MATCH($A141,Raw_D1!$A$2:$A$1001,0),""))</f>
        <v>140</v>
      </c>
      <c r="AQ141" s="5">
        <f>IF($A141="","",IFERROR(MATCH($A141,Raw_D2!$B$2:$B$1001,0),""))</f>
        <v>140</v>
      </c>
      <c r="AR141" s="5">
        <f>IF($A141="","",IFERROR(MATCH($A141,Raw_D3!$A$2:$A$1001,0),""))</f>
        <v/>
      </c>
    </row>
    <row r="142" spans="1:44" x14ac:dyDescent="0.25">
      <c r="A142" s="5">
        <v>141</v>
      </c>
      <c r="B142" s="11">
        <f>IF($A142="","",IF($AP142&lt;&gt;"",INDEX(Raw_D1!$B$2:$B$1001,$AP142),IF($AR142&lt;&gt;"",INDEX(Raw_D3!$B$2:$B$1001,$AR142),"")))</f>
        <v>40550.0</v>
      </c>
      <c r="C142" s="5">
        <f>IF($A142="","",IF($AP142&lt;&gt;"",INDEX(Raw_D1!$C$2:$C$1001,$AP142),IF($AR142&lt;&gt;"",INDEX(Raw_D3!$C$2:$C$1001,$AR142),"")))</f>
        <v>1</v>
      </c>
      <c r="D142" s="5">
        <f>IF($A142="","",IF($AP142&lt;&gt;"",INDEX(Raw_D1!$D$2:$D$1001,$AP142),IF($AR142&lt;&gt;"",INDEX(Raw_D3!$D$2:$D$1001,$AR142),"")))</f>
        <v>0</v>
      </c>
      <c r="E142" s="5">
        <f>IF($A142="","",IF($AP142&lt;&gt;"",INDEX(Raw_D1!$E$2:$E$1001,$AP142),IF($AR142&lt;&gt;"",INDEX(Raw_D3!$E$2:$E$1001,$AR142),"")))</f>
        <v>1</v>
      </c>
      <c r="F142" s="5">
        <f>IF($A142="","",IF($AP142&lt;&gt;"",INDEX(Raw_D1!$F$2:$F$1001,$AP142),IF($AR142&lt;&gt;"",INDEX(Raw_D3!$F$2:$F$1001,$AR142),"")))</f>
        <v>2</v>
      </c>
      <c r="G142" s="5">
        <f>IF($A142="","",IF($AP142&lt;&gt;"",IF(INDEX(Raw_D1!$G$2:$G$1001,$AP142),1,0),IF($AR142&lt;&gt;"",IF(INDEX(Raw_D3!$G$2:$G$1001,$AR142),1,0),"")))</f>
        <v>0</v>
      </c>
      <c r="H142" s="5">
        <f>IF($A142="","",IF($AP142&lt;&gt;"",INDEX(Raw_D1!$H$2:$H$1001,$AP142),IF($AR142&lt;&gt;"",INDEX(Raw_D3!$H$2:$H$1001,$AR142),"")))</f>
        <v>5</v>
      </c>
      <c r="I142" s="5">
        <f>IF($A142="","",IF($AP142&lt;&gt;"",INDEX(Raw_D1!$I$2:$I$1001,$AP142),IF($AR142&lt;&gt;"",INDEX(Raw_D3!$I$2:$I$1001,$AR142),"")))</f>
        <v>2</v>
      </c>
      <c r="J142" s="16">
        <f>IF($A142="","",IF($AP142&lt;&gt;"",INDEX(Raw_D1!$J$2:$J$1001,$AP142),IF($AR142&lt;&gt;"",INDEX(Raw_D3!$J$2:$J$1001,$AR142),"")))</f>
        <v>0.2</v>
      </c>
      <c r="K142" s="17">
        <f>IF($A142="","",IF($AQ142&lt;&gt;"",IF(INDEX(Raw_D2!$C$2:$C$1001,$AQ142)="","",INDEX(Raw_D2!$C$2:$C$1001,$AQ142)),IF($AR142&lt;&gt;"",IF(INDEX(Raw_D3!$K$2:$K$1001,$AR142)="","",INDEX(Raw_D3!$K$2:$K$1001,$AR142)),"")))</f>
        <v>0.197</v>
      </c>
      <c r="L142" s="16">
        <f>IF($A142="","",IF($AQ142&lt;&gt;"",IF(INDEX(Raw_D2!$D$2:$D$1001,$AQ142)="","",INDEX(Raw_D2!$D$2:$D$1001,$AQ142)),IF($AR142&lt;&gt;"",IF(INDEX(Raw_D3!$L$2:$L$1001,$AR142)="","",INDEX(Raw_D3!$L$2:$L$1001,$AR142)),"")))</f>
        <v>0.69</v>
      </c>
      <c r="M142" s="17">
        <f>IF($A142="","",IF($AQ142&lt;&gt;"",IF(INDEX(Raw_D2!$E$2:$E$1001,$AQ142)="","",INDEX(Raw_D2!$E$2:$E$1001,$AQ142)),IF($AR142&lt;&gt;"",IF(INDEX(Raw_D3!$M$2:$M$1001,$AR142)="","",INDEX(Raw_D3!$M$2:$M$1001,$AR142)),"")))</f>
        <v>0.2239</v>
      </c>
      <c r="N142" s="5">
        <f>IF($A142="","",IF($AQ142&lt;&gt;"",IF(INDEX(Raw_D2!$F$2:$F$1001,$AQ142)="","",INDEX(Raw_D2!$F$2:$F$1001,$AQ142)),IF($AR142&lt;&gt;"",IF(INDEX(Raw_D3!$N$2:$N$1001,$AR142)="","",INDEX(Raw_D3!$N$2:$N$1001,$AR142)),"")))</f>
        <v>0</v>
      </c>
      <c r="O142" s="5">
        <f>IF($A142="","",IF($AQ142&lt;&gt;"",IF(INDEX(Raw_D2!$G$2:$G$1001,$AQ142)="","",INDEX(Raw_D2!$G$2:$G$1001,$AQ142)),IF($AR142&lt;&gt;"",IF(INDEX(Raw_D3!$O$2:$O$1001,$AR142)="","",INDEX(Raw_D3!$O$2:$O$1001,$AR142)),"")))</f>
        <v>1</v>
      </c>
      <c r="P142" s="5">
        <f>IF($A142="","",IF($AQ142&lt;&gt;"",IF(INDEX(Raw_D2!$H$2:$H$1001,$AQ142)="","",INDEX(Raw_D2!$H$2:$H$1001,$AQ142)),IF($AR142&lt;&gt;"",IF(INDEX(Raw_D3!$P$2:$P$1001,$AR142)="","",INDEX(Raw_D3!$P$2:$P$1001,$AR142)),"")))</f>
        <v>1</v>
      </c>
      <c r="Q142" s="5" t="str">
        <f>IF($A142="","",IF(AND($AP142&lt;&gt;"",$AQ142&lt;&gt;""),"D1+D2",IF($AR142&lt;&gt;"","D3","Incomplete")))</f>
        <v>D1+D2</v>
      </c>
      <c r="R142" s="17">
        <f>IF($A142="","",IF($K142="",IF($J142="","",ROUND(Lookups!$K$5+Lookups!$K$4*$J142,4)),$K142))</f>
        <v>0.197</v>
      </c>
      <c r="S142" s="5" t="str">
        <f>IF($A142="","",IF($K142="","Imputed","Original"))</f>
        <v>Original</v>
      </c>
      <c r="T142" s="5" t="str">
        <f>IF($A142="","",IF($P142="","Missing",IF($P142=$N142+$O142,"OK","Mismatch")))</f>
        <v>OK</v>
      </c>
      <c r="U142" s="5" t="str">
        <f>IF($A142="","",IF(COUNTIF($A$2:$A142,$A142)&gt;1,"Duplicate","Unique"))</f>
        <v>Unique</v>
      </c>
      <c r="V142" s="5">
        <f>IF($A142="","",IF(AND($U142="Unique",ISNUMBER($P142)),1,0))</f>
        <v>1</v>
      </c>
      <c r="W142" s="5" t="str">
        <f>IF($A142="","",IF(OR($H142=0,$H142=6),"Weekend","Weekday"))</f>
        <v>Weekday</v>
      </c>
      <c r="X142" s="5" t="str">
        <f>IF($A142="","",TEXT($B142,"ddd"))</f>
        <v>Fri</v>
      </c>
      <c r="Y142" s="5" t="str">
        <f>IF($A142="","",TEXT($B142,"mmm"))</f>
        <v>Jan</v>
      </c>
      <c r="Z142" s="5" t="str">
        <f>IF($A142="","",IFERROR(VLOOKUP($C142,Lookups!$D$4:$E$7,2,FALSE),"Unknown"))</f>
        <v>Winter</v>
      </c>
      <c r="AA142" s="5" t="str">
        <f>IF($A142="","",IFERROR(VLOOKUP($I142,Lookups!$A$4:$B$7,2,FALSE),"Unknown"))</f>
        <v>Mist/Cloudy</v>
      </c>
      <c r="AB142" s="5" t="str">
        <f>IF($A142="","",TEXT($F142,"00")&amp;":00")</f>
        <v>02:00</v>
      </c>
      <c r="AC142" s="5" t="str">
        <f>IF($A142="","",VLOOKUP($F142,Lookups!$G$4:$H$8,2,TRUE))</f>
        <v>Night (00-05)</v>
      </c>
      <c r="AD142" s="18">
        <f>IF($A142="","",IF($J142="","",ROUND($J142*41,1)))</f>
        <v>8.2</v>
      </c>
      <c r="AE142" s="18">
        <f>IF($A142="","",IF($R142="","",ROUND($R142*50,1)))</f>
        <v>9.9</v>
      </c>
      <c r="AF142" s="5">
        <f>IF($A142="","",IF($L142="","",ROUND($L142*100,0)))</f>
        <v>69</v>
      </c>
      <c r="AG142" s="18">
        <f>IF($A142="","",IF($M142="","",ROUND($M142*67,1)))</f>
        <v>15</v>
      </c>
      <c r="AH142" s="19">
        <f>IF($A142="","",IF($P142="","",IF($P142=0,0,$O142/$P142)))</f>
        <v>1</v>
      </c>
      <c r="AI142" s="5" t="str">
        <f>IF($A142="","",IF($P142="","",IF($P142&gt;=Lookups!$K$7,"High",IF($P142&lt;=Lookups!$K$8,"Low","Medium"))))</f>
        <v>Low</v>
      </c>
      <c r="AJ142" s="5" t="str">
        <f>IF($A142="","",IF($AD142="","",IF($AD142&lt;5,"Under 5 C",IF($AD142&lt;10,"5-10 C",IF($AD142&lt;15,"10-15 C","15 C and above")))))</f>
        <v>5-10 C</v>
      </c>
      <c r="AK142" s="5">
        <f>IF($A142="","",IF($P142="","",$P142^2))</f>
        <v>1</v>
      </c>
      <c r="AL142" s="18">
        <f>IF($V142&lt;&gt;1,"",AVERAGEIFS(Clean_Data!$P$2:$P$1001,Clean_Data!$F$2:$F$1001,$F142,Clean_Data!$W$2:$W$1001,$W142,Clean_Data!$V$2:$V$1001,1))</f>
        <v>2.62962962962963</v>
      </c>
      <c r="AM142" s="16">
        <f>IF($V142&lt;&gt;1,"",IFERROR(($P142-$AL142)/SQRT(MAX(0,(SUMIFS(Clean_Data!$AK$2:$AK$1001,Clean_Data!$F$2:$F$1001,$F142,Clean_Data!$W$2:$W$1001,$W142,Clean_Data!$V$2:$V$1001,1)-COUNTIFS(Clean_Data!$F$2:$F$1001,$F142,Clean_Data!$W$2:$W$1001,$W142,Clean_Data!$V$2:$V$1001,1)*$AL142^2)/(COUNTIFS(Clean_Data!$F$2:$F$1001,$F142,Clean_Data!$W$2:$W$1001,$W142,Clean_Data!$V$2:$V$1001,1)-1))),""))</f>
        <v>-0.80596562646555</v>
      </c>
      <c r="AN142" s="5" t="str">
        <f>IF($AM142="","",IF($AM142&gt;=Lookups!$K$6,"High spike",IF($AM142&lt;=-Lookups!$K$6,"Unusual low","Normal")))</f>
        <v>Normal</v>
      </c>
      <c r="AO142" s="20">
        <f>IF($V142&lt;&gt;1,"",$P142+ROW()/100000)</f>
        <v>1.00142</v>
      </c>
      <c r="AP142" s="5">
        <f>IF($A142="","",IFERROR(MATCH($A142,Raw_D1!$A$2:$A$1001,0),""))</f>
        <v>141</v>
      </c>
      <c r="AQ142" s="5">
        <f>IF($A142="","",IFERROR(MATCH($A142,Raw_D2!$B$2:$B$1001,0),""))</f>
        <v>141</v>
      </c>
      <c r="AR142" s="5">
        <f>IF($A142="","",IFERROR(MATCH($A142,Raw_D3!$A$2:$A$1001,0),""))</f>
        <v/>
      </c>
    </row>
    <row r="143" spans="1:44" x14ac:dyDescent="0.25">
      <c r="A143" s="5">
        <v>142</v>
      </c>
      <c r="B143" s="11">
        <f>IF($A143="","",IF($AP143&lt;&gt;"",INDEX(Raw_D1!$B$2:$B$1001,$AP143),IF($AR143&lt;&gt;"",INDEX(Raw_D3!$B$2:$B$1001,$AR143),"")))</f>
        <v>40550.0</v>
      </c>
      <c r="C143" s="5">
        <f>IF($A143="","",IF($AP143&lt;&gt;"",INDEX(Raw_D1!$C$2:$C$1001,$AP143),IF($AR143&lt;&gt;"",INDEX(Raw_D3!$C$2:$C$1001,$AR143),"")))</f>
        <v>1</v>
      </c>
      <c r="D143" s="5">
        <f>IF($A143="","",IF($AP143&lt;&gt;"",INDEX(Raw_D1!$D$2:$D$1001,$AP143),IF($AR143&lt;&gt;"",INDEX(Raw_D3!$D$2:$D$1001,$AR143),"")))</f>
        <v>0</v>
      </c>
      <c r="E143" s="5">
        <f>IF($A143="","",IF($AP143&lt;&gt;"",INDEX(Raw_D1!$E$2:$E$1001,$AP143),IF($AR143&lt;&gt;"",INDEX(Raw_D3!$E$2:$E$1001,$AR143),"")))</f>
        <v>1</v>
      </c>
      <c r="F143" s="5">
        <f>IF($A143="","",IF($AP143&lt;&gt;"",INDEX(Raw_D1!$F$2:$F$1001,$AP143),IF($AR143&lt;&gt;"",INDEX(Raw_D3!$F$2:$F$1001,$AR143),"")))</f>
        <v>4</v>
      </c>
      <c r="G143" s="5">
        <f>IF($A143="","",IF($AP143&lt;&gt;"",IF(INDEX(Raw_D1!$G$2:$G$1001,$AP143),1,0),IF($AR143&lt;&gt;"",IF(INDEX(Raw_D3!$G$2:$G$1001,$AR143),1,0),"")))</f>
        <v>0</v>
      </c>
      <c r="H143" s="5">
        <f>IF($A143="","",IF($AP143&lt;&gt;"",INDEX(Raw_D1!$H$2:$H$1001,$AP143),IF($AR143&lt;&gt;"",INDEX(Raw_D3!$H$2:$H$1001,$AR143),"")))</f>
        <v>5</v>
      </c>
      <c r="I143" s="5">
        <f>IF($A143="","",IF($AP143&lt;&gt;"",INDEX(Raw_D1!$I$2:$I$1001,$AP143),IF($AR143&lt;&gt;"",INDEX(Raw_D3!$I$2:$I$1001,$AR143),"")))</f>
        <v>2</v>
      </c>
      <c r="J143" s="16">
        <f>IF($A143="","",IF($AP143&lt;&gt;"",INDEX(Raw_D1!$J$2:$J$1001,$AP143),IF($AR143&lt;&gt;"",INDEX(Raw_D3!$J$2:$J$1001,$AR143),"")))</f>
        <v>0.2</v>
      </c>
      <c r="K143" s="17">
        <f>IF($A143="","",IF($AQ143&lt;&gt;"",IF(INDEX(Raw_D2!$C$2:$C$1001,$AQ143)="","",INDEX(Raw_D2!$C$2:$C$1001,$AQ143)),IF($AR143&lt;&gt;"",IF(INDEX(Raw_D3!$K$2:$K$1001,$AR143)="","",INDEX(Raw_D3!$K$2:$K$1001,$AR143)),"")))</f>
        <v>0.2121</v>
      </c>
      <c r="L143" s="16">
        <f>IF($A143="","",IF($AQ143&lt;&gt;"",IF(INDEX(Raw_D2!$D$2:$D$1001,$AQ143)="","",INDEX(Raw_D2!$D$2:$D$1001,$AQ143)),IF($AR143&lt;&gt;"",IF(INDEX(Raw_D3!$L$2:$L$1001,$AR143)="","",INDEX(Raw_D3!$L$2:$L$1001,$AR143)),"")))</f>
        <v>0.69</v>
      </c>
      <c r="M143" s="17">
        <f>IF($A143="","",IF($AQ143&lt;&gt;"",IF(INDEX(Raw_D2!$E$2:$E$1001,$AQ143)="","",INDEX(Raw_D2!$E$2:$E$1001,$AQ143)),IF($AR143&lt;&gt;"",IF(INDEX(Raw_D3!$M$2:$M$1001,$AR143)="","",INDEX(Raw_D3!$M$2:$M$1001,$AR143)),"")))</f>
        <v>0.1343</v>
      </c>
      <c r="N143" s="5">
        <f>IF($A143="","",IF($AQ143&lt;&gt;"",IF(INDEX(Raw_D2!$F$2:$F$1001,$AQ143)="","",INDEX(Raw_D2!$F$2:$F$1001,$AQ143)),IF($AR143&lt;&gt;"",IF(INDEX(Raw_D3!$N$2:$N$1001,$AR143)="","",INDEX(Raw_D3!$N$2:$N$1001,$AR143)),"")))</f>
        <v>0</v>
      </c>
      <c r="O143" s="5">
        <f>IF($A143="","",IF($AQ143&lt;&gt;"",IF(INDEX(Raw_D2!$G$2:$G$1001,$AQ143)="","",INDEX(Raw_D2!$G$2:$G$1001,$AQ143)),IF($AR143&lt;&gt;"",IF(INDEX(Raw_D3!$O$2:$O$1001,$AR143)="","",INDEX(Raw_D3!$O$2:$O$1001,$AR143)),"")))</f>
        <v>1</v>
      </c>
      <c r="P143" s="5">
        <f>IF($A143="","",IF($AQ143&lt;&gt;"",IF(INDEX(Raw_D2!$H$2:$H$1001,$AQ143)="","",INDEX(Raw_D2!$H$2:$H$1001,$AQ143)),IF($AR143&lt;&gt;"",IF(INDEX(Raw_D3!$P$2:$P$1001,$AR143)="","",INDEX(Raw_D3!$P$2:$P$1001,$AR143)),"")))</f>
        <v>1</v>
      </c>
      <c r="Q143" s="5" t="str">
        <f>IF($A143="","",IF(AND($AP143&lt;&gt;"",$AQ143&lt;&gt;""),"D1+D2",IF($AR143&lt;&gt;"","D3","Incomplete")))</f>
        <v>D1+D2</v>
      </c>
      <c r="R143" s="17">
        <f>IF($A143="","",IF($K143="",IF($J143="","",ROUND(Lookups!$K$5+Lookups!$K$4*$J143,4)),$K143))</f>
        <v>0.2121</v>
      </c>
      <c r="S143" s="5" t="str">
        <f>IF($A143="","",IF($K143="","Imputed","Original"))</f>
        <v>Original</v>
      </c>
      <c r="T143" s="5" t="str">
        <f>IF($A143="","",IF($P143="","Missing",IF($P143=$N143+$O143,"OK","Mismatch")))</f>
        <v>OK</v>
      </c>
      <c r="U143" s="5" t="str">
        <f>IF($A143="","",IF(COUNTIF($A$2:$A143,$A143)&gt;1,"Duplicate","Unique"))</f>
        <v>Unique</v>
      </c>
      <c r="V143" s="5">
        <f>IF($A143="","",IF(AND($U143="Unique",ISNUMBER($P143)),1,0))</f>
        <v>1</v>
      </c>
      <c r="W143" s="5" t="str">
        <f>IF($A143="","",IF(OR($H143=0,$H143=6),"Weekend","Weekday"))</f>
        <v>Weekday</v>
      </c>
      <c r="X143" s="5" t="str">
        <f>IF($A143="","",TEXT($B143,"ddd"))</f>
        <v>Fri</v>
      </c>
      <c r="Y143" s="5" t="str">
        <f>IF($A143="","",TEXT($B143,"mmm"))</f>
        <v>Jan</v>
      </c>
      <c r="Z143" s="5" t="str">
        <f>IF($A143="","",IFERROR(VLOOKUP($C143,Lookups!$D$4:$E$7,2,FALSE),"Unknown"))</f>
        <v>Winter</v>
      </c>
      <c r="AA143" s="5" t="str">
        <f>IF($A143="","",IFERROR(VLOOKUP($I143,Lookups!$A$4:$B$7,2,FALSE),"Unknown"))</f>
        <v>Mist/Cloudy</v>
      </c>
      <c r="AB143" s="5" t="str">
        <f>IF($A143="","",TEXT($F143,"00")&amp;":00")</f>
        <v>04:00</v>
      </c>
      <c r="AC143" s="5" t="str">
        <f>IF($A143="","",VLOOKUP($F143,Lookups!$G$4:$H$8,2,TRUE))</f>
        <v>Night (00-05)</v>
      </c>
      <c r="AD143" s="18">
        <f>IF($A143="","",IF($J143="","",ROUND($J143*41,1)))</f>
        <v>8.2</v>
      </c>
      <c r="AE143" s="18">
        <f>IF($A143="","",IF($R143="","",ROUND($R143*50,1)))</f>
        <v>10.6</v>
      </c>
      <c r="AF143" s="5">
        <f>IF($A143="","",IF($L143="","",ROUND($L143*100,0)))</f>
        <v>69</v>
      </c>
      <c r="AG143" s="18">
        <f>IF($A143="","",IF($M143="","",ROUND($M143*67,1)))</f>
        <v>9</v>
      </c>
      <c r="AH143" s="19">
        <f>IF($A143="","",IF($P143="","",IF($P143=0,0,$O143/$P143)))</f>
        <v>1</v>
      </c>
      <c r="AI143" s="5" t="str">
        <f>IF($A143="","",IF($P143="","",IF($P143&gt;=Lookups!$K$7,"High",IF($P143&lt;=Lookups!$K$8,"Low","Medium"))))</f>
        <v>Low</v>
      </c>
      <c r="AJ143" s="5" t="str">
        <f>IF($A143="","",IF($AD143="","",IF($AD143&lt;5,"Under 5 C",IF($AD143&lt;10,"5-10 C",IF($AD143&lt;15,"10-15 C","15 C and above")))))</f>
        <v>5-10 C</v>
      </c>
      <c r="AK143" s="5">
        <f>IF($A143="","",IF($P143="","",$P143^2))</f>
        <v>1</v>
      </c>
      <c r="AL143" s="18">
        <f>IF($V143&lt;&gt;1,"",AVERAGEIFS(Clean_Data!$P$2:$P$1001,Clean_Data!$F$2:$F$1001,$F143,Clean_Data!$W$2:$W$1001,$W143,Clean_Data!$V$2:$V$1001,1))</f>
        <v>1.78947368421053</v>
      </c>
      <c r="AM143" s="16">
        <f>IF($V143&lt;&gt;1,"",IFERROR(($P143-$AL143)/SQRT(MAX(0,(SUMIFS(Clean_Data!$AK$2:$AK$1001,Clean_Data!$F$2:$F$1001,$F143,Clean_Data!$W$2:$W$1001,$W143,Clean_Data!$V$2:$V$1001,1)-COUNTIFS(Clean_Data!$F$2:$F$1001,$F143,Clean_Data!$W$2:$W$1001,$W143,Clean_Data!$V$2:$V$1001,1)*$AL143^2)/(COUNTIFS(Clean_Data!$F$2:$F$1001,$F143,Clean_Data!$W$2:$W$1001,$W143,Clean_Data!$V$2:$V$1001,1)-1))),""))</f>
        <v>-0.860309002014607</v>
      </c>
      <c r="AN143" s="5" t="str">
        <f>IF($AM143="","",IF($AM143&gt;=Lookups!$K$6,"High spike",IF($AM143&lt;=-Lookups!$K$6,"Unusual low","Normal")))</f>
        <v>Normal</v>
      </c>
      <c r="AO143" s="20">
        <f>IF($V143&lt;&gt;1,"",$P143+ROW()/100000)</f>
        <v>1.00143</v>
      </c>
      <c r="AP143" s="5">
        <f>IF($A143="","",IFERROR(MATCH($A143,Raw_D1!$A$2:$A$1001,0),""))</f>
        <v>142</v>
      </c>
      <c r="AQ143" s="5">
        <f>IF($A143="","",IFERROR(MATCH($A143,Raw_D2!$B$2:$B$1001,0),""))</f>
        <v>142</v>
      </c>
      <c r="AR143" s="5">
        <f>IF($A143="","",IFERROR(MATCH($A143,Raw_D3!$A$2:$A$1001,0),""))</f>
        <v/>
      </c>
    </row>
    <row r="144" spans="1:44" x14ac:dyDescent="0.25">
      <c r="A144" s="5">
        <v>143</v>
      </c>
      <c r="B144" s="11">
        <f>IF($A144="","",IF($AP144&lt;&gt;"",INDEX(Raw_D1!$B$2:$B$1001,$AP144),IF($AR144&lt;&gt;"",INDEX(Raw_D3!$B$2:$B$1001,$AR144),"")))</f>
        <v>40550.0</v>
      </c>
      <c r="C144" s="5">
        <f>IF($A144="","",IF($AP144&lt;&gt;"",INDEX(Raw_D1!$C$2:$C$1001,$AP144),IF($AR144&lt;&gt;"",INDEX(Raw_D3!$C$2:$C$1001,$AR144),"")))</f>
        <v>1</v>
      </c>
      <c r="D144" s="5">
        <f>IF($A144="","",IF($AP144&lt;&gt;"",INDEX(Raw_D1!$D$2:$D$1001,$AP144),IF($AR144&lt;&gt;"",INDEX(Raw_D3!$D$2:$D$1001,$AR144),"")))</f>
        <v>0</v>
      </c>
      <c r="E144" s="5">
        <f>IF($A144="","",IF($AP144&lt;&gt;"",INDEX(Raw_D1!$E$2:$E$1001,$AP144),IF($AR144&lt;&gt;"",INDEX(Raw_D3!$E$2:$E$1001,$AR144),"")))</f>
        <v>1</v>
      </c>
      <c r="F144" s="5">
        <f>IF($A144="","",IF($AP144&lt;&gt;"",INDEX(Raw_D1!$F$2:$F$1001,$AP144),IF($AR144&lt;&gt;"",INDEX(Raw_D3!$F$2:$F$1001,$AR144),"")))</f>
        <v>5</v>
      </c>
      <c r="G144" s="5">
        <f>IF($A144="","",IF($AP144&lt;&gt;"",IF(INDEX(Raw_D1!$G$2:$G$1001,$AP144),1,0),IF($AR144&lt;&gt;"",IF(INDEX(Raw_D3!$G$2:$G$1001,$AR144),1,0),"")))</f>
        <v>0</v>
      </c>
      <c r="H144" s="5">
        <f>IF($A144="","",IF($AP144&lt;&gt;"",INDEX(Raw_D1!$H$2:$H$1001,$AP144),IF($AR144&lt;&gt;"",INDEX(Raw_D3!$H$2:$H$1001,$AR144),"")))</f>
        <v>5</v>
      </c>
      <c r="I144" s="5">
        <f>IF($A144="","",IF($AP144&lt;&gt;"",INDEX(Raw_D1!$I$2:$I$1001,$AP144),IF($AR144&lt;&gt;"",INDEX(Raw_D3!$I$2:$I$1001,$AR144),"")))</f>
        <v>3</v>
      </c>
      <c r="J144" s="16">
        <f>IF($A144="","",IF($AP144&lt;&gt;"",INDEX(Raw_D1!$J$2:$J$1001,$AP144),IF($AR144&lt;&gt;"",INDEX(Raw_D3!$J$2:$J$1001,$AR144),"")))</f>
        <v>0.22</v>
      </c>
      <c r="K144" s="17">
        <f>IF($A144="","",IF($AQ144&lt;&gt;"",IF(INDEX(Raw_D2!$C$2:$C$1001,$AQ144)="","",INDEX(Raw_D2!$C$2:$C$1001,$AQ144)),IF($AR144&lt;&gt;"",IF(INDEX(Raw_D3!$K$2:$K$1001,$AR144)="","",INDEX(Raw_D3!$K$2:$K$1001,$AR144)),"")))</f>
        <v>0.2727</v>
      </c>
      <c r="L144" s="16">
        <f>IF($A144="","",IF($AQ144&lt;&gt;"",IF(INDEX(Raw_D2!$D$2:$D$1001,$AQ144)="","",INDEX(Raw_D2!$D$2:$D$1001,$AQ144)),IF($AR144&lt;&gt;"",IF(INDEX(Raw_D3!$L$2:$L$1001,$AR144)="","",INDEX(Raw_D3!$L$2:$L$1001,$AR144)),"")))</f>
        <v>0.55</v>
      </c>
      <c r="M144" s="17">
        <f>IF($A144="","",IF($AQ144&lt;&gt;"",IF(INDEX(Raw_D2!$E$2:$E$1001,$AQ144)="","",INDEX(Raw_D2!$E$2:$E$1001,$AQ144)),IF($AR144&lt;&gt;"",IF(INDEX(Raw_D3!$M$2:$M$1001,$AR144)="","",INDEX(Raw_D3!$M$2:$M$1001,$AR144)),"")))</f>
        <v>0</v>
      </c>
      <c r="N144" s="5">
        <f>IF($A144="","",IF($AQ144&lt;&gt;"",IF(INDEX(Raw_D2!$F$2:$F$1001,$AQ144)="","",INDEX(Raw_D2!$F$2:$F$1001,$AQ144)),IF($AR144&lt;&gt;"",IF(INDEX(Raw_D3!$N$2:$N$1001,$AR144)="","",INDEX(Raw_D3!$N$2:$N$1001,$AR144)),"")))</f>
        <v>0</v>
      </c>
      <c r="O144" s="5">
        <f>IF($A144="","",IF($AQ144&lt;&gt;"",IF(INDEX(Raw_D2!$G$2:$G$1001,$AQ144)="","",INDEX(Raw_D2!$G$2:$G$1001,$AQ144)),IF($AR144&lt;&gt;"",IF(INDEX(Raw_D3!$O$2:$O$1001,$AR144)="","",INDEX(Raw_D3!$O$2:$O$1001,$AR144)),"")))</f>
        <v>5</v>
      </c>
      <c r="P144" s="5">
        <f>IF($A144="","",IF($AQ144&lt;&gt;"",IF(INDEX(Raw_D2!$H$2:$H$1001,$AQ144)="","",INDEX(Raw_D2!$H$2:$H$1001,$AQ144)),IF($AR144&lt;&gt;"",IF(INDEX(Raw_D3!$P$2:$P$1001,$AR144)="","",INDEX(Raw_D3!$P$2:$P$1001,$AR144)),"")))</f>
        <v>5</v>
      </c>
      <c r="Q144" s="5" t="str">
        <f>IF($A144="","",IF(AND($AP144&lt;&gt;"",$AQ144&lt;&gt;""),"D1+D2",IF($AR144&lt;&gt;"","D3","Incomplete")))</f>
        <v>D1+D2</v>
      </c>
      <c r="R144" s="17">
        <f>IF($A144="","",IF($K144="",IF($J144="","",ROUND(Lookups!$K$5+Lookups!$K$4*$J144,4)),$K144))</f>
        <v>0.2727</v>
      </c>
      <c r="S144" s="5" t="str">
        <f>IF($A144="","",IF($K144="","Imputed","Original"))</f>
        <v>Original</v>
      </c>
      <c r="T144" s="5" t="str">
        <f>IF($A144="","",IF($P144="","Missing",IF($P144=$N144+$O144,"OK","Mismatch")))</f>
        <v>OK</v>
      </c>
      <c r="U144" s="5" t="str">
        <f>IF($A144="","",IF(COUNTIF($A$2:$A144,$A144)&gt;1,"Duplicate","Unique"))</f>
        <v>Unique</v>
      </c>
      <c r="V144" s="5">
        <f>IF($A144="","",IF(AND($U144="Unique",ISNUMBER($P144)),1,0))</f>
        <v>1</v>
      </c>
      <c r="W144" s="5" t="str">
        <f>IF($A144="","",IF(OR($H144=0,$H144=6),"Weekend","Weekday"))</f>
        <v>Weekday</v>
      </c>
      <c r="X144" s="5" t="str">
        <f>IF($A144="","",TEXT($B144,"ddd"))</f>
        <v>Fri</v>
      </c>
      <c r="Y144" s="5" t="str">
        <f>IF($A144="","",TEXT($B144,"mmm"))</f>
        <v>Jan</v>
      </c>
      <c r="Z144" s="5" t="str">
        <f>IF($A144="","",IFERROR(VLOOKUP($C144,Lookups!$D$4:$E$7,2,FALSE),"Unknown"))</f>
        <v>Winter</v>
      </c>
      <c r="AA144" s="5" t="str">
        <f>IF($A144="","",IFERROR(VLOOKUP($I144,Lookups!$A$4:$B$7,2,FALSE),"Unknown"))</f>
        <v>Light Rain/Snow</v>
      </c>
      <c r="AB144" s="5" t="str">
        <f>IF($A144="","",TEXT($F144,"00")&amp;":00")</f>
        <v>05:00</v>
      </c>
      <c r="AC144" s="5" t="str">
        <f>IF($A144="","",VLOOKUP($F144,Lookups!$G$4:$H$8,2,TRUE))</f>
        <v>Night (00-05)</v>
      </c>
      <c r="AD144" s="18">
        <f>IF($A144="","",IF($J144="","",ROUND($J144*41,1)))</f>
        <v>9</v>
      </c>
      <c r="AE144" s="18">
        <f>IF($A144="","",IF($R144="","",ROUND($R144*50,1)))</f>
        <v>13.6</v>
      </c>
      <c r="AF144" s="5">
        <f>IF($A144="","",IF($L144="","",ROUND($L144*100,0)))</f>
        <v>55</v>
      </c>
      <c r="AG144" s="18">
        <f>IF($A144="","",IF($M144="","",ROUND($M144*67,1)))</f>
        <v>0</v>
      </c>
      <c r="AH144" s="19">
        <f>IF($A144="","",IF($P144="","",IF($P144=0,0,$O144/$P144)))</f>
        <v>1</v>
      </c>
      <c r="AI144" s="5" t="str">
        <f>IF($A144="","",IF($P144="","",IF($P144&gt;=Lookups!$K$7,"High",IF($P144&lt;=Lookups!$K$8,"Low","Medium"))))</f>
        <v>Low</v>
      </c>
      <c r="AJ144" s="5" t="str">
        <f>IF($A144="","",IF($AD144="","",IF($AD144&lt;5,"Under 5 C",IF($AD144&lt;10,"5-10 C",IF($AD144&lt;15,"10-15 C","15 C and above")))))</f>
        <v>5-10 C</v>
      </c>
      <c r="AK144" s="5">
        <f>IF($A144="","",IF($P144="","",$P144^2))</f>
        <v>25</v>
      </c>
      <c r="AL144" s="18">
        <f>IF($V144&lt;&gt;1,"",AVERAGEIFS(Clean_Data!$P$2:$P$1001,Clean_Data!$F$2:$F$1001,$F144,Clean_Data!$W$2:$W$1001,$W144,Clean_Data!$V$2:$V$1001,1))</f>
        <v>4.72413793103448</v>
      </c>
      <c r="AM144" s="16">
        <f>IF($V144&lt;&gt;1,"",IFERROR(($P144-$AL144)/SQRT(MAX(0,(SUMIFS(Clean_Data!$AK$2:$AK$1001,Clean_Data!$F$2:$F$1001,$F144,Clean_Data!$W$2:$W$1001,$W144,Clean_Data!$V$2:$V$1001,1)-COUNTIFS(Clean_Data!$F$2:$F$1001,$F144,Clean_Data!$W$2:$W$1001,$W144,Clean_Data!$V$2:$V$1001,1)*$AL144^2)/(COUNTIFS(Clean_Data!$F$2:$F$1001,$F144,Clean_Data!$W$2:$W$1001,$W144,Clean_Data!$V$2:$V$1001,1)-1))),""))</f>
        <v>0.117707076805546</v>
      </c>
      <c r="AN144" s="5" t="str">
        <f>IF($AM144="","",IF($AM144&gt;=Lookups!$K$6,"High spike",IF($AM144&lt;=-Lookups!$K$6,"Unusual low","Normal")))</f>
        <v>Normal</v>
      </c>
      <c r="AO144" s="20">
        <f>IF($V144&lt;&gt;1,"",$P144+ROW()/100000)</f>
        <v>5.00144</v>
      </c>
      <c r="AP144" s="5">
        <f>IF($A144="","",IFERROR(MATCH($A144,Raw_D1!$A$2:$A$1001,0),""))</f>
        <v>143</v>
      </c>
      <c r="AQ144" s="5">
        <f>IF($A144="","",IFERROR(MATCH($A144,Raw_D2!$B$2:$B$1001,0),""))</f>
        <v>143</v>
      </c>
      <c r="AR144" s="5">
        <f>IF($A144="","",IFERROR(MATCH($A144,Raw_D3!$A$2:$A$1001,0),""))</f>
        <v/>
      </c>
    </row>
    <row r="145" spans="1:44" x14ac:dyDescent="0.25">
      <c r="A145" s="5">
        <v>144</v>
      </c>
      <c r="B145" s="11">
        <f>IF($A145="","",IF($AP145&lt;&gt;"",INDEX(Raw_D1!$B$2:$B$1001,$AP145),IF($AR145&lt;&gt;"",INDEX(Raw_D3!$B$2:$B$1001,$AR145),"")))</f>
        <v>40550.0</v>
      </c>
      <c r="C145" s="5">
        <f>IF($A145="","",IF($AP145&lt;&gt;"",INDEX(Raw_D1!$C$2:$C$1001,$AP145),IF($AR145&lt;&gt;"",INDEX(Raw_D3!$C$2:$C$1001,$AR145),"")))</f>
        <v>1</v>
      </c>
      <c r="D145" s="5">
        <f>IF($A145="","",IF($AP145&lt;&gt;"",INDEX(Raw_D1!$D$2:$D$1001,$AP145),IF($AR145&lt;&gt;"",INDEX(Raw_D3!$D$2:$D$1001,$AR145),"")))</f>
        <v>0</v>
      </c>
      <c r="E145" s="5">
        <f>IF($A145="","",IF($AP145&lt;&gt;"",INDEX(Raw_D1!$E$2:$E$1001,$AP145),IF($AR145&lt;&gt;"",INDEX(Raw_D3!$E$2:$E$1001,$AR145),"")))</f>
        <v>1</v>
      </c>
      <c r="F145" s="5">
        <f>IF($A145="","",IF($AP145&lt;&gt;"",INDEX(Raw_D1!$F$2:$F$1001,$AP145),IF($AR145&lt;&gt;"",INDEX(Raw_D3!$F$2:$F$1001,$AR145),"")))</f>
        <v>6</v>
      </c>
      <c r="G145" s="5">
        <f>IF($A145="","",IF($AP145&lt;&gt;"",IF(INDEX(Raw_D1!$G$2:$G$1001,$AP145),1,0),IF($AR145&lt;&gt;"",IF(INDEX(Raw_D3!$G$2:$G$1001,$AR145),1,0),"")))</f>
        <v>0</v>
      </c>
      <c r="H145" s="5">
        <f>IF($A145="","",IF($AP145&lt;&gt;"",INDEX(Raw_D1!$H$2:$H$1001,$AP145),IF($AR145&lt;&gt;"",INDEX(Raw_D3!$H$2:$H$1001,$AR145),"")))</f>
        <v>5</v>
      </c>
      <c r="I145" s="5">
        <f>IF($A145="","",IF($AP145&lt;&gt;"",INDEX(Raw_D1!$I$2:$I$1001,$AP145),IF($AR145&lt;&gt;"",INDEX(Raw_D3!$I$2:$I$1001,$AR145),"")))</f>
        <v>2</v>
      </c>
      <c r="J145" s="16">
        <f>IF($A145="","",IF($AP145&lt;&gt;"",INDEX(Raw_D1!$J$2:$J$1001,$AP145),IF($AR145&lt;&gt;"",INDEX(Raw_D3!$J$2:$J$1001,$AR145),"")))</f>
        <v>0.2</v>
      </c>
      <c r="K145" s="17">
        <f>IF($A145="","",IF($AQ145&lt;&gt;"",IF(INDEX(Raw_D2!$C$2:$C$1001,$AQ145)="","",INDEX(Raw_D2!$C$2:$C$1001,$AQ145)),IF($AR145&lt;&gt;"",IF(INDEX(Raw_D3!$K$2:$K$1001,$AR145)="","",INDEX(Raw_D3!$K$2:$K$1001,$AR145)),"")))</f>
        <v>0.2576</v>
      </c>
      <c r="L145" s="16">
        <f>IF($A145="","",IF($AQ145&lt;&gt;"",IF(INDEX(Raw_D2!$D$2:$D$1001,$AQ145)="","",INDEX(Raw_D2!$D$2:$D$1001,$AQ145)),IF($AR145&lt;&gt;"",IF(INDEX(Raw_D3!$L$2:$L$1001,$AR145)="","",INDEX(Raw_D3!$L$2:$L$1001,$AR145)),"")))</f>
        <v>0.69</v>
      </c>
      <c r="M145" s="17">
        <f>IF($A145="","",IF($AQ145&lt;&gt;"",IF(INDEX(Raw_D2!$E$2:$E$1001,$AQ145)="","",INDEX(Raw_D2!$E$2:$E$1001,$AQ145)),IF($AR145&lt;&gt;"",IF(INDEX(Raw_D3!$M$2:$M$1001,$AR145)="","",INDEX(Raw_D3!$M$2:$M$1001,$AR145)),"")))</f>
        <v>0</v>
      </c>
      <c r="N145" s="5">
        <f>IF($A145="","",IF($AQ145&lt;&gt;"",IF(INDEX(Raw_D2!$F$2:$F$1001,$AQ145)="","",INDEX(Raw_D2!$F$2:$F$1001,$AQ145)),IF($AR145&lt;&gt;"",IF(INDEX(Raw_D3!$N$2:$N$1001,$AR145)="","",INDEX(Raw_D3!$N$2:$N$1001,$AR145)),"")))</f>
        <v>8</v>
      </c>
      <c r="O145" s="5">
        <f>IF($A145="","",IF($AQ145&lt;&gt;"",IF(INDEX(Raw_D2!$G$2:$G$1001,$AQ145)="","",INDEX(Raw_D2!$G$2:$G$1001,$AQ145)),IF($AR145&lt;&gt;"",IF(INDEX(Raw_D3!$O$2:$O$1001,$AR145)="","",INDEX(Raw_D3!$O$2:$O$1001,$AR145)),"")))</f>
        <v>26</v>
      </c>
      <c r="P145" s="5">
        <f>IF($A145="","",IF($AQ145&lt;&gt;"",IF(INDEX(Raw_D2!$H$2:$H$1001,$AQ145)="","",INDEX(Raw_D2!$H$2:$H$1001,$AQ145)),IF($AR145&lt;&gt;"",IF(INDEX(Raw_D3!$P$2:$P$1001,$AR145)="","",INDEX(Raw_D3!$P$2:$P$1001,$AR145)),"")))</f>
        <v>34</v>
      </c>
      <c r="Q145" s="5" t="str">
        <f>IF($A145="","",IF(AND($AP145&lt;&gt;"",$AQ145&lt;&gt;""),"D1+D2",IF($AR145&lt;&gt;"","D3","Incomplete")))</f>
        <v>D1+D2</v>
      </c>
      <c r="R145" s="17">
        <f>IF($A145="","",IF($K145="",IF($J145="","",ROUND(Lookups!$K$5+Lookups!$K$4*$J145,4)),$K145))</f>
        <v>0.2576</v>
      </c>
      <c r="S145" s="5" t="str">
        <f>IF($A145="","",IF($K145="","Imputed","Original"))</f>
        <v>Original</v>
      </c>
      <c r="T145" s="5" t="str">
        <f>IF($A145="","",IF($P145="","Missing",IF($P145=$N145+$O145,"OK","Mismatch")))</f>
        <v>OK</v>
      </c>
      <c r="U145" s="5" t="str">
        <f>IF($A145="","",IF(COUNTIF($A$2:$A145,$A145)&gt;1,"Duplicate","Unique"))</f>
        <v>Unique</v>
      </c>
      <c r="V145" s="5">
        <f>IF($A145="","",IF(AND($U145="Unique",ISNUMBER($P145)),1,0))</f>
        <v>1</v>
      </c>
      <c r="W145" s="5" t="str">
        <f>IF($A145="","",IF(OR($H145=0,$H145=6),"Weekend","Weekday"))</f>
        <v>Weekday</v>
      </c>
      <c r="X145" s="5" t="str">
        <f>IF($A145="","",TEXT($B145,"ddd"))</f>
        <v>Fri</v>
      </c>
      <c r="Y145" s="5" t="str">
        <f>IF($A145="","",TEXT($B145,"mmm"))</f>
        <v>Jan</v>
      </c>
      <c r="Z145" s="5" t="str">
        <f>IF($A145="","",IFERROR(VLOOKUP($C145,Lookups!$D$4:$E$7,2,FALSE),"Unknown"))</f>
        <v>Winter</v>
      </c>
      <c r="AA145" s="5" t="str">
        <f>IF($A145="","",IFERROR(VLOOKUP($I145,Lookups!$A$4:$B$7,2,FALSE),"Unknown"))</f>
        <v>Mist/Cloudy</v>
      </c>
      <c r="AB145" s="5" t="str">
        <f>IF($A145="","",TEXT($F145,"00")&amp;":00")</f>
        <v>06:00</v>
      </c>
      <c r="AC145" s="5" t="str">
        <f>IF($A145="","",VLOOKUP($F145,Lookups!$G$4:$H$8,2,TRUE))</f>
        <v>Morning Peak (06-09)</v>
      </c>
      <c r="AD145" s="18">
        <f>IF($A145="","",IF($J145="","",ROUND($J145*41,1)))</f>
        <v>8.2</v>
      </c>
      <c r="AE145" s="18">
        <f>IF($A145="","",IF($R145="","",ROUND($R145*50,1)))</f>
        <v>12.9</v>
      </c>
      <c r="AF145" s="5">
        <f>IF($A145="","",IF($L145="","",ROUND($L145*100,0)))</f>
        <v>69</v>
      </c>
      <c r="AG145" s="18">
        <f>IF($A145="","",IF($M145="","",ROUND($M145*67,1)))</f>
        <v>0</v>
      </c>
      <c r="AH145" s="19">
        <f>IF($A145="","",IF($P145="","",IF($P145=0,0,$O145/$P145)))</f>
        <v>0.764705882352941</v>
      </c>
      <c r="AI145" s="5" t="str">
        <f>IF($A145="","",IF($P145="","",IF($P145&gt;=Lookups!$K$7,"High",IF($P145&lt;=Lookups!$K$8,"Low","Medium"))))</f>
        <v>Medium</v>
      </c>
      <c r="AJ145" s="5" t="str">
        <f>IF($A145="","",IF($AD145="","",IF($AD145&lt;5,"Under 5 C",IF($AD145&lt;10,"5-10 C",IF($AD145&lt;15,"10-15 C","15 C and above")))))</f>
        <v>5-10 C</v>
      </c>
      <c r="AK145" s="5">
        <f>IF($A145="","",IF($P145="","",$P145^2))</f>
        <v>1156</v>
      </c>
      <c r="AL145" s="18">
        <f>IF($V145&lt;&gt;1,"",AVERAGEIFS(Clean_Data!$P$2:$P$1001,Clean_Data!$F$2:$F$1001,$F145,Clean_Data!$W$2:$W$1001,$W145,Clean_Data!$V$2:$V$1001,1))</f>
        <v>27.3793103448276</v>
      </c>
      <c r="AM145" s="16">
        <f>IF($V145&lt;&gt;1,"",IFERROR(($P145-$AL145)/SQRT(MAX(0,(SUMIFS(Clean_Data!$AK$2:$AK$1001,Clean_Data!$F$2:$F$1001,$F145,Clean_Data!$W$2:$W$1001,$W145,Clean_Data!$V$2:$V$1001,1)-COUNTIFS(Clean_Data!$F$2:$F$1001,$F145,Clean_Data!$W$2:$W$1001,$W145,Clean_Data!$V$2:$V$1001,1)*$AL145^2)/(COUNTIFS(Clean_Data!$F$2:$F$1001,$F145,Clean_Data!$W$2:$W$1001,$W145,Clean_Data!$V$2:$V$1001,1)-1))),""))</f>
        <v>0.695015753328924</v>
      </c>
      <c r="AN145" s="5" t="str">
        <f>IF($AM145="","",IF($AM145&gt;=Lookups!$K$6,"High spike",IF($AM145&lt;=-Lookups!$K$6,"Unusual low","Normal")))</f>
        <v>Normal</v>
      </c>
      <c r="AO145" s="20">
        <f>IF($V145&lt;&gt;1,"",$P145+ROW()/100000)</f>
        <v>34.00145</v>
      </c>
      <c r="AP145" s="5">
        <f>IF($A145="","",IFERROR(MATCH($A145,Raw_D1!$A$2:$A$1001,0),""))</f>
        <v>144</v>
      </c>
      <c r="AQ145" s="5">
        <f>IF($A145="","",IFERROR(MATCH($A145,Raw_D2!$B$2:$B$1001,0),""))</f>
        <v>144</v>
      </c>
      <c r="AR145" s="5">
        <f>IF($A145="","",IFERROR(MATCH($A145,Raw_D3!$A$2:$A$1001,0),""))</f>
        <v/>
      </c>
    </row>
    <row r="146" spans="1:44" x14ac:dyDescent="0.25">
      <c r="A146" s="5">
        <v>145</v>
      </c>
      <c r="B146" s="11">
        <f>IF($A146="","",IF($AP146&lt;&gt;"",INDEX(Raw_D1!$B$2:$B$1001,$AP146),IF($AR146&lt;&gt;"",INDEX(Raw_D3!$B$2:$B$1001,$AR146),"")))</f>
        <v>40550.0</v>
      </c>
      <c r="C146" s="5">
        <f>IF($A146="","",IF($AP146&lt;&gt;"",INDEX(Raw_D1!$C$2:$C$1001,$AP146),IF($AR146&lt;&gt;"",INDEX(Raw_D3!$C$2:$C$1001,$AR146),"")))</f>
        <v>1</v>
      </c>
      <c r="D146" s="5">
        <f>IF($A146="","",IF($AP146&lt;&gt;"",INDEX(Raw_D1!$D$2:$D$1001,$AP146),IF($AR146&lt;&gt;"",INDEX(Raw_D3!$D$2:$D$1001,$AR146),"")))</f>
        <v>0</v>
      </c>
      <c r="E146" s="5">
        <f>IF($A146="","",IF($AP146&lt;&gt;"",INDEX(Raw_D1!$E$2:$E$1001,$AP146),IF($AR146&lt;&gt;"",INDEX(Raw_D3!$E$2:$E$1001,$AR146),"")))</f>
        <v>1</v>
      </c>
      <c r="F146" s="5">
        <f>IF($A146="","",IF($AP146&lt;&gt;"",INDEX(Raw_D1!$F$2:$F$1001,$AP146),IF($AR146&lt;&gt;"",INDEX(Raw_D3!$F$2:$F$1001,$AR146),"")))</f>
        <v>7</v>
      </c>
      <c r="G146" s="5">
        <f>IF($A146="","",IF($AP146&lt;&gt;"",IF(INDEX(Raw_D1!$G$2:$G$1001,$AP146),1,0),IF($AR146&lt;&gt;"",IF(INDEX(Raw_D3!$G$2:$G$1001,$AR146),1,0),"")))</f>
        <v>0</v>
      </c>
      <c r="H146" s="5">
        <f>IF($A146="","",IF($AP146&lt;&gt;"",INDEX(Raw_D1!$H$2:$H$1001,$AP146),IF($AR146&lt;&gt;"",INDEX(Raw_D3!$H$2:$H$1001,$AR146),"")))</f>
        <v>5</v>
      </c>
      <c r="I146" s="5">
        <f>IF($A146="","",IF($AP146&lt;&gt;"",INDEX(Raw_D1!$I$2:$I$1001,$AP146),IF($AR146&lt;&gt;"",INDEX(Raw_D3!$I$2:$I$1001,$AR146),"")))</f>
        <v>1</v>
      </c>
      <c r="J146" s="16">
        <f>IF($A146="","",IF($AP146&lt;&gt;"",INDEX(Raw_D1!$J$2:$J$1001,$AP146),IF($AR146&lt;&gt;"",INDEX(Raw_D3!$J$2:$J$1001,$AR146),"")))</f>
        <v>0.2</v>
      </c>
      <c r="K146" s="17">
        <f>IF($A146="","",IF($AQ146&lt;&gt;"",IF(INDEX(Raw_D2!$C$2:$C$1001,$AQ146)="","",INDEX(Raw_D2!$C$2:$C$1001,$AQ146)),IF($AR146&lt;&gt;"",IF(INDEX(Raw_D3!$K$2:$K$1001,$AR146)="","",INDEX(Raw_D3!$K$2:$K$1001,$AR146)),"")))</f>
        <v>0.2121</v>
      </c>
      <c r="L146" s="16">
        <f>IF($A146="","",IF($AQ146&lt;&gt;"",IF(INDEX(Raw_D2!$D$2:$D$1001,$AQ146)="","",INDEX(Raw_D2!$D$2:$D$1001,$AQ146)),IF($AR146&lt;&gt;"",IF(INDEX(Raw_D3!$L$2:$L$1001,$AR146)="","",INDEX(Raw_D3!$L$2:$L$1001,$AR146)),"")))</f>
        <v>0.69</v>
      </c>
      <c r="M146" s="17">
        <f>IF($A146="","",IF($AQ146&lt;&gt;"",IF(INDEX(Raw_D2!$E$2:$E$1001,$AQ146)="","",INDEX(Raw_D2!$E$2:$E$1001,$AQ146)),IF($AR146&lt;&gt;"",IF(INDEX(Raw_D3!$M$2:$M$1001,$AR146)="","",INDEX(Raw_D3!$M$2:$M$1001,$AR146)),"")))</f>
        <v>0.1343</v>
      </c>
      <c r="N146" s="5">
        <f>IF($A146="","",IF($AQ146&lt;&gt;"",IF(INDEX(Raw_D2!$F$2:$F$1001,$AQ146)="","",INDEX(Raw_D2!$F$2:$F$1001,$AQ146)),IF($AR146&lt;&gt;"",IF(INDEX(Raw_D3!$N$2:$N$1001,$AR146)="","",INDEX(Raw_D3!$N$2:$N$1001,$AR146)),"")))</f>
        <v>8</v>
      </c>
      <c r="O146" s="5">
        <f>IF($A146="","",IF($AQ146&lt;&gt;"",IF(INDEX(Raw_D2!$G$2:$G$1001,$AQ146)="","",INDEX(Raw_D2!$G$2:$G$1001,$AQ146)),IF($AR146&lt;&gt;"",IF(INDEX(Raw_D3!$O$2:$O$1001,$AR146)="","",INDEX(Raw_D3!$O$2:$O$1001,$AR146)),"")))</f>
        <v>76</v>
      </c>
      <c r="P146" s="5">
        <f>IF($A146="","",IF($AQ146&lt;&gt;"",IF(INDEX(Raw_D2!$H$2:$H$1001,$AQ146)="","",INDEX(Raw_D2!$H$2:$H$1001,$AQ146)),IF($AR146&lt;&gt;"",IF(INDEX(Raw_D3!$P$2:$P$1001,$AR146)="","",INDEX(Raw_D3!$P$2:$P$1001,$AR146)),"")))</f>
        <v>84</v>
      </c>
      <c r="Q146" s="5" t="str">
        <f>IF($A146="","",IF(AND($AP146&lt;&gt;"",$AQ146&lt;&gt;""),"D1+D2",IF($AR146&lt;&gt;"","D3","Incomplete")))</f>
        <v>D1+D2</v>
      </c>
      <c r="R146" s="17">
        <f>IF($A146="","",IF($K146="",IF($J146="","",ROUND(Lookups!$K$5+Lookups!$K$4*$J146,4)),$K146))</f>
        <v>0.2121</v>
      </c>
      <c r="S146" s="5" t="str">
        <f>IF($A146="","",IF($K146="","Imputed","Original"))</f>
        <v>Original</v>
      </c>
      <c r="T146" s="5" t="str">
        <f>IF($A146="","",IF($P146="","Missing",IF($P146=$N146+$O146,"OK","Mismatch")))</f>
        <v>OK</v>
      </c>
      <c r="U146" s="5" t="str">
        <f>IF($A146="","",IF(COUNTIF($A$2:$A146,$A146)&gt;1,"Duplicate","Unique"))</f>
        <v>Unique</v>
      </c>
      <c r="V146" s="5">
        <f>IF($A146="","",IF(AND($U146="Unique",ISNUMBER($P146)),1,0))</f>
        <v>1</v>
      </c>
      <c r="W146" s="5" t="str">
        <f>IF($A146="","",IF(OR($H146=0,$H146=6),"Weekend","Weekday"))</f>
        <v>Weekday</v>
      </c>
      <c r="X146" s="5" t="str">
        <f>IF($A146="","",TEXT($B146,"ddd"))</f>
        <v>Fri</v>
      </c>
      <c r="Y146" s="5" t="str">
        <f>IF($A146="","",TEXT($B146,"mmm"))</f>
        <v>Jan</v>
      </c>
      <c r="Z146" s="5" t="str">
        <f>IF($A146="","",IFERROR(VLOOKUP($C146,Lookups!$D$4:$E$7,2,FALSE),"Unknown"))</f>
        <v>Winter</v>
      </c>
      <c r="AA146" s="5" t="str">
        <f>IF($A146="","",IFERROR(VLOOKUP($I146,Lookups!$A$4:$B$7,2,FALSE),"Unknown"))</f>
        <v>Clear</v>
      </c>
      <c r="AB146" s="5" t="str">
        <f>IF($A146="","",TEXT($F146,"00")&amp;":00")</f>
        <v>07:00</v>
      </c>
      <c r="AC146" s="5" t="str">
        <f>IF($A146="","",VLOOKUP($F146,Lookups!$G$4:$H$8,2,TRUE))</f>
        <v>Morning Peak (06-09)</v>
      </c>
      <c r="AD146" s="18">
        <f>IF($A146="","",IF($J146="","",ROUND($J146*41,1)))</f>
        <v>8.2</v>
      </c>
      <c r="AE146" s="18">
        <f>IF($A146="","",IF($R146="","",ROUND($R146*50,1)))</f>
        <v>10.6</v>
      </c>
      <c r="AF146" s="5">
        <f>IF($A146="","",IF($L146="","",ROUND($L146*100,0)))</f>
        <v>69</v>
      </c>
      <c r="AG146" s="18">
        <f>IF($A146="","",IF($M146="","",ROUND($M146*67,1)))</f>
        <v>9</v>
      </c>
      <c r="AH146" s="19">
        <f>IF($A146="","",IF($P146="","",IF($P146=0,0,$O146/$P146)))</f>
        <v>0.904761904761905</v>
      </c>
      <c r="AI146" s="5" t="str">
        <f>IF($A146="","",IF($P146="","",IF($P146&gt;=Lookups!$K$7,"High",IF($P146&lt;=Lookups!$K$8,"Low","Medium"))))</f>
        <v>High</v>
      </c>
      <c r="AJ146" s="5" t="str">
        <f>IF($A146="","",IF($AD146="","",IF($AD146&lt;5,"Under 5 C",IF($AD146&lt;10,"5-10 C",IF($AD146&lt;15,"10-15 C","15 C and above")))))</f>
        <v>5-10 C</v>
      </c>
      <c r="AK146" s="5">
        <f>IF($A146="","",IF($P146="","",$P146^2))</f>
        <v>7056</v>
      </c>
      <c r="AL146" s="18">
        <f>IF($V146&lt;&gt;1,"",AVERAGEIFS(Clean_Data!$P$2:$P$1001,Clean_Data!$F$2:$F$1001,$F146,Clean_Data!$W$2:$W$1001,$W146,Clean_Data!$V$2:$V$1001,1))</f>
        <v>78.0344827586207</v>
      </c>
      <c r="AM146" s="16">
        <f>IF($V146&lt;&gt;1,"",IFERROR(($P146-$AL146)/SQRT(MAX(0,(SUMIFS(Clean_Data!$AK$2:$AK$1001,Clean_Data!$F$2:$F$1001,$F146,Clean_Data!$W$2:$W$1001,$W146,Clean_Data!$V$2:$V$1001,1)-COUNTIFS(Clean_Data!$F$2:$F$1001,$F146,Clean_Data!$W$2:$W$1001,$W146,Clean_Data!$V$2:$V$1001,1)*$AL146^2)/(COUNTIFS(Clean_Data!$F$2:$F$1001,$F146,Clean_Data!$W$2:$W$1001,$W146,Clean_Data!$V$2:$V$1001,1)-1))),""))</f>
        <v>0.26357708081386</v>
      </c>
      <c r="AN146" s="5" t="str">
        <f>IF($AM146="","",IF($AM146&gt;=Lookups!$K$6,"High spike",IF($AM146&lt;=-Lookups!$K$6,"Unusual low","Normal")))</f>
        <v>Normal</v>
      </c>
      <c r="AO146" s="20">
        <f>IF($V146&lt;&gt;1,"",$P146+ROW()/100000)</f>
        <v>84.00146</v>
      </c>
      <c r="AP146" s="5">
        <f>IF($A146="","",IFERROR(MATCH($A146,Raw_D1!$A$2:$A$1001,0),""))</f>
        <v>145</v>
      </c>
      <c r="AQ146" s="5">
        <f>IF($A146="","",IFERROR(MATCH($A146,Raw_D2!$B$2:$B$1001,0),""))</f>
        <v>145</v>
      </c>
      <c r="AR146" s="5">
        <f>IF($A146="","",IFERROR(MATCH($A146,Raw_D3!$A$2:$A$1001,0),""))</f>
        <v/>
      </c>
    </row>
    <row r="147" spans="1:44" x14ac:dyDescent="0.25">
      <c r="A147" s="5">
        <v>146</v>
      </c>
      <c r="B147" s="11">
        <f>IF($A147="","",IF($AP147&lt;&gt;"",INDEX(Raw_D1!$B$2:$B$1001,$AP147),IF($AR147&lt;&gt;"",INDEX(Raw_D3!$B$2:$B$1001,$AR147),"")))</f>
        <v>40550.0</v>
      </c>
      <c r="C147" s="5">
        <f>IF($A147="","",IF($AP147&lt;&gt;"",INDEX(Raw_D1!$C$2:$C$1001,$AP147),IF($AR147&lt;&gt;"",INDEX(Raw_D3!$C$2:$C$1001,$AR147),"")))</f>
        <v>1</v>
      </c>
      <c r="D147" s="5">
        <f>IF($A147="","",IF($AP147&lt;&gt;"",INDEX(Raw_D1!$D$2:$D$1001,$AP147),IF($AR147&lt;&gt;"",INDEX(Raw_D3!$D$2:$D$1001,$AR147),"")))</f>
        <v>0</v>
      </c>
      <c r="E147" s="5">
        <f>IF($A147="","",IF($AP147&lt;&gt;"",INDEX(Raw_D1!$E$2:$E$1001,$AP147),IF($AR147&lt;&gt;"",INDEX(Raw_D3!$E$2:$E$1001,$AR147),"")))</f>
        <v>1</v>
      </c>
      <c r="F147" s="5">
        <f>IF($A147="","",IF($AP147&lt;&gt;"",INDEX(Raw_D1!$F$2:$F$1001,$AP147),IF($AR147&lt;&gt;"",INDEX(Raw_D3!$F$2:$F$1001,$AR147),"")))</f>
        <v>8</v>
      </c>
      <c r="G147" s="5">
        <f>IF($A147="","",IF($AP147&lt;&gt;"",IF(INDEX(Raw_D1!$G$2:$G$1001,$AP147),1,0),IF($AR147&lt;&gt;"",IF(INDEX(Raw_D3!$G$2:$G$1001,$AR147),1,0),"")))</f>
        <v>0</v>
      </c>
      <c r="H147" s="5">
        <f>IF($A147="","",IF($AP147&lt;&gt;"",INDEX(Raw_D1!$H$2:$H$1001,$AP147),IF($AR147&lt;&gt;"",INDEX(Raw_D3!$H$2:$H$1001,$AR147),"")))</f>
        <v>5</v>
      </c>
      <c r="I147" s="5">
        <f>IF($A147="","",IF($AP147&lt;&gt;"",INDEX(Raw_D1!$I$2:$I$1001,$AP147),IF($AR147&lt;&gt;"",INDEX(Raw_D3!$I$2:$I$1001,$AR147),"")))</f>
        <v>1</v>
      </c>
      <c r="J147" s="16">
        <f>IF($A147="","",IF($AP147&lt;&gt;"",INDEX(Raw_D1!$J$2:$J$1001,$AP147),IF($AR147&lt;&gt;"",INDEX(Raw_D3!$J$2:$J$1001,$AR147),"")))</f>
        <v>0.2</v>
      </c>
      <c r="K147" s="17">
        <f>IF($A147="","",IF($AQ147&lt;&gt;"",IF(INDEX(Raw_D2!$C$2:$C$1001,$AQ147)="","",INDEX(Raw_D2!$C$2:$C$1001,$AQ147)),IF($AR147&lt;&gt;"",IF(INDEX(Raw_D3!$K$2:$K$1001,$AR147)="","",INDEX(Raw_D3!$K$2:$K$1001,$AR147)),"")))</f>
        <v>0.197</v>
      </c>
      <c r="L147" s="16">
        <f>IF($A147="","",IF($AQ147&lt;&gt;"",IF(INDEX(Raw_D2!$D$2:$D$1001,$AQ147)="","",INDEX(Raw_D2!$D$2:$D$1001,$AQ147)),IF($AR147&lt;&gt;"",IF(INDEX(Raw_D3!$L$2:$L$1001,$AR147)="","",INDEX(Raw_D3!$L$2:$L$1001,$AR147)),"")))</f>
        <v>0.51</v>
      </c>
      <c r="M147" s="17">
        <f>IF($A147="","",IF($AQ147&lt;&gt;"",IF(INDEX(Raw_D2!$E$2:$E$1001,$AQ147)="","",INDEX(Raw_D2!$E$2:$E$1001,$AQ147)),IF($AR147&lt;&gt;"",IF(INDEX(Raw_D3!$M$2:$M$1001,$AR147)="","",INDEX(Raw_D3!$M$2:$M$1001,$AR147)),"")))</f>
        <v>0.2537</v>
      </c>
      <c r="N147" s="5">
        <f>IF($A147="","",IF($AQ147&lt;&gt;"",IF(INDEX(Raw_D2!$F$2:$F$1001,$AQ147)="","",INDEX(Raw_D2!$F$2:$F$1001,$AQ147)),IF($AR147&lt;&gt;"",IF(INDEX(Raw_D3!$N$2:$N$1001,$AR147)="","",INDEX(Raw_D3!$N$2:$N$1001,$AR147)),"")))</f>
        <v>20</v>
      </c>
      <c r="O147" s="5">
        <f>IF($A147="","",IF($AQ147&lt;&gt;"",IF(INDEX(Raw_D2!$G$2:$G$1001,$AQ147)="","",INDEX(Raw_D2!$G$2:$G$1001,$AQ147)),IF($AR147&lt;&gt;"",IF(INDEX(Raw_D3!$O$2:$O$1001,$AR147)="","",INDEX(Raw_D3!$O$2:$O$1001,$AR147)),"")))</f>
        <v>190</v>
      </c>
      <c r="P147" s="5">
        <f>IF($A147="","",IF($AQ147&lt;&gt;"",IF(INDEX(Raw_D2!$H$2:$H$1001,$AQ147)="","",INDEX(Raw_D2!$H$2:$H$1001,$AQ147)),IF($AR147&lt;&gt;"",IF(INDEX(Raw_D3!$P$2:$P$1001,$AR147)="","",INDEX(Raw_D3!$P$2:$P$1001,$AR147)),"")))</f>
        <v>210</v>
      </c>
      <c r="Q147" s="5" t="str">
        <f>IF($A147="","",IF(AND($AP147&lt;&gt;"",$AQ147&lt;&gt;""),"D1+D2",IF($AR147&lt;&gt;"","D3","Incomplete")))</f>
        <v>D1+D2</v>
      </c>
      <c r="R147" s="17">
        <f>IF($A147="","",IF($K147="",IF($J147="","",ROUND(Lookups!$K$5+Lookups!$K$4*$J147,4)),$K147))</f>
        <v>0.197</v>
      </c>
      <c r="S147" s="5" t="str">
        <f>IF($A147="","",IF($K147="","Imputed","Original"))</f>
        <v>Original</v>
      </c>
      <c r="T147" s="5" t="str">
        <f>IF($A147="","",IF($P147="","Missing",IF($P147=$N147+$O147,"OK","Mismatch")))</f>
        <v>OK</v>
      </c>
      <c r="U147" s="5" t="str">
        <f>IF($A147="","",IF(COUNTIF($A$2:$A147,$A147)&gt;1,"Duplicate","Unique"))</f>
        <v>Unique</v>
      </c>
      <c r="V147" s="5">
        <f>IF($A147="","",IF(AND($U147="Unique",ISNUMBER($P147)),1,0))</f>
        <v>1</v>
      </c>
      <c r="W147" s="5" t="str">
        <f>IF($A147="","",IF(OR($H147=0,$H147=6),"Weekend","Weekday"))</f>
        <v>Weekday</v>
      </c>
      <c r="X147" s="5" t="str">
        <f>IF($A147="","",TEXT($B147,"ddd"))</f>
        <v>Fri</v>
      </c>
      <c r="Y147" s="5" t="str">
        <f>IF($A147="","",TEXT($B147,"mmm"))</f>
        <v>Jan</v>
      </c>
      <c r="Z147" s="5" t="str">
        <f>IF($A147="","",IFERROR(VLOOKUP($C147,Lookups!$D$4:$E$7,2,FALSE),"Unknown"))</f>
        <v>Winter</v>
      </c>
      <c r="AA147" s="5" t="str">
        <f>IF($A147="","",IFERROR(VLOOKUP($I147,Lookups!$A$4:$B$7,2,FALSE),"Unknown"))</f>
        <v>Clear</v>
      </c>
      <c r="AB147" s="5" t="str">
        <f>IF($A147="","",TEXT($F147,"00")&amp;":00")</f>
        <v>08:00</v>
      </c>
      <c r="AC147" s="5" t="str">
        <f>IF($A147="","",VLOOKUP($F147,Lookups!$G$4:$H$8,2,TRUE))</f>
        <v>Morning Peak (06-09)</v>
      </c>
      <c r="AD147" s="18">
        <f>IF($A147="","",IF($J147="","",ROUND($J147*41,1)))</f>
        <v>8.2</v>
      </c>
      <c r="AE147" s="18">
        <f>IF($A147="","",IF($R147="","",ROUND($R147*50,1)))</f>
        <v>9.9</v>
      </c>
      <c r="AF147" s="5">
        <f>IF($A147="","",IF($L147="","",ROUND($L147*100,0)))</f>
        <v>51</v>
      </c>
      <c r="AG147" s="18">
        <f>IF($A147="","",IF($M147="","",ROUND($M147*67,1)))</f>
        <v>17</v>
      </c>
      <c r="AH147" s="19">
        <f>IF($A147="","",IF($P147="","",IF($P147=0,0,$O147/$P147)))</f>
        <v>0.904761904761905</v>
      </c>
      <c r="AI147" s="5" t="str">
        <f>IF($A147="","",IF($P147="","",IF($P147&gt;=Lookups!$K$7,"High",IF($P147&lt;=Lookups!$K$8,"Low","Medium"))))</f>
        <v>High</v>
      </c>
      <c r="AJ147" s="5" t="str">
        <f>IF($A147="","",IF($AD147="","",IF($AD147&lt;5,"Under 5 C",IF($AD147&lt;10,"5-10 C",IF($AD147&lt;15,"10-15 C","15 C and above")))))</f>
        <v>5-10 C</v>
      </c>
      <c r="AK147" s="5">
        <f>IF($A147="","",IF($P147="","",$P147^2))</f>
        <v>44100</v>
      </c>
      <c r="AL147" s="18">
        <f>IF($V147&lt;&gt;1,"",AVERAGEIFS(Clean_Data!$P$2:$P$1001,Clean_Data!$F$2:$F$1001,$F147,Clean_Data!$W$2:$W$1001,$W147,Clean_Data!$V$2:$V$1001,1))</f>
        <v>183.535714285714</v>
      </c>
      <c r="AM147" s="16">
        <f>IF($V147&lt;&gt;1,"",IFERROR(($P147-$AL147)/SQRT(MAX(0,(SUMIFS(Clean_Data!$AK$2:$AK$1001,Clean_Data!$F$2:$F$1001,$F147,Clean_Data!$W$2:$W$1001,$W147,Clean_Data!$V$2:$V$1001,1)-COUNTIFS(Clean_Data!$F$2:$F$1001,$F147,Clean_Data!$W$2:$W$1001,$W147,Clean_Data!$V$2:$V$1001,1)*$AL147^2)/(COUNTIFS(Clean_Data!$F$2:$F$1001,$F147,Clean_Data!$W$2:$W$1001,$W147,Clean_Data!$V$2:$V$1001,1)-1))),""))</f>
        <v>0.542968101623067</v>
      </c>
      <c r="AN147" s="5" t="str">
        <f>IF($AM147="","",IF($AM147&gt;=Lookups!$K$6,"High spike",IF($AM147&lt;=-Lookups!$K$6,"Unusual low","Normal")))</f>
        <v>Normal</v>
      </c>
      <c r="AO147" s="20">
        <f>IF($V147&lt;&gt;1,"",$P147+ROW()/100000)</f>
        <v>210.00147</v>
      </c>
      <c r="AP147" s="5">
        <f>IF($A147="","",IFERROR(MATCH($A147,Raw_D1!$A$2:$A$1001,0),""))</f>
        <v>146</v>
      </c>
      <c r="AQ147" s="5">
        <f>IF($A147="","",IFERROR(MATCH($A147,Raw_D2!$B$2:$B$1001,0),""))</f>
        <v>146</v>
      </c>
      <c r="AR147" s="5">
        <f>IF($A147="","",IFERROR(MATCH($A147,Raw_D3!$A$2:$A$1001,0),""))</f>
        <v/>
      </c>
    </row>
    <row r="148" spans="1:44" x14ac:dyDescent="0.25">
      <c r="A148" s="5">
        <v>147</v>
      </c>
      <c r="B148" s="11">
        <f>IF($A148="","",IF($AP148&lt;&gt;"",INDEX(Raw_D1!$B$2:$B$1001,$AP148),IF($AR148&lt;&gt;"",INDEX(Raw_D3!$B$2:$B$1001,$AR148),"")))</f>
        <v>40550.0</v>
      </c>
      <c r="C148" s="5">
        <f>IF($A148="","",IF($AP148&lt;&gt;"",INDEX(Raw_D1!$C$2:$C$1001,$AP148),IF($AR148&lt;&gt;"",INDEX(Raw_D3!$C$2:$C$1001,$AR148),"")))</f>
        <v>1</v>
      </c>
      <c r="D148" s="5">
        <f>IF($A148="","",IF($AP148&lt;&gt;"",INDEX(Raw_D1!$D$2:$D$1001,$AP148),IF($AR148&lt;&gt;"",INDEX(Raw_D3!$D$2:$D$1001,$AR148),"")))</f>
        <v>0</v>
      </c>
      <c r="E148" s="5">
        <f>IF($A148="","",IF($AP148&lt;&gt;"",INDEX(Raw_D1!$E$2:$E$1001,$AP148),IF($AR148&lt;&gt;"",INDEX(Raw_D3!$E$2:$E$1001,$AR148),"")))</f>
        <v>1</v>
      </c>
      <c r="F148" s="5">
        <f>IF($A148="","",IF($AP148&lt;&gt;"",INDEX(Raw_D1!$F$2:$F$1001,$AP148),IF($AR148&lt;&gt;"",INDEX(Raw_D3!$F$2:$F$1001,$AR148),"")))</f>
        <v>9</v>
      </c>
      <c r="G148" s="5">
        <f>IF($A148="","",IF($AP148&lt;&gt;"",IF(INDEX(Raw_D1!$G$2:$G$1001,$AP148),1,0),IF($AR148&lt;&gt;"",IF(INDEX(Raw_D3!$G$2:$G$1001,$AR148),1,0),"")))</f>
        <v>0</v>
      </c>
      <c r="H148" s="5">
        <f>IF($A148="","",IF($AP148&lt;&gt;"",INDEX(Raw_D1!$H$2:$H$1001,$AP148),IF($AR148&lt;&gt;"",INDEX(Raw_D3!$H$2:$H$1001,$AR148),"")))</f>
        <v>5</v>
      </c>
      <c r="I148" s="5">
        <f>IF($A148="","",IF($AP148&lt;&gt;"",INDEX(Raw_D1!$I$2:$I$1001,$AP148),IF($AR148&lt;&gt;"",INDEX(Raw_D3!$I$2:$I$1001,$AR148),"")))</f>
        <v>1</v>
      </c>
      <c r="J148" s="16">
        <f>IF($A148="","",IF($AP148&lt;&gt;"",INDEX(Raw_D1!$J$2:$J$1001,$AP148),IF($AR148&lt;&gt;"",INDEX(Raw_D3!$J$2:$J$1001,$AR148),"")))</f>
        <v>0.2</v>
      </c>
      <c r="K148" s="17">
        <f>IF($A148="","",IF($AQ148&lt;&gt;"",IF(INDEX(Raw_D2!$C$2:$C$1001,$AQ148)="","",INDEX(Raw_D2!$C$2:$C$1001,$AQ148)),IF($AR148&lt;&gt;"",IF(INDEX(Raw_D3!$K$2:$K$1001,$AR148)="","",INDEX(Raw_D3!$K$2:$K$1001,$AR148)),"")))</f>
        <v>0.1818</v>
      </c>
      <c r="L148" s="16">
        <f>IF($A148="","",IF($AQ148&lt;&gt;"",IF(INDEX(Raw_D2!$D$2:$D$1001,$AQ148)="","",INDEX(Raw_D2!$D$2:$D$1001,$AQ148)),IF($AR148&lt;&gt;"",IF(INDEX(Raw_D3!$L$2:$L$1001,$AR148)="","",INDEX(Raw_D3!$L$2:$L$1001,$AR148)),"")))</f>
        <v>0.47</v>
      </c>
      <c r="M148" s="17">
        <f>IF($A148="","",IF($AQ148&lt;&gt;"",IF(INDEX(Raw_D2!$E$2:$E$1001,$AQ148)="","",INDEX(Raw_D2!$E$2:$E$1001,$AQ148)),IF($AR148&lt;&gt;"",IF(INDEX(Raw_D3!$M$2:$M$1001,$AR148)="","",INDEX(Raw_D3!$M$2:$M$1001,$AR148)),"")))</f>
        <v>0.2985</v>
      </c>
      <c r="N148" s="5">
        <f>IF($A148="","",IF($AQ148&lt;&gt;"",IF(INDEX(Raw_D2!$F$2:$F$1001,$AQ148)="","",INDEX(Raw_D2!$F$2:$F$1001,$AQ148)),IF($AR148&lt;&gt;"",IF(INDEX(Raw_D3!$N$2:$N$1001,$AR148)="","",INDEX(Raw_D3!$N$2:$N$1001,$AR148)),"")))</f>
        <v>9</v>
      </c>
      <c r="O148" s="5">
        <f>IF($A148="","",IF($AQ148&lt;&gt;"",IF(INDEX(Raw_D2!$G$2:$G$1001,$AQ148)="","",INDEX(Raw_D2!$G$2:$G$1001,$AQ148)),IF($AR148&lt;&gt;"",IF(INDEX(Raw_D3!$O$2:$O$1001,$AR148)="","",INDEX(Raw_D3!$O$2:$O$1001,$AR148)),"")))</f>
        <v>125</v>
      </c>
      <c r="P148" s="5">
        <f>IF($A148="","",IF($AQ148&lt;&gt;"",IF(INDEX(Raw_D2!$H$2:$H$1001,$AQ148)="","",INDEX(Raw_D2!$H$2:$H$1001,$AQ148)),IF($AR148&lt;&gt;"",IF(INDEX(Raw_D3!$P$2:$P$1001,$AR148)="","",INDEX(Raw_D3!$P$2:$P$1001,$AR148)),"")))</f>
        <v>134</v>
      </c>
      <c r="Q148" s="5" t="str">
        <f>IF($A148="","",IF(AND($AP148&lt;&gt;"",$AQ148&lt;&gt;""),"D1+D2",IF($AR148&lt;&gt;"","D3","Incomplete")))</f>
        <v>D1+D2</v>
      </c>
      <c r="R148" s="17">
        <f>IF($A148="","",IF($K148="",IF($J148="","",ROUND(Lookups!$K$5+Lookups!$K$4*$J148,4)),$K148))</f>
        <v>0.1818</v>
      </c>
      <c r="S148" s="5" t="str">
        <f>IF($A148="","",IF($K148="","Imputed","Original"))</f>
        <v>Original</v>
      </c>
      <c r="T148" s="5" t="str">
        <f>IF($A148="","",IF($P148="","Missing",IF($P148=$N148+$O148,"OK","Mismatch")))</f>
        <v>OK</v>
      </c>
      <c r="U148" s="5" t="str">
        <f>IF($A148="","",IF(COUNTIF($A$2:$A148,$A148)&gt;1,"Duplicate","Unique"))</f>
        <v>Unique</v>
      </c>
      <c r="V148" s="5">
        <f>IF($A148="","",IF(AND($U148="Unique",ISNUMBER($P148)),1,0))</f>
        <v>1</v>
      </c>
      <c r="W148" s="5" t="str">
        <f>IF($A148="","",IF(OR($H148=0,$H148=6),"Weekend","Weekday"))</f>
        <v>Weekday</v>
      </c>
      <c r="X148" s="5" t="str">
        <f>IF($A148="","",TEXT($B148,"ddd"))</f>
        <v>Fri</v>
      </c>
      <c r="Y148" s="5" t="str">
        <f>IF($A148="","",TEXT($B148,"mmm"))</f>
        <v>Jan</v>
      </c>
      <c r="Z148" s="5" t="str">
        <f>IF($A148="","",IFERROR(VLOOKUP($C148,Lookups!$D$4:$E$7,2,FALSE),"Unknown"))</f>
        <v>Winter</v>
      </c>
      <c r="AA148" s="5" t="str">
        <f>IF($A148="","",IFERROR(VLOOKUP($I148,Lookups!$A$4:$B$7,2,FALSE),"Unknown"))</f>
        <v>Clear</v>
      </c>
      <c r="AB148" s="5" t="str">
        <f>IF($A148="","",TEXT($F148,"00")&amp;":00")</f>
        <v>09:00</v>
      </c>
      <c r="AC148" s="5" t="str">
        <f>IF($A148="","",VLOOKUP($F148,Lookups!$G$4:$H$8,2,TRUE))</f>
        <v>Morning Peak (06-09)</v>
      </c>
      <c r="AD148" s="18">
        <f>IF($A148="","",IF($J148="","",ROUND($J148*41,1)))</f>
        <v>8.2</v>
      </c>
      <c r="AE148" s="18">
        <f>IF($A148="","",IF($R148="","",ROUND($R148*50,1)))</f>
        <v>9.1</v>
      </c>
      <c r="AF148" s="5">
        <f>IF($A148="","",IF($L148="","",ROUND($L148*100,0)))</f>
        <v>47</v>
      </c>
      <c r="AG148" s="18">
        <f>IF($A148="","",IF($M148="","",ROUND($M148*67,1)))</f>
        <v>20</v>
      </c>
      <c r="AH148" s="19">
        <f>IF($A148="","",IF($P148="","",IF($P148=0,0,$O148/$P148)))</f>
        <v>0.932835820895522</v>
      </c>
      <c r="AI148" s="5" t="str">
        <f>IF($A148="","",IF($P148="","",IF($P148&gt;=Lookups!$K$7,"High",IF($P148&lt;=Lookups!$K$8,"Low","Medium"))))</f>
        <v>High</v>
      </c>
      <c r="AJ148" s="5" t="str">
        <f>IF($A148="","",IF($AD148="","",IF($AD148&lt;5,"Under 5 C",IF($AD148&lt;10,"5-10 C",IF($AD148&lt;15,"10-15 C","15 C and above")))))</f>
        <v>5-10 C</v>
      </c>
      <c r="AK148" s="5">
        <f>IF($A148="","",IF($P148="","",$P148^2))</f>
        <v>17956</v>
      </c>
      <c r="AL148" s="18">
        <f>IF($V148&lt;&gt;1,"",AVERAGEIFS(Clean_Data!$P$2:$P$1001,Clean_Data!$F$2:$F$1001,$F148,Clean_Data!$W$2:$W$1001,$W148,Clean_Data!$V$2:$V$1001,1))</f>
        <v>115.678571428571</v>
      </c>
      <c r="AM148" s="16">
        <f>IF($V148&lt;&gt;1,"",IFERROR(($P148-$AL148)/SQRT(MAX(0,(SUMIFS(Clean_Data!$AK$2:$AK$1001,Clean_Data!$F$2:$F$1001,$F148,Clean_Data!$W$2:$W$1001,$W148,Clean_Data!$V$2:$V$1001,1)-COUNTIFS(Clean_Data!$F$2:$F$1001,$F148,Clean_Data!$W$2:$W$1001,$W148,Clean_Data!$V$2:$V$1001,1)*$AL148^2)/(COUNTIFS(Clean_Data!$F$2:$F$1001,$F148,Clean_Data!$W$2:$W$1001,$W148,Clean_Data!$V$2:$V$1001,1)-1))),""))</f>
        <v>0.710729747173508</v>
      </c>
      <c r="AN148" s="5" t="str">
        <f>IF($AM148="","",IF($AM148&gt;=Lookups!$K$6,"High spike",IF($AM148&lt;=-Lookups!$K$6,"Unusual low","Normal")))</f>
        <v>Normal</v>
      </c>
      <c r="AO148" s="20">
        <f>IF($V148&lt;&gt;1,"",$P148+ROW()/100000)</f>
        <v>134.00148</v>
      </c>
      <c r="AP148" s="5">
        <f>IF($A148="","",IFERROR(MATCH($A148,Raw_D1!$A$2:$A$1001,0),""))</f>
        <v>147</v>
      </c>
      <c r="AQ148" s="5">
        <f>IF($A148="","",IFERROR(MATCH($A148,Raw_D2!$B$2:$B$1001,0),""))</f>
        <v>147</v>
      </c>
      <c r="AR148" s="5">
        <f>IF($A148="","",IFERROR(MATCH($A148,Raw_D3!$A$2:$A$1001,0),""))</f>
        <v/>
      </c>
    </row>
    <row r="149" spans="1:44" x14ac:dyDescent="0.25">
      <c r="A149" s="5">
        <v>148</v>
      </c>
      <c r="B149" s="11">
        <f>IF($A149="","",IF($AP149&lt;&gt;"",INDEX(Raw_D1!$B$2:$B$1001,$AP149),IF($AR149&lt;&gt;"",INDEX(Raw_D3!$B$2:$B$1001,$AR149),"")))</f>
        <v>40550.0</v>
      </c>
      <c r="C149" s="5">
        <f>IF($A149="","",IF($AP149&lt;&gt;"",INDEX(Raw_D1!$C$2:$C$1001,$AP149),IF($AR149&lt;&gt;"",INDEX(Raw_D3!$C$2:$C$1001,$AR149),"")))</f>
        <v>1</v>
      </c>
      <c r="D149" s="5">
        <f>IF($A149="","",IF($AP149&lt;&gt;"",INDEX(Raw_D1!$D$2:$D$1001,$AP149),IF($AR149&lt;&gt;"",INDEX(Raw_D3!$D$2:$D$1001,$AR149),"")))</f>
        <v>0</v>
      </c>
      <c r="E149" s="5">
        <f>IF($A149="","",IF($AP149&lt;&gt;"",INDEX(Raw_D1!$E$2:$E$1001,$AP149),IF($AR149&lt;&gt;"",INDEX(Raw_D3!$E$2:$E$1001,$AR149),"")))</f>
        <v>1</v>
      </c>
      <c r="F149" s="5">
        <f>IF($A149="","",IF($AP149&lt;&gt;"",INDEX(Raw_D1!$F$2:$F$1001,$AP149),IF($AR149&lt;&gt;"",INDEX(Raw_D3!$F$2:$F$1001,$AR149),"")))</f>
        <v>10</v>
      </c>
      <c r="G149" s="5">
        <f>IF($A149="","",IF($AP149&lt;&gt;"",IF(INDEX(Raw_D1!$G$2:$G$1001,$AP149),1,0),IF($AR149&lt;&gt;"",IF(INDEX(Raw_D3!$G$2:$G$1001,$AR149),1,0),"")))</f>
        <v>0</v>
      </c>
      <c r="H149" s="5">
        <f>IF($A149="","",IF($AP149&lt;&gt;"",INDEX(Raw_D1!$H$2:$H$1001,$AP149),IF($AR149&lt;&gt;"",INDEX(Raw_D3!$H$2:$H$1001,$AR149),"")))</f>
        <v>5</v>
      </c>
      <c r="I149" s="5">
        <f>IF($A149="","",IF($AP149&lt;&gt;"",INDEX(Raw_D1!$I$2:$I$1001,$AP149),IF($AR149&lt;&gt;"",INDEX(Raw_D3!$I$2:$I$1001,$AR149),"")))</f>
        <v>1</v>
      </c>
      <c r="J149" s="16">
        <f>IF($A149="","",IF($AP149&lt;&gt;"",INDEX(Raw_D1!$J$2:$J$1001,$AP149),IF($AR149&lt;&gt;"",INDEX(Raw_D3!$J$2:$J$1001,$AR149),"")))</f>
        <v>0.22</v>
      </c>
      <c r="K149" s="17">
        <f>IF($A149="","",IF($AQ149&lt;&gt;"",IF(INDEX(Raw_D2!$C$2:$C$1001,$AQ149)="","",INDEX(Raw_D2!$C$2:$C$1001,$AQ149)),IF($AR149&lt;&gt;"",IF(INDEX(Raw_D3!$K$2:$K$1001,$AR149)="","",INDEX(Raw_D3!$K$2:$K$1001,$AR149)),"")))</f>
        <v>0.197</v>
      </c>
      <c r="L149" s="16">
        <f>IF($A149="","",IF($AQ149&lt;&gt;"",IF(INDEX(Raw_D2!$D$2:$D$1001,$AQ149)="","",INDEX(Raw_D2!$D$2:$D$1001,$AQ149)),IF($AR149&lt;&gt;"",IF(INDEX(Raw_D3!$L$2:$L$1001,$AR149)="","",INDEX(Raw_D3!$L$2:$L$1001,$AR149)),"")))</f>
        <v>0.37</v>
      </c>
      <c r="M149" s="17">
        <f>IF($A149="","",IF($AQ149&lt;&gt;"",IF(INDEX(Raw_D2!$E$2:$E$1001,$AQ149)="","",INDEX(Raw_D2!$E$2:$E$1001,$AQ149)),IF($AR149&lt;&gt;"",IF(INDEX(Raw_D3!$M$2:$M$1001,$AR149)="","",INDEX(Raw_D3!$M$2:$M$1001,$AR149)),"")))</f>
        <v>0.3284</v>
      </c>
      <c r="N149" s="5">
        <f>IF($A149="","",IF($AQ149&lt;&gt;"",IF(INDEX(Raw_D2!$F$2:$F$1001,$AQ149)="","",INDEX(Raw_D2!$F$2:$F$1001,$AQ149)),IF($AR149&lt;&gt;"",IF(INDEX(Raw_D3!$N$2:$N$1001,$AR149)="","",INDEX(Raw_D3!$N$2:$N$1001,$AR149)),"")))</f>
        <v>16</v>
      </c>
      <c r="O149" s="5">
        <f>IF($A149="","",IF($AQ149&lt;&gt;"",IF(INDEX(Raw_D2!$G$2:$G$1001,$AQ149)="","",INDEX(Raw_D2!$G$2:$G$1001,$AQ149)),IF($AR149&lt;&gt;"",IF(INDEX(Raw_D3!$O$2:$O$1001,$AR149)="","",INDEX(Raw_D3!$O$2:$O$1001,$AR149)),"")))</f>
        <v>47</v>
      </c>
      <c r="P149" s="5">
        <f>IF($A149="","",IF($AQ149&lt;&gt;"",IF(INDEX(Raw_D2!$H$2:$H$1001,$AQ149)="","",INDEX(Raw_D2!$H$2:$H$1001,$AQ149)),IF($AR149&lt;&gt;"",IF(INDEX(Raw_D3!$P$2:$P$1001,$AR149)="","",INDEX(Raw_D3!$P$2:$P$1001,$AR149)),"")))</f>
        <v>63</v>
      </c>
      <c r="Q149" s="5" t="str">
        <f>IF($A149="","",IF(AND($AP149&lt;&gt;"",$AQ149&lt;&gt;""),"D1+D2",IF($AR149&lt;&gt;"","D3","Incomplete")))</f>
        <v>D1+D2</v>
      </c>
      <c r="R149" s="17">
        <f>IF($A149="","",IF($K149="",IF($J149="","",ROUND(Lookups!$K$5+Lookups!$K$4*$J149,4)),$K149))</f>
        <v>0.197</v>
      </c>
      <c r="S149" s="5" t="str">
        <f>IF($A149="","",IF($K149="","Imputed","Original"))</f>
        <v>Original</v>
      </c>
      <c r="T149" s="5" t="str">
        <f>IF($A149="","",IF($P149="","Missing",IF($P149=$N149+$O149,"OK","Mismatch")))</f>
        <v>OK</v>
      </c>
      <c r="U149" s="5" t="str">
        <f>IF($A149="","",IF(COUNTIF($A$2:$A149,$A149)&gt;1,"Duplicate","Unique"))</f>
        <v>Unique</v>
      </c>
      <c r="V149" s="5">
        <f>IF($A149="","",IF(AND($U149="Unique",ISNUMBER($P149)),1,0))</f>
        <v>1</v>
      </c>
      <c r="W149" s="5" t="str">
        <f>IF($A149="","",IF(OR($H149=0,$H149=6),"Weekend","Weekday"))</f>
        <v>Weekday</v>
      </c>
      <c r="X149" s="5" t="str">
        <f>IF($A149="","",TEXT($B149,"ddd"))</f>
        <v>Fri</v>
      </c>
      <c r="Y149" s="5" t="str">
        <f>IF($A149="","",TEXT($B149,"mmm"))</f>
        <v>Jan</v>
      </c>
      <c r="Z149" s="5" t="str">
        <f>IF($A149="","",IFERROR(VLOOKUP($C149,Lookups!$D$4:$E$7,2,FALSE),"Unknown"))</f>
        <v>Winter</v>
      </c>
      <c r="AA149" s="5" t="str">
        <f>IF($A149="","",IFERROR(VLOOKUP($I149,Lookups!$A$4:$B$7,2,FALSE),"Unknown"))</f>
        <v>Clear</v>
      </c>
      <c r="AB149" s="5" t="str">
        <f>IF($A149="","",TEXT($F149,"00")&amp;":00")</f>
        <v>10:00</v>
      </c>
      <c r="AC149" s="5" t="str">
        <f>IF($A149="","",VLOOKUP($F149,Lookups!$G$4:$H$8,2,TRUE))</f>
        <v>Midday (10-15)</v>
      </c>
      <c r="AD149" s="18">
        <f>IF($A149="","",IF($J149="","",ROUND($J149*41,1)))</f>
        <v>9</v>
      </c>
      <c r="AE149" s="18">
        <f>IF($A149="","",IF($R149="","",ROUND($R149*50,1)))</f>
        <v>9.9</v>
      </c>
      <c r="AF149" s="5">
        <f>IF($A149="","",IF($L149="","",ROUND($L149*100,0)))</f>
        <v>37</v>
      </c>
      <c r="AG149" s="18">
        <f>IF($A149="","",IF($M149="","",ROUND($M149*67,1)))</f>
        <v>22</v>
      </c>
      <c r="AH149" s="19">
        <f>IF($A149="","",IF($P149="","",IF($P149=0,0,$O149/$P149)))</f>
        <v>0.746031746031746</v>
      </c>
      <c r="AI149" s="5" t="str">
        <f>IF($A149="","",IF($P149="","",IF($P149&gt;=Lookups!$K$7,"High",IF($P149&lt;=Lookups!$K$8,"Low","Medium"))))</f>
        <v>Medium</v>
      </c>
      <c r="AJ149" s="5" t="str">
        <f>IF($A149="","",IF($AD149="","",IF($AD149&lt;5,"Under 5 C",IF($AD149&lt;10,"5-10 C",IF($AD149&lt;15,"10-15 C","15 C and above")))))</f>
        <v>5-10 C</v>
      </c>
      <c r="AK149" s="5">
        <f>IF($A149="","",IF($P149="","",$P149^2))</f>
        <v>3969</v>
      </c>
      <c r="AL149" s="18">
        <f>IF($V149&lt;&gt;1,"",AVERAGEIFS(Clean_Data!$P$2:$P$1001,Clean_Data!$F$2:$F$1001,$F149,Clean_Data!$W$2:$W$1001,$W149,Clean_Data!$V$2:$V$1001,1))</f>
        <v>49.0714285714286</v>
      </c>
      <c r="AM149" s="16">
        <f>IF($V149&lt;&gt;1,"",IFERROR(($P149-$AL149)/SQRT(MAX(0,(SUMIFS(Clean_Data!$AK$2:$AK$1001,Clean_Data!$F$2:$F$1001,$F149,Clean_Data!$W$2:$W$1001,$W149,Clean_Data!$V$2:$V$1001,1)-COUNTIFS(Clean_Data!$F$2:$F$1001,$F149,Clean_Data!$W$2:$W$1001,$W149,Clean_Data!$V$2:$V$1001,1)*$AL149^2)/(COUNTIFS(Clean_Data!$F$2:$F$1001,$F149,Clean_Data!$W$2:$W$1001,$W149,Clean_Data!$V$2:$V$1001,1)-1))),""))</f>
        <v>1.38017256895856</v>
      </c>
      <c r="AN149" s="5" t="str">
        <f>IF($AM149="","",IF($AM149&gt;=Lookups!$K$6,"High spike",IF($AM149&lt;=-Lookups!$K$6,"Unusual low","Normal")))</f>
        <v>Normal</v>
      </c>
      <c r="AO149" s="20">
        <f>IF($V149&lt;&gt;1,"",$P149+ROW()/100000)</f>
        <v>63.00149</v>
      </c>
      <c r="AP149" s="5">
        <f>IF($A149="","",IFERROR(MATCH($A149,Raw_D1!$A$2:$A$1001,0),""))</f>
        <v>148</v>
      </c>
      <c r="AQ149" s="5">
        <f>IF($A149="","",IFERROR(MATCH($A149,Raw_D2!$B$2:$B$1001,0),""))</f>
        <v>148</v>
      </c>
      <c r="AR149" s="5">
        <f>IF($A149="","",IFERROR(MATCH($A149,Raw_D3!$A$2:$A$1001,0),""))</f>
        <v/>
      </c>
    </row>
    <row r="150" spans="1:44" x14ac:dyDescent="0.25">
      <c r="A150" s="5">
        <v>149</v>
      </c>
      <c r="B150" s="11">
        <f>IF($A150="","",IF($AP150&lt;&gt;"",INDEX(Raw_D1!$B$2:$B$1001,$AP150),IF($AR150&lt;&gt;"",INDEX(Raw_D3!$B$2:$B$1001,$AR150),"")))</f>
        <v>40550.0</v>
      </c>
      <c r="C150" s="5">
        <f>IF($A150="","",IF($AP150&lt;&gt;"",INDEX(Raw_D1!$C$2:$C$1001,$AP150),IF($AR150&lt;&gt;"",INDEX(Raw_D3!$C$2:$C$1001,$AR150),"")))</f>
        <v>1</v>
      </c>
      <c r="D150" s="5">
        <f>IF($A150="","",IF($AP150&lt;&gt;"",INDEX(Raw_D1!$D$2:$D$1001,$AP150),IF($AR150&lt;&gt;"",INDEX(Raw_D3!$D$2:$D$1001,$AR150),"")))</f>
        <v>0</v>
      </c>
      <c r="E150" s="5">
        <f>IF($A150="","",IF($AP150&lt;&gt;"",INDEX(Raw_D1!$E$2:$E$1001,$AP150),IF($AR150&lt;&gt;"",INDEX(Raw_D3!$E$2:$E$1001,$AR150),"")))</f>
        <v>1</v>
      </c>
      <c r="F150" s="5">
        <f>IF($A150="","",IF($AP150&lt;&gt;"",INDEX(Raw_D1!$F$2:$F$1001,$AP150),IF($AR150&lt;&gt;"",INDEX(Raw_D3!$F$2:$F$1001,$AR150),"")))</f>
        <v>11</v>
      </c>
      <c r="G150" s="5">
        <f>IF($A150="","",IF($AP150&lt;&gt;"",IF(INDEX(Raw_D1!$G$2:$G$1001,$AP150),1,0),IF($AR150&lt;&gt;"",IF(INDEX(Raw_D3!$G$2:$G$1001,$AR150),1,0),"")))</f>
        <v>0</v>
      </c>
      <c r="H150" s="5">
        <f>IF($A150="","",IF($AP150&lt;&gt;"",INDEX(Raw_D1!$H$2:$H$1001,$AP150),IF($AR150&lt;&gt;"",INDEX(Raw_D3!$H$2:$H$1001,$AR150),"")))</f>
        <v>5</v>
      </c>
      <c r="I150" s="5">
        <f>IF($A150="","",IF($AP150&lt;&gt;"",INDEX(Raw_D1!$I$2:$I$1001,$AP150),IF($AR150&lt;&gt;"",INDEX(Raw_D3!$I$2:$I$1001,$AR150),"")))</f>
        <v>2</v>
      </c>
      <c r="J150" s="16">
        <f>IF($A150="","",IF($AP150&lt;&gt;"",INDEX(Raw_D1!$J$2:$J$1001,$AP150),IF($AR150&lt;&gt;"",INDEX(Raw_D3!$J$2:$J$1001,$AR150),"")))</f>
        <v>0.2</v>
      </c>
      <c r="K150" s="17">
        <f>IF($A150="","",IF($AQ150&lt;&gt;"",IF(INDEX(Raw_D2!$C$2:$C$1001,$AQ150)="","",INDEX(Raw_D2!$C$2:$C$1001,$AQ150)),IF($AR150&lt;&gt;"",IF(INDEX(Raw_D3!$K$2:$K$1001,$AR150)="","",INDEX(Raw_D3!$K$2:$K$1001,$AR150)),"")))</f>
        <v>0.197</v>
      </c>
      <c r="L150" s="16">
        <f>IF($A150="","",IF($AQ150&lt;&gt;"",IF(INDEX(Raw_D2!$D$2:$D$1001,$AQ150)="","",INDEX(Raw_D2!$D$2:$D$1001,$AQ150)),IF($AR150&lt;&gt;"",IF(INDEX(Raw_D3!$L$2:$L$1001,$AR150)="","",INDEX(Raw_D3!$L$2:$L$1001,$AR150)),"")))</f>
        <v>0.4</v>
      </c>
      <c r="M150" s="17">
        <f>IF($A150="","",IF($AQ150&lt;&gt;"",IF(INDEX(Raw_D2!$E$2:$E$1001,$AQ150)="","",INDEX(Raw_D2!$E$2:$E$1001,$AQ150)),IF($AR150&lt;&gt;"",IF(INDEX(Raw_D3!$M$2:$M$1001,$AR150)="","",INDEX(Raw_D3!$M$2:$M$1001,$AR150)),"")))</f>
        <v>0.2239</v>
      </c>
      <c r="N150" s="5">
        <f>IF($A150="","",IF($AQ150&lt;&gt;"",IF(INDEX(Raw_D2!$F$2:$F$1001,$AQ150)="","",INDEX(Raw_D2!$F$2:$F$1001,$AQ150)),IF($AR150&lt;&gt;"",IF(INDEX(Raw_D3!$N$2:$N$1001,$AR150)="","",INDEX(Raw_D3!$N$2:$N$1001,$AR150)),"")))</f>
        <v>19</v>
      </c>
      <c r="O150" s="5">
        <f>IF($A150="","",IF($AQ150&lt;&gt;"",IF(INDEX(Raw_D2!$G$2:$G$1001,$AQ150)="","",INDEX(Raw_D2!$G$2:$G$1001,$AQ150)),IF($AR150&lt;&gt;"",IF(INDEX(Raw_D3!$O$2:$O$1001,$AR150)="","",INDEX(Raw_D3!$O$2:$O$1001,$AR150)),"")))</f>
        <v>48</v>
      </c>
      <c r="P150" s="5">
        <f>IF($A150="","",IF($AQ150&lt;&gt;"",IF(INDEX(Raw_D2!$H$2:$H$1001,$AQ150)="","",INDEX(Raw_D2!$H$2:$H$1001,$AQ150)),IF($AR150&lt;&gt;"",IF(INDEX(Raw_D3!$P$2:$P$1001,$AR150)="","",INDEX(Raw_D3!$P$2:$P$1001,$AR150)),"")))</f>
        <v>67</v>
      </c>
      <c r="Q150" s="5" t="str">
        <f>IF($A150="","",IF(AND($AP150&lt;&gt;"",$AQ150&lt;&gt;""),"D1+D2",IF($AR150&lt;&gt;"","D3","Incomplete")))</f>
        <v>D1+D2</v>
      </c>
      <c r="R150" s="17">
        <f>IF($A150="","",IF($K150="",IF($J150="","",ROUND(Lookups!$K$5+Lookups!$K$4*$J150,4)),$K150))</f>
        <v>0.197</v>
      </c>
      <c r="S150" s="5" t="str">
        <f>IF($A150="","",IF($K150="","Imputed","Original"))</f>
        <v>Original</v>
      </c>
      <c r="T150" s="5" t="str">
        <f>IF($A150="","",IF($P150="","Missing",IF($P150=$N150+$O150,"OK","Mismatch")))</f>
        <v>OK</v>
      </c>
      <c r="U150" s="5" t="str">
        <f>IF($A150="","",IF(COUNTIF($A$2:$A150,$A150)&gt;1,"Duplicate","Unique"))</f>
        <v>Unique</v>
      </c>
      <c r="V150" s="5">
        <f>IF($A150="","",IF(AND($U150="Unique",ISNUMBER($P150)),1,0))</f>
        <v>1</v>
      </c>
      <c r="W150" s="5" t="str">
        <f>IF($A150="","",IF(OR($H150=0,$H150=6),"Weekend","Weekday"))</f>
        <v>Weekday</v>
      </c>
      <c r="X150" s="5" t="str">
        <f>IF($A150="","",TEXT($B150,"ddd"))</f>
        <v>Fri</v>
      </c>
      <c r="Y150" s="5" t="str">
        <f>IF($A150="","",TEXT($B150,"mmm"))</f>
        <v>Jan</v>
      </c>
      <c r="Z150" s="5" t="str">
        <f>IF($A150="","",IFERROR(VLOOKUP($C150,Lookups!$D$4:$E$7,2,FALSE),"Unknown"))</f>
        <v>Winter</v>
      </c>
      <c r="AA150" s="5" t="str">
        <f>IF($A150="","",IFERROR(VLOOKUP($I150,Lookups!$A$4:$B$7,2,FALSE),"Unknown"))</f>
        <v>Mist/Cloudy</v>
      </c>
      <c r="AB150" s="5" t="str">
        <f>IF($A150="","",TEXT($F150,"00")&amp;":00")</f>
        <v>11:00</v>
      </c>
      <c r="AC150" s="5" t="str">
        <f>IF($A150="","",VLOOKUP($F150,Lookups!$G$4:$H$8,2,TRUE))</f>
        <v>Midday (10-15)</v>
      </c>
      <c r="AD150" s="18">
        <f>IF($A150="","",IF($J150="","",ROUND($J150*41,1)))</f>
        <v>8.2</v>
      </c>
      <c r="AE150" s="18">
        <f>IF($A150="","",IF($R150="","",ROUND($R150*50,1)))</f>
        <v>9.9</v>
      </c>
      <c r="AF150" s="5">
        <f>IF($A150="","",IF($L150="","",ROUND($L150*100,0)))</f>
        <v>40</v>
      </c>
      <c r="AG150" s="18">
        <f>IF($A150="","",IF($M150="","",ROUND($M150*67,1)))</f>
        <v>15</v>
      </c>
      <c r="AH150" s="19">
        <f>IF($A150="","",IF($P150="","",IF($P150=0,0,$O150/$P150)))</f>
        <v>0.716417910447761</v>
      </c>
      <c r="AI150" s="5" t="str">
        <f>IF($A150="","",IF($P150="","",IF($P150&gt;=Lookups!$K$7,"High",IF($P150&lt;=Lookups!$K$8,"Low","Medium"))))</f>
        <v>Medium</v>
      </c>
      <c r="AJ150" s="5" t="str">
        <f>IF($A150="","",IF($AD150="","",IF($AD150&lt;5,"Under 5 C",IF($AD150&lt;10,"5-10 C",IF($AD150&lt;15,"10-15 C","15 C and above")))))</f>
        <v>5-10 C</v>
      </c>
      <c r="AK150" s="5">
        <f>IF($A150="","",IF($P150="","",$P150^2))</f>
        <v>4489</v>
      </c>
      <c r="AL150" s="18">
        <f>IF($V150&lt;&gt;1,"",AVERAGEIFS(Clean_Data!$P$2:$P$1001,Clean_Data!$F$2:$F$1001,$F150,Clean_Data!$W$2:$W$1001,$W150,Clean_Data!$V$2:$V$1001,1))</f>
        <v>50.6071428571429</v>
      </c>
      <c r="AM150" s="16">
        <f>IF($V150&lt;&gt;1,"",IFERROR(($P150-$AL150)/SQRT(MAX(0,(SUMIFS(Clean_Data!$AK$2:$AK$1001,Clean_Data!$F$2:$F$1001,$F150,Clean_Data!$W$2:$W$1001,$W150,Clean_Data!$V$2:$V$1001,1)-COUNTIFS(Clean_Data!$F$2:$F$1001,$F150,Clean_Data!$W$2:$W$1001,$W150,Clean_Data!$V$2:$V$1001,1)*$AL150^2)/(COUNTIFS(Clean_Data!$F$2:$F$1001,$F150,Clean_Data!$W$2:$W$1001,$W150,Clean_Data!$V$2:$V$1001,1)-1))),""))</f>
        <v>1.46325948551458</v>
      </c>
      <c r="AN150" s="5" t="str">
        <f>IF($AM150="","",IF($AM150&gt;=Lookups!$K$6,"High spike",IF($AM150&lt;=-Lookups!$K$6,"Unusual low","Normal")))</f>
        <v>Normal</v>
      </c>
      <c r="AO150" s="20">
        <f>IF($V150&lt;&gt;1,"",$P150+ROW()/100000)</f>
        <v>67.0015</v>
      </c>
      <c r="AP150" s="5">
        <f>IF($A150="","",IFERROR(MATCH($A150,Raw_D1!$A$2:$A$1001,0),""))</f>
        <v>149</v>
      </c>
      <c r="AQ150" s="5">
        <f>IF($A150="","",IFERROR(MATCH($A150,Raw_D2!$B$2:$B$1001,0),""))</f>
        <v>149</v>
      </c>
      <c r="AR150" s="5">
        <f>IF($A150="","",IFERROR(MATCH($A150,Raw_D3!$A$2:$A$1001,0),""))</f>
        <v/>
      </c>
    </row>
    <row r="151" spans="1:44" x14ac:dyDescent="0.25">
      <c r="A151" s="5">
        <v>150</v>
      </c>
      <c r="B151" s="11">
        <f>IF($A151="","",IF($AP151&lt;&gt;"",INDEX(Raw_D1!$B$2:$B$1001,$AP151),IF($AR151&lt;&gt;"",INDEX(Raw_D3!$B$2:$B$1001,$AR151),"")))</f>
        <v>40550.0</v>
      </c>
      <c r="C151" s="5">
        <f>IF($A151="","",IF($AP151&lt;&gt;"",INDEX(Raw_D1!$C$2:$C$1001,$AP151),IF($AR151&lt;&gt;"",INDEX(Raw_D3!$C$2:$C$1001,$AR151),"")))</f>
        <v>1</v>
      </c>
      <c r="D151" s="5">
        <f>IF($A151="","",IF($AP151&lt;&gt;"",INDEX(Raw_D1!$D$2:$D$1001,$AP151),IF($AR151&lt;&gt;"",INDEX(Raw_D3!$D$2:$D$1001,$AR151),"")))</f>
        <v>0</v>
      </c>
      <c r="E151" s="5">
        <f>IF($A151="","",IF($AP151&lt;&gt;"",INDEX(Raw_D1!$E$2:$E$1001,$AP151),IF($AR151&lt;&gt;"",INDEX(Raw_D3!$E$2:$E$1001,$AR151),"")))</f>
        <v>1</v>
      </c>
      <c r="F151" s="5">
        <f>IF($A151="","",IF($AP151&lt;&gt;"",INDEX(Raw_D1!$F$2:$F$1001,$AP151),IF($AR151&lt;&gt;"",INDEX(Raw_D3!$F$2:$F$1001,$AR151),"")))</f>
        <v>12</v>
      </c>
      <c r="G151" s="5">
        <f>IF($A151="","",IF($AP151&lt;&gt;"",IF(INDEX(Raw_D1!$G$2:$G$1001,$AP151),1,0),IF($AR151&lt;&gt;"",IF(INDEX(Raw_D3!$G$2:$G$1001,$AR151),1,0),"")))</f>
        <v>0</v>
      </c>
      <c r="H151" s="5">
        <f>IF($A151="","",IF($AP151&lt;&gt;"",INDEX(Raw_D1!$H$2:$H$1001,$AP151),IF($AR151&lt;&gt;"",INDEX(Raw_D3!$H$2:$H$1001,$AR151),"")))</f>
        <v>5</v>
      </c>
      <c r="I151" s="5">
        <f>IF($A151="","",IF($AP151&lt;&gt;"",INDEX(Raw_D1!$I$2:$I$1001,$AP151),IF($AR151&lt;&gt;"",INDEX(Raw_D3!$I$2:$I$1001,$AR151),"")))</f>
        <v>2</v>
      </c>
      <c r="J151" s="16">
        <f>IF($A151="","",IF($AP151&lt;&gt;"",INDEX(Raw_D1!$J$2:$J$1001,$AP151),IF($AR151&lt;&gt;"",INDEX(Raw_D3!$J$2:$J$1001,$AR151),"")))</f>
        <v>0.2</v>
      </c>
      <c r="K151" s="17">
        <f>IF($A151="","",IF($AQ151&lt;&gt;"",IF(INDEX(Raw_D2!$C$2:$C$1001,$AQ151)="","",INDEX(Raw_D2!$C$2:$C$1001,$AQ151)),IF($AR151&lt;&gt;"",IF(INDEX(Raw_D3!$K$2:$K$1001,$AR151)="","",INDEX(Raw_D3!$K$2:$K$1001,$AR151)),"")))</f>
        <v>0.197</v>
      </c>
      <c r="L151" s="16">
        <f>IF($A151="","",IF($AQ151&lt;&gt;"",IF(INDEX(Raw_D2!$D$2:$D$1001,$AQ151)="","",INDEX(Raw_D2!$D$2:$D$1001,$AQ151)),IF($AR151&lt;&gt;"",IF(INDEX(Raw_D3!$L$2:$L$1001,$AR151)="","",INDEX(Raw_D3!$L$2:$L$1001,$AR151)),"")))</f>
        <v>0.37</v>
      </c>
      <c r="M151" s="17">
        <f>IF($A151="","",IF($AQ151&lt;&gt;"",IF(INDEX(Raw_D2!$E$2:$E$1001,$AQ151)="","",INDEX(Raw_D2!$E$2:$E$1001,$AQ151)),IF($AR151&lt;&gt;"",IF(INDEX(Raw_D3!$M$2:$M$1001,$AR151)="","",INDEX(Raw_D3!$M$2:$M$1001,$AR151)),"")))</f>
        <v>0.2537</v>
      </c>
      <c r="N151" s="5">
        <f>IF($A151="","",IF($AQ151&lt;&gt;"",IF(INDEX(Raw_D2!$F$2:$F$1001,$AQ151)="","",INDEX(Raw_D2!$F$2:$F$1001,$AQ151)),IF($AR151&lt;&gt;"",IF(INDEX(Raw_D3!$N$2:$N$1001,$AR151)="","",INDEX(Raw_D3!$N$2:$N$1001,$AR151)),"")))</f>
        <v>9</v>
      </c>
      <c r="O151" s="5">
        <f>IF($A151="","",IF($AQ151&lt;&gt;"",IF(INDEX(Raw_D2!$G$2:$G$1001,$AQ151)="","",INDEX(Raw_D2!$G$2:$G$1001,$AQ151)),IF($AR151&lt;&gt;"",IF(INDEX(Raw_D3!$O$2:$O$1001,$AR151)="","",INDEX(Raw_D3!$O$2:$O$1001,$AR151)),"")))</f>
        <v>50</v>
      </c>
      <c r="P151" s="5">
        <f>IF($A151="","",IF($AQ151&lt;&gt;"",IF(INDEX(Raw_D2!$H$2:$H$1001,$AQ151)="","",INDEX(Raw_D2!$H$2:$H$1001,$AQ151)),IF($AR151&lt;&gt;"",IF(INDEX(Raw_D3!$P$2:$P$1001,$AR151)="","",INDEX(Raw_D3!$P$2:$P$1001,$AR151)),"")))</f>
        <v>59</v>
      </c>
      <c r="Q151" s="5" t="str">
        <f>IF($A151="","",IF(AND($AP151&lt;&gt;"",$AQ151&lt;&gt;""),"D1+D2",IF($AR151&lt;&gt;"","D3","Incomplete")))</f>
        <v>D1+D2</v>
      </c>
      <c r="R151" s="17">
        <f>IF($A151="","",IF($K151="",IF($J151="","",ROUND(Lookups!$K$5+Lookups!$K$4*$J151,4)),$K151))</f>
        <v>0.197</v>
      </c>
      <c r="S151" s="5" t="str">
        <f>IF($A151="","",IF($K151="","Imputed","Original"))</f>
        <v>Original</v>
      </c>
      <c r="T151" s="5" t="str">
        <f>IF($A151="","",IF($P151="","Missing",IF($P151=$N151+$O151,"OK","Mismatch")))</f>
        <v>OK</v>
      </c>
      <c r="U151" s="5" t="str">
        <f>IF($A151="","",IF(COUNTIF($A$2:$A151,$A151)&gt;1,"Duplicate","Unique"))</f>
        <v>Unique</v>
      </c>
      <c r="V151" s="5">
        <f>IF($A151="","",IF(AND($U151="Unique",ISNUMBER($P151)),1,0))</f>
        <v>1</v>
      </c>
      <c r="W151" s="5" t="str">
        <f>IF($A151="","",IF(OR($H151=0,$H151=6),"Weekend","Weekday"))</f>
        <v>Weekday</v>
      </c>
      <c r="X151" s="5" t="str">
        <f>IF($A151="","",TEXT($B151,"ddd"))</f>
        <v>Fri</v>
      </c>
      <c r="Y151" s="5" t="str">
        <f>IF($A151="","",TEXT($B151,"mmm"))</f>
        <v>Jan</v>
      </c>
      <c r="Z151" s="5" t="str">
        <f>IF($A151="","",IFERROR(VLOOKUP($C151,Lookups!$D$4:$E$7,2,FALSE),"Unknown"))</f>
        <v>Winter</v>
      </c>
      <c r="AA151" s="5" t="str">
        <f>IF($A151="","",IFERROR(VLOOKUP($I151,Lookups!$A$4:$B$7,2,FALSE),"Unknown"))</f>
        <v>Mist/Cloudy</v>
      </c>
      <c r="AB151" s="5" t="str">
        <f>IF($A151="","",TEXT($F151,"00")&amp;":00")</f>
        <v>12:00</v>
      </c>
      <c r="AC151" s="5" t="str">
        <f>IF($A151="","",VLOOKUP($F151,Lookups!$G$4:$H$8,2,TRUE))</f>
        <v>Midday (10-15)</v>
      </c>
      <c r="AD151" s="18">
        <f>IF($A151="","",IF($J151="","",ROUND($J151*41,1)))</f>
        <v>8.2</v>
      </c>
      <c r="AE151" s="18">
        <f>IF($A151="","",IF($R151="","",ROUND($R151*50,1)))</f>
        <v>9.9</v>
      </c>
      <c r="AF151" s="5">
        <f>IF($A151="","",IF($L151="","",ROUND($L151*100,0)))</f>
        <v>37</v>
      </c>
      <c r="AG151" s="18">
        <f>IF($A151="","",IF($M151="","",ROUND($M151*67,1)))</f>
        <v>17</v>
      </c>
      <c r="AH151" s="19">
        <f>IF($A151="","",IF($P151="","",IF($P151=0,0,$O151/$P151)))</f>
        <v>0.847457627118644</v>
      </c>
      <c r="AI151" s="5" t="str">
        <f>IF($A151="","",IF($P151="","",IF($P151&gt;=Lookups!$K$7,"High",IF($P151&lt;=Lookups!$K$8,"Low","Medium"))))</f>
        <v>Medium</v>
      </c>
      <c r="AJ151" s="5" t="str">
        <f>IF($A151="","",IF($AD151="","",IF($AD151&lt;5,"Under 5 C",IF($AD151&lt;10,"5-10 C",IF($AD151&lt;15,"10-15 C","15 C and above")))))</f>
        <v>5-10 C</v>
      </c>
      <c r="AK151" s="5">
        <f>IF($A151="","",IF($P151="","",$P151^2))</f>
        <v>3481</v>
      </c>
      <c r="AL151" s="18">
        <f>IF($V151&lt;&gt;1,"",AVERAGEIFS(Clean_Data!$P$2:$P$1001,Clean_Data!$F$2:$F$1001,$F151,Clean_Data!$W$2:$W$1001,$W151,Clean_Data!$V$2:$V$1001,1))</f>
        <v>64.5862068965517</v>
      </c>
      <c r="AM151" s="16">
        <f>IF($V151&lt;&gt;1,"",IFERROR(($P151-$AL151)/SQRT(MAX(0,(SUMIFS(Clean_Data!$AK$2:$AK$1001,Clean_Data!$F$2:$F$1001,$F151,Clean_Data!$W$2:$W$1001,$W151,Clean_Data!$V$2:$V$1001,1)-COUNTIFS(Clean_Data!$F$2:$F$1001,$F151,Clean_Data!$W$2:$W$1001,$W151,Clean_Data!$V$2:$V$1001,1)*$AL151^2)/(COUNTIFS(Clean_Data!$F$2:$F$1001,$F151,Clean_Data!$W$2:$W$1001,$W151,Clean_Data!$V$2:$V$1001,1)-1))),""))</f>
        <v>-0.298275384600651</v>
      </c>
      <c r="AN151" s="5" t="str">
        <f>IF($AM151="","",IF($AM151&gt;=Lookups!$K$6,"High spike",IF($AM151&lt;=-Lookups!$K$6,"Unusual low","Normal")))</f>
        <v>Normal</v>
      </c>
      <c r="AO151" s="20">
        <f>IF($V151&lt;&gt;1,"",$P151+ROW()/100000)</f>
        <v>59.00151</v>
      </c>
      <c r="AP151" s="5">
        <f>IF($A151="","",IFERROR(MATCH($A151,Raw_D1!$A$2:$A$1001,0),""))</f>
        <v>150</v>
      </c>
      <c r="AQ151" s="5">
        <f>IF($A151="","",IFERROR(MATCH($A151,Raw_D2!$B$2:$B$1001,0),""))</f>
        <v>150</v>
      </c>
      <c r="AR151" s="5">
        <f>IF($A151="","",IFERROR(MATCH($A151,Raw_D3!$A$2:$A$1001,0),""))</f>
        <v/>
      </c>
    </row>
    <row r="152" spans="1:44" x14ac:dyDescent="0.25">
      <c r="A152" s="5">
        <v>151</v>
      </c>
      <c r="B152" s="11">
        <f>IF($A152="","",IF($AP152&lt;&gt;"",INDEX(Raw_D1!$B$2:$B$1001,$AP152),IF($AR152&lt;&gt;"",INDEX(Raw_D3!$B$2:$B$1001,$AR152),"")))</f>
        <v>40550.0</v>
      </c>
      <c r="C152" s="5">
        <f>IF($A152="","",IF($AP152&lt;&gt;"",INDEX(Raw_D1!$C$2:$C$1001,$AP152),IF($AR152&lt;&gt;"",INDEX(Raw_D3!$C$2:$C$1001,$AR152),"")))</f>
        <v>1</v>
      </c>
      <c r="D152" s="5">
        <f>IF($A152="","",IF($AP152&lt;&gt;"",INDEX(Raw_D1!$D$2:$D$1001,$AP152),IF($AR152&lt;&gt;"",INDEX(Raw_D3!$D$2:$D$1001,$AR152),"")))</f>
        <v>0</v>
      </c>
      <c r="E152" s="5">
        <f>IF($A152="","",IF($AP152&lt;&gt;"",INDEX(Raw_D1!$E$2:$E$1001,$AP152),IF($AR152&lt;&gt;"",INDEX(Raw_D3!$E$2:$E$1001,$AR152),"")))</f>
        <v>1</v>
      </c>
      <c r="F152" s="5">
        <f>IF($A152="","",IF($AP152&lt;&gt;"",INDEX(Raw_D1!$F$2:$F$1001,$AP152),IF($AR152&lt;&gt;"",INDEX(Raw_D3!$F$2:$F$1001,$AR152),"")))</f>
        <v>13</v>
      </c>
      <c r="G152" s="5">
        <f>IF($A152="","",IF($AP152&lt;&gt;"",IF(INDEX(Raw_D1!$G$2:$G$1001,$AP152),1,0),IF($AR152&lt;&gt;"",IF(INDEX(Raw_D3!$G$2:$G$1001,$AR152),1,0),"")))</f>
        <v>0</v>
      </c>
      <c r="H152" s="5">
        <f>IF($A152="","",IF($AP152&lt;&gt;"",INDEX(Raw_D1!$H$2:$H$1001,$AP152),IF($AR152&lt;&gt;"",INDEX(Raw_D3!$H$2:$H$1001,$AR152),"")))</f>
        <v>5</v>
      </c>
      <c r="I152" s="5">
        <f>IF($A152="","",IF($AP152&lt;&gt;"",INDEX(Raw_D1!$I$2:$I$1001,$AP152),IF($AR152&lt;&gt;"",INDEX(Raw_D3!$I$2:$I$1001,$AR152),"")))</f>
        <v>2</v>
      </c>
      <c r="J152" s="16">
        <f>IF($A152="","",IF($AP152&lt;&gt;"",INDEX(Raw_D1!$J$2:$J$1001,$AP152),IF($AR152&lt;&gt;"",INDEX(Raw_D3!$J$2:$J$1001,$AR152),"")))</f>
        <v>0.2</v>
      </c>
      <c r="K152" s="17">
        <f>IF($A152="","",IF($AQ152&lt;&gt;"",IF(INDEX(Raw_D2!$C$2:$C$1001,$AQ152)="","",INDEX(Raw_D2!$C$2:$C$1001,$AQ152)),IF($AR152&lt;&gt;"",IF(INDEX(Raw_D3!$K$2:$K$1001,$AR152)="","",INDEX(Raw_D3!$K$2:$K$1001,$AR152)),"")))</f>
        <v>0.1818</v>
      </c>
      <c r="L152" s="16">
        <f>IF($A152="","",IF($AQ152&lt;&gt;"",IF(INDEX(Raw_D2!$D$2:$D$1001,$AQ152)="","",INDEX(Raw_D2!$D$2:$D$1001,$AQ152)),IF($AR152&lt;&gt;"",IF(INDEX(Raw_D3!$L$2:$L$1001,$AR152)="","",INDEX(Raw_D3!$L$2:$L$1001,$AR152)),"")))</f>
        <v>0.37</v>
      </c>
      <c r="M152" s="17">
        <f>IF($A152="","",IF($AQ152&lt;&gt;"",IF(INDEX(Raw_D2!$E$2:$E$1001,$AQ152)="","",INDEX(Raw_D2!$E$2:$E$1001,$AQ152)),IF($AR152&lt;&gt;"",IF(INDEX(Raw_D3!$M$2:$M$1001,$AR152)="","",INDEX(Raw_D3!$M$2:$M$1001,$AR152)),"")))</f>
        <v>0.2836</v>
      </c>
      <c r="N152" s="5">
        <f>IF($A152="","",IF($AQ152&lt;&gt;"",IF(INDEX(Raw_D2!$F$2:$F$1001,$AQ152)="","",INDEX(Raw_D2!$F$2:$F$1001,$AQ152)),IF($AR152&lt;&gt;"",IF(INDEX(Raw_D3!$N$2:$N$1001,$AR152)="","",INDEX(Raw_D3!$N$2:$N$1001,$AR152)),"")))</f>
        <v>9</v>
      </c>
      <c r="O152" s="5">
        <f>IF($A152="","",IF($AQ152&lt;&gt;"",IF(INDEX(Raw_D2!$G$2:$G$1001,$AQ152)="","",INDEX(Raw_D2!$G$2:$G$1001,$AQ152)),IF($AR152&lt;&gt;"",IF(INDEX(Raw_D3!$O$2:$O$1001,$AR152)="","",INDEX(Raw_D3!$O$2:$O$1001,$AR152)),"")))</f>
        <v>64</v>
      </c>
      <c r="P152" s="5">
        <f>IF($A152="","",IF($AQ152&lt;&gt;"",IF(INDEX(Raw_D2!$H$2:$H$1001,$AQ152)="","",INDEX(Raw_D2!$H$2:$H$1001,$AQ152)),IF($AR152&lt;&gt;"",IF(INDEX(Raw_D3!$P$2:$P$1001,$AR152)="","",INDEX(Raw_D3!$P$2:$P$1001,$AR152)),"")))</f>
        <v>73</v>
      </c>
      <c r="Q152" s="5" t="str">
        <f>IF($A152="","",IF(AND($AP152&lt;&gt;"",$AQ152&lt;&gt;""),"D1+D2",IF($AR152&lt;&gt;"","D3","Incomplete")))</f>
        <v>D1+D2</v>
      </c>
      <c r="R152" s="17">
        <f>IF($A152="","",IF($K152="",IF($J152="","",ROUND(Lookups!$K$5+Lookups!$K$4*$J152,4)),$K152))</f>
        <v>0.1818</v>
      </c>
      <c r="S152" s="5" t="str">
        <f>IF($A152="","",IF($K152="","Imputed","Original"))</f>
        <v>Original</v>
      </c>
      <c r="T152" s="5" t="str">
        <f>IF($A152="","",IF($P152="","Missing",IF($P152=$N152+$O152,"OK","Mismatch")))</f>
        <v>OK</v>
      </c>
      <c r="U152" s="5" t="str">
        <f>IF($A152="","",IF(COUNTIF($A$2:$A152,$A152)&gt;1,"Duplicate","Unique"))</f>
        <v>Unique</v>
      </c>
      <c r="V152" s="5">
        <f>IF($A152="","",IF(AND($U152="Unique",ISNUMBER($P152)),1,0))</f>
        <v>1</v>
      </c>
      <c r="W152" s="5" t="str">
        <f>IF($A152="","",IF(OR($H152=0,$H152=6),"Weekend","Weekday"))</f>
        <v>Weekday</v>
      </c>
      <c r="X152" s="5" t="str">
        <f>IF($A152="","",TEXT($B152,"ddd"))</f>
        <v>Fri</v>
      </c>
      <c r="Y152" s="5" t="str">
        <f>IF($A152="","",TEXT($B152,"mmm"))</f>
        <v>Jan</v>
      </c>
      <c r="Z152" s="5" t="str">
        <f>IF($A152="","",IFERROR(VLOOKUP($C152,Lookups!$D$4:$E$7,2,FALSE),"Unknown"))</f>
        <v>Winter</v>
      </c>
      <c r="AA152" s="5" t="str">
        <f>IF($A152="","",IFERROR(VLOOKUP($I152,Lookups!$A$4:$B$7,2,FALSE),"Unknown"))</f>
        <v>Mist/Cloudy</v>
      </c>
      <c r="AB152" s="5" t="str">
        <f>IF($A152="","",TEXT($F152,"00")&amp;":00")</f>
        <v>13:00</v>
      </c>
      <c r="AC152" s="5" t="str">
        <f>IF($A152="","",VLOOKUP($F152,Lookups!$G$4:$H$8,2,TRUE))</f>
        <v>Midday (10-15)</v>
      </c>
      <c r="AD152" s="18">
        <f>IF($A152="","",IF($J152="","",ROUND($J152*41,1)))</f>
        <v>8.2</v>
      </c>
      <c r="AE152" s="18">
        <f>IF($A152="","",IF($R152="","",ROUND($R152*50,1)))</f>
        <v>9.1</v>
      </c>
      <c r="AF152" s="5">
        <f>IF($A152="","",IF($L152="","",ROUND($L152*100,0)))</f>
        <v>37</v>
      </c>
      <c r="AG152" s="18">
        <f>IF($A152="","",IF($M152="","",ROUND($M152*67,1)))</f>
        <v>19</v>
      </c>
      <c r="AH152" s="19">
        <f>IF($A152="","",IF($P152="","",IF($P152=0,0,$O152/$P152)))</f>
        <v>0.876712328767123</v>
      </c>
      <c r="AI152" s="5" t="str">
        <f>IF($A152="","",IF($P152="","",IF($P152&gt;=Lookups!$K$7,"High",IF($P152&lt;=Lookups!$K$8,"Low","Medium"))))</f>
        <v>Medium</v>
      </c>
      <c r="AJ152" s="5" t="str">
        <f>IF($A152="","",IF($AD152="","",IF($AD152&lt;5,"Under 5 C",IF($AD152&lt;10,"5-10 C",IF($AD152&lt;15,"10-15 C","15 C and above")))))</f>
        <v>5-10 C</v>
      </c>
      <c r="AK152" s="5">
        <f>IF($A152="","",IF($P152="","",$P152^2))</f>
        <v>5329</v>
      </c>
      <c r="AL152" s="18">
        <f>IF($V152&lt;&gt;1,"",AVERAGEIFS(Clean_Data!$P$2:$P$1001,Clean_Data!$F$2:$F$1001,$F152,Clean_Data!$W$2:$W$1001,$W152,Clean_Data!$V$2:$V$1001,1))</f>
        <v>67.1724137931034</v>
      </c>
      <c r="AM152" s="16">
        <f>IF($V152&lt;&gt;1,"",IFERROR(($P152-$AL152)/SQRT(MAX(0,(SUMIFS(Clean_Data!$AK$2:$AK$1001,Clean_Data!$F$2:$F$1001,$F152,Clean_Data!$W$2:$W$1001,$W152,Clean_Data!$V$2:$V$1001,1)-COUNTIFS(Clean_Data!$F$2:$F$1001,$F152,Clean_Data!$W$2:$W$1001,$W152,Clean_Data!$V$2:$V$1001,1)*$AL152^2)/(COUNTIFS(Clean_Data!$F$2:$F$1001,$F152,Clean_Data!$W$2:$W$1001,$W152,Clean_Data!$V$2:$V$1001,1)-1))),""))</f>
        <v>0.288607836172639</v>
      </c>
      <c r="AN152" s="5" t="str">
        <f>IF($AM152="","",IF($AM152&gt;=Lookups!$K$6,"High spike",IF($AM152&lt;=-Lookups!$K$6,"Unusual low","Normal")))</f>
        <v>Normal</v>
      </c>
      <c r="AO152" s="20">
        <f>IF($V152&lt;&gt;1,"",$P152+ROW()/100000)</f>
        <v>73.00152</v>
      </c>
      <c r="AP152" s="5">
        <f>IF($A152="","",IFERROR(MATCH($A152,Raw_D1!$A$2:$A$1001,0),""))</f>
        <v>151</v>
      </c>
      <c r="AQ152" s="5">
        <f>IF($A152="","",IFERROR(MATCH($A152,Raw_D2!$B$2:$B$1001,0),""))</f>
        <v>151</v>
      </c>
      <c r="AR152" s="5">
        <f>IF($A152="","",IFERROR(MATCH($A152,Raw_D3!$A$2:$A$1001,0),""))</f>
        <v/>
      </c>
    </row>
    <row r="153" spans="1:44" x14ac:dyDescent="0.25">
      <c r="A153" s="5">
        <v>152</v>
      </c>
      <c r="B153" s="11">
        <f>IF($A153="","",IF($AP153&lt;&gt;"",INDEX(Raw_D1!$B$2:$B$1001,$AP153),IF($AR153&lt;&gt;"",INDEX(Raw_D3!$B$2:$B$1001,$AR153),"")))</f>
        <v>40550.0</v>
      </c>
      <c r="C153" s="5">
        <f>IF($A153="","",IF($AP153&lt;&gt;"",INDEX(Raw_D1!$C$2:$C$1001,$AP153),IF($AR153&lt;&gt;"",INDEX(Raw_D3!$C$2:$C$1001,$AR153),"")))</f>
        <v>1</v>
      </c>
      <c r="D153" s="5">
        <f>IF($A153="","",IF($AP153&lt;&gt;"",INDEX(Raw_D1!$D$2:$D$1001,$AP153),IF($AR153&lt;&gt;"",INDEX(Raw_D3!$D$2:$D$1001,$AR153),"")))</f>
        <v>0</v>
      </c>
      <c r="E153" s="5">
        <f>IF($A153="","",IF($AP153&lt;&gt;"",INDEX(Raw_D1!$E$2:$E$1001,$AP153),IF($AR153&lt;&gt;"",INDEX(Raw_D3!$E$2:$E$1001,$AR153),"")))</f>
        <v>1</v>
      </c>
      <c r="F153" s="5">
        <f>IF($A153="","",IF($AP153&lt;&gt;"",INDEX(Raw_D1!$F$2:$F$1001,$AP153),IF($AR153&lt;&gt;"",INDEX(Raw_D3!$F$2:$F$1001,$AR153),"")))</f>
        <v>14</v>
      </c>
      <c r="G153" s="5">
        <f>IF($A153="","",IF($AP153&lt;&gt;"",IF(INDEX(Raw_D1!$G$2:$G$1001,$AP153),1,0),IF($AR153&lt;&gt;"",IF(INDEX(Raw_D3!$G$2:$G$1001,$AR153),1,0),"")))</f>
        <v>0</v>
      </c>
      <c r="H153" s="5">
        <f>IF($A153="","",IF($AP153&lt;&gt;"",INDEX(Raw_D1!$H$2:$H$1001,$AP153),IF($AR153&lt;&gt;"",INDEX(Raw_D3!$H$2:$H$1001,$AR153),"")))</f>
        <v>5</v>
      </c>
      <c r="I153" s="5">
        <f>IF($A153="","",IF($AP153&lt;&gt;"",INDEX(Raw_D1!$I$2:$I$1001,$AP153),IF($AR153&lt;&gt;"",INDEX(Raw_D3!$I$2:$I$1001,$AR153),"")))</f>
        <v>2</v>
      </c>
      <c r="J153" s="16">
        <f>IF($A153="","",IF($AP153&lt;&gt;"",INDEX(Raw_D1!$J$2:$J$1001,$AP153),IF($AR153&lt;&gt;"",INDEX(Raw_D3!$J$2:$J$1001,$AR153),"")))</f>
        <v>0.2</v>
      </c>
      <c r="K153" s="17">
        <f>IF($A153="","",IF($AQ153&lt;&gt;"",IF(INDEX(Raw_D2!$C$2:$C$1001,$AQ153)="","",INDEX(Raw_D2!$C$2:$C$1001,$AQ153)),IF($AR153&lt;&gt;"",IF(INDEX(Raw_D3!$K$2:$K$1001,$AR153)="","",INDEX(Raw_D3!$K$2:$K$1001,$AR153)),"")))</f>
        <v>0.197</v>
      </c>
      <c r="L153" s="16">
        <f>IF($A153="","",IF($AQ153&lt;&gt;"",IF(INDEX(Raw_D2!$D$2:$D$1001,$AQ153)="","",INDEX(Raw_D2!$D$2:$D$1001,$AQ153)),IF($AR153&lt;&gt;"",IF(INDEX(Raw_D3!$L$2:$L$1001,$AR153)="","",INDEX(Raw_D3!$L$2:$L$1001,$AR153)),"")))</f>
        <v>0.4</v>
      </c>
      <c r="M153" s="17">
        <f>IF($A153="","",IF($AQ153&lt;&gt;"",IF(INDEX(Raw_D2!$E$2:$E$1001,$AQ153)="","",INDEX(Raw_D2!$E$2:$E$1001,$AQ153)),IF($AR153&lt;&gt;"",IF(INDEX(Raw_D3!$M$2:$M$1001,$AR153)="","",INDEX(Raw_D3!$M$2:$M$1001,$AR153)),"")))</f>
        <v>0.2537</v>
      </c>
      <c r="N153" s="5">
        <f>IF($A153="","",IF($AQ153&lt;&gt;"",IF(INDEX(Raw_D2!$F$2:$F$1001,$AQ153)="","",INDEX(Raw_D2!$F$2:$F$1001,$AQ153)),IF($AR153&lt;&gt;"",IF(INDEX(Raw_D3!$N$2:$N$1001,$AR153)="","",INDEX(Raw_D3!$N$2:$N$1001,$AR153)),"")))</f>
        <v>7</v>
      </c>
      <c r="O153" s="5">
        <f>IF($A153="","",IF($AQ153&lt;&gt;"",IF(INDEX(Raw_D2!$G$2:$G$1001,$AQ153)="","",INDEX(Raw_D2!$G$2:$G$1001,$AQ153)),IF($AR153&lt;&gt;"",IF(INDEX(Raw_D3!$O$2:$O$1001,$AR153)="","",INDEX(Raw_D3!$O$2:$O$1001,$AR153)),"")))</f>
        <v>43</v>
      </c>
      <c r="P153" s="5">
        <f>IF($A153="","",IF($AQ153&lt;&gt;"",IF(INDEX(Raw_D2!$H$2:$H$1001,$AQ153)="","",INDEX(Raw_D2!$H$2:$H$1001,$AQ153)),IF($AR153&lt;&gt;"",IF(INDEX(Raw_D3!$P$2:$P$1001,$AR153)="","",INDEX(Raw_D3!$P$2:$P$1001,$AR153)),"")))</f>
        <v>50</v>
      </c>
      <c r="Q153" s="5" t="str">
        <f>IF($A153="","",IF(AND($AP153&lt;&gt;"",$AQ153&lt;&gt;""),"D1+D2",IF($AR153&lt;&gt;"","D3","Incomplete")))</f>
        <v>D1+D2</v>
      </c>
      <c r="R153" s="17">
        <f>IF($A153="","",IF($K153="",IF($J153="","",ROUND(Lookups!$K$5+Lookups!$K$4*$J153,4)),$K153))</f>
        <v>0.197</v>
      </c>
      <c r="S153" s="5" t="str">
        <f>IF($A153="","",IF($K153="","Imputed","Original"))</f>
        <v>Original</v>
      </c>
      <c r="T153" s="5" t="str">
        <f>IF($A153="","",IF($P153="","Missing",IF($P153=$N153+$O153,"OK","Mismatch")))</f>
        <v>OK</v>
      </c>
      <c r="U153" s="5" t="str">
        <f>IF($A153="","",IF(COUNTIF($A$2:$A153,$A153)&gt;1,"Duplicate","Unique"))</f>
        <v>Unique</v>
      </c>
      <c r="V153" s="5">
        <f>IF($A153="","",IF(AND($U153="Unique",ISNUMBER($P153)),1,0))</f>
        <v>1</v>
      </c>
      <c r="W153" s="5" t="str">
        <f>IF($A153="","",IF(OR($H153=0,$H153=6),"Weekend","Weekday"))</f>
        <v>Weekday</v>
      </c>
      <c r="X153" s="5" t="str">
        <f>IF($A153="","",TEXT($B153,"ddd"))</f>
        <v>Fri</v>
      </c>
      <c r="Y153" s="5" t="str">
        <f>IF($A153="","",TEXT($B153,"mmm"))</f>
        <v>Jan</v>
      </c>
      <c r="Z153" s="5" t="str">
        <f>IF($A153="","",IFERROR(VLOOKUP($C153,Lookups!$D$4:$E$7,2,FALSE),"Unknown"))</f>
        <v>Winter</v>
      </c>
      <c r="AA153" s="5" t="str">
        <f>IF($A153="","",IFERROR(VLOOKUP($I153,Lookups!$A$4:$B$7,2,FALSE),"Unknown"))</f>
        <v>Mist/Cloudy</v>
      </c>
      <c r="AB153" s="5" t="str">
        <f>IF($A153="","",TEXT($F153,"00")&amp;":00")</f>
        <v>14:00</v>
      </c>
      <c r="AC153" s="5" t="str">
        <f>IF($A153="","",VLOOKUP($F153,Lookups!$G$4:$H$8,2,TRUE))</f>
        <v>Midday (10-15)</v>
      </c>
      <c r="AD153" s="18">
        <f>IF($A153="","",IF($J153="","",ROUND($J153*41,1)))</f>
        <v>8.2</v>
      </c>
      <c r="AE153" s="18">
        <f>IF($A153="","",IF($R153="","",ROUND($R153*50,1)))</f>
        <v>9.9</v>
      </c>
      <c r="AF153" s="5">
        <f>IF($A153="","",IF($L153="","",ROUND($L153*100,0)))</f>
        <v>40</v>
      </c>
      <c r="AG153" s="18">
        <f>IF($A153="","",IF($M153="","",ROUND($M153*67,1)))</f>
        <v>17</v>
      </c>
      <c r="AH153" s="19">
        <f>IF($A153="","",IF($P153="","",IF($P153=0,0,$O153/$P153)))</f>
        <v>0.86</v>
      </c>
      <c r="AI153" s="5" t="str">
        <f>IF($A153="","",IF($P153="","",IF($P153&gt;=Lookups!$K$7,"High",IF($P153&lt;=Lookups!$K$8,"Low","Medium"))))</f>
        <v>Medium</v>
      </c>
      <c r="AJ153" s="5" t="str">
        <f>IF($A153="","",IF($AD153="","",IF($AD153&lt;5,"Under 5 C",IF($AD153&lt;10,"5-10 C",IF($AD153&lt;15,"10-15 C","15 C and above")))))</f>
        <v>5-10 C</v>
      </c>
      <c r="AK153" s="5">
        <f>IF($A153="","",IF($P153="","",$P153^2))</f>
        <v>2500</v>
      </c>
      <c r="AL153" s="18">
        <f>IF($V153&lt;&gt;1,"",AVERAGEIFS(Clean_Data!$P$2:$P$1001,Clean_Data!$F$2:$F$1001,$F153,Clean_Data!$W$2:$W$1001,$W153,Clean_Data!$V$2:$V$1001,1))</f>
        <v>60.551724137931</v>
      </c>
      <c r="AM153" s="16">
        <f>IF($V153&lt;&gt;1,"",IFERROR(($P153-$AL153)/SQRT(MAX(0,(SUMIFS(Clean_Data!$AK$2:$AK$1001,Clean_Data!$F$2:$F$1001,$F153,Clean_Data!$W$2:$W$1001,$W153,Clean_Data!$V$2:$V$1001,1)-COUNTIFS(Clean_Data!$F$2:$F$1001,$F153,Clean_Data!$W$2:$W$1001,$W153,Clean_Data!$V$2:$V$1001,1)*$AL153^2)/(COUNTIFS(Clean_Data!$F$2:$F$1001,$F153,Clean_Data!$W$2:$W$1001,$W153,Clean_Data!$V$2:$V$1001,1)-1))),""))</f>
        <v>-0.641429396353692</v>
      </c>
      <c r="AN153" s="5" t="str">
        <f>IF($AM153="","",IF($AM153&gt;=Lookups!$K$6,"High spike",IF($AM153&lt;=-Lookups!$K$6,"Unusual low","Normal")))</f>
        <v>Normal</v>
      </c>
      <c r="AO153" s="20">
        <f>IF($V153&lt;&gt;1,"",$P153+ROW()/100000)</f>
        <v>50.00153</v>
      </c>
      <c r="AP153" s="5">
        <f>IF($A153="","",IFERROR(MATCH($A153,Raw_D1!$A$2:$A$1001,0),""))</f>
        <v>152</v>
      </c>
      <c r="AQ153" s="5">
        <f>IF($A153="","",IFERROR(MATCH($A153,Raw_D2!$B$2:$B$1001,0),""))</f>
        <v>152</v>
      </c>
      <c r="AR153" s="5">
        <f>IF($A153="","",IFERROR(MATCH($A153,Raw_D3!$A$2:$A$1001,0),""))</f>
        <v/>
      </c>
    </row>
    <row r="154" spans="1:44" x14ac:dyDescent="0.25">
      <c r="A154" s="5">
        <v>153</v>
      </c>
      <c r="B154" s="11">
        <f>IF($A154="","",IF($AP154&lt;&gt;"",INDEX(Raw_D1!$B$2:$B$1001,$AP154),IF($AR154&lt;&gt;"",INDEX(Raw_D3!$B$2:$B$1001,$AR154),"")))</f>
        <v>40550.0</v>
      </c>
      <c r="C154" s="5">
        <f>IF($A154="","",IF($AP154&lt;&gt;"",INDEX(Raw_D1!$C$2:$C$1001,$AP154),IF($AR154&lt;&gt;"",INDEX(Raw_D3!$C$2:$C$1001,$AR154),"")))</f>
        <v>1</v>
      </c>
      <c r="D154" s="5">
        <f>IF($A154="","",IF($AP154&lt;&gt;"",INDEX(Raw_D1!$D$2:$D$1001,$AP154),IF($AR154&lt;&gt;"",INDEX(Raw_D3!$D$2:$D$1001,$AR154),"")))</f>
        <v>0</v>
      </c>
      <c r="E154" s="5">
        <f>IF($A154="","",IF($AP154&lt;&gt;"",INDEX(Raw_D1!$E$2:$E$1001,$AP154),IF($AR154&lt;&gt;"",INDEX(Raw_D3!$E$2:$E$1001,$AR154),"")))</f>
        <v>1</v>
      </c>
      <c r="F154" s="5">
        <f>IF($A154="","",IF($AP154&lt;&gt;"",INDEX(Raw_D1!$F$2:$F$1001,$AP154),IF($AR154&lt;&gt;"",INDEX(Raw_D3!$F$2:$F$1001,$AR154),"")))</f>
        <v>15</v>
      </c>
      <c r="G154" s="5">
        <f>IF($A154="","",IF($AP154&lt;&gt;"",IF(INDEX(Raw_D1!$G$2:$G$1001,$AP154),1,0),IF($AR154&lt;&gt;"",IF(INDEX(Raw_D3!$G$2:$G$1001,$AR154),1,0),"")))</f>
        <v>0</v>
      </c>
      <c r="H154" s="5">
        <f>IF($A154="","",IF($AP154&lt;&gt;"",INDEX(Raw_D1!$H$2:$H$1001,$AP154),IF($AR154&lt;&gt;"",INDEX(Raw_D3!$H$2:$H$1001,$AR154),"")))</f>
        <v>5</v>
      </c>
      <c r="I154" s="5">
        <f>IF($A154="","",IF($AP154&lt;&gt;"",INDEX(Raw_D1!$I$2:$I$1001,$AP154),IF($AR154&lt;&gt;"",INDEX(Raw_D3!$I$2:$I$1001,$AR154),"")))</f>
        <v>2</v>
      </c>
      <c r="J154" s="16">
        <f>IF($A154="","",IF($AP154&lt;&gt;"",INDEX(Raw_D1!$J$2:$J$1001,$AP154),IF($AR154&lt;&gt;"",INDEX(Raw_D3!$J$2:$J$1001,$AR154),"")))</f>
        <v>0.2</v>
      </c>
      <c r="K154" s="17">
        <f>IF($A154="","",IF($AQ154&lt;&gt;"",IF(INDEX(Raw_D2!$C$2:$C$1001,$AQ154)="","",INDEX(Raw_D2!$C$2:$C$1001,$AQ154)),IF($AR154&lt;&gt;"",IF(INDEX(Raw_D3!$K$2:$K$1001,$AR154)="","",INDEX(Raw_D3!$K$2:$K$1001,$AR154)),"")))</f>
        <v>0.2121</v>
      </c>
      <c r="L154" s="16">
        <f>IF($A154="","",IF($AQ154&lt;&gt;"",IF(INDEX(Raw_D2!$D$2:$D$1001,$AQ154)="","",INDEX(Raw_D2!$D$2:$D$1001,$AQ154)),IF($AR154&lt;&gt;"",IF(INDEX(Raw_D3!$L$2:$L$1001,$AR154)="","",INDEX(Raw_D3!$L$2:$L$1001,$AR154)),"")))</f>
        <v>0.37</v>
      </c>
      <c r="M154" s="17">
        <f>IF($A154="","",IF($AQ154&lt;&gt;"",IF(INDEX(Raw_D2!$E$2:$E$1001,$AQ154)="","",INDEX(Raw_D2!$E$2:$E$1001,$AQ154)),IF($AR154&lt;&gt;"",IF(INDEX(Raw_D3!$M$2:$M$1001,$AR154)="","",INDEX(Raw_D3!$M$2:$M$1001,$AR154)),"")))</f>
        <v>0.1642</v>
      </c>
      <c r="N154" s="5">
        <f>IF($A154="","",IF($AQ154&lt;&gt;"",IF(INDEX(Raw_D2!$F$2:$F$1001,$AQ154)="","",INDEX(Raw_D2!$F$2:$F$1001,$AQ154)),IF($AR154&lt;&gt;"",IF(INDEX(Raw_D3!$N$2:$N$1001,$AR154)="","",INDEX(Raw_D3!$N$2:$N$1001,$AR154)),"")))</f>
        <v>9</v>
      </c>
      <c r="O154" s="5">
        <f>IF($A154="","",IF($AQ154&lt;&gt;"",IF(INDEX(Raw_D2!$G$2:$G$1001,$AQ154)="","",INDEX(Raw_D2!$G$2:$G$1001,$AQ154)),IF($AR154&lt;&gt;"",IF(INDEX(Raw_D3!$O$2:$O$1001,$AR154)="","",INDEX(Raw_D3!$O$2:$O$1001,$AR154)),"")))</f>
        <v>63</v>
      </c>
      <c r="P154" s="5">
        <f>IF($A154="","",IF($AQ154&lt;&gt;"",IF(INDEX(Raw_D2!$H$2:$H$1001,$AQ154)="","",INDEX(Raw_D2!$H$2:$H$1001,$AQ154)),IF($AR154&lt;&gt;"",IF(INDEX(Raw_D3!$P$2:$P$1001,$AR154)="","",INDEX(Raw_D3!$P$2:$P$1001,$AR154)),"")))</f>
        <v>72</v>
      </c>
      <c r="Q154" s="5" t="str">
        <f>IF($A154="","",IF(AND($AP154&lt;&gt;"",$AQ154&lt;&gt;""),"D1+D2",IF($AR154&lt;&gt;"","D3","Incomplete")))</f>
        <v>D1+D2</v>
      </c>
      <c r="R154" s="17">
        <f>IF($A154="","",IF($K154="",IF($J154="","",ROUND(Lookups!$K$5+Lookups!$K$4*$J154,4)),$K154))</f>
        <v>0.2121</v>
      </c>
      <c r="S154" s="5" t="str">
        <f>IF($A154="","",IF($K154="","Imputed","Original"))</f>
        <v>Original</v>
      </c>
      <c r="T154" s="5" t="str">
        <f>IF($A154="","",IF($P154="","Missing",IF($P154=$N154+$O154,"OK","Mismatch")))</f>
        <v>OK</v>
      </c>
      <c r="U154" s="5" t="str">
        <f>IF($A154="","",IF(COUNTIF($A$2:$A154,$A154)&gt;1,"Duplicate","Unique"))</f>
        <v>Unique</v>
      </c>
      <c r="V154" s="5">
        <f>IF($A154="","",IF(AND($U154="Unique",ISNUMBER($P154)),1,0))</f>
        <v>1</v>
      </c>
      <c r="W154" s="5" t="str">
        <f>IF($A154="","",IF(OR($H154=0,$H154=6),"Weekend","Weekday"))</f>
        <v>Weekday</v>
      </c>
      <c r="X154" s="5" t="str">
        <f>IF($A154="","",TEXT($B154,"ddd"))</f>
        <v>Fri</v>
      </c>
      <c r="Y154" s="5" t="str">
        <f>IF($A154="","",TEXT($B154,"mmm"))</f>
        <v>Jan</v>
      </c>
      <c r="Z154" s="5" t="str">
        <f>IF($A154="","",IFERROR(VLOOKUP($C154,Lookups!$D$4:$E$7,2,FALSE),"Unknown"))</f>
        <v>Winter</v>
      </c>
      <c r="AA154" s="5" t="str">
        <f>IF($A154="","",IFERROR(VLOOKUP($I154,Lookups!$A$4:$B$7,2,FALSE),"Unknown"))</f>
        <v>Mist/Cloudy</v>
      </c>
      <c r="AB154" s="5" t="str">
        <f>IF($A154="","",TEXT($F154,"00")&amp;":00")</f>
        <v>15:00</v>
      </c>
      <c r="AC154" s="5" t="str">
        <f>IF($A154="","",VLOOKUP($F154,Lookups!$G$4:$H$8,2,TRUE))</f>
        <v>Midday (10-15)</v>
      </c>
      <c r="AD154" s="18">
        <f>IF($A154="","",IF($J154="","",ROUND($J154*41,1)))</f>
        <v>8.2</v>
      </c>
      <c r="AE154" s="18">
        <f>IF($A154="","",IF($R154="","",ROUND($R154*50,1)))</f>
        <v>10.6</v>
      </c>
      <c r="AF154" s="5">
        <f>IF($A154="","",IF($L154="","",ROUND($L154*100,0)))</f>
        <v>37</v>
      </c>
      <c r="AG154" s="18">
        <f>IF($A154="","",IF($M154="","",ROUND($M154*67,1)))</f>
        <v>11</v>
      </c>
      <c r="AH154" s="19">
        <f>IF($A154="","",IF($P154="","",IF($P154=0,0,$O154/$P154)))</f>
        <v>0.875</v>
      </c>
      <c r="AI154" s="5" t="str">
        <f>IF($A154="","",IF($P154="","",IF($P154&gt;=Lookups!$K$7,"High",IF($P154&lt;=Lookups!$K$8,"Low","Medium"))))</f>
        <v>Medium</v>
      </c>
      <c r="AJ154" s="5" t="str">
        <f>IF($A154="","",IF($AD154="","",IF($AD154&lt;5,"Under 5 C",IF($AD154&lt;10,"5-10 C",IF($AD154&lt;15,"10-15 C","15 C and above")))))</f>
        <v>5-10 C</v>
      </c>
      <c r="AK154" s="5">
        <f>IF($A154="","",IF($P154="","",$P154^2))</f>
        <v>5184</v>
      </c>
      <c r="AL154" s="18">
        <f>IF($V154&lt;&gt;1,"",AVERAGEIFS(Clean_Data!$P$2:$P$1001,Clean_Data!$F$2:$F$1001,$F154,Clean_Data!$W$2:$W$1001,$W154,Clean_Data!$V$2:$V$1001,1))</f>
        <v>61.4827586206897</v>
      </c>
      <c r="AM154" s="16">
        <f>IF($V154&lt;&gt;1,"",IFERROR(($P154-$AL154)/SQRT(MAX(0,(SUMIFS(Clean_Data!$AK$2:$AK$1001,Clean_Data!$F$2:$F$1001,$F154,Clean_Data!$W$2:$W$1001,$W154,Clean_Data!$V$2:$V$1001,1)-COUNTIFS(Clean_Data!$F$2:$F$1001,$F154,Clean_Data!$W$2:$W$1001,$W154,Clean_Data!$V$2:$V$1001,1)*$AL154^2)/(COUNTIFS(Clean_Data!$F$2:$F$1001,$F154,Clean_Data!$W$2:$W$1001,$W154,Clean_Data!$V$2:$V$1001,1)-1))),""))</f>
        <v>0.697656521440713</v>
      </c>
      <c r="AN154" s="5" t="str">
        <f>IF($AM154="","",IF($AM154&gt;=Lookups!$K$6,"High spike",IF($AM154&lt;=-Lookups!$K$6,"Unusual low","Normal")))</f>
        <v>Normal</v>
      </c>
      <c r="AO154" s="20">
        <f>IF($V154&lt;&gt;1,"",$P154+ROW()/100000)</f>
        <v>72.00154</v>
      </c>
      <c r="AP154" s="5">
        <f>IF($A154="","",IFERROR(MATCH($A154,Raw_D1!$A$2:$A$1001,0),""))</f>
        <v>153</v>
      </c>
      <c r="AQ154" s="5">
        <f>IF($A154="","",IFERROR(MATCH($A154,Raw_D2!$B$2:$B$1001,0),""))</f>
        <v>153</v>
      </c>
      <c r="AR154" s="5">
        <f>IF($A154="","",IFERROR(MATCH($A154,Raw_D3!$A$2:$A$1001,0),""))</f>
        <v/>
      </c>
    </row>
    <row r="155" spans="1:44" x14ac:dyDescent="0.25">
      <c r="A155" s="5">
        <v>154</v>
      </c>
      <c r="B155" s="11">
        <f>IF($A155="","",IF($AP155&lt;&gt;"",INDEX(Raw_D1!$B$2:$B$1001,$AP155),IF($AR155&lt;&gt;"",INDEX(Raw_D3!$B$2:$B$1001,$AR155),"")))</f>
        <v>40550.0</v>
      </c>
      <c r="C155" s="5">
        <f>IF($A155="","",IF($AP155&lt;&gt;"",INDEX(Raw_D1!$C$2:$C$1001,$AP155),IF($AR155&lt;&gt;"",INDEX(Raw_D3!$C$2:$C$1001,$AR155),"")))</f>
        <v>1</v>
      </c>
      <c r="D155" s="5">
        <f>IF($A155="","",IF($AP155&lt;&gt;"",INDEX(Raw_D1!$D$2:$D$1001,$AP155),IF($AR155&lt;&gt;"",INDEX(Raw_D3!$D$2:$D$1001,$AR155),"")))</f>
        <v>0</v>
      </c>
      <c r="E155" s="5">
        <f>IF($A155="","",IF($AP155&lt;&gt;"",INDEX(Raw_D1!$E$2:$E$1001,$AP155),IF($AR155&lt;&gt;"",INDEX(Raw_D3!$E$2:$E$1001,$AR155),"")))</f>
        <v>1</v>
      </c>
      <c r="F155" s="5">
        <f>IF($A155="","",IF($AP155&lt;&gt;"",INDEX(Raw_D1!$F$2:$F$1001,$AP155),IF($AR155&lt;&gt;"",INDEX(Raw_D3!$F$2:$F$1001,$AR155),"")))</f>
        <v>16</v>
      </c>
      <c r="G155" s="5">
        <f>IF($A155="","",IF($AP155&lt;&gt;"",IF(INDEX(Raw_D1!$G$2:$G$1001,$AP155),1,0),IF($AR155&lt;&gt;"",IF(INDEX(Raw_D3!$G$2:$G$1001,$AR155),1,0),"")))</f>
        <v>0</v>
      </c>
      <c r="H155" s="5">
        <f>IF($A155="","",IF($AP155&lt;&gt;"",INDEX(Raw_D1!$H$2:$H$1001,$AP155),IF($AR155&lt;&gt;"",INDEX(Raw_D3!$H$2:$H$1001,$AR155),"")))</f>
        <v>5</v>
      </c>
      <c r="I155" s="5">
        <f>IF($A155="","",IF($AP155&lt;&gt;"",INDEX(Raw_D1!$I$2:$I$1001,$AP155),IF($AR155&lt;&gt;"",INDEX(Raw_D3!$I$2:$I$1001,$AR155),"")))</f>
        <v>2</v>
      </c>
      <c r="J155" s="16">
        <f>IF($A155="","",IF($AP155&lt;&gt;"",INDEX(Raw_D1!$J$2:$J$1001,$AP155),IF($AR155&lt;&gt;"",INDEX(Raw_D3!$J$2:$J$1001,$AR155),"")))</f>
        <v>0.2</v>
      </c>
      <c r="K155" s="17">
        <f>IF($A155="","",IF($AQ155&lt;&gt;"",IF(INDEX(Raw_D2!$C$2:$C$1001,$AQ155)="","",INDEX(Raw_D2!$C$2:$C$1001,$AQ155)),IF($AR155&lt;&gt;"",IF(INDEX(Raw_D3!$K$2:$K$1001,$AR155)="","",INDEX(Raw_D3!$K$2:$K$1001,$AR155)),"")))</f>
        <v>0.2121</v>
      </c>
      <c r="L155" s="16">
        <f>IF($A155="","",IF($AQ155&lt;&gt;"",IF(INDEX(Raw_D2!$D$2:$D$1001,$AQ155)="","",INDEX(Raw_D2!$D$2:$D$1001,$AQ155)),IF($AR155&lt;&gt;"",IF(INDEX(Raw_D3!$L$2:$L$1001,$AR155)="","",INDEX(Raw_D3!$L$2:$L$1001,$AR155)),"")))</f>
        <v>0.37</v>
      </c>
      <c r="M155" s="17">
        <f>IF($A155="","",IF($AQ155&lt;&gt;"",IF(INDEX(Raw_D2!$E$2:$E$1001,$AQ155)="","",INDEX(Raw_D2!$E$2:$E$1001,$AQ155)),IF($AR155&lt;&gt;"",IF(INDEX(Raw_D3!$M$2:$M$1001,$AR155)="","",INDEX(Raw_D3!$M$2:$M$1001,$AR155)),"")))</f>
        <v>0.1642</v>
      </c>
      <c r="N155" s="5">
        <f>IF($A155="","",IF($AQ155&lt;&gt;"",IF(INDEX(Raw_D2!$F$2:$F$1001,$AQ155)="","",INDEX(Raw_D2!$F$2:$F$1001,$AQ155)),IF($AR155&lt;&gt;"",IF(INDEX(Raw_D3!$N$2:$N$1001,$AR155)="","",INDEX(Raw_D3!$N$2:$N$1001,$AR155)),"")))</f>
        <v>5</v>
      </c>
      <c r="O155" s="5">
        <f>IF($A155="","",IF($AQ155&lt;&gt;"",IF(INDEX(Raw_D2!$G$2:$G$1001,$AQ155)="","",INDEX(Raw_D2!$G$2:$G$1001,$AQ155)),IF($AR155&lt;&gt;"",IF(INDEX(Raw_D3!$O$2:$O$1001,$AR155)="","",INDEX(Raw_D3!$O$2:$O$1001,$AR155)),"")))</f>
        <v>82</v>
      </c>
      <c r="P155" s="5">
        <f>IF($A155="","",IF($AQ155&lt;&gt;"",IF(INDEX(Raw_D2!$H$2:$H$1001,$AQ155)="","",INDEX(Raw_D2!$H$2:$H$1001,$AQ155)),IF($AR155&lt;&gt;"",IF(INDEX(Raw_D3!$P$2:$P$1001,$AR155)="","",INDEX(Raw_D3!$P$2:$P$1001,$AR155)),"")))</f>
        <v>87</v>
      </c>
      <c r="Q155" s="5" t="str">
        <f>IF($A155="","",IF(AND($AP155&lt;&gt;"",$AQ155&lt;&gt;""),"D1+D2",IF($AR155&lt;&gt;"","D3","Incomplete")))</f>
        <v>D1+D2</v>
      </c>
      <c r="R155" s="17">
        <f>IF($A155="","",IF($K155="",IF($J155="","",ROUND(Lookups!$K$5+Lookups!$K$4*$J155,4)),$K155))</f>
        <v>0.2121</v>
      </c>
      <c r="S155" s="5" t="str">
        <f>IF($A155="","",IF($K155="","Imputed","Original"))</f>
        <v>Original</v>
      </c>
      <c r="T155" s="5" t="str">
        <f>IF($A155="","",IF($P155="","Missing",IF($P155=$N155+$O155,"OK","Mismatch")))</f>
        <v>OK</v>
      </c>
      <c r="U155" s="5" t="str">
        <f>IF($A155="","",IF(COUNTIF($A$2:$A155,$A155)&gt;1,"Duplicate","Unique"))</f>
        <v>Unique</v>
      </c>
      <c r="V155" s="5">
        <f>IF($A155="","",IF(AND($U155="Unique",ISNUMBER($P155)),1,0))</f>
        <v>1</v>
      </c>
      <c r="W155" s="5" t="str">
        <f>IF($A155="","",IF(OR($H155=0,$H155=6),"Weekend","Weekday"))</f>
        <v>Weekday</v>
      </c>
      <c r="X155" s="5" t="str">
        <f>IF($A155="","",TEXT($B155,"ddd"))</f>
        <v>Fri</v>
      </c>
      <c r="Y155" s="5" t="str">
        <f>IF($A155="","",TEXT($B155,"mmm"))</f>
        <v>Jan</v>
      </c>
      <c r="Z155" s="5" t="str">
        <f>IF($A155="","",IFERROR(VLOOKUP($C155,Lookups!$D$4:$E$7,2,FALSE),"Unknown"))</f>
        <v>Winter</v>
      </c>
      <c r="AA155" s="5" t="str">
        <f>IF($A155="","",IFERROR(VLOOKUP($I155,Lookups!$A$4:$B$7,2,FALSE),"Unknown"))</f>
        <v>Mist/Cloudy</v>
      </c>
      <c r="AB155" s="5" t="str">
        <f>IF($A155="","",TEXT($F155,"00")&amp;":00")</f>
        <v>16:00</v>
      </c>
      <c r="AC155" s="5" t="str">
        <f>IF($A155="","",VLOOKUP($F155,Lookups!$G$4:$H$8,2,TRUE))</f>
        <v>Evening Peak (16-19)</v>
      </c>
      <c r="AD155" s="18">
        <f>IF($A155="","",IF($J155="","",ROUND($J155*41,1)))</f>
        <v>8.2</v>
      </c>
      <c r="AE155" s="18">
        <f>IF($A155="","",IF($R155="","",ROUND($R155*50,1)))</f>
        <v>10.6</v>
      </c>
      <c r="AF155" s="5">
        <f>IF($A155="","",IF($L155="","",ROUND($L155*100,0)))</f>
        <v>37</v>
      </c>
      <c r="AG155" s="18">
        <f>IF($A155="","",IF($M155="","",ROUND($M155*67,1)))</f>
        <v>11</v>
      </c>
      <c r="AH155" s="19">
        <f>IF($A155="","",IF($P155="","",IF($P155=0,0,$O155/$P155)))</f>
        <v>0.942528735632184</v>
      </c>
      <c r="AI155" s="5" t="str">
        <f>IF($A155="","",IF($P155="","",IF($P155&gt;=Lookups!$K$7,"High",IF($P155&lt;=Lookups!$K$8,"Low","Medium"))))</f>
        <v>High</v>
      </c>
      <c r="AJ155" s="5" t="str">
        <f>IF($A155="","",IF($AD155="","",IF($AD155&lt;5,"Under 5 C",IF($AD155&lt;10,"5-10 C",IF($AD155&lt;15,"10-15 C","15 C and above")))))</f>
        <v>5-10 C</v>
      </c>
      <c r="AK155" s="5">
        <f>IF($A155="","",IF($P155="","",$P155^2))</f>
        <v>7569</v>
      </c>
      <c r="AL155" s="18">
        <f>IF($V155&lt;&gt;1,"",AVERAGEIFS(Clean_Data!$P$2:$P$1001,Clean_Data!$F$2:$F$1001,$F155,Clean_Data!$W$2:$W$1001,$W155,Clean_Data!$V$2:$V$1001,1))</f>
        <v>82.6333333333333</v>
      </c>
      <c r="AM155" s="16">
        <f>IF($V155&lt;&gt;1,"",IFERROR(($P155-$AL155)/SQRT(MAX(0,(SUMIFS(Clean_Data!$AK$2:$AK$1001,Clean_Data!$F$2:$F$1001,$F155,Clean_Data!$W$2:$W$1001,$W155,Clean_Data!$V$2:$V$1001,1)-COUNTIFS(Clean_Data!$F$2:$F$1001,$F155,Clean_Data!$W$2:$W$1001,$W155,Clean_Data!$V$2:$V$1001,1)*$AL155^2)/(COUNTIFS(Clean_Data!$F$2:$F$1001,$F155,Clean_Data!$W$2:$W$1001,$W155,Clean_Data!$V$2:$V$1001,1)-1))),""))</f>
        <v>0.210503696984371</v>
      </c>
      <c r="AN155" s="5" t="str">
        <f>IF($AM155="","",IF($AM155&gt;=Lookups!$K$6,"High spike",IF($AM155&lt;=-Lookups!$K$6,"Unusual low","Normal")))</f>
        <v>Normal</v>
      </c>
      <c r="AO155" s="20">
        <f>IF($V155&lt;&gt;1,"",$P155+ROW()/100000)</f>
        <v>87.00155</v>
      </c>
      <c r="AP155" s="5">
        <f>IF($A155="","",IFERROR(MATCH($A155,Raw_D1!$A$2:$A$1001,0),""))</f>
        <v>154</v>
      </c>
      <c r="AQ155" s="5">
        <f>IF($A155="","",IFERROR(MATCH($A155,Raw_D2!$B$2:$B$1001,0),""))</f>
        <v>154</v>
      </c>
      <c r="AR155" s="5">
        <f>IF($A155="","",IFERROR(MATCH($A155,Raw_D3!$A$2:$A$1001,0),""))</f>
        <v/>
      </c>
    </row>
    <row r="156" spans="1:44" x14ac:dyDescent="0.25">
      <c r="A156" s="5">
        <v>155</v>
      </c>
      <c r="B156" s="11">
        <f>IF($A156="","",IF($AP156&lt;&gt;"",INDEX(Raw_D1!$B$2:$B$1001,$AP156),IF($AR156&lt;&gt;"",INDEX(Raw_D3!$B$2:$B$1001,$AR156),"")))</f>
        <v>40550.0</v>
      </c>
      <c r="C156" s="5">
        <f>IF($A156="","",IF($AP156&lt;&gt;"",INDEX(Raw_D1!$C$2:$C$1001,$AP156),IF($AR156&lt;&gt;"",INDEX(Raw_D3!$C$2:$C$1001,$AR156),"")))</f>
        <v>1</v>
      </c>
      <c r="D156" s="5">
        <f>IF($A156="","",IF($AP156&lt;&gt;"",INDEX(Raw_D1!$D$2:$D$1001,$AP156),IF($AR156&lt;&gt;"",INDEX(Raw_D3!$D$2:$D$1001,$AR156),"")))</f>
        <v>0</v>
      </c>
      <c r="E156" s="5">
        <f>IF($A156="","",IF($AP156&lt;&gt;"",INDEX(Raw_D1!$E$2:$E$1001,$AP156),IF($AR156&lt;&gt;"",INDEX(Raw_D3!$E$2:$E$1001,$AR156),"")))</f>
        <v>1</v>
      </c>
      <c r="F156" s="5">
        <f>IF($A156="","",IF($AP156&lt;&gt;"",INDEX(Raw_D1!$F$2:$F$1001,$AP156),IF($AR156&lt;&gt;"",INDEX(Raw_D3!$F$2:$F$1001,$AR156),"")))</f>
        <v>17</v>
      </c>
      <c r="G156" s="5">
        <f>IF($A156="","",IF($AP156&lt;&gt;"",IF(INDEX(Raw_D1!$G$2:$G$1001,$AP156),1,0),IF($AR156&lt;&gt;"",IF(INDEX(Raw_D3!$G$2:$G$1001,$AR156),1,0),"")))</f>
        <v>0</v>
      </c>
      <c r="H156" s="5">
        <f>IF($A156="","",IF($AP156&lt;&gt;"",INDEX(Raw_D1!$H$2:$H$1001,$AP156),IF($AR156&lt;&gt;"",INDEX(Raw_D3!$H$2:$H$1001,$AR156),"")))</f>
        <v>5</v>
      </c>
      <c r="I156" s="5">
        <f>IF($A156="","",IF($AP156&lt;&gt;"",INDEX(Raw_D1!$I$2:$I$1001,$AP156),IF($AR156&lt;&gt;"",INDEX(Raw_D3!$I$2:$I$1001,$AR156),"")))</f>
        <v>2</v>
      </c>
      <c r="J156" s="16">
        <f>IF($A156="","",IF($AP156&lt;&gt;"",INDEX(Raw_D1!$J$2:$J$1001,$AP156),IF($AR156&lt;&gt;"",INDEX(Raw_D3!$J$2:$J$1001,$AR156),"")))</f>
        <v>0.2</v>
      </c>
      <c r="K156" s="17">
        <f>IF($A156="","",IF($AQ156&lt;&gt;"",IF(INDEX(Raw_D2!$C$2:$C$1001,$AQ156)="","",INDEX(Raw_D2!$C$2:$C$1001,$AQ156)),IF($AR156&lt;&gt;"",IF(INDEX(Raw_D3!$K$2:$K$1001,$AR156)="","",INDEX(Raw_D3!$K$2:$K$1001,$AR156)),"")))</f>
        <v>0.2576</v>
      </c>
      <c r="L156" s="16">
        <f>IF($A156="","",IF($AQ156&lt;&gt;"",IF(INDEX(Raw_D2!$D$2:$D$1001,$AQ156)="","",INDEX(Raw_D2!$D$2:$D$1001,$AQ156)),IF($AR156&lt;&gt;"",IF(INDEX(Raw_D3!$L$2:$L$1001,$AR156)="","",INDEX(Raw_D3!$L$2:$L$1001,$AR156)),"")))</f>
        <v>0.37</v>
      </c>
      <c r="M156" s="17">
        <f>IF($A156="","",IF($AQ156&lt;&gt;"",IF(INDEX(Raw_D2!$E$2:$E$1001,$AQ156)="","",INDEX(Raw_D2!$E$2:$E$1001,$AQ156)),IF($AR156&lt;&gt;"",IF(INDEX(Raw_D3!$M$2:$M$1001,$AR156)="","",INDEX(Raw_D3!$M$2:$M$1001,$AR156)),"")))</f>
        <v>0</v>
      </c>
      <c r="N156" s="5">
        <f>IF($A156="","",IF($AQ156&lt;&gt;"",IF(INDEX(Raw_D2!$F$2:$F$1001,$AQ156)="","",INDEX(Raw_D2!$F$2:$F$1001,$AQ156)),IF($AR156&lt;&gt;"",IF(INDEX(Raw_D3!$N$2:$N$1001,$AR156)="","",INDEX(Raw_D3!$N$2:$N$1001,$AR156)),"")))</f>
        <v>9</v>
      </c>
      <c r="O156" s="5">
        <f>IF($A156="","",IF($AQ156&lt;&gt;"",IF(INDEX(Raw_D2!$G$2:$G$1001,$AQ156)="","",INDEX(Raw_D2!$G$2:$G$1001,$AQ156)),IF($AR156&lt;&gt;"",IF(INDEX(Raw_D3!$O$2:$O$1001,$AR156)="","",INDEX(Raw_D3!$O$2:$O$1001,$AR156)),"")))</f>
        <v>178</v>
      </c>
      <c r="P156" s="5">
        <f>IF($A156="","",IF($AQ156&lt;&gt;"",IF(INDEX(Raw_D2!$H$2:$H$1001,$AQ156)="","",INDEX(Raw_D2!$H$2:$H$1001,$AQ156)),IF($AR156&lt;&gt;"",IF(INDEX(Raw_D3!$P$2:$P$1001,$AR156)="","",INDEX(Raw_D3!$P$2:$P$1001,$AR156)),"")))</f>
        <v>187</v>
      </c>
      <c r="Q156" s="5" t="str">
        <f>IF($A156="","",IF(AND($AP156&lt;&gt;"",$AQ156&lt;&gt;""),"D1+D2",IF($AR156&lt;&gt;"","D3","Incomplete")))</f>
        <v>D1+D2</v>
      </c>
      <c r="R156" s="17">
        <f>IF($A156="","",IF($K156="",IF($J156="","",ROUND(Lookups!$K$5+Lookups!$K$4*$J156,4)),$K156))</f>
        <v>0.2576</v>
      </c>
      <c r="S156" s="5" t="str">
        <f>IF($A156="","",IF($K156="","Imputed","Original"))</f>
        <v>Original</v>
      </c>
      <c r="T156" s="5" t="str">
        <f>IF($A156="","",IF($P156="","Missing",IF($P156=$N156+$O156,"OK","Mismatch")))</f>
        <v>OK</v>
      </c>
      <c r="U156" s="5" t="str">
        <f>IF($A156="","",IF(COUNTIF($A$2:$A156,$A156)&gt;1,"Duplicate","Unique"))</f>
        <v>Unique</v>
      </c>
      <c r="V156" s="5">
        <f>IF($A156="","",IF(AND($U156="Unique",ISNUMBER($P156)),1,0))</f>
        <v>1</v>
      </c>
      <c r="W156" s="5" t="str">
        <f>IF($A156="","",IF(OR($H156=0,$H156=6),"Weekend","Weekday"))</f>
        <v>Weekday</v>
      </c>
      <c r="X156" s="5" t="str">
        <f>IF($A156="","",TEXT($B156,"ddd"))</f>
        <v>Fri</v>
      </c>
      <c r="Y156" s="5" t="str">
        <f>IF($A156="","",TEXT($B156,"mmm"))</f>
        <v>Jan</v>
      </c>
      <c r="Z156" s="5" t="str">
        <f>IF($A156="","",IFERROR(VLOOKUP($C156,Lookups!$D$4:$E$7,2,FALSE),"Unknown"))</f>
        <v>Winter</v>
      </c>
      <c r="AA156" s="5" t="str">
        <f>IF($A156="","",IFERROR(VLOOKUP($I156,Lookups!$A$4:$B$7,2,FALSE),"Unknown"))</f>
        <v>Mist/Cloudy</v>
      </c>
      <c r="AB156" s="5" t="str">
        <f>IF($A156="","",TEXT($F156,"00")&amp;":00")</f>
        <v>17:00</v>
      </c>
      <c r="AC156" s="5" t="str">
        <f>IF($A156="","",VLOOKUP($F156,Lookups!$G$4:$H$8,2,TRUE))</f>
        <v>Evening Peak (16-19)</v>
      </c>
      <c r="AD156" s="18">
        <f>IF($A156="","",IF($J156="","",ROUND($J156*41,1)))</f>
        <v>8.2</v>
      </c>
      <c r="AE156" s="18">
        <f>IF($A156="","",IF($R156="","",ROUND($R156*50,1)))</f>
        <v>12.9</v>
      </c>
      <c r="AF156" s="5">
        <f>IF($A156="","",IF($L156="","",ROUND($L156*100,0)))</f>
        <v>37</v>
      </c>
      <c r="AG156" s="18">
        <f>IF($A156="","",IF($M156="","",ROUND($M156*67,1)))</f>
        <v>0</v>
      </c>
      <c r="AH156" s="19">
        <f>IF($A156="","",IF($P156="","",IF($P156=0,0,$O156/$P156)))</f>
        <v>0.951871657754011</v>
      </c>
      <c r="AI156" s="5" t="str">
        <f>IF($A156="","",IF($P156="","",IF($P156&gt;=Lookups!$K$7,"High",IF($P156&lt;=Lookups!$K$8,"Low","Medium"))))</f>
        <v>High</v>
      </c>
      <c r="AJ156" s="5" t="str">
        <f>IF($A156="","",IF($AD156="","",IF($AD156&lt;5,"Under 5 C",IF($AD156&lt;10,"5-10 C",IF($AD156&lt;15,"10-15 C","15 C and above")))))</f>
        <v>5-10 C</v>
      </c>
      <c r="AK156" s="5">
        <f>IF($A156="","",IF($P156="","",$P156^2))</f>
        <v>34969</v>
      </c>
      <c r="AL156" s="18">
        <f>IF($V156&lt;&gt;1,"",AVERAGEIFS(Clean_Data!$P$2:$P$1001,Clean_Data!$F$2:$F$1001,$F156,Clean_Data!$W$2:$W$1001,$W156,Clean_Data!$V$2:$V$1001,1))</f>
        <v>165.566666666667</v>
      </c>
      <c r="AM156" s="16">
        <f>IF($V156&lt;&gt;1,"",IFERROR(($P156-$AL156)/SQRT(MAX(0,(SUMIFS(Clean_Data!$AK$2:$AK$1001,Clean_Data!$F$2:$F$1001,$F156,Clean_Data!$W$2:$W$1001,$W156,Clean_Data!$V$2:$V$1001,1)-COUNTIFS(Clean_Data!$F$2:$F$1001,$F156,Clean_Data!$W$2:$W$1001,$W156,Clean_Data!$V$2:$V$1001,1)*$AL156^2)/(COUNTIFS(Clean_Data!$F$2:$F$1001,$F156,Clean_Data!$W$2:$W$1001,$W156,Clean_Data!$V$2:$V$1001,1)-1))),""))</f>
        <v>0.486976527292967</v>
      </c>
      <c r="AN156" s="5" t="str">
        <f>IF($AM156="","",IF($AM156&gt;=Lookups!$K$6,"High spike",IF($AM156&lt;=-Lookups!$K$6,"Unusual low","Normal")))</f>
        <v>Normal</v>
      </c>
      <c r="AO156" s="20">
        <f>IF($V156&lt;&gt;1,"",$P156+ROW()/100000)</f>
        <v>187.00156</v>
      </c>
      <c r="AP156" s="5">
        <f>IF($A156="","",IFERROR(MATCH($A156,Raw_D1!$A$2:$A$1001,0),""))</f>
        <v>155</v>
      </c>
      <c r="AQ156" s="5">
        <f>IF($A156="","",IFERROR(MATCH($A156,Raw_D2!$B$2:$B$1001,0),""))</f>
        <v>155</v>
      </c>
      <c r="AR156" s="5">
        <f>IF($A156="","",IFERROR(MATCH($A156,Raw_D3!$A$2:$A$1001,0),""))</f>
        <v/>
      </c>
    </row>
    <row r="157" spans="1:44" x14ac:dyDescent="0.25">
      <c r="A157" s="5">
        <v>156</v>
      </c>
      <c r="B157" s="11">
        <f>IF($A157="","",IF($AP157&lt;&gt;"",INDEX(Raw_D1!$B$2:$B$1001,$AP157),IF($AR157&lt;&gt;"",INDEX(Raw_D3!$B$2:$B$1001,$AR157),"")))</f>
        <v>40550.0</v>
      </c>
      <c r="C157" s="5">
        <f>IF($A157="","",IF($AP157&lt;&gt;"",INDEX(Raw_D1!$C$2:$C$1001,$AP157),IF($AR157&lt;&gt;"",INDEX(Raw_D3!$C$2:$C$1001,$AR157),"")))</f>
        <v>1</v>
      </c>
      <c r="D157" s="5">
        <f>IF($A157="","",IF($AP157&lt;&gt;"",INDEX(Raw_D1!$D$2:$D$1001,$AP157),IF($AR157&lt;&gt;"",INDEX(Raw_D3!$D$2:$D$1001,$AR157),"")))</f>
        <v>0</v>
      </c>
      <c r="E157" s="5">
        <f>IF($A157="","",IF($AP157&lt;&gt;"",INDEX(Raw_D1!$E$2:$E$1001,$AP157),IF($AR157&lt;&gt;"",INDEX(Raw_D3!$E$2:$E$1001,$AR157),"")))</f>
        <v>1</v>
      </c>
      <c r="F157" s="5">
        <f>IF($A157="","",IF($AP157&lt;&gt;"",INDEX(Raw_D1!$F$2:$F$1001,$AP157),IF($AR157&lt;&gt;"",INDEX(Raw_D3!$F$2:$F$1001,$AR157),"")))</f>
        <v>18</v>
      </c>
      <c r="G157" s="5">
        <f>IF($A157="","",IF($AP157&lt;&gt;"",IF(INDEX(Raw_D1!$G$2:$G$1001,$AP157),1,0),IF($AR157&lt;&gt;"",IF(INDEX(Raw_D3!$G$2:$G$1001,$AR157),1,0),"")))</f>
        <v>0</v>
      </c>
      <c r="H157" s="5">
        <f>IF($A157="","",IF($AP157&lt;&gt;"",INDEX(Raw_D1!$H$2:$H$1001,$AP157),IF($AR157&lt;&gt;"",INDEX(Raw_D3!$H$2:$H$1001,$AR157),"")))</f>
        <v>5</v>
      </c>
      <c r="I157" s="5">
        <f>IF($A157="","",IF($AP157&lt;&gt;"",INDEX(Raw_D1!$I$2:$I$1001,$AP157),IF($AR157&lt;&gt;"",INDEX(Raw_D3!$I$2:$I$1001,$AR157),"")))</f>
        <v>1</v>
      </c>
      <c r="J157" s="16">
        <f>IF($A157="","",IF($AP157&lt;&gt;"",INDEX(Raw_D1!$J$2:$J$1001,$AP157),IF($AR157&lt;&gt;"",INDEX(Raw_D3!$J$2:$J$1001,$AR157),"")))</f>
        <v>0.2</v>
      </c>
      <c r="K157" s="17">
        <f>IF($A157="","",IF($AQ157&lt;&gt;"",IF(INDEX(Raw_D2!$C$2:$C$1001,$AQ157)="","",INDEX(Raw_D2!$C$2:$C$1001,$AQ157)),IF($AR157&lt;&gt;"",IF(INDEX(Raw_D3!$K$2:$K$1001,$AR157)="","",INDEX(Raw_D3!$K$2:$K$1001,$AR157)),"")))</f>
        <v>0.2273</v>
      </c>
      <c r="L157" s="16">
        <f>IF($A157="","",IF($AQ157&lt;&gt;"",IF(INDEX(Raw_D2!$D$2:$D$1001,$AQ157)="","",INDEX(Raw_D2!$D$2:$D$1001,$AQ157)),IF($AR157&lt;&gt;"",IF(INDEX(Raw_D3!$L$2:$L$1001,$AR157)="","",INDEX(Raw_D3!$L$2:$L$1001,$AR157)),"")))</f>
        <v>0.4</v>
      </c>
      <c r="M157" s="17">
        <f>IF($A157="","",IF($AQ157&lt;&gt;"",IF(INDEX(Raw_D2!$E$2:$E$1001,$AQ157)="","",INDEX(Raw_D2!$E$2:$E$1001,$AQ157)),IF($AR157&lt;&gt;"",IF(INDEX(Raw_D3!$M$2:$M$1001,$AR157)="","",INDEX(Raw_D3!$M$2:$M$1001,$AR157)),"")))</f>
        <v>0.0896</v>
      </c>
      <c r="N157" s="5">
        <f>IF($A157="","",IF($AQ157&lt;&gt;"",IF(INDEX(Raw_D2!$F$2:$F$1001,$AQ157)="","",INDEX(Raw_D2!$F$2:$F$1001,$AQ157)),IF($AR157&lt;&gt;"",IF(INDEX(Raw_D3!$N$2:$N$1001,$AR157)="","",INDEX(Raw_D3!$N$2:$N$1001,$AR157)),"")))</f>
        <v>7</v>
      </c>
      <c r="O157" s="5">
        <f>IF($A157="","",IF($AQ157&lt;&gt;"",IF(INDEX(Raw_D2!$G$2:$G$1001,$AQ157)="","",INDEX(Raw_D2!$G$2:$G$1001,$AQ157)),IF($AR157&lt;&gt;"",IF(INDEX(Raw_D3!$O$2:$O$1001,$AR157)="","",INDEX(Raw_D3!$O$2:$O$1001,$AR157)),"")))</f>
        <v>116</v>
      </c>
      <c r="P157" s="5">
        <f>IF($A157="","",IF($AQ157&lt;&gt;"",IF(INDEX(Raw_D2!$H$2:$H$1001,$AQ157)="","",INDEX(Raw_D2!$H$2:$H$1001,$AQ157)),IF($AR157&lt;&gt;"",IF(INDEX(Raw_D3!$P$2:$P$1001,$AR157)="","",INDEX(Raw_D3!$P$2:$P$1001,$AR157)),"")))</f>
        <v>123</v>
      </c>
      <c r="Q157" s="5" t="str">
        <f>IF($A157="","",IF(AND($AP157&lt;&gt;"",$AQ157&lt;&gt;""),"D1+D2",IF($AR157&lt;&gt;"","D3","Incomplete")))</f>
        <v>D1+D2</v>
      </c>
      <c r="R157" s="17">
        <f>IF($A157="","",IF($K157="",IF($J157="","",ROUND(Lookups!$K$5+Lookups!$K$4*$J157,4)),$K157))</f>
        <v>0.2273</v>
      </c>
      <c r="S157" s="5" t="str">
        <f>IF($A157="","",IF($K157="","Imputed","Original"))</f>
        <v>Original</v>
      </c>
      <c r="T157" s="5" t="str">
        <f>IF($A157="","",IF($P157="","Missing",IF($P157=$N157+$O157,"OK","Mismatch")))</f>
        <v>OK</v>
      </c>
      <c r="U157" s="5" t="str">
        <f>IF($A157="","",IF(COUNTIF($A$2:$A157,$A157)&gt;1,"Duplicate","Unique"))</f>
        <v>Unique</v>
      </c>
      <c r="V157" s="5">
        <f>IF($A157="","",IF(AND($U157="Unique",ISNUMBER($P157)),1,0))</f>
        <v>1</v>
      </c>
      <c r="W157" s="5" t="str">
        <f>IF($A157="","",IF(OR($H157=0,$H157=6),"Weekend","Weekday"))</f>
        <v>Weekday</v>
      </c>
      <c r="X157" s="5" t="str">
        <f>IF($A157="","",TEXT($B157,"ddd"))</f>
        <v>Fri</v>
      </c>
      <c r="Y157" s="5" t="str">
        <f>IF($A157="","",TEXT($B157,"mmm"))</f>
        <v>Jan</v>
      </c>
      <c r="Z157" s="5" t="str">
        <f>IF($A157="","",IFERROR(VLOOKUP($C157,Lookups!$D$4:$E$7,2,FALSE),"Unknown"))</f>
        <v>Winter</v>
      </c>
      <c r="AA157" s="5" t="str">
        <f>IF($A157="","",IFERROR(VLOOKUP($I157,Lookups!$A$4:$B$7,2,FALSE),"Unknown"))</f>
        <v>Clear</v>
      </c>
      <c r="AB157" s="5" t="str">
        <f>IF($A157="","",TEXT($F157,"00")&amp;":00")</f>
        <v>18:00</v>
      </c>
      <c r="AC157" s="5" t="str">
        <f>IF($A157="","",VLOOKUP($F157,Lookups!$G$4:$H$8,2,TRUE))</f>
        <v>Evening Peak (16-19)</v>
      </c>
      <c r="AD157" s="18">
        <f>IF($A157="","",IF($J157="","",ROUND($J157*41,1)))</f>
        <v>8.2</v>
      </c>
      <c r="AE157" s="18">
        <f>IF($A157="","",IF($R157="","",ROUND($R157*50,1)))</f>
        <v>11.4</v>
      </c>
      <c r="AF157" s="5">
        <f>IF($A157="","",IF($L157="","",ROUND($L157*100,0)))</f>
        <v>40</v>
      </c>
      <c r="AG157" s="18">
        <f>IF($A157="","",IF($M157="","",ROUND($M157*67,1)))</f>
        <v>6</v>
      </c>
      <c r="AH157" s="19">
        <f>IF($A157="","",IF($P157="","",IF($P157=0,0,$O157/$P157)))</f>
        <v>0.943089430894309</v>
      </c>
      <c r="AI157" s="5" t="str">
        <f>IF($A157="","",IF($P157="","",IF($P157&gt;=Lookups!$K$7,"High",IF($P157&lt;=Lookups!$K$8,"Low","Medium"))))</f>
        <v>High</v>
      </c>
      <c r="AJ157" s="5" t="str">
        <f>IF($A157="","",IF($AD157="","",IF($AD157&lt;5,"Under 5 C",IF($AD157&lt;10,"5-10 C",IF($AD157&lt;15,"10-15 C","15 C and above")))))</f>
        <v>5-10 C</v>
      </c>
      <c r="AK157" s="5">
        <f>IF($A157="","",IF($P157="","",$P157^2))</f>
        <v>15129</v>
      </c>
      <c r="AL157" s="18">
        <f>IF($V157&lt;&gt;1,"",AVERAGEIFS(Clean_Data!$P$2:$P$1001,Clean_Data!$F$2:$F$1001,$F157,Clean_Data!$W$2:$W$1001,$W157,Clean_Data!$V$2:$V$1001,1))</f>
        <v>151.206896551724</v>
      </c>
      <c r="AM157" s="16">
        <f>IF($V157&lt;&gt;1,"",IFERROR(($P157-$AL157)/SQRT(MAX(0,(SUMIFS(Clean_Data!$AK$2:$AK$1001,Clean_Data!$F$2:$F$1001,$F157,Clean_Data!$W$2:$W$1001,$W157,Clean_Data!$V$2:$V$1001,1)-COUNTIFS(Clean_Data!$F$2:$F$1001,$F157,Clean_Data!$W$2:$W$1001,$W157,Clean_Data!$V$2:$V$1001,1)*$AL157^2)/(COUNTIFS(Clean_Data!$F$2:$F$1001,$F157,Clean_Data!$W$2:$W$1001,$W157,Clean_Data!$V$2:$V$1001,1)-1))),""))</f>
        <v>-0.961074038637274</v>
      </c>
      <c r="AN157" s="5" t="str">
        <f>IF($AM157="","",IF($AM157&gt;=Lookups!$K$6,"High spike",IF($AM157&lt;=-Lookups!$K$6,"Unusual low","Normal")))</f>
        <v>Normal</v>
      </c>
      <c r="AO157" s="20">
        <f>IF($V157&lt;&gt;1,"",$P157+ROW()/100000)</f>
        <v>123.00157</v>
      </c>
      <c r="AP157" s="5">
        <f>IF($A157="","",IFERROR(MATCH($A157,Raw_D1!$A$2:$A$1001,0),""))</f>
        <v>156</v>
      </c>
      <c r="AQ157" s="5">
        <f>IF($A157="","",IFERROR(MATCH($A157,Raw_D2!$B$2:$B$1001,0),""))</f>
        <v>156</v>
      </c>
      <c r="AR157" s="5">
        <f>IF($A157="","",IFERROR(MATCH($A157,Raw_D3!$A$2:$A$1001,0),""))</f>
        <v/>
      </c>
    </row>
    <row r="158" spans="1:44" x14ac:dyDescent="0.25">
      <c r="A158" s="5">
        <v>157</v>
      </c>
      <c r="B158" s="11">
        <f>IF($A158="","",IF($AP158&lt;&gt;"",INDEX(Raw_D1!$B$2:$B$1001,$AP158),IF($AR158&lt;&gt;"",INDEX(Raw_D3!$B$2:$B$1001,$AR158),"")))</f>
        <v>40550.0</v>
      </c>
      <c r="C158" s="5">
        <f>IF($A158="","",IF($AP158&lt;&gt;"",INDEX(Raw_D1!$C$2:$C$1001,$AP158),IF($AR158&lt;&gt;"",INDEX(Raw_D3!$C$2:$C$1001,$AR158),"")))</f>
        <v>1</v>
      </c>
      <c r="D158" s="5">
        <f>IF($A158="","",IF($AP158&lt;&gt;"",INDEX(Raw_D1!$D$2:$D$1001,$AP158),IF($AR158&lt;&gt;"",INDEX(Raw_D3!$D$2:$D$1001,$AR158),"")))</f>
        <v>0</v>
      </c>
      <c r="E158" s="5">
        <f>IF($A158="","",IF($AP158&lt;&gt;"",INDEX(Raw_D1!$E$2:$E$1001,$AP158),IF($AR158&lt;&gt;"",INDEX(Raw_D3!$E$2:$E$1001,$AR158),"")))</f>
        <v>1</v>
      </c>
      <c r="F158" s="5">
        <f>IF($A158="","",IF($AP158&lt;&gt;"",INDEX(Raw_D1!$F$2:$F$1001,$AP158),IF($AR158&lt;&gt;"",INDEX(Raw_D3!$F$2:$F$1001,$AR158),"")))</f>
        <v>19</v>
      </c>
      <c r="G158" s="5">
        <f>IF($A158="","",IF($AP158&lt;&gt;"",IF(INDEX(Raw_D1!$G$2:$G$1001,$AP158),1,0),IF($AR158&lt;&gt;"",IF(INDEX(Raw_D3!$G$2:$G$1001,$AR158),1,0),"")))</f>
        <v>0</v>
      </c>
      <c r="H158" s="5">
        <f>IF($A158="","",IF($AP158&lt;&gt;"",INDEX(Raw_D1!$H$2:$H$1001,$AP158),IF($AR158&lt;&gt;"",INDEX(Raw_D3!$H$2:$H$1001,$AR158),"")))</f>
        <v>5</v>
      </c>
      <c r="I158" s="5">
        <f>IF($A158="","",IF($AP158&lt;&gt;"",INDEX(Raw_D1!$I$2:$I$1001,$AP158),IF($AR158&lt;&gt;"",INDEX(Raw_D3!$I$2:$I$1001,$AR158),"")))</f>
        <v>1</v>
      </c>
      <c r="J158" s="16">
        <f>IF($A158="","",IF($AP158&lt;&gt;"",INDEX(Raw_D1!$J$2:$J$1001,$AP158),IF($AR158&lt;&gt;"",INDEX(Raw_D3!$J$2:$J$1001,$AR158),"")))</f>
        <v>0.16</v>
      </c>
      <c r="K158" s="17">
        <f>IF($A158="","",IF($AQ158&lt;&gt;"",IF(INDEX(Raw_D2!$C$2:$C$1001,$AQ158)="","",INDEX(Raw_D2!$C$2:$C$1001,$AQ158)),IF($AR158&lt;&gt;"",IF(INDEX(Raw_D3!$K$2:$K$1001,$AR158)="","",INDEX(Raw_D3!$K$2:$K$1001,$AR158)),"")))</f>
        <v>0.197</v>
      </c>
      <c r="L158" s="16">
        <f>IF($A158="","",IF($AQ158&lt;&gt;"",IF(INDEX(Raw_D2!$D$2:$D$1001,$AQ158)="","",INDEX(Raw_D2!$D$2:$D$1001,$AQ158)),IF($AR158&lt;&gt;"",IF(INDEX(Raw_D3!$L$2:$L$1001,$AR158)="","",INDEX(Raw_D3!$L$2:$L$1001,$AR158)),"")))</f>
        <v>0.55</v>
      </c>
      <c r="M158" s="17">
        <f>IF($A158="","",IF($AQ158&lt;&gt;"",IF(INDEX(Raw_D2!$E$2:$E$1001,$AQ158)="","",INDEX(Raw_D2!$E$2:$E$1001,$AQ158)),IF($AR158&lt;&gt;"",IF(INDEX(Raw_D3!$M$2:$M$1001,$AR158)="","",INDEX(Raw_D3!$M$2:$M$1001,$AR158)),"")))</f>
        <v>0.0896</v>
      </c>
      <c r="N158" s="5">
        <f>IF($A158="","",IF($AQ158&lt;&gt;"",IF(INDEX(Raw_D2!$F$2:$F$1001,$AQ158)="","",INDEX(Raw_D2!$F$2:$F$1001,$AQ158)),IF($AR158&lt;&gt;"",IF(INDEX(Raw_D3!$N$2:$N$1001,$AR158)="","",INDEX(Raw_D3!$N$2:$N$1001,$AR158)),"")))</f>
        <v>3</v>
      </c>
      <c r="O158" s="5">
        <f>IF($A158="","",IF($AQ158&lt;&gt;"",IF(INDEX(Raw_D2!$G$2:$G$1001,$AQ158)="","",INDEX(Raw_D2!$G$2:$G$1001,$AQ158)),IF($AR158&lt;&gt;"",IF(INDEX(Raw_D3!$O$2:$O$1001,$AR158)="","",INDEX(Raw_D3!$O$2:$O$1001,$AR158)),"")))</f>
        <v>92</v>
      </c>
      <c r="P158" s="5">
        <f>IF($A158="","",IF($AQ158&lt;&gt;"",IF(INDEX(Raw_D2!$H$2:$H$1001,$AQ158)="","",INDEX(Raw_D2!$H$2:$H$1001,$AQ158)),IF($AR158&lt;&gt;"",IF(INDEX(Raw_D3!$P$2:$P$1001,$AR158)="","",INDEX(Raw_D3!$P$2:$P$1001,$AR158)),"")))</f>
        <v>95</v>
      </c>
      <c r="Q158" s="5" t="str">
        <f>IF($A158="","",IF(AND($AP158&lt;&gt;"",$AQ158&lt;&gt;""),"D1+D2",IF($AR158&lt;&gt;"","D3","Incomplete")))</f>
        <v>D1+D2</v>
      </c>
      <c r="R158" s="17">
        <f>IF($A158="","",IF($K158="",IF($J158="","",ROUND(Lookups!$K$5+Lookups!$K$4*$J158,4)),$K158))</f>
        <v>0.197</v>
      </c>
      <c r="S158" s="5" t="str">
        <f>IF($A158="","",IF($K158="","Imputed","Original"))</f>
        <v>Original</v>
      </c>
      <c r="T158" s="5" t="str">
        <f>IF($A158="","",IF($P158="","Missing",IF($P158=$N158+$O158,"OK","Mismatch")))</f>
        <v>OK</v>
      </c>
      <c r="U158" s="5" t="str">
        <f>IF($A158="","",IF(COUNTIF($A$2:$A158,$A158)&gt;1,"Duplicate","Unique"))</f>
        <v>Unique</v>
      </c>
      <c r="V158" s="5">
        <f>IF($A158="","",IF(AND($U158="Unique",ISNUMBER($P158)),1,0))</f>
        <v>1</v>
      </c>
      <c r="W158" s="5" t="str">
        <f>IF($A158="","",IF(OR($H158=0,$H158=6),"Weekend","Weekday"))</f>
        <v>Weekday</v>
      </c>
      <c r="X158" s="5" t="str">
        <f>IF($A158="","",TEXT($B158,"ddd"))</f>
        <v>Fri</v>
      </c>
      <c r="Y158" s="5" t="str">
        <f>IF($A158="","",TEXT($B158,"mmm"))</f>
        <v>Jan</v>
      </c>
      <c r="Z158" s="5" t="str">
        <f>IF($A158="","",IFERROR(VLOOKUP($C158,Lookups!$D$4:$E$7,2,FALSE),"Unknown"))</f>
        <v>Winter</v>
      </c>
      <c r="AA158" s="5" t="str">
        <f>IF($A158="","",IFERROR(VLOOKUP($I158,Lookups!$A$4:$B$7,2,FALSE),"Unknown"))</f>
        <v>Clear</v>
      </c>
      <c r="AB158" s="5" t="str">
        <f>IF($A158="","",TEXT($F158,"00")&amp;":00")</f>
        <v>19:00</v>
      </c>
      <c r="AC158" s="5" t="str">
        <f>IF($A158="","",VLOOKUP($F158,Lookups!$G$4:$H$8,2,TRUE))</f>
        <v>Evening Peak (16-19)</v>
      </c>
      <c r="AD158" s="18">
        <f>IF($A158="","",IF($J158="","",ROUND($J158*41,1)))</f>
        <v>6.6</v>
      </c>
      <c r="AE158" s="18">
        <f>IF($A158="","",IF($R158="","",ROUND($R158*50,1)))</f>
        <v>9.9</v>
      </c>
      <c r="AF158" s="5">
        <f>IF($A158="","",IF($L158="","",ROUND($L158*100,0)))</f>
        <v>55</v>
      </c>
      <c r="AG158" s="18">
        <f>IF($A158="","",IF($M158="","",ROUND($M158*67,1)))</f>
        <v>6</v>
      </c>
      <c r="AH158" s="19">
        <f>IF($A158="","",IF($P158="","",IF($P158=0,0,$O158/$P158)))</f>
        <v>0.968421052631579</v>
      </c>
      <c r="AI158" s="5" t="str">
        <f>IF($A158="","",IF($P158="","",IF($P158&gt;=Lookups!$K$7,"High",IF($P158&lt;=Lookups!$K$8,"Low","Medium"))))</f>
        <v>High</v>
      </c>
      <c r="AJ158" s="5" t="str">
        <f>IF($A158="","",IF($AD158="","",IF($AD158&lt;5,"Under 5 C",IF($AD158&lt;10,"5-10 C",IF($AD158&lt;15,"10-15 C","15 C and above")))))</f>
        <v>5-10 C</v>
      </c>
      <c r="AK158" s="5">
        <f>IF($A158="","",IF($P158="","",$P158^2))</f>
        <v>9025</v>
      </c>
      <c r="AL158" s="18">
        <f>IF($V158&lt;&gt;1,"",AVERAGEIFS(Clean_Data!$P$2:$P$1001,Clean_Data!$F$2:$F$1001,$F158,Clean_Data!$W$2:$W$1001,$W158,Clean_Data!$V$2:$V$1001,1))</f>
        <v>102.034482758621</v>
      </c>
      <c r="AM158" s="16">
        <f>IF($V158&lt;&gt;1,"",IFERROR(($P158-$AL158)/SQRT(MAX(0,(SUMIFS(Clean_Data!$AK$2:$AK$1001,Clean_Data!$F$2:$F$1001,$F158,Clean_Data!$W$2:$W$1001,$W158,Clean_Data!$V$2:$V$1001,1)-COUNTIFS(Clean_Data!$F$2:$F$1001,$F158,Clean_Data!$W$2:$W$1001,$W158,Clean_Data!$V$2:$V$1001,1)*$AL158^2)/(COUNTIFS(Clean_Data!$F$2:$F$1001,$F158,Clean_Data!$W$2:$W$1001,$W158,Clean_Data!$V$2:$V$1001,1)-1))),""))</f>
        <v>-0.331070939983902</v>
      </c>
      <c r="AN158" s="5" t="str">
        <f>IF($AM158="","",IF($AM158&gt;=Lookups!$K$6,"High spike",IF($AM158&lt;=-Lookups!$K$6,"Unusual low","Normal")))</f>
        <v>Normal</v>
      </c>
      <c r="AO158" s="20">
        <f>IF($V158&lt;&gt;1,"",$P158+ROW()/100000)</f>
        <v>95.00158</v>
      </c>
      <c r="AP158" s="5">
        <f>IF($A158="","",IFERROR(MATCH($A158,Raw_D1!$A$2:$A$1001,0),""))</f>
        <v>157</v>
      </c>
      <c r="AQ158" s="5">
        <f>IF($A158="","",IFERROR(MATCH($A158,Raw_D2!$B$2:$B$1001,0),""))</f>
        <v>157</v>
      </c>
      <c r="AR158" s="5">
        <f>IF($A158="","",IFERROR(MATCH($A158,Raw_D3!$A$2:$A$1001,0),""))</f>
        <v/>
      </c>
    </row>
    <row r="159" spans="1:44" x14ac:dyDescent="0.25">
      <c r="A159" s="5">
        <v>158</v>
      </c>
      <c r="B159" s="11">
        <f>IF($A159="","",IF($AP159&lt;&gt;"",INDEX(Raw_D1!$B$2:$B$1001,$AP159),IF($AR159&lt;&gt;"",INDEX(Raw_D3!$B$2:$B$1001,$AR159),"")))</f>
        <v>40550.0</v>
      </c>
      <c r="C159" s="5">
        <f>IF($A159="","",IF($AP159&lt;&gt;"",INDEX(Raw_D1!$C$2:$C$1001,$AP159),IF($AR159&lt;&gt;"",INDEX(Raw_D3!$C$2:$C$1001,$AR159),"")))</f>
        <v>1</v>
      </c>
      <c r="D159" s="5">
        <f>IF($A159="","",IF($AP159&lt;&gt;"",INDEX(Raw_D1!$D$2:$D$1001,$AP159),IF($AR159&lt;&gt;"",INDEX(Raw_D3!$D$2:$D$1001,$AR159),"")))</f>
        <v>0</v>
      </c>
      <c r="E159" s="5">
        <f>IF($A159="","",IF($AP159&lt;&gt;"",INDEX(Raw_D1!$E$2:$E$1001,$AP159),IF($AR159&lt;&gt;"",INDEX(Raw_D3!$E$2:$E$1001,$AR159),"")))</f>
        <v>1</v>
      </c>
      <c r="F159" s="5">
        <f>IF($A159="","",IF($AP159&lt;&gt;"",INDEX(Raw_D1!$F$2:$F$1001,$AP159),IF($AR159&lt;&gt;"",INDEX(Raw_D3!$F$2:$F$1001,$AR159),"")))</f>
        <v>20</v>
      </c>
      <c r="G159" s="5">
        <f>IF($A159="","",IF($AP159&lt;&gt;"",IF(INDEX(Raw_D1!$G$2:$G$1001,$AP159),1,0),IF($AR159&lt;&gt;"",IF(INDEX(Raw_D3!$G$2:$G$1001,$AR159),1,0),"")))</f>
        <v>0</v>
      </c>
      <c r="H159" s="5">
        <f>IF($A159="","",IF($AP159&lt;&gt;"",INDEX(Raw_D1!$H$2:$H$1001,$AP159),IF($AR159&lt;&gt;"",INDEX(Raw_D3!$H$2:$H$1001,$AR159),"")))</f>
        <v>5</v>
      </c>
      <c r="I159" s="5">
        <f>IF($A159="","",IF($AP159&lt;&gt;"",INDEX(Raw_D1!$I$2:$I$1001,$AP159),IF($AR159&lt;&gt;"",INDEX(Raw_D3!$I$2:$I$1001,$AR159),"")))</f>
        <v>1</v>
      </c>
      <c r="J159" s="16">
        <f>IF($A159="","",IF($AP159&lt;&gt;"",INDEX(Raw_D1!$J$2:$J$1001,$AP159),IF($AR159&lt;&gt;"",INDEX(Raw_D3!$J$2:$J$1001,$AR159),"")))</f>
        <v>0.18</v>
      </c>
      <c r="K159" s="17">
        <f>IF($A159="","",IF($AQ159&lt;&gt;"",IF(INDEX(Raw_D2!$C$2:$C$1001,$AQ159)="","",INDEX(Raw_D2!$C$2:$C$1001,$AQ159)),IF($AR159&lt;&gt;"",IF(INDEX(Raw_D3!$K$2:$K$1001,$AR159)="","",INDEX(Raw_D3!$K$2:$K$1001,$AR159)),"")))</f>
        <v>0.2121</v>
      </c>
      <c r="L159" s="16">
        <f>IF($A159="","",IF($AQ159&lt;&gt;"",IF(INDEX(Raw_D2!$D$2:$D$1001,$AQ159)="","",INDEX(Raw_D2!$D$2:$D$1001,$AQ159)),IF($AR159&lt;&gt;"",IF(INDEX(Raw_D3!$L$2:$L$1001,$AR159)="","",INDEX(Raw_D3!$L$2:$L$1001,$AR159)),"")))</f>
        <v>0.47</v>
      </c>
      <c r="M159" s="17">
        <f>IF($A159="","",IF($AQ159&lt;&gt;"",IF(INDEX(Raw_D2!$E$2:$E$1001,$AQ159)="","",INDEX(Raw_D2!$E$2:$E$1001,$AQ159)),IF($AR159&lt;&gt;"",IF(INDEX(Raw_D3!$M$2:$M$1001,$AR159)="","",INDEX(Raw_D3!$M$2:$M$1001,$AR159)),"")))</f>
        <v>0.1045</v>
      </c>
      <c r="N159" s="5">
        <f>IF($A159="","",IF($AQ159&lt;&gt;"",IF(INDEX(Raw_D2!$F$2:$F$1001,$AQ159)="","",INDEX(Raw_D2!$F$2:$F$1001,$AQ159)),IF($AR159&lt;&gt;"",IF(INDEX(Raw_D3!$N$2:$N$1001,$AR159)="","",INDEX(Raw_D3!$N$2:$N$1001,$AR159)),"")))</f>
        <v>1</v>
      </c>
      <c r="O159" s="5">
        <f>IF($A159="","",IF($AQ159&lt;&gt;"",IF(INDEX(Raw_D2!$G$2:$G$1001,$AQ159)="","",INDEX(Raw_D2!$G$2:$G$1001,$AQ159)),IF($AR159&lt;&gt;"",IF(INDEX(Raw_D3!$O$2:$O$1001,$AR159)="","",INDEX(Raw_D3!$O$2:$O$1001,$AR159)),"")))</f>
        <v>50</v>
      </c>
      <c r="P159" s="5">
        <f>IF($A159="","",IF($AQ159&lt;&gt;"",IF(INDEX(Raw_D2!$H$2:$H$1001,$AQ159)="","",INDEX(Raw_D2!$H$2:$H$1001,$AQ159)),IF($AR159&lt;&gt;"",IF(INDEX(Raw_D3!$P$2:$P$1001,$AR159)="","",INDEX(Raw_D3!$P$2:$P$1001,$AR159)),"")))</f>
        <v>51</v>
      </c>
      <c r="Q159" s="5" t="str">
        <f>IF($A159="","",IF(AND($AP159&lt;&gt;"",$AQ159&lt;&gt;""),"D1+D2",IF($AR159&lt;&gt;"","D3","Incomplete")))</f>
        <v>D1+D2</v>
      </c>
      <c r="R159" s="17">
        <f>IF($A159="","",IF($K159="",IF($J159="","",ROUND(Lookups!$K$5+Lookups!$K$4*$J159,4)),$K159))</f>
        <v>0.2121</v>
      </c>
      <c r="S159" s="5" t="str">
        <f>IF($A159="","",IF($K159="","Imputed","Original"))</f>
        <v>Original</v>
      </c>
      <c r="T159" s="5" t="str">
        <f>IF($A159="","",IF($P159="","Missing",IF($P159=$N159+$O159,"OK","Mismatch")))</f>
        <v>OK</v>
      </c>
      <c r="U159" s="5" t="str">
        <f>IF($A159="","",IF(COUNTIF($A$2:$A159,$A159)&gt;1,"Duplicate","Unique"))</f>
        <v>Unique</v>
      </c>
      <c r="V159" s="5">
        <f>IF($A159="","",IF(AND($U159="Unique",ISNUMBER($P159)),1,0))</f>
        <v>1</v>
      </c>
      <c r="W159" s="5" t="str">
        <f>IF($A159="","",IF(OR($H159=0,$H159=6),"Weekend","Weekday"))</f>
        <v>Weekday</v>
      </c>
      <c r="X159" s="5" t="str">
        <f>IF($A159="","",TEXT($B159,"ddd"))</f>
        <v>Fri</v>
      </c>
      <c r="Y159" s="5" t="str">
        <f>IF($A159="","",TEXT($B159,"mmm"))</f>
        <v>Jan</v>
      </c>
      <c r="Z159" s="5" t="str">
        <f>IF($A159="","",IFERROR(VLOOKUP($C159,Lookups!$D$4:$E$7,2,FALSE),"Unknown"))</f>
        <v>Winter</v>
      </c>
      <c r="AA159" s="5" t="str">
        <f>IF($A159="","",IFERROR(VLOOKUP($I159,Lookups!$A$4:$B$7,2,FALSE),"Unknown"))</f>
        <v>Clear</v>
      </c>
      <c r="AB159" s="5" t="str">
        <f>IF($A159="","",TEXT($F159,"00")&amp;":00")</f>
        <v>20:00</v>
      </c>
      <c r="AC159" s="5" t="str">
        <f>IF($A159="","",VLOOKUP($F159,Lookups!$G$4:$H$8,2,TRUE))</f>
        <v>Late Evening (20-23)</v>
      </c>
      <c r="AD159" s="18">
        <f>IF($A159="","",IF($J159="","",ROUND($J159*41,1)))</f>
        <v>7.4</v>
      </c>
      <c r="AE159" s="18">
        <f>IF($A159="","",IF($R159="","",ROUND($R159*50,1)))</f>
        <v>10.6</v>
      </c>
      <c r="AF159" s="5">
        <f>IF($A159="","",IF($L159="","",ROUND($L159*100,0)))</f>
        <v>47</v>
      </c>
      <c r="AG159" s="18">
        <f>IF($A159="","",IF($M159="","",ROUND($M159*67,1)))</f>
        <v>7</v>
      </c>
      <c r="AH159" s="19">
        <f>IF($A159="","",IF($P159="","",IF($P159=0,0,$O159/$P159)))</f>
        <v>0.980392156862745</v>
      </c>
      <c r="AI159" s="5" t="str">
        <f>IF($A159="","",IF($P159="","",IF($P159&gt;=Lookups!$K$7,"High",IF($P159&lt;=Lookups!$K$8,"Low","Medium"))))</f>
        <v>Medium</v>
      </c>
      <c r="AJ159" s="5" t="str">
        <f>IF($A159="","",IF($AD159="","",IF($AD159&lt;5,"Under 5 C",IF($AD159&lt;10,"5-10 C",IF($AD159&lt;15,"10-15 C","15 C and above")))))</f>
        <v>5-10 C</v>
      </c>
      <c r="AK159" s="5">
        <f>IF($A159="","",IF($P159="","",$P159^2))</f>
        <v>2601</v>
      </c>
      <c r="AL159" s="18">
        <f>IF($V159&lt;&gt;1,"",AVERAGEIFS(Clean_Data!$P$2:$P$1001,Clean_Data!$F$2:$F$1001,$F159,Clean_Data!$W$2:$W$1001,$W159,Clean_Data!$V$2:$V$1001,1))</f>
        <v>72.2758620689655</v>
      </c>
      <c r="AM159" s="16">
        <f>IF($V159&lt;&gt;1,"",IFERROR(($P159-$AL159)/SQRT(MAX(0,(SUMIFS(Clean_Data!$AK$2:$AK$1001,Clean_Data!$F$2:$F$1001,$F159,Clean_Data!$W$2:$W$1001,$W159,Clean_Data!$V$2:$V$1001,1)-COUNTIFS(Clean_Data!$F$2:$F$1001,$F159,Clean_Data!$W$2:$W$1001,$W159,Clean_Data!$V$2:$V$1001,1)*$AL159^2)/(COUNTIFS(Clean_Data!$F$2:$F$1001,$F159,Clean_Data!$W$2:$W$1001,$W159,Clean_Data!$V$2:$V$1001,1)-1))),""))</f>
        <v>-0.962697670367577</v>
      </c>
      <c r="AN159" s="5" t="str">
        <f>IF($AM159="","",IF($AM159&gt;=Lookups!$K$6,"High spike",IF($AM159&lt;=-Lookups!$K$6,"Unusual low","Normal")))</f>
        <v>Normal</v>
      </c>
      <c r="AO159" s="20">
        <f>IF($V159&lt;&gt;1,"",$P159+ROW()/100000)</f>
        <v>51.00159</v>
      </c>
      <c r="AP159" s="5">
        <f>IF($A159="","",IFERROR(MATCH($A159,Raw_D1!$A$2:$A$1001,0),""))</f>
        <v>158</v>
      </c>
      <c r="AQ159" s="5">
        <f>IF($A159="","",IFERROR(MATCH($A159,Raw_D2!$B$2:$B$1001,0),""))</f>
        <v>158</v>
      </c>
      <c r="AR159" s="5">
        <f>IF($A159="","",IFERROR(MATCH($A159,Raw_D3!$A$2:$A$1001,0),""))</f>
        <v/>
      </c>
    </row>
    <row r="160" spans="1:44" x14ac:dyDescent="0.25">
      <c r="A160" s="5">
        <v>159</v>
      </c>
      <c r="B160" s="11">
        <f>IF($A160="","",IF($AP160&lt;&gt;"",INDEX(Raw_D1!$B$2:$B$1001,$AP160),IF($AR160&lt;&gt;"",INDEX(Raw_D3!$B$2:$B$1001,$AR160),"")))</f>
        <v>40550.0</v>
      </c>
      <c r="C160" s="5">
        <f>IF($A160="","",IF($AP160&lt;&gt;"",INDEX(Raw_D1!$C$2:$C$1001,$AP160),IF($AR160&lt;&gt;"",INDEX(Raw_D3!$C$2:$C$1001,$AR160),"")))</f>
        <v>1</v>
      </c>
      <c r="D160" s="5">
        <f>IF($A160="","",IF($AP160&lt;&gt;"",INDEX(Raw_D1!$D$2:$D$1001,$AP160),IF($AR160&lt;&gt;"",INDEX(Raw_D3!$D$2:$D$1001,$AR160),"")))</f>
        <v>0</v>
      </c>
      <c r="E160" s="5">
        <f>IF($A160="","",IF($AP160&lt;&gt;"",INDEX(Raw_D1!$E$2:$E$1001,$AP160),IF($AR160&lt;&gt;"",INDEX(Raw_D3!$E$2:$E$1001,$AR160),"")))</f>
        <v>1</v>
      </c>
      <c r="F160" s="5">
        <f>IF($A160="","",IF($AP160&lt;&gt;"",INDEX(Raw_D1!$F$2:$F$1001,$AP160),IF($AR160&lt;&gt;"",INDEX(Raw_D3!$F$2:$F$1001,$AR160),"")))</f>
        <v>21</v>
      </c>
      <c r="G160" s="5">
        <f>IF($A160="","",IF($AP160&lt;&gt;"",IF(INDEX(Raw_D1!$G$2:$G$1001,$AP160),1,0),IF($AR160&lt;&gt;"",IF(INDEX(Raw_D3!$G$2:$G$1001,$AR160),1,0),"")))</f>
        <v>0</v>
      </c>
      <c r="H160" s="5">
        <f>IF($A160="","",IF($AP160&lt;&gt;"",INDEX(Raw_D1!$H$2:$H$1001,$AP160),IF($AR160&lt;&gt;"",INDEX(Raw_D3!$H$2:$H$1001,$AR160),"")))</f>
        <v>5</v>
      </c>
      <c r="I160" s="5">
        <f>IF($A160="","",IF($AP160&lt;&gt;"",INDEX(Raw_D1!$I$2:$I$1001,$AP160),IF($AR160&lt;&gt;"",INDEX(Raw_D3!$I$2:$I$1001,$AR160),"")))</f>
        <v>1</v>
      </c>
      <c r="J160" s="16">
        <f>IF($A160="","",IF($AP160&lt;&gt;"",INDEX(Raw_D1!$J$2:$J$1001,$AP160),IF($AR160&lt;&gt;"",INDEX(Raw_D3!$J$2:$J$1001,$AR160),"")))</f>
        <v>0.18</v>
      </c>
      <c r="K160" s="17">
        <f>IF($A160="","",IF($AQ160&lt;&gt;"",IF(INDEX(Raw_D2!$C$2:$C$1001,$AQ160)="","",INDEX(Raw_D2!$C$2:$C$1001,$AQ160)),IF($AR160&lt;&gt;"",IF(INDEX(Raw_D3!$K$2:$K$1001,$AR160)="","",INDEX(Raw_D3!$K$2:$K$1001,$AR160)),"")))</f>
        <v>0.197</v>
      </c>
      <c r="L160" s="16">
        <f>IF($A160="","",IF($AQ160&lt;&gt;"",IF(INDEX(Raw_D2!$D$2:$D$1001,$AQ160)="","",INDEX(Raw_D2!$D$2:$D$1001,$AQ160)),IF($AR160&lt;&gt;"",IF(INDEX(Raw_D3!$L$2:$L$1001,$AR160)="","",INDEX(Raw_D3!$L$2:$L$1001,$AR160)),"")))</f>
        <v>0.47</v>
      </c>
      <c r="M160" s="17">
        <f>IF($A160="","",IF($AQ160&lt;&gt;"",IF(INDEX(Raw_D2!$E$2:$E$1001,$AQ160)="","",INDEX(Raw_D2!$E$2:$E$1001,$AQ160)),IF($AR160&lt;&gt;"",IF(INDEX(Raw_D3!$M$2:$M$1001,$AR160)="","",INDEX(Raw_D3!$M$2:$M$1001,$AR160)),"")))</f>
        <v>0.1343</v>
      </c>
      <c r="N160" s="5">
        <f>IF($A160="","",IF($AQ160&lt;&gt;"",IF(INDEX(Raw_D2!$F$2:$F$1001,$AQ160)="","",INDEX(Raw_D2!$F$2:$F$1001,$AQ160)),IF($AR160&lt;&gt;"",IF(INDEX(Raw_D3!$N$2:$N$1001,$AR160)="","",INDEX(Raw_D3!$N$2:$N$1001,$AR160)),"")))</f>
        <v>0</v>
      </c>
      <c r="O160" s="5">
        <f>IF($A160="","",IF($AQ160&lt;&gt;"",IF(INDEX(Raw_D2!$G$2:$G$1001,$AQ160)="","",INDEX(Raw_D2!$G$2:$G$1001,$AQ160)),IF($AR160&lt;&gt;"",IF(INDEX(Raw_D3!$O$2:$O$1001,$AR160)="","",INDEX(Raw_D3!$O$2:$O$1001,$AR160)),"")))</f>
        <v>39</v>
      </c>
      <c r="P160" s="5">
        <f>IF($A160="","",IF($AQ160&lt;&gt;"",IF(INDEX(Raw_D2!$H$2:$H$1001,$AQ160)="","",INDEX(Raw_D2!$H$2:$H$1001,$AQ160)),IF($AR160&lt;&gt;"",IF(INDEX(Raw_D3!$P$2:$P$1001,$AR160)="","",INDEX(Raw_D3!$P$2:$P$1001,$AR160)),"")))</f>
        <v>39</v>
      </c>
      <c r="Q160" s="5" t="str">
        <f>IF($A160="","",IF(AND($AP160&lt;&gt;"",$AQ160&lt;&gt;""),"D1+D2",IF($AR160&lt;&gt;"","D3","Incomplete")))</f>
        <v>D1+D2</v>
      </c>
      <c r="R160" s="17">
        <f>IF($A160="","",IF($K160="",IF($J160="","",ROUND(Lookups!$K$5+Lookups!$K$4*$J160,4)),$K160))</f>
        <v>0.197</v>
      </c>
      <c r="S160" s="5" t="str">
        <f>IF($A160="","",IF($K160="","Imputed","Original"))</f>
        <v>Original</v>
      </c>
      <c r="T160" s="5" t="str">
        <f>IF($A160="","",IF($P160="","Missing",IF($P160=$N160+$O160,"OK","Mismatch")))</f>
        <v>OK</v>
      </c>
      <c r="U160" s="5" t="str">
        <f>IF($A160="","",IF(COUNTIF($A$2:$A160,$A160)&gt;1,"Duplicate","Unique"))</f>
        <v>Unique</v>
      </c>
      <c r="V160" s="5">
        <f>IF($A160="","",IF(AND($U160="Unique",ISNUMBER($P160)),1,0))</f>
        <v>1</v>
      </c>
      <c r="W160" s="5" t="str">
        <f>IF($A160="","",IF(OR($H160=0,$H160=6),"Weekend","Weekday"))</f>
        <v>Weekday</v>
      </c>
      <c r="X160" s="5" t="str">
        <f>IF($A160="","",TEXT($B160,"ddd"))</f>
        <v>Fri</v>
      </c>
      <c r="Y160" s="5" t="str">
        <f>IF($A160="","",TEXT($B160,"mmm"))</f>
        <v>Jan</v>
      </c>
      <c r="Z160" s="5" t="str">
        <f>IF($A160="","",IFERROR(VLOOKUP($C160,Lookups!$D$4:$E$7,2,FALSE),"Unknown"))</f>
        <v>Winter</v>
      </c>
      <c r="AA160" s="5" t="str">
        <f>IF($A160="","",IFERROR(VLOOKUP($I160,Lookups!$A$4:$B$7,2,FALSE),"Unknown"))</f>
        <v>Clear</v>
      </c>
      <c r="AB160" s="5" t="str">
        <f>IF($A160="","",TEXT($F160,"00")&amp;":00")</f>
        <v>21:00</v>
      </c>
      <c r="AC160" s="5" t="str">
        <f>IF($A160="","",VLOOKUP($F160,Lookups!$G$4:$H$8,2,TRUE))</f>
        <v>Late Evening (20-23)</v>
      </c>
      <c r="AD160" s="18">
        <f>IF($A160="","",IF($J160="","",ROUND($J160*41,1)))</f>
        <v>7.4</v>
      </c>
      <c r="AE160" s="18">
        <f>IF($A160="","",IF($R160="","",ROUND($R160*50,1)))</f>
        <v>9.9</v>
      </c>
      <c r="AF160" s="5">
        <f>IF($A160="","",IF($L160="","",ROUND($L160*100,0)))</f>
        <v>47</v>
      </c>
      <c r="AG160" s="18">
        <f>IF($A160="","",IF($M160="","",ROUND($M160*67,1)))</f>
        <v>9</v>
      </c>
      <c r="AH160" s="19">
        <f>IF($A160="","",IF($P160="","",IF($P160=0,0,$O160/$P160)))</f>
        <v>1</v>
      </c>
      <c r="AI160" s="5" t="str">
        <f>IF($A160="","",IF($P160="","",IF($P160&gt;=Lookups!$K$7,"High",IF($P160&lt;=Lookups!$K$8,"Low","Medium"))))</f>
        <v>Medium</v>
      </c>
      <c r="AJ160" s="5" t="str">
        <f>IF($A160="","",IF($AD160="","",IF($AD160&lt;5,"Under 5 C",IF($AD160&lt;10,"5-10 C",IF($AD160&lt;15,"10-15 C","15 C and above")))))</f>
        <v>5-10 C</v>
      </c>
      <c r="AK160" s="5">
        <f>IF($A160="","",IF($P160="","",$P160^2))</f>
        <v>1521</v>
      </c>
      <c r="AL160" s="18">
        <f>IF($V160&lt;&gt;1,"",AVERAGEIFS(Clean_Data!$P$2:$P$1001,Clean_Data!$F$2:$F$1001,$F160,Clean_Data!$W$2:$W$1001,$W160,Clean_Data!$V$2:$V$1001,1))</f>
        <v>50.8965517241379</v>
      </c>
      <c r="AM160" s="16">
        <f>IF($V160&lt;&gt;1,"",IFERROR(($P160-$AL160)/SQRT(MAX(0,(SUMIFS(Clean_Data!$AK$2:$AK$1001,Clean_Data!$F$2:$F$1001,$F160,Clean_Data!$W$2:$W$1001,$W160,Clean_Data!$V$2:$V$1001,1)-COUNTIFS(Clean_Data!$F$2:$F$1001,$F160,Clean_Data!$W$2:$W$1001,$W160,Clean_Data!$V$2:$V$1001,1)*$AL160^2)/(COUNTIFS(Clean_Data!$F$2:$F$1001,$F160,Clean_Data!$W$2:$W$1001,$W160,Clean_Data!$V$2:$V$1001,1)-1))),""))</f>
        <v>-0.861554539576901</v>
      </c>
      <c r="AN160" s="5" t="str">
        <f>IF($AM160="","",IF($AM160&gt;=Lookups!$K$6,"High spike",IF($AM160&lt;=-Lookups!$K$6,"Unusual low","Normal")))</f>
        <v>Normal</v>
      </c>
      <c r="AO160" s="20">
        <f>IF($V160&lt;&gt;1,"",$P160+ROW()/100000)</f>
        <v>39.0016</v>
      </c>
      <c r="AP160" s="5">
        <f>IF($A160="","",IFERROR(MATCH($A160,Raw_D1!$A$2:$A$1001,0),""))</f>
        <v>159</v>
      </c>
      <c r="AQ160" s="5">
        <f>IF($A160="","",IFERROR(MATCH($A160,Raw_D2!$B$2:$B$1001,0),""))</f>
        <v>159</v>
      </c>
      <c r="AR160" s="5">
        <f>IF($A160="","",IFERROR(MATCH($A160,Raw_D3!$A$2:$A$1001,0),""))</f>
        <v/>
      </c>
    </row>
    <row r="161" spans="1:44" x14ac:dyDescent="0.25">
      <c r="A161" s="5">
        <v>160</v>
      </c>
      <c r="B161" s="11">
        <f>IF($A161="","",IF($AP161&lt;&gt;"",INDEX(Raw_D1!$B$2:$B$1001,$AP161),IF($AR161&lt;&gt;"",INDEX(Raw_D3!$B$2:$B$1001,$AR161),"")))</f>
        <v>40550.0</v>
      </c>
      <c r="C161" s="5">
        <f>IF($A161="","",IF($AP161&lt;&gt;"",INDEX(Raw_D1!$C$2:$C$1001,$AP161),IF($AR161&lt;&gt;"",INDEX(Raw_D3!$C$2:$C$1001,$AR161),"")))</f>
        <v>1</v>
      </c>
      <c r="D161" s="5">
        <f>IF($A161="","",IF($AP161&lt;&gt;"",INDEX(Raw_D1!$D$2:$D$1001,$AP161),IF($AR161&lt;&gt;"",INDEX(Raw_D3!$D$2:$D$1001,$AR161),"")))</f>
        <v>0</v>
      </c>
      <c r="E161" s="5">
        <f>IF($A161="","",IF($AP161&lt;&gt;"",INDEX(Raw_D1!$E$2:$E$1001,$AP161),IF($AR161&lt;&gt;"",INDEX(Raw_D3!$E$2:$E$1001,$AR161),"")))</f>
        <v>1</v>
      </c>
      <c r="F161" s="5">
        <f>IF($A161="","",IF($AP161&lt;&gt;"",INDEX(Raw_D1!$F$2:$F$1001,$AP161),IF($AR161&lt;&gt;"",INDEX(Raw_D3!$F$2:$F$1001,$AR161),"")))</f>
        <v>22</v>
      </c>
      <c r="G161" s="5">
        <f>IF($A161="","",IF($AP161&lt;&gt;"",IF(INDEX(Raw_D1!$G$2:$G$1001,$AP161),1,0),IF($AR161&lt;&gt;"",IF(INDEX(Raw_D3!$G$2:$G$1001,$AR161),1,0),"")))</f>
        <v>0</v>
      </c>
      <c r="H161" s="5">
        <f>IF($A161="","",IF($AP161&lt;&gt;"",INDEX(Raw_D1!$H$2:$H$1001,$AP161),IF($AR161&lt;&gt;"",INDEX(Raw_D3!$H$2:$H$1001,$AR161),"")))</f>
        <v>5</v>
      </c>
      <c r="I161" s="5">
        <f>IF($A161="","",IF($AP161&lt;&gt;"",INDEX(Raw_D1!$I$2:$I$1001,$AP161),IF($AR161&lt;&gt;"",INDEX(Raw_D3!$I$2:$I$1001,$AR161),"")))</f>
        <v>2</v>
      </c>
      <c r="J161" s="16">
        <f>IF($A161="","",IF($AP161&lt;&gt;"",INDEX(Raw_D1!$J$2:$J$1001,$AP161),IF($AR161&lt;&gt;"",INDEX(Raw_D3!$J$2:$J$1001,$AR161),"")))</f>
        <v>0.18</v>
      </c>
      <c r="K161" s="17">
        <f>IF($A161="","",IF($AQ161&lt;&gt;"",IF(INDEX(Raw_D2!$C$2:$C$1001,$AQ161)="","",INDEX(Raw_D2!$C$2:$C$1001,$AQ161)),IF($AR161&lt;&gt;"",IF(INDEX(Raw_D3!$K$2:$K$1001,$AR161)="","",INDEX(Raw_D3!$K$2:$K$1001,$AR161)),"")))</f>
        <v>0.197</v>
      </c>
      <c r="L161" s="16">
        <f>IF($A161="","",IF($AQ161&lt;&gt;"",IF(INDEX(Raw_D2!$D$2:$D$1001,$AQ161)="","",INDEX(Raw_D2!$D$2:$D$1001,$AQ161)),IF($AR161&lt;&gt;"",IF(INDEX(Raw_D3!$L$2:$L$1001,$AR161)="","",INDEX(Raw_D3!$L$2:$L$1001,$AR161)),"")))</f>
        <v>0.43</v>
      </c>
      <c r="M161" s="17">
        <f>IF($A161="","",IF($AQ161&lt;&gt;"",IF(INDEX(Raw_D2!$E$2:$E$1001,$AQ161)="","",INDEX(Raw_D2!$E$2:$E$1001,$AQ161)),IF($AR161&lt;&gt;"",IF(INDEX(Raw_D3!$M$2:$M$1001,$AR161)="","",INDEX(Raw_D3!$M$2:$M$1001,$AR161)),"")))</f>
        <v>0.1642</v>
      </c>
      <c r="N161" s="5">
        <f>IF($A161="","",IF($AQ161&lt;&gt;"",IF(INDEX(Raw_D2!$F$2:$F$1001,$AQ161)="","",INDEX(Raw_D2!$F$2:$F$1001,$AQ161)),IF($AR161&lt;&gt;"",IF(INDEX(Raw_D3!$N$2:$N$1001,$AR161)="","",INDEX(Raw_D3!$N$2:$N$1001,$AR161)),"")))</f>
        <v>2</v>
      </c>
      <c r="O161" s="5">
        <f>IF($A161="","",IF($AQ161&lt;&gt;"",IF(INDEX(Raw_D2!$G$2:$G$1001,$AQ161)="","",INDEX(Raw_D2!$G$2:$G$1001,$AQ161)),IF($AR161&lt;&gt;"",IF(INDEX(Raw_D3!$O$2:$O$1001,$AR161)="","",INDEX(Raw_D3!$O$2:$O$1001,$AR161)),"")))</f>
        <v>34</v>
      </c>
      <c r="P161" s="5">
        <f>IF($A161="","",IF($AQ161&lt;&gt;"",IF(INDEX(Raw_D2!$H$2:$H$1001,$AQ161)="","",INDEX(Raw_D2!$H$2:$H$1001,$AQ161)),IF($AR161&lt;&gt;"",IF(INDEX(Raw_D3!$P$2:$P$1001,$AR161)="","",INDEX(Raw_D3!$P$2:$P$1001,$AR161)),"")))</f>
        <v>36</v>
      </c>
      <c r="Q161" s="5" t="str">
        <f>IF($A161="","",IF(AND($AP161&lt;&gt;"",$AQ161&lt;&gt;""),"D1+D2",IF($AR161&lt;&gt;"","D3","Incomplete")))</f>
        <v>D1+D2</v>
      </c>
      <c r="R161" s="17">
        <f>IF($A161="","",IF($K161="",IF($J161="","",ROUND(Lookups!$K$5+Lookups!$K$4*$J161,4)),$K161))</f>
        <v>0.197</v>
      </c>
      <c r="S161" s="5" t="str">
        <f>IF($A161="","",IF($K161="","Imputed","Original"))</f>
        <v>Original</v>
      </c>
      <c r="T161" s="5" t="str">
        <f>IF($A161="","",IF($P161="","Missing",IF($P161=$N161+$O161,"OK","Mismatch")))</f>
        <v>OK</v>
      </c>
      <c r="U161" s="5" t="str">
        <f>IF($A161="","",IF(COUNTIF($A$2:$A161,$A161)&gt;1,"Duplicate","Unique"))</f>
        <v>Unique</v>
      </c>
      <c r="V161" s="5">
        <f>IF($A161="","",IF(AND($U161="Unique",ISNUMBER($P161)),1,0))</f>
        <v>1</v>
      </c>
      <c r="W161" s="5" t="str">
        <f>IF($A161="","",IF(OR($H161=0,$H161=6),"Weekend","Weekday"))</f>
        <v>Weekday</v>
      </c>
      <c r="X161" s="5" t="str">
        <f>IF($A161="","",TEXT($B161,"ddd"))</f>
        <v>Fri</v>
      </c>
      <c r="Y161" s="5" t="str">
        <f>IF($A161="","",TEXT($B161,"mmm"))</f>
        <v>Jan</v>
      </c>
      <c r="Z161" s="5" t="str">
        <f>IF($A161="","",IFERROR(VLOOKUP($C161,Lookups!$D$4:$E$7,2,FALSE),"Unknown"))</f>
        <v>Winter</v>
      </c>
      <c r="AA161" s="5" t="str">
        <f>IF($A161="","",IFERROR(VLOOKUP($I161,Lookups!$A$4:$B$7,2,FALSE),"Unknown"))</f>
        <v>Mist/Cloudy</v>
      </c>
      <c r="AB161" s="5" t="str">
        <f>IF($A161="","",TEXT($F161,"00")&amp;":00")</f>
        <v>22:00</v>
      </c>
      <c r="AC161" s="5" t="str">
        <f>IF($A161="","",VLOOKUP($F161,Lookups!$G$4:$H$8,2,TRUE))</f>
        <v>Late Evening (20-23)</v>
      </c>
      <c r="AD161" s="18">
        <f>IF($A161="","",IF($J161="","",ROUND($J161*41,1)))</f>
        <v>7.4</v>
      </c>
      <c r="AE161" s="18">
        <f>IF($A161="","",IF($R161="","",ROUND($R161*50,1)))</f>
        <v>9.9</v>
      </c>
      <c r="AF161" s="5">
        <f>IF($A161="","",IF($L161="","",ROUND($L161*100,0)))</f>
        <v>43</v>
      </c>
      <c r="AG161" s="18">
        <f>IF($A161="","",IF($M161="","",ROUND($M161*67,1)))</f>
        <v>11</v>
      </c>
      <c r="AH161" s="19">
        <f>IF($A161="","",IF($P161="","",IF($P161=0,0,$O161/$P161)))</f>
        <v>0.944444444444444</v>
      </c>
      <c r="AI161" s="5" t="str">
        <f>IF($A161="","",IF($P161="","",IF($P161&gt;=Lookups!$K$7,"High",IF($P161&lt;=Lookups!$K$8,"Low","Medium"))))</f>
        <v>Medium</v>
      </c>
      <c r="AJ161" s="5" t="str">
        <f>IF($A161="","",IF($AD161="","",IF($AD161&lt;5,"Under 5 C",IF($AD161&lt;10,"5-10 C",IF($AD161&lt;15,"10-15 C","15 C and above")))))</f>
        <v>5-10 C</v>
      </c>
      <c r="AK161" s="5">
        <f>IF($A161="","",IF($P161="","",$P161^2))</f>
        <v>1296</v>
      </c>
      <c r="AL161" s="18">
        <f>IF($V161&lt;&gt;1,"",AVERAGEIFS(Clean_Data!$P$2:$P$1001,Clean_Data!$F$2:$F$1001,$F161,Clean_Data!$W$2:$W$1001,$W161,Clean_Data!$V$2:$V$1001,1))</f>
        <v>37.1034482758621</v>
      </c>
      <c r="AM161" s="16">
        <f>IF($V161&lt;&gt;1,"",IFERROR(($P161-$AL161)/SQRT(MAX(0,(SUMIFS(Clean_Data!$AK$2:$AK$1001,Clean_Data!$F$2:$F$1001,$F161,Clean_Data!$W$2:$W$1001,$W161,Clean_Data!$V$2:$V$1001,1)-COUNTIFS(Clean_Data!$F$2:$F$1001,$F161,Clean_Data!$W$2:$W$1001,$W161,Clean_Data!$V$2:$V$1001,1)*$AL161^2)/(COUNTIFS(Clean_Data!$F$2:$F$1001,$F161,Clean_Data!$W$2:$W$1001,$W161,Clean_Data!$V$2:$V$1001,1)-1))),""))</f>
        <v>-0.102221703269801</v>
      </c>
      <c r="AN161" s="5" t="str">
        <f>IF($AM161="","",IF($AM161&gt;=Lookups!$K$6,"High spike",IF($AM161&lt;=-Lookups!$K$6,"Unusual low","Normal")))</f>
        <v>Normal</v>
      </c>
      <c r="AO161" s="20">
        <f>IF($V161&lt;&gt;1,"",$P161+ROW()/100000)</f>
        <v>36.00161</v>
      </c>
      <c r="AP161" s="5">
        <f>IF($A161="","",IFERROR(MATCH($A161,Raw_D1!$A$2:$A$1001,0),""))</f>
        <v>160</v>
      </c>
      <c r="AQ161" s="5">
        <f>IF($A161="","",IFERROR(MATCH($A161,Raw_D2!$B$2:$B$1001,0),""))</f>
        <v>160</v>
      </c>
      <c r="AR161" s="5">
        <f>IF($A161="","",IFERROR(MATCH($A161,Raw_D3!$A$2:$A$1001,0),""))</f>
        <v/>
      </c>
    </row>
    <row r="162" spans="1:44" x14ac:dyDescent="0.25">
      <c r="A162" s="5">
        <v>161</v>
      </c>
      <c r="B162" s="11">
        <f>IF($A162="","",IF($AP162&lt;&gt;"",INDEX(Raw_D1!$B$2:$B$1001,$AP162),IF($AR162&lt;&gt;"",INDEX(Raw_D3!$B$2:$B$1001,$AR162),"")))</f>
        <v>40550.0</v>
      </c>
      <c r="C162" s="5">
        <f>IF($A162="","",IF($AP162&lt;&gt;"",INDEX(Raw_D1!$C$2:$C$1001,$AP162),IF($AR162&lt;&gt;"",INDEX(Raw_D3!$C$2:$C$1001,$AR162),"")))</f>
        <v>1</v>
      </c>
      <c r="D162" s="5">
        <f>IF($A162="","",IF($AP162&lt;&gt;"",INDEX(Raw_D1!$D$2:$D$1001,$AP162),IF($AR162&lt;&gt;"",INDEX(Raw_D3!$D$2:$D$1001,$AR162),"")))</f>
        <v>0</v>
      </c>
      <c r="E162" s="5">
        <f>IF($A162="","",IF($AP162&lt;&gt;"",INDEX(Raw_D1!$E$2:$E$1001,$AP162),IF($AR162&lt;&gt;"",INDEX(Raw_D3!$E$2:$E$1001,$AR162),"")))</f>
        <v>1</v>
      </c>
      <c r="F162" s="5">
        <f>IF($A162="","",IF($AP162&lt;&gt;"",INDEX(Raw_D1!$F$2:$F$1001,$AP162),IF($AR162&lt;&gt;"",INDEX(Raw_D3!$F$2:$F$1001,$AR162),"")))</f>
        <v>23</v>
      </c>
      <c r="G162" s="5">
        <f>IF($A162="","",IF($AP162&lt;&gt;"",IF(INDEX(Raw_D1!$G$2:$G$1001,$AP162),1,0),IF($AR162&lt;&gt;"",IF(INDEX(Raw_D3!$G$2:$G$1001,$AR162),1,0),"")))</f>
        <v>0</v>
      </c>
      <c r="H162" s="5">
        <f>IF($A162="","",IF($AP162&lt;&gt;"",INDEX(Raw_D1!$H$2:$H$1001,$AP162),IF($AR162&lt;&gt;"",INDEX(Raw_D3!$H$2:$H$1001,$AR162),"")))</f>
        <v>5</v>
      </c>
      <c r="I162" s="5">
        <f>IF($A162="","",IF($AP162&lt;&gt;"",INDEX(Raw_D1!$I$2:$I$1001,$AP162),IF($AR162&lt;&gt;"",INDEX(Raw_D3!$I$2:$I$1001,$AR162),"")))</f>
        <v>2</v>
      </c>
      <c r="J162" s="16">
        <f>IF($A162="","",IF($AP162&lt;&gt;"",INDEX(Raw_D1!$J$2:$J$1001,$AP162),IF($AR162&lt;&gt;"",INDEX(Raw_D3!$J$2:$J$1001,$AR162),"")))</f>
        <v>0.18</v>
      </c>
      <c r="K162" s="17">
        <f>IF($A162="","",IF($AQ162&lt;&gt;"",IF(INDEX(Raw_D2!$C$2:$C$1001,$AQ162)="","",INDEX(Raw_D2!$C$2:$C$1001,$AQ162)),IF($AR162&lt;&gt;"",IF(INDEX(Raw_D3!$K$2:$K$1001,$AR162)="","",INDEX(Raw_D3!$K$2:$K$1001,$AR162)),"")))</f>
        <v>0.197</v>
      </c>
      <c r="L162" s="16">
        <f>IF($A162="","",IF($AQ162&lt;&gt;"",IF(INDEX(Raw_D2!$D$2:$D$1001,$AQ162)="","",INDEX(Raw_D2!$D$2:$D$1001,$AQ162)),IF($AR162&lt;&gt;"",IF(INDEX(Raw_D3!$L$2:$L$1001,$AR162)="","",INDEX(Raw_D3!$L$2:$L$1001,$AR162)),"")))</f>
        <v>0.51</v>
      </c>
      <c r="M162" s="17">
        <f>IF($A162="","",IF($AQ162&lt;&gt;"",IF(INDEX(Raw_D2!$E$2:$E$1001,$AQ162)="","",INDEX(Raw_D2!$E$2:$E$1001,$AQ162)),IF($AR162&lt;&gt;"",IF(INDEX(Raw_D3!$M$2:$M$1001,$AR162)="","",INDEX(Raw_D3!$M$2:$M$1001,$AR162)),"")))</f>
        <v>0.1642</v>
      </c>
      <c r="N162" s="5">
        <f>IF($A162="","",IF($AQ162&lt;&gt;"",IF(INDEX(Raw_D2!$F$2:$F$1001,$AQ162)="","",INDEX(Raw_D2!$F$2:$F$1001,$AQ162)),IF($AR162&lt;&gt;"",IF(INDEX(Raw_D3!$N$2:$N$1001,$AR162)="","",INDEX(Raw_D3!$N$2:$N$1001,$AR162)),"")))</f>
        <v>1</v>
      </c>
      <c r="O162" s="5">
        <f>IF($A162="","",IF($AQ162&lt;&gt;"",IF(INDEX(Raw_D2!$G$2:$G$1001,$AQ162)="","",INDEX(Raw_D2!$G$2:$G$1001,$AQ162)),IF($AR162&lt;&gt;"",IF(INDEX(Raw_D3!$O$2:$O$1001,$AR162)="","",INDEX(Raw_D3!$O$2:$O$1001,$AR162)),"")))</f>
        <v>14</v>
      </c>
      <c r="P162" s="5">
        <f>IF($A162="","",IF($AQ162&lt;&gt;"",IF(INDEX(Raw_D2!$H$2:$H$1001,$AQ162)="","",INDEX(Raw_D2!$H$2:$H$1001,$AQ162)),IF($AR162&lt;&gt;"",IF(INDEX(Raw_D3!$P$2:$P$1001,$AR162)="","",INDEX(Raw_D3!$P$2:$P$1001,$AR162)),"")))</f>
        <v>15</v>
      </c>
      <c r="Q162" s="5" t="str">
        <f>IF($A162="","",IF(AND($AP162&lt;&gt;"",$AQ162&lt;&gt;""),"D1+D2",IF($AR162&lt;&gt;"","D3","Incomplete")))</f>
        <v>D1+D2</v>
      </c>
      <c r="R162" s="17">
        <f>IF($A162="","",IF($K162="",IF($J162="","",ROUND(Lookups!$K$5+Lookups!$K$4*$J162,4)),$K162))</f>
        <v>0.197</v>
      </c>
      <c r="S162" s="5" t="str">
        <f>IF($A162="","",IF($K162="","Imputed","Original"))</f>
        <v>Original</v>
      </c>
      <c r="T162" s="5" t="str">
        <f>IF($A162="","",IF($P162="","Missing",IF($P162=$N162+$O162,"OK","Mismatch")))</f>
        <v>OK</v>
      </c>
      <c r="U162" s="5" t="str">
        <f>IF($A162="","",IF(COUNTIF($A$2:$A162,$A162)&gt;1,"Duplicate","Unique"))</f>
        <v>Unique</v>
      </c>
      <c r="V162" s="5">
        <f>IF($A162="","",IF(AND($U162="Unique",ISNUMBER($P162)),1,0))</f>
        <v>1</v>
      </c>
      <c r="W162" s="5" t="str">
        <f>IF($A162="","",IF(OR($H162=0,$H162=6),"Weekend","Weekday"))</f>
        <v>Weekday</v>
      </c>
      <c r="X162" s="5" t="str">
        <f>IF($A162="","",TEXT($B162,"ddd"))</f>
        <v>Fri</v>
      </c>
      <c r="Y162" s="5" t="str">
        <f>IF($A162="","",TEXT($B162,"mmm"))</f>
        <v>Jan</v>
      </c>
      <c r="Z162" s="5" t="str">
        <f>IF($A162="","",IFERROR(VLOOKUP($C162,Lookups!$D$4:$E$7,2,FALSE),"Unknown"))</f>
        <v>Winter</v>
      </c>
      <c r="AA162" s="5" t="str">
        <f>IF($A162="","",IFERROR(VLOOKUP($I162,Lookups!$A$4:$B$7,2,FALSE),"Unknown"))</f>
        <v>Mist/Cloudy</v>
      </c>
      <c r="AB162" s="5" t="str">
        <f>IF($A162="","",TEXT($F162,"00")&amp;":00")</f>
        <v>23:00</v>
      </c>
      <c r="AC162" s="5" t="str">
        <f>IF($A162="","",VLOOKUP($F162,Lookups!$G$4:$H$8,2,TRUE))</f>
        <v>Late Evening (20-23)</v>
      </c>
      <c r="AD162" s="18">
        <f>IF($A162="","",IF($J162="","",ROUND($J162*41,1)))</f>
        <v>7.4</v>
      </c>
      <c r="AE162" s="18">
        <f>IF($A162="","",IF($R162="","",ROUND($R162*50,1)))</f>
        <v>9.9</v>
      </c>
      <c r="AF162" s="5">
        <f>IF($A162="","",IF($L162="","",ROUND($L162*100,0)))</f>
        <v>51</v>
      </c>
      <c r="AG162" s="18">
        <f>IF($A162="","",IF($M162="","",ROUND($M162*67,1)))</f>
        <v>11</v>
      </c>
      <c r="AH162" s="19">
        <f>IF($A162="","",IF($P162="","",IF($P162=0,0,$O162/$P162)))</f>
        <v>0.933333333333333</v>
      </c>
      <c r="AI162" s="5" t="str">
        <f>IF($A162="","",IF($P162="","",IF($P162&gt;=Lookups!$K$7,"High",IF($P162&lt;=Lookups!$K$8,"Low","Medium"))))</f>
        <v>Low</v>
      </c>
      <c r="AJ162" s="5" t="str">
        <f>IF($A162="","",IF($AD162="","",IF($AD162&lt;5,"Under 5 C",IF($AD162&lt;10,"5-10 C",IF($AD162&lt;15,"10-15 C","15 C and above")))))</f>
        <v>5-10 C</v>
      </c>
      <c r="AK162" s="5">
        <f>IF($A162="","",IF($P162="","",$P162^2))</f>
        <v>225</v>
      </c>
      <c r="AL162" s="18">
        <f>IF($V162&lt;&gt;1,"",AVERAGEIFS(Clean_Data!$P$2:$P$1001,Clean_Data!$F$2:$F$1001,$F162,Clean_Data!$W$2:$W$1001,$W162,Clean_Data!$V$2:$V$1001,1))</f>
        <v>23.6896551724138</v>
      </c>
      <c r="AM162" s="16">
        <f>IF($V162&lt;&gt;1,"",IFERROR(($P162-$AL162)/SQRT(MAX(0,(SUMIFS(Clean_Data!$AK$2:$AK$1001,Clean_Data!$F$2:$F$1001,$F162,Clean_Data!$W$2:$W$1001,$W162,Clean_Data!$V$2:$V$1001,1)-COUNTIFS(Clean_Data!$F$2:$F$1001,$F162,Clean_Data!$W$2:$W$1001,$W162,Clean_Data!$V$2:$V$1001,1)*$AL162^2)/(COUNTIFS(Clean_Data!$F$2:$F$1001,$F162,Clean_Data!$W$2:$W$1001,$W162,Clean_Data!$V$2:$V$1001,1)-1))),""))</f>
        <v>-0.829576285485064</v>
      </c>
      <c r="AN162" s="5" t="str">
        <f>IF($AM162="","",IF($AM162&gt;=Lookups!$K$6,"High spike",IF($AM162&lt;=-Lookups!$K$6,"Unusual low","Normal")))</f>
        <v>Normal</v>
      </c>
      <c r="AO162" s="20">
        <f>IF($V162&lt;&gt;1,"",$P162+ROW()/100000)</f>
        <v>15.00162</v>
      </c>
      <c r="AP162" s="5">
        <f>IF($A162="","",IFERROR(MATCH($A162,Raw_D1!$A$2:$A$1001,0),""))</f>
        <v>161</v>
      </c>
      <c r="AQ162" s="5">
        <f>IF($A162="","",IFERROR(MATCH($A162,Raw_D2!$B$2:$B$1001,0),""))</f>
        <v>161</v>
      </c>
      <c r="AR162" s="5">
        <f>IF($A162="","",IFERROR(MATCH($A162,Raw_D3!$A$2:$A$1001,0),""))</f>
        <v/>
      </c>
    </row>
    <row r="163" spans="1:44" x14ac:dyDescent="0.25">
      <c r="A163" s="5">
        <v>162</v>
      </c>
      <c r="B163" s="11">
        <f>IF($A163="","",IF($AP163&lt;&gt;"",INDEX(Raw_D1!$B$2:$B$1001,$AP163),IF($AR163&lt;&gt;"",INDEX(Raw_D3!$B$2:$B$1001,$AR163),"")))</f>
        <v>40551.0</v>
      </c>
      <c r="C163" s="5">
        <f>IF($A163="","",IF($AP163&lt;&gt;"",INDEX(Raw_D1!$C$2:$C$1001,$AP163),IF($AR163&lt;&gt;"",INDEX(Raw_D3!$C$2:$C$1001,$AR163),"")))</f>
        <v>1</v>
      </c>
      <c r="D163" s="5">
        <f>IF($A163="","",IF($AP163&lt;&gt;"",INDEX(Raw_D1!$D$2:$D$1001,$AP163),IF($AR163&lt;&gt;"",INDEX(Raw_D3!$D$2:$D$1001,$AR163),"")))</f>
        <v>0</v>
      </c>
      <c r="E163" s="5">
        <f>IF($A163="","",IF($AP163&lt;&gt;"",INDEX(Raw_D1!$E$2:$E$1001,$AP163),IF($AR163&lt;&gt;"",INDEX(Raw_D3!$E$2:$E$1001,$AR163),"")))</f>
        <v>1</v>
      </c>
      <c r="F163" s="5">
        <f>IF($A163="","",IF($AP163&lt;&gt;"",INDEX(Raw_D1!$F$2:$F$1001,$AP163),IF($AR163&lt;&gt;"",INDEX(Raw_D3!$F$2:$F$1001,$AR163),"")))</f>
        <v>0</v>
      </c>
      <c r="G163" s="5">
        <f>IF($A163="","",IF($AP163&lt;&gt;"",IF(INDEX(Raw_D1!$G$2:$G$1001,$AP163),1,0),IF($AR163&lt;&gt;"",IF(INDEX(Raw_D3!$G$2:$G$1001,$AR163),1,0),"")))</f>
        <v>0</v>
      </c>
      <c r="H163" s="5">
        <f>IF($A163="","",IF($AP163&lt;&gt;"",INDEX(Raw_D1!$H$2:$H$1001,$AP163),IF($AR163&lt;&gt;"",INDEX(Raw_D3!$H$2:$H$1001,$AR163),"")))</f>
        <v>6</v>
      </c>
      <c r="I163" s="5">
        <f>IF($A163="","",IF($AP163&lt;&gt;"",INDEX(Raw_D1!$I$2:$I$1001,$AP163),IF($AR163&lt;&gt;"",INDEX(Raw_D3!$I$2:$I$1001,$AR163),"")))</f>
        <v>2</v>
      </c>
      <c r="J163" s="16">
        <f>IF($A163="","",IF($AP163&lt;&gt;"",INDEX(Raw_D1!$J$2:$J$1001,$AP163),IF($AR163&lt;&gt;"",INDEX(Raw_D3!$J$2:$J$1001,$AR163),"")))</f>
        <v>0.18</v>
      </c>
      <c r="K163" s="17">
        <f>IF($A163="","",IF($AQ163&lt;&gt;"",IF(INDEX(Raw_D2!$C$2:$C$1001,$AQ163)="","",INDEX(Raw_D2!$C$2:$C$1001,$AQ163)),IF($AR163&lt;&gt;"",IF(INDEX(Raw_D3!$K$2:$K$1001,$AR163)="","",INDEX(Raw_D3!$K$2:$K$1001,$AR163)),"")))</f>
        <v>0.197</v>
      </c>
      <c r="L163" s="16">
        <f>IF($A163="","",IF($AQ163&lt;&gt;"",IF(INDEX(Raw_D2!$D$2:$D$1001,$AQ163)="","",INDEX(Raw_D2!$D$2:$D$1001,$AQ163)),IF($AR163&lt;&gt;"",IF(INDEX(Raw_D3!$L$2:$L$1001,$AR163)="","",INDEX(Raw_D3!$L$2:$L$1001,$AR163)),"")))</f>
        <v>0.51</v>
      </c>
      <c r="M163" s="17">
        <f>IF($A163="","",IF($AQ163&lt;&gt;"",IF(INDEX(Raw_D2!$E$2:$E$1001,$AQ163)="","",INDEX(Raw_D2!$E$2:$E$1001,$AQ163)),IF($AR163&lt;&gt;"",IF(INDEX(Raw_D3!$M$2:$M$1001,$AR163)="","",INDEX(Raw_D3!$M$2:$M$1001,$AR163)),"")))</f>
        <v>0.1642</v>
      </c>
      <c r="N163" s="5">
        <f>IF($A163="","",IF($AQ163&lt;&gt;"",IF(INDEX(Raw_D2!$F$2:$F$1001,$AQ163)="","",INDEX(Raw_D2!$F$2:$F$1001,$AQ163)),IF($AR163&lt;&gt;"",IF(INDEX(Raw_D3!$N$2:$N$1001,$AR163)="","",INDEX(Raw_D3!$N$2:$N$1001,$AR163)),"")))</f>
        <v>1</v>
      </c>
      <c r="O163" s="5">
        <f>IF($A163="","",IF($AQ163&lt;&gt;"",IF(INDEX(Raw_D2!$G$2:$G$1001,$AQ163)="","",INDEX(Raw_D2!$G$2:$G$1001,$AQ163)),IF($AR163&lt;&gt;"",IF(INDEX(Raw_D3!$O$2:$O$1001,$AR163)="","",INDEX(Raw_D3!$O$2:$O$1001,$AR163)),"")))</f>
        <v>24</v>
      </c>
      <c r="P163" s="5">
        <f>IF($A163="","",IF($AQ163&lt;&gt;"",IF(INDEX(Raw_D2!$H$2:$H$1001,$AQ163)="","",INDEX(Raw_D2!$H$2:$H$1001,$AQ163)),IF($AR163&lt;&gt;"",IF(INDEX(Raw_D3!$P$2:$P$1001,$AR163)="","",INDEX(Raw_D3!$P$2:$P$1001,$AR163)),"")))</f>
        <v>25</v>
      </c>
      <c r="Q163" s="5" t="str">
        <f>IF($A163="","",IF(AND($AP163&lt;&gt;"",$AQ163&lt;&gt;""),"D1+D2",IF($AR163&lt;&gt;"","D3","Incomplete")))</f>
        <v>D1+D2</v>
      </c>
      <c r="R163" s="17">
        <f>IF($A163="","",IF($K163="",IF($J163="","",ROUND(Lookups!$K$5+Lookups!$K$4*$J163,4)),$K163))</f>
        <v>0.197</v>
      </c>
      <c r="S163" s="5" t="str">
        <f>IF($A163="","",IF($K163="","Imputed","Original"))</f>
        <v>Original</v>
      </c>
      <c r="T163" s="5" t="str">
        <f>IF($A163="","",IF($P163="","Missing",IF($P163=$N163+$O163,"OK","Mismatch")))</f>
        <v>OK</v>
      </c>
      <c r="U163" s="5" t="str">
        <f>IF($A163="","",IF(COUNTIF($A$2:$A163,$A163)&gt;1,"Duplicate","Unique"))</f>
        <v>Unique</v>
      </c>
      <c r="V163" s="5">
        <f>IF($A163="","",IF(AND($U163="Unique",ISNUMBER($P163)),1,0))</f>
        <v>1</v>
      </c>
      <c r="W163" s="5" t="str">
        <f>IF($A163="","",IF(OR($H163=0,$H163=6),"Weekend","Weekday"))</f>
        <v>Weekend</v>
      </c>
      <c r="X163" s="5" t="str">
        <f>IF($A163="","",TEXT($B163,"ddd"))</f>
        <v>Sat</v>
      </c>
      <c r="Y163" s="5" t="str">
        <f>IF($A163="","",TEXT($B163,"mmm"))</f>
        <v>Jan</v>
      </c>
      <c r="Z163" s="5" t="str">
        <f>IF($A163="","",IFERROR(VLOOKUP($C163,Lookups!$D$4:$E$7,2,FALSE),"Unknown"))</f>
        <v>Winter</v>
      </c>
      <c r="AA163" s="5" t="str">
        <f>IF($A163="","",IFERROR(VLOOKUP($I163,Lookups!$A$4:$B$7,2,FALSE),"Unknown"))</f>
        <v>Mist/Cloudy</v>
      </c>
      <c r="AB163" s="5" t="str">
        <f>IF($A163="","",TEXT($F163,"00")&amp;":00")</f>
        <v>00:00</v>
      </c>
      <c r="AC163" s="5" t="str">
        <f>IF($A163="","",VLOOKUP($F163,Lookups!$G$4:$H$8,2,TRUE))</f>
        <v>Night (00-05)</v>
      </c>
      <c r="AD163" s="18">
        <f>IF($A163="","",IF($J163="","",ROUND($J163*41,1)))</f>
        <v>7.4</v>
      </c>
      <c r="AE163" s="18">
        <f>IF($A163="","",IF($R163="","",ROUND($R163*50,1)))</f>
        <v>9.9</v>
      </c>
      <c r="AF163" s="5">
        <f>IF($A163="","",IF($L163="","",ROUND($L163*100,0)))</f>
        <v>51</v>
      </c>
      <c r="AG163" s="18">
        <f>IF($A163="","",IF($M163="","",ROUND($M163*67,1)))</f>
        <v>11</v>
      </c>
      <c r="AH163" s="19">
        <f>IF($A163="","",IF($P163="","",IF($P163=0,0,$O163/$P163)))</f>
        <v>0.96</v>
      </c>
      <c r="AI163" s="5" t="str">
        <f>IF($A163="","",IF($P163="","",IF($P163&gt;=Lookups!$K$7,"High",IF($P163&lt;=Lookups!$K$8,"Low","Medium"))))</f>
        <v>Medium</v>
      </c>
      <c r="AJ163" s="5" t="str">
        <f>IF($A163="","",IF($AD163="","",IF($AD163&lt;5,"Under 5 C",IF($AD163&lt;10,"5-10 C",IF($AD163&lt;15,"10-15 C","15 C and above")))))</f>
        <v>5-10 C</v>
      </c>
      <c r="AK163" s="5">
        <f>IF($A163="","",IF($P163="","",$P163^2))</f>
        <v>625</v>
      </c>
      <c r="AL163" s="18">
        <f>IF($V163&lt;&gt;1,"",AVERAGEIFS(Clean_Data!$P$2:$P$1001,Clean_Data!$F$2:$F$1001,$F163,Clean_Data!$W$2:$W$1001,$W163,Clean_Data!$V$2:$V$1001,1))</f>
        <v>28.0714285714286</v>
      </c>
      <c r="AM163" s="16">
        <f>IF($V163&lt;&gt;1,"",IFERROR(($P163-$AL163)/SQRT(MAX(0,(SUMIFS(Clean_Data!$AK$2:$AK$1001,Clean_Data!$F$2:$F$1001,$F163,Clean_Data!$W$2:$W$1001,$W163,Clean_Data!$V$2:$V$1001,1)-COUNTIFS(Clean_Data!$F$2:$F$1001,$F163,Clean_Data!$W$2:$W$1001,$W163,Clean_Data!$V$2:$V$1001,1)*$AL163^2)/(COUNTIFS(Clean_Data!$F$2:$F$1001,$F163,Clean_Data!$W$2:$W$1001,$W163,Clean_Data!$V$2:$V$1001,1)-1))),""))</f>
        <v>-0.340635005982515</v>
      </c>
      <c r="AN163" s="5" t="str">
        <f>IF($AM163="","",IF($AM163&gt;=Lookups!$K$6,"High spike",IF($AM163&lt;=-Lookups!$K$6,"Unusual low","Normal")))</f>
        <v>Normal</v>
      </c>
      <c r="AO163" s="20">
        <f>IF($V163&lt;&gt;1,"",$P163+ROW()/100000)</f>
        <v>25.00163</v>
      </c>
      <c r="AP163" s="5">
        <f>IF($A163="","",IFERROR(MATCH($A163,Raw_D1!$A$2:$A$1001,0),""))</f>
        <v>162</v>
      </c>
      <c r="AQ163" s="5">
        <f>IF($A163="","",IFERROR(MATCH($A163,Raw_D2!$B$2:$B$1001,0),""))</f>
        <v>162</v>
      </c>
      <c r="AR163" s="5">
        <f>IF($A163="","",IFERROR(MATCH($A163,Raw_D3!$A$2:$A$1001,0),""))</f>
        <v/>
      </c>
    </row>
    <row r="164" spans="1:44" x14ac:dyDescent="0.25">
      <c r="A164" s="5">
        <v>163</v>
      </c>
      <c r="B164" s="11">
        <f>IF($A164="","",IF($AP164&lt;&gt;"",INDEX(Raw_D1!$B$2:$B$1001,$AP164),IF($AR164&lt;&gt;"",INDEX(Raw_D3!$B$2:$B$1001,$AR164),"")))</f>
        <v>40551.0</v>
      </c>
      <c r="C164" s="5">
        <f>IF($A164="","",IF($AP164&lt;&gt;"",INDEX(Raw_D1!$C$2:$C$1001,$AP164),IF($AR164&lt;&gt;"",INDEX(Raw_D3!$C$2:$C$1001,$AR164),"")))</f>
        <v>1</v>
      </c>
      <c r="D164" s="5">
        <f>IF($A164="","",IF($AP164&lt;&gt;"",INDEX(Raw_D1!$D$2:$D$1001,$AP164),IF($AR164&lt;&gt;"",INDEX(Raw_D3!$D$2:$D$1001,$AR164),"")))</f>
        <v>0</v>
      </c>
      <c r="E164" s="5">
        <f>IF($A164="","",IF($AP164&lt;&gt;"",INDEX(Raw_D1!$E$2:$E$1001,$AP164),IF($AR164&lt;&gt;"",INDEX(Raw_D3!$E$2:$E$1001,$AR164),"")))</f>
        <v>1</v>
      </c>
      <c r="F164" s="5">
        <f>IF($A164="","",IF($AP164&lt;&gt;"",INDEX(Raw_D1!$F$2:$F$1001,$AP164),IF($AR164&lt;&gt;"",INDEX(Raw_D3!$F$2:$F$1001,$AR164),"")))</f>
        <v>1</v>
      </c>
      <c r="G164" s="5">
        <f>IF($A164="","",IF($AP164&lt;&gt;"",IF(INDEX(Raw_D1!$G$2:$G$1001,$AP164),1,0),IF($AR164&lt;&gt;"",IF(INDEX(Raw_D3!$G$2:$G$1001,$AR164),1,0),"")))</f>
        <v>0</v>
      </c>
      <c r="H164" s="5">
        <f>IF($A164="","",IF($AP164&lt;&gt;"",INDEX(Raw_D1!$H$2:$H$1001,$AP164),IF($AR164&lt;&gt;"",INDEX(Raw_D3!$H$2:$H$1001,$AR164),"")))</f>
        <v>6</v>
      </c>
      <c r="I164" s="5">
        <f>IF($A164="","",IF($AP164&lt;&gt;"",INDEX(Raw_D1!$I$2:$I$1001,$AP164),IF($AR164&lt;&gt;"",INDEX(Raw_D3!$I$2:$I$1001,$AR164),"")))</f>
        <v>2</v>
      </c>
      <c r="J164" s="16">
        <f>IF($A164="","",IF($AP164&lt;&gt;"",INDEX(Raw_D1!$J$2:$J$1001,$AP164),IF($AR164&lt;&gt;"",INDEX(Raw_D3!$J$2:$J$1001,$AR164),"")))</f>
        <v>0.18</v>
      </c>
      <c r="K164" s="17">
        <f>IF($A164="","",IF($AQ164&lt;&gt;"",IF(INDEX(Raw_D2!$C$2:$C$1001,$AQ164)="","",INDEX(Raw_D2!$C$2:$C$1001,$AQ164)),IF($AR164&lt;&gt;"",IF(INDEX(Raw_D3!$K$2:$K$1001,$AR164)="","",INDEX(Raw_D3!$K$2:$K$1001,$AR164)),"")))</f>
        <v>0.2121</v>
      </c>
      <c r="L164" s="16">
        <f>IF($A164="","",IF($AQ164&lt;&gt;"",IF(INDEX(Raw_D2!$D$2:$D$1001,$AQ164)="","",INDEX(Raw_D2!$D$2:$D$1001,$AQ164)),IF($AR164&lt;&gt;"",IF(INDEX(Raw_D3!$L$2:$L$1001,$AR164)="","",INDEX(Raw_D3!$L$2:$L$1001,$AR164)),"")))</f>
        <v>0.55</v>
      </c>
      <c r="M164" s="17">
        <f>IF($A164="","",IF($AQ164&lt;&gt;"",IF(INDEX(Raw_D2!$E$2:$E$1001,$AQ164)="","",INDEX(Raw_D2!$E$2:$E$1001,$AQ164)),IF($AR164&lt;&gt;"",IF(INDEX(Raw_D3!$M$2:$M$1001,$AR164)="","",INDEX(Raw_D3!$M$2:$M$1001,$AR164)),"")))</f>
        <v>0.0896</v>
      </c>
      <c r="N164" s="5">
        <f>IF($A164="","",IF($AQ164&lt;&gt;"",IF(INDEX(Raw_D2!$F$2:$F$1001,$AQ164)="","",INDEX(Raw_D2!$F$2:$F$1001,$AQ164)),IF($AR164&lt;&gt;"",IF(INDEX(Raw_D3!$N$2:$N$1001,$AR164)="","",INDEX(Raw_D3!$N$2:$N$1001,$AR164)),"")))</f>
        <v>1</v>
      </c>
      <c r="O164" s="5">
        <f>IF($A164="","",IF($AQ164&lt;&gt;"",IF(INDEX(Raw_D2!$G$2:$G$1001,$AQ164)="","",INDEX(Raw_D2!$G$2:$G$1001,$AQ164)),IF($AR164&lt;&gt;"",IF(INDEX(Raw_D3!$O$2:$O$1001,$AR164)="","",INDEX(Raw_D3!$O$2:$O$1001,$AR164)),"")))</f>
        <v>15</v>
      </c>
      <c r="P164" s="5">
        <f>IF($A164="","",IF($AQ164&lt;&gt;"",IF(INDEX(Raw_D2!$H$2:$H$1001,$AQ164)="","",INDEX(Raw_D2!$H$2:$H$1001,$AQ164)),IF($AR164&lt;&gt;"",IF(INDEX(Raw_D3!$P$2:$P$1001,$AR164)="","",INDEX(Raw_D3!$P$2:$P$1001,$AR164)),"")))</f>
        <v>16</v>
      </c>
      <c r="Q164" s="5" t="str">
        <f>IF($A164="","",IF(AND($AP164&lt;&gt;"",$AQ164&lt;&gt;""),"D1+D2",IF($AR164&lt;&gt;"","D3","Incomplete")))</f>
        <v>D1+D2</v>
      </c>
      <c r="R164" s="17">
        <f>IF($A164="","",IF($K164="",IF($J164="","",ROUND(Lookups!$K$5+Lookups!$K$4*$J164,4)),$K164))</f>
        <v>0.2121</v>
      </c>
      <c r="S164" s="5" t="str">
        <f>IF($A164="","",IF($K164="","Imputed","Original"))</f>
        <v>Original</v>
      </c>
      <c r="T164" s="5" t="str">
        <f>IF($A164="","",IF($P164="","Missing",IF($P164=$N164+$O164,"OK","Mismatch")))</f>
        <v>OK</v>
      </c>
      <c r="U164" s="5" t="str">
        <f>IF($A164="","",IF(COUNTIF($A$2:$A164,$A164)&gt;1,"Duplicate","Unique"))</f>
        <v>Unique</v>
      </c>
      <c r="V164" s="5">
        <f>IF($A164="","",IF(AND($U164="Unique",ISNUMBER($P164)),1,0))</f>
        <v>1</v>
      </c>
      <c r="W164" s="5" t="str">
        <f>IF($A164="","",IF(OR($H164=0,$H164=6),"Weekend","Weekday"))</f>
        <v>Weekend</v>
      </c>
      <c r="X164" s="5" t="str">
        <f>IF($A164="","",TEXT($B164,"ddd"))</f>
        <v>Sat</v>
      </c>
      <c r="Y164" s="5" t="str">
        <f>IF($A164="","",TEXT($B164,"mmm"))</f>
        <v>Jan</v>
      </c>
      <c r="Z164" s="5" t="str">
        <f>IF($A164="","",IFERROR(VLOOKUP($C164,Lookups!$D$4:$E$7,2,FALSE),"Unknown"))</f>
        <v>Winter</v>
      </c>
      <c r="AA164" s="5" t="str">
        <f>IF($A164="","",IFERROR(VLOOKUP($I164,Lookups!$A$4:$B$7,2,FALSE),"Unknown"))</f>
        <v>Mist/Cloudy</v>
      </c>
      <c r="AB164" s="5" t="str">
        <f>IF($A164="","",TEXT($F164,"00")&amp;":00")</f>
        <v>01:00</v>
      </c>
      <c r="AC164" s="5" t="str">
        <f>IF($A164="","",VLOOKUP($F164,Lookups!$G$4:$H$8,2,TRUE))</f>
        <v>Night (00-05)</v>
      </c>
      <c r="AD164" s="18">
        <f>IF($A164="","",IF($J164="","",ROUND($J164*41,1)))</f>
        <v>7.4</v>
      </c>
      <c r="AE164" s="18">
        <f>IF($A164="","",IF($R164="","",ROUND($R164*50,1)))</f>
        <v>10.6</v>
      </c>
      <c r="AF164" s="5">
        <f>IF($A164="","",IF($L164="","",ROUND($L164*100,0)))</f>
        <v>55</v>
      </c>
      <c r="AG164" s="18">
        <f>IF($A164="","",IF($M164="","",ROUND($M164*67,1)))</f>
        <v>6</v>
      </c>
      <c r="AH164" s="19">
        <f>IF($A164="","",IF($P164="","",IF($P164=0,0,$O164/$P164)))</f>
        <v>0.9375</v>
      </c>
      <c r="AI164" s="5" t="str">
        <f>IF($A164="","",IF($P164="","",IF($P164&gt;=Lookups!$K$7,"High",IF($P164&lt;=Lookups!$K$8,"Low","Medium"))))</f>
        <v>Low</v>
      </c>
      <c r="AJ164" s="5" t="str">
        <f>IF($A164="","",IF($AD164="","",IF($AD164&lt;5,"Under 5 C",IF($AD164&lt;10,"5-10 C",IF($AD164&lt;15,"10-15 C","15 C and above")))))</f>
        <v>5-10 C</v>
      </c>
      <c r="AK164" s="5">
        <f>IF($A164="","",IF($P164="","",$P164^2))</f>
        <v>256</v>
      </c>
      <c r="AL164" s="18">
        <f>IF($V164&lt;&gt;1,"",AVERAGEIFS(Clean_Data!$P$2:$P$1001,Clean_Data!$F$2:$F$1001,$F164,Clean_Data!$W$2:$W$1001,$W164,Clean_Data!$V$2:$V$1001,1))</f>
        <v>22.2857142857143</v>
      </c>
      <c r="AM164" s="16">
        <f>IF($V164&lt;&gt;1,"",IFERROR(($P164-$AL164)/SQRT(MAX(0,(SUMIFS(Clean_Data!$AK$2:$AK$1001,Clean_Data!$F$2:$F$1001,$F164,Clean_Data!$W$2:$W$1001,$W164,Clean_Data!$V$2:$V$1001,1)-COUNTIFS(Clean_Data!$F$2:$F$1001,$F164,Clean_Data!$W$2:$W$1001,$W164,Clean_Data!$V$2:$V$1001,1)*$AL164^2)/(COUNTIFS(Clean_Data!$F$2:$F$1001,$F164,Clean_Data!$W$2:$W$1001,$W164,Clean_Data!$V$2:$V$1001,1)-1))),""))</f>
        <v>-0.645985080093502</v>
      </c>
      <c r="AN164" s="5" t="str">
        <f>IF($AM164="","",IF($AM164&gt;=Lookups!$K$6,"High spike",IF($AM164&lt;=-Lookups!$K$6,"Unusual low","Normal")))</f>
        <v>Normal</v>
      </c>
      <c r="AO164" s="20">
        <f>IF($V164&lt;&gt;1,"",$P164+ROW()/100000)</f>
        <v>16.00164</v>
      </c>
      <c r="AP164" s="5">
        <f>IF($A164="","",IFERROR(MATCH($A164,Raw_D1!$A$2:$A$1001,0),""))</f>
        <v>163</v>
      </c>
      <c r="AQ164" s="5">
        <f>IF($A164="","",IFERROR(MATCH($A164,Raw_D2!$B$2:$B$1001,0),""))</f>
        <v>163</v>
      </c>
      <c r="AR164" s="5">
        <f>IF($A164="","",IFERROR(MATCH($A164,Raw_D3!$A$2:$A$1001,0),""))</f>
        <v/>
      </c>
    </row>
    <row r="165" spans="1:44" x14ac:dyDescent="0.25">
      <c r="A165" s="5">
        <v>164</v>
      </c>
      <c r="B165" s="11">
        <f>IF($A165="","",IF($AP165&lt;&gt;"",INDEX(Raw_D1!$B$2:$B$1001,$AP165),IF($AR165&lt;&gt;"",INDEX(Raw_D3!$B$2:$B$1001,$AR165),"")))</f>
        <v>40551.0</v>
      </c>
      <c r="C165" s="5">
        <f>IF($A165="","",IF($AP165&lt;&gt;"",INDEX(Raw_D1!$C$2:$C$1001,$AP165),IF($AR165&lt;&gt;"",INDEX(Raw_D3!$C$2:$C$1001,$AR165),"")))</f>
        <v>1</v>
      </c>
      <c r="D165" s="5">
        <f>IF($A165="","",IF($AP165&lt;&gt;"",INDEX(Raw_D1!$D$2:$D$1001,$AP165),IF($AR165&lt;&gt;"",INDEX(Raw_D3!$D$2:$D$1001,$AR165),"")))</f>
        <v>0</v>
      </c>
      <c r="E165" s="5">
        <f>IF($A165="","",IF($AP165&lt;&gt;"",INDEX(Raw_D1!$E$2:$E$1001,$AP165),IF($AR165&lt;&gt;"",INDEX(Raw_D3!$E$2:$E$1001,$AR165),"")))</f>
        <v>1</v>
      </c>
      <c r="F165" s="5">
        <f>IF($A165="","",IF($AP165&lt;&gt;"",INDEX(Raw_D1!$F$2:$F$1001,$AP165),IF($AR165&lt;&gt;"",INDEX(Raw_D3!$F$2:$F$1001,$AR165),"")))</f>
        <v>2</v>
      </c>
      <c r="G165" s="5">
        <f>IF($A165="","",IF($AP165&lt;&gt;"",IF(INDEX(Raw_D1!$G$2:$G$1001,$AP165),1,0),IF($AR165&lt;&gt;"",IF(INDEX(Raw_D3!$G$2:$G$1001,$AR165),1,0),"")))</f>
        <v>0</v>
      </c>
      <c r="H165" s="5">
        <f>IF($A165="","",IF($AP165&lt;&gt;"",INDEX(Raw_D1!$H$2:$H$1001,$AP165),IF($AR165&lt;&gt;"",INDEX(Raw_D3!$H$2:$H$1001,$AR165),"")))</f>
        <v>6</v>
      </c>
      <c r="I165" s="5">
        <f>IF($A165="","",IF($AP165&lt;&gt;"",INDEX(Raw_D1!$I$2:$I$1001,$AP165),IF($AR165&lt;&gt;"",INDEX(Raw_D3!$I$2:$I$1001,$AR165),"")))</f>
        <v>2</v>
      </c>
      <c r="J165" s="16">
        <f>IF($A165="","",IF($AP165&lt;&gt;"",INDEX(Raw_D1!$J$2:$J$1001,$AP165),IF($AR165&lt;&gt;"",INDEX(Raw_D3!$J$2:$J$1001,$AR165),"")))</f>
        <v>0.18</v>
      </c>
      <c r="K165" s="17">
        <f>IF($A165="","",IF($AQ165&lt;&gt;"",IF(INDEX(Raw_D2!$C$2:$C$1001,$AQ165)="","",INDEX(Raw_D2!$C$2:$C$1001,$AQ165)),IF($AR165&lt;&gt;"",IF(INDEX(Raw_D3!$K$2:$K$1001,$AR165)="","",INDEX(Raw_D3!$K$2:$K$1001,$AR165)),"")))</f>
        <v>0.2424</v>
      </c>
      <c r="L165" s="16">
        <f>IF($A165="","",IF($AQ165&lt;&gt;"",IF(INDEX(Raw_D2!$D$2:$D$1001,$AQ165)="","",INDEX(Raw_D2!$D$2:$D$1001,$AQ165)),IF($AR165&lt;&gt;"",IF(INDEX(Raw_D3!$L$2:$L$1001,$AR165)="","",INDEX(Raw_D3!$L$2:$L$1001,$AR165)),"")))</f>
        <v>0.55</v>
      </c>
      <c r="M165" s="17">
        <f>IF($A165="","",IF($AQ165&lt;&gt;"",IF(INDEX(Raw_D2!$E$2:$E$1001,$AQ165)="","",INDEX(Raw_D2!$E$2:$E$1001,$AQ165)),IF($AR165&lt;&gt;"",IF(INDEX(Raw_D3!$M$2:$M$1001,$AR165)="","",INDEX(Raw_D3!$M$2:$M$1001,$AR165)),"")))</f>
        <v>0</v>
      </c>
      <c r="N165" s="5">
        <f>IF($A165="","",IF($AQ165&lt;&gt;"",IF(INDEX(Raw_D2!$F$2:$F$1001,$AQ165)="","",INDEX(Raw_D2!$F$2:$F$1001,$AQ165)),IF($AR165&lt;&gt;"",IF(INDEX(Raw_D3!$N$2:$N$1001,$AR165)="","",INDEX(Raw_D3!$N$2:$N$1001,$AR165)),"")))</f>
        <v>3</v>
      </c>
      <c r="O165" s="5">
        <f>IF($A165="","",IF($AQ165&lt;&gt;"",IF(INDEX(Raw_D2!$G$2:$G$1001,$AQ165)="","",INDEX(Raw_D2!$G$2:$G$1001,$AQ165)),IF($AR165&lt;&gt;"",IF(INDEX(Raw_D3!$O$2:$O$1001,$AR165)="","",INDEX(Raw_D3!$O$2:$O$1001,$AR165)),"")))</f>
        <v>13</v>
      </c>
      <c r="P165" s="5">
        <f>IF($A165="","",IF($AQ165&lt;&gt;"",IF(INDEX(Raw_D2!$H$2:$H$1001,$AQ165)="","",INDEX(Raw_D2!$H$2:$H$1001,$AQ165)),IF($AR165&lt;&gt;"",IF(INDEX(Raw_D3!$P$2:$P$1001,$AR165)="","",INDEX(Raw_D3!$P$2:$P$1001,$AR165)),"")))</f>
        <v>16</v>
      </c>
      <c r="Q165" s="5" t="str">
        <f>IF($A165="","",IF(AND($AP165&lt;&gt;"",$AQ165&lt;&gt;""),"D1+D2",IF($AR165&lt;&gt;"","D3","Incomplete")))</f>
        <v>D1+D2</v>
      </c>
      <c r="R165" s="17">
        <f>IF($A165="","",IF($K165="",IF($J165="","",ROUND(Lookups!$K$5+Lookups!$K$4*$J165,4)),$K165))</f>
        <v>0.2424</v>
      </c>
      <c r="S165" s="5" t="str">
        <f>IF($A165="","",IF($K165="","Imputed","Original"))</f>
        <v>Original</v>
      </c>
      <c r="T165" s="5" t="str">
        <f>IF($A165="","",IF($P165="","Missing",IF($P165=$N165+$O165,"OK","Mismatch")))</f>
        <v>OK</v>
      </c>
      <c r="U165" s="5" t="str">
        <f>IF($A165="","",IF(COUNTIF($A$2:$A165,$A165)&gt;1,"Duplicate","Unique"))</f>
        <v>Unique</v>
      </c>
      <c r="V165" s="5">
        <f>IF($A165="","",IF(AND($U165="Unique",ISNUMBER($P165)),1,0))</f>
        <v>1</v>
      </c>
      <c r="W165" s="5" t="str">
        <f>IF($A165="","",IF(OR($H165=0,$H165=6),"Weekend","Weekday"))</f>
        <v>Weekend</v>
      </c>
      <c r="X165" s="5" t="str">
        <f>IF($A165="","",TEXT($B165,"ddd"))</f>
        <v>Sat</v>
      </c>
      <c r="Y165" s="5" t="str">
        <f>IF($A165="","",TEXT($B165,"mmm"))</f>
        <v>Jan</v>
      </c>
      <c r="Z165" s="5" t="str">
        <f>IF($A165="","",IFERROR(VLOOKUP($C165,Lookups!$D$4:$E$7,2,FALSE),"Unknown"))</f>
        <v>Winter</v>
      </c>
      <c r="AA165" s="5" t="str">
        <f>IF($A165="","",IFERROR(VLOOKUP($I165,Lookups!$A$4:$B$7,2,FALSE),"Unknown"))</f>
        <v>Mist/Cloudy</v>
      </c>
      <c r="AB165" s="5" t="str">
        <f>IF($A165="","",TEXT($F165,"00")&amp;":00")</f>
        <v>02:00</v>
      </c>
      <c r="AC165" s="5" t="str">
        <f>IF($A165="","",VLOOKUP($F165,Lookups!$G$4:$H$8,2,TRUE))</f>
        <v>Night (00-05)</v>
      </c>
      <c r="AD165" s="18">
        <f>IF($A165="","",IF($J165="","",ROUND($J165*41,1)))</f>
        <v>7.4</v>
      </c>
      <c r="AE165" s="18">
        <f>IF($A165="","",IF($R165="","",ROUND($R165*50,1)))</f>
        <v>12.1</v>
      </c>
      <c r="AF165" s="5">
        <f>IF($A165="","",IF($L165="","",ROUND($L165*100,0)))</f>
        <v>55</v>
      </c>
      <c r="AG165" s="18">
        <f>IF($A165="","",IF($M165="","",ROUND($M165*67,1)))</f>
        <v>0</v>
      </c>
      <c r="AH165" s="19">
        <f>IF($A165="","",IF($P165="","",IF($P165=0,0,$O165/$P165)))</f>
        <v>0.8125</v>
      </c>
      <c r="AI165" s="5" t="str">
        <f>IF($A165="","",IF($P165="","",IF($P165&gt;=Lookups!$K$7,"High",IF($P165&lt;=Lookups!$K$8,"Low","Medium"))))</f>
        <v>Low</v>
      </c>
      <c r="AJ165" s="5" t="str">
        <f>IF($A165="","",IF($AD165="","",IF($AD165&lt;5,"Under 5 C",IF($AD165&lt;10,"5-10 C",IF($AD165&lt;15,"10-15 C","15 C and above")))))</f>
        <v>5-10 C</v>
      </c>
      <c r="AK165" s="5">
        <f>IF($A165="","",IF($P165="","",$P165^2))</f>
        <v>256</v>
      </c>
      <c r="AL165" s="18">
        <f>IF($V165&lt;&gt;1,"",AVERAGEIFS(Clean_Data!$P$2:$P$1001,Clean_Data!$F$2:$F$1001,$F165,Clean_Data!$W$2:$W$1001,$W165,Clean_Data!$V$2:$V$1001,1))</f>
        <v>15.9285714285714</v>
      </c>
      <c r="AM165" s="16">
        <f>IF($V165&lt;&gt;1,"",IFERROR(($P165-$AL165)/SQRT(MAX(0,(SUMIFS(Clean_Data!$AK$2:$AK$1001,Clean_Data!$F$2:$F$1001,$F165,Clean_Data!$W$2:$W$1001,$W165,Clean_Data!$V$2:$V$1001,1)-COUNTIFS(Clean_Data!$F$2:$F$1001,$F165,Clean_Data!$W$2:$W$1001,$W165,Clean_Data!$V$2:$V$1001,1)*$AL165^2)/(COUNTIFS(Clean_Data!$F$2:$F$1001,$F165,Clean_Data!$W$2:$W$1001,$W165,Clean_Data!$V$2:$V$1001,1)-1))),""))</f>
        <v>0.0123490819107601</v>
      </c>
      <c r="AN165" s="5" t="str">
        <f>IF($AM165="","",IF($AM165&gt;=Lookups!$K$6,"High spike",IF($AM165&lt;=-Lookups!$K$6,"Unusual low","Normal")))</f>
        <v>Normal</v>
      </c>
      <c r="AO165" s="20">
        <f>IF($V165&lt;&gt;1,"",$P165+ROW()/100000)</f>
        <v>16.00165</v>
      </c>
      <c r="AP165" s="5">
        <f>IF($A165="","",IFERROR(MATCH($A165,Raw_D1!$A$2:$A$1001,0),""))</f>
        <v>164</v>
      </c>
      <c r="AQ165" s="5">
        <f>IF($A165="","",IFERROR(MATCH($A165,Raw_D2!$B$2:$B$1001,0),""))</f>
        <v>164</v>
      </c>
      <c r="AR165" s="5">
        <f>IF($A165="","",IFERROR(MATCH($A165,Raw_D3!$A$2:$A$1001,0),""))</f>
        <v/>
      </c>
    </row>
    <row r="166" spans="1:44" x14ac:dyDescent="0.25">
      <c r="A166" s="5">
        <v>165</v>
      </c>
      <c r="B166" s="11">
        <f>IF($A166="","",IF($AP166&lt;&gt;"",INDEX(Raw_D1!$B$2:$B$1001,$AP166),IF($AR166&lt;&gt;"",INDEX(Raw_D3!$B$2:$B$1001,$AR166),"")))</f>
        <v>40551.0</v>
      </c>
      <c r="C166" s="5">
        <f>IF($A166="","",IF($AP166&lt;&gt;"",INDEX(Raw_D1!$C$2:$C$1001,$AP166),IF($AR166&lt;&gt;"",INDEX(Raw_D3!$C$2:$C$1001,$AR166),"")))</f>
        <v>1</v>
      </c>
      <c r="D166" s="5">
        <f>IF($A166="","",IF($AP166&lt;&gt;"",INDEX(Raw_D1!$D$2:$D$1001,$AP166),IF($AR166&lt;&gt;"",INDEX(Raw_D3!$D$2:$D$1001,$AR166),"")))</f>
        <v>0</v>
      </c>
      <c r="E166" s="5">
        <f>IF($A166="","",IF($AP166&lt;&gt;"",INDEX(Raw_D1!$E$2:$E$1001,$AP166),IF($AR166&lt;&gt;"",INDEX(Raw_D3!$E$2:$E$1001,$AR166),"")))</f>
        <v>1</v>
      </c>
      <c r="F166" s="5">
        <f>IF($A166="","",IF($AP166&lt;&gt;"",INDEX(Raw_D1!$F$2:$F$1001,$AP166),IF($AR166&lt;&gt;"",INDEX(Raw_D3!$F$2:$F$1001,$AR166),"")))</f>
        <v>3</v>
      </c>
      <c r="G166" s="5">
        <f>IF($A166="","",IF($AP166&lt;&gt;"",IF(INDEX(Raw_D1!$G$2:$G$1001,$AP166),1,0),IF($AR166&lt;&gt;"",IF(INDEX(Raw_D3!$G$2:$G$1001,$AR166),1,0),"")))</f>
        <v>0</v>
      </c>
      <c r="H166" s="5">
        <f>IF($A166="","",IF($AP166&lt;&gt;"",INDEX(Raw_D1!$H$2:$H$1001,$AP166),IF($AR166&lt;&gt;"",INDEX(Raw_D3!$H$2:$H$1001,$AR166),"")))</f>
        <v>6</v>
      </c>
      <c r="I166" s="5">
        <f>IF($A166="","",IF($AP166&lt;&gt;"",INDEX(Raw_D1!$I$2:$I$1001,$AP166),IF($AR166&lt;&gt;"",INDEX(Raw_D3!$I$2:$I$1001,$AR166),"")))</f>
        <v>3</v>
      </c>
      <c r="J166" s="16">
        <f>IF($A166="","",IF($AP166&lt;&gt;"",INDEX(Raw_D1!$J$2:$J$1001,$AP166),IF($AR166&lt;&gt;"",INDEX(Raw_D3!$J$2:$J$1001,$AR166),"")))</f>
        <v>0.18</v>
      </c>
      <c r="K166" s="17">
        <f>IF($A166="","",IF($AQ166&lt;&gt;"",IF(INDEX(Raw_D2!$C$2:$C$1001,$AQ166)="","",INDEX(Raw_D2!$C$2:$C$1001,$AQ166)),IF($AR166&lt;&gt;"",IF(INDEX(Raw_D3!$K$2:$K$1001,$AR166)="","",INDEX(Raw_D3!$K$2:$K$1001,$AR166)),"")))</f>
        <v>0.197</v>
      </c>
      <c r="L166" s="16">
        <f>IF($A166="","",IF($AQ166&lt;&gt;"",IF(INDEX(Raw_D2!$D$2:$D$1001,$AQ166)="","",INDEX(Raw_D2!$D$2:$D$1001,$AQ166)),IF($AR166&lt;&gt;"",IF(INDEX(Raw_D3!$L$2:$L$1001,$AR166)="","",INDEX(Raw_D3!$L$2:$L$1001,$AR166)),"")))</f>
        <v>0.55</v>
      </c>
      <c r="M166" s="17">
        <f>IF($A166="","",IF($AQ166&lt;&gt;"",IF(INDEX(Raw_D2!$E$2:$E$1001,$AQ166)="","",INDEX(Raw_D2!$E$2:$E$1001,$AQ166)),IF($AR166&lt;&gt;"",IF(INDEX(Raw_D3!$M$2:$M$1001,$AR166)="","",INDEX(Raw_D3!$M$2:$M$1001,$AR166)),"")))</f>
        <v>0.1642</v>
      </c>
      <c r="N166" s="5">
        <f>IF($A166="","",IF($AQ166&lt;&gt;"",IF(INDEX(Raw_D2!$F$2:$F$1001,$AQ166)="","",INDEX(Raw_D2!$F$2:$F$1001,$AQ166)),IF($AR166&lt;&gt;"",IF(INDEX(Raw_D3!$N$2:$N$1001,$AR166)="","",INDEX(Raw_D3!$N$2:$N$1001,$AR166)),"")))</f>
        <v>0</v>
      </c>
      <c r="O166" s="5">
        <f>IF($A166="","",IF($AQ166&lt;&gt;"",IF(INDEX(Raw_D2!$G$2:$G$1001,$AQ166)="","",INDEX(Raw_D2!$G$2:$G$1001,$AQ166)),IF($AR166&lt;&gt;"",IF(INDEX(Raw_D3!$O$2:$O$1001,$AR166)="","",INDEX(Raw_D3!$O$2:$O$1001,$AR166)),"")))</f>
        <v>7</v>
      </c>
      <c r="P166" s="5">
        <f>IF($A166="","",IF($AQ166&lt;&gt;"",IF(INDEX(Raw_D2!$H$2:$H$1001,$AQ166)="","",INDEX(Raw_D2!$H$2:$H$1001,$AQ166)),IF($AR166&lt;&gt;"",IF(INDEX(Raw_D3!$P$2:$P$1001,$AR166)="","",INDEX(Raw_D3!$P$2:$P$1001,$AR166)),"")))</f>
        <v>7</v>
      </c>
      <c r="Q166" s="5" t="str">
        <f>IF($A166="","",IF(AND($AP166&lt;&gt;"",$AQ166&lt;&gt;""),"D1+D2",IF($AR166&lt;&gt;"","D3","Incomplete")))</f>
        <v>D1+D2</v>
      </c>
      <c r="R166" s="17">
        <f>IF($A166="","",IF($K166="",IF($J166="","",ROUND(Lookups!$K$5+Lookups!$K$4*$J166,4)),$K166))</f>
        <v>0.197</v>
      </c>
      <c r="S166" s="5" t="str">
        <f>IF($A166="","",IF($K166="","Imputed","Original"))</f>
        <v>Original</v>
      </c>
      <c r="T166" s="5" t="str">
        <f>IF($A166="","",IF($P166="","Missing",IF($P166=$N166+$O166,"OK","Mismatch")))</f>
        <v>OK</v>
      </c>
      <c r="U166" s="5" t="str">
        <f>IF($A166="","",IF(COUNTIF($A$2:$A166,$A166)&gt;1,"Duplicate","Unique"))</f>
        <v>Unique</v>
      </c>
      <c r="V166" s="5">
        <f>IF($A166="","",IF(AND($U166="Unique",ISNUMBER($P166)),1,0))</f>
        <v>1</v>
      </c>
      <c r="W166" s="5" t="str">
        <f>IF($A166="","",IF(OR($H166=0,$H166=6),"Weekend","Weekday"))</f>
        <v>Weekend</v>
      </c>
      <c r="X166" s="5" t="str">
        <f>IF($A166="","",TEXT($B166,"ddd"))</f>
        <v>Sat</v>
      </c>
      <c r="Y166" s="5" t="str">
        <f>IF($A166="","",TEXT($B166,"mmm"))</f>
        <v>Jan</v>
      </c>
      <c r="Z166" s="5" t="str">
        <f>IF($A166="","",IFERROR(VLOOKUP($C166,Lookups!$D$4:$E$7,2,FALSE),"Unknown"))</f>
        <v>Winter</v>
      </c>
      <c r="AA166" s="5" t="str">
        <f>IF($A166="","",IFERROR(VLOOKUP($I166,Lookups!$A$4:$B$7,2,FALSE),"Unknown"))</f>
        <v>Light Rain/Snow</v>
      </c>
      <c r="AB166" s="5" t="str">
        <f>IF($A166="","",TEXT($F166,"00")&amp;":00")</f>
        <v>03:00</v>
      </c>
      <c r="AC166" s="5" t="str">
        <f>IF($A166="","",VLOOKUP($F166,Lookups!$G$4:$H$8,2,TRUE))</f>
        <v>Night (00-05)</v>
      </c>
      <c r="AD166" s="18">
        <f>IF($A166="","",IF($J166="","",ROUND($J166*41,1)))</f>
        <v>7.4</v>
      </c>
      <c r="AE166" s="18">
        <f>IF($A166="","",IF($R166="","",ROUND($R166*50,1)))</f>
        <v>9.9</v>
      </c>
      <c r="AF166" s="5">
        <f>IF($A166="","",IF($L166="","",ROUND($L166*100,0)))</f>
        <v>55</v>
      </c>
      <c r="AG166" s="18">
        <f>IF($A166="","",IF($M166="","",ROUND($M166*67,1)))</f>
        <v>11</v>
      </c>
      <c r="AH166" s="19">
        <f>IF($A166="","",IF($P166="","",IF($P166=0,0,$O166/$P166)))</f>
        <v>1</v>
      </c>
      <c r="AI166" s="5" t="str">
        <f>IF($A166="","",IF($P166="","",IF($P166&gt;=Lookups!$K$7,"High",IF($P166&lt;=Lookups!$K$8,"Low","Medium"))))</f>
        <v>Low</v>
      </c>
      <c r="AJ166" s="5" t="str">
        <f>IF($A166="","",IF($AD166="","",IF($AD166&lt;5,"Under 5 C",IF($AD166&lt;10,"5-10 C",IF($AD166&lt;15,"10-15 C","15 C and above")))))</f>
        <v>5-10 C</v>
      </c>
      <c r="AK166" s="5">
        <f>IF($A166="","",IF($P166="","",$P166^2))</f>
        <v>49</v>
      </c>
      <c r="AL166" s="18">
        <f>IF($V166&lt;&gt;1,"",AVERAGEIFS(Clean_Data!$P$2:$P$1001,Clean_Data!$F$2:$F$1001,$F166,Clean_Data!$W$2:$W$1001,$W166,Clean_Data!$V$2:$V$1001,1))</f>
        <v>9.07142857142857</v>
      </c>
      <c r="AM166" s="16">
        <f>IF($V166&lt;&gt;1,"",IFERROR(($P166-$AL166)/SQRT(MAX(0,(SUMIFS(Clean_Data!$AK$2:$AK$1001,Clean_Data!$F$2:$F$1001,$F166,Clean_Data!$W$2:$W$1001,$W166,Clean_Data!$V$2:$V$1001,1)-COUNTIFS(Clean_Data!$F$2:$F$1001,$F166,Clean_Data!$W$2:$W$1001,$W166,Clean_Data!$V$2:$V$1001,1)*$AL166^2)/(COUNTIFS(Clean_Data!$F$2:$F$1001,$F166,Clean_Data!$W$2:$W$1001,$W166,Clean_Data!$V$2:$V$1001,1)-1))),""))</f>
        <v>-0.624715256047678</v>
      </c>
      <c r="AN166" s="5" t="str">
        <f>IF($AM166="","",IF($AM166&gt;=Lookups!$K$6,"High spike",IF($AM166&lt;=-Lookups!$K$6,"Unusual low","Normal")))</f>
        <v>Normal</v>
      </c>
      <c r="AO166" s="20">
        <f>IF($V166&lt;&gt;1,"",$P166+ROW()/100000)</f>
        <v>7.00166</v>
      </c>
      <c r="AP166" s="5">
        <f>IF($A166="","",IFERROR(MATCH($A166,Raw_D1!$A$2:$A$1001,0),""))</f>
        <v>165</v>
      </c>
      <c r="AQ166" s="5">
        <f>IF($A166="","",IFERROR(MATCH($A166,Raw_D2!$B$2:$B$1001,0),""))</f>
        <v>165</v>
      </c>
      <c r="AR166" s="5">
        <f>IF($A166="","",IFERROR(MATCH($A166,Raw_D3!$A$2:$A$1001,0),""))</f>
        <v/>
      </c>
    </row>
    <row r="167" spans="1:44" x14ac:dyDescent="0.25">
      <c r="A167" s="5">
        <v>166</v>
      </c>
      <c r="B167" s="11">
        <f>IF($A167="","",IF($AP167&lt;&gt;"",INDEX(Raw_D1!$B$2:$B$1001,$AP167),IF($AR167&lt;&gt;"",INDEX(Raw_D3!$B$2:$B$1001,$AR167),"")))</f>
        <v>40551.0</v>
      </c>
      <c r="C167" s="5">
        <f>IF($A167="","",IF($AP167&lt;&gt;"",INDEX(Raw_D1!$C$2:$C$1001,$AP167),IF($AR167&lt;&gt;"",INDEX(Raw_D3!$C$2:$C$1001,$AR167),"")))</f>
        <v>1</v>
      </c>
      <c r="D167" s="5">
        <f>IF($A167="","",IF($AP167&lt;&gt;"",INDEX(Raw_D1!$D$2:$D$1001,$AP167),IF($AR167&lt;&gt;"",INDEX(Raw_D3!$D$2:$D$1001,$AR167),"")))</f>
        <v>0</v>
      </c>
      <c r="E167" s="5">
        <f>IF($A167="","",IF($AP167&lt;&gt;"",INDEX(Raw_D1!$E$2:$E$1001,$AP167),IF($AR167&lt;&gt;"",INDEX(Raw_D3!$E$2:$E$1001,$AR167),"")))</f>
        <v>1</v>
      </c>
      <c r="F167" s="5">
        <f>IF($A167="","",IF($AP167&lt;&gt;"",INDEX(Raw_D1!$F$2:$F$1001,$AP167),IF($AR167&lt;&gt;"",INDEX(Raw_D3!$F$2:$F$1001,$AR167),"")))</f>
        <v>4</v>
      </c>
      <c r="G167" s="5">
        <f>IF($A167="","",IF($AP167&lt;&gt;"",IF(INDEX(Raw_D1!$G$2:$G$1001,$AP167),1,0),IF($AR167&lt;&gt;"",IF(INDEX(Raw_D3!$G$2:$G$1001,$AR167),1,0),"")))</f>
        <v>0</v>
      </c>
      <c r="H167" s="5">
        <f>IF($A167="","",IF($AP167&lt;&gt;"",INDEX(Raw_D1!$H$2:$H$1001,$AP167),IF($AR167&lt;&gt;"",INDEX(Raw_D3!$H$2:$H$1001,$AR167),"")))</f>
        <v>6</v>
      </c>
      <c r="I167" s="5">
        <f>IF($A167="","",IF($AP167&lt;&gt;"",INDEX(Raw_D1!$I$2:$I$1001,$AP167),IF($AR167&lt;&gt;"",INDEX(Raw_D3!$I$2:$I$1001,$AR167),"")))</f>
        <v>3</v>
      </c>
      <c r="J167" s="16">
        <f>IF($A167="","",IF($AP167&lt;&gt;"",INDEX(Raw_D1!$J$2:$J$1001,$AP167),IF($AR167&lt;&gt;"",INDEX(Raw_D3!$J$2:$J$1001,$AR167),"")))</f>
        <v>0.18</v>
      </c>
      <c r="K167" s="17">
        <f>IF($A167="","",IF($AQ167&lt;&gt;"",IF(INDEX(Raw_D2!$C$2:$C$1001,$AQ167)="","",INDEX(Raw_D2!$C$2:$C$1001,$AQ167)),IF($AR167&lt;&gt;"",IF(INDEX(Raw_D3!$K$2:$K$1001,$AR167)="","",INDEX(Raw_D3!$K$2:$K$1001,$AR167)),"")))</f>
        <v>0.197</v>
      </c>
      <c r="L167" s="16">
        <f>IF($A167="","",IF($AQ167&lt;&gt;"",IF(INDEX(Raw_D2!$D$2:$D$1001,$AQ167)="","",INDEX(Raw_D2!$D$2:$D$1001,$AQ167)),IF($AR167&lt;&gt;"",IF(INDEX(Raw_D3!$L$2:$L$1001,$AR167)="","",INDEX(Raw_D3!$L$2:$L$1001,$AR167)),"")))</f>
        <v>0.55</v>
      </c>
      <c r="M167" s="17">
        <f>IF($A167="","",IF($AQ167&lt;&gt;"",IF(INDEX(Raw_D2!$E$2:$E$1001,$AQ167)="","",INDEX(Raw_D2!$E$2:$E$1001,$AQ167)),IF($AR167&lt;&gt;"",IF(INDEX(Raw_D3!$M$2:$M$1001,$AR167)="","",INDEX(Raw_D3!$M$2:$M$1001,$AR167)),"")))</f>
        <v>0.1642</v>
      </c>
      <c r="N167" s="5">
        <f>IF($A167="","",IF($AQ167&lt;&gt;"",IF(INDEX(Raw_D2!$F$2:$F$1001,$AQ167)="","",INDEX(Raw_D2!$F$2:$F$1001,$AQ167)),IF($AR167&lt;&gt;"",IF(INDEX(Raw_D3!$N$2:$N$1001,$AR167)="","",INDEX(Raw_D3!$N$2:$N$1001,$AR167)),"")))</f>
        <v>0</v>
      </c>
      <c r="O167" s="5">
        <f>IF($A167="","",IF($AQ167&lt;&gt;"",IF(INDEX(Raw_D2!$G$2:$G$1001,$AQ167)="","",INDEX(Raw_D2!$G$2:$G$1001,$AQ167)),IF($AR167&lt;&gt;"",IF(INDEX(Raw_D3!$O$2:$O$1001,$AR167)="","",INDEX(Raw_D3!$O$2:$O$1001,$AR167)),"")))</f>
        <v>1</v>
      </c>
      <c r="P167" s="5">
        <f>IF($A167="","",IF($AQ167&lt;&gt;"",IF(INDEX(Raw_D2!$H$2:$H$1001,$AQ167)="","",INDEX(Raw_D2!$H$2:$H$1001,$AQ167)),IF($AR167&lt;&gt;"",IF(INDEX(Raw_D3!$P$2:$P$1001,$AR167)="","",INDEX(Raw_D3!$P$2:$P$1001,$AR167)),"")))</f>
        <v>1</v>
      </c>
      <c r="Q167" s="5" t="str">
        <f>IF($A167="","",IF(AND($AP167&lt;&gt;"",$AQ167&lt;&gt;""),"D1+D2",IF($AR167&lt;&gt;"","D3","Incomplete")))</f>
        <v>D1+D2</v>
      </c>
      <c r="R167" s="17">
        <f>IF($A167="","",IF($K167="",IF($J167="","",ROUND(Lookups!$K$5+Lookups!$K$4*$J167,4)),$K167))</f>
        <v>0.197</v>
      </c>
      <c r="S167" s="5" t="str">
        <f>IF($A167="","",IF($K167="","Imputed","Original"))</f>
        <v>Original</v>
      </c>
      <c r="T167" s="5" t="str">
        <f>IF($A167="","",IF($P167="","Missing",IF($P167=$N167+$O167,"OK","Mismatch")))</f>
        <v>OK</v>
      </c>
      <c r="U167" s="5" t="str">
        <f>IF($A167="","",IF(COUNTIF($A$2:$A167,$A167)&gt;1,"Duplicate","Unique"))</f>
        <v>Unique</v>
      </c>
      <c r="V167" s="5">
        <f>IF($A167="","",IF(AND($U167="Unique",ISNUMBER($P167)),1,0))</f>
        <v>1</v>
      </c>
      <c r="W167" s="5" t="str">
        <f>IF($A167="","",IF(OR($H167=0,$H167=6),"Weekend","Weekday"))</f>
        <v>Weekend</v>
      </c>
      <c r="X167" s="5" t="str">
        <f>IF($A167="","",TEXT($B167,"ddd"))</f>
        <v>Sat</v>
      </c>
      <c r="Y167" s="5" t="str">
        <f>IF($A167="","",TEXT($B167,"mmm"))</f>
        <v>Jan</v>
      </c>
      <c r="Z167" s="5" t="str">
        <f>IF($A167="","",IFERROR(VLOOKUP($C167,Lookups!$D$4:$E$7,2,FALSE),"Unknown"))</f>
        <v>Winter</v>
      </c>
      <c r="AA167" s="5" t="str">
        <f>IF($A167="","",IFERROR(VLOOKUP($I167,Lookups!$A$4:$B$7,2,FALSE),"Unknown"))</f>
        <v>Light Rain/Snow</v>
      </c>
      <c r="AB167" s="5" t="str">
        <f>IF($A167="","",TEXT($F167,"00")&amp;":00")</f>
        <v>04:00</v>
      </c>
      <c r="AC167" s="5" t="str">
        <f>IF($A167="","",VLOOKUP($F167,Lookups!$G$4:$H$8,2,TRUE))</f>
        <v>Night (00-05)</v>
      </c>
      <c r="AD167" s="18">
        <f>IF($A167="","",IF($J167="","",ROUND($J167*41,1)))</f>
        <v>7.4</v>
      </c>
      <c r="AE167" s="18">
        <f>IF($A167="","",IF($R167="","",ROUND($R167*50,1)))</f>
        <v>9.9</v>
      </c>
      <c r="AF167" s="5">
        <f>IF($A167="","",IF($L167="","",ROUND($L167*100,0)))</f>
        <v>55</v>
      </c>
      <c r="AG167" s="18">
        <f>IF($A167="","",IF($M167="","",ROUND($M167*67,1)))</f>
        <v>11</v>
      </c>
      <c r="AH167" s="19">
        <f>IF($A167="","",IF($P167="","",IF($P167=0,0,$O167/$P167)))</f>
        <v>1</v>
      </c>
      <c r="AI167" s="5" t="str">
        <f>IF($A167="","",IF($P167="","",IF($P167&gt;=Lookups!$K$7,"High",IF($P167&lt;=Lookups!$K$8,"Low","Medium"))))</f>
        <v>Low</v>
      </c>
      <c r="AJ167" s="5" t="str">
        <f>IF($A167="","",IF($AD167="","",IF($AD167&lt;5,"Under 5 C",IF($AD167&lt;10,"5-10 C",IF($AD167&lt;15,"10-15 C","15 C and above")))))</f>
        <v>5-10 C</v>
      </c>
      <c r="AK167" s="5">
        <f>IF($A167="","",IF($P167="","",$P167^2))</f>
        <v>1</v>
      </c>
      <c r="AL167" s="18">
        <f>IF($V167&lt;&gt;1,"",AVERAGEIFS(Clean_Data!$P$2:$P$1001,Clean_Data!$F$2:$F$1001,$F167,Clean_Data!$W$2:$W$1001,$W167,Clean_Data!$V$2:$V$1001,1))</f>
        <v>2.69230769230769</v>
      </c>
      <c r="AM167" s="16">
        <f>IF($V167&lt;&gt;1,"",IFERROR(($P167-$AL167)/SQRT(MAX(0,(SUMIFS(Clean_Data!$AK$2:$AK$1001,Clean_Data!$F$2:$F$1001,$F167,Clean_Data!$W$2:$W$1001,$W167,Clean_Data!$V$2:$V$1001,1)-COUNTIFS(Clean_Data!$F$2:$F$1001,$F167,Clean_Data!$W$2:$W$1001,$W167,Clean_Data!$V$2:$V$1001,1)*$AL167^2)/(COUNTIFS(Clean_Data!$F$2:$F$1001,$F167,Clean_Data!$W$2:$W$1001,$W167,Clean_Data!$V$2:$V$1001,1)-1))),""))</f>
        <v>-0.822753351207442</v>
      </c>
      <c r="AN167" s="5" t="str">
        <f>IF($AM167="","",IF($AM167&gt;=Lookups!$K$6,"High spike",IF($AM167&lt;=-Lookups!$K$6,"Unusual low","Normal")))</f>
        <v>Normal</v>
      </c>
      <c r="AO167" s="20">
        <f>IF($V167&lt;&gt;1,"",$P167+ROW()/100000)</f>
        <v>1.00167</v>
      </c>
      <c r="AP167" s="5">
        <f>IF($A167="","",IFERROR(MATCH($A167,Raw_D1!$A$2:$A$1001,0),""))</f>
        <v>166</v>
      </c>
      <c r="AQ167" s="5">
        <f>IF($A167="","",IFERROR(MATCH($A167,Raw_D2!$B$2:$B$1001,0),""))</f>
        <v>166</v>
      </c>
      <c r="AR167" s="5">
        <f>IF($A167="","",IFERROR(MATCH($A167,Raw_D3!$A$2:$A$1001,0),""))</f>
        <v/>
      </c>
    </row>
    <row r="168" spans="1:44" x14ac:dyDescent="0.25">
      <c r="A168" s="5">
        <v>167</v>
      </c>
      <c r="B168" s="11">
        <f>IF($A168="","",IF($AP168&lt;&gt;"",INDEX(Raw_D1!$B$2:$B$1001,$AP168),IF($AR168&lt;&gt;"",INDEX(Raw_D3!$B$2:$B$1001,$AR168),"")))</f>
        <v>40551.0</v>
      </c>
      <c r="C168" s="5">
        <f>IF($A168="","",IF($AP168&lt;&gt;"",INDEX(Raw_D1!$C$2:$C$1001,$AP168),IF($AR168&lt;&gt;"",INDEX(Raw_D3!$C$2:$C$1001,$AR168),"")))</f>
        <v>1</v>
      </c>
      <c r="D168" s="5">
        <f>IF($A168="","",IF($AP168&lt;&gt;"",INDEX(Raw_D1!$D$2:$D$1001,$AP168),IF($AR168&lt;&gt;"",INDEX(Raw_D3!$D$2:$D$1001,$AR168),"")))</f>
        <v>0</v>
      </c>
      <c r="E168" s="5">
        <f>IF($A168="","",IF($AP168&lt;&gt;"",INDEX(Raw_D1!$E$2:$E$1001,$AP168),IF($AR168&lt;&gt;"",INDEX(Raw_D3!$E$2:$E$1001,$AR168),"")))</f>
        <v>1</v>
      </c>
      <c r="F168" s="5">
        <f>IF($A168="","",IF($AP168&lt;&gt;"",INDEX(Raw_D1!$F$2:$F$1001,$AP168),IF($AR168&lt;&gt;"",INDEX(Raw_D3!$F$2:$F$1001,$AR168),"")))</f>
        <v>5</v>
      </c>
      <c r="G168" s="5">
        <f>IF($A168="","",IF($AP168&lt;&gt;"",IF(INDEX(Raw_D1!$G$2:$G$1001,$AP168),1,0),IF($AR168&lt;&gt;"",IF(INDEX(Raw_D3!$G$2:$G$1001,$AR168),1,0),"")))</f>
        <v>0</v>
      </c>
      <c r="H168" s="5">
        <f>IF($A168="","",IF($AP168&lt;&gt;"",INDEX(Raw_D1!$H$2:$H$1001,$AP168),IF($AR168&lt;&gt;"",INDEX(Raw_D3!$H$2:$H$1001,$AR168),"")))</f>
        <v>6</v>
      </c>
      <c r="I168" s="5">
        <f>IF($A168="","",IF($AP168&lt;&gt;"",INDEX(Raw_D1!$I$2:$I$1001,$AP168),IF($AR168&lt;&gt;"",INDEX(Raw_D3!$I$2:$I$1001,$AR168),"")))</f>
        <v>2</v>
      </c>
      <c r="J168" s="16">
        <f>IF($A168="","",IF($AP168&lt;&gt;"",INDEX(Raw_D1!$J$2:$J$1001,$AP168),IF($AR168&lt;&gt;"",INDEX(Raw_D3!$J$2:$J$1001,$AR168),"")))</f>
        <v>0.16</v>
      </c>
      <c r="K168" s="17">
        <f>IF($A168="","",IF($AQ168&lt;&gt;"",IF(INDEX(Raw_D2!$C$2:$C$1001,$AQ168)="","",INDEX(Raw_D2!$C$2:$C$1001,$AQ168)),IF($AR168&lt;&gt;"",IF(INDEX(Raw_D3!$K$2:$K$1001,$AR168)="","",INDEX(Raw_D3!$K$2:$K$1001,$AR168)),"")))</f>
        <v>0.1667</v>
      </c>
      <c r="L168" s="16">
        <f>IF($A168="","",IF($AQ168&lt;&gt;"",IF(INDEX(Raw_D2!$D$2:$D$1001,$AQ168)="","",INDEX(Raw_D2!$D$2:$D$1001,$AQ168)),IF($AR168&lt;&gt;"",IF(INDEX(Raw_D3!$L$2:$L$1001,$AR168)="","",INDEX(Raw_D3!$L$2:$L$1001,$AR168)),"")))</f>
        <v>0.74</v>
      </c>
      <c r="M168" s="17">
        <f>IF($A168="","",IF($AQ168&lt;&gt;"",IF(INDEX(Raw_D2!$E$2:$E$1001,$AQ168)="","",INDEX(Raw_D2!$E$2:$E$1001,$AQ168)),IF($AR168&lt;&gt;"",IF(INDEX(Raw_D3!$M$2:$M$1001,$AR168)="","",INDEX(Raw_D3!$M$2:$M$1001,$AR168)),"")))</f>
        <v>0.1642</v>
      </c>
      <c r="N168" s="5">
        <f>IF($A168="","",IF($AQ168&lt;&gt;"",IF(INDEX(Raw_D2!$F$2:$F$1001,$AQ168)="","",INDEX(Raw_D2!$F$2:$F$1001,$AQ168)),IF($AR168&lt;&gt;"",IF(INDEX(Raw_D3!$N$2:$N$1001,$AR168)="","",INDEX(Raw_D3!$N$2:$N$1001,$AR168)),"")))</f>
        <v>0</v>
      </c>
      <c r="O168" s="5">
        <f>IF($A168="","",IF($AQ168&lt;&gt;"",IF(INDEX(Raw_D2!$G$2:$G$1001,$AQ168)="","",INDEX(Raw_D2!$G$2:$G$1001,$AQ168)),IF($AR168&lt;&gt;"",IF(INDEX(Raw_D3!$O$2:$O$1001,$AR168)="","",INDEX(Raw_D3!$O$2:$O$1001,$AR168)),"")))</f>
        <v>5</v>
      </c>
      <c r="P168" s="5">
        <f>IF($A168="","",IF($AQ168&lt;&gt;"",IF(INDEX(Raw_D2!$H$2:$H$1001,$AQ168)="","",INDEX(Raw_D2!$H$2:$H$1001,$AQ168)),IF($AR168&lt;&gt;"",IF(INDEX(Raw_D3!$P$2:$P$1001,$AR168)="","",INDEX(Raw_D3!$P$2:$P$1001,$AR168)),"")))</f>
        <v>5</v>
      </c>
      <c r="Q168" s="5" t="str">
        <f>IF($A168="","",IF(AND($AP168&lt;&gt;"",$AQ168&lt;&gt;""),"D1+D2",IF($AR168&lt;&gt;"","D3","Incomplete")))</f>
        <v>D1+D2</v>
      </c>
      <c r="R168" s="17">
        <f>IF($A168="","",IF($K168="",IF($J168="","",ROUND(Lookups!$K$5+Lookups!$K$4*$J168,4)),$K168))</f>
        <v>0.1667</v>
      </c>
      <c r="S168" s="5" t="str">
        <f>IF($A168="","",IF($K168="","Imputed","Original"))</f>
        <v>Original</v>
      </c>
      <c r="T168" s="5" t="str">
        <f>IF($A168="","",IF($P168="","Missing",IF($P168=$N168+$O168,"OK","Mismatch")))</f>
        <v>OK</v>
      </c>
      <c r="U168" s="5" t="str">
        <f>IF($A168="","",IF(COUNTIF($A$2:$A168,$A168)&gt;1,"Duplicate","Unique"))</f>
        <v>Unique</v>
      </c>
      <c r="V168" s="5">
        <f>IF($A168="","",IF(AND($U168="Unique",ISNUMBER($P168)),1,0))</f>
        <v>1</v>
      </c>
      <c r="W168" s="5" t="str">
        <f>IF($A168="","",IF(OR($H168=0,$H168=6),"Weekend","Weekday"))</f>
        <v>Weekend</v>
      </c>
      <c r="X168" s="5" t="str">
        <f>IF($A168="","",TEXT($B168,"ddd"))</f>
        <v>Sat</v>
      </c>
      <c r="Y168" s="5" t="str">
        <f>IF($A168="","",TEXT($B168,"mmm"))</f>
        <v>Jan</v>
      </c>
      <c r="Z168" s="5" t="str">
        <f>IF($A168="","",IFERROR(VLOOKUP($C168,Lookups!$D$4:$E$7,2,FALSE),"Unknown"))</f>
        <v>Winter</v>
      </c>
      <c r="AA168" s="5" t="str">
        <f>IF($A168="","",IFERROR(VLOOKUP($I168,Lookups!$A$4:$B$7,2,FALSE),"Unknown"))</f>
        <v>Mist/Cloudy</v>
      </c>
      <c r="AB168" s="5" t="str">
        <f>IF($A168="","",TEXT($F168,"00")&amp;":00")</f>
        <v>05:00</v>
      </c>
      <c r="AC168" s="5" t="str">
        <f>IF($A168="","",VLOOKUP($F168,Lookups!$G$4:$H$8,2,TRUE))</f>
        <v>Night (00-05)</v>
      </c>
      <c r="AD168" s="18">
        <f>IF($A168="","",IF($J168="","",ROUND($J168*41,1)))</f>
        <v>6.6</v>
      </c>
      <c r="AE168" s="18">
        <f>IF($A168="","",IF($R168="","",ROUND($R168*50,1)))</f>
        <v>8.3</v>
      </c>
      <c r="AF168" s="5">
        <f>IF($A168="","",IF($L168="","",ROUND($L168*100,0)))</f>
        <v>74</v>
      </c>
      <c r="AG168" s="18">
        <f>IF($A168="","",IF($M168="","",ROUND($M168*67,1)))</f>
        <v>11</v>
      </c>
      <c r="AH168" s="19">
        <f>IF($A168="","",IF($P168="","",IF($P168=0,0,$O168/$P168)))</f>
        <v>1</v>
      </c>
      <c r="AI168" s="5" t="str">
        <f>IF($A168="","",IF($P168="","",IF($P168&gt;=Lookups!$K$7,"High",IF($P168&lt;=Lookups!$K$8,"Low","Medium"))))</f>
        <v>Low</v>
      </c>
      <c r="AJ168" s="5" t="str">
        <f>IF($A168="","",IF($AD168="","",IF($AD168&lt;5,"Under 5 C",IF($AD168&lt;10,"5-10 C",IF($AD168&lt;15,"10-15 C","15 C and above")))))</f>
        <v>5-10 C</v>
      </c>
      <c r="AK168" s="5">
        <f>IF($A168="","",IF($P168="","",$P168^2))</f>
        <v>25</v>
      </c>
      <c r="AL168" s="18">
        <f>IF($V168&lt;&gt;1,"",AVERAGEIFS(Clean_Data!$P$2:$P$1001,Clean_Data!$F$2:$F$1001,$F168,Clean_Data!$W$2:$W$1001,$W168,Clean_Data!$V$2:$V$1001,1))</f>
        <v>2.7</v>
      </c>
      <c r="AM168" s="16">
        <f>IF($V168&lt;&gt;1,"",IFERROR(($P168-$AL168)/SQRT(MAX(0,(SUMIFS(Clean_Data!$AK$2:$AK$1001,Clean_Data!$F$2:$F$1001,$F168,Clean_Data!$W$2:$W$1001,$W168,Clean_Data!$V$2:$V$1001,1)-COUNTIFS(Clean_Data!$F$2:$F$1001,$F168,Clean_Data!$W$2:$W$1001,$W168,Clean_Data!$V$2:$V$1001,1)*$AL168^2)/(COUNTIFS(Clean_Data!$F$2:$F$1001,$F168,Clean_Data!$W$2:$W$1001,$W168,Clean_Data!$V$2:$V$1001,1)-1))),""))</f>
        <v>0.890044774435066</v>
      </c>
      <c r="AN168" s="5" t="str">
        <f>IF($AM168="","",IF($AM168&gt;=Lookups!$K$6,"High spike",IF($AM168&lt;=-Lookups!$K$6,"Unusual low","Normal")))</f>
        <v>Normal</v>
      </c>
      <c r="AO168" s="20">
        <f>IF($V168&lt;&gt;1,"",$P168+ROW()/100000)</f>
        <v>5.00168</v>
      </c>
      <c r="AP168" s="5">
        <f>IF($A168="","",IFERROR(MATCH($A168,Raw_D1!$A$2:$A$1001,0),""))</f>
        <v>167</v>
      </c>
      <c r="AQ168" s="5">
        <f>IF($A168="","",IFERROR(MATCH($A168,Raw_D2!$B$2:$B$1001,0),""))</f>
        <v>167</v>
      </c>
      <c r="AR168" s="5">
        <f>IF($A168="","",IFERROR(MATCH($A168,Raw_D3!$A$2:$A$1001,0),""))</f>
        <v/>
      </c>
    </row>
    <row r="169" spans="1:44" x14ac:dyDescent="0.25">
      <c r="A169" s="5">
        <v>168</v>
      </c>
      <c r="B169" s="11">
        <f>IF($A169="","",IF($AP169&lt;&gt;"",INDEX(Raw_D1!$B$2:$B$1001,$AP169),IF($AR169&lt;&gt;"",INDEX(Raw_D3!$B$2:$B$1001,$AR169),"")))</f>
        <v>40551.0</v>
      </c>
      <c r="C169" s="5">
        <f>IF($A169="","",IF($AP169&lt;&gt;"",INDEX(Raw_D1!$C$2:$C$1001,$AP169),IF($AR169&lt;&gt;"",INDEX(Raw_D3!$C$2:$C$1001,$AR169),"")))</f>
        <v>1</v>
      </c>
      <c r="D169" s="5">
        <f>IF($A169="","",IF($AP169&lt;&gt;"",INDEX(Raw_D1!$D$2:$D$1001,$AP169),IF($AR169&lt;&gt;"",INDEX(Raw_D3!$D$2:$D$1001,$AR169),"")))</f>
        <v>0</v>
      </c>
      <c r="E169" s="5">
        <f>IF($A169="","",IF($AP169&lt;&gt;"",INDEX(Raw_D1!$E$2:$E$1001,$AP169),IF($AR169&lt;&gt;"",INDEX(Raw_D3!$E$2:$E$1001,$AR169),"")))</f>
        <v>1</v>
      </c>
      <c r="F169" s="5">
        <f>IF($A169="","",IF($AP169&lt;&gt;"",INDEX(Raw_D1!$F$2:$F$1001,$AP169),IF($AR169&lt;&gt;"",INDEX(Raw_D3!$F$2:$F$1001,$AR169),"")))</f>
        <v>6</v>
      </c>
      <c r="G169" s="5">
        <f>IF($A169="","",IF($AP169&lt;&gt;"",IF(INDEX(Raw_D1!$G$2:$G$1001,$AP169),1,0),IF($AR169&lt;&gt;"",IF(INDEX(Raw_D3!$G$2:$G$1001,$AR169),1,0),"")))</f>
        <v>0</v>
      </c>
      <c r="H169" s="5">
        <f>IF($A169="","",IF($AP169&lt;&gt;"",INDEX(Raw_D1!$H$2:$H$1001,$AP169),IF($AR169&lt;&gt;"",INDEX(Raw_D3!$H$2:$H$1001,$AR169),"")))</f>
        <v>6</v>
      </c>
      <c r="I169" s="5">
        <f>IF($A169="","",IF($AP169&lt;&gt;"",INDEX(Raw_D1!$I$2:$I$1001,$AP169),IF($AR169&lt;&gt;"",INDEX(Raw_D3!$I$2:$I$1001,$AR169),"")))</f>
        <v>2</v>
      </c>
      <c r="J169" s="16">
        <f>IF($A169="","",IF($AP169&lt;&gt;"",INDEX(Raw_D1!$J$2:$J$1001,$AP169),IF($AR169&lt;&gt;"",INDEX(Raw_D3!$J$2:$J$1001,$AR169),"")))</f>
        <v>0.16</v>
      </c>
      <c r="K169" s="17">
        <f>IF($A169="","",IF($AQ169&lt;&gt;"",IF(INDEX(Raw_D2!$C$2:$C$1001,$AQ169)="","",INDEX(Raw_D2!$C$2:$C$1001,$AQ169)),IF($AR169&lt;&gt;"",IF(INDEX(Raw_D3!$K$2:$K$1001,$AR169)="","",INDEX(Raw_D3!$K$2:$K$1001,$AR169)),"")))</f>
        <v>0.1667</v>
      </c>
      <c r="L169" s="16">
        <f>IF($A169="","",IF($AQ169&lt;&gt;"",IF(INDEX(Raw_D2!$D$2:$D$1001,$AQ169)="","",INDEX(Raw_D2!$D$2:$D$1001,$AQ169)),IF($AR169&lt;&gt;"",IF(INDEX(Raw_D3!$L$2:$L$1001,$AR169)="","",INDEX(Raw_D3!$L$2:$L$1001,$AR169)),"")))</f>
        <v>0.74</v>
      </c>
      <c r="M169" s="17">
        <f>IF($A169="","",IF($AQ169&lt;&gt;"",IF(INDEX(Raw_D2!$E$2:$E$1001,$AQ169)="","",INDEX(Raw_D2!$E$2:$E$1001,$AQ169)),IF($AR169&lt;&gt;"",IF(INDEX(Raw_D3!$M$2:$M$1001,$AR169)="","",INDEX(Raw_D3!$M$2:$M$1001,$AR169)),"")))</f>
        <v>0.1642</v>
      </c>
      <c r="N169" s="5">
        <f>IF($A169="","",IF($AQ169&lt;&gt;"",IF(INDEX(Raw_D2!$F$2:$F$1001,$AQ169)="","",INDEX(Raw_D2!$F$2:$F$1001,$AQ169)),IF($AR169&lt;&gt;"",IF(INDEX(Raw_D3!$N$2:$N$1001,$AR169)="","",INDEX(Raw_D3!$N$2:$N$1001,$AR169)),"")))</f>
        <v>0</v>
      </c>
      <c r="O169" s="5">
        <f>IF($A169="","",IF($AQ169&lt;&gt;"",IF(INDEX(Raw_D2!$G$2:$G$1001,$AQ169)="","",INDEX(Raw_D2!$G$2:$G$1001,$AQ169)),IF($AR169&lt;&gt;"",IF(INDEX(Raw_D3!$O$2:$O$1001,$AR169)="","",INDEX(Raw_D3!$O$2:$O$1001,$AR169)),"")))</f>
        <v>2</v>
      </c>
      <c r="P169" s="5">
        <f>IF($A169="","",IF($AQ169&lt;&gt;"",IF(INDEX(Raw_D2!$H$2:$H$1001,$AQ169)="","",INDEX(Raw_D2!$H$2:$H$1001,$AQ169)),IF($AR169&lt;&gt;"",IF(INDEX(Raw_D3!$P$2:$P$1001,$AR169)="","",INDEX(Raw_D3!$P$2:$P$1001,$AR169)),"")))</f>
        <v>2</v>
      </c>
      <c r="Q169" s="5" t="str">
        <f>IF($A169="","",IF(AND($AP169&lt;&gt;"",$AQ169&lt;&gt;""),"D1+D2",IF($AR169&lt;&gt;"","D3","Incomplete")))</f>
        <v>D1+D2</v>
      </c>
      <c r="R169" s="17">
        <f>IF($A169="","",IF($K169="",IF($J169="","",ROUND(Lookups!$K$5+Lookups!$K$4*$J169,4)),$K169))</f>
        <v>0.1667</v>
      </c>
      <c r="S169" s="5" t="str">
        <f>IF($A169="","",IF($K169="","Imputed","Original"))</f>
        <v>Original</v>
      </c>
      <c r="T169" s="5" t="str">
        <f>IF($A169="","",IF($P169="","Missing",IF($P169=$N169+$O169,"OK","Mismatch")))</f>
        <v>OK</v>
      </c>
      <c r="U169" s="5" t="str">
        <f>IF($A169="","",IF(COUNTIF($A$2:$A169,$A169)&gt;1,"Duplicate","Unique"))</f>
        <v>Unique</v>
      </c>
      <c r="V169" s="5">
        <f>IF($A169="","",IF(AND($U169="Unique",ISNUMBER($P169)),1,0))</f>
        <v>1</v>
      </c>
      <c r="W169" s="5" t="str">
        <f>IF($A169="","",IF(OR($H169=0,$H169=6),"Weekend","Weekday"))</f>
        <v>Weekend</v>
      </c>
      <c r="X169" s="5" t="str">
        <f>IF($A169="","",TEXT($B169,"ddd"))</f>
        <v>Sat</v>
      </c>
      <c r="Y169" s="5" t="str">
        <f>IF($A169="","",TEXT($B169,"mmm"))</f>
        <v>Jan</v>
      </c>
      <c r="Z169" s="5" t="str">
        <f>IF($A169="","",IFERROR(VLOOKUP($C169,Lookups!$D$4:$E$7,2,FALSE),"Unknown"))</f>
        <v>Winter</v>
      </c>
      <c r="AA169" s="5" t="str">
        <f>IF($A169="","",IFERROR(VLOOKUP($I169,Lookups!$A$4:$B$7,2,FALSE),"Unknown"))</f>
        <v>Mist/Cloudy</v>
      </c>
      <c r="AB169" s="5" t="str">
        <f>IF($A169="","",TEXT($F169,"00")&amp;":00")</f>
        <v>06:00</v>
      </c>
      <c r="AC169" s="5" t="str">
        <f>IF($A169="","",VLOOKUP($F169,Lookups!$G$4:$H$8,2,TRUE))</f>
        <v>Morning Peak (06-09)</v>
      </c>
      <c r="AD169" s="18">
        <f>IF($A169="","",IF($J169="","",ROUND($J169*41,1)))</f>
        <v>6.6</v>
      </c>
      <c r="AE169" s="18">
        <f>IF($A169="","",IF($R169="","",ROUND($R169*50,1)))</f>
        <v>8.3</v>
      </c>
      <c r="AF169" s="5">
        <f>IF($A169="","",IF($L169="","",ROUND($L169*100,0)))</f>
        <v>74</v>
      </c>
      <c r="AG169" s="18">
        <f>IF($A169="","",IF($M169="","",ROUND($M169*67,1)))</f>
        <v>11</v>
      </c>
      <c r="AH169" s="19">
        <f>IF($A169="","",IF($P169="","",IF($P169=0,0,$O169/$P169)))</f>
        <v>1</v>
      </c>
      <c r="AI169" s="5" t="str">
        <f>IF($A169="","",IF($P169="","",IF($P169&gt;=Lookups!$K$7,"High",IF($P169&lt;=Lookups!$K$8,"Low","Medium"))))</f>
        <v>Low</v>
      </c>
      <c r="AJ169" s="5" t="str">
        <f>IF($A169="","",IF($AD169="","",IF($AD169&lt;5,"Under 5 C",IF($AD169&lt;10,"5-10 C",IF($AD169&lt;15,"10-15 C","15 C and above")))))</f>
        <v>5-10 C</v>
      </c>
      <c r="AK169" s="5">
        <f>IF($A169="","",IF($P169="","",$P169^2))</f>
        <v>4</v>
      </c>
      <c r="AL169" s="18">
        <f>IF($V169&lt;&gt;1,"",AVERAGEIFS(Clean_Data!$P$2:$P$1001,Clean_Data!$F$2:$F$1001,$F169,Clean_Data!$W$2:$W$1001,$W169,Clean_Data!$V$2:$V$1001,1))</f>
        <v>2.15384615384615</v>
      </c>
      <c r="AM169" s="16">
        <f>IF($V169&lt;&gt;1,"",IFERROR(($P169-$AL169)/SQRT(MAX(0,(SUMIFS(Clean_Data!$AK$2:$AK$1001,Clean_Data!$F$2:$F$1001,$F169,Clean_Data!$W$2:$W$1001,$W169,Clean_Data!$V$2:$V$1001,1)-COUNTIFS(Clean_Data!$F$2:$F$1001,$F169,Clean_Data!$W$2:$W$1001,$W169,Clean_Data!$V$2:$V$1001,1)*$AL169^2)/(COUNTIFS(Clean_Data!$F$2:$F$1001,$F169,Clean_Data!$W$2:$W$1001,$W169,Clean_Data!$V$2:$V$1001,1)-1))),""))</f>
        <v>-0.12670245343199</v>
      </c>
      <c r="AN169" s="5" t="str">
        <f>IF($AM169="","",IF($AM169&gt;=Lookups!$K$6,"High spike",IF($AM169&lt;=-Lookups!$K$6,"Unusual low","Normal")))</f>
        <v>Normal</v>
      </c>
      <c r="AO169" s="20">
        <f>IF($V169&lt;&gt;1,"",$P169+ROW()/100000)</f>
        <v>2.00169</v>
      </c>
      <c r="AP169" s="5">
        <f>IF($A169="","",IFERROR(MATCH($A169,Raw_D1!$A$2:$A$1001,0),""))</f>
        <v>168</v>
      </c>
      <c r="AQ169" s="5">
        <f>IF($A169="","",IFERROR(MATCH($A169,Raw_D2!$B$2:$B$1001,0),""))</f>
        <v>168</v>
      </c>
      <c r="AR169" s="5">
        <f>IF($A169="","",IFERROR(MATCH($A169,Raw_D3!$A$2:$A$1001,0),""))</f>
        <v/>
      </c>
    </row>
    <row r="170" spans="1:44" x14ac:dyDescent="0.25">
      <c r="A170" s="5">
        <v>169</v>
      </c>
      <c r="B170" s="11">
        <f>IF($A170="","",IF($AP170&lt;&gt;"",INDEX(Raw_D1!$B$2:$B$1001,$AP170),IF($AR170&lt;&gt;"",INDEX(Raw_D3!$B$2:$B$1001,$AR170),"")))</f>
        <v>40551.0</v>
      </c>
      <c r="C170" s="5">
        <f>IF($A170="","",IF($AP170&lt;&gt;"",INDEX(Raw_D1!$C$2:$C$1001,$AP170),IF($AR170&lt;&gt;"",INDEX(Raw_D3!$C$2:$C$1001,$AR170),"")))</f>
        <v>1</v>
      </c>
      <c r="D170" s="5">
        <f>IF($A170="","",IF($AP170&lt;&gt;"",INDEX(Raw_D1!$D$2:$D$1001,$AP170),IF($AR170&lt;&gt;"",INDEX(Raw_D3!$D$2:$D$1001,$AR170),"")))</f>
        <v>0</v>
      </c>
      <c r="E170" s="5">
        <f>IF($A170="","",IF($AP170&lt;&gt;"",INDEX(Raw_D1!$E$2:$E$1001,$AP170),IF($AR170&lt;&gt;"",INDEX(Raw_D3!$E$2:$E$1001,$AR170),"")))</f>
        <v>1</v>
      </c>
      <c r="F170" s="5">
        <f>IF($A170="","",IF($AP170&lt;&gt;"",INDEX(Raw_D1!$F$2:$F$1001,$AP170),IF($AR170&lt;&gt;"",INDEX(Raw_D3!$F$2:$F$1001,$AR170),"")))</f>
        <v>7</v>
      </c>
      <c r="G170" s="5">
        <f>IF($A170="","",IF($AP170&lt;&gt;"",IF(INDEX(Raw_D1!$G$2:$G$1001,$AP170),1,0),IF($AR170&lt;&gt;"",IF(INDEX(Raw_D3!$G$2:$G$1001,$AR170),1,0),"")))</f>
        <v>0</v>
      </c>
      <c r="H170" s="5">
        <f>IF($A170="","",IF($AP170&lt;&gt;"",INDEX(Raw_D1!$H$2:$H$1001,$AP170),IF($AR170&lt;&gt;"",INDEX(Raw_D3!$H$2:$H$1001,$AR170),"")))</f>
        <v>6</v>
      </c>
      <c r="I170" s="5">
        <f>IF($A170="","",IF($AP170&lt;&gt;"",INDEX(Raw_D1!$I$2:$I$1001,$AP170),IF($AR170&lt;&gt;"",INDEX(Raw_D3!$I$2:$I$1001,$AR170),"")))</f>
        <v>2</v>
      </c>
      <c r="J170" s="16">
        <f>IF($A170="","",IF($AP170&lt;&gt;"",INDEX(Raw_D1!$J$2:$J$1001,$AP170),IF($AR170&lt;&gt;"",INDEX(Raw_D3!$J$2:$J$1001,$AR170),"")))</f>
        <v>0.16</v>
      </c>
      <c r="K170" s="17">
        <f>IF($A170="","",IF($AQ170&lt;&gt;"",IF(INDEX(Raw_D2!$C$2:$C$1001,$AQ170)="","",INDEX(Raw_D2!$C$2:$C$1001,$AQ170)),IF($AR170&lt;&gt;"",IF(INDEX(Raw_D3!$K$2:$K$1001,$AR170)="","",INDEX(Raw_D3!$K$2:$K$1001,$AR170)),"")))</f>
        <v>0.1818</v>
      </c>
      <c r="L170" s="16">
        <f>IF($A170="","",IF($AQ170&lt;&gt;"",IF(INDEX(Raw_D2!$D$2:$D$1001,$AQ170)="","",INDEX(Raw_D2!$D$2:$D$1001,$AQ170)),IF($AR170&lt;&gt;"",IF(INDEX(Raw_D3!$L$2:$L$1001,$AR170)="","",INDEX(Raw_D3!$L$2:$L$1001,$AR170)),"")))</f>
        <v>0.74</v>
      </c>
      <c r="M170" s="17">
        <f>IF($A170="","",IF($AQ170&lt;&gt;"",IF(INDEX(Raw_D2!$E$2:$E$1001,$AQ170)="","",INDEX(Raw_D2!$E$2:$E$1001,$AQ170)),IF($AR170&lt;&gt;"",IF(INDEX(Raw_D3!$M$2:$M$1001,$AR170)="","",INDEX(Raw_D3!$M$2:$M$1001,$AR170)),"")))</f>
        <v>0.1045</v>
      </c>
      <c r="N170" s="5">
        <f>IF($A170="","",IF($AQ170&lt;&gt;"",IF(INDEX(Raw_D2!$F$2:$F$1001,$AQ170)="","",INDEX(Raw_D2!$F$2:$F$1001,$AQ170)),IF($AR170&lt;&gt;"",IF(INDEX(Raw_D3!$N$2:$N$1001,$AR170)="","",INDEX(Raw_D3!$N$2:$N$1001,$AR170)),"")))</f>
        <v>1</v>
      </c>
      <c r="O170" s="5">
        <f>IF($A170="","",IF($AQ170&lt;&gt;"",IF(INDEX(Raw_D2!$G$2:$G$1001,$AQ170)="","",INDEX(Raw_D2!$G$2:$G$1001,$AQ170)),IF($AR170&lt;&gt;"",IF(INDEX(Raw_D3!$O$2:$O$1001,$AR170)="","",INDEX(Raw_D3!$O$2:$O$1001,$AR170)),"")))</f>
        <v>8</v>
      </c>
      <c r="P170" s="5">
        <f>IF($A170="","",IF($AQ170&lt;&gt;"",IF(INDEX(Raw_D2!$H$2:$H$1001,$AQ170)="","",INDEX(Raw_D2!$H$2:$H$1001,$AQ170)),IF($AR170&lt;&gt;"",IF(INDEX(Raw_D3!$P$2:$P$1001,$AR170)="","",INDEX(Raw_D3!$P$2:$P$1001,$AR170)),"")))</f>
        <v>9</v>
      </c>
      <c r="Q170" s="5" t="str">
        <f>IF($A170="","",IF(AND($AP170&lt;&gt;"",$AQ170&lt;&gt;""),"D1+D2",IF($AR170&lt;&gt;"","D3","Incomplete")))</f>
        <v>D1+D2</v>
      </c>
      <c r="R170" s="17">
        <f>IF($A170="","",IF($K170="",IF($J170="","",ROUND(Lookups!$K$5+Lookups!$K$4*$J170,4)),$K170))</f>
        <v>0.1818</v>
      </c>
      <c r="S170" s="5" t="str">
        <f>IF($A170="","",IF($K170="","Imputed","Original"))</f>
        <v>Original</v>
      </c>
      <c r="T170" s="5" t="str">
        <f>IF($A170="","",IF($P170="","Missing",IF($P170=$N170+$O170,"OK","Mismatch")))</f>
        <v>OK</v>
      </c>
      <c r="U170" s="5" t="str">
        <f>IF($A170="","",IF(COUNTIF($A$2:$A170,$A170)&gt;1,"Duplicate","Unique"))</f>
        <v>Unique</v>
      </c>
      <c r="V170" s="5">
        <f>IF($A170="","",IF(AND($U170="Unique",ISNUMBER($P170)),1,0))</f>
        <v>1</v>
      </c>
      <c r="W170" s="5" t="str">
        <f>IF($A170="","",IF(OR($H170=0,$H170=6),"Weekend","Weekday"))</f>
        <v>Weekend</v>
      </c>
      <c r="X170" s="5" t="str">
        <f>IF($A170="","",TEXT($B170,"ddd"))</f>
        <v>Sat</v>
      </c>
      <c r="Y170" s="5" t="str">
        <f>IF($A170="","",TEXT($B170,"mmm"))</f>
        <v>Jan</v>
      </c>
      <c r="Z170" s="5" t="str">
        <f>IF($A170="","",IFERROR(VLOOKUP($C170,Lookups!$D$4:$E$7,2,FALSE),"Unknown"))</f>
        <v>Winter</v>
      </c>
      <c r="AA170" s="5" t="str">
        <f>IF($A170="","",IFERROR(VLOOKUP($I170,Lookups!$A$4:$B$7,2,FALSE),"Unknown"))</f>
        <v>Mist/Cloudy</v>
      </c>
      <c r="AB170" s="5" t="str">
        <f>IF($A170="","",TEXT($F170,"00")&amp;":00")</f>
        <v>07:00</v>
      </c>
      <c r="AC170" s="5" t="str">
        <f>IF($A170="","",VLOOKUP($F170,Lookups!$G$4:$H$8,2,TRUE))</f>
        <v>Morning Peak (06-09)</v>
      </c>
      <c r="AD170" s="18">
        <f>IF($A170="","",IF($J170="","",ROUND($J170*41,1)))</f>
        <v>6.6</v>
      </c>
      <c r="AE170" s="18">
        <f>IF($A170="","",IF($R170="","",ROUND($R170*50,1)))</f>
        <v>9.1</v>
      </c>
      <c r="AF170" s="5">
        <f>IF($A170="","",IF($L170="","",ROUND($L170*100,0)))</f>
        <v>74</v>
      </c>
      <c r="AG170" s="18">
        <f>IF($A170="","",IF($M170="","",ROUND($M170*67,1)))</f>
        <v>7</v>
      </c>
      <c r="AH170" s="19">
        <f>IF($A170="","",IF($P170="","",IF($P170=0,0,$O170/$P170)))</f>
        <v>0.888888888888889</v>
      </c>
      <c r="AI170" s="5" t="str">
        <f>IF($A170="","",IF($P170="","",IF($P170&gt;=Lookups!$K$7,"High",IF($P170&lt;=Lookups!$K$8,"Low","Medium"))))</f>
        <v>Low</v>
      </c>
      <c r="AJ170" s="5" t="str">
        <f>IF($A170="","",IF($AD170="","",IF($AD170&lt;5,"Under 5 C",IF($AD170&lt;10,"5-10 C",IF($AD170&lt;15,"10-15 C","15 C and above")))))</f>
        <v>5-10 C</v>
      </c>
      <c r="AK170" s="5">
        <f>IF($A170="","",IF($P170="","",$P170^2))</f>
        <v>81</v>
      </c>
      <c r="AL170" s="18">
        <f>IF($V170&lt;&gt;1,"",AVERAGEIFS(Clean_Data!$P$2:$P$1001,Clean_Data!$F$2:$F$1001,$F170,Clean_Data!$W$2:$W$1001,$W170,Clean_Data!$V$2:$V$1001,1))</f>
        <v>5.42857142857143</v>
      </c>
      <c r="AM170" s="16">
        <f>IF($V170&lt;&gt;1,"",IFERROR(($P170-$AL170)/SQRT(MAX(0,(SUMIFS(Clean_Data!$AK$2:$AK$1001,Clean_Data!$F$2:$F$1001,$F170,Clean_Data!$W$2:$W$1001,$W170,Clean_Data!$V$2:$V$1001,1)-COUNTIFS(Clean_Data!$F$2:$F$1001,$F170,Clean_Data!$W$2:$W$1001,$W170,Clean_Data!$V$2:$V$1001,1)*$AL170^2)/(COUNTIFS(Clean_Data!$F$2:$F$1001,$F170,Clean_Data!$W$2:$W$1001,$W170,Clean_Data!$V$2:$V$1001,1)-1))),""))</f>
        <v>1.10651803325859</v>
      </c>
      <c r="AN170" s="5" t="str">
        <f>IF($AM170="","",IF($AM170&gt;=Lookups!$K$6,"High spike",IF($AM170&lt;=-Lookups!$K$6,"Unusual low","Normal")))</f>
        <v>Normal</v>
      </c>
      <c r="AO170" s="20">
        <f>IF($V170&lt;&gt;1,"",$P170+ROW()/100000)</f>
        <v>9.0017</v>
      </c>
      <c r="AP170" s="5">
        <f>IF($A170="","",IFERROR(MATCH($A170,Raw_D1!$A$2:$A$1001,0),""))</f>
        <v>169</v>
      </c>
      <c r="AQ170" s="5">
        <f>IF($A170="","",IFERROR(MATCH($A170,Raw_D2!$B$2:$B$1001,0),""))</f>
        <v>169</v>
      </c>
      <c r="AR170" s="5">
        <f>IF($A170="","",IFERROR(MATCH($A170,Raw_D3!$A$2:$A$1001,0),""))</f>
        <v/>
      </c>
    </row>
    <row r="171" spans="1:44" x14ac:dyDescent="0.25">
      <c r="A171" s="5">
        <v>170</v>
      </c>
      <c r="B171" s="11">
        <f>IF($A171="","",IF($AP171&lt;&gt;"",INDEX(Raw_D1!$B$2:$B$1001,$AP171),IF($AR171&lt;&gt;"",INDEX(Raw_D3!$B$2:$B$1001,$AR171),"")))</f>
        <v>40551.0</v>
      </c>
      <c r="C171" s="5">
        <f>IF($A171="","",IF($AP171&lt;&gt;"",INDEX(Raw_D1!$C$2:$C$1001,$AP171),IF($AR171&lt;&gt;"",INDEX(Raw_D3!$C$2:$C$1001,$AR171),"")))</f>
        <v>1</v>
      </c>
      <c r="D171" s="5">
        <f>IF($A171="","",IF($AP171&lt;&gt;"",INDEX(Raw_D1!$D$2:$D$1001,$AP171),IF($AR171&lt;&gt;"",INDEX(Raw_D3!$D$2:$D$1001,$AR171),"")))</f>
        <v>0</v>
      </c>
      <c r="E171" s="5">
        <f>IF($A171="","",IF($AP171&lt;&gt;"",INDEX(Raw_D1!$E$2:$E$1001,$AP171),IF($AR171&lt;&gt;"",INDEX(Raw_D3!$E$2:$E$1001,$AR171),"")))</f>
        <v>1</v>
      </c>
      <c r="F171" s="5">
        <f>IF($A171="","",IF($AP171&lt;&gt;"",INDEX(Raw_D1!$F$2:$F$1001,$AP171),IF($AR171&lt;&gt;"",INDEX(Raw_D3!$F$2:$F$1001,$AR171),"")))</f>
        <v>8</v>
      </c>
      <c r="G171" s="5">
        <f>IF($A171="","",IF($AP171&lt;&gt;"",IF(INDEX(Raw_D1!$G$2:$G$1001,$AP171),1,0),IF($AR171&lt;&gt;"",IF(INDEX(Raw_D3!$G$2:$G$1001,$AR171),1,0),"")))</f>
        <v>0</v>
      </c>
      <c r="H171" s="5">
        <f>IF($A171="","",IF($AP171&lt;&gt;"",INDEX(Raw_D1!$H$2:$H$1001,$AP171),IF($AR171&lt;&gt;"",INDEX(Raw_D3!$H$2:$H$1001,$AR171),"")))</f>
        <v>6</v>
      </c>
      <c r="I171" s="5">
        <f>IF($A171="","",IF($AP171&lt;&gt;"",INDEX(Raw_D1!$I$2:$I$1001,$AP171),IF($AR171&lt;&gt;"",INDEX(Raw_D3!$I$2:$I$1001,$AR171),"")))</f>
        <v>3</v>
      </c>
      <c r="J171" s="16">
        <f>IF($A171="","",IF($AP171&lt;&gt;"",INDEX(Raw_D1!$J$2:$J$1001,$AP171),IF($AR171&lt;&gt;"",INDEX(Raw_D3!$J$2:$J$1001,$AR171),"")))</f>
        <v>0.16</v>
      </c>
      <c r="K171" s="17">
        <f>IF($A171="","",IF($AQ171&lt;&gt;"",IF(INDEX(Raw_D2!$C$2:$C$1001,$AQ171)="","",INDEX(Raw_D2!$C$2:$C$1001,$AQ171)),IF($AR171&lt;&gt;"",IF(INDEX(Raw_D3!$K$2:$K$1001,$AR171)="","",INDEX(Raw_D3!$K$2:$K$1001,$AR171)),"")))</f>
        <v>0.1818</v>
      </c>
      <c r="L171" s="16">
        <f>IF($A171="","",IF($AQ171&lt;&gt;"",IF(INDEX(Raw_D2!$D$2:$D$1001,$AQ171)="","",INDEX(Raw_D2!$D$2:$D$1001,$AQ171)),IF($AR171&lt;&gt;"",IF(INDEX(Raw_D3!$L$2:$L$1001,$AR171)="","",INDEX(Raw_D3!$L$2:$L$1001,$AR171)),"")))</f>
        <v>0.93</v>
      </c>
      <c r="M171" s="17">
        <f>IF($A171="","",IF($AQ171&lt;&gt;"",IF(INDEX(Raw_D2!$E$2:$E$1001,$AQ171)="","",INDEX(Raw_D2!$E$2:$E$1001,$AQ171)),IF($AR171&lt;&gt;"",IF(INDEX(Raw_D3!$M$2:$M$1001,$AR171)="","",INDEX(Raw_D3!$M$2:$M$1001,$AR171)),"")))</f>
        <v>0.1045</v>
      </c>
      <c r="N171" s="5">
        <f>IF($A171="","",IF($AQ171&lt;&gt;"",IF(INDEX(Raw_D2!$F$2:$F$1001,$AQ171)="","",INDEX(Raw_D2!$F$2:$F$1001,$AQ171)),IF($AR171&lt;&gt;"",IF(INDEX(Raw_D3!$N$2:$N$1001,$AR171)="","",INDEX(Raw_D3!$N$2:$N$1001,$AR171)),"")))</f>
        <v>0</v>
      </c>
      <c r="O171" s="5">
        <f>IF($A171="","",IF($AQ171&lt;&gt;"",IF(INDEX(Raw_D2!$G$2:$G$1001,$AQ171)="","",INDEX(Raw_D2!$G$2:$G$1001,$AQ171)),IF($AR171&lt;&gt;"",IF(INDEX(Raw_D3!$O$2:$O$1001,$AR171)="","",INDEX(Raw_D3!$O$2:$O$1001,$AR171)),"")))</f>
        <v>15</v>
      </c>
      <c r="P171" s="5">
        <f>IF($A171="","",IF($AQ171&lt;&gt;"",IF(INDEX(Raw_D2!$H$2:$H$1001,$AQ171)="","",INDEX(Raw_D2!$H$2:$H$1001,$AQ171)),IF($AR171&lt;&gt;"",IF(INDEX(Raw_D3!$P$2:$P$1001,$AR171)="","",INDEX(Raw_D3!$P$2:$P$1001,$AR171)),"")))</f>
        <v>15</v>
      </c>
      <c r="Q171" s="5" t="str">
        <f>IF($A171="","",IF(AND($AP171&lt;&gt;"",$AQ171&lt;&gt;""),"D1+D2",IF($AR171&lt;&gt;"","D3","Incomplete")))</f>
        <v>D1+D2</v>
      </c>
      <c r="R171" s="17">
        <f>IF($A171="","",IF($K171="",IF($J171="","",ROUND(Lookups!$K$5+Lookups!$K$4*$J171,4)),$K171))</f>
        <v>0.1818</v>
      </c>
      <c r="S171" s="5" t="str">
        <f>IF($A171="","",IF($K171="","Imputed","Original"))</f>
        <v>Original</v>
      </c>
      <c r="T171" s="5" t="str">
        <f>IF($A171="","",IF($P171="","Missing",IF($P171=$N171+$O171,"OK","Mismatch")))</f>
        <v>OK</v>
      </c>
      <c r="U171" s="5" t="str">
        <f>IF($A171="","",IF(COUNTIF($A$2:$A171,$A171)&gt;1,"Duplicate","Unique"))</f>
        <v>Unique</v>
      </c>
      <c r="V171" s="5">
        <f>IF($A171="","",IF(AND($U171="Unique",ISNUMBER($P171)),1,0))</f>
        <v>1</v>
      </c>
      <c r="W171" s="5" t="str">
        <f>IF($A171="","",IF(OR($H171=0,$H171=6),"Weekend","Weekday"))</f>
        <v>Weekend</v>
      </c>
      <c r="X171" s="5" t="str">
        <f>IF($A171="","",TEXT($B171,"ddd"))</f>
        <v>Sat</v>
      </c>
      <c r="Y171" s="5" t="str">
        <f>IF($A171="","",TEXT($B171,"mmm"))</f>
        <v>Jan</v>
      </c>
      <c r="Z171" s="5" t="str">
        <f>IF($A171="","",IFERROR(VLOOKUP($C171,Lookups!$D$4:$E$7,2,FALSE),"Unknown"))</f>
        <v>Winter</v>
      </c>
      <c r="AA171" s="5" t="str">
        <f>IF($A171="","",IFERROR(VLOOKUP($I171,Lookups!$A$4:$B$7,2,FALSE),"Unknown"))</f>
        <v>Light Rain/Snow</v>
      </c>
      <c r="AB171" s="5" t="str">
        <f>IF($A171="","",TEXT($F171,"00")&amp;":00")</f>
        <v>08:00</v>
      </c>
      <c r="AC171" s="5" t="str">
        <f>IF($A171="","",VLOOKUP($F171,Lookups!$G$4:$H$8,2,TRUE))</f>
        <v>Morning Peak (06-09)</v>
      </c>
      <c r="AD171" s="18">
        <f>IF($A171="","",IF($J171="","",ROUND($J171*41,1)))</f>
        <v>6.6</v>
      </c>
      <c r="AE171" s="18">
        <f>IF($A171="","",IF($R171="","",ROUND($R171*50,1)))</f>
        <v>9.1</v>
      </c>
      <c r="AF171" s="5">
        <f>IF($A171="","",IF($L171="","",ROUND($L171*100,0)))</f>
        <v>93</v>
      </c>
      <c r="AG171" s="18">
        <f>IF($A171="","",IF($M171="","",ROUND($M171*67,1)))</f>
        <v>7</v>
      </c>
      <c r="AH171" s="19">
        <f>IF($A171="","",IF($P171="","",IF($P171=0,0,$O171/$P171)))</f>
        <v>1</v>
      </c>
      <c r="AI171" s="5" t="str">
        <f>IF($A171="","",IF($P171="","",IF($P171&gt;=Lookups!$K$7,"High",IF($P171&lt;=Lookups!$K$8,"Low","Medium"))))</f>
        <v>Low</v>
      </c>
      <c r="AJ171" s="5" t="str">
        <f>IF($A171="","",IF($AD171="","",IF($AD171&lt;5,"Under 5 C",IF($AD171&lt;10,"5-10 C",IF($AD171&lt;15,"10-15 C","15 C and above")))))</f>
        <v>5-10 C</v>
      </c>
      <c r="AK171" s="5">
        <f>IF($A171="","",IF($P171="","",$P171^2))</f>
        <v>225</v>
      </c>
      <c r="AL171" s="18">
        <f>IF($V171&lt;&gt;1,"",AVERAGEIFS(Clean_Data!$P$2:$P$1001,Clean_Data!$F$2:$F$1001,$F171,Clean_Data!$W$2:$W$1001,$W171,Clean_Data!$V$2:$V$1001,1))</f>
        <v>17.7857142857143</v>
      </c>
      <c r="AM171" s="16">
        <f>IF($V171&lt;&gt;1,"",IFERROR(($P171-$AL171)/SQRT(MAX(0,(SUMIFS(Clean_Data!$AK$2:$AK$1001,Clean_Data!$F$2:$F$1001,$F171,Clean_Data!$W$2:$W$1001,$W171,Clean_Data!$V$2:$V$1001,1)-COUNTIFS(Clean_Data!$F$2:$F$1001,$F171,Clean_Data!$W$2:$W$1001,$W171,Clean_Data!$V$2:$V$1001,1)*$AL171^2)/(COUNTIFS(Clean_Data!$F$2:$F$1001,$F171,Clean_Data!$W$2:$W$1001,$W171,Clean_Data!$V$2:$V$1001,1)-1))),""))</f>
        <v>-0.327538106184916</v>
      </c>
      <c r="AN171" s="5" t="str">
        <f>IF($AM171="","",IF($AM171&gt;=Lookups!$K$6,"High spike",IF($AM171&lt;=-Lookups!$K$6,"Unusual low","Normal")))</f>
        <v>Normal</v>
      </c>
      <c r="AO171" s="20">
        <f>IF($V171&lt;&gt;1,"",$P171+ROW()/100000)</f>
        <v>15.00171</v>
      </c>
      <c r="AP171" s="5">
        <f>IF($A171="","",IFERROR(MATCH($A171,Raw_D1!$A$2:$A$1001,0),""))</f>
        <v>170</v>
      </c>
      <c r="AQ171" s="5">
        <f>IF($A171="","",IFERROR(MATCH($A171,Raw_D2!$B$2:$B$1001,0),""))</f>
        <v>170</v>
      </c>
      <c r="AR171" s="5">
        <f>IF($A171="","",IFERROR(MATCH($A171,Raw_D3!$A$2:$A$1001,0),""))</f>
        <v/>
      </c>
    </row>
    <row r="172" spans="1:44" x14ac:dyDescent="0.25">
      <c r="A172" s="5">
        <v>171</v>
      </c>
      <c r="B172" s="11">
        <f>IF($A172="","",IF($AP172&lt;&gt;"",INDEX(Raw_D1!$B$2:$B$1001,$AP172),IF($AR172&lt;&gt;"",INDEX(Raw_D3!$B$2:$B$1001,$AR172),"")))</f>
        <v>40551.0</v>
      </c>
      <c r="C172" s="5">
        <f>IF($A172="","",IF($AP172&lt;&gt;"",INDEX(Raw_D1!$C$2:$C$1001,$AP172),IF($AR172&lt;&gt;"",INDEX(Raw_D3!$C$2:$C$1001,$AR172),"")))</f>
        <v>1</v>
      </c>
      <c r="D172" s="5">
        <f>IF($A172="","",IF($AP172&lt;&gt;"",INDEX(Raw_D1!$D$2:$D$1001,$AP172),IF($AR172&lt;&gt;"",INDEX(Raw_D3!$D$2:$D$1001,$AR172),"")))</f>
        <v>0</v>
      </c>
      <c r="E172" s="5">
        <f>IF($A172="","",IF($AP172&lt;&gt;"",INDEX(Raw_D1!$E$2:$E$1001,$AP172),IF($AR172&lt;&gt;"",INDEX(Raw_D3!$E$2:$E$1001,$AR172),"")))</f>
        <v>1</v>
      </c>
      <c r="F172" s="5">
        <f>IF($A172="","",IF($AP172&lt;&gt;"",INDEX(Raw_D1!$F$2:$F$1001,$AP172),IF($AR172&lt;&gt;"",INDEX(Raw_D3!$F$2:$F$1001,$AR172),"")))</f>
        <v>9</v>
      </c>
      <c r="G172" s="5">
        <f>IF($A172="","",IF($AP172&lt;&gt;"",IF(INDEX(Raw_D1!$G$2:$G$1001,$AP172),1,0),IF($AR172&lt;&gt;"",IF(INDEX(Raw_D3!$G$2:$G$1001,$AR172),1,0),"")))</f>
        <v>0</v>
      </c>
      <c r="H172" s="5">
        <f>IF($A172="","",IF($AP172&lt;&gt;"",INDEX(Raw_D1!$H$2:$H$1001,$AP172),IF($AR172&lt;&gt;"",INDEX(Raw_D3!$H$2:$H$1001,$AR172),"")))</f>
        <v>6</v>
      </c>
      <c r="I172" s="5">
        <f>IF($A172="","",IF($AP172&lt;&gt;"",INDEX(Raw_D1!$I$2:$I$1001,$AP172),IF($AR172&lt;&gt;"",INDEX(Raw_D3!$I$2:$I$1001,$AR172),"")))</f>
        <v>3</v>
      </c>
      <c r="J172" s="16">
        <f>IF($A172="","",IF($AP172&lt;&gt;"",INDEX(Raw_D1!$J$2:$J$1001,$AP172),IF($AR172&lt;&gt;"",INDEX(Raw_D3!$J$2:$J$1001,$AR172),"")))</f>
        <v>0.16</v>
      </c>
      <c r="K172" s="17">
        <f>IF($A172="","",IF($AQ172&lt;&gt;"",IF(INDEX(Raw_D2!$C$2:$C$1001,$AQ172)="","",INDEX(Raw_D2!$C$2:$C$1001,$AQ172)),IF($AR172&lt;&gt;"",IF(INDEX(Raw_D3!$K$2:$K$1001,$AR172)="","",INDEX(Raw_D3!$K$2:$K$1001,$AR172)),"")))</f>
        <v>0.1818</v>
      </c>
      <c r="L172" s="16">
        <f>IF($A172="","",IF($AQ172&lt;&gt;"",IF(INDEX(Raw_D2!$D$2:$D$1001,$AQ172)="","",INDEX(Raw_D2!$D$2:$D$1001,$AQ172)),IF($AR172&lt;&gt;"",IF(INDEX(Raw_D3!$L$2:$L$1001,$AR172)="","",INDEX(Raw_D3!$L$2:$L$1001,$AR172)),"")))</f>
        <v>0.93</v>
      </c>
      <c r="M172" s="17">
        <f>IF($A172="","",IF($AQ172&lt;&gt;"",IF(INDEX(Raw_D2!$E$2:$E$1001,$AQ172)="","",INDEX(Raw_D2!$E$2:$E$1001,$AQ172)),IF($AR172&lt;&gt;"",IF(INDEX(Raw_D3!$M$2:$M$1001,$AR172)="","",INDEX(Raw_D3!$M$2:$M$1001,$AR172)),"")))</f>
        <v>0.1045</v>
      </c>
      <c r="N172" s="5">
        <f>IF($A172="","",IF($AQ172&lt;&gt;"",IF(INDEX(Raw_D2!$F$2:$F$1001,$AQ172)="","",INDEX(Raw_D2!$F$2:$F$1001,$AQ172)),IF($AR172&lt;&gt;"",IF(INDEX(Raw_D3!$N$2:$N$1001,$AR172)="","",INDEX(Raw_D3!$N$2:$N$1001,$AR172)),"")))</f>
        <v>0</v>
      </c>
      <c r="O172" s="5">
        <f>IF($A172="","",IF($AQ172&lt;&gt;"",IF(INDEX(Raw_D2!$G$2:$G$1001,$AQ172)="","",INDEX(Raw_D2!$G$2:$G$1001,$AQ172)),IF($AR172&lt;&gt;"",IF(INDEX(Raw_D3!$O$2:$O$1001,$AR172)="","",INDEX(Raw_D3!$O$2:$O$1001,$AR172)),"")))</f>
        <v>20</v>
      </c>
      <c r="P172" s="5">
        <f>IF($A172="","",IF($AQ172&lt;&gt;"",IF(INDEX(Raw_D2!$H$2:$H$1001,$AQ172)="","",INDEX(Raw_D2!$H$2:$H$1001,$AQ172)),IF($AR172&lt;&gt;"",IF(INDEX(Raw_D3!$P$2:$P$1001,$AR172)="","",INDEX(Raw_D3!$P$2:$P$1001,$AR172)),"")))</f>
        <v>20</v>
      </c>
      <c r="Q172" s="5" t="str">
        <f>IF($A172="","",IF(AND($AP172&lt;&gt;"",$AQ172&lt;&gt;""),"D1+D2",IF($AR172&lt;&gt;"","D3","Incomplete")))</f>
        <v>D1+D2</v>
      </c>
      <c r="R172" s="17">
        <f>IF($A172="","",IF($K172="",IF($J172="","",ROUND(Lookups!$K$5+Lookups!$K$4*$J172,4)),$K172))</f>
        <v>0.1818</v>
      </c>
      <c r="S172" s="5" t="str">
        <f>IF($A172="","",IF($K172="","Imputed","Original"))</f>
        <v>Original</v>
      </c>
      <c r="T172" s="5" t="str">
        <f>IF($A172="","",IF($P172="","Missing",IF($P172=$N172+$O172,"OK","Mismatch")))</f>
        <v>OK</v>
      </c>
      <c r="U172" s="5" t="str">
        <f>IF($A172="","",IF(COUNTIF($A$2:$A172,$A172)&gt;1,"Duplicate","Unique"))</f>
        <v>Unique</v>
      </c>
      <c r="V172" s="5">
        <f>IF($A172="","",IF(AND($U172="Unique",ISNUMBER($P172)),1,0))</f>
        <v>1</v>
      </c>
      <c r="W172" s="5" t="str">
        <f>IF($A172="","",IF(OR($H172=0,$H172=6),"Weekend","Weekday"))</f>
        <v>Weekend</v>
      </c>
      <c r="X172" s="5" t="str">
        <f>IF($A172="","",TEXT($B172,"ddd"))</f>
        <v>Sat</v>
      </c>
      <c r="Y172" s="5" t="str">
        <f>IF($A172="","",TEXT($B172,"mmm"))</f>
        <v>Jan</v>
      </c>
      <c r="Z172" s="5" t="str">
        <f>IF($A172="","",IFERROR(VLOOKUP($C172,Lookups!$D$4:$E$7,2,FALSE),"Unknown"))</f>
        <v>Winter</v>
      </c>
      <c r="AA172" s="5" t="str">
        <f>IF($A172="","",IFERROR(VLOOKUP($I172,Lookups!$A$4:$B$7,2,FALSE),"Unknown"))</f>
        <v>Light Rain/Snow</v>
      </c>
      <c r="AB172" s="5" t="str">
        <f>IF($A172="","",TEXT($F172,"00")&amp;":00")</f>
        <v>09:00</v>
      </c>
      <c r="AC172" s="5" t="str">
        <f>IF($A172="","",VLOOKUP($F172,Lookups!$G$4:$H$8,2,TRUE))</f>
        <v>Morning Peak (06-09)</v>
      </c>
      <c r="AD172" s="18">
        <f>IF($A172="","",IF($J172="","",ROUND($J172*41,1)))</f>
        <v>6.6</v>
      </c>
      <c r="AE172" s="18">
        <f>IF($A172="","",IF($R172="","",ROUND($R172*50,1)))</f>
        <v>9.1</v>
      </c>
      <c r="AF172" s="5">
        <f>IF($A172="","",IF($L172="","",ROUND($L172*100,0)))</f>
        <v>93</v>
      </c>
      <c r="AG172" s="18">
        <f>IF($A172="","",IF($M172="","",ROUND($M172*67,1)))</f>
        <v>7</v>
      </c>
      <c r="AH172" s="19">
        <f>IF($A172="","",IF($P172="","",IF($P172=0,0,$O172/$P172)))</f>
        <v>1</v>
      </c>
      <c r="AI172" s="5" t="str">
        <f>IF($A172="","",IF($P172="","",IF($P172&gt;=Lookups!$K$7,"High",IF($P172&lt;=Lookups!$K$8,"Low","Medium"))))</f>
        <v>Medium</v>
      </c>
      <c r="AJ172" s="5" t="str">
        <f>IF($A172="","",IF($AD172="","",IF($AD172&lt;5,"Under 5 C",IF($AD172&lt;10,"5-10 C",IF($AD172&lt;15,"10-15 C","15 C and above")))))</f>
        <v>5-10 C</v>
      </c>
      <c r="AK172" s="5">
        <f>IF($A172="","",IF($P172="","",$P172^2))</f>
        <v>400</v>
      </c>
      <c r="AL172" s="18">
        <f>IF($V172&lt;&gt;1,"",AVERAGEIFS(Clean_Data!$P$2:$P$1001,Clean_Data!$F$2:$F$1001,$F172,Clean_Data!$W$2:$W$1001,$W172,Clean_Data!$V$2:$V$1001,1))</f>
        <v>30.9285714285714</v>
      </c>
      <c r="AM172" s="16">
        <f>IF($V172&lt;&gt;1,"",IFERROR(($P172-$AL172)/SQRT(MAX(0,(SUMIFS(Clean_Data!$AK$2:$AK$1001,Clean_Data!$F$2:$F$1001,$F172,Clean_Data!$W$2:$W$1001,$W172,Clean_Data!$V$2:$V$1001,1)-COUNTIFS(Clean_Data!$F$2:$F$1001,$F172,Clean_Data!$W$2:$W$1001,$W172,Clean_Data!$V$2:$V$1001,1)*$AL172^2)/(COUNTIFS(Clean_Data!$F$2:$F$1001,$F172,Clean_Data!$W$2:$W$1001,$W172,Clean_Data!$V$2:$V$1001,1)-1))),""))</f>
        <v>-1.00249189203367</v>
      </c>
      <c r="AN172" s="5" t="str">
        <f>IF($AM172="","",IF($AM172&gt;=Lookups!$K$6,"High spike",IF($AM172&lt;=-Lookups!$K$6,"Unusual low","Normal")))</f>
        <v>Normal</v>
      </c>
      <c r="AO172" s="20">
        <f>IF($V172&lt;&gt;1,"",$P172+ROW()/100000)</f>
        <v>20.00172</v>
      </c>
      <c r="AP172" s="5">
        <f>IF($A172="","",IFERROR(MATCH($A172,Raw_D1!$A$2:$A$1001,0),""))</f>
        <v>171</v>
      </c>
      <c r="AQ172" s="5">
        <f>IF($A172="","",IFERROR(MATCH($A172,Raw_D2!$B$2:$B$1001,0),""))</f>
        <v>171</v>
      </c>
      <c r="AR172" s="5">
        <f>IF($A172="","",IFERROR(MATCH($A172,Raw_D3!$A$2:$A$1001,0),""))</f>
        <v/>
      </c>
    </row>
    <row r="173" spans="1:44" x14ac:dyDescent="0.25">
      <c r="A173" s="5">
        <v>172</v>
      </c>
      <c r="B173" s="11">
        <f>IF($A173="","",IF($AP173&lt;&gt;"",INDEX(Raw_D1!$B$2:$B$1001,$AP173),IF($AR173&lt;&gt;"",INDEX(Raw_D3!$B$2:$B$1001,$AR173),"")))</f>
        <v>40551.0</v>
      </c>
      <c r="C173" s="5">
        <f>IF($A173="","",IF($AP173&lt;&gt;"",INDEX(Raw_D1!$C$2:$C$1001,$AP173),IF($AR173&lt;&gt;"",INDEX(Raw_D3!$C$2:$C$1001,$AR173),"")))</f>
        <v>1</v>
      </c>
      <c r="D173" s="5">
        <f>IF($A173="","",IF($AP173&lt;&gt;"",INDEX(Raw_D1!$D$2:$D$1001,$AP173),IF($AR173&lt;&gt;"",INDEX(Raw_D3!$D$2:$D$1001,$AR173),"")))</f>
        <v>0</v>
      </c>
      <c r="E173" s="5">
        <f>IF($A173="","",IF($AP173&lt;&gt;"",INDEX(Raw_D1!$E$2:$E$1001,$AP173),IF($AR173&lt;&gt;"",INDEX(Raw_D3!$E$2:$E$1001,$AR173),"")))</f>
        <v>1</v>
      </c>
      <c r="F173" s="5">
        <f>IF($A173="","",IF($AP173&lt;&gt;"",INDEX(Raw_D1!$F$2:$F$1001,$AP173),IF($AR173&lt;&gt;"",INDEX(Raw_D3!$F$2:$F$1001,$AR173),"")))</f>
        <v>10</v>
      </c>
      <c r="G173" s="5">
        <f>IF($A173="","",IF($AP173&lt;&gt;"",IF(INDEX(Raw_D1!$G$2:$G$1001,$AP173),1,0),IF($AR173&lt;&gt;"",IF(INDEX(Raw_D3!$G$2:$G$1001,$AR173),1,0),"")))</f>
        <v>0</v>
      </c>
      <c r="H173" s="5">
        <f>IF($A173="","",IF($AP173&lt;&gt;"",INDEX(Raw_D1!$H$2:$H$1001,$AP173),IF($AR173&lt;&gt;"",INDEX(Raw_D3!$H$2:$H$1001,$AR173),"")))</f>
        <v>6</v>
      </c>
      <c r="I173" s="5">
        <f>IF($A173="","",IF($AP173&lt;&gt;"",INDEX(Raw_D1!$I$2:$I$1001,$AP173),IF($AR173&lt;&gt;"",INDEX(Raw_D3!$I$2:$I$1001,$AR173),"")))</f>
        <v>2</v>
      </c>
      <c r="J173" s="16">
        <f>IF($A173="","",IF($AP173&lt;&gt;"",INDEX(Raw_D1!$J$2:$J$1001,$AP173),IF($AR173&lt;&gt;"",INDEX(Raw_D3!$J$2:$J$1001,$AR173),"")))</f>
        <v>0.18</v>
      </c>
      <c r="K173" s="17">
        <f>IF($A173="","",IF($AQ173&lt;&gt;"",IF(INDEX(Raw_D2!$C$2:$C$1001,$AQ173)="","",INDEX(Raw_D2!$C$2:$C$1001,$AQ173)),IF($AR173&lt;&gt;"",IF(INDEX(Raw_D3!$K$2:$K$1001,$AR173)="","",INDEX(Raw_D3!$K$2:$K$1001,$AR173)),"")))</f>
        <v>0.197</v>
      </c>
      <c r="L173" s="16">
        <f>IF($A173="","",IF($AQ173&lt;&gt;"",IF(INDEX(Raw_D2!$D$2:$D$1001,$AQ173)="","",INDEX(Raw_D2!$D$2:$D$1001,$AQ173)),IF($AR173&lt;&gt;"",IF(INDEX(Raw_D3!$L$2:$L$1001,$AR173)="","",INDEX(Raw_D3!$L$2:$L$1001,$AR173)),"")))</f>
        <v>0.8</v>
      </c>
      <c r="M173" s="17">
        <f>IF($A173="","",IF($AQ173&lt;&gt;"",IF(INDEX(Raw_D2!$E$2:$E$1001,$AQ173)="","",INDEX(Raw_D2!$E$2:$E$1001,$AQ173)),IF($AR173&lt;&gt;"",IF(INDEX(Raw_D3!$M$2:$M$1001,$AR173)="","",INDEX(Raw_D3!$M$2:$M$1001,$AR173)),"")))</f>
        <v>0.1642</v>
      </c>
      <c r="N173" s="5">
        <f>IF($A173="","",IF($AQ173&lt;&gt;"",IF(INDEX(Raw_D2!$F$2:$F$1001,$AQ173)="","",INDEX(Raw_D2!$F$2:$F$1001,$AQ173)),IF($AR173&lt;&gt;"",IF(INDEX(Raw_D3!$N$2:$N$1001,$AR173)="","",INDEX(Raw_D3!$N$2:$N$1001,$AR173)),"")))</f>
        <v>5</v>
      </c>
      <c r="O173" s="5">
        <f>IF($A173="","",IF($AQ173&lt;&gt;"",IF(INDEX(Raw_D2!$G$2:$G$1001,$AQ173)="","",INDEX(Raw_D2!$G$2:$G$1001,$AQ173)),IF($AR173&lt;&gt;"",IF(INDEX(Raw_D3!$O$2:$O$1001,$AR173)="","",INDEX(Raw_D3!$O$2:$O$1001,$AR173)),"")))</f>
        <v>56</v>
      </c>
      <c r="P173" s="5">
        <f>IF($A173="","",IF($AQ173&lt;&gt;"",IF(INDEX(Raw_D2!$H$2:$H$1001,$AQ173)="","",INDEX(Raw_D2!$H$2:$H$1001,$AQ173)),IF($AR173&lt;&gt;"",IF(INDEX(Raw_D3!$P$2:$P$1001,$AR173)="","",INDEX(Raw_D3!$P$2:$P$1001,$AR173)),"")))</f>
        <v>61</v>
      </c>
      <c r="Q173" s="5" t="str">
        <f>IF($A173="","",IF(AND($AP173&lt;&gt;"",$AQ173&lt;&gt;""),"D1+D2",IF($AR173&lt;&gt;"","D3","Incomplete")))</f>
        <v>D1+D2</v>
      </c>
      <c r="R173" s="17">
        <f>IF($A173="","",IF($K173="",IF($J173="","",ROUND(Lookups!$K$5+Lookups!$K$4*$J173,4)),$K173))</f>
        <v>0.197</v>
      </c>
      <c r="S173" s="5" t="str">
        <f>IF($A173="","",IF($K173="","Imputed","Original"))</f>
        <v>Original</v>
      </c>
      <c r="T173" s="5" t="str">
        <f>IF($A173="","",IF($P173="","Missing",IF($P173=$N173+$O173,"OK","Mismatch")))</f>
        <v>OK</v>
      </c>
      <c r="U173" s="5" t="str">
        <f>IF($A173="","",IF(COUNTIF($A$2:$A173,$A173)&gt;1,"Duplicate","Unique"))</f>
        <v>Unique</v>
      </c>
      <c r="V173" s="5">
        <f>IF($A173="","",IF(AND($U173="Unique",ISNUMBER($P173)),1,0))</f>
        <v>1</v>
      </c>
      <c r="W173" s="5" t="str">
        <f>IF($A173="","",IF(OR($H173=0,$H173=6),"Weekend","Weekday"))</f>
        <v>Weekend</v>
      </c>
      <c r="X173" s="5" t="str">
        <f>IF($A173="","",TEXT($B173,"ddd"))</f>
        <v>Sat</v>
      </c>
      <c r="Y173" s="5" t="str">
        <f>IF($A173="","",TEXT($B173,"mmm"))</f>
        <v>Jan</v>
      </c>
      <c r="Z173" s="5" t="str">
        <f>IF($A173="","",IFERROR(VLOOKUP($C173,Lookups!$D$4:$E$7,2,FALSE),"Unknown"))</f>
        <v>Winter</v>
      </c>
      <c r="AA173" s="5" t="str">
        <f>IF($A173="","",IFERROR(VLOOKUP($I173,Lookups!$A$4:$B$7,2,FALSE),"Unknown"))</f>
        <v>Mist/Cloudy</v>
      </c>
      <c r="AB173" s="5" t="str">
        <f>IF($A173="","",TEXT($F173,"00")&amp;":00")</f>
        <v>10:00</v>
      </c>
      <c r="AC173" s="5" t="str">
        <f>IF($A173="","",VLOOKUP($F173,Lookups!$G$4:$H$8,2,TRUE))</f>
        <v>Midday (10-15)</v>
      </c>
      <c r="AD173" s="18">
        <f>IF($A173="","",IF($J173="","",ROUND($J173*41,1)))</f>
        <v>7.4</v>
      </c>
      <c r="AE173" s="18">
        <f>IF($A173="","",IF($R173="","",ROUND($R173*50,1)))</f>
        <v>9.9</v>
      </c>
      <c r="AF173" s="5">
        <f>IF($A173="","",IF($L173="","",ROUND($L173*100,0)))</f>
        <v>80</v>
      </c>
      <c r="AG173" s="18">
        <f>IF($A173="","",IF($M173="","",ROUND($M173*67,1)))</f>
        <v>11</v>
      </c>
      <c r="AH173" s="19">
        <f>IF($A173="","",IF($P173="","",IF($P173=0,0,$O173/$P173)))</f>
        <v>0.918032786885246</v>
      </c>
      <c r="AI173" s="5" t="str">
        <f>IF($A173="","",IF($P173="","",IF($P173&gt;=Lookups!$K$7,"High",IF($P173&lt;=Lookups!$K$8,"Low","Medium"))))</f>
        <v>Medium</v>
      </c>
      <c r="AJ173" s="5" t="str">
        <f>IF($A173="","",IF($AD173="","",IF($AD173&lt;5,"Under 5 C",IF($AD173&lt;10,"5-10 C",IF($AD173&lt;15,"10-15 C","15 C and above")))))</f>
        <v>5-10 C</v>
      </c>
      <c r="AK173" s="5">
        <f>IF($A173="","",IF($P173="","",$P173^2))</f>
        <v>3721</v>
      </c>
      <c r="AL173" s="18">
        <f>IF($V173&lt;&gt;1,"",AVERAGEIFS(Clean_Data!$P$2:$P$1001,Clean_Data!$F$2:$F$1001,$F173,Clean_Data!$W$2:$W$1001,$W173,Clean_Data!$V$2:$V$1001,1))</f>
        <v>62.7857142857143</v>
      </c>
      <c r="AM173" s="16">
        <f>IF($V173&lt;&gt;1,"",IFERROR(($P173-$AL173)/SQRT(MAX(0,(SUMIFS(Clean_Data!$AK$2:$AK$1001,Clean_Data!$F$2:$F$1001,$F173,Clean_Data!$W$2:$W$1001,$W173,Clean_Data!$V$2:$V$1001,1)-COUNTIFS(Clean_Data!$F$2:$F$1001,$F173,Clean_Data!$W$2:$W$1001,$W173,Clean_Data!$V$2:$V$1001,1)*$AL173^2)/(COUNTIFS(Clean_Data!$F$2:$F$1001,$F173,Clean_Data!$W$2:$W$1001,$W173,Clean_Data!$V$2:$V$1001,1)-1))),""))</f>
        <v>-0.0891798148824731</v>
      </c>
      <c r="AN173" s="5" t="str">
        <f>IF($AM173="","",IF($AM173&gt;=Lookups!$K$6,"High spike",IF($AM173&lt;=-Lookups!$K$6,"Unusual low","Normal")))</f>
        <v>Normal</v>
      </c>
      <c r="AO173" s="20">
        <f>IF($V173&lt;&gt;1,"",$P173+ROW()/100000)</f>
        <v>61.00173</v>
      </c>
      <c r="AP173" s="5">
        <f>IF($A173="","",IFERROR(MATCH($A173,Raw_D1!$A$2:$A$1001,0),""))</f>
        <v>172</v>
      </c>
      <c r="AQ173" s="5">
        <f>IF($A173="","",IFERROR(MATCH($A173,Raw_D2!$B$2:$B$1001,0),""))</f>
        <v>172</v>
      </c>
      <c r="AR173" s="5">
        <f>IF($A173="","",IFERROR(MATCH($A173,Raw_D3!$A$2:$A$1001,0),""))</f>
        <v/>
      </c>
    </row>
    <row r="174" spans="1:44" x14ac:dyDescent="0.25">
      <c r="A174" s="5">
        <v>173</v>
      </c>
      <c r="B174" s="11">
        <f>IF($A174="","",IF($AP174&lt;&gt;"",INDEX(Raw_D1!$B$2:$B$1001,$AP174),IF($AR174&lt;&gt;"",INDEX(Raw_D3!$B$2:$B$1001,$AR174),"")))</f>
        <v>40551.0</v>
      </c>
      <c r="C174" s="5">
        <f>IF($A174="","",IF($AP174&lt;&gt;"",INDEX(Raw_D1!$C$2:$C$1001,$AP174),IF($AR174&lt;&gt;"",INDEX(Raw_D3!$C$2:$C$1001,$AR174),"")))</f>
        <v>1</v>
      </c>
      <c r="D174" s="5">
        <f>IF($A174="","",IF($AP174&lt;&gt;"",INDEX(Raw_D1!$D$2:$D$1001,$AP174),IF($AR174&lt;&gt;"",INDEX(Raw_D3!$D$2:$D$1001,$AR174),"")))</f>
        <v>0</v>
      </c>
      <c r="E174" s="5">
        <f>IF($A174="","",IF($AP174&lt;&gt;"",INDEX(Raw_D1!$E$2:$E$1001,$AP174),IF($AR174&lt;&gt;"",INDEX(Raw_D3!$E$2:$E$1001,$AR174),"")))</f>
        <v>1</v>
      </c>
      <c r="F174" s="5">
        <f>IF($A174="","",IF($AP174&lt;&gt;"",INDEX(Raw_D1!$F$2:$F$1001,$AP174),IF($AR174&lt;&gt;"",INDEX(Raw_D3!$F$2:$F$1001,$AR174),"")))</f>
        <v>11</v>
      </c>
      <c r="G174" s="5">
        <f>IF($A174="","",IF($AP174&lt;&gt;"",IF(INDEX(Raw_D1!$G$2:$G$1001,$AP174),1,0),IF($AR174&lt;&gt;"",IF(INDEX(Raw_D3!$G$2:$G$1001,$AR174),1,0),"")))</f>
        <v>0</v>
      </c>
      <c r="H174" s="5">
        <f>IF($A174="","",IF($AP174&lt;&gt;"",INDEX(Raw_D1!$H$2:$H$1001,$AP174),IF($AR174&lt;&gt;"",INDEX(Raw_D3!$H$2:$H$1001,$AR174),"")))</f>
        <v>6</v>
      </c>
      <c r="I174" s="5">
        <f>IF($A174="","",IF($AP174&lt;&gt;"",INDEX(Raw_D1!$I$2:$I$1001,$AP174),IF($AR174&lt;&gt;"",INDEX(Raw_D3!$I$2:$I$1001,$AR174),"")))</f>
        <v>2</v>
      </c>
      <c r="J174" s="16">
        <f>IF($A174="","",IF($AP174&lt;&gt;"",INDEX(Raw_D1!$J$2:$J$1001,$AP174),IF($AR174&lt;&gt;"",INDEX(Raw_D3!$J$2:$J$1001,$AR174),"")))</f>
        <v>0.2</v>
      </c>
      <c r="K174" s="17">
        <f>IF($A174="","",IF($AQ174&lt;&gt;"",IF(INDEX(Raw_D2!$C$2:$C$1001,$AQ174)="","",INDEX(Raw_D2!$C$2:$C$1001,$AQ174)),IF($AR174&lt;&gt;"",IF(INDEX(Raw_D3!$K$2:$K$1001,$AR174)="","",INDEX(Raw_D3!$K$2:$K$1001,$AR174)),"")))</f>
        <v>0.1818</v>
      </c>
      <c r="L174" s="16">
        <f>IF($A174="","",IF($AQ174&lt;&gt;"",IF(INDEX(Raw_D2!$D$2:$D$1001,$AQ174)="","",INDEX(Raw_D2!$D$2:$D$1001,$AQ174)),IF($AR174&lt;&gt;"",IF(INDEX(Raw_D3!$L$2:$L$1001,$AR174)="","",INDEX(Raw_D3!$L$2:$L$1001,$AR174)),"")))</f>
        <v>0.69</v>
      </c>
      <c r="M174" s="17">
        <f>IF($A174="","",IF($AQ174&lt;&gt;"",IF(INDEX(Raw_D2!$E$2:$E$1001,$AQ174)="","",INDEX(Raw_D2!$E$2:$E$1001,$AQ174)),IF($AR174&lt;&gt;"",IF(INDEX(Raw_D3!$M$2:$M$1001,$AR174)="","",INDEX(Raw_D3!$M$2:$M$1001,$AR174)),"")))</f>
        <v>0.3881</v>
      </c>
      <c r="N174" s="5">
        <f>IF($A174="","",IF($AQ174&lt;&gt;"",IF(INDEX(Raw_D2!$F$2:$F$1001,$AQ174)="","",INDEX(Raw_D2!$F$2:$F$1001,$AQ174)),IF($AR174&lt;&gt;"",IF(INDEX(Raw_D3!$N$2:$N$1001,$AR174)="","",INDEX(Raw_D3!$N$2:$N$1001,$AR174)),"")))</f>
        <v>2</v>
      </c>
      <c r="O174" s="5">
        <f>IF($A174="","",IF($AQ174&lt;&gt;"",IF(INDEX(Raw_D2!$G$2:$G$1001,$AQ174)="","",INDEX(Raw_D2!$G$2:$G$1001,$AQ174)),IF($AR174&lt;&gt;"",IF(INDEX(Raw_D3!$O$2:$O$1001,$AR174)="","",INDEX(Raw_D3!$O$2:$O$1001,$AR174)),"")))</f>
        <v>60</v>
      </c>
      <c r="P174" s="5">
        <f>IF($A174="","",IF($AQ174&lt;&gt;"",IF(INDEX(Raw_D2!$H$2:$H$1001,$AQ174)="","",INDEX(Raw_D2!$H$2:$H$1001,$AQ174)),IF($AR174&lt;&gt;"",IF(INDEX(Raw_D3!$P$2:$P$1001,$AR174)="","",INDEX(Raw_D3!$P$2:$P$1001,$AR174)),"")))</f>
        <v>62</v>
      </c>
      <c r="Q174" s="5" t="str">
        <f>IF($A174="","",IF(AND($AP174&lt;&gt;"",$AQ174&lt;&gt;""),"D1+D2",IF($AR174&lt;&gt;"","D3","Incomplete")))</f>
        <v>D1+D2</v>
      </c>
      <c r="R174" s="17">
        <f>IF($A174="","",IF($K174="",IF($J174="","",ROUND(Lookups!$K$5+Lookups!$K$4*$J174,4)),$K174))</f>
        <v>0.1818</v>
      </c>
      <c r="S174" s="5" t="str">
        <f>IF($A174="","",IF($K174="","Imputed","Original"))</f>
        <v>Original</v>
      </c>
      <c r="T174" s="5" t="str">
        <f>IF($A174="","",IF($P174="","Missing",IF($P174=$N174+$O174,"OK","Mismatch")))</f>
        <v>OK</v>
      </c>
      <c r="U174" s="5" t="str">
        <f>IF($A174="","",IF(COUNTIF($A$2:$A174,$A174)&gt;1,"Duplicate","Unique"))</f>
        <v>Unique</v>
      </c>
      <c r="V174" s="5">
        <f>IF($A174="","",IF(AND($U174="Unique",ISNUMBER($P174)),1,0))</f>
        <v>1</v>
      </c>
      <c r="W174" s="5" t="str">
        <f>IF($A174="","",IF(OR($H174=0,$H174=6),"Weekend","Weekday"))</f>
        <v>Weekend</v>
      </c>
      <c r="X174" s="5" t="str">
        <f>IF($A174="","",TEXT($B174,"ddd"))</f>
        <v>Sat</v>
      </c>
      <c r="Y174" s="5" t="str">
        <f>IF($A174="","",TEXT($B174,"mmm"))</f>
        <v>Jan</v>
      </c>
      <c r="Z174" s="5" t="str">
        <f>IF($A174="","",IFERROR(VLOOKUP($C174,Lookups!$D$4:$E$7,2,FALSE),"Unknown"))</f>
        <v>Winter</v>
      </c>
      <c r="AA174" s="5" t="str">
        <f>IF($A174="","",IFERROR(VLOOKUP($I174,Lookups!$A$4:$B$7,2,FALSE),"Unknown"))</f>
        <v>Mist/Cloudy</v>
      </c>
      <c r="AB174" s="5" t="str">
        <f>IF($A174="","",TEXT($F174,"00")&amp;":00")</f>
        <v>11:00</v>
      </c>
      <c r="AC174" s="5" t="str">
        <f>IF($A174="","",VLOOKUP($F174,Lookups!$G$4:$H$8,2,TRUE))</f>
        <v>Midday (10-15)</v>
      </c>
      <c r="AD174" s="18">
        <f>IF($A174="","",IF($J174="","",ROUND($J174*41,1)))</f>
        <v>8.2</v>
      </c>
      <c r="AE174" s="18">
        <f>IF($A174="","",IF($R174="","",ROUND($R174*50,1)))</f>
        <v>9.1</v>
      </c>
      <c r="AF174" s="5">
        <f>IF($A174="","",IF($L174="","",ROUND($L174*100,0)))</f>
        <v>69</v>
      </c>
      <c r="AG174" s="18">
        <f>IF($A174="","",IF($M174="","",ROUND($M174*67,1)))</f>
        <v>26</v>
      </c>
      <c r="AH174" s="19">
        <f>IF($A174="","",IF($P174="","",IF($P174=0,0,$O174/$P174)))</f>
        <v>0.967741935483871</v>
      </c>
      <c r="AI174" s="5" t="str">
        <f>IF($A174="","",IF($P174="","",IF($P174&gt;=Lookups!$K$7,"High",IF($P174&lt;=Lookups!$K$8,"Low","Medium"))))</f>
        <v>Medium</v>
      </c>
      <c r="AJ174" s="5" t="str">
        <f>IF($A174="","",IF($AD174="","",IF($AD174&lt;5,"Under 5 C",IF($AD174&lt;10,"5-10 C",IF($AD174&lt;15,"10-15 C","15 C and above")))))</f>
        <v>5-10 C</v>
      </c>
      <c r="AK174" s="5">
        <f>IF($A174="","",IF($P174="","",$P174^2))</f>
        <v>3844</v>
      </c>
      <c r="AL174" s="18">
        <f>IF($V174&lt;&gt;1,"",AVERAGEIFS(Clean_Data!$P$2:$P$1001,Clean_Data!$F$2:$F$1001,$F174,Clean_Data!$W$2:$W$1001,$W174,Clean_Data!$V$2:$V$1001,1))</f>
        <v>76.9285714285714</v>
      </c>
      <c r="AM174" s="16">
        <f>IF($V174&lt;&gt;1,"",IFERROR(($P174-$AL174)/SQRT(MAX(0,(SUMIFS(Clean_Data!$AK$2:$AK$1001,Clean_Data!$F$2:$F$1001,$F174,Clean_Data!$W$2:$W$1001,$W174,Clean_Data!$V$2:$V$1001,1)-COUNTIFS(Clean_Data!$F$2:$F$1001,$F174,Clean_Data!$W$2:$W$1001,$W174,Clean_Data!$V$2:$V$1001,1)*$AL174^2)/(COUNTIFS(Clean_Data!$F$2:$F$1001,$F174,Clean_Data!$W$2:$W$1001,$W174,Clean_Data!$V$2:$V$1001,1)-1))),""))</f>
        <v>-0.600032609688628</v>
      </c>
      <c r="AN174" s="5" t="str">
        <f>IF($AM174="","",IF($AM174&gt;=Lookups!$K$6,"High spike",IF($AM174&lt;=-Lookups!$K$6,"Unusual low","Normal")))</f>
        <v>Normal</v>
      </c>
      <c r="AO174" s="20">
        <f>IF($V174&lt;&gt;1,"",$P174+ROW()/100000)</f>
        <v>62.00174</v>
      </c>
      <c r="AP174" s="5">
        <f>IF($A174="","",IFERROR(MATCH($A174,Raw_D1!$A$2:$A$1001,0),""))</f>
        <v>173</v>
      </c>
      <c r="AQ174" s="5">
        <f>IF($A174="","",IFERROR(MATCH($A174,Raw_D2!$B$2:$B$1001,0),""))</f>
        <v>173</v>
      </c>
      <c r="AR174" s="5">
        <f>IF($A174="","",IFERROR(MATCH($A174,Raw_D3!$A$2:$A$1001,0),""))</f>
        <v/>
      </c>
    </row>
    <row r="175" spans="1:44" x14ac:dyDescent="0.25">
      <c r="A175" s="5">
        <v>174</v>
      </c>
      <c r="B175" s="11">
        <f>IF($A175="","",IF($AP175&lt;&gt;"",INDEX(Raw_D1!$B$2:$B$1001,$AP175),IF($AR175&lt;&gt;"",INDEX(Raw_D3!$B$2:$B$1001,$AR175),"")))</f>
        <v>40551.0</v>
      </c>
      <c r="C175" s="5">
        <f>IF($A175="","",IF($AP175&lt;&gt;"",INDEX(Raw_D1!$C$2:$C$1001,$AP175),IF($AR175&lt;&gt;"",INDEX(Raw_D3!$C$2:$C$1001,$AR175),"")))</f>
        <v>1</v>
      </c>
      <c r="D175" s="5">
        <f>IF($A175="","",IF($AP175&lt;&gt;"",INDEX(Raw_D1!$D$2:$D$1001,$AP175),IF($AR175&lt;&gt;"",INDEX(Raw_D3!$D$2:$D$1001,$AR175),"")))</f>
        <v>0</v>
      </c>
      <c r="E175" s="5">
        <f>IF($A175="","",IF($AP175&lt;&gt;"",INDEX(Raw_D1!$E$2:$E$1001,$AP175),IF($AR175&lt;&gt;"",INDEX(Raw_D3!$E$2:$E$1001,$AR175),"")))</f>
        <v>1</v>
      </c>
      <c r="F175" s="5">
        <f>IF($A175="","",IF($AP175&lt;&gt;"",INDEX(Raw_D1!$F$2:$F$1001,$AP175),IF($AR175&lt;&gt;"",INDEX(Raw_D3!$F$2:$F$1001,$AR175),"")))</f>
        <v>12</v>
      </c>
      <c r="G175" s="5">
        <f>IF($A175="","",IF($AP175&lt;&gt;"",IF(INDEX(Raw_D1!$G$2:$G$1001,$AP175),1,0),IF($AR175&lt;&gt;"",IF(INDEX(Raw_D3!$G$2:$G$1001,$AR175),1,0),"")))</f>
        <v>0</v>
      </c>
      <c r="H175" s="5">
        <f>IF($A175="","",IF($AP175&lt;&gt;"",INDEX(Raw_D1!$H$2:$H$1001,$AP175),IF($AR175&lt;&gt;"",INDEX(Raw_D3!$H$2:$H$1001,$AR175),"")))</f>
        <v>6</v>
      </c>
      <c r="I175" s="5">
        <f>IF($A175="","",IF($AP175&lt;&gt;"",INDEX(Raw_D1!$I$2:$I$1001,$AP175),IF($AR175&lt;&gt;"",INDEX(Raw_D3!$I$2:$I$1001,$AR175),"")))</f>
        <v>2</v>
      </c>
      <c r="J175" s="16">
        <f>IF($A175="","",IF($AP175&lt;&gt;"",INDEX(Raw_D1!$J$2:$J$1001,$AP175),IF($AR175&lt;&gt;"",INDEX(Raw_D3!$J$2:$J$1001,$AR175),"")))</f>
        <v>0.2</v>
      </c>
      <c r="K175" s="17">
        <f>IF($A175="","",IF($AQ175&lt;&gt;"",IF(INDEX(Raw_D2!$C$2:$C$1001,$AQ175)="","",INDEX(Raw_D2!$C$2:$C$1001,$AQ175)),IF($AR175&lt;&gt;"",IF(INDEX(Raw_D3!$K$2:$K$1001,$AR175)="","",INDEX(Raw_D3!$K$2:$K$1001,$AR175)),"")))</f>
        <v>0.1818</v>
      </c>
      <c r="L175" s="16">
        <f>IF($A175="","",IF($AQ175&lt;&gt;"",IF(INDEX(Raw_D2!$D$2:$D$1001,$AQ175)="","",INDEX(Raw_D2!$D$2:$D$1001,$AQ175)),IF($AR175&lt;&gt;"",IF(INDEX(Raw_D3!$L$2:$L$1001,$AR175)="","",INDEX(Raw_D3!$L$2:$L$1001,$AR175)),"")))</f>
        <v>0.59</v>
      </c>
      <c r="M175" s="17">
        <f>IF($A175="","",IF($AQ175&lt;&gt;"",IF(INDEX(Raw_D2!$E$2:$E$1001,$AQ175)="","",INDEX(Raw_D2!$E$2:$E$1001,$AQ175)),IF($AR175&lt;&gt;"",IF(INDEX(Raw_D3!$M$2:$M$1001,$AR175)="","",INDEX(Raw_D3!$M$2:$M$1001,$AR175)),"")))</f>
        <v>0.3582</v>
      </c>
      <c r="N175" s="5">
        <f>IF($A175="","",IF($AQ175&lt;&gt;"",IF(INDEX(Raw_D2!$F$2:$F$1001,$AQ175)="","",INDEX(Raw_D2!$F$2:$F$1001,$AQ175)),IF($AR175&lt;&gt;"",IF(INDEX(Raw_D3!$N$2:$N$1001,$AR175)="","",INDEX(Raw_D3!$N$2:$N$1001,$AR175)),"")))</f>
        <v>8</v>
      </c>
      <c r="O175" s="5">
        <f>IF($A175="","",IF($AQ175&lt;&gt;"",IF(INDEX(Raw_D2!$G$2:$G$1001,$AQ175)="","",INDEX(Raw_D2!$G$2:$G$1001,$AQ175)),IF($AR175&lt;&gt;"",IF(INDEX(Raw_D3!$O$2:$O$1001,$AR175)="","",INDEX(Raw_D3!$O$2:$O$1001,$AR175)),"")))</f>
        <v>90</v>
      </c>
      <c r="P175" s="5">
        <f>IF($A175="","",IF($AQ175&lt;&gt;"",IF(INDEX(Raw_D2!$H$2:$H$1001,$AQ175)="","",INDEX(Raw_D2!$H$2:$H$1001,$AQ175)),IF($AR175&lt;&gt;"",IF(INDEX(Raw_D3!$P$2:$P$1001,$AR175)="","",INDEX(Raw_D3!$P$2:$P$1001,$AR175)),"")))</f>
        <v>98</v>
      </c>
      <c r="Q175" s="5" t="str">
        <f>IF($A175="","",IF(AND($AP175&lt;&gt;"",$AQ175&lt;&gt;""),"D1+D2",IF($AR175&lt;&gt;"","D3","Incomplete")))</f>
        <v>D1+D2</v>
      </c>
      <c r="R175" s="17">
        <f>IF($A175="","",IF($K175="",IF($J175="","",ROUND(Lookups!$K$5+Lookups!$K$4*$J175,4)),$K175))</f>
        <v>0.1818</v>
      </c>
      <c r="S175" s="5" t="str">
        <f>IF($A175="","",IF($K175="","Imputed","Original"))</f>
        <v>Original</v>
      </c>
      <c r="T175" s="5" t="str">
        <f>IF($A175="","",IF($P175="","Missing",IF($P175=$N175+$O175,"OK","Mismatch")))</f>
        <v>OK</v>
      </c>
      <c r="U175" s="5" t="str">
        <f>IF($A175="","",IF(COUNTIF($A$2:$A175,$A175)&gt;1,"Duplicate","Unique"))</f>
        <v>Unique</v>
      </c>
      <c r="V175" s="5">
        <f>IF($A175="","",IF(AND($U175="Unique",ISNUMBER($P175)),1,0))</f>
        <v>1</v>
      </c>
      <c r="W175" s="5" t="str">
        <f>IF($A175="","",IF(OR($H175=0,$H175=6),"Weekend","Weekday"))</f>
        <v>Weekend</v>
      </c>
      <c r="X175" s="5" t="str">
        <f>IF($A175="","",TEXT($B175,"ddd"))</f>
        <v>Sat</v>
      </c>
      <c r="Y175" s="5" t="str">
        <f>IF($A175="","",TEXT($B175,"mmm"))</f>
        <v>Jan</v>
      </c>
      <c r="Z175" s="5" t="str">
        <f>IF($A175="","",IFERROR(VLOOKUP($C175,Lookups!$D$4:$E$7,2,FALSE),"Unknown"))</f>
        <v>Winter</v>
      </c>
      <c r="AA175" s="5" t="str">
        <f>IF($A175="","",IFERROR(VLOOKUP($I175,Lookups!$A$4:$B$7,2,FALSE),"Unknown"))</f>
        <v>Mist/Cloudy</v>
      </c>
      <c r="AB175" s="5" t="str">
        <f>IF($A175="","",TEXT($F175,"00")&amp;":00")</f>
        <v>12:00</v>
      </c>
      <c r="AC175" s="5" t="str">
        <f>IF($A175="","",VLOOKUP($F175,Lookups!$G$4:$H$8,2,TRUE))</f>
        <v>Midday (10-15)</v>
      </c>
      <c r="AD175" s="18">
        <f>IF($A175="","",IF($J175="","",ROUND($J175*41,1)))</f>
        <v>8.2</v>
      </c>
      <c r="AE175" s="18">
        <f>IF($A175="","",IF($R175="","",ROUND($R175*50,1)))</f>
        <v>9.1</v>
      </c>
      <c r="AF175" s="5">
        <f>IF($A175="","",IF($L175="","",ROUND($L175*100,0)))</f>
        <v>59</v>
      </c>
      <c r="AG175" s="18">
        <f>IF($A175="","",IF($M175="","",ROUND($M175*67,1)))</f>
        <v>24</v>
      </c>
      <c r="AH175" s="19">
        <f>IF($A175="","",IF($P175="","",IF($P175=0,0,$O175/$P175)))</f>
        <v>0.918367346938776</v>
      </c>
      <c r="AI175" s="5" t="str">
        <f>IF($A175="","",IF($P175="","",IF($P175&gt;=Lookups!$K$7,"High",IF($P175&lt;=Lookups!$K$8,"Low","Medium"))))</f>
        <v>High</v>
      </c>
      <c r="AJ175" s="5" t="str">
        <f>IF($A175="","",IF($AD175="","",IF($AD175&lt;5,"Under 5 C",IF($AD175&lt;10,"5-10 C",IF($AD175&lt;15,"10-15 C","15 C and above")))))</f>
        <v>5-10 C</v>
      </c>
      <c r="AK175" s="5">
        <f>IF($A175="","",IF($P175="","",$P175^2))</f>
        <v>9604</v>
      </c>
      <c r="AL175" s="18">
        <f>IF($V175&lt;&gt;1,"",AVERAGEIFS(Clean_Data!$P$2:$P$1001,Clean_Data!$F$2:$F$1001,$F175,Clean_Data!$W$2:$W$1001,$W175,Clean_Data!$V$2:$V$1001,1))</f>
        <v>100.714285714286</v>
      </c>
      <c r="AM175" s="16">
        <f>IF($V175&lt;&gt;1,"",IFERROR(($P175-$AL175)/SQRT(MAX(0,(SUMIFS(Clean_Data!$AK$2:$AK$1001,Clean_Data!$F$2:$F$1001,$F175,Clean_Data!$W$2:$W$1001,$W175,Clean_Data!$V$2:$V$1001,1)-COUNTIFS(Clean_Data!$F$2:$F$1001,$F175,Clean_Data!$W$2:$W$1001,$W175,Clean_Data!$V$2:$V$1001,1)*$AL175^2)/(COUNTIFS(Clean_Data!$F$2:$F$1001,$F175,Clean_Data!$W$2:$W$1001,$W175,Clean_Data!$V$2:$V$1001,1)-1))),""))</f>
        <v>-0.084984835643317</v>
      </c>
      <c r="AN175" s="5" t="str">
        <f>IF($AM175="","",IF($AM175&gt;=Lookups!$K$6,"High spike",IF($AM175&lt;=-Lookups!$K$6,"Unusual low","Normal")))</f>
        <v>Normal</v>
      </c>
      <c r="AO175" s="20">
        <f>IF($V175&lt;&gt;1,"",$P175+ROW()/100000)</f>
        <v>98.00175</v>
      </c>
      <c r="AP175" s="5">
        <f>IF($A175="","",IFERROR(MATCH($A175,Raw_D1!$A$2:$A$1001,0),""))</f>
        <v>174</v>
      </c>
      <c r="AQ175" s="5">
        <f>IF($A175="","",IFERROR(MATCH($A175,Raw_D2!$B$2:$B$1001,0),""))</f>
        <v>174</v>
      </c>
      <c r="AR175" s="5">
        <f>IF($A175="","",IFERROR(MATCH($A175,Raw_D3!$A$2:$A$1001,0),""))</f>
        <v/>
      </c>
    </row>
    <row r="176" spans="1:44" x14ac:dyDescent="0.25">
      <c r="A176" s="5">
        <v>175</v>
      </c>
      <c r="B176" s="11">
        <f>IF($A176="","",IF($AP176&lt;&gt;"",INDEX(Raw_D1!$B$2:$B$1001,$AP176),IF($AR176&lt;&gt;"",INDEX(Raw_D3!$B$2:$B$1001,$AR176),"")))</f>
        <v>40551.0</v>
      </c>
      <c r="C176" s="5">
        <f>IF($A176="","",IF($AP176&lt;&gt;"",INDEX(Raw_D1!$C$2:$C$1001,$AP176),IF($AR176&lt;&gt;"",INDEX(Raw_D3!$C$2:$C$1001,$AR176),"")))</f>
        <v>1</v>
      </c>
      <c r="D176" s="5">
        <f>IF($A176="","",IF($AP176&lt;&gt;"",INDEX(Raw_D1!$D$2:$D$1001,$AP176),IF($AR176&lt;&gt;"",INDEX(Raw_D3!$D$2:$D$1001,$AR176),"")))</f>
        <v>0</v>
      </c>
      <c r="E176" s="5">
        <f>IF($A176="","",IF($AP176&lt;&gt;"",INDEX(Raw_D1!$E$2:$E$1001,$AP176),IF($AR176&lt;&gt;"",INDEX(Raw_D3!$E$2:$E$1001,$AR176),"")))</f>
        <v>1</v>
      </c>
      <c r="F176" s="5">
        <f>IF($A176="","",IF($AP176&lt;&gt;"",INDEX(Raw_D1!$F$2:$F$1001,$AP176),IF($AR176&lt;&gt;"",INDEX(Raw_D3!$F$2:$F$1001,$AR176),"")))</f>
        <v>13</v>
      </c>
      <c r="G176" s="5">
        <f>IF($A176="","",IF($AP176&lt;&gt;"",IF(INDEX(Raw_D1!$G$2:$G$1001,$AP176),1,0),IF($AR176&lt;&gt;"",IF(INDEX(Raw_D3!$G$2:$G$1001,$AR176),1,0),"")))</f>
        <v>0</v>
      </c>
      <c r="H176" s="5">
        <f>IF($A176="","",IF($AP176&lt;&gt;"",INDEX(Raw_D1!$H$2:$H$1001,$AP176),IF($AR176&lt;&gt;"",INDEX(Raw_D3!$H$2:$H$1001,$AR176),"")))</f>
        <v>6</v>
      </c>
      <c r="I176" s="5">
        <f>IF($A176="","",IF($AP176&lt;&gt;"",INDEX(Raw_D1!$I$2:$I$1001,$AP176),IF($AR176&lt;&gt;"",INDEX(Raw_D3!$I$2:$I$1001,$AR176),"")))</f>
        <v>1</v>
      </c>
      <c r="J176" s="16">
        <f>IF($A176="","",IF($AP176&lt;&gt;"",INDEX(Raw_D1!$J$2:$J$1001,$AP176),IF($AR176&lt;&gt;"",INDEX(Raw_D3!$J$2:$J$1001,$AR176),"")))</f>
        <v>0.2</v>
      </c>
      <c r="K176" s="17">
        <f>IF($A176="","",IF($AQ176&lt;&gt;"",IF(INDEX(Raw_D2!$C$2:$C$1001,$AQ176)="","",INDEX(Raw_D2!$C$2:$C$1001,$AQ176)),IF($AR176&lt;&gt;"",IF(INDEX(Raw_D3!$K$2:$K$1001,$AR176)="","",INDEX(Raw_D3!$K$2:$K$1001,$AR176)),"")))</f>
        <v>0.1818</v>
      </c>
      <c r="L176" s="16">
        <f>IF($A176="","",IF($AQ176&lt;&gt;"",IF(INDEX(Raw_D2!$D$2:$D$1001,$AQ176)="","",INDEX(Raw_D2!$D$2:$D$1001,$AQ176)),IF($AR176&lt;&gt;"",IF(INDEX(Raw_D3!$L$2:$L$1001,$AR176)="","",INDEX(Raw_D3!$L$2:$L$1001,$AR176)),"")))</f>
        <v>0.44</v>
      </c>
      <c r="M176" s="17">
        <f>IF($A176="","",IF($AQ176&lt;&gt;"",IF(INDEX(Raw_D2!$E$2:$E$1001,$AQ176)="","",INDEX(Raw_D2!$E$2:$E$1001,$AQ176)),IF($AR176&lt;&gt;"",IF(INDEX(Raw_D3!$M$2:$M$1001,$AR176)="","",INDEX(Raw_D3!$M$2:$M$1001,$AR176)),"")))</f>
        <v>0.3284</v>
      </c>
      <c r="N176" s="5">
        <f>IF($A176="","",IF($AQ176&lt;&gt;"",IF(INDEX(Raw_D2!$F$2:$F$1001,$AQ176)="","",INDEX(Raw_D2!$F$2:$F$1001,$AQ176)),IF($AR176&lt;&gt;"",IF(INDEX(Raw_D3!$N$2:$N$1001,$AR176)="","",INDEX(Raw_D3!$N$2:$N$1001,$AR176)),"")))</f>
        <v>7</v>
      </c>
      <c r="O176" s="5">
        <f>IF($A176="","",IF($AQ176&lt;&gt;"",IF(INDEX(Raw_D2!$G$2:$G$1001,$AQ176)="","",INDEX(Raw_D2!$G$2:$G$1001,$AQ176)),IF($AR176&lt;&gt;"",IF(INDEX(Raw_D3!$O$2:$O$1001,$AR176)="","",INDEX(Raw_D3!$O$2:$O$1001,$AR176)),"")))</f>
        <v>95</v>
      </c>
      <c r="P176" s="5">
        <f>IF($A176="","",IF($AQ176&lt;&gt;"",IF(INDEX(Raw_D2!$H$2:$H$1001,$AQ176)="","",INDEX(Raw_D2!$H$2:$H$1001,$AQ176)),IF($AR176&lt;&gt;"",IF(INDEX(Raw_D3!$P$2:$P$1001,$AR176)="","",INDEX(Raw_D3!$P$2:$P$1001,$AR176)),"")))</f>
        <v>102</v>
      </c>
      <c r="Q176" s="5" t="str">
        <f>IF($A176="","",IF(AND($AP176&lt;&gt;"",$AQ176&lt;&gt;""),"D1+D2",IF($AR176&lt;&gt;"","D3","Incomplete")))</f>
        <v>D1+D2</v>
      </c>
      <c r="R176" s="17">
        <f>IF($A176="","",IF($K176="",IF($J176="","",ROUND(Lookups!$K$5+Lookups!$K$4*$J176,4)),$K176))</f>
        <v>0.1818</v>
      </c>
      <c r="S176" s="5" t="str">
        <f>IF($A176="","",IF($K176="","Imputed","Original"))</f>
        <v>Original</v>
      </c>
      <c r="T176" s="5" t="str">
        <f>IF($A176="","",IF($P176="","Missing",IF($P176=$N176+$O176,"OK","Mismatch")))</f>
        <v>OK</v>
      </c>
      <c r="U176" s="5" t="str">
        <f>IF($A176="","",IF(COUNTIF($A$2:$A176,$A176)&gt;1,"Duplicate","Unique"))</f>
        <v>Unique</v>
      </c>
      <c r="V176" s="5">
        <f>IF($A176="","",IF(AND($U176="Unique",ISNUMBER($P176)),1,0))</f>
        <v>1</v>
      </c>
      <c r="W176" s="5" t="str">
        <f>IF($A176="","",IF(OR($H176=0,$H176=6),"Weekend","Weekday"))</f>
        <v>Weekend</v>
      </c>
      <c r="X176" s="5" t="str">
        <f>IF($A176="","",TEXT($B176,"ddd"))</f>
        <v>Sat</v>
      </c>
      <c r="Y176" s="5" t="str">
        <f>IF($A176="","",TEXT($B176,"mmm"))</f>
        <v>Jan</v>
      </c>
      <c r="Z176" s="5" t="str">
        <f>IF($A176="","",IFERROR(VLOOKUP($C176,Lookups!$D$4:$E$7,2,FALSE),"Unknown"))</f>
        <v>Winter</v>
      </c>
      <c r="AA176" s="5" t="str">
        <f>IF($A176="","",IFERROR(VLOOKUP($I176,Lookups!$A$4:$B$7,2,FALSE),"Unknown"))</f>
        <v>Clear</v>
      </c>
      <c r="AB176" s="5" t="str">
        <f>IF($A176="","",TEXT($F176,"00")&amp;":00")</f>
        <v>13:00</v>
      </c>
      <c r="AC176" s="5" t="str">
        <f>IF($A176="","",VLOOKUP($F176,Lookups!$G$4:$H$8,2,TRUE))</f>
        <v>Midday (10-15)</v>
      </c>
      <c r="AD176" s="18">
        <f>IF($A176="","",IF($J176="","",ROUND($J176*41,1)))</f>
        <v>8.2</v>
      </c>
      <c r="AE176" s="18">
        <f>IF($A176="","",IF($R176="","",ROUND($R176*50,1)))</f>
        <v>9.1</v>
      </c>
      <c r="AF176" s="5">
        <f>IF($A176="","",IF($L176="","",ROUND($L176*100,0)))</f>
        <v>44</v>
      </c>
      <c r="AG176" s="18">
        <f>IF($A176="","",IF($M176="","",ROUND($M176*67,1)))</f>
        <v>22</v>
      </c>
      <c r="AH176" s="19">
        <f>IF($A176="","",IF($P176="","",IF($P176=0,0,$O176/$P176)))</f>
        <v>0.931372549019608</v>
      </c>
      <c r="AI176" s="5" t="str">
        <f>IF($A176="","",IF($P176="","",IF($P176&gt;=Lookups!$K$7,"High",IF($P176&lt;=Lookups!$K$8,"Low","Medium"))))</f>
        <v>High</v>
      </c>
      <c r="AJ176" s="5" t="str">
        <f>IF($A176="","",IF($AD176="","",IF($AD176&lt;5,"Under 5 C",IF($AD176&lt;10,"5-10 C",IF($AD176&lt;15,"10-15 C","15 C and above")))))</f>
        <v>5-10 C</v>
      </c>
      <c r="AK176" s="5">
        <f>IF($A176="","",IF($P176="","",$P176^2))</f>
        <v>10404</v>
      </c>
      <c r="AL176" s="18">
        <f>IF($V176&lt;&gt;1,"",AVERAGEIFS(Clean_Data!$P$2:$P$1001,Clean_Data!$F$2:$F$1001,$F176,Clean_Data!$W$2:$W$1001,$W176,Clean_Data!$V$2:$V$1001,1))</f>
        <v>102</v>
      </c>
      <c r="AM176" s="16">
        <f>IF($V176&lt;&gt;1,"",IFERROR(($P176-$AL176)/SQRT(MAX(0,(SUMIFS(Clean_Data!$AK$2:$AK$1001,Clean_Data!$F$2:$F$1001,$F176,Clean_Data!$W$2:$W$1001,$W176,Clean_Data!$V$2:$V$1001,1)-COUNTIFS(Clean_Data!$F$2:$F$1001,$F176,Clean_Data!$W$2:$W$1001,$W176,Clean_Data!$V$2:$V$1001,1)*$AL176^2)/(COUNTIFS(Clean_Data!$F$2:$F$1001,$F176,Clean_Data!$W$2:$W$1001,$W176,Clean_Data!$V$2:$V$1001,1)-1))),""))</f>
        <v>0</v>
      </c>
      <c r="AN176" s="5" t="str">
        <f>IF($AM176="","",IF($AM176&gt;=Lookups!$K$6,"High spike",IF($AM176&lt;=-Lookups!$K$6,"Unusual low","Normal")))</f>
        <v>Normal</v>
      </c>
      <c r="AO176" s="20">
        <f>IF($V176&lt;&gt;1,"",$P176+ROW()/100000)</f>
        <v>102.00176</v>
      </c>
      <c r="AP176" s="5">
        <f>IF($A176="","",IFERROR(MATCH($A176,Raw_D1!$A$2:$A$1001,0),""))</f>
        <v>175</v>
      </c>
      <c r="AQ176" s="5">
        <f>IF($A176="","",IFERROR(MATCH($A176,Raw_D2!$B$2:$B$1001,0),""))</f>
        <v>175</v>
      </c>
      <c r="AR176" s="5">
        <f>IF($A176="","",IFERROR(MATCH($A176,Raw_D3!$A$2:$A$1001,0),""))</f>
        <v/>
      </c>
    </row>
    <row r="177" spans="1:44" x14ac:dyDescent="0.25">
      <c r="A177" s="5">
        <v>176</v>
      </c>
      <c r="B177" s="11">
        <f>IF($A177="","",IF($AP177&lt;&gt;"",INDEX(Raw_D1!$B$2:$B$1001,$AP177),IF($AR177&lt;&gt;"",INDEX(Raw_D3!$B$2:$B$1001,$AR177),"")))</f>
        <v>40551.0</v>
      </c>
      <c r="C177" s="5">
        <f>IF($A177="","",IF($AP177&lt;&gt;"",INDEX(Raw_D1!$C$2:$C$1001,$AP177),IF($AR177&lt;&gt;"",INDEX(Raw_D3!$C$2:$C$1001,$AR177),"")))</f>
        <v>1</v>
      </c>
      <c r="D177" s="5">
        <f>IF($A177="","",IF($AP177&lt;&gt;"",INDEX(Raw_D1!$D$2:$D$1001,$AP177),IF($AR177&lt;&gt;"",INDEX(Raw_D3!$D$2:$D$1001,$AR177),"")))</f>
        <v>0</v>
      </c>
      <c r="E177" s="5">
        <f>IF($A177="","",IF($AP177&lt;&gt;"",INDEX(Raw_D1!$E$2:$E$1001,$AP177),IF($AR177&lt;&gt;"",INDEX(Raw_D3!$E$2:$E$1001,$AR177),"")))</f>
        <v>1</v>
      </c>
      <c r="F177" s="5">
        <f>IF($A177="","",IF($AP177&lt;&gt;"",INDEX(Raw_D1!$F$2:$F$1001,$AP177),IF($AR177&lt;&gt;"",INDEX(Raw_D3!$F$2:$F$1001,$AR177),"")))</f>
        <v>14</v>
      </c>
      <c r="G177" s="5">
        <f>IF($A177="","",IF($AP177&lt;&gt;"",IF(INDEX(Raw_D1!$G$2:$G$1001,$AP177),1,0),IF($AR177&lt;&gt;"",IF(INDEX(Raw_D3!$G$2:$G$1001,$AR177),1,0),"")))</f>
        <v>0</v>
      </c>
      <c r="H177" s="5">
        <f>IF($A177="","",IF($AP177&lt;&gt;"",INDEX(Raw_D1!$H$2:$H$1001,$AP177),IF($AR177&lt;&gt;"",INDEX(Raw_D3!$H$2:$H$1001,$AR177),"")))</f>
        <v>6</v>
      </c>
      <c r="I177" s="5">
        <f>IF($A177="","",IF($AP177&lt;&gt;"",INDEX(Raw_D1!$I$2:$I$1001,$AP177),IF($AR177&lt;&gt;"",INDEX(Raw_D3!$I$2:$I$1001,$AR177),"")))</f>
        <v>1</v>
      </c>
      <c r="J177" s="16">
        <f>IF($A177="","",IF($AP177&lt;&gt;"",INDEX(Raw_D1!$J$2:$J$1001,$AP177),IF($AR177&lt;&gt;"",INDEX(Raw_D3!$J$2:$J$1001,$AR177),"")))</f>
        <v>0.2</v>
      </c>
      <c r="K177" s="17">
        <f>IF($A177="","",IF($AQ177&lt;&gt;"",IF(INDEX(Raw_D2!$C$2:$C$1001,$AQ177)="","",INDEX(Raw_D2!$C$2:$C$1001,$AQ177)),IF($AR177&lt;&gt;"",IF(INDEX(Raw_D3!$K$2:$K$1001,$AR177)="","",INDEX(Raw_D3!$K$2:$K$1001,$AR177)),"")))</f>
        <v>0.1667</v>
      </c>
      <c r="L177" s="16">
        <f>IF($A177="","",IF($AQ177&lt;&gt;"",IF(INDEX(Raw_D2!$D$2:$D$1001,$AQ177)="","",INDEX(Raw_D2!$D$2:$D$1001,$AQ177)),IF($AR177&lt;&gt;"",IF(INDEX(Raw_D3!$L$2:$L$1001,$AR177)="","",INDEX(Raw_D3!$L$2:$L$1001,$AR177)),"")))</f>
        <v>0.32</v>
      </c>
      <c r="M177" s="17">
        <f>IF($A177="","",IF($AQ177&lt;&gt;"",IF(INDEX(Raw_D2!$E$2:$E$1001,$AQ177)="","",INDEX(Raw_D2!$E$2:$E$1001,$AQ177)),IF($AR177&lt;&gt;"",IF(INDEX(Raw_D3!$M$2:$M$1001,$AR177)="","",INDEX(Raw_D3!$M$2:$M$1001,$AR177)),"")))</f>
        <v>0.4925</v>
      </c>
      <c r="N177" s="5">
        <f>IF($A177="","",IF($AQ177&lt;&gt;"",IF(INDEX(Raw_D2!$F$2:$F$1001,$AQ177)="","",INDEX(Raw_D2!$F$2:$F$1001,$AQ177)),IF($AR177&lt;&gt;"",IF(INDEX(Raw_D3!$N$2:$N$1001,$AR177)="","",INDEX(Raw_D3!$N$2:$N$1001,$AR177)),"")))</f>
        <v>12</v>
      </c>
      <c r="O177" s="5">
        <f>IF($A177="","",IF($AQ177&lt;&gt;"",IF(INDEX(Raw_D2!$G$2:$G$1001,$AQ177)="","",INDEX(Raw_D2!$G$2:$G$1001,$AQ177)),IF($AR177&lt;&gt;"",IF(INDEX(Raw_D3!$O$2:$O$1001,$AR177)="","",INDEX(Raw_D3!$O$2:$O$1001,$AR177)),"")))</f>
        <v>83</v>
      </c>
      <c r="P177" s="5">
        <f>IF($A177="","",IF($AQ177&lt;&gt;"",IF(INDEX(Raw_D2!$H$2:$H$1001,$AQ177)="","",INDEX(Raw_D2!$H$2:$H$1001,$AQ177)),IF($AR177&lt;&gt;"",IF(INDEX(Raw_D3!$P$2:$P$1001,$AR177)="","",INDEX(Raw_D3!$P$2:$P$1001,$AR177)),"")))</f>
        <v>95</v>
      </c>
      <c r="Q177" s="5" t="str">
        <f>IF($A177="","",IF(AND($AP177&lt;&gt;"",$AQ177&lt;&gt;""),"D1+D2",IF($AR177&lt;&gt;"","D3","Incomplete")))</f>
        <v>D1+D2</v>
      </c>
      <c r="R177" s="17">
        <f>IF($A177="","",IF($K177="",IF($J177="","",ROUND(Lookups!$K$5+Lookups!$K$4*$J177,4)),$K177))</f>
        <v>0.1667</v>
      </c>
      <c r="S177" s="5" t="str">
        <f>IF($A177="","",IF($K177="","Imputed","Original"))</f>
        <v>Original</v>
      </c>
      <c r="T177" s="5" t="str">
        <f>IF($A177="","",IF($P177="","Missing",IF($P177=$N177+$O177,"OK","Mismatch")))</f>
        <v>OK</v>
      </c>
      <c r="U177" s="5" t="str">
        <f>IF($A177="","",IF(COUNTIF($A$2:$A177,$A177)&gt;1,"Duplicate","Unique"))</f>
        <v>Unique</v>
      </c>
      <c r="V177" s="5">
        <f>IF($A177="","",IF(AND($U177="Unique",ISNUMBER($P177)),1,0))</f>
        <v>1</v>
      </c>
      <c r="W177" s="5" t="str">
        <f>IF($A177="","",IF(OR($H177=0,$H177=6),"Weekend","Weekday"))</f>
        <v>Weekend</v>
      </c>
      <c r="X177" s="5" t="str">
        <f>IF($A177="","",TEXT($B177,"ddd"))</f>
        <v>Sat</v>
      </c>
      <c r="Y177" s="5" t="str">
        <f>IF($A177="","",TEXT($B177,"mmm"))</f>
        <v>Jan</v>
      </c>
      <c r="Z177" s="5" t="str">
        <f>IF($A177="","",IFERROR(VLOOKUP($C177,Lookups!$D$4:$E$7,2,FALSE),"Unknown"))</f>
        <v>Winter</v>
      </c>
      <c r="AA177" s="5" t="str">
        <f>IF($A177="","",IFERROR(VLOOKUP($I177,Lookups!$A$4:$B$7,2,FALSE),"Unknown"))</f>
        <v>Clear</v>
      </c>
      <c r="AB177" s="5" t="str">
        <f>IF($A177="","",TEXT($F177,"00")&amp;":00")</f>
        <v>14:00</v>
      </c>
      <c r="AC177" s="5" t="str">
        <f>IF($A177="","",VLOOKUP($F177,Lookups!$G$4:$H$8,2,TRUE))</f>
        <v>Midday (10-15)</v>
      </c>
      <c r="AD177" s="18">
        <f>IF($A177="","",IF($J177="","",ROUND($J177*41,1)))</f>
        <v>8.2</v>
      </c>
      <c r="AE177" s="18">
        <f>IF($A177="","",IF($R177="","",ROUND($R177*50,1)))</f>
        <v>8.3</v>
      </c>
      <c r="AF177" s="5">
        <f>IF($A177="","",IF($L177="","",ROUND($L177*100,0)))</f>
        <v>32</v>
      </c>
      <c r="AG177" s="18">
        <f>IF($A177="","",IF($M177="","",ROUND($M177*67,1)))</f>
        <v>33</v>
      </c>
      <c r="AH177" s="19">
        <f>IF($A177="","",IF($P177="","",IF($P177=0,0,$O177/$P177)))</f>
        <v>0.873684210526316</v>
      </c>
      <c r="AI177" s="5" t="str">
        <f>IF($A177="","",IF($P177="","",IF($P177&gt;=Lookups!$K$7,"High",IF($P177&lt;=Lookups!$K$8,"Low","Medium"))))</f>
        <v>High</v>
      </c>
      <c r="AJ177" s="5" t="str">
        <f>IF($A177="","",IF($AD177="","",IF($AD177&lt;5,"Under 5 C",IF($AD177&lt;10,"5-10 C",IF($AD177&lt;15,"10-15 C","15 C and above")))))</f>
        <v>5-10 C</v>
      </c>
      <c r="AK177" s="5">
        <f>IF($A177="","",IF($P177="","",$P177^2))</f>
        <v>9025</v>
      </c>
      <c r="AL177" s="18">
        <f>IF($V177&lt;&gt;1,"",AVERAGEIFS(Clean_Data!$P$2:$P$1001,Clean_Data!$F$2:$F$1001,$F177,Clean_Data!$W$2:$W$1001,$W177,Clean_Data!$V$2:$V$1001,1))</f>
        <v>103.142857142857</v>
      </c>
      <c r="AM177" s="16">
        <f>IF($V177&lt;&gt;1,"",IFERROR(($P177-$AL177)/SQRT(MAX(0,(SUMIFS(Clean_Data!$AK$2:$AK$1001,Clean_Data!$F$2:$F$1001,$F177,Clean_Data!$W$2:$W$1001,$W177,Clean_Data!$V$2:$V$1001,1)-COUNTIFS(Clean_Data!$F$2:$F$1001,$F177,Clean_Data!$W$2:$W$1001,$W177,Clean_Data!$V$2:$V$1001,1)*$AL177^2)/(COUNTIFS(Clean_Data!$F$2:$F$1001,$F177,Clean_Data!$W$2:$W$1001,$W177,Clean_Data!$V$2:$V$1001,1)-1))),""))</f>
        <v>-0.249295669481263</v>
      </c>
      <c r="AN177" s="5" t="str">
        <f>IF($AM177="","",IF($AM177&gt;=Lookups!$K$6,"High spike",IF($AM177&lt;=-Lookups!$K$6,"Unusual low","Normal")))</f>
        <v>Normal</v>
      </c>
      <c r="AO177" s="20">
        <f>IF($V177&lt;&gt;1,"",$P177+ROW()/100000)</f>
        <v>95.00177</v>
      </c>
      <c r="AP177" s="5">
        <f>IF($A177="","",IFERROR(MATCH($A177,Raw_D1!$A$2:$A$1001,0),""))</f>
        <v>176</v>
      </c>
      <c r="AQ177" s="5">
        <f>IF($A177="","",IFERROR(MATCH($A177,Raw_D2!$B$2:$B$1001,0),""))</f>
        <v>176</v>
      </c>
      <c r="AR177" s="5">
        <f>IF($A177="","",IFERROR(MATCH($A177,Raw_D3!$A$2:$A$1001,0),""))</f>
        <v/>
      </c>
    </row>
    <row r="178" spans="1:44" x14ac:dyDescent="0.25">
      <c r="A178" s="5">
        <v>177</v>
      </c>
      <c r="B178" s="11">
        <f>IF($A178="","",IF($AP178&lt;&gt;"",INDEX(Raw_D1!$B$2:$B$1001,$AP178),IF($AR178&lt;&gt;"",INDEX(Raw_D3!$B$2:$B$1001,$AR178),"")))</f>
        <v>40551.0</v>
      </c>
      <c r="C178" s="5">
        <f>IF($A178="","",IF($AP178&lt;&gt;"",INDEX(Raw_D1!$C$2:$C$1001,$AP178),IF($AR178&lt;&gt;"",INDEX(Raw_D3!$C$2:$C$1001,$AR178),"")))</f>
        <v>1</v>
      </c>
      <c r="D178" s="5">
        <f>IF($A178="","",IF($AP178&lt;&gt;"",INDEX(Raw_D1!$D$2:$D$1001,$AP178),IF($AR178&lt;&gt;"",INDEX(Raw_D3!$D$2:$D$1001,$AR178),"")))</f>
        <v>0</v>
      </c>
      <c r="E178" s="5">
        <f>IF($A178="","",IF($AP178&lt;&gt;"",INDEX(Raw_D1!$E$2:$E$1001,$AP178),IF($AR178&lt;&gt;"",INDEX(Raw_D3!$E$2:$E$1001,$AR178),"")))</f>
        <v>1</v>
      </c>
      <c r="F178" s="5">
        <f>IF($A178="","",IF($AP178&lt;&gt;"",INDEX(Raw_D1!$F$2:$F$1001,$AP178),IF($AR178&lt;&gt;"",INDEX(Raw_D3!$F$2:$F$1001,$AR178),"")))</f>
        <v>15</v>
      </c>
      <c r="G178" s="5">
        <f>IF($A178="","",IF($AP178&lt;&gt;"",IF(INDEX(Raw_D1!$G$2:$G$1001,$AP178),1,0),IF($AR178&lt;&gt;"",IF(INDEX(Raw_D3!$G$2:$G$1001,$AR178),1,0),"")))</f>
        <v>0</v>
      </c>
      <c r="H178" s="5">
        <f>IF($A178="","",IF($AP178&lt;&gt;"",INDEX(Raw_D1!$H$2:$H$1001,$AP178),IF($AR178&lt;&gt;"",INDEX(Raw_D3!$H$2:$H$1001,$AR178),"")))</f>
        <v>6</v>
      </c>
      <c r="I178" s="5">
        <f>IF($A178="","",IF($AP178&lt;&gt;"",INDEX(Raw_D1!$I$2:$I$1001,$AP178),IF($AR178&lt;&gt;"",INDEX(Raw_D3!$I$2:$I$1001,$AR178),"")))</f>
        <v>1</v>
      </c>
      <c r="J178" s="16">
        <f>IF($A178="","",IF($AP178&lt;&gt;"",INDEX(Raw_D1!$J$2:$J$1001,$AP178),IF($AR178&lt;&gt;"",INDEX(Raw_D3!$J$2:$J$1001,$AR178),"")))</f>
        <v>0.2</v>
      </c>
      <c r="K178" s="17">
        <f>IF($A178="","",IF($AQ178&lt;&gt;"",IF(INDEX(Raw_D2!$C$2:$C$1001,$AQ178)="","",INDEX(Raw_D2!$C$2:$C$1001,$AQ178)),IF($AR178&lt;&gt;"",IF(INDEX(Raw_D3!$K$2:$K$1001,$AR178)="","",INDEX(Raw_D3!$K$2:$K$1001,$AR178)),"")))</f>
        <v>0.1667</v>
      </c>
      <c r="L178" s="16">
        <f>IF($A178="","",IF($AQ178&lt;&gt;"",IF(INDEX(Raw_D2!$D$2:$D$1001,$AQ178)="","",INDEX(Raw_D2!$D$2:$D$1001,$AQ178)),IF($AR178&lt;&gt;"",IF(INDEX(Raw_D3!$L$2:$L$1001,$AR178)="","",INDEX(Raw_D3!$L$2:$L$1001,$AR178)),"")))</f>
        <v>0.32</v>
      </c>
      <c r="M178" s="17">
        <f>IF($A178="","",IF($AQ178&lt;&gt;"",IF(INDEX(Raw_D2!$E$2:$E$1001,$AQ178)="","",INDEX(Raw_D2!$E$2:$E$1001,$AQ178)),IF($AR178&lt;&gt;"",IF(INDEX(Raw_D3!$M$2:$M$1001,$AR178)="","",INDEX(Raw_D3!$M$2:$M$1001,$AR178)),"")))</f>
        <v>0.4478</v>
      </c>
      <c r="N178" s="5">
        <f>IF($A178="","",IF($AQ178&lt;&gt;"",IF(INDEX(Raw_D2!$F$2:$F$1001,$AQ178)="","",INDEX(Raw_D2!$F$2:$F$1001,$AQ178)),IF($AR178&lt;&gt;"",IF(INDEX(Raw_D3!$N$2:$N$1001,$AR178)="","",INDEX(Raw_D3!$N$2:$N$1001,$AR178)),"")))</f>
        <v>5</v>
      </c>
      <c r="O178" s="5">
        <f>IF($A178="","",IF($AQ178&lt;&gt;"",IF(INDEX(Raw_D2!$G$2:$G$1001,$AQ178)="","",INDEX(Raw_D2!$G$2:$G$1001,$AQ178)),IF($AR178&lt;&gt;"",IF(INDEX(Raw_D3!$O$2:$O$1001,$AR178)="","",INDEX(Raw_D3!$O$2:$O$1001,$AR178)),"")))</f>
        <v>69</v>
      </c>
      <c r="P178" s="5">
        <f>IF($A178="","",IF($AQ178&lt;&gt;"",IF(INDEX(Raw_D2!$H$2:$H$1001,$AQ178)="","",INDEX(Raw_D2!$H$2:$H$1001,$AQ178)),IF($AR178&lt;&gt;"",IF(INDEX(Raw_D3!$P$2:$P$1001,$AR178)="","",INDEX(Raw_D3!$P$2:$P$1001,$AR178)),"")))</f>
        <v>74</v>
      </c>
      <c r="Q178" s="5" t="str">
        <f>IF($A178="","",IF(AND($AP178&lt;&gt;"",$AQ178&lt;&gt;""),"D1+D2",IF($AR178&lt;&gt;"","D3","Incomplete")))</f>
        <v>D1+D2</v>
      </c>
      <c r="R178" s="17">
        <f>IF($A178="","",IF($K178="",IF($J178="","",ROUND(Lookups!$K$5+Lookups!$K$4*$J178,4)),$K178))</f>
        <v>0.1667</v>
      </c>
      <c r="S178" s="5" t="str">
        <f>IF($A178="","",IF($K178="","Imputed","Original"))</f>
        <v>Original</v>
      </c>
      <c r="T178" s="5" t="str">
        <f>IF($A178="","",IF($P178="","Missing",IF($P178=$N178+$O178,"OK","Mismatch")))</f>
        <v>OK</v>
      </c>
      <c r="U178" s="5" t="str">
        <f>IF($A178="","",IF(COUNTIF($A$2:$A178,$A178)&gt;1,"Duplicate","Unique"))</f>
        <v>Unique</v>
      </c>
      <c r="V178" s="5">
        <f>IF($A178="","",IF(AND($U178="Unique",ISNUMBER($P178)),1,0))</f>
        <v>1</v>
      </c>
      <c r="W178" s="5" t="str">
        <f>IF($A178="","",IF(OR($H178=0,$H178=6),"Weekend","Weekday"))</f>
        <v>Weekend</v>
      </c>
      <c r="X178" s="5" t="str">
        <f>IF($A178="","",TEXT($B178,"ddd"))</f>
        <v>Sat</v>
      </c>
      <c r="Y178" s="5" t="str">
        <f>IF($A178="","",TEXT($B178,"mmm"))</f>
        <v>Jan</v>
      </c>
      <c r="Z178" s="5" t="str">
        <f>IF($A178="","",IFERROR(VLOOKUP($C178,Lookups!$D$4:$E$7,2,FALSE),"Unknown"))</f>
        <v>Winter</v>
      </c>
      <c r="AA178" s="5" t="str">
        <f>IF($A178="","",IFERROR(VLOOKUP($I178,Lookups!$A$4:$B$7,2,FALSE),"Unknown"))</f>
        <v>Clear</v>
      </c>
      <c r="AB178" s="5" t="str">
        <f>IF($A178="","",TEXT($F178,"00")&amp;":00")</f>
        <v>15:00</v>
      </c>
      <c r="AC178" s="5" t="str">
        <f>IF($A178="","",VLOOKUP($F178,Lookups!$G$4:$H$8,2,TRUE))</f>
        <v>Midday (10-15)</v>
      </c>
      <c r="AD178" s="18">
        <f>IF($A178="","",IF($J178="","",ROUND($J178*41,1)))</f>
        <v>8.2</v>
      </c>
      <c r="AE178" s="18">
        <f>IF($A178="","",IF($R178="","",ROUND($R178*50,1)))</f>
        <v>8.3</v>
      </c>
      <c r="AF178" s="5">
        <f>IF($A178="","",IF($L178="","",ROUND($L178*100,0)))</f>
        <v>32</v>
      </c>
      <c r="AG178" s="18">
        <f>IF($A178="","",IF($M178="","",ROUND($M178*67,1)))</f>
        <v>30</v>
      </c>
      <c r="AH178" s="19">
        <f>IF($A178="","",IF($P178="","",IF($P178=0,0,$O178/$P178)))</f>
        <v>0.932432432432433</v>
      </c>
      <c r="AI178" s="5" t="str">
        <f>IF($A178="","",IF($P178="","",IF($P178&gt;=Lookups!$K$7,"High",IF($P178&lt;=Lookups!$K$8,"Low","Medium"))))</f>
        <v>Medium</v>
      </c>
      <c r="AJ178" s="5" t="str">
        <f>IF($A178="","",IF($AD178="","",IF($AD178&lt;5,"Under 5 C",IF($AD178&lt;10,"5-10 C",IF($AD178&lt;15,"10-15 C","15 C and above")))))</f>
        <v>5-10 C</v>
      </c>
      <c r="AK178" s="5">
        <f>IF($A178="","",IF($P178="","",$P178^2))</f>
        <v>5476</v>
      </c>
      <c r="AL178" s="18">
        <f>IF($V178&lt;&gt;1,"",AVERAGEIFS(Clean_Data!$P$2:$P$1001,Clean_Data!$F$2:$F$1001,$F178,Clean_Data!$W$2:$W$1001,$W178,Clean_Data!$V$2:$V$1001,1))</f>
        <v>112.071428571429</v>
      </c>
      <c r="AM178" s="16">
        <f>IF($V178&lt;&gt;1,"",IFERROR(($P178-$AL178)/SQRT(MAX(0,(SUMIFS(Clean_Data!$AK$2:$AK$1001,Clean_Data!$F$2:$F$1001,$F178,Clean_Data!$W$2:$W$1001,$W178,Clean_Data!$V$2:$V$1001,1)-COUNTIFS(Clean_Data!$F$2:$F$1001,$F178,Clean_Data!$W$2:$W$1001,$W178,Clean_Data!$V$2:$V$1001,1)*$AL178^2)/(COUNTIFS(Clean_Data!$F$2:$F$1001,$F178,Clean_Data!$W$2:$W$1001,$W178,Clean_Data!$V$2:$V$1001,1)-1))),""))</f>
        <v>-0.98530359785612</v>
      </c>
      <c r="AN178" s="5" t="str">
        <f>IF($AM178="","",IF($AM178&gt;=Lookups!$K$6,"High spike",IF($AM178&lt;=-Lookups!$K$6,"Unusual low","Normal")))</f>
        <v>Normal</v>
      </c>
      <c r="AO178" s="20">
        <f>IF($V178&lt;&gt;1,"",$P178+ROW()/100000)</f>
        <v>74.00178</v>
      </c>
      <c r="AP178" s="5">
        <f>IF($A178="","",IFERROR(MATCH($A178,Raw_D1!$A$2:$A$1001,0),""))</f>
        <v>177</v>
      </c>
      <c r="AQ178" s="5">
        <f>IF($A178="","",IFERROR(MATCH($A178,Raw_D2!$B$2:$B$1001,0),""))</f>
        <v>177</v>
      </c>
      <c r="AR178" s="5">
        <f>IF($A178="","",IFERROR(MATCH($A178,Raw_D3!$A$2:$A$1001,0),""))</f>
        <v/>
      </c>
    </row>
    <row r="179" spans="1:44" x14ac:dyDescent="0.25">
      <c r="A179" s="5">
        <v>178</v>
      </c>
      <c r="B179" s="11">
        <f>IF($A179="","",IF($AP179&lt;&gt;"",INDEX(Raw_D1!$B$2:$B$1001,$AP179),IF($AR179&lt;&gt;"",INDEX(Raw_D3!$B$2:$B$1001,$AR179),"")))</f>
        <v>40551.0</v>
      </c>
      <c r="C179" s="5">
        <f>IF($A179="","",IF($AP179&lt;&gt;"",INDEX(Raw_D1!$C$2:$C$1001,$AP179),IF($AR179&lt;&gt;"",INDEX(Raw_D3!$C$2:$C$1001,$AR179),"")))</f>
        <v>1</v>
      </c>
      <c r="D179" s="5">
        <f>IF($A179="","",IF($AP179&lt;&gt;"",INDEX(Raw_D1!$D$2:$D$1001,$AP179),IF($AR179&lt;&gt;"",INDEX(Raw_D3!$D$2:$D$1001,$AR179),"")))</f>
        <v>0</v>
      </c>
      <c r="E179" s="5">
        <f>IF($A179="","",IF($AP179&lt;&gt;"",INDEX(Raw_D1!$E$2:$E$1001,$AP179),IF($AR179&lt;&gt;"",INDEX(Raw_D3!$E$2:$E$1001,$AR179),"")))</f>
        <v>1</v>
      </c>
      <c r="F179" s="5">
        <f>IF($A179="","",IF($AP179&lt;&gt;"",INDEX(Raw_D1!$F$2:$F$1001,$AP179),IF($AR179&lt;&gt;"",INDEX(Raw_D3!$F$2:$F$1001,$AR179),"")))</f>
        <v>16</v>
      </c>
      <c r="G179" s="5">
        <f>IF($A179="","",IF($AP179&lt;&gt;"",IF(INDEX(Raw_D1!$G$2:$G$1001,$AP179),1,0),IF($AR179&lt;&gt;"",IF(INDEX(Raw_D3!$G$2:$G$1001,$AR179),1,0),"")))</f>
        <v>0</v>
      </c>
      <c r="H179" s="5">
        <f>IF($A179="","",IF($AP179&lt;&gt;"",INDEX(Raw_D1!$H$2:$H$1001,$AP179),IF($AR179&lt;&gt;"",INDEX(Raw_D3!$H$2:$H$1001,$AR179),"")))</f>
        <v>6</v>
      </c>
      <c r="I179" s="5">
        <f>IF($A179="","",IF($AP179&lt;&gt;"",INDEX(Raw_D1!$I$2:$I$1001,$AP179),IF($AR179&lt;&gt;"",INDEX(Raw_D3!$I$2:$I$1001,$AR179),"")))</f>
        <v>1</v>
      </c>
      <c r="J179" s="16">
        <f>IF($A179="","",IF($AP179&lt;&gt;"",INDEX(Raw_D1!$J$2:$J$1001,$AP179),IF($AR179&lt;&gt;"",INDEX(Raw_D3!$J$2:$J$1001,$AR179),"")))</f>
        <v>0.18</v>
      </c>
      <c r="K179" s="17">
        <f>IF($A179="","",IF($AQ179&lt;&gt;"",IF(INDEX(Raw_D2!$C$2:$C$1001,$AQ179)="","",INDEX(Raw_D2!$C$2:$C$1001,$AQ179)),IF($AR179&lt;&gt;"",IF(INDEX(Raw_D3!$K$2:$K$1001,$AR179)="","",INDEX(Raw_D3!$K$2:$K$1001,$AR179)),"")))</f>
        <v>0.1364</v>
      </c>
      <c r="L179" s="16">
        <f>IF($A179="","",IF($AQ179&lt;&gt;"",IF(INDEX(Raw_D2!$D$2:$D$1001,$AQ179)="","",INDEX(Raw_D2!$D$2:$D$1001,$AQ179)),IF($AR179&lt;&gt;"",IF(INDEX(Raw_D3!$L$2:$L$1001,$AR179)="","",INDEX(Raw_D3!$L$2:$L$1001,$AR179)),"")))</f>
        <v>0.29</v>
      </c>
      <c r="M179" s="17">
        <f>IF($A179="","",IF($AQ179&lt;&gt;"",IF(INDEX(Raw_D2!$E$2:$E$1001,$AQ179)="","",INDEX(Raw_D2!$E$2:$E$1001,$AQ179)),IF($AR179&lt;&gt;"",IF(INDEX(Raw_D3!$M$2:$M$1001,$AR179)="","",INDEX(Raw_D3!$M$2:$M$1001,$AR179)),"")))</f>
        <v>0.4478</v>
      </c>
      <c r="N179" s="5">
        <f>IF($A179="","",IF($AQ179&lt;&gt;"",IF(INDEX(Raw_D2!$F$2:$F$1001,$AQ179)="","",INDEX(Raw_D2!$F$2:$F$1001,$AQ179)),IF($AR179&lt;&gt;"",IF(INDEX(Raw_D3!$N$2:$N$1001,$AR179)="","",INDEX(Raw_D3!$N$2:$N$1001,$AR179)),"")))</f>
        <v>8</v>
      </c>
      <c r="O179" s="5">
        <f>IF($A179="","",IF($AQ179&lt;&gt;"",IF(INDEX(Raw_D2!$G$2:$G$1001,$AQ179)="","",INDEX(Raw_D2!$G$2:$G$1001,$AQ179)),IF($AR179&lt;&gt;"",IF(INDEX(Raw_D3!$O$2:$O$1001,$AR179)="","",INDEX(Raw_D3!$O$2:$O$1001,$AR179)),"")))</f>
        <v>68</v>
      </c>
      <c r="P179" s="5">
        <f>IF($A179="","",IF($AQ179&lt;&gt;"",IF(INDEX(Raw_D2!$H$2:$H$1001,$AQ179)="","",INDEX(Raw_D2!$H$2:$H$1001,$AQ179)),IF($AR179&lt;&gt;"",IF(INDEX(Raw_D3!$P$2:$P$1001,$AR179)="","",INDEX(Raw_D3!$P$2:$P$1001,$AR179)),"")))</f>
        <v>76</v>
      </c>
      <c r="Q179" s="5" t="str">
        <f>IF($A179="","",IF(AND($AP179&lt;&gt;"",$AQ179&lt;&gt;""),"D1+D2",IF($AR179&lt;&gt;"","D3","Incomplete")))</f>
        <v>D1+D2</v>
      </c>
      <c r="R179" s="17">
        <f>IF($A179="","",IF($K179="",IF($J179="","",ROUND(Lookups!$K$5+Lookups!$K$4*$J179,4)),$K179))</f>
        <v>0.1364</v>
      </c>
      <c r="S179" s="5" t="str">
        <f>IF($A179="","",IF($K179="","Imputed","Original"))</f>
        <v>Original</v>
      </c>
      <c r="T179" s="5" t="str">
        <f>IF($A179="","",IF($P179="","Missing",IF($P179=$N179+$O179,"OK","Mismatch")))</f>
        <v>OK</v>
      </c>
      <c r="U179" s="5" t="str">
        <f>IF($A179="","",IF(COUNTIF($A$2:$A179,$A179)&gt;1,"Duplicate","Unique"))</f>
        <v>Unique</v>
      </c>
      <c r="V179" s="5">
        <f>IF($A179="","",IF(AND($U179="Unique",ISNUMBER($P179)),1,0))</f>
        <v>1</v>
      </c>
      <c r="W179" s="5" t="str">
        <f>IF($A179="","",IF(OR($H179=0,$H179=6),"Weekend","Weekday"))</f>
        <v>Weekend</v>
      </c>
      <c r="X179" s="5" t="str">
        <f>IF($A179="","",TEXT($B179,"ddd"))</f>
        <v>Sat</v>
      </c>
      <c r="Y179" s="5" t="str">
        <f>IF($A179="","",TEXT($B179,"mmm"))</f>
        <v>Jan</v>
      </c>
      <c r="Z179" s="5" t="str">
        <f>IF($A179="","",IFERROR(VLOOKUP($C179,Lookups!$D$4:$E$7,2,FALSE),"Unknown"))</f>
        <v>Winter</v>
      </c>
      <c r="AA179" s="5" t="str">
        <f>IF($A179="","",IFERROR(VLOOKUP($I179,Lookups!$A$4:$B$7,2,FALSE),"Unknown"))</f>
        <v>Clear</v>
      </c>
      <c r="AB179" s="5" t="str">
        <f>IF($A179="","",TEXT($F179,"00")&amp;":00")</f>
        <v>16:00</v>
      </c>
      <c r="AC179" s="5" t="str">
        <f>IF($A179="","",VLOOKUP($F179,Lookups!$G$4:$H$8,2,TRUE))</f>
        <v>Evening Peak (16-19)</v>
      </c>
      <c r="AD179" s="18">
        <f>IF($A179="","",IF($J179="","",ROUND($J179*41,1)))</f>
        <v>7.4</v>
      </c>
      <c r="AE179" s="18">
        <f>IF($A179="","",IF($R179="","",ROUND($R179*50,1)))</f>
        <v>6.8</v>
      </c>
      <c r="AF179" s="5">
        <f>IF($A179="","",IF($L179="","",ROUND($L179*100,0)))</f>
        <v>29</v>
      </c>
      <c r="AG179" s="18">
        <f>IF($A179="","",IF($M179="","",ROUND($M179*67,1)))</f>
        <v>30</v>
      </c>
      <c r="AH179" s="19">
        <f>IF($A179="","",IF($P179="","",IF($P179=0,0,$O179/$P179)))</f>
        <v>0.894736842105263</v>
      </c>
      <c r="AI179" s="5" t="str">
        <f>IF($A179="","",IF($P179="","",IF($P179&gt;=Lookups!$K$7,"High",IF($P179&lt;=Lookups!$K$8,"Low","Medium"))))</f>
        <v>Medium</v>
      </c>
      <c r="AJ179" s="5" t="str">
        <f>IF($A179="","",IF($AD179="","",IF($AD179&lt;5,"Under 5 C",IF($AD179&lt;10,"5-10 C",IF($AD179&lt;15,"10-15 C","15 C and above")))))</f>
        <v>5-10 C</v>
      </c>
      <c r="AK179" s="5">
        <f>IF($A179="","",IF($P179="","",$P179^2))</f>
        <v>5776</v>
      </c>
      <c r="AL179" s="18">
        <f>IF($V179&lt;&gt;1,"",AVERAGEIFS(Clean_Data!$P$2:$P$1001,Clean_Data!$F$2:$F$1001,$F179,Clean_Data!$W$2:$W$1001,$W179,Clean_Data!$V$2:$V$1001,1))</f>
        <v>103.5</v>
      </c>
      <c r="AM179" s="16">
        <f>IF($V179&lt;&gt;1,"",IFERROR(($P179-$AL179)/SQRT(MAX(0,(SUMIFS(Clean_Data!$AK$2:$AK$1001,Clean_Data!$F$2:$F$1001,$F179,Clean_Data!$W$2:$W$1001,$W179,Clean_Data!$V$2:$V$1001,1)-COUNTIFS(Clean_Data!$F$2:$F$1001,$F179,Clean_Data!$W$2:$W$1001,$W179,Clean_Data!$V$2:$V$1001,1)*$AL179^2)/(COUNTIFS(Clean_Data!$F$2:$F$1001,$F179,Clean_Data!$W$2:$W$1001,$W179,Clean_Data!$V$2:$V$1001,1)-1))),""))</f>
        <v>-0.935173598720001</v>
      </c>
      <c r="AN179" s="5" t="str">
        <f>IF($AM179="","",IF($AM179&gt;=Lookups!$K$6,"High spike",IF($AM179&lt;=-Lookups!$K$6,"Unusual low","Normal")))</f>
        <v>Normal</v>
      </c>
      <c r="AO179" s="20">
        <f>IF($V179&lt;&gt;1,"",$P179+ROW()/100000)</f>
        <v>76.00179</v>
      </c>
      <c r="AP179" s="5">
        <f>IF($A179="","",IFERROR(MATCH($A179,Raw_D1!$A$2:$A$1001,0),""))</f>
        <v>178</v>
      </c>
      <c r="AQ179" s="5">
        <f>IF($A179="","",IFERROR(MATCH($A179,Raw_D2!$B$2:$B$1001,0),""))</f>
        <v>178</v>
      </c>
      <c r="AR179" s="5">
        <f>IF($A179="","",IFERROR(MATCH($A179,Raw_D3!$A$2:$A$1001,0),""))</f>
        <v/>
      </c>
    </row>
    <row r="180" spans="1:44" x14ac:dyDescent="0.25">
      <c r="A180" s="5">
        <v>179</v>
      </c>
      <c r="B180" s="11">
        <f>IF($A180="","",IF($AP180&lt;&gt;"",INDEX(Raw_D1!$B$2:$B$1001,$AP180),IF($AR180&lt;&gt;"",INDEX(Raw_D3!$B$2:$B$1001,$AR180),"")))</f>
        <v>40551.0</v>
      </c>
      <c r="C180" s="5">
        <f>IF($A180="","",IF($AP180&lt;&gt;"",INDEX(Raw_D1!$C$2:$C$1001,$AP180),IF($AR180&lt;&gt;"",INDEX(Raw_D3!$C$2:$C$1001,$AR180),"")))</f>
        <v>1</v>
      </c>
      <c r="D180" s="5">
        <f>IF($A180="","",IF($AP180&lt;&gt;"",INDEX(Raw_D1!$D$2:$D$1001,$AP180),IF($AR180&lt;&gt;"",INDEX(Raw_D3!$D$2:$D$1001,$AR180),"")))</f>
        <v>0</v>
      </c>
      <c r="E180" s="5">
        <f>IF($A180="","",IF($AP180&lt;&gt;"",INDEX(Raw_D1!$E$2:$E$1001,$AP180),IF($AR180&lt;&gt;"",INDEX(Raw_D3!$E$2:$E$1001,$AR180),"")))</f>
        <v>1</v>
      </c>
      <c r="F180" s="5">
        <f>IF($A180="","",IF($AP180&lt;&gt;"",INDEX(Raw_D1!$F$2:$F$1001,$AP180),IF($AR180&lt;&gt;"",INDEX(Raw_D3!$F$2:$F$1001,$AR180),"")))</f>
        <v>17</v>
      </c>
      <c r="G180" s="5">
        <f>IF($A180="","",IF($AP180&lt;&gt;"",IF(INDEX(Raw_D1!$G$2:$G$1001,$AP180),1,0),IF($AR180&lt;&gt;"",IF(INDEX(Raw_D3!$G$2:$G$1001,$AR180),1,0),"")))</f>
        <v>0</v>
      </c>
      <c r="H180" s="5">
        <f>IF($A180="","",IF($AP180&lt;&gt;"",INDEX(Raw_D1!$H$2:$H$1001,$AP180),IF($AR180&lt;&gt;"",INDEX(Raw_D3!$H$2:$H$1001,$AR180),"")))</f>
        <v>6</v>
      </c>
      <c r="I180" s="5">
        <f>IF($A180="","",IF($AP180&lt;&gt;"",INDEX(Raw_D1!$I$2:$I$1001,$AP180),IF($AR180&lt;&gt;"",INDEX(Raw_D3!$I$2:$I$1001,$AR180),"")))</f>
        <v>1</v>
      </c>
      <c r="J180" s="16">
        <f>IF($A180="","",IF($AP180&lt;&gt;"",INDEX(Raw_D1!$J$2:$J$1001,$AP180),IF($AR180&lt;&gt;"",INDEX(Raw_D3!$J$2:$J$1001,$AR180),"")))</f>
        <v>0.16</v>
      </c>
      <c r="K180" s="17">
        <f>IF($A180="","",IF($AQ180&lt;&gt;"",IF(INDEX(Raw_D2!$C$2:$C$1001,$AQ180)="","",INDEX(Raw_D2!$C$2:$C$1001,$AQ180)),IF($AR180&lt;&gt;"",IF(INDEX(Raw_D3!$K$2:$K$1001,$AR180)="","",INDEX(Raw_D3!$K$2:$K$1001,$AR180)),"")))</f>
        <v>0.1212</v>
      </c>
      <c r="L180" s="16">
        <f>IF($A180="","",IF($AQ180&lt;&gt;"",IF(INDEX(Raw_D2!$D$2:$D$1001,$AQ180)="","",INDEX(Raw_D2!$D$2:$D$1001,$AQ180)),IF($AR180&lt;&gt;"",IF(INDEX(Raw_D3!$L$2:$L$1001,$AR180)="","",INDEX(Raw_D3!$L$2:$L$1001,$AR180)),"")))</f>
        <v>0.37</v>
      </c>
      <c r="M180" s="17">
        <f>IF($A180="","",IF($AQ180&lt;&gt;"",IF(INDEX(Raw_D2!$E$2:$E$1001,$AQ180)="","",INDEX(Raw_D2!$E$2:$E$1001,$AQ180)),IF($AR180&lt;&gt;"",IF(INDEX(Raw_D3!$M$2:$M$1001,$AR180)="","",INDEX(Raw_D3!$M$2:$M$1001,$AR180)),"")))</f>
        <v>0.5522</v>
      </c>
      <c r="N180" s="5">
        <f>IF($A180="","",IF($AQ180&lt;&gt;"",IF(INDEX(Raw_D2!$F$2:$F$1001,$AQ180)="","",INDEX(Raw_D2!$F$2:$F$1001,$AQ180)),IF($AR180&lt;&gt;"",IF(INDEX(Raw_D3!$N$2:$N$1001,$AR180)="","",INDEX(Raw_D3!$N$2:$N$1001,$AR180)),"")))</f>
        <v>5</v>
      </c>
      <c r="O180" s="5">
        <f>IF($A180="","",IF($AQ180&lt;&gt;"",IF(INDEX(Raw_D2!$G$2:$G$1001,$AQ180)="","",INDEX(Raw_D2!$G$2:$G$1001,$AQ180)),IF($AR180&lt;&gt;"",IF(INDEX(Raw_D3!$O$2:$O$1001,$AR180)="","",INDEX(Raw_D3!$O$2:$O$1001,$AR180)),"")))</f>
        <v>64</v>
      </c>
      <c r="P180" s="5">
        <f>IF($A180="","",IF($AQ180&lt;&gt;"",IF(INDEX(Raw_D2!$H$2:$H$1001,$AQ180)="","",INDEX(Raw_D2!$H$2:$H$1001,$AQ180)),IF($AR180&lt;&gt;"",IF(INDEX(Raw_D3!$P$2:$P$1001,$AR180)="","",INDEX(Raw_D3!$P$2:$P$1001,$AR180)),"")))</f>
        <v>69</v>
      </c>
      <c r="Q180" s="5" t="str">
        <f>IF($A180="","",IF(AND($AP180&lt;&gt;"",$AQ180&lt;&gt;""),"D1+D2",IF($AR180&lt;&gt;"","D3","Incomplete")))</f>
        <v>D1+D2</v>
      </c>
      <c r="R180" s="17">
        <f>IF($A180="","",IF($K180="",IF($J180="","",ROUND(Lookups!$K$5+Lookups!$K$4*$J180,4)),$K180))</f>
        <v>0.1212</v>
      </c>
      <c r="S180" s="5" t="str">
        <f>IF($A180="","",IF($K180="","Imputed","Original"))</f>
        <v>Original</v>
      </c>
      <c r="T180" s="5" t="str">
        <f>IF($A180="","",IF($P180="","Missing",IF($P180=$N180+$O180,"OK","Mismatch")))</f>
        <v>OK</v>
      </c>
      <c r="U180" s="5" t="str">
        <f>IF($A180="","",IF(COUNTIF($A$2:$A180,$A180)&gt;1,"Duplicate","Unique"))</f>
        <v>Unique</v>
      </c>
      <c r="V180" s="5">
        <f>IF($A180="","",IF(AND($U180="Unique",ISNUMBER($P180)),1,0))</f>
        <v>1</v>
      </c>
      <c r="W180" s="5" t="str">
        <f>IF($A180="","",IF(OR($H180=0,$H180=6),"Weekend","Weekday"))</f>
        <v>Weekend</v>
      </c>
      <c r="X180" s="5" t="str">
        <f>IF($A180="","",TEXT($B180,"ddd"))</f>
        <v>Sat</v>
      </c>
      <c r="Y180" s="5" t="str">
        <f>IF($A180="","",TEXT($B180,"mmm"))</f>
        <v>Jan</v>
      </c>
      <c r="Z180" s="5" t="str">
        <f>IF($A180="","",IFERROR(VLOOKUP($C180,Lookups!$D$4:$E$7,2,FALSE),"Unknown"))</f>
        <v>Winter</v>
      </c>
      <c r="AA180" s="5" t="str">
        <f>IF($A180="","",IFERROR(VLOOKUP($I180,Lookups!$A$4:$B$7,2,FALSE),"Unknown"))</f>
        <v>Clear</v>
      </c>
      <c r="AB180" s="5" t="str">
        <f>IF($A180="","",TEXT($F180,"00")&amp;":00")</f>
        <v>17:00</v>
      </c>
      <c r="AC180" s="5" t="str">
        <f>IF($A180="","",VLOOKUP($F180,Lookups!$G$4:$H$8,2,TRUE))</f>
        <v>Evening Peak (16-19)</v>
      </c>
      <c r="AD180" s="18">
        <f>IF($A180="","",IF($J180="","",ROUND($J180*41,1)))</f>
        <v>6.6</v>
      </c>
      <c r="AE180" s="18">
        <f>IF($A180="","",IF($R180="","",ROUND($R180*50,1)))</f>
        <v>6.1</v>
      </c>
      <c r="AF180" s="5">
        <f>IF($A180="","",IF($L180="","",ROUND($L180*100,0)))</f>
        <v>37</v>
      </c>
      <c r="AG180" s="18">
        <f>IF($A180="","",IF($M180="","",ROUND($M180*67,1)))</f>
        <v>37</v>
      </c>
      <c r="AH180" s="19">
        <f>IF($A180="","",IF($P180="","",IF($P180=0,0,$O180/$P180)))</f>
        <v>0.927536231884058</v>
      </c>
      <c r="AI180" s="5" t="str">
        <f>IF($A180="","",IF($P180="","",IF($P180&gt;=Lookups!$K$7,"High",IF($P180&lt;=Lookups!$K$8,"Low","Medium"))))</f>
        <v>Medium</v>
      </c>
      <c r="AJ180" s="5" t="str">
        <f>IF($A180="","",IF($AD180="","",IF($AD180&lt;5,"Under 5 C",IF($AD180&lt;10,"5-10 C",IF($AD180&lt;15,"10-15 C","15 C and above")))))</f>
        <v>5-10 C</v>
      </c>
      <c r="AK180" s="5">
        <f>IF($A180="","",IF($P180="","",$P180^2))</f>
        <v>4761</v>
      </c>
      <c r="AL180" s="18">
        <f>IF($V180&lt;&gt;1,"",AVERAGEIFS(Clean_Data!$P$2:$P$1001,Clean_Data!$F$2:$F$1001,$F180,Clean_Data!$W$2:$W$1001,$W180,Clean_Data!$V$2:$V$1001,1))</f>
        <v>85.8571428571429</v>
      </c>
      <c r="AM180" s="16">
        <f>IF($V180&lt;&gt;1,"",IFERROR(($P180-$AL180)/SQRT(MAX(0,(SUMIFS(Clean_Data!$AK$2:$AK$1001,Clean_Data!$F$2:$F$1001,$F180,Clean_Data!$W$2:$W$1001,$W180,Clean_Data!$V$2:$V$1001,1)-COUNTIFS(Clean_Data!$F$2:$F$1001,$F180,Clean_Data!$W$2:$W$1001,$W180,Clean_Data!$V$2:$V$1001,1)*$AL180^2)/(COUNTIFS(Clean_Data!$F$2:$F$1001,$F180,Clean_Data!$W$2:$W$1001,$W180,Clean_Data!$V$2:$V$1001,1)-1))),""))</f>
        <v>-0.645140024912452</v>
      </c>
      <c r="AN180" s="5" t="str">
        <f>IF($AM180="","",IF($AM180&gt;=Lookups!$K$6,"High spike",IF($AM180&lt;=-Lookups!$K$6,"Unusual low","Normal")))</f>
        <v>Normal</v>
      </c>
      <c r="AO180" s="20">
        <f>IF($V180&lt;&gt;1,"",$P180+ROW()/100000)</f>
        <v>69.0018</v>
      </c>
      <c r="AP180" s="5">
        <f>IF($A180="","",IFERROR(MATCH($A180,Raw_D1!$A$2:$A$1001,0),""))</f>
        <v>179</v>
      </c>
      <c r="AQ180" s="5">
        <f>IF($A180="","",IFERROR(MATCH($A180,Raw_D2!$B$2:$B$1001,0),""))</f>
        <v>179</v>
      </c>
      <c r="AR180" s="5">
        <f>IF($A180="","",IFERROR(MATCH($A180,Raw_D3!$A$2:$A$1001,0),""))</f>
        <v/>
      </c>
    </row>
    <row r="181" spans="1:44" x14ac:dyDescent="0.25">
      <c r="A181" s="5">
        <v>180</v>
      </c>
      <c r="B181" s="11">
        <f>IF($A181="","",IF($AP181&lt;&gt;"",INDEX(Raw_D1!$B$2:$B$1001,$AP181),IF($AR181&lt;&gt;"",INDEX(Raw_D3!$B$2:$B$1001,$AR181),"")))</f>
        <v>40551.0</v>
      </c>
      <c r="C181" s="5">
        <f>IF($A181="","",IF($AP181&lt;&gt;"",INDEX(Raw_D1!$C$2:$C$1001,$AP181),IF($AR181&lt;&gt;"",INDEX(Raw_D3!$C$2:$C$1001,$AR181),"")))</f>
        <v>1</v>
      </c>
      <c r="D181" s="5">
        <f>IF($A181="","",IF($AP181&lt;&gt;"",INDEX(Raw_D1!$D$2:$D$1001,$AP181),IF($AR181&lt;&gt;"",INDEX(Raw_D3!$D$2:$D$1001,$AR181),"")))</f>
        <v>0</v>
      </c>
      <c r="E181" s="5">
        <f>IF($A181="","",IF($AP181&lt;&gt;"",INDEX(Raw_D1!$E$2:$E$1001,$AP181),IF($AR181&lt;&gt;"",INDEX(Raw_D3!$E$2:$E$1001,$AR181),"")))</f>
        <v>1</v>
      </c>
      <c r="F181" s="5">
        <f>IF($A181="","",IF($AP181&lt;&gt;"",INDEX(Raw_D1!$F$2:$F$1001,$AP181),IF($AR181&lt;&gt;"",INDEX(Raw_D3!$F$2:$F$1001,$AR181),"")))</f>
        <v>18</v>
      </c>
      <c r="G181" s="5">
        <f>IF($A181="","",IF($AP181&lt;&gt;"",IF(INDEX(Raw_D1!$G$2:$G$1001,$AP181),1,0),IF($AR181&lt;&gt;"",IF(INDEX(Raw_D3!$G$2:$G$1001,$AR181),1,0),"")))</f>
        <v>0</v>
      </c>
      <c r="H181" s="5">
        <f>IF($A181="","",IF($AP181&lt;&gt;"",INDEX(Raw_D1!$H$2:$H$1001,$AP181),IF($AR181&lt;&gt;"",INDEX(Raw_D3!$H$2:$H$1001,$AR181),"")))</f>
        <v>6</v>
      </c>
      <c r="I181" s="5">
        <f>IF($A181="","",IF($AP181&lt;&gt;"",INDEX(Raw_D1!$I$2:$I$1001,$AP181),IF($AR181&lt;&gt;"",INDEX(Raw_D3!$I$2:$I$1001,$AR181),"")))</f>
        <v>1</v>
      </c>
      <c r="J181" s="16">
        <f>IF($A181="","",IF($AP181&lt;&gt;"",INDEX(Raw_D1!$J$2:$J$1001,$AP181),IF($AR181&lt;&gt;"",INDEX(Raw_D3!$J$2:$J$1001,$AR181),"")))</f>
        <v>0.14</v>
      </c>
      <c r="K181" s="17">
        <f>IF($A181="","",IF($AQ181&lt;&gt;"",IF(INDEX(Raw_D2!$C$2:$C$1001,$AQ181)="","",INDEX(Raw_D2!$C$2:$C$1001,$AQ181)),IF($AR181&lt;&gt;"",IF(INDEX(Raw_D3!$K$2:$K$1001,$AR181)="","",INDEX(Raw_D3!$K$2:$K$1001,$AR181)),"")))</f>
        <v>0.1212</v>
      </c>
      <c r="L181" s="16">
        <f>IF($A181="","",IF($AQ181&lt;&gt;"",IF(INDEX(Raw_D2!$D$2:$D$1001,$AQ181)="","",INDEX(Raw_D2!$D$2:$D$1001,$AQ181)),IF($AR181&lt;&gt;"",IF(INDEX(Raw_D3!$L$2:$L$1001,$AR181)="","",INDEX(Raw_D3!$L$2:$L$1001,$AR181)),"")))</f>
        <v>0.39</v>
      </c>
      <c r="M181" s="17">
        <f>IF($A181="","",IF($AQ181&lt;&gt;"",IF(INDEX(Raw_D2!$E$2:$E$1001,$AQ181)="","",INDEX(Raw_D2!$E$2:$E$1001,$AQ181)),IF($AR181&lt;&gt;"",IF(INDEX(Raw_D3!$M$2:$M$1001,$AR181)="","",INDEX(Raw_D3!$M$2:$M$1001,$AR181)),"")))</f>
        <v>0.2985</v>
      </c>
      <c r="N181" s="5">
        <f>IF($A181="","",IF($AQ181&lt;&gt;"",IF(INDEX(Raw_D2!$F$2:$F$1001,$AQ181)="","",INDEX(Raw_D2!$F$2:$F$1001,$AQ181)),IF($AR181&lt;&gt;"",IF(INDEX(Raw_D3!$N$2:$N$1001,$AR181)="","",INDEX(Raw_D3!$N$2:$N$1001,$AR181)),"")))</f>
        <v>3</v>
      </c>
      <c r="O181" s="5">
        <f>IF($A181="","",IF($AQ181&lt;&gt;"",IF(INDEX(Raw_D2!$G$2:$G$1001,$AQ181)="","",INDEX(Raw_D2!$G$2:$G$1001,$AQ181)),IF($AR181&lt;&gt;"",IF(INDEX(Raw_D3!$O$2:$O$1001,$AR181)="","",INDEX(Raw_D3!$O$2:$O$1001,$AR181)),"")))</f>
        <v>52</v>
      </c>
      <c r="P181" s="5">
        <f>IF($A181="","",IF($AQ181&lt;&gt;"",IF(INDEX(Raw_D2!$H$2:$H$1001,$AQ181)="","",INDEX(Raw_D2!$H$2:$H$1001,$AQ181)),IF($AR181&lt;&gt;"",IF(INDEX(Raw_D3!$P$2:$P$1001,$AR181)="","",INDEX(Raw_D3!$P$2:$P$1001,$AR181)),"")))</f>
        <v>55</v>
      </c>
      <c r="Q181" s="5" t="str">
        <f>IF($A181="","",IF(AND($AP181&lt;&gt;"",$AQ181&lt;&gt;""),"D1+D2",IF($AR181&lt;&gt;"","D3","Incomplete")))</f>
        <v>D1+D2</v>
      </c>
      <c r="R181" s="17">
        <f>IF($A181="","",IF($K181="",IF($J181="","",ROUND(Lookups!$K$5+Lookups!$K$4*$J181,4)),$K181))</f>
        <v>0.1212</v>
      </c>
      <c r="S181" s="5" t="str">
        <f>IF($A181="","",IF($K181="","Imputed","Original"))</f>
        <v>Original</v>
      </c>
      <c r="T181" s="5" t="str">
        <f>IF($A181="","",IF($P181="","Missing",IF($P181=$N181+$O181,"OK","Mismatch")))</f>
        <v>OK</v>
      </c>
      <c r="U181" s="5" t="str">
        <f>IF($A181="","",IF(COUNTIF($A$2:$A181,$A181)&gt;1,"Duplicate","Unique"))</f>
        <v>Unique</v>
      </c>
      <c r="V181" s="5">
        <f>IF($A181="","",IF(AND($U181="Unique",ISNUMBER($P181)),1,0))</f>
        <v>1</v>
      </c>
      <c r="W181" s="5" t="str">
        <f>IF($A181="","",IF(OR($H181=0,$H181=6),"Weekend","Weekday"))</f>
        <v>Weekend</v>
      </c>
      <c r="X181" s="5" t="str">
        <f>IF($A181="","",TEXT($B181,"ddd"))</f>
        <v>Sat</v>
      </c>
      <c r="Y181" s="5" t="str">
        <f>IF($A181="","",TEXT($B181,"mmm"))</f>
        <v>Jan</v>
      </c>
      <c r="Z181" s="5" t="str">
        <f>IF($A181="","",IFERROR(VLOOKUP($C181,Lookups!$D$4:$E$7,2,FALSE),"Unknown"))</f>
        <v>Winter</v>
      </c>
      <c r="AA181" s="5" t="str">
        <f>IF($A181="","",IFERROR(VLOOKUP($I181,Lookups!$A$4:$B$7,2,FALSE),"Unknown"))</f>
        <v>Clear</v>
      </c>
      <c r="AB181" s="5" t="str">
        <f>IF($A181="","",TEXT($F181,"00")&amp;":00")</f>
        <v>18:00</v>
      </c>
      <c r="AC181" s="5" t="str">
        <f>IF($A181="","",VLOOKUP($F181,Lookups!$G$4:$H$8,2,TRUE))</f>
        <v>Evening Peak (16-19)</v>
      </c>
      <c r="AD181" s="18">
        <f>IF($A181="","",IF($J181="","",ROUND($J181*41,1)))</f>
        <v>5.7</v>
      </c>
      <c r="AE181" s="18">
        <f>IF($A181="","",IF($R181="","",ROUND($R181*50,1)))</f>
        <v>6.1</v>
      </c>
      <c r="AF181" s="5">
        <f>IF($A181="","",IF($L181="","",ROUND($L181*100,0)))</f>
        <v>39</v>
      </c>
      <c r="AG181" s="18">
        <f>IF($A181="","",IF($M181="","",ROUND($M181*67,1)))</f>
        <v>20</v>
      </c>
      <c r="AH181" s="19">
        <f>IF($A181="","",IF($P181="","",IF($P181=0,0,$O181/$P181)))</f>
        <v>0.945454545454545</v>
      </c>
      <c r="AI181" s="5" t="str">
        <f>IF($A181="","",IF($P181="","",IF($P181&gt;=Lookups!$K$7,"High",IF($P181&lt;=Lookups!$K$8,"Low","Medium"))))</f>
        <v>Medium</v>
      </c>
      <c r="AJ181" s="5" t="str">
        <f>IF($A181="","",IF($AD181="","",IF($AD181&lt;5,"Under 5 C",IF($AD181&lt;10,"5-10 C",IF($AD181&lt;15,"10-15 C","15 C and above")))))</f>
        <v>5-10 C</v>
      </c>
      <c r="AK181" s="5">
        <f>IF($A181="","",IF($P181="","",$P181^2))</f>
        <v>3025</v>
      </c>
      <c r="AL181" s="18">
        <f>IF($V181&lt;&gt;1,"",AVERAGEIFS(Clean_Data!$P$2:$P$1001,Clean_Data!$F$2:$F$1001,$F181,Clean_Data!$W$2:$W$1001,$W181,Clean_Data!$V$2:$V$1001,1))</f>
        <v>64.1428571428571</v>
      </c>
      <c r="AM181" s="16">
        <f>IF($V181&lt;&gt;1,"",IFERROR(($P181-$AL181)/SQRT(MAX(0,(SUMIFS(Clean_Data!$AK$2:$AK$1001,Clean_Data!$F$2:$F$1001,$F181,Clean_Data!$W$2:$W$1001,$W181,Clean_Data!$V$2:$V$1001,1)-COUNTIFS(Clean_Data!$F$2:$F$1001,$F181,Clean_Data!$W$2:$W$1001,$W181,Clean_Data!$V$2:$V$1001,1)*$AL181^2)/(COUNTIFS(Clean_Data!$F$2:$F$1001,$F181,Clean_Data!$W$2:$W$1001,$W181,Clean_Data!$V$2:$V$1001,1)-1))),""))</f>
        <v>-0.551897690171937</v>
      </c>
      <c r="AN181" s="5" t="str">
        <f>IF($AM181="","",IF($AM181&gt;=Lookups!$K$6,"High spike",IF($AM181&lt;=-Lookups!$K$6,"Unusual low","Normal")))</f>
        <v>Normal</v>
      </c>
      <c r="AO181" s="20">
        <f>IF($V181&lt;&gt;1,"",$P181+ROW()/100000)</f>
        <v>55.00181</v>
      </c>
      <c r="AP181" s="5">
        <f>IF($A181="","",IFERROR(MATCH($A181,Raw_D1!$A$2:$A$1001,0),""))</f>
        <v>180</v>
      </c>
      <c r="AQ181" s="5">
        <f>IF($A181="","",IFERROR(MATCH($A181,Raw_D2!$B$2:$B$1001,0),""))</f>
        <v>180</v>
      </c>
      <c r="AR181" s="5">
        <f>IF($A181="","",IFERROR(MATCH($A181,Raw_D3!$A$2:$A$1001,0),""))</f>
        <v/>
      </c>
    </row>
    <row r="182" spans="1:44" x14ac:dyDescent="0.25">
      <c r="A182" s="5">
        <v>181</v>
      </c>
      <c r="B182" s="11">
        <f>IF($A182="","",IF($AP182&lt;&gt;"",INDEX(Raw_D1!$B$2:$B$1001,$AP182),IF($AR182&lt;&gt;"",INDEX(Raw_D3!$B$2:$B$1001,$AR182),"")))</f>
        <v>40551.0</v>
      </c>
      <c r="C182" s="5">
        <f>IF($A182="","",IF($AP182&lt;&gt;"",INDEX(Raw_D1!$C$2:$C$1001,$AP182),IF($AR182&lt;&gt;"",INDEX(Raw_D3!$C$2:$C$1001,$AR182),"")))</f>
        <v>1</v>
      </c>
      <c r="D182" s="5">
        <f>IF($A182="","",IF($AP182&lt;&gt;"",INDEX(Raw_D1!$D$2:$D$1001,$AP182),IF($AR182&lt;&gt;"",INDEX(Raw_D3!$D$2:$D$1001,$AR182),"")))</f>
        <v>0</v>
      </c>
      <c r="E182" s="5">
        <f>IF($A182="","",IF($AP182&lt;&gt;"",INDEX(Raw_D1!$E$2:$E$1001,$AP182),IF($AR182&lt;&gt;"",INDEX(Raw_D3!$E$2:$E$1001,$AR182),"")))</f>
        <v>1</v>
      </c>
      <c r="F182" s="5">
        <f>IF($A182="","",IF($AP182&lt;&gt;"",INDEX(Raw_D1!$F$2:$F$1001,$AP182),IF($AR182&lt;&gt;"",INDEX(Raw_D3!$F$2:$F$1001,$AR182),"")))</f>
        <v>19</v>
      </c>
      <c r="G182" s="5">
        <f>IF($A182="","",IF($AP182&lt;&gt;"",IF(INDEX(Raw_D1!$G$2:$G$1001,$AP182),1,0),IF($AR182&lt;&gt;"",IF(INDEX(Raw_D3!$G$2:$G$1001,$AR182),1,0),"")))</f>
        <v>0</v>
      </c>
      <c r="H182" s="5">
        <f>IF($A182="","",IF($AP182&lt;&gt;"",INDEX(Raw_D1!$H$2:$H$1001,$AP182),IF($AR182&lt;&gt;"",INDEX(Raw_D3!$H$2:$H$1001,$AR182),"")))</f>
        <v>6</v>
      </c>
      <c r="I182" s="5">
        <f>IF($A182="","",IF($AP182&lt;&gt;"",INDEX(Raw_D1!$I$2:$I$1001,$AP182),IF($AR182&lt;&gt;"",INDEX(Raw_D3!$I$2:$I$1001,$AR182),"")))</f>
        <v>1</v>
      </c>
      <c r="J182" s="16">
        <f>IF($A182="","",IF($AP182&lt;&gt;"",INDEX(Raw_D1!$J$2:$J$1001,$AP182),IF($AR182&lt;&gt;"",INDEX(Raw_D3!$J$2:$J$1001,$AR182),"")))</f>
        <v>0.14</v>
      </c>
      <c r="K182" s="17">
        <f>IF($A182="","",IF($AQ182&lt;&gt;"",IF(INDEX(Raw_D2!$C$2:$C$1001,$AQ182)="","",INDEX(Raw_D2!$C$2:$C$1001,$AQ182)),IF($AR182&lt;&gt;"",IF(INDEX(Raw_D3!$K$2:$K$1001,$AR182)="","",INDEX(Raw_D3!$K$2:$K$1001,$AR182)),"")))</f>
        <v>0.1212</v>
      </c>
      <c r="L182" s="16">
        <f>IF($A182="","",IF($AQ182&lt;&gt;"",IF(INDEX(Raw_D2!$D$2:$D$1001,$AQ182)="","",INDEX(Raw_D2!$D$2:$D$1001,$AQ182)),IF($AR182&lt;&gt;"",IF(INDEX(Raw_D3!$L$2:$L$1001,$AR182)="","",INDEX(Raw_D3!$L$2:$L$1001,$AR182)),"")))</f>
        <v>0.36</v>
      </c>
      <c r="M182" s="17">
        <f>IF($A182="","",IF($AQ182&lt;&gt;"",IF(INDEX(Raw_D2!$E$2:$E$1001,$AQ182)="","",INDEX(Raw_D2!$E$2:$E$1001,$AQ182)),IF($AR182&lt;&gt;"",IF(INDEX(Raw_D3!$M$2:$M$1001,$AR182)="","",INDEX(Raw_D3!$M$2:$M$1001,$AR182)),"")))</f>
        <v>0.2537</v>
      </c>
      <c r="N182" s="5">
        <f>IF($A182="","",IF($AQ182&lt;&gt;"",IF(INDEX(Raw_D2!$F$2:$F$1001,$AQ182)="","",INDEX(Raw_D2!$F$2:$F$1001,$AQ182)),IF($AR182&lt;&gt;"",IF(INDEX(Raw_D3!$N$2:$N$1001,$AR182)="","",INDEX(Raw_D3!$N$2:$N$1001,$AR182)),"")))</f>
        <v>4</v>
      </c>
      <c r="O182" s="5">
        <f>IF($A182="","",IF($AQ182&lt;&gt;"",IF(INDEX(Raw_D2!$G$2:$G$1001,$AQ182)="","",INDEX(Raw_D2!$G$2:$G$1001,$AQ182)),IF($AR182&lt;&gt;"",IF(INDEX(Raw_D3!$O$2:$O$1001,$AR182)="","",INDEX(Raw_D3!$O$2:$O$1001,$AR182)),"")))</f>
        <v>26</v>
      </c>
      <c r="P182" s="5">
        <f>IF($A182="","",IF($AQ182&lt;&gt;"",IF(INDEX(Raw_D2!$H$2:$H$1001,$AQ182)="","",INDEX(Raw_D2!$H$2:$H$1001,$AQ182)),IF($AR182&lt;&gt;"",IF(INDEX(Raw_D3!$P$2:$P$1001,$AR182)="","",INDEX(Raw_D3!$P$2:$P$1001,$AR182)),"")))</f>
        <v>30</v>
      </c>
      <c r="Q182" s="5" t="str">
        <f>IF($A182="","",IF(AND($AP182&lt;&gt;"",$AQ182&lt;&gt;""),"D1+D2",IF($AR182&lt;&gt;"","D3","Incomplete")))</f>
        <v>D1+D2</v>
      </c>
      <c r="R182" s="17">
        <f>IF($A182="","",IF($K182="",IF($J182="","",ROUND(Lookups!$K$5+Lookups!$K$4*$J182,4)),$K182))</f>
        <v>0.1212</v>
      </c>
      <c r="S182" s="5" t="str">
        <f>IF($A182="","",IF($K182="","Imputed","Original"))</f>
        <v>Original</v>
      </c>
      <c r="T182" s="5" t="str">
        <f>IF($A182="","",IF($P182="","Missing",IF($P182=$N182+$O182,"OK","Mismatch")))</f>
        <v>OK</v>
      </c>
      <c r="U182" s="5" t="str">
        <f>IF($A182="","",IF(COUNTIF($A$2:$A182,$A182)&gt;1,"Duplicate","Unique"))</f>
        <v>Unique</v>
      </c>
      <c r="V182" s="5">
        <f>IF($A182="","",IF(AND($U182="Unique",ISNUMBER($P182)),1,0))</f>
        <v>1</v>
      </c>
      <c r="W182" s="5" t="str">
        <f>IF($A182="","",IF(OR($H182=0,$H182=6),"Weekend","Weekday"))</f>
        <v>Weekend</v>
      </c>
      <c r="X182" s="5" t="str">
        <f>IF($A182="","",TEXT($B182,"ddd"))</f>
        <v>Sat</v>
      </c>
      <c r="Y182" s="5" t="str">
        <f>IF($A182="","",TEXT($B182,"mmm"))</f>
        <v>Jan</v>
      </c>
      <c r="Z182" s="5" t="str">
        <f>IF($A182="","",IFERROR(VLOOKUP($C182,Lookups!$D$4:$E$7,2,FALSE),"Unknown"))</f>
        <v>Winter</v>
      </c>
      <c r="AA182" s="5" t="str">
        <f>IF($A182="","",IFERROR(VLOOKUP($I182,Lookups!$A$4:$B$7,2,FALSE),"Unknown"))</f>
        <v>Clear</v>
      </c>
      <c r="AB182" s="5" t="str">
        <f>IF($A182="","",TEXT($F182,"00")&amp;":00")</f>
        <v>19:00</v>
      </c>
      <c r="AC182" s="5" t="str">
        <f>IF($A182="","",VLOOKUP($F182,Lookups!$G$4:$H$8,2,TRUE))</f>
        <v>Evening Peak (16-19)</v>
      </c>
      <c r="AD182" s="18">
        <f>IF($A182="","",IF($J182="","",ROUND($J182*41,1)))</f>
        <v>5.7</v>
      </c>
      <c r="AE182" s="18">
        <f>IF($A182="","",IF($R182="","",ROUND($R182*50,1)))</f>
        <v>6.1</v>
      </c>
      <c r="AF182" s="5">
        <f>IF($A182="","",IF($L182="","",ROUND($L182*100,0)))</f>
        <v>36</v>
      </c>
      <c r="AG182" s="18">
        <f>IF($A182="","",IF($M182="","",ROUND($M182*67,1)))</f>
        <v>17</v>
      </c>
      <c r="AH182" s="19">
        <f>IF($A182="","",IF($P182="","",IF($P182=0,0,$O182/$P182)))</f>
        <v>0.866666666666667</v>
      </c>
      <c r="AI182" s="5" t="str">
        <f>IF($A182="","",IF($P182="","",IF($P182&gt;=Lookups!$K$7,"High",IF($P182&lt;=Lookups!$K$8,"Low","Medium"))))</f>
        <v>Medium</v>
      </c>
      <c r="AJ182" s="5" t="str">
        <f>IF($A182="","",IF($AD182="","",IF($AD182&lt;5,"Under 5 C",IF($AD182&lt;10,"5-10 C",IF($AD182&lt;15,"10-15 C","15 C and above")))))</f>
        <v>5-10 C</v>
      </c>
      <c r="AK182" s="5">
        <f>IF($A182="","",IF($P182="","",$P182^2))</f>
        <v>900</v>
      </c>
      <c r="AL182" s="18">
        <f>IF($V182&lt;&gt;1,"",AVERAGEIFS(Clean_Data!$P$2:$P$1001,Clean_Data!$F$2:$F$1001,$F182,Clean_Data!$W$2:$W$1001,$W182,Clean_Data!$V$2:$V$1001,1))</f>
        <v>50.1428571428571</v>
      </c>
      <c r="AM182" s="16">
        <f>IF($V182&lt;&gt;1,"",IFERROR(($P182-$AL182)/SQRT(MAX(0,(SUMIFS(Clean_Data!$AK$2:$AK$1001,Clean_Data!$F$2:$F$1001,$F182,Clean_Data!$W$2:$W$1001,$W182,Clean_Data!$V$2:$V$1001,1)-COUNTIFS(Clean_Data!$F$2:$F$1001,$F182,Clean_Data!$W$2:$W$1001,$W182,Clean_Data!$V$2:$V$1001,1)*$AL182^2)/(COUNTIFS(Clean_Data!$F$2:$F$1001,$F182,Clean_Data!$W$2:$W$1001,$W182,Clean_Data!$V$2:$V$1001,1)-1))),""))</f>
        <v>-1.13206180974887</v>
      </c>
      <c r="AN182" s="5" t="str">
        <f>IF($AM182="","",IF($AM182&gt;=Lookups!$K$6,"High spike",IF($AM182&lt;=-Lookups!$K$6,"Unusual low","Normal")))</f>
        <v>Normal</v>
      </c>
      <c r="AO182" s="20">
        <f>IF($V182&lt;&gt;1,"",$P182+ROW()/100000)</f>
        <v>30.00182</v>
      </c>
      <c r="AP182" s="5">
        <f>IF($A182="","",IFERROR(MATCH($A182,Raw_D1!$A$2:$A$1001,0),""))</f>
        <v>181</v>
      </c>
      <c r="AQ182" s="5">
        <f>IF($A182="","",IFERROR(MATCH($A182,Raw_D2!$B$2:$B$1001,0),""))</f>
        <v>181</v>
      </c>
      <c r="AR182" s="5">
        <f>IF($A182="","",IFERROR(MATCH($A182,Raw_D3!$A$2:$A$1001,0),""))</f>
        <v/>
      </c>
    </row>
    <row r="183" spans="1:44" x14ac:dyDescent="0.25">
      <c r="A183" s="5">
        <v>182</v>
      </c>
      <c r="B183" s="11">
        <f>IF($A183="","",IF($AP183&lt;&gt;"",INDEX(Raw_D1!$B$2:$B$1001,$AP183),IF($AR183&lt;&gt;"",INDEX(Raw_D3!$B$2:$B$1001,$AR183),"")))</f>
        <v>40551.0</v>
      </c>
      <c r="C183" s="5">
        <f>IF($A183="","",IF($AP183&lt;&gt;"",INDEX(Raw_D1!$C$2:$C$1001,$AP183),IF($AR183&lt;&gt;"",INDEX(Raw_D3!$C$2:$C$1001,$AR183),"")))</f>
        <v>1</v>
      </c>
      <c r="D183" s="5">
        <f>IF($A183="","",IF($AP183&lt;&gt;"",INDEX(Raw_D1!$D$2:$D$1001,$AP183),IF($AR183&lt;&gt;"",INDEX(Raw_D3!$D$2:$D$1001,$AR183),"")))</f>
        <v>0</v>
      </c>
      <c r="E183" s="5">
        <f>IF($A183="","",IF($AP183&lt;&gt;"",INDEX(Raw_D1!$E$2:$E$1001,$AP183),IF($AR183&lt;&gt;"",INDEX(Raw_D3!$E$2:$E$1001,$AR183),"")))</f>
        <v>1</v>
      </c>
      <c r="F183" s="5">
        <f>IF($A183="","",IF($AP183&lt;&gt;"",INDEX(Raw_D1!$F$2:$F$1001,$AP183),IF($AR183&lt;&gt;"",INDEX(Raw_D3!$F$2:$F$1001,$AR183),"")))</f>
        <v>20</v>
      </c>
      <c r="G183" s="5">
        <f>IF($A183="","",IF($AP183&lt;&gt;"",IF(INDEX(Raw_D1!$G$2:$G$1001,$AP183),1,0),IF($AR183&lt;&gt;"",IF(INDEX(Raw_D3!$G$2:$G$1001,$AR183),1,0),"")))</f>
        <v>0</v>
      </c>
      <c r="H183" s="5">
        <f>IF($A183="","",IF($AP183&lt;&gt;"",INDEX(Raw_D1!$H$2:$H$1001,$AP183),IF($AR183&lt;&gt;"",INDEX(Raw_D3!$H$2:$H$1001,$AR183),"")))</f>
        <v>6</v>
      </c>
      <c r="I183" s="5">
        <f>IF($A183="","",IF($AP183&lt;&gt;"",INDEX(Raw_D1!$I$2:$I$1001,$AP183),IF($AR183&lt;&gt;"",INDEX(Raw_D3!$I$2:$I$1001,$AR183),"")))</f>
        <v>1</v>
      </c>
      <c r="J183" s="16">
        <f>IF($A183="","",IF($AP183&lt;&gt;"",INDEX(Raw_D1!$J$2:$J$1001,$AP183),IF($AR183&lt;&gt;"",INDEX(Raw_D3!$J$2:$J$1001,$AR183),"")))</f>
        <v>0.12</v>
      </c>
      <c r="K183" s="17">
        <f>IF($A183="","",IF($AQ183&lt;&gt;"",IF(INDEX(Raw_D2!$C$2:$C$1001,$AQ183)="","",INDEX(Raw_D2!$C$2:$C$1001,$AQ183)),IF($AR183&lt;&gt;"",IF(INDEX(Raw_D3!$K$2:$K$1001,$AR183)="","",INDEX(Raw_D3!$K$2:$K$1001,$AR183)),"")))</f>
        <v>0.1212</v>
      </c>
      <c r="L183" s="16">
        <f>IF($A183="","",IF($AQ183&lt;&gt;"",IF(INDEX(Raw_D2!$D$2:$D$1001,$AQ183)="","",INDEX(Raw_D2!$D$2:$D$1001,$AQ183)),IF($AR183&lt;&gt;"",IF(INDEX(Raw_D3!$L$2:$L$1001,$AR183)="","",INDEX(Raw_D3!$L$2:$L$1001,$AR183)),"")))</f>
        <v>0.36</v>
      </c>
      <c r="M183" s="17">
        <f>IF($A183="","",IF($AQ183&lt;&gt;"",IF(INDEX(Raw_D2!$E$2:$E$1001,$AQ183)="","",INDEX(Raw_D2!$E$2:$E$1001,$AQ183)),IF($AR183&lt;&gt;"",IF(INDEX(Raw_D3!$M$2:$M$1001,$AR183)="","",INDEX(Raw_D3!$M$2:$M$1001,$AR183)),"")))</f>
        <v>0.2537</v>
      </c>
      <c r="N183" s="5">
        <f>IF($A183="","",IF($AQ183&lt;&gt;"",IF(INDEX(Raw_D2!$F$2:$F$1001,$AQ183)="","",INDEX(Raw_D2!$F$2:$F$1001,$AQ183)),IF($AR183&lt;&gt;"",IF(INDEX(Raw_D3!$N$2:$N$1001,$AR183)="","",INDEX(Raw_D3!$N$2:$N$1001,$AR183)),"")))</f>
        <v>0</v>
      </c>
      <c r="O183" s="5">
        <f>IF($A183="","",IF($AQ183&lt;&gt;"",IF(INDEX(Raw_D2!$G$2:$G$1001,$AQ183)="","",INDEX(Raw_D2!$G$2:$G$1001,$AQ183)),IF($AR183&lt;&gt;"",IF(INDEX(Raw_D3!$O$2:$O$1001,$AR183)="","",INDEX(Raw_D3!$O$2:$O$1001,$AR183)),"")))</f>
        <v>28</v>
      </c>
      <c r="P183" s="5">
        <f>IF($A183="","",IF($AQ183&lt;&gt;"",IF(INDEX(Raw_D2!$H$2:$H$1001,$AQ183)="","",INDEX(Raw_D2!$H$2:$H$1001,$AQ183)),IF($AR183&lt;&gt;"",IF(INDEX(Raw_D3!$P$2:$P$1001,$AR183)="","",INDEX(Raw_D3!$P$2:$P$1001,$AR183)),"")))</f>
        <v>28</v>
      </c>
      <c r="Q183" s="5" t="str">
        <f>IF($A183="","",IF(AND($AP183&lt;&gt;"",$AQ183&lt;&gt;""),"D1+D2",IF($AR183&lt;&gt;"","D3","Incomplete")))</f>
        <v>D1+D2</v>
      </c>
      <c r="R183" s="17">
        <f>IF($A183="","",IF($K183="",IF($J183="","",ROUND(Lookups!$K$5+Lookups!$K$4*$J183,4)),$K183))</f>
        <v>0.1212</v>
      </c>
      <c r="S183" s="5" t="str">
        <f>IF($A183="","",IF($K183="","Imputed","Original"))</f>
        <v>Original</v>
      </c>
      <c r="T183" s="5" t="str">
        <f>IF($A183="","",IF($P183="","Missing",IF($P183=$N183+$O183,"OK","Mismatch")))</f>
        <v>OK</v>
      </c>
      <c r="U183" s="5" t="str">
        <f>IF($A183="","",IF(COUNTIF($A$2:$A183,$A183)&gt;1,"Duplicate","Unique"))</f>
        <v>Unique</v>
      </c>
      <c r="V183" s="5">
        <f>IF($A183="","",IF(AND($U183="Unique",ISNUMBER($P183)),1,0))</f>
        <v>1</v>
      </c>
      <c r="W183" s="5" t="str">
        <f>IF($A183="","",IF(OR($H183=0,$H183=6),"Weekend","Weekday"))</f>
        <v>Weekend</v>
      </c>
      <c r="X183" s="5" t="str">
        <f>IF($A183="","",TEXT($B183,"ddd"))</f>
        <v>Sat</v>
      </c>
      <c r="Y183" s="5" t="str">
        <f>IF($A183="","",TEXT($B183,"mmm"))</f>
        <v>Jan</v>
      </c>
      <c r="Z183" s="5" t="str">
        <f>IF($A183="","",IFERROR(VLOOKUP($C183,Lookups!$D$4:$E$7,2,FALSE),"Unknown"))</f>
        <v>Winter</v>
      </c>
      <c r="AA183" s="5" t="str">
        <f>IF($A183="","",IFERROR(VLOOKUP($I183,Lookups!$A$4:$B$7,2,FALSE),"Unknown"))</f>
        <v>Clear</v>
      </c>
      <c r="AB183" s="5" t="str">
        <f>IF($A183="","",TEXT($F183,"00")&amp;":00")</f>
        <v>20:00</v>
      </c>
      <c r="AC183" s="5" t="str">
        <f>IF($A183="","",VLOOKUP($F183,Lookups!$G$4:$H$8,2,TRUE))</f>
        <v>Late Evening (20-23)</v>
      </c>
      <c r="AD183" s="18">
        <f>IF($A183="","",IF($J183="","",ROUND($J183*41,1)))</f>
        <v>4.9</v>
      </c>
      <c r="AE183" s="18">
        <f>IF($A183="","",IF($R183="","",ROUND($R183*50,1)))</f>
        <v>6.1</v>
      </c>
      <c r="AF183" s="5">
        <f>IF($A183="","",IF($L183="","",ROUND($L183*100,0)))</f>
        <v>36</v>
      </c>
      <c r="AG183" s="18">
        <f>IF($A183="","",IF($M183="","",ROUND($M183*67,1)))</f>
        <v>17</v>
      </c>
      <c r="AH183" s="19">
        <f>IF($A183="","",IF($P183="","",IF($P183=0,0,$O183/$P183)))</f>
        <v>1</v>
      </c>
      <c r="AI183" s="5" t="str">
        <f>IF($A183="","",IF($P183="","",IF($P183&gt;=Lookups!$K$7,"High",IF($P183&lt;=Lookups!$K$8,"Low","Medium"))))</f>
        <v>Medium</v>
      </c>
      <c r="AJ183" s="5" t="str">
        <f>IF($A183="","",IF($AD183="","",IF($AD183&lt;5,"Under 5 C",IF($AD183&lt;10,"5-10 C",IF($AD183&lt;15,"10-15 C","15 C and above")))))</f>
        <v>Under 5 C</v>
      </c>
      <c r="AK183" s="5">
        <f>IF($A183="","",IF($P183="","",$P183^2))</f>
        <v>784</v>
      </c>
      <c r="AL183" s="18">
        <f>IF($V183&lt;&gt;1,"",AVERAGEIFS(Clean_Data!$P$2:$P$1001,Clean_Data!$F$2:$F$1001,$F183,Clean_Data!$W$2:$W$1001,$W183,Clean_Data!$V$2:$V$1001,1))</f>
        <v>40</v>
      </c>
      <c r="AM183" s="16">
        <f>IF($V183&lt;&gt;1,"",IFERROR(($P183-$AL183)/SQRT(MAX(0,(SUMIFS(Clean_Data!$AK$2:$AK$1001,Clean_Data!$F$2:$F$1001,$F183,Clean_Data!$W$2:$W$1001,$W183,Clean_Data!$V$2:$V$1001,1)-COUNTIFS(Clean_Data!$F$2:$F$1001,$F183,Clean_Data!$W$2:$W$1001,$W183,Clean_Data!$V$2:$V$1001,1)*$AL183^2)/(COUNTIFS(Clean_Data!$F$2:$F$1001,$F183,Clean_Data!$W$2:$W$1001,$W183,Clean_Data!$V$2:$V$1001,1)-1))),""))</f>
        <v>-0.974315175316451</v>
      </c>
      <c r="AN183" s="5" t="str">
        <f>IF($AM183="","",IF($AM183&gt;=Lookups!$K$6,"High spike",IF($AM183&lt;=-Lookups!$K$6,"Unusual low","Normal")))</f>
        <v>Normal</v>
      </c>
      <c r="AO183" s="20">
        <f>IF($V183&lt;&gt;1,"",$P183+ROW()/100000)</f>
        <v>28.00183</v>
      </c>
      <c r="AP183" s="5">
        <f>IF($A183="","",IFERROR(MATCH($A183,Raw_D1!$A$2:$A$1001,0),""))</f>
        <v>182</v>
      </c>
      <c r="AQ183" s="5">
        <f>IF($A183="","",IFERROR(MATCH($A183,Raw_D2!$B$2:$B$1001,0),""))</f>
        <v>182</v>
      </c>
      <c r="AR183" s="5">
        <f>IF($A183="","",IFERROR(MATCH($A183,Raw_D3!$A$2:$A$1001,0),""))</f>
        <v/>
      </c>
    </row>
    <row r="184" spans="1:44" x14ac:dyDescent="0.25">
      <c r="A184" s="5">
        <v>183</v>
      </c>
      <c r="B184" s="11">
        <f>IF($A184="","",IF($AP184&lt;&gt;"",INDEX(Raw_D1!$B$2:$B$1001,$AP184),IF($AR184&lt;&gt;"",INDEX(Raw_D3!$B$2:$B$1001,$AR184),"")))</f>
        <v>40551.0</v>
      </c>
      <c r="C184" s="5">
        <f>IF($A184="","",IF($AP184&lt;&gt;"",INDEX(Raw_D1!$C$2:$C$1001,$AP184),IF($AR184&lt;&gt;"",INDEX(Raw_D3!$C$2:$C$1001,$AR184),"")))</f>
        <v>1</v>
      </c>
      <c r="D184" s="5">
        <f>IF($A184="","",IF($AP184&lt;&gt;"",INDEX(Raw_D1!$D$2:$D$1001,$AP184),IF($AR184&lt;&gt;"",INDEX(Raw_D3!$D$2:$D$1001,$AR184),"")))</f>
        <v>0</v>
      </c>
      <c r="E184" s="5">
        <f>IF($A184="","",IF($AP184&lt;&gt;"",INDEX(Raw_D1!$E$2:$E$1001,$AP184),IF($AR184&lt;&gt;"",INDEX(Raw_D3!$E$2:$E$1001,$AR184),"")))</f>
        <v>1</v>
      </c>
      <c r="F184" s="5">
        <f>IF($A184="","",IF($AP184&lt;&gt;"",INDEX(Raw_D1!$F$2:$F$1001,$AP184),IF($AR184&lt;&gt;"",INDEX(Raw_D3!$F$2:$F$1001,$AR184),"")))</f>
        <v>21</v>
      </c>
      <c r="G184" s="5">
        <f>IF($A184="","",IF($AP184&lt;&gt;"",IF(INDEX(Raw_D1!$G$2:$G$1001,$AP184),1,0),IF($AR184&lt;&gt;"",IF(INDEX(Raw_D3!$G$2:$G$1001,$AR184),1,0),"")))</f>
        <v>0</v>
      </c>
      <c r="H184" s="5">
        <f>IF($A184="","",IF($AP184&lt;&gt;"",INDEX(Raw_D1!$H$2:$H$1001,$AP184),IF($AR184&lt;&gt;"",INDEX(Raw_D3!$H$2:$H$1001,$AR184),"")))</f>
        <v>6</v>
      </c>
      <c r="I184" s="5">
        <f>IF($A184="","",IF($AP184&lt;&gt;"",INDEX(Raw_D1!$I$2:$I$1001,$AP184),IF($AR184&lt;&gt;"",INDEX(Raw_D3!$I$2:$I$1001,$AR184),"")))</f>
        <v>1</v>
      </c>
      <c r="J184" s="16">
        <f>IF($A184="","",IF($AP184&lt;&gt;"",INDEX(Raw_D1!$J$2:$J$1001,$AP184),IF($AR184&lt;&gt;"",INDEX(Raw_D3!$J$2:$J$1001,$AR184),"")))</f>
        <v>0.12</v>
      </c>
      <c r="K184" s="17">
        <f>IF($A184="","",IF($AQ184&lt;&gt;"",IF(INDEX(Raw_D2!$C$2:$C$1001,$AQ184)="","",INDEX(Raw_D2!$C$2:$C$1001,$AQ184)),IF($AR184&lt;&gt;"",IF(INDEX(Raw_D3!$K$2:$K$1001,$AR184)="","",INDEX(Raw_D3!$K$2:$K$1001,$AR184)),"")))</f>
        <v>0.1061</v>
      </c>
      <c r="L184" s="16">
        <f>IF($A184="","",IF($AQ184&lt;&gt;"",IF(INDEX(Raw_D2!$D$2:$D$1001,$AQ184)="","",INDEX(Raw_D2!$D$2:$D$1001,$AQ184)),IF($AR184&lt;&gt;"",IF(INDEX(Raw_D3!$L$2:$L$1001,$AR184)="","",INDEX(Raw_D3!$L$2:$L$1001,$AR184)),"")))</f>
        <v>0.39</v>
      </c>
      <c r="M184" s="17">
        <f>IF($A184="","",IF($AQ184&lt;&gt;"",IF(INDEX(Raw_D2!$E$2:$E$1001,$AQ184)="","",INDEX(Raw_D2!$E$2:$E$1001,$AQ184)),IF($AR184&lt;&gt;"",IF(INDEX(Raw_D3!$M$2:$M$1001,$AR184)="","",INDEX(Raw_D3!$M$2:$M$1001,$AR184)),"")))</f>
        <v>0.3582</v>
      </c>
      <c r="N184" s="5">
        <f>IF($A184="","",IF($AQ184&lt;&gt;"",IF(INDEX(Raw_D2!$F$2:$F$1001,$AQ184)="","",INDEX(Raw_D2!$F$2:$F$1001,$AQ184)),IF($AR184&lt;&gt;"",IF(INDEX(Raw_D3!$N$2:$N$1001,$AR184)="","",INDEX(Raw_D3!$N$2:$N$1001,$AR184)),"")))</f>
        <v>2</v>
      </c>
      <c r="O184" s="5">
        <f>IF($A184="","",IF($AQ184&lt;&gt;"",IF(INDEX(Raw_D2!$G$2:$G$1001,$AQ184)="","",INDEX(Raw_D2!$G$2:$G$1001,$AQ184)),IF($AR184&lt;&gt;"",IF(INDEX(Raw_D3!$O$2:$O$1001,$AR184)="","",INDEX(Raw_D3!$O$2:$O$1001,$AR184)),"")))</f>
        <v>35</v>
      </c>
      <c r="P184" s="5">
        <f>IF($A184="","",IF($AQ184&lt;&gt;"",IF(INDEX(Raw_D2!$H$2:$H$1001,$AQ184)="","",INDEX(Raw_D2!$H$2:$H$1001,$AQ184)),IF($AR184&lt;&gt;"",IF(INDEX(Raw_D3!$P$2:$P$1001,$AR184)="","",INDEX(Raw_D3!$P$2:$P$1001,$AR184)),"")))</f>
        <v>37</v>
      </c>
      <c r="Q184" s="5" t="str">
        <f>IF($A184="","",IF(AND($AP184&lt;&gt;"",$AQ184&lt;&gt;""),"D1+D2",IF($AR184&lt;&gt;"","D3","Incomplete")))</f>
        <v>D1+D2</v>
      </c>
      <c r="R184" s="17">
        <f>IF($A184="","",IF($K184="",IF($J184="","",ROUND(Lookups!$K$5+Lookups!$K$4*$J184,4)),$K184))</f>
        <v>0.1061</v>
      </c>
      <c r="S184" s="5" t="str">
        <f>IF($A184="","",IF($K184="","Imputed","Original"))</f>
        <v>Original</v>
      </c>
      <c r="T184" s="5" t="str">
        <f>IF($A184="","",IF($P184="","Missing",IF($P184=$N184+$O184,"OK","Mismatch")))</f>
        <v>OK</v>
      </c>
      <c r="U184" s="5" t="str">
        <f>IF($A184="","",IF(COUNTIF($A$2:$A184,$A184)&gt;1,"Duplicate","Unique"))</f>
        <v>Unique</v>
      </c>
      <c r="V184" s="5">
        <f>IF($A184="","",IF(AND($U184="Unique",ISNUMBER($P184)),1,0))</f>
        <v>1</v>
      </c>
      <c r="W184" s="5" t="str">
        <f>IF($A184="","",IF(OR($H184=0,$H184=6),"Weekend","Weekday"))</f>
        <v>Weekend</v>
      </c>
      <c r="X184" s="5" t="str">
        <f>IF($A184="","",TEXT($B184,"ddd"))</f>
        <v>Sat</v>
      </c>
      <c r="Y184" s="5" t="str">
        <f>IF($A184="","",TEXT($B184,"mmm"))</f>
        <v>Jan</v>
      </c>
      <c r="Z184" s="5" t="str">
        <f>IF($A184="","",IFERROR(VLOOKUP($C184,Lookups!$D$4:$E$7,2,FALSE),"Unknown"))</f>
        <v>Winter</v>
      </c>
      <c r="AA184" s="5" t="str">
        <f>IF($A184="","",IFERROR(VLOOKUP($I184,Lookups!$A$4:$B$7,2,FALSE),"Unknown"))</f>
        <v>Clear</v>
      </c>
      <c r="AB184" s="5" t="str">
        <f>IF($A184="","",TEXT($F184,"00")&amp;":00")</f>
        <v>21:00</v>
      </c>
      <c r="AC184" s="5" t="str">
        <f>IF($A184="","",VLOOKUP($F184,Lookups!$G$4:$H$8,2,TRUE))</f>
        <v>Late Evening (20-23)</v>
      </c>
      <c r="AD184" s="18">
        <f>IF($A184="","",IF($J184="","",ROUND($J184*41,1)))</f>
        <v>4.9</v>
      </c>
      <c r="AE184" s="18">
        <f>IF($A184="","",IF($R184="","",ROUND($R184*50,1)))</f>
        <v>5.3</v>
      </c>
      <c r="AF184" s="5">
        <f>IF($A184="","",IF($L184="","",ROUND($L184*100,0)))</f>
        <v>39</v>
      </c>
      <c r="AG184" s="18">
        <f>IF($A184="","",IF($M184="","",ROUND($M184*67,1)))</f>
        <v>24</v>
      </c>
      <c r="AH184" s="19">
        <f>IF($A184="","",IF($P184="","",IF($P184=0,0,$O184/$P184)))</f>
        <v>0.945945945945946</v>
      </c>
      <c r="AI184" s="5" t="str">
        <f>IF($A184="","",IF($P184="","",IF($P184&gt;=Lookups!$K$7,"High",IF($P184&lt;=Lookups!$K$8,"Low","Medium"))))</f>
        <v>Medium</v>
      </c>
      <c r="AJ184" s="5" t="str">
        <f>IF($A184="","",IF($AD184="","",IF($AD184&lt;5,"Under 5 C",IF($AD184&lt;10,"5-10 C",IF($AD184&lt;15,"10-15 C","15 C and above")))))</f>
        <v>Under 5 C</v>
      </c>
      <c r="AK184" s="5">
        <f>IF($A184="","",IF($P184="","",$P184^2))</f>
        <v>1369</v>
      </c>
      <c r="AL184" s="18">
        <f>IF($V184&lt;&gt;1,"",AVERAGEIFS(Clean_Data!$P$2:$P$1001,Clean_Data!$F$2:$F$1001,$F184,Clean_Data!$W$2:$W$1001,$W184,Clean_Data!$V$2:$V$1001,1))</f>
        <v>37.1428571428571</v>
      </c>
      <c r="AM184" s="16">
        <f>IF($V184&lt;&gt;1,"",IFERROR(($P184-$AL184)/SQRT(MAX(0,(SUMIFS(Clean_Data!$AK$2:$AK$1001,Clean_Data!$F$2:$F$1001,$F184,Clean_Data!$W$2:$W$1001,$W184,Clean_Data!$V$2:$V$1001,1)-COUNTIFS(Clean_Data!$F$2:$F$1001,$F184,Clean_Data!$W$2:$W$1001,$W184,Clean_Data!$V$2:$V$1001,1)*$AL184^2)/(COUNTIFS(Clean_Data!$F$2:$F$1001,$F184,Clean_Data!$W$2:$W$1001,$W184,Clean_Data!$V$2:$V$1001,1)-1))),""))</f>
        <v>-0.0118238312458969</v>
      </c>
      <c r="AN184" s="5" t="str">
        <f>IF($AM184="","",IF($AM184&gt;=Lookups!$K$6,"High spike",IF($AM184&lt;=-Lookups!$K$6,"Unusual low","Normal")))</f>
        <v>Normal</v>
      </c>
      <c r="AO184" s="20">
        <f>IF($V184&lt;&gt;1,"",$P184+ROW()/100000)</f>
        <v>37.00184</v>
      </c>
      <c r="AP184" s="5">
        <f>IF($A184="","",IFERROR(MATCH($A184,Raw_D1!$A$2:$A$1001,0),""))</f>
        <v>183</v>
      </c>
      <c r="AQ184" s="5">
        <f>IF($A184="","",IFERROR(MATCH($A184,Raw_D2!$B$2:$B$1001,0),""))</f>
        <v>183</v>
      </c>
      <c r="AR184" s="5">
        <f>IF($A184="","",IFERROR(MATCH($A184,Raw_D3!$A$2:$A$1001,0),""))</f>
        <v/>
      </c>
    </row>
    <row r="185" spans="1:44" x14ac:dyDescent="0.25">
      <c r="A185" s="5">
        <v>184</v>
      </c>
      <c r="B185" s="11">
        <f>IF($A185="","",IF($AP185&lt;&gt;"",INDEX(Raw_D1!$B$2:$B$1001,$AP185),IF($AR185&lt;&gt;"",INDEX(Raw_D3!$B$2:$B$1001,$AR185),"")))</f>
        <v>40551.0</v>
      </c>
      <c r="C185" s="5">
        <f>IF($A185="","",IF($AP185&lt;&gt;"",INDEX(Raw_D1!$C$2:$C$1001,$AP185),IF($AR185&lt;&gt;"",INDEX(Raw_D3!$C$2:$C$1001,$AR185),"")))</f>
        <v>1</v>
      </c>
      <c r="D185" s="5">
        <f>IF($A185="","",IF($AP185&lt;&gt;"",INDEX(Raw_D1!$D$2:$D$1001,$AP185),IF($AR185&lt;&gt;"",INDEX(Raw_D3!$D$2:$D$1001,$AR185),"")))</f>
        <v>0</v>
      </c>
      <c r="E185" s="5">
        <f>IF($A185="","",IF($AP185&lt;&gt;"",INDEX(Raw_D1!$E$2:$E$1001,$AP185),IF($AR185&lt;&gt;"",INDEX(Raw_D3!$E$2:$E$1001,$AR185),"")))</f>
        <v>1</v>
      </c>
      <c r="F185" s="5">
        <f>IF($A185="","",IF($AP185&lt;&gt;"",INDEX(Raw_D1!$F$2:$F$1001,$AP185),IF($AR185&lt;&gt;"",INDEX(Raw_D3!$F$2:$F$1001,$AR185),"")))</f>
        <v>22</v>
      </c>
      <c r="G185" s="5">
        <f>IF($A185="","",IF($AP185&lt;&gt;"",IF(INDEX(Raw_D1!$G$2:$G$1001,$AP185),1,0),IF($AR185&lt;&gt;"",IF(INDEX(Raw_D3!$G$2:$G$1001,$AR185),1,0),"")))</f>
        <v>0</v>
      </c>
      <c r="H185" s="5">
        <f>IF($A185="","",IF($AP185&lt;&gt;"",INDEX(Raw_D1!$H$2:$H$1001,$AP185),IF($AR185&lt;&gt;"",INDEX(Raw_D3!$H$2:$H$1001,$AR185),"")))</f>
        <v>6</v>
      </c>
      <c r="I185" s="5">
        <f>IF($A185="","",IF($AP185&lt;&gt;"",INDEX(Raw_D1!$I$2:$I$1001,$AP185),IF($AR185&lt;&gt;"",INDEX(Raw_D3!$I$2:$I$1001,$AR185),"")))</f>
        <v>1</v>
      </c>
      <c r="J185" s="16">
        <f>IF($A185="","",IF($AP185&lt;&gt;"",INDEX(Raw_D1!$J$2:$J$1001,$AP185),IF($AR185&lt;&gt;"",INDEX(Raw_D3!$J$2:$J$1001,$AR185),"")))</f>
        <v>0.12</v>
      </c>
      <c r="K185" s="17">
        <f>IF($A185="","",IF($AQ185&lt;&gt;"",IF(INDEX(Raw_D2!$C$2:$C$1001,$AQ185)="","",INDEX(Raw_D2!$C$2:$C$1001,$AQ185)),IF($AR185&lt;&gt;"",IF(INDEX(Raw_D3!$K$2:$K$1001,$AR185)="","",INDEX(Raw_D3!$K$2:$K$1001,$AR185)),"")))</f>
        <v>0.1061</v>
      </c>
      <c r="L185" s="16">
        <f>IF($A185="","",IF($AQ185&lt;&gt;"",IF(INDEX(Raw_D2!$D$2:$D$1001,$AQ185)="","",INDEX(Raw_D2!$D$2:$D$1001,$AQ185)),IF($AR185&lt;&gt;"",IF(INDEX(Raw_D3!$L$2:$L$1001,$AR185)="","",INDEX(Raw_D3!$L$2:$L$1001,$AR185)),"")))</f>
        <v>0.36</v>
      </c>
      <c r="M185" s="17">
        <f>IF($A185="","",IF($AQ185&lt;&gt;"",IF(INDEX(Raw_D2!$E$2:$E$1001,$AQ185)="","",INDEX(Raw_D2!$E$2:$E$1001,$AQ185)),IF($AR185&lt;&gt;"",IF(INDEX(Raw_D3!$M$2:$M$1001,$AR185)="","",INDEX(Raw_D3!$M$2:$M$1001,$AR185)),"")))</f>
        <v>0.3881</v>
      </c>
      <c r="N185" s="5">
        <f>IF($A185="","",IF($AQ185&lt;&gt;"",IF(INDEX(Raw_D2!$F$2:$F$1001,$AQ185)="","",INDEX(Raw_D2!$F$2:$F$1001,$AQ185)),IF($AR185&lt;&gt;"",IF(INDEX(Raw_D3!$N$2:$N$1001,$AR185)="","",INDEX(Raw_D3!$N$2:$N$1001,$AR185)),"")))</f>
        <v>1</v>
      </c>
      <c r="O185" s="5">
        <f>IF($A185="","",IF($AQ185&lt;&gt;"",IF(INDEX(Raw_D2!$G$2:$G$1001,$AQ185)="","",INDEX(Raw_D2!$G$2:$G$1001,$AQ185)),IF($AR185&lt;&gt;"",IF(INDEX(Raw_D3!$O$2:$O$1001,$AR185)="","",INDEX(Raw_D3!$O$2:$O$1001,$AR185)),"")))</f>
        <v>33</v>
      </c>
      <c r="P185" s="5">
        <f>IF($A185="","",IF($AQ185&lt;&gt;"",IF(INDEX(Raw_D2!$H$2:$H$1001,$AQ185)="","",INDEX(Raw_D2!$H$2:$H$1001,$AQ185)),IF($AR185&lt;&gt;"",IF(INDEX(Raw_D3!$P$2:$P$1001,$AR185)="","",INDEX(Raw_D3!$P$2:$P$1001,$AR185)),"")))</f>
        <v>34</v>
      </c>
      <c r="Q185" s="5" t="str">
        <f>IF($A185="","",IF(AND($AP185&lt;&gt;"",$AQ185&lt;&gt;""),"D1+D2",IF($AR185&lt;&gt;"","D3","Incomplete")))</f>
        <v>D1+D2</v>
      </c>
      <c r="R185" s="17">
        <f>IF($A185="","",IF($K185="",IF($J185="","",ROUND(Lookups!$K$5+Lookups!$K$4*$J185,4)),$K185))</f>
        <v>0.1061</v>
      </c>
      <c r="S185" s="5" t="str">
        <f>IF($A185="","",IF($K185="","Imputed","Original"))</f>
        <v>Original</v>
      </c>
      <c r="T185" s="5" t="str">
        <f>IF($A185="","",IF($P185="","Missing",IF($P185=$N185+$O185,"OK","Mismatch")))</f>
        <v>OK</v>
      </c>
      <c r="U185" s="5" t="str">
        <f>IF($A185="","",IF(COUNTIF($A$2:$A185,$A185)&gt;1,"Duplicate","Unique"))</f>
        <v>Unique</v>
      </c>
      <c r="V185" s="5">
        <f>IF($A185="","",IF(AND($U185="Unique",ISNUMBER($P185)),1,0))</f>
        <v>1</v>
      </c>
      <c r="W185" s="5" t="str">
        <f>IF($A185="","",IF(OR($H185=0,$H185=6),"Weekend","Weekday"))</f>
        <v>Weekend</v>
      </c>
      <c r="X185" s="5" t="str">
        <f>IF($A185="","",TEXT($B185,"ddd"))</f>
        <v>Sat</v>
      </c>
      <c r="Y185" s="5" t="str">
        <f>IF($A185="","",TEXT($B185,"mmm"))</f>
        <v>Jan</v>
      </c>
      <c r="Z185" s="5" t="str">
        <f>IF($A185="","",IFERROR(VLOOKUP($C185,Lookups!$D$4:$E$7,2,FALSE),"Unknown"))</f>
        <v>Winter</v>
      </c>
      <c r="AA185" s="5" t="str">
        <f>IF($A185="","",IFERROR(VLOOKUP($I185,Lookups!$A$4:$B$7,2,FALSE),"Unknown"))</f>
        <v>Clear</v>
      </c>
      <c r="AB185" s="5" t="str">
        <f>IF($A185="","",TEXT($F185,"00")&amp;":00")</f>
        <v>22:00</v>
      </c>
      <c r="AC185" s="5" t="str">
        <f>IF($A185="","",VLOOKUP($F185,Lookups!$G$4:$H$8,2,TRUE))</f>
        <v>Late Evening (20-23)</v>
      </c>
      <c r="AD185" s="18">
        <f>IF($A185="","",IF($J185="","",ROUND($J185*41,1)))</f>
        <v>4.9</v>
      </c>
      <c r="AE185" s="18">
        <f>IF($A185="","",IF($R185="","",ROUND($R185*50,1)))</f>
        <v>5.3</v>
      </c>
      <c r="AF185" s="5">
        <f>IF($A185="","",IF($L185="","",ROUND($L185*100,0)))</f>
        <v>36</v>
      </c>
      <c r="AG185" s="18">
        <f>IF($A185="","",IF($M185="","",ROUND($M185*67,1)))</f>
        <v>26</v>
      </c>
      <c r="AH185" s="19">
        <f>IF($A185="","",IF($P185="","",IF($P185=0,0,$O185/$P185)))</f>
        <v>0.970588235294118</v>
      </c>
      <c r="AI185" s="5" t="str">
        <f>IF($A185="","",IF($P185="","",IF($P185&gt;=Lookups!$K$7,"High",IF($P185&lt;=Lookups!$K$8,"Low","Medium"))))</f>
        <v>Medium</v>
      </c>
      <c r="AJ185" s="5" t="str">
        <f>IF($A185="","",IF($AD185="","",IF($AD185&lt;5,"Under 5 C",IF($AD185&lt;10,"5-10 C",IF($AD185&lt;15,"10-15 C","15 C and above")))))</f>
        <v>Under 5 C</v>
      </c>
      <c r="AK185" s="5">
        <f>IF($A185="","",IF($P185="","",$P185^2))</f>
        <v>1156</v>
      </c>
      <c r="AL185" s="18">
        <f>IF($V185&lt;&gt;1,"",AVERAGEIFS(Clean_Data!$P$2:$P$1001,Clean_Data!$F$2:$F$1001,$F185,Clean_Data!$W$2:$W$1001,$W185,Clean_Data!$V$2:$V$1001,1))</f>
        <v>30.8571428571429</v>
      </c>
      <c r="AM185" s="16">
        <f>IF($V185&lt;&gt;1,"",IFERROR(($P185-$AL185)/SQRT(MAX(0,(SUMIFS(Clean_Data!$AK$2:$AK$1001,Clean_Data!$F$2:$F$1001,$F185,Clean_Data!$W$2:$W$1001,$W185,Clean_Data!$V$2:$V$1001,1)-COUNTIFS(Clean_Data!$F$2:$F$1001,$F185,Clean_Data!$W$2:$W$1001,$W185,Clean_Data!$V$2:$V$1001,1)*$AL185^2)/(COUNTIFS(Clean_Data!$F$2:$F$1001,$F185,Clean_Data!$W$2:$W$1001,$W185,Clean_Data!$V$2:$V$1001,1)-1))),""))</f>
        <v>0.232683255912511</v>
      </c>
      <c r="AN185" s="5" t="str">
        <f>IF($AM185="","",IF($AM185&gt;=Lookups!$K$6,"High spike",IF($AM185&lt;=-Lookups!$K$6,"Unusual low","Normal")))</f>
        <v>Normal</v>
      </c>
      <c r="AO185" s="20">
        <f>IF($V185&lt;&gt;1,"",$P185+ROW()/100000)</f>
        <v>34.00185</v>
      </c>
      <c r="AP185" s="5">
        <f>IF($A185="","",IFERROR(MATCH($A185,Raw_D1!$A$2:$A$1001,0),""))</f>
        <v>184</v>
      </c>
      <c r="AQ185" s="5">
        <f>IF($A185="","",IFERROR(MATCH($A185,Raw_D2!$B$2:$B$1001,0),""))</f>
        <v>184</v>
      </c>
      <c r="AR185" s="5">
        <f>IF($A185="","",IFERROR(MATCH($A185,Raw_D3!$A$2:$A$1001,0),""))</f>
        <v/>
      </c>
    </row>
    <row r="186" spans="1:44" x14ac:dyDescent="0.25">
      <c r="A186" s="5">
        <v>185</v>
      </c>
      <c r="B186" s="11">
        <f>IF($A186="","",IF($AP186&lt;&gt;"",INDEX(Raw_D1!$B$2:$B$1001,$AP186),IF($AR186&lt;&gt;"",INDEX(Raw_D3!$B$2:$B$1001,$AR186),"")))</f>
        <v>40551.0</v>
      </c>
      <c r="C186" s="5">
        <f>IF($A186="","",IF($AP186&lt;&gt;"",INDEX(Raw_D1!$C$2:$C$1001,$AP186),IF($AR186&lt;&gt;"",INDEX(Raw_D3!$C$2:$C$1001,$AR186),"")))</f>
        <v>1</v>
      </c>
      <c r="D186" s="5">
        <f>IF($A186="","",IF($AP186&lt;&gt;"",INDEX(Raw_D1!$D$2:$D$1001,$AP186),IF($AR186&lt;&gt;"",INDEX(Raw_D3!$D$2:$D$1001,$AR186),"")))</f>
        <v>0</v>
      </c>
      <c r="E186" s="5">
        <f>IF($A186="","",IF($AP186&lt;&gt;"",INDEX(Raw_D1!$E$2:$E$1001,$AP186),IF($AR186&lt;&gt;"",INDEX(Raw_D3!$E$2:$E$1001,$AR186),"")))</f>
        <v>1</v>
      </c>
      <c r="F186" s="5">
        <f>IF($A186="","",IF($AP186&lt;&gt;"",INDEX(Raw_D1!$F$2:$F$1001,$AP186),IF($AR186&lt;&gt;"",INDEX(Raw_D3!$F$2:$F$1001,$AR186),"")))</f>
        <v>23</v>
      </c>
      <c r="G186" s="5">
        <f>IF($A186="","",IF($AP186&lt;&gt;"",IF(INDEX(Raw_D1!$G$2:$G$1001,$AP186),1,0),IF($AR186&lt;&gt;"",IF(INDEX(Raw_D3!$G$2:$G$1001,$AR186),1,0),"")))</f>
        <v>0</v>
      </c>
      <c r="H186" s="5">
        <f>IF($A186="","",IF($AP186&lt;&gt;"",INDEX(Raw_D1!$H$2:$H$1001,$AP186),IF($AR186&lt;&gt;"",INDEX(Raw_D3!$H$2:$H$1001,$AR186),"")))</f>
        <v>6</v>
      </c>
      <c r="I186" s="5">
        <f>IF($A186="","",IF($AP186&lt;&gt;"",INDEX(Raw_D1!$I$2:$I$1001,$AP186),IF($AR186&lt;&gt;"",INDEX(Raw_D3!$I$2:$I$1001,$AR186),"")))</f>
        <v>1</v>
      </c>
      <c r="J186" s="16">
        <f>IF($A186="","",IF($AP186&lt;&gt;"",INDEX(Raw_D1!$J$2:$J$1001,$AP186),IF($AR186&lt;&gt;"",INDEX(Raw_D3!$J$2:$J$1001,$AR186),"")))</f>
        <v>0.1</v>
      </c>
      <c r="K186" s="17">
        <f>IF($A186="","",IF($AQ186&lt;&gt;"",IF(INDEX(Raw_D2!$C$2:$C$1001,$AQ186)="","",INDEX(Raw_D2!$C$2:$C$1001,$AQ186)),IF($AR186&lt;&gt;"",IF(INDEX(Raw_D3!$K$2:$K$1001,$AR186)="","",INDEX(Raw_D3!$K$2:$K$1001,$AR186)),"")))</f>
        <v>0.0606</v>
      </c>
      <c r="L186" s="16">
        <f>IF($A186="","",IF($AQ186&lt;&gt;"",IF(INDEX(Raw_D2!$D$2:$D$1001,$AQ186)="","",INDEX(Raw_D2!$D$2:$D$1001,$AQ186)),IF($AR186&lt;&gt;"",IF(INDEX(Raw_D3!$L$2:$L$1001,$AR186)="","",INDEX(Raw_D3!$L$2:$L$1001,$AR186)),"")))</f>
        <v>0.39</v>
      </c>
      <c r="M186" s="17">
        <f>IF($A186="","",IF($AQ186&lt;&gt;"",IF(INDEX(Raw_D2!$E$2:$E$1001,$AQ186)="","",INDEX(Raw_D2!$E$2:$E$1001,$AQ186)),IF($AR186&lt;&gt;"",IF(INDEX(Raw_D3!$M$2:$M$1001,$AR186)="","",INDEX(Raw_D3!$M$2:$M$1001,$AR186)),"")))</f>
        <v>0.4478</v>
      </c>
      <c r="N186" s="5">
        <f>IF($A186="","",IF($AQ186&lt;&gt;"",IF(INDEX(Raw_D2!$F$2:$F$1001,$AQ186)="","",INDEX(Raw_D2!$F$2:$F$1001,$AQ186)),IF($AR186&lt;&gt;"",IF(INDEX(Raw_D3!$N$2:$N$1001,$AR186)="","",INDEX(Raw_D3!$N$2:$N$1001,$AR186)),"")))</f>
        <v>0</v>
      </c>
      <c r="O186" s="5">
        <f>IF($A186="","",IF($AQ186&lt;&gt;"",IF(INDEX(Raw_D2!$G$2:$G$1001,$AQ186)="","",INDEX(Raw_D2!$G$2:$G$1001,$AQ186)),IF($AR186&lt;&gt;"",IF(INDEX(Raw_D3!$O$2:$O$1001,$AR186)="","",INDEX(Raw_D3!$O$2:$O$1001,$AR186)),"")))</f>
        <v>22</v>
      </c>
      <c r="P186" s="5">
        <f>IF($A186="","",IF($AQ186&lt;&gt;"",IF(INDEX(Raw_D2!$H$2:$H$1001,$AQ186)="","",INDEX(Raw_D2!$H$2:$H$1001,$AQ186)),IF($AR186&lt;&gt;"",IF(INDEX(Raw_D3!$P$2:$P$1001,$AR186)="","",INDEX(Raw_D3!$P$2:$P$1001,$AR186)),"")))</f>
        <v>22</v>
      </c>
      <c r="Q186" s="5" t="str">
        <f>IF($A186="","",IF(AND($AP186&lt;&gt;"",$AQ186&lt;&gt;""),"D1+D2",IF($AR186&lt;&gt;"","D3","Incomplete")))</f>
        <v>D1+D2</v>
      </c>
      <c r="R186" s="17">
        <f>IF($A186="","",IF($K186="",IF($J186="","",ROUND(Lookups!$K$5+Lookups!$K$4*$J186,4)),$K186))</f>
        <v>0.0606</v>
      </c>
      <c r="S186" s="5" t="str">
        <f>IF($A186="","",IF($K186="","Imputed","Original"))</f>
        <v>Original</v>
      </c>
      <c r="T186" s="5" t="str">
        <f>IF($A186="","",IF($P186="","Missing",IF($P186=$N186+$O186,"OK","Mismatch")))</f>
        <v>OK</v>
      </c>
      <c r="U186" s="5" t="str">
        <f>IF($A186="","",IF(COUNTIF($A$2:$A186,$A186)&gt;1,"Duplicate","Unique"))</f>
        <v>Unique</v>
      </c>
      <c r="V186" s="5">
        <f>IF($A186="","",IF(AND($U186="Unique",ISNUMBER($P186)),1,0))</f>
        <v>1</v>
      </c>
      <c r="W186" s="5" t="str">
        <f>IF($A186="","",IF(OR($H186=0,$H186=6),"Weekend","Weekday"))</f>
        <v>Weekend</v>
      </c>
      <c r="X186" s="5" t="str">
        <f>IF($A186="","",TEXT($B186,"ddd"))</f>
        <v>Sat</v>
      </c>
      <c r="Y186" s="5" t="str">
        <f>IF($A186="","",TEXT($B186,"mmm"))</f>
        <v>Jan</v>
      </c>
      <c r="Z186" s="5" t="str">
        <f>IF($A186="","",IFERROR(VLOOKUP($C186,Lookups!$D$4:$E$7,2,FALSE),"Unknown"))</f>
        <v>Winter</v>
      </c>
      <c r="AA186" s="5" t="str">
        <f>IF($A186="","",IFERROR(VLOOKUP($I186,Lookups!$A$4:$B$7,2,FALSE),"Unknown"))</f>
        <v>Clear</v>
      </c>
      <c r="AB186" s="5" t="str">
        <f>IF($A186="","",TEXT($F186,"00")&amp;":00")</f>
        <v>23:00</v>
      </c>
      <c r="AC186" s="5" t="str">
        <f>IF($A186="","",VLOOKUP($F186,Lookups!$G$4:$H$8,2,TRUE))</f>
        <v>Late Evening (20-23)</v>
      </c>
      <c r="AD186" s="18">
        <f>IF($A186="","",IF($J186="","",ROUND($J186*41,1)))</f>
        <v>4.1</v>
      </c>
      <c r="AE186" s="18">
        <f>IF($A186="","",IF($R186="","",ROUND($R186*50,1)))</f>
        <v>3</v>
      </c>
      <c r="AF186" s="5">
        <f>IF($A186="","",IF($L186="","",ROUND($L186*100,0)))</f>
        <v>39</v>
      </c>
      <c r="AG186" s="18">
        <f>IF($A186="","",IF($M186="","",ROUND($M186*67,1)))</f>
        <v>30</v>
      </c>
      <c r="AH186" s="19">
        <f>IF($A186="","",IF($P186="","",IF($P186=0,0,$O186/$P186)))</f>
        <v>1</v>
      </c>
      <c r="AI186" s="5" t="str">
        <f>IF($A186="","",IF($P186="","",IF($P186&gt;=Lookups!$K$7,"High",IF($P186&lt;=Lookups!$K$8,"Low","Medium"))))</f>
        <v>Medium</v>
      </c>
      <c r="AJ186" s="5" t="str">
        <f>IF($A186="","",IF($AD186="","",IF($AD186&lt;5,"Under 5 C",IF($AD186&lt;10,"5-10 C",IF($AD186&lt;15,"10-15 C","15 C and above")))))</f>
        <v>Under 5 C</v>
      </c>
      <c r="AK186" s="5">
        <f>IF($A186="","",IF($P186="","",$P186^2))</f>
        <v>484</v>
      </c>
      <c r="AL186" s="18">
        <f>IF($V186&lt;&gt;1,"",AVERAGEIFS(Clean_Data!$P$2:$P$1001,Clean_Data!$F$2:$F$1001,$F186,Clean_Data!$W$2:$W$1001,$W186,Clean_Data!$V$2:$V$1001,1))</f>
        <v>28.2857142857143</v>
      </c>
      <c r="AM186" s="16">
        <f>IF($V186&lt;&gt;1,"",IFERROR(($P186-$AL186)/SQRT(MAX(0,(SUMIFS(Clean_Data!$AK$2:$AK$1001,Clean_Data!$F$2:$F$1001,$F186,Clean_Data!$W$2:$W$1001,$W186,Clean_Data!$V$2:$V$1001,1)-COUNTIFS(Clean_Data!$F$2:$F$1001,$F186,Clean_Data!$W$2:$W$1001,$W186,Clean_Data!$V$2:$V$1001,1)*$AL186^2)/(COUNTIFS(Clean_Data!$F$2:$F$1001,$F186,Clean_Data!$W$2:$W$1001,$W186,Clean_Data!$V$2:$V$1001,1)-1))),""))</f>
        <v>-0.450675723311871</v>
      </c>
      <c r="AN186" s="5" t="str">
        <f>IF($AM186="","",IF($AM186&gt;=Lookups!$K$6,"High spike",IF($AM186&lt;=-Lookups!$K$6,"Unusual low","Normal")))</f>
        <v>Normal</v>
      </c>
      <c r="AO186" s="20">
        <f>IF($V186&lt;&gt;1,"",$P186+ROW()/100000)</f>
        <v>22.00186</v>
      </c>
      <c r="AP186" s="5">
        <f>IF($A186="","",IFERROR(MATCH($A186,Raw_D1!$A$2:$A$1001,0),""))</f>
        <v>185</v>
      </c>
      <c r="AQ186" s="5">
        <f>IF($A186="","",IFERROR(MATCH($A186,Raw_D2!$B$2:$B$1001,0),""))</f>
        <v>185</v>
      </c>
      <c r="AR186" s="5">
        <f>IF($A186="","",IFERROR(MATCH($A186,Raw_D3!$A$2:$A$1001,0),""))</f>
        <v/>
      </c>
    </row>
    <row r="187" spans="1:44" x14ac:dyDescent="0.25">
      <c r="A187" s="5">
        <v>186</v>
      </c>
      <c r="B187" s="11">
        <f>IF($A187="","",IF($AP187&lt;&gt;"",INDEX(Raw_D1!$B$2:$B$1001,$AP187),IF($AR187&lt;&gt;"",INDEX(Raw_D3!$B$2:$B$1001,$AR187),"")))</f>
        <v>40552.0</v>
      </c>
      <c r="C187" s="5">
        <f>IF($A187="","",IF($AP187&lt;&gt;"",INDEX(Raw_D1!$C$2:$C$1001,$AP187),IF($AR187&lt;&gt;"",INDEX(Raw_D3!$C$2:$C$1001,$AR187),"")))</f>
        <v>1</v>
      </c>
      <c r="D187" s="5">
        <f>IF($A187="","",IF($AP187&lt;&gt;"",INDEX(Raw_D1!$D$2:$D$1001,$AP187),IF($AR187&lt;&gt;"",INDEX(Raw_D3!$D$2:$D$1001,$AR187),"")))</f>
        <v>0</v>
      </c>
      <c r="E187" s="5">
        <f>IF($A187="","",IF($AP187&lt;&gt;"",INDEX(Raw_D1!$E$2:$E$1001,$AP187),IF($AR187&lt;&gt;"",INDEX(Raw_D3!$E$2:$E$1001,$AR187),"")))</f>
        <v>1</v>
      </c>
      <c r="F187" s="5">
        <f>IF($A187="","",IF($AP187&lt;&gt;"",INDEX(Raw_D1!$F$2:$F$1001,$AP187),IF($AR187&lt;&gt;"",INDEX(Raw_D3!$F$2:$F$1001,$AR187),"")))</f>
        <v>0</v>
      </c>
      <c r="G187" s="5">
        <f>IF($A187="","",IF($AP187&lt;&gt;"",IF(INDEX(Raw_D1!$G$2:$G$1001,$AP187),1,0),IF($AR187&lt;&gt;"",IF(INDEX(Raw_D3!$G$2:$G$1001,$AR187),1,0),"")))</f>
        <v>0</v>
      </c>
      <c r="H187" s="5">
        <f>IF($A187="","",IF($AP187&lt;&gt;"",INDEX(Raw_D1!$H$2:$H$1001,$AP187),IF($AR187&lt;&gt;"",INDEX(Raw_D3!$H$2:$H$1001,$AR187),"")))</f>
        <v>0</v>
      </c>
      <c r="I187" s="5">
        <f>IF($A187="","",IF($AP187&lt;&gt;"",INDEX(Raw_D1!$I$2:$I$1001,$AP187),IF($AR187&lt;&gt;"",INDEX(Raw_D3!$I$2:$I$1001,$AR187),"")))</f>
        <v>1</v>
      </c>
      <c r="J187" s="16">
        <f>IF($A187="","",IF($AP187&lt;&gt;"",INDEX(Raw_D1!$J$2:$J$1001,$AP187),IF($AR187&lt;&gt;"",INDEX(Raw_D3!$J$2:$J$1001,$AR187),"")))</f>
        <v>0.1</v>
      </c>
      <c r="K187" s="17">
        <f>IF($A187="","",IF($AQ187&lt;&gt;"",IF(INDEX(Raw_D2!$C$2:$C$1001,$AQ187)="","",INDEX(Raw_D2!$C$2:$C$1001,$AQ187)),IF($AR187&lt;&gt;"",IF(INDEX(Raw_D3!$K$2:$K$1001,$AR187)="","",INDEX(Raw_D3!$K$2:$K$1001,$AR187)),"")))</f>
        <v>0.0758</v>
      </c>
      <c r="L187" s="16">
        <f>IF($A187="","",IF($AQ187&lt;&gt;"",IF(INDEX(Raw_D2!$D$2:$D$1001,$AQ187)="","",INDEX(Raw_D2!$D$2:$D$1001,$AQ187)),IF($AR187&lt;&gt;"",IF(INDEX(Raw_D3!$L$2:$L$1001,$AR187)="","",INDEX(Raw_D3!$L$2:$L$1001,$AR187)),"")))</f>
        <v>0.42</v>
      </c>
      <c r="M187" s="17">
        <f>IF($A187="","",IF($AQ187&lt;&gt;"",IF(INDEX(Raw_D2!$E$2:$E$1001,$AQ187)="","",INDEX(Raw_D2!$E$2:$E$1001,$AQ187)),IF($AR187&lt;&gt;"",IF(INDEX(Raw_D3!$M$2:$M$1001,$AR187)="","",INDEX(Raw_D3!$M$2:$M$1001,$AR187)),"")))</f>
        <v>0.3881</v>
      </c>
      <c r="N187" s="5">
        <f>IF($A187="","",IF($AQ187&lt;&gt;"",IF(INDEX(Raw_D2!$F$2:$F$1001,$AQ187)="","",INDEX(Raw_D2!$F$2:$F$1001,$AQ187)),IF($AR187&lt;&gt;"",IF(INDEX(Raw_D3!$N$2:$N$1001,$AR187)="","",INDEX(Raw_D3!$N$2:$N$1001,$AR187)),"")))</f>
        <v>1</v>
      </c>
      <c r="O187" s="5">
        <f>IF($A187="","",IF($AQ187&lt;&gt;"",IF(INDEX(Raw_D2!$G$2:$G$1001,$AQ187)="","",INDEX(Raw_D2!$G$2:$G$1001,$AQ187)),IF($AR187&lt;&gt;"",IF(INDEX(Raw_D3!$O$2:$O$1001,$AR187)="","",INDEX(Raw_D3!$O$2:$O$1001,$AR187)),"")))</f>
        <v>24</v>
      </c>
      <c r="P187" s="5">
        <f>IF($A187="","",IF($AQ187&lt;&gt;"",IF(INDEX(Raw_D2!$H$2:$H$1001,$AQ187)="","",INDEX(Raw_D2!$H$2:$H$1001,$AQ187)),IF($AR187&lt;&gt;"",IF(INDEX(Raw_D3!$P$2:$P$1001,$AR187)="","",INDEX(Raw_D3!$P$2:$P$1001,$AR187)),"")))</f>
        <v>25</v>
      </c>
      <c r="Q187" s="5" t="str">
        <f>IF($A187="","",IF(AND($AP187&lt;&gt;"",$AQ187&lt;&gt;""),"D1+D2",IF($AR187&lt;&gt;"","D3","Incomplete")))</f>
        <v>D1+D2</v>
      </c>
      <c r="R187" s="17">
        <f>IF($A187="","",IF($K187="",IF($J187="","",ROUND(Lookups!$K$5+Lookups!$K$4*$J187,4)),$K187))</f>
        <v>0.0758</v>
      </c>
      <c r="S187" s="5" t="str">
        <f>IF($A187="","",IF($K187="","Imputed","Original"))</f>
        <v>Original</v>
      </c>
      <c r="T187" s="5" t="str">
        <f>IF($A187="","",IF($P187="","Missing",IF($P187=$N187+$O187,"OK","Mismatch")))</f>
        <v>OK</v>
      </c>
      <c r="U187" s="5" t="str">
        <f>IF($A187="","",IF(COUNTIF($A$2:$A187,$A187)&gt;1,"Duplicate","Unique"))</f>
        <v>Unique</v>
      </c>
      <c r="V187" s="5">
        <f>IF($A187="","",IF(AND($U187="Unique",ISNUMBER($P187)),1,0))</f>
        <v>1</v>
      </c>
      <c r="W187" s="5" t="str">
        <f>IF($A187="","",IF(OR($H187=0,$H187=6),"Weekend","Weekday"))</f>
        <v>Weekend</v>
      </c>
      <c r="X187" s="5" t="str">
        <f>IF($A187="","",TEXT($B187,"ddd"))</f>
        <v>Sun</v>
      </c>
      <c r="Y187" s="5" t="str">
        <f>IF($A187="","",TEXT($B187,"mmm"))</f>
        <v>Jan</v>
      </c>
      <c r="Z187" s="5" t="str">
        <f>IF($A187="","",IFERROR(VLOOKUP($C187,Lookups!$D$4:$E$7,2,FALSE),"Unknown"))</f>
        <v>Winter</v>
      </c>
      <c r="AA187" s="5" t="str">
        <f>IF($A187="","",IFERROR(VLOOKUP($I187,Lookups!$A$4:$B$7,2,FALSE),"Unknown"))</f>
        <v>Clear</v>
      </c>
      <c r="AB187" s="5" t="str">
        <f>IF($A187="","",TEXT($F187,"00")&amp;":00")</f>
        <v>00:00</v>
      </c>
      <c r="AC187" s="5" t="str">
        <f>IF($A187="","",VLOOKUP($F187,Lookups!$G$4:$H$8,2,TRUE))</f>
        <v>Night (00-05)</v>
      </c>
      <c r="AD187" s="18">
        <f>IF($A187="","",IF($J187="","",ROUND($J187*41,1)))</f>
        <v>4.1</v>
      </c>
      <c r="AE187" s="18">
        <f>IF($A187="","",IF($R187="","",ROUND($R187*50,1)))</f>
        <v>3.8</v>
      </c>
      <c r="AF187" s="5">
        <f>IF($A187="","",IF($L187="","",ROUND($L187*100,0)))</f>
        <v>42</v>
      </c>
      <c r="AG187" s="18">
        <f>IF($A187="","",IF($M187="","",ROUND($M187*67,1)))</f>
        <v>26</v>
      </c>
      <c r="AH187" s="19">
        <f>IF($A187="","",IF($P187="","",IF($P187=0,0,$O187/$P187)))</f>
        <v>0.96</v>
      </c>
      <c r="AI187" s="5" t="str">
        <f>IF($A187="","",IF($P187="","",IF($P187&gt;=Lookups!$K$7,"High",IF($P187&lt;=Lookups!$K$8,"Low","Medium"))))</f>
        <v>Medium</v>
      </c>
      <c r="AJ187" s="5" t="str">
        <f>IF($A187="","",IF($AD187="","",IF($AD187&lt;5,"Under 5 C",IF($AD187&lt;10,"5-10 C",IF($AD187&lt;15,"10-15 C","15 C and above")))))</f>
        <v>Under 5 C</v>
      </c>
      <c r="AK187" s="5">
        <f>IF($A187="","",IF($P187="","",$P187^2))</f>
        <v>625</v>
      </c>
      <c r="AL187" s="18">
        <f>IF($V187&lt;&gt;1,"",AVERAGEIFS(Clean_Data!$P$2:$P$1001,Clean_Data!$F$2:$F$1001,$F187,Clean_Data!$W$2:$W$1001,$W187,Clean_Data!$V$2:$V$1001,1))</f>
        <v>28.0714285714286</v>
      </c>
      <c r="AM187" s="16">
        <f>IF($V187&lt;&gt;1,"",IFERROR(($P187-$AL187)/SQRT(MAX(0,(SUMIFS(Clean_Data!$AK$2:$AK$1001,Clean_Data!$F$2:$F$1001,$F187,Clean_Data!$W$2:$W$1001,$W187,Clean_Data!$V$2:$V$1001,1)-COUNTIFS(Clean_Data!$F$2:$F$1001,$F187,Clean_Data!$W$2:$W$1001,$W187,Clean_Data!$V$2:$V$1001,1)*$AL187^2)/(COUNTIFS(Clean_Data!$F$2:$F$1001,$F187,Clean_Data!$W$2:$W$1001,$W187,Clean_Data!$V$2:$V$1001,1)-1))),""))</f>
        <v>-0.340635005982515</v>
      </c>
      <c r="AN187" s="5" t="str">
        <f>IF($AM187="","",IF($AM187&gt;=Lookups!$K$6,"High spike",IF($AM187&lt;=-Lookups!$K$6,"Unusual low","Normal")))</f>
        <v>Normal</v>
      </c>
      <c r="AO187" s="20">
        <f>IF($V187&lt;&gt;1,"",$P187+ROW()/100000)</f>
        <v>25.00187</v>
      </c>
      <c r="AP187" s="5">
        <f>IF($A187="","",IFERROR(MATCH($A187,Raw_D1!$A$2:$A$1001,0),""))</f>
        <v>186</v>
      </c>
      <c r="AQ187" s="5">
        <f>IF($A187="","",IFERROR(MATCH($A187,Raw_D2!$B$2:$B$1001,0),""))</f>
        <v>186</v>
      </c>
      <c r="AR187" s="5">
        <f>IF($A187="","",IFERROR(MATCH($A187,Raw_D3!$A$2:$A$1001,0),""))</f>
        <v/>
      </c>
    </row>
    <row r="188" spans="1:44" x14ac:dyDescent="0.25">
      <c r="A188" s="5">
        <v>187</v>
      </c>
      <c r="B188" s="11">
        <f>IF($A188="","",IF($AP188&lt;&gt;"",INDEX(Raw_D1!$B$2:$B$1001,$AP188),IF($AR188&lt;&gt;"",INDEX(Raw_D3!$B$2:$B$1001,$AR188),"")))</f>
        <v>40552.0</v>
      </c>
      <c r="C188" s="5">
        <f>IF($A188="","",IF($AP188&lt;&gt;"",INDEX(Raw_D1!$C$2:$C$1001,$AP188),IF($AR188&lt;&gt;"",INDEX(Raw_D3!$C$2:$C$1001,$AR188),"")))</f>
        <v>1</v>
      </c>
      <c r="D188" s="5">
        <f>IF($A188="","",IF($AP188&lt;&gt;"",INDEX(Raw_D1!$D$2:$D$1001,$AP188),IF($AR188&lt;&gt;"",INDEX(Raw_D3!$D$2:$D$1001,$AR188),"")))</f>
        <v>0</v>
      </c>
      <c r="E188" s="5">
        <f>IF($A188="","",IF($AP188&lt;&gt;"",INDEX(Raw_D1!$E$2:$E$1001,$AP188),IF($AR188&lt;&gt;"",INDEX(Raw_D3!$E$2:$E$1001,$AR188),"")))</f>
        <v>1</v>
      </c>
      <c r="F188" s="5">
        <f>IF($A188="","",IF($AP188&lt;&gt;"",INDEX(Raw_D1!$F$2:$F$1001,$AP188),IF($AR188&lt;&gt;"",INDEX(Raw_D3!$F$2:$F$1001,$AR188),"")))</f>
        <v>1</v>
      </c>
      <c r="G188" s="5">
        <f>IF($A188="","",IF($AP188&lt;&gt;"",IF(INDEX(Raw_D1!$G$2:$G$1001,$AP188),1,0),IF($AR188&lt;&gt;"",IF(INDEX(Raw_D3!$G$2:$G$1001,$AR188),1,0),"")))</f>
        <v>0</v>
      </c>
      <c r="H188" s="5">
        <f>IF($A188="","",IF($AP188&lt;&gt;"",INDEX(Raw_D1!$H$2:$H$1001,$AP188),IF($AR188&lt;&gt;"",INDEX(Raw_D3!$H$2:$H$1001,$AR188),"")))</f>
        <v>0</v>
      </c>
      <c r="I188" s="5">
        <f>IF($A188="","",IF($AP188&lt;&gt;"",INDEX(Raw_D1!$I$2:$I$1001,$AP188),IF($AR188&lt;&gt;"",INDEX(Raw_D3!$I$2:$I$1001,$AR188),"")))</f>
        <v>1</v>
      </c>
      <c r="J188" s="16">
        <f>IF($A188="","",IF($AP188&lt;&gt;"",INDEX(Raw_D1!$J$2:$J$1001,$AP188),IF($AR188&lt;&gt;"",INDEX(Raw_D3!$J$2:$J$1001,$AR188),"")))</f>
        <v>0.1</v>
      </c>
      <c r="K188" s="17">
        <f>IF($A188="","",IF($AQ188&lt;&gt;"",IF(INDEX(Raw_D2!$C$2:$C$1001,$AQ188)="","",INDEX(Raw_D2!$C$2:$C$1001,$AQ188)),IF($AR188&lt;&gt;"",IF(INDEX(Raw_D3!$K$2:$K$1001,$AR188)="","",INDEX(Raw_D3!$K$2:$K$1001,$AR188)),"")))</f>
        <v>0.0606</v>
      </c>
      <c r="L188" s="16">
        <f>IF($A188="","",IF($AQ188&lt;&gt;"",IF(INDEX(Raw_D2!$D$2:$D$1001,$AQ188)="","",INDEX(Raw_D2!$D$2:$D$1001,$AQ188)),IF($AR188&lt;&gt;"",IF(INDEX(Raw_D3!$L$2:$L$1001,$AR188)="","",INDEX(Raw_D3!$L$2:$L$1001,$AR188)),"")))</f>
        <v>0.42</v>
      </c>
      <c r="M188" s="17">
        <f>IF($A188="","",IF($AQ188&lt;&gt;"",IF(INDEX(Raw_D2!$E$2:$E$1001,$AQ188)="","",INDEX(Raw_D2!$E$2:$E$1001,$AQ188)),IF($AR188&lt;&gt;"",IF(INDEX(Raw_D3!$M$2:$M$1001,$AR188)="","",INDEX(Raw_D3!$M$2:$M$1001,$AR188)),"")))</f>
        <v>0.4627</v>
      </c>
      <c r="N188" s="5">
        <f>IF($A188="","",IF($AQ188&lt;&gt;"",IF(INDEX(Raw_D2!$F$2:$F$1001,$AQ188)="","",INDEX(Raw_D2!$F$2:$F$1001,$AQ188)),IF($AR188&lt;&gt;"",IF(INDEX(Raw_D3!$N$2:$N$1001,$AR188)="","",INDEX(Raw_D3!$N$2:$N$1001,$AR188)),"")))</f>
        <v>0</v>
      </c>
      <c r="O188" s="5">
        <f>IF($A188="","",IF($AQ188&lt;&gt;"",IF(INDEX(Raw_D2!$G$2:$G$1001,$AQ188)="","",INDEX(Raw_D2!$G$2:$G$1001,$AQ188)),IF($AR188&lt;&gt;"",IF(INDEX(Raw_D3!$O$2:$O$1001,$AR188)="","",INDEX(Raw_D3!$O$2:$O$1001,$AR188)),"")))</f>
        <v>12</v>
      </c>
      <c r="P188" s="5">
        <f>IF($A188="","",IF($AQ188&lt;&gt;"",IF(INDEX(Raw_D2!$H$2:$H$1001,$AQ188)="","",INDEX(Raw_D2!$H$2:$H$1001,$AQ188)),IF($AR188&lt;&gt;"",IF(INDEX(Raw_D3!$P$2:$P$1001,$AR188)="","",INDEX(Raw_D3!$P$2:$P$1001,$AR188)),"")))</f>
        <v>12</v>
      </c>
      <c r="Q188" s="5" t="str">
        <f>IF($A188="","",IF(AND($AP188&lt;&gt;"",$AQ188&lt;&gt;""),"D1+D2",IF($AR188&lt;&gt;"","D3","Incomplete")))</f>
        <v>D1+D2</v>
      </c>
      <c r="R188" s="17">
        <f>IF($A188="","",IF($K188="",IF($J188="","",ROUND(Lookups!$K$5+Lookups!$K$4*$J188,4)),$K188))</f>
        <v>0.0606</v>
      </c>
      <c r="S188" s="5" t="str">
        <f>IF($A188="","",IF($K188="","Imputed","Original"))</f>
        <v>Original</v>
      </c>
      <c r="T188" s="5" t="str">
        <f>IF($A188="","",IF($P188="","Missing",IF($P188=$N188+$O188,"OK","Mismatch")))</f>
        <v>OK</v>
      </c>
      <c r="U188" s="5" t="str">
        <f>IF($A188="","",IF(COUNTIF($A$2:$A188,$A188)&gt;1,"Duplicate","Unique"))</f>
        <v>Unique</v>
      </c>
      <c r="V188" s="5">
        <f>IF($A188="","",IF(AND($U188="Unique",ISNUMBER($P188)),1,0))</f>
        <v>1</v>
      </c>
      <c r="W188" s="5" t="str">
        <f>IF($A188="","",IF(OR($H188=0,$H188=6),"Weekend","Weekday"))</f>
        <v>Weekend</v>
      </c>
      <c r="X188" s="5" t="str">
        <f>IF($A188="","",TEXT($B188,"ddd"))</f>
        <v>Sun</v>
      </c>
      <c r="Y188" s="5" t="str">
        <f>IF($A188="","",TEXT($B188,"mmm"))</f>
        <v>Jan</v>
      </c>
      <c r="Z188" s="5" t="str">
        <f>IF($A188="","",IFERROR(VLOOKUP($C188,Lookups!$D$4:$E$7,2,FALSE),"Unknown"))</f>
        <v>Winter</v>
      </c>
      <c r="AA188" s="5" t="str">
        <f>IF($A188="","",IFERROR(VLOOKUP($I188,Lookups!$A$4:$B$7,2,FALSE),"Unknown"))</f>
        <v>Clear</v>
      </c>
      <c r="AB188" s="5" t="str">
        <f>IF($A188="","",TEXT($F188,"00")&amp;":00")</f>
        <v>01:00</v>
      </c>
      <c r="AC188" s="5" t="str">
        <f>IF($A188="","",VLOOKUP($F188,Lookups!$G$4:$H$8,2,TRUE))</f>
        <v>Night (00-05)</v>
      </c>
      <c r="AD188" s="18">
        <f>IF($A188="","",IF($J188="","",ROUND($J188*41,1)))</f>
        <v>4.1</v>
      </c>
      <c r="AE188" s="18">
        <f>IF($A188="","",IF($R188="","",ROUND($R188*50,1)))</f>
        <v>3</v>
      </c>
      <c r="AF188" s="5">
        <f>IF($A188="","",IF($L188="","",ROUND($L188*100,0)))</f>
        <v>42</v>
      </c>
      <c r="AG188" s="18">
        <f>IF($A188="","",IF($M188="","",ROUND($M188*67,1)))</f>
        <v>31</v>
      </c>
      <c r="AH188" s="19">
        <f>IF($A188="","",IF($P188="","",IF($P188=0,0,$O188/$P188)))</f>
        <v>1</v>
      </c>
      <c r="AI188" s="5" t="str">
        <f>IF($A188="","",IF($P188="","",IF($P188&gt;=Lookups!$K$7,"High",IF($P188&lt;=Lookups!$K$8,"Low","Medium"))))</f>
        <v>Low</v>
      </c>
      <c r="AJ188" s="5" t="str">
        <f>IF($A188="","",IF($AD188="","",IF($AD188&lt;5,"Under 5 C",IF($AD188&lt;10,"5-10 C",IF($AD188&lt;15,"10-15 C","15 C and above")))))</f>
        <v>Under 5 C</v>
      </c>
      <c r="AK188" s="5">
        <f>IF($A188="","",IF($P188="","",$P188^2))</f>
        <v>144</v>
      </c>
      <c r="AL188" s="18">
        <f>IF($V188&lt;&gt;1,"",AVERAGEIFS(Clean_Data!$P$2:$P$1001,Clean_Data!$F$2:$F$1001,$F188,Clean_Data!$W$2:$W$1001,$W188,Clean_Data!$V$2:$V$1001,1))</f>
        <v>22.2857142857143</v>
      </c>
      <c r="AM188" s="16">
        <f>IF($V188&lt;&gt;1,"",IFERROR(($P188-$AL188)/SQRT(MAX(0,(SUMIFS(Clean_Data!$AK$2:$AK$1001,Clean_Data!$F$2:$F$1001,$F188,Clean_Data!$W$2:$W$1001,$W188,Clean_Data!$V$2:$V$1001,1)-COUNTIFS(Clean_Data!$F$2:$F$1001,$F188,Clean_Data!$W$2:$W$1001,$W188,Clean_Data!$V$2:$V$1001,1)*$AL188^2)/(COUNTIFS(Clean_Data!$F$2:$F$1001,$F188,Clean_Data!$W$2:$W$1001,$W188,Clean_Data!$V$2:$V$1001,1)-1))),""))</f>
        <v>-1.05706649469846</v>
      </c>
      <c r="AN188" s="5" t="str">
        <f>IF($AM188="","",IF($AM188&gt;=Lookups!$K$6,"High spike",IF($AM188&lt;=-Lookups!$K$6,"Unusual low","Normal")))</f>
        <v>Normal</v>
      </c>
      <c r="AO188" s="20">
        <f>IF($V188&lt;&gt;1,"",$P188+ROW()/100000)</f>
        <v>12.00188</v>
      </c>
      <c r="AP188" s="5">
        <f>IF($A188="","",IFERROR(MATCH($A188,Raw_D1!$A$2:$A$1001,0),""))</f>
        <v>187</v>
      </c>
      <c r="AQ188" s="5">
        <f>IF($A188="","",IFERROR(MATCH($A188,Raw_D2!$B$2:$B$1001,0),""))</f>
        <v>187</v>
      </c>
      <c r="AR188" s="5">
        <f>IF($A188="","",IFERROR(MATCH($A188,Raw_D3!$A$2:$A$1001,0),""))</f>
        <v/>
      </c>
    </row>
    <row r="189" spans="1:44" x14ac:dyDescent="0.25">
      <c r="A189" s="5">
        <v>188</v>
      </c>
      <c r="B189" s="11">
        <f>IF($A189="","",IF($AP189&lt;&gt;"",INDEX(Raw_D1!$B$2:$B$1001,$AP189),IF($AR189&lt;&gt;"",INDEX(Raw_D3!$B$2:$B$1001,$AR189),"")))</f>
        <v>40552.0</v>
      </c>
      <c r="C189" s="5">
        <f>IF($A189="","",IF($AP189&lt;&gt;"",INDEX(Raw_D1!$C$2:$C$1001,$AP189),IF($AR189&lt;&gt;"",INDEX(Raw_D3!$C$2:$C$1001,$AR189),"")))</f>
        <v>1</v>
      </c>
      <c r="D189" s="5">
        <f>IF($A189="","",IF($AP189&lt;&gt;"",INDEX(Raw_D1!$D$2:$D$1001,$AP189),IF($AR189&lt;&gt;"",INDEX(Raw_D3!$D$2:$D$1001,$AR189),"")))</f>
        <v>0</v>
      </c>
      <c r="E189" s="5">
        <f>IF($A189="","",IF($AP189&lt;&gt;"",INDEX(Raw_D1!$E$2:$E$1001,$AP189),IF($AR189&lt;&gt;"",INDEX(Raw_D3!$E$2:$E$1001,$AR189),"")))</f>
        <v>1</v>
      </c>
      <c r="F189" s="5">
        <f>IF($A189="","",IF($AP189&lt;&gt;"",INDEX(Raw_D1!$F$2:$F$1001,$AP189),IF($AR189&lt;&gt;"",INDEX(Raw_D3!$F$2:$F$1001,$AR189),"")))</f>
        <v>2</v>
      </c>
      <c r="G189" s="5">
        <f>IF($A189="","",IF($AP189&lt;&gt;"",IF(INDEX(Raw_D1!$G$2:$G$1001,$AP189),1,0),IF($AR189&lt;&gt;"",IF(INDEX(Raw_D3!$G$2:$G$1001,$AR189),1,0),"")))</f>
        <v>0</v>
      </c>
      <c r="H189" s="5">
        <f>IF($A189="","",IF($AP189&lt;&gt;"",INDEX(Raw_D1!$H$2:$H$1001,$AP189),IF($AR189&lt;&gt;"",INDEX(Raw_D3!$H$2:$H$1001,$AR189),"")))</f>
        <v>0</v>
      </c>
      <c r="I189" s="5">
        <f>IF($A189="","",IF($AP189&lt;&gt;"",INDEX(Raw_D1!$I$2:$I$1001,$AP189),IF($AR189&lt;&gt;"",INDEX(Raw_D3!$I$2:$I$1001,$AR189),"")))</f>
        <v>1</v>
      </c>
      <c r="J189" s="16">
        <f>IF($A189="","",IF($AP189&lt;&gt;"",INDEX(Raw_D1!$J$2:$J$1001,$AP189),IF($AR189&lt;&gt;"",INDEX(Raw_D3!$J$2:$J$1001,$AR189),"")))</f>
        <v>0.1</v>
      </c>
      <c r="K189" s="17">
        <f>IF($A189="","",IF($AQ189&lt;&gt;"",IF(INDEX(Raw_D2!$C$2:$C$1001,$AQ189)="","",INDEX(Raw_D2!$C$2:$C$1001,$AQ189)),IF($AR189&lt;&gt;"",IF(INDEX(Raw_D3!$K$2:$K$1001,$AR189)="","",INDEX(Raw_D3!$K$2:$K$1001,$AR189)),"")))</f>
        <v>0.0606</v>
      </c>
      <c r="L189" s="16">
        <f>IF($A189="","",IF($AQ189&lt;&gt;"",IF(INDEX(Raw_D2!$D$2:$D$1001,$AQ189)="","",INDEX(Raw_D2!$D$2:$D$1001,$AQ189)),IF($AR189&lt;&gt;"",IF(INDEX(Raw_D3!$L$2:$L$1001,$AR189)="","",INDEX(Raw_D3!$L$2:$L$1001,$AR189)),"")))</f>
        <v>0.46</v>
      </c>
      <c r="M189" s="17">
        <f>IF($A189="","",IF($AQ189&lt;&gt;"",IF(INDEX(Raw_D2!$E$2:$E$1001,$AQ189)="","",INDEX(Raw_D2!$E$2:$E$1001,$AQ189)),IF($AR189&lt;&gt;"",IF(INDEX(Raw_D3!$M$2:$M$1001,$AR189)="","",INDEX(Raw_D3!$M$2:$M$1001,$AR189)),"")))</f>
        <v>0.4627</v>
      </c>
      <c r="N189" s="5">
        <f>IF($A189="","",IF($AQ189&lt;&gt;"",IF(INDEX(Raw_D2!$F$2:$F$1001,$AQ189)="","",INDEX(Raw_D2!$F$2:$F$1001,$AQ189)),IF($AR189&lt;&gt;"",IF(INDEX(Raw_D3!$N$2:$N$1001,$AR189)="","",INDEX(Raw_D3!$N$2:$N$1001,$AR189)),"")))</f>
        <v>0</v>
      </c>
      <c r="O189" s="5">
        <f>IF($A189="","",IF($AQ189&lt;&gt;"",IF(INDEX(Raw_D2!$G$2:$G$1001,$AQ189)="","",INDEX(Raw_D2!$G$2:$G$1001,$AQ189)),IF($AR189&lt;&gt;"",IF(INDEX(Raw_D3!$O$2:$O$1001,$AR189)="","",INDEX(Raw_D3!$O$2:$O$1001,$AR189)),"")))</f>
        <v>11</v>
      </c>
      <c r="P189" s="5">
        <f>IF($A189="","",IF($AQ189&lt;&gt;"",IF(INDEX(Raw_D2!$H$2:$H$1001,$AQ189)="","",INDEX(Raw_D2!$H$2:$H$1001,$AQ189)),IF($AR189&lt;&gt;"",IF(INDEX(Raw_D3!$P$2:$P$1001,$AR189)="","",INDEX(Raw_D3!$P$2:$P$1001,$AR189)),"")))</f>
        <v>11</v>
      </c>
      <c r="Q189" s="5" t="str">
        <f>IF($A189="","",IF(AND($AP189&lt;&gt;"",$AQ189&lt;&gt;""),"D1+D2",IF($AR189&lt;&gt;"","D3","Incomplete")))</f>
        <v>D1+D2</v>
      </c>
      <c r="R189" s="17">
        <f>IF($A189="","",IF($K189="",IF($J189="","",ROUND(Lookups!$K$5+Lookups!$K$4*$J189,4)),$K189))</f>
        <v>0.0606</v>
      </c>
      <c r="S189" s="5" t="str">
        <f>IF($A189="","",IF($K189="","Imputed","Original"))</f>
        <v>Original</v>
      </c>
      <c r="T189" s="5" t="str">
        <f>IF($A189="","",IF($P189="","Missing",IF($P189=$N189+$O189,"OK","Mismatch")))</f>
        <v>OK</v>
      </c>
      <c r="U189" s="5" t="str">
        <f>IF($A189="","",IF(COUNTIF($A$2:$A189,$A189)&gt;1,"Duplicate","Unique"))</f>
        <v>Unique</v>
      </c>
      <c r="V189" s="5">
        <f>IF($A189="","",IF(AND($U189="Unique",ISNUMBER($P189)),1,0))</f>
        <v>1</v>
      </c>
      <c r="W189" s="5" t="str">
        <f>IF($A189="","",IF(OR($H189=0,$H189=6),"Weekend","Weekday"))</f>
        <v>Weekend</v>
      </c>
      <c r="X189" s="5" t="str">
        <f>IF($A189="","",TEXT($B189,"ddd"))</f>
        <v>Sun</v>
      </c>
      <c r="Y189" s="5" t="str">
        <f>IF($A189="","",TEXT($B189,"mmm"))</f>
        <v>Jan</v>
      </c>
      <c r="Z189" s="5" t="str">
        <f>IF($A189="","",IFERROR(VLOOKUP($C189,Lookups!$D$4:$E$7,2,FALSE),"Unknown"))</f>
        <v>Winter</v>
      </c>
      <c r="AA189" s="5" t="str">
        <f>IF($A189="","",IFERROR(VLOOKUP($I189,Lookups!$A$4:$B$7,2,FALSE),"Unknown"))</f>
        <v>Clear</v>
      </c>
      <c r="AB189" s="5" t="str">
        <f>IF($A189="","",TEXT($F189,"00")&amp;":00")</f>
        <v>02:00</v>
      </c>
      <c r="AC189" s="5" t="str">
        <f>IF($A189="","",VLOOKUP($F189,Lookups!$G$4:$H$8,2,TRUE))</f>
        <v>Night (00-05)</v>
      </c>
      <c r="AD189" s="18">
        <f>IF($A189="","",IF($J189="","",ROUND($J189*41,1)))</f>
        <v>4.1</v>
      </c>
      <c r="AE189" s="18">
        <f>IF($A189="","",IF($R189="","",ROUND($R189*50,1)))</f>
        <v>3</v>
      </c>
      <c r="AF189" s="5">
        <f>IF($A189="","",IF($L189="","",ROUND($L189*100,0)))</f>
        <v>46</v>
      </c>
      <c r="AG189" s="18">
        <f>IF($A189="","",IF($M189="","",ROUND($M189*67,1)))</f>
        <v>31</v>
      </c>
      <c r="AH189" s="19">
        <f>IF($A189="","",IF($P189="","",IF($P189=0,0,$O189/$P189)))</f>
        <v>1</v>
      </c>
      <c r="AI189" s="5" t="str">
        <f>IF($A189="","",IF($P189="","",IF($P189&gt;=Lookups!$K$7,"High",IF($P189&lt;=Lookups!$K$8,"Low","Medium"))))</f>
        <v>Low</v>
      </c>
      <c r="AJ189" s="5" t="str">
        <f>IF($A189="","",IF($AD189="","",IF($AD189&lt;5,"Under 5 C",IF($AD189&lt;10,"5-10 C",IF($AD189&lt;15,"10-15 C","15 C and above")))))</f>
        <v>Under 5 C</v>
      </c>
      <c r="AK189" s="5">
        <f>IF($A189="","",IF($P189="","",$P189^2))</f>
        <v>121</v>
      </c>
      <c r="AL189" s="18">
        <f>IF($V189&lt;&gt;1,"",AVERAGEIFS(Clean_Data!$P$2:$P$1001,Clean_Data!$F$2:$F$1001,$F189,Clean_Data!$W$2:$W$1001,$W189,Clean_Data!$V$2:$V$1001,1))</f>
        <v>15.9285714285714</v>
      </c>
      <c r="AM189" s="16">
        <f>IF($V189&lt;&gt;1,"",IFERROR(($P189-$AL189)/SQRT(MAX(0,(SUMIFS(Clean_Data!$AK$2:$AK$1001,Clean_Data!$F$2:$F$1001,$F189,Clean_Data!$W$2:$W$1001,$W189,Clean_Data!$V$2:$V$1001,1)-COUNTIFS(Clean_Data!$F$2:$F$1001,$F189,Clean_Data!$W$2:$W$1001,$W189,Clean_Data!$V$2:$V$1001,1)*$AL189^2)/(COUNTIFS(Clean_Data!$F$2:$F$1001,$F189,Clean_Data!$W$2:$W$1001,$W189,Clean_Data!$V$2:$V$1001,1)-1))),""))</f>
        <v>-0.852086651842453</v>
      </c>
      <c r="AN189" s="5" t="str">
        <f>IF($AM189="","",IF($AM189&gt;=Lookups!$K$6,"High spike",IF($AM189&lt;=-Lookups!$K$6,"Unusual low","Normal")))</f>
        <v>Normal</v>
      </c>
      <c r="AO189" s="20">
        <f>IF($V189&lt;&gt;1,"",$P189+ROW()/100000)</f>
        <v>11.00189</v>
      </c>
      <c r="AP189" s="5">
        <f>IF($A189="","",IFERROR(MATCH($A189,Raw_D1!$A$2:$A$1001,0),""))</f>
        <v>188</v>
      </c>
      <c r="AQ189" s="5">
        <f>IF($A189="","",IFERROR(MATCH($A189,Raw_D2!$B$2:$B$1001,0),""))</f>
        <v>188</v>
      </c>
      <c r="AR189" s="5">
        <f>IF($A189="","",IFERROR(MATCH($A189,Raw_D3!$A$2:$A$1001,0),""))</f>
        <v/>
      </c>
    </row>
    <row r="190" spans="1:44" x14ac:dyDescent="0.25">
      <c r="A190" s="5">
        <v>189</v>
      </c>
      <c r="B190" s="11">
        <f>IF($A190="","",IF($AP190&lt;&gt;"",INDEX(Raw_D1!$B$2:$B$1001,$AP190),IF($AR190&lt;&gt;"",INDEX(Raw_D3!$B$2:$B$1001,$AR190),"")))</f>
        <v>40552.0</v>
      </c>
      <c r="C190" s="5">
        <f>IF($A190="","",IF($AP190&lt;&gt;"",INDEX(Raw_D1!$C$2:$C$1001,$AP190),IF($AR190&lt;&gt;"",INDEX(Raw_D3!$C$2:$C$1001,$AR190),"")))</f>
        <v>1</v>
      </c>
      <c r="D190" s="5">
        <f>IF($A190="","",IF($AP190&lt;&gt;"",INDEX(Raw_D1!$D$2:$D$1001,$AP190),IF($AR190&lt;&gt;"",INDEX(Raw_D3!$D$2:$D$1001,$AR190),"")))</f>
        <v>0</v>
      </c>
      <c r="E190" s="5">
        <f>IF($A190="","",IF($AP190&lt;&gt;"",INDEX(Raw_D1!$E$2:$E$1001,$AP190),IF($AR190&lt;&gt;"",INDEX(Raw_D3!$E$2:$E$1001,$AR190),"")))</f>
        <v>1</v>
      </c>
      <c r="F190" s="5">
        <f>IF($A190="","",IF($AP190&lt;&gt;"",INDEX(Raw_D1!$F$2:$F$1001,$AP190),IF($AR190&lt;&gt;"",INDEX(Raw_D3!$F$2:$F$1001,$AR190),"")))</f>
        <v>3</v>
      </c>
      <c r="G190" s="5">
        <f>IF($A190="","",IF($AP190&lt;&gt;"",IF(INDEX(Raw_D1!$G$2:$G$1001,$AP190),1,0),IF($AR190&lt;&gt;"",IF(INDEX(Raw_D3!$G$2:$G$1001,$AR190),1,0),"")))</f>
        <v>0</v>
      </c>
      <c r="H190" s="5">
        <f>IF($A190="","",IF($AP190&lt;&gt;"",INDEX(Raw_D1!$H$2:$H$1001,$AP190),IF($AR190&lt;&gt;"",INDEX(Raw_D3!$H$2:$H$1001,$AR190),"")))</f>
        <v>0</v>
      </c>
      <c r="I190" s="5">
        <f>IF($A190="","",IF($AP190&lt;&gt;"",INDEX(Raw_D1!$I$2:$I$1001,$AP190),IF($AR190&lt;&gt;"",INDEX(Raw_D3!$I$2:$I$1001,$AR190),"")))</f>
        <v>1</v>
      </c>
      <c r="J190" s="16">
        <f>IF($A190="","",IF($AP190&lt;&gt;"",INDEX(Raw_D1!$J$2:$J$1001,$AP190),IF($AR190&lt;&gt;"",INDEX(Raw_D3!$J$2:$J$1001,$AR190),"")))</f>
        <v>0.1</v>
      </c>
      <c r="K190" s="17">
        <f>IF($A190="","",IF($AQ190&lt;&gt;"",IF(INDEX(Raw_D2!$C$2:$C$1001,$AQ190)="","",INDEX(Raw_D2!$C$2:$C$1001,$AQ190)),IF($AR190&lt;&gt;"",IF(INDEX(Raw_D3!$K$2:$K$1001,$AR190)="","",INDEX(Raw_D3!$K$2:$K$1001,$AR190)),"")))</f>
        <v>0.0758</v>
      </c>
      <c r="L190" s="16">
        <f>IF($A190="","",IF($AQ190&lt;&gt;"",IF(INDEX(Raw_D2!$D$2:$D$1001,$AQ190)="","",INDEX(Raw_D2!$D$2:$D$1001,$AQ190)),IF($AR190&lt;&gt;"",IF(INDEX(Raw_D3!$L$2:$L$1001,$AR190)="","",INDEX(Raw_D3!$L$2:$L$1001,$AR190)),"")))</f>
        <v>0.46</v>
      </c>
      <c r="M190" s="17">
        <f>IF($A190="","",IF($AQ190&lt;&gt;"",IF(INDEX(Raw_D2!$E$2:$E$1001,$AQ190)="","",INDEX(Raw_D2!$E$2:$E$1001,$AQ190)),IF($AR190&lt;&gt;"",IF(INDEX(Raw_D3!$M$2:$M$1001,$AR190)="","",INDEX(Raw_D3!$M$2:$M$1001,$AR190)),"")))</f>
        <v>0.4179</v>
      </c>
      <c r="N190" s="5">
        <f>IF($A190="","",IF($AQ190&lt;&gt;"",IF(INDEX(Raw_D2!$F$2:$F$1001,$AQ190)="","",INDEX(Raw_D2!$F$2:$F$1001,$AQ190)),IF($AR190&lt;&gt;"",IF(INDEX(Raw_D3!$N$2:$N$1001,$AR190)="","",INDEX(Raw_D3!$N$2:$N$1001,$AR190)),"")))</f>
        <v>0</v>
      </c>
      <c r="O190" s="5">
        <f>IF($A190="","",IF($AQ190&lt;&gt;"",IF(INDEX(Raw_D2!$G$2:$G$1001,$AQ190)="","",INDEX(Raw_D2!$G$2:$G$1001,$AQ190)),IF($AR190&lt;&gt;"",IF(INDEX(Raw_D3!$O$2:$O$1001,$AR190)="","",INDEX(Raw_D3!$O$2:$O$1001,$AR190)),"")))</f>
        <v>4</v>
      </c>
      <c r="P190" s="5">
        <f>IF($A190="","",IF($AQ190&lt;&gt;"",IF(INDEX(Raw_D2!$H$2:$H$1001,$AQ190)="","",INDEX(Raw_D2!$H$2:$H$1001,$AQ190)),IF($AR190&lt;&gt;"",IF(INDEX(Raw_D3!$P$2:$P$1001,$AR190)="","",INDEX(Raw_D3!$P$2:$P$1001,$AR190)),"")))</f>
        <v>4</v>
      </c>
      <c r="Q190" s="5" t="str">
        <f>IF($A190="","",IF(AND($AP190&lt;&gt;"",$AQ190&lt;&gt;""),"D1+D2",IF($AR190&lt;&gt;"","D3","Incomplete")))</f>
        <v>D1+D2</v>
      </c>
      <c r="R190" s="17">
        <f>IF($A190="","",IF($K190="",IF($J190="","",ROUND(Lookups!$K$5+Lookups!$K$4*$J190,4)),$K190))</f>
        <v>0.0758</v>
      </c>
      <c r="S190" s="5" t="str">
        <f>IF($A190="","",IF($K190="","Imputed","Original"))</f>
        <v>Original</v>
      </c>
      <c r="T190" s="5" t="str">
        <f>IF($A190="","",IF($P190="","Missing",IF($P190=$N190+$O190,"OK","Mismatch")))</f>
        <v>OK</v>
      </c>
      <c r="U190" s="5" t="str">
        <f>IF($A190="","",IF(COUNTIF($A$2:$A190,$A190)&gt;1,"Duplicate","Unique"))</f>
        <v>Unique</v>
      </c>
      <c r="V190" s="5">
        <f>IF($A190="","",IF(AND($U190="Unique",ISNUMBER($P190)),1,0))</f>
        <v>1</v>
      </c>
      <c r="W190" s="5" t="str">
        <f>IF($A190="","",IF(OR($H190=0,$H190=6),"Weekend","Weekday"))</f>
        <v>Weekend</v>
      </c>
      <c r="X190" s="5" t="str">
        <f>IF($A190="","",TEXT($B190,"ddd"))</f>
        <v>Sun</v>
      </c>
      <c r="Y190" s="5" t="str">
        <f>IF($A190="","",TEXT($B190,"mmm"))</f>
        <v>Jan</v>
      </c>
      <c r="Z190" s="5" t="str">
        <f>IF($A190="","",IFERROR(VLOOKUP($C190,Lookups!$D$4:$E$7,2,FALSE),"Unknown"))</f>
        <v>Winter</v>
      </c>
      <c r="AA190" s="5" t="str">
        <f>IF($A190="","",IFERROR(VLOOKUP($I190,Lookups!$A$4:$B$7,2,FALSE),"Unknown"))</f>
        <v>Clear</v>
      </c>
      <c r="AB190" s="5" t="str">
        <f>IF($A190="","",TEXT($F190,"00")&amp;":00")</f>
        <v>03:00</v>
      </c>
      <c r="AC190" s="5" t="str">
        <f>IF($A190="","",VLOOKUP($F190,Lookups!$G$4:$H$8,2,TRUE))</f>
        <v>Night (00-05)</v>
      </c>
      <c r="AD190" s="18">
        <f>IF($A190="","",IF($J190="","",ROUND($J190*41,1)))</f>
        <v>4.1</v>
      </c>
      <c r="AE190" s="18">
        <f>IF($A190="","",IF($R190="","",ROUND($R190*50,1)))</f>
        <v>3.8</v>
      </c>
      <c r="AF190" s="5">
        <f>IF($A190="","",IF($L190="","",ROUND($L190*100,0)))</f>
        <v>46</v>
      </c>
      <c r="AG190" s="18">
        <f>IF($A190="","",IF($M190="","",ROUND($M190*67,1)))</f>
        <v>28</v>
      </c>
      <c r="AH190" s="19">
        <f>IF($A190="","",IF($P190="","",IF($P190=0,0,$O190/$P190)))</f>
        <v>1</v>
      </c>
      <c r="AI190" s="5" t="str">
        <f>IF($A190="","",IF($P190="","",IF($P190&gt;=Lookups!$K$7,"High",IF($P190&lt;=Lookups!$K$8,"Low","Medium"))))</f>
        <v>Low</v>
      </c>
      <c r="AJ190" s="5" t="str">
        <f>IF($A190="","",IF($AD190="","",IF($AD190&lt;5,"Under 5 C",IF($AD190&lt;10,"5-10 C",IF($AD190&lt;15,"10-15 C","15 C and above")))))</f>
        <v>Under 5 C</v>
      </c>
      <c r="AK190" s="5">
        <f>IF($A190="","",IF($P190="","",$P190^2))</f>
        <v>16</v>
      </c>
      <c r="AL190" s="18">
        <f>IF($V190&lt;&gt;1,"",AVERAGEIFS(Clean_Data!$P$2:$P$1001,Clean_Data!$F$2:$F$1001,$F190,Clean_Data!$W$2:$W$1001,$W190,Clean_Data!$V$2:$V$1001,1))</f>
        <v>9.07142857142857</v>
      </c>
      <c r="AM190" s="16">
        <f>IF($V190&lt;&gt;1,"",IFERROR(($P190-$AL190)/SQRT(MAX(0,(SUMIFS(Clean_Data!$AK$2:$AK$1001,Clean_Data!$F$2:$F$1001,$F190,Clean_Data!$W$2:$W$1001,$W190,Clean_Data!$V$2:$V$1001,1)-COUNTIFS(Clean_Data!$F$2:$F$1001,$F190,Clean_Data!$W$2:$W$1001,$W190,Clean_Data!$V$2:$V$1001,1)*$AL190^2)/(COUNTIFS(Clean_Data!$F$2:$F$1001,$F190,Clean_Data!$W$2:$W$1001,$W190,Clean_Data!$V$2:$V$1001,1)-1))),""))</f>
        <v>-1.52947528204776</v>
      </c>
      <c r="AN190" s="5" t="str">
        <f>IF($AM190="","",IF($AM190&gt;=Lookups!$K$6,"High spike",IF($AM190&lt;=-Lookups!$K$6,"Unusual low","Normal")))</f>
        <v>Normal</v>
      </c>
      <c r="AO190" s="20">
        <f>IF($V190&lt;&gt;1,"",$P190+ROW()/100000)</f>
        <v>4.0019</v>
      </c>
      <c r="AP190" s="5">
        <f>IF($A190="","",IFERROR(MATCH($A190,Raw_D1!$A$2:$A$1001,0),""))</f>
        <v>189</v>
      </c>
      <c r="AQ190" s="5">
        <f>IF($A190="","",IFERROR(MATCH($A190,Raw_D2!$B$2:$B$1001,0),""))</f>
        <v>189</v>
      </c>
      <c r="AR190" s="5">
        <f>IF($A190="","",IFERROR(MATCH($A190,Raw_D3!$A$2:$A$1001,0),""))</f>
        <v/>
      </c>
    </row>
    <row r="191" spans="1:44" x14ac:dyDescent="0.25">
      <c r="A191" s="5">
        <v>190</v>
      </c>
      <c r="B191" s="11">
        <f>IF($A191="","",IF($AP191&lt;&gt;"",INDEX(Raw_D1!$B$2:$B$1001,$AP191),IF($AR191&lt;&gt;"",INDEX(Raw_D3!$B$2:$B$1001,$AR191),"")))</f>
        <v>40552.0</v>
      </c>
      <c r="C191" s="5">
        <f>IF($A191="","",IF($AP191&lt;&gt;"",INDEX(Raw_D1!$C$2:$C$1001,$AP191),IF($AR191&lt;&gt;"",INDEX(Raw_D3!$C$2:$C$1001,$AR191),"")))</f>
        <v>1</v>
      </c>
      <c r="D191" s="5">
        <f>IF($A191="","",IF($AP191&lt;&gt;"",INDEX(Raw_D1!$D$2:$D$1001,$AP191),IF($AR191&lt;&gt;"",INDEX(Raw_D3!$D$2:$D$1001,$AR191),"")))</f>
        <v>0</v>
      </c>
      <c r="E191" s="5">
        <f>IF($A191="","",IF($AP191&lt;&gt;"",INDEX(Raw_D1!$E$2:$E$1001,$AP191),IF($AR191&lt;&gt;"",INDEX(Raw_D3!$E$2:$E$1001,$AR191),"")))</f>
        <v>1</v>
      </c>
      <c r="F191" s="5">
        <f>IF($A191="","",IF($AP191&lt;&gt;"",INDEX(Raw_D1!$F$2:$F$1001,$AP191),IF($AR191&lt;&gt;"",INDEX(Raw_D3!$F$2:$F$1001,$AR191),"")))</f>
        <v>4</v>
      </c>
      <c r="G191" s="5">
        <f>IF($A191="","",IF($AP191&lt;&gt;"",IF(INDEX(Raw_D1!$G$2:$G$1001,$AP191),1,0),IF($AR191&lt;&gt;"",IF(INDEX(Raw_D3!$G$2:$G$1001,$AR191),1,0),"")))</f>
        <v>0</v>
      </c>
      <c r="H191" s="5">
        <f>IF($A191="","",IF($AP191&lt;&gt;"",INDEX(Raw_D1!$H$2:$H$1001,$AP191),IF($AR191&lt;&gt;"",INDEX(Raw_D3!$H$2:$H$1001,$AR191),"")))</f>
        <v>0</v>
      </c>
      <c r="I191" s="5">
        <f>IF($A191="","",IF($AP191&lt;&gt;"",INDEX(Raw_D1!$I$2:$I$1001,$AP191),IF($AR191&lt;&gt;"",INDEX(Raw_D3!$I$2:$I$1001,$AR191),"")))</f>
        <v>1</v>
      </c>
      <c r="J191" s="16">
        <f>IF($A191="","",IF($AP191&lt;&gt;"",INDEX(Raw_D1!$J$2:$J$1001,$AP191),IF($AR191&lt;&gt;"",INDEX(Raw_D3!$J$2:$J$1001,$AR191),"")))</f>
        <v>0.08</v>
      </c>
      <c r="K191" s="17">
        <f>IF($A191="","",IF($AQ191&lt;&gt;"",IF(INDEX(Raw_D2!$C$2:$C$1001,$AQ191)="","",INDEX(Raw_D2!$C$2:$C$1001,$AQ191)),IF($AR191&lt;&gt;"",IF(INDEX(Raw_D3!$K$2:$K$1001,$AR191)="","",INDEX(Raw_D3!$K$2:$K$1001,$AR191)),"")))</f>
        <v>0.0909</v>
      </c>
      <c r="L191" s="16">
        <f>IF($A191="","",IF($AQ191&lt;&gt;"",IF(INDEX(Raw_D2!$D$2:$D$1001,$AQ191)="","",INDEX(Raw_D2!$D$2:$D$1001,$AQ191)),IF($AR191&lt;&gt;"",IF(INDEX(Raw_D3!$L$2:$L$1001,$AR191)="","",INDEX(Raw_D3!$L$2:$L$1001,$AR191)),"")))</f>
        <v>0.53</v>
      </c>
      <c r="M191" s="17">
        <f>IF($A191="","",IF($AQ191&lt;&gt;"",IF(INDEX(Raw_D2!$E$2:$E$1001,$AQ191)="","",INDEX(Raw_D2!$E$2:$E$1001,$AQ191)),IF($AR191&lt;&gt;"",IF(INDEX(Raw_D3!$M$2:$M$1001,$AR191)="","",INDEX(Raw_D3!$M$2:$M$1001,$AR191)),"")))</f>
        <v>0.194</v>
      </c>
      <c r="N191" s="5">
        <f>IF($A191="","",IF($AQ191&lt;&gt;"",IF(INDEX(Raw_D2!$F$2:$F$1001,$AQ191)="","",INDEX(Raw_D2!$F$2:$F$1001,$AQ191)),IF($AR191&lt;&gt;"",IF(INDEX(Raw_D3!$N$2:$N$1001,$AR191)="","",INDEX(Raw_D3!$N$2:$N$1001,$AR191)),"")))</f>
        <v>0</v>
      </c>
      <c r="O191" s="5">
        <f>IF($A191="","",IF($AQ191&lt;&gt;"",IF(INDEX(Raw_D2!$G$2:$G$1001,$AQ191)="","",INDEX(Raw_D2!$G$2:$G$1001,$AQ191)),IF($AR191&lt;&gt;"",IF(INDEX(Raw_D3!$O$2:$O$1001,$AR191)="","",INDEX(Raw_D3!$O$2:$O$1001,$AR191)),"")))</f>
        <v>1</v>
      </c>
      <c r="P191" s="5">
        <f>IF($A191="","",IF($AQ191&lt;&gt;"",IF(INDEX(Raw_D2!$H$2:$H$1001,$AQ191)="","",INDEX(Raw_D2!$H$2:$H$1001,$AQ191)),IF($AR191&lt;&gt;"",IF(INDEX(Raw_D3!$P$2:$P$1001,$AR191)="","",INDEX(Raw_D3!$P$2:$P$1001,$AR191)),"")))</f>
        <v>1</v>
      </c>
      <c r="Q191" s="5" t="str">
        <f>IF($A191="","",IF(AND($AP191&lt;&gt;"",$AQ191&lt;&gt;""),"D1+D2",IF($AR191&lt;&gt;"","D3","Incomplete")))</f>
        <v>D1+D2</v>
      </c>
      <c r="R191" s="17">
        <f>IF($A191="","",IF($K191="",IF($J191="","",ROUND(Lookups!$K$5+Lookups!$K$4*$J191,4)),$K191))</f>
        <v>0.0909</v>
      </c>
      <c r="S191" s="5" t="str">
        <f>IF($A191="","",IF($K191="","Imputed","Original"))</f>
        <v>Original</v>
      </c>
      <c r="T191" s="5" t="str">
        <f>IF($A191="","",IF($P191="","Missing",IF($P191=$N191+$O191,"OK","Mismatch")))</f>
        <v>OK</v>
      </c>
      <c r="U191" s="5" t="str">
        <f>IF($A191="","",IF(COUNTIF($A$2:$A191,$A191)&gt;1,"Duplicate","Unique"))</f>
        <v>Unique</v>
      </c>
      <c r="V191" s="5">
        <f>IF($A191="","",IF(AND($U191="Unique",ISNUMBER($P191)),1,0))</f>
        <v>1</v>
      </c>
      <c r="W191" s="5" t="str">
        <f>IF($A191="","",IF(OR($H191=0,$H191=6),"Weekend","Weekday"))</f>
        <v>Weekend</v>
      </c>
      <c r="X191" s="5" t="str">
        <f>IF($A191="","",TEXT($B191,"ddd"))</f>
        <v>Sun</v>
      </c>
      <c r="Y191" s="5" t="str">
        <f>IF($A191="","",TEXT($B191,"mmm"))</f>
        <v>Jan</v>
      </c>
      <c r="Z191" s="5" t="str">
        <f>IF($A191="","",IFERROR(VLOOKUP($C191,Lookups!$D$4:$E$7,2,FALSE),"Unknown"))</f>
        <v>Winter</v>
      </c>
      <c r="AA191" s="5" t="str">
        <f>IF($A191="","",IFERROR(VLOOKUP($I191,Lookups!$A$4:$B$7,2,FALSE),"Unknown"))</f>
        <v>Clear</v>
      </c>
      <c r="AB191" s="5" t="str">
        <f>IF($A191="","",TEXT($F191,"00")&amp;":00")</f>
        <v>04:00</v>
      </c>
      <c r="AC191" s="5" t="str">
        <f>IF($A191="","",VLOOKUP($F191,Lookups!$G$4:$H$8,2,TRUE))</f>
        <v>Night (00-05)</v>
      </c>
      <c r="AD191" s="18">
        <f>IF($A191="","",IF($J191="","",ROUND($J191*41,1)))</f>
        <v>3.3</v>
      </c>
      <c r="AE191" s="18">
        <f>IF($A191="","",IF($R191="","",ROUND($R191*50,1)))</f>
        <v>4.5</v>
      </c>
      <c r="AF191" s="5">
        <f>IF($A191="","",IF($L191="","",ROUND($L191*100,0)))</f>
        <v>53</v>
      </c>
      <c r="AG191" s="18">
        <f>IF($A191="","",IF($M191="","",ROUND($M191*67,1)))</f>
        <v>13</v>
      </c>
      <c r="AH191" s="19">
        <f>IF($A191="","",IF($P191="","",IF($P191=0,0,$O191/$P191)))</f>
        <v>1</v>
      </c>
      <c r="AI191" s="5" t="str">
        <f>IF($A191="","",IF($P191="","",IF($P191&gt;=Lookups!$K$7,"High",IF($P191&lt;=Lookups!$K$8,"Low","Medium"))))</f>
        <v>Low</v>
      </c>
      <c r="AJ191" s="5" t="str">
        <f>IF($A191="","",IF($AD191="","",IF($AD191&lt;5,"Under 5 C",IF($AD191&lt;10,"5-10 C",IF($AD191&lt;15,"10-15 C","15 C and above")))))</f>
        <v>Under 5 C</v>
      </c>
      <c r="AK191" s="5">
        <f>IF($A191="","",IF($P191="","",$P191^2))</f>
        <v>1</v>
      </c>
      <c r="AL191" s="18">
        <f>IF($V191&lt;&gt;1,"",AVERAGEIFS(Clean_Data!$P$2:$P$1001,Clean_Data!$F$2:$F$1001,$F191,Clean_Data!$W$2:$W$1001,$W191,Clean_Data!$V$2:$V$1001,1))</f>
        <v>2.69230769230769</v>
      </c>
      <c r="AM191" s="16">
        <f>IF($V191&lt;&gt;1,"",IFERROR(($P191-$AL191)/SQRT(MAX(0,(SUMIFS(Clean_Data!$AK$2:$AK$1001,Clean_Data!$F$2:$F$1001,$F191,Clean_Data!$W$2:$W$1001,$W191,Clean_Data!$V$2:$V$1001,1)-COUNTIFS(Clean_Data!$F$2:$F$1001,$F191,Clean_Data!$W$2:$W$1001,$W191,Clean_Data!$V$2:$V$1001,1)*$AL191^2)/(COUNTIFS(Clean_Data!$F$2:$F$1001,$F191,Clean_Data!$W$2:$W$1001,$W191,Clean_Data!$V$2:$V$1001,1)-1))),""))</f>
        <v>-0.822753351207442</v>
      </c>
      <c r="AN191" s="5" t="str">
        <f>IF($AM191="","",IF($AM191&gt;=Lookups!$K$6,"High spike",IF($AM191&lt;=-Lookups!$K$6,"Unusual low","Normal")))</f>
        <v>Normal</v>
      </c>
      <c r="AO191" s="20">
        <f>IF($V191&lt;&gt;1,"",$P191+ROW()/100000)</f>
        <v>1.00191</v>
      </c>
      <c r="AP191" s="5">
        <f>IF($A191="","",IFERROR(MATCH($A191,Raw_D1!$A$2:$A$1001,0),""))</f>
        <v>190</v>
      </c>
      <c r="AQ191" s="5">
        <f>IF($A191="","",IFERROR(MATCH($A191,Raw_D2!$B$2:$B$1001,0),""))</f>
        <v>190</v>
      </c>
      <c r="AR191" s="5">
        <f>IF($A191="","",IFERROR(MATCH($A191,Raw_D3!$A$2:$A$1001,0),""))</f>
        <v/>
      </c>
    </row>
    <row r="192" spans="1:44" x14ac:dyDescent="0.25">
      <c r="A192" s="5">
        <v>191</v>
      </c>
      <c r="B192" s="11">
        <f>IF($A192="","",IF($AP192&lt;&gt;"",INDEX(Raw_D1!$B$2:$B$1001,$AP192),IF($AR192&lt;&gt;"",INDEX(Raw_D3!$B$2:$B$1001,$AR192),"")))</f>
        <v>40552.0</v>
      </c>
      <c r="C192" s="5">
        <f>IF($A192="","",IF($AP192&lt;&gt;"",INDEX(Raw_D1!$C$2:$C$1001,$AP192),IF($AR192&lt;&gt;"",INDEX(Raw_D3!$C$2:$C$1001,$AR192),"")))</f>
        <v>1</v>
      </c>
      <c r="D192" s="5">
        <f>IF($A192="","",IF($AP192&lt;&gt;"",INDEX(Raw_D1!$D$2:$D$1001,$AP192),IF($AR192&lt;&gt;"",INDEX(Raw_D3!$D$2:$D$1001,$AR192),"")))</f>
        <v>0</v>
      </c>
      <c r="E192" s="5">
        <f>IF($A192="","",IF($AP192&lt;&gt;"",INDEX(Raw_D1!$E$2:$E$1001,$AP192),IF($AR192&lt;&gt;"",INDEX(Raw_D3!$E$2:$E$1001,$AR192),"")))</f>
        <v>1</v>
      </c>
      <c r="F192" s="5">
        <f>IF($A192="","",IF($AP192&lt;&gt;"",INDEX(Raw_D1!$F$2:$F$1001,$AP192),IF($AR192&lt;&gt;"",INDEX(Raw_D3!$F$2:$F$1001,$AR192),"")))</f>
        <v>5</v>
      </c>
      <c r="G192" s="5">
        <f>IF($A192="","",IF($AP192&lt;&gt;"",IF(INDEX(Raw_D1!$G$2:$G$1001,$AP192),1,0),IF($AR192&lt;&gt;"",IF(INDEX(Raw_D3!$G$2:$G$1001,$AR192),1,0),"")))</f>
        <v>0</v>
      </c>
      <c r="H192" s="5">
        <f>IF($A192="","",IF($AP192&lt;&gt;"",INDEX(Raw_D1!$H$2:$H$1001,$AP192),IF($AR192&lt;&gt;"",INDEX(Raw_D3!$H$2:$H$1001,$AR192),"")))</f>
        <v>0</v>
      </c>
      <c r="I192" s="5">
        <f>IF($A192="","",IF($AP192&lt;&gt;"",INDEX(Raw_D1!$I$2:$I$1001,$AP192),IF($AR192&lt;&gt;"",INDEX(Raw_D3!$I$2:$I$1001,$AR192),"")))</f>
        <v>1</v>
      </c>
      <c r="J192" s="16">
        <f>IF($A192="","",IF($AP192&lt;&gt;"",INDEX(Raw_D1!$J$2:$J$1001,$AP192),IF($AR192&lt;&gt;"",INDEX(Raw_D3!$J$2:$J$1001,$AR192),"")))</f>
        <v>0.08</v>
      </c>
      <c r="K192" s="17">
        <f>IF($A192="","",IF($AQ192&lt;&gt;"",IF(INDEX(Raw_D2!$C$2:$C$1001,$AQ192)="","",INDEX(Raw_D2!$C$2:$C$1001,$AQ192)),IF($AR192&lt;&gt;"",IF(INDEX(Raw_D3!$K$2:$K$1001,$AR192)="","",INDEX(Raw_D3!$K$2:$K$1001,$AR192)),"")))</f>
        <v>0.0909</v>
      </c>
      <c r="L192" s="16">
        <f>IF($A192="","",IF($AQ192&lt;&gt;"",IF(INDEX(Raw_D2!$D$2:$D$1001,$AQ192)="","",INDEX(Raw_D2!$D$2:$D$1001,$AQ192)),IF($AR192&lt;&gt;"",IF(INDEX(Raw_D3!$L$2:$L$1001,$AR192)="","",INDEX(Raw_D3!$L$2:$L$1001,$AR192)),"")))</f>
        <v>0.53</v>
      </c>
      <c r="M192" s="17">
        <f>IF($A192="","",IF($AQ192&lt;&gt;"",IF(INDEX(Raw_D2!$E$2:$E$1001,$AQ192)="","",INDEX(Raw_D2!$E$2:$E$1001,$AQ192)),IF($AR192&lt;&gt;"",IF(INDEX(Raw_D3!$M$2:$M$1001,$AR192)="","",INDEX(Raw_D3!$M$2:$M$1001,$AR192)),"")))</f>
        <v>0.194</v>
      </c>
      <c r="N192" s="5">
        <f>IF($A192="","",IF($AQ192&lt;&gt;"",IF(INDEX(Raw_D2!$F$2:$F$1001,$AQ192)="","",INDEX(Raw_D2!$F$2:$F$1001,$AQ192)),IF($AR192&lt;&gt;"",IF(INDEX(Raw_D3!$N$2:$N$1001,$AR192)="","",INDEX(Raw_D3!$N$2:$N$1001,$AR192)),"")))</f>
        <v>0</v>
      </c>
      <c r="O192" s="5">
        <f>IF($A192="","",IF($AQ192&lt;&gt;"",IF(INDEX(Raw_D2!$G$2:$G$1001,$AQ192)="","",INDEX(Raw_D2!$G$2:$G$1001,$AQ192)),IF($AR192&lt;&gt;"",IF(INDEX(Raw_D3!$O$2:$O$1001,$AR192)="","",INDEX(Raw_D3!$O$2:$O$1001,$AR192)),"")))</f>
        <v>1</v>
      </c>
      <c r="P192" s="5">
        <f>IF($A192="","",IF($AQ192&lt;&gt;"",IF(INDEX(Raw_D2!$H$2:$H$1001,$AQ192)="","",INDEX(Raw_D2!$H$2:$H$1001,$AQ192)),IF($AR192&lt;&gt;"",IF(INDEX(Raw_D3!$P$2:$P$1001,$AR192)="","",INDEX(Raw_D3!$P$2:$P$1001,$AR192)),"")))</f>
        <v>1</v>
      </c>
      <c r="Q192" s="5" t="str">
        <f>IF($A192="","",IF(AND($AP192&lt;&gt;"",$AQ192&lt;&gt;""),"D1+D2",IF($AR192&lt;&gt;"","D3","Incomplete")))</f>
        <v>D1+D2</v>
      </c>
      <c r="R192" s="17">
        <f>IF($A192="","",IF($K192="",IF($J192="","",ROUND(Lookups!$K$5+Lookups!$K$4*$J192,4)),$K192))</f>
        <v>0.0909</v>
      </c>
      <c r="S192" s="5" t="str">
        <f>IF($A192="","",IF($K192="","Imputed","Original"))</f>
        <v>Original</v>
      </c>
      <c r="T192" s="5" t="str">
        <f>IF($A192="","",IF($P192="","Missing",IF($P192=$N192+$O192,"OK","Mismatch")))</f>
        <v>OK</v>
      </c>
      <c r="U192" s="5" t="str">
        <f>IF($A192="","",IF(COUNTIF($A$2:$A192,$A192)&gt;1,"Duplicate","Unique"))</f>
        <v>Unique</v>
      </c>
      <c r="V192" s="5">
        <f>IF($A192="","",IF(AND($U192="Unique",ISNUMBER($P192)),1,0))</f>
        <v>1</v>
      </c>
      <c r="W192" s="5" t="str">
        <f>IF($A192="","",IF(OR($H192=0,$H192=6),"Weekend","Weekday"))</f>
        <v>Weekend</v>
      </c>
      <c r="X192" s="5" t="str">
        <f>IF($A192="","",TEXT($B192,"ddd"))</f>
        <v>Sun</v>
      </c>
      <c r="Y192" s="5" t="str">
        <f>IF($A192="","",TEXT($B192,"mmm"))</f>
        <v>Jan</v>
      </c>
      <c r="Z192" s="5" t="str">
        <f>IF($A192="","",IFERROR(VLOOKUP($C192,Lookups!$D$4:$E$7,2,FALSE),"Unknown"))</f>
        <v>Winter</v>
      </c>
      <c r="AA192" s="5" t="str">
        <f>IF($A192="","",IFERROR(VLOOKUP($I192,Lookups!$A$4:$B$7,2,FALSE),"Unknown"))</f>
        <v>Clear</v>
      </c>
      <c r="AB192" s="5" t="str">
        <f>IF($A192="","",TEXT($F192,"00")&amp;":00")</f>
        <v>05:00</v>
      </c>
      <c r="AC192" s="5" t="str">
        <f>IF($A192="","",VLOOKUP($F192,Lookups!$G$4:$H$8,2,TRUE))</f>
        <v>Night (00-05)</v>
      </c>
      <c r="AD192" s="18">
        <f>IF($A192="","",IF($J192="","",ROUND($J192*41,1)))</f>
        <v>3.3</v>
      </c>
      <c r="AE192" s="18">
        <f>IF($A192="","",IF($R192="","",ROUND($R192*50,1)))</f>
        <v>4.5</v>
      </c>
      <c r="AF192" s="5">
        <f>IF($A192="","",IF($L192="","",ROUND($L192*100,0)))</f>
        <v>53</v>
      </c>
      <c r="AG192" s="18">
        <f>IF($A192="","",IF($M192="","",ROUND($M192*67,1)))</f>
        <v>13</v>
      </c>
      <c r="AH192" s="19">
        <f>IF($A192="","",IF($P192="","",IF($P192=0,0,$O192/$P192)))</f>
        <v>1</v>
      </c>
      <c r="AI192" s="5" t="str">
        <f>IF($A192="","",IF($P192="","",IF($P192&gt;=Lookups!$K$7,"High",IF($P192&lt;=Lookups!$K$8,"Low","Medium"))))</f>
        <v>Low</v>
      </c>
      <c r="AJ192" s="5" t="str">
        <f>IF($A192="","",IF($AD192="","",IF($AD192&lt;5,"Under 5 C",IF($AD192&lt;10,"5-10 C",IF($AD192&lt;15,"10-15 C","15 C and above")))))</f>
        <v>Under 5 C</v>
      </c>
      <c r="AK192" s="5">
        <f>IF($A192="","",IF($P192="","",$P192^2))</f>
        <v>1</v>
      </c>
      <c r="AL192" s="18">
        <f>IF($V192&lt;&gt;1,"",AVERAGEIFS(Clean_Data!$P$2:$P$1001,Clean_Data!$F$2:$F$1001,$F192,Clean_Data!$W$2:$W$1001,$W192,Clean_Data!$V$2:$V$1001,1))</f>
        <v>2.7</v>
      </c>
      <c r="AM192" s="16">
        <f>IF($V192&lt;&gt;1,"",IFERROR(($P192-$AL192)/SQRT(MAX(0,(SUMIFS(Clean_Data!$AK$2:$AK$1001,Clean_Data!$F$2:$F$1001,$F192,Clean_Data!$W$2:$W$1001,$W192,Clean_Data!$V$2:$V$1001,1)-COUNTIFS(Clean_Data!$F$2:$F$1001,$F192,Clean_Data!$W$2:$W$1001,$W192,Clean_Data!$V$2:$V$1001,1)*$AL192^2)/(COUNTIFS(Clean_Data!$F$2:$F$1001,$F192,Clean_Data!$W$2:$W$1001,$W192,Clean_Data!$V$2:$V$1001,1)-1))),""))</f>
        <v>-0.65785918110418</v>
      </c>
      <c r="AN192" s="5" t="str">
        <f>IF($AM192="","",IF($AM192&gt;=Lookups!$K$6,"High spike",IF($AM192&lt;=-Lookups!$K$6,"Unusual low","Normal")))</f>
        <v>Normal</v>
      </c>
      <c r="AO192" s="20">
        <f>IF($V192&lt;&gt;1,"",$P192+ROW()/100000)</f>
        <v>1.00192</v>
      </c>
      <c r="AP192" s="5">
        <f>IF($A192="","",IFERROR(MATCH($A192,Raw_D1!$A$2:$A$1001,0),""))</f>
        <v>191</v>
      </c>
      <c r="AQ192" s="5">
        <f>IF($A192="","",IFERROR(MATCH($A192,Raw_D2!$B$2:$B$1001,0),""))</f>
        <v>191</v>
      </c>
      <c r="AR192" s="5">
        <f>IF($A192="","",IFERROR(MATCH($A192,Raw_D3!$A$2:$A$1001,0),""))</f>
        <v/>
      </c>
    </row>
    <row r="193" spans="1:44" x14ac:dyDescent="0.25">
      <c r="A193" s="5">
        <v>192</v>
      </c>
      <c r="B193" s="11">
        <f>IF($A193="","",IF($AP193&lt;&gt;"",INDEX(Raw_D1!$B$2:$B$1001,$AP193),IF($AR193&lt;&gt;"",INDEX(Raw_D3!$B$2:$B$1001,$AR193),"")))</f>
        <v>40552.0</v>
      </c>
      <c r="C193" s="5">
        <f>IF($A193="","",IF($AP193&lt;&gt;"",INDEX(Raw_D1!$C$2:$C$1001,$AP193),IF($AR193&lt;&gt;"",INDEX(Raw_D3!$C$2:$C$1001,$AR193),"")))</f>
        <v>1</v>
      </c>
      <c r="D193" s="5">
        <f>IF($A193="","",IF($AP193&lt;&gt;"",INDEX(Raw_D1!$D$2:$D$1001,$AP193),IF($AR193&lt;&gt;"",INDEX(Raw_D3!$D$2:$D$1001,$AR193),"")))</f>
        <v>0</v>
      </c>
      <c r="E193" s="5">
        <f>IF($A193="","",IF($AP193&lt;&gt;"",INDEX(Raw_D1!$E$2:$E$1001,$AP193),IF($AR193&lt;&gt;"",INDEX(Raw_D3!$E$2:$E$1001,$AR193),"")))</f>
        <v>1</v>
      </c>
      <c r="F193" s="5">
        <f>IF($A193="","",IF($AP193&lt;&gt;"",INDEX(Raw_D1!$F$2:$F$1001,$AP193),IF($AR193&lt;&gt;"",INDEX(Raw_D3!$F$2:$F$1001,$AR193),"")))</f>
        <v>6</v>
      </c>
      <c r="G193" s="5">
        <f>IF($A193="","",IF($AP193&lt;&gt;"",IF(INDEX(Raw_D1!$G$2:$G$1001,$AP193),1,0),IF($AR193&lt;&gt;"",IF(INDEX(Raw_D3!$G$2:$G$1001,$AR193),1,0),"")))</f>
        <v>0</v>
      </c>
      <c r="H193" s="5">
        <f>IF($A193="","",IF($AP193&lt;&gt;"",INDEX(Raw_D1!$H$2:$H$1001,$AP193),IF($AR193&lt;&gt;"",INDEX(Raw_D3!$H$2:$H$1001,$AR193),"")))</f>
        <v>0</v>
      </c>
      <c r="I193" s="5">
        <f>IF($A193="","",IF($AP193&lt;&gt;"",INDEX(Raw_D1!$I$2:$I$1001,$AP193),IF($AR193&lt;&gt;"",INDEX(Raw_D3!$I$2:$I$1001,$AR193),"")))</f>
        <v>1</v>
      </c>
      <c r="J193" s="16">
        <f>IF($A193="","",IF($AP193&lt;&gt;"",INDEX(Raw_D1!$J$2:$J$1001,$AP193),IF($AR193&lt;&gt;"",INDEX(Raw_D3!$J$2:$J$1001,$AR193),"")))</f>
        <v>0.1</v>
      </c>
      <c r="K193" s="17">
        <f>IF($A193="","",IF($AQ193&lt;&gt;"",IF(INDEX(Raw_D2!$C$2:$C$1001,$AQ193)="","",INDEX(Raw_D2!$C$2:$C$1001,$AQ193)),IF($AR193&lt;&gt;"",IF(INDEX(Raw_D3!$K$2:$K$1001,$AR193)="","",INDEX(Raw_D3!$K$2:$K$1001,$AR193)),"")))</f>
        <v>0.0909</v>
      </c>
      <c r="L193" s="16">
        <f>IF($A193="","",IF($AQ193&lt;&gt;"",IF(INDEX(Raw_D2!$D$2:$D$1001,$AQ193)="","",INDEX(Raw_D2!$D$2:$D$1001,$AQ193)),IF($AR193&lt;&gt;"",IF(INDEX(Raw_D3!$L$2:$L$1001,$AR193)="","",INDEX(Raw_D3!$L$2:$L$1001,$AR193)),"")))</f>
        <v>0.49</v>
      </c>
      <c r="M193" s="17">
        <f>IF($A193="","",IF($AQ193&lt;&gt;"",IF(INDEX(Raw_D2!$E$2:$E$1001,$AQ193)="","",INDEX(Raw_D2!$E$2:$E$1001,$AQ193)),IF($AR193&lt;&gt;"",IF(INDEX(Raw_D3!$M$2:$M$1001,$AR193)="","",INDEX(Raw_D3!$M$2:$M$1001,$AR193)),"")))</f>
        <v>0.2836</v>
      </c>
      <c r="N193" s="5">
        <f>IF($A193="","",IF($AQ193&lt;&gt;"",IF(INDEX(Raw_D2!$F$2:$F$1001,$AQ193)="","",INDEX(Raw_D2!$F$2:$F$1001,$AQ193)),IF($AR193&lt;&gt;"",IF(INDEX(Raw_D3!$N$2:$N$1001,$AR193)="","",INDEX(Raw_D3!$N$2:$N$1001,$AR193)),"")))</f>
        <v>0</v>
      </c>
      <c r="O193" s="5">
        <f>IF($A193="","",IF($AQ193&lt;&gt;"",IF(INDEX(Raw_D2!$G$2:$G$1001,$AQ193)="","",INDEX(Raw_D2!$G$2:$G$1001,$AQ193)),IF($AR193&lt;&gt;"",IF(INDEX(Raw_D3!$O$2:$O$1001,$AR193)="","",INDEX(Raw_D3!$O$2:$O$1001,$AR193)),"")))</f>
        <v>1</v>
      </c>
      <c r="P193" s="5">
        <f>IF($A193="","",IF($AQ193&lt;&gt;"",IF(INDEX(Raw_D2!$H$2:$H$1001,$AQ193)="","",INDEX(Raw_D2!$H$2:$H$1001,$AQ193)),IF($AR193&lt;&gt;"",IF(INDEX(Raw_D3!$P$2:$P$1001,$AR193)="","",INDEX(Raw_D3!$P$2:$P$1001,$AR193)),"")))</f>
        <v>1</v>
      </c>
      <c r="Q193" s="5" t="str">
        <f>IF($A193="","",IF(AND($AP193&lt;&gt;"",$AQ193&lt;&gt;""),"D1+D2",IF($AR193&lt;&gt;"","D3","Incomplete")))</f>
        <v>D1+D2</v>
      </c>
      <c r="R193" s="17">
        <f>IF($A193="","",IF($K193="",IF($J193="","",ROUND(Lookups!$K$5+Lookups!$K$4*$J193,4)),$K193))</f>
        <v>0.0909</v>
      </c>
      <c r="S193" s="5" t="str">
        <f>IF($A193="","",IF($K193="","Imputed","Original"))</f>
        <v>Original</v>
      </c>
      <c r="T193" s="5" t="str">
        <f>IF($A193="","",IF($P193="","Missing",IF($P193=$N193+$O193,"OK","Mismatch")))</f>
        <v>OK</v>
      </c>
      <c r="U193" s="5" t="str">
        <f>IF($A193="","",IF(COUNTIF($A$2:$A193,$A193)&gt;1,"Duplicate","Unique"))</f>
        <v>Unique</v>
      </c>
      <c r="V193" s="5">
        <f>IF($A193="","",IF(AND($U193="Unique",ISNUMBER($P193)),1,0))</f>
        <v>1</v>
      </c>
      <c r="W193" s="5" t="str">
        <f>IF($A193="","",IF(OR($H193=0,$H193=6),"Weekend","Weekday"))</f>
        <v>Weekend</v>
      </c>
      <c r="X193" s="5" t="str">
        <f>IF($A193="","",TEXT($B193,"ddd"))</f>
        <v>Sun</v>
      </c>
      <c r="Y193" s="5" t="str">
        <f>IF($A193="","",TEXT($B193,"mmm"))</f>
        <v>Jan</v>
      </c>
      <c r="Z193" s="5" t="str">
        <f>IF($A193="","",IFERROR(VLOOKUP($C193,Lookups!$D$4:$E$7,2,FALSE),"Unknown"))</f>
        <v>Winter</v>
      </c>
      <c r="AA193" s="5" t="str">
        <f>IF($A193="","",IFERROR(VLOOKUP($I193,Lookups!$A$4:$B$7,2,FALSE),"Unknown"))</f>
        <v>Clear</v>
      </c>
      <c r="AB193" s="5" t="str">
        <f>IF($A193="","",TEXT($F193,"00")&amp;":00")</f>
        <v>06:00</v>
      </c>
      <c r="AC193" s="5" t="str">
        <f>IF($A193="","",VLOOKUP($F193,Lookups!$G$4:$H$8,2,TRUE))</f>
        <v>Morning Peak (06-09)</v>
      </c>
      <c r="AD193" s="18">
        <f>IF($A193="","",IF($J193="","",ROUND($J193*41,1)))</f>
        <v>4.1</v>
      </c>
      <c r="AE193" s="18">
        <f>IF($A193="","",IF($R193="","",ROUND($R193*50,1)))</f>
        <v>4.5</v>
      </c>
      <c r="AF193" s="5">
        <f>IF($A193="","",IF($L193="","",ROUND($L193*100,0)))</f>
        <v>49</v>
      </c>
      <c r="AG193" s="18">
        <f>IF($A193="","",IF($M193="","",ROUND($M193*67,1)))</f>
        <v>19</v>
      </c>
      <c r="AH193" s="19">
        <f>IF($A193="","",IF($P193="","",IF($P193=0,0,$O193/$P193)))</f>
        <v>1</v>
      </c>
      <c r="AI193" s="5" t="str">
        <f>IF($A193="","",IF($P193="","",IF($P193&gt;=Lookups!$K$7,"High",IF($P193&lt;=Lookups!$K$8,"Low","Medium"))))</f>
        <v>Low</v>
      </c>
      <c r="AJ193" s="5" t="str">
        <f>IF($A193="","",IF($AD193="","",IF($AD193&lt;5,"Under 5 C",IF($AD193&lt;10,"5-10 C",IF($AD193&lt;15,"10-15 C","15 C and above")))))</f>
        <v>Under 5 C</v>
      </c>
      <c r="AK193" s="5">
        <f>IF($A193="","",IF($P193="","",$P193^2))</f>
        <v>1</v>
      </c>
      <c r="AL193" s="18">
        <f>IF($V193&lt;&gt;1,"",AVERAGEIFS(Clean_Data!$P$2:$P$1001,Clean_Data!$F$2:$F$1001,$F193,Clean_Data!$W$2:$W$1001,$W193,Clean_Data!$V$2:$V$1001,1))</f>
        <v>2.15384615384615</v>
      </c>
      <c r="AM193" s="16">
        <f>IF($V193&lt;&gt;1,"",IFERROR(($P193-$AL193)/SQRT(MAX(0,(SUMIFS(Clean_Data!$AK$2:$AK$1001,Clean_Data!$F$2:$F$1001,$F193,Clean_Data!$W$2:$W$1001,$W193,Clean_Data!$V$2:$V$1001,1)-COUNTIFS(Clean_Data!$F$2:$F$1001,$F193,Clean_Data!$W$2:$W$1001,$W193,Clean_Data!$V$2:$V$1001,1)*$AL193^2)/(COUNTIFS(Clean_Data!$F$2:$F$1001,$F193,Clean_Data!$W$2:$W$1001,$W193,Clean_Data!$V$2:$V$1001,1)-1))),""))</f>
        <v>-0.950268400739926</v>
      </c>
      <c r="AN193" s="5" t="str">
        <f>IF($AM193="","",IF($AM193&gt;=Lookups!$K$6,"High spike",IF($AM193&lt;=-Lookups!$K$6,"Unusual low","Normal")))</f>
        <v>Normal</v>
      </c>
      <c r="AO193" s="20">
        <f>IF($V193&lt;&gt;1,"",$P193+ROW()/100000)</f>
        <v>1.00193</v>
      </c>
      <c r="AP193" s="5">
        <f>IF($A193="","",IFERROR(MATCH($A193,Raw_D1!$A$2:$A$1001,0),""))</f>
        <v>192</v>
      </c>
      <c r="AQ193" s="5">
        <f>IF($A193="","",IFERROR(MATCH($A193,Raw_D2!$B$2:$B$1001,0),""))</f>
        <v>192</v>
      </c>
      <c r="AR193" s="5">
        <f>IF($A193="","",IFERROR(MATCH($A193,Raw_D3!$A$2:$A$1001,0),""))</f>
        <v/>
      </c>
    </row>
    <row r="194" spans="1:44" x14ac:dyDescent="0.25">
      <c r="A194" s="5">
        <v>193</v>
      </c>
      <c r="B194" s="11">
        <f>IF($A194="","",IF($AP194&lt;&gt;"",INDEX(Raw_D1!$B$2:$B$1001,$AP194),IF($AR194&lt;&gt;"",INDEX(Raw_D3!$B$2:$B$1001,$AR194),"")))</f>
        <v>40552.0</v>
      </c>
      <c r="C194" s="5">
        <f>IF($A194="","",IF($AP194&lt;&gt;"",INDEX(Raw_D1!$C$2:$C$1001,$AP194),IF($AR194&lt;&gt;"",INDEX(Raw_D3!$C$2:$C$1001,$AR194),"")))</f>
        <v>1</v>
      </c>
      <c r="D194" s="5">
        <f>IF($A194="","",IF($AP194&lt;&gt;"",INDEX(Raw_D1!$D$2:$D$1001,$AP194),IF($AR194&lt;&gt;"",INDEX(Raw_D3!$D$2:$D$1001,$AR194),"")))</f>
        <v>0</v>
      </c>
      <c r="E194" s="5">
        <f>IF($A194="","",IF($AP194&lt;&gt;"",INDEX(Raw_D1!$E$2:$E$1001,$AP194),IF($AR194&lt;&gt;"",INDEX(Raw_D3!$E$2:$E$1001,$AR194),"")))</f>
        <v>1</v>
      </c>
      <c r="F194" s="5">
        <f>IF($A194="","",IF($AP194&lt;&gt;"",INDEX(Raw_D1!$F$2:$F$1001,$AP194),IF($AR194&lt;&gt;"",INDEX(Raw_D3!$F$2:$F$1001,$AR194),"")))</f>
        <v>7</v>
      </c>
      <c r="G194" s="5">
        <f>IF($A194="","",IF($AP194&lt;&gt;"",IF(INDEX(Raw_D1!$G$2:$G$1001,$AP194),1,0),IF($AR194&lt;&gt;"",IF(INDEX(Raw_D3!$G$2:$G$1001,$AR194),1,0),"")))</f>
        <v>0</v>
      </c>
      <c r="H194" s="5">
        <f>IF($A194="","",IF($AP194&lt;&gt;"",INDEX(Raw_D1!$H$2:$H$1001,$AP194),IF($AR194&lt;&gt;"",INDEX(Raw_D3!$H$2:$H$1001,$AR194),"")))</f>
        <v>0</v>
      </c>
      <c r="I194" s="5">
        <f>IF($A194="","",IF($AP194&lt;&gt;"",INDEX(Raw_D1!$I$2:$I$1001,$AP194),IF($AR194&lt;&gt;"",INDEX(Raw_D3!$I$2:$I$1001,$AR194),"")))</f>
        <v>1</v>
      </c>
      <c r="J194" s="16">
        <f>IF($A194="","",IF($AP194&lt;&gt;"",INDEX(Raw_D1!$J$2:$J$1001,$AP194),IF($AR194&lt;&gt;"",INDEX(Raw_D3!$J$2:$J$1001,$AR194),"")))</f>
        <v>0.08</v>
      </c>
      <c r="K194" s="17">
        <f>IF($A194="","",IF($AQ194&lt;&gt;"",IF(INDEX(Raw_D2!$C$2:$C$1001,$AQ194)="","",INDEX(Raw_D2!$C$2:$C$1001,$AQ194)),IF($AR194&lt;&gt;"",IF(INDEX(Raw_D3!$K$2:$K$1001,$AR194)="","",INDEX(Raw_D3!$K$2:$K$1001,$AR194)),"")))</f>
        <v>0.0909</v>
      </c>
      <c r="L194" s="16">
        <f>IF($A194="","",IF($AQ194&lt;&gt;"",IF(INDEX(Raw_D2!$D$2:$D$1001,$AQ194)="","",INDEX(Raw_D2!$D$2:$D$1001,$AQ194)),IF($AR194&lt;&gt;"",IF(INDEX(Raw_D3!$L$2:$L$1001,$AR194)="","",INDEX(Raw_D3!$L$2:$L$1001,$AR194)),"")))</f>
        <v>0.53</v>
      </c>
      <c r="M194" s="17">
        <f>IF($A194="","",IF($AQ194&lt;&gt;"",IF(INDEX(Raw_D2!$E$2:$E$1001,$AQ194)="","",INDEX(Raw_D2!$E$2:$E$1001,$AQ194)),IF($AR194&lt;&gt;"",IF(INDEX(Raw_D3!$M$2:$M$1001,$AR194)="","",INDEX(Raw_D3!$M$2:$M$1001,$AR194)),"")))</f>
        <v>0.194</v>
      </c>
      <c r="N194" s="5">
        <f>IF($A194="","",IF($AQ194&lt;&gt;"",IF(INDEX(Raw_D2!$F$2:$F$1001,$AQ194)="","",INDEX(Raw_D2!$F$2:$F$1001,$AQ194)),IF($AR194&lt;&gt;"",IF(INDEX(Raw_D3!$N$2:$N$1001,$AR194)="","",INDEX(Raw_D3!$N$2:$N$1001,$AR194)),"")))</f>
        <v>1</v>
      </c>
      <c r="O194" s="5">
        <f>IF($A194="","",IF($AQ194&lt;&gt;"",IF(INDEX(Raw_D2!$G$2:$G$1001,$AQ194)="","",INDEX(Raw_D2!$G$2:$G$1001,$AQ194)),IF($AR194&lt;&gt;"",IF(INDEX(Raw_D3!$O$2:$O$1001,$AR194)="","",INDEX(Raw_D3!$O$2:$O$1001,$AR194)),"")))</f>
        <v>5</v>
      </c>
      <c r="P194" s="5">
        <f>IF($A194="","",IF($AQ194&lt;&gt;"",IF(INDEX(Raw_D2!$H$2:$H$1001,$AQ194)="","",INDEX(Raw_D2!$H$2:$H$1001,$AQ194)),IF($AR194&lt;&gt;"",IF(INDEX(Raw_D3!$P$2:$P$1001,$AR194)="","",INDEX(Raw_D3!$P$2:$P$1001,$AR194)),"")))</f>
        <v>6</v>
      </c>
      <c r="Q194" s="5" t="str">
        <f>IF($A194="","",IF(AND($AP194&lt;&gt;"",$AQ194&lt;&gt;""),"D1+D2",IF($AR194&lt;&gt;"","D3","Incomplete")))</f>
        <v>D1+D2</v>
      </c>
      <c r="R194" s="17">
        <f>IF($A194="","",IF($K194="",IF($J194="","",ROUND(Lookups!$K$5+Lookups!$K$4*$J194,4)),$K194))</f>
        <v>0.0909</v>
      </c>
      <c r="S194" s="5" t="str">
        <f>IF($A194="","",IF($K194="","Imputed","Original"))</f>
        <v>Original</v>
      </c>
      <c r="T194" s="5" t="str">
        <f>IF($A194="","",IF($P194="","Missing",IF($P194=$N194+$O194,"OK","Mismatch")))</f>
        <v>OK</v>
      </c>
      <c r="U194" s="5" t="str">
        <f>IF($A194="","",IF(COUNTIF($A$2:$A194,$A194)&gt;1,"Duplicate","Unique"))</f>
        <v>Unique</v>
      </c>
      <c r="V194" s="5">
        <f>IF($A194="","",IF(AND($U194="Unique",ISNUMBER($P194)),1,0))</f>
        <v>1</v>
      </c>
      <c r="W194" s="5" t="str">
        <f>IF($A194="","",IF(OR($H194=0,$H194=6),"Weekend","Weekday"))</f>
        <v>Weekend</v>
      </c>
      <c r="X194" s="5" t="str">
        <f>IF($A194="","",TEXT($B194,"ddd"))</f>
        <v>Sun</v>
      </c>
      <c r="Y194" s="5" t="str">
        <f>IF($A194="","",TEXT($B194,"mmm"))</f>
        <v>Jan</v>
      </c>
      <c r="Z194" s="5" t="str">
        <f>IF($A194="","",IFERROR(VLOOKUP($C194,Lookups!$D$4:$E$7,2,FALSE),"Unknown"))</f>
        <v>Winter</v>
      </c>
      <c r="AA194" s="5" t="str">
        <f>IF($A194="","",IFERROR(VLOOKUP($I194,Lookups!$A$4:$B$7,2,FALSE),"Unknown"))</f>
        <v>Clear</v>
      </c>
      <c r="AB194" s="5" t="str">
        <f>IF($A194="","",TEXT($F194,"00")&amp;":00")</f>
        <v>07:00</v>
      </c>
      <c r="AC194" s="5" t="str">
        <f>IF($A194="","",VLOOKUP($F194,Lookups!$G$4:$H$8,2,TRUE))</f>
        <v>Morning Peak (06-09)</v>
      </c>
      <c r="AD194" s="18">
        <f>IF($A194="","",IF($J194="","",ROUND($J194*41,1)))</f>
        <v>3.3</v>
      </c>
      <c r="AE194" s="18">
        <f>IF($A194="","",IF($R194="","",ROUND($R194*50,1)))</f>
        <v>4.5</v>
      </c>
      <c r="AF194" s="5">
        <f>IF($A194="","",IF($L194="","",ROUND($L194*100,0)))</f>
        <v>53</v>
      </c>
      <c r="AG194" s="18">
        <f>IF($A194="","",IF($M194="","",ROUND($M194*67,1)))</f>
        <v>13</v>
      </c>
      <c r="AH194" s="19">
        <f>IF($A194="","",IF($P194="","",IF($P194=0,0,$O194/$P194)))</f>
        <v>0.833333333333333</v>
      </c>
      <c r="AI194" s="5" t="str">
        <f>IF($A194="","",IF($P194="","",IF($P194&gt;=Lookups!$K$7,"High",IF($P194&lt;=Lookups!$K$8,"Low","Medium"))))</f>
        <v>Low</v>
      </c>
      <c r="AJ194" s="5" t="str">
        <f>IF($A194="","",IF($AD194="","",IF($AD194&lt;5,"Under 5 C",IF($AD194&lt;10,"5-10 C",IF($AD194&lt;15,"10-15 C","15 C and above")))))</f>
        <v>Under 5 C</v>
      </c>
      <c r="AK194" s="5">
        <f>IF($A194="","",IF($P194="","",$P194^2))</f>
        <v>36</v>
      </c>
      <c r="AL194" s="18">
        <f>IF($V194&lt;&gt;1,"",AVERAGEIFS(Clean_Data!$P$2:$P$1001,Clean_Data!$F$2:$F$1001,$F194,Clean_Data!$W$2:$W$1001,$W194,Clean_Data!$V$2:$V$1001,1))</f>
        <v>5.42857142857143</v>
      </c>
      <c r="AM194" s="16">
        <f>IF($V194&lt;&gt;1,"",IFERROR(($P194-$AL194)/SQRT(MAX(0,(SUMIFS(Clean_Data!$AK$2:$AK$1001,Clean_Data!$F$2:$F$1001,$F194,Clean_Data!$W$2:$W$1001,$W194,Clean_Data!$V$2:$V$1001,1)-COUNTIFS(Clean_Data!$F$2:$F$1001,$F194,Clean_Data!$W$2:$W$1001,$W194,Clean_Data!$V$2:$V$1001,1)*$AL194^2)/(COUNTIFS(Clean_Data!$F$2:$F$1001,$F194,Clean_Data!$W$2:$W$1001,$W194,Clean_Data!$V$2:$V$1001,1)-1))),""))</f>
        <v>0.177042885321375</v>
      </c>
      <c r="AN194" s="5" t="str">
        <f>IF($AM194="","",IF($AM194&gt;=Lookups!$K$6,"High spike",IF($AM194&lt;=-Lookups!$K$6,"Unusual low","Normal")))</f>
        <v>Normal</v>
      </c>
      <c r="AO194" s="20">
        <f>IF($V194&lt;&gt;1,"",$P194+ROW()/100000)</f>
        <v>6.00194</v>
      </c>
      <c r="AP194" s="5">
        <f>IF($A194="","",IFERROR(MATCH($A194,Raw_D1!$A$2:$A$1001,0),""))</f>
        <v>193</v>
      </c>
      <c r="AQ194" s="5">
        <f>IF($A194="","",IFERROR(MATCH($A194,Raw_D2!$B$2:$B$1001,0),""))</f>
        <v>193</v>
      </c>
      <c r="AR194" s="5">
        <f>IF($A194="","",IFERROR(MATCH($A194,Raw_D3!$A$2:$A$1001,0),""))</f>
        <v/>
      </c>
    </row>
    <row r="195" spans="1:44" x14ac:dyDescent="0.25">
      <c r="A195" s="5">
        <v>194</v>
      </c>
      <c r="B195" s="11">
        <f>IF($A195="","",IF($AP195&lt;&gt;"",INDEX(Raw_D1!$B$2:$B$1001,$AP195),IF($AR195&lt;&gt;"",INDEX(Raw_D3!$B$2:$B$1001,$AR195),"")))</f>
        <v>40552.0</v>
      </c>
      <c r="C195" s="5">
        <f>IF($A195="","",IF($AP195&lt;&gt;"",INDEX(Raw_D1!$C$2:$C$1001,$AP195),IF($AR195&lt;&gt;"",INDEX(Raw_D3!$C$2:$C$1001,$AR195),"")))</f>
        <v>1</v>
      </c>
      <c r="D195" s="5">
        <f>IF($A195="","",IF($AP195&lt;&gt;"",INDEX(Raw_D1!$D$2:$D$1001,$AP195),IF($AR195&lt;&gt;"",INDEX(Raw_D3!$D$2:$D$1001,$AR195),"")))</f>
        <v>0</v>
      </c>
      <c r="E195" s="5">
        <f>IF($A195="","",IF($AP195&lt;&gt;"",INDEX(Raw_D1!$E$2:$E$1001,$AP195),IF($AR195&lt;&gt;"",INDEX(Raw_D3!$E$2:$E$1001,$AR195),"")))</f>
        <v>1</v>
      </c>
      <c r="F195" s="5">
        <f>IF($A195="","",IF($AP195&lt;&gt;"",INDEX(Raw_D1!$F$2:$F$1001,$AP195),IF($AR195&lt;&gt;"",INDEX(Raw_D3!$F$2:$F$1001,$AR195),"")))</f>
        <v>8</v>
      </c>
      <c r="G195" s="5">
        <f>IF($A195="","",IF($AP195&lt;&gt;"",IF(INDEX(Raw_D1!$G$2:$G$1001,$AP195),1,0),IF($AR195&lt;&gt;"",IF(INDEX(Raw_D3!$G$2:$G$1001,$AR195),1,0),"")))</f>
        <v>0</v>
      </c>
      <c r="H195" s="5">
        <f>IF($A195="","",IF($AP195&lt;&gt;"",INDEX(Raw_D1!$H$2:$H$1001,$AP195),IF($AR195&lt;&gt;"",INDEX(Raw_D3!$H$2:$H$1001,$AR195),"")))</f>
        <v>0</v>
      </c>
      <c r="I195" s="5">
        <f>IF($A195="","",IF($AP195&lt;&gt;"",INDEX(Raw_D1!$I$2:$I$1001,$AP195),IF($AR195&lt;&gt;"",INDEX(Raw_D3!$I$2:$I$1001,$AR195),"")))</f>
        <v>1</v>
      </c>
      <c r="J195" s="16">
        <f>IF($A195="","",IF($AP195&lt;&gt;"",INDEX(Raw_D1!$J$2:$J$1001,$AP195),IF($AR195&lt;&gt;"",INDEX(Raw_D3!$J$2:$J$1001,$AR195),"")))</f>
        <v>0.1</v>
      </c>
      <c r="K195" s="17">
        <f>IF($A195="","",IF($AQ195&lt;&gt;"",IF(INDEX(Raw_D2!$C$2:$C$1001,$AQ195)="","",INDEX(Raw_D2!$C$2:$C$1001,$AQ195)),IF($AR195&lt;&gt;"",IF(INDEX(Raw_D3!$K$2:$K$1001,$AR195)="","",INDEX(Raw_D3!$K$2:$K$1001,$AR195)),"")))</f>
        <v>0.0909</v>
      </c>
      <c r="L195" s="16">
        <f>IF($A195="","",IF($AQ195&lt;&gt;"",IF(INDEX(Raw_D2!$D$2:$D$1001,$AQ195)="","",INDEX(Raw_D2!$D$2:$D$1001,$AQ195)),IF($AR195&lt;&gt;"",IF(INDEX(Raw_D3!$L$2:$L$1001,$AR195)="","",INDEX(Raw_D3!$L$2:$L$1001,$AR195)),"")))</f>
        <v>0.49</v>
      </c>
      <c r="M195" s="17">
        <f>IF($A195="","",IF($AQ195&lt;&gt;"",IF(INDEX(Raw_D2!$E$2:$E$1001,$AQ195)="","",INDEX(Raw_D2!$E$2:$E$1001,$AQ195)),IF($AR195&lt;&gt;"",IF(INDEX(Raw_D3!$M$2:$M$1001,$AR195)="","",INDEX(Raw_D3!$M$2:$M$1001,$AR195)),"")))</f>
        <v>0.2836</v>
      </c>
      <c r="N195" s="5">
        <f>IF($A195="","",IF($AQ195&lt;&gt;"",IF(INDEX(Raw_D2!$F$2:$F$1001,$AQ195)="","",INDEX(Raw_D2!$F$2:$F$1001,$AQ195)),IF($AR195&lt;&gt;"",IF(INDEX(Raw_D3!$N$2:$N$1001,$AR195)="","",INDEX(Raw_D3!$N$2:$N$1001,$AR195)),"")))</f>
        <v>0</v>
      </c>
      <c r="O195" s="5">
        <f>IF($A195="","",IF($AQ195&lt;&gt;"",IF(INDEX(Raw_D2!$G$2:$G$1001,$AQ195)="","",INDEX(Raw_D2!$G$2:$G$1001,$AQ195)),IF($AR195&lt;&gt;"",IF(INDEX(Raw_D3!$O$2:$O$1001,$AR195)="","",INDEX(Raw_D3!$O$2:$O$1001,$AR195)),"")))</f>
        <v>10</v>
      </c>
      <c r="P195" s="5">
        <f>IF($A195="","",IF($AQ195&lt;&gt;"",IF(INDEX(Raw_D2!$H$2:$H$1001,$AQ195)="","",INDEX(Raw_D2!$H$2:$H$1001,$AQ195)),IF($AR195&lt;&gt;"",IF(INDEX(Raw_D3!$P$2:$P$1001,$AR195)="","",INDEX(Raw_D3!$P$2:$P$1001,$AR195)),"")))</f>
        <v>10</v>
      </c>
      <c r="Q195" s="5" t="str">
        <f>IF($A195="","",IF(AND($AP195&lt;&gt;"",$AQ195&lt;&gt;""),"D1+D2",IF($AR195&lt;&gt;"","D3","Incomplete")))</f>
        <v>D1+D2</v>
      </c>
      <c r="R195" s="17">
        <f>IF($A195="","",IF($K195="",IF($J195="","",ROUND(Lookups!$K$5+Lookups!$K$4*$J195,4)),$K195))</f>
        <v>0.0909</v>
      </c>
      <c r="S195" s="5" t="str">
        <f>IF($A195="","",IF($K195="","Imputed","Original"))</f>
        <v>Original</v>
      </c>
      <c r="T195" s="5" t="str">
        <f>IF($A195="","",IF($P195="","Missing",IF($P195=$N195+$O195,"OK","Mismatch")))</f>
        <v>OK</v>
      </c>
      <c r="U195" s="5" t="str">
        <f>IF($A195="","",IF(COUNTIF($A$2:$A195,$A195)&gt;1,"Duplicate","Unique"))</f>
        <v>Unique</v>
      </c>
      <c r="V195" s="5">
        <f>IF($A195="","",IF(AND($U195="Unique",ISNUMBER($P195)),1,0))</f>
        <v>1</v>
      </c>
      <c r="W195" s="5" t="str">
        <f>IF($A195="","",IF(OR($H195=0,$H195=6),"Weekend","Weekday"))</f>
        <v>Weekend</v>
      </c>
      <c r="X195" s="5" t="str">
        <f>IF($A195="","",TEXT($B195,"ddd"))</f>
        <v>Sun</v>
      </c>
      <c r="Y195" s="5" t="str">
        <f>IF($A195="","",TEXT($B195,"mmm"))</f>
        <v>Jan</v>
      </c>
      <c r="Z195" s="5" t="str">
        <f>IF($A195="","",IFERROR(VLOOKUP($C195,Lookups!$D$4:$E$7,2,FALSE),"Unknown"))</f>
        <v>Winter</v>
      </c>
      <c r="AA195" s="5" t="str">
        <f>IF($A195="","",IFERROR(VLOOKUP($I195,Lookups!$A$4:$B$7,2,FALSE),"Unknown"))</f>
        <v>Clear</v>
      </c>
      <c r="AB195" s="5" t="str">
        <f>IF($A195="","",TEXT($F195,"00")&amp;":00")</f>
        <v>08:00</v>
      </c>
      <c r="AC195" s="5" t="str">
        <f>IF($A195="","",VLOOKUP($F195,Lookups!$G$4:$H$8,2,TRUE))</f>
        <v>Morning Peak (06-09)</v>
      </c>
      <c r="AD195" s="18">
        <f>IF($A195="","",IF($J195="","",ROUND($J195*41,1)))</f>
        <v>4.1</v>
      </c>
      <c r="AE195" s="18">
        <f>IF($A195="","",IF($R195="","",ROUND($R195*50,1)))</f>
        <v>4.5</v>
      </c>
      <c r="AF195" s="5">
        <f>IF($A195="","",IF($L195="","",ROUND($L195*100,0)))</f>
        <v>49</v>
      </c>
      <c r="AG195" s="18">
        <f>IF($A195="","",IF($M195="","",ROUND($M195*67,1)))</f>
        <v>19</v>
      </c>
      <c r="AH195" s="19">
        <f>IF($A195="","",IF($P195="","",IF($P195=0,0,$O195/$P195)))</f>
        <v>1</v>
      </c>
      <c r="AI195" s="5" t="str">
        <f>IF($A195="","",IF($P195="","",IF($P195&gt;=Lookups!$K$7,"High",IF($P195&lt;=Lookups!$K$8,"Low","Medium"))))</f>
        <v>Low</v>
      </c>
      <c r="AJ195" s="5" t="str">
        <f>IF($A195="","",IF($AD195="","",IF($AD195&lt;5,"Under 5 C",IF($AD195&lt;10,"5-10 C",IF($AD195&lt;15,"10-15 C","15 C and above")))))</f>
        <v>Under 5 C</v>
      </c>
      <c r="AK195" s="5">
        <f>IF($A195="","",IF($P195="","",$P195^2))</f>
        <v>100</v>
      </c>
      <c r="AL195" s="18">
        <f>IF($V195&lt;&gt;1,"",AVERAGEIFS(Clean_Data!$P$2:$P$1001,Clean_Data!$F$2:$F$1001,$F195,Clean_Data!$W$2:$W$1001,$W195,Clean_Data!$V$2:$V$1001,1))</f>
        <v>17.7857142857143</v>
      </c>
      <c r="AM195" s="16">
        <f>IF($V195&lt;&gt;1,"",IFERROR(($P195-$AL195)/SQRT(MAX(0,(SUMIFS(Clean_Data!$AK$2:$AK$1001,Clean_Data!$F$2:$F$1001,$F195,Clean_Data!$W$2:$W$1001,$W195,Clean_Data!$V$2:$V$1001,1)-COUNTIFS(Clean_Data!$F$2:$F$1001,$F195,Clean_Data!$W$2:$W$1001,$W195,Clean_Data!$V$2:$V$1001,1)*$AL195^2)/(COUNTIFS(Clean_Data!$F$2:$F$1001,$F195,Clean_Data!$W$2:$W$1001,$W195,Clean_Data!$V$2:$V$1001,1)-1))),""))</f>
        <v>-0.915427014721944</v>
      </c>
      <c r="AN195" s="5" t="str">
        <f>IF($AM195="","",IF($AM195&gt;=Lookups!$K$6,"High spike",IF($AM195&lt;=-Lookups!$K$6,"Unusual low","Normal")))</f>
        <v>Normal</v>
      </c>
      <c r="AO195" s="20">
        <f>IF($V195&lt;&gt;1,"",$P195+ROW()/100000)</f>
        <v>10.00195</v>
      </c>
      <c r="AP195" s="5">
        <f>IF($A195="","",IFERROR(MATCH($A195,Raw_D1!$A$2:$A$1001,0),""))</f>
        <v>194</v>
      </c>
      <c r="AQ195" s="5">
        <f>IF($A195="","",IFERROR(MATCH($A195,Raw_D2!$B$2:$B$1001,0),""))</f>
        <v>194</v>
      </c>
      <c r="AR195" s="5">
        <f>IF($A195="","",IFERROR(MATCH($A195,Raw_D3!$A$2:$A$1001,0),""))</f>
        <v/>
      </c>
    </row>
    <row r="196" spans="1:44" x14ac:dyDescent="0.25">
      <c r="A196" s="5">
        <v>195</v>
      </c>
      <c r="B196" s="11">
        <f>IF($A196="","",IF($AP196&lt;&gt;"",INDEX(Raw_D1!$B$2:$B$1001,$AP196),IF($AR196&lt;&gt;"",INDEX(Raw_D3!$B$2:$B$1001,$AR196),"")))</f>
        <v>40552.0</v>
      </c>
      <c r="C196" s="5">
        <f>IF($A196="","",IF($AP196&lt;&gt;"",INDEX(Raw_D1!$C$2:$C$1001,$AP196),IF($AR196&lt;&gt;"",INDEX(Raw_D3!$C$2:$C$1001,$AR196),"")))</f>
        <v>1</v>
      </c>
      <c r="D196" s="5">
        <f>IF($A196="","",IF($AP196&lt;&gt;"",INDEX(Raw_D1!$D$2:$D$1001,$AP196),IF($AR196&lt;&gt;"",INDEX(Raw_D3!$D$2:$D$1001,$AR196),"")))</f>
        <v>0</v>
      </c>
      <c r="E196" s="5">
        <f>IF($A196="","",IF($AP196&lt;&gt;"",INDEX(Raw_D1!$E$2:$E$1001,$AP196),IF($AR196&lt;&gt;"",INDEX(Raw_D3!$E$2:$E$1001,$AR196),"")))</f>
        <v>1</v>
      </c>
      <c r="F196" s="5">
        <f>IF($A196="","",IF($AP196&lt;&gt;"",INDEX(Raw_D1!$F$2:$F$1001,$AP196),IF($AR196&lt;&gt;"",INDEX(Raw_D3!$F$2:$F$1001,$AR196),"")))</f>
        <v>9</v>
      </c>
      <c r="G196" s="5">
        <f>IF($A196="","",IF($AP196&lt;&gt;"",IF(INDEX(Raw_D1!$G$2:$G$1001,$AP196),1,0),IF($AR196&lt;&gt;"",IF(INDEX(Raw_D3!$G$2:$G$1001,$AR196),1,0),"")))</f>
        <v>0</v>
      </c>
      <c r="H196" s="5">
        <f>IF($A196="","",IF($AP196&lt;&gt;"",INDEX(Raw_D1!$H$2:$H$1001,$AP196),IF($AR196&lt;&gt;"",INDEX(Raw_D3!$H$2:$H$1001,$AR196),"")))</f>
        <v>0</v>
      </c>
      <c r="I196" s="5">
        <f>IF($A196="","",IF($AP196&lt;&gt;"",INDEX(Raw_D1!$I$2:$I$1001,$AP196),IF($AR196&lt;&gt;"",INDEX(Raw_D3!$I$2:$I$1001,$AR196),"")))</f>
        <v>1</v>
      </c>
      <c r="J196" s="16">
        <f>IF($A196="","",IF($AP196&lt;&gt;"",INDEX(Raw_D1!$J$2:$J$1001,$AP196),IF($AR196&lt;&gt;"",INDEX(Raw_D3!$J$2:$J$1001,$AR196),"")))</f>
        <v>0.12</v>
      </c>
      <c r="K196" s="17">
        <f>IF($A196="","",IF($AQ196&lt;&gt;"",IF(INDEX(Raw_D2!$C$2:$C$1001,$AQ196)="","",INDEX(Raw_D2!$C$2:$C$1001,$AQ196)),IF($AR196&lt;&gt;"",IF(INDEX(Raw_D3!$K$2:$K$1001,$AR196)="","",INDEX(Raw_D3!$K$2:$K$1001,$AR196)),"")))</f>
        <v>0.0758</v>
      </c>
      <c r="L196" s="16">
        <f>IF($A196="","",IF($AQ196&lt;&gt;"",IF(INDEX(Raw_D2!$D$2:$D$1001,$AQ196)="","",INDEX(Raw_D2!$D$2:$D$1001,$AQ196)),IF($AR196&lt;&gt;"",IF(INDEX(Raw_D3!$L$2:$L$1001,$AR196)="","",INDEX(Raw_D3!$L$2:$L$1001,$AR196)),"")))</f>
        <v>0.46</v>
      </c>
      <c r="M196" s="17">
        <f>IF($A196="","",IF($AQ196&lt;&gt;"",IF(INDEX(Raw_D2!$E$2:$E$1001,$AQ196)="","",INDEX(Raw_D2!$E$2:$E$1001,$AQ196)),IF($AR196&lt;&gt;"",IF(INDEX(Raw_D3!$M$2:$M$1001,$AR196)="","",INDEX(Raw_D3!$M$2:$M$1001,$AR196)),"")))</f>
        <v>0.5224</v>
      </c>
      <c r="N196" s="5">
        <f>IF($A196="","",IF($AQ196&lt;&gt;"",IF(INDEX(Raw_D2!$F$2:$F$1001,$AQ196)="","",INDEX(Raw_D2!$F$2:$F$1001,$AQ196)),IF($AR196&lt;&gt;"",IF(INDEX(Raw_D3!$N$2:$N$1001,$AR196)="","",INDEX(Raw_D3!$N$2:$N$1001,$AR196)),"")))</f>
        <v>0</v>
      </c>
      <c r="O196" s="5">
        <f>IF($A196="","",IF($AQ196&lt;&gt;"",IF(INDEX(Raw_D2!$G$2:$G$1001,$AQ196)="","",INDEX(Raw_D2!$G$2:$G$1001,$AQ196)),IF($AR196&lt;&gt;"",IF(INDEX(Raw_D3!$O$2:$O$1001,$AR196)="","",INDEX(Raw_D3!$O$2:$O$1001,$AR196)),"")))</f>
        <v>19</v>
      </c>
      <c r="P196" s="5">
        <f>IF($A196="","",IF($AQ196&lt;&gt;"",IF(INDEX(Raw_D2!$H$2:$H$1001,$AQ196)="","",INDEX(Raw_D2!$H$2:$H$1001,$AQ196)),IF($AR196&lt;&gt;"",IF(INDEX(Raw_D3!$P$2:$P$1001,$AR196)="","",INDEX(Raw_D3!$P$2:$P$1001,$AR196)),"")))</f>
        <v>19</v>
      </c>
      <c r="Q196" s="5" t="str">
        <f>IF($A196="","",IF(AND($AP196&lt;&gt;"",$AQ196&lt;&gt;""),"D1+D2",IF($AR196&lt;&gt;"","D3","Incomplete")))</f>
        <v>D1+D2</v>
      </c>
      <c r="R196" s="17">
        <f>IF($A196="","",IF($K196="",IF($J196="","",ROUND(Lookups!$K$5+Lookups!$K$4*$J196,4)),$K196))</f>
        <v>0.0758</v>
      </c>
      <c r="S196" s="5" t="str">
        <f>IF($A196="","",IF($K196="","Imputed","Original"))</f>
        <v>Original</v>
      </c>
      <c r="T196" s="5" t="str">
        <f>IF($A196="","",IF($P196="","Missing",IF($P196=$N196+$O196,"OK","Mismatch")))</f>
        <v>OK</v>
      </c>
      <c r="U196" s="5" t="str">
        <f>IF($A196="","",IF(COUNTIF($A$2:$A196,$A196)&gt;1,"Duplicate","Unique"))</f>
        <v>Unique</v>
      </c>
      <c r="V196" s="5">
        <f>IF($A196="","",IF(AND($U196="Unique",ISNUMBER($P196)),1,0))</f>
        <v>1</v>
      </c>
      <c r="W196" s="5" t="str">
        <f>IF($A196="","",IF(OR($H196=0,$H196=6),"Weekend","Weekday"))</f>
        <v>Weekend</v>
      </c>
      <c r="X196" s="5" t="str">
        <f>IF($A196="","",TEXT($B196,"ddd"))</f>
        <v>Sun</v>
      </c>
      <c r="Y196" s="5" t="str">
        <f>IF($A196="","",TEXT($B196,"mmm"))</f>
        <v>Jan</v>
      </c>
      <c r="Z196" s="5" t="str">
        <f>IF($A196="","",IFERROR(VLOOKUP($C196,Lookups!$D$4:$E$7,2,FALSE),"Unknown"))</f>
        <v>Winter</v>
      </c>
      <c r="AA196" s="5" t="str">
        <f>IF($A196="","",IFERROR(VLOOKUP($I196,Lookups!$A$4:$B$7,2,FALSE),"Unknown"))</f>
        <v>Clear</v>
      </c>
      <c r="AB196" s="5" t="str">
        <f>IF($A196="","",TEXT($F196,"00")&amp;":00")</f>
        <v>09:00</v>
      </c>
      <c r="AC196" s="5" t="str">
        <f>IF($A196="","",VLOOKUP($F196,Lookups!$G$4:$H$8,2,TRUE))</f>
        <v>Morning Peak (06-09)</v>
      </c>
      <c r="AD196" s="18">
        <f>IF($A196="","",IF($J196="","",ROUND($J196*41,1)))</f>
        <v>4.9</v>
      </c>
      <c r="AE196" s="18">
        <f>IF($A196="","",IF($R196="","",ROUND($R196*50,1)))</f>
        <v>3.8</v>
      </c>
      <c r="AF196" s="5">
        <f>IF($A196="","",IF($L196="","",ROUND($L196*100,0)))</f>
        <v>46</v>
      </c>
      <c r="AG196" s="18">
        <f>IF($A196="","",IF($M196="","",ROUND($M196*67,1)))</f>
        <v>35</v>
      </c>
      <c r="AH196" s="19">
        <f>IF($A196="","",IF($P196="","",IF($P196=0,0,$O196/$P196)))</f>
        <v>1</v>
      </c>
      <c r="AI196" s="5" t="str">
        <f>IF($A196="","",IF($P196="","",IF($P196&gt;=Lookups!$K$7,"High",IF($P196&lt;=Lookups!$K$8,"Low","Medium"))))</f>
        <v>Medium</v>
      </c>
      <c r="AJ196" s="5" t="str">
        <f>IF($A196="","",IF($AD196="","",IF($AD196&lt;5,"Under 5 C",IF($AD196&lt;10,"5-10 C",IF($AD196&lt;15,"10-15 C","15 C and above")))))</f>
        <v>Under 5 C</v>
      </c>
      <c r="AK196" s="5">
        <f>IF($A196="","",IF($P196="","",$P196^2))</f>
        <v>361</v>
      </c>
      <c r="AL196" s="18">
        <f>IF($V196&lt;&gt;1,"",AVERAGEIFS(Clean_Data!$P$2:$P$1001,Clean_Data!$F$2:$F$1001,$F196,Clean_Data!$W$2:$W$1001,$W196,Clean_Data!$V$2:$V$1001,1))</f>
        <v>30.9285714285714</v>
      </c>
      <c r="AM196" s="16">
        <f>IF($V196&lt;&gt;1,"",IFERROR(($P196-$AL196)/SQRT(MAX(0,(SUMIFS(Clean_Data!$AK$2:$AK$1001,Clean_Data!$F$2:$F$1001,$F196,Clean_Data!$W$2:$W$1001,$W196,Clean_Data!$V$2:$V$1001,1)-COUNTIFS(Clean_Data!$F$2:$F$1001,$F196,Clean_Data!$W$2:$W$1001,$W196,Clean_Data!$V$2:$V$1001,1)*$AL196^2)/(COUNTIFS(Clean_Data!$F$2:$F$1001,$F196,Clean_Data!$W$2:$W$1001,$W196,Clean_Data!$V$2:$V$1001,1)-1))),""))</f>
        <v>-1.09422317627205</v>
      </c>
      <c r="AN196" s="5" t="str">
        <f>IF($AM196="","",IF($AM196&gt;=Lookups!$K$6,"High spike",IF($AM196&lt;=-Lookups!$K$6,"Unusual low","Normal")))</f>
        <v>Normal</v>
      </c>
      <c r="AO196" s="20">
        <f>IF($V196&lt;&gt;1,"",$P196+ROW()/100000)</f>
        <v>19.00196</v>
      </c>
      <c r="AP196" s="5">
        <f>IF($A196="","",IFERROR(MATCH($A196,Raw_D1!$A$2:$A$1001,0),""))</f>
        <v>195</v>
      </c>
      <c r="AQ196" s="5">
        <f>IF($A196="","",IFERROR(MATCH($A196,Raw_D2!$B$2:$B$1001,0),""))</f>
        <v>195</v>
      </c>
      <c r="AR196" s="5">
        <f>IF($A196="","",IFERROR(MATCH($A196,Raw_D3!$A$2:$A$1001,0),""))</f>
        <v/>
      </c>
    </row>
    <row r="197" spans="1:44" x14ac:dyDescent="0.25">
      <c r="A197" s="5">
        <v>196</v>
      </c>
      <c r="B197" s="11">
        <f>IF($A197="","",IF($AP197&lt;&gt;"",INDEX(Raw_D1!$B$2:$B$1001,$AP197),IF($AR197&lt;&gt;"",INDEX(Raw_D3!$B$2:$B$1001,$AR197),"")))</f>
        <v>40552.0</v>
      </c>
      <c r="C197" s="5">
        <f>IF($A197="","",IF($AP197&lt;&gt;"",INDEX(Raw_D1!$C$2:$C$1001,$AP197),IF($AR197&lt;&gt;"",INDEX(Raw_D3!$C$2:$C$1001,$AR197),"")))</f>
        <v>1</v>
      </c>
      <c r="D197" s="5">
        <f>IF($A197="","",IF($AP197&lt;&gt;"",INDEX(Raw_D1!$D$2:$D$1001,$AP197),IF($AR197&lt;&gt;"",INDEX(Raw_D3!$D$2:$D$1001,$AR197),"")))</f>
        <v>0</v>
      </c>
      <c r="E197" s="5">
        <f>IF($A197="","",IF($AP197&lt;&gt;"",INDEX(Raw_D1!$E$2:$E$1001,$AP197),IF($AR197&lt;&gt;"",INDEX(Raw_D3!$E$2:$E$1001,$AR197),"")))</f>
        <v>1</v>
      </c>
      <c r="F197" s="5">
        <f>IF($A197="","",IF($AP197&lt;&gt;"",INDEX(Raw_D1!$F$2:$F$1001,$AP197),IF($AR197&lt;&gt;"",INDEX(Raw_D3!$F$2:$F$1001,$AR197),"")))</f>
        <v>10</v>
      </c>
      <c r="G197" s="5">
        <f>IF($A197="","",IF($AP197&lt;&gt;"",IF(INDEX(Raw_D1!$G$2:$G$1001,$AP197),1,0),IF($AR197&lt;&gt;"",IF(INDEX(Raw_D3!$G$2:$G$1001,$AR197),1,0),"")))</f>
        <v>0</v>
      </c>
      <c r="H197" s="5">
        <f>IF($A197="","",IF($AP197&lt;&gt;"",INDEX(Raw_D1!$H$2:$H$1001,$AP197),IF($AR197&lt;&gt;"",INDEX(Raw_D3!$H$2:$H$1001,$AR197),"")))</f>
        <v>0</v>
      </c>
      <c r="I197" s="5">
        <f>IF($A197="","",IF($AP197&lt;&gt;"",INDEX(Raw_D1!$I$2:$I$1001,$AP197),IF($AR197&lt;&gt;"",INDEX(Raw_D3!$I$2:$I$1001,$AR197),"")))</f>
        <v>1</v>
      </c>
      <c r="J197" s="16">
        <f>IF($A197="","",IF($AP197&lt;&gt;"",INDEX(Raw_D1!$J$2:$J$1001,$AP197),IF($AR197&lt;&gt;"",INDEX(Raw_D3!$J$2:$J$1001,$AR197),"")))</f>
        <v>0.14</v>
      </c>
      <c r="K197" s="17">
        <f>IF($A197="","",IF($AQ197&lt;&gt;"",IF(INDEX(Raw_D2!$C$2:$C$1001,$AQ197)="","",INDEX(Raw_D2!$C$2:$C$1001,$AQ197)),IF($AR197&lt;&gt;"",IF(INDEX(Raw_D3!$K$2:$K$1001,$AR197)="","",INDEX(Raw_D3!$K$2:$K$1001,$AR197)),"")))</f>
        <v>0.1061</v>
      </c>
      <c r="L197" s="16">
        <f>IF($A197="","",IF($AQ197&lt;&gt;"",IF(INDEX(Raw_D2!$D$2:$D$1001,$AQ197)="","",INDEX(Raw_D2!$D$2:$D$1001,$AQ197)),IF($AR197&lt;&gt;"",IF(INDEX(Raw_D3!$L$2:$L$1001,$AR197)="","",INDEX(Raw_D3!$L$2:$L$1001,$AR197)),"")))</f>
        <v>0.43</v>
      </c>
      <c r="M197" s="17">
        <f>IF($A197="","",IF($AQ197&lt;&gt;"",IF(INDEX(Raw_D2!$E$2:$E$1001,$AQ197)="","",INDEX(Raw_D2!$E$2:$E$1001,$AQ197)),IF($AR197&lt;&gt;"",IF(INDEX(Raw_D3!$M$2:$M$1001,$AR197)="","",INDEX(Raw_D3!$M$2:$M$1001,$AR197)),"")))</f>
        <v>0.3881</v>
      </c>
      <c r="N197" s="5">
        <f>IF($A197="","",IF($AQ197&lt;&gt;"",IF(INDEX(Raw_D2!$F$2:$F$1001,$AQ197)="","",INDEX(Raw_D2!$F$2:$F$1001,$AQ197)),IF($AR197&lt;&gt;"",IF(INDEX(Raw_D3!$N$2:$N$1001,$AR197)="","",INDEX(Raw_D3!$N$2:$N$1001,$AR197)),"")))</f>
        <v>0</v>
      </c>
      <c r="O197" s="5">
        <f>IF($A197="","",IF($AQ197&lt;&gt;"",IF(INDEX(Raw_D2!$G$2:$G$1001,$AQ197)="","",INDEX(Raw_D2!$G$2:$G$1001,$AQ197)),IF($AR197&lt;&gt;"",IF(INDEX(Raw_D3!$O$2:$O$1001,$AR197)="","",INDEX(Raw_D3!$O$2:$O$1001,$AR197)),"")))</f>
        <v>49</v>
      </c>
      <c r="P197" s="5">
        <f>IF($A197="","",IF($AQ197&lt;&gt;"",IF(INDEX(Raw_D2!$H$2:$H$1001,$AQ197)="","",INDEX(Raw_D2!$H$2:$H$1001,$AQ197)),IF($AR197&lt;&gt;"",IF(INDEX(Raw_D3!$P$2:$P$1001,$AR197)="","",INDEX(Raw_D3!$P$2:$P$1001,$AR197)),"")))</f>
        <v>49</v>
      </c>
      <c r="Q197" s="5" t="str">
        <f>IF($A197="","",IF(AND($AP197&lt;&gt;"",$AQ197&lt;&gt;""),"D1+D2",IF($AR197&lt;&gt;"","D3","Incomplete")))</f>
        <v>D1+D2</v>
      </c>
      <c r="R197" s="17">
        <f>IF($A197="","",IF($K197="",IF($J197="","",ROUND(Lookups!$K$5+Lookups!$K$4*$J197,4)),$K197))</f>
        <v>0.1061</v>
      </c>
      <c r="S197" s="5" t="str">
        <f>IF($A197="","",IF($K197="","Imputed","Original"))</f>
        <v>Original</v>
      </c>
      <c r="T197" s="5" t="str">
        <f>IF($A197="","",IF($P197="","Missing",IF($P197=$N197+$O197,"OK","Mismatch")))</f>
        <v>OK</v>
      </c>
      <c r="U197" s="5" t="str">
        <f>IF($A197="","",IF(COUNTIF($A$2:$A197,$A197)&gt;1,"Duplicate","Unique"))</f>
        <v>Unique</v>
      </c>
      <c r="V197" s="5">
        <f>IF($A197="","",IF(AND($U197="Unique",ISNUMBER($P197)),1,0))</f>
        <v>1</v>
      </c>
      <c r="W197" s="5" t="str">
        <f>IF($A197="","",IF(OR($H197=0,$H197=6),"Weekend","Weekday"))</f>
        <v>Weekend</v>
      </c>
      <c r="X197" s="5" t="str">
        <f>IF($A197="","",TEXT($B197,"ddd"))</f>
        <v>Sun</v>
      </c>
      <c r="Y197" s="5" t="str">
        <f>IF($A197="","",TEXT($B197,"mmm"))</f>
        <v>Jan</v>
      </c>
      <c r="Z197" s="5" t="str">
        <f>IF($A197="","",IFERROR(VLOOKUP($C197,Lookups!$D$4:$E$7,2,FALSE),"Unknown"))</f>
        <v>Winter</v>
      </c>
      <c r="AA197" s="5" t="str">
        <f>IF($A197="","",IFERROR(VLOOKUP($I197,Lookups!$A$4:$B$7,2,FALSE),"Unknown"))</f>
        <v>Clear</v>
      </c>
      <c r="AB197" s="5" t="str">
        <f>IF($A197="","",TEXT($F197,"00")&amp;":00")</f>
        <v>10:00</v>
      </c>
      <c r="AC197" s="5" t="str">
        <f>IF($A197="","",VLOOKUP($F197,Lookups!$G$4:$H$8,2,TRUE))</f>
        <v>Midday (10-15)</v>
      </c>
      <c r="AD197" s="18">
        <f>IF($A197="","",IF($J197="","",ROUND($J197*41,1)))</f>
        <v>5.7</v>
      </c>
      <c r="AE197" s="18">
        <f>IF($A197="","",IF($R197="","",ROUND($R197*50,1)))</f>
        <v>5.3</v>
      </c>
      <c r="AF197" s="5">
        <f>IF($A197="","",IF($L197="","",ROUND($L197*100,0)))</f>
        <v>43</v>
      </c>
      <c r="AG197" s="18">
        <f>IF($A197="","",IF($M197="","",ROUND($M197*67,1)))</f>
        <v>26</v>
      </c>
      <c r="AH197" s="19">
        <f>IF($A197="","",IF($P197="","",IF($P197=0,0,$O197/$P197)))</f>
        <v>1</v>
      </c>
      <c r="AI197" s="5" t="str">
        <f>IF($A197="","",IF($P197="","",IF($P197&gt;=Lookups!$K$7,"High",IF($P197&lt;=Lookups!$K$8,"Low","Medium"))))</f>
        <v>Medium</v>
      </c>
      <c r="AJ197" s="5" t="str">
        <f>IF($A197="","",IF($AD197="","",IF($AD197&lt;5,"Under 5 C",IF($AD197&lt;10,"5-10 C",IF($AD197&lt;15,"10-15 C","15 C and above")))))</f>
        <v>5-10 C</v>
      </c>
      <c r="AK197" s="5">
        <f>IF($A197="","",IF($P197="","",$P197^2))</f>
        <v>2401</v>
      </c>
      <c r="AL197" s="18">
        <f>IF($V197&lt;&gt;1,"",AVERAGEIFS(Clean_Data!$P$2:$P$1001,Clean_Data!$F$2:$F$1001,$F197,Clean_Data!$W$2:$W$1001,$W197,Clean_Data!$V$2:$V$1001,1))</f>
        <v>62.7857142857143</v>
      </c>
      <c r="AM197" s="16">
        <f>IF($V197&lt;&gt;1,"",IFERROR(($P197-$AL197)/SQRT(MAX(0,(SUMIFS(Clean_Data!$AK$2:$AK$1001,Clean_Data!$F$2:$F$1001,$F197,Clean_Data!$W$2:$W$1001,$W197,Clean_Data!$V$2:$V$1001,1)-COUNTIFS(Clean_Data!$F$2:$F$1001,$F197,Clean_Data!$W$2:$W$1001,$W197,Clean_Data!$V$2:$V$1001,1)*$AL197^2)/(COUNTIFS(Clean_Data!$F$2:$F$1001,$F197,Clean_Data!$W$2:$W$1001,$W197,Clean_Data!$V$2:$V$1001,1)-1))),""))</f>
        <v>-0.688468170892693</v>
      </c>
      <c r="AN197" s="5" t="str">
        <f>IF($AM197="","",IF($AM197&gt;=Lookups!$K$6,"High spike",IF($AM197&lt;=-Lookups!$K$6,"Unusual low","Normal")))</f>
        <v>Normal</v>
      </c>
      <c r="AO197" s="20">
        <f>IF($V197&lt;&gt;1,"",$P197+ROW()/100000)</f>
        <v>49.00197</v>
      </c>
      <c r="AP197" s="5">
        <f>IF($A197="","",IFERROR(MATCH($A197,Raw_D1!$A$2:$A$1001,0),""))</f>
        <v>196</v>
      </c>
      <c r="AQ197" s="5">
        <f>IF($A197="","",IFERROR(MATCH($A197,Raw_D2!$B$2:$B$1001,0),""))</f>
        <v>196</v>
      </c>
      <c r="AR197" s="5">
        <f>IF($A197="","",IFERROR(MATCH($A197,Raw_D3!$A$2:$A$1001,0),""))</f>
        <v/>
      </c>
    </row>
    <row r="198" spans="1:44" x14ac:dyDescent="0.25">
      <c r="A198" s="5">
        <v>197</v>
      </c>
      <c r="B198" s="11">
        <f>IF($A198="","",IF($AP198&lt;&gt;"",INDEX(Raw_D1!$B$2:$B$1001,$AP198),IF($AR198&lt;&gt;"",INDEX(Raw_D3!$B$2:$B$1001,$AR198),"")))</f>
        <v>40552.0</v>
      </c>
      <c r="C198" s="5">
        <f>IF($A198="","",IF($AP198&lt;&gt;"",INDEX(Raw_D1!$C$2:$C$1001,$AP198),IF($AR198&lt;&gt;"",INDEX(Raw_D3!$C$2:$C$1001,$AR198),"")))</f>
        <v>1</v>
      </c>
      <c r="D198" s="5">
        <f>IF($A198="","",IF($AP198&lt;&gt;"",INDEX(Raw_D1!$D$2:$D$1001,$AP198),IF($AR198&lt;&gt;"",INDEX(Raw_D3!$D$2:$D$1001,$AR198),"")))</f>
        <v>0</v>
      </c>
      <c r="E198" s="5">
        <f>IF($A198="","",IF($AP198&lt;&gt;"",INDEX(Raw_D1!$E$2:$E$1001,$AP198),IF($AR198&lt;&gt;"",INDEX(Raw_D3!$E$2:$E$1001,$AR198),"")))</f>
        <v>1</v>
      </c>
      <c r="F198" s="5">
        <f>IF($A198="","",IF($AP198&lt;&gt;"",INDEX(Raw_D1!$F$2:$F$1001,$AP198),IF($AR198&lt;&gt;"",INDEX(Raw_D3!$F$2:$F$1001,$AR198),"")))</f>
        <v>11</v>
      </c>
      <c r="G198" s="5">
        <f>IF($A198="","",IF($AP198&lt;&gt;"",IF(INDEX(Raw_D1!$G$2:$G$1001,$AP198),1,0),IF($AR198&lt;&gt;"",IF(INDEX(Raw_D3!$G$2:$G$1001,$AR198),1,0),"")))</f>
        <v>0</v>
      </c>
      <c r="H198" s="5">
        <f>IF($A198="","",IF($AP198&lt;&gt;"",INDEX(Raw_D1!$H$2:$H$1001,$AP198),IF($AR198&lt;&gt;"",INDEX(Raw_D3!$H$2:$H$1001,$AR198),"")))</f>
        <v>0</v>
      </c>
      <c r="I198" s="5">
        <f>IF($A198="","",IF($AP198&lt;&gt;"",INDEX(Raw_D1!$I$2:$I$1001,$AP198),IF($AR198&lt;&gt;"",INDEX(Raw_D3!$I$2:$I$1001,$AR198),"")))</f>
        <v>1</v>
      </c>
      <c r="J198" s="16">
        <f>IF($A198="","",IF($AP198&lt;&gt;"",INDEX(Raw_D1!$J$2:$J$1001,$AP198),IF($AR198&lt;&gt;"",INDEX(Raw_D3!$J$2:$J$1001,$AR198),"")))</f>
        <v>0.16</v>
      </c>
      <c r="K198" s="17">
        <f>IF($A198="","",IF($AQ198&lt;&gt;"",IF(INDEX(Raw_D2!$C$2:$C$1001,$AQ198)="","",INDEX(Raw_D2!$C$2:$C$1001,$AQ198)),IF($AR198&lt;&gt;"",IF(INDEX(Raw_D3!$K$2:$K$1001,$AR198)="","",INDEX(Raw_D3!$K$2:$K$1001,$AR198)),"")))</f>
        <v>0.1212</v>
      </c>
      <c r="L198" s="16">
        <f>IF($A198="","",IF($AQ198&lt;&gt;"",IF(INDEX(Raw_D2!$D$2:$D$1001,$AQ198)="","",INDEX(Raw_D2!$D$2:$D$1001,$AQ198)),IF($AR198&lt;&gt;"",IF(INDEX(Raw_D3!$L$2:$L$1001,$AR198)="","",INDEX(Raw_D3!$L$2:$L$1001,$AR198)),"")))</f>
        <v>0.4</v>
      </c>
      <c r="M198" s="17">
        <f>IF($A198="","",IF($AQ198&lt;&gt;"",IF(INDEX(Raw_D2!$E$2:$E$1001,$AQ198)="","",INDEX(Raw_D2!$E$2:$E$1001,$AQ198)),IF($AR198&lt;&gt;"",IF(INDEX(Raw_D3!$M$2:$M$1001,$AR198)="","",INDEX(Raw_D3!$M$2:$M$1001,$AR198)),"")))</f>
        <v>0.5224</v>
      </c>
      <c r="N198" s="5">
        <f>IF($A198="","",IF($AQ198&lt;&gt;"",IF(INDEX(Raw_D2!$F$2:$F$1001,$AQ198)="","",INDEX(Raw_D2!$F$2:$F$1001,$AQ198)),IF($AR198&lt;&gt;"",IF(INDEX(Raw_D3!$N$2:$N$1001,$AR198)="","",INDEX(Raw_D3!$N$2:$N$1001,$AR198)),"")))</f>
        <v>2</v>
      </c>
      <c r="O198" s="5">
        <f>IF($A198="","",IF($AQ198&lt;&gt;"",IF(INDEX(Raw_D2!$G$2:$G$1001,$AQ198)="","",INDEX(Raw_D2!$G$2:$G$1001,$AQ198)),IF($AR198&lt;&gt;"",IF(INDEX(Raw_D3!$O$2:$O$1001,$AR198)="","",INDEX(Raw_D3!$O$2:$O$1001,$AR198)),"")))</f>
        <v>47</v>
      </c>
      <c r="P198" s="5">
        <f>IF($A198="","",IF($AQ198&lt;&gt;"",IF(INDEX(Raw_D2!$H$2:$H$1001,$AQ198)="","",INDEX(Raw_D2!$H$2:$H$1001,$AQ198)),IF($AR198&lt;&gt;"",IF(INDEX(Raw_D3!$P$2:$P$1001,$AR198)="","",INDEX(Raw_D3!$P$2:$P$1001,$AR198)),"")))</f>
        <v>49</v>
      </c>
      <c r="Q198" s="5" t="str">
        <f>IF($A198="","",IF(AND($AP198&lt;&gt;"",$AQ198&lt;&gt;""),"D1+D2",IF($AR198&lt;&gt;"","D3","Incomplete")))</f>
        <v>D1+D2</v>
      </c>
      <c r="R198" s="17">
        <f>IF($A198="","",IF($K198="",IF($J198="","",ROUND(Lookups!$K$5+Lookups!$K$4*$J198,4)),$K198))</f>
        <v>0.1212</v>
      </c>
      <c r="S198" s="5" t="str">
        <f>IF($A198="","",IF($K198="","Imputed","Original"))</f>
        <v>Original</v>
      </c>
      <c r="T198" s="5" t="str">
        <f>IF($A198="","",IF($P198="","Missing",IF($P198=$N198+$O198,"OK","Mismatch")))</f>
        <v>OK</v>
      </c>
      <c r="U198" s="5" t="str">
        <f>IF($A198="","",IF(COUNTIF($A$2:$A198,$A198)&gt;1,"Duplicate","Unique"))</f>
        <v>Unique</v>
      </c>
      <c r="V198" s="5">
        <f>IF($A198="","",IF(AND($U198="Unique",ISNUMBER($P198)),1,0))</f>
        <v>1</v>
      </c>
      <c r="W198" s="5" t="str">
        <f>IF($A198="","",IF(OR($H198=0,$H198=6),"Weekend","Weekday"))</f>
        <v>Weekend</v>
      </c>
      <c r="X198" s="5" t="str">
        <f>IF($A198="","",TEXT($B198,"ddd"))</f>
        <v>Sun</v>
      </c>
      <c r="Y198" s="5" t="str">
        <f>IF($A198="","",TEXT($B198,"mmm"))</f>
        <v>Jan</v>
      </c>
      <c r="Z198" s="5" t="str">
        <f>IF($A198="","",IFERROR(VLOOKUP($C198,Lookups!$D$4:$E$7,2,FALSE),"Unknown"))</f>
        <v>Winter</v>
      </c>
      <c r="AA198" s="5" t="str">
        <f>IF($A198="","",IFERROR(VLOOKUP($I198,Lookups!$A$4:$B$7,2,FALSE),"Unknown"))</f>
        <v>Clear</v>
      </c>
      <c r="AB198" s="5" t="str">
        <f>IF($A198="","",TEXT($F198,"00")&amp;":00")</f>
        <v>11:00</v>
      </c>
      <c r="AC198" s="5" t="str">
        <f>IF($A198="","",VLOOKUP($F198,Lookups!$G$4:$H$8,2,TRUE))</f>
        <v>Midday (10-15)</v>
      </c>
      <c r="AD198" s="18">
        <f>IF($A198="","",IF($J198="","",ROUND($J198*41,1)))</f>
        <v>6.6</v>
      </c>
      <c r="AE198" s="18">
        <f>IF($A198="","",IF($R198="","",ROUND($R198*50,1)))</f>
        <v>6.1</v>
      </c>
      <c r="AF198" s="5">
        <f>IF($A198="","",IF($L198="","",ROUND($L198*100,0)))</f>
        <v>40</v>
      </c>
      <c r="AG198" s="18">
        <f>IF($A198="","",IF($M198="","",ROUND($M198*67,1)))</f>
        <v>35</v>
      </c>
      <c r="AH198" s="19">
        <f>IF($A198="","",IF($P198="","",IF($P198=0,0,$O198/$P198)))</f>
        <v>0.959183673469388</v>
      </c>
      <c r="AI198" s="5" t="str">
        <f>IF($A198="","",IF($P198="","",IF($P198&gt;=Lookups!$K$7,"High",IF($P198&lt;=Lookups!$K$8,"Low","Medium"))))</f>
        <v>Medium</v>
      </c>
      <c r="AJ198" s="5" t="str">
        <f>IF($A198="","",IF($AD198="","",IF($AD198&lt;5,"Under 5 C",IF($AD198&lt;10,"5-10 C",IF($AD198&lt;15,"10-15 C","15 C and above")))))</f>
        <v>5-10 C</v>
      </c>
      <c r="AK198" s="5">
        <f>IF($A198="","",IF($P198="","",$P198^2))</f>
        <v>2401</v>
      </c>
      <c r="AL198" s="18">
        <f>IF($V198&lt;&gt;1,"",AVERAGEIFS(Clean_Data!$P$2:$P$1001,Clean_Data!$F$2:$F$1001,$F198,Clean_Data!$W$2:$W$1001,$W198,Clean_Data!$V$2:$V$1001,1))</f>
        <v>76.9285714285714</v>
      </c>
      <c r="AM198" s="16">
        <f>IF($V198&lt;&gt;1,"",IFERROR(($P198-$AL198)/SQRT(MAX(0,(SUMIFS(Clean_Data!$AK$2:$AK$1001,Clean_Data!$F$2:$F$1001,$F198,Clean_Data!$W$2:$W$1001,$W198,Clean_Data!$V$2:$V$1001,1)-COUNTIFS(Clean_Data!$F$2:$F$1001,$F198,Clean_Data!$W$2:$W$1001,$W198,Clean_Data!$V$2:$V$1001,1)*$AL198^2)/(COUNTIFS(Clean_Data!$F$2:$F$1001,$F198,Clean_Data!$W$2:$W$1001,$W198,Clean_Data!$V$2:$V$1001,1)-1))),""))</f>
        <v>-1.12254904491987</v>
      </c>
      <c r="AN198" s="5" t="str">
        <f>IF($AM198="","",IF($AM198&gt;=Lookups!$K$6,"High spike",IF($AM198&lt;=-Lookups!$K$6,"Unusual low","Normal")))</f>
        <v>Normal</v>
      </c>
      <c r="AO198" s="20">
        <f>IF($V198&lt;&gt;1,"",$P198+ROW()/100000)</f>
        <v>49.00198</v>
      </c>
      <c r="AP198" s="5">
        <f>IF($A198="","",IFERROR(MATCH($A198,Raw_D1!$A$2:$A$1001,0),""))</f>
        <v>197</v>
      </c>
      <c r="AQ198" s="5">
        <f>IF($A198="","",IFERROR(MATCH($A198,Raw_D2!$B$2:$B$1001,0),""))</f>
        <v>197</v>
      </c>
      <c r="AR198" s="5">
        <f>IF($A198="","",IFERROR(MATCH($A198,Raw_D3!$A$2:$A$1001,0),""))</f>
        <v/>
      </c>
    </row>
    <row r="199" spans="1:44" x14ac:dyDescent="0.25">
      <c r="A199" s="5">
        <v>198</v>
      </c>
      <c r="B199" s="11">
        <f>IF($A199="","",IF($AP199&lt;&gt;"",INDEX(Raw_D1!$B$2:$B$1001,$AP199),IF($AR199&lt;&gt;"",INDEX(Raw_D3!$B$2:$B$1001,$AR199),"")))</f>
        <v>40552.0</v>
      </c>
      <c r="C199" s="5">
        <f>IF($A199="","",IF($AP199&lt;&gt;"",INDEX(Raw_D1!$C$2:$C$1001,$AP199),IF($AR199&lt;&gt;"",INDEX(Raw_D3!$C$2:$C$1001,$AR199),"")))</f>
        <v>1</v>
      </c>
      <c r="D199" s="5">
        <f>IF($A199="","",IF($AP199&lt;&gt;"",INDEX(Raw_D1!$D$2:$D$1001,$AP199),IF($AR199&lt;&gt;"",INDEX(Raw_D3!$D$2:$D$1001,$AR199),"")))</f>
        <v>0</v>
      </c>
      <c r="E199" s="5">
        <f>IF($A199="","",IF($AP199&lt;&gt;"",INDEX(Raw_D1!$E$2:$E$1001,$AP199),IF($AR199&lt;&gt;"",INDEX(Raw_D3!$E$2:$E$1001,$AR199),"")))</f>
        <v>1</v>
      </c>
      <c r="F199" s="5">
        <f>IF($A199="","",IF($AP199&lt;&gt;"",INDEX(Raw_D1!$F$2:$F$1001,$AP199),IF($AR199&lt;&gt;"",INDEX(Raw_D3!$F$2:$F$1001,$AR199),"")))</f>
        <v>12</v>
      </c>
      <c r="G199" s="5">
        <f>IF($A199="","",IF($AP199&lt;&gt;"",IF(INDEX(Raw_D1!$G$2:$G$1001,$AP199),1,0),IF($AR199&lt;&gt;"",IF(INDEX(Raw_D3!$G$2:$G$1001,$AR199),1,0),"")))</f>
        <v>0</v>
      </c>
      <c r="H199" s="5">
        <f>IF($A199="","",IF($AP199&lt;&gt;"",INDEX(Raw_D1!$H$2:$H$1001,$AP199),IF($AR199&lt;&gt;"",INDEX(Raw_D3!$H$2:$H$1001,$AR199),"")))</f>
        <v>0</v>
      </c>
      <c r="I199" s="5">
        <f>IF($A199="","",IF($AP199&lt;&gt;"",INDEX(Raw_D1!$I$2:$I$1001,$AP199),IF($AR199&lt;&gt;"",INDEX(Raw_D3!$I$2:$I$1001,$AR199),"")))</f>
        <v>1</v>
      </c>
      <c r="J199" s="16">
        <f>IF($A199="","",IF($AP199&lt;&gt;"",INDEX(Raw_D1!$J$2:$J$1001,$AP199),IF($AR199&lt;&gt;"",INDEX(Raw_D3!$J$2:$J$1001,$AR199),"")))</f>
        <v>0.18</v>
      </c>
      <c r="K199" s="17">
        <f>IF($A199="","",IF($AQ199&lt;&gt;"",IF(INDEX(Raw_D2!$C$2:$C$1001,$AQ199)="","",INDEX(Raw_D2!$C$2:$C$1001,$AQ199)),IF($AR199&lt;&gt;"",IF(INDEX(Raw_D3!$K$2:$K$1001,$AR199)="","",INDEX(Raw_D3!$K$2:$K$1001,$AR199)),"")))</f>
        <v>0.1364</v>
      </c>
      <c r="L199" s="16">
        <f>IF($A199="","",IF($AQ199&lt;&gt;"",IF(INDEX(Raw_D2!$D$2:$D$1001,$AQ199)="","",INDEX(Raw_D2!$D$2:$D$1001,$AQ199)),IF($AR199&lt;&gt;"",IF(INDEX(Raw_D3!$L$2:$L$1001,$AR199)="","",INDEX(Raw_D3!$L$2:$L$1001,$AR199)),"")))</f>
        <v>0.37</v>
      </c>
      <c r="M199" s="17">
        <f>IF($A199="","",IF($AQ199&lt;&gt;"",IF(INDEX(Raw_D2!$E$2:$E$1001,$AQ199)="","",INDEX(Raw_D2!$E$2:$E$1001,$AQ199)),IF($AR199&lt;&gt;"",IF(INDEX(Raw_D3!$M$2:$M$1001,$AR199)="","",INDEX(Raw_D3!$M$2:$M$1001,$AR199)),"")))</f>
        <v>0.4478</v>
      </c>
      <c r="N199" s="5">
        <f>IF($A199="","",IF($AQ199&lt;&gt;"",IF(INDEX(Raw_D2!$F$2:$F$1001,$AQ199)="","",INDEX(Raw_D2!$F$2:$F$1001,$AQ199)),IF($AR199&lt;&gt;"",IF(INDEX(Raw_D3!$N$2:$N$1001,$AR199)="","",INDEX(Raw_D3!$N$2:$N$1001,$AR199)),"")))</f>
        <v>4</v>
      </c>
      <c r="O199" s="5">
        <f>IF($A199="","",IF($AQ199&lt;&gt;"",IF(INDEX(Raw_D2!$G$2:$G$1001,$AQ199)="","",INDEX(Raw_D2!$G$2:$G$1001,$AQ199)),IF($AR199&lt;&gt;"",IF(INDEX(Raw_D3!$O$2:$O$1001,$AR199)="","",INDEX(Raw_D3!$O$2:$O$1001,$AR199)),"")))</f>
        <v>79</v>
      </c>
      <c r="P199" s="5">
        <f>IF($A199="","",IF($AQ199&lt;&gt;"",IF(INDEX(Raw_D2!$H$2:$H$1001,$AQ199)="","",INDEX(Raw_D2!$H$2:$H$1001,$AQ199)),IF($AR199&lt;&gt;"",IF(INDEX(Raw_D3!$P$2:$P$1001,$AR199)="","",INDEX(Raw_D3!$P$2:$P$1001,$AR199)),"")))</f>
        <v>83</v>
      </c>
      <c r="Q199" s="5" t="str">
        <f>IF($A199="","",IF(AND($AP199&lt;&gt;"",$AQ199&lt;&gt;""),"D1+D2",IF($AR199&lt;&gt;"","D3","Incomplete")))</f>
        <v>D1+D2</v>
      </c>
      <c r="R199" s="17">
        <f>IF($A199="","",IF($K199="",IF($J199="","",ROUND(Lookups!$K$5+Lookups!$K$4*$J199,4)),$K199))</f>
        <v>0.1364</v>
      </c>
      <c r="S199" s="5" t="str">
        <f>IF($A199="","",IF($K199="","Imputed","Original"))</f>
        <v>Original</v>
      </c>
      <c r="T199" s="5" t="str">
        <f>IF($A199="","",IF($P199="","Missing",IF($P199=$N199+$O199,"OK","Mismatch")))</f>
        <v>OK</v>
      </c>
      <c r="U199" s="5" t="str">
        <f>IF($A199="","",IF(COUNTIF($A$2:$A199,$A199)&gt;1,"Duplicate","Unique"))</f>
        <v>Unique</v>
      </c>
      <c r="V199" s="5">
        <f>IF($A199="","",IF(AND($U199="Unique",ISNUMBER($P199)),1,0))</f>
        <v>1</v>
      </c>
      <c r="W199" s="5" t="str">
        <f>IF($A199="","",IF(OR($H199=0,$H199=6),"Weekend","Weekday"))</f>
        <v>Weekend</v>
      </c>
      <c r="X199" s="5" t="str">
        <f>IF($A199="","",TEXT($B199,"ddd"))</f>
        <v>Sun</v>
      </c>
      <c r="Y199" s="5" t="str">
        <f>IF($A199="","",TEXT($B199,"mmm"))</f>
        <v>Jan</v>
      </c>
      <c r="Z199" s="5" t="str">
        <f>IF($A199="","",IFERROR(VLOOKUP($C199,Lookups!$D$4:$E$7,2,FALSE),"Unknown"))</f>
        <v>Winter</v>
      </c>
      <c r="AA199" s="5" t="str">
        <f>IF($A199="","",IFERROR(VLOOKUP($I199,Lookups!$A$4:$B$7,2,FALSE),"Unknown"))</f>
        <v>Clear</v>
      </c>
      <c r="AB199" s="5" t="str">
        <f>IF($A199="","",TEXT($F199,"00")&amp;":00")</f>
        <v>12:00</v>
      </c>
      <c r="AC199" s="5" t="str">
        <f>IF($A199="","",VLOOKUP($F199,Lookups!$G$4:$H$8,2,TRUE))</f>
        <v>Midday (10-15)</v>
      </c>
      <c r="AD199" s="18">
        <f>IF($A199="","",IF($J199="","",ROUND($J199*41,1)))</f>
        <v>7.4</v>
      </c>
      <c r="AE199" s="18">
        <f>IF($A199="","",IF($R199="","",ROUND($R199*50,1)))</f>
        <v>6.8</v>
      </c>
      <c r="AF199" s="5">
        <f>IF($A199="","",IF($L199="","",ROUND($L199*100,0)))</f>
        <v>37</v>
      </c>
      <c r="AG199" s="18">
        <f>IF($A199="","",IF($M199="","",ROUND($M199*67,1)))</f>
        <v>30</v>
      </c>
      <c r="AH199" s="19">
        <f>IF($A199="","",IF($P199="","",IF($P199=0,0,$O199/$P199)))</f>
        <v>0.951807228915663</v>
      </c>
      <c r="AI199" s="5" t="str">
        <f>IF($A199="","",IF($P199="","",IF($P199&gt;=Lookups!$K$7,"High",IF($P199&lt;=Lookups!$K$8,"Low","Medium"))))</f>
        <v>High</v>
      </c>
      <c r="AJ199" s="5" t="str">
        <f>IF($A199="","",IF($AD199="","",IF($AD199&lt;5,"Under 5 C",IF($AD199&lt;10,"5-10 C",IF($AD199&lt;15,"10-15 C","15 C and above")))))</f>
        <v>5-10 C</v>
      </c>
      <c r="AK199" s="5">
        <f>IF($A199="","",IF($P199="","",$P199^2))</f>
        <v>6889</v>
      </c>
      <c r="AL199" s="18">
        <f>IF($V199&lt;&gt;1,"",AVERAGEIFS(Clean_Data!$P$2:$P$1001,Clean_Data!$F$2:$F$1001,$F199,Clean_Data!$W$2:$W$1001,$W199,Clean_Data!$V$2:$V$1001,1))</f>
        <v>100.714285714286</v>
      </c>
      <c r="AM199" s="16">
        <f>IF($V199&lt;&gt;1,"",IFERROR(($P199-$AL199)/SQRT(MAX(0,(SUMIFS(Clean_Data!$AK$2:$AK$1001,Clean_Data!$F$2:$F$1001,$F199,Clean_Data!$W$2:$W$1001,$W199,Clean_Data!$V$2:$V$1001,1)-COUNTIFS(Clean_Data!$F$2:$F$1001,$F199,Clean_Data!$W$2:$W$1001,$W199,Clean_Data!$V$2:$V$1001,1)*$AL199^2)/(COUNTIFS(Clean_Data!$F$2:$F$1001,$F199,Clean_Data!$W$2:$W$1001,$W199,Clean_Data!$V$2:$V$1001,1)-1))),""))</f>
        <v>-0.554637874724807</v>
      </c>
      <c r="AN199" s="5" t="str">
        <f>IF($AM199="","",IF($AM199&gt;=Lookups!$K$6,"High spike",IF($AM199&lt;=-Lookups!$K$6,"Unusual low","Normal")))</f>
        <v>Normal</v>
      </c>
      <c r="AO199" s="20">
        <f>IF($V199&lt;&gt;1,"",$P199+ROW()/100000)</f>
        <v>83.00199</v>
      </c>
      <c r="AP199" s="5">
        <f>IF($A199="","",IFERROR(MATCH($A199,Raw_D1!$A$2:$A$1001,0),""))</f>
        <v>198</v>
      </c>
      <c r="AQ199" s="5">
        <f>IF($A199="","",IFERROR(MATCH($A199,Raw_D2!$B$2:$B$1001,0),""))</f>
        <v>198</v>
      </c>
      <c r="AR199" s="5">
        <f>IF($A199="","",IFERROR(MATCH($A199,Raw_D3!$A$2:$A$1001,0),""))</f>
        <v/>
      </c>
    </row>
    <row r="200" spans="1:44" x14ac:dyDescent="0.25">
      <c r="A200" s="5">
        <v>199</v>
      </c>
      <c r="B200" s="11">
        <f>IF($A200="","",IF($AP200&lt;&gt;"",INDEX(Raw_D1!$B$2:$B$1001,$AP200),IF($AR200&lt;&gt;"",INDEX(Raw_D3!$B$2:$B$1001,$AR200),"")))</f>
        <v>40552.0</v>
      </c>
      <c r="C200" s="5">
        <f>IF($A200="","",IF($AP200&lt;&gt;"",INDEX(Raw_D1!$C$2:$C$1001,$AP200),IF($AR200&lt;&gt;"",INDEX(Raw_D3!$C$2:$C$1001,$AR200),"")))</f>
        <v>1</v>
      </c>
      <c r="D200" s="5">
        <f>IF($A200="","",IF($AP200&lt;&gt;"",INDEX(Raw_D1!$D$2:$D$1001,$AP200),IF($AR200&lt;&gt;"",INDEX(Raw_D3!$D$2:$D$1001,$AR200),"")))</f>
        <v>0</v>
      </c>
      <c r="E200" s="5">
        <f>IF($A200="","",IF($AP200&lt;&gt;"",INDEX(Raw_D1!$E$2:$E$1001,$AP200),IF($AR200&lt;&gt;"",INDEX(Raw_D3!$E$2:$E$1001,$AR200),"")))</f>
        <v>1</v>
      </c>
      <c r="F200" s="5">
        <f>IF($A200="","",IF($AP200&lt;&gt;"",INDEX(Raw_D1!$F$2:$F$1001,$AP200),IF($AR200&lt;&gt;"",INDEX(Raw_D3!$F$2:$F$1001,$AR200),"")))</f>
        <v>13</v>
      </c>
      <c r="G200" s="5">
        <f>IF($A200="","",IF($AP200&lt;&gt;"",IF(INDEX(Raw_D1!$G$2:$G$1001,$AP200),1,0),IF($AR200&lt;&gt;"",IF(INDEX(Raw_D3!$G$2:$G$1001,$AR200),1,0),"")))</f>
        <v>0</v>
      </c>
      <c r="H200" s="5">
        <f>IF($A200="","",IF($AP200&lt;&gt;"",INDEX(Raw_D1!$H$2:$H$1001,$AP200),IF($AR200&lt;&gt;"",INDEX(Raw_D3!$H$2:$H$1001,$AR200),"")))</f>
        <v>0</v>
      </c>
      <c r="I200" s="5">
        <f>IF($A200="","",IF($AP200&lt;&gt;"",INDEX(Raw_D1!$I$2:$I$1001,$AP200),IF($AR200&lt;&gt;"",INDEX(Raw_D3!$I$2:$I$1001,$AR200),"")))</f>
        <v>1</v>
      </c>
      <c r="J200" s="16">
        <f>IF($A200="","",IF($AP200&lt;&gt;"",INDEX(Raw_D1!$J$2:$J$1001,$AP200),IF($AR200&lt;&gt;"",INDEX(Raw_D3!$J$2:$J$1001,$AR200),"")))</f>
        <v>0.2</v>
      </c>
      <c r="K200" s="17">
        <f>IF($A200="","",IF($AQ200&lt;&gt;"",IF(INDEX(Raw_D2!$C$2:$C$1001,$AQ200)="","",INDEX(Raw_D2!$C$2:$C$1001,$AQ200)),IF($AR200&lt;&gt;"",IF(INDEX(Raw_D3!$K$2:$K$1001,$AR200)="","",INDEX(Raw_D3!$K$2:$K$1001,$AR200)),"")))</f>
        <v>0.1667</v>
      </c>
      <c r="L200" s="16">
        <f>IF($A200="","",IF($AQ200&lt;&gt;"",IF(INDEX(Raw_D2!$D$2:$D$1001,$AQ200)="","",INDEX(Raw_D2!$D$2:$D$1001,$AQ200)),IF($AR200&lt;&gt;"",IF(INDEX(Raw_D3!$L$2:$L$1001,$AR200)="","",INDEX(Raw_D3!$L$2:$L$1001,$AR200)),"")))</f>
        <v>0.34</v>
      </c>
      <c r="M200" s="17">
        <f>IF($A200="","",IF($AQ200&lt;&gt;"",IF(INDEX(Raw_D2!$E$2:$E$1001,$AQ200)="","",INDEX(Raw_D2!$E$2:$E$1001,$AQ200)),IF($AR200&lt;&gt;"",IF(INDEX(Raw_D3!$M$2:$M$1001,$AR200)="","",INDEX(Raw_D3!$M$2:$M$1001,$AR200)),"")))</f>
        <v>0.4478</v>
      </c>
      <c r="N200" s="5">
        <f>IF($A200="","",IF($AQ200&lt;&gt;"",IF(INDEX(Raw_D2!$F$2:$F$1001,$AQ200)="","",INDEX(Raw_D2!$F$2:$F$1001,$AQ200)),IF($AR200&lt;&gt;"",IF(INDEX(Raw_D3!$N$2:$N$1001,$AR200)="","",INDEX(Raw_D3!$N$2:$N$1001,$AR200)),"")))</f>
        <v>6</v>
      </c>
      <c r="O200" s="5">
        <f>IF($A200="","",IF($AQ200&lt;&gt;"",IF(INDEX(Raw_D2!$G$2:$G$1001,$AQ200)="","",INDEX(Raw_D2!$G$2:$G$1001,$AQ200)),IF($AR200&lt;&gt;"",IF(INDEX(Raw_D3!$O$2:$O$1001,$AR200)="","",INDEX(Raw_D3!$O$2:$O$1001,$AR200)),"")))</f>
        <v>69</v>
      </c>
      <c r="P200" s="5">
        <f>IF($A200="","",IF($AQ200&lt;&gt;"",IF(INDEX(Raw_D2!$H$2:$H$1001,$AQ200)="","",INDEX(Raw_D2!$H$2:$H$1001,$AQ200)),IF($AR200&lt;&gt;"",IF(INDEX(Raw_D3!$P$2:$P$1001,$AR200)="","",INDEX(Raw_D3!$P$2:$P$1001,$AR200)),"")))</f>
        <v>75</v>
      </c>
      <c r="Q200" s="5" t="str">
        <f>IF($A200="","",IF(AND($AP200&lt;&gt;"",$AQ200&lt;&gt;""),"D1+D2",IF($AR200&lt;&gt;"","D3","Incomplete")))</f>
        <v>D1+D2</v>
      </c>
      <c r="R200" s="17">
        <f>IF($A200="","",IF($K200="",IF($J200="","",ROUND(Lookups!$K$5+Lookups!$K$4*$J200,4)),$K200))</f>
        <v>0.1667</v>
      </c>
      <c r="S200" s="5" t="str">
        <f>IF($A200="","",IF($K200="","Imputed","Original"))</f>
        <v>Original</v>
      </c>
      <c r="T200" s="5" t="str">
        <f>IF($A200="","",IF($P200="","Missing",IF($P200=$N200+$O200,"OK","Mismatch")))</f>
        <v>OK</v>
      </c>
      <c r="U200" s="5" t="str">
        <f>IF($A200="","",IF(COUNTIF($A$2:$A200,$A200)&gt;1,"Duplicate","Unique"))</f>
        <v>Unique</v>
      </c>
      <c r="V200" s="5">
        <f>IF($A200="","",IF(AND($U200="Unique",ISNUMBER($P200)),1,0))</f>
        <v>1</v>
      </c>
      <c r="W200" s="5" t="str">
        <f>IF($A200="","",IF(OR($H200=0,$H200=6),"Weekend","Weekday"))</f>
        <v>Weekend</v>
      </c>
      <c r="X200" s="5" t="str">
        <f>IF($A200="","",TEXT($B200,"ddd"))</f>
        <v>Sun</v>
      </c>
      <c r="Y200" s="5" t="str">
        <f>IF($A200="","",TEXT($B200,"mmm"))</f>
        <v>Jan</v>
      </c>
      <c r="Z200" s="5" t="str">
        <f>IF($A200="","",IFERROR(VLOOKUP($C200,Lookups!$D$4:$E$7,2,FALSE),"Unknown"))</f>
        <v>Winter</v>
      </c>
      <c r="AA200" s="5" t="str">
        <f>IF($A200="","",IFERROR(VLOOKUP($I200,Lookups!$A$4:$B$7,2,FALSE),"Unknown"))</f>
        <v>Clear</v>
      </c>
      <c r="AB200" s="5" t="str">
        <f>IF($A200="","",TEXT($F200,"00")&amp;":00")</f>
        <v>13:00</v>
      </c>
      <c r="AC200" s="5" t="str">
        <f>IF($A200="","",VLOOKUP($F200,Lookups!$G$4:$H$8,2,TRUE))</f>
        <v>Midday (10-15)</v>
      </c>
      <c r="AD200" s="18">
        <f>IF($A200="","",IF($J200="","",ROUND($J200*41,1)))</f>
        <v>8.2</v>
      </c>
      <c r="AE200" s="18">
        <f>IF($A200="","",IF($R200="","",ROUND($R200*50,1)))</f>
        <v>8.3</v>
      </c>
      <c r="AF200" s="5">
        <f>IF($A200="","",IF($L200="","",ROUND($L200*100,0)))</f>
        <v>34</v>
      </c>
      <c r="AG200" s="18">
        <f>IF($A200="","",IF($M200="","",ROUND($M200*67,1)))</f>
        <v>30</v>
      </c>
      <c r="AH200" s="19">
        <f>IF($A200="","",IF($P200="","",IF($P200=0,0,$O200/$P200)))</f>
        <v>0.92</v>
      </c>
      <c r="AI200" s="5" t="str">
        <f>IF($A200="","",IF($P200="","",IF($P200&gt;=Lookups!$K$7,"High",IF($P200&lt;=Lookups!$K$8,"Low","Medium"))))</f>
        <v>Medium</v>
      </c>
      <c r="AJ200" s="5" t="str">
        <f>IF($A200="","",IF($AD200="","",IF($AD200&lt;5,"Under 5 C",IF($AD200&lt;10,"5-10 C",IF($AD200&lt;15,"10-15 C","15 C and above")))))</f>
        <v>5-10 C</v>
      </c>
      <c r="AK200" s="5">
        <f>IF($A200="","",IF($P200="","",$P200^2))</f>
        <v>5625</v>
      </c>
      <c r="AL200" s="18">
        <f>IF($V200&lt;&gt;1,"",AVERAGEIFS(Clean_Data!$P$2:$P$1001,Clean_Data!$F$2:$F$1001,$F200,Clean_Data!$W$2:$W$1001,$W200,Clean_Data!$V$2:$V$1001,1))</f>
        <v>102</v>
      </c>
      <c r="AM200" s="16">
        <f>IF($V200&lt;&gt;1,"",IFERROR(($P200-$AL200)/SQRT(MAX(0,(SUMIFS(Clean_Data!$AK$2:$AK$1001,Clean_Data!$F$2:$F$1001,$F200,Clean_Data!$W$2:$W$1001,$W200,Clean_Data!$V$2:$V$1001,1)-COUNTIFS(Clean_Data!$F$2:$F$1001,$F200,Clean_Data!$W$2:$W$1001,$W200,Clean_Data!$V$2:$V$1001,1)*$AL200^2)/(COUNTIFS(Clean_Data!$F$2:$F$1001,$F200,Clean_Data!$W$2:$W$1001,$W200,Clean_Data!$V$2:$V$1001,1)-1))),""))</f>
        <v>-0.791855124069351</v>
      </c>
      <c r="AN200" s="5" t="str">
        <f>IF($AM200="","",IF($AM200&gt;=Lookups!$K$6,"High spike",IF($AM200&lt;=-Lookups!$K$6,"Unusual low","Normal")))</f>
        <v>Normal</v>
      </c>
      <c r="AO200" s="20">
        <f>IF($V200&lt;&gt;1,"",$P200+ROW()/100000)</f>
        <v>75.002</v>
      </c>
      <c r="AP200" s="5">
        <f>IF($A200="","",IFERROR(MATCH($A200,Raw_D1!$A$2:$A$1001,0),""))</f>
        <v>199</v>
      </c>
      <c r="AQ200" s="5">
        <f>IF($A200="","",IFERROR(MATCH($A200,Raw_D2!$B$2:$B$1001,0),""))</f>
        <v>199</v>
      </c>
      <c r="AR200" s="5">
        <f>IF($A200="","",IFERROR(MATCH($A200,Raw_D3!$A$2:$A$1001,0),""))</f>
        <v/>
      </c>
    </row>
    <row r="201" spans="1:44" x14ac:dyDescent="0.25">
      <c r="A201" s="5">
        <v>200</v>
      </c>
      <c r="B201" s="11">
        <f>IF($A201="","",IF($AP201&lt;&gt;"",INDEX(Raw_D1!$B$2:$B$1001,$AP201),IF($AR201&lt;&gt;"",INDEX(Raw_D3!$B$2:$B$1001,$AR201),"")))</f>
        <v>40552.0</v>
      </c>
      <c r="C201" s="5">
        <f>IF($A201="","",IF($AP201&lt;&gt;"",INDEX(Raw_D1!$C$2:$C$1001,$AP201),IF($AR201&lt;&gt;"",INDEX(Raw_D3!$C$2:$C$1001,$AR201),"")))</f>
        <v>1</v>
      </c>
      <c r="D201" s="5">
        <f>IF($A201="","",IF($AP201&lt;&gt;"",INDEX(Raw_D1!$D$2:$D$1001,$AP201),IF($AR201&lt;&gt;"",INDEX(Raw_D3!$D$2:$D$1001,$AR201),"")))</f>
        <v>0</v>
      </c>
      <c r="E201" s="5">
        <f>IF($A201="","",IF($AP201&lt;&gt;"",INDEX(Raw_D1!$E$2:$E$1001,$AP201),IF($AR201&lt;&gt;"",INDEX(Raw_D3!$E$2:$E$1001,$AR201),"")))</f>
        <v>1</v>
      </c>
      <c r="F201" s="5">
        <f>IF($A201="","",IF($AP201&lt;&gt;"",INDEX(Raw_D1!$F$2:$F$1001,$AP201),IF($AR201&lt;&gt;"",INDEX(Raw_D3!$F$2:$F$1001,$AR201),"")))</f>
        <v>14</v>
      </c>
      <c r="G201" s="5">
        <f>IF($A201="","",IF($AP201&lt;&gt;"",IF(INDEX(Raw_D1!$G$2:$G$1001,$AP201),1,0),IF($AR201&lt;&gt;"",IF(INDEX(Raw_D3!$G$2:$G$1001,$AR201),1,0),"")))</f>
        <v>0</v>
      </c>
      <c r="H201" s="5">
        <f>IF($A201="","",IF($AP201&lt;&gt;"",INDEX(Raw_D1!$H$2:$H$1001,$AP201),IF($AR201&lt;&gt;"",INDEX(Raw_D3!$H$2:$H$1001,$AR201),"")))</f>
        <v>0</v>
      </c>
      <c r="I201" s="5">
        <f>IF($A201="","",IF($AP201&lt;&gt;"",INDEX(Raw_D1!$I$2:$I$1001,$AP201),IF($AR201&lt;&gt;"",INDEX(Raw_D3!$I$2:$I$1001,$AR201),"")))</f>
        <v>1</v>
      </c>
      <c r="J201" s="16">
        <f>IF($A201="","",IF($AP201&lt;&gt;"",INDEX(Raw_D1!$J$2:$J$1001,$AP201),IF($AR201&lt;&gt;"",INDEX(Raw_D3!$J$2:$J$1001,$AR201),"")))</f>
        <v>0.22</v>
      </c>
      <c r="K201" s="17">
        <f>IF($A201="","",IF($AQ201&lt;&gt;"",IF(INDEX(Raw_D2!$C$2:$C$1001,$AQ201)="","",INDEX(Raw_D2!$C$2:$C$1001,$AQ201)),IF($AR201&lt;&gt;"",IF(INDEX(Raw_D3!$K$2:$K$1001,$AR201)="","",INDEX(Raw_D3!$K$2:$K$1001,$AR201)),"")))</f>
        <v>0.1818</v>
      </c>
      <c r="L201" s="16">
        <f>IF($A201="","",IF($AQ201&lt;&gt;"",IF(INDEX(Raw_D2!$D$2:$D$1001,$AQ201)="","",INDEX(Raw_D2!$D$2:$D$1001,$AQ201)),IF($AR201&lt;&gt;"",IF(INDEX(Raw_D3!$L$2:$L$1001,$AR201)="","",INDEX(Raw_D3!$L$2:$L$1001,$AR201)),"")))</f>
        <v>0.32</v>
      </c>
      <c r="M201" s="17">
        <f>IF($A201="","",IF($AQ201&lt;&gt;"",IF(INDEX(Raw_D2!$E$2:$E$1001,$AQ201)="","",INDEX(Raw_D2!$E$2:$E$1001,$AQ201)),IF($AR201&lt;&gt;"",IF(INDEX(Raw_D3!$M$2:$M$1001,$AR201)="","",INDEX(Raw_D3!$M$2:$M$1001,$AR201)),"")))</f>
        <v>0.4627</v>
      </c>
      <c r="N201" s="5">
        <f>IF($A201="","",IF($AQ201&lt;&gt;"",IF(INDEX(Raw_D2!$F$2:$F$1001,$AQ201)="","",INDEX(Raw_D2!$F$2:$F$1001,$AQ201)),IF($AR201&lt;&gt;"",IF(INDEX(Raw_D3!$N$2:$N$1001,$AR201)="","",INDEX(Raw_D3!$N$2:$N$1001,$AR201)),"")))</f>
        <v>8</v>
      </c>
      <c r="O201" s="5">
        <f>IF($A201="","",IF($AQ201&lt;&gt;"",IF(INDEX(Raw_D2!$G$2:$G$1001,$AQ201)="","",INDEX(Raw_D2!$G$2:$G$1001,$AQ201)),IF($AR201&lt;&gt;"",IF(INDEX(Raw_D3!$O$2:$O$1001,$AR201)="","",INDEX(Raw_D3!$O$2:$O$1001,$AR201)),"")))</f>
        <v>64</v>
      </c>
      <c r="P201" s="5">
        <f>IF($A201="","",IF($AQ201&lt;&gt;"",IF(INDEX(Raw_D2!$H$2:$H$1001,$AQ201)="","",INDEX(Raw_D2!$H$2:$H$1001,$AQ201)),IF($AR201&lt;&gt;"",IF(INDEX(Raw_D3!$P$2:$P$1001,$AR201)="","",INDEX(Raw_D3!$P$2:$P$1001,$AR201)),"")))</f>
        <v>72</v>
      </c>
      <c r="Q201" s="5" t="str">
        <f>IF($A201="","",IF(AND($AP201&lt;&gt;"",$AQ201&lt;&gt;""),"D1+D2",IF($AR201&lt;&gt;"","D3","Incomplete")))</f>
        <v>D1+D2</v>
      </c>
      <c r="R201" s="17">
        <f>IF($A201="","",IF($K201="",IF($J201="","",ROUND(Lookups!$K$5+Lookups!$K$4*$J201,4)),$K201))</f>
        <v>0.1818</v>
      </c>
      <c r="S201" s="5" t="str">
        <f>IF($A201="","",IF($K201="","Imputed","Original"))</f>
        <v>Original</v>
      </c>
      <c r="T201" s="5" t="str">
        <f>IF($A201="","",IF($P201="","Missing",IF($P201=$N201+$O201,"OK","Mismatch")))</f>
        <v>OK</v>
      </c>
      <c r="U201" s="5" t="str">
        <f>IF($A201="","",IF(COUNTIF($A$2:$A201,$A201)&gt;1,"Duplicate","Unique"))</f>
        <v>Unique</v>
      </c>
      <c r="V201" s="5">
        <f>IF($A201="","",IF(AND($U201="Unique",ISNUMBER($P201)),1,0))</f>
        <v>1</v>
      </c>
      <c r="W201" s="5" t="str">
        <f>IF($A201="","",IF(OR($H201=0,$H201=6),"Weekend","Weekday"))</f>
        <v>Weekend</v>
      </c>
      <c r="X201" s="5" t="str">
        <f>IF($A201="","",TEXT($B201,"ddd"))</f>
        <v>Sun</v>
      </c>
      <c r="Y201" s="5" t="str">
        <f>IF($A201="","",TEXT($B201,"mmm"))</f>
        <v>Jan</v>
      </c>
      <c r="Z201" s="5" t="str">
        <f>IF($A201="","",IFERROR(VLOOKUP($C201,Lookups!$D$4:$E$7,2,FALSE),"Unknown"))</f>
        <v>Winter</v>
      </c>
      <c r="AA201" s="5" t="str">
        <f>IF($A201="","",IFERROR(VLOOKUP($I201,Lookups!$A$4:$B$7,2,FALSE),"Unknown"))</f>
        <v>Clear</v>
      </c>
      <c r="AB201" s="5" t="str">
        <f>IF($A201="","",TEXT($F201,"00")&amp;":00")</f>
        <v>14:00</v>
      </c>
      <c r="AC201" s="5" t="str">
        <f>IF($A201="","",VLOOKUP($F201,Lookups!$G$4:$H$8,2,TRUE))</f>
        <v>Midday (10-15)</v>
      </c>
      <c r="AD201" s="18">
        <f>IF($A201="","",IF($J201="","",ROUND($J201*41,1)))</f>
        <v>9</v>
      </c>
      <c r="AE201" s="18">
        <f>IF($A201="","",IF($R201="","",ROUND($R201*50,1)))</f>
        <v>9.1</v>
      </c>
      <c r="AF201" s="5">
        <f>IF($A201="","",IF($L201="","",ROUND($L201*100,0)))</f>
        <v>32</v>
      </c>
      <c r="AG201" s="18">
        <f>IF($A201="","",IF($M201="","",ROUND($M201*67,1)))</f>
        <v>31</v>
      </c>
      <c r="AH201" s="19">
        <f>IF($A201="","",IF($P201="","",IF($P201=0,0,$O201/$P201)))</f>
        <v>0.888888888888889</v>
      </c>
      <c r="AI201" s="5" t="str">
        <f>IF($A201="","",IF($P201="","",IF($P201&gt;=Lookups!$K$7,"High",IF($P201&lt;=Lookups!$K$8,"Low","Medium"))))</f>
        <v>Medium</v>
      </c>
      <c r="AJ201" s="5" t="str">
        <f>IF($A201="","",IF($AD201="","",IF($AD201&lt;5,"Under 5 C",IF($AD201&lt;10,"5-10 C",IF($AD201&lt;15,"10-15 C","15 C and above")))))</f>
        <v>5-10 C</v>
      </c>
      <c r="AK201" s="5">
        <f>IF($A201="","",IF($P201="","",$P201^2))</f>
        <v>5184</v>
      </c>
      <c r="AL201" s="18">
        <f>IF($V201&lt;&gt;1,"",AVERAGEIFS(Clean_Data!$P$2:$P$1001,Clean_Data!$F$2:$F$1001,$F201,Clean_Data!$W$2:$W$1001,$W201,Clean_Data!$V$2:$V$1001,1))</f>
        <v>103.142857142857</v>
      </c>
      <c r="AM201" s="16">
        <f>IF($V201&lt;&gt;1,"",IFERROR(($P201-$AL201)/SQRT(MAX(0,(SUMIFS(Clean_Data!$AK$2:$AK$1001,Clean_Data!$F$2:$F$1001,$F201,Clean_Data!$W$2:$W$1001,$W201,Clean_Data!$V$2:$V$1001,1)-COUNTIFS(Clean_Data!$F$2:$F$1001,$F201,Clean_Data!$W$2:$W$1001,$W201,Clean_Data!$V$2:$V$1001,1)*$AL201^2)/(COUNTIFS(Clean_Data!$F$2:$F$1001,$F201,Clean_Data!$W$2:$W$1001,$W201,Clean_Data!$V$2:$V$1001,1)-1))),""))</f>
        <v>-0.953446595559919</v>
      </c>
      <c r="AN201" s="5" t="str">
        <f>IF($AM201="","",IF($AM201&gt;=Lookups!$K$6,"High spike",IF($AM201&lt;=-Lookups!$K$6,"Unusual low","Normal")))</f>
        <v>Normal</v>
      </c>
      <c r="AO201" s="20">
        <f>IF($V201&lt;&gt;1,"",$P201+ROW()/100000)</f>
        <v>72.00201</v>
      </c>
      <c r="AP201" s="5">
        <f>IF($A201="","",IFERROR(MATCH($A201,Raw_D1!$A$2:$A$1001,0),""))</f>
        <v>200</v>
      </c>
      <c r="AQ201" s="5">
        <f>IF($A201="","",IFERROR(MATCH($A201,Raw_D2!$B$2:$B$1001,0),""))</f>
        <v>200</v>
      </c>
      <c r="AR201" s="5">
        <f>IF($A201="","",IFERROR(MATCH($A201,Raw_D3!$A$2:$A$1001,0),""))</f>
        <v/>
      </c>
    </row>
    <row r="202" spans="1:44" x14ac:dyDescent="0.25">
      <c r="A202" s="5">
        <v>201</v>
      </c>
      <c r="B202" s="11">
        <f>IF($A202="","",IF($AP202&lt;&gt;"",INDEX(Raw_D1!$B$2:$B$1001,$AP202),IF($AR202&lt;&gt;"",INDEX(Raw_D3!$B$2:$B$1001,$AR202),"")))</f>
        <v>40552.0</v>
      </c>
      <c r="C202" s="5">
        <f>IF($A202="","",IF($AP202&lt;&gt;"",INDEX(Raw_D1!$C$2:$C$1001,$AP202),IF($AR202&lt;&gt;"",INDEX(Raw_D3!$C$2:$C$1001,$AR202),"")))</f>
        <v>1</v>
      </c>
      <c r="D202" s="5">
        <f>IF($A202="","",IF($AP202&lt;&gt;"",INDEX(Raw_D1!$D$2:$D$1001,$AP202),IF($AR202&lt;&gt;"",INDEX(Raw_D3!$D$2:$D$1001,$AR202),"")))</f>
        <v>0</v>
      </c>
      <c r="E202" s="5">
        <f>IF($A202="","",IF($AP202&lt;&gt;"",INDEX(Raw_D1!$E$2:$E$1001,$AP202),IF($AR202&lt;&gt;"",INDEX(Raw_D3!$E$2:$E$1001,$AR202),"")))</f>
        <v>1</v>
      </c>
      <c r="F202" s="5">
        <f>IF($A202="","",IF($AP202&lt;&gt;"",INDEX(Raw_D1!$F$2:$F$1001,$AP202),IF($AR202&lt;&gt;"",INDEX(Raw_D3!$F$2:$F$1001,$AR202),"")))</f>
        <v>15</v>
      </c>
      <c r="G202" s="5">
        <f>IF($A202="","",IF($AP202&lt;&gt;"",IF(INDEX(Raw_D1!$G$2:$G$1001,$AP202),1,0),IF($AR202&lt;&gt;"",IF(INDEX(Raw_D3!$G$2:$G$1001,$AR202),1,0),"")))</f>
        <v>0</v>
      </c>
      <c r="H202" s="5">
        <f>IF($A202="","",IF($AP202&lt;&gt;"",INDEX(Raw_D1!$H$2:$H$1001,$AP202),IF($AR202&lt;&gt;"",INDEX(Raw_D3!$H$2:$H$1001,$AR202),"")))</f>
        <v>0</v>
      </c>
      <c r="I202" s="5">
        <f>IF($A202="","",IF($AP202&lt;&gt;"",INDEX(Raw_D1!$I$2:$I$1001,$AP202),IF($AR202&lt;&gt;"",INDEX(Raw_D3!$I$2:$I$1001,$AR202),"")))</f>
        <v>1</v>
      </c>
      <c r="J202" s="16">
        <f>IF($A202="","",IF($AP202&lt;&gt;"",INDEX(Raw_D1!$J$2:$J$1001,$AP202),IF($AR202&lt;&gt;"",INDEX(Raw_D3!$J$2:$J$1001,$AR202),"")))</f>
        <v>0.22</v>
      </c>
      <c r="K202" s="17">
        <f>IF($A202="","",IF($AQ202&lt;&gt;"",IF(INDEX(Raw_D2!$C$2:$C$1001,$AQ202)="","",INDEX(Raw_D2!$C$2:$C$1001,$AQ202)),IF($AR202&lt;&gt;"",IF(INDEX(Raw_D3!$K$2:$K$1001,$AR202)="","",INDEX(Raw_D3!$K$2:$K$1001,$AR202)),"")))</f>
        <v>0.197</v>
      </c>
      <c r="L202" s="16">
        <f>IF($A202="","",IF($AQ202&lt;&gt;"",IF(INDEX(Raw_D2!$D$2:$D$1001,$AQ202)="","",INDEX(Raw_D2!$D$2:$D$1001,$AQ202)),IF($AR202&lt;&gt;"",IF(INDEX(Raw_D3!$L$2:$L$1001,$AR202)="","",INDEX(Raw_D3!$L$2:$L$1001,$AR202)),"")))</f>
        <v>0.35</v>
      </c>
      <c r="M202" s="17">
        <f>IF($A202="","",IF($AQ202&lt;&gt;"",IF(INDEX(Raw_D2!$E$2:$E$1001,$AQ202)="","",INDEX(Raw_D2!$E$2:$E$1001,$AQ202)),IF($AR202&lt;&gt;"",IF(INDEX(Raw_D3!$M$2:$M$1001,$AR202)="","",INDEX(Raw_D3!$M$2:$M$1001,$AR202)),"")))</f>
        <v>0.3582</v>
      </c>
      <c r="N202" s="5">
        <f>IF($A202="","",IF($AQ202&lt;&gt;"",IF(INDEX(Raw_D2!$F$2:$F$1001,$AQ202)="","",INDEX(Raw_D2!$F$2:$F$1001,$AQ202)),IF($AR202&lt;&gt;"",IF(INDEX(Raw_D3!$N$2:$N$1001,$AR202)="","",INDEX(Raw_D3!$N$2:$N$1001,$AR202)),"")))</f>
        <v>5</v>
      </c>
      <c r="O202" s="5">
        <f>IF($A202="","",IF($AQ202&lt;&gt;"",IF(INDEX(Raw_D2!$G$2:$G$1001,$AQ202)="","",INDEX(Raw_D2!$G$2:$G$1001,$AQ202)),IF($AR202&lt;&gt;"",IF(INDEX(Raw_D3!$O$2:$O$1001,$AR202)="","",INDEX(Raw_D3!$O$2:$O$1001,$AR202)),"")))</f>
        <v>77</v>
      </c>
      <c r="P202" s="5">
        <f>IF($A202="","",IF($AQ202&lt;&gt;"",IF(INDEX(Raw_D2!$H$2:$H$1001,$AQ202)="","",INDEX(Raw_D2!$H$2:$H$1001,$AQ202)),IF($AR202&lt;&gt;"",IF(INDEX(Raw_D3!$P$2:$P$1001,$AR202)="","",INDEX(Raw_D3!$P$2:$P$1001,$AR202)),"")))</f>
        <v>82</v>
      </c>
      <c r="Q202" s="5" t="str">
        <f>IF($A202="","",IF(AND($AP202&lt;&gt;"",$AQ202&lt;&gt;""),"D1+D2",IF($AR202&lt;&gt;"","D3","Incomplete")))</f>
        <v>D1+D2</v>
      </c>
      <c r="R202" s="17">
        <f>IF($A202="","",IF($K202="",IF($J202="","",ROUND(Lookups!$K$5+Lookups!$K$4*$J202,4)),$K202))</f>
        <v>0.197</v>
      </c>
      <c r="S202" s="5" t="str">
        <f>IF($A202="","",IF($K202="","Imputed","Original"))</f>
        <v>Original</v>
      </c>
      <c r="T202" s="5" t="str">
        <f>IF($A202="","",IF($P202="","Missing",IF($P202=$N202+$O202,"OK","Mismatch")))</f>
        <v>OK</v>
      </c>
      <c r="U202" s="5" t="str">
        <f>IF($A202="","",IF(COUNTIF($A$2:$A202,$A202)&gt;1,"Duplicate","Unique"))</f>
        <v>Unique</v>
      </c>
      <c r="V202" s="5">
        <f>IF($A202="","",IF(AND($U202="Unique",ISNUMBER($P202)),1,0))</f>
        <v>1</v>
      </c>
      <c r="W202" s="5" t="str">
        <f>IF($A202="","",IF(OR($H202=0,$H202=6),"Weekend","Weekday"))</f>
        <v>Weekend</v>
      </c>
      <c r="X202" s="5" t="str">
        <f>IF($A202="","",TEXT($B202,"ddd"))</f>
        <v>Sun</v>
      </c>
      <c r="Y202" s="5" t="str">
        <f>IF($A202="","",TEXT($B202,"mmm"))</f>
        <v>Jan</v>
      </c>
      <c r="Z202" s="5" t="str">
        <f>IF($A202="","",IFERROR(VLOOKUP($C202,Lookups!$D$4:$E$7,2,FALSE),"Unknown"))</f>
        <v>Winter</v>
      </c>
      <c r="AA202" s="5" t="str">
        <f>IF($A202="","",IFERROR(VLOOKUP($I202,Lookups!$A$4:$B$7,2,FALSE),"Unknown"))</f>
        <v>Clear</v>
      </c>
      <c r="AB202" s="5" t="str">
        <f>IF($A202="","",TEXT($F202,"00")&amp;":00")</f>
        <v>15:00</v>
      </c>
      <c r="AC202" s="5" t="str">
        <f>IF($A202="","",VLOOKUP($F202,Lookups!$G$4:$H$8,2,TRUE))</f>
        <v>Midday (10-15)</v>
      </c>
      <c r="AD202" s="18">
        <f>IF($A202="","",IF($J202="","",ROUND($J202*41,1)))</f>
        <v>9</v>
      </c>
      <c r="AE202" s="18">
        <f>IF($A202="","",IF($R202="","",ROUND($R202*50,1)))</f>
        <v>9.9</v>
      </c>
      <c r="AF202" s="5">
        <f>IF($A202="","",IF($L202="","",ROUND($L202*100,0)))</f>
        <v>35</v>
      </c>
      <c r="AG202" s="18">
        <f>IF($A202="","",IF($M202="","",ROUND($M202*67,1)))</f>
        <v>24</v>
      </c>
      <c r="AH202" s="19">
        <f>IF($A202="","",IF($P202="","",IF($P202=0,0,$O202/$P202)))</f>
        <v>0.939024390243902</v>
      </c>
      <c r="AI202" s="5" t="str">
        <f>IF($A202="","",IF($P202="","",IF($P202&gt;=Lookups!$K$7,"High",IF($P202&lt;=Lookups!$K$8,"Low","Medium"))))</f>
        <v>Medium</v>
      </c>
      <c r="AJ202" s="5" t="str">
        <f>IF($A202="","",IF($AD202="","",IF($AD202&lt;5,"Under 5 C",IF($AD202&lt;10,"5-10 C",IF($AD202&lt;15,"10-15 C","15 C and above")))))</f>
        <v>5-10 C</v>
      </c>
      <c r="AK202" s="5">
        <f>IF($A202="","",IF($P202="","",$P202^2))</f>
        <v>6724</v>
      </c>
      <c r="AL202" s="18">
        <f>IF($V202&lt;&gt;1,"",AVERAGEIFS(Clean_Data!$P$2:$P$1001,Clean_Data!$F$2:$F$1001,$F202,Clean_Data!$W$2:$W$1001,$W202,Clean_Data!$V$2:$V$1001,1))</f>
        <v>112.071428571429</v>
      </c>
      <c r="AM202" s="16">
        <f>IF($V202&lt;&gt;1,"",IFERROR(($P202-$AL202)/SQRT(MAX(0,(SUMIFS(Clean_Data!$AK$2:$AK$1001,Clean_Data!$F$2:$F$1001,$F202,Clean_Data!$W$2:$W$1001,$W202,Clean_Data!$V$2:$V$1001,1)-COUNTIFS(Clean_Data!$F$2:$F$1001,$F202,Clean_Data!$W$2:$W$1001,$W202,Clean_Data!$V$2:$V$1001,1)*$AL202^2)/(COUNTIFS(Clean_Data!$F$2:$F$1001,$F202,Clean_Data!$W$2:$W$1001,$W202,Clean_Data!$V$2:$V$1001,1)-1))),""))</f>
        <v>-0.778260440332883</v>
      </c>
      <c r="AN202" s="5" t="str">
        <f>IF($AM202="","",IF($AM202&gt;=Lookups!$K$6,"High spike",IF($AM202&lt;=-Lookups!$K$6,"Unusual low","Normal")))</f>
        <v>Normal</v>
      </c>
      <c r="AO202" s="20">
        <f>IF($V202&lt;&gt;1,"",$P202+ROW()/100000)</f>
        <v>82.00202</v>
      </c>
      <c r="AP202" s="5">
        <f>IF($A202="","",IFERROR(MATCH($A202,Raw_D1!$A$2:$A$1001,0),""))</f>
        <v>201</v>
      </c>
      <c r="AQ202" s="5">
        <f>IF($A202="","",IFERROR(MATCH($A202,Raw_D2!$B$2:$B$1001,0),""))</f>
        <v>201</v>
      </c>
      <c r="AR202" s="5">
        <f>IF($A202="","",IFERROR(MATCH($A202,Raw_D3!$A$2:$A$1001,0),""))</f>
        <v/>
      </c>
    </row>
    <row r="203" spans="1:44" x14ac:dyDescent="0.25">
      <c r="A203" s="5">
        <v>202</v>
      </c>
      <c r="B203" s="11">
        <f>IF($A203="","",IF($AP203&lt;&gt;"",INDEX(Raw_D1!$B$2:$B$1001,$AP203),IF($AR203&lt;&gt;"",INDEX(Raw_D3!$B$2:$B$1001,$AR203),"")))</f>
        <v>40552.0</v>
      </c>
      <c r="C203" s="5">
        <f>IF($A203="","",IF($AP203&lt;&gt;"",INDEX(Raw_D1!$C$2:$C$1001,$AP203),IF($AR203&lt;&gt;"",INDEX(Raw_D3!$C$2:$C$1001,$AR203),"")))</f>
        <v>1</v>
      </c>
      <c r="D203" s="5">
        <f>IF($A203="","",IF($AP203&lt;&gt;"",INDEX(Raw_D1!$D$2:$D$1001,$AP203),IF($AR203&lt;&gt;"",INDEX(Raw_D3!$D$2:$D$1001,$AR203),"")))</f>
        <v>0</v>
      </c>
      <c r="E203" s="5">
        <f>IF($A203="","",IF($AP203&lt;&gt;"",INDEX(Raw_D1!$E$2:$E$1001,$AP203),IF($AR203&lt;&gt;"",INDEX(Raw_D3!$E$2:$E$1001,$AR203),"")))</f>
        <v>1</v>
      </c>
      <c r="F203" s="5">
        <f>IF($A203="","",IF($AP203&lt;&gt;"",INDEX(Raw_D1!$F$2:$F$1001,$AP203),IF($AR203&lt;&gt;"",INDEX(Raw_D3!$F$2:$F$1001,$AR203),"")))</f>
        <v>16</v>
      </c>
      <c r="G203" s="5">
        <f>IF($A203="","",IF($AP203&lt;&gt;"",IF(INDEX(Raw_D1!$G$2:$G$1001,$AP203),1,0),IF($AR203&lt;&gt;"",IF(INDEX(Raw_D3!$G$2:$G$1001,$AR203),1,0),"")))</f>
        <v>0</v>
      </c>
      <c r="H203" s="5">
        <f>IF($A203="","",IF($AP203&lt;&gt;"",INDEX(Raw_D1!$H$2:$H$1001,$AP203),IF($AR203&lt;&gt;"",INDEX(Raw_D3!$H$2:$H$1001,$AR203),"")))</f>
        <v>0</v>
      </c>
      <c r="I203" s="5">
        <f>IF($A203="","",IF($AP203&lt;&gt;"",INDEX(Raw_D1!$I$2:$I$1001,$AP203),IF($AR203&lt;&gt;"",INDEX(Raw_D3!$I$2:$I$1001,$AR203),"")))</f>
        <v>1</v>
      </c>
      <c r="J203" s="16">
        <f>IF($A203="","",IF($AP203&lt;&gt;"",INDEX(Raw_D1!$J$2:$J$1001,$AP203),IF($AR203&lt;&gt;"",INDEX(Raw_D3!$J$2:$J$1001,$AR203),"")))</f>
        <v>0.2</v>
      </c>
      <c r="K203" s="17">
        <f>IF($A203="","",IF($AQ203&lt;&gt;"",IF(INDEX(Raw_D2!$C$2:$C$1001,$AQ203)="","",INDEX(Raw_D2!$C$2:$C$1001,$AQ203)),IF($AR203&lt;&gt;"",IF(INDEX(Raw_D3!$K$2:$K$1001,$AR203)="","",INDEX(Raw_D3!$K$2:$K$1001,$AR203)),"")))</f>
        <v>0.1667</v>
      </c>
      <c r="L203" s="16">
        <f>IF($A203="","",IF($AQ203&lt;&gt;"",IF(INDEX(Raw_D2!$D$2:$D$1001,$AQ203)="","",INDEX(Raw_D2!$D$2:$D$1001,$AQ203)),IF($AR203&lt;&gt;"",IF(INDEX(Raw_D3!$L$2:$L$1001,$AR203)="","",INDEX(Raw_D3!$L$2:$L$1001,$AR203)),"")))</f>
        <v>0.34</v>
      </c>
      <c r="M203" s="17">
        <f>IF($A203="","",IF($AQ203&lt;&gt;"",IF(INDEX(Raw_D2!$E$2:$E$1001,$AQ203)="","",INDEX(Raw_D2!$E$2:$E$1001,$AQ203)),IF($AR203&lt;&gt;"",IF(INDEX(Raw_D3!$M$2:$M$1001,$AR203)="","",INDEX(Raw_D3!$M$2:$M$1001,$AR203)),"")))</f>
        <v>0.4478</v>
      </c>
      <c r="N203" s="5">
        <f>IF($A203="","",IF($AQ203&lt;&gt;"",IF(INDEX(Raw_D2!$F$2:$F$1001,$AQ203)="","",INDEX(Raw_D2!$F$2:$F$1001,$AQ203)),IF($AR203&lt;&gt;"",IF(INDEX(Raw_D3!$N$2:$N$1001,$AR203)="","",INDEX(Raw_D3!$N$2:$N$1001,$AR203)),"")))</f>
        <v>13</v>
      </c>
      <c r="O203" s="5">
        <f>IF($A203="","",IF($AQ203&lt;&gt;"",IF(INDEX(Raw_D2!$G$2:$G$1001,$AQ203)="","",INDEX(Raw_D2!$G$2:$G$1001,$AQ203)),IF($AR203&lt;&gt;"",IF(INDEX(Raw_D3!$O$2:$O$1001,$AR203)="","",INDEX(Raw_D3!$O$2:$O$1001,$AR203)),"")))</f>
        <v>79</v>
      </c>
      <c r="P203" s="5">
        <f>IF($A203="","",IF($AQ203&lt;&gt;"",IF(INDEX(Raw_D2!$H$2:$H$1001,$AQ203)="","",INDEX(Raw_D2!$H$2:$H$1001,$AQ203)),IF($AR203&lt;&gt;"",IF(INDEX(Raw_D3!$P$2:$P$1001,$AR203)="","",INDEX(Raw_D3!$P$2:$P$1001,$AR203)),"")))</f>
        <v>92</v>
      </c>
      <c r="Q203" s="5" t="str">
        <f>IF($A203="","",IF(AND($AP203&lt;&gt;"",$AQ203&lt;&gt;""),"D1+D2",IF($AR203&lt;&gt;"","D3","Incomplete")))</f>
        <v>D1+D2</v>
      </c>
      <c r="R203" s="17">
        <f>IF($A203="","",IF($K203="",IF($J203="","",ROUND(Lookups!$K$5+Lookups!$K$4*$J203,4)),$K203))</f>
        <v>0.1667</v>
      </c>
      <c r="S203" s="5" t="str">
        <f>IF($A203="","",IF($K203="","Imputed","Original"))</f>
        <v>Original</v>
      </c>
      <c r="T203" s="5" t="str">
        <f>IF($A203="","",IF($P203="","Missing",IF($P203=$N203+$O203,"OK","Mismatch")))</f>
        <v>OK</v>
      </c>
      <c r="U203" s="5" t="str">
        <f>IF($A203="","",IF(COUNTIF($A$2:$A203,$A203)&gt;1,"Duplicate","Unique"))</f>
        <v>Unique</v>
      </c>
      <c r="V203" s="5">
        <f>IF($A203="","",IF(AND($U203="Unique",ISNUMBER($P203)),1,0))</f>
        <v>1</v>
      </c>
      <c r="W203" s="5" t="str">
        <f>IF($A203="","",IF(OR($H203=0,$H203=6),"Weekend","Weekday"))</f>
        <v>Weekend</v>
      </c>
      <c r="X203" s="5" t="str">
        <f>IF($A203="","",TEXT($B203,"ddd"))</f>
        <v>Sun</v>
      </c>
      <c r="Y203" s="5" t="str">
        <f>IF($A203="","",TEXT($B203,"mmm"))</f>
        <v>Jan</v>
      </c>
      <c r="Z203" s="5" t="str">
        <f>IF($A203="","",IFERROR(VLOOKUP($C203,Lookups!$D$4:$E$7,2,FALSE),"Unknown"))</f>
        <v>Winter</v>
      </c>
      <c r="AA203" s="5" t="str">
        <f>IF($A203="","",IFERROR(VLOOKUP($I203,Lookups!$A$4:$B$7,2,FALSE),"Unknown"))</f>
        <v>Clear</v>
      </c>
      <c r="AB203" s="5" t="str">
        <f>IF($A203="","",TEXT($F203,"00")&amp;":00")</f>
        <v>16:00</v>
      </c>
      <c r="AC203" s="5" t="str">
        <f>IF($A203="","",VLOOKUP($F203,Lookups!$G$4:$H$8,2,TRUE))</f>
        <v>Evening Peak (16-19)</v>
      </c>
      <c r="AD203" s="18">
        <f>IF($A203="","",IF($J203="","",ROUND($J203*41,1)))</f>
        <v>8.2</v>
      </c>
      <c r="AE203" s="18">
        <f>IF($A203="","",IF($R203="","",ROUND($R203*50,1)))</f>
        <v>8.3</v>
      </c>
      <c r="AF203" s="5">
        <f>IF($A203="","",IF($L203="","",ROUND($L203*100,0)))</f>
        <v>34</v>
      </c>
      <c r="AG203" s="18">
        <f>IF($A203="","",IF($M203="","",ROUND($M203*67,1)))</f>
        <v>30</v>
      </c>
      <c r="AH203" s="19">
        <f>IF($A203="","",IF($P203="","",IF($P203=0,0,$O203/$P203)))</f>
        <v>0.858695652173913</v>
      </c>
      <c r="AI203" s="5" t="str">
        <f>IF($A203="","",IF($P203="","",IF($P203&gt;=Lookups!$K$7,"High",IF($P203&lt;=Lookups!$K$8,"Low","Medium"))))</f>
        <v>High</v>
      </c>
      <c r="AJ203" s="5" t="str">
        <f>IF($A203="","",IF($AD203="","",IF($AD203&lt;5,"Under 5 C",IF($AD203&lt;10,"5-10 C",IF($AD203&lt;15,"10-15 C","15 C and above")))))</f>
        <v>5-10 C</v>
      </c>
      <c r="AK203" s="5">
        <f>IF($A203="","",IF($P203="","",$P203^2))</f>
        <v>8464</v>
      </c>
      <c r="AL203" s="18">
        <f>IF($V203&lt;&gt;1,"",AVERAGEIFS(Clean_Data!$P$2:$P$1001,Clean_Data!$F$2:$F$1001,$F203,Clean_Data!$W$2:$W$1001,$W203,Clean_Data!$V$2:$V$1001,1))</f>
        <v>103.5</v>
      </c>
      <c r="AM203" s="16">
        <f>IF($V203&lt;&gt;1,"",IFERROR(($P203-$AL203)/SQRT(MAX(0,(SUMIFS(Clean_Data!$AK$2:$AK$1001,Clean_Data!$F$2:$F$1001,$F203,Clean_Data!$W$2:$W$1001,$W203,Clean_Data!$V$2:$V$1001,1)-COUNTIFS(Clean_Data!$F$2:$F$1001,$F203,Clean_Data!$W$2:$W$1001,$W203,Clean_Data!$V$2:$V$1001,1)*$AL203^2)/(COUNTIFS(Clean_Data!$F$2:$F$1001,$F203,Clean_Data!$W$2:$W$1001,$W203,Clean_Data!$V$2:$V$1001,1)-1))),""))</f>
        <v>-0.391072595828364</v>
      </c>
      <c r="AN203" s="5" t="str">
        <f>IF($AM203="","",IF($AM203&gt;=Lookups!$K$6,"High spike",IF($AM203&lt;=-Lookups!$K$6,"Unusual low","Normal")))</f>
        <v>Normal</v>
      </c>
      <c r="AO203" s="20">
        <f>IF($V203&lt;&gt;1,"",$P203+ROW()/100000)</f>
        <v>92.00203</v>
      </c>
      <c r="AP203" s="5">
        <f>IF($A203="","",IFERROR(MATCH($A203,Raw_D1!$A$2:$A$1001,0),""))</f>
        <v>202</v>
      </c>
      <c r="AQ203" s="5">
        <f>IF($A203="","",IFERROR(MATCH($A203,Raw_D2!$B$2:$B$1001,0),""))</f>
        <v>202</v>
      </c>
      <c r="AR203" s="5">
        <f>IF($A203="","",IFERROR(MATCH($A203,Raw_D3!$A$2:$A$1001,0),""))</f>
        <v/>
      </c>
    </row>
    <row r="204" spans="1:44" x14ac:dyDescent="0.25">
      <c r="A204" s="5">
        <v>203</v>
      </c>
      <c r="B204" s="11">
        <f>IF($A204="","",IF($AP204&lt;&gt;"",INDEX(Raw_D1!$B$2:$B$1001,$AP204),IF($AR204&lt;&gt;"",INDEX(Raw_D3!$B$2:$B$1001,$AR204),"")))</f>
        <v>40552.0</v>
      </c>
      <c r="C204" s="5">
        <f>IF($A204="","",IF($AP204&lt;&gt;"",INDEX(Raw_D1!$C$2:$C$1001,$AP204),IF($AR204&lt;&gt;"",INDEX(Raw_D3!$C$2:$C$1001,$AR204),"")))</f>
        <v>1</v>
      </c>
      <c r="D204" s="5">
        <f>IF($A204="","",IF($AP204&lt;&gt;"",INDEX(Raw_D1!$D$2:$D$1001,$AP204),IF($AR204&lt;&gt;"",INDEX(Raw_D3!$D$2:$D$1001,$AR204),"")))</f>
        <v>0</v>
      </c>
      <c r="E204" s="5">
        <f>IF($A204="","",IF($AP204&lt;&gt;"",INDEX(Raw_D1!$E$2:$E$1001,$AP204),IF($AR204&lt;&gt;"",INDEX(Raw_D3!$E$2:$E$1001,$AR204),"")))</f>
        <v>1</v>
      </c>
      <c r="F204" s="5">
        <f>IF($A204="","",IF($AP204&lt;&gt;"",INDEX(Raw_D1!$F$2:$F$1001,$AP204),IF($AR204&lt;&gt;"",INDEX(Raw_D3!$F$2:$F$1001,$AR204),"")))</f>
        <v>17</v>
      </c>
      <c r="G204" s="5">
        <f>IF($A204="","",IF($AP204&lt;&gt;"",IF(INDEX(Raw_D1!$G$2:$G$1001,$AP204),1,0),IF($AR204&lt;&gt;"",IF(INDEX(Raw_D3!$G$2:$G$1001,$AR204),1,0),"")))</f>
        <v>0</v>
      </c>
      <c r="H204" s="5">
        <f>IF($A204="","",IF($AP204&lt;&gt;"",INDEX(Raw_D1!$H$2:$H$1001,$AP204),IF($AR204&lt;&gt;"",INDEX(Raw_D3!$H$2:$H$1001,$AR204),"")))</f>
        <v>0</v>
      </c>
      <c r="I204" s="5">
        <f>IF($A204="","",IF($AP204&lt;&gt;"",INDEX(Raw_D1!$I$2:$I$1001,$AP204),IF($AR204&lt;&gt;"",INDEX(Raw_D3!$I$2:$I$1001,$AR204),"")))</f>
        <v>1</v>
      </c>
      <c r="J204" s="16">
        <f>IF($A204="","",IF($AP204&lt;&gt;"",INDEX(Raw_D1!$J$2:$J$1001,$AP204),IF($AR204&lt;&gt;"",INDEX(Raw_D3!$J$2:$J$1001,$AR204),"")))</f>
        <v>0.18</v>
      </c>
      <c r="K204" s="17">
        <f>IF($A204="","",IF($AQ204&lt;&gt;"",IF(INDEX(Raw_D2!$C$2:$C$1001,$AQ204)="","",INDEX(Raw_D2!$C$2:$C$1001,$AQ204)),IF($AR204&lt;&gt;"",IF(INDEX(Raw_D3!$K$2:$K$1001,$AR204)="","",INDEX(Raw_D3!$K$2:$K$1001,$AR204)),"")))</f>
        <v>0.1515</v>
      </c>
      <c r="L204" s="16">
        <f>IF($A204="","",IF($AQ204&lt;&gt;"",IF(INDEX(Raw_D2!$D$2:$D$1001,$AQ204)="","",INDEX(Raw_D2!$D$2:$D$1001,$AQ204)),IF($AR204&lt;&gt;"",IF(INDEX(Raw_D3!$L$2:$L$1001,$AR204)="","",INDEX(Raw_D3!$L$2:$L$1001,$AR204)),"")))</f>
        <v>0.37</v>
      </c>
      <c r="M204" s="17">
        <f>IF($A204="","",IF($AQ204&lt;&gt;"",IF(INDEX(Raw_D2!$E$2:$E$1001,$AQ204)="","",INDEX(Raw_D2!$E$2:$E$1001,$AQ204)),IF($AR204&lt;&gt;"",IF(INDEX(Raw_D3!$M$2:$M$1001,$AR204)="","",INDEX(Raw_D3!$M$2:$M$1001,$AR204)),"")))</f>
        <v>0.3881</v>
      </c>
      <c r="N204" s="5">
        <f>IF($A204="","",IF($AQ204&lt;&gt;"",IF(INDEX(Raw_D2!$F$2:$F$1001,$AQ204)="","",INDEX(Raw_D2!$F$2:$F$1001,$AQ204)),IF($AR204&lt;&gt;"",IF(INDEX(Raw_D3!$N$2:$N$1001,$AR204)="","",INDEX(Raw_D3!$N$2:$N$1001,$AR204)),"")))</f>
        <v>3</v>
      </c>
      <c r="O204" s="5">
        <f>IF($A204="","",IF($AQ204&lt;&gt;"",IF(INDEX(Raw_D2!$G$2:$G$1001,$AQ204)="","",INDEX(Raw_D2!$G$2:$G$1001,$AQ204)),IF($AR204&lt;&gt;"",IF(INDEX(Raw_D3!$O$2:$O$1001,$AR204)="","",INDEX(Raw_D3!$O$2:$O$1001,$AR204)),"")))</f>
        <v>59</v>
      </c>
      <c r="P204" s="5">
        <f>IF($A204="","",IF($AQ204&lt;&gt;"",IF(INDEX(Raw_D2!$H$2:$H$1001,$AQ204)="","",INDEX(Raw_D2!$H$2:$H$1001,$AQ204)),IF($AR204&lt;&gt;"",IF(INDEX(Raw_D3!$P$2:$P$1001,$AR204)="","",INDEX(Raw_D3!$P$2:$P$1001,$AR204)),"")))</f>
        <v>62</v>
      </c>
      <c r="Q204" s="5" t="str">
        <f>IF($A204="","",IF(AND($AP204&lt;&gt;"",$AQ204&lt;&gt;""),"D1+D2",IF($AR204&lt;&gt;"","D3","Incomplete")))</f>
        <v>D1+D2</v>
      </c>
      <c r="R204" s="17">
        <f>IF($A204="","",IF($K204="",IF($J204="","",ROUND(Lookups!$K$5+Lookups!$K$4*$J204,4)),$K204))</f>
        <v>0.1515</v>
      </c>
      <c r="S204" s="5" t="str">
        <f>IF($A204="","",IF($K204="","Imputed","Original"))</f>
        <v>Original</v>
      </c>
      <c r="T204" s="5" t="str">
        <f>IF($A204="","",IF($P204="","Missing",IF($P204=$N204+$O204,"OK","Mismatch")))</f>
        <v>OK</v>
      </c>
      <c r="U204" s="5" t="str">
        <f>IF($A204="","",IF(COUNTIF($A$2:$A204,$A204)&gt;1,"Duplicate","Unique"))</f>
        <v>Unique</v>
      </c>
      <c r="V204" s="5">
        <f>IF($A204="","",IF(AND($U204="Unique",ISNUMBER($P204)),1,0))</f>
        <v>1</v>
      </c>
      <c r="W204" s="5" t="str">
        <f>IF($A204="","",IF(OR($H204=0,$H204=6),"Weekend","Weekday"))</f>
        <v>Weekend</v>
      </c>
      <c r="X204" s="5" t="str">
        <f>IF($A204="","",TEXT($B204,"ddd"))</f>
        <v>Sun</v>
      </c>
      <c r="Y204" s="5" t="str">
        <f>IF($A204="","",TEXT($B204,"mmm"))</f>
        <v>Jan</v>
      </c>
      <c r="Z204" s="5" t="str">
        <f>IF($A204="","",IFERROR(VLOOKUP($C204,Lookups!$D$4:$E$7,2,FALSE),"Unknown"))</f>
        <v>Winter</v>
      </c>
      <c r="AA204" s="5" t="str">
        <f>IF($A204="","",IFERROR(VLOOKUP($I204,Lookups!$A$4:$B$7,2,FALSE),"Unknown"))</f>
        <v>Clear</v>
      </c>
      <c r="AB204" s="5" t="str">
        <f>IF($A204="","",TEXT($F204,"00")&amp;":00")</f>
        <v>17:00</v>
      </c>
      <c r="AC204" s="5" t="str">
        <f>IF($A204="","",VLOOKUP($F204,Lookups!$G$4:$H$8,2,TRUE))</f>
        <v>Evening Peak (16-19)</v>
      </c>
      <c r="AD204" s="18">
        <f>IF($A204="","",IF($J204="","",ROUND($J204*41,1)))</f>
        <v>7.4</v>
      </c>
      <c r="AE204" s="18">
        <f>IF($A204="","",IF($R204="","",ROUND($R204*50,1)))</f>
        <v>7.6</v>
      </c>
      <c r="AF204" s="5">
        <f>IF($A204="","",IF($L204="","",ROUND($L204*100,0)))</f>
        <v>37</v>
      </c>
      <c r="AG204" s="18">
        <f>IF($A204="","",IF($M204="","",ROUND($M204*67,1)))</f>
        <v>26</v>
      </c>
      <c r="AH204" s="19">
        <f>IF($A204="","",IF($P204="","",IF($P204=0,0,$O204/$P204)))</f>
        <v>0.951612903225807</v>
      </c>
      <c r="AI204" s="5" t="str">
        <f>IF($A204="","",IF($P204="","",IF($P204&gt;=Lookups!$K$7,"High",IF($P204&lt;=Lookups!$K$8,"Low","Medium"))))</f>
        <v>Medium</v>
      </c>
      <c r="AJ204" s="5" t="str">
        <f>IF($A204="","",IF($AD204="","",IF($AD204&lt;5,"Under 5 C",IF($AD204&lt;10,"5-10 C",IF($AD204&lt;15,"10-15 C","15 C and above")))))</f>
        <v>5-10 C</v>
      </c>
      <c r="AK204" s="5">
        <f>IF($A204="","",IF($P204="","",$P204^2))</f>
        <v>3844</v>
      </c>
      <c r="AL204" s="18">
        <f>IF($V204&lt;&gt;1,"",AVERAGEIFS(Clean_Data!$P$2:$P$1001,Clean_Data!$F$2:$F$1001,$F204,Clean_Data!$W$2:$W$1001,$W204,Clean_Data!$V$2:$V$1001,1))</f>
        <v>85.8571428571429</v>
      </c>
      <c r="AM204" s="16">
        <f>IF($V204&lt;&gt;1,"",IFERROR(($P204-$AL204)/SQRT(MAX(0,(SUMIFS(Clean_Data!$AK$2:$AK$1001,Clean_Data!$F$2:$F$1001,$F204,Clean_Data!$W$2:$W$1001,$W204,Clean_Data!$V$2:$V$1001,1)-COUNTIFS(Clean_Data!$F$2:$F$1001,$F204,Clean_Data!$W$2:$W$1001,$W204,Clean_Data!$V$2:$V$1001,1)*$AL204^2)/(COUNTIFS(Clean_Data!$F$2:$F$1001,$F204,Clean_Data!$W$2:$W$1001,$W204,Clean_Data!$V$2:$V$1001,1)-1))),""))</f>
        <v>-0.913037153901522</v>
      </c>
      <c r="AN204" s="5" t="str">
        <f>IF($AM204="","",IF($AM204&gt;=Lookups!$K$6,"High spike",IF($AM204&lt;=-Lookups!$K$6,"Unusual low","Normal")))</f>
        <v>Normal</v>
      </c>
      <c r="AO204" s="20">
        <f>IF($V204&lt;&gt;1,"",$P204+ROW()/100000)</f>
        <v>62.00204</v>
      </c>
      <c r="AP204" s="5">
        <f>IF($A204="","",IFERROR(MATCH($A204,Raw_D1!$A$2:$A$1001,0),""))</f>
        <v>203</v>
      </c>
      <c r="AQ204" s="5">
        <f>IF($A204="","",IFERROR(MATCH($A204,Raw_D2!$B$2:$B$1001,0),""))</f>
        <v>203</v>
      </c>
      <c r="AR204" s="5">
        <f>IF($A204="","",IFERROR(MATCH($A204,Raw_D3!$A$2:$A$1001,0),""))</f>
        <v/>
      </c>
    </row>
    <row r="205" spans="1:44" x14ac:dyDescent="0.25">
      <c r="A205" s="5">
        <v>204</v>
      </c>
      <c r="B205" s="11">
        <f>IF($A205="","",IF($AP205&lt;&gt;"",INDEX(Raw_D1!$B$2:$B$1001,$AP205),IF($AR205&lt;&gt;"",INDEX(Raw_D3!$B$2:$B$1001,$AR205),"")))</f>
        <v>40552.0</v>
      </c>
      <c r="C205" s="5">
        <f>IF($A205="","",IF($AP205&lt;&gt;"",INDEX(Raw_D1!$C$2:$C$1001,$AP205),IF($AR205&lt;&gt;"",INDEX(Raw_D3!$C$2:$C$1001,$AR205),"")))</f>
        <v>1</v>
      </c>
      <c r="D205" s="5">
        <f>IF($A205="","",IF($AP205&lt;&gt;"",INDEX(Raw_D1!$D$2:$D$1001,$AP205),IF($AR205&lt;&gt;"",INDEX(Raw_D3!$D$2:$D$1001,$AR205),"")))</f>
        <v>0</v>
      </c>
      <c r="E205" s="5">
        <f>IF($A205="","",IF($AP205&lt;&gt;"",INDEX(Raw_D1!$E$2:$E$1001,$AP205),IF($AR205&lt;&gt;"",INDEX(Raw_D3!$E$2:$E$1001,$AR205),"")))</f>
        <v>1</v>
      </c>
      <c r="F205" s="5">
        <f>IF($A205="","",IF($AP205&lt;&gt;"",INDEX(Raw_D1!$F$2:$F$1001,$AP205),IF($AR205&lt;&gt;"",INDEX(Raw_D3!$F$2:$F$1001,$AR205),"")))</f>
        <v>18</v>
      </c>
      <c r="G205" s="5">
        <f>IF($A205="","",IF($AP205&lt;&gt;"",IF(INDEX(Raw_D1!$G$2:$G$1001,$AP205),1,0),IF($AR205&lt;&gt;"",IF(INDEX(Raw_D3!$G$2:$G$1001,$AR205),1,0),"")))</f>
        <v>0</v>
      </c>
      <c r="H205" s="5">
        <f>IF($A205="","",IF($AP205&lt;&gt;"",INDEX(Raw_D1!$H$2:$H$1001,$AP205),IF($AR205&lt;&gt;"",INDEX(Raw_D3!$H$2:$H$1001,$AR205),"")))</f>
        <v>0</v>
      </c>
      <c r="I205" s="5">
        <f>IF($A205="","",IF($AP205&lt;&gt;"",INDEX(Raw_D1!$I$2:$I$1001,$AP205),IF($AR205&lt;&gt;"",INDEX(Raw_D3!$I$2:$I$1001,$AR205),"")))</f>
        <v>1</v>
      </c>
      <c r="J205" s="16">
        <f>IF($A205="","",IF($AP205&lt;&gt;"",INDEX(Raw_D1!$J$2:$J$1001,$AP205),IF($AR205&lt;&gt;"",INDEX(Raw_D3!$J$2:$J$1001,$AR205),"")))</f>
        <v>0.16</v>
      </c>
      <c r="K205" s="17">
        <f>IF($A205="","",IF($AQ205&lt;&gt;"",IF(INDEX(Raw_D2!$C$2:$C$1001,$AQ205)="","",INDEX(Raw_D2!$C$2:$C$1001,$AQ205)),IF($AR205&lt;&gt;"",IF(INDEX(Raw_D3!$K$2:$K$1001,$AR205)="","",INDEX(Raw_D3!$K$2:$K$1001,$AR205)),"")))</f>
        <v>0.1364</v>
      </c>
      <c r="L205" s="16">
        <f>IF($A205="","",IF($AQ205&lt;&gt;"",IF(INDEX(Raw_D2!$D$2:$D$1001,$AQ205)="","",INDEX(Raw_D2!$D$2:$D$1001,$AQ205)),IF($AR205&lt;&gt;"",IF(INDEX(Raw_D3!$L$2:$L$1001,$AR205)="","",INDEX(Raw_D3!$L$2:$L$1001,$AR205)),"")))</f>
        <v>0.4</v>
      </c>
      <c r="M205" s="17">
        <f>IF($A205="","",IF($AQ205&lt;&gt;"",IF(INDEX(Raw_D2!$E$2:$E$1001,$AQ205)="","",INDEX(Raw_D2!$E$2:$E$1001,$AQ205)),IF($AR205&lt;&gt;"",IF(INDEX(Raw_D3!$M$2:$M$1001,$AR205)="","",INDEX(Raw_D3!$M$2:$M$1001,$AR205)),"")))</f>
        <v>0.3284</v>
      </c>
      <c r="N205" s="5">
        <f>IF($A205="","",IF($AQ205&lt;&gt;"",IF(INDEX(Raw_D2!$F$2:$F$1001,$AQ205)="","",INDEX(Raw_D2!$F$2:$F$1001,$AQ205)),IF($AR205&lt;&gt;"",IF(INDEX(Raw_D3!$N$2:$N$1001,$AR205)="","",INDEX(Raw_D3!$N$2:$N$1001,$AR205)),"")))</f>
        <v>4</v>
      </c>
      <c r="O205" s="5">
        <f>IF($A205="","",IF($AQ205&lt;&gt;"",IF(INDEX(Raw_D2!$G$2:$G$1001,$AQ205)="","",INDEX(Raw_D2!$G$2:$G$1001,$AQ205)),IF($AR205&lt;&gt;"",IF(INDEX(Raw_D3!$O$2:$O$1001,$AR205)="","",INDEX(Raw_D3!$O$2:$O$1001,$AR205)),"")))</f>
        <v>44</v>
      </c>
      <c r="P205" s="5">
        <f>IF($A205="","",IF($AQ205&lt;&gt;"",IF(INDEX(Raw_D2!$H$2:$H$1001,$AQ205)="","",INDEX(Raw_D2!$H$2:$H$1001,$AQ205)),IF($AR205&lt;&gt;"",IF(INDEX(Raw_D3!$P$2:$P$1001,$AR205)="","",INDEX(Raw_D3!$P$2:$P$1001,$AR205)),"")))</f>
        <v>48</v>
      </c>
      <c r="Q205" s="5" t="str">
        <f>IF($A205="","",IF(AND($AP205&lt;&gt;"",$AQ205&lt;&gt;""),"D1+D2",IF($AR205&lt;&gt;"","D3","Incomplete")))</f>
        <v>D1+D2</v>
      </c>
      <c r="R205" s="17">
        <f>IF($A205="","",IF($K205="",IF($J205="","",ROUND(Lookups!$K$5+Lookups!$K$4*$J205,4)),$K205))</f>
        <v>0.1364</v>
      </c>
      <c r="S205" s="5" t="str">
        <f>IF($A205="","",IF($K205="","Imputed","Original"))</f>
        <v>Original</v>
      </c>
      <c r="T205" s="5" t="str">
        <f>IF($A205="","",IF($P205="","Missing",IF($P205=$N205+$O205,"OK","Mismatch")))</f>
        <v>OK</v>
      </c>
      <c r="U205" s="5" t="str">
        <f>IF($A205="","",IF(COUNTIF($A$2:$A205,$A205)&gt;1,"Duplicate","Unique"))</f>
        <v>Unique</v>
      </c>
      <c r="V205" s="5">
        <f>IF($A205="","",IF(AND($U205="Unique",ISNUMBER($P205)),1,0))</f>
        <v>1</v>
      </c>
      <c r="W205" s="5" t="str">
        <f>IF($A205="","",IF(OR($H205=0,$H205=6),"Weekend","Weekday"))</f>
        <v>Weekend</v>
      </c>
      <c r="X205" s="5" t="str">
        <f>IF($A205="","",TEXT($B205,"ddd"))</f>
        <v>Sun</v>
      </c>
      <c r="Y205" s="5" t="str">
        <f>IF($A205="","",TEXT($B205,"mmm"))</f>
        <v>Jan</v>
      </c>
      <c r="Z205" s="5" t="str">
        <f>IF($A205="","",IFERROR(VLOOKUP($C205,Lookups!$D$4:$E$7,2,FALSE),"Unknown"))</f>
        <v>Winter</v>
      </c>
      <c r="AA205" s="5" t="str">
        <f>IF($A205="","",IFERROR(VLOOKUP($I205,Lookups!$A$4:$B$7,2,FALSE),"Unknown"))</f>
        <v>Clear</v>
      </c>
      <c r="AB205" s="5" t="str">
        <f>IF($A205="","",TEXT($F205,"00")&amp;":00")</f>
        <v>18:00</v>
      </c>
      <c r="AC205" s="5" t="str">
        <f>IF($A205="","",VLOOKUP($F205,Lookups!$G$4:$H$8,2,TRUE))</f>
        <v>Evening Peak (16-19)</v>
      </c>
      <c r="AD205" s="18">
        <f>IF($A205="","",IF($J205="","",ROUND($J205*41,1)))</f>
        <v>6.6</v>
      </c>
      <c r="AE205" s="18">
        <f>IF($A205="","",IF($R205="","",ROUND($R205*50,1)))</f>
        <v>6.8</v>
      </c>
      <c r="AF205" s="5">
        <f>IF($A205="","",IF($L205="","",ROUND($L205*100,0)))</f>
        <v>40</v>
      </c>
      <c r="AG205" s="18">
        <f>IF($A205="","",IF($M205="","",ROUND($M205*67,1)))</f>
        <v>22</v>
      </c>
      <c r="AH205" s="19">
        <f>IF($A205="","",IF($P205="","",IF($P205=0,0,$O205/$P205)))</f>
        <v>0.916666666666667</v>
      </c>
      <c r="AI205" s="5" t="str">
        <f>IF($A205="","",IF($P205="","",IF($P205&gt;=Lookups!$K$7,"High",IF($P205&lt;=Lookups!$K$8,"Low","Medium"))))</f>
        <v>Medium</v>
      </c>
      <c r="AJ205" s="5" t="str">
        <f>IF($A205="","",IF($AD205="","",IF($AD205&lt;5,"Under 5 C",IF($AD205&lt;10,"5-10 C",IF($AD205&lt;15,"10-15 C","15 C and above")))))</f>
        <v>5-10 C</v>
      </c>
      <c r="AK205" s="5">
        <f>IF($A205="","",IF($P205="","",$P205^2))</f>
        <v>2304</v>
      </c>
      <c r="AL205" s="18">
        <f>IF($V205&lt;&gt;1,"",AVERAGEIFS(Clean_Data!$P$2:$P$1001,Clean_Data!$F$2:$F$1001,$F205,Clean_Data!$W$2:$W$1001,$W205,Clean_Data!$V$2:$V$1001,1))</f>
        <v>64.1428571428571</v>
      </c>
      <c r="AM205" s="16">
        <f>IF($V205&lt;&gt;1,"",IFERROR(($P205-$AL205)/SQRT(MAX(0,(SUMIFS(Clean_Data!$AK$2:$AK$1001,Clean_Data!$F$2:$F$1001,$F205,Clean_Data!$W$2:$W$1001,$W205,Clean_Data!$V$2:$V$1001,1)-COUNTIFS(Clean_Data!$F$2:$F$1001,$F205,Clean_Data!$W$2:$W$1001,$W205,Clean_Data!$V$2:$V$1001,1)*$AL205^2)/(COUNTIFS(Clean_Data!$F$2:$F$1001,$F205,Clean_Data!$W$2:$W$1001,$W205,Clean_Data!$V$2:$V$1001,1)-1))),""))</f>
        <v>-0.974444359209826</v>
      </c>
      <c r="AN205" s="5" t="str">
        <f>IF($AM205="","",IF($AM205&gt;=Lookups!$K$6,"High spike",IF($AM205&lt;=-Lookups!$K$6,"Unusual low","Normal")))</f>
        <v>Normal</v>
      </c>
      <c r="AO205" s="20">
        <f>IF($V205&lt;&gt;1,"",$P205+ROW()/100000)</f>
        <v>48.00205</v>
      </c>
      <c r="AP205" s="5">
        <f>IF($A205="","",IFERROR(MATCH($A205,Raw_D1!$A$2:$A$1001,0),""))</f>
        <v>204</v>
      </c>
      <c r="AQ205" s="5">
        <f>IF($A205="","",IFERROR(MATCH($A205,Raw_D2!$B$2:$B$1001,0),""))</f>
        <v>204</v>
      </c>
      <c r="AR205" s="5">
        <f>IF($A205="","",IFERROR(MATCH($A205,Raw_D3!$A$2:$A$1001,0),""))</f>
        <v/>
      </c>
    </row>
    <row r="206" spans="1:44" x14ac:dyDescent="0.25">
      <c r="A206" s="5">
        <v>205</v>
      </c>
      <c r="B206" s="11">
        <f>IF($A206="","",IF($AP206&lt;&gt;"",INDEX(Raw_D1!$B$2:$B$1001,$AP206),IF($AR206&lt;&gt;"",INDEX(Raw_D3!$B$2:$B$1001,$AR206),"")))</f>
        <v>40552.0</v>
      </c>
      <c r="C206" s="5">
        <f>IF($A206="","",IF($AP206&lt;&gt;"",INDEX(Raw_D1!$C$2:$C$1001,$AP206),IF($AR206&lt;&gt;"",INDEX(Raw_D3!$C$2:$C$1001,$AR206),"")))</f>
        <v>1</v>
      </c>
      <c r="D206" s="5">
        <f>IF($A206="","",IF($AP206&lt;&gt;"",INDEX(Raw_D1!$D$2:$D$1001,$AP206),IF($AR206&lt;&gt;"",INDEX(Raw_D3!$D$2:$D$1001,$AR206),"")))</f>
        <v>0</v>
      </c>
      <c r="E206" s="5">
        <f>IF($A206="","",IF($AP206&lt;&gt;"",INDEX(Raw_D1!$E$2:$E$1001,$AP206),IF($AR206&lt;&gt;"",INDEX(Raw_D3!$E$2:$E$1001,$AR206),"")))</f>
        <v>1</v>
      </c>
      <c r="F206" s="5">
        <f>IF($A206="","",IF($AP206&lt;&gt;"",INDEX(Raw_D1!$F$2:$F$1001,$AP206),IF($AR206&lt;&gt;"",INDEX(Raw_D3!$F$2:$F$1001,$AR206),"")))</f>
        <v>19</v>
      </c>
      <c r="G206" s="5">
        <f>IF($A206="","",IF($AP206&lt;&gt;"",IF(INDEX(Raw_D1!$G$2:$G$1001,$AP206),1,0),IF($AR206&lt;&gt;"",IF(INDEX(Raw_D3!$G$2:$G$1001,$AR206),1,0),"")))</f>
        <v>0</v>
      </c>
      <c r="H206" s="5">
        <f>IF($A206="","",IF($AP206&lt;&gt;"",INDEX(Raw_D1!$H$2:$H$1001,$AP206),IF($AR206&lt;&gt;"",INDEX(Raw_D3!$H$2:$H$1001,$AR206),"")))</f>
        <v>0</v>
      </c>
      <c r="I206" s="5">
        <f>IF($A206="","",IF($AP206&lt;&gt;"",INDEX(Raw_D1!$I$2:$I$1001,$AP206),IF($AR206&lt;&gt;"",INDEX(Raw_D3!$I$2:$I$1001,$AR206),"")))</f>
        <v>1</v>
      </c>
      <c r="J206" s="16">
        <f>IF($A206="","",IF($AP206&lt;&gt;"",INDEX(Raw_D1!$J$2:$J$1001,$AP206),IF($AR206&lt;&gt;"",INDEX(Raw_D3!$J$2:$J$1001,$AR206),"")))</f>
        <v>0.16</v>
      </c>
      <c r="K206" s="17">
        <f>IF($A206="","",IF($AQ206&lt;&gt;"",IF(INDEX(Raw_D2!$C$2:$C$1001,$AQ206)="","",INDEX(Raw_D2!$C$2:$C$1001,$AQ206)),IF($AR206&lt;&gt;"",IF(INDEX(Raw_D3!$K$2:$K$1001,$AR206)="","",INDEX(Raw_D3!$K$2:$K$1001,$AR206)),"")))</f>
        <v>0.1364</v>
      </c>
      <c r="L206" s="16">
        <f>IF($A206="","",IF($AQ206&lt;&gt;"",IF(INDEX(Raw_D2!$D$2:$D$1001,$AQ206)="","",INDEX(Raw_D2!$D$2:$D$1001,$AQ206)),IF($AR206&lt;&gt;"",IF(INDEX(Raw_D3!$L$2:$L$1001,$AR206)="","",INDEX(Raw_D3!$L$2:$L$1001,$AR206)),"")))</f>
        <v>0.43</v>
      </c>
      <c r="M206" s="17">
        <f>IF($A206="","",IF($AQ206&lt;&gt;"",IF(INDEX(Raw_D2!$E$2:$E$1001,$AQ206)="","",INDEX(Raw_D2!$E$2:$E$1001,$AQ206)),IF($AR206&lt;&gt;"",IF(INDEX(Raw_D3!$M$2:$M$1001,$AR206)="","",INDEX(Raw_D3!$M$2:$M$1001,$AR206)),"")))</f>
        <v>0.3284</v>
      </c>
      <c r="N206" s="5">
        <f>IF($A206="","",IF($AQ206&lt;&gt;"",IF(INDEX(Raw_D2!$F$2:$F$1001,$AQ206)="","",INDEX(Raw_D2!$F$2:$F$1001,$AQ206)),IF($AR206&lt;&gt;"",IF(INDEX(Raw_D3!$N$2:$N$1001,$AR206)="","",INDEX(Raw_D3!$N$2:$N$1001,$AR206)),"")))</f>
        <v>1</v>
      </c>
      <c r="O206" s="5">
        <f>IF($A206="","",IF($AQ206&lt;&gt;"",IF(INDEX(Raw_D2!$G$2:$G$1001,$AQ206)="","",INDEX(Raw_D2!$G$2:$G$1001,$AQ206)),IF($AR206&lt;&gt;"",IF(INDEX(Raw_D3!$O$2:$O$1001,$AR206)="","",INDEX(Raw_D3!$O$2:$O$1001,$AR206)),"")))</f>
        <v>40</v>
      </c>
      <c r="P206" s="5">
        <f>IF($A206="","",IF($AQ206&lt;&gt;"",IF(INDEX(Raw_D2!$H$2:$H$1001,$AQ206)="","",INDEX(Raw_D2!$H$2:$H$1001,$AQ206)),IF($AR206&lt;&gt;"",IF(INDEX(Raw_D3!$P$2:$P$1001,$AR206)="","",INDEX(Raw_D3!$P$2:$P$1001,$AR206)),"")))</f>
        <v>41</v>
      </c>
      <c r="Q206" s="5" t="str">
        <f>IF($A206="","",IF(AND($AP206&lt;&gt;"",$AQ206&lt;&gt;""),"D1+D2",IF($AR206&lt;&gt;"","D3","Incomplete")))</f>
        <v>D1+D2</v>
      </c>
      <c r="R206" s="17">
        <f>IF($A206="","",IF($K206="",IF($J206="","",ROUND(Lookups!$K$5+Lookups!$K$4*$J206,4)),$K206))</f>
        <v>0.1364</v>
      </c>
      <c r="S206" s="5" t="str">
        <f>IF($A206="","",IF($K206="","Imputed","Original"))</f>
        <v>Original</v>
      </c>
      <c r="T206" s="5" t="str">
        <f>IF($A206="","",IF($P206="","Missing",IF($P206=$N206+$O206,"OK","Mismatch")))</f>
        <v>OK</v>
      </c>
      <c r="U206" s="5" t="str">
        <f>IF($A206="","",IF(COUNTIF($A$2:$A206,$A206)&gt;1,"Duplicate","Unique"))</f>
        <v>Unique</v>
      </c>
      <c r="V206" s="5">
        <f>IF($A206="","",IF(AND($U206="Unique",ISNUMBER($P206)),1,0))</f>
        <v>1</v>
      </c>
      <c r="W206" s="5" t="str">
        <f>IF($A206="","",IF(OR($H206=0,$H206=6),"Weekend","Weekday"))</f>
        <v>Weekend</v>
      </c>
      <c r="X206" s="5" t="str">
        <f>IF($A206="","",TEXT($B206,"ddd"))</f>
        <v>Sun</v>
      </c>
      <c r="Y206" s="5" t="str">
        <f>IF($A206="","",TEXT($B206,"mmm"))</f>
        <v>Jan</v>
      </c>
      <c r="Z206" s="5" t="str">
        <f>IF($A206="","",IFERROR(VLOOKUP($C206,Lookups!$D$4:$E$7,2,FALSE),"Unknown"))</f>
        <v>Winter</v>
      </c>
      <c r="AA206" s="5" t="str">
        <f>IF($A206="","",IFERROR(VLOOKUP($I206,Lookups!$A$4:$B$7,2,FALSE),"Unknown"))</f>
        <v>Clear</v>
      </c>
      <c r="AB206" s="5" t="str">
        <f>IF($A206="","",TEXT($F206,"00")&amp;":00")</f>
        <v>19:00</v>
      </c>
      <c r="AC206" s="5" t="str">
        <f>IF($A206="","",VLOOKUP($F206,Lookups!$G$4:$H$8,2,TRUE))</f>
        <v>Evening Peak (16-19)</v>
      </c>
      <c r="AD206" s="18">
        <f>IF($A206="","",IF($J206="","",ROUND($J206*41,1)))</f>
        <v>6.6</v>
      </c>
      <c r="AE206" s="18">
        <f>IF($A206="","",IF($R206="","",ROUND($R206*50,1)))</f>
        <v>6.8</v>
      </c>
      <c r="AF206" s="5">
        <f>IF($A206="","",IF($L206="","",ROUND($L206*100,0)))</f>
        <v>43</v>
      </c>
      <c r="AG206" s="18">
        <f>IF($A206="","",IF($M206="","",ROUND($M206*67,1)))</f>
        <v>22</v>
      </c>
      <c r="AH206" s="19">
        <f>IF($A206="","",IF($P206="","",IF($P206=0,0,$O206/$P206)))</f>
        <v>0.975609756097561</v>
      </c>
      <c r="AI206" s="5" t="str">
        <f>IF($A206="","",IF($P206="","",IF($P206&gt;=Lookups!$K$7,"High",IF($P206&lt;=Lookups!$K$8,"Low","Medium"))))</f>
        <v>Medium</v>
      </c>
      <c r="AJ206" s="5" t="str">
        <f>IF($A206="","",IF($AD206="","",IF($AD206&lt;5,"Under 5 C",IF($AD206&lt;10,"5-10 C",IF($AD206&lt;15,"10-15 C","15 C and above")))))</f>
        <v>5-10 C</v>
      </c>
      <c r="AK206" s="5">
        <f>IF($A206="","",IF($P206="","",$P206^2))</f>
        <v>1681</v>
      </c>
      <c r="AL206" s="18">
        <f>IF($V206&lt;&gt;1,"",AVERAGEIFS(Clean_Data!$P$2:$P$1001,Clean_Data!$F$2:$F$1001,$F206,Clean_Data!$W$2:$W$1001,$W206,Clean_Data!$V$2:$V$1001,1))</f>
        <v>50.1428571428571</v>
      </c>
      <c r="AM206" s="16">
        <f>IF($V206&lt;&gt;1,"",IFERROR(($P206-$AL206)/SQRT(MAX(0,(SUMIFS(Clean_Data!$AK$2:$AK$1001,Clean_Data!$F$2:$F$1001,$F206,Clean_Data!$W$2:$W$1001,$W206,Clean_Data!$V$2:$V$1001,1)-COUNTIFS(Clean_Data!$F$2:$F$1001,$F206,Clean_Data!$W$2:$W$1001,$W206,Clean_Data!$V$2:$V$1001,1)*$AL206^2)/(COUNTIFS(Clean_Data!$F$2:$F$1001,$F206,Clean_Data!$W$2:$W$1001,$W206,Clean_Data!$V$2:$V$1001,1)-1))),""))</f>
        <v>-0.513843658325728</v>
      </c>
      <c r="AN206" s="5" t="str">
        <f>IF($AM206="","",IF($AM206&gt;=Lookups!$K$6,"High spike",IF($AM206&lt;=-Lookups!$K$6,"Unusual low","Normal")))</f>
        <v>Normal</v>
      </c>
      <c r="AO206" s="20">
        <f>IF($V206&lt;&gt;1,"",$P206+ROW()/100000)</f>
        <v>41.00206</v>
      </c>
      <c r="AP206" s="5">
        <f>IF($A206="","",IFERROR(MATCH($A206,Raw_D1!$A$2:$A$1001,0),""))</f>
        <v>205</v>
      </c>
      <c r="AQ206" s="5">
        <f>IF($A206="","",IFERROR(MATCH($A206,Raw_D2!$B$2:$B$1001,0),""))</f>
        <v>205</v>
      </c>
      <c r="AR206" s="5">
        <f>IF($A206="","",IFERROR(MATCH($A206,Raw_D3!$A$2:$A$1001,0),""))</f>
        <v/>
      </c>
    </row>
    <row r="207" spans="1:44" x14ac:dyDescent="0.25">
      <c r="A207" s="5">
        <v>206</v>
      </c>
      <c r="B207" s="11">
        <f>IF($A207="","",IF($AP207&lt;&gt;"",INDEX(Raw_D1!$B$2:$B$1001,$AP207),IF($AR207&lt;&gt;"",INDEX(Raw_D3!$B$2:$B$1001,$AR207),"")))</f>
        <v>40552.0</v>
      </c>
      <c r="C207" s="5">
        <f>IF($A207="","",IF($AP207&lt;&gt;"",INDEX(Raw_D1!$C$2:$C$1001,$AP207),IF($AR207&lt;&gt;"",INDEX(Raw_D3!$C$2:$C$1001,$AR207),"")))</f>
        <v>1</v>
      </c>
      <c r="D207" s="5">
        <f>IF($A207="","",IF($AP207&lt;&gt;"",INDEX(Raw_D1!$D$2:$D$1001,$AP207),IF($AR207&lt;&gt;"",INDEX(Raw_D3!$D$2:$D$1001,$AR207),"")))</f>
        <v>0</v>
      </c>
      <c r="E207" s="5">
        <f>IF($A207="","",IF($AP207&lt;&gt;"",INDEX(Raw_D1!$E$2:$E$1001,$AP207),IF($AR207&lt;&gt;"",INDEX(Raw_D3!$E$2:$E$1001,$AR207),"")))</f>
        <v>1</v>
      </c>
      <c r="F207" s="5">
        <f>IF($A207="","",IF($AP207&lt;&gt;"",INDEX(Raw_D1!$F$2:$F$1001,$AP207),IF($AR207&lt;&gt;"",INDEX(Raw_D3!$F$2:$F$1001,$AR207),"")))</f>
        <v>20</v>
      </c>
      <c r="G207" s="5">
        <f>IF($A207="","",IF($AP207&lt;&gt;"",IF(INDEX(Raw_D1!$G$2:$G$1001,$AP207),1,0),IF($AR207&lt;&gt;"",IF(INDEX(Raw_D3!$G$2:$G$1001,$AR207),1,0),"")))</f>
        <v>0</v>
      </c>
      <c r="H207" s="5">
        <f>IF($A207="","",IF($AP207&lt;&gt;"",INDEX(Raw_D1!$H$2:$H$1001,$AP207),IF($AR207&lt;&gt;"",INDEX(Raw_D3!$H$2:$H$1001,$AR207),"")))</f>
        <v>0</v>
      </c>
      <c r="I207" s="5">
        <f>IF($A207="","",IF($AP207&lt;&gt;"",INDEX(Raw_D1!$I$2:$I$1001,$AP207),IF($AR207&lt;&gt;"",INDEX(Raw_D3!$I$2:$I$1001,$AR207),"")))</f>
        <v>1</v>
      </c>
      <c r="J207" s="16">
        <f>IF($A207="","",IF($AP207&lt;&gt;"",INDEX(Raw_D1!$J$2:$J$1001,$AP207),IF($AR207&lt;&gt;"",INDEX(Raw_D3!$J$2:$J$1001,$AR207),"")))</f>
        <v>0.14</v>
      </c>
      <c r="K207" s="17">
        <f>IF($A207="","",IF($AQ207&lt;&gt;"",IF(INDEX(Raw_D2!$C$2:$C$1001,$AQ207)="","",INDEX(Raw_D2!$C$2:$C$1001,$AQ207)),IF($AR207&lt;&gt;"",IF(INDEX(Raw_D3!$K$2:$K$1001,$AR207)="","",INDEX(Raw_D3!$K$2:$K$1001,$AR207)),"")))</f>
        <v>0.1212</v>
      </c>
      <c r="L207" s="16">
        <f>IF($A207="","",IF($AQ207&lt;&gt;"",IF(INDEX(Raw_D2!$D$2:$D$1001,$AQ207)="","",INDEX(Raw_D2!$D$2:$D$1001,$AQ207)),IF($AR207&lt;&gt;"",IF(INDEX(Raw_D3!$L$2:$L$1001,$AR207)="","",INDEX(Raw_D3!$L$2:$L$1001,$AR207)),"")))</f>
        <v>0.46</v>
      </c>
      <c r="M207" s="17">
        <f>IF($A207="","",IF($AQ207&lt;&gt;"",IF(INDEX(Raw_D2!$E$2:$E$1001,$AQ207)="","",INDEX(Raw_D2!$E$2:$E$1001,$AQ207)),IF($AR207&lt;&gt;"",IF(INDEX(Raw_D3!$M$2:$M$1001,$AR207)="","",INDEX(Raw_D3!$M$2:$M$1001,$AR207)),"")))</f>
        <v>0.2537</v>
      </c>
      <c r="N207" s="5">
        <f>IF($A207="","",IF($AQ207&lt;&gt;"",IF(INDEX(Raw_D2!$F$2:$F$1001,$AQ207)="","",INDEX(Raw_D2!$F$2:$F$1001,$AQ207)),IF($AR207&lt;&gt;"",IF(INDEX(Raw_D3!$N$2:$N$1001,$AR207)="","",INDEX(Raw_D3!$N$2:$N$1001,$AR207)),"")))</f>
        <v>0</v>
      </c>
      <c r="O207" s="5">
        <f>IF($A207="","",IF($AQ207&lt;&gt;"",IF(INDEX(Raw_D2!$G$2:$G$1001,$AQ207)="","",INDEX(Raw_D2!$G$2:$G$1001,$AQ207)),IF($AR207&lt;&gt;"",IF(INDEX(Raw_D3!$O$2:$O$1001,$AR207)="","",INDEX(Raw_D3!$O$2:$O$1001,$AR207)),"")))</f>
        <v>38</v>
      </c>
      <c r="P207" s="5">
        <f>IF($A207="","",IF($AQ207&lt;&gt;"",IF(INDEX(Raw_D2!$H$2:$H$1001,$AQ207)="","",INDEX(Raw_D2!$H$2:$H$1001,$AQ207)),IF($AR207&lt;&gt;"",IF(INDEX(Raw_D3!$P$2:$P$1001,$AR207)="","",INDEX(Raw_D3!$P$2:$P$1001,$AR207)),"")))</f>
        <v>38</v>
      </c>
      <c r="Q207" s="5" t="str">
        <f>IF($A207="","",IF(AND($AP207&lt;&gt;"",$AQ207&lt;&gt;""),"D1+D2",IF($AR207&lt;&gt;"","D3","Incomplete")))</f>
        <v>D1+D2</v>
      </c>
      <c r="R207" s="17">
        <f>IF($A207="","",IF($K207="",IF($J207="","",ROUND(Lookups!$K$5+Lookups!$K$4*$J207,4)),$K207))</f>
        <v>0.1212</v>
      </c>
      <c r="S207" s="5" t="str">
        <f>IF($A207="","",IF($K207="","Imputed","Original"))</f>
        <v>Original</v>
      </c>
      <c r="T207" s="5" t="str">
        <f>IF($A207="","",IF($P207="","Missing",IF($P207=$N207+$O207,"OK","Mismatch")))</f>
        <v>OK</v>
      </c>
      <c r="U207" s="5" t="str">
        <f>IF($A207="","",IF(COUNTIF($A$2:$A207,$A207)&gt;1,"Duplicate","Unique"))</f>
        <v>Unique</v>
      </c>
      <c r="V207" s="5">
        <f>IF($A207="","",IF(AND($U207="Unique",ISNUMBER($P207)),1,0))</f>
        <v>1</v>
      </c>
      <c r="W207" s="5" t="str">
        <f>IF($A207="","",IF(OR($H207=0,$H207=6),"Weekend","Weekday"))</f>
        <v>Weekend</v>
      </c>
      <c r="X207" s="5" t="str">
        <f>IF($A207="","",TEXT($B207,"ddd"))</f>
        <v>Sun</v>
      </c>
      <c r="Y207" s="5" t="str">
        <f>IF($A207="","",TEXT($B207,"mmm"))</f>
        <v>Jan</v>
      </c>
      <c r="Z207" s="5" t="str">
        <f>IF($A207="","",IFERROR(VLOOKUP($C207,Lookups!$D$4:$E$7,2,FALSE),"Unknown"))</f>
        <v>Winter</v>
      </c>
      <c r="AA207" s="5" t="str">
        <f>IF($A207="","",IFERROR(VLOOKUP($I207,Lookups!$A$4:$B$7,2,FALSE),"Unknown"))</f>
        <v>Clear</v>
      </c>
      <c r="AB207" s="5" t="str">
        <f>IF($A207="","",TEXT($F207,"00")&amp;":00")</f>
        <v>20:00</v>
      </c>
      <c r="AC207" s="5" t="str">
        <f>IF($A207="","",VLOOKUP($F207,Lookups!$G$4:$H$8,2,TRUE))</f>
        <v>Late Evening (20-23)</v>
      </c>
      <c r="AD207" s="18">
        <f>IF($A207="","",IF($J207="","",ROUND($J207*41,1)))</f>
        <v>5.7</v>
      </c>
      <c r="AE207" s="18">
        <f>IF($A207="","",IF($R207="","",ROUND($R207*50,1)))</f>
        <v>6.1</v>
      </c>
      <c r="AF207" s="5">
        <f>IF($A207="","",IF($L207="","",ROUND($L207*100,0)))</f>
        <v>46</v>
      </c>
      <c r="AG207" s="18">
        <f>IF($A207="","",IF($M207="","",ROUND($M207*67,1)))</f>
        <v>17</v>
      </c>
      <c r="AH207" s="19">
        <f>IF($A207="","",IF($P207="","",IF($P207=0,0,$O207/$P207)))</f>
        <v>1</v>
      </c>
      <c r="AI207" s="5" t="str">
        <f>IF($A207="","",IF($P207="","",IF($P207&gt;=Lookups!$K$7,"High",IF($P207&lt;=Lookups!$K$8,"Low","Medium"))))</f>
        <v>Medium</v>
      </c>
      <c r="AJ207" s="5" t="str">
        <f>IF($A207="","",IF($AD207="","",IF($AD207&lt;5,"Under 5 C",IF($AD207&lt;10,"5-10 C",IF($AD207&lt;15,"10-15 C","15 C and above")))))</f>
        <v>5-10 C</v>
      </c>
      <c r="AK207" s="5">
        <f>IF($A207="","",IF($P207="","",$P207^2))</f>
        <v>1444</v>
      </c>
      <c r="AL207" s="18">
        <f>IF($V207&lt;&gt;1,"",AVERAGEIFS(Clean_Data!$P$2:$P$1001,Clean_Data!$F$2:$F$1001,$F207,Clean_Data!$W$2:$W$1001,$W207,Clean_Data!$V$2:$V$1001,1))</f>
        <v>40</v>
      </c>
      <c r="AM207" s="16">
        <f>IF($V207&lt;&gt;1,"",IFERROR(($P207-$AL207)/SQRT(MAX(0,(SUMIFS(Clean_Data!$AK$2:$AK$1001,Clean_Data!$F$2:$F$1001,$F207,Clean_Data!$W$2:$W$1001,$W207,Clean_Data!$V$2:$V$1001,1)-COUNTIFS(Clean_Data!$F$2:$F$1001,$F207,Clean_Data!$W$2:$W$1001,$W207,Clean_Data!$V$2:$V$1001,1)*$AL207^2)/(COUNTIFS(Clean_Data!$F$2:$F$1001,$F207,Clean_Data!$W$2:$W$1001,$W207,Clean_Data!$V$2:$V$1001,1)-1))),""))</f>
        <v>-0.162385862552742</v>
      </c>
      <c r="AN207" s="5" t="str">
        <f>IF($AM207="","",IF($AM207&gt;=Lookups!$K$6,"High spike",IF($AM207&lt;=-Lookups!$K$6,"Unusual low","Normal")))</f>
        <v>Normal</v>
      </c>
      <c r="AO207" s="20">
        <f>IF($V207&lt;&gt;1,"",$P207+ROW()/100000)</f>
        <v>38.00207</v>
      </c>
      <c r="AP207" s="5">
        <f>IF($A207="","",IFERROR(MATCH($A207,Raw_D1!$A$2:$A$1001,0),""))</f>
        <v>206</v>
      </c>
      <c r="AQ207" s="5">
        <f>IF($A207="","",IFERROR(MATCH($A207,Raw_D2!$B$2:$B$1001,0),""))</f>
        <v>206</v>
      </c>
      <c r="AR207" s="5">
        <f>IF($A207="","",IFERROR(MATCH($A207,Raw_D3!$A$2:$A$1001,0),""))</f>
        <v/>
      </c>
    </row>
    <row r="208" spans="1:44" x14ac:dyDescent="0.25">
      <c r="A208" s="5">
        <v>207</v>
      </c>
      <c r="B208" s="11">
        <f>IF($A208="","",IF($AP208&lt;&gt;"",INDEX(Raw_D1!$B$2:$B$1001,$AP208),IF($AR208&lt;&gt;"",INDEX(Raw_D3!$B$2:$B$1001,$AR208),"")))</f>
        <v>40552.0</v>
      </c>
      <c r="C208" s="5">
        <f>IF($A208="","",IF($AP208&lt;&gt;"",INDEX(Raw_D1!$C$2:$C$1001,$AP208),IF($AR208&lt;&gt;"",INDEX(Raw_D3!$C$2:$C$1001,$AR208),"")))</f>
        <v>1</v>
      </c>
      <c r="D208" s="5">
        <f>IF($A208="","",IF($AP208&lt;&gt;"",INDEX(Raw_D1!$D$2:$D$1001,$AP208),IF($AR208&lt;&gt;"",INDEX(Raw_D3!$D$2:$D$1001,$AR208),"")))</f>
        <v>0</v>
      </c>
      <c r="E208" s="5">
        <f>IF($A208="","",IF($AP208&lt;&gt;"",INDEX(Raw_D1!$E$2:$E$1001,$AP208),IF($AR208&lt;&gt;"",INDEX(Raw_D3!$E$2:$E$1001,$AR208),"")))</f>
        <v>1</v>
      </c>
      <c r="F208" s="5">
        <f>IF($A208="","",IF($AP208&lt;&gt;"",INDEX(Raw_D1!$F$2:$F$1001,$AP208),IF($AR208&lt;&gt;"",INDEX(Raw_D3!$F$2:$F$1001,$AR208),"")))</f>
        <v>21</v>
      </c>
      <c r="G208" s="5">
        <f>IF($A208="","",IF($AP208&lt;&gt;"",IF(INDEX(Raw_D1!$G$2:$G$1001,$AP208),1,0),IF($AR208&lt;&gt;"",IF(INDEX(Raw_D3!$G$2:$G$1001,$AR208),1,0),"")))</f>
        <v>0</v>
      </c>
      <c r="H208" s="5">
        <f>IF($A208="","",IF($AP208&lt;&gt;"",INDEX(Raw_D1!$H$2:$H$1001,$AP208),IF($AR208&lt;&gt;"",INDEX(Raw_D3!$H$2:$H$1001,$AR208),"")))</f>
        <v>0</v>
      </c>
      <c r="I208" s="5">
        <f>IF($A208="","",IF($AP208&lt;&gt;"",INDEX(Raw_D1!$I$2:$I$1001,$AP208),IF($AR208&lt;&gt;"",INDEX(Raw_D3!$I$2:$I$1001,$AR208),"")))</f>
        <v>1</v>
      </c>
      <c r="J208" s="16">
        <f>IF($A208="","",IF($AP208&lt;&gt;"",INDEX(Raw_D1!$J$2:$J$1001,$AP208),IF($AR208&lt;&gt;"",INDEX(Raw_D3!$J$2:$J$1001,$AR208),"")))</f>
        <v>0.14</v>
      </c>
      <c r="K208" s="17">
        <f>IF($A208="","",IF($AQ208&lt;&gt;"",IF(INDEX(Raw_D2!$C$2:$C$1001,$AQ208)="","",INDEX(Raw_D2!$C$2:$C$1001,$AQ208)),IF($AR208&lt;&gt;"",IF(INDEX(Raw_D3!$K$2:$K$1001,$AR208)="","",INDEX(Raw_D3!$K$2:$K$1001,$AR208)),"")))</f>
        <v>0.1061</v>
      </c>
      <c r="L208" s="16">
        <f>IF($A208="","",IF($AQ208&lt;&gt;"",IF(INDEX(Raw_D2!$D$2:$D$1001,$AQ208)="","",INDEX(Raw_D2!$D$2:$D$1001,$AQ208)),IF($AR208&lt;&gt;"",IF(INDEX(Raw_D3!$L$2:$L$1001,$AR208)="","",INDEX(Raw_D3!$L$2:$L$1001,$AR208)),"")))</f>
        <v>0.46</v>
      </c>
      <c r="M208" s="17">
        <f>IF($A208="","",IF($AQ208&lt;&gt;"",IF(INDEX(Raw_D2!$E$2:$E$1001,$AQ208)="","",INDEX(Raw_D2!$E$2:$E$1001,$AQ208)),IF($AR208&lt;&gt;"",IF(INDEX(Raw_D3!$M$2:$M$1001,$AR208)="","",INDEX(Raw_D3!$M$2:$M$1001,$AR208)),"")))</f>
        <v>0.4179</v>
      </c>
      <c r="N208" s="5">
        <f>IF($A208="","",IF($AQ208&lt;&gt;"",IF(INDEX(Raw_D2!$F$2:$F$1001,$AQ208)="","",INDEX(Raw_D2!$F$2:$F$1001,$AQ208)),IF($AR208&lt;&gt;"",IF(INDEX(Raw_D3!$N$2:$N$1001,$AR208)="","",INDEX(Raw_D3!$N$2:$N$1001,$AR208)),"")))</f>
        <v>1</v>
      </c>
      <c r="O208" s="5">
        <f>IF($A208="","",IF($AQ208&lt;&gt;"",IF(INDEX(Raw_D2!$G$2:$G$1001,$AQ208)="","",INDEX(Raw_D2!$G$2:$G$1001,$AQ208)),IF($AR208&lt;&gt;"",IF(INDEX(Raw_D3!$O$2:$O$1001,$AR208)="","",INDEX(Raw_D3!$O$2:$O$1001,$AR208)),"")))</f>
        <v>19</v>
      </c>
      <c r="P208" s="5">
        <f>IF($A208="","",IF($AQ208&lt;&gt;"",IF(INDEX(Raw_D2!$H$2:$H$1001,$AQ208)="","",INDEX(Raw_D2!$H$2:$H$1001,$AQ208)),IF($AR208&lt;&gt;"",IF(INDEX(Raw_D3!$P$2:$P$1001,$AR208)="","",INDEX(Raw_D3!$P$2:$P$1001,$AR208)),"")))</f>
        <v>20</v>
      </c>
      <c r="Q208" s="5" t="str">
        <f>IF($A208="","",IF(AND($AP208&lt;&gt;"",$AQ208&lt;&gt;""),"D1+D2",IF($AR208&lt;&gt;"","D3","Incomplete")))</f>
        <v>D1+D2</v>
      </c>
      <c r="R208" s="17">
        <f>IF($A208="","",IF($K208="",IF($J208="","",ROUND(Lookups!$K$5+Lookups!$K$4*$J208,4)),$K208))</f>
        <v>0.1061</v>
      </c>
      <c r="S208" s="5" t="str">
        <f>IF($A208="","",IF($K208="","Imputed","Original"))</f>
        <v>Original</v>
      </c>
      <c r="T208" s="5" t="str">
        <f>IF($A208="","",IF($P208="","Missing",IF($P208=$N208+$O208,"OK","Mismatch")))</f>
        <v>OK</v>
      </c>
      <c r="U208" s="5" t="str">
        <f>IF($A208="","",IF(COUNTIF($A$2:$A208,$A208)&gt;1,"Duplicate","Unique"))</f>
        <v>Unique</v>
      </c>
      <c r="V208" s="5">
        <f>IF($A208="","",IF(AND($U208="Unique",ISNUMBER($P208)),1,0))</f>
        <v>1</v>
      </c>
      <c r="W208" s="5" t="str">
        <f>IF($A208="","",IF(OR($H208=0,$H208=6),"Weekend","Weekday"))</f>
        <v>Weekend</v>
      </c>
      <c r="X208" s="5" t="str">
        <f>IF($A208="","",TEXT($B208,"ddd"))</f>
        <v>Sun</v>
      </c>
      <c r="Y208" s="5" t="str">
        <f>IF($A208="","",TEXT($B208,"mmm"))</f>
        <v>Jan</v>
      </c>
      <c r="Z208" s="5" t="str">
        <f>IF($A208="","",IFERROR(VLOOKUP($C208,Lookups!$D$4:$E$7,2,FALSE),"Unknown"))</f>
        <v>Winter</v>
      </c>
      <c r="AA208" s="5" t="str">
        <f>IF($A208="","",IFERROR(VLOOKUP($I208,Lookups!$A$4:$B$7,2,FALSE),"Unknown"))</f>
        <v>Clear</v>
      </c>
      <c r="AB208" s="5" t="str">
        <f>IF($A208="","",TEXT($F208,"00")&amp;":00")</f>
        <v>21:00</v>
      </c>
      <c r="AC208" s="5" t="str">
        <f>IF($A208="","",VLOOKUP($F208,Lookups!$G$4:$H$8,2,TRUE))</f>
        <v>Late Evening (20-23)</v>
      </c>
      <c r="AD208" s="18">
        <f>IF($A208="","",IF($J208="","",ROUND($J208*41,1)))</f>
        <v>5.7</v>
      </c>
      <c r="AE208" s="18">
        <f>IF($A208="","",IF($R208="","",ROUND($R208*50,1)))</f>
        <v>5.3</v>
      </c>
      <c r="AF208" s="5">
        <f>IF($A208="","",IF($L208="","",ROUND($L208*100,0)))</f>
        <v>46</v>
      </c>
      <c r="AG208" s="18">
        <f>IF($A208="","",IF($M208="","",ROUND($M208*67,1)))</f>
        <v>28</v>
      </c>
      <c r="AH208" s="19">
        <f>IF($A208="","",IF($P208="","",IF($P208=0,0,$O208/$P208)))</f>
        <v>0.95</v>
      </c>
      <c r="AI208" s="5" t="str">
        <f>IF($A208="","",IF($P208="","",IF($P208&gt;=Lookups!$K$7,"High",IF($P208&lt;=Lookups!$K$8,"Low","Medium"))))</f>
        <v>Medium</v>
      </c>
      <c r="AJ208" s="5" t="str">
        <f>IF($A208="","",IF($AD208="","",IF($AD208&lt;5,"Under 5 C",IF($AD208&lt;10,"5-10 C",IF($AD208&lt;15,"10-15 C","15 C and above")))))</f>
        <v>5-10 C</v>
      </c>
      <c r="AK208" s="5">
        <f>IF($A208="","",IF($P208="","",$P208^2))</f>
        <v>400</v>
      </c>
      <c r="AL208" s="18">
        <f>IF($V208&lt;&gt;1,"",AVERAGEIFS(Clean_Data!$P$2:$P$1001,Clean_Data!$F$2:$F$1001,$F208,Clean_Data!$W$2:$W$1001,$W208,Clean_Data!$V$2:$V$1001,1))</f>
        <v>37.1428571428571</v>
      </c>
      <c r="AM208" s="16">
        <f>IF($V208&lt;&gt;1,"",IFERROR(($P208-$AL208)/SQRT(MAX(0,(SUMIFS(Clean_Data!$AK$2:$AK$1001,Clean_Data!$F$2:$F$1001,$F208,Clean_Data!$W$2:$W$1001,$W208,Clean_Data!$V$2:$V$1001,1)-COUNTIFS(Clean_Data!$F$2:$F$1001,$F208,Clean_Data!$W$2:$W$1001,$W208,Clean_Data!$V$2:$V$1001,1)*$AL208^2)/(COUNTIFS(Clean_Data!$F$2:$F$1001,$F208,Clean_Data!$W$2:$W$1001,$W208,Clean_Data!$V$2:$V$1001,1)-1))),""))</f>
        <v>-1.41885974950759</v>
      </c>
      <c r="AN208" s="5" t="str">
        <f>IF($AM208="","",IF($AM208&gt;=Lookups!$K$6,"High spike",IF($AM208&lt;=-Lookups!$K$6,"Unusual low","Normal")))</f>
        <v>Normal</v>
      </c>
      <c r="AO208" s="20">
        <f>IF($V208&lt;&gt;1,"",$P208+ROW()/100000)</f>
        <v>20.00208</v>
      </c>
      <c r="AP208" s="5">
        <f>IF($A208="","",IFERROR(MATCH($A208,Raw_D1!$A$2:$A$1001,0),""))</f>
        <v>207</v>
      </c>
      <c r="AQ208" s="5">
        <f>IF($A208="","",IFERROR(MATCH($A208,Raw_D2!$B$2:$B$1001,0),""))</f>
        <v>207</v>
      </c>
      <c r="AR208" s="5">
        <f>IF($A208="","",IFERROR(MATCH($A208,Raw_D3!$A$2:$A$1001,0),""))</f>
        <v/>
      </c>
    </row>
    <row r="209" spans="1:44" x14ac:dyDescent="0.25">
      <c r="A209" s="5">
        <v>208</v>
      </c>
      <c r="B209" s="11">
        <f>IF($A209="","",IF($AP209&lt;&gt;"",INDEX(Raw_D1!$B$2:$B$1001,$AP209),IF($AR209&lt;&gt;"",INDEX(Raw_D3!$B$2:$B$1001,$AR209),"")))</f>
        <v>40552.0</v>
      </c>
      <c r="C209" s="5">
        <f>IF($A209="","",IF($AP209&lt;&gt;"",INDEX(Raw_D1!$C$2:$C$1001,$AP209),IF($AR209&lt;&gt;"",INDEX(Raw_D3!$C$2:$C$1001,$AR209),"")))</f>
        <v>1</v>
      </c>
      <c r="D209" s="5">
        <f>IF($A209="","",IF($AP209&lt;&gt;"",INDEX(Raw_D1!$D$2:$D$1001,$AP209),IF($AR209&lt;&gt;"",INDEX(Raw_D3!$D$2:$D$1001,$AR209),"")))</f>
        <v>0</v>
      </c>
      <c r="E209" s="5">
        <f>IF($A209="","",IF($AP209&lt;&gt;"",INDEX(Raw_D1!$E$2:$E$1001,$AP209),IF($AR209&lt;&gt;"",INDEX(Raw_D3!$E$2:$E$1001,$AR209),"")))</f>
        <v>1</v>
      </c>
      <c r="F209" s="5">
        <f>IF($A209="","",IF($AP209&lt;&gt;"",INDEX(Raw_D1!$F$2:$F$1001,$AP209),IF($AR209&lt;&gt;"",INDEX(Raw_D3!$F$2:$F$1001,$AR209),"")))</f>
        <v>22</v>
      </c>
      <c r="G209" s="5">
        <f>IF($A209="","",IF($AP209&lt;&gt;"",IF(INDEX(Raw_D1!$G$2:$G$1001,$AP209),1,0),IF($AR209&lt;&gt;"",IF(INDEX(Raw_D3!$G$2:$G$1001,$AR209),1,0),"")))</f>
        <v>0</v>
      </c>
      <c r="H209" s="5">
        <f>IF($A209="","",IF($AP209&lt;&gt;"",INDEX(Raw_D1!$H$2:$H$1001,$AP209),IF($AR209&lt;&gt;"",INDEX(Raw_D3!$H$2:$H$1001,$AR209),"")))</f>
        <v>0</v>
      </c>
      <c r="I209" s="5">
        <f>IF($A209="","",IF($AP209&lt;&gt;"",INDEX(Raw_D1!$I$2:$I$1001,$AP209),IF($AR209&lt;&gt;"",INDEX(Raw_D3!$I$2:$I$1001,$AR209),"")))</f>
        <v>1</v>
      </c>
      <c r="J209" s="16">
        <f>IF($A209="","",IF($AP209&lt;&gt;"",INDEX(Raw_D1!$J$2:$J$1001,$AP209),IF($AR209&lt;&gt;"",INDEX(Raw_D3!$J$2:$J$1001,$AR209),"")))</f>
        <v>0.14</v>
      </c>
      <c r="K209" s="17">
        <f>IF($A209="","",IF($AQ209&lt;&gt;"",IF(INDEX(Raw_D2!$C$2:$C$1001,$AQ209)="","",INDEX(Raw_D2!$C$2:$C$1001,$AQ209)),IF($AR209&lt;&gt;"",IF(INDEX(Raw_D3!$K$2:$K$1001,$AR209)="","",INDEX(Raw_D3!$K$2:$K$1001,$AR209)),"")))</f>
        <v>0.1212</v>
      </c>
      <c r="L209" s="16">
        <f>IF($A209="","",IF($AQ209&lt;&gt;"",IF(INDEX(Raw_D2!$D$2:$D$1001,$AQ209)="","",INDEX(Raw_D2!$D$2:$D$1001,$AQ209)),IF($AR209&lt;&gt;"",IF(INDEX(Raw_D3!$L$2:$L$1001,$AR209)="","",INDEX(Raw_D3!$L$2:$L$1001,$AR209)),"")))</f>
        <v>0.46</v>
      </c>
      <c r="M209" s="17">
        <f>IF($A209="","",IF($AQ209&lt;&gt;"",IF(INDEX(Raw_D2!$E$2:$E$1001,$AQ209)="","",INDEX(Raw_D2!$E$2:$E$1001,$AQ209)),IF($AR209&lt;&gt;"",IF(INDEX(Raw_D3!$M$2:$M$1001,$AR209)="","",INDEX(Raw_D3!$M$2:$M$1001,$AR209)),"")))</f>
        <v>0.2985</v>
      </c>
      <c r="N209" s="5">
        <f>IF($A209="","",IF($AQ209&lt;&gt;"",IF(INDEX(Raw_D2!$F$2:$F$1001,$AQ209)="","",INDEX(Raw_D2!$F$2:$F$1001,$AQ209)),IF($AR209&lt;&gt;"",IF(INDEX(Raw_D3!$N$2:$N$1001,$AR209)="","",INDEX(Raw_D3!$N$2:$N$1001,$AR209)),"")))</f>
        <v>5</v>
      </c>
      <c r="O209" s="5">
        <f>IF($A209="","",IF($AQ209&lt;&gt;"",IF(INDEX(Raw_D2!$G$2:$G$1001,$AQ209)="","",INDEX(Raw_D2!$G$2:$G$1001,$AQ209)),IF($AR209&lt;&gt;"",IF(INDEX(Raw_D3!$O$2:$O$1001,$AR209)="","",INDEX(Raw_D3!$O$2:$O$1001,$AR209)),"")))</f>
        <v>10</v>
      </c>
      <c r="P209" s="5">
        <f>IF($A209="","",IF($AQ209&lt;&gt;"",IF(INDEX(Raw_D2!$H$2:$H$1001,$AQ209)="","",INDEX(Raw_D2!$H$2:$H$1001,$AQ209)),IF($AR209&lt;&gt;"",IF(INDEX(Raw_D3!$P$2:$P$1001,$AR209)="","",INDEX(Raw_D3!$P$2:$P$1001,$AR209)),"")))</f>
        <v>15</v>
      </c>
      <c r="Q209" s="5" t="str">
        <f>IF($A209="","",IF(AND($AP209&lt;&gt;"",$AQ209&lt;&gt;""),"D1+D2",IF($AR209&lt;&gt;"","D3","Incomplete")))</f>
        <v>D1+D2</v>
      </c>
      <c r="R209" s="17">
        <f>IF($A209="","",IF($K209="",IF($J209="","",ROUND(Lookups!$K$5+Lookups!$K$4*$J209,4)),$K209))</f>
        <v>0.1212</v>
      </c>
      <c r="S209" s="5" t="str">
        <f>IF($A209="","",IF($K209="","Imputed","Original"))</f>
        <v>Original</v>
      </c>
      <c r="T209" s="5" t="str">
        <f>IF($A209="","",IF($P209="","Missing",IF($P209=$N209+$O209,"OK","Mismatch")))</f>
        <v>OK</v>
      </c>
      <c r="U209" s="5" t="str">
        <f>IF($A209="","",IF(COUNTIF($A$2:$A209,$A209)&gt;1,"Duplicate","Unique"))</f>
        <v>Unique</v>
      </c>
      <c r="V209" s="5">
        <f>IF($A209="","",IF(AND($U209="Unique",ISNUMBER($P209)),1,0))</f>
        <v>1</v>
      </c>
      <c r="W209" s="5" t="str">
        <f>IF($A209="","",IF(OR($H209=0,$H209=6),"Weekend","Weekday"))</f>
        <v>Weekend</v>
      </c>
      <c r="X209" s="5" t="str">
        <f>IF($A209="","",TEXT($B209,"ddd"))</f>
        <v>Sun</v>
      </c>
      <c r="Y209" s="5" t="str">
        <f>IF($A209="","",TEXT($B209,"mmm"))</f>
        <v>Jan</v>
      </c>
      <c r="Z209" s="5" t="str">
        <f>IF($A209="","",IFERROR(VLOOKUP($C209,Lookups!$D$4:$E$7,2,FALSE),"Unknown"))</f>
        <v>Winter</v>
      </c>
      <c r="AA209" s="5" t="str">
        <f>IF($A209="","",IFERROR(VLOOKUP($I209,Lookups!$A$4:$B$7,2,FALSE),"Unknown"))</f>
        <v>Clear</v>
      </c>
      <c r="AB209" s="5" t="str">
        <f>IF($A209="","",TEXT($F209,"00")&amp;":00")</f>
        <v>22:00</v>
      </c>
      <c r="AC209" s="5" t="str">
        <f>IF($A209="","",VLOOKUP($F209,Lookups!$G$4:$H$8,2,TRUE))</f>
        <v>Late Evening (20-23)</v>
      </c>
      <c r="AD209" s="18">
        <f>IF($A209="","",IF($J209="","",ROUND($J209*41,1)))</f>
        <v>5.7</v>
      </c>
      <c r="AE209" s="18">
        <f>IF($A209="","",IF($R209="","",ROUND($R209*50,1)))</f>
        <v>6.1</v>
      </c>
      <c r="AF209" s="5">
        <f>IF($A209="","",IF($L209="","",ROUND($L209*100,0)))</f>
        <v>46</v>
      </c>
      <c r="AG209" s="18">
        <f>IF($A209="","",IF($M209="","",ROUND($M209*67,1)))</f>
        <v>20</v>
      </c>
      <c r="AH209" s="19">
        <f>IF($A209="","",IF($P209="","",IF($P209=0,0,$O209/$P209)))</f>
        <v>0.666666666666667</v>
      </c>
      <c r="AI209" s="5" t="str">
        <f>IF($A209="","",IF($P209="","",IF($P209&gt;=Lookups!$K$7,"High",IF($P209&lt;=Lookups!$K$8,"Low","Medium"))))</f>
        <v>Low</v>
      </c>
      <c r="AJ209" s="5" t="str">
        <f>IF($A209="","",IF($AD209="","",IF($AD209&lt;5,"Under 5 C",IF($AD209&lt;10,"5-10 C",IF($AD209&lt;15,"10-15 C","15 C and above")))))</f>
        <v>5-10 C</v>
      </c>
      <c r="AK209" s="5">
        <f>IF($A209="","",IF($P209="","",$P209^2))</f>
        <v>225</v>
      </c>
      <c r="AL209" s="18">
        <f>IF($V209&lt;&gt;1,"",AVERAGEIFS(Clean_Data!$P$2:$P$1001,Clean_Data!$F$2:$F$1001,$F209,Clean_Data!$W$2:$W$1001,$W209,Clean_Data!$V$2:$V$1001,1))</f>
        <v>30.8571428571429</v>
      </c>
      <c r="AM209" s="16">
        <f>IF($V209&lt;&gt;1,"",IFERROR(($P209-$AL209)/SQRT(MAX(0,(SUMIFS(Clean_Data!$AK$2:$AK$1001,Clean_Data!$F$2:$F$1001,$F209,Clean_Data!$W$2:$W$1001,$W209,Clean_Data!$V$2:$V$1001,1)-COUNTIFS(Clean_Data!$F$2:$F$1001,$F209,Clean_Data!$W$2:$W$1001,$W209,Clean_Data!$V$2:$V$1001,1)*$AL209^2)/(COUNTIFS(Clean_Data!$F$2:$F$1001,$F209,Clean_Data!$W$2:$W$1001,$W209,Clean_Data!$V$2:$V$1001,1)-1))),""))</f>
        <v>-1.17399279119494</v>
      </c>
      <c r="AN209" s="5" t="str">
        <f>IF($AM209="","",IF($AM209&gt;=Lookups!$K$6,"High spike",IF($AM209&lt;=-Lookups!$K$6,"Unusual low","Normal")))</f>
        <v>Normal</v>
      </c>
      <c r="AO209" s="20">
        <f>IF($V209&lt;&gt;1,"",$P209+ROW()/100000)</f>
        <v>15.00209</v>
      </c>
      <c r="AP209" s="5">
        <f>IF($A209="","",IFERROR(MATCH($A209,Raw_D1!$A$2:$A$1001,0),""))</f>
        <v>208</v>
      </c>
      <c r="AQ209" s="5">
        <f>IF($A209="","",IFERROR(MATCH($A209,Raw_D2!$B$2:$B$1001,0),""))</f>
        <v>208</v>
      </c>
      <c r="AR209" s="5">
        <f>IF($A209="","",IFERROR(MATCH($A209,Raw_D3!$A$2:$A$1001,0),""))</f>
        <v/>
      </c>
    </row>
    <row r="210" spans="1:44" x14ac:dyDescent="0.25">
      <c r="A210" s="5">
        <v>209</v>
      </c>
      <c r="B210" s="11">
        <f>IF($A210="","",IF($AP210&lt;&gt;"",INDEX(Raw_D1!$B$2:$B$1001,$AP210),IF($AR210&lt;&gt;"",INDEX(Raw_D3!$B$2:$B$1001,$AR210),"")))</f>
        <v>40552.0</v>
      </c>
      <c r="C210" s="5">
        <f>IF($A210="","",IF($AP210&lt;&gt;"",INDEX(Raw_D1!$C$2:$C$1001,$AP210),IF($AR210&lt;&gt;"",INDEX(Raw_D3!$C$2:$C$1001,$AR210),"")))</f>
        <v>1</v>
      </c>
      <c r="D210" s="5">
        <f>IF($A210="","",IF($AP210&lt;&gt;"",INDEX(Raw_D1!$D$2:$D$1001,$AP210),IF($AR210&lt;&gt;"",INDEX(Raw_D3!$D$2:$D$1001,$AR210),"")))</f>
        <v>0</v>
      </c>
      <c r="E210" s="5">
        <f>IF($A210="","",IF($AP210&lt;&gt;"",INDEX(Raw_D1!$E$2:$E$1001,$AP210),IF($AR210&lt;&gt;"",INDEX(Raw_D3!$E$2:$E$1001,$AR210),"")))</f>
        <v>1</v>
      </c>
      <c r="F210" s="5">
        <f>IF($A210="","",IF($AP210&lt;&gt;"",INDEX(Raw_D1!$F$2:$F$1001,$AP210),IF($AR210&lt;&gt;"",INDEX(Raw_D3!$F$2:$F$1001,$AR210),"")))</f>
        <v>23</v>
      </c>
      <c r="G210" s="5">
        <f>IF($A210="","",IF($AP210&lt;&gt;"",IF(INDEX(Raw_D1!$G$2:$G$1001,$AP210),1,0),IF($AR210&lt;&gt;"",IF(INDEX(Raw_D3!$G$2:$G$1001,$AR210),1,0),"")))</f>
        <v>0</v>
      </c>
      <c r="H210" s="5">
        <f>IF($A210="","",IF($AP210&lt;&gt;"",INDEX(Raw_D1!$H$2:$H$1001,$AP210),IF($AR210&lt;&gt;"",INDEX(Raw_D3!$H$2:$H$1001,$AR210),"")))</f>
        <v>0</v>
      </c>
      <c r="I210" s="5">
        <f>IF($A210="","",IF($AP210&lt;&gt;"",INDEX(Raw_D1!$I$2:$I$1001,$AP210),IF($AR210&lt;&gt;"",INDEX(Raw_D3!$I$2:$I$1001,$AR210),"")))</f>
        <v>1</v>
      </c>
      <c r="J210" s="16">
        <f>IF($A210="","",IF($AP210&lt;&gt;"",INDEX(Raw_D1!$J$2:$J$1001,$AP210),IF($AR210&lt;&gt;"",INDEX(Raw_D3!$J$2:$J$1001,$AR210),"")))</f>
        <v>0.12</v>
      </c>
      <c r="K210" s="17">
        <f>IF($A210="","",IF($AQ210&lt;&gt;"",IF(INDEX(Raw_D2!$C$2:$C$1001,$AQ210)="","",INDEX(Raw_D2!$C$2:$C$1001,$AQ210)),IF($AR210&lt;&gt;"",IF(INDEX(Raw_D3!$K$2:$K$1001,$AR210)="","",INDEX(Raw_D3!$K$2:$K$1001,$AR210)),"")))</f>
        <v>0.1364</v>
      </c>
      <c r="L210" s="16">
        <f>IF($A210="","",IF($AQ210&lt;&gt;"",IF(INDEX(Raw_D2!$D$2:$D$1001,$AQ210)="","",INDEX(Raw_D2!$D$2:$D$1001,$AQ210)),IF($AR210&lt;&gt;"",IF(INDEX(Raw_D3!$L$2:$L$1001,$AR210)="","",INDEX(Raw_D3!$L$2:$L$1001,$AR210)),"")))</f>
        <v>0.5</v>
      </c>
      <c r="M210" s="17">
        <f>IF($A210="","",IF($AQ210&lt;&gt;"",IF(INDEX(Raw_D2!$E$2:$E$1001,$AQ210)="","",INDEX(Raw_D2!$E$2:$E$1001,$AQ210)),IF($AR210&lt;&gt;"",IF(INDEX(Raw_D3!$M$2:$M$1001,$AR210)="","",INDEX(Raw_D3!$M$2:$M$1001,$AR210)),"")))</f>
        <v>0.194</v>
      </c>
      <c r="N210" s="5">
        <f>IF($A210="","",IF($AQ210&lt;&gt;"",IF(INDEX(Raw_D2!$F$2:$F$1001,$AQ210)="","",INDEX(Raw_D2!$F$2:$F$1001,$AQ210)),IF($AR210&lt;&gt;"",IF(INDEX(Raw_D3!$N$2:$N$1001,$AR210)="","",INDEX(Raw_D3!$N$2:$N$1001,$AR210)),"")))</f>
        <v>0</v>
      </c>
      <c r="O210" s="5">
        <f>IF($A210="","",IF($AQ210&lt;&gt;"",IF(INDEX(Raw_D2!$G$2:$G$1001,$AQ210)="","",INDEX(Raw_D2!$G$2:$G$1001,$AQ210)),IF($AR210&lt;&gt;"",IF(INDEX(Raw_D3!$O$2:$O$1001,$AR210)="","",INDEX(Raw_D3!$O$2:$O$1001,$AR210)),"")))</f>
        <v>6</v>
      </c>
      <c r="P210" s="5">
        <f>IF($A210="","",IF($AQ210&lt;&gt;"",IF(INDEX(Raw_D2!$H$2:$H$1001,$AQ210)="","",INDEX(Raw_D2!$H$2:$H$1001,$AQ210)),IF($AR210&lt;&gt;"",IF(INDEX(Raw_D3!$P$2:$P$1001,$AR210)="","",INDEX(Raw_D3!$P$2:$P$1001,$AR210)),"")))</f>
        <v>6</v>
      </c>
      <c r="Q210" s="5" t="str">
        <f>IF($A210="","",IF(AND($AP210&lt;&gt;"",$AQ210&lt;&gt;""),"D1+D2",IF($AR210&lt;&gt;"","D3","Incomplete")))</f>
        <v>D1+D2</v>
      </c>
      <c r="R210" s="17">
        <f>IF($A210="","",IF($K210="",IF($J210="","",ROUND(Lookups!$K$5+Lookups!$K$4*$J210,4)),$K210))</f>
        <v>0.1364</v>
      </c>
      <c r="S210" s="5" t="str">
        <f>IF($A210="","",IF($K210="","Imputed","Original"))</f>
        <v>Original</v>
      </c>
      <c r="T210" s="5" t="str">
        <f>IF($A210="","",IF($P210="","Missing",IF($P210=$N210+$O210,"OK","Mismatch")))</f>
        <v>OK</v>
      </c>
      <c r="U210" s="5" t="str">
        <f>IF($A210="","",IF(COUNTIF($A$2:$A210,$A210)&gt;1,"Duplicate","Unique"))</f>
        <v>Unique</v>
      </c>
      <c r="V210" s="5">
        <f>IF($A210="","",IF(AND($U210="Unique",ISNUMBER($P210)),1,0))</f>
        <v>1</v>
      </c>
      <c r="W210" s="5" t="str">
        <f>IF($A210="","",IF(OR($H210=0,$H210=6),"Weekend","Weekday"))</f>
        <v>Weekend</v>
      </c>
      <c r="X210" s="5" t="str">
        <f>IF($A210="","",TEXT($B210,"ddd"))</f>
        <v>Sun</v>
      </c>
      <c r="Y210" s="5" t="str">
        <f>IF($A210="","",TEXT($B210,"mmm"))</f>
        <v>Jan</v>
      </c>
      <c r="Z210" s="5" t="str">
        <f>IF($A210="","",IFERROR(VLOOKUP($C210,Lookups!$D$4:$E$7,2,FALSE),"Unknown"))</f>
        <v>Winter</v>
      </c>
      <c r="AA210" s="5" t="str">
        <f>IF($A210="","",IFERROR(VLOOKUP($I210,Lookups!$A$4:$B$7,2,FALSE),"Unknown"))</f>
        <v>Clear</v>
      </c>
      <c r="AB210" s="5" t="str">
        <f>IF($A210="","",TEXT($F210,"00")&amp;":00")</f>
        <v>23:00</v>
      </c>
      <c r="AC210" s="5" t="str">
        <f>IF($A210="","",VLOOKUP($F210,Lookups!$G$4:$H$8,2,TRUE))</f>
        <v>Late Evening (20-23)</v>
      </c>
      <c r="AD210" s="18">
        <f>IF($A210="","",IF($J210="","",ROUND($J210*41,1)))</f>
        <v>4.9</v>
      </c>
      <c r="AE210" s="18">
        <f>IF($A210="","",IF($R210="","",ROUND($R210*50,1)))</f>
        <v>6.8</v>
      </c>
      <c r="AF210" s="5">
        <f>IF($A210="","",IF($L210="","",ROUND($L210*100,0)))</f>
        <v>50</v>
      </c>
      <c r="AG210" s="18">
        <f>IF($A210="","",IF($M210="","",ROUND($M210*67,1)))</f>
        <v>13</v>
      </c>
      <c r="AH210" s="19">
        <f>IF($A210="","",IF($P210="","",IF($P210=0,0,$O210/$P210)))</f>
        <v>1</v>
      </c>
      <c r="AI210" s="5" t="str">
        <f>IF($A210="","",IF($P210="","",IF($P210&gt;=Lookups!$K$7,"High",IF($P210&lt;=Lookups!$K$8,"Low","Medium"))))</f>
        <v>Low</v>
      </c>
      <c r="AJ210" s="5" t="str">
        <f>IF($A210="","",IF($AD210="","",IF($AD210&lt;5,"Under 5 C",IF($AD210&lt;10,"5-10 C",IF($AD210&lt;15,"10-15 C","15 C and above")))))</f>
        <v>Under 5 C</v>
      </c>
      <c r="AK210" s="5">
        <f>IF($A210="","",IF($P210="","",$P210^2))</f>
        <v>36</v>
      </c>
      <c r="AL210" s="18">
        <f>IF($V210&lt;&gt;1,"",AVERAGEIFS(Clean_Data!$P$2:$P$1001,Clean_Data!$F$2:$F$1001,$F210,Clean_Data!$W$2:$W$1001,$W210,Clean_Data!$V$2:$V$1001,1))</f>
        <v>28.2857142857143</v>
      </c>
      <c r="AM210" s="16">
        <f>IF($V210&lt;&gt;1,"",IFERROR(($P210-$AL210)/SQRT(MAX(0,(SUMIFS(Clean_Data!$AK$2:$AK$1001,Clean_Data!$F$2:$F$1001,$F210,Clean_Data!$W$2:$W$1001,$W210,Clean_Data!$V$2:$V$1001,1)-COUNTIFS(Clean_Data!$F$2:$F$1001,$F210,Clean_Data!$W$2:$W$1001,$W210,Clean_Data!$V$2:$V$1001,1)*$AL210^2)/(COUNTIFS(Clean_Data!$F$2:$F$1001,$F210,Clean_Data!$W$2:$W$1001,$W210,Clean_Data!$V$2:$V$1001,1)-1))),""))</f>
        <v>-1.59785029174209</v>
      </c>
      <c r="AN210" s="5" t="str">
        <f>IF($AM210="","",IF($AM210&gt;=Lookups!$K$6,"High spike",IF($AM210&lt;=-Lookups!$K$6,"Unusual low","Normal")))</f>
        <v>Normal</v>
      </c>
      <c r="AO210" s="20">
        <f>IF($V210&lt;&gt;1,"",$P210+ROW()/100000)</f>
        <v>6.0021</v>
      </c>
      <c r="AP210" s="5">
        <f>IF($A210="","",IFERROR(MATCH($A210,Raw_D1!$A$2:$A$1001,0),""))</f>
        <v>209</v>
      </c>
      <c r="AQ210" s="5">
        <f>IF($A210="","",IFERROR(MATCH($A210,Raw_D2!$B$2:$B$1001,0),""))</f>
        <v>209</v>
      </c>
      <c r="AR210" s="5">
        <f>IF($A210="","",IFERROR(MATCH($A210,Raw_D3!$A$2:$A$1001,0),""))</f>
        <v/>
      </c>
    </row>
    <row r="211" spans="1:44" x14ac:dyDescent="0.25">
      <c r="A211" s="5">
        <v>210</v>
      </c>
      <c r="B211" s="11">
        <f>IF($A211="","",IF($AP211&lt;&gt;"",INDEX(Raw_D1!$B$2:$B$1001,$AP211),IF($AR211&lt;&gt;"",INDEX(Raw_D3!$B$2:$B$1001,$AR211),"")))</f>
        <v>40553.0</v>
      </c>
      <c r="C211" s="5">
        <f>IF($A211="","",IF($AP211&lt;&gt;"",INDEX(Raw_D1!$C$2:$C$1001,$AP211),IF($AR211&lt;&gt;"",INDEX(Raw_D3!$C$2:$C$1001,$AR211),"")))</f>
        <v>1</v>
      </c>
      <c r="D211" s="5">
        <f>IF($A211="","",IF($AP211&lt;&gt;"",INDEX(Raw_D1!$D$2:$D$1001,$AP211),IF($AR211&lt;&gt;"",INDEX(Raw_D3!$D$2:$D$1001,$AR211),"")))</f>
        <v>0</v>
      </c>
      <c r="E211" s="5">
        <f>IF($A211="","",IF($AP211&lt;&gt;"",INDEX(Raw_D1!$E$2:$E$1001,$AP211),IF($AR211&lt;&gt;"",INDEX(Raw_D3!$E$2:$E$1001,$AR211),"")))</f>
        <v>1</v>
      </c>
      <c r="F211" s="5">
        <f>IF($A211="","",IF($AP211&lt;&gt;"",INDEX(Raw_D1!$F$2:$F$1001,$AP211),IF($AR211&lt;&gt;"",INDEX(Raw_D3!$F$2:$F$1001,$AR211),"")))</f>
        <v>0</v>
      </c>
      <c r="G211" s="5">
        <f>IF($A211="","",IF($AP211&lt;&gt;"",IF(INDEX(Raw_D1!$G$2:$G$1001,$AP211),1,0),IF($AR211&lt;&gt;"",IF(INDEX(Raw_D3!$G$2:$G$1001,$AR211),1,0),"")))</f>
        <v>0</v>
      </c>
      <c r="H211" s="5">
        <f>IF($A211="","",IF($AP211&lt;&gt;"",INDEX(Raw_D1!$H$2:$H$1001,$AP211),IF($AR211&lt;&gt;"",INDEX(Raw_D3!$H$2:$H$1001,$AR211),"")))</f>
        <v>1</v>
      </c>
      <c r="I211" s="5">
        <f>IF($A211="","",IF($AP211&lt;&gt;"",INDEX(Raw_D1!$I$2:$I$1001,$AP211),IF($AR211&lt;&gt;"",INDEX(Raw_D3!$I$2:$I$1001,$AR211),"")))</f>
        <v>1</v>
      </c>
      <c r="J211" s="16">
        <f>IF($A211="","",IF($AP211&lt;&gt;"",INDEX(Raw_D1!$J$2:$J$1001,$AP211),IF($AR211&lt;&gt;"",INDEX(Raw_D3!$J$2:$J$1001,$AR211),"")))</f>
        <v>0.12</v>
      </c>
      <c r="K211" s="17">
        <f>IF($A211="","",IF($AQ211&lt;&gt;"",IF(INDEX(Raw_D2!$C$2:$C$1001,$AQ211)="","",INDEX(Raw_D2!$C$2:$C$1001,$AQ211)),IF($AR211&lt;&gt;"",IF(INDEX(Raw_D3!$K$2:$K$1001,$AR211)="","",INDEX(Raw_D3!$K$2:$K$1001,$AR211)),"")))</f>
        <v>0.1212</v>
      </c>
      <c r="L211" s="16">
        <f>IF($A211="","",IF($AQ211&lt;&gt;"",IF(INDEX(Raw_D2!$D$2:$D$1001,$AQ211)="","",INDEX(Raw_D2!$D$2:$D$1001,$AQ211)),IF($AR211&lt;&gt;"",IF(INDEX(Raw_D3!$L$2:$L$1001,$AR211)="","",INDEX(Raw_D3!$L$2:$L$1001,$AR211)),"")))</f>
        <v>0.5</v>
      </c>
      <c r="M211" s="17">
        <f>IF($A211="","",IF($AQ211&lt;&gt;"",IF(INDEX(Raw_D2!$E$2:$E$1001,$AQ211)="","",INDEX(Raw_D2!$E$2:$E$1001,$AQ211)),IF($AR211&lt;&gt;"",IF(INDEX(Raw_D3!$M$2:$M$1001,$AR211)="","",INDEX(Raw_D3!$M$2:$M$1001,$AR211)),"")))</f>
        <v>0.2836</v>
      </c>
      <c r="N211" s="5">
        <f>IF($A211="","",IF($AQ211&lt;&gt;"",IF(INDEX(Raw_D2!$F$2:$F$1001,$AQ211)="","",INDEX(Raw_D2!$F$2:$F$1001,$AQ211)),IF($AR211&lt;&gt;"",IF(INDEX(Raw_D3!$N$2:$N$1001,$AR211)="","",INDEX(Raw_D3!$N$2:$N$1001,$AR211)),"")))</f>
        <v>2</v>
      </c>
      <c r="O211" s="5">
        <f>IF($A211="","",IF($AQ211&lt;&gt;"",IF(INDEX(Raw_D2!$G$2:$G$1001,$AQ211)="","",INDEX(Raw_D2!$G$2:$G$1001,$AQ211)),IF($AR211&lt;&gt;"",IF(INDEX(Raw_D3!$O$2:$O$1001,$AR211)="","",INDEX(Raw_D3!$O$2:$O$1001,$AR211)),"")))</f>
        <v>3</v>
      </c>
      <c r="P211" s="5">
        <f>IF($A211="","",IF($AQ211&lt;&gt;"",IF(INDEX(Raw_D2!$H$2:$H$1001,$AQ211)="","",INDEX(Raw_D2!$H$2:$H$1001,$AQ211)),IF($AR211&lt;&gt;"",IF(INDEX(Raw_D3!$P$2:$P$1001,$AR211)="","",INDEX(Raw_D3!$P$2:$P$1001,$AR211)),"")))</f>
        <v>5</v>
      </c>
      <c r="Q211" s="5" t="str">
        <f>IF($A211="","",IF(AND($AP211&lt;&gt;"",$AQ211&lt;&gt;""),"D1+D2",IF($AR211&lt;&gt;"","D3","Incomplete")))</f>
        <v>D1+D2</v>
      </c>
      <c r="R211" s="17">
        <f>IF($A211="","",IF($K211="",IF($J211="","",ROUND(Lookups!$K$5+Lookups!$K$4*$J211,4)),$K211))</f>
        <v>0.1212</v>
      </c>
      <c r="S211" s="5" t="str">
        <f>IF($A211="","",IF($K211="","Imputed","Original"))</f>
        <v>Original</v>
      </c>
      <c r="T211" s="5" t="str">
        <f>IF($A211="","",IF($P211="","Missing",IF($P211=$N211+$O211,"OK","Mismatch")))</f>
        <v>OK</v>
      </c>
      <c r="U211" s="5" t="str">
        <f>IF($A211="","",IF(COUNTIF($A$2:$A211,$A211)&gt;1,"Duplicate","Unique"))</f>
        <v>Unique</v>
      </c>
      <c r="V211" s="5">
        <f>IF($A211="","",IF(AND($U211="Unique",ISNUMBER($P211)),1,0))</f>
        <v>1</v>
      </c>
      <c r="W211" s="5" t="str">
        <f>IF($A211="","",IF(OR($H211=0,$H211=6),"Weekend","Weekday"))</f>
        <v>Weekday</v>
      </c>
      <c r="X211" s="5" t="str">
        <f>IF($A211="","",TEXT($B211,"ddd"))</f>
        <v>Mon</v>
      </c>
      <c r="Y211" s="5" t="str">
        <f>IF($A211="","",TEXT($B211,"mmm"))</f>
        <v>Jan</v>
      </c>
      <c r="Z211" s="5" t="str">
        <f>IF($A211="","",IFERROR(VLOOKUP($C211,Lookups!$D$4:$E$7,2,FALSE),"Unknown"))</f>
        <v>Winter</v>
      </c>
      <c r="AA211" s="5" t="str">
        <f>IF($A211="","",IFERROR(VLOOKUP($I211,Lookups!$A$4:$B$7,2,FALSE),"Unknown"))</f>
        <v>Clear</v>
      </c>
      <c r="AB211" s="5" t="str">
        <f>IF($A211="","",TEXT($F211,"00")&amp;":00")</f>
        <v>00:00</v>
      </c>
      <c r="AC211" s="5" t="str">
        <f>IF($A211="","",VLOOKUP($F211,Lookups!$G$4:$H$8,2,TRUE))</f>
        <v>Night (00-05)</v>
      </c>
      <c r="AD211" s="18">
        <f>IF($A211="","",IF($J211="","",ROUND($J211*41,1)))</f>
        <v>4.9</v>
      </c>
      <c r="AE211" s="18">
        <f>IF($A211="","",IF($R211="","",ROUND($R211*50,1)))</f>
        <v>6.1</v>
      </c>
      <c r="AF211" s="5">
        <f>IF($A211="","",IF($L211="","",ROUND($L211*100,0)))</f>
        <v>50</v>
      </c>
      <c r="AG211" s="18">
        <f>IF($A211="","",IF($M211="","",ROUND($M211*67,1)))</f>
        <v>19</v>
      </c>
      <c r="AH211" s="19">
        <f>IF($A211="","",IF($P211="","",IF($P211=0,0,$O211/$P211)))</f>
        <v>0.6</v>
      </c>
      <c r="AI211" s="5" t="str">
        <f>IF($A211="","",IF($P211="","",IF($P211&gt;=Lookups!$K$7,"High",IF($P211&lt;=Lookups!$K$8,"Low","Medium"))))</f>
        <v>Low</v>
      </c>
      <c r="AJ211" s="5" t="str">
        <f>IF($A211="","",IF($AD211="","",IF($AD211&lt;5,"Under 5 C",IF($AD211&lt;10,"5-10 C",IF($AD211&lt;15,"10-15 C","15 C and above")))))</f>
        <v>Under 5 C</v>
      </c>
      <c r="AK211" s="5">
        <f>IF($A211="","",IF($P211="","",$P211^2))</f>
        <v>25</v>
      </c>
      <c r="AL211" s="18">
        <f>IF($V211&lt;&gt;1,"",AVERAGEIFS(Clean_Data!$P$2:$P$1001,Clean_Data!$F$2:$F$1001,$F211,Clean_Data!$W$2:$W$1001,$W211,Clean_Data!$V$2:$V$1001,1))</f>
        <v>10.6896551724138</v>
      </c>
      <c r="AM211" s="16">
        <f>IF($V211&lt;&gt;1,"",IFERROR(($P211-$AL211)/SQRT(MAX(0,(SUMIFS(Clean_Data!$AK$2:$AK$1001,Clean_Data!$F$2:$F$1001,$F211,Clean_Data!$W$2:$W$1001,$W211,Clean_Data!$V$2:$V$1001,1)-COUNTIFS(Clean_Data!$F$2:$F$1001,$F211,Clean_Data!$W$2:$W$1001,$W211,Clean_Data!$V$2:$V$1001,1)*$AL211^2)/(COUNTIFS(Clean_Data!$F$2:$F$1001,$F211,Clean_Data!$W$2:$W$1001,$W211,Clean_Data!$V$2:$V$1001,1)-1))),""))</f>
        <v>-1.16294858804129</v>
      </c>
      <c r="AN211" s="5" t="str">
        <f>IF($AM211="","",IF($AM211&gt;=Lookups!$K$6,"High spike",IF($AM211&lt;=-Lookups!$K$6,"Unusual low","Normal")))</f>
        <v>Normal</v>
      </c>
      <c r="AO211" s="20">
        <f>IF($V211&lt;&gt;1,"",$P211+ROW()/100000)</f>
        <v>5.00211</v>
      </c>
      <c r="AP211" s="5">
        <f>IF($A211="","",IFERROR(MATCH($A211,Raw_D1!$A$2:$A$1001,0),""))</f>
        <v>210</v>
      </c>
      <c r="AQ211" s="5">
        <f>IF($A211="","",IFERROR(MATCH($A211,Raw_D2!$B$2:$B$1001,0),""))</f>
        <v>210</v>
      </c>
      <c r="AR211" s="5">
        <f>IF($A211="","",IFERROR(MATCH($A211,Raw_D3!$A$2:$A$1001,0),""))</f>
        <v/>
      </c>
    </row>
    <row r="212" spans="1:44" x14ac:dyDescent="0.25">
      <c r="A212" s="5">
        <v>211</v>
      </c>
      <c r="B212" s="11">
        <f>IF($A212="","",IF($AP212&lt;&gt;"",INDEX(Raw_D1!$B$2:$B$1001,$AP212),IF($AR212&lt;&gt;"",INDEX(Raw_D3!$B$2:$B$1001,$AR212),"")))</f>
        <v>40553.0</v>
      </c>
      <c r="C212" s="5">
        <f>IF($A212="","",IF($AP212&lt;&gt;"",INDEX(Raw_D1!$C$2:$C$1001,$AP212),IF($AR212&lt;&gt;"",INDEX(Raw_D3!$C$2:$C$1001,$AR212),"")))</f>
        <v>1</v>
      </c>
      <c r="D212" s="5">
        <f>IF($A212="","",IF($AP212&lt;&gt;"",INDEX(Raw_D1!$D$2:$D$1001,$AP212),IF($AR212&lt;&gt;"",INDEX(Raw_D3!$D$2:$D$1001,$AR212),"")))</f>
        <v>0</v>
      </c>
      <c r="E212" s="5">
        <f>IF($A212="","",IF($AP212&lt;&gt;"",INDEX(Raw_D1!$E$2:$E$1001,$AP212),IF($AR212&lt;&gt;"",INDEX(Raw_D3!$E$2:$E$1001,$AR212),"")))</f>
        <v>1</v>
      </c>
      <c r="F212" s="5">
        <f>IF($A212="","",IF($AP212&lt;&gt;"",INDEX(Raw_D1!$F$2:$F$1001,$AP212),IF($AR212&lt;&gt;"",INDEX(Raw_D3!$F$2:$F$1001,$AR212),"")))</f>
        <v>1</v>
      </c>
      <c r="G212" s="5">
        <f>IF($A212="","",IF($AP212&lt;&gt;"",IF(INDEX(Raw_D1!$G$2:$G$1001,$AP212),1,0),IF($AR212&lt;&gt;"",IF(INDEX(Raw_D3!$G$2:$G$1001,$AR212),1,0),"")))</f>
        <v>0</v>
      </c>
      <c r="H212" s="5">
        <f>IF($A212="","",IF($AP212&lt;&gt;"",INDEX(Raw_D1!$H$2:$H$1001,$AP212),IF($AR212&lt;&gt;"",INDEX(Raw_D3!$H$2:$H$1001,$AR212),"")))</f>
        <v>1</v>
      </c>
      <c r="I212" s="5">
        <f>IF($A212="","",IF($AP212&lt;&gt;"",INDEX(Raw_D1!$I$2:$I$1001,$AP212),IF($AR212&lt;&gt;"",INDEX(Raw_D3!$I$2:$I$1001,$AR212),"")))</f>
        <v>1</v>
      </c>
      <c r="J212" s="16">
        <f>IF($A212="","",IF($AP212&lt;&gt;"",INDEX(Raw_D1!$J$2:$J$1001,$AP212),IF($AR212&lt;&gt;"",INDEX(Raw_D3!$J$2:$J$1001,$AR212),"")))</f>
        <v>0.12</v>
      </c>
      <c r="K212" s="17">
        <f>IF($A212="","",IF($AQ212&lt;&gt;"",IF(INDEX(Raw_D2!$C$2:$C$1001,$AQ212)="","",INDEX(Raw_D2!$C$2:$C$1001,$AQ212)),IF($AR212&lt;&gt;"",IF(INDEX(Raw_D3!$K$2:$K$1001,$AR212)="","",INDEX(Raw_D3!$K$2:$K$1001,$AR212)),"")))</f>
        <v>0.1212</v>
      </c>
      <c r="L212" s="16">
        <f>IF($A212="","",IF($AQ212&lt;&gt;"",IF(INDEX(Raw_D2!$D$2:$D$1001,$AQ212)="","",INDEX(Raw_D2!$D$2:$D$1001,$AQ212)),IF($AR212&lt;&gt;"",IF(INDEX(Raw_D3!$L$2:$L$1001,$AR212)="","",INDEX(Raw_D3!$L$2:$L$1001,$AR212)),"")))</f>
        <v>0.5</v>
      </c>
      <c r="M212" s="17">
        <f>IF($A212="","",IF($AQ212&lt;&gt;"",IF(INDEX(Raw_D2!$E$2:$E$1001,$AQ212)="","",INDEX(Raw_D2!$E$2:$E$1001,$AQ212)),IF($AR212&lt;&gt;"",IF(INDEX(Raw_D3!$M$2:$M$1001,$AR212)="","",INDEX(Raw_D3!$M$2:$M$1001,$AR212)),"")))</f>
        <v>0.2836</v>
      </c>
      <c r="N212" s="5">
        <f>IF($A212="","",IF($AQ212&lt;&gt;"",IF(INDEX(Raw_D2!$F$2:$F$1001,$AQ212)="","",INDEX(Raw_D2!$F$2:$F$1001,$AQ212)),IF($AR212&lt;&gt;"",IF(INDEX(Raw_D3!$N$2:$N$1001,$AR212)="","",INDEX(Raw_D3!$N$2:$N$1001,$AR212)),"")))</f>
        <v>1</v>
      </c>
      <c r="O212" s="5">
        <f>IF($A212="","",IF($AQ212&lt;&gt;"",IF(INDEX(Raw_D2!$G$2:$G$1001,$AQ212)="","",INDEX(Raw_D2!$G$2:$G$1001,$AQ212)),IF($AR212&lt;&gt;"",IF(INDEX(Raw_D3!$O$2:$O$1001,$AR212)="","",INDEX(Raw_D3!$O$2:$O$1001,$AR212)),"")))</f>
        <v>0</v>
      </c>
      <c r="P212" s="5">
        <f>IF($A212="","",IF($AQ212&lt;&gt;"",IF(INDEX(Raw_D2!$H$2:$H$1001,$AQ212)="","",INDEX(Raw_D2!$H$2:$H$1001,$AQ212)),IF($AR212&lt;&gt;"",IF(INDEX(Raw_D3!$P$2:$P$1001,$AR212)="","",INDEX(Raw_D3!$P$2:$P$1001,$AR212)),"")))</f>
        <v>1</v>
      </c>
      <c r="Q212" s="5" t="str">
        <f>IF($A212="","",IF(AND($AP212&lt;&gt;"",$AQ212&lt;&gt;""),"D1+D2",IF($AR212&lt;&gt;"","D3","Incomplete")))</f>
        <v>D1+D2</v>
      </c>
      <c r="R212" s="17">
        <f>IF($A212="","",IF($K212="",IF($J212="","",ROUND(Lookups!$K$5+Lookups!$K$4*$J212,4)),$K212))</f>
        <v>0.1212</v>
      </c>
      <c r="S212" s="5" t="str">
        <f>IF($A212="","",IF($K212="","Imputed","Original"))</f>
        <v>Original</v>
      </c>
      <c r="T212" s="5" t="str">
        <f>IF($A212="","",IF($P212="","Missing",IF($P212=$N212+$O212,"OK","Mismatch")))</f>
        <v>OK</v>
      </c>
      <c r="U212" s="5" t="str">
        <f>IF($A212="","",IF(COUNTIF($A$2:$A212,$A212)&gt;1,"Duplicate","Unique"))</f>
        <v>Unique</v>
      </c>
      <c r="V212" s="5">
        <f>IF($A212="","",IF(AND($U212="Unique",ISNUMBER($P212)),1,0))</f>
        <v>1</v>
      </c>
      <c r="W212" s="5" t="str">
        <f>IF($A212="","",IF(OR($H212=0,$H212=6),"Weekend","Weekday"))</f>
        <v>Weekday</v>
      </c>
      <c r="X212" s="5" t="str">
        <f>IF($A212="","",TEXT($B212,"ddd"))</f>
        <v>Mon</v>
      </c>
      <c r="Y212" s="5" t="str">
        <f>IF($A212="","",TEXT($B212,"mmm"))</f>
        <v>Jan</v>
      </c>
      <c r="Z212" s="5" t="str">
        <f>IF($A212="","",IFERROR(VLOOKUP($C212,Lookups!$D$4:$E$7,2,FALSE),"Unknown"))</f>
        <v>Winter</v>
      </c>
      <c r="AA212" s="5" t="str">
        <f>IF($A212="","",IFERROR(VLOOKUP($I212,Lookups!$A$4:$B$7,2,FALSE),"Unknown"))</f>
        <v>Clear</v>
      </c>
      <c r="AB212" s="5" t="str">
        <f>IF($A212="","",TEXT($F212,"00")&amp;":00")</f>
        <v>01:00</v>
      </c>
      <c r="AC212" s="5" t="str">
        <f>IF($A212="","",VLOOKUP($F212,Lookups!$G$4:$H$8,2,TRUE))</f>
        <v>Night (00-05)</v>
      </c>
      <c r="AD212" s="18">
        <f>IF($A212="","",IF($J212="","",ROUND($J212*41,1)))</f>
        <v>4.9</v>
      </c>
      <c r="AE212" s="18">
        <f>IF($A212="","",IF($R212="","",ROUND($R212*50,1)))</f>
        <v>6.1</v>
      </c>
      <c r="AF212" s="5">
        <f>IF($A212="","",IF($L212="","",ROUND($L212*100,0)))</f>
        <v>50</v>
      </c>
      <c r="AG212" s="18">
        <f>IF($A212="","",IF($M212="","",ROUND($M212*67,1)))</f>
        <v>19</v>
      </c>
      <c r="AH212" s="19">
        <f>IF($A212="","",IF($P212="","",IF($P212=0,0,$O212/$P212)))</f>
        <v>0</v>
      </c>
      <c r="AI212" s="5" t="str">
        <f>IF($A212="","",IF($P212="","",IF($P212&gt;=Lookups!$K$7,"High",IF($P212&lt;=Lookups!$K$8,"Low","Medium"))))</f>
        <v>Low</v>
      </c>
      <c r="AJ212" s="5" t="str">
        <f>IF($A212="","",IF($AD212="","",IF($AD212&lt;5,"Under 5 C",IF($AD212&lt;10,"5-10 C",IF($AD212&lt;15,"10-15 C","15 C and above")))))</f>
        <v>Under 5 C</v>
      </c>
      <c r="AK212" s="5">
        <f>IF($A212="","",IF($P212="","",$P212^2))</f>
        <v>1</v>
      </c>
      <c r="AL212" s="18">
        <f>IF($V212&lt;&gt;1,"",AVERAGEIFS(Clean_Data!$P$2:$P$1001,Clean_Data!$F$2:$F$1001,$F212,Clean_Data!$W$2:$W$1001,$W212,Clean_Data!$V$2:$V$1001,1))</f>
        <v>5.10344827586207</v>
      </c>
      <c r="AM212" s="16">
        <f>IF($V212&lt;&gt;1,"",IFERROR(($P212-$AL212)/SQRT(MAX(0,(SUMIFS(Clean_Data!$AK$2:$AK$1001,Clean_Data!$F$2:$F$1001,$F212,Clean_Data!$W$2:$W$1001,$W212,Clean_Data!$V$2:$V$1001,1)-COUNTIFS(Clean_Data!$F$2:$F$1001,$F212,Clean_Data!$W$2:$W$1001,$W212,Clean_Data!$V$2:$V$1001,1)*$AL212^2)/(COUNTIFS(Clean_Data!$F$2:$F$1001,$F212,Clean_Data!$W$2:$W$1001,$W212,Clean_Data!$V$2:$V$1001,1)-1))),""))</f>
        <v>-1.42344090268405</v>
      </c>
      <c r="AN212" s="5" t="str">
        <f>IF($AM212="","",IF($AM212&gt;=Lookups!$K$6,"High spike",IF($AM212&lt;=-Lookups!$K$6,"Unusual low","Normal")))</f>
        <v>Normal</v>
      </c>
      <c r="AO212" s="20">
        <f>IF($V212&lt;&gt;1,"",$P212+ROW()/100000)</f>
        <v>1.00212</v>
      </c>
      <c r="AP212" s="5">
        <f>IF($A212="","",IFERROR(MATCH($A212,Raw_D1!$A$2:$A$1001,0),""))</f>
        <v>211</v>
      </c>
      <c r="AQ212" s="5">
        <f>IF($A212="","",IFERROR(MATCH($A212,Raw_D2!$B$2:$B$1001,0),""))</f>
        <v>211</v>
      </c>
      <c r="AR212" s="5">
        <f>IF($A212="","",IFERROR(MATCH($A212,Raw_D3!$A$2:$A$1001,0),""))</f>
        <v/>
      </c>
    </row>
    <row r="213" spans="1:44" x14ac:dyDescent="0.25">
      <c r="A213" s="5">
        <v>212</v>
      </c>
      <c r="B213" s="11">
        <f>IF($A213="","",IF($AP213&lt;&gt;"",INDEX(Raw_D1!$B$2:$B$1001,$AP213),IF($AR213&lt;&gt;"",INDEX(Raw_D3!$B$2:$B$1001,$AR213),"")))</f>
        <v>40553.0</v>
      </c>
      <c r="C213" s="5">
        <f>IF($A213="","",IF($AP213&lt;&gt;"",INDEX(Raw_D1!$C$2:$C$1001,$AP213),IF($AR213&lt;&gt;"",INDEX(Raw_D3!$C$2:$C$1001,$AR213),"")))</f>
        <v>1</v>
      </c>
      <c r="D213" s="5">
        <f>IF($A213="","",IF($AP213&lt;&gt;"",INDEX(Raw_D1!$D$2:$D$1001,$AP213),IF($AR213&lt;&gt;"",INDEX(Raw_D3!$D$2:$D$1001,$AR213),"")))</f>
        <v>0</v>
      </c>
      <c r="E213" s="5">
        <f>IF($A213="","",IF($AP213&lt;&gt;"",INDEX(Raw_D1!$E$2:$E$1001,$AP213),IF($AR213&lt;&gt;"",INDEX(Raw_D3!$E$2:$E$1001,$AR213),"")))</f>
        <v>1</v>
      </c>
      <c r="F213" s="5">
        <f>IF($A213="","",IF($AP213&lt;&gt;"",INDEX(Raw_D1!$F$2:$F$1001,$AP213),IF($AR213&lt;&gt;"",INDEX(Raw_D3!$F$2:$F$1001,$AR213),"")))</f>
        <v>2</v>
      </c>
      <c r="G213" s="5">
        <f>IF($A213="","",IF($AP213&lt;&gt;"",IF(INDEX(Raw_D1!$G$2:$G$1001,$AP213),1,0),IF($AR213&lt;&gt;"",IF(INDEX(Raw_D3!$G$2:$G$1001,$AR213),1,0),"")))</f>
        <v>0</v>
      </c>
      <c r="H213" s="5">
        <f>IF($A213="","",IF($AP213&lt;&gt;"",INDEX(Raw_D1!$H$2:$H$1001,$AP213),IF($AR213&lt;&gt;"",INDEX(Raw_D3!$H$2:$H$1001,$AR213),"")))</f>
        <v>1</v>
      </c>
      <c r="I213" s="5">
        <f>IF($A213="","",IF($AP213&lt;&gt;"",INDEX(Raw_D1!$I$2:$I$1001,$AP213),IF($AR213&lt;&gt;"",INDEX(Raw_D3!$I$2:$I$1001,$AR213),"")))</f>
        <v>1</v>
      </c>
      <c r="J213" s="16">
        <f>IF($A213="","",IF($AP213&lt;&gt;"",INDEX(Raw_D1!$J$2:$J$1001,$AP213),IF($AR213&lt;&gt;"",INDEX(Raw_D3!$J$2:$J$1001,$AR213),"")))</f>
        <v>0.12</v>
      </c>
      <c r="K213" s="17">
        <f>IF($A213="","",IF($AQ213&lt;&gt;"",IF(INDEX(Raw_D2!$C$2:$C$1001,$AQ213)="","",INDEX(Raw_D2!$C$2:$C$1001,$AQ213)),IF($AR213&lt;&gt;"",IF(INDEX(Raw_D3!$K$2:$K$1001,$AR213)="","",INDEX(Raw_D3!$K$2:$K$1001,$AR213)),"")))</f>
        <v>0.1212</v>
      </c>
      <c r="L213" s="16">
        <f>IF($A213="","",IF($AQ213&lt;&gt;"",IF(INDEX(Raw_D2!$D$2:$D$1001,$AQ213)="","",INDEX(Raw_D2!$D$2:$D$1001,$AQ213)),IF($AR213&lt;&gt;"",IF(INDEX(Raw_D3!$L$2:$L$1001,$AR213)="","",INDEX(Raw_D3!$L$2:$L$1001,$AR213)),"")))</f>
        <v>0.5</v>
      </c>
      <c r="M213" s="17">
        <f>IF($A213="","",IF($AQ213&lt;&gt;"",IF(INDEX(Raw_D2!$E$2:$E$1001,$AQ213)="","",INDEX(Raw_D2!$E$2:$E$1001,$AQ213)),IF($AR213&lt;&gt;"",IF(INDEX(Raw_D3!$M$2:$M$1001,$AR213)="","",INDEX(Raw_D3!$M$2:$M$1001,$AR213)),"")))</f>
        <v>0.2239</v>
      </c>
      <c r="N213" s="5">
        <f>IF($A213="","",IF($AQ213&lt;&gt;"",IF(INDEX(Raw_D2!$F$2:$F$1001,$AQ213)="","",INDEX(Raw_D2!$F$2:$F$1001,$AQ213)),IF($AR213&lt;&gt;"",IF(INDEX(Raw_D3!$N$2:$N$1001,$AR213)="","",INDEX(Raw_D3!$N$2:$N$1001,$AR213)),"")))</f>
        <v>0</v>
      </c>
      <c r="O213" s="5">
        <f>IF($A213="","",IF($AQ213&lt;&gt;"",IF(INDEX(Raw_D2!$G$2:$G$1001,$AQ213)="","",INDEX(Raw_D2!$G$2:$G$1001,$AQ213)),IF($AR213&lt;&gt;"",IF(INDEX(Raw_D3!$O$2:$O$1001,$AR213)="","",INDEX(Raw_D3!$O$2:$O$1001,$AR213)),"")))</f>
        <v>3</v>
      </c>
      <c r="P213" s="5">
        <f>IF($A213="","",IF($AQ213&lt;&gt;"",IF(INDEX(Raw_D2!$H$2:$H$1001,$AQ213)="","",INDEX(Raw_D2!$H$2:$H$1001,$AQ213)),IF($AR213&lt;&gt;"",IF(INDEX(Raw_D3!$P$2:$P$1001,$AR213)="","",INDEX(Raw_D3!$P$2:$P$1001,$AR213)),"")))</f>
        <v>3</v>
      </c>
      <c r="Q213" s="5" t="str">
        <f>IF($A213="","",IF(AND($AP213&lt;&gt;"",$AQ213&lt;&gt;""),"D1+D2",IF($AR213&lt;&gt;"","D3","Incomplete")))</f>
        <v>D1+D2</v>
      </c>
      <c r="R213" s="17">
        <f>IF($A213="","",IF($K213="",IF($J213="","",ROUND(Lookups!$K$5+Lookups!$K$4*$J213,4)),$K213))</f>
        <v>0.1212</v>
      </c>
      <c r="S213" s="5" t="str">
        <f>IF($A213="","",IF($K213="","Imputed","Original"))</f>
        <v>Original</v>
      </c>
      <c r="T213" s="5" t="str">
        <f>IF($A213="","",IF($P213="","Missing",IF($P213=$N213+$O213,"OK","Mismatch")))</f>
        <v>OK</v>
      </c>
      <c r="U213" s="5" t="str">
        <f>IF($A213="","",IF(COUNTIF($A$2:$A213,$A213)&gt;1,"Duplicate","Unique"))</f>
        <v>Unique</v>
      </c>
      <c r="V213" s="5">
        <f>IF($A213="","",IF(AND($U213="Unique",ISNUMBER($P213)),1,0))</f>
        <v>1</v>
      </c>
      <c r="W213" s="5" t="str">
        <f>IF($A213="","",IF(OR($H213=0,$H213=6),"Weekend","Weekday"))</f>
        <v>Weekday</v>
      </c>
      <c r="X213" s="5" t="str">
        <f>IF($A213="","",TEXT($B213,"ddd"))</f>
        <v>Mon</v>
      </c>
      <c r="Y213" s="5" t="str">
        <f>IF($A213="","",TEXT($B213,"mmm"))</f>
        <v>Jan</v>
      </c>
      <c r="Z213" s="5" t="str">
        <f>IF($A213="","",IFERROR(VLOOKUP($C213,Lookups!$D$4:$E$7,2,FALSE),"Unknown"))</f>
        <v>Winter</v>
      </c>
      <c r="AA213" s="5" t="str">
        <f>IF($A213="","",IFERROR(VLOOKUP($I213,Lookups!$A$4:$B$7,2,FALSE),"Unknown"))</f>
        <v>Clear</v>
      </c>
      <c r="AB213" s="5" t="str">
        <f>IF($A213="","",TEXT($F213,"00")&amp;":00")</f>
        <v>02:00</v>
      </c>
      <c r="AC213" s="5" t="str">
        <f>IF($A213="","",VLOOKUP($F213,Lookups!$G$4:$H$8,2,TRUE))</f>
        <v>Night (00-05)</v>
      </c>
      <c r="AD213" s="18">
        <f>IF($A213="","",IF($J213="","",ROUND($J213*41,1)))</f>
        <v>4.9</v>
      </c>
      <c r="AE213" s="18">
        <f>IF($A213="","",IF($R213="","",ROUND($R213*50,1)))</f>
        <v>6.1</v>
      </c>
      <c r="AF213" s="5">
        <f>IF($A213="","",IF($L213="","",ROUND($L213*100,0)))</f>
        <v>50</v>
      </c>
      <c r="AG213" s="18">
        <f>IF($A213="","",IF($M213="","",ROUND($M213*67,1)))</f>
        <v>15</v>
      </c>
      <c r="AH213" s="19">
        <f>IF($A213="","",IF($P213="","",IF($P213=0,0,$O213/$P213)))</f>
        <v>1</v>
      </c>
      <c r="AI213" s="5" t="str">
        <f>IF($A213="","",IF($P213="","",IF($P213&gt;=Lookups!$K$7,"High",IF($P213&lt;=Lookups!$K$8,"Low","Medium"))))</f>
        <v>Low</v>
      </c>
      <c r="AJ213" s="5" t="str">
        <f>IF($A213="","",IF($AD213="","",IF($AD213&lt;5,"Under 5 C",IF($AD213&lt;10,"5-10 C",IF($AD213&lt;15,"10-15 C","15 C and above")))))</f>
        <v>Under 5 C</v>
      </c>
      <c r="AK213" s="5">
        <f>IF($A213="","",IF($P213="","",$P213^2))</f>
        <v>9</v>
      </c>
      <c r="AL213" s="18">
        <f>IF($V213&lt;&gt;1,"",AVERAGEIFS(Clean_Data!$P$2:$P$1001,Clean_Data!$F$2:$F$1001,$F213,Clean_Data!$W$2:$W$1001,$W213,Clean_Data!$V$2:$V$1001,1))</f>
        <v>2.62962962962963</v>
      </c>
      <c r="AM213" s="16">
        <f>IF($V213&lt;&gt;1,"",IFERROR(($P213-$AL213)/SQRT(MAX(0,(SUMIFS(Clean_Data!$AK$2:$AK$1001,Clean_Data!$F$2:$F$1001,$F213,Clean_Data!$W$2:$W$1001,$W213,Clean_Data!$V$2:$V$1001,1)-COUNTIFS(Clean_Data!$F$2:$F$1001,$F213,Clean_Data!$W$2:$W$1001,$W213,Clean_Data!$V$2:$V$1001,1)*$AL213^2)/(COUNTIFS(Clean_Data!$F$2:$F$1001,$F213,Clean_Data!$W$2:$W$1001,$W213,Clean_Data!$V$2:$V$1001,1)-1))),""))</f>
        <v>0.183174006014898</v>
      </c>
      <c r="AN213" s="5" t="str">
        <f>IF($AM213="","",IF($AM213&gt;=Lookups!$K$6,"High spike",IF($AM213&lt;=-Lookups!$K$6,"Unusual low","Normal")))</f>
        <v>Normal</v>
      </c>
      <c r="AO213" s="20">
        <f>IF($V213&lt;&gt;1,"",$P213+ROW()/100000)</f>
        <v>3.00213</v>
      </c>
      <c r="AP213" s="5">
        <f>IF($A213="","",IFERROR(MATCH($A213,Raw_D1!$A$2:$A$1001,0),""))</f>
        <v>212</v>
      </c>
      <c r="AQ213" s="5">
        <f>IF($A213="","",IFERROR(MATCH($A213,Raw_D2!$B$2:$B$1001,0),""))</f>
        <v>212</v>
      </c>
      <c r="AR213" s="5">
        <f>IF($A213="","",IFERROR(MATCH($A213,Raw_D3!$A$2:$A$1001,0),""))</f>
        <v/>
      </c>
    </row>
    <row r="214" spans="1:44" x14ac:dyDescent="0.25">
      <c r="A214" s="5">
        <v>213</v>
      </c>
      <c r="B214" s="11">
        <f>IF($A214="","",IF($AP214&lt;&gt;"",INDEX(Raw_D1!$B$2:$B$1001,$AP214),IF($AR214&lt;&gt;"",INDEX(Raw_D3!$B$2:$B$1001,$AR214),"")))</f>
        <v>40553.0</v>
      </c>
      <c r="C214" s="5">
        <f>IF($A214="","",IF($AP214&lt;&gt;"",INDEX(Raw_D1!$C$2:$C$1001,$AP214),IF($AR214&lt;&gt;"",INDEX(Raw_D3!$C$2:$C$1001,$AR214),"")))</f>
        <v>1</v>
      </c>
      <c r="D214" s="5">
        <f>IF($A214="","",IF($AP214&lt;&gt;"",INDEX(Raw_D1!$D$2:$D$1001,$AP214),IF($AR214&lt;&gt;"",INDEX(Raw_D3!$D$2:$D$1001,$AR214),"")))</f>
        <v>0</v>
      </c>
      <c r="E214" s="5">
        <f>IF($A214="","",IF($AP214&lt;&gt;"",INDEX(Raw_D1!$E$2:$E$1001,$AP214),IF($AR214&lt;&gt;"",INDEX(Raw_D3!$E$2:$E$1001,$AR214),"")))</f>
        <v>1</v>
      </c>
      <c r="F214" s="5">
        <f>IF($A214="","",IF($AP214&lt;&gt;"",INDEX(Raw_D1!$F$2:$F$1001,$AP214),IF($AR214&lt;&gt;"",INDEX(Raw_D3!$F$2:$F$1001,$AR214),"")))</f>
        <v>3</v>
      </c>
      <c r="G214" s="5">
        <f>IF($A214="","",IF($AP214&lt;&gt;"",IF(INDEX(Raw_D1!$G$2:$G$1001,$AP214),1,0),IF($AR214&lt;&gt;"",IF(INDEX(Raw_D3!$G$2:$G$1001,$AR214),1,0),"")))</f>
        <v>0</v>
      </c>
      <c r="H214" s="5">
        <f>IF($A214="","",IF($AP214&lt;&gt;"",INDEX(Raw_D1!$H$2:$H$1001,$AP214),IF($AR214&lt;&gt;"",INDEX(Raw_D3!$H$2:$H$1001,$AR214),"")))</f>
        <v>1</v>
      </c>
      <c r="I214" s="5">
        <f>IF($A214="","",IF($AP214&lt;&gt;"",INDEX(Raw_D1!$I$2:$I$1001,$AP214),IF($AR214&lt;&gt;"",INDEX(Raw_D3!$I$2:$I$1001,$AR214),"")))</f>
        <v>1</v>
      </c>
      <c r="J214" s="16">
        <f>IF($A214="","",IF($AP214&lt;&gt;"",INDEX(Raw_D1!$J$2:$J$1001,$AP214),IF($AR214&lt;&gt;"",INDEX(Raw_D3!$J$2:$J$1001,$AR214),"")))</f>
        <v>0.12</v>
      </c>
      <c r="K214" s="17">
        <f>IF($A214="","",IF($AQ214&lt;&gt;"",IF(INDEX(Raw_D2!$C$2:$C$1001,$AQ214)="","",INDEX(Raw_D2!$C$2:$C$1001,$AQ214)),IF($AR214&lt;&gt;"",IF(INDEX(Raw_D3!$K$2:$K$1001,$AR214)="","",INDEX(Raw_D3!$K$2:$K$1001,$AR214)),"")))</f>
        <v>0.1212</v>
      </c>
      <c r="L214" s="16">
        <f>IF($A214="","",IF($AQ214&lt;&gt;"",IF(INDEX(Raw_D2!$D$2:$D$1001,$AQ214)="","",INDEX(Raw_D2!$D$2:$D$1001,$AQ214)),IF($AR214&lt;&gt;"",IF(INDEX(Raw_D3!$L$2:$L$1001,$AR214)="","",INDEX(Raw_D3!$L$2:$L$1001,$AR214)),"")))</f>
        <v>0.5</v>
      </c>
      <c r="M214" s="17">
        <f>IF($A214="","",IF($AQ214&lt;&gt;"",IF(INDEX(Raw_D2!$E$2:$E$1001,$AQ214)="","",INDEX(Raw_D2!$E$2:$E$1001,$AQ214)),IF($AR214&lt;&gt;"",IF(INDEX(Raw_D3!$M$2:$M$1001,$AR214)="","",INDEX(Raw_D3!$M$2:$M$1001,$AR214)),"")))</f>
        <v>0.2239</v>
      </c>
      <c r="N214" s="5">
        <f>IF($A214="","",IF($AQ214&lt;&gt;"",IF(INDEX(Raw_D2!$F$2:$F$1001,$AQ214)="","",INDEX(Raw_D2!$F$2:$F$1001,$AQ214)),IF($AR214&lt;&gt;"",IF(INDEX(Raw_D3!$N$2:$N$1001,$AR214)="","",INDEX(Raw_D3!$N$2:$N$1001,$AR214)),"")))</f>
        <v>0</v>
      </c>
      <c r="O214" s="5">
        <f>IF($A214="","",IF($AQ214&lt;&gt;"",IF(INDEX(Raw_D2!$G$2:$G$1001,$AQ214)="","",INDEX(Raw_D2!$G$2:$G$1001,$AQ214)),IF($AR214&lt;&gt;"",IF(INDEX(Raw_D3!$O$2:$O$1001,$AR214)="","",INDEX(Raw_D3!$O$2:$O$1001,$AR214)),"")))</f>
        <v>1</v>
      </c>
      <c r="P214" s="5">
        <f>IF($A214="","",IF($AQ214&lt;&gt;"",IF(INDEX(Raw_D2!$H$2:$H$1001,$AQ214)="","",INDEX(Raw_D2!$H$2:$H$1001,$AQ214)),IF($AR214&lt;&gt;"",IF(INDEX(Raw_D3!$P$2:$P$1001,$AR214)="","",INDEX(Raw_D3!$P$2:$P$1001,$AR214)),"")))</f>
        <v>1</v>
      </c>
      <c r="Q214" s="5" t="str">
        <f>IF($A214="","",IF(AND($AP214&lt;&gt;"",$AQ214&lt;&gt;""),"D1+D2",IF($AR214&lt;&gt;"","D3","Incomplete")))</f>
        <v>D1+D2</v>
      </c>
      <c r="R214" s="17">
        <f>IF($A214="","",IF($K214="",IF($J214="","",ROUND(Lookups!$K$5+Lookups!$K$4*$J214,4)),$K214))</f>
        <v>0.1212</v>
      </c>
      <c r="S214" s="5" t="str">
        <f>IF($A214="","",IF($K214="","Imputed","Original"))</f>
        <v>Original</v>
      </c>
      <c r="T214" s="5" t="str">
        <f>IF($A214="","",IF($P214="","Missing",IF($P214=$N214+$O214,"OK","Mismatch")))</f>
        <v>OK</v>
      </c>
      <c r="U214" s="5" t="str">
        <f>IF($A214="","",IF(COUNTIF($A$2:$A214,$A214)&gt;1,"Duplicate","Unique"))</f>
        <v>Unique</v>
      </c>
      <c r="V214" s="5">
        <f>IF($A214="","",IF(AND($U214="Unique",ISNUMBER($P214)),1,0))</f>
        <v>1</v>
      </c>
      <c r="W214" s="5" t="str">
        <f>IF($A214="","",IF(OR($H214=0,$H214=6),"Weekend","Weekday"))</f>
        <v>Weekday</v>
      </c>
      <c r="X214" s="5" t="str">
        <f>IF($A214="","",TEXT($B214,"ddd"))</f>
        <v>Mon</v>
      </c>
      <c r="Y214" s="5" t="str">
        <f>IF($A214="","",TEXT($B214,"mmm"))</f>
        <v>Jan</v>
      </c>
      <c r="Z214" s="5" t="str">
        <f>IF($A214="","",IFERROR(VLOOKUP($C214,Lookups!$D$4:$E$7,2,FALSE),"Unknown"))</f>
        <v>Winter</v>
      </c>
      <c r="AA214" s="5" t="str">
        <f>IF($A214="","",IFERROR(VLOOKUP($I214,Lookups!$A$4:$B$7,2,FALSE),"Unknown"))</f>
        <v>Clear</v>
      </c>
      <c r="AB214" s="5" t="str">
        <f>IF($A214="","",TEXT($F214,"00")&amp;":00")</f>
        <v>03:00</v>
      </c>
      <c r="AC214" s="5" t="str">
        <f>IF($A214="","",VLOOKUP($F214,Lookups!$G$4:$H$8,2,TRUE))</f>
        <v>Night (00-05)</v>
      </c>
      <c r="AD214" s="18">
        <f>IF($A214="","",IF($J214="","",ROUND($J214*41,1)))</f>
        <v>4.9</v>
      </c>
      <c r="AE214" s="18">
        <f>IF($A214="","",IF($R214="","",ROUND($R214*50,1)))</f>
        <v>6.1</v>
      </c>
      <c r="AF214" s="5">
        <f>IF($A214="","",IF($L214="","",ROUND($L214*100,0)))</f>
        <v>50</v>
      </c>
      <c r="AG214" s="18">
        <f>IF($A214="","",IF($M214="","",ROUND($M214*67,1)))</f>
        <v>15</v>
      </c>
      <c r="AH214" s="19">
        <f>IF($A214="","",IF($P214="","",IF($P214=0,0,$O214/$P214)))</f>
        <v>1</v>
      </c>
      <c r="AI214" s="5" t="str">
        <f>IF($A214="","",IF($P214="","",IF($P214&gt;=Lookups!$K$7,"High",IF($P214&lt;=Lookups!$K$8,"Low","Medium"))))</f>
        <v>Low</v>
      </c>
      <c r="AJ214" s="5" t="str">
        <f>IF($A214="","",IF($AD214="","",IF($AD214&lt;5,"Under 5 C",IF($AD214&lt;10,"5-10 C",IF($AD214&lt;15,"10-15 C","15 C and above")))))</f>
        <v>Under 5 C</v>
      </c>
      <c r="AK214" s="5">
        <f>IF($A214="","",IF($P214="","",$P214^2))</f>
        <v>1</v>
      </c>
      <c r="AL214" s="18">
        <f>IF($V214&lt;&gt;1,"",AVERAGEIFS(Clean_Data!$P$2:$P$1001,Clean_Data!$F$2:$F$1001,$F214,Clean_Data!$W$2:$W$1001,$W214,Clean_Data!$V$2:$V$1001,1))</f>
        <v>1.41176470588235</v>
      </c>
      <c r="AM214" s="16">
        <f>IF($V214&lt;&gt;1,"",IFERROR(($P214-$AL214)/SQRT(MAX(0,(SUMIFS(Clean_Data!$AK$2:$AK$1001,Clean_Data!$F$2:$F$1001,$F214,Clean_Data!$W$2:$W$1001,$W214,Clean_Data!$V$2:$V$1001,1)-COUNTIFS(Clean_Data!$F$2:$F$1001,$F214,Clean_Data!$W$2:$W$1001,$W214,Clean_Data!$V$2:$V$1001,1)*$AL214^2)/(COUNTIFS(Clean_Data!$F$2:$F$1001,$F214,Clean_Data!$W$2:$W$1001,$W214,Clean_Data!$V$2:$V$1001,1)-1))),""))</f>
        <v>-0.665912091816292</v>
      </c>
      <c r="AN214" s="5" t="str">
        <f>IF($AM214="","",IF($AM214&gt;=Lookups!$K$6,"High spike",IF($AM214&lt;=-Lookups!$K$6,"Unusual low","Normal")))</f>
        <v>Normal</v>
      </c>
      <c r="AO214" s="20">
        <f>IF($V214&lt;&gt;1,"",$P214+ROW()/100000)</f>
        <v>1.00214</v>
      </c>
      <c r="AP214" s="5">
        <f>IF($A214="","",IFERROR(MATCH($A214,Raw_D1!$A$2:$A$1001,0),""))</f>
        <v>213</v>
      </c>
      <c r="AQ214" s="5">
        <f>IF($A214="","",IFERROR(MATCH($A214,Raw_D2!$B$2:$B$1001,0),""))</f>
        <v>213</v>
      </c>
      <c r="AR214" s="5">
        <f>IF($A214="","",IFERROR(MATCH($A214,Raw_D3!$A$2:$A$1001,0),""))</f>
        <v/>
      </c>
    </row>
    <row r="215" spans="1:44" x14ac:dyDescent="0.25">
      <c r="A215" s="5">
        <v>214</v>
      </c>
      <c r="B215" s="11">
        <f>IF($A215="","",IF($AP215&lt;&gt;"",INDEX(Raw_D1!$B$2:$B$1001,$AP215),IF($AR215&lt;&gt;"",INDEX(Raw_D3!$B$2:$B$1001,$AR215),"")))</f>
        <v>40553.0</v>
      </c>
      <c r="C215" s="5">
        <f>IF($A215="","",IF($AP215&lt;&gt;"",INDEX(Raw_D1!$C$2:$C$1001,$AP215),IF($AR215&lt;&gt;"",INDEX(Raw_D3!$C$2:$C$1001,$AR215),"")))</f>
        <v>1</v>
      </c>
      <c r="D215" s="5">
        <f>IF($A215="","",IF($AP215&lt;&gt;"",INDEX(Raw_D1!$D$2:$D$1001,$AP215),IF($AR215&lt;&gt;"",INDEX(Raw_D3!$D$2:$D$1001,$AR215),"")))</f>
        <v>0</v>
      </c>
      <c r="E215" s="5">
        <f>IF($A215="","",IF($AP215&lt;&gt;"",INDEX(Raw_D1!$E$2:$E$1001,$AP215),IF($AR215&lt;&gt;"",INDEX(Raw_D3!$E$2:$E$1001,$AR215),"")))</f>
        <v>1</v>
      </c>
      <c r="F215" s="5">
        <f>IF($A215="","",IF($AP215&lt;&gt;"",INDEX(Raw_D1!$F$2:$F$1001,$AP215),IF($AR215&lt;&gt;"",INDEX(Raw_D3!$F$2:$F$1001,$AR215),"")))</f>
        <v>4</v>
      </c>
      <c r="G215" s="5">
        <f>IF($A215="","",IF($AP215&lt;&gt;"",IF(INDEX(Raw_D1!$G$2:$G$1001,$AP215),1,0),IF($AR215&lt;&gt;"",IF(INDEX(Raw_D3!$G$2:$G$1001,$AR215),1,0),"")))</f>
        <v>0</v>
      </c>
      <c r="H215" s="5">
        <f>IF($A215="","",IF($AP215&lt;&gt;"",INDEX(Raw_D1!$H$2:$H$1001,$AP215),IF($AR215&lt;&gt;"",INDEX(Raw_D3!$H$2:$H$1001,$AR215),"")))</f>
        <v>1</v>
      </c>
      <c r="I215" s="5">
        <f>IF($A215="","",IF($AP215&lt;&gt;"",INDEX(Raw_D1!$I$2:$I$1001,$AP215),IF($AR215&lt;&gt;"",INDEX(Raw_D3!$I$2:$I$1001,$AR215),"")))</f>
        <v>1</v>
      </c>
      <c r="J215" s="16">
        <f>IF($A215="","",IF($AP215&lt;&gt;"",INDEX(Raw_D1!$J$2:$J$1001,$AP215),IF($AR215&lt;&gt;"",INDEX(Raw_D3!$J$2:$J$1001,$AR215),"")))</f>
        <v>0.1</v>
      </c>
      <c r="K215" s="17">
        <f>IF($A215="","",IF($AQ215&lt;&gt;"",IF(INDEX(Raw_D2!$C$2:$C$1001,$AQ215)="","",INDEX(Raw_D2!$C$2:$C$1001,$AQ215)),IF($AR215&lt;&gt;"",IF(INDEX(Raw_D3!$K$2:$K$1001,$AR215)="","",INDEX(Raw_D3!$K$2:$K$1001,$AR215)),"")))</f>
        <v>0.1212</v>
      </c>
      <c r="L215" s="16">
        <f>IF($A215="","",IF($AQ215&lt;&gt;"",IF(INDEX(Raw_D2!$D$2:$D$1001,$AQ215)="","",INDEX(Raw_D2!$D$2:$D$1001,$AQ215)),IF($AR215&lt;&gt;"",IF(INDEX(Raw_D3!$L$2:$L$1001,$AR215)="","",INDEX(Raw_D3!$L$2:$L$1001,$AR215)),"")))</f>
        <v>0.54</v>
      </c>
      <c r="M215" s="17">
        <f>IF($A215="","",IF($AQ215&lt;&gt;"",IF(INDEX(Raw_D2!$E$2:$E$1001,$AQ215)="","",INDEX(Raw_D2!$E$2:$E$1001,$AQ215)),IF($AR215&lt;&gt;"",IF(INDEX(Raw_D3!$M$2:$M$1001,$AR215)="","",INDEX(Raw_D3!$M$2:$M$1001,$AR215)),"")))</f>
        <v>0.1343</v>
      </c>
      <c r="N215" s="5">
        <f>IF($A215="","",IF($AQ215&lt;&gt;"",IF(INDEX(Raw_D2!$F$2:$F$1001,$AQ215)="","",INDEX(Raw_D2!$F$2:$F$1001,$AQ215)),IF($AR215&lt;&gt;"",IF(INDEX(Raw_D3!$N$2:$N$1001,$AR215)="","",INDEX(Raw_D3!$N$2:$N$1001,$AR215)),"")))</f>
        <v>1</v>
      </c>
      <c r="O215" s="5">
        <f>IF($A215="","",IF($AQ215&lt;&gt;"",IF(INDEX(Raw_D2!$G$2:$G$1001,$AQ215)="","",INDEX(Raw_D2!$G$2:$G$1001,$AQ215)),IF($AR215&lt;&gt;"",IF(INDEX(Raw_D3!$O$2:$O$1001,$AR215)="","",INDEX(Raw_D3!$O$2:$O$1001,$AR215)),"")))</f>
        <v>2</v>
      </c>
      <c r="P215" s="5">
        <f>IF($A215="","",IF($AQ215&lt;&gt;"",IF(INDEX(Raw_D2!$H$2:$H$1001,$AQ215)="","",INDEX(Raw_D2!$H$2:$H$1001,$AQ215)),IF($AR215&lt;&gt;"",IF(INDEX(Raw_D3!$P$2:$P$1001,$AR215)="","",INDEX(Raw_D3!$P$2:$P$1001,$AR215)),"")))</f>
        <v>3</v>
      </c>
      <c r="Q215" s="5" t="str">
        <f>IF($A215="","",IF(AND($AP215&lt;&gt;"",$AQ215&lt;&gt;""),"D1+D2",IF($AR215&lt;&gt;"","D3","Incomplete")))</f>
        <v>D1+D2</v>
      </c>
      <c r="R215" s="17">
        <f>IF($A215="","",IF($K215="",IF($J215="","",ROUND(Lookups!$K$5+Lookups!$K$4*$J215,4)),$K215))</f>
        <v>0.1212</v>
      </c>
      <c r="S215" s="5" t="str">
        <f>IF($A215="","",IF($K215="","Imputed","Original"))</f>
        <v>Original</v>
      </c>
      <c r="T215" s="5" t="str">
        <f>IF($A215="","",IF($P215="","Missing",IF($P215=$N215+$O215,"OK","Mismatch")))</f>
        <v>OK</v>
      </c>
      <c r="U215" s="5" t="str">
        <f>IF($A215="","",IF(COUNTIF($A$2:$A215,$A215)&gt;1,"Duplicate","Unique"))</f>
        <v>Unique</v>
      </c>
      <c r="V215" s="5">
        <f>IF($A215="","",IF(AND($U215="Unique",ISNUMBER($P215)),1,0))</f>
        <v>1</v>
      </c>
      <c r="W215" s="5" t="str">
        <f>IF($A215="","",IF(OR($H215=0,$H215=6),"Weekend","Weekday"))</f>
        <v>Weekday</v>
      </c>
      <c r="X215" s="5" t="str">
        <f>IF($A215="","",TEXT($B215,"ddd"))</f>
        <v>Mon</v>
      </c>
      <c r="Y215" s="5" t="str">
        <f>IF($A215="","",TEXT($B215,"mmm"))</f>
        <v>Jan</v>
      </c>
      <c r="Z215" s="5" t="str">
        <f>IF($A215="","",IFERROR(VLOOKUP($C215,Lookups!$D$4:$E$7,2,FALSE),"Unknown"))</f>
        <v>Winter</v>
      </c>
      <c r="AA215" s="5" t="str">
        <f>IF($A215="","",IFERROR(VLOOKUP($I215,Lookups!$A$4:$B$7,2,FALSE),"Unknown"))</f>
        <v>Clear</v>
      </c>
      <c r="AB215" s="5" t="str">
        <f>IF($A215="","",TEXT($F215,"00")&amp;":00")</f>
        <v>04:00</v>
      </c>
      <c r="AC215" s="5" t="str">
        <f>IF($A215="","",VLOOKUP($F215,Lookups!$G$4:$H$8,2,TRUE))</f>
        <v>Night (00-05)</v>
      </c>
      <c r="AD215" s="18">
        <f>IF($A215="","",IF($J215="","",ROUND($J215*41,1)))</f>
        <v>4.1</v>
      </c>
      <c r="AE215" s="18">
        <f>IF($A215="","",IF($R215="","",ROUND($R215*50,1)))</f>
        <v>6.1</v>
      </c>
      <c r="AF215" s="5">
        <f>IF($A215="","",IF($L215="","",ROUND($L215*100,0)))</f>
        <v>54</v>
      </c>
      <c r="AG215" s="18">
        <f>IF($A215="","",IF($M215="","",ROUND($M215*67,1)))</f>
        <v>9</v>
      </c>
      <c r="AH215" s="19">
        <f>IF($A215="","",IF($P215="","",IF($P215=0,0,$O215/$P215)))</f>
        <v>0.666666666666667</v>
      </c>
      <c r="AI215" s="5" t="str">
        <f>IF($A215="","",IF($P215="","",IF($P215&gt;=Lookups!$K$7,"High",IF($P215&lt;=Lookups!$K$8,"Low","Medium"))))</f>
        <v>Low</v>
      </c>
      <c r="AJ215" s="5" t="str">
        <f>IF($A215="","",IF($AD215="","",IF($AD215&lt;5,"Under 5 C",IF($AD215&lt;10,"5-10 C",IF($AD215&lt;15,"10-15 C","15 C and above")))))</f>
        <v>Under 5 C</v>
      </c>
      <c r="AK215" s="5">
        <f>IF($A215="","",IF($P215="","",$P215^2))</f>
        <v>9</v>
      </c>
      <c r="AL215" s="18">
        <f>IF($V215&lt;&gt;1,"",AVERAGEIFS(Clean_Data!$P$2:$P$1001,Clean_Data!$F$2:$F$1001,$F215,Clean_Data!$W$2:$W$1001,$W215,Clean_Data!$V$2:$V$1001,1))</f>
        <v>1.78947368421053</v>
      </c>
      <c r="AM215" s="16">
        <f>IF($V215&lt;&gt;1,"",IFERROR(($P215-$AL215)/SQRT(MAX(0,(SUMIFS(Clean_Data!$AK$2:$AK$1001,Clean_Data!$F$2:$F$1001,$F215,Clean_Data!$W$2:$W$1001,$W215,Clean_Data!$V$2:$V$1001,1)-COUNTIFS(Clean_Data!$F$2:$F$1001,$F215,Clean_Data!$W$2:$W$1001,$W215,Clean_Data!$V$2:$V$1001,1)*$AL215^2)/(COUNTIFS(Clean_Data!$F$2:$F$1001,$F215,Clean_Data!$W$2:$W$1001,$W215,Clean_Data!$V$2:$V$1001,1)-1))),""))</f>
        <v>1.31914046975573</v>
      </c>
      <c r="AN215" s="5" t="str">
        <f>IF($AM215="","",IF($AM215&gt;=Lookups!$K$6,"High spike",IF($AM215&lt;=-Lookups!$K$6,"Unusual low","Normal")))</f>
        <v>Normal</v>
      </c>
      <c r="AO215" s="20">
        <f>IF($V215&lt;&gt;1,"",$P215+ROW()/100000)</f>
        <v>3.00215</v>
      </c>
      <c r="AP215" s="5">
        <f>IF($A215="","",IFERROR(MATCH($A215,Raw_D1!$A$2:$A$1001,0),""))</f>
        <v>214</v>
      </c>
      <c r="AQ215" s="5">
        <f>IF($A215="","",IFERROR(MATCH($A215,Raw_D2!$B$2:$B$1001,0),""))</f>
        <v>214</v>
      </c>
      <c r="AR215" s="5">
        <f>IF($A215="","",IFERROR(MATCH($A215,Raw_D3!$A$2:$A$1001,0),""))</f>
        <v/>
      </c>
    </row>
    <row r="216" spans="1:44" x14ac:dyDescent="0.25">
      <c r="A216" s="5">
        <v>215</v>
      </c>
      <c r="B216" s="11">
        <f>IF($A216="","",IF($AP216&lt;&gt;"",INDEX(Raw_D1!$B$2:$B$1001,$AP216),IF($AR216&lt;&gt;"",INDEX(Raw_D3!$B$2:$B$1001,$AR216),"")))</f>
        <v>40553.0</v>
      </c>
      <c r="C216" s="5">
        <f>IF($A216="","",IF($AP216&lt;&gt;"",INDEX(Raw_D1!$C$2:$C$1001,$AP216),IF($AR216&lt;&gt;"",INDEX(Raw_D3!$C$2:$C$1001,$AR216),"")))</f>
        <v>1</v>
      </c>
      <c r="D216" s="5">
        <f>IF($A216="","",IF($AP216&lt;&gt;"",INDEX(Raw_D1!$D$2:$D$1001,$AP216),IF($AR216&lt;&gt;"",INDEX(Raw_D3!$D$2:$D$1001,$AR216),"")))</f>
        <v>0</v>
      </c>
      <c r="E216" s="5">
        <f>IF($A216="","",IF($AP216&lt;&gt;"",INDEX(Raw_D1!$E$2:$E$1001,$AP216),IF($AR216&lt;&gt;"",INDEX(Raw_D3!$E$2:$E$1001,$AR216),"")))</f>
        <v>1</v>
      </c>
      <c r="F216" s="5">
        <f>IF($A216="","",IF($AP216&lt;&gt;"",INDEX(Raw_D1!$F$2:$F$1001,$AP216),IF($AR216&lt;&gt;"",INDEX(Raw_D3!$F$2:$F$1001,$AR216),"")))</f>
        <v>5</v>
      </c>
      <c r="G216" s="5">
        <f>IF($A216="","",IF($AP216&lt;&gt;"",IF(INDEX(Raw_D1!$G$2:$G$1001,$AP216),1,0),IF($AR216&lt;&gt;"",IF(INDEX(Raw_D3!$G$2:$G$1001,$AR216),1,0),"")))</f>
        <v>0</v>
      </c>
      <c r="H216" s="5">
        <f>IF($A216="","",IF($AP216&lt;&gt;"",INDEX(Raw_D1!$H$2:$H$1001,$AP216),IF($AR216&lt;&gt;"",INDEX(Raw_D3!$H$2:$H$1001,$AR216),"")))</f>
        <v>1</v>
      </c>
      <c r="I216" s="5">
        <f>IF($A216="","",IF($AP216&lt;&gt;"",INDEX(Raw_D1!$I$2:$I$1001,$AP216),IF($AR216&lt;&gt;"",INDEX(Raw_D3!$I$2:$I$1001,$AR216),"")))</f>
        <v>1</v>
      </c>
      <c r="J216" s="16">
        <f>IF($A216="","",IF($AP216&lt;&gt;"",INDEX(Raw_D1!$J$2:$J$1001,$AP216),IF($AR216&lt;&gt;"",INDEX(Raw_D3!$J$2:$J$1001,$AR216),"")))</f>
        <v>0.1</v>
      </c>
      <c r="K216" s="17">
        <f>IF($A216="","",IF($AQ216&lt;&gt;"",IF(INDEX(Raw_D2!$C$2:$C$1001,$AQ216)="","",INDEX(Raw_D2!$C$2:$C$1001,$AQ216)),IF($AR216&lt;&gt;"",IF(INDEX(Raw_D3!$K$2:$K$1001,$AR216)="","",INDEX(Raw_D3!$K$2:$K$1001,$AR216)),"")))</f>
        <v>0.1061</v>
      </c>
      <c r="L216" s="16">
        <f>IF($A216="","",IF($AQ216&lt;&gt;"",IF(INDEX(Raw_D2!$D$2:$D$1001,$AQ216)="","",INDEX(Raw_D2!$D$2:$D$1001,$AQ216)),IF($AR216&lt;&gt;"",IF(INDEX(Raw_D3!$L$2:$L$1001,$AR216)="","",INDEX(Raw_D3!$L$2:$L$1001,$AR216)),"")))</f>
        <v>0.54</v>
      </c>
      <c r="M216" s="17">
        <f>IF($A216="","",IF($AQ216&lt;&gt;"",IF(INDEX(Raw_D2!$E$2:$E$1001,$AQ216)="","",INDEX(Raw_D2!$E$2:$E$1001,$AQ216)),IF($AR216&lt;&gt;"",IF(INDEX(Raw_D3!$M$2:$M$1001,$AR216)="","",INDEX(Raw_D3!$M$2:$M$1001,$AR216)),"")))</f>
        <v>0.2537</v>
      </c>
      <c r="N216" s="5">
        <f>IF($A216="","",IF($AQ216&lt;&gt;"",IF(INDEX(Raw_D2!$F$2:$F$1001,$AQ216)="","",INDEX(Raw_D2!$F$2:$F$1001,$AQ216)),IF($AR216&lt;&gt;"",IF(INDEX(Raw_D3!$N$2:$N$1001,$AR216)="","",INDEX(Raw_D3!$N$2:$N$1001,$AR216)),"")))</f>
        <v>0</v>
      </c>
      <c r="O216" s="5">
        <f>IF($A216="","",IF($AQ216&lt;&gt;"",IF(INDEX(Raw_D2!$G$2:$G$1001,$AQ216)="","",INDEX(Raw_D2!$G$2:$G$1001,$AQ216)),IF($AR216&lt;&gt;"",IF(INDEX(Raw_D3!$O$2:$O$1001,$AR216)="","",INDEX(Raw_D3!$O$2:$O$1001,$AR216)),"")))</f>
        <v>3</v>
      </c>
      <c r="P216" s="5">
        <f>IF($A216="","",IF($AQ216&lt;&gt;"",IF(INDEX(Raw_D2!$H$2:$H$1001,$AQ216)="","",INDEX(Raw_D2!$H$2:$H$1001,$AQ216)),IF($AR216&lt;&gt;"",IF(INDEX(Raw_D3!$P$2:$P$1001,$AR216)="","",INDEX(Raw_D3!$P$2:$P$1001,$AR216)),"")))</f>
        <v>3</v>
      </c>
      <c r="Q216" s="5" t="str">
        <f>IF($A216="","",IF(AND($AP216&lt;&gt;"",$AQ216&lt;&gt;""),"D1+D2",IF($AR216&lt;&gt;"","D3","Incomplete")))</f>
        <v>D1+D2</v>
      </c>
      <c r="R216" s="17">
        <f>IF($A216="","",IF($K216="",IF($J216="","",ROUND(Lookups!$K$5+Lookups!$K$4*$J216,4)),$K216))</f>
        <v>0.1061</v>
      </c>
      <c r="S216" s="5" t="str">
        <f>IF($A216="","",IF($K216="","Imputed","Original"))</f>
        <v>Original</v>
      </c>
      <c r="T216" s="5" t="str">
        <f>IF($A216="","",IF($P216="","Missing",IF($P216=$N216+$O216,"OK","Mismatch")))</f>
        <v>OK</v>
      </c>
      <c r="U216" s="5" t="str">
        <f>IF($A216="","",IF(COUNTIF($A$2:$A216,$A216)&gt;1,"Duplicate","Unique"))</f>
        <v>Unique</v>
      </c>
      <c r="V216" s="5">
        <f>IF($A216="","",IF(AND($U216="Unique",ISNUMBER($P216)),1,0))</f>
        <v>1</v>
      </c>
      <c r="W216" s="5" t="str">
        <f>IF($A216="","",IF(OR($H216=0,$H216=6),"Weekend","Weekday"))</f>
        <v>Weekday</v>
      </c>
      <c r="X216" s="5" t="str">
        <f>IF($A216="","",TEXT($B216,"ddd"))</f>
        <v>Mon</v>
      </c>
      <c r="Y216" s="5" t="str">
        <f>IF($A216="","",TEXT($B216,"mmm"))</f>
        <v>Jan</v>
      </c>
      <c r="Z216" s="5" t="str">
        <f>IF($A216="","",IFERROR(VLOOKUP($C216,Lookups!$D$4:$E$7,2,FALSE),"Unknown"))</f>
        <v>Winter</v>
      </c>
      <c r="AA216" s="5" t="str">
        <f>IF($A216="","",IFERROR(VLOOKUP($I216,Lookups!$A$4:$B$7,2,FALSE),"Unknown"))</f>
        <v>Clear</v>
      </c>
      <c r="AB216" s="5" t="str">
        <f>IF($A216="","",TEXT($F216,"00")&amp;":00")</f>
        <v>05:00</v>
      </c>
      <c r="AC216" s="5" t="str">
        <f>IF($A216="","",VLOOKUP($F216,Lookups!$G$4:$H$8,2,TRUE))</f>
        <v>Night (00-05)</v>
      </c>
      <c r="AD216" s="18">
        <f>IF($A216="","",IF($J216="","",ROUND($J216*41,1)))</f>
        <v>4.1</v>
      </c>
      <c r="AE216" s="18">
        <f>IF($A216="","",IF($R216="","",ROUND($R216*50,1)))</f>
        <v>5.3</v>
      </c>
      <c r="AF216" s="5">
        <f>IF($A216="","",IF($L216="","",ROUND($L216*100,0)))</f>
        <v>54</v>
      </c>
      <c r="AG216" s="18">
        <f>IF($A216="","",IF($M216="","",ROUND($M216*67,1)))</f>
        <v>17</v>
      </c>
      <c r="AH216" s="19">
        <f>IF($A216="","",IF($P216="","",IF($P216=0,0,$O216/$P216)))</f>
        <v>1</v>
      </c>
      <c r="AI216" s="5" t="str">
        <f>IF($A216="","",IF($P216="","",IF($P216&gt;=Lookups!$K$7,"High",IF($P216&lt;=Lookups!$K$8,"Low","Medium"))))</f>
        <v>Low</v>
      </c>
      <c r="AJ216" s="5" t="str">
        <f>IF($A216="","",IF($AD216="","",IF($AD216&lt;5,"Under 5 C",IF($AD216&lt;10,"5-10 C",IF($AD216&lt;15,"10-15 C","15 C and above")))))</f>
        <v>Under 5 C</v>
      </c>
      <c r="AK216" s="5">
        <f>IF($A216="","",IF($P216="","",$P216^2))</f>
        <v>9</v>
      </c>
      <c r="AL216" s="18">
        <f>IF($V216&lt;&gt;1,"",AVERAGEIFS(Clean_Data!$P$2:$P$1001,Clean_Data!$F$2:$F$1001,$F216,Clean_Data!$W$2:$W$1001,$W216,Clean_Data!$V$2:$V$1001,1))</f>
        <v>4.72413793103448</v>
      </c>
      <c r="AM216" s="16">
        <f>IF($V216&lt;&gt;1,"",IFERROR(($P216-$AL216)/SQRT(MAX(0,(SUMIFS(Clean_Data!$AK$2:$AK$1001,Clean_Data!$F$2:$F$1001,$F216,Clean_Data!$W$2:$W$1001,$W216,Clean_Data!$V$2:$V$1001,1)-COUNTIFS(Clean_Data!$F$2:$F$1001,$F216,Clean_Data!$W$2:$W$1001,$W216,Clean_Data!$V$2:$V$1001,1)*$AL216^2)/(COUNTIFS(Clean_Data!$F$2:$F$1001,$F216,Clean_Data!$W$2:$W$1001,$W216,Clean_Data!$V$2:$V$1001,1)-1))),""))</f>
        <v>-0.735669230034663</v>
      </c>
      <c r="AN216" s="5" t="str">
        <f>IF($AM216="","",IF($AM216&gt;=Lookups!$K$6,"High spike",IF($AM216&lt;=-Lookups!$K$6,"Unusual low","Normal")))</f>
        <v>Normal</v>
      </c>
      <c r="AO216" s="20">
        <f>IF($V216&lt;&gt;1,"",$P216+ROW()/100000)</f>
        <v>3.00216</v>
      </c>
      <c r="AP216" s="5">
        <f>IF($A216="","",IFERROR(MATCH($A216,Raw_D1!$A$2:$A$1001,0),""))</f>
        <v>215</v>
      </c>
      <c r="AQ216" s="5">
        <f>IF($A216="","",IFERROR(MATCH($A216,Raw_D2!$B$2:$B$1001,0),""))</f>
        <v>215</v>
      </c>
      <c r="AR216" s="5">
        <f>IF($A216="","",IFERROR(MATCH($A216,Raw_D3!$A$2:$A$1001,0),""))</f>
        <v/>
      </c>
    </row>
    <row r="217" spans="1:44" x14ac:dyDescent="0.25">
      <c r="A217" s="5">
        <v>216</v>
      </c>
      <c r="B217" s="11">
        <f>IF($A217="","",IF($AP217&lt;&gt;"",INDEX(Raw_D1!$B$2:$B$1001,$AP217),IF($AR217&lt;&gt;"",INDEX(Raw_D3!$B$2:$B$1001,$AR217),"")))</f>
        <v>40553.0</v>
      </c>
      <c r="C217" s="5">
        <f>IF($A217="","",IF($AP217&lt;&gt;"",INDEX(Raw_D1!$C$2:$C$1001,$AP217),IF($AR217&lt;&gt;"",INDEX(Raw_D3!$C$2:$C$1001,$AR217),"")))</f>
        <v>1</v>
      </c>
      <c r="D217" s="5">
        <f>IF($A217="","",IF($AP217&lt;&gt;"",INDEX(Raw_D1!$D$2:$D$1001,$AP217),IF($AR217&lt;&gt;"",INDEX(Raw_D3!$D$2:$D$1001,$AR217),"")))</f>
        <v>0</v>
      </c>
      <c r="E217" s="5">
        <f>IF($A217="","",IF($AP217&lt;&gt;"",INDEX(Raw_D1!$E$2:$E$1001,$AP217),IF($AR217&lt;&gt;"",INDEX(Raw_D3!$E$2:$E$1001,$AR217),"")))</f>
        <v>1</v>
      </c>
      <c r="F217" s="5">
        <f>IF($A217="","",IF($AP217&lt;&gt;"",INDEX(Raw_D1!$F$2:$F$1001,$AP217),IF($AR217&lt;&gt;"",INDEX(Raw_D3!$F$2:$F$1001,$AR217),"")))</f>
        <v>6</v>
      </c>
      <c r="G217" s="5">
        <f>IF($A217="","",IF($AP217&lt;&gt;"",IF(INDEX(Raw_D1!$G$2:$G$1001,$AP217),1,0),IF($AR217&lt;&gt;"",IF(INDEX(Raw_D3!$G$2:$G$1001,$AR217),1,0),"")))</f>
        <v>0</v>
      </c>
      <c r="H217" s="5">
        <f>IF($A217="","",IF($AP217&lt;&gt;"",INDEX(Raw_D1!$H$2:$H$1001,$AP217),IF($AR217&lt;&gt;"",INDEX(Raw_D3!$H$2:$H$1001,$AR217),"")))</f>
        <v>1</v>
      </c>
      <c r="I217" s="5">
        <f>IF($A217="","",IF($AP217&lt;&gt;"",INDEX(Raw_D1!$I$2:$I$1001,$AP217),IF($AR217&lt;&gt;"",INDEX(Raw_D3!$I$2:$I$1001,$AR217),"")))</f>
        <v>1</v>
      </c>
      <c r="J217" s="16">
        <f>IF($A217="","",IF($AP217&lt;&gt;"",INDEX(Raw_D1!$J$2:$J$1001,$AP217),IF($AR217&lt;&gt;"",INDEX(Raw_D3!$J$2:$J$1001,$AR217),"")))</f>
        <v>0.12</v>
      </c>
      <c r="K217" s="17">
        <f>IF($A217="","",IF($AQ217&lt;&gt;"",IF(INDEX(Raw_D2!$C$2:$C$1001,$AQ217)="","",INDEX(Raw_D2!$C$2:$C$1001,$AQ217)),IF($AR217&lt;&gt;"",IF(INDEX(Raw_D3!$K$2:$K$1001,$AR217)="","",INDEX(Raw_D3!$K$2:$K$1001,$AR217)),"")))</f>
        <v>0.1212</v>
      </c>
      <c r="L217" s="16">
        <f>IF($A217="","",IF($AQ217&lt;&gt;"",IF(INDEX(Raw_D2!$D$2:$D$1001,$AQ217)="","",INDEX(Raw_D2!$D$2:$D$1001,$AQ217)),IF($AR217&lt;&gt;"",IF(INDEX(Raw_D3!$L$2:$L$1001,$AR217)="","",INDEX(Raw_D3!$L$2:$L$1001,$AR217)),"")))</f>
        <v>0.5</v>
      </c>
      <c r="M217" s="17">
        <f>IF($A217="","",IF($AQ217&lt;&gt;"",IF(INDEX(Raw_D2!$E$2:$E$1001,$AQ217)="","",INDEX(Raw_D2!$E$2:$E$1001,$AQ217)),IF($AR217&lt;&gt;"",IF(INDEX(Raw_D3!$M$2:$M$1001,$AR217)="","",INDEX(Raw_D3!$M$2:$M$1001,$AR217)),"")))</f>
        <v>0.2836</v>
      </c>
      <c r="N217" s="5">
        <f>IF($A217="","",IF($AQ217&lt;&gt;"",IF(INDEX(Raw_D2!$F$2:$F$1001,$AQ217)="","",INDEX(Raw_D2!$F$2:$F$1001,$AQ217)),IF($AR217&lt;&gt;"",IF(INDEX(Raw_D3!$N$2:$N$1001,$AR217)="","",INDEX(Raw_D3!$N$2:$N$1001,$AR217)),"")))</f>
        <v>0</v>
      </c>
      <c r="O217" s="5">
        <f>IF($A217="","",IF($AQ217&lt;&gt;"",IF(INDEX(Raw_D2!$G$2:$G$1001,$AQ217)="","",INDEX(Raw_D2!$G$2:$G$1001,$AQ217)),IF($AR217&lt;&gt;"",IF(INDEX(Raw_D3!$O$2:$O$1001,$AR217)="","",INDEX(Raw_D3!$O$2:$O$1001,$AR217)),"")))</f>
        <v>31</v>
      </c>
      <c r="P217" s="5">
        <f>IF($A217="","",IF($AQ217&lt;&gt;"",IF(INDEX(Raw_D2!$H$2:$H$1001,$AQ217)="","",INDEX(Raw_D2!$H$2:$H$1001,$AQ217)),IF($AR217&lt;&gt;"",IF(INDEX(Raw_D3!$P$2:$P$1001,$AR217)="","",INDEX(Raw_D3!$P$2:$P$1001,$AR217)),"")))</f>
        <v>31</v>
      </c>
      <c r="Q217" s="5" t="str">
        <f>IF($A217="","",IF(AND($AP217&lt;&gt;"",$AQ217&lt;&gt;""),"D1+D2",IF($AR217&lt;&gt;"","D3","Incomplete")))</f>
        <v>D1+D2</v>
      </c>
      <c r="R217" s="17">
        <f>IF($A217="","",IF($K217="",IF($J217="","",ROUND(Lookups!$K$5+Lookups!$K$4*$J217,4)),$K217))</f>
        <v>0.1212</v>
      </c>
      <c r="S217" s="5" t="str">
        <f>IF($A217="","",IF($K217="","Imputed","Original"))</f>
        <v>Original</v>
      </c>
      <c r="T217" s="5" t="str">
        <f>IF($A217="","",IF($P217="","Missing",IF($P217=$N217+$O217,"OK","Mismatch")))</f>
        <v>OK</v>
      </c>
      <c r="U217" s="5" t="str">
        <f>IF($A217="","",IF(COUNTIF($A$2:$A217,$A217)&gt;1,"Duplicate","Unique"))</f>
        <v>Unique</v>
      </c>
      <c r="V217" s="5">
        <f>IF($A217="","",IF(AND($U217="Unique",ISNUMBER($P217)),1,0))</f>
        <v>1</v>
      </c>
      <c r="W217" s="5" t="str">
        <f>IF($A217="","",IF(OR($H217=0,$H217=6),"Weekend","Weekday"))</f>
        <v>Weekday</v>
      </c>
      <c r="X217" s="5" t="str">
        <f>IF($A217="","",TEXT($B217,"ddd"))</f>
        <v>Mon</v>
      </c>
      <c r="Y217" s="5" t="str">
        <f>IF($A217="","",TEXT($B217,"mmm"))</f>
        <v>Jan</v>
      </c>
      <c r="Z217" s="5" t="str">
        <f>IF($A217="","",IFERROR(VLOOKUP($C217,Lookups!$D$4:$E$7,2,FALSE),"Unknown"))</f>
        <v>Winter</v>
      </c>
      <c r="AA217" s="5" t="str">
        <f>IF($A217="","",IFERROR(VLOOKUP($I217,Lookups!$A$4:$B$7,2,FALSE),"Unknown"))</f>
        <v>Clear</v>
      </c>
      <c r="AB217" s="5" t="str">
        <f>IF($A217="","",TEXT($F217,"00")&amp;":00")</f>
        <v>06:00</v>
      </c>
      <c r="AC217" s="5" t="str">
        <f>IF($A217="","",VLOOKUP($F217,Lookups!$G$4:$H$8,2,TRUE))</f>
        <v>Morning Peak (06-09)</v>
      </c>
      <c r="AD217" s="18">
        <f>IF($A217="","",IF($J217="","",ROUND($J217*41,1)))</f>
        <v>4.9</v>
      </c>
      <c r="AE217" s="18">
        <f>IF($A217="","",IF($R217="","",ROUND($R217*50,1)))</f>
        <v>6.1</v>
      </c>
      <c r="AF217" s="5">
        <f>IF($A217="","",IF($L217="","",ROUND($L217*100,0)))</f>
        <v>50</v>
      </c>
      <c r="AG217" s="18">
        <f>IF($A217="","",IF($M217="","",ROUND($M217*67,1)))</f>
        <v>19</v>
      </c>
      <c r="AH217" s="19">
        <f>IF($A217="","",IF($P217="","",IF($P217=0,0,$O217/$P217)))</f>
        <v>1</v>
      </c>
      <c r="AI217" s="5" t="str">
        <f>IF($A217="","",IF($P217="","",IF($P217&gt;=Lookups!$K$7,"High",IF($P217&lt;=Lookups!$K$8,"Low","Medium"))))</f>
        <v>Medium</v>
      </c>
      <c r="AJ217" s="5" t="str">
        <f>IF($A217="","",IF($AD217="","",IF($AD217&lt;5,"Under 5 C",IF($AD217&lt;10,"5-10 C",IF($AD217&lt;15,"10-15 C","15 C and above")))))</f>
        <v>Under 5 C</v>
      </c>
      <c r="AK217" s="5">
        <f>IF($A217="","",IF($P217="","",$P217^2))</f>
        <v>961</v>
      </c>
      <c r="AL217" s="18">
        <f>IF($V217&lt;&gt;1,"",AVERAGEIFS(Clean_Data!$P$2:$P$1001,Clean_Data!$F$2:$F$1001,$F217,Clean_Data!$W$2:$W$1001,$W217,Clean_Data!$V$2:$V$1001,1))</f>
        <v>27.3793103448276</v>
      </c>
      <c r="AM217" s="16">
        <f>IF($V217&lt;&gt;1,"",IFERROR(($P217-$AL217)/SQRT(MAX(0,(SUMIFS(Clean_Data!$AK$2:$AK$1001,Clean_Data!$F$2:$F$1001,$F217,Clean_Data!$W$2:$W$1001,$W217,Clean_Data!$V$2:$V$1001,1)-COUNTIFS(Clean_Data!$F$2:$F$1001,$F217,Clean_Data!$W$2:$W$1001,$W217,Clean_Data!$V$2:$V$1001,1)*$AL217^2)/(COUNTIFS(Clean_Data!$F$2:$F$1001,$F217,Clean_Data!$W$2:$W$1001,$W217,Clean_Data!$V$2:$V$1001,1)-1))),""))</f>
        <v>0.380086740101755</v>
      </c>
      <c r="AN217" s="5" t="str">
        <f>IF($AM217="","",IF($AM217&gt;=Lookups!$K$6,"High spike",IF($AM217&lt;=-Lookups!$K$6,"Unusual low","Normal")))</f>
        <v>Normal</v>
      </c>
      <c r="AO217" s="20">
        <f>IF($V217&lt;&gt;1,"",$P217+ROW()/100000)</f>
        <v>31.00217</v>
      </c>
      <c r="AP217" s="5">
        <f>IF($A217="","",IFERROR(MATCH($A217,Raw_D1!$A$2:$A$1001,0),""))</f>
        <v>216</v>
      </c>
      <c r="AQ217" s="5">
        <f>IF($A217="","",IFERROR(MATCH($A217,Raw_D2!$B$2:$B$1001,0),""))</f>
        <v>216</v>
      </c>
      <c r="AR217" s="5">
        <f>IF($A217="","",IFERROR(MATCH($A217,Raw_D3!$A$2:$A$1001,0),""))</f>
        <v/>
      </c>
    </row>
    <row r="218" spans="1:44" x14ac:dyDescent="0.25">
      <c r="A218" s="5">
        <v>217</v>
      </c>
      <c r="B218" s="11">
        <f>IF($A218="","",IF($AP218&lt;&gt;"",INDEX(Raw_D1!$B$2:$B$1001,$AP218),IF($AR218&lt;&gt;"",INDEX(Raw_D3!$B$2:$B$1001,$AR218),"")))</f>
        <v>40553.0</v>
      </c>
      <c r="C218" s="5">
        <f>IF($A218="","",IF($AP218&lt;&gt;"",INDEX(Raw_D1!$C$2:$C$1001,$AP218),IF($AR218&lt;&gt;"",INDEX(Raw_D3!$C$2:$C$1001,$AR218),"")))</f>
        <v>1</v>
      </c>
      <c r="D218" s="5">
        <f>IF($A218="","",IF($AP218&lt;&gt;"",INDEX(Raw_D1!$D$2:$D$1001,$AP218),IF($AR218&lt;&gt;"",INDEX(Raw_D3!$D$2:$D$1001,$AR218),"")))</f>
        <v>0</v>
      </c>
      <c r="E218" s="5">
        <f>IF($A218="","",IF($AP218&lt;&gt;"",INDEX(Raw_D1!$E$2:$E$1001,$AP218),IF($AR218&lt;&gt;"",INDEX(Raw_D3!$E$2:$E$1001,$AR218),"")))</f>
        <v>1</v>
      </c>
      <c r="F218" s="5">
        <f>IF($A218="","",IF($AP218&lt;&gt;"",INDEX(Raw_D1!$F$2:$F$1001,$AP218),IF($AR218&lt;&gt;"",INDEX(Raw_D3!$F$2:$F$1001,$AR218),"")))</f>
        <v>7</v>
      </c>
      <c r="G218" s="5">
        <f>IF($A218="","",IF($AP218&lt;&gt;"",IF(INDEX(Raw_D1!$G$2:$G$1001,$AP218),1,0),IF($AR218&lt;&gt;"",IF(INDEX(Raw_D3!$G$2:$G$1001,$AR218),1,0),"")))</f>
        <v>0</v>
      </c>
      <c r="H218" s="5">
        <f>IF($A218="","",IF($AP218&lt;&gt;"",INDEX(Raw_D1!$H$2:$H$1001,$AP218),IF($AR218&lt;&gt;"",INDEX(Raw_D3!$H$2:$H$1001,$AR218),"")))</f>
        <v>1</v>
      </c>
      <c r="I218" s="5">
        <f>IF($A218="","",IF($AP218&lt;&gt;"",INDEX(Raw_D1!$I$2:$I$1001,$AP218),IF($AR218&lt;&gt;"",INDEX(Raw_D3!$I$2:$I$1001,$AR218),"")))</f>
        <v>1</v>
      </c>
      <c r="J218" s="16">
        <f>IF($A218="","",IF($AP218&lt;&gt;"",INDEX(Raw_D1!$J$2:$J$1001,$AP218),IF($AR218&lt;&gt;"",INDEX(Raw_D3!$J$2:$J$1001,$AR218),"")))</f>
        <v>0.12</v>
      </c>
      <c r="K218" s="17">
        <f>IF($A218="","",IF($AQ218&lt;&gt;"",IF(INDEX(Raw_D2!$C$2:$C$1001,$AQ218)="","",INDEX(Raw_D2!$C$2:$C$1001,$AQ218)),IF($AR218&lt;&gt;"",IF(INDEX(Raw_D3!$K$2:$K$1001,$AR218)="","",INDEX(Raw_D3!$K$2:$K$1001,$AR218)),"")))</f>
        <v>0.1212</v>
      </c>
      <c r="L218" s="16">
        <f>IF($A218="","",IF($AQ218&lt;&gt;"",IF(INDEX(Raw_D2!$D$2:$D$1001,$AQ218)="","",INDEX(Raw_D2!$D$2:$D$1001,$AQ218)),IF($AR218&lt;&gt;"",IF(INDEX(Raw_D3!$L$2:$L$1001,$AR218)="","",INDEX(Raw_D3!$L$2:$L$1001,$AR218)),"")))</f>
        <v>0.5</v>
      </c>
      <c r="M218" s="17">
        <f>IF($A218="","",IF($AQ218&lt;&gt;"",IF(INDEX(Raw_D2!$E$2:$E$1001,$AQ218)="","",INDEX(Raw_D2!$E$2:$E$1001,$AQ218)),IF($AR218&lt;&gt;"",IF(INDEX(Raw_D3!$M$2:$M$1001,$AR218)="","",INDEX(Raw_D3!$M$2:$M$1001,$AR218)),"")))</f>
        <v>0.2239</v>
      </c>
      <c r="N218" s="5">
        <f>IF($A218="","",IF($AQ218&lt;&gt;"",IF(INDEX(Raw_D2!$F$2:$F$1001,$AQ218)="","",INDEX(Raw_D2!$F$2:$F$1001,$AQ218)),IF($AR218&lt;&gt;"",IF(INDEX(Raw_D3!$N$2:$N$1001,$AR218)="","",INDEX(Raw_D3!$N$2:$N$1001,$AR218)),"")))</f>
        <v>2</v>
      </c>
      <c r="O218" s="5">
        <f>IF($A218="","",IF($AQ218&lt;&gt;"",IF(INDEX(Raw_D2!$G$2:$G$1001,$AQ218)="","",INDEX(Raw_D2!$G$2:$G$1001,$AQ218)),IF($AR218&lt;&gt;"",IF(INDEX(Raw_D3!$O$2:$O$1001,$AR218)="","",INDEX(Raw_D3!$O$2:$O$1001,$AR218)),"")))</f>
        <v>75</v>
      </c>
      <c r="P218" s="5">
        <f>IF($A218="","",IF($AQ218&lt;&gt;"",IF(INDEX(Raw_D2!$H$2:$H$1001,$AQ218)="","",INDEX(Raw_D2!$H$2:$H$1001,$AQ218)),IF($AR218&lt;&gt;"",IF(INDEX(Raw_D3!$P$2:$P$1001,$AR218)="","",INDEX(Raw_D3!$P$2:$P$1001,$AR218)),"")))</f>
        <v>77</v>
      </c>
      <c r="Q218" s="5" t="str">
        <f>IF($A218="","",IF(AND($AP218&lt;&gt;"",$AQ218&lt;&gt;""),"D1+D2",IF($AR218&lt;&gt;"","D3","Incomplete")))</f>
        <v>D1+D2</v>
      </c>
      <c r="R218" s="17">
        <f>IF($A218="","",IF($K218="",IF($J218="","",ROUND(Lookups!$K$5+Lookups!$K$4*$J218,4)),$K218))</f>
        <v>0.1212</v>
      </c>
      <c r="S218" s="5" t="str">
        <f>IF($A218="","",IF($K218="","Imputed","Original"))</f>
        <v>Original</v>
      </c>
      <c r="T218" s="5" t="str">
        <f>IF($A218="","",IF($P218="","Missing",IF($P218=$N218+$O218,"OK","Mismatch")))</f>
        <v>OK</v>
      </c>
      <c r="U218" s="5" t="str">
        <f>IF($A218="","",IF(COUNTIF($A$2:$A218,$A218)&gt;1,"Duplicate","Unique"))</f>
        <v>Unique</v>
      </c>
      <c r="V218" s="5">
        <f>IF($A218="","",IF(AND($U218="Unique",ISNUMBER($P218)),1,0))</f>
        <v>1</v>
      </c>
      <c r="W218" s="5" t="str">
        <f>IF($A218="","",IF(OR($H218=0,$H218=6),"Weekend","Weekday"))</f>
        <v>Weekday</v>
      </c>
      <c r="X218" s="5" t="str">
        <f>IF($A218="","",TEXT($B218,"ddd"))</f>
        <v>Mon</v>
      </c>
      <c r="Y218" s="5" t="str">
        <f>IF($A218="","",TEXT($B218,"mmm"))</f>
        <v>Jan</v>
      </c>
      <c r="Z218" s="5" t="str">
        <f>IF($A218="","",IFERROR(VLOOKUP($C218,Lookups!$D$4:$E$7,2,FALSE),"Unknown"))</f>
        <v>Winter</v>
      </c>
      <c r="AA218" s="5" t="str">
        <f>IF($A218="","",IFERROR(VLOOKUP($I218,Lookups!$A$4:$B$7,2,FALSE),"Unknown"))</f>
        <v>Clear</v>
      </c>
      <c r="AB218" s="5" t="str">
        <f>IF($A218="","",TEXT($F218,"00")&amp;":00")</f>
        <v>07:00</v>
      </c>
      <c r="AC218" s="5" t="str">
        <f>IF($A218="","",VLOOKUP($F218,Lookups!$G$4:$H$8,2,TRUE))</f>
        <v>Morning Peak (06-09)</v>
      </c>
      <c r="AD218" s="18">
        <f>IF($A218="","",IF($J218="","",ROUND($J218*41,1)))</f>
        <v>4.9</v>
      </c>
      <c r="AE218" s="18">
        <f>IF($A218="","",IF($R218="","",ROUND($R218*50,1)))</f>
        <v>6.1</v>
      </c>
      <c r="AF218" s="5">
        <f>IF($A218="","",IF($L218="","",ROUND($L218*100,0)))</f>
        <v>50</v>
      </c>
      <c r="AG218" s="18">
        <f>IF($A218="","",IF($M218="","",ROUND($M218*67,1)))</f>
        <v>15</v>
      </c>
      <c r="AH218" s="19">
        <f>IF($A218="","",IF($P218="","",IF($P218=0,0,$O218/$P218)))</f>
        <v>0.974025974025974</v>
      </c>
      <c r="AI218" s="5" t="str">
        <f>IF($A218="","",IF($P218="","",IF($P218&gt;=Lookups!$K$7,"High",IF($P218&lt;=Lookups!$K$8,"Low","Medium"))))</f>
        <v>Medium</v>
      </c>
      <c r="AJ218" s="5" t="str">
        <f>IF($A218="","",IF($AD218="","",IF($AD218&lt;5,"Under 5 C",IF($AD218&lt;10,"5-10 C",IF($AD218&lt;15,"10-15 C","15 C and above")))))</f>
        <v>Under 5 C</v>
      </c>
      <c r="AK218" s="5">
        <f>IF($A218="","",IF($P218="","",$P218^2))</f>
        <v>5929</v>
      </c>
      <c r="AL218" s="18">
        <f>IF($V218&lt;&gt;1,"",AVERAGEIFS(Clean_Data!$P$2:$P$1001,Clean_Data!$F$2:$F$1001,$F218,Clean_Data!$W$2:$W$1001,$W218,Clean_Data!$V$2:$V$1001,1))</f>
        <v>78.0344827586207</v>
      </c>
      <c r="AM218" s="16">
        <f>IF($V218&lt;&gt;1,"",IFERROR(($P218-$AL218)/SQRT(MAX(0,(SUMIFS(Clean_Data!$AK$2:$AK$1001,Clean_Data!$F$2:$F$1001,$F218,Clean_Data!$W$2:$W$1001,$W218,Clean_Data!$V$2:$V$1001,1)-COUNTIFS(Clean_Data!$F$2:$F$1001,$F218,Clean_Data!$W$2:$W$1001,$W218,Clean_Data!$V$2:$V$1001,1)*$AL218^2)/(COUNTIFS(Clean_Data!$F$2:$F$1001,$F218,Clean_Data!$W$2:$W$1001,$W218,Clean_Data!$V$2:$V$1001,1)-1))),""))</f>
        <v>-0.045707008233617</v>
      </c>
      <c r="AN218" s="5" t="str">
        <f>IF($AM218="","",IF($AM218&gt;=Lookups!$K$6,"High spike",IF($AM218&lt;=-Lookups!$K$6,"Unusual low","Normal")))</f>
        <v>Normal</v>
      </c>
      <c r="AO218" s="20">
        <f>IF($V218&lt;&gt;1,"",$P218+ROW()/100000)</f>
        <v>77.00218</v>
      </c>
      <c r="AP218" s="5">
        <f>IF($A218="","",IFERROR(MATCH($A218,Raw_D1!$A$2:$A$1001,0),""))</f>
        <v>217</v>
      </c>
      <c r="AQ218" s="5">
        <f>IF($A218="","",IFERROR(MATCH($A218,Raw_D2!$B$2:$B$1001,0),""))</f>
        <v>217</v>
      </c>
      <c r="AR218" s="5">
        <f>IF($A218="","",IFERROR(MATCH($A218,Raw_D3!$A$2:$A$1001,0),""))</f>
        <v/>
      </c>
    </row>
    <row r="219" spans="1:44" x14ac:dyDescent="0.25">
      <c r="A219" s="5">
        <v>218</v>
      </c>
      <c r="B219" s="11">
        <f>IF($A219="","",IF($AP219&lt;&gt;"",INDEX(Raw_D1!$B$2:$B$1001,$AP219),IF($AR219&lt;&gt;"",INDEX(Raw_D3!$B$2:$B$1001,$AR219),"")))</f>
        <v>40553.0</v>
      </c>
      <c r="C219" s="5">
        <f>IF($A219="","",IF($AP219&lt;&gt;"",INDEX(Raw_D1!$C$2:$C$1001,$AP219),IF($AR219&lt;&gt;"",INDEX(Raw_D3!$C$2:$C$1001,$AR219),"")))</f>
        <v>1</v>
      </c>
      <c r="D219" s="5">
        <f>IF($A219="","",IF($AP219&lt;&gt;"",INDEX(Raw_D1!$D$2:$D$1001,$AP219),IF($AR219&lt;&gt;"",INDEX(Raw_D3!$D$2:$D$1001,$AR219),"")))</f>
        <v>0</v>
      </c>
      <c r="E219" s="5">
        <f>IF($A219="","",IF($AP219&lt;&gt;"",INDEX(Raw_D1!$E$2:$E$1001,$AP219),IF($AR219&lt;&gt;"",INDEX(Raw_D3!$E$2:$E$1001,$AR219),"")))</f>
        <v>1</v>
      </c>
      <c r="F219" s="5">
        <f>IF($A219="","",IF($AP219&lt;&gt;"",INDEX(Raw_D1!$F$2:$F$1001,$AP219),IF($AR219&lt;&gt;"",INDEX(Raw_D3!$F$2:$F$1001,$AR219),"")))</f>
        <v>8</v>
      </c>
      <c r="G219" s="5">
        <f>IF($A219="","",IF($AP219&lt;&gt;"",IF(INDEX(Raw_D1!$G$2:$G$1001,$AP219),1,0),IF($AR219&lt;&gt;"",IF(INDEX(Raw_D3!$G$2:$G$1001,$AR219),1,0),"")))</f>
        <v>0</v>
      </c>
      <c r="H219" s="5">
        <f>IF($A219="","",IF($AP219&lt;&gt;"",INDEX(Raw_D1!$H$2:$H$1001,$AP219),IF($AR219&lt;&gt;"",INDEX(Raw_D3!$H$2:$H$1001,$AR219),"")))</f>
        <v>1</v>
      </c>
      <c r="I219" s="5">
        <f>IF($A219="","",IF($AP219&lt;&gt;"",INDEX(Raw_D1!$I$2:$I$1001,$AP219),IF($AR219&lt;&gt;"",INDEX(Raw_D3!$I$2:$I$1001,$AR219),"")))</f>
        <v>2</v>
      </c>
      <c r="J219" s="16">
        <f>IF($A219="","",IF($AP219&lt;&gt;"",INDEX(Raw_D1!$J$2:$J$1001,$AP219),IF($AR219&lt;&gt;"",INDEX(Raw_D3!$J$2:$J$1001,$AR219),"")))</f>
        <v>0.12</v>
      </c>
      <c r="K219" s="17">
        <f>IF($A219="","",IF($AQ219&lt;&gt;"",IF(INDEX(Raw_D2!$C$2:$C$1001,$AQ219)="","",INDEX(Raw_D2!$C$2:$C$1001,$AQ219)),IF($AR219&lt;&gt;"",IF(INDEX(Raw_D3!$K$2:$K$1001,$AR219)="","",INDEX(Raw_D3!$K$2:$K$1001,$AR219)),"")))</f>
        <v>0.1212</v>
      </c>
      <c r="L219" s="16">
        <f>IF($A219="","",IF($AQ219&lt;&gt;"",IF(INDEX(Raw_D2!$D$2:$D$1001,$AQ219)="","",INDEX(Raw_D2!$D$2:$D$1001,$AQ219)),IF($AR219&lt;&gt;"",IF(INDEX(Raw_D3!$L$2:$L$1001,$AR219)="","",INDEX(Raw_D3!$L$2:$L$1001,$AR219)),"")))</f>
        <v>0.5</v>
      </c>
      <c r="M219" s="17">
        <f>IF($A219="","",IF($AQ219&lt;&gt;"",IF(INDEX(Raw_D2!$E$2:$E$1001,$AQ219)="","",INDEX(Raw_D2!$E$2:$E$1001,$AQ219)),IF($AR219&lt;&gt;"",IF(INDEX(Raw_D3!$M$2:$M$1001,$AR219)="","",INDEX(Raw_D3!$M$2:$M$1001,$AR219)),"")))</f>
        <v>0.2836</v>
      </c>
      <c r="N219" s="5">
        <f>IF($A219="","",IF($AQ219&lt;&gt;"",IF(INDEX(Raw_D2!$F$2:$F$1001,$AQ219)="","",INDEX(Raw_D2!$F$2:$F$1001,$AQ219)),IF($AR219&lt;&gt;"",IF(INDEX(Raw_D3!$N$2:$N$1001,$AR219)="","",INDEX(Raw_D3!$N$2:$N$1001,$AR219)),"")))</f>
        <v>4</v>
      </c>
      <c r="O219" s="5">
        <f>IF($A219="","",IF($AQ219&lt;&gt;"",IF(INDEX(Raw_D2!$G$2:$G$1001,$AQ219)="","",INDEX(Raw_D2!$G$2:$G$1001,$AQ219)),IF($AR219&lt;&gt;"",IF(INDEX(Raw_D3!$O$2:$O$1001,$AR219)="","",INDEX(Raw_D3!$O$2:$O$1001,$AR219)),"")))</f>
        <v>184</v>
      </c>
      <c r="P219" s="5">
        <f>IF($A219="","",IF($AQ219&lt;&gt;"",IF(INDEX(Raw_D2!$H$2:$H$1001,$AQ219)="","",INDEX(Raw_D2!$H$2:$H$1001,$AQ219)),IF($AR219&lt;&gt;"",IF(INDEX(Raw_D3!$P$2:$P$1001,$AR219)="","",INDEX(Raw_D3!$P$2:$P$1001,$AR219)),"")))</f>
        <v>188</v>
      </c>
      <c r="Q219" s="5" t="str">
        <f>IF($A219="","",IF(AND($AP219&lt;&gt;"",$AQ219&lt;&gt;""),"D1+D2",IF($AR219&lt;&gt;"","D3","Incomplete")))</f>
        <v>D1+D2</v>
      </c>
      <c r="R219" s="17">
        <f>IF($A219="","",IF($K219="",IF($J219="","",ROUND(Lookups!$K$5+Lookups!$K$4*$J219,4)),$K219))</f>
        <v>0.1212</v>
      </c>
      <c r="S219" s="5" t="str">
        <f>IF($A219="","",IF($K219="","Imputed","Original"))</f>
        <v>Original</v>
      </c>
      <c r="T219" s="5" t="str">
        <f>IF($A219="","",IF($P219="","Missing",IF($P219=$N219+$O219,"OK","Mismatch")))</f>
        <v>OK</v>
      </c>
      <c r="U219" s="5" t="str">
        <f>IF($A219="","",IF(COUNTIF($A$2:$A219,$A219)&gt;1,"Duplicate","Unique"))</f>
        <v>Unique</v>
      </c>
      <c r="V219" s="5">
        <f>IF($A219="","",IF(AND($U219="Unique",ISNUMBER($P219)),1,0))</f>
        <v>1</v>
      </c>
      <c r="W219" s="5" t="str">
        <f>IF($A219="","",IF(OR($H219=0,$H219=6),"Weekend","Weekday"))</f>
        <v>Weekday</v>
      </c>
      <c r="X219" s="5" t="str">
        <f>IF($A219="","",TEXT($B219,"ddd"))</f>
        <v>Mon</v>
      </c>
      <c r="Y219" s="5" t="str">
        <f>IF($A219="","",TEXT($B219,"mmm"))</f>
        <v>Jan</v>
      </c>
      <c r="Z219" s="5" t="str">
        <f>IF($A219="","",IFERROR(VLOOKUP($C219,Lookups!$D$4:$E$7,2,FALSE),"Unknown"))</f>
        <v>Winter</v>
      </c>
      <c r="AA219" s="5" t="str">
        <f>IF($A219="","",IFERROR(VLOOKUP($I219,Lookups!$A$4:$B$7,2,FALSE),"Unknown"))</f>
        <v>Mist/Cloudy</v>
      </c>
      <c r="AB219" s="5" t="str">
        <f>IF($A219="","",TEXT($F219,"00")&amp;":00")</f>
        <v>08:00</v>
      </c>
      <c r="AC219" s="5" t="str">
        <f>IF($A219="","",VLOOKUP($F219,Lookups!$G$4:$H$8,2,TRUE))</f>
        <v>Morning Peak (06-09)</v>
      </c>
      <c r="AD219" s="18">
        <f>IF($A219="","",IF($J219="","",ROUND($J219*41,1)))</f>
        <v>4.9</v>
      </c>
      <c r="AE219" s="18">
        <f>IF($A219="","",IF($R219="","",ROUND($R219*50,1)))</f>
        <v>6.1</v>
      </c>
      <c r="AF219" s="5">
        <f>IF($A219="","",IF($L219="","",ROUND($L219*100,0)))</f>
        <v>50</v>
      </c>
      <c r="AG219" s="18">
        <f>IF($A219="","",IF($M219="","",ROUND($M219*67,1)))</f>
        <v>19</v>
      </c>
      <c r="AH219" s="19">
        <f>IF($A219="","",IF($P219="","",IF($P219=0,0,$O219/$P219)))</f>
        <v>0.978723404255319</v>
      </c>
      <c r="AI219" s="5" t="str">
        <f>IF($A219="","",IF($P219="","",IF($P219&gt;=Lookups!$K$7,"High",IF($P219&lt;=Lookups!$K$8,"Low","Medium"))))</f>
        <v>High</v>
      </c>
      <c r="AJ219" s="5" t="str">
        <f>IF($A219="","",IF($AD219="","",IF($AD219&lt;5,"Under 5 C",IF($AD219&lt;10,"5-10 C",IF($AD219&lt;15,"10-15 C","15 C and above")))))</f>
        <v>Under 5 C</v>
      </c>
      <c r="AK219" s="5">
        <f>IF($A219="","",IF($P219="","",$P219^2))</f>
        <v>35344</v>
      </c>
      <c r="AL219" s="18">
        <f>IF($V219&lt;&gt;1,"",AVERAGEIFS(Clean_Data!$P$2:$P$1001,Clean_Data!$F$2:$F$1001,$F219,Clean_Data!$W$2:$W$1001,$W219,Clean_Data!$V$2:$V$1001,1))</f>
        <v>183.535714285714</v>
      </c>
      <c r="AM219" s="16">
        <f>IF($V219&lt;&gt;1,"",IFERROR(($P219-$AL219)/SQRT(MAX(0,(SUMIFS(Clean_Data!$AK$2:$AK$1001,Clean_Data!$F$2:$F$1001,$F219,Clean_Data!$W$2:$W$1001,$W219,Clean_Data!$V$2:$V$1001,1)-COUNTIFS(Clean_Data!$F$2:$F$1001,$F219,Clean_Data!$W$2:$W$1001,$W219,Clean_Data!$V$2:$V$1001,1)*$AL219^2)/(COUNTIFS(Clean_Data!$F$2:$F$1001,$F219,Clean_Data!$W$2:$W$1001,$W219,Clean_Data!$V$2:$V$1001,1)-1))),""))</f>
        <v>0.0915938093156321</v>
      </c>
      <c r="AN219" s="5" t="str">
        <f>IF($AM219="","",IF($AM219&gt;=Lookups!$K$6,"High spike",IF($AM219&lt;=-Lookups!$K$6,"Unusual low","Normal")))</f>
        <v>Normal</v>
      </c>
      <c r="AO219" s="20">
        <f>IF($V219&lt;&gt;1,"",$P219+ROW()/100000)</f>
        <v>188.00219</v>
      </c>
      <c r="AP219" s="5">
        <f>IF($A219="","",IFERROR(MATCH($A219,Raw_D1!$A$2:$A$1001,0),""))</f>
        <v>218</v>
      </c>
      <c r="AQ219" s="5">
        <f>IF($A219="","",IFERROR(MATCH($A219,Raw_D2!$B$2:$B$1001,0),""))</f>
        <v>218</v>
      </c>
      <c r="AR219" s="5">
        <f>IF($A219="","",IFERROR(MATCH($A219,Raw_D3!$A$2:$A$1001,0),""))</f>
        <v/>
      </c>
    </row>
    <row r="220" spans="1:44" x14ac:dyDescent="0.25">
      <c r="A220" s="5">
        <v>219</v>
      </c>
      <c r="B220" s="11">
        <f>IF($A220="","",IF($AP220&lt;&gt;"",INDEX(Raw_D1!$B$2:$B$1001,$AP220),IF($AR220&lt;&gt;"",INDEX(Raw_D3!$B$2:$B$1001,$AR220),"")))</f>
        <v>40553.0</v>
      </c>
      <c r="C220" s="5">
        <f>IF($A220="","",IF($AP220&lt;&gt;"",INDEX(Raw_D1!$C$2:$C$1001,$AP220),IF($AR220&lt;&gt;"",INDEX(Raw_D3!$C$2:$C$1001,$AR220),"")))</f>
        <v>1</v>
      </c>
      <c r="D220" s="5">
        <f>IF($A220="","",IF($AP220&lt;&gt;"",INDEX(Raw_D1!$D$2:$D$1001,$AP220),IF($AR220&lt;&gt;"",INDEX(Raw_D3!$D$2:$D$1001,$AR220),"")))</f>
        <v>0</v>
      </c>
      <c r="E220" s="5">
        <f>IF($A220="","",IF($AP220&lt;&gt;"",INDEX(Raw_D1!$E$2:$E$1001,$AP220),IF($AR220&lt;&gt;"",INDEX(Raw_D3!$E$2:$E$1001,$AR220),"")))</f>
        <v>1</v>
      </c>
      <c r="F220" s="5">
        <f>IF($A220="","",IF($AP220&lt;&gt;"",INDEX(Raw_D1!$F$2:$F$1001,$AP220),IF($AR220&lt;&gt;"",INDEX(Raw_D3!$F$2:$F$1001,$AR220),"")))</f>
        <v>9</v>
      </c>
      <c r="G220" s="5">
        <f>IF($A220="","",IF($AP220&lt;&gt;"",IF(INDEX(Raw_D1!$G$2:$G$1001,$AP220),1,0),IF($AR220&lt;&gt;"",IF(INDEX(Raw_D3!$G$2:$G$1001,$AR220),1,0),"")))</f>
        <v>0</v>
      </c>
      <c r="H220" s="5">
        <f>IF($A220="","",IF($AP220&lt;&gt;"",INDEX(Raw_D1!$H$2:$H$1001,$AP220),IF($AR220&lt;&gt;"",INDEX(Raw_D3!$H$2:$H$1001,$AR220),"")))</f>
        <v>1</v>
      </c>
      <c r="I220" s="5">
        <f>IF($A220="","",IF($AP220&lt;&gt;"",INDEX(Raw_D1!$I$2:$I$1001,$AP220),IF($AR220&lt;&gt;"",INDEX(Raw_D3!$I$2:$I$1001,$AR220),"")))</f>
        <v>2</v>
      </c>
      <c r="J220" s="16">
        <f>IF($A220="","",IF($AP220&lt;&gt;"",INDEX(Raw_D1!$J$2:$J$1001,$AP220),IF($AR220&lt;&gt;"",INDEX(Raw_D3!$J$2:$J$1001,$AR220),"")))</f>
        <v>0.14</v>
      </c>
      <c r="K220" s="17">
        <f>IF($A220="","",IF($AQ220&lt;&gt;"",IF(INDEX(Raw_D2!$C$2:$C$1001,$AQ220)="","",INDEX(Raw_D2!$C$2:$C$1001,$AQ220)),IF($AR220&lt;&gt;"",IF(INDEX(Raw_D3!$K$2:$K$1001,$AR220)="","",INDEX(Raw_D3!$K$2:$K$1001,$AR220)),"")))</f>
        <v>0.1212</v>
      </c>
      <c r="L220" s="16">
        <f>IF($A220="","",IF($AQ220&lt;&gt;"",IF(INDEX(Raw_D2!$D$2:$D$1001,$AQ220)="","",INDEX(Raw_D2!$D$2:$D$1001,$AQ220)),IF($AR220&lt;&gt;"",IF(INDEX(Raw_D3!$L$2:$L$1001,$AR220)="","",INDEX(Raw_D3!$L$2:$L$1001,$AR220)),"")))</f>
        <v>0.5</v>
      </c>
      <c r="M220" s="17">
        <f>IF($A220="","",IF($AQ220&lt;&gt;"",IF(INDEX(Raw_D2!$E$2:$E$1001,$AQ220)="","",INDEX(Raw_D2!$E$2:$E$1001,$AQ220)),IF($AR220&lt;&gt;"",IF(INDEX(Raw_D3!$M$2:$M$1001,$AR220)="","",INDEX(Raw_D3!$M$2:$M$1001,$AR220)),"")))</f>
        <v>0.2537</v>
      </c>
      <c r="N220" s="5">
        <f>IF($A220="","",IF($AQ220&lt;&gt;"",IF(INDEX(Raw_D2!$F$2:$F$1001,$AQ220)="","",INDEX(Raw_D2!$F$2:$F$1001,$AQ220)),IF($AR220&lt;&gt;"",IF(INDEX(Raw_D3!$N$2:$N$1001,$AR220)="","",INDEX(Raw_D3!$N$2:$N$1001,$AR220)),"")))</f>
        <v>2</v>
      </c>
      <c r="O220" s="5">
        <f>IF($A220="","",IF($AQ220&lt;&gt;"",IF(INDEX(Raw_D2!$G$2:$G$1001,$AQ220)="","",INDEX(Raw_D2!$G$2:$G$1001,$AQ220)),IF($AR220&lt;&gt;"",IF(INDEX(Raw_D3!$O$2:$O$1001,$AR220)="","",INDEX(Raw_D3!$O$2:$O$1001,$AR220)),"")))</f>
        <v>92</v>
      </c>
      <c r="P220" s="5">
        <f>IF($A220="","",IF($AQ220&lt;&gt;"",IF(INDEX(Raw_D2!$H$2:$H$1001,$AQ220)="","",INDEX(Raw_D2!$H$2:$H$1001,$AQ220)),IF($AR220&lt;&gt;"",IF(INDEX(Raw_D3!$P$2:$P$1001,$AR220)="","",INDEX(Raw_D3!$P$2:$P$1001,$AR220)),"")))</f>
        <v>94</v>
      </c>
      <c r="Q220" s="5" t="str">
        <f>IF($A220="","",IF(AND($AP220&lt;&gt;"",$AQ220&lt;&gt;""),"D1+D2",IF($AR220&lt;&gt;"","D3","Incomplete")))</f>
        <v>D1+D2</v>
      </c>
      <c r="R220" s="17">
        <f>IF($A220="","",IF($K220="",IF($J220="","",ROUND(Lookups!$K$5+Lookups!$K$4*$J220,4)),$K220))</f>
        <v>0.1212</v>
      </c>
      <c r="S220" s="5" t="str">
        <f>IF($A220="","",IF($K220="","Imputed","Original"))</f>
        <v>Original</v>
      </c>
      <c r="T220" s="5" t="str">
        <f>IF($A220="","",IF($P220="","Missing",IF($P220=$N220+$O220,"OK","Mismatch")))</f>
        <v>OK</v>
      </c>
      <c r="U220" s="5" t="str">
        <f>IF($A220="","",IF(COUNTIF($A$2:$A220,$A220)&gt;1,"Duplicate","Unique"))</f>
        <v>Unique</v>
      </c>
      <c r="V220" s="5">
        <f>IF($A220="","",IF(AND($U220="Unique",ISNUMBER($P220)),1,0))</f>
        <v>1</v>
      </c>
      <c r="W220" s="5" t="str">
        <f>IF($A220="","",IF(OR($H220=0,$H220=6),"Weekend","Weekday"))</f>
        <v>Weekday</v>
      </c>
      <c r="X220" s="5" t="str">
        <f>IF($A220="","",TEXT($B220,"ddd"))</f>
        <v>Mon</v>
      </c>
      <c r="Y220" s="5" t="str">
        <f>IF($A220="","",TEXT($B220,"mmm"))</f>
        <v>Jan</v>
      </c>
      <c r="Z220" s="5" t="str">
        <f>IF($A220="","",IFERROR(VLOOKUP($C220,Lookups!$D$4:$E$7,2,FALSE),"Unknown"))</f>
        <v>Winter</v>
      </c>
      <c r="AA220" s="5" t="str">
        <f>IF($A220="","",IFERROR(VLOOKUP($I220,Lookups!$A$4:$B$7,2,FALSE),"Unknown"))</f>
        <v>Mist/Cloudy</v>
      </c>
      <c r="AB220" s="5" t="str">
        <f>IF($A220="","",TEXT($F220,"00")&amp;":00")</f>
        <v>09:00</v>
      </c>
      <c r="AC220" s="5" t="str">
        <f>IF($A220="","",VLOOKUP($F220,Lookups!$G$4:$H$8,2,TRUE))</f>
        <v>Morning Peak (06-09)</v>
      </c>
      <c r="AD220" s="18">
        <f>IF($A220="","",IF($J220="","",ROUND($J220*41,1)))</f>
        <v>5.7</v>
      </c>
      <c r="AE220" s="18">
        <f>IF($A220="","",IF($R220="","",ROUND($R220*50,1)))</f>
        <v>6.1</v>
      </c>
      <c r="AF220" s="5">
        <f>IF($A220="","",IF($L220="","",ROUND($L220*100,0)))</f>
        <v>50</v>
      </c>
      <c r="AG220" s="18">
        <f>IF($A220="","",IF($M220="","",ROUND($M220*67,1)))</f>
        <v>17</v>
      </c>
      <c r="AH220" s="19">
        <f>IF($A220="","",IF($P220="","",IF($P220=0,0,$O220/$P220)))</f>
        <v>0.978723404255319</v>
      </c>
      <c r="AI220" s="5" t="str">
        <f>IF($A220="","",IF($P220="","",IF($P220&gt;=Lookups!$K$7,"High",IF($P220&lt;=Lookups!$K$8,"Low","Medium"))))</f>
        <v>High</v>
      </c>
      <c r="AJ220" s="5" t="str">
        <f>IF($A220="","",IF($AD220="","",IF($AD220&lt;5,"Under 5 C",IF($AD220&lt;10,"5-10 C",IF($AD220&lt;15,"10-15 C","15 C and above")))))</f>
        <v>5-10 C</v>
      </c>
      <c r="AK220" s="5">
        <f>IF($A220="","",IF($P220="","",$P220^2))</f>
        <v>8836</v>
      </c>
      <c r="AL220" s="18">
        <f>IF($V220&lt;&gt;1,"",AVERAGEIFS(Clean_Data!$P$2:$P$1001,Clean_Data!$F$2:$F$1001,$F220,Clean_Data!$W$2:$W$1001,$W220,Clean_Data!$V$2:$V$1001,1))</f>
        <v>115.678571428571</v>
      </c>
      <c r="AM220" s="16">
        <f>IF($V220&lt;&gt;1,"",IFERROR(($P220-$AL220)/SQRT(MAX(0,(SUMIFS(Clean_Data!$AK$2:$AK$1001,Clean_Data!$F$2:$F$1001,$F220,Clean_Data!$W$2:$W$1001,$W220,Clean_Data!$V$2:$V$1001,1)-COUNTIFS(Clean_Data!$F$2:$F$1001,$F220,Clean_Data!$W$2:$W$1001,$W220,Clean_Data!$V$2:$V$1001,1)*$AL220^2)/(COUNTIFS(Clean_Data!$F$2:$F$1001,$F220,Clean_Data!$W$2:$W$1001,$W220,Clean_Data!$V$2:$V$1001,1)-1))),""))</f>
        <v>-0.840960928916802</v>
      </c>
      <c r="AN220" s="5" t="str">
        <f>IF($AM220="","",IF($AM220&gt;=Lookups!$K$6,"High spike",IF($AM220&lt;=-Lookups!$K$6,"Unusual low","Normal")))</f>
        <v>Normal</v>
      </c>
      <c r="AO220" s="20">
        <f>IF($V220&lt;&gt;1,"",$P220+ROW()/100000)</f>
        <v>94.0022</v>
      </c>
      <c r="AP220" s="5">
        <f>IF($A220="","",IFERROR(MATCH($A220,Raw_D1!$A$2:$A$1001,0),""))</f>
        <v>219</v>
      </c>
      <c r="AQ220" s="5">
        <f>IF($A220="","",IFERROR(MATCH($A220,Raw_D2!$B$2:$B$1001,0),""))</f>
        <v>219</v>
      </c>
      <c r="AR220" s="5">
        <f>IF($A220="","",IFERROR(MATCH($A220,Raw_D3!$A$2:$A$1001,0),""))</f>
        <v/>
      </c>
    </row>
    <row r="221" spans="1:44" x14ac:dyDescent="0.25">
      <c r="A221" s="5">
        <v>220</v>
      </c>
      <c r="B221" s="11">
        <f>IF($A221="","",IF($AP221&lt;&gt;"",INDEX(Raw_D1!$B$2:$B$1001,$AP221),IF($AR221&lt;&gt;"",INDEX(Raw_D3!$B$2:$B$1001,$AR221),"")))</f>
        <v>40553.0</v>
      </c>
      <c r="C221" s="5">
        <f>IF($A221="","",IF($AP221&lt;&gt;"",INDEX(Raw_D1!$C$2:$C$1001,$AP221),IF($AR221&lt;&gt;"",INDEX(Raw_D3!$C$2:$C$1001,$AR221),"")))</f>
        <v>1</v>
      </c>
      <c r="D221" s="5">
        <f>IF($A221="","",IF($AP221&lt;&gt;"",INDEX(Raw_D1!$D$2:$D$1001,$AP221),IF($AR221&lt;&gt;"",INDEX(Raw_D3!$D$2:$D$1001,$AR221),"")))</f>
        <v>0</v>
      </c>
      <c r="E221" s="5">
        <f>IF($A221="","",IF($AP221&lt;&gt;"",INDEX(Raw_D1!$E$2:$E$1001,$AP221),IF($AR221&lt;&gt;"",INDEX(Raw_D3!$E$2:$E$1001,$AR221),"")))</f>
        <v>1</v>
      </c>
      <c r="F221" s="5">
        <f>IF($A221="","",IF($AP221&lt;&gt;"",INDEX(Raw_D1!$F$2:$F$1001,$AP221),IF($AR221&lt;&gt;"",INDEX(Raw_D3!$F$2:$F$1001,$AR221),"")))</f>
        <v>10</v>
      </c>
      <c r="G221" s="5">
        <f>IF($A221="","",IF($AP221&lt;&gt;"",IF(INDEX(Raw_D1!$G$2:$G$1001,$AP221),1,0),IF($AR221&lt;&gt;"",IF(INDEX(Raw_D3!$G$2:$G$1001,$AR221),1,0),"")))</f>
        <v>0</v>
      </c>
      <c r="H221" s="5">
        <f>IF($A221="","",IF($AP221&lt;&gt;"",INDEX(Raw_D1!$H$2:$H$1001,$AP221),IF($AR221&lt;&gt;"",INDEX(Raw_D3!$H$2:$H$1001,$AR221),"")))</f>
        <v>1</v>
      </c>
      <c r="I221" s="5">
        <f>IF($A221="","",IF($AP221&lt;&gt;"",INDEX(Raw_D1!$I$2:$I$1001,$AP221),IF($AR221&lt;&gt;"",INDEX(Raw_D3!$I$2:$I$1001,$AR221),"")))</f>
        <v>2</v>
      </c>
      <c r="J221" s="16">
        <f>IF($A221="","",IF($AP221&lt;&gt;"",INDEX(Raw_D1!$J$2:$J$1001,$AP221),IF($AR221&lt;&gt;"",INDEX(Raw_D3!$J$2:$J$1001,$AR221),"")))</f>
        <v>0.14</v>
      </c>
      <c r="K221" s="17">
        <f>IF($A221="","",IF($AQ221&lt;&gt;"",IF(INDEX(Raw_D2!$C$2:$C$1001,$AQ221)="","",INDEX(Raw_D2!$C$2:$C$1001,$AQ221)),IF($AR221&lt;&gt;"",IF(INDEX(Raw_D3!$K$2:$K$1001,$AR221)="","",INDEX(Raw_D3!$K$2:$K$1001,$AR221)),"")))</f>
        <v>0.1212</v>
      </c>
      <c r="L221" s="16">
        <f>IF($A221="","",IF($AQ221&lt;&gt;"",IF(INDEX(Raw_D2!$D$2:$D$1001,$AQ221)="","",INDEX(Raw_D2!$D$2:$D$1001,$AQ221)),IF($AR221&lt;&gt;"",IF(INDEX(Raw_D3!$L$2:$L$1001,$AR221)="","",INDEX(Raw_D3!$L$2:$L$1001,$AR221)),"")))</f>
        <v>0.5</v>
      </c>
      <c r="M221" s="17">
        <f>IF($A221="","",IF($AQ221&lt;&gt;"",IF(INDEX(Raw_D2!$E$2:$E$1001,$AQ221)="","",INDEX(Raw_D2!$E$2:$E$1001,$AQ221)),IF($AR221&lt;&gt;"",IF(INDEX(Raw_D3!$M$2:$M$1001,$AR221)="","",INDEX(Raw_D3!$M$2:$M$1001,$AR221)),"")))</f>
        <v>0.2985</v>
      </c>
      <c r="N221" s="5">
        <f>IF($A221="","",IF($AQ221&lt;&gt;"",IF(INDEX(Raw_D2!$F$2:$F$1001,$AQ221)="","",INDEX(Raw_D2!$F$2:$F$1001,$AQ221)),IF($AR221&lt;&gt;"",IF(INDEX(Raw_D3!$N$2:$N$1001,$AR221)="","",INDEX(Raw_D3!$N$2:$N$1001,$AR221)),"")))</f>
        <v>0</v>
      </c>
      <c r="O221" s="5">
        <f>IF($A221="","",IF($AQ221&lt;&gt;"",IF(INDEX(Raw_D2!$G$2:$G$1001,$AQ221)="","",INDEX(Raw_D2!$G$2:$G$1001,$AQ221)),IF($AR221&lt;&gt;"",IF(INDEX(Raw_D3!$O$2:$O$1001,$AR221)="","",INDEX(Raw_D3!$O$2:$O$1001,$AR221)),"")))</f>
        <v>31</v>
      </c>
      <c r="P221" s="5">
        <f>IF($A221="","",IF($AQ221&lt;&gt;"",IF(INDEX(Raw_D2!$H$2:$H$1001,$AQ221)="","",INDEX(Raw_D2!$H$2:$H$1001,$AQ221)),IF($AR221&lt;&gt;"",IF(INDEX(Raw_D3!$P$2:$P$1001,$AR221)="","",INDEX(Raw_D3!$P$2:$P$1001,$AR221)),"")))</f>
        <v>31</v>
      </c>
      <c r="Q221" s="5" t="str">
        <f>IF($A221="","",IF(AND($AP221&lt;&gt;"",$AQ221&lt;&gt;""),"D1+D2",IF($AR221&lt;&gt;"","D3","Incomplete")))</f>
        <v>D1+D2</v>
      </c>
      <c r="R221" s="17">
        <f>IF($A221="","",IF($K221="",IF($J221="","",ROUND(Lookups!$K$5+Lookups!$K$4*$J221,4)),$K221))</f>
        <v>0.1212</v>
      </c>
      <c r="S221" s="5" t="str">
        <f>IF($A221="","",IF($K221="","Imputed","Original"))</f>
        <v>Original</v>
      </c>
      <c r="T221" s="5" t="str">
        <f>IF($A221="","",IF($P221="","Missing",IF($P221=$N221+$O221,"OK","Mismatch")))</f>
        <v>OK</v>
      </c>
      <c r="U221" s="5" t="str">
        <f>IF($A221="","",IF(COUNTIF($A$2:$A221,$A221)&gt;1,"Duplicate","Unique"))</f>
        <v>Unique</v>
      </c>
      <c r="V221" s="5">
        <f>IF($A221="","",IF(AND($U221="Unique",ISNUMBER($P221)),1,0))</f>
        <v>1</v>
      </c>
      <c r="W221" s="5" t="str">
        <f>IF($A221="","",IF(OR($H221=0,$H221=6),"Weekend","Weekday"))</f>
        <v>Weekday</v>
      </c>
      <c r="X221" s="5" t="str">
        <f>IF($A221="","",TEXT($B221,"ddd"))</f>
        <v>Mon</v>
      </c>
      <c r="Y221" s="5" t="str">
        <f>IF($A221="","",TEXT($B221,"mmm"))</f>
        <v>Jan</v>
      </c>
      <c r="Z221" s="5" t="str">
        <f>IF($A221="","",IFERROR(VLOOKUP($C221,Lookups!$D$4:$E$7,2,FALSE),"Unknown"))</f>
        <v>Winter</v>
      </c>
      <c r="AA221" s="5" t="str">
        <f>IF($A221="","",IFERROR(VLOOKUP($I221,Lookups!$A$4:$B$7,2,FALSE),"Unknown"))</f>
        <v>Mist/Cloudy</v>
      </c>
      <c r="AB221" s="5" t="str">
        <f>IF($A221="","",TEXT($F221,"00")&amp;":00")</f>
        <v>10:00</v>
      </c>
      <c r="AC221" s="5" t="str">
        <f>IF($A221="","",VLOOKUP($F221,Lookups!$G$4:$H$8,2,TRUE))</f>
        <v>Midday (10-15)</v>
      </c>
      <c r="AD221" s="18">
        <f>IF($A221="","",IF($J221="","",ROUND($J221*41,1)))</f>
        <v>5.7</v>
      </c>
      <c r="AE221" s="18">
        <f>IF($A221="","",IF($R221="","",ROUND($R221*50,1)))</f>
        <v>6.1</v>
      </c>
      <c r="AF221" s="5">
        <f>IF($A221="","",IF($L221="","",ROUND($L221*100,0)))</f>
        <v>50</v>
      </c>
      <c r="AG221" s="18">
        <f>IF($A221="","",IF($M221="","",ROUND($M221*67,1)))</f>
        <v>20</v>
      </c>
      <c r="AH221" s="19">
        <f>IF($A221="","",IF($P221="","",IF($P221=0,0,$O221/$P221)))</f>
        <v>1</v>
      </c>
      <c r="AI221" s="5" t="str">
        <f>IF($A221="","",IF($P221="","",IF($P221&gt;=Lookups!$K$7,"High",IF($P221&lt;=Lookups!$K$8,"Low","Medium"))))</f>
        <v>Medium</v>
      </c>
      <c r="AJ221" s="5" t="str">
        <f>IF($A221="","",IF($AD221="","",IF($AD221&lt;5,"Under 5 C",IF($AD221&lt;10,"5-10 C",IF($AD221&lt;15,"10-15 C","15 C and above")))))</f>
        <v>5-10 C</v>
      </c>
      <c r="AK221" s="5">
        <f>IF($A221="","",IF($P221="","",$P221^2))</f>
        <v>961</v>
      </c>
      <c r="AL221" s="18">
        <f>IF($V221&lt;&gt;1,"",AVERAGEIFS(Clean_Data!$P$2:$P$1001,Clean_Data!$F$2:$F$1001,$F221,Clean_Data!$W$2:$W$1001,$W221,Clean_Data!$V$2:$V$1001,1))</f>
        <v>49.0714285714286</v>
      </c>
      <c r="AM221" s="16">
        <f>IF($V221&lt;&gt;1,"",IFERROR(($P221-$AL221)/SQRT(MAX(0,(SUMIFS(Clean_Data!$AK$2:$AK$1001,Clean_Data!$F$2:$F$1001,$F221,Clean_Data!$W$2:$W$1001,$W221,Clean_Data!$V$2:$V$1001,1)-COUNTIFS(Clean_Data!$F$2:$F$1001,$F221,Clean_Data!$W$2:$W$1001,$W221,Clean_Data!$V$2:$V$1001,1)*$AL221^2)/(COUNTIFS(Clean_Data!$F$2:$F$1001,$F221,Clean_Data!$W$2:$W$1001,$W221,Clean_Data!$V$2:$V$1001,1)-1))),""))</f>
        <v>-1.79068543562316</v>
      </c>
      <c r="AN221" s="5" t="str">
        <f>IF($AM221="","",IF($AM221&gt;=Lookups!$K$6,"High spike",IF($AM221&lt;=-Lookups!$K$6,"Unusual low","Normal")))</f>
        <v>Normal</v>
      </c>
      <c r="AO221" s="20">
        <f>IF($V221&lt;&gt;1,"",$P221+ROW()/100000)</f>
        <v>31.00221</v>
      </c>
      <c r="AP221" s="5">
        <f>IF($A221="","",IFERROR(MATCH($A221,Raw_D1!$A$2:$A$1001,0),""))</f>
        <v>220</v>
      </c>
      <c r="AQ221" s="5">
        <f>IF($A221="","",IFERROR(MATCH($A221,Raw_D2!$B$2:$B$1001,0),""))</f>
        <v>220</v>
      </c>
      <c r="AR221" s="5">
        <f>IF($A221="","",IFERROR(MATCH($A221,Raw_D3!$A$2:$A$1001,0),""))</f>
        <v/>
      </c>
    </row>
    <row r="222" spans="1:44" x14ac:dyDescent="0.25">
      <c r="A222" s="5">
        <v>221</v>
      </c>
      <c r="B222" s="11">
        <f>IF($A222="","",IF($AP222&lt;&gt;"",INDEX(Raw_D1!$B$2:$B$1001,$AP222),IF($AR222&lt;&gt;"",INDEX(Raw_D3!$B$2:$B$1001,$AR222),"")))</f>
        <v>40553.0</v>
      </c>
      <c r="C222" s="5">
        <f>IF($A222="","",IF($AP222&lt;&gt;"",INDEX(Raw_D1!$C$2:$C$1001,$AP222),IF($AR222&lt;&gt;"",INDEX(Raw_D3!$C$2:$C$1001,$AR222),"")))</f>
        <v>1</v>
      </c>
      <c r="D222" s="5">
        <f>IF($A222="","",IF($AP222&lt;&gt;"",INDEX(Raw_D1!$D$2:$D$1001,$AP222),IF($AR222&lt;&gt;"",INDEX(Raw_D3!$D$2:$D$1001,$AR222),"")))</f>
        <v>0</v>
      </c>
      <c r="E222" s="5">
        <f>IF($A222="","",IF($AP222&lt;&gt;"",INDEX(Raw_D1!$E$2:$E$1001,$AP222),IF($AR222&lt;&gt;"",INDEX(Raw_D3!$E$2:$E$1001,$AR222),"")))</f>
        <v>1</v>
      </c>
      <c r="F222" s="5">
        <f>IF($A222="","",IF($AP222&lt;&gt;"",INDEX(Raw_D1!$F$2:$F$1001,$AP222),IF($AR222&lt;&gt;"",INDEX(Raw_D3!$F$2:$F$1001,$AR222),"")))</f>
        <v>11</v>
      </c>
      <c r="G222" s="5">
        <f>IF($A222="","",IF($AP222&lt;&gt;"",IF(INDEX(Raw_D1!$G$2:$G$1001,$AP222),1,0),IF($AR222&lt;&gt;"",IF(INDEX(Raw_D3!$G$2:$G$1001,$AR222),1,0),"")))</f>
        <v>0</v>
      </c>
      <c r="H222" s="5">
        <f>IF($A222="","",IF($AP222&lt;&gt;"",INDEX(Raw_D1!$H$2:$H$1001,$AP222),IF($AR222&lt;&gt;"",INDEX(Raw_D3!$H$2:$H$1001,$AR222),"")))</f>
        <v>1</v>
      </c>
      <c r="I222" s="5">
        <f>IF($A222="","",IF($AP222&lt;&gt;"",INDEX(Raw_D1!$I$2:$I$1001,$AP222),IF($AR222&lt;&gt;"",INDEX(Raw_D3!$I$2:$I$1001,$AR222),"")))</f>
        <v>2</v>
      </c>
      <c r="J222" s="16">
        <f>IF($A222="","",IF($AP222&lt;&gt;"",INDEX(Raw_D1!$J$2:$J$1001,$AP222),IF($AR222&lt;&gt;"",INDEX(Raw_D3!$J$2:$J$1001,$AR222),"")))</f>
        <v>0.16</v>
      </c>
      <c r="K222" s="17">
        <f>IF($A222="","",IF($AQ222&lt;&gt;"",IF(INDEX(Raw_D2!$C$2:$C$1001,$AQ222)="","",INDEX(Raw_D2!$C$2:$C$1001,$AQ222)),IF($AR222&lt;&gt;"",IF(INDEX(Raw_D3!$K$2:$K$1001,$AR222)="","",INDEX(Raw_D3!$K$2:$K$1001,$AR222)),"")))</f>
        <v>0.1364</v>
      </c>
      <c r="L222" s="16">
        <f>IF($A222="","",IF($AQ222&lt;&gt;"",IF(INDEX(Raw_D2!$D$2:$D$1001,$AQ222)="","",INDEX(Raw_D2!$D$2:$D$1001,$AQ222)),IF($AR222&lt;&gt;"",IF(INDEX(Raw_D3!$L$2:$L$1001,$AR222)="","",INDEX(Raw_D3!$L$2:$L$1001,$AR222)),"")))</f>
        <v>0.47</v>
      </c>
      <c r="M222" s="17">
        <f>IF($A222="","",IF($AQ222&lt;&gt;"",IF(INDEX(Raw_D2!$E$2:$E$1001,$AQ222)="","",INDEX(Raw_D2!$E$2:$E$1001,$AQ222)),IF($AR222&lt;&gt;"",IF(INDEX(Raw_D3!$M$2:$M$1001,$AR222)="","",INDEX(Raw_D3!$M$2:$M$1001,$AR222)),"")))</f>
        <v>0.2836</v>
      </c>
      <c r="N222" s="5">
        <f>IF($A222="","",IF($AQ222&lt;&gt;"",IF(INDEX(Raw_D2!$F$2:$F$1001,$AQ222)="","",INDEX(Raw_D2!$F$2:$F$1001,$AQ222)),IF($AR222&lt;&gt;"",IF(INDEX(Raw_D3!$N$2:$N$1001,$AR222)="","",INDEX(Raw_D3!$N$2:$N$1001,$AR222)),"")))</f>
        <v>2</v>
      </c>
      <c r="O222" s="5">
        <f>IF($A222="","",IF($AQ222&lt;&gt;"",IF(INDEX(Raw_D2!$G$2:$G$1001,$AQ222)="","",INDEX(Raw_D2!$G$2:$G$1001,$AQ222)),IF($AR222&lt;&gt;"",IF(INDEX(Raw_D3!$O$2:$O$1001,$AR222)="","",INDEX(Raw_D3!$O$2:$O$1001,$AR222)),"")))</f>
        <v>28</v>
      </c>
      <c r="P222" s="5">
        <f>IF($A222="","",IF($AQ222&lt;&gt;"",IF(INDEX(Raw_D2!$H$2:$H$1001,$AQ222)="","",INDEX(Raw_D2!$H$2:$H$1001,$AQ222)),IF($AR222&lt;&gt;"",IF(INDEX(Raw_D3!$P$2:$P$1001,$AR222)="","",INDEX(Raw_D3!$P$2:$P$1001,$AR222)),"")))</f>
        <v>30</v>
      </c>
      <c r="Q222" s="5" t="str">
        <f>IF($A222="","",IF(AND($AP222&lt;&gt;"",$AQ222&lt;&gt;""),"D1+D2",IF($AR222&lt;&gt;"","D3","Incomplete")))</f>
        <v>D1+D2</v>
      </c>
      <c r="R222" s="17">
        <f>IF($A222="","",IF($K222="",IF($J222="","",ROUND(Lookups!$K$5+Lookups!$K$4*$J222,4)),$K222))</f>
        <v>0.1364</v>
      </c>
      <c r="S222" s="5" t="str">
        <f>IF($A222="","",IF($K222="","Imputed","Original"))</f>
        <v>Original</v>
      </c>
      <c r="T222" s="5" t="str">
        <f>IF($A222="","",IF($P222="","Missing",IF($P222=$N222+$O222,"OK","Mismatch")))</f>
        <v>OK</v>
      </c>
      <c r="U222" s="5" t="str">
        <f>IF($A222="","",IF(COUNTIF($A$2:$A222,$A222)&gt;1,"Duplicate","Unique"))</f>
        <v>Unique</v>
      </c>
      <c r="V222" s="5">
        <f>IF($A222="","",IF(AND($U222="Unique",ISNUMBER($P222)),1,0))</f>
        <v>1</v>
      </c>
      <c r="W222" s="5" t="str">
        <f>IF($A222="","",IF(OR($H222=0,$H222=6),"Weekend","Weekday"))</f>
        <v>Weekday</v>
      </c>
      <c r="X222" s="5" t="str">
        <f>IF($A222="","",TEXT($B222,"ddd"))</f>
        <v>Mon</v>
      </c>
      <c r="Y222" s="5" t="str">
        <f>IF($A222="","",TEXT($B222,"mmm"))</f>
        <v>Jan</v>
      </c>
      <c r="Z222" s="5" t="str">
        <f>IF($A222="","",IFERROR(VLOOKUP($C222,Lookups!$D$4:$E$7,2,FALSE),"Unknown"))</f>
        <v>Winter</v>
      </c>
      <c r="AA222" s="5" t="str">
        <f>IF($A222="","",IFERROR(VLOOKUP($I222,Lookups!$A$4:$B$7,2,FALSE),"Unknown"))</f>
        <v>Mist/Cloudy</v>
      </c>
      <c r="AB222" s="5" t="str">
        <f>IF($A222="","",TEXT($F222,"00")&amp;":00")</f>
        <v>11:00</v>
      </c>
      <c r="AC222" s="5" t="str">
        <f>IF($A222="","",VLOOKUP($F222,Lookups!$G$4:$H$8,2,TRUE))</f>
        <v>Midday (10-15)</v>
      </c>
      <c r="AD222" s="18">
        <f>IF($A222="","",IF($J222="","",ROUND($J222*41,1)))</f>
        <v>6.6</v>
      </c>
      <c r="AE222" s="18">
        <f>IF($A222="","",IF($R222="","",ROUND($R222*50,1)))</f>
        <v>6.8</v>
      </c>
      <c r="AF222" s="5">
        <f>IF($A222="","",IF($L222="","",ROUND($L222*100,0)))</f>
        <v>47</v>
      </c>
      <c r="AG222" s="18">
        <f>IF($A222="","",IF($M222="","",ROUND($M222*67,1)))</f>
        <v>19</v>
      </c>
      <c r="AH222" s="19">
        <f>IF($A222="","",IF($P222="","",IF($P222=0,0,$O222/$P222)))</f>
        <v>0.933333333333333</v>
      </c>
      <c r="AI222" s="5" t="str">
        <f>IF($A222="","",IF($P222="","",IF($P222&gt;=Lookups!$K$7,"High",IF($P222&lt;=Lookups!$K$8,"Low","Medium"))))</f>
        <v>Medium</v>
      </c>
      <c r="AJ222" s="5" t="str">
        <f>IF($A222="","",IF($AD222="","",IF($AD222&lt;5,"Under 5 C",IF($AD222&lt;10,"5-10 C",IF($AD222&lt;15,"10-15 C","15 C and above")))))</f>
        <v>5-10 C</v>
      </c>
      <c r="AK222" s="5">
        <f>IF($A222="","",IF($P222="","",$P222^2))</f>
        <v>900</v>
      </c>
      <c r="AL222" s="18">
        <f>IF($V222&lt;&gt;1,"",AVERAGEIFS(Clean_Data!$P$2:$P$1001,Clean_Data!$F$2:$F$1001,$F222,Clean_Data!$W$2:$W$1001,$W222,Clean_Data!$V$2:$V$1001,1))</f>
        <v>50.6071428571429</v>
      </c>
      <c r="AM222" s="16">
        <f>IF($V222&lt;&gt;1,"",IFERROR(($P222-$AL222)/SQRT(MAX(0,(SUMIFS(Clean_Data!$AK$2:$AK$1001,Clean_Data!$F$2:$F$1001,$F222,Clean_Data!$W$2:$W$1001,$W222,Clean_Data!$V$2:$V$1001,1)-COUNTIFS(Clean_Data!$F$2:$F$1001,$F222,Clean_Data!$W$2:$W$1001,$W222,Clean_Data!$V$2:$V$1001,1)*$AL222^2)/(COUNTIFS(Clean_Data!$F$2:$F$1001,$F222,Clean_Data!$W$2:$W$1001,$W222,Clean_Data!$V$2:$V$1001,1)-1))),""))</f>
        <v>-1.83943512667083</v>
      </c>
      <c r="AN222" s="5" t="str">
        <f>IF($AM222="","",IF($AM222&gt;=Lookups!$K$6,"High spike",IF($AM222&lt;=-Lookups!$K$6,"Unusual low","Normal")))</f>
        <v>Normal</v>
      </c>
      <c r="AO222" s="20">
        <f>IF($V222&lt;&gt;1,"",$P222+ROW()/100000)</f>
        <v>30.00222</v>
      </c>
      <c r="AP222" s="5">
        <f>IF($A222="","",IFERROR(MATCH($A222,Raw_D1!$A$2:$A$1001,0),""))</f>
        <v>221</v>
      </c>
      <c r="AQ222" s="5">
        <f>IF($A222="","",IFERROR(MATCH($A222,Raw_D2!$B$2:$B$1001,0),""))</f>
        <v>221</v>
      </c>
      <c r="AR222" s="5">
        <f>IF($A222="","",IFERROR(MATCH($A222,Raw_D3!$A$2:$A$1001,0),""))</f>
        <v/>
      </c>
    </row>
    <row r="223" spans="1:44" x14ac:dyDescent="0.25">
      <c r="A223" s="5">
        <v>222</v>
      </c>
      <c r="B223" s="11">
        <f>IF($A223="","",IF($AP223&lt;&gt;"",INDEX(Raw_D1!$B$2:$B$1001,$AP223),IF($AR223&lt;&gt;"",INDEX(Raw_D3!$B$2:$B$1001,$AR223),"")))</f>
        <v>40553.0</v>
      </c>
      <c r="C223" s="5">
        <f>IF($A223="","",IF($AP223&lt;&gt;"",INDEX(Raw_D1!$C$2:$C$1001,$AP223),IF($AR223&lt;&gt;"",INDEX(Raw_D3!$C$2:$C$1001,$AR223),"")))</f>
        <v>1</v>
      </c>
      <c r="D223" s="5">
        <f>IF($A223="","",IF($AP223&lt;&gt;"",INDEX(Raw_D1!$D$2:$D$1001,$AP223),IF($AR223&lt;&gt;"",INDEX(Raw_D3!$D$2:$D$1001,$AR223),"")))</f>
        <v>0</v>
      </c>
      <c r="E223" s="5">
        <f>IF($A223="","",IF($AP223&lt;&gt;"",INDEX(Raw_D1!$E$2:$E$1001,$AP223),IF($AR223&lt;&gt;"",INDEX(Raw_D3!$E$2:$E$1001,$AR223),"")))</f>
        <v>1</v>
      </c>
      <c r="F223" s="5">
        <f>IF($A223="","",IF($AP223&lt;&gt;"",INDEX(Raw_D1!$F$2:$F$1001,$AP223),IF($AR223&lt;&gt;"",INDEX(Raw_D3!$F$2:$F$1001,$AR223),"")))</f>
        <v>12</v>
      </c>
      <c r="G223" s="5">
        <f>IF($A223="","",IF($AP223&lt;&gt;"",IF(INDEX(Raw_D1!$G$2:$G$1001,$AP223),1,0),IF($AR223&lt;&gt;"",IF(INDEX(Raw_D3!$G$2:$G$1001,$AR223),1,0),"")))</f>
        <v>0</v>
      </c>
      <c r="H223" s="5">
        <f>IF($A223="","",IF($AP223&lt;&gt;"",INDEX(Raw_D1!$H$2:$H$1001,$AP223),IF($AR223&lt;&gt;"",INDEX(Raw_D3!$H$2:$H$1001,$AR223),"")))</f>
        <v>1</v>
      </c>
      <c r="I223" s="5">
        <f>IF($A223="","",IF($AP223&lt;&gt;"",INDEX(Raw_D1!$I$2:$I$1001,$AP223),IF($AR223&lt;&gt;"",INDEX(Raw_D3!$I$2:$I$1001,$AR223),"")))</f>
        <v>2</v>
      </c>
      <c r="J223" s="16">
        <f>IF($A223="","",IF($AP223&lt;&gt;"",INDEX(Raw_D1!$J$2:$J$1001,$AP223),IF($AR223&lt;&gt;"",INDEX(Raw_D3!$J$2:$J$1001,$AR223),"")))</f>
        <v>0.2</v>
      </c>
      <c r="K223" s="17">
        <f>IF($A223="","",IF($AQ223&lt;&gt;"",IF(INDEX(Raw_D2!$C$2:$C$1001,$AQ223)="","",INDEX(Raw_D2!$C$2:$C$1001,$AQ223)),IF($AR223&lt;&gt;"",IF(INDEX(Raw_D3!$K$2:$K$1001,$AR223)="","",INDEX(Raw_D3!$K$2:$K$1001,$AR223)),"")))</f>
        <v>0.1818</v>
      </c>
      <c r="L223" s="16">
        <f>IF($A223="","",IF($AQ223&lt;&gt;"",IF(INDEX(Raw_D2!$D$2:$D$1001,$AQ223)="","",INDEX(Raw_D2!$D$2:$D$1001,$AQ223)),IF($AR223&lt;&gt;"",IF(INDEX(Raw_D3!$L$2:$L$1001,$AR223)="","",INDEX(Raw_D3!$L$2:$L$1001,$AR223)),"")))</f>
        <v>0.4</v>
      </c>
      <c r="M223" s="17">
        <f>IF($A223="","",IF($AQ223&lt;&gt;"",IF(INDEX(Raw_D2!$E$2:$E$1001,$AQ223)="","",INDEX(Raw_D2!$E$2:$E$1001,$AQ223)),IF($AR223&lt;&gt;"",IF(INDEX(Raw_D3!$M$2:$M$1001,$AR223)="","",INDEX(Raw_D3!$M$2:$M$1001,$AR223)),"")))</f>
        <v>0.2836</v>
      </c>
      <c r="N223" s="5">
        <f>IF($A223="","",IF($AQ223&lt;&gt;"",IF(INDEX(Raw_D2!$F$2:$F$1001,$AQ223)="","",INDEX(Raw_D2!$F$2:$F$1001,$AQ223)),IF($AR223&lt;&gt;"",IF(INDEX(Raw_D3!$N$2:$N$1001,$AR223)="","",INDEX(Raw_D3!$N$2:$N$1001,$AR223)),"")))</f>
        <v>5</v>
      </c>
      <c r="O223" s="5">
        <f>IF($A223="","",IF($AQ223&lt;&gt;"",IF(INDEX(Raw_D2!$G$2:$G$1001,$AQ223)="","",INDEX(Raw_D2!$G$2:$G$1001,$AQ223)),IF($AR223&lt;&gt;"",IF(INDEX(Raw_D3!$O$2:$O$1001,$AR223)="","",INDEX(Raw_D3!$O$2:$O$1001,$AR223)),"")))</f>
        <v>47</v>
      </c>
      <c r="P223" s="5">
        <f>IF($A223="","",IF($AQ223&lt;&gt;"",IF(INDEX(Raw_D2!$H$2:$H$1001,$AQ223)="","",INDEX(Raw_D2!$H$2:$H$1001,$AQ223)),IF($AR223&lt;&gt;"",IF(INDEX(Raw_D3!$P$2:$P$1001,$AR223)="","",INDEX(Raw_D3!$P$2:$P$1001,$AR223)),"")))</f>
        <v>52</v>
      </c>
      <c r="Q223" s="5" t="str">
        <f>IF($A223="","",IF(AND($AP223&lt;&gt;"",$AQ223&lt;&gt;""),"D1+D2",IF($AR223&lt;&gt;"","D3","Incomplete")))</f>
        <v>D1+D2</v>
      </c>
      <c r="R223" s="17">
        <f>IF($A223="","",IF($K223="",IF($J223="","",ROUND(Lookups!$K$5+Lookups!$K$4*$J223,4)),$K223))</f>
        <v>0.1818</v>
      </c>
      <c r="S223" s="5" t="str">
        <f>IF($A223="","",IF($K223="","Imputed","Original"))</f>
        <v>Original</v>
      </c>
      <c r="T223" s="5" t="str">
        <f>IF($A223="","",IF($P223="","Missing",IF($P223=$N223+$O223,"OK","Mismatch")))</f>
        <v>OK</v>
      </c>
      <c r="U223" s="5" t="str">
        <f>IF($A223="","",IF(COUNTIF($A$2:$A223,$A223)&gt;1,"Duplicate","Unique"))</f>
        <v>Unique</v>
      </c>
      <c r="V223" s="5">
        <f>IF($A223="","",IF(AND($U223="Unique",ISNUMBER($P223)),1,0))</f>
        <v>1</v>
      </c>
      <c r="W223" s="5" t="str">
        <f>IF($A223="","",IF(OR($H223=0,$H223=6),"Weekend","Weekday"))</f>
        <v>Weekday</v>
      </c>
      <c r="X223" s="5" t="str">
        <f>IF($A223="","",TEXT($B223,"ddd"))</f>
        <v>Mon</v>
      </c>
      <c r="Y223" s="5" t="str">
        <f>IF($A223="","",TEXT($B223,"mmm"))</f>
        <v>Jan</v>
      </c>
      <c r="Z223" s="5" t="str">
        <f>IF($A223="","",IFERROR(VLOOKUP($C223,Lookups!$D$4:$E$7,2,FALSE),"Unknown"))</f>
        <v>Winter</v>
      </c>
      <c r="AA223" s="5" t="str">
        <f>IF($A223="","",IFERROR(VLOOKUP($I223,Lookups!$A$4:$B$7,2,FALSE),"Unknown"))</f>
        <v>Mist/Cloudy</v>
      </c>
      <c r="AB223" s="5" t="str">
        <f>IF($A223="","",TEXT($F223,"00")&amp;":00")</f>
        <v>12:00</v>
      </c>
      <c r="AC223" s="5" t="str">
        <f>IF($A223="","",VLOOKUP($F223,Lookups!$G$4:$H$8,2,TRUE))</f>
        <v>Midday (10-15)</v>
      </c>
      <c r="AD223" s="18">
        <f>IF($A223="","",IF($J223="","",ROUND($J223*41,1)))</f>
        <v>8.2</v>
      </c>
      <c r="AE223" s="18">
        <f>IF($A223="","",IF($R223="","",ROUND($R223*50,1)))</f>
        <v>9.1</v>
      </c>
      <c r="AF223" s="5">
        <f>IF($A223="","",IF($L223="","",ROUND($L223*100,0)))</f>
        <v>40</v>
      </c>
      <c r="AG223" s="18">
        <f>IF($A223="","",IF($M223="","",ROUND($M223*67,1)))</f>
        <v>19</v>
      </c>
      <c r="AH223" s="19">
        <f>IF($A223="","",IF($P223="","",IF($P223=0,0,$O223/$P223)))</f>
        <v>0.903846153846154</v>
      </c>
      <c r="AI223" s="5" t="str">
        <f>IF($A223="","",IF($P223="","",IF($P223&gt;=Lookups!$K$7,"High",IF($P223&lt;=Lookups!$K$8,"Low","Medium"))))</f>
        <v>Medium</v>
      </c>
      <c r="AJ223" s="5" t="str">
        <f>IF($A223="","",IF($AD223="","",IF($AD223&lt;5,"Under 5 C",IF($AD223&lt;10,"5-10 C",IF($AD223&lt;15,"10-15 C","15 C and above")))))</f>
        <v>5-10 C</v>
      </c>
      <c r="AK223" s="5">
        <f>IF($A223="","",IF($P223="","",$P223^2))</f>
        <v>2704</v>
      </c>
      <c r="AL223" s="18">
        <f>IF($V223&lt;&gt;1,"",AVERAGEIFS(Clean_Data!$P$2:$P$1001,Clean_Data!$F$2:$F$1001,$F223,Clean_Data!$W$2:$W$1001,$W223,Clean_Data!$V$2:$V$1001,1))</f>
        <v>64.5862068965517</v>
      </c>
      <c r="AM223" s="16">
        <f>IF($V223&lt;&gt;1,"",IFERROR(($P223-$AL223)/SQRT(MAX(0,(SUMIFS(Clean_Data!$AK$2:$AK$1001,Clean_Data!$F$2:$F$1001,$F223,Clean_Data!$W$2:$W$1001,$W223,Clean_Data!$V$2:$V$1001,1)-COUNTIFS(Clean_Data!$F$2:$F$1001,$F223,Clean_Data!$W$2:$W$1001,$W223,Clean_Data!$V$2:$V$1001,1)*$AL223^2)/(COUNTIFS(Clean_Data!$F$2:$F$1001,$F223,Clean_Data!$W$2:$W$1001,$W223,Clean_Data!$V$2:$V$1001,1)-1))),""))</f>
        <v>-0.672040218390355</v>
      </c>
      <c r="AN223" s="5" t="str">
        <f>IF($AM223="","",IF($AM223&gt;=Lookups!$K$6,"High spike",IF($AM223&lt;=-Lookups!$K$6,"Unusual low","Normal")))</f>
        <v>Normal</v>
      </c>
      <c r="AO223" s="20">
        <f>IF($V223&lt;&gt;1,"",$P223+ROW()/100000)</f>
        <v>52.00223</v>
      </c>
      <c r="AP223" s="5">
        <f>IF($A223="","",IFERROR(MATCH($A223,Raw_D1!$A$2:$A$1001,0),""))</f>
        <v>222</v>
      </c>
      <c r="AQ223" s="5">
        <f>IF($A223="","",IFERROR(MATCH($A223,Raw_D2!$B$2:$B$1001,0),""))</f>
        <v>222</v>
      </c>
      <c r="AR223" s="5">
        <f>IF($A223="","",IFERROR(MATCH($A223,Raw_D3!$A$2:$A$1001,0),""))</f>
        <v/>
      </c>
    </row>
    <row r="224" spans="1:44" x14ac:dyDescent="0.25">
      <c r="A224" s="5">
        <v>223</v>
      </c>
      <c r="B224" s="11">
        <f>IF($A224="","",IF($AP224&lt;&gt;"",INDEX(Raw_D1!$B$2:$B$1001,$AP224),IF($AR224&lt;&gt;"",INDEX(Raw_D3!$B$2:$B$1001,$AR224),"")))</f>
        <v>40553.0</v>
      </c>
      <c r="C224" s="5">
        <f>IF($A224="","",IF($AP224&lt;&gt;"",INDEX(Raw_D1!$C$2:$C$1001,$AP224),IF($AR224&lt;&gt;"",INDEX(Raw_D3!$C$2:$C$1001,$AR224),"")))</f>
        <v>1</v>
      </c>
      <c r="D224" s="5">
        <f>IF($A224="","",IF($AP224&lt;&gt;"",INDEX(Raw_D1!$D$2:$D$1001,$AP224),IF($AR224&lt;&gt;"",INDEX(Raw_D3!$D$2:$D$1001,$AR224),"")))</f>
        <v>0</v>
      </c>
      <c r="E224" s="5">
        <f>IF($A224="","",IF($AP224&lt;&gt;"",INDEX(Raw_D1!$E$2:$E$1001,$AP224),IF($AR224&lt;&gt;"",INDEX(Raw_D3!$E$2:$E$1001,$AR224),"")))</f>
        <v>1</v>
      </c>
      <c r="F224" s="5">
        <f>IF($A224="","",IF($AP224&lt;&gt;"",INDEX(Raw_D1!$F$2:$F$1001,$AP224),IF($AR224&lt;&gt;"",INDEX(Raw_D3!$F$2:$F$1001,$AR224),"")))</f>
        <v>13</v>
      </c>
      <c r="G224" s="5">
        <f>IF($A224="","",IF($AP224&lt;&gt;"",IF(INDEX(Raw_D1!$G$2:$G$1001,$AP224),1,0),IF($AR224&lt;&gt;"",IF(INDEX(Raw_D3!$G$2:$G$1001,$AR224),1,0),"")))</f>
        <v>0</v>
      </c>
      <c r="H224" s="5">
        <f>IF($A224="","",IF($AP224&lt;&gt;"",INDEX(Raw_D1!$H$2:$H$1001,$AP224),IF($AR224&lt;&gt;"",INDEX(Raw_D3!$H$2:$H$1001,$AR224),"")))</f>
        <v>1</v>
      </c>
      <c r="I224" s="5">
        <f>IF($A224="","",IF($AP224&lt;&gt;"",INDEX(Raw_D1!$I$2:$I$1001,$AP224),IF($AR224&lt;&gt;"",INDEX(Raw_D3!$I$2:$I$1001,$AR224),"")))</f>
        <v>2</v>
      </c>
      <c r="J224" s="16">
        <f>IF($A224="","",IF($AP224&lt;&gt;"",INDEX(Raw_D1!$J$2:$J$1001,$AP224),IF($AR224&lt;&gt;"",INDEX(Raw_D3!$J$2:$J$1001,$AR224),"")))</f>
        <v>0.2</v>
      </c>
      <c r="K224" s="17">
        <f>IF($A224="","",IF($AQ224&lt;&gt;"",IF(INDEX(Raw_D2!$C$2:$C$1001,$AQ224)="","",INDEX(Raw_D2!$C$2:$C$1001,$AQ224)),IF($AR224&lt;&gt;"",IF(INDEX(Raw_D3!$K$2:$K$1001,$AR224)="","",INDEX(Raw_D3!$K$2:$K$1001,$AR224)),"")))</f>
        <v>0.1818</v>
      </c>
      <c r="L224" s="16">
        <f>IF($A224="","",IF($AQ224&lt;&gt;"",IF(INDEX(Raw_D2!$D$2:$D$1001,$AQ224)="","",INDEX(Raw_D2!$D$2:$D$1001,$AQ224)),IF($AR224&lt;&gt;"",IF(INDEX(Raw_D3!$L$2:$L$1001,$AR224)="","",INDEX(Raw_D3!$L$2:$L$1001,$AR224)),"")))</f>
        <v>0.4</v>
      </c>
      <c r="M224" s="17">
        <f>IF($A224="","",IF($AQ224&lt;&gt;"",IF(INDEX(Raw_D2!$E$2:$E$1001,$AQ224)="","",INDEX(Raw_D2!$E$2:$E$1001,$AQ224)),IF($AR224&lt;&gt;"",IF(INDEX(Raw_D3!$M$2:$M$1001,$AR224)="","",INDEX(Raw_D3!$M$2:$M$1001,$AR224)),"")))</f>
        <v>0.2836</v>
      </c>
      <c r="N224" s="5">
        <f>IF($A224="","",IF($AQ224&lt;&gt;"",IF(INDEX(Raw_D2!$F$2:$F$1001,$AQ224)="","",INDEX(Raw_D2!$F$2:$F$1001,$AQ224)),IF($AR224&lt;&gt;"",IF(INDEX(Raw_D3!$N$2:$N$1001,$AR224)="","",INDEX(Raw_D3!$N$2:$N$1001,$AR224)),"")))</f>
        <v>4</v>
      </c>
      <c r="O224" s="5">
        <f>IF($A224="","",IF($AQ224&lt;&gt;"",IF(INDEX(Raw_D2!$G$2:$G$1001,$AQ224)="","",INDEX(Raw_D2!$G$2:$G$1001,$AQ224)),IF($AR224&lt;&gt;"",IF(INDEX(Raw_D3!$O$2:$O$1001,$AR224)="","",INDEX(Raw_D3!$O$2:$O$1001,$AR224)),"")))</f>
        <v>50</v>
      </c>
      <c r="P224" s="5">
        <f>IF($A224="","",IF($AQ224&lt;&gt;"",IF(INDEX(Raw_D2!$H$2:$H$1001,$AQ224)="","",INDEX(Raw_D2!$H$2:$H$1001,$AQ224)),IF($AR224&lt;&gt;"",IF(INDEX(Raw_D3!$P$2:$P$1001,$AR224)="","",INDEX(Raw_D3!$P$2:$P$1001,$AR224)),"")))</f>
        <v>54</v>
      </c>
      <c r="Q224" s="5" t="str">
        <f>IF($A224="","",IF(AND($AP224&lt;&gt;"",$AQ224&lt;&gt;""),"D1+D2",IF($AR224&lt;&gt;"","D3","Incomplete")))</f>
        <v>D1+D2</v>
      </c>
      <c r="R224" s="17">
        <f>IF($A224="","",IF($K224="",IF($J224="","",ROUND(Lookups!$K$5+Lookups!$K$4*$J224,4)),$K224))</f>
        <v>0.1818</v>
      </c>
      <c r="S224" s="5" t="str">
        <f>IF($A224="","",IF($K224="","Imputed","Original"))</f>
        <v>Original</v>
      </c>
      <c r="T224" s="5" t="str">
        <f>IF($A224="","",IF($P224="","Missing",IF($P224=$N224+$O224,"OK","Mismatch")))</f>
        <v>OK</v>
      </c>
      <c r="U224" s="5" t="str">
        <f>IF($A224="","",IF(COUNTIF($A$2:$A224,$A224)&gt;1,"Duplicate","Unique"))</f>
        <v>Unique</v>
      </c>
      <c r="V224" s="5">
        <f>IF($A224="","",IF(AND($U224="Unique",ISNUMBER($P224)),1,0))</f>
        <v>1</v>
      </c>
      <c r="W224" s="5" t="str">
        <f>IF($A224="","",IF(OR($H224=0,$H224=6),"Weekend","Weekday"))</f>
        <v>Weekday</v>
      </c>
      <c r="X224" s="5" t="str">
        <f>IF($A224="","",TEXT($B224,"ddd"))</f>
        <v>Mon</v>
      </c>
      <c r="Y224" s="5" t="str">
        <f>IF($A224="","",TEXT($B224,"mmm"))</f>
        <v>Jan</v>
      </c>
      <c r="Z224" s="5" t="str">
        <f>IF($A224="","",IFERROR(VLOOKUP($C224,Lookups!$D$4:$E$7,2,FALSE),"Unknown"))</f>
        <v>Winter</v>
      </c>
      <c r="AA224" s="5" t="str">
        <f>IF($A224="","",IFERROR(VLOOKUP($I224,Lookups!$A$4:$B$7,2,FALSE),"Unknown"))</f>
        <v>Mist/Cloudy</v>
      </c>
      <c r="AB224" s="5" t="str">
        <f>IF($A224="","",TEXT($F224,"00")&amp;":00")</f>
        <v>13:00</v>
      </c>
      <c r="AC224" s="5" t="str">
        <f>IF($A224="","",VLOOKUP($F224,Lookups!$G$4:$H$8,2,TRUE))</f>
        <v>Midday (10-15)</v>
      </c>
      <c r="AD224" s="18">
        <f>IF($A224="","",IF($J224="","",ROUND($J224*41,1)))</f>
        <v>8.2</v>
      </c>
      <c r="AE224" s="18">
        <f>IF($A224="","",IF($R224="","",ROUND($R224*50,1)))</f>
        <v>9.1</v>
      </c>
      <c r="AF224" s="5">
        <f>IF($A224="","",IF($L224="","",ROUND($L224*100,0)))</f>
        <v>40</v>
      </c>
      <c r="AG224" s="18">
        <f>IF($A224="","",IF($M224="","",ROUND($M224*67,1)))</f>
        <v>19</v>
      </c>
      <c r="AH224" s="19">
        <f>IF($A224="","",IF($P224="","",IF($P224=0,0,$O224/$P224)))</f>
        <v>0.925925925925926</v>
      </c>
      <c r="AI224" s="5" t="str">
        <f>IF($A224="","",IF($P224="","",IF($P224&gt;=Lookups!$K$7,"High",IF($P224&lt;=Lookups!$K$8,"Low","Medium"))))</f>
        <v>Medium</v>
      </c>
      <c r="AJ224" s="5" t="str">
        <f>IF($A224="","",IF($AD224="","",IF($AD224&lt;5,"Under 5 C",IF($AD224&lt;10,"5-10 C",IF($AD224&lt;15,"10-15 C","15 C and above")))))</f>
        <v>5-10 C</v>
      </c>
      <c r="AK224" s="5">
        <f>IF($A224="","",IF($P224="","",$P224^2))</f>
        <v>2916</v>
      </c>
      <c r="AL224" s="18">
        <f>IF($V224&lt;&gt;1,"",AVERAGEIFS(Clean_Data!$P$2:$P$1001,Clean_Data!$F$2:$F$1001,$F224,Clean_Data!$W$2:$W$1001,$W224,Clean_Data!$V$2:$V$1001,1))</f>
        <v>67.1724137931034</v>
      </c>
      <c r="AM224" s="16">
        <f>IF($V224&lt;&gt;1,"",IFERROR(($P224-$AL224)/SQRT(MAX(0,(SUMIFS(Clean_Data!$AK$2:$AK$1001,Clean_Data!$F$2:$F$1001,$F224,Clean_Data!$W$2:$W$1001,$W224,Clean_Data!$V$2:$V$1001,1)-COUNTIFS(Clean_Data!$F$2:$F$1001,$F224,Clean_Data!$W$2:$W$1001,$W224,Clean_Data!$V$2:$V$1001,1)*$AL224^2)/(COUNTIFS(Clean_Data!$F$2:$F$1001,$F224,Clean_Data!$W$2:$W$1001,$W224,Clean_Data!$V$2:$V$1001,1)-1))),""))</f>
        <v>-0.652356174070698</v>
      </c>
      <c r="AN224" s="5" t="str">
        <f>IF($AM224="","",IF($AM224&gt;=Lookups!$K$6,"High spike",IF($AM224&lt;=-Lookups!$K$6,"Unusual low","Normal")))</f>
        <v>Normal</v>
      </c>
      <c r="AO224" s="20">
        <f>IF($V224&lt;&gt;1,"",$P224+ROW()/100000)</f>
        <v>54.00224</v>
      </c>
      <c r="AP224" s="5">
        <f>IF($A224="","",IFERROR(MATCH($A224,Raw_D1!$A$2:$A$1001,0),""))</f>
        <v>223</v>
      </c>
      <c r="AQ224" s="5">
        <f>IF($A224="","",IFERROR(MATCH($A224,Raw_D2!$B$2:$B$1001,0),""))</f>
        <v>223</v>
      </c>
      <c r="AR224" s="5">
        <f>IF($A224="","",IFERROR(MATCH($A224,Raw_D3!$A$2:$A$1001,0),""))</f>
        <v/>
      </c>
    </row>
    <row r="225" spans="1:44" x14ac:dyDescent="0.25">
      <c r="A225" s="5">
        <v>224</v>
      </c>
      <c r="B225" s="11">
        <f>IF($A225="","",IF($AP225&lt;&gt;"",INDEX(Raw_D1!$B$2:$B$1001,$AP225),IF($AR225&lt;&gt;"",INDEX(Raw_D3!$B$2:$B$1001,$AR225),"")))</f>
        <v>40553.0</v>
      </c>
      <c r="C225" s="5">
        <f>IF($A225="","",IF($AP225&lt;&gt;"",INDEX(Raw_D1!$C$2:$C$1001,$AP225),IF($AR225&lt;&gt;"",INDEX(Raw_D3!$C$2:$C$1001,$AR225),"")))</f>
        <v>1</v>
      </c>
      <c r="D225" s="5">
        <f>IF($A225="","",IF($AP225&lt;&gt;"",INDEX(Raw_D1!$D$2:$D$1001,$AP225),IF($AR225&lt;&gt;"",INDEX(Raw_D3!$D$2:$D$1001,$AR225),"")))</f>
        <v>0</v>
      </c>
      <c r="E225" s="5">
        <f>IF($A225="","",IF($AP225&lt;&gt;"",INDEX(Raw_D1!$E$2:$E$1001,$AP225),IF($AR225&lt;&gt;"",INDEX(Raw_D3!$E$2:$E$1001,$AR225),"")))</f>
        <v>1</v>
      </c>
      <c r="F225" s="5">
        <f>IF($A225="","",IF($AP225&lt;&gt;"",INDEX(Raw_D1!$F$2:$F$1001,$AP225),IF($AR225&lt;&gt;"",INDEX(Raw_D3!$F$2:$F$1001,$AR225),"")))</f>
        <v>14</v>
      </c>
      <c r="G225" s="5">
        <f>IF($A225="","",IF($AP225&lt;&gt;"",IF(INDEX(Raw_D1!$G$2:$G$1001,$AP225),1,0),IF($AR225&lt;&gt;"",IF(INDEX(Raw_D3!$G$2:$G$1001,$AR225),1,0),"")))</f>
        <v>0</v>
      </c>
      <c r="H225" s="5">
        <f>IF($A225="","",IF($AP225&lt;&gt;"",INDEX(Raw_D1!$H$2:$H$1001,$AP225),IF($AR225&lt;&gt;"",INDEX(Raw_D3!$H$2:$H$1001,$AR225),"")))</f>
        <v>1</v>
      </c>
      <c r="I225" s="5">
        <f>IF($A225="","",IF($AP225&lt;&gt;"",INDEX(Raw_D1!$I$2:$I$1001,$AP225),IF($AR225&lt;&gt;"",INDEX(Raw_D3!$I$2:$I$1001,$AR225),"")))</f>
        <v>2</v>
      </c>
      <c r="J225" s="16">
        <f>IF($A225="","",IF($AP225&lt;&gt;"",INDEX(Raw_D1!$J$2:$J$1001,$AP225),IF($AR225&lt;&gt;"",INDEX(Raw_D3!$J$2:$J$1001,$AR225),"")))</f>
        <v>0.2</v>
      </c>
      <c r="K225" s="17">
        <f>IF($A225="","",IF($AQ225&lt;&gt;"",IF(INDEX(Raw_D2!$C$2:$C$1001,$AQ225)="","",INDEX(Raw_D2!$C$2:$C$1001,$AQ225)),IF($AR225&lt;&gt;"",IF(INDEX(Raw_D3!$K$2:$K$1001,$AR225)="","",INDEX(Raw_D3!$K$2:$K$1001,$AR225)),"")))</f>
        <v>0.197</v>
      </c>
      <c r="L225" s="16">
        <f>IF($A225="","",IF($AQ225&lt;&gt;"",IF(INDEX(Raw_D2!$D$2:$D$1001,$AQ225)="","",INDEX(Raw_D2!$D$2:$D$1001,$AQ225)),IF($AR225&lt;&gt;"",IF(INDEX(Raw_D3!$L$2:$L$1001,$AR225)="","",INDEX(Raw_D3!$L$2:$L$1001,$AR225)),"")))</f>
        <v>0.4</v>
      </c>
      <c r="M225" s="17">
        <f>IF($A225="","",IF($AQ225&lt;&gt;"",IF(INDEX(Raw_D2!$E$2:$E$1001,$AQ225)="","",INDEX(Raw_D2!$E$2:$E$1001,$AQ225)),IF($AR225&lt;&gt;"",IF(INDEX(Raw_D3!$M$2:$M$1001,$AR225)="","",INDEX(Raw_D3!$M$2:$M$1001,$AR225)),"")))</f>
        <v>0.2239</v>
      </c>
      <c r="N225" s="5">
        <f>IF($A225="","",IF($AQ225&lt;&gt;"",IF(INDEX(Raw_D2!$F$2:$F$1001,$AQ225)="","",INDEX(Raw_D2!$F$2:$F$1001,$AQ225)),IF($AR225&lt;&gt;"",IF(INDEX(Raw_D3!$N$2:$N$1001,$AR225)="","",INDEX(Raw_D3!$N$2:$N$1001,$AR225)),"")))</f>
        <v>0</v>
      </c>
      <c r="O225" s="5">
        <f>IF($A225="","",IF($AQ225&lt;&gt;"",IF(INDEX(Raw_D2!$G$2:$G$1001,$AQ225)="","",INDEX(Raw_D2!$G$2:$G$1001,$AQ225)),IF($AR225&lt;&gt;"",IF(INDEX(Raw_D3!$O$2:$O$1001,$AR225)="","",INDEX(Raw_D3!$O$2:$O$1001,$AR225)),"")))</f>
        <v>47</v>
      </c>
      <c r="P225" s="5">
        <f>IF($A225="","",IF($AQ225&lt;&gt;"",IF(INDEX(Raw_D2!$H$2:$H$1001,$AQ225)="","",INDEX(Raw_D2!$H$2:$H$1001,$AQ225)),IF($AR225&lt;&gt;"",IF(INDEX(Raw_D3!$P$2:$P$1001,$AR225)="","",INDEX(Raw_D3!$P$2:$P$1001,$AR225)),"")))</f>
        <v>47</v>
      </c>
      <c r="Q225" s="5" t="str">
        <f>IF($A225="","",IF(AND($AP225&lt;&gt;"",$AQ225&lt;&gt;""),"D1+D2",IF($AR225&lt;&gt;"","D3","Incomplete")))</f>
        <v>D1+D2</v>
      </c>
      <c r="R225" s="17">
        <f>IF($A225="","",IF($K225="",IF($J225="","",ROUND(Lookups!$K$5+Lookups!$K$4*$J225,4)),$K225))</f>
        <v>0.197</v>
      </c>
      <c r="S225" s="5" t="str">
        <f>IF($A225="","",IF($K225="","Imputed","Original"))</f>
        <v>Original</v>
      </c>
      <c r="T225" s="5" t="str">
        <f>IF($A225="","",IF($P225="","Missing",IF($P225=$N225+$O225,"OK","Mismatch")))</f>
        <v>OK</v>
      </c>
      <c r="U225" s="5" t="str">
        <f>IF($A225="","",IF(COUNTIF($A$2:$A225,$A225)&gt;1,"Duplicate","Unique"))</f>
        <v>Unique</v>
      </c>
      <c r="V225" s="5">
        <f>IF($A225="","",IF(AND($U225="Unique",ISNUMBER($P225)),1,0))</f>
        <v>1</v>
      </c>
      <c r="W225" s="5" t="str">
        <f>IF($A225="","",IF(OR($H225=0,$H225=6),"Weekend","Weekday"))</f>
        <v>Weekday</v>
      </c>
      <c r="X225" s="5" t="str">
        <f>IF($A225="","",TEXT($B225,"ddd"))</f>
        <v>Mon</v>
      </c>
      <c r="Y225" s="5" t="str">
        <f>IF($A225="","",TEXT($B225,"mmm"))</f>
        <v>Jan</v>
      </c>
      <c r="Z225" s="5" t="str">
        <f>IF($A225="","",IFERROR(VLOOKUP($C225,Lookups!$D$4:$E$7,2,FALSE),"Unknown"))</f>
        <v>Winter</v>
      </c>
      <c r="AA225" s="5" t="str">
        <f>IF($A225="","",IFERROR(VLOOKUP($I225,Lookups!$A$4:$B$7,2,FALSE),"Unknown"))</f>
        <v>Mist/Cloudy</v>
      </c>
      <c r="AB225" s="5" t="str">
        <f>IF($A225="","",TEXT($F225,"00")&amp;":00")</f>
        <v>14:00</v>
      </c>
      <c r="AC225" s="5" t="str">
        <f>IF($A225="","",VLOOKUP($F225,Lookups!$G$4:$H$8,2,TRUE))</f>
        <v>Midday (10-15)</v>
      </c>
      <c r="AD225" s="18">
        <f>IF($A225="","",IF($J225="","",ROUND($J225*41,1)))</f>
        <v>8.2</v>
      </c>
      <c r="AE225" s="18">
        <f>IF($A225="","",IF($R225="","",ROUND($R225*50,1)))</f>
        <v>9.9</v>
      </c>
      <c r="AF225" s="5">
        <f>IF($A225="","",IF($L225="","",ROUND($L225*100,0)))</f>
        <v>40</v>
      </c>
      <c r="AG225" s="18">
        <f>IF($A225="","",IF($M225="","",ROUND($M225*67,1)))</f>
        <v>15</v>
      </c>
      <c r="AH225" s="19">
        <f>IF($A225="","",IF($P225="","",IF($P225=0,0,$O225/$P225)))</f>
        <v>1</v>
      </c>
      <c r="AI225" s="5" t="str">
        <f>IF($A225="","",IF($P225="","",IF($P225&gt;=Lookups!$K$7,"High",IF($P225&lt;=Lookups!$K$8,"Low","Medium"))))</f>
        <v>Medium</v>
      </c>
      <c r="AJ225" s="5" t="str">
        <f>IF($A225="","",IF($AD225="","",IF($AD225&lt;5,"Under 5 C",IF($AD225&lt;10,"5-10 C",IF($AD225&lt;15,"10-15 C","15 C and above")))))</f>
        <v>5-10 C</v>
      </c>
      <c r="AK225" s="5">
        <f>IF($A225="","",IF($P225="","",$P225^2))</f>
        <v>2209</v>
      </c>
      <c r="AL225" s="18">
        <f>IF($V225&lt;&gt;1,"",AVERAGEIFS(Clean_Data!$P$2:$P$1001,Clean_Data!$F$2:$F$1001,$F225,Clean_Data!$W$2:$W$1001,$W225,Clean_Data!$V$2:$V$1001,1))</f>
        <v>60.551724137931</v>
      </c>
      <c r="AM225" s="16">
        <f>IF($V225&lt;&gt;1,"",IFERROR(($P225-$AL225)/SQRT(MAX(0,(SUMIFS(Clean_Data!$AK$2:$AK$1001,Clean_Data!$F$2:$F$1001,$F225,Clean_Data!$W$2:$W$1001,$W225,Clean_Data!$V$2:$V$1001,1)-COUNTIFS(Clean_Data!$F$2:$F$1001,$F225,Clean_Data!$W$2:$W$1001,$W225,Clean_Data!$V$2:$V$1001,1)*$AL225^2)/(COUNTIFS(Clean_Data!$F$2:$F$1001,$F225,Clean_Data!$W$2:$W$1001,$W225,Clean_Data!$V$2:$V$1001,1)-1))),""))</f>
        <v>-0.823796577669938</v>
      </c>
      <c r="AN225" s="5" t="str">
        <f>IF($AM225="","",IF($AM225&gt;=Lookups!$K$6,"High spike",IF($AM225&lt;=-Lookups!$K$6,"Unusual low","Normal")))</f>
        <v>Normal</v>
      </c>
      <c r="AO225" s="20">
        <f>IF($V225&lt;&gt;1,"",$P225+ROW()/100000)</f>
        <v>47.00225</v>
      </c>
      <c r="AP225" s="5">
        <f>IF($A225="","",IFERROR(MATCH($A225,Raw_D1!$A$2:$A$1001,0),""))</f>
        <v>224</v>
      </c>
      <c r="AQ225" s="5">
        <f>IF($A225="","",IFERROR(MATCH($A225,Raw_D2!$B$2:$B$1001,0),""))</f>
        <v>224</v>
      </c>
      <c r="AR225" s="5">
        <f>IF($A225="","",IFERROR(MATCH($A225,Raw_D3!$A$2:$A$1001,0),""))</f>
        <v/>
      </c>
    </row>
    <row r="226" spans="1:44" x14ac:dyDescent="0.25">
      <c r="A226" s="5">
        <v>225</v>
      </c>
      <c r="B226" s="11">
        <f>IF($A226="","",IF($AP226&lt;&gt;"",INDEX(Raw_D1!$B$2:$B$1001,$AP226),IF($AR226&lt;&gt;"",INDEX(Raw_D3!$B$2:$B$1001,$AR226),"")))</f>
        <v>40553.0</v>
      </c>
      <c r="C226" s="5">
        <f>IF($A226="","",IF($AP226&lt;&gt;"",INDEX(Raw_D1!$C$2:$C$1001,$AP226),IF($AR226&lt;&gt;"",INDEX(Raw_D3!$C$2:$C$1001,$AR226),"")))</f>
        <v>1</v>
      </c>
      <c r="D226" s="5">
        <f>IF($A226="","",IF($AP226&lt;&gt;"",INDEX(Raw_D1!$D$2:$D$1001,$AP226),IF($AR226&lt;&gt;"",INDEX(Raw_D3!$D$2:$D$1001,$AR226),"")))</f>
        <v>0</v>
      </c>
      <c r="E226" s="5">
        <f>IF($A226="","",IF($AP226&lt;&gt;"",INDEX(Raw_D1!$E$2:$E$1001,$AP226),IF($AR226&lt;&gt;"",INDEX(Raw_D3!$E$2:$E$1001,$AR226),"")))</f>
        <v>1</v>
      </c>
      <c r="F226" s="5">
        <f>IF($A226="","",IF($AP226&lt;&gt;"",INDEX(Raw_D1!$F$2:$F$1001,$AP226),IF($AR226&lt;&gt;"",INDEX(Raw_D3!$F$2:$F$1001,$AR226),"")))</f>
        <v>15</v>
      </c>
      <c r="G226" s="5">
        <f>IF($A226="","",IF($AP226&lt;&gt;"",IF(INDEX(Raw_D1!$G$2:$G$1001,$AP226),1,0),IF($AR226&lt;&gt;"",IF(INDEX(Raw_D3!$G$2:$G$1001,$AR226),1,0),"")))</f>
        <v>0</v>
      </c>
      <c r="H226" s="5">
        <f>IF($A226="","",IF($AP226&lt;&gt;"",INDEX(Raw_D1!$H$2:$H$1001,$AP226),IF($AR226&lt;&gt;"",INDEX(Raw_D3!$H$2:$H$1001,$AR226),"")))</f>
        <v>1</v>
      </c>
      <c r="I226" s="5">
        <f>IF($A226="","",IF($AP226&lt;&gt;"",INDEX(Raw_D1!$I$2:$I$1001,$AP226),IF($AR226&lt;&gt;"",INDEX(Raw_D3!$I$2:$I$1001,$AR226),"")))</f>
        <v>2</v>
      </c>
      <c r="J226" s="16">
        <f>IF($A226="","",IF($AP226&lt;&gt;"",INDEX(Raw_D1!$J$2:$J$1001,$AP226),IF($AR226&lt;&gt;"",INDEX(Raw_D3!$J$2:$J$1001,$AR226),"")))</f>
        <v>0.2</v>
      </c>
      <c r="K226" s="17">
        <f>IF($A226="","",IF($AQ226&lt;&gt;"",IF(INDEX(Raw_D2!$C$2:$C$1001,$AQ226)="","",INDEX(Raw_D2!$C$2:$C$1001,$AQ226)),IF($AR226&lt;&gt;"",IF(INDEX(Raw_D3!$K$2:$K$1001,$AR226)="","",INDEX(Raw_D3!$K$2:$K$1001,$AR226)),"")))</f>
        <v>0.197</v>
      </c>
      <c r="L226" s="16">
        <f>IF($A226="","",IF($AQ226&lt;&gt;"",IF(INDEX(Raw_D2!$D$2:$D$1001,$AQ226)="","",INDEX(Raw_D2!$D$2:$D$1001,$AQ226)),IF($AR226&lt;&gt;"",IF(INDEX(Raw_D3!$L$2:$L$1001,$AR226)="","",INDEX(Raw_D3!$L$2:$L$1001,$AR226)),"")))</f>
        <v>0.4</v>
      </c>
      <c r="M226" s="17">
        <f>IF($A226="","",IF($AQ226&lt;&gt;"",IF(INDEX(Raw_D2!$E$2:$E$1001,$AQ226)="","",INDEX(Raw_D2!$E$2:$E$1001,$AQ226)),IF($AR226&lt;&gt;"",IF(INDEX(Raw_D3!$M$2:$M$1001,$AR226)="","",INDEX(Raw_D3!$M$2:$M$1001,$AR226)),"")))</f>
        <v>0.2239</v>
      </c>
      <c r="N226" s="5">
        <f>IF($A226="","",IF($AQ226&lt;&gt;"",IF(INDEX(Raw_D2!$F$2:$F$1001,$AQ226)="","",INDEX(Raw_D2!$F$2:$F$1001,$AQ226)),IF($AR226&lt;&gt;"",IF(INDEX(Raw_D3!$N$2:$N$1001,$AR226)="","",INDEX(Raw_D3!$N$2:$N$1001,$AR226)),"")))</f>
        <v>2</v>
      </c>
      <c r="O226" s="5">
        <f>IF($A226="","",IF($AQ226&lt;&gt;"",IF(INDEX(Raw_D2!$G$2:$G$1001,$AQ226)="","",INDEX(Raw_D2!$G$2:$G$1001,$AQ226)),IF($AR226&lt;&gt;"",IF(INDEX(Raw_D3!$O$2:$O$1001,$AR226)="","",INDEX(Raw_D3!$O$2:$O$1001,$AR226)),"")))</f>
        <v>43</v>
      </c>
      <c r="P226" s="5">
        <f>IF($A226="","",IF($AQ226&lt;&gt;"",IF(INDEX(Raw_D2!$H$2:$H$1001,$AQ226)="","",INDEX(Raw_D2!$H$2:$H$1001,$AQ226)),IF($AR226&lt;&gt;"",IF(INDEX(Raw_D3!$P$2:$P$1001,$AR226)="","",INDEX(Raw_D3!$P$2:$P$1001,$AR226)),"")))</f>
        <v>45</v>
      </c>
      <c r="Q226" s="5" t="str">
        <f>IF($A226="","",IF(AND($AP226&lt;&gt;"",$AQ226&lt;&gt;""),"D1+D2",IF($AR226&lt;&gt;"","D3","Incomplete")))</f>
        <v>D1+D2</v>
      </c>
      <c r="R226" s="17">
        <f>IF($A226="","",IF($K226="",IF($J226="","",ROUND(Lookups!$K$5+Lookups!$K$4*$J226,4)),$K226))</f>
        <v>0.197</v>
      </c>
      <c r="S226" s="5" t="str">
        <f>IF($A226="","",IF($K226="","Imputed","Original"))</f>
        <v>Original</v>
      </c>
      <c r="T226" s="5" t="str">
        <f>IF($A226="","",IF($P226="","Missing",IF($P226=$N226+$O226,"OK","Mismatch")))</f>
        <v>OK</v>
      </c>
      <c r="U226" s="5" t="str">
        <f>IF($A226="","",IF(COUNTIF($A$2:$A226,$A226)&gt;1,"Duplicate","Unique"))</f>
        <v>Unique</v>
      </c>
      <c r="V226" s="5">
        <f>IF($A226="","",IF(AND($U226="Unique",ISNUMBER($P226)),1,0))</f>
        <v>1</v>
      </c>
      <c r="W226" s="5" t="str">
        <f>IF($A226="","",IF(OR($H226=0,$H226=6),"Weekend","Weekday"))</f>
        <v>Weekday</v>
      </c>
      <c r="X226" s="5" t="str">
        <f>IF($A226="","",TEXT($B226,"ddd"))</f>
        <v>Mon</v>
      </c>
      <c r="Y226" s="5" t="str">
        <f>IF($A226="","",TEXT($B226,"mmm"))</f>
        <v>Jan</v>
      </c>
      <c r="Z226" s="5" t="str">
        <f>IF($A226="","",IFERROR(VLOOKUP($C226,Lookups!$D$4:$E$7,2,FALSE),"Unknown"))</f>
        <v>Winter</v>
      </c>
      <c r="AA226" s="5" t="str">
        <f>IF($A226="","",IFERROR(VLOOKUP($I226,Lookups!$A$4:$B$7,2,FALSE),"Unknown"))</f>
        <v>Mist/Cloudy</v>
      </c>
      <c r="AB226" s="5" t="str">
        <f>IF($A226="","",TEXT($F226,"00")&amp;":00")</f>
        <v>15:00</v>
      </c>
      <c r="AC226" s="5" t="str">
        <f>IF($A226="","",VLOOKUP($F226,Lookups!$G$4:$H$8,2,TRUE))</f>
        <v>Midday (10-15)</v>
      </c>
      <c r="AD226" s="18">
        <f>IF($A226="","",IF($J226="","",ROUND($J226*41,1)))</f>
        <v>8.2</v>
      </c>
      <c r="AE226" s="18">
        <f>IF($A226="","",IF($R226="","",ROUND($R226*50,1)))</f>
        <v>9.9</v>
      </c>
      <c r="AF226" s="5">
        <f>IF($A226="","",IF($L226="","",ROUND($L226*100,0)))</f>
        <v>40</v>
      </c>
      <c r="AG226" s="18">
        <f>IF($A226="","",IF($M226="","",ROUND($M226*67,1)))</f>
        <v>15</v>
      </c>
      <c r="AH226" s="19">
        <f>IF($A226="","",IF($P226="","",IF($P226=0,0,$O226/$P226)))</f>
        <v>0.955555555555556</v>
      </c>
      <c r="AI226" s="5" t="str">
        <f>IF($A226="","",IF($P226="","",IF($P226&gt;=Lookups!$K$7,"High",IF($P226&lt;=Lookups!$K$8,"Low","Medium"))))</f>
        <v>Medium</v>
      </c>
      <c r="AJ226" s="5" t="str">
        <f>IF($A226="","",IF($AD226="","",IF($AD226&lt;5,"Under 5 C",IF($AD226&lt;10,"5-10 C",IF($AD226&lt;15,"10-15 C","15 C and above")))))</f>
        <v>5-10 C</v>
      </c>
      <c r="AK226" s="5">
        <f>IF($A226="","",IF($P226="","",$P226^2))</f>
        <v>2025</v>
      </c>
      <c r="AL226" s="18">
        <f>IF($V226&lt;&gt;1,"",AVERAGEIFS(Clean_Data!$P$2:$P$1001,Clean_Data!$F$2:$F$1001,$F226,Clean_Data!$W$2:$W$1001,$W226,Clean_Data!$V$2:$V$1001,1))</f>
        <v>61.4827586206897</v>
      </c>
      <c r="AM226" s="16">
        <f>IF($V226&lt;&gt;1,"",IFERROR(($P226-$AL226)/SQRT(MAX(0,(SUMIFS(Clean_Data!$AK$2:$AK$1001,Clean_Data!$F$2:$F$1001,$F226,Clean_Data!$W$2:$W$1001,$W226,Clean_Data!$V$2:$V$1001,1)-COUNTIFS(Clean_Data!$F$2:$F$1001,$F226,Clean_Data!$W$2:$W$1001,$W226,Clean_Data!$V$2:$V$1001,1)*$AL226^2)/(COUNTIFS(Clean_Data!$F$2:$F$1001,$F226,Clean_Data!$W$2:$W$1001,$W226,Clean_Data!$V$2:$V$1001,1)-1))),""))</f>
        <v>-1.09337644999561</v>
      </c>
      <c r="AN226" s="5" t="str">
        <f>IF($AM226="","",IF($AM226&gt;=Lookups!$K$6,"High spike",IF($AM226&lt;=-Lookups!$K$6,"Unusual low","Normal")))</f>
        <v>Normal</v>
      </c>
      <c r="AO226" s="20">
        <f>IF($V226&lt;&gt;1,"",$P226+ROW()/100000)</f>
        <v>45.00226</v>
      </c>
      <c r="AP226" s="5">
        <f>IF($A226="","",IFERROR(MATCH($A226,Raw_D1!$A$2:$A$1001,0),""))</f>
        <v>225</v>
      </c>
      <c r="AQ226" s="5">
        <f>IF($A226="","",IFERROR(MATCH($A226,Raw_D2!$B$2:$B$1001,0),""))</f>
        <v>225</v>
      </c>
      <c r="AR226" s="5">
        <f>IF($A226="","",IFERROR(MATCH($A226,Raw_D3!$A$2:$A$1001,0),""))</f>
        <v/>
      </c>
    </row>
    <row r="227" spans="1:44" x14ac:dyDescent="0.25">
      <c r="A227" s="5">
        <v>226</v>
      </c>
      <c r="B227" s="11">
        <f>IF($A227="","",IF($AP227&lt;&gt;"",INDEX(Raw_D1!$B$2:$B$1001,$AP227),IF($AR227&lt;&gt;"",INDEX(Raw_D3!$B$2:$B$1001,$AR227),"")))</f>
        <v>40553.0</v>
      </c>
      <c r="C227" s="5">
        <f>IF($A227="","",IF($AP227&lt;&gt;"",INDEX(Raw_D1!$C$2:$C$1001,$AP227),IF($AR227&lt;&gt;"",INDEX(Raw_D3!$C$2:$C$1001,$AR227),"")))</f>
        <v>1</v>
      </c>
      <c r="D227" s="5">
        <f>IF($A227="","",IF($AP227&lt;&gt;"",INDEX(Raw_D1!$D$2:$D$1001,$AP227),IF($AR227&lt;&gt;"",INDEX(Raw_D3!$D$2:$D$1001,$AR227),"")))</f>
        <v>0</v>
      </c>
      <c r="E227" s="5">
        <f>IF($A227="","",IF($AP227&lt;&gt;"",INDEX(Raw_D1!$E$2:$E$1001,$AP227),IF($AR227&lt;&gt;"",INDEX(Raw_D3!$E$2:$E$1001,$AR227),"")))</f>
        <v>1</v>
      </c>
      <c r="F227" s="5">
        <f>IF($A227="","",IF($AP227&lt;&gt;"",INDEX(Raw_D1!$F$2:$F$1001,$AP227),IF($AR227&lt;&gt;"",INDEX(Raw_D3!$F$2:$F$1001,$AR227),"")))</f>
        <v>16</v>
      </c>
      <c r="G227" s="5">
        <f>IF($A227="","",IF($AP227&lt;&gt;"",IF(INDEX(Raw_D1!$G$2:$G$1001,$AP227),1,0),IF($AR227&lt;&gt;"",IF(INDEX(Raw_D3!$G$2:$G$1001,$AR227),1,0),"")))</f>
        <v>0</v>
      </c>
      <c r="H227" s="5">
        <f>IF($A227="","",IF($AP227&lt;&gt;"",INDEX(Raw_D1!$H$2:$H$1001,$AP227),IF($AR227&lt;&gt;"",INDEX(Raw_D3!$H$2:$H$1001,$AR227),"")))</f>
        <v>1</v>
      </c>
      <c r="I227" s="5">
        <f>IF($A227="","",IF($AP227&lt;&gt;"",INDEX(Raw_D1!$I$2:$I$1001,$AP227),IF($AR227&lt;&gt;"",INDEX(Raw_D3!$I$2:$I$1001,$AR227),"")))</f>
        <v>1</v>
      </c>
      <c r="J227" s="16">
        <f>IF($A227="","",IF($AP227&lt;&gt;"",INDEX(Raw_D1!$J$2:$J$1001,$AP227),IF($AR227&lt;&gt;"",INDEX(Raw_D3!$J$2:$J$1001,$AR227),"")))</f>
        <v>0.2</v>
      </c>
      <c r="K227" s="17">
        <f>IF($A227="","",IF($AQ227&lt;&gt;"",IF(INDEX(Raw_D2!$C$2:$C$1001,$AQ227)="","",INDEX(Raw_D2!$C$2:$C$1001,$AQ227)),IF($AR227&lt;&gt;"",IF(INDEX(Raw_D3!$K$2:$K$1001,$AR227)="","",INDEX(Raw_D3!$K$2:$K$1001,$AR227)),"")))</f>
        <v>0.2121</v>
      </c>
      <c r="L227" s="16">
        <f>IF($A227="","",IF($AQ227&lt;&gt;"",IF(INDEX(Raw_D2!$D$2:$D$1001,$AQ227)="","",INDEX(Raw_D2!$D$2:$D$1001,$AQ227)),IF($AR227&lt;&gt;"",IF(INDEX(Raw_D3!$L$2:$L$1001,$AR227)="","",INDEX(Raw_D3!$L$2:$L$1001,$AR227)),"")))</f>
        <v>0.4</v>
      </c>
      <c r="M227" s="17">
        <f>IF($A227="","",IF($AQ227&lt;&gt;"",IF(INDEX(Raw_D2!$E$2:$E$1001,$AQ227)="","",INDEX(Raw_D2!$E$2:$E$1001,$AQ227)),IF($AR227&lt;&gt;"",IF(INDEX(Raw_D3!$M$2:$M$1001,$AR227)="","",INDEX(Raw_D3!$M$2:$M$1001,$AR227)),"")))</f>
        <v>0.1343</v>
      </c>
      <c r="N227" s="5">
        <f>IF($A227="","",IF($AQ227&lt;&gt;"",IF(INDEX(Raw_D2!$F$2:$F$1001,$AQ227)="","",INDEX(Raw_D2!$F$2:$F$1001,$AQ227)),IF($AR227&lt;&gt;"",IF(INDEX(Raw_D3!$N$2:$N$1001,$AR227)="","",INDEX(Raw_D3!$N$2:$N$1001,$AR227)),"")))</f>
        <v>4</v>
      </c>
      <c r="O227" s="5">
        <f>IF($A227="","",IF($AQ227&lt;&gt;"",IF(INDEX(Raw_D2!$G$2:$G$1001,$AQ227)="","",INDEX(Raw_D2!$G$2:$G$1001,$AQ227)),IF($AR227&lt;&gt;"",IF(INDEX(Raw_D3!$O$2:$O$1001,$AR227)="","",INDEX(Raw_D3!$O$2:$O$1001,$AR227)),"")))</f>
        <v>70</v>
      </c>
      <c r="P227" s="5">
        <f>IF($A227="","",IF($AQ227&lt;&gt;"",IF(INDEX(Raw_D2!$H$2:$H$1001,$AQ227)="","",INDEX(Raw_D2!$H$2:$H$1001,$AQ227)),IF($AR227&lt;&gt;"",IF(INDEX(Raw_D3!$P$2:$P$1001,$AR227)="","",INDEX(Raw_D3!$P$2:$P$1001,$AR227)),"")))</f>
        <v>74</v>
      </c>
      <c r="Q227" s="5" t="str">
        <f>IF($A227="","",IF(AND($AP227&lt;&gt;"",$AQ227&lt;&gt;""),"D1+D2",IF($AR227&lt;&gt;"","D3","Incomplete")))</f>
        <v>D1+D2</v>
      </c>
      <c r="R227" s="17">
        <f>IF($A227="","",IF($K227="",IF($J227="","",ROUND(Lookups!$K$5+Lookups!$K$4*$J227,4)),$K227))</f>
        <v>0.2121</v>
      </c>
      <c r="S227" s="5" t="str">
        <f>IF($A227="","",IF($K227="","Imputed","Original"))</f>
        <v>Original</v>
      </c>
      <c r="T227" s="5" t="str">
        <f>IF($A227="","",IF($P227="","Missing",IF($P227=$N227+$O227,"OK","Mismatch")))</f>
        <v>OK</v>
      </c>
      <c r="U227" s="5" t="str">
        <f>IF($A227="","",IF(COUNTIF($A$2:$A227,$A227)&gt;1,"Duplicate","Unique"))</f>
        <v>Unique</v>
      </c>
      <c r="V227" s="5">
        <f>IF($A227="","",IF(AND($U227="Unique",ISNUMBER($P227)),1,0))</f>
        <v>1</v>
      </c>
      <c r="W227" s="5" t="str">
        <f>IF($A227="","",IF(OR($H227=0,$H227=6),"Weekend","Weekday"))</f>
        <v>Weekday</v>
      </c>
      <c r="X227" s="5" t="str">
        <f>IF($A227="","",TEXT($B227,"ddd"))</f>
        <v>Mon</v>
      </c>
      <c r="Y227" s="5" t="str">
        <f>IF($A227="","",TEXT($B227,"mmm"))</f>
        <v>Jan</v>
      </c>
      <c r="Z227" s="5" t="str">
        <f>IF($A227="","",IFERROR(VLOOKUP($C227,Lookups!$D$4:$E$7,2,FALSE),"Unknown"))</f>
        <v>Winter</v>
      </c>
      <c r="AA227" s="5" t="str">
        <f>IF($A227="","",IFERROR(VLOOKUP($I227,Lookups!$A$4:$B$7,2,FALSE),"Unknown"))</f>
        <v>Clear</v>
      </c>
      <c r="AB227" s="5" t="str">
        <f>IF($A227="","",TEXT($F227,"00")&amp;":00")</f>
        <v>16:00</v>
      </c>
      <c r="AC227" s="5" t="str">
        <f>IF($A227="","",VLOOKUP($F227,Lookups!$G$4:$H$8,2,TRUE))</f>
        <v>Evening Peak (16-19)</v>
      </c>
      <c r="AD227" s="18">
        <f>IF($A227="","",IF($J227="","",ROUND($J227*41,1)))</f>
        <v>8.2</v>
      </c>
      <c r="AE227" s="18">
        <f>IF($A227="","",IF($R227="","",ROUND($R227*50,1)))</f>
        <v>10.6</v>
      </c>
      <c r="AF227" s="5">
        <f>IF($A227="","",IF($L227="","",ROUND($L227*100,0)))</f>
        <v>40</v>
      </c>
      <c r="AG227" s="18">
        <f>IF($A227="","",IF($M227="","",ROUND($M227*67,1)))</f>
        <v>9</v>
      </c>
      <c r="AH227" s="19">
        <f>IF($A227="","",IF($P227="","",IF($P227=0,0,$O227/$P227)))</f>
        <v>0.945945945945946</v>
      </c>
      <c r="AI227" s="5" t="str">
        <f>IF($A227="","",IF($P227="","",IF($P227&gt;=Lookups!$K$7,"High",IF($P227&lt;=Lookups!$K$8,"Low","Medium"))))</f>
        <v>Medium</v>
      </c>
      <c r="AJ227" s="5" t="str">
        <f>IF($A227="","",IF($AD227="","",IF($AD227&lt;5,"Under 5 C",IF($AD227&lt;10,"5-10 C",IF($AD227&lt;15,"10-15 C","15 C and above")))))</f>
        <v>5-10 C</v>
      </c>
      <c r="AK227" s="5">
        <f>IF($A227="","",IF($P227="","",$P227^2))</f>
        <v>5476</v>
      </c>
      <c r="AL227" s="18">
        <f>IF($V227&lt;&gt;1,"",AVERAGEIFS(Clean_Data!$P$2:$P$1001,Clean_Data!$F$2:$F$1001,$F227,Clean_Data!$W$2:$W$1001,$W227,Clean_Data!$V$2:$V$1001,1))</f>
        <v>82.6333333333333</v>
      </c>
      <c r="AM227" s="16">
        <f>IF($V227&lt;&gt;1,"",IFERROR(($P227-$AL227)/SQRT(MAX(0,(SUMIFS(Clean_Data!$AK$2:$AK$1001,Clean_Data!$F$2:$F$1001,$F227,Clean_Data!$W$2:$W$1001,$W227,Clean_Data!$V$2:$V$1001,1)-COUNTIFS(Clean_Data!$F$2:$F$1001,$F227,Clean_Data!$W$2:$W$1001,$W227,Clean_Data!$V$2:$V$1001,1)*$AL227^2)/(COUNTIFS(Clean_Data!$F$2:$F$1001,$F227,Clean_Data!$W$2:$W$1001,$W227,Clean_Data!$V$2:$V$1001,1)-1))),""))</f>
        <v>-0.416186698617955</v>
      </c>
      <c r="AN227" s="5" t="str">
        <f>IF($AM227="","",IF($AM227&gt;=Lookups!$K$6,"High spike",IF($AM227&lt;=-Lookups!$K$6,"Unusual low","Normal")))</f>
        <v>Normal</v>
      </c>
      <c r="AO227" s="20">
        <f>IF($V227&lt;&gt;1,"",$P227+ROW()/100000)</f>
        <v>74.00227</v>
      </c>
      <c r="AP227" s="5">
        <f>IF($A227="","",IFERROR(MATCH($A227,Raw_D1!$A$2:$A$1001,0),""))</f>
        <v>226</v>
      </c>
      <c r="AQ227" s="5">
        <f>IF($A227="","",IFERROR(MATCH($A227,Raw_D2!$B$2:$B$1001,0),""))</f>
        <v>226</v>
      </c>
      <c r="AR227" s="5">
        <f>IF($A227="","",IFERROR(MATCH($A227,Raw_D3!$A$2:$A$1001,0),""))</f>
        <v/>
      </c>
    </row>
    <row r="228" spans="1:44" x14ac:dyDescent="0.25">
      <c r="A228" s="5">
        <v>227</v>
      </c>
      <c r="B228" s="11">
        <f>IF($A228="","",IF($AP228&lt;&gt;"",INDEX(Raw_D1!$B$2:$B$1001,$AP228),IF($AR228&lt;&gt;"",INDEX(Raw_D3!$B$2:$B$1001,$AR228),"")))</f>
        <v>40553.0</v>
      </c>
      <c r="C228" s="5">
        <f>IF($A228="","",IF($AP228&lt;&gt;"",INDEX(Raw_D1!$C$2:$C$1001,$AP228),IF($AR228&lt;&gt;"",INDEX(Raw_D3!$C$2:$C$1001,$AR228),"")))</f>
        <v>1</v>
      </c>
      <c r="D228" s="5">
        <f>IF($A228="","",IF($AP228&lt;&gt;"",INDEX(Raw_D1!$D$2:$D$1001,$AP228),IF($AR228&lt;&gt;"",INDEX(Raw_D3!$D$2:$D$1001,$AR228),"")))</f>
        <v>0</v>
      </c>
      <c r="E228" s="5">
        <f>IF($A228="","",IF($AP228&lt;&gt;"",INDEX(Raw_D1!$E$2:$E$1001,$AP228),IF($AR228&lt;&gt;"",INDEX(Raw_D3!$E$2:$E$1001,$AR228),"")))</f>
        <v>1</v>
      </c>
      <c r="F228" s="5">
        <f>IF($A228="","",IF($AP228&lt;&gt;"",INDEX(Raw_D1!$F$2:$F$1001,$AP228),IF($AR228&lt;&gt;"",INDEX(Raw_D3!$F$2:$F$1001,$AR228),"")))</f>
        <v>17</v>
      </c>
      <c r="G228" s="5">
        <f>IF($A228="","",IF($AP228&lt;&gt;"",IF(INDEX(Raw_D1!$G$2:$G$1001,$AP228),1,0),IF($AR228&lt;&gt;"",IF(INDEX(Raw_D3!$G$2:$G$1001,$AR228),1,0),"")))</f>
        <v>0</v>
      </c>
      <c r="H228" s="5">
        <f>IF($A228="","",IF($AP228&lt;&gt;"",INDEX(Raw_D1!$H$2:$H$1001,$AP228),IF($AR228&lt;&gt;"",INDEX(Raw_D3!$H$2:$H$1001,$AR228),"")))</f>
        <v>1</v>
      </c>
      <c r="I228" s="5">
        <f>IF($A228="","",IF($AP228&lt;&gt;"",INDEX(Raw_D1!$I$2:$I$1001,$AP228),IF($AR228&lt;&gt;"",INDEX(Raw_D3!$I$2:$I$1001,$AR228),"")))</f>
        <v>1</v>
      </c>
      <c r="J228" s="16">
        <f>IF($A228="","",IF($AP228&lt;&gt;"",INDEX(Raw_D1!$J$2:$J$1001,$AP228),IF($AR228&lt;&gt;"",INDEX(Raw_D3!$J$2:$J$1001,$AR228),"")))</f>
        <v>0.2</v>
      </c>
      <c r="K228" s="17">
        <f>IF($A228="","",IF($AQ228&lt;&gt;"",IF(INDEX(Raw_D2!$C$2:$C$1001,$AQ228)="","",INDEX(Raw_D2!$C$2:$C$1001,$AQ228)),IF($AR228&lt;&gt;"",IF(INDEX(Raw_D3!$K$2:$K$1001,$AR228)="","",INDEX(Raw_D3!$K$2:$K$1001,$AR228)),"")))</f>
        <v>0.2273</v>
      </c>
      <c r="L228" s="16">
        <f>IF($A228="","",IF($AQ228&lt;&gt;"",IF(INDEX(Raw_D2!$D$2:$D$1001,$AQ228)="","",INDEX(Raw_D2!$D$2:$D$1001,$AQ228)),IF($AR228&lt;&gt;"",IF(INDEX(Raw_D3!$L$2:$L$1001,$AR228)="","",INDEX(Raw_D3!$L$2:$L$1001,$AR228)),"")))</f>
        <v>0.4</v>
      </c>
      <c r="M228" s="17">
        <f>IF($A228="","",IF($AQ228&lt;&gt;"",IF(INDEX(Raw_D2!$E$2:$E$1001,$AQ228)="","",INDEX(Raw_D2!$E$2:$E$1001,$AQ228)),IF($AR228&lt;&gt;"",IF(INDEX(Raw_D3!$M$2:$M$1001,$AR228)="","",INDEX(Raw_D3!$M$2:$M$1001,$AR228)),"")))</f>
        <v>0.1045</v>
      </c>
      <c r="N228" s="5">
        <f>IF($A228="","",IF($AQ228&lt;&gt;"",IF(INDEX(Raw_D2!$F$2:$F$1001,$AQ228)="","",INDEX(Raw_D2!$F$2:$F$1001,$AQ228)),IF($AR228&lt;&gt;"",IF(INDEX(Raw_D3!$N$2:$N$1001,$AR228)="","",INDEX(Raw_D3!$N$2:$N$1001,$AR228)),"")))</f>
        <v>4</v>
      </c>
      <c r="O228" s="5">
        <f>IF($A228="","",IF($AQ228&lt;&gt;"",IF(INDEX(Raw_D2!$G$2:$G$1001,$AQ228)="","",INDEX(Raw_D2!$G$2:$G$1001,$AQ228)),IF($AR228&lt;&gt;"",IF(INDEX(Raw_D3!$O$2:$O$1001,$AR228)="","",INDEX(Raw_D3!$O$2:$O$1001,$AR228)),"")))</f>
        <v>174</v>
      </c>
      <c r="P228" s="5">
        <f>IF($A228="","",IF($AQ228&lt;&gt;"",IF(INDEX(Raw_D2!$H$2:$H$1001,$AQ228)="","",INDEX(Raw_D2!$H$2:$H$1001,$AQ228)),IF($AR228&lt;&gt;"",IF(INDEX(Raw_D3!$P$2:$P$1001,$AR228)="","",INDEX(Raw_D3!$P$2:$P$1001,$AR228)),"")))</f>
        <v>178</v>
      </c>
      <c r="Q228" s="5" t="str">
        <f>IF($A228="","",IF(AND($AP228&lt;&gt;"",$AQ228&lt;&gt;""),"D1+D2",IF($AR228&lt;&gt;"","D3","Incomplete")))</f>
        <v>D1+D2</v>
      </c>
      <c r="R228" s="17">
        <f>IF($A228="","",IF($K228="",IF($J228="","",ROUND(Lookups!$K$5+Lookups!$K$4*$J228,4)),$K228))</f>
        <v>0.2273</v>
      </c>
      <c r="S228" s="5" t="str">
        <f>IF($A228="","",IF($K228="","Imputed","Original"))</f>
        <v>Original</v>
      </c>
      <c r="T228" s="5" t="str">
        <f>IF($A228="","",IF($P228="","Missing",IF($P228=$N228+$O228,"OK","Mismatch")))</f>
        <v>OK</v>
      </c>
      <c r="U228" s="5" t="str">
        <f>IF($A228="","",IF(COUNTIF($A$2:$A228,$A228)&gt;1,"Duplicate","Unique"))</f>
        <v>Unique</v>
      </c>
      <c r="V228" s="5">
        <f>IF($A228="","",IF(AND($U228="Unique",ISNUMBER($P228)),1,0))</f>
        <v>1</v>
      </c>
      <c r="W228" s="5" t="str">
        <f>IF($A228="","",IF(OR($H228=0,$H228=6),"Weekend","Weekday"))</f>
        <v>Weekday</v>
      </c>
      <c r="X228" s="5" t="str">
        <f>IF($A228="","",TEXT($B228,"ddd"))</f>
        <v>Mon</v>
      </c>
      <c r="Y228" s="5" t="str">
        <f>IF($A228="","",TEXT($B228,"mmm"))</f>
        <v>Jan</v>
      </c>
      <c r="Z228" s="5" t="str">
        <f>IF($A228="","",IFERROR(VLOOKUP($C228,Lookups!$D$4:$E$7,2,FALSE),"Unknown"))</f>
        <v>Winter</v>
      </c>
      <c r="AA228" s="5" t="str">
        <f>IF($A228="","",IFERROR(VLOOKUP($I228,Lookups!$A$4:$B$7,2,FALSE),"Unknown"))</f>
        <v>Clear</v>
      </c>
      <c r="AB228" s="5" t="str">
        <f>IF($A228="","",TEXT($F228,"00")&amp;":00")</f>
        <v>17:00</v>
      </c>
      <c r="AC228" s="5" t="str">
        <f>IF($A228="","",VLOOKUP($F228,Lookups!$G$4:$H$8,2,TRUE))</f>
        <v>Evening Peak (16-19)</v>
      </c>
      <c r="AD228" s="18">
        <f>IF($A228="","",IF($J228="","",ROUND($J228*41,1)))</f>
        <v>8.2</v>
      </c>
      <c r="AE228" s="18">
        <f>IF($A228="","",IF($R228="","",ROUND($R228*50,1)))</f>
        <v>11.4</v>
      </c>
      <c r="AF228" s="5">
        <f>IF($A228="","",IF($L228="","",ROUND($L228*100,0)))</f>
        <v>40</v>
      </c>
      <c r="AG228" s="18">
        <f>IF($A228="","",IF($M228="","",ROUND($M228*67,1)))</f>
        <v>7</v>
      </c>
      <c r="AH228" s="19">
        <f>IF($A228="","",IF($P228="","",IF($P228=0,0,$O228/$P228)))</f>
        <v>0.97752808988764</v>
      </c>
      <c r="AI228" s="5" t="str">
        <f>IF($A228="","",IF($P228="","",IF($P228&gt;=Lookups!$K$7,"High",IF($P228&lt;=Lookups!$K$8,"Low","Medium"))))</f>
        <v>High</v>
      </c>
      <c r="AJ228" s="5" t="str">
        <f>IF($A228="","",IF($AD228="","",IF($AD228&lt;5,"Under 5 C",IF($AD228&lt;10,"5-10 C",IF($AD228&lt;15,"10-15 C","15 C and above")))))</f>
        <v>5-10 C</v>
      </c>
      <c r="AK228" s="5">
        <f>IF($A228="","",IF($P228="","",$P228^2))</f>
        <v>31684</v>
      </c>
      <c r="AL228" s="18">
        <f>IF($V228&lt;&gt;1,"",AVERAGEIFS(Clean_Data!$P$2:$P$1001,Clean_Data!$F$2:$F$1001,$F228,Clean_Data!$W$2:$W$1001,$W228,Clean_Data!$V$2:$V$1001,1))</f>
        <v>165.566666666667</v>
      </c>
      <c r="AM228" s="16">
        <f>IF($V228&lt;&gt;1,"",IFERROR(($P228-$AL228)/SQRT(MAX(0,(SUMIFS(Clean_Data!$AK$2:$AK$1001,Clean_Data!$F$2:$F$1001,$F228,Clean_Data!$W$2:$W$1001,$W228,Clean_Data!$V$2:$V$1001,1)-COUNTIFS(Clean_Data!$F$2:$F$1001,$F228,Clean_Data!$W$2:$W$1001,$W228,Clean_Data!$V$2:$V$1001,1)*$AL228^2)/(COUNTIFS(Clean_Data!$F$2:$F$1001,$F228,Clean_Data!$W$2:$W$1001,$W228,Clean_Data!$V$2:$V$1001,1)-1))),""))</f>
        <v>0.282491826874458</v>
      </c>
      <c r="AN228" s="5" t="str">
        <f>IF($AM228="","",IF($AM228&gt;=Lookups!$K$6,"High spike",IF($AM228&lt;=-Lookups!$K$6,"Unusual low","Normal")))</f>
        <v>Normal</v>
      </c>
      <c r="AO228" s="20">
        <f>IF($V228&lt;&gt;1,"",$P228+ROW()/100000)</f>
        <v>178.00228</v>
      </c>
      <c r="AP228" s="5">
        <f>IF($A228="","",IFERROR(MATCH($A228,Raw_D1!$A$2:$A$1001,0),""))</f>
        <v>227</v>
      </c>
      <c r="AQ228" s="5">
        <f>IF($A228="","",IFERROR(MATCH($A228,Raw_D2!$B$2:$B$1001,0),""))</f>
        <v>227</v>
      </c>
      <c r="AR228" s="5">
        <f>IF($A228="","",IFERROR(MATCH($A228,Raw_D3!$A$2:$A$1001,0),""))</f>
        <v/>
      </c>
    </row>
    <row r="229" spans="1:44" x14ac:dyDescent="0.25">
      <c r="A229" s="5">
        <v>228</v>
      </c>
      <c r="B229" s="11">
        <f>IF($A229="","",IF($AP229&lt;&gt;"",INDEX(Raw_D1!$B$2:$B$1001,$AP229),IF($AR229&lt;&gt;"",INDEX(Raw_D3!$B$2:$B$1001,$AR229),"")))</f>
        <v>40553.0</v>
      </c>
      <c r="C229" s="5">
        <f>IF($A229="","",IF($AP229&lt;&gt;"",INDEX(Raw_D1!$C$2:$C$1001,$AP229),IF($AR229&lt;&gt;"",INDEX(Raw_D3!$C$2:$C$1001,$AR229),"")))</f>
        <v>1</v>
      </c>
      <c r="D229" s="5">
        <f>IF($A229="","",IF($AP229&lt;&gt;"",INDEX(Raw_D1!$D$2:$D$1001,$AP229),IF($AR229&lt;&gt;"",INDEX(Raw_D3!$D$2:$D$1001,$AR229),"")))</f>
        <v>0</v>
      </c>
      <c r="E229" s="5">
        <f>IF($A229="","",IF($AP229&lt;&gt;"",INDEX(Raw_D1!$E$2:$E$1001,$AP229),IF($AR229&lt;&gt;"",INDEX(Raw_D3!$E$2:$E$1001,$AR229),"")))</f>
        <v>1</v>
      </c>
      <c r="F229" s="5">
        <f>IF($A229="","",IF($AP229&lt;&gt;"",INDEX(Raw_D1!$F$2:$F$1001,$AP229),IF($AR229&lt;&gt;"",INDEX(Raw_D3!$F$2:$F$1001,$AR229),"")))</f>
        <v>18</v>
      </c>
      <c r="G229" s="5">
        <f>IF($A229="","",IF($AP229&lt;&gt;"",IF(INDEX(Raw_D1!$G$2:$G$1001,$AP229),1,0),IF($AR229&lt;&gt;"",IF(INDEX(Raw_D3!$G$2:$G$1001,$AR229),1,0),"")))</f>
        <v>0</v>
      </c>
      <c r="H229" s="5">
        <f>IF($A229="","",IF($AP229&lt;&gt;"",INDEX(Raw_D1!$H$2:$H$1001,$AP229),IF($AR229&lt;&gt;"",INDEX(Raw_D3!$H$2:$H$1001,$AR229),"")))</f>
        <v>1</v>
      </c>
      <c r="I229" s="5">
        <f>IF($A229="","",IF($AP229&lt;&gt;"",INDEX(Raw_D1!$I$2:$I$1001,$AP229),IF($AR229&lt;&gt;"",INDEX(Raw_D3!$I$2:$I$1001,$AR229),"")))</f>
        <v>1</v>
      </c>
      <c r="J229" s="16">
        <f>IF($A229="","",IF($AP229&lt;&gt;"",INDEX(Raw_D1!$J$2:$J$1001,$AP229),IF($AR229&lt;&gt;"",INDEX(Raw_D3!$J$2:$J$1001,$AR229),"")))</f>
        <v>0.2</v>
      </c>
      <c r="K229" s="17">
        <f>IF($A229="","",IF($AQ229&lt;&gt;"",IF(INDEX(Raw_D2!$C$2:$C$1001,$AQ229)="","",INDEX(Raw_D2!$C$2:$C$1001,$AQ229)),IF($AR229&lt;&gt;"",IF(INDEX(Raw_D3!$K$2:$K$1001,$AR229)="","",INDEX(Raw_D3!$K$2:$K$1001,$AR229)),"")))</f>
        <v>0.197</v>
      </c>
      <c r="L229" s="16">
        <f>IF($A229="","",IF($AQ229&lt;&gt;"",IF(INDEX(Raw_D2!$D$2:$D$1001,$AQ229)="","",INDEX(Raw_D2!$D$2:$D$1001,$AQ229)),IF($AR229&lt;&gt;"",IF(INDEX(Raw_D3!$L$2:$L$1001,$AR229)="","",INDEX(Raw_D3!$L$2:$L$1001,$AR229)),"")))</f>
        <v>0.4</v>
      </c>
      <c r="M229" s="17">
        <f>IF($A229="","",IF($AQ229&lt;&gt;"",IF(INDEX(Raw_D2!$E$2:$E$1001,$AQ229)="","",INDEX(Raw_D2!$E$2:$E$1001,$AQ229)),IF($AR229&lt;&gt;"",IF(INDEX(Raw_D3!$M$2:$M$1001,$AR229)="","",INDEX(Raw_D3!$M$2:$M$1001,$AR229)),"")))</f>
        <v>0.2239</v>
      </c>
      <c r="N229" s="5">
        <f>IF($A229="","",IF($AQ229&lt;&gt;"",IF(INDEX(Raw_D2!$F$2:$F$1001,$AQ229)="","",INDEX(Raw_D2!$F$2:$F$1001,$AQ229)),IF($AR229&lt;&gt;"",IF(INDEX(Raw_D3!$N$2:$N$1001,$AR229)="","",INDEX(Raw_D3!$N$2:$N$1001,$AR229)),"")))</f>
        <v>1</v>
      </c>
      <c r="O229" s="5">
        <f>IF($A229="","",IF($AQ229&lt;&gt;"",IF(INDEX(Raw_D2!$G$2:$G$1001,$AQ229)="","",INDEX(Raw_D2!$G$2:$G$1001,$AQ229)),IF($AR229&lt;&gt;"",IF(INDEX(Raw_D3!$O$2:$O$1001,$AR229)="","",INDEX(Raw_D3!$O$2:$O$1001,$AR229)),"")))</f>
        <v>154</v>
      </c>
      <c r="P229" s="5">
        <f>IF($A229="","",IF($AQ229&lt;&gt;"",IF(INDEX(Raw_D2!$H$2:$H$1001,$AQ229)="","",INDEX(Raw_D2!$H$2:$H$1001,$AQ229)),IF($AR229&lt;&gt;"",IF(INDEX(Raw_D3!$P$2:$P$1001,$AR229)="","",INDEX(Raw_D3!$P$2:$P$1001,$AR229)),"")))</f>
        <v>155</v>
      </c>
      <c r="Q229" s="5" t="str">
        <f>IF($A229="","",IF(AND($AP229&lt;&gt;"",$AQ229&lt;&gt;""),"D1+D2",IF($AR229&lt;&gt;"","D3","Incomplete")))</f>
        <v>D1+D2</v>
      </c>
      <c r="R229" s="17">
        <f>IF($A229="","",IF($K229="",IF($J229="","",ROUND(Lookups!$K$5+Lookups!$K$4*$J229,4)),$K229))</f>
        <v>0.197</v>
      </c>
      <c r="S229" s="5" t="str">
        <f>IF($A229="","",IF($K229="","Imputed","Original"))</f>
        <v>Original</v>
      </c>
      <c r="T229" s="5" t="str">
        <f>IF($A229="","",IF($P229="","Missing",IF($P229=$N229+$O229,"OK","Mismatch")))</f>
        <v>OK</v>
      </c>
      <c r="U229" s="5" t="str">
        <f>IF($A229="","",IF(COUNTIF($A$2:$A229,$A229)&gt;1,"Duplicate","Unique"))</f>
        <v>Unique</v>
      </c>
      <c r="V229" s="5">
        <f>IF($A229="","",IF(AND($U229="Unique",ISNUMBER($P229)),1,0))</f>
        <v>1</v>
      </c>
      <c r="W229" s="5" t="str">
        <f>IF($A229="","",IF(OR($H229=0,$H229=6),"Weekend","Weekday"))</f>
        <v>Weekday</v>
      </c>
      <c r="X229" s="5" t="str">
        <f>IF($A229="","",TEXT($B229,"ddd"))</f>
        <v>Mon</v>
      </c>
      <c r="Y229" s="5" t="str">
        <f>IF($A229="","",TEXT($B229,"mmm"))</f>
        <v>Jan</v>
      </c>
      <c r="Z229" s="5" t="str">
        <f>IF($A229="","",IFERROR(VLOOKUP($C229,Lookups!$D$4:$E$7,2,FALSE),"Unknown"))</f>
        <v>Winter</v>
      </c>
      <c r="AA229" s="5" t="str">
        <f>IF($A229="","",IFERROR(VLOOKUP($I229,Lookups!$A$4:$B$7,2,FALSE),"Unknown"))</f>
        <v>Clear</v>
      </c>
      <c r="AB229" s="5" t="str">
        <f>IF($A229="","",TEXT($F229,"00")&amp;":00")</f>
        <v>18:00</v>
      </c>
      <c r="AC229" s="5" t="str">
        <f>IF($A229="","",VLOOKUP($F229,Lookups!$G$4:$H$8,2,TRUE))</f>
        <v>Evening Peak (16-19)</v>
      </c>
      <c r="AD229" s="18">
        <f>IF($A229="","",IF($J229="","",ROUND($J229*41,1)))</f>
        <v>8.2</v>
      </c>
      <c r="AE229" s="18">
        <f>IF($A229="","",IF($R229="","",ROUND($R229*50,1)))</f>
        <v>9.9</v>
      </c>
      <c r="AF229" s="5">
        <f>IF($A229="","",IF($L229="","",ROUND($L229*100,0)))</f>
        <v>40</v>
      </c>
      <c r="AG229" s="18">
        <f>IF($A229="","",IF($M229="","",ROUND($M229*67,1)))</f>
        <v>15</v>
      </c>
      <c r="AH229" s="19">
        <f>IF($A229="","",IF($P229="","",IF($P229=0,0,$O229/$P229)))</f>
        <v>0.993548387096774</v>
      </c>
      <c r="AI229" s="5" t="str">
        <f>IF($A229="","",IF($P229="","",IF($P229&gt;=Lookups!$K$7,"High",IF($P229&lt;=Lookups!$K$8,"Low","Medium"))))</f>
        <v>High</v>
      </c>
      <c r="AJ229" s="5" t="str">
        <f>IF($A229="","",IF($AD229="","",IF($AD229&lt;5,"Under 5 C",IF($AD229&lt;10,"5-10 C",IF($AD229&lt;15,"10-15 C","15 C and above")))))</f>
        <v>5-10 C</v>
      </c>
      <c r="AK229" s="5">
        <f>IF($A229="","",IF($P229="","",$P229^2))</f>
        <v>24025</v>
      </c>
      <c r="AL229" s="18">
        <f>IF($V229&lt;&gt;1,"",AVERAGEIFS(Clean_Data!$P$2:$P$1001,Clean_Data!$F$2:$F$1001,$F229,Clean_Data!$W$2:$W$1001,$W229,Clean_Data!$V$2:$V$1001,1))</f>
        <v>151.206896551724</v>
      </c>
      <c r="AM229" s="16">
        <f>IF($V229&lt;&gt;1,"",IFERROR(($P229-$AL229)/SQRT(MAX(0,(SUMIFS(Clean_Data!$AK$2:$AK$1001,Clean_Data!$F$2:$F$1001,$F229,Clean_Data!$W$2:$W$1001,$W229,Clean_Data!$V$2:$V$1001,1)-COUNTIFS(Clean_Data!$F$2:$F$1001,$F229,Clean_Data!$W$2:$W$1001,$W229,Clean_Data!$V$2:$V$1001,1)*$AL229^2)/(COUNTIFS(Clean_Data!$F$2:$F$1001,$F229,Clean_Data!$W$2:$W$1001,$W229,Clean_Data!$V$2:$V$1001,1)-1))),""))</f>
        <v>0.129239785146822</v>
      </c>
      <c r="AN229" s="5" t="str">
        <f>IF($AM229="","",IF($AM229&gt;=Lookups!$K$6,"High spike",IF($AM229&lt;=-Lookups!$K$6,"Unusual low","Normal")))</f>
        <v>Normal</v>
      </c>
      <c r="AO229" s="20">
        <f>IF($V229&lt;&gt;1,"",$P229+ROW()/100000)</f>
        <v>155.00229</v>
      </c>
      <c r="AP229" s="5">
        <f>IF($A229="","",IFERROR(MATCH($A229,Raw_D1!$A$2:$A$1001,0),""))</f>
        <v>228</v>
      </c>
      <c r="AQ229" s="5">
        <f>IF($A229="","",IFERROR(MATCH($A229,Raw_D2!$B$2:$B$1001,0),""))</f>
        <v>228</v>
      </c>
      <c r="AR229" s="5">
        <f>IF($A229="","",IFERROR(MATCH($A229,Raw_D3!$A$2:$A$1001,0),""))</f>
        <v/>
      </c>
    </row>
    <row r="230" spans="1:44" x14ac:dyDescent="0.25">
      <c r="A230" s="5">
        <v>229</v>
      </c>
      <c r="B230" s="11">
        <f>IF($A230="","",IF($AP230&lt;&gt;"",INDEX(Raw_D1!$B$2:$B$1001,$AP230),IF($AR230&lt;&gt;"",INDEX(Raw_D3!$B$2:$B$1001,$AR230),"")))</f>
        <v>40553.0</v>
      </c>
      <c r="C230" s="5">
        <f>IF($A230="","",IF($AP230&lt;&gt;"",INDEX(Raw_D1!$C$2:$C$1001,$AP230),IF($AR230&lt;&gt;"",INDEX(Raw_D3!$C$2:$C$1001,$AR230),"")))</f>
        <v>1</v>
      </c>
      <c r="D230" s="5">
        <f>IF($A230="","",IF($AP230&lt;&gt;"",INDEX(Raw_D1!$D$2:$D$1001,$AP230),IF($AR230&lt;&gt;"",INDEX(Raw_D3!$D$2:$D$1001,$AR230),"")))</f>
        <v>0</v>
      </c>
      <c r="E230" s="5">
        <f>IF($A230="","",IF($AP230&lt;&gt;"",INDEX(Raw_D1!$E$2:$E$1001,$AP230),IF($AR230&lt;&gt;"",INDEX(Raw_D3!$E$2:$E$1001,$AR230),"")))</f>
        <v>1</v>
      </c>
      <c r="F230" s="5">
        <f>IF($A230="","",IF($AP230&lt;&gt;"",INDEX(Raw_D1!$F$2:$F$1001,$AP230),IF($AR230&lt;&gt;"",INDEX(Raw_D3!$F$2:$F$1001,$AR230),"")))</f>
        <v>19</v>
      </c>
      <c r="G230" s="5">
        <f>IF($A230="","",IF($AP230&lt;&gt;"",IF(INDEX(Raw_D1!$G$2:$G$1001,$AP230),1,0),IF($AR230&lt;&gt;"",IF(INDEX(Raw_D3!$G$2:$G$1001,$AR230),1,0),"")))</f>
        <v>0</v>
      </c>
      <c r="H230" s="5">
        <f>IF($A230="","",IF($AP230&lt;&gt;"",INDEX(Raw_D1!$H$2:$H$1001,$AP230),IF($AR230&lt;&gt;"",INDEX(Raw_D3!$H$2:$H$1001,$AR230),"")))</f>
        <v>1</v>
      </c>
      <c r="I230" s="5">
        <f>IF($A230="","",IF($AP230&lt;&gt;"",INDEX(Raw_D1!$I$2:$I$1001,$AP230),IF($AR230&lt;&gt;"",INDEX(Raw_D3!$I$2:$I$1001,$AR230),"")))</f>
        <v>1</v>
      </c>
      <c r="J230" s="16">
        <f>IF($A230="","",IF($AP230&lt;&gt;"",INDEX(Raw_D1!$J$2:$J$1001,$AP230),IF($AR230&lt;&gt;"",INDEX(Raw_D3!$J$2:$J$1001,$AR230),"")))</f>
        <v>0.16</v>
      </c>
      <c r="K230" s="17">
        <f>IF($A230="","",IF($AQ230&lt;&gt;"",IF(INDEX(Raw_D2!$C$2:$C$1001,$AQ230)="","",INDEX(Raw_D2!$C$2:$C$1001,$AQ230)),IF($AR230&lt;&gt;"",IF(INDEX(Raw_D3!$K$2:$K$1001,$AR230)="","",INDEX(Raw_D3!$K$2:$K$1001,$AR230)),"")))</f>
        <v>0.1667</v>
      </c>
      <c r="L230" s="16">
        <f>IF($A230="","",IF($AQ230&lt;&gt;"",IF(INDEX(Raw_D2!$D$2:$D$1001,$AQ230)="","",INDEX(Raw_D2!$D$2:$D$1001,$AQ230)),IF($AR230&lt;&gt;"",IF(INDEX(Raw_D3!$L$2:$L$1001,$AR230)="","",INDEX(Raw_D3!$L$2:$L$1001,$AR230)),"")))</f>
        <v>0.47</v>
      </c>
      <c r="M230" s="17">
        <f>IF($A230="","",IF($AQ230&lt;&gt;"",IF(INDEX(Raw_D2!$E$2:$E$1001,$AQ230)="","",INDEX(Raw_D2!$E$2:$E$1001,$AQ230)),IF($AR230&lt;&gt;"",IF(INDEX(Raw_D3!$M$2:$M$1001,$AR230)="","",INDEX(Raw_D3!$M$2:$M$1001,$AR230)),"")))</f>
        <v>0.1642</v>
      </c>
      <c r="N230" s="5">
        <f>IF($A230="","",IF($AQ230&lt;&gt;"",IF(INDEX(Raw_D2!$F$2:$F$1001,$AQ230)="","",INDEX(Raw_D2!$F$2:$F$1001,$AQ230)),IF($AR230&lt;&gt;"",IF(INDEX(Raw_D3!$N$2:$N$1001,$AR230)="","",INDEX(Raw_D3!$N$2:$N$1001,$AR230)),"")))</f>
        <v>3</v>
      </c>
      <c r="O230" s="5">
        <f>IF($A230="","",IF($AQ230&lt;&gt;"",IF(INDEX(Raw_D2!$G$2:$G$1001,$AQ230)="","",INDEX(Raw_D2!$G$2:$G$1001,$AQ230)),IF($AR230&lt;&gt;"",IF(INDEX(Raw_D3!$O$2:$O$1001,$AR230)="","",INDEX(Raw_D3!$O$2:$O$1001,$AR230)),"")))</f>
        <v>92</v>
      </c>
      <c r="P230" s="5">
        <f>IF($A230="","",IF($AQ230&lt;&gt;"",IF(INDEX(Raw_D2!$H$2:$H$1001,$AQ230)="","",INDEX(Raw_D2!$H$2:$H$1001,$AQ230)),IF($AR230&lt;&gt;"",IF(INDEX(Raw_D3!$P$2:$P$1001,$AR230)="","",INDEX(Raw_D3!$P$2:$P$1001,$AR230)),"")))</f>
        <v>95</v>
      </c>
      <c r="Q230" s="5" t="str">
        <f>IF($A230="","",IF(AND($AP230&lt;&gt;"",$AQ230&lt;&gt;""),"D1+D2",IF($AR230&lt;&gt;"","D3","Incomplete")))</f>
        <v>D1+D2</v>
      </c>
      <c r="R230" s="17">
        <f>IF($A230="","",IF($K230="",IF($J230="","",ROUND(Lookups!$K$5+Lookups!$K$4*$J230,4)),$K230))</f>
        <v>0.1667</v>
      </c>
      <c r="S230" s="5" t="str">
        <f>IF($A230="","",IF($K230="","Imputed","Original"))</f>
        <v>Original</v>
      </c>
      <c r="T230" s="5" t="str">
        <f>IF($A230="","",IF($P230="","Missing",IF($P230=$N230+$O230,"OK","Mismatch")))</f>
        <v>OK</v>
      </c>
      <c r="U230" s="5" t="str">
        <f>IF($A230="","",IF(COUNTIF($A$2:$A230,$A230)&gt;1,"Duplicate","Unique"))</f>
        <v>Unique</v>
      </c>
      <c r="V230" s="5">
        <f>IF($A230="","",IF(AND($U230="Unique",ISNUMBER($P230)),1,0))</f>
        <v>1</v>
      </c>
      <c r="W230" s="5" t="str">
        <f>IF($A230="","",IF(OR($H230=0,$H230=6),"Weekend","Weekday"))</f>
        <v>Weekday</v>
      </c>
      <c r="X230" s="5" t="str">
        <f>IF($A230="","",TEXT($B230,"ddd"))</f>
        <v>Mon</v>
      </c>
      <c r="Y230" s="5" t="str">
        <f>IF($A230="","",TEXT($B230,"mmm"))</f>
        <v>Jan</v>
      </c>
      <c r="Z230" s="5" t="str">
        <f>IF($A230="","",IFERROR(VLOOKUP($C230,Lookups!$D$4:$E$7,2,FALSE),"Unknown"))</f>
        <v>Winter</v>
      </c>
      <c r="AA230" s="5" t="str">
        <f>IF($A230="","",IFERROR(VLOOKUP($I230,Lookups!$A$4:$B$7,2,FALSE),"Unknown"))</f>
        <v>Clear</v>
      </c>
      <c r="AB230" s="5" t="str">
        <f>IF($A230="","",TEXT($F230,"00")&amp;":00")</f>
        <v>19:00</v>
      </c>
      <c r="AC230" s="5" t="str">
        <f>IF($A230="","",VLOOKUP($F230,Lookups!$G$4:$H$8,2,TRUE))</f>
        <v>Evening Peak (16-19)</v>
      </c>
      <c r="AD230" s="18">
        <f>IF($A230="","",IF($J230="","",ROUND($J230*41,1)))</f>
        <v>6.6</v>
      </c>
      <c r="AE230" s="18">
        <f>IF($A230="","",IF($R230="","",ROUND($R230*50,1)))</f>
        <v>8.3</v>
      </c>
      <c r="AF230" s="5">
        <f>IF($A230="","",IF($L230="","",ROUND($L230*100,0)))</f>
        <v>47</v>
      </c>
      <c r="AG230" s="18">
        <f>IF($A230="","",IF($M230="","",ROUND($M230*67,1)))</f>
        <v>11</v>
      </c>
      <c r="AH230" s="19">
        <f>IF($A230="","",IF($P230="","",IF($P230=0,0,$O230/$P230)))</f>
        <v>0.968421052631579</v>
      </c>
      <c r="AI230" s="5" t="str">
        <f>IF($A230="","",IF($P230="","",IF($P230&gt;=Lookups!$K$7,"High",IF($P230&lt;=Lookups!$K$8,"Low","Medium"))))</f>
        <v>High</v>
      </c>
      <c r="AJ230" s="5" t="str">
        <f>IF($A230="","",IF($AD230="","",IF($AD230&lt;5,"Under 5 C",IF($AD230&lt;10,"5-10 C",IF($AD230&lt;15,"10-15 C","15 C and above")))))</f>
        <v>5-10 C</v>
      </c>
      <c r="AK230" s="5">
        <f>IF($A230="","",IF($P230="","",$P230^2))</f>
        <v>9025</v>
      </c>
      <c r="AL230" s="18">
        <f>IF($V230&lt;&gt;1,"",AVERAGEIFS(Clean_Data!$P$2:$P$1001,Clean_Data!$F$2:$F$1001,$F230,Clean_Data!$W$2:$W$1001,$W230,Clean_Data!$V$2:$V$1001,1))</f>
        <v>102.034482758621</v>
      </c>
      <c r="AM230" s="16">
        <f>IF($V230&lt;&gt;1,"",IFERROR(($P230-$AL230)/SQRT(MAX(0,(SUMIFS(Clean_Data!$AK$2:$AK$1001,Clean_Data!$F$2:$F$1001,$F230,Clean_Data!$W$2:$W$1001,$W230,Clean_Data!$V$2:$V$1001,1)-COUNTIFS(Clean_Data!$F$2:$F$1001,$F230,Clean_Data!$W$2:$W$1001,$W230,Clean_Data!$V$2:$V$1001,1)*$AL230^2)/(COUNTIFS(Clean_Data!$F$2:$F$1001,$F230,Clean_Data!$W$2:$W$1001,$W230,Clean_Data!$V$2:$V$1001,1)-1))),""))</f>
        <v>-0.331070939983902</v>
      </c>
      <c r="AN230" s="5" t="str">
        <f>IF($AM230="","",IF($AM230&gt;=Lookups!$K$6,"High spike",IF($AM230&lt;=-Lookups!$K$6,"Unusual low","Normal")))</f>
        <v>Normal</v>
      </c>
      <c r="AO230" s="20">
        <f>IF($V230&lt;&gt;1,"",$P230+ROW()/100000)</f>
        <v>95.0023</v>
      </c>
      <c r="AP230" s="5">
        <f>IF($A230="","",IFERROR(MATCH($A230,Raw_D1!$A$2:$A$1001,0),""))</f>
        <v>229</v>
      </c>
      <c r="AQ230" s="5">
        <f>IF($A230="","",IFERROR(MATCH($A230,Raw_D2!$B$2:$B$1001,0),""))</f>
        <v>229</v>
      </c>
      <c r="AR230" s="5">
        <f>IF($A230="","",IFERROR(MATCH($A230,Raw_D3!$A$2:$A$1001,0),""))</f>
        <v/>
      </c>
    </row>
    <row r="231" spans="1:44" x14ac:dyDescent="0.25">
      <c r="A231" s="5">
        <v>230</v>
      </c>
      <c r="B231" s="11">
        <f>IF($A231="","",IF($AP231&lt;&gt;"",INDEX(Raw_D1!$B$2:$B$1001,$AP231),IF($AR231&lt;&gt;"",INDEX(Raw_D3!$B$2:$B$1001,$AR231),"")))</f>
        <v>40553.0</v>
      </c>
      <c r="C231" s="5">
        <f>IF($A231="","",IF($AP231&lt;&gt;"",INDEX(Raw_D1!$C$2:$C$1001,$AP231),IF($AR231&lt;&gt;"",INDEX(Raw_D3!$C$2:$C$1001,$AR231),"")))</f>
        <v>1</v>
      </c>
      <c r="D231" s="5">
        <f>IF($A231="","",IF($AP231&lt;&gt;"",INDEX(Raw_D1!$D$2:$D$1001,$AP231),IF($AR231&lt;&gt;"",INDEX(Raw_D3!$D$2:$D$1001,$AR231),"")))</f>
        <v>0</v>
      </c>
      <c r="E231" s="5">
        <f>IF($A231="","",IF($AP231&lt;&gt;"",INDEX(Raw_D1!$E$2:$E$1001,$AP231),IF($AR231&lt;&gt;"",INDEX(Raw_D3!$E$2:$E$1001,$AR231),"")))</f>
        <v>1</v>
      </c>
      <c r="F231" s="5">
        <f>IF($A231="","",IF($AP231&lt;&gt;"",INDEX(Raw_D1!$F$2:$F$1001,$AP231),IF($AR231&lt;&gt;"",INDEX(Raw_D3!$F$2:$F$1001,$AR231),"")))</f>
        <v>20</v>
      </c>
      <c r="G231" s="5">
        <f>IF($A231="","",IF($AP231&lt;&gt;"",IF(INDEX(Raw_D1!$G$2:$G$1001,$AP231),1,0),IF($AR231&lt;&gt;"",IF(INDEX(Raw_D3!$G$2:$G$1001,$AR231),1,0),"")))</f>
        <v>0</v>
      </c>
      <c r="H231" s="5">
        <f>IF($A231="","",IF($AP231&lt;&gt;"",INDEX(Raw_D1!$H$2:$H$1001,$AP231),IF($AR231&lt;&gt;"",INDEX(Raw_D3!$H$2:$H$1001,$AR231),"")))</f>
        <v>1</v>
      </c>
      <c r="I231" s="5">
        <f>IF($A231="","",IF($AP231&lt;&gt;"",INDEX(Raw_D1!$I$2:$I$1001,$AP231),IF($AR231&lt;&gt;"",INDEX(Raw_D3!$I$2:$I$1001,$AR231),"")))</f>
        <v>1</v>
      </c>
      <c r="J231" s="16">
        <f>IF($A231="","",IF($AP231&lt;&gt;"",INDEX(Raw_D1!$J$2:$J$1001,$AP231),IF($AR231&lt;&gt;"",INDEX(Raw_D3!$J$2:$J$1001,$AR231),"")))</f>
        <v>0.16</v>
      </c>
      <c r="K231" s="17">
        <f>IF($A231="","",IF($AQ231&lt;&gt;"",IF(INDEX(Raw_D2!$C$2:$C$1001,$AQ231)="","",INDEX(Raw_D2!$C$2:$C$1001,$AQ231)),IF($AR231&lt;&gt;"",IF(INDEX(Raw_D3!$K$2:$K$1001,$AR231)="","",INDEX(Raw_D3!$K$2:$K$1001,$AR231)),"")))</f>
        <v>0.1667</v>
      </c>
      <c r="L231" s="16">
        <f>IF($A231="","",IF($AQ231&lt;&gt;"",IF(INDEX(Raw_D2!$D$2:$D$1001,$AQ231)="","",INDEX(Raw_D2!$D$2:$D$1001,$AQ231)),IF($AR231&lt;&gt;"",IF(INDEX(Raw_D3!$L$2:$L$1001,$AR231)="","",INDEX(Raw_D3!$L$2:$L$1001,$AR231)),"")))</f>
        <v>0.5</v>
      </c>
      <c r="M231" s="17">
        <f>IF($A231="","",IF($AQ231&lt;&gt;"",IF(INDEX(Raw_D2!$E$2:$E$1001,$AQ231)="","",INDEX(Raw_D2!$E$2:$E$1001,$AQ231)),IF($AR231&lt;&gt;"",IF(INDEX(Raw_D3!$M$2:$M$1001,$AR231)="","",INDEX(Raw_D3!$M$2:$M$1001,$AR231)),"")))</f>
        <v>0.1642</v>
      </c>
      <c r="N231" s="5">
        <f>IF($A231="","",IF($AQ231&lt;&gt;"",IF(INDEX(Raw_D2!$F$2:$F$1001,$AQ231)="","",INDEX(Raw_D2!$F$2:$F$1001,$AQ231)),IF($AR231&lt;&gt;"",IF(INDEX(Raw_D3!$N$2:$N$1001,$AR231)="","",INDEX(Raw_D3!$N$2:$N$1001,$AR231)),"")))</f>
        <v>1</v>
      </c>
      <c r="O231" s="5">
        <f>IF($A231="","",IF($AQ231&lt;&gt;"",IF(INDEX(Raw_D2!$G$2:$G$1001,$AQ231)="","",INDEX(Raw_D2!$G$2:$G$1001,$AQ231)),IF($AR231&lt;&gt;"",IF(INDEX(Raw_D3!$O$2:$O$1001,$AR231)="","",INDEX(Raw_D3!$O$2:$O$1001,$AR231)),"")))</f>
        <v>73</v>
      </c>
      <c r="P231" s="5">
        <f>IF($A231="","",IF($AQ231&lt;&gt;"",IF(INDEX(Raw_D2!$H$2:$H$1001,$AQ231)="","",INDEX(Raw_D2!$H$2:$H$1001,$AQ231)),IF($AR231&lt;&gt;"",IF(INDEX(Raw_D3!$P$2:$P$1001,$AR231)="","",INDEX(Raw_D3!$P$2:$P$1001,$AR231)),"")))</f>
        <v>74</v>
      </c>
      <c r="Q231" s="5" t="str">
        <f>IF($A231="","",IF(AND($AP231&lt;&gt;"",$AQ231&lt;&gt;""),"D1+D2",IF($AR231&lt;&gt;"","D3","Incomplete")))</f>
        <v>D1+D2</v>
      </c>
      <c r="R231" s="17">
        <f>IF($A231="","",IF($K231="",IF($J231="","",ROUND(Lookups!$K$5+Lookups!$K$4*$J231,4)),$K231))</f>
        <v>0.1667</v>
      </c>
      <c r="S231" s="5" t="str">
        <f>IF($A231="","",IF($K231="","Imputed","Original"))</f>
        <v>Original</v>
      </c>
      <c r="T231" s="5" t="str">
        <f>IF($A231="","",IF($P231="","Missing",IF($P231=$N231+$O231,"OK","Mismatch")))</f>
        <v>OK</v>
      </c>
      <c r="U231" s="5" t="str">
        <f>IF($A231="","",IF(COUNTIF($A$2:$A231,$A231)&gt;1,"Duplicate","Unique"))</f>
        <v>Unique</v>
      </c>
      <c r="V231" s="5">
        <f>IF($A231="","",IF(AND($U231="Unique",ISNUMBER($P231)),1,0))</f>
        <v>1</v>
      </c>
      <c r="W231" s="5" t="str">
        <f>IF($A231="","",IF(OR($H231=0,$H231=6),"Weekend","Weekday"))</f>
        <v>Weekday</v>
      </c>
      <c r="X231" s="5" t="str">
        <f>IF($A231="","",TEXT($B231,"ddd"))</f>
        <v>Mon</v>
      </c>
      <c r="Y231" s="5" t="str">
        <f>IF($A231="","",TEXT($B231,"mmm"))</f>
        <v>Jan</v>
      </c>
      <c r="Z231" s="5" t="str">
        <f>IF($A231="","",IFERROR(VLOOKUP($C231,Lookups!$D$4:$E$7,2,FALSE),"Unknown"))</f>
        <v>Winter</v>
      </c>
      <c r="AA231" s="5" t="str">
        <f>IF($A231="","",IFERROR(VLOOKUP($I231,Lookups!$A$4:$B$7,2,FALSE),"Unknown"))</f>
        <v>Clear</v>
      </c>
      <c r="AB231" s="5" t="str">
        <f>IF($A231="","",TEXT($F231,"00")&amp;":00")</f>
        <v>20:00</v>
      </c>
      <c r="AC231" s="5" t="str">
        <f>IF($A231="","",VLOOKUP($F231,Lookups!$G$4:$H$8,2,TRUE))</f>
        <v>Late Evening (20-23)</v>
      </c>
      <c r="AD231" s="18">
        <f>IF($A231="","",IF($J231="","",ROUND($J231*41,1)))</f>
        <v>6.6</v>
      </c>
      <c r="AE231" s="18">
        <f>IF($A231="","",IF($R231="","",ROUND($R231*50,1)))</f>
        <v>8.3</v>
      </c>
      <c r="AF231" s="5">
        <f>IF($A231="","",IF($L231="","",ROUND($L231*100,0)))</f>
        <v>50</v>
      </c>
      <c r="AG231" s="18">
        <f>IF($A231="","",IF($M231="","",ROUND($M231*67,1)))</f>
        <v>11</v>
      </c>
      <c r="AH231" s="19">
        <f>IF($A231="","",IF($P231="","",IF($P231=0,0,$O231/$P231)))</f>
        <v>0.986486486486487</v>
      </c>
      <c r="AI231" s="5" t="str">
        <f>IF($A231="","",IF($P231="","",IF($P231&gt;=Lookups!$K$7,"High",IF($P231&lt;=Lookups!$K$8,"Low","Medium"))))</f>
        <v>Medium</v>
      </c>
      <c r="AJ231" s="5" t="str">
        <f>IF($A231="","",IF($AD231="","",IF($AD231&lt;5,"Under 5 C",IF($AD231&lt;10,"5-10 C",IF($AD231&lt;15,"10-15 C","15 C and above")))))</f>
        <v>5-10 C</v>
      </c>
      <c r="AK231" s="5">
        <f>IF($A231="","",IF($P231="","",$P231^2))</f>
        <v>5476</v>
      </c>
      <c r="AL231" s="18">
        <f>IF($V231&lt;&gt;1,"",AVERAGEIFS(Clean_Data!$P$2:$P$1001,Clean_Data!$F$2:$F$1001,$F231,Clean_Data!$W$2:$W$1001,$W231,Clean_Data!$V$2:$V$1001,1))</f>
        <v>72.2758620689655</v>
      </c>
      <c r="AM231" s="16">
        <f>IF($V231&lt;&gt;1,"",IFERROR(($P231-$AL231)/SQRT(MAX(0,(SUMIFS(Clean_Data!$AK$2:$AK$1001,Clean_Data!$F$2:$F$1001,$F231,Clean_Data!$W$2:$W$1001,$W231,Clean_Data!$V$2:$V$1001,1)-COUNTIFS(Clean_Data!$F$2:$F$1001,$F231,Clean_Data!$W$2:$W$1001,$W231,Clean_Data!$V$2:$V$1001,1)*$AL231^2)/(COUNTIFS(Clean_Data!$F$2:$F$1001,$F231,Clean_Data!$W$2:$W$1001,$W231,Clean_Data!$V$2:$V$1001,1)-1))),""))</f>
        <v>0.0780143979228179</v>
      </c>
      <c r="AN231" s="5" t="str">
        <f>IF($AM231="","",IF($AM231&gt;=Lookups!$K$6,"High spike",IF($AM231&lt;=-Lookups!$K$6,"Unusual low","Normal")))</f>
        <v>Normal</v>
      </c>
      <c r="AO231" s="20">
        <f>IF($V231&lt;&gt;1,"",$P231+ROW()/100000)</f>
        <v>74.00231</v>
      </c>
      <c r="AP231" s="5">
        <f>IF($A231="","",IFERROR(MATCH($A231,Raw_D1!$A$2:$A$1001,0),""))</f>
        <v>230</v>
      </c>
      <c r="AQ231" s="5">
        <f>IF($A231="","",IFERROR(MATCH($A231,Raw_D2!$B$2:$B$1001,0),""))</f>
        <v>230</v>
      </c>
      <c r="AR231" s="5">
        <f>IF($A231="","",IFERROR(MATCH($A231,Raw_D3!$A$2:$A$1001,0),""))</f>
        <v/>
      </c>
    </row>
    <row r="232" spans="1:44" x14ac:dyDescent="0.25">
      <c r="A232" s="5">
        <v>231</v>
      </c>
      <c r="B232" s="11">
        <f>IF($A232="","",IF($AP232&lt;&gt;"",INDEX(Raw_D1!$B$2:$B$1001,$AP232),IF($AR232&lt;&gt;"",INDEX(Raw_D3!$B$2:$B$1001,$AR232),"")))</f>
        <v>40553.0</v>
      </c>
      <c r="C232" s="5">
        <f>IF($A232="","",IF($AP232&lt;&gt;"",INDEX(Raw_D1!$C$2:$C$1001,$AP232),IF($AR232&lt;&gt;"",INDEX(Raw_D3!$C$2:$C$1001,$AR232),"")))</f>
        <v>1</v>
      </c>
      <c r="D232" s="5">
        <f>IF($A232="","",IF($AP232&lt;&gt;"",INDEX(Raw_D1!$D$2:$D$1001,$AP232),IF($AR232&lt;&gt;"",INDEX(Raw_D3!$D$2:$D$1001,$AR232),"")))</f>
        <v>0</v>
      </c>
      <c r="E232" s="5">
        <f>IF($A232="","",IF($AP232&lt;&gt;"",INDEX(Raw_D1!$E$2:$E$1001,$AP232),IF($AR232&lt;&gt;"",INDEX(Raw_D3!$E$2:$E$1001,$AR232),"")))</f>
        <v>1</v>
      </c>
      <c r="F232" s="5">
        <f>IF($A232="","",IF($AP232&lt;&gt;"",INDEX(Raw_D1!$F$2:$F$1001,$AP232),IF($AR232&lt;&gt;"",INDEX(Raw_D3!$F$2:$F$1001,$AR232),"")))</f>
        <v>21</v>
      </c>
      <c r="G232" s="5">
        <f>IF($A232="","",IF($AP232&lt;&gt;"",IF(INDEX(Raw_D1!$G$2:$G$1001,$AP232),1,0),IF($AR232&lt;&gt;"",IF(INDEX(Raw_D3!$G$2:$G$1001,$AR232),1,0),"")))</f>
        <v>0</v>
      </c>
      <c r="H232" s="5">
        <f>IF($A232="","",IF($AP232&lt;&gt;"",INDEX(Raw_D1!$H$2:$H$1001,$AP232),IF($AR232&lt;&gt;"",INDEX(Raw_D3!$H$2:$H$1001,$AR232),"")))</f>
        <v>1</v>
      </c>
      <c r="I232" s="5">
        <f>IF($A232="","",IF($AP232&lt;&gt;"",INDEX(Raw_D1!$I$2:$I$1001,$AP232),IF($AR232&lt;&gt;"",INDEX(Raw_D3!$I$2:$I$1001,$AR232),"")))</f>
        <v>1</v>
      </c>
      <c r="J232" s="16">
        <f>IF($A232="","",IF($AP232&lt;&gt;"",INDEX(Raw_D1!$J$2:$J$1001,$AP232),IF($AR232&lt;&gt;"",INDEX(Raw_D3!$J$2:$J$1001,$AR232),"")))</f>
        <v>0.14</v>
      </c>
      <c r="K232" s="17">
        <f>IF($A232="","",IF($AQ232&lt;&gt;"",IF(INDEX(Raw_D2!$C$2:$C$1001,$AQ232)="","",INDEX(Raw_D2!$C$2:$C$1001,$AQ232)),IF($AR232&lt;&gt;"",IF(INDEX(Raw_D3!$K$2:$K$1001,$AR232)="","",INDEX(Raw_D3!$K$2:$K$1001,$AR232)),"")))</f>
        <v>0.1364</v>
      </c>
      <c r="L232" s="16">
        <f>IF($A232="","",IF($AQ232&lt;&gt;"",IF(INDEX(Raw_D2!$D$2:$D$1001,$AQ232)="","",INDEX(Raw_D2!$D$2:$D$1001,$AQ232)),IF($AR232&lt;&gt;"",IF(INDEX(Raw_D3!$L$2:$L$1001,$AR232)="","",INDEX(Raw_D3!$L$2:$L$1001,$AR232)),"")))</f>
        <v>0.59</v>
      </c>
      <c r="M232" s="17">
        <f>IF($A232="","",IF($AQ232&lt;&gt;"",IF(INDEX(Raw_D2!$E$2:$E$1001,$AQ232)="","",INDEX(Raw_D2!$E$2:$E$1001,$AQ232)),IF($AR232&lt;&gt;"",IF(INDEX(Raw_D3!$M$2:$M$1001,$AR232)="","",INDEX(Raw_D3!$M$2:$M$1001,$AR232)),"")))</f>
        <v>0.194</v>
      </c>
      <c r="N232" s="5">
        <f>IF($A232="","",IF($AQ232&lt;&gt;"",IF(INDEX(Raw_D2!$F$2:$F$1001,$AQ232)="","",INDEX(Raw_D2!$F$2:$F$1001,$AQ232)),IF($AR232&lt;&gt;"",IF(INDEX(Raw_D3!$N$2:$N$1001,$AR232)="","",INDEX(Raw_D3!$N$2:$N$1001,$AR232)),"")))</f>
        <v>1</v>
      </c>
      <c r="O232" s="5">
        <f>IF($A232="","",IF($AQ232&lt;&gt;"",IF(INDEX(Raw_D2!$G$2:$G$1001,$AQ232)="","",INDEX(Raw_D2!$G$2:$G$1001,$AQ232)),IF($AR232&lt;&gt;"",IF(INDEX(Raw_D3!$O$2:$O$1001,$AR232)="","",INDEX(Raw_D3!$O$2:$O$1001,$AR232)),"")))</f>
        <v>37</v>
      </c>
      <c r="P232" s="5">
        <f>IF($A232="","",IF($AQ232&lt;&gt;"",IF(INDEX(Raw_D2!$H$2:$H$1001,$AQ232)="","",INDEX(Raw_D2!$H$2:$H$1001,$AQ232)),IF($AR232&lt;&gt;"",IF(INDEX(Raw_D3!$P$2:$P$1001,$AR232)="","",INDEX(Raw_D3!$P$2:$P$1001,$AR232)),"")))</f>
        <v>38</v>
      </c>
      <c r="Q232" s="5" t="str">
        <f>IF($A232="","",IF(AND($AP232&lt;&gt;"",$AQ232&lt;&gt;""),"D1+D2",IF($AR232&lt;&gt;"","D3","Incomplete")))</f>
        <v>D1+D2</v>
      </c>
      <c r="R232" s="17">
        <f>IF($A232="","",IF($K232="",IF($J232="","",ROUND(Lookups!$K$5+Lookups!$K$4*$J232,4)),$K232))</f>
        <v>0.1364</v>
      </c>
      <c r="S232" s="5" t="str">
        <f>IF($A232="","",IF($K232="","Imputed","Original"))</f>
        <v>Original</v>
      </c>
      <c r="T232" s="5" t="str">
        <f>IF($A232="","",IF($P232="","Missing",IF($P232=$N232+$O232,"OK","Mismatch")))</f>
        <v>OK</v>
      </c>
      <c r="U232" s="5" t="str">
        <f>IF($A232="","",IF(COUNTIF($A$2:$A232,$A232)&gt;1,"Duplicate","Unique"))</f>
        <v>Unique</v>
      </c>
      <c r="V232" s="5">
        <f>IF($A232="","",IF(AND($U232="Unique",ISNUMBER($P232)),1,0))</f>
        <v>1</v>
      </c>
      <c r="W232" s="5" t="str">
        <f>IF($A232="","",IF(OR($H232=0,$H232=6),"Weekend","Weekday"))</f>
        <v>Weekday</v>
      </c>
      <c r="X232" s="5" t="str">
        <f>IF($A232="","",TEXT($B232,"ddd"))</f>
        <v>Mon</v>
      </c>
      <c r="Y232" s="5" t="str">
        <f>IF($A232="","",TEXT($B232,"mmm"))</f>
        <v>Jan</v>
      </c>
      <c r="Z232" s="5" t="str">
        <f>IF($A232="","",IFERROR(VLOOKUP($C232,Lookups!$D$4:$E$7,2,FALSE),"Unknown"))</f>
        <v>Winter</v>
      </c>
      <c r="AA232" s="5" t="str">
        <f>IF($A232="","",IFERROR(VLOOKUP($I232,Lookups!$A$4:$B$7,2,FALSE),"Unknown"))</f>
        <v>Clear</v>
      </c>
      <c r="AB232" s="5" t="str">
        <f>IF($A232="","",TEXT($F232,"00")&amp;":00")</f>
        <v>21:00</v>
      </c>
      <c r="AC232" s="5" t="str">
        <f>IF($A232="","",VLOOKUP($F232,Lookups!$G$4:$H$8,2,TRUE))</f>
        <v>Late Evening (20-23)</v>
      </c>
      <c r="AD232" s="18">
        <f>IF($A232="","",IF($J232="","",ROUND($J232*41,1)))</f>
        <v>5.7</v>
      </c>
      <c r="AE232" s="18">
        <f>IF($A232="","",IF($R232="","",ROUND($R232*50,1)))</f>
        <v>6.8</v>
      </c>
      <c r="AF232" s="5">
        <f>IF($A232="","",IF($L232="","",ROUND($L232*100,0)))</f>
        <v>59</v>
      </c>
      <c r="AG232" s="18">
        <f>IF($A232="","",IF($M232="","",ROUND($M232*67,1)))</f>
        <v>13</v>
      </c>
      <c r="AH232" s="19">
        <f>IF($A232="","",IF($P232="","",IF($P232=0,0,$O232/$P232)))</f>
        <v>0.973684210526316</v>
      </c>
      <c r="AI232" s="5" t="str">
        <f>IF($A232="","",IF($P232="","",IF($P232&gt;=Lookups!$K$7,"High",IF($P232&lt;=Lookups!$K$8,"Low","Medium"))))</f>
        <v>Medium</v>
      </c>
      <c r="AJ232" s="5" t="str">
        <f>IF($A232="","",IF($AD232="","",IF($AD232&lt;5,"Under 5 C",IF($AD232&lt;10,"5-10 C",IF($AD232&lt;15,"10-15 C","15 C and above")))))</f>
        <v>5-10 C</v>
      </c>
      <c r="AK232" s="5">
        <f>IF($A232="","",IF($P232="","",$P232^2))</f>
        <v>1444</v>
      </c>
      <c r="AL232" s="18">
        <f>IF($V232&lt;&gt;1,"",AVERAGEIFS(Clean_Data!$P$2:$P$1001,Clean_Data!$F$2:$F$1001,$F232,Clean_Data!$W$2:$W$1001,$W232,Clean_Data!$V$2:$V$1001,1))</f>
        <v>50.8965517241379</v>
      </c>
      <c r="AM232" s="16">
        <f>IF($V232&lt;&gt;1,"",IFERROR(($P232-$AL232)/SQRT(MAX(0,(SUMIFS(Clean_Data!$AK$2:$AK$1001,Clean_Data!$F$2:$F$1001,$F232,Clean_Data!$W$2:$W$1001,$W232,Clean_Data!$V$2:$V$1001,1)-COUNTIFS(Clean_Data!$F$2:$F$1001,$F232,Clean_Data!$W$2:$W$1001,$W232,Clean_Data!$V$2:$V$1001,1)*$AL232^2)/(COUNTIFS(Clean_Data!$F$2:$F$1001,$F232,Clean_Data!$W$2:$W$1001,$W232,Clean_Data!$V$2:$V$1001,1)-1))),""))</f>
        <v>-0.933975066092061</v>
      </c>
      <c r="AN232" s="5" t="str">
        <f>IF($AM232="","",IF($AM232&gt;=Lookups!$K$6,"High spike",IF($AM232&lt;=-Lookups!$K$6,"Unusual low","Normal")))</f>
        <v>Normal</v>
      </c>
      <c r="AO232" s="20">
        <f>IF($V232&lt;&gt;1,"",$P232+ROW()/100000)</f>
        <v>38.00232</v>
      </c>
      <c r="AP232" s="5">
        <f>IF($A232="","",IFERROR(MATCH($A232,Raw_D1!$A$2:$A$1001,0),""))</f>
        <v>231</v>
      </c>
      <c r="AQ232" s="5">
        <f>IF($A232="","",IFERROR(MATCH($A232,Raw_D2!$B$2:$B$1001,0),""))</f>
        <v>231</v>
      </c>
      <c r="AR232" s="5">
        <f>IF($A232="","",IFERROR(MATCH($A232,Raw_D3!$A$2:$A$1001,0),""))</f>
        <v/>
      </c>
    </row>
    <row r="233" spans="1:44" x14ac:dyDescent="0.25">
      <c r="A233" s="5">
        <v>232</v>
      </c>
      <c r="B233" s="11">
        <f>IF($A233="","",IF($AP233&lt;&gt;"",INDEX(Raw_D1!$B$2:$B$1001,$AP233),IF($AR233&lt;&gt;"",INDEX(Raw_D3!$B$2:$B$1001,$AR233),"")))</f>
        <v>40553.0</v>
      </c>
      <c r="C233" s="5">
        <f>IF($A233="","",IF($AP233&lt;&gt;"",INDEX(Raw_D1!$C$2:$C$1001,$AP233),IF($AR233&lt;&gt;"",INDEX(Raw_D3!$C$2:$C$1001,$AR233),"")))</f>
        <v>1</v>
      </c>
      <c r="D233" s="5">
        <f>IF($A233="","",IF($AP233&lt;&gt;"",INDEX(Raw_D1!$D$2:$D$1001,$AP233),IF($AR233&lt;&gt;"",INDEX(Raw_D3!$D$2:$D$1001,$AR233),"")))</f>
        <v>0</v>
      </c>
      <c r="E233" s="5">
        <f>IF($A233="","",IF($AP233&lt;&gt;"",INDEX(Raw_D1!$E$2:$E$1001,$AP233),IF($AR233&lt;&gt;"",INDEX(Raw_D3!$E$2:$E$1001,$AR233),"")))</f>
        <v>1</v>
      </c>
      <c r="F233" s="5">
        <f>IF($A233="","",IF($AP233&lt;&gt;"",INDEX(Raw_D1!$F$2:$F$1001,$AP233),IF($AR233&lt;&gt;"",INDEX(Raw_D3!$F$2:$F$1001,$AR233),"")))</f>
        <v>22</v>
      </c>
      <c r="G233" s="5">
        <f>IF($A233="","",IF($AP233&lt;&gt;"",IF(INDEX(Raw_D1!$G$2:$G$1001,$AP233),1,0),IF($AR233&lt;&gt;"",IF(INDEX(Raw_D3!$G$2:$G$1001,$AR233),1,0),"")))</f>
        <v>0</v>
      </c>
      <c r="H233" s="5">
        <f>IF($A233="","",IF($AP233&lt;&gt;"",INDEX(Raw_D1!$H$2:$H$1001,$AP233),IF($AR233&lt;&gt;"",INDEX(Raw_D3!$H$2:$H$1001,$AR233),"")))</f>
        <v>1</v>
      </c>
      <c r="I233" s="5">
        <f>IF($A233="","",IF($AP233&lt;&gt;"",INDEX(Raw_D1!$I$2:$I$1001,$AP233),IF($AR233&lt;&gt;"",INDEX(Raw_D3!$I$2:$I$1001,$AR233),"")))</f>
        <v>1</v>
      </c>
      <c r="J233" s="16">
        <f>IF($A233="","",IF($AP233&lt;&gt;"",INDEX(Raw_D1!$J$2:$J$1001,$AP233),IF($AR233&lt;&gt;"",INDEX(Raw_D3!$J$2:$J$1001,$AR233),"")))</f>
        <v>0.14</v>
      </c>
      <c r="K233" s="17">
        <f>IF($A233="","",IF($AQ233&lt;&gt;"",IF(INDEX(Raw_D2!$C$2:$C$1001,$AQ233)="","",INDEX(Raw_D2!$C$2:$C$1001,$AQ233)),IF($AR233&lt;&gt;"",IF(INDEX(Raw_D3!$K$2:$K$1001,$AR233)="","",INDEX(Raw_D3!$K$2:$K$1001,$AR233)),"")))</f>
        <v>0.1515</v>
      </c>
      <c r="L233" s="16">
        <f>IF($A233="","",IF($AQ233&lt;&gt;"",IF(INDEX(Raw_D2!$D$2:$D$1001,$AQ233)="","",INDEX(Raw_D2!$D$2:$D$1001,$AQ233)),IF($AR233&lt;&gt;"",IF(INDEX(Raw_D3!$L$2:$L$1001,$AR233)="","",INDEX(Raw_D3!$L$2:$L$1001,$AR233)),"")))</f>
        <v>0.59</v>
      </c>
      <c r="M233" s="17">
        <f>IF($A233="","",IF($AQ233&lt;&gt;"",IF(INDEX(Raw_D2!$E$2:$E$1001,$AQ233)="","",INDEX(Raw_D2!$E$2:$E$1001,$AQ233)),IF($AR233&lt;&gt;"",IF(INDEX(Raw_D3!$M$2:$M$1001,$AR233)="","",INDEX(Raw_D3!$M$2:$M$1001,$AR233)),"")))</f>
        <v>0.1642</v>
      </c>
      <c r="N233" s="5">
        <f>IF($A233="","",IF($AQ233&lt;&gt;"",IF(INDEX(Raw_D2!$F$2:$F$1001,$AQ233)="","",INDEX(Raw_D2!$F$2:$F$1001,$AQ233)),IF($AR233&lt;&gt;"",IF(INDEX(Raw_D3!$N$2:$N$1001,$AR233)="","",INDEX(Raw_D3!$N$2:$N$1001,$AR233)),"")))</f>
        <v>2</v>
      </c>
      <c r="O233" s="5">
        <f>IF($A233="","",IF($AQ233&lt;&gt;"",IF(INDEX(Raw_D2!$G$2:$G$1001,$AQ233)="","",INDEX(Raw_D2!$G$2:$G$1001,$AQ233)),IF($AR233&lt;&gt;"",IF(INDEX(Raw_D3!$O$2:$O$1001,$AR233)="","",INDEX(Raw_D3!$O$2:$O$1001,$AR233)),"")))</f>
        <v>22</v>
      </c>
      <c r="P233" s="5">
        <f>IF($A233="","",IF($AQ233&lt;&gt;"",IF(INDEX(Raw_D2!$H$2:$H$1001,$AQ233)="","",INDEX(Raw_D2!$H$2:$H$1001,$AQ233)),IF($AR233&lt;&gt;"",IF(INDEX(Raw_D3!$P$2:$P$1001,$AR233)="","",INDEX(Raw_D3!$P$2:$P$1001,$AR233)),"")))</f>
        <v>24</v>
      </c>
      <c r="Q233" s="5" t="str">
        <f>IF($A233="","",IF(AND($AP233&lt;&gt;"",$AQ233&lt;&gt;""),"D1+D2",IF($AR233&lt;&gt;"","D3","Incomplete")))</f>
        <v>D1+D2</v>
      </c>
      <c r="R233" s="17">
        <f>IF($A233="","",IF($K233="",IF($J233="","",ROUND(Lookups!$K$5+Lookups!$K$4*$J233,4)),$K233))</f>
        <v>0.1515</v>
      </c>
      <c r="S233" s="5" t="str">
        <f>IF($A233="","",IF($K233="","Imputed","Original"))</f>
        <v>Original</v>
      </c>
      <c r="T233" s="5" t="str">
        <f>IF($A233="","",IF($P233="","Missing",IF($P233=$N233+$O233,"OK","Mismatch")))</f>
        <v>OK</v>
      </c>
      <c r="U233" s="5" t="str">
        <f>IF($A233="","",IF(COUNTIF($A$2:$A233,$A233)&gt;1,"Duplicate","Unique"))</f>
        <v>Unique</v>
      </c>
      <c r="V233" s="5">
        <f>IF($A233="","",IF(AND($U233="Unique",ISNUMBER($P233)),1,0))</f>
        <v>1</v>
      </c>
      <c r="W233" s="5" t="str">
        <f>IF($A233="","",IF(OR($H233=0,$H233=6),"Weekend","Weekday"))</f>
        <v>Weekday</v>
      </c>
      <c r="X233" s="5" t="str">
        <f>IF($A233="","",TEXT($B233,"ddd"))</f>
        <v>Mon</v>
      </c>
      <c r="Y233" s="5" t="str">
        <f>IF($A233="","",TEXT($B233,"mmm"))</f>
        <v>Jan</v>
      </c>
      <c r="Z233" s="5" t="str">
        <f>IF($A233="","",IFERROR(VLOOKUP($C233,Lookups!$D$4:$E$7,2,FALSE),"Unknown"))</f>
        <v>Winter</v>
      </c>
      <c r="AA233" s="5" t="str">
        <f>IF($A233="","",IFERROR(VLOOKUP($I233,Lookups!$A$4:$B$7,2,FALSE),"Unknown"))</f>
        <v>Clear</v>
      </c>
      <c r="AB233" s="5" t="str">
        <f>IF($A233="","",TEXT($F233,"00")&amp;":00")</f>
        <v>22:00</v>
      </c>
      <c r="AC233" s="5" t="str">
        <f>IF($A233="","",VLOOKUP($F233,Lookups!$G$4:$H$8,2,TRUE))</f>
        <v>Late Evening (20-23)</v>
      </c>
      <c r="AD233" s="18">
        <f>IF($A233="","",IF($J233="","",ROUND($J233*41,1)))</f>
        <v>5.7</v>
      </c>
      <c r="AE233" s="18">
        <f>IF($A233="","",IF($R233="","",ROUND($R233*50,1)))</f>
        <v>7.6</v>
      </c>
      <c r="AF233" s="5">
        <f>IF($A233="","",IF($L233="","",ROUND($L233*100,0)))</f>
        <v>59</v>
      </c>
      <c r="AG233" s="18">
        <f>IF($A233="","",IF($M233="","",ROUND($M233*67,1)))</f>
        <v>11</v>
      </c>
      <c r="AH233" s="19">
        <f>IF($A233="","",IF($P233="","",IF($P233=0,0,$O233/$P233)))</f>
        <v>0.916666666666667</v>
      </c>
      <c r="AI233" s="5" t="str">
        <f>IF($A233="","",IF($P233="","",IF($P233&gt;=Lookups!$K$7,"High",IF($P233&lt;=Lookups!$K$8,"Low","Medium"))))</f>
        <v>Medium</v>
      </c>
      <c r="AJ233" s="5" t="str">
        <f>IF($A233="","",IF($AD233="","",IF($AD233&lt;5,"Under 5 C",IF($AD233&lt;10,"5-10 C",IF($AD233&lt;15,"10-15 C","15 C and above")))))</f>
        <v>5-10 C</v>
      </c>
      <c r="AK233" s="5">
        <f>IF($A233="","",IF($P233="","",$P233^2))</f>
        <v>576</v>
      </c>
      <c r="AL233" s="18">
        <f>IF($V233&lt;&gt;1,"",AVERAGEIFS(Clean_Data!$P$2:$P$1001,Clean_Data!$F$2:$F$1001,$F233,Clean_Data!$W$2:$W$1001,$W233,Clean_Data!$V$2:$V$1001,1))</f>
        <v>37.1034482758621</v>
      </c>
      <c r="AM233" s="16">
        <f>IF($V233&lt;&gt;1,"",IFERROR(($P233-$AL233)/SQRT(MAX(0,(SUMIFS(Clean_Data!$AK$2:$AK$1001,Clean_Data!$F$2:$F$1001,$F233,Clean_Data!$W$2:$W$1001,$W233,Clean_Data!$V$2:$V$1001,1)-COUNTIFS(Clean_Data!$F$2:$F$1001,$F233,Clean_Data!$W$2:$W$1001,$W233,Clean_Data!$V$2:$V$1001,1)*$AL233^2)/(COUNTIFS(Clean_Data!$F$2:$F$1001,$F233,Clean_Data!$W$2:$W$1001,$W233,Clean_Data!$V$2:$V$1001,1)-1))),""))</f>
        <v>-1.21388272632888</v>
      </c>
      <c r="AN233" s="5" t="str">
        <f>IF($AM233="","",IF($AM233&gt;=Lookups!$K$6,"High spike",IF($AM233&lt;=-Lookups!$K$6,"Unusual low","Normal")))</f>
        <v>Normal</v>
      </c>
      <c r="AO233" s="20">
        <f>IF($V233&lt;&gt;1,"",$P233+ROW()/100000)</f>
        <v>24.00233</v>
      </c>
      <c r="AP233" s="5">
        <f>IF($A233="","",IFERROR(MATCH($A233,Raw_D1!$A$2:$A$1001,0),""))</f>
        <v>232</v>
      </c>
      <c r="AQ233" s="5">
        <f>IF($A233="","",IFERROR(MATCH($A233,Raw_D2!$B$2:$B$1001,0),""))</f>
        <v>232</v>
      </c>
      <c r="AR233" s="5">
        <f>IF($A233="","",IFERROR(MATCH($A233,Raw_D3!$A$2:$A$1001,0),""))</f>
        <v/>
      </c>
    </row>
    <row r="234" spans="1:44" x14ac:dyDescent="0.25">
      <c r="A234" s="5">
        <v>233</v>
      </c>
      <c r="B234" s="11">
        <f>IF($A234="","",IF($AP234&lt;&gt;"",INDEX(Raw_D1!$B$2:$B$1001,$AP234),IF($AR234&lt;&gt;"",INDEX(Raw_D3!$B$2:$B$1001,$AR234),"")))</f>
        <v>40553.0</v>
      </c>
      <c r="C234" s="5">
        <f>IF($A234="","",IF($AP234&lt;&gt;"",INDEX(Raw_D1!$C$2:$C$1001,$AP234),IF($AR234&lt;&gt;"",INDEX(Raw_D3!$C$2:$C$1001,$AR234),"")))</f>
        <v>1</v>
      </c>
      <c r="D234" s="5">
        <f>IF($A234="","",IF($AP234&lt;&gt;"",INDEX(Raw_D1!$D$2:$D$1001,$AP234),IF($AR234&lt;&gt;"",INDEX(Raw_D3!$D$2:$D$1001,$AR234),"")))</f>
        <v>0</v>
      </c>
      <c r="E234" s="5">
        <f>IF($A234="","",IF($AP234&lt;&gt;"",INDEX(Raw_D1!$E$2:$E$1001,$AP234),IF($AR234&lt;&gt;"",INDEX(Raw_D3!$E$2:$E$1001,$AR234),"")))</f>
        <v>1</v>
      </c>
      <c r="F234" s="5">
        <f>IF($A234="","",IF($AP234&lt;&gt;"",INDEX(Raw_D1!$F$2:$F$1001,$AP234),IF($AR234&lt;&gt;"",INDEX(Raw_D3!$F$2:$F$1001,$AR234),"")))</f>
        <v>23</v>
      </c>
      <c r="G234" s="5">
        <f>IF($A234="","",IF($AP234&lt;&gt;"",IF(INDEX(Raw_D1!$G$2:$G$1001,$AP234),1,0),IF($AR234&lt;&gt;"",IF(INDEX(Raw_D3!$G$2:$G$1001,$AR234),1,0),"")))</f>
        <v>0</v>
      </c>
      <c r="H234" s="5">
        <f>IF($A234="","",IF($AP234&lt;&gt;"",INDEX(Raw_D1!$H$2:$H$1001,$AP234),IF($AR234&lt;&gt;"",INDEX(Raw_D3!$H$2:$H$1001,$AR234),"")))</f>
        <v>1</v>
      </c>
      <c r="I234" s="5">
        <f>IF($A234="","",IF($AP234&lt;&gt;"",INDEX(Raw_D1!$I$2:$I$1001,$AP234),IF($AR234&lt;&gt;"",INDEX(Raw_D3!$I$2:$I$1001,$AR234),"")))</f>
        <v>1</v>
      </c>
      <c r="J234" s="16">
        <f>IF($A234="","",IF($AP234&lt;&gt;"",INDEX(Raw_D1!$J$2:$J$1001,$AP234),IF($AR234&lt;&gt;"",INDEX(Raw_D3!$J$2:$J$1001,$AR234),"")))</f>
        <v>0.14</v>
      </c>
      <c r="K234" s="17">
        <f>IF($A234="","",IF($AQ234&lt;&gt;"",IF(INDEX(Raw_D2!$C$2:$C$1001,$AQ234)="","",INDEX(Raw_D2!$C$2:$C$1001,$AQ234)),IF($AR234&lt;&gt;"",IF(INDEX(Raw_D3!$K$2:$K$1001,$AR234)="","",INDEX(Raw_D3!$K$2:$K$1001,$AR234)),"")))</f>
        <v>0.1515</v>
      </c>
      <c r="L234" s="16">
        <f>IF($A234="","",IF($AQ234&lt;&gt;"",IF(INDEX(Raw_D2!$D$2:$D$1001,$AQ234)="","",INDEX(Raw_D2!$D$2:$D$1001,$AQ234)),IF($AR234&lt;&gt;"",IF(INDEX(Raw_D3!$L$2:$L$1001,$AR234)="","",INDEX(Raw_D3!$L$2:$L$1001,$AR234)),"")))</f>
        <v>0.59</v>
      </c>
      <c r="M234" s="17">
        <f>IF($A234="","",IF($AQ234&lt;&gt;"",IF(INDEX(Raw_D2!$E$2:$E$1001,$AQ234)="","",INDEX(Raw_D2!$E$2:$E$1001,$AQ234)),IF($AR234&lt;&gt;"",IF(INDEX(Raw_D3!$M$2:$M$1001,$AR234)="","",INDEX(Raw_D3!$M$2:$M$1001,$AR234)),"")))</f>
        <v>0.1642</v>
      </c>
      <c r="N234" s="5">
        <f>IF($A234="","",IF($AQ234&lt;&gt;"",IF(INDEX(Raw_D2!$F$2:$F$1001,$AQ234)="","",INDEX(Raw_D2!$F$2:$F$1001,$AQ234)),IF($AR234&lt;&gt;"",IF(INDEX(Raw_D3!$N$2:$N$1001,$AR234)="","",INDEX(Raw_D3!$N$2:$N$1001,$AR234)),"")))</f>
        <v>0</v>
      </c>
      <c r="O234" s="5">
        <f>IF($A234="","",IF($AQ234&lt;&gt;"",IF(INDEX(Raw_D2!$G$2:$G$1001,$AQ234)="","",INDEX(Raw_D2!$G$2:$G$1001,$AQ234)),IF($AR234&lt;&gt;"",IF(INDEX(Raw_D3!$O$2:$O$1001,$AR234)="","",INDEX(Raw_D3!$O$2:$O$1001,$AR234)),"")))</f>
        <v>18</v>
      </c>
      <c r="P234" s="5">
        <f>IF($A234="","",IF($AQ234&lt;&gt;"",IF(INDEX(Raw_D2!$H$2:$H$1001,$AQ234)="","",INDEX(Raw_D2!$H$2:$H$1001,$AQ234)),IF($AR234&lt;&gt;"",IF(INDEX(Raw_D3!$P$2:$P$1001,$AR234)="","",INDEX(Raw_D3!$P$2:$P$1001,$AR234)),"")))</f>
        <v>18</v>
      </c>
      <c r="Q234" s="5" t="str">
        <f>IF($A234="","",IF(AND($AP234&lt;&gt;"",$AQ234&lt;&gt;""),"D1+D2",IF($AR234&lt;&gt;"","D3","Incomplete")))</f>
        <v>D1+D2</v>
      </c>
      <c r="R234" s="17">
        <f>IF($A234="","",IF($K234="",IF($J234="","",ROUND(Lookups!$K$5+Lookups!$K$4*$J234,4)),$K234))</f>
        <v>0.1515</v>
      </c>
      <c r="S234" s="5" t="str">
        <f>IF($A234="","",IF($K234="","Imputed","Original"))</f>
        <v>Original</v>
      </c>
      <c r="T234" s="5" t="str">
        <f>IF($A234="","",IF($P234="","Missing",IF($P234=$N234+$O234,"OK","Mismatch")))</f>
        <v>OK</v>
      </c>
      <c r="U234" s="5" t="str">
        <f>IF($A234="","",IF(COUNTIF($A$2:$A234,$A234)&gt;1,"Duplicate","Unique"))</f>
        <v>Unique</v>
      </c>
      <c r="V234" s="5">
        <f>IF($A234="","",IF(AND($U234="Unique",ISNUMBER($P234)),1,0))</f>
        <v>1</v>
      </c>
      <c r="W234" s="5" t="str">
        <f>IF($A234="","",IF(OR($H234=0,$H234=6),"Weekend","Weekday"))</f>
        <v>Weekday</v>
      </c>
      <c r="X234" s="5" t="str">
        <f>IF($A234="","",TEXT($B234,"ddd"))</f>
        <v>Mon</v>
      </c>
      <c r="Y234" s="5" t="str">
        <f>IF($A234="","",TEXT($B234,"mmm"))</f>
        <v>Jan</v>
      </c>
      <c r="Z234" s="5" t="str">
        <f>IF($A234="","",IFERROR(VLOOKUP($C234,Lookups!$D$4:$E$7,2,FALSE),"Unknown"))</f>
        <v>Winter</v>
      </c>
      <c r="AA234" s="5" t="str">
        <f>IF($A234="","",IFERROR(VLOOKUP($I234,Lookups!$A$4:$B$7,2,FALSE),"Unknown"))</f>
        <v>Clear</v>
      </c>
      <c r="AB234" s="5" t="str">
        <f>IF($A234="","",TEXT($F234,"00")&amp;":00")</f>
        <v>23:00</v>
      </c>
      <c r="AC234" s="5" t="str">
        <f>IF($A234="","",VLOOKUP($F234,Lookups!$G$4:$H$8,2,TRUE))</f>
        <v>Late Evening (20-23)</v>
      </c>
      <c r="AD234" s="18">
        <f>IF($A234="","",IF($J234="","",ROUND($J234*41,1)))</f>
        <v>5.7</v>
      </c>
      <c r="AE234" s="18">
        <f>IF($A234="","",IF($R234="","",ROUND($R234*50,1)))</f>
        <v>7.6</v>
      </c>
      <c r="AF234" s="5">
        <f>IF($A234="","",IF($L234="","",ROUND($L234*100,0)))</f>
        <v>59</v>
      </c>
      <c r="AG234" s="18">
        <f>IF($A234="","",IF($M234="","",ROUND($M234*67,1)))</f>
        <v>11</v>
      </c>
      <c r="AH234" s="19">
        <f>IF($A234="","",IF($P234="","",IF($P234=0,0,$O234/$P234)))</f>
        <v>1</v>
      </c>
      <c r="AI234" s="5" t="str">
        <f>IF($A234="","",IF($P234="","",IF($P234&gt;=Lookups!$K$7,"High",IF($P234&lt;=Lookups!$K$8,"Low","Medium"))))</f>
        <v>Medium</v>
      </c>
      <c r="AJ234" s="5" t="str">
        <f>IF($A234="","",IF($AD234="","",IF($AD234&lt;5,"Under 5 C",IF($AD234&lt;10,"5-10 C",IF($AD234&lt;15,"10-15 C","15 C and above")))))</f>
        <v>5-10 C</v>
      </c>
      <c r="AK234" s="5">
        <f>IF($A234="","",IF($P234="","",$P234^2))</f>
        <v>324</v>
      </c>
      <c r="AL234" s="18">
        <f>IF($V234&lt;&gt;1,"",AVERAGEIFS(Clean_Data!$P$2:$P$1001,Clean_Data!$F$2:$F$1001,$F234,Clean_Data!$W$2:$W$1001,$W234,Clean_Data!$V$2:$V$1001,1))</f>
        <v>23.6896551724138</v>
      </c>
      <c r="AM234" s="16">
        <f>IF($V234&lt;&gt;1,"",IFERROR(($P234-$AL234)/SQRT(MAX(0,(SUMIFS(Clean_Data!$AK$2:$AK$1001,Clean_Data!$F$2:$F$1001,$F234,Clean_Data!$W$2:$W$1001,$W234,Clean_Data!$V$2:$V$1001,1)-COUNTIFS(Clean_Data!$F$2:$F$1001,$F234,Clean_Data!$W$2:$W$1001,$W234,Clean_Data!$V$2:$V$1001,1)*$AL234^2)/(COUNTIFS(Clean_Data!$F$2:$F$1001,$F234,Clean_Data!$W$2:$W$1001,$W234,Clean_Data!$V$2:$V$1001,1)-1))),""))</f>
        <v>-0.543174948829506</v>
      </c>
      <c r="AN234" s="5" t="str">
        <f>IF($AM234="","",IF($AM234&gt;=Lookups!$K$6,"High spike",IF($AM234&lt;=-Lookups!$K$6,"Unusual low","Normal")))</f>
        <v>Normal</v>
      </c>
      <c r="AO234" s="20">
        <f>IF($V234&lt;&gt;1,"",$P234+ROW()/100000)</f>
        <v>18.00234</v>
      </c>
      <c r="AP234" s="5">
        <f>IF($A234="","",IFERROR(MATCH($A234,Raw_D1!$A$2:$A$1001,0),""))</f>
        <v>233</v>
      </c>
      <c r="AQ234" s="5">
        <f>IF($A234="","",IFERROR(MATCH($A234,Raw_D2!$B$2:$B$1001,0),""))</f>
        <v>233</v>
      </c>
      <c r="AR234" s="5">
        <f>IF($A234="","",IFERROR(MATCH($A234,Raw_D3!$A$2:$A$1001,0),""))</f>
        <v/>
      </c>
    </row>
    <row r="235" spans="1:44" x14ac:dyDescent="0.25">
      <c r="A235" s="5">
        <v>234</v>
      </c>
      <c r="B235" s="11">
        <f>IF($A235="","",IF($AP235&lt;&gt;"",INDEX(Raw_D1!$B$2:$B$1001,$AP235),IF($AR235&lt;&gt;"",INDEX(Raw_D3!$B$2:$B$1001,$AR235),"")))</f>
        <v>40554.0</v>
      </c>
      <c r="C235" s="5">
        <f>IF($A235="","",IF($AP235&lt;&gt;"",INDEX(Raw_D1!$C$2:$C$1001,$AP235),IF($AR235&lt;&gt;"",INDEX(Raw_D3!$C$2:$C$1001,$AR235),"")))</f>
        <v>1</v>
      </c>
      <c r="D235" s="5">
        <f>IF($A235="","",IF($AP235&lt;&gt;"",INDEX(Raw_D1!$D$2:$D$1001,$AP235),IF($AR235&lt;&gt;"",INDEX(Raw_D3!$D$2:$D$1001,$AR235),"")))</f>
        <v>0</v>
      </c>
      <c r="E235" s="5">
        <f>IF($A235="","",IF($AP235&lt;&gt;"",INDEX(Raw_D1!$E$2:$E$1001,$AP235),IF($AR235&lt;&gt;"",INDEX(Raw_D3!$E$2:$E$1001,$AR235),"")))</f>
        <v>1</v>
      </c>
      <c r="F235" s="5">
        <f>IF($A235="","",IF($AP235&lt;&gt;"",INDEX(Raw_D1!$F$2:$F$1001,$AP235),IF($AR235&lt;&gt;"",INDEX(Raw_D3!$F$2:$F$1001,$AR235),"")))</f>
        <v>0</v>
      </c>
      <c r="G235" s="5">
        <f>IF($A235="","",IF($AP235&lt;&gt;"",IF(INDEX(Raw_D1!$G$2:$G$1001,$AP235),1,0),IF($AR235&lt;&gt;"",IF(INDEX(Raw_D3!$G$2:$G$1001,$AR235),1,0),"")))</f>
        <v>0</v>
      </c>
      <c r="H235" s="5">
        <f>IF($A235="","",IF($AP235&lt;&gt;"",INDEX(Raw_D1!$H$2:$H$1001,$AP235),IF($AR235&lt;&gt;"",INDEX(Raw_D3!$H$2:$H$1001,$AR235),"")))</f>
        <v>2</v>
      </c>
      <c r="I235" s="5">
        <f>IF($A235="","",IF($AP235&lt;&gt;"",INDEX(Raw_D1!$I$2:$I$1001,$AP235),IF($AR235&lt;&gt;"",INDEX(Raw_D3!$I$2:$I$1001,$AR235),"")))</f>
        <v>1</v>
      </c>
      <c r="J235" s="16">
        <f>IF($A235="","",IF($AP235&lt;&gt;"",INDEX(Raw_D1!$J$2:$J$1001,$AP235),IF($AR235&lt;&gt;"",INDEX(Raw_D3!$J$2:$J$1001,$AR235),"")))</f>
        <v>0.14</v>
      </c>
      <c r="K235" s="17">
        <f>IF($A235="","",IF($AQ235&lt;&gt;"",IF(INDEX(Raw_D2!$C$2:$C$1001,$AQ235)="","",INDEX(Raw_D2!$C$2:$C$1001,$AQ235)),IF($AR235&lt;&gt;"",IF(INDEX(Raw_D3!$K$2:$K$1001,$AR235)="","",INDEX(Raw_D3!$K$2:$K$1001,$AR235)),"")))</f>
        <v>0.1667</v>
      </c>
      <c r="L235" s="16">
        <f>IF($A235="","",IF($AQ235&lt;&gt;"",IF(INDEX(Raw_D2!$D$2:$D$1001,$AQ235)="","",INDEX(Raw_D2!$D$2:$D$1001,$AQ235)),IF($AR235&lt;&gt;"",IF(INDEX(Raw_D3!$L$2:$L$1001,$AR235)="","",INDEX(Raw_D3!$L$2:$L$1001,$AR235)),"")))</f>
        <v>0.59</v>
      </c>
      <c r="M235" s="17">
        <f>IF($A235="","",IF($AQ235&lt;&gt;"",IF(INDEX(Raw_D2!$E$2:$E$1001,$AQ235)="","",INDEX(Raw_D2!$E$2:$E$1001,$AQ235)),IF($AR235&lt;&gt;"",IF(INDEX(Raw_D3!$M$2:$M$1001,$AR235)="","",INDEX(Raw_D3!$M$2:$M$1001,$AR235)),"")))</f>
        <v>0.1045</v>
      </c>
      <c r="N235" s="5">
        <f>IF($A235="","",IF($AQ235&lt;&gt;"",IF(INDEX(Raw_D2!$F$2:$F$1001,$AQ235)="","",INDEX(Raw_D2!$F$2:$F$1001,$AQ235)),IF($AR235&lt;&gt;"",IF(INDEX(Raw_D3!$N$2:$N$1001,$AR235)="","",INDEX(Raw_D3!$N$2:$N$1001,$AR235)),"")))</f>
        <v>2</v>
      </c>
      <c r="O235" s="5">
        <f>IF($A235="","",IF($AQ235&lt;&gt;"",IF(INDEX(Raw_D2!$G$2:$G$1001,$AQ235)="","",INDEX(Raw_D2!$G$2:$G$1001,$AQ235)),IF($AR235&lt;&gt;"",IF(INDEX(Raw_D3!$O$2:$O$1001,$AR235)="","",INDEX(Raw_D3!$O$2:$O$1001,$AR235)),"")))</f>
        <v>10</v>
      </c>
      <c r="P235" s="5">
        <f>IF($A235="","",IF($AQ235&lt;&gt;"",IF(INDEX(Raw_D2!$H$2:$H$1001,$AQ235)="","",INDEX(Raw_D2!$H$2:$H$1001,$AQ235)),IF($AR235&lt;&gt;"",IF(INDEX(Raw_D3!$P$2:$P$1001,$AR235)="","",INDEX(Raw_D3!$P$2:$P$1001,$AR235)),"")))</f>
        <v>12</v>
      </c>
      <c r="Q235" s="5" t="str">
        <f>IF($A235="","",IF(AND($AP235&lt;&gt;"",$AQ235&lt;&gt;""),"D1+D2",IF($AR235&lt;&gt;"","D3","Incomplete")))</f>
        <v>D1+D2</v>
      </c>
      <c r="R235" s="17">
        <f>IF($A235="","",IF($K235="",IF($J235="","",ROUND(Lookups!$K$5+Lookups!$K$4*$J235,4)),$K235))</f>
        <v>0.1667</v>
      </c>
      <c r="S235" s="5" t="str">
        <f>IF($A235="","",IF($K235="","Imputed","Original"))</f>
        <v>Original</v>
      </c>
      <c r="T235" s="5" t="str">
        <f>IF($A235="","",IF($P235="","Missing",IF($P235=$N235+$O235,"OK","Mismatch")))</f>
        <v>OK</v>
      </c>
      <c r="U235" s="5" t="str">
        <f>IF($A235="","",IF(COUNTIF($A$2:$A235,$A235)&gt;1,"Duplicate","Unique"))</f>
        <v>Unique</v>
      </c>
      <c r="V235" s="5">
        <f>IF($A235="","",IF(AND($U235="Unique",ISNUMBER($P235)),1,0))</f>
        <v>1</v>
      </c>
      <c r="W235" s="5" t="str">
        <f>IF($A235="","",IF(OR($H235=0,$H235=6),"Weekend","Weekday"))</f>
        <v>Weekday</v>
      </c>
      <c r="X235" s="5" t="str">
        <f>IF($A235="","",TEXT($B235,"ddd"))</f>
        <v>Tue</v>
      </c>
      <c r="Y235" s="5" t="str">
        <f>IF($A235="","",TEXT($B235,"mmm"))</f>
        <v>Jan</v>
      </c>
      <c r="Z235" s="5" t="str">
        <f>IF($A235="","",IFERROR(VLOOKUP($C235,Lookups!$D$4:$E$7,2,FALSE),"Unknown"))</f>
        <v>Winter</v>
      </c>
      <c r="AA235" s="5" t="str">
        <f>IF($A235="","",IFERROR(VLOOKUP($I235,Lookups!$A$4:$B$7,2,FALSE),"Unknown"))</f>
        <v>Clear</v>
      </c>
      <c r="AB235" s="5" t="str">
        <f>IF($A235="","",TEXT($F235,"00")&amp;":00")</f>
        <v>00:00</v>
      </c>
      <c r="AC235" s="5" t="str">
        <f>IF($A235="","",VLOOKUP($F235,Lookups!$G$4:$H$8,2,TRUE))</f>
        <v>Night (00-05)</v>
      </c>
      <c r="AD235" s="18">
        <f>IF($A235="","",IF($J235="","",ROUND($J235*41,1)))</f>
        <v>5.7</v>
      </c>
      <c r="AE235" s="18">
        <f>IF($A235="","",IF($R235="","",ROUND($R235*50,1)))</f>
        <v>8.3</v>
      </c>
      <c r="AF235" s="5">
        <f>IF($A235="","",IF($L235="","",ROUND($L235*100,0)))</f>
        <v>59</v>
      </c>
      <c r="AG235" s="18">
        <f>IF($A235="","",IF($M235="","",ROUND($M235*67,1)))</f>
        <v>7</v>
      </c>
      <c r="AH235" s="19">
        <f>IF($A235="","",IF($P235="","",IF($P235=0,0,$O235/$P235)))</f>
        <v>0.833333333333333</v>
      </c>
      <c r="AI235" s="5" t="str">
        <f>IF($A235="","",IF($P235="","",IF($P235&gt;=Lookups!$K$7,"High",IF($P235&lt;=Lookups!$K$8,"Low","Medium"))))</f>
        <v>Low</v>
      </c>
      <c r="AJ235" s="5" t="str">
        <f>IF($A235="","",IF($AD235="","",IF($AD235&lt;5,"Under 5 C",IF($AD235&lt;10,"5-10 C",IF($AD235&lt;15,"10-15 C","15 C and above")))))</f>
        <v>5-10 C</v>
      </c>
      <c r="AK235" s="5">
        <f>IF($A235="","",IF($P235="","",$P235^2))</f>
        <v>144</v>
      </c>
      <c r="AL235" s="18">
        <f>IF($V235&lt;&gt;1,"",AVERAGEIFS(Clean_Data!$P$2:$P$1001,Clean_Data!$F$2:$F$1001,$F235,Clean_Data!$W$2:$W$1001,$W235,Clean_Data!$V$2:$V$1001,1))</f>
        <v>10.6896551724138</v>
      </c>
      <c r="AM235" s="16">
        <f>IF($V235&lt;&gt;1,"",IFERROR(($P235-$AL235)/SQRT(MAX(0,(SUMIFS(Clean_Data!$AK$2:$AK$1001,Clean_Data!$F$2:$F$1001,$F235,Clean_Data!$W$2:$W$1001,$W235,Clean_Data!$V$2:$V$1001,1)-COUNTIFS(Clean_Data!$F$2:$F$1001,$F235,Clean_Data!$W$2:$W$1001,$W235,Clean_Data!$V$2:$V$1001,1)*$AL235^2)/(COUNTIFS(Clean_Data!$F$2:$F$1001,$F235,Clean_Data!$W$2:$W$1001,$W235,Clean_Data!$V$2:$V$1001,1)-1))),""))</f>
        <v>0.26783058391254</v>
      </c>
      <c r="AN235" s="5" t="str">
        <f>IF($AM235="","",IF($AM235&gt;=Lookups!$K$6,"High spike",IF($AM235&lt;=-Lookups!$K$6,"Unusual low","Normal")))</f>
        <v>Normal</v>
      </c>
      <c r="AO235" s="20">
        <f>IF($V235&lt;&gt;1,"",$P235+ROW()/100000)</f>
        <v>12.00235</v>
      </c>
      <c r="AP235" s="5">
        <f>IF($A235="","",IFERROR(MATCH($A235,Raw_D1!$A$2:$A$1001,0),""))</f>
        <v>234</v>
      </c>
      <c r="AQ235" s="5">
        <f>IF($A235="","",IFERROR(MATCH($A235,Raw_D2!$B$2:$B$1001,0),""))</f>
        <v>234</v>
      </c>
      <c r="AR235" s="5">
        <f>IF($A235="","",IFERROR(MATCH($A235,Raw_D3!$A$2:$A$1001,0),""))</f>
        <v/>
      </c>
    </row>
    <row r="236" spans="1:44" x14ac:dyDescent="0.25">
      <c r="A236" s="5">
        <v>235</v>
      </c>
      <c r="B236" s="11">
        <f>IF($A236="","",IF($AP236&lt;&gt;"",INDEX(Raw_D1!$B$2:$B$1001,$AP236),IF($AR236&lt;&gt;"",INDEX(Raw_D3!$B$2:$B$1001,$AR236),"")))</f>
        <v>40554.0</v>
      </c>
      <c r="C236" s="5">
        <f>IF($A236="","",IF($AP236&lt;&gt;"",INDEX(Raw_D1!$C$2:$C$1001,$AP236),IF($AR236&lt;&gt;"",INDEX(Raw_D3!$C$2:$C$1001,$AR236),"")))</f>
        <v>1</v>
      </c>
      <c r="D236" s="5">
        <f>IF($A236="","",IF($AP236&lt;&gt;"",INDEX(Raw_D1!$D$2:$D$1001,$AP236),IF($AR236&lt;&gt;"",INDEX(Raw_D3!$D$2:$D$1001,$AR236),"")))</f>
        <v>0</v>
      </c>
      <c r="E236" s="5">
        <f>IF($A236="","",IF($AP236&lt;&gt;"",INDEX(Raw_D1!$E$2:$E$1001,$AP236),IF($AR236&lt;&gt;"",INDEX(Raw_D3!$E$2:$E$1001,$AR236),"")))</f>
        <v>1</v>
      </c>
      <c r="F236" s="5">
        <f>IF($A236="","",IF($AP236&lt;&gt;"",INDEX(Raw_D1!$F$2:$F$1001,$AP236),IF($AR236&lt;&gt;"",INDEX(Raw_D3!$F$2:$F$1001,$AR236),"")))</f>
        <v>1</v>
      </c>
      <c r="G236" s="5">
        <f>IF($A236="","",IF($AP236&lt;&gt;"",IF(INDEX(Raw_D1!$G$2:$G$1001,$AP236),1,0),IF($AR236&lt;&gt;"",IF(INDEX(Raw_D3!$G$2:$G$1001,$AR236),1,0),"")))</f>
        <v>0</v>
      </c>
      <c r="H236" s="5">
        <f>IF($A236="","",IF($AP236&lt;&gt;"",INDEX(Raw_D1!$H$2:$H$1001,$AP236),IF($AR236&lt;&gt;"",INDEX(Raw_D3!$H$2:$H$1001,$AR236),"")))</f>
        <v>2</v>
      </c>
      <c r="I236" s="5">
        <f>IF($A236="","",IF($AP236&lt;&gt;"",INDEX(Raw_D1!$I$2:$I$1001,$AP236),IF($AR236&lt;&gt;"",INDEX(Raw_D3!$I$2:$I$1001,$AR236),"")))</f>
        <v>1</v>
      </c>
      <c r="J236" s="16">
        <f>IF($A236="","",IF($AP236&lt;&gt;"",INDEX(Raw_D1!$J$2:$J$1001,$AP236),IF($AR236&lt;&gt;"",INDEX(Raw_D3!$J$2:$J$1001,$AR236),"")))</f>
        <v>0.14</v>
      </c>
      <c r="K236" s="17">
        <f>IF($A236="","",IF($AQ236&lt;&gt;"",IF(INDEX(Raw_D2!$C$2:$C$1001,$AQ236)="","",INDEX(Raw_D2!$C$2:$C$1001,$AQ236)),IF($AR236&lt;&gt;"",IF(INDEX(Raw_D3!$K$2:$K$1001,$AR236)="","",INDEX(Raw_D3!$K$2:$K$1001,$AR236)),"")))</f>
        <v>0.1515</v>
      </c>
      <c r="L236" s="16">
        <f>IF($A236="","",IF($AQ236&lt;&gt;"",IF(INDEX(Raw_D2!$D$2:$D$1001,$AQ236)="","",INDEX(Raw_D2!$D$2:$D$1001,$AQ236)),IF($AR236&lt;&gt;"",IF(INDEX(Raw_D3!$L$2:$L$1001,$AR236)="","",INDEX(Raw_D3!$L$2:$L$1001,$AR236)),"")))</f>
        <v>0.59</v>
      </c>
      <c r="M236" s="17">
        <f>IF($A236="","",IF($AQ236&lt;&gt;"",IF(INDEX(Raw_D2!$E$2:$E$1001,$AQ236)="","",INDEX(Raw_D2!$E$2:$E$1001,$AQ236)),IF($AR236&lt;&gt;"",IF(INDEX(Raw_D3!$M$2:$M$1001,$AR236)="","",INDEX(Raw_D3!$M$2:$M$1001,$AR236)),"")))</f>
        <v>0.1642</v>
      </c>
      <c r="N236" s="5">
        <f>IF($A236="","",IF($AQ236&lt;&gt;"",IF(INDEX(Raw_D2!$F$2:$F$1001,$AQ236)="","",INDEX(Raw_D2!$F$2:$F$1001,$AQ236)),IF($AR236&lt;&gt;"",IF(INDEX(Raw_D3!$N$2:$N$1001,$AR236)="","",INDEX(Raw_D3!$N$2:$N$1001,$AR236)),"")))</f>
        <v>0</v>
      </c>
      <c r="O236" s="5">
        <f>IF($A236="","",IF($AQ236&lt;&gt;"",IF(INDEX(Raw_D2!$G$2:$G$1001,$AQ236)="","",INDEX(Raw_D2!$G$2:$G$1001,$AQ236)),IF($AR236&lt;&gt;"",IF(INDEX(Raw_D3!$O$2:$O$1001,$AR236)="","",INDEX(Raw_D3!$O$2:$O$1001,$AR236)),"")))</f>
        <v>3</v>
      </c>
      <c r="P236" s="5">
        <f>IF($A236="","",IF($AQ236&lt;&gt;"",IF(INDEX(Raw_D2!$H$2:$H$1001,$AQ236)="","",INDEX(Raw_D2!$H$2:$H$1001,$AQ236)),IF($AR236&lt;&gt;"",IF(INDEX(Raw_D3!$P$2:$P$1001,$AR236)="","",INDEX(Raw_D3!$P$2:$P$1001,$AR236)),"")))</f>
        <v>3</v>
      </c>
      <c r="Q236" s="5" t="str">
        <f>IF($A236="","",IF(AND($AP236&lt;&gt;"",$AQ236&lt;&gt;""),"D1+D2",IF($AR236&lt;&gt;"","D3","Incomplete")))</f>
        <v>D1+D2</v>
      </c>
      <c r="R236" s="17">
        <f>IF($A236="","",IF($K236="",IF($J236="","",ROUND(Lookups!$K$5+Lookups!$K$4*$J236,4)),$K236))</f>
        <v>0.1515</v>
      </c>
      <c r="S236" s="5" t="str">
        <f>IF($A236="","",IF($K236="","Imputed","Original"))</f>
        <v>Original</v>
      </c>
      <c r="T236" s="5" t="str">
        <f>IF($A236="","",IF($P236="","Missing",IF($P236=$N236+$O236,"OK","Mismatch")))</f>
        <v>OK</v>
      </c>
      <c r="U236" s="5" t="str">
        <f>IF($A236="","",IF(COUNTIF($A$2:$A236,$A236)&gt;1,"Duplicate","Unique"))</f>
        <v>Unique</v>
      </c>
      <c r="V236" s="5">
        <f>IF($A236="","",IF(AND($U236="Unique",ISNUMBER($P236)),1,0))</f>
        <v>1</v>
      </c>
      <c r="W236" s="5" t="str">
        <f>IF($A236="","",IF(OR($H236=0,$H236=6),"Weekend","Weekday"))</f>
        <v>Weekday</v>
      </c>
      <c r="X236" s="5" t="str">
        <f>IF($A236="","",TEXT($B236,"ddd"))</f>
        <v>Tue</v>
      </c>
      <c r="Y236" s="5" t="str">
        <f>IF($A236="","",TEXT($B236,"mmm"))</f>
        <v>Jan</v>
      </c>
      <c r="Z236" s="5" t="str">
        <f>IF($A236="","",IFERROR(VLOOKUP($C236,Lookups!$D$4:$E$7,2,FALSE),"Unknown"))</f>
        <v>Winter</v>
      </c>
      <c r="AA236" s="5" t="str">
        <f>IF($A236="","",IFERROR(VLOOKUP($I236,Lookups!$A$4:$B$7,2,FALSE),"Unknown"))</f>
        <v>Clear</v>
      </c>
      <c r="AB236" s="5" t="str">
        <f>IF($A236="","",TEXT($F236,"00")&amp;":00")</f>
        <v>01:00</v>
      </c>
      <c r="AC236" s="5" t="str">
        <f>IF($A236="","",VLOOKUP($F236,Lookups!$G$4:$H$8,2,TRUE))</f>
        <v>Night (00-05)</v>
      </c>
      <c r="AD236" s="18">
        <f>IF($A236="","",IF($J236="","",ROUND($J236*41,1)))</f>
        <v>5.7</v>
      </c>
      <c r="AE236" s="18">
        <f>IF($A236="","",IF($R236="","",ROUND($R236*50,1)))</f>
        <v>7.6</v>
      </c>
      <c r="AF236" s="5">
        <f>IF($A236="","",IF($L236="","",ROUND($L236*100,0)))</f>
        <v>59</v>
      </c>
      <c r="AG236" s="18">
        <f>IF($A236="","",IF($M236="","",ROUND($M236*67,1)))</f>
        <v>11</v>
      </c>
      <c r="AH236" s="19">
        <f>IF($A236="","",IF($P236="","",IF($P236=0,0,$O236/$P236)))</f>
        <v>1</v>
      </c>
      <c r="AI236" s="5" t="str">
        <f>IF($A236="","",IF($P236="","",IF($P236&gt;=Lookups!$K$7,"High",IF($P236&lt;=Lookups!$K$8,"Low","Medium"))))</f>
        <v>Low</v>
      </c>
      <c r="AJ236" s="5" t="str">
        <f>IF($A236="","",IF($AD236="","",IF($AD236&lt;5,"Under 5 C",IF($AD236&lt;10,"5-10 C",IF($AD236&lt;15,"10-15 C","15 C and above")))))</f>
        <v>5-10 C</v>
      </c>
      <c r="AK236" s="5">
        <f>IF($A236="","",IF($P236="","",$P236^2))</f>
        <v>9</v>
      </c>
      <c r="AL236" s="18">
        <f>IF($V236&lt;&gt;1,"",AVERAGEIFS(Clean_Data!$P$2:$P$1001,Clean_Data!$F$2:$F$1001,$F236,Clean_Data!$W$2:$W$1001,$W236,Clean_Data!$V$2:$V$1001,1))</f>
        <v>5.10344827586207</v>
      </c>
      <c r="AM236" s="16">
        <f>IF($V236&lt;&gt;1,"",IFERROR(($P236-$AL236)/SQRT(MAX(0,(SUMIFS(Clean_Data!$AK$2:$AK$1001,Clean_Data!$F$2:$F$1001,$F236,Clean_Data!$W$2:$W$1001,$W236,Clean_Data!$V$2:$V$1001,1)-COUNTIFS(Clean_Data!$F$2:$F$1001,$F236,Clean_Data!$W$2:$W$1001,$W236,Clean_Data!$V$2:$V$1001,1)*$AL236^2)/(COUNTIFS(Clean_Data!$F$2:$F$1001,$F236,Clean_Data!$W$2:$W$1001,$W236,Clean_Data!$V$2:$V$1001,1)-1))),""))</f>
        <v>-0.729662983728796</v>
      </c>
      <c r="AN236" s="5" t="str">
        <f>IF($AM236="","",IF($AM236&gt;=Lookups!$K$6,"High spike",IF($AM236&lt;=-Lookups!$K$6,"Unusual low","Normal")))</f>
        <v>Normal</v>
      </c>
      <c r="AO236" s="20">
        <f>IF($V236&lt;&gt;1,"",$P236+ROW()/100000)</f>
        <v>3.00236</v>
      </c>
      <c r="AP236" s="5">
        <f>IF($A236="","",IFERROR(MATCH($A236,Raw_D1!$A$2:$A$1001,0),""))</f>
        <v>235</v>
      </c>
      <c r="AQ236" s="5">
        <f>IF($A236="","",IFERROR(MATCH($A236,Raw_D2!$B$2:$B$1001,0),""))</f>
        <v>235</v>
      </c>
      <c r="AR236" s="5">
        <f>IF($A236="","",IFERROR(MATCH($A236,Raw_D3!$A$2:$A$1001,0),""))</f>
        <v/>
      </c>
    </row>
    <row r="237" spans="1:44" x14ac:dyDescent="0.25">
      <c r="A237" s="5">
        <v>236</v>
      </c>
      <c r="B237" s="11">
        <f>IF($A237="","",IF($AP237&lt;&gt;"",INDEX(Raw_D1!$B$2:$B$1001,$AP237),IF($AR237&lt;&gt;"",INDEX(Raw_D3!$B$2:$B$1001,$AR237),"")))</f>
        <v>40554.0</v>
      </c>
      <c r="C237" s="5">
        <f>IF($A237="","",IF($AP237&lt;&gt;"",INDEX(Raw_D1!$C$2:$C$1001,$AP237),IF($AR237&lt;&gt;"",INDEX(Raw_D3!$C$2:$C$1001,$AR237),"")))</f>
        <v>1</v>
      </c>
      <c r="D237" s="5">
        <f>IF($A237="","",IF($AP237&lt;&gt;"",INDEX(Raw_D1!$D$2:$D$1001,$AP237),IF($AR237&lt;&gt;"",INDEX(Raw_D3!$D$2:$D$1001,$AR237),"")))</f>
        <v>0</v>
      </c>
      <c r="E237" s="5">
        <f>IF($A237="","",IF($AP237&lt;&gt;"",INDEX(Raw_D1!$E$2:$E$1001,$AP237),IF($AR237&lt;&gt;"",INDEX(Raw_D3!$E$2:$E$1001,$AR237),"")))</f>
        <v>1</v>
      </c>
      <c r="F237" s="5">
        <f>IF($A237="","",IF($AP237&lt;&gt;"",INDEX(Raw_D1!$F$2:$F$1001,$AP237),IF($AR237&lt;&gt;"",INDEX(Raw_D3!$F$2:$F$1001,$AR237),"")))</f>
        <v>2</v>
      </c>
      <c r="G237" s="5">
        <f>IF($A237="","",IF($AP237&lt;&gt;"",IF(INDEX(Raw_D1!$G$2:$G$1001,$AP237),1,0),IF($AR237&lt;&gt;"",IF(INDEX(Raw_D3!$G$2:$G$1001,$AR237),1,0),"")))</f>
        <v>0</v>
      </c>
      <c r="H237" s="5">
        <f>IF($A237="","",IF($AP237&lt;&gt;"",INDEX(Raw_D1!$H$2:$H$1001,$AP237),IF($AR237&lt;&gt;"",INDEX(Raw_D3!$H$2:$H$1001,$AR237),"")))</f>
        <v>2</v>
      </c>
      <c r="I237" s="5">
        <f>IF($A237="","",IF($AP237&lt;&gt;"",INDEX(Raw_D1!$I$2:$I$1001,$AP237),IF($AR237&lt;&gt;"",INDEX(Raw_D3!$I$2:$I$1001,$AR237),"")))</f>
        <v>2</v>
      </c>
      <c r="J237" s="16">
        <f>IF($A237="","",IF($AP237&lt;&gt;"",INDEX(Raw_D1!$J$2:$J$1001,$AP237),IF($AR237&lt;&gt;"",INDEX(Raw_D3!$J$2:$J$1001,$AR237),"")))</f>
        <v>0.16</v>
      </c>
      <c r="K237" s="17">
        <f>IF($A237="","",IF($AQ237&lt;&gt;"",IF(INDEX(Raw_D2!$C$2:$C$1001,$AQ237)="","",INDEX(Raw_D2!$C$2:$C$1001,$AQ237)),IF($AR237&lt;&gt;"",IF(INDEX(Raw_D3!$K$2:$K$1001,$AR237)="","",INDEX(Raw_D3!$K$2:$K$1001,$AR237)),"")))</f>
        <v>0.1515</v>
      </c>
      <c r="L237" s="16">
        <f>IF($A237="","",IF($AQ237&lt;&gt;"",IF(INDEX(Raw_D2!$D$2:$D$1001,$AQ237)="","",INDEX(Raw_D2!$D$2:$D$1001,$AQ237)),IF($AR237&lt;&gt;"",IF(INDEX(Raw_D3!$L$2:$L$1001,$AR237)="","",INDEX(Raw_D3!$L$2:$L$1001,$AR237)),"")))</f>
        <v>0.55</v>
      </c>
      <c r="M237" s="17">
        <f>IF($A237="","",IF($AQ237&lt;&gt;"",IF(INDEX(Raw_D2!$E$2:$E$1001,$AQ237)="","",INDEX(Raw_D2!$E$2:$E$1001,$AQ237)),IF($AR237&lt;&gt;"",IF(INDEX(Raw_D3!$M$2:$M$1001,$AR237)="","",INDEX(Raw_D3!$M$2:$M$1001,$AR237)),"")))</f>
        <v>0.194</v>
      </c>
      <c r="N237" s="5">
        <f>IF($A237="","",IF($AQ237&lt;&gt;"",IF(INDEX(Raw_D2!$F$2:$F$1001,$AQ237)="","",INDEX(Raw_D2!$F$2:$F$1001,$AQ237)),IF($AR237&lt;&gt;"",IF(INDEX(Raw_D3!$N$2:$N$1001,$AR237)="","",INDEX(Raw_D3!$N$2:$N$1001,$AR237)),"")))</f>
        <v>0</v>
      </c>
      <c r="O237" s="5">
        <f>IF($A237="","",IF($AQ237&lt;&gt;"",IF(INDEX(Raw_D2!$G$2:$G$1001,$AQ237)="","",INDEX(Raw_D2!$G$2:$G$1001,$AQ237)),IF($AR237&lt;&gt;"",IF(INDEX(Raw_D3!$O$2:$O$1001,$AR237)="","",INDEX(Raw_D3!$O$2:$O$1001,$AR237)),"")))</f>
        <v>3</v>
      </c>
      <c r="P237" s="5">
        <f>IF($A237="","",IF($AQ237&lt;&gt;"",IF(INDEX(Raw_D2!$H$2:$H$1001,$AQ237)="","",INDEX(Raw_D2!$H$2:$H$1001,$AQ237)),IF($AR237&lt;&gt;"",IF(INDEX(Raw_D3!$P$2:$P$1001,$AR237)="","",INDEX(Raw_D3!$P$2:$P$1001,$AR237)),"")))</f>
        <v>3</v>
      </c>
      <c r="Q237" s="5" t="str">
        <f>IF($A237="","",IF(AND($AP237&lt;&gt;"",$AQ237&lt;&gt;""),"D1+D2",IF($AR237&lt;&gt;"","D3","Incomplete")))</f>
        <v>D1+D2</v>
      </c>
      <c r="R237" s="17">
        <f>IF($A237="","",IF($K237="",IF($J237="","",ROUND(Lookups!$K$5+Lookups!$K$4*$J237,4)),$K237))</f>
        <v>0.1515</v>
      </c>
      <c r="S237" s="5" t="str">
        <f>IF($A237="","",IF($K237="","Imputed","Original"))</f>
        <v>Original</v>
      </c>
      <c r="T237" s="5" t="str">
        <f>IF($A237="","",IF($P237="","Missing",IF($P237=$N237+$O237,"OK","Mismatch")))</f>
        <v>OK</v>
      </c>
      <c r="U237" s="5" t="str">
        <f>IF($A237="","",IF(COUNTIF($A$2:$A237,$A237)&gt;1,"Duplicate","Unique"))</f>
        <v>Unique</v>
      </c>
      <c r="V237" s="5">
        <f>IF($A237="","",IF(AND($U237="Unique",ISNUMBER($P237)),1,0))</f>
        <v>1</v>
      </c>
      <c r="W237" s="5" t="str">
        <f>IF($A237="","",IF(OR($H237=0,$H237=6),"Weekend","Weekday"))</f>
        <v>Weekday</v>
      </c>
      <c r="X237" s="5" t="str">
        <f>IF($A237="","",TEXT($B237,"ddd"))</f>
        <v>Tue</v>
      </c>
      <c r="Y237" s="5" t="str">
        <f>IF($A237="","",TEXT($B237,"mmm"))</f>
        <v>Jan</v>
      </c>
      <c r="Z237" s="5" t="str">
        <f>IF($A237="","",IFERROR(VLOOKUP($C237,Lookups!$D$4:$E$7,2,FALSE),"Unknown"))</f>
        <v>Winter</v>
      </c>
      <c r="AA237" s="5" t="str">
        <f>IF($A237="","",IFERROR(VLOOKUP($I237,Lookups!$A$4:$B$7,2,FALSE),"Unknown"))</f>
        <v>Mist/Cloudy</v>
      </c>
      <c r="AB237" s="5" t="str">
        <f>IF($A237="","",TEXT($F237,"00")&amp;":00")</f>
        <v>02:00</v>
      </c>
      <c r="AC237" s="5" t="str">
        <f>IF($A237="","",VLOOKUP($F237,Lookups!$G$4:$H$8,2,TRUE))</f>
        <v>Night (00-05)</v>
      </c>
      <c r="AD237" s="18">
        <f>IF($A237="","",IF($J237="","",ROUND($J237*41,1)))</f>
        <v>6.6</v>
      </c>
      <c r="AE237" s="18">
        <f>IF($A237="","",IF($R237="","",ROUND($R237*50,1)))</f>
        <v>7.6</v>
      </c>
      <c r="AF237" s="5">
        <f>IF($A237="","",IF($L237="","",ROUND($L237*100,0)))</f>
        <v>55</v>
      </c>
      <c r="AG237" s="18">
        <f>IF($A237="","",IF($M237="","",ROUND($M237*67,1)))</f>
        <v>13</v>
      </c>
      <c r="AH237" s="19">
        <f>IF($A237="","",IF($P237="","",IF($P237=0,0,$O237/$P237)))</f>
        <v>1</v>
      </c>
      <c r="AI237" s="5" t="str">
        <f>IF($A237="","",IF($P237="","",IF($P237&gt;=Lookups!$K$7,"High",IF($P237&lt;=Lookups!$K$8,"Low","Medium"))))</f>
        <v>Low</v>
      </c>
      <c r="AJ237" s="5" t="str">
        <f>IF($A237="","",IF($AD237="","",IF($AD237&lt;5,"Under 5 C",IF($AD237&lt;10,"5-10 C",IF($AD237&lt;15,"10-15 C","15 C and above")))))</f>
        <v>5-10 C</v>
      </c>
      <c r="AK237" s="5">
        <f>IF($A237="","",IF($P237="","",$P237^2))</f>
        <v>9</v>
      </c>
      <c r="AL237" s="18">
        <f>IF($V237&lt;&gt;1,"",AVERAGEIFS(Clean_Data!$P$2:$P$1001,Clean_Data!$F$2:$F$1001,$F237,Clean_Data!$W$2:$W$1001,$W237,Clean_Data!$V$2:$V$1001,1))</f>
        <v>2.62962962962963</v>
      </c>
      <c r="AM237" s="16">
        <f>IF($V237&lt;&gt;1,"",IFERROR(($P237-$AL237)/SQRT(MAX(0,(SUMIFS(Clean_Data!$AK$2:$AK$1001,Clean_Data!$F$2:$F$1001,$F237,Clean_Data!$W$2:$W$1001,$W237,Clean_Data!$V$2:$V$1001,1)-COUNTIFS(Clean_Data!$F$2:$F$1001,$F237,Clean_Data!$W$2:$W$1001,$W237,Clean_Data!$V$2:$V$1001,1)*$AL237^2)/(COUNTIFS(Clean_Data!$F$2:$F$1001,$F237,Clean_Data!$W$2:$W$1001,$W237,Clean_Data!$V$2:$V$1001,1)-1))),""))</f>
        <v>0.183174006014898</v>
      </c>
      <c r="AN237" s="5" t="str">
        <f>IF($AM237="","",IF($AM237&gt;=Lookups!$K$6,"High spike",IF($AM237&lt;=-Lookups!$K$6,"Unusual low","Normal")))</f>
        <v>Normal</v>
      </c>
      <c r="AO237" s="20">
        <f>IF($V237&lt;&gt;1,"",$P237+ROW()/100000)</f>
        <v>3.00237</v>
      </c>
      <c r="AP237" s="5">
        <f>IF($A237="","",IFERROR(MATCH($A237,Raw_D1!$A$2:$A$1001,0),""))</f>
        <v>236</v>
      </c>
      <c r="AQ237" s="5">
        <f>IF($A237="","",IFERROR(MATCH($A237,Raw_D2!$B$2:$B$1001,0),""))</f>
        <v>236</v>
      </c>
      <c r="AR237" s="5">
        <f>IF($A237="","",IFERROR(MATCH($A237,Raw_D3!$A$2:$A$1001,0),""))</f>
        <v/>
      </c>
    </row>
    <row r="238" spans="1:44" x14ac:dyDescent="0.25">
      <c r="A238" s="5">
        <v>237</v>
      </c>
      <c r="B238" s="11">
        <f>IF($A238="","",IF($AP238&lt;&gt;"",INDEX(Raw_D1!$B$2:$B$1001,$AP238),IF($AR238&lt;&gt;"",INDEX(Raw_D3!$B$2:$B$1001,$AR238),"")))</f>
        <v>40554.0</v>
      </c>
      <c r="C238" s="5">
        <f>IF($A238="","",IF($AP238&lt;&gt;"",INDEX(Raw_D1!$C$2:$C$1001,$AP238),IF($AR238&lt;&gt;"",INDEX(Raw_D3!$C$2:$C$1001,$AR238),"")))</f>
        <v>1</v>
      </c>
      <c r="D238" s="5">
        <f>IF($A238="","",IF($AP238&lt;&gt;"",INDEX(Raw_D1!$D$2:$D$1001,$AP238),IF($AR238&lt;&gt;"",INDEX(Raw_D3!$D$2:$D$1001,$AR238),"")))</f>
        <v>0</v>
      </c>
      <c r="E238" s="5">
        <f>IF($A238="","",IF($AP238&lt;&gt;"",INDEX(Raw_D1!$E$2:$E$1001,$AP238),IF($AR238&lt;&gt;"",INDEX(Raw_D3!$E$2:$E$1001,$AR238),"")))</f>
        <v>1</v>
      </c>
      <c r="F238" s="5">
        <f>IF($A238="","",IF($AP238&lt;&gt;"",INDEX(Raw_D1!$F$2:$F$1001,$AP238),IF($AR238&lt;&gt;"",INDEX(Raw_D3!$F$2:$F$1001,$AR238),"")))</f>
        <v>5</v>
      </c>
      <c r="G238" s="5">
        <f>IF($A238="","",IF($AP238&lt;&gt;"",IF(INDEX(Raw_D1!$G$2:$G$1001,$AP238),1,0),IF($AR238&lt;&gt;"",IF(INDEX(Raw_D3!$G$2:$G$1001,$AR238),1,0),"")))</f>
        <v>0</v>
      </c>
      <c r="H238" s="5">
        <f>IF($A238="","",IF($AP238&lt;&gt;"",INDEX(Raw_D1!$H$2:$H$1001,$AP238),IF($AR238&lt;&gt;"",INDEX(Raw_D3!$H$2:$H$1001,$AR238),"")))</f>
        <v>2</v>
      </c>
      <c r="I238" s="5">
        <f>IF($A238="","",IF($AP238&lt;&gt;"",INDEX(Raw_D1!$I$2:$I$1001,$AP238),IF($AR238&lt;&gt;"",INDEX(Raw_D3!$I$2:$I$1001,$AR238),"")))</f>
        <v>2</v>
      </c>
      <c r="J238" s="16">
        <f>IF($A238="","",IF($AP238&lt;&gt;"",INDEX(Raw_D1!$J$2:$J$1001,$AP238),IF($AR238&lt;&gt;"",INDEX(Raw_D3!$J$2:$J$1001,$AR238),"")))</f>
        <v>0.16</v>
      </c>
      <c r="K238" s="17">
        <f>IF($A238="","",IF($AQ238&lt;&gt;"",IF(INDEX(Raw_D2!$C$2:$C$1001,$AQ238)="","",INDEX(Raw_D2!$C$2:$C$1001,$AQ238)),IF($AR238&lt;&gt;"",IF(INDEX(Raw_D3!$K$2:$K$1001,$AR238)="","",INDEX(Raw_D3!$K$2:$K$1001,$AR238)),"")))</f>
        <v>0.1818</v>
      </c>
      <c r="L238" s="16">
        <f>IF($A238="","",IF($AQ238&lt;&gt;"",IF(INDEX(Raw_D2!$D$2:$D$1001,$AQ238)="","",INDEX(Raw_D2!$D$2:$D$1001,$AQ238)),IF($AR238&lt;&gt;"",IF(INDEX(Raw_D3!$L$2:$L$1001,$AR238)="","",INDEX(Raw_D3!$L$2:$L$1001,$AR238)),"")))</f>
        <v>0.55</v>
      </c>
      <c r="M238" s="17">
        <f>IF($A238="","",IF($AQ238&lt;&gt;"",IF(INDEX(Raw_D2!$E$2:$E$1001,$AQ238)="","",INDEX(Raw_D2!$E$2:$E$1001,$AQ238)),IF($AR238&lt;&gt;"",IF(INDEX(Raw_D3!$M$2:$M$1001,$AR238)="","",INDEX(Raw_D3!$M$2:$M$1001,$AR238)),"")))</f>
        <v>0.1343</v>
      </c>
      <c r="N238" s="5">
        <f>IF($A238="","",IF($AQ238&lt;&gt;"",IF(INDEX(Raw_D2!$F$2:$F$1001,$AQ238)="","",INDEX(Raw_D2!$F$2:$F$1001,$AQ238)),IF($AR238&lt;&gt;"",IF(INDEX(Raw_D3!$N$2:$N$1001,$AR238)="","",INDEX(Raw_D3!$N$2:$N$1001,$AR238)),"")))</f>
        <v>0</v>
      </c>
      <c r="O238" s="5">
        <f>IF($A238="","",IF($AQ238&lt;&gt;"",IF(INDEX(Raw_D2!$G$2:$G$1001,$AQ238)="","",INDEX(Raw_D2!$G$2:$G$1001,$AQ238)),IF($AR238&lt;&gt;"",IF(INDEX(Raw_D3!$O$2:$O$1001,$AR238)="","",INDEX(Raw_D3!$O$2:$O$1001,$AR238)),"")))</f>
        <v>6</v>
      </c>
      <c r="P238" s="5">
        <f>IF($A238="","",IF($AQ238&lt;&gt;"",IF(INDEX(Raw_D2!$H$2:$H$1001,$AQ238)="","",INDEX(Raw_D2!$H$2:$H$1001,$AQ238)),IF($AR238&lt;&gt;"",IF(INDEX(Raw_D3!$P$2:$P$1001,$AR238)="","",INDEX(Raw_D3!$P$2:$P$1001,$AR238)),"")))</f>
        <v>6</v>
      </c>
      <c r="Q238" s="5" t="str">
        <f>IF($A238="","",IF(AND($AP238&lt;&gt;"",$AQ238&lt;&gt;""),"D1+D2",IF($AR238&lt;&gt;"","D3","Incomplete")))</f>
        <v>D1+D2</v>
      </c>
      <c r="R238" s="17">
        <f>IF($A238="","",IF($K238="",IF($J238="","",ROUND(Lookups!$K$5+Lookups!$K$4*$J238,4)),$K238))</f>
        <v>0.1818</v>
      </c>
      <c r="S238" s="5" t="str">
        <f>IF($A238="","",IF($K238="","Imputed","Original"))</f>
        <v>Original</v>
      </c>
      <c r="T238" s="5" t="str">
        <f>IF($A238="","",IF($P238="","Missing",IF($P238=$N238+$O238,"OK","Mismatch")))</f>
        <v>OK</v>
      </c>
      <c r="U238" s="5" t="str">
        <f>IF($A238="","",IF(COUNTIF($A$2:$A238,$A238)&gt;1,"Duplicate","Unique"))</f>
        <v>Unique</v>
      </c>
      <c r="V238" s="5">
        <f>IF($A238="","",IF(AND($U238="Unique",ISNUMBER($P238)),1,0))</f>
        <v>1</v>
      </c>
      <c r="W238" s="5" t="str">
        <f>IF($A238="","",IF(OR($H238=0,$H238=6),"Weekend","Weekday"))</f>
        <v>Weekday</v>
      </c>
      <c r="X238" s="5" t="str">
        <f>IF($A238="","",TEXT($B238,"ddd"))</f>
        <v>Tue</v>
      </c>
      <c r="Y238" s="5" t="str">
        <f>IF($A238="","",TEXT($B238,"mmm"))</f>
        <v>Jan</v>
      </c>
      <c r="Z238" s="5" t="str">
        <f>IF($A238="","",IFERROR(VLOOKUP($C238,Lookups!$D$4:$E$7,2,FALSE),"Unknown"))</f>
        <v>Winter</v>
      </c>
      <c r="AA238" s="5" t="str">
        <f>IF($A238="","",IFERROR(VLOOKUP($I238,Lookups!$A$4:$B$7,2,FALSE),"Unknown"))</f>
        <v>Mist/Cloudy</v>
      </c>
      <c r="AB238" s="5" t="str">
        <f>IF($A238="","",TEXT($F238,"00")&amp;":00")</f>
        <v>05:00</v>
      </c>
      <c r="AC238" s="5" t="str">
        <f>IF($A238="","",VLOOKUP($F238,Lookups!$G$4:$H$8,2,TRUE))</f>
        <v>Night (00-05)</v>
      </c>
      <c r="AD238" s="18">
        <f>IF($A238="","",IF($J238="","",ROUND($J238*41,1)))</f>
        <v>6.6</v>
      </c>
      <c r="AE238" s="18">
        <f>IF($A238="","",IF($R238="","",ROUND($R238*50,1)))</f>
        <v>9.1</v>
      </c>
      <c r="AF238" s="5">
        <f>IF($A238="","",IF($L238="","",ROUND($L238*100,0)))</f>
        <v>55</v>
      </c>
      <c r="AG238" s="18">
        <f>IF($A238="","",IF($M238="","",ROUND($M238*67,1)))</f>
        <v>9</v>
      </c>
      <c r="AH238" s="19">
        <f>IF($A238="","",IF($P238="","",IF($P238=0,0,$O238/$P238)))</f>
        <v>1</v>
      </c>
      <c r="AI238" s="5" t="str">
        <f>IF($A238="","",IF($P238="","",IF($P238&gt;=Lookups!$K$7,"High",IF($P238&lt;=Lookups!$K$8,"Low","Medium"))))</f>
        <v>Low</v>
      </c>
      <c r="AJ238" s="5" t="str">
        <f>IF($A238="","",IF($AD238="","",IF($AD238&lt;5,"Under 5 C",IF($AD238&lt;10,"5-10 C",IF($AD238&lt;15,"10-15 C","15 C and above")))))</f>
        <v>5-10 C</v>
      </c>
      <c r="AK238" s="5">
        <f>IF($A238="","",IF($P238="","",$P238^2))</f>
        <v>36</v>
      </c>
      <c r="AL238" s="18">
        <f>IF($V238&lt;&gt;1,"",AVERAGEIFS(Clean_Data!$P$2:$P$1001,Clean_Data!$F$2:$F$1001,$F238,Clean_Data!$W$2:$W$1001,$W238,Clean_Data!$V$2:$V$1001,1))</f>
        <v>4.72413793103448</v>
      </c>
      <c r="AM238" s="16">
        <f>IF($V238&lt;&gt;1,"",IFERROR(($P238-$AL238)/SQRT(MAX(0,(SUMIFS(Clean_Data!$AK$2:$AK$1001,Clean_Data!$F$2:$F$1001,$F238,Clean_Data!$W$2:$W$1001,$W238,Clean_Data!$V$2:$V$1001,1)-COUNTIFS(Clean_Data!$F$2:$F$1001,$F238,Clean_Data!$W$2:$W$1001,$W238,Clean_Data!$V$2:$V$1001,1)*$AL238^2)/(COUNTIFS(Clean_Data!$F$2:$F$1001,$F238,Clean_Data!$W$2:$W$1001,$W238,Clean_Data!$V$2:$V$1001,1)-1))),""))</f>
        <v>0.54439523022565</v>
      </c>
      <c r="AN238" s="5" t="str">
        <f>IF($AM238="","",IF($AM238&gt;=Lookups!$K$6,"High spike",IF($AM238&lt;=-Lookups!$K$6,"Unusual low","Normal")))</f>
        <v>Normal</v>
      </c>
      <c r="AO238" s="20">
        <f>IF($V238&lt;&gt;1,"",$P238+ROW()/100000)</f>
        <v>6.00238</v>
      </c>
      <c r="AP238" s="5">
        <f>IF($A238="","",IFERROR(MATCH($A238,Raw_D1!$A$2:$A$1001,0),""))</f>
        <v>237</v>
      </c>
      <c r="AQ238" s="5">
        <f>IF($A238="","",IFERROR(MATCH($A238,Raw_D2!$B$2:$B$1001,0),""))</f>
        <v>237</v>
      </c>
      <c r="AR238" s="5">
        <f>IF($A238="","",IFERROR(MATCH($A238,Raw_D3!$A$2:$A$1001,0),""))</f>
        <v/>
      </c>
    </row>
    <row r="239" spans="1:44" x14ac:dyDescent="0.25">
      <c r="A239" s="5">
        <v>238</v>
      </c>
      <c r="B239" s="11">
        <f>IF($A239="","",IF($AP239&lt;&gt;"",INDEX(Raw_D1!$B$2:$B$1001,$AP239),IF($AR239&lt;&gt;"",INDEX(Raw_D3!$B$2:$B$1001,$AR239),"")))</f>
        <v>40554.0</v>
      </c>
      <c r="C239" s="5">
        <f>IF($A239="","",IF($AP239&lt;&gt;"",INDEX(Raw_D1!$C$2:$C$1001,$AP239),IF($AR239&lt;&gt;"",INDEX(Raw_D3!$C$2:$C$1001,$AR239),"")))</f>
        <v>1</v>
      </c>
      <c r="D239" s="5">
        <f>IF($A239="","",IF($AP239&lt;&gt;"",INDEX(Raw_D1!$D$2:$D$1001,$AP239),IF($AR239&lt;&gt;"",INDEX(Raw_D3!$D$2:$D$1001,$AR239),"")))</f>
        <v>0</v>
      </c>
      <c r="E239" s="5">
        <f>IF($A239="","",IF($AP239&lt;&gt;"",INDEX(Raw_D1!$E$2:$E$1001,$AP239),IF($AR239&lt;&gt;"",INDEX(Raw_D3!$E$2:$E$1001,$AR239),"")))</f>
        <v>1</v>
      </c>
      <c r="F239" s="5">
        <f>IF($A239="","",IF($AP239&lt;&gt;"",INDEX(Raw_D1!$F$2:$F$1001,$AP239),IF($AR239&lt;&gt;"",INDEX(Raw_D3!$F$2:$F$1001,$AR239),"")))</f>
        <v>6</v>
      </c>
      <c r="G239" s="5">
        <f>IF($A239="","",IF($AP239&lt;&gt;"",IF(INDEX(Raw_D1!$G$2:$G$1001,$AP239),1,0),IF($AR239&lt;&gt;"",IF(INDEX(Raw_D3!$G$2:$G$1001,$AR239),1,0),"")))</f>
        <v>0</v>
      </c>
      <c r="H239" s="5">
        <f>IF($A239="","",IF($AP239&lt;&gt;"",INDEX(Raw_D1!$H$2:$H$1001,$AP239),IF($AR239&lt;&gt;"",INDEX(Raw_D3!$H$2:$H$1001,$AR239),"")))</f>
        <v>2</v>
      </c>
      <c r="I239" s="5">
        <f>IF($A239="","",IF($AP239&lt;&gt;"",INDEX(Raw_D1!$I$2:$I$1001,$AP239),IF($AR239&lt;&gt;"",INDEX(Raw_D3!$I$2:$I$1001,$AR239),"")))</f>
        <v>2</v>
      </c>
      <c r="J239" s="16">
        <f>IF($A239="","",IF($AP239&lt;&gt;"",INDEX(Raw_D1!$J$2:$J$1001,$AP239),IF($AR239&lt;&gt;"",INDEX(Raw_D3!$J$2:$J$1001,$AR239),"")))</f>
        <v>0.16</v>
      </c>
      <c r="K239" s="17">
        <f>IF($A239="","",IF($AQ239&lt;&gt;"",IF(INDEX(Raw_D2!$C$2:$C$1001,$AQ239)="","",INDEX(Raw_D2!$C$2:$C$1001,$AQ239)),IF($AR239&lt;&gt;"",IF(INDEX(Raw_D3!$K$2:$K$1001,$AR239)="","",INDEX(Raw_D3!$K$2:$K$1001,$AR239)),"")))</f>
        <v>0.1818</v>
      </c>
      <c r="L239" s="16">
        <f>IF($A239="","",IF($AQ239&lt;&gt;"",IF(INDEX(Raw_D2!$D$2:$D$1001,$AQ239)="","",INDEX(Raw_D2!$D$2:$D$1001,$AQ239)),IF($AR239&lt;&gt;"",IF(INDEX(Raw_D3!$L$2:$L$1001,$AR239)="","",INDEX(Raw_D3!$L$2:$L$1001,$AR239)),"")))</f>
        <v>0.55</v>
      </c>
      <c r="M239" s="17">
        <f>IF($A239="","",IF($AQ239&lt;&gt;"",IF(INDEX(Raw_D2!$E$2:$E$1001,$AQ239)="","",INDEX(Raw_D2!$E$2:$E$1001,$AQ239)),IF($AR239&lt;&gt;"",IF(INDEX(Raw_D3!$M$2:$M$1001,$AR239)="","",INDEX(Raw_D3!$M$2:$M$1001,$AR239)),"")))</f>
        <v>0.1343</v>
      </c>
      <c r="N239" s="5">
        <f>IF($A239="","",IF($AQ239&lt;&gt;"",IF(INDEX(Raw_D2!$F$2:$F$1001,$AQ239)="","",INDEX(Raw_D2!$F$2:$F$1001,$AQ239)),IF($AR239&lt;&gt;"",IF(INDEX(Raw_D3!$N$2:$N$1001,$AR239)="","",INDEX(Raw_D3!$N$2:$N$1001,$AR239)),"")))</f>
        <v>0</v>
      </c>
      <c r="O239" s="5">
        <f>IF($A239="","",IF($AQ239&lt;&gt;"",IF(INDEX(Raw_D2!$G$2:$G$1001,$AQ239)="","",INDEX(Raw_D2!$G$2:$G$1001,$AQ239)),IF($AR239&lt;&gt;"",IF(INDEX(Raw_D3!$O$2:$O$1001,$AR239)="","",INDEX(Raw_D3!$O$2:$O$1001,$AR239)),"")))</f>
        <v>27</v>
      </c>
      <c r="P239" s="5">
        <f>IF($A239="","",IF($AQ239&lt;&gt;"",IF(INDEX(Raw_D2!$H$2:$H$1001,$AQ239)="","",INDEX(Raw_D2!$H$2:$H$1001,$AQ239)),IF($AR239&lt;&gt;"",IF(INDEX(Raw_D3!$P$2:$P$1001,$AR239)="","",INDEX(Raw_D3!$P$2:$P$1001,$AR239)),"")))</f>
        <v>27</v>
      </c>
      <c r="Q239" s="5" t="str">
        <f>IF($A239="","",IF(AND($AP239&lt;&gt;"",$AQ239&lt;&gt;""),"D1+D2",IF($AR239&lt;&gt;"","D3","Incomplete")))</f>
        <v>D1+D2</v>
      </c>
      <c r="R239" s="17">
        <f>IF($A239="","",IF($K239="",IF($J239="","",ROUND(Lookups!$K$5+Lookups!$K$4*$J239,4)),$K239))</f>
        <v>0.1818</v>
      </c>
      <c r="S239" s="5" t="str">
        <f>IF($A239="","",IF($K239="","Imputed","Original"))</f>
        <v>Original</v>
      </c>
      <c r="T239" s="5" t="str">
        <f>IF($A239="","",IF($P239="","Missing",IF($P239=$N239+$O239,"OK","Mismatch")))</f>
        <v>OK</v>
      </c>
      <c r="U239" s="5" t="str">
        <f>IF($A239="","",IF(COUNTIF($A$2:$A239,$A239)&gt;1,"Duplicate","Unique"))</f>
        <v>Unique</v>
      </c>
      <c r="V239" s="5">
        <f>IF($A239="","",IF(AND($U239="Unique",ISNUMBER($P239)),1,0))</f>
        <v>1</v>
      </c>
      <c r="W239" s="5" t="str">
        <f>IF($A239="","",IF(OR($H239=0,$H239=6),"Weekend","Weekday"))</f>
        <v>Weekday</v>
      </c>
      <c r="X239" s="5" t="str">
        <f>IF($A239="","",TEXT($B239,"ddd"))</f>
        <v>Tue</v>
      </c>
      <c r="Y239" s="5" t="str">
        <f>IF($A239="","",TEXT($B239,"mmm"))</f>
        <v>Jan</v>
      </c>
      <c r="Z239" s="5" t="str">
        <f>IF($A239="","",IFERROR(VLOOKUP($C239,Lookups!$D$4:$E$7,2,FALSE),"Unknown"))</f>
        <v>Winter</v>
      </c>
      <c r="AA239" s="5" t="str">
        <f>IF($A239="","",IFERROR(VLOOKUP($I239,Lookups!$A$4:$B$7,2,FALSE),"Unknown"))</f>
        <v>Mist/Cloudy</v>
      </c>
      <c r="AB239" s="5" t="str">
        <f>IF($A239="","",TEXT($F239,"00")&amp;":00")</f>
        <v>06:00</v>
      </c>
      <c r="AC239" s="5" t="str">
        <f>IF($A239="","",VLOOKUP($F239,Lookups!$G$4:$H$8,2,TRUE))</f>
        <v>Morning Peak (06-09)</v>
      </c>
      <c r="AD239" s="18">
        <f>IF($A239="","",IF($J239="","",ROUND($J239*41,1)))</f>
        <v>6.6</v>
      </c>
      <c r="AE239" s="18">
        <f>IF($A239="","",IF($R239="","",ROUND($R239*50,1)))</f>
        <v>9.1</v>
      </c>
      <c r="AF239" s="5">
        <f>IF($A239="","",IF($L239="","",ROUND($L239*100,0)))</f>
        <v>55</v>
      </c>
      <c r="AG239" s="18">
        <f>IF($A239="","",IF($M239="","",ROUND($M239*67,1)))</f>
        <v>9</v>
      </c>
      <c r="AH239" s="19">
        <f>IF($A239="","",IF($P239="","",IF($P239=0,0,$O239/$P239)))</f>
        <v>1</v>
      </c>
      <c r="AI239" s="5" t="str">
        <f>IF($A239="","",IF($P239="","",IF($P239&gt;=Lookups!$K$7,"High",IF($P239&lt;=Lookups!$K$8,"Low","Medium"))))</f>
        <v>Medium</v>
      </c>
      <c r="AJ239" s="5" t="str">
        <f>IF($A239="","",IF($AD239="","",IF($AD239&lt;5,"Under 5 C",IF($AD239&lt;10,"5-10 C",IF($AD239&lt;15,"10-15 C","15 C and above")))))</f>
        <v>5-10 C</v>
      </c>
      <c r="AK239" s="5">
        <f>IF($A239="","",IF($P239="","",$P239^2))</f>
        <v>729</v>
      </c>
      <c r="AL239" s="18">
        <f>IF($V239&lt;&gt;1,"",AVERAGEIFS(Clean_Data!$P$2:$P$1001,Clean_Data!$F$2:$F$1001,$F239,Clean_Data!$W$2:$W$1001,$W239,Clean_Data!$V$2:$V$1001,1))</f>
        <v>27.3793103448276</v>
      </c>
      <c r="AM239" s="16">
        <f>IF($V239&lt;&gt;1,"",IFERROR(($P239-$AL239)/SQRT(MAX(0,(SUMIFS(Clean_Data!$AK$2:$AK$1001,Clean_Data!$F$2:$F$1001,$F239,Clean_Data!$W$2:$W$1001,$W239,Clean_Data!$V$2:$V$1001,1)-COUNTIFS(Clean_Data!$F$2:$F$1001,$F239,Clean_Data!$W$2:$W$1001,$W239,Clean_Data!$V$2:$V$1001,1)*$AL239^2)/(COUNTIFS(Clean_Data!$F$2:$F$1001,$F239,Clean_Data!$W$2:$W$1001,$W239,Clean_Data!$V$2:$V$1001,1)-1))),""))</f>
        <v>-0.0398186108678031</v>
      </c>
      <c r="AN239" s="5" t="str">
        <f>IF($AM239="","",IF($AM239&gt;=Lookups!$K$6,"High spike",IF($AM239&lt;=-Lookups!$K$6,"Unusual low","Normal")))</f>
        <v>Normal</v>
      </c>
      <c r="AO239" s="20">
        <f>IF($V239&lt;&gt;1,"",$P239+ROW()/100000)</f>
        <v>27.00239</v>
      </c>
      <c r="AP239" s="5">
        <f>IF($A239="","",IFERROR(MATCH($A239,Raw_D1!$A$2:$A$1001,0),""))</f>
        <v>238</v>
      </c>
      <c r="AQ239" s="5">
        <f>IF($A239="","",IFERROR(MATCH($A239,Raw_D2!$B$2:$B$1001,0),""))</f>
        <v>238</v>
      </c>
      <c r="AR239" s="5">
        <f>IF($A239="","",IFERROR(MATCH($A239,Raw_D3!$A$2:$A$1001,0),""))</f>
        <v/>
      </c>
    </row>
    <row r="240" spans="1:44" x14ac:dyDescent="0.25">
      <c r="A240" s="5">
        <v>239</v>
      </c>
      <c r="B240" s="11">
        <f>IF($A240="","",IF($AP240&lt;&gt;"",INDEX(Raw_D1!$B$2:$B$1001,$AP240),IF($AR240&lt;&gt;"",INDEX(Raw_D3!$B$2:$B$1001,$AR240),"")))</f>
        <v>40554.0</v>
      </c>
      <c r="C240" s="5">
        <f>IF($A240="","",IF($AP240&lt;&gt;"",INDEX(Raw_D1!$C$2:$C$1001,$AP240),IF($AR240&lt;&gt;"",INDEX(Raw_D3!$C$2:$C$1001,$AR240),"")))</f>
        <v>1</v>
      </c>
      <c r="D240" s="5">
        <f>IF($A240="","",IF($AP240&lt;&gt;"",INDEX(Raw_D1!$D$2:$D$1001,$AP240),IF($AR240&lt;&gt;"",INDEX(Raw_D3!$D$2:$D$1001,$AR240),"")))</f>
        <v>0</v>
      </c>
      <c r="E240" s="5">
        <f>IF($A240="","",IF($AP240&lt;&gt;"",INDEX(Raw_D1!$E$2:$E$1001,$AP240),IF($AR240&lt;&gt;"",INDEX(Raw_D3!$E$2:$E$1001,$AR240),"")))</f>
        <v>1</v>
      </c>
      <c r="F240" s="5">
        <f>IF($A240="","",IF($AP240&lt;&gt;"",INDEX(Raw_D1!$F$2:$F$1001,$AP240),IF($AR240&lt;&gt;"",INDEX(Raw_D3!$F$2:$F$1001,$AR240),"")))</f>
        <v>7</v>
      </c>
      <c r="G240" s="5">
        <f>IF($A240="","",IF($AP240&lt;&gt;"",IF(INDEX(Raw_D1!$G$2:$G$1001,$AP240),1,0),IF($AR240&lt;&gt;"",IF(INDEX(Raw_D3!$G$2:$G$1001,$AR240),1,0),"")))</f>
        <v>0</v>
      </c>
      <c r="H240" s="5">
        <f>IF($A240="","",IF($AP240&lt;&gt;"",INDEX(Raw_D1!$H$2:$H$1001,$AP240),IF($AR240&lt;&gt;"",INDEX(Raw_D3!$H$2:$H$1001,$AR240),"")))</f>
        <v>2</v>
      </c>
      <c r="I240" s="5">
        <f>IF($A240="","",IF($AP240&lt;&gt;"",INDEX(Raw_D1!$I$2:$I$1001,$AP240),IF($AR240&lt;&gt;"",INDEX(Raw_D3!$I$2:$I$1001,$AR240),"")))</f>
        <v>2</v>
      </c>
      <c r="J240" s="16">
        <f>IF($A240="","",IF($AP240&lt;&gt;"",INDEX(Raw_D1!$J$2:$J$1001,$AP240),IF($AR240&lt;&gt;"",INDEX(Raw_D3!$J$2:$J$1001,$AR240),"")))</f>
        <v>0.16</v>
      </c>
      <c r="K240" s="17">
        <f>IF($A240="","",IF($AQ240&lt;&gt;"",IF(INDEX(Raw_D2!$C$2:$C$1001,$AQ240)="","",INDEX(Raw_D2!$C$2:$C$1001,$AQ240)),IF($AR240&lt;&gt;"",IF(INDEX(Raw_D3!$K$2:$K$1001,$AR240)="","",INDEX(Raw_D3!$K$2:$K$1001,$AR240)),"")))</f>
        <v>0.2273</v>
      </c>
      <c r="L240" s="16">
        <f>IF($A240="","",IF($AQ240&lt;&gt;"",IF(INDEX(Raw_D2!$D$2:$D$1001,$AQ240)="","",INDEX(Raw_D2!$D$2:$D$1001,$AQ240)),IF($AR240&lt;&gt;"",IF(INDEX(Raw_D3!$L$2:$L$1001,$AR240)="","",INDEX(Raw_D3!$L$2:$L$1001,$AR240)),"")))</f>
        <v>0.55</v>
      </c>
      <c r="M240" s="17">
        <f>IF($A240="","",IF($AQ240&lt;&gt;"",IF(INDEX(Raw_D2!$E$2:$E$1001,$AQ240)="","",INDEX(Raw_D2!$E$2:$E$1001,$AQ240)),IF($AR240&lt;&gt;"",IF(INDEX(Raw_D3!$M$2:$M$1001,$AR240)="","",INDEX(Raw_D3!$M$2:$M$1001,$AR240)),"")))</f>
        <v>0</v>
      </c>
      <c r="N240" s="5">
        <f>IF($A240="","",IF($AQ240&lt;&gt;"",IF(INDEX(Raw_D2!$F$2:$F$1001,$AQ240)="","",INDEX(Raw_D2!$F$2:$F$1001,$AQ240)),IF($AR240&lt;&gt;"",IF(INDEX(Raw_D3!$N$2:$N$1001,$AR240)="","",INDEX(Raw_D3!$N$2:$N$1001,$AR240)),"")))</f>
        <v>2</v>
      </c>
      <c r="O240" s="5">
        <f>IF($A240="","",IF($AQ240&lt;&gt;"",IF(INDEX(Raw_D2!$G$2:$G$1001,$AQ240)="","",INDEX(Raw_D2!$G$2:$G$1001,$AQ240)),IF($AR240&lt;&gt;"",IF(INDEX(Raw_D3!$O$2:$O$1001,$AR240)="","",INDEX(Raw_D3!$O$2:$O$1001,$AR240)),"")))</f>
        <v>97</v>
      </c>
      <c r="P240" s="5">
        <f>IF($A240="","",IF($AQ240&lt;&gt;"",IF(INDEX(Raw_D2!$H$2:$H$1001,$AQ240)="","",INDEX(Raw_D2!$H$2:$H$1001,$AQ240)),IF($AR240&lt;&gt;"",IF(INDEX(Raw_D3!$P$2:$P$1001,$AR240)="","",INDEX(Raw_D3!$P$2:$P$1001,$AR240)),"")))</f>
        <v>99</v>
      </c>
      <c r="Q240" s="5" t="str">
        <f>IF($A240="","",IF(AND($AP240&lt;&gt;"",$AQ240&lt;&gt;""),"D1+D2",IF($AR240&lt;&gt;"","D3","Incomplete")))</f>
        <v>D1+D2</v>
      </c>
      <c r="R240" s="17">
        <f>IF($A240="","",IF($K240="",IF($J240="","",ROUND(Lookups!$K$5+Lookups!$K$4*$J240,4)),$K240))</f>
        <v>0.2273</v>
      </c>
      <c r="S240" s="5" t="str">
        <f>IF($A240="","",IF($K240="","Imputed","Original"))</f>
        <v>Original</v>
      </c>
      <c r="T240" s="5" t="str">
        <f>IF($A240="","",IF($P240="","Missing",IF($P240=$N240+$O240,"OK","Mismatch")))</f>
        <v>OK</v>
      </c>
      <c r="U240" s="5" t="str">
        <f>IF($A240="","",IF(COUNTIF($A$2:$A240,$A240)&gt;1,"Duplicate","Unique"))</f>
        <v>Unique</v>
      </c>
      <c r="V240" s="5">
        <f>IF($A240="","",IF(AND($U240="Unique",ISNUMBER($P240)),1,0))</f>
        <v>1</v>
      </c>
      <c r="W240" s="5" t="str">
        <f>IF($A240="","",IF(OR($H240=0,$H240=6),"Weekend","Weekday"))</f>
        <v>Weekday</v>
      </c>
      <c r="X240" s="5" t="str">
        <f>IF($A240="","",TEXT($B240,"ddd"))</f>
        <v>Tue</v>
      </c>
      <c r="Y240" s="5" t="str">
        <f>IF($A240="","",TEXT($B240,"mmm"))</f>
        <v>Jan</v>
      </c>
      <c r="Z240" s="5" t="str">
        <f>IF($A240="","",IFERROR(VLOOKUP($C240,Lookups!$D$4:$E$7,2,FALSE),"Unknown"))</f>
        <v>Winter</v>
      </c>
      <c r="AA240" s="5" t="str">
        <f>IF($A240="","",IFERROR(VLOOKUP($I240,Lookups!$A$4:$B$7,2,FALSE),"Unknown"))</f>
        <v>Mist/Cloudy</v>
      </c>
      <c r="AB240" s="5" t="str">
        <f>IF($A240="","",TEXT($F240,"00")&amp;":00")</f>
        <v>07:00</v>
      </c>
      <c r="AC240" s="5" t="str">
        <f>IF($A240="","",VLOOKUP($F240,Lookups!$G$4:$H$8,2,TRUE))</f>
        <v>Morning Peak (06-09)</v>
      </c>
      <c r="AD240" s="18">
        <f>IF($A240="","",IF($J240="","",ROUND($J240*41,1)))</f>
        <v>6.6</v>
      </c>
      <c r="AE240" s="18">
        <f>IF($A240="","",IF($R240="","",ROUND($R240*50,1)))</f>
        <v>11.4</v>
      </c>
      <c r="AF240" s="5">
        <f>IF($A240="","",IF($L240="","",ROUND($L240*100,0)))</f>
        <v>55</v>
      </c>
      <c r="AG240" s="18">
        <f>IF($A240="","",IF($M240="","",ROUND($M240*67,1)))</f>
        <v>0</v>
      </c>
      <c r="AH240" s="19">
        <f>IF($A240="","",IF($P240="","",IF($P240=0,0,$O240/$P240)))</f>
        <v>0.97979797979798</v>
      </c>
      <c r="AI240" s="5" t="str">
        <f>IF($A240="","",IF($P240="","",IF($P240&gt;=Lookups!$K$7,"High",IF($P240&lt;=Lookups!$K$8,"Low","Medium"))))</f>
        <v>High</v>
      </c>
      <c r="AJ240" s="5" t="str">
        <f>IF($A240="","",IF($AD240="","",IF($AD240&lt;5,"Under 5 C",IF($AD240&lt;10,"5-10 C",IF($AD240&lt;15,"10-15 C","15 C and above")))))</f>
        <v>5-10 C</v>
      </c>
      <c r="AK240" s="5">
        <f>IF($A240="","",IF($P240="","",$P240^2))</f>
        <v>9801</v>
      </c>
      <c r="AL240" s="18">
        <f>IF($V240&lt;&gt;1,"",AVERAGEIFS(Clean_Data!$P$2:$P$1001,Clean_Data!$F$2:$F$1001,$F240,Clean_Data!$W$2:$W$1001,$W240,Clean_Data!$V$2:$V$1001,1))</f>
        <v>78.0344827586207</v>
      </c>
      <c r="AM240" s="16">
        <f>IF($V240&lt;&gt;1,"",IFERROR(($P240-$AL240)/SQRT(MAX(0,(SUMIFS(Clean_Data!$AK$2:$AK$1001,Clean_Data!$F$2:$F$1001,$F240,Clean_Data!$W$2:$W$1001,$W240,Clean_Data!$V$2:$V$1001,1)-COUNTIFS(Clean_Data!$F$2:$F$1001,$F240,Clean_Data!$W$2:$W$1001,$W240,Clean_Data!$V$2:$V$1001,1)*$AL240^2)/(COUNTIFS(Clean_Data!$F$2:$F$1001,$F240,Clean_Data!$W$2:$W$1001,$W240,Clean_Data!$V$2:$V$1001,1)-1))),""))</f>
        <v>0.92632870020131</v>
      </c>
      <c r="AN240" s="5" t="str">
        <f>IF($AM240="","",IF($AM240&gt;=Lookups!$K$6,"High spike",IF($AM240&lt;=-Lookups!$K$6,"Unusual low","Normal")))</f>
        <v>Normal</v>
      </c>
      <c r="AO240" s="20">
        <f>IF($V240&lt;&gt;1,"",$P240+ROW()/100000)</f>
        <v>99.0024</v>
      </c>
      <c r="AP240" s="5">
        <f>IF($A240="","",IFERROR(MATCH($A240,Raw_D1!$A$2:$A$1001,0),""))</f>
        <v>239</v>
      </c>
      <c r="AQ240" s="5">
        <f>IF($A240="","",IFERROR(MATCH($A240,Raw_D2!$B$2:$B$1001,0),""))</f>
        <v>239</v>
      </c>
      <c r="AR240" s="5">
        <f>IF($A240="","",IFERROR(MATCH($A240,Raw_D3!$A$2:$A$1001,0),""))</f>
        <v/>
      </c>
    </row>
    <row r="241" spans="1:44" x14ac:dyDescent="0.25">
      <c r="A241" s="5">
        <v>240</v>
      </c>
      <c r="B241" s="11">
        <f>IF($A241="","",IF($AP241&lt;&gt;"",INDEX(Raw_D1!$B$2:$B$1001,$AP241),IF($AR241&lt;&gt;"",INDEX(Raw_D3!$B$2:$B$1001,$AR241),"")))</f>
        <v>40554.0</v>
      </c>
      <c r="C241" s="5">
        <f>IF($A241="","",IF($AP241&lt;&gt;"",INDEX(Raw_D1!$C$2:$C$1001,$AP241),IF($AR241&lt;&gt;"",INDEX(Raw_D3!$C$2:$C$1001,$AR241),"")))</f>
        <v>1</v>
      </c>
      <c r="D241" s="5">
        <f>IF($A241="","",IF($AP241&lt;&gt;"",INDEX(Raw_D1!$D$2:$D$1001,$AP241),IF($AR241&lt;&gt;"",INDEX(Raw_D3!$D$2:$D$1001,$AR241),"")))</f>
        <v>0</v>
      </c>
      <c r="E241" s="5">
        <f>IF($A241="","",IF($AP241&lt;&gt;"",INDEX(Raw_D1!$E$2:$E$1001,$AP241),IF($AR241&lt;&gt;"",INDEX(Raw_D3!$E$2:$E$1001,$AR241),"")))</f>
        <v>1</v>
      </c>
      <c r="F241" s="5">
        <f>IF($A241="","",IF($AP241&lt;&gt;"",INDEX(Raw_D1!$F$2:$F$1001,$AP241),IF($AR241&lt;&gt;"",INDEX(Raw_D3!$F$2:$F$1001,$AR241),"")))</f>
        <v>8</v>
      </c>
      <c r="G241" s="5">
        <f>IF($A241="","",IF($AP241&lt;&gt;"",IF(INDEX(Raw_D1!$G$2:$G$1001,$AP241),1,0),IF($AR241&lt;&gt;"",IF(INDEX(Raw_D3!$G$2:$G$1001,$AR241),1,0),"")))</f>
        <v>0</v>
      </c>
      <c r="H241" s="5">
        <f>IF($A241="","",IF($AP241&lt;&gt;"",INDEX(Raw_D1!$H$2:$H$1001,$AP241),IF($AR241&lt;&gt;"",INDEX(Raw_D3!$H$2:$H$1001,$AR241),"")))</f>
        <v>2</v>
      </c>
      <c r="I241" s="5">
        <f>IF($A241="","",IF($AP241&lt;&gt;"",INDEX(Raw_D1!$I$2:$I$1001,$AP241),IF($AR241&lt;&gt;"",INDEX(Raw_D3!$I$2:$I$1001,$AR241),"")))</f>
        <v>2</v>
      </c>
      <c r="J241" s="16">
        <f>IF($A241="","",IF($AP241&lt;&gt;"",INDEX(Raw_D1!$J$2:$J$1001,$AP241),IF($AR241&lt;&gt;"",INDEX(Raw_D3!$J$2:$J$1001,$AR241),"")))</f>
        <v>0.18</v>
      </c>
      <c r="K241" s="17">
        <f>IF($A241="","",IF($AQ241&lt;&gt;"",IF(INDEX(Raw_D2!$C$2:$C$1001,$AQ241)="","",INDEX(Raw_D2!$C$2:$C$1001,$AQ241)),IF($AR241&lt;&gt;"",IF(INDEX(Raw_D3!$K$2:$K$1001,$AR241)="","",INDEX(Raw_D3!$K$2:$K$1001,$AR241)),"")))</f>
        <v>0.2121</v>
      </c>
      <c r="L241" s="16">
        <f>IF($A241="","",IF($AQ241&lt;&gt;"",IF(INDEX(Raw_D2!$D$2:$D$1001,$AQ241)="","",INDEX(Raw_D2!$D$2:$D$1001,$AQ241)),IF($AR241&lt;&gt;"",IF(INDEX(Raw_D3!$L$2:$L$1001,$AR241)="","",INDEX(Raw_D3!$L$2:$L$1001,$AR241)),"")))</f>
        <v>0.51</v>
      </c>
      <c r="M241" s="17">
        <f>IF($A241="","",IF($AQ241&lt;&gt;"",IF(INDEX(Raw_D2!$E$2:$E$1001,$AQ241)="","",INDEX(Raw_D2!$E$2:$E$1001,$AQ241)),IF($AR241&lt;&gt;"",IF(INDEX(Raw_D3!$M$2:$M$1001,$AR241)="","",INDEX(Raw_D3!$M$2:$M$1001,$AR241)),"")))</f>
        <v>0.0896</v>
      </c>
      <c r="N241" s="5">
        <f>IF($A241="","",IF($AQ241&lt;&gt;"",IF(INDEX(Raw_D2!$F$2:$F$1001,$AQ241)="","",INDEX(Raw_D2!$F$2:$F$1001,$AQ241)),IF($AR241&lt;&gt;"",IF(INDEX(Raw_D3!$N$2:$N$1001,$AR241)="","",INDEX(Raw_D3!$N$2:$N$1001,$AR241)),"")))</f>
        <v>3</v>
      </c>
      <c r="O241" s="5">
        <f>IF($A241="","",IF($AQ241&lt;&gt;"",IF(INDEX(Raw_D2!$G$2:$G$1001,$AQ241)="","",INDEX(Raw_D2!$G$2:$G$1001,$AQ241)),IF($AR241&lt;&gt;"",IF(INDEX(Raw_D3!$O$2:$O$1001,$AR241)="","",INDEX(Raw_D3!$O$2:$O$1001,$AR241)),"")))</f>
        <v>214</v>
      </c>
      <c r="P241" s="5">
        <f>IF($A241="","",IF($AQ241&lt;&gt;"",IF(INDEX(Raw_D2!$H$2:$H$1001,$AQ241)="","",INDEX(Raw_D2!$H$2:$H$1001,$AQ241)),IF($AR241&lt;&gt;"",IF(INDEX(Raw_D3!$P$2:$P$1001,$AR241)="","",INDEX(Raw_D3!$P$2:$P$1001,$AR241)),"")))</f>
        <v>217</v>
      </c>
      <c r="Q241" s="5" t="str">
        <f>IF($A241="","",IF(AND($AP241&lt;&gt;"",$AQ241&lt;&gt;""),"D1+D2",IF($AR241&lt;&gt;"","D3","Incomplete")))</f>
        <v>D1+D2</v>
      </c>
      <c r="R241" s="17">
        <f>IF($A241="","",IF($K241="",IF($J241="","",ROUND(Lookups!$K$5+Lookups!$K$4*$J241,4)),$K241))</f>
        <v>0.2121</v>
      </c>
      <c r="S241" s="5" t="str">
        <f>IF($A241="","",IF($K241="","Imputed","Original"))</f>
        <v>Original</v>
      </c>
      <c r="T241" s="5" t="str">
        <f>IF($A241="","",IF($P241="","Missing",IF($P241=$N241+$O241,"OK","Mismatch")))</f>
        <v>OK</v>
      </c>
      <c r="U241" s="5" t="str">
        <f>IF($A241="","",IF(COUNTIF($A$2:$A241,$A241)&gt;1,"Duplicate","Unique"))</f>
        <v>Unique</v>
      </c>
      <c r="V241" s="5">
        <f>IF($A241="","",IF(AND($U241="Unique",ISNUMBER($P241)),1,0))</f>
        <v>1</v>
      </c>
      <c r="W241" s="5" t="str">
        <f>IF($A241="","",IF(OR($H241=0,$H241=6),"Weekend","Weekday"))</f>
        <v>Weekday</v>
      </c>
      <c r="X241" s="5" t="str">
        <f>IF($A241="","",TEXT($B241,"ddd"))</f>
        <v>Tue</v>
      </c>
      <c r="Y241" s="5" t="str">
        <f>IF($A241="","",TEXT($B241,"mmm"))</f>
        <v>Jan</v>
      </c>
      <c r="Z241" s="5" t="str">
        <f>IF($A241="","",IFERROR(VLOOKUP($C241,Lookups!$D$4:$E$7,2,FALSE),"Unknown"))</f>
        <v>Winter</v>
      </c>
      <c r="AA241" s="5" t="str">
        <f>IF($A241="","",IFERROR(VLOOKUP($I241,Lookups!$A$4:$B$7,2,FALSE),"Unknown"))</f>
        <v>Mist/Cloudy</v>
      </c>
      <c r="AB241" s="5" t="str">
        <f>IF($A241="","",TEXT($F241,"00")&amp;":00")</f>
        <v>08:00</v>
      </c>
      <c r="AC241" s="5" t="str">
        <f>IF($A241="","",VLOOKUP($F241,Lookups!$G$4:$H$8,2,TRUE))</f>
        <v>Morning Peak (06-09)</v>
      </c>
      <c r="AD241" s="18">
        <f>IF($A241="","",IF($J241="","",ROUND($J241*41,1)))</f>
        <v>7.4</v>
      </c>
      <c r="AE241" s="18">
        <f>IF($A241="","",IF($R241="","",ROUND($R241*50,1)))</f>
        <v>10.6</v>
      </c>
      <c r="AF241" s="5">
        <f>IF($A241="","",IF($L241="","",ROUND($L241*100,0)))</f>
        <v>51</v>
      </c>
      <c r="AG241" s="18">
        <f>IF($A241="","",IF($M241="","",ROUND($M241*67,1)))</f>
        <v>6</v>
      </c>
      <c r="AH241" s="19">
        <f>IF($A241="","",IF($P241="","",IF($P241=0,0,$O241/$P241)))</f>
        <v>0.986175115207373</v>
      </c>
      <c r="AI241" s="5" t="str">
        <f>IF($A241="","",IF($P241="","",IF($P241&gt;=Lookups!$K$7,"High",IF($P241&lt;=Lookups!$K$8,"Low","Medium"))))</f>
        <v>High</v>
      </c>
      <c r="AJ241" s="5" t="str">
        <f>IF($A241="","",IF($AD241="","",IF($AD241&lt;5,"Under 5 C",IF($AD241&lt;10,"5-10 C",IF($AD241&lt;15,"10-15 C","15 C and above")))))</f>
        <v>5-10 C</v>
      </c>
      <c r="AK241" s="5">
        <f>IF($A241="","",IF($P241="","",$P241^2))</f>
        <v>47089</v>
      </c>
      <c r="AL241" s="18">
        <f>IF($V241&lt;&gt;1,"",AVERAGEIFS(Clean_Data!$P$2:$P$1001,Clean_Data!$F$2:$F$1001,$F241,Clean_Data!$W$2:$W$1001,$W241,Clean_Data!$V$2:$V$1001,1))</f>
        <v>183.535714285714</v>
      </c>
      <c r="AM241" s="16">
        <f>IF($V241&lt;&gt;1,"",IFERROR(($P241-$AL241)/SQRT(MAX(0,(SUMIFS(Clean_Data!$AK$2:$AK$1001,Clean_Data!$F$2:$F$1001,$F241,Clean_Data!$W$2:$W$1001,$W241,Clean_Data!$V$2:$V$1001,1)-COUNTIFS(Clean_Data!$F$2:$F$1001,$F241,Clean_Data!$W$2:$W$1001,$W241,Clean_Data!$V$2:$V$1001,1)*$AL241^2)/(COUNTIFS(Clean_Data!$F$2:$F$1001,$F241,Clean_Data!$W$2:$W$1001,$W241,Clean_Data!$V$2:$V$1001,1)-1))),""))</f>
        <v>0.686587194629977</v>
      </c>
      <c r="AN241" s="5" t="str">
        <f>IF($AM241="","",IF($AM241&gt;=Lookups!$K$6,"High spike",IF($AM241&lt;=-Lookups!$K$6,"Unusual low","Normal")))</f>
        <v>Normal</v>
      </c>
      <c r="AO241" s="20">
        <f>IF($V241&lt;&gt;1,"",$P241+ROW()/100000)</f>
        <v>217.00241</v>
      </c>
      <c r="AP241" s="5">
        <f>IF($A241="","",IFERROR(MATCH($A241,Raw_D1!$A$2:$A$1001,0),""))</f>
        <v>240</v>
      </c>
      <c r="AQ241" s="5">
        <f>IF($A241="","",IFERROR(MATCH($A241,Raw_D2!$B$2:$B$1001,0),""))</f>
        <v>240</v>
      </c>
      <c r="AR241" s="5">
        <f>IF($A241="","",IFERROR(MATCH($A241,Raw_D3!$A$2:$A$1001,0),""))</f>
        <v/>
      </c>
    </row>
    <row r="242" spans="1:44" x14ac:dyDescent="0.25">
      <c r="A242" s="5">
        <v>241</v>
      </c>
      <c r="B242" s="11">
        <f>IF($A242="","",IF($AP242&lt;&gt;"",INDEX(Raw_D1!$B$2:$B$1001,$AP242),IF($AR242&lt;&gt;"",INDEX(Raw_D3!$B$2:$B$1001,$AR242),"")))</f>
        <v>40554.0</v>
      </c>
      <c r="C242" s="5">
        <f>IF($A242="","",IF($AP242&lt;&gt;"",INDEX(Raw_D1!$C$2:$C$1001,$AP242),IF($AR242&lt;&gt;"",INDEX(Raw_D3!$C$2:$C$1001,$AR242),"")))</f>
        <v>1</v>
      </c>
      <c r="D242" s="5">
        <f>IF($A242="","",IF($AP242&lt;&gt;"",INDEX(Raw_D1!$D$2:$D$1001,$AP242),IF($AR242&lt;&gt;"",INDEX(Raw_D3!$D$2:$D$1001,$AR242),"")))</f>
        <v>0</v>
      </c>
      <c r="E242" s="5">
        <f>IF($A242="","",IF($AP242&lt;&gt;"",INDEX(Raw_D1!$E$2:$E$1001,$AP242),IF($AR242&lt;&gt;"",INDEX(Raw_D3!$E$2:$E$1001,$AR242),"")))</f>
        <v>1</v>
      </c>
      <c r="F242" s="5">
        <f>IF($A242="","",IF($AP242&lt;&gt;"",INDEX(Raw_D1!$F$2:$F$1001,$AP242),IF($AR242&lt;&gt;"",INDEX(Raw_D3!$F$2:$F$1001,$AR242),"")))</f>
        <v>9</v>
      </c>
      <c r="G242" s="5">
        <f>IF($A242="","",IF($AP242&lt;&gt;"",IF(INDEX(Raw_D1!$G$2:$G$1001,$AP242),1,0),IF($AR242&lt;&gt;"",IF(INDEX(Raw_D3!$G$2:$G$1001,$AR242),1,0),"")))</f>
        <v>0</v>
      </c>
      <c r="H242" s="5">
        <f>IF($A242="","",IF($AP242&lt;&gt;"",INDEX(Raw_D1!$H$2:$H$1001,$AP242),IF($AR242&lt;&gt;"",INDEX(Raw_D3!$H$2:$H$1001,$AR242),"")))</f>
        <v>2</v>
      </c>
      <c r="I242" s="5">
        <f>IF($A242="","",IF($AP242&lt;&gt;"",INDEX(Raw_D1!$I$2:$I$1001,$AP242),IF($AR242&lt;&gt;"",INDEX(Raw_D3!$I$2:$I$1001,$AR242),"")))</f>
        <v>2</v>
      </c>
      <c r="J242" s="16">
        <f>IF($A242="","",IF($AP242&lt;&gt;"",INDEX(Raw_D1!$J$2:$J$1001,$AP242),IF($AR242&lt;&gt;"",INDEX(Raw_D3!$J$2:$J$1001,$AR242),"")))</f>
        <v>0.18</v>
      </c>
      <c r="K242" s="17">
        <f>IF($A242="","",IF($AQ242&lt;&gt;"",IF(INDEX(Raw_D2!$C$2:$C$1001,$AQ242)="","",INDEX(Raw_D2!$C$2:$C$1001,$AQ242)),IF($AR242&lt;&gt;"",IF(INDEX(Raw_D3!$K$2:$K$1001,$AR242)="","",INDEX(Raw_D3!$K$2:$K$1001,$AR242)),"")))</f>
        <v>0.197</v>
      </c>
      <c r="L242" s="16">
        <f>IF($A242="","",IF($AQ242&lt;&gt;"",IF(INDEX(Raw_D2!$D$2:$D$1001,$AQ242)="","",INDEX(Raw_D2!$D$2:$D$1001,$AQ242)),IF($AR242&lt;&gt;"",IF(INDEX(Raw_D3!$L$2:$L$1001,$AR242)="","",INDEX(Raw_D3!$L$2:$L$1001,$AR242)),"")))</f>
        <v>0.51</v>
      </c>
      <c r="M242" s="17">
        <f>IF($A242="","",IF($AQ242&lt;&gt;"",IF(INDEX(Raw_D2!$E$2:$E$1001,$AQ242)="","",INDEX(Raw_D2!$E$2:$E$1001,$AQ242)),IF($AR242&lt;&gt;"",IF(INDEX(Raw_D3!$M$2:$M$1001,$AR242)="","",INDEX(Raw_D3!$M$2:$M$1001,$AR242)),"")))</f>
        <v>0.1642</v>
      </c>
      <c r="N242" s="5">
        <f>IF($A242="","",IF($AQ242&lt;&gt;"",IF(INDEX(Raw_D2!$F$2:$F$1001,$AQ242)="","",INDEX(Raw_D2!$F$2:$F$1001,$AQ242)),IF($AR242&lt;&gt;"",IF(INDEX(Raw_D3!$N$2:$N$1001,$AR242)="","",INDEX(Raw_D3!$N$2:$N$1001,$AR242)),"")))</f>
        <v>3</v>
      </c>
      <c r="O242" s="5">
        <f>IF($A242="","",IF($AQ242&lt;&gt;"",IF(INDEX(Raw_D2!$G$2:$G$1001,$AQ242)="","",INDEX(Raw_D2!$G$2:$G$1001,$AQ242)),IF($AR242&lt;&gt;"",IF(INDEX(Raw_D3!$O$2:$O$1001,$AR242)="","",INDEX(Raw_D3!$O$2:$O$1001,$AR242)),"")))</f>
        <v>127</v>
      </c>
      <c r="P242" s="5">
        <f>IF($A242="","",IF($AQ242&lt;&gt;"",IF(INDEX(Raw_D2!$H$2:$H$1001,$AQ242)="","",INDEX(Raw_D2!$H$2:$H$1001,$AQ242)),IF($AR242&lt;&gt;"",IF(INDEX(Raw_D3!$P$2:$P$1001,$AR242)="","",INDEX(Raw_D3!$P$2:$P$1001,$AR242)),"")))</f>
        <v>130</v>
      </c>
      <c r="Q242" s="5" t="str">
        <f>IF($A242="","",IF(AND($AP242&lt;&gt;"",$AQ242&lt;&gt;""),"D1+D2",IF($AR242&lt;&gt;"","D3","Incomplete")))</f>
        <v>D1+D2</v>
      </c>
      <c r="R242" s="17">
        <f>IF($A242="","",IF($K242="",IF($J242="","",ROUND(Lookups!$K$5+Lookups!$K$4*$J242,4)),$K242))</f>
        <v>0.197</v>
      </c>
      <c r="S242" s="5" t="str">
        <f>IF($A242="","",IF($K242="","Imputed","Original"))</f>
        <v>Original</v>
      </c>
      <c r="T242" s="5" t="str">
        <f>IF($A242="","",IF($P242="","Missing",IF($P242=$N242+$O242,"OK","Mismatch")))</f>
        <v>OK</v>
      </c>
      <c r="U242" s="5" t="str">
        <f>IF($A242="","",IF(COUNTIF($A$2:$A242,$A242)&gt;1,"Duplicate","Unique"))</f>
        <v>Unique</v>
      </c>
      <c r="V242" s="5">
        <f>IF($A242="","",IF(AND($U242="Unique",ISNUMBER($P242)),1,0))</f>
        <v>1</v>
      </c>
      <c r="W242" s="5" t="str">
        <f>IF($A242="","",IF(OR($H242=0,$H242=6),"Weekend","Weekday"))</f>
        <v>Weekday</v>
      </c>
      <c r="X242" s="5" t="str">
        <f>IF($A242="","",TEXT($B242,"ddd"))</f>
        <v>Tue</v>
      </c>
      <c r="Y242" s="5" t="str">
        <f>IF($A242="","",TEXT($B242,"mmm"))</f>
        <v>Jan</v>
      </c>
      <c r="Z242" s="5" t="str">
        <f>IF($A242="","",IFERROR(VLOOKUP($C242,Lookups!$D$4:$E$7,2,FALSE),"Unknown"))</f>
        <v>Winter</v>
      </c>
      <c r="AA242" s="5" t="str">
        <f>IF($A242="","",IFERROR(VLOOKUP($I242,Lookups!$A$4:$B$7,2,FALSE),"Unknown"))</f>
        <v>Mist/Cloudy</v>
      </c>
      <c r="AB242" s="5" t="str">
        <f>IF($A242="","",TEXT($F242,"00")&amp;":00")</f>
        <v>09:00</v>
      </c>
      <c r="AC242" s="5" t="str">
        <f>IF($A242="","",VLOOKUP($F242,Lookups!$G$4:$H$8,2,TRUE))</f>
        <v>Morning Peak (06-09)</v>
      </c>
      <c r="AD242" s="18">
        <f>IF($A242="","",IF($J242="","",ROUND($J242*41,1)))</f>
        <v>7.4</v>
      </c>
      <c r="AE242" s="18">
        <f>IF($A242="","",IF($R242="","",ROUND($R242*50,1)))</f>
        <v>9.9</v>
      </c>
      <c r="AF242" s="5">
        <f>IF($A242="","",IF($L242="","",ROUND($L242*100,0)))</f>
        <v>51</v>
      </c>
      <c r="AG242" s="18">
        <f>IF($A242="","",IF($M242="","",ROUND($M242*67,1)))</f>
        <v>11</v>
      </c>
      <c r="AH242" s="19">
        <f>IF($A242="","",IF($P242="","",IF($P242=0,0,$O242/$P242)))</f>
        <v>0.976923076923077</v>
      </c>
      <c r="AI242" s="5" t="str">
        <f>IF($A242="","",IF($P242="","",IF($P242&gt;=Lookups!$K$7,"High",IF($P242&lt;=Lookups!$K$8,"Low","Medium"))))</f>
        <v>High</v>
      </c>
      <c r="AJ242" s="5" t="str">
        <f>IF($A242="","",IF($AD242="","",IF($AD242&lt;5,"Under 5 C",IF($AD242&lt;10,"5-10 C",IF($AD242&lt;15,"10-15 C","15 C and above")))))</f>
        <v>5-10 C</v>
      </c>
      <c r="AK242" s="5">
        <f>IF($A242="","",IF($P242="","",$P242^2))</f>
        <v>16900</v>
      </c>
      <c r="AL242" s="18">
        <f>IF($V242&lt;&gt;1,"",AVERAGEIFS(Clean_Data!$P$2:$P$1001,Clean_Data!$F$2:$F$1001,$F242,Clean_Data!$W$2:$W$1001,$W242,Clean_Data!$V$2:$V$1001,1))</f>
        <v>115.678571428571</v>
      </c>
      <c r="AM242" s="16">
        <f>IF($V242&lt;&gt;1,"",IFERROR(($P242-$AL242)/SQRT(MAX(0,(SUMIFS(Clean_Data!$AK$2:$AK$1001,Clean_Data!$F$2:$F$1001,$F242,Clean_Data!$W$2:$W$1001,$W242,Clean_Data!$V$2:$V$1001,1)-COUNTIFS(Clean_Data!$F$2:$F$1001,$F242,Clean_Data!$W$2:$W$1001,$W242,Clean_Data!$V$2:$V$1001,1)*$AL242^2)/(COUNTIFS(Clean_Data!$F$2:$F$1001,$F242,Clean_Data!$W$2:$W$1001,$W242,Clean_Data!$V$2:$V$1001,1)-1))),""))</f>
        <v>0.555560679564477</v>
      </c>
      <c r="AN242" s="5" t="str">
        <f>IF($AM242="","",IF($AM242&gt;=Lookups!$K$6,"High spike",IF($AM242&lt;=-Lookups!$K$6,"Unusual low","Normal")))</f>
        <v>Normal</v>
      </c>
      <c r="AO242" s="20">
        <f>IF($V242&lt;&gt;1,"",$P242+ROW()/100000)</f>
        <v>130.00242</v>
      </c>
      <c r="AP242" s="5">
        <f>IF($A242="","",IFERROR(MATCH($A242,Raw_D1!$A$2:$A$1001,0),""))</f>
        <v>241</v>
      </c>
      <c r="AQ242" s="5">
        <f>IF($A242="","",IFERROR(MATCH($A242,Raw_D2!$B$2:$B$1001,0),""))</f>
        <v>241</v>
      </c>
      <c r="AR242" s="5">
        <f>IF($A242="","",IFERROR(MATCH($A242,Raw_D3!$A$2:$A$1001,0),""))</f>
        <v/>
      </c>
    </row>
    <row r="243" spans="1:44" x14ac:dyDescent="0.25">
      <c r="A243" s="5">
        <v>242</v>
      </c>
      <c r="B243" s="11">
        <f>IF($A243="","",IF($AP243&lt;&gt;"",INDEX(Raw_D1!$B$2:$B$1001,$AP243),IF($AR243&lt;&gt;"",INDEX(Raw_D3!$B$2:$B$1001,$AR243),"")))</f>
        <v>40554.0</v>
      </c>
      <c r="C243" s="5">
        <f>IF($A243="","",IF($AP243&lt;&gt;"",INDEX(Raw_D1!$C$2:$C$1001,$AP243),IF($AR243&lt;&gt;"",INDEX(Raw_D3!$C$2:$C$1001,$AR243),"")))</f>
        <v>1</v>
      </c>
      <c r="D243" s="5">
        <f>IF($A243="","",IF($AP243&lt;&gt;"",INDEX(Raw_D1!$D$2:$D$1001,$AP243),IF($AR243&lt;&gt;"",INDEX(Raw_D3!$D$2:$D$1001,$AR243),"")))</f>
        <v>0</v>
      </c>
      <c r="E243" s="5">
        <f>IF($A243="","",IF($AP243&lt;&gt;"",INDEX(Raw_D1!$E$2:$E$1001,$AP243),IF($AR243&lt;&gt;"",INDEX(Raw_D3!$E$2:$E$1001,$AR243),"")))</f>
        <v>1</v>
      </c>
      <c r="F243" s="5">
        <f>IF($A243="","",IF($AP243&lt;&gt;"",INDEX(Raw_D1!$F$2:$F$1001,$AP243),IF($AR243&lt;&gt;"",INDEX(Raw_D3!$F$2:$F$1001,$AR243),"")))</f>
        <v>10</v>
      </c>
      <c r="G243" s="5">
        <f>IF($A243="","",IF($AP243&lt;&gt;"",IF(INDEX(Raw_D1!$G$2:$G$1001,$AP243),1,0),IF($AR243&lt;&gt;"",IF(INDEX(Raw_D3!$G$2:$G$1001,$AR243),1,0),"")))</f>
        <v>0</v>
      </c>
      <c r="H243" s="5">
        <f>IF($A243="","",IF($AP243&lt;&gt;"",INDEX(Raw_D1!$H$2:$H$1001,$AP243),IF($AR243&lt;&gt;"",INDEX(Raw_D3!$H$2:$H$1001,$AR243),"")))</f>
        <v>2</v>
      </c>
      <c r="I243" s="5">
        <f>IF($A243="","",IF($AP243&lt;&gt;"",INDEX(Raw_D1!$I$2:$I$1001,$AP243),IF($AR243&lt;&gt;"",INDEX(Raw_D3!$I$2:$I$1001,$AR243),"")))</f>
        <v>2</v>
      </c>
      <c r="J243" s="16">
        <f>IF($A243="","",IF($AP243&lt;&gt;"",INDEX(Raw_D1!$J$2:$J$1001,$AP243),IF($AR243&lt;&gt;"",INDEX(Raw_D3!$J$2:$J$1001,$AR243),"")))</f>
        <v>0.2</v>
      </c>
      <c r="K243" s="17">
        <f>IF($A243="","",IF($AQ243&lt;&gt;"",IF(INDEX(Raw_D2!$C$2:$C$1001,$AQ243)="","",INDEX(Raw_D2!$C$2:$C$1001,$AQ243)),IF($AR243&lt;&gt;"",IF(INDEX(Raw_D3!$K$2:$K$1001,$AR243)="","",INDEX(Raw_D3!$K$2:$K$1001,$AR243)),"")))</f>
        <v>0.2121</v>
      </c>
      <c r="L243" s="16">
        <f>IF($A243="","",IF($AQ243&lt;&gt;"",IF(INDEX(Raw_D2!$D$2:$D$1001,$AQ243)="","",INDEX(Raw_D2!$D$2:$D$1001,$AQ243)),IF($AR243&lt;&gt;"",IF(INDEX(Raw_D3!$L$2:$L$1001,$AR243)="","",INDEX(Raw_D3!$L$2:$L$1001,$AR243)),"")))</f>
        <v>0.51</v>
      </c>
      <c r="M243" s="17">
        <f>IF($A243="","",IF($AQ243&lt;&gt;"",IF(INDEX(Raw_D2!$E$2:$E$1001,$AQ243)="","",INDEX(Raw_D2!$E$2:$E$1001,$AQ243)),IF($AR243&lt;&gt;"",IF(INDEX(Raw_D3!$M$2:$M$1001,$AR243)="","",INDEX(Raw_D3!$M$2:$M$1001,$AR243)),"")))</f>
        <v>0.1642</v>
      </c>
      <c r="N243" s="5">
        <f>IF($A243="","",IF($AQ243&lt;&gt;"",IF(INDEX(Raw_D2!$F$2:$F$1001,$AQ243)="","",INDEX(Raw_D2!$F$2:$F$1001,$AQ243)),IF($AR243&lt;&gt;"",IF(INDEX(Raw_D3!$N$2:$N$1001,$AR243)="","",INDEX(Raw_D3!$N$2:$N$1001,$AR243)),"")))</f>
        <v>3</v>
      </c>
      <c r="O243" s="5">
        <f>IF($A243="","",IF($AQ243&lt;&gt;"",IF(INDEX(Raw_D2!$G$2:$G$1001,$AQ243)="","",INDEX(Raw_D2!$G$2:$G$1001,$AQ243)),IF($AR243&lt;&gt;"",IF(INDEX(Raw_D3!$O$2:$O$1001,$AR243)="","",INDEX(Raw_D3!$O$2:$O$1001,$AR243)),"")))</f>
        <v>51</v>
      </c>
      <c r="P243" s="5">
        <f>IF($A243="","",IF($AQ243&lt;&gt;"",IF(INDEX(Raw_D2!$H$2:$H$1001,$AQ243)="","",INDEX(Raw_D2!$H$2:$H$1001,$AQ243)),IF($AR243&lt;&gt;"",IF(INDEX(Raw_D3!$P$2:$P$1001,$AR243)="","",INDEX(Raw_D3!$P$2:$P$1001,$AR243)),"")))</f>
        <v>54</v>
      </c>
      <c r="Q243" s="5" t="str">
        <f>IF($A243="","",IF(AND($AP243&lt;&gt;"",$AQ243&lt;&gt;""),"D1+D2",IF($AR243&lt;&gt;"","D3","Incomplete")))</f>
        <v>D1+D2</v>
      </c>
      <c r="R243" s="17">
        <f>IF($A243="","",IF($K243="",IF($J243="","",ROUND(Lookups!$K$5+Lookups!$K$4*$J243,4)),$K243))</f>
        <v>0.2121</v>
      </c>
      <c r="S243" s="5" t="str">
        <f>IF($A243="","",IF($K243="","Imputed","Original"))</f>
        <v>Original</v>
      </c>
      <c r="T243" s="5" t="str">
        <f>IF($A243="","",IF($P243="","Missing",IF($P243=$N243+$O243,"OK","Mismatch")))</f>
        <v>OK</v>
      </c>
      <c r="U243" s="5" t="str">
        <f>IF($A243="","",IF(COUNTIF($A$2:$A243,$A243)&gt;1,"Duplicate","Unique"))</f>
        <v>Unique</v>
      </c>
      <c r="V243" s="5">
        <f>IF($A243="","",IF(AND($U243="Unique",ISNUMBER($P243)),1,0))</f>
        <v>1</v>
      </c>
      <c r="W243" s="5" t="str">
        <f>IF($A243="","",IF(OR($H243=0,$H243=6),"Weekend","Weekday"))</f>
        <v>Weekday</v>
      </c>
      <c r="X243" s="5" t="str">
        <f>IF($A243="","",TEXT($B243,"ddd"))</f>
        <v>Tue</v>
      </c>
      <c r="Y243" s="5" t="str">
        <f>IF($A243="","",TEXT($B243,"mmm"))</f>
        <v>Jan</v>
      </c>
      <c r="Z243" s="5" t="str">
        <f>IF($A243="","",IFERROR(VLOOKUP($C243,Lookups!$D$4:$E$7,2,FALSE),"Unknown"))</f>
        <v>Winter</v>
      </c>
      <c r="AA243" s="5" t="str">
        <f>IF($A243="","",IFERROR(VLOOKUP($I243,Lookups!$A$4:$B$7,2,FALSE),"Unknown"))</f>
        <v>Mist/Cloudy</v>
      </c>
      <c r="AB243" s="5" t="str">
        <f>IF($A243="","",TEXT($F243,"00")&amp;":00")</f>
        <v>10:00</v>
      </c>
      <c r="AC243" s="5" t="str">
        <f>IF($A243="","",VLOOKUP($F243,Lookups!$G$4:$H$8,2,TRUE))</f>
        <v>Midday (10-15)</v>
      </c>
      <c r="AD243" s="18">
        <f>IF($A243="","",IF($J243="","",ROUND($J243*41,1)))</f>
        <v>8.2</v>
      </c>
      <c r="AE243" s="18">
        <f>IF($A243="","",IF($R243="","",ROUND($R243*50,1)))</f>
        <v>10.6</v>
      </c>
      <c r="AF243" s="5">
        <f>IF($A243="","",IF($L243="","",ROUND($L243*100,0)))</f>
        <v>51</v>
      </c>
      <c r="AG243" s="18">
        <f>IF($A243="","",IF($M243="","",ROUND($M243*67,1)))</f>
        <v>11</v>
      </c>
      <c r="AH243" s="19">
        <f>IF($A243="","",IF($P243="","",IF($P243=0,0,$O243/$P243)))</f>
        <v>0.944444444444444</v>
      </c>
      <c r="AI243" s="5" t="str">
        <f>IF($A243="","",IF($P243="","",IF($P243&gt;=Lookups!$K$7,"High",IF($P243&lt;=Lookups!$K$8,"Low","Medium"))))</f>
        <v>Medium</v>
      </c>
      <c r="AJ243" s="5" t="str">
        <f>IF($A243="","",IF($AD243="","",IF($AD243&lt;5,"Under 5 C",IF($AD243&lt;10,"5-10 C",IF($AD243&lt;15,"10-15 C","15 C and above")))))</f>
        <v>5-10 C</v>
      </c>
      <c r="AK243" s="5">
        <f>IF($A243="","",IF($P243="","",$P243^2))</f>
        <v>2916</v>
      </c>
      <c r="AL243" s="18">
        <f>IF($V243&lt;&gt;1,"",AVERAGEIFS(Clean_Data!$P$2:$P$1001,Clean_Data!$F$2:$F$1001,$F243,Clean_Data!$W$2:$W$1001,$W243,Clean_Data!$V$2:$V$1001,1))</f>
        <v>49.0714285714286</v>
      </c>
      <c r="AM243" s="16">
        <f>IF($V243&lt;&gt;1,"",IFERROR(($P243-$AL243)/SQRT(MAX(0,(SUMIFS(Clean_Data!$AK$2:$AK$1001,Clean_Data!$F$2:$F$1001,$F243,Clean_Data!$W$2:$W$1001,$W243,Clean_Data!$V$2:$V$1001,1)-COUNTIFS(Clean_Data!$F$2:$F$1001,$F243,Clean_Data!$W$2:$W$1001,$W243,Clean_Data!$V$2:$V$1001,1)*$AL243^2)/(COUNTIFS(Clean_Data!$F$2:$F$1001,$F243,Clean_Data!$W$2:$W$1001,$W243,Clean_Data!$V$2:$V$1001,1)-1))),""))</f>
        <v>0.488368755169952</v>
      </c>
      <c r="AN243" s="5" t="str">
        <f>IF($AM243="","",IF($AM243&gt;=Lookups!$K$6,"High spike",IF($AM243&lt;=-Lookups!$K$6,"Unusual low","Normal")))</f>
        <v>Normal</v>
      </c>
      <c r="AO243" s="20">
        <f>IF($V243&lt;&gt;1,"",$P243+ROW()/100000)</f>
        <v>54.00243</v>
      </c>
      <c r="AP243" s="5">
        <f>IF($A243="","",IFERROR(MATCH($A243,Raw_D1!$A$2:$A$1001,0),""))</f>
        <v>242</v>
      </c>
      <c r="AQ243" s="5">
        <f>IF($A243="","",IFERROR(MATCH($A243,Raw_D2!$B$2:$B$1001,0),""))</f>
        <v>242</v>
      </c>
      <c r="AR243" s="5">
        <f>IF($A243="","",IFERROR(MATCH($A243,Raw_D3!$A$2:$A$1001,0),""))</f>
        <v/>
      </c>
    </row>
    <row r="244" spans="1:44" x14ac:dyDescent="0.25">
      <c r="A244" s="5">
        <v>243</v>
      </c>
      <c r="B244" s="11">
        <f>IF($A244="","",IF($AP244&lt;&gt;"",INDEX(Raw_D1!$B$2:$B$1001,$AP244),IF($AR244&lt;&gt;"",INDEX(Raw_D3!$B$2:$B$1001,$AR244),"")))</f>
        <v>40554.0</v>
      </c>
      <c r="C244" s="5">
        <f>IF($A244="","",IF($AP244&lt;&gt;"",INDEX(Raw_D1!$C$2:$C$1001,$AP244),IF($AR244&lt;&gt;"",INDEX(Raw_D3!$C$2:$C$1001,$AR244),"")))</f>
        <v>1</v>
      </c>
      <c r="D244" s="5">
        <f>IF($A244="","",IF($AP244&lt;&gt;"",INDEX(Raw_D1!$D$2:$D$1001,$AP244),IF($AR244&lt;&gt;"",INDEX(Raw_D3!$D$2:$D$1001,$AR244),"")))</f>
        <v>0</v>
      </c>
      <c r="E244" s="5">
        <f>IF($A244="","",IF($AP244&lt;&gt;"",INDEX(Raw_D1!$E$2:$E$1001,$AP244),IF($AR244&lt;&gt;"",INDEX(Raw_D3!$E$2:$E$1001,$AR244),"")))</f>
        <v>1</v>
      </c>
      <c r="F244" s="5">
        <f>IF($A244="","",IF($AP244&lt;&gt;"",INDEX(Raw_D1!$F$2:$F$1001,$AP244),IF($AR244&lt;&gt;"",INDEX(Raw_D3!$F$2:$F$1001,$AR244),"")))</f>
        <v>11</v>
      </c>
      <c r="G244" s="5">
        <f>IF($A244="","",IF($AP244&lt;&gt;"",IF(INDEX(Raw_D1!$G$2:$G$1001,$AP244),1,0),IF($AR244&lt;&gt;"",IF(INDEX(Raw_D3!$G$2:$G$1001,$AR244),1,0),"")))</f>
        <v>0</v>
      </c>
      <c r="H244" s="5">
        <f>IF($A244="","",IF($AP244&lt;&gt;"",INDEX(Raw_D1!$H$2:$H$1001,$AP244),IF($AR244&lt;&gt;"",INDEX(Raw_D3!$H$2:$H$1001,$AR244),"")))</f>
        <v>2</v>
      </c>
      <c r="I244" s="5">
        <f>IF($A244="","",IF($AP244&lt;&gt;"",INDEX(Raw_D1!$I$2:$I$1001,$AP244),IF($AR244&lt;&gt;"",INDEX(Raw_D3!$I$2:$I$1001,$AR244),"")))</f>
        <v>2</v>
      </c>
      <c r="J244" s="16">
        <f>IF($A244="","",IF($AP244&lt;&gt;"",INDEX(Raw_D1!$J$2:$J$1001,$AP244),IF($AR244&lt;&gt;"",INDEX(Raw_D3!$J$2:$J$1001,$AR244),"")))</f>
        <v>0.2</v>
      </c>
      <c r="K244" s="17">
        <f>IF($A244="","",IF($AQ244&lt;&gt;"",IF(INDEX(Raw_D2!$C$2:$C$1001,$AQ244)="","",INDEX(Raw_D2!$C$2:$C$1001,$AQ244)),IF($AR244&lt;&gt;"",IF(INDEX(Raw_D3!$K$2:$K$1001,$AR244)="","",INDEX(Raw_D3!$K$2:$K$1001,$AR244)),"")))</f>
        <v>0.2121</v>
      </c>
      <c r="L244" s="16">
        <f>IF($A244="","",IF($AQ244&lt;&gt;"",IF(INDEX(Raw_D2!$D$2:$D$1001,$AQ244)="","",INDEX(Raw_D2!$D$2:$D$1001,$AQ244)),IF($AR244&lt;&gt;"",IF(INDEX(Raw_D3!$L$2:$L$1001,$AR244)="","",INDEX(Raw_D3!$L$2:$L$1001,$AR244)),"")))</f>
        <v>0.47</v>
      </c>
      <c r="M244" s="17">
        <f>IF($A244="","",IF($AQ244&lt;&gt;"",IF(INDEX(Raw_D2!$E$2:$E$1001,$AQ244)="","",INDEX(Raw_D2!$E$2:$E$1001,$AQ244)),IF($AR244&lt;&gt;"",IF(INDEX(Raw_D3!$M$2:$M$1001,$AR244)="","",INDEX(Raw_D3!$M$2:$M$1001,$AR244)),"")))</f>
        <v>0.1343</v>
      </c>
      <c r="N244" s="5">
        <f>IF($A244="","",IF($AQ244&lt;&gt;"",IF(INDEX(Raw_D2!$F$2:$F$1001,$AQ244)="","",INDEX(Raw_D2!$F$2:$F$1001,$AQ244)),IF($AR244&lt;&gt;"",IF(INDEX(Raw_D3!$N$2:$N$1001,$AR244)="","",INDEX(Raw_D3!$N$2:$N$1001,$AR244)),"")))</f>
        <v>4</v>
      </c>
      <c r="O244" s="5">
        <f>IF($A244="","",IF($AQ244&lt;&gt;"",IF(INDEX(Raw_D2!$G$2:$G$1001,$AQ244)="","",INDEX(Raw_D2!$G$2:$G$1001,$AQ244)),IF($AR244&lt;&gt;"",IF(INDEX(Raw_D3!$O$2:$O$1001,$AR244)="","",INDEX(Raw_D3!$O$2:$O$1001,$AR244)),"")))</f>
        <v>31</v>
      </c>
      <c r="P244" s="5">
        <f>IF($A244="","",IF($AQ244&lt;&gt;"",IF(INDEX(Raw_D2!$H$2:$H$1001,$AQ244)="","",INDEX(Raw_D2!$H$2:$H$1001,$AQ244)),IF($AR244&lt;&gt;"",IF(INDEX(Raw_D3!$P$2:$P$1001,$AR244)="","",INDEX(Raw_D3!$P$2:$P$1001,$AR244)),"")))</f>
        <v>35</v>
      </c>
      <c r="Q244" s="5" t="str">
        <f>IF($A244="","",IF(AND($AP244&lt;&gt;"",$AQ244&lt;&gt;""),"D1+D2",IF($AR244&lt;&gt;"","D3","Incomplete")))</f>
        <v>D1+D2</v>
      </c>
      <c r="R244" s="17">
        <f>IF($A244="","",IF($K244="",IF($J244="","",ROUND(Lookups!$K$5+Lookups!$K$4*$J244,4)),$K244))</f>
        <v>0.2121</v>
      </c>
      <c r="S244" s="5" t="str">
        <f>IF($A244="","",IF($K244="","Imputed","Original"))</f>
        <v>Original</v>
      </c>
      <c r="T244" s="5" t="str">
        <f>IF($A244="","",IF($P244="","Missing",IF($P244=$N244+$O244,"OK","Mismatch")))</f>
        <v>OK</v>
      </c>
      <c r="U244" s="5" t="str">
        <f>IF($A244="","",IF(COUNTIF($A$2:$A244,$A244)&gt;1,"Duplicate","Unique"))</f>
        <v>Unique</v>
      </c>
      <c r="V244" s="5">
        <f>IF($A244="","",IF(AND($U244="Unique",ISNUMBER($P244)),1,0))</f>
        <v>1</v>
      </c>
      <c r="W244" s="5" t="str">
        <f>IF($A244="","",IF(OR($H244=0,$H244=6),"Weekend","Weekday"))</f>
        <v>Weekday</v>
      </c>
      <c r="X244" s="5" t="str">
        <f>IF($A244="","",TEXT($B244,"ddd"))</f>
        <v>Tue</v>
      </c>
      <c r="Y244" s="5" t="str">
        <f>IF($A244="","",TEXT($B244,"mmm"))</f>
        <v>Jan</v>
      </c>
      <c r="Z244" s="5" t="str">
        <f>IF($A244="","",IFERROR(VLOOKUP($C244,Lookups!$D$4:$E$7,2,FALSE),"Unknown"))</f>
        <v>Winter</v>
      </c>
      <c r="AA244" s="5" t="str">
        <f>IF($A244="","",IFERROR(VLOOKUP($I244,Lookups!$A$4:$B$7,2,FALSE),"Unknown"))</f>
        <v>Mist/Cloudy</v>
      </c>
      <c r="AB244" s="5" t="str">
        <f>IF($A244="","",TEXT($F244,"00")&amp;":00")</f>
        <v>11:00</v>
      </c>
      <c r="AC244" s="5" t="str">
        <f>IF($A244="","",VLOOKUP($F244,Lookups!$G$4:$H$8,2,TRUE))</f>
        <v>Midday (10-15)</v>
      </c>
      <c r="AD244" s="18">
        <f>IF($A244="","",IF($J244="","",ROUND($J244*41,1)))</f>
        <v>8.2</v>
      </c>
      <c r="AE244" s="18">
        <f>IF($A244="","",IF($R244="","",ROUND($R244*50,1)))</f>
        <v>10.6</v>
      </c>
      <c r="AF244" s="5">
        <f>IF($A244="","",IF($L244="","",ROUND($L244*100,0)))</f>
        <v>47</v>
      </c>
      <c r="AG244" s="18">
        <f>IF($A244="","",IF($M244="","",ROUND($M244*67,1)))</f>
        <v>9</v>
      </c>
      <c r="AH244" s="19">
        <f>IF($A244="","",IF($P244="","",IF($P244=0,0,$O244/$P244)))</f>
        <v>0.885714285714286</v>
      </c>
      <c r="AI244" s="5" t="str">
        <f>IF($A244="","",IF($P244="","",IF($P244&gt;=Lookups!$K$7,"High",IF($P244&lt;=Lookups!$K$8,"Low","Medium"))))</f>
        <v>Medium</v>
      </c>
      <c r="AJ244" s="5" t="str">
        <f>IF($A244="","",IF($AD244="","",IF($AD244&lt;5,"Under 5 C",IF($AD244&lt;10,"5-10 C",IF($AD244&lt;15,"10-15 C","15 C and above")))))</f>
        <v>5-10 C</v>
      </c>
      <c r="AK244" s="5">
        <f>IF($A244="","",IF($P244="","",$P244^2))</f>
        <v>1225</v>
      </c>
      <c r="AL244" s="18">
        <f>IF($V244&lt;&gt;1,"",AVERAGEIFS(Clean_Data!$P$2:$P$1001,Clean_Data!$F$2:$F$1001,$F244,Clean_Data!$W$2:$W$1001,$W244,Clean_Data!$V$2:$V$1001,1))</f>
        <v>50.6071428571429</v>
      </c>
      <c r="AM244" s="16">
        <f>IF($V244&lt;&gt;1,"",IFERROR(($P244-$AL244)/SQRT(MAX(0,(SUMIFS(Clean_Data!$AK$2:$AK$1001,Clean_Data!$F$2:$F$1001,$F244,Clean_Data!$W$2:$W$1001,$W244,Clean_Data!$V$2:$V$1001,1)-COUNTIFS(Clean_Data!$F$2:$F$1001,$F244,Clean_Data!$W$2:$W$1001,$W244,Clean_Data!$V$2:$V$1001,1)*$AL244^2)/(COUNTIFS(Clean_Data!$F$2:$F$1001,$F244,Clean_Data!$W$2:$W$1001,$W244,Clean_Data!$V$2:$V$1001,1)-1))),""))</f>
        <v>-1.39312504394307</v>
      </c>
      <c r="AN244" s="5" t="str">
        <f>IF($AM244="","",IF($AM244&gt;=Lookups!$K$6,"High spike",IF($AM244&lt;=-Lookups!$K$6,"Unusual low","Normal")))</f>
        <v>Normal</v>
      </c>
      <c r="AO244" s="20">
        <f>IF($V244&lt;&gt;1,"",$P244+ROW()/100000)</f>
        <v>35.00244</v>
      </c>
      <c r="AP244" s="5">
        <f>IF($A244="","",IFERROR(MATCH($A244,Raw_D1!$A$2:$A$1001,0),""))</f>
        <v>243</v>
      </c>
      <c r="AQ244" s="5">
        <f>IF($A244="","",IFERROR(MATCH($A244,Raw_D2!$B$2:$B$1001,0),""))</f>
        <v>243</v>
      </c>
      <c r="AR244" s="5">
        <f>IF($A244="","",IFERROR(MATCH($A244,Raw_D3!$A$2:$A$1001,0),""))</f>
        <v/>
      </c>
    </row>
    <row r="245" spans="1:44" x14ac:dyDescent="0.25">
      <c r="A245" s="5">
        <v>244</v>
      </c>
      <c r="B245" s="11">
        <f>IF($A245="","",IF($AP245&lt;&gt;"",INDEX(Raw_D1!$B$2:$B$1001,$AP245),IF($AR245&lt;&gt;"",INDEX(Raw_D3!$B$2:$B$1001,$AR245),"")))</f>
        <v>40554.0</v>
      </c>
      <c r="C245" s="5">
        <f>IF($A245="","",IF($AP245&lt;&gt;"",INDEX(Raw_D1!$C$2:$C$1001,$AP245),IF($AR245&lt;&gt;"",INDEX(Raw_D3!$C$2:$C$1001,$AR245),"")))</f>
        <v>1</v>
      </c>
      <c r="D245" s="5">
        <f>IF($A245="","",IF($AP245&lt;&gt;"",INDEX(Raw_D1!$D$2:$D$1001,$AP245),IF($AR245&lt;&gt;"",INDEX(Raw_D3!$D$2:$D$1001,$AR245),"")))</f>
        <v>0</v>
      </c>
      <c r="E245" s="5">
        <f>IF($A245="","",IF($AP245&lt;&gt;"",INDEX(Raw_D1!$E$2:$E$1001,$AP245),IF($AR245&lt;&gt;"",INDEX(Raw_D3!$E$2:$E$1001,$AR245),"")))</f>
        <v>1</v>
      </c>
      <c r="F245" s="5">
        <f>IF($A245="","",IF($AP245&lt;&gt;"",INDEX(Raw_D1!$F$2:$F$1001,$AP245),IF($AR245&lt;&gt;"",INDEX(Raw_D3!$F$2:$F$1001,$AR245),"")))</f>
        <v>12</v>
      </c>
      <c r="G245" s="5">
        <f>IF($A245="","",IF($AP245&lt;&gt;"",IF(INDEX(Raw_D1!$G$2:$G$1001,$AP245),1,0),IF($AR245&lt;&gt;"",IF(INDEX(Raw_D3!$G$2:$G$1001,$AR245),1,0),"")))</f>
        <v>0</v>
      </c>
      <c r="H245" s="5">
        <f>IF($A245="","",IF($AP245&lt;&gt;"",INDEX(Raw_D1!$H$2:$H$1001,$AP245),IF($AR245&lt;&gt;"",INDEX(Raw_D3!$H$2:$H$1001,$AR245),"")))</f>
        <v>2</v>
      </c>
      <c r="I245" s="5">
        <f>IF($A245="","",IF($AP245&lt;&gt;"",INDEX(Raw_D1!$I$2:$I$1001,$AP245),IF($AR245&lt;&gt;"",INDEX(Raw_D3!$I$2:$I$1001,$AR245),"")))</f>
        <v>2</v>
      </c>
      <c r="J245" s="16">
        <f>IF($A245="","",IF($AP245&lt;&gt;"",INDEX(Raw_D1!$J$2:$J$1001,$AP245),IF($AR245&lt;&gt;"",INDEX(Raw_D3!$J$2:$J$1001,$AR245),"")))</f>
        <v>0.2</v>
      </c>
      <c r="K245" s="17">
        <f>IF($A245="","",IF($AQ245&lt;&gt;"",IF(INDEX(Raw_D2!$C$2:$C$1001,$AQ245)="","",INDEX(Raw_D2!$C$2:$C$1001,$AQ245)),IF($AR245&lt;&gt;"",IF(INDEX(Raw_D3!$K$2:$K$1001,$AR245)="","",INDEX(Raw_D3!$K$2:$K$1001,$AR245)),"")))</f>
        <v>0.2273</v>
      </c>
      <c r="L245" s="16">
        <f>IF($A245="","",IF($AQ245&lt;&gt;"",IF(INDEX(Raw_D2!$D$2:$D$1001,$AQ245)="","",INDEX(Raw_D2!$D$2:$D$1001,$AQ245)),IF($AR245&lt;&gt;"",IF(INDEX(Raw_D3!$L$2:$L$1001,$AR245)="","",INDEX(Raw_D3!$L$2:$L$1001,$AR245)),"")))</f>
        <v>0.51</v>
      </c>
      <c r="M245" s="17">
        <f>IF($A245="","",IF($AQ245&lt;&gt;"",IF(INDEX(Raw_D2!$E$2:$E$1001,$AQ245)="","",INDEX(Raw_D2!$E$2:$E$1001,$AQ245)),IF($AR245&lt;&gt;"",IF(INDEX(Raw_D3!$M$2:$M$1001,$AR245)="","",INDEX(Raw_D3!$M$2:$M$1001,$AR245)),"")))</f>
        <v>0.1045</v>
      </c>
      <c r="N245" s="5">
        <f>IF($A245="","",IF($AQ245&lt;&gt;"",IF(INDEX(Raw_D2!$F$2:$F$1001,$AQ245)="","",INDEX(Raw_D2!$F$2:$F$1001,$AQ245)),IF($AR245&lt;&gt;"",IF(INDEX(Raw_D3!$N$2:$N$1001,$AR245)="","",INDEX(Raw_D3!$N$2:$N$1001,$AR245)),"")))</f>
        <v>2</v>
      </c>
      <c r="O245" s="5">
        <f>IF($A245="","",IF($AQ245&lt;&gt;"",IF(INDEX(Raw_D2!$G$2:$G$1001,$AQ245)="","",INDEX(Raw_D2!$G$2:$G$1001,$AQ245)),IF($AR245&lt;&gt;"",IF(INDEX(Raw_D3!$O$2:$O$1001,$AR245)="","",INDEX(Raw_D3!$O$2:$O$1001,$AR245)),"")))</f>
        <v>55</v>
      </c>
      <c r="P245" s="5">
        <f>IF($A245="","",IF($AQ245&lt;&gt;"",IF(INDEX(Raw_D2!$H$2:$H$1001,$AQ245)="","",INDEX(Raw_D2!$H$2:$H$1001,$AQ245)),IF($AR245&lt;&gt;"",IF(INDEX(Raw_D3!$P$2:$P$1001,$AR245)="","",INDEX(Raw_D3!$P$2:$P$1001,$AR245)),"")))</f>
        <v>57</v>
      </c>
      <c r="Q245" s="5" t="str">
        <f>IF($A245="","",IF(AND($AP245&lt;&gt;"",$AQ245&lt;&gt;""),"D1+D2",IF($AR245&lt;&gt;"","D3","Incomplete")))</f>
        <v>D1+D2</v>
      </c>
      <c r="R245" s="17">
        <f>IF($A245="","",IF($K245="",IF($J245="","",ROUND(Lookups!$K$5+Lookups!$K$4*$J245,4)),$K245))</f>
        <v>0.2273</v>
      </c>
      <c r="S245" s="5" t="str">
        <f>IF($A245="","",IF($K245="","Imputed","Original"))</f>
        <v>Original</v>
      </c>
      <c r="T245" s="5" t="str">
        <f>IF($A245="","",IF($P245="","Missing",IF($P245=$N245+$O245,"OK","Mismatch")))</f>
        <v>OK</v>
      </c>
      <c r="U245" s="5" t="str">
        <f>IF($A245="","",IF(COUNTIF($A$2:$A245,$A245)&gt;1,"Duplicate","Unique"))</f>
        <v>Unique</v>
      </c>
      <c r="V245" s="5">
        <f>IF($A245="","",IF(AND($U245="Unique",ISNUMBER($P245)),1,0))</f>
        <v>1</v>
      </c>
      <c r="W245" s="5" t="str">
        <f>IF($A245="","",IF(OR($H245=0,$H245=6),"Weekend","Weekday"))</f>
        <v>Weekday</v>
      </c>
      <c r="X245" s="5" t="str">
        <f>IF($A245="","",TEXT($B245,"ddd"))</f>
        <v>Tue</v>
      </c>
      <c r="Y245" s="5" t="str">
        <f>IF($A245="","",TEXT($B245,"mmm"))</f>
        <v>Jan</v>
      </c>
      <c r="Z245" s="5" t="str">
        <f>IF($A245="","",IFERROR(VLOOKUP($C245,Lookups!$D$4:$E$7,2,FALSE),"Unknown"))</f>
        <v>Winter</v>
      </c>
      <c r="AA245" s="5" t="str">
        <f>IF($A245="","",IFERROR(VLOOKUP($I245,Lookups!$A$4:$B$7,2,FALSE),"Unknown"))</f>
        <v>Mist/Cloudy</v>
      </c>
      <c r="AB245" s="5" t="str">
        <f>IF($A245="","",TEXT($F245,"00")&amp;":00")</f>
        <v>12:00</v>
      </c>
      <c r="AC245" s="5" t="str">
        <f>IF($A245="","",VLOOKUP($F245,Lookups!$G$4:$H$8,2,TRUE))</f>
        <v>Midday (10-15)</v>
      </c>
      <c r="AD245" s="18">
        <f>IF($A245="","",IF($J245="","",ROUND($J245*41,1)))</f>
        <v>8.2</v>
      </c>
      <c r="AE245" s="18">
        <f>IF($A245="","",IF($R245="","",ROUND($R245*50,1)))</f>
        <v>11.4</v>
      </c>
      <c r="AF245" s="5">
        <f>IF($A245="","",IF($L245="","",ROUND($L245*100,0)))</f>
        <v>51</v>
      </c>
      <c r="AG245" s="18">
        <f>IF($A245="","",IF($M245="","",ROUND($M245*67,1)))</f>
        <v>7</v>
      </c>
      <c r="AH245" s="19">
        <f>IF($A245="","",IF($P245="","",IF($P245=0,0,$O245/$P245)))</f>
        <v>0.964912280701754</v>
      </c>
      <c r="AI245" s="5" t="str">
        <f>IF($A245="","",IF($P245="","",IF($P245&gt;=Lookups!$K$7,"High",IF($P245&lt;=Lookups!$K$8,"Low","Medium"))))</f>
        <v>Medium</v>
      </c>
      <c r="AJ245" s="5" t="str">
        <f>IF($A245="","",IF($AD245="","",IF($AD245&lt;5,"Under 5 C",IF($AD245&lt;10,"5-10 C",IF($AD245&lt;15,"10-15 C","15 C and above")))))</f>
        <v>5-10 C</v>
      </c>
      <c r="AK245" s="5">
        <f>IF($A245="","",IF($P245="","",$P245^2))</f>
        <v>3249</v>
      </c>
      <c r="AL245" s="18">
        <f>IF($V245&lt;&gt;1,"",AVERAGEIFS(Clean_Data!$P$2:$P$1001,Clean_Data!$F$2:$F$1001,$F245,Clean_Data!$W$2:$W$1001,$W245,Clean_Data!$V$2:$V$1001,1))</f>
        <v>64.5862068965517</v>
      </c>
      <c r="AM245" s="16">
        <f>IF($V245&lt;&gt;1,"",IFERROR(($P245-$AL245)/SQRT(MAX(0,(SUMIFS(Clean_Data!$AK$2:$AK$1001,Clean_Data!$F$2:$F$1001,$F245,Clean_Data!$W$2:$W$1001,$W245,Clean_Data!$V$2:$V$1001,1)-COUNTIFS(Clean_Data!$F$2:$F$1001,$F245,Clean_Data!$W$2:$W$1001,$W245,Clean_Data!$V$2:$V$1001,1)*$AL245^2)/(COUNTIFS(Clean_Data!$F$2:$F$1001,$F245,Clean_Data!$W$2:$W$1001,$W245,Clean_Data!$V$2:$V$1001,1)-1))),""))</f>
        <v>-0.405065337111995</v>
      </c>
      <c r="AN245" s="5" t="str">
        <f>IF($AM245="","",IF($AM245&gt;=Lookups!$K$6,"High spike",IF($AM245&lt;=-Lookups!$K$6,"Unusual low","Normal")))</f>
        <v>Normal</v>
      </c>
      <c r="AO245" s="20">
        <f>IF($V245&lt;&gt;1,"",$P245+ROW()/100000)</f>
        <v>57.00245</v>
      </c>
      <c r="AP245" s="5">
        <f>IF($A245="","",IFERROR(MATCH($A245,Raw_D1!$A$2:$A$1001,0),""))</f>
        <v>244</v>
      </c>
      <c r="AQ245" s="5">
        <f>IF($A245="","",IFERROR(MATCH($A245,Raw_D2!$B$2:$B$1001,0),""))</f>
        <v>244</v>
      </c>
      <c r="AR245" s="5">
        <f>IF($A245="","",IFERROR(MATCH($A245,Raw_D3!$A$2:$A$1001,0),""))</f>
        <v/>
      </c>
    </row>
    <row r="246" spans="1:44" x14ac:dyDescent="0.25">
      <c r="A246" s="5">
        <v>245</v>
      </c>
      <c r="B246" s="11">
        <f>IF($A246="","",IF($AP246&lt;&gt;"",INDEX(Raw_D1!$B$2:$B$1001,$AP246),IF($AR246&lt;&gt;"",INDEX(Raw_D3!$B$2:$B$1001,$AR246),"")))</f>
        <v>40554.0</v>
      </c>
      <c r="C246" s="5">
        <f>IF($A246="","",IF($AP246&lt;&gt;"",INDEX(Raw_D1!$C$2:$C$1001,$AP246),IF($AR246&lt;&gt;"",INDEX(Raw_D3!$C$2:$C$1001,$AR246),"")))</f>
        <v>1</v>
      </c>
      <c r="D246" s="5">
        <f>IF($A246="","",IF($AP246&lt;&gt;"",INDEX(Raw_D1!$D$2:$D$1001,$AP246),IF($AR246&lt;&gt;"",INDEX(Raw_D3!$D$2:$D$1001,$AR246),"")))</f>
        <v>0</v>
      </c>
      <c r="E246" s="5">
        <f>IF($A246="","",IF($AP246&lt;&gt;"",INDEX(Raw_D1!$E$2:$E$1001,$AP246),IF($AR246&lt;&gt;"",INDEX(Raw_D3!$E$2:$E$1001,$AR246),"")))</f>
        <v>1</v>
      </c>
      <c r="F246" s="5">
        <f>IF($A246="","",IF($AP246&lt;&gt;"",INDEX(Raw_D1!$F$2:$F$1001,$AP246),IF($AR246&lt;&gt;"",INDEX(Raw_D3!$F$2:$F$1001,$AR246),"")))</f>
        <v>13</v>
      </c>
      <c r="G246" s="5">
        <f>IF($A246="","",IF($AP246&lt;&gt;"",IF(INDEX(Raw_D1!$G$2:$G$1001,$AP246),1,0),IF($AR246&lt;&gt;"",IF(INDEX(Raw_D3!$G$2:$G$1001,$AR246),1,0),"")))</f>
        <v>0</v>
      </c>
      <c r="H246" s="5">
        <f>IF($A246="","",IF($AP246&lt;&gt;"",INDEX(Raw_D1!$H$2:$H$1001,$AP246),IF($AR246&lt;&gt;"",INDEX(Raw_D3!$H$2:$H$1001,$AR246),"")))</f>
        <v>2</v>
      </c>
      <c r="I246" s="5">
        <f>IF($A246="","",IF($AP246&lt;&gt;"",INDEX(Raw_D1!$I$2:$I$1001,$AP246),IF($AR246&lt;&gt;"",INDEX(Raw_D3!$I$2:$I$1001,$AR246),"")))</f>
        <v>2</v>
      </c>
      <c r="J246" s="16">
        <f>IF($A246="","",IF($AP246&lt;&gt;"",INDEX(Raw_D1!$J$2:$J$1001,$AP246),IF($AR246&lt;&gt;"",INDEX(Raw_D3!$J$2:$J$1001,$AR246),"")))</f>
        <v>0.2</v>
      </c>
      <c r="K246" s="17">
        <f>IF($A246="","",IF($AQ246&lt;&gt;"",IF(INDEX(Raw_D2!$C$2:$C$1001,$AQ246)="","",INDEX(Raw_D2!$C$2:$C$1001,$AQ246)),IF($AR246&lt;&gt;"",IF(INDEX(Raw_D3!$K$2:$K$1001,$AR246)="","",INDEX(Raw_D3!$K$2:$K$1001,$AR246)),"")))</f>
        <v>0.2273</v>
      </c>
      <c r="L246" s="16">
        <f>IF($A246="","",IF($AQ246&lt;&gt;"",IF(INDEX(Raw_D2!$D$2:$D$1001,$AQ246)="","",INDEX(Raw_D2!$D$2:$D$1001,$AQ246)),IF($AR246&lt;&gt;"",IF(INDEX(Raw_D3!$L$2:$L$1001,$AR246)="","",INDEX(Raw_D3!$L$2:$L$1001,$AR246)),"")))</f>
        <v>0.59</v>
      </c>
      <c r="M246" s="17">
        <f>IF($A246="","",IF($AQ246&lt;&gt;"",IF(INDEX(Raw_D2!$E$2:$E$1001,$AQ246)="","",INDEX(Raw_D2!$E$2:$E$1001,$AQ246)),IF($AR246&lt;&gt;"",IF(INDEX(Raw_D3!$M$2:$M$1001,$AR246)="","",INDEX(Raw_D3!$M$2:$M$1001,$AR246)),"")))</f>
        <v>0.0896</v>
      </c>
      <c r="N246" s="5">
        <f>IF($A246="","",IF($AQ246&lt;&gt;"",IF(INDEX(Raw_D2!$F$2:$F$1001,$AQ246)="","",INDEX(Raw_D2!$F$2:$F$1001,$AQ246)),IF($AR246&lt;&gt;"",IF(INDEX(Raw_D3!$N$2:$N$1001,$AR246)="","",INDEX(Raw_D3!$N$2:$N$1001,$AR246)),"")))</f>
        <v>6</v>
      </c>
      <c r="O246" s="5">
        <f>IF($A246="","",IF($AQ246&lt;&gt;"",IF(INDEX(Raw_D2!$G$2:$G$1001,$AQ246)="","",INDEX(Raw_D2!$G$2:$G$1001,$AQ246)),IF($AR246&lt;&gt;"",IF(INDEX(Raw_D3!$O$2:$O$1001,$AR246)="","",INDEX(Raw_D3!$O$2:$O$1001,$AR246)),"")))</f>
        <v>46</v>
      </c>
      <c r="P246" s="5">
        <f>IF($A246="","",IF($AQ246&lt;&gt;"",IF(INDEX(Raw_D2!$H$2:$H$1001,$AQ246)="","",INDEX(Raw_D2!$H$2:$H$1001,$AQ246)),IF($AR246&lt;&gt;"",IF(INDEX(Raw_D3!$P$2:$P$1001,$AR246)="","",INDEX(Raw_D3!$P$2:$P$1001,$AR246)),"")))</f>
        <v>52</v>
      </c>
      <c r="Q246" s="5" t="str">
        <f>IF($A246="","",IF(AND($AP246&lt;&gt;"",$AQ246&lt;&gt;""),"D1+D2",IF($AR246&lt;&gt;"","D3","Incomplete")))</f>
        <v>D1+D2</v>
      </c>
      <c r="R246" s="17">
        <f>IF($A246="","",IF($K246="",IF($J246="","",ROUND(Lookups!$K$5+Lookups!$K$4*$J246,4)),$K246))</f>
        <v>0.2273</v>
      </c>
      <c r="S246" s="5" t="str">
        <f>IF($A246="","",IF($K246="","Imputed","Original"))</f>
        <v>Original</v>
      </c>
      <c r="T246" s="5" t="str">
        <f>IF($A246="","",IF($P246="","Missing",IF($P246=$N246+$O246,"OK","Mismatch")))</f>
        <v>OK</v>
      </c>
      <c r="U246" s="5" t="str">
        <f>IF($A246="","",IF(COUNTIF($A$2:$A246,$A246)&gt;1,"Duplicate","Unique"))</f>
        <v>Unique</v>
      </c>
      <c r="V246" s="5">
        <f>IF($A246="","",IF(AND($U246="Unique",ISNUMBER($P246)),1,0))</f>
        <v>1</v>
      </c>
      <c r="W246" s="5" t="str">
        <f>IF($A246="","",IF(OR($H246=0,$H246=6),"Weekend","Weekday"))</f>
        <v>Weekday</v>
      </c>
      <c r="X246" s="5" t="str">
        <f>IF($A246="","",TEXT($B246,"ddd"))</f>
        <v>Tue</v>
      </c>
      <c r="Y246" s="5" t="str">
        <f>IF($A246="","",TEXT($B246,"mmm"))</f>
        <v>Jan</v>
      </c>
      <c r="Z246" s="5" t="str">
        <f>IF($A246="","",IFERROR(VLOOKUP($C246,Lookups!$D$4:$E$7,2,FALSE),"Unknown"))</f>
        <v>Winter</v>
      </c>
      <c r="AA246" s="5" t="str">
        <f>IF($A246="","",IFERROR(VLOOKUP($I246,Lookups!$A$4:$B$7,2,FALSE),"Unknown"))</f>
        <v>Mist/Cloudy</v>
      </c>
      <c r="AB246" s="5" t="str">
        <f>IF($A246="","",TEXT($F246,"00")&amp;":00")</f>
        <v>13:00</v>
      </c>
      <c r="AC246" s="5" t="str">
        <f>IF($A246="","",VLOOKUP($F246,Lookups!$G$4:$H$8,2,TRUE))</f>
        <v>Midday (10-15)</v>
      </c>
      <c r="AD246" s="18">
        <f>IF($A246="","",IF($J246="","",ROUND($J246*41,1)))</f>
        <v>8.2</v>
      </c>
      <c r="AE246" s="18">
        <f>IF($A246="","",IF($R246="","",ROUND($R246*50,1)))</f>
        <v>11.4</v>
      </c>
      <c r="AF246" s="5">
        <f>IF($A246="","",IF($L246="","",ROUND($L246*100,0)))</f>
        <v>59</v>
      </c>
      <c r="AG246" s="18">
        <f>IF($A246="","",IF($M246="","",ROUND($M246*67,1)))</f>
        <v>6</v>
      </c>
      <c r="AH246" s="19">
        <f>IF($A246="","",IF($P246="","",IF($P246=0,0,$O246/$P246)))</f>
        <v>0.884615384615385</v>
      </c>
      <c r="AI246" s="5" t="str">
        <f>IF($A246="","",IF($P246="","",IF($P246&gt;=Lookups!$K$7,"High",IF($P246&lt;=Lookups!$K$8,"Low","Medium"))))</f>
        <v>Medium</v>
      </c>
      <c r="AJ246" s="5" t="str">
        <f>IF($A246="","",IF($AD246="","",IF($AD246&lt;5,"Under 5 C",IF($AD246&lt;10,"5-10 C",IF($AD246&lt;15,"10-15 C","15 C and above")))))</f>
        <v>5-10 C</v>
      </c>
      <c r="AK246" s="5">
        <f>IF($A246="","",IF($P246="","",$P246^2))</f>
        <v>2704</v>
      </c>
      <c r="AL246" s="18">
        <f>IF($V246&lt;&gt;1,"",AVERAGEIFS(Clean_Data!$P$2:$P$1001,Clean_Data!$F$2:$F$1001,$F246,Clean_Data!$W$2:$W$1001,$W246,Clean_Data!$V$2:$V$1001,1))</f>
        <v>67.1724137931034</v>
      </c>
      <c r="AM246" s="16">
        <f>IF($V246&lt;&gt;1,"",IFERROR(($P246-$AL246)/SQRT(MAX(0,(SUMIFS(Clean_Data!$AK$2:$AK$1001,Clean_Data!$F$2:$F$1001,$F246,Clean_Data!$W$2:$W$1001,$W246,Clean_Data!$V$2:$V$1001,1)-COUNTIFS(Clean_Data!$F$2:$F$1001,$F246,Clean_Data!$W$2:$W$1001,$W246,Clean_Data!$V$2:$V$1001,1)*$AL246^2)/(COUNTIFS(Clean_Data!$F$2:$F$1001,$F246,Clean_Data!$W$2:$W$1001,$W246,Clean_Data!$V$2:$V$1001,1)-1))),""))</f>
        <v>-0.751405017254207</v>
      </c>
      <c r="AN246" s="5" t="str">
        <f>IF($AM246="","",IF($AM246&gt;=Lookups!$K$6,"High spike",IF($AM246&lt;=-Lookups!$K$6,"Unusual low","Normal")))</f>
        <v>Normal</v>
      </c>
      <c r="AO246" s="20">
        <f>IF($V246&lt;&gt;1,"",$P246+ROW()/100000)</f>
        <v>52.00246</v>
      </c>
      <c r="AP246" s="5">
        <f>IF($A246="","",IFERROR(MATCH($A246,Raw_D1!$A$2:$A$1001,0),""))</f>
        <v>245</v>
      </c>
      <c r="AQ246" s="5">
        <f>IF($A246="","",IFERROR(MATCH($A246,Raw_D2!$B$2:$B$1001,0),""))</f>
        <v>245</v>
      </c>
      <c r="AR246" s="5">
        <f>IF($A246="","",IFERROR(MATCH($A246,Raw_D3!$A$2:$A$1001,0),""))</f>
        <v/>
      </c>
    </row>
    <row r="247" spans="1:44" x14ac:dyDescent="0.25">
      <c r="A247" s="5">
        <v>246</v>
      </c>
      <c r="B247" s="11">
        <f>IF($A247="","",IF($AP247&lt;&gt;"",INDEX(Raw_D1!$B$2:$B$1001,$AP247),IF($AR247&lt;&gt;"",INDEX(Raw_D3!$B$2:$B$1001,$AR247),"")))</f>
        <v>40554.0</v>
      </c>
      <c r="C247" s="5">
        <f>IF($A247="","",IF($AP247&lt;&gt;"",INDEX(Raw_D1!$C$2:$C$1001,$AP247),IF($AR247&lt;&gt;"",INDEX(Raw_D3!$C$2:$C$1001,$AR247),"")))</f>
        <v>1</v>
      </c>
      <c r="D247" s="5">
        <f>IF($A247="","",IF($AP247&lt;&gt;"",INDEX(Raw_D1!$D$2:$D$1001,$AP247),IF($AR247&lt;&gt;"",INDEX(Raw_D3!$D$2:$D$1001,$AR247),"")))</f>
        <v>0</v>
      </c>
      <c r="E247" s="5">
        <f>IF($A247="","",IF($AP247&lt;&gt;"",INDEX(Raw_D1!$E$2:$E$1001,$AP247),IF($AR247&lt;&gt;"",INDEX(Raw_D3!$E$2:$E$1001,$AR247),"")))</f>
        <v>1</v>
      </c>
      <c r="F247" s="5">
        <f>IF($A247="","",IF($AP247&lt;&gt;"",INDEX(Raw_D1!$F$2:$F$1001,$AP247),IF($AR247&lt;&gt;"",INDEX(Raw_D3!$F$2:$F$1001,$AR247),"")))</f>
        <v>14</v>
      </c>
      <c r="G247" s="5">
        <f>IF($A247="","",IF($AP247&lt;&gt;"",IF(INDEX(Raw_D1!$G$2:$G$1001,$AP247),1,0),IF($AR247&lt;&gt;"",IF(INDEX(Raw_D3!$G$2:$G$1001,$AR247),1,0),"")))</f>
        <v>0</v>
      </c>
      <c r="H247" s="5">
        <f>IF($A247="","",IF($AP247&lt;&gt;"",INDEX(Raw_D1!$H$2:$H$1001,$AP247),IF($AR247&lt;&gt;"",INDEX(Raw_D3!$H$2:$H$1001,$AR247),"")))</f>
        <v>2</v>
      </c>
      <c r="I247" s="5">
        <f>IF($A247="","",IF($AP247&lt;&gt;"",INDEX(Raw_D1!$I$2:$I$1001,$AP247),IF($AR247&lt;&gt;"",INDEX(Raw_D3!$I$2:$I$1001,$AR247),"")))</f>
        <v>2</v>
      </c>
      <c r="J247" s="16">
        <f>IF($A247="","",IF($AP247&lt;&gt;"",INDEX(Raw_D1!$J$2:$J$1001,$AP247),IF($AR247&lt;&gt;"",INDEX(Raw_D3!$J$2:$J$1001,$AR247),"")))</f>
        <v>0.2</v>
      </c>
      <c r="K247" s="17">
        <f>IF($A247="","",IF($AQ247&lt;&gt;"",IF(INDEX(Raw_D2!$C$2:$C$1001,$AQ247)="","",INDEX(Raw_D2!$C$2:$C$1001,$AQ247)),IF($AR247&lt;&gt;"",IF(INDEX(Raw_D3!$K$2:$K$1001,$AR247)="","",INDEX(Raw_D3!$K$2:$K$1001,$AR247)),"")))</f>
        <v>0.2273</v>
      </c>
      <c r="L247" s="16">
        <f>IF($A247="","",IF($AQ247&lt;&gt;"",IF(INDEX(Raw_D2!$D$2:$D$1001,$AQ247)="","",INDEX(Raw_D2!$D$2:$D$1001,$AQ247)),IF($AR247&lt;&gt;"",IF(INDEX(Raw_D3!$L$2:$L$1001,$AR247)="","",INDEX(Raw_D3!$L$2:$L$1001,$AR247)),"")))</f>
        <v>0.59</v>
      </c>
      <c r="M247" s="17">
        <f>IF($A247="","",IF($AQ247&lt;&gt;"",IF(INDEX(Raw_D2!$E$2:$E$1001,$AQ247)="","",INDEX(Raw_D2!$E$2:$E$1001,$AQ247)),IF($AR247&lt;&gt;"",IF(INDEX(Raw_D3!$M$2:$M$1001,$AR247)="","",INDEX(Raw_D3!$M$2:$M$1001,$AR247)),"")))</f>
        <v>0.0896</v>
      </c>
      <c r="N247" s="5">
        <f>IF($A247="","",IF($AQ247&lt;&gt;"",IF(INDEX(Raw_D2!$F$2:$F$1001,$AQ247)="","",INDEX(Raw_D2!$F$2:$F$1001,$AQ247)),IF($AR247&lt;&gt;"",IF(INDEX(Raw_D3!$N$2:$N$1001,$AR247)="","",INDEX(Raw_D3!$N$2:$N$1001,$AR247)),"")))</f>
        <v>3</v>
      </c>
      <c r="O247" s="5">
        <f>IF($A247="","",IF($AQ247&lt;&gt;"",IF(INDEX(Raw_D2!$G$2:$G$1001,$AQ247)="","",INDEX(Raw_D2!$G$2:$G$1001,$AQ247)),IF($AR247&lt;&gt;"",IF(INDEX(Raw_D3!$O$2:$O$1001,$AR247)="","",INDEX(Raw_D3!$O$2:$O$1001,$AR247)),"")))</f>
        <v>60</v>
      </c>
      <c r="P247" s="5">
        <f>IF($A247="","",IF($AQ247&lt;&gt;"",IF(INDEX(Raw_D2!$H$2:$H$1001,$AQ247)="","",INDEX(Raw_D2!$H$2:$H$1001,$AQ247)),IF($AR247&lt;&gt;"",IF(INDEX(Raw_D3!$P$2:$P$1001,$AR247)="","",INDEX(Raw_D3!$P$2:$P$1001,$AR247)),"")))</f>
        <v>63</v>
      </c>
      <c r="Q247" s="5" t="str">
        <f>IF($A247="","",IF(AND($AP247&lt;&gt;"",$AQ247&lt;&gt;""),"D1+D2",IF($AR247&lt;&gt;"","D3","Incomplete")))</f>
        <v>D1+D2</v>
      </c>
      <c r="R247" s="17">
        <f>IF($A247="","",IF($K247="",IF($J247="","",ROUND(Lookups!$K$5+Lookups!$K$4*$J247,4)),$K247))</f>
        <v>0.2273</v>
      </c>
      <c r="S247" s="5" t="str">
        <f>IF($A247="","",IF($K247="","Imputed","Original"))</f>
        <v>Original</v>
      </c>
      <c r="T247" s="5" t="str">
        <f>IF($A247="","",IF($P247="","Missing",IF($P247=$N247+$O247,"OK","Mismatch")))</f>
        <v>OK</v>
      </c>
      <c r="U247" s="5" t="str">
        <f>IF($A247="","",IF(COUNTIF($A$2:$A247,$A247)&gt;1,"Duplicate","Unique"))</f>
        <v>Unique</v>
      </c>
      <c r="V247" s="5">
        <f>IF($A247="","",IF(AND($U247="Unique",ISNUMBER($P247)),1,0))</f>
        <v>1</v>
      </c>
      <c r="W247" s="5" t="str">
        <f>IF($A247="","",IF(OR($H247=0,$H247=6),"Weekend","Weekday"))</f>
        <v>Weekday</v>
      </c>
      <c r="X247" s="5" t="str">
        <f>IF($A247="","",TEXT($B247,"ddd"))</f>
        <v>Tue</v>
      </c>
      <c r="Y247" s="5" t="str">
        <f>IF($A247="","",TEXT($B247,"mmm"))</f>
        <v>Jan</v>
      </c>
      <c r="Z247" s="5" t="str">
        <f>IF($A247="","",IFERROR(VLOOKUP($C247,Lookups!$D$4:$E$7,2,FALSE),"Unknown"))</f>
        <v>Winter</v>
      </c>
      <c r="AA247" s="5" t="str">
        <f>IF($A247="","",IFERROR(VLOOKUP($I247,Lookups!$A$4:$B$7,2,FALSE),"Unknown"))</f>
        <v>Mist/Cloudy</v>
      </c>
      <c r="AB247" s="5" t="str">
        <f>IF($A247="","",TEXT($F247,"00")&amp;":00")</f>
        <v>14:00</v>
      </c>
      <c r="AC247" s="5" t="str">
        <f>IF($A247="","",VLOOKUP($F247,Lookups!$G$4:$H$8,2,TRUE))</f>
        <v>Midday (10-15)</v>
      </c>
      <c r="AD247" s="18">
        <f>IF($A247="","",IF($J247="","",ROUND($J247*41,1)))</f>
        <v>8.2</v>
      </c>
      <c r="AE247" s="18">
        <f>IF($A247="","",IF($R247="","",ROUND($R247*50,1)))</f>
        <v>11.4</v>
      </c>
      <c r="AF247" s="5">
        <f>IF($A247="","",IF($L247="","",ROUND($L247*100,0)))</f>
        <v>59</v>
      </c>
      <c r="AG247" s="18">
        <f>IF($A247="","",IF($M247="","",ROUND($M247*67,1)))</f>
        <v>6</v>
      </c>
      <c r="AH247" s="19">
        <f>IF($A247="","",IF($P247="","",IF($P247=0,0,$O247/$P247)))</f>
        <v>0.952380952380952</v>
      </c>
      <c r="AI247" s="5" t="str">
        <f>IF($A247="","",IF($P247="","",IF($P247&gt;=Lookups!$K$7,"High",IF($P247&lt;=Lookups!$K$8,"Low","Medium"))))</f>
        <v>Medium</v>
      </c>
      <c r="AJ247" s="5" t="str">
        <f>IF($A247="","",IF($AD247="","",IF($AD247&lt;5,"Under 5 C",IF($AD247&lt;10,"5-10 C",IF($AD247&lt;15,"10-15 C","15 C and above")))))</f>
        <v>5-10 C</v>
      </c>
      <c r="AK247" s="5">
        <f>IF($A247="","",IF($P247="","",$P247^2))</f>
        <v>3969</v>
      </c>
      <c r="AL247" s="18">
        <f>IF($V247&lt;&gt;1,"",AVERAGEIFS(Clean_Data!$P$2:$P$1001,Clean_Data!$F$2:$F$1001,$F247,Clean_Data!$W$2:$W$1001,$W247,Clean_Data!$V$2:$V$1001,1))</f>
        <v>60.551724137931</v>
      </c>
      <c r="AM247" s="16">
        <f>IF($V247&lt;&gt;1,"",IFERROR(($P247-$AL247)/SQRT(MAX(0,(SUMIFS(Clean_Data!$AK$2:$AK$1001,Clean_Data!$F$2:$F$1001,$F247,Clean_Data!$W$2:$W$1001,$W247,Clean_Data!$V$2:$V$1001,1)-COUNTIFS(Clean_Data!$F$2:$F$1001,$F247,Clean_Data!$W$2:$W$1001,$W247,Clean_Data!$V$2:$V$1001,1)*$AL247^2)/(COUNTIFS(Clean_Data!$F$2:$F$1001,$F247,Clean_Data!$W$2:$W$1001,$W247,Clean_Data!$V$2:$V$1001,1)-1))),""))</f>
        <v>0.14882838935004</v>
      </c>
      <c r="AN247" s="5" t="str">
        <f>IF($AM247="","",IF($AM247&gt;=Lookups!$K$6,"High spike",IF($AM247&lt;=-Lookups!$K$6,"Unusual low","Normal")))</f>
        <v>Normal</v>
      </c>
      <c r="AO247" s="20">
        <f>IF($V247&lt;&gt;1,"",$P247+ROW()/100000)</f>
        <v>63.00247</v>
      </c>
      <c r="AP247" s="5">
        <f>IF($A247="","",IFERROR(MATCH($A247,Raw_D1!$A$2:$A$1001,0),""))</f>
        <v>246</v>
      </c>
      <c r="AQ247" s="5">
        <f>IF($A247="","",IFERROR(MATCH($A247,Raw_D2!$B$2:$B$1001,0),""))</f>
        <v>246</v>
      </c>
      <c r="AR247" s="5">
        <f>IF($A247="","",IFERROR(MATCH($A247,Raw_D3!$A$2:$A$1001,0),""))</f>
        <v/>
      </c>
    </row>
    <row r="248" spans="1:44" x14ac:dyDescent="0.25">
      <c r="A248" s="5">
        <v>247</v>
      </c>
      <c r="B248" s="11">
        <f>IF($A248="","",IF($AP248&lt;&gt;"",INDEX(Raw_D1!$B$2:$B$1001,$AP248),IF($AR248&lt;&gt;"",INDEX(Raw_D3!$B$2:$B$1001,$AR248),"")))</f>
        <v>40554.0</v>
      </c>
      <c r="C248" s="5">
        <f>IF($A248="","",IF($AP248&lt;&gt;"",INDEX(Raw_D1!$C$2:$C$1001,$AP248),IF($AR248&lt;&gt;"",INDEX(Raw_D3!$C$2:$C$1001,$AR248),"")))</f>
        <v>1</v>
      </c>
      <c r="D248" s="5">
        <f>IF($A248="","",IF($AP248&lt;&gt;"",INDEX(Raw_D1!$D$2:$D$1001,$AP248),IF($AR248&lt;&gt;"",INDEX(Raw_D3!$D$2:$D$1001,$AR248),"")))</f>
        <v>0</v>
      </c>
      <c r="E248" s="5">
        <f>IF($A248="","",IF($AP248&lt;&gt;"",INDEX(Raw_D1!$E$2:$E$1001,$AP248),IF($AR248&lt;&gt;"",INDEX(Raw_D3!$E$2:$E$1001,$AR248),"")))</f>
        <v>1</v>
      </c>
      <c r="F248" s="5">
        <f>IF($A248="","",IF($AP248&lt;&gt;"",INDEX(Raw_D1!$F$2:$F$1001,$AP248),IF($AR248&lt;&gt;"",INDEX(Raw_D3!$F$2:$F$1001,$AR248),"")))</f>
        <v>15</v>
      </c>
      <c r="G248" s="5">
        <f>IF($A248="","",IF($AP248&lt;&gt;"",IF(INDEX(Raw_D1!$G$2:$G$1001,$AP248),1,0),IF($AR248&lt;&gt;"",IF(INDEX(Raw_D3!$G$2:$G$1001,$AR248),1,0),"")))</f>
        <v>0</v>
      </c>
      <c r="H248" s="5">
        <f>IF($A248="","",IF($AP248&lt;&gt;"",INDEX(Raw_D1!$H$2:$H$1001,$AP248),IF($AR248&lt;&gt;"",INDEX(Raw_D3!$H$2:$H$1001,$AR248),"")))</f>
        <v>2</v>
      </c>
      <c r="I248" s="5">
        <f>IF($A248="","",IF($AP248&lt;&gt;"",INDEX(Raw_D1!$I$2:$I$1001,$AP248),IF($AR248&lt;&gt;"",INDEX(Raw_D3!$I$2:$I$1001,$AR248),"")))</f>
        <v>2</v>
      </c>
      <c r="J248" s="16">
        <f>IF($A248="","",IF($AP248&lt;&gt;"",INDEX(Raw_D1!$J$2:$J$1001,$AP248),IF($AR248&lt;&gt;"",INDEX(Raw_D3!$J$2:$J$1001,$AR248),"")))</f>
        <v>0.16</v>
      </c>
      <c r="K248" s="17">
        <f>IF($A248="","",IF($AQ248&lt;&gt;"",IF(INDEX(Raw_D2!$C$2:$C$1001,$AQ248)="","",INDEX(Raw_D2!$C$2:$C$1001,$AQ248)),IF($AR248&lt;&gt;"",IF(INDEX(Raw_D3!$K$2:$K$1001,$AR248)="","",INDEX(Raw_D3!$K$2:$K$1001,$AR248)),"")))</f>
        <v>0.197</v>
      </c>
      <c r="L248" s="16">
        <f>IF($A248="","",IF($AQ248&lt;&gt;"",IF(INDEX(Raw_D2!$D$2:$D$1001,$AQ248)="","",INDEX(Raw_D2!$D$2:$D$1001,$AQ248)),IF($AR248&lt;&gt;"",IF(INDEX(Raw_D3!$L$2:$L$1001,$AR248)="","",INDEX(Raw_D3!$L$2:$L$1001,$AR248)),"")))</f>
        <v>0.8</v>
      </c>
      <c r="M248" s="17">
        <f>IF($A248="","",IF($AQ248&lt;&gt;"",IF(INDEX(Raw_D2!$E$2:$E$1001,$AQ248)="","",INDEX(Raw_D2!$E$2:$E$1001,$AQ248)),IF($AR248&lt;&gt;"",IF(INDEX(Raw_D3!$M$2:$M$1001,$AR248)="","",INDEX(Raw_D3!$M$2:$M$1001,$AR248)),"")))</f>
        <v>0.0896</v>
      </c>
      <c r="N248" s="5">
        <f>IF($A248="","",IF($AQ248&lt;&gt;"",IF(INDEX(Raw_D2!$F$2:$F$1001,$AQ248)="","",INDEX(Raw_D2!$F$2:$F$1001,$AQ248)),IF($AR248&lt;&gt;"",IF(INDEX(Raw_D3!$N$2:$N$1001,$AR248)="","",INDEX(Raw_D3!$N$2:$N$1001,$AR248)),"")))</f>
        <v>2</v>
      </c>
      <c r="O248" s="5">
        <f>IF($A248="","",IF($AQ248&lt;&gt;"",IF(INDEX(Raw_D2!$G$2:$G$1001,$AQ248)="","",INDEX(Raw_D2!$G$2:$G$1001,$AQ248)),IF($AR248&lt;&gt;"",IF(INDEX(Raw_D3!$O$2:$O$1001,$AR248)="","",INDEX(Raw_D3!$O$2:$O$1001,$AR248)),"")))</f>
        <v>45</v>
      </c>
      <c r="P248" s="5">
        <f>IF($A248="","",IF($AQ248&lt;&gt;"",IF(INDEX(Raw_D2!$H$2:$H$1001,$AQ248)="","",INDEX(Raw_D2!$H$2:$H$1001,$AQ248)),IF($AR248&lt;&gt;"",IF(INDEX(Raw_D3!$P$2:$P$1001,$AR248)="","",INDEX(Raw_D3!$P$2:$P$1001,$AR248)),"")))</f>
        <v>47</v>
      </c>
      <c r="Q248" s="5" t="str">
        <f>IF($A248="","",IF(AND($AP248&lt;&gt;"",$AQ248&lt;&gt;""),"D1+D2",IF($AR248&lt;&gt;"","D3","Incomplete")))</f>
        <v>D1+D2</v>
      </c>
      <c r="R248" s="17">
        <f>IF($A248="","",IF($K248="",IF($J248="","",ROUND(Lookups!$K$5+Lookups!$K$4*$J248,4)),$K248))</f>
        <v>0.197</v>
      </c>
      <c r="S248" s="5" t="str">
        <f>IF($A248="","",IF($K248="","Imputed","Original"))</f>
        <v>Original</v>
      </c>
      <c r="T248" s="5" t="str">
        <f>IF($A248="","",IF($P248="","Missing",IF($P248=$N248+$O248,"OK","Mismatch")))</f>
        <v>OK</v>
      </c>
      <c r="U248" s="5" t="str">
        <f>IF($A248="","",IF(COUNTIF($A$2:$A248,$A248)&gt;1,"Duplicate","Unique"))</f>
        <v>Unique</v>
      </c>
      <c r="V248" s="5">
        <f>IF($A248="","",IF(AND($U248="Unique",ISNUMBER($P248)),1,0))</f>
        <v>1</v>
      </c>
      <c r="W248" s="5" t="str">
        <f>IF($A248="","",IF(OR($H248=0,$H248=6),"Weekend","Weekday"))</f>
        <v>Weekday</v>
      </c>
      <c r="X248" s="5" t="str">
        <f>IF($A248="","",TEXT($B248,"ddd"))</f>
        <v>Tue</v>
      </c>
      <c r="Y248" s="5" t="str">
        <f>IF($A248="","",TEXT($B248,"mmm"))</f>
        <v>Jan</v>
      </c>
      <c r="Z248" s="5" t="str">
        <f>IF($A248="","",IFERROR(VLOOKUP($C248,Lookups!$D$4:$E$7,2,FALSE),"Unknown"))</f>
        <v>Winter</v>
      </c>
      <c r="AA248" s="5" t="str">
        <f>IF($A248="","",IFERROR(VLOOKUP($I248,Lookups!$A$4:$B$7,2,FALSE),"Unknown"))</f>
        <v>Mist/Cloudy</v>
      </c>
      <c r="AB248" s="5" t="str">
        <f>IF($A248="","",TEXT($F248,"00")&amp;":00")</f>
        <v>15:00</v>
      </c>
      <c r="AC248" s="5" t="str">
        <f>IF($A248="","",VLOOKUP($F248,Lookups!$G$4:$H$8,2,TRUE))</f>
        <v>Midday (10-15)</v>
      </c>
      <c r="AD248" s="18">
        <f>IF($A248="","",IF($J248="","",ROUND($J248*41,1)))</f>
        <v>6.6</v>
      </c>
      <c r="AE248" s="18">
        <f>IF($A248="","",IF($R248="","",ROUND($R248*50,1)))</f>
        <v>9.9</v>
      </c>
      <c r="AF248" s="5">
        <f>IF($A248="","",IF($L248="","",ROUND($L248*100,0)))</f>
        <v>80</v>
      </c>
      <c r="AG248" s="18">
        <f>IF($A248="","",IF($M248="","",ROUND($M248*67,1)))</f>
        <v>6</v>
      </c>
      <c r="AH248" s="19">
        <f>IF($A248="","",IF($P248="","",IF($P248=0,0,$O248/$P248)))</f>
        <v>0.957446808510638</v>
      </c>
      <c r="AI248" s="5" t="str">
        <f>IF($A248="","",IF($P248="","",IF($P248&gt;=Lookups!$K$7,"High",IF($P248&lt;=Lookups!$K$8,"Low","Medium"))))</f>
        <v>Medium</v>
      </c>
      <c r="AJ248" s="5" t="str">
        <f>IF($A248="","",IF($AD248="","",IF($AD248&lt;5,"Under 5 C",IF($AD248&lt;10,"5-10 C",IF($AD248&lt;15,"10-15 C","15 C and above")))))</f>
        <v>5-10 C</v>
      </c>
      <c r="AK248" s="5">
        <f>IF($A248="","",IF($P248="","",$P248^2))</f>
        <v>2209</v>
      </c>
      <c r="AL248" s="18">
        <f>IF($V248&lt;&gt;1,"",AVERAGEIFS(Clean_Data!$P$2:$P$1001,Clean_Data!$F$2:$F$1001,$F248,Clean_Data!$W$2:$W$1001,$W248,Clean_Data!$V$2:$V$1001,1))</f>
        <v>61.4827586206897</v>
      </c>
      <c r="AM248" s="16">
        <f>IF($V248&lt;&gt;1,"",IFERROR(($P248-$AL248)/SQRT(MAX(0,(SUMIFS(Clean_Data!$AK$2:$AK$1001,Clean_Data!$F$2:$F$1001,$F248,Clean_Data!$W$2:$W$1001,$W248,Clean_Data!$V$2:$V$1001,1)-COUNTIFS(Clean_Data!$F$2:$F$1001,$F248,Clean_Data!$W$2:$W$1001,$W248,Clean_Data!$V$2:$V$1001,1)*$AL248^2)/(COUNTIFS(Clean_Data!$F$2:$F$1001,$F248,Clean_Data!$W$2:$W$1001,$W248,Clean_Data!$V$2:$V$1001,1)-1))),""))</f>
        <v>-0.960707341000327</v>
      </c>
      <c r="AN248" s="5" t="str">
        <f>IF($AM248="","",IF($AM248&gt;=Lookups!$K$6,"High spike",IF($AM248&lt;=-Lookups!$K$6,"Unusual low","Normal")))</f>
        <v>Normal</v>
      </c>
      <c r="AO248" s="20">
        <f>IF($V248&lt;&gt;1,"",$P248+ROW()/100000)</f>
        <v>47.00248</v>
      </c>
      <c r="AP248" s="5">
        <f>IF($A248="","",IFERROR(MATCH($A248,Raw_D1!$A$2:$A$1001,0),""))</f>
        <v>247</v>
      </c>
      <c r="AQ248" s="5">
        <f>IF($A248="","",IFERROR(MATCH($A248,Raw_D2!$B$2:$B$1001,0),""))</f>
        <v>247</v>
      </c>
      <c r="AR248" s="5">
        <f>IF($A248="","",IFERROR(MATCH($A248,Raw_D3!$A$2:$A$1001,0),""))</f>
        <v/>
      </c>
    </row>
    <row r="249" spans="1:44" x14ac:dyDescent="0.25">
      <c r="A249" s="5">
        <v>248</v>
      </c>
      <c r="B249" s="11">
        <f>IF($A249="","",IF($AP249&lt;&gt;"",INDEX(Raw_D1!$B$2:$B$1001,$AP249),IF($AR249&lt;&gt;"",INDEX(Raw_D3!$B$2:$B$1001,$AR249),"")))</f>
        <v>40554.0</v>
      </c>
      <c r="C249" s="5">
        <f>IF($A249="","",IF($AP249&lt;&gt;"",INDEX(Raw_D1!$C$2:$C$1001,$AP249),IF($AR249&lt;&gt;"",INDEX(Raw_D3!$C$2:$C$1001,$AR249),"")))</f>
        <v>1</v>
      </c>
      <c r="D249" s="5">
        <f>IF($A249="","",IF($AP249&lt;&gt;"",INDEX(Raw_D1!$D$2:$D$1001,$AP249),IF($AR249&lt;&gt;"",INDEX(Raw_D3!$D$2:$D$1001,$AR249),"")))</f>
        <v>0</v>
      </c>
      <c r="E249" s="5">
        <f>IF($A249="","",IF($AP249&lt;&gt;"",INDEX(Raw_D1!$E$2:$E$1001,$AP249),IF($AR249&lt;&gt;"",INDEX(Raw_D3!$E$2:$E$1001,$AR249),"")))</f>
        <v>1</v>
      </c>
      <c r="F249" s="5">
        <f>IF($A249="","",IF($AP249&lt;&gt;"",INDEX(Raw_D1!$F$2:$F$1001,$AP249),IF($AR249&lt;&gt;"",INDEX(Raw_D3!$F$2:$F$1001,$AR249),"")))</f>
        <v>16</v>
      </c>
      <c r="G249" s="5">
        <f>IF($A249="","",IF($AP249&lt;&gt;"",IF(INDEX(Raw_D1!$G$2:$G$1001,$AP249),1,0),IF($AR249&lt;&gt;"",IF(INDEX(Raw_D3!$G$2:$G$1001,$AR249),1,0),"")))</f>
        <v>0</v>
      </c>
      <c r="H249" s="5">
        <f>IF($A249="","",IF($AP249&lt;&gt;"",INDEX(Raw_D1!$H$2:$H$1001,$AP249),IF($AR249&lt;&gt;"",INDEX(Raw_D3!$H$2:$H$1001,$AR249),"")))</f>
        <v>2</v>
      </c>
      <c r="I249" s="5">
        <f>IF($A249="","",IF($AP249&lt;&gt;"",INDEX(Raw_D1!$I$2:$I$1001,$AP249),IF($AR249&lt;&gt;"",INDEX(Raw_D3!$I$2:$I$1001,$AR249),"")))</f>
        <v>2</v>
      </c>
      <c r="J249" s="16">
        <f>IF($A249="","",IF($AP249&lt;&gt;"",INDEX(Raw_D1!$J$2:$J$1001,$AP249),IF($AR249&lt;&gt;"",INDEX(Raw_D3!$J$2:$J$1001,$AR249),"")))</f>
        <v>0.16</v>
      </c>
      <c r="K249" s="17">
        <f>IF($A249="","",IF($AQ249&lt;&gt;"",IF(INDEX(Raw_D2!$C$2:$C$1001,$AQ249)="","",INDEX(Raw_D2!$C$2:$C$1001,$AQ249)),IF($AR249&lt;&gt;"",IF(INDEX(Raw_D3!$K$2:$K$1001,$AR249)="","",INDEX(Raw_D3!$K$2:$K$1001,$AR249)),"")))</f>
        <v>0.1515</v>
      </c>
      <c r="L249" s="16">
        <f>IF($A249="","",IF($AQ249&lt;&gt;"",IF(INDEX(Raw_D2!$D$2:$D$1001,$AQ249)="","",INDEX(Raw_D2!$D$2:$D$1001,$AQ249)),IF($AR249&lt;&gt;"",IF(INDEX(Raw_D3!$L$2:$L$1001,$AR249)="","",INDEX(Raw_D3!$L$2:$L$1001,$AR249)),"")))</f>
        <v>0.86</v>
      </c>
      <c r="M249" s="17">
        <f>IF($A249="","",IF($AQ249&lt;&gt;"",IF(INDEX(Raw_D2!$E$2:$E$1001,$AQ249)="","",INDEX(Raw_D2!$E$2:$E$1001,$AQ249)),IF($AR249&lt;&gt;"",IF(INDEX(Raw_D3!$M$2:$M$1001,$AR249)="","",INDEX(Raw_D3!$M$2:$M$1001,$AR249)),"")))</f>
        <v>0.2239</v>
      </c>
      <c r="N249" s="5">
        <f>IF($A249="","",IF($AQ249&lt;&gt;"",IF(INDEX(Raw_D2!$F$2:$F$1001,$AQ249)="","",INDEX(Raw_D2!$F$2:$F$1001,$AQ249)),IF($AR249&lt;&gt;"",IF(INDEX(Raw_D3!$N$2:$N$1001,$AR249)="","",INDEX(Raw_D3!$N$2:$N$1001,$AR249)),"")))</f>
        <v>4</v>
      </c>
      <c r="O249" s="5">
        <f>IF($A249="","",IF($AQ249&lt;&gt;"",IF(INDEX(Raw_D2!$G$2:$G$1001,$AQ249)="","",INDEX(Raw_D2!$G$2:$G$1001,$AQ249)),IF($AR249&lt;&gt;"",IF(INDEX(Raw_D3!$O$2:$O$1001,$AR249)="","",INDEX(Raw_D3!$O$2:$O$1001,$AR249)),"")))</f>
        <v>72</v>
      </c>
      <c r="P249" s="5">
        <f>IF($A249="","",IF($AQ249&lt;&gt;"",IF(INDEX(Raw_D2!$H$2:$H$1001,$AQ249)="","",INDEX(Raw_D2!$H$2:$H$1001,$AQ249)),IF($AR249&lt;&gt;"",IF(INDEX(Raw_D3!$P$2:$P$1001,$AR249)="","",INDEX(Raw_D3!$P$2:$P$1001,$AR249)),"")))</f>
        <v>76</v>
      </c>
      <c r="Q249" s="5" t="str">
        <f>IF($A249="","",IF(AND($AP249&lt;&gt;"",$AQ249&lt;&gt;""),"D1+D2",IF($AR249&lt;&gt;"","D3","Incomplete")))</f>
        <v>D1+D2</v>
      </c>
      <c r="R249" s="17">
        <f>IF($A249="","",IF($K249="",IF($J249="","",ROUND(Lookups!$K$5+Lookups!$K$4*$J249,4)),$K249))</f>
        <v>0.1515</v>
      </c>
      <c r="S249" s="5" t="str">
        <f>IF($A249="","",IF($K249="","Imputed","Original"))</f>
        <v>Original</v>
      </c>
      <c r="T249" s="5" t="str">
        <f>IF($A249="","",IF($P249="","Missing",IF($P249=$N249+$O249,"OK","Mismatch")))</f>
        <v>OK</v>
      </c>
      <c r="U249" s="5" t="str">
        <f>IF($A249="","",IF(COUNTIF($A$2:$A249,$A249)&gt;1,"Duplicate","Unique"))</f>
        <v>Unique</v>
      </c>
      <c r="V249" s="5">
        <f>IF($A249="","",IF(AND($U249="Unique",ISNUMBER($P249)),1,0))</f>
        <v>1</v>
      </c>
      <c r="W249" s="5" t="str">
        <f>IF($A249="","",IF(OR($H249=0,$H249=6),"Weekend","Weekday"))</f>
        <v>Weekday</v>
      </c>
      <c r="X249" s="5" t="str">
        <f>IF($A249="","",TEXT($B249,"ddd"))</f>
        <v>Tue</v>
      </c>
      <c r="Y249" s="5" t="str">
        <f>IF($A249="","",TEXT($B249,"mmm"))</f>
        <v>Jan</v>
      </c>
      <c r="Z249" s="5" t="str">
        <f>IF($A249="","",IFERROR(VLOOKUP($C249,Lookups!$D$4:$E$7,2,FALSE),"Unknown"))</f>
        <v>Winter</v>
      </c>
      <c r="AA249" s="5" t="str">
        <f>IF($A249="","",IFERROR(VLOOKUP($I249,Lookups!$A$4:$B$7,2,FALSE),"Unknown"))</f>
        <v>Mist/Cloudy</v>
      </c>
      <c r="AB249" s="5" t="str">
        <f>IF($A249="","",TEXT($F249,"00")&amp;":00")</f>
        <v>16:00</v>
      </c>
      <c r="AC249" s="5" t="str">
        <f>IF($A249="","",VLOOKUP($F249,Lookups!$G$4:$H$8,2,TRUE))</f>
        <v>Evening Peak (16-19)</v>
      </c>
      <c r="AD249" s="18">
        <f>IF($A249="","",IF($J249="","",ROUND($J249*41,1)))</f>
        <v>6.6</v>
      </c>
      <c r="AE249" s="18">
        <f>IF($A249="","",IF($R249="","",ROUND($R249*50,1)))</f>
        <v>7.6</v>
      </c>
      <c r="AF249" s="5">
        <f>IF($A249="","",IF($L249="","",ROUND($L249*100,0)))</f>
        <v>86</v>
      </c>
      <c r="AG249" s="18">
        <f>IF($A249="","",IF($M249="","",ROUND($M249*67,1)))</f>
        <v>15</v>
      </c>
      <c r="AH249" s="19">
        <f>IF($A249="","",IF($P249="","",IF($P249=0,0,$O249/$P249)))</f>
        <v>0.947368421052632</v>
      </c>
      <c r="AI249" s="5" t="str">
        <f>IF($A249="","",IF($P249="","",IF($P249&gt;=Lookups!$K$7,"High",IF($P249&lt;=Lookups!$K$8,"Low","Medium"))))</f>
        <v>Medium</v>
      </c>
      <c r="AJ249" s="5" t="str">
        <f>IF($A249="","",IF($AD249="","",IF($AD249&lt;5,"Under 5 C",IF($AD249&lt;10,"5-10 C",IF($AD249&lt;15,"10-15 C","15 C and above")))))</f>
        <v>5-10 C</v>
      </c>
      <c r="AK249" s="5">
        <f>IF($A249="","",IF($P249="","",$P249^2))</f>
        <v>5776</v>
      </c>
      <c r="AL249" s="18">
        <f>IF($V249&lt;&gt;1,"",AVERAGEIFS(Clean_Data!$P$2:$P$1001,Clean_Data!$F$2:$F$1001,$F249,Clean_Data!$W$2:$W$1001,$W249,Clean_Data!$V$2:$V$1001,1))</f>
        <v>82.6333333333333</v>
      </c>
      <c r="AM249" s="16">
        <f>IF($V249&lt;&gt;1,"",IFERROR(($P249-$AL249)/SQRT(MAX(0,(SUMIFS(Clean_Data!$AK$2:$AK$1001,Clean_Data!$F$2:$F$1001,$F249,Clean_Data!$W$2:$W$1001,$W249,Clean_Data!$V$2:$V$1001,1)-COUNTIFS(Clean_Data!$F$2:$F$1001,$F249,Clean_Data!$W$2:$W$1001,$W249,Clean_Data!$V$2:$V$1001,1)*$AL249^2)/(COUNTIFS(Clean_Data!$F$2:$F$1001,$F249,Clean_Data!$W$2:$W$1001,$W249,Clean_Data!$V$2:$V$1001,1)-1))),""))</f>
        <v>-0.319772791602213</v>
      </c>
      <c r="AN249" s="5" t="str">
        <f>IF($AM249="","",IF($AM249&gt;=Lookups!$K$6,"High spike",IF($AM249&lt;=-Lookups!$K$6,"Unusual low","Normal")))</f>
        <v>Normal</v>
      </c>
      <c r="AO249" s="20">
        <f>IF($V249&lt;&gt;1,"",$P249+ROW()/100000)</f>
        <v>76.00249</v>
      </c>
      <c r="AP249" s="5">
        <f>IF($A249="","",IFERROR(MATCH($A249,Raw_D1!$A$2:$A$1001,0),""))</f>
        <v>248</v>
      </c>
      <c r="AQ249" s="5">
        <f>IF($A249="","",IFERROR(MATCH($A249,Raw_D2!$B$2:$B$1001,0),""))</f>
        <v>248</v>
      </c>
      <c r="AR249" s="5">
        <f>IF($A249="","",IFERROR(MATCH($A249,Raw_D3!$A$2:$A$1001,0),""))</f>
        <v/>
      </c>
    </row>
    <row r="250" spans="1:44" x14ac:dyDescent="0.25">
      <c r="A250" s="5">
        <v>249</v>
      </c>
      <c r="B250" s="11">
        <f>IF($A250="","",IF($AP250&lt;&gt;"",INDEX(Raw_D1!$B$2:$B$1001,$AP250),IF($AR250&lt;&gt;"",INDEX(Raw_D3!$B$2:$B$1001,$AR250),"")))</f>
        <v>40554.0</v>
      </c>
      <c r="C250" s="5">
        <f>IF($A250="","",IF($AP250&lt;&gt;"",INDEX(Raw_D1!$C$2:$C$1001,$AP250),IF($AR250&lt;&gt;"",INDEX(Raw_D3!$C$2:$C$1001,$AR250),"")))</f>
        <v>1</v>
      </c>
      <c r="D250" s="5">
        <f>IF($A250="","",IF($AP250&lt;&gt;"",INDEX(Raw_D1!$D$2:$D$1001,$AP250),IF($AR250&lt;&gt;"",INDEX(Raw_D3!$D$2:$D$1001,$AR250),"")))</f>
        <v>0</v>
      </c>
      <c r="E250" s="5">
        <f>IF($A250="","",IF($AP250&lt;&gt;"",INDEX(Raw_D1!$E$2:$E$1001,$AP250),IF($AR250&lt;&gt;"",INDEX(Raw_D3!$E$2:$E$1001,$AR250),"")))</f>
        <v>1</v>
      </c>
      <c r="F250" s="5">
        <f>IF($A250="","",IF($AP250&lt;&gt;"",INDEX(Raw_D1!$F$2:$F$1001,$AP250),IF($AR250&lt;&gt;"",INDEX(Raw_D3!$F$2:$F$1001,$AR250),"")))</f>
        <v>17</v>
      </c>
      <c r="G250" s="5">
        <f>IF($A250="","",IF($AP250&lt;&gt;"",IF(INDEX(Raw_D1!$G$2:$G$1001,$AP250),1,0),IF($AR250&lt;&gt;"",IF(INDEX(Raw_D3!$G$2:$G$1001,$AR250),1,0),"")))</f>
        <v>0</v>
      </c>
      <c r="H250" s="5">
        <f>IF($A250="","",IF($AP250&lt;&gt;"",INDEX(Raw_D1!$H$2:$H$1001,$AP250),IF($AR250&lt;&gt;"",INDEX(Raw_D3!$H$2:$H$1001,$AR250),"")))</f>
        <v>2</v>
      </c>
      <c r="I250" s="5">
        <f>IF($A250="","",IF($AP250&lt;&gt;"",INDEX(Raw_D1!$I$2:$I$1001,$AP250),IF($AR250&lt;&gt;"",INDEX(Raw_D3!$I$2:$I$1001,$AR250),"")))</f>
        <v>2</v>
      </c>
      <c r="J250" s="16">
        <f>IF($A250="","",IF($AP250&lt;&gt;"",INDEX(Raw_D1!$J$2:$J$1001,$AP250),IF($AR250&lt;&gt;"",INDEX(Raw_D3!$J$2:$J$1001,$AR250),"")))</f>
        <v>0.16</v>
      </c>
      <c r="K250" s="17">
        <f>IF($A250="","",IF($AQ250&lt;&gt;"",IF(INDEX(Raw_D2!$C$2:$C$1001,$AQ250)="","",INDEX(Raw_D2!$C$2:$C$1001,$AQ250)),IF($AR250&lt;&gt;"",IF(INDEX(Raw_D3!$K$2:$K$1001,$AR250)="","",INDEX(Raw_D3!$K$2:$K$1001,$AR250)),"")))</f>
        <v>0.1515</v>
      </c>
      <c r="L250" s="16">
        <f>IF($A250="","",IF($AQ250&lt;&gt;"",IF(INDEX(Raw_D2!$D$2:$D$1001,$AQ250)="","",INDEX(Raw_D2!$D$2:$D$1001,$AQ250)),IF($AR250&lt;&gt;"",IF(INDEX(Raw_D3!$L$2:$L$1001,$AR250)="","",INDEX(Raw_D3!$L$2:$L$1001,$AR250)),"")))</f>
        <v>0.86</v>
      </c>
      <c r="M250" s="17">
        <f>IF($A250="","",IF($AQ250&lt;&gt;"",IF(INDEX(Raw_D2!$E$2:$E$1001,$AQ250)="","",INDEX(Raw_D2!$E$2:$E$1001,$AQ250)),IF($AR250&lt;&gt;"",IF(INDEX(Raw_D3!$M$2:$M$1001,$AR250)="","",INDEX(Raw_D3!$M$2:$M$1001,$AR250)),"")))</f>
        <v>0.2239</v>
      </c>
      <c r="N250" s="5">
        <f>IF($A250="","",IF($AQ250&lt;&gt;"",IF(INDEX(Raw_D2!$F$2:$F$1001,$AQ250)="","",INDEX(Raw_D2!$F$2:$F$1001,$AQ250)),IF($AR250&lt;&gt;"",IF(INDEX(Raw_D3!$N$2:$N$1001,$AR250)="","",INDEX(Raw_D3!$N$2:$N$1001,$AR250)),"")))</f>
        <v>6</v>
      </c>
      <c r="O250" s="5">
        <f>IF($A250="","",IF($AQ250&lt;&gt;"",IF(INDEX(Raw_D2!$G$2:$G$1001,$AQ250)="","",INDEX(Raw_D2!$G$2:$G$1001,$AQ250)),IF($AR250&lt;&gt;"",IF(INDEX(Raw_D3!$O$2:$O$1001,$AR250)="","",INDEX(Raw_D3!$O$2:$O$1001,$AR250)),"")))</f>
        <v>130</v>
      </c>
      <c r="P250" s="5">
        <f>IF($A250="","",IF($AQ250&lt;&gt;"",IF(INDEX(Raw_D2!$H$2:$H$1001,$AQ250)="","",INDEX(Raw_D2!$H$2:$H$1001,$AQ250)),IF($AR250&lt;&gt;"",IF(INDEX(Raw_D3!$P$2:$P$1001,$AR250)="","",INDEX(Raw_D3!$P$2:$P$1001,$AR250)),"")))</f>
        <v>136</v>
      </c>
      <c r="Q250" s="5" t="str">
        <f>IF($A250="","",IF(AND($AP250&lt;&gt;"",$AQ250&lt;&gt;""),"D1+D2",IF($AR250&lt;&gt;"","D3","Incomplete")))</f>
        <v>D1+D2</v>
      </c>
      <c r="R250" s="17">
        <f>IF($A250="","",IF($K250="",IF($J250="","",ROUND(Lookups!$K$5+Lookups!$K$4*$J250,4)),$K250))</f>
        <v>0.1515</v>
      </c>
      <c r="S250" s="5" t="str">
        <f>IF($A250="","",IF($K250="","Imputed","Original"))</f>
        <v>Original</v>
      </c>
      <c r="T250" s="5" t="str">
        <f>IF($A250="","",IF($P250="","Missing",IF($P250=$N250+$O250,"OK","Mismatch")))</f>
        <v>OK</v>
      </c>
      <c r="U250" s="5" t="str">
        <f>IF($A250="","",IF(COUNTIF($A$2:$A250,$A250)&gt;1,"Duplicate","Unique"))</f>
        <v>Unique</v>
      </c>
      <c r="V250" s="5">
        <f>IF($A250="","",IF(AND($U250="Unique",ISNUMBER($P250)),1,0))</f>
        <v>1</v>
      </c>
      <c r="W250" s="5" t="str">
        <f>IF($A250="","",IF(OR($H250=0,$H250=6),"Weekend","Weekday"))</f>
        <v>Weekday</v>
      </c>
      <c r="X250" s="5" t="str">
        <f>IF($A250="","",TEXT($B250,"ddd"))</f>
        <v>Tue</v>
      </c>
      <c r="Y250" s="5" t="str">
        <f>IF($A250="","",TEXT($B250,"mmm"))</f>
        <v>Jan</v>
      </c>
      <c r="Z250" s="5" t="str">
        <f>IF($A250="","",IFERROR(VLOOKUP($C250,Lookups!$D$4:$E$7,2,FALSE),"Unknown"))</f>
        <v>Winter</v>
      </c>
      <c r="AA250" s="5" t="str">
        <f>IF($A250="","",IFERROR(VLOOKUP($I250,Lookups!$A$4:$B$7,2,FALSE),"Unknown"))</f>
        <v>Mist/Cloudy</v>
      </c>
      <c r="AB250" s="5" t="str">
        <f>IF($A250="","",TEXT($F250,"00")&amp;":00")</f>
        <v>17:00</v>
      </c>
      <c r="AC250" s="5" t="str">
        <f>IF($A250="","",VLOOKUP($F250,Lookups!$G$4:$H$8,2,TRUE))</f>
        <v>Evening Peak (16-19)</v>
      </c>
      <c r="AD250" s="18">
        <f>IF($A250="","",IF($J250="","",ROUND($J250*41,1)))</f>
        <v>6.6</v>
      </c>
      <c r="AE250" s="18">
        <f>IF($A250="","",IF($R250="","",ROUND($R250*50,1)))</f>
        <v>7.6</v>
      </c>
      <c r="AF250" s="5">
        <f>IF($A250="","",IF($L250="","",ROUND($L250*100,0)))</f>
        <v>86</v>
      </c>
      <c r="AG250" s="18">
        <f>IF($A250="","",IF($M250="","",ROUND($M250*67,1)))</f>
        <v>15</v>
      </c>
      <c r="AH250" s="19">
        <f>IF($A250="","",IF($P250="","",IF($P250=0,0,$O250/$P250)))</f>
        <v>0.955882352941177</v>
      </c>
      <c r="AI250" s="5" t="str">
        <f>IF($A250="","",IF($P250="","",IF($P250&gt;=Lookups!$K$7,"High",IF($P250&lt;=Lookups!$K$8,"Low","Medium"))))</f>
        <v>High</v>
      </c>
      <c r="AJ250" s="5" t="str">
        <f>IF($A250="","",IF($AD250="","",IF($AD250&lt;5,"Under 5 C",IF($AD250&lt;10,"5-10 C",IF($AD250&lt;15,"10-15 C","15 C and above")))))</f>
        <v>5-10 C</v>
      </c>
      <c r="AK250" s="5">
        <f>IF($A250="","",IF($P250="","",$P250^2))</f>
        <v>18496</v>
      </c>
      <c r="AL250" s="18">
        <f>IF($V250&lt;&gt;1,"",AVERAGEIFS(Clean_Data!$P$2:$P$1001,Clean_Data!$F$2:$F$1001,$F250,Clean_Data!$W$2:$W$1001,$W250,Clean_Data!$V$2:$V$1001,1))</f>
        <v>165.566666666667</v>
      </c>
      <c r="AM250" s="16">
        <f>IF($V250&lt;&gt;1,"",IFERROR(($P250-$AL250)/SQRT(MAX(0,(SUMIFS(Clean_Data!$AK$2:$AK$1001,Clean_Data!$F$2:$F$1001,$F250,Clean_Data!$W$2:$W$1001,$W250,Clean_Data!$V$2:$V$1001,1)-COUNTIFS(Clean_Data!$F$2:$F$1001,$F250,Clean_Data!$W$2:$W$1001,$W250,Clean_Data!$V$2:$V$1001,1)*$AL250^2)/(COUNTIFS(Clean_Data!$F$2:$F$1001,$F250,Clean_Data!$W$2:$W$1001,$W250,Clean_Data!$V$2:$V$1001,1)-1))),""))</f>
        <v>-0.671770108411915</v>
      </c>
      <c r="AN250" s="5" t="str">
        <f>IF($AM250="","",IF($AM250&gt;=Lookups!$K$6,"High spike",IF($AM250&lt;=-Lookups!$K$6,"Unusual low","Normal")))</f>
        <v>Normal</v>
      </c>
      <c r="AO250" s="20">
        <f>IF($V250&lt;&gt;1,"",$P250+ROW()/100000)</f>
        <v>136.0025</v>
      </c>
      <c r="AP250" s="5">
        <f>IF($A250="","",IFERROR(MATCH($A250,Raw_D1!$A$2:$A$1001,0),""))</f>
        <v>249</v>
      </c>
      <c r="AQ250" s="5">
        <f>IF($A250="","",IFERROR(MATCH($A250,Raw_D2!$B$2:$B$1001,0),""))</f>
        <v>249</v>
      </c>
      <c r="AR250" s="5">
        <f>IF($A250="","",IFERROR(MATCH($A250,Raw_D3!$A$2:$A$1001,0),""))</f>
        <v/>
      </c>
    </row>
    <row r="251" spans="1:44" x14ac:dyDescent="0.25">
      <c r="A251" s="5">
        <v>250</v>
      </c>
      <c r="B251" s="11">
        <f>IF($A251="","",IF($AP251&lt;&gt;"",INDEX(Raw_D1!$B$2:$B$1001,$AP251),IF($AR251&lt;&gt;"",INDEX(Raw_D3!$B$2:$B$1001,$AR251),"")))</f>
        <v>40554.0</v>
      </c>
      <c r="C251" s="5">
        <f>IF($A251="","",IF($AP251&lt;&gt;"",INDEX(Raw_D1!$C$2:$C$1001,$AP251),IF($AR251&lt;&gt;"",INDEX(Raw_D3!$C$2:$C$1001,$AR251),"")))</f>
        <v>1</v>
      </c>
      <c r="D251" s="5">
        <f>IF($A251="","",IF($AP251&lt;&gt;"",INDEX(Raw_D1!$D$2:$D$1001,$AP251),IF($AR251&lt;&gt;"",INDEX(Raw_D3!$D$2:$D$1001,$AR251),"")))</f>
        <v>0</v>
      </c>
      <c r="E251" s="5">
        <f>IF($A251="","",IF($AP251&lt;&gt;"",INDEX(Raw_D1!$E$2:$E$1001,$AP251),IF($AR251&lt;&gt;"",INDEX(Raw_D3!$E$2:$E$1001,$AR251),"")))</f>
        <v>1</v>
      </c>
      <c r="F251" s="5">
        <f>IF($A251="","",IF($AP251&lt;&gt;"",INDEX(Raw_D1!$F$2:$F$1001,$AP251),IF($AR251&lt;&gt;"",INDEX(Raw_D3!$F$2:$F$1001,$AR251),"")))</f>
        <v>18</v>
      </c>
      <c r="G251" s="5">
        <f>IF($A251="","",IF($AP251&lt;&gt;"",IF(INDEX(Raw_D1!$G$2:$G$1001,$AP251),1,0),IF($AR251&lt;&gt;"",IF(INDEX(Raw_D3!$G$2:$G$1001,$AR251),1,0),"")))</f>
        <v>0</v>
      </c>
      <c r="H251" s="5">
        <f>IF($A251="","",IF($AP251&lt;&gt;"",INDEX(Raw_D1!$H$2:$H$1001,$AP251),IF($AR251&lt;&gt;"",INDEX(Raw_D3!$H$2:$H$1001,$AR251),"")))</f>
        <v>2</v>
      </c>
      <c r="I251" s="5">
        <f>IF($A251="","",IF($AP251&lt;&gt;"",INDEX(Raw_D1!$I$2:$I$1001,$AP251),IF($AR251&lt;&gt;"",INDEX(Raw_D3!$I$2:$I$1001,$AR251),"")))</f>
        <v>3</v>
      </c>
      <c r="J251" s="16">
        <f>IF($A251="","",IF($AP251&lt;&gt;"",INDEX(Raw_D1!$J$2:$J$1001,$AP251),IF($AR251&lt;&gt;"",INDEX(Raw_D3!$J$2:$J$1001,$AR251),"")))</f>
        <v>0.16</v>
      </c>
      <c r="K251" s="17">
        <f>IF($A251="","",IF($AQ251&lt;&gt;"",IF(INDEX(Raw_D2!$C$2:$C$1001,$AQ251)="","",INDEX(Raw_D2!$C$2:$C$1001,$AQ251)),IF($AR251&lt;&gt;"",IF(INDEX(Raw_D3!$K$2:$K$1001,$AR251)="","",INDEX(Raw_D3!$K$2:$K$1001,$AR251)),"")))</f>
        <v>0.1818</v>
      </c>
      <c r="L251" s="16">
        <f>IF($A251="","",IF($AQ251&lt;&gt;"",IF(INDEX(Raw_D2!$D$2:$D$1001,$AQ251)="","",INDEX(Raw_D2!$D$2:$D$1001,$AQ251)),IF($AR251&lt;&gt;"",IF(INDEX(Raw_D3!$L$2:$L$1001,$AR251)="","",INDEX(Raw_D3!$L$2:$L$1001,$AR251)),"")))</f>
        <v>0.93</v>
      </c>
      <c r="M251" s="17">
        <f>IF($A251="","",IF($AQ251&lt;&gt;"",IF(INDEX(Raw_D2!$E$2:$E$1001,$AQ251)="","",INDEX(Raw_D2!$E$2:$E$1001,$AQ251)),IF($AR251&lt;&gt;"",IF(INDEX(Raw_D3!$M$2:$M$1001,$AR251)="","",INDEX(Raw_D3!$M$2:$M$1001,$AR251)),"")))</f>
        <v>0.1045</v>
      </c>
      <c r="N251" s="5">
        <f>IF($A251="","",IF($AQ251&lt;&gt;"",IF(INDEX(Raw_D2!$F$2:$F$1001,$AQ251)="","",INDEX(Raw_D2!$F$2:$F$1001,$AQ251)),IF($AR251&lt;&gt;"",IF(INDEX(Raw_D3!$N$2:$N$1001,$AR251)="","",INDEX(Raw_D3!$N$2:$N$1001,$AR251)),"")))</f>
        <v>1</v>
      </c>
      <c r="O251" s="5">
        <f>IF($A251="","",IF($AQ251&lt;&gt;"",IF(INDEX(Raw_D2!$G$2:$G$1001,$AQ251)="","",INDEX(Raw_D2!$G$2:$G$1001,$AQ251)),IF($AR251&lt;&gt;"",IF(INDEX(Raw_D3!$O$2:$O$1001,$AR251)="","",INDEX(Raw_D3!$O$2:$O$1001,$AR251)),"")))</f>
        <v>94</v>
      </c>
      <c r="P251" s="5">
        <f>IF($A251="","",IF($AQ251&lt;&gt;"",IF(INDEX(Raw_D2!$H$2:$H$1001,$AQ251)="","",INDEX(Raw_D2!$H$2:$H$1001,$AQ251)),IF($AR251&lt;&gt;"",IF(INDEX(Raw_D3!$P$2:$P$1001,$AR251)="","",INDEX(Raw_D3!$P$2:$P$1001,$AR251)),"")))</f>
        <v>95</v>
      </c>
      <c r="Q251" s="5" t="str">
        <f>IF($A251="","",IF(AND($AP251&lt;&gt;"",$AQ251&lt;&gt;""),"D1+D2",IF($AR251&lt;&gt;"","D3","Incomplete")))</f>
        <v>D1+D2</v>
      </c>
      <c r="R251" s="17">
        <f>IF($A251="","",IF($K251="",IF($J251="","",ROUND(Lookups!$K$5+Lookups!$K$4*$J251,4)),$K251))</f>
        <v>0.1818</v>
      </c>
      <c r="S251" s="5" t="str">
        <f>IF($A251="","",IF($K251="","Imputed","Original"))</f>
        <v>Original</v>
      </c>
      <c r="T251" s="5" t="str">
        <f>IF($A251="","",IF($P251="","Missing",IF($P251=$N251+$O251,"OK","Mismatch")))</f>
        <v>OK</v>
      </c>
      <c r="U251" s="5" t="str">
        <f>IF($A251="","",IF(COUNTIF($A$2:$A251,$A251)&gt;1,"Duplicate","Unique"))</f>
        <v>Unique</v>
      </c>
      <c r="V251" s="5">
        <f>IF($A251="","",IF(AND($U251="Unique",ISNUMBER($P251)),1,0))</f>
        <v>1</v>
      </c>
      <c r="W251" s="5" t="str">
        <f>IF($A251="","",IF(OR($H251=0,$H251=6),"Weekend","Weekday"))</f>
        <v>Weekday</v>
      </c>
      <c r="X251" s="5" t="str">
        <f>IF($A251="","",TEXT($B251,"ddd"))</f>
        <v>Tue</v>
      </c>
      <c r="Y251" s="5" t="str">
        <f>IF($A251="","",TEXT($B251,"mmm"))</f>
        <v>Jan</v>
      </c>
      <c r="Z251" s="5" t="str">
        <f>IF($A251="","",IFERROR(VLOOKUP($C251,Lookups!$D$4:$E$7,2,FALSE),"Unknown"))</f>
        <v>Winter</v>
      </c>
      <c r="AA251" s="5" t="str">
        <f>IF($A251="","",IFERROR(VLOOKUP($I251,Lookups!$A$4:$B$7,2,FALSE),"Unknown"))</f>
        <v>Light Rain/Snow</v>
      </c>
      <c r="AB251" s="5" t="str">
        <f>IF($A251="","",TEXT($F251,"00")&amp;":00")</f>
        <v>18:00</v>
      </c>
      <c r="AC251" s="5" t="str">
        <f>IF($A251="","",VLOOKUP($F251,Lookups!$G$4:$H$8,2,TRUE))</f>
        <v>Evening Peak (16-19)</v>
      </c>
      <c r="AD251" s="18">
        <f>IF($A251="","",IF($J251="","",ROUND($J251*41,1)))</f>
        <v>6.6</v>
      </c>
      <c r="AE251" s="18">
        <f>IF($A251="","",IF($R251="","",ROUND($R251*50,1)))</f>
        <v>9.1</v>
      </c>
      <c r="AF251" s="5">
        <f>IF($A251="","",IF($L251="","",ROUND($L251*100,0)))</f>
        <v>93</v>
      </c>
      <c r="AG251" s="18">
        <f>IF($A251="","",IF($M251="","",ROUND($M251*67,1)))</f>
        <v>7</v>
      </c>
      <c r="AH251" s="19">
        <f>IF($A251="","",IF($P251="","",IF($P251=0,0,$O251/$P251)))</f>
        <v>0.989473684210526</v>
      </c>
      <c r="AI251" s="5" t="str">
        <f>IF($A251="","",IF($P251="","",IF($P251&gt;=Lookups!$K$7,"High",IF($P251&lt;=Lookups!$K$8,"Low","Medium"))))</f>
        <v>High</v>
      </c>
      <c r="AJ251" s="5" t="str">
        <f>IF($A251="","",IF($AD251="","",IF($AD251&lt;5,"Under 5 C",IF($AD251&lt;10,"5-10 C",IF($AD251&lt;15,"10-15 C","15 C and above")))))</f>
        <v>5-10 C</v>
      </c>
      <c r="AK251" s="5">
        <f>IF($A251="","",IF($P251="","",$P251^2))</f>
        <v>9025</v>
      </c>
      <c r="AL251" s="18">
        <f>IF($V251&lt;&gt;1,"",AVERAGEIFS(Clean_Data!$P$2:$P$1001,Clean_Data!$F$2:$F$1001,$F251,Clean_Data!$W$2:$W$1001,$W251,Clean_Data!$V$2:$V$1001,1))</f>
        <v>151.206896551724</v>
      </c>
      <c r="AM251" s="16">
        <f>IF($V251&lt;&gt;1,"",IFERROR(($P251-$AL251)/SQRT(MAX(0,(SUMIFS(Clean_Data!$AK$2:$AK$1001,Clean_Data!$F$2:$F$1001,$F251,Clean_Data!$W$2:$W$1001,$W251,Clean_Data!$V$2:$V$1001,1)-COUNTIFS(Clean_Data!$F$2:$F$1001,$F251,Clean_Data!$W$2:$W$1001,$W251,Clean_Data!$V$2:$V$1001,1)*$AL251^2)/(COUNTIFS(Clean_Data!$F$2:$F$1001,$F251,Clean_Data!$W$2:$W$1001,$W251,Clean_Data!$V$2:$V$1001,1)-1))),""))</f>
        <v>-1.91509863444836</v>
      </c>
      <c r="AN251" s="5" t="str">
        <f>IF($AM251="","",IF($AM251&gt;=Lookups!$K$6,"High spike",IF($AM251&lt;=-Lookups!$K$6,"Unusual low","Normal")))</f>
        <v>Normal</v>
      </c>
      <c r="AO251" s="20">
        <f>IF($V251&lt;&gt;1,"",$P251+ROW()/100000)</f>
        <v>95.00251</v>
      </c>
      <c r="AP251" s="5">
        <f>IF($A251="","",IFERROR(MATCH($A251,Raw_D1!$A$2:$A$1001,0),""))</f>
        <v>250</v>
      </c>
      <c r="AQ251" s="5">
        <f>IF($A251="","",IFERROR(MATCH($A251,Raw_D2!$B$2:$B$1001,0),""))</f>
        <v>250</v>
      </c>
      <c r="AR251" s="5">
        <f>IF($A251="","",IFERROR(MATCH($A251,Raw_D3!$A$2:$A$1001,0),""))</f>
        <v/>
      </c>
    </row>
    <row r="252" spans="1:44" x14ac:dyDescent="0.25">
      <c r="A252" s="5">
        <v>251</v>
      </c>
      <c r="B252" s="11">
        <f>IF($A252="","",IF($AP252&lt;&gt;"",INDEX(Raw_D1!$B$2:$B$1001,$AP252),IF($AR252&lt;&gt;"",INDEX(Raw_D3!$B$2:$B$1001,$AR252),"")))</f>
        <v>40554.0</v>
      </c>
      <c r="C252" s="5">
        <f>IF($A252="","",IF($AP252&lt;&gt;"",INDEX(Raw_D1!$C$2:$C$1001,$AP252),IF($AR252&lt;&gt;"",INDEX(Raw_D3!$C$2:$C$1001,$AR252),"")))</f>
        <v>1</v>
      </c>
      <c r="D252" s="5">
        <f>IF($A252="","",IF($AP252&lt;&gt;"",INDEX(Raw_D1!$D$2:$D$1001,$AP252),IF($AR252&lt;&gt;"",INDEX(Raw_D3!$D$2:$D$1001,$AR252),"")))</f>
        <v>0</v>
      </c>
      <c r="E252" s="5">
        <f>IF($A252="","",IF($AP252&lt;&gt;"",INDEX(Raw_D1!$E$2:$E$1001,$AP252),IF($AR252&lt;&gt;"",INDEX(Raw_D3!$E$2:$E$1001,$AR252),"")))</f>
        <v>1</v>
      </c>
      <c r="F252" s="5">
        <f>IF($A252="","",IF($AP252&lt;&gt;"",INDEX(Raw_D1!$F$2:$F$1001,$AP252),IF($AR252&lt;&gt;"",INDEX(Raw_D3!$F$2:$F$1001,$AR252),"")))</f>
        <v>19</v>
      </c>
      <c r="G252" s="5">
        <f>IF($A252="","",IF($AP252&lt;&gt;"",IF(INDEX(Raw_D1!$G$2:$G$1001,$AP252),1,0),IF($AR252&lt;&gt;"",IF(INDEX(Raw_D3!$G$2:$G$1001,$AR252),1,0),"")))</f>
        <v>0</v>
      </c>
      <c r="H252" s="5">
        <f>IF($A252="","",IF($AP252&lt;&gt;"",INDEX(Raw_D1!$H$2:$H$1001,$AP252),IF($AR252&lt;&gt;"",INDEX(Raw_D3!$H$2:$H$1001,$AR252),"")))</f>
        <v>2</v>
      </c>
      <c r="I252" s="5">
        <f>IF($A252="","",IF($AP252&lt;&gt;"",INDEX(Raw_D1!$I$2:$I$1001,$AP252),IF($AR252&lt;&gt;"",INDEX(Raw_D3!$I$2:$I$1001,$AR252),"")))</f>
        <v>3</v>
      </c>
      <c r="J252" s="16">
        <f>IF($A252="","",IF($AP252&lt;&gt;"",INDEX(Raw_D1!$J$2:$J$1001,$AP252),IF($AR252&lt;&gt;"",INDEX(Raw_D3!$J$2:$J$1001,$AR252),"")))</f>
        <v>0.16</v>
      </c>
      <c r="K252" s="17">
        <f>IF($A252="","",IF($AQ252&lt;&gt;"",IF(INDEX(Raw_D2!$C$2:$C$1001,$AQ252)="","",INDEX(Raw_D2!$C$2:$C$1001,$AQ252)),IF($AR252&lt;&gt;"",IF(INDEX(Raw_D3!$K$2:$K$1001,$AR252)="","",INDEX(Raw_D3!$K$2:$K$1001,$AR252)),"")))</f>
        <v>0.2273</v>
      </c>
      <c r="L252" s="16">
        <f>IF($A252="","",IF($AQ252&lt;&gt;"",IF(INDEX(Raw_D2!$D$2:$D$1001,$AQ252)="","",INDEX(Raw_D2!$D$2:$D$1001,$AQ252)),IF($AR252&lt;&gt;"",IF(INDEX(Raw_D3!$L$2:$L$1001,$AR252)="","",INDEX(Raw_D3!$L$2:$L$1001,$AR252)),"")))</f>
        <v>0.93</v>
      </c>
      <c r="M252" s="17">
        <f>IF($A252="","",IF($AQ252&lt;&gt;"",IF(INDEX(Raw_D2!$E$2:$E$1001,$AQ252)="","",INDEX(Raw_D2!$E$2:$E$1001,$AQ252)),IF($AR252&lt;&gt;"",IF(INDEX(Raw_D3!$M$2:$M$1001,$AR252)="","",INDEX(Raw_D3!$M$2:$M$1001,$AR252)),"")))</f>
        <v>0</v>
      </c>
      <c r="N252" s="5">
        <f>IF($A252="","",IF($AQ252&lt;&gt;"",IF(INDEX(Raw_D2!$F$2:$F$1001,$AQ252)="","",INDEX(Raw_D2!$F$2:$F$1001,$AQ252)),IF($AR252&lt;&gt;"",IF(INDEX(Raw_D3!$N$2:$N$1001,$AR252)="","",INDEX(Raw_D3!$N$2:$N$1001,$AR252)),"")))</f>
        <v>0</v>
      </c>
      <c r="O252" s="5">
        <f>IF($A252="","",IF($AQ252&lt;&gt;"",IF(INDEX(Raw_D2!$G$2:$G$1001,$AQ252)="","",INDEX(Raw_D2!$G$2:$G$1001,$AQ252)),IF($AR252&lt;&gt;"",IF(INDEX(Raw_D3!$O$2:$O$1001,$AR252)="","",INDEX(Raw_D3!$O$2:$O$1001,$AR252)),"")))</f>
        <v>51</v>
      </c>
      <c r="P252" s="5">
        <f>IF($A252="","",IF($AQ252&lt;&gt;"",IF(INDEX(Raw_D2!$H$2:$H$1001,$AQ252)="","",INDEX(Raw_D2!$H$2:$H$1001,$AQ252)),IF($AR252&lt;&gt;"",IF(INDEX(Raw_D3!$P$2:$P$1001,$AR252)="","",INDEX(Raw_D3!$P$2:$P$1001,$AR252)),"")))</f>
        <v>51</v>
      </c>
      <c r="Q252" s="5" t="str">
        <f>IF($A252="","",IF(AND($AP252&lt;&gt;"",$AQ252&lt;&gt;""),"D1+D2",IF($AR252&lt;&gt;"","D3","Incomplete")))</f>
        <v>D1+D2</v>
      </c>
      <c r="R252" s="17">
        <f>IF($A252="","",IF($K252="",IF($J252="","",ROUND(Lookups!$K$5+Lookups!$K$4*$J252,4)),$K252))</f>
        <v>0.2273</v>
      </c>
      <c r="S252" s="5" t="str">
        <f>IF($A252="","",IF($K252="","Imputed","Original"))</f>
        <v>Original</v>
      </c>
      <c r="T252" s="5" t="str">
        <f>IF($A252="","",IF($P252="","Missing",IF($P252=$N252+$O252,"OK","Mismatch")))</f>
        <v>OK</v>
      </c>
      <c r="U252" s="5" t="str">
        <f>IF($A252="","",IF(COUNTIF($A$2:$A252,$A252)&gt;1,"Duplicate","Unique"))</f>
        <v>Unique</v>
      </c>
      <c r="V252" s="5">
        <f>IF($A252="","",IF(AND($U252="Unique",ISNUMBER($P252)),1,0))</f>
        <v>1</v>
      </c>
      <c r="W252" s="5" t="str">
        <f>IF($A252="","",IF(OR($H252=0,$H252=6),"Weekend","Weekday"))</f>
        <v>Weekday</v>
      </c>
      <c r="X252" s="5" t="str">
        <f>IF($A252="","",TEXT($B252,"ddd"))</f>
        <v>Tue</v>
      </c>
      <c r="Y252" s="5" t="str">
        <f>IF($A252="","",TEXT($B252,"mmm"))</f>
        <v>Jan</v>
      </c>
      <c r="Z252" s="5" t="str">
        <f>IF($A252="","",IFERROR(VLOOKUP($C252,Lookups!$D$4:$E$7,2,FALSE),"Unknown"))</f>
        <v>Winter</v>
      </c>
      <c r="AA252" s="5" t="str">
        <f>IF($A252="","",IFERROR(VLOOKUP($I252,Lookups!$A$4:$B$7,2,FALSE),"Unknown"))</f>
        <v>Light Rain/Snow</v>
      </c>
      <c r="AB252" s="5" t="str">
        <f>IF($A252="","",TEXT($F252,"00")&amp;":00")</f>
        <v>19:00</v>
      </c>
      <c r="AC252" s="5" t="str">
        <f>IF($A252="","",VLOOKUP($F252,Lookups!$G$4:$H$8,2,TRUE))</f>
        <v>Evening Peak (16-19)</v>
      </c>
      <c r="AD252" s="18">
        <f>IF($A252="","",IF($J252="","",ROUND($J252*41,1)))</f>
        <v>6.6</v>
      </c>
      <c r="AE252" s="18">
        <f>IF($A252="","",IF($R252="","",ROUND($R252*50,1)))</f>
        <v>11.4</v>
      </c>
      <c r="AF252" s="5">
        <f>IF($A252="","",IF($L252="","",ROUND($L252*100,0)))</f>
        <v>93</v>
      </c>
      <c r="AG252" s="18">
        <f>IF($A252="","",IF($M252="","",ROUND($M252*67,1)))</f>
        <v>0</v>
      </c>
      <c r="AH252" s="19">
        <f>IF($A252="","",IF($P252="","",IF($P252=0,0,$O252/$P252)))</f>
        <v>1</v>
      </c>
      <c r="AI252" s="5" t="str">
        <f>IF($A252="","",IF($P252="","",IF($P252&gt;=Lookups!$K$7,"High",IF($P252&lt;=Lookups!$K$8,"Low","Medium"))))</f>
        <v>Medium</v>
      </c>
      <c r="AJ252" s="5" t="str">
        <f>IF($A252="","",IF($AD252="","",IF($AD252&lt;5,"Under 5 C",IF($AD252&lt;10,"5-10 C",IF($AD252&lt;15,"10-15 C","15 C and above")))))</f>
        <v>5-10 C</v>
      </c>
      <c r="AK252" s="5">
        <f>IF($A252="","",IF($P252="","",$P252^2))</f>
        <v>2601</v>
      </c>
      <c r="AL252" s="18">
        <f>IF($V252&lt;&gt;1,"",AVERAGEIFS(Clean_Data!$P$2:$P$1001,Clean_Data!$F$2:$F$1001,$F252,Clean_Data!$W$2:$W$1001,$W252,Clean_Data!$V$2:$V$1001,1))</f>
        <v>102.034482758621</v>
      </c>
      <c r="AM252" s="16">
        <f>IF($V252&lt;&gt;1,"",IFERROR(($P252-$AL252)/SQRT(MAX(0,(SUMIFS(Clean_Data!$AK$2:$AK$1001,Clean_Data!$F$2:$F$1001,$F252,Clean_Data!$W$2:$W$1001,$W252,Clean_Data!$V$2:$V$1001,1)-COUNTIFS(Clean_Data!$F$2:$F$1001,$F252,Clean_Data!$W$2:$W$1001,$W252,Clean_Data!$V$2:$V$1001,1)*$AL252^2)/(COUNTIFS(Clean_Data!$F$2:$F$1001,$F252,Clean_Data!$W$2:$W$1001,$W252,Clean_Data!$V$2:$V$1001,1)-1))),""))</f>
        <v>-2.40188721164792</v>
      </c>
      <c r="AN252" s="5" t="str">
        <f>IF($AM252="","",IF($AM252&gt;=Lookups!$K$6,"High spike",IF($AM252&lt;=-Lookups!$K$6,"Unusual low","Normal")))</f>
        <v>Normal</v>
      </c>
      <c r="AO252" s="20">
        <f>IF($V252&lt;&gt;1,"",$P252+ROW()/100000)</f>
        <v>51.00252</v>
      </c>
      <c r="AP252" s="5">
        <f>IF($A252="","",IFERROR(MATCH($A252,Raw_D1!$A$2:$A$1001,0),""))</f>
        <v>251</v>
      </c>
      <c r="AQ252" s="5">
        <f>IF($A252="","",IFERROR(MATCH($A252,Raw_D2!$B$2:$B$1001,0),""))</f>
        <v>251</v>
      </c>
      <c r="AR252" s="5">
        <f>IF($A252="","",IFERROR(MATCH($A252,Raw_D3!$A$2:$A$1001,0),""))</f>
        <v/>
      </c>
    </row>
    <row r="253" spans="1:44" x14ac:dyDescent="0.25">
      <c r="A253" s="5">
        <v>252</v>
      </c>
      <c r="B253" s="11">
        <f>IF($A253="","",IF($AP253&lt;&gt;"",INDEX(Raw_D1!$B$2:$B$1001,$AP253),IF($AR253&lt;&gt;"",INDEX(Raw_D3!$B$2:$B$1001,$AR253),"")))</f>
        <v>40554.0</v>
      </c>
      <c r="C253" s="5">
        <f>IF($A253="","",IF($AP253&lt;&gt;"",INDEX(Raw_D1!$C$2:$C$1001,$AP253),IF($AR253&lt;&gt;"",INDEX(Raw_D3!$C$2:$C$1001,$AR253),"")))</f>
        <v>1</v>
      </c>
      <c r="D253" s="5">
        <f>IF($A253="","",IF($AP253&lt;&gt;"",INDEX(Raw_D1!$D$2:$D$1001,$AP253),IF($AR253&lt;&gt;"",INDEX(Raw_D3!$D$2:$D$1001,$AR253),"")))</f>
        <v>0</v>
      </c>
      <c r="E253" s="5">
        <f>IF($A253="","",IF($AP253&lt;&gt;"",INDEX(Raw_D1!$E$2:$E$1001,$AP253),IF($AR253&lt;&gt;"",INDEX(Raw_D3!$E$2:$E$1001,$AR253),"")))</f>
        <v>1</v>
      </c>
      <c r="F253" s="5">
        <f>IF($A253="","",IF($AP253&lt;&gt;"",INDEX(Raw_D1!$F$2:$F$1001,$AP253),IF($AR253&lt;&gt;"",INDEX(Raw_D3!$F$2:$F$1001,$AR253),"")))</f>
        <v>20</v>
      </c>
      <c r="G253" s="5">
        <f>IF($A253="","",IF($AP253&lt;&gt;"",IF(INDEX(Raw_D1!$G$2:$G$1001,$AP253),1,0),IF($AR253&lt;&gt;"",IF(INDEX(Raw_D3!$G$2:$G$1001,$AR253),1,0),"")))</f>
        <v>0</v>
      </c>
      <c r="H253" s="5">
        <f>IF($A253="","",IF($AP253&lt;&gt;"",INDEX(Raw_D1!$H$2:$H$1001,$AP253),IF($AR253&lt;&gt;"",INDEX(Raw_D3!$H$2:$H$1001,$AR253),"")))</f>
        <v>2</v>
      </c>
      <c r="I253" s="5">
        <f>IF($A253="","",IF($AP253&lt;&gt;"",INDEX(Raw_D1!$I$2:$I$1001,$AP253),IF($AR253&lt;&gt;"",INDEX(Raw_D3!$I$2:$I$1001,$AR253),"")))</f>
        <v>3</v>
      </c>
      <c r="J253" s="16">
        <f>IF($A253="","",IF($AP253&lt;&gt;"",INDEX(Raw_D1!$J$2:$J$1001,$AP253),IF($AR253&lt;&gt;"",INDEX(Raw_D3!$J$2:$J$1001,$AR253),"")))</f>
        <v>0.16</v>
      </c>
      <c r="K253" s="17">
        <f>IF($A253="","",IF($AQ253&lt;&gt;"",IF(INDEX(Raw_D2!$C$2:$C$1001,$AQ253)="","",INDEX(Raw_D2!$C$2:$C$1001,$AQ253)),IF($AR253&lt;&gt;"",IF(INDEX(Raw_D3!$K$2:$K$1001,$AR253)="","",INDEX(Raw_D3!$K$2:$K$1001,$AR253)),"")))</f>
        <v>0.1515</v>
      </c>
      <c r="L253" s="16">
        <f>IF($A253="","",IF($AQ253&lt;&gt;"",IF(INDEX(Raw_D2!$D$2:$D$1001,$AQ253)="","",INDEX(Raw_D2!$D$2:$D$1001,$AQ253)),IF($AR253&lt;&gt;"",IF(INDEX(Raw_D3!$L$2:$L$1001,$AR253)="","",INDEX(Raw_D3!$L$2:$L$1001,$AR253)),"")))</f>
        <v>0.93</v>
      </c>
      <c r="M253" s="17">
        <f>IF($A253="","",IF($AQ253&lt;&gt;"",IF(INDEX(Raw_D2!$E$2:$E$1001,$AQ253)="","",INDEX(Raw_D2!$E$2:$E$1001,$AQ253)),IF($AR253&lt;&gt;"",IF(INDEX(Raw_D3!$M$2:$M$1001,$AR253)="","",INDEX(Raw_D3!$M$2:$M$1001,$AR253)),"")))</f>
        <v>0.194</v>
      </c>
      <c r="N253" s="5">
        <f>IF($A253="","",IF($AQ253&lt;&gt;"",IF(INDEX(Raw_D2!$F$2:$F$1001,$AQ253)="","",INDEX(Raw_D2!$F$2:$F$1001,$AQ253)),IF($AR253&lt;&gt;"",IF(INDEX(Raw_D3!$N$2:$N$1001,$AR253)="","",INDEX(Raw_D3!$N$2:$N$1001,$AR253)),"")))</f>
        <v>0</v>
      </c>
      <c r="O253" s="5">
        <f>IF($A253="","",IF($AQ253&lt;&gt;"",IF(INDEX(Raw_D2!$G$2:$G$1001,$AQ253)="","",INDEX(Raw_D2!$G$2:$G$1001,$AQ253)),IF($AR253&lt;&gt;"",IF(INDEX(Raw_D3!$O$2:$O$1001,$AR253)="","",INDEX(Raw_D3!$O$2:$O$1001,$AR253)),"")))</f>
        <v>32</v>
      </c>
      <c r="P253" s="5">
        <f>IF($A253="","",IF($AQ253&lt;&gt;"",IF(INDEX(Raw_D2!$H$2:$H$1001,$AQ253)="","",INDEX(Raw_D2!$H$2:$H$1001,$AQ253)),IF($AR253&lt;&gt;"",IF(INDEX(Raw_D3!$P$2:$P$1001,$AR253)="","",INDEX(Raw_D3!$P$2:$P$1001,$AR253)),"")))</f>
        <v>32</v>
      </c>
      <c r="Q253" s="5" t="str">
        <f>IF($A253="","",IF(AND($AP253&lt;&gt;"",$AQ253&lt;&gt;""),"D1+D2",IF($AR253&lt;&gt;"","D3","Incomplete")))</f>
        <v>D1+D2</v>
      </c>
      <c r="R253" s="17">
        <f>IF($A253="","",IF($K253="",IF($J253="","",ROUND(Lookups!$K$5+Lookups!$K$4*$J253,4)),$K253))</f>
        <v>0.1515</v>
      </c>
      <c r="S253" s="5" t="str">
        <f>IF($A253="","",IF($K253="","Imputed","Original"))</f>
        <v>Original</v>
      </c>
      <c r="T253" s="5" t="str">
        <f>IF($A253="","",IF($P253="","Missing",IF($P253=$N253+$O253,"OK","Mismatch")))</f>
        <v>OK</v>
      </c>
      <c r="U253" s="5" t="str">
        <f>IF($A253="","",IF(COUNTIF($A$2:$A253,$A253)&gt;1,"Duplicate","Unique"))</f>
        <v>Unique</v>
      </c>
      <c r="V253" s="5">
        <f>IF($A253="","",IF(AND($U253="Unique",ISNUMBER($P253)),1,0))</f>
        <v>1</v>
      </c>
      <c r="W253" s="5" t="str">
        <f>IF($A253="","",IF(OR($H253=0,$H253=6),"Weekend","Weekday"))</f>
        <v>Weekday</v>
      </c>
      <c r="X253" s="5" t="str">
        <f>IF($A253="","",TEXT($B253,"ddd"))</f>
        <v>Tue</v>
      </c>
      <c r="Y253" s="5" t="str">
        <f>IF($A253="","",TEXT($B253,"mmm"))</f>
        <v>Jan</v>
      </c>
      <c r="Z253" s="5" t="str">
        <f>IF($A253="","",IFERROR(VLOOKUP($C253,Lookups!$D$4:$E$7,2,FALSE),"Unknown"))</f>
        <v>Winter</v>
      </c>
      <c r="AA253" s="5" t="str">
        <f>IF($A253="","",IFERROR(VLOOKUP($I253,Lookups!$A$4:$B$7,2,FALSE),"Unknown"))</f>
        <v>Light Rain/Snow</v>
      </c>
      <c r="AB253" s="5" t="str">
        <f>IF($A253="","",TEXT($F253,"00")&amp;":00")</f>
        <v>20:00</v>
      </c>
      <c r="AC253" s="5" t="str">
        <f>IF($A253="","",VLOOKUP($F253,Lookups!$G$4:$H$8,2,TRUE))</f>
        <v>Late Evening (20-23)</v>
      </c>
      <c r="AD253" s="18">
        <f>IF($A253="","",IF($J253="","",ROUND($J253*41,1)))</f>
        <v>6.6</v>
      </c>
      <c r="AE253" s="18">
        <f>IF($A253="","",IF($R253="","",ROUND($R253*50,1)))</f>
        <v>7.6</v>
      </c>
      <c r="AF253" s="5">
        <f>IF($A253="","",IF($L253="","",ROUND($L253*100,0)))</f>
        <v>93</v>
      </c>
      <c r="AG253" s="18">
        <f>IF($A253="","",IF($M253="","",ROUND($M253*67,1)))</f>
        <v>13</v>
      </c>
      <c r="AH253" s="19">
        <f>IF($A253="","",IF($P253="","",IF($P253=0,0,$O253/$P253)))</f>
        <v>1</v>
      </c>
      <c r="AI253" s="5" t="str">
        <f>IF($A253="","",IF($P253="","",IF($P253&gt;=Lookups!$K$7,"High",IF($P253&lt;=Lookups!$K$8,"Low","Medium"))))</f>
        <v>Medium</v>
      </c>
      <c r="AJ253" s="5" t="str">
        <f>IF($A253="","",IF($AD253="","",IF($AD253&lt;5,"Under 5 C",IF($AD253&lt;10,"5-10 C",IF($AD253&lt;15,"10-15 C","15 C and above")))))</f>
        <v>5-10 C</v>
      </c>
      <c r="AK253" s="5">
        <f>IF($A253="","",IF($P253="","",$P253^2))</f>
        <v>1024</v>
      </c>
      <c r="AL253" s="18">
        <f>IF($V253&lt;&gt;1,"",AVERAGEIFS(Clean_Data!$P$2:$P$1001,Clean_Data!$F$2:$F$1001,$F253,Clean_Data!$W$2:$W$1001,$W253,Clean_Data!$V$2:$V$1001,1))</f>
        <v>72.2758620689655</v>
      </c>
      <c r="AM253" s="16">
        <f>IF($V253&lt;&gt;1,"",IFERROR(($P253-$AL253)/SQRT(MAX(0,(SUMIFS(Clean_Data!$AK$2:$AK$1001,Clean_Data!$F$2:$F$1001,$F253,Clean_Data!$W$2:$W$1001,$W253,Clean_Data!$V$2:$V$1001,1)-COUNTIFS(Clean_Data!$F$2:$F$1001,$F253,Clean_Data!$W$2:$W$1001,$W253,Clean_Data!$V$2:$V$1001,1)*$AL253^2)/(COUNTIFS(Clean_Data!$F$2:$F$1001,$F253,Clean_Data!$W$2:$W$1001,$W253,Clean_Data!$V$2:$V$1001,1)-1))),""))</f>
        <v>-1.82241633547703</v>
      </c>
      <c r="AN253" s="5" t="str">
        <f>IF($AM253="","",IF($AM253&gt;=Lookups!$K$6,"High spike",IF($AM253&lt;=-Lookups!$K$6,"Unusual low","Normal")))</f>
        <v>Normal</v>
      </c>
      <c r="AO253" s="20">
        <f>IF($V253&lt;&gt;1,"",$P253+ROW()/100000)</f>
        <v>32.00253</v>
      </c>
      <c r="AP253" s="5">
        <f>IF($A253="","",IFERROR(MATCH($A253,Raw_D1!$A$2:$A$1001,0),""))</f>
        <v>252</v>
      </c>
      <c r="AQ253" s="5">
        <f>IF($A253="","",IFERROR(MATCH($A253,Raw_D2!$B$2:$B$1001,0),""))</f>
        <v>252</v>
      </c>
      <c r="AR253" s="5">
        <f>IF($A253="","",IFERROR(MATCH($A253,Raw_D3!$A$2:$A$1001,0),""))</f>
        <v/>
      </c>
    </row>
    <row r="254" spans="1:44" x14ac:dyDescent="0.25">
      <c r="A254" s="5">
        <v>253</v>
      </c>
      <c r="B254" s="11">
        <f>IF($A254="","",IF($AP254&lt;&gt;"",INDEX(Raw_D1!$B$2:$B$1001,$AP254),IF($AR254&lt;&gt;"",INDEX(Raw_D3!$B$2:$B$1001,$AR254),"")))</f>
        <v>40554.0</v>
      </c>
      <c r="C254" s="5">
        <f>IF($A254="","",IF($AP254&lt;&gt;"",INDEX(Raw_D1!$C$2:$C$1001,$AP254),IF($AR254&lt;&gt;"",INDEX(Raw_D3!$C$2:$C$1001,$AR254),"")))</f>
        <v>1</v>
      </c>
      <c r="D254" s="5">
        <f>IF($A254="","",IF($AP254&lt;&gt;"",INDEX(Raw_D1!$D$2:$D$1001,$AP254),IF($AR254&lt;&gt;"",INDEX(Raw_D3!$D$2:$D$1001,$AR254),"")))</f>
        <v>0</v>
      </c>
      <c r="E254" s="5">
        <f>IF($A254="","",IF($AP254&lt;&gt;"",INDEX(Raw_D1!$E$2:$E$1001,$AP254),IF($AR254&lt;&gt;"",INDEX(Raw_D3!$E$2:$E$1001,$AR254),"")))</f>
        <v>1</v>
      </c>
      <c r="F254" s="5">
        <f>IF($A254="","",IF($AP254&lt;&gt;"",INDEX(Raw_D1!$F$2:$F$1001,$AP254),IF($AR254&lt;&gt;"",INDEX(Raw_D3!$F$2:$F$1001,$AR254),"")))</f>
        <v>21</v>
      </c>
      <c r="G254" s="5">
        <f>IF($A254="","",IF($AP254&lt;&gt;"",IF(INDEX(Raw_D1!$G$2:$G$1001,$AP254),1,0),IF($AR254&lt;&gt;"",IF(INDEX(Raw_D3!$G$2:$G$1001,$AR254),1,0),"")))</f>
        <v>0</v>
      </c>
      <c r="H254" s="5">
        <f>IF($A254="","",IF($AP254&lt;&gt;"",INDEX(Raw_D1!$H$2:$H$1001,$AP254),IF($AR254&lt;&gt;"",INDEX(Raw_D3!$H$2:$H$1001,$AR254),"")))</f>
        <v>2</v>
      </c>
      <c r="I254" s="5">
        <f>IF($A254="","",IF($AP254&lt;&gt;"",INDEX(Raw_D1!$I$2:$I$1001,$AP254),IF($AR254&lt;&gt;"",INDEX(Raw_D3!$I$2:$I$1001,$AR254),"")))</f>
        <v>3</v>
      </c>
      <c r="J254" s="16">
        <f>IF($A254="","",IF($AP254&lt;&gt;"",INDEX(Raw_D1!$J$2:$J$1001,$AP254),IF($AR254&lt;&gt;"",INDEX(Raw_D3!$J$2:$J$1001,$AR254),"")))</f>
        <v>0.16</v>
      </c>
      <c r="K254" s="17">
        <f>IF($A254="","",IF($AQ254&lt;&gt;"",IF(INDEX(Raw_D2!$C$2:$C$1001,$AQ254)="","",INDEX(Raw_D2!$C$2:$C$1001,$AQ254)),IF($AR254&lt;&gt;"",IF(INDEX(Raw_D3!$K$2:$K$1001,$AR254)="","",INDEX(Raw_D3!$K$2:$K$1001,$AR254)),"")))</f>
        <v>0.197</v>
      </c>
      <c r="L254" s="16">
        <f>IF($A254="","",IF($AQ254&lt;&gt;"",IF(INDEX(Raw_D2!$D$2:$D$1001,$AQ254)="","",INDEX(Raw_D2!$D$2:$D$1001,$AQ254)),IF($AR254&lt;&gt;"",IF(INDEX(Raw_D3!$L$2:$L$1001,$AR254)="","",INDEX(Raw_D3!$L$2:$L$1001,$AR254)),"")))</f>
        <v>0.86</v>
      </c>
      <c r="M254" s="17">
        <f>IF($A254="","",IF($AQ254&lt;&gt;"",IF(INDEX(Raw_D2!$E$2:$E$1001,$AQ254)="","",INDEX(Raw_D2!$E$2:$E$1001,$AQ254)),IF($AR254&lt;&gt;"",IF(INDEX(Raw_D3!$M$2:$M$1001,$AR254)="","",INDEX(Raw_D3!$M$2:$M$1001,$AR254)),"")))</f>
        <v>0.0896</v>
      </c>
      <c r="N254" s="5">
        <f>IF($A254="","",IF($AQ254&lt;&gt;"",IF(INDEX(Raw_D2!$F$2:$F$1001,$AQ254)="","",INDEX(Raw_D2!$F$2:$F$1001,$AQ254)),IF($AR254&lt;&gt;"",IF(INDEX(Raw_D3!$N$2:$N$1001,$AR254)="","",INDEX(Raw_D3!$N$2:$N$1001,$AR254)),"")))</f>
        <v>0</v>
      </c>
      <c r="O254" s="5">
        <f>IF($A254="","",IF($AQ254&lt;&gt;"",IF(INDEX(Raw_D2!$G$2:$G$1001,$AQ254)="","",INDEX(Raw_D2!$G$2:$G$1001,$AQ254)),IF($AR254&lt;&gt;"",IF(INDEX(Raw_D3!$O$2:$O$1001,$AR254)="","",INDEX(Raw_D3!$O$2:$O$1001,$AR254)),"")))</f>
        <v>20</v>
      </c>
      <c r="P254" s="5">
        <f>IF($A254="","",IF($AQ254&lt;&gt;"",IF(INDEX(Raw_D2!$H$2:$H$1001,$AQ254)="","",INDEX(Raw_D2!$H$2:$H$1001,$AQ254)),IF($AR254&lt;&gt;"",IF(INDEX(Raw_D3!$P$2:$P$1001,$AR254)="","",INDEX(Raw_D3!$P$2:$P$1001,$AR254)),"")))</f>
        <v>20</v>
      </c>
      <c r="Q254" s="5" t="str">
        <f>IF($A254="","",IF(AND($AP254&lt;&gt;"",$AQ254&lt;&gt;""),"D1+D2",IF($AR254&lt;&gt;"","D3","Incomplete")))</f>
        <v>D1+D2</v>
      </c>
      <c r="R254" s="17">
        <f>IF($A254="","",IF($K254="",IF($J254="","",ROUND(Lookups!$K$5+Lookups!$K$4*$J254,4)),$K254))</f>
        <v>0.197</v>
      </c>
      <c r="S254" s="5" t="str">
        <f>IF($A254="","",IF($K254="","Imputed","Original"))</f>
        <v>Original</v>
      </c>
      <c r="T254" s="5" t="str">
        <f>IF($A254="","",IF($P254="","Missing",IF($P254=$N254+$O254,"OK","Mismatch")))</f>
        <v>OK</v>
      </c>
      <c r="U254" s="5" t="str">
        <f>IF($A254="","",IF(COUNTIF($A$2:$A254,$A254)&gt;1,"Duplicate","Unique"))</f>
        <v>Unique</v>
      </c>
      <c r="V254" s="5">
        <f>IF($A254="","",IF(AND($U254="Unique",ISNUMBER($P254)),1,0))</f>
        <v>1</v>
      </c>
      <c r="W254" s="5" t="str">
        <f>IF($A254="","",IF(OR($H254=0,$H254=6),"Weekend","Weekday"))</f>
        <v>Weekday</v>
      </c>
      <c r="X254" s="5" t="str">
        <f>IF($A254="","",TEXT($B254,"ddd"))</f>
        <v>Tue</v>
      </c>
      <c r="Y254" s="5" t="str">
        <f>IF($A254="","",TEXT($B254,"mmm"))</f>
        <v>Jan</v>
      </c>
      <c r="Z254" s="5" t="str">
        <f>IF($A254="","",IFERROR(VLOOKUP($C254,Lookups!$D$4:$E$7,2,FALSE),"Unknown"))</f>
        <v>Winter</v>
      </c>
      <c r="AA254" s="5" t="str">
        <f>IF($A254="","",IFERROR(VLOOKUP($I254,Lookups!$A$4:$B$7,2,FALSE),"Unknown"))</f>
        <v>Light Rain/Snow</v>
      </c>
      <c r="AB254" s="5" t="str">
        <f>IF($A254="","",TEXT($F254,"00")&amp;":00")</f>
        <v>21:00</v>
      </c>
      <c r="AC254" s="5" t="str">
        <f>IF($A254="","",VLOOKUP($F254,Lookups!$G$4:$H$8,2,TRUE))</f>
        <v>Late Evening (20-23)</v>
      </c>
      <c r="AD254" s="18">
        <f>IF($A254="","",IF($J254="","",ROUND($J254*41,1)))</f>
        <v>6.6</v>
      </c>
      <c r="AE254" s="18">
        <f>IF($A254="","",IF($R254="","",ROUND($R254*50,1)))</f>
        <v>9.9</v>
      </c>
      <c r="AF254" s="5">
        <f>IF($A254="","",IF($L254="","",ROUND($L254*100,0)))</f>
        <v>86</v>
      </c>
      <c r="AG254" s="18">
        <f>IF($A254="","",IF($M254="","",ROUND($M254*67,1)))</f>
        <v>6</v>
      </c>
      <c r="AH254" s="19">
        <f>IF($A254="","",IF($P254="","",IF($P254=0,0,$O254/$P254)))</f>
        <v>1</v>
      </c>
      <c r="AI254" s="5" t="str">
        <f>IF($A254="","",IF($P254="","",IF($P254&gt;=Lookups!$K$7,"High",IF($P254&lt;=Lookups!$K$8,"Low","Medium"))))</f>
        <v>Medium</v>
      </c>
      <c r="AJ254" s="5" t="str">
        <f>IF($A254="","",IF($AD254="","",IF($AD254&lt;5,"Under 5 C",IF($AD254&lt;10,"5-10 C",IF($AD254&lt;15,"10-15 C","15 C and above")))))</f>
        <v>5-10 C</v>
      </c>
      <c r="AK254" s="5">
        <f>IF($A254="","",IF($P254="","",$P254^2))</f>
        <v>400</v>
      </c>
      <c r="AL254" s="18">
        <f>IF($V254&lt;&gt;1,"",AVERAGEIFS(Clean_Data!$P$2:$P$1001,Clean_Data!$F$2:$F$1001,$F254,Clean_Data!$W$2:$W$1001,$W254,Clean_Data!$V$2:$V$1001,1))</f>
        <v>50.8965517241379</v>
      </c>
      <c r="AM254" s="16">
        <f>IF($V254&lt;&gt;1,"",IFERROR(($P254-$AL254)/SQRT(MAX(0,(SUMIFS(Clean_Data!$AK$2:$AK$1001,Clean_Data!$F$2:$F$1001,$F254,Clean_Data!$W$2:$W$1001,$W254,Clean_Data!$V$2:$V$1001,1)-COUNTIFS(Clean_Data!$F$2:$F$1001,$F254,Clean_Data!$W$2:$W$1001,$W254,Clean_Data!$V$2:$V$1001,1)*$AL254^2)/(COUNTIFS(Clean_Data!$F$2:$F$1001,$F254,Clean_Data!$W$2:$W$1001,$W254,Clean_Data!$V$2:$V$1001,1)-1))),""))</f>
        <v>-2.23754454336494</v>
      </c>
      <c r="AN254" s="5" t="str">
        <f>IF($AM254="","",IF($AM254&gt;=Lookups!$K$6,"High spike",IF($AM254&lt;=-Lookups!$K$6,"Unusual low","Normal")))</f>
        <v>Normal</v>
      </c>
      <c r="AO254" s="20">
        <f>IF($V254&lt;&gt;1,"",$P254+ROW()/100000)</f>
        <v>20.00254</v>
      </c>
      <c r="AP254" s="5">
        <f>IF($A254="","",IFERROR(MATCH($A254,Raw_D1!$A$2:$A$1001,0),""))</f>
        <v>253</v>
      </c>
      <c r="AQ254" s="5">
        <f>IF($A254="","",IFERROR(MATCH($A254,Raw_D2!$B$2:$B$1001,0),""))</f>
        <v>253</v>
      </c>
      <c r="AR254" s="5">
        <f>IF($A254="","",IFERROR(MATCH($A254,Raw_D3!$A$2:$A$1001,0),""))</f>
        <v/>
      </c>
    </row>
    <row r="255" spans="1:44" x14ac:dyDescent="0.25">
      <c r="A255" s="5">
        <v>254</v>
      </c>
      <c r="B255" s="11">
        <f>IF($A255="","",IF($AP255&lt;&gt;"",INDEX(Raw_D1!$B$2:$B$1001,$AP255),IF($AR255&lt;&gt;"",INDEX(Raw_D3!$B$2:$B$1001,$AR255),"")))</f>
        <v>40554.0</v>
      </c>
      <c r="C255" s="5">
        <f>IF($A255="","",IF($AP255&lt;&gt;"",INDEX(Raw_D1!$C$2:$C$1001,$AP255),IF($AR255&lt;&gt;"",INDEX(Raw_D3!$C$2:$C$1001,$AR255),"")))</f>
        <v>1</v>
      </c>
      <c r="D255" s="5">
        <f>IF($A255="","",IF($AP255&lt;&gt;"",INDEX(Raw_D1!$D$2:$D$1001,$AP255),IF($AR255&lt;&gt;"",INDEX(Raw_D3!$D$2:$D$1001,$AR255),"")))</f>
        <v>0</v>
      </c>
      <c r="E255" s="5">
        <f>IF($A255="","",IF($AP255&lt;&gt;"",INDEX(Raw_D1!$E$2:$E$1001,$AP255),IF($AR255&lt;&gt;"",INDEX(Raw_D3!$E$2:$E$1001,$AR255),"")))</f>
        <v>1</v>
      </c>
      <c r="F255" s="5">
        <f>IF($A255="","",IF($AP255&lt;&gt;"",INDEX(Raw_D1!$F$2:$F$1001,$AP255),IF($AR255&lt;&gt;"",INDEX(Raw_D3!$F$2:$F$1001,$AR255),"")))</f>
        <v>22</v>
      </c>
      <c r="G255" s="5">
        <f>IF($A255="","",IF($AP255&lt;&gt;"",IF(INDEX(Raw_D1!$G$2:$G$1001,$AP255),1,0),IF($AR255&lt;&gt;"",IF(INDEX(Raw_D3!$G$2:$G$1001,$AR255),1,0),"")))</f>
        <v>0</v>
      </c>
      <c r="H255" s="5">
        <f>IF($A255="","",IF($AP255&lt;&gt;"",INDEX(Raw_D1!$H$2:$H$1001,$AP255),IF($AR255&lt;&gt;"",INDEX(Raw_D3!$H$2:$H$1001,$AR255),"")))</f>
        <v>2</v>
      </c>
      <c r="I255" s="5">
        <f>IF($A255="","",IF($AP255&lt;&gt;"",INDEX(Raw_D1!$I$2:$I$1001,$AP255),IF($AR255&lt;&gt;"",INDEX(Raw_D3!$I$2:$I$1001,$AR255),"")))</f>
        <v>3</v>
      </c>
      <c r="J255" s="16">
        <f>IF($A255="","",IF($AP255&lt;&gt;"",INDEX(Raw_D1!$J$2:$J$1001,$AP255),IF($AR255&lt;&gt;"",INDEX(Raw_D3!$J$2:$J$1001,$AR255),"")))</f>
        <v>0.16</v>
      </c>
      <c r="K255" s="17">
        <f>IF($A255="","",IF($AQ255&lt;&gt;"",IF(INDEX(Raw_D2!$C$2:$C$1001,$AQ255)="","",INDEX(Raw_D2!$C$2:$C$1001,$AQ255)),IF($AR255&lt;&gt;"",IF(INDEX(Raw_D3!$K$2:$K$1001,$AR255)="","",INDEX(Raw_D3!$K$2:$K$1001,$AR255)),"")))</f>
        <v>0.1818</v>
      </c>
      <c r="L255" s="16">
        <f>IF($A255="","",IF($AQ255&lt;&gt;"",IF(INDEX(Raw_D2!$D$2:$D$1001,$AQ255)="","",INDEX(Raw_D2!$D$2:$D$1001,$AQ255)),IF($AR255&lt;&gt;"",IF(INDEX(Raw_D3!$L$2:$L$1001,$AR255)="","",INDEX(Raw_D3!$L$2:$L$1001,$AR255)),"")))</f>
        <v>0.93</v>
      </c>
      <c r="M255" s="17">
        <f>IF($A255="","",IF($AQ255&lt;&gt;"",IF(INDEX(Raw_D2!$E$2:$E$1001,$AQ255)="","",INDEX(Raw_D2!$E$2:$E$1001,$AQ255)),IF($AR255&lt;&gt;"",IF(INDEX(Raw_D3!$M$2:$M$1001,$AR255)="","",INDEX(Raw_D3!$M$2:$M$1001,$AR255)),"")))</f>
        <v>0.1045</v>
      </c>
      <c r="N255" s="5">
        <f>IF($A255="","",IF($AQ255&lt;&gt;"",IF(INDEX(Raw_D2!$F$2:$F$1001,$AQ255)="","",INDEX(Raw_D2!$F$2:$F$1001,$AQ255)),IF($AR255&lt;&gt;"",IF(INDEX(Raw_D3!$N$2:$N$1001,$AR255)="","",INDEX(Raw_D3!$N$2:$N$1001,$AR255)),"")))</f>
        <v>1</v>
      </c>
      <c r="O255" s="5">
        <f>IF($A255="","",IF($AQ255&lt;&gt;"",IF(INDEX(Raw_D2!$G$2:$G$1001,$AQ255)="","",INDEX(Raw_D2!$G$2:$G$1001,$AQ255)),IF($AR255&lt;&gt;"",IF(INDEX(Raw_D3!$O$2:$O$1001,$AR255)="","",INDEX(Raw_D3!$O$2:$O$1001,$AR255)),"")))</f>
        <v>28</v>
      </c>
      <c r="P255" s="5">
        <f>IF($A255="","",IF($AQ255&lt;&gt;"",IF(INDEX(Raw_D2!$H$2:$H$1001,$AQ255)="","",INDEX(Raw_D2!$H$2:$H$1001,$AQ255)),IF($AR255&lt;&gt;"",IF(INDEX(Raw_D3!$P$2:$P$1001,$AR255)="","",INDEX(Raw_D3!$P$2:$P$1001,$AR255)),"")))</f>
        <v>29</v>
      </c>
      <c r="Q255" s="5" t="str">
        <f>IF($A255="","",IF(AND($AP255&lt;&gt;"",$AQ255&lt;&gt;""),"D1+D2",IF($AR255&lt;&gt;"","D3","Incomplete")))</f>
        <v>D1+D2</v>
      </c>
      <c r="R255" s="17">
        <f>IF($A255="","",IF($K255="",IF($J255="","",ROUND(Lookups!$K$5+Lookups!$K$4*$J255,4)),$K255))</f>
        <v>0.1818</v>
      </c>
      <c r="S255" s="5" t="str">
        <f>IF($A255="","",IF($K255="","Imputed","Original"))</f>
        <v>Original</v>
      </c>
      <c r="T255" s="5" t="str">
        <f>IF($A255="","",IF($P255="","Missing",IF($P255=$N255+$O255,"OK","Mismatch")))</f>
        <v>OK</v>
      </c>
      <c r="U255" s="5" t="str">
        <f>IF($A255="","",IF(COUNTIF($A$2:$A255,$A255)&gt;1,"Duplicate","Unique"))</f>
        <v>Unique</v>
      </c>
      <c r="V255" s="5">
        <f>IF($A255="","",IF(AND($U255="Unique",ISNUMBER($P255)),1,0))</f>
        <v>1</v>
      </c>
      <c r="W255" s="5" t="str">
        <f>IF($A255="","",IF(OR($H255=0,$H255=6),"Weekend","Weekday"))</f>
        <v>Weekday</v>
      </c>
      <c r="X255" s="5" t="str">
        <f>IF($A255="","",TEXT($B255,"ddd"))</f>
        <v>Tue</v>
      </c>
      <c r="Y255" s="5" t="str">
        <f>IF($A255="","",TEXT($B255,"mmm"))</f>
        <v>Jan</v>
      </c>
      <c r="Z255" s="5" t="str">
        <f>IF($A255="","",IFERROR(VLOOKUP($C255,Lookups!$D$4:$E$7,2,FALSE),"Unknown"))</f>
        <v>Winter</v>
      </c>
      <c r="AA255" s="5" t="str">
        <f>IF($A255="","",IFERROR(VLOOKUP($I255,Lookups!$A$4:$B$7,2,FALSE),"Unknown"))</f>
        <v>Light Rain/Snow</v>
      </c>
      <c r="AB255" s="5" t="str">
        <f>IF($A255="","",TEXT($F255,"00")&amp;":00")</f>
        <v>22:00</v>
      </c>
      <c r="AC255" s="5" t="str">
        <f>IF($A255="","",VLOOKUP($F255,Lookups!$G$4:$H$8,2,TRUE))</f>
        <v>Late Evening (20-23)</v>
      </c>
      <c r="AD255" s="18">
        <f>IF($A255="","",IF($J255="","",ROUND($J255*41,1)))</f>
        <v>6.6</v>
      </c>
      <c r="AE255" s="18">
        <f>IF($A255="","",IF($R255="","",ROUND($R255*50,1)))</f>
        <v>9.1</v>
      </c>
      <c r="AF255" s="5">
        <f>IF($A255="","",IF($L255="","",ROUND($L255*100,0)))</f>
        <v>93</v>
      </c>
      <c r="AG255" s="18">
        <f>IF($A255="","",IF($M255="","",ROUND($M255*67,1)))</f>
        <v>7</v>
      </c>
      <c r="AH255" s="19">
        <f>IF($A255="","",IF($P255="","",IF($P255=0,0,$O255/$P255)))</f>
        <v>0.96551724137931</v>
      </c>
      <c r="AI255" s="5" t="str">
        <f>IF($A255="","",IF($P255="","",IF($P255&gt;=Lookups!$K$7,"High",IF($P255&lt;=Lookups!$K$8,"Low","Medium"))))</f>
        <v>Medium</v>
      </c>
      <c r="AJ255" s="5" t="str">
        <f>IF($A255="","",IF($AD255="","",IF($AD255&lt;5,"Under 5 C",IF($AD255&lt;10,"5-10 C",IF($AD255&lt;15,"10-15 C","15 C and above")))))</f>
        <v>5-10 C</v>
      </c>
      <c r="AK255" s="5">
        <f>IF($A255="","",IF($P255="","",$P255^2))</f>
        <v>841</v>
      </c>
      <c r="AL255" s="18">
        <f>IF($V255&lt;&gt;1,"",AVERAGEIFS(Clean_Data!$P$2:$P$1001,Clean_Data!$F$2:$F$1001,$F255,Clean_Data!$W$2:$W$1001,$W255,Clean_Data!$V$2:$V$1001,1))</f>
        <v>37.1034482758621</v>
      </c>
      <c r="AM255" s="16">
        <f>IF($V255&lt;&gt;1,"",IFERROR(($P255-$AL255)/SQRT(MAX(0,(SUMIFS(Clean_Data!$AK$2:$AK$1001,Clean_Data!$F$2:$F$1001,$F255,Clean_Data!$W$2:$W$1001,$W255,Clean_Data!$V$2:$V$1001,1)-COUNTIFS(Clean_Data!$F$2:$F$1001,$F255,Clean_Data!$W$2:$W$1001,$W255,Clean_Data!$V$2:$V$1001,1)*$AL255^2)/(COUNTIFS(Clean_Data!$F$2:$F$1001,$F255,Clean_Data!$W$2:$W$1001,$W255,Clean_Data!$V$2:$V$1001,1)-1))),""))</f>
        <v>-0.750690633387597</v>
      </c>
      <c r="AN255" s="5" t="str">
        <f>IF($AM255="","",IF($AM255&gt;=Lookups!$K$6,"High spike",IF($AM255&lt;=-Lookups!$K$6,"Unusual low","Normal")))</f>
        <v>Normal</v>
      </c>
      <c r="AO255" s="20">
        <f>IF($V255&lt;&gt;1,"",$P255+ROW()/100000)</f>
        <v>29.00255</v>
      </c>
      <c r="AP255" s="5">
        <f>IF($A255="","",IFERROR(MATCH($A255,Raw_D1!$A$2:$A$1001,0),""))</f>
        <v>254</v>
      </c>
      <c r="AQ255" s="5">
        <f>IF($A255="","",IFERROR(MATCH($A255,Raw_D2!$B$2:$B$1001,0),""))</f>
        <v>254</v>
      </c>
      <c r="AR255" s="5">
        <f>IF($A255="","",IFERROR(MATCH($A255,Raw_D3!$A$2:$A$1001,0),""))</f>
        <v/>
      </c>
    </row>
    <row r="256" spans="1:44" x14ac:dyDescent="0.25">
      <c r="A256" s="5">
        <v>255</v>
      </c>
      <c r="B256" s="11">
        <f>IF($A256="","",IF($AP256&lt;&gt;"",INDEX(Raw_D1!$B$2:$B$1001,$AP256),IF($AR256&lt;&gt;"",INDEX(Raw_D3!$B$2:$B$1001,$AR256),"")))</f>
        <v>40554.0</v>
      </c>
      <c r="C256" s="5">
        <f>IF($A256="","",IF($AP256&lt;&gt;"",INDEX(Raw_D1!$C$2:$C$1001,$AP256),IF($AR256&lt;&gt;"",INDEX(Raw_D3!$C$2:$C$1001,$AR256),"")))</f>
        <v>1</v>
      </c>
      <c r="D256" s="5">
        <f>IF($A256="","",IF($AP256&lt;&gt;"",INDEX(Raw_D1!$D$2:$D$1001,$AP256),IF($AR256&lt;&gt;"",INDEX(Raw_D3!$D$2:$D$1001,$AR256),"")))</f>
        <v>0</v>
      </c>
      <c r="E256" s="5">
        <f>IF($A256="","",IF($AP256&lt;&gt;"",INDEX(Raw_D1!$E$2:$E$1001,$AP256),IF($AR256&lt;&gt;"",INDEX(Raw_D3!$E$2:$E$1001,$AR256),"")))</f>
        <v>1</v>
      </c>
      <c r="F256" s="5">
        <f>IF($A256="","",IF($AP256&lt;&gt;"",INDEX(Raw_D1!$F$2:$F$1001,$AP256),IF($AR256&lt;&gt;"",INDEX(Raw_D3!$F$2:$F$1001,$AR256),"")))</f>
        <v>23</v>
      </c>
      <c r="G256" s="5">
        <f>IF($A256="","",IF($AP256&lt;&gt;"",IF(INDEX(Raw_D1!$G$2:$G$1001,$AP256),1,0),IF($AR256&lt;&gt;"",IF(INDEX(Raw_D3!$G$2:$G$1001,$AR256),1,0),"")))</f>
        <v>0</v>
      </c>
      <c r="H256" s="5">
        <f>IF($A256="","",IF($AP256&lt;&gt;"",INDEX(Raw_D1!$H$2:$H$1001,$AP256),IF($AR256&lt;&gt;"",INDEX(Raw_D3!$H$2:$H$1001,$AR256),"")))</f>
        <v>2</v>
      </c>
      <c r="I256" s="5">
        <f>IF($A256="","",IF($AP256&lt;&gt;"",INDEX(Raw_D1!$I$2:$I$1001,$AP256),IF($AR256&lt;&gt;"",INDEX(Raw_D3!$I$2:$I$1001,$AR256),"")))</f>
        <v>3</v>
      </c>
      <c r="J256" s="16">
        <f>IF($A256="","",IF($AP256&lt;&gt;"",INDEX(Raw_D1!$J$2:$J$1001,$AP256),IF($AR256&lt;&gt;"",INDEX(Raw_D3!$J$2:$J$1001,$AR256),"")))</f>
        <v>0.16</v>
      </c>
      <c r="K256" s="17">
        <f>IF($A256="","",IF($AQ256&lt;&gt;"",IF(INDEX(Raw_D2!$C$2:$C$1001,$AQ256)="","",INDEX(Raw_D2!$C$2:$C$1001,$AQ256)),IF($AR256&lt;&gt;"",IF(INDEX(Raw_D3!$K$2:$K$1001,$AR256)="","",INDEX(Raw_D3!$K$2:$K$1001,$AR256)),"")))</f>
        <v>0.197</v>
      </c>
      <c r="L256" s="16">
        <f>IF($A256="","",IF($AQ256&lt;&gt;"",IF(INDEX(Raw_D2!$D$2:$D$1001,$AQ256)="","",INDEX(Raw_D2!$D$2:$D$1001,$AQ256)),IF($AR256&lt;&gt;"",IF(INDEX(Raw_D3!$L$2:$L$1001,$AR256)="","",INDEX(Raw_D3!$L$2:$L$1001,$AR256)),"")))</f>
        <v>0.93</v>
      </c>
      <c r="M256" s="17">
        <f>IF($A256="","",IF($AQ256&lt;&gt;"",IF(INDEX(Raw_D2!$E$2:$E$1001,$AQ256)="","",INDEX(Raw_D2!$E$2:$E$1001,$AQ256)),IF($AR256&lt;&gt;"",IF(INDEX(Raw_D3!$M$2:$M$1001,$AR256)="","",INDEX(Raw_D3!$M$2:$M$1001,$AR256)),"")))</f>
        <v>0.0896</v>
      </c>
      <c r="N256" s="5">
        <f>IF($A256="","",IF($AQ256&lt;&gt;"",IF(INDEX(Raw_D2!$F$2:$F$1001,$AQ256)="","",INDEX(Raw_D2!$F$2:$F$1001,$AQ256)),IF($AR256&lt;&gt;"",IF(INDEX(Raw_D3!$N$2:$N$1001,$AR256)="","",INDEX(Raw_D3!$N$2:$N$1001,$AR256)),"")))</f>
        <v>1</v>
      </c>
      <c r="O256" s="5">
        <f>IF($A256="","",IF($AQ256&lt;&gt;"",IF(INDEX(Raw_D2!$G$2:$G$1001,$AQ256)="","",INDEX(Raw_D2!$G$2:$G$1001,$AQ256)),IF($AR256&lt;&gt;"",IF(INDEX(Raw_D3!$O$2:$O$1001,$AR256)="","",INDEX(Raw_D3!$O$2:$O$1001,$AR256)),"")))</f>
        <v>18</v>
      </c>
      <c r="P256" s="5">
        <f>IF($A256="","",IF($AQ256&lt;&gt;"",IF(INDEX(Raw_D2!$H$2:$H$1001,$AQ256)="","",INDEX(Raw_D2!$H$2:$H$1001,$AQ256)),IF($AR256&lt;&gt;"",IF(INDEX(Raw_D3!$P$2:$P$1001,$AR256)="","",INDEX(Raw_D3!$P$2:$P$1001,$AR256)),"")))</f>
        <v>19</v>
      </c>
      <c r="Q256" s="5" t="str">
        <f>IF($A256="","",IF(AND($AP256&lt;&gt;"",$AQ256&lt;&gt;""),"D1+D2",IF($AR256&lt;&gt;"","D3","Incomplete")))</f>
        <v>D1+D2</v>
      </c>
      <c r="R256" s="17">
        <f>IF($A256="","",IF($K256="",IF($J256="","",ROUND(Lookups!$K$5+Lookups!$K$4*$J256,4)),$K256))</f>
        <v>0.197</v>
      </c>
      <c r="S256" s="5" t="str">
        <f>IF($A256="","",IF($K256="","Imputed","Original"))</f>
        <v>Original</v>
      </c>
      <c r="T256" s="5" t="str">
        <f>IF($A256="","",IF($P256="","Missing",IF($P256=$N256+$O256,"OK","Mismatch")))</f>
        <v>OK</v>
      </c>
      <c r="U256" s="5" t="str">
        <f>IF($A256="","",IF(COUNTIF($A$2:$A256,$A256)&gt;1,"Duplicate","Unique"))</f>
        <v>Unique</v>
      </c>
      <c r="V256" s="5">
        <f>IF($A256="","",IF(AND($U256="Unique",ISNUMBER($P256)),1,0))</f>
        <v>1</v>
      </c>
      <c r="W256" s="5" t="str">
        <f>IF($A256="","",IF(OR($H256=0,$H256=6),"Weekend","Weekday"))</f>
        <v>Weekday</v>
      </c>
      <c r="X256" s="5" t="str">
        <f>IF($A256="","",TEXT($B256,"ddd"))</f>
        <v>Tue</v>
      </c>
      <c r="Y256" s="5" t="str">
        <f>IF($A256="","",TEXT($B256,"mmm"))</f>
        <v>Jan</v>
      </c>
      <c r="Z256" s="5" t="str">
        <f>IF($A256="","",IFERROR(VLOOKUP($C256,Lookups!$D$4:$E$7,2,FALSE),"Unknown"))</f>
        <v>Winter</v>
      </c>
      <c r="AA256" s="5" t="str">
        <f>IF($A256="","",IFERROR(VLOOKUP($I256,Lookups!$A$4:$B$7,2,FALSE),"Unknown"))</f>
        <v>Light Rain/Snow</v>
      </c>
      <c r="AB256" s="5" t="str">
        <f>IF($A256="","",TEXT($F256,"00")&amp;":00")</f>
        <v>23:00</v>
      </c>
      <c r="AC256" s="5" t="str">
        <f>IF($A256="","",VLOOKUP($F256,Lookups!$G$4:$H$8,2,TRUE))</f>
        <v>Late Evening (20-23)</v>
      </c>
      <c r="AD256" s="18">
        <f>IF($A256="","",IF($J256="","",ROUND($J256*41,1)))</f>
        <v>6.6</v>
      </c>
      <c r="AE256" s="18">
        <f>IF($A256="","",IF($R256="","",ROUND($R256*50,1)))</f>
        <v>9.9</v>
      </c>
      <c r="AF256" s="5">
        <f>IF($A256="","",IF($L256="","",ROUND($L256*100,0)))</f>
        <v>93</v>
      </c>
      <c r="AG256" s="18">
        <f>IF($A256="","",IF($M256="","",ROUND($M256*67,1)))</f>
        <v>6</v>
      </c>
      <c r="AH256" s="19">
        <f>IF($A256="","",IF($P256="","",IF($P256=0,0,$O256/$P256)))</f>
        <v>0.947368421052632</v>
      </c>
      <c r="AI256" s="5" t="str">
        <f>IF($A256="","",IF($P256="","",IF($P256&gt;=Lookups!$K$7,"High",IF($P256&lt;=Lookups!$K$8,"Low","Medium"))))</f>
        <v>Medium</v>
      </c>
      <c r="AJ256" s="5" t="str">
        <f>IF($A256="","",IF($AD256="","",IF($AD256&lt;5,"Under 5 C",IF($AD256&lt;10,"5-10 C",IF($AD256&lt;15,"10-15 C","15 C and above")))))</f>
        <v>5-10 C</v>
      </c>
      <c r="AK256" s="5">
        <f>IF($A256="","",IF($P256="","",$P256^2))</f>
        <v>361</v>
      </c>
      <c r="AL256" s="18">
        <f>IF($V256&lt;&gt;1,"",AVERAGEIFS(Clean_Data!$P$2:$P$1001,Clean_Data!$F$2:$F$1001,$F256,Clean_Data!$W$2:$W$1001,$W256,Clean_Data!$V$2:$V$1001,1))</f>
        <v>23.6896551724138</v>
      </c>
      <c r="AM256" s="16">
        <f>IF($V256&lt;&gt;1,"",IFERROR(($P256-$AL256)/SQRT(MAX(0,(SUMIFS(Clean_Data!$AK$2:$AK$1001,Clean_Data!$F$2:$F$1001,$F256,Clean_Data!$W$2:$W$1001,$W256,Clean_Data!$V$2:$V$1001,1)-COUNTIFS(Clean_Data!$F$2:$F$1001,$F256,Clean_Data!$W$2:$W$1001,$W256,Clean_Data!$V$2:$V$1001,1)*$AL256^2)/(COUNTIFS(Clean_Data!$F$2:$F$1001,$F256,Clean_Data!$W$2:$W$1001,$W256,Clean_Data!$V$2:$V$1001,1)-1))),""))</f>
        <v>-0.447707836610987</v>
      </c>
      <c r="AN256" s="5" t="str">
        <f>IF($AM256="","",IF($AM256&gt;=Lookups!$K$6,"High spike",IF($AM256&lt;=-Lookups!$K$6,"Unusual low","Normal")))</f>
        <v>Normal</v>
      </c>
      <c r="AO256" s="20">
        <f>IF($V256&lt;&gt;1,"",$P256+ROW()/100000)</f>
        <v>19.00256</v>
      </c>
      <c r="AP256" s="5">
        <f>IF($A256="","",IFERROR(MATCH($A256,Raw_D1!$A$2:$A$1001,0),""))</f>
        <v>255</v>
      </c>
      <c r="AQ256" s="5">
        <f>IF($A256="","",IFERROR(MATCH($A256,Raw_D2!$B$2:$B$1001,0),""))</f>
        <v>255</v>
      </c>
      <c r="AR256" s="5">
        <f>IF($A256="","",IFERROR(MATCH($A256,Raw_D3!$A$2:$A$1001,0),""))</f>
        <v/>
      </c>
    </row>
    <row r="257" spans="1:44" x14ac:dyDescent="0.25">
      <c r="A257" s="5">
        <v>256</v>
      </c>
      <c r="B257" s="11">
        <f>IF($A257="","",IF($AP257&lt;&gt;"",INDEX(Raw_D1!$B$2:$B$1001,$AP257),IF($AR257&lt;&gt;"",INDEX(Raw_D3!$B$2:$B$1001,$AR257),"")))</f>
        <v>40555.0</v>
      </c>
      <c r="C257" s="5">
        <f>IF($A257="","",IF($AP257&lt;&gt;"",INDEX(Raw_D1!$C$2:$C$1001,$AP257),IF($AR257&lt;&gt;"",INDEX(Raw_D3!$C$2:$C$1001,$AR257),"")))</f>
        <v>1</v>
      </c>
      <c r="D257" s="5">
        <f>IF($A257="","",IF($AP257&lt;&gt;"",INDEX(Raw_D1!$D$2:$D$1001,$AP257),IF($AR257&lt;&gt;"",INDEX(Raw_D3!$D$2:$D$1001,$AR257),"")))</f>
        <v>0</v>
      </c>
      <c r="E257" s="5">
        <f>IF($A257="","",IF($AP257&lt;&gt;"",INDEX(Raw_D1!$E$2:$E$1001,$AP257),IF($AR257&lt;&gt;"",INDEX(Raw_D3!$E$2:$E$1001,$AR257),"")))</f>
        <v>1</v>
      </c>
      <c r="F257" s="5">
        <f>IF($A257="","",IF($AP257&lt;&gt;"",INDEX(Raw_D1!$F$2:$F$1001,$AP257),IF($AR257&lt;&gt;"",INDEX(Raw_D3!$F$2:$F$1001,$AR257),"")))</f>
        <v>0</v>
      </c>
      <c r="G257" s="5">
        <f>IF($A257="","",IF($AP257&lt;&gt;"",IF(INDEX(Raw_D1!$G$2:$G$1001,$AP257),1,0),IF($AR257&lt;&gt;"",IF(INDEX(Raw_D3!$G$2:$G$1001,$AR257),1,0),"")))</f>
        <v>0</v>
      </c>
      <c r="H257" s="5">
        <f>IF($A257="","",IF($AP257&lt;&gt;"",INDEX(Raw_D1!$H$2:$H$1001,$AP257),IF($AR257&lt;&gt;"",INDEX(Raw_D3!$H$2:$H$1001,$AR257),"")))</f>
        <v>3</v>
      </c>
      <c r="I257" s="5">
        <f>IF($A257="","",IF($AP257&lt;&gt;"",INDEX(Raw_D1!$I$2:$I$1001,$AP257),IF($AR257&lt;&gt;"",INDEX(Raw_D3!$I$2:$I$1001,$AR257),"")))</f>
        <v>2</v>
      </c>
      <c r="J257" s="16">
        <f>IF($A257="","",IF($AP257&lt;&gt;"",INDEX(Raw_D1!$J$2:$J$1001,$AP257),IF($AR257&lt;&gt;"",INDEX(Raw_D3!$J$2:$J$1001,$AR257),"")))</f>
        <v>0.16</v>
      </c>
      <c r="K257" s="17">
        <f>IF($A257="","",IF($AQ257&lt;&gt;"",IF(INDEX(Raw_D2!$C$2:$C$1001,$AQ257)="","",INDEX(Raw_D2!$C$2:$C$1001,$AQ257)),IF($AR257&lt;&gt;"",IF(INDEX(Raw_D3!$K$2:$K$1001,$AR257)="","",INDEX(Raw_D3!$K$2:$K$1001,$AR257)),"")))</f>
        <v>0.197</v>
      </c>
      <c r="L257" s="16">
        <f>IF($A257="","",IF($AQ257&lt;&gt;"",IF(INDEX(Raw_D2!$D$2:$D$1001,$AQ257)="","",INDEX(Raw_D2!$D$2:$D$1001,$AQ257)),IF($AR257&lt;&gt;"",IF(INDEX(Raw_D3!$L$2:$L$1001,$AR257)="","",INDEX(Raw_D3!$L$2:$L$1001,$AR257)),"")))</f>
        <v>0.86</v>
      </c>
      <c r="M257" s="17">
        <f>IF($A257="","",IF($AQ257&lt;&gt;"",IF(INDEX(Raw_D2!$E$2:$E$1001,$AQ257)="","",INDEX(Raw_D2!$E$2:$E$1001,$AQ257)),IF($AR257&lt;&gt;"",IF(INDEX(Raw_D3!$M$2:$M$1001,$AR257)="","",INDEX(Raw_D3!$M$2:$M$1001,$AR257)),"")))</f>
        <v>0.0896</v>
      </c>
      <c r="N257" s="5">
        <f>IF($A257="","",IF($AQ257&lt;&gt;"",IF(INDEX(Raw_D2!$F$2:$F$1001,$AQ257)="","",INDEX(Raw_D2!$F$2:$F$1001,$AQ257)),IF($AR257&lt;&gt;"",IF(INDEX(Raw_D3!$N$2:$N$1001,$AR257)="","",INDEX(Raw_D3!$N$2:$N$1001,$AR257)),"")))</f>
        <v>0</v>
      </c>
      <c r="O257" s="5">
        <f>IF($A257="","",IF($AQ257&lt;&gt;"",IF(INDEX(Raw_D2!$G$2:$G$1001,$AQ257)="","",INDEX(Raw_D2!$G$2:$G$1001,$AQ257)),IF($AR257&lt;&gt;"",IF(INDEX(Raw_D3!$O$2:$O$1001,$AR257)="","",INDEX(Raw_D3!$O$2:$O$1001,$AR257)),"")))</f>
        <v>7</v>
      </c>
      <c r="P257" s="5">
        <f>IF($A257="","",IF($AQ257&lt;&gt;"",IF(INDEX(Raw_D2!$H$2:$H$1001,$AQ257)="","",INDEX(Raw_D2!$H$2:$H$1001,$AQ257)),IF($AR257&lt;&gt;"",IF(INDEX(Raw_D3!$P$2:$P$1001,$AR257)="","",INDEX(Raw_D3!$P$2:$P$1001,$AR257)),"")))</f>
        <v>7</v>
      </c>
      <c r="Q257" s="5" t="str">
        <f>IF($A257="","",IF(AND($AP257&lt;&gt;"",$AQ257&lt;&gt;""),"D1+D2",IF($AR257&lt;&gt;"","D3","Incomplete")))</f>
        <v>D1+D2</v>
      </c>
      <c r="R257" s="17">
        <f>IF($A257="","",IF($K257="",IF($J257="","",ROUND(Lookups!$K$5+Lookups!$K$4*$J257,4)),$K257))</f>
        <v>0.197</v>
      </c>
      <c r="S257" s="5" t="str">
        <f>IF($A257="","",IF($K257="","Imputed","Original"))</f>
        <v>Original</v>
      </c>
      <c r="T257" s="5" t="str">
        <f>IF($A257="","",IF($P257="","Missing",IF($P257=$N257+$O257,"OK","Mismatch")))</f>
        <v>OK</v>
      </c>
      <c r="U257" s="5" t="str">
        <f>IF($A257="","",IF(COUNTIF($A$2:$A257,$A257)&gt;1,"Duplicate","Unique"))</f>
        <v>Unique</v>
      </c>
      <c r="V257" s="5">
        <f>IF($A257="","",IF(AND($U257="Unique",ISNUMBER($P257)),1,0))</f>
        <v>1</v>
      </c>
      <c r="W257" s="5" t="str">
        <f>IF($A257="","",IF(OR($H257=0,$H257=6),"Weekend","Weekday"))</f>
        <v>Weekday</v>
      </c>
      <c r="X257" s="5" t="str">
        <f>IF($A257="","",TEXT($B257,"ddd"))</f>
        <v>Wed</v>
      </c>
      <c r="Y257" s="5" t="str">
        <f>IF($A257="","",TEXT($B257,"mmm"))</f>
        <v>Jan</v>
      </c>
      <c r="Z257" s="5" t="str">
        <f>IF($A257="","",IFERROR(VLOOKUP($C257,Lookups!$D$4:$E$7,2,FALSE),"Unknown"))</f>
        <v>Winter</v>
      </c>
      <c r="AA257" s="5" t="str">
        <f>IF($A257="","",IFERROR(VLOOKUP($I257,Lookups!$A$4:$B$7,2,FALSE),"Unknown"))</f>
        <v>Mist/Cloudy</v>
      </c>
      <c r="AB257" s="5" t="str">
        <f>IF($A257="","",TEXT($F257,"00")&amp;":00")</f>
        <v>00:00</v>
      </c>
      <c r="AC257" s="5" t="str">
        <f>IF($A257="","",VLOOKUP($F257,Lookups!$G$4:$H$8,2,TRUE))</f>
        <v>Night (00-05)</v>
      </c>
      <c r="AD257" s="18">
        <f>IF($A257="","",IF($J257="","",ROUND($J257*41,1)))</f>
        <v>6.6</v>
      </c>
      <c r="AE257" s="18">
        <f>IF($A257="","",IF($R257="","",ROUND($R257*50,1)))</f>
        <v>9.9</v>
      </c>
      <c r="AF257" s="5">
        <f>IF($A257="","",IF($L257="","",ROUND($L257*100,0)))</f>
        <v>86</v>
      </c>
      <c r="AG257" s="18">
        <f>IF($A257="","",IF($M257="","",ROUND($M257*67,1)))</f>
        <v>6</v>
      </c>
      <c r="AH257" s="19">
        <f>IF($A257="","",IF($P257="","",IF($P257=0,0,$O257/$P257)))</f>
        <v>1</v>
      </c>
      <c r="AI257" s="5" t="str">
        <f>IF($A257="","",IF($P257="","",IF($P257&gt;=Lookups!$K$7,"High",IF($P257&lt;=Lookups!$K$8,"Low","Medium"))))</f>
        <v>Low</v>
      </c>
      <c r="AJ257" s="5" t="str">
        <f>IF($A257="","",IF($AD257="","",IF($AD257&lt;5,"Under 5 C",IF($AD257&lt;10,"5-10 C",IF($AD257&lt;15,"10-15 C","15 C and above")))))</f>
        <v>5-10 C</v>
      </c>
      <c r="AK257" s="5">
        <f>IF($A257="","",IF($P257="","",$P257^2))</f>
        <v>49</v>
      </c>
      <c r="AL257" s="18">
        <f>IF($V257&lt;&gt;1,"",AVERAGEIFS(Clean_Data!$P$2:$P$1001,Clean_Data!$F$2:$F$1001,$F257,Clean_Data!$W$2:$W$1001,$W257,Clean_Data!$V$2:$V$1001,1))</f>
        <v>10.6896551724138</v>
      </c>
      <c r="AM257" s="16">
        <f>IF($V257&lt;&gt;1,"",IFERROR(($P257-$AL257)/SQRT(MAX(0,(SUMIFS(Clean_Data!$AK$2:$AK$1001,Clean_Data!$F$2:$F$1001,$F257,Clean_Data!$W$2:$W$1001,$W257,Clean_Data!$V$2:$V$1001,1)-COUNTIFS(Clean_Data!$F$2:$F$1001,$F257,Clean_Data!$W$2:$W$1001,$W257,Clean_Data!$V$2:$V$1001,1)*$AL257^2)/(COUNTIFS(Clean_Data!$F$2:$F$1001,$F257,Clean_Data!$W$2:$W$1001,$W257,Clean_Data!$V$2:$V$1001,1)-1))),""))</f>
        <v>-0.754154538911626</v>
      </c>
      <c r="AN257" s="5" t="str">
        <f>IF($AM257="","",IF($AM257&gt;=Lookups!$K$6,"High spike",IF($AM257&lt;=-Lookups!$K$6,"Unusual low","Normal")))</f>
        <v>Normal</v>
      </c>
      <c r="AO257" s="20">
        <f>IF($V257&lt;&gt;1,"",$P257+ROW()/100000)</f>
        <v>7.00257</v>
      </c>
      <c r="AP257" s="5">
        <f>IF($A257="","",IFERROR(MATCH($A257,Raw_D1!$A$2:$A$1001,0),""))</f>
        <v>256</v>
      </c>
      <c r="AQ257" s="5">
        <f>IF($A257="","",IFERROR(MATCH($A257,Raw_D2!$B$2:$B$1001,0),""))</f>
        <v>256</v>
      </c>
      <c r="AR257" s="5">
        <f>IF($A257="","",IFERROR(MATCH($A257,Raw_D3!$A$2:$A$1001,0),""))</f>
        <v/>
      </c>
    </row>
    <row r="258" spans="1:44" x14ac:dyDescent="0.25">
      <c r="A258" s="5">
        <v>257</v>
      </c>
      <c r="B258" s="11">
        <f>IF($A258="","",IF($AP258&lt;&gt;"",INDEX(Raw_D1!$B$2:$B$1001,$AP258),IF($AR258&lt;&gt;"",INDEX(Raw_D3!$B$2:$B$1001,$AR258),"")))</f>
        <v>40555.0</v>
      </c>
      <c r="C258" s="5">
        <f>IF($A258="","",IF($AP258&lt;&gt;"",INDEX(Raw_D1!$C$2:$C$1001,$AP258),IF($AR258&lt;&gt;"",INDEX(Raw_D3!$C$2:$C$1001,$AR258),"")))</f>
        <v>1</v>
      </c>
      <c r="D258" s="5">
        <f>IF($A258="","",IF($AP258&lt;&gt;"",INDEX(Raw_D1!$D$2:$D$1001,$AP258),IF($AR258&lt;&gt;"",INDEX(Raw_D3!$D$2:$D$1001,$AR258),"")))</f>
        <v>0</v>
      </c>
      <c r="E258" s="5">
        <f>IF($A258="","",IF($AP258&lt;&gt;"",INDEX(Raw_D1!$E$2:$E$1001,$AP258),IF($AR258&lt;&gt;"",INDEX(Raw_D3!$E$2:$E$1001,$AR258),"")))</f>
        <v>1</v>
      </c>
      <c r="F258" s="5">
        <f>IF($A258="","",IF($AP258&lt;&gt;"",INDEX(Raw_D1!$F$2:$F$1001,$AP258),IF($AR258&lt;&gt;"",INDEX(Raw_D3!$F$2:$F$1001,$AR258),"")))</f>
        <v>1</v>
      </c>
      <c r="G258" s="5">
        <f>IF($A258="","",IF($AP258&lt;&gt;"",IF(INDEX(Raw_D1!$G$2:$G$1001,$AP258),1,0),IF($AR258&lt;&gt;"",IF(INDEX(Raw_D3!$G$2:$G$1001,$AR258),1,0),"")))</f>
        <v>0</v>
      </c>
      <c r="H258" s="5">
        <f>IF($A258="","",IF($AP258&lt;&gt;"",INDEX(Raw_D1!$H$2:$H$1001,$AP258),IF($AR258&lt;&gt;"",INDEX(Raw_D3!$H$2:$H$1001,$AR258),"")))</f>
        <v>3</v>
      </c>
      <c r="I258" s="5">
        <f>IF($A258="","",IF($AP258&lt;&gt;"",INDEX(Raw_D1!$I$2:$I$1001,$AP258),IF($AR258&lt;&gt;"",INDEX(Raw_D3!$I$2:$I$1001,$AR258),"")))</f>
        <v>2</v>
      </c>
      <c r="J258" s="16">
        <f>IF($A258="","",IF($AP258&lt;&gt;"",INDEX(Raw_D1!$J$2:$J$1001,$AP258),IF($AR258&lt;&gt;"",INDEX(Raw_D3!$J$2:$J$1001,$AR258),"")))</f>
        <v>0.16</v>
      </c>
      <c r="K258" s="17">
        <f>IF($A258="","",IF($AQ258&lt;&gt;"",IF(INDEX(Raw_D2!$C$2:$C$1001,$AQ258)="","",INDEX(Raw_D2!$C$2:$C$1001,$AQ258)),IF($AR258&lt;&gt;"",IF(INDEX(Raw_D3!$K$2:$K$1001,$AR258)="","",INDEX(Raw_D3!$K$2:$K$1001,$AR258)),"")))</f>
        <v>0.1818</v>
      </c>
      <c r="L258" s="16">
        <f>IF($A258="","",IF($AQ258&lt;&gt;"",IF(INDEX(Raw_D2!$D$2:$D$1001,$AQ258)="","",INDEX(Raw_D2!$D$2:$D$1001,$AQ258)),IF($AR258&lt;&gt;"",IF(INDEX(Raw_D3!$L$2:$L$1001,$AR258)="","",INDEX(Raw_D3!$L$2:$L$1001,$AR258)),"")))</f>
        <v>0.86</v>
      </c>
      <c r="M258" s="17">
        <f>IF($A258="","",IF($AQ258&lt;&gt;"",IF(INDEX(Raw_D2!$E$2:$E$1001,$AQ258)="","",INDEX(Raw_D2!$E$2:$E$1001,$AQ258)),IF($AR258&lt;&gt;"",IF(INDEX(Raw_D3!$M$2:$M$1001,$AR258)="","",INDEX(Raw_D3!$M$2:$M$1001,$AR258)),"")))</f>
        <v>0.1045</v>
      </c>
      <c r="N258" s="5">
        <f>IF($A258="","",IF($AQ258&lt;&gt;"",IF(INDEX(Raw_D2!$F$2:$F$1001,$AQ258)="","",INDEX(Raw_D2!$F$2:$F$1001,$AQ258)),IF($AR258&lt;&gt;"",IF(INDEX(Raw_D3!$N$2:$N$1001,$AR258)="","",INDEX(Raw_D3!$N$2:$N$1001,$AR258)),"")))</f>
        <v>0</v>
      </c>
      <c r="O258" s="5">
        <f>IF($A258="","",IF($AQ258&lt;&gt;"",IF(INDEX(Raw_D2!$G$2:$G$1001,$AQ258)="","",INDEX(Raw_D2!$G$2:$G$1001,$AQ258)),IF($AR258&lt;&gt;"",IF(INDEX(Raw_D3!$O$2:$O$1001,$AR258)="","",INDEX(Raw_D3!$O$2:$O$1001,$AR258)),"")))</f>
        <v>6</v>
      </c>
      <c r="P258" s="5">
        <f>IF($A258="","",IF($AQ258&lt;&gt;"",IF(INDEX(Raw_D2!$H$2:$H$1001,$AQ258)="","",INDEX(Raw_D2!$H$2:$H$1001,$AQ258)),IF($AR258&lt;&gt;"",IF(INDEX(Raw_D3!$P$2:$P$1001,$AR258)="","",INDEX(Raw_D3!$P$2:$P$1001,$AR258)),"")))</f>
        <v>6</v>
      </c>
      <c r="Q258" s="5" t="str">
        <f>IF($A258="","",IF(AND($AP258&lt;&gt;"",$AQ258&lt;&gt;""),"D1+D2",IF($AR258&lt;&gt;"","D3","Incomplete")))</f>
        <v>D1+D2</v>
      </c>
      <c r="R258" s="17">
        <f>IF($A258="","",IF($K258="",IF($J258="","",ROUND(Lookups!$K$5+Lookups!$K$4*$J258,4)),$K258))</f>
        <v>0.1818</v>
      </c>
      <c r="S258" s="5" t="str">
        <f>IF($A258="","",IF($K258="","Imputed","Original"))</f>
        <v>Original</v>
      </c>
      <c r="T258" s="5" t="str">
        <f>IF($A258="","",IF($P258="","Missing",IF($P258=$N258+$O258,"OK","Mismatch")))</f>
        <v>OK</v>
      </c>
      <c r="U258" s="5" t="str">
        <f>IF($A258="","",IF(COUNTIF($A$2:$A258,$A258)&gt;1,"Duplicate","Unique"))</f>
        <v>Unique</v>
      </c>
      <c r="V258" s="5">
        <f>IF($A258="","",IF(AND($U258="Unique",ISNUMBER($P258)),1,0))</f>
        <v>1</v>
      </c>
      <c r="W258" s="5" t="str">
        <f>IF($A258="","",IF(OR($H258=0,$H258=6),"Weekend","Weekday"))</f>
        <v>Weekday</v>
      </c>
      <c r="X258" s="5" t="str">
        <f>IF($A258="","",TEXT($B258,"ddd"))</f>
        <v>Wed</v>
      </c>
      <c r="Y258" s="5" t="str">
        <f>IF($A258="","",TEXT($B258,"mmm"))</f>
        <v>Jan</v>
      </c>
      <c r="Z258" s="5" t="str">
        <f>IF($A258="","",IFERROR(VLOOKUP($C258,Lookups!$D$4:$E$7,2,FALSE),"Unknown"))</f>
        <v>Winter</v>
      </c>
      <c r="AA258" s="5" t="str">
        <f>IF($A258="","",IFERROR(VLOOKUP($I258,Lookups!$A$4:$B$7,2,FALSE),"Unknown"))</f>
        <v>Mist/Cloudy</v>
      </c>
      <c r="AB258" s="5" t="str">
        <f>IF($A258="","",TEXT($F258,"00")&amp;":00")</f>
        <v>01:00</v>
      </c>
      <c r="AC258" s="5" t="str">
        <f>IF($A258="","",VLOOKUP($F258,Lookups!$G$4:$H$8,2,TRUE))</f>
        <v>Night (00-05)</v>
      </c>
      <c r="AD258" s="18">
        <f>IF($A258="","",IF($J258="","",ROUND($J258*41,1)))</f>
        <v>6.6</v>
      </c>
      <c r="AE258" s="18">
        <f>IF($A258="","",IF($R258="","",ROUND($R258*50,1)))</f>
        <v>9.1</v>
      </c>
      <c r="AF258" s="5">
        <f>IF($A258="","",IF($L258="","",ROUND($L258*100,0)))</f>
        <v>86</v>
      </c>
      <c r="AG258" s="18">
        <f>IF($A258="","",IF($M258="","",ROUND($M258*67,1)))</f>
        <v>7</v>
      </c>
      <c r="AH258" s="19">
        <f>IF($A258="","",IF($P258="","",IF($P258=0,0,$O258/$P258)))</f>
        <v>1</v>
      </c>
      <c r="AI258" s="5" t="str">
        <f>IF($A258="","",IF($P258="","",IF($P258&gt;=Lookups!$K$7,"High",IF($P258&lt;=Lookups!$K$8,"Low","Medium"))))</f>
        <v>Low</v>
      </c>
      <c r="AJ258" s="5" t="str">
        <f>IF($A258="","",IF($AD258="","",IF($AD258&lt;5,"Under 5 C",IF($AD258&lt;10,"5-10 C",IF($AD258&lt;15,"10-15 C","15 C and above")))))</f>
        <v>5-10 C</v>
      </c>
      <c r="AK258" s="5">
        <f>IF($A258="","",IF($P258="","",$P258^2))</f>
        <v>36</v>
      </c>
      <c r="AL258" s="18">
        <f>IF($V258&lt;&gt;1,"",AVERAGEIFS(Clean_Data!$P$2:$P$1001,Clean_Data!$F$2:$F$1001,$F258,Clean_Data!$W$2:$W$1001,$W258,Clean_Data!$V$2:$V$1001,1))</f>
        <v>5.10344827586207</v>
      </c>
      <c r="AM258" s="16">
        <f>IF($V258&lt;&gt;1,"",IFERROR(($P258-$AL258)/SQRT(MAX(0,(SUMIFS(Clean_Data!$AK$2:$AK$1001,Clean_Data!$F$2:$F$1001,$F258,Clean_Data!$W$2:$W$1001,$W258,Clean_Data!$V$2:$V$1001,1)-COUNTIFS(Clean_Data!$F$2:$F$1001,$F258,Clean_Data!$W$2:$W$1001,$W258,Clean_Data!$V$2:$V$1001,1)*$AL258^2)/(COUNTIFS(Clean_Data!$F$2:$F$1001,$F258,Clean_Data!$W$2:$W$1001,$W258,Clean_Data!$V$2:$V$1001,1)-1))),""))</f>
        <v>0.311003894704077</v>
      </c>
      <c r="AN258" s="5" t="str">
        <f>IF($AM258="","",IF($AM258&gt;=Lookups!$K$6,"High spike",IF($AM258&lt;=-Lookups!$K$6,"Unusual low","Normal")))</f>
        <v>Normal</v>
      </c>
      <c r="AO258" s="20">
        <f>IF($V258&lt;&gt;1,"",$P258+ROW()/100000)</f>
        <v>6.00258</v>
      </c>
      <c r="AP258" s="5">
        <f>IF($A258="","",IFERROR(MATCH($A258,Raw_D1!$A$2:$A$1001,0),""))</f>
        <v>257</v>
      </c>
      <c r="AQ258" s="5">
        <f>IF($A258="","",IFERROR(MATCH($A258,Raw_D2!$B$2:$B$1001,0),""))</f>
        <v>257</v>
      </c>
      <c r="AR258" s="5">
        <f>IF($A258="","",IFERROR(MATCH($A258,Raw_D3!$A$2:$A$1001,0),""))</f>
        <v/>
      </c>
    </row>
    <row r="259" spans="1:44" x14ac:dyDescent="0.25">
      <c r="A259" s="5">
        <v>258</v>
      </c>
      <c r="B259" s="11">
        <f>IF($A259="","",IF($AP259&lt;&gt;"",INDEX(Raw_D1!$B$2:$B$1001,$AP259),IF($AR259&lt;&gt;"",INDEX(Raw_D3!$B$2:$B$1001,$AR259),"")))</f>
        <v>40555.0</v>
      </c>
      <c r="C259" s="5">
        <f>IF($A259="","",IF($AP259&lt;&gt;"",INDEX(Raw_D1!$C$2:$C$1001,$AP259),IF($AR259&lt;&gt;"",INDEX(Raw_D3!$C$2:$C$1001,$AR259),"")))</f>
        <v>1</v>
      </c>
      <c r="D259" s="5">
        <f>IF($A259="","",IF($AP259&lt;&gt;"",INDEX(Raw_D1!$D$2:$D$1001,$AP259),IF($AR259&lt;&gt;"",INDEX(Raw_D3!$D$2:$D$1001,$AR259),"")))</f>
        <v>0</v>
      </c>
      <c r="E259" s="5">
        <f>IF($A259="","",IF($AP259&lt;&gt;"",INDEX(Raw_D1!$E$2:$E$1001,$AP259),IF($AR259&lt;&gt;"",INDEX(Raw_D3!$E$2:$E$1001,$AR259),"")))</f>
        <v>1</v>
      </c>
      <c r="F259" s="5">
        <f>IF($A259="","",IF($AP259&lt;&gt;"",INDEX(Raw_D1!$F$2:$F$1001,$AP259),IF($AR259&lt;&gt;"",INDEX(Raw_D3!$F$2:$F$1001,$AR259),"")))</f>
        <v>2</v>
      </c>
      <c r="G259" s="5">
        <f>IF($A259="","",IF($AP259&lt;&gt;"",IF(INDEX(Raw_D1!$G$2:$G$1001,$AP259),1,0),IF($AR259&lt;&gt;"",IF(INDEX(Raw_D3!$G$2:$G$1001,$AR259),1,0),"")))</f>
        <v>0</v>
      </c>
      <c r="H259" s="5">
        <f>IF($A259="","",IF($AP259&lt;&gt;"",INDEX(Raw_D1!$H$2:$H$1001,$AP259),IF($AR259&lt;&gt;"",INDEX(Raw_D3!$H$2:$H$1001,$AR259),"")))</f>
        <v>3</v>
      </c>
      <c r="I259" s="5">
        <f>IF($A259="","",IF($AP259&lt;&gt;"",INDEX(Raw_D1!$I$2:$I$1001,$AP259),IF($AR259&lt;&gt;"",INDEX(Raw_D3!$I$2:$I$1001,$AR259),"")))</f>
        <v>1</v>
      </c>
      <c r="J259" s="16">
        <f>IF($A259="","",IF($AP259&lt;&gt;"",INDEX(Raw_D1!$J$2:$J$1001,$AP259),IF($AR259&lt;&gt;"",INDEX(Raw_D3!$J$2:$J$1001,$AR259),"")))</f>
        <v>0.14</v>
      </c>
      <c r="K259" s="17">
        <f>IF($A259="","",IF($AQ259&lt;&gt;"",IF(INDEX(Raw_D2!$C$2:$C$1001,$AQ259)="","",INDEX(Raw_D2!$C$2:$C$1001,$AQ259)),IF($AR259&lt;&gt;"",IF(INDEX(Raw_D3!$K$2:$K$1001,$AR259)="","",INDEX(Raw_D3!$K$2:$K$1001,$AR259)),"")))</f>
        <v>0.1515</v>
      </c>
      <c r="L259" s="16">
        <f>IF($A259="","",IF($AQ259&lt;&gt;"",IF(INDEX(Raw_D2!$D$2:$D$1001,$AQ259)="","",INDEX(Raw_D2!$D$2:$D$1001,$AQ259)),IF($AR259&lt;&gt;"",IF(INDEX(Raw_D3!$L$2:$L$1001,$AR259)="","",INDEX(Raw_D3!$L$2:$L$1001,$AR259)),"")))</f>
        <v>0.86</v>
      </c>
      <c r="M259" s="17">
        <f>IF($A259="","",IF($AQ259&lt;&gt;"",IF(INDEX(Raw_D2!$E$2:$E$1001,$AQ259)="","",INDEX(Raw_D2!$E$2:$E$1001,$AQ259)),IF($AR259&lt;&gt;"",IF(INDEX(Raw_D3!$M$2:$M$1001,$AR259)="","",INDEX(Raw_D3!$M$2:$M$1001,$AR259)),"")))</f>
        <v>0.1343</v>
      </c>
      <c r="N259" s="5">
        <f>IF($A259="","",IF($AQ259&lt;&gt;"",IF(INDEX(Raw_D2!$F$2:$F$1001,$AQ259)="","",INDEX(Raw_D2!$F$2:$F$1001,$AQ259)),IF($AR259&lt;&gt;"",IF(INDEX(Raw_D3!$N$2:$N$1001,$AR259)="","",INDEX(Raw_D3!$N$2:$N$1001,$AR259)),"")))</f>
        <v>0</v>
      </c>
      <c r="O259" s="5">
        <f>IF($A259="","",IF($AQ259&lt;&gt;"",IF(INDEX(Raw_D2!$G$2:$G$1001,$AQ259)="","",INDEX(Raw_D2!$G$2:$G$1001,$AQ259)),IF($AR259&lt;&gt;"",IF(INDEX(Raw_D3!$O$2:$O$1001,$AR259)="","",INDEX(Raw_D3!$O$2:$O$1001,$AR259)),"")))</f>
        <v>1</v>
      </c>
      <c r="P259" s="5">
        <f>IF($A259="","",IF($AQ259&lt;&gt;"",IF(INDEX(Raw_D2!$H$2:$H$1001,$AQ259)="","",INDEX(Raw_D2!$H$2:$H$1001,$AQ259)),IF($AR259&lt;&gt;"",IF(INDEX(Raw_D3!$P$2:$P$1001,$AR259)="","",INDEX(Raw_D3!$P$2:$P$1001,$AR259)),"")))</f>
        <v>1</v>
      </c>
      <c r="Q259" s="5" t="str">
        <f>IF($A259="","",IF(AND($AP259&lt;&gt;"",$AQ259&lt;&gt;""),"D1+D2",IF($AR259&lt;&gt;"","D3","Incomplete")))</f>
        <v>D1+D2</v>
      </c>
      <c r="R259" s="17">
        <f>IF($A259="","",IF($K259="",IF($J259="","",ROUND(Lookups!$K$5+Lookups!$K$4*$J259,4)),$K259))</f>
        <v>0.1515</v>
      </c>
      <c r="S259" s="5" t="str">
        <f>IF($A259="","",IF($K259="","Imputed","Original"))</f>
        <v>Original</v>
      </c>
      <c r="T259" s="5" t="str">
        <f>IF($A259="","",IF($P259="","Missing",IF($P259=$N259+$O259,"OK","Mismatch")))</f>
        <v>OK</v>
      </c>
      <c r="U259" s="5" t="str">
        <f>IF($A259="","",IF(COUNTIF($A$2:$A259,$A259)&gt;1,"Duplicate","Unique"))</f>
        <v>Unique</v>
      </c>
      <c r="V259" s="5">
        <f>IF($A259="","",IF(AND($U259="Unique",ISNUMBER($P259)),1,0))</f>
        <v>1</v>
      </c>
      <c r="W259" s="5" t="str">
        <f>IF($A259="","",IF(OR($H259=0,$H259=6),"Weekend","Weekday"))</f>
        <v>Weekday</v>
      </c>
      <c r="X259" s="5" t="str">
        <f>IF($A259="","",TEXT($B259,"ddd"))</f>
        <v>Wed</v>
      </c>
      <c r="Y259" s="5" t="str">
        <f>IF($A259="","",TEXT($B259,"mmm"))</f>
        <v>Jan</v>
      </c>
      <c r="Z259" s="5" t="str">
        <f>IF($A259="","",IFERROR(VLOOKUP($C259,Lookups!$D$4:$E$7,2,FALSE),"Unknown"))</f>
        <v>Winter</v>
      </c>
      <c r="AA259" s="5" t="str">
        <f>IF($A259="","",IFERROR(VLOOKUP($I259,Lookups!$A$4:$B$7,2,FALSE),"Unknown"))</f>
        <v>Clear</v>
      </c>
      <c r="AB259" s="5" t="str">
        <f>IF($A259="","",TEXT($F259,"00")&amp;":00")</f>
        <v>02:00</v>
      </c>
      <c r="AC259" s="5" t="str">
        <f>IF($A259="","",VLOOKUP($F259,Lookups!$G$4:$H$8,2,TRUE))</f>
        <v>Night (00-05)</v>
      </c>
      <c r="AD259" s="18">
        <f>IF($A259="","",IF($J259="","",ROUND($J259*41,1)))</f>
        <v>5.7</v>
      </c>
      <c r="AE259" s="18">
        <f>IF($A259="","",IF($R259="","",ROUND($R259*50,1)))</f>
        <v>7.6</v>
      </c>
      <c r="AF259" s="5">
        <f>IF($A259="","",IF($L259="","",ROUND($L259*100,0)))</f>
        <v>86</v>
      </c>
      <c r="AG259" s="18">
        <f>IF($A259="","",IF($M259="","",ROUND($M259*67,1)))</f>
        <v>9</v>
      </c>
      <c r="AH259" s="19">
        <f>IF($A259="","",IF($P259="","",IF($P259=0,0,$O259/$P259)))</f>
        <v>1</v>
      </c>
      <c r="AI259" s="5" t="str">
        <f>IF($A259="","",IF($P259="","",IF($P259&gt;=Lookups!$K$7,"High",IF($P259&lt;=Lookups!$K$8,"Low","Medium"))))</f>
        <v>Low</v>
      </c>
      <c r="AJ259" s="5" t="str">
        <f>IF($A259="","",IF($AD259="","",IF($AD259&lt;5,"Under 5 C",IF($AD259&lt;10,"5-10 C",IF($AD259&lt;15,"10-15 C","15 C and above")))))</f>
        <v>5-10 C</v>
      </c>
      <c r="AK259" s="5">
        <f>IF($A259="","",IF($P259="","",$P259^2))</f>
        <v>1</v>
      </c>
      <c r="AL259" s="18">
        <f>IF($V259&lt;&gt;1,"",AVERAGEIFS(Clean_Data!$P$2:$P$1001,Clean_Data!$F$2:$F$1001,$F259,Clean_Data!$W$2:$W$1001,$W259,Clean_Data!$V$2:$V$1001,1))</f>
        <v>2.62962962962963</v>
      </c>
      <c r="AM259" s="16">
        <f>IF($V259&lt;&gt;1,"",IFERROR(($P259-$AL259)/SQRT(MAX(0,(SUMIFS(Clean_Data!$AK$2:$AK$1001,Clean_Data!$F$2:$F$1001,$F259,Clean_Data!$W$2:$W$1001,$W259,Clean_Data!$V$2:$V$1001,1)-COUNTIFS(Clean_Data!$F$2:$F$1001,$F259,Clean_Data!$W$2:$W$1001,$W259,Clean_Data!$V$2:$V$1001,1)*$AL259^2)/(COUNTIFS(Clean_Data!$F$2:$F$1001,$F259,Clean_Data!$W$2:$W$1001,$W259,Clean_Data!$V$2:$V$1001,1)-1))),""))</f>
        <v>-0.80596562646555</v>
      </c>
      <c r="AN259" s="5" t="str">
        <f>IF($AM259="","",IF($AM259&gt;=Lookups!$K$6,"High spike",IF($AM259&lt;=-Lookups!$K$6,"Unusual low","Normal")))</f>
        <v>Normal</v>
      </c>
      <c r="AO259" s="20">
        <f>IF($V259&lt;&gt;1,"",$P259+ROW()/100000)</f>
        <v>1.00259</v>
      </c>
      <c r="AP259" s="5">
        <f>IF($A259="","",IFERROR(MATCH($A259,Raw_D1!$A$2:$A$1001,0),""))</f>
        <v>258</v>
      </c>
      <c r="AQ259" s="5">
        <f>IF($A259="","",IFERROR(MATCH($A259,Raw_D2!$B$2:$B$1001,0),""))</f>
        <v>258</v>
      </c>
      <c r="AR259" s="5">
        <f>IF($A259="","",IFERROR(MATCH($A259,Raw_D3!$A$2:$A$1001,0),""))</f>
        <v/>
      </c>
    </row>
    <row r="260" spans="1:44" x14ac:dyDescent="0.25">
      <c r="A260" s="5">
        <v>259</v>
      </c>
      <c r="B260" s="11">
        <f>IF($A260="","",IF($AP260&lt;&gt;"",INDEX(Raw_D1!$B$2:$B$1001,$AP260),IF($AR260&lt;&gt;"",INDEX(Raw_D3!$B$2:$B$1001,$AR260),"")))</f>
        <v>40555.0</v>
      </c>
      <c r="C260" s="5">
        <f>IF($A260="","",IF($AP260&lt;&gt;"",INDEX(Raw_D1!$C$2:$C$1001,$AP260),IF($AR260&lt;&gt;"",INDEX(Raw_D3!$C$2:$C$1001,$AR260),"")))</f>
        <v>1</v>
      </c>
      <c r="D260" s="5">
        <f>IF($A260="","",IF($AP260&lt;&gt;"",INDEX(Raw_D1!$D$2:$D$1001,$AP260),IF($AR260&lt;&gt;"",INDEX(Raw_D3!$D$2:$D$1001,$AR260),"")))</f>
        <v>0</v>
      </c>
      <c r="E260" s="5">
        <f>IF($A260="","",IF($AP260&lt;&gt;"",INDEX(Raw_D1!$E$2:$E$1001,$AP260),IF($AR260&lt;&gt;"",INDEX(Raw_D3!$E$2:$E$1001,$AR260),"")))</f>
        <v>1</v>
      </c>
      <c r="F260" s="5">
        <f>IF($A260="","",IF($AP260&lt;&gt;"",INDEX(Raw_D1!$F$2:$F$1001,$AP260),IF($AR260&lt;&gt;"",INDEX(Raw_D3!$F$2:$F$1001,$AR260),"")))</f>
        <v>5</v>
      </c>
      <c r="G260" s="5">
        <f>IF($A260="","",IF($AP260&lt;&gt;"",IF(INDEX(Raw_D1!$G$2:$G$1001,$AP260),1,0),IF($AR260&lt;&gt;"",IF(INDEX(Raw_D3!$G$2:$G$1001,$AR260),1,0),"")))</f>
        <v>0</v>
      </c>
      <c r="H260" s="5">
        <f>IF($A260="","",IF($AP260&lt;&gt;"",INDEX(Raw_D1!$H$2:$H$1001,$AP260),IF($AR260&lt;&gt;"",INDEX(Raw_D3!$H$2:$H$1001,$AR260),"")))</f>
        <v>3</v>
      </c>
      <c r="I260" s="5">
        <f>IF($A260="","",IF($AP260&lt;&gt;"",INDEX(Raw_D1!$I$2:$I$1001,$AP260),IF($AR260&lt;&gt;"",INDEX(Raw_D3!$I$2:$I$1001,$AR260),"")))</f>
        <v>1</v>
      </c>
      <c r="J260" s="16">
        <f>IF($A260="","",IF($AP260&lt;&gt;"",INDEX(Raw_D1!$J$2:$J$1001,$AP260),IF($AR260&lt;&gt;"",INDEX(Raw_D3!$J$2:$J$1001,$AR260),"")))</f>
        <v>0.14</v>
      </c>
      <c r="K260" s="17">
        <f>IF($A260="","",IF($AQ260&lt;&gt;"",IF(INDEX(Raw_D2!$C$2:$C$1001,$AQ260)="","",INDEX(Raw_D2!$C$2:$C$1001,$AQ260)),IF($AR260&lt;&gt;"",IF(INDEX(Raw_D3!$K$2:$K$1001,$AR260)="","",INDEX(Raw_D3!$K$2:$K$1001,$AR260)),"")))</f>
        <v>0.1515</v>
      </c>
      <c r="L260" s="16">
        <f>IF($A260="","",IF($AQ260&lt;&gt;"",IF(INDEX(Raw_D2!$D$2:$D$1001,$AQ260)="","",INDEX(Raw_D2!$D$2:$D$1001,$AQ260)),IF($AR260&lt;&gt;"",IF(INDEX(Raw_D3!$L$2:$L$1001,$AR260)="","",INDEX(Raw_D3!$L$2:$L$1001,$AR260)),"")))</f>
        <v>0.86</v>
      </c>
      <c r="M260" s="17">
        <f>IF($A260="","",IF($AQ260&lt;&gt;"",IF(INDEX(Raw_D2!$E$2:$E$1001,$AQ260)="","",INDEX(Raw_D2!$E$2:$E$1001,$AQ260)),IF($AR260&lt;&gt;"",IF(INDEX(Raw_D3!$M$2:$M$1001,$AR260)="","",INDEX(Raw_D3!$M$2:$M$1001,$AR260)),"")))</f>
        <v>0.1642</v>
      </c>
      <c r="N260" s="5">
        <f>IF($A260="","",IF($AQ260&lt;&gt;"",IF(INDEX(Raw_D2!$F$2:$F$1001,$AQ260)="","",INDEX(Raw_D2!$F$2:$F$1001,$AQ260)),IF($AR260&lt;&gt;"",IF(INDEX(Raw_D3!$N$2:$N$1001,$AR260)="","",INDEX(Raw_D3!$N$2:$N$1001,$AR260)),"")))</f>
        <v>0</v>
      </c>
      <c r="O260" s="5">
        <f>IF($A260="","",IF($AQ260&lt;&gt;"",IF(INDEX(Raw_D2!$G$2:$G$1001,$AQ260)="","",INDEX(Raw_D2!$G$2:$G$1001,$AQ260)),IF($AR260&lt;&gt;"",IF(INDEX(Raw_D3!$O$2:$O$1001,$AR260)="","",INDEX(Raw_D3!$O$2:$O$1001,$AR260)),"")))</f>
        <v>5</v>
      </c>
      <c r="P260" s="5">
        <f>IF($A260="","",IF($AQ260&lt;&gt;"",IF(INDEX(Raw_D2!$H$2:$H$1001,$AQ260)="","",INDEX(Raw_D2!$H$2:$H$1001,$AQ260)),IF($AR260&lt;&gt;"",IF(INDEX(Raw_D3!$P$2:$P$1001,$AR260)="","",INDEX(Raw_D3!$P$2:$P$1001,$AR260)),"")))</f>
        <v>5</v>
      </c>
      <c r="Q260" s="5" t="str">
        <f>IF($A260="","",IF(AND($AP260&lt;&gt;"",$AQ260&lt;&gt;""),"D1+D2",IF($AR260&lt;&gt;"","D3","Incomplete")))</f>
        <v>D1+D2</v>
      </c>
      <c r="R260" s="17">
        <f>IF($A260="","",IF($K260="",IF($J260="","",ROUND(Lookups!$K$5+Lookups!$K$4*$J260,4)),$K260))</f>
        <v>0.1515</v>
      </c>
      <c r="S260" s="5" t="str">
        <f>IF($A260="","",IF($K260="","Imputed","Original"))</f>
        <v>Original</v>
      </c>
      <c r="T260" s="5" t="str">
        <f>IF($A260="","",IF($P260="","Missing",IF($P260=$N260+$O260,"OK","Mismatch")))</f>
        <v>OK</v>
      </c>
      <c r="U260" s="5" t="str">
        <f>IF($A260="","",IF(COUNTIF($A$2:$A260,$A260)&gt;1,"Duplicate","Unique"))</f>
        <v>Unique</v>
      </c>
      <c r="V260" s="5">
        <f>IF($A260="","",IF(AND($U260="Unique",ISNUMBER($P260)),1,0))</f>
        <v>1</v>
      </c>
      <c r="W260" s="5" t="str">
        <f>IF($A260="","",IF(OR($H260=0,$H260=6),"Weekend","Weekday"))</f>
        <v>Weekday</v>
      </c>
      <c r="X260" s="5" t="str">
        <f>IF($A260="","",TEXT($B260,"ddd"))</f>
        <v>Wed</v>
      </c>
      <c r="Y260" s="5" t="str">
        <f>IF($A260="","",TEXT($B260,"mmm"))</f>
        <v>Jan</v>
      </c>
      <c r="Z260" s="5" t="str">
        <f>IF($A260="","",IFERROR(VLOOKUP($C260,Lookups!$D$4:$E$7,2,FALSE),"Unknown"))</f>
        <v>Winter</v>
      </c>
      <c r="AA260" s="5" t="str">
        <f>IF($A260="","",IFERROR(VLOOKUP($I260,Lookups!$A$4:$B$7,2,FALSE),"Unknown"))</f>
        <v>Clear</v>
      </c>
      <c r="AB260" s="5" t="str">
        <f>IF($A260="","",TEXT($F260,"00")&amp;":00")</f>
        <v>05:00</v>
      </c>
      <c r="AC260" s="5" t="str">
        <f>IF($A260="","",VLOOKUP($F260,Lookups!$G$4:$H$8,2,TRUE))</f>
        <v>Night (00-05)</v>
      </c>
      <c r="AD260" s="18">
        <f>IF($A260="","",IF($J260="","",ROUND($J260*41,1)))</f>
        <v>5.7</v>
      </c>
      <c r="AE260" s="18">
        <f>IF($A260="","",IF($R260="","",ROUND($R260*50,1)))</f>
        <v>7.6</v>
      </c>
      <c r="AF260" s="5">
        <f>IF($A260="","",IF($L260="","",ROUND($L260*100,0)))</f>
        <v>86</v>
      </c>
      <c r="AG260" s="18">
        <f>IF($A260="","",IF($M260="","",ROUND($M260*67,1)))</f>
        <v>11</v>
      </c>
      <c r="AH260" s="19">
        <f>IF($A260="","",IF($P260="","",IF($P260=0,0,$O260/$P260)))</f>
        <v>1</v>
      </c>
      <c r="AI260" s="5" t="str">
        <f>IF($A260="","",IF($P260="","",IF($P260&gt;=Lookups!$K$7,"High",IF($P260&lt;=Lookups!$K$8,"Low","Medium"))))</f>
        <v>Low</v>
      </c>
      <c r="AJ260" s="5" t="str">
        <f>IF($A260="","",IF($AD260="","",IF($AD260&lt;5,"Under 5 C",IF($AD260&lt;10,"5-10 C",IF($AD260&lt;15,"10-15 C","15 C and above")))))</f>
        <v>5-10 C</v>
      </c>
      <c r="AK260" s="5">
        <f>IF($A260="","",IF($P260="","",$P260^2))</f>
        <v>25</v>
      </c>
      <c r="AL260" s="18">
        <f>IF($V260&lt;&gt;1,"",AVERAGEIFS(Clean_Data!$P$2:$P$1001,Clean_Data!$F$2:$F$1001,$F260,Clean_Data!$W$2:$W$1001,$W260,Clean_Data!$V$2:$V$1001,1))</f>
        <v>4.72413793103448</v>
      </c>
      <c r="AM260" s="16">
        <f>IF($V260&lt;&gt;1,"",IFERROR(($P260-$AL260)/SQRT(MAX(0,(SUMIFS(Clean_Data!$AK$2:$AK$1001,Clean_Data!$F$2:$F$1001,$F260,Clean_Data!$W$2:$W$1001,$W260,Clean_Data!$V$2:$V$1001,1)-COUNTIFS(Clean_Data!$F$2:$F$1001,$F260,Clean_Data!$W$2:$W$1001,$W260,Clean_Data!$V$2:$V$1001,1)*$AL260^2)/(COUNTIFS(Clean_Data!$F$2:$F$1001,$F260,Clean_Data!$W$2:$W$1001,$W260,Clean_Data!$V$2:$V$1001,1)-1))),""))</f>
        <v>0.117707076805546</v>
      </c>
      <c r="AN260" s="5" t="str">
        <f>IF($AM260="","",IF($AM260&gt;=Lookups!$K$6,"High spike",IF($AM260&lt;=-Lookups!$K$6,"Unusual low","Normal")))</f>
        <v>Normal</v>
      </c>
      <c r="AO260" s="20">
        <f>IF($V260&lt;&gt;1,"",$P260+ROW()/100000)</f>
        <v>5.0026</v>
      </c>
      <c r="AP260" s="5">
        <f>IF($A260="","",IFERROR(MATCH($A260,Raw_D1!$A$2:$A$1001,0),""))</f>
        <v>259</v>
      </c>
      <c r="AQ260" s="5">
        <f>IF($A260="","",IFERROR(MATCH($A260,Raw_D2!$B$2:$B$1001,0),""))</f>
        <v>259</v>
      </c>
      <c r="AR260" s="5">
        <f>IF($A260="","",IFERROR(MATCH($A260,Raw_D3!$A$2:$A$1001,0),""))</f>
        <v/>
      </c>
    </row>
    <row r="261" spans="1:44" x14ac:dyDescent="0.25">
      <c r="A261" s="5">
        <v>260</v>
      </c>
      <c r="B261" s="11">
        <f>IF($A261="","",IF($AP261&lt;&gt;"",INDEX(Raw_D1!$B$2:$B$1001,$AP261),IF($AR261&lt;&gt;"",INDEX(Raw_D3!$B$2:$B$1001,$AR261),"")))</f>
        <v>40555.0</v>
      </c>
      <c r="C261" s="5">
        <f>IF($A261="","",IF($AP261&lt;&gt;"",INDEX(Raw_D1!$C$2:$C$1001,$AP261),IF($AR261&lt;&gt;"",INDEX(Raw_D3!$C$2:$C$1001,$AR261),"")))</f>
        <v>1</v>
      </c>
      <c r="D261" s="5">
        <f>IF($A261="","",IF($AP261&lt;&gt;"",INDEX(Raw_D1!$D$2:$D$1001,$AP261),IF($AR261&lt;&gt;"",INDEX(Raw_D3!$D$2:$D$1001,$AR261),"")))</f>
        <v>0</v>
      </c>
      <c r="E261" s="5">
        <f>IF($A261="","",IF($AP261&lt;&gt;"",INDEX(Raw_D1!$E$2:$E$1001,$AP261),IF($AR261&lt;&gt;"",INDEX(Raw_D3!$E$2:$E$1001,$AR261),"")))</f>
        <v>1</v>
      </c>
      <c r="F261" s="5">
        <f>IF($A261="","",IF($AP261&lt;&gt;"",INDEX(Raw_D1!$F$2:$F$1001,$AP261),IF($AR261&lt;&gt;"",INDEX(Raw_D3!$F$2:$F$1001,$AR261),"")))</f>
        <v>6</v>
      </c>
      <c r="G261" s="5">
        <f>IF($A261="","",IF($AP261&lt;&gt;"",IF(INDEX(Raw_D1!$G$2:$G$1001,$AP261),1,0),IF($AR261&lt;&gt;"",IF(INDEX(Raw_D3!$G$2:$G$1001,$AR261),1,0),"")))</f>
        <v>0</v>
      </c>
      <c r="H261" s="5">
        <f>IF($A261="","",IF($AP261&lt;&gt;"",INDEX(Raw_D1!$H$2:$H$1001,$AP261),IF($AR261&lt;&gt;"",INDEX(Raw_D3!$H$2:$H$1001,$AR261),"")))</f>
        <v>3</v>
      </c>
      <c r="I261" s="5">
        <f>IF($A261="","",IF($AP261&lt;&gt;"",INDEX(Raw_D1!$I$2:$I$1001,$AP261),IF($AR261&lt;&gt;"",INDEX(Raw_D3!$I$2:$I$1001,$AR261),"")))</f>
        <v>1</v>
      </c>
      <c r="J261" s="16">
        <f>IF($A261="","",IF($AP261&lt;&gt;"",INDEX(Raw_D1!$J$2:$J$1001,$AP261),IF($AR261&lt;&gt;"",INDEX(Raw_D3!$J$2:$J$1001,$AR261),"")))</f>
        <v>0.12</v>
      </c>
      <c r="K261" s="17">
        <f>IF($A261="","",IF($AQ261&lt;&gt;"",IF(INDEX(Raw_D2!$C$2:$C$1001,$AQ261)="","",INDEX(Raw_D2!$C$2:$C$1001,$AQ261)),IF($AR261&lt;&gt;"",IF(INDEX(Raw_D3!$K$2:$K$1001,$AR261)="","",INDEX(Raw_D3!$K$2:$K$1001,$AR261)),"")))</f>
        <v>0.1515</v>
      </c>
      <c r="L261" s="16">
        <f>IF($A261="","",IF($AQ261&lt;&gt;"",IF(INDEX(Raw_D2!$D$2:$D$1001,$AQ261)="","",INDEX(Raw_D2!$D$2:$D$1001,$AQ261)),IF($AR261&lt;&gt;"",IF(INDEX(Raw_D3!$L$2:$L$1001,$AR261)="","",INDEX(Raw_D3!$L$2:$L$1001,$AR261)),"")))</f>
        <v>0.93</v>
      </c>
      <c r="M261" s="17">
        <f>IF($A261="","",IF($AQ261&lt;&gt;"",IF(INDEX(Raw_D2!$E$2:$E$1001,$AQ261)="","",INDEX(Raw_D2!$E$2:$E$1001,$AQ261)),IF($AR261&lt;&gt;"",IF(INDEX(Raw_D3!$M$2:$M$1001,$AR261)="","",INDEX(Raw_D3!$M$2:$M$1001,$AR261)),"")))</f>
        <v>0.1343</v>
      </c>
      <c r="N261" s="5">
        <f>IF($A261="","",IF($AQ261&lt;&gt;"",IF(INDEX(Raw_D2!$F$2:$F$1001,$AQ261)="","",INDEX(Raw_D2!$F$2:$F$1001,$AQ261)),IF($AR261&lt;&gt;"",IF(INDEX(Raw_D3!$N$2:$N$1001,$AR261)="","",INDEX(Raw_D3!$N$2:$N$1001,$AR261)),"")))</f>
        <v>0</v>
      </c>
      <c r="O261" s="5">
        <f>IF($A261="","",IF($AQ261&lt;&gt;"",IF(INDEX(Raw_D2!$G$2:$G$1001,$AQ261)="","",INDEX(Raw_D2!$G$2:$G$1001,$AQ261)),IF($AR261&lt;&gt;"",IF(INDEX(Raw_D3!$O$2:$O$1001,$AR261)="","",INDEX(Raw_D3!$O$2:$O$1001,$AR261)),"")))</f>
        <v>16</v>
      </c>
      <c r="P261" s="5">
        <f>IF($A261="","",IF($AQ261&lt;&gt;"",IF(INDEX(Raw_D2!$H$2:$H$1001,$AQ261)="","",INDEX(Raw_D2!$H$2:$H$1001,$AQ261)),IF($AR261&lt;&gt;"",IF(INDEX(Raw_D3!$P$2:$P$1001,$AR261)="","",INDEX(Raw_D3!$P$2:$P$1001,$AR261)),"")))</f>
        <v>16</v>
      </c>
      <c r="Q261" s="5" t="str">
        <f>IF($A261="","",IF(AND($AP261&lt;&gt;"",$AQ261&lt;&gt;""),"D1+D2",IF($AR261&lt;&gt;"","D3","Incomplete")))</f>
        <v>D1+D2</v>
      </c>
      <c r="R261" s="17">
        <f>IF($A261="","",IF($K261="",IF($J261="","",ROUND(Lookups!$K$5+Lookups!$K$4*$J261,4)),$K261))</f>
        <v>0.1515</v>
      </c>
      <c r="S261" s="5" t="str">
        <f>IF($A261="","",IF($K261="","Imputed","Original"))</f>
        <v>Original</v>
      </c>
      <c r="T261" s="5" t="str">
        <f>IF($A261="","",IF($P261="","Missing",IF($P261=$N261+$O261,"OK","Mismatch")))</f>
        <v>OK</v>
      </c>
      <c r="U261" s="5" t="str">
        <f>IF($A261="","",IF(COUNTIF($A$2:$A261,$A261)&gt;1,"Duplicate","Unique"))</f>
        <v>Unique</v>
      </c>
      <c r="V261" s="5">
        <f>IF($A261="","",IF(AND($U261="Unique",ISNUMBER($P261)),1,0))</f>
        <v>1</v>
      </c>
      <c r="W261" s="5" t="str">
        <f>IF($A261="","",IF(OR($H261=0,$H261=6),"Weekend","Weekday"))</f>
        <v>Weekday</v>
      </c>
      <c r="X261" s="5" t="str">
        <f>IF($A261="","",TEXT($B261,"ddd"))</f>
        <v>Wed</v>
      </c>
      <c r="Y261" s="5" t="str">
        <f>IF($A261="","",TEXT($B261,"mmm"))</f>
        <v>Jan</v>
      </c>
      <c r="Z261" s="5" t="str">
        <f>IF($A261="","",IFERROR(VLOOKUP($C261,Lookups!$D$4:$E$7,2,FALSE),"Unknown"))</f>
        <v>Winter</v>
      </c>
      <c r="AA261" s="5" t="str">
        <f>IF($A261="","",IFERROR(VLOOKUP($I261,Lookups!$A$4:$B$7,2,FALSE),"Unknown"))</f>
        <v>Clear</v>
      </c>
      <c r="AB261" s="5" t="str">
        <f>IF($A261="","",TEXT($F261,"00")&amp;":00")</f>
        <v>06:00</v>
      </c>
      <c r="AC261" s="5" t="str">
        <f>IF($A261="","",VLOOKUP($F261,Lookups!$G$4:$H$8,2,TRUE))</f>
        <v>Morning Peak (06-09)</v>
      </c>
      <c r="AD261" s="18">
        <f>IF($A261="","",IF($J261="","",ROUND($J261*41,1)))</f>
        <v>4.9</v>
      </c>
      <c r="AE261" s="18">
        <f>IF($A261="","",IF($R261="","",ROUND($R261*50,1)))</f>
        <v>7.6</v>
      </c>
      <c r="AF261" s="5">
        <f>IF($A261="","",IF($L261="","",ROUND($L261*100,0)))</f>
        <v>93</v>
      </c>
      <c r="AG261" s="18">
        <f>IF($A261="","",IF($M261="","",ROUND($M261*67,1)))</f>
        <v>9</v>
      </c>
      <c r="AH261" s="19">
        <f>IF($A261="","",IF($P261="","",IF($P261=0,0,$O261/$P261)))</f>
        <v>1</v>
      </c>
      <c r="AI261" s="5" t="str">
        <f>IF($A261="","",IF($P261="","",IF($P261&gt;=Lookups!$K$7,"High",IF($P261&lt;=Lookups!$K$8,"Low","Medium"))))</f>
        <v>Low</v>
      </c>
      <c r="AJ261" s="5" t="str">
        <f>IF($A261="","",IF($AD261="","",IF($AD261&lt;5,"Under 5 C",IF($AD261&lt;10,"5-10 C",IF($AD261&lt;15,"10-15 C","15 C and above")))))</f>
        <v>Under 5 C</v>
      </c>
      <c r="AK261" s="5">
        <f>IF($A261="","",IF($P261="","",$P261^2))</f>
        <v>256</v>
      </c>
      <c r="AL261" s="18">
        <f>IF($V261&lt;&gt;1,"",AVERAGEIFS(Clean_Data!$P$2:$P$1001,Clean_Data!$F$2:$F$1001,$F261,Clean_Data!$W$2:$W$1001,$W261,Clean_Data!$V$2:$V$1001,1))</f>
        <v>27.3793103448276</v>
      </c>
      <c r="AM261" s="16">
        <f>IF($V261&lt;&gt;1,"",IFERROR(($P261-$AL261)/SQRT(MAX(0,(SUMIFS(Clean_Data!$AK$2:$AK$1001,Clean_Data!$F$2:$F$1001,$F261,Clean_Data!$W$2:$W$1001,$W261,Clean_Data!$V$2:$V$1001,1)-COUNTIFS(Clean_Data!$F$2:$F$1001,$F261,Clean_Data!$W$2:$W$1001,$W261,Clean_Data!$V$2:$V$1001,1)*$AL261^2)/(COUNTIFS(Clean_Data!$F$2:$F$1001,$F261,Clean_Data!$W$2:$W$1001,$W261,Clean_Data!$V$2:$V$1001,1)-1))),""))</f>
        <v>-1.19455832603409</v>
      </c>
      <c r="AN261" s="5" t="str">
        <f>IF($AM261="","",IF($AM261&gt;=Lookups!$K$6,"High spike",IF($AM261&lt;=-Lookups!$K$6,"Unusual low","Normal")))</f>
        <v>Normal</v>
      </c>
      <c r="AO261" s="20">
        <f>IF($V261&lt;&gt;1,"",$P261+ROW()/100000)</f>
        <v>16.00261</v>
      </c>
      <c r="AP261" s="5">
        <f>IF($A261="","",IFERROR(MATCH($A261,Raw_D1!$A$2:$A$1001,0),""))</f>
        <v>260</v>
      </c>
      <c r="AQ261" s="5">
        <f>IF($A261="","",IFERROR(MATCH($A261,Raw_D2!$B$2:$B$1001,0),""))</f>
        <v>260</v>
      </c>
      <c r="AR261" s="5">
        <f>IF($A261="","",IFERROR(MATCH($A261,Raw_D3!$A$2:$A$1001,0),""))</f>
        <v/>
      </c>
    </row>
    <row r="262" spans="1:44" x14ac:dyDescent="0.25">
      <c r="A262" s="5">
        <v>261</v>
      </c>
      <c r="B262" s="11">
        <f>IF($A262="","",IF($AP262&lt;&gt;"",INDEX(Raw_D1!$B$2:$B$1001,$AP262),IF($AR262&lt;&gt;"",INDEX(Raw_D3!$B$2:$B$1001,$AR262),"")))</f>
        <v>40555.0</v>
      </c>
      <c r="C262" s="5">
        <f>IF($A262="","",IF($AP262&lt;&gt;"",INDEX(Raw_D1!$C$2:$C$1001,$AP262),IF($AR262&lt;&gt;"",INDEX(Raw_D3!$C$2:$C$1001,$AR262),"")))</f>
        <v>1</v>
      </c>
      <c r="D262" s="5">
        <f>IF($A262="","",IF($AP262&lt;&gt;"",INDEX(Raw_D1!$D$2:$D$1001,$AP262),IF($AR262&lt;&gt;"",INDEX(Raw_D3!$D$2:$D$1001,$AR262),"")))</f>
        <v>0</v>
      </c>
      <c r="E262" s="5">
        <f>IF($A262="","",IF($AP262&lt;&gt;"",INDEX(Raw_D1!$E$2:$E$1001,$AP262),IF($AR262&lt;&gt;"",INDEX(Raw_D3!$E$2:$E$1001,$AR262),"")))</f>
        <v>1</v>
      </c>
      <c r="F262" s="5">
        <f>IF($A262="","",IF($AP262&lt;&gt;"",INDEX(Raw_D1!$F$2:$F$1001,$AP262),IF($AR262&lt;&gt;"",INDEX(Raw_D3!$F$2:$F$1001,$AR262),"")))</f>
        <v>7</v>
      </c>
      <c r="G262" s="5">
        <f>IF($A262="","",IF($AP262&lt;&gt;"",IF(INDEX(Raw_D1!$G$2:$G$1001,$AP262),1,0),IF($AR262&lt;&gt;"",IF(INDEX(Raw_D3!$G$2:$G$1001,$AR262),1,0),"")))</f>
        <v>0</v>
      </c>
      <c r="H262" s="5">
        <f>IF($A262="","",IF($AP262&lt;&gt;"",INDEX(Raw_D1!$H$2:$H$1001,$AP262),IF($AR262&lt;&gt;"",INDEX(Raw_D3!$H$2:$H$1001,$AR262),"")))</f>
        <v>3</v>
      </c>
      <c r="I262" s="5">
        <f>IF($A262="","",IF($AP262&lt;&gt;"",INDEX(Raw_D1!$I$2:$I$1001,$AP262),IF($AR262&lt;&gt;"",INDEX(Raw_D3!$I$2:$I$1001,$AR262),"")))</f>
        <v>1</v>
      </c>
      <c r="J262" s="16">
        <f>IF($A262="","",IF($AP262&lt;&gt;"",INDEX(Raw_D1!$J$2:$J$1001,$AP262),IF($AR262&lt;&gt;"",INDEX(Raw_D3!$J$2:$J$1001,$AR262),"")))</f>
        <v>0.14</v>
      </c>
      <c r="K262" s="17">
        <f>IF($A262="","",IF($AQ262&lt;&gt;"",IF(INDEX(Raw_D2!$C$2:$C$1001,$AQ262)="","",INDEX(Raw_D2!$C$2:$C$1001,$AQ262)),IF($AR262&lt;&gt;"",IF(INDEX(Raw_D3!$K$2:$K$1001,$AR262)="","",INDEX(Raw_D3!$K$2:$K$1001,$AR262)),"")))</f>
        <v>0.1515</v>
      </c>
      <c r="L262" s="16">
        <f>IF($A262="","",IF($AQ262&lt;&gt;"",IF(INDEX(Raw_D2!$D$2:$D$1001,$AQ262)="","",INDEX(Raw_D2!$D$2:$D$1001,$AQ262)),IF($AR262&lt;&gt;"",IF(INDEX(Raw_D3!$L$2:$L$1001,$AR262)="","",INDEX(Raw_D3!$L$2:$L$1001,$AR262)),"")))</f>
        <v>0.69</v>
      </c>
      <c r="M262" s="17">
        <f>IF($A262="","",IF($AQ262&lt;&gt;"",IF(INDEX(Raw_D2!$E$2:$E$1001,$AQ262)="","",INDEX(Raw_D2!$E$2:$E$1001,$AQ262)),IF($AR262&lt;&gt;"",IF(INDEX(Raw_D3!$M$2:$M$1001,$AR262)="","",INDEX(Raw_D3!$M$2:$M$1001,$AR262)),"")))</f>
        <v>0.1343</v>
      </c>
      <c r="N262" s="5">
        <f>IF($A262="","",IF($AQ262&lt;&gt;"",IF(INDEX(Raw_D2!$F$2:$F$1001,$AQ262)="","",INDEX(Raw_D2!$F$2:$F$1001,$AQ262)),IF($AR262&lt;&gt;"",IF(INDEX(Raw_D3!$N$2:$N$1001,$AR262)="","",INDEX(Raw_D3!$N$2:$N$1001,$AR262)),"")))</f>
        <v>0</v>
      </c>
      <c r="O262" s="5">
        <f>IF($A262="","",IF($AQ262&lt;&gt;"",IF(INDEX(Raw_D2!$G$2:$G$1001,$AQ262)="","",INDEX(Raw_D2!$G$2:$G$1001,$AQ262)),IF($AR262&lt;&gt;"",IF(INDEX(Raw_D3!$O$2:$O$1001,$AR262)="","",INDEX(Raw_D3!$O$2:$O$1001,$AR262)),"")))</f>
        <v>54</v>
      </c>
      <c r="P262" s="5">
        <f>IF($A262="","",IF($AQ262&lt;&gt;"",IF(INDEX(Raw_D2!$H$2:$H$1001,$AQ262)="","",INDEX(Raw_D2!$H$2:$H$1001,$AQ262)),IF($AR262&lt;&gt;"",IF(INDEX(Raw_D3!$P$2:$P$1001,$AR262)="","",INDEX(Raw_D3!$P$2:$P$1001,$AR262)),"")))</f>
        <v>54</v>
      </c>
      <c r="Q262" s="5" t="str">
        <f>IF($A262="","",IF(AND($AP262&lt;&gt;"",$AQ262&lt;&gt;""),"D1+D2",IF($AR262&lt;&gt;"","D3","Incomplete")))</f>
        <v>D1+D2</v>
      </c>
      <c r="R262" s="17">
        <f>IF($A262="","",IF($K262="",IF($J262="","",ROUND(Lookups!$K$5+Lookups!$K$4*$J262,4)),$K262))</f>
        <v>0.1515</v>
      </c>
      <c r="S262" s="5" t="str">
        <f>IF($A262="","",IF($K262="","Imputed","Original"))</f>
        <v>Original</v>
      </c>
      <c r="T262" s="5" t="str">
        <f>IF($A262="","",IF($P262="","Missing",IF($P262=$N262+$O262,"OK","Mismatch")))</f>
        <v>OK</v>
      </c>
      <c r="U262" s="5" t="str">
        <f>IF($A262="","",IF(COUNTIF($A$2:$A262,$A262)&gt;1,"Duplicate","Unique"))</f>
        <v>Unique</v>
      </c>
      <c r="V262" s="5">
        <f>IF($A262="","",IF(AND($U262="Unique",ISNUMBER($P262)),1,0))</f>
        <v>1</v>
      </c>
      <c r="W262" s="5" t="str">
        <f>IF($A262="","",IF(OR($H262=0,$H262=6),"Weekend","Weekday"))</f>
        <v>Weekday</v>
      </c>
      <c r="X262" s="5" t="str">
        <f>IF($A262="","",TEXT($B262,"ddd"))</f>
        <v>Wed</v>
      </c>
      <c r="Y262" s="5" t="str">
        <f>IF($A262="","",TEXT($B262,"mmm"))</f>
        <v>Jan</v>
      </c>
      <c r="Z262" s="5" t="str">
        <f>IF($A262="","",IFERROR(VLOOKUP($C262,Lookups!$D$4:$E$7,2,FALSE),"Unknown"))</f>
        <v>Winter</v>
      </c>
      <c r="AA262" s="5" t="str">
        <f>IF($A262="","",IFERROR(VLOOKUP($I262,Lookups!$A$4:$B$7,2,FALSE),"Unknown"))</f>
        <v>Clear</v>
      </c>
      <c r="AB262" s="5" t="str">
        <f>IF($A262="","",TEXT($F262,"00")&amp;":00")</f>
        <v>07:00</v>
      </c>
      <c r="AC262" s="5" t="str">
        <f>IF($A262="","",VLOOKUP($F262,Lookups!$G$4:$H$8,2,TRUE))</f>
        <v>Morning Peak (06-09)</v>
      </c>
      <c r="AD262" s="18">
        <f>IF($A262="","",IF($J262="","",ROUND($J262*41,1)))</f>
        <v>5.7</v>
      </c>
      <c r="AE262" s="18">
        <f>IF($A262="","",IF($R262="","",ROUND($R262*50,1)))</f>
        <v>7.6</v>
      </c>
      <c r="AF262" s="5">
        <f>IF($A262="","",IF($L262="","",ROUND($L262*100,0)))</f>
        <v>69</v>
      </c>
      <c r="AG262" s="18">
        <f>IF($A262="","",IF($M262="","",ROUND($M262*67,1)))</f>
        <v>9</v>
      </c>
      <c r="AH262" s="19">
        <f>IF($A262="","",IF($P262="","",IF($P262=0,0,$O262/$P262)))</f>
        <v>1</v>
      </c>
      <c r="AI262" s="5" t="str">
        <f>IF($A262="","",IF($P262="","",IF($P262&gt;=Lookups!$K$7,"High",IF($P262&lt;=Lookups!$K$8,"Low","Medium"))))</f>
        <v>Medium</v>
      </c>
      <c r="AJ262" s="5" t="str">
        <f>IF($A262="","",IF($AD262="","",IF($AD262&lt;5,"Under 5 C",IF($AD262&lt;10,"5-10 C",IF($AD262&lt;15,"10-15 C","15 C and above")))))</f>
        <v>5-10 C</v>
      </c>
      <c r="AK262" s="5">
        <f>IF($A262="","",IF($P262="","",$P262^2))</f>
        <v>2916</v>
      </c>
      <c r="AL262" s="18">
        <f>IF($V262&lt;&gt;1,"",AVERAGEIFS(Clean_Data!$P$2:$P$1001,Clean_Data!$F$2:$F$1001,$F262,Clean_Data!$W$2:$W$1001,$W262,Clean_Data!$V$2:$V$1001,1))</f>
        <v>78.0344827586207</v>
      </c>
      <c r="AM262" s="16">
        <f>IF($V262&lt;&gt;1,"",IFERROR(($P262-$AL262)/SQRT(MAX(0,(SUMIFS(Clean_Data!$AK$2:$AK$1001,Clean_Data!$F$2:$F$1001,$F262,Clean_Data!$W$2:$W$1001,$W262,Clean_Data!$V$2:$V$1001,1)-COUNTIFS(Clean_Data!$F$2:$F$1001,$F262,Clean_Data!$W$2:$W$1001,$W262,Clean_Data!$V$2:$V$1001,1)*$AL262^2)/(COUNTIFS(Clean_Data!$F$2:$F$1001,$F262,Clean_Data!$W$2:$W$1001,$W262,Clean_Data!$V$2:$V$1001,1)-1))),""))</f>
        <v>-1.06192615796104</v>
      </c>
      <c r="AN262" s="5" t="str">
        <f>IF($AM262="","",IF($AM262&gt;=Lookups!$K$6,"High spike",IF($AM262&lt;=-Lookups!$K$6,"Unusual low","Normal")))</f>
        <v>Normal</v>
      </c>
      <c r="AO262" s="20">
        <f>IF($V262&lt;&gt;1,"",$P262+ROW()/100000)</f>
        <v>54.00262</v>
      </c>
      <c r="AP262" s="5">
        <f>IF($A262="","",IFERROR(MATCH($A262,Raw_D1!$A$2:$A$1001,0),""))</f>
        <v>261</v>
      </c>
      <c r="AQ262" s="5">
        <f>IF($A262="","",IFERROR(MATCH($A262,Raw_D2!$B$2:$B$1001,0),""))</f>
        <v>261</v>
      </c>
      <c r="AR262" s="5">
        <f>IF($A262="","",IFERROR(MATCH($A262,Raw_D3!$A$2:$A$1001,0),""))</f>
        <v/>
      </c>
    </row>
    <row r="263" spans="1:44" x14ac:dyDescent="0.25">
      <c r="A263" s="5">
        <v>262</v>
      </c>
      <c r="B263" s="11">
        <f>IF($A263="","",IF($AP263&lt;&gt;"",INDEX(Raw_D1!$B$2:$B$1001,$AP263),IF($AR263&lt;&gt;"",INDEX(Raw_D3!$B$2:$B$1001,$AR263),"")))</f>
        <v>40555.0</v>
      </c>
      <c r="C263" s="5">
        <f>IF($A263="","",IF($AP263&lt;&gt;"",INDEX(Raw_D1!$C$2:$C$1001,$AP263),IF($AR263&lt;&gt;"",INDEX(Raw_D3!$C$2:$C$1001,$AR263),"")))</f>
        <v>1</v>
      </c>
      <c r="D263" s="5">
        <f>IF($A263="","",IF($AP263&lt;&gt;"",INDEX(Raw_D1!$D$2:$D$1001,$AP263),IF($AR263&lt;&gt;"",INDEX(Raw_D3!$D$2:$D$1001,$AR263),"")))</f>
        <v>0</v>
      </c>
      <c r="E263" s="5">
        <f>IF($A263="","",IF($AP263&lt;&gt;"",INDEX(Raw_D1!$E$2:$E$1001,$AP263),IF($AR263&lt;&gt;"",INDEX(Raw_D3!$E$2:$E$1001,$AR263),"")))</f>
        <v>1</v>
      </c>
      <c r="F263" s="5">
        <f>IF($A263="","",IF($AP263&lt;&gt;"",INDEX(Raw_D1!$F$2:$F$1001,$AP263),IF($AR263&lt;&gt;"",INDEX(Raw_D3!$F$2:$F$1001,$AR263),"")))</f>
        <v>8</v>
      </c>
      <c r="G263" s="5">
        <f>IF($A263="","",IF($AP263&lt;&gt;"",IF(INDEX(Raw_D1!$G$2:$G$1001,$AP263),1,0),IF($AR263&lt;&gt;"",IF(INDEX(Raw_D3!$G$2:$G$1001,$AR263),1,0),"")))</f>
        <v>0</v>
      </c>
      <c r="H263" s="5">
        <f>IF($A263="","",IF($AP263&lt;&gt;"",INDEX(Raw_D1!$H$2:$H$1001,$AP263),IF($AR263&lt;&gt;"",INDEX(Raw_D3!$H$2:$H$1001,$AR263),"")))</f>
        <v>3</v>
      </c>
      <c r="I263" s="5">
        <f>IF($A263="","",IF($AP263&lt;&gt;"",INDEX(Raw_D1!$I$2:$I$1001,$AP263),IF($AR263&lt;&gt;"",INDEX(Raw_D3!$I$2:$I$1001,$AR263),"")))</f>
        <v>1</v>
      </c>
      <c r="J263" s="16">
        <f>IF($A263="","",IF($AP263&lt;&gt;"",INDEX(Raw_D1!$J$2:$J$1001,$AP263),IF($AR263&lt;&gt;"",INDEX(Raw_D3!$J$2:$J$1001,$AR263),"")))</f>
        <v>0.16</v>
      </c>
      <c r="K263" s="17">
        <f>IF($A263="","",IF($AQ263&lt;&gt;"",IF(INDEX(Raw_D2!$C$2:$C$1001,$AQ263)="","",INDEX(Raw_D2!$C$2:$C$1001,$AQ263)),IF($AR263&lt;&gt;"",IF(INDEX(Raw_D3!$K$2:$K$1001,$AR263)="","",INDEX(Raw_D3!$K$2:$K$1001,$AR263)),"")))</f>
        <v>0.1667</v>
      </c>
      <c r="L263" s="16">
        <f>IF($A263="","",IF($AQ263&lt;&gt;"",IF(INDEX(Raw_D2!$D$2:$D$1001,$AQ263)="","",INDEX(Raw_D2!$D$2:$D$1001,$AQ263)),IF($AR263&lt;&gt;"",IF(INDEX(Raw_D3!$L$2:$L$1001,$AR263)="","",INDEX(Raw_D3!$L$2:$L$1001,$AR263)),"")))</f>
        <v>0.59</v>
      </c>
      <c r="M263" s="17">
        <f>IF($A263="","",IF($AQ263&lt;&gt;"",IF(INDEX(Raw_D2!$E$2:$E$1001,$AQ263)="","",INDEX(Raw_D2!$E$2:$E$1001,$AQ263)),IF($AR263&lt;&gt;"",IF(INDEX(Raw_D3!$M$2:$M$1001,$AR263)="","",INDEX(Raw_D3!$M$2:$M$1001,$AR263)),"")))</f>
        <v>0.1642</v>
      </c>
      <c r="N263" s="5">
        <f>IF($A263="","",IF($AQ263&lt;&gt;"",IF(INDEX(Raw_D2!$F$2:$F$1001,$AQ263)="","",INDEX(Raw_D2!$F$2:$F$1001,$AQ263)),IF($AR263&lt;&gt;"",IF(INDEX(Raw_D3!$N$2:$N$1001,$AR263)="","",INDEX(Raw_D3!$N$2:$N$1001,$AR263)),"")))</f>
        <v>3</v>
      </c>
      <c r="O263" s="5">
        <f>IF($A263="","",IF($AQ263&lt;&gt;"",IF(INDEX(Raw_D2!$G$2:$G$1001,$AQ263)="","",INDEX(Raw_D2!$G$2:$G$1001,$AQ263)),IF($AR263&lt;&gt;"",IF(INDEX(Raw_D3!$O$2:$O$1001,$AR263)="","",INDEX(Raw_D3!$O$2:$O$1001,$AR263)),"")))</f>
        <v>125</v>
      </c>
      <c r="P263" s="5">
        <f>IF($A263="","",IF($AQ263&lt;&gt;"",IF(INDEX(Raw_D2!$H$2:$H$1001,$AQ263)="","",INDEX(Raw_D2!$H$2:$H$1001,$AQ263)),IF($AR263&lt;&gt;"",IF(INDEX(Raw_D3!$P$2:$P$1001,$AR263)="","",INDEX(Raw_D3!$P$2:$P$1001,$AR263)),"")))</f>
        <v>128</v>
      </c>
      <c r="Q263" s="5" t="str">
        <f>IF($A263="","",IF(AND($AP263&lt;&gt;"",$AQ263&lt;&gt;""),"D1+D2",IF($AR263&lt;&gt;"","D3","Incomplete")))</f>
        <v>D1+D2</v>
      </c>
      <c r="R263" s="17">
        <f>IF($A263="","",IF($K263="",IF($J263="","",ROUND(Lookups!$K$5+Lookups!$K$4*$J263,4)),$K263))</f>
        <v>0.1667</v>
      </c>
      <c r="S263" s="5" t="str">
        <f>IF($A263="","",IF($K263="","Imputed","Original"))</f>
        <v>Original</v>
      </c>
      <c r="T263" s="5" t="str">
        <f>IF($A263="","",IF($P263="","Missing",IF($P263=$N263+$O263,"OK","Mismatch")))</f>
        <v>OK</v>
      </c>
      <c r="U263" s="5" t="str">
        <f>IF($A263="","",IF(COUNTIF($A$2:$A263,$A263)&gt;1,"Duplicate","Unique"))</f>
        <v>Unique</v>
      </c>
      <c r="V263" s="5">
        <f>IF($A263="","",IF(AND($U263="Unique",ISNUMBER($P263)),1,0))</f>
        <v>1</v>
      </c>
      <c r="W263" s="5" t="str">
        <f>IF($A263="","",IF(OR($H263=0,$H263=6),"Weekend","Weekday"))</f>
        <v>Weekday</v>
      </c>
      <c r="X263" s="5" t="str">
        <f>IF($A263="","",TEXT($B263,"ddd"))</f>
        <v>Wed</v>
      </c>
      <c r="Y263" s="5" t="str">
        <f>IF($A263="","",TEXT($B263,"mmm"))</f>
        <v>Jan</v>
      </c>
      <c r="Z263" s="5" t="str">
        <f>IF($A263="","",IFERROR(VLOOKUP($C263,Lookups!$D$4:$E$7,2,FALSE),"Unknown"))</f>
        <v>Winter</v>
      </c>
      <c r="AA263" s="5" t="str">
        <f>IF($A263="","",IFERROR(VLOOKUP($I263,Lookups!$A$4:$B$7,2,FALSE),"Unknown"))</f>
        <v>Clear</v>
      </c>
      <c r="AB263" s="5" t="str">
        <f>IF($A263="","",TEXT($F263,"00")&amp;":00")</f>
        <v>08:00</v>
      </c>
      <c r="AC263" s="5" t="str">
        <f>IF($A263="","",VLOOKUP($F263,Lookups!$G$4:$H$8,2,TRUE))</f>
        <v>Morning Peak (06-09)</v>
      </c>
      <c r="AD263" s="18">
        <f>IF($A263="","",IF($J263="","",ROUND($J263*41,1)))</f>
        <v>6.6</v>
      </c>
      <c r="AE263" s="18">
        <f>IF($A263="","",IF($R263="","",ROUND($R263*50,1)))</f>
        <v>8.3</v>
      </c>
      <c r="AF263" s="5">
        <f>IF($A263="","",IF($L263="","",ROUND($L263*100,0)))</f>
        <v>59</v>
      </c>
      <c r="AG263" s="18">
        <f>IF($A263="","",IF($M263="","",ROUND($M263*67,1)))</f>
        <v>11</v>
      </c>
      <c r="AH263" s="19">
        <f>IF($A263="","",IF($P263="","",IF($P263=0,0,$O263/$P263)))</f>
        <v>0.9765625</v>
      </c>
      <c r="AI263" s="5" t="str">
        <f>IF($A263="","",IF($P263="","",IF($P263&gt;=Lookups!$K$7,"High",IF($P263&lt;=Lookups!$K$8,"Low","Medium"))))</f>
        <v>High</v>
      </c>
      <c r="AJ263" s="5" t="str">
        <f>IF($A263="","",IF($AD263="","",IF($AD263&lt;5,"Under 5 C",IF($AD263&lt;10,"5-10 C",IF($AD263&lt;15,"10-15 C","15 C and above")))))</f>
        <v>5-10 C</v>
      </c>
      <c r="AK263" s="5">
        <f>IF($A263="","",IF($P263="","",$P263^2))</f>
        <v>16384</v>
      </c>
      <c r="AL263" s="18">
        <f>IF($V263&lt;&gt;1,"",AVERAGEIFS(Clean_Data!$P$2:$P$1001,Clean_Data!$F$2:$F$1001,$F263,Clean_Data!$W$2:$W$1001,$W263,Clean_Data!$V$2:$V$1001,1))</f>
        <v>183.535714285714</v>
      </c>
      <c r="AM263" s="16">
        <f>IF($V263&lt;&gt;1,"",IFERROR(($P263-$AL263)/SQRT(MAX(0,(SUMIFS(Clean_Data!$AK$2:$AK$1001,Clean_Data!$F$2:$F$1001,$F263,Clean_Data!$W$2:$W$1001,$W263,Clean_Data!$V$2:$V$1001,1)-COUNTIFS(Clean_Data!$F$2:$F$1001,$F263,Clean_Data!$W$2:$W$1001,$W263,Clean_Data!$V$2:$V$1001,1)*$AL263^2)/(COUNTIFS(Clean_Data!$F$2:$F$1001,$F263,Clean_Data!$W$2:$W$1001,$W263,Clean_Data!$V$2:$V$1001,1)-1))),""))</f>
        <v>-1.13942698788646</v>
      </c>
      <c r="AN263" s="5" t="str">
        <f>IF($AM263="","",IF($AM263&gt;=Lookups!$K$6,"High spike",IF($AM263&lt;=-Lookups!$K$6,"Unusual low","Normal")))</f>
        <v>Normal</v>
      </c>
      <c r="AO263" s="20">
        <f>IF($V263&lt;&gt;1,"",$P263+ROW()/100000)</f>
        <v>128.00263</v>
      </c>
      <c r="AP263" s="5">
        <f>IF($A263="","",IFERROR(MATCH($A263,Raw_D1!$A$2:$A$1001,0),""))</f>
        <v>262</v>
      </c>
      <c r="AQ263" s="5">
        <f>IF($A263="","",IFERROR(MATCH($A263,Raw_D2!$B$2:$B$1001,0),""))</f>
        <v>262</v>
      </c>
      <c r="AR263" s="5">
        <f>IF($A263="","",IFERROR(MATCH($A263,Raw_D3!$A$2:$A$1001,0),""))</f>
        <v/>
      </c>
    </row>
    <row r="264" spans="1:44" x14ac:dyDescent="0.25">
      <c r="A264" s="5">
        <v>263</v>
      </c>
      <c r="B264" s="11">
        <f>IF($A264="","",IF($AP264&lt;&gt;"",INDEX(Raw_D1!$B$2:$B$1001,$AP264),IF($AR264&lt;&gt;"",INDEX(Raw_D3!$B$2:$B$1001,$AR264),"")))</f>
        <v>40555.0</v>
      </c>
      <c r="C264" s="5">
        <f>IF($A264="","",IF($AP264&lt;&gt;"",INDEX(Raw_D1!$C$2:$C$1001,$AP264),IF($AR264&lt;&gt;"",INDEX(Raw_D3!$C$2:$C$1001,$AR264),"")))</f>
        <v>1</v>
      </c>
      <c r="D264" s="5">
        <f>IF($A264="","",IF($AP264&lt;&gt;"",INDEX(Raw_D1!$D$2:$D$1001,$AP264),IF($AR264&lt;&gt;"",INDEX(Raw_D3!$D$2:$D$1001,$AR264),"")))</f>
        <v>0</v>
      </c>
      <c r="E264" s="5">
        <f>IF($A264="","",IF($AP264&lt;&gt;"",INDEX(Raw_D1!$E$2:$E$1001,$AP264),IF($AR264&lt;&gt;"",INDEX(Raw_D3!$E$2:$E$1001,$AR264),"")))</f>
        <v>1</v>
      </c>
      <c r="F264" s="5">
        <f>IF($A264="","",IF($AP264&lt;&gt;"",INDEX(Raw_D1!$F$2:$F$1001,$AP264),IF($AR264&lt;&gt;"",INDEX(Raw_D3!$F$2:$F$1001,$AR264),"")))</f>
        <v>9</v>
      </c>
      <c r="G264" s="5">
        <f>IF($A264="","",IF($AP264&lt;&gt;"",IF(INDEX(Raw_D1!$G$2:$G$1001,$AP264),1,0),IF($AR264&lt;&gt;"",IF(INDEX(Raw_D3!$G$2:$G$1001,$AR264),1,0),"")))</f>
        <v>0</v>
      </c>
      <c r="H264" s="5">
        <f>IF($A264="","",IF($AP264&lt;&gt;"",INDEX(Raw_D1!$H$2:$H$1001,$AP264),IF($AR264&lt;&gt;"",INDEX(Raw_D3!$H$2:$H$1001,$AR264),"")))</f>
        <v>3</v>
      </c>
      <c r="I264" s="5">
        <f>IF($A264="","",IF($AP264&lt;&gt;"",INDEX(Raw_D1!$I$2:$I$1001,$AP264),IF($AR264&lt;&gt;"",INDEX(Raw_D3!$I$2:$I$1001,$AR264),"")))</f>
        <v>1</v>
      </c>
      <c r="J264" s="16">
        <f>IF($A264="","",IF($AP264&lt;&gt;"",INDEX(Raw_D1!$J$2:$J$1001,$AP264),IF($AR264&lt;&gt;"",INDEX(Raw_D3!$J$2:$J$1001,$AR264),"")))</f>
        <v>0.16</v>
      </c>
      <c r="K264" s="17">
        <f>IF($A264="","",IF($AQ264&lt;&gt;"",IF(INDEX(Raw_D2!$C$2:$C$1001,$AQ264)="","",INDEX(Raw_D2!$C$2:$C$1001,$AQ264)),IF($AR264&lt;&gt;"",IF(INDEX(Raw_D3!$K$2:$K$1001,$AR264)="","",INDEX(Raw_D3!$K$2:$K$1001,$AR264)),"")))</f>
        <v>0.1364</v>
      </c>
      <c r="L264" s="16">
        <f>IF($A264="","",IF($AQ264&lt;&gt;"",IF(INDEX(Raw_D2!$D$2:$D$1001,$AQ264)="","",INDEX(Raw_D2!$D$2:$D$1001,$AQ264)),IF($AR264&lt;&gt;"",IF(INDEX(Raw_D3!$L$2:$L$1001,$AR264)="","",INDEX(Raw_D3!$L$2:$L$1001,$AR264)),"")))</f>
        <v>0.59</v>
      </c>
      <c r="M264" s="17">
        <f>IF($A264="","",IF($AQ264&lt;&gt;"",IF(INDEX(Raw_D2!$E$2:$E$1001,$AQ264)="","",INDEX(Raw_D2!$E$2:$E$1001,$AQ264)),IF($AR264&lt;&gt;"",IF(INDEX(Raw_D3!$M$2:$M$1001,$AR264)="","",INDEX(Raw_D3!$M$2:$M$1001,$AR264)),"")))</f>
        <v>0.3284</v>
      </c>
      <c r="N264" s="5">
        <f>IF($A264="","",IF($AQ264&lt;&gt;"",IF(INDEX(Raw_D2!$F$2:$F$1001,$AQ264)="","",INDEX(Raw_D2!$F$2:$F$1001,$AQ264)),IF($AR264&lt;&gt;"",IF(INDEX(Raw_D3!$N$2:$N$1001,$AR264)="","",INDEX(Raw_D3!$N$2:$N$1001,$AR264)),"")))</f>
        <v>3</v>
      </c>
      <c r="O264" s="5">
        <f>IF($A264="","",IF($AQ264&lt;&gt;"",IF(INDEX(Raw_D2!$G$2:$G$1001,$AQ264)="","",INDEX(Raw_D2!$G$2:$G$1001,$AQ264)),IF($AR264&lt;&gt;"",IF(INDEX(Raw_D3!$O$2:$O$1001,$AR264)="","",INDEX(Raw_D3!$O$2:$O$1001,$AR264)),"")))</f>
        <v>78</v>
      </c>
      <c r="P264" s="5">
        <f>IF($A264="","",IF($AQ264&lt;&gt;"",IF(INDEX(Raw_D2!$H$2:$H$1001,$AQ264)="","",INDEX(Raw_D2!$H$2:$H$1001,$AQ264)),IF($AR264&lt;&gt;"",IF(INDEX(Raw_D3!$P$2:$P$1001,$AR264)="","",INDEX(Raw_D3!$P$2:$P$1001,$AR264)),"")))</f>
        <v>81</v>
      </c>
      <c r="Q264" s="5" t="str">
        <f>IF($A264="","",IF(AND($AP264&lt;&gt;"",$AQ264&lt;&gt;""),"D1+D2",IF($AR264&lt;&gt;"","D3","Incomplete")))</f>
        <v>D1+D2</v>
      </c>
      <c r="R264" s="17">
        <f>IF($A264="","",IF($K264="",IF($J264="","",ROUND(Lookups!$K$5+Lookups!$K$4*$J264,4)),$K264))</f>
        <v>0.1364</v>
      </c>
      <c r="S264" s="5" t="str">
        <f>IF($A264="","",IF($K264="","Imputed","Original"))</f>
        <v>Original</v>
      </c>
      <c r="T264" s="5" t="str">
        <f>IF($A264="","",IF($P264="","Missing",IF($P264=$N264+$O264,"OK","Mismatch")))</f>
        <v>OK</v>
      </c>
      <c r="U264" s="5" t="str">
        <f>IF($A264="","",IF(COUNTIF($A$2:$A264,$A264)&gt;1,"Duplicate","Unique"))</f>
        <v>Unique</v>
      </c>
      <c r="V264" s="5">
        <f>IF($A264="","",IF(AND($U264="Unique",ISNUMBER($P264)),1,0))</f>
        <v>1</v>
      </c>
      <c r="W264" s="5" t="str">
        <f>IF($A264="","",IF(OR($H264=0,$H264=6),"Weekend","Weekday"))</f>
        <v>Weekday</v>
      </c>
      <c r="X264" s="5" t="str">
        <f>IF($A264="","",TEXT($B264,"ddd"))</f>
        <v>Wed</v>
      </c>
      <c r="Y264" s="5" t="str">
        <f>IF($A264="","",TEXT($B264,"mmm"))</f>
        <v>Jan</v>
      </c>
      <c r="Z264" s="5" t="str">
        <f>IF($A264="","",IFERROR(VLOOKUP($C264,Lookups!$D$4:$E$7,2,FALSE),"Unknown"))</f>
        <v>Winter</v>
      </c>
      <c r="AA264" s="5" t="str">
        <f>IF($A264="","",IFERROR(VLOOKUP($I264,Lookups!$A$4:$B$7,2,FALSE),"Unknown"))</f>
        <v>Clear</v>
      </c>
      <c r="AB264" s="5" t="str">
        <f>IF($A264="","",TEXT($F264,"00")&amp;":00")</f>
        <v>09:00</v>
      </c>
      <c r="AC264" s="5" t="str">
        <f>IF($A264="","",VLOOKUP($F264,Lookups!$G$4:$H$8,2,TRUE))</f>
        <v>Morning Peak (06-09)</v>
      </c>
      <c r="AD264" s="18">
        <f>IF($A264="","",IF($J264="","",ROUND($J264*41,1)))</f>
        <v>6.6</v>
      </c>
      <c r="AE264" s="18">
        <f>IF($A264="","",IF($R264="","",ROUND($R264*50,1)))</f>
        <v>6.8</v>
      </c>
      <c r="AF264" s="5">
        <f>IF($A264="","",IF($L264="","",ROUND($L264*100,0)))</f>
        <v>59</v>
      </c>
      <c r="AG264" s="18">
        <f>IF($A264="","",IF($M264="","",ROUND($M264*67,1)))</f>
        <v>22</v>
      </c>
      <c r="AH264" s="19">
        <f>IF($A264="","",IF($P264="","",IF($P264=0,0,$O264/$P264)))</f>
        <v>0.962962962962963</v>
      </c>
      <c r="AI264" s="5" t="str">
        <f>IF($A264="","",IF($P264="","",IF($P264&gt;=Lookups!$K$7,"High",IF($P264&lt;=Lookups!$K$8,"Low","Medium"))))</f>
        <v>Medium</v>
      </c>
      <c r="AJ264" s="5" t="str">
        <f>IF($A264="","",IF($AD264="","",IF($AD264&lt;5,"Under 5 C",IF($AD264&lt;10,"5-10 C",IF($AD264&lt;15,"10-15 C","15 C and above")))))</f>
        <v>5-10 C</v>
      </c>
      <c r="AK264" s="5">
        <f>IF($A264="","",IF($P264="","",$P264^2))</f>
        <v>6561</v>
      </c>
      <c r="AL264" s="18">
        <f>IF($V264&lt;&gt;1,"",AVERAGEIFS(Clean_Data!$P$2:$P$1001,Clean_Data!$F$2:$F$1001,$F264,Clean_Data!$W$2:$W$1001,$W264,Clean_Data!$V$2:$V$1001,1))</f>
        <v>115.678571428571</v>
      </c>
      <c r="AM264" s="16">
        <f>IF($V264&lt;&gt;1,"",IFERROR(($P264-$AL264)/SQRT(MAX(0,(SUMIFS(Clean_Data!$AK$2:$AK$1001,Clean_Data!$F$2:$F$1001,$F264,Clean_Data!$W$2:$W$1001,$W264,Clean_Data!$V$2:$V$1001,1)-COUNTIFS(Clean_Data!$F$2:$F$1001,$F264,Clean_Data!$W$2:$W$1001,$W264,Clean_Data!$V$2:$V$1001,1)*$AL264^2)/(COUNTIFS(Clean_Data!$F$2:$F$1001,$F264,Clean_Data!$W$2:$W$1001,$W264,Clean_Data!$V$2:$V$1001,1)-1))),""))</f>
        <v>-1.34526039864615</v>
      </c>
      <c r="AN264" s="5" t="str">
        <f>IF($AM264="","",IF($AM264&gt;=Lookups!$K$6,"High spike",IF($AM264&lt;=-Lookups!$K$6,"Unusual low","Normal")))</f>
        <v>Normal</v>
      </c>
      <c r="AO264" s="20">
        <f>IF($V264&lt;&gt;1,"",$P264+ROW()/100000)</f>
        <v>81.00264</v>
      </c>
      <c r="AP264" s="5">
        <f>IF($A264="","",IFERROR(MATCH($A264,Raw_D1!$A$2:$A$1001,0),""))</f>
        <v>263</v>
      </c>
      <c r="AQ264" s="5">
        <f>IF($A264="","",IFERROR(MATCH($A264,Raw_D2!$B$2:$B$1001,0),""))</f>
        <v>263</v>
      </c>
      <c r="AR264" s="5">
        <f>IF($A264="","",IFERROR(MATCH($A264,Raw_D3!$A$2:$A$1001,0),""))</f>
        <v/>
      </c>
    </row>
    <row r="265" spans="1:44" x14ac:dyDescent="0.25">
      <c r="A265" s="5">
        <v>264</v>
      </c>
      <c r="B265" s="11">
        <f>IF($A265="","",IF($AP265&lt;&gt;"",INDEX(Raw_D1!$B$2:$B$1001,$AP265),IF($AR265&lt;&gt;"",INDEX(Raw_D3!$B$2:$B$1001,$AR265),"")))</f>
        <v>40555.0</v>
      </c>
      <c r="C265" s="5">
        <f>IF($A265="","",IF($AP265&lt;&gt;"",INDEX(Raw_D1!$C$2:$C$1001,$AP265),IF($AR265&lt;&gt;"",INDEX(Raw_D3!$C$2:$C$1001,$AR265),"")))</f>
        <v>1</v>
      </c>
      <c r="D265" s="5">
        <f>IF($A265="","",IF($AP265&lt;&gt;"",INDEX(Raw_D1!$D$2:$D$1001,$AP265),IF($AR265&lt;&gt;"",INDEX(Raw_D3!$D$2:$D$1001,$AR265),"")))</f>
        <v>0</v>
      </c>
      <c r="E265" s="5">
        <f>IF($A265="","",IF($AP265&lt;&gt;"",INDEX(Raw_D1!$E$2:$E$1001,$AP265),IF($AR265&lt;&gt;"",INDEX(Raw_D3!$E$2:$E$1001,$AR265),"")))</f>
        <v>1</v>
      </c>
      <c r="F265" s="5">
        <f>IF($A265="","",IF($AP265&lt;&gt;"",INDEX(Raw_D1!$F$2:$F$1001,$AP265),IF($AR265&lt;&gt;"",INDEX(Raw_D3!$F$2:$F$1001,$AR265),"")))</f>
        <v>10</v>
      </c>
      <c r="G265" s="5">
        <f>IF($A265="","",IF($AP265&lt;&gt;"",IF(INDEX(Raw_D1!$G$2:$G$1001,$AP265),1,0),IF($AR265&lt;&gt;"",IF(INDEX(Raw_D3!$G$2:$G$1001,$AR265),1,0),"")))</f>
        <v>0</v>
      </c>
      <c r="H265" s="5">
        <f>IF($A265="","",IF($AP265&lt;&gt;"",INDEX(Raw_D1!$H$2:$H$1001,$AP265),IF($AR265&lt;&gt;"",INDEX(Raw_D3!$H$2:$H$1001,$AR265),"")))</f>
        <v>3</v>
      </c>
      <c r="I265" s="5">
        <f>IF($A265="","",IF($AP265&lt;&gt;"",INDEX(Raw_D1!$I$2:$I$1001,$AP265),IF($AR265&lt;&gt;"",INDEX(Raw_D3!$I$2:$I$1001,$AR265),"")))</f>
        <v>1</v>
      </c>
      <c r="J265" s="16">
        <f>IF($A265="","",IF($AP265&lt;&gt;"",INDEX(Raw_D1!$J$2:$J$1001,$AP265),IF($AR265&lt;&gt;"",INDEX(Raw_D3!$J$2:$J$1001,$AR265),"")))</f>
        <v>0.18</v>
      </c>
      <c r="K265" s="17">
        <f>IF($A265="","",IF($AQ265&lt;&gt;"",IF(INDEX(Raw_D2!$C$2:$C$1001,$AQ265)="","",INDEX(Raw_D2!$C$2:$C$1001,$AQ265)),IF($AR265&lt;&gt;"",IF(INDEX(Raw_D3!$K$2:$K$1001,$AR265)="","",INDEX(Raw_D3!$K$2:$K$1001,$AR265)),"")))</f>
        <v>0.1818</v>
      </c>
      <c r="L265" s="16">
        <f>IF($A265="","",IF($AQ265&lt;&gt;"",IF(INDEX(Raw_D2!$D$2:$D$1001,$AQ265)="","",INDEX(Raw_D2!$D$2:$D$1001,$AQ265)),IF($AR265&lt;&gt;"",IF(INDEX(Raw_D3!$L$2:$L$1001,$AR265)="","",INDEX(Raw_D3!$L$2:$L$1001,$AR265)),"")))</f>
        <v>0.55</v>
      </c>
      <c r="M265" s="17">
        <f>IF($A265="","",IF($AQ265&lt;&gt;"",IF(INDEX(Raw_D2!$E$2:$E$1001,$AQ265)="","",INDEX(Raw_D2!$E$2:$E$1001,$AQ265)),IF($AR265&lt;&gt;"",IF(INDEX(Raw_D3!$M$2:$M$1001,$AR265)="","",INDEX(Raw_D3!$M$2:$M$1001,$AR265)),"")))</f>
        <v>0.2239</v>
      </c>
      <c r="N265" s="5">
        <f>IF($A265="","",IF($AQ265&lt;&gt;"",IF(INDEX(Raw_D2!$F$2:$F$1001,$AQ265)="","",INDEX(Raw_D2!$F$2:$F$1001,$AQ265)),IF($AR265&lt;&gt;"",IF(INDEX(Raw_D3!$N$2:$N$1001,$AR265)="","",INDEX(Raw_D3!$N$2:$N$1001,$AR265)),"")))</f>
        <v>0</v>
      </c>
      <c r="O265" s="5">
        <f>IF($A265="","",IF($AQ265&lt;&gt;"",IF(INDEX(Raw_D2!$G$2:$G$1001,$AQ265)="","",INDEX(Raw_D2!$G$2:$G$1001,$AQ265)),IF($AR265&lt;&gt;"",IF(INDEX(Raw_D3!$O$2:$O$1001,$AR265)="","",INDEX(Raw_D3!$O$2:$O$1001,$AR265)),"")))</f>
        <v>39</v>
      </c>
      <c r="P265" s="5">
        <f>IF($A265="","",IF($AQ265&lt;&gt;"",IF(INDEX(Raw_D2!$H$2:$H$1001,$AQ265)="","",INDEX(Raw_D2!$H$2:$H$1001,$AQ265)),IF($AR265&lt;&gt;"",IF(INDEX(Raw_D3!$P$2:$P$1001,$AR265)="","",INDEX(Raw_D3!$P$2:$P$1001,$AR265)),"")))</f>
        <v>39</v>
      </c>
      <c r="Q265" s="5" t="str">
        <f>IF($A265="","",IF(AND($AP265&lt;&gt;"",$AQ265&lt;&gt;""),"D1+D2",IF($AR265&lt;&gt;"","D3","Incomplete")))</f>
        <v>D1+D2</v>
      </c>
      <c r="R265" s="17">
        <f>IF($A265="","",IF($K265="",IF($J265="","",ROUND(Lookups!$K$5+Lookups!$K$4*$J265,4)),$K265))</f>
        <v>0.1818</v>
      </c>
      <c r="S265" s="5" t="str">
        <f>IF($A265="","",IF($K265="","Imputed","Original"))</f>
        <v>Original</v>
      </c>
      <c r="T265" s="5" t="str">
        <f>IF($A265="","",IF($P265="","Missing",IF($P265=$N265+$O265,"OK","Mismatch")))</f>
        <v>OK</v>
      </c>
      <c r="U265" s="5" t="str">
        <f>IF($A265="","",IF(COUNTIF($A$2:$A265,$A265)&gt;1,"Duplicate","Unique"))</f>
        <v>Unique</v>
      </c>
      <c r="V265" s="5">
        <f>IF($A265="","",IF(AND($U265="Unique",ISNUMBER($P265)),1,0))</f>
        <v>1</v>
      </c>
      <c r="W265" s="5" t="str">
        <f>IF($A265="","",IF(OR($H265=0,$H265=6),"Weekend","Weekday"))</f>
        <v>Weekday</v>
      </c>
      <c r="X265" s="5" t="str">
        <f>IF($A265="","",TEXT($B265,"ddd"))</f>
        <v>Wed</v>
      </c>
      <c r="Y265" s="5" t="str">
        <f>IF($A265="","",TEXT($B265,"mmm"))</f>
        <v>Jan</v>
      </c>
      <c r="Z265" s="5" t="str">
        <f>IF($A265="","",IFERROR(VLOOKUP($C265,Lookups!$D$4:$E$7,2,FALSE),"Unknown"))</f>
        <v>Winter</v>
      </c>
      <c r="AA265" s="5" t="str">
        <f>IF($A265="","",IFERROR(VLOOKUP($I265,Lookups!$A$4:$B$7,2,FALSE),"Unknown"))</f>
        <v>Clear</v>
      </c>
      <c r="AB265" s="5" t="str">
        <f>IF($A265="","",TEXT($F265,"00")&amp;":00")</f>
        <v>10:00</v>
      </c>
      <c r="AC265" s="5" t="str">
        <f>IF($A265="","",VLOOKUP($F265,Lookups!$G$4:$H$8,2,TRUE))</f>
        <v>Midday (10-15)</v>
      </c>
      <c r="AD265" s="18">
        <f>IF($A265="","",IF($J265="","",ROUND($J265*41,1)))</f>
        <v>7.4</v>
      </c>
      <c r="AE265" s="18">
        <f>IF($A265="","",IF($R265="","",ROUND($R265*50,1)))</f>
        <v>9.1</v>
      </c>
      <c r="AF265" s="5">
        <f>IF($A265="","",IF($L265="","",ROUND($L265*100,0)))</f>
        <v>55</v>
      </c>
      <c r="AG265" s="18">
        <f>IF($A265="","",IF($M265="","",ROUND($M265*67,1)))</f>
        <v>15</v>
      </c>
      <c r="AH265" s="19">
        <f>IF($A265="","",IF($P265="","",IF($P265=0,0,$O265/$P265)))</f>
        <v>1</v>
      </c>
      <c r="AI265" s="5" t="str">
        <f>IF($A265="","",IF($P265="","",IF($P265&gt;=Lookups!$K$7,"High",IF($P265&lt;=Lookups!$K$8,"Low","Medium"))))</f>
        <v>Medium</v>
      </c>
      <c r="AJ265" s="5" t="str">
        <f>IF($A265="","",IF($AD265="","",IF($AD265&lt;5,"Under 5 C",IF($AD265&lt;10,"5-10 C",IF($AD265&lt;15,"10-15 C","15 C and above")))))</f>
        <v>5-10 C</v>
      </c>
      <c r="AK265" s="5">
        <f>IF($A265="","",IF($P265="","",$P265^2))</f>
        <v>1521</v>
      </c>
      <c r="AL265" s="18">
        <f>IF($V265&lt;&gt;1,"",AVERAGEIFS(Clean_Data!$P$2:$P$1001,Clean_Data!$F$2:$F$1001,$F265,Clean_Data!$W$2:$W$1001,$W265,Clean_Data!$V$2:$V$1001,1))</f>
        <v>49.0714285714286</v>
      </c>
      <c r="AM265" s="16">
        <f>IF($V265&lt;&gt;1,"",IFERROR(($P265-$AL265)/SQRT(MAX(0,(SUMIFS(Clean_Data!$AK$2:$AK$1001,Clean_Data!$F$2:$F$1001,$F265,Clean_Data!$W$2:$W$1001,$W265,Clean_Data!$V$2:$V$1001,1)-COUNTIFS(Clean_Data!$F$2:$F$1001,$F265,Clean_Data!$W$2:$W$1001,$W265,Clean_Data!$V$2:$V$1001,1)*$AL265^2)/(COUNTIFS(Clean_Data!$F$2:$F$1001,$F265,Clean_Data!$W$2:$W$1001,$W265,Clean_Data!$V$2:$V$1001,1)-1))),""))</f>
        <v>-0.997970934477728</v>
      </c>
      <c r="AN265" s="5" t="str">
        <f>IF($AM265="","",IF($AM265&gt;=Lookups!$K$6,"High spike",IF($AM265&lt;=-Lookups!$K$6,"Unusual low","Normal")))</f>
        <v>Normal</v>
      </c>
      <c r="AO265" s="20">
        <f>IF($V265&lt;&gt;1,"",$P265+ROW()/100000)</f>
        <v>39.00265</v>
      </c>
      <c r="AP265" s="5">
        <f>IF($A265="","",IFERROR(MATCH($A265,Raw_D1!$A$2:$A$1001,0),""))</f>
        <v>264</v>
      </c>
      <c r="AQ265" s="5">
        <f>IF($A265="","",IFERROR(MATCH($A265,Raw_D2!$B$2:$B$1001,0),""))</f>
        <v>264</v>
      </c>
      <c r="AR265" s="5">
        <f>IF($A265="","",IFERROR(MATCH($A265,Raw_D3!$A$2:$A$1001,0),""))</f>
        <v/>
      </c>
    </row>
    <row r="266" spans="1:44" x14ac:dyDescent="0.25">
      <c r="A266" s="5">
        <v>265</v>
      </c>
      <c r="B266" s="11">
        <f>IF($A266="","",IF($AP266&lt;&gt;"",INDEX(Raw_D1!$B$2:$B$1001,$AP266),IF($AR266&lt;&gt;"",INDEX(Raw_D3!$B$2:$B$1001,$AR266),"")))</f>
        <v>40555.0</v>
      </c>
      <c r="C266" s="5">
        <f>IF($A266="","",IF($AP266&lt;&gt;"",INDEX(Raw_D1!$C$2:$C$1001,$AP266),IF($AR266&lt;&gt;"",INDEX(Raw_D3!$C$2:$C$1001,$AR266),"")))</f>
        <v>1</v>
      </c>
      <c r="D266" s="5">
        <f>IF($A266="","",IF($AP266&lt;&gt;"",INDEX(Raw_D1!$D$2:$D$1001,$AP266),IF($AR266&lt;&gt;"",INDEX(Raw_D3!$D$2:$D$1001,$AR266),"")))</f>
        <v>0</v>
      </c>
      <c r="E266" s="5">
        <f>IF($A266="","",IF($AP266&lt;&gt;"",INDEX(Raw_D1!$E$2:$E$1001,$AP266),IF($AR266&lt;&gt;"",INDEX(Raw_D3!$E$2:$E$1001,$AR266),"")))</f>
        <v>1</v>
      </c>
      <c r="F266" s="5">
        <f>IF($A266="","",IF($AP266&lt;&gt;"",INDEX(Raw_D1!$F$2:$F$1001,$AP266),IF($AR266&lt;&gt;"",INDEX(Raw_D3!$F$2:$F$1001,$AR266),"")))</f>
        <v>11</v>
      </c>
      <c r="G266" s="5">
        <f>IF($A266="","",IF($AP266&lt;&gt;"",IF(INDEX(Raw_D1!$G$2:$G$1001,$AP266),1,0),IF($AR266&lt;&gt;"",IF(INDEX(Raw_D3!$G$2:$G$1001,$AR266),1,0),"")))</f>
        <v>0</v>
      </c>
      <c r="H266" s="5">
        <f>IF($A266="","",IF($AP266&lt;&gt;"",INDEX(Raw_D1!$H$2:$H$1001,$AP266),IF($AR266&lt;&gt;"",INDEX(Raw_D3!$H$2:$H$1001,$AR266),"")))</f>
        <v>3</v>
      </c>
      <c r="I266" s="5">
        <f>IF($A266="","",IF($AP266&lt;&gt;"",INDEX(Raw_D1!$I$2:$I$1001,$AP266),IF($AR266&lt;&gt;"",INDEX(Raw_D3!$I$2:$I$1001,$AR266),"")))</f>
        <v>1</v>
      </c>
      <c r="J266" s="16">
        <f>IF($A266="","",IF($AP266&lt;&gt;"",INDEX(Raw_D1!$J$2:$J$1001,$AP266),IF($AR266&lt;&gt;"",INDEX(Raw_D3!$J$2:$J$1001,$AR266),"")))</f>
        <v>0.2</v>
      </c>
      <c r="K266" s="17">
        <f>IF($A266="","",IF($AQ266&lt;&gt;"",IF(INDEX(Raw_D2!$C$2:$C$1001,$AQ266)="","",INDEX(Raw_D2!$C$2:$C$1001,$AQ266)),IF($AR266&lt;&gt;"",IF(INDEX(Raw_D3!$K$2:$K$1001,$AR266)="","",INDEX(Raw_D3!$K$2:$K$1001,$AR266)),"")))</f>
        <v>0.1818</v>
      </c>
      <c r="L266" s="16">
        <f>IF($A266="","",IF($AQ266&lt;&gt;"",IF(INDEX(Raw_D2!$D$2:$D$1001,$AQ266)="","",INDEX(Raw_D2!$D$2:$D$1001,$AQ266)),IF($AR266&lt;&gt;"",IF(INDEX(Raw_D3!$L$2:$L$1001,$AR266)="","",INDEX(Raw_D3!$L$2:$L$1001,$AR266)),"")))</f>
        <v>0.51</v>
      </c>
      <c r="M266" s="17">
        <f>IF($A266="","",IF($AQ266&lt;&gt;"",IF(INDEX(Raw_D2!$E$2:$E$1001,$AQ266)="","",INDEX(Raw_D2!$E$2:$E$1001,$AQ266)),IF($AR266&lt;&gt;"",IF(INDEX(Raw_D3!$M$2:$M$1001,$AR266)="","",INDEX(Raw_D3!$M$2:$M$1001,$AR266)),"")))</f>
        <v>0.3881</v>
      </c>
      <c r="N266" s="5">
        <f>IF($A266="","",IF($AQ266&lt;&gt;"",IF(INDEX(Raw_D2!$F$2:$F$1001,$AQ266)="","",INDEX(Raw_D2!$F$2:$F$1001,$AQ266)),IF($AR266&lt;&gt;"",IF(INDEX(Raw_D3!$N$2:$N$1001,$AR266)="","",INDEX(Raw_D3!$N$2:$N$1001,$AR266)),"")))</f>
        <v>3</v>
      </c>
      <c r="O266" s="5">
        <f>IF($A266="","",IF($AQ266&lt;&gt;"",IF(INDEX(Raw_D2!$G$2:$G$1001,$AQ266)="","",INDEX(Raw_D2!$G$2:$G$1001,$AQ266)),IF($AR266&lt;&gt;"",IF(INDEX(Raw_D3!$O$2:$O$1001,$AR266)="","",INDEX(Raw_D3!$O$2:$O$1001,$AR266)),"")))</f>
        <v>32</v>
      </c>
      <c r="P266" s="5">
        <f>IF($A266="","",IF($AQ266&lt;&gt;"",IF(INDEX(Raw_D2!$H$2:$H$1001,$AQ266)="","",INDEX(Raw_D2!$H$2:$H$1001,$AQ266)),IF($AR266&lt;&gt;"",IF(INDEX(Raw_D3!$P$2:$P$1001,$AR266)="","",INDEX(Raw_D3!$P$2:$P$1001,$AR266)),"")))</f>
        <v>35</v>
      </c>
      <c r="Q266" s="5" t="str">
        <f>IF($A266="","",IF(AND($AP266&lt;&gt;"",$AQ266&lt;&gt;""),"D1+D2",IF($AR266&lt;&gt;"","D3","Incomplete")))</f>
        <v>D1+D2</v>
      </c>
      <c r="R266" s="17">
        <f>IF($A266="","",IF($K266="",IF($J266="","",ROUND(Lookups!$K$5+Lookups!$K$4*$J266,4)),$K266))</f>
        <v>0.1818</v>
      </c>
      <c r="S266" s="5" t="str">
        <f>IF($A266="","",IF($K266="","Imputed","Original"))</f>
        <v>Original</v>
      </c>
      <c r="T266" s="5" t="str">
        <f>IF($A266="","",IF($P266="","Missing",IF($P266=$N266+$O266,"OK","Mismatch")))</f>
        <v>OK</v>
      </c>
      <c r="U266" s="5" t="str">
        <f>IF($A266="","",IF(COUNTIF($A$2:$A266,$A266)&gt;1,"Duplicate","Unique"))</f>
        <v>Unique</v>
      </c>
      <c r="V266" s="5">
        <f>IF($A266="","",IF(AND($U266="Unique",ISNUMBER($P266)),1,0))</f>
        <v>1</v>
      </c>
      <c r="W266" s="5" t="str">
        <f>IF($A266="","",IF(OR($H266=0,$H266=6),"Weekend","Weekday"))</f>
        <v>Weekday</v>
      </c>
      <c r="X266" s="5" t="str">
        <f>IF($A266="","",TEXT($B266,"ddd"))</f>
        <v>Wed</v>
      </c>
      <c r="Y266" s="5" t="str">
        <f>IF($A266="","",TEXT($B266,"mmm"))</f>
        <v>Jan</v>
      </c>
      <c r="Z266" s="5" t="str">
        <f>IF($A266="","",IFERROR(VLOOKUP($C266,Lookups!$D$4:$E$7,2,FALSE),"Unknown"))</f>
        <v>Winter</v>
      </c>
      <c r="AA266" s="5" t="str">
        <f>IF($A266="","",IFERROR(VLOOKUP($I266,Lookups!$A$4:$B$7,2,FALSE),"Unknown"))</f>
        <v>Clear</v>
      </c>
      <c r="AB266" s="5" t="str">
        <f>IF($A266="","",TEXT($F266,"00")&amp;":00")</f>
        <v>11:00</v>
      </c>
      <c r="AC266" s="5" t="str">
        <f>IF($A266="","",VLOOKUP($F266,Lookups!$G$4:$H$8,2,TRUE))</f>
        <v>Midday (10-15)</v>
      </c>
      <c r="AD266" s="18">
        <f>IF($A266="","",IF($J266="","",ROUND($J266*41,1)))</f>
        <v>8.2</v>
      </c>
      <c r="AE266" s="18">
        <f>IF($A266="","",IF($R266="","",ROUND($R266*50,1)))</f>
        <v>9.1</v>
      </c>
      <c r="AF266" s="5">
        <f>IF($A266="","",IF($L266="","",ROUND($L266*100,0)))</f>
        <v>51</v>
      </c>
      <c r="AG266" s="18">
        <f>IF($A266="","",IF($M266="","",ROUND($M266*67,1)))</f>
        <v>26</v>
      </c>
      <c r="AH266" s="19">
        <f>IF($A266="","",IF($P266="","",IF($P266=0,0,$O266/$P266)))</f>
        <v>0.914285714285714</v>
      </c>
      <c r="AI266" s="5" t="str">
        <f>IF($A266="","",IF($P266="","",IF($P266&gt;=Lookups!$K$7,"High",IF($P266&lt;=Lookups!$K$8,"Low","Medium"))))</f>
        <v>Medium</v>
      </c>
      <c r="AJ266" s="5" t="str">
        <f>IF($A266="","",IF($AD266="","",IF($AD266&lt;5,"Under 5 C",IF($AD266&lt;10,"5-10 C",IF($AD266&lt;15,"10-15 C","15 C and above")))))</f>
        <v>5-10 C</v>
      </c>
      <c r="AK266" s="5">
        <f>IF($A266="","",IF($P266="","",$P266^2))</f>
        <v>1225</v>
      </c>
      <c r="AL266" s="18">
        <f>IF($V266&lt;&gt;1,"",AVERAGEIFS(Clean_Data!$P$2:$P$1001,Clean_Data!$F$2:$F$1001,$F266,Clean_Data!$W$2:$W$1001,$W266,Clean_Data!$V$2:$V$1001,1))</f>
        <v>50.6071428571429</v>
      </c>
      <c r="AM266" s="16">
        <f>IF($V266&lt;&gt;1,"",IFERROR(($P266-$AL266)/SQRT(MAX(0,(SUMIFS(Clean_Data!$AK$2:$AK$1001,Clean_Data!$F$2:$F$1001,$F266,Clean_Data!$W$2:$W$1001,$W266,Clean_Data!$V$2:$V$1001,1)-COUNTIFS(Clean_Data!$F$2:$F$1001,$F266,Clean_Data!$W$2:$W$1001,$W266,Clean_Data!$V$2:$V$1001,1)*$AL266^2)/(COUNTIFS(Clean_Data!$F$2:$F$1001,$F266,Clean_Data!$W$2:$W$1001,$W266,Clean_Data!$V$2:$V$1001,1)-1))),""))</f>
        <v>-1.39312504394307</v>
      </c>
      <c r="AN266" s="5" t="str">
        <f>IF($AM266="","",IF($AM266&gt;=Lookups!$K$6,"High spike",IF($AM266&lt;=-Lookups!$K$6,"Unusual low","Normal")))</f>
        <v>Normal</v>
      </c>
      <c r="AO266" s="20">
        <f>IF($V266&lt;&gt;1,"",$P266+ROW()/100000)</f>
        <v>35.00266</v>
      </c>
      <c r="AP266" s="5">
        <f>IF($A266="","",IFERROR(MATCH($A266,Raw_D1!$A$2:$A$1001,0),""))</f>
        <v>265</v>
      </c>
      <c r="AQ266" s="5">
        <f>IF($A266="","",IFERROR(MATCH($A266,Raw_D2!$B$2:$B$1001,0),""))</f>
        <v>265</v>
      </c>
      <c r="AR266" s="5">
        <f>IF($A266="","",IFERROR(MATCH($A266,Raw_D3!$A$2:$A$1001,0),""))</f>
        <v/>
      </c>
    </row>
    <row r="267" spans="1:44" x14ac:dyDescent="0.25">
      <c r="A267" s="5">
        <v>266</v>
      </c>
      <c r="B267" s="11">
        <f>IF($A267="","",IF($AP267&lt;&gt;"",INDEX(Raw_D1!$B$2:$B$1001,$AP267),IF($AR267&lt;&gt;"",INDEX(Raw_D3!$B$2:$B$1001,$AR267),"")))</f>
        <v>40555.0</v>
      </c>
      <c r="C267" s="5">
        <f>IF($A267="","",IF($AP267&lt;&gt;"",INDEX(Raw_D1!$C$2:$C$1001,$AP267),IF($AR267&lt;&gt;"",INDEX(Raw_D3!$C$2:$C$1001,$AR267),"")))</f>
        <v>1</v>
      </c>
      <c r="D267" s="5">
        <f>IF($A267="","",IF($AP267&lt;&gt;"",INDEX(Raw_D1!$D$2:$D$1001,$AP267),IF($AR267&lt;&gt;"",INDEX(Raw_D3!$D$2:$D$1001,$AR267),"")))</f>
        <v>0</v>
      </c>
      <c r="E267" s="5">
        <f>IF($A267="","",IF($AP267&lt;&gt;"",INDEX(Raw_D1!$E$2:$E$1001,$AP267),IF($AR267&lt;&gt;"",INDEX(Raw_D3!$E$2:$E$1001,$AR267),"")))</f>
        <v>1</v>
      </c>
      <c r="F267" s="5">
        <f>IF($A267="","",IF($AP267&lt;&gt;"",INDEX(Raw_D1!$F$2:$F$1001,$AP267),IF($AR267&lt;&gt;"",INDEX(Raw_D3!$F$2:$F$1001,$AR267),"")))</f>
        <v>12</v>
      </c>
      <c r="G267" s="5">
        <f>IF($A267="","",IF($AP267&lt;&gt;"",IF(INDEX(Raw_D1!$G$2:$G$1001,$AP267),1,0),IF($AR267&lt;&gt;"",IF(INDEX(Raw_D3!$G$2:$G$1001,$AR267),1,0),"")))</f>
        <v>0</v>
      </c>
      <c r="H267" s="5">
        <f>IF($A267="","",IF($AP267&lt;&gt;"",INDEX(Raw_D1!$H$2:$H$1001,$AP267),IF($AR267&lt;&gt;"",INDEX(Raw_D3!$H$2:$H$1001,$AR267),"")))</f>
        <v>3</v>
      </c>
      <c r="I267" s="5">
        <f>IF($A267="","",IF($AP267&lt;&gt;"",INDEX(Raw_D1!$I$2:$I$1001,$AP267),IF($AR267&lt;&gt;"",INDEX(Raw_D3!$I$2:$I$1001,$AR267),"")))</f>
        <v>1</v>
      </c>
      <c r="J267" s="16">
        <f>IF($A267="","",IF($AP267&lt;&gt;"",INDEX(Raw_D1!$J$2:$J$1001,$AP267),IF($AR267&lt;&gt;"",INDEX(Raw_D3!$J$2:$J$1001,$AR267),"")))</f>
        <v>0.2</v>
      </c>
      <c r="K267" s="17">
        <f>IF($A267="","",IF($AQ267&lt;&gt;"",IF(INDEX(Raw_D2!$C$2:$C$1001,$AQ267)="","",INDEX(Raw_D2!$C$2:$C$1001,$AQ267)),IF($AR267&lt;&gt;"",IF(INDEX(Raw_D3!$K$2:$K$1001,$AR267)="","",INDEX(Raw_D3!$K$2:$K$1001,$AR267)),"")))</f>
        <v>0.1515</v>
      </c>
      <c r="L267" s="16">
        <f>IF($A267="","",IF($AQ267&lt;&gt;"",IF(INDEX(Raw_D2!$D$2:$D$1001,$AQ267)="","",INDEX(Raw_D2!$D$2:$D$1001,$AQ267)),IF($AR267&lt;&gt;"",IF(INDEX(Raw_D3!$L$2:$L$1001,$AR267)="","",INDEX(Raw_D3!$L$2:$L$1001,$AR267)),"")))</f>
        <v>0.47</v>
      </c>
      <c r="M267" s="17">
        <f>IF($A267="","",IF($AQ267&lt;&gt;"",IF(INDEX(Raw_D2!$E$2:$E$1001,$AQ267)="","",INDEX(Raw_D2!$E$2:$E$1001,$AQ267)),IF($AR267&lt;&gt;"",IF(INDEX(Raw_D3!$M$2:$M$1001,$AR267)="","",INDEX(Raw_D3!$M$2:$M$1001,$AR267)),"")))</f>
        <v>0.5821</v>
      </c>
      <c r="N267" s="5">
        <f>IF($A267="","",IF($AQ267&lt;&gt;"",IF(INDEX(Raw_D2!$F$2:$F$1001,$AQ267)="","",INDEX(Raw_D2!$F$2:$F$1001,$AQ267)),IF($AR267&lt;&gt;"",IF(INDEX(Raw_D3!$N$2:$N$1001,$AR267)="","",INDEX(Raw_D3!$N$2:$N$1001,$AR267)),"")))</f>
        <v>3</v>
      </c>
      <c r="O267" s="5">
        <f>IF($A267="","",IF($AQ267&lt;&gt;"",IF(INDEX(Raw_D2!$G$2:$G$1001,$AQ267)="","",INDEX(Raw_D2!$G$2:$G$1001,$AQ267)),IF($AR267&lt;&gt;"",IF(INDEX(Raw_D3!$O$2:$O$1001,$AR267)="","",INDEX(Raw_D3!$O$2:$O$1001,$AR267)),"")))</f>
        <v>52</v>
      </c>
      <c r="P267" s="5">
        <f>IF($A267="","",IF($AQ267&lt;&gt;"",IF(INDEX(Raw_D2!$H$2:$H$1001,$AQ267)="","",INDEX(Raw_D2!$H$2:$H$1001,$AQ267)),IF($AR267&lt;&gt;"",IF(INDEX(Raw_D3!$P$2:$P$1001,$AR267)="","",INDEX(Raw_D3!$P$2:$P$1001,$AR267)),"")))</f>
        <v>55</v>
      </c>
      <c r="Q267" s="5" t="str">
        <f>IF($A267="","",IF(AND($AP267&lt;&gt;"",$AQ267&lt;&gt;""),"D1+D2",IF($AR267&lt;&gt;"","D3","Incomplete")))</f>
        <v>D1+D2</v>
      </c>
      <c r="R267" s="17">
        <f>IF($A267="","",IF($K267="",IF($J267="","",ROUND(Lookups!$K$5+Lookups!$K$4*$J267,4)),$K267))</f>
        <v>0.1515</v>
      </c>
      <c r="S267" s="5" t="str">
        <f>IF($A267="","",IF($K267="","Imputed","Original"))</f>
        <v>Original</v>
      </c>
      <c r="T267" s="5" t="str">
        <f>IF($A267="","",IF($P267="","Missing",IF($P267=$N267+$O267,"OK","Mismatch")))</f>
        <v>OK</v>
      </c>
      <c r="U267" s="5" t="str">
        <f>IF($A267="","",IF(COUNTIF($A$2:$A267,$A267)&gt;1,"Duplicate","Unique"))</f>
        <v>Unique</v>
      </c>
      <c r="V267" s="5">
        <f>IF($A267="","",IF(AND($U267="Unique",ISNUMBER($P267)),1,0))</f>
        <v>1</v>
      </c>
      <c r="W267" s="5" t="str">
        <f>IF($A267="","",IF(OR($H267=0,$H267=6),"Weekend","Weekday"))</f>
        <v>Weekday</v>
      </c>
      <c r="X267" s="5" t="str">
        <f>IF($A267="","",TEXT($B267,"ddd"))</f>
        <v>Wed</v>
      </c>
      <c r="Y267" s="5" t="str">
        <f>IF($A267="","",TEXT($B267,"mmm"))</f>
        <v>Jan</v>
      </c>
      <c r="Z267" s="5" t="str">
        <f>IF($A267="","",IFERROR(VLOOKUP($C267,Lookups!$D$4:$E$7,2,FALSE),"Unknown"))</f>
        <v>Winter</v>
      </c>
      <c r="AA267" s="5" t="str">
        <f>IF($A267="","",IFERROR(VLOOKUP($I267,Lookups!$A$4:$B$7,2,FALSE),"Unknown"))</f>
        <v>Clear</v>
      </c>
      <c r="AB267" s="5" t="str">
        <f>IF($A267="","",TEXT($F267,"00")&amp;":00")</f>
        <v>12:00</v>
      </c>
      <c r="AC267" s="5" t="str">
        <f>IF($A267="","",VLOOKUP($F267,Lookups!$G$4:$H$8,2,TRUE))</f>
        <v>Midday (10-15)</v>
      </c>
      <c r="AD267" s="18">
        <f>IF($A267="","",IF($J267="","",ROUND($J267*41,1)))</f>
        <v>8.2</v>
      </c>
      <c r="AE267" s="18">
        <f>IF($A267="","",IF($R267="","",ROUND($R267*50,1)))</f>
        <v>7.6</v>
      </c>
      <c r="AF267" s="5">
        <f>IF($A267="","",IF($L267="","",ROUND($L267*100,0)))</f>
        <v>47</v>
      </c>
      <c r="AG267" s="18">
        <f>IF($A267="","",IF($M267="","",ROUND($M267*67,1)))</f>
        <v>39</v>
      </c>
      <c r="AH267" s="19">
        <f>IF($A267="","",IF($P267="","",IF($P267=0,0,$O267/$P267)))</f>
        <v>0.945454545454545</v>
      </c>
      <c r="AI267" s="5" t="str">
        <f>IF($A267="","",IF($P267="","",IF($P267&gt;=Lookups!$K$7,"High",IF($P267&lt;=Lookups!$K$8,"Low","Medium"))))</f>
        <v>Medium</v>
      </c>
      <c r="AJ267" s="5" t="str">
        <f>IF($A267="","",IF($AD267="","",IF($AD267&lt;5,"Under 5 C",IF($AD267&lt;10,"5-10 C",IF($AD267&lt;15,"10-15 C","15 C and above")))))</f>
        <v>5-10 C</v>
      </c>
      <c r="AK267" s="5">
        <f>IF($A267="","",IF($P267="","",$P267^2))</f>
        <v>3025</v>
      </c>
      <c r="AL267" s="18">
        <f>IF($V267&lt;&gt;1,"",AVERAGEIFS(Clean_Data!$P$2:$P$1001,Clean_Data!$F$2:$F$1001,$F267,Clean_Data!$W$2:$W$1001,$W267,Clean_Data!$V$2:$V$1001,1))</f>
        <v>64.5862068965517</v>
      </c>
      <c r="AM267" s="16">
        <f>IF($V267&lt;&gt;1,"",IFERROR(($P267-$AL267)/SQRT(MAX(0,(SUMIFS(Clean_Data!$AK$2:$AK$1001,Clean_Data!$F$2:$F$1001,$F267,Clean_Data!$W$2:$W$1001,$W267,Clean_Data!$V$2:$V$1001,1)-COUNTIFS(Clean_Data!$F$2:$F$1001,$F267,Clean_Data!$W$2:$W$1001,$W267,Clean_Data!$V$2:$V$1001,1)*$AL267^2)/(COUNTIFS(Clean_Data!$F$2:$F$1001,$F267,Clean_Data!$W$2:$W$1001,$W267,Clean_Data!$V$2:$V$1001,1)-1))),""))</f>
        <v>-0.511855289623339</v>
      </c>
      <c r="AN267" s="5" t="str">
        <f>IF($AM267="","",IF($AM267&gt;=Lookups!$K$6,"High spike",IF($AM267&lt;=-Lookups!$K$6,"Unusual low","Normal")))</f>
        <v>Normal</v>
      </c>
      <c r="AO267" s="20">
        <f>IF($V267&lt;&gt;1,"",$P267+ROW()/100000)</f>
        <v>55.00267</v>
      </c>
      <c r="AP267" s="5">
        <f>IF($A267="","",IFERROR(MATCH($A267,Raw_D1!$A$2:$A$1001,0),""))</f>
        <v>266</v>
      </c>
      <c r="AQ267" s="5">
        <f>IF($A267="","",IFERROR(MATCH($A267,Raw_D2!$B$2:$B$1001,0),""))</f>
        <v>266</v>
      </c>
      <c r="AR267" s="5">
        <f>IF($A267="","",IFERROR(MATCH($A267,Raw_D3!$A$2:$A$1001,0),""))</f>
        <v/>
      </c>
    </row>
    <row r="268" spans="1:44" x14ac:dyDescent="0.25">
      <c r="A268" s="5">
        <v>267</v>
      </c>
      <c r="B268" s="11">
        <f>IF($A268="","",IF($AP268&lt;&gt;"",INDEX(Raw_D1!$B$2:$B$1001,$AP268),IF($AR268&lt;&gt;"",INDEX(Raw_D3!$B$2:$B$1001,$AR268),"")))</f>
        <v>40555.0</v>
      </c>
      <c r="C268" s="5">
        <f>IF($A268="","",IF($AP268&lt;&gt;"",INDEX(Raw_D1!$C$2:$C$1001,$AP268),IF($AR268&lt;&gt;"",INDEX(Raw_D3!$C$2:$C$1001,$AR268),"")))</f>
        <v>1</v>
      </c>
      <c r="D268" s="5">
        <f>IF($A268="","",IF($AP268&lt;&gt;"",INDEX(Raw_D1!$D$2:$D$1001,$AP268),IF($AR268&lt;&gt;"",INDEX(Raw_D3!$D$2:$D$1001,$AR268),"")))</f>
        <v>0</v>
      </c>
      <c r="E268" s="5">
        <f>IF($A268="","",IF($AP268&lt;&gt;"",INDEX(Raw_D1!$E$2:$E$1001,$AP268),IF($AR268&lt;&gt;"",INDEX(Raw_D3!$E$2:$E$1001,$AR268),"")))</f>
        <v>1</v>
      </c>
      <c r="F268" s="5">
        <f>IF($A268="","",IF($AP268&lt;&gt;"",INDEX(Raw_D1!$F$2:$F$1001,$AP268),IF($AR268&lt;&gt;"",INDEX(Raw_D3!$F$2:$F$1001,$AR268),"")))</f>
        <v>13</v>
      </c>
      <c r="G268" s="5">
        <f>IF($A268="","",IF($AP268&lt;&gt;"",IF(INDEX(Raw_D1!$G$2:$G$1001,$AP268),1,0),IF($AR268&lt;&gt;"",IF(INDEX(Raw_D3!$G$2:$G$1001,$AR268),1,0),"")))</f>
        <v>0</v>
      </c>
      <c r="H268" s="5">
        <f>IF($A268="","",IF($AP268&lt;&gt;"",INDEX(Raw_D1!$H$2:$H$1001,$AP268),IF($AR268&lt;&gt;"",INDEX(Raw_D3!$H$2:$H$1001,$AR268),"")))</f>
        <v>3</v>
      </c>
      <c r="I268" s="5">
        <f>IF($A268="","",IF($AP268&lt;&gt;"",INDEX(Raw_D1!$I$2:$I$1001,$AP268),IF($AR268&lt;&gt;"",INDEX(Raw_D3!$I$2:$I$1001,$AR268),"")))</f>
        <v>1</v>
      </c>
      <c r="J268" s="16">
        <f>IF($A268="","",IF($AP268&lt;&gt;"",INDEX(Raw_D1!$J$2:$J$1001,$AP268),IF($AR268&lt;&gt;"",INDEX(Raw_D3!$J$2:$J$1001,$AR268),"")))</f>
        <v>0.22</v>
      </c>
      <c r="K268" s="17">
        <f>IF($A268="","",IF($AQ268&lt;&gt;"",IF(INDEX(Raw_D2!$C$2:$C$1001,$AQ268)="","",INDEX(Raw_D2!$C$2:$C$1001,$AQ268)),IF($AR268&lt;&gt;"",IF(INDEX(Raw_D3!$K$2:$K$1001,$AR268)="","",INDEX(Raw_D3!$K$2:$K$1001,$AR268)),"")))</f>
        <v>0.197</v>
      </c>
      <c r="L268" s="16">
        <f>IF($A268="","",IF($AQ268&lt;&gt;"",IF(INDEX(Raw_D2!$D$2:$D$1001,$AQ268)="","",INDEX(Raw_D2!$D$2:$D$1001,$AQ268)),IF($AR268&lt;&gt;"",IF(INDEX(Raw_D3!$L$2:$L$1001,$AR268)="","",INDEX(Raw_D3!$L$2:$L$1001,$AR268)),"")))</f>
        <v>0.44</v>
      </c>
      <c r="M268" s="17">
        <f>IF($A268="","",IF($AQ268&lt;&gt;"",IF(INDEX(Raw_D2!$E$2:$E$1001,$AQ268)="","",INDEX(Raw_D2!$E$2:$E$1001,$AQ268)),IF($AR268&lt;&gt;"",IF(INDEX(Raw_D3!$M$2:$M$1001,$AR268)="","",INDEX(Raw_D3!$M$2:$M$1001,$AR268)),"")))</f>
        <v>0.3582</v>
      </c>
      <c r="N268" s="5">
        <f>IF($A268="","",IF($AQ268&lt;&gt;"",IF(INDEX(Raw_D2!$F$2:$F$1001,$AQ268)="","",INDEX(Raw_D2!$F$2:$F$1001,$AQ268)),IF($AR268&lt;&gt;"",IF(INDEX(Raw_D3!$N$2:$N$1001,$AR268)="","",INDEX(Raw_D3!$N$2:$N$1001,$AR268)),"")))</f>
        <v>0</v>
      </c>
      <c r="O268" s="5">
        <f>IF($A268="","",IF($AQ268&lt;&gt;"",IF(INDEX(Raw_D2!$G$2:$G$1001,$AQ268)="","",INDEX(Raw_D2!$G$2:$G$1001,$AQ268)),IF($AR268&lt;&gt;"",IF(INDEX(Raw_D3!$O$2:$O$1001,$AR268)="","",INDEX(Raw_D3!$O$2:$O$1001,$AR268)),"")))</f>
        <v>49</v>
      </c>
      <c r="P268" s="5">
        <f>IF($A268="","",IF($AQ268&lt;&gt;"",IF(INDEX(Raw_D2!$H$2:$H$1001,$AQ268)="","",INDEX(Raw_D2!$H$2:$H$1001,$AQ268)),IF($AR268&lt;&gt;"",IF(INDEX(Raw_D3!$P$2:$P$1001,$AR268)="","",INDEX(Raw_D3!$P$2:$P$1001,$AR268)),"")))</f>
        <v>49</v>
      </c>
      <c r="Q268" s="5" t="str">
        <f>IF($A268="","",IF(AND($AP268&lt;&gt;"",$AQ268&lt;&gt;""),"D1+D2",IF($AR268&lt;&gt;"","D3","Incomplete")))</f>
        <v>D1+D2</v>
      </c>
      <c r="R268" s="17">
        <f>IF($A268="","",IF($K268="",IF($J268="","",ROUND(Lookups!$K$5+Lookups!$K$4*$J268,4)),$K268))</f>
        <v>0.197</v>
      </c>
      <c r="S268" s="5" t="str">
        <f>IF($A268="","",IF($K268="","Imputed","Original"))</f>
        <v>Original</v>
      </c>
      <c r="T268" s="5" t="str">
        <f>IF($A268="","",IF($P268="","Missing",IF($P268=$N268+$O268,"OK","Mismatch")))</f>
        <v>OK</v>
      </c>
      <c r="U268" s="5" t="str">
        <f>IF($A268="","",IF(COUNTIF($A$2:$A268,$A268)&gt;1,"Duplicate","Unique"))</f>
        <v>Unique</v>
      </c>
      <c r="V268" s="5">
        <f>IF($A268="","",IF(AND($U268="Unique",ISNUMBER($P268)),1,0))</f>
        <v>1</v>
      </c>
      <c r="W268" s="5" t="str">
        <f>IF($A268="","",IF(OR($H268=0,$H268=6),"Weekend","Weekday"))</f>
        <v>Weekday</v>
      </c>
      <c r="X268" s="5" t="str">
        <f>IF($A268="","",TEXT($B268,"ddd"))</f>
        <v>Wed</v>
      </c>
      <c r="Y268" s="5" t="str">
        <f>IF($A268="","",TEXT($B268,"mmm"))</f>
        <v>Jan</v>
      </c>
      <c r="Z268" s="5" t="str">
        <f>IF($A268="","",IFERROR(VLOOKUP($C268,Lookups!$D$4:$E$7,2,FALSE),"Unknown"))</f>
        <v>Winter</v>
      </c>
      <c r="AA268" s="5" t="str">
        <f>IF($A268="","",IFERROR(VLOOKUP($I268,Lookups!$A$4:$B$7,2,FALSE),"Unknown"))</f>
        <v>Clear</v>
      </c>
      <c r="AB268" s="5" t="str">
        <f>IF($A268="","",TEXT($F268,"00")&amp;":00")</f>
        <v>13:00</v>
      </c>
      <c r="AC268" s="5" t="str">
        <f>IF($A268="","",VLOOKUP($F268,Lookups!$G$4:$H$8,2,TRUE))</f>
        <v>Midday (10-15)</v>
      </c>
      <c r="AD268" s="18">
        <f>IF($A268="","",IF($J268="","",ROUND($J268*41,1)))</f>
        <v>9</v>
      </c>
      <c r="AE268" s="18">
        <f>IF($A268="","",IF($R268="","",ROUND($R268*50,1)))</f>
        <v>9.9</v>
      </c>
      <c r="AF268" s="5">
        <f>IF($A268="","",IF($L268="","",ROUND($L268*100,0)))</f>
        <v>44</v>
      </c>
      <c r="AG268" s="18">
        <f>IF($A268="","",IF($M268="","",ROUND($M268*67,1)))</f>
        <v>24</v>
      </c>
      <c r="AH268" s="19">
        <f>IF($A268="","",IF($P268="","",IF($P268=0,0,$O268/$P268)))</f>
        <v>1</v>
      </c>
      <c r="AI268" s="5" t="str">
        <f>IF($A268="","",IF($P268="","",IF($P268&gt;=Lookups!$K$7,"High",IF($P268&lt;=Lookups!$K$8,"Low","Medium"))))</f>
        <v>Medium</v>
      </c>
      <c r="AJ268" s="5" t="str">
        <f>IF($A268="","",IF($AD268="","",IF($AD268&lt;5,"Under 5 C",IF($AD268&lt;10,"5-10 C",IF($AD268&lt;15,"10-15 C","15 C and above")))))</f>
        <v>5-10 C</v>
      </c>
      <c r="AK268" s="5">
        <f>IF($A268="","",IF($P268="","",$P268^2))</f>
        <v>2401</v>
      </c>
      <c r="AL268" s="18">
        <f>IF($V268&lt;&gt;1,"",AVERAGEIFS(Clean_Data!$P$2:$P$1001,Clean_Data!$F$2:$F$1001,$F268,Clean_Data!$W$2:$W$1001,$W268,Clean_Data!$V$2:$V$1001,1))</f>
        <v>67.1724137931034</v>
      </c>
      <c r="AM268" s="16">
        <f>IF($V268&lt;&gt;1,"",IFERROR(($P268-$AL268)/SQRT(MAX(0,(SUMIFS(Clean_Data!$AK$2:$AK$1001,Clean_Data!$F$2:$F$1001,$F268,Clean_Data!$W$2:$W$1001,$W268,Clean_Data!$V$2:$V$1001,1)-COUNTIFS(Clean_Data!$F$2:$F$1001,$F268,Clean_Data!$W$2:$W$1001,$W268,Clean_Data!$V$2:$V$1001,1)*$AL268^2)/(COUNTIFS(Clean_Data!$F$2:$F$1001,$F268,Clean_Data!$W$2:$W$1001,$W268,Clean_Data!$V$2:$V$1001,1)-1))),""))</f>
        <v>-0.899978282029471</v>
      </c>
      <c r="AN268" s="5" t="str">
        <f>IF($AM268="","",IF($AM268&gt;=Lookups!$K$6,"High spike",IF($AM268&lt;=-Lookups!$K$6,"Unusual low","Normal")))</f>
        <v>Normal</v>
      </c>
      <c r="AO268" s="20">
        <f>IF($V268&lt;&gt;1,"",$P268+ROW()/100000)</f>
        <v>49.00268</v>
      </c>
      <c r="AP268" s="5">
        <f>IF($A268="","",IFERROR(MATCH($A268,Raw_D1!$A$2:$A$1001,0),""))</f>
        <v>267</v>
      </c>
      <c r="AQ268" s="5">
        <f>IF($A268="","",IFERROR(MATCH($A268,Raw_D2!$B$2:$B$1001,0),""))</f>
        <v>267</v>
      </c>
      <c r="AR268" s="5">
        <f>IF($A268="","",IFERROR(MATCH($A268,Raw_D3!$A$2:$A$1001,0),""))</f>
        <v/>
      </c>
    </row>
    <row r="269" spans="1:44" x14ac:dyDescent="0.25">
      <c r="A269" s="5">
        <v>268</v>
      </c>
      <c r="B269" s="11">
        <f>IF($A269="","",IF($AP269&lt;&gt;"",INDEX(Raw_D1!$B$2:$B$1001,$AP269),IF($AR269&lt;&gt;"",INDEX(Raw_D3!$B$2:$B$1001,$AR269),"")))</f>
        <v>40555.0</v>
      </c>
      <c r="C269" s="5">
        <f>IF($A269="","",IF($AP269&lt;&gt;"",INDEX(Raw_D1!$C$2:$C$1001,$AP269),IF($AR269&lt;&gt;"",INDEX(Raw_D3!$C$2:$C$1001,$AR269),"")))</f>
        <v>1</v>
      </c>
      <c r="D269" s="5">
        <f>IF($A269="","",IF($AP269&lt;&gt;"",INDEX(Raw_D1!$D$2:$D$1001,$AP269),IF($AR269&lt;&gt;"",INDEX(Raw_D3!$D$2:$D$1001,$AR269),"")))</f>
        <v>0</v>
      </c>
      <c r="E269" s="5">
        <f>IF($A269="","",IF($AP269&lt;&gt;"",INDEX(Raw_D1!$E$2:$E$1001,$AP269),IF($AR269&lt;&gt;"",INDEX(Raw_D3!$E$2:$E$1001,$AR269),"")))</f>
        <v>1</v>
      </c>
      <c r="F269" s="5">
        <f>IF($A269="","",IF($AP269&lt;&gt;"",INDEX(Raw_D1!$F$2:$F$1001,$AP269),IF($AR269&lt;&gt;"",INDEX(Raw_D3!$F$2:$F$1001,$AR269),"")))</f>
        <v>14</v>
      </c>
      <c r="G269" s="5">
        <f>IF($A269="","",IF($AP269&lt;&gt;"",IF(INDEX(Raw_D1!$G$2:$G$1001,$AP269),1,0),IF($AR269&lt;&gt;"",IF(INDEX(Raw_D3!$G$2:$G$1001,$AR269),1,0),"")))</f>
        <v>0</v>
      </c>
      <c r="H269" s="5">
        <f>IF($A269="","",IF($AP269&lt;&gt;"",INDEX(Raw_D1!$H$2:$H$1001,$AP269),IF($AR269&lt;&gt;"",INDEX(Raw_D3!$H$2:$H$1001,$AR269),"")))</f>
        <v>3</v>
      </c>
      <c r="I269" s="5">
        <f>IF($A269="","",IF($AP269&lt;&gt;"",INDEX(Raw_D1!$I$2:$I$1001,$AP269),IF($AR269&lt;&gt;"",INDEX(Raw_D3!$I$2:$I$1001,$AR269),"")))</f>
        <v>1</v>
      </c>
      <c r="J269" s="16">
        <f>IF($A269="","",IF($AP269&lt;&gt;"",INDEX(Raw_D1!$J$2:$J$1001,$AP269),IF($AR269&lt;&gt;"",INDEX(Raw_D3!$J$2:$J$1001,$AR269),"")))</f>
        <v>0.2</v>
      </c>
      <c r="K269" s="17">
        <f>IF($A269="","",IF($AQ269&lt;&gt;"",IF(INDEX(Raw_D2!$C$2:$C$1001,$AQ269)="","",INDEX(Raw_D2!$C$2:$C$1001,$AQ269)),IF($AR269&lt;&gt;"",IF(INDEX(Raw_D3!$K$2:$K$1001,$AR269)="","",INDEX(Raw_D3!$K$2:$K$1001,$AR269)),"")))</f>
        <v>0.1818</v>
      </c>
      <c r="L269" s="16">
        <f>IF($A269="","",IF($AQ269&lt;&gt;"",IF(INDEX(Raw_D2!$D$2:$D$1001,$AQ269)="","",INDEX(Raw_D2!$D$2:$D$1001,$AQ269)),IF($AR269&lt;&gt;"",IF(INDEX(Raw_D3!$L$2:$L$1001,$AR269)="","",INDEX(Raw_D3!$L$2:$L$1001,$AR269)),"")))</f>
        <v>0.47</v>
      </c>
      <c r="M269" s="17">
        <f>IF($A269="","",IF($AQ269&lt;&gt;"",IF(INDEX(Raw_D2!$E$2:$E$1001,$AQ269)="","",INDEX(Raw_D2!$E$2:$E$1001,$AQ269)),IF($AR269&lt;&gt;"",IF(INDEX(Raw_D3!$M$2:$M$1001,$AR269)="","",INDEX(Raw_D3!$M$2:$M$1001,$AR269)),"")))</f>
        <v>0.3284</v>
      </c>
      <c r="N269" s="5">
        <f>IF($A269="","",IF($AQ269&lt;&gt;"",IF(INDEX(Raw_D2!$F$2:$F$1001,$AQ269)="","",INDEX(Raw_D2!$F$2:$F$1001,$AQ269)),IF($AR269&lt;&gt;"",IF(INDEX(Raw_D3!$N$2:$N$1001,$AR269)="","",INDEX(Raw_D3!$N$2:$N$1001,$AR269)),"")))</f>
        <v>0</v>
      </c>
      <c r="O269" s="5">
        <f>IF($A269="","",IF($AQ269&lt;&gt;"",IF(INDEX(Raw_D2!$G$2:$G$1001,$AQ269)="","",INDEX(Raw_D2!$G$2:$G$1001,$AQ269)),IF($AR269&lt;&gt;"",IF(INDEX(Raw_D3!$O$2:$O$1001,$AR269)="","",INDEX(Raw_D3!$O$2:$O$1001,$AR269)),"")))</f>
        <v>44</v>
      </c>
      <c r="P269" s="5">
        <f>IF($A269="","",IF($AQ269&lt;&gt;"",IF(INDEX(Raw_D2!$H$2:$H$1001,$AQ269)="","",INDEX(Raw_D2!$H$2:$H$1001,$AQ269)),IF($AR269&lt;&gt;"",IF(INDEX(Raw_D3!$P$2:$P$1001,$AR269)="","",INDEX(Raw_D3!$P$2:$P$1001,$AR269)),"")))</f>
        <v>44</v>
      </c>
      <c r="Q269" s="5" t="str">
        <f>IF($A269="","",IF(AND($AP269&lt;&gt;"",$AQ269&lt;&gt;""),"D1+D2",IF($AR269&lt;&gt;"","D3","Incomplete")))</f>
        <v>D1+D2</v>
      </c>
      <c r="R269" s="17">
        <f>IF($A269="","",IF($K269="",IF($J269="","",ROUND(Lookups!$K$5+Lookups!$K$4*$J269,4)),$K269))</f>
        <v>0.1818</v>
      </c>
      <c r="S269" s="5" t="str">
        <f>IF($A269="","",IF($K269="","Imputed","Original"))</f>
        <v>Original</v>
      </c>
      <c r="T269" s="5" t="str">
        <f>IF($A269="","",IF($P269="","Missing",IF($P269=$N269+$O269,"OK","Mismatch")))</f>
        <v>OK</v>
      </c>
      <c r="U269" s="5" t="str">
        <f>IF($A269="","",IF(COUNTIF($A$2:$A269,$A269)&gt;1,"Duplicate","Unique"))</f>
        <v>Unique</v>
      </c>
      <c r="V269" s="5">
        <f>IF($A269="","",IF(AND($U269="Unique",ISNUMBER($P269)),1,0))</f>
        <v>1</v>
      </c>
      <c r="W269" s="5" t="str">
        <f>IF($A269="","",IF(OR($H269=0,$H269=6),"Weekend","Weekday"))</f>
        <v>Weekday</v>
      </c>
      <c r="X269" s="5" t="str">
        <f>IF($A269="","",TEXT($B269,"ddd"))</f>
        <v>Wed</v>
      </c>
      <c r="Y269" s="5" t="str">
        <f>IF($A269="","",TEXT($B269,"mmm"))</f>
        <v>Jan</v>
      </c>
      <c r="Z269" s="5" t="str">
        <f>IF($A269="","",IFERROR(VLOOKUP($C269,Lookups!$D$4:$E$7,2,FALSE),"Unknown"))</f>
        <v>Winter</v>
      </c>
      <c r="AA269" s="5" t="str">
        <f>IF($A269="","",IFERROR(VLOOKUP($I269,Lookups!$A$4:$B$7,2,FALSE),"Unknown"))</f>
        <v>Clear</v>
      </c>
      <c r="AB269" s="5" t="str">
        <f>IF($A269="","",TEXT($F269,"00")&amp;":00")</f>
        <v>14:00</v>
      </c>
      <c r="AC269" s="5" t="str">
        <f>IF($A269="","",VLOOKUP($F269,Lookups!$G$4:$H$8,2,TRUE))</f>
        <v>Midday (10-15)</v>
      </c>
      <c r="AD269" s="18">
        <f>IF($A269="","",IF($J269="","",ROUND($J269*41,1)))</f>
        <v>8.2</v>
      </c>
      <c r="AE269" s="18">
        <f>IF($A269="","",IF($R269="","",ROUND($R269*50,1)))</f>
        <v>9.1</v>
      </c>
      <c r="AF269" s="5">
        <f>IF($A269="","",IF($L269="","",ROUND($L269*100,0)))</f>
        <v>47</v>
      </c>
      <c r="AG269" s="18">
        <f>IF($A269="","",IF($M269="","",ROUND($M269*67,1)))</f>
        <v>22</v>
      </c>
      <c r="AH269" s="19">
        <f>IF($A269="","",IF($P269="","",IF($P269=0,0,$O269/$P269)))</f>
        <v>1</v>
      </c>
      <c r="AI269" s="5" t="str">
        <f>IF($A269="","",IF($P269="","",IF($P269&gt;=Lookups!$K$7,"High",IF($P269&lt;=Lookups!$K$8,"Low","Medium"))))</f>
        <v>Medium</v>
      </c>
      <c r="AJ269" s="5" t="str">
        <f>IF($A269="","",IF($AD269="","",IF($AD269&lt;5,"Under 5 C",IF($AD269&lt;10,"5-10 C",IF($AD269&lt;15,"10-15 C","15 C and above")))))</f>
        <v>5-10 C</v>
      </c>
      <c r="AK269" s="5">
        <f>IF($A269="","",IF($P269="","",$P269^2))</f>
        <v>1936</v>
      </c>
      <c r="AL269" s="18">
        <f>IF($V269&lt;&gt;1,"",AVERAGEIFS(Clean_Data!$P$2:$P$1001,Clean_Data!$F$2:$F$1001,$F269,Clean_Data!$W$2:$W$1001,$W269,Clean_Data!$V$2:$V$1001,1))</f>
        <v>60.551724137931</v>
      </c>
      <c r="AM269" s="16">
        <f>IF($V269&lt;&gt;1,"",IFERROR(($P269-$AL269)/SQRT(MAX(0,(SUMIFS(Clean_Data!$AK$2:$AK$1001,Clean_Data!$F$2:$F$1001,$F269,Clean_Data!$W$2:$W$1001,$W269,Clean_Data!$V$2:$V$1001,1)-COUNTIFS(Clean_Data!$F$2:$F$1001,$F269,Clean_Data!$W$2:$W$1001,$W269,Clean_Data!$V$2:$V$1001,1)*$AL269^2)/(COUNTIFS(Clean_Data!$F$2:$F$1001,$F269,Clean_Data!$W$2:$W$1001,$W269,Clean_Data!$V$2:$V$1001,1)-1))),""))</f>
        <v>-1.00616375898618</v>
      </c>
      <c r="AN269" s="5" t="str">
        <f>IF($AM269="","",IF($AM269&gt;=Lookups!$K$6,"High spike",IF($AM269&lt;=-Lookups!$K$6,"Unusual low","Normal")))</f>
        <v>Normal</v>
      </c>
      <c r="AO269" s="20">
        <f>IF($V269&lt;&gt;1,"",$P269+ROW()/100000)</f>
        <v>44.00269</v>
      </c>
      <c r="AP269" s="5">
        <f>IF($A269="","",IFERROR(MATCH($A269,Raw_D1!$A$2:$A$1001,0),""))</f>
        <v>268</v>
      </c>
      <c r="AQ269" s="5">
        <f>IF($A269="","",IFERROR(MATCH($A269,Raw_D2!$B$2:$B$1001,0),""))</f>
        <v>268</v>
      </c>
      <c r="AR269" s="5">
        <f>IF($A269="","",IFERROR(MATCH($A269,Raw_D3!$A$2:$A$1001,0),""))</f>
        <v/>
      </c>
    </row>
    <row r="270" spans="1:44" x14ac:dyDescent="0.25">
      <c r="A270" s="5">
        <v>269</v>
      </c>
      <c r="B270" s="11">
        <f>IF($A270="","",IF($AP270&lt;&gt;"",INDEX(Raw_D1!$B$2:$B$1001,$AP270),IF($AR270&lt;&gt;"",INDEX(Raw_D3!$B$2:$B$1001,$AR270),"")))</f>
        <v>40555.0</v>
      </c>
      <c r="C270" s="5">
        <f>IF($A270="","",IF($AP270&lt;&gt;"",INDEX(Raw_D1!$C$2:$C$1001,$AP270),IF($AR270&lt;&gt;"",INDEX(Raw_D3!$C$2:$C$1001,$AR270),"")))</f>
        <v>1</v>
      </c>
      <c r="D270" s="5">
        <f>IF($A270="","",IF($AP270&lt;&gt;"",INDEX(Raw_D1!$D$2:$D$1001,$AP270),IF($AR270&lt;&gt;"",INDEX(Raw_D3!$D$2:$D$1001,$AR270),"")))</f>
        <v>0</v>
      </c>
      <c r="E270" s="5">
        <f>IF($A270="","",IF($AP270&lt;&gt;"",INDEX(Raw_D1!$E$2:$E$1001,$AP270),IF($AR270&lt;&gt;"",INDEX(Raw_D3!$E$2:$E$1001,$AR270),"")))</f>
        <v>1</v>
      </c>
      <c r="F270" s="5">
        <f>IF($A270="","",IF($AP270&lt;&gt;"",INDEX(Raw_D1!$F$2:$F$1001,$AP270),IF($AR270&lt;&gt;"",INDEX(Raw_D3!$F$2:$F$1001,$AR270),"")))</f>
        <v>15</v>
      </c>
      <c r="G270" s="5">
        <f>IF($A270="","",IF($AP270&lt;&gt;"",IF(INDEX(Raw_D1!$G$2:$G$1001,$AP270),1,0),IF($AR270&lt;&gt;"",IF(INDEX(Raw_D3!$G$2:$G$1001,$AR270),1,0),"")))</f>
        <v>0</v>
      </c>
      <c r="H270" s="5">
        <f>IF($A270="","",IF($AP270&lt;&gt;"",INDEX(Raw_D1!$H$2:$H$1001,$AP270),IF($AR270&lt;&gt;"",INDEX(Raw_D3!$H$2:$H$1001,$AR270),"")))</f>
        <v>3</v>
      </c>
      <c r="I270" s="5">
        <f>IF($A270="","",IF($AP270&lt;&gt;"",INDEX(Raw_D1!$I$2:$I$1001,$AP270),IF($AR270&lt;&gt;"",INDEX(Raw_D3!$I$2:$I$1001,$AR270),"")))</f>
        <v>1</v>
      </c>
      <c r="J270" s="16">
        <f>IF($A270="","",IF($AP270&lt;&gt;"",INDEX(Raw_D1!$J$2:$J$1001,$AP270),IF($AR270&lt;&gt;"",INDEX(Raw_D3!$J$2:$J$1001,$AR270),"")))</f>
        <v>0.2</v>
      </c>
      <c r="K270" s="17">
        <f>IF($A270="","",IF($AQ270&lt;&gt;"",IF(INDEX(Raw_D2!$C$2:$C$1001,$AQ270)="","",INDEX(Raw_D2!$C$2:$C$1001,$AQ270)),IF($AR270&lt;&gt;"",IF(INDEX(Raw_D3!$K$2:$K$1001,$AR270)="","",INDEX(Raw_D3!$K$2:$K$1001,$AR270)),"")))</f>
        <v>0.1667</v>
      </c>
      <c r="L270" s="16">
        <f>IF($A270="","",IF($AQ270&lt;&gt;"",IF(INDEX(Raw_D2!$D$2:$D$1001,$AQ270)="","",INDEX(Raw_D2!$D$2:$D$1001,$AQ270)),IF($AR270&lt;&gt;"",IF(INDEX(Raw_D3!$L$2:$L$1001,$AR270)="","",INDEX(Raw_D3!$L$2:$L$1001,$AR270)),"")))</f>
        <v>0.47</v>
      </c>
      <c r="M270" s="17">
        <f>IF($A270="","",IF($AQ270&lt;&gt;"",IF(INDEX(Raw_D2!$E$2:$E$1001,$AQ270)="","",INDEX(Raw_D2!$E$2:$E$1001,$AQ270)),IF($AR270&lt;&gt;"",IF(INDEX(Raw_D3!$M$2:$M$1001,$AR270)="","",INDEX(Raw_D3!$M$2:$M$1001,$AR270)),"")))</f>
        <v>0.4179</v>
      </c>
      <c r="N270" s="5">
        <f>IF($A270="","",IF($AQ270&lt;&gt;"",IF(INDEX(Raw_D2!$F$2:$F$1001,$AQ270)="","",INDEX(Raw_D2!$F$2:$F$1001,$AQ270)),IF($AR270&lt;&gt;"",IF(INDEX(Raw_D3!$N$2:$N$1001,$AR270)="","",INDEX(Raw_D3!$N$2:$N$1001,$AR270)),"")))</f>
        <v>1</v>
      </c>
      <c r="O270" s="5">
        <f>IF($A270="","",IF($AQ270&lt;&gt;"",IF(INDEX(Raw_D2!$G$2:$G$1001,$AQ270)="","",INDEX(Raw_D2!$G$2:$G$1001,$AQ270)),IF($AR270&lt;&gt;"",IF(INDEX(Raw_D3!$O$2:$O$1001,$AR270)="","",INDEX(Raw_D3!$O$2:$O$1001,$AR270)),"")))</f>
        <v>48</v>
      </c>
      <c r="P270" s="5">
        <f>IF($A270="","",IF($AQ270&lt;&gt;"",IF(INDEX(Raw_D2!$H$2:$H$1001,$AQ270)="","",INDEX(Raw_D2!$H$2:$H$1001,$AQ270)),IF($AR270&lt;&gt;"",IF(INDEX(Raw_D3!$P$2:$P$1001,$AR270)="","",INDEX(Raw_D3!$P$2:$P$1001,$AR270)),"")))</f>
        <v>49</v>
      </c>
      <c r="Q270" s="5" t="str">
        <f>IF($A270="","",IF(AND($AP270&lt;&gt;"",$AQ270&lt;&gt;""),"D1+D2",IF($AR270&lt;&gt;"","D3","Incomplete")))</f>
        <v>D1+D2</v>
      </c>
      <c r="R270" s="17">
        <f>IF($A270="","",IF($K270="",IF($J270="","",ROUND(Lookups!$K$5+Lookups!$K$4*$J270,4)),$K270))</f>
        <v>0.1667</v>
      </c>
      <c r="S270" s="5" t="str">
        <f>IF($A270="","",IF($K270="","Imputed","Original"))</f>
        <v>Original</v>
      </c>
      <c r="T270" s="5" t="str">
        <f>IF($A270="","",IF($P270="","Missing",IF($P270=$N270+$O270,"OK","Mismatch")))</f>
        <v>OK</v>
      </c>
      <c r="U270" s="5" t="str">
        <f>IF($A270="","",IF(COUNTIF($A$2:$A270,$A270)&gt;1,"Duplicate","Unique"))</f>
        <v>Unique</v>
      </c>
      <c r="V270" s="5">
        <f>IF($A270="","",IF(AND($U270="Unique",ISNUMBER($P270)),1,0))</f>
        <v>1</v>
      </c>
      <c r="W270" s="5" t="str">
        <f>IF($A270="","",IF(OR($H270=0,$H270=6),"Weekend","Weekday"))</f>
        <v>Weekday</v>
      </c>
      <c r="X270" s="5" t="str">
        <f>IF($A270="","",TEXT($B270,"ddd"))</f>
        <v>Wed</v>
      </c>
      <c r="Y270" s="5" t="str">
        <f>IF($A270="","",TEXT($B270,"mmm"))</f>
        <v>Jan</v>
      </c>
      <c r="Z270" s="5" t="str">
        <f>IF($A270="","",IFERROR(VLOOKUP($C270,Lookups!$D$4:$E$7,2,FALSE),"Unknown"))</f>
        <v>Winter</v>
      </c>
      <c r="AA270" s="5" t="str">
        <f>IF($A270="","",IFERROR(VLOOKUP($I270,Lookups!$A$4:$B$7,2,FALSE),"Unknown"))</f>
        <v>Clear</v>
      </c>
      <c r="AB270" s="5" t="str">
        <f>IF($A270="","",TEXT($F270,"00")&amp;":00")</f>
        <v>15:00</v>
      </c>
      <c r="AC270" s="5" t="str">
        <f>IF($A270="","",VLOOKUP($F270,Lookups!$G$4:$H$8,2,TRUE))</f>
        <v>Midday (10-15)</v>
      </c>
      <c r="AD270" s="18">
        <f>IF($A270="","",IF($J270="","",ROUND($J270*41,1)))</f>
        <v>8.2</v>
      </c>
      <c r="AE270" s="18">
        <f>IF($A270="","",IF($R270="","",ROUND($R270*50,1)))</f>
        <v>8.3</v>
      </c>
      <c r="AF270" s="5">
        <f>IF($A270="","",IF($L270="","",ROUND($L270*100,0)))</f>
        <v>47</v>
      </c>
      <c r="AG270" s="18">
        <f>IF($A270="","",IF($M270="","",ROUND($M270*67,1)))</f>
        <v>28</v>
      </c>
      <c r="AH270" s="19">
        <f>IF($A270="","",IF($P270="","",IF($P270=0,0,$O270/$P270)))</f>
        <v>0.979591836734694</v>
      </c>
      <c r="AI270" s="5" t="str">
        <f>IF($A270="","",IF($P270="","",IF($P270&gt;=Lookups!$K$7,"High",IF($P270&lt;=Lookups!$K$8,"Low","Medium"))))</f>
        <v>Medium</v>
      </c>
      <c r="AJ270" s="5" t="str">
        <f>IF($A270="","",IF($AD270="","",IF($AD270&lt;5,"Under 5 C",IF($AD270&lt;10,"5-10 C",IF($AD270&lt;15,"10-15 C","15 C and above")))))</f>
        <v>5-10 C</v>
      </c>
      <c r="AK270" s="5">
        <f>IF($A270="","",IF($P270="","",$P270^2))</f>
        <v>2401</v>
      </c>
      <c r="AL270" s="18">
        <f>IF($V270&lt;&gt;1,"",AVERAGEIFS(Clean_Data!$P$2:$P$1001,Clean_Data!$F$2:$F$1001,$F270,Clean_Data!$W$2:$W$1001,$W270,Clean_Data!$V$2:$V$1001,1))</f>
        <v>61.4827586206897</v>
      </c>
      <c r="AM270" s="16">
        <f>IF($V270&lt;&gt;1,"",IFERROR(($P270-$AL270)/SQRT(MAX(0,(SUMIFS(Clean_Data!$AK$2:$AK$1001,Clean_Data!$F$2:$F$1001,$F270,Clean_Data!$W$2:$W$1001,$W270,Clean_Data!$V$2:$V$1001,1)-COUNTIFS(Clean_Data!$F$2:$F$1001,$F270,Clean_Data!$W$2:$W$1001,$W270,Clean_Data!$V$2:$V$1001,1)*$AL270^2)/(COUNTIFS(Clean_Data!$F$2:$F$1001,$F270,Clean_Data!$W$2:$W$1001,$W270,Clean_Data!$V$2:$V$1001,1)-1))),""))</f>
        <v>-0.828038232005044</v>
      </c>
      <c r="AN270" s="5" t="str">
        <f>IF($AM270="","",IF($AM270&gt;=Lookups!$K$6,"High spike",IF($AM270&lt;=-Lookups!$K$6,"Unusual low","Normal")))</f>
        <v>Normal</v>
      </c>
      <c r="AO270" s="20">
        <f>IF($V270&lt;&gt;1,"",$P270+ROW()/100000)</f>
        <v>49.0027</v>
      </c>
      <c r="AP270" s="5">
        <f>IF($A270="","",IFERROR(MATCH($A270,Raw_D1!$A$2:$A$1001,0),""))</f>
        <v>269</v>
      </c>
      <c r="AQ270" s="5">
        <f>IF($A270="","",IFERROR(MATCH($A270,Raw_D2!$B$2:$B$1001,0),""))</f>
        <v>269</v>
      </c>
      <c r="AR270" s="5">
        <f>IF($A270="","",IFERROR(MATCH($A270,Raw_D3!$A$2:$A$1001,0),""))</f>
        <v/>
      </c>
    </row>
    <row r="271" spans="1:44" x14ac:dyDescent="0.25">
      <c r="A271" s="5">
        <v>270</v>
      </c>
      <c r="B271" s="11">
        <f>IF($A271="","",IF($AP271&lt;&gt;"",INDEX(Raw_D1!$B$2:$B$1001,$AP271),IF($AR271&lt;&gt;"",INDEX(Raw_D3!$B$2:$B$1001,$AR271),"")))</f>
        <v>40555.0</v>
      </c>
      <c r="C271" s="5">
        <f>IF($A271="","",IF($AP271&lt;&gt;"",INDEX(Raw_D1!$C$2:$C$1001,$AP271),IF($AR271&lt;&gt;"",INDEX(Raw_D3!$C$2:$C$1001,$AR271),"")))</f>
        <v>1</v>
      </c>
      <c r="D271" s="5">
        <f>IF($A271="","",IF($AP271&lt;&gt;"",INDEX(Raw_D1!$D$2:$D$1001,$AP271),IF($AR271&lt;&gt;"",INDEX(Raw_D3!$D$2:$D$1001,$AR271),"")))</f>
        <v>0</v>
      </c>
      <c r="E271" s="5">
        <f>IF($A271="","",IF($AP271&lt;&gt;"",INDEX(Raw_D1!$E$2:$E$1001,$AP271),IF($AR271&lt;&gt;"",INDEX(Raw_D3!$E$2:$E$1001,$AR271),"")))</f>
        <v>1</v>
      </c>
      <c r="F271" s="5">
        <f>IF($A271="","",IF($AP271&lt;&gt;"",INDEX(Raw_D1!$F$2:$F$1001,$AP271),IF($AR271&lt;&gt;"",INDEX(Raw_D3!$F$2:$F$1001,$AR271),"")))</f>
        <v>16</v>
      </c>
      <c r="G271" s="5">
        <f>IF($A271="","",IF($AP271&lt;&gt;"",IF(INDEX(Raw_D1!$G$2:$G$1001,$AP271),1,0),IF($AR271&lt;&gt;"",IF(INDEX(Raw_D3!$G$2:$G$1001,$AR271),1,0),"")))</f>
        <v>0</v>
      </c>
      <c r="H271" s="5">
        <f>IF($A271="","",IF($AP271&lt;&gt;"",INDEX(Raw_D1!$H$2:$H$1001,$AP271),IF($AR271&lt;&gt;"",INDEX(Raw_D3!$H$2:$H$1001,$AR271),"")))</f>
        <v>3</v>
      </c>
      <c r="I271" s="5">
        <f>IF($A271="","",IF($AP271&lt;&gt;"",INDEX(Raw_D1!$I$2:$I$1001,$AP271),IF($AR271&lt;&gt;"",INDEX(Raw_D3!$I$2:$I$1001,$AR271),"")))</f>
        <v>1</v>
      </c>
      <c r="J271" s="16">
        <f>IF($A271="","",IF($AP271&lt;&gt;"",INDEX(Raw_D1!$J$2:$J$1001,$AP271),IF($AR271&lt;&gt;"",INDEX(Raw_D3!$J$2:$J$1001,$AR271),"")))</f>
        <v>0.22</v>
      </c>
      <c r="K271" s="17">
        <f>IF($A271="","",IF($AQ271&lt;&gt;"",IF(INDEX(Raw_D2!$C$2:$C$1001,$AQ271)="","",INDEX(Raw_D2!$C$2:$C$1001,$AQ271)),IF($AR271&lt;&gt;"",IF(INDEX(Raw_D3!$K$2:$K$1001,$AR271)="","",INDEX(Raw_D3!$K$2:$K$1001,$AR271)),"")))</f>
        <v>0.197</v>
      </c>
      <c r="L271" s="16">
        <f>IF($A271="","",IF($AQ271&lt;&gt;"",IF(INDEX(Raw_D2!$D$2:$D$1001,$AQ271)="","",INDEX(Raw_D2!$D$2:$D$1001,$AQ271)),IF($AR271&lt;&gt;"",IF(INDEX(Raw_D3!$L$2:$L$1001,$AR271)="","",INDEX(Raw_D3!$L$2:$L$1001,$AR271)),"")))</f>
        <v>0.44</v>
      </c>
      <c r="M271" s="17">
        <f>IF($A271="","",IF($AQ271&lt;&gt;"",IF(INDEX(Raw_D2!$E$2:$E$1001,$AQ271)="","",INDEX(Raw_D2!$E$2:$E$1001,$AQ271)),IF($AR271&lt;&gt;"",IF(INDEX(Raw_D3!$M$2:$M$1001,$AR271)="","",INDEX(Raw_D3!$M$2:$M$1001,$AR271)),"")))</f>
        <v>0.3284</v>
      </c>
      <c r="N271" s="5">
        <f>IF($A271="","",IF($AQ271&lt;&gt;"",IF(INDEX(Raw_D2!$F$2:$F$1001,$AQ271)="","",INDEX(Raw_D2!$F$2:$F$1001,$AQ271)),IF($AR271&lt;&gt;"",IF(INDEX(Raw_D3!$N$2:$N$1001,$AR271)="","",INDEX(Raw_D3!$N$2:$N$1001,$AR271)),"")))</f>
        <v>5</v>
      </c>
      <c r="O271" s="5">
        <f>IF($A271="","",IF($AQ271&lt;&gt;"",IF(INDEX(Raw_D2!$G$2:$G$1001,$AQ271)="","",INDEX(Raw_D2!$G$2:$G$1001,$AQ271)),IF($AR271&lt;&gt;"",IF(INDEX(Raw_D3!$O$2:$O$1001,$AR271)="","",INDEX(Raw_D3!$O$2:$O$1001,$AR271)),"")))</f>
        <v>63</v>
      </c>
      <c r="P271" s="5">
        <f>IF($A271="","",IF($AQ271&lt;&gt;"",IF(INDEX(Raw_D2!$H$2:$H$1001,$AQ271)="","",INDEX(Raw_D2!$H$2:$H$1001,$AQ271)),IF($AR271&lt;&gt;"",IF(INDEX(Raw_D3!$P$2:$P$1001,$AR271)="","",INDEX(Raw_D3!$P$2:$P$1001,$AR271)),"")))</f>
        <v>68</v>
      </c>
      <c r="Q271" s="5" t="str">
        <f>IF($A271="","",IF(AND($AP271&lt;&gt;"",$AQ271&lt;&gt;""),"D1+D2",IF($AR271&lt;&gt;"","D3","Incomplete")))</f>
        <v>D1+D2</v>
      </c>
      <c r="R271" s="17">
        <f>IF($A271="","",IF($K271="",IF($J271="","",ROUND(Lookups!$K$5+Lookups!$K$4*$J271,4)),$K271))</f>
        <v>0.197</v>
      </c>
      <c r="S271" s="5" t="str">
        <f>IF($A271="","",IF($K271="","Imputed","Original"))</f>
        <v>Original</v>
      </c>
      <c r="T271" s="5" t="str">
        <f>IF($A271="","",IF($P271="","Missing",IF($P271=$N271+$O271,"OK","Mismatch")))</f>
        <v>OK</v>
      </c>
      <c r="U271" s="5" t="str">
        <f>IF($A271="","",IF(COUNTIF($A$2:$A271,$A271)&gt;1,"Duplicate","Unique"))</f>
        <v>Unique</v>
      </c>
      <c r="V271" s="5">
        <f>IF($A271="","",IF(AND($U271="Unique",ISNUMBER($P271)),1,0))</f>
        <v>1</v>
      </c>
      <c r="W271" s="5" t="str">
        <f>IF($A271="","",IF(OR($H271=0,$H271=6),"Weekend","Weekday"))</f>
        <v>Weekday</v>
      </c>
      <c r="X271" s="5" t="str">
        <f>IF($A271="","",TEXT($B271,"ddd"))</f>
        <v>Wed</v>
      </c>
      <c r="Y271" s="5" t="str">
        <f>IF($A271="","",TEXT($B271,"mmm"))</f>
        <v>Jan</v>
      </c>
      <c r="Z271" s="5" t="str">
        <f>IF($A271="","",IFERROR(VLOOKUP($C271,Lookups!$D$4:$E$7,2,FALSE),"Unknown"))</f>
        <v>Winter</v>
      </c>
      <c r="AA271" s="5" t="str">
        <f>IF($A271="","",IFERROR(VLOOKUP($I271,Lookups!$A$4:$B$7,2,FALSE),"Unknown"))</f>
        <v>Clear</v>
      </c>
      <c r="AB271" s="5" t="str">
        <f>IF($A271="","",TEXT($F271,"00")&amp;":00")</f>
        <v>16:00</v>
      </c>
      <c r="AC271" s="5" t="str">
        <f>IF($A271="","",VLOOKUP($F271,Lookups!$G$4:$H$8,2,TRUE))</f>
        <v>Evening Peak (16-19)</v>
      </c>
      <c r="AD271" s="18">
        <f>IF($A271="","",IF($J271="","",ROUND($J271*41,1)))</f>
        <v>9</v>
      </c>
      <c r="AE271" s="18">
        <f>IF($A271="","",IF($R271="","",ROUND($R271*50,1)))</f>
        <v>9.9</v>
      </c>
      <c r="AF271" s="5">
        <f>IF($A271="","",IF($L271="","",ROUND($L271*100,0)))</f>
        <v>44</v>
      </c>
      <c r="AG271" s="18">
        <f>IF($A271="","",IF($M271="","",ROUND($M271*67,1)))</f>
        <v>22</v>
      </c>
      <c r="AH271" s="19">
        <f>IF($A271="","",IF($P271="","",IF($P271=0,0,$O271/$P271)))</f>
        <v>0.926470588235294</v>
      </c>
      <c r="AI271" s="5" t="str">
        <f>IF($A271="","",IF($P271="","",IF($P271&gt;=Lookups!$K$7,"High",IF($P271&lt;=Lookups!$K$8,"Low","Medium"))))</f>
        <v>Medium</v>
      </c>
      <c r="AJ271" s="5" t="str">
        <f>IF($A271="","",IF($AD271="","",IF($AD271&lt;5,"Under 5 C",IF($AD271&lt;10,"5-10 C",IF($AD271&lt;15,"10-15 C","15 C and above")))))</f>
        <v>5-10 C</v>
      </c>
      <c r="AK271" s="5">
        <f>IF($A271="","",IF($P271="","",$P271^2))</f>
        <v>4624</v>
      </c>
      <c r="AL271" s="18">
        <f>IF($V271&lt;&gt;1,"",AVERAGEIFS(Clean_Data!$P$2:$P$1001,Clean_Data!$F$2:$F$1001,$F271,Clean_Data!$W$2:$W$1001,$W271,Clean_Data!$V$2:$V$1001,1))</f>
        <v>82.6333333333333</v>
      </c>
      <c r="AM271" s="16">
        <f>IF($V271&lt;&gt;1,"",IFERROR(($P271-$AL271)/SQRT(MAX(0,(SUMIFS(Clean_Data!$AK$2:$AK$1001,Clean_Data!$F$2:$F$1001,$F271,Clean_Data!$W$2:$W$1001,$W271,Clean_Data!$V$2:$V$1001,1)-COUNTIFS(Clean_Data!$F$2:$F$1001,$F271,Clean_Data!$W$2:$W$1001,$W271,Clean_Data!$V$2:$V$1001,1)*$AL271^2)/(COUNTIFS(Clean_Data!$F$2:$F$1001,$F271,Clean_Data!$W$2:$W$1001,$W271,Clean_Data!$V$2:$V$1001,1)-1))),""))</f>
        <v>-0.705428419665182</v>
      </c>
      <c r="AN271" s="5" t="str">
        <f>IF($AM271="","",IF($AM271&gt;=Lookups!$K$6,"High spike",IF($AM271&lt;=-Lookups!$K$6,"Unusual low","Normal")))</f>
        <v>Normal</v>
      </c>
      <c r="AO271" s="20">
        <f>IF($V271&lt;&gt;1,"",$P271+ROW()/100000)</f>
        <v>68.00271</v>
      </c>
      <c r="AP271" s="5">
        <f>IF($A271="","",IFERROR(MATCH($A271,Raw_D1!$A$2:$A$1001,0),""))</f>
        <v>270</v>
      </c>
      <c r="AQ271" s="5">
        <f>IF($A271="","",IFERROR(MATCH($A271,Raw_D2!$B$2:$B$1001,0),""))</f>
        <v>270</v>
      </c>
      <c r="AR271" s="5">
        <f>IF($A271="","",IFERROR(MATCH($A271,Raw_D3!$A$2:$A$1001,0),""))</f>
        <v/>
      </c>
    </row>
    <row r="272" spans="1:44" x14ac:dyDescent="0.25">
      <c r="A272" s="5">
        <v>271</v>
      </c>
      <c r="B272" s="11">
        <f>IF($A272="","",IF($AP272&lt;&gt;"",INDEX(Raw_D1!$B$2:$B$1001,$AP272),IF($AR272&lt;&gt;"",INDEX(Raw_D3!$B$2:$B$1001,$AR272),"")))</f>
        <v>40555.0</v>
      </c>
      <c r="C272" s="5">
        <f>IF($A272="","",IF($AP272&lt;&gt;"",INDEX(Raw_D1!$C$2:$C$1001,$AP272),IF($AR272&lt;&gt;"",INDEX(Raw_D3!$C$2:$C$1001,$AR272),"")))</f>
        <v>1</v>
      </c>
      <c r="D272" s="5">
        <f>IF($A272="","",IF($AP272&lt;&gt;"",INDEX(Raw_D1!$D$2:$D$1001,$AP272),IF($AR272&lt;&gt;"",INDEX(Raw_D3!$D$2:$D$1001,$AR272),"")))</f>
        <v>0</v>
      </c>
      <c r="E272" s="5">
        <f>IF($A272="","",IF($AP272&lt;&gt;"",INDEX(Raw_D1!$E$2:$E$1001,$AP272),IF($AR272&lt;&gt;"",INDEX(Raw_D3!$E$2:$E$1001,$AR272),"")))</f>
        <v>1</v>
      </c>
      <c r="F272" s="5">
        <f>IF($A272="","",IF($AP272&lt;&gt;"",INDEX(Raw_D1!$F$2:$F$1001,$AP272),IF($AR272&lt;&gt;"",INDEX(Raw_D3!$F$2:$F$1001,$AR272),"")))</f>
        <v>17</v>
      </c>
      <c r="G272" s="5">
        <f>IF($A272="","",IF($AP272&lt;&gt;"",IF(INDEX(Raw_D1!$G$2:$G$1001,$AP272),1,0),IF($AR272&lt;&gt;"",IF(INDEX(Raw_D3!$G$2:$G$1001,$AR272),1,0),"")))</f>
        <v>0</v>
      </c>
      <c r="H272" s="5">
        <f>IF($A272="","",IF($AP272&lt;&gt;"",INDEX(Raw_D1!$H$2:$H$1001,$AP272),IF($AR272&lt;&gt;"",INDEX(Raw_D3!$H$2:$H$1001,$AR272),"")))</f>
        <v>3</v>
      </c>
      <c r="I272" s="5">
        <f>IF($A272="","",IF($AP272&lt;&gt;"",INDEX(Raw_D1!$I$2:$I$1001,$AP272),IF($AR272&lt;&gt;"",INDEX(Raw_D3!$I$2:$I$1001,$AR272),"")))</f>
        <v>1</v>
      </c>
      <c r="J272" s="16">
        <f>IF($A272="","",IF($AP272&lt;&gt;"",INDEX(Raw_D1!$J$2:$J$1001,$AP272),IF($AR272&lt;&gt;"",INDEX(Raw_D3!$J$2:$J$1001,$AR272),"")))</f>
        <v>0.2</v>
      </c>
      <c r="K272" s="17">
        <f>IF($A272="","",IF($AQ272&lt;&gt;"",IF(INDEX(Raw_D2!$C$2:$C$1001,$AQ272)="","",INDEX(Raw_D2!$C$2:$C$1001,$AQ272)),IF($AR272&lt;&gt;"",IF(INDEX(Raw_D3!$K$2:$K$1001,$AR272)="","",INDEX(Raw_D3!$K$2:$K$1001,$AR272)),"")))</f>
        <v>0.1818</v>
      </c>
      <c r="L272" s="16">
        <f>IF($A272="","",IF($AQ272&lt;&gt;"",IF(INDEX(Raw_D2!$D$2:$D$1001,$AQ272)="","",INDEX(Raw_D2!$D$2:$D$1001,$AQ272)),IF($AR272&lt;&gt;"",IF(INDEX(Raw_D3!$L$2:$L$1001,$AR272)="","",INDEX(Raw_D3!$L$2:$L$1001,$AR272)),"")))</f>
        <v>0.47</v>
      </c>
      <c r="M272" s="17">
        <f>IF($A272="","",IF($AQ272&lt;&gt;"",IF(INDEX(Raw_D2!$E$2:$E$1001,$AQ272)="","",INDEX(Raw_D2!$E$2:$E$1001,$AQ272)),IF($AR272&lt;&gt;"",IF(INDEX(Raw_D3!$M$2:$M$1001,$AR272)="","",INDEX(Raw_D3!$M$2:$M$1001,$AR272)),"")))</f>
        <v>0.3582</v>
      </c>
      <c r="N272" s="5">
        <f>IF($A272="","",IF($AQ272&lt;&gt;"",IF(INDEX(Raw_D2!$F$2:$F$1001,$AQ272)="","",INDEX(Raw_D2!$F$2:$F$1001,$AQ272)),IF($AR272&lt;&gt;"",IF(INDEX(Raw_D3!$N$2:$N$1001,$AR272)="","",INDEX(Raw_D3!$N$2:$N$1001,$AR272)),"")))</f>
        <v>0</v>
      </c>
      <c r="O272" s="5">
        <f>IF($A272="","",IF($AQ272&lt;&gt;"",IF(INDEX(Raw_D2!$G$2:$G$1001,$AQ272)="","",INDEX(Raw_D2!$G$2:$G$1001,$AQ272)),IF($AR272&lt;&gt;"",IF(INDEX(Raw_D3!$O$2:$O$1001,$AR272)="","",INDEX(Raw_D3!$O$2:$O$1001,$AR272)),"")))</f>
        <v>139</v>
      </c>
      <c r="P272" s="5">
        <f>IF($A272="","",IF($AQ272&lt;&gt;"",IF(INDEX(Raw_D2!$H$2:$H$1001,$AQ272)="","",INDEX(Raw_D2!$H$2:$H$1001,$AQ272)),IF($AR272&lt;&gt;"",IF(INDEX(Raw_D3!$P$2:$P$1001,$AR272)="","",INDEX(Raw_D3!$P$2:$P$1001,$AR272)),"")))</f>
        <v>139</v>
      </c>
      <c r="Q272" s="5" t="str">
        <f>IF($A272="","",IF(AND($AP272&lt;&gt;"",$AQ272&lt;&gt;""),"D1+D2",IF($AR272&lt;&gt;"","D3","Incomplete")))</f>
        <v>D1+D2</v>
      </c>
      <c r="R272" s="17">
        <f>IF($A272="","",IF($K272="",IF($J272="","",ROUND(Lookups!$K$5+Lookups!$K$4*$J272,4)),$K272))</f>
        <v>0.1818</v>
      </c>
      <c r="S272" s="5" t="str">
        <f>IF($A272="","",IF($K272="","Imputed","Original"))</f>
        <v>Original</v>
      </c>
      <c r="T272" s="5" t="str">
        <f>IF($A272="","",IF($P272="","Missing",IF($P272=$N272+$O272,"OK","Mismatch")))</f>
        <v>OK</v>
      </c>
      <c r="U272" s="5" t="str">
        <f>IF($A272="","",IF(COUNTIF($A$2:$A272,$A272)&gt;1,"Duplicate","Unique"))</f>
        <v>Unique</v>
      </c>
      <c r="V272" s="5">
        <f>IF($A272="","",IF(AND($U272="Unique",ISNUMBER($P272)),1,0))</f>
        <v>1</v>
      </c>
      <c r="W272" s="5" t="str">
        <f>IF($A272="","",IF(OR($H272=0,$H272=6),"Weekend","Weekday"))</f>
        <v>Weekday</v>
      </c>
      <c r="X272" s="5" t="str">
        <f>IF($A272="","",TEXT($B272,"ddd"))</f>
        <v>Wed</v>
      </c>
      <c r="Y272" s="5" t="str">
        <f>IF($A272="","",TEXT($B272,"mmm"))</f>
        <v>Jan</v>
      </c>
      <c r="Z272" s="5" t="str">
        <f>IF($A272="","",IFERROR(VLOOKUP($C272,Lookups!$D$4:$E$7,2,FALSE),"Unknown"))</f>
        <v>Winter</v>
      </c>
      <c r="AA272" s="5" t="str">
        <f>IF($A272="","",IFERROR(VLOOKUP($I272,Lookups!$A$4:$B$7,2,FALSE),"Unknown"))</f>
        <v>Clear</v>
      </c>
      <c r="AB272" s="5" t="str">
        <f>IF($A272="","",TEXT($F272,"00")&amp;":00")</f>
        <v>17:00</v>
      </c>
      <c r="AC272" s="5" t="str">
        <f>IF($A272="","",VLOOKUP($F272,Lookups!$G$4:$H$8,2,TRUE))</f>
        <v>Evening Peak (16-19)</v>
      </c>
      <c r="AD272" s="18">
        <f>IF($A272="","",IF($J272="","",ROUND($J272*41,1)))</f>
        <v>8.2</v>
      </c>
      <c r="AE272" s="18">
        <f>IF($A272="","",IF($R272="","",ROUND($R272*50,1)))</f>
        <v>9.1</v>
      </c>
      <c r="AF272" s="5">
        <f>IF($A272="","",IF($L272="","",ROUND($L272*100,0)))</f>
        <v>47</v>
      </c>
      <c r="AG272" s="18">
        <f>IF($A272="","",IF($M272="","",ROUND($M272*67,1)))</f>
        <v>24</v>
      </c>
      <c r="AH272" s="19">
        <f>IF($A272="","",IF($P272="","",IF($P272=0,0,$O272/$P272)))</f>
        <v>1</v>
      </c>
      <c r="AI272" s="5" t="str">
        <f>IF($A272="","",IF($P272="","",IF($P272&gt;=Lookups!$K$7,"High",IF($P272&lt;=Lookups!$K$8,"Low","Medium"))))</f>
        <v>High</v>
      </c>
      <c r="AJ272" s="5" t="str">
        <f>IF($A272="","",IF($AD272="","",IF($AD272&lt;5,"Under 5 C",IF($AD272&lt;10,"5-10 C",IF($AD272&lt;15,"10-15 C","15 C and above")))))</f>
        <v>5-10 C</v>
      </c>
      <c r="AK272" s="5">
        <f>IF($A272="","",IF($P272="","",$P272^2))</f>
        <v>19321</v>
      </c>
      <c r="AL272" s="18">
        <f>IF($V272&lt;&gt;1,"",AVERAGEIFS(Clean_Data!$P$2:$P$1001,Clean_Data!$F$2:$F$1001,$F272,Clean_Data!$W$2:$W$1001,$W272,Clean_Data!$V$2:$V$1001,1))</f>
        <v>165.566666666667</v>
      </c>
      <c r="AM272" s="16">
        <f>IF($V272&lt;&gt;1,"",IFERROR(($P272-$AL272)/SQRT(MAX(0,(SUMIFS(Clean_Data!$AK$2:$AK$1001,Clean_Data!$F$2:$F$1001,$F272,Clean_Data!$W$2:$W$1001,$W272,Clean_Data!$V$2:$V$1001,1)-COUNTIFS(Clean_Data!$F$2:$F$1001,$F272,Clean_Data!$W$2:$W$1001,$W272,Clean_Data!$V$2:$V$1001,1)*$AL272^2)/(COUNTIFS(Clean_Data!$F$2:$F$1001,$F272,Clean_Data!$W$2:$W$1001,$W272,Clean_Data!$V$2:$V$1001,1)-1))),""))</f>
        <v>-0.603608541605746</v>
      </c>
      <c r="AN272" s="5" t="str">
        <f>IF($AM272="","",IF($AM272&gt;=Lookups!$K$6,"High spike",IF($AM272&lt;=-Lookups!$K$6,"Unusual low","Normal")))</f>
        <v>Normal</v>
      </c>
      <c r="AO272" s="20">
        <f>IF($V272&lt;&gt;1,"",$P272+ROW()/100000)</f>
        <v>139.00272</v>
      </c>
      <c r="AP272" s="5">
        <f>IF($A272="","",IFERROR(MATCH($A272,Raw_D1!$A$2:$A$1001,0),""))</f>
        <v>271</v>
      </c>
      <c r="AQ272" s="5">
        <f>IF($A272="","",IFERROR(MATCH($A272,Raw_D2!$B$2:$B$1001,0),""))</f>
        <v>271</v>
      </c>
      <c r="AR272" s="5">
        <f>IF($A272="","",IFERROR(MATCH($A272,Raw_D3!$A$2:$A$1001,0),""))</f>
        <v/>
      </c>
    </row>
    <row r="273" spans="1:44" x14ac:dyDescent="0.25">
      <c r="A273" s="5">
        <v>272</v>
      </c>
      <c r="B273" s="11">
        <f>IF($A273="","",IF($AP273&lt;&gt;"",INDEX(Raw_D1!$B$2:$B$1001,$AP273),IF($AR273&lt;&gt;"",INDEX(Raw_D3!$B$2:$B$1001,$AR273),"")))</f>
        <v>40555.0</v>
      </c>
      <c r="C273" s="5">
        <f>IF($A273="","",IF($AP273&lt;&gt;"",INDEX(Raw_D1!$C$2:$C$1001,$AP273),IF($AR273&lt;&gt;"",INDEX(Raw_D3!$C$2:$C$1001,$AR273),"")))</f>
        <v>1</v>
      </c>
      <c r="D273" s="5">
        <f>IF($A273="","",IF($AP273&lt;&gt;"",INDEX(Raw_D1!$D$2:$D$1001,$AP273),IF($AR273&lt;&gt;"",INDEX(Raw_D3!$D$2:$D$1001,$AR273),"")))</f>
        <v>0</v>
      </c>
      <c r="E273" s="5">
        <f>IF($A273="","",IF($AP273&lt;&gt;"",INDEX(Raw_D1!$E$2:$E$1001,$AP273),IF($AR273&lt;&gt;"",INDEX(Raw_D3!$E$2:$E$1001,$AR273),"")))</f>
        <v>1</v>
      </c>
      <c r="F273" s="5">
        <f>IF($A273="","",IF($AP273&lt;&gt;"",INDEX(Raw_D1!$F$2:$F$1001,$AP273),IF($AR273&lt;&gt;"",INDEX(Raw_D3!$F$2:$F$1001,$AR273),"")))</f>
        <v>18</v>
      </c>
      <c r="G273" s="5">
        <f>IF($A273="","",IF($AP273&lt;&gt;"",IF(INDEX(Raw_D1!$G$2:$G$1001,$AP273),1,0),IF($AR273&lt;&gt;"",IF(INDEX(Raw_D3!$G$2:$G$1001,$AR273),1,0),"")))</f>
        <v>0</v>
      </c>
      <c r="H273" s="5">
        <f>IF($A273="","",IF($AP273&lt;&gt;"",INDEX(Raw_D1!$H$2:$H$1001,$AP273),IF($AR273&lt;&gt;"",INDEX(Raw_D3!$H$2:$H$1001,$AR273),"")))</f>
        <v>3</v>
      </c>
      <c r="I273" s="5">
        <f>IF($A273="","",IF($AP273&lt;&gt;"",INDEX(Raw_D1!$I$2:$I$1001,$AP273),IF($AR273&lt;&gt;"",INDEX(Raw_D3!$I$2:$I$1001,$AR273),"")))</f>
        <v>1</v>
      </c>
      <c r="J273" s="16">
        <f>IF($A273="","",IF($AP273&lt;&gt;"",INDEX(Raw_D1!$J$2:$J$1001,$AP273),IF($AR273&lt;&gt;"",INDEX(Raw_D3!$J$2:$J$1001,$AR273),"")))</f>
        <v>0.2</v>
      </c>
      <c r="K273" s="17">
        <f>IF($A273="","",IF($AQ273&lt;&gt;"",IF(INDEX(Raw_D2!$C$2:$C$1001,$AQ273)="","",INDEX(Raw_D2!$C$2:$C$1001,$AQ273)),IF($AR273&lt;&gt;"",IF(INDEX(Raw_D3!$K$2:$K$1001,$AR273)="","",INDEX(Raw_D3!$K$2:$K$1001,$AR273)),"")))</f>
        <v>0.1515</v>
      </c>
      <c r="L273" s="16">
        <f>IF($A273="","",IF($AQ273&lt;&gt;"",IF(INDEX(Raw_D2!$D$2:$D$1001,$AQ273)="","",INDEX(Raw_D2!$D$2:$D$1001,$AQ273)),IF($AR273&lt;&gt;"",IF(INDEX(Raw_D3!$L$2:$L$1001,$AR273)="","",INDEX(Raw_D3!$L$2:$L$1001,$AR273)),"")))</f>
        <v>0.47</v>
      </c>
      <c r="M273" s="17">
        <f>IF($A273="","",IF($AQ273&lt;&gt;"",IF(INDEX(Raw_D2!$E$2:$E$1001,$AQ273)="","",INDEX(Raw_D2!$E$2:$E$1001,$AQ273)),IF($AR273&lt;&gt;"",IF(INDEX(Raw_D3!$M$2:$M$1001,$AR273)="","",INDEX(Raw_D3!$M$2:$M$1001,$AR273)),"")))</f>
        <v>0.5224</v>
      </c>
      <c r="N273" s="5">
        <f>IF($A273="","",IF($AQ273&lt;&gt;"",IF(INDEX(Raw_D2!$F$2:$F$1001,$AQ273)="","",INDEX(Raw_D2!$F$2:$F$1001,$AQ273)),IF($AR273&lt;&gt;"",IF(INDEX(Raw_D3!$N$2:$N$1001,$AR273)="","",INDEX(Raw_D3!$N$2:$N$1001,$AR273)),"")))</f>
        <v>2</v>
      </c>
      <c r="O273" s="5">
        <f>IF($A273="","",IF($AQ273&lt;&gt;"",IF(INDEX(Raw_D2!$G$2:$G$1001,$AQ273)="","",INDEX(Raw_D2!$G$2:$G$1001,$AQ273)),IF($AR273&lt;&gt;"",IF(INDEX(Raw_D3!$O$2:$O$1001,$AR273)="","",INDEX(Raw_D3!$O$2:$O$1001,$AR273)),"")))</f>
        <v>135</v>
      </c>
      <c r="P273" s="5">
        <f>IF($A273="","",IF($AQ273&lt;&gt;"",IF(INDEX(Raw_D2!$H$2:$H$1001,$AQ273)="","",INDEX(Raw_D2!$H$2:$H$1001,$AQ273)),IF($AR273&lt;&gt;"",IF(INDEX(Raw_D3!$P$2:$P$1001,$AR273)="","",INDEX(Raw_D3!$P$2:$P$1001,$AR273)),"")))</f>
        <v>137</v>
      </c>
      <c r="Q273" s="5" t="str">
        <f>IF($A273="","",IF(AND($AP273&lt;&gt;"",$AQ273&lt;&gt;""),"D1+D2",IF($AR273&lt;&gt;"","D3","Incomplete")))</f>
        <v>D1+D2</v>
      </c>
      <c r="R273" s="17">
        <f>IF($A273="","",IF($K273="",IF($J273="","",ROUND(Lookups!$K$5+Lookups!$K$4*$J273,4)),$K273))</f>
        <v>0.1515</v>
      </c>
      <c r="S273" s="5" t="str">
        <f>IF($A273="","",IF($K273="","Imputed","Original"))</f>
        <v>Original</v>
      </c>
      <c r="T273" s="5" t="str">
        <f>IF($A273="","",IF($P273="","Missing",IF($P273=$N273+$O273,"OK","Mismatch")))</f>
        <v>OK</v>
      </c>
      <c r="U273" s="5" t="str">
        <f>IF($A273="","",IF(COUNTIF($A$2:$A273,$A273)&gt;1,"Duplicate","Unique"))</f>
        <v>Unique</v>
      </c>
      <c r="V273" s="5">
        <f>IF($A273="","",IF(AND($U273="Unique",ISNUMBER($P273)),1,0))</f>
        <v>1</v>
      </c>
      <c r="W273" s="5" t="str">
        <f>IF($A273="","",IF(OR($H273=0,$H273=6),"Weekend","Weekday"))</f>
        <v>Weekday</v>
      </c>
      <c r="X273" s="5" t="str">
        <f>IF($A273="","",TEXT($B273,"ddd"))</f>
        <v>Wed</v>
      </c>
      <c r="Y273" s="5" t="str">
        <f>IF($A273="","",TEXT($B273,"mmm"))</f>
        <v>Jan</v>
      </c>
      <c r="Z273" s="5" t="str">
        <f>IF($A273="","",IFERROR(VLOOKUP($C273,Lookups!$D$4:$E$7,2,FALSE),"Unknown"))</f>
        <v>Winter</v>
      </c>
      <c r="AA273" s="5" t="str">
        <f>IF($A273="","",IFERROR(VLOOKUP($I273,Lookups!$A$4:$B$7,2,FALSE),"Unknown"))</f>
        <v>Clear</v>
      </c>
      <c r="AB273" s="5" t="str">
        <f>IF($A273="","",TEXT($F273,"00")&amp;":00")</f>
        <v>18:00</v>
      </c>
      <c r="AC273" s="5" t="str">
        <f>IF($A273="","",VLOOKUP($F273,Lookups!$G$4:$H$8,2,TRUE))</f>
        <v>Evening Peak (16-19)</v>
      </c>
      <c r="AD273" s="18">
        <f>IF($A273="","",IF($J273="","",ROUND($J273*41,1)))</f>
        <v>8.2</v>
      </c>
      <c r="AE273" s="18">
        <f>IF($A273="","",IF($R273="","",ROUND($R273*50,1)))</f>
        <v>7.6</v>
      </c>
      <c r="AF273" s="5">
        <f>IF($A273="","",IF($L273="","",ROUND($L273*100,0)))</f>
        <v>47</v>
      </c>
      <c r="AG273" s="18">
        <f>IF($A273="","",IF($M273="","",ROUND($M273*67,1)))</f>
        <v>35</v>
      </c>
      <c r="AH273" s="19">
        <f>IF($A273="","",IF($P273="","",IF($P273=0,0,$O273/$P273)))</f>
        <v>0.985401459854015</v>
      </c>
      <c r="AI273" s="5" t="str">
        <f>IF($A273="","",IF($P273="","",IF($P273&gt;=Lookups!$K$7,"High",IF($P273&lt;=Lookups!$K$8,"Low","Medium"))))</f>
        <v>High</v>
      </c>
      <c r="AJ273" s="5" t="str">
        <f>IF($A273="","",IF($AD273="","",IF($AD273&lt;5,"Under 5 C",IF($AD273&lt;10,"5-10 C",IF($AD273&lt;15,"10-15 C","15 C and above")))))</f>
        <v>5-10 C</v>
      </c>
      <c r="AK273" s="5">
        <f>IF($A273="","",IF($P273="","",$P273^2))</f>
        <v>18769</v>
      </c>
      <c r="AL273" s="18">
        <f>IF($V273&lt;&gt;1,"",AVERAGEIFS(Clean_Data!$P$2:$P$1001,Clean_Data!$F$2:$F$1001,$F273,Clean_Data!$W$2:$W$1001,$W273,Clean_Data!$V$2:$V$1001,1))</f>
        <v>151.206896551724</v>
      </c>
      <c r="AM273" s="16">
        <f>IF($V273&lt;&gt;1,"",IFERROR(($P273-$AL273)/SQRT(MAX(0,(SUMIFS(Clean_Data!$AK$2:$AK$1001,Clean_Data!$F$2:$F$1001,$F273,Clean_Data!$W$2:$W$1001,$W273,Clean_Data!$V$2:$V$1001,1)-COUNTIFS(Clean_Data!$F$2:$F$1001,$F273,Clean_Data!$W$2:$W$1001,$W273,Clean_Data!$V$2:$V$1001,1)*$AL273^2)/(COUNTIFS(Clean_Data!$F$2:$F$1001,$F273,Clean_Data!$W$2:$W$1001,$W273,Clean_Data!$V$2:$V$1001,1)-1))),""))</f>
        <v>-0.484061740731732</v>
      </c>
      <c r="AN273" s="5" t="str">
        <f>IF($AM273="","",IF($AM273&gt;=Lookups!$K$6,"High spike",IF($AM273&lt;=-Lookups!$K$6,"Unusual low","Normal")))</f>
        <v>Normal</v>
      </c>
      <c r="AO273" s="20">
        <f>IF($V273&lt;&gt;1,"",$P273+ROW()/100000)</f>
        <v>137.00273</v>
      </c>
      <c r="AP273" s="5">
        <f>IF($A273="","",IFERROR(MATCH($A273,Raw_D1!$A$2:$A$1001,0),""))</f>
        <v>272</v>
      </c>
      <c r="AQ273" s="5">
        <f>IF($A273="","",IFERROR(MATCH($A273,Raw_D2!$B$2:$B$1001,0),""))</f>
        <v>272</v>
      </c>
      <c r="AR273" s="5">
        <f>IF($A273="","",IFERROR(MATCH($A273,Raw_D3!$A$2:$A$1001,0),""))</f>
        <v/>
      </c>
    </row>
    <row r="274" spans="1:44" x14ac:dyDescent="0.25">
      <c r="A274" s="5">
        <v>273</v>
      </c>
      <c r="B274" s="11">
        <f>IF($A274="","",IF($AP274&lt;&gt;"",INDEX(Raw_D1!$B$2:$B$1001,$AP274),IF($AR274&lt;&gt;"",INDEX(Raw_D3!$B$2:$B$1001,$AR274),"")))</f>
        <v>40555.0</v>
      </c>
      <c r="C274" s="5">
        <f>IF($A274="","",IF($AP274&lt;&gt;"",INDEX(Raw_D1!$C$2:$C$1001,$AP274),IF($AR274&lt;&gt;"",INDEX(Raw_D3!$C$2:$C$1001,$AR274),"")))</f>
        <v>1</v>
      </c>
      <c r="D274" s="5">
        <f>IF($A274="","",IF($AP274&lt;&gt;"",INDEX(Raw_D1!$D$2:$D$1001,$AP274),IF($AR274&lt;&gt;"",INDEX(Raw_D3!$D$2:$D$1001,$AR274),"")))</f>
        <v>0</v>
      </c>
      <c r="E274" s="5">
        <f>IF($A274="","",IF($AP274&lt;&gt;"",INDEX(Raw_D1!$E$2:$E$1001,$AP274),IF($AR274&lt;&gt;"",INDEX(Raw_D3!$E$2:$E$1001,$AR274),"")))</f>
        <v>1</v>
      </c>
      <c r="F274" s="5">
        <f>IF($A274="","",IF($AP274&lt;&gt;"",INDEX(Raw_D1!$F$2:$F$1001,$AP274),IF($AR274&lt;&gt;"",INDEX(Raw_D3!$F$2:$F$1001,$AR274),"")))</f>
        <v>19</v>
      </c>
      <c r="G274" s="5">
        <f>IF($A274="","",IF($AP274&lt;&gt;"",IF(INDEX(Raw_D1!$G$2:$G$1001,$AP274),1,0),IF($AR274&lt;&gt;"",IF(INDEX(Raw_D3!$G$2:$G$1001,$AR274),1,0),"")))</f>
        <v>0</v>
      </c>
      <c r="H274" s="5">
        <f>IF($A274="","",IF($AP274&lt;&gt;"",INDEX(Raw_D1!$H$2:$H$1001,$AP274),IF($AR274&lt;&gt;"",INDEX(Raw_D3!$H$2:$H$1001,$AR274),"")))</f>
        <v>3</v>
      </c>
      <c r="I274" s="5">
        <f>IF($A274="","",IF($AP274&lt;&gt;"",INDEX(Raw_D1!$I$2:$I$1001,$AP274),IF($AR274&lt;&gt;"",INDEX(Raw_D3!$I$2:$I$1001,$AR274),"")))</f>
        <v>1</v>
      </c>
      <c r="J274" s="16">
        <f>IF($A274="","",IF($AP274&lt;&gt;"",INDEX(Raw_D1!$J$2:$J$1001,$AP274),IF($AR274&lt;&gt;"",INDEX(Raw_D3!$J$2:$J$1001,$AR274),"")))</f>
        <v>0.18</v>
      </c>
      <c r="K274" s="17">
        <f>IF($A274="","",IF($AQ274&lt;&gt;"",IF(INDEX(Raw_D2!$C$2:$C$1001,$AQ274)="","",INDEX(Raw_D2!$C$2:$C$1001,$AQ274)),IF($AR274&lt;&gt;"",IF(INDEX(Raw_D3!$K$2:$K$1001,$AR274)="","",INDEX(Raw_D3!$K$2:$K$1001,$AR274)),"")))</f>
        <v>0.1515</v>
      </c>
      <c r="L274" s="16">
        <f>IF($A274="","",IF($AQ274&lt;&gt;"",IF(INDEX(Raw_D2!$D$2:$D$1001,$AQ274)="","",INDEX(Raw_D2!$D$2:$D$1001,$AQ274)),IF($AR274&lt;&gt;"",IF(INDEX(Raw_D3!$L$2:$L$1001,$AR274)="","",INDEX(Raw_D3!$L$2:$L$1001,$AR274)),"")))</f>
        <v>0.47</v>
      </c>
      <c r="M274" s="17">
        <f>IF($A274="","",IF($AQ274&lt;&gt;"",IF(INDEX(Raw_D2!$E$2:$E$1001,$AQ274)="","",INDEX(Raw_D2!$E$2:$E$1001,$AQ274)),IF($AR274&lt;&gt;"",IF(INDEX(Raw_D3!$M$2:$M$1001,$AR274)="","",INDEX(Raw_D3!$M$2:$M$1001,$AR274)),"")))</f>
        <v>0.4179</v>
      </c>
      <c r="N274" s="5">
        <f>IF($A274="","",IF($AQ274&lt;&gt;"",IF(INDEX(Raw_D2!$F$2:$F$1001,$AQ274)="","",INDEX(Raw_D2!$F$2:$F$1001,$AQ274)),IF($AR274&lt;&gt;"",IF(INDEX(Raw_D3!$N$2:$N$1001,$AR274)="","",INDEX(Raw_D3!$N$2:$N$1001,$AR274)),"")))</f>
        <v>1</v>
      </c>
      <c r="O274" s="5">
        <f>IF($A274="","",IF($AQ274&lt;&gt;"",IF(INDEX(Raw_D2!$G$2:$G$1001,$AQ274)="","",INDEX(Raw_D2!$G$2:$G$1001,$AQ274)),IF($AR274&lt;&gt;"",IF(INDEX(Raw_D3!$O$2:$O$1001,$AR274)="","",INDEX(Raw_D3!$O$2:$O$1001,$AR274)),"")))</f>
        <v>82</v>
      </c>
      <c r="P274" s="5">
        <f>IF($A274="","",IF($AQ274&lt;&gt;"",IF(INDEX(Raw_D2!$H$2:$H$1001,$AQ274)="","",INDEX(Raw_D2!$H$2:$H$1001,$AQ274)),IF($AR274&lt;&gt;"",IF(INDEX(Raw_D3!$P$2:$P$1001,$AR274)="","",INDEX(Raw_D3!$P$2:$P$1001,$AR274)),"")))</f>
        <v>83</v>
      </c>
      <c r="Q274" s="5" t="str">
        <f>IF($A274="","",IF(AND($AP274&lt;&gt;"",$AQ274&lt;&gt;""),"D1+D2",IF($AR274&lt;&gt;"","D3","Incomplete")))</f>
        <v>D1+D2</v>
      </c>
      <c r="R274" s="17">
        <f>IF($A274="","",IF($K274="",IF($J274="","",ROUND(Lookups!$K$5+Lookups!$K$4*$J274,4)),$K274))</f>
        <v>0.1515</v>
      </c>
      <c r="S274" s="5" t="str">
        <f>IF($A274="","",IF($K274="","Imputed","Original"))</f>
        <v>Original</v>
      </c>
      <c r="T274" s="5" t="str">
        <f>IF($A274="","",IF($P274="","Missing",IF($P274=$N274+$O274,"OK","Mismatch")))</f>
        <v>OK</v>
      </c>
      <c r="U274" s="5" t="str">
        <f>IF($A274="","",IF(COUNTIF($A$2:$A274,$A274)&gt;1,"Duplicate","Unique"))</f>
        <v>Unique</v>
      </c>
      <c r="V274" s="5">
        <f>IF($A274="","",IF(AND($U274="Unique",ISNUMBER($P274)),1,0))</f>
        <v>1</v>
      </c>
      <c r="W274" s="5" t="str">
        <f>IF($A274="","",IF(OR($H274=0,$H274=6),"Weekend","Weekday"))</f>
        <v>Weekday</v>
      </c>
      <c r="X274" s="5" t="str">
        <f>IF($A274="","",TEXT($B274,"ddd"))</f>
        <v>Wed</v>
      </c>
      <c r="Y274" s="5" t="str">
        <f>IF($A274="","",TEXT($B274,"mmm"))</f>
        <v>Jan</v>
      </c>
      <c r="Z274" s="5" t="str">
        <f>IF($A274="","",IFERROR(VLOOKUP($C274,Lookups!$D$4:$E$7,2,FALSE),"Unknown"))</f>
        <v>Winter</v>
      </c>
      <c r="AA274" s="5" t="str">
        <f>IF($A274="","",IFERROR(VLOOKUP($I274,Lookups!$A$4:$B$7,2,FALSE),"Unknown"))</f>
        <v>Clear</v>
      </c>
      <c r="AB274" s="5" t="str">
        <f>IF($A274="","",TEXT($F274,"00")&amp;":00")</f>
        <v>19:00</v>
      </c>
      <c r="AC274" s="5" t="str">
        <f>IF($A274="","",VLOOKUP($F274,Lookups!$G$4:$H$8,2,TRUE))</f>
        <v>Evening Peak (16-19)</v>
      </c>
      <c r="AD274" s="18">
        <f>IF($A274="","",IF($J274="","",ROUND($J274*41,1)))</f>
        <v>7.4</v>
      </c>
      <c r="AE274" s="18">
        <f>IF($A274="","",IF($R274="","",ROUND($R274*50,1)))</f>
        <v>7.6</v>
      </c>
      <c r="AF274" s="5">
        <f>IF($A274="","",IF($L274="","",ROUND($L274*100,0)))</f>
        <v>47</v>
      </c>
      <c r="AG274" s="18">
        <f>IF($A274="","",IF($M274="","",ROUND($M274*67,1)))</f>
        <v>28</v>
      </c>
      <c r="AH274" s="19">
        <f>IF($A274="","",IF($P274="","",IF($P274=0,0,$O274/$P274)))</f>
        <v>0.987951807228916</v>
      </c>
      <c r="AI274" s="5" t="str">
        <f>IF($A274="","",IF($P274="","",IF($P274&gt;=Lookups!$K$7,"High",IF($P274&lt;=Lookups!$K$8,"Low","Medium"))))</f>
        <v>High</v>
      </c>
      <c r="AJ274" s="5" t="str">
        <f>IF($A274="","",IF($AD274="","",IF($AD274&lt;5,"Under 5 C",IF($AD274&lt;10,"5-10 C",IF($AD274&lt;15,"10-15 C","15 C and above")))))</f>
        <v>5-10 C</v>
      </c>
      <c r="AK274" s="5">
        <f>IF($A274="","",IF($P274="","",$P274^2))</f>
        <v>6889</v>
      </c>
      <c r="AL274" s="18">
        <f>IF($V274&lt;&gt;1,"",AVERAGEIFS(Clean_Data!$P$2:$P$1001,Clean_Data!$F$2:$F$1001,$F274,Clean_Data!$W$2:$W$1001,$W274,Clean_Data!$V$2:$V$1001,1))</f>
        <v>102.034482758621</v>
      </c>
      <c r="AM274" s="16">
        <f>IF($V274&lt;&gt;1,"",IFERROR(($P274-$AL274)/SQRT(MAX(0,(SUMIFS(Clean_Data!$AK$2:$AK$1001,Clean_Data!$F$2:$F$1001,$F274,Clean_Data!$W$2:$W$1001,$W274,Clean_Data!$V$2:$V$1001,1)-COUNTIFS(Clean_Data!$F$2:$F$1001,$F274,Clean_Data!$W$2:$W$1001,$W274,Clean_Data!$V$2:$V$1001,1)*$AL274^2)/(COUNTIFS(Clean_Data!$F$2:$F$1001,$F274,Clean_Data!$W$2:$W$1001,$W274,Clean_Data!$V$2:$V$1001,1)-1))),""))</f>
        <v>-0.895839014074089</v>
      </c>
      <c r="AN274" s="5" t="str">
        <f>IF($AM274="","",IF($AM274&gt;=Lookups!$K$6,"High spike",IF($AM274&lt;=-Lookups!$K$6,"Unusual low","Normal")))</f>
        <v>Normal</v>
      </c>
      <c r="AO274" s="20">
        <f>IF($V274&lt;&gt;1,"",$P274+ROW()/100000)</f>
        <v>83.00274</v>
      </c>
      <c r="AP274" s="5">
        <f>IF($A274="","",IFERROR(MATCH($A274,Raw_D1!$A$2:$A$1001,0),""))</f>
        <v>273</v>
      </c>
      <c r="AQ274" s="5">
        <f>IF($A274="","",IFERROR(MATCH($A274,Raw_D2!$B$2:$B$1001,0),""))</f>
        <v>273</v>
      </c>
      <c r="AR274" s="5">
        <f>IF($A274="","",IFERROR(MATCH($A274,Raw_D3!$A$2:$A$1001,0),""))</f>
        <v/>
      </c>
    </row>
    <row r="275" spans="1:44" x14ac:dyDescent="0.25">
      <c r="A275" s="5">
        <v>274</v>
      </c>
      <c r="B275" s="11">
        <f>IF($A275="","",IF($AP275&lt;&gt;"",INDEX(Raw_D1!$B$2:$B$1001,$AP275),IF($AR275&lt;&gt;"",INDEX(Raw_D3!$B$2:$B$1001,$AR275),"")))</f>
        <v>40555.0</v>
      </c>
      <c r="C275" s="5">
        <f>IF($A275="","",IF($AP275&lt;&gt;"",INDEX(Raw_D1!$C$2:$C$1001,$AP275),IF($AR275&lt;&gt;"",INDEX(Raw_D3!$C$2:$C$1001,$AR275),"")))</f>
        <v>1</v>
      </c>
      <c r="D275" s="5">
        <f>IF($A275="","",IF($AP275&lt;&gt;"",INDEX(Raw_D1!$D$2:$D$1001,$AP275),IF($AR275&lt;&gt;"",INDEX(Raw_D3!$D$2:$D$1001,$AR275),"")))</f>
        <v>0</v>
      </c>
      <c r="E275" s="5">
        <f>IF($A275="","",IF($AP275&lt;&gt;"",INDEX(Raw_D1!$E$2:$E$1001,$AP275),IF($AR275&lt;&gt;"",INDEX(Raw_D3!$E$2:$E$1001,$AR275),"")))</f>
        <v>1</v>
      </c>
      <c r="F275" s="5">
        <f>IF($A275="","",IF($AP275&lt;&gt;"",INDEX(Raw_D1!$F$2:$F$1001,$AP275),IF($AR275&lt;&gt;"",INDEX(Raw_D3!$F$2:$F$1001,$AR275),"")))</f>
        <v>20</v>
      </c>
      <c r="G275" s="5">
        <f>IF($A275="","",IF($AP275&lt;&gt;"",IF(INDEX(Raw_D1!$G$2:$G$1001,$AP275),1,0),IF($AR275&lt;&gt;"",IF(INDEX(Raw_D3!$G$2:$G$1001,$AR275),1,0),"")))</f>
        <v>0</v>
      </c>
      <c r="H275" s="5">
        <f>IF($A275="","",IF($AP275&lt;&gt;"",INDEX(Raw_D1!$H$2:$H$1001,$AP275),IF($AR275&lt;&gt;"",INDEX(Raw_D3!$H$2:$H$1001,$AR275),"")))</f>
        <v>3</v>
      </c>
      <c r="I275" s="5">
        <f>IF($A275="","",IF($AP275&lt;&gt;"",INDEX(Raw_D1!$I$2:$I$1001,$AP275),IF($AR275&lt;&gt;"",INDEX(Raw_D3!$I$2:$I$1001,$AR275),"")))</f>
        <v>1</v>
      </c>
      <c r="J275" s="16">
        <f>IF($A275="","",IF($AP275&lt;&gt;"",INDEX(Raw_D1!$J$2:$J$1001,$AP275),IF($AR275&lt;&gt;"",INDEX(Raw_D3!$J$2:$J$1001,$AR275),"")))</f>
        <v>0.16</v>
      </c>
      <c r="K275" s="17">
        <f>IF($A275="","",IF($AQ275&lt;&gt;"",IF(INDEX(Raw_D2!$C$2:$C$1001,$AQ275)="","",INDEX(Raw_D2!$C$2:$C$1001,$AQ275)),IF($AR275&lt;&gt;"",IF(INDEX(Raw_D3!$K$2:$K$1001,$AR275)="","",INDEX(Raw_D3!$K$2:$K$1001,$AR275)),"")))</f>
        <v>0.1364</v>
      </c>
      <c r="L275" s="16">
        <f>IF($A275="","",IF($AQ275&lt;&gt;"",IF(INDEX(Raw_D2!$D$2:$D$1001,$AQ275)="","",INDEX(Raw_D2!$D$2:$D$1001,$AQ275)),IF($AR275&lt;&gt;"",IF(INDEX(Raw_D3!$L$2:$L$1001,$AR275)="","",INDEX(Raw_D3!$L$2:$L$1001,$AR275)),"")))</f>
        <v>0.5</v>
      </c>
      <c r="M275" s="17">
        <f>IF($A275="","",IF($AQ275&lt;&gt;"",IF(INDEX(Raw_D2!$E$2:$E$1001,$AQ275)="","",INDEX(Raw_D2!$E$2:$E$1001,$AQ275)),IF($AR275&lt;&gt;"",IF(INDEX(Raw_D3!$M$2:$M$1001,$AR275)="","",INDEX(Raw_D3!$M$2:$M$1001,$AR275)),"")))</f>
        <v>0.3284</v>
      </c>
      <c r="N275" s="5">
        <f>IF($A275="","",IF($AQ275&lt;&gt;"",IF(INDEX(Raw_D2!$F$2:$F$1001,$AQ275)="","",INDEX(Raw_D2!$F$2:$F$1001,$AQ275)),IF($AR275&lt;&gt;"",IF(INDEX(Raw_D3!$N$2:$N$1001,$AR275)="","",INDEX(Raw_D3!$N$2:$N$1001,$AR275)),"")))</f>
        <v>2</v>
      </c>
      <c r="O275" s="5">
        <f>IF($A275="","",IF($AQ275&lt;&gt;"",IF(INDEX(Raw_D2!$G$2:$G$1001,$AQ275)="","",INDEX(Raw_D2!$G$2:$G$1001,$AQ275)),IF($AR275&lt;&gt;"",IF(INDEX(Raw_D3!$O$2:$O$1001,$AR275)="","",INDEX(Raw_D3!$O$2:$O$1001,$AR275)),"")))</f>
        <v>54</v>
      </c>
      <c r="P275" s="5">
        <f>IF($A275="","",IF($AQ275&lt;&gt;"",IF(INDEX(Raw_D2!$H$2:$H$1001,$AQ275)="","",INDEX(Raw_D2!$H$2:$H$1001,$AQ275)),IF($AR275&lt;&gt;"",IF(INDEX(Raw_D3!$P$2:$P$1001,$AR275)="","",INDEX(Raw_D3!$P$2:$P$1001,$AR275)),"")))</f>
        <v>56</v>
      </c>
      <c r="Q275" s="5" t="str">
        <f>IF($A275="","",IF(AND($AP275&lt;&gt;"",$AQ275&lt;&gt;""),"D1+D2",IF($AR275&lt;&gt;"","D3","Incomplete")))</f>
        <v>D1+D2</v>
      </c>
      <c r="R275" s="17">
        <f>IF($A275="","",IF($K275="",IF($J275="","",ROUND(Lookups!$K$5+Lookups!$K$4*$J275,4)),$K275))</f>
        <v>0.1364</v>
      </c>
      <c r="S275" s="5" t="str">
        <f>IF($A275="","",IF($K275="","Imputed","Original"))</f>
        <v>Original</v>
      </c>
      <c r="T275" s="5" t="str">
        <f>IF($A275="","",IF($P275="","Missing",IF($P275=$N275+$O275,"OK","Mismatch")))</f>
        <v>OK</v>
      </c>
      <c r="U275" s="5" t="str">
        <f>IF($A275="","",IF(COUNTIF($A$2:$A275,$A275)&gt;1,"Duplicate","Unique"))</f>
        <v>Unique</v>
      </c>
      <c r="V275" s="5">
        <f>IF($A275="","",IF(AND($U275="Unique",ISNUMBER($P275)),1,0))</f>
        <v>1</v>
      </c>
      <c r="W275" s="5" t="str">
        <f>IF($A275="","",IF(OR($H275=0,$H275=6),"Weekend","Weekday"))</f>
        <v>Weekday</v>
      </c>
      <c r="X275" s="5" t="str">
        <f>IF($A275="","",TEXT($B275,"ddd"))</f>
        <v>Wed</v>
      </c>
      <c r="Y275" s="5" t="str">
        <f>IF($A275="","",TEXT($B275,"mmm"))</f>
        <v>Jan</v>
      </c>
      <c r="Z275" s="5" t="str">
        <f>IF($A275="","",IFERROR(VLOOKUP($C275,Lookups!$D$4:$E$7,2,FALSE),"Unknown"))</f>
        <v>Winter</v>
      </c>
      <c r="AA275" s="5" t="str">
        <f>IF($A275="","",IFERROR(VLOOKUP($I275,Lookups!$A$4:$B$7,2,FALSE),"Unknown"))</f>
        <v>Clear</v>
      </c>
      <c r="AB275" s="5" t="str">
        <f>IF($A275="","",TEXT($F275,"00")&amp;":00")</f>
        <v>20:00</v>
      </c>
      <c r="AC275" s="5" t="str">
        <f>IF($A275="","",VLOOKUP($F275,Lookups!$G$4:$H$8,2,TRUE))</f>
        <v>Late Evening (20-23)</v>
      </c>
      <c r="AD275" s="18">
        <f>IF($A275="","",IF($J275="","",ROUND($J275*41,1)))</f>
        <v>6.6</v>
      </c>
      <c r="AE275" s="18">
        <f>IF($A275="","",IF($R275="","",ROUND($R275*50,1)))</f>
        <v>6.8</v>
      </c>
      <c r="AF275" s="5">
        <f>IF($A275="","",IF($L275="","",ROUND($L275*100,0)))</f>
        <v>50</v>
      </c>
      <c r="AG275" s="18">
        <f>IF($A275="","",IF($M275="","",ROUND($M275*67,1)))</f>
        <v>22</v>
      </c>
      <c r="AH275" s="19">
        <f>IF($A275="","",IF($P275="","",IF($P275=0,0,$O275/$P275)))</f>
        <v>0.964285714285714</v>
      </c>
      <c r="AI275" s="5" t="str">
        <f>IF($A275="","",IF($P275="","",IF($P275&gt;=Lookups!$K$7,"High",IF($P275&lt;=Lookups!$K$8,"Low","Medium"))))</f>
        <v>Medium</v>
      </c>
      <c r="AJ275" s="5" t="str">
        <f>IF($A275="","",IF($AD275="","",IF($AD275&lt;5,"Under 5 C",IF($AD275&lt;10,"5-10 C",IF($AD275&lt;15,"10-15 C","15 C and above")))))</f>
        <v>5-10 C</v>
      </c>
      <c r="AK275" s="5">
        <f>IF($A275="","",IF($P275="","",$P275^2))</f>
        <v>3136</v>
      </c>
      <c r="AL275" s="18">
        <f>IF($V275&lt;&gt;1,"",AVERAGEIFS(Clean_Data!$P$2:$P$1001,Clean_Data!$F$2:$F$1001,$F275,Clean_Data!$W$2:$W$1001,$W275,Clean_Data!$V$2:$V$1001,1))</f>
        <v>72.2758620689655</v>
      </c>
      <c r="AM275" s="16">
        <f>IF($V275&lt;&gt;1,"",IFERROR(($P275-$AL275)/SQRT(MAX(0,(SUMIFS(Clean_Data!$AK$2:$AK$1001,Clean_Data!$F$2:$F$1001,$F275,Clean_Data!$W$2:$W$1001,$W275,Clean_Data!$V$2:$V$1001,1)-COUNTIFS(Clean_Data!$F$2:$F$1001,$F275,Clean_Data!$W$2:$W$1001,$W275,Clean_Data!$V$2:$V$1001,1)*$AL275^2)/(COUNTIFS(Clean_Data!$F$2:$F$1001,$F275,Clean_Data!$W$2:$W$1001,$W275,Clean_Data!$V$2:$V$1001,1)-1))),""))</f>
        <v>-0.736455916391404</v>
      </c>
      <c r="AN275" s="5" t="str">
        <f>IF($AM275="","",IF($AM275&gt;=Lookups!$K$6,"High spike",IF($AM275&lt;=-Lookups!$K$6,"Unusual low","Normal")))</f>
        <v>Normal</v>
      </c>
      <c r="AO275" s="20">
        <f>IF($V275&lt;&gt;1,"",$P275+ROW()/100000)</f>
        <v>56.00275</v>
      </c>
      <c r="AP275" s="5">
        <f>IF($A275="","",IFERROR(MATCH($A275,Raw_D1!$A$2:$A$1001,0),""))</f>
        <v>274</v>
      </c>
      <c r="AQ275" s="5">
        <f>IF($A275="","",IFERROR(MATCH($A275,Raw_D2!$B$2:$B$1001,0),""))</f>
        <v>274</v>
      </c>
      <c r="AR275" s="5">
        <f>IF($A275="","",IFERROR(MATCH($A275,Raw_D3!$A$2:$A$1001,0),""))</f>
        <v/>
      </c>
    </row>
    <row r="276" spans="1:44" x14ac:dyDescent="0.25">
      <c r="A276" s="5">
        <v>275</v>
      </c>
      <c r="B276" s="11">
        <f>IF($A276="","",IF($AP276&lt;&gt;"",INDEX(Raw_D1!$B$2:$B$1001,$AP276),IF($AR276&lt;&gt;"",INDEX(Raw_D3!$B$2:$B$1001,$AR276),"")))</f>
        <v>40555.0</v>
      </c>
      <c r="C276" s="5">
        <f>IF($A276="","",IF($AP276&lt;&gt;"",INDEX(Raw_D1!$C$2:$C$1001,$AP276),IF($AR276&lt;&gt;"",INDEX(Raw_D3!$C$2:$C$1001,$AR276),"")))</f>
        <v>1</v>
      </c>
      <c r="D276" s="5">
        <f>IF($A276="","",IF($AP276&lt;&gt;"",INDEX(Raw_D1!$D$2:$D$1001,$AP276),IF($AR276&lt;&gt;"",INDEX(Raw_D3!$D$2:$D$1001,$AR276),"")))</f>
        <v>0</v>
      </c>
      <c r="E276" s="5">
        <f>IF($A276="","",IF($AP276&lt;&gt;"",INDEX(Raw_D1!$E$2:$E$1001,$AP276),IF($AR276&lt;&gt;"",INDEX(Raw_D3!$E$2:$E$1001,$AR276),"")))</f>
        <v>1</v>
      </c>
      <c r="F276" s="5">
        <f>IF($A276="","",IF($AP276&lt;&gt;"",INDEX(Raw_D1!$F$2:$F$1001,$AP276),IF($AR276&lt;&gt;"",INDEX(Raw_D3!$F$2:$F$1001,$AR276),"")))</f>
        <v>21</v>
      </c>
      <c r="G276" s="5">
        <f>IF($A276="","",IF($AP276&lt;&gt;"",IF(INDEX(Raw_D1!$G$2:$G$1001,$AP276),1,0),IF($AR276&lt;&gt;"",IF(INDEX(Raw_D3!$G$2:$G$1001,$AR276),1,0),"")))</f>
        <v>0</v>
      </c>
      <c r="H276" s="5">
        <f>IF($A276="","",IF($AP276&lt;&gt;"",INDEX(Raw_D1!$H$2:$H$1001,$AP276),IF($AR276&lt;&gt;"",INDEX(Raw_D3!$H$2:$H$1001,$AR276),"")))</f>
        <v>3</v>
      </c>
      <c r="I276" s="5">
        <f>IF($A276="","",IF($AP276&lt;&gt;"",INDEX(Raw_D1!$I$2:$I$1001,$AP276),IF($AR276&lt;&gt;"",INDEX(Raw_D3!$I$2:$I$1001,$AR276),"")))</f>
        <v>1</v>
      </c>
      <c r="J276" s="16">
        <f>IF($A276="","",IF($AP276&lt;&gt;"",INDEX(Raw_D1!$J$2:$J$1001,$AP276),IF($AR276&lt;&gt;"",INDEX(Raw_D3!$J$2:$J$1001,$AR276),"")))</f>
        <v>0.16</v>
      </c>
      <c r="K276" s="17">
        <f>IF($A276="","",IF($AQ276&lt;&gt;"",IF(INDEX(Raw_D2!$C$2:$C$1001,$AQ276)="","",INDEX(Raw_D2!$C$2:$C$1001,$AQ276)),IF($AR276&lt;&gt;"",IF(INDEX(Raw_D3!$K$2:$K$1001,$AR276)="","",INDEX(Raw_D3!$K$2:$K$1001,$AR276)),"")))</f>
        <v>0.1364</v>
      </c>
      <c r="L276" s="16">
        <f>IF($A276="","",IF($AQ276&lt;&gt;"",IF(INDEX(Raw_D2!$D$2:$D$1001,$AQ276)="","",INDEX(Raw_D2!$D$2:$D$1001,$AQ276)),IF($AR276&lt;&gt;"",IF(INDEX(Raw_D3!$L$2:$L$1001,$AR276)="","",INDEX(Raw_D3!$L$2:$L$1001,$AR276)),"")))</f>
        <v>0.55</v>
      </c>
      <c r="M276" s="17">
        <f>IF($A276="","",IF($AQ276&lt;&gt;"",IF(INDEX(Raw_D2!$E$2:$E$1001,$AQ276)="","",INDEX(Raw_D2!$E$2:$E$1001,$AQ276)),IF($AR276&lt;&gt;"",IF(INDEX(Raw_D3!$M$2:$M$1001,$AR276)="","",INDEX(Raw_D3!$M$2:$M$1001,$AR276)),"")))</f>
        <v>0.3284</v>
      </c>
      <c r="N276" s="5">
        <f>IF($A276="","",IF($AQ276&lt;&gt;"",IF(INDEX(Raw_D2!$F$2:$F$1001,$AQ276)="","",INDEX(Raw_D2!$F$2:$F$1001,$AQ276)),IF($AR276&lt;&gt;"",IF(INDEX(Raw_D3!$N$2:$N$1001,$AR276)="","",INDEX(Raw_D3!$N$2:$N$1001,$AR276)),"")))</f>
        <v>0</v>
      </c>
      <c r="O276" s="5">
        <f>IF($A276="","",IF($AQ276&lt;&gt;"",IF(INDEX(Raw_D2!$G$2:$G$1001,$AQ276)="","",INDEX(Raw_D2!$G$2:$G$1001,$AQ276)),IF($AR276&lt;&gt;"",IF(INDEX(Raw_D3!$O$2:$O$1001,$AR276)="","",INDEX(Raw_D3!$O$2:$O$1001,$AR276)),"")))</f>
        <v>57</v>
      </c>
      <c r="P276" s="5">
        <f>IF($A276="","",IF($AQ276&lt;&gt;"",IF(INDEX(Raw_D2!$H$2:$H$1001,$AQ276)="","",INDEX(Raw_D2!$H$2:$H$1001,$AQ276)),IF($AR276&lt;&gt;"",IF(INDEX(Raw_D3!$P$2:$P$1001,$AR276)="","",INDEX(Raw_D3!$P$2:$P$1001,$AR276)),"")))</f>
        <v>57</v>
      </c>
      <c r="Q276" s="5" t="str">
        <f>IF($A276="","",IF(AND($AP276&lt;&gt;"",$AQ276&lt;&gt;""),"D1+D2",IF($AR276&lt;&gt;"","D3","Incomplete")))</f>
        <v>D1+D2</v>
      </c>
      <c r="R276" s="17">
        <f>IF($A276="","",IF($K276="",IF($J276="","",ROUND(Lookups!$K$5+Lookups!$K$4*$J276,4)),$K276))</f>
        <v>0.1364</v>
      </c>
      <c r="S276" s="5" t="str">
        <f>IF($A276="","",IF($K276="","Imputed","Original"))</f>
        <v>Original</v>
      </c>
      <c r="T276" s="5" t="str">
        <f>IF($A276="","",IF($P276="","Missing",IF($P276=$N276+$O276,"OK","Mismatch")))</f>
        <v>OK</v>
      </c>
      <c r="U276" s="5" t="str">
        <f>IF($A276="","",IF(COUNTIF($A$2:$A276,$A276)&gt;1,"Duplicate","Unique"))</f>
        <v>Unique</v>
      </c>
      <c r="V276" s="5">
        <f>IF($A276="","",IF(AND($U276="Unique",ISNUMBER($P276)),1,0))</f>
        <v>1</v>
      </c>
      <c r="W276" s="5" t="str">
        <f>IF($A276="","",IF(OR($H276=0,$H276=6),"Weekend","Weekday"))</f>
        <v>Weekday</v>
      </c>
      <c r="X276" s="5" t="str">
        <f>IF($A276="","",TEXT($B276,"ddd"))</f>
        <v>Wed</v>
      </c>
      <c r="Y276" s="5" t="str">
        <f>IF($A276="","",TEXT($B276,"mmm"))</f>
        <v>Jan</v>
      </c>
      <c r="Z276" s="5" t="str">
        <f>IF($A276="","",IFERROR(VLOOKUP($C276,Lookups!$D$4:$E$7,2,FALSE),"Unknown"))</f>
        <v>Winter</v>
      </c>
      <c r="AA276" s="5" t="str">
        <f>IF($A276="","",IFERROR(VLOOKUP($I276,Lookups!$A$4:$B$7,2,FALSE),"Unknown"))</f>
        <v>Clear</v>
      </c>
      <c r="AB276" s="5" t="str">
        <f>IF($A276="","",TEXT($F276,"00")&amp;":00")</f>
        <v>21:00</v>
      </c>
      <c r="AC276" s="5" t="str">
        <f>IF($A276="","",VLOOKUP($F276,Lookups!$G$4:$H$8,2,TRUE))</f>
        <v>Late Evening (20-23)</v>
      </c>
      <c r="AD276" s="18">
        <f>IF($A276="","",IF($J276="","",ROUND($J276*41,1)))</f>
        <v>6.6</v>
      </c>
      <c r="AE276" s="18">
        <f>IF($A276="","",IF($R276="","",ROUND($R276*50,1)))</f>
        <v>6.8</v>
      </c>
      <c r="AF276" s="5">
        <f>IF($A276="","",IF($L276="","",ROUND($L276*100,0)))</f>
        <v>55</v>
      </c>
      <c r="AG276" s="18">
        <f>IF($A276="","",IF($M276="","",ROUND($M276*67,1)))</f>
        <v>22</v>
      </c>
      <c r="AH276" s="19">
        <f>IF($A276="","",IF($P276="","",IF($P276=0,0,$O276/$P276)))</f>
        <v>1</v>
      </c>
      <c r="AI276" s="5" t="str">
        <f>IF($A276="","",IF($P276="","",IF($P276&gt;=Lookups!$K$7,"High",IF($P276&lt;=Lookups!$K$8,"Low","Medium"))))</f>
        <v>Medium</v>
      </c>
      <c r="AJ276" s="5" t="str">
        <f>IF($A276="","",IF($AD276="","",IF($AD276&lt;5,"Under 5 C",IF($AD276&lt;10,"5-10 C",IF($AD276&lt;15,"10-15 C","15 C and above")))))</f>
        <v>5-10 C</v>
      </c>
      <c r="AK276" s="5">
        <f>IF($A276="","",IF($P276="","",$P276^2))</f>
        <v>3249</v>
      </c>
      <c r="AL276" s="18">
        <f>IF($V276&lt;&gt;1,"",AVERAGEIFS(Clean_Data!$P$2:$P$1001,Clean_Data!$F$2:$F$1001,$F276,Clean_Data!$W$2:$W$1001,$W276,Clean_Data!$V$2:$V$1001,1))</f>
        <v>50.8965517241379</v>
      </c>
      <c r="AM276" s="16">
        <f>IF($V276&lt;&gt;1,"",IFERROR(($P276-$AL276)/SQRT(MAX(0,(SUMIFS(Clean_Data!$AK$2:$AK$1001,Clean_Data!$F$2:$F$1001,$F276,Clean_Data!$W$2:$W$1001,$W276,Clean_Data!$V$2:$V$1001,1)-COUNTIFS(Clean_Data!$F$2:$F$1001,$F276,Clean_Data!$W$2:$W$1001,$W276,Clean_Data!$V$2:$V$1001,1)*$AL276^2)/(COUNTIFS(Clean_Data!$F$2:$F$1001,$F276,Clean_Data!$W$2:$W$1001,$W276,Clean_Data!$V$2:$V$1001,1)-1))),""))</f>
        <v>0.442014937695976</v>
      </c>
      <c r="AN276" s="5" t="str">
        <f>IF($AM276="","",IF($AM276&gt;=Lookups!$K$6,"High spike",IF($AM276&lt;=-Lookups!$K$6,"Unusual low","Normal")))</f>
        <v>Normal</v>
      </c>
      <c r="AO276" s="20">
        <f>IF($V276&lt;&gt;1,"",$P276+ROW()/100000)</f>
        <v>57.00276</v>
      </c>
      <c r="AP276" s="5">
        <f>IF($A276="","",IFERROR(MATCH($A276,Raw_D1!$A$2:$A$1001,0),""))</f>
        <v>275</v>
      </c>
      <c r="AQ276" s="5">
        <f>IF($A276="","",IFERROR(MATCH($A276,Raw_D2!$B$2:$B$1001,0),""))</f>
        <v>275</v>
      </c>
      <c r="AR276" s="5">
        <f>IF($A276="","",IFERROR(MATCH($A276,Raw_D3!$A$2:$A$1001,0),""))</f>
        <v/>
      </c>
    </row>
    <row r="277" spans="1:44" x14ac:dyDescent="0.25">
      <c r="A277" s="5">
        <v>276</v>
      </c>
      <c r="B277" s="11">
        <f>IF($A277="","",IF($AP277&lt;&gt;"",INDEX(Raw_D1!$B$2:$B$1001,$AP277),IF($AR277&lt;&gt;"",INDEX(Raw_D3!$B$2:$B$1001,$AR277),"")))</f>
        <v>40555.0</v>
      </c>
      <c r="C277" s="5">
        <f>IF($A277="","",IF($AP277&lt;&gt;"",INDEX(Raw_D1!$C$2:$C$1001,$AP277),IF($AR277&lt;&gt;"",INDEX(Raw_D3!$C$2:$C$1001,$AR277),"")))</f>
        <v>1</v>
      </c>
      <c r="D277" s="5">
        <f>IF($A277="","",IF($AP277&lt;&gt;"",INDEX(Raw_D1!$D$2:$D$1001,$AP277),IF($AR277&lt;&gt;"",INDEX(Raw_D3!$D$2:$D$1001,$AR277),"")))</f>
        <v>0</v>
      </c>
      <c r="E277" s="5">
        <f>IF($A277="","",IF($AP277&lt;&gt;"",INDEX(Raw_D1!$E$2:$E$1001,$AP277),IF($AR277&lt;&gt;"",INDEX(Raw_D3!$E$2:$E$1001,$AR277),"")))</f>
        <v>1</v>
      </c>
      <c r="F277" s="5">
        <f>IF($A277="","",IF($AP277&lt;&gt;"",INDEX(Raw_D1!$F$2:$F$1001,$AP277),IF($AR277&lt;&gt;"",INDEX(Raw_D3!$F$2:$F$1001,$AR277),"")))</f>
        <v>22</v>
      </c>
      <c r="G277" s="5">
        <f>IF($A277="","",IF($AP277&lt;&gt;"",IF(INDEX(Raw_D1!$G$2:$G$1001,$AP277),1,0),IF($AR277&lt;&gt;"",IF(INDEX(Raw_D3!$G$2:$G$1001,$AR277),1,0),"")))</f>
        <v>0</v>
      </c>
      <c r="H277" s="5">
        <f>IF($A277="","",IF($AP277&lt;&gt;"",INDEX(Raw_D1!$H$2:$H$1001,$AP277),IF($AR277&lt;&gt;"",INDEX(Raw_D3!$H$2:$H$1001,$AR277),"")))</f>
        <v>3</v>
      </c>
      <c r="I277" s="5">
        <f>IF($A277="","",IF($AP277&lt;&gt;"",INDEX(Raw_D1!$I$2:$I$1001,$AP277),IF($AR277&lt;&gt;"",INDEX(Raw_D3!$I$2:$I$1001,$AR277),"")))</f>
        <v>1</v>
      </c>
      <c r="J277" s="16">
        <f>IF($A277="","",IF($AP277&lt;&gt;"",INDEX(Raw_D1!$J$2:$J$1001,$AP277),IF($AR277&lt;&gt;"",INDEX(Raw_D3!$J$2:$J$1001,$AR277),"")))</f>
        <v>0.16</v>
      </c>
      <c r="K277" s="17">
        <f>IF($A277="","",IF($AQ277&lt;&gt;"",IF(INDEX(Raw_D2!$C$2:$C$1001,$AQ277)="","",INDEX(Raw_D2!$C$2:$C$1001,$AQ277)),IF($AR277&lt;&gt;"",IF(INDEX(Raw_D3!$K$2:$K$1001,$AR277)="","",INDEX(Raw_D3!$K$2:$K$1001,$AR277)),"")))</f>
        <v>0.1212</v>
      </c>
      <c r="L277" s="16">
        <f>IF($A277="","",IF($AQ277&lt;&gt;"",IF(INDEX(Raw_D2!$D$2:$D$1001,$AQ277)="","",INDEX(Raw_D2!$D$2:$D$1001,$AQ277)),IF($AR277&lt;&gt;"",IF(INDEX(Raw_D3!$L$2:$L$1001,$AR277)="","",INDEX(Raw_D3!$L$2:$L$1001,$AR277)),"")))</f>
        <v>0.55</v>
      </c>
      <c r="M277" s="17">
        <f>IF($A277="","",IF($AQ277&lt;&gt;"",IF(INDEX(Raw_D2!$E$2:$E$1001,$AQ277)="","",INDEX(Raw_D2!$E$2:$E$1001,$AQ277)),IF($AR277&lt;&gt;"",IF(INDEX(Raw_D3!$M$2:$M$1001,$AR277)="","",INDEX(Raw_D3!$M$2:$M$1001,$AR277)),"")))</f>
        <v>0.4478</v>
      </c>
      <c r="N277" s="5">
        <f>IF($A277="","",IF($AQ277&lt;&gt;"",IF(INDEX(Raw_D2!$F$2:$F$1001,$AQ277)="","",INDEX(Raw_D2!$F$2:$F$1001,$AQ277)),IF($AR277&lt;&gt;"",IF(INDEX(Raw_D3!$N$2:$N$1001,$AR277)="","",INDEX(Raw_D3!$N$2:$N$1001,$AR277)),"")))</f>
        <v>1</v>
      </c>
      <c r="O277" s="5">
        <f>IF($A277="","",IF($AQ277&lt;&gt;"",IF(INDEX(Raw_D2!$G$2:$G$1001,$AQ277)="","",INDEX(Raw_D2!$G$2:$G$1001,$AQ277)),IF($AR277&lt;&gt;"",IF(INDEX(Raw_D3!$O$2:$O$1001,$AR277)="","",INDEX(Raw_D3!$O$2:$O$1001,$AR277)),"")))</f>
        <v>32</v>
      </c>
      <c r="P277" s="5">
        <f>IF($A277="","",IF($AQ277&lt;&gt;"",IF(INDEX(Raw_D2!$H$2:$H$1001,$AQ277)="","",INDEX(Raw_D2!$H$2:$H$1001,$AQ277)),IF($AR277&lt;&gt;"",IF(INDEX(Raw_D3!$P$2:$P$1001,$AR277)="","",INDEX(Raw_D3!$P$2:$P$1001,$AR277)),"")))</f>
        <v>33</v>
      </c>
      <c r="Q277" s="5" t="str">
        <f>IF($A277="","",IF(AND($AP277&lt;&gt;"",$AQ277&lt;&gt;""),"D1+D2",IF($AR277&lt;&gt;"","D3","Incomplete")))</f>
        <v>D1+D2</v>
      </c>
      <c r="R277" s="17">
        <f>IF($A277="","",IF($K277="",IF($J277="","",ROUND(Lookups!$K$5+Lookups!$K$4*$J277,4)),$K277))</f>
        <v>0.1212</v>
      </c>
      <c r="S277" s="5" t="str">
        <f>IF($A277="","",IF($K277="","Imputed","Original"))</f>
        <v>Original</v>
      </c>
      <c r="T277" s="5" t="str">
        <f>IF($A277="","",IF($P277="","Missing",IF($P277=$N277+$O277,"OK","Mismatch")))</f>
        <v>OK</v>
      </c>
      <c r="U277" s="5" t="str">
        <f>IF($A277="","",IF(COUNTIF($A$2:$A277,$A277)&gt;1,"Duplicate","Unique"))</f>
        <v>Unique</v>
      </c>
      <c r="V277" s="5">
        <f>IF($A277="","",IF(AND($U277="Unique",ISNUMBER($P277)),1,0))</f>
        <v>1</v>
      </c>
      <c r="W277" s="5" t="str">
        <f>IF($A277="","",IF(OR($H277=0,$H277=6),"Weekend","Weekday"))</f>
        <v>Weekday</v>
      </c>
      <c r="X277" s="5" t="str">
        <f>IF($A277="","",TEXT($B277,"ddd"))</f>
        <v>Wed</v>
      </c>
      <c r="Y277" s="5" t="str">
        <f>IF($A277="","",TEXT($B277,"mmm"))</f>
        <v>Jan</v>
      </c>
      <c r="Z277" s="5" t="str">
        <f>IF($A277="","",IFERROR(VLOOKUP($C277,Lookups!$D$4:$E$7,2,FALSE),"Unknown"))</f>
        <v>Winter</v>
      </c>
      <c r="AA277" s="5" t="str">
        <f>IF($A277="","",IFERROR(VLOOKUP($I277,Lookups!$A$4:$B$7,2,FALSE),"Unknown"))</f>
        <v>Clear</v>
      </c>
      <c r="AB277" s="5" t="str">
        <f>IF($A277="","",TEXT($F277,"00")&amp;":00")</f>
        <v>22:00</v>
      </c>
      <c r="AC277" s="5" t="str">
        <f>IF($A277="","",VLOOKUP($F277,Lookups!$G$4:$H$8,2,TRUE))</f>
        <v>Late Evening (20-23)</v>
      </c>
      <c r="AD277" s="18">
        <f>IF($A277="","",IF($J277="","",ROUND($J277*41,1)))</f>
        <v>6.6</v>
      </c>
      <c r="AE277" s="18">
        <f>IF($A277="","",IF($R277="","",ROUND($R277*50,1)))</f>
        <v>6.1</v>
      </c>
      <c r="AF277" s="5">
        <f>IF($A277="","",IF($L277="","",ROUND($L277*100,0)))</f>
        <v>55</v>
      </c>
      <c r="AG277" s="18">
        <f>IF($A277="","",IF($M277="","",ROUND($M277*67,1)))</f>
        <v>30</v>
      </c>
      <c r="AH277" s="19">
        <f>IF($A277="","",IF($P277="","",IF($P277=0,0,$O277/$P277)))</f>
        <v>0.96969696969697</v>
      </c>
      <c r="AI277" s="5" t="str">
        <f>IF($A277="","",IF($P277="","",IF($P277&gt;=Lookups!$K$7,"High",IF($P277&lt;=Lookups!$K$8,"Low","Medium"))))</f>
        <v>Medium</v>
      </c>
      <c r="AJ277" s="5" t="str">
        <f>IF($A277="","",IF($AD277="","",IF($AD277&lt;5,"Under 5 C",IF($AD277&lt;10,"5-10 C",IF($AD277&lt;15,"10-15 C","15 C and above")))))</f>
        <v>5-10 C</v>
      </c>
      <c r="AK277" s="5">
        <f>IF($A277="","",IF($P277="","",$P277^2))</f>
        <v>1089</v>
      </c>
      <c r="AL277" s="18">
        <f>IF($V277&lt;&gt;1,"",AVERAGEIFS(Clean_Data!$P$2:$P$1001,Clean_Data!$F$2:$F$1001,$F277,Clean_Data!$W$2:$W$1001,$W277,Clean_Data!$V$2:$V$1001,1))</f>
        <v>37.1034482758621</v>
      </c>
      <c r="AM277" s="16">
        <f>IF($V277&lt;&gt;1,"",IFERROR(($P277-$AL277)/SQRT(MAX(0,(SUMIFS(Clean_Data!$AK$2:$AK$1001,Clean_Data!$F$2:$F$1001,$F277,Clean_Data!$W$2:$W$1001,$W277,Clean_Data!$V$2:$V$1001,1)-COUNTIFS(Clean_Data!$F$2:$F$1001,$F277,Clean_Data!$W$2:$W$1001,$W277,Clean_Data!$V$2:$V$1001,1)*$AL277^2)/(COUNTIFS(Clean_Data!$F$2:$F$1001,$F277,Clean_Data!$W$2:$W$1001,$W277,Clean_Data!$V$2:$V$1001,1)-1))),""))</f>
        <v>-0.380136959034571</v>
      </c>
      <c r="AN277" s="5" t="str">
        <f>IF($AM277="","",IF($AM277&gt;=Lookups!$K$6,"High spike",IF($AM277&lt;=-Lookups!$K$6,"Unusual low","Normal")))</f>
        <v>Normal</v>
      </c>
      <c r="AO277" s="20">
        <f>IF($V277&lt;&gt;1,"",$P277+ROW()/100000)</f>
        <v>33.00277</v>
      </c>
      <c r="AP277" s="5">
        <f>IF($A277="","",IFERROR(MATCH($A277,Raw_D1!$A$2:$A$1001,0),""))</f>
        <v>276</v>
      </c>
      <c r="AQ277" s="5">
        <f>IF($A277="","",IFERROR(MATCH($A277,Raw_D2!$B$2:$B$1001,0),""))</f>
        <v>276</v>
      </c>
      <c r="AR277" s="5">
        <f>IF($A277="","",IFERROR(MATCH($A277,Raw_D3!$A$2:$A$1001,0),""))</f>
        <v/>
      </c>
    </row>
    <row r="278" spans="1:44" x14ac:dyDescent="0.25">
      <c r="A278" s="5">
        <v>277</v>
      </c>
      <c r="B278" s="11">
        <f>IF($A278="","",IF($AP278&lt;&gt;"",INDEX(Raw_D1!$B$2:$B$1001,$AP278),IF($AR278&lt;&gt;"",INDEX(Raw_D3!$B$2:$B$1001,$AR278),"")))</f>
        <v>40555.0</v>
      </c>
      <c r="C278" s="5">
        <f>IF($A278="","",IF($AP278&lt;&gt;"",INDEX(Raw_D1!$C$2:$C$1001,$AP278),IF($AR278&lt;&gt;"",INDEX(Raw_D3!$C$2:$C$1001,$AR278),"")))</f>
        <v>1</v>
      </c>
      <c r="D278" s="5">
        <f>IF($A278="","",IF($AP278&lt;&gt;"",INDEX(Raw_D1!$D$2:$D$1001,$AP278),IF($AR278&lt;&gt;"",INDEX(Raw_D3!$D$2:$D$1001,$AR278),"")))</f>
        <v>0</v>
      </c>
      <c r="E278" s="5">
        <f>IF($A278="","",IF($AP278&lt;&gt;"",INDEX(Raw_D1!$E$2:$E$1001,$AP278),IF($AR278&lt;&gt;"",INDEX(Raw_D3!$E$2:$E$1001,$AR278),"")))</f>
        <v>1</v>
      </c>
      <c r="F278" s="5">
        <f>IF($A278="","",IF($AP278&lt;&gt;"",INDEX(Raw_D1!$F$2:$F$1001,$AP278),IF($AR278&lt;&gt;"",INDEX(Raw_D3!$F$2:$F$1001,$AR278),"")))</f>
        <v>23</v>
      </c>
      <c r="G278" s="5">
        <f>IF($A278="","",IF($AP278&lt;&gt;"",IF(INDEX(Raw_D1!$G$2:$G$1001,$AP278),1,0),IF($AR278&lt;&gt;"",IF(INDEX(Raw_D3!$G$2:$G$1001,$AR278),1,0),"")))</f>
        <v>0</v>
      </c>
      <c r="H278" s="5">
        <f>IF($A278="","",IF($AP278&lt;&gt;"",INDEX(Raw_D1!$H$2:$H$1001,$AP278),IF($AR278&lt;&gt;"",INDEX(Raw_D3!$H$2:$H$1001,$AR278),"")))</f>
        <v>3</v>
      </c>
      <c r="I278" s="5">
        <f>IF($A278="","",IF($AP278&lt;&gt;"",INDEX(Raw_D1!$I$2:$I$1001,$AP278),IF($AR278&lt;&gt;"",INDEX(Raw_D3!$I$2:$I$1001,$AR278),"")))</f>
        <v>1</v>
      </c>
      <c r="J278" s="16">
        <f>IF($A278="","",IF($AP278&lt;&gt;"",INDEX(Raw_D1!$J$2:$J$1001,$AP278),IF($AR278&lt;&gt;"",INDEX(Raw_D3!$J$2:$J$1001,$AR278),"")))</f>
        <v>0.14</v>
      </c>
      <c r="K278" s="17">
        <f>IF($A278="","",IF($AQ278&lt;&gt;"",IF(INDEX(Raw_D2!$C$2:$C$1001,$AQ278)="","",INDEX(Raw_D2!$C$2:$C$1001,$AQ278)),IF($AR278&lt;&gt;"",IF(INDEX(Raw_D3!$K$2:$K$1001,$AR278)="","",INDEX(Raw_D3!$K$2:$K$1001,$AR278)),"")))</f>
        <v>0.1061</v>
      </c>
      <c r="L278" s="16">
        <f>IF($A278="","",IF($AQ278&lt;&gt;"",IF(INDEX(Raw_D2!$D$2:$D$1001,$AQ278)="","",INDEX(Raw_D2!$D$2:$D$1001,$AQ278)),IF($AR278&lt;&gt;"",IF(INDEX(Raw_D3!$L$2:$L$1001,$AR278)="","",INDEX(Raw_D3!$L$2:$L$1001,$AR278)),"")))</f>
        <v>0.59</v>
      </c>
      <c r="M278" s="17">
        <f>IF($A278="","",IF($AQ278&lt;&gt;"",IF(INDEX(Raw_D2!$E$2:$E$1001,$AQ278)="","",INDEX(Raw_D2!$E$2:$E$1001,$AQ278)),IF($AR278&lt;&gt;"",IF(INDEX(Raw_D3!$M$2:$M$1001,$AR278)="","",INDEX(Raw_D3!$M$2:$M$1001,$AR278)),"")))</f>
        <v>0.4179</v>
      </c>
      <c r="N278" s="5">
        <f>IF($A278="","",IF($AQ278&lt;&gt;"",IF(INDEX(Raw_D2!$F$2:$F$1001,$AQ278)="","",INDEX(Raw_D2!$F$2:$F$1001,$AQ278)),IF($AR278&lt;&gt;"",IF(INDEX(Raw_D3!$N$2:$N$1001,$AR278)="","",INDEX(Raw_D3!$N$2:$N$1001,$AR278)),"")))</f>
        <v>1</v>
      </c>
      <c r="O278" s="5">
        <f>IF($A278="","",IF($AQ278&lt;&gt;"",IF(INDEX(Raw_D2!$G$2:$G$1001,$AQ278)="","",INDEX(Raw_D2!$G$2:$G$1001,$AQ278)),IF($AR278&lt;&gt;"",IF(INDEX(Raw_D3!$O$2:$O$1001,$AR278)="","",INDEX(Raw_D3!$O$2:$O$1001,$AR278)),"")))</f>
        <v>19</v>
      </c>
      <c r="P278" s="5">
        <f>IF($A278="","",IF($AQ278&lt;&gt;"",IF(INDEX(Raw_D2!$H$2:$H$1001,$AQ278)="","",INDEX(Raw_D2!$H$2:$H$1001,$AQ278)),IF($AR278&lt;&gt;"",IF(INDEX(Raw_D3!$P$2:$P$1001,$AR278)="","",INDEX(Raw_D3!$P$2:$P$1001,$AR278)),"")))</f>
        <v>20</v>
      </c>
      <c r="Q278" s="5" t="str">
        <f>IF($A278="","",IF(AND($AP278&lt;&gt;"",$AQ278&lt;&gt;""),"D1+D2",IF($AR278&lt;&gt;"","D3","Incomplete")))</f>
        <v>D1+D2</v>
      </c>
      <c r="R278" s="17">
        <f>IF($A278="","",IF($K278="",IF($J278="","",ROUND(Lookups!$K$5+Lookups!$K$4*$J278,4)),$K278))</f>
        <v>0.1061</v>
      </c>
      <c r="S278" s="5" t="str">
        <f>IF($A278="","",IF($K278="","Imputed","Original"))</f>
        <v>Original</v>
      </c>
      <c r="T278" s="5" t="str">
        <f>IF($A278="","",IF($P278="","Missing",IF($P278=$N278+$O278,"OK","Mismatch")))</f>
        <v>OK</v>
      </c>
      <c r="U278" s="5" t="str">
        <f>IF($A278="","",IF(COUNTIF($A$2:$A278,$A278)&gt;1,"Duplicate","Unique"))</f>
        <v>Unique</v>
      </c>
      <c r="V278" s="5">
        <f>IF($A278="","",IF(AND($U278="Unique",ISNUMBER($P278)),1,0))</f>
        <v>1</v>
      </c>
      <c r="W278" s="5" t="str">
        <f>IF($A278="","",IF(OR($H278=0,$H278=6),"Weekend","Weekday"))</f>
        <v>Weekday</v>
      </c>
      <c r="X278" s="5" t="str">
        <f>IF($A278="","",TEXT($B278,"ddd"))</f>
        <v>Wed</v>
      </c>
      <c r="Y278" s="5" t="str">
        <f>IF($A278="","",TEXT($B278,"mmm"))</f>
        <v>Jan</v>
      </c>
      <c r="Z278" s="5" t="str">
        <f>IF($A278="","",IFERROR(VLOOKUP($C278,Lookups!$D$4:$E$7,2,FALSE),"Unknown"))</f>
        <v>Winter</v>
      </c>
      <c r="AA278" s="5" t="str">
        <f>IF($A278="","",IFERROR(VLOOKUP($I278,Lookups!$A$4:$B$7,2,FALSE),"Unknown"))</f>
        <v>Clear</v>
      </c>
      <c r="AB278" s="5" t="str">
        <f>IF($A278="","",TEXT($F278,"00")&amp;":00")</f>
        <v>23:00</v>
      </c>
      <c r="AC278" s="5" t="str">
        <f>IF($A278="","",VLOOKUP($F278,Lookups!$G$4:$H$8,2,TRUE))</f>
        <v>Late Evening (20-23)</v>
      </c>
      <c r="AD278" s="18">
        <f>IF($A278="","",IF($J278="","",ROUND($J278*41,1)))</f>
        <v>5.7</v>
      </c>
      <c r="AE278" s="18">
        <f>IF($A278="","",IF($R278="","",ROUND($R278*50,1)))</f>
        <v>5.3</v>
      </c>
      <c r="AF278" s="5">
        <f>IF($A278="","",IF($L278="","",ROUND($L278*100,0)))</f>
        <v>59</v>
      </c>
      <c r="AG278" s="18">
        <f>IF($A278="","",IF($M278="","",ROUND($M278*67,1)))</f>
        <v>28</v>
      </c>
      <c r="AH278" s="19">
        <f>IF($A278="","",IF($P278="","",IF($P278=0,0,$O278/$P278)))</f>
        <v>0.95</v>
      </c>
      <c r="AI278" s="5" t="str">
        <f>IF($A278="","",IF($P278="","",IF($P278&gt;=Lookups!$K$7,"High",IF($P278&lt;=Lookups!$K$8,"Low","Medium"))))</f>
        <v>Medium</v>
      </c>
      <c r="AJ278" s="5" t="str">
        <f>IF($A278="","",IF($AD278="","",IF($AD278&lt;5,"Under 5 C",IF($AD278&lt;10,"5-10 C",IF($AD278&lt;15,"10-15 C","15 C and above")))))</f>
        <v>5-10 C</v>
      </c>
      <c r="AK278" s="5">
        <f>IF($A278="","",IF($P278="","",$P278^2))</f>
        <v>400</v>
      </c>
      <c r="AL278" s="18">
        <f>IF($V278&lt;&gt;1,"",AVERAGEIFS(Clean_Data!$P$2:$P$1001,Clean_Data!$F$2:$F$1001,$F278,Clean_Data!$W$2:$W$1001,$W278,Clean_Data!$V$2:$V$1001,1))</f>
        <v>23.6896551724138</v>
      </c>
      <c r="AM278" s="16">
        <f>IF($V278&lt;&gt;1,"",IFERROR(($P278-$AL278)/SQRT(MAX(0,(SUMIFS(Clean_Data!$AK$2:$AK$1001,Clean_Data!$F$2:$F$1001,$F278,Clean_Data!$W$2:$W$1001,$W278,Clean_Data!$V$2:$V$1001,1)-COUNTIFS(Clean_Data!$F$2:$F$1001,$F278,Clean_Data!$W$2:$W$1001,$W278,Clean_Data!$V$2:$V$1001,1)*$AL278^2)/(COUNTIFS(Clean_Data!$F$2:$F$1001,$F278,Clean_Data!$W$2:$W$1001,$W278,Clean_Data!$V$2:$V$1001,1)-1))),""))</f>
        <v>-0.352240724392468</v>
      </c>
      <c r="AN278" s="5" t="str">
        <f>IF($AM278="","",IF($AM278&gt;=Lookups!$K$6,"High spike",IF($AM278&lt;=-Lookups!$K$6,"Unusual low","Normal")))</f>
        <v>Normal</v>
      </c>
      <c r="AO278" s="20">
        <f>IF($V278&lt;&gt;1,"",$P278+ROW()/100000)</f>
        <v>20.00278</v>
      </c>
      <c r="AP278" s="5">
        <f>IF($A278="","",IFERROR(MATCH($A278,Raw_D1!$A$2:$A$1001,0),""))</f>
        <v>277</v>
      </c>
      <c r="AQ278" s="5">
        <f>IF($A278="","",IFERROR(MATCH($A278,Raw_D2!$B$2:$B$1001,0),""))</f>
        <v>277</v>
      </c>
      <c r="AR278" s="5">
        <f>IF($A278="","",IFERROR(MATCH($A278,Raw_D3!$A$2:$A$1001,0),""))</f>
        <v/>
      </c>
    </row>
    <row r="279" spans="1:44" x14ac:dyDescent="0.25">
      <c r="A279" s="5">
        <v>278</v>
      </c>
      <c r="B279" s="11">
        <f>IF($A279="","",IF($AP279&lt;&gt;"",INDEX(Raw_D1!$B$2:$B$1001,$AP279),IF($AR279&lt;&gt;"",INDEX(Raw_D3!$B$2:$B$1001,$AR279),"")))</f>
        <v>40556.0</v>
      </c>
      <c r="C279" s="5">
        <f>IF($A279="","",IF($AP279&lt;&gt;"",INDEX(Raw_D1!$C$2:$C$1001,$AP279),IF($AR279&lt;&gt;"",INDEX(Raw_D3!$C$2:$C$1001,$AR279),"")))</f>
        <v>1</v>
      </c>
      <c r="D279" s="5">
        <f>IF($A279="","",IF($AP279&lt;&gt;"",INDEX(Raw_D1!$D$2:$D$1001,$AP279),IF($AR279&lt;&gt;"",INDEX(Raw_D3!$D$2:$D$1001,$AR279),"")))</f>
        <v>0</v>
      </c>
      <c r="E279" s="5">
        <f>IF($A279="","",IF($AP279&lt;&gt;"",INDEX(Raw_D1!$E$2:$E$1001,$AP279),IF($AR279&lt;&gt;"",INDEX(Raw_D3!$E$2:$E$1001,$AR279),"")))</f>
        <v>1</v>
      </c>
      <c r="F279" s="5">
        <f>IF($A279="","",IF($AP279&lt;&gt;"",INDEX(Raw_D1!$F$2:$F$1001,$AP279),IF($AR279&lt;&gt;"",INDEX(Raw_D3!$F$2:$F$1001,$AR279),"")))</f>
        <v>0</v>
      </c>
      <c r="G279" s="5">
        <f>IF($A279="","",IF($AP279&lt;&gt;"",IF(INDEX(Raw_D1!$G$2:$G$1001,$AP279),1,0),IF($AR279&lt;&gt;"",IF(INDEX(Raw_D3!$G$2:$G$1001,$AR279),1,0),"")))</f>
        <v>0</v>
      </c>
      <c r="H279" s="5">
        <f>IF($A279="","",IF($AP279&lt;&gt;"",INDEX(Raw_D1!$H$2:$H$1001,$AP279),IF($AR279&lt;&gt;"",INDEX(Raw_D3!$H$2:$H$1001,$AR279),"")))</f>
        <v>4</v>
      </c>
      <c r="I279" s="5">
        <f>IF($A279="","",IF($AP279&lt;&gt;"",INDEX(Raw_D1!$I$2:$I$1001,$AP279),IF($AR279&lt;&gt;"",INDEX(Raw_D3!$I$2:$I$1001,$AR279),"")))</f>
        <v>1</v>
      </c>
      <c r="J279" s="16">
        <f>IF($A279="","",IF($AP279&lt;&gt;"",INDEX(Raw_D1!$J$2:$J$1001,$AP279),IF($AR279&lt;&gt;"",INDEX(Raw_D3!$J$2:$J$1001,$AR279),"")))</f>
        <v>0.14</v>
      </c>
      <c r="K279" s="17">
        <f>IF($A279="","",IF($AQ279&lt;&gt;"",IF(INDEX(Raw_D2!$C$2:$C$1001,$AQ279)="","",INDEX(Raw_D2!$C$2:$C$1001,$AQ279)),IF($AR279&lt;&gt;"",IF(INDEX(Raw_D3!$K$2:$K$1001,$AR279)="","",INDEX(Raw_D3!$K$2:$K$1001,$AR279)),"")))</f>
        <v>0.1212</v>
      </c>
      <c r="L279" s="16">
        <f>IF($A279="","",IF($AQ279&lt;&gt;"",IF(INDEX(Raw_D2!$D$2:$D$1001,$AQ279)="","",INDEX(Raw_D2!$D$2:$D$1001,$AQ279)),IF($AR279&lt;&gt;"",IF(INDEX(Raw_D3!$L$2:$L$1001,$AR279)="","",INDEX(Raw_D3!$L$2:$L$1001,$AR279)),"")))</f>
        <v>0.59</v>
      </c>
      <c r="M279" s="17">
        <f>IF($A279="","",IF($AQ279&lt;&gt;"",IF(INDEX(Raw_D2!$E$2:$E$1001,$AQ279)="","",INDEX(Raw_D2!$E$2:$E$1001,$AQ279)),IF($AR279&lt;&gt;"",IF(INDEX(Raw_D3!$M$2:$M$1001,$AR279)="","",INDEX(Raw_D3!$M$2:$M$1001,$AR279)),"")))</f>
        <v>0.2836</v>
      </c>
      <c r="N279" s="5">
        <f>IF($A279="","",IF($AQ279&lt;&gt;"",IF(INDEX(Raw_D2!$F$2:$F$1001,$AQ279)="","",INDEX(Raw_D2!$F$2:$F$1001,$AQ279)),IF($AR279&lt;&gt;"",IF(INDEX(Raw_D3!$N$2:$N$1001,$AR279)="","",INDEX(Raw_D3!$N$2:$N$1001,$AR279)),"")))</f>
        <v>1</v>
      </c>
      <c r="O279" s="5">
        <f>IF($A279="","",IF($AQ279&lt;&gt;"",IF(INDEX(Raw_D2!$G$2:$G$1001,$AQ279)="","",INDEX(Raw_D2!$G$2:$G$1001,$AQ279)),IF($AR279&lt;&gt;"",IF(INDEX(Raw_D3!$O$2:$O$1001,$AR279)="","",INDEX(Raw_D3!$O$2:$O$1001,$AR279)),"")))</f>
        <v>6</v>
      </c>
      <c r="P279" s="5">
        <f>IF($A279="","",IF($AQ279&lt;&gt;"",IF(INDEX(Raw_D2!$H$2:$H$1001,$AQ279)="","",INDEX(Raw_D2!$H$2:$H$1001,$AQ279)),IF($AR279&lt;&gt;"",IF(INDEX(Raw_D3!$P$2:$P$1001,$AR279)="","",INDEX(Raw_D3!$P$2:$P$1001,$AR279)),"")))</f>
        <v>7</v>
      </c>
      <c r="Q279" s="5" t="str">
        <f>IF($A279="","",IF(AND($AP279&lt;&gt;"",$AQ279&lt;&gt;""),"D1+D2",IF($AR279&lt;&gt;"","D3","Incomplete")))</f>
        <v>D1+D2</v>
      </c>
      <c r="R279" s="17">
        <f>IF($A279="","",IF($K279="",IF($J279="","",ROUND(Lookups!$K$5+Lookups!$K$4*$J279,4)),$K279))</f>
        <v>0.1212</v>
      </c>
      <c r="S279" s="5" t="str">
        <f>IF($A279="","",IF($K279="","Imputed","Original"))</f>
        <v>Original</v>
      </c>
      <c r="T279" s="5" t="str">
        <f>IF($A279="","",IF($P279="","Missing",IF($P279=$N279+$O279,"OK","Mismatch")))</f>
        <v>OK</v>
      </c>
      <c r="U279" s="5" t="str">
        <f>IF($A279="","",IF(COUNTIF($A$2:$A279,$A279)&gt;1,"Duplicate","Unique"))</f>
        <v>Unique</v>
      </c>
      <c r="V279" s="5">
        <f>IF($A279="","",IF(AND($U279="Unique",ISNUMBER($P279)),1,0))</f>
        <v>1</v>
      </c>
      <c r="W279" s="5" t="str">
        <f>IF($A279="","",IF(OR($H279=0,$H279=6),"Weekend","Weekday"))</f>
        <v>Weekday</v>
      </c>
      <c r="X279" s="5" t="str">
        <f>IF($A279="","",TEXT($B279,"ddd"))</f>
        <v>Thu</v>
      </c>
      <c r="Y279" s="5" t="str">
        <f>IF($A279="","",TEXT($B279,"mmm"))</f>
        <v>Jan</v>
      </c>
      <c r="Z279" s="5" t="str">
        <f>IF($A279="","",IFERROR(VLOOKUP($C279,Lookups!$D$4:$E$7,2,FALSE),"Unknown"))</f>
        <v>Winter</v>
      </c>
      <c r="AA279" s="5" t="str">
        <f>IF($A279="","",IFERROR(VLOOKUP($I279,Lookups!$A$4:$B$7,2,FALSE),"Unknown"))</f>
        <v>Clear</v>
      </c>
      <c r="AB279" s="5" t="str">
        <f>IF($A279="","",TEXT($F279,"00")&amp;":00")</f>
        <v>00:00</v>
      </c>
      <c r="AC279" s="5" t="str">
        <f>IF($A279="","",VLOOKUP($F279,Lookups!$G$4:$H$8,2,TRUE))</f>
        <v>Night (00-05)</v>
      </c>
      <c r="AD279" s="18">
        <f>IF($A279="","",IF($J279="","",ROUND($J279*41,1)))</f>
        <v>5.7</v>
      </c>
      <c r="AE279" s="18">
        <f>IF($A279="","",IF($R279="","",ROUND($R279*50,1)))</f>
        <v>6.1</v>
      </c>
      <c r="AF279" s="5">
        <f>IF($A279="","",IF($L279="","",ROUND($L279*100,0)))</f>
        <v>59</v>
      </c>
      <c r="AG279" s="18">
        <f>IF($A279="","",IF($M279="","",ROUND($M279*67,1)))</f>
        <v>19</v>
      </c>
      <c r="AH279" s="19">
        <f>IF($A279="","",IF($P279="","",IF($P279=0,0,$O279/$P279)))</f>
        <v>0.857142857142857</v>
      </c>
      <c r="AI279" s="5" t="str">
        <f>IF($A279="","",IF($P279="","",IF($P279&gt;=Lookups!$K$7,"High",IF($P279&lt;=Lookups!$K$8,"Low","Medium"))))</f>
        <v>Low</v>
      </c>
      <c r="AJ279" s="5" t="str">
        <f>IF($A279="","",IF($AD279="","",IF($AD279&lt;5,"Under 5 C",IF($AD279&lt;10,"5-10 C",IF($AD279&lt;15,"10-15 C","15 C and above")))))</f>
        <v>5-10 C</v>
      </c>
      <c r="AK279" s="5">
        <f>IF($A279="","",IF($P279="","",$P279^2))</f>
        <v>49</v>
      </c>
      <c r="AL279" s="18">
        <f>IF($V279&lt;&gt;1,"",AVERAGEIFS(Clean_Data!$P$2:$P$1001,Clean_Data!$F$2:$F$1001,$F279,Clean_Data!$W$2:$W$1001,$W279,Clean_Data!$V$2:$V$1001,1))</f>
        <v>10.6896551724138</v>
      </c>
      <c r="AM279" s="16">
        <f>IF($V279&lt;&gt;1,"",IFERROR(($P279-$AL279)/SQRT(MAX(0,(SUMIFS(Clean_Data!$AK$2:$AK$1001,Clean_Data!$F$2:$F$1001,$F279,Clean_Data!$W$2:$W$1001,$W279,Clean_Data!$V$2:$V$1001,1)-COUNTIFS(Clean_Data!$F$2:$F$1001,$F279,Clean_Data!$W$2:$W$1001,$W279,Clean_Data!$V$2:$V$1001,1)*$AL279^2)/(COUNTIFS(Clean_Data!$F$2:$F$1001,$F279,Clean_Data!$W$2:$W$1001,$W279,Clean_Data!$V$2:$V$1001,1)-1))),""))</f>
        <v>-0.754154538911626</v>
      </c>
      <c r="AN279" s="5" t="str">
        <f>IF($AM279="","",IF($AM279&gt;=Lookups!$K$6,"High spike",IF($AM279&lt;=-Lookups!$K$6,"Unusual low","Normal")))</f>
        <v>Normal</v>
      </c>
      <c r="AO279" s="20">
        <f>IF($V279&lt;&gt;1,"",$P279+ROW()/100000)</f>
        <v>7.00279</v>
      </c>
      <c r="AP279" s="5">
        <f>IF($A279="","",IFERROR(MATCH($A279,Raw_D1!$A$2:$A$1001,0),""))</f>
        <v>278</v>
      </c>
      <c r="AQ279" s="5">
        <f>IF($A279="","",IFERROR(MATCH($A279,Raw_D2!$B$2:$B$1001,0),""))</f>
        <v>278</v>
      </c>
      <c r="AR279" s="5">
        <f>IF($A279="","",IFERROR(MATCH($A279,Raw_D3!$A$2:$A$1001,0),""))</f>
        <v/>
      </c>
    </row>
    <row r="280" spans="1:44" x14ac:dyDescent="0.25">
      <c r="A280" s="5">
        <v>279</v>
      </c>
      <c r="B280" s="11">
        <f>IF($A280="","",IF($AP280&lt;&gt;"",INDEX(Raw_D1!$B$2:$B$1001,$AP280),IF($AR280&lt;&gt;"",INDEX(Raw_D3!$B$2:$B$1001,$AR280),"")))</f>
        <v>40556.0</v>
      </c>
      <c r="C280" s="5">
        <f>IF($A280="","",IF($AP280&lt;&gt;"",INDEX(Raw_D1!$C$2:$C$1001,$AP280),IF($AR280&lt;&gt;"",INDEX(Raw_D3!$C$2:$C$1001,$AR280),"")))</f>
        <v>1</v>
      </c>
      <c r="D280" s="5">
        <f>IF($A280="","",IF($AP280&lt;&gt;"",INDEX(Raw_D1!$D$2:$D$1001,$AP280),IF($AR280&lt;&gt;"",INDEX(Raw_D3!$D$2:$D$1001,$AR280),"")))</f>
        <v>0</v>
      </c>
      <c r="E280" s="5">
        <f>IF($A280="","",IF($AP280&lt;&gt;"",INDEX(Raw_D1!$E$2:$E$1001,$AP280),IF($AR280&lt;&gt;"",INDEX(Raw_D3!$E$2:$E$1001,$AR280),"")))</f>
        <v>1</v>
      </c>
      <c r="F280" s="5">
        <f>IF($A280="","",IF($AP280&lt;&gt;"",INDEX(Raw_D1!$F$2:$F$1001,$AP280),IF($AR280&lt;&gt;"",INDEX(Raw_D3!$F$2:$F$1001,$AR280),"")))</f>
        <v>1</v>
      </c>
      <c r="G280" s="5">
        <f>IF($A280="","",IF($AP280&lt;&gt;"",IF(INDEX(Raw_D1!$G$2:$G$1001,$AP280),1,0),IF($AR280&lt;&gt;"",IF(INDEX(Raw_D3!$G$2:$G$1001,$AR280),1,0),"")))</f>
        <v>0</v>
      </c>
      <c r="H280" s="5">
        <f>IF($A280="","",IF($AP280&lt;&gt;"",INDEX(Raw_D1!$H$2:$H$1001,$AP280),IF($AR280&lt;&gt;"",INDEX(Raw_D3!$H$2:$H$1001,$AR280),"")))</f>
        <v>4</v>
      </c>
      <c r="I280" s="5">
        <f>IF($A280="","",IF($AP280&lt;&gt;"",INDEX(Raw_D1!$I$2:$I$1001,$AP280),IF($AR280&lt;&gt;"",INDEX(Raw_D3!$I$2:$I$1001,$AR280),"")))</f>
        <v>1</v>
      </c>
      <c r="J280" s="16">
        <f>IF($A280="","",IF($AP280&lt;&gt;"",INDEX(Raw_D1!$J$2:$J$1001,$AP280),IF($AR280&lt;&gt;"",INDEX(Raw_D3!$J$2:$J$1001,$AR280),"")))</f>
        <v>0.14</v>
      </c>
      <c r="K280" s="17">
        <f>IF($A280="","",IF($AQ280&lt;&gt;"",IF(INDEX(Raw_D2!$C$2:$C$1001,$AQ280)="","",INDEX(Raw_D2!$C$2:$C$1001,$AQ280)),IF($AR280&lt;&gt;"",IF(INDEX(Raw_D3!$K$2:$K$1001,$AR280)="","",INDEX(Raw_D3!$K$2:$K$1001,$AR280)),"")))</f>
        <v>0.1212</v>
      </c>
      <c r="L280" s="16">
        <f>IF($A280="","",IF($AQ280&lt;&gt;"",IF(INDEX(Raw_D2!$D$2:$D$1001,$AQ280)="","",INDEX(Raw_D2!$D$2:$D$1001,$AQ280)),IF($AR280&lt;&gt;"",IF(INDEX(Raw_D3!$L$2:$L$1001,$AR280)="","",INDEX(Raw_D3!$L$2:$L$1001,$AR280)),"")))</f>
        <v>0.5</v>
      </c>
      <c r="M280" s="17">
        <f>IF($A280="","",IF($AQ280&lt;&gt;"",IF(INDEX(Raw_D2!$E$2:$E$1001,$AQ280)="","",INDEX(Raw_D2!$E$2:$E$1001,$AQ280)),IF($AR280&lt;&gt;"",IF(INDEX(Raw_D3!$M$2:$M$1001,$AR280)="","",INDEX(Raw_D3!$M$2:$M$1001,$AR280)),"")))</f>
        <v>0.2836</v>
      </c>
      <c r="N280" s="5">
        <f>IF($A280="","",IF($AQ280&lt;&gt;"",IF(INDEX(Raw_D2!$F$2:$F$1001,$AQ280)="","",INDEX(Raw_D2!$F$2:$F$1001,$AQ280)),IF($AR280&lt;&gt;"",IF(INDEX(Raw_D3!$N$2:$N$1001,$AR280)="","",INDEX(Raw_D3!$N$2:$N$1001,$AR280)),"")))</f>
        <v>0</v>
      </c>
      <c r="O280" s="5">
        <f>IF($A280="","",IF($AQ280&lt;&gt;"",IF(INDEX(Raw_D2!$G$2:$G$1001,$AQ280)="","",INDEX(Raw_D2!$G$2:$G$1001,$AQ280)),IF($AR280&lt;&gt;"",IF(INDEX(Raw_D3!$O$2:$O$1001,$AR280)="","",INDEX(Raw_D3!$O$2:$O$1001,$AR280)),"")))</f>
        <v>2</v>
      </c>
      <c r="P280" s="5">
        <f>IF($A280="","",IF($AQ280&lt;&gt;"",IF(INDEX(Raw_D2!$H$2:$H$1001,$AQ280)="","",INDEX(Raw_D2!$H$2:$H$1001,$AQ280)),IF($AR280&lt;&gt;"",IF(INDEX(Raw_D3!$P$2:$P$1001,$AR280)="","",INDEX(Raw_D3!$P$2:$P$1001,$AR280)),"")))</f>
        <v>2</v>
      </c>
      <c r="Q280" s="5" t="str">
        <f>IF($A280="","",IF(AND($AP280&lt;&gt;"",$AQ280&lt;&gt;""),"D1+D2",IF($AR280&lt;&gt;"","D3","Incomplete")))</f>
        <v>D1+D2</v>
      </c>
      <c r="R280" s="17">
        <f>IF($A280="","",IF($K280="",IF($J280="","",ROUND(Lookups!$K$5+Lookups!$K$4*$J280,4)),$K280))</f>
        <v>0.1212</v>
      </c>
      <c r="S280" s="5" t="str">
        <f>IF($A280="","",IF($K280="","Imputed","Original"))</f>
        <v>Original</v>
      </c>
      <c r="T280" s="5" t="str">
        <f>IF($A280="","",IF($P280="","Missing",IF($P280=$N280+$O280,"OK","Mismatch")))</f>
        <v>OK</v>
      </c>
      <c r="U280" s="5" t="str">
        <f>IF($A280="","",IF(COUNTIF($A$2:$A280,$A280)&gt;1,"Duplicate","Unique"))</f>
        <v>Unique</v>
      </c>
      <c r="V280" s="5">
        <f>IF($A280="","",IF(AND($U280="Unique",ISNUMBER($P280)),1,0))</f>
        <v>1</v>
      </c>
      <c r="W280" s="5" t="str">
        <f>IF($A280="","",IF(OR($H280=0,$H280=6),"Weekend","Weekday"))</f>
        <v>Weekday</v>
      </c>
      <c r="X280" s="5" t="str">
        <f>IF($A280="","",TEXT($B280,"ddd"))</f>
        <v>Thu</v>
      </c>
      <c r="Y280" s="5" t="str">
        <f>IF($A280="","",TEXT($B280,"mmm"))</f>
        <v>Jan</v>
      </c>
      <c r="Z280" s="5" t="str">
        <f>IF($A280="","",IFERROR(VLOOKUP($C280,Lookups!$D$4:$E$7,2,FALSE),"Unknown"))</f>
        <v>Winter</v>
      </c>
      <c r="AA280" s="5" t="str">
        <f>IF($A280="","",IFERROR(VLOOKUP($I280,Lookups!$A$4:$B$7,2,FALSE),"Unknown"))</f>
        <v>Clear</v>
      </c>
      <c r="AB280" s="5" t="str">
        <f>IF($A280="","",TEXT($F280,"00")&amp;":00")</f>
        <v>01:00</v>
      </c>
      <c r="AC280" s="5" t="str">
        <f>IF($A280="","",VLOOKUP($F280,Lookups!$G$4:$H$8,2,TRUE))</f>
        <v>Night (00-05)</v>
      </c>
      <c r="AD280" s="18">
        <f>IF($A280="","",IF($J280="","",ROUND($J280*41,1)))</f>
        <v>5.7</v>
      </c>
      <c r="AE280" s="18">
        <f>IF($A280="","",IF($R280="","",ROUND($R280*50,1)))</f>
        <v>6.1</v>
      </c>
      <c r="AF280" s="5">
        <f>IF($A280="","",IF($L280="","",ROUND($L280*100,0)))</f>
        <v>50</v>
      </c>
      <c r="AG280" s="18">
        <f>IF($A280="","",IF($M280="","",ROUND($M280*67,1)))</f>
        <v>19</v>
      </c>
      <c r="AH280" s="19">
        <f>IF($A280="","",IF($P280="","",IF($P280=0,0,$O280/$P280)))</f>
        <v>1</v>
      </c>
      <c r="AI280" s="5" t="str">
        <f>IF($A280="","",IF($P280="","",IF($P280&gt;=Lookups!$K$7,"High",IF($P280&lt;=Lookups!$K$8,"Low","Medium"))))</f>
        <v>Low</v>
      </c>
      <c r="AJ280" s="5" t="str">
        <f>IF($A280="","",IF($AD280="","",IF($AD280&lt;5,"Under 5 C",IF($AD280&lt;10,"5-10 C",IF($AD280&lt;15,"10-15 C","15 C and above")))))</f>
        <v>5-10 C</v>
      </c>
      <c r="AK280" s="5">
        <f>IF($A280="","",IF($P280="","",$P280^2))</f>
        <v>4</v>
      </c>
      <c r="AL280" s="18">
        <f>IF($V280&lt;&gt;1,"",AVERAGEIFS(Clean_Data!$P$2:$P$1001,Clean_Data!$F$2:$F$1001,$F280,Clean_Data!$W$2:$W$1001,$W280,Clean_Data!$V$2:$V$1001,1))</f>
        <v>5.10344827586207</v>
      </c>
      <c r="AM280" s="16">
        <f>IF($V280&lt;&gt;1,"",IFERROR(($P280-$AL280)/SQRT(MAX(0,(SUMIFS(Clean_Data!$AK$2:$AK$1001,Clean_Data!$F$2:$F$1001,$F280,Clean_Data!$W$2:$W$1001,$W280,Clean_Data!$V$2:$V$1001,1)-COUNTIFS(Clean_Data!$F$2:$F$1001,$F280,Clean_Data!$W$2:$W$1001,$W280,Clean_Data!$V$2:$V$1001,1)*$AL280^2)/(COUNTIFS(Clean_Data!$F$2:$F$1001,$F280,Clean_Data!$W$2:$W$1001,$W280,Clean_Data!$V$2:$V$1001,1)-1))),""))</f>
        <v>-1.07655194320642</v>
      </c>
      <c r="AN280" s="5" t="str">
        <f>IF($AM280="","",IF($AM280&gt;=Lookups!$K$6,"High spike",IF($AM280&lt;=-Lookups!$K$6,"Unusual low","Normal")))</f>
        <v>Normal</v>
      </c>
      <c r="AO280" s="20">
        <f>IF($V280&lt;&gt;1,"",$P280+ROW()/100000)</f>
        <v>2.0028</v>
      </c>
      <c r="AP280" s="5">
        <f>IF($A280="","",IFERROR(MATCH($A280,Raw_D1!$A$2:$A$1001,0),""))</f>
        <v>279</v>
      </c>
      <c r="AQ280" s="5">
        <f>IF($A280="","",IFERROR(MATCH($A280,Raw_D2!$B$2:$B$1001,0),""))</f>
        <v>279</v>
      </c>
      <c r="AR280" s="5">
        <f>IF($A280="","",IFERROR(MATCH($A280,Raw_D3!$A$2:$A$1001,0),""))</f>
        <v/>
      </c>
    </row>
    <row r="281" spans="1:44" x14ac:dyDescent="0.25">
      <c r="A281" s="5">
        <v>280</v>
      </c>
      <c r="B281" s="11">
        <f>IF($A281="","",IF($AP281&lt;&gt;"",INDEX(Raw_D1!$B$2:$B$1001,$AP281),IF($AR281&lt;&gt;"",INDEX(Raw_D3!$B$2:$B$1001,$AR281),"")))</f>
        <v>40556.0</v>
      </c>
      <c r="C281" s="5">
        <f>IF($A281="","",IF($AP281&lt;&gt;"",INDEX(Raw_D1!$C$2:$C$1001,$AP281),IF($AR281&lt;&gt;"",INDEX(Raw_D3!$C$2:$C$1001,$AR281),"")))</f>
        <v>1</v>
      </c>
      <c r="D281" s="5">
        <f>IF($A281="","",IF($AP281&lt;&gt;"",INDEX(Raw_D1!$D$2:$D$1001,$AP281),IF($AR281&lt;&gt;"",INDEX(Raw_D3!$D$2:$D$1001,$AR281),"")))</f>
        <v>0</v>
      </c>
      <c r="E281" s="5">
        <f>IF($A281="","",IF($AP281&lt;&gt;"",INDEX(Raw_D1!$E$2:$E$1001,$AP281),IF($AR281&lt;&gt;"",INDEX(Raw_D3!$E$2:$E$1001,$AR281),"")))</f>
        <v>1</v>
      </c>
      <c r="F281" s="5">
        <f>IF($A281="","",IF($AP281&lt;&gt;"",INDEX(Raw_D1!$F$2:$F$1001,$AP281),IF($AR281&lt;&gt;"",INDEX(Raw_D3!$F$2:$F$1001,$AR281),"")))</f>
        <v>2</v>
      </c>
      <c r="G281" s="5">
        <f>IF($A281="","",IF($AP281&lt;&gt;"",IF(INDEX(Raw_D1!$G$2:$G$1001,$AP281),1,0),IF($AR281&lt;&gt;"",IF(INDEX(Raw_D3!$G$2:$G$1001,$AR281),1,0),"")))</f>
        <v>0</v>
      </c>
      <c r="H281" s="5">
        <f>IF($A281="","",IF($AP281&lt;&gt;"",INDEX(Raw_D1!$H$2:$H$1001,$AP281),IF($AR281&lt;&gt;"",INDEX(Raw_D3!$H$2:$H$1001,$AR281),"")))</f>
        <v>4</v>
      </c>
      <c r="I281" s="5">
        <f>IF($A281="","",IF($AP281&lt;&gt;"",INDEX(Raw_D1!$I$2:$I$1001,$AP281),IF($AR281&lt;&gt;"",INDEX(Raw_D3!$I$2:$I$1001,$AR281),"")))</f>
        <v>1</v>
      </c>
      <c r="J281" s="16">
        <f>IF($A281="","",IF($AP281&lt;&gt;"",INDEX(Raw_D1!$J$2:$J$1001,$AP281),IF($AR281&lt;&gt;"",INDEX(Raw_D3!$J$2:$J$1001,$AR281),"")))</f>
        <v>0.14</v>
      </c>
      <c r="K281" s="17">
        <f>IF($A281="","",IF($AQ281&lt;&gt;"",IF(INDEX(Raw_D2!$C$2:$C$1001,$AQ281)="","",INDEX(Raw_D2!$C$2:$C$1001,$AQ281)),IF($AR281&lt;&gt;"",IF(INDEX(Raw_D3!$K$2:$K$1001,$AR281)="","",INDEX(Raw_D3!$K$2:$K$1001,$AR281)),"")))</f>
        <v>0.1212</v>
      </c>
      <c r="L281" s="16">
        <f>IF($A281="","",IF($AQ281&lt;&gt;"",IF(INDEX(Raw_D2!$D$2:$D$1001,$AQ281)="","",INDEX(Raw_D2!$D$2:$D$1001,$AQ281)),IF($AR281&lt;&gt;"",IF(INDEX(Raw_D3!$L$2:$L$1001,$AR281)="","",INDEX(Raw_D3!$L$2:$L$1001,$AR281)),"")))</f>
        <v>0.5</v>
      </c>
      <c r="M281" s="17">
        <f>IF($A281="","",IF($AQ281&lt;&gt;"",IF(INDEX(Raw_D2!$E$2:$E$1001,$AQ281)="","",INDEX(Raw_D2!$E$2:$E$1001,$AQ281)),IF($AR281&lt;&gt;"",IF(INDEX(Raw_D3!$M$2:$M$1001,$AR281)="","",INDEX(Raw_D3!$M$2:$M$1001,$AR281)),"")))</f>
        <v>0.3582</v>
      </c>
      <c r="N281" s="5">
        <f>IF($A281="","",IF($AQ281&lt;&gt;"",IF(INDEX(Raw_D2!$F$2:$F$1001,$AQ281)="","",INDEX(Raw_D2!$F$2:$F$1001,$AQ281)),IF($AR281&lt;&gt;"",IF(INDEX(Raw_D3!$N$2:$N$1001,$AR281)="","",INDEX(Raw_D3!$N$2:$N$1001,$AR281)),"")))</f>
        <v>0</v>
      </c>
      <c r="O281" s="5">
        <f>IF($A281="","",IF($AQ281&lt;&gt;"",IF(INDEX(Raw_D2!$G$2:$G$1001,$AQ281)="","",INDEX(Raw_D2!$G$2:$G$1001,$AQ281)),IF($AR281&lt;&gt;"",IF(INDEX(Raw_D3!$O$2:$O$1001,$AR281)="","",INDEX(Raw_D3!$O$2:$O$1001,$AR281)),"")))</f>
        <v>2</v>
      </c>
      <c r="P281" s="5">
        <f>IF($A281="","",IF($AQ281&lt;&gt;"",IF(INDEX(Raw_D2!$H$2:$H$1001,$AQ281)="","",INDEX(Raw_D2!$H$2:$H$1001,$AQ281)),IF($AR281&lt;&gt;"",IF(INDEX(Raw_D3!$P$2:$P$1001,$AR281)="","",INDEX(Raw_D3!$P$2:$P$1001,$AR281)),"")))</f>
        <v>2</v>
      </c>
      <c r="Q281" s="5" t="str">
        <f>IF($A281="","",IF(AND($AP281&lt;&gt;"",$AQ281&lt;&gt;""),"D1+D2",IF($AR281&lt;&gt;"","D3","Incomplete")))</f>
        <v>D1+D2</v>
      </c>
      <c r="R281" s="17">
        <f>IF($A281="","",IF($K281="",IF($J281="","",ROUND(Lookups!$K$5+Lookups!$K$4*$J281,4)),$K281))</f>
        <v>0.1212</v>
      </c>
      <c r="S281" s="5" t="str">
        <f>IF($A281="","",IF($K281="","Imputed","Original"))</f>
        <v>Original</v>
      </c>
      <c r="T281" s="5" t="str">
        <f>IF($A281="","",IF($P281="","Missing",IF($P281=$N281+$O281,"OK","Mismatch")))</f>
        <v>OK</v>
      </c>
      <c r="U281" s="5" t="str">
        <f>IF($A281="","",IF(COUNTIF($A$2:$A281,$A281)&gt;1,"Duplicate","Unique"))</f>
        <v>Unique</v>
      </c>
      <c r="V281" s="5">
        <f>IF($A281="","",IF(AND($U281="Unique",ISNUMBER($P281)),1,0))</f>
        <v>1</v>
      </c>
      <c r="W281" s="5" t="str">
        <f>IF($A281="","",IF(OR($H281=0,$H281=6),"Weekend","Weekday"))</f>
        <v>Weekday</v>
      </c>
      <c r="X281" s="5" t="str">
        <f>IF($A281="","",TEXT($B281,"ddd"))</f>
        <v>Thu</v>
      </c>
      <c r="Y281" s="5" t="str">
        <f>IF($A281="","",TEXT($B281,"mmm"))</f>
        <v>Jan</v>
      </c>
      <c r="Z281" s="5" t="str">
        <f>IF($A281="","",IFERROR(VLOOKUP($C281,Lookups!$D$4:$E$7,2,FALSE),"Unknown"))</f>
        <v>Winter</v>
      </c>
      <c r="AA281" s="5" t="str">
        <f>IF($A281="","",IFERROR(VLOOKUP($I281,Lookups!$A$4:$B$7,2,FALSE),"Unknown"))</f>
        <v>Clear</v>
      </c>
      <c r="AB281" s="5" t="str">
        <f>IF($A281="","",TEXT($F281,"00")&amp;":00")</f>
        <v>02:00</v>
      </c>
      <c r="AC281" s="5" t="str">
        <f>IF($A281="","",VLOOKUP($F281,Lookups!$G$4:$H$8,2,TRUE))</f>
        <v>Night (00-05)</v>
      </c>
      <c r="AD281" s="18">
        <f>IF($A281="","",IF($J281="","",ROUND($J281*41,1)))</f>
        <v>5.7</v>
      </c>
      <c r="AE281" s="18">
        <f>IF($A281="","",IF($R281="","",ROUND($R281*50,1)))</f>
        <v>6.1</v>
      </c>
      <c r="AF281" s="5">
        <f>IF($A281="","",IF($L281="","",ROUND($L281*100,0)))</f>
        <v>50</v>
      </c>
      <c r="AG281" s="18">
        <f>IF($A281="","",IF($M281="","",ROUND($M281*67,1)))</f>
        <v>24</v>
      </c>
      <c r="AH281" s="19">
        <f>IF($A281="","",IF($P281="","",IF($P281=0,0,$O281/$P281)))</f>
        <v>1</v>
      </c>
      <c r="AI281" s="5" t="str">
        <f>IF($A281="","",IF($P281="","",IF($P281&gt;=Lookups!$K$7,"High",IF($P281&lt;=Lookups!$K$8,"Low","Medium"))))</f>
        <v>Low</v>
      </c>
      <c r="AJ281" s="5" t="str">
        <f>IF($A281="","",IF($AD281="","",IF($AD281&lt;5,"Under 5 C",IF($AD281&lt;10,"5-10 C",IF($AD281&lt;15,"10-15 C","15 C and above")))))</f>
        <v>5-10 C</v>
      </c>
      <c r="AK281" s="5">
        <f>IF($A281="","",IF($P281="","",$P281^2))</f>
        <v>4</v>
      </c>
      <c r="AL281" s="18">
        <f>IF($V281&lt;&gt;1,"",AVERAGEIFS(Clean_Data!$P$2:$P$1001,Clean_Data!$F$2:$F$1001,$F281,Clean_Data!$W$2:$W$1001,$W281,Clean_Data!$V$2:$V$1001,1))</f>
        <v>2.62962962962963</v>
      </c>
      <c r="AM281" s="16">
        <f>IF($V281&lt;&gt;1,"",IFERROR(($P281-$AL281)/SQRT(MAX(0,(SUMIFS(Clean_Data!$AK$2:$AK$1001,Clean_Data!$F$2:$F$1001,$F281,Clean_Data!$W$2:$W$1001,$W281,Clean_Data!$V$2:$V$1001,1)-COUNTIFS(Clean_Data!$F$2:$F$1001,$F281,Clean_Data!$W$2:$W$1001,$W281,Clean_Data!$V$2:$V$1001,1)*$AL281^2)/(COUNTIFS(Clean_Data!$F$2:$F$1001,$F281,Clean_Data!$W$2:$W$1001,$W281,Clean_Data!$V$2:$V$1001,1)-1))),""))</f>
        <v>-0.311395810225326</v>
      </c>
      <c r="AN281" s="5" t="str">
        <f>IF($AM281="","",IF($AM281&gt;=Lookups!$K$6,"High spike",IF($AM281&lt;=-Lookups!$K$6,"Unusual low","Normal")))</f>
        <v>Normal</v>
      </c>
      <c r="AO281" s="20">
        <f>IF($V281&lt;&gt;1,"",$P281+ROW()/100000)</f>
        <v>2.00281</v>
      </c>
      <c r="AP281" s="5">
        <f>IF($A281="","",IFERROR(MATCH($A281,Raw_D1!$A$2:$A$1001,0),""))</f>
        <v>280</v>
      </c>
      <c r="AQ281" s="5">
        <f>IF($A281="","",IFERROR(MATCH($A281,Raw_D2!$B$2:$B$1001,0),""))</f>
        <v>280</v>
      </c>
      <c r="AR281" s="5">
        <f>IF($A281="","",IFERROR(MATCH($A281,Raw_D3!$A$2:$A$1001,0),""))</f>
        <v/>
      </c>
    </row>
    <row r="282" spans="1:44" x14ac:dyDescent="0.25">
      <c r="A282" s="5">
        <v>281</v>
      </c>
      <c r="B282" s="11">
        <f>IF($A282="","",IF($AP282&lt;&gt;"",INDEX(Raw_D1!$B$2:$B$1001,$AP282),IF($AR282&lt;&gt;"",INDEX(Raw_D3!$B$2:$B$1001,$AR282),"")))</f>
        <v>40556.0</v>
      </c>
      <c r="C282" s="5">
        <f>IF($A282="","",IF($AP282&lt;&gt;"",INDEX(Raw_D1!$C$2:$C$1001,$AP282),IF($AR282&lt;&gt;"",INDEX(Raw_D3!$C$2:$C$1001,$AR282),"")))</f>
        <v>1</v>
      </c>
      <c r="D282" s="5">
        <f>IF($A282="","",IF($AP282&lt;&gt;"",INDEX(Raw_D1!$D$2:$D$1001,$AP282),IF($AR282&lt;&gt;"",INDEX(Raw_D3!$D$2:$D$1001,$AR282),"")))</f>
        <v>0</v>
      </c>
      <c r="E282" s="5">
        <f>IF($A282="","",IF($AP282&lt;&gt;"",INDEX(Raw_D1!$E$2:$E$1001,$AP282),IF($AR282&lt;&gt;"",INDEX(Raw_D3!$E$2:$E$1001,$AR282),"")))</f>
        <v>1</v>
      </c>
      <c r="F282" s="5">
        <f>IF($A282="","",IF($AP282&lt;&gt;"",INDEX(Raw_D1!$F$2:$F$1001,$AP282),IF($AR282&lt;&gt;"",INDEX(Raw_D3!$F$2:$F$1001,$AR282),"")))</f>
        <v>3</v>
      </c>
      <c r="G282" s="5">
        <f>IF($A282="","",IF($AP282&lt;&gt;"",IF(INDEX(Raw_D1!$G$2:$G$1001,$AP282),1,0),IF($AR282&lt;&gt;"",IF(INDEX(Raw_D3!$G$2:$G$1001,$AR282),1,0),"")))</f>
        <v>0</v>
      </c>
      <c r="H282" s="5">
        <f>IF($A282="","",IF($AP282&lt;&gt;"",INDEX(Raw_D1!$H$2:$H$1001,$AP282),IF($AR282&lt;&gt;"",INDEX(Raw_D3!$H$2:$H$1001,$AR282),"")))</f>
        <v>4</v>
      </c>
      <c r="I282" s="5">
        <f>IF($A282="","",IF($AP282&lt;&gt;"",INDEX(Raw_D1!$I$2:$I$1001,$AP282),IF($AR282&lt;&gt;"",INDEX(Raw_D3!$I$2:$I$1001,$AR282),"")))</f>
        <v>1</v>
      </c>
      <c r="J282" s="16">
        <f>IF($A282="","",IF($AP282&lt;&gt;"",INDEX(Raw_D1!$J$2:$J$1001,$AP282),IF($AR282&lt;&gt;"",INDEX(Raw_D3!$J$2:$J$1001,$AR282),"")))</f>
        <v>0.14</v>
      </c>
      <c r="K282" s="17">
        <f>IF($A282="","",IF($AQ282&lt;&gt;"",IF(INDEX(Raw_D2!$C$2:$C$1001,$AQ282)="","",INDEX(Raw_D2!$C$2:$C$1001,$AQ282)),IF($AR282&lt;&gt;"",IF(INDEX(Raw_D3!$K$2:$K$1001,$AR282)="","",INDEX(Raw_D3!$K$2:$K$1001,$AR282)),"")))</f>
        <v>0.1212</v>
      </c>
      <c r="L282" s="16">
        <f>IF($A282="","",IF($AQ282&lt;&gt;"",IF(INDEX(Raw_D2!$D$2:$D$1001,$AQ282)="","",INDEX(Raw_D2!$D$2:$D$1001,$AQ282)),IF($AR282&lt;&gt;"",IF(INDEX(Raw_D3!$L$2:$L$1001,$AR282)="","",INDEX(Raw_D3!$L$2:$L$1001,$AR282)),"")))</f>
        <v>0.5</v>
      </c>
      <c r="M282" s="17">
        <f>IF($A282="","",IF($AQ282&lt;&gt;"",IF(INDEX(Raw_D2!$E$2:$E$1001,$AQ282)="","",INDEX(Raw_D2!$E$2:$E$1001,$AQ282)),IF($AR282&lt;&gt;"",IF(INDEX(Raw_D3!$M$2:$M$1001,$AR282)="","",INDEX(Raw_D3!$M$2:$M$1001,$AR282)),"")))</f>
        <v>0.3284</v>
      </c>
      <c r="N282" s="5">
        <f>IF($A282="","",IF($AQ282&lt;&gt;"",IF(INDEX(Raw_D2!$F$2:$F$1001,$AQ282)="","",INDEX(Raw_D2!$F$2:$F$1001,$AQ282)),IF($AR282&lt;&gt;"",IF(INDEX(Raw_D3!$N$2:$N$1001,$AR282)="","",INDEX(Raw_D3!$N$2:$N$1001,$AR282)),"")))</f>
        <v>0</v>
      </c>
      <c r="O282" s="5">
        <f>IF($A282="","",IF($AQ282&lt;&gt;"",IF(INDEX(Raw_D2!$G$2:$G$1001,$AQ282)="","",INDEX(Raw_D2!$G$2:$G$1001,$AQ282)),IF($AR282&lt;&gt;"",IF(INDEX(Raw_D3!$O$2:$O$1001,$AR282)="","",INDEX(Raw_D3!$O$2:$O$1001,$AR282)),"")))</f>
        <v>3</v>
      </c>
      <c r="P282" s="5">
        <f>IF($A282="","",IF($AQ282&lt;&gt;"",IF(INDEX(Raw_D2!$H$2:$H$1001,$AQ282)="","",INDEX(Raw_D2!$H$2:$H$1001,$AQ282)),IF($AR282&lt;&gt;"",IF(INDEX(Raw_D3!$P$2:$P$1001,$AR282)="","",INDEX(Raw_D3!$P$2:$P$1001,$AR282)),"")))</f>
        <v>3</v>
      </c>
      <c r="Q282" s="5" t="str">
        <f>IF($A282="","",IF(AND($AP282&lt;&gt;"",$AQ282&lt;&gt;""),"D1+D2",IF($AR282&lt;&gt;"","D3","Incomplete")))</f>
        <v>D1+D2</v>
      </c>
      <c r="R282" s="17">
        <f>IF($A282="","",IF($K282="",IF($J282="","",ROUND(Lookups!$K$5+Lookups!$K$4*$J282,4)),$K282))</f>
        <v>0.1212</v>
      </c>
      <c r="S282" s="5" t="str">
        <f>IF($A282="","",IF($K282="","Imputed","Original"))</f>
        <v>Original</v>
      </c>
      <c r="T282" s="5" t="str">
        <f>IF($A282="","",IF($P282="","Missing",IF($P282=$N282+$O282,"OK","Mismatch")))</f>
        <v>OK</v>
      </c>
      <c r="U282" s="5" t="str">
        <f>IF($A282="","",IF(COUNTIF($A$2:$A282,$A282)&gt;1,"Duplicate","Unique"))</f>
        <v>Unique</v>
      </c>
      <c r="V282" s="5">
        <f>IF($A282="","",IF(AND($U282="Unique",ISNUMBER($P282)),1,0))</f>
        <v>1</v>
      </c>
      <c r="W282" s="5" t="str">
        <f>IF($A282="","",IF(OR($H282=0,$H282=6),"Weekend","Weekday"))</f>
        <v>Weekday</v>
      </c>
      <c r="X282" s="5" t="str">
        <f>IF($A282="","",TEXT($B282,"ddd"))</f>
        <v>Thu</v>
      </c>
      <c r="Y282" s="5" t="str">
        <f>IF($A282="","",TEXT($B282,"mmm"))</f>
        <v>Jan</v>
      </c>
      <c r="Z282" s="5" t="str">
        <f>IF($A282="","",IFERROR(VLOOKUP($C282,Lookups!$D$4:$E$7,2,FALSE),"Unknown"))</f>
        <v>Winter</v>
      </c>
      <c r="AA282" s="5" t="str">
        <f>IF($A282="","",IFERROR(VLOOKUP($I282,Lookups!$A$4:$B$7,2,FALSE),"Unknown"))</f>
        <v>Clear</v>
      </c>
      <c r="AB282" s="5" t="str">
        <f>IF($A282="","",TEXT($F282,"00")&amp;":00")</f>
        <v>03:00</v>
      </c>
      <c r="AC282" s="5" t="str">
        <f>IF($A282="","",VLOOKUP($F282,Lookups!$G$4:$H$8,2,TRUE))</f>
        <v>Night (00-05)</v>
      </c>
      <c r="AD282" s="18">
        <f>IF($A282="","",IF($J282="","",ROUND($J282*41,1)))</f>
        <v>5.7</v>
      </c>
      <c r="AE282" s="18">
        <f>IF($A282="","",IF($R282="","",ROUND($R282*50,1)))</f>
        <v>6.1</v>
      </c>
      <c r="AF282" s="5">
        <f>IF($A282="","",IF($L282="","",ROUND($L282*100,0)))</f>
        <v>50</v>
      </c>
      <c r="AG282" s="18">
        <f>IF($A282="","",IF($M282="","",ROUND($M282*67,1)))</f>
        <v>22</v>
      </c>
      <c r="AH282" s="19">
        <f>IF($A282="","",IF($P282="","",IF($P282=0,0,$O282/$P282)))</f>
        <v>1</v>
      </c>
      <c r="AI282" s="5" t="str">
        <f>IF($A282="","",IF($P282="","",IF($P282&gt;=Lookups!$K$7,"High",IF($P282&lt;=Lookups!$K$8,"Low","Medium"))))</f>
        <v>Low</v>
      </c>
      <c r="AJ282" s="5" t="str">
        <f>IF($A282="","",IF($AD282="","",IF($AD282&lt;5,"Under 5 C",IF($AD282&lt;10,"5-10 C",IF($AD282&lt;15,"10-15 C","15 C and above")))))</f>
        <v>5-10 C</v>
      </c>
      <c r="AK282" s="5">
        <f>IF($A282="","",IF($P282="","",$P282^2))</f>
        <v>9</v>
      </c>
      <c r="AL282" s="18">
        <f>IF($V282&lt;&gt;1,"",AVERAGEIFS(Clean_Data!$P$2:$P$1001,Clean_Data!$F$2:$F$1001,$F282,Clean_Data!$W$2:$W$1001,$W282,Clean_Data!$V$2:$V$1001,1))</f>
        <v>1.41176470588235</v>
      </c>
      <c r="AM282" s="16">
        <f>IF($V282&lt;&gt;1,"",IFERROR(($P282-$AL282)/SQRT(MAX(0,(SUMIFS(Clean_Data!$AK$2:$AK$1001,Clean_Data!$F$2:$F$1001,$F282,Clean_Data!$W$2:$W$1001,$W282,Clean_Data!$V$2:$V$1001,1)-COUNTIFS(Clean_Data!$F$2:$F$1001,$F282,Clean_Data!$W$2:$W$1001,$W282,Clean_Data!$V$2:$V$1001,1)*$AL282^2)/(COUNTIFS(Clean_Data!$F$2:$F$1001,$F282,Clean_Data!$W$2:$W$1001,$W282,Clean_Data!$V$2:$V$1001,1)-1))),""))</f>
        <v>2.56851806843427</v>
      </c>
      <c r="AN282" s="5" t="str">
        <f>IF($AM282="","",IF($AM282&gt;=Lookups!$K$6,"High spike",IF($AM282&lt;=-Lookups!$K$6,"Unusual low","Normal")))</f>
        <v>Normal</v>
      </c>
      <c r="AO282" s="20">
        <f>IF($V282&lt;&gt;1,"",$P282+ROW()/100000)</f>
        <v>3.00282</v>
      </c>
      <c r="AP282" s="5">
        <f>IF($A282="","",IFERROR(MATCH($A282,Raw_D1!$A$2:$A$1001,0),""))</f>
        <v>281</v>
      </c>
      <c r="AQ282" s="5">
        <f>IF($A282="","",IFERROR(MATCH($A282,Raw_D2!$B$2:$B$1001,0),""))</f>
        <v>281</v>
      </c>
      <c r="AR282" s="5">
        <f>IF($A282="","",IFERROR(MATCH($A282,Raw_D3!$A$2:$A$1001,0),""))</f>
        <v/>
      </c>
    </row>
    <row r="283" spans="1:44" x14ac:dyDescent="0.25">
      <c r="A283" s="5">
        <v>282</v>
      </c>
      <c r="B283" s="11">
        <f>IF($A283="","",IF($AP283&lt;&gt;"",INDEX(Raw_D1!$B$2:$B$1001,$AP283),IF($AR283&lt;&gt;"",INDEX(Raw_D3!$B$2:$B$1001,$AR283),"")))</f>
        <v>40556.0</v>
      </c>
      <c r="C283" s="5">
        <f>IF($A283="","",IF($AP283&lt;&gt;"",INDEX(Raw_D1!$C$2:$C$1001,$AP283),IF($AR283&lt;&gt;"",INDEX(Raw_D3!$C$2:$C$1001,$AR283),"")))</f>
        <v>1</v>
      </c>
      <c r="D283" s="5">
        <f>IF($A283="","",IF($AP283&lt;&gt;"",INDEX(Raw_D1!$D$2:$D$1001,$AP283),IF($AR283&lt;&gt;"",INDEX(Raw_D3!$D$2:$D$1001,$AR283),"")))</f>
        <v>0</v>
      </c>
      <c r="E283" s="5">
        <f>IF($A283="","",IF($AP283&lt;&gt;"",INDEX(Raw_D1!$E$2:$E$1001,$AP283),IF($AR283&lt;&gt;"",INDEX(Raw_D3!$E$2:$E$1001,$AR283),"")))</f>
        <v>1</v>
      </c>
      <c r="F283" s="5">
        <f>IF($A283="","",IF($AP283&lt;&gt;"",INDEX(Raw_D1!$F$2:$F$1001,$AP283),IF($AR283&lt;&gt;"",INDEX(Raw_D3!$F$2:$F$1001,$AR283),"")))</f>
        <v>4</v>
      </c>
      <c r="G283" s="5">
        <f>IF($A283="","",IF($AP283&lt;&gt;"",IF(INDEX(Raw_D1!$G$2:$G$1001,$AP283),1,0),IF($AR283&lt;&gt;"",IF(INDEX(Raw_D3!$G$2:$G$1001,$AR283),1,0),"")))</f>
        <v>0</v>
      </c>
      <c r="H283" s="5">
        <f>IF($A283="","",IF($AP283&lt;&gt;"",INDEX(Raw_D1!$H$2:$H$1001,$AP283),IF($AR283&lt;&gt;"",INDEX(Raw_D3!$H$2:$H$1001,$AR283),"")))</f>
        <v>4</v>
      </c>
      <c r="I283" s="5">
        <f>IF($A283="","",IF($AP283&lt;&gt;"",INDEX(Raw_D1!$I$2:$I$1001,$AP283),IF($AR283&lt;&gt;"",INDEX(Raw_D3!$I$2:$I$1001,$AR283),"")))</f>
        <v>1</v>
      </c>
      <c r="J283" s="16">
        <f>IF($A283="","",IF($AP283&lt;&gt;"",INDEX(Raw_D1!$J$2:$J$1001,$AP283),IF($AR283&lt;&gt;"",INDEX(Raw_D3!$J$2:$J$1001,$AR283),"")))</f>
        <v>0.14</v>
      </c>
      <c r="K283" s="17">
        <f>IF($A283="","",IF($AQ283&lt;&gt;"",IF(INDEX(Raw_D2!$C$2:$C$1001,$AQ283)="","",INDEX(Raw_D2!$C$2:$C$1001,$AQ283)),IF($AR283&lt;&gt;"",IF(INDEX(Raw_D3!$K$2:$K$1001,$AR283)="","",INDEX(Raw_D3!$K$2:$K$1001,$AR283)),"")))</f>
        <v>0.1212</v>
      </c>
      <c r="L283" s="16">
        <f>IF($A283="","",IF($AQ283&lt;&gt;"",IF(INDEX(Raw_D2!$D$2:$D$1001,$AQ283)="","",INDEX(Raw_D2!$D$2:$D$1001,$AQ283)),IF($AR283&lt;&gt;"",IF(INDEX(Raw_D3!$L$2:$L$1001,$AR283)="","",INDEX(Raw_D3!$L$2:$L$1001,$AR283)),"")))</f>
        <v>0.5</v>
      </c>
      <c r="M283" s="17">
        <f>IF($A283="","",IF($AQ283&lt;&gt;"",IF(INDEX(Raw_D2!$E$2:$E$1001,$AQ283)="","",INDEX(Raw_D2!$E$2:$E$1001,$AQ283)),IF($AR283&lt;&gt;"",IF(INDEX(Raw_D3!$M$2:$M$1001,$AR283)="","",INDEX(Raw_D3!$M$2:$M$1001,$AR283)),"")))</f>
        <v>0.2537</v>
      </c>
      <c r="N283" s="5">
        <f>IF($A283="","",IF($AQ283&lt;&gt;"",IF(INDEX(Raw_D2!$F$2:$F$1001,$AQ283)="","",INDEX(Raw_D2!$F$2:$F$1001,$AQ283)),IF($AR283&lt;&gt;"",IF(INDEX(Raw_D3!$N$2:$N$1001,$AR283)="","",INDEX(Raw_D3!$N$2:$N$1001,$AR283)),"")))</f>
        <v>0</v>
      </c>
      <c r="O283" s="5">
        <f>IF($A283="","",IF($AQ283&lt;&gt;"",IF(INDEX(Raw_D2!$G$2:$G$1001,$AQ283)="","",INDEX(Raw_D2!$G$2:$G$1001,$AQ283)),IF($AR283&lt;&gt;"",IF(INDEX(Raw_D3!$O$2:$O$1001,$AR283)="","",INDEX(Raw_D3!$O$2:$O$1001,$AR283)),"")))</f>
        <v>4</v>
      </c>
      <c r="P283" s="5">
        <f>IF($A283="","",IF($AQ283&lt;&gt;"",IF(INDEX(Raw_D2!$H$2:$H$1001,$AQ283)="","",INDEX(Raw_D2!$H$2:$H$1001,$AQ283)),IF($AR283&lt;&gt;"",IF(INDEX(Raw_D3!$P$2:$P$1001,$AR283)="","",INDEX(Raw_D3!$P$2:$P$1001,$AR283)),"")))</f>
        <v>4</v>
      </c>
      <c r="Q283" s="5" t="str">
        <f>IF($A283="","",IF(AND($AP283&lt;&gt;"",$AQ283&lt;&gt;""),"D1+D2",IF($AR283&lt;&gt;"","D3","Incomplete")))</f>
        <v>D1+D2</v>
      </c>
      <c r="R283" s="17">
        <f>IF($A283="","",IF($K283="",IF($J283="","",ROUND(Lookups!$K$5+Lookups!$K$4*$J283,4)),$K283))</f>
        <v>0.1212</v>
      </c>
      <c r="S283" s="5" t="str">
        <f>IF($A283="","",IF($K283="","Imputed","Original"))</f>
        <v>Original</v>
      </c>
      <c r="T283" s="5" t="str">
        <f>IF($A283="","",IF($P283="","Missing",IF($P283=$N283+$O283,"OK","Mismatch")))</f>
        <v>OK</v>
      </c>
      <c r="U283" s="5" t="str">
        <f>IF($A283="","",IF(COUNTIF($A$2:$A283,$A283)&gt;1,"Duplicate","Unique"))</f>
        <v>Unique</v>
      </c>
      <c r="V283" s="5">
        <f>IF($A283="","",IF(AND($U283="Unique",ISNUMBER($P283)),1,0))</f>
        <v>1</v>
      </c>
      <c r="W283" s="5" t="str">
        <f>IF($A283="","",IF(OR($H283=0,$H283=6),"Weekend","Weekday"))</f>
        <v>Weekday</v>
      </c>
      <c r="X283" s="5" t="str">
        <f>IF($A283="","",TEXT($B283,"ddd"))</f>
        <v>Thu</v>
      </c>
      <c r="Y283" s="5" t="str">
        <f>IF($A283="","",TEXT($B283,"mmm"))</f>
        <v>Jan</v>
      </c>
      <c r="Z283" s="5" t="str">
        <f>IF($A283="","",IFERROR(VLOOKUP($C283,Lookups!$D$4:$E$7,2,FALSE),"Unknown"))</f>
        <v>Winter</v>
      </c>
      <c r="AA283" s="5" t="str">
        <f>IF($A283="","",IFERROR(VLOOKUP($I283,Lookups!$A$4:$B$7,2,FALSE),"Unknown"))</f>
        <v>Clear</v>
      </c>
      <c r="AB283" s="5" t="str">
        <f>IF($A283="","",TEXT($F283,"00")&amp;":00")</f>
        <v>04:00</v>
      </c>
      <c r="AC283" s="5" t="str">
        <f>IF($A283="","",VLOOKUP($F283,Lookups!$G$4:$H$8,2,TRUE))</f>
        <v>Night (00-05)</v>
      </c>
      <c r="AD283" s="18">
        <f>IF($A283="","",IF($J283="","",ROUND($J283*41,1)))</f>
        <v>5.7</v>
      </c>
      <c r="AE283" s="18">
        <f>IF($A283="","",IF($R283="","",ROUND($R283*50,1)))</f>
        <v>6.1</v>
      </c>
      <c r="AF283" s="5">
        <f>IF($A283="","",IF($L283="","",ROUND($L283*100,0)))</f>
        <v>50</v>
      </c>
      <c r="AG283" s="18">
        <f>IF($A283="","",IF($M283="","",ROUND($M283*67,1)))</f>
        <v>17</v>
      </c>
      <c r="AH283" s="19">
        <f>IF($A283="","",IF($P283="","",IF($P283=0,0,$O283/$P283)))</f>
        <v>1</v>
      </c>
      <c r="AI283" s="5" t="str">
        <f>IF($A283="","",IF($P283="","",IF($P283&gt;=Lookups!$K$7,"High",IF($P283&lt;=Lookups!$K$8,"Low","Medium"))))</f>
        <v>Low</v>
      </c>
      <c r="AJ283" s="5" t="str">
        <f>IF($A283="","",IF($AD283="","",IF($AD283&lt;5,"Under 5 C",IF($AD283&lt;10,"5-10 C",IF($AD283&lt;15,"10-15 C","15 C and above")))))</f>
        <v>5-10 C</v>
      </c>
      <c r="AK283" s="5">
        <f>IF($A283="","",IF($P283="","",$P283^2))</f>
        <v>16</v>
      </c>
      <c r="AL283" s="18">
        <f>IF($V283&lt;&gt;1,"",AVERAGEIFS(Clean_Data!$P$2:$P$1001,Clean_Data!$F$2:$F$1001,$F283,Clean_Data!$W$2:$W$1001,$W283,Clean_Data!$V$2:$V$1001,1))</f>
        <v>1.78947368421053</v>
      </c>
      <c r="AM283" s="16">
        <f>IF($V283&lt;&gt;1,"",IFERROR(($P283-$AL283)/SQRT(MAX(0,(SUMIFS(Clean_Data!$AK$2:$AK$1001,Clean_Data!$F$2:$F$1001,$F283,Clean_Data!$W$2:$W$1001,$W283,Clean_Data!$V$2:$V$1001,1)-COUNTIFS(Clean_Data!$F$2:$F$1001,$F283,Clean_Data!$W$2:$W$1001,$W283,Clean_Data!$V$2:$V$1001,1)*$AL283^2)/(COUNTIFS(Clean_Data!$F$2:$F$1001,$F283,Clean_Data!$W$2:$W$1001,$W283,Clean_Data!$V$2:$V$1001,1)-1))),""))</f>
        <v>2.4088652056409</v>
      </c>
      <c r="AN283" s="5" t="str">
        <f>IF($AM283="","",IF($AM283&gt;=Lookups!$K$6,"High spike",IF($AM283&lt;=-Lookups!$K$6,"Unusual low","Normal")))</f>
        <v>Normal</v>
      </c>
      <c r="AO283" s="20">
        <f>IF($V283&lt;&gt;1,"",$P283+ROW()/100000)</f>
        <v>4.00283</v>
      </c>
      <c r="AP283" s="5">
        <f>IF($A283="","",IFERROR(MATCH($A283,Raw_D1!$A$2:$A$1001,0),""))</f>
        <v>282</v>
      </c>
      <c r="AQ283" s="5">
        <f>IF($A283="","",IFERROR(MATCH($A283,Raw_D2!$B$2:$B$1001,0),""))</f>
        <v>282</v>
      </c>
      <c r="AR283" s="5">
        <f>IF($A283="","",IFERROR(MATCH($A283,Raw_D3!$A$2:$A$1001,0),""))</f>
        <v/>
      </c>
    </row>
    <row r="284" spans="1:44" x14ac:dyDescent="0.25">
      <c r="A284" s="5">
        <v>283</v>
      </c>
      <c r="B284" s="11">
        <f>IF($A284="","",IF($AP284&lt;&gt;"",INDEX(Raw_D1!$B$2:$B$1001,$AP284),IF($AR284&lt;&gt;"",INDEX(Raw_D3!$B$2:$B$1001,$AR284),"")))</f>
        <v>40556.0</v>
      </c>
      <c r="C284" s="5">
        <f>IF($A284="","",IF($AP284&lt;&gt;"",INDEX(Raw_D1!$C$2:$C$1001,$AP284),IF($AR284&lt;&gt;"",INDEX(Raw_D3!$C$2:$C$1001,$AR284),"")))</f>
        <v>1</v>
      </c>
      <c r="D284" s="5">
        <f>IF($A284="","",IF($AP284&lt;&gt;"",INDEX(Raw_D1!$D$2:$D$1001,$AP284),IF($AR284&lt;&gt;"",INDEX(Raw_D3!$D$2:$D$1001,$AR284),"")))</f>
        <v>0</v>
      </c>
      <c r="E284" s="5">
        <f>IF($A284="","",IF($AP284&lt;&gt;"",INDEX(Raw_D1!$E$2:$E$1001,$AP284),IF($AR284&lt;&gt;"",INDEX(Raw_D3!$E$2:$E$1001,$AR284),"")))</f>
        <v>1</v>
      </c>
      <c r="F284" s="5">
        <f>IF($A284="","",IF($AP284&lt;&gt;"",INDEX(Raw_D1!$F$2:$F$1001,$AP284),IF($AR284&lt;&gt;"",INDEX(Raw_D3!$F$2:$F$1001,$AR284),"")))</f>
        <v>5</v>
      </c>
      <c r="G284" s="5">
        <f>IF($A284="","",IF($AP284&lt;&gt;"",IF(INDEX(Raw_D1!$G$2:$G$1001,$AP284),1,0),IF($AR284&lt;&gt;"",IF(INDEX(Raw_D3!$G$2:$G$1001,$AR284),1,0),"")))</f>
        <v>0</v>
      </c>
      <c r="H284" s="5">
        <f>IF($A284="","",IF($AP284&lt;&gt;"",INDEX(Raw_D1!$H$2:$H$1001,$AP284),IF($AR284&lt;&gt;"",INDEX(Raw_D3!$H$2:$H$1001,$AR284),"")))</f>
        <v>4</v>
      </c>
      <c r="I284" s="5">
        <f>IF($A284="","",IF($AP284&lt;&gt;"",INDEX(Raw_D1!$I$2:$I$1001,$AP284),IF($AR284&lt;&gt;"",INDEX(Raw_D3!$I$2:$I$1001,$AR284),"")))</f>
        <v>1</v>
      </c>
      <c r="J284" s="16">
        <f>IF($A284="","",IF($AP284&lt;&gt;"",INDEX(Raw_D1!$J$2:$J$1001,$AP284),IF($AR284&lt;&gt;"",INDEX(Raw_D3!$J$2:$J$1001,$AR284),"")))</f>
        <v>0.14</v>
      </c>
      <c r="K284" s="17">
        <f>IF($A284="","",IF($AQ284&lt;&gt;"",IF(INDEX(Raw_D2!$C$2:$C$1001,$AQ284)="","",INDEX(Raw_D2!$C$2:$C$1001,$AQ284)),IF($AR284&lt;&gt;"",IF(INDEX(Raw_D3!$K$2:$K$1001,$AR284)="","",INDEX(Raw_D3!$K$2:$K$1001,$AR284)),"")))</f>
        <v>0.1212</v>
      </c>
      <c r="L284" s="16">
        <f>IF($A284="","",IF($AQ284&lt;&gt;"",IF(INDEX(Raw_D2!$D$2:$D$1001,$AQ284)="","",INDEX(Raw_D2!$D$2:$D$1001,$AQ284)),IF($AR284&lt;&gt;"",IF(INDEX(Raw_D3!$L$2:$L$1001,$AR284)="","",INDEX(Raw_D3!$L$2:$L$1001,$AR284)),"")))</f>
        <v>0.5</v>
      </c>
      <c r="M284" s="17">
        <f>IF($A284="","",IF($AQ284&lt;&gt;"",IF(INDEX(Raw_D2!$E$2:$E$1001,$AQ284)="","",INDEX(Raw_D2!$E$2:$E$1001,$AQ284)),IF($AR284&lt;&gt;"",IF(INDEX(Raw_D3!$M$2:$M$1001,$AR284)="","",INDEX(Raw_D3!$M$2:$M$1001,$AR284)),"")))</f>
        <v>0.2985</v>
      </c>
      <c r="N284" s="5">
        <f>IF($A284="","",IF($AQ284&lt;&gt;"",IF(INDEX(Raw_D2!$F$2:$F$1001,$AQ284)="","",INDEX(Raw_D2!$F$2:$F$1001,$AQ284)),IF($AR284&lt;&gt;"",IF(INDEX(Raw_D3!$N$2:$N$1001,$AR284)="","",INDEX(Raw_D3!$N$2:$N$1001,$AR284)),"")))</f>
        <v>0</v>
      </c>
      <c r="O284" s="5">
        <f>IF($A284="","",IF($AQ284&lt;&gt;"",IF(INDEX(Raw_D2!$G$2:$G$1001,$AQ284)="","",INDEX(Raw_D2!$G$2:$G$1001,$AQ284)),IF($AR284&lt;&gt;"",IF(INDEX(Raw_D3!$O$2:$O$1001,$AR284)="","",INDEX(Raw_D3!$O$2:$O$1001,$AR284)),"")))</f>
        <v>3</v>
      </c>
      <c r="P284" s="5">
        <f>IF($A284="","",IF($AQ284&lt;&gt;"",IF(INDEX(Raw_D2!$H$2:$H$1001,$AQ284)="","",INDEX(Raw_D2!$H$2:$H$1001,$AQ284)),IF($AR284&lt;&gt;"",IF(INDEX(Raw_D3!$P$2:$P$1001,$AR284)="","",INDEX(Raw_D3!$P$2:$P$1001,$AR284)),"")))</f>
        <v>3</v>
      </c>
      <c r="Q284" s="5" t="str">
        <f>IF($A284="","",IF(AND($AP284&lt;&gt;"",$AQ284&lt;&gt;""),"D1+D2",IF($AR284&lt;&gt;"","D3","Incomplete")))</f>
        <v>D1+D2</v>
      </c>
      <c r="R284" s="17">
        <f>IF($A284="","",IF($K284="",IF($J284="","",ROUND(Lookups!$K$5+Lookups!$K$4*$J284,4)),$K284))</f>
        <v>0.1212</v>
      </c>
      <c r="S284" s="5" t="str">
        <f>IF($A284="","",IF($K284="","Imputed","Original"))</f>
        <v>Original</v>
      </c>
      <c r="T284" s="5" t="str">
        <f>IF($A284="","",IF($P284="","Missing",IF($P284=$N284+$O284,"OK","Mismatch")))</f>
        <v>OK</v>
      </c>
      <c r="U284" s="5" t="str">
        <f>IF($A284="","",IF(COUNTIF($A$2:$A284,$A284)&gt;1,"Duplicate","Unique"))</f>
        <v>Unique</v>
      </c>
      <c r="V284" s="5">
        <f>IF($A284="","",IF(AND($U284="Unique",ISNUMBER($P284)),1,0))</f>
        <v>1</v>
      </c>
      <c r="W284" s="5" t="str">
        <f>IF($A284="","",IF(OR($H284=0,$H284=6),"Weekend","Weekday"))</f>
        <v>Weekday</v>
      </c>
      <c r="X284" s="5" t="str">
        <f>IF($A284="","",TEXT($B284,"ddd"))</f>
        <v>Thu</v>
      </c>
      <c r="Y284" s="5" t="str">
        <f>IF($A284="","",TEXT($B284,"mmm"))</f>
        <v>Jan</v>
      </c>
      <c r="Z284" s="5" t="str">
        <f>IF($A284="","",IFERROR(VLOOKUP($C284,Lookups!$D$4:$E$7,2,FALSE),"Unknown"))</f>
        <v>Winter</v>
      </c>
      <c r="AA284" s="5" t="str">
        <f>IF($A284="","",IFERROR(VLOOKUP($I284,Lookups!$A$4:$B$7,2,FALSE),"Unknown"))</f>
        <v>Clear</v>
      </c>
      <c r="AB284" s="5" t="str">
        <f>IF($A284="","",TEXT($F284,"00")&amp;":00")</f>
        <v>05:00</v>
      </c>
      <c r="AC284" s="5" t="str">
        <f>IF($A284="","",VLOOKUP($F284,Lookups!$G$4:$H$8,2,TRUE))</f>
        <v>Night (00-05)</v>
      </c>
      <c r="AD284" s="18">
        <f>IF($A284="","",IF($J284="","",ROUND($J284*41,1)))</f>
        <v>5.7</v>
      </c>
      <c r="AE284" s="18">
        <f>IF($A284="","",IF($R284="","",ROUND($R284*50,1)))</f>
        <v>6.1</v>
      </c>
      <c r="AF284" s="5">
        <f>IF($A284="","",IF($L284="","",ROUND($L284*100,0)))</f>
        <v>50</v>
      </c>
      <c r="AG284" s="18">
        <f>IF($A284="","",IF($M284="","",ROUND($M284*67,1)))</f>
        <v>20</v>
      </c>
      <c r="AH284" s="19">
        <f>IF($A284="","",IF($P284="","",IF($P284=0,0,$O284/$P284)))</f>
        <v>1</v>
      </c>
      <c r="AI284" s="5" t="str">
        <f>IF($A284="","",IF($P284="","",IF($P284&gt;=Lookups!$K$7,"High",IF($P284&lt;=Lookups!$K$8,"Low","Medium"))))</f>
        <v>Low</v>
      </c>
      <c r="AJ284" s="5" t="str">
        <f>IF($A284="","",IF($AD284="","",IF($AD284&lt;5,"Under 5 C",IF($AD284&lt;10,"5-10 C",IF($AD284&lt;15,"10-15 C","15 C and above")))))</f>
        <v>5-10 C</v>
      </c>
      <c r="AK284" s="5">
        <f>IF($A284="","",IF($P284="","",$P284^2))</f>
        <v>9</v>
      </c>
      <c r="AL284" s="18">
        <f>IF($V284&lt;&gt;1,"",AVERAGEIFS(Clean_Data!$P$2:$P$1001,Clean_Data!$F$2:$F$1001,$F284,Clean_Data!$W$2:$W$1001,$W284,Clean_Data!$V$2:$V$1001,1))</f>
        <v>4.72413793103448</v>
      </c>
      <c r="AM284" s="16">
        <f>IF($V284&lt;&gt;1,"",IFERROR(($P284-$AL284)/SQRT(MAX(0,(SUMIFS(Clean_Data!$AK$2:$AK$1001,Clean_Data!$F$2:$F$1001,$F284,Clean_Data!$W$2:$W$1001,$W284,Clean_Data!$V$2:$V$1001,1)-COUNTIFS(Clean_Data!$F$2:$F$1001,$F284,Clean_Data!$W$2:$W$1001,$W284,Clean_Data!$V$2:$V$1001,1)*$AL284^2)/(COUNTIFS(Clean_Data!$F$2:$F$1001,$F284,Clean_Data!$W$2:$W$1001,$W284,Clean_Data!$V$2:$V$1001,1)-1))),""))</f>
        <v>-0.735669230034663</v>
      </c>
      <c r="AN284" s="5" t="str">
        <f>IF($AM284="","",IF($AM284&gt;=Lookups!$K$6,"High spike",IF($AM284&lt;=-Lookups!$K$6,"Unusual low","Normal")))</f>
        <v>Normal</v>
      </c>
      <c r="AO284" s="20">
        <f>IF($V284&lt;&gt;1,"",$P284+ROW()/100000)</f>
        <v>3.00284</v>
      </c>
      <c r="AP284" s="5">
        <f>IF($A284="","",IFERROR(MATCH($A284,Raw_D1!$A$2:$A$1001,0),""))</f>
        <v>283</v>
      </c>
      <c r="AQ284" s="5">
        <f>IF($A284="","",IFERROR(MATCH($A284,Raw_D2!$B$2:$B$1001,0),""))</f>
        <v>283</v>
      </c>
      <c r="AR284" s="5">
        <f>IF($A284="","",IFERROR(MATCH($A284,Raw_D3!$A$2:$A$1001,0),""))</f>
        <v/>
      </c>
    </row>
    <row r="285" spans="1:44" x14ac:dyDescent="0.25">
      <c r="A285" s="5">
        <v>284</v>
      </c>
      <c r="B285" s="11">
        <f>IF($A285="","",IF($AP285&lt;&gt;"",INDEX(Raw_D1!$B$2:$B$1001,$AP285),IF($AR285&lt;&gt;"",INDEX(Raw_D3!$B$2:$B$1001,$AR285),"")))</f>
        <v>40556.0</v>
      </c>
      <c r="C285" s="5">
        <f>IF($A285="","",IF($AP285&lt;&gt;"",INDEX(Raw_D1!$C$2:$C$1001,$AP285),IF($AR285&lt;&gt;"",INDEX(Raw_D3!$C$2:$C$1001,$AR285),"")))</f>
        <v>1</v>
      </c>
      <c r="D285" s="5">
        <f>IF($A285="","",IF($AP285&lt;&gt;"",INDEX(Raw_D1!$D$2:$D$1001,$AP285),IF($AR285&lt;&gt;"",INDEX(Raw_D3!$D$2:$D$1001,$AR285),"")))</f>
        <v>0</v>
      </c>
      <c r="E285" s="5">
        <f>IF($A285="","",IF($AP285&lt;&gt;"",INDEX(Raw_D1!$E$2:$E$1001,$AP285),IF($AR285&lt;&gt;"",INDEX(Raw_D3!$E$2:$E$1001,$AR285),"")))</f>
        <v>1</v>
      </c>
      <c r="F285" s="5">
        <f>IF($A285="","",IF($AP285&lt;&gt;"",INDEX(Raw_D1!$F$2:$F$1001,$AP285),IF($AR285&lt;&gt;"",INDEX(Raw_D3!$F$2:$F$1001,$AR285),"")))</f>
        <v>6</v>
      </c>
      <c r="G285" s="5">
        <f>IF($A285="","",IF($AP285&lt;&gt;"",IF(INDEX(Raw_D1!$G$2:$G$1001,$AP285),1,0),IF($AR285&lt;&gt;"",IF(INDEX(Raw_D3!$G$2:$G$1001,$AR285),1,0),"")))</f>
        <v>0</v>
      </c>
      <c r="H285" s="5">
        <f>IF($A285="","",IF($AP285&lt;&gt;"",INDEX(Raw_D1!$H$2:$H$1001,$AP285),IF($AR285&lt;&gt;"",INDEX(Raw_D3!$H$2:$H$1001,$AR285),"")))</f>
        <v>4</v>
      </c>
      <c r="I285" s="5">
        <f>IF($A285="","",IF($AP285&lt;&gt;"",INDEX(Raw_D1!$I$2:$I$1001,$AP285),IF($AR285&lt;&gt;"",INDEX(Raw_D3!$I$2:$I$1001,$AR285),"")))</f>
        <v>1</v>
      </c>
      <c r="J285" s="16">
        <f>IF($A285="","",IF($AP285&lt;&gt;"",INDEX(Raw_D1!$J$2:$J$1001,$AP285),IF($AR285&lt;&gt;"",INDEX(Raw_D3!$J$2:$J$1001,$AR285),"")))</f>
        <v>0.12</v>
      </c>
      <c r="K285" s="17">
        <f>IF($A285="","",IF($AQ285&lt;&gt;"",IF(INDEX(Raw_D2!$C$2:$C$1001,$AQ285)="","",INDEX(Raw_D2!$C$2:$C$1001,$AQ285)),IF($AR285&lt;&gt;"",IF(INDEX(Raw_D3!$K$2:$K$1001,$AR285)="","",INDEX(Raw_D3!$K$2:$K$1001,$AR285)),"")))</f>
        <v>0.1515</v>
      </c>
      <c r="L285" s="16">
        <f>IF($A285="","",IF($AQ285&lt;&gt;"",IF(INDEX(Raw_D2!$D$2:$D$1001,$AQ285)="","",INDEX(Raw_D2!$D$2:$D$1001,$AQ285)),IF($AR285&lt;&gt;"",IF(INDEX(Raw_D3!$L$2:$L$1001,$AR285)="","",INDEX(Raw_D3!$L$2:$L$1001,$AR285)),"")))</f>
        <v>0.54</v>
      </c>
      <c r="M285" s="17">
        <f>IF($A285="","",IF($AQ285&lt;&gt;"",IF(INDEX(Raw_D2!$E$2:$E$1001,$AQ285)="","",INDEX(Raw_D2!$E$2:$E$1001,$AQ285)),IF($AR285&lt;&gt;"",IF(INDEX(Raw_D3!$M$2:$M$1001,$AR285)="","",INDEX(Raw_D3!$M$2:$M$1001,$AR285)),"")))</f>
        <v>0.1343</v>
      </c>
      <c r="N285" s="5">
        <f>IF($A285="","",IF($AQ285&lt;&gt;"",IF(INDEX(Raw_D2!$F$2:$F$1001,$AQ285)="","",INDEX(Raw_D2!$F$2:$F$1001,$AQ285)),IF($AR285&lt;&gt;"",IF(INDEX(Raw_D3!$N$2:$N$1001,$AR285)="","",INDEX(Raw_D3!$N$2:$N$1001,$AR285)),"")))</f>
        <v>0</v>
      </c>
      <c r="O285" s="5">
        <f>IF($A285="","",IF($AQ285&lt;&gt;"",IF(INDEX(Raw_D2!$G$2:$G$1001,$AQ285)="","",INDEX(Raw_D2!$G$2:$G$1001,$AQ285)),IF($AR285&lt;&gt;"",IF(INDEX(Raw_D3!$O$2:$O$1001,$AR285)="","",INDEX(Raw_D3!$O$2:$O$1001,$AR285)),"")))</f>
        <v>28</v>
      </c>
      <c r="P285" s="5">
        <f>IF($A285="","",IF($AQ285&lt;&gt;"",IF(INDEX(Raw_D2!$H$2:$H$1001,$AQ285)="","",INDEX(Raw_D2!$H$2:$H$1001,$AQ285)),IF($AR285&lt;&gt;"",IF(INDEX(Raw_D3!$P$2:$P$1001,$AR285)="","",INDEX(Raw_D3!$P$2:$P$1001,$AR285)),"")))</f>
        <v>28</v>
      </c>
      <c r="Q285" s="5" t="str">
        <f>IF($A285="","",IF(AND($AP285&lt;&gt;"",$AQ285&lt;&gt;""),"D1+D2",IF($AR285&lt;&gt;"","D3","Incomplete")))</f>
        <v>D1+D2</v>
      </c>
      <c r="R285" s="17">
        <f>IF($A285="","",IF($K285="",IF($J285="","",ROUND(Lookups!$K$5+Lookups!$K$4*$J285,4)),$K285))</f>
        <v>0.1515</v>
      </c>
      <c r="S285" s="5" t="str">
        <f>IF($A285="","",IF($K285="","Imputed","Original"))</f>
        <v>Original</v>
      </c>
      <c r="T285" s="5" t="str">
        <f>IF($A285="","",IF($P285="","Missing",IF($P285=$N285+$O285,"OK","Mismatch")))</f>
        <v>OK</v>
      </c>
      <c r="U285" s="5" t="str">
        <f>IF($A285="","",IF(COUNTIF($A$2:$A285,$A285)&gt;1,"Duplicate","Unique"))</f>
        <v>Unique</v>
      </c>
      <c r="V285" s="5">
        <f>IF($A285="","",IF(AND($U285="Unique",ISNUMBER($P285)),1,0))</f>
        <v>1</v>
      </c>
      <c r="W285" s="5" t="str">
        <f>IF($A285="","",IF(OR($H285=0,$H285=6),"Weekend","Weekday"))</f>
        <v>Weekday</v>
      </c>
      <c r="X285" s="5" t="str">
        <f>IF($A285="","",TEXT($B285,"ddd"))</f>
        <v>Thu</v>
      </c>
      <c r="Y285" s="5" t="str">
        <f>IF($A285="","",TEXT($B285,"mmm"))</f>
        <v>Jan</v>
      </c>
      <c r="Z285" s="5" t="str">
        <f>IF($A285="","",IFERROR(VLOOKUP($C285,Lookups!$D$4:$E$7,2,FALSE),"Unknown"))</f>
        <v>Winter</v>
      </c>
      <c r="AA285" s="5" t="str">
        <f>IF($A285="","",IFERROR(VLOOKUP($I285,Lookups!$A$4:$B$7,2,FALSE),"Unknown"))</f>
        <v>Clear</v>
      </c>
      <c r="AB285" s="5" t="str">
        <f>IF($A285="","",TEXT($F285,"00")&amp;":00")</f>
        <v>06:00</v>
      </c>
      <c r="AC285" s="5" t="str">
        <f>IF($A285="","",VLOOKUP($F285,Lookups!$G$4:$H$8,2,TRUE))</f>
        <v>Morning Peak (06-09)</v>
      </c>
      <c r="AD285" s="18">
        <f>IF($A285="","",IF($J285="","",ROUND($J285*41,1)))</f>
        <v>4.9</v>
      </c>
      <c r="AE285" s="18">
        <f>IF($A285="","",IF($R285="","",ROUND($R285*50,1)))</f>
        <v>7.6</v>
      </c>
      <c r="AF285" s="5">
        <f>IF($A285="","",IF($L285="","",ROUND($L285*100,0)))</f>
        <v>54</v>
      </c>
      <c r="AG285" s="18">
        <f>IF($A285="","",IF($M285="","",ROUND($M285*67,1)))</f>
        <v>9</v>
      </c>
      <c r="AH285" s="19">
        <f>IF($A285="","",IF($P285="","",IF($P285=0,0,$O285/$P285)))</f>
        <v>1</v>
      </c>
      <c r="AI285" s="5" t="str">
        <f>IF($A285="","",IF($P285="","",IF($P285&gt;=Lookups!$K$7,"High",IF($P285&lt;=Lookups!$K$8,"Low","Medium"))))</f>
        <v>Medium</v>
      </c>
      <c r="AJ285" s="5" t="str">
        <f>IF($A285="","",IF($AD285="","",IF($AD285&lt;5,"Under 5 C",IF($AD285&lt;10,"5-10 C",IF($AD285&lt;15,"10-15 C","15 C and above")))))</f>
        <v>Under 5 C</v>
      </c>
      <c r="AK285" s="5">
        <f>IF($A285="","",IF($P285="","",$P285^2))</f>
        <v>784</v>
      </c>
      <c r="AL285" s="18">
        <f>IF($V285&lt;&gt;1,"",AVERAGEIFS(Clean_Data!$P$2:$P$1001,Clean_Data!$F$2:$F$1001,$F285,Clean_Data!$W$2:$W$1001,$W285,Clean_Data!$V$2:$V$1001,1))</f>
        <v>27.3793103448276</v>
      </c>
      <c r="AM285" s="16">
        <f>IF($V285&lt;&gt;1,"",IFERROR(($P285-$AL285)/SQRT(MAX(0,(SUMIFS(Clean_Data!$AK$2:$AK$1001,Clean_Data!$F$2:$F$1001,$F285,Clean_Data!$W$2:$W$1001,$W285,Clean_Data!$V$2:$V$1001,1)-COUNTIFS(Clean_Data!$F$2:$F$1001,$F285,Clean_Data!$W$2:$W$1001,$W285,Clean_Data!$V$2:$V$1001,1)*$AL285^2)/(COUNTIFS(Clean_Data!$F$2:$F$1001,$F285,Clean_Data!$W$2:$W$1001,$W285,Clean_Data!$V$2:$V$1001,1)-1))),""))</f>
        <v>0.0651577268745865</v>
      </c>
      <c r="AN285" s="5" t="str">
        <f>IF($AM285="","",IF($AM285&gt;=Lookups!$K$6,"High spike",IF($AM285&lt;=-Lookups!$K$6,"Unusual low","Normal")))</f>
        <v>Normal</v>
      </c>
      <c r="AO285" s="20">
        <f>IF($V285&lt;&gt;1,"",$P285+ROW()/100000)</f>
        <v>28.00285</v>
      </c>
      <c r="AP285" s="5">
        <f>IF($A285="","",IFERROR(MATCH($A285,Raw_D1!$A$2:$A$1001,0),""))</f>
        <v>284</v>
      </c>
      <c r="AQ285" s="5">
        <f>IF($A285="","",IFERROR(MATCH($A285,Raw_D2!$B$2:$B$1001,0),""))</f>
        <v>284</v>
      </c>
      <c r="AR285" s="5">
        <f>IF($A285="","",IFERROR(MATCH($A285,Raw_D3!$A$2:$A$1001,0),""))</f>
        <v/>
      </c>
    </row>
    <row r="286" spans="1:44" x14ac:dyDescent="0.25">
      <c r="A286" s="5">
        <v>285</v>
      </c>
      <c r="B286" s="11">
        <f>IF($A286="","",IF($AP286&lt;&gt;"",INDEX(Raw_D1!$B$2:$B$1001,$AP286),IF($AR286&lt;&gt;"",INDEX(Raw_D3!$B$2:$B$1001,$AR286),"")))</f>
        <v>40556.0</v>
      </c>
      <c r="C286" s="5">
        <f>IF($A286="","",IF($AP286&lt;&gt;"",INDEX(Raw_D1!$C$2:$C$1001,$AP286),IF($AR286&lt;&gt;"",INDEX(Raw_D3!$C$2:$C$1001,$AR286),"")))</f>
        <v>1</v>
      </c>
      <c r="D286" s="5">
        <f>IF($A286="","",IF($AP286&lt;&gt;"",INDEX(Raw_D1!$D$2:$D$1001,$AP286),IF($AR286&lt;&gt;"",INDEX(Raw_D3!$D$2:$D$1001,$AR286),"")))</f>
        <v>0</v>
      </c>
      <c r="E286" s="5">
        <f>IF($A286="","",IF($AP286&lt;&gt;"",INDEX(Raw_D1!$E$2:$E$1001,$AP286),IF($AR286&lt;&gt;"",INDEX(Raw_D3!$E$2:$E$1001,$AR286),"")))</f>
        <v>1</v>
      </c>
      <c r="F286" s="5">
        <f>IF($A286="","",IF($AP286&lt;&gt;"",INDEX(Raw_D1!$F$2:$F$1001,$AP286),IF($AR286&lt;&gt;"",INDEX(Raw_D3!$F$2:$F$1001,$AR286),"")))</f>
        <v>7</v>
      </c>
      <c r="G286" s="5">
        <f>IF($A286="","",IF($AP286&lt;&gt;"",IF(INDEX(Raw_D1!$G$2:$G$1001,$AP286),1,0),IF($AR286&lt;&gt;"",IF(INDEX(Raw_D3!$G$2:$G$1001,$AR286),1,0),"")))</f>
        <v>0</v>
      </c>
      <c r="H286" s="5">
        <f>IF($A286="","",IF($AP286&lt;&gt;"",INDEX(Raw_D1!$H$2:$H$1001,$AP286),IF($AR286&lt;&gt;"",INDEX(Raw_D3!$H$2:$H$1001,$AR286),"")))</f>
        <v>4</v>
      </c>
      <c r="I286" s="5">
        <f>IF($A286="","",IF($AP286&lt;&gt;"",INDEX(Raw_D1!$I$2:$I$1001,$AP286),IF($AR286&lt;&gt;"",INDEX(Raw_D3!$I$2:$I$1001,$AR286),"")))</f>
        <v>1</v>
      </c>
      <c r="J286" s="16">
        <f>IF($A286="","",IF($AP286&lt;&gt;"",INDEX(Raw_D1!$J$2:$J$1001,$AP286),IF($AR286&lt;&gt;"",INDEX(Raw_D3!$J$2:$J$1001,$AR286),"")))</f>
        <v>0.12</v>
      </c>
      <c r="K286" s="17">
        <f>IF($A286="","",IF($AQ286&lt;&gt;"",IF(INDEX(Raw_D2!$C$2:$C$1001,$AQ286)="","",INDEX(Raw_D2!$C$2:$C$1001,$AQ286)),IF($AR286&lt;&gt;"",IF(INDEX(Raw_D3!$K$2:$K$1001,$AR286)="","",INDEX(Raw_D3!$K$2:$K$1001,$AR286)),"")))</f>
        <v>0.1515</v>
      </c>
      <c r="L286" s="16">
        <f>IF($A286="","",IF($AQ286&lt;&gt;"",IF(INDEX(Raw_D2!$D$2:$D$1001,$AQ286)="","",INDEX(Raw_D2!$D$2:$D$1001,$AQ286)),IF($AR286&lt;&gt;"",IF(INDEX(Raw_D3!$L$2:$L$1001,$AR286)="","",INDEX(Raw_D3!$L$2:$L$1001,$AR286)),"")))</f>
        <v>0.54</v>
      </c>
      <c r="M286" s="17">
        <f>IF($A286="","",IF($AQ286&lt;&gt;"",IF(INDEX(Raw_D2!$E$2:$E$1001,$AQ286)="","",INDEX(Raw_D2!$E$2:$E$1001,$AQ286)),IF($AR286&lt;&gt;"",IF(INDEX(Raw_D3!$M$2:$M$1001,$AR286)="","",INDEX(Raw_D3!$M$2:$M$1001,$AR286)),"")))</f>
        <v>0.1343</v>
      </c>
      <c r="N286" s="5">
        <f>IF($A286="","",IF($AQ286&lt;&gt;"",IF(INDEX(Raw_D2!$F$2:$F$1001,$AQ286)="","",INDEX(Raw_D2!$F$2:$F$1001,$AQ286)),IF($AR286&lt;&gt;"",IF(INDEX(Raw_D3!$N$2:$N$1001,$AR286)="","",INDEX(Raw_D3!$N$2:$N$1001,$AR286)),"")))</f>
        <v>0</v>
      </c>
      <c r="O286" s="5">
        <f>IF($A286="","",IF($AQ286&lt;&gt;"",IF(INDEX(Raw_D2!$G$2:$G$1001,$AQ286)="","",INDEX(Raw_D2!$G$2:$G$1001,$AQ286)),IF($AR286&lt;&gt;"",IF(INDEX(Raw_D3!$O$2:$O$1001,$AR286)="","",INDEX(Raw_D3!$O$2:$O$1001,$AR286)),"")))</f>
        <v>72</v>
      </c>
      <c r="P286" s="5">
        <f>IF($A286="","",IF($AQ286&lt;&gt;"",IF(INDEX(Raw_D2!$H$2:$H$1001,$AQ286)="","",INDEX(Raw_D2!$H$2:$H$1001,$AQ286)),IF($AR286&lt;&gt;"",IF(INDEX(Raw_D3!$P$2:$P$1001,$AR286)="","",INDEX(Raw_D3!$P$2:$P$1001,$AR286)),"")))</f>
        <v>72</v>
      </c>
      <c r="Q286" s="5" t="str">
        <f>IF($A286="","",IF(AND($AP286&lt;&gt;"",$AQ286&lt;&gt;""),"D1+D2",IF($AR286&lt;&gt;"","D3","Incomplete")))</f>
        <v>D1+D2</v>
      </c>
      <c r="R286" s="17">
        <f>IF($A286="","",IF($K286="",IF($J286="","",ROUND(Lookups!$K$5+Lookups!$K$4*$J286,4)),$K286))</f>
        <v>0.1515</v>
      </c>
      <c r="S286" s="5" t="str">
        <f>IF($A286="","",IF($K286="","Imputed","Original"))</f>
        <v>Original</v>
      </c>
      <c r="T286" s="5" t="str">
        <f>IF($A286="","",IF($P286="","Missing",IF($P286=$N286+$O286,"OK","Mismatch")))</f>
        <v>OK</v>
      </c>
      <c r="U286" s="5" t="str">
        <f>IF($A286="","",IF(COUNTIF($A$2:$A286,$A286)&gt;1,"Duplicate","Unique"))</f>
        <v>Unique</v>
      </c>
      <c r="V286" s="5">
        <f>IF($A286="","",IF(AND($U286="Unique",ISNUMBER($P286)),1,0))</f>
        <v>1</v>
      </c>
      <c r="W286" s="5" t="str">
        <f>IF($A286="","",IF(OR($H286=0,$H286=6),"Weekend","Weekday"))</f>
        <v>Weekday</v>
      </c>
      <c r="X286" s="5" t="str">
        <f>IF($A286="","",TEXT($B286,"ddd"))</f>
        <v>Thu</v>
      </c>
      <c r="Y286" s="5" t="str">
        <f>IF($A286="","",TEXT($B286,"mmm"))</f>
        <v>Jan</v>
      </c>
      <c r="Z286" s="5" t="str">
        <f>IF($A286="","",IFERROR(VLOOKUP($C286,Lookups!$D$4:$E$7,2,FALSE),"Unknown"))</f>
        <v>Winter</v>
      </c>
      <c r="AA286" s="5" t="str">
        <f>IF($A286="","",IFERROR(VLOOKUP($I286,Lookups!$A$4:$B$7,2,FALSE),"Unknown"))</f>
        <v>Clear</v>
      </c>
      <c r="AB286" s="5" t="str">
        <f>IF($A286="","",TEXT($F286,"00")&amp;":00")</f>
        <v>07:00</v>
      </c>
      <c r="AC286" s="5" t="str">
        <f>IF($A286="","",VLOOKUP($F286,Lookups!$G$4:$H$8,2,TRUE))</f>
        <v>Morning Peak (06-09)</v>
      </c>
      <c r="AD286" s="18">
        <f>IF($A286="","",IF($J286="","",ROUND($J286*41,1)))</f>
        <v>4.9</v>
      </c>
      <c r="AE286" s="18">
        <f>IF($A286="","",IF($R286="","",ROUND($R286*50,1)))</f>
        <v>7.6</v>
      </c>
      <c r="AF286" s="5">
        <f>IF($A286="","",IF($L286="","",ROUND($L286*100,0)))</f>
        <v>54</v>
      </c>
      <c r="AG286" s="18">
        <f>IF($A286="","",IF($M286="","",ROUND($M286*67,1)))</f>
        <v>9</v>
      </c>
      <c r="AH286" s="19">
        <f>IF($A286="","",IF($P286="","",IF($P286=0,0,$O286/$P286)))</f>
        <v>1</v>
      </c>
      <c r="AI286" s="5" t="str">
        <f>IF($A286="","",IF($P286="","",IF($P286&gt;=Lookups!$K$7,"High",IF($P286&lt;=Lookups!$K$8,"Low","Medium"))))</f>
        <v>Medium</v>
      </c>
      <c r="AJ286" s="5" t="str">
        <f>IF($A286="","",IF($AD286="","",IF($AD286&lt;5,"Under 5 C",IF($AD286&lt;10,"5-10 C",IF($AD286&lt;15,"10-15 C","15 C and above")))))</f>
        <v>Under 5 C</v>
      </c>
      <c r="AK286" s="5">
        <f>IF($A286="","",IF($P286="","",$P286^2))</f>
        <v>5184</v>
      </c>
      <c r="AL286" s="18">
        <f>IF($V286&lt;&gt;1,"",AVERAGEIFS(Clean_Data!$P$2:$P$1001,Clean_Data!$F$2:$F$1001,$F286,Clean_Data!$W$2:$W$1001,$W286,Clean_Data!$V$2:$V$1001,1))</f>
        <v>78.0344827586207</v>
      </c>
      <c r="AM286" s="16">
        <f>IF($V286&lt;&gt;1,"",IFERROR(($P286-$AL286)/SQRT(MAX(0,(SUMIFS(Clean_Data!$AK$2:$AK$1001,Clean_Data!$F$2:$F$1001,$F286,Clean_Data!$W$2:$W$1001,$W286,Clean_Data!$V$2:$V$1001,1)-COUNTIFS(Clean_Data!$F$2:$F$1001,$F286,Clean_Data!$W$2:$W$1001,$W286,Clean_Data!$V$2:$V$1001,1)*$AL286^2)/(COUNTIFS(Clean_Data!$F$2:$F$1001,$F286,Clean_Data!$W$2:$W$1001,$W286,Clean_Data!$V$2:$V$1001,1)-1))),""))</f>
        <v>-0.2666242146961</v>
      </c>
      <c r="AN286" s="5" t="str">
        <f>IF($AM286="","",IF($AM286&gt;=Lookups!$K$6,"High spike",IF($AM286&lt;=-Lookups!$K$6,"Unusual low","Normal")))</f>
        <v>Normal</v>
      </c>
      <c r="AO286" s="20">
        <f>IF($V286&lt;&gt;1,"",$P286+ROW()/100000)</f>
        <v>72.00286</v>
      </c>
      <c r="AP286" s="5">
        <f>IF($A286="","",IFERROR(MATCH($A286,Raw_D1!$A$2:$A$1001,0),""))</f>
        <v>285</v>
      </c>
      <c r="AQ286" s="5">
        <f>IF($A286="","",IFERROR(MATCH($A286,Raw_D2!$B$2:$B$1001,0),""))</f>
        <v>285</v>
      </c>
      <c r="AR286" s="5">
        <f>IF($A286="","",IFERROR(MATCH($A286,Raw_D3!$A$2:$A$1001,0),""))</f>
        <v/>
      </c>
    </row>
    <row r="287" spans="1:44" x14ac:dyDescent="0.25">
      <c r="A287" s="5">
        <v>286</v>
      </c>
      <c r="B287" s="11">
        <f>IF($A287="","",IF($AP287&lt;&gt;"",INDEX(Raw_D1!$B$2:$B$1001,$AP287),IF($AR287&lt;&gt;"",INDEX(Raw_D3!$B$2:$B$1001,$AR287),"")))</f>
        <v>40556.0</v>
      </c>
      <c r="C287" s="5">
        <f>IF($A287="","",IF($AP287&lt;&gt;"",INDEX(Raw_D1!$C$2:$C$1001,$AP287),IF($AR287&lt;&gt;"",INDEX(Raw_D3!$C$2:$C$1001,$AR287),"")))</f>
        <v>1</v>
      </c>
      <c r="D287" s="5">
        <f>IF($A287="","",IF($AP287&lt;&gt;"",INDEX(Raw_D1!$D$2:$D$1001,$AP287),IF($AR287&lt;&gt;"",INDEX(Raw_D3!$D$2:$D$1001,$AR287),"")))</f>
        <v>0</v>
      </c>
      <c r="E287" s="5">
        <f>IF($A287="","",IF($AP287&lt;&gt;"",INDEX(Raw_D1!$E$2:$E$1001,$AP287),IF($AR287&lt;&gt;"",INDEX(Raw_D3!$E$2:$E$1001,$AR287),"")))</f>
        <v>1</v>
      </c>
      <c r="F287" s="5">
        <f>IF($A287="","",IF($AP287&lt;&gt;"",INDEX(Raw_D1!$F$2:$F$1001,$AP287),IF($AR287&lt;&gt;"",INDEX(Raw_D3!$F$2:$F$1001,$AR287),"")))</f>
        <v>8</v>
      </c>
      <c r="G287" s="5">
        <f>IF($A287="","",IF($AP287&lt;&gt;"",IF(INDEX(Raw_D1!$G$2:$G$1001,$AP287),1,0),IF($AR287&lt;&gt;"",IF(INDEX(Raw_D3!$G$2:$G$1001,$AR287),1,0),"")))</f>
        <v>0</v>
      </c>
      <c r="H287" s="5">
        <f>IF($A287="","",IF($AP287&lt;&gt;"",INDEX(Raw_D1!$H$2:$H$1001,$AP287),IF($AR287&lt;&gt;"",INDEX(Raw_D3!$H$2:$H$1001,$AR287),"")))</f>
        <v>4</v>
      </c>
      <c r="I287" s="5">
        <f>IF($A287="","",IF($AP287&lt;&gt;"",INDEX(Raw_D1!$I$2:$I$1001,$AP287),IF($AR287&lt;&gt;"",INDEX(Raw_D3!$I$2:$I$1001,$AR287),"")))</f>
        <v>1</v>
      </c>
      <c r="J287" s="16">
        <f>IF($A287="","",IF($AP287&lt;&gt;"",INDEX(Raw_D1!$J$2:$J$1001,$AP287),IF($AR287&lt;&gt;"",INDEX(Raw_D3!$J$2:$J$1001,$AR287),"")))</f>
        <v>0.14</v>
      </c>
      <c r="K287" s="17">
        <f>IF($A287="","",IF($AQ287&lt;&gt;"",IF(INDEX(Raw_D2!$C$2:$C$1001,$AQ287)="","",INDEX(Raw_D2!$C$2:$C$1001,$AQ287)),IF($AR287&lt;&gt;"",IF(INDEX(Raw_D3!$K$2:$K$1001,$AR287)="","",INDEX(Raw_D3!$K$2:$K$1001,$AR287)),"")))</f>
        <v>0.1364</v>
      </c>
      <c r="L287" s="16">
        <f>IF($A287="","",IF($AQ287&lt;&gt;"",IF(INDEX(Raw_D2!$D$2:$D$1001,$AQ287)="","",INDEX(Raw_D2!$D$2:$D$1001,$AQ287)),IF($AR287&lt;&gt;"",IF(INDEX(Raw_D3!$L$2:$L$1001,$AR287)="","",INDEX(Raw_D3!$L$2:$L$1001,$AR287)),"")))</f>
        <v>0.5</v>
      </c>
      <c r="M287" s="17">
        <f>IF($A287="","",IF($AQ287&lt;&gt;"",IF(INDEX(Raw_D2!$E$2:$E$1001,$AQ287)="","",INDEX(Raw_D2!$E$2:$E$1001,$AQ287)),IF($AR287&lt;&gt;"",IF(INDEX(Raw_D3!$M$2:$M$1001,$AR287)="","",INDEX(Raw_D3!$M$2:$M$1001,$AR287)),"")))</f>
        <v>0.194</v>
      </c>
      <c r="N287" s="5">
        <f>IF($A287="","",IF($AQ287&lt;&gt;"",IF(INDEX(Raw_D2!$F$2:$F$1001,$AQ287)="","",INDEX(Raw_D2!$F$2:$F$1001,$AQ287)),IF($AR287&lt;&gt;"",IF(INDEX(Raw_D3!$N$2:$N$1001,$AR287)="","",INDEX(Raw_D3!$N$2:$N$1001,$AR287)),"")))</f>
        <v>5</v>
      </c>
      <c r="O287" s="5">
        <f>IF($A287="","",IF($AQ287&lt;&gt;"",IF(INDEX(Raw_D2!$G$2:$G$1001,$AQ287)="","",INDEX(Raw_D2!$G$2:$G$1001,$AQ287)),IF($AR287&lt;&gt;"",IF(INDEX(Raw_D3!$O$2:$O$1001,$AR287)="","",INDEX(Raw_D3!$O$2:$O$1001,$AR287)),"")))</f>
        <v>197</v>
      </c>
      <c r="P287" s="5">
        <f>IF($A287="","",IF($AQ287&lt;&gt;"",IF(INDEX(Raw_D2!$H$2:$H$1001,$AQ287)="","",INDEX(Raw_D2!$H$2:$H$1001,$AQ287)),IF($AR287&lt;&gt;"",IF(INDEX(Raw_D3!$P$2:$P$1001,$AR287)="","",INDEX(Raw_D3!$P$2:$P$1001,$AR287)),"")))</f>
        <v>202</v>
      </c>
      <c r="Q287" s="5" t="str">
        <f>IF($A287="","",IF(AND($AP287&lt;&gt;"",$AQ287&lt;&gt;""),"D1+D2",IF($AR287&lt;&gt;"","D3","Incomplete")))</f>
        <v>D1+D2</v>
      </c>
      <c r="R287" s="17">
        <f>IF($A287="","",IF($K287="",IF($J287="","",ROUND(Lookups!$K$5+Lookups!$K$4*$J287,4)),$K287))</f>
        <v>0.1364</v>
      </c>
      <c r="S287" s="5" t="str">
        <f>IF($A287="","",IF($K287="","Imputed","Original"))</f>
        <v>Original</v>
      </c>
      <c r="T287" s="5" t="str">
        <f>IF($A287="","",IF($P287="","Missing",IF($P287=$N287+$O287,"OK","Mismatch")))</f>
        <v>OK</v>
      </c>
      <c r="U287" s="5" t="str">
        <f>IF($A287="","",IF(COUNTIF($A$2:$A287,$A287)&gt;1,"Duplicate","Unique"))</f>
        <v>Unique</v>
      </c>
      <c r="V287" s="5">
        <f>IF($A287="","",IF(AND($U287="Unique",ISNUMBER($P287)),1,0))</f>
        <v>1</v>
      </c>
      <c r="W287" s="5" t="str">
        <f>IF($A287="","",IF(OR($H287=0,$H287=6),"Weekend","Weekday"))</f>
        <v>Weekday</v>
      </c>
      <c r="X287" s="5" t="str">
        <f>IF($A287="","",TEXT($B287,"ddd"))</f>
        <v>Thu</v>
      </c>
      <c r="Y287" s="5" t="str">
        <f>IF($A287="","",TEXT($B287,"mmm"))</f>
        <v>Jan</v>
      </c>
      <c r="Z287" s="5" t="str">
        <f>IF($A287="","",IFERROR(VLOOKUP($C287,Lookups!$D$4:$E$7,2,FALSE),"Unknown"))</f>
        <v>Winter</v>
      </c>
      <c r="AA287" s="5" t="str">
        <f>IF($A287="","",IFERROR(VLOOKUP($I287,Lookups!$A$4:$B$7,2,FALSE),"Unknown"))</f>
        <v>Clear</v>
      </c>
      <c r="AB287" s="5" t="str">
        <f>IF($A287="","",TEXT($F287,"00")&amp;":00")</f>
        <v>08:00</v>
      </c>
      <c r="AC287" s="5" t="str">
        <f>IF($A287="","",VLOOKUP($F287,Lookups!$G$4:$H$8,2,TRUE))</f>
        <v>Morning Peak (06-09)</v>
      </c>
      <c r="AD287" s="18">
        <f>IF($A287="","",IF($J287="","",ROUND($J287*41,1)))</f>
        <v>5.7</v>
      </c>
      <c r="AE287" s="18">
        <f>IF($A287="","",IF($R287="","",ROUND($R287*50,1)))</f>
        <v>6.8</v>
      </c>
      <c r="AF287" s="5">
        <f>IF($A287="","",IF($L287="","",ROUND($L287*100,0)))</f>
        <v>50</v>
      </c>
      <c r="AG287" s="18">
        <f>IF($A287="","",IF($M287="","",ROUND($M287*67,1)))</f>
        <v>13</v>
      </c>
      <c r="AH287" s="19">
        <f>IF($A287="","",IF($P287="","",IF($P287=0,0,$O287/$P287)))</f>
        <v>0.975247524752475</v>
      </c>
      <c r="AI287" s="5" t="str">
        <f>IF($A287="","",IF($P287="","",IF($P287&gt;=Lookups!$K$7,"High",IF($P287&lt;=Lookups!$K$8,"Low","Medium"))))</f>
        <v>High</v>
      </c>
      <c r="AJ287" s="5" t="str">
        <f>IF($A287="","",IF($AD287="","",IF($AD287&lt;5,"Under 5 C",IF($AD287&lt;10,"5-10 C",IF($AD287&lt;15,"10-15 C","15 C and above")))))</f>
        <v>5-10 C</v>
      </c>
      <c r="AK287" s="5">
        <f>IF($A287="","",IF($P287="","",$P287^2))</f>
        <v>40804</v>
      </c>
      <c r="AL287" s="18">
        <f>IF($V287&lt;&gt;1,"",AVERAGEIFS(Clean_Data!$P$2:$P$1001,Clean_Data!$F$2:$F$1001,$F287,Clean_Data!$W$2:$W$1001,$W287,Clean_Data!$V$2:$V$1001,1))</f>
        <v>183.535714285714</v>
      </c>
      <c r="AM287" s="16">
        <f>IF($V287&lt;&gt;1,"",IFERROR(($P287-$AL287)/SQRT(MAX(0,(SUMIFS(Clean_Data!$AK$2:$AK$1001,Clean_Data!$F$2:$F$1001,$F287,Clean_Data!$W$2:$W$1001,$W287,Clean_Data!$V$2:$V$1001,1)-COUNTIFS(Clean_Data!$F$2:$F$1001,$F287,Clean_Data!$W$2:$W$1001,$W287,Clean_Data!$V$2:$V$1001,1)*$AL287^2)/(COUNTIFS(Clean_Data!$F$2:$F$1001,$F287,Clean_Data!$W$2:$W$1001,$W287,Clean_Data!$V$2:$V$1001,1)-1))),""))</f>
        <v>0.378831995329454</v>
      </c>
      <c r="AN287" s="5" t="str">
        <f>IF($AM287="","",IF($AM287&gt;=Lookups!$K$6,"High spike",IF($AM287&lt;=-Lookups!$K$6,"Unusual low","Normal")))</f>
        <v>Normal</v>
      </c>
      <c r="AO287" s="20">
        <f>IF($V287&lt;&gt;1,"",$P287+ROW()/100000)</f>
        <v>202.00287</v>
      </c>
      <c r="AP287" s="5">
        <f>IF($A287="","",IFERROR(MATCH($A287,Raw_D1!$A$2:$A$1001,0),""))</f>
        <v>286</v>
      </c>
      <c r="AQ287" s="5">
        <f>IF($A287="","",IFERROR(MATCH($A287,Raw_D2!$B$2:$B$1001,0),""))</f>
        <v>286</v>
      </c>
      <c r="AR287" s="5">
        <f>IF($A287="","",IFERROR(MATCH($A287,Raw_D3!$A$2:$A$1001,0),""))</f>
        <v/>
      </c>
    </row>
    <row r="288" spans="1:44" x14ac:dyDescent="0.25">
      <c r="A288" s="5">
        <v>287</v>
      </c>
      <c r="B288" s="11">
        <f>IF($A288="","",IF($AP288&lt;&gt;"",INDEX(Raw_D1!$B$2:$B$1001,$AP288),IF($AR288&lt;&gt;"",INDEX(Raw_D3!$B$2:$B$1001,$AR288),"")))</f>
        <v>40556.0</v>
      </c>
      <c r="C288" s="5">
        <f>IF($A288="","",IF($AP288&lt;&gt;"",INDEX(Raw_D1!$C$2:$C$1001,$AP288),IF($AR288&lt;&gt;"",INDEX(Raw_D3!$C$2:$C$1001,$AR288),"")))</f>
        <v>1</v>
      </c>
      <c r="D288" s="5">
        <f>IF($A288="","",IF($AP288&lt;&gt;"",INDEX(Raw_D1!$D$2:$D$1001,$AP288),IF($AR288&lt;&gt;"",INDEX(Raw_D3!$D$2:$D$1001,$AR288),"")))</f>
        <v>0</v>
      </c>
      <c r="E288" s="5">
        <f>IF($A288="","",IF($AP288&lt;&gt;"",INDEX(Raw_D1!$E$2:$E$1001,$AP288),IF($AR288&lt;&gt;"",INDEX(Raw_D3!$E$2:$E$1001,$AR288),"")))</f>
        <v>1</v>
      </c>
      <c r="F288" s="5">
        <f>IF($A288="","",IF($AP288&lt;&gt;"",INDEX(Raw_D1!$F$2:$F$1001,$AP288),IF($AR288&lt;&gt;"",INDEX(Raw_D3!$F$2:$F$1001,$AR288),"")))</f>
        <v>9</v>
      </c>
      <c r="G288" s="5">
        <f>IF($A288="","",IF($AP288&lt;&gt;"",IF(INDEX(Raw_D1!$G$2:$G$1001,$AP288),1,0),IF($AR288&lt;&gt;"",IF(INDEX(Raw_D3!$G$2:$G$1001,$AR288),1,0),"")))</f>
        <v>0</v>
      </c>
      <c r="H288" s="5">
        <f>IF($A288="","",IF($AP288&lt;&gt;"",INDEX(Raw_D1!$H$2:$H$1001,$AP288),IF($AR288&lt;&gt;"",INDEX(Raw_D3!$H$2:$H$1001,$AR288),"")))</f>
        <v>4</v>
      </c>
      <c r="I288" s="5">
        <f>IF($A288="","",IF($AP288&lt;&gt;"",INDEX(Raw_D1!$I$2:$I$1001,$AP288),IF($AR288&lt;&gt;"",INDEX(Raw_D3!$I$2:$I$1001,$AR288),"")))</f>
        <v>1</v>
      </c>
      <c r="J288" s="16">
        <f>IF($A288="","",IF($AP288&lt;&gt;"",INDEX(Raw_D1!$J$2:$J$1001,$AP288),IF($AR288&lt;&gt;"",INDEX(Raw_D3!$J$2:$J$1001,$AR288),"")))</f>
        <v>0.14</v>
      </c>
      <c r="K288" s="17">
        <f>IF($A288="","",IF($AQ288&lt;&gt;"",IF(INDEX(Raw_D2!$C$2:$C$1001,$AQ288)="","",INDEX(Raw_D2!$C$2:$C$1001,$AQ288)),IF($AR288&lt;&gt;"",IF(INDEX(Raw_D3!$K$2:$K$1001,$AR288)="","",INDEX(Raw_D3!$K$2:$K$1001,$AR288)),"")))</f>
        <v>0.1212</v>
      </c>
      <c r="L288" s="16">
        <f>IF($A288="","",IF($AQ288&lt;&gt;"",IF(INDEX(Raw_D2!$D$2:$D$1001,$AQ288)="","",INDEX(Raw_D2!$D$2:$D$1001,$AQ288)),IF($AR288&lt;&gt;"",IF(INDEX(Raw_D3!$L$2:$L$1001,$AR288)="","",INDEX(Raw_D3!$L$2:$L$1001,$AR288)),"")))</f>
        <v>0.5</v>
      </c>
      <c r="M288" s="17">
        <f>IF($A288="","",IF($AQ288&lt;&gt;"",IF(INDEX(Raw_D2!$E$2:$E$1001,$AQ288)="","",INDEX(Raw_D2!$E$2:$E$1001,$AQ288)),IF($AR288&lt;&gt;"",IF(INDEX(Raw_D3!$M$2:$M$1001,$AR288)="","",INDEX(Raw_D3!$M$2:$M$1001,$AR288)),"")))</f>
        <v>0.3284</v>
      </c>
      <c r="N288" s="5">
        <f>IF($A288="","",IF($AQ288&lt;&gt;"",IF(INDEX(Raw_D2!$F$2:$F$1001,$AQ288)="","",INDEX(Raw_D2!$F$2:$F$1001,$AQ288)),IF($AR288&lt;&gt;"",IF(INDEX(Raw_D3!$N$2:$N$1001,$AR288)="","",INDEX(Raw_D3!$N$2:$N$1001,$AR288)),"")))</f>
        <v>2</v>
      </c>
      <c r="O288" s="5">
        <f>IF($A288="","",IF($AQ288&lt;&gt;"",IF(INDEX(Raw_D2!$G$2:$G$1001,$AQ288)="","",INDEX(Raw_D2!$G$2:$G$1001,$AQ288)),IF($AR288&lt;&gt;"",IF(INDEX(Raw_D3!$O$2:$O$1001,$AR288)="","",INDEX(Raw_D3!$O$2:$O$1001,$AR288)),"")))</f>
        <v>137</v>
      </c>
      <c r="P288" s="5">
        <f>IF($A288="","",IF($AQ288&lt;&gt;"",IF(INDEX(Raw_D2!$H$2:$H$1001,$AQ288)="","",INDEX(Raw_D2!$H$2:$H$1001,$AQ288)),IF($AR288&lt;&gt;"",IF(INDEX(Raw_D3!$P$2:$P$1001,$AR288)="","",INDEX(Raw_D3!$P$2:$P$1001,$AR288)),"")))</f>
        <v>139</v>
      </c>
      <c r="Q288" s="5" t="str">
        <f>IF($A288="","",IF(AND($AP288&lt;&gt;"",$AQ288&lt;&gt;""),"D1+D2",IF($AR288&lt;&gt;"","D3","Incomplete")))</f>
        <v>D1+D2</v>
      </c>
      <c r="R288" s="17">
        <f>IF($A288="","",IF($K288="",IF($J288="","",ROUND(Lookups!$K$5+Lookups!$K$4*$J288,4)),$K288))</f>
        <v>0.1212</v>
      </c>
      <c r="S288" s="5" t="str">
        <f>IF($A288="","",IF($K288="","Imputed","Original"))</f>
        <v>Original</v>
      </c>
      <c r="T288" s="5" t="str">
        <f>IF($A288="","",IF($P288="","Missing",IF($P288=$N288+$O288,"OK","Mismatch")))</f>
        <v>OK</v>
      </c>
      <c r="U288" s="5" t="str">
        <f>IF($A288="","",IF(COUNTIF($A$2:$A288,$A288)&gt;1,"Duplicate","Unique"))</f>
        <v>Unique</v>
      </c>
      <c r="V288" s="5">
        <f>IF($A288="","",IF(AND($U288="Unique",ISNUMBER($P288)),1,0))</f>
        <v>1</v>
      </c>
      <c r="W288" s="5" t="str">
        <f>IF($A288="","",IF(OR($H288=0,$H288=6),"Weekend","Weekday"))</f>
        <v>Weekday</v>
      </c>
      <c r="X288" s="5" t="str">
        <f>IF($A288="","",TEXT($B288,"ddd"))</f>
        <v>Thu</v>
      </c>
      <c r="Y288" s="5" t="str">
        <f>IF($A288="","",TEXT($B288,"mmm"))</f>
        <v>Jan</v>
      </c>
      <c r="Z288" s="5" t="str">
        <f>IF($A288="","",IFERROR(VLOOKUP($C288,Lookups!$D$4:$E$7,2,FALSE),"Unknown"))</f>
        <v>Winter</v>
      </c>
      <c r="AA288" s="5" t="str">
        <f>IF($A288="","",IFERROR(VLOOKUP($I288,Lookups!$A$4:$B$7,2,FALSE),"Unknown"))</f>
        <v>Clear</v>
      </c>
      <c r="AB288" s="5" t="str">
        <f>IF($A288="","",TEXT($F288,"00")&amp;":00")</f>
        <v>09:00</v>
      </c>
      <c r="AC288" s="5" t="str">
        <f>IF($A288="","",VLOOKUP($F288,Lookups!$G$4:$H$8,2,TRUE))</f>
        <v>Morning Peak (06-09)</v>
      </c>
      <c r="AD288" s="18">
        <f>IF($A288="","",IF($J288="","",ROUND($J288*41,1)))</f>
        <v>5.7</v>
      </c>
      <c r="AE288" s="18">
        <f>IF($A288="","",IF($R288="","",ROUND($R288*50,1)))</f>
        <v>6.1</v>
      </c>
      <c r="AF288" s="5">
        <f>IF($A288="","",IF($L288="","",ROUND($L288*100,0)))</f>
        <v>50</v>
      </c>
      <c r="AG288" s="18">
        <f>IF($A288="","",IF($M288="","",ROUND($M288*67,1)))</f>
        <v>22</v>
      </c>
      <c r="AH288" s="19">
        <f>IF($A288="","",IF($P288="","",IF($P288=0,0,$O288/$P288)))</f>
        <v>0.985611510791367</v>
      </c>
      <c r="AI288" s="5" t="str">
        <f>IF($A288="","",IF($P288="","",IF($P288&gt;=Lookups!$K$7,"High",IF($P288&lt;=Lookups!$K$8,"Low","Medium"))))</f>
        <v>High</v>
      </c>
      <c r="AJ288" s="5" t="str">
        <f>IF($A288="","",IF($AD288="","",IF($AD288&lt;5,"Under 5 C",IF($AD288&lt;10,"5-10 C",IF($AD288&lt;15,"10-15 C","15 C and above")))))</f>
        <v>5-10 C</v>
      </c>
      <c r="AK288" s="5">
        <f>IF($A288="","",IF($P288="","",$P288^2))</f>
        <v>19321</v>
      </c>
      <c r="AL288" s="18">
        <f>IF($V288&lt;&gt;1,"",AVERAGEIFS(Clean_Data!$P$2:$P$1001,Clean_Data!$F$2:$F$1001,$F288,Clean_Data!$W$2:$W$1001,$W288,Clean_Data!$V$2:$V$1001,1))</f>
        <v>115.678571428571</v>
      </c>
      <c r="AM288" s="16">
        <f>IF($V288&lt;&gt;1,"",IFERROR(($P288-$AL288)/SQRT(MAX(0,(SUMIFS(Clean_Data!$AK$2:$AK$1001,Clean_Data!$F$2:$F$1001,$F288,Clean_Data!$W$2:$W$1001,$W288,Clean_Data!$V$2:$V$1001,1)-COUNTIFS(Clean_Data!$F$2:$F$1001,$F288,Clean_Data!$W$2:$W$1001,$W288,Clean_Data!$V$2:$V$1001,1)*$AL288^2)/(COUNTIFS(Clean_Data!$F$2:$F$1001,$F288,Clean_Data!$W$2:$W$1001,$W288,Clean_Data!$V$2:$V$1001,1)-1))),""))</f>
        <v>0.904691081684797</v>
      </c>
      <c r="AN288" s="5" t="str">
        <f>IF($AM288="","",IF($AM288&gt;=Lookups!$K$6,"High spike",IF($AM288&lt;=-Lookups!$K$6,"Unusual low","Normal")))</f>
        <v>Normal</v>
      </c>
      <c r="AO288" s="20">
        <f>IF($V288&lt;&gt;1,"",$P288+ROW()/100000)</f>
        <v>139.00288</v>
      </c>
      <c r="AP288" s="5">
        <f>IF($A288="","",IFERROR(MATCH($A288,Raw_D1!$A$2:$A$1001,0),""))</f>
        <v>287</v>
      </c>
      <c r="AQ288" s="5">
        <f>IF($A288="","",IFERROR(MATCH($A288,Raw_D2!$B$2:$B$1001,0),""))</f>
        <v>287</v>
      </c>
      <c r="AR288" s="5">
        <f>IF($A288="","",IFERROR(MATCH($A288,Raw_D3!$A$2:$A$1001,0),""))</f>
        <v/>
      </c>
    </row>
    <row r="289" spans="1:44" x14ac:dyDescent="0.25">
      <c r="A289" s="5">
        <v>288</v>
      </c>
      <c r="B289" s="11">
        <f>IF($A289="","",IF($AP289&lt;&gt;"",INDEX(Raw_D1!$B$2:$B$1001,$AP289),IF($AR289&lt;&gt;"",INDEX(Raw_D3!$B$2:$B$1001,$AR289),"")))</f>
        <v>40556.0</v>
      </c>
      <c r="C289" s="5">
        <f>IF($A289="","",IF($AP289&lt;&gt;"",INDEX(Raw_D1!$C$2:$C$1001,$AP289),IF($AR289&lt;&gt;"",INDEX(Raw_D3!$C$2:$C$1001,$AR289),"")))</f>
        <v>1</v>
      </c>
      <c r="D289" s="5">
        <f>IF($A289="","",IF($AP289&lt;&gt;"",INDEX(Raw_D1!$D$2:$D$1001,$AP289),IF($AR289&lt;&gt;"",INDEX(Raw_D3!$D$2:$D$1001,$AR289),"")))</f>
        <v>0</v>
      </c>
      <c r="E289" s="5">
        <f>IF($A289="","",IF($AP289&lt;&gt;"",INDEX(Raw_D1!$E$2:$E$1001,$AP289),IF($AR289&lt;&gt;"",INDEX(Raw_D3!$E$2:$E$1001,$AR289),"")))</f>
        <v>1</v>
      </c>
      <c r="F289" s="5">
        <f>IF($A289="","",IF($AP289&lt;&gt;"",INDEX(Raw_D1!$F$2:$F$1001,$AP289),IF($AR289&lt;&gt;"",INDEX(Raw_D3!$F$2:$F$1001,$AR289),"")))</f>
        <v>10</v>
      </c>
      <c r="G289" s="5">
        <f>IF($A289="","",IF($AP289&lt;&gt;"",IF(INDEX(Raw_D1!$G$2:$G$1001,$AP289),1,0),IF($AR289&lt;&gt;"",IF(INDEX(Raw_D3!$G$2:$G$1001,$AR289),1,0),"")))</f>
        <v>0</v>
      </c>
      <c r="H289" s="5">
        <f>IF($A289="","",IF($AP289&lt;&gt;"",INDEX(Raw_D1!$H$2:$H$1001,$AP289),IF($AR289&lt;&gt;"",INDEX(Raw_D3!$H$2:$H$1001,$AR289),"")))</f>
        <v>4</v>
      </c>
      <c r="I289" s="5">
        <f>IF($A289="","",IF($AP289&lt;&gt;"",INDEX(Raw_D1!$I$2:$I$1001,$AP289),IF($AR289&lt;&gt;"",INDEX(Raw_D3!$I$2:$I$1001,$AR289),"")))</f>
        <v>2</v>
      </c>
      <c r="J289" s="16">
        <f>IF($A289="","",IF($AP289&lt;&gt;"",INDEX(Raw_D1!$J$2:$J$1001,$AP289),IF($AR289&lt;&gt;"",INDEX(Raw_D3!$J$2:$J$1001,$AR289),"")))</f>
        <v>0.16</v>
      </c>
      <c r="K289" s="17">
        <f>IF($A289="","",IF($AQ289&lt;&gt;"",IF(INDEX(Raw_D2!$C$2:$C$1001,$AQ289)="","",INDEX(Raw_D2!$C$2:$C$1001,$AQ289)),IF($AR289&lt;&gt;"",IF(INDEX(Raw_D3!$K$2:$K$1001,$AR289)="","",INDEX(Raw_D3!$K$2:$K$1001,$AR289)),"")))</f>
        <v>0.1364</v>
      </c>
      <c r="L289" s="16">
        <f>IF($A289="","",IF($AQ289&lt;&gt;"",IF(INDEX(Raw_D2!$D$2:$D$1001,$AQ289)="","",INDEX(Raw_D2!$D$2:$D$1001,$AQ289)),IF($AR289&lt;&gt;"",IF(INDEX(Raw_D3!$L$2:$L$1001,$AR289)="","",INDEX(Raw_D3!$L$2:$L$1001,$AR289)),"")))</f>
        <v>0.5</v>
      </c>
      <c r="M289" s="17">
        <f>IF($A289="","",IF($AQ289&lt;&gt;"",IF(INDEX(Raw_D2!$E$2:$E$1001,$AQ289)="","",INDEX(Raw_D2!$E$2:$E$1001,$AQ289)),IF($AR289&lt;&gt;"",IF(INDEX(Raw_D3!$M$2:$M$1001,$AR289)="","",INDEX(Raw_D3!$M$2:$M$1001,$AR289)),"")))</f>
        <v>0.3582</v>
      </c>
      <c r="N289" s="5">
        <f>IF($A289="","",IF($AQ289&lt;&gt;"",IF(INDEX(Raw_D2!$F$2:$F$1001,$AQ289)="","",INDEX(Raw_D2!$F$2:$F$1001,$AQ289)),IF($AR289&lt;&gt;"",IF(INDEX(Raw_D3!$N$2:$N$1001,$AR289)="","",INDEX(Raw_D3!$N$2:$N$1001,$AR289)),"")))</f>
        <v>2</v>
      </c>
      <c r="O289" s="5">
        <f>IF($A289="","",IF($AQ289&lt;&gt;"",IF(INDEX(Raw_D2!$G$2:$G$1001,$AQ289)="","",INDEX(Raw_D2!$G$2:$G$1001,$AQ289)),IF($AR289&lt;&gt;"",IF(INDEX(Raw_D3!$O$2:$O$1001,$AR289)="","",INDEX(Raw_D3!$O$2:$O$1001,$AR289)),"")))</f>
        <v>36</v>
      </c>
      <c r="P289" s="5">
        <f>IF($A289="","",IF($AQ289&lt;&gt;"",IF(INDEX(Raw_D2!$H$2:$H$1001,$AQ289)="","",INDEX(Raw_D2!$H$2:$H$1001,$AQ289)),IF($AR289&lt;&gt;"",IF(INDEX(Raw_D3!$P$2:$P$1001,$AR289)="","",INDEX(Raw_D3!$P$2:$P$1001,$AR289)),"")))</f>
        <v>38</v>
      </c>
      <c r="Q289" s="5" t="str">
        <f>IF($A289="","",IF(AND($AP289&lt;&gt;"",$AQ289&lt;&gt;""),"D1+D2",IF($AR289&lt;&gt;"","D3","Incomplete")))</f>
        <v>D1+D2</v>
      </c>
      <c r="R289" s="17">
        <f>IF($A289="","",IF($K289="",IF($J289="","",ROUND(Lookups!$K$5+Lookups!$K$4*$J289,4)),$K289))</f>
        <v>0.1364</v>
      </c>
      <c r="S289" s="5" t="str">
        <f>IF($A289="","",IF($K289="","Imputed","Original"))</f>
        <v>Original</v>
      </c>
      <c r="T289" s="5" t="str">
        <f>IF($A289="","",IF($P289="","Missing",IF($P289=$N289+$O289,"OK","Mismatch")))</f>
        <v>OK</v>
      </c>
      <c r="U289" s="5" t="str">
        <f>IF($A289="","",IF(COUNTIF($A$2:$A289,$A289)&gt;1,"Duplicate","Unique"))</f>
        <v>Unique</v>
      </c>
      <c r="V289" s="5">
        <f>IF($A289="","",IF(AND($U289="Unique",ISNUMBER($P289)),1,0))</f>
        <v>1</v>
      </c>
      <c r="W289" s="5" t="str">
        <f>IF($A289="","",IF(OR($H289=0,$H289=6),"Weekend","Weekday"))</f>
        <v>Weekday</v>
      </c>
      <c r="X289" s="5" t="str">
        <f>IF($A289="","",TEXT($B289,"ddd"))</f>
        <v>Thu</v>
      </c>
      <c r="Y289" s="5" t="str">
        <f>IF($A289="","",TEXT($B289,"mmm"))</f>
        <v>Jan</v>
      </c>
      <c r="Z289" s="5" t="str">
        <f>IF($A289="","",IFERROR(VLOOKUP($C289,Lookups!$D$4:$E$7,2,FALSE),"Unknown"))</f>
        <v>Winter</v>
      </c>
      <c r="AA289" s="5" t="str">
        <f>IF($A289="","",IFERROR(VLOOKUP($I289,Lookups!$A$4:$B$7,2,FALSE),"Unknown"))</f>
        <v>Mist/Cloudy</v>
      </c>
      <c r="AB289" s="5" t="str">
        <f>IF($A289="","",TEXT($F289,"00")&amp;":00")</f>
        <v>10:00</v>
      </c>
      <c r="AC289" s="5" t="str">
        <f>IF($A289="","",VLOOKUP($F289,Lookups!$G$4:$H$8,2,TRUE))</f>
        <v>Midday (10-15)</v>
      </c>
      <c r="AD289" s="18">
        <f>IF($A289="","",IF($J289="","",ROUND($J289*41,1)))</f>
        <v>6.6</v>
      </c>
      <c r="AE289" s="18">
        <f>IF($A289="","",IF($R289="","",ROUND($R289*50,1)))</f>
        <v>6.8</v>
      </c>
      <c r="AF289" s="5">
        <f>IF($A289="","",IF($L289="","",ROUND($L289*100,0)))</f>
        <v>50</v>
      </c>
      <c r="AG289" s="18">
        <f>IF($A289="","",IF($M289="","",ROUND($M289*67,1)))</f>
        <v>24</v>
      </c>
      <c r="AH289" s="19">
        <f>IF($A289="","",IF($P289="","",IF($P289=0,0,$O289/$P289)))</f>
        <v>0.947368421052632</v>
      </c>
      <c r="AI289" s="5" t="str">
        <f>IF($A289="","",IF($P289="","",IF($P289&gt;=Lookups!$K$7,"High",IF($P289&lt;=Lookups!$K$8,"Low","Medium"))))</f>
        <v>Medium</v>
      </c>
      <c r="AJ289" s="5" t="str">
        <f>IF($A289="","",IF($AD289="","",IF($AD289&lt;5,"Under 5 C",IF($AD289&lt;10,"5-10 C",IF($AD289&lt;15,"10-15 C","15 C and above")))))</f>
        <v>5-10 C</v>
      </c>
      <c r="AK289" s="5">
        <f>IF($A289="","",IF($P289="","",$P289^2))</f>
        <v>1444</v>
      </c>
      <c r="AL289" s="18">
        <f>IF($V289&lt;&gt;1,"",AVERAGEIFS(Clean_Data!$P$2:$P$1001,Clean_Data!$F$2:$F$1001,$F289,Clean_Data!$W$2:$W$1001,$W289,Clean_Data!$V$2:$V$1001,1))</f>
        <v>49.0714285714286</v>
      </c>
      <c r="AM289" s="16">
        <f>IF($V289&lt;&gt;1,"",IFERROR(($P289-$AL289)/SQRT(MAX(0,(SUMIFS(Clean_Data!$AK$2:$AK$1001,Clean_Data!$F$2:$F$1001,$F289,Clean_Data!$W$2:$W$1001,$W289,Clean_Data!$V$2:$V$1001,1)-COUNTIFS(Clean_Data!$F$2:$F$1001,$F289,Clean_Data!$W$2:$W$1001,$W289,Clean_Data!$V$2:$V$1001,1)*$AL289^2)/(COUNTIFS(Clean_Data!$F$2:$F$1001,$F289,Clean_Data!$W$2:$W$1001,$W289,Clean_Data!$V$2:$V$1001,1)-1))),""))</f>
        <v>-1.09706024712091</v>
      </c>
      <c r="AN289" s="5" t="str">
        <f>IF($AM289="","",IF($AM289&gt;=Lookups!$K$6,"High spike",IF($AM289&lt;=-Lookups!$K$6,"Unusual low","Normal")))</f>
        <v>Normal</v>
      </c>
      <c r="AO289" s="20">
        <f>IF($V289&lt;&gt;1,"",$P289+ROW()/100000)</f>
        <v>38.00289</v>
      </c>
      <c r="AP289" s="5">
        <f>IF($A289="","",IFERROR(MATCH($A289,Raw_D1!$A$2:$A$1001,0),""))</f>
        <v>288</v>
      </c>
      <c r="AQ289" s="5">
        <f>IF($A289="","",IFERROR(MATCH($A289,Raw_D2!$B$2:$B$1001,0),""))</f>
        <v>288</v>
      </c>
      <c r="AR289" s="5">
        <f>IF($A289="","",IFERROR(MATCH($A289,Raw_D3!$A$2:$A$1001,0),""))</f>
        <v/>
      </c>
    </row>
    <row r="290" spans="1:44" x14ac:dyDescent="0.25">
      <c r="A290" s="5">
        <v>289</v>
      </c>
      <c r="B290" s="11">
        <f>IF($A290="","",IF($AP290&lt;&gt;"",INDEX(Raw_D1!$B$2:$B$1001,$AP290),IF($AR290&lt;&gt;"",INDEX(Raw_D3!$B$2:$B$1001,$AR290),"")))</f>
        <v>40556.0</v>
      </c>
      <c r="C290" s="5">
        <f>IF($A290="","",IF($AP290&lt;&gt;"",INDEX(Raw_D1!$C$2:$C$1001,$AP290),IF($AR290&lt;&gt;"",INDEX(Raw_D3!$C$2:$C$1001,$AR290),"")))</f>
        <v>1</v>
      </c>
      <c r="D290" s="5">
        <f>IF($A290="","",IF($AP290&lt;&gt;"",INDEX(Raw_D1!$D$2:$D$1001,$AP290),IF($AR290&lt;&gt;"",INDEX(Raw_D3!$D$2:$D$1001,$AR290),"")))</f>
        <v>0</v>
      </c>
      <c r="E290" s="5">
        <f>IF($A290="","",IF($AP290&lt;&gt;"",INDEX(Raw_D1!$E$2:$E$1001,$AP290),IF($AR290&lt;&gt;"",INDEX(Raw_D3!$E$2:$E$1001,$AR290),"")))</f>
        <v>1</v>
      </c>
      <c r="F290" s="5">
        <f>IF($A290="","",IF($AP290&lt;&gt;"",INDEX(Raw_D1!$F$2:$F$1001,$AP290),IF($AR290&lt;&gt;"",INDEX(Raw_D3!$F$2:$F$1001,$AR290),"")))</f>
        <v>11</v>
      </c>
      <c r="G290" s="5">
        <f>IF($A290="","",IF($AP290&lt;&gt;"",IF(INDEX(Raw_D1!$G$2:$G$1001,$AP290),1,0),IF($AR290&lt;&gt;"",IF(INDEX(Raw_D3!$G$2:$G$1001,$AR290),1,0),"")))</f>
        <v>0</v>
      </c>
      <c r="H290" s="5">
        <f>IF($A290="","",IF($AP290&lt;&gt;"",INDEX(Raw_D1!$H$2:$H$1001,$AP290),IF($AR290&lt;&gt;"",INDEX(Raw_D3!$H$2:$H$1001,$AR290),"")))</f>
        <v>4</v>
      </c>
      <c r="I290" s="5">
        <f>IF($A290="","",IF($AP290&lt;&gt;"",INDEX(Raw_D1!$I$2:$I$1001,$AP290),IF($AR290&lt;&gt;"",INDEX(Raw_D3!$I$2:$I$1001,$AR290),"")))</f>
        <v>2</v>
      </c>
      <c r="J290" s="16">
        <f>IF($A290="","",IF($AP290&lt;&gt;"",INDEX(Raw_D1!$J$2:$J$1001,$AP290),IF($AR290&lt;&gt;"",INDEX(Raw_D3!$J$2:$J$1001,$AR290),"")))</f>
        <v>0.2</v>
      </c>
      <c r="K290" s="17">
        <f>IF($A290="","",IF($AQ290&lt;&gt;"",IF(INDEX(Raw_D2!$C$2:$C$1001,$AQ290)="","",INDEX(Raw_D2!$C$2:$C$1001,$AQ290)),IF($AR290&lt;&gt;"",IF(INDEX(Raw_D3!$K$2:$K$1001,$AR290)="","",INDEX(Raw_D3!$K$2:$K$1001,$AR290)),"")))</f>
        <v>0.1667</v>
      </c>
      <c r="L290" s="16">
        <f>IF($A290="","",IF($AQ290&lt;&gt;"",IF(INDEX(Raw_D2!$D$2:$D$1001,$AQ290)="","",INDEX(Raw_D2!$D$2:$D$1001,$AQ290)),IF($AR290&lt;&gt;"",IF(INDEX(Raw_D3!$L$2:$L$1001,$AR290)="","",INDEX(Raw_D3!$L$2:$L$1001,$AR290)),"")))</f>
        <v>0.44</v>
      </c>
      <c r="M290" s="17">
        <f>IF($A290="","",IF($AQ290&lt;&gt;"",IF(INDEX(Raw_D2!$E$2:$E$1001,$AQ290)="","",INDEX(Raw_D2!$E$2:$E$1001,$AQ290)),IF($AR290&lt;&gt;"",IF(INDEX(Raw_D3!$M$2:$M$1001,$AR290)="","",INDEX(Raw_D3!$M$2:$M$1001,$AR290)),"")))</f>
        <v>0.4478</v>
      </c>
      <c r="N290" s="5">
        <f>IF($A290="","",IF($AQ290&lt;&gt;"",IF(INDEX(Raw_D2!$F$2:$F$1001,$AQ290)="","",INDEX(Raw_D2!$F$2:$F$1001,$AQ290)),IF($AR290&lt;&gt;"",IF(INDEX(Raw_D3!$N$2:$N$1001,$AR290)="","",INDEX(Raw_D3!$N$2:$N$1001,$AR290)),"")))</f>
        <v>4</v>
      </c>
      <c r="O290" s="5">
        <f>IF($A290="","",IF($AQ290&lt;&gt;"",IF(INDEX(Raw_D2!$G$2:$G$1001,$AQ290)="","",INDEX(Raw_D2!$G$2:$G$1001,$AQ290)),IF($AR290&lt;&gt;"",IF(INDEX(Raw_D3!$O$2:$O$1001,$AR290)="","",INDEX(Raw_D3!$O$2:$O$1001,$AR290)),"")))</f>
        <v>33</v>
      </c>
      <c r="P290" s="5">
        <f>IF($A290="","",IF($AQ290&lt;&gt;"",IF(INDEX(Raw_D2!$H$2:$H$1001,$AQ290)="","",INDEX(Raw_D2!$H$2:$H$1001,$AQ290)),IF($AR290&lt;&gt;"",IF(INDEX(Raw_D3!$P$2:$P$1001,$AR290)="","",INDEX(Raw_D3!$P$2:$P$1001,$AR290)),"")))</f>
        <v>37</v>
      </c>
      <c r="Q290" s="5" t="str">
        <f>IF($A290="","",IF(AND($AP290&lt;&gt;"",$AQ290&lt;&gt;""),"D1+D2",IF($AR290&lt;&gt;"","D3","Incomplete")))</f>
        <v>D1+D2</v>
      </c>
      <c r="R290" s="17">
        <f>IF($A290="","",IF($K290="",IF($J290="","",ROUND(Lookups!$K$5+Lookups!$K$4*$J290,4)),$K290))</f>
        <v>0.1667</v>
      </c>
      <c r="S290" s="5" t="str">
        <f>IF($A290="","",IF($K290="","Imputed","Original"))</f>
        <v>Original</v>
      </c>
      <c r="T290" s="5" t="str">
        <f>IF($A290="","",IF($P290="","Missing",IF($P290=$N290+$O290,"OK","Mismatch")))</f>
        <v>OK</v>
      </c>
      <c r="U290" s="5" t="str">
        <f>IF($A290="","",IF(COUNTIF($A$2:$A290,$A290)&gt;1,"Duplicate","Unique"))</f>
        <v>Unique</v>
      </c>
      <c r="V290" s="5">
        <f>IF($A290="","",IF(AND($U290="Unique",ISNUMBER($P290)),1,0))</f>
        <v>1</v>
      </c>
      <c r="W290" s="5" t="str">
        <f>IF($A290="","",IF(OR($H290=0,$H290=6),"Weekend","Weekday"))</f>
        <v>Weekday</v>
      </c>
      <c r="X290" s="5" t="str">
        <f>IF($A290="","",TEXT($B290,"ddd"))</f>
        <v>Thu</v>
      </c>
      <c r="Y290" s="5" t="str">
        <f>IF($A290="","",TEXT($B290,"mmm"))</f>
        <v>Jan</v>
      </c>
      <c r="Z290" s="5" t="str">
        <f>IF($A290="","",IFERROR(VLOOKUP($C290,Lookups!$D$4:$E$7,2,FALSE),"Unknown"))</f>
        <v>Winter</v>
      </c>
      <c r="AA290" s="5" t="str">
        <f>IF($A290="","",IFERROR(VLOOKUP($I290,Lookups!$A$4:$B$7,2,FALSE),"Unknown"))</f>
        <v>Mist/Cloudy</v>
      </c>
      <c r="AB290" s="5" t="str">
        <f>IF($A290="","",TEXT($F290,"00")&amp;":00")</f>
        <v>11:00</v>
      </c>
      <c r="AC290" s="5" t="str">
        <f>IF($A290="","",VLOOKUP($F290,Lookups!$G$4:$H$8,2,TRUE))</f>
        <v>Midday (10-15)</v>
      </c>
      <c r="AD290" s="18">
        <f>IF($A290="","",IF($J290="","",ROUND($J290*41,1)))</f>
        <v>8.2</v>
      </c>
      <c r="AE290" s="18">
        <f>IF($A290="","",IF($R290="","",ROUND($R290*50,1)))</f>
        <v>8.3</v>
      </c>
      <c r="AF290" s="5">
        <f>IF($A290="","",IF($L290="","",ROUND($L290*100,0)))</f>
        <v>44</v>
      </c>
      <c r="AG290" s="18">
        <f>IF($A290="","",IF($M290="","",ROUND($M290*67,1)))</f>
        <v>30</v>
      </c>
      <c r="AH290" s="19">
        <f>IF($A290="","",IF($P290="","",IF($P290=0,0,$O290/$P290)))</f>
        <v>0.891891891891892</v>
      </c>
      <c r="AI290" s="5" t="str">
        <f>IF($A290="","",IF($P290="","",IF($P290&gt;=Lookups!$K$7,"High",IF($P290&lt;=Lookups!$K$8,"Low","Medium"))))</f>
        <v>Medium</v>
      </c>
      <c r="AJ290" s="5" t="str">
        <f>IF($A290="","",IF($AD290="","",IF($AD290&lt;5,"Under 5 C",IF($AD290&lt;10,"5-10 C",IF($AD290&lt;15,"10-15 C","15 C and above")))))</f>
        <v>5-10 C</v>
      </c>
      <c r="AK290" s="5">
        <f>IF($A290="","",IF($P290="","",$P290^2))</f>
        <v>1369</v>
      </c>
      <c r="AL290" s="18">
        <f>IF($V290&lt;&gt;1,"",AVERAGEIFS(Clean_Data!$P$2:$P$1001,Clean_Data!$F$2:$F$1001,$F290,Clean_Data!$W$2:$W$1001,$W290,Clean_Data!$V$2:$V$1001,1))</f>
        <v>50.6071428571429</v>
      </c>
      <c r="AM290" s="16">
        <f>IF($V290&lt;&gt;1,"",IFERROR(($P290-$AL290)/SQRT(MAX(0,(SUMIFS(Clean_Data!$AK$2:$AK$1001,Clean_Data!$F$2:$F$1001,$F290,Clean_Data!$W$2:$W$1001,$W290,Clean_Data!$V$2:$V$1001,1)-COUNTIFS(Clean_Data!$F$2:$F$1001,$F290,Clean_Data!$W$2:$W$1001,$W290,Clean_Data!$V$2:$V$1001,1)*$AL290^2)/(COUNTIFS(Clean_Data!$F$2:$F$1001,$F290,Clean_Data!$W$2:$W$1001,$W290,Clean_Data!$V$2:$V$1001,1)-1))),""))</f>
        <v>-1.21460101085197</v>
      </c>
      <c r="AN290" s="5" t="str">
        <f>IF($AM290="","",IF($AM290&gt;=Lookups!$K$6,"High spike",IF($AM290&lt;=-Lookups!$K$6,"Unusual low","Normal")))</f>
        <v>Normal</v>
      </c>
      <c r="AO290" s="20">
        <f>IF($V290&lt;&gt;1,"",$P290+ROW()/100000)</f>
        <v>37.0029</v>
      </c>
      <c r="AP290" s="5">
        <f>IF($A290="","",IFERROR(MATCH($A290,Raw_D1!$A$2:$A$1001,0),""))</f>
        <v>289</v>
      </c>
      <c r="AQ290" s="5">
        <f>IF($A290="","",IFERROR(MATCH($A290,Raw_D2!$B$2:$B$1001,0),""))</f>
        <v>289</v>
      </c>
      <c r="AR290" s="5">
        <f>IF($A290="","",IFERROR(MATCH($A290,Raw_D3!$A$2:$A$1001,0),""))</f>
        <v/>
      </c>
    </row>
    <row r="291" spans="1:44" x14ac:dyDescent="0.25">
      <c r="A291" s="5">
        <v>290</v>
      </c>
      <c r="B291" s="11">
        <f>IF($A291="","",IF($AP291&lt;&gt;"",INDEX(Raw_D1!$B$2:$B$1001,$AP291),IF($AR291&lt;&gt;"",INDEX(Raw_D3!$B$2:$B$1001,$AR291),"")))</f>
        <v>40556.0</v>
      </c>
      <c r="C291" s="5">
        <f>IF($A291="","",IF($AP291&lt;&gt;"",INDEX(Raw_D1!$C$2:$C$1001,$AP291),IF($AR291&lt;&gt;"",INDEX(Raw_D3!$C$2:$C$1001,$AR291),"")))</f>
        <v>1</v>
      </c>
      <c r="D291" s="5">
        <f>IF($A291="","",IF($AP291&lt;&gt;"",INDEX(Raw_D1!$D$2:$D$1001,$AP291),IF($AR291&lt;&gt;"",INDEX(Raw_D3!$D$2:$D$1001,$AR291),"")))</f>
        <v>0</v>
      </c>
      <c r="E291" s="5">
        <f>IF($A291="","",IF($AP291&lt;&gt;"",INDEX(Raw_D1!$E$2:$E$1001,$AP291),IF($AR291&lt;&gt;"",INDEX(Raw_D3!$E$2:$E$1001,$AR291),"")))</f>
        <v>1</v>
      </c>
      <c r="F291" s="5">
        <f>IF($A291="","",IF($AP291&lt;&gt;"",INDEX(Raw_D1!$F$2:$F$1001,$AP291),IF($AR291&lt;&gt;"",INDEX(Raw_D3!$F$2:$F$1001,$AR291),"")))</f>
        <v>12</v>
      </c>
      <c r="G291" s="5">
        <f>IF($A291="","",IF($AP291&lt;&gt;"",IF(INDEX(Raw_D1!$G$2:$G$1001,$AP291),1,0),IF($AR291&lt;&gt;"",IF(INDEX(Raw_D3!$G$2:$G$1001,$AR291),1,0),"")))</f>
        <v>0</v>
      </c>
      <c r="H291" s="5">
        <f>IF($A291="","",IF($AP291&lt;&gt;"",INDEX(Raw_D1!$H$2:$H$1001,$AP291),IF($AR291&lt;&gt;"",INDEX(Raw_D3!$H$2:$H$1001,$AR291),"")))</f>
        <v>4</v>
      </c>
      <c r="I291" s="5">
        <f>IF($A291="","",IF($AP291&lt;&gt;"",INDEX(Raw_D1!$I$2:$I$1001,$AP291),IF($AR291&lt;&gt;"",INDEX(Raw_D3!$I$2:$I$1001,$AR291),"")))</f>
        <v>1</v>
      </c>
      <c r="J291" s="16">
        <f>IF($A291="","",IF($AP291&lt;&gt;"",INDEX(Raw_D1!$J$2:$J$1001,$AP291),IF($AR291&lt;&gt;"",INDEX(Raw_D3!$J$2:$J$1001,$AR291),"")))</f>
        <v>0.2</v>
      </c>
      <c r="K291" s="17">
        <f>IF($A291="","",IF($AQ291&lt;&gt;"",IF(INDEX(Raw_D2!$C$2:$C$1001,$AQ291)="","",INDEX(Raw_D2!$C$2:$C$1001,$AQ291)),IF($AR291&lt;&gt;"",IF(INDEX(Raw_D3!$K$2:$K$1001,$AR291)="","",INDEX(Raw_D3!$K$2:$K$1001,$AR291)),"")))</f>
        <v>0.1667</v>
      </c>
      <c r="L291" s="16">
        <f>IF($A291="","",IF($AQ291&lt;&gt;"",IF(INDEX(Raw_D2!$D$2:$D$1001,$AQ291)="","",INDEX(Raw_D2!$D$2:$D$1001,$AQ291)),IF($AR291&lt;&gt;"",IF(INDEX(Raw_D3!$L$2:$L$1001,$AR291)="","",INDEX(Raw_D3!$L$2:$L$1001,$AR291)),"")))</f>
        <v>0.44</v>
      </c>
      <c r="M291" s="17">
        <f>IF($A291="","",IF($AQ291&lt;&gt;"",IF(INDEX(Raw_D2!$E$2:$E$1001,$AQ291)="","",INDEX(Raw_D2!$E$2:$E$1001,$AQ291)),IF($AR291&lt;&gt;"",IF(INDEX(Raw_D3!$M$2:$M$1001,$AR291)="","",INDEX(Raw_D3!$M$2:$M$1001,$AR291)),"")))</f>
        <v>0.4179</v>
      </c>
      <c r="N291" s="5">
        <f>IF($A291="","",IF($AQ291&lt;&gt;"",IF(INDEX(Raw_D2!$F$2:$F$1001,$AQ291)="","",INDEX(Raw_D2!$F$2:$F$1001,$AQ291)),IF($AR291&lt;&gt;"",IF(INDEX(Raw_D3!$N$2:$N$1001,$AR291)="","",INDEX(Raw_D3!$N$2:$N$1001,$AR291)),"")))</f>
        <v>3</v>
      </c>
      <c r="O291" s="5">
        <f>IF($A291="","",IF($AQ291&lt;&gt;"",IF(INDEX(Raw_D2!$G$2:$G$1001,$AQ291)="","",INDEX(Raw_D2!$G$2:$G$1001,$AQ291)),IF($AR291&lt;&gt;"",IF(INDEX(Raw_D3!$O$2:$O$1001,$AR291)="","",INDEX(Raw_D3!$O$2:$O$1001,$AR291)),"")))</f>
        <v>49</v>
      </c>
      <c r="P291" s="5">
        <f>IF($A291="","",IF($AQ291&lt;&gt;"",IF(INDEX(Raw_D2!$H$2:$H$1001,$AQ291)="","",INDEX(Raw_D2!$H$2:$H$1001,$AQ291)),IF($AR291&lt;&gt;"",IF(INDEX(Raw_D3!$P$2:$P$1001,$AR291)="","",INDEX(Raw_D3!$P$2:$P$1001,$AR291)),"")))</f>
        <v>52</v>
      </c>
      <c r="Q291" s="5" t="str">
        <f>IF($A291="","",IF(AND($AP291&lt;&gt;"",$AQ291&lt;&gt;""),"D1+D2",IF($AR291&lt;&gt;"","D3","Incomplete")))</f>
        <v>D1+D2</v>
      </c>
      <c r="R291" s="17">
        <f>IF($A291="","",IF($K291="",IF($J291="","",ROUND(Lookups!$K$5+Lookups!$K$4*$J291,4)),$K291))</f>
        <v>0.1667</v>
      </c>
      <c r="S291" s="5" t="str">
        <f>IF($A291="","",IF($K291="","Imputed","Original"))</f>
        <v>Original</v>
      </c>
      <c r="T291" s="5" t="str">
        <f>IF($A291="","",IF($P291="","Missing",IF($P291=$N291+$O291,"OK","Mismatch")))</f>
        <v>OK</v>
      </c>
      <c r="U291" s="5" t="str">
        <f>IF($A291="","",IF(COUNTIF($A$2:$A291,$A291)&gt;1,"Duplicate","Unique"))</f>
        <v>Unique</v>
      </c>
      <c r="V291" s="5">
        <f>IF($A291="","",IF(AND($U291="Unique",ISNUMBER($P291)),1,0))</f>
        <v>1</v>
      </c>
      <c r="W291" s="5" t="str">
        <f>IF($A291="","",IF(OR($H291=0,$H291=6),"Weekend","Weekday"))</f>
        <v>Weekday</v>
      </c>
      <c r="X291" s="5" t="str">
        <f>IF($A291="","",TEXT($B291,"ddd"))</f>
        <v>Thu</v>
      </c>
      <c r="Y291" s="5" t="str">
        <f>IF($A291="","",TEXT($B291,"mmm"))</f>
        <v>Jan</v>
      </c>
      <c r="Z291" s="5" t="str">
        <f>IF($A291="","",IFERROR(VLOOKUP($C291,Lookups!$D$4:$E$7,2,FALSE),"Unknown"))</f>
        <v>Winter</v>
      </c>
      <c r="AA291" s="5" t="str">
        <f>IF($A291="","",IFERROR(VLOOKUP($I291,Lookups!$A$4:$B$7,2,FALSE),"Unknown"))</f>
        <v>Clear</v>
      </c>
      <c r="AB291" s="5" t="str">
        <f>IF($A291="","",TEXT($F291,"00")&amp;":00")</f>
        <v>12:00</v>
      </c>
      <c r="AC291" s="5" t="str">
        <f>IF($A291="","",VLOOKUP($F291,Lookups!$G$4:$H$8,2,TRUE))</f>
        <v>Midday (10-15)</v>
      </c>
      <c r="AD291" s="18">
        <f>IF($A291="","",IF($J291="","",ROUND($J291*41,1)))</f>
        <v>8.2</v>
      </c>
      <c r="AE291" s="18">
        <f>IF($A291="","",IF($R291="","",ROUND($R291*50,1)))</f>
        <v>8.3</v>
      </c>
      <c r="AF291" s="5">
        <f>IF($A291="","",IF($L291="","",ROUND($L291*100,0)))</f>
        <v>44</v>
      </c>
      <c r="AG291" s="18">
        <f>IF($A291="","",IF($M291="","",ROUND($M291*67,1)))</f>
        <v>28</v>
      </c>
      <c r="AH291" s="19">
        <f>IF($A291="","",IF($P291="","",IF($P291=0,0,$O291/$P291)))</f>
        <v>0.942307692307692</v>
      </c>
      <c r="AI291" s="5" t="str">
        <f>IF($A291="","",IF($P291="","",IF($P291&gt;=Lookups!$K$7,"High",IF($P291&lt;=Lookups!$K$8,"Low","Medium"))))</f>
        <v>Medium</v>
      </c>
      <c r="AJ291" s="5" t="str">
        <f>IF($A291="","",IF($AD291="","",IF($AD291&lt;5,"Under 5 C",IF($AD291&lt;10,"5-10 C",IF($AD291&lt;15,"10-15 C","15 C and above")))))</f>
        <v>5-10 C</v>
      </c>
      <c r="AK291" s="5">
        <f>IF($A291="","",IF($P291="","",$P291^2))</f>
        <v>2704</v>
      </c>
      <c r="AL291" s="18">
        <f>IF($V291&lt;&gt;1,"",AVERAGEIFS(Clean_Data!$P$2:$P$1001,Clean_Data!$F$2:$F$1001,$F291,Clean_Data!$W$2:$W$1001,$W291,Clean_Data!$V$2:$V$1001,1))</f>
        <v>64.5862068965517</v>
      </c>
      <c r="AM291" s="16">
        <f>IF($V291&lt;&gt;1,"",IFERROR(($P291-$AL291)/SQRT(MAX(0,(SUMIFS(Clean_Data!$AK$2:$AK$1001,Clean_Data!$F$2:$F$1001,$F291,Clean_Data!$W$2:$W$1001,$W291,Clean_Data!$V$2:$V$1001,1)-COUNTIFS(Clean_Data!$F$2:$F$1001,$F291,Clean_Data!$W$2:$W$1001,$W291,Clean_Data!$V$2:$V$1001,1)*$AL291^2)/(COUNTIFS(Clean_Data!$F$2:$F$1001,$F291,Clean_Data!$W$2:$W$1001,$W291,Clean_Data!$V$2:$V$1001,1)-1))),""))</f>
        <v>-0.672040218390355</v>
      </c>
      <c r="AN291" s="5" t="str">
        <f>IF($AM291="","",IF($AM291&gt;=Lookups!$K$6,"High spike",IF($AM291&lt;=-Lookups!$K$6,"Unusual low","Normal")))</f>
        <v>Normal</v>
      </c>
      <c r="AO291" s="20">
        <f>IF($V291&lt;&gt;1,"",$P291+ROW()/100000)</f>
        <v>52.00291</v>
      </c>
      <c r="AP291" s="5">
        <f>IF($A291="","",IFERROR(MATCH($A291,Raw_D1!$A$2:$A$1001,0),""))</f>
        <v>290</v>
      </c>
      <c r="AQ291" s="5">
        <f>IF($A291="","",IFERROR(MATCH($A291,Raw_D2!$B$2:$B$1001,0),""))</f>
        <v>290</v>
      </c>
      <c r="AR291" s="5">
        <f>IF($A291="","",IFERROR(MATCH($A291,Raw_D3!$A$2:$A$1001,0),""))</f>
        <v/>
      </c>
    </row>
    <row r="292" spans="1:44" x14ac:dyDescent="0.25">
      <c r="A292" s="5">
        <v>291</v>
      </c>
      <c r="B292" s="11">
        <f>IF($A292="","",IF($AP292&lt;&gt;"",INDEX(Raw_D1!$B$2:$B$1001,$AP292),IF($AR292&lt;&gt;"",INDEX(Raw_D3!$B$2:$B$1001,$AR292),"")))</f>
        <v>40556.0</v>
      </c>
      <c r="C292" s="5">
        <f>IF($A292="","",IF($AP292&lt;&gt;"",INDEX(Raw_D1!$C$2:$C$1001,$AP292),IF($AR292&lt;&gt;"",INDEX(Raw_D3!$C$2:$C$1001,$AR292),"")))</f>
        <v>1</v>
      </c>
      <c r="D292" s="5">
        <f>IF($A292="","",IF($AP292&lt;&gt;"",INDEX(Raw_D1!$D$2:$D$1001,$AP292),IF($AR292&lt;&gt;"",INDEX(Raw_D3!$D$2:$D$1001,$AR292),"")))</f>
        <v>0</v>
      </c>
      <c r="E292" s="5">
        <f>IF($A292="","",IF($AP292&lt;&gt;"",INDEX(Raw_D1!$E$2:$E$1001,$AP292),IF($AR292&lt;&gt;"",INDEX(Raw_D3!$E$2:$E$1001,$AR292),"")))</f>
        <v>1</v>
      </c>
      <c r="F292" s="5">
        <f>IF($A292="","",IF($AP292&lt;&gt;"",INDEX(Raw_D1!$F$2:$F$1001,$AP292),IF($AR292&lt;&gt;"",INDEX(Raw_D3!$F$2:$F$1001,$AR292),"")))</f>
        <v>13</v>
      </c>
      <c r="G292" s="5">
        <f>IF($A292="","",IF($AP292&lt;&gt;"",IF(INDEX(Raw_D1!$G$2:$G$1001,$AP292),1,0),IF($AR292&lt;&gt;"",IF(INDEX(Raw_D3!$G$2:$G$1001,$AR292),1,0),"")))</f>
        <v>0</v>
      </c>
      <c r="H292" s="5">
        <f>IF($A292="","",IF($AP292&lt;&gt;"",INDEX(Raw_D1!$H$2:$H$1001,$AP292),IF($AR292&lt;&gt;"",INDEX(Raw_D3!$H$2:$H$1001,$AR292),"")))</f>
        <v>4</v>
      </c>
      <c r="I292" s="5">
        <f>IF($A292="","",IF($AP292&lt;&gt;"",INDEX(Raw_D1!$I$2:$I$1001,$AP292),IF($AR292&lt;&gt;"",INDEX(Raw_D3!$I$2:$I$1001,$AR292),"")))</f>
        <v>1</v>
      </c>
      <c r="J292" s="16">
        <f>IF($A292="","",IF($AP292&lt;&gt;"",INDEX(Raw_D1!$J$2:$J$1001,$AP292),IF($AR292&lt;&gt;"",INDEX(Raw_D3!$J$2:$J$1001,$AR292),"")))</f>
        <v>0.22</v>
      </c>
      <c r="K292" s="17">
        <f>IF($A292="","",IF($AQ292&lt;&gt;"",IF(INDEX(Raw_D2!$C$2:$C$1001,$AQ292)="","",INDEX(Raw_D2!$C$2:$C$1001,$AQ292)),IF($AR292&lt;&gt;"",IF(INDEX(Raw_D3!$K$2:$K$1001,$AR292)="","",INDEX(Raw_D3!$K$2:$K$1001,$AR292)),"")))</f>
        <v>0.197</v>
      </c>
      <c r="L292" s="16">
        <f>IF($A292="","",IF($AQ292&lt;&gt;"",IF(INDEX(Raw_D2!$D$2:$D$1001,$AQ292)="","",INDEX(Raw_D2!$D$2:$D$1001,$AQ292)),IF($AR292&lt;&gt;"",IF(INDEX(Raw_D3!$L$2:$L$1001,$AR292)="","",INDEX(Raw_D3!$L$2:$L$1001,$AR292)),"")))</f>
        <v>0.41</v>
      </c>
      <c r="M292" s="17">
        <f>IF($A292="","",IF($AQ292&lt;&gt;"",IF(INDEX(Raw_D2!$E$2:$E$1001,$AQ292)="","",INDEX(Raw_D2!$E$2:$E$1001,$AQ292)),IF($AR292&lt;&gt;"",IF(INDEX(Raw_D3!$M$2:$M$1001,$AR292)="","",INDEX(Raw_D3!$M$2:$M$1001,$AR292)),"")))</f>
        <v>0.4478</v>
      </c>
      <c r="N292" s="5">
        <f>IF($A292="","",IF($AQ292&lt;&gt;"",IF(INDEX(Raw_D2!$F$2:$F$1001,$AQ292)="","",INDEX(Raw_D2!$F$2:$F$1001,$AQ292)),IF($AR292&lt;&gt;"",IF(INDEX(Raw_D3!$N$2:$N$1001,$AR292)="","",INDEX(Raw_D3!$N$2:$N$1001,$AR292)),"")))</f>
        <v>2</v>
      </c>
      <c r="O292" s="5">
        <f>IF($A292="","",IF($AQ292&lt;&gt;"",IF(INDEX(Raw_D2!$G$2:$G$1001,$AQ292)="","",INDEX(Raw_D2!$G$2:$G$1001,$AQ292)),IF($AR292&lt;&gt;"",IF(INDEX(Raw_D3!$O$2:$O$1001,$AR292)="","",INDEX(Raw_D3!$O$2:$O$1001,$AR292)),"")))</f>
        <v>81</v>
      </c>
      <c r="P292" s="5">
        <f>IF($A292="","",IF($AQ292&lt;&gt;"",IF(INDEX(Raw_D2!$H$2:$H$1001,$AQ292)="","",INDEX(Raw_D2!$H$2:$H$1001,$AQ292)),IF($AR292&lt;&gt;"",IF(INDEX(Raw_D3!$P$2:$P$1001,$AR292)="","",INDEX(Raw_D3!$P$2:$P$1001,$AR292)),"")))</f>
        <v>83</v>
      </c>
      <c r="Q292" s="5" t="str">
        <f>IF($A292="","",IF(AND($AP292&lt;&gt;"",$AQ292&lt;&gt;""),"D1+D2",IF($AR292&lt;&gt;"","D3","Incomplete")))</f>
        <v>D1+D2</v>
      </c>
      <c r="R292" s="17">
        <f>IF($A292="","",IF($K292="",IF($J292="","",ROUND(Lookups!$K$5+Lookups!$K$4*$J292,4)),$K292))</f>
        <v>0.197</v>
      </c>
      <c r="S292" s="5" t="str">
        <f>IF($A292="","",IF($K292="","Imputed","Original"))</f>
        <v>Original</v>
      </c>
      <c r="T292" s="5" t="str">
        <f>IF($A292="","",IF($P292="","Missing",IF($P292=$N292+$O292,"OK","Mismatch")))</f>
        <v>OK</v>
      </c>
      <c r="U292" s="5" t="str">
        <f>IF($A292="","",IF(COUNTIF($A$2:$A292,$A292)&gt;1,"Duplicate","Unique"))</f>
        <v>Unique</v>
      </c>
      <c r="V292" s="5">
        <f>IF($A292="","",IF(AND($U292="Unique",ISNUMBER($P292)),1,0))</f>
        <v>1</v>
      </c>
      <c r="W292" s="5" t="str">
        <f>IF($A292="","",IF(OR($H292=0,$H292=6),"Weekend","Weekday"))</f>
        <v>Weekday</v>
      </c>
      <c r="X292" s="5" t="str">
        <f>IF($A292="","",TEXT($B292,"ddd"))</f>
        <v>Thu</v>
      </c>
      <c r="Y292" s="5" t="str">
        <f>IF($A292="","",TEXT($B292,"mmm"))</f>
        <v>Jan</v>
      </c>
      <c r="Z292" s="5" t="str">
        <f>IF($A292="","",IFERROR(VLOOKUP($C292,Lookups!$D$4:$E$7,2,FALSE),"Unknown"))</f>
        <v>Winter</v>
      </c>
      <c r="AA292" s="5" t="str">
        <f>IF($A292="","",IFERROR(VLOOKUP($I292,Lookups!$A$4:$B$7,2,FALSE),"Unknown"))</f>
        <v>Clear</v>
      </c>
      <c r="AB292" s="5" t="str">
        <f>IF($A292="","",TEXT($F292,"00")&amp;":00")</f>
        <v>13:00</v>
      </c>
      <c r="AC292" s="5" t="str">
        <f>IF($A292="","",VLOOKUP($F292,Lookups!$G$4:$H$8,2,TRUE))</f>
        <v>Midday (10-15)</v>
      </c>
      <c r="AD292" s="18">
        <f>IF($A292="","",IF($J292="","",ROUND($J292*41,1)))</f>
        <v>9</v>
      </c>
      <c r="AE292" s="18">
        <f>IF($A292="","",IF($R292="","",ROUND($R292*50,1)))</f>
        <v>9.9</v>
      </c>
      <c r="AF292" s="5">
        <f>IF($A292="","",IF($L292="","",ROUND($L292*100,0)))</f>
        <v>41</v>
      </c>
      <c r="AG292" s="18">
        <f>IF($A292="","",IF($M292="","",ROUND($M292*67,1)))</f>
        <v>30</v>
      </c>
      <c r="AH292" s="19">
        <f>IF($A292="","",IF($P292="","",IF($P292=0,0,$O292/$P292)))</f>
        <v>0.975903614457831</v>
      </c>
      <c r="AI292" s="5" t="str">
        <f>IF($A292="","",IF($P292="","",IF($P292&gt;=Lookups!$K$7,"High",IF($P292&lt;=Lookups!$K$8,"Low","Medium"))))</f>
        <v>High</v>
      </c>
      <c r="AJ292" s="5" t="str">
        <f>IF($A292="","",IF($AD292="","",IF($AD292&lt;5,"Under 5 C",IF($AD292&lt;10,"5-10 C",IF($AD292&lt;15,"10-15 C","15 C and above")))))</f>
        <v>5-10 C</v>
      </c>
      <c r="AK292" s="5">
        <f>IF($A292="","",IF($P292="","",$P292^2))</f>
        <v>6889</v>
      </c>
      <c r="AL292" s="18">
        <f>IF($V292&lt;&gt;1,"",AVERAGEIFS(Clean_Data!$P$2:$P$1001,Clean_Data!$F$2:$F$1001,$F292,Clean_Data!$W$2:$W$1001,$W292,Clean_Data!$V$2:$V$1001,1))</f>
        <v>67.1724137931034</v>
      </c>
      <c r="AM292" s="16">
        <f>IF($V292&lt;&gt;1,"",IFERROR(($P292-$AL292)/SQRT(MAX(0,(SUMIFS(Clean_Data!$AK$2:$AK$1001,Clean_Data!$F$2:$F$1001,$F292,Clean_Data!$W$2:$W$1001,$W292,Clean_Data!$V$2:$V$1001,1)-COUNTIFS(Clean_Data!$F$2:$F$1001,$F292,Clean_Data!$W$2:$W$1001,$W292,Clean_Data!$V$2:$V$1001,1)*$AL292^2)/(COUNTIFS(Clean_Data!$F$2:$F$1001,$F292,Clean_Data!$W$2:$W$1001,$W292,Clean_Data!$V$2:$V$1001,1)-1))),""))</f>
        <v>0.783852052090185</v>
      </c>
      <c r="AN292" s="5" t="str">
        <f>IF($AM292="","",IF($AM292&gt;=Lookups!$K$6,"High spike",IF($AM292&lt;=-Lookups!$K$6,"Unusual low","Normal")))</f>
        <v>Normal</v>
      </c>
      <c r="AO292" s="20">
        <f>IF($V292&lt;&gt;1,"",$P292+ROW()/100000)</f>
        <v>83.00292</v>
      </c>
      <c r="AP292" s="5">
        <f>IF($A292="","",IFERROR(MATCH($A292,Raw_D1!$A$2:$A$1001,0),""))</f>
        <v>291</v>
      </c>
      <c r="AQ292" s="5">
        <f>IF($A292="","",IFERROR(MATCH($A292,Raw_D2!$B$2:$B$1001,0),""))</f>
        <v>291</v>
      </c>
      <c r="AR292" s="5">
        <f>IF($A292="","",IFERROR(MATCH($A292,Raw_D3!$A$2:$A$1001,0),""))</f>
        <v/>
      </c>
    </row>
    <row r="293" spans="1:44" x14ac:dyDescent="0.25">
      <c r="A293" s="5">
        <v>292</v>
      </c>
      <c r="B293" s="11">
        <f>IF($A293="","",IF($AP293&lt;&gt;"",INDEX(Raw_D1!$B$2:$B$1001,$AP293),IF($AR293&lt;&gt;"",INDEX(Raw_D3!$B$2:$B$1001,$AR293),"")))</f>
        <v>40556.0</v>
      </c>
      <c r="C293" s="5">
        <f>IF($A293="","",IF($AP293&lt;&gt;"",INDEX(Raw_D1!$C$2:$C$1001,$AP293),IF($AR293&lt;&gt;"",INDEX(Raw_D3!$C$2:$C$1001,$AR293),"")))</f>
        <v>1</v>
      </c>
      <c r="D293" s="5">
        <f>IF($A293="","",IF($AP293&lt;&gt;"",INDEX(Raw_D1!$D$2:$D$1001,$AP293),IF($AR293&lt;&gt;"",INDEX(Raw_D3!$D$2:$D$1001,$AR293),"")))</f>
        <v>0</v>
      </c>
      <c r="E293" s="5">
        <f>IF($A293="","",IF($AP293&lt;&gt;"",INDEX(Raw_D1!$E$2:$E$1001,$AP293),IF($AR293&lt;&gt;"",INDEX(Raw_D3!$E$2:$E$1001,$AR293),"")))</f>
        <v>1</v>
      </c>
      <c r="F293" s="5">
        <f>IF($A293="","",IF($AP293&lt;&gt;"",INDEX(Raw_D1!$F$2:$F$1001,$AP293),IF($AR293&lt;&gt;"",INDEX(Raw_D3!$F$2:$F$1001,$AR293),"")))</f>
        <v>14</v>
      </c>
      <c r="G293" s="5">
        <f>IF($A293="","",IF($AP293&lt;&gt;"",IF(INDEX(Raw_D1!$G$2:$G$1001,$AP293),1,0),IF($AR293&lt;&gt;"",IF(INDEX(Raw_D3!$G$2:$G$1001,$AR293),1,0),"")))</f>
        <v>0</v>
      </c>
      <c r="H293" s="5">
        <f>IF($A293="","",IF($AP293&lt;&gt;"",INDEX(Raw_D1!$H$2:$H$1001,$AP293),IF($AR293&lt;&gt;"",INDEX(Raw_D3!$H$2:$H$1001,$AR293),"")))</f>
        <v>4</v>
      </c>
      <c r="I293" s="5">
        <f>IF($A293="","",IF($AP293&lt;&gt;"",INDEX(Raw_D1!$I$2:$I$1001,$AP293),IF($AR293&lt;&gt;"",INDEX(Raw_D3!$I$2:$I$1001,$AR293),"")))</f>
        <v>1</v>
      </c>
      <c r="J293" s="16">
        <f>IF($A293="","",IF($AP293&lt;&gt;"",INDEX(Raw_D1!$J$2:$J$1001,$AP293),IF($AR293&lt;&gt;"",INDEX(Raw_D3!$J$2:$J$1001,$AR293),"")))</f>
        <v>0.22</v>
      </c>
      <c r="K293" s="17">
        <f>IF($A293="","",IF($AQ293&lt;&gt;"",IF(INDEX(Raw_D2!$C$2:$C$1001,$AQ293)="","",INDEX(Raw_D2!$C$2:$C$1001,$AQ293)),IF($AR293&lt;&gt;"",IF(INDEX(Raw_D3!$K$2:$K$1001,$AR293)="","",INDEX(Raw_D3!$K$2:$K$1001,$AR293)),"")))</f>
        <v>0.197</v>
      </c>
      <c r="L293" s="16">
        <f>IF($A293="","",IF($AQ293&lt;&gt;"",IF(INDEX(Raw_D2!$D$2:$D$1001,$AQ293)="","",INDEX(Raw_D2!$D$2:$D$1001,$AQ293)),IF($AR293&lt;&gt;"",IF(INDEX(Raw_D3!$L$2:$L$1001,$AR293)="","",INDEX(Raw_D3!$L$2:$L$1001,$AR293)),"")))</f>
        <v>0.41</v>
      </c>
      <c r="M293" s="17">
        <f>IF($A293="","",IF($AQ293&lt;&gt;"",IF(INDEX(Raw_D2!$E$2:$E$1001,$AQ293)="","",INDEX(Raw_D2!$E$2:$E$1001,$AQ293)),IF($AR293&lt;&gt;"",IF(INDEX(Raw_D3!$M$2:$M$1001,$AR293)="","",INDEX(Raw_D3!$M$2:$M$1001,$AR293)),"")))</f>
        <v>0.3881</v>
      </c>
      <c r="N293" s="5">
        <f>IF($A293="","",IF($AQ293&lt;&gt;"",IF(INDEX(Raw_D2!$F$2:$F$1001,$AQ293)="","",INDEX(Raw_D2!$F$2:$F$1001,$AQ293)),IF($AR293&lt;&gt;"",IF(INDEX(Raw_D3!$N$2:$N$1001,$AR293)="","",INDEX(Raw_D3!$N$2:$N$1001,$AR293)),"")))</f>
        <v>3</v>
      </c>
      <c r="O293" s="5">
        <f>IF($A293="","",IF($AQ293&lt;&gt;"",IF(INDEX(Raw_D2!$G$2:$G$1001,$AQ293)="","",INDEX(Raw_D2!$G$2:$G$1001,$AQ293)),IF($AR293&lt;&gt;"",IF(INDEX(Raw_D3!$O$2:$O$1001,$AR293)="","",INDEX(Raw_D3!$O$2:$O$1001,$AR293)),"")))</f>
        <v>39</v>
      </c>
      <c r="P293" s="5">
        <f>IF($A293="","",IF($AQ293&lt;&gt;"",IF(INDEX(Raw_D2!$H$2:$H$1001,$AQ293)="","",INDEX(Raw_D2!$H$2:$H$1001,$AQ293)),IF($AR293&lt;&gt;"",IF(INDEX(Raw_D3!$P$2:$P$1001,$AR293)="","",INDEX(Raw_D3!$P$2:$P$1001,$AR293)),"")))</f>
        <v>42</v>
      </c>
      <c r="Q293" s="5" t="str">
        <f>IF($A293="","",IF(AND($AP293&lt;&gt;"",$AQ293&lt;&gt;""),"D1+D2",IF($AR293&lt;&gt;"","D3","Incomplete")))</f>
        <v>D1+D2</v>
      </c>
      <c r="R293" s="17">
        <f>IF($A293="","",IF($K293="",IF($J293="","",ROUND(Lookups!$K$5+Lookups!$K$4*$J293,4)),$K293))</f>
        <v>0.197</v>
      </c>
      <c r="S293" s="5" t="str">
        <f>IF($A293="","",IF($K293="","Imputed","Original"))</f>
        <v>Original</v>
      </c>
      <c r="T293" s="5" t="str">
        <f>IF($A293="","",IF($P293="","Missing",IF($P293=$N293+$O293,"OK","Mismatch")))</f>
        <v>OK</v>
      </c>
      <c r="U293" s="5" t="str">
        <f>IF($A293="","",IF(COUNTIF($A$2:$A293,$A293)&gt;1,"Duplicate","Unique"))</f>
        <v>Unique</v>
      </c>
      <c r="V293" s="5">
        <f>IF($A293="","",IF(AND($U293="Unique",ISNUMBER($P293)),1,0))</f>
        <v>1</v>
      </c>
      <c r="W293" s="5" t="str">
        <f>IF($A293="","",IF(OR($H293=0,$H293=6),"Weekend","Weekday"))</f>
        <v>Weekday</v>
      </c>
      <c r="X293" s="5" t="str">
        <f>IF($A293="","",TEXT($B293,"ddd"))</f>
        <v>Thu</v>
      </c>
      <c r="Y293" s="5" t="str">
        <f>IF($A293="","",TEXT($B293,"mmm"))</f>
        <v>Jan</v>
      </c>
      <c r="Z293" s="5" t="str">
        <f>IF($A293="","",IFERROR(VLOOKUP($C293,Lookups!$D$4:$E$7,2,FALSE),"Unknown"))</f>
        <v>Winter</v>
      </c>
      <c r="AA293" s="5" t="str">
        <f>IF($A293="","",IFERROR(VLOOKUP($I293,Lookups!$A$4:$B$7,2,FALSE),"Unknown"))</f>
        <v>Clear</v>
      </c>
      <c r="AB293" s="5" t="str">
        <f>IF($A293="","",TEXT($F293,"00")&amp;":00")</f>
        <v>14:00</v>
      </c>
      <c r="AC293" s="5" t="str">
        <f>IF($A293="","",VLOOKUP($F293,Lookups!$G$4:$H$8,2,TRUE))</f>
        <v>Midday (10-15)</v>
      </c>
      <c r="AD293" s="18">
        <f>IF($A293="","",IF($J293="","",ROUND($J293*41,1)))</f>
        <v>9</v>
      </c>
      <c r="AE293" s="18">
        <f>IF($A293="","",IF($R293="","",ROUND($R293*50,1)))</f>
        <v>9.9</v>
      </c>
      <c r="AF293" s="5">
        <f>IF($A293="","",IF($L293="","",ROUND($L293*100,0)))</f>
        <v>41</v>
      </c>
      <c r="AG293" s="18">
        <f>IF($A293="","",IF($M293="","",ROUND($M293*67,1)))</f>
        <v>26</v>
      </c>
      <c r="AH293" s="19">
        <f>IF($A293="","",IF($P293="","",IF($P293=0,0,$O293/$P293)))</f>
        <v>0.928571428571429</v>
      </c>
      <c r="AI293" s="5" t="str">
        <f>IF($A293="","",IF($P293="","",IF($P293&gt;=Lookups!$K$7,"High",IF($P293&lt;=Lookups!$K$8,"Low","Medium"))))</f>
        <v>Medium</v>
      </c>
      <c r="AJ293" s="5" t="str">
        <f>IF($A293="","",IF($AD293="","",IF($AD293&lt;5,"Under 5 C",IF($AD293&lt;10,"5-10 C",IF($AD293&lt;15,"10-15 C","15 C and above")))))</f>
        <v>5-10 C</v>
      </c>
      <c r="AK293" s="5">
        <f>IF($A293="","",IF($P293="","",$P293^2))</f>
        <v>1764</v>
      </c>
      <c r="AL293" s="18">
        <f>IF($V293&lt;&gt;1,"",AVERAGEIFS(Clean_Data!$P$2:$P$1001,Clean_Data!$F$2:$F$1001,$F293,Clean_Data!$W$2:$W$1001,$W293,Clean_Data!$V$2:$V$1001,1))</f>
        <v>60.551724137931</v>
      </c>
      <c r="AM293" s="16">
        <f>IF($V293&lt;&gt;1,"",IFERROR(($P293-$AL293)/SQRT(MAX(0,(SUMIFS(Clean_Data!$AK$2:$AK$1001,Clean_Data!$F$2:$F$1001,$F293,Clean_Data!$W$2:$W$1001,$W293,Clean_Data!$V$2:$V$1001,1)-COUNTIFS(Clean_Data!$F$2:$F$1001,$F293,Clean_Data!$W$2:$W$1001,$W293,Clean_Data!$V$2:$V$1001,1)*$AL293^2)/(COUNTIFS(Clean_Data!$F$2:$F$1001,$F293,Clean_Data!$W$2:$W$1001,$W293,Clean_Data!$V$2:$V$1001,1)-1))),""))</f>
        <v>-1.12774187986368</v>
      </c>
      <c r="AN293" s="5" t="str">
        <f>IF($AM293="","",IF($AM293&gt;=Lookups!$K$6,"High spike",IF($AM293&lt;=-Lookups!$K$6,"Unusual low","Normal")))</f>
        <v>Normal</v>
      </c>
      <c r="AO293" s="20">
        <f>IF($V293&lt;&gt;1,"",$P293+ROW()/100000)</f>
        <v>42.00293</v>
      </c>
      <c r="AP293" s="5">
        <f>IF($A293="","",IFERROR(MATCH($A293,Raw_D1!$A$2:$A$1001,0),""))</f>
        <v>292</v>
      </c>
      <c r="AQ293" s="5">
        <f>IF($A293="","",IFERROR(MATCH($A293,Raw_D2!$B$2:$B$1001,0),""))</f>
        <v>292</v>
      </c>
      <c r="AR293" s="5">
        <f>IF($A293="","",IFERROR(MATCH($A293,Raw_D3!$A$2:$A$1001,0),""))</f>
        <v/>
      </c>
    </row>
    <row r="294" spans="1:44" x14ac:dyDescent="0.25">
      <c r="A294" s="5">
        <v>293</v>
      </c>
      <c r="B294" s="11">
        <f>IF($A294="","",IF($AP294&lt;&gt;"",INDEX(Raw_D1!$B$2:$B$1001,$AP294),IF($AR294&lt;&gt;"",INDEX(Raw_D3!$B$2:$B$1001,$AR294),"")))</f>
        <v>40556.0</v>
      </c>
      <c r="C294" s="5">
        <f>IF($A294="","",IF($AP294&lt;&gt;"",INDEX(Raw_D1!$C$2:$C$1001,$AP294),IF($AR294&lt;&gt;"",INDEX(Raw_D3!$C$2:$C$1001,$AR294),"")))</f>
        <v>1</v>
      </c>
      <c r="D294" s="5">
        <f>IF($A294="","",IF($AP294&lt;&gt;"",INDEX(Raw_D1!$D$2:$D$1001,$AP294),IF($AR294&lt;&gt;"",INDEX(Raw_D3!$D$2:$D$1001,$AR294),"")))</f>
        <v>0</v>
      </c>
      <c r="E294" s="5">
        <f>IF($A294="","",IF($AP294&lt;&gt;"",INDEX(Raw_D1!$E$2:$E$1001,$AP294),IF($AR294&lt;&gt;"",INDEX(Raw_D3!$E$2:$E$1001,$AR294),"")))</f>
        <v>1</v>
      </c>
      <c r="F294" s="5">
        <f>IF($A294="","",IF($AP294&lt;&gt;"",INDEX(Raw_D1!$F$2:$F$1001,$AP294),IF($AR294&lt;&gt;"",INDEX(Raw_D3!$F$2:$F$1001,$AR294),"")))</f>
        <v>15</v>
      </c>
      <c r="G294" s="5">
        <f>IF($A294="","",IF($AP294&lt;&gt;"",IF(INDEX(Raw_D1!$G$2:$G$1001,$AP294),1,0),IF($AR294&lt;&gt;"",IF(INDEX(Raw_D3!$G$2:$G$1001,$AR294),1,0),"")))</f>
        <v>0</v>
      </c>
      <c r="H294" s="5">
        <f>IF($A294="","",IF($AP294&lt;&gt;"",INDEX(Raw_D1!$H$2:$H$1001,$AP294),IF($AR294&lt;&gt;"",INDEX(Raw_D3!$H$2:$H$1001,$AR294),"")))</f>
        <v>4</v>
      </c>
      <c r="I294" s="5">
        <f>IF($A294="","",IF($AP294&lt;&gt;"",INDEX(Raw_D1!$I$2:$I$1001,$AP294),IF($AR294&lt;&gt;"",INDEX(Raw_D3!$I$2:$I$1001,$AR294),"")))</f>
        <v>1</v>
      </c>
      <c r="J294" s="16">
        <f>IF($A294="","",IF($AP294&lt;&gt;"",INDEX(Raw_D1!$J$2:$J$1001,$AP294),IF($AR294&lt;&gt;"",INDEX(Raw_D3!$J$2:$J$1001,$AR294),"")))</f>
        <v>0.24</v>
      </c>
      <c r="K294" s="17">
        <f>IF($A294="","",IF($AQ294&lt;&gt;"",IF(INDEX(Raw_D2!$C$2:$C$1001,$AQ294)="","",INDEX(Raw_D2!$C$2:$C$1001,$AQ294)),IF($AR294&lt;&gt;"",IF(INDEX(Raw_D3!$K$2:$K$1001,$AR294)="","",INDEX(Raw_D3!$K$2:$K$1001,$AR294)),"")))</f>
        <v>0.2121</v>
      </c>
      <c r="L294" s="16">
        <f>IF($A294="","",IF($AQ294&lt;&gt;"",IF(INDEX(Raw_D2!$D$2:$D$1001,$AQ294)="","",INDEX(Raw_D2!$D$2:$D$1001,$AQ294)),IF($AR294&lt;&gt;"",IF(INDEX(Raw_D3!$L$2:$L$1001,$AR294)="","",INDEX(Raw_D3!$L$2:$L$1001,$AR294)),"")))</f>
        <v>0.38</v>
      </c>
      <c r="M294" s="17">
        <f>IF($A294="","",IF($AQ294&lt;&gt;"",IF(INDEX(Raw_D2!$E$2:$E$1001,$AQ294)="","",INDEX(Raw_D2!$E$2:$E$1001,$AQ294)),IF($AR294&lt;&gt;"",IF(INDEX(Raw_D3!$M$2:$M$1001,$AR294)="","",INDEX(Raw_D3!$M$2:$M$1001,$AR294)),"")))</f>
        <v>0.2985</v>
      </c>
      <c r="N294" s="5">
        <f>IF($A294="","",IF($AQ294&lt;&gt;"",IF(INDEX(Raw_D2!$F$2:$F$1001,$AQ294)="","",INDEX(Raw_D2!$F$2:$F$1001,$AQ294)),IF($AR294&lt;&gt;"",IF(INDEX(Raw_D3!$N$2:$N$1001,$AR294)="","",INDEX(Raw_D3!$N$2:$N$1001,$AR294)),"")))</f>
        <v>5</v>
      </c>
      <c r="O294" s="5">
        <f>IF($A294="","",IF($AQ294&lt;&gt;"",IF(INDEX(Raw_D2!$G$2:$G$1001,$AQ294)="","",INDEX(Raw_D2!$G$2:$G$1001,$AQ294)),IF($AR294&lt;&gt;"",IF(INDEX(Raw_D3!$O$2:$O$1001,$AR294)="","",INDEX(Raw_D3!$O$2:$O$1001,$AR294)),"")))</f>
        <v>55</v>
      </c>
      <c r="P294" s="5">
        <f>IF($A294="","",IF($AQ294&lt;&gt;"",IF(INDEX(Raw_D2!$H$2:$H$1001,$AQ294)="","",INDEX(Raw_D2!$H$2:$H$1001,$AQ294)),IF($AR294&lt;&gt;"",IF(INDEX(Raw_D3!$P$2:$P$1001,$AR294)="","",INDEX(Raw_D3!$P$2:$P$1001,$AR294)),"")))</f>
        <v>60</v>
      </c>
      <c r="Q294" s="5" t="str">
        <f>IF($A294="","",IF(AND($AP294&lt;&gt;"",$AQ294&lt;&gt;""),"D1+D2",IF($AR294&lt;&gt;"","D3","Incomplete")))</f>
        <v>D1+D2</v>
      </c>
      <c r="R294" s="17">
        <f>IF($A294="","",IF($K294="",IF($J294="","",ROUND(Lookups!$K$5+Lookups!$K$4*$J294,4)),$K294))</f>
        <v>0.2121</v>
      </c>
      <c r="S294" s="5" t="str">
        <f>IF($A294="","",IF($K294="","Imputed","Original"))</f>
        <v>Original</v>
      </c>
      <c r="T294" s="5" t="str">
        <f>IF($A294="","",IF($P294="","Missing",IF($P294=$N294+$O294,"OK","Mismatch")))</f>
        <v>OK</v>
      </c>
      <c r="U294" s="5" t="str">
        <f>IF($A294="","",IF(COUNTIF($A$2:$A294,$A294)&gt;1,"Duplicate","Unique"))</f>
        <v>Unique</v>
      </c>
      <c r="V294" s="5">
        <f>IF($A294="","",IF(AND($U294="Unique",ISNUMBER($P294)),1,0))</f>
        <v>1</v>
      </c>
      <c r="W294" s="5" t="str">
        <f>IF($A294="","",IF(OR($H294=0,$H294=6),"Weekend","Weekday"))</f>
        <v>Weekday</v>
      </c>
      <c r="X294" s="5" t="str">
        <f>IF($A294="","",TEXT($B294,"ddd"))</f>
        <v>Thu</v>
      </c>
      <c r="Y294" s="5" t="str">
        <f>IF($A294="","",TEXT($B294,"mmm"))</f>
        <v>Jan</v>
      </c>
      <c r="Z294" s="5" t="str">
        <f>IF($A294="","",IFERROR(VLOOKUP($C294,Lookups!$D$4:$E$7,2,FALSE),"Unknown"))</f>
        <v>Winter</v>
      </c>
      <c r="AA294" s="5" t="str">
        <f>IF($A294="","",IFERROR(VLOOKUP($I294,Lookups!$A$4:$B$7,2,FALSE),"Unknown"))</f>
        <v>Clear</v>
      </c>
      <c r="AB294" s="5" t="str">
        <f>IF($A294="","",TEXT($F294,"00")&amp;":00")</f>
        <v>15:00</v>
      </c>
      <c r="AC294" s="5" t="str">
        <f>IF($A294="","",VLOOKUP($F294,Lookups!$G$4:$H$8,2,TRUE))</f>
        <v>Midday (10-15)</v>
      </c>
      <c r="AD294" s="18">
        <f>IF($A294="","",IF($J294="","",ROUND($J294*41,1)))</f>
        <v>9.8</v>
      </c>
      <c r="AE294" s="18">
        <f>IF($A294="","",IF($R294="","",ROUND($R294*50,1)))</f>
        <v>10.6</v>
      </c>
      <c r="AF294" s="5">
        <f>IF($A294="","",IF($L294="","",ROUND($L294*100,0)))</f>
        <v>38</v>
      </c>
      <c r="AG294" s="18">
        <f>IF($A294="","",IF($M294="","",ROUND($M294*67,1)))</f>
        <v>20</v>
      </c>
      <c r="AH294" s="19">
        <f>IF($A294="","",IF($P294="","",IF($P294=0,0,$O294/$P294)))</f>
        <v>0.916666666666667</v>
      </c>
      <c r="AI294" s="5" t="str">
        <f>IF($A294="","",IF($P294="","",IF($P294&gt;=Lookups!$K$7,"High",IF($P294&lt;=Lookups!$K$8,"Low","Medium"))))</f>
        <v>Medium</v>
      </c>
      <c r="AJ294" s="5" t="str">
        <f>IF($A294="","",IF($AD294="","",IF($AD294&lt;5,"Under 5 C",IF($AD294&lt;10,"5-10 C",IF($AD294&lt;15,"10-15 C","15 C and above")))))</f>
        <v>5-10 C</v>
      </c>
      <c r="AK294" s="5">
        <f>IF($A294="","",IF($P294="","",$P294^2))</f>
        <v>3600</v>
      </c>
      <c r="AL294" s="18">
        <f>IF($V294&lt;&gt;1,"",AVERAGEIFS(Clean_Data!$P$2:$P$1001,Clean_Data!$F$2:$F$1001,$F294,Clean_Data!$W$2:$W$1001,$W294,Clean_Data!$V$2:$V$1001,1))</f>
        <v>61.4827586206897</v>
      </c>
      <c r="AM294" s="16">
        <f>IF($V294&lt;&gt;1,"",IFERROR(($P294-$AL294)/SQRT(MAX(0,(SUMIFS(Clean_Data!$AK$2:$AK$1001,Clean_Data!$F$2:$F$1001,$F294,Clean_Data!$W$2:$W$1001,$W294,Clean_Data!$V$2:$V$1001,1)-COUNTIFS(Clean_Data!$F$2:$F$1001,$F294,Clean_Data!$W$2:$W$1001,$W294,Clean_Data!$V$2:$V$1001,1)*$AL294^2)/(COUNTIFS(Clean_Data!$F$2:$F$1001,$F294,Clean_Data!$W$2:$W$1001,$W294,Clean_Data!$V$2:$V$1001,1)-1))),""))</f>
        <v>-0.0983581325309861</v>
      </c>
      <c r="AN294" s="5" t="str">
        <f>IF($AM294="","",IF($AM294&gt;=Lookups!$K$6,"High spike",IF($AM294&lt;=-Lookups!$K$6,"Unusual low","Normal")))</f>
        <v>Normal</v>
      </c>
      <c r="AO294" s="20">
        <f>IF($V294&lt;&gt;1,"",$P294+ROW()/100000)</f>
        <v>60.00294</v>
      </c>
      <c r="AP294" s="5">
        <f>IF($A294="","",IFERROR(MATCH($A294,Raw_D1!$A$2:$A$1001,0),""))</f>
        <v>293</v>
      </c>
      <c r="AQ294" s="5">
        <f>IF($A294="","",IFERROR(MATCH($A294,Raw_D2!$B$2:$B$1001,0),""))</f>
        <v>293</v>
      </c>
      <c r="AR294" s="5">
        <f>IF($A294="","",IFERROR(MATCH($A294,Raw_D3!$A$2:$A$1001,0),""))</f>
        <v/>
      </c>
    </row>
    <row r="295" spans="1:44" x14ac:dyDescent="0.25">
      <c r="A295" s="5">
        <v>294</v>
      </c>
      <c r="B295" s="11">
        <f>IF($A295="","",IF($AP295&lt;&gt;"",INDEX(Raw_D1!$B$2:$B$1001,$AP295),IF($AR295&lt;&gt;"",INDEX(Raw_D3!$B$2:$B$1001,$AR295),"")))</f>
        <v>40556.0</v>
      </c>
      <c r="C295" s="5">
        <f>IF($A295="","",IF($AP295&lt;&gt;"",INDEX(Raw_D1!$C$2:$C$1001,$AP295),IF($AR295&lt;&gt;"",INDEX(Raw_D3!$C$2:$C$1001,$AR295),"")))</f>
        <v>1</v>
      </c>
      <c r="D295" s="5">
        <f>IF($A295="","",IF($AP295&lt;&gt;"",INDEX(Raw_D1!$D$2:$D$1001,$AP295),IF($AR295&lt;&gt;"",INDEX(Raw_D3!$D$2:$D$1001,$AR295),"")))</f>
        <v>0</v>
      </c>
      <c r="E295" s="5">
        <f>IF($A295="","",IF($AP295&lt;&gt;"",INDEX(Raw_D1!$E$2:$E$1001,$AP295),IF($AR295&lt;&gt;"",INDEX(Raw_D3!$E$2:$E$1001,$AR295),"")))</f>
        <v>1</v>
      </c>
      <c r="F295" s="5">
        <f>IF($A295="","",IF($AP295&lt;&gt;"",INDEX(Raw_D1!$F$2:$F$1001,$AP295),IF($AR295&lt;&gt;"",INDEX(Raw_D3!$F$2:$F$1001,$AR295),"")))</f>
        <v>16</v>
      </c>
      <c r="G295" s="5">
        <f>IF($A295="","",IF($AP295&lt;&gt;"",IF(INDEX(Raw_D1!$G$2:$G$1001,$AP295),1,0),IF($AR295&lt;&gt;"",IF(INDEX(Raw_D3!$G$2:$G$1001,$AR295),1,0),"")))</f>
        <v>0</v>
      </c>
      <c r="H295" s="5">
        <f>IF($A295="","",IF($AP295&lt;&gt;"",INDEX(Raw_D1!$H$2:$H$1001,$AP295),IF($AR295&lt;&gt;"",INDEX(Raw_D3!$H$2:$H$1001,$AR295),"")))</f>
        <v>4</v>
      </c>
      <c r="I295" s="5">
        <f>IF($A295="","",IF($AP295&lt;&gt;"",INDEX(Raw_D1!$I$2:$I$1001,$AP295),IF($AR295&lt;&gt;"",INDEX(Raw_D3!$I$2:$I$1001,$AR295),"")))</f>
        <v>1</v>
      </c>
      <c r="J295" s="16">
        <f>IF($A295="","",IF($AP295&lt;&gt;"",INDEX(Raw_D1!$J$2:$J$1001,$AP295),IF($AR295&lt;&gt;"",INDEX(Raw_D3!$J$2:$J$1001,$AR295),"")))</f>
        <v>0.24</v>
      </c>
      <c r="K295" s="17">
        <f>IF($A295="","",IF($AQ295&lt;&gt;"",IF(INDEX(Raw_D2!$C$2:$C$1001,$AQ295)="","",INDEX(Raw_D2!$C$2:$C$1001,$AQ295)),IF($AR295&lt;&gt;"",IF(INDEX(Raw_D3!$K$2:$K$1001,$AR295)="","",INDEX(Raw_D3!$K$2:$K$1001,$AR295)),"")))</f>
        <v>0.2121</v>
      </c>
      <c r="L295" s="16">
        <f>IF($A295="","",IF($AQ295&lt;&gt;"",IF(INDEX(Raw_D2!$D$2:$D$1001,$AQ295)="","",INDEX(Raw_D2!$D$2:$D$1001,$AQ295)),IF($AR295&lt;&gt;"",IF(INDEX(Raw_D3!$L$2:$L$1001,$AR295)="","",INDEX(Raw_D3!$L$2:$L$1001,$AR295)),"")))</f>
        <v>0.38</v>
      </c>
      <c r="M295" s="17">
        <f>IF($A295="","",IF($AQ295&lt;&gt;"",IF(INDEX(Raw_D2!$E$2:$E$1001,$AQ295)="","",INDEX(Raw_D2!$E$2:$E$1001,$AQ295)),IF($AR295&lt;&gt;"",IF(INDEX(Raw_D3!$M$2:$M$1001,$AR295)="","",INDEX(Raw_D3!$M$2:$M$1001,$AR295)),"")))</f>
        <v>0.3582</v>
      </c>
      <c r="N295" s="5">
        <f>IF($A295="","",IF($AQ295&lt;&gt;"",IF(INDEX(Raw_D2!$F$2:$F$1001,$AQ295)="","",INDEX(Raw_D2!$F$2:$F$1001,$AQ295)),IF($AR295&lt;&gt;"",IF(INDEX(Raw_D3!$N$2:$N$1001,$AR295)="","",INDEX(Raw_D3!$N$2:$N$1001,$AR295)),"")))</f>
        <v>2</v>
      </c>
      <c r="O295" s="5">
        <f>IF($A295="","",IF($AQ295&lt;&gt;"",IF(INDEX(Raw_D2!$G$2:$G$1001,$AQ295)="","",INDEX(Raw_D2!$G$2:$G$1001,$AQ295)),IF($AR295&lt;&gt;"",IF(INDEX(Raw_D3!$O$2:$O$1001,$AR295)="","",INDEX(Raw_D3!$O$2:$O$1001,$AR295)),"")))</f>
        <v>76</v>
      </c>
      <c r="P295" s="5">
        <f>IF($A295="","",IF($AQ295&lt;&gt;"",IF(INDEX(Raw_D2!$H$2:$H$1001,$AQ295)="","",INDEX(Raw_D2!$H$2:$H$1001,$AQ295)),IF($AR295&lt;&gt;"",IF(INDEX(Raw_D3!$P$2:$P$1001,$AR295)="","",INDEX(Raw_D3!$P$2:$P$1001,$AR295)),"")))</f>
        <v>78</v>
      </c>
      <c r="Q295" s="5" t="str">
        <f>IF($A295="","",IF(AND($AP295&lt;&gt;"",$AQ295&lt;&gt;""),"D1+D2",IF($AR295&lt;&gt;"","D3","Incomplete")))</f>
        <v>D1+D2</v>
      </c>
      <c r="R295" s="17">
        <f>IF($A295="","",IF($K295="",IF($J295="","",ROUND(Lookups!$K$5+Lookups!$K$4*$J295,4)),$K295))</f>
        <v>0.2121</v>
      </c>
      <c r="S295" s="5" t="str">
        <f>IF($A295="","",IF($K295="","Imputed","Original"))</f>
        <v>Original</v>
      </c>
      <c r="T295" s="5" t="str">
        <f>IF($A295="","",IF($P295="","Missing",IF($P295=$N295+$O295,"OK","Mismatch")))</f>
        <v>OK</v>
      </c>
      <c r="U295" s="5" t="str">
        <f>IF($A295="","",IF(COUNTIF($A$2:$A295,$A295)&gt;1,"Duplicate","Unique"))</f>
        <v>Unique</v>
      </c>
      <c r="V295" s="5">
        <f>IF($A295="","",IF(AND($U295="Unique",ISNUMBER($P295)),1,0))</f>
        <v>1</v>
      </c>
      <c r="W295" s="5" t="str">
        <f>IF($A295="","",IF(OR($H295=0,$H295=6),"Weekend","Weekday"))</f>
        <v>Weekday</v>
      </c>
      <c r="X295" s="5" t="str">
        <f>IF($A295="","",TEXT($B295,"ddd"))</f>
        <v>Thu</v>
      </c>
      <c r="Y295" s="5" t="str">
        <f>IF($A295="","",TEXT($B295,"mmm"))</f>
        <v>Jan</v>
      </c>
      <c r="Z295" s="5" t="str">
        <f>IF($A295="","",IFERROR(VLOOKUP($C295,Lookups!$D$4:$E$7,2,FALSE),"Unknown"))</f>
        <v>Winter</v>
      </c>
      <c r="AA295" s="5" t="str">
        <f>IF($A295="","",IFERROR(VLOOKUP($I295,Lookups!$A$4:$B$7,2,FALSE),"Unknown"))</f>
        <v>Clear</v>
      </c>
      <c r="AB295" s="5" t="str">
        <f>IF($A295="","",TEXT($F295,"00")&amp;":00")</f>
        <v>16:00</v>
      </c>
      <c r="AC295" s="5" t="str">
        <f>IF($A295="","",VLOOKUP($F295,Lookups!$G$4:$H$8,2,TRUE))</f>
        <v>Evening Peak (16-19)</v>
      </c>
      <c r="AD295" s="18">
        <f>IF($A295="","",IF($J295="","",ROUND($J295*41,1)))</f>
        <v>9.8</v>
      </c>
      <c r="AE295" s="18">
        <f>IF($A295="","",IF($R295="","",ROUND($R295*50,1)))</f>
        <v>10.6</v>
      </c>
      <c r="AF295" s="5">
        <f>IF($A295="","",IF($L295="","",ROUND($L295*100,0)))</f>
        <v>38</v>
      </c>
      <c r="AG295" s="18">
        <f>IF($A295="","",IF($M295="","",ROUND($M295*67,1)))</f>
        <v>24</v>
      </c>
      <c r="AH295" s="19">
        <f>IF($A295="","",IF($P295="","",IF($P295=0,0,$O295/$P295)))</f>
        <v>0.974358974358974</v>
      </c>
      <c r="AI295" s="5" t="str">
        <f>IF($A295="","",IF($P295="","",IF($P295&gt;=Lookups!$K$7,"High",IF($P295&lt;=Lookups!$K$8,"Low","Medium"))))</f>
        <v>Medium</v>
      </c>
      <c r="AJ295" s="5" t="str">
        <f>IF($A295="","",IF($AD295="","",IF($AD295&lt;5,"Under 5 C",IF($AD295&lt;10,"5-10 C",IF($AD295&lt;15,"10-15 C","15 C and above")))))</f>
        <v>5-10 C</v>
      </c>
      <c r="AK295" s="5">
        <f>IF($A295="","",IF($P295="","",$P295^2))</f>
        <v>6084</v>
      </c>
      <c r="AL295" s="18">
        <f>IF($V295&lt;&gt;1,"",AVERAGEIFS(Clean_Data!$P$2:$P$1001,Clean_Data!$F$2:$F$1001,$F295,Clean_Data!$W$2:$W$1001,$W295,Clean_Data!$V$2:$V$1001,1))</f>
        <v>82.6333333333333</v>
      </c>
      <c r="AM295" s="16">
        <f>IF($V295&lt;&gt;1,"",IFERROR(($P295-$AL295)/SQRT(MAX(0,(SUMIFS(Clean_Data!$AK$2:$AK$1001,Clean_Data!$F$2:$F$1001,$F295,Clean_Data!$W$2:$W$1001,$W295,Clean_Data!$V$2:$V$1001,1)-COUNTIFS(Clean_Data!$F$2:$F$1001,$F295,Clean_Data!$W$2:$W$1001,$W295,Clean_Data!$V$2:$V$1001,1)*$AL295^2)/(COUNTIFS(Clean_Data!$F$2:$F$1001,$F295,Clean_Data!$W$2:$W$1001,$W295,Clean_Data!$V$2:$V$1001,1)-1))),""))</f>
        <v>-0.22335888458647</v>
      </c>
      <c r="AN295" s="5" t="str">
        <f>IF($AM295="","",IF($AM295&gt;=Lookups!$K$6,"High spike",IF($AM295&lt;=-Lookups!$K$6,"Unusual low","Normal")))</f>
        <v>Normal</v>
      </c>
      <c r="AO295" s="20">
        <f>IF($V295&lt;&gt;1,"",$P295+ROW()/100000)</f>
        <v>78.00295</v>
      </c>
      <c r="AP295" s="5">
        <f>IF($A295="","",IFERROR(MATCH($A295,Raw_D1!$A$2:$A$1001,0),""))</f>
        <v>294</v>
      </c>
      <c r="AQ295" s="5">
        <f>IF($A295="","",IFERROR(MATCH($A295,Raw_D2!$B$2:$B$1001,0),""))</f>
        <v>294</v>
      </c>
      <c r="AR295" s="5">
        <f>IF($A295="","",IFERROR(MATCH($A295,Raw_D3!$A$2:$A$1001,0),""))</f>
        <v/>
      </c>
    </row>
    <row r="296" spans="1:44" x14ac:dyDescent="0.25">
      <c r="A296" s="5">
        <v>295</v>
      </c>
      <c r="B296" s="11">
        <f>IF($A296="","",IF($AP296&lt;&gt;"",INDEX(Raw_D1!$B$2:$B$1001,$AP296),IF($AR296&lt;&gt;"",INDEX(Raw_D3!$B$2:$B$1001,$AR296),"")))</f>
        <v>40556.0</v>
      </c>
      <c r="C296" s="5">
        <f>IF($A296="","",IF($AP296&lt;&gt;"",INDEX(Raw_D1!$C$2:$C$1001,$AP296),IF($AR296&lt;&gt;"",INDEX(Raw_D3!$C$2:$C$1001,$AR296),"")))</f>
        <v>1</v>
      </c>
      <c r="D296" s="5">
        <f>IF($A296="","",IF($AP296&lt;&gt;"",INDEX(Raw_D1!$D$2:$D$1001,$AP296),IF($AR296&lt;&gt;"",INDEX(Raw_D3!$D$2:$D$1001,$AR296),"")))</f>
        <v>0</v>
      </c>
      <c r="E296" s="5">
        <f>IF($A296="","",IF($AP296&lt;&gt;"",INDEX(Raw_D1!$E$2:$E$1001,$AP296),IF($AR296&lt;&gt;"",INDEX(Raw_D3!$E$2:$E$1001,$AR296),"")))</f>
        <v>1</v>
      </c>
      <c r="F296" s="5">
        <f>IF($A296="","",IF($AP296&lt;&gt;"",INDEX(Raw_D1!$F$2:$F$1001,$AP296),IF($AR296&lt;&gt;"",INDEX(Raw_D3!$F$2:$F$1001,$AR296),"")))</f>
        <v>17</v>
      </c>
      <c r="G296" s="5">
        <f>IF($A296="","",IF($AP296&lt;&gt;"",IF(INDEX(Raw_D1!$G$2:$G$1001,$AP296),1,0),IF($AR296&lt;&gt;"",IF(INDEX(Raw_D3!$G$2:$G$1001,$AR296),1,0),"")))</f>
        <v>0</v>
      </c>
      <c r="H296" s="5">
        <f>IF($A296="","",IF($AP296&lt;&gt;"",INDEX(Raw_D1!$H$2:$H$1001,$AP296),IF($AR296&lt;&gt;"",INDEX(Raw_D3!$H$2:$H$1001,$AR296),"")))</f>
        <v>4</v>
      </c>
      <c r="I296" s="5">
        <f>IF($A296="","",IF($AP296&lt;&gt;"",INDEX(Raw_D1!$I$2:$I$1001,$AP296),IF($AR296&lt;&gt;"",INDEX(Raw_D3!$I$2:$I$1001,$AR296),"")))</f>
        <v>1</v>
      </c>
      <c r="J296" s="16">
        <f>IF($A296="","",IF($AP296&lt;&gt;"",INDEX(Raw_D1!$J$2:$J$1001,$AP296),IF($AR296&lt;&gt;"",INDEX(Raw_D3!$J$2:$J$1001,$AR296),"")))</f>
        <v>0.2</v>
      </c>
      <c r="K296" s="17">
        <f>IF($A296="","",IF($AQ296&lt;&gt;"",IF(INDEX(Raw_D2!$C$2:$C$1001,$AQ296)="","",INDEX(Raw_D2!$C$2:$C$1001,$AQ296)),IF($AR296&lt;&gt;"",IF(INDEX(Raw_D3!$K$2:$K$1001,$AR296)="","",INDEX(Raw_D3!$K$2:$K$1001,$AR296)),"")))</f>
        <v>0.1818</v>
      </c>
      <c r="L296" s="16">
        <f>IF($A296="","",IF($AQ296&lt;&gt;"",IF(INDEX(Raw_D2!$D$2:$D$1001,$AQ296)="","",INDEX(Raw_D2!$D$2:$D$1001,$AQ296)),IF($AR296&lt;&gt;"",IF(INDEX(Raw_D3!$L$2:$L$1001,$AR296)="","",INDEX(Raw_D3!$L$2:$L$1001,$AR296)),"")))</f>
        <v>0.4</v>
      </c>
      <c r="M296" s="17">
        <f>IF($A296="","",IF($AQ296&lt;&gt;"",IF(INDEX(Raw_D2!$E$2:$E$1001,$AQ296)="","",INDEX(Raw_D2!$E$2:$E$1001,$AQ296)),IF($AR296&lt;&gt;"",IF(INDEX(Raw_D3!$M$2:$M$1001,$AR296)="","",INDEX(Raw_D3!$M$2:$M$1001,$AR296)),"")))</f>
        <v>0.2836</v>
      </c>
      <c r="N296" s="5">
        <f>IF($A296="","",IF($AQ296&lt;&gt;"",IF(INDEX(Raw_D2!$F$2:$F$1001,$AQ296)="","",INDEX(Raw_D2!$F$2:$F$1001,$AQ296)),IF($AR296&lt;&gt;"",IF(INDEX(Raw_D3!$N$2:$N$1001,$AR296)="","",INDEX(Raw_D3!$N$2:$N$1001,$AR296)),"")))</f>
        <v>4</v>
      </c>
      <c r="O296" s="5">
        <f>IF($A296="","",IF($AQ296&lt;&gt;"",IF(INDEX(Raw_D2!$G$2:$G$1001,$AQ296)="","",INDEX(Raw_D2!$G$2:$G$1001,$AQ296)),IF($AR296&lt;&gt;"",IF(INDEX(Raw_D3!$O$2:$O$1001,$AR296)="","",INDEX(Raw_D3!$O$2:$O$1001,$AR296)),"")))</f>
        <v>158</v>
      </c>
      <c r="P296" s="5">
        <f>IF($A296="","",IF($AQ296&lt;&gt;"",IF(INDEX(Raw_D2!$H$2:$H$1001,$AQ296)="","",INDEX(Raw_D2!$H$2:$H$1001,$AQ296)),IF($AR296&lt;&gt;"",IF(INDEX(Raw_D3!$P$2:$P$1001,$AR296)="","",INDEX(Raw_D3!$P$2:$P$1001,$AR296)),"")))</f>
        <v>162</v>
      </c>
      <c r="Q296" s="5" t="str">
        <f>IF($A296="","",IF(AND($AP296&lt;&gt;"",$AQ296&lt;&gt;""),"D1+D2",IF($AR296&lt;&gt;"","D3","Incomplete")))</f>
        <v>D1+D2</v>
      </c>
      <c r="R296" s="17">
        <f>IF($A296="","",IF($K296="",IF($J296="","",ROUND(Lookups!$K$5+Lookups!$K$4*$J296,4)),$K296))</f>
        <v>0.1818</v>
      </c>
      <c r="S296" s="5" t="str">
        <f>IF($A296="","",IF($K296="","Imputed","Original"))</f>
        <v>Original</v>
      </c>
      <c r="T296" s="5" t="str">
        <f>IF($A296="","",IF($P296="","Missing",IF($P296=$N296+$O296,"OK","Mismatch")))</f>
        <v>OK</v>
      </c>
      <c r="U296" s="5" t="str">
        <f>IF($A296="","",IF(COUNTIF($A$2:$A296,$A296)&gt;1,"Duplicate","Unique"))</f>
        <v>Unique</v>
      </c>
      <c r="V296" s="5">
        <f>IF($A296="","",IF(AND($U296="Unique",ISNUMBER($P296)),1,0))</f>
        <v>1</v>
      </c>
      <c r="W296" s="5" t="str">
        <f>IF($A296="","",IF(OR($H296=0,$H296=6),"Weekend","Weekday"))</f>
        <v>Weekday</v>
      </c>
      <c r="X296" s="5" t="str">
        <f>IF($A296="","",TEXT($B296,"ddd"))</f>
        <v>Thu</v>
      </c>
      <c r="Y296" s="5" t="str">
        <f>IF($A296="","",TEXT($B296,"mmm"))</f>
        <v>Jan</v>
      </c>
      <c r="Z296" s="5" t="str">
        <f>IF($A296="","",IFERROR(VLOOKUP($C296,Lookups!$D$4:$E$7,2,FALSE),"Unknown"))</f>
        <v>Winter</v>
      </c>
      <c r="AA296" s="5" t="str">
        <f>IF($A296="","",IFERROR(VLOOKUP($I296,Lookups!$A$4:$B$7,2,FALSE),"Unknown"))</f>
        <v>Clear</v>
      </c>
      <c r="AB296" s="5" t="str">
        <f>IF($A296="","",TEXT($F296,"00")&amp;":00")</f>
        <v>17:00</v>
      </c>
      <c r="AC296" s="5" t="str">
        <f>IF($A296="","",VLOOKUP($F296,Lookups!$G$4:$H$8,2,TRUE))</f>
        <v>Evening Peak (16-19)</v>
      </c>
      <c r="AD296" s="18">
        <f>IF($A296="","",IF($J296="","",ROUND($J296*41,1)))</f>
        <v>8.2</v>
      </c>
      <c r="AE296" s="18">
        <f>IF($A296="","",IF($R296="","",ROUND($R296*50,1)))</f>
        <v>9.1</v>
      </c>
      <c r="AF296" s="5">
        <f>IF($A296="","",IF($L296="","",ROUND($L296*100,0)))</f>
        <v>40</v>
      </c>
      <c r="AG296" s="18">
        <f>IF($A296="","",IF($M296="","",ROUND($M296*67,1)))</f>
        <v>19</v>
      </c>
      <c r="AH296" s="19">
        <f>IF($A296="","",IF($P296="","",IF($P296=0,0,$O296/$P296)))</f>
        <v>0.975308641975309</v>
      </c>
      <c r="AI296" s="5" t="str">
        <f>IF($A296="","",IF($P296="","",IF($P296&gt;=Lookups!$K$7,"High",IF($P296&lt;=Lookups!$K$8,"Low","Medium"))))</f>
        <v>High</v>
      </c>
      <c r="AJ296" s="5" t="str">
        <f>IF($A296="","",IF($AD296="","",IF($AD296&lt;5,"Under 5 C",IF($AD296&lt;10,"5-10 C",IF($AD296&lt;15,"10-15 C","15 C and above")))))</f>
        <v>5-10 C</v>
      </c>
      <c r="AK296" s="5">
        <f>IF($A296="","",IF($P296="","",$P296^2))</f>
        <v>26244</v>
      </c>
      <c r="AL296" s="18">
        <f>IF($V296&lt;&gt;1,"",AVERAGEIFS(Clean_Data!$P$2:$P$1001,Clean_Data!$F$2:$F$1001,$F296,Clean_Data!$W$2:$W$1001,$W296,Clean_Data!$V$2:$V$1001,1))</f>
        <v>165.566666666667</v>
      </c>
      <c r="AM296" s="16">
        <f>IF($V296&lt;&gt;1,"",IFERROR(($P296-$AL296)/SQRT(MAX(0,(SUMIFS(Clean_Data!$AK$2:$AK$1001,Clean_Data!$F$2:$F$1001,$F296,Clean_Data!$W$2:$W$1001,$W296,Clean_Data!$V$2:$V$1001,1)-COUNTIFS(Clean_Data!$F$2:$F$1001,$F296,Clean_Data!$W$2:$W$1001,$W296,Clean_Data!$V$2:$V$1001,1)*$AL296^2)/(COUNTIFS(Clean_Data!$F$2:$F$1001,$F296,Clean_Data!$W$2:$W$1001,$W296,Clean_Data!$V$2:$V$1001,1)-1))),""))</f>
        <v>-0.0810365294251126</v>
      </c>
      <c r="AN296" s="5" t="str">
        <f>IF($AM296="","",IF($AM296&gt;=Lookups!$K$6,"High spike",IF($AM296&lt;=-Lookups!$K$6,"Unusual low","Normal")))</f>
        <v>Normal</v>
      </c>
      <c r="AO296" s="20">
        <f>IF($V296&lt;&gt;1,"",$P296+ROW()/100000)</f>
        <v>162.00296</v>
      </c>
      <c r="AP296" s="5">
        <f>IF($A296="","",IFERROR(MATCH($A296,Raw_D1!$A$2:$A$1001,0),""))</f>
        <v>295</v>
      </c>
      <c r="AQ296" s="5">
        <f>IF($A296="","",IFERROR(MATCH($A296,Raw_D2!$B$2:$B$1001,0),""))</f>
        <v>295</v>
      </c>
      <c r="AR296" s="5">
        <f>IF($A296="","",IFERROR(MATCH($A296,Raw_D3!$A$2:$A$1001,0),""))</f>
        <v/>
      </c>
    </row>
    <row r="297" spans="1:44" x14ac:dyDescent="0.25">
      <c r="A297" s="5">
        <v>296</v>
      </c>
      <c r="B297" s="11">
        <f>IF($A297="","",IF($AP297&lt;&gt;"",INDEX(Raw_D1!$B$2:$B$1001,$AP297),IF($AR297&lt;&gt;"",INDEX(Raw_D3!$B$2:$B$1001,$AR297),"")))</f>
        <v>40556.0</v>
      </c>
      <c r="C297" s="5">
        <f>IF($A297="","",IF($AP297&lt;&gt;"",INDEX(Raw_D1!$C$2:$C$1001,$AP297),IF($AR297&lt;&gt;"",INDEX(Raw_D3!$C$2:$C$1001,$AR297),"")))</f>
        <v>1</v>
      </c>
      <c r="D297" s="5">
        <f>IF($A297="","",IF($AP297&lt;&gt;"",INDEX(Raw_D1!$D$2:$D$1001,$AP297),IF($AR297&lt;&gt;"",INDEX(Raw_D3!$D$2:$D$1001,$AR297),"")))</f>
        <v>0</v>
      </c>
      <c r="E297" s="5">
        <f>IF($A297="","",IF($AP297&lt;&gt;"",INDEX(Raw_D1!$E$2:$E$1001,$AP297),IF($AR297&lt;&gt;"",INDEX(Raw_D3!$E$2:$E$1001,$AR297),"")))</f>
        <v>1</v>
      </c>
      <c r="F297" s="5">
        <f>IF($A297="","",IF($AP297&lt;&gt;"",INDEX(Raw_D1!$F$2:$F$1001,$AP297),IF($AR297&lt;&gt;"",INDEX(Raw_D3!$F$2:$F$1001,$AR297),"")))</f>
        <v>18</v>
      </c>
      <c r="G297" s="5">
        <f>IF($A297="","",IF($AP297&lt;&gt;"",IF(INDEX(Raw_D1!$G$2:$G$1001,$AP297),1,0),IF($AR297&lt;&gt;"",IF(INDEX(Raw_D3!$G$2:$G$1001,$AR297),1,0),"")))</f>
        <v>0</v>
      </c>
      <c r="H297" s="5">
        <f>IF($A297="","",IF($AP297&lt;&gt;"",INDEX(Raw_D1!$H$2:$H$1001,$AP297),IF($AR297&lt;&gt;"",INDEX(Raw_D3!$H$2:$H$1001,$AR297),"")))</f>
        <v>4</v>
      </c>
      <c r="I297" s="5">
        <f>IF($A297="","",IF($AP297&lt;&gt;"",INDEX(Raw_D1!$I$2:$I$1001,$AP297),IF($AR297&lt;&gt;"",INDEX(Raw_D3!$I$2:$I$1001,$AR297),"")))</f>
        <v>1</v>
      </c>
      <c r="J297" s="16">
        <f>IF($A297="","",IF($AP297&lt;&gt;"",INDEX(Raw_D1!$J$2:$J$1001,$AP297),IF($AR297&lt;&gt;"",INDEX(Raw_D3!$J$2:$J$1001,$AR297),"")))</f>
        <v>0.2</v>
      </c>
      <c r="K297" s="17">
        <f>IF($A297="","",IF($AQ297&lt;&gt;"",IF(INDEX(Raw_D2!$C$2:$C$1001,$AQ297)="","",INDEX(Raw_D2!$C$2:$C$1001,$AQ297)),IF($AR297&lt;&gt;"",IF(INDEX(Raw_D3!$K$2:$K$1001,$AR297)="","",INDEX(Raw_D3!$K$2:$K$1001,$AR297)),"")))</f>
        <v>0.1818</v>
      </c>
      <c r="L297" s="16">
        <f>IF($A297="","",IF($AQ297&lt;&gt;"",IF(INDEX(Raw_D2!$D$2:$D$1001,$AQ297)="","",INDEX(Raw_D2!$D$2:$D$1001,$AQ297)),IF($AR297&lt;&gt;"",IF(INDEX(Raw_D3!$L$2:$L$1001,$AR297)="","",INDEX(Raw_D3!$L$2:$L$1001,$AR297)),"")))</f>
        <v>0.4</v>
      </c>
      <c r="M297" s="17">
        <f>IF($A297="","",IF($AQ297&lt;&gt;"",IF(INDEX(Raw_D2!$E$2:$E$1001,$AQ297)="","",INDEX(Raw_D2!$E$2:$E$1001,$AQ297)),IF($AR297&lt;&gt;"",IF(INDEX(Raw_D3!$M$2:$M$1001,$AR297)="","",INDEX(Raw_D3!$M$2:$M$1001,$AR297)),"")))</f>
        <v>0.3284</v>
      </c>
      <c r="N297" s="5">
        <f>IF($A297="","",IF($AQ297&lt;&gt;"",IF(INDEX(Raw_D2!$F$2:$F$1001,$AQ297)="","",INDEX(Raw_D2!$F$2:$F$1001,$AQ297)),IF($AR297&lt;&gt;"",IF(INDEX(Raw_D3!$N$2:$N$1001,$AR297)="","",INDEX(Raw_D3!$N$2:$N$1001,$AR297)),"")))</f>
        <v>3</v>
      </c>
      <c r="O297" s="5">
        <f>IF($A297="","",IF($AQ297&lt;&gt;"",IF(INDEX(Raw_D2!$G$2:$G$1001,$AQ297)="","",INDEX(Raw_D2!$G$2:$G$1001,$AQ297)),IF($AR297&lt;&gt;"",IF(INDEX(Raw_D3!$O$2:$O$1001,$AR297)="","",INDEX(Raw_D3!$O$2:$O$1001,$AR297)),"")))</f>
        <v>141</v>
      </c>
      <c r="P297" s="5">
        <f>IF($A297="","",IF($AQ297&lt;&gt;"",IF(INDEX(Raw_D2!$H$2:$H$1001,$AQ297)="","",INDEX(Raw_D2!$H$2:$H$1001,$AQ297)),IF($AR297&lt;&gt;"",IF(INDEX(Raw_D3!$P$2:$P$1001,$AR297)="","",INDEX(Raw_D3!$P$2:$P$1001,$AR297)),"")))</f>
        <v>144</v>
      </c>
      <c r="Q297" s="5" t="str">
        <f>IF($A297="","",IF(AND($AP297&lt;&gt;"",$AQ297&lt;&gt;""),"D1+D2",IF($AR297&lt;&gt;"","D3","Incomplete")))</f>
        <v>D1+D2</v>
      </c>
      <c r="R297" s="17">
        <f>IF($A297="","",IF($K297="",IF($J297="","",ROUND(Lookups!$K$5+Lookups!$K$4*$J297,4)),$K297))</f>
        <v>0.1818</v>
      </c>
      <c r="S297" s="5" t="str">
        <f>IF($A297="","",IF($K297="","Imputed","Original"))</f>
        <v>Original</v>
      </c>
      <c r="T297" s="5" t="str">
        <f>IF($A297="","",IF($P297="","Missing",IF($P297=$N297+$O297,"OK","Mismatch")))</f>
        <v>OK</v>
      </c>
      <c r="U297" s="5" t="str">
        <f>IF($A297="","",IF(COUNTIF($A$2:$A297,$A297)&gt;1,"Duplicate","Unique"))</f>
        <v>Unique</v>
      </c>
      <c r="V297" s="5">
        <f>IF($A297="","",IF(AND($U297="Unique",ISNUMBER($P297)),1,0))</f>
        <v>1</v>
      </c>
      <c r="W297" s="5" t="str">
        <f>IF($A297="","",IF(OR($H297=0,$H297=6),"Weekend","Weekday"))</f>
        <v>Weekday</v>
      </c>
      <c r="X297" s="5" t="str">
        <f>IF($A297="","",TEXT($B297,"ddd"))</f>
        <v>Thu</v>
      </c>
      <c r="Y297" s="5" t="str">
        <f>IF($A297="","",TEXT($B297,"mmm"))</f>
        <v>Jan</v>
      </c>
      <c r="Z297" s="5" t="str">
        <f>IF($A297="","",IFERROR(VLOOKUP($C297,Lookups!$D$4:$E$7,2,FALSE),"Unknown"))</f>
        <v>Winter</v>
      </c>
      <c r="AA297" s="5" t="str">
        <f>IF($A297="","",IFERROR(VLOOKUP($I297,Lookups!$A$4:$B$7,2,FALSE),"Unknown"))</f>
        <v>Clear</v>
      </c>
      <c r="AB297" s="5" t="str">
        <f>IF($A297="","",TEXT($F297,"00")&amp;":00")</f>
        <v>18:00</v>
      </c>
      <c r="AC297" s="5" t="str">
        <f>IF($A297="","",VLOOKUP($F297,Lookups!$G$4:$H$8,2,TRUE))</f>
        <v>Evening Peak (16-19)</v>
      </c>
      <c r="AD297" s="18">
        <f>IF($A297="","",IF($J297="","",ROUND($J297*41,1)))</f>
        <v>8.2</v>
      </c>
      <c r="AE297" s="18">
        <f>IF($A297="","",IF($R297="","",ROUND($R297*50,1)))</f>
        <v>9.1</v>
      </c>
      <c r="AF297" s="5">
        <f>IF($A297="","",IF($L297="","",ROUND($L297*100,0)))</f>
        <v>40</v>
      </c>
      <c r="AG297" s="18">
        <f>IF($A297="","",IF($M297="","",ROUND($M297*67,1)))</f>
        <v>22</v>
      </c>
      <c r="AH297" s="19">
        <f>IF($A297="","",IF($P297="","",IF($P297=0,0,$O297/$P297)))</f>
        <v>0.979166666666667</v>
      </c>
      <c r="AI297" s="5" t="str">
        <f>IF($A297="","",IF($P297="","",IF($P297&gt;=Lookups!$K$7,"High",IF($P297&lt;=Lookups!$K$8,"Low","Medium"))))</f>
        <v>High</v>
      </c>
      <c r="AJ297" s="5" t="str">
        <f>IF($A297="","",IF($AD297="","",IF($AD297&lt;5,"Under 5 C",IF($AD297&lt;10,"5-10 C",IF($AD297&lt;15,"10-15 C","15 C and above")))))</f>
        <v>5-10 C</v>
      </c>
      <c r="AK297" s="5">
        <f>IF($A297="","",IF($P297="","",$P297^2))</f>
        <v>20736</v>
      </c>
      <c r="AL297" s="18">
        <f>IF($V297&lt;&gt;1,"",AVERAGEIFS(Clean_Data!$P$2:$P$1001,Clean_Data!$F$2:$F$1001,$F297,Clean_Data!$W$2:$W$1001,$W297,Clean_Data!$V$2:$V$1001,1))</f>
        <v>151.206896551724</v>
      </c>
      <c r="AM297" s="16">
        <f>IF($V297&lt;&gt;1,"",IFERROR(($P297-$AL297)/SQRT(MAX(0,(SUMIFS(Clean_Data!$AK$2:$AK$1001,Clean_Data!$F$2:$F$1001,$F297,Clean_Data!$W$2:$W$1001,$W297,Clean_Data!$V$2:$V$1001,1)-COUNTIFS(Clean_Data!$F$2:$F$1001,$F297,Clean_Data!$W$2:$W$1001,$W297,Clean_Data!$V$2:$V$1001,1)*$AL297^2)/(COUNTIFS(Clean_Data!$F$2:$F$1001,$F297,Clean_Data!$W$2:$W$1001,$W297,Clean_Data!$V$2:$V$1001,1)-1))),""))</f>
        <v>-0.245555591778961</v>
      </c>
      <c r="AN297" s="5" t="str">
        <f>IF($AM297="","",IF($AM297&gt;=Lookups!$K$6,"High spike",IF($AM297&lt;=-Lookups!$K$6,"Unusual low","Normal")))</f>
        <v>Normal</v>
      </c>
      <c r="AO297" s="20">
        <f>IF($V297&lt;&gt;1,"",$P297+ROW()/100000)</f>
        <v>144.00297</v>
      </c>
      <c r="AP297" s="5">
        <f>IF($A297="","",IFERROR(MATCH($A297,Raw_D1!$A$2:$A$1001,0),""))</f>
        <v>296</v>
      </c>
      <c r="AQ297" s="5">
        <f>IF($A297="","",IFERROR(MATCH($A297,Raw_D2!$B$2:$B$1001,0),""))</f>
        <v>296</v>
      </c>
      <c r="AR297" s="5">
        <f>IF($A297="","",IFERROR(MATCH($A297,Raw_D3!$A$2:$A$1001,0),""))</f>
        <v/>
      </c>
    </row>
    <row r="298" spans="1:44" x14ac:dyDescent="0.25">
      <c r="A298" s="5">
        <v>297</v>
      </c>
      <c r="B298" s="11">
        <f>IF($A298="","",IF($AP298&lt;&gt;"",INDEX(Raw_D1!$B$2:$B$1001,$AP298),IF($AR298&lt;&gt;"",INDEX(Raw_D3!$B$2:$B$1001,$AR298),"")))</f>
        <v>40556.0</v>
      </c>
      <c r="C298" s="5">
        <f>IF($A298="","",IF($AP298&lt;&gt;"",INDEX(Raw_D1!$C$2:$C$1001,$AP298),IF($AR298&lt;&gt;"",INDEX(Raw_D3!$C$2:$C$1001,$AR298),"")))</f>
        <v>1</v>
      </c>
      <c r="D298" s="5">
        <f>IF($A298="","",IF($AP298&lt;&gt;"",INDEX(Raw_D1!$D$2:$D$1001,$AP298),IF($AR298&lt;&gt;"",INDEX(Raw_D3!$D$2:$D$1001,$AR298),"")))</f>
        <v>0</v>
      </c>
      <c r="E298" s="5">
        <f>IF($A298="","",IF($AP298&lt;&gt;"",INDEX(Raw_D1!$E$2:$E$1001,$AP298),IF($AR298&lt;&gt;"",INDEX(Raw_D3!$E$2:$E$1001,$AR298),"")))</f>
        <v>1</v>
      </c>
      <c r="F298" s="5">
        <f>IF($A298="","",IF($AP298&lt;&gt;"",INDEX(Raw_D1!$F$2:$F$1001,$AP298),IF($AR298&lt;&gt;"",INDEX(Raw_D3!$F$2:$F$1001,$AR298),"")))</f>
        <v>19</v>
      </c>
      <c r="G298" s="5">
        <f>IF($A298="","",IF($AP298&lt;&gt;"",IF(INDEX(Raw_D1!$G$2:$G$1001,$AP298),1,0),IF($AR298&lt;&gt;"",IF(INDEX(Raw_D3!$G$2:$G$1001,$AR298),1,0),"")))</f>
        <v>0</v>
      </c>
      <c r="H298" s="5">
        <f>IF($A298="","",IF($AP298&lt;&gt;"",INDEX(Raw_D1!$H$2:$H$1001,$AP298),IF($AR298&lt;&gt;"",INDEX(Raw_D3!$H$2:$H$1001,$AR298),"")))</f>
        <v>4</v>
      </c>
      <c r="I298" s="5">
        <f>IF($A298="","",IF($AP298&lt;&gt;"",INDEX(Raw_D1!$I$2:$I$1001,$AP298),IF($AR298&lt;&gt;"",INDEX(Raw_D3!$I$2:$I$1001,$AR298),"")))</f>
        <v>1</v>
      </c>
      <c r="J298" s="16">
        <f>IF($A298="","",IF($AP298&lt;&gt;"",INDEX(Raw_D1!$J$2:$J$1001,$AP298),IF($AR298&lt;&gt;"",INDEX(Raw_D3!$J$2:$J$1001,$AR298),"")))</f>
        <v>0.16</v>
      </c>
      <c r="K298" s="17">
        <f>IF($A298="","",IF($AQ298&lt;&gt;"",IF(INDEX(Raw_D2!$C$2:$C$1001,$AQ298)="","",INDEX(Raw_D2!$C$2:$C$1001,$AQ298)),IF($AR298&lt;&gt;"",IF(INDEX(Raw_D3!$K$2:$K$1001,$AR298)="","",INDEX(Raw_D3!$K$2:$K$1001,$AR298)),"")))</f>
        <v>0.1515</v>
      </c>
      <c r="L298" s="16">
        <f>IF($A298="","",IF($AQ298&lt;&gt;"",IF(INDEX(Raw_D2!$D$2:$D$1001,$AQ298)="","",INDEX(Raw_D2!$D$2:$D$1001,$AQ298)),IF($AR298&lt;&gt;"",IF(INDEX(Raw_D3!$L$2:$L$1001,$AR298)="","",INDEX(Raw_D3!$L$2:$L$1001,$AR298)),"")))</f>
        <v>0.47</v>
      </c>
      <c r="M298" s="17">
        <f>IF($A298="","",IF($AQ298&lt;&gt;"",IF(INDEX(Raw_D2!$E$2:$E$1001,$AQ298)="","",INDEX(Raw_D2!$E$2:$E$1001,$AQ298)),IF($AR298&lt;&gt;"",IF(INDEX(Raw_D3!$M$2:$M$1001,$AR298)="","",INDEX(Raw_D3!$M$2:$M$1001,$AR298)),"")))</f>
        <v>0.2537</v>
      </c>
      <c r="N298" s="5">
        <f>IF($A298="","",IF($AQ298&lt;&gt;"",IF(INDEX(Raw_D2!$F$2:$F$1001,$AQ298)="","",INDEX(Raw_D2!$F$2:$F$1001,$AQ298)),IF($AR298&lt;&gt;"",IF(INDEX(Raw_D3!$N$2:$N$1001,$AR298)="","",INDEX(Raw_D3!$N$2:$N$1001,$AR298)),"")))</f>
        <v>1</v>
      </c>
      <c r="O298" s="5">
        <f>IF($A298="","",IF($AQ298&lt;&gt;"",IF(INDEX(Raw_D2!$G$2:$G$1001,$AQ298)="","",INDEX(Raw_D2!$G$2:$G$1001,$AQ298)),IF($AR298&lt;&gt;"",IF(INDEX(Raw_D3!$O$2:$O$1001,$AR298)="","",INDEX(Raw_D3!$O$2:$O$1001,$AR298)),"")))</f>
        <v>98</v>
      </c>
      <c r="P298" s="5">
        <f>IF($A298="","",IF($AQ298&lt;&gt;"",IF(INDEX(Raw_D2!$H$2:$H$1001,$AQ298)="","",INDEX(Raw_D2!$H$2:$H$1001,$AQ298)),IF($AR298&lt;&gt;"",IF(INDEX(Raw_D3!$P$2:$P$1001,$AR298)="","",INDEX(Raw_D3!$P$2:$P$1001,$AR298)),"")))</f>
        <v>99</v>
      </c>
      <c r="Q298" s="5" t="str">
        <f>IF($A298="","",IF(AND($AP298&lt;&gt;"",$AQ298&lt;&gt;""),"D1+D2",IF($AR298&lt;&gt;"","D3","Incomplete")))</f>
        <v>D1+D2</v>
      </c>
      <c r="R298" s="17">
        <f>IF($A298="","",IF($K298="",IF($J298="","",ROUND(Lookups!$K$5+Lookups!$K$4*$J298,4)),$K298))</f>
        <v>0.1515</v>
      </c>
      <c r="S298" s="5" t="str">
        <f>IF($A298="","",IF($K298="","Imputed","Original"))</f>
        <v>Original</v>
      </c>
      <c r="T298" s="5" t="str">
        <f>IF($A298="","",IF($P298="","Missing",IF($P298=$N298+$O298,"OK","Mismatch")))</f>
        <v>OK</v>
      </c>
      <c r="U298" s="5" t="str">
        <f>IF($A298="","",IF(COUNTIF($A$2:$A298,$A298)&gt;1,"Duplicate","Unique"))</f>
        <v>Unique</v>
      </c>
      <c r="V298" s="5">
        <f>IF($A298="","",IF(AND($U298="Unique",ISNUMBER($P298)),1,0))</f>
        <v>1</v>
      </c>
      <c r="W298" s="5" t="str">
        <f>IF($A298="","",IF(OR($H298=0,$H298=6),"Weekend","Weekday"))</f>
        <v>Weekday</v>
      </c>
      <c r="X298" s="5" t="str">
        <f>IF($A298="","",TEXT($B298,"ddd"))</f>
        <v>Thu</v>
      </c>
      <c r="Y298" s="5" t="str">
        <f>IF($A298="","",TEXT($B298,"mmm"))</f>
        <v>Jan</v>
      </c>
      <c r="Z298" s="5" t="str">
        <f>IF($A298="","",IFERROR(VLOOKUP($C298,Lookups!$D$4:$E$7,2,FALSE),"Unknown"))</f>
        <v>Winter</v>
      </c>
      <c r="AA298" s="5" t="str">
        <f>IF($A298="","",IFERROR(VLOOKUP($I298,Lookups!$A$4:$B$7,2,FALSE),"Unknown"))</f>
        <v>Clear</v>
      </c>
      <c r="AB298" s="5" t="str">
        <f>IF($A298="","",TEXT($F298,"00")&amp;":00")</f>
        <v>19:00</v>
      </c>
      <c r="AC298" s="5" t="str">
        <f>IF($A298="","",VLOOKUP($F298,Lookups!$G$4:$H$8,2,TRUE))</f>
        <v>Evening Peak (16-19)</v>
      </c>
      <c r="AD298" s="18">
        <f>IF($A298="","",IF($J298="","",ROUND($J298*41,1)))</f>
        <v>6.6</v>
      </c>
      <c r="AE298" s="18">
        <f>IF($A298="","",IF($R298="","",ROUND($R298*50,1)))</f>
        <v>7.6</v>
      </c>
      <c r="AF298" s="5">
        <f>IF($A298="","",IF($L298="","",ROUND($L298*100,0)))</f>
        <v>47</v>
      </c>
      <c r="AG298" s="18">
        <f>IF($A298="","",IF($M298="","",ROUND($M298*67,1)))</f>
        <v>17</v>
      </c>
      <c r="AH298" s="19">
        <f>IF($A298="","",IF($P298="","",IF($P298=0,0,$O298/$P298)))</f>
        <v>0.98989898989899</v>
      </c>
      <c r="AI298" s="5" t="str">
        <f>IF($A298="","",IF($P298="","",IF($P298&gt;=Lookups!$K$7,"High",IF($P298&lt;=Lookups!$K$8,"Low","Medium"))))</f>
        <v>High</v>
      </c>
      <c r="AJ298" s="5" t="str">
        <f>IF($A298="","",IF($AD298="","",IF($AD298&lt;5,"Under 5 C",IF($AD298&lt;10,"5-10 C",IF($AD298&lt;15,"10-15 C","15 C and above")))))</f>
        <v>5-10 C</v>
      </c>
      <c r="AK298" s="5">
        <f>IF($A298="","",IF($P298="","",$P298^2))</f>
        <v>9801</v>
      </c>
      <c r="AL298" s="18">
        <f>IF($V298&lt;&gt;1,"",AVERAGEIFS(Clean_Data!$P$2:$P$1001,Clean_Data!$F$2:$F$1001,$F298,Clean_Data!$W$2:$W$1001,$W298,Clean_Data!$V$2:$V$1001,1))</f>
        <v>102.034482758621</v>
      </c>
      <c r="AM298" s="16">
        <f>IF($V298&lt;&gt;1,"",IFERROR(($P298-$AL298)/SQRT(MAX(0,(SUMIFS(Clean_Data!$AK$2:$AK$1001,Clean_Data!$F$2:$F$1001,$F298,Clean_Data!$W$2:$W$1001,$W298,Clean_Data!$V$2:$V$1001,1)-COUNTIFS(Clean_Data!$F$2:$F$1001,$F298,Clean_Data!$W$2:$W$1001,$W298,Clean_Data!$V$2:$V$1001,1)*$AL298^2)/(COUNTIFS(Clean_Data!$F$2:$F$1001,$F298,Clean_Data!$W$2:$W$1001,$W298,Clean_Data!$V$2:$V$1001,1)-1))),""))</f>
        <v>-0.142814915287173</v>
      </c>
      <c r="AN298" s="5" t="str">
        <f>IF($AM298="","",IF($AM298&gt;=Lookups!$K$6,"High spike",IF($AM298&lt;=-Lookups!$K$6,"Unusual low","Normal")))</f>
        <v>Normal</v>
      </c>
      <c r="AO298" s="20">
        <f>IF($V298&lt;&gt;1,"",$P298+ROW()/100000)</f>
        <v>99.00298</v>
      </c>
      <c r="AP298" s="5">
        <f>IF($A298="","",IFERROR(MATCH($A298,Raw_D1!$A$2:$A$1001,0),""))</f>
        <v>297</v>
      </c>
      <c r="AQ298" s="5">
        <f>IF($A298="","",IFERROR(MATCH($A298,Raw_D2!$B$2:$B$1001,0),""))</f>
        <v>297</v>
      </c>
      <c r="AR298" s="5">
        <f>IF($A298="","",IFERROR(MATCH($A298,Raw_D3!$A$2:$A$1001,0),""))</f>
        <v/>
      </c>
    </row>
    <row r="299" spans="1:44" x14ac:dyDescent="0.25">
      <c r="A299" s="5">
        <v>298</v>
      </c>
      <c r="B299" s="11">
        <f>IF($A299="","",IF($AP299&lt;&gt;"",INDEX(Raw_D1!$B$2:$B$1001,$AP299),IF($AR299&lt;&gt;"",INDEX(Raw_D3!$B$2:$B$1001,$AR299),"")))</f>
        <v>40556.0</v>
      </c>
      <c r="C299" s="5">
        <f>IF($A299="","",IF($AP299&lt;&gt;"",INDEX(Raw_D1!$C$2:$C$1001,$AP299),IF($AR299&lt;&gt;"",INDEX(Raw_D3!$C$2:$C$1001,$AR299),"")))</f>
        <v>1</v>
      </c>
      <c r="D299" s="5">
        <f>IF($A299="","",IF($AP299&lt;&gt;"",INDEX(Raw_D1!$D$2:$D$1001,$AP299),IF($AR299&lt;&gt;"",INDEX(Raw_D3!$D$2:$D$1001,$AR299),"")))</f>
        <v>0</v>
      </c>
      <c r="E299" s="5">
        <f>IF($A299="","",IF($AP299&lt;&gt;"",INDEX(Raw_D1!$E$2:$E$1001,$AP299),IF($AR299&lt;&gt;"",INDEX(Raw_D3!$E$2:$E$1001,$AR299),"")))</f>
        <v>1</v>
      </c>
      <c r="F299" s="5">
        <f>IF($A299="","",IF($AP299&lt;&gt;"",INDEX(Raw_D1!$F$2:$F$1001,$AP299),IF($AR299&lt;&gt;"",INDEX(Raw_D3!$F$2:$F$1001,$AR299),"")))</f>
        <v>20</v>
      </c>
      <c r="G299" s="5">
        <f>IF($A299="","",IF($AP299&lt;&gt;"",IF(INDEX(Raw_D1!$G$2:$G$1001,$AP299),1,0),IF($AR299&lt;&gt;"",IF(INDEX(Raw_D3!$G$2:$G$1001,$AR299),1,0),"")))</f>
        <v>0</v>
      </c>
      <c r="H299" s="5">
        <f>IF($A299="","",IF($AP299&lt;&gt;"",INDEX(Raw_D1!$H$2:$H$1001,$AP299),IF($AR299&lt;&gt;"",INDEX(Raw_D3!$H$2:$H$1001,$AR299),"")))</f>
        <v>4</v>
      </c>
      <c r="I299" s="5">
        <f>IF($A299="","",IF($AP299&lt;&gt;"",INDEX(Raw_D1!$I$2:$I$1001,$AP299),IF($AR299&lt;&gt;"",INDEX(Raw_D3!$I$2:$I$1001,$AR299),"")))</f>
        <v>1</v>
      </c>
      <c r="J299" s="16">
        <f>IF($A299="","",IF($AP299&lt;&gt;"",INDEX(Raw_D1!$J$2:$J$1001,$AP299),IF($AR299&lt;&gt;"",INDEX(Raw_D3!$J$2:$J$1001,$AR299),"")))</f>
        <v>0.16</v>
      </c>
      <c r="K299" s="17">
        <f>IF($A299="","",IF($AQ299&lt;&gt;"",IF(INDEX(Raw_D2!$C$2:$C$1001,$AQ299)="","",INDEX(Raw_D2!$C$2:$C$1001,$AQ299)),IF($AR299&lt;&gt;"",IF(INDEX(Raw_D3!$K$2:$K$1001,$AR299)="","",INDEX(Raw_D3!$K$2:$K$1001,$AR299)),"")))</f>
        <v>0.1515</v>
      </c>
      <c r="L299" s="16">
        <f>IF($A299="","",IF($AQ299&lt;&gt;"",IF(INDEX(Raw_D2!$D$2:$D$1001,$AQ299)="","",INDEX(Raw_D2!$D$2:$D$1001,$AQ299)),IF($AR299&lt;&gt;"",IF(INDEX(Raw_D3!$L$2:$L$1001,$AR299)="","",INDEX(Raw_D3!$L$2:$L$1001,$AR299)),"")))</f>
        <v>0.47</v>
      </c>
      <c r="M299" s="17">
        <f>IF($A299="","",IF($AQ299&lt;&gt;"",IF(INDEX(Raw_D2!$E$2:$E$1001,$AQ299)="","",INDEX(Raw_D2!$E$2:$E$1001,$AQ299)),IF($AR299&lt;&gt;"",IF(INDEX(Raw_D3!$M$2:$M$1001,$AR299)="","",INDEX(Raw_D3!$M$2:$M$1001,$AR299)),"")))</f>
        <v>0.2239</v>
      </c>
      <c r="N299" s="5">
        <f>IF($A299="","",IF($AQ299&lt;&gt;"",IF(INDEX(Raw_D2!$F$2:$F$1001,$AQ299)="","",INDEX(Raw_D2!$F$2:$F$1001,$AQ299)),IF($AR299&lt;&gt;"",IF(INDEX(Raw_D3!$N$2:$N$1001,$AR299)="","",INDEX(Raw_D3!$N$2:$N$1001,$AR299)),"")))</f>
        <v>0</v>
      </c>
      <c r="O299" s="5">
        <f>IF($A299="","",IF($AQ299&lt;&gt;"",IF(INDEX(Raw_D2!$G$2:$G$1001,$AQ299)="","",INDEX(Raw_D2!$G$2:$G$1001,$AQ299)),IF($AR299&lt;&gt;"",IF(INDEX(Raw_D3!$O$2:$O$1001,$AR299)="","",INDEX(Raw_D3!$O$2:$O$1001,$AR299)),"")))</f>
        <v>64</v>
      </c>
      <c r="P299" s="5">
        <f>IF($A299="","",IF($AQ299&lt;&gt;"",IF(INDEX(Raw_D2!$H$2:$H$1001,$AQ299)="","",INDEX(Raw_D2!$H$2:$H$1001,$AQ299)),IF($AR299&lt;&gt;"",IF(INDEX(Raw_D3!$P$2:$P$1001,$AR299)="","",INDEX(Raw_D3!$P$2:$P$1001,$AR299)),"")))</f>
        <v>64</v>
      </c>
      <c r="Q299" s="5" t="str">
        <f>IF($A299="","",IF(AND($AP299&lt;&gt;"",$AQ299&lt;&gt;""),"D1+D2",IF($AR299&lt;&gt;"","D3","Incomplete")))</f>
        <v>D1+D2</v>
      </c>
      <c r="R299" s="17">
        <f>IF($A299="","",IF($K299="",IF($J299="","",ROUND(Lookups!$K$5+Lookups!$K$4*$J299,4)),$K299))</f>
        <v>0.1515</v>
      </c>
      <c r="S299" s="5" t="str">
        <f>IF($A299="","",IF($K299="","Imputed","Original"))</f>
        <v>Original</v>
      </c>
      <c r="T299" s="5" t="str">
        <f>IF($A299="","",IF($P299="","Missing",IF($P299=$N299+$O299,"OK","Mismatch")))</f>
        <v>OK</v>
      </c>
      <c r="U299" s="5" t="str">
        <f>IF($A299="","",IF(COUNTIF($A$2:$A299,$A299)&gt;1,"Duplicate","Unique"))</f>
        <v>Unique</v>
      </c>
      <c r="V299" s="5">
        <f>IF($A299="","",IF(AND($U299="Unique",ISNUMBER($P299)),1,0))</f>
        <v>1</v>
      </c>
      <c r="W299" s="5" t="str">
        <f>IF($A299="","",IF(OR($H299=0,$H299=6),"Weekend","Weekday"))</f>
        <v>Weekday</v>
      </c>
      <c r="X299" s="5" t="str">
        <f>IF($A299="","",TEXT($B299,"ddd"))</f>
        <v>Thu</v>
      </c>
      <c r="Y299" s="5" t="str">
        <f>IF($A299="","",TEXT($B299,"mmm"))</f>
        <v>Jan</v>
      </c>
      <c r="Z299" s="5" t="str">
        <f>IF($A299="","",IFERROR(VLOOKUP($C299,Lookups!$D$4:$E$7,2,FALSE),"Unknown"))</f>
        <v>Winter</v>
      </c>
      <c r="AA299" s="5" t="str">
        <f>IF($A299="","",IFERROR(VLOOKUP($I299,Lookups!$A$4:$B$7,2,FALSE),"Unknown"))</f>
        <v>Clear</v>
      </c>
      <c r="AB299" s="5" t="str">
        <f>IF($A299="","",TEXT($F299,"00")&amp;":00")</f>
        <v>20:00</v>
      </c>
      <c r="AC299" s="5" t="str">
        <f>IF($A299="","",VLOOKUP($F299,Lookups!$G$4:$H$8,2,TRUE))</f>
        <v>Late Evening (20-23)</v>
      </c>
      <c r="AD299" s="18">
        <f>IF($A299="","",IF($J299="","",ROUND($J299*41,1)))</f>
        <v>6.6</v>
      </c>
      <c r="AE299" s="18">
        <f>IF($A299="","",IF($R299="","",ROUND($R299*50,1)))</f>
        <v>7.6</v>
      </c>
      <c r="AF299" s="5">
        <f>IF($A299="","",IF($L299="","",ROUND($L299*100,0)))</f>
        <v>47</v>
      </c>
      <c r="AG299" s="18">
        <f>IF($A299="","",IF($M299="","",ROUND($M299*67,1)))</f>
        <v>15</v>
      </c>
      <c r="AH299" s="19">
        <f>IF($A299="","",IF($P299="","",IF($P299=0,0,$O299/$P299)))</f>
        <v>1</v>
      </c>
      <c r="AI299" s="5" t="str">
        <f>IF($A299="","",IF($P299="","",IF($P299&gt;=Lookups!$K$7,"High",IF($P299&lt;=Lookups!$K$8,"Low","Medium"))))</f>
        <v>Medium</v>
      </c>
      <c r="AJ299" s="5" t="str">
        <f>IF($A299="","",IF($AD299="","",IF($AD299&lt;5,"Under 5 C",IF($AD299&lt;10,"5-10 C",IF($AD299&lt;15,"10-15 C","15 C and above")))))</f>
        <v>5-10 C</v>
      </c>
      <c r="AK299" s="5">
        <f>IF($A299="","",IF($P299="","",$P299^2))</f>
        <v>4096</v>
      </c>
      <c r="AL299" s="18">
        <f>IF($V299&lt;&gt;1,"",AVERAGEIFS(Clean_Data!$P$2:$P$1001,Clean_Data!$F$2:$F$1001,$F299,Clean_Data!$W$2:$W$1001,$W299,Clean_Data!$V$2:$V$1001,1))</f>
        <v>72.2758620689655</v>
      </c>
      <c r="AM299" s="16">
        <f>IF($V299&lt;&gt;1,"",IFERROR(($P299-$AL299)/SQRT(MAX(0,(SUMIFS(Clean_Data!$AK$2:$AK$1001,Clean_Data!$F$2:$F$1001,$F299,Clean_Data!$W$2:$W$1001,$W299,Clean_Data!$V$2:$V$1001,1)-COUNTIFS(Clean_Data!$F$2:$F$1001,$F299,Clean_Data!$W$2:$W$1001,$W299,Clean_Data!$V$2:$V$1001,1)*$AL299^2)/(COUNTIFS(Clean_Data!$F$2:$F$1001,$F299,Clean_Data!$W$2:$W$1001,$W299,Clean_Data!$V$2:$V$1001,1)-1))),""))</f>
        <v>-0.374469110029528</v>
      </c>
      <c r="AN299" s="5" t="str">
        <f>IF($AM299="","",IF($AM299&gt;=Lookups!$K$6,"High spike",IF($AM299&lt;=-Lookups!$K$6,"Unusual low","Normal")))</f>
        <v>Normal</v>
      </c>
      <c r="AO299" s="20">
        <f>IF($V299&lt;&gt;1,"",$P299+ROW()/100000)</f>
        <v>64.00299</v>
      </c>
      <c r="AP299" s="5">
        <f>IF($A299="","",IFERROR(MATCH($A299,Raw_D1!$A$2:$A$1001,0),""))</f>
        <v>298</v>
      </c>
      <c r="AQ299" s="5">
        <f>IF($A299="","",IFERROR(MATCH($A299,Raw_D2!$B$2:$B$1001,0),""))</f>
        <v>298</v>
      </c>
      <c r="AR299" s="5">
        <f>IF($A299="","",IFERROR(MATCH($A299,Raw_D3!$A$2:$A$1001,0),""))</f>
        <v/>
      </c>
    </row>
    <row r="300" spans="1:44" x14ac:dyDescent="0.25">
      <c r="A300" s="5">
        <v>299</v>
      </c>
      <c r="B300" s="11">
        <f>IF($A300="","",IF($AP300&lt;&gt;"",INDEX(Raw_D1!$B$2:$B$1001,$AP300),IF($AR300&lt;&gt;"",INDEX(Raw_D3!$B$2:$B$1001,$AR300),"")))</f>
        <v>40556.0</v>
      </c>
      <c r="C300" s="5">
        <f>IF($A300="","",IF($AP300&lt;&gt;"",INDEX(Raw_D1!$C$2:$C$1001,$AP300),IF($AR300&lt;&gt;"",INDEX(Raw_D3!$C$2:$C$1001,$AR300),"")))</f>
        <v>1</v>
      </c>
      <c r="D300" s="5">
        <f>IF($A300="","",IF($AP300&lt;&gt;"",INDEX(Raw_D1!$D$2:$D$1001,$AP300),IF($AR300&lt;&gt;"",INDEX(Raw_D3!$D$2:$D$1001,$AR300),"")))</f>
        <v>0</v>
      </c>
      <c r="E300" s="5">
        <f>IF($A300="","",IF($AP300&lt;&gt;"",INDEX(Raw_D1!$E$2:$E$1001,$AP300),IF($AR300&lt;&gt;"",INDEX(Raw_D3!$E$2:$E$1001,$AR300),"")))</f>
        <v>1</v>
      </c>
      <c r="F300" s="5">
        <f>IF($A300="","",IF($AP300&lt;&gt;"",INDEX(Raw_D1!$F$2:$F$1001,$AP300),IF($AR300&lt;&gt;"",INDEX(Raw_D3!$F$2:$F$1001,$AR300),"")))</f>
        <v>21</v>
      </c>
      <c r="G300" s="5">
        <f>IF($A300="","",IF($AP300&lt;&gt;"",IF(INDEX(Raw_D1!$G$2:$G$1001,$AP300),1,0),IF($AR300&lt;&gt;"",IF(INDEX(Raw_D3!$G$2:$G$1001,$AR300),1,0),"")))</f>
        <v>0</v>
      </c>
      <c r="H300" s="5">
        <f>IF($A300="","",IF($AP300&lt;&gt;"",INDEX(Raw_D1!$H$2:$H$1001,$AP300),IF($AR300&lt;&gt;"",INDEX(Raw_D3!$H$2:$H$1001,$AR300),"")))</f>
        <v>4</v>
      </c>
      <c r="I300" s="5">
        <f>IF($A300="","",IF($AP300&lt;&gt;"",INDEX(Raw_D1!$I$2:$I$1001,$AP300),IF($AR300&lt;&gt;"",INDEX(Raw_D3!$I$2:$I$1001,$AR300),"")))</f>
        <v>1</v>
      </c>
      <c r="J300" s="16">
        <f>IF($A300="","",IF($AP300&lt;&gt;"",INDEX(Raw_D1!$J$2:$J$1001,$AP300),IF($AR300&lt;&gt;"",INDEX(Raw_D3!$J$2:$J$1001,$AR300),"")))</f>
        <v>0.14</v>
      </c>
      <c r="K300" s="17">
        <f>IF($A300="","",IF($AQ300&lt;&gt;"",IF(INDEX(Raw_D2!$C$2:$C$1001,$AQ300)="","",INDEX(Raw_D2!$C$2:$C$1001,$AQ300)),IF($AR300&lt;&gt;"",IF(INDEX(Raw_D3!$K$2:$K$1001,$AR300)="","",INDEX(Raw_D3!$K$2:$K$1001,$AR300)),"")))</f>
        <v>0.1212</v>
      </c>
      <c r="L300" s="16">
        <f>IF($A300="","",IF($AQ300&lt;&gt;"",IF(INDEX(Raw_D2!$D$2:$D$1001,$AQ300)="","",INDEX(Raw_D2!$D$2:$D$1001,$AQ300)),IF($AR300&lt;&gt;"",IF(INDEX(Raw_D3!$L$2:$L$1001,$AR300)="","",INDEX(Raw_D3!$L$2:$L$1001,$AR300)),"")))</f>
        <v>0.46</v>
      </c>
      <c r="M300" s="17">
        <f>IF($A300="","",IF($AQ300&lt;&gt;"",IF(INDEX(Raw_D2!$E$2:$E$1001,$AQ300)="","",INDEX(Raw_D2!$E$2:$E$1001,$AQ300)),IF($AR300&lt;&gt;"",IF(INDEX(Raw_D3!$M$2:$M$1001,$AR300)="","",INDEX(Raw_D3!$M$2:$M$1001,$AR300)),"")))</f>
        <v>0.2985</v>
      </c>
      <c r="N300" s="5">
        <f>IF($A300="","",IF($AQ300&lt;&gt;"",IF(INDEX(Raw_D2!$F$2:$F$1001,$AQ300)="","",INDEX(Raw_D2!$F$2:$F$1001,$AQ300)),IF($AR300&lt;&gt;"",IF(INDEX(Raw_D3!$N$2:$N$1001,$AR300)="","",INDEX(Raw_D3!$N$2:$N$1001,$AR300)),"")))</f>
        <v>0</v>
      </c>
      <c r="O300" s="5">
        <f>IF($A300="","",IF($AQ300&lt;&gt;"",IF(INDEX(Raw_D2!$G$2:$G$1001,$AQ300)="","",INDEX(Raw_D2!$G$2:$G$1001,$AQ300)),IF($AR300&lt;&gt;"",IF(INDEX(Raw_D3!$O$2:$O$1001,$AR300)="","",INDEX(Raw_D3!$O$2:$O$1001,$AR300)),"")))</f>
        <v>40</v>
      </c>
      <c r="P300" s="5">
        <f>IF($A300="","",IF($AQ300&lt;&gt;"",IF(INDEX(Raw_D2!$H$2:$H$1001,$AQ300)="","",INDEX(Raw_D2!$H$2:$H$1001,$AQ300)),IF($AR300&lt;&gt;"",IF(INDEX(Raw_D3!$P$2:$P$1001,$AR300)="","",INDEX(Raw_D3!$P$2:$P$1001,$AR300)),"")))</f>
        <v>40</v>
      </c>
      <c r="Q300" s="5" t="str">
        <f>IF($A300="","",IF(AND($AP300&lt;&gt;"",$AQ300&lt;&gt;""),"D1+D2",IF($AR300&lt;&gt;"","D3","Incomplete")))</f>
        <v>D1+D2</v>
      </c>
      <c r="R300" s="17">
        <f>IF($A300="","",IF($K300="",IF($J300="","",ROUND(Lookups!$K$5+Lookups!$K$4*$J300,4)),$K300))</f>
        <v>0.1212</v>
      </c>
      <c r="S300" s="5" t="str">
        <f>IF($A300="","",IF($K300="","Imputed","Original"))</f>
        <v>Original</v>
      </c>
      <c r="T300" s="5" t="str">
        <f>IF($A300="","",IF($P300="","Missing",IF($P300=$N300+$O300,"OK","Mismatch")))</f>
        <v>OK</v>
      </c>
      <c r="U300" s="5" t="str">
        <f>IF($A300="","",IF(COUNTIF($A$2:$A300,$A300)&gt;1,"Duplicate","Unique"))</f>
        <v>Unique</v>
      </c>
      <c r="V300" s="5">
        <f>IF($A300="","",IF(AND($U300="Unique",ISNUMBER($P300)),1,0))</f>
        <v>1</v>
      </c>
      <c r="W300" s="5" t="str">
        <f>IF($A300="","",IF(OR($H300=0,$H300=6),"Weekend","Weekday"))</f>
        <v>Weekday</v>
      </c>
      <c r="X300" s="5" t="str">
        <f>IF($A300="","",TEXT($B300,"ddd"))</f>
        <v>Thu</v>
      </c>
      <c r="Y300" s="5" t="str">
        <f>IF($A300="","",TEXT($B300,"mmm"))</f>
        <v>Jan</v>
      </c>
      <c r="Z300" s="5" t="str">
        <f>IF($A300="","",IFERROR(VLOOKUP($C300,Lookups!$D$4:$E$7,2,FALSE),"Unknown"))</f>
        <v>Winter</v>
      </c>
      <c r="AA300" s="5" t="str">
        <f>IF($A300="","",IFERROR(VLOOKUP($I300,Lookups!$A$4:$B$7,2,FALSE),"Unknown"))</f>
        <v>Clear</v>
      </c>
      <c r="AB300" s="5" t="str">
        <f>IF($A300="","",TEXT($F300,"00")&amp;":00")</f>
        <v>21:00</v>
      </c>
      <c r="AC300" s="5" t="str">
        <f>IF($A300="","",VLOOKUP($F300,Lookups!$G$4:$H$8,2,TRUE))</f>
        <v>Late Evening (20-23)</v>
      </c>
      <c r="AD300" s="18">
        <f>IF($A300="","",IF($J300="","",ROUND($J300*41,1)))</f>
        <v>5.7</v>
      </c>
      <c r="AE300" s="18">
        <f>IF($A300="","",IF($R300="","",ROUND($R300*50,1)))</f>
        <v>6.1</v>
      </c>
      <c r="AF300" s="5">
        <f>IF($A300="","",IF($L300="","",ROUND($L300*100,0)))</f>
        <v>46</v>
      </c>
      <c r="AG300" s="18">
        <f>IF($A300="","",IF($M300="","",ROUND($M300*67,1)))</f>
        <v>20</v>
      </c>
      <c r="AH300" s="19">
        <f>IF($A300="","",IF($P300="","",IF($P300=0,0,$O300/$P300)))</f>
        <v>1</v>
      </c>
      <c r="AI300" s="5" t="str">
        <f>IF($A300="","",IF($P300="","",IF($P300&gt;=Lookups!$K$7,"High",IF($P300&lt;=Lookups!$K$8,"Low","Medium"))))</f>
        <v>Medium</v>
      </c>
      <c r="AJ300" s="5" t="str">
        <f>IF($A300="","",IF($AD300="","",IF($AD300&lt;5,"Under 5 C",IF($AD300&lt;10,"5-10 C",IF($AD300&lt;15,"10-15 C","15 C and above")))))</f>
        <v>5-10 C</v>
      </c>
      <c r="AK300" s="5">
        <f>IF($A300="","",IF($P300="","",$P300^2))</f>
        <v>1600</v>
      </c>
      <c r="AL300" s="18">
        <f>IF($V300&lt;&gt;1,"",AVERAGEIFS(Clean_Data!$P$2:$P$1001,Clean_Data!$F$2:$F$1001,$F300,Clean_Data!$W$2:$W$1001,$W300,Clean_Data!$V$2:$V$1001,1))</f>
        <v>50.8965517241379</v>
      </c>
      <c r="AM300" s="16">
        <f>IF($V300&lt;&gt;1,"",IFERROR(($P300-$AL300)/SQRT(MAX(0,(SUMIFS(Clean_Data!$AK$2:$AK$1001,Clean_Data!$F$2:$F$1001,$F300,Clean_Data!$W$2:$W$1001,$W300,Clean_Data!$V$2:$V$1001,1)-COUNTIFS(Clean_Data!$F$2:$F$1001,$F300,Clean_Data!$W$2:$W$1001,$W300,Clean_Data!$V$2:$V$1001,1)*$AL300^2)/(COUNTIFS(Clean_Data!$F$2:$F$1001,$F300,Clean_Data!$W$2:$W$1001,$W300,Clean_Data!$V$2:$V$1001,1)-1))),""))</f>
        <v>-0.789134013061741</v>
      </c>
      <c r="AN300" s="5" t="str">
        <f>IF($AM300="","",IF($AM300&gt;=Lookups!$K$6,"High spike",IF($AM300&lt;=-Lookups!$K$6,"Unusual low","Normal")))</f>
        <v>Normal</v>
      </c>
      <c r="AO300" s="20">
        <f>IF($V300&lt;&gt;1,"",$P300+ROW()/100000)</f>
        <v>40.003</v>
      </c>
      <c r="AP300" s="5">
        <f>IF($A300="","",IFERROR(MATCH($A300,Raw_D1!$A$2:$A$1001,0),""))</f>
        <v>299</v>
      </c>
      <c r="AQ300" s="5">
        <f>IF($A300="","",IFERROR(MATCH($A300,Raw_D2!$B$2:$B$1001,0),""))</f>
        <v>299</v>
      </c>
      <c r="AR300" s="5">
        <f>IF($A300="","",IFERROR(MATCH($A300,Raw_D3!$A$2:$A$1001,0),""))</f>
        <v/>
      </c>
    </row>
    <row r="301" spans="1:44" x14ac:dyDescent="0.25">
      <c r="A301" s="5">
        <v>300</v>
      </c>
      <c r="B301" s="11">
        <f>IF($A301="","",IF($AP301&lt;&gt;"",INDEX(Raw_D1!$B$2:$B$1001,$AP301),IF($AR301&lt;&gt;"",INDEX(Raw_D3!$B$2:$B$1001,$AR301),"")))</f>
        <v>40556.0</v>
      </c>
      <c r="C301" s="5">
        <f>IF($A301="","",IF($AP301&lt;&gt;"",INDEX(Raw_D1!$C$2:$C$1001,$AP301),IF($AR301&lt;&gt;"",INDEX(Raw_D3!$C$2:$C$1001,$AR301),"")))</f>
        <v>1</v>
      </c>
      <c r="D301" s="5">
        <f>IF($A301="","",IF($AP301&lt;&gt;"",INDEX(Raw_D1!$D$2:$D$1001,$AP301),IF($AR301&lt;&gt;"",INDEX(Raw_D3!$D$2:$D$1001,$AR301),"")))</f>
        <v>0</v>
      </c>
      <c r="E301" s="5">
        <f>IF($A301="","",IF($AP301&lt;&gt;"",INDEX(Raw_D1!$E$2:$E$1001,$AP301),IF($AR301&lt;&gt;"",INDEX(Raw_D3!$E$2:$E$1001,$AR301),"")))</f>
        <v>1</v>
      </c>
      <c r="F301" s="5">
        <f>IF($A301="","",IF($AP301&lt;&gt;"",INDEX(Raw_D1!$F$2:$F$1001,$AP301),IF($AR301&lt;&gt;"",INDEX(Raw_D3!$F$2:$F$1001,$AR301),"")))</f>
        <v>22</v>
      </c>
      <c r="G301" s="5">
        <f>IF($A301="","",IF($AP301&lt;&gt;"",IF(INDEX(Raw_D1!$G$2:$G$1001,$AP301),1,0),IF($AR301&lt;&gt;"",IF(INDEX(Raw_D3!$G$2:$G$1001,$AR301),1,0),"")))</f>
        <v>0</v>
      </c>
      <c r="H301" s="5">
        <f>IF($A301="","",IF($AP301&lt;&gt;"",INDEX(Raw_D1!$H$2:$H$1001,$AP301),IF($AR301&lt;&gt;"",INDEX(Raw_D3!$H$2:$H$1001,$AR301),"")))</f>
        <v>4</v>
      </c>
      <c r="I301" s="5">
        <f>IF($A301="","",IF($AP301&lt;&gt;"",INDEX(Raw_D1!$I$2:$I$1001,$AP301),IF($AR301&lt;&gt;"",INDEX(Raw_D3!$I$2:$I$1001,$AR301),"")))</f>
        <v>1</v>
      </c>
      <c r="J301" s="16">
        <f>IF($A301="","",IF($AP301&lt;&gt;"",INDEX(Raw_D1!$J$2:$J$1001,$AP301),IF($AR301&lt;&gt;"",INDEX(Raw_D3!$J$2:$J$1001,$AR301),"")))</f>
        <v>0.14</v>
      </c>
      <c r="K301" s="17">
        <f>IF($A301="","",IF($AQ301&lt;&gt;"",IF(INDEX(Raw_D2!$C$2:$C$1001,$AQ301)="","",INDEX(Raw_D2!$C$2:$C$1001,$AQ301)),IF($AR301&lt;&gt;"",IF(INDEX(Raw_D3!$K$2:$K$1001,$AR301)="","",INDEX(Raw_D3!$K$2:$K$1001,$AR301)),"")))</f>
        <v>0.1212</v>
      </c>
      <c r="L301" s="16">
        <f>IF($A301="","",IF($AQ301&lt;&gt;"",IF(INDEX(Raw_D2!$D$2:$D$1001,$AQ301)="","",INDEX(Raw_D2!$D$2:$D$1001,$AQ301)),IF($AR301&lt;&gt;"",IF(INDEX(Raw_D3!$L$2:$L$1001,$AR301)="","",INDEX(Raw_D3!$L$2:$L$1001,$AR301)),"")))</f>
        <v>0.46</v>
      </c>
      <c r="M301" s="17">
        <f>IF($A301="","",IF($AQ301&lt;&gt;"",IF(INDEX(Raw_D2!$E$2:$E$1001,$AQ301)="","",INDEX(Raw_D2!$E$2:$E$1001,$AQ301)),IF($AR301&lt;&gt;"",IF(INDEX(Raw_D3!$M$2:$M$1001,$AR301)="","",INDEX(Raw_D3!$M$2:$M$1001,$AR301)),"")))</f>
        <v>0.3284</v>
      </c>
      <c r="N301" s="5">
        <f>IF($A301="","",IF($AQ301&lt;&gt;"",IF(INDEX(Raw_D2!$F$2:$F$1001,$AQ301)="","",INDEX(Raw_D2!$F$2:$F$1001,$AQ301)),IF($AR301&lt;&gt;"",IF(INDEX(Raw_D3!$N$2:$N$1001,$AR301)="","",INDEX(Raw_D3!$N$2:$N$1001,$AR301)),"")))</f>
        <v>0</v>
      </c>
      <c r="O301" s="5">
        <f>IF($A301="","",IF($AQ301&lt;&gt;"",IF(INDEX(Raw_D2!$G$2:$G$1001,$AQ301)="","",INDEX(Raw_D2!$G$2:$G$1001,$AQ301)),IF($AR301&lt;&gt;"",IF(INDEX(Raw_D3!$O$2:$O$1001,$AR301)="","",INDEX(Raw_D3!$O$2:$O$1001,$AR301)),"")))</f>
        <v>30</v>
      </c>
      <c r="P301" s="5">
        <f>IF($A301="","",IF($AQ301&lt;&gt;"",IF(INDEX(Raw_D2!$H$2:$H$1001,$AQ301)="","",INDEX(Raw_D2!$H$2:$H$1001,$AQ301)),IF($AR301&lt;&gt;"",IF(INDEX(Raw_D3!$P$2:$P$1001,$AR301)="","",INDEX(Raw_D3!$P$2:$P$1001,$AR301)),"")))</f>
        <v>30</v>
      </c>
      <c r="Q301" s="5" t="str">
        <f>IF($A301="","",IF(AND($AP301&lt;&gt;"",$AQ301&lt;&gt;""),"D1+D2",IF($AR301&lt;&gt;"","D3","Incomplete")))</f>
        <v>D1+D2</v>
      </c>
      <c r="R301" s="17">
        <f>IF($A301="","",IF($K301="",IF($J301="","",ROUND(Lookups!$K$5+Lookups!$K$4*$J301,4)),$K301))</f>
        <v>0.1212</v>
      </c>
      <c r="S301" s="5" t="str">
        <f>IF($A301="","",IF($K301="","Imputed","Original"))</f>
        <v>Original</v>
      </c>
      <c r="T301" s="5" t="str">
        <f>IF($A301="","",IF($P301="","Missing",IF($P301=$N301+$O301,"OK","Mismatch")))</f>
        <v>OK</v>
      </c>
      <c r="U301" s="5" t="str">
        <f>IF($A301="","",IF(COUNTIF($A$2:$A301,$A301)&gt;1,"Duplicate","Unique"))</f>
        <v>Unique</v>
      </c>
      <c r="V301" s="5">
        <f>IF($A301="","",IF(AND($U301="Unique",ISNUMBER($P301)),1,0))</f>
        <v>1</v>
      </c>
      <c r="W301" s="5" t="str">
        <f>IF($A301="","",IF(OR($H301=0,$H301=6),"Weekend","Weekday"))</f>
        <v>Weekday</v>
      </c>
      <c r="X301" s="5" t="str">
        <f>IF($A301="","",TEXT($B301,"ddd"))</f>
        <v>Thu</v>
      </c>
      <c r="Y301" s="5" t="str">
        <f>IF($A301="","",TEXT($B301,"mmm"))</f>
        <v>Jan</v>
      </c>
      <c r="Z301" s="5" t="str">
        <f>IF($A301="","",IFERROR(VLOOKUP($C301,Lookups!$D$4:$E$7,2,FALSE),"Unknown"))</f>
        <v>Winter</v>
      </c>
      <c r="AA301" s="5" t="str">
        <f>IF($A301="","",IFERROR(VLOOKUP($I301,Lookups!$A$4:$B$7,2,FALSE),"Unknown"))</f>
        <v>Clear</v>
      </c>
      <c r="AB301" s="5" t="str">
        <f>IF($A301="","",TEXT($F301,"00")&amp;":00")</f>
        <v>22:00</v>
      </c>
      <c r="AC301" s="5" t="str">
        <f>IF($A301="","",VLOOKUP($F301,Lookups!$G$4:$H$8,2,TRUE))</f>
        <v>Late Evening (20-23)</v>
      </c>
      <c r="AD301" s="18">
        <f>IF($A301="","",IF($J301="","",ROUND($J301*41,1)))</f>
        <v>5.7</v>
      </c>
      <c r="AE301" s="18">
        <f>IF($A301="","",IF($R301="","",ROUND($R301*50,1)))</f>
        <v>6.1</v>
      </c>
      <c r="AF301" s="5">
        <f>IF($A301="","",IF($L301="","",ROUND($L301*100,0)))</f>
        <v>46</v>
      </c>
      <c r="AG301" s="18">
        <f>IF($A301="","",IF($M301="","",ROUND($M301*67,1)))</f>
        <v>22</v>
      </c>
      <c r="AH301" s="19">
        <f>IF($A301="","",IF($P301="","",IF($P301=0,0,$O301/$P301)))</f>
        <v>1</v>
      </c>
      <c r="AI301" s="5" t="str">
        <f>IF($A301="","",IF($P301="","",IF($P301&gt;=Lookups!$K$7,"High",IF($P301&lt;=Lookups!$K$8,"Low","Medium"))))</f>
        <v>Medium</v>
      </c>
      <c r="AJ301" s="5" t="str">
        <f>IF($A301="","",IF($AD301="","",IF($AD301&lt;5,"Under 5 C",IF($AD301&lt;10,"5-10 C",IF($AD301&lt;15,"10-15 C","15 C and above")))))</f>
        <v>5-10 C</v>
      </c>
      <c r="AK301" s="5">
        <f>IF($A301="","",IF($P301="","",$P301^2))</f>
        <v>900</v>
      </c>
      <c r="AL301" s="18">
        <f>IF($V301&lt;&gt;1,"",AVERAGEIFS(Clean_Data!$P$2:$P$1001,Clean_Data!$F$2:$F$1001,$F301,Clean_Data!$W$2:$W$1001,$W301,Clean_Data!$V$2:$V$1001,1))</f>
        <v>37.1034482758621</v>
      </c>
      <c r="AM301" s="16">
        <f>IF($V301&lt;&gt;1,"",IFERROR(($P301-$AL301)/SQRT(MAX(0,(SUMIFS(Clean_Data!$AK$2:$AK$1001,Clean_Data!$F$2:$F$1001,$F301,Clean_Data!$W$2:$W$1001,$W301,Clean_Data!$V$2:$V$1001,1)-COUNTIFS(Clean_Data!$F$2:$F$1001,$F301,Clean_Data!$W$2:$W$1001,$W301,Clean_Data!$V$2:$V$1001,1)*$AL301^2)/(COUNTIFS(Clean_Data!$F$2:$F$1001,$F301,Clean_Data!$W$2:$W$1001,$W301,Clean_Data!$V$2:$V$1001,1)-1))),""))</f>
        <v>-0.65805221479934</v>
      </c>
      <c r="AN301" s="5" t="str">
        <f>IF($AM301="","",IF($AM301&gt;=Lookups!$K$6,"High spike",IF($AM301&lt;=-Lookups!$K$6,"Unusual low","Normal")))</f>
        <v>Normal</v>
      </c>
      <c r="AO301" s="20">
        <f>IF($V301&lt;&gt;1,"",$P301+ROW()/100000)</f>
        <v>30.00301</v>
      </c>
      <c r="AP301" s="5">
        <f>IF($A301="","",IFERROR(MATCH($A301,Raw_D1!$A$2:$A$1001,0),""))</f>
        <v>300</v>
      </c>
      <c r="AQ301" s="5">
        <f>IF($A301="","",IFERROR(MATCH($A301,Raw_D2!$B$2:$B$1001,0),""))</f>
        <v>300</v>
      </c>
      <c r="AR301" s="5">
        <f>IF($A301="","",IFERROR(MATCH($A301,Raw_D3!$A$2:$A$1001,0),""))</f>
        <v/>
      </c>
    </row>
    <row r="302" spans="1:44" x14ac:dyDescent="0.25">
      <c r="A302" s="5">
        <v>301</v>
      </c>
      <c r="B302" s="11">
        <f>IF($A302="","",IF($AP302&lt;&gt;"",INDEX(Raw_D1!$B$2:$B$1001,$AP302),IF($AR302&lt;&gt;"",INDEX(Raw_D3!$B$2:$B$1001,$AR302),"")))</f>
        <v>40556.0</v>
      </c>
      <c r="C302" s="5">
        <f>IF($A302="","",IF($AP302&lt;&gt;"",INDEX(Raw_D1!$C$2:$C$1001,$AP302),IF($AR302&lt;&gt;"",INDEX(Raw_D3!$C$2:$C$1001,$AR302),"")))</f>
        <v>1</v>
      </c>
      <c r="D302" s="5">
        <f>IF($A302="","",IF($AP302&lt;&gt;"",INDEX(Raw_D1!$D$2:$D$1001,$AP302),IF($AR302&lt;&gt;"",INDEX(Raw_D3!$D$2:$D$1001,$AR302),"")))</f>
        <v>0</v>
      </c>
      <c r="E302" s="5">
        <f>IF($A302="","",IF($AP302&lt;&gt;"",INDEX(Raw_D1!$E$2:$E$1001,$AP302),IF($AR302&lt;&gt;"",INDEX(Raw_D3!$E$2:$E$1001,$AR302),"")))</f>
        <v>1</v>
      </c>
      <c r="F302" s="5">
        <f>IF($A302="","",IF($AP302&lt;&gt;"",INDEX(Raw_D1!$F$2:$F$1001,$AP302),IF($AR302&lt;&gt;"",INDEX(Raw_D3!$F$2:$F$1001,$AR302),"")))</f>
        <v>23</v>
      </c>
      <c r="G302" s="5">
        <f>IF($A302="","",IF($AP302&lt;&gt;"",IF(INDEX(Raw_D1!$G$2:$G$1001,$AP302),1,0),IF($AR302&lt;&gt;"",IF(INDEX(Raw_D3!$G$2:$G$1001,$AR302),1,0),"")))</f>
        <v>0</v>
      </c>
      <c r="H302" s="5">
        <f>IF($A302="","",IF($AP302&lt;&gt;"",INDEX(Raw_D1!$H$2:$H$1001,$AP302),IF($AR302&lt;&gt;"",INDEX(Raw_D3!$H$2:$H$1001,$AR302),"")))</f>
        <v>4</v>
      </c>
      <c r="I302" s="5">
        <f>IF($A302="","",IF($AP302&lt;&gt;"",INDEX(Raw_D1!$I$2:$I$1001,$AP302),IF($AR302&lt;&gt;"",INDEX(Raw_D3!$I$2:$I$1001,$AR302),"")))</f>
        <v>1</v>
      </c>
      <c r="J302" s="16">
        <f>IF($A302="","",IF($AP302&lt;&gt;"",INDEX(Raw_D1!$J$2:$J$1001,$AP302),IF($AR302&lt;&gt;"",INDEX(Raw_D3!$J$2:$J$1001,$AR302),"")))</f>
        <v>0.12</v>
      </c>
      <c r="K302" s="17">
        <f>IF($A302="","",IF($AQ302&lt;&gt;"",IF(INDEX(Raw_D2!$C$2:$C$1001,$AQ302)="","",INDEX(Raw_D2!$C$2:$C$1001,$AQ302)),IF($AR302&lt;&gt;"",IF(INDEX(Raw_D3!$K$2:$K$1001,$AR302)="","",INDEX(Raw_D3!$K$2:$K$1001,$AR302)),"")))</f>
        <v>0.1364</v>
      </c>
      <c r="L302" s="16">
        <f>IF($A302="","",IF($AQ302&lt;&gt;"",IF(INDEX(Raw_D2!$D$2:$D$1001,$AQ302)="","",INDEX(Raw_D2!$D$2:$D$1001,$AQ302)),IF($AR302&lt;&gt;"",IF(INDEX(Raw_D3!$L$2:$L$1001,$AR302)="","",INDEX(Raw_D3!$L$2:$L$1001,$AR302)),"")))</f>
        <v>0.5</v>
      </c>
      <c r="M302" s="17">
        <f>IF($A302="","",IF($AQ302&lt;&gt;"",IF(INDEX(Raw_D2!$E$2:$E$1001,$AQ302)="","",INDEX(Raw_D2!$E$2:$E$1001,$AQ302)),IF($AR302&lt;&gt;"",IF(INDEX(Raw_D3!$M$2:$M$1001,$AR302)="","",INDEX(Raw_D3!$M$2:$M$1001,$AR302)),"")))</f>
        <v>0.194</v>
      </c>
      <c r="N302" s="5">
        <f>IF($A302="","",IF($AQ302&lt;&gt;"",IF(INDEX(Raw_D2!$F$2:$F$1001,$AQ302)="","",INDEX(Raw_D2!$F$2:$F$1001,$AQ302)),IF($AR302&lt;&gt;"",IF(INDEX(Raw_D3!$N$2:$N$1001,$AR302)="","",INDEX(Raw_D3!$N$2:$N$1001,$AR302)),"")))</f>
        <v>1</v>
      </c>
      <c r="O302" s="5">
        <f>IF($A302="","",IF($AQ302&lt;&gt;"",IF(INDEX(Raw_D2!$G$2:$G$1001,$AQ302)="","",INDEX(Raw_D2!$G$2:$G$1001,$AQ302)),IF($AR302&lt;&gt;"",IF(INDEX(Raw_D3!$O$2:$O$1001,$AR302)="","",INDEX(Raw_D3!$O$2:$O$1001,$AR302)),"")))</f>
        <v>14</v>
      </c>
      <c r="P302" s="5">
        <f>IF($A302="","",IF($AQ302&lt;&gt;"",IF(INDEX(Raw_D2!$H$2:$H$1001,$AQ302)="","",INDEX(Raw_D2!$H$2:$H$1001,$AQ302)),IF($AR302&lt;&gt;"",IF(INDEX(Raw_D3!$P$2:$P$1001,$AR302)="","",INDEX(Raw_D3!$P$2:$P$1001,$AR302)),"")))</f>
        <v>15</v>
      </c>
      <c r="Q302" s="5" t="str">
        <f>IF($A302="","",IF(AND($AP302&lt;&gt;"",$AQ302&lt;&gt;""),"D1+D2",IF($AR302&lt;&gt;"","D3","Incomplete")))</f>
        <v>D1+D2</v>
      </c>
      <c r="R302" s="17">
        <f>IF($A302="","",IF($K302="",IF($J302="","",ROUND(Lookups!$K$5+Lookups!$K$4*$J302,4)),$K302))</f>
        <v>0.1364</v>
      </c>
      <c r="S302" s="5" t="str">
        <f>IF($A302="","",IF($K302="","Imputed","Original"))</f>
        <v>Original</v>
      </c>
      <c r="T302" s="5" t="str">
        <f>IF($A302="","",IF($P302="","Missing",IF($P302=$N302+$O302,"OK","Mismatch")))</f>
        <v>OK</v>
      </c>
      <c r="U302" s="5" t="str">
        <f>IF($A302="","",IF(COUNTIF($A$2:$A302,$A302)&gt;1,"Duplicate","Unique"))</f>
        <v>Unique</v>
      </c>
      <c r="V302" s="5">
        <f>IF($A302="","",IF(AND($U302="Unique",ISNUMBER($P302)),1,0))</f>
        <v>1</v>
      </c>
      <c r="W302" s="5" t="str">
        <f>IF($A302="","",IF(OR($H302=0,$H302=6),"Weekend","Weekday"))</f>
        <v>Weekday</v>
      </c>
      <c r="X302" s="5" t="str">
        <f>IF($A302="","",TEXT($B302,"ddd"))</f>
        <v>Thu</v>
      </c>
      <c r="Y302" s="5" t="str">
        <f>IF($A302="","",TEXT($B302,"mmm"))</f>
        <v>Jan</v>
      </c>
      <c r="Z302" s="5" t="str">
        <f>IF($A302="","",IFERROR(VLOOKUP($C302,Lookups!$D$4:$E$7,2,FALSE),"Unknown"))</f>
        <v>Winter</v>
      </c>
      <c r="AA302" s="5" t="str">
        <f>IF($A302="","",IFERROR(VLOOKUP($I302,Lookups!$A$4:$B$7,2,FALSE),"Unknown"))</f>
        <v>Clear</v>
      </c>
      <c r="AB302" s="5" t="str">
        <f>IF($A302="","",TEXT($F302,"00")&amp;":00")</f>
        <v>23:00</v>
      </c>
      <c r="AC302" s="5" t="str">
        <f>IF($A302="","",VLOOKUP($F302,Lookups!$G$4:$H$8,2,TRUE))</f>
        <v>Late Evening (20-23)</v>
      </c>
      <c r="AD302" s="18">
        <f>IF($A302="","",IF($J302="","",ROUND($J302*41,1)))</f>
        <v>4.9</v>
      </c>
      <c r="AE302" s="18">
        <f>IF($A302="","",IF($R302="","",ROUND($R302*50,1)))</f>
        <v>6.8</v>
      </c>
      <c r="AF302" s="5">
        <f>IF($A302="","",IF($L302="","",ROUND($L302*100,0)))</f>
        <v>50</v>
      </c>
      <c r="AG302" s="18">
        <f>IF($A302="","",IF($M302="","",ROUND($M302*67,1)))</f>
        <v>13</v>
      </c>
      <c r="AH302" s="19">
        <f>IF($A302="","",IF($P302="","",IF($P302=0,0,$O302/$P302)))</f>
        <v>0.933333333333333</v>
      </c>
      <c r="AI302" s="5" t="str">
        <f>IF($A302="","",IF($P302="","",IF($P302&gt;=Lookups!$K$7,"High",IF($P302&lt;=Lookups!$K$8,"Low","Medium"))))</f>
        <v>Low</v>
      </c>
      <c r="AJ302" s="5" t="str">
        <f>IF($A302="","",IF($AD302="","",IF($AD302&lt;5,"Under 5 C",IF($AD302&lt;10,"5-10 C",IF($AD302&lt;15,"10-15 C","15 C and above")))))</f>
        <v>Under 5 C</v>
      </c>
      <c r="AK302" s="5">
        <f>IF($A302="","",IF($P302="","",$P302^2))</f>
        <v>225</v>
      </c>
      <c r="AL302" s="18">
        <f>IF($V302&lt;&gt;1,"",AVERAGEIFS(Clean_Data!$P$2:$P$1001,Clean_Data!$F$2:$F$1001,$F302,Clean_Data!$W$2:$W$1001,$W302,Clean_Data!$V$2:$V$1001,1))</f>
        <v>23.6896551724138</v>
      </c>
      <c r="AM302" s="16">
        <f>IF($V302&lt;&gt;1,"",IFERROR(($P302-$AL302)/SQRT(MAX(0,(SUMIFS(Clean_Data!$AK$2:$AK$1001,Clean_Data!$F$2:$F$1001,$F302,Clean_Data!$W$2:$W$1001,$W302,Clean_Data!$V$2:$V$1001,1)-COUNTIFS(Clean_Data!$F$2:$F$1001,$F302,Clean_Data!$W$2:$W$1001,$W302,Clean_Data!$V$2:$V$1001,1)*$AL302^2)/(COUNTIFS(Clean_Data!$F$2:$F$1001,$F302,Clean_Data!$W$2:$W$1001,$W302,Clean_Data!$V$2:$V$1001,1)-1))),""))</f>
        <v>-0.829576285485064</v>
      </c>
      <c r="AN302" s="5" t="str">
        <f>IF($AM302="","",IF($AM302&gt;=Lookups!$K$6,"High spike",IF($AM302&lt;=-Lookups!$K$6,"Unusual low","Normal")))</f>
        <v>Normal</v>
      </c>
      <c r="AO302" s="20">
        <f>IF($V302&lt;&gt;1,"",$P302+ROW()/100000)</f>
        <v>15.00302</v>
      </c>
      <c r="AP302" s="5">
        <f>IF($A302="","",IFERROR(MATCH($A302,Raw_D1!$A$2:$A$1001,0),""))</f>
        <v>301</v>
      </c>
      <c r="AQ302" s="5">
        <f>IF($A302="","",IFERROR(MATCH($A302,Raw_D2!$B$2:$B$1001,0),""))</f>
        <v>301</v>
      </c>
      <c r="AR302" s="5">
        <f>IF($A302="","",IFERROR(MATCH($A302,Raw_D3!$A$2:$A$1001,0),""))</f>
        <v/>
      </c>
    </row>
    <row r="303" spans="1:44" x14ac:dyDescent="0.25">
      <c r="A303" s="5">
        <v>302</v>
      </c>
      <c r="B303" s="11">
        <f>IF($A303="","",IF($AP303&lt;&gt;"",INDEX(Raw_D1!$B$2:$B$1001,$AP303),IF($AR303&lt;&gt;"",INDEX(Raw_D3!$B$2:$B$1001,$AR303),"")))</f>
        <v>40557.0</v>
      </c>
      <c r="C303" s="5">
        <f>IF($A303="","",IF($AP303&lt;&gt;"",INDEX(Raw_D1!$C$2:$C$1001,$AP303),IF($AR303&lt;&gt;"",INDEX(Raw_D3!$C$2:$C$1001,$AR303),"")))</f>
        <v>1</v>
      </c>
      <c r="D303" s="5">
        <f>IF($A303="","",IF($AP303&lt;&gt;"",INDEX(Raw_D1!$D$2:$D$1001,$AP303),IF($AR303&lt;&gt;"",INDEX(Raw_D3!$D$2:$D$1001,$AR303),"")))</f>
        <v>0</v>
      </c>
      <c r="E303" s="5">
        <f>IF($A303="","",IF($AP303&lt;&gt;"",INDEX(Raw_D1!$E$2:$E$1001,$AP303),IF($AR303&lt;&gt;"",INDEX(Raw_D3!$E$2:$E$1001,$AR303),"")))</f>
        <v>1</v>
      </c>
      <c r="F303" s="5">
        <f>IF($A303="","",IF($AP303&lt;&gt;"",INDEX(Raw_D1!$F$2:$F$1001,$AP303),IF($AR303&lt;&gt;"",INDEX(Raw_D3!$F$2:$F$1001,$AR303),"")))</f>
        <v>0</v>
      </c>
      <c r="G303" s="5">
        <f>IF($A303="","",IF($AP303&lt;&gt;"",IF(INDEX(Raw_D1!$G$2:$G$1001,$AP303),1,0),IF($AR303&lt;&gt;"",IF(INDEX(Raw_D3!$G$2:$G$1001,$AR303),1,0),"")))</f>
        <v>0</v>
      </c>
      <c r="H303" s="5">
        <f>IF($A303="","",IF($AP303&lt;&gt;"",INDEX(Raw_D1!$H$2:$H$1001,$AP303),IF($AR303&lt;&gt;"",INDEX(Raw_D3!$H$2:$H$1001,$AR303),"")))</f>
        <v>5</v>
      </c>
      <c r="I303" s="5">
        <f>IF($A303="","",IF($AP303&lt;&gt;"",INDEX(Raw_D1!$I$2:$I$1001,$AP303),IF($AR303&lt;&gt;"",INDEX(Raw_D3!$I$2:$I$1001,$AR303),"")))</f>
        <v>1</v>
      </c>
      <c r="J303" s="16">
        <f>IF($A303="","",IF($AP303&lt;&gt;"",INDEX(Raw_D1!$J$2:$J$1001,$AP303),IF($AR303&lt;&gt;"",INDEX(Raw_D3!$J$2:$J$1001,$AR303),"")))</f>
        <v>0.12</v>
      </c>
      <c r="K303" s="17">
        <f>IF($A303="","",IF($AQ303&lt;&gt;"",IF(INDEX(Raw_D2!$C$2:$C$1001,$AQ303)="","",INDEX(Raw_D2!$C$2:$C$1001,$AQ303)),IF($AR303&lt;&gt;"",IF(INDEX(Raw_D3!$K$2:$K$1001,$AR303)="","",INDEX(Raw_D3!$K$2:$K$1001,$AR303)),"")))</f>
        <v>0.1364</v>
      </c>
      <c r="L303" s="16">
        <f>IF($A303="","",IF($AQ303&lt;&gt;"",IF(INDEX(Raw_D2!$D$2:$D$1001,$AQ303)="","",INDEX(Raw_D2!$D$2:$D$1001,$AQ303)),IF($AR303&lt;&gt;"",IF(INDEX(Raw_D3!$L$2:$L$1001,$AR303)="","",INDEX(Raw_D3!$L$2:$L$1001,$AR303)),"")))</f>
        <v>0.5</v>
      </c>
      <c r="M303" s="17">
        <f>IF($A303="","",IF($AQ303&lt;&gt;"",IF(INDEX(Raw_D2!$E$2:$E$1001,$AQ303)="","",INDEX(Raw_D2!$E$2:$E$1001,$AQ303)),IF($AR303&lt;&gt;"",IF(INDEX(Raw_D3!$M$2:$M$1001,$AR303)="","",INDEX(Raw_D3!$M$2:$M$1001,$AR303)),"")))</f>
        <v>0.194</v>
      </c>
      <c r="N303" s="5">
        <f>IF($A303="","",IF($AQ303&lt;&gt;"",IF(INDEX(Raw_D2!$F$2:$F$1001,$AQ303)="","",INDEX(Raw_D2!$F$2:$F$1001,$AQ303)),IF($AR303&lt;&gt;"",IF(INDEX(Raw_D3!$N$2:$N$1001,$AR303)="","",INDEX(Raw_D3!$N$2:$N$1001,$AR303)),"")))</f>
        <v>0</v>
      </c>
      <c r="O303" s="5">
        <f>IF($A303="","",IF($AQ303&lt;&gt;"",IF(INDEX(Raw_D2!$G$2:$G$1001,$AQ303)="","",INDEX(Raw_D2!$G$2:$G$1001,$AQ303)),IF($AR303&lt;&gt;"",IF(INDEX(Raw_D3!$O$2:$O$1001,$AR303)="","",INDEX(Raw_D3!$O$2:$O$1001,$AR303)),"")))</f>
        <v>14</v>
      </c>
      <c r="P303" s="5">
        <f>IF($A303="","",IF($AQ303&lt;&gt;"",IF(INDEX(Raw_D2!$H$2:$H$1001,$AQ303)="","",INDEX(Raw_D2!$H$2:$H$1001,$AQ303)),IF($AR303&lt;&gt;"",IF(INDEX(Raw_D3!$P$2:$P$1001,$AR303)="","",INDEX(Raw_D3!$P$2:$P$1001,$AR303)),"")))</f>
        <v>14</v>
      </c>
      <c r="Q303" s="5" t="str">
        <f>IF($A303="","",IF(AND($AP303&lt;&gt;"",$AQ303&lt;&gt;""),"D1+D2",IF($AR303&lt;&gt;"","D3","Incomplete")))</f>
        <v>D1+D2</v>
      </c>
      <c r="R303" s="17">
        <f>IF($A303="","",IF($K303="",IF($J303="","",ROUND(Lookups!$K$5+Lookups!$K$4*$J303,4)),$K303))</f>
        <v>0.1364</v>
      </c>
      <c r="S303" s="5" t="str">
        <f>IF($A303="","",IF($K303="","Imputed","Original"))</f>
        <v>Original</v>
      </c>
      <c r="T303" s="5" t="str">
        <f>IF($A303="","",IF($P303="","Missing",IF($P303=$N303+$O303,"OK","Mismatch")))</f>
        <v>OK</v>
      </c>
      <c r="U303" s="5" t="str">
        <f>IF($A303="","",IF(COUNTIF($A$2:$A303,$A303)&gt;1,"Duplicate","Unique"))</f>
        <v>Unique</v>
      </c>
      <c r="V303" s="5">
        <f>IF($A303="","",IF(AND($U303="Unique",ISNUMBER($P303)),1,0))</f>
        <v>1</v>
      </c>
      <c r="W303" s="5" t="str">
        <f>IF($A303="","",IF(OR($H303=0,$H303=6),"Weekend","Weekday"))</f>
        <v>Weekday</v>
      </c>
      <c r="X303" s="5" t="str">
        <f>IF($A303="","",TEXT($B303,"ddd"))</f>
        <v>Fri</v>
      </c>
      <c r="Y303" s="5" t="str">
        <f>IF($A303="","",TEXT($B303,"mmm"))</f>
        <v>Jan</v>
      </c>
      <c r="Z303" s="5" t="str">
        <f>IF($A303="","",IFERROR(VLOOKUP($C303,Lookups!$D$4:$E$7,2,FALSE),"Unknown"))</f>
        <v>Winter</v>
      </c>
      <c r="AA303" s="5" t="str">
        <f>IF($A303="","",IFERROR(VLOOKUP($I303,Lookups!$A$4:$B$7,2,FALSE),"Unknown"))</f>
        <v>Clear</v>
      </c>
      <c r="AB303" s="5" t="str">
        <f>IF($A303="","",TEXT($F303,"00")&amp;":00")</f>
        <v>00:00</v>
      </c>
      <c r="AC303" s="5" t="str">
        <f>IF($A303="","",VLOOKUP($F303,Lookups!$G$4:$H$8,2,TRUE))</f>
        <v>Night (00-05)</v>
      </c>
      <c r="AD303" s="18">
        <f>IF($A303="","",IF($J303="","",ROUND($J303*41,1)))</f>
        <v>4.9</v>
      </c>
      <c r="AE303" s="18">
        <f>IF($A303="","",IF($R303="","",ROUND($R303*50,1)))</f>
        <v>6.8</v>
      </c>
      <c r="AF303" s="5">
        <f>IF($A303="","",IF($L303="","",ROUND($L303*100,0)))</f>
        <v>50</v>
      </c>
      <c r="AG303" s="18">
        <f>IF($A303="","",IF($M303="","",ROUND($M303*67,1)))</f>
        <v>13</v>
      </c>
      <c r="AH303" s="19">
        <f>IF($A303="","",IF($P303="","",IF($P303=0,0,$O303/$P303)))</f>
        <v>1</v>
      </c>
      <c r="AI303" s="5" t="str">
        <f>IF($A303="","",IF($P303="","",IF($P303&gt;=Lookups!$K$7,"High",IF($P303&lt;=Lookups!$K$8,"Low","Medium"))))</f>
        <v>Low</v>
      </c>
      <c r="AJ303" s="5" t="str">
        <f>IF($A303="","",IF($AD303="","",IF($AD303&lt;5,"Under 5 C",IF($AD303&lt;10,"5-10 C",IF($AD303&lt;15,"10-15 C","15 C and above")))))</f>
        <v>Under 5 C</v>
      </c>
      <c r="AK303" s="5">
        <f>IF($A303="","",IF($P303="","",$P303^2))</f>
        <v>196</v>
      </c>
      <c r="AL303" s="18">
        <f>IF($V303&lt;&gt;1,"",AVERAGEIFS(Clean_Data!$P$2:$P$1001,Clean_Data!$F$2:$F$1001,$F303,Clean_Data!$W$2:$W$1001,$W303,Clean_Data!$V$2:$V$1001,1))</f>
        <v>10.6896551724138</v>
      </c>
      <c r="AM303" s="16">
        <f>IF($V303&lt;&gt;1,"",IFERROR(($P303-$AL303)/SQRT(MAX(0,(SUMIFS(Clean_Data!$AK$2:$AK$1001,Clean_Data!$F$2:$F$1001,$F303,Clean_Data!$W$2:$W$1001,$W303,Clean_Data!$V$2:$V$1001,1)-COUNTIFS(Clean_Data!$F$2:$F$1001,$F303,Clean_Data!$W$2:$W$1001,$W303,Clean_Data!$V$2:$V$1001,1)*$AL303^2)/(COUNTIFS(Clean_Data!$F$2:$F$1001,$F303,Clean_Data!$W$2:$W$1001,$W303,Clean_Data!$V$2:$V$1001,1)-1))),""))</f>
        <v>0.676624633042206</v>
      </c>
      <c r="AN303" s="5" t="str">
        <f>IF($AM303="","",IF($AM303&gt;=Lookups!$K$6,"High spike",IF($AM303&lt;=-Lookups!$K$6,"Unusual low","Normal")))</f>
        <v>Normal</v>
      </c>
      <c r="AO303" s="20">
        <f>IF($V303&lt;&gt;1,"",$P303+ROW()/100000)</f>
        <v>14.00303</v>
      </c>
      <c r="AP303" s="5">
        <f>IF($A303="","",IFERROR(MATCH($A303,Raw_D1!$A$2:$A$1001,0),""))</f>
        <v>302</v>
      </c>
      <c r="AQ303" s="5">
        <f>IF($A303="","",IFERROR(MATCH($A303,Raw_D2!$B$2:$B$1001,0),""))</f>
        <v>302</v>
      </c>
      <c r="AR303" s="5">
        <f>IF($A303="","",IFERROR(MATCH($A303,Raw_D3!$A$2:$A$1001,0),""))</f>
        <v/>
      </c>
    </row>
    <row r="304" spans="1:44" x14ac:dyDescent="0.25">
      <c r="A304" s="5">
        <v>303</v>
      </c>
      <c r="B304" s="11">
        <f>IF($A304="","",IF($AP304&lt;&gt;"",INDEX(Raw_D1!$B$2:$B$1001,$AP304),IF($AR304&lt;&gt;"",INDEX(Raw_D3!$B$2:$B$1001,$AR304),"")))</f>
        <v>40557.0</v>
      </c>
      <c r="C304" s="5">
        <f>IF($A304="","",IF($AP304&lt;&gt;"",INDEX(Raw_D1!$C$2:$C$1001,$AP304),IF($AR304&lt;&gt;"",INDEX(Raw_D3!$C$2:$C$1001,$AR304),"")))</f>
        <v>1</v>
      </c>
      <c r="D304" s="5">
        <f>IF($A304="","",IF($AP304&lt;&gt;"",INDEX(Raw_D1!$D$2:$D$1001,$AP304),IF($AR304&lt;&gt;"",INDEX(Raw_D3!$D$2:$D$1001,$AR304),"")))</f>
        <v>0</v>
      </c>
      <c r="E304" s="5">
        <f>IF($A304="","",IF($AP304&lt;&gt;"",INDEX(Raw_D1!$E$2:$E$1001,$AP304),IF($AR304&lt;&gt;"",INDEX(Raw_D3!$E$2:$E$1001,$AR304),"")))</f>
        <v>1</v>
      </c>
      <c r="F304" s="5">
        <f>IF($A304="","",IF($AP304&lt;&gt;"",INDEX(Raw_D1!$F$2:$F$1001,$AP304),IF($AR304&lt;&gt;"",INDEX(Raw_D3!$F$2:$F$1001,$AR304),"")))</f>
        <v>1</v>
      </c>
      <c r="G304" s="5">
        <f>IF($A304="","",IF($AP304&lt;&gt;"",IF(INDEX(Raw_D1!$G$2:$G$1001,$AP304),1,0),IF($AR304&lt;&gt;"",IF(INDEX(Raw_D3!$G$2:$G$1001,$AR304),1,0),"")))</f>
        <v>0</v>
      </c>
      <c r="H304" s="5">
        <f>IF($A304="","",IF($AP304&lt;&gt;"",INDEX(Raw_D1!$H$2:$H$1001,$AP304),IF($AR304&lt;&gt;"",INDEX(Raw_D3!$H$2:$H$1001,$AR304),"")))</f>
        <v>5</v>
      </c>
      <c r="I304" s="5">
        <f>IF($A304="","",IF($AP304&lt;&gt;"",INDEX(Raw_D1!$I$2:$I$1001,$AP304),IF($AR304&lt;&gt;"",INDEX(Raw_D3!$I$2:$I$1001,$AR304),"")))</f>
        <v>1</v>
      </c>
      <c r="J304" s="16">
        <f>IF($A304="","",IF($AP304&lt;&gt;"",INDEX(Raw_D1!$J$2:$J$1001,$AP304),IF($AR304&lt;&gt;"",INDEX(Raw_D3!$J$2:$J$1001,$AR304),"")))</f>
        <v>0.1</v>
      </c>
      <c r="K304" s="17">
        <f>IF($A304="","",IF($AQ304&lt;&gt;"",IF(INDEX(Raw_D2!$C$2:$C$1001,$AQ304)="","",INDEX(Raw_D2!$C$2:$C$1001,$AQ304)),IF($AR304&lt;&gt;"",IF(INDEX(Raw_D3!$K$2:$K$1001,$AR304)="","",INDEX(Raw_D3!$K$2:$K$1001,$AR304)),"")))</f>
        <v>0.1212</v>
      </c>
      <c r="L304" s="16">
        <f>IF($A304="","",IF($AQ304&lt;&gt;"",IF(INDEX(Raw_D2!$D$2:$D$1001,$AQ304)="","",INDEX(Raw_D2!$D$2:$D$1001,$AQ304)),IF($AR304&lt;&gt;"",IF(INDEX(Raw_D3!$L$2:$L$1001,$AR304)="","",INDEX(Raw_D3!$L$2:$L$1001,$AR304)),"")))</f>
        <v>0.54</v>
      </c>
      <c r="M304" s="17">
        <f>IF($A304="","",IF($AQ304&lt;&gt;"",IF(INDEX(Raw_D2!$E$2:$E$1001,$AQ304)="","",INDEX(Raw_D2!$E$2:$E$1001,$AQ304)),IF($AR304&lt;&gt;"",IF(INDEX(Raw_D3!$M$2:$M$1001,$AR304)="","",INDEX(Raw_D3!$M$2:$M$1001,$AR304)),"")))</f>
        <v>0.1642</v>
      </c>
      <c r="N304" s="5">
        <f>IF($A304="","",IF($AQ304&lt;&gt;"",IF(INDEX(Raw_D2!$F$2:$F$1001,$AQ304)="","",INDEX(Raw_D2!$F$2:$F$1001,$AQ304)),IF($AR304&lt;&gt;"",IF(INDEX(Raw_D3!$N$2:$N$1001,$AR304)="","",INDEX(Raw_D3!$N$2:$N$1001,$AR304)),"")))</f>
        <v>0</v>
      </c>
      <c r="O304" s="5">
        <f>IF($A304="","",IF($AQ304&lt;&gt;"",IF(INDEX(Raw_D2!$G$2:$G$1001,$AQ304)="","",INDEX(Raw_D2!$G$2:$G$1001,$AQ304)),IF($AR304&lt;&gt;"",IF(INDEX(Raw_D3!$O$2:$O$1001,$AR304)="","",INDEX(Raw_D3!$O$2:$O$1001,$AR304)),"")))</f>
        <v>5</v>
      </c>
      <c r="P304" s="5">
        <f>IF($A304="","",IF($AQ304&lt;&gt;"",IF(INDEX(Raw_D2!$H$2:$H$1001,$AQ304)="","",INDEX(Raw_D2!$H$2:$H$1001,$AQ304)),IF($AR304&lt;&gt;"",IF(INDEX(Raw_D3!$P$2:$P$1001,$AR304)="","",INDEX(Raw_D3!$P$2:$P$1001,$AR304)),"")))</f>
        <v>5</v>
      </c>
      <c r="Q304" s="5" t="str">
        <f>IF($A304="","",IF(AND($AP304&lt;&gt;"",$AQ304&lt;&gt;""),"D1+D2",IF($AR304&lt;&gt;"","D3","Incomplete")))</f>
        <v>D1+D2</v>
      </c>
      <c r="R304" s="17">
        <f>IF($A304="","",IF($K304="",IF($J304="","",ROUND(Lookups!$K$5+Lookups!$K$4*$J304,4)),$K304))</f>
        <v>0.1212</v>
      </c>
      <c r="S304" s="5" t="str">
        <f>IF($A304="","",IF($K304="","Imputed","Original"))</f>
        <v>Original</v>
      </c>
      <c r="T304" s="5" t="str">
        <f>IF($A304="","",IF($P304="","Missing",IF($P304=$N304+$O304,"OK","Mismatch")))</f>
        <v>OK</v>
      </c>
      <c r="U304" s="5" t="str">
        <f>IF($A304="","",IF(COUNTIF($A$2:$A304,$A304)&gt;1,"Duplicate","Unique"))</f>
        <v>Unique</v>
      </c>
      <c r="V304" s="5">
        <f>IF($A304="","",IF(AND($U304="Unique",ISNUMBER($P304)),1,0))</f>
        <v>1</v>
      </c>
      <c r="W304" s="5" t="str">
        <f>IF($A304="","",IF(OR($H304=0,$H304=6),"Weekend","Weekday"))</f>
        <v>Weekday</v>
      </c>
      <c r="X304" s="5" t="str">
        <f>IF($A304="","",TEXT($B304,"ddd"))</f>
        <v>Fri</v>
      </c>
      <c r="Y304" s="5" t="str">
        <f>IF($A304="","",TEXT($B304,"mmm"))</f>
        <v>Jan</v>
      </c>
      <c r="Z304" s="5" t="str">
        <f>IF($A304="","",IFERROR(VLOOKUP($C304,Lookups!$D$4:$E$7,2,FALSE),"Unknown"))</f>
        <v>Winter</v>
      </c>
      <c r="AA304" s="5" t="str">
        <f>IF($A304="","",IFERROR(VLOOKUP($I304,Lookups!$A$4:$B$7,2,FALSE),"Unknown"))</f>
        <v>Clear</v>
      </c>
      <c r="AB304" s="5" t="str">
        <f>IF($A304="","",TEXT($F304,"00")&amp;":00")</f>
        <v>01:00</v>
      </c>
      <c r="AC304" s="5" t="str">
        <f>IF($A304="","",VLOOKUP($F304,Lookups!$G$4:$H$8,2,TRUE))</f>
        <v>Night (00-05)</v>
      </c>
      <c r="AD304" s="18">
        <f>IF($A304="","",IF($J304="","",ROUND($J304*41,1)))</f>
        <v>4.1</v>
      </c>
      <c r="AE304" s="18">
        <f>IF($A304="","",IF($R304="","",ROUND($R304*50,1)))</f>
        <v>6.1</v>
      </c>
      <c r="AF304" s="5">
        <f>IF($A304="","",IF($L304="","",ROUND($L304*100,0)))</f>
        <v>54</v>
      </c>
      <c r="AG304" s="18">
        <f>IF($A304="","",IF($M304="","",ROUND($M304*67,1)))</f>
        <v>11</v>
      </c>
      <c r="AH304" s="19">
        <f>IF($A304="","",IF($P304="","",IF($P304=0,0,$O304/$P304)))</f>
        <v>1</v>
      </c>
      <c r="AI304" s="5" t="str">
        <f>IF($A304="","",IF($P304="","",IF($P304&gt;=Lookups!$K$7,"High",IF($P304&lt;=Lookups!$K$8,"Low","Medium"))))</f>
        <v>Low</v>
      </c>
      <c r="AJ304" s="5" t="str">
        <f>IF($A304="","",IF($AD304="","",IF($AD304&lt;5,"Under 5 C",IF($AD304&lt;10,"5-10 C",IF($AD304&lt;15,"10-15 C","15 C and above")))))</f>
        <v>Under 5 C</v>
      </c>
      <c r="AK304" s="5">
        <f>IF($A304="","",IF($P304="","",$P304^2))</f>
        <v>25</v>
      </c>
      <c r="AL304" s="18">
        <f>IF($V304&lt;&gt;1,"",AVERAGEIFS(Clean_Data!$P$2:$P$1001,Clean_Data!$F$2:$F$1001,$F304,Clean_Data!$W$2:$W$1001,$W304,Clean_Data!$V$2:$V$1001,1))</f>
        <v>5.10344827586207</v>
      </c>
      <c r="AM304" s="16">
        <f>IF($V304&lt;&gt;1,"",IFERROR(($P304-$AL304)/SQRT(MAX(0,(SUMIFS(Clean_Data!$AK$2:$AK$1001,Clean_Data!$F$2:$F$1001,$F304,Clean_Data!$W$2:$W$1001,$W304,Clean_Data!$V$2:$V$1001,1)-COUNTIFS(Clean_Data!$F$2:$F$1001,$F304,Clean_Data!$W$2:$W$1001,$W304,Clean_Data!$V$2:$V$1001,1)*$AL304^2)/(COUNTIFS(Clean_Data!$F$2:$F$1001,$F304,Clean_Data!$W$2:$W$1001,$W304,Clean_Data!$V$2:$V$1001,1)-1))),""))</f>
        <v>-0.0358850647735475</v>
      </c>
      <c r="AN304" s="5" t="str">
        <f>IF($AM304="","",IF($AM304&gt;=Lookups!$K$6,"High spike",IF($AM304&lt;=-Lookups!$K$6,"Unusual low","Normal")))</f>
        <v>Normal</v>
      </c>
      <c r="AO304" s="20">
        <f>IF($V304&lt;&gt;1,"",$P304+ROW()/100000)</f>
        <v>5.00304</v>
      </c>
      <c r="AP304" s="5">
        <f>IF($A304="","",IFERROR(MATCH($A304,Raw_D1!$A$2:$A$1001,0),""))</f>
        <v>303</v>
      </c>
      <c r="AQ304" s="5">
        <f>IF($A304="","",IFERROR(MATCH($A304,Raw_D2!$B$2:$B$1001,0),""))</f>
        <v>303</v>
      </c>
      <c r="AR304" s="5">
        <f>IF($A304="","",IFERROR(MATCH($A304,Raw_D3!$A$2:$A$1001,0),""))</f>
        <v/>
      </c>
    </row>
    <row r="305" spans="1:44" x14ac:dyDescent="0.25">
      <c r="A305" s="5">
        <v>304</v>
      </c>
      <c r="B305" s="11">
        <f>IF($A305="","",IF($AP305&lt;&gt;"",INDEX(Raw_D1!$B$2:$B$1001,$AP305),IF($AR305&lt;&gt;"",INDEX(Raw_D3!$B$2:$B$1001,$AR305),"")))</f>
        <v>40557.0</v>
      </c>
      <c r="C305" s="5">
        <f>IF($A305="","",IF($AP305&lt;&gt;"",INDEX(Raw_D1!$C$2:$C$1001,$AP305),IF($AR305&lt;&gt;"",INDEX(Raw_D3!$C$2:$C$1001,$AR305),"")))</f>
        <v>1</v>
      </c>
      <c r="D305" s="5">
        <f>IF($A305="","",IF($AP305&lt;&gt;"",INDEX(Raw_D1!$D$2:$D$1001,$AP305),IF($AR305&lt;&gt;"",INDEX(Raw_D3!$D$2:$D$1001,$AR305),"")))</f>
        <v>0</v>
      </c>
      <c r="E305" s="5">
        <f>IF($A305="","",IF($AP305&lt;&gt;"",INDEX(Raw_D1!$E$2:$E$1001,$AP305),IF($AR305&lt;&gt;"",INDEX(Raw_D3!$E$2:$E$1001,$AR305),"")))</f>
        <v>1</v>
      </c>
      <c r="F305" s="5">
        <f>IF($A305="","",IF($AP305&lt;&gt;"",INDEX(Raw_D1!$F$2:$F$1001,$AP305),IF($AR305&lt;&gt;"",INDEX(Raw_D3!$F$2:$F$1001,$AR305),"")))</f>
        <v>2</v>
      </c>
      <c r="G305" s="5">
        <f>IF($A305="","",IF($AP305&lt;&gt;"",IF(INDEX(Raw_D1!$G$2:$G$1001,$AP305),1,0),IF($AR305&lt;&gt;"",IF(INDEX(Raw_D3!$G$2:$G$1001,$AR305),1,0),"")))</f>
        <v>0</v>
      </c>
      <c r="H305" s="5">
        <f>IF($A305="","",IF($AP305&lt;&gt;"",INDEX(Raw_D1!$H$2:$H$1001,$AP305),IF($AR305&lt;&gt;"",INDEX(Raw_D3!$H$2:$H$1001,$AR305),"")))</f>
        <v>5</v>
      </c>
      <c r="I305" s="5">
        <f>IF($A305="","",IF($AP305&lt;&gt;"",INDEX(Raw_D1!$I$2:$I$1001,$AP305),IF($AR305&lt;&gt;"",INDEX(Raw_D3!$I$2:$I$1001,$AR305),"")))</f>
        <v>1</v>
      </c>
      <c r="J305" s="16">
        <f>IF($A305="","",IF($AP305&lt;&gt;"",INDEX(Raw_D1!$J$2:$J$1001,$AP305),IF($AR305&lt;&gt;"",INDEX(Raw_D3!$J$2:$J$1001,$AR305),"")))</f>
        <v>0.1</v>
      </c>
      <c r="K305" s="17">
        <f>IF($A305="","",IF($AQ305&lt;&gt;"",IF(INDEX(Raw_D2!$C$2:$C$1001,$AQ305)="","",INDEX(Raw_D2!$C$2:$C$1001,$AQ305)),IF($AR305&lt;&gt;"",IF(INDEX(Raw_D3!$K$2:$K$1001,$AR305)="","",INDEX(Raw_D3!$K$2:$K$1001,$AR305)),"")))</f>
        <v>0.1212</v>
      </c>
      <c r="L305" s="16">
        <f>IF($A305="","",IF($AQ305&lt;&gt;"",IF(INDEX(Raw_D2!$D$2:$D$1001,$AQ305)="","",INDEX(Raw_D2!$D$2:$D$1001,$AQ305)),IF($AR305&lt;&gt;"",IF(INDEX(Raw_D3!$L$2:$L$1001,$AR305)="","",INDEX(Raw_D3!$L$2:$L$1001,$AR305)),"")))</f>
        <v>0.54</v>
      </c>
      <c r="M305" s="17">
        <f>IF($A305="","",IF($AQ305&lt;&gt;"",IF(INDEX(Raw_D2!$E$2:$E$1001,$AQ305)="","",INDEX(Raw_D2!$E$2:$E$1001,$AQ305)),IF($AR305&lt;&gt;"",IF(INDEX(Raw_D3!$M$2:$M$1001,$AR305)="","",INDEX(Raw_D3!$M$2:$M$1001,$AR305)),"")))</f>
        <v>0.1343</v>
      </c>
      <c r="N305" s="5">
        <f>IF($A305="","",IF($AQ305&lt;&gt;"",IF(INDEX(Raw_D2!$F$2:$F$1001,$AQ305)="","",INDEX(Raw_D2!$F$2:$F$1001,$AQ305)),IF($AR305&lt;&gt;"",IF(INDEX(Raw_D3!$N$2:$N$1001,$AR305)="","",INDEX(Raw_D3!$N$2:$N$1001,$AR305)),"")))</f>
        <v>0</v>
      </c>
      <c r="O305" s="5">
        <f>IF($A305="","",IF($AQ305&lt;&gt;"",IF(INDEX(Raw_D2!$G$2:$G$1001,$AQ305)="","",INDEX(Raw_D2!$G$2:$G$1001,$AQ305)),IF($AR305&lt;&gt;"",IF(INDEX(Raw_D3!$O$2:$O$1001,$AR305)="","",INDEX(Raw_D3!$O$2:$O$1001,$AR305)),"")))</f>
        <v>1</v>
      </c>
      <c r="P305" s="5">
        <f>IF($A305="","",IF($AQ305&lt;&gt;"",IF(INDEX(Raw_D2!$H$2:$H$1001,$AQ305)="","",INDEX(Raw_D2!$H$2:$H$1001,$AQ305)),IF($AR305&lt;&gt;"",IF(INDEX(Raw_D3!$P$2:$P$1001,$AR305)="","",INDEX(Raw_D3!$P$2:$P$1001,$AR305)),"")))</f>
        <v>1</v>
      </c>
      <c r="Q305" s="5" t="str">
        <f>IF($A305="","",IF(AND($AP305&lt;&gt;"",$AQ305&lt;&gt;""),"D1+D2",IF($AR305&lt;&gt;"","D3","Incomplete")))</f>
        <v>D1+D2</v>
      </c>
      <c r="R305" s="17">
        <f>IF($A305="","",IF($K305="",IF($J305="","",ROUND(Lookups!$K$5+Lookups!$K$4*$J305,4)),$K305))</f>
        <v>0.1212</v>
      </c>
      <c r="S305" s="5" t="str">
        <f>IF($A305="","",IF($K305="","Imputed","Original"))</f>
        <v>Original</v>
      </c>
      <c r="T305" s="5" t="str">
        <f>IF($A305="","",IF($P305="","Missing",IF($P305=$N305+$O305,"OK","Mismatch")))</f>
        <v>OK</v>
      </c>
      <c r="U305" s="5" t="str">
        <f>IF($A305="","",IF(COUNTIF($A$2:$A305,$A305)&gt;1,"Duplicate","Unique"))</f>
        <v>Unique</v>
      </c>
      <c r="V305" s="5">
        <f>IF($A305="","",IF(AND($U305="Unique",ISNUMBER($P305)),1,0))</f>
        <v>1</v>
      </c>
      <c r="W305" s="5" t="str">
        <f>IF($A305="","",IF(OR($H305=0,$H305=6),"Weekend","Weekday"))</f>
        <v>Weekday</v>
      </c>
      <c r="X305" s="5" t="str">
        <f>IF($A305="","",TEXT($B305,"ddd"))</f>
        <v>Fri</v>
      </c>
      <c r="Y305" s="5" t="str">
        <f>IF($A305="","",TEXT($B305,"mmm"))</f>
        <v>Jan</v>
      </c>
      <c r="Z305" s="5" t="str">
        <f>IF($A305="","",IFERROR(VLOOKUP($C305,Lookups!$D$4:$E$7,2,FALSE),"Unknown"))</f>
        <v>Winter</v>
      </c>
      <c r="AA305" s="5" t="str">
        <f>IF($A305="","",IFERROR(VLOOKUP($I305,Lookups!$A$4:$B$7,2,FALSE),"Unknown"))</f>
        <v>Clear</v>
      </c>
      <c r="AB305" s="5" t="str">
        <f>IF($A305="","",TEXT($F305,"00")&amp;":00")</f>
        <v>02:00</v>
      </c>
      <c r="AC305" s="5" t="str">
        <f>IF($A305="","",VLOOKUP($F305,Lookups!$G$4:$H$8,2,TRUE))</f>
        <v>Night (00-05)</v>
      </c>
      <c r="AD305" s="18">
        <f>IF($A305="","",IF($J305="","",ROUND($J305*41,1)))</f>
        <v>4.1</v>
      </c>
      <c r="AE305" s="18">
        <f>IF($A305="","",IF($R305="","",ROUND($R305*50,1)))</f>
        <v>6.1</v>
      </c>
      <c r="AF305" s="5">
        <f>IF($A305="","",IF($L305="","",ROUND($L305*100,0)))</f>
        <v>54</v>
      </c>
      <c r="AG305" s="18">
        <f>IF($A305="","",IF($M305="","",ROUND($M305*67,1)))</f>
        <v>9</v>
      </c>
      <c r="AH305" s="19">
        <f>IF($A305="","",IF($P305="","",IF($P305=0,0,$O305/$P305)))</f>
        <v>1</v>
      </c>
      <c r="AI305" s="5" t="str">
        <f>IF($A305="","",IF($P305="","",IF($P305&gt;=Lookups!$K$7,"High",IF($P305&lt;=Lookups!$K$8,"Low","Medium"))))</f>
        <v>Low</v>
      </c>
      <c r="AJ305" s="5" t="str">
        <f>IF($A305="","",IF($AD305="","",IF($AD305&lt;5,"Under 5 C",IF($AD305&lt;10,"5-10 C",IF($AD305&lt;15,"10-15 C","15 C and above")))))</f>
        <v>Under 5 C</v>
      </c>
      <c r="AK305" s="5">
        <f>IF($A305="","",IF($P305="","",$P305^2))</f>
        <v>1</v>
      </c>
      <c r="AL305" s="18">
        <f>IF($V305&lt;&gt;1,"",AVERAGEIFS(Clean_Data!$P$2:$P$1001,Clean_Data!$F$2:$F$1001,$F305,Clean_Data!$W$2:$W$1001,$W305,Clean_Data!$V$2:$V$1001,1))</f>
        <v>2.62962962962963</v>
      </c>
      <c r="AM305" s="16">
        <f>IF($V305&lt;&gt;1,"",IFERROR(($P305-$AL305)/SQRT(MAX(0,(SUMIFS(Clean_Data!$AK$2:$AK$1001,Clean_Data!$F$2:$F$1001,$F305,Clean_Data!$W$2:$W$1001,$W305,Clean_Data!$V$2:$V$1001,1)-COUNTIFS(Clean_Data!$F$2:$F$1001,$F305,Clean_Data!$W$2:$W$1001,$W305,Clean_Data!$V$2:$V$1001,1)*$AL305^2)/(COUNTIFS(Clean_Data!$F$2:$F$1001,$F305,Clean_Data!$W$2:$W$1001,$W305,Clean_Data!$V$2:$V$1001,1)-1))),""))</f>
        <v>-0.80596562646555</v>
      </c>
      <c r="AN305" s="5" t="str">
        <f>IF($AM305="","",IF($AM305&gt;=Lookups!$K$6,"High spike",IF($AM305&lt;=-Lookups!$K$6,"Unusual low","Normal")))</f>
        <v>Normal</v>
      </c>
      <c r="AO305" s="20">
        <f>IF($V305&lt;&gt;1,"",$P305+ROW()/100000)</f>
        <v>1.00305</v>
      </c>
      <c r="AP305" s="5">
        <f>IF($A305="","",IFERROR(MATCH($A305,Raw_D1!$A$2:$A$1001,0),""))</f>
        <v>304</v>
      </c>
      <c r="AQ305" s="5">
        <f>IF($A305="","",IFERROR(MATCH($A305,Raw_D2!$B$2:$B$1001,0),""))</f>
        <v>304</v>
      </c>
      <c r="AR305" s="5">
        <f>IF($A305="","",IFERROR(MATCH($A305,Raw_D3!$A$2:$A$1001,0),""))</f>
        <v/>
      </c>
    </row>
    <row r="306" spans="1:44" x14ac:dyDescent="0.25">
      <c r="A306" s="5">
        <v>305</v>
      </c>
      <c r="B306" s="11">
        <f>IF($A306="","",IF($AP306&lt;&gt;"",INDEX(Raw_D1!$B$2:$B$1001,$AP306),IF($AR306&lt;&gt;"",INDEX(Raw_D3!$B$2:$B$1001,$AR306),"")))</f>
        <v>40557.0</v>
      </c>
      <c r="C306" s="5">
        <f>IF($A306="","",IF($AP306&lt;&gt;"",INDEX(Raw_D1!$C$2:$C$1001,$AP306),IF($AR306&lt;&gt;"",INDEX(Raw_D3!$C$2:$C$1001,$AR306),"")))</f>
        <v>1</v>
      </c>
      <c r="D306" s="5">
        <f>IF($A306="","",IF($AP306&lt;&gt;"",INDEX(Raw_D1!$D$2:$D$1001,$AP306),IF($AR306&lt;&gt;"",INDEX(Raw_D3!$D$2:$D$1001,$AR306),"")))</f>
        <v>0</v>
      </c>
      <c r="E306" s="5">
        <f>IF($A306="","",IF($AP306&lt;&gt;"",INDEX(Raw_D1!$E$2:$E$1001,$AP306),IF($AR306&lt;&gt;"",INDEX(Raw_D3!$E$2:$E$1001,$AR306),"")))</f>
        <v>1</v>
      </c>
      <c r="F306" s="5">
        <f>IF($A306="","",IF($AP306&lt;&gt;"",INDEX(Raw_D1!$F$2:$F$1001,$AP306),IF($AR306&lt;&gt;"",INDEX(Raw_D3!$F$2:$F$1001,$AR306),"")))</f>
        <v>3</v>
      </c>
      <c r="G306" s="5">
        <f>IF($A306="","",IF($AP306&lt;&gt;"",IF(INDEX(Raw_D1!$G$2:$G$1001,$AP306),1,0),IF($AR306&lt;&gt;"",IF(INDEX(Raw_D3!$G$2:$G$1001,$AR306),1,0),"")))</f>
        <v>0</v>
      </c>
      <c r="H306" s="5">
        <f>IF($A306="","",IF($AP306&lt;&gt;"",INDEX(Raw_D1!$H$2:$H$1001,$AP306),IF($AR306&lt;&gt;"",INDEX(Raw_D3!$H$2:$H$1001,$AR306),"")))</f>
        <v>5</v>
      </c>
      <c r="I306" s="5">
        <f>IF($A306="","",IF($AP306&lt;&gt;"",INDEX(Raw_D1!$I$2:$I$1001,$AP306),IF($AR306&lt;&gt;"",INDEX(Raw_D3!$I$2:$I$1001,$AR306),"")))</f>
        <v>1</v>
      </c>
      <c r="J306" s="16">
        <f>IF($A306="","",IF($AP306&lt;&gt;"",INDEX(Raw_D1!$J$2:$J$1001,$AP306),IF($AR306&lt;&gt;"",INDEX(Raw_D3!$J$2:$J$1001,$AR306),"")))</f>
        <v>0.1</v>
      </c>
      <c r="K306" s="17">
        <f>IF($A306="","",IF($AQ306&lt;&gt;"",IF(INDEX(Raw_D2!$C$2:$C$1001,$AQ306)="","",INDEX(Raw_D2!$C$2:$C$1001,$AQ306)),IF($AR306&lt;&gt;"",IF(INDEX(Raw_D3!$K$2:$K$1001,$AR306)="","",INDEX(Raw_D3!$K$2:$K$1001,$AR306)),"")))</f>
        <v>0.1364</v>
      </c>
      <c r="L306" s="16">
        <f>IF($A306="","",IF($AQ306&lt;&gt;"",IF(INDEX(Raw_D2!$D$2:$D$1001,$AQ306)="","",INDEX(Raw_D2!$D$2:$D$1001,$AQ306)),IF($AR306&lt;&gt;"",IF(INDEX(Raw_D3!$L$2:$L$1001,$AR306)="","",INDEX(Raw_D3!$L$2:$L$1001,$AR306)),"")))</f>
        <v>0.54</v>
      </c>
      <c r="M306" s="17">
        <f>IF($A306="","",IF($AQ306&lt;&gt;"",IF(INDEX(Raw_D2!$E$2:$E$1001,$AQ306)="","",INDEX(Raw_D2!$E$2:$E$1001,$AQ306)),IF($AR306&lt;&gt;"",IF(INDEX(Raw_D3!$M$2:$M$1001,$AR306)="","",INDEX(Raw_D3!$M$2:$M$1001,$AR306)),"")))</f>
        <v>0.1045</v>
      </c>
      <c r="N306" s="5">
        <f>IF($A306="","",IF($AQ306&lt;&gt;"",IF(INDEX(Raw_D2!$F$2:$F$1001,$AQ306)="","",INDEX(Raw_D2!$F$2:$F$1001,$AQ306)),IF($AR306&lt;&gt;"",IF(INDEX(Raw_D3!$N$2:$N$1001,$AR306)="","",INDEX(Raw_D3!$N$2:$N$1001,$AR306)),"")))</f>
        <v>0</v>
      </c>
      <c r="O306" s="5">
        <f>IF($A306="","",IF($AQ306&lt;&gt;"",IF(INDEX(Raw_D2!$G$2:$G$1001,$AQ306)="","",INDEX(Raw_D2!$G$2:$G$1001,$AQ306)),IF($AR306&lt;&gt;"",IF(INDEX(Raw_D3!$O$2:$O$1001,$AR306)="","",INDEX(Raw_D3!$O$2:$O$1001,$AR306)),"")))</f>
        <v>1</v>
      </c>
      <c r="P306" s="5">
        <f>IF($A306="","",IF($AQ306&lt;&gt;"",IF(INDEX(Raw_D2!$H$2:$H$1001,$AQ306)="","",INDEX(Raw_D2!$H$2:$H$1001,$AQ306)),IF($AR306&lt;&gt;"",IF(INDEX(Raw_D3!$P$2:$P$1001,$AR306)="","",INDEX(Raw_D3!$P$2:$P$1001,$AR306)),"")))</f>
        <v>1</v>
      </c>
      <c r="Q306" s="5" t="str">
        <f>IF($A306="","",IF(AND($AP306&lt;&gt;"",$AQ306&lt;&gt;""),"D1+D2",IF($AR306&lt;&gt;"","D3","Incomplete")))</f>
        <v>D1+D2</v>
      </c>
      <c r="R306" s="17">
        <f>IF($A306="","",IF($K306="",IF($J306="","",ROUND(Lookups!$K$5+Lookups!$K$4*$J306,4)),$K306))</f>
        <v>0.1364</v>
      </c>
      <c r="S306" s="5" t="str">
        <f>IF($A306="","",IF($K306="","Imputed","Original"))</f>
        <v>Original</v>
      </c>
      <c r="T306" s="5" t="str">
        <f>IF($A306="","",IF($P306="","Missing",IF($P306=$N306+$O306,"OK","Mismatch")))</f>
        <v>OK</v>
      </c>
      <c r="U306" s="5" t="str">
        <f>IF($A306="","",IF(COUNTIF($A$2:$A306,$A306)&gt;1,"Duplicate","Unique"))</f>
        <v>Unique</v>
      </c>
      <c r="V306" s="5">
        <f>IF($A306="","",IF(AND($U306="Unique",ISNUMBER($P306)),1,0))</f>
        <v>1</v>
      </c>
      <c r="W306" s="5" t="str">
        <f>IF($A306="","",IF(OR($H306=0,$H306=6),"Weekend","Weekday"))</f>
        <v>Weekday</v>
      </c>
      <c r="X306" s="5" t="str">
        <f>IF($A306="","",TEXT($B306,"ddd"))</f>
        <v>Fri</v>
      </c>
      <c r="Y306" s="5" t="str">
        <f>IF($A306="","",TEXT($B306,"mmm"))</f>
        <v>Jan</v>
      </c>
      <c r="Z306" s="5" t="str">
        <f>IF($A306="","",IFERROR(VLOOKUP($C306,Lookups!$D$4:$E$7,2,FALSE),"Unknown"))</f>
        <v>Winter</v>
      </c>
      <c r="AA306" s="5" t="str">
        <f>IF($A306="","",IFERROR(VLOOKUP($I306,Lookups!$A$4:$B$7,2,FALSE),"Unknown"))</f>
        <v>Clear</v>
      </c>
      <c r="AB306" s="5" t="str">
        <f>IF($A306="","",TEXT($F306,"00")&amp;":00")</f>
        <v>03:00</v>
      </c>
      <c r="AC306" s="5" t="str">
        <f>IF($A306="","",VLOOKUP($F306,Lookups!$G$4:$H$8,2,TRUE))</f>
        <v>Night (00-05)</v>
      </c>
      <c r="AD306" s="18">
        <f>IF($A306="","",IF($J306="","",ROUND($J306*41,1)))</f>
        <v>4.1</v>
      </c>
      <c r="AE306" s="18">
        <f>IF($A306="","",IF($R306="","",ROUND($R306*50,1)))</f>
        <v>6.8</v>
      </c>
      <c r="AF306" s="5">
        <f>IF($A306="","",IF($L306="","",ROUND($L306*100,0)))</f>
        <v>54</v>
      </c>
      <c r="AG306" s="18">
        <f>IF($A306="","",IF($M306="","",ROUND($M306*67,1)))</f>
        <v>7</v>
      </c>
      <c r="AH306" s="19">
        <f>IF($A306="","",IF($P306="","",IF($P306=0,0,$O306/$P306)))</f>
        <v>1</v>
      </c>
      <c r="AI306" s="5" t="str">
        <f>IF($A306="","",IF($P306="","",IF($P306&gt;=Lookups!$K$7,"High",IF($P306&lt;=Lookups!$K$8,"Low","Medium"))))</f>
        <v>Low</v>
      </c>
      <c r="AJ306" s="5" t="str">
        <f>IF($A306="","",IF($AD306="","",IF($AD306&lt;5,"Under 5 C",IF($AD306&lt;10,"5-10 C",IF($AD306&lt;15,"10-15 C","15 C and above")))))</f>
        <v>Under 5 C</v>
      </c>
      <c r="AK306" s="5">
        <f>IF($A306="","",IF($P306="","",$P306^2))</f>
        <v>1</v>
      </c>
      <c r="AL306" s="18">
        <f>IF($V306&lt;&gt;1,"",AVERAGEIFS(Clean_Data!$P$2:$P$1001,Clean_Data!$F$2:$F$1001,$F306,Clean_Data!$W$2:$W$1001,$W306,Clean_Data!$V$2:$V$1001,1))</f>
        <v>1.41176470588235</v>
      </c>
      <c r="AM306" s="16">
        <f>IF($V306&lt;&gt;1,"",IFERROR(($P306-$AL306)/SQRT(MAX(0,(SUMIFS(Clean_Data!$AK$2:$AK$1001,Clean_Data!$F$2:$F$1001,$F306,Clean_Data!$W$2:$W$1001,$W306,Clean_Data!$V$2:$V$1001,1)-COUNTIFS(Clean_Data!$F$2:$F$1001,$F306,Clean_Data!$W$2:$W$1001,$W306,Clean_Data!$V$2:$V$1001,1)*$AL306^2)/(COUNTIFS(Clean_Data!$F$2:$F$1001,$F306,Clean_Data!$W$2:$W$1001,$W306,Clean_Data!$V$2:$V$1001,1)-1))),""))</f>
        <v>-0.665912091816292</v>
      </c>
      <c r="AN306" s="5" t="str">
        <f>IF($AM306="","",IF($AM306&gt;=Lookups!$K$6,"High spike",IF($AM306&lt;=-Lookups!$K$6,"Unusual low","Normal")))</f>
        <v>Normal</v>
      </c>
      <c r="AO306" s="20">
        <f>IF($V306&lt;&gt;1,"",$P306+ROW()/100000)</f>
        <v>1.00306</v>
      </c>
      <c r="AP306" s="5">
        <f>IF($A306="","",IFERROR(MATCH($A306,Raw_D1!$A$2:$A$1001,0),""))</f>
        <v>305</v>
      </c>
      <c r="AQ306" s="5">
        <f>IF($A306="","",IFERROR(MATCH($A306,Raw_D2!$B$2:$B$1001,0),""))</f>
        <v>305</v>
      </c>
      <c r="AR306" s="5">
        <f>IF($A306="","",IFERROR(MATCH($A306,Raw_D3!$A$2:$A$1001,0),""))</f>
        <v/>
      </c>
    </row>
    <row r="307" spans="1:44" x14ac:dyDescent="0.25">
      <c r="A307" s="5">
        <v>306</v>
      </c>
      <c r="B307" s="11">
        <f>IF($A307="","",IF($AP307&lt;&gt;"",INDEX(Raw_D1!$B$2:$B$1001,$AP307),IF($AR307&lt;&gt;"",INDEX(Raw_D3!$B$2:$B$1001,$AR307),"")))</f>
        <v>40557.0</v>
      </c>
      <c r="C307" s="5">
        <f>IF($A307="","",IF($AP307&lt;&gt;"",INDEX(Raw_D1!$C$2:$C$1001,$AP307),IF($AR307&lt;&gt;"",INDEX(Raw_D3!$C$2:$C$1001,$AR307),"")))</f>
        <v>1</v>
      </c>
      <c r="D307" s="5">
        <f>IF($A307="","",IF($AP307&lt;&gt;"",INDEX(Raw_D1!$D$2:$D$1001,$AP307),IF($AR307&lt;&gt;"",INDEX(Raw_D3!$D$2:$D$1001,$AR307),"")))</f>
        <v>0</v>
      </c>
      <c r="E307" s="5">
        <f>IF($A307="","",IF($AP307&lt;&gt;"",INDEX(Raw_D1!$E$2:$E$1001,$AP307),IF($AR307&lt;&gt;"",INDEX(Raw_D3!$E$2:$E$1001,$AR307),"")))</f>
        <v>1</v>
      </c>
      <c r="F307" s="5">
        <f>IF($A307="","",IF($AP307&lt;&gt;"",INDEX(Raw_D1!$F$2:$F$1001,$AP307),IF($AR307&lt;&gt;"",INDEX(Raw_D3!$F$2:$F$1001,$AR307),"")))</f>
        <v>5</v>
      </c>
      <c r="G307" s="5">
        <f>IF($A307="","",IF($AP307&lt;&gt;"",IF(INDEX(Raw_D1!$G$2:$G$1001,$AP307),1,0),IF($AR307&lt;&gt;"",IF(INDEX(Raw_D3!$G$2:$G$1001,$AR307),1,0),"")))</f>
        <v>0</v>
      </c>
      <c r="H307" s="5">
        <f>IF($A307="","",IF($AP307&lt;&gt;"",INDEX(Raw_D1!$H$2:$H$1001,$AP307),IF($AR307&lt;&gt;"",INDEX(Raw_D3!$H$2:$H$1001,$AR307),"")))</f>
        <v>5</v>
      </c>
      <c r="I307" s="5">
        <f>IF($A307="","",IF($AP307&lt;&gt;"",INDEX(Raw_D1!$I$2:$I$1001,$AP307),IF($AR307&lt;&gt;"",INDEX(Raw_D3!$I$2:$I$1001,$AR307),"")))</f>
        <v>1</v>
      </c>
      <c r="J307" s="16">
        <f>IF($A307="","",IF($AP307&lt;&gt;"",INDEX(Raw_D1!$J$2:$J$1001,$AP307),IF($AR307&lt;&gt;"",INDEX(Raw_D3!$J$2:$J$1001,$AR307),"")))</f>
        <v>0.1</v>
      </c>
      <c r="K307" s="17">
        <f>IF($A307="","",IF($AQ307&lt;&gt;"",IF(INDEX(Raw_D2!$C$2:$C$1001,$AQ307)="","",INDEX(Raw_D2!$C$2:$C$1001,$AQ307)),IF($AR307&lt;&gt;"",IF(INDEX(Raw_D3!$K$2:$K$1001,$AR307)="","",INDEX(Raw_D3!$K$2:$K$1001,$AR307)),"")))</f>
        <v>0.1364</v>
      </c>
      <c r="L307" s="16">
        <f>IF($A307="","",IF($AQ307&lt;&gt;"",IF(INDEX(Raw_D2!$D$2:$D$1001,$AQ307)="","",INDEX(Raw_D2!$D$2:$D$1001,$AQ307)),IF($AR307&lt;&gt;"",IF(INDEX(Raw_D3!$L$2:$L$1001,$AR307)="","",INDEX(Raw_D3!$L$2:$L$1001,$AR307)),"")))</f>
        <v>0.54</v>
      </c>
      <c r="M307" s="17">
        <f>IF($A307="","",IF($AQ307&lt;&gt;"",IF(INDEX(Raw_D2!$E$2:$E$1001,$AQ307)="","",INDEX(Raw_D2!$E$2:$E$1001,$AQ307)),IF($AR307&lt;&gt;"",IF(INDEX(Raw_D3!$M$2:$M$1001,$AR307)="","",INDEX(Raw_D3!$M$2:$M$1001,$AR307)),"")))</f>
        <v>0.0896</v>
      </c>
      <c r="N307" s="5">
        <f>IF($A307="","",IF($AQ307&lt;&gt;"",IF(INDEX(Raw_D2!$F$2:$F$1001,$AQ307)="","",INDEX(Raw_D2!$F$2:$F$1001,$AQ307)),IF($AR307&lt;&gt;"",IF(INDEX(Raw_D3!$N$2:$N$1001,$AR307)="","",INDEX(Raw_D3!$N$2:$N$1001,$AR307)),"")))</f>
        <v>0</v>
      </c>
      <c r="O307" s="5">
        <f>IF($A307="","",IF($AQ307&lt;&gt;"",IF(INDEX(Raw_D2!$G$2:$G$1001,$AQ307)="","",INDEX(Raw_D2!$G$2:$G$1001,$AQ307)),IF($AR307&lt;&gt;"",IF(INDEX(Raw_D3!$O$2:$O$1001,$AR307)="","",INDEX(Raw_D3!$O$2:$O$1001,$AR307)),"")))</f>
        <v>8</v>
      </c>
      <c r="P307" s="5">
        <f>IF($A307="","",IF($AQ307&lt;&gt;"",IF(INDEX(Raw_D2!$H$2:$H$1001,$AQ307)="","",INDEX(Raw_D2!$H$2:$H$1001,$AQ307)),IF($AR307&lt;&gt;"",IF(INDEX(Raw_D3!$P$2:$P$1001,$AR307)="","",INDEX(Raw_D3!$P$2:$P$1001,$AR307)),"")))</f>
        <v>8</v>
      </c>
      <c r="Q307" s="5" t="str">
        <f>IF($A307="","",IF(AND($AP307&lt;&gt;"",$AQ307&lt;&gt;""),"D1+D2",IF($AR307&lt;&gt;"","D3","Incomplete")))</f>
        <v>D1+D2</v>
      </c>
      <c r="R307" s="17">
        <f>IF($A307="","",IF($K307="",IF($J307="","",ROUND(Lookups!$K$5+Lookups!$K$4*$J307,4)),$K307))</f>
        <v>0.1364</v>
      </c>
      <c r="S307" s="5" t="str">
        <f>IF($A307="","",IF($K307="","Imputed","Original"))</f>
        <v>Original</v>
      </c>
      <c r="T307" s="5" t="str">
        <f>IF($A307="","",IF($P307="","Missing",IF($P307=$N307+$O307,"OK","Mismatch")))</f>
        <v>OK</v>
      </c>
      <c r="U307" s="5" t="str">
        <f>IF($A307="","",IF(COUNTIF($A$2:$A307,$A307)&gt;1,"Duplicate","Unique"))</f>
        <v>Unique</v>
      </c>
      <c r="V307" s="5">
        <f>IF($A307="","",IF(AND($U307="Unique",ISNUMBER($P307)),1,0))</f>
        <v>1</v>
      </c>
      <c r="W307" s="5" t="str">
        <f>IF($A307="","",IF(OR($H307=0,$H307=6),"Weekend","Weekday"))</f>
        <v>Weekday</v>
      </c>
      <c r="X307" s="5" t="str">
        <f>IF($A307="","",TEXT($B307,"ddd"))</f>
        <v>Fri</v>
      </c>
      <c r="Y307" s="5" t="str">
        <f>IF($A307="","",TEXT($B307,"mmm"))</f>
        <v>Jan</v>
      </c>
      <c r="Z307" s="5" t="str">
        <f>IF($A307="","",IFERROR(VLOOKUP($C307,Lookups!$D$4:$E$7,2,FALSE),"Unknown"))</f>
        <v>Winter</v>
      </c>
      <c r="AA307" s="5" t="str">
        <f>IF($A307="","",IFERROR(VLOOKUP($I307,Lookups!$A$4:$B$7,2,FALSE),"Unknown"))</f>
        <v>Clear</v>
      </c>
      <c r="AB307" s="5" t="str">
        <f>IF($A307="","",TEXT($F307,"00")&amp;":00")</f>
        <v>05:00</v>
      </c>
      <c r="AC307" s="5" t="str">
        <f>IF($A307="","",VLOOKUP($F307,Lookups!$G$4:$H$8,2,TRUE))</f>
        <v>Night (00-05)</v>
      </c>
      <c r="AD307" s="18">
        <f>IF($A307="","",IF($J307="","",ROUND($J307*41,1)))</f>
        <v>4.1</v>
      </c>
      <c r="AE307" s="18">
        <f>IF($A307="","",IF($R307="","",ROUND($R307*50,1)))</f>
        <v>6.8</v>
      </c>
      <c r="AF307" s="5">
        <f>IF($A307="","",IF($L307="","",ROUND($L307*100,0)))</f>
        <v>54</v>
      </c>
      <c r="AG307" s="18">
        <f>IF($A307="","",IF($M307="","",ROUND($M307*67,1)))</f>
        <v>6</v>
      </c>
      <c r="AH307" s="19">
        <f>IF($A307="","",IF($P307="","",IF($P307=0,0,$O307/$P307)))</f>
        <v>1</v>
      </c>
      <c r="AI307" s="5" t="str">
        <f>IF($A307="","",IF($P307="","",IF($P307&gt;=Lookups!$K$7,"High",IF($P307&lt;=Lookups!$K$8,"Low","Medium"))))</f>
        <v>Low</v>
      </c>
      <c r="AJ307" s="5" t="str">
        <f>IF($A307="","",IF($AD307="","",IF($AD307&lt;5,"Under 5 C",IF($AD307&lt;10,"5-10 C",IF($AD307&lt;15,"10-15 C","15 C and above")))))</f>
        <v>Under 5 C</v>
      </c>
      <c r="AK307" s="5">
        <f>IF($A307="","",IF($P307="","",$P307^2))</f>
        <v>64</v>
      </c>
      <c r="AL307" s="18">
        <f>IF($V307&lt;&gt;1,"",AVERAGEIFS(Clean_Data!$P$2:$P$1001,Clean_Data!$F$2:$F$1001,$F307,Clean_Data!$W$2:$W$1001,$W307,Clean_Data!$V$2:$V$1001,1))</f>
        <v>4.72413793103448</v>
      </c>
      <c r="AM307" s="16">
        <f>IF($V307&lt;&gt;1,"",IFERROR(($P307-$AL307)/SQRT(MAX(0,(SUMIFS(Clean_Data!$AK$2:$AK$1001,Clean_Data!$F$2:$F$1001,$F307,Clean_Data!$W$2:$W$1001,$W307,Clean_Data!$V$2:$V$1001,1)-COUNTIFS(Clean_Data!$F$2:$F$1001,$F307,Clean_Data!$W$2:$W$1001,$W307,Clean_Data!$V$2:$V$1001,1)*$AL307^2)/(COUNTIFS(Clean_Data!$F$2:$F$1001,$F307,Clean_Data!$W$2:$W$1001,$W307,Clean_Data!$V$2:$V$1001,1)-1))),""))</f>
        <v>1.39777153706586</v>
      </c>
      <c r="AN307" s="5" t="str">
        <f>IF($AM307="","",IF($AM307&gt;=Lookups!$K$6,"High spike",IF($AM307&lt;=-Lookups!$K$6,"Unusual low","Normal")))</f>
        <v>Normal</v>
      </c>
      <c r="AO307" s="20">
        <f>IF($V307&lt;&gt;1,"",$P307+ROW()/100000)</f>
        <v>8.00307</v>
      </c>
      <c r="AP307" s="5">
        <f>IF($A307="","",IFERROR(MATCH($A307,Raw_D1!$A$2:$A$1001,0),""))</f>
        <v>306</v>
      </c>
      <c r="AQ307" s="5">
        <f>IF($A307="","",IFERROR(MATCH($A307,Raw_D2!$B$2:$B$1001,0),""))</f>
        <v>306</v>
      </c>
      <c r="AR307" s="5">
        <f>IF($A307="","",IFERROR(MATCH($A307,Raw_D3!$A$2:$A$1001,0),""))</f>
        <v/>
      </c>
    </row>
    <row r="308" spans="1:44" x14ac:dyDescent="0.25">
      <c r="A308" s="5">
        <v>307</v>
      </c>
      <c r="B308" s="11">
        <f>IF($A308="","",IF($AP308&lt;&gt;"",INDEX(Raw_D1!$B$2:$B$1001,$AP308),IF($AR308&lt;&gt;"",INDEX(Raw_D3!$B$2:$B$1001,$AR308),"")))</f>
        <v>40557.0</v>
      </c>
      <c r="C308" s="5">
        <f>IF($A308="","",IF($AP308&lt;&gt;"",INDEX(Raw_D1!$C$2:$C$1001,$AP308),IF($AR308&lt;&gt;"",INDEX(Raw_D3!$C$2:$C$1001,$AR308),"")))</f>
        <v>1</v>
      </c>
      <c r="D308" s="5">
        <f>IF($A308="","",IF($AP308&lt;&gt;"",INDEX(Raw_D1!$D$2:$D$1001,$AP308),IF($AR308&lt;&gt;"",INDEX(Raw_D3!$D$2:$D$1001,$AR308),"")))</f>
        <v>0</v>
      </c>
      <c r="E308" s="5">
        <f>IF($A308="","",IF($AP308&lt;&gt;"",INDEX(Raw_D1!$E$2:$E$1001,$AP308),IF($AR308&lt;&gt;"",INDEX(Raw_D3!$E$2:$E$1001,$AR308),"")))</f>
        <v>1</v>
      </c>
      <c r="F308" s="5">
        <f>IF($A308="","",IF($AP308&lt;&gt;"",INDEX(Raw_D1!$F$2:$F$1001,$AP308),IF($AR308&lt;&gt;"",INDEX(Raw_D3!$F$2:$F$1001,$AR308),"")))</f>
        <v>6</v>
      </c>
      <c r="G308" s="5">
        <f>IF($A308="","",IF($AP308&lt;&gt;"",IF(INDEX(Raw_D1!$G$2:$G$1001,$AP308),1,0),IF($AR308&lt;&gt;"",IF(INDEX(Raw_D3!$G$2:$G$1001,$AR308),1,0),"")))</f>
        <v>0</v>
      </c>
      <c r="H308" s="5">
        <f>IF($A308="","",IF($AP308&lt;&gt;"",INDEX(Raw_D1!$H$2:$H$1001,$AP308),IF($AR308&lt;&gt;"",INDEX(Raw_D3!$H$2:$H$1001,$AR308),"")))</f>
        <v>5</v>
      </c>
      <c r="I308" s="5">
        <f>IF($A308="","",IF($AP308&lt;&gt;"",INDEX(Raw_D1!$I$2:$I$1001,$AP308),IF($AR308&lt;&gt;"",INDEX(Raw_D3!$I$2:$I$1001,$AR308),"")))</f>
        <v>1</v>
      </c>
      <c r="J308" s="16">
        <f>IF($A308="","",IF($AP308&lt;&gt;"",INDEX(Raw_D1!$J$2:$J$1001,$AP308),IF($AR308&lt;&gt;"",INDEX(Raw_D3!$J$2:$J$1001,$AR308),"")))</f>
        <v>0.1</v>
      </c>
      <c r="K308" s="17">
        <f>IF($A308="","",IF($AQ308&lt;&gt;"",IF(INDEX(Raw_D2!$C$2:$C$1001,$AQ308)="","",INDEX(Raw_D2!$C$2:$C$1001,$AQ308)),IF($AR308&lt;&gt;"",IF(INDEX(Raw_D3!$K$2:$K$1001,$AR308)="","",INDEX(Raw_D3!$K$2:$K$1001,$AR308)),"")))</f>
        <v>0.1818</v>
      </c>
      <c r="L308" s="16">
        <f>IF($A308="","",IF($AQ308&lt;&gt;"",IF(INDEX(Raw_D2!$D$2:$D$1001,$AQ308)="","",INDEX(Raw_D2!$D$2:$D$1001,$AQ308)),IF($AR308&lt;&gt;"",IF(INDEX(Raw_D3!$L$2:$L$1001,$AR308)="","",INDEX(Raw_D3!$L$2:$L$1001,$AR308)),"")))</f>
        <v>0.54</v>
      </c>
      <c r="M308" s="17">
        <f>IF($A308="","",IF($AQ308&lt;&gt;"",IF(INDEX(Raw_D2!$E$2:$E$1001,$AQ308)="","",INDEX(Raw_D2!$E$2:$E$1001,$AQ308)),IF($AR308&lt;&gt;"",IF(INDEX(Raw_D3!$M$2:$M$1001,$AR308)="","",INDEX(Raw_D3!$M$2:$M$1001,$AR308)),"")))</f>
        <v>0</v>
      </c>
      <c r="N308" s="5">
        <f>IF($A308="","",IF($AQ308&lt;&gt;"",IF(INDEX(Raw_D2!$F$2:$F$1001,$AQ308)="","",INDEX(Raw_D2!$F$2:$F$1001,$AQ308)),IF($AR308&lt;&gt;"",IF(INDEX(Raw_D3!$N$2:$N$1001,$AR308)="","",INDEX(Raw_D3!$N$2:$N$1001,$AR308)),"")))</f>
        <v>0</v>
      </c>
      <c r="O308" s="5">
        <f>IF($A308="","",IF($AQ308&lt;&gt;"",IF(INDEX(Raw_D2!$G$2:$G$1001,$AQ308)="","",INDEX(Raw_D2!$G$2:$G$1001,$AQ308)),IF($AR308&lt;&gt;"",IF(INDEX(Raw_D3!$O$2:$O$1001,$AR308)="","",INDEX(Raw_D3!$O$2:$O$1001,$AR308)),"")))</f>
        <v>17</v>
      </c>
      <c r="P308" s="5">
        <f>IF($A308="","",IF($AQ308&lt;&gt;"",IF(INDEX(Raw_D2!$H$2:$H$1001,$AQ308)="","",INDEX(Raw_D2!$H$2:$H$1001,$AQ308)),IF($AR308&lt;&gt;"",IF(INDEX(Raw_D3!$P$2:$P$1001,$AR308)="","",INDEX(Raw_D3!$P$2:$P$1001,$AR308)),"")))</f>
        <v>17</v>
      </c>
      <c r="Q308" s="5" t="str">
        <f>IF($A308="","",IF(AND($AP308&lt;&gt;"",$AQ308&lt;&gt;""),"D1+D2",IF($AR308&lt;&gt;"","D3","Incomplete")))</f>
        <v>D1+D2</v>
      </c>
      <c r="R308" s="17">
        <f>IF($A308="","",IF($K308="",IF($J308="","",ROUND(Lookups!$K$5+Lookups!$K$4*$J308,4)),$K308))</f>
        <v>0.1818</v>
      </c>
      <c r="S308" s="5" t="str">
        <f>IF($A308="","",IF($K308="","Imputed","Original"))</f>
        <v>Original</v>
      </c>
      <c r="T308" s="5" t="str">
        <f>IF($A308="","",IF($P308="","Missing",IF($P308=$N308+$O308,"OK","Mismatch")))</f>
        <v>OK</v>
      </c>
      <c r="U308" s="5" t="str">
        <f>IF($A308="","",IF(COUNTIF($A$2:$A308,$A308)&gt;1,"Duplicate","Unique"))</f>
        <v>Unique</v>
      </c>
      <c r="V308" s="5">
        <f>IF($A308="","",IF(AND($U308="Unique",ISNUMBER($P308)),1,0))</f>
        <v>1</v>
      </c>
      <c r="W308" s="5" t="str">
        <f>IF($A308="","",IF(OR($H308=0,$H308=6),"Weekend","Weekday"))</f>
        <v>Weekday</v>
      </c>
      <c r="X308" s="5" t="str">
        <f>IF($A308="","",TEXT($B308,"ddd"))</f>
        <v>Fri</v>
      </c>
      <c r="Y308" s="5" t="str">
        <f>IF($A308="","",TEXT($B308,"mmm"))</f>
        <v>Jan</v>
      </c>
      <c r="Z308" s="5" t="str">
        <f>IF($A308="","",IFERROR(VLOOKUP($C308,Lookups!$D$4:$E$7,2,FALSE),"Unknown"))</f>
        <v>Winter</v>
      </c>
      <c r="AA308" s="5" t="str">
        <f>IF($A308="","",IFERROR(VLOOKUP($I308,Lookups!$A$4:$B$7,2,FALSE),"Unknown"))</f>
        <v>Clear</v>
      </c>
      <c r="AB308" s="5" t="str">
        <f>IF($A308="","",TEXT($F308,"00")&amp;":00")</f>
        <v>06:00</v>
      </c>
      <c r="AC308" s="5" t="str">
        <f>IF($A308="","",VLOOKUP($F308,Lookups!$G$4:$H$8,2,TRUE))</f>
        <v>Morning Peak (06-09)</v>
      </c>
      <c r="AD308" s="18">
        <f>IF($A308="","",IF($J308="","",ROUND($J308*41,1)))</f>
        <v>4.1</v>
      </c>
      <c r="AE308" s="18">
        <f>IF($A308="","",IF($R308="","",ROUND($R308*50,1)))</f>
        <v>9.1</v>
      </c>
      <c r="AF308" s="5">
        <f>IF($A308="","",IF($L308="","",ROUND($L308*100,0)))</f>
        <v>54</v>
      </c>
      <c r="AG308" s="18">
        <f>IF($A308="","",IF($M308="","",ROUND($M308*67,1)))</f>
        <v>0</v>
      </c>
      <c r="AH308" s="19">
        <f>IF($A308="","",IF($P308="","",IF($P308=0,0,$O308/$P308)))</f>
        <v>1</v>
      </c>
      <c r="AI308" s="5" t="str">
        <f>IF($A308="","",IF($P308="","",IF($P308&gt;=Lookups!$K$7,"High",IF($P308&lt;=Lookups!$K$8,"Low","Medium"))))</f>
        <v>Medium</v>
      </c>
      <c r="AJ308" s="5" t="str">
        <f>IF($A308="","",IF($AD308="","",IF($AD308&lt;5,"Under 5 C",IF($AD308&lt;10,"5-10 C",IF($AD308&lt;15,"10-15 C","15 C and above")))))</f>
        <v>Under 5 C</v>
      </c>
      <c r="AK308" s="5">
        <f>IF($A308="","",IF($P308="","",$P308^2))</f>
        <v>289</v>
      </c>
      <c r="AL308" s="18">
        <f>IF($V308&lt;&gt;1,"",AVERAGEIFS(Clean_Data!$P$2:$P$1001,Clean_Data!$F$2:$F$1001,$F308,Clean_Data!$W$2:$W$1001,$W308,Clean_Data!$V$2:$V$1001,1))</f>
        <v>27.3793103448276</v>
      </c>
      <c r="AM308" s="16">
        <f>IF($V308&lt;&gt;1,"",IFERROR(($P308-$AL308)/SQRT(MAX(0,(SUMIFS(Clean_Data!$AK$2:$AK$1001,Clean_Data!$F$2:$F$1001,$F308,Clean_Data!$W$2:$W$1001,$W308,Clean_Data!$V$2:$V$1001,1)-COUNTIFS(Clean_Data!$F$2:$F$1001,$F308,Clean_Data!$W$2:$W$1001,$W308,Clean_Data!$V$2:$V$1001,1)*$AL308^2)/(COUNTIFS(Clean_Data!$F$2:$F$1001,$F308,Clean_Data!$W$2:$W$1001,$W308,Clean_Data!$V$2:$V$1001,1)-1))),""))</f>
        <v>-1.0895819882917</v>
      </c>
      <c r="AN308" s="5" t="str">
        <f>IF($AM308="","",IF($AM308&gt;=Lookups!$K$6,"High spike",IF($AM308&lt;=-Lookups!$K$6,"Unusual low","Normal")))</f>
        <v>Normal</v>
      </c>
      <c r="AO308" s="20">
        <f>IF($V308&lt;&gt;1,"",$P308+ROW()/100000)</f>
        <v>17.00308</v>
      </c>
      <c r="AP308" s="5">
        <f>IF($A308="","",IFERROR(MATCH($A308,Raw_D1!$A$2:$A$1001,0),""))</f>
        <v>307</v>
      </c>
      <c r="AQ308" s="5">
        <f>IF($A308="","",IFERROR(MATCH($A308,Raw_D2!$B$2:$B$1001,0),""))</f>
        <v>307</v>
      </c>
      <c r="AR308" s="5">
        <f>IF($A308="","",IFERROR(MATCH($A308,Raw_D3!$A$2:$A$1001,0),""))</f>
        <v/>
      </c>
    </row>
    <row r="309" spans="1:44" x14ac:dyDescent="0.25">
      <c r="A309" s="5">
        <v>308</v>
      </c>
      <c r="B309" s="11">
        <f>IF($A309="","",IF($AP309&lt;&gt;"",INDEX(Raw_D1!$B$2:$B$1001,$AP309),IF($AR309&lt;&gt;"",INDEX(Raw_D3!$B$2:$B$1001,$AR309),"")))</f>
        <v>40557.0</v>
      </c>
      <c r="C309" s="5">
        <f>IF($A309="","",IF($AP309&lt;&gt;"",INDEX(Raw_D1!$C$2:$C$1001,$AP309),IF($AR309&lt;&gt;"",INDEX(Raw_D3!$C$2:$C$1001,$AR309),"")))</f>
        <v>1</v>
      </c>
      <c r="D309" s="5">
        <f>IF($A309="","",IF($AP309&lt;&gt;"",INDEX(Raw_D1!$D$2:$D$1001,$AP309),IF($AR309&lt;&gt;"",INDEX(Raw_D3!$D$2:$D$1001,$AR309),"")))</f>
        <v>0</v>
      </c>
      <c r="E309" s="5">
        <f>IF($A309="","",IF($AP309&lt;&gt;"",INDEX(Raw_D1!$E$2:$E$1001,$AP309),IF($AR309&lt;&gt;"",INDEX(Raw_D3!$E$2:$E$1001,$AR309),"")))</f>
        <v>1</v>
      </c>
      <c r="F309" s="5">
        <f>IF($A309="","",IF($AP309&lt;&gt;"",INDEX(Raw_D1!$F$2:$F$1001,$AP309),IF($AR309&lt;&gt;"",INDEX(Raw_D3!$F$2:$F$1001,$AR309),"")))</f>
        <v>7</v>
      </c>
      <c r="G309" s="5">
        <f>IF($A309="","",IF($AP309&lt;&gt;"",IF(INDEX(Raw_D1!$G$2:$G$1001,$AP309),1,0),IF($AR309&lt;&gt;"",IF(INDEX(Raw_D3!$G$2:$G$1001,$AR309),1,0),"")))</f>
        <v>0</v>
      </c>
      <c r="H309" s="5">
        <f>IF($A309="","",IF($AP309&lt;&gt;"",INDEX(Raw_D1!$H$2:$H$1001,$AP309),IF($AR309&lt;&gt;"",INDEX(Raw_D3!$H$2:$H$1001,$AR309),"")))</f>
        <v>5</v>
      </c>
      <c r="I309" s="5">
        <f>IF($A309="","",IF($AP309&lt;&gt;"",INDEX(Raw_D1!$I$2:$I$1001,$AP309),IF($AR309&lt;&gt;"",INDEX(Raw_D3!$I$2:$I$1001,$AR309),"")))</f>
        <v>1</v>
      </c>
      <c r="J309" s="16">
        <f>IF($A309="","",IF($AP309&lt;&gt;"",INDEX(Raw_D1!$J$2:$J$1001,$AP309),IF($AR309&lt;&gt;"",INDEX(Raw_D3!$J$2:$J$1001,$AR309),"")))</f>
        <v>0.1</v>
      </c>
      <c r="K309" s="17">
        <f>IF($A309="","",IF($AQ309&lt;&gt;"",IF(INDEX(Raw_D2!$C$2:$C$1001,$AQ309)="","",INDEX(Raw_D2!$C$2:$C$1001,$AQ309)),IF($AR309&lt;&gt;"",IF(INDEX(Raw_D3!$K$2:$K$1001,$AR309)="","",INDEX(Raw_D3!$K$2:$K$1001,$AR309)),"")))</f>
        <v>0.1212</v>
      </c>
      <c r="L309" s="16">
        <f>IF($A309="","",IF($AQ309&lt;&gt;"",IF(INDEX(Raw_D2!$D$2:$D$1001,$AQ309)="","",INDEX(Raw_D2!$D$2:$D$1001,$AQ309)),IF($AR309&lt;&gt;"",IF(INDEX(Raw_D3!$L$2:$L$1001,$AR309)="","",INDEX(Raw_D3!$L$2:$L$1001,$AR309)),"")))</f>
        <v>0.74</v>
      </c>
      <c r="M309" s="17">
        <f>IF($A309="","",IF($AQ309&lt;&gt;"",IF(INDEX(Raw_D2!$E$2:$E$1001,$AQ309)="","",INDEX(Raw_D2!$E$2:$E$1001,$AQ309)),IF($AR309&lt;&gt;"",IF(INDEX(Raw_D3!$M$2:$M$1001,$AR309)="","",INDEX(Raw_D3!$M$2:$M$1001,$AR309)),"")))</f>
        <v>0.1642</v>
      </c>
      <c r="N309" s="5">
        <f>IF($A309="","",IF($AQ309&lt;&gt;"",IF(INDEX(Raw_D2!$F$2:$F$1001,$AQ309)="","",INDEX(Raw_D2!$F$2:$F$1001,$AQ309)),IF($AR309&lt;&gt;"",IF(INDEX(Raw_D3!$N$2:$N$1001,$AR309)="","",INDEX(Raw_D3!$N$2:$N$1001,$AR309)),"")))</f>
        <v>0</v>
      </c>
      <c r="O309" s="5">
        <f>IF($A309="","",IF($AQ309&lt;&gt;"",IF(INDEX(Raw_D2!$G$2:$G$1001,$AQ309)="","",INDEX(Raw_D2!$G$2:$G$1001,$AQ309)),IF($AR309&lt;&gt;"",IF(INDEX(Raw_D3!$O$2:$O$1001,$AR309)="","",INDEX(Raw_D3!$O$2:$O$1001,$AR309)),"")))</f>
        <v>70</v>
      </c>
      <c r="P309" s="5">
        <f>IF($A309="","",IF($AQ309&lt;&gt;"",IF(INDEX(Raw_D2!$H$2:$H$1001,$AQ309)="","",INDEX(Raw_D2!$H$2:$H$1001,$AQ309)),IF($AR309&lt;&gt;"",IF(INDEX(Raw_D3!$P$2:$P$1001,$AR309)="","",INDEX(Raw_D3!$P$2:$P$1001,$AR309)),"")))</f>
        <v>70</v>
      </c>
      <c r="Q309" s="5" t="str">
        <f>IF($A309="","",IF(AND($AP309&lt;&gt;"",$AQ309&lt;&gt;""),"D1+D2",IF($AR309&lt;&gt;"","D3","Incomplete")))</f>
        <v>D1+D2</v>
      </c>
      <c r="R309" s="17">
        <f>IF($A309="","",IF($K309="",IF($J309="","",ROUND(Lookups!$K$5+Lookups!$K$4*$J309,4)),$K309))</f>
        <v>0.1212</v>
      </c>
      <c r="S309" s="5" t="str">
        <f>IF($A309="","",IF($K309="","Imputed","Original"))</f>
        <v>Original</v>
      </c>
      <c r="T309" s="5" t="str">
        <f>IF($A309="","",IF($P309="","Missing",IF($P309=$N309+$O309,"OK","Mismatch")))</f>
        <v>OK</v>
      </c>
      <c r="U309" s="5" t="str">
        <f>IF($A309="","",IF(COUNTIF($A$2:$A309,$A309)&gt;1,"Duplicate","Unique"))</f>
        <v>Unique</v>
      </c>
      <c r="V309" s="5">
        <f>IF($A309="","",IF(AND($U309="Unique",ISNUMBER($P309)),1,0))</f>
        <v>1</v>
      </c>
      <c r="W309" s="5" t="str">
        <f>IF($A309="","",IF(OR($H309=0,$H309=6),"Weekend","Weekday"))</f>
        <v>Weekday</v>
      </c>
      <c r="X309" s="5" t="str">
        <f>IF($A309="","",TEXT($B309,"ddd"))</f>
        <v>Fri</v>
      </c>
      <c r="Y309" s="5" t="str">
        <f>IF($A309="","",TEXT($B309,"mmm"))</f>
        <v>Jan</v>
      </c>
      <c r="Z309" s="5" t="str">
        <f>IF($A309="","",IFERROR(VLOOKUP($C309,Lookups!$D$4:$E$7,2,FALSE),"Unknown"))</f>
        <v>Winter</v>
      </c>
      <c r="AA309" s="5" t="str">
        <f>IF($A309="","",IFERROR(VLOOKUP($I309,Lookups!$A$4:$B$7,2,FALSE),"Unknown"))</f>
        <v>Clear</v>
      </c>
      <c r="AB309" s="5" t="str">
        <f>IF($A309="","",TEXT($F309,"00")&amp;":00")</f>
        <v>07:00</v>
      </c>
      <c r="AC309" s="5" t="str">
        <f>IF($A309="","",VLOOKUP($F309,Lookups!$G$4:$H$8,2,TRUE))</f>
        <v>Morning Peak (06-09)</v>
      </c>
      <c r="AD309" s="18">
        <f>IF($A309="","",IF($J309="","",ROUND($J309*41,1)))</f>
        <v>4.1</v>
      </c>
      <c r="AE309" s="18">
        <f>IF($A309="","",IF($R309="","",ROUND($R309*50,1)))</f>
        <v>6.1</v>
      </c>
      <c r="AF309" s="5">
        <f>IF($A309="","",IF($L309="","",ROUND($L309*100,0)))</f>
        <v>74</v>
      </c>
      <c r="AG309" s="18">
        <f>IF($A309="","",IF($M309="","",ROUND($M309*67,1)))</f>
        <v>11</v>
      </c>
      <c r="AH309" s="19">
        <f>IF($A309="","",IF($P309="","",IF($P309=0,0,$O309/$P309)))</f>
        <v>1</v>
      </c>
      <c r="AI309" s="5" t="str">
        <f>IF($A309="","",IF($P309="","",IF($P309&gt;=Lookups!$K$7,"High",IF($P309&lt;=Lookups!$K$8,"Low","Medium"))))</f>
        <v>Medium</v>
      </c>
      <c r="AJ309" s="5" t="str">
        <f>IF($A309="","",IF($AD309="","",IF($AD309&lt;5,"Under 5 C",IF($AD309&lt;10,"5-10 C",IF($AD309&lt;15,"10-15 C","15 C and above")))))</f>
        <v>Under 5 C</v>
      </c>
      <c r="AK309" s="5">
        <f>IF($A309="","",IF($P309="","",$P309^2))</f>
        <v>4900</v>
      </c>
      <c r="AL309" s="18">
        <f>IF($V309&lt;&gt;1,"",AVERAGEIFS(Clean_Data!$P$2:$P$1001,Clean_Data!$F$2:$F$1001,$F309,Clean_Data!$W$2:$W$1001,$W309,Clean_Data!$V$2:$V$1001,1))</f>
        <v>78.0344827586207</v>
      </c>
      <c r="AM309" s="16">
        <f>IF($V309&lt;&gt;1,"",IFERROR(($P309-$AL309)/SQRT(MAX(0,(SUMIFS(Clean_Data!$AK$2:$AK$1001,Clean_Data!$F$2:$F$1001,$F309,Clean_Data!$W$2:$W$1001,$W309,Clean_Data!$V$2:$V$1001,1)-COUNTIFS(Clean_Data!$F$2:$F$1001,$F309,Clean_Data!$W$2:$W$1001,$W309,Clean_Data!$V$2:$V$1001,1)*$AL309^2)/(COUNTIFS(Clean_Data!$F$2:$F$1001,$F309,Clean_Data!$W$2:$W$1001,$W309,Clean_Data!$V$2:$V$1001,1)-1))),""))</f>
        <v>-0.354991097281094</v>
      </c>
      <c r="AN309" s="5" t="str">
        <f>IF($AM309="","",IF($AM309&gt;=Lookups!$K$6,"High spike",IF($AM309&lt;=-Lookups!$K$6,"Unusual low","Normal")))</f>
        <v>Normal</v>
      </c>
      <c r="AO309" s="20">
        <f>IF($V309&lt;&gt;1,"",$P309+ROW()/100000)</f>
        <v>70.00309</v>
      </c>
      <c r="AP309" s="5">
        <f>IF($A309="","",IFERROR(MATCH($A309,Raw_D1!$A$2:$A$1001,0),""))</f>
        <v>308</v>
      </c>
      <c r="AQ309" s="5">
        <f>IF($A309="","",IFERROR(MATCH($A309,Raw_D2!$B$2:$B$1001,0),""))</f>
        <v>308</v>
      </c>
      <c r="AR309" s="5">
        <f>IF($A309="","",IFERROR(MATCH($A309,Raw_D3!$A$2:$A$1001,0),""))</f>
        <v/>
      </c>
    </row>
    <row r="310" spans="1:44" x14ac:dyDescent="0.25">
      <c r="A310" s="5">
        <v>309</v>
      </c>
      <c r="B310" s="11">
        <f>IF($A310="","",IF($AP310&lt;&gt;"",INDEX(Raw_D1!$B$2:$B$1001,$AP310),IF($AR310&lt;&gt;"",INDEX(Raw_D3!$B$2:$B$1001,$AR310),"")))</f>
        <v>40557.0</v>
      </c>
      <c r="C310" s="5">
        <f>IF($A310="","",IF($AP310&lt;&gt;"",INDEX(Raw_D1!$C$2:$C$1001,$AP310),IF($AR310&lt;&gt;"",INDEX(Raw_D3!$C$2:$C$1001,$AR310),"")))</f>
        <v>1</v>
      </c>
      <c r="D310" s="5">
        <f>IF($A310="","",IF($AP310&lt;&gt;"",INDEX(Raw_D1!$D$2:$D$1001,$AP310),IF($AR310&lt;&gt;"",INDEX(Raw_D3!$D$2:$D$1001,$AR310),"")))</f>
        <v>0</v>
      </c>
      <c r="E310" s="5">
        <f>IF($A310="","",IF($AP310&lt;&gt;"",INDEX(Raw_D1!$E$2:$E$1001,$AP310),IF($AR310&lt;&gt;"",INDEX(Raw_D3!$E$2:$E$1001,$AR310),"")))</f>
        <v>1</v>
      </c>
      <c r="F310" s="5">
        <f>IF($A310="","",IF($AP310&lt;&gt;"",INDEX(Raw_D1!$F$2:$F$1001,$AP310),IF($AR310&lt;&gt;"",INDEX(Raw_D3!$F$2:$F$1001,$AR310),"")))</f>
        <v>8</v>
      </c>
      <c r="G310" s="5">
        <f>IF($A310="","",IF($AP310&lt;&gt;"",IF(INDEX(Raw_D1!$G$2:$G$1001,$AP310),1,0),IF($AR310&lt;&gt;"",IF(INDEX(Raw_D3!$G$2:$G$1001,$AR310),1,0),"")))</f>
        <v>0</v>
      </c>
      <c r="H310" s="5">
        <f>IF($A310="","",IF($AP310&lt;&gt;"",INDEX(Raw_D1!$H$2:$H$1001,$AP310),IF($AR310&lt;&gt;"",INDEX(Raw_D3!$H$2:$H$1001,$AR310),"")))</f>
        <v>5</v>
      </c>
      <c r="I310" s="5">
        <f>IF($A310="","",IF($AP310&lt;&gt;"",INDEX(Raw_D1!$I$2:$I$1001,$AP310),IF($AR310&lt;&gt;"",INDEX(Raw_D3!$I$2:$I$1001,$AR310),"")))</f>
        <v>1</v>
      </c>
      <c r="J310" s="16">
        <f>IF($A310="","",IF($AP310&lt;&gt;"",INDEX(Raw_D1!$J$2:$J$1001,$AP310),IF($AR310&lt;&gt;"",INDEX(Raw_D3!$J$2:$J$1001,$AR310),"")))</f>
        <v>0.12</v>
      </c>
      <c r="K310" s="17">
        <f>IF($A310="","",IF($AQ310&lt;&gt;"",IF(INDEX(Raw_D2!$C$2:$C$1001,$AQ310)="","",INDEX(Raw_D2!$C$2:$C$1001,$AQ310)),IF($AR310&lt;&gt;"",IF(INDEX(Raw_D3!$K$2:$K$1001,$AR310)="","",INDEX(Raw_D3!$K$2:$K$1001,$AR310)),"")))</f>
        <v>0.1667</v>
      </c>
      <c r="L310" s="16">
        <f>IF($A310="","",IF($AQ310&lt;&gt;"",IF(INDEX(Raw_D2!$D$2:$D$1001,$AQ310)="","",INDEX(Raw_D2!$D$2:$D$1001,$AQ310)),IF($AR310&lt;&gt;"",IF(INDEX(Raw_D3!$L$2:$L$1001,$AR310)="","",INDEX(Raw_D3!$L$2:$L$1001,$AR310)),"")))</f>
        <v>0.68</v>
      </c>
      <c r="M310" s="17">
        <f>IF($A310="","",IF($AQ310&lt;&gt;"",IF(INDEX(Raw_D2!$E$2:$E$1001,$AQ310)="","",INDEX(Raw_D2!$E$2:$E$1001,$AQ310)),IF($AR310&lt;&gt;"",IF(INDEX(Raw_D3!$M$2:$M$1001,$AR310)="","",INDEX(Raw_D3!$M$2:$M$1001,$AR310)),"")))</f>
        <v>0</v>
      </c>
      <c r="N310" s="5">
        <f>IF($A310="","",IF($AQ310&lt;&gt;"",IF(INDEX(Raw_D2!$F$2:$F$1001,$AQ310)="","",INDEX(Raw_D2!$F$2:$F$1001,$AQ310)),IF($AR310&lt;&gt;"",IF(INDEX(Raw_D3!$N$2:$N$1001,$AR310)="","",INDEX(Raw_D3!$N$2:$N$1001,$AR310)),"")))</f>
        <v>2</v>
      </c>
      <c r="O310" s="5">
        <f>IF($A310="","",IF($AQ310&lt;&gt;"",IF(INDEX(Raw_D2!$G$2:$G$1001,$AQ310)="","",INDEX(Raw_D2!$G$2:$G$1001,$AQ310)),IF($AR310&lt;&gt;"",IF(INDEX(Raw_D3!$O$2:$O$1001,$AR310)="","",INDEX(Raw_D3!$O$2:$O$1001,$AR310)),"")))</f>
        <v>156</v>
      </c>
      <c r="P310" s="5">
        <f>IF($A310="","",IF($AQ310&lt;&gt;"",IF(INDEX(Raw_D2!$H$2:$H$1001,$AQ310)="","",INDEX(Raw_D2!$H$2:$H$1001,$AQ310)),IF($AR310&lt;&gt;"",IF(INDEX(Raw_D3!$P$2:$P$1001,$AR310)="","",INDEX(Raw_D3!$P$2:$P$1001,$AR310)),"")))</f>
        <v>158</v>
      </c>
      <c r="Q310" s="5" t="str">
        <f>IF($A310="","",IF(AND($AP310&lt;&gt;"",$AQ310&lt;&gt;""),"D1+D2",IF($AR310&lt;&gt;"","D3","Incomplete")))</f>
        <v>D1+D2</v>
      </c>
      <c r="R310" s="17">
        <f>IF($A310="","",IF($K310="",IF($J310="","",ROUND(Lookups!$K$5+Lookups!$K$4*$J310,4)),$K310))</f>
        <v>0.1667</v>
      </c>
      <c r="S310" s="5" t="str">
        <f>IF($A310="","",IF($K310="","Imputed","Original"))</f>
        <v>Original</v>
      </c>
      <c r="T310" s="5" t="str">
        <f>IF($A310="","",IF($P310="","Missing",IF($P310=$N310+$O310,"OK","Mismatch")))</f>
        <v>OK</v>
      </c>
      <c r="U310" s="5" t="str">
        <f>IF($A310="","",IF(COUNTIF($A$2:$A310,$A310)&gt;1,"Duplicate","Unique"))</f>
        <v>Unique</v>
      </c>
      <c r="V310" s="5">
        <f>IF($A310="","",IF(AND($U310="Unique",ISNUMBER($P310)),1,0))</f>
        <v>1</v>
      </c>
      <c r="W310" s="5" t="str">
        <f>IF($A310="","",IF(OR($H310=0,$H310=6),"Weekend","Weekday"))</f>
        <v>Weekday</v>
      </c>
      <c r="X310" s="5" t="str">
        <f>IF($A310="","",TEXT($B310,"ddd"))</f>
        <v>Fri</v>
      </c>
      <c r="Y310" s="5" t="str">
        <f>IF($A310="","",TEXT($B310,"mmm"))</f>
        <v>Jan</v>
      </c>
      <c r="Z310" s="5" t="str">
        <f>IF($A310="","",IFERROR(VLOOKUP($C310,Lookups!$D$4:$E$7,2,FALSE),"Unknown"))</f>
        <v>Winter</v>
      </c>
      <c r="AA310" s="5" t="str">
        <f>IF($A310="","",IFERROR(VLOOKUP($I310,Lookups!$A$4:$B$7,2,FALSE),"Unknown"))</f>
        <v>Clear</v>
      </c>
      <c r="AB310" s="5" t="str">
        <f>IF($A310="","",TEXT($F310,"00")&amp;":00")</f>
        <v>08:00</v>
      </c>
      <c r="AC310" s="5" t="str">
        <f>IF($A310="","",VLOOKUP($F310,Lookups!$G$4:$H$8,2,TRUE))</f>
        <v>Morning Peak (06-09)</v>
      </c>
      <c r="AD310" s="18">
        <f>IF($A310="","",IF($J310="","",ROUND($J310*41,1)))</f>
        <v>4.9</v>
      </c>
      <c r="AE310" s="18">
        <f>IF($A310="","",IF($R310="","",ROUND($R310*50,1)))</f>
        <v>8.3</v>
      </c>
      <c r="AF310" s="5">
        <f>IF($A310="","",IF($L310="","",ROUND($L310*100,0)))</f>
        <v>68</v>
      </c>
      <c r="AG310" s="18">
        <f>IF($A310="","",IF($M310="","",ROUND($M310*67,1)))</f>
        <v>0</v>
      </c>
      <c r="AH310" s="19">
        <f>IF($A310="","",IF($P310="","",IF($P310=0,0,$O310/$P310)))</f>
        <v>0.987341772151899</v>
      </c>
      <c r="AI310" s="5" t="str">
        <f>IF($A310="","",IF($P310="","",IF($P310&gt;=Lookups!$K$7,"High",IF($P310&lt;=Lookups!$K$8,"Low","Medium"))))</f>
        <v>High</v>
      </c>
      <c r="AJ310" s="5" t="str">
        <f>IF($A310="","",IF($AD310="","",IF($AD310&lt;5,"Under 5 C",IF($AD310&lt;10,"5-10 C",IF($AD310&lt;15,"10-15 C","15 C and above")))))</f>
        <v>Under 5 C</v>
      </c>
      <c r="AK310" s="5">
        <f>IF($A310="","",IF($P310="","",$P310^2))</f>
        <v>24964</v>
      </c>
      <c r="AL310" s="18">
        <f>IF($V310&lt;&gt;1,"",AVERAGEIFS(Clean_Data!$P$2:$P$1001,Clean_Data!$F$2:$F$1001,$F310,Clean_Data!$W$2:$W$1001,$W310,Clean_Data!$V$2:$V$1001,1))</f>
        <v>183.535714285714</v>
      </c>
      <c r="AM310" s="16">
        <f>IF($V310&lt;&gt;1,"",IFERROR(($P310-$AL310)/SQRT(MAX(0,(SUMIFS(Clean_Data!$AK$2:$AK$1001,Clean_Data!$F$2:$F$1001,$F310,Clean_Data!$W$2:$W$1001,$W310,Clean_Data!$V$2:$V$1001,1)-COUNTIFS(Clean_Data!$F$2:$F$1001,$F310,Clean_Data!$W$2:$W$1001,$W310,Clean_Data!$V$2:$V$1001,1)*$AL310^2)/(COUNTIFS(Clean_Data!$F$2:$F$1001,$F310,Clean_Data!$W$2:$W$1001,$W310,Clean_Data!$V$2:$V$1001,1)-1))),""))</f>
        <v>-0.523916589285415</v>
      </c>
      <c r="AN310" s="5" t="str">
        <f>IF($AM310="","",IF($AM310&gt;=Lookups!$K$6,"High spike",IF($AM310&lt;=-Lookups!$K$6,"Unusual low","Normal")))</f>
        <v>Normal</v>
      </c>
      <c r="AO310" s="20">
        <f>IF($V310&lt;&gt;1,"",$P310+ROW()/100000)</f>
        <v>158.0031</v>
      </c>
      <c r="AP310" s="5">
        <f>IF($A310="","",IFERROR(MATCH($A310,Raw_D1!$A$2:$A$1001,0),""))</f>
        <v>309</v>
      </c>
      <c r="AQ310" s="5">
        <f>IF($A310="","",IFERROR(MATCH($A310,Raw_D2!$B$2:$B$1001,0),""))</f>
        <v>309</v>
      </c>
      <c r="AR310" s="5">
        <f>IF($A310="","",IFERROR(MATCH($A310,Raw_D3!$A$2:$A$1001,0),""))</f>
        <v/>
      </c>
    </row>
    <row r="311" spans="1:44" x14ac:dyDescent="0.25">
      <c r="A311" s="5">
        <v>310</v>
      </c>
      <c r="B311" s="11">
        <f>IF($A311="","",IF($AP311&lt;&gt;"",INDEX(Raw_D1!$B$2:$B$1001,$AP311),IF($AR311&lt;&gt;"",INDEX(Raw_D3!$B$2:$B$1001,$AR311),"")))</f>
        <v>40557.0</v>
      </c>
      <c r="C311" s="5">
        <f>IF($A311="","",IF($AP311&lt;&gt;"",INDEX(Raw_D1!$C$2:$C$1001,$AP311),IF($AR311&lt;&gt;"",INDEX(Raw_D3!$C$2:$C$1001,$AR311),"")))</f>
        <v>1</v>
      </c>
      <c r="D311" s="5">
        <f>IF($A311="","",IF($AP311&lt;&gt;"",INDEX(Raw_D1!$D$2:$D$1001,$AP311),IF($AR311&lt;&gt;"",INDEX(Raw_D3!$D$2:$D$1001,$AR311),"")))</f>
        <v>0</v>
      </c>
      <c r="E311" s="5">
        <f>IF($A311="","",IF($AP311&lt;&gt;"",INDEX(Raw_D1!$E$2:$E$1001,$AP311),IF($AR311&lt;&gt;"",INDEX(Raw_D3!$E$2:$E$1001,$AR311),"")))</f>
        <v>1</v>
      </c>
      <c r="F311" s="5">
        <f>IF($A311="","",IF($AP311&lt;&gt;"",INDEX(Raw_D1!$F$2:$F$1001,$AP311),IF($AR311&lt;&gt;"",INDEX(Raw_D3!$F$2:$F$1001,$AR311),"")))</f>
        <v>9</v>
      </c>
      <c r="G311" s="5">
        <f>IF($A311="","",IF($AP311&lt;&gt;"",IF(INDEX(Raw_D1!$G$2:$G$1001,$AP311),1,0),IF($AR311&lt;&gt;"",IF(INDEX(Raw_D3!$G$2:$G$1001,$AR311),1,0),"")))</f>
        <v>0</v>
      </c>
      <c r="H311" s="5">
        <f>IF($A311="","",IF($AP311&lt;&gt;"",INDEX(Raw_D1!$H$2:$H$1001,$AP311),IF($AR311&lt;&gt;"",INDEX(Raw_D3!$H$2:$H$1001,$AR311),"")))</f>
        <v>5</v>
      </c>
      <c r="I311" s="5">
        <f>IF($A311="","",IF($AP311&lt;&gt;"",INDEX(Raw_D1!$I$2:$I$1001,$AP311),IF($AR311&lt;&gt;"",INDEX(Raw_D3!$I$2:$I$1001,$AR311),"")))</f>
        <v>1</v>
      </c>
      <c r="J311" s="16">
        <f>IF($A311="","",IF($AP311&lt;&gt;"",INDEX(Raw_D1!$J$2:$J$1001,$AP311),IF($AR311&lt;&gt;"",INDEX(Raw_D3!$J$2:$J$1001,$AR311),"")))</f>
        <v>0.14</v>
      </c>
      <c r="K311" s="17">
        <f>IF($A311="","",IF($AQ311&lt;&gt;"",IF(INDEX(Raw_D2!$C$2:$C$1001,$AQ311)="","",INDEX(Raw_D2!$C$2:$C$1001,$AQ311)),IF($AR311&lt;&gt;"",IF(INDEX(Raw_D3!$K$2:$K$1001,$AR311)="","",INDEX(Raw_D3!$K$2:$K$1001,$AR311)),"")))</f>
        <v>0.1515</v>
      </c>
      <c r="L311" s="16">
        <f>IF($A311="","",IF($AQ311&lt;&gt;"",IF(INDEX(Raw_D2!$D$2:$D$1001,$AQ311)="","",INDEX(Raw_D2!$D$2:$D$1001,$AQ311)),IF($AR311&lt;&gt;"",IF(INDEX(Raw_D3!$L$2:$L$1001,$AR311)="","",INDEX(Raw_D3!$L$2:$L$1001,$AR311)),"")))</f>
        <v>0.69</v>
      </c>
      <c r="M311" s="17">
        <f>IF($A311="","",IF($AQ311&lt;&gt;"",IF(INDEX(Raw_D2!$E$2:$E$1001,$AQ311)="","",INDEX(Raw_D2!$E$2:$E$1001,$AQ311)),IF($AR311&lt;&gt;"",IF(INDEX(Raw_D3!$M$2:$M$1001,$AR311)="","",INDEX(Raw_D3!$M$2:$M$1001,$AR311)),"")))</f>
        <v>0.1343</v>
      </c>
      <c r="N311" s="5">
        <f>IF($A311="","",IF($AQ311&lt;&gt;"",IF(INDEX(Raw_D2!$F$2:$F$1001,$AQ311)="","",INDEX(Raw_D2!$F$2:$F$1001,$AQ311)),IF($AR311&lt;&gt;"",IF(INDEX(Raw_D3!$N$2:$N$1001,$AR311)="","",INDEX(Raw_D3!$N$2:$N$1001,$AR311)),"")))</f>
        <v>0</v>
      </c>
      <c r="O311" s="5">
        <f>IF($A311="","",IF($AQ311&lt;&gt;"",IF(INDEX(Raw_D2!$G$2:$G$1001,$AQ311)="","",INDEX(Raw_D2!$G$2:$G$1001,$AQ311)),IF($AR311&lt;&gt;"",IF(INDEX(Raw_D3!$O$2:$O$1001,$AR311)="","",INDEX(Raw_D3!$O$2:$O$1001,$AR311)),"")))</f>
        <v>117</v>
      </c>
      <c r="P311" s="5">
        <f>IF($A311="","",IF($AQ311&lt;&gt;"",IF(INDEX(Raw_D2!$H$2:$H$1001,$AQ311)="","",INDEX(Raw_D2!$H$2:$H$1001,$AQ311)),IF($AR311&lt;&gt;"",IF(INDEX(Raw_D3!$P$2:$P$1001,$AR311)="","",INDEX(Raw_D3!$P$2:$P$1001,$AR311)),"")))</f>
        <v>117</v>
      </c>
      <c r="Q311" s="5" t="str">
        <f>IF($A311="","",IF(AND($AP311&lt;&gt;"",$AQ311&lt;&gt;""),"D1+D2",IF($AR311&lt;&gt;"","D3","Incomplete")))</f>
        <v>D1+D2</v>
      </c>
      <c r="R311" s="17">
        <f>IF($A311="","",IF($K311="",IF($J311="","",ROUND(Lookups!$K$5+Lookups!$K$4*$J311,4)),$K311))</f>
        <v>0.1515</v>
      </c>
      <c r="S311" s="5" t="str">
        <f>IF($A311="","",IF($K311="","Imputed","Original"))</f>
        <v>Original</v>
      </c>
      <c r="T311" s="5" t="str">
        <f>IF($A311="","",IF($P311="","Missing",IF($P311=$N311+$O311,"OK","Mismatch")))</f>
        <v>OK</v>
      </c>
      <c r="U311" s="5" t="str">
        <f>IF($A311="","",IF(COUNTIF($A$2:$A311,$A311)&gt;1,"Duplicate","Unique"))</f>
        <v>Unique</v>
      </c>
      <c r="V311" s="5">
        <f>IF($A311="","",IF(AND($U311="Unique",ISNUMBER($P311)),1,0))</f>
        <v>1</v>
      </c>
      <c r="W311" s="5" t="str">
        <f>IF($A311="","",IF(OR($H311=0,$H311=6),"Weekend","Weekday"))</f>
        <v>Weekday</v>
      </c>
      <c r="X311" s="5" t="str">
        <f>IF($A311="","",TEXT($B311,"ddd"))</f>
        <v>Fri</v>
      </c>
      <c r="Y311" s="5" t="str">
        <f>IF($A311="","",TEXT($B311,"mmm"))</f>
        <v>Jan</v>
      </c>
      <c r="Z311" s="5" t="str">
        <f>IF($A311="","",IFERROR(VLOOKUP($C311,Lookups!$D$4:$E$7,2,FALSE),"Unknown"))</f>
        <v>Winter</v>
      </c>
      <c r="AA311" s="5" t="str">
        <f>IF($A311="","",IFERROR(VLOOKUP($I311,Lookups!$A$4:$B$7,2,FALSE),"Unknown"))</f>
        <v>Clear</v>
      </c>
      <c r="AB311" s="5" t="str">
        <f>IF($A311="","",TEXT($F311,"00")&amp;":00")</f>
        <v>09:00</v>
      </c>
      <c r="AC311" s="5" t="str">
        <f>IF($A311="","",VLOOKUP($F311,Lookups!$G$4:$H$8,2,TRUE))</f>
        <v>Morning Peak (06-09)</v>
      </c>
      <c r="AD311" s="18">
        <f>IF($A311="","",IF($J311="","",ROUND($J311*41,1)))</f>
        <v>5.7</v>
      </c>
      <c r="AE311" s="18">
        <f>IF($A311="","",IF($R311="","",ROUND($R311*50,1)))</f>
        <v>7.6</v>
      </c>
      <c r="AF311" s="5">
        <f>IF($A311="","",IF($L311="","",ROUND($L311*100,0)))</f>
        <v>69</v>
      </c>
      <c r="AG311" s="18">
        <f>IF($A311="","",IF($M311="","",ROUND($M311*67,1)))</f>
        <v>9</v>
      </c>
      <c r="AH311" s="19">
        <f>IF($A311="","",IF($P311="","",IF($P311=0,0,$O311/$P311)))</f>
        <v>1</v>
      </c>
      <c r="AI311" s="5" t="str">
        <f>IF($A311="","",IF($P311="","",IF($P311&gt;=Lookups!$K$7,"High",IF($P311&lt;=Lookups!$K$8,"Low","Medium"))))</f>
        <v>High</v>
      </c>
      <c r="AJ311" s="5" t="str">
        <f>IF($A311="","",IF($AD311="","",IF($AD311&lt;5,"Under 5 C",IF($AD311&lt;10,"5-10 C",IF($AD311&lt;15,"10-15 C","15 C and above")))))</f>
        <v>5-10 C</v>
      </c>
      <c r="AK311" s="5">
        <f>IF($A311="","",IF($P311="","",$P311^2))</f>
        <v>13689</v>
      </c>
      <c r="AL311" s="18">
        <f>IF($V311&lt;&gt;1,"",AVERAGEIFS(Clean_Data!$P$2:$P$1001,Clean_Data!$F$2:$F$1001,$F311,Clean_Data!$W$2:$W$1001,$W311,Clean_Data!$V$2:$V$1001,1))</f>
        <v>115.678571428571</v>
      </c>
      <c r="AM311" s="16">
        <f>IF($V311&lt;&gt;1,"",IFERROR(($P311-$AL311)/SQRT(MAX(0,(SUMIFS(Clean_Data!$AK$2:$AK$1001,Clean_Data!$F$2:$F$1001,$F311,Clean_Data!$W$2:$W$1001,$W311,Clean_Data!$V$2:$V$1001,1)-COUNTIFS(Clean_Data!$F$2:$F$1001,$F311,Clean_Data!$W$2:$W$1001,$W311,Clean_Data!$V$2:$V$1001,1)*$AL311^2)/(COUNTIFS(Clean_Data!$F$2:$F$1001,$F311,Clean_Data!$W$2:$W$1001,$W311,Clean_Data!$V$2:$V$1001,1)-1))),""))</f>
        <v>0.0512612098351262</v>
      </c>
      <c r="AN311" s="5" t="str">
        <f>IF($AM311="","",IF($AM311&gt;=Lookups!$K$6,"High spike",IF($AM311&lt;=-Lookups!$K$6,"Unusual low","Normal")))</f>
        <v>Normal</v>
      </c>
      <c r="AO311" s="20">
        <f>IF($V311&lt;&gt;1,"",$P311+ROW()/100000)</f>
        <v>117.00311</v>
      </c>
      <c r="AP311" s="5">
        <f>IF($A311="","",IFERROR(MATCH($A311,Raw_D1!$A$2:$A$1001,0),""))</f>
        <v>310</v>
      </c>
      <c r="AQ311" s="5">
        <f>IF($A311="","",IFERROR(MATCH($A311,Raw_D2!$B$2:$B$1001,0),""))</f>
        <v>310</v>
      </c>
      <c r="AR311" s="5">
        <f>IF($A311="","",IFERROR(MATCH($A311,Raw_D3!$A$2:$A$1001,0),""))</f>
        <v/>
      </c>
    </row>
    <row r="312" spans="1:44" x14ac:dyDescent="0.25">
      <c r="A312" s="5">
        <v>311</v>
      </c>
      <c r="B312" s="11">
        <f>IF($A312="","",IF($AP312&lt;&gt;"",INDEX(Raw_D1!$B$2:$B$1001,$AP312),IF($AR312&lt;&gt;"",INDEX(Raw_D3!$B$2:$B$1001,$AR312),"")))</f>
        <v>40557.0</v>
      </c>
      <c r="C312" s="5">
        <f>IF($A312="","",IF($AP312&lt;&gt;"",INDEX(Raw_D1!$C$2:$C$1001,$AP312),IF($AR312&lt;&gt;"",INDEX(Raw_D3!$C$2:$C$1001,$AR312),"")))</f>
        <v>1</v>
      </c>
      <c r="D312" s="5">
        <f>IF($A312="","",IF($AP312&lt;&gt;"",INDEX(Raw_D1!$D$2:$D$1001,$AP312),IF($AR312&lt;&gt;"",INDEX(Raw_D3!$D$2:$D$1001,$AR312),"")))</f>
        <v>0</v>
      </c>
      <c r="E312" s="5">
        <f>IF($A312="","",IF($AP312&lt;&gt;"",INDEX(Raw_D1!$E$2:$E$1001,$AP312),IF($AR312&lt;&gt;"",INDEX(Raw_D3!$E$2:$E$1001,$AR312),"")))</f>
        <v>1</v>
      </c>
      <c r="F312" s="5">
        <f>IF($A312="","",IF($AP312&lt;&gt;"",INDEX(Raw_D1!$F$2:$F$1001,$AP312),IF($AR312&lt;&gt;"",INDEX(Raw_D3!$F$2:$F$1001,$AR312),"")))</f>
        <v>10</v>
      </c>
      <c r="G312" s="5">
        <f>IF($A312="","",IF($AP312&lt;&gt;"",IF(INDEX(Raw_D1!$G$2:$G$1001,$AP312),1,0),IF($AR312&lt;&gt;"",IF(INDEX(Raw_D3!$G$2:$G$1001,$AR312),1,0),"")))</f>
        <v>0</v>
      </c>
      <c r="H312" s="5">
        <f>IF($A312="","",IF($AP312&lt;&gt;"",INDEX(Raw_D1!$H$2:$H$1001,$AP312),IF($AR312&lt;&gt;"",INDEX(Raw_D3!$H$2:$H$1001,$AR312),"")))</f>
        <v>5</v>
      </c>
      <c r="I312" s="5">
        <f>IF($A312="","",IF($AP312&lt;&gt;"",INDEX(Raw_D1!$I$2:$I$1001,$AP312),IF($AR312&lt;&gt;"",INDEX(Raw_D3!$I$2:$I$1001,$AR312),"")))</f>
        <v>1</v>
      </c>
      <c r="J312" s="16">
        <f>IF($A312="","",IF($AP312&lt;&gt;"",INDEX(Raw_D1!$J$2:$J$1001,$AP312),IF($AR312&lt;&gt;"",INDEX(Raw_D3!$J$2:$J$1001,$AR312),"")))</f>
        <v>0.18</v>
      </c>
      <c r="K312" s="17">
        <f>IF($A312="","",IF($AQ312&lt;&gt;"",IF(INDEX(Raw_D2!$C$2:$C$1001,$AQ312)="","",INDEX(Raw_D2!$C$2:$C$1001,$AQ312)),IF($AR312&lt;&gt;"",IF(INDEX(Raw_D3!$K$2:$K$1001,$AR312)="","",INDEX(Raw_D3!$K$2:$K$1001,$AR312)),"")))</f>
        <v>0.1818</v>
      </c>
      <c r="L312" s="16">
        <f>IF($A312="","",IF($AQ312&lt;&gt;"",IF(INDEX(Raw_D2!$D$2:$D$1001,$AQ312)="","",INDEX(Raw_D2!$D$2:$D$1001,$AQ312)),IF($AR312&lt;&gt;"",IF(INDEX(Raw_D3!$L$2:$L$1001,$AR312)="","",INDEX(Raw_D3!$L$2:$L$1001,$AR312)),"")))</f>
        <v>0.55</v>
      </c>
      <c r="M312" s="17">
        <f>IF($A312="","",IF($AQ312&lt;&gt;"",IF(INDEX(Raw_D2!$E$2:$E$1001,$AQ312)="","",INDEX(Raw_D2!$E$2:$E$1001,$AQ312)),IF($AR312&lt;&gt;"",IF(INDEX(Raw_D3!$M$2:$M$1001,$AR312)="","",INDEX(Raw_D3!$M$2:$M$1001,$AR312)),"")))</f>
        <v>0.194</v>
      </c>
      <c r="N312" s="5">
        <f>IF($A312="","",IF($AQ312&lt;&gt;"",IF(INDEX(Raw_D2!$F$2:$F$1001,$AQ312)="","",INDEX(Raw_D2!$F$2:$F$1001,$AQ312)),IF($AR312&lt;&gt;"",IF(INDEX(Raw_D3!$N$2:$N$1001,$AR312)="","",INDEX(Raw_D3!$N$2:$N$1001,$AR312)),"")))</f>
        <v>4</v>
      </c>
      <c r="O312" s="5">
        <f>IF($A312="","",IF($AQ312&lt;&gt;"",IF(INDEX(Raw_D2!$G$2:$G$1001,$AQ312)="","",INDEX(Raw_D2!$G$2:$G$1001,$AQ312)),IF($AR312&lt;&gt;"",IF(INDEX(Raw_D3!$O$2:$O$1001,$AR312)="","",INDEX(Raw_D3!$O$2:$O$1001,$AR312)),"")))</f>
        <v>40</v>
      </c>
      <c r="P312" s="5">
        <f>IF($A312="","",IF($AQ312&lt;&gt;"",IF(INDEX(Raw_D2!$H$2:$H$1001,$AQ312)="","",INDEX(Raw_D2!$H$2:$H$1001,$AQ312)),IF($AR312&lt;&gt;"",IF(INDEX(Raw_D3!$P$2:$P$1001,$AR312)="","",INDEX(Raw_D3!$P$2:$P$1001,$AR312)),"")))</f>
        <v>44</v>
      </c>
      <c r="Q312" s="5" t="str">
        <f>IF($A312="","",IF(AND($AP312&lt;&gt;"",$AQ312&lt;&gt;""),"D1+D2",IF($AR312&lt;&gt;"","D3","Incomplete")))</f>
        <v>D1+D2</v>
      </c>
      <c r="R312" s="17">
        <f>IF($A312="","",IF($K312="",IF($J312="","",ROUND(Lookups!$K$5+Lookups!$K$4*$J312,4)),$K312))</f>
        <v>0.1818</v>
      </c>
      <c r="S312" s="5" t="str">
        <f>IF($A312="","",IF($K312="","Imputed","Original"))</f>
        <v>Original</v>
      </c>
      <c r="T312" s="5" t="str">
        <f>IF($A312="","",IF($P312="","Missing",IF($P312=$N312+$O312,"OK","Mismatch")))</f>
        <v>OK</v>
      </c>
      <c r="U312" s="5" t="str">
        <f>IF($A312="","",IF(COUNTIF($A$2:$A312,$A312)&gt;1,"Duplicate","Unique"))</f>
        <v>Unique</v>
      </c>
      <c r="V312" s="5">
        <f>IF($A312="","",IF(AND($U312="Unique",ISNUMBER($P312)),1,0))</f>
        <v>1</v>
      </c>
      <c r="W312" s="5" t="str">
        <f>IF($A312="","",IF(OR($H312=0,$H312=6),"Weekend","Weekday"))</f>
        <v>Weekday</v>
      </c>
      <c r="X312" s="5" t="str">
        <f>IF($A312="","",TEXT($B312,"ddd"))</f>
        <v>Fri</v>
      </c>
      <c r="Y312" s="5" t="str">
        <f>IF($A312="","",TEXT($B312,"mmm"))</f>
        <v>Jan</v>
      </c>
      <c r="Z312" s="5" t="str">
        <f>IF($A312="","",IFERROR(VLOOKUP($C312,Lookups!$D$4:$E$7,2,FALSE),"Unknown"))</f>
        <v>Winter</v>
      </c>
      <c r="AA312" s="5" t="str">
        <f>IF($A312="","",IFERROR(VLOOKUP($I312,Lookups!$A$4:$B$7,2,FALSE),"Unknown"))</f>
        <v>Clear</v>
      </c>
      <c r="AB312" s="5" t="str">
        <f>IF($A312="","",TEXT($F312,"00")&amp;":00")</f>
        <v>10:00</v>
      </c>
      <c r="AC312" s="5" t="str">
        <f>IF($A312="","",VLOOKUP($F312,Lookups!$G$4:$H$8,2,TRUE))</f>
        <v>Midday (10-15)</v>
      </c>
      <c r="AD312" s="18">
        <f>IF($A312="","",IF($J312="","",ROUND($J312*41,1)))</f>
        <v>7.4</v>
      </c>
      <c r="AE312" s="18">
        <f>IF($A312="","",IF($R312="","",ROUND($R312*50,1)))</f>
        <v>9.1</v>
      </c>
      <c r="AF312" s="5">
        <f>IF($A312="","",IF($L312="","",ROUND($L312*100,0)))</f>
        <v>55</v>
      </c>
      <c r="AG312" s="18">
        <f>IF($A312="","",IF($M312="","",ROUND($M312*67,1)))</f>
        <v>13</v>
      </c>
      <c r="AH312" s="19">
        <f>IF($A312="","",IF($P312="","",IF($P312=0,0,$O312/$P312)))</f>
        <v>0.909090909090909</v>
      </c>
      <c r="AI312" s="5" t="str">
        <f>IF($A312="","",IF($P312="","",IF($P312&gt;=Lookups!$K$7,"High",IF($P312&lt;=Lookups!$K$8,"Low","Medium"))))</f>
        <v>Medium</v>
      </c>
      <c r="AJ312" s="5" t="str">
        <f>IF($A312="","",IF($AD312="","",IF($AD312&lt;5,"Under 5 C",IF($AD312&lt;10,"5-10 C",IF($AD312&lt;15,"10-15 C","15 C and above")))))</f>
        <v>5-10 C</v>
      </c>
      <c r="AK312" s="5">
        <f>IF($A312="","",IF($P312="","",$P312^2))</f>
        <v>1936</v>
      </c>
      <c r="AL312" s="18">
        <f>IF($V312&lt;&gt;1,"",AVERAGEIFS(Clean_Data!$P$2:$P$1001,Clean_Data!$F$2:$F$1001,$F312,Clean_Data!$W$2:$W$1001,$W312,Clean_Data!$V$2:$V$1001,1))</f>
        <v>49.0714285714286</v>
      </c>
      <c r="AM312" s="16">
        <f>IF($V312&lt;&gt;1,"",IFERROR(($P312-$AL312)/SQRT(MAX(0,(SUMIFS(Clean_Data!$AK$2:$AK$1001,Clean_Data!$F$2:$F$1001,$F312,Clean_Data!$W$2:$W$1001,$W312,Clean_Data!$V$2:$V$1001,1)-COUNTIFS(Clean_Data!$F$2:$F$1001,$F312,Clean_Data!$W$2:$W$1001,$W312,Clean_Data!$V$2:$V$1001,1)*$AL312^2)/(COUNTIFS(Clean_Data!$F$2:$F$1001,$F312,Clean_Data!$W$2:$W$1001,$W312,Clean_Data!$V$2:$V$1001,1)-1))),""))</f>
        <v>-0.502524371261835</v>
      </c>
      <c r="AN312" s="5" t="str">
        <f>IF($AM312="","",IF($AM312&gt;=Lookups!$K$6,"High spike",IF($AM312&lt;=-Lookups!$K$6,"Unusual low","Normal")))</f>
        <v>Normal</v>
      </c>
      <c r="AO312" s="20">
        <f>IF($V312&lt;&gt;1,"",$P312+ROW()/100000)</f>
        <v>44.00312</v>
      </c>
      <c r="AP312" s="5">
        <f>IF($A312="","",IFERROR(MATCH($A312,Raw_D1!$A$2:$A$1001,0),""))</f>
        <v>311</v>
      </c>
      <c r="AQ312" s="5">
        <f>IF($A312="","",IFERROR(MATCH($A312,Raw_D2!$B$2:$B$1001,0),""))</f>
        <v>311</v>
      </c>
      <c r="AR312" s="5">
        <f>IF($A312="","",IFERROR(MATCH($A312,Raw_D3!$A$2:$A$1001,0),""))</f>
        <v/>
      </c>
    </row>
    <row r="313" spans="1:44" x14ac:dyDescent="0.25">
      <c r="A313" s="5">
        <v>312</v>
      </c>
      <c r="B313" s="11">
        <f>IF($A313="","",IF($AP313&lt;&gt;"",INDEX(Raw_D1!$B$2:$B$1001,$AP313),IF($AR313&lt;&gt;"",INDEX(Raw_D3!$B$2:$B$1001,$AR313),"")))</f>
        <v>40557.0</v>
      </c>
      <c r="C313" s="5">
        <f>IF($A313="","",IF($AP313&lt;&gt;"",INDEX(Raw_D1!$C$2:$C$1001,$AP313),IF($AR313&lt;&gt;"",INDEX(Raw_D3!$C$2:$C$1001,$AR313),"")))</f>
        <v>1</v>
      </c>
      <c r="D313" s="5">
        <f>IF($A313="","",IF($AP313&lt;&gt;"",INDEX(Raw_D1!$D$2:$D$1001,$AP313),IF($AR313&lt;&gt;"",INDEX(Raw_D3!$D$2:$D$1001,$AR313),"")))</f>
        <v>0</v>
      </c>
      <c r="E313" s="5">
        <f>IF($A313="","",IF($AP313&lt;&gt;"",INDEX(Raw_D1!$E$2:$E$1001,$AP313),IF($AR313&lt;&gt;"",INDEX(Raw_D3!$E$2:$E$1001,$AR313),"")))</f>
        <v>1</v>
      </c>
      <c r="F313" s="5">
        <f>IF($A313="","",IF($AP313&lt;&gt;"",INDEX(Raw_D1!$F$2:$F$1001,$AP313),IF($AR313&lt;&gt;"",INDEX(Raw_D3!$F$2:$F$1001,$AR313),"")))</f>
        <v>11</v>
      </c>
      <c r="G313" s="5">
        <f>IF($A313="","",IF($AP313&lt;&gt;"",IF(INDEX(Raw_D1!$G$2:$G$1001,$AP313),1,0),IF($AR313&lt;&gt;"",IF(INDEX(Raw_D3!$G$2:$G$1001,$AR313),1,0),"")))</f>
        <v>0</v>
      </c>
      <c r="H313" s="5">
        <f>IF($A313="","",IF($AP313&lt;&gt;"",INDEX(Raw_D1!$H$2:$H$1001,$AP313),IF($AR313&lt;&gt;"",INDEX(Raw_D3!$H$2:$H$1001,$AR313),"")))</f>
        <v>5</v>
      </c>
      <c r="I313" s="5">
        <f>IF($A313="","",IF($AP313&lt;&gt;"",INDEX(Raw_D1!$I$2:$I$1001,$AP313),IF($AR313&lt;&gt;"",INDEX(Raw_D3!$I$2:$I$1001,$AR313),"")))</f>
        <v>1</v>
      </c>
      <c r="J313" s="16">
        <f>IF($A313="","",IF($AP313&lt;&gt;"",INDEX(Raw_D1!$J$2:$J$1001,$AP313),IF($AR313&lt;&gt;"",INDEX(Raw_D3!$J$2:$J$1001,$AR313),"")))</f>
        <v>0.18</v>
      </c>
      <c r="K313" s="17">
        <f>IF($A313="","",IF($AQ313&lt;&gt;"",IF(INDEX(Raw_D2!$C$2:$C$1001,$AQ313)="","",INDEX(Raw_D2!$C$2:$C$1001,$AQ313)),IF($AR313&lt;&gt;"",IF(INDEX(Raw_D3!$K$2:$K$1001,$AR313)="","",INDEX(Raw_D3!$K$2:$K$1001,$AR313)),"")))</f>
        <v>0.1667</v>
      </c>
      <c r="L313" s="16">
        <f>IF($A313="","",IF($AQ313&lt;&gt;"",IF(INDEX(Raw_D2!$D$2:$D$1001,$AQ313)="","",INDEX(Raw_D2!$D$2:$D$1001,$AQ313)),IF($AR313&lt;&gt;"",IF(INDEX(Raw_D3!$L$2:$L$1001,$AR313)="","",INDEX(Raw_D3!$L$2:$L$1001,$AR313)),"")))</f>
        <v>0.51</v>
      </c>
      <c r="M313" s="17">
        <f>IF($A313="","",IF($AQ313&lt;&gt;"",IF(INDEX(Raw_D2!$E$2:$E$1001,$AQ313)="","",INDEX(Raw_D2!$E$2:$E$1001,$AQ313)),IF($AR313&lt;&gt;"",IF(INDEX(Raw_D3!$M$2:$M$1001,$AR313)="","",INDEX(Raw_D3!$M$2:$M$1001,$AR313)),"")))</f>
        <v>0.2836</v>
      </c>
      <c r="N313" s="5">
        <f>IF($A313="","",IF($AQ313&lt;&gt;"",IF(INDEX(Raw_D2!$F$2:$F$1001,$AQ313)="","",INDEX(Raw_D2!$F$2:$F$1001,$AQ313)),IF($AR313&lt;&gt;"",IF(INDEX(Raw_D3!$N$2:$N$1001,$AR313)="","",INDEX(Raw_D3!$N$2:$N$1001,$AR313)),"")))</f>
        <v>6</v>
      </c>
      <c r="O313" s="5">
        <f>IF($A313="","",IF($AQ313&lt;&gt;"",IF(INDEX(Raw_D2!$G$2:$G$1001,$AQ313)="","",INDEX(Raw_D2!$G$2:$G$1001,$AQ313)),IF($AR313&lt;&gt;"",IF(INDEX(Raw_D3!$O$2:$O$1001,$AR313)="","",INDEX(Raw_D3!$O$2:$O$1001,$AR313)),"")))</f>
        <v>47</v>
      </c>
      <c r="P313" s="5">
        <f>IF($A313="","",IF($AQ313&lt;&gt;"",IF(INDEX(Raw_D2!$H$2:$H$1001,$AQ313)="","",INDEX(Raw_D2!$H$2:$H$1001,$AQ313)),IF($AR313&lt;&gt;"",IF(INDEX(Raw_D3!$P$2:$P$1001,$AR313)="","",INDEX(Raw_D3!$P$2:$P$1001,$AR313)),"")))</f>
        <v>53</v>
      </c>
      <c r="Q313" s="5" t="str">
        <f>IF($A313="","",IF(AND($AP313&lt;&gt;"",$AQ313&lt;&gt;""),"D1+D2",IF($AR313&lt;&gt;"","D3","Incomplete")))</f>
        <v>D1+D2</v>
      </c>
      <c r="R313" s="17">
        <f>IF($A313="","",IF($K313="",IF($J313="","",ROUND(Lookups!$K$5+Lookups!$K$4*$J313,4)),$K313))</f>
        <v>0.1667</v>
      </c>
      <c r="S313" s="5" t="str">
        <f>IF($A313="","",IF($K313="","Imputed","Original"))</f>
        <v>Original</v>
      </c>
      <c r="T313" s="5" t="str">
        <f>IF($A313="","",IF($P313="","Missing",IF($P313=$N313+$O313,"OK","Mismatch")))</f>
        <v>OK</v>
      </c>
      <c r="U313" s="5" t="str">
        <f>IF($A313="","",IF(COUNTIF($A$2:$A313,$A313)&gt;1,"Duplicate","Unique"))</f>
        <v>Unique</v>
      </c>
      <c r="V313" s="5">
        <f>IF($A313="","",IF(AND($U313="Unique",ISNUMBER($P313)),1,0))</f>
        <v>1</v>
      </c>
      <c r="W313" s="5" t="str">
        <f>IF($A313="","",IF(OR($H313=0,$H313=6),"Weekend","Weekday"))</f>
        <v>Weekday</v>
      </c>
      <c r="X313" s="5" t="str">
        <f>IF($A313="","",TEXT($B313,"ddd"))</f>
        <v>Fri</v>
      </c>
      <c r="Y313" s="5" t="str">
        <f>IF($A313="","",TEXT($B313,"mmm"))</f>
        <v>Jan</v>
      </c>
      <c r="Z313" s="5" t="str">
        <f>IF($A313="","",IFERROR(VLOOKUP($C313,Lookups!$D$4:$E$7,2,FALSE),"Unknown"))</f>
        <v>Winter</v>
      </c>
      <c r="AA313" s="5" t="str">
        <f>IF($A313="","",IFERROR(VLOOKUP($I313,Lookups!$A$4:$B$7,2,FALSE),"Unknown"))</f>
        <v>Clear</v>
      </c>
      <c r="AB313" s="5" t="str">
        <f>IF($A313="","",TEXT($F313,"00")&amp;":00")</f>
        <v>11:00</v>
      </c>
      <c r="AC313" s="5" t="str">
        <f>IF($A313="","",VLOOKUP($F313,Lookups!$G$4:$H$8,2,TRUE))</f>
        <v>Midday (10-15)</v>
      </c>
      <c r="AD313" s="18">
        <f>IF($A313="","",IF($J313="","",ROUND($J313*41,1)))</f>
        <v>7.4</v>
      </c>
      <c r="AE313" s="18">
        <f>IF($A313="","",IF($R313="","",ROUND($R313*50,1)))</f>
        <v>8.3</v>
      </c>
      <c r="AF313" s="5">
        <f>IF($A313="","",IF($L313="","",ROUND($L313*100,0)))</f>
        <v>51</v>
      </c>
      <c r="AG313" s="18">
        <f>IF($A313="","",IF($M313="","",ROUND($M313*67,1)))</f>
        <v>19</v>
      </c>
      <c r="AH313" s="19">
        <f>IF($A313="","",IF($P313="","",IF($P313=0,0,$O313/$P313)))</f>
        <v>0.886792452830189</v>
      </c>
      <c r="AI313" s="5" t="str">
        <f>IF($A313="","",IF($P313="","",IF($P313&gt;=Lookups!$K$7,"High",IF($P313&lt;=Lookups!$K$8,"Low","Medium"))))</f>
        <v>Medium</v>
      </c>
      <c r="AJ313" s="5" t="str">
        <f>IF($A313="","",IF($AD313="","",IF($AD313&lt;5,"Under 5 C",IF($AD313&lt;10,"5-10 C",IF($AD313&lt;15,"10-15 C","15 C and above")))))</f>
        <v>5-10 C</v>
      </c>
      <c r="AK313" s="5">
        <f>IF($A313="","",IF($P313="","",$P313^2))</f>
        <v>2809</v>
      </c>
      <c r="AL313" s="18">
        <f>IF($V313&lt;&gt;1,"",AVERAGEIFS(Clean_Data!$P$2:$P$1001,Clean_Data!$F$2:$F$1001,$F313,Clean_Data!$W$2:$W$1001,$W313,Clean_Data!$V$2:$V$1001,1))</f>
        <v>50.6071428571429</v>
      </c>
      <c r="AM313" s="16">
        <f>IF($V313&lt;&gt;1,"",IFERROR(($P313-$AL313)/SQRT(MAX(0,(SUMIFS(Clean_Data!$AK$2:$AK$1001,Clean_Data!$F$2:$F$1001,$F313,Clean_Data!$W$2:$W$1001,$W313,Clean_Data!$V$2:$V$1001,1)-COUNTIFS(Clean_Data!$F$2:$F$1001,$F313,Clean_Data!$W$2:$W$1001,$W313,Clean_Data!$V$2:$V$1001,1)*$AL313^2)/(COUNTIFS(Clean_Data!$F$2:$F$1001,$F313,Clean_Data!$W$2:$W$1001,$W313,Clean_Data!$V$2:$V$1001,1)-1))),""))</f>
        <v>0.213591253876855</v>
      </c>
      <c r="AN313" s="5" t="str">
        <f>IF($AM313="","",IF($AM313&gt;=Lookups!$K$6,"High spike",IF($AM313&lt;=-Lookups!$K$6,"Unusual low","Normal")))</f>
        <v>Normal</v>
      </c>
      <c r="AO313" s="20">
        <f>IF($V313&lt;&gt;1,"",$P313+ROW()/100000)</f>
        <v>53.00313</v>
      </c>
      <c r="AP313" s="5">
        <f>IF($A313="","",IFERROR(MATCH($A313,Raw_D1!$A$2:$A$1001,0),""))</f>
        <v>312</v>
      </c>
      <c r="AQ313" s="5">
        <f>IF($A313="","",IFERROR(MATCH($A313,Raw_D2!$B$2:$B$1001,0),""))</f>
        <v>312</v>
      </c>
      <c r="AR313" s="5">
        <f>IF($A313="","",IFERROR(MATCH($A313,Raw_D3!$A$2:$A$1001,0),""))</f>
        <v/>
      </c>
    </row>
    <row r="314" spans="1:44" x14ac:dyDescent="0.25">
      <c r="A314" s="5">
        <v>313</v>
      </c>
      <c r="B314" s="11">
        <f>IF($A314="","",IF($AP314&lt;&gt;"",INDEX(Raw_D1!$B$2:$B$1001,$AP314),IF($AR314&lt;&gt;"",INDEX(Raw_D3!$B$2:$B$1001,$AR314),"")))</f>
        <v>40557.0</v>
      </c>
      <c r="C314" s="5">
        <f>IF($A314="","",IF($AP314&lt;&gt;"",INDEX(Raw_D1!$C$2:$C$1001,$AP314),IF($AR314&lt;&gt;"",INDEX(Raw_D3!$C$2:$C$1001,$AR314),"")))</f>
        <v>1</v>
      </c>
      <c r="D314" s="5">
        <f>IF($A314="","",IF($AP314&lt;&gt;"",INDEX(Raw_D1!$D$2:$D$1001,$AP314),IF($AR314&lt;&gt;"",INDEX(Raw_D3!$D$2:$D$1001,$AR314),"")))</f>
        <v>0</v>
      </c>
      <c r="E314" s="5">
        <f>IF($A314="","",IF($AP314&lt;&gt;"",INDEX(Raw_D1!$E$2:$E$1001,$AP314),IF($AR314&lt;&gt;"",INDEX(Raw_D3!$E$2:$E$1001,$AR314),"")))</f>
        <v>1</v>
      </c>
      <c r="F314" s="5">
        <f>IF($A314="","",IF($AP314&lt;&gt;"",INDEX(Raw_D1!$F$2:$F$1001,$AP314),IF($AR314&lt;&gt;"",INDEX(Raw_D3!$F$2:$F$1001,$AR314),"")))</f>
        <v>12</v>
      </c>
      <c r="G314" s="5">
        <f>IF($A314="","",IF($AP314&lt;&gt;"",IF(INDEX(Raw_D1!$G$2:$G$1001,$AP314),1,0),IF($AR314&lt;&gt;"",IF(INDEX(Raw_D3!$G$2:$G$1001,$AR314),1,0),"")))</f>
        <v>0</v>
      </c>
      <c r="H314" s="5">
        <f>IF($A314="","",IF($AP314&lt;&gt;"",INDEX(Raw_D1!$H$2:$H$1001,$AP314),IF($AR314&lt;&gt;"",INDEX(Raw_D3!$H$2:$H$1001,$AR314),"")))</f>
        <v>5</v>
      </c>
      <c r="I314" s="5">
        <f>IF($A314="","",IF($AP314&lt;&gt;"",INDEX(Raw_D1!$I$2:$I$1001,$AP314),IF($AR314&lt;&gt;"",INDEX(Raw_D3!$I$2:$I$1001,$AR314),"")))</f>
        <v>1</v>
      </c>
      <c r="J314" s="16">
        <f>IF($A314="","",IF($AP314&lt;&gt;"",INDEX(Raw_D1!$J$2:$J$1001,$AP314),IF($AR314&lt;&gt;"",INDEX(Raw_D3!$J$2:$J$1001,$AR314),"")))</f>
        <v>0.2</v>
      </c>
      <c r="K314" s="17">
        <f>IF($A314="","",IF($AQ314&lt;&gt;"",IF(INDEX(Raw_D2!$C$2:$C$1001,$AQ314)="","",INDEX(Raw_D2!$C$2:$C$1001,$AQ314)),IF($AR314&lt;&gt;"",IF(INDEX(Raw_D3!$K$2:$K$1001,$AR314)="","",INDEX(Raw_D3!$K$2:$K$1001,$AR314)),"")))</f>
        <v>0.197</v>
      </c>
      <c r="L314" s="16">
        <f>IF($A314="","",IF($AQ314&lt;&gt;"",IF(INDEX(Raw_D2!$D$2:$D$1001,$AQ314)="","",INDEX(Raw_D2!$D$2:$D$1001,$AQ314)),IF($AR314&lt;&gt;"",IF(INDEX(Raw_D3!$L$2:$L$1001,$AR314)="","",INDEX(Raw_D3!$L$2:$L$1001,$AR314)),"")))</f>
        <v>0.44</v>
      </c>
      <c r="M314" s="17">
        <f>IF($A314="","",IF($AQ314&lt;&gt;"",IF(INDEX(Raw_D2!$E$2:$E$1001,$AQ314)="","",INDEX(Raw_D2!$E$2:$E$1001,$AQ314)),IF($AR314&lt;&gt;"",IF(INDEX(Raw_D3!$M$2:$M$1001,$AR314)="","",INDEX(Raw_D3!$M$2:$M$1001,$AR314)),"")))</f>
        <v>0.2537</v>
      </c>
      <c r="N314" s="5">
        <f>IF($A314="","",IF($AQ314&lt;&gt;"",IF(INDEX(Raw_D2!$F$2:$F$1001,$AQ314)="","",INDEX(Raw_D2!$F$2:$F$1001,$AQ314)),IF($AR314&lt;&gt;"",IF(INDEX(Raw_D3!$N$2:$N$1001,$AR314)="","",INDEX(Raw_D3!$N$2:$N$1001,$AR314)),"")))</f>
        <v>2</v>
      </c>
      <c r="O314" s="5">
        <f>IF($A314="","",IF($AQ314&lt;&gt;"",IF(INDEX(Raw_D2!$G$2:$G$1001,$AQ314)="","",INDEX(Raw_D2!$G$2:$G$1001,$AQ314)),IF($AR314&lt;&gt;"",IF(INDEX(Raw_D3!$O$2:$O$1001,$AR314)="","",INDEX(Raw_D3!$O$2:$O$1001,$AR314)),"")))</f>
        <v>59</v>
      </c>
      <c r="P314" s="5">
        <f>IF($A314="","",IF($AQ314&lt;&gt;"",IF(INDEX(Raw_D2!$H$2:$H$1001,$AQ314)="","",INDEX(Raw_D2!$H$2:$H$1001,$AQ314)),IF($AR314&lt;&gt;"",IF(INDEX(Raw_D3!$P$2:$P$1001,$AR314)="","",INDEX(Raw_D3!$P$2:$P$1001,$AR314)),"")))</f>
        <v>61</v>
      </c>
      <c r="Q314" s="5" t="str">
        <f>IF($A314="","",IF(AND($AP314&lt;&gt;"",$AQ314&lt;&gt;""),"D1+D2",IF($AR314&lt;&gt;"","D3","Incomplete")))</f>
        <v>D1+D2</v>
      </c>
      <c r="R314" s="17">
        <f>IF($A314="","",IF($K314="",IF($J314="","",ROUND(Lookups!$K$5+Lookups!$K$4*$J314,4)),$K314))</f>
        <v>0.197</v>
      </c>
      <c r="S314" s="5" t="str">
        <f>IF($A314="","",IF($K314="","Imputed","Original"))</f>
        <v>Original</v>
      </c>
      <c r="T314" s="5" t="str">
        <f>IF($A314="","",IF($P314="","Missing",IF($P314=$N314+$O314,"OK","Mismatch")))</f>
        <v>OK</v>
      </c>
      <c r="U314" s="5" t="str">
        <f>IF($A314="","",IF(COUNTIF($A$2:$A314,$A314)&gt;1,"Duplicate","Unique"))</f>
        <v>Unique</v>
      </c>
      <c r="V314" s="5">
        <f>IF($A314="","",IF(AND($U314="Unique",ISNUMBER($P314)),1,0))</f>
        <v>1</v>
      </c>
      <c r="W314" s="5" t="str">
        <f>IF($A314="","",IF(OR($H314=0,$H314=6),"Weekend","Weekday"))</f>
        <v>Weekday</v>
      </c>
      <c r="X314" s="5" t="str">
        <f>IF($A314="","",TEXT($B314,"ddd"))</f>
        <v>Fri</v>
      </c>
      <c r="Y314" s="5" t="str">
        <f>IF($A314="","",TEXT($B314,"mmm"))</f>
        <v>Jan</v>
      </c>
      <c r="Z314" s="5" t="str">
        <f>IF($A314="","",IFERROR(VLOOKUP($C314,Lookups!$D$4:$E$7,2,FALSE),"Unknown"))</f>
        <v>Winter</v>
      </c>
      <c r="AA314" s="5" t="str">
        <f>IF($A314="","",IFERROR(VLOOKUP($I314,Lookups!$A$4:$B$7,2,FALSE),"Unknown"))</f>
        <v>Clear</v>
      </c>
      <c r="AB314" s="5" t="str">
        <f>IF($A314="","",TEXT($F314,"00")&amp;":00")</f>
        <v>12:00</v>
      </c>
      <c r="AC314" s="5" t="str">
        <f>IF($A314="","",VLOOKUP($F314,Lookups!$G$4:$H$8,2,TRUE))</f>
        <v>Midday (10-15)</v>
      </c>
      <c r="AD314" s="18">
        <f>IF($A314="","",IF($J314="","",ROUND($J314*41,1)))</f>
        <v>8.2</v>
      </c>
      <c r="AE314" s="18">
        <f>IF($A314="","",IF($R314="","",ROUND($R314*50,1)))</f>
        <v>9.9</v>
      </c>
      <c r="AF314" s="5">
        <f>IF($A314="","",IF($L314="","",ROUND($L314*100,0)))</f>
        <v>44</v>
      </c>
      <c r="AG314" s="18">
        <f>IF($A314="","",IF($M314="","",ROUND($M314*67,1)))</f>
        <v>17</v>
      </c>
      <c r="AH314" s="19">
        <f>IF($A314="","",IF($P314="","",IF($P314=0,0,$O314/$P314)))</f>
        <v>0.967213114754098</v>
      </c>
      <c r="AI314" s="5" t="str">
        <f>IF($A314="","",IF($P314="","",IF($P314&gt;=Lookups!$K$7,"High",IF($P314&lt;=Lookups!$K$8,"Low","Medium"))))</f>
        <v>Medium</v>
      </c>
      <c r="AJ314" s="5" t="str">
        <f>IF($A314="","",IF($AD314="","",IF($AD314&lt;5,"Under 5 C",IF($AD314&lt;10,"5-10 C",IF($AD314&lt;15,"10-15 C","15 C and above")))))</f>
        <v>5-10 C</v>
      </c>
      <c r="AK314" s="5">
        <f>IF($A314="","",IF($P314="","",$P314^2))</f>
        <v>3721</v>
      </c>
      <c r="AL314" s="18">
        <f>IF($V314&lt;&gt;1,"",AVERAGEIFS(Clean_Data!$P$2:$P$1001,Clean_Data!$F$2:$F$1001,$F314,Clean_Data!$W$2:$W$1001,$W314,Clean_Data!$V$2:$V$1001,1))</f>
        <v>64.5862068965517</v>
      </c>
      <c r="AM314" s="16">
        <f>IF($V314&lt;&gt;1,"",IFERROR(($P314-$AL314)/SQRT(MAX(0,(SUMIFS(Clean_Data!$AK$2:$AK$1001,Clean_Data!$F$2:$F$1001,$F314,Clean_Data!$W$2:$W$1001,$W314,Clean_Data!$V$2:$V$1001,1)-COUNTIFS(Clean_Data!$F$2:$F$1001,$F314,Clean_Data!$W$2:$W$1001,$W314,Clean_Data!$V$2:$V$1001,1)*$AL314^2)/(COUNTIFS(Clean_Data!$F$2:$F$1001,$F314,Clean_Data!$W$2:$W$1001,$W314,Clean_Data!$V$2:$V$1001,1)-1))),""))</f>
        <v>-0.191485432089307</v>
      </c>
      <c r="AN314" s="5" t="str">
        <f>IF($AM314="","",IF($AM314&gt;=Lookups!$K$6,"High spike",IF($AM314&lt;=-Lookups!$K$6,"Unusual low","Normal")))</f>
        <v>Normal</v>
      </c>
      <c r="AO314" s="20">
        <f>IF($V314&lt;&gt;1,"",$P314+ROW()/100000)</f>
        <v>61.00314</v>
      </c>
      <c r="AP314" s="5">
        <f>IF($A314="","",IFERROR(MATCH($A314,Raw_D1!$A$2:$A$1001,0),""))</f>
        <v>313</v>
      </c>
      <c r="AQ314" s="5">
        <f>IF($A314="","",IFERROR(MATCH($A314,Raw_D2!$B$2:$B$1001,0),""))</f>
        <v>313</v>
      </c>
      <c r="AR314" s="5">
        <f>IF($A314="","",IFERROR(MATCH($A314,Raw_D3!$A$2:$A$1001,0),""))</f>
        <v/>
      </c>
    </row>
    <row r="315" spans="1:44" x14ac:dyDescent="0.25">
      <c r="A315" s="5">
        <v>314</v>
      </c>
      <c r="B315" s="11">
        <f>IF($A315="","",IF($AP315&lt;&gt;"",INDEX(Raw_D1!$B$2:$B$1001,$AP315),IF($AR315&lt;&gt;"",INDEX(Raw_D3!$B$2:$B$1001,$AR315),"")))</f>
        <v>40557.0</v>
      </c>
      <c r="C315" s="5">
        <f>IF($A315="","",IF($AP315&lt;&gt;"",INDEX(Raw_D1!$C$2:$C$1001,$AP315),IF($AR315&lt;&gt;"",INDEX(Raw_D3!$C$2:$C$1001,$AR315),"")))</f>
        <v>1</v>
      </c>
      <c r="D315" s="5">
        <f>IF($A315="","",IF($AP315&lt;&gt;"",INDEX(Raw_D1!$D$2:$D$1001,$AP315),IF($AR315&lt;&gt;"",INDEX(Raw_D3!$D$2:$D$1001,$AR315),"")))</f>
        <v>0</v>
      </c>
      <c r="E315" s="5">
        <f>IF($A315="","",IF($AP315&lt;&gt;"",INDEX(Raw_D1!$E$2:$E$1001,$AP315),IF($AR315&lt;&gt;"",INDEX(Raw_D3!$E$2:$E$1001,$AR315),"")))</f>
        <v>1</v>
      </c>
      <c r="F315" s="5">
        <f>IF($A315="","",IF($AP315&lt;&gt;"",INDEX(Raw_D1!$F$2:$F$1001,$AP315),IF($AR315&lt;&gt;"",INDEX(Raw_D3!$F$2:$F$1001,$AR315),"")))</f>
        <v>13</v>
      </c>
      <c r="G315" s="5">
        <f>IF($A315="","",IF($AP315&lt;&gt;"",IF(INDEX(Raw_D1!$G$2:$G$1001,$AP315),1,0),IF($AR315&lt;&gt;"",IF(INDEX(Raw_D3!$G$2:$G$1001,$AR315),1,0),"")))</f>
        <v>0</v>
      </c>
      <c r="H315" s="5">
        <f>IF($A315="","",IF($AP315&lt;&gt;"",INDEX(Raw_D1!$H$2:$H$1001,$AP315),IF($AR315&lt;&gt;"",INDEX(Raw_D3!$H$2:$H$1001,$AR315),"")))</f>
        <v>5</v>
      </c>
      <c r="I315" s="5">
        <f>IF($A315="","",IF($AP315&lt;&gt;"",INDEX(Raw_D1!$I$2:$I$1001,$AP315),IF($AR315&lt;&gt;"",INDEX(Raw_D3!$I$2:$I$1001,$AR315),"")))</f>
        <v>1</v>
      </c>
      <c r="J315" s="16">
        <f>IF($A315="","",IF($AP315&lt;&gt;"",INDEX(Raw_D1!$J$2:$J$1001,$AP315),IF($AR315&lt;&gt;"",INDEX(Raw_D3!$J$2:$J$1001,$AR315),"")))</f>
        <v>0.22</v>
      </c>
      <c r="K315" s="17">
        <f>IF($A315="","",IF($AQ315&lt;&gt;"",IF(INDEX(Raw_D2!$C$2:$C$1001,$AQ315)="","",INDEX(Raw_D2!$C$2:$C$1001,$AQ315)),IF($AR315&lt;&gt;"",IF(INDEX(Raw_D3!$K$2:$K$1001,$AR315)="","",INDEX(Raw_D3!$K$2:$K$1001,$AR315)),"")))</f>
        <v>0.197</v>
      </c>
      <c r="L315" s="16">
        <f>IF($A315="","",IF($AQ315&lt;&gt;"",IF(INDEX(Raw_D2!$D$2:$D$1001,$AQ315)="","",INDEX(Raw_D2!$D$2:$D$1001,$AQ315)),IF($AR315&lt;&gt;"",IF(INDEX(Raw_D3!$L$2:$L$1001,$AR315)="","",INDEX(Raw_D3!$L$2:$L$1001,$AR315)),"")))</f>
        <v>0.37</v>
      </c>
      <c r="M315" s="17">
        <f>IF($A315="","",IF($AQ315&lt;&gt;"",IF(INDEX(Raw_D2!$E$2:$E$1001,$AQ315)="","",INDEX(Raw_D2!$E$2:$E$1001,$AQ315)),IF($AR315&lt;&gt;"",IF(INDEX(Raw_D3!$M$2:$M$1001,$AR315)="","",INDEX(Raw_D3!$M$2:$M$1001,$AR315)),"")))</f>
        <v>0.3881</v>
      </c>
      <c r="N315" s="5">
        <f>IF($A315="","",IF($AQ315&lt;&gt;"",IF(INDEX(Raw_D2!$F$2:$F$1001,$AQ315)="","",INDEX(Raw_D2!$F$2:$F$1001,$AQ315)),IF($AR315&lt;&gt;"",IF(INDEX(Raw_D3!$N$2:$N$1001,$AR315)="","",INDEX(Raw_D3!$N$2:$N$1001,$AR315)),"")))</f>
        <v>4</v>
      </c>
      <c r="O315" s="5">
        <f>IF($A315="","",IF($AQ315&lt;&gt;"",IF(INDEX(Raw_D2!$G$2:$G$1001,$AQ315)="","",INDEX(Raw_D2!$G$2:$G$1001,$AQ315)),IF($AR315&lt;&gt;"",IF(INDEX(Raw_D3!$O$2:$O$1001,$AR315)="","",INDEX(Raw_D3!$O$2:$O$1001,$AR315)),"")))</f>
        <v>73</v>
      </c>
      <c r="P315" s="5">
        <f>IF($A315="","",IF($AQ315&lt;&gt;"",IF(INDEX(Raw_D2!$H$2:$H$1001,$AQ315)="","",INDEX(Raw_D2!$H$2:$H$1001,$AQ315)),IF($AR315&lt;&gt;"",IF(INDEX(Raw_D3!$P$2:$P$1001,$AR315)="","",INDEX(Raw_D3!$P$2:$P$1001,$AR315)),"")))</f>
        <v>77</v>
      </c>
      <c r="Q315" s="5" t="str">
        <f>IF($A315="","",IF(AND($AP315&lt;&gt;"",$AQ315&lt;&gt;""),"D1+D2",IF($AR315&lt;&gt;"","D3","Incomplete")))</f>
        <v>D1+D2</v>
      </c>
      <c r="R315" s="17">
        <f>IF($A315="","",IF($K315="",IF($J315="","",ROUND(Lookups!$K$5+Lookups!$K$4*$J315,4)),$K315))</f>
        <v>0.197</v>
      </c>
      <c r="S315" s="5" t="str">
        <f>IF($A315="","",IF($K315="","Imputed","Original"))</f>
        <v>Original</v>
      </c>
      <c r="T315" s="5" t="str">
        <f>IF($A315="","",IF($P315="","Missing",IF($P315=$N315+$O315,"OK","Mismatch")))</f>
        <v>OK</v>
      </c>
      <c r="U315" s="5" t="str">
        <f>IF($A315="","",IF(COUNTIF($A$2:$A315,$A315)&gt;1,"Duplicate","Unique"))</f>
        <v>Unique</v>
      </c>
      <c r="V315" s="5">
        <f>IF($A315="","",IF(AND($U315="Unique",ISNUMBER($P315)),1,0))</f>
        <v>1</v>
      </c>
      <c r="W315" s="5" t="str">
        <f>IF($A315="","",IF(OR($H315=0,$H315=6),"Weekend","Weekday"))</f>
        <v>Weekday</v>
      </c>
      <c r="X315" s="5" t="str">
        <f>IF($A315="","",TEXT($B315,"ddd"))</f>
        <v>Fri</v>
      </c>
      <c r="Y315" s="5" t="str">
        <f>IF($A315="","",TEXT($B315,"mmm"))</f>
        <v>Jan</v>
      </c>
      <c r="Z315" s="5" t="str">
        <f>IF($A315="","",IFERROR(VLOOKUP($C315,Lookups!$D$4:$E$7,2,FALSE),"Unknown"))</f>
        <v>Winter</v>
      </c>
      <c r="AA315" s="5" t="str">
        <f>IF($A315="","",IFERROR(VLOOKUP($I315,Lookups!$A$4:$B$7,2,FALSE),"Unknown"))</f>
        <v>Clear</v>
      </c>
      <c r="AB315" s="5" t="str">
        <f>IF($A315="","",TEXT($F315,"00")&amp;":00")</f>
        <v>13:00</v>
      </c>
      <c r="AC315" s="5" t="str">
        <f>IF($A315="","",VLOOKUP($F315,Lookups!$G$4:$H$8,2,TRUE))</f>
        <v>Midday (10-15)</v>
      </c>
      <c r="AD315" s="18">
        <f>IF($A315="","",IF($J315="","",ROUND($J315*41,1)))</f>
        <v>9</v>
      </c>
      <c r="AE315" s="18">
        <f>IF($A315="","",IF($R315="","",ROUND($R315*50,1)))</f>
        <v>9.9</v>
      </c>
      <c r="AF315" s="5">
        <f>IF($A315="","",IF($L315="","",ROUND($L315*100,0)))</f>
        <v>37</v>
      </c>
      <c r="AG315" s="18">
        <f>IF($A315="","",IF($M315="","",ROUND($M315*67,1)))</f>
        <v>26</v>
      </c>
      <c r="AH315" s="19">
        <f>IF($A315="","",IF($P315="","",IF($P315=0,0,$O315/$P315)))</f>
        <v>0.948051948051948</v>
      </c>
      <c r="AI315" s="5" t="str">
        <f>IF($A315="","",IF($P315="","",IF($P315&gt;=Lookups!$K$7,"High",IF($P315&lt;=Lookups!$K$8,"Low","Medium"))))</f>
        <v>Medium</v>
      </c>
      <c r="AJ315" s="5" t="str">
        <f>IF($A315="","",IF($AD315="","",IF($AD315&lt;5,"Under 5 C",IF($AD315&lt;10,"5-10 C",IF($AD315&lt;15,"10-15 C","15 C and above")))))</f>
        <v>5-10 C</v>
      </c>
      <c r="AK315" s="5">
        <f>IF($A315="","",IF($P315="","",$P315^2))</f>
        <v>5929</v>
      </c>
      <c r="AL315" s="18">
        <f>IF($V315&lt;&gt;1,"",AVERAGEIFS(Clean_Data!$P$2:$P$1001,Clean_Data!$F$2:$F$1001,$F315,Clean_Data!$W$2:$W$1001,$W315,Clean_Data!$V$2:$V$1001,1))</f>
        <v>67.1724137931034</v>
      </c>
      <c r="AM315" s="16">
        <f>IF($V315&lt;&gt;1,"",IFERROR(($P315-$AL315)/SQRT(MAX(0,(SUMIFS(Clean_Data!$AK$2:$AK$1001,Clean_Data!$F$2:$F$1001,$F315,Clean_Data!$W$2:$W$1001,$W315,Clean_Data!$V$2:$V$1001,1)-COUNTIFS(Clean_Data!$F$2:$F$1001,$F315,Clean_Data!$W$2:$W$1001,$W315,Clean_Data!$V$2:$V$1001,1)*$AL315^2)/(COUNTIFS(Clean_Data!$F$2:$F$1001,$F315,Clean_Data!$W$2:$W$1001,$W315,Clean_Data!$V$2:$V$1001,1)-1))),""))</f>
        <v>0.486705522539657</v>
      </c>
      <c r="AN315" s="5" t="str">
        <f>IF($AM315="","",IF($AM315&gt;=Lookups!$K$6,"High spike",IF($AM315&lt;=-Lookups!$K$6,"Unusual low","Normal")))</f>
        <v>Normal</v>
      </c>
      <c r="AO315" s="20">
        <f>IF($V315&lt;&gt;1,"",$P315+ROW()/100000)</f>
        <v>77.00315</v>
      </c>
      <c r="AP315" s="5">
        <f>IF($A315="","",IFERROR(MATCH($A315,Raw_D1!$A$2:$A$1001,0),""))</f>
        <v>314</v>
      </c>
      <c r="AQ315" s="5">
        <f>IF($A315="","",IFERROR(MATCH($A315,Raw_D2!$B$2:$B$1001,0),""))</f>
        <v>314</v>
      </c>
      <c r="AR315" s="5">
        <f>IF($A315="","",IFERROR(MATCH($A315,Raw_D3!$A$2:$A$1001,0),""))</f>
        <v/>
      </c>
    </row>
    <row r="316" spans="1:44" x14ac:dyDescent="0.25">
      <c r="A316" s="5">
        <v>315</v>
      </c>
      <c r="B316" s="11">
        <f>IF($A316="","",IF($AP316&lt;&gt;"",INDEX(Raw_D1!$B$2:$B$1001,$AP316),IF($AR316&lt;&gt;"",INDEX(Raw_D3!$B$2:$B$1001,$AR316),"")))</f>
        <v>40557.0</v>
      </c>
      <c r="C316" s="5">
        <f>IF($A316="","",IF($AP316&lt;&gt;"",INDEX(Raw_D1!$C$2:$C$1001,$AP316),IF($AR316&lt;&gt;"",INDEX(Raw_D3!$C$2:$C$1001,$AR316),"")))</f>
        <v>1</v>
      </c>
      <c r="D316" s="5">
        <f>IF($A316="","",IF($AP316&lt;&gt;"",INDEX(Raw_D1!$D$2:$D$1001,$AP316),IF($AR316&lt;&gt;"",INDEX(Raw_D3!$D$2:$D$1001,$AR316),"")))</f>
        <v>0</v>
      </c>
      <c r="E316" s="5">
        <f>IF($A316="","",IF($AP316&lt;&gt;"",INDEX(Raw_D1!$E$2:$E$1001,$AP316),IF($AR316&lt;&gt;"",INDEX(Raw_D3!$E$2:$E$1001,$AR316),"")))</f>
        <v>1</v>
      </c>
      <c r="F316" s="5">
        <f>IF($A316="","",IF($AP316&lt;&gt;"",INDEX(Raw_D1!$F$2:$F$1001,$AP316),IF($AR316&lt;&gt;"",INDEX(Raw_D3!$F$2:$F$1001,$AR316),"")))</f>
        <v>14</v>
      </c>
      <c r="G316" s="5">
        <f>IF($A316="","",IF($AP316&lt;&gt;"",IF(INDEX(Raw_D1!$G$2:$G$1001,$AP316),1,0),IF($AR316&lt;&gt;"",IF(INDEX(Raw_D3!$G$2:$G$1001,$AR316),1,0),"")))</f>
        <v>0</v>
      </c>
      <c r="H316" s="5">
        <f>IF($A316="","",IF($AP316&lt;&gt;"",INDEX(Raw_D1!$H$2:$H$1001,$AP316),IF($AR316&lt;&gt;"",INDEX(Raw_D3!$H$2:$H$1001,$AR316),"")))</f>
        <v>5</v>
      </c>
      <c r="I316" s="5">
        <f>IF($A316="","",IF($AP316&lt;&gt;"",INDEX(Raw_D1!$I$2:$I$1001,$AP316),IF($AR316&lt;&gt;"",INDEX(Raw_D3!$I$2:$I$1001,$AR316),"")))</f>
        <v>1</v>
      </c>
      <c r="J316" s="16">
        <f>IF($A316="","",IF($AP316&lt;&gt;"",INDEX(Raw_D1!$J$2:$J$1001,$AP316),IF($AR316&lt;&gt;"",INDEX(Raw_D3!$J$2:$J$1001,$AR316),"")))</f>
        <v>0.22</v>
      </c>
      <c r="K316" s="17">
        <f>IF($A316="","",IF($AQ316&lt;&gt;"",IF(INDEX(Raw_D2!$C$2:$C$1001,$AQ316)="","",INDEX(Raw_D2!$C$2:$C$1001,$AQ316)),IF($AR316&lt;&gt;"",IF(INDEX(Raw_D3!$K$2:$K$1001,$AR316)="","",INDEX(Raw_D3!$K$2:$K$1001,$AR316)),"")))</f>
        <v>0.2121</v>
      </c>
      <c r="L316" s="16">
        <f>IF($A316="","",IF($AQ316&lt;&gt;"",IF(INDEX(Raw_D2!$D$2:$D$1001,$AQ316)="","",INDEX(Raw_D2!$D$2:$D$1001,$AQ316)),IF($AR316&lt;&gt;"",IF(INDEX(Raw_D3!$L$2:$L$1001,$AR316)="","",INDEX(Raw_D3!$L$2:$L$1001,$AR316)),"")))</f>
        <v>0.41</v>
      </c>
      <c r="M316" s="17">
        <f>IF($A316="","",IF($AQ316&lt;&gt;"",IF(INDEX(Raw_D2!$E$2:$E$1001,$AQ316)="","",INDEX(Raw_D2!$E$2:$E$1001,$AQ316)),IF($AR316&lt;&gt;"",IF(INDEX(Raw_D3!$M$2:$M$1001,$AR316)="","",INDEX(Raw_D3!$M$2:$M$1001,$AR316)),"")))</f>
        <v>0.2836</v>
      </c>
      <c r="N316" s="5">
        <f>IF($A316="","",IF($AQ316&lt;&gt;"",IF(INDEX(Raw_D2!$F$2:$F$1001,$AQ316)="","",INDEX(Raw_D2!$F$2:$F$1001,$AQ316)),IF($AR316&lt;&gt;"",IF(INDEX(Raw_D3!$N$2:$N$1001,$AR316)="","",INDEX(Raw_D3!$N$2:$N$1001,$AR316)),"")))</f>
        <v>5</v>
      </c>
      <c r="O316" s="5">
        <f>IF($A316="","",IF($AQ316&lt;&gt;"",IF(INDEX(Raw_D2!$G$2:$G$1001,$AQ316)="","",INDEX(Raw_D2!$G$2:$G$1001,$AQ316)),IF($AR316&lt;&gt;"",IF(INDEX(Raw_D3!$O$2:$O$1001,$AR316)="","",INDEX(Raw_D3!$O$2:$O$1001,$AR316)),"")))</f>
        <v>59</v>
      </c>
      <c r="P316" s="5">
        <f>IF($A316="","",IF($AQ316&lt;&gt;"",IF(INDEX(Raw_D2!$H$2:$H$1001,$AQ316)="","",INDEX(Raw_D2!$H$2:$H$1001,$AQ316)),IF($AR316&lt;&gt;"",IF(INDEX(Raw_D3!$P$2:$P$1001,$AR316)="","",INDEX(Raw_D3!$P$2:$P$1001,$AR316)),"")))</f>
        <v>64</v>
      </c>
      <c r="Q316" s="5" t="str">
        <f>IF($A316="","",IF(AND($AP316&lt;&gt;"",$AQ316&lt;&gt;""),"D1+D2",IF($AR316&lt;&gt;"","D3","Incomplete")))</f>
        <v>D1+D2</v>
      </c>
      <c r="R316" s="17">
        <f>IF($A316="","",IF($K316="",IF($J316="","",ROUND(Lookups!$K$5+Lookups!$K$4*$J316,4)),$K316))</f>
        <v>0.2121</v>
      </c>
      <c r="S316" s="5" t="str">
        <f>IF($A316="","",IF($K316="","Imputed","Original"))</f>
        <v>Original</v>
      </c>
      <c r="T316" s="5" t="str">
        <f>IF($A316="","",IF($P316="","Missing",IF($P316=$N316+$O316,"OK","Mismatch")))</f>
        <v>OK</v>
      </c>
      <c r="U316" s="5" t="str">
        <f>IF($A316="","",IF(COUNTIF($A$2:$A316,$A316)&gt;1,"Duplicate","Unique"))</f>
        <v>Unique</v>
      </c>
      <c r="V316" s="5">
        <f>IF($A316="","",IF(AND($U316="Unique",ISNUMBER($P316)),1,0))</f>
        <v>1</v>
      </c>
      <c r="W316" s="5" t="str">
        <f>IF($A316="","",IF(OR($H316=0,$H316=6),"Weekend","Weekday"))</f>
        <v>Weekday</v>
      </c>
      <c r="X316" s="5" t="str">
        <f>IF($A316="","",TEXT($B316,"ddd"))</f>
        <v>Fri</v>
      </c>
      <c r="Y316" s="5" t="str">
        <f>IF($A316="","",TEXT($B316,"mmm"))</f>
        <v>Jan</v>
      </c>
      <c r="Z316" s="5" t="str">
        <f>IF($A316="","",IFERROR(VLOOKUP($C316,Lookups!$D$4:$E$7,2,FALSE),"Unknown"))</f>
        <v>Winter</v>
      </c>
      <c r="AA316" s="5" t="str">
        <f>IF($A316="","",IFERROR(VLOOKUP($I316,Lookups!$A$4:$B$7,2,FALSE),"Unknown"))</f>
        <v>Clear</v>
      </c>
      <c r="AB316" s="5" t="str">
        <f>IF($A316="","",TEXT($F316,"00")&amp;":00")</f>
        <v>14:00</v>
      </c>
      <c r="AC316" s="5" t="str">
        <f>IF($A316="","",VLOOKUP($F316,Lookups!$G$4:$H$8,2,TRUE))</f>
        <v>Midday (10-15)</v>
      </c>
      <c r="AD316" s="18">
        <f>IF($A316="","",IF($J316="","",ROUND($J316*41,1)))</f>
        <v>9</v>
      </c>
      <c r="AE316" s="18">
        <f>IF($A316="","",IF($R316="","",ROUND($R316*50,1)))</f>
        <v>10.6</v>
      </c>
      <c r="AF316" s="5">
        <f>IF($A316="","",IF($L316="","",ROUND($L316*100,0)))</f>
        <v>41</v>
      </c>
      <c r="AG316" s="18">
        <f>IF($A316="","",IF($M316="","",ROUND($M316*67,1)))</f>
        <v>19</v>
      </c>
      <c r="AH316" s="19">
        <f>IF($A316="","",IF($P316="","",IF($P316=0,0,$O316/$P316)))</f>
        <v>0.921875</v>
      </c>
      <c r="AI316" s="5" t="str">
        <f>IF($A316="","",IF($P316="","",IF($P316&gt;=Lookups!$K$7,"High",IF($P316&lt;=Lookups!$K$8,"Low","Medium"))))</f>
        <v>Medium</v>
      </c>
      <c r="AJ316" s="5" t="str">
        <f>IF($A316="","",IF($AD316="","",IF($AD316&lt;5,"Under 5 C",IF($AD316&lt;10,"5-10 C",IF($AD316&lt;15,"10-15 C","15 C and above")))))</f>
        <v>5-10 C</v>
      </c>
      <c r="AK316" s="5">
        <f>IF($A316="","",IF($P316="","",$P316^2))</f>
        <v>4096</v>
      </c>
      <c r="AL316" s="18">
        <f>IF($V316&lt;&gt;1,"",AVERAGEIFS(Clean_Data!$P$2:$P$1001,Clean_Data!$F$2:$F$1001,$F316,Clean_Data!$W$2:$W$1001,$W316,Clean_Data!$V$2:$V$1001,1))</f>
        <v>60.551724137931</v>
      </c>
      <c r="AM316" s="16">
        <f>IF($V316&lt;&gt;1,"",IFERROR(($P316-$AL316)/SQRT(MAX(0,(SUMIFS(Clean_Data!$AK$2:$AK$1001,Clean_Data!$F$2:$F$1001,$F316,Clean_Data!$W$2:$W$1001,$W316,Clean_Data!$V$2:$V$1001,1)-COUNTIFS(Clean_Data!$F$2:$F$1001,$F316,Clean_Data!$W$2:$W$1001,$W316,Clean_Data!$V$2:$V$1001,1)*$AL316^2)/(COUNTIFS(Clean_Data!$F$2:$F$1001,$F316,Clean_Data!$W$2:$W$1001,$W316,Clean_Data!$V$2:$V$1001,1)-1))),""))</f>
        <v>0.209617449788789</v>
      </c>
      <c r="AN316" s="5" t="str">
        <f>IF($AM316="","",IF($AM316&gt;=Lookups!$K$6,"High spike",IF($AM316&lt;=-Lookups!$K$6,"Unusual low","Normal")))</f>
        <v>Normal</v>
      </c>
      <c r="AO316" s="20">
        <f>IF($V316&lt;&gt;1,"",$P316+ROW()/100000)</f>
        <v>64.00316</v>
      </c>
      <c r="AP316" s="5">
        <f>IF($A316="","",IFERROR(MATCH($A316,Raw_D1!$A$2:$A$1001,0),""))</f>
        <v>315</v>
      </c>
      <c r="AQ316" s="5">
        <f>IF($A316="","",IFERROR(MATCH($A316,Raw_D2!$B$2:$B$1001,0),""))</f>
        <v>315</v>
      </c>
      <c r="AR316" s="5">
        <f>IF($A316="","",IFERROR(MATCH($A316,Raw_D3!$A$2:$A$1001,0),""))</f>
        <v/>
      </c>
    </row>
    <row r="317" spans="1:44" x14ac:dyDescent="0.25">
      <c r="A317" s="5">
        <v>316</v>
      </c>
      <c r="B317" s="11">
        <f>IF($A317="","",IF($AP317&lt;&gt;"",INDEX(Raw_D1!$B$2:$B$1001,$AP317),IF($AR317&lt;&gt;"",INDEX(Raw_D3!$B$2:$B$1001,$AR317),"")))</f>
        <v>40557.0</v>
      </c>
      <c r="C317" s="5">
        <f>IF($A317="","",IF($AP317&lt;&gt;"",INDEX(Raw_D1!$C$2:$C$1001,$AP317),IF($AR317&lt;&gt;"",INDEX(Raw_D3!$C$2:$C$1001,$AR317),"")))</f>
        <v>1</v>
      </c>
      <c r="D317" s="5">
        <f>IF($A317="","",IF($AP317&lt;&gt;"",INDEX(Raw_D1!$D$2:$D$1001,$AP317),IF($AR317&lt;&gt;"",INDEX(Raw_D3!$D$2:$D$1001,$AR317),"")))</f>
        <v>0</v>
      </c>
      <c r="E317" s="5">
        <f>IF($A317="","",IF($AP317&lt;&gt;"",INDEX(Raw_D1!$E$2:$E$1001,$AP317),IF($AR317&lt;&gt;"",INDEX(Raw_D3!$E$2:$E$1001,$AR317),"")))</f>
        <v>1</v>
      </c>
      <c r="F317" s="5">
        <f>IF($A317="","",IF($AP317&lt;&gt;"",INDEX(Raw_D1!$F$2:$F$1001,$AP317),IF($AR317&lt;&gt;"",INDEX(Raw_D3!$F$2:$F$1001,$AR317),"")))</f>
        <v>15</v>
      </c>
      <c r="G317" s="5">
        <f>IF($A317="","",IF($AP317&lt;&gt;"",IF(INDEX(Raw_D1!$G$2:$G$1001,$AP317),1,0),IF($AR317&lt;&gt;"",IF(INDEX(Raw_D3!$G$2:$G$1001,$AR317),1,0),"")))</f>
        <v>0</v>
      </c>
      <c r="H317" s="5">
        <f>IF($A317="","",IF($AP317&lt;&gt;"",INDEX(Raw_D1!$H$2:$H$1001,$AP317),IF($AR317&lt;&gt;"",INDEX(Raw_D3!$H$2:$H$1001,$AR317),"")))</f>
        <v>5</v>
      </c>
      <c r="I317" s="5">
        <f>IF($A317="","",IF($AP317&lt;&gt;"",INDEX(Raw_D1!$I$2:$I$1001,$AP317),IF($AR317&lt;&gt;"",INDEX(Raw_D3!$I$2:$I$1001,$AR317),"")))</f>
        <v>1</v>
      </c>
      <c r="J317" s="16">
        <f>IF($A317="","",IF($AP317&lt;&gt;"",INDEX(Raw_D1!$J$2:$J$1001,$AP317),IF($AR317&lt;&gt;"",INDEX(Raw_D3!$J$2:$J$1001,$AR317),"")))</f>
        <v>0.24</v>
      </c>
      <c r="K317" s="17">
        <f>IF($A317="","",IF($AQ317&lt;&gt;"",IF(INDEX(Raw_D2!$C$2:$C$1001,$AQ317)="","",INDEX(Raw_D2!$C$2:$C$1001,$AQ317)),IF($AR317&lt;&gt;"",IF(INDEX(Raw_D3!$K$2:$K$1001,$AR317)="","",INDEX(Raw_D3!$K$2:$K$1001,$AR317)),"")))</f>
        <v>0.2424</v>
      </c>
      <c r="L317" s="16">
        <f>IF($A317="","",IF($AQ317&lt;&gt;"",IF(INDEX(Raw_D2!$D$2:$D$1001,$AQ317)="","",INDEX(Raw_D2!$D$2:$D$1001,$AQ317)),IF($AR317&lt;&gt;"",IF(INDEX(Raw_D3!$L$2:$L$1001,$AR317)="","",INDEX(Raw_D3!$L$2:$L$1001,$AR317)),"")))</f>
        <v>0.38</v>
      </c>
      <c r="M317" s="17">
        <f>IF($A317="","",IF($AQ317&lt;&gt;"",IF(INDEX(Raw_D2!$E$2:$E$1001,$AQ317)="","",INDEX(Raw_D2!$E$2:$E$1001,$AQ317)),IF($AR317&lt;&gt;"",IF(INDEX(Raw_D3!$M$2:$M$1001,$AR317)="","",INDEX(Raw_D3!$M$2:$M$1001,$AR317)),"")))</f>
        <v>0.1642</v>
      </c>
      <c r="N317" s="5">
        <f>IF($A317="","",IF($AQ317&lt;&gt;"",IF(INDEX(Raw_D2!$F$2:$F$1001,$AQ317)="","",INDEX(Raw_D2!$F$2:$F$1001,$AQ317)),IF($AR317&lt;&gt;"",IF(INDEX(Raw_D3!$N$2:$N$1001,$AR317)="","",INDEX(Raw_D3!$N$2:$N$1001,$AR317)),"")))</f>
        <v>9</v>
      </c>
      <c r="O317" s="5">
        <f>IF($A317="","",IF($AQ317&lt;&gt;"",IF(INDEX(Raw_D2!$G$2:$G$1001,$AQ317)="","",INDEX(Raw_D2!$G$2:$G$1001,$AQ317)),IF($AR317&lt;&gt;"",IF(INDEX(Raw_D3!$O$2:$O$1001,$AR317)="","",INDEX(Raw_D3!$O$2:$O$1001,$AR317)),"")))</f>
        <v>59</v>
      </c>
      <c r="P317" s="5">
        <f>IF($A317="","",IF($AQ317&lt;&gt;"",IF(INDEX(Raw_D2!$H$2:$H$1001,$AQ317)="","",INDEX(Raw_D2!$H$2:$H$1001,$AQ317)),IF($AR317&lt;&gt;"",IF(INDEX(Raw_D3!$P$2:$P$1001,$AR317)="","",INDEX(Raw_D3!$P$2:$P$1001,$AR317)),"")))</f>
        <v>68</v>
      </c>
      <c r="Q317" s="5" t="str">
        <f>IF($A317="","",IF(AND($AP317&lt;&gt;"",$AQ317&lt;&gt;""),"D1+D2",IF($AR317&lt;&gt;"","D3","Incomplete")))</f>
        <v>D1+D2</v>
      </c>
      <c r="R317" s="17">
        <f>IF($A317="","",IF($K317="",IF($J317="","",ROUND(Lookups!$K$5+Lookups!$K$4*$J317,4)),$K317))</f>
        <v>0.2424</v>
      </c>
      <c r="S317" s="5" t="str">
        <f>IF($A317="","",IF($K317="","Imputed","Original"))</f>
        <v>Original</v>
      </c>
      <c r="T317" s="5" t="str">
        <f>IF($A317="","",IF($P317="","Missing",IF($P317=$N317+$O317,"OK","Mismatch")))</f>
        <v>OK</v>
      </c>
      <c r="U317" s="5" t="str">
        <f>IF($A317="","",IF(COUNTIF($A$2:$A317,$A317)&gt;1,"Duplicate","Unique"))</f>
        <v>Unique</v>
      </c>
      <c r="V317" s="5">
        <f>IF($A317="","",IF(AND($U317="Unique",ISNUMBER($P317)),1,0))</f>
        <v>1</v>
      </c>
      <c r="W317" s="5" t="str">
        <f>IF($A317="","",IF(OR($H317=0,$H317=6),"Weekend","Weekday"))</f>
        <v>Weekday</v>
      </c>
      <c r="X317" s="5" t="str">
        <f>IF($A317="","",TEXT($B317,"ddd"))</f>
        <v>Fri</v>
      </c>
      <c r="Y317" s="5" t="str">
        <f>IF($A317="","",TEXT($B317,"mmm"))</f>
        <v>Jan</v>
      </c>
      <c r="Z317" s="5" t="str">
        <f>IF($A317="","",IFERROR(VLOOKUP($C317,Lookups!$D$4:$E$7,2,FALSE),"Unknown"))</f>
        <v>Winter</v>
      </c>
      <c r="AA317" s="5" t="str">
        <f>IF($A317="","",IFERROR(VLOOKUP($I317,Lookups!$A$4:$B$7,2,FALSE),"Unknown"))</f>
        <v>Clear</v>
      </c>
      <c r="AB317" s="5" t="str">
        <f>IF($A317="","",TEXT($F317,"00")&amp;":00")</f>
        <v>15:00</v>
      </c>
      <c r="AC317" s="5" t="str">
        <f>IF($A317="","",VLOOKUP($F317,Lookups!$G$4:$H$8,2,TRUE))</f>
        <v>Midday (10-15)</v>
      </c>
      <c r="AD317" s="18">
        <f>IF($A317="","",IF($J317="","",ROUND($J317*41,1)))</f>
        <v>9.8</v>
      </c>
      <c r="AE317" s="18">
        <f>IF($A317="","",IF($R317="","",ROUND($R317*50,1)))</f>
        <v>12.1</v>
      </c>
      <c r="AF317" s="5">
        <f>IF($A317="","",IF($L317="","",ROUND($L317*100,0)))</f>
        <v>38</v>
      </c>
      <c r="AG317" s="18">
        <f>IF($A317="","",IF($M317="","",ROUND($M317*67,1)))</f>
        <v>11</v>
      </c>
      <c r="AH317" s="19">
        <f>IF($A317="","",IF($P317="","",IF($P317=0,0,$O317/$P317)))</f>
        <v>0.867647058823529</v>
      </c>
      <c r="AI317" s="5" t="str">
        <f>IF($A317="","",IF($P317="","",IF($P317&gt;=Lookups!$K$7,"High",IF($P317&lt;=Lookups!$K$8,"Low","Medium"))))</f>
        <v>Medium</v>
      </c>
      <c r="AJ317" s="5" t="str">
        <f>IF($A317="","",IF($AD317="","",IF($AD317&lt;5,"Under 5 C",IF($AD317&lt;10,"5-10 C",IF($AD317&lt;15,"10-15 C","15 C and above")))))</f>
        <v>5-10 C</v>
      </c>
      <c r="AK317" s="5">
        <f>IF($A317="","",IF($P317="","",$P317^2))</f>
        <v>4624</v>
      </c>
      <c r="AL317" s="18">
        <f>IF($V317&lt;&gt;1,"",AVERAGEIFS(Clean_Data!$P$2:$P$1001,Clean_Data!$F$2:$F$1001,$F317,Clean_Data!$W$2:$W$1001,$W317,Clean_Data!$V$2:$V$1001,1))</f>
        <v>61.4827586206897</v>
      </c>
      <c r="AM317" s="16">
        <f>IF($V317&lt;&gt;1,"",IFERROR(($P317-$AL317)/SQRT(MAX(0,(SUMIFS(Clean_Data!$AK$2:$AK$1001,Clean_Data!$F$2:$F$1001,$F317,Clean_Data!$W$2:$W$1001,$W317,Clean_Data!$V$2:$V$1001,1)-COUNTIFS(Clean_Data!$F$2:$F$1001,$F317,Clean_Data!$W$2:$W$1001,$W317,Clean_Data!$V$2:$V$1001,1)*$AL317^2)/(COUNTIFS(Clean_Data!$F$2:$F$1001,$F317,Clean_Data!$W$2:$W$1001,$W317,Clean_Data!$V$2:$V$1001,1)-1))),""))</f>
        <v>0.432318303450147</v>
      </c>
      <c r="AN317" s="5" t="str">
        <f>IF($AM317="","",IF($AM317&gt;=Lookups!$K$6,"High spike",IF($AM317&lt;=-Lookups!$K$6,"Unusual low","Normal")))</f>
        <v>Normal</v>
      </c>
      <c r="AO317" s="20">
        <f>IF($V317&lt;&gt;1,"",$P317+ROW()/100000)</f>
        <v>68.00317</v>
      </c>
      <c r="AP317" s="5">
        <f>IF($A317="","",IFERROR(MATCH($A317,Raw_D1!$A$2:$A$1001,0),""))</f>
        <v>316</v>
      </c>
      <c r="AQ317" s="5">
        <f>IF($A317="","",IFERROR(MATCH($A317,Raw_D2!$B$2:$B$1001,0),""))</f>
        <v>316</v>
      </c>
      <c r="AR317" s="5">
        <f>IF($A317="","",IFERROR(MATCH($A317,Raw_D3!$A$2:$A$1001,0),""))</f>
        <v/>
      </c>
    </row>
    <row r="318" spans="1:44" x14ac:dyDescent="0.25">
      <c r="A318" s="5">
        <v>317</v>
      </c>
      <c r="B318" s="11">
        <f>IF($A318="","",IF($AP318&lt;&gt;"",INDEX(Raw_D1!$B$2:$B$1001,$AP318),IF($AR318&lt;&gt;"",INDEX(Raw_D3!$B$2:$B$1001,$AR318),"")))</f>
        <v>40557.0</v>
      </c>
      <c r="C318" s="5">
        <f>IF($A318="","",IF($AP318&lt;&gt;"",INDEX(Raw_D1!$C$2:$C$1001,$AP318),IF($AR318&lt;&gt;"",INDEX(Raw_D3!$C$2:$C$1001,$AR318),"")))</f>
        <v>1</v>
      </c>
      <c r="D318" s="5">
        <f>IF($A318="","",IF($AP318&lt;&gt;"",INDEX(Raw_D1!$D$2:$D$1001,$AP318),IF($AR318&lt;&gt;"",INDEX(Raw_D3!$D$2:$D$1001,$AR318),"")))</f>
        <v>0</v>
      </c>
      <c r="E318" s="5">
        <f>IF($A318="","",IF($AP318&lt;&gt;"",INDEX(Raw_D1!$E$2:$E$1001,$AP318),IF($AR318&lt;&gt;"",INDEX(Raw_D3!$E$2:$E$1001,$AR318),"")))</f>
        <v>1</v>
      </c>
      <c r="F318" s="5">
        <f>IF($A318="","",IF($AP318&lt;&gt;"",INDEX(Raw_D1!$F$2:$F$1001,$AP318),IF($AR318&lt;&gt;"",INDEX(Raw_D3!$F$2:$F$1001,$AR318),"")))</f>
        <v>16</v>
      </c>
      <c r="G318" s="5">
        <f>IF($A318="","",IF($AP318&lt;&gt;"",IF(INDEX(Raw_D1!$G$2:$G$1001,$AP318),1,0),IF($AR318&lt;&gt;"",IF(INDEX(Raw_D3!$G$2:$G$1001,$AR318),1,0),"")))</f>
        <v>0</v>
      </c>
      <c r="H318" s="5">
        <f>IF($A318="","",IF($AP318&lt;&gt;"",INDEX(Raw_D1!$H$2:$H$1001,$AP318),IF($AR318&lt;&gt;"",INDEX(Raw_D3!$H$2:$H$1001,$AR318),"")))</f>
        <v>5</v>
      </c>
      <c r="I318" s="5">
        <f>IF($A318="","",IF($AP318&lt;&gt;"",INDEX(Raw_D1!$I$2:$I$1001,$AP318),IF($AR318&lt;&gt;"",INDEX(Raw_D3!$I$2:$I$1001,$AR318),"")))</f>
        <v>1</v>
      </c>
      <c r="J318" s="16">
        <f>IF($A318="","",IF($AP318&lt;&gt;"",INDEX(Raw_D1!$J$2:$J$1001,$AP318),IF($AR318&lt;&gt;"",INDEX(Raw_D3!$J$2:$J$1001,$AR318),"")))</f>
        <v>0.22</v>
      </c>
      <c r="K318" s="17">
        <f>IF($A318="","",IF($AQ318&lt;&gt;"",IF(INDEX(Raw_D2!$C$2:$C$1001,$AQ318)="","",INDEX(Raw_D2!$C$2:$C$1001,$AQ318)),IF($AR318&lt;&gt;"",IF(INDEX(Raw_D3!$K$2:$K$1001,$AR318)="","",INDEX(Raw_D3!$K$2:$K$1001,$AR318)),"")))</f>
        <v>0.2424</v>
      </c>
      <c r="L318" s="16">
        <f>IF($A318="","",IF($AQ318&lt;&gt;"",IF(INDEX(Raw_D2!$D$2:$D$1001,$AQ318)="","",INDEX(Raw_D2!$D$2:$D$1001,$AQ318)),IF($AR318&lt;&gt;"",IF(INDEX(Raw_D3!$L$2:$L$1001,$AR318)="","",INDEX(Raw_D3!$L$2:$L$1001,$AR318)),"")))</f>
        <v>0.41</v>
      </c>
      <c r="M318" s="17">
        <f>IF($A318="","",IF($AQ318&lt;&gt;"",IF(INDEX(Raw_D2!$E$2:$E$1001,$AQ318)="","",INDEX(Raw_D2!$E$2:$E$1001,$AQ318)),IF($AR318&lt;&gt;"",IF(INDEX(Raw_D3!$M$2:$M$1001,$AR318)="","",INDEX(Raw_D3!$M$2:$M$1001,$AR318)),"")))</f>
        <v>0.1045</v>
      </c>
      <c r="N318" s="5">
        <f>IF($A318="","",IF($AQ318&lt;&gt;"",IF(INDEX(Raw_D2!$F$2:$F$1001,$AQ318)="","",INDEX(Raw_D2!$F$2:$F$1001,$AQ318)),IF($AR318&lt;&gt;"",IF(INDEX(Raw_D3!$N$2:$N$1001,$AR318)="","",INDEX(Raw_D3!$N$2:$N$1001,$AR318)),"")))</f>
        <v>3</v>
      </c>
      <c r="O318" s="5">
        <f>IF($A318="","",IF($AQ318&lt;&gt;"",IF(INDEX(Raw_D2!$G$2:$G$1001,$AQ318)="","",INDEX(Raw_D2!$G$2:$G$1001,$AQ318)),IF($AR318&lt;&gt;"",IF(INDEX(Raw_D3!$O$2:$O$1001,$AR318)="","",INDEX(Raw_D3!$O$2:$O$1001,$AR318)),"")))</f>
        <v>87</v>
      </c>
      <c r="P318" s="5">
        <f>IF($A318="","",IF($AQ318&lt;&gt;"",IF(INDEX(Raw_D2!$H$2:$H$1001,$AQ318)="","",INDEX(Raw_D2!$H$2:$H$1001,$AQ318)),IF($AR318&lt;&gt;"",IF(INDEX(Raw_D3!$P$2:$P$1001,$AR318)="","",INDEX(Raw_D3!$P$2:$P$1001,$AR318)),"")))</f>
        <v>90</v>
      </c>
      <c r="Q318" s="5" t="str">
        <f>IF($A318="","",IF(AND($AP318&lt;&gt;"",$AQ318&lt;&gt;""),"D1+D2",IF($AR318&lt;&gt;"","D3","Incomplete")))</f>
        <v>D1+D2</v>
      </c>
      <c r="R318" s="17">
        <f>IF($A318="","",IF($K318="",IF($J318="","",ROUND(Lookups!$K$5+Lookups!$K$4*$J318,4)),$K318))</f>
        <v>0.2424</v>
      </c>
      <c r="S318" s="5" t="str">
        <f>IF($A318="","",IF($K318="","Imputed","Original"))</f>
        <v>Original</v>
      </c>
      <c r="T318" s="5" t="str">
        <f>IF($A318="","",IF($P318="","Missing",IF($P318=$N318+$O318,"OK","Mismatch")))</f>
        <v>OK</v>
      </c>
      <c r="U318" s="5" t="str">
        <f>IF($A318="","",IF(COUNTIF($A$2:$A318,$A318)&gt;1,"Duplicate","Unique"))</f>
        <v>Unique</v>
      </c>
      <c r="V318" s="5">
        <f>IF($A318="","",IF(AND($U318="Unique",ISNUMBER($P318)),1,0))</f>
        <v>1</v>
      </c>
      <c r="W318" s="5" t="str">
        <f>IF($A318="","",IF(OR($H318=0,$H318=6),"Weekend","Weekday"))</f>
        <v>Weekday</v>
      </c>
      <c r="X318" s="5" t="str">
        <f>IF($A318="","",TEXT($B318,"ddd"))</f>
        <v>Fri</v>
      </c>
      <c r="Y318" s="5" t="str">
        <f>IF($A318="","",TEXT($B318,"mmm"))</f>
        <v>Jan</v>
      </c>
      <c r="Z318" s="5" t="str">
        <f>IF($A318="","",IFERROR(VLOOKUP($C318,Lookups!$D$4:$E$7,2,FALSE),"Unknown"))</f>
        <v>Winter</v>
      </c>
      <c r="AA318" s="5" t="str">
        <f>IF($A318="","",IFERROR(VLOOKUP($I318,Lookups!$A$4:$B$7,2,FALSE),"Unknown"))</f>
        <v>Clear</v>
      </c>
      <c r="AB318" s="5" t="str">
        <f>IF($A318="","",TEXT($F318,"00")&amp;":00")</f>
        <v>16:00</v>
      </c>
      <c r="AC318" s="5" t="str">
        <f>IF($A318="","",VLOOKUP($F318,Lookups!$G$4:$H$8,2,TRUE))</f>
        <v>Evening Peak (16-19)</v>
      </c>
      <c r="AD318" s="18">
        <f>IF($A318="","",IF($J318="","",ROUND($J318*41,1)))</f>
        <v>9</v>
      </c>
      <c r="AE318" s="18">
        <f>IF($A318="","",IF($R318="","",ROUND($R318*50,1)))</f>
        <v>12.1</v>
      </c>
      <c r="AF318" s="5">
        <f>IF($A318="","",IF($L318="","",ROUND($L318*100,0)))</f>
        <v>41</v>
      </c>
      <c r="AG318" s="18">
        <f>IF($A318="","",IF($M318="","",ROUND($M318*67,1)))</f>
        <v>7</v>
      </c>
      <c r="AH318" s="19">
        <f>IF($A318="","",IF($P318="","",IF($P318=0,0,$O318/$P318)))</f>
        <v>0.966666666666667</v>
      </c>
      <c r="AI318" s="5" t="str">
        <f>IF($A318="","",IF($P318="","",IF($P318&gt;=Lookups!$K$7,"High",IF($P318&lt;=Lookups!$K$8,"Low","Medium"))))</f>
        <v>High</v>
      </c>
      <c r="AJ318" s="5" t="str">
        <f>IF($A318="","",IF($AD318="","",IF($AD318&lt;5,"Under 5 C",IF($AD318&lt;10,"5-10 C",IF($AD318&lt;15,"10-15 C","15 C and above")))))</f>
        <v>5-10 C</v>
      </c>
      <c r="AK318" s="5">
        <f>IF($A318="","",IF($P318="","",$P318^2))</f>
        <v>8100</v>
      </c>
      <c r="AL318" s="18">
        <f>IF($V318&lt;&gt;1,"",AVERAGEIFS(Clean_Data!$P$2:$P$1001,Clean_Data!$F$2:$F$1001,$F318,Clean_Data!$W$2:$W$1001,$W318,Clean_Data!$V$2:$V$1001,1))</f>
        <v>82.6333333333333</v>
      </c>
      <c r="AM318" s="16">
        <f>IF($V318&lt;&gt;1,"",IFERROR(($P318-$AL318)/SQRT(MAX(0,(SUMIFS(Clean_Data!$AK$2:$AK$1001,Clean_Data!$F$2:$F$1001,$F318,Clean_Data!$W$2:$W$1001,$W318,Clean_Data!$V$2:$V$1001,1)-COUNTIFS(Clean_Data!$F$2:$F$1001,$F318,Clean_Data!$W$2:$W$1001,$W318,Clean_Data!$V$2:$V$1001,1)*$AL318^2)/(COUNTIFS(Clean_Data!$F$2:$F$1001,$F318,Clean_Data!$W$2:$W$1001,$W318,Clean_Data!$V$2:$V$1001,1)-1))),""))</f>
        <v>0.355124557507984</v>
      </c>
      <c r="AN318" s="5" t="str">
        <f>IF($AM318="","",IF($AM318&gt;=Lookups!$K$6,"High spike",IF($AM318&lt;=-Lookups!$K$6,"Unusual low","Normal")))</f>
        <v>Normal</v>
      </c>
      <c r="AO318" s="20">
        <f>IF($V318&lt;&gt;1,"",$P318+ROW()/100000)</f>
        <v>90.00318</v>
      </c>
      <c r="AP318" s="5">
        <f>IF($A318="","",IFERROR(MATCH($A318,Raw_D1!$A$2:$A$1001,0),""))</f>
        <v>317</v>
      </c>
      <c r="AQ318" s="5">
        <f>IF($A318="","",IFERROR(MATCH($A318,Raw_D2!$B$2:$B$1001,0),""))</f>
        <v>317</v>
      </c>
      <c r="AR318" s="5">
        <f>IF($A318="","",IFERROR(MATCH($A318,Raw_D3!$A$2:$A$1001,0),""))</f>
        <v/>
      </c>
    </row>
    <row r="319" spans="1:44" x14ac:dyDescent="0.25">
      <c r="A319" s="5">
        <v>318</v>
      </c>
      <c r="B319" s="11">
        <f>IF($A319="","",IF($AP319&lt;&gt;"",INDEX(Raw_D1!$B$2:$B$1001,$AP319),IF($AR319&lt;&gt;"",INDEX(Raw_D3!$B$2:$B$1001,$AR319),"")))</f>
        <v>40557.0</v>
      </c>
      <c r="C319" s="5">
        <f>IF($A319="","",IF($AP319&lt;&gt;"",INDEX(Raw_D1!$C$2:$C$1001,$AP319),IF($AR319&lt;&gt;"",INDEX(Raw_D3!$C$2:$C$1001,$AR319),"")))</f>
        <v>1</v>
      </c>
      <c r="D319" s="5">
        <f>IF($A319="","",IF($AP319&lt;&gt;"",INDEX(Raw_D1!$D$2:$D$1001,$AP319),IF($AR319&lt;&gt;"",INDEX(Raw_D3!$D$2:$D$1001,$AR319),"")))</f>
        <v>0</v>
      </c>
      <c r="E319" s="5">
        <f>IF($A319="","",IF($AP319&lt;&gt;"",INDEX(Raw_D1!$E$2:$E$1001,$AP319),IF($AR319&lt;&gt;"",INDEX(Raw_D3!$E$2:$E$1001,$AR319),"")))</f>
        <v>1</v>
      </c>
      <c r="F319" s="5">
        <f>IF($A319="","",IF($AP319&lt;&gt;"",INDEX(Raw_D1!$F$2:$F$1001,$AP319),IF($AR319&lt;&gt;"",INDEX(Raw_D3!$F$2:$F$1001,$AR319),"")))</f>
        <v>17</v>
      </c>
      <c r="G319" s="5">
        <f>IF($A319="","",IF($AP319&lt;&gt;"",IF(INDEX(Raw_D1!$G$2:$G$1001,$AP319),1,0),IF($AR319&lt;&gt;"",IF(INDEX(Raw_D3!$G$2:$G$1001,$AR319),1,0),"")))</f>
        <v>0</v>
      </c>
      <c r="H319" s="5">
        <f>IF($A319="","",IF($AP319&lt;&gt;"",INDEX(Raw_D1!$H$2:$H$1001,$AP319),IF($AR319&lt;&gt;"",INDEX(Raw_D3!$H$2:$H$1001,$AR319),"")))</f>
        <v>5</v>
      </c>
      <c r="I319" s="5">
        <f>IF($A319="","",IF($AP319&lt;&gt;"",INDEX(Raw_D1!$I$2:$I$1001,$AP319),IF($AR319&lt;&gt;"",INDEX(Raw_D3!$I$2:$I$1001,$AR319),"")))</f>
        <v>1</v>
      </c>
      <c r="J319" s="16">
        <f>IF($A319="","",IF($AP319&lt;&gt;"",INDEX(Raw_D1!$J$2:$J$1001,$AP319),IF($AR319&lt;&gt;"",INDEX(Raw_D3!$J$2:$J$1001,$AR319),"")))</f>
        <v>0.22</v>
      </c>
      <c r="K319" s="17">
        <f>IF($A319="","",IF($AQ319&lt;&gt;"",IF(INDEX(Raw_D2!$C$2:$C$1001,$AQ319)="","",INDEX(Raw_D2!$C$2:$C$1001,$AQ319)),IF($AR319&lt;&gt;"",IF(INDEX(Raw_D3!$K$2:$K$1001,$AR319)="","",INDEX(Raw_D3!$K$2:$K$1001,$AR319)),"")))</f>
        <v>0.2273</v>
      </c>
      <c r="L319" s="16">
        <f>IF($A319="","",IF($AQ319&lt;&gt;"",IF(INDEX(Raw_D2!$D$2:$D$1001,$AQ319)="","",INDEX(Raw_D2!$D$2:$D$1001,$AQ319)),IF($AR319&lt;&gt;"",IF(INDEX(Raw_D3!$L$2:$L$1001,$AR319)="","",INDEX(Raw_D3!$L$2:$L$1001,$AR319)),"")))</f>
        <v>0.41</v>
      </c>
      <c r="M319" s="17">
        <f>IF($A319="","",IF($AQ319&lt;&gt;"",IF(INDEX(Raw_D2!$E$2:$E$1001,$AQ319)="","",INDEX(Raw_D2!$E$2:$E$1001,$AQ319)),IF($AR319&lt;&gt;"",IF(INDEX(Raw_D3!$M$2:$M$1001,$AR319)="","",INDEX(Raw_D3!$M$2:$M$1001,$AR319)),"")))</f>
        <v>0.1642</v>
      </c>
      <c r="N319" s="5">
        <f>IF($A319="","",IF($AQ319&lt;&gt;"",IF(INDEX(Raw_D2!$F$2:$F$1001,$AQ319)="","",INDEX(Raw_D2!$F$2:$F$1001,$AQ319)),IF($AR319&lt;&gt;"",IF(INDEX(Raw_D3!$N$2:$N$1001,$AR319)="","",INDEX(Raw_D3!$N$2:$N$1001,$AR319)),"")))</f>
        <v>4</v>
      </c>
      <c r="O319" s="5">
        <f>IF($A319="","",IF($AQ319&lt;&gt;"",IF(INDEX(Raw_D2!$G$2:$G$1001,$AQ319)="","",INDEX(Raw_D2!$G$2:$G$1001,$AQ319)),IF($AR319&lt;&gt;"",IF(INDEX(Raw_D3!$O$2:$O$1001,$AR319)="","",INDEX(Raw_D3!$O$2:$O$1001,$AR319)),"")))</f>
        <v>155</v>
      </c>
      <c r="P319" s="5">
        <f>IF($A319="","",IF($AQ319&lt;&gt;"",IF(INDEX(Raw_D2!$H$2:$H$1001,$AQ319)="","",INDEX(Raw_D2!$H$2:$H$1001,$AQ319)),IF($AR319&lt;&gt;"",IF(INDEX(Raw_D3!$P$2:$P$1001,$AR319)="","",INDEX(Raw_D3!$P$2:$P$1001,$AR319)),"")))</f>
        <v>159</v>
      </c>
      <c r="Q319" s="5" t="str">
        <f>IF($A319="","",IF(AND($AP319&lt;&gt;"",$AQ319&lt;&gt;""),"D1+D2",IF($AR319&lt;&gt;"","D3","Incomplete")))</f>
        <v>D1+D2</v>
      </c>
      <c r="R319" s="17">
        <f>IF($A319="","",IF($K319="",IF($J319="","",ROUND(Lookups!$K$5+Lookups!$K$4*$J319,4)),$K319))</f>
        <v>0.2273</v>
      </c>
      <c r="S319" s="5" t="str">
        <f>IF($A319="","",IF($K319="","Imputed","Original"))</f>
        <v>Original</v>
      </c>
      <c r="T319" s="5" t="str">
        <f>IF($A319="","",IF($P319="","Missing",IF($P319=$N319+$O319,"OK","Mismatch")))</f>
        <v>OK</v>
      </c>
      <c r="U319" s="5" t="str">
        <f>IF($A319="","",IF(COUNTIF($A$2:$A319,$A319)&gt;1,"Duplicate","Unique"))</f>
        <v>Unique</v>
      </c>
      <c r="V319" s="5">
        <f>IF($A319="","",IF(AND($U319="Unique",ISNUMBER($P319)),1,0))</f>
        <v>1</v>
      </c>
      <c r="W319" s="5" t="str">
        <f>IF($A319="","",IF(OR($H319=0,$H319=6),"Weekend","Weekday"))</f>
        <v>Weekday</v>
      </c>
      <c r="X319" s="5" t="str">
        <f>IF($A319="","",TEXT($B319,"ddd"))</f>
        <v>Fri</v>
      </c>
      <c r="Y319" s="5" t="str">
        <f>IF($A319="","",TEXT($B319,"mmm"))</f>
        <v>Jan</v>
      </c>
      <c r="Z319" s="5" t="str">
        <f>IF($A319="","",IFERROR(VLOOKUP($C319,Lookups!$D$4:$E$7,2,FALSE),"Unknown"))</f>
        <v>Winter</v>
      </c>
      <c r="AA319" s="5" t="str">
        <f>IF($A319="","",IFERROR(VLOOKUP($I319,Lookups!$A$4:$B$7,2,FALSE),"Unknown"))</f>
        <v>Clear</v>
      </c>
      <c r="AB319" s="5" t="str">
        <f>IF($A319="","",TEXT($F319,"00")&amp;":00")</f>
        <v>17:00</v>
      </c>
      <c r="AC319" s="5" t="str">
        <f>IF($A319="","",VLOOKUP($F319,Lookups!$G$4:$H$8,2,TRUE))</f>
        <v>Evening Peak (16-19)</v>
      </c>
      <c r="AD319" s="18">
        <f>IF($A319="","",IF($J319="","",ROUND($J319*41,1)))</f>
        <v>9</v>
      </c>
      <c r="AE319" s="18">
        <f>IF($A319="","",IF($R319="","",ROUND($R319*50,1)))</f>
        <v>11.4</v>
      </c>
      <c r="AF319" s="5">
        <f>IF($A319="","",IF($L319="","",ROUND($L319*100,0)))</f>
        <v>41</v>
      </c>
      <c r="AG319" s="18">
        <f>IF($A319="","",IF($M319="","",ROUND($M319*67,1)))</f>
        <v>11</v>
      </c>
      <c r="AH319" s="19">
        <f>IF($A319="","",IF($P319="","",IF($P319=0,0,$O319/$P319)))</f>
        <v>0.974842767295598</v>
      </c>
      <c r="AI319" s="5" t="str">
        <f>IF($A319="","",IF($P319="","",IF($P319&gt;=Lookups!$K$7,"High",IF($P319&lt;=Lookups!$K$8,"Low","Medium"))))</f>
        <v>High</v>
      </c>
      <c r="AJ319" s="5" t="str">
        <f>IF($A319="","",IF($AD319="","",IF($AD319&lt;5,"Under 5 C",IF($AD319&lt;10,"5-10 C",IF($AD319&lt;15,"10-15 C","15 C and above")))))</f>
        <v>5-10 C</v>
      </c>
      <c r="AK319" s="5">
        <f>IF($A319="","",IF($P319="","",$P319^2))</f>
        <v>25281</v>
      </c>
      <c r="AL319" s="18">
        <f>IF($V319&lt;&gt;1,"",AVERAGEIFS(Clean_Data!$P$2:$P$1001,Clean_Data!$F$2:$F$1001,$F319,Clean_Data!$W$2:$W$1001,$W319,Clean_Data!$V$2:$V$1001,1))</f>
        <v>165.566666666667</v>
      </c>
      <c r="AM319" s="16">
        <f>IF($V319&lt;&gt;1,"",IFERROR(($P319-$AL319)/SQRT(MAX(0,(SUMIFS(Clean_Data!$AK$2:$AK$1001,Clean_Data!$F$2:$F$1001,$F319,Clean_Data!$W$2:$W$1001,$W319,Clean_Data!$V$2:$V$1001,1)-COUNTIFS(Clean_Data!$F$2:$F$1001,$F319,Clean_Data!$W$2:$W$1001,$W319,Clean_Data!$V$2:$V$1001,1)*$AL319^2)/(COUNTIFS(Clean_Data!$F$2:$F$1001,$F319,Clean_Data!$W$2:$W$1001,$W319,Clean_Data!$V$2:$V$1001,1)-1))),""))</f>
        <v>-0.149198096231282</v>
      </c>
      <c r="AN319" s="5" t="str">
        <f>IF($AM319="","",IF($AM319&gt;=Lookups!$K$6,"High spike",IF($AM319&lt;=-Lookups!$K$6,"Unusual low","Normal")))</f>
        <v>Normal</v>
      </c>
      <c r="AO319" s="20">
        <f>IF($V319&lt;&gt;1,"",$P319+ROW()/100000)</f>
        <v>159.00319</v>
      </c>
      <c r="AP319" s="5">
        <f>IF($A319="","",IFERROR(MATCH($A319,Raw_D1!$A$2:$A$1001,0),""))</f>
        <v>318</v>
      </c>
      <c r="AQ319" s="5">
        <f>IF($A319="","",IFERROR(MATCH($A319,Raw_D2!$B$2:$B$1001,0),""))</f>
        <v>318</v>
      </c>
      <c r="AR319" s="5">
        <f>IF($A319="","",IFERROR(MATCH($A319,Raw_D3!$A$2:$A$1001,0),""))</f>
        <v/>
      </c>
    </row>
    <row r="320" spans="1:44" x14ac:dyDescent="0.25">
      <c r="A320" s="5">
        <v>319</v>
      </c>
      <c r="B320" s="11">
        <f>IF($A320="","",IF($AP320&lt;&gt;"",INDEX(Raw_D1!$B$2:$B$1001,$AP320),IF($AR320&lt;&gt;"",INDEX(Raw_D3!$B$2:$B$1001,$AR320),"")))</f>
        <v>40557.0</v>
      </c>
      <c r="C320" s="5">
        <f>IF($A320="","",IF($AP320&lt;&gt;"",INDEX(Raw_D1!$C$2:$C$1001,$AP320),IF($AR320&lt;&gt;"",INDEX(Raw_D3!$C$2:$C$1001,$AR320),"")))</f>
        <v>1</v>
      </c>
      <c r="D320" s="5">
        <f>IF($A320="","",IF($AP320&lt;&gt;"",INDEX(Raw_D1!$D$2:$D$1001,$AP320),IF($AR320&lt;&gt;"",INDEX(Raw_D3!$D$2:$D$1001,$AR320),"")))</f>
        <v>0</v>
      </c>
      <c r="E320" s="5">
        <f>IF($A320="","",IF($AP320&lt;&gt;"",INDEX(Raw_D1!$E$2:$E$1001,$AP320),IF($AR320&lt;&gt;"",INDEX(Raw_D3!$E$2:$E$1001,$AR320),"")))</f>
        <v>1</v>
      </c>
      <c r="F320" s="5">
        <f>IF($A320="","",IF($AP320&lt;&gt;"",INDEX(Raw_D1!$F$2:$F$1001,$AP320),IF($AR320&lt;&gt;"",INDEX(Raw_D3!$F$2:$F$1001,$AR320),"")))</f>
        <v>18</v>
      </c>
      <c r="G320" s="5">
        <f>IF($A320="","",IF($AP320&lt;&gt;"",IF(INDEX(Raw_D1!$G$2:$G$1001,$AP320),1,0),IF($AR320&lt;&gt;"",IF(INDEX(Raw_D3!$G$2:$G$1001,$AR320),1,0),"")))</f>
        <v>0</v>
      </c>
      <c r="H320" s="5">
        <f>IF($A320="","",IF($AP320&lt;&gt;"",INDEX(Raw_D1!$H$2:$H$1001,$AP320),IF($AR320&lt;&gt;"",INDEX(Raw_D3!$H$2:$H$1001,$AR320),"")))</f>
        <v>5</v>
      </c>
      <c r="I320" s="5">
        <f>IF($A320="","",IF($AP320&lt;&gt;"",INDEX(Raw_D1!$I$2:$I$1001,$AP320),IF($AR320&lt;&gt;"",INDEX(Raw_D3!$I$2:$I$1001,$AR320),"")))</f>
        <v>1</v>
      </c>
      <c r="J320" s="16">
        <f>IF($A320="","",IF($AP320&lt;&gt;"",INDEX(Raw_D1!$J$2:$J$1001,$AP320),IF($AR320&lt;&gt;"",INDEX(Raw_D3!$J$2:$J$1001,$AR320),"")))</f>
        <v>0.2</v>
      </c>
      <c r="K320" s="17">
        <f>IF($A320="","",IF($AQ320&lt;&gt;"",IF(INDEX(Raw_D2!$C$2:$C$1001,$AQ320)="","",INDEX(Raw_D2!$C$2:$C$1001,$AQ320)),IF($AR320&lt;&gt;"",IF(INDEX(Raw_D3!$K$2:$K$1001,$AR320)="","",INDEX(Raw_D3!$K$2:$K$1001,$AR320)),"")))</f>
        <v>0.2576</v>
      </c>
      <c r="L320" s="16">
        <f>IF($A320="","",IF($AQ320&lt;&gt;"",IF(INDEX(Raw_D2!$D$2:$D$1001,$AQ320)="","",INDEX(Raw_D2!$D$2:$D$1001,$AQ320)),IF($AR320&lt;&gt;"",IF(INDEX(Raw_D3!$L$2:$L$1001,$AR320)="","",INDEX(Raw_D3!$L$2:$L$1001,$AR320)),"")))</f>
        <v>0.47</v>
      </c>
      <c r="M320" s="17">
        <f>IF($A320="","",IF($AQ320&lt;&gt;"",IF(INDEX(Raw_D2!$E$2:$E$1001,$AQ320)="","",INDEX(Raw_D2!$E$2:$E$1001,$AQ320)),IF($AR320&lt;&gt;"",IF(INDEX(Raw_D3!$M$2:$M$1001,$AR320)="","",INDEX(Raw_D3!$M$2:$M$1001,$AR320)),"")))</f>
        <v>0</v>
      </c>
      <c r="N320" s="5">
        <f>IF($A320="","",IF($AQ320&lt;&gt;"",IF(INDEX(Raw_D2!$F$2:$F$1001,$AQ320)="","",INDEX(Raw_D2!$F$2:$F$1001,$AQ320)),IF($AR320&lt;&gt;"",IF(INDEX(Raw_D3!$N$2:$N$1001,$AR320)="","",INDEX(Raw_D3!$N$2:$N$1001,$AR320)),"")))</f>
        <v>5</v>
      </c>
      <c r="O320" s="5">
        <f>IF($A320="","",IF($AQ320&lt;&gt;"",IF(INDEX(Raw_D2!$G$2:$G$1001,$AQ320)="","",INDEX(Raw_D2!$G$2:$G$1001,$AQ320)),IF($AR320&lt;&gt;"",IF(INDEX(Raw_D3!$O$2:$O$1001,$AR320)="","",INDEX(Raw_D3!$O$2:$O$1001,$AR320)),"")))</f>
        <v>134</v>
      </c>
      <c r="P320" s="5">
        <f>IF($A320="","",IF($AQ320&lt;&gt;"",IF(INDEX(Raw_D2!$H$2:$H$1001,$AQ320)="","",INDEX(Raw_D2!$H$2:$H$1001,$AQ320)),IF($AR320&lt;&gt;"",IF(INDEX(Raw_D3!$P$2:$P$1001,$AR320)="","",INDEX(Raw_D3!$P$2:$P$1001,$AR320)),"")))</f>
        <v>139</v>
      </c>
      <c r="Q320" s="5" t="str">
        <f>IF($A320="","",IF(AND($AP320&lt;&gt;"",$AQ320&lt;&gt;""),"D1+D2",IF($AR320&lt;&gt;"","D3","Incomplete")))</f>
        <v>D1+D2</v>
      </c>
      <c r="R320" s="17">
        <f>IF($A320="","",IF($K320="",IF($J320="","",ROUND(Lookups!$K$5+Lookups!$K$4*$J320,4)),$K320))</f>
        <v>0.2576</v>
      </c>
      <c r="S320" s="5" t="str">
        <f>IF($A320="","",IF($K320="","Imputed","Original"))</f>
        <v>Original</v>
      </c>
      <c r="T320" s="5" t="str">
        <f>IF($A320="","",IF($P320="","Missing",IF($P320=$N320+$O320,"OK","Mismatch")))</f>
        <v>OK</v>
      </c>
      <c r="U320" s="5" t="str">
        <f>IF($A320="","",IF(COUNTIF($A$2:$A320,$A320)&gt;1,"Duplicate","Unique"))</f>
        <v>Unique</v>
      </c>
      <c r="V320" s="5">
        <f>IF($A320="","",IF(AND($U320="Unique",ISNUMBER($P320)),1,0))</f>
        <v>1</v>
      </c>
      <c r="W320" s="5" t="str">
        <f>IF($A320="","",IF(OR($H320=0,$H320=6),"Weekend","Weekday"))</f>
        <v>Weekday</v>
      </c>
      <c r="X320" s="5" t="str">
        <f>IF($A320="","",TEXT($B320,"ddd"))</f>
        <v>Fri</v>
      </c>
      <c r="Y320" s="5" t="str">
        <f>IF($A320="","",TEXT($B320,"mmm"))</f>
        <v>Jan</v>
      </c>
      <c r="Z320" s="5" t="str">
        <f>IF($A320="","",IFERROR(VLOOKUP($C320,Lookups!$D$4:$E$7,2,FALSE),"Unknown"))</f>
        <v>Winter</v>
      </c>
      <c r="AA320" s="5" t="str">
        <f>IF($A320="","",IFERROR(VLOOKUP($I320,Lookups!$A$4:$B$7,2,FALSE),"Unknown"))</f>
        <v>Clear</v>
      </c>
      <c r="AB320" s="5" t="str">
        <f>IF($A320="","",TEXT($F320,"00")&amp;":00")</f>
        <v>18:00</v>
      </c>
      <c r="AC320" s="5" t="str">
        <f>IF($A320="","",VLOOKUP($F320,Lookups!$G$4:$H$8,2,TRUE))</f>
        <v>Evening Peak (16-19)</v>
      </c>
      <c r="AD320" s="18">
        <f>IF($A320="","",IF($J320="","",ROUND($J320*41,1)))</f>
        <v>8.2</v>
      </c>
      <c r="AE320" s="18">
        <f>IF($A320="","",IF($R320="","",ROUND($R320*50,1)))</f>
        <v>12.9</v>
      </c>
      <c r="AF320" s="5">
        <f>IF($A320="","",IF($L320="","",ROUND($L320*100,0)))</f>
        <v>47</v>
      </c>
      <c r="AG320" s="18">
        <f>IF($A320="","",IF($M320="","",ROUND($M320*67,1)))</f>
        <v>0</v>
      </c>
      <c r="AH320" s="19">
        <f>IF($A320="","",IF($P320="","",IF($P320=0,0,$O320/$P320)))</f>
        <v>0.964028776978417</v>
      </c>
      <c r="AI320" s="5" t="str">
        <f>IF($A320="","",IF($P320="","",IF($P320&gt;=Lookups!$K$7,"High",IF($P320&lt;=Lookups!$K$8,"Low","Medium"))))</f>
        <v>High</v>
      </c>
      <c r="AJ320" s="5" t="str">
        <f>IF($A320="","",IF($AD320="","",IF($AD320&lt;5,"Under 5 C",IF($AD320&lt;10,"5-10 C",IF($AD320&lt;15,"10-15 C","15 C and above")))))</f>
        <v>5-10 C</v>
      </c>
      <c r="AK320" s="5">
        <f>IF($A320="","",IF($P320="","",$P320^2))</f>
        <v>19321</v>
      </c>
      <c r="AL320" s="18">
        <f>IF($V320&lt;&gt;1,"",AVERAGEIFS(Clean_Data!$P$2:$P$1001,Clean_Data!$F$2:$F$1001,$F320,Clean_Data!$W$2:$W$1001,$W320,Clean_Data!$V$2:$V$1001,1))</f>
        <v>151.206896551724</v>
      </c>
      <c r="AM320" s="16">
        <f>IF($V320&lt;&gt;1,"",IFERROR(($P320-$AL320)/SQRT(MAX(0,(SUMIFS(Clean_Data!$AK$2:$AK$1001,Clean_Data!$F$2:$F$1001,$F320,Clean_Data!$W$2:$W$1001,$W320,Clean_Data!$V$2:$V$1001,1)-COUNTIFS(Clean_Data!$F$2:$F$1001,$F320,Clean_Data!$W$2:$W$1001,$W320,Clean_Data!$V$2:$V$1001,1)*$AL320^2)/(COUNTIFS(Clean_Data!$F$2:$F$1001,$F320,Clean_Data!$W$2:$W$1001,$W320,Clean_Data!$V$2:$V$1001,1)-1))),""))</f>
        <v>-0.415917126745226</v>
      </c>
      <c r="AN320" s="5" t="str">
        <f>IF($AM320="","",IF($AM320&gt;=Lookups!$K$6,"High spike",IF($AM320&lt;=-Lookups!$K$6,"Unusual low","Normal")))</f>
        <v>Normal</v>
      </c>
      <c r="AO320" s="20">
        <f>IF($V320&lt;&gt;1,"",$P320+ROW()/100000)</f>
        <v>139.0032</v>
      </c>
      <c r="AP320" s="5">
        <f>IF($A320="","",IFERROR(MATCH($A320,Raw_D1!$A$2:$A$1001,0),""))</f>
        <v>319</v>
      </c>
      <c r="AQ320" s="5">
        <f>IF($A320="","",IFERROR(MATCH($A320,Raw_D2!$B$2:$B$1001,0),""))</f>
        <v>319</v>
      </c>
      <c r="AR320" s="5">
        <f>IF($A320="","",IFERROR(MATCH($A320,Raw_D3!$A$2:$A$1001,0),""))</f>
        <v/>
      </c>
    </row>
    <row r="321" spans="1:44" x14ac:dyDescent="0.25">
      <c r="A321" s="5">
        <v>320</v>
      </c>
      <c r="B321" s="11">
        <f>IF($A321="","",IF($AP321&lt;&gt;"",INDEX(Raw_D1!$B$2:$B$1001,$AP321),IF($AR321&lt;&gt;"",INDEX(Raw_D3!$B$2:$B$1001,$AR321),"")))</f>
        <v>40557.0</v>
      </c>
      <c r="C321" s="5">
        <f>IF($A321="","",IF($AP321&lt;&gt;"",INDEX(Raw_D1!$C$2:$C$1001,$AP321),IF($AR321&lt;&gt;"",INDEX(Raw_D3!$C$2:$C$1001,$AR321),"")))</f>
        <v>1</v>
      </c>
      <c r="D321" s="5">
        <f>IF($A321="","",IF($AP321&lt;&gt;"",INDEX(Raw_D1!$D$2:$D$1001,$AP321),IF($AR321&lt;&gt;"",INDEX(Raw_D3!$D$2:$D$1001,$AR321),"")))</f>
        <v>0</v>
      </c>
      <c r="E321" s="5">
        <f>IF($A321="","",IF($AP321&lt;&gt;"",INDEX(Raw_D1!$E$2:$E$1001,$AP321),IF($AR321&lt;&gt;"",INDEX(Raw_D3!$E$2:$E$1001,$AR321),"")))</f>
        <v>1</v>
      </c>
      <c r="F321" s="5">
        <f>IF($A321="","",IF($AP321&lt;&gt;"",INDEX(Raw_D1!$F$2:$F$1001,$AP321),IF($AR321&lt;&gt;"",INDEX(Raw_D3!$F$2:$F$1001,$AR321),"")))</f>
        <v>19</v>
      </c>
      <c r="G321" s="5">
        <f>IF($A321="","",IF($AP321&lt;&gt;"",IF(INDEX(Raw_D1!$G$2:$G$1001,$AP321),1,0),IF($AR321&lt;&gt;"",IF(INDEX(Raw_D3!$G$2:$G$1001,$AR321),1,0),"")))</f>
        <v>0</v>
      </c>
      <c r="H321" s="5">
        <f>IF($A321="","",IF($AP321&lt;&gt;"",INDEX(Raw_D1!$H$2:$H$1001,$AP321),IF($AR321&lt;&gt;"",INDEX(Raw_D3!$H$2:$H$1001,$AR321),"")))</f>
        <v>5</v>
      </c>
      <c r="I321" s="5">
        <f>IF($A321="","",IF($AP321&lt;&gt;"",INDEX(Raw_D1!$I$2:$I$1001,$AP321),IF($AR321&lt;&gt;"",INDEX(Raw_D3!$I$2:$I$1001,$AR321),"")))</f>
        <v>1</v>
      </c>
      <c r="J321" s="16">
        <f>IF($A321="","",IF($AP321&lt;&gt;"",INDEX(Raw_D1!$J$2:$J$1001,$AP321),IF($AR321&lt;&gt;"",INDEX(Raw_D3!$J$2:$J$1001,$AR321),"")))</f>
        <v>0.16</v>
      </c>
      <c r="K321" s="17">
        <f>IF($A321="","",IF($AQ321&lt;&gt;"",IF(INDEX(Raw_D2!$C$2:$C$1001,$AQ321)="","",INDEX(Raw_D2!$C$2:$C$1001,$AQ321)),IF($AR321&lt;&gt;"",IF(INDEX(Raw_D3!$K$2:$K$1001,$AR321)="","",INDEX(Raw_D3!$K$2:$K$1001,$AR321)),"")))</f>
        <v>0.197</v>
      </c>
      <c r="L321" s="16">
        <f>IF($A321="","",IF($AQ321&lt;&gt;"",IF(INDEX(Raw_D2!$D$2:$D$1001,$AQ321)="","",INDEX(Raw_D2!$D$2:$D$1001,$AQ321)),IF($AR321&lt;&gt;"",IF(INDEX(Raw_D3!$L$2:$L$1001,$AR321)="","",INDEX(Raw_D3!$L$2:$L$1001,$AR321)),"")))</f>
        <v>0.59</v>
      </c>
      <c r="M321" s="17">
        <f>IF($A321="","",IF($AQ321&lt;&gt;"",IF(INDEX(Raw_D2!$E$2:$E$1001,$AQ321)="","",INDEX(Raw_D2!$E$2:$E$1001,$AQ321)),IF($AR321&lt;&gt;"",IF(INDEX(Raw_D3!$M$2:$M$1001,$AR321)="","",INDEX(Raw_D3!$M$2:$M$1001,$AR321)),"")))</f>
        <v>0.0896</v>
      </c>
      <c r="N321" s="5">
        <f>IF($A321="","",IF($AQ321&lt;&gt;"",IF(INDEX(Raw_D2!$F$2:$F$1001,$AQ321)="","",INDEX(Raw_D2!$F$2:$F$1001,$AQ321)),IF($AR321&lt;&gt;"",IF(INDEX(Raw_D3!$N$2:$N$1001,$AR321)="","",INDEX(Raw_D3!$N$2:$N$1001,$AR321)),"")))</f>
        <v>3</v>
      </c>
      <c r="O321" s="5">
        <f>IF($A321="","",IF($AQ321&lt;&gt;"",IF(INDEX(Raw_D2!$G$2:$G$1001,$AQ321)="","",INDEX(Raw_D2!$G$2:$G$1001,$AQ321)),IF($AR321&lt;&gt;"",IF(INDEX(Raw_D3!$O$2:$O$1001,$AR321)="","",INDEX(Raw_D3!$O$2:$O$1001,$AR321)),"")))</f>
        <v>89</v>
      </c>
      <c r="P321" s="5">
        <f>IF($A321="","",IF($AQ321&lt;&gt;"",IF(INDEX(Raw_D2!$H$2:$H$1001,$AQ321)="","",INDEX(Raw_D2!$H$2:$H$1001,$AQ321)),IF($AR321&lt;&gt;"",IF(INDEX(Raw_D3!$P$2:$P$1001,$AR321)="","",INDEX(Raw_D3!$P$2:$P$1001,$AR321)),"")))</f>
        <v>92</v>
      </c>
      <c r="Q321" s="5" t="str">
        <f>IF($A321="","",IF(AND($AP321&lt;&gt;"",$AQ321&lt;&gt;""),"D1+D2",IF($AR321&lt;&gt;"","D3","Incomplete")))</f>
        <v>D1+D2</v>
      </c>
      <c r="R321" s="17">
        <f>IF($A321="","",IF($K321="",IF($J321="","",ROUND(Lookups!$K$5+Lookups!$K$4*$J321,4)),$K321))</f>
        <v>0.197</v>
      </c>
      <c r="S321" s="5" t="str">
        <f>IF($A321="","",IF($K321="","Imputed","Original"))</f>
        <v>Original</v>
      </c>
      <c r="T321" s="5" t="str">
        <f>IF($A321="","",IF($P321="","Missing",IF($P321=$N321+$O321,"OK","Mismatch")))</f>
        <v>OK</v>
      </c>
      <c r="U321" s="5" t="str">
        <f>IF($A321="","",IF(COUNTIF($A$2:$A321,$A321)&gt;1,"Duplicate","Unique"))</f>
        <v>Unique</v>
      </c>
      <c r="V321" s="5">
        <f>IF($A321="","",IF(AND($U321="Unique",ISNUMBER($P321)),1,0))</f>
        <v>1</v>
      </c>
      <c r="W321" s="5" t="str">
        <f>IF($A321="","",IF(OR($H321=0,$H321=6),"Weekend","Weekday"))</f>
        <v>Weekday</v>
      </c>
      <c r="X321" s="5" t="str">
        <f>IF($A321="","",TEXT($B321,"ddd"))</f>
        <v>Fri</v>
      </c>
      <c r="Y321" s="5" t="str">
        <f>IF($A321="","",TEXT($B321,"mmm"))</f>
        <v>Jan</v>
      </c>
      <c r="Z321" s="5" t="str">
        <f>IF($A321="","",IFERROR(VLOOKUP($C321,Lookups!$D$4:$E$7,2,FALSE),"Unknown"))</f>
        <v>Winter</v>
      </c>
      <c r="AA321" s="5" t="str">
        <f>IF($A321="","",IFERROR(VLOOKUP($I321,Lookups!$A$4:$B$7,2,FALSE),"Unknown"))</f>
        <v>Clear</v>
      </c>
      <c r="AB321" s="5" t="str">
        <f>IF($A321="","",TEXT($F321,"00")&amp;":00")</f>
        <v>19:00</v>
      </c>
      <c r="AC321" s="5" t="str">
        <f>IF($A321="","",VLOOKUP($F321,Lookups!$G$4:$H$8,2,TRUE))</f>
        <v>Evening Peak (16-19)</v>
      </c>
      <c r="AD321" s="18">
        <f>IF($A321="","",IF($J321="","",ROUND($J321*41,1)))</f>
        <v>6.6</v>
      </c>
      <c r="AE321" s="18">
        <f>IF($A321="","",IF($R321="","",ROUND($R321*50,1)))</f>
        <v>9.9</v>
      </c>
      <c r="AF321" s="5">
        <f>IF($A321="","",IF($L321="","",ROUND($L321*100,0)))</f>
        <v>59</v>
      </c>
      <c r="AG321" s="18">
        <f>IF($A321="","",IF($M321="","",ROUND($M321*67,1)))</f>
        <v>6</v>
      </c>
      <c r="AH321" s="19">
        <f>IF($A321="","",IF($P321="","",IF($P321=0,0,$O321/$P321)))</f>
        <v>0.967391304347826</v>
      </c>
      <c r="AI321" s="5" t="str">
        <f>IF($A321="","",IF($P321="","",IF($P321&gt;=Lookups!$K$7,"High",IF($P321&lt;=Lookups!$K$8,"Low","Medium"))))</f>
        <v>High</v>
      </c>
      <c r="AJ321" s="5" t="str">
        <f>IF($A321="","",IF($AD321="","",IF($AD321&lt;5,"Under 5 C",IF($AD321&lt;10,"5-10 C",IF($AD321&lt;15,"10-15 C","15 C and above")))))</f>
        <v>5-10 C</v>
      </c>
      <c r="AK321" s="5">
        <f>IF($A321="","",IF($P321="","",$P321^2))</f>
        <v>8464</v>
      </c>
      <c r="AL321" s="18">
        <f>IF($V321&lt;&gt;1,"",AVERAGEIFS(Clean_Data!$P$2:$P$1001,Clean_Data!$F$2:$F$1001,$F321,Clean_Data!$W$2:$W$1001,$W321,Clean_Data!$V$2:$V$1001,1))</f>
        <v>102.034482758621</v>
      </c>
      <c r="AM321" s="16">
        <f>IF($V321&lt;&gt;1,"",IFERROR(($P321-$AL321)/SQRT(MAX(0,(SUMIFS(Clean_Data!$AK$2:$AK$1001,Clean_Data!$F$2:$F$1001,$F321,Clean_Data!$W$2:$W$1001,$W321,Clean_Data!$V$2:$V$1001,1)-COUNTIFS(Clean_Data!$F$2:$F$1001,$F321,Clean_Data!$W$2:$W$1001,$W321,Clean_Data!$V$2:$V$1001,1)*$AL321^2)/(COUNTIFS(Clean_Data!$F$2:$F$1001,$F321,Clean_Data!$W$2:$W$1001,$W321,Clean_Data!$V$2:$V$1001,1)-1))),""))</f>
        <v>-0.472262958506449</v>
      </c>
      <c r="AN321" s="5" t="str">
        <f>IF($AM321="","",IF($AM321&gt;=Lookups!$K$6,"High spike",IF($AM321&lt;=-Lookups!$K$6,"Unusual low","Normal")))</f>
        <v>Normal</v>
      </c>
      <c r="AO321" s="20">
        <f>IF($V321&lt;&gt;1,"",$P321+ROW()/100000)</f>
        <v>92.00321</v>
      </c>
      <c r="AP321" s="5">
        <f>IF($A321="","",IFERROR(MATCH($A321,Raw_D1!$A$2:$A$1001,0),""))</f>
        <v>320</v>
      </c>
      <c r="AQ321" s="5">
        <f>IF($A321="","",IFERROR(MATCH($A321,Raw_D2!$B$2:$B$1001,0),""))</f>
        <v>320</v>
      </c>
      <c r="AR321" s="5">
        <f>IF($A321="","",IFERROR(MATCH($A321,Raw_D3!$A$2:$A$1001,0),""))</f>
        <v/>
      </c>
    </row>
    <row r="322" spans="1:44" x14ac:dyDescent="0.25">
      <c r="A322" s="5">
        <v>321</v>
      </c>
      <c r="B322" s="11">
        <f>IF($A322="","",IF($AP322&lt;&gt;"",INDEX(Raw_D1!$B$2:$B$1001,$AP322),IF($AR322&lt;&gt;"",INDEX(Raw_D3!$B$2:$B$1001,$AR322),"")))</f>
        <v>40557.0</v>
      </c>
      <c r="C322" s="5">
        <f>IF($A322="","",IF($AP322&lt;&gt;"",INDEX(Raw_D1!$C$2:$C$1001,$AP322),IF($AR322&lt;&gt;"",INDEX(Raw_D3!$C$2:$C$1001,$AR322),"")))</f>
        <v>1</v>
      </c>
      <c r="D322" s="5">
        <f>IF($A322="","",IF($AP322&lt;&gt;"",INDEX(Raw_D1!$D$2:$D$1001,$AP322),IF($AR322&lt;&gt;"",INDEX(Raw_D3!$D$2:$D$1001,$AR322),"")))</f>
        <v>0</v>
      </c>
      <c r="E322" s="5">
        <f>IF($A322="","",IF($AP322&lt;&gt;"",INDEX(Raw_D1!$E$2:$E$1001,$AP322),IF($AR322&lt;&gt;"",INDEX(Raw_D3!$E$2:$E$1001,$AR322),"")))</f>
        <v>1</v>
      </c>
      <c r="F322" s="5">
        <f>IF($A322="","",IF($AP322&lt;&gt;"",INDEX(Raw_D1!$F$2:$F$1001,$AP322),IF($AR322&lt;&gt;"",INDEX(Raw_D3!$F$2:$F$1001,$AR322),"")))</f>
        <v>20</v>
      </c>
      <c r="G322" s="5">
        <f>IF($A322="","",IF($AP322&lt;&gt;"",IF(INDEX(Raw_D1!$G$2:$G$1001,$AP322),1,0),IF($AR322&lt;&gt;"",IF(INDEX(Raw_D3!$G$2:$G$1001,$AR322),1,0),"")))</f>
        <v>0</v>
      </c>
      <c r="H322" s="5">
        <f>IF($A322="","",IF($AP322&lt;&gt;"",INDEX(Raw_D1!$H$2:$H$1001,$AP322),IF($AR322&lt;&gt;"",INDEX(Raw_D3!$H$2:$H$1001,$AR322),"")))</f>
        <v>5</v>
      </c>
      <c r="I322" s="5">
        <f>IF($A322="","",IF($AP322&lt;&gt;"",INDEX(Raw_D1!$I$2:$I$1001,$AP322),IF($AR322&lt;&gt;"",INDEX(Raw_D3!$I$2:$I$1001,$AR322),"")))</f>
        <v>1</v>
      </c>
      <c r="J322" s="16">
        <f>IF($A322="","",IF($AP322&lt;&gt;"",INDEX(Raw_D1!$J$2:$J$1001,$AP322),IF($AR322&lt;&gt;"",INDEX(Raw_D3!$J$2:$J$1001,$AR322),"")))</f>
        <v>0.18</v>
      </c>
      <c r="K322" s="17">
        <f>IF($A322="","",IF($AQ322&lt;&gt;"",IF(INDEX(Raw_D2!$C$2:$C$1001,$AQ322)="","",INDEX(Raw_D2!$C$2:$C$1001,$AQ322)),IF($AR322&lt;&gt;"",IF(INDEX(Raw_D3!$K$2:$K$1001,$AR322)="","",INDEX(Raw_D3!$K$2:$K$1001,$AR322)),"")))</f>
        <v>0.2424</v>
      </c>
      <c r="L322" s="16">
        <f>IF($A322="","",IF($AQ322&lt;&gt;"",IF(INDEX(Raw_D2!$D$2:$D$1001,$AQ322)="","",INDEX(Raw_D2!$D$2:$D$1001,$AQ322)),IF($AR322&lt;&gt;"",IF(INDEX(Raw_D3!$L$2:$L$1001,$AR322)="","",INDEX(Raw_D3!$L$2:$L$1001,$AR322)),"")))</f>
        <v>0.59</v>
      </c>
      <c r="M322" s="17">
        <f>IF($A322="","",IF($AQ322&lt;&gt;"",IF(INDEX(Raw_D2!$E$2:$E$1001,$AQ322)="","",INDEX(Raw_D2!$E$2:$E$1001,$AQ322)),IF($AR322&lt;&gt;"",IF(INDEX(Raw_D3!$M$2:$M$1001,$AR322)="","",INDEX(Raw_D3!$M$2:$M$1001,$AR322)),"")))</f>
        <v>0</v>
      </c>
      <c r="N322" s="5">
        <f>IF($A322="","",IF($AQ322&lt;&gt;"",IF(INDEX(Raw_D2!$F$2:$F$1001,$AQ322)="","",INDEX(Raw_D2!$F$2:$F$1001,$AQ322)),IF($AR322&lt;&gt;"",IF(INDEX(Raw_D3!$N$2:$N$1001,$AR322)="","",INDEX(Raw_D3!$N$2:$N$1001,$AR322)),"")))</f>
        <v>0</v>
      </c>
      <c r="O322" s="5">
        <f>IF($A322="","",IF($AQ322&lt;&gt;"",IF(INDEX(Raw_D2!$G$2:$G$1001,$AQ322)="","",INDEX(Raw_D2!$G$2:$G$1001,$AQ322)),IF($AR322&lt;&gt;"",IF(INDEX(Raw_D3!$O$2:$O$1001,$AR322)="","",INDEX(Raw_D3!$O$2:$O$1001,$AR322)),"")))</f>
        <v>68</v>
      </c>
      <c r="P322" s="5">
        <f>IF($A322="","",IF($AQ322&lt;&gt;"",IF(INDEX(Raw_D2!$H$2:$H$1001,$AQ322)="","",INDEX(Raw_D2!$H$2:$H$1001,$AQ322)),IF($AR322&lt;&gt;"",IF(INDEX(Raw_D3!$P$2:$P$1001,$AR322)="","",INDEX(Raw_D3!$P$2:$P$1001,$AR322)),"")))</f>
        <v>68</v>
      </c>
      <c r="Q322" s="5" t="str">
        <f>IF($A322="","",IF(AND($AP322&lt;&gt;"",$AQ322&lt;&gt;""),"D1+D2",IF($AR322&lt;&gt;"","D3","Incomplete")))</f>
        <v>D1+D2</v>
      </c>
      <c r="R322" s="17">
        <f>IF($A322="","",IF($K322="",IF($J322="","",ROUND(Lookups!$K$5+Lookups!$K$4*$J322,4)),$K322))</f>
        <v>0.2424</v>
      </c>
      <c r="S322" s="5" t="str">
        <f>IF($A322="","",IF($K322="","Imputed","Original"))</f>
        <v>Original</v>
      </c>
      <c r="T322" s="5" t="str">
        <f>IF($A322="","",IF($P322="","Missing",IF($P322=$N322+$O322,"OK","Mismatch")))</f>
        <v>OK</v>
      </c>
      <c r="U322" s="5" t="str">
        <f>IF($A322="","",IF(COUNTIF($A$2:$A322,$A322)&gt;1,"Duplicate","Unique"))</f>
        <v>Unique</v>
      </c>
      <c r="V322" s="5">
        <f>IF($A322="","",IF(AND($U322="Unique",ISNUMBER($P322)),1,0))</f>
        <v>1</v>
      </c>
      <c r="W322" s="5" t="str">
        <f>IF($A322="","",IF(OR($H322=0,$H322=6),"Weekend","Weekday"))</f>
        <v>Weekday</v>
      </c>
      <c r="X322" s="5" t="str">
        <f>IF($A322="","",TEXT($B322,"ddd"))</f>
        <v>Fri</v>
      </c>
      <c r="Y322" s="5" t="str">
        <f>IF($A322="","",TEXT($B322,"mmm"))</f>
        <v>Jan</v>
      </c>
      <c r="Z322" s="5" t="str">
        <f>IF($A322="","",IFERROR(VLOOKUP($C322,Lookups!$D$4:$E$7,2,FALSE),"Unknown"))</f>
        <v>Winter</v>
      </c>
      <c r="AA322" s="5" t="str">
        <f>IF($A322="","",IFERROR(VLOOKUP($I322,Lookups!$A$4:$B$7,2,FALSE),"Unknown"))</f>
        <v>Clear</v>
      </c>
      <c r="AB322" s="5" t="str">
        <f>IF($A322="","",TEXT($F322,"00")&amp;":00")</f>
        <v>20:00</v>
      </c>
      <c r="AC322" s="5" t="str">
        <f>IF($A322="","",VLOOKUP($F322,Lookups!$G$4:$H$8,2,TRUE))</f>
        <v>Late Evening (20-23)</v>
      </c>
      <c r="AD322" s="18">
        <f>IF($A322="","",IF($J322="","",ROUND($J322*41,1)))</f>
        <v>7.4</v>
      </c>
      <c r="AE322" s="18">
        <f>IF($A322="","",IF($R322="","",ROUND($R322*50,1)))</f>
        <v>12.1</v>
      </c>
      <c r="AF322" s="5">
        <f>IF($A322="","",IF($L322="","",ROUND($L322*100,0)))</f>
        <v>59</v>
      </c>
      <c r="AG322" s="18">
        <f>IF($A322="","",IF($M322="","",ROUND($M322*67,1)))</f>
        <v>0</v>
      </c>
      <c r="AH322" s="19">
        <f>IF($A322="","",IF($P322="","",IF($P322=0,0,$O322/$P322)))</f>
        <v>1</v>
      </c>
      <c r="AI322" s="5" t="str">
        <f>IF($A322="","",IF($P322="","",IF($P322&gt;=Lookups!$K$7,"High",IF($P322&lt;=Lookups!$K$8,"Low","Medium"))))</f>
        <v>Medium</v>
      </c>
      <c r="AJ322" s="5" t="str">
        <f>IF($A322="","",IF($AD322="","",IF($AD322&lt;5,"Under 5 C",IF($AD322&lt;10,"5-10 C",IF($AD322&lt;15,"10-15 C","15 C and above")))))</f>
        <v>5-10 C</v>
      </c>
      <c r="AK322" s="5">
        <f>IF($A322="","",IF($P322="","",$P322^2))</f>
        <v>4624</v>
      </c>
      <c r="AL322" s="18">
        <f>IF($V322&lt;&gt;1,"",AVERAGEIFS(Clean_Data!$P$2:$P$1001,Clean_Data!$F$2:$F$1001,$F322,Clean_Data!$W$2:$W$1001,$W322,Clean_Data!$V$2:$V$1001,1))</f>
        <v>72.2758620689655</v>
      </c>
      <c r="AM322" s="16">
        <f>IF($V322&lt;&gt;1,"",IFERROR(($P322-$AL322)/SQRT(MAX(0,(SUMIFS(Clean_Data!$AK$2:$AK$1001,Clean_Data!$F$2:$F$1001,$F322,Clean_Data!$W$2:$W$1001,$W322,Clean_Data!$V$2:$V$1001,1)-COUNTIFS(Clean_Data!$F$2:$F$1001,$F322,Clean_Data!$W$2:$W$1001,$W322,Clean_Data!$V$2:$V$1001,1)*$AL322^2)/(COUNTIFS(Clean_Data!$F$2:$F$1001,$F322,Clean_Data!$W$2:$W$1001,$W322,Clean_Data!$V$2:$V$1001,1)-1))),""))</f>
        <v>-0.193475706848589</v>
      </c>
      <c r="AN322" s="5" t="str">
        <f>IF($AM322="","",IF($AM322&gt;=Lookups!$K$6,"High spike",IF($AM322&lt;=-Lookups!$K$6,"Unusual low","Normal")))</f>
        <v>Normal</v>
      </c>
      <c r="AO322" s="20">
        <f>IF($V322&lt;&gt;1,"",$P322+ROW()/100000)</f>
        <v>68.00322</v>
      </c>
      <c r="AP322" s="5">
        <f>IF($A322="","",IFERROR(MATCH($A322,Raw_D1!$A$2:$A$1001,0),""))</f>
        <v>321</v>
      </c>
      <c r="AQ322" s="5">
        <f>IF($A322="","",IFERROR(MATCH($A322,Raw_D2!$B$2:$B$1001,0),""))</f>
        <v>321</v>
      </c>
      <c r="AR322" s="5">
        <f>IF($A322="","",IFERROR(MATCH($A322,Raw_D3!$A$2:$A$1001,0),""))</f>
        <v/>
      </c>
    </row>
    <row r="323" spans="1:44" x14ac:dyDescent="0.25">
      <c r="A323" s="5">
        <v>322</v>
      </c>
      <c r="B323" s="11">
        <f>IF($A323="","",IF($AP323&lt;&gt;"",INDEX(Raw_D1!$B$2:$B$1001,$AP323),IF($AR323&lt;&gt;"",INDEX(Raw_D3!$B$2:$B$1001,$AR323),"")))</f>
        <v>40557.0</v>
      </c>
      <c r="C323" s="5">
        <f>IF($A323="","",IF($AP323&lt;&gt;"",INDEX(Raw_D1!$C$2:$C$1001,$AP323),IF($AR323&lt;&gt;"",INDEX(Raw_D3!$C$2:$C$1001,$AR323),"")))</f>
        <v>1</v>
      </c>
      <c r="D323" s="5">
        <f>IF($A323="","",IF($AP323&lt;&gt;"",INDEX(Raw_D1!$D$2:$D$1001,$AP323),IF($AR323&lt;&gt;"",INDEX(Raw_D3!$D$2:$D$1001,$AR323),"")))</f>
        <v>0</v>
      </c>
      <c r="E323" s="5">
        <f>IF($A323="","",IF($AP323&lt;&gt;"",INDEX(Raw_D1!$E$2:$E$1001,$AP323),IF($AR323&lt;&gt;"",INDEX(Raw_D3!$E$2:$E$1001,$AR323),"")))</f>
        <v>1</v>
      </c>
      <c r="F323" s="5">
        <f>IF($A323="","",IF($AP323&lt;&gt;"",INDEX(Raw_D1!$F$2:$F$1001,$AP323),IF($AR323&lt;&gt;"",INDEX(Raw_D3!$F$2:$F$1001,$AR323),"")))</f>
        <v>21</v>
      </c>
      <c r="G323" s="5">
        <f>IF($A323="","",IF($AP323&lt;&gt;"",IF(INDEX(Raw_D1!$G$2:$G$1001,$AP323),1,0),IF($AR323&lt;&gt;"",IF(INDEX(Raw_D3!$G$2:$G$1001,$AR323),1,0),"")))</f>
        <v>0</v>
      </c>
      <c r="H323" s="5">
        <f>IF($A323="","",IF($AP323&lt;&gt;"",INDEX(Raw_D1!$H$2:$H$1001,$AP323),IF($AR323&lt;&gt;"",INDEX(Raw_D3!$H$2:$H$1001,$AR323),"")))</f>
        <v>5</v>
      </c>
      <c r="I323" s="5">
        <f>IF($A323="","",IF($AP323&lt;&gt;"",INDEX(Raw_D1!$I$2:$I$1001,$AP323),IF($AR323&lt;&gt;"",INDEX(Raw_D3!$I$2:$I$1001,$AR323),"")))</f>
        <v>1</v>
      </c>
      <c r="J323" s="16">
        <f>IF($A323="","",IF($AP323&lt;&gt;"",INDEX(Raw_D1!$J$2:$J$1001,$AP323),IF($AR323&lt;&gt;"",INDEX(Raw_D3!$J$2:$J$1001,$AR323),"")))</f>
        <v>0.16</v>
      </c>
      <c r="K323" s="17">
        <f>IF($A323="","",IF($AQ323&lt;&gt;"",IF(INDEX(Raw_D2!$C$2:$C$1001,$AQ323)="","",INDEX(Raw_D2!$C$2:$C$1001,$AQ323)),IF($AR323&lt;&gt;"",IF(INDEX(Raw_D3!$K$2:$K$1001,$AR323)="","",INDEX(Raw_D3!$K$2:$K$1001,$AR323)),"")))</f>
        <v>0.2273</v>
      </c>
      <c r="L323" s="16">
        <f>IF($A323="","",IF($AQ323&lt;&gt;"",IF(INDEX(Raw_D2!$D$2:$D$1001,$AQ323)="","",INDEX(Raw_D2!$D$2:$D$1001,$AQ323)),IF($AR323&lt;&gt;"",IF(INDEX(Raw_D3!$L$2:$L$1001,$AR323)="","",INDEX(Raw_D3!$L$2:$L$1001,$AR323)),"")))</f>
        <v>0.69</v>
      </c>
      <c r="M323" s="17">
        <f>IF($A323="","",IF($AQ323&lt;&gt;"",IF(INDEX(Raw_D2!$E$2:$E$1001,$AQ323)="","",INDEX(Raw_D2!$E$2:$E$1001,$AQ323)),IF($AR323&lt;&gt;"",IF(INDEX(Raw_D3!$M$2:$M$1001,$AR323)="","",INDEX(Raw_D3!$M$2:$M$1001,$AR323)),"")))</f>
        <v>0</v>
      </c>
      <c r="N323" s="5">
        <f>IF($A323="","",IF($AQ323&lt;&gt;"",IF(INDEX(Raw_D2!$F$2:$F$1001,$AQ323)="","",INDEX(Raw_D2!$F$2:$F$1001,$AQ323)),IF($AR323&lt;&gt;"",IF(INDEX(Raw_D3!$N$2:$N$1001,$AR323)="","",INDEX(Raw_D3!$N$2:$N$1001,$AR323)),"")))</f>
        <v>4</v>
      </c>
      <c r="O323" s="5">
        <f>IF($A323="","",IF($AQ323&lt;&gt;"",IF(INDEX(Raw_D2!$G$2:$G$1001,$AQ323)="","",INDEX(Raw_D2!$G$2:$G$1001,$AQ323)),IF($AR323&lt;&gt;"",IF(INDEX(Raw_D3!$O$2:$O$1001,$AR323)="","",INDEX(Raw_D3!$O$2:$O$1001,$AR323)),"")))</f>
        <v>48</v>
      </c>
      <c r="P323" s="5">
        <f>IF($A323="","",IF($AQ323&lt;&gt;"",IF(INDEX(Raw_D2!$H$2:$H$1001,$AQ323)="","",INDEX(Raw_D2!$H$2:$H$1001,$AQ323)),IF($AR323&lt;&gt;"",IF(INDEX(Raw_D3!$P$2:$P$1001,$AR323)="","",INDEX(Raw_D3!$P$2:$P$1001,$AR323)),"")))</f>
        <v>52</v>
      </c>
      <c r="Q323" s="5" t="str">
        <f>IF($A323="","",IF(AND($AP323&lt;&gt;"",$AQ323&lt;&gt;""),"D1+D2",IF($AR323&lt;&gt;"","D3","Incomplete")))</f>
        <v>D1+D2</v>
      </c>
      <c r="R323" s="17">
        <f>IF($A323="","",IF($K323="",IF($J323="","",ROUND(Lookups!$K$5+Lookups!$K$4*$J323,4)),$K323))</f>
        <v>0.2273</v>
      </c>
      <c r="S323" s="5" t="str">
        <f>IF($A323="","",IF($K323="","Imputed","Original"))</f>
        <v>Original</v>
      </c>
      <c r="T323" s="5" t="str">
        <f>IF($A323="","",IF($P323="","Missing",IF($P323=$N323+$O323,"OK","Mismatch")))</f>
        <v>OK</v>
      </c>
      <c r="U323" s="5" t="str">
        <f>IF($A323="","",IF(COUNTIF($A$2:$A323,$A323)&gt;1,"Duplicate","Unique"))</f>
        <v>Unique</v>
      </c>
      <c r="V323" s="5">
        <f>IF($A323="","",IF(AND($U323="Unique",ISNUMBER($P323)),1,0))</f>
        <v>1</v>
      </c>
      <c r="W323" s="5" t="str">
        <f>IF($A323="","",IF(OR($H323=0,$H323=6),"Weekend","Weekday"))</f>
        <v>Weekday</v>
      </c>
      <c r="X323" s="5" t="str">
        <f>IF($A323="","",TEXT($B323,"ddd"))</f>
        <v>Fri</v>
      </c>
      <c r="Y323" s="5" t="str">
        <f>IF($A323="","",TEXT($B323,"mmm"))</f>
        <v>Jan</v>
      </c>
      <c r="Z323" s="5" t="str">
        <f>IF($A323="","",IFERROR(VLOOKUP($C323,Lookups!$D$4:$E$7,2,FALSE),"Unknown"))</f>
        <v>Winter</v>
      </c>
      <c r="AA323" s="5" t="str">
        <f>IF($A323="","",IFERROR(VLOOKUP($I323,Lookups!$A$4:$B$7,2,FALSE),"Unknown"))</f>
        <v>Clear</v>
      </c>
      <c r="AB323" s="5" t="str">
        <f>IF($A323="","",TEXT($F323,"00")&amp;":00")</f>
        <v>21:00</v>
      </c>
      <c r="AC323" s="5" t="str">
        <f>IF($A323="","",VLOOKUP($F323,Lookups!$G$4:$H$8,2,TRUE))</f>
        <v>Late Evening (20-23)</v>
      </c>
      <c r="AD323" s="18">
        <f>IF($A323="","",IF($J323="","",ROUND($J323*41,1)))</f>
        <v>6.6</v>
      </c>
      <c r="AE323" s="18">
        <f>IF($A323="","",IF($R323="","",ROUND($R323*50,1)))</f>
        <v>11.4</v>
      </c>
      <c r="AF323" s="5">
        <f>IF($A323="","",IF($L323="","",ROUND($L323*100,0)))</f>
        <v>69</v>
      </c>
      <c r="AG323" s="18">
        <f>IF($A323="","",IF($M323="","",ROUND($M323*67,1)))</f>
        <v>0</v>
      </c>
      <c r="AH323" s="19">
        <f>IF($A323="","",IF($P323="","",IF($P323=0,0,$O323/$P323)))</f>
        <v>0.923076923076923</v>
      </c>
      <c r="AI323" s="5" t="str">
        <f>IF($A323="","",IF($P323="","",IF($P323&gt;=Lookups!$K$7,"High",IF($P323&lt;=Lookups!$K$8,"Low","Medium"))))</f>
        <v>Medium</v>
      </c>
      <c r="AJ323" s="5" t="str">
        <f>IF($A323="","",IF($AD323="","",IF($AD323&lt;5,"Under 5 C",IF($AD323&lt;10,"5-10 C",IF($AD323&lt;15,"10-15 C","15 C and above")))))</f>
        <v>5-10 C</v>
      </c>
      <c r="AK323" s="5">
        <f>IF($A323="","",IF($P323="","",$P323^2))</f>
        <v>2704</v>
      </c>
      <c r="AL323" s="18">
        <f>IF($V323&lt;&gt;1,"",AVERAGEIFS(Clean_Data!$P$2:$P$1001,Clean_Data!$F$2:$F$1001,$F323,Clean_Data!$W$2:$W$1001,$W323,Clean_Data!$V$2:$V$1001,1))</f>
        <v>50.8965517241379</v>
      </c>
      <c r="AM323" s="16">
        <f>IF($V323&lt;&gt;1,"",IFERROR(($P323-$AL323)/SQRT(MAX(0,(SUMIFS(Clean_Data!$AK$2:$AK$1001,Clean_Data!$F$2:$F$1001,$F323,Clean_Data!$W$2:$W$1001,$W323,Clean_Data!$V$2:$V$1001,1)-COUNTIFS(Clean_Data!$F$2:$F$1001,$F323,Clean_Data!$W$2:$W$1001,$W323,Clean_Data!$V$2:$V$1001,1)*$AL323^2)/(COUNTIFS(Clean_Data!$F$2:$F$1001,$F323,Clean_Data!$W$2:$W$1001,$W323,Clean_Data!$V$2:$V$1001,1)-1))),""))</f>
        <v>0.0799123051201765</v>
      </c>
      <c r="AN323" s="5" t="str">
        <f>IF($AM323="","",IF($AM323&gt;=Lookups!$K$6,"High spike",IF($AM323&lt;=-Lookups!$K$6,"Unusual low","Normal")))</f>
        <v>Normal</v>
      </c>
      <c r="AO323" s="20">
        <f>IF($V323&lt;&gt;1,"",$P323+ROW()/100000)</f>
        <v>52.00323</v>
      </c>
      <c r="AP323" s="5">
        <f>IF($A323="","",IFERROR(MATCH($A323,Raw_D1!$A$2:$A$1001,0),""))</f>
        <v>322</v>
      </c>
      <c r="AQ323" s="5">
        <f>IF($A323="","",IFERROR(MATCH($A323,Raw_D2!$B$2:$B$1001,0),""))</f>
        <v>322</v>
      </c>
      <c r="AR323" s="5">
        <f>IF($A323="","",IFERROR(MATCH($A323,Raw_D3!$A$2:$A$1001,0),""))</f>
        <v/>
      </c>
    </row>
    <row r="324" spans="1:44" x14ac:dyDescent="0.25">
      <c r="A324" s="5">
        <v>323</v>
      </c>
      <c r="B324" s="11">
        <f>IF($A324="","",IF($AP324&lt;&gt;"",INDEX(Raw_D1!$B$2:$B$1001,$AP324),IF($AR324&lt;&gt;"",INDEX(Raw_D3!$B$2:$B$1001,$AR324),"")))</f>
        <v>40557.0</v>
      </c>
      <c r="C324" s="5">
        <f>IF($A324="","",IF($AP324&lt;&gt;"",INDEX(Raw_D1!$C$2:$C$1001,$AP324),IF($AR324&lt;&gt;"",INDEX(Raw_D3!$C$2:$C$1001,$AR324),"")))</f>
        <v>1</v>
      </c>
      <c r="D324" s="5">
        <f>IF($A324="","",IF($AP324&lt;&gt;"",INDEX(Raw_D1!$D$2:$D$1001,$AP324),IF($AR324&lt;&gt;"",INDEX(Raw_D3!$D$2:$D$1001,$AR324),"")))</f>
        <v>0</v>
      </c>
      <c r="E324" s="5">
        <f>IF($A324="","",IF($AP324&lt;&gt;"",INDEX(Raw_D1!$E$2:$E$1001,$AP324),IF($AR324&lt;&gt;"",INDEX(Raw_D3!$E$2:$E$1001,$AR324),"")))</f>
        <v>1</v>
      </c>
      <c r="F324" s="5">
        <f>IF($A324="","",IF($AP324&lt;&gt;"",INDEX(Raw_D1!$F$2:$F$1001,$AP324),IF($AR324&lt;&gt;"",INDEX(Raw_D3!$F$2:$F$1001,$AR324),"")))</f>
        <v>22</v>
      </c>
      <c r="G324" s="5">
        <f>IF($A324="","",IF($AP324&lt;&gt;"",IF(INDEX(Raw_D1!$G$2:$G$1001,$AP324),1,0),IF($AR324&lt;&gt;"",IF(INDEX(Raw_D3!$G$2:$G$1001,$AR324),1,0),"")))</f>
        <v>0</v>
      </c>
      <c r="H324" s="5">
        <f>IF($A324="","",IF($AP324&lt;&gt;"",INDEX(Raw_D1!$H$2:$H$1001,$AP324),IF($AR324&lt;&gt;"",INDEX(Raw_D3!$H$2:$H$1001,$AR324),"")))</f>
        <v>5</v>
      </c>
      <c r="I324" s="5">
        <f>IF($A324="","",IF($AP324&lt;&gt;"",INDEX(Raw_D1!$I$2:$I$1001,$AP324),IF($AR324&lt;&gt;"",INDEX(Raw_D3!$I$2:$I$1001,$AR324),"")))</f>
        <v>2</v>
      </c>
      <c r="J324" s="16">
        <f>IF($A324="","",IF($AP324&lt;&gt;"",INDEX(Raw_D1!$J$2:$J$1001,$AP324),IF($AR324&lt;&gt;"",INDEX(Raw_D3!$J$2:$J$1001,$AR324),"")))</f>
        <v>0.16</v>
      </c>
      <c r="K324" s="17">
        <f>IF($A324="","",IF($AQ324&lt;&gt;"",IF(INDEX(Raw_D2!$C$2:$C$1001,$AQ324)="","",INDEX(Raw_D2!$C$2:$C$1001,$AQ324)),IF($AR324&lt;&gt;"",IF(INDEX(Raw_D3!$K$2:$K$1001,$AR324)="","",INDEX(Raw_D3!$K$2:$K$1001,$AR324)),"")))</f>
        <v>0.2273</v>
      </c>
      <c r="L324" s="16">
        <f>IF($A324="","",IF($AQ324&lt;&gt;"",IF(INDEX(Raw_D2!$D$2:$D$1001,$AQ324)="","",INDEX(Raw_D2!$D$2:$D$1001,$AQ324)),IF($AR324&lt;&gt;"",IF(INDEX(Raw_D3!$L$2:$L$1001,$AR324)="","",INDEX(Raw_D3!$L$2:$L$1001,$AR324)),"")))</f>
        <v>0.69</v>
      </c>
      <c r="M324" s="17">
        <f>IF($A324="","",IF($AQ324&lt;&gt;"",IF(INDEX(Raw_D2!$E$2:$E$1001,$AQ324)="","",INDEX(Raw_D2!$E$2:$E$1001,$AQ324)),IF($AR324&lt;&gt;"",IF(INDEX(Raw_D3!$M$2:$M$1001,$AR324)="","",INDEX(Raw_D3!$M$2:$M$1001,$AR324)),"")))</f>
        <v>0</v>
      </c>
      <c r="N324" s="5">
        <f>IF($A324="","",IF($AQ324&lt;&gt;"",IF(INDEX(Raw_D2!$F$2:$F$1001,$AQ324)="","",INDEX(Raw_D2!$F$2:$F$1001,$AQ324)),IF($AR324&lt;&gt;"",IF(INDEX(Raw_D3!$N$2:$N$1001,$AR324)="","",INDEX(Raw_D3!$N$2:$N$1001,$AR324)),"")))</f>
        <v>2</v>
      </c>
      <c r="O324" s="5">
        <f>IF($A324="","",IF($AQ324&lt;&gt;"",IF(INDEX(Raw_D2!$G$2:$G$1001,$AQ324)="","",INDEX(Raw_D2!$G$2:$G$1001,$AQ324)),IF($AR324&lt;&gt;"",IF(INDEX(Raw_D3!$O$2:$O$1001,$AR324)="","",INDEX(Raw_D3!$O$2:$O$1001,$AR324)),"")))</f>
        <v>34</v>
      </c>
      <c r="P324" s="5">
        <f>IF($A324="","",IF($AQ324&lt;&gt;"",IF(INDEX(Raw_D2!$H$2:$H$1001,$AQ324)="","",INDEX(Raw_D2!$H$2:$H$1001,$AQ324)),IF($AR324&lt;&gt;"",IF(INDEX(Raw_D3!$P$2:$P$1001,$AR324)="","",INDEX(Raw_D3!$P$2:$P$1001,$AR324)),"")))</f>
        <v>36</v>
      </c>
      <c r="Q324" s="5" t="str">
        <f>IF($A324="","",IF(AND($AP324&lt;&gt;"",$AQ324&lt;&gt;""),"D1+D2",IF($AR324&lt;&gt;"","D3","Incomplete")))</f>
        <v>D1+D2</v>
      </c>
      <c r="R324" s="17">
        <f>IF($A324="","",IF($K324="",IF($J324="","",ROUND(Lookups!$K$5+Lookups!$K$4*$J324,4)),$K324))</f>
        <v>0.2273</v>
      </c>
      <c r="S324" s="5" t="str">
        <f>IF($A324="","",IF($K324="","Imputed","Original"))</f>
        <v>Original</v>
      </c>
      <c r="T324" s="5" t="str">
        <f>IF($A324="","",IF($P324="","Missing",IF($P324=$N324+$O324,"OK","Mismatch")))</f>
        <v>OK</v>
      </c>
      <c r="U324" s="5" t="str">
        <f>IF($A324="","",IF(COUNTIF($A$2:$A324,$A324)&gt;1,"Duplicate","Unique"))</f>
        <v>Unique</v>
      </c>
      <c r="V324" s="5">
        <f>IF($A324="","",IF(AND($U324="Unique",ISNUMBER($P324)),1,0))</f>
        <v>1</v>
      </c>
      <c r="W324" s="5" t="str">
        <f>IF($A324="","",IF(OR($H324=0,$H324=6),"Weekend","Weekday"))</f>
        <v>Weekday</v>
      </c>
      <c r="X324" s="5" t="str">
        <f>IF($A324="","",TEXT($B324,"ddd"))</f>
        <v>Fri</v>
      </c>
      <c r="Y324" s="5" t="str">
        <f>IF($A324="","",TEXT($B324,"mmm"))</f>
        <v>Jan</v>
      </c>
      <c r="Z324" s="5" t="str">
        <f>IF($A324="","",IFERROR(VLOOKUP($C324,Lookups!$D$4:$E$7,2,FALSE),"Unknown"))</f>
        <v>Winter</v>
      </c>
      <c r="AA324" s="5" t="str">
        <f>IF($A324="","",IFERROR(VLOOKUP($I324,Lookups!$A$4:$B$7,2,FALSE),"Unknown"))</f>
        <v>Mist/Cloudy</v>
      </c>
      <c r="AB324" s="5" t="str">
        <f>IF($A324="","",TEXT($F324,"00")&amp;":00")</f>
        <v>22:00</v>
      </c>
      <c r="AC324" s="5" t="str">
        <f>IF($A324="","",VLOOKUP($F324,Lookups!$G$4:$H$8,2,TRUE))</f>
        <v>Late Evening (20-23)</v>
      </c>
      <c r="AD324" s="18">
        <f>IF($A324="","",IF($J324="","",ROUND($J324*41,1)))</f>
        <v>6.6</v>
      </c>
      <c r="AE324" s="18">
        <f>IF($A324="","",IF($R324="","",ROUND($R324*50,1)))</f>
        <v>11.4</v>
      </c>
      <c r="AF324" s="5">
        <f>IF($A324="","",IF($L324="","",ROUND($L324*100,0)))</f>
        <v>69</v>
      </c>
      <c r="AG324" s="18">
        <f>IF($A324="","",IF($M324="","",ROUND($M324*67,1)))</f>
        <v>0</v>
      </c>
      <c r="AH324" s="19">
        <f>IF($A324="","",IF($P324="","",IF($P324=0,0,$O324/$P324)))</f>
        <v>0.944444444444444</v>
      </c>
      <c r="AI324" s="5" t="str">
        <f>IF($A324="","",IF($P324="","",IF($P324&gt;=Lookups!$K$7,"High",IF($P324&lt;=Lookups!$K$8,"Low","Medium"))))</f>
        <v>Medium</v>
      </c>
      <c r="AJ324" s="5" t="str">
        <f>IF($A324="","",IF($AD324="","",IF($AD324&lt;5,"Under 5 C",IF($AD324&lt;10,"5-10 C",IF($AD324&lt;15,"10-15 C","15 C and above")))))</f>
        <v>5-10 C</v>
      </c>
      <c r="AK324" s="5">
        <f>IF($A324="","",IF($P324="","",$P324^2))</f>
        <v>1296</v>
      </c>
      <c r="AL324" s="18">
        <f>IF($V324&lt;&gt;1,"",AVERAGEIFS(Clean_Data!$P$2:$P$1001,Clean_Data!$F$2:$F$1001,$F324,Clean_Data!$W$2:$W$1001,$W324,Clean_Data!$V$2:$V$1001,1))</f>
        <v>37.1034482758621</v>
      </c>
      <c r="AM324" s="16">
        <f>IF($V324&lt;&gt;1,"",IFERROR(($P324-$AL324)/SQRT(MAX(0,(SUMIFS(Clean_Data!$AK$2:$AK$1001,Clean_Data!$F$2:$F$1001,$F324,Clean_Data!$W$2:$W$1001,$W324,Clean_Data!$V$2:$V$1001,1)-COUNTIFS(Clean_Data!$F$2:$F$1001,$F324,Clean_Data!$W$2:$W$1001,$W324,Clean_Data!$V$2:$V$1001,1)*$AL324^2)/(COUNTIFS(Clean_Data!$F$2:$F$1001,$F324,Clean_Data!$W$2:$W$1001,$W324,Clean_Data!$V$2:$V$1001,1)-1))),""))</f>
        <v>-0.102221703269801</v>
      </c>
      <c r="AN324" s="5" t="str">
        <f>IF($AM324="","",IF($AM324&gt;=Lookups!$K$6,"High spike",IF($AM324&lt;=-Lookups!$K$6,"Unusual low","Normal")))</f>
        <v>Normal</v>
      </c>
      <c r="AO324" s="20">
        <f>IF($V324&lt;&gt;1,"",$P324+ROW()/100000)</f>
        <v>36.00324</v>
      </c>
      <c r="AP324" s="5">
        <f>IF($A324="","",IFERROR(MATCH($A324,Raw_D1!$A$2:$A$1001,0),""))</f>
        <v>323</v>
      </c>
      <c r="AQ324" s="5">
        <f>IF($A324="","",IFERROR(MATCH($A324,Raw_D2!$B$2:$B$1001,0),""))</f>
        <v>323</v>
      </c>
      <c r="AR324" s="5">
        <f>IF($A324="","",IFERROR(MATCH($A324,Raw_D3!$A$2:$A$1001,0),""))</f>
        <v/>
      </c>
    </row>
    <row r="325" spans="1:44" x14ac:dyDescent="0.25">
      <c r="A325" s="5">
        <v>324</v>
      </c>
      <c r="B325" s="11">
        <f>IF($A325="","",IF($AP325&lt;&gt;"",INDEX(Raw_D1!$B$2:$B$1001,$AP325),IF($AR325&lt;&gt;"",INDEX(Raw_D3!$B$2:$B$1001,$AR325),"")))</f>
        <v>40557.0</v>
      </c>
      <c r="C325" s="5">
        <f>IF($A325="","",IF($AP325&lt;&gt;"",INDEX(Raw_D1!$C$2:$C$1001,$AP325),IF($AR325&lt;&gt;"",INDEX(Raw_D3!$C$2:$C$1001,$AR325),"")))</f>
        <v>1</v>
      </c>
      <c r="D325" s="5">
        <f>IF($A325="","",IF($AP325&lt;&gt;"",INDEX(Raw_D1!$D$2:$D$1001,$AP325),IF($AR325&lt;&gt;"",INDEX(Raw_D3!$D$2:$D$1001,$AR325),"")))</f>
        <v>0</v>
      </c>
      <c r="E325" s="5">
        <f>IF($A325="","",IF($AP325&lt;&gt;"",INDEX(Raw_D1!$E$2:$E$1001,$AP325),IF($AR325&lt;&gt;"",INDEX(Raw_D3!$E$2:$E$1001,$AR325),"")))</f>
        <v>1</v>
      </c>
      <c r="F325" s="5">
        <f>IF($A325="","",IF($AP325&lt;&gt;"",INDEX(Raw_D1!$F$2:$F$1001,$AP325),IF($AR325&lt;&gt;"",INDEX(Raw_D3!$F$2:$F$1001,$AR325),"")))</f>
        <v>23</v>
      </c>
      <c r="G325" s="5">
        <f>IF($A325="","",IF($AP325&lt;&gt;"",IF(INDEX(Raw_D1!$G$2:$G$1001,$AP325),1,0),IF($AR325&lt;&gt;"",IF(INDEX(Raw_D3!$G$2:$G$1001,$AR325),1,0),"")))</f>
        <v>0</v>
      </c>
      <c r="H325" s="5">
        <f>IF($A325="","",IF($AP325&lt;&gt;"",INDEX(Raw_D1!$H$2:$H$1001,$AP325),IF($AR325&lt;&gt;"",INDEX(Raw_D3!$H$2:$H$1001,$AR325),"")))</f>
        <v>5</v>
      </c>
      <c r="I325" s="5">
        <f>IF($A325="","",IF($AP325&lt;&gt;"",INDEX(Raw_D1!$I$2:$I$1001,$AP325),IF($AR325&lt;&gt;"",INDEX(Raw_D3!$I$2:$I$1001,$AR325),"")))</f>
        <v>2</v>
      </c>
      <c r="J325" s="16">
        <f>IF($A325="","",IF($AP325&lt;&gt;"",INDEX(Raw_D1!$J$2:$J$1001,$AP325),IF($AR325&lt;&gt;"",INDEX(Raw_D3!$J$2:$J$1001,$AR325),"")))</f>
        <v>0.18</v>
      </c>
      <c r="K325" s="17">
        <f>IF($A325="","",IF($AQ325&lt;&gt;"",IF(INDEX(Raw_D2!$C$2:$C$1001,$AQ325)="","",INDEX(Raw_D2!$C$2:$C$1001,$AQ325)),IF($AR325&lt;&gt;"",IF(INDEX(Raw_D3!$K$2:$K$1001,$AR325)="","",INDEX(Raw_D3!$K$2:$K$1001,$AR325)),"")))</f>
        <v>0.2424</v>
      </c>
      <c r="L325" s="16">
        <f>IF($A325="","",IF($AQ325&lt;&gt;"",IF(INDEX(Raw_D2!$D$2:$D$1001,$AQ325)="","",INDEX(Raw_D2!$D$2:$D$1001,$AQ325)),IF($AR325&lt;&gt;"",IF(INDEX(Raw_D3!$L$2:$L$1001,$AR325)="","",INDEX(Raw_D3!$L$2:$L$1001,$AR325)),"")))</f>
        <v>0.55</v>
      </c>
      <c r="M325" s="17">
        <f>IF($A325="","",IF($AQ325&lt;&gt;"",IF(INDEX(Raw_D2!$E$2:$E$1001,$AQ325)="","",INDEX(Raw_D2!$E$2:$E$1001,$AQ325)),IF($AR325&lt;&gt;"",IF(INDEX(Raw_D3!$M$2:$M$1001,$AR325)="","",INDEX(Raw_D3!$M$2:$M$1001,$AR325)),"")))</f>
        <v>0</v>
      </c>
      <c r="N325" s="5">
        <f>IF($A325="","",IF($AQ325&lt;&gt;"",IF(INDEX(Raw_D2!$F$2:$F$1001,$AQ325)="","",INDEX(Raw_D2!$F$2:$F$1001,$AQ325)),IF($AR325&lt;&gt;"",IF(INDEX(Raw_D3!$N$2:$N$1001,$AR325)="","",INDEX(Raw_D3!$N$2:$N$1001,$AR325)),"")))</f>
        <v>1</v>
      </c>
      <c r="O325" s="5">
        <f>IF($A325="","",IF($AQ325&lt;&gt;"",IF(INDEX(Raw_D2!$G$2:$G$1001,$AQ325)="","",INDEX(Raw_D2!$G$2:$G$1001,$AQ325)),IF($AR325&lt;&gt;"",IF(INDEX(Raw_D3!$O$2:$O$1001,$AR325)="","",INDEX(Raw_D3!$O$2:$O$1001,$AR325)),"")))</f>
        <v>26</v>
      </c>
      <c r="P325" s="5">
        <f>IF($A325="","",IF($AQ325&lt;&gt;"",IF(INDEX(Raw_D2!$H$2:$H$1001,$AQ325)="","",INDEX(Raw_D2!$H$2:$H$1001,$AQ325)),IF($AR325&lt;&gt;"",IF(INDEX(Raw_D3!$P$2:$P$1001,$AR325)="","",INDEX(Raw_D3!$P$2:$P$1001,$AR325)),"")))</f>
        <v>27</v>
      </c>
      <c r="Q325" s="5" t="str">
        <f>IF($A325="","",IF(AND($AP325&lt;&gt;"",$AQ325&lt;&gt;""),"D1+D2",IF($AR325&lt;&gt;"","D3","Incomplete")))</f>
        <v>D1+D2</v>
      </c>
      <c r="R325" s="17">
        <f>IF($A325="","",IF($K325="",IF($J325="","",ROUND(Lookups!$K$5+Lookups!$K$4*$J325,4)),$K325))</f>
        <v>0.2424</v>
      </c>
      <c r="S325" s="5" t="str">
        <f>IF($A325="","",IF($K325="","Imputed","Original"))</f>
        <v>Original</v>
      </c>
      <c r="T325" s="5" t="str">
        <f>IF($A325="","",IF($P325="","Missing",IF($P325=$N325+$O325,"OK","Mismatch")))</f>
        <v>OK</v>
      </c>
      <c r="U325" s="5" t="str">
        <f>IF($A325="","",IF(COUNTIF($A$2:$A325,$A325)&gt;1,"Duplicate","Unique"))</f>
        <v>Unique</v>
      </c>
      <c r="V325" s="5">
        <f>IF($A325="","",IF(AND($U325="Unique",ISNUMBER($P325)),1,0))</f>
        <v>1</v>
      </c>
      <c r="W325" s="5" t="str">
        <f>IF($A325="","",IF(OR($H325=0,$H325=6),"Weekend","Weekday"))</f>
        <v>Weekday</v>
      </c>
      <c r="X325" s="5" t="str">
        <f>IF($A325="","",TEXT($B325,"ddd"))</f>
        <v>Fri</v>
      </c>
      <c r="Y325" s="5" t="str">
        <f>IF($A325="","",TEXT($B325,"mmm"))</f>
        <v>Jan</v>
      </c>
      <c r="Z325" s="5" t="str">
        <f>IF($A325="","",IFERROR(VLOOKUP($C325,Lookups!$D$4:$E$7,2,FALSE),"Unknown"))</f>
        <v>Winter</v>
      </c>
      <c r="AA325" s="5" t="str">
        <f>IF($A325="","",IFERROR(VLOOKUP($I325,Lookups!$A$4:$B$7,2,FALSE),"Unknown"))</f>
        <v>Mist/Cloudy</v>
      </c>
      <c r="AB325" s="5" t="str">
        <f>IF($A325="","",TEXT($F325,"00")&amp;":00")</f>
        <v>23:00</v>
      </c>
      <c r="AC325" s="5" t="str">
        <f>IF($A325="","",VLOOKUP($F325,Lookups!$G$4:$H$8,2,TRUE))</f>
        <v>Late Evening (20-23)</v>
      </c>
      <c r="AD325" s="18">
        <f>IF($A325="","",IF($J325="","",ROUND($J325*41,1)))</f>
        <v>7.4</v>
      </c>
      <c r="AE325" s="18">
        <f>IF($A325="","",IF($R325="","",ROUND($R325*50,1)))</f>
        <v>12.1</v>
      </c>
      <c r="AF325" s="5">
        <f>IF($A325="","",IF($L325="","",ROUND($L325*100,0)))</f>
        <v>55</v>
      </c>
      <c r="AG325" s="18">
        <f>IF($A325="","",IF($M325="","",ROUND($M325*67,1)))</f>
        <v>0</v>
      </c>
      <c r="AH325" s="19">
        <f>IF($A325="","",IF($P325="","",IF($P325=0,0,$O325/$P325)))</f>
        <v>0.962962962962963</v>
      </c>
      <c r="AI325" s="5" t="str">
        <f>IF($A325="","",IF($P325="","",IF($P325&gt;=Lookups!$K$7,"High",IF($P325&lt;=Lookups!$K$8,"Low","Medium"))))</f>
        <v>Medium</v>
      </c>
      <c r="AJ325" s="5" t="str">
        <f>IF($A325="","",IF($AD325="","",IF($AD325&lt;5,"Under 5 C",IF($AD325&lt;10,"5-10 C",IF($AD325&lt;15,"10-15 C","15 C and above")))))</f>
        <v>5-10 C</v>
      </c>
      <c r="AK325" s="5">
        <f>IF($A325="","",IF($P325="","",$P325^2))</f>
        <v>729</v>
      </c>
      <c r="AL325" s="18">
        <f>IF($V325&lt;&gt;1,"",AVERAGEIFS(Clean_Data!$P$2:$P$1001,Clean_Data!$F$2:$F$1001,$F325,Clean_Data!$W$2:$W$1001,$W325,Clean_Data!$V$2:$V$1001,1))</f>
        <v>23.6896551724138</v>
      </c>
      <c r="AM325" s="16">
        <f>IF($V325&lt;&gt;1,"",IFERROR(($P325-$AL325)/SQRT(MAX(0,(SUMIFS(Clean_Data!$AK$2:$AK$1001,Clean_Data!$F$2:$F$1001,$F325,Clean_Data!$W$2:$W$1001,$W325,Clean_Data!$V$2:$V$1001,1)-COUNTIFS(Clean_Data!$F$2:$F$1001,$F325,Clean_Data!$W$2:$W$1001,$W325,Clean_Data!$V$2:$V$1001,1)*$AL325^2)/(COUNTIFS(Clean_Data!$F$2:$F$1001,$F325,Clean_Data!$W$2:$W$1001,$W325,Clean_Data!$V$2:$V$1001,1)-1))),""))</f>
        <v>0.316029061137167</v>
      </c>
      <c r="AN325" s="5" t="str">
        <f>IF($AM325="","",IF($AM325&gt;=Lookups!$K$6,"High spike",IF($AM325&lt;=-Lookups!$K$6,"Unusual low","Normal")))</f>
        <v>Normal</v>
      </c>
      <c r="AO325" s="20">
        <f>IF($V325&lt;&gt;1,"",$P325+ROW()/100000)</f>
        <v>27.00325</v>
      </c>
      <c r="AP325" s="5">
        <f>IF($A325="","",IFERROR(MATCH($A325,Raw_D1!$A$2:$A$1001,0),""))</f>
        <v>324</v>
      </c>
      <c r="AQ325" s="5">
        <f>IF($A325="","",IFERROR(MATCH($A325,Raw_D2!$B$2:$B$1001,0),""))</f>
        <v>324</v>
      </c>
      <c r="AR325" s="5">
        <f>IF($A325="","",IFERROR(MATCH($A325,Raw_D3!$A$2:$A$1001,0),""))</f>
        <v/>
      </c>
    </row>
    <row r="326" spans="1:44" x14ac:dyDescent="0.25">
      <c r="A326" s="5">
        <v>325</v>
      </c>
      <c r="B326" s="11">
        <f>IF($A326="","",IF($AP326&lt;&gt;"",INDEX(Raw_D1!$B$2:$B$1001,$AP326),IF($AR326&lt;&gt;"",INDEX(Raw_D3!$B$2:$B$1001,$AR326),"")))</f>
        <v>40558.0</v>
      </c>
      <c r="C326" s="5">
        <f>IF($A326="","",IF($AP326&lt;&gt;"",INDEX(Raw_D1!$C$2:$C$1001,$AP326),IF($AR326&lt;&gt;"",INDEX(Raw_D3!$C$2:$C$1001,$AR326),"")))</f>
        <v>1</v>
      </c>
      <c r="D326" s="5">
        <f>IF($A326="","",IF($AP326&lt;&gt;"",INDEX(Raw_D1!$D$2:$D$1001,$AP326),IF($AR326&lt;&gt;"",INDEX(Raw_D3!$D$2:$D$1001,$AR326),"")))</f>
        <v>0</v>
      </c>
      <c r="E326" s="5">
        <f>IF($A326="","",IF($AP326&lt;&gt;"",INDEX(Raw_D1!$E$2:$E$1001,$AP326),IF($AR326&lt;&gt;"",INDEX(Raw_D3!$E$2:$E$1001,$AR326),"")))</f>
        <v>1</v>
      </c>
      <c r="F326" s="5">
        <f>IF($A326="","",IF($AP326&lt;&gt;"",INDEX(Raw_D1!$F$2:$F$1001,$AP326),IF($AR326&lt;&gt;"",INDEX(Raw_D3!$F$2:$F$1001,$AR326),"")))</f>
        <v>0</v>
      </c>
      <c r="G326" s="5">
        <f>IF($A326="","",IF($AP326&lt;&gt;"",IF(INDEX(Raw_D1!$G$2:$G$1001,$AP326),1,0),IF($AR326&lt;&gt;"",IF(INDEX(Raw_D3!$G$2:$G$1001,$AR326),1,0),"")))</f>
        <v>0</v>
      </c>
      <c r="H326" s="5">
        <f>IF($A326="","",IF($AP326&lt;&gt;"",INDEX(Raw_D1!$H$2:$H$1001,$AP326),IF($AR326&lt;&gt;"",INDEX(Raw_D3!$H$2:$H$1001,$AR326),"")))</f>
        <v>6</v>
      </c>
      <c r="I326" s="5">
        <f>IF($A326="","",IF($AP326&lt;&gt;"",INDEX(Raw_D1!$I$2:$I$1001,$AP326),IF($AR326&lt;&gt;"",INDEX(Raw_D3!$I$2:$I$1001,$AR326),"")))</f>
        <v>1</v>
      </c>
      <c r="J326" s="16">
        <f>IF($A326="","",IF($AP326&lt;&gt;"",INDEX(Raw_D1!$J$2:$J$1001,$AP326),IF($AR326&lt;&gt;"",INDEX(Raw_D3!$J$2:$J$1001,$AR326),"")))</f>
        <v>0.18</v>
      </c>
      <c r="K326" s="17">
        <f>IF($A326="","",IF($AQ326&lt;&gt;"",IF(INDEX(Raw_D2!$C$2:$C$1001,$AQ326)="","",INDEX(Raw_D2!$C$2:$C$1001,$AQ326)),IF($AR326&lt;&gt;"",IF(INDEX(Raw_D3!$K$2:$K$1001,$AR326)="","",INDEX(Raw_D3!$K$2:$K$1001,$AR326)),"")))</f>
        <v>0.2424</v>
      </c>
      <c r="L326" s="16">
        <f>IF($A326="","",IF($AQ326&lt;&gt;"",IF(INDEX(Raw_D2!$D$2:$D$1001,$AQ326)="","",INDEX(Raw_D2!$D$2:$D$1001,$AQ326)),IF($AR326&lt;&gt;"",IF(INDEX(Raw_D3!$L$2:$L$1001,$AR326)="","",INDEX(Raw_D3!$L$2:$L$1001,$AR326)),"")))</f>
        <v>0.55</v>
      </c>
      <c r="M326" s="17">
        <f>IF($A326="","",IF($AQ326&lt;&gt;"",IF(INDEX(Raw_D2!$E$2:$E$1001,$AQ326)="","",INDEX(Raw_D2!$E$2:$E$1001,$AQ326)),IF($AR326&lt;&gt;"",IF(INDEX(Raw_D3!$M$2:$M$1001,$AR326)="","",INDEX(Raw_D3!$M$2:$M$1001,$AR326)),"")))</f>
        <v>0</v>
      </c>
      <c r="N326" s="5">
        <f>IF($A326="","",IF($AQ326&lt;&gt;"",IF(INDEX(Raw_D2!$F$2:$F$1001,$AQ326)="","",INDEX(Raw_D2!$F$2:$F$1001,$AQ326)),IF($AR326&lt;&gt;"",IF(INDEX(Raw_D3!$N$2:$N$1001,$AR326)="","",INDEX(Raw_D3!$N$2:$N$1001,$AR326)),"")))</f>
        <v>3</v>
      </c>
      <c r="O326" s="5">
        <f>IF($A326="","",IF($AQ326&lt;&gt;"",IF(INDEX(Raw_D2!$G$2:$G$1001,$AQ326)="","",INDEX(Raw_D2!$G$2:$G$1001,$AQ326)),IF($AR326&lt;&gt;"",IF(INDEX(Raw_D3!$O$2:$O$1001,$AR326)="","",INDEX(Raw_D3!$O$2:$O$1001,$AR326)),"")))</f>
        <v>25</v>
      </c>
      <c r="P326" s="5">
        <f>IF($A326="","",IF($AQ326&lt;&gt;"",IF(INDEX(Raw_D2!$H$2:$H$1001,$AQ326)="","",INDEX(Raw_D2!$H$2:$H$1001,$AQ326)),IF($AR326&lt;&gt;"",IF(INDEX(Raw_D3!$P$2:$P$1001,$AR326)="","",INDEX(Raw_D3!$P$2:$P$1001,$AR326)),"")))</f>
        <v>28</v>
      </c>
      <c r="Q326" s="5" t="str">
        <f>IF($A326="","",IF(AND($AP326&lt;&gt;"",$AQ326&lt;&gt;""),"D1+D2",IF($AR326&lt;&gt;"","D3","Incomplete")))</f>
        <v>D1+D2</v>
      </c>
      <c r="R326" s="17">
        <f>IF($A326="","",IF($K326="",IF($J326="","",ROUND(Lookups!$K$5+Lookups!$K$4*$J326,4)),$K326))</f>
        <v>0.2424</v>
      </c>
      <c r="S326" s="5" t="str">
        <f>IF($A326="","",IF($K326="","Imputed","Original"))</f>
        <v>Original</v>
      </c>
      <c r="T326" s="5" t="str">
        <f>IF($A326="","",IF($P326="","Missing",IF($P326=$N326+$O326,"OK","Mismatch")))</f>
        <v>OK</v>
      </c>
      <c r="U326" s="5" t="str">
        <f>IF($A326="","",IF(COUNTIF($A$2:$A326,$A326)&gt;1,"Duplicate","Unique"))</f>
        <v>Unique</v>
      </c>
      <c r="V326" s="5">
        <f>IF($A326="","",IF(AND($U326="Unique",ISNUMBER($P326)),1,0))</f>
        <v>1</v>
      </c>
      <c r="W326" s="5" t="str">
        <f>IF($A326="","",IF(OR($H326=0,$H326=6),"Weekend","Weekday"))</f>
        <v>Weekend</v>
      </c>
      <c r="X326" s="5" t="str">
        <f>IF($A326="","",TEXT($B326,"ddd"))</f>
        <v>Sat</v>
      </c>
      <c r="Y326" s="5" t="str">
        <f>IF($A326="","",TEXT($B326,"mmm"))</f>
        <v>Jan</v>
      </c>
      <c r="Z326" s="5" t="str">
        <f>IF($A326="","",IFERROR(VLOOKUP($C326,Lookups!$D$4:$E$7,2,FALSE),"Unknown"))</f>
        <v>Winter</v>
      </c>
      <c r="AA326" s="5" t="str">
        <f>IF($A326="","",IFERROR(VLOOKUP($I326,Lookups!$A$4:$B$7,2,FALSE),"Unknown"))</f>
        <v>Clear</v>
      </c>
      <c r="AB326" s="5" t="str">
        <f>IF($A326="","",TEXT($F326,"00")&amp;":00")</f>
        <v>00:00</v>
      </c>
      <c r="AC326" s="5" t="str">
        <f>IF($A326="","",VLOOKUP($F326,Lookups!$G$4:$H$8,2,TRUE))</f>
        <v>Night (00-05)</v>
      </c>
      <c r="AD326" s="18">
        <f>IF($A326="","",IF($J326="","",ROUND($J326*41,1)))</f>
        <v>7.4</v>
      </c>
      <c r="AE326" s="18">
        <f>IF($A326="","",IF($R326="","",ROUND($R326*50,1)))</f>
        <v>12.1</v>
      </c>
      <c r="AF326" s="5">
        <f>IF($A326="","",IF($L326="","",ROUND($L326*100,0)))</f>
        <v>55</v>
      </c>
      <c r="AG326" s="18">
        <f>IF($A326="","",IF($M326="","",ROUND($M326*67,1)))</f>
        <v>0</v>
      </c>
      <c r="AH326" s="19">
        <f>IF($A326="","",IF($P326="","",IF($P326=0,0,$O326/$P326)))</f>
        <v>0.892857142857143</v>
      </c>
      <c r="AI326" s="5" t="str">
        <f>IF($A326="","",IF($P326="","",IF($P326&gt;=Lookups!$K$7,"High",IF($P326&lt;=Lookups!$K$8,"Low","Medium"))))</f>
        <v>Medium</v>
      </c>
      <c r="AJ326" s="5" t="str">
        <f>IF($A326="","",IF($AD326="","",IF($AD326&lt;5,"Under 5 C",IF($AD326&lt;10,"5-10 C",IF($AD326&lt;15,"10-15 C","15 C and above")))))</f>
        <v>5-10 C</v>
      </c>
      <c r="AK326" s="5">
        <f>IF($A326="","",IF($P326="","",$P326^2))</f>
        <v>784</v>
      </c>
      <c r="AL326" s="18">
        <f>IF($V326&lt;&gt;1,"",AVERAGEIFS(Clean_Data!$P$2:$P$1001,Clean_Data!$F$2:$F$1001,$F326,Clean_Data!$W$2:$W$1001,$W326,Clean_Data!$V$2:$V$1001,1))</f>
        <v>28.0714285714286</v>
      </c>
      <c r="AM326" s="16">
        <f>IF($V326&lt;&gt;1,"",IFERROR(($P326-$AL326)/SQRT(MAX(0,(SUMIFS(Clean_Data!$AK$2:$AK$1001,Clean_Data!$F$2:$F$1001,$F326,Clean_Data!$W$2:$W$1001,$W326,Clean_Data!$V$2:$V$1001,1)-COUNTIFS(Clean_Data!$F$2:$F$1001,$F326,Clean_Data!$W$2:$W$1001,$W326,Clean_Data!$V$2:$V$1001,1)*$AL326^2)/(COUNTIFS(Clean_Data!$F$2:$F$1001,$F326,Clean_Data!$W$2:$W$1001,$W326,Clean_Data!$V$2:$V$1001,1)-1))),""))</f>
        <v>-0.00792174432517493</v>
      </c>
      <c r="AN326" s="5" t="str">
        <f>IF($AM326="","",IF($AM326&gt;=Lookups!$K$6,"High spike",IF($AM326&lt;=-Lookups!$K$6,"Unusual low","Normal")))</f>
        <v>Normal</v>
      </c>
      <c r="AO326" s="20">
        <f>IF($V326&lt;&gt;1,"",$P326+ROW()/100000)</f>
        <v>28.00326</v>
      </c>
      <c r="AP326" s="5">
        <f>IF($A326="","",IFERROR(MATCH($A326,Raw_D1!$A$2:$A$1001,0),""))</f>
        <v>325</v>
      </c>
      <c r="AQ326" s="5">
        <f>IF($A326="","",IFERROR(MATCH($A326,Raw_D2!$B$2:$B$1001,0),""))</f>
        <v>325</v>
      </c>
      <c r="AR326" s="5">
        <f>IF($A326="","",IFERROR(MATCH($A326,Raw_D3!$A$2:$A$1001,0),""))</f>
        <v/>
      </c>
    </row>
    <row r="327" spans="1:44" x14ac:dyDescent="0.25">
      <c r="A327" s="5">
        <v>326</v>
      </c>
      <c r="B327" s="11">
        <f>IF($A327="","",IF($AP327&lt;&gt;"",INDEX(Raw_D1!$B$2:$B$1001,$AP327),IF($AR327&lt;&gt;"",INDEX(Raw_D3!$B$2:$B$1001,$AR327),"")))</f>
        <v>40558.0</v>
      </c>
      <c r="C327" s="5">
        <f>IF($A327="","",IF($AP327&lt;&gt;"",INDEX(Raw_D1!$C$2:$C$1001,$AP327),IF($AR327&lt;&gt;"",INDEX(Raw_D3!$C$2:$C$1001,$AR327),"")))</f>
        <v>1</v>
      </c>
      <c r="D327" s="5">
        <f>IF($A327="","",IF($AP327&lt;&gt;"",INDEX(Raw_D1!$D$2:$D$1001,$AP327),IF($AR327&lt;&gt;"",INDEX(Raw_D3!$D$2:$D$1001,$AR327),"")))</f>
        <v>0</v>
      </c>
      <c r="E327" s="5">
        <f>IF($A327="","",IF($AP327&lt;&gt;"",INDEX(Raw_D1!$E$2:$E$1001,$AP327),IF($AR327&lt;&gt;"",INDEX(Raw_D3!$E$2:$E$1001,$AR327),"")))</f>
        <v>1</v>
      </c>
      <c r="F327" s="5">
        <f>IF($A327="","",IF($AP327&lt;&gt;"",INDEX(Raw_D1!$F$2:$F$1001,$AP327),IF($AR327&lt;&gt;"",INDEX(Raw_D3!$F$2:$F$1001,$AR327),"")))</f>
        <v>1</v>
      </c>
      <c r="G327" s="5">
        <f>IF($A327="","",IF($AP327&lt;&gt;"",IF(INDEX(Raw_D1!$G$2:$G$1001,$AP327),1,0),IF($AR327&lt;&gt;"",IF(INDEX(Raw_D3!$G$2:$G$1001,$AR327),1,0),"")))</f>
        <v>0</v>
      </c>
      <c r="H327" s="5">
        <f>IF($A327="","",IF($AP327&lt;&gt;"",INDEX(Raw_D1!$H$2:$H$1001,$AP327),IF($AR327&lt;&gt;"",INDEX(Raw_D3!$H$2:$H$1001,$AR327),"")))</f>
        <v>6</v>
      </c>
      <c r="I327" s="5">
        <f>IF($A327="","",IF($AP327&lt;&gt;"",INDEX(Raw_D1!$I$2:$I$1001,$AP327),IF($AR327&lt;&gt;"",INDEX(Raw_D3!$I$2:$I$1001,$AR327),"")))</f>
        <v>2</v>
      </c>
      <c r="J327" s="16">
        <f>IF($A327="","",IF($AP327&lt;&gt;"",INDEX(Raw_D1!$J$2:$J$1001,$AP327),IF($AR327&lt;&gt;"",INDEX(Raw_D3!$J$2:$J$1001,$AR327),"")))</f>
        <v>0.16</v>
      </c>
      <c r="K327" s="17">
        <f>IF($A327="","",IF($AQ327&lt;&gt;"",IF(INDEX(Raw_D2!$C$2:$C$1001,$AQ327)="","",INDEX(Raw_D2!$C$2:$C$1001,$AQ327)),IF($AR327&lt;&gt;"",IF(INDEX(Raw_D3!$K$2:$K$1001,$AR327)="","",INDEX(Raw_D3!$K$2:$K$1001,$AR327)),"")))</f>
        <v>0.197</v>
      </c>
      <c r="L327" s="16">
        <f>IF($A327="","",IF($AQ327&lt;&gt;"",IF(INDEX(Raw_D2!$D$2:$D$1001,$AQ327)="","",INDEX(Raw_D2!$D$2:$D$1001,$AQ327)),IF($AR327&lt;&gt;"",IF(INDEX(Raw_D3!$L$2:$L$1001,$AR327)="","",INDEX(Raw_D3!$L$2:$L$1001,$AR327)),"")))</f>
        <v>0.59</v>
      </c>
      <c r="M327" s="17">
        <f>IF($A327="","",IF($AQ327&lt;&gt;"",IF(INDEX(Raw_D2!$E$2:$E$1001,$AQ327)="","",INDEX(Raw_D2!$E$2:$E$1001,$AQ327)),IF($AR327&lt;&gt;"",IF(INDEX(Raw_D3!$M$2:$M$1001,$AR327)="","",INDEX(Raw_D3!$M$2:$M$1001,$AR327)),"")))</f>
        <v>0.0896</v>
      </c>
      <c r="N327" s="5">
        <f>IF($A327="","",IF($AQ327&lt;&gt;"",IF(INDEX(Raw_D2!$F$2:$F$1001,$AQ327)="","",INDEX(Raw_D2!$F$2:$F$1001,$AQ327)),IF($AR327&lt;&gt;"",IF(INDEX(Raw_D3!$N$2:$N$1001,$AR327)="","",INDEX(Raw_D3!$N$2:$N$1001,$AR327)),"")))</f>
        <v>2</v>
      </c>
      <c r="O327" s="5">
        <f>IF($A327="","",IF($AQ327&lt;&gt;"",IF(INDEX(Raw_D2!$G$2:$G$1001,$AQ327)="","",INDEX(Raw_D2!$G$2:$G$1001,$AQ327)),IF($AR327&lt;&gt;"",IF(INDEX(Raw_D3!$O$2:$O$1001,$AR327)="","",INDEX(Raw_D3!$O$2:$O$1001,$AR327)),"")))</f>
        <v>18</v>
      </c>
      <c r="P327" s="5">
        <f>IF($A327="","",IF($AQ327&lt;&gt;"",IF(INDEX(Raw_D2!$H$2:$H$1001,$AQ327)="","",INDEX(Raw_D2!$H$2:$H$1001,$AQ327)),IF($AR327&lt;&gt;"",IF(INDEX(Raw_D3!$P$2:$P$1001,$AR327)="","",INDEX(Raw_D3!$P$2:$P$1001,$AR327)),"")))</f>
        <v>20</v>
      </c>
      <c r="Q327" s="5" t="str">
        <f>IF($A327="","",IF(AND($AP327&lt;&gt;"",$AQ327&lt;&gt;""),"D1+D2",IF($AR327&lt;&gt;"","D3","Incomplete")))</f>
        <v>D1+D2</v>
      </c>
      <c r="R327" s="17">
        <f>IF($A327="","",IF($K327="",IF($J327="","",ROUND(Lookups!$K$5+Lookups!$K$4*$J327,4)),$K327))</f>
        <v>0.197</v>
      </c>
      <c r="S327" s="5" t="str">
        <f>IF($A327="","",IF($K327="","Imputed","Original"))</f>
        <v>Original</v>
      </c>
      <c r="T327" s="5" t="str">
        <f>IF($A327="","",IF($P327="","Missing",IF($P327=$N327+$O327,"OK","Mismatch")))</f>
        <v>OK</v>
      </c>
      <c r="U327" s="5" t="str">
        <f>IF($A327="","",IF(COUNTIF($A$2:$A327,$A327)&gt;1,"Duplicate","Unique"))</f>
        <v>Unique</v>
      </c>
      <c r="V327" s="5">
        <f>IF($A327="","",IF(AND($U327="Unique",ISNUMBER($P327)),1,0))</f>
        <v>1</v>
      </c>
      <c r="W327" s="5" t="str">
        <f>IF($A327="","",IF(OR($H327=0,$H327=6),"Weekend","Weekday"))</f>
        <v>Weekend</v>
      </c>
      <c r="X327" s="5" t="str">
        <f>IF($A327="","",TEXT($B327,"ddd"))</f>
        <v>Sat</v>
      </c>
      <c r="Y327" s="5" t="str">
        <f>IF($A327="","",TEXT($B327,"mmm"))</f>
        <v>Jan</v>
      </c>
      <c r="Z327" s="5" t="str">
        <f>IF($A327="","",IFERROR(VLOOKUP($C327,Lookups!$D$4:$E$7,2,FALSE),"Unknown"))</f>
        <v>Winter</v>
      </c>
      <c r="AA327" s="5" t="str">
        <f>IF($A327="","",IFERROR(VLOOKUP($I327,Lookups!$A$4:$B$7,2,FALSE),"Unknown"))</f>
        <v>Mist/Cloudy</v>
      </c>
      <c r="AB327" s="5" t="str">
        <f>IF($A327="","",TEXT($F327,"00")&amp;":00")</f>
        <v>01:00</v>
      </c>
      <c r="AC327" s="5" t="str">
        <f>IF($A327="","",VLOOKUP($F327,Lookups!$G$4:$H$8,2,TRUE))</f>
        <v>Night (00-05)</v>
      </c>
      <c r="AD327" s="18">
        <f>IF($A327="","",IF($J327="","",ROUND($J327*41,1)))</f>
        <v>6.6</v>
      </c>
      <c r="AE327" s="18">
        <f>IF($A327="","",IF($R327="","",ROUND($R327*50,1)))</f>
        <v>9.9</v>
      </c>
      <c r="AF327" s="5">
        <f>IF($A327="","",IF($L327="","",ROUND($L327*100,0)))</f>
        <v>59</v>
      </c>
      <c r="AG327" s="18">
        <f>IF($A327="","",IF($M327="","",ROUND($M327*67,1)))</f>
        <v>6</v>
      </c>
      <c r="AH327" s="19">
        <f>IF($A327="","",IF($P327="","",IF($P327=0,0,$O327/$P327)))</f>
        <v>0.9</v>
      </c>
      <c r="AI327" s="5" t="str">
        <f>IF($A327="","",IF($P327="","",IF($P327&gt;=Lookups!$K$7,"High",IF($P327&lt;=Lookups!$K$8,"Low","Medium"))))</f>
        <v>Medium</v>
      </c>
      <c r="AJ327" s="5" t="str">
        <f>IF($A327="","",IF($AD327="","",IF($AD327&lt;5,"Under 5 C",IF($AD327&lt;10,"5-10 C",IF($AD327&lt;15,"10-15 C","15 C and above")))))</f>
        <v>5-10 C</v>
      </c>
      <c r="AK327" s="5">
        <f>IF($A327="","",IF($P327="","",$P327^2))</f>
        <v>400</v>
      </c>
      <c r="AL327" s="18">
        <f>IF($V327&lt;&gt;1,"",AVERAGEIFS(Clean_Data!$P$2:$P$1001,Clean_Data!$F$2:$F$1001,$F327,Clean_Data!$W$2:$W$1001,$W327,Clean_Data!$V$2:$V$1001,1))</f>
        <v>22.2857142857143</v>
      </c>
      <c r="AM327" s="16">
        <f>IF($V327&lt;&gt;1,"",IFERROR(($P327-$AL327)/SQRT(MAX(0,(SUMIFS(Clean_Data!$AK$2:$AK$1001,Clean_Data!$F$2:$F$1001,$F327,Clean_Data!$W$2:$W$1001,$W327,Clean_Data!$V$2:$V$1001,1)-COUNTIFS(Clean_Data!$F$2:$F$1001,$F327,Clean_Data!$W$2:$W$1001,$W327,Clean_Data!$V$2:$V$1001,1)*$AL327^2)/(COUNTIFS(Clean_Data!$F$2:$F$1001,$F327,Clean_Data!$W$2:$W$1001,$W327,Clean_Data!$V$2:$V$1001,1)-1))),""))</f>
        <v>-0.234903665488546</v>
      </c>
      <c r="AN327" s="5" t="str">
        <f>IF($AM327="","",IF($AM327&gt;=Lookups!$K$6,"High spike",IF($AM327&lt;=-Lookups!$K$6,"Unusual low","Normal")))</f>
        <v>Normal</v>
      </c>
      <c r="AO327" s="20">
        <f>IF($V327&lt;&gt;1,"",$P327+ROW()/100000)</f>
        <v>20.00327</v>
      </c>
      <c r="AP327" s="5">
        <f>IF($A327="","",IFERROR(MATCH($A327,Raw_D1!$A$2:$A$1001,0),""))</f>
        <v>326</v>
      </c>
      <c r="AQ327" s="5">
        <f>IF($A327="","",IFERROR(MATCH($A327,Raw_D2!$B$2:$B$1001,0),""))</f>
        <v>326</v>
      </c>
      <c r="AR327" s="5">
        <f>IF($A327="","",IFERROR(MATCH($A327,Raw_D3!$A$2:$A$1001,0),""))</f>
        <v/>
      </c>
    </row>
    <row r="328" spans="1:44" x14ac:dyDescent="0.25">
      <c r="A328" s="5">
        <v>327</v>
      </c>
      <c r="B328" s="11">
        <f>IF($A328="","",IF($AP328&lt;&gt;"",INDEX(Raw_D1!$B$2:$B$1001,$AP328),IF($AR328&lt;&gt;"",INDEX(Raw_D3!$B$2:$B$1001,$AR328),"")))</f>
        <v>40558.0</v>
      </c>
      <c r="C328" s="5">
        <f>IF($A328="","",IF($AP328&lt;&gt;"",INDEX(Raw_D1!$C$2:$C$1001,$AP328),IF($AR328&lt;&gt;"",INDEX(Raw_D3!$C$2:$C$1001,$AR328),"")))</f>
        <v>1</v>
      </c>
      <c r="D328" s="5">
        <f>IF($A328="","",IF($AP328&lt;&gt;"",INDEX(Raw_D1!$D$2:$D$1001,$AP328),IF($AR328&lt;&gt;"",INDEX(Raw_D3!$D$2:$D$1001,$AR328),"")))</f>
        <v>0</v>
      </c>
      <c r="E328" s="5">
        <f>IF($A328="","",IF($AP328&lt;&gt;"",INDEX(Raw_D1!$E$2:$E$1001,$AP328),IF($AR328&lt;&gt;"",INDEX(Raw_D3!$E$2:$E$1001,$AR328),"")))</f>
        <v>1</v>
      </c>
      <c r="F328" s="5">
        <f>IF($A328="","",IF($AP328&lt;&gt;"",INDEX(Raw_D1!$F$2:$F$1001,$AP328),IF($AR328&lt;&gt;"",INDEX(Raw_D3!$F$2:$F$1001,$AR328),"")))</f>
        <v>2</v>
      </c>
      <c r="G328" s="5">
        <f>IF($A328="","",IF($AP328&lt;&gt;"",IF(INDEX(Raw_D1!$G$2:$G$1001,$AP328),1,0),IF($AR328&lt;&gt;"",IF(INDEX(Raw_D3!$G$2:$G$1001,$AR328),1,0),"")))</f>
        <v>0</v>
      </c>
      <c r="H328" s="5">
        <f>IF($A328="","",IF($AP328&lt;&gt;"",INDEX(Raw_D1!$H$2:$H$1001,$AP328),IF($AR328&lt;&gt;"",INDEX(Raw_D3!$H$2:$H$1001,$AR328),"")))</f>
        <v>6</v>
      </c>
      <c r="I328" s="5">
        <f>IF($A328="","",IF($AP328&lt;&gt;"",INDEX(Raw_D1!$I$2:$I$1001,$AP328),IF($AR328&lt;&gt;"",INDEX(Raw_D3!$I$2:$I$1001,$AR328),"")))</f>
        <v>2</v>
      </c>
      <c r="J328" s="16">
        <f>IF($A328="","",IF($AP328&lt;&gt;"",INDEX(Raw_D1!$J$2:$J$1001,$AP328),IF($AR328&lt;&gt;"",INDEX(Raw_D3!$J$2:$J$1001,$AR328),"")))</f>
        <v>0.16</v>
      </c>
      <c r="K328" s="17">
        <f>IF($A328="","",IF($AQ328&lt;&gt;"",IF(INDEX(Raw_D2!$C$2:$C$1001,$AQ328)="","",INDEX(Raw_D2!$C$2:$C$1001,$AQ328)),IF($AR328&lt;&gt;"",IF(INDEX(Raw_D3!$K$2:$K$1001,$AR328)="","",INDEX(Raw_D3!$K$2:$K$1001,$AR328)),"")))</f>
        <v>0.197</v>
      </c>
      <c r="L328" s="16">
        <f>IF($A328="","",IF($AQ328&lt;&gt;"",IF(INDEX(Raw_D2!$D$2:$D$1001,$AQ328)="","",INDEX(Raw_D2!$D$2:$D$1001,$AQ328)),IF($AR328&lt;&gt;"",IF(INDEX(Raw_D3!$L$2:$L$1001,$AR328)="","",INDEX(Raw_D3!$L$2:$L$1001,$AR328)),"")))</f>
        <v>0.59</v>
      </c>
      <c r="M328" s="17">
        <f>IF($A328="","",IF($AQ328&lt;&gt;"",IF(INDEX(Raw_D2!$E$2:$E$1001,$AQ328)="","",INDEX(Raw_D2!$E$2:$E$1001,$AQ328)),IF($AR328&lt;&gt;"",IF(INDEX(Raw_D3!$M$2:$M$1001,$AR328)="","",INDEX(Raw_D3!$M$2:$M$1001,$AR328)),"")))</f>
        <v>0.0896</v>
      </c>
      <c r="N328" s="5">
        <f>IF($A328="","",IF($AQ328&lt;&gt;"",IF(INDEX(Raw_D2!$F$2:$F$1001,$AQ328)="","",INDEX(Raw_D2!$F$2:$F$1001,$AQ328)),IF($AR328&lt;&gt;"",IF(INDEX(Raw_D3!$N$2:$N$1001,$AR328)="","",INDEX(Raw_D3!$N$2:$N$1001,$AR328)),"")))</f>
        <v>0</v>
      </c>
      <c r="O328" s="5">
        <f>IF($A328="","",IF($AQ328&lt;&gt;"",IF(INDEX(Raw_D2!$G$2:$G$1001,$AQ328)="","",INDEX(Raw_D2!$G$2:$G$1001,$AQ328)),IF($AR328&lt;&gt;"",IF(INDEX(Raw_D3!$O$2:$O$1001,$AR328)="","",INDEX(Raw_D3!$O$2:$O$1001,$AR328)),"")))</f>
        <v>12</v>
      </c>
      <c r="P328" s="5">
        <f>IF($A328="","",IF($AQ328&lt;&gt;"",IF(INDEX(Raw_D2!$H$2:$H$1001,$AQ328)="","",INDEX(Raw_D2!$H$2:$H$1001,$AQ328)),IF($AR328&lt;&gt;"",IF(INDEX(Raw_D3!$P$2:$P$1001,$AR328)="","",INDEX(Raw_D3!$P$2:$P$1001,$AR328)),"")))</f>
        <v>12</v>
      </c>
      <c r="Q328" s="5" t="str">
        <f>IF($A328="","",IF(AND($AP328&lt;&gt;"",$AQ328&lt;&gt;""),"D1+D2",IF($AR328&lt;&gt;"","D3","Incomplete")))</f>
        <v>D1+D2</v>
      </c>
      <c r="R328" s="17">
        <f>IF($A328="","",IF($K328="",IF($J328="","",ROUND(Lookups!$K$5+Lookups!$K$4*$J328,4)),$K328))</f>
        <v>0.197</v>
      </c>
      <c r="S328" s="5" t="str">
        <f>IF($A328="","",IF($K328="","Imputed","Original"))</f>
        <v>Original</v>
      </c>
      <c r="T328" s="5" t="str">
        <f>IF($A328="","",IF($P328="","Missing",IF($P328=$N328+$O328,"OK","Mismatch")))</f>
        <v>OK</v>
      </c>
      <c r="U328" s="5" t="str">
        <f>IF($A328="","",IF(COUNTIF($A$2:$A328,$A328)&gt;1,"Duplicate","Unique"))</f>
        <v>Unique</v>
      </c>
      <c r="V328" s="5">
        <f>IF($A328="","",IF(AND($U328="Unique",ISNUMBER($P328)),1,0))</f>
        <v>1</v>
      </c>
      <c r="W328" s="5" t="str">
        <f>IF($A328="","",IF(OR($H328=0,$H328=6),"Weekend","Weekday"))</f>
        <v>Weekend</v>
      </c>
      <c r="X328" s="5" t="str">
        <f>IF($A328="","",TEXT($B328,"ddd"))</f>
        <v>Sat</v>
      </c>
      <c r="Y328" s="5" t="str">
        <f>IF($A328="","",TEXT($B328,"mmm"))</f>
        <v>Jan</v>
      </c>
      <c r="Z328" s="5" t="str">
        <f>IF($A328="","",IFERROR(VLOOKUP($C328,Lookups!$D$4:$E$7,2,FALSE),"Unknown"))</f>
        <v>Winter</v>
      </c>
      <c r="AA328" s="5" t="str">
        <f>IF($A328="","",IFERROR(VLOOKUP($I328,Lookups!$A$4:$B$7,2,FALSE),"Unknown"))</f>
        <v>Mist/Cloudy</v>
      </c>
      <c r="AB328" s="5" t="str">
        <f>IF($A328="","",TEXT($F328,"00")&amp;":00")</f>
        <v>02:00</v>
      </c>
      <c r="AC328" s="5" t="str">
        <f>IF($A328="","",VLOOKUP($F328,Lookups!$G$4:$H$8,2,TRUE))</f>
        <v>Night (00-05)</v>
      </c>
      <c r="AD328" s="18">
        <f>IF($A328="","",IF($J328="","",ROUND($J328*41,1)))</f>
        <v>6.6</v>
      </c>
      <c r="AE328" s="18">
        <f>IF($A328="","",IF($R328="","",ROUND($R328*50,1)))</f>
        <v>9.9</v>
      </c>
      <c r="AF328" s="5">
        <f>IF($A328="","",IF($L328="","",ROUND($L328*100,0)))</f>
        <v>59</v>
      </c>
      <c r="AG328" s="18">
        <f>IF($A328="","",IF($M328="","",ROUND($M328*67,1)))</f>
        <v>6</v>
      </c>
      <c r="AH328" s="19">
        <f>IF($A328="","",IF($P328="","",IF($P328=0,0,$O328/$P328)))</f>
        <v>1</v>
      </c>
      <c r="AI328" s="5" t="str">
        <f>IF($A328="","",IF($P328="","",IF($P328&gt;=Lookups!$K$7,"High",IF($P328&lt;=Lookups!$K$8,"Low","Medium"))))</f>
        <v>Low</v>
      </c>
      <c r="AJ328" s="5" t="str">
        <f>IF($A328="","",IF($AD328="","",IF($AD328&lt;5,"Under 5 C",IF($AD328&lt;10,"5-10 C",IF($AD328&lt;15,"10-15 C","15 C and above")))))</f>
        <v>5-10 C</v>
      </c>
      <c r="AK328" s="5">
        <f>IF($A328="","",IF($P328="","",$P328^2))</f>
        <v>144</v>
      </c>
      <c r="AL328" s="18">
        <f>IF($V328&lt;&gt;1,"",AVERAGEIFS(Clean_Data!$P$2:$P$1001,Clean_Data!$F$2:$F$1001,$F328,Clean_Data!$W$2:$W$1001,$W328,Clean_Data!$V$2:$V$1001,1))</f>
        <v>15.9285714285714</v>
      </c>
      <c r="AM328" s="16">
        <f>IF($V328&lt;&gt;1,"",IFERROR(($P328-$AL328)/SQRT(MAX(0,(SUMIFS(Clean_Data!$AK$2:$AK$1001,Clean_Data!$F$2:$F$1001,$F328,Clean_Data!$W$2:$W$1001,$W328,Clean_Data!$V$2:$V$1001,1)-COUNTIFS(Clean_Data!$F$2:$F$1001,$F328,Clean_Data!$W$2:$W$1001,$W328,Clean_Data!$V$2:$V$1001,1)*$AL328^2)/(COUNTIFS(Clean_Data!$F$2:$F$1001,$F328,Clean_Data!$W$2:$W$1001,$W328,Clean_Data!$V$2:$V$1001,1)-1))),""))</f>
        <v>-0.679199505091811</v>
      </c>
      <c r="AN328" s="5" t="str">
        <f>IF($AM328="","",IF($AM328&gt;=Lookups!$K$6,"High spike",IF($AM328&lt;=-Lookups!$K$6,"Unusual low","Normal")))</f>
        <v>Normal</v>
      </c>
      <c r="AO328" s="20">
        <f>IF($V328&lt;&gt;1,"",$P328+ROW()/100000)</f>
        <v>12.00328</v>
      </c>
      <c r="AP328" s="5">
        <f>IF($A328="","",IFERROR(MATCH($A328,Raw_D1!$A$2:$A$1001,0),""))</f>
        <v>327</v>
      </c>
      <c r="AQ328" s="5">
        <f>IF($A328="","",IFERROR(MATCH($A328,Raw_D2!$B$2:$B$1001,0),""))</f>
        <v>327</v>
      </c>
      <c r="AR328" s="5">
        <f>IF($A328="","",IFERROR(MATCH($A328,Raw_D3!$A$2:$A$1001,0),""))</f>
        <v/>
      </c>
    </row>
    <row r="329" spans="1:44" x14ac:dyDescent="0.25">
      <c r="A329" s="5">
        <v>328</v>
      </c>
      <c r="B329" s="11">
        <f>IF($A329="","",IF($AP329&lt;&gt;"",INDEX(Raw_D1!$B$2:$B$1001,$AP329),IF($AR329&lt;&gt;"",INDEX(Raw_D3!$B$2:$B$1001,$AR329),"")))</f>
        <v>40558.0</v>
      </c>
      <c r="C329" s="5">
        <f>IF($A329="","",IF($AP329&lt;&gt;"",INDEX(Raw_D1!$C$2:$C$1001,$AP329),IF($AR329&lt;&gt;"",INDEX(Raw_D3!$C$2:$C$1001,$AR329),"")))</f>
        <v>1</v>
      </c>
      <c r="D329" s="5">
        <f>IF($A329="","",IF($AP329&lt;&gt;"",INDEX(Raw_D1!$D$2:$D$1001,$AP329),IF($AR329&lt;&gt;"",INDEX(Raw_D3!$D$2:$D$1001,$AR329),"")))</f>
        <v>0</v>
      </c>
      <c r="E329" s="5">
        <f>IF($A329="","",IF($AP329&lt;&gt;"",INDEX(Raw_D1!$E$2:$E$1001,$AP329),IF($AR329&lt;&gt;"",INDEX(Raw_D3!$E$2:$E$1001,$AR329),"")))</f>
        <v>1</v>
      </c>
      <c r="F329" s="5">
        <f>IF($A329="","",IF($AP329&lt;&gt;"",INDEX(Raw_D1!$F$2:$F$1001,$AP329),IF($AR329&lt;&gt;"",INDEX(Raw_D3!$F$2:$F$1001,$AR329),"")))</f>
        <v>3</v>
      </c>
      <c r="G329" s="5">
        <f>IF($A329="","",IF($AP329&lt;&gt;"",IF(INDEX(Raw_D1!$G$2:$G$1001,$AP329),1,0),IF($AR329&lt;&gt;"",IF(INDEX(Raw_D3!$G$2:$G$1001,$AR329),1,0),"")))</f>
        <v>0</v>
      </c>
      <c r="H329" s="5">
        <f>IF($A329="","",IF($AP329&lt;&gt;"",INDEX(Raw_D1!$H$2:$H$1001,$AP329),IF($AR329&lt;&gt;"",INDEX(Raw_D3!$H$2:$H$1001,$AR329),"")))</f>
        <v>6</v>
      </c>
      <c r="I329" s="5">
        <f>IF($A329="","",IF($AP329&lt;&gt;"",INDEX(Raw_D1!$I$2:$I$1001,$AP329),IF($AR329&lt;&gt;"",INDEX(Raw_D3!$I$2:$I$1001,$AR329),"")))</f>
        <v>2</v>
      </c>
      <c r="J329" s="16">
        <f>IF($A329="","",IF($AP329&lt;&gt;"",INDEX(Raw_D1!$J$2:$J$1001,$AP329),IF($AR329&lt;&gt;"",INDEX(Raw_D3!$J$2:$J$1001,$AR329),"")))</f>
        <v>0.16</v>
      </c>
      <c r="K329" s="17">
        <f>IF($A329="","",IF($AQ329&lt;&gt;"",IF(INDEX(Raw_D2!$C$2:$C$1001,$AQ329)="","",INDEX(Raw_D2!$C$2:$C$1001,$AQ329)),IF($AR329&lt;&gt;"",IF(INDEX(Raw_D3!$K$2:$K$1001,$AR329)="","",INDEX(Raw_D3!$K$2:$K$1001,$AR329)),"")))</f>
        <v>0.2273</v>
      </c>
      <c r="L329" s="16">
        <f>IF($A329="","",IF($AQ329&lt;&gt;"",IF(INDEX(Raw_D2!$D$2:$D$1001,$AQ329)="","",INDEX(Raw_D2!$D$2:$D$1001,$AQ329)),IF($AR329&lt;&gt;"",IF(INDEX(Raw_D3!$L$2:$L$1001,$AR329)="","",INDEX(Raw_D3!$L$2:$L$1001,$AR329)),"")))</f>
        <v>0.59</v>
      </c>
      <c r="M329" s="17">
        <f>IF($A329="","",IF($AQ329&lt;&gt;"",IF(INDEX(Raw_D2!$E$2:$E$1001,$AQ329)="","",INDEX(Raw_D2!$E$2:$E$1001,$AQ329)),IF($AR329&lt;&gt;"",IF(INDEX(Raw_D3!$M$2:$M$1001,$AR329)="","",INDEX(Raw_D3!$M$2:$M$1001,$AR329)),"")))</f>
        <v>0</v>
      </c>
      <c r="N329" s="5">
        <f>IF($A329="","",IF($AQ329&lt;&gt;"",IF(INDEX(Raw_D2!$F$2:$F$1001,$AQ329)="","",INDEX(Raw_D2!$F$2:$F$1001,$AQ329)),IF($AR329&lt;&gt;"",IF(INDEX(Raw_D3!$N$2:$N$1001,$AR329)="","",INDEX(Raw_D3!$N$2:$N$1001,$AR329)),"")))</f>
        <v>1</v>
      </c>
      <c r="O329" s="5">
        <f>IF($A329="","",IF($AQ329&lt;&gt;"",IF(INDEX(Raw_D2!$G$2:$G$1001,$AQ329)="","",INDEX(Raw_D2!$G$2:$G$1001,$AQ329)),IF($AR329&lt;&gt;"",IF(INDEX(Raw_D3!$O$2:$O$1001,$AR329)="","",INDEX(Raw_D3!$O$2:$O$1001,$AR329)),"")))</f>
        <v>7</v>
      </c>
      <c r="P329" s="5">
        <f>IF($A329="","",IF($AQ329&lt;&gt;"",IF(INDEX(Raw_D2!$H$2:$H$1001,$AQ329)="","",INDEX(Raw_D2!$H$2:$H$1001,$AQ329)),IF($AR329&lt;&gt;"",IF(INDEX(Raw_D3!$P$2:$P$1001,$AR329)="","",INDEX(Raw_D3!$P$2:$P$1001,$AR329)),"")))</f>
        <v>8</v>
      </c>
      <c r="Q329" s="5" t="str">
        <f>IF($A329="","",IF(AND($AP329&lt;&gt;"",$AQ329&lt;&gt;""),"D1+D2",IF($AR329&lt;&gt;"","D3","Incomplete")))</f>
        <v>D1+D2</v>
      </c>
      <c r="R329" s="17">
        <f>IF($A329="","",IF($K329="",IF($J329="","",ROUND(Lookups!$K$5+Lookups!$K$4*$J329,4)),$K329))</f>
        <v>0.2273</v>
      </c>
      <c r="S329" s="5" t="str">
        <f>IF($A329="","",IF($K329="","Imputed","Original"))</f>
        <v>Original</v>
      </c>
      <c r="T329" s="5" t="str">
        <f>IF($A329="","",IF($P329="","Missing",IF($P329=$N329+$O329,"OK","Mismatch")))</f>
        <v>OK</v>
      </c>
      <c r="U329" s="5" t="str">
        <f>IF($A329="","",IF(COUNTIF($A$2:$A329,$A329)&gt;1,"Duplicate","Unique"))</f>
        <v>Unique</v>
      </c>
      <c r="V329" s="5">
        <f>IF($A329="","",IF(AND($U329="Unique",ISNUMBER($P329)),1,0))</f>
        <v>1</v>
      </c>
      <c r="W329" s="5" t="str">
        <f>IF($A329="","",IF(OR($H329=0,$H329=6),"Weekend","Weekday"))</f>
        <v>Weekend</v>
      </c>
      <c r="X329" s="5" t="str">
        <f>IF($A329="","",TEXT($B329,"ddd"))</f>
        <v>Sat</v>
      </c>
      <c r="Y329" s="5" t="str">
        <f>IF($A329="","",TEXT($B329,"mmm"))</f>
        <v>Jan</v>
      </c>
      <c r="Z329" s="5" t="str">
        <f>IF($A329="","",IFERROR(VLOOKUP($C329,Lookups!$D$4:$E$7,2,FALSE),"Unknown"))</f>
        <v>Winter</v>
      </c>
      <c r="AA329" s="5" t="str">
        <f>IF($A329="","",IFERROR(VLOOKUP($I329,Lookups!$A$4:$B$7,2,FALSE),"Unknown"))</f>
        <v>Mist/Cloudy</v>
      </c>
      <c r="AB329" s="5" t="str">
        <f>IF($A329="","",TEXT($F329,"00")&amp;":00")</f>
        <v>03:00</v>
      </c>
      <c r="AC329" s="5" t="str">
        <f>IF($A329="","",VLOOKUP($F329,Lookups!$G$4:$H$8,2,TRUE))</f>
        <v>Night (00-05)</v>
      </c>
      <c r="AD329" s="18">
        <f>IF($A329="","",IF($J329="","",ROUND($J329*41,1)))</f>
        <v>6.6</v>
      </c>
      <c r="AE329" s="18">
        <f>IF($A329="","",IF($R329="","",ROUND($R329*50,1)))</f>
        <v>11.4</v>
      </c>
      <c r="AF329" s="5">
        <f>IF($A329="","",IF($L329="","",ROUND($L329*100,0)))</f>
        <v>59</v>
      </c>
      <c r="AG329" s="18">
        <f>IF($A329="","",IF($M329="","",ROUND($M329*67,1)))</f>
        <v>0</v>
      </c>
      <c r="AH329" s="19">
        <f>IF($A329="","",IF($P329="","",IF($P329=0,0,$O329/$P329)))</f>
        <v>0.875</v>
      </c>
      <c r="AI329" s="5" t="str">
        <f>IF($A329="","",IF($P329="","",IF($P329&gt;=Lookups!$K$7,"High",IF($P329&lt;=Lookups!$K$8,"Low","Medium"))))</f>
        <v>Low</v>
      </c>
      <c r="AJ329" s="5" t="str">
        <f>IF($A329="","",IF($AD329="","",IF($AD329&lt;5,"Under 5 C",IF($AD329&lt;10,"5-10 C",IF($AD329&lt;15,"10-15 C","15 C and above")))))</f>
        <v>5-10 C</v>
      </c>
      <c r="AK329" s="5">
        <f>IF($A329="","",IF($P329="","",$P329^2))</f>
        <v>64</v>
      </c>
      <c r="AL329" s="18">
        <f>IF($V329&lt;&gt;1,"",AVERAGEIFS(Clean_Data!$P$2:$P$1001,Clean_Data!$F$2:$F$1001,$F329,Clean_Data!$W$2:$W$1001,$W329,Clean_Data!$V$2:$V$1001,1))</f>
        <v>9.07142857142857</v>
      </c>
      <c r="AM329" s="16">
        <f>IF($V329&lt;&gt;1,"",IFERROR(($P329-$AL329)/SQRT(MAX(0,(SUMIFS(Clean_Data!$AK$2:$AK$1001,Clean_Data!$F$2:$F$1001,$F329,Clean_Data!$W$2:$W$1001,$W329,Clean_Data!$V$2:$V$1001,1)-COUNTIFS(Clean_Data!$F$2:$F$1001,$F329,Clean_Data!$W$2:$W$1001,$W329,Clean_Data!$V$2:$V$1001,1)*$AL329^2)/(COUNTIFS(Clean_Data!$F$2:$F$1001,$F329,Clean_Data!$W$2:$W$1001,$W329,Clean_Data!$V$2:$V$1001,1)-1))),""))</f>
        <v>-0.323128580714316</v>
      </c>
      <c r="AN329" s="5" t="str">
        <f>IF($AM329="","",IF($AM329&gt;=Lookups!$K$6,"High spike",IF($AM329&lt;=-Lookups!$K$6,"Unusual low","Normal")))</f>
        <v>Normal</v>
      </c>
      <c r="AO329" s="20">
        <f>IF($V329&lt;&gt;1,"",$P329+ROW()/100000)</f>
        <v>8.00329</v>
      </c>
      <c r="AP329" s="5">
        <f>IF($A329="","",IFERROR(MATCH($A329,Raw_D1!$A$2:$A$1001,0),""))</f>
        <v>328</v>
      </c>
      <c r="AQ329" s="5">
        <f>IF($A329="","",IFERROR(MATCH($A329,Raw_D2!$B$2:$B$1001,0),""))</f>
        <v>328</v>
      </c>
      <c r="AR329" s="5">
        <f>IF($A329="","",IFERROR(MATCH($A329,Raw_D3!$A$2:$A$1001,0),""))</f>
        <v/>
      </c>
    </row>
    <row r="330" spans="1:44" x14ac:dyDescent="0.25">
      <c r="A330" s="5">
        <v>329</v>
      </c>
      <c r="B330" s="11">
        <f>IF($A330="","",IF($AP330&lt;&gt;"",INDEX(Raw_D1!$B$2:$B$1001,$AP330),IF($AR330&lt;&gt;"",INDEX(Raw_D3!$B$2:$B$1001,$AR330),"")))</f>
        <v>40558.0</v>
      </c>
      <c r="C330" s="5">
        <f>IF($A330="","",IF($AP330&lt;&gt;"",INDEX(Raw_D1!$C$2:$C$1001,$AP330),IF($AR330&lt;&gt;"",INDEX(Raw_D3!$C$2:$C$1001,$AR330),"")))</f>
        <v>1</v>
      </c>
      <c r="D330" s="5">
        <f>IF($A330="","",IF($AP330&lt;&gt;"",INDEX(Raw_D1!$D$2:$D$1001,$AP330),IF($AR330&lt;&gt;"",INDEX(Raw_D3!$D$2:$D$1001,$AR330),"")))</f>
        <v>0</v>
      </c>
      <c r="E330" s="5">
        <f>IF($A330="","",IF($AP330&lt;&gt;"",INDEX(Raw_D1!$E$2:$E$1001,$AP330),IF($AR330&lt;&gt;"",INDEX(Raw_D3!$E$2:$E$1001,$AR330),"")))</f>
        <v>1</v>
      </c>
      <c r="F330" s="5">
        <f>IF($A330="","",IF($AP330&lt;&gt;"",INDEX(Raw_D1!$F$2:$F$1001,$AP330),IF($AR330&lt;&gt;"",INDEX(Raw_D3!$F$2:$F$1001,$AR330),"")))</f>
        <v>4</v>
      </c>
      <c r="G330" s="5">
        <f>IF($A330="","",IF($AP330&lt;&gt;"",IF(INDEX(Raw_D1!$G$2:$G$1001,$AP330),1,0),IF($AR330&lt;&gt;"",IF(INDEX(Raw_D3!$G$2:$G$1001,$AR330),1,0),"")))</f>
        <v>0</v>
      </c>
      <c r="H330" s="5">
        <f>IF($A330="","",IF($AP330&lt;&gt;"",INDEX(Raw_D1!$H$2:$H$1001,$AP330),IF($AR330&lt;&gt;"",INDEX(Raw_D3!$H$2:$H$1001,$AR330),"")))</f>
        <v>6</v>
      </c>
      <c r="I330" s="5">
        <f>IF($A330="","",IF($AP330&lt;&gt;"",INDEX(Raw_D1!$I$2:$I$1001,$AP330),IF($AR330&lt;&gt;"",INDEX(Raw_D3!$I$2:$I$1001,$AR330),"")))</f>
        <v>2</v>
      </c>
      <c r="J330" s="16">
        <f>IF($A330="","",IF($AP330&lt;&gt;"",INDEX(Raw_D1!$J$2:$J$1001,$AP330),IF($AR330&lt;&gt;"",INDEX(Raw_D3!$J$2:$J$1001,$AR330),"")))</f>
        <v>0.16</v>
      </c>
      <c r="K330" s="17">
        <f>IF($A330="","",IF($AQ330&lt;&gt;"",IF(INDEX(Raw_D2!$C$2:$C$1001,$AQ330)="","",INDEX(Raw_D2!$C$2:$C$1001,$AQ330)),IF($AR330&lt;&gt;"",IF(INDEX(Raw_D3!$K$2:$K$1001,$AR330)="","",INDEX(Raw_D3!$K$2:$K$1001,$AR330)),"")))</f>
        <v>0.2273</v>
      </c>
      <c r="L330" s="16">
        <f>IF($A330="","",IF($AQ330&lt;&gt;"",IF(INDEX(Raw_D2!$D$2:$D$1001,$AQ330)="","",INDEX(Raw_D2!$D$2:$D$1001,$AQ330)),IF($AR330&lt;&gt;"",IF(INDEX(Raw_D3!$L$2:$L$1001,$AR330)="","",INDEX(Raw_D3!$L$2:$L$1001,$AR330)),"")))</f>
        <v>0.59</v>
      </c>
      <c r="M330" s="17">
        <f>IF($A330="","",IF($AQ330&lt;&gt;"",IF(INDEX(Raw_D2!$E$2:$E$1001,$AQ330)="","",INDEX(Raw_D2!$E$2:$E$1001,$AQ330)),IF($AR330&lt;&gt;"",IF(INDEX(Raw_D3!$M$2:$M$1001,$AR330)="","",INDEX(Raw_D3!$M$2:$M$1001,$AR330)),"")))</f>
        <v>0</v>
      </c>
      <c r="N330" s="5">
        <f>IF($A330="","",IF($AQ330&lt;&gt;"",IF(INDEX(Raw_D2!$F$2:$F$1001,$AQ330)="","",INDEX(Raw_D2!$F$2:$F$1001,$AQ330)),IF($AR330&lt;&gt;"",IF(INDEX(Raw_D3!$N$2:$N$1001,$AR330)="","",INDEX(Raw_D3!$N$2:$N$1001,$AR330)),"")))</f>
        <v>0</v>
      </c>
      <c r="O330" s="5">
        <f>IF($A330="","",IF($AQ330&lt;&gt;"",IF(INDEX(Raw_D2!$G$2:$G$1001,$AQ330)="","",INDEX(Raw_D2!$G$2:$G$1001,$AQ330)),IF($AR330&lt;&gt;"",IF(INDEX(Raw_D3!$O$2:$O$1001,$AR330)="","",INDEX(Raw_D3!$O$2:$O$1001,$AR330)),"")))</f>
        <v>5</v>
      </c>
      <c r="P330" s="5">
        <f>IF($A330="","",IF($AQ330&lt;&gt;"",IF(INDEX(Raw_D2!$H$2:$H$1001,$AQ330)="","",INDEX(Raw_D2!$H$2:$H$1001,$AQ330)),IF($AR330&lt;&gt;"",IF(INDEX(Raw_D3!$P$2:$P$1001,$AR330)="","",INDEX(Raw_D3!$P$2:$P$1001,$AR330)),"")))</f>
        <v>5</v>
      </c>
      <c r="Q330" s="5" t="str">
        <f>IF($A330="","",IF(AND($AP330&lt;&gt;"",$AQ330&lt;&gt;""),"D1+D2",IF($AR330&lt;&gt;"","D3","Incomplete")))</f>
        <v>D1+D2</v>
      </c>
      <c r="R330" s="17">
        <f>IF($A330="","",IF($K330="",IF($J330="","",ROUND(Lookups!$K$5+Lookups!$K$4*$J330,4)),$K330))</f>
        <v>0.2273</v>
      </c>
      <c r="S330" s="5" t="str">
        <f>IF($A330="","",IF($K330="","Imputed","Original"))</f>
        <v>Original</v>
      </c>
      <c r="T330" s="5" t="str">
        <f>IF($A330="","",IF($P330="","Missing",IF($P330=$N330+$O330,"OK","Mismatch")))</f>
        <v>OK</v>
      </c>
      <c r="U330" s="5" t="str">
        <f>IF($A330="","",IF(COUNTIF($A$2:$A330,$A330)&gt;1,"Duplicate","Unique"))</f>
        <v>Unique</v>
      </c>
      <c r="V330" s="5">
        <f>IF($A330="","",IF(AND($U330="Unique",ISNUMBER($P330)),1,0))</f>
        <v>1</v>
      </c>
      <c r="W330" s="5" t="str">
        <f>IF($A330="","",IF(OR($H330=0,$H330=6),"Weekend","Weekday"))</f>
        <v>Weekend</v>
      </c>
      <c r="X330" s="5" t="str">
        <f>IF($A330="","",TEXT($B330,"ddd"))</f>
        <v>Sat</v>
      </c>
      <c r="Y330" s="5" t="str">
        <f>IF($A330="","",TEXT($B330,"mmm"))</f>
        <v>Jan</v>
      </c>
      <c r="Z330" s="5" t="str">
        <f>IF($A330="","",IFERROR(VLOOKUP($C330,Lookups!$D$4:$E$7,2,FALSE),"Unknown"))</f>
        <v>Winter</v>
      </c>
      <c r="AA330" s="5" t="str">
        <f>IF($A330="","",IFERROR(VLOOKUP($I330,Lookups!$A$4:$B$7,2,FALSE),"Unknown"))</f>
        <v>Mist/Cloudy</v>
      </c>
      <c r="AB330" s="5" t="str">
        <f>IF($A330="","",TEXT($F330,"00")&amp;":00")</f>
        <v>04:00</v>
      </c>
      <c r="AC330" s="5" t="str">
        <f>IF($A330="","",VLOOKUP($F330,Lookups!$G$4:$H$8,2,TRUE))</f>
        <v>Night (00-05)</v>
      </c>
      <c r="AD330" s="18">
        <f>IF($A330="","",IF($J330="","",ROUND($J330*41,1)))</f>
        <v>6.6</v>
      </c>
      <c r="AE330" s="18">
        <f>IF($A330="","",IF($R330="","",ROUND($R330*50,1)))</f>
        <v>11.4</v>
      </c>
      <c r="AF330" s="5">
        <f>IF($A330="","",IF($L330="","",ROUND($L330*100,0)))</f>
        <v>59</v>
      </c>
      <c r="AG330" s="18">
        <f>IF($A330="","",IF($M330="","",ROUND($M330*67,1)))</f>
        <v>0</v>
      </c>
      <c r="AH330" s="19">
        <f>IF($A330="","",IF($P330="","",IF($P330=0,0,$O330/$P330)))</f>
        <v>1</v>
      </c>
      <c r="AI330" s="5" t="str">
        <f>IF($A330="","",IF($P330="","",IF($P330&gt;=Lookups!$K$7,"High",IF($P330&lt;=Lookups!$K$8,"Low","Medium"))))</f>
        <v>Low</v>
      </c>
      <c r="AJ330" s="5" t="str">
        <f>IF($A330="","",IF($AD330="","",IF($AD330&lt;5,"Under 5 C",IF($AD330&lt;10,"5-10 C",IF($AD330&lt;15,"10-15 C","15 C and above")))))</f>
        <v>5-10 C</v>
      </c>
      <c r="AK330" s="5">
        <f>IF($A330="","",IF($P330="","",$P330^2))</f>
        <v>25</v>
      </c>
      <c r="AL330" s="18">
        <f>IF($V330&lt;&gt;1,"",AVERAGEIFS(Clean_Data!$P$2:$P$1001,Clean_Data!$F$2:$F$1001,$F330,Clean_Data!$W$2:$W$1001,$W330,Clean_Data!$V$2:$V$1001,1))</f>
        <v>2.69230769230769</v>
      </c>
      <c r="AM330" s="16">
        <f>IF($V330&lt;&gt;1,"",IFERROR(($P330-$AL330)/SQRT(MAX(0,(SUMIFS(Clean_Data!$AK$2:$AK$1001,Clean_Data!$F$2:$F$1001,$F330,Clean_Data!$W$2:$W$1001,$W330,Clean_Data!$V$2:$V$1001,1)-COUNTIFS(Clean_Data!$F$2:$F$1001,$F330,Clean_Data!$W$2:$W$1001,$W330,Clean_Data!$V$2:$V$1001,1)*$AL330^2)/(COUNTIFS(Clean_Data!$F$2:$F$1001,$F330,Clean_Data!$W$2:$W$1001,$W330,Clean_Data!$V$2:$V$1001,1)-1))),""))</f>
        <v>1.12193638801015</v>
      </c>
      <c r="AN330" s="5" t="str">
        <f>IF($AM330="","",IF($AM330&gt;=Lookups!$K$6,"High spike",IF($AM330&lt;=-Lookups!$K$6,"Unusual low","Normal")))</f>
        <v>Normal</v>
      </c>
      <c r="AO330" s="20">
        <f>IF($V330&lt;&gt;1,"",$P330+ROW()/100000)</f>
        <v>5.0033</v>
      </c>
      <c r="AP330" s="5">
        <f>IF($A330="","",IFERROR(MATCH($A330,Raw_D1!$A$2:$A$1001,0),""))</f>
        <v>329</v>
      </c>
      <c r="AQ330" s="5">
        <f>IF($A330="","",IFERROR(MATCH($A330,Raw_D2!$B$2:$B$1001,0),""))</f>
        <v>329</v>
      </c>
      <c r="AR330" s="5">
        <f>IF($A330="","",IFERROR(MATCH($A330,Raw_D3!$A$2:$A$1001,0),""))</f>
        <v/>
      </c>
    </row>
    <row r="331" spans="1:44" x14ac:dyDescent="0.25">
      <c r="A331" s="5">
        <v>330</v>
      </c>
      <c r="B331" s="11">
        <f>IF($A331="","",IF($AP331&lt;&gt;"",INDEX(Raw_D1!$B$2:$B$1001,$AP331),IF($AR331&lt;&gt;"",INDEX(Raw_D3!$B$2:$B$1001,$AR331),"")))</f>
        <v>40558.0</v>
      </c>
      <c r="C331" s="5">
        <f>IF($A331="","",IF($AP331&lt;&gt;"",INDEX(Raw_D1!$C$2:$C$1001,$AP331),IF($AR331&lt;&gt;"",INDEX(Raw_D3!$C$2:$C$1001,$AR331),"")))</f>
        <v>1</v>
      </c>
      <c r="D331" s="5">
        <f>IF($A331="","",IF($AP331&lt;&gt;"",INDEX(Raw_D1!$D$2:$D$1001,$AP331),IF($AR331&lt;&gt;"",INDEX(Raw_D3!$D$2:$D$1001,$AR331),"")))</f>
        <v>0</v>
      </c>
      <c r="E331" s="5">
        <f>IF($A331="","",IF($AP331&lt;&gt;"",INDEX(Raw_D1!$E$2:$E$1001,$AP331),IF($AR331&lt;&gt;"",INDEX(Raw_D3!$E$2:$E$1001,$AR331),"")))</f>
        <v>1</v>
      </c>
      <c r="F331" s="5">
        <f>IF($A331="","",IF($AP331&lt;&gt;"",INDEX(Raw_D1!$F$2:$F$1001,$AP331),IF($AR331&lt;&gt;"",INDEX(Raw_D3!$F$2:$F$1001,$AR331),"")))</f>
        <v>5</v>
      </c>
      <c r="G331" s="5">
        <f>IF($A331="","",IF($AP331&lt;&gt;"",IF(INDEX(Raw_D1!$G$2:$G$1001,$AP331),1,0),IF($AR331&lt;&gt;"",IF(INDEX(Raw_D3!$G$2:$G$1001,$AR331),1,0),"")))</f>
        <v>0</v>
      </c>
      <c r="H331" s="5">
        <f>IF($A331="","",IF($AP331&lt;&gt;"",INDEX(Raw_D1!$H$2:$H$1001,$AP331),IF($AR331&lt;&gt;"",INDEX(Raw_D3!$H$2:$H$1001,$AR331),"")))</f>
        <v>6</v>
      </c>
      <c r="I331" s="5">
        <f>IF($A331="","",IF($AP331&lt;&gt;"",INDEX(Raw_D1!$I$2:$I$1001,$AP331),IF($AR331&lt;&gt;"",INDEX(Raw_D3!$I$2:$I$1001,$AR331),"")))</f>
        <v>1</v>
      </c>
      <c r="J331" s="16">
        <f>IF($A331="","",IF($AP331&lt;&gt;"",INDEX(Raw_D1!$J$2:$J$1001,$AP331),IF($AR331&lt;&gt;"",INDEX(Raw_D3!$J$2:$J$1001,$AR331),"")))</f>
        <v>0.16</v>
      </c>
      <c r="K331" s="17">
        <f>IF($A331="","",IF($AQ331&lt;&gt;"",IF(INDEX(Raw_D2!$C$2:$C$1001,$AQ331)="","",INDEX(Raw_D2!$C$2:$C$1001,$AQ331)),IF($AR331&lt;&gt;"",IF(INDEX(Raw_D3!$K$2:$K$1001,$AR331)="","",INDEX(Raw_D3!$K$2:$K$1001,$AR331)),"")))</f>
        <v>0.2273</v>
      </c>
      <c r="L331" s="16">
        <f>IF($A331="","",IF($AQ331&lt;&gt;"",IF(INDEX(Raw_D2!$D$2:$D$1001,$AQ331)="","",INDEX(Raw_D2!$D$2:$D$1001,$AQ331)),IF($AR331&lt;&gt;"",IF(INDEX(Raw_D3!$L$2:$L$1001,$AR331)="","",INDEX(Raw_D3!$L$2:$L$1001,$AR331)),"")))</f>
        <v>0.59</v>
      </c>
      <c r="M331" s="17">
        <f>IF($A331="","",IF($AQ331&lt;&gt;"",IF(INDEX(Raw_D2!$E$2:$E$1001,$AQ331)="","",INDEX(Raw_D2!$E$2:$E$1001,$AQ331)),IF($AR331&lt;&gt;"",IF(INDEX(Raw_D3!$M$2:$M$1001,$AR331)="","",INDEX(Raw_D3!$M$2:$M$1001,$AR331)),"")))</f>
        <v>0</v>
      </c>
      <c r="N331" s="5">
        <f>IF($A331="","",IF($AQ331&lt;&gt;"",IF(INDEX(Raw_D2!$F$2:$F$1001,$AQ331)="","",INDEX(Raw_D2!$F$2:$F$1001,$AQ331)),IF($AR331&lt;&gt;"",IF(INDEX(Raw_D3!$N$2:$N$1001,$AR331)="","",INDEX(Raw_D3!$N$2:$N$1001,$AR331)),"")))</f>
        <v>0</v>
      </c>
      <c r="O331" s="5">
        <f>IF($A331="","",IF($AQ331&lt;&gt;"",IF(INDEX(Raw_D2!$G$2:$G$1001,$AQ331)="","",INDEX(Raw_D2!$G$2:$G$1001,$AQ331)),IF($AR331&lt;&gt;"",IF(INDEX(Raw_D3!$O$2:$O$1001,$AR331)="","",INDEX(Raw_D3!$O$2:$O$1001,$AR331)),"")))</f>
        <v>1</v>
      </c>
      <c r="P331" s="5">
        <f>IF($A331="","",IF($AQ331&lt;&gt;"",IF(INDEX(Raw_D2!$H$2:$H$1001,$AQ331)="","",INDEX(Raw_D2!$H$2:$H$1001,$AQ331)),IF($AR331&lt;&gt;"",IF(INDEX(Raw_D3!$P$2:$P$1001,$AR331)="","",INDEX(Raw_D3!$P$2:$P$1001,$AR331)),"")))</f>
        <v>1</v>
      </c>
      <c r="Q331" s="5" t="str">
        <f>IF($A331="","",IF(AND($AP331&lt;&gt;"",$AQ331&lt;&gt;""),"D1+D2",IF($AR331&lt;&gt;"","D3","Incomplete")))</f>
        <v>D1+D2</v>
      </c>
      <c r="R331" s="17">
        <f>IF($A331="","",IF($K331="",IF($J331="","",ROUND(Lookups!$K$5+Lookups!$K$4*$J331,4)),$K331))</f>
        <v>0.2273</v>
      </c>
      <c r="S331" s="5" t="str">
        <f>IF($A331="","",IF($K331="","Imputed","Original"))</f>
        <v>Original</v>
      </c>
      <c r="T331" s="5" t="str">
        <f>IF($A331="","",IF($P331="","Missing",IF($P331=$N331+$O331,"OK","Mismatch")))</f>
        <v>OK</v>
      </c>
      <c r="U331" s="5" t="str">
        <f>IF($A331="","",IF(COUNTIF($A$2:$A331,$A331)&gt;1,"Duplicate","Unique"))</f>
        <v>Unique</v>
      </c>
      <c r="V331" s="5">
        <f>IF($A331="","",IF(AND($U331="Unique",ISNUMBER($P331)),1,0))</f>
        <v>1</v>
      </c>
      <c r="W331" s="5" t="str">
        <f>IF($A331="","",IF(OR($H331=0,$H331=6),"Weekend","Weekday"))</f>
        <v>Weekend</v>
      </c>
      <c r="X331" s="5" t="str">
        <f>IF($A331="","",TEXT($B331,"ddd"))</f>
        <v>Sat</v>
      </c>
      <c r="Y331" s="5" t="str">
        <f>IF($A331="","",TEXT($B331,"mmm"))</f>
        <v>Jan</v>
      </c>
      <c r="Z331" s="5" t="str">
        <f>IF($A331="","",IFERROR(VLOOKUP($C331,Lookups!$D$4:$E$7,2,FALSE),"Unknown"))</f>
        <v>Winter</v>
      </c>
      <c r="AA331" s="5" t="str">
        <f>IF($A331="","",IFERROR(VLOOKUP($I331,Lookups!$A$4:$B$7,2,FALSE),"Unknown"))</f>
        <v>Clear</v>
      </c>
      <c r="AB331" s="5" t="str">
        <f>IF($A331="","",TEXT($F331,"00")&amp;":00")</f>
        <v>05:00</v>
      </c>
      <c r="AC331" s="5" t="str">
        <f>IF($A331="","",VLOOKUP($F331,Lookups!$G$4:$H$8,2,TRUE))</f>
        <v>Night (00-05)</v>
      </c>
      <c r="AD331" s="18">
        <f>IF($A331="","",IF($J331="","",ROUND($J331*41,1)))</f>
        <v>6.6</v>
      </c>
      <c r="AE331" s="18">
        <f>IF($A331="","",IF($R331="","",ROUND($R331*50,1)))</f>
        <v>11.4</v>
      </c>
      <c r="AF331" s="5">
        <f>IF($A331="","",IF($L331="","",ROUND($L331*100,0)))</f>
        <v>59</v>
      </c>
      <c r="AG331" s="18">
        <f>IF($A331="","",IF($M331="","",ROUND($M331*67,1)))</f>
        <v>0</v>
      </c>
      <c r="AH331" s="19">
        <f>IF($A331="","",IF($P331="","",IF($P331=0,0,$O331/$P331)))</f>
        <v>1</v>
      </c>
      <c r="AI331" s="5" t="str">
        <f>IF($A331="","",IF($P331="","",IF($P331&gt;=Lookups!$K$7,"High",IF($P331&lt;=Lookups!$K$8,"Low","Medium"))))</f>
        <v>Low</v>
      </c>
      <c r="AJ331" s="5" t="str">
        <f>IF($A331="","",IF($AD331="","",IF($AD331&lt;5,"Under 5 C",IF($AD331&lt;10,"5-10 C",IF($AD331&lt;15,"10-15 C","15 C and above")))))</f>
        <v>5-10 C</v>
      </c>
      <c r="AK331" s="5">
        <f>IF($A331="","",IF($P331="","",$P331^2))</f>
        <v>1</v>
      </c>
      <c r="AL331" s="18">
        <f>IF($V331&lt;&gt;1,"",AVERAGEIFS(Clean_Data!$P$2:$P$1001,Clean_Data!$F$2:$F$1001,$F331,Clean_Data!$W$2:$W$1001,$W331,Clean_Data!$V$2:$V$1001,1))</f>
        <v>2.7</v>
      </c>
      <c r="AM331" s="16">
        <f>IF($V331&lt;&gt;1,"",IFERROR(($P331-$AL331)/SQRT(MAX(0,(SUMIFS(Clean_Data!$AK$2:$AK$1001,Clean_Data!$F$2:$F$1001,$F331,Clean_Data!$W$2:$W$1001,$W331,Clean_Data!$V$2:$V$1001,1)-COUNTIFS(Clean_Data!$F$2:$F$1001,$F331,Clean_Data!$W$2:$W$1001,$W331,Clean_Data!$V$2:$V$1001,1)*$AL331^2)/(COUNTIFS(Clean_Data!$F$2:$F$1001,$F331,Clean_Data!$W$2:$W$1001,$W331,Clean_Data!$V$2:$V$1001,1)-1))),""))</f>
        <v>-0.65785918110418</v>
      </c>
      <c r="AN331" s="5" t="str">
        <f>IF($AM331="","",IF($AM331&gt;=Lookups!$K$6,"High spike",IF($AM331&lt;=-Lookups!$K$6,"Unusual low","Normal")))</f>
        <v>Normal</v>
      </c>
      <c r="AO331" s="20">
        <f>IF($V331&lt;&gt;1,"",$P331+ROW()/100000)</f>
        <v>1.00331</v>
      </c>
      <c r="AP331" s="5">
        <f>IF($A331="","",IFERROR(MATCH($A331,Raw_D1!$A$2:$A$1001,0),""))</f>
        <v>330</v>
      </c>
      <c r="AQ331" s="5">
        <f>IF($A331="","",IFERROR(MATCH($A331,Raw_D2!$B$2:$B$1001,0),""))</f>
        <v>330</v>
      </c>
      <c r="AR331" s="5">
        <f>IF($A331="","",IFERROR(MATCH($A331,Raw_D3!$A$2:$A$1001,0),""))</f>
        <v/>
      </c>
    </row>
    <row r="332" spans="1:44" x14ac:dyDescent="0.25">
      <c r="A332" s="5">
        <v>331</v>
      </c>
      <c r="B332" s="11">
        <f>IF($A332="","",IF($AP332&lt;&gt;"",INDEX(Raw_D1!$B$2:$B$1001,$AP332),IF($AR332&lt;&gt;"",INDEX(Raw_D3!$B$2:$B$1001,$AR332),"")))</f>
        <v>40558.0</v>
      </c>
      <c r="C332" s="5">
        <f>IF($A332="","",IF($AP332&lt;&gt;"",INDEX(Raw_D1!$C$2:$C$1001,$AP332),IF($AR332&lt;&gt;"",INDEX(Raw_D3!$C$2:$C$1001,$AR332),"")))</f>
        <v>1</v>
      </c>
      <c r="D332" s="5">
        <f>IF($A332="","",IF($AP332&lt;&gt;"",INDEX(Raw_D1!$D$2:$D$1001,$AP332),IF($AR332&lt;&gt;"",INDEX(Raw_D3!$D$2:$D$1001,$AR332),"")))</f>
        <v>0</v>
      </c>
      <c r="E332" s="5">
        <f>IF($A332="","",IF($AP332&lt;&gt;"",INDEX(Raw_D1!$E$2:$E$1001,$AP332),IF($AR332&lt;&gt;"",INDEX(Raw_D3!$E$2:$E$1001,$AR332),"")))</f>
        <v>1</v>
      </c>
      <c r="F332" s="5">
        <f>IF($A332="","",IF($AP332&lt;&gt;"",INDEX(Raw_D1!$F$2:$F$1001,$AP332),IF($AR332&lt;&gt;"",INDEX(Raw_D3!$F$2:$F$1001,$AR332),"")))</f>
        <v>6</v>
      </c>
      <c r="G332" s="5">
        <f>IF($A332="","",IF($AP332&lt;&gt;"",IF(INDEX(Raw_D1!$G$2:$G$1001,$AP332),1,0),IF($AR332&lt;&gt;"",IF(INDEX(Raw_D3!$G$2:$G$1001,$AR332),1,0),"")))</f>
        <v>0</v>
      </c>
      <c r="H332" s="5">
        <f>IF($A332="","",IF($AP332&lt;&gt;"",INDEX(Raw_D1!$H$2:$H$1001,$AP332),IF($AR332&lt;&gt;"",INDEX(Raw_D3!$H$2:$H$1001,$AR332),"")))</f>
        <v>6</v>
      </c>
      <c r="I332" s="5">
        <f>IF($A332="","",IF($AP332&lt;&gt;"",INDEX(Raw_D1!$I$2:$I$1001,$AP332),IF($AR332&lt;&gt;"",INDEX(Raw_D3!$I$2:$I$1001,$AR332),"")))</f>
        <v>1</v>
      </c>
      <c r="J332" s="16">
        <f>IF($A332="","",IF($AP332&lt;&gt;"",INDEX(Raw_D1!$J$2:$J$1001,$AP332),IF($AR332&lt;&gt;"",INDEX(Raw_D3!$J$2:$J$1001,$AR332),"")))</f>
        <v>0.14</v>
      </c>
      <c r="K332" s="17">
        <f>IF($A332="","",IF($AQ332&lt;&gt;"",IF(INDEX(Raw_D2!$C$2:$C$1001,$AQ332)="","",INDEX(Raw_D2!$C$2:$C$1001,$AQ332)),IF($AR332&lt;&gt;"",IF(INDEX(Raw_D3!$K$2:$K$1001,$AR332)="","",INDEX(Raw_D3!$K$2:$K$1001,$AR332)),"")))</f>
        <v>0.1667</v>
      </c>
      <c r="L332" s="16">
        <f>IF($A332="","",IF($AQ332&lt;&gt;"",IF(INDEX(Raw_D2!$D$2:$D$1001,$AQ332)="","",INDEX(Raw_D2!$D$2:$D$1001,$AQ332)),IF($AR332&lt;&gt;"",IF(INDEX(Raw_D3!$L$2:$L$1001,$AR332)="","",INDEX(Raw_D3!$L$2:$L$1001,$AR332)),"")))</f>
        <v>0.63</v>
      </c>
      <c r="M332" s="17">
        <f>IF($A332="","",IF($AQ332&lt;&gt;"",IF(INDEX(Raw_D2!$E$2:$E$1001,$AQ332)="","",INDEX(Raw_D2!$E$2:$E$1001,$AQ332)),IF($AR332&lt;&gt;"",IF(INDEX(Raw_D3!$M$2:$M$1001,$AR332)="","",INDEX(Raw_D3!$M$2:$M$1001,$AR332)),"")))</f>
        <v>0.1045</v>
      </c>
      <c r="N332" s="5">
        <f>IF($A332="","",IF($AQ332&lt;&gt;"",IF(INDEX(Raw_D2!$F$2:$F$1001,$AQ332)="","",INDEX(Raw_D2!$F$2:$F$1001,$AQ332)),IF($AR332&lt;&gt;"",IF(INDEX(Raw_D3!$N$2:$N$1001,$AR332)="","",INDEX(Raw_D3!$N$2:$N$1001,$AR332)),"")))</f>
        <v>1</v>
      </c>
      <c r="O332" s="5">
        <f>IF($A332="","",IF($AQ332&lt;&gt;"",IF(INDEX(Raw_D2!$G$2:$G$1001,$AQ332)="","",INDEX(Raw_D2!$G$2:$G$1001,$AQ332)),IF($AR332&lt;&gt;"",IF(INDEX(Raw_D3!$O$2:$O$1001,$AR332)="","",INDEX(Raw_D3!$O$2:$O$1001,$AR332)),"")))</f>
        <v>2</v>
      </c>
      <c r="P332" s="5">
        <f>IF($A332="","",IF($AQ332&lt;&gt;"",IF(INDEX(Raw_D2!$H$2:$H$1001,$AQ332)="","",INDEX(Raw_D2!$H$2:$H$1001,$AQ332)),IF($AR332&lt;&gt;"",IF(INDEX(Raw_D3!$P$2:$P$1001,$AR332)="","",INDEX(Raw_D3!$P$2:$P$1001,$AR332)),"")))</f>
        <v>3</v>
      </c>
      <c r="Q332" s="5" t="str">
        <f>IF($A332="","",IF(AND($AP332&lt;&gt;"",$AQ332&lt;&gt;""),"D1+D2",IF($AR332&lt;&gt;"","D3","Incomplete")))</f>
        <v>D1+D2</v>
      </c>
      <c r="R332" s="17">
        <f>IF($A332="","",IF($K332="",IF($J332="","",ROUND(Lookups!$K$5+Lookups!$K$4*$J332,4)),$K332))</f>
        <v>0.1667</v>
      </c>
      <c r="S332" s="5" t="str">
        <f>IF($A332="","",IF($K332="","Imputed","Original"))</f>
        <v>Original</v>
      </c>
      <c r="T332" s="5" t="str">
        <f>IF($A332="","",IF($P332="","Missing",IF($P332=$N332+$O332,"OK","Mismatch")))</f>
        <v>OK</v>
      </c>
      <c r="U332" s="5" t="str">
        <f>IF($A332="","",IF(COUNTIF($A$2:$A332,$A332)&gt;1,"Duplicate","Unique"))</f>
        <v>Unique</v>
      </c>
      <c r="V332" s="5">
        <f>IF($A332="","",IF(AND($U332="Unique",ISNUMBER($P332)),1,0))</f>
        <v>1</v>
      </c>
      <c r="W332" s="5" t="str">
        <f>IF($A332="","",IF(OR($H332=0,$H332=6),"Weekend","Weekday"))</f>
        <v>Weekend</v>
      </c>
      <c r="X332" s="5" t="str">
        <f>IF($A332="","",TEXT($B332,"ddd"))</f>
        <v>Sat</v>
      </c>
      <c r="Y332" s="5" t="str">
        <f>IF($A332="","",TEXT($B332,"mmm"))</f>
        <v>Jan</v>
      </c>
      <c r="Z332" s="5" t="str">
        <f>IF($A332="","",IFERROR(VLOOKUP($C332,Lookups!$D$4:$E$7,2,FALSE),"Unknown"))</f>
        <v>Winter</v>
      </c>
      <c r="AA332" s="5" t="str">
        <f>IF($A332="","",IFERROR(VLOOKUP($I332,Lookups!$A$4:$B$7,2,FALSE),"Unknown"))</f>
        <v>Clear</v>
      </c>
      <c r="AB332" s="5" t="str">
        <f>IF($A332="","",TEXT($F332,"00")&amp;":00")</f>
        <v>06:00</v>
      </c>
      <c r="AC332" s="5" t="str">
        <f>IF($A332="","",VLOOKUP($F332,Lookups!$G$4:$H$8,2,TRUE))</f>
        <v>Morning Peak (06-09)</v>
      </c>
      <c r="AD332" s="18">
        <f>IF($A332="","",IF($J332="","",ROUND($J332*41,1)))</f>
        <v>5.7</v>
      </c>
      <c r="AE332" s="18">
        <f>IF($A332="","",IF($R332="","",ROUND($R332*50,1)))</f>
        <v>8.3</v>
      </c>
      <c r="AF332" s="5">
        <f>IF($A332="","",IF($L332="","",ROUND($L332*100,0)))</f>
        <v>63</v>
      </c>
      <c r="AG332" s="18">
        <f>IF($A332="","",IF($M332="","",ROUND($M332*67,1)))</f>
        <v>7</v>
      </c>
      <c r="AH332" s="19">
        <f>IF($A332="","",IF($P332="","",IF($P332=0,0,$O332/$P332)))</f>
        <v>0.666666666666667</v>
      </c>
      <c r="AI332" s="5" t="str">
        <f>IF($A332="","",IF($P332="","",IF($P332&gt;=Lookups!$K$7,"High",IF($P332&lt;=Lookups!$K$8,"Low","Medium"))))</f>
        <v>Low</v>
      </c>
      <c r="AJ332" s="5" t="str">
        <f>IF($A332="","",IF($AD332="","",IF($AD332&lt;5,"Under 5 C",IF($AD332&lt;10,"5-10 C",IF($AD332&lt;15,"10-15 C","15 C and above")))))</f>
        <v>5-10 C</v>
      </c>
      <c r="AK332" s="5">
        <f>IF($A332="","",IF($P332="","",$P332^2))</f>
        <v>9</v>
      </c>
      <c r="AL332" s="18">
        <f>IF($V332&lt;&gt;1,"",AVERAGEIFS(Clean_Data!$P$2:$P$1001,Clean_Data!$F$2:$F$1001,$F332,Clean_Data!$W$2:$W$1001,$W332,Clean_Data!$V$2:$V$1001,1))</f>
        <v>2.15384615384615</v>
      </c>
      <c r="AM332" s="16">
        <f>IF($V332&lt;&gt;1,"",IFERROR(($P332-$AL332)/SQRT(MAX(0,(SUMIFS(Clean_Data!$AK$2:$AK$1001,Clean_Data!$F$2:$F$1001,$F332,Clean_Data!$W$2:$W$1001,$W332,Clean_Data!$V$2:$V$1001,1)-COUNTIFS(Clean_Data!$F$2:$F$1001,$F332,Clean_Data!$W$2:$W$1001,$W332,Clean_Data!$V$2:$V$1001,1)*$AL332^2)/(COUNTIFS(Clean_Data!$F$2:$F$1001,$F332,Clean_Data!$W$2:$W$1001,$W332,Clean_Data!$V$2:$V$1001,1)-1))),""))</f>
        <v>0.696863493875946</v>
      </c>
      <c r="AN332" s="5" t="str">
        <f>IF($AM332="","",IF($AM332&gt;=Lookups!$K$6,"High spike",IF($AM332&lt;=-Lookups!$K$6,"Unusual low","Normal")))</f>
        <v>Normal</v>
      </c>
      <c r="AO332" s="20">
        <f>IF($V332&lt;&gt;1,"",$P332+ROW()/100000)</f>
        <v>3.00332</v>
      </c>
      <c r="AP332" s="5">
        <f>IF($A332="","",IFERROR(MATCH($A332,Raw_D1!$A$2:$A$1001,0),""))</f>
        <v>331</v>
      </c>
      <c r="AQ332" s="5">
        <f>IF($A332="","",IFERROR(MATCH($A332,Raw_D2!$B$2:$B$1001,0),""))</f>
        <v>331</v>
      </c>
      <c r="AR332" s="5">
        <f>IF($A332="","",IFERROR(MATCH($A332,Raw_D3!$A$2:$A$1001,0),""))</f>
        <v/>
      </c>
    </row>
    <row r="333" spans="1:44" x14ac:dyDescent="0.25">
      <c r="A333" s="5">
        <v>332</v>
      </c>
      <c r="B333" s="11">
        <f>IF($A333="","",IF($AP333&lt;&gt;"",INDEX(Raw_D1!$B$2:$B$1001,$AP333),IF($AR333&lt;&gt;"",INDEX(Raw_D3!$B$2:$B$1001,$AR333),"")))</f>
        <v>40558.0</v>
      </c>
      <c r="C333" s="5">
        <f>IF($A333="","",IF($AP333&lt;&gt;"",INDEX(Raw_D1!$C$2:$C$1001,$AP333),IF($AR333&lt;&gt;"",INDEX(Raw_D3!$C$2:$C$1001,$AR333),"")))</f>
        <v>1</v>
      </c>
      <c r="D333" s="5">
        <f>IF($A333="","",IF($AP333&lt;&gt;"",INDEX(Raw_D1!$D$2:$D$1001,$AP333),IF($AR333&lt;&gt;"",INDEX(Raw_D3!$D$2:$D$1001,$AR333),"")))</f>
        <v>0</v>
      </c>
      <c r="E333" s="5">
        <f>IF($A333="","",IF($AP333&lt;&gt;"",INDEX(Raw_D1!$E$2:$E$1001,$AP333),IF($AR333&lt;&gt;"",INDEX(Raw_D3!$E$2:$E$1001,$AR333),"")))</f>
        <v>1</v>
      </c>
      <c r="F333" s="5">
        <f>IF($A333="","",IF($AP333&lt;&gt;"",INDEX(Raw_D1!$F$2:$F$1001,$AP333),IF($AR333&lt;&gt;"",INDEX(Raw_D3!$F$2:$F$1001,$AR333),"")))</f>
        <v>7</v>
      </c>
      <c r="G333" s="5">
        <f>IF($A333="","",IF($AP333&lt;&gt;"",IF(INDEX(Raw_D1!$G$2:$G$1001,$AP333),1,0),IF($AR333&lt;&gt;"",IF(INDEX(Raw_D3!$G$2:$G$1001,$AR333),1,0),"")))</f>
        <v>0</v>
      </c>
      <c r="H333" s="5">
        <f>IF($A333="","",IF($AP333&lt;&gt;"",INDEX(Raw_D1!$H$2:$H$1001,$AP333),IF($AR333&lt;&gt;"",INDEX(Raw_D3!$H$2:$H$1001,$AR333),"")))</f>
        <v>6</v>
      </c>
      <c r="I333" s="5">
        <f>IF($A333="","",IF($AP333&lt;&gt;"",INDEX(Raw_D1!$I$2:$I$1001,$AP333),IF($AR333&lt;&gt;"",INDEX(Raw_D3!$I$2:$I$1001,$AR333),"")))</f>
        <v>1</v>
      </c>
      <c r="J333" s="16">
        <f>IF($A333="","",IF($AP333&lt;&gt;"",INDEX(Raw_D1!$J$2:$J$1001,$AP333),IF($AR333&lt;&gt;"",INDEX(Raw_D3!$J$2:$J$1001,$AR333),"")))</f>
        <v>0.14</v>
      </c>
      <c r="K333" s="17">
        <f>IF($A333="","",IF($AQ333&lt;&gt;"",IF(INDEX(Raw_D2!$C$2:$C$1001,$AQ333)="","",INDEX(Raw_D2!$C$2:$C$1001,$AQ333)),IF($AR333&lt;&gt;"",IF(INDEX(Raw_D3!$K$2:$K$1001,$AR333)="","",INDEX(Raw_D3!$K$2:$K$1001,$AR333)),"")))</f>
        <v>0.2121</v>
      </c>
      <c r="L333" s="16">
        <f>IF($A333="","",IF($AQ333&lt;&gt;"",IF(INDEX(Raw_D2!$D$2:$D$1001,$AQ333)="","",INDEX(Raw_D2!$D$2:$D$1001,$AQ333)),IF($AR333&lt;&gt;"",IF(INDEX(Raw_D3!$L$2:$L$1001,$AR333)="","",INDEX(Raw_D3!$L$2:$L$1001,$AR333)),"")))</f>
        <v>0.63</v>
      </c>
      <c r="M333" s="17">
        <f>IF($A333="","",IF($AQ333&lt;&gt;"",IF(INDEX(Raw_D2!$E$2:$E$1001,$AQ333)="","",INDEX(Raw_D2!$E$2:$E$1001,$AQ333)),IF($AR333&lt;&gt;"",IF(INDEX(Raw_D3!$M$2:$M$1001,$AR333)="","",INDEX(Raw_D3!$M$2:$M$1001,$AR333)),"")))</f>
        <v>0</v>
      </c>
      <c r="N333" s="5">
        <f>IF($A333="","",IF($AQ333&lt;&gt;"",IF(INDEX(Raw_D2!$F$2:$F$1001,$AQ333)="","",INDEX(Raw_D2!$F$2:$F$1001,$AQ333)),IF($AR333&lt;&gt;"",IF(INDEX(Raw_D3!$N$2:$N$1001,$AR333)="","",INDEX(Raw_D3!$N$2:$N$1001,$AR333)),"")))</f>
        <v>1</v>
      </c>
      <c r="O333" s="5">
        <f>IF($A333="","",IF($AQ333&lt;&gt;"",IF(INDEX(Raw_D2!$G$2:$G$1001,$AQ333)="","",INDEX(Raw_D2!$G$2:$G$1001,$AQ333)),IF($AR333&lt;&gt;"",IF(INDEX(Raw_D3!$O$2:$O$1001,$AR333)="","",INDEX(Raw_D3!$O$2:$O$1001,$AR333)),"")))</f>
        <v>9</v>
      </c>
      <c r="P333" s="5">
        <f>IF($A333="","",IF($AQ333&lt;&gt;"",IF(INDEX(Raw_D2!$H$2:$H$1001,$AQ333)="","",INDEX(Raw_D2!$H$2:$H$1001,$AQ333)),IF($AR333&lt;&gt;"",IF(INDEX(Raw_D3!$P$2:$P$1001,$AR333)="","",INDEX(Raw_D3!$P$2:$P$1001,$AR333)),"")))</f>
        <v>10</v>
      </c>
      <c r="Q333" s="5" t="str">
        <f>IF($A333="","",IF(AND($AP333&lt;&gt;"",$AQ333&lt;&gt;""),"D1+D2",IF($AR333&lt;&gt;"","D3","Incomplete")))</f>
        <v>D1+D2</v>
      </c>
      <c r="R333" s="17">
        <f>IF($A333="","",IF($K333="",IF($J333="","",ROUND(Lookups!$K$5+Lookups!$K$4*$J333,4)),$K333))</f>
        <v>0.2121</v>
      </c>
      <c r="S333" s="5" t="str">
        <f>IF($A333="","",IF($K333="","Imputed","Original"))</f>
        <v>Original</v>
      </c>
      <c r="T333" s="5" t="str">
        <f>IF($A333="","",IF($P333="","Missing",IF($P333=$N333+$O333,"OK","Mismatch")))</f>
        <v>OK</v>
      </c>
      <c r="U333" s="5" t="str">
        <f>IF($A333="","",IF(COUNTIF($A$2:$A333,$A333)&gt;1,"Duplicate","Unique"))</f>
        <v>Unique</v>
      </c>
      <c r="V333" s="5">
        <f>IF($A333="","",IF(AND($U333="Unique",ISNUMBER($P333)),1,0))</f>
        <v>1</v>
      </c>
      <c r="W333" s="5" t="str">
        <f>IF($A333="","",IF(OR($H333=0,$H333=6),"Weekend","Weekday"))</f>
        <v>Weekend</v>
      </c>
      <c r="X333" s="5" t="str">
        <f>IF($A333="","",TEXT($B333,"ddd"))</f>
        <v>Sat</v>
      </c>
      <c r="Y333" s="5" t="str">
        <f>IF($A333="","",TEXT($B333,"mmm"))</f>
        <v>Jan</v>
      </c>
      <c r="Z333" s="5" t="str">
        <f>IF($A333="","",IFERROR(VLOOKUP($C333,Lookups!$D$4:$E$7,2,FALSE),"Unknown"))</f>
        <v>Winter</v>
      </c>
      <c r="AA333" s="5" t="str">
        <f>IF($A333="","",IFERROR(VLOOKUP($I333,Lookups!$A$4:$B$7,2,FALSE),"Unknown"))</f>
        <v>Clear</v>
      </c>
      <c r="AB333" s="5" t="str">
        <f>IF($A333="","",TEXT($F333,"00")&amp;":00")</f>
        <v>07:00</v>
      </c>
      <c r="AC333" s="5" t="str">
        <f>IF($A333="","",VLOOKUP($F333,Lookups!$G$4:$H$8,2,TRUE))</f>
        <v>Morning Peak (06-09)</v>
      </c>
      <c r="AD333" s="18">
        <f>IF($A333="","",IF($J333="","",ROUND($J333*41,1)))</f>
        <v>5.7</v>
      </c>
      <c r="AE333" s="18">
        <f>IF($A333="","",IF($R333="","",ROUND($R333*50,1)))</f>
        <v>10.6</v>
      </c>
      <c r="AF333" s="5">
        <f>IF($A333="","",IF($L333="","",ROUND($L333*100,0)))</f>
        <v>63</v>
      </c>
      <c r="AG333" s="18">
        <f>IF($A333="","",IF($M333="","",ROUND($M333*67,1)))</f>
        <v>0</v>
      </c>
      <c r="AH333" s="19">
        <f>IF($A333="","",IF($P333="","",IF($P333=0,0,$O333/$P333)))</f>
        <v>0.9</v>
      </c>
      <c r="AI333" s="5" t="str">
        <f>IF($A333="","",IF($P333="","",IF($P333&gt;=Lookups!$K$7,"High",IF($P333&lt;=Lookups!$K$8,"Low","Medium"))))</f>
        <v>Low</v>
      </c>
      <c r="AJ333" s="5" t="str">
        <f>IF($A333="","",IF($AD333="","",IF($AD333&lt;5,"Under 5 C",IF($AD333&lt;10,"5-10 C",IF($AD333&lt;15,"10-15 C","15 C and above")))))</f>
        <v>5-10 C</v>
      </c>
      <c r="AK333" s="5">
        <f>IF($A333="","",IF($P333="","",$P333^2))</f>
        <v>100</v>
      </c>
      <c r="AL333" s="18">
        <f>IF($V333&lt;&gt;1,"",AVERAGEIFS(Clean_Data!$P$2:$P$1001,Clean_Data!$F$2:$F$1001,$F333,Clean_Data!$W$2:$W$1001,$W333,Clean_Data!$V$2:$V$1001,1))</f>
        <v>5.42857142857143</v>
      </c>
      <c r="AM333" s="16">
        <f>IF($V333&lt;&gt;1,"",IFERROR(($P333-$AL333)/SQRT(MAX(0,(SUMIFS(Clean_Data!$AK$2:$AK$1001,Clean_Data!$F$2:$F$1001,$F333,Clean_Data!$W$2:$W$1001,$W333,Clean_Data!$V$2:$V$1001,1)-COUNTIFS(Clean_Data!$F$2:$F$1001,$F333,Clean_Data!$W$2:$W$1001,$W333,Clean_Data!$V$2:$V$1001,1)*$AL333^2)/(COUNTIFS(Clean_Data!$F$2:$F$1001,$F333,Clean_Data!$W$2:$W$1001,$W333,Clean_Data!$V$2:$V$1001,1)-1))),""))</f>
        <v>1.416343082571</v>
      </c>
      <c r="AN333" s="5" t="str">
        <f>IF($AM333="","",IF($AM333&gt;=Lookups!$K$6,"High spike",IF($AM333&lt;=-Lookups!$K$6,"Unusual low","Normal")))</f>
        <v>Normal</v>
      </c>
      <c r="AO333" s="20">
        <f>IF($V333&lt;&gt;1,"",$P333+ROW()/100000)</f>
        <v>10.00333</v>
      </c>
      <c r="AP333" s="5">
        <f>IF($A333="","",IFERROR(MATCH($A333,Raw_D1!$A$2:$A$1001,0),""))</f>
        <v>332</v>
      </c>
      <c r="AQ333" s="5">
        <f>IF($A333="","",IFERROR(MATCH($A333,Raw_D2!$B$2:$B$1001,0),""))</f>
        <v>332</v>
      </c>
      <c r="AR333" s="5">
        <f>IF($A333="","",IFERROR(MATCH($A333,Raw_D3!$A$2:$A$1001,0),""))</f>
        <v/>
      </c>
    </row>
    <row r="334" spans="1:44" x14ac:dyDescent="0.25">
      <c r="A334" s="5">
        <v>333</v>
      </c>
      <c r="B334" s="11">
        <f>IF($A334="","",IF($AP334&lt;&gt;"",INDEX(Raw_D1!$B$2:$B$1001,$AP334),IF($AR334&lt;&gt;"",INDEX(Raw_D3!$B$2:$B$1001,$AR334),"")))</f>
        <v>40558.0</v>
      </c>
      <c r="C334" s="5">
        <f>IF($A334="","",IF($AP334&lt;&gt;"",INDEX(Raw_D1!$C$2:$C$1001,$AP334),IF($AR334&lt;&gt;"",INDEX(Raw_D3!$C$2:$C$1001,$AR334),"")))</f>
        <v>1</v>
      </c>
      <c r="D334" s="5">
        <f>IF($A334="","",IF($AP334&lt;&gt;"",INDEX(Raw_D1!$D$2:$D$1001,$AP334),IF($AR334&lt;&gt;"",INDEX(Raw_D3!$D$2:$D$1001,$AR334),"")))</f>
        <v>0</v>
      </c>
      <c r="E334" s="5">
        <f>IF($A334="","",IF($AP334&lt;&gt;"",INDEX(Raw_D1!$E$2:$E$1001,$AP334),IF($AR334&lt;&gt;"",INDEX(Raw_D3!$E$2:$E$1001,$AR334),"")))</f>
        <v>1</v>
      </c>
      <c r="F334" s="5">
        <f>IF($A334="","",IF($AP334&lt;&gt;"",INDEX(Raw_D1!$F$2:$F$1001,$AP334),IF($AR334&lt;&gt;"",INDEX(Raw_D3!$F$2:$F$1001,$AR334),"")))</f>
        <v>8</v>
      </c>
      <c r="G334" s="5">
        <f>IF($A334="","",IF($AP334&lt;&gt;"",IF(INDEX(Raw_D1!$G$2:$G$1001,$AP334),1,0),IF($AR334&lt;&gt;"",IF(INDEX(Raw_D3!$G$2:$G$1001,$AR334),1,0),"")))</f>
        <v>0</v>
      </c>
      <c r="H334" s="5">
        <f>IF($A334="","",IF($AP334&lt;&gt;"",INDEX(Raw_D1!$H$2:$H$1001,$AP334),IF($AR334&lt;&gt;"",INDEX(Raw_D3!$H$2:$H$1001,$AR334),"")))</f>
        <v>6</v>
      </c>
      <c r="I334" s="5">
        <f>IF($A334="","",IF($AP334&lt;&gt;"",INDEX(Raw_D1!$I$2:$I$1001,$AP334),IF($AR334&lt;&gt;"",INDEX(Raw_D3!$I$2:$I$1001,$AR334),"")))</f>
        <v>1</v>
      </c>
      <c r="J334" s="16">
        <f>IF($A334="","",IF($AP334&lt;&gt;"",INDEX(Raw_D1!$J$2:$J$1001,$AP334),IF($AR334&lt;&gt;"",INDEX(Raw_D3!$J$2:$J$1001,$AR334),"")))</f>
        <v>0.14</v>
      </c>
      <c r="K334" s="17">
        <f>IF($A334="","",IF($AQ334&lt;&gt;"",IF(INDEX(Raw_D2!$C$2:$C$1001,$AQ334)="","",INDEX(Raw_D2!$C$2:$C$1001,$AQ334)),IF($AR334&lt;&gt;"",IF(INDEX(Raw_D3!$K$2:$K$1001,$AR334)="","",INDEX(Raw_D3!$K$2:$K$1001,$AR334)),"")))</f>
        <v>0.1515</v>
      </c>
      <c r="L334" s="16">
        <f>IF($A334="","",IF($AQ334&lt;&gt;"",IF(INDEX(Raw_D2!$D$2:$D$1001,$AQ334)="","",INDEX(Raw_D2!$D$2:$D$1001,$AQ334)),IF($AR334&lt;&gt;"",IF(INDEX(Raw_D3!$L$2:$L$1001,$AR334)="","",INDEX(Raw_D3!$L$2:$L$1001,$AR334)),"")))</f>
        <v>0.63</v>
      </c>
      <c r="M334" s="17">
        <f>IF($A334="","",IF($AQ334&lt;&gt;"",IF(INDEX(Raw_D2!$E$2:$E$1001,$AQ334)="","",INDEX(Raw_D2!$E$2:$E$1001,$AQ334)),IF($AR334&lt;&gt;"",IF(INDEX(Raw_D3!$M$2:$M$1001,$AR334)="","",INDEX(Raw_D3!$M$2:$M$1001,$AR334)),"")))</f>
        <v>0.1343</v>
      </c>
      <c r="N334" s="5">
        <f>IF($A334="","",IF($AQ334&lt;&gt;"",IF(INDEX(Raw_D2!$F$2:$F$1001,$AQ334)="","",INDEX(Raw_D2!$F$2:$F$1001,$AQ334)),IF($AR334&lt;&gt;"",IF(INDEX(Raw_D3!$N$2:$N$1001,$AR334)="","",INDEX(Raw_D3!$N$2:$N$1001,$AR334)),"")))</f>
        <v>1</v>
      </c>
      <c r="O334" s="5">
        <f>IF($A334="","",IF($AQ334&lt;&gt;"",IF(INDEX(Raw_D2!$G$2:$G$1001,$AQ334)="","",INDEX(Raw_D2!$G$2:$G$1001,$AQ334)),IF($AR334&lt;&gt;"",IF(INDEX(Raw_D3!$O$2:$O$1001,$AR334)="","",INDEX(Raw_D3!$O$2:$O$1001,$AR334)),"")))</f>
        <v>22</v>
      </c>
      <c r="P334" s="5">
        <f>IF($A334="","",IF($AQ334&lt;&gt;"",IF(INDEX(Raw_D2!$H$2:$H$1001,$AQ334)="","",INDEX(Raw_D2!$H$2:$H$1001,$AQ334)),IF($AR334&lt;&gt;"",IF(INDEX(Raw_D3!$P$2:$P$1001,$AR334)="","",INDEX(Raw_D3!$P$2:$P$1001,$AR334)),"")))</f>
        <v>23</v>
      </c>
      <c r="Q334" s="5" t="str">
        <f>IF($A334="","",IF(AND($AP334&lt;&gt;"",$AQ334&lt;&gt;""),"D1+D2",IF($AR334&lt;&gt;"","D3","Incomplete")))</f>
        <v>D1+D2</v>
      </c>
      <c r="R334" s="17">
        <f>IF($A334="","",IF($K334="",IF($J334="","",ROUND(Lookups!$K$5+Lookups!$K$4*$J334,4)),$K334))</f>
        <v>0.1515</v>
      </c>
      <c r="S334" s="5" t="str">
        <f>IF($A334="","",IF($K334="","Imputed","Original"))</f>
        <v>Original</v>
      </c>
      <c r="T334" s="5" t="str">
        <f>IF($A334="","",IF($P334="","Missing",IF($P334=$N334+$O334,"OK","Mismatch")))</f>
        <v>OK</v>
      </c>
      <c r="U334" s="5" t="str">
        <f>IF($A334="","",IF(COUNTIF($A$2:$A334,$A334)&gt;1,"Duplicate","Unique"))</f>
        <v>Unique</v>
      </c>
      <c r="V334" s="5">
        <f>IF($A334="","",IF(AND($U334="Unique",ISNUMBER($P334)),1,0))</f>
        <v>1</v>
      </c>
      <c r="W334" s="5" t="str">
        <f>IF($A334="","",IF(OR($H334=0,$H334=6),"Weekend","Weekday"))</f>
        <v>Weekend</v>
      </c>
      <c r="X334" s="5" t="str">
        <f>IF($A334="","",TEXT($B334,"ddd"))</f>
        <v>Sat</v>
      </c>
      <c r="Y334" s="5" t="str">
        <f>IF($A334="","",TEXT($B334,"mmm"))</f>
        <v>Jan</v>
      </c>
      <c r="Z334" s="5" t="str">
        <f>IF($A334="","",IFERROR(VLOOKUP($C334,Lookups!$D$4:$E$7,2,FALSE),"Unknown"))</f>
        <v>Winter</v>
      </c>
      <c r="AA334" s="5" t="str">
        <f>IF($A334="","",IFERROR(VLOOKUP($I334,Lookups!$A$4:$B$7,2,FALSE),"Unknown"))</f>
        <v>Clear</v>
      </c>
      <c r="AB334" s="5" t="str">
        <f>IF($A334="","",TEXT($F334,"00")&amp;":00")</f>
        <v>08:00</v>
      </c>
      <c r="AC334" s="5" t="str">
        <f>IF($A334="","",VLOOKUP($F334,Lookups!$G$4:$H$8,2,TRUE))</f>
        <v>Morning Peak (06-09)</v>
      </c>
      <c r="AD334" s="18">
        <f>IF($A334="","",IF($J334="","",ROUND($J334*41,1)))</f>
        <v>5.7</v>
      </c>
      <c r="AE334" s="18">
        <f>IF($A334="","",IF($R334="","",ROUND($R334*50,1)))</f>
        <v>7.6</v>
      </c>
      <c r="AF334" s="5">
        <f>IF($A334="","",IF($L334="","",ROUND($L334*100,0)))</f>
        <v>63</v>
      </c>
      <c r="AG334" s="18">
        <f>IF($A334="","",IF($M334="","",ROUND($M334*67,1)))</f>
        <v>9</v>
      </c>
      <c r="AH334" s="19">
        <f>IF($A334="","",IF($P334="","",IF($P334=0,0,$O334/$P334)))</f>
        <v>0.956521739130435</v>
      </c>
      <c r="AI334" s="5" t="str">
        <f>IF($A334="","",IF($P334="","",IF($P334&gt;=Lookups!$K$7,"High",IF($P334&lt;=Lookups!$K$8,"Low","Medium"))))</f>
        <v>Medium</v>
      </c>
      <c r="AJ334" s="5" t="str">
        <f>IF($A334="","",IF($AD334="","",IF($AD334&lt;5,"Under 5 C",IF($AD334&lt;10,"5-10 C",IF($AD334&lt;15,"10-15 C","15 C and above")))))</f>
        <v>5-10 C</v>
      </c>
      <c r="AK334" s="5">
        <f>IF($A334="","",IF($P334="","",$P334^2))</f>
        <v>529</v>
      </c>
      <c r="AL334" s="18">
        <f>IF($V334&lt;&gt;1,"",AVERAGEIFS(Clean_Data!$P$2:$P$1001,Clean_Data!$F$2:$F$1001,$F334,Clean_Data!$W$2:$W$1001,$W334,Clean_Data!$V$2:$V$1001,1))</f>
        <v>17.7857142857143</v>
      </c>
      <c r="AM334" s="16">
        <f>IF($V334&lt;&gt;1,"",IFERROR(($P334-$AL334)/SQRT(MAX(0,(SUMIFS(Clean_Data!$AK$2:$AK$1001,Clean_Data!$F$2:$F$1001,$F334,Clean_Data!$W$2:$W$1001,$W334,Clean_Data!$V$2:$V$1001,1)-COUNTIFS(Clean_Data!$F$2:$F$1001,$F334,Clean_Data!$W$2:$W$1001,$W334,Clean_Data!$V$2:$V$1001,1)*$AL334^2)/(COUNTIFS(Clean_Data!$F$2:$F$1001,$F334,Clean_Data!$W$2:$W$1001,$W334,Clean_Data!$V$2:$V$1001,1)-1))),""))</f>
        <v>0.61308414747433</v>
      </c>
      <c r="AN334" s="5" t="str">
        <f>IF($AM334="","",IF($AM334&gt;=Lookups!$K$6,"High spike",IF($AM334&lt;=-Lookups!$K$6,"Unusual low","Normal")))</f>
        <v>Normal</v>
      </c>
      <c r="AO334" s="20">
        <f>IF($V334&lt;&gt;1,"",$P334+ROW()/100000)</f>
        <v>23.00334</v>
      </c>
      <c r="AP334" s="5">
        <f>IF($A334="","",IFERROR(MATCH($A334,Raw_D1!$A$2:$A$1001,0),""))</f>
        <v>333</v>
      </c>
      <c r="AQ334" s="5">
        <f>IF($A334="","",IFERROR(MATCH($A334,Raw_D2!$B$2:$B$1001,0),""))</f>
        <v>333</v>
      </c>
      <c r="AR334" s="5">
        <f>IF($A334="","",IFERROR(MATCH($A334,Raw_D3!$A$2:$A$1001,0),""))</f>
        <v/>
      </c>
    </row>
    <row r="335" spans="1:44" x14ac:dyDescent="0.25">
      <c r="A335" s="5">
        <v>334</v>
      </c>
      <c r="B335" s="11">
        <f>IF($A335="","",IF($AP335&lt;&gt;"",INDEX(Raw_D1!$B$2:$B$1001,$AP335),IF($AR335&lt;&gt;"",INDEX(Raw_D3!$B$2:$B$1001,$AR335),"")))</f>
        <v>40558.0</v>
      </c>
      <c r="C335" s="5">
        <f>IF($A335="","",IF($AP335&lt;&gt;"",INDEX(Raw_D1!$C$2:$C$1001,$AP335),IF($AR335&lt;&gt;"",INDEX(Raw_D3!$C$2:$C$1001,$AR335),"")))</f>
        <v>1</v>
      </c>
      <c r="D335" s="5">
        <f>IF($A335="","",IF($AP335&lt;&gt;"",INDEX(Raw_D1!$D$2:$D$1001,$AP335),IF($AR335&lt;&gt;"",INDEX(Raw_D3!$D$2:$D$1001,$AR335),"")))</f>
        <v>0</v>
      </c>
      <c r="E335" s="5">
        <f>IF($A335="","",IF($AP335&lt;&gt;"",INDEX(Raw_D1!$E$2:$E$1001,$AP335),IF($AR335&lt;&gt;"",INDEX(Raw_D3!$E$2:$E$1001,$AR335),"")))</f>
        <v>1</v>
      </c>
      <c r="F335" s="5">
        <f>IF($A335="","",IF($AP335&lt;&gt;"",INDEX(Raw_D1!$F$2:$F$1001,$AP335),IF($AR335&lt;&gt;"",INDEX(Raw_D3!$F$2:$F$1001,$AR335),"")))</f>
        <v>9</v>
      </c>
      <c r="G335" s="5">
        <f>IF($A335="","",IF($AP335&lt;&gt;"",IF(INDEX(Raw_D1!$G$2:$G$1001,$AP335),1,0),IF($AR335&lt;&gt;"",IF(INDEX(Raw_D3!$G$2:$G$1001,$AR335),1,0),"")))</f>
        <v>0</v>
      </c>
      <c r="H335" s="5">
        <f>IF($A335="","",IF($AP335&lt;&gt;"",INDEX(Raw_D1!$H$2:$H$1001,$AP335),IF($AR335&lt;&gt;"",INDEX(Raw_D3!$H$2:$H$1001,$AR335),"")))</f>
        <v>6</v>
      </c>
      <c r="I335" s="5">
        <f>IF($A335="","",IF($AP335&lt;&gt;"",INDEX(Raw_D1!$I$2:$I$1001,$AP335),IF($AR335&lt;&gt;"",INDEX(Raw_D3!$I$2:$I$1001,$AR335),"")))</f>
        <v>1</v>
      </c>
      <c r="J335" s="16">
        <f>IF($A335="","",IF($AP335&lt;&gt;"",INDEX(Raw_D1!$J$2:$J$1001,$AP335),IF($AR335&lt;&gt;"",INDEX(Raw_D3!$J$2:$J$1001,$AR335),"")))</f>
        <v>0.16</v>
      </c>
      <c r="K335" s="17">
        <f>IF($A335="","",IF($AQ335&lt;&gt;"",IF(INDEX(Raw_D2!$C$2:$C$1001,$AQ335)="","",INDEX(Raw_D2!$C$2:$C$1001,$AQ335)),IF($AR335&lt;&gt;"",IF(INDEX(Raw_D3!$K$2:$K$1001,$AR335)="","",INDEX(Raw_D3!$K$2:$K$1001,$AR335)),"")))</f>
        <v>0.1818</v>
      </c>
      <c r="L335" s="16">
        <f>IF($A335="","",IF($AQ335&lt;&gt;"",IF(INDEX(Raw_D2!$D$2:$D$1001,$AQ335)="","",INDEX(Raw_D2!$D$2:$D$1001,$AQ335)),IF($AR335&lt;&gt;"",IF(INDEX(Raw_D3!$L$2:$L$1001,$AR335)="","",INDEX(Raw_D3!$L$2:$L$1001,$AR335)),"")))</f>
        <v>0.64</v>
      </c>
      <c r="M335" s="17">
        <f>IF($A335="","",IF($AQ335&lt;&gt;"",IF(INDEX(Raw_D2!$E$2:$E$1001,$AQ335)="","",INDEX(Raw_D2!$E$2:$E$1001,$AQ335)),IF($AR335&lt;&gt;"",IF(INDEX(Raw_D3!$M$2:$M$1001,$AR335)="","",INDEX(Raw_D3!$M$2:$M$1001,$AR335)),"")))</f>
        <v>0.1343</v>
      </c>
      <c r="N335" s="5">
        <f>IF($A335="","",IF($AQ335&lt;&gt;"",IF(INDEX(Raw_D2!$F$2:$F$1001,$AQ335)="","",INDEX(Raw_D2!$F$2:$F$1001,$AQ335)),IF($AR335&lt;&gt;"",IF(INDEX(Raw_D3!$N$2:$N$1001,$AR335)="","",INDEX(Raw_D3!$N$2:$N$1001,$AR335)),"")))</f>
        <v>2</v>
      </c>
      <c r="O335" s="5">
        <f>IF($A335="","",IF($AQ335&lt;&gt;"",IF(INDEX(Raw_D2!$G$2:$G$1001,$AQ335)="","",INDEX(Raw_D2!$G$2:$G$1001,$AQ335)),IF($AR335&lt;&gt;"",IF(INDEX(Raw_D3!$O$2:$O$1001,$AR335)="","",INDEX(Raw_D3!$O$2:$O$1001,$AR335)),"")))</f>
        <v>31</v>
      </c>
      <c r="P335" s="5">
        <f>IF($A335="","",IF($AQ335&lt;&gt;"",IF(INDEX(Raw_D2!$H$2:$H$1001,$AQ335)="","",INDEX(Raw_D2!$H$2:$H$1001,$AQ335)),IF($AR335&lt;&gt;"",IF(INDEX(Raw_D3!$P$2:$P$1001,$AR335)="","",INDEX(Raw_D3!$P$2:$P$1001,$AR335)),"")))</f>
        <v>33</v>
      </c>
      <c r="Q335" s="5" t="str">
        <f>IF($A335="","",IF(AND($AP335&lt;&gt;"",$AQ335&lt;&gt;""),"D1+D2",IF($AR335&lt;&gt;"","D3","Incomplete")))</f>
        <v>D1+D2</v>
      </c>
      <c r="R335" s="17">
        <f>IF($A335="","",IF($K335="",IF($J335="","",ROUND(Lookups!$K$5+Lookups!$K$4*$J335,4)),$K335))</f>
        <v>0.1818</v>
      </c>
      <c r="S335" s="5" t="str">
        <f>IF($A335="","",IF($K335="","Imputed","Original"))</f>
        <v>Original</v>
      </c>
      <c r="T335" s="5" t="str">
        <f>IF($A335="","",IF($P335="","Missing",IF($P335=$N335+$O335,"OK","Mismatch")))</f>
        <v>OK</v>
      </c>
      <c r="U335" s="5" t="str">
        <f>IF($A335="","",IF(COUNTIF($A$2:$A335,$A335)&gt;1,"Duplicate","Unique"))</f>
        <v>Unique</v>
      </c>
      <c r="V335" s="5">
        <f>IF($A335="","",IF(AND($U335="Unique",ISNUMBER($P335)),1,0))</f>
        <v>1</v>
      </c>
      <c r="W335" s="5" t="str">
        <f>IF($A335="","",IF(OR($H335=0,$H335=6),"Weekend","Weekday"))</f>
        <v>Weekend</v>
      </c>
      <c r="X335" s="5" t="str">
        <f>IF($A335="","",TEXT($B335,"ddd"))</f>
        <v>Sat</v>
      </c>
      <c r="Y335" s="5" t="str">
        <f>IF($A335="","",TEXT($B335,"mmm"))</f>
        <v>Jan</v>
      </c>
      <c r="Z335" s="5" t="str">
        <f>IF($A335="","",IFERROR(VLOOKUP($C335,Lookups!$D$4:$E$7,2,FALSE),"Unknown"))</f>
        <v>Winter</v>
      </c>
      <c r="AA335" s="5" t="str">
        <f>IF($A335="","",IFERROR(VLOOKUP($I335,Lookups!$A$4:$B$7,2,FALSE),"Unknown"))</f>
        <v>Clear</v>
      </c>
      <c r="AB335" s="5" t="str">
        <f>IF($A335="","",TEXT($F335,"00")&amp;":00")</f>
        <v>09:00</v>
      </c>
      <c r="AC335" s="5" t="str">
        <f>IF($A335="","",VLOOKUP($F335,Lookups!$G$4:$H$8,2,TRUE))</f>
        <v>Morning Peak (06-09)</v>
      </c>
      <c r="AD335" s="18">
        <f>IF($A335="","",IF($J335="","",ROUND($J335*41,1)))</f>
        <v>6.6</v>
      </c>
      <c r="AE335" s="18">
        <f>IF($A335="","",IF($R335="","",ROUND($R335*50,1)))</f>
        <v>9.1</v>
      </c>
      <c r="AF335" s="5">
        <f>IF($A335="","",IF($L335="","",ROUND($L335*100,0)))</f>
        <v>64</v>
      </c>
      <c r="AG335" s="18">
        <f>IF($A335="","",IF($M335="","",ROUND($M335*67,1)))</f>
        <v>9</v>
      </c>
      <c r="AH335" s="19">
        <f>IF($A335="","",IF($P335="","",IF($P335=0,0,$O335/$P335)))</f>
        <v>0.939393939393939</v>
      </c>
      <c r="AI335" s="5" t="str">
        <f>IF($A335="","",IF($P335="","",IF($P335&gt;=Lookups!$K$7,"High",IF($P335&lt;=Lookups!$K$8,"Low","Medium"))))</f>
        <v>Medium</v>
      </c>
      <c r="AJ335" s="5" t="str">
        <f>IF($A335="","",IF($AD335="","",IF($AD335&lt;5,"Under 5 C",IF($AD335&lt;10,"5-10 C",IF($AD335&lt;15,"10-15 C","15 C and above")))))</f>
        <v>5-10 C</v>
      </c>
      <c r="AK335" s="5">
        <f>IF($A335="","",IF($P335="","",$P335^2))</f>
        <v>1089</v>
      </c>
      <c r="AL335" s="18">
        <f>IF($V335&lt;&gt;1,"",AVERAGEIFS(Clean_Data!$P$2:$P$1001,Clean_Data!$F$2:$F$1001,$F335,Clean_Data!$W$2:$W$1001,$W335,Clean_Data!$V$2:$V$1001,1))</f>
        <v>30.9285714285714</v>
      </c>
      <c r="AM335" s="16">
        <f>IF($V335&lt;&gt;1,"",IFERROR(($P335-$AL335)/SQRT(MAX(0,(SUMIFS(Clean_Data!$AK$2:$AK$1001,Clean_Data!$F$2:$F$1001,$F335,Clean_Data!$W$2:$W$1001,$W335,Clean_Data!$V$2:$V$1001,1)-COUNTIFS(Clean_Data!$F$2:$F$1001,$F335,Clean_Data!$W$2:$W$1001,$W335,Clean_Data!$V$2:$V$1001,1)*$AL335^2)/(COUNTIFS(Clean_Data!$F$2:$F$1001,$F335,Clean_Data!$W$2:$W$1001,$W335,Clean_Data!$V$2:$V$1001,1)-1))),""))</f>
        <v>0.190014803065207</v>
      </c>
      <c r="AN335" s="5" t="str">
        <f>IF($AM335="","",IF($AM335&gt;=Lookups!$K$6,"High spike",IF($AM335&lt;=-Lookups!$K$6,"Unusual low","Normal")))</f>
        <v>Normal</v>
      </c>
      <c r="AO335" s="20">
        <f>IF($V335&lt;&gt;1,"",$P335+ROW()/100000)</f>
        <v>33.00335</v>
      </c>
      <c r="AP335" s="5">
        <f>IF($A335="","",IFERROR(MATCH($A335,Raw_D1!$A$2:$A$1001,0),""))</f>
        <v>334</v>
      </c>
      <c r="AQ335" s="5">
        <f>IF($A335="","",IFERROR(MATCH($A335,Raw_D2!$B$2:$B$1001,0),""))</f>
        <v>334</v>
      </c>
      <c r="AR335" s="5">
        <f>IF($A335="","",IFERROR(MATCH($A335,Raw_D3!$A$2:$A$1001,0),""))</f>
        <v/>
      </c>
    </row>
    <row r="336" spans="1:44" x14ac:dyDescent="0.25">
      <c r="A336" s="5">
        <v>335</v>
      </c>
      <c r="B336" s="11">
        <f>IF($A336="","",IF($AP336&lt;&gt;"",INDEX(Raw_D1!$B$2:$B$1001,$AP336),IF($AR336&lt;&gt;"",INDEX(Raw_D3!$B$2:$B$1001,$AR336),"")))</f>
        <v>40558.0</v>
      </c>
      <c r="C336" s="5">
        <f>IF($A336="","",IF($AP336&lt;&gt;"",INDEX(Raw_D1!$C$2:$C$1001,$AP336),IF($AR336&lt;&gt;"",INDEX(Raw_D3!$C$2:$C$1001,$AR336),"")))</f>
        <v>1</v>
      </c>
      <c r="D336" s="5">
        <f>IF($A336="","",IF($AP336&lt;&gt;"",INDEX(Raw_D1!$D$2:$D$1001,$AP336),IF($AR336&lt;&gt;"",INDEX(Raw_D3!$D$2:$D$1001,$AR336),"")))</f>
        <v>0</v>
      </c>
      <c r="E336" s="5">
        <f>IF($A336="","",IF($AP336&lt;&gt;"",INDEX(Raw_D1!$E$2:$E$1001,$AP336),IF($AR336&lt;&gt;"",INDEX(Raw_D3!$E$2:$E$1001,$AR336),"")))</f>
        <v>1</v>
      </c>
      <c r="F336" s="5">
        <f>IF($A336="","",IF($AP336&lt;&gt;"",INDEX(Raw_D1!$F$2:$F$1001,$AP336),IF($AR336&lt;&gt;"",INDEX(Raw_D3!$F$2:$F$1001,$AR336),"")))</f>
        <v>10</v>
      </c>
      <c r="G336" s="5">
        <f>IF($A336="","",IF($AP336&lt;&gt;"",IF(INDEX(Raw_D1!$G$2:$G$1001,$AP336),1,0),IF($AR336&lt;&gt;"",IF(INDEX(Raw_D3!$G$2:$G$1001,$AR336),1,0),"")))</f>
        <v>0</v>
      </c>
      <c r="H336" s="5">
        <f>IF($A336="","",IF($AP336&lt;&gt;"",INDEX(Raw_D1!$H$2:$H$1001,$AP336),IF($AR336&lt;&gt;"",INDEX(Raw_D3!$H$2:$H$1001,$AR336),"")))</f>
        <v>6</v>
      </c>
      <c r="I336" s="5">
        <f>IF($A336="","",IF($AP336&lt;&gt;"",INDEX(Raw_D1!$I$2:$I$1001,$AP336),IF($AR336&lt;&gt;"",INDEX(Raw_D3!$I$2:$I$1001,$AR336),"")))</f>
        <v>1</v>
      </c>
      <c r="J336" s="16">
        <f>IF($A336="","",IF($AP336&lt;&gt;"",INDEX(Raw_D1!$J$2:$J$1001,$AP336),IF($AR336&lt;&gt;"",INDEX(Raw_D3!$J$2:$J$1001,$AR336),"")))</f>
        <v>0.18</v>
      </c>
      <c r="K336" s="17">
        <f>IF($A336="","",IF($AQ336&lt;&gt;"",IF(INDEX(Raw_D2!$C$2:$C$1001,$AQ336)="","",INDEX(Raw_D2!$C$2:$C$1001,$AQ336)),IF($AR336&lt;&gt;"",IF(INDEX(Raw_D3!$K$2:$K$1001,$AR336)="","",INDEX(Raw_D3!$K$2:$K$1001,$AR336)),"")))</f>
        <v>0.197</v>
      </c>
      <c r="L336" s="16">
        <f>IF($A336="","",IF($AQ336&lt;&gt;"",IF(INDEX(Raw_D2!$D$2:$D$1001,$AQ336)="","",INDEX(Raw_D2!$D$2:$D$1001,$AQ336)),IF($AR336&lt;&gt;"",IF(INDEX(Raw_D3!$L$2:$L$1001,$AR336)="","",INDEX(Raw_D3!$L$2:$L$1001,$AR336)),"")))</f>
        <v>0.59</v>
      </c>
      <c r="M336" s="17">
        <f>IF($A336="","",IF($AQ336&lt;&gt;"",IF(INDEX(Raw_D2!$E$2:$E$1001,$AQ336)="","",INDEX(Raw_D2!$E$2:$E$1001,$AQ336)),IF($AR336&lt;&gt;"",IF(INDEX(Raw_D3!$M$2:$M$1001,$AR336)="","",INDEX(Raw_D3!$M$2:$M$1001,$AR336)),"")))</f>
        <v>0.1642</v>
      </c>
      <c r="N336" s="5">
        <f>IF($A336="","",IF($AQ336&lt;&gt;"",IF(INDEX(Raw_D2!$F$2:$F$1001,$AQ336)="","",INDEX(Raw_D2!$F$2:$F$1001,$AQ336)),IF($AR336&lt;&gt;"",IF(INDEX(Raw_D3!$N$2:$N$1001,$AR336)="","",INDEX(Raw_D3!$N$2:$N$1001,$AR336)),"")))</f>
        <v>2</v>
      </c>
      <c r="O336" s="5">
        <f>IF($A336="","",IF($AQ336&lt;&gt;"",IF(INDEX(Raw_D2!$G$2:$G$1001,$AQ336)="","",INDEX(Raw_D2!$G$2:$G$1001,$AQ336)),IF($AR336&lt;&gt;"",IF(INDEX(Raw_D3!$O$2:$O$1001,$AR336)="","",INDEX(Raw_D3!$O$2:$O$1001,$AR336)),"")))</f>
        <v>57</v>
      </c>
      <c r="P336" s="5">
        <f>IF($A336="","",IF($AQ336&lt;&gt;"",IF(INDEX(Raw_D2!$H$2:$H$1001,$AQ336)="","",INDEX(Raw_D2!$H$2:$H$1001,$AQ336)),IF($AR336&lt;&gt;"",IF(INDEX(Raw_D3!$P$2:$P$1001,$AR336)="","",INDEX(Raw_D3!$P$2:$P$1001,$AR336)),"")))</f>
        <v>59</v>
      </c>
      <c r="Q336" s="5" t="str">
        <f>IF($A336="","",IF(AND($AP336&lt;&gt;"",$AQ336&lt;&gt;""),"D1+D2",IF($AR336&lt;&gt;"","D3","Incomplete")))</f>
        <v>D1+D2</v>
      </c>
      <c r="R336" s="17">
        <f>IF($A336="","",IF($K336="",IF($J336="","",ROUND(Lookups!$K$5+Lookups!$K$4*$J336,4)),$K336))</f>
        <v>0.197</v>
      </c>
      <c r="S336" s="5" t="str">
        <f>IF($A336="","",IF($K336="","Imputed","Original"))</f>
        <v>Original</v>
      </c>
      <c r="T336" s="5" t="str">
        <f>IF($A336="","",IF($P336="","Missing",IF($P336=$N336+$O336,"OK","Mismatch")))</f>
        <v>OK</v>
      </c>
      <c r="U336" s="5" t="str">
        <f>IF($A336="","",IF(COUNTIF($A$2:$A336,$A336)&gt;1,"Duplicate","Unique"))</f>
        <v>Unique</v>
      </c>
      <c r="V336" s="5">
        <f>IF($A336="","",IF(AND($U336="Unique",ISNUMBER($P336)),1,0))</f>
        <v>1</v>
      </c>
      <c r="W336" s="5" t="str">
        <f>IF($A336="","",IF(OR($H336=0,$H336=6),"Weekend","Weekday"))</f>
        <v>Weekend</v>
      </c>
      <c r="X336" s="5" t="str">
        <f>IF($A336="","",TEXT($B336,"ddd"))</f>
        <v>Sat</v>
      </c>
      <c r="Y336" s="5" t="str">
        <f>IF($A336="","",TEXT($B336,"mmm"))</f>
        <v>Jan</v>
      </c>
      <c r="Z336" s="5" t="str">
        <f>IF($A336="","",IFERROR(VLOOKUP($C336,Lookups!$D$4:$E$7,2,FALSE),"Unknown"))</f>
        <v>Winter</v>
      </c>
      <c r="AA336" s="5" t="str">
        <f>IF($A336="","",IFERROR(VLOOKUP($I336,Lookups!$A$4:$B$7,2,FALSE),"Unknown"))</f>
        <v>Clear</v>
      </c>
      <c r="AB336" s="5" t="str">
        <f>IF($A336="","",TEXT($F336,"00")&amp;":00")</f>
        <v>10:00</v>
      </c>
      <c r="AC336" s="5" t="str">
        <f>IF($A336="","",VLOOKUP($F336,Lookups!$G$4:$H$8,2,TRUE))</f>
        <v>Midday (10-15)</v>
      </c>
      <c r="AD336" s="18">
        <f>IF($A336="","",IF($J336="","",ROUND($J336*41,1)))</f>
        <v>7.4</v>
      </c>
      <c r="AE336" s="18">
        <f>IF($A336="","",IF($R336="","",ROUND($R336*50,1)))</f>
        <v>9.9</v>
      </c>
      <c r="AF336" s="5">
        <f>IF($A336="","",IF($L336="","",ROUND($L336*100,0)))</f>
        <v>59</v>
      </c>
      <c r="AG336" s="18">
        <f>IF($A336="","",IF($M336="","",ROUND($M336*67,1)))</f>
        <v>11</v>
      </c>
      <c r="AH336" s="19">
        <f>IF($A336="","",IF($P336="","",IF($P336=0,0,$O336/$P336)))</f>
        <v>0.966101694915254</v>
      </c>
      <c r="AI336" s="5" t="str">
        <f>IF($A336="","",IF($P336="","",IF($P336&gt;=Lookups!$K$7,"High",IF($P336&lt;=Lookups!$K$8,"Low","Medium"))))</f>
        <v>Medium</v>
      </c>
      <c r="AJ336" s="5" t="str">
        <f>IF($A336="","",IF($AD336="","",IF($AD336&lt;5,"Under 5 C",IF($AD336&lt;10,"5-10 C",IF($AD336&lt;15,"10-15 C","15 C and above")))))</f>
        <v>5-10 C</v>
      </c>
      <c r="AK336" s="5">
        <f>IF($A336="","",IF($P336="","",$P336^2))</f>
        <v>3481</v>
      </c>
      <c r="AL336" s="18">
        <f>IF($V336&lt;&gt;1,"",AVERAGEIFS(Clean_Data!$P$2:$P$1001,Clean_Data!$F$2:$F$1001,$F336,Clean_Data!$W$2:$W$1001,$W336,Clean_Data!$V$2:$V$1001,1))</f>
        <v>62.7857142857143</v>
      </c>
      <c r="AM336" s="16">
        <f>IF($V336&lt;&gt;1,"",IFERROR(($P336-$AL336)/SQRT(MAX(0,(SUMIFS(Clean_Data!$AK$2:$AK$1001,Clean_Data!$F$2:$F$1001,$F336,Clean_Data!$W$2:$W$1001,$W336,Clean_Data!$V$2:$V$1001,1)-COUNTIFS(Clean_Data!$F$2:$F$1001,$F336,Clean_Data!$W$2:$W$1001,$W336,Clean_Data!$V$2:$V$1001,1)*$AL336^2)/(COUNTIFS(Clean_Data!$F$2:$F$1001,$F336,Clean_Data!$W$2:$W$1001,$W336,Clean_Data!$V$2:$V$1001,1)-1))),""))</f>
        <v>-0.189061207550843</v>
      </c>
      <c r="AN336" s="5" t="str">
        <f>IF($AM336="","",IF($AM336&gt;=Lookups!$K$6,"High spike",IF($AM336&lt;=-Lookups!$K$6,"Unusual low","Normal")))</f>
        <v>Normal</v>
      </c>
      <c r="AO336" s="20">
        <f>IF($V336&lt;&gt;1,"",$P336+ROW()/100000)</f>
        <v>59.00336</v>
      </c>
      <c r="AP336" s="5">
        <f>IF($A336="","",IFERROR(MATCH($A336,Raw_D1!$A$2:$A$1001,0),""))</f>
        <v>335</v>
      </c>
      <c r="AQ336" s="5">
        <f>IF($A336="","",IFERROR(MATCH($A336,Raw_D2!$B$2:$B$1001,0),""))</f>
        <v>335</v>
      </c>
      <c r="AR336" s="5">
        <f>IF($A336="","",IFERROR(MATCH($A336,Raw_D3!$A$2:$A$1001,0),""))</f>
        <v/>
      </c>
    </row>
    <row r="337" spans="1:44" x14ac:dyDescent="0.25">
      <c r="A337" s="5">
        <v>336</v>
      </c>
      <c r="B337" s="11">
        <f>IF($A337="","",IF($AP337&lt;&gt;"",INDEX(Raw_D1!$B$2:$B$1001,$AP337),IF($AR337&lt;&gt;"",INDEX(Raw_D3!$B$2:$B$1001,$AR337),"")))</f>
        <v>40558.0</v>
      </c>
      <c r="C337" s="5">
        <f>IF($A337="","",IF($AP337&lt;&gt;"",INDEX(Raw_D1!$C$2:$C$1001,$AP337),IF($AR337&lt;&gt;"",INDEX(Raw_D3!$C$2:$C$1001,$AR337),"")))</f>
        <v>1</v>
      </c>
      <c r="D337" s="5">
        <f>IF($A337="","",IF($AP337&lt;&gt;"",INDEX(Raw_D1!$D$2:$D$1001,$AP337),IF($AR337&lt;&gt;"",INDEX(Raw_D3!$D$2:$D$1001,$AR337),"")))</f>
        <v>0</v>
      </c>
      <c r="E337" s="5">
        <f>IF($A337="","",IF($AP337&lt;&gt;"",INDEX(Raw_D1!$E$2:$E$1001,$AP337),IF($AR337&lt;&gt;"",INDEX(Raw_D3!$E$2:$E$1001,$AR337),"")))</f>
        <v>1</v>
      </c>
      <c r="F337" s="5">
        <f>IF($A337="","",IF($AP337&lt;&gt;"",INDEX(Raw_D1!$F$2:$F$1001,$AP337),IF($AR337&lt;&gt;"",INDEX(Raw_D3!$F$2:$F$1001,$AR337),"")))</f>
        <v>11</v>
      </c>
      <c r="G337" s="5">
        <f>IF($A337="","",IF($AP337&lt;&gt;"",IF(INDEX(Raw_D1!$G$2:$G$1001,$AP337),1,0),IF($AR337&lt;&gt;"",IF(INDEX(Raw_D3!$G$2:$G$1001,$AR337),1,0),"")))</f>
        <v>0</v>
      </c>
      <c r="H337" s="5">
        <f>IF($A337="","",IF($AP337&lt;&gt;"",INDEX(Raw_D1!$H$2:$H$1001,$AP337),IF($AR337&lt;&gt;"",INDEX(Raw_D3!$H$2:$H$1001,$AR337),"")))</f>
        <v>6</v>
      </c>
      <c r="I337" s="5">
        <f>IF($A337="","",IF($AP337&lt;&gt;"",INDEX(Raw_D1!$I$2:$I$1001,$AP337),IF($AR337&lt;&gt;"",INDEX(Raw_D3!$I$2:$I$1001,$AR337),"")))</f>
        <v>1</v>
      </c>
      <c r="J337" s="16">
        <f>IF($A337="","",IF($AP337&lt;&gt;"",INDEX(Raw_D1!$J$2:$J$1001,$AP337),IF($AR337&lt;&gt;"",INDEX(Raw_D3!$J$2:$J$1001,$AR337),"")))</f>
        <v>0.2</v>
      </c>
      <c r="K337" s="17">
        <f>IF($A337="","",IF($AQ337&lt;&gt;"",IF(INDEX(Raw_D2!$C$2:$C$1001,$AQ337)="","",INDEX(Raw_D2!$C$2:$C$1001,$AQ337)),IF($AR337&lt;&gt;"",IF(INDEX(Raw_D3!$K$2:$K$1001,$AR337)="","",INDEX(Raw_D3!$K$2:$K$1001,$AR337)),"")))</f>
        <v>0.197</v>
      </c>
      <c r="L337" s="16">
        <f>IF($A337="","",IF($AQ337&lt;&gt;"",IF(INDEX(Raw_D2!$D$2:$D$1001,$AQ337)="","",INDEX(Raw_D2!$D$2:$D$1001,$AQ337)),IF($AR337&lt;&gt;"",IF(INDEX(Raw_D3!$L$2:$L$1001,$AR337)="","",INDEX(Raw_D3!$L$2:$L$1001,$AR337)),"")))</f>
        <v>0.55</v>
      </c>
      <c r="M337" s="17">
        <f>IF($A337="","",IF($AQ337&lt;&gt;"",IF(INDEX(Raw_D2!$E$2:$E$1001,$AQ337)="","",INDEX(Raw_D2!$E$2:$E$1001,$AQ337)),IF($AR337&lt;&gt;"",IF(INDEX(Raw_D3!$M$2:$M$1001,$AR337)="","",INDEX(Raw_D3!$M$2:$M$1001,$AR337)),"")))</f>
        <v>0.2239</v>
      </c>
      <c r="N337" s="5">
        <f>IF($A337="","",IF($AQ337&lt;&gt;"",IF(INDEX(Raw_D2!$F$2:$F$1001,$AQ337)="","",INDEX(Raw_D2!$F$2:$F$1001,$AQ337)),IF($AR337&lt;&gt;"",IF(INDEX(Raw_D3!$N$2:$N$1001,$AR337)="","",INDEX(Raw_D3!$N$2:$N$1001,$AR337)),"")))</f>
        <v>18</v>
      </c>
      <c r="O337" s="5">
        <f>IF($A337="","",IF($AQ337&lt;&gt;"",IF(INDEX(Raw_D2!$G$2:$G$1001,$AQ337)="","",INDEX(Raw_D2!$G$2:$G$1001,$AQ337)),IF($AR337&lt;&gt;"",IF(INDEX(Raw_D3!$O$2:$O$1001,$AR337)="","",INDEX(Raw_D3!$O$2:$O$1001,$AR337)),"")))</f>
        <v>54</v>
      </c>
      <c r="P337" s="5">
        <f>IF($A337="","",IF($AQ337&lt;&gt;"",IF(INDEX(Raw_D2!$H$2:$H$1001,$AQ337)="","",INDEX(Raw_D2!$H$2:$H$1001,$AQ337)),IF($AR337&lt;&gt;"",IF(INDEX(Raw_D3!$P$2:$P$1001,$AR337)="","",INDEX(Raw_D3!$P$2:$P$1001,$AR337)),"")))</f>
        <v>72</v>
      </c>
      <c r="Q337" s="5" t="str">
        <f>IF($A337="","",IF(AND($AP337&lt;&gt;"",$AQ337&lt;&gt;""),"D1+D2",IF($AR337&lt;&gt;"","D3","Incomplete")))</f>
        <v>D1+D2</v>
      </c>
      <c r="R337" s="17">
        <f>IF($A337="","",IF($K337="",IF($J337="","",ROUND(Lookups!$K$5+Lookups!$K$4*$J337,4)),$K337))</f>
        <v>0.197</v>
      </c>
      <c r="S337" s="5" t="str">
        <f>IF($A337="","",IF($K337="","Imputed","Original"))</f>
        <v>Original</v>
      </c>
      <c r="T337" s="5" t="str">
        <f>IF($A337="","",IF($P337="","Missing",IF($P337=$N337+$O337,"OK","Mismatch")))</f>
        <v>OK</v>
      </c>
      <c r="U337" s="5" t="str">
        <f>IF($A337="","",IF(COUNTIF($A$2:$A337,$A337)&gt;1,"Duplicate","Unique"))</f>
        <v>Unique</v>
      </c>
      <c r="V337" s="5">
        <f>IF($A337="","",IF(AND($U337="Unique",ISNUMBER($P337)),1,0))</f>
        <v>1</v>
      </c>
      <c r="W337" s="5" t="str">
        <f>IF($A337="","",IF(OR($H337=0,$H337=6),"Weekend","Weekday"))</f>
        <v>Weekend</v>
      </c>
      <c r="X337" s="5" t="str">
        <f>IF($A337="","",TEXT($B337,"ddd"))</f>
        <v>Sat</v>
      </c>
      <c r="Y337" s="5" t="str">
        <f>IF($A337="","",TEXT($B337,"mmm"))</f>
        <v>Jan</v>
      </c>
      <c r="Z337" s="5" t="str">
        <f>IF($A337="","",IFERROR(VLOOKUP($C337,Lookups!$D$4:$E$7,2,FALSE),"Unknown"))</f>
        <v>Winter</v>
      </c>
      <c r="AA337" s="5" t="str">
        <f>IF($A337="","",IFERROR(VLOOKUP($I337,Lookups!$A$4:$B$7,2,FALSE),"Unknown"))</f>
        <v>Clear</v>
      </c>
      <c r="AB337" s="5" t="str">
        <f>IF($A337="","",TEXT($F337,"00")&amp;":00")</f>
        <v>11:00</v>
      </c>
      <c r="AC337" s="5" t="str">
        <f>IF($A337="","",VLOOKUP($F337,Lookups!$G$4:$H$8,2,TRUE))</f>
        <v>Midday (10-15)</v>
      </c>
      <c r="AD337" s="18">
        <f>IF($A337="","",IF($J337="","",ROUND($J337*41,1)))</f>
        <v>8.2</v>
      </c>
      <c r="AE337" s="18">
        <f>IF($A337="","",IF($R337="","",ROUND($R337*50,1)))</f>
        <v>9.9</v>
      </c>
      <c r="AF337" s="5">
        <f>IF($A337="","",IF($L337="","",ROUND($L337*100,0)))</f>
        <v>55</v>
      </c>
      <c r="AG337" s="18">
        <f>IF($A337="","",IF($M337="","",ROUND($M337*67,1)))</f>
        <v>15</v>
      </c>
      <c r="AH337" s="19">
        <f>IF($A337="","",IF($P337="","",IF($P337=0,0,$O337/$P337)))</f>
        <v>0.75</v>
      </c>
      <c r="AI337" s="5" t="str">
        <f>IF($A337="","",IF($P337="","",IF($P337&gt;=Lookups!$K$7,"High",IF($P337&lt;=Lookups!$K$8,"Low","Medium"))))</f>
        <v>Medium</v>
      </c>
      <c r="AJ337" s="5" t="str">
        <f>IF($A337="","",IF($AD337="","",IF($AD337&lt;5,"Under 5 C",IF($AD337&lt;10,"5-10 C",IF($AD337&lt;15,"10-15 C","15 C and above")))))</f>
        <v>5-10 C</v>
      </c>
      <c r="AK337" s="5">
        <f>IF($A337="","",IF($P337="","",$P337^2))</f>
        <v>5184</v>
      </c>
      <c r="AL337" s="18">
        <f>IF($V337&lt;&gt;1,"",AVERAGEIFS(Clean_Data!$P$2:$P$1001,Clean_Data!$F$2:$F$1001,$F337,Clean_Data!$W$2:$W$1001,$W337,Clean_Data!$V$2:$V$1001,1))</f>
        <v>76.9285714285714</v>
      </c>
      <c r="AM337" s="16">
        <f>IF($V337&lt;&gt;1,"",IFERROR(($P337-$AL337)/SQRT(MAX(0,(SUMIFS(Clean_Data!$AK$2:$AK$1001,Clean_Data!$F$2:$F$1001,$F337,Clean_Data!$W$2:$W$1001,$W337,Clean_Data!$V$2:$V$1001,1)-COUNTIFS(Clean_Data!$F$2:$F$1001,$F337,Clean_Data!$W$2:$W$1001,$W337,Clean_Data!$V$2:$V$1001,1)*$AL337^2)/(COUNTIFS(Clean_Data!$F$2:$F$1001,$F337,Clean_Data!$W$2:$W$1001,$W337,Clean_Data!$V$2:$V$1001,1)-1))),""))</f>
        <v>-0.198096890279978</v>
      </c>
      <c r="AN337" s="5" t="str">
        <f>IF($AM337="","",IF($AM337&gt;=Lookups!$K$6,"High spike",IF($AM337&lt;=-Lookups!$K$6,"Unusual low","Normal")))</f>
        <v>Normal</v>
      </c>
      <c r="AO337" s="20">
        <f>IF($V337&lt;&gt;1,"",$P337+ROW()/100000)</f>
        <v>72.00337</v>
      </c>
      <c r="AP337" s="5">
        <f>IF($A337="","",IFERROR(MATCH($A337,Raw_D1!$A$2:$A$1001,0),""))</f>
        <v>336</v>
      </c>
      <c r="AQ337" s="5">
        <f>IF($A337="","",IFERROR(MATCH($A337,Raw_D2!$B$2:$B$1001,0),""))</f>
        <v>336</v>
      </c>
      <c r="AR337" s="5">
        <f>IF($A337="","",IFERROR(MATCH($A337,Raw_D3!$A$2:$A$1001,0),""))</f>
        <v/>
      </c>
    </row>
    <row r="338" spans="1:44" x14ac:dyDescent="0.25">
      <c r="A338" s="5">
        <v>337</v>
      </c>
      <c r="B338" s="11">
        <f>IF($A338="","",IF($AP338&lt;&gt;"",INDEX(Raw_D1!$B$2:$B$1001,$AP338),IF($AR338&lt;&gt;"",INDEX(Raw_D3!$B$2:$B$1001,$AR338),"")))</f>
        <v>40558.0</v>
      </c>
      <c r="C338" s="5">
        <f>IF($A338="","",IF($AP338&lt;&gt;"",INDEX(Raw_D1!$C$2:$C$1001,$AP338),IF($AR338&lt;&gt;"",INDEX(Raw_D3!$C$2:$C$1001,$AR338),"")))</f>
        <v>1</v>
      </c>
      <c r="D338" s="5">
        <f>IF($A338="","",IF($AP338&lt;&gt;"",INDEX(Raw_D1!$D$2:$D$1001,$AP338),IF($AR338&lt;&gt;"",INDEX(Raw_D3!$D$2:$D$1001,$AR338),"")))</f>
        <v>0</v>
      </c>
      <c r="E338" s="5">
        <f>IF($A338="","",IF($AP338&lt;&gt;"",INDEX(Raw_D1!$E$2:$E$1001,$AP338),IF($AR338&lt;&gt;"",INDEX(Raw_D3!$E$2:$E$1001,$AR338),"")))</f>
        <v>1</v>
      </c>
      <c r="F338" s="5">
        <f>IF($A338="","",IF($AP338&lt;&gt;"",INDEX(Raw_D1!$F$2:$F$1001,$AP338),IF($AR338&lt;&gt;"",INDEX(Raw_D3!$F$2:$F$1001,$AR338),"")))</f>
        <v>12</v>
      </c>
      <c r="G338" s="5">
        <f>IF($A338="","",IF($AP338&lt;&gt;"",IF(INDEX(Raw_D1!$G$2:$G$1001,$AP338),1,0),IF($AR338&lt;&gt;"",IF(INDEX(Raw_D3!$G$2:$G$1001,$AR338),1,0),"")))</f>
        <v>0</v>
      </c>
      <c r="H338" s="5">
        <f>IF($A338="","",IF($AP338&lt;&gt;"",INDEX(Raw_D1!$H$2:$H$1001,$AP338),IF($AR338&lt;&gt;"",INDEX(Raw_D3!$H$2:$H$1001,$AR338),"")))</f>
        <v>6</v>
      </c>
      <c r="I338" s="5">
        <f>IF($A338="","",IF($AP338&lt;&gt;"",INDEX(Raw_D1!$I$2:$I$1001,$AP338),IF($AR338&lt;&gt;"",INDEX(Raw_D3!$I$2:$I$1001,$AR338),"")))</f>
        <v>1</v>
      </c>
      <c r="J338" s="16">
        <f>IF($A338="","",IF($AP338&lt;&gt;"",INDEX(Raw_D1!$J$2:$J$1001,$AP338),IF($AR338&lt;&gt;"",INDEX(Raw_D3!$J$2:$J$1001,$AR338),"")))</f>
        <v>0.24</v>
      </c>
      <c r="K338" s="17">
        <f>IF($A338="","",IF($AQ338&lt;&gt;"",IF(INDEX(Raw_D2!$C$2:$C$1001,$AQ338)="","",INDEX(Raw_D2!$C$2:$C$1001,$AQ338)),IF($AR338&lt;&gt;"",IF(INDEX(Raw_D3!$K$2:$K$1001,$AR338)="","",INDEX(Raw_D3!$K$2:$K$1001,$AR338)),"")))</f>
        <v>0.2273</v>
      </c>
      <c r="L338" s="16">
        <f>IF($A338="","",IF($AQ338&lt;&gt;"",IF(INDEX(Raw_D2!$D$2:$D$1001,$AQ338)="","",INDEX(Raw_D2!$D$2:$D$1001,$AQ338)),IF($AR338&lt;&gt;"",IF(INDEX(Raw_D3!$L$2:$L$1001,$AR338)="","",INDEX(Raw_D3!$L$2:$L$1001,$AR338)),"")))</f>
        <v>0.48</v>
      </c>
      <c r="M338" s="17">
        <f>IF($A338="","",IF($AQ338&lt;&gt;"",IF(INDEX(Raw_D2!$E$2:$E$1001,$AQ338)="","",INDEX(Raw_D2!$E$2:$E$1001,$AQ338)),IF($AR338&lt;&gt;"",IF(INDEX(Raw_D3!$M$2:$M$1001,$AR338)="","",INDEX(Raw_D3!$M$2:$M$1001,$AR338)),"")))</f>
        <v>0.2239</v>
      </c>
      <c r="N338" s="5">
        <f>IF($A338="","",IF($AQ338&lt;&gt;"",IF(INDEX(Raw_D2!$F$2:$F$1001,$AQ338)="","",INDEX(Raw_D2!$F$2:$F$1001,$AQ338)),IF($AR338&lt;&gt;"",IF(INDEX(Raw_D3!$N$2:$N$1001,$AR338)="","",INDEX(Raw_D3!$N$2:$N$1001,$AR338)),"")))</f>
        <v>15</v>
      </c>
      <c r="O338" s="5">
        <f>IF($A338="","",IF($AQ338&lt;&gt;"",IF(INDEX(Raw_D2!$G$2:$G$1001,$AQ338)="","",INDEX(Raw_D2!$G$2:$G$1001,$AQ338)),IF($AR338&lt;&gt;"",IF(INDEX(Raw_D3!$O$2:$O$1001,$AR338)="","",INDEX(Raw_D3!$O$2:$O$1001,$AR338)),"")))</f>
        <v>74</v>
      </c>
      <c r="P338" s="5">
        <f>IF($A338="","",IF($AQ338&lt;&gt;"",IF(INDEX(Raw_D2!$H$2:$H$1001,$AQ338)="","",INDEX(Raw_D2!$H$2:$H$1001,$AQ338)),IF($AR338&lt;&gt;"",IF(INDEX(Raw_D3!$P$2:$P$1001,$AR338)="","",INDEX(Raw_D3!$P$2:$P$1001,$AR338)),"")))</f>
        <v>89</v>
      </c>
      <c r="Q338" s="5" t="str">
        <f>IF($A338="","",IF(AND($AP338&lt;&gt;"",$AQ338&lt;&gt;""),"D1+D2",IF($AR338&lt;&gt;"","D3","Incomplete")))</f>
        <v>D1+D2</v>
      </c>
      <c r="R338" s="17">
        <f>IF($A338="","",IF($K338="",IF($J338="","",ROUND(Lookups!$K$5+Lookups!$K$4*$J338,4)),$K338))</f>
        <v>0.2273</v>
      </c>
      <c r="S338" s="5" t="str">
        <f>IF($A338="","",IF($K338="","Imputed","Original"))</f>
        <v>Original</v>
      </c>
      <c r="T338" s="5" t="str">
        <f>IF($A338="","",IF($P338="","Missing",IF($P338=$N338+$O338,"OK","Mismatch")))</f>
        <v>OK</v>
      </c>
      <c r="U338" s="5" t="str">
        <f>IF($A338="","",IF(COUNTIF($A$2:$A338,$A338)&gt;1,"Duplicate","Unique"))</f>
        <v>Unique</v>
      </c>
      <c r="V338" s="5">
        <f>IF($A338="","",IF(AND($U338="Unique",ISNUMBER($P338)),1,0))</f>
        <v>1</v>
      </c>
      <c r="W338" s="5" t="str">
        <f>IF($A338="","",IF(OR($H338=0,$H338=6),"Weekend","Weekday"))</f>
        <v>Weekend</v>
      </c>
      <c r="X338" s="5" t="str">
        <f>IF($A338="","",TEXT($B338,"ddd"))</f>
        <v>Sat</v>
      </c>
      <c r="Y338" s="5" t="str">
        <f>IF($A338="","",TEXT($B338,"mmm"))</f>
        <v>Jan</v>
      </c>
      <c r="Z338" s="5" t="str">
        <f>IF($A338="","",IFERROR(VLOOKUP($C338,Lookups!$D$4:$E$7,2,FALSE),"Unknown"))</f>
        <v>Winter</v>
      </c>
      <c r="AA338" s="5" t="str">
        <f>IF($A338="","",IFERROR(VLOOKUP($I338,Lookups!$A$4:$B$7,2,FALSE),"Unknown"))</f>
        <v>Clear</v>
      </c>
      <c r="AB338" s="5" t="str">
        <f>IF($A338="","",TEXT($F338,"00")&amp;":00")</f>
        <v>12:00</v>
      </c>
      <c r="AC338" s="5" t="str">
        <f>IF($A338="","",VLOOKUP($F338,Lookups!$G$4:$H$8,2,TRUE))</f>
        <v>Midday (10-15)</v>
      </c>
      <c r="AD338" s="18">
        <f>IF($A338="","",IF($J338="","",ROUND($J338*41,1)))</f>
        <v>9.8</v>
      </c>
      <c r="AE338" s="18">
        <f>IF($A338="","",IF($R338="","",ROUND($R338*50,1)))</f>
        <v>11.4</v>
      </c>
      <c r="AF338" s="5">
        <f>IF($A338="","",IF($L338="","",ROUND($L338*100,0)))</f>
        <v>48</v>
      </c>
      <c r="AG338" s="18">
        <f>IF($A338="","",IF($M338="","",ROUND($M338*67,1)))</f>
        <v>15</v>
      </c>
      <c r="AH338" s="19">
        <f>IF($A338="","",IF($P338="","",IF($P338=0,0,$O338/$P338)))</f>
        <v>0.831460674157303</v>
      </c>
      <c r="AI338" s="5" t="str">
        <f>IF($A338="","",IF($P338="","",IF($P338&gt;=Lookups!$K$7,"High",IF($P338&lt;=Lookups!$K$8,"Low","Medium"))))</f>
        <v>High</v>
      </c>
      <c r="AJ338" s="5" t="str">
        <f>IF($A338="","",IF($AD338="","",IF($AD338&lt;5,"Under 5 C",IF($AD338&lt;10,"5-10 C",IF($AD338&lt;15,"10-15 C","15 C and above")))))</f>
        <v>5-10 C</v>
      </c>
      <c r="AK338" s="5">
        <f>IF($A338="","",IF($P338="","",$P338^2))</f>
        <v>7921</v>
      </c>
      <c r="AL338" s="18">
        <f>IF($V338&lt;&gt;1,"",AVERAGEIFS(Clean_Data!$P$2:$P$1001,Clean_Data!$F$2:$F$1001,$F338,Clean_Data!$W$2:$W$1001,$W338,Clean_Data!$V$2:$V$1001,1))</f>
        <v>100.714285714286</v>
      </c>
      <c r="AM338" s="16">
        <f>IF($V338&lt;&gt;1,"",IFERROR(($P338-$AL338)/SQRT(MAX(0,(SUMIFS(Clean_Data!$AK$2:$AK$1001,Clean_Data!$F$2:$F$1001,$F338,Clean_Data!$W$2:$W$1001,$W338,Clean_Data!$V$2:$V$1001,1)-COUNTIFS(Clean_Data!$F$2:$F$1001,$F338,Clean_Data!$W$2:$W$1001,$W338,Clean_Data!$V$2:$V$1001,1)*$AL338^2)/(COUNTIFS(Clean_Data!$F$2:$F$1001,$F338,Clean_Data!$W$2:$W$1001,$W338,Clean_Data!$V$2:$V$1001,1)-1))),""))</f>
        <v>-0.366776659092211</v>
      </c>
      <c r="AN338" s="5" t="str">
        <f>IF($AM338="","",IF($AM338&gt;=Lookups!$K$6,"High spike",IF($AM338&lt;=-Lookups!$K$6,"Unusual low","Normal")))</f>
        <v>Normal</v>
      </c>
      <c r="AO338" s="20">
        <f>IF($V338&lt;&gt;1,"",$P338+ROW()/100000)</f>
        <v>89.00338</v>
      </c>
      <c r="AP338" s="5">
        <f>IF($A338="","",IFERROR(MATCH($A338,Raw_D1!$A$2:$A$1001,0),""))</f>
        <v>337</v>
      </c>
      <c r="AQ338" s="5">
        <f>IF($A338="","",IFERROR(MATCH($A338,Raw_D2!$B$2:$B$1001,0),""))</f>
        <v>337</v>
      </c>
      <c r="AR338" s="5">
        <f>IF($A338="","",IFERROR(MATCH($A338,Raw_D3!$A$2:$A$1001,0),""))</f>
        <v/>
      </c>
    </row>
    <row r="339" spans="1:44" x14ac:dyDescent="0.25">
      <c r="A339" s="5">
        <v>338</v>
      </c>
      <c r="B339" s="11">
        <f>IF($A339="","",IF($AP339&lt;&gt;"",INDEX(Raw_D1!$B$2:$B$1001,$AP339),IF($AR339&lt;&gt;"",INDEX(Raw_D3!$B$2:$B$1001,$AR339),"")))</f>
        <v>40558.0</v>
      </c>
      <c r="C339" s="5">
        <f>IF($A339="","",IF($AP339&lt;&gt;"",INDEX(Raw_D1!$C$2:$C$1001,$AP339),IF($AR339&lt;&gt;"",INDEX(Raw_D3!$C$2:$C$1001,$AR339),"")))</f>
        <v>1</v>
      </c>
      <c r="D339" s="5">
        <f>IF($A339="","",IF($AP339&lt;&gt;"",INDEX(Raw_D1!$D$2:$D$1001,$AP339),IF($AR339&lt;&gt;"",INDEX(Raw_D3!$D$2:$D$1001,$AR339),"")))</f>
        <v>0</v>
      </c>
      <c r="E339" s="5">
        <f>IF($A339="","",IF($AP339&lt;&gt;"",INDEX(Raw_D1!$E$2:$E$1001,$AP339),IF($AR339&lt;&gt;"",INDEX(Raw_D3!$E$2:$E$1001,$AR339),"")))</f>
        <v>1</v>
      </c>
      <c r="F339" s="5">
        <f>IF($A339="","",IF($AP339&lt;&gt;"",INDEX(Raw_D1!$F$2:$F$1001,$AP339),IF($AR339&lt;&gt;"",INDEX(Raw_D3!$F$2:$F$1001,$AR339),"")))</f>
        <v>13</v>
      </c>
      <c r="G339" s="5">
        <f>IF($A339="","",IF($AP339&lt;&gt;"",IF(INDEX(Raw_D1!$G$2:$G$1001,$AP339),1,0),IF($AR339&lt;&gt;"",IF(INDEX(Raw_D3!$G$2:$G$1001,$AR339),1,0),"")))</f>
        <v>0</v>
      </c>
      <c r="H339" s="5">
        <f>IF($A339="","",IF($AP339&lt;&gt;"",INDEX(Raw_D1!$H$2:$H$1001,$AP339),IF($AR339&lt;&gt;"",INDEX(Raw_D3!$H$2:$H$1001,$AR339),"")))</f>
        <v>6</v>
      </c>
      <c r="I339" s="5">
        <f>IF($A339="","",IF($AP339&lt;&gt;"",INDEX(Raw_D1!$I$2:$I$1001,$AP339),IF($AR339&lt;&gt;"",INDEX(Raw_D3!$I$2:$I$1001,$AR339),"")))</f>
        <v>1</v>
      </c>
      <c r="J339" s="16">
        <f>IF($A339="","",IF($AP339&lt;&gt;"",INDEX(Raw_D1!$J$2:$J$1001,$AP339),IF($AR339&lt;&gt;"",INDEX(Raw_D3!$J$2:$J$1001,$AR339),"")))</f>
        <v>0.28</v>
      </c>
      <c r="K339" s="17">
        <f>IF($A339="","",IF($AQ339&lt;&gt;"",IF(INDEX(Raw_D2!$C$2:$C$1001,$AQ339)="","",INDEX(Raw_D2!$C$2:$C$1001,$AQ339)),IF($AR339&lt;&gt;"",IF(INDEX(Raw_D3!$K$2:$K$1001,$AR339)="","",INDEX(Raw_D3!$K$2:$K$1001,$AR339)),"")))</f>
        <v>0.2576</v>
      </c>
      <c r="L339" s="16">
        <f>IF($A339="","",IF($AQ339&lt;&gt;"",IF(INDEX(Raw_D2!$D$2:$D$1001,$AQ339)="","",INDEX(Raw_D2!$D$2:$D$1001,$AQ339)),IF($AR339&lt;&gt;"",IF(INDEX(Raw_D3!$L$2:$L$1001,$AR339)="","",INDEX(Raw_D3!$L$2:$L$1001,$AR339)),"")))</f>
        <v>0.38</v>
      </c>
      <c r="M339" s="17">
        <f>IF($A339="","",IF($AQ339&lt;&gt;"",IF(INDEX(Raw_D2!$E$2:$E$1001,$AQ339)="","",INDEX(Raw_D2!$E$2:$E$1001,$AQ339)),IF($AR339&lt;&gt;"",IF(INDEX(Raw_D3!$M$2:$M$1001,$AR339)="","",INDEX(Raw_D3!$M$2:$M$1001,$AR339)),"")))</f>
        <v>0.2985</v>
      </c>
      <c r="N339" s="5">
        <f>IF($A339="","",IF($AQ339&lt;&gt;"",IF(INDEX(Raw_D2!$F$2:$F$1001,$AQ339)="","",INDEX(Raw_D2!$F$2:$F$1001,$AQ339)),IF($AR339&lt;&gt;"",IF(INDEX(Raw_D3!$N$2:$N$1001,$AR339)="","",INDEX(Raw_D3!$N$2:$N$1001,$AR339)),"")))</f>
        <v>21</v>
      </c>
      <c r="O339" s="5">
        <f>IF($A339="","",IF($AQ339&lt;&gt;"",IF(INDEX(Raw_D2!$G$2:$G$1001,$AQ339)="","",INDEX(Raw_D2!$G$2:$G$1001,$AQ339)),IF($AR339&lt;&gt;"",IF(INDEX(Raw_D3!$O$2:$O$1001,$AR339)="","",INDEX(Raw_D3!$O$2:$O$1001,$AR339)),"")))</f>
        <v>80</v>
      </c>
      <c r="P339" s="5">
        <f>IF($A339="","",IF($AQ339&lt;&gt;"",IF(INDEX(Raw_D2!$H$2:$H$1001,$AQ339)="","",INDEX(Raw_D2!$H$2:$H$1001,$AQ339)),IF($AR339&lt;&gt;"",IF(INDEX(Raw_D3!$P$2:$P$1001,$AR339)="","",INDEX(Raw_D3!$P$2:$P$1001,$AR339)),"")))</f>
        <v>101</v>
      </c>
      <c r="Q339" s="5" t="str">
        <f>IF($A339="","",IF(AND($AP339&lt;&gt;"",$AQ339&lt;&gt;""),"D1+D2",IF($AR339&lt;&gt;"","D3","Incomplete")))</f>
        <v>D1+D2</v>
      </c>
      <c r="R339" s="17">
        <f>IF($A339="","",IF($K339="",IF($J339="","",ROUND(Lookups!$K$5+Lookups!$K$4*$J339,4)),$K339))</f>
        <v>0.2576</v>
      </c>
      <c r="S339" s="5" t="str">
        <f>IF($A339="","",IF($K339="","Imputed","Original"))</f>
        <v>Original</v>
      </c>
      <c r="T339" s="5" t="str">
        <f>IF($A339="","",IF($P339="","Missing",IF($P339=$N339+$O339,"OK","Mismatch")))</f>
        <v>OK</v>
      </c>
      <c r="U339" s="5" t="str">
        <f>IF($A339="","",IF(COUNTIF($A$2:$A339,$A339)&gt;1,"Duplicate","Unique"))</f>
        <v>Unique</v>
      </c>
      <c r="V339" s="5">
        <f>IF($A339="","",IF(AND($U339="Unique",ISNUMBER($P339)),1,0))</f>
        <v>1</v>
      </c>
      <c r="W339" s="5" t="str">
        <f>IF($A339="","",IF(OR($H339=0,$H339=6),"Weekend","Weekday"))</f>
        <v>Weekend</v>
      </c>
      <c r="X339" s="5" t="str">
        <f>IF($A339="","",TEXT($B339,"ddd"))</f>
        <v>Sat</v>
      </c>
      <c r="Y339" s="5" t="str">
        <f>IF($A339="","",TEXT($B339,"mmm"))</f>
        <v>Jan</v>
      </c>
      <c r="Z339" s="5" t="str">
        <f>IF($A339="","",IFERROR(VLOOKUP($C339,Lookups!$D$4:$E$7,2,FALSE),"Unknown"))</f>
        <v>Winter</v>
      </c>
      <c r="AA339" s="5" t="str">
        <f>IF($A339="","",IFERROR(VLOOKUP($I339,Lookups!$A$4:$B$7,2,FALSE),"Unknown"))</f>
        <v>Clear</v>
      </c>
      <c r="AB339" s="5" t="str">
        <f>IF($A339="","",TEXT($F339,"00")&amp;":00")</f>
        <v>13:00</v>
      </c>
      <c r="AC339" s="5" t="str">
        <f>IF($A339="","",VLOOKUP($F339,Lookups!$G$4:$H$8,2,TRUE))</f>
        <v>Midday (10-15)</v>
      </c>
      <c r="AD339" s="18">
        <f>IF($A339="","",IF($J339="","",ROUND($J339*41,1)))</f>
        <v>11.5</v>
      </c>
      <c r="AE339" s="18">
        <f>IF($A339="","",IF($R339="","",ROUND($R339*50,1)))</f>
        <v>12.9</v>
      </c>
      <c r="AF339" s="5">
        <f>IF($A339="","",IF($L339="","",ROUND($L339*100,0)))</f>
        <v>38</v>
      </c>
      <c r="AG339" s="18">
        <f>IF($A339="","",IF($M339="","",ROUND($M339*67,1)))</f>
        <v>20</v>
      </c>
      <c r="AH339" s="19">
        <f>IF($A339="","",IF($P339="","",IF($P339=0,0,$O339/$P339)))</f>
        <v>0.792079207920792</v>
      </c>
      <c r="AI339" s="5" t="str">
        <f>IF($A339="","",IF($P339="","",IF($P339&gt;=Lookups!$K$7,"High",IF($P339&lt;=Lookups!$K$8,"Low","Medium"))))</f>
        <v>High</v>
      </c>
      <c r="AJ339" s="5" t="str">
        <f>IF($A339="","",IF($AD339="","",IF($AD339&lt;5,"Under 5 C",IF($AD339&lt;10,"5-10 C",IF($AD339&lt;15,"10-15 C","15 C and above")))))</f>
        <v>10-15 C</v>
      </c>
      <c r="AK339" s="5">
        <f>IF($A339="","",IF($P339="","",$P339^2))</f>
        <v>10201</v>
      </c>
      <c r="AL339" s="18">
        <f>IF($V339&lt;&gt;1,"",AVERAGEIFS(Clean_Data!$P$2:$P$1001,Clean_Data!$F$2:$F$1001,$F339,Clean_Data!$W$2:$W$1001,$W339,Clean_Data!$V$2:$V$1001,1))</f>
        <v>102</v>
      </c>
      <c r="AM339" s="16">
        <f>IF($V339&lt;&gt;1,"",IFERROR(($P339-$AL339)/SQRT(MAX(0,(SUMIFS(Clean_Data!$AK$2:$AK$1001,Clean_Data!$F$2:$F$1001,$F339,Clean_Data!$W$2:$W$1001,$W339,Clean_Data!$V$2:$V$1001,1)-COUNTIFS(Clean_Data!$F$2:$F$1001,$F339,Clean_Data!$W$2:$W$1001,$W339,Clean_Data!$V$2:$V$1001,1)*$AL339^2)/(COUNTIFS(Clean_Data!$F$2:$F$1001,$F339,Clean_Data!$W$2:$W$1001,$W339,Clean_Data!$V$2:$V$1001,1)-1))),""))</f>
        <v>-0.0293279675581241</v>
      </c>
      <c r="AN339" s="5" t="str">
        <f>IF($AM339="","",IF($AM339&gt;=Lookups!$K$6,"High spike",IF($AM339&lt;=-Lookups!$K$6,"Unusual low","Normal")))</f>
        <v>Normal</v>
      </c>
      <c r="AO339" s="20">
        <f>IF($V339&lt;&gt;1,"",$P339+ROW()/100000)</f>
        <v>101.00339</v>
      </c>
      <c r="AP339" s="5">
        <f>IF($A339="","",IFERROR(MATCH($A339,Raw_D1!$A$2:$A$1001,0),""))</f>
        <v>338</v>
      </c>
      <c r="AQ339" s="5">
        <f>IF($A339="","",IFERROR(MATCH($A339,Raw_D2!$B$2:$B$1001,0),""))</f>
        <v>338</v>
      </c>
      <c r="AR339" s="5">
        <f>IF($A339="","",IFERROR(MATCH($A339,Raw_D3!$A$2:$A$1001,0),""))</f>
        <v/>
      </c>
    </row>
    <row r="340" spans="1:44" x14ac:dyDescent="0.25">
      <c r="A340" s="5">
        <v>339</v>
      </c>
      <c r="B340" s="11">
        <f>IF($A340="","",IF($AP340&lt;&gt;"",INDEX(Raw_D1!$B$2:$B$1001,$AP340),IF($AR340&lt;&gt;"",INDEX(Raw_D3!$B$2:$B$1001,$AR340),"")))</f>
        <v>40558.0</v>
      </c>
      <c r="C340" s="5">
        <f>IF($A340="","",IF($AP340&lt;&gt;"",INDEX(Raw_D1!$C$2:$C$1001,$AP340),IF($AR340&lt;&gt;"",INDEX(Raw_D3!$C$2:$C$1001,$AR340),"")))</f>
        <v>1</v>
      </c>
      <c r="D340" s="5">
        <f>IF($A340="","",IF($AP340&lt;&gt;"",INDEX(Raw_D1!$D$2:$D$1001,$AP340),IF($AR340&lt;&gt;"",INDEX(Raw_D3!$D$2:$D$1001,$AR340),"")))</f>
        <v>0</v>
      </c>
      <c r="E340" s="5">
        <f>IF($A340="","",IF($AP340&lt;&gt;"",INDEX(Raw_D1!$E$2:$E$1001,$AP340),IF($AR340&lt;&gt;"",INDEX(Raw_D3!$E$2:$E$1001,$AR340),"")))</f>
        <v>1</v>
      </c>
      <c r="F340" s="5">
        <f>IF($A340="","",IF($AP340&lt;&gt;"",INDEX(Raw_D1!$F$2:$F$1001,$AP340),IF($AR340&lt;&gt;"",INDEX(Raw_D3!$F$2:$F$1001,$AR340),"")))</f>
        <v>14</v>
      </c>
      <c r="G340" s="5">
        <f>IF($A340="","",IF($AP340&lt;&gt;"",IF(INDEX(Raw_D1!$G$2:$G$1001,$AP340),1,0),IF($AR340&lt;&gt;"",IF(INDEX(Raw_D3!$G$2:$G$1001,$AR340),1,0),"")))</f>
        <v>0</v>
      </c>
      <c r="H340" s="5">
        <f>IF($A340="","",IF($AP340&lt;&gt;"",INDEX(Raw_D1!$H$2:$H$1001,$AP340),IF($AR340&lt;&gt;"",INDEX(Raw_D3!$H$2:$H$1001,$AR340),"")))</f>
        <v>6</v>
      </c>
      <c r="I340" s="5">
        <f>IF($A340="","",IF($AP340&lt;&gt;"",INDEX(Raw_D1!$I$2:$I$1001,$AP340),IF($AR340&lt;&gt;"",INDEX(Raw_D3!$I$2:$I$1001,$AR340),"")))</f>
        <v>1</v>
      </c>
      <c r="J340" s="16">
        <f>IF($A340="","",IF($AP340&lt;&gt;"",INDEX(Raw_D1!$J$2:$J$1001,$AP340),IF($AR340&lt;&gt;"",INDEX(Raw_D3!$J$2:$J$1001,$AR340),"")))</f>
        <v>0.3</v>
      </c>
      <c r="K340" s="17">
        <f>IF($A340="","",IF($AQ340&lt;&gt;"",IF(INDEX(Raw_D2!$C$2:$C$1001,$AQ340)="","",INDEX(Raw_D2!$C$2:$C$1001,$AQ340)),IF($AR340&lt;&gt;"",IF(INDEX(Raw_D3!$K$2:$K$1001,$AR340)="","",INDEX(Raw_D3!$K$2:$K$1001,$AR340)),"")))</f>
        <v>0.2879</v>
      </c>
      <c r="L340" s="16">
        <f>IF($A340="","",IF($AQ340&lt;&gt;"",IF(INDEX(Raw_D2!$D$2:$D$1001,$AQ340)="","",INDEX(Raw_D2!$D$2:$D$1001,$AQ340)),IF($AR340&lt;&gt;"",IF(INDEX(Raw_D3!$L$2:$L$1001,$AR340)="","",INDEX(Raw_D3!$L$2:$L$1001,$AR340)),"")))</f>
        <v>0.39</v>
      </c>
      <c r="M340" s="17">
        <f>IF($A340="","",IF($AQ340&lt;&gt;"",IF(INDEX(Raw_D2!$E$2:$E$1001,$AQ340)="","",INDEX(Raw_D2!$E$2:$E$1001,$AQ340)),IF($AR340&lt;&gt;"",IF(INDEX(Raw_D3!$M$2:$M$1001,$AR340)="","",INDEX(Raw_D3!$M$2:$M$1001,$AR340)),"")))</f>
        <v>0.2836</v>
      </c>
      <c r="N340" s="5">
        <f>IF($A340="","",IF($AQ340&lt;&gt;"",IF(INDEX(Raw_D2!$F$2:$F$1001,$AQ340)="","",INDEX(Raw_D2!$F$2:$F$1001,$AQ340)),IF($AR340&lt;&gt;"",IF(INDEX(Raw_D3!$N$2:$N$1001,$AR340)="","",INDEX(Raw_D3!$N$2:$N$1001,$AR340)),"")))</f>
        <v>26</v>
      </c>
      <c r="O340" s="5">
        <f>IF($A340="","",IF($AQ340&lt;&gt;"",IF(INDEX(Raw_D2!$G$2:$G$1001,$AQ340)="","",INDEX(Raw_D2!$G$2:$G$1001,$AQ340)),IF($AR340&lt;&gt;"",IF(INDEX(Raw_D3!$O$2:$O$1001,$AR340)="","",INDEX(Raw_D3!$O$2:$O$1001,$AR340)),"")))</f>
        <v>92</v>
      </c>
      <c r="P340" s="5">
        <f>IF($A340="","",IF($AQ340&lt;&gt;"",IF(INDEX(Raw_D2!$H$2:$H$1001,$AQ340)="","",INDEX(Raw_D2!$H$2:$H$1001,$AQ340)),IF($AR340&lt;&gt;"",IF(INDEX(Raw_D3!$P$2:$P$1001,$AR340)="","",INDEX(Raw_D3!$P$2:$P$1001,$AR340)),"")))</f>
        <v>118</v>
      </c>
      <c r="Q340" s="5" t="str">
        <f>IF($A340="","",IF(AND($AP340&lt;&gt;"",$AQ340&lt;&gt;""),"D1+D2",IF($AR340&lt;&gt;"","D3","Incomplete")))</f>
        <v>D1+D2</v>
      </c>
      <c r="R340" s="17">
        <f>IF($A340="","",IF($K340="",IF($J340="","",ROUND(Lookups!$K$5+Lookups!$K$4*$J340,4)),$K340))</f>
        <v>0.2879</v>
      </c>
      <c r="S340" s="5" t="str">
        <f>IF($A340="","",IF($K340="","Imputed","Original"))</f>
        <v>Original</v>
      </c>
      <c r="T340" s="5" t="str">
        <f>IF($A340="","",IF($P340="","Missing",IF($P340=$N340+$O340,"OK","Mismatch")))</f>
        <v>OK</v>
      </c>
      <c r="U340" s="5" t="str">
        <f>IF($A340="","",IF(COUNTIF($A$2:$A340,$A340)&gt;1,"Duplicate","Unique"))</f>
        <v>Unique</v>
      </c>
      <c r="V340" s="5">
        <f>IF($A340="","",IF(AND($U340="Unique",ISNUMBER($P340)),1,0))</f>
        <v>1</v>
      </c>
      <c r="W340" s="5" t="str">
        <f>IF($A340="","",IF(OR($H340=0,$H340=6),"Weekend","Weekday"))</f>
        <v>Weekend</v>
      </c>
      <c r="X340" s="5" t="str">
        <f>IF($A340="","",TEXT($B340,"ddd"))</f>
        <v>Sat</v>
      </c>
      <c r="Y340" s="5" t="str">
        <f>IF($A340="","",TEXT($B340,"mmm"))</f>
        <v>Jan</v>
      </c>
      <c r="Z340" s="5" t="str">
        <f>IF($A340="","",IFERROR(VLOOKUP($C340,Lookups!$D$4:$E$7,2,FALSE),"Unknown"))</f>
        <v>Winter</v>
      </c>
      <c r="AA340" s="5" t="str">
        <f>IF($A340="","",IFERROR(VLOOKUP($I340,Lookups!$A$4:$B$7,2,FALSE),"Unknown"))</f>
        <v>Clear</v>
      </c>
      <c r="AB340" s="5" t="str">
        <f>IF($A340="","",TEXT($F340,"00")&amp;":00")</f>
        <v>14:00</v>
      </c>
      <c r="AC340" s="5" t="str">
        <f>IF($A340="","",VLOOKUP($F340,Lookups!$G$4:$H$8,2,TRUE))</f>
        <v>Midday (10-15)</v>
      </c>
      <c r="AD340" s="18">
        <f>IF($A340="","",IF($J340="","",ROUND($J340*41,1)))</f>
        <v>12.3</v>
      </c>
      <c r="AE340" s="18">
        <f>IF($A340="","",IF($R340="","",ROUND($R340*50,1)))</f>
        <v>14.4</v>
      </c>
      <c r="AF340" s="5">
        <f>IF($A340="","",IF($L340="","",ROUND($L340*100,0)))</f>
        <v>39</v>
      </c>
      <c r="AG340" s="18">
        <f>IF($A340="","",IF($M340="","",ROUND($M340*67,1)))</f>
        <v>19</v>
      </c>
      <c r="AH340" s="19">
        <f>IF($A340="","",IF($P340="","",IF($P340=0,0,$O340/$P340)))</f>
        <v>0.779661016949153</v>
      </c>
      <c r="AI340" s="5" t="str">
        <f>IF($A340="","",IF($P340="","",IF($P340&gt;=Lookups!$K$7,"High",IF($P340&lt;=Lookups!$K$8,"Low","Medium"))))</f>
        <v>High</v>
      </c>
      <c r="AJ340" s="5" t="str">
        <f>IF($A340="","",IF($AD340="","",IF($AD340&lt;5,"Under 5 C",IF($AD340&lt;10,"5-10 C",IF($AD340&lt;15,"10-15 C","15 C and above")))))</f>
        <v>10-15 C</v>
      </c>
      <c r="AK340" s="5">
        <f>IF($A340="","",IF($P340="","",$P340^2))</f>
        <v>13924</v>
      </c>
      <c r="AL340" s="18">
        <f>IF($V340&lt;&gt;1,"",AVERAGEIFS(Clean_Data!$P$2:$P$1001,Clean_Data!$F$2:$F$1001,$F340,Clean_Data!$W$2:$W$1001,$W340,Clean_Data!$V$2:$V$1001,1))</f>
        <v>103.142857142857</v>
      </c>
      <c r="AM340" s="16">
        <f>IF($V340&lt;&gt;1,"",IFERROR(($P340-$AL340)/SQRT(MAX(0,(SUMIFS(Clean_Data!$AK$2:$AK$1001,Clean_Data!$F$2:$F$1001,$F340,Clean_Data!$W$2:$W$1001,$W340,Clean_Data!$V$2:$V$1001,1)-COUNTIFS(Clean_Data!$F$2:$F$1001,$F340,Clean_Data!$W$2:$W$1001,$W340,Clean_Data!$V$2:$V$1001,1)*$AL340^2)/(COUNTIFS(Clean_Data!$F$2:$F$1001,$F340,Clean_Data!$W$2:$W$1001,$W340,Clean_Data!$V$2:$V$1001,1)-1))),""))</f>
        <v>0.454855256597393</v>
      </c>
      <c r="AN340" s="5" t="str">
        <f>IF($AM340="","",IF($AM340&gt;=Lookups!$K$6,"High spike",IF($AM340&lt;=-Lookups!$K$6,"Unusual low","Normal")))</f>
        <v>Normal</v>
      </c>
      <c r="AO340" s="20">
        <f>IF($V340&lt;&gt;1,"",$P340+ROW()/100000)</f>
        <v>118.0034</v>
      </c>
      <c r="AP340" s="5">
        <f>IF($A340="","",IFERROR(MATCH($A340,Raw_D1!$A$2:$A$1001,0),""))</f>
        <v>339</v>
      </c>
      <c r="AQ340" s="5">
        <f>IF($A340="","",IFERROR(MATCH($A340,Raw_D2!$B$2:$B$1001,0),""))</f>
        <v>339</v>
      </c>
      <c r="AR340" s="5">
        <f>IF($A340="","",IFERROR(MATCH($A340,Raw_D3!$A$2:$A$1001,0),""))</f>
        <v/>
      </c>
    </row>
    <row r="341" spans="1:44" x14ac:dyDescent="0.25">
      <c r="A341" s="5">
        <v>340</v>
      </c>
      <c r="B341" s="11">
        <f>IF($A341="","",IF($AP341&lt;&gt;"",INDEX(Raw_D1!$B$2:$B$1001,$AP341),IF($AR341&lt;&gt;"",INDEX(Raw_D3!$B$2:$B$1001,$AR341),"")))</f>
        <v>40558.0</v>
      </c>
      <c r="C341" s="5">
        <f>IF($A341="","",IF($AP341&lt;&gt;"",INDEX(Raw_D1!$C$2:$C$1001,$AP341),IF($AR341&lt;&gt;"",INDEX(Raw_D3!$C$2:$C$1001,$AR341),"")))</f>
        <v>1</v>
      </c>
      <c r="D341" s="5">
        <f>IF($A341="","",IF($AP341&lt;&gt;"",INDEX(Raw_D1!$D$2:$D$1001,$AP341),IF($AR341&lt;&gt;"",INDEX(Raw_D3!$D$2:$D$1001,$AR341),"")))</f>
        <v>0</v>
      </c>
      <c r="E341" s="5">
        <f>IF($A341="","",IF($AP341&lt;&gt;"",INDEX(Raw_D1!$E$2:$E$1001,$AP341),IF($AR341&lt;&gt;"",INDEX(Raw_D3!$E$2:$E$1001,$AR341),"")))</f>
        <v>1</v>
      </c>
      <c r="F341" s="5">
        <f>IF($A341="","",IF($AP341&lt;&gt;"",INDEX(Raw_D1!$F$2:$F$1001,$AP341),IF($AR341&lt;&gt;"",INDEX(Raw_D3!$F$2:$F$1001,$AR341),"")))</f>
        <v>15</v>
      </c>
      <c r="G341" s="5">
        <f>IF($A341="","",IF($AP341&lt;&gt;"",IF(INDEX(Raw_D1!$G$2:$G$1001,$AP341),1,0),IF($AR341&lt;&gt;"",IF(INDEX(Raw_D3!$G$2:$G$1001,$AR341),1,0),"")))</f>
        <v>0</v>
      </c>
      <c r="H341" s="5">
        <f>IF($A341="","",IF($AP341&lt;&gt;"",INDEX(Raw_D1!$H$2:$H$1001,$AP341),IF($AR341&lt;&gt;"",INDEX(Raw_D3!$H$2:$H$1001,$AR341),"")))</f>
        <v>6</v>
      </c>
      <c r="I341" s="5">
        <f>IF($A341="","",IF($AP341&lt;&gt;"",INDEX(Raw_D1!$I$2:$I$1001,$AP341),IF($AR341&lt;&gt;"",INDEX(Raw_D3!$I$2:$I$1001,$AR341),"")))</f>
        <v>2</v>
      </c>
      <c r="J341" s="16">
        <f>IF($A341="","",IF($AP341&lt;&gt;"",INDEX(Raw_D1!$J$2:$J$1001,$AP341),IF($AR341&lt;&gt;"",INDEX(Raw_D3!$J$2:$J$1001,$AR341),"")))</f>
        <v>0.32</v>
      </c>
      <c r="K341" s="17">
        <f>IF($A341="","",IF($AQ341&lt;&gt;"",IF(INDEX(Raw_D2!$C$2:$C$1001,$AQ341)="","",INDEX(Raw_D2!$C$2:$C$1001,$AQ341)),IF($AR341&lt;&gt;"",IF(INDEX(Raw_D3!$K$2:$K$1001,$AR341)="","",INDEX(Raw_D3!$K$2:$K$1001,$AR341)),"")))</f>
        <v>0.3182</v>
      </c>
      <c r="L341" s="16">
        <f>IF($A341="","",IF($AQ341&lt;&gt;"",IF(INDEX(Raw_D2!$D$2:$D$1001,$AQ341)="","",INDEX(Raw_D2!$D$2:$D$1001,$AQ341)),IF($AR341&lt;&gt;"",IF(INDEX(Raw_D3!$L$2:$L$1001,$AR341)="","",INDEX(Raw_D3!$L$2:$L$1001,$AR341)),"")))</f>
        <v>0.36</v>
      </c>
      <c r="M341" s="17">
        <f>IF($A341="","",IF($AQ341&lt;&gt;"",IF(INDEX(Raw_D2!$E$2:$E$1001,$AQ341)="","",INDEX(Raw_D2!$E$2:$E$1001,$AQ341)),IF($AR341&lt;&gt;"",IF(INDEX(Raw_D3!$M$2:$M$1001,$AR341)="","",INDEX(Raw_D3!$M$2:$M$1001,$AR341)),"")))</f>
        <v>0.194</v>
      </c>
      <c r="N341" s="5">
        <f>IF($A341="","",IF($AQ341&lt;&gt;"",IF(INDEX(Raw_D2!$F$2:$F$1001,$AQ341)="","",INDEX(Raw_D2!$F$2:$F$1001,$AQ341)),IF($AR341&lt;&gt;"",IF(INDEX(Raw_D3!$N$2:$N$1001,$AR341)="","",INDEX(Raw_D3!$N$2:$N$1001,$AR341)),"")))</f>
        <v>21</v>
      </c>
      <c r="O341" s="5">
        <f>IF($A341="","",IF($AQ341&lt;&gt;"",IF(INDEX(Raw_D2!$G$2:$G$1001,$AQ341)="","",INDEX(Raw_D2!$G$2:$G$1001,$AQ341)),IF($AR341&lt;&gt;"",IF(INDEX(Raw_D3!$O$2:$O$1001,$AR341)="","",INDEX(Raw_D3!$O$2:$O$1001,$AR341)),"")))</f>
        <v>108</v>
      </c>
      <c r="P341" s="5">
        <f>IF($A341="","",IF($AQ341&lt;&gt;"",IF(INDEX(Raw_D2!$H$2:$H$1001,$AQ341)="","",INDEX(Raw_D2!$H$2:$H$1001,$AQ341)),IF($AR341&lt;&gt;"",IF(INDEX(Raw_D3!$P$2:$P$1001,$AR341)="","",INDEX(Raw_D3!$P$2:$P$1001,$AR341)),"")))</f>
        <v>129</v>
      </c>
      <c r="Q341" s="5" t="str">
        <f>IF($A341="","",IF(AND($AP341&lt;&gt;"",$AQ341&lt;&gt;""),"D1+D2",IF($AR341&lt;&gt;"","D3","Incomplete")))</f>
        <v>D1+D2</v>
      </c>
      <c r="R341" s="17">
        <f>IF($A341="","",IF($K341="",IF($J341="","",ROUND(Lookups!$K$5+Lookups!$K$4*$J341,4)),$K341))</f>
        <v>0.3182</v>
      </c>
      <c r="S341" s="5" t="str">
        <f>IF($A341="","",IF($K341="","Imputed","Original"))</f>
        <v>Original</v>
      </c>
      <c r="T341" s="5" t="str">
        <f>IF($A341="","",IF($P341="","Missing",IF($P341=$N341+$O341,"OK","Mismatch")))</f>
        <v>OK</v>
      </c>
      <c r="U341" s="5" t="str">
        <f>IF($A341="","",IF(COUNTIF($A$2:$A341,$A341)&gt;1,"Duplicate","Unique"))</f>
        <v>Unique</v>
      </c>
      <c r="V341" s="5">
        <f>IF($A341="","",IF(AND($U341="Unique",ISNUMBER($P341)),1,0))</f>
        <v>1</v>
      </c>
      <c r="W341" s="5" t="str">
        <f>IF($A341="","",IF(OR($H341=0,$H341=6),"Weekend","Weekday"))</f>
        <v>Weekend</v>
      </c>
      <c r="X341" s="5" t="str">
        <f>IF($A341="","",TEXT($B341,"ddd"))</f>
        <v>Sat</v>
      </c>
      <c r="Y341" s="5" t="str">
        <f>IF($A341="","",TEXT($B341,"mmm"))</f>
        <v>Jan</v>
      </c>
      <c r="Z341" s="5" t="str">
        <f>IF($A341="","",IFERROR(VLOOKUP($C341,Lookups!$D$4:$E$7,2,FALSE),"Unknown"))</f>
        <v>Winter</v>
      </c>
      <c r="AA341" s="5" t="str">
        <f>IF($A341="","",IFERROR(VLOOKUP($I341,Lookups!$A$4:$B$7,2,FALSE),"Unknown"))</f>
        <v>Mist/Cloudy</v>
      </c>
      <c r="AB341" s="5" t="str">
        <f>IF($A341="","",TEXT($F341,"00")&amp;":00")</f>
        <v>15:00</v>
      </c>
      <c r="AC341" s="5" t="str">
        <f>IF($A341="","",VLOOKUP($F341,Lookups!$G$4:$H$8,2,TRUE))</f>
        <v>Midday (10-15)</v>
      </c>
      <c r="AD341" s="18">
        <f>IF($A341="","",IF($J341="","",ROUND($J341*41,1)))</f>
        <v>13.1</v>
      </c>
      <c r="AE341" s="18">
        <f>IF($A341="","",IF($R341="","",ROUND($R341*50,1)))</f>
        <v>15.9</v>
      </c>
      <c r="AF341" s="5">
        <f>IF($A341="","",IF($L341="","",ROUND($L341*100,0)))</f>
        <v>36</v>
      </c>
      <c r="AG341" s="18">
        <f>IF($A341="","",IF($M341="","",ROUND($M341*67,1)))</f>
        <v>13</v>
      </c>
      <c r="AH341" s="19">
        <f>IF($A341="","",IF($P341="","",IF($P341=0,0,$O341/$P341)))</f>
        <v>0.837209302325581</v>
      </c>
      <c r="AI341" s="5" t="str">
        <f>IF($A341="","",IF($P341="","",IF($P341&gt;=Lookups!$K$7,"High",IF($P341&lt;=Lookups!$K$8,"Low","Medium"))))</f>
        <v>High</v>
      </c>
      <c r="AJ341" s="5" t="str">
        <f>IF($A341="","",IF($AD341="","",IF($AD341&lt;5,"Under 5 C",IF($AD341&lt;10,"5-10 C",IF($AD341&lt;15,"10-15 C","15 C and above")))))</f>
        <v>10-15 C</v>
      </c>
      <c r="AK341" s="5">
        <f>IF($A341="","",IF($P341="","",$P341^2))</f>
        <v>16641</v>
      </c>
      <c r="AL341" s="18">
        <f>IF($V341&lt;&gt;1,"",AVERAGEIFS(Clean_Data!$P$2:$P$1001,Clean_Data!$F$2:$F$1001,$F341,Clean_Data!$W$2:$W$1001,$W341,Clean_Data!$V$2:$V$1001,1))</f>
        <v>112.071428571429</v>
      </c>
      <c r="AM341" s="16">
        <f>IF($V341&lt;&gt;1,"",IFERROR(($P341-$AL341)/SQRT(MAX(0,(SUMIFS(Clean_Data!$AK$2:$AK$1001,Clean_Data!$F$2:$F$1001,$F341,Clean_Data!$W$2:$W$1001,$W341,Clean_Data!$V$2:$V$1001,1)-COUNTIFS(Clean_Data!$F$2:$F$1001,$F341,Clean_Data!$W$2:$W$1001,$W341,Clean_Data!$V$2:$V$1001,1)*$AL341^2)/(COUNTIFS(Clean_Data!$F$2:$F$1001,$F341,Clean_Data!$W$2:$W$1001,$W341,Clean_Data!$V$2:$V$1001,1)-1))),""))</f>
        <v>0.438118110116136</v>
      </c>
      <c r="AN341" s="5" t="str">
        <f>IF($AM341="","",IF($AM341&gt;=Lookups!$K$6,"High spike",IF($AM341&lt;=-Lookups!$K$6,"Unusual low","Normal")))</f>
        <v>Normal</v>
      </c>
      <c r="AO341" s="20">
        <f>IF($V341&lt;&gt;1,"",$P341+ROW()/100000)</f>
        <v>129.00341</v>
      </c>
      <c r="AP341" s="5">
        <f>IF($A341="","",IFERROR(MATCH($A341,Raw_D1!$A$2:$A$1001,0),""))</f>
        <v>340</v>
      </c>
      <c r="AQ341" s="5">
        <f>IF($A341="","",IFERROR(MATCH($A341,Raw_D2!$B$2:$B$1001,0),""))</f>
        <v>340</v>
      </c>
      <c r="AR341" s="5">
        <f>IF($A341="","",IFERROR(MATCH($A341,Raw_D3!$A$2:$A$1001,0),""))</f>
        <v/>
      </c>
    </row>
    <row r="342" spans="1:44" x14ac:dyDescent="0.25">
      <c r="A342" s="5">
        <v>341</v>
      </c>
      <c r="B342" s="11">
        <f>IF($A342="","",IF($AP342&lt;&gt;"",INDEX(Raw_D1!$B$2:$B$1001,$AP342),IF($AR342&lt;&gt;"",INDEX(Raw_D3!$B$2:$B$1001,$AR342),"")))</f>
        <v>40558.0</v>
      </c>
      <c r="C342" s="5">
        <f>IF($A342="","",IF($AP342&lt;&gt;"",INDEX(Raw_D1!$C$2:$C$1001,$AP342),IF($AR342&lt;&gt;"",INDEX(Raw_D3!$C$2:$C$1001,$AR342),"")))</f>
        <v>1</v>
      </c>
      <c r="D342" s="5">
        <f>IF($A342="","",IF($AP342&lt;&gt;"",INDEX(Raw_D1!$D$2:$D$1001,$AP342),IF($AR342&lt;&gt;"",INDEX(Raw_D3!$D$2:$D$1001,$AR342),"")))</f>
        <v>0</v>
      </c>
      <c r="E342" s="5">
        <f>IF($A342="","",IF($AP342&lt;&gt;"",INDEX(Raw_D1!$E$2:$E$1001,$AP342),IF($AR342&lt;&gt;"",INDEX(Raw_D3!$E$2:$E$1001,$AR342),"")))</f>
        <v>1</v>
      </c>
      <c r="F342" s="5">
        <f>IF($A342="","",IF($AP342&lt;&gt;"",INDEX(Raw_D1!$F$2:$F$1001,$AP342),IF($AR342&lt;&gt;"",INDEX(Raw_D3!$F$2:$F$1001,$AR342),"")))</f>
        <v>16</v>
      </c>
      <c r="G342" s="5">
        <f>IF($A342="","",IF($AP342&lt;&gt;"",IF(INDEX(Raw_D1!$G$2:$G$1001,$AP342),1,0),IF($AR342&lt;&gt;"",IF(INDEX(Raw_D3!$G$2:$G$1001,$AR342),1,0),"")))</f>
        <v>0</v>
      </c>
      <c r="H342" s="5">
        <f>IF($A342="","",IF($AP342&lt;&gt;"",INDEX(Raw_D1!$H$2:$H$1001,$AP342),IF($AR342&lt;&gt;"",INDEX(Raw_D3!$H$2:$H$1001,$AR342),"")))</f>
        <v>6</v>
      </c>
      <c r="I342" s="5">
        <f>IF($A342="","",IF($AP342&lt;&gt;"",INDEX(Raw_D1!$I$2:$I$1001,$AP342),IF($AR342&lt;&gt;"",INDEX(Raw_D3!$I$2:$I$1001,$AR342),"")))</f>
        <v>2</v>
      </c>
      <c r="J342" s="16">
        <f>IF($A342="","",IF($AP342&lt;&gt;"",INDEX(Raw_D1!$J$2:$J$1001,$AP342),IF($AR342&lt;&gt;"",INDEX(Raw_D3!$J$2:$J$1001,$AR342),"")))</f>
        <v>0.34</v>
      </c>
      <c r="K342" s="17">
        <f>IF($A342="","",IF($AQ342&lt;&gt;"",IF(INDEX(Raw_D2!$C$2:$C$1001,$AQ342)="","",INDEX(Raw_D2!$C$2:$C$1001,$AQ342)),IF($AR342&lt;&gt;"",IF(INDEX(Raw_D3!$K$2:$K$1001,$AR342)="","",INDEX(Raw_D3!$K$2:$K$1001,$AR342)),"")))</f>
        <v>0.3333</v>
      </c>
      <c r="L342" s="16">
        <f>IF($A342="","",IF($AQ342&lt;&gt;"",IF(INDEX(Raw_D2!$D$2:$D$1001,$AQ342)="","",INDEX(Raw_D2!$D$2:$D$1001,$AQ342)),IF($AR342&lt;&gt;"",IF(INDEX(Raw_D3!$L$2:$L$1001,$AR342)="","",INDEX(Raw_D3!$L$2:$L$1001,$AR342)),"")))</f>
        <v>0.34</v>
      </c>
      <c r="M342" s="17">
        <f>IF($A342="","",IF($AQ342&lt;&gt;"",IF(INDEX(Raw_D2!$E$2:$E$1001,$AQ342)="","",INDEX(Raw_D2!$E$2:$E$1001,$AQ342)),IF($AR342&lt;&gt;"",IF(INDEX(Raw_D3!$M$2:$M$1001,$AR342)="","",INDEX(Raw_D3!$M$2:$M$1001,$AR342)),"")))</f>
        <v>0.194</v>
      </c>
      <c r="N342" s="5">
        <f>IF($A342="","",IF($AQ342&lt;&gt;"",IF(INDEX(Raw_D2!$F$2:$F$1001,$AQ342)="","",INDEX(Raw_D2!$F$2:$F$1001,$AQ342)),IF($AR342&lt;&gt;"",IF(INDEX(Raw_D3!$N$2:$N$1001,$AR342)="","",INDEX(Raw_D3!$N$2:$N$1001,$AR342)),"")))</f>
        <v>33</v>
      </c>
      <c r="O342" s="5">
        <f>IF($A342="","",IF($AQ342&lt;&gt;"",IF(INDEX(Raw_D2!$G$2:$G$1001,$AQ342)="","",INDEX(Raw_D2!$G$2:$G$1001,$AQ342)),IF($AR342&lt;&gt;"",IF(INDEX(Raw_D3!$O$2:$O$1001,$AR342)="","",INDEX(Raw_D3!$O$2:$O$1001,$AR342)),"")))</f>
        <v>95</v>
      </c>
      <c r="P342" s="5">
        <f>IF($A342="","",IF($AQ342&lt;&gt;"",IF(INDEX(Raw_D2!$H$2:$H$1001,$AQ342)="","",INDEX(Raw_D2!$H$2:$H$1001,$AQ342)),IF($AR342&lt;&gt;"",IF(INDEX(Raw_D3!$P$2:$P$1001,$AR342)="","",INDEX(Raw_D3!$P$2:$P$1001,$AR342)),"")))</f>
        <v>128</v>
      </c>
      <c r="Q342" s="5" t="str">
        <f>IF($A342="","",IF(AND($AP342&lt;&gt;"",$AQ342&lt;&gt;""),"D1+D2",IF($AR342&lt;&gt;"","D3","Incomplete")))</f>
        <v>D1+D2</v>
      </c>
      <c r="R342" s="17">
        <f>IF($A342="","",IF($K342="",IF($J342="","",ROUND(Lookups!$K$5+Lookups!$K$4*$J342,4)),$K342))</f>
        <v>0.3333</v>
      </c>
      <c r="S342" s="5" t="str">
        <f>IF($A342="","",IF($K342="","Imputed","Original"))</f>
        <v>Original</v>
      </c>
      <c r="T342" s="5" t="str">
        <f>IF($A342="","",IF($P342="","Missing",IF($P342=$N342+$O342,"OK","Mismatch")))</f>
        <v>OK</v>
      </c>
      <c r="U342" s="5" t="str">
        <f>IF($A342="","",IF(COUNTIF($A$2:$A342,$A342)&gt;1,"Duplicate","Unique"))</f>
        <v>Unique</v>
      </c>
      <c r="V342" s="5">
        <f>IF($A342="","",IF(AND($U342="Unique",ISNUMBER($P342)),1,0))</f>
        <v>1</v>
      </c>
      <c r="W342" s="5" t="str">
        <f>IF($A342="","",IF(OR($H342=0,$H342=6),"Weekend","Weekday"))</f>
        <v>Weekend</v>
      </c>
      <c r="X342" s="5" t="str">
        <f>IF($A342="","",TEXT($B342,"ddd"))</f>
        <v>Sat</v>
      </c>
      <c r="Y342" s="5" t="str">
        <f>IF($A342="","",TEXT($B342,"mmm"))</f>
        <v>Jan</v>
      </c>
      <c r="Z342" s="5" t="str">
        <f>IF($A342="","",IFERROR(VLOOKUP($C342,Lookups!$D$4:$E$7,2,FALSE),"Unknown"))</f>
        <v>Winter</v>
      </c>
      <c r="AA342" s="5" t="str">
        <f>IF($A342="","",IFERROR(VLOOKUP($I342,Lookups!$A$4:$B$7,2,FALSE),"Unknown"))</f>
        <v>Mist/Cloudy</v>
      </c>
      <c r="AB342" s="5" t="str">
        <f>IF($A342="","",TEXT($F342,"00")&amp;":00")</f>
        <v>16:00</v>
      </c>
      <c r="AC342" s="5" t="str">
        <f>IF($A342="","",VLOOKUP($F342,Lookups!$G$4:$H$8,2,TRUE))</f>
        <v>Evening Peak (16-19)</v>
      </c>
      <c r="AD342" s="18">
        <f>IF($A342="","",IF($J342="","",ROUND($J342*41,1)))</f>
        <v>13.9</v>
      </c>
      <c r="AE342" s="18">
        <f>IF($A342="","",IF($R342="","",ROUND($R342*50,1)))</f>
        <v>16.7</v>
      </c>
      <c r="AF342" s="5">
        <f>IF($A342="","",IF($L342="","",ROUND($L342*100,0)))</f>
        <v>34</v>
      </c>
      <c r="AG342" s="18">
        <f>IF($A342="","",IF($M342="","",ROUND($M342*67,1)))</f>
        <v>13</v>
      </c>
      <c r="AH342" s="19">
        <f>IF($A342="","",IF($P342="","",IF($P342=0,0,$O342/$P342)))</f>
        <v>0.7421875</v>
      </c>
      <c r="AI342" s="5" t="str">
        <f>IF($A342="","",IF($P342="","",IF($P342&gt;=Lookups!$K$7,"High",IF($P342&lt;=Lookups!$K$8,"Low","Medium"))))</f>
        <v>High</v>
      </c>
      <c r="AJ342" s="5" t="str">
        <f>IF($A342="","",IF($AD342="","",IF($AD342&lt;5,"Under 5 C",IF($AD342&lt;10,"5-10 C",IF($AD342&lt;15,"10-15 C","15 C and above")))))</f>
        <v>10-15 C</v>
      </c>
      <c r="AK342" s="5">
        <f>IF($A342="","",IF($P342="","",$P342^2))</f>
        <v>16384</v>
      </c>
      <c r="AL342" s="18">
        <f>IF($V342&lt;&gt;1,"",AVERAGEIFS(Clean_Data!$P$2:$P$1001,Clean_Data!$F$2:$F$1001,$F342,Clean_Data!$W$2:$W$1001,$W342,Clean_Data!$V$2:$V$1001,1))</f>
        <v>103.5</v>
      </c>
      <c r="AM342" s="16">
        <f>IF($V342&lt;&gt;1,"",IFERROR(($P342-$AL342)/SQRT(MAX(0,(SUMIFS(Clean_Data!$AK$2:$AK$1001,Clean_Data!$F$2:$F$1001,$F342,Clean_Data!$W$2:$W$1001,$W342,Clean_Data!$V$2:$V$1001,1)-COUNTIFS(Clean_Data!$F$2:$F$1001,$F342,Clean_Data!$W$2:$W$1001,$W342,Clean_Data!$V$2:$V$1001,1)*$AL342^2)/(COUNTIFS(Clean_Data!$F$2:$F$1001,$F342,Clean_Data!$W$2:$W$1001,$W342,Clean_Data!$V$2:$V$1001,1)-1))),""))</f>
        <v>0.833154660677819</v>
      </c>
      <c r="AN342" s="5" t="str">
        <f>IF($AM342="","",IF($AM342&gt;=Lookups!$K$6,"High spike",IF($AM342&lt;=-Lookups!$K$6,"Unusual low","Normal")))</f>
        <v>Normal</v>
      </c>
      <c r="AO342" s="20">
        <f>IF($V342&lt;&gt;1,"",$P342+ROW()/100000)</f>
        <v>128.00342</v>
      </c>
      <c r="AP342" s="5">
        <f>IF($A342="","",IFERROR(MATCH($A342,Raw_D1!$A$2:$A$1001,0),""))</f>
        <v>341</v>
      </c>
      <c r="AQ342" s="5">
        <f>IF($A342="","",IFERROR(MATCH($A342,Raw_D2!$B$2:$B$1001,0),""))</f>
        <v>341</v>
      </c>
      <c r="AR342" s="5">
        <f>IF($A342="","",IFERROR(MATCH($A342,Raw_D3!$A$2:$A$1001,0),""))</f>
        <v/>
      </c>
    </row>
    <row r="343" spans="1:44" x14ac:dyDescent="0.25">
      <c r="A343" s="5">
        <v>342</v>
      </c>
      <c r="B343" s="11">
        <f>IF($A343="","",IF($AP343&lt;&gt;"",INDEX(Raw_D1!$B$2:$B$1001,$AP343),IF($AR343&lt;&gt;"",INDEX(Raw_D3!$B$2:$B$1001,$AR343),"")))</f>
        <v>40558.0</v>
      </c>
      <c r="C343" s="5">
        <f>IF($A343="","",IF($AP343&lt;&gt;"",INDEX(Raw_D1!$C$2:$C$1001,$AP343),IF($AR343&lt;&gt;"",INDEX(Raw_D3!$C$2:$C$1001,$AR343),"")))</f>
        <v>1</v>
      </c>
      <c r="D343" s="5">
        <f>IF($A343="","",IF($AP343&lt;&gt;"",INDEX(Raw_D1!$D$2:$D$1001,$AP343),IF($AR343&lt;&gt;"",INDEX(Raw_D3!$D$2:$D$1001,$AR343),"")))</f>
        <v>0</v>
      </c>
      <c r="E343" s="5">
        <f>IF($A343="","",IF($AP343&lt;&gt;"",INDEX(Raw_D1!$E$2:$E$1001,$AP343),IF($AR343&lt;&gt;"",INDEX(Raw_D3!$E$2:$E$1001,$AR343),"")))</f>
        <v>1</v>
      </c>
      <c r="F343" s="5">
        <f>IF($A343="","",IF($AP343&lt;&gt;"",INDEX(Raw_D1!$F$2:$F$1001,$AP343),IF($AR343&lt;&gt;"",INDEX(Raw_D3!$F$2:$F$1001,$AR343),"")))</f>
        <v>17</v>
      </c>
      <c r="G343" s="5">
        <f>IF($A343="","",IF($AP343&lt;&gt;"",IF(INDEX(Raw_D1!$G$2:$G$1001,$AP343),1,0),IF($AR343&lt;&gt;"",IF(INDEX(Raw_D3!$G$2:$G$1001,$AR343),1,0),"")))</f>
        <v>0</v>
      </c>
      <c r="H343" s="5">
        <f>IF($A343="","",IF($AP343&lt;&gt;"",INDEX(Raw_D1!$H$2:$H$1001,$AP343),IF($AR343&lt;&gt;"",INDEX(Raw_D3!$H$2:$H$1001,$AR343),"")))</f>
        <v>6</v>
      </c>
      <c r="I343" s="5">
        <f>IF($A343="","",IF($AP343&lt;&gt;"",INDEX(Raw_D1!$I$2:$I$1001,$AP343),IF($AR343&lt;&gt;"",INDEX(Raw_D3!$I$2:$I$1001,$AR343),"")))</f>
        <v>2</v>
      </c>
      <c r="J343" s="16">
        <f>IF($A343="","",IF($AP343&lt;&gt;"",INDEX(Raw_D1!$J$2:$J$1001,$AP343),IF($AR343&lt;&gt;"",INDEX(Raw_D3!$J$2:$J$1001,$AR343),"")))</f>
        <v>0.32</v>
      </c>
      <c r="K343" s="17">
        <f>IF($A343="","",IF($AQ343&lt;&gt;"",IF(INDEX(Raw_D2!$C$2:$C$1001,$AQ343)="","",INDEX(Raw_D2!$C$2:$C$1001,$AQ343)),IF($AR343&lt;&gt;"",IF(INDEX(Raw_D3!$K$2:$K$1001,$AR343)="","",INDEX(Raw_D3!$K$2:$K$1001,$AR343)),"")))</f>
        <v>0.303</v>
      </c>
      <c r="L343" s="16">
        <f>IF($A343="","",IF($AQ343&lt;&gt;"",IF(INDEX(Raw_D2!$D$2:$D$1001,$AQ343)="","",INDEX(Raw_D2!$D$2:$D$1001,$AQ343)),IF($AR343&lt;&gt;"",IF(INDEX(Raw_D3!$L$2:$L$1001,$AR343)="","",INDEX(Raw_D3!$L$2:$L$1001,$AR343)),"")))</f>
        <v>0.36</v>
      </c>
      <c r="M343" s="17">
        <f>IF($A343="","",IF($AQ343&lt;&gt;"",IF(INDEX(Raw_D2!$E$2:$E$1001,$AQ343)="","",INDEX(Raw_D2!$E$2:$E$1001,$AQ343)),IF($AR343&lt;&gt;"",IF(INDEX(Raw_D3!$M$2:$M$1001,$AR343)="","",INDEX(Raw_D3!$M$2:$M$1001,$AR343)),"")))</f>
        <v>0.2836</v>
      </c>
      <c r="N343" s="5">
        <f>IF($A343="","",IF($AQ343&lt;&gt;"",IF(INDEX(Raw_D2!$F$2:$F$1001,$AQ343)="","",INDEX(Raw_D2!$F$2:$F$1001,$AQ343)),IF($AR343&lt;&gt;"",IF(INDEX(Raw_D3!$N$2:$N$1001,$AR343)="","",INDEX(Raw_D3!$N$2:$N$1001,$AR343)),"")))</f>
        <v>29</v>
      </c>
      <c r="O343" s="5">
        <f>IF($A343="","",IF($AQ343&lt;&gt;"",IF(INDEX(Raw_D2!$G$2:$G$1001,$AQ343)="","",INDEX(Raw_D2!$G$2:$G$1001,$AQ343)),IF($AR343&lt;&gt;"",IF(INDEX(Raw_D3!$O$2:$O$1001,$AR343)="","",INDEX(Raw_D3!$O$2:$O$1001,$AR343)),"")))</f>
        <v>54</v>
      </c>
      <c r="P343" s="5">
        <f>IF($A343="","",IF($AQ343&lt;&gt;"",IF(INDEX(Raw_D2!$H$2:$H$1001,$AQ343)="","",INDEX(Raw_D2!$H$2:$H$1001,$AQ343)),IF($AR343&lt;&gt;"",IF(INDEX(Raw_D3!$P$2:$P$1001,$AR343)="","",INDEX(Raw_D3!$P$2:$P$1001,$AR343)),"")))</f>
        <v>83</v>
      </c>
      <c r="Q343" s="5" t="str">
        <f>IF($A343="","",IF(AND($AP343&lt;&gt;"",$AQ343&lt;&gt;""),"D1+D2",IF($AR343&lt;&gt;"","D3","Incomplete")))</f>
        <v>D1+D2</v>
      </c>
      <c r="R343" s="17">
        <f>IF($A343="","",IF($K343="",IF($J343="","",ROUND(Lookups!$K$5+Lookups!$K$4*$J343,4)),$K343))</f>
        <v>0.303</v>
      </c>
      <c r="S343" s="5" t="str">
        <f>IF($A343="","",IF($K343="","Imputed","Original"))</f>
        <v>Original</v>
      </c>
      <c r="T343" s="5" t="str">
        <f>IF($A343="","",IF($P343="","Missing",IF($P343=$N343+$O343,"OK","Mismatch")))</f>
        <v>OK</v>
      </c>
      <c r="U343" s="5" t="str">
        <f>IF($A343="","",IF(COUNTIF($A$2:$A343,$A343)&gt;1,"Duplicate","Unique"))</f>
        <v>Unique</v>
      </c>
      <c r="V343" s="5">
        <f>IF($A343="","",IF(AND($U343="Unique",ISNUMBER($P343)),1,0))</f>
        <v>1</v>
      </c>
      <c r="W343" s="5" t="str">
        <f>IF($A343="","",IF(OR($H343=0,$H343=6),"Weekend","Weekday"))</f>
        <v>Weekend</v>
      </c>
      <c r="X343" s="5" t="str">
        <f>IF($A343="","",TEXT($B343,"ddd"))</f>
        <v>Sat</v>
      </c>
      <c r="Y343" s="5" t="str">
        <f>IF($A343="","",TEXT($B343,"mmm"))</f>
        <v>Jan</v>
      </c>
      <c r="Z343" s="5" t="str">
        <f>IF($A343="","",IFERROR(VLOOKUP($C343,Lookups!$D$4:$E$7,2,FALSE),"Unknown"))</f>
        <v>Winter</v>
      </c>
      <c r="AA343" s="5" t="str">
        <f>IF($A343="","",IFERROR(VLOOKUP($I343,Lookups!$A$4:$B$7,2,FALSE),"Unknown"))</f>
        <v>Mist/Cloudy</v>
      </c>
      <c r="AB343" s="5" t="str">
        <f>IF($A343="","",TEXT($F343,"00")&amp;":00")</f>
        <v>17:00</v>
      </c>
      <c r="AC343" s="5" t="str">
        <f>IF($A343="","",VLOOKUP($F343,Lookups!$G$4:$H$8,2,TRUE))</f>
        <v>Evening Peak (16-19)</v>
      </c>
      <c r="AD343" s="18">
        <f>IF($A343="","",IF($J343="","",ROUND($J343*41,1)))</f>
        <v>13.1</v>
      </c>
      <c r="AE343" s="18">
        <f>IF($A343="","",IF($R343="","",ROUND($R343*50,1)))</f>
        <v>15.2</v>
      </c>
      <c r="AF343" s="5">
        <f>IF($A343="","",IF($L343="","",ROUND($L343*100,0)))</f>
        <v>36</v>
      </c>
      <c r="AG343" s="18">
        <f>IF($A343="","",IF($M343="","",ROUND($M343*67,1)))</f>
        <v>19</v>
      </c>
      <c r="AH343" s="19">
        <f>IF($A343="","",IF($P343="","",IF($P343=0,0,$O343/$P343)))</f>
        <v>0.650602409638554</v>
      </c>
      <c r="AI343" s="5" t="str">
        <f>IF($A343="","",IF($P343="","",IF($P343&gt;=Lookups!$K$7,"High",IF($P343&lt;=Lookups!$K$8,"Low","Medium"))))</f>
        <v>High</v>
      </c>
      <c r="AJ343" s="5" t="str">
        <f>IF($A343="","",IF($AD343="","",IF($AD343&lt;5,"Under 5 C",IF($AD343&lt;10,"5-10 C",IF($AD343&lt;15,"10-15 C","15 C and above")))))</f>
        <v>10-15 C</v>
      </c>
      <c r="AK343" s="5">
        <f>IF($A343="","",IF($P343="","",$P343^2))</f>
        <v>6889</v>
      </c>
      <c r="AL343" s="18">
        <f>IF($V343&lt;&gt;1,"",AVERAGEIFS(Clean_Data!$P$2:$P$1001,Clean_Data!$F$2:$F$1001,$F343,Clean_Data!$W$2:$W$1001,$W343,Clean_Data!$V$2:$V$1001,1))</f>
        <v>85.8571428571429</v>
      </c>
      <c r="AM343" s="16">
        <f>IF($V343&lt;&gt;1,"",IFERROR(($P343-$AL343)/SQRT(MAX(0,(SUMIFS(Clean_Data!$AK$2:$AK$1001,Clean_Data!$F$2:$F$1001,$F343,Clean_Data!$W$2:$W$1001,$W343,Clean_Data!$V$2:$V$1001,1)-COUNTIFS(Clean_Data!$F$2:$F$1001,$F343,Clean_Data!$W$2:$W$1001,$W343,Clean_Data!$V$2:$V$1001,1)*$AL343^2)/(COUNTIFS(Clean_Data!$F$2:$F$1001,$F343,Clean_Data!$W$2:$W$1001,$W343,Clean_Data!$V$2:$V$1001,1)-1))),""))</f>
        <v>-0.109345766934314</v>
      </c>
      <c r="AN343" s="5" t="str">
        <f>IF($AM343="","",IF($AM343&gt;=Lookups!$K$6,"High spike",IF($AM343&lt;=-Lookups!$K$6,"Unusual low","Normal")))</f>
        <v>Normal</v>
      </c>
      <c r="AO343" s="20">
        <f>IF($V343&lt;&gt;1,"",$P343+ROW()/100000)</f>
        <v>83.00343</v>
      </c>
      <c r="AP343" s="5">
        <f>IF($A343="","",IFERROR(MATCH($A343,Raw_D1!$A$2:$A$1001,0),""))</f>
        <v>342</v>
      </c>
      <c r="AQ343" s="5">
        <f>IF($A343="","",IFERROR(MATCH($A343,Raw_D2!$B$2:$B$1001,0),""))</f>
        <v>342</v>
      </c>
      <c r="AR343" s="5">
        <f>IF($A343="","",IFERROR(MATCH($A343,Raw_D3!$A$2:$A$1001,0),""))</f>
        <v/>
      </c>
    </row>
    <row r="344" spans="1:44" x14ac:dyDescent="0.25">
      <c r="A344" s="5">
        <v>343</v>
      </c>
      <c r="B344" s="11">
        <f>IF($A344="","",IF($AP344&lt;&gt;"",INDEX(Raw_D1!$B$2:$B$1001,$AP344),IF($AR344&lt;&gt;"",INDEX(Raw_D3!$B$2:$B$1001,$AR344),"")))</f>
        <v>40558.0</v>
      </c>
      <c r="C344" s="5">
        <f>IF($A344="","",IF($AP344&lt;&gt;"",INDEX(Raw_D1!$C$2:$C$1001,$AP344),IF($AR344&lt;&gt;"",INDEX(Raw_D3!$C$2:$C$1001,$AR344),"")))</f>
        <v>1</v>
      </c>
      <c r="D344" s="5">
        <f>IF($A344="","",IF($AP344&lt;&gt;"",INDEX(Raw_D1!$D$2:$D$1001,$AP344),IF($AR344&lt;&gt;"",INDEX(Raw_D3!$D$2:$D$1001,$AR344),"")))</f>
        <v>0</v>
      </c>
      <c r="E344" s="5">
        <f>IF($A344="","",IF($AP344&lt;&gt;"",INDEX(Raw_D1!$E$2:$E$1001,$AP344),IF($AR344&lt;&gt;"",INDEX(Raw_D3!$E$2:$E$1001,$AR344),"")))</f>
        <v>1</v>
      </c>
      <c r="F344" s="5">
        <f>IF($A344="","",IF($AP344&lt;&gt;"",INDEX(Raw_D1!$F$2:$F$1001,$AP344),IF($AR344&lt;&gt;"",INDEX(Raw_D3!$F$2:$F$1001,$AR344),"")))</f>
        <v>18</v>
      </c>
      <c r="G344" s="5">
        <f>IF($A344="","",IF($AP344&lt;&gt;"",IF(INDEX(Raw_D1!$G$2:$G$1001,$AP344),1,0),IF($AR344&lt;&gt;"",IF(INDEX(Raw_D3!$G$2:$G$1001,$AR344),1,0),"")))</f>
        <v>0</v>
      </c>
      <c r="H344" s="5">
        <f>IF($A344="","",IF($AP344&lt;&gt;"",INDEX(Raw_D1!$H$2:$H$1001,$AP344),IF($AR344&lt;&gt;"",INDEX(Raw_D3!$H$2:$H$1001,$AR344),"")))</f>
        <v>6</v>
      </c>
      <c r="I344" s="5">
        <f>IF($A344="","",IF($AP344&lt;&gt;"",INDEX(Raw_D1!$I$2:$I$1001,$AP344),IF($AR344&lt;&gt;"",INDEX(Raw_D3!$I$2:$I$1001,$AR344),"")))</f>
        <v>2</v>
      </c>
      <c r="J344" s="16">
        <f>IF($A344="","",IF($AP344&lt;&gt;"",INDEX(Raw_D1!$J$2:$J$1001,$AP344),IF($AR344&lt;&gt;"",INDEX(Raw_D3!$J$2:$J$1001,$AR344),"")))</f>
        <v>0.3</v>
      </c>
      <c r="K344" s="17">
        <f>IF($A344="","",IF($AQ344&lt;&gt;"",IF(INDEX(Raw_D2!$C$2:$C$1001,$AQ344)="","",INDEX(Raw_D2!$C$2:$C$1001,$AQ344)),IF($AR344&lt;&gt;"",IF(INDEX(Raw_D3!$K$2:$K$1001,$AR344)="","",INDEX(Raw_D3!$K$2:$K$1001,$AR344)),"")))</f>
        <v>0.2879</v>
      </c>
      <c r="L344" s="16">
        <f>IF($A344="","",IF($AQ344&lt;&gt;"",IF(INDEX(Raw_D2!$D$2:$D$1001,$AQ344)="","",INDEX(Raw_D2!$D$2:$D$1001,$AQ344)),IF($AR344&lt;&gt;"",IF(INDEX(Raw_D3!$L$2:$L$1001,$AR344)="","",INDEX(Raw_D3!$L$2:$L$1001,$AR344)),"")))</f>
        <v>0.45</v>
      </c>
      <c r="M344" s="17">
        <f>IF($A344="","",IF($AQ344&lt;&gt;"",IF(INDEX(Raw_D2!$E$2:$E$1001,$AQ344)="","",INDEX(Raw_D2!$E$2:$E$1001,$AQ344)),IF($AR344&lt;&gt;"",IF(INDEX(Raw_D3!$M$2:$M$1001,$AR344)="","",INDEX(Raw_D3!$M$2:$M$1001,$AR344)),"")))</f>
        <v>0.2537</v>
      </c>
      <c r="N344" s="5">
        <f>IF($A344="","",IF($AQ344&lt;&gt;"",IF(INDEX(Raw_D2!$F$2:$F$1001,$AQ344)="","",INDEX(Raw_D2!$F$2:$F$1001,$AQ344)),IF($AR344&lt;&gt;"",IF(INDEX(Raw_D3!$N$2:$N$1001,$AR344)="","",INDEX(Raw_D3!$N$2:$N$1001,$AR344)),"")))</f>
        <v>15</v>
      </c>
      <c r="O344" s="5">
        <f>IF($A344="","",IF($AQ344&lt;&gt;"",IF(INDEX(Raw_D2!$G$2:$G$1001,$AQ344)="","",INDEX(Raw_D2!$G$2:$G$1001,$AQ344)),IF($AR344&lt;&gt;"",IF(INDEX(Raw_D3!$O$2:$O$1001,$AR344)="","",INDEX(Raw_D3!$O$2:$O$1001,$AR344)),"")))</f>
        <v>69</v>
      </c>
      <c r="P344" s="5">
        <f>IF($A344="","",IF($AQ344&lt;&gt;"",IF(INDEX(Raw_D2!$H$2:$H$1001,$AQ344)="","",INDEX(Raw_D2!$H$2:$H$1001,$AQ344)),IF($AR344&lt;&gt;"",IF(INDEX(Raw_D3!$P$2:$P$1001,$AR344)="","",INDEX(Raw_D3!$P$2:$P$1001,$AR344)),"")))</f>
        <v>84</v>
      </c>
      <c r="Q344" s="5" t="str">
        <f>IF($A344="","",IF(AND($AP344&lt;&gt;"",$AQ344&lt;&gt;""),"D1+D2",IF($AR344&lt;&gt;"","D3","Incomplete")))</f>
        <v>D1+D2</v>
      </c>
      <c r="R344" s="17">
        <f>IF($A344="","",IF($K344="",IF($J344="","",ROUND(Lookups!$K$5+Lookups!$K$4*$J344,4)),$K344))</f>
        <v>0.2879</v>
      </c>
      <c r="S344" s="5" t="str">
        <f>IF($A344="","",IF($K344="","Imputed","Original"))</f>
        <v>Original</v>
      </c>
      <c r="T344" s="5" t="str">
        <f>IF($A344="","",IF($P344="","Missing",IF($P344=$N344+$O344,"OK","Mismatch")))</f>
        <v>OK</v>
      </c>
      <c r="U344" s="5" t="str">
        <f>IF($A344="","",IF(COUNTIF($A$2:$A344,$A344)&gt;1,"Duplicate","Unique"))</f>
        <v>Unique</v>
      </c>
      <c r="V344" s="5">
        <f>IF($A344="","",IF(AND($U344="Unique",ISNUMBER($P344)),1,0))</f>
        <v>1</v>
      </c>
      <c r="W344" s="5" t="str">
        <f>IF($A344="","",IF(OR($H344=0,$H344=6),"Weekend","Weekday"))</f>
        <v>Weekend</v>
      </c>
      <c r="X344" s="5" t="str">
        <f>IF($A344="","",TEXT($B344,"ddd"))</f>
        <v>Sat</v>
      </c>
      <c r="Y344" s="5" t="str">
        <f>IF($A344="","",TEXT($B344,"mmm"))</f>
        <v>Jan</v>
      </c>
      <c r="Z344" s="5" t="str">
        <f>IF($A344="","",IFERROR(VLOOKUP($C344,Lookups!$D$4:$E$7,2,FALSE),"Unknown"))</f>
        <v>Winter</v>
      </c>
      <c r="AA344" s="5" t="str">
        <f>IF($A344="","",IFERROR(VLOOKUP($I344,Lookups!$A$4:$B$7,2,FALSE),"Unknown"))</f>
        <v>Mist/Cloudy</v>
      </c>
      <c r="AB344" s="5" t="str">
        <f>IF($A344="","",TEXT($F344,"00")&amp;":00")</f>
        <v>18:00</v>
      </c>
      <c r="AC344" s="5" t="str">
        <f>IF($A344="","",VLOOKUP($F344,Lookups!$G$4:$H$8,2,TRUE))</f>
        <v>Evening Peak (16-19)</v>
      </c>
      <c r="AD344" s="18">
        <f>IF($A344="","",IF($J344="","",ROUND($J344*41,1)))</f>
        <v>12.3</v>
      </c>
      <c r="AE344" s="18">
        <f>IF($A344="","",IF($R344="","",ROUND($R344*50,1)))</f>
        <v>14.4</v>
      </c>
      <c r="AF344" s="5">
        <f>IF($A344="","",IF($L344="","",ROUND($L344*100,0)))</f>
        <v>45</v>
      </c>
      <c r="AG344" s="18">
        <f>IF($A344="","",IF($M344="","",ROUND($M344*67,1)))</f>
        <v>17</v>
      </c>
      <c r="AH344" s="19">
        <f>IF($A344="","",IF($P344="","",IF($P344=0,0,$O344/$P344)))</f>
        <v>0.821428571428571</v>
      </c>
      <c r="AI344" s="5" t="str">
        <f>IF($A344="","",IF($P344="","",IF($P344&gt;=Lookups!$K$7,"High",IF($P344&lt;=Lookups!$K$8,"Low","Medium"))))</f>
        <v>High</v>
      </c>
      <c r="AJ344" s="5" t="str">
        <f>IF($A344="","",IF($AD344="","",IF($AD344&lt;5,"Under 5 C",IF($AD344&lt;10,"5-10 C",IF($AD344&lt;15,"10-15 C","15 C and above")))))</f>
        <v>10-15 C</v>
      </c>
      <c r="AK344" s="5">
        <f>IF($A344="","",IF($P344="","",$P344^2))</f>
        <v>7056</v>
      </c>
      <c r="AL344" s="18">
        <f>IF($V344&lt;&gt;1,"",AVERAGEIFS(Clean_Data!$P$2:$P$1001,Clean_Data!$F$2:$F$1001,$F344,Clean_Data!$W$2:$W$1001,$W344,Clean_Data!$V$2:$V$1001,1))</f>
        <v>64.1428571428571</v>
      </c>
      <c r="AM344" s="16">
        <f>IF($V344&lt;&gt;1,"",IFERROR(($P344-$AL344)/SQRT(MAX(0,(SUMIFS(Clean_Data!$AK$2:$AK$1001,Clean_Data!$F$2:$F$1001,$F344,Clean_Data!$W$2:$W$1001,$W344,Clean_Data!$V$2:$V$1001,1)-COUNTIFS(Clean_Data!$F$2:$F$1001,$F344,Clean_Data!$W$2:$W$1001,$W344,Clean_Data!$V$2:$V$1001,1)*$AL344^2)/(COUNTIFS(Clean_Data!$F$2:$F$1001,$F344,Clean_Data!$W$2:$W$1001,$W344,Clean_Data!$V$2:$V$1001,1)-1))),""))</f>
        <v>1.19865279584218</v>
      </c>
      <c r="AN344" s="5" t="str">
        <f>IF($AM344="","",IF($AM344&gt;=Lookups!$K$6,"High spike",IF($AM344&lt;=-Lookups!$K$6,"Unusual low","Normal")))</f>
        <v>Normal</v>
      </c>
      <c r="AO344" s="20">
        <f>IF($V344&lt;&gt;1,"",$P344+ROW()/100000)</f>
        <v>84.00344</v>
      </c>
      <c r="AP344" s="5">
        <f>IF($A344="","",IFERROR(MATCH($A344,Raw_D1!$A$2:$A$1001,0),""))</f>
        <v>343</v>
      </c>
      <c r="AQ344" s="5">
        <f>IF($A344="","",IFERROR(MATCH($A344,Raw_D2!$B$2:$B$1001,0),""))</f>
        <v>343</v>
      </c>
      <c r="AR344" s="5">
        <f>IF($A344="","",IFERROR(MATCH($A344,Raw_D3!$A$2:$A$1001,0),""))</f>
        <v/>
      </c>
    </row>
    <row r="345" spans="1:44" x14ac:dyDescent="0.25">
      <c r="A345" s="5">
        <v>344</v>
      </c>
      <c r="B345" s="11">
        <f>IF($A345="","",IF($AP345&lt;&gt;"",INDEX(Raw_D1!$B$2:$B$1001,$AP345),IF($AR345&lt;&gt;"",INDEX(Raw_D3!$B$2:$B$1001,$AR345),"")))</f>
        <v>40558.0</v>
      </c>
      <c r="C345" s="5">
        <f>IF($A345="","",IF($AP345&lt;&gt;"",INDEX(Raw_D1!$C$2:$C$1001,$AP345),IF($AR345&lt;&gt;"",INDEX(Raw_D3!$C$2:$C$1001,$AR345),"")))</f>
        <v>1</v>
      </c>
      <c r="D345" s="5">
        <f>IF($A345="","",IF($AP345&lt;&gt;"",INDEX(Raw_D1!$D$2:$D$1001,$AP345),IF($AR345&lt;&gt;"",INDEX(Raw_D3!$D$2:$D$1001,$AR345),"")))</f>
        <v>0</v>
      </c>
      <c r="E345" s="5">
        <f>IF($A345="","",IF($AP345&lt;&gt;"",INDEX(Raw_D1!$E$2:$E$1001,$AP345),IF($AR345&lt;&gt;"",INDEX(Raw_D3!$E$2:$E$1001,$AR345),"")))</f>
        <v>1</v>
      </c>
      <c r="F345" s="5">
        <f>IF($A345="","",IF($AP345&lt;&gt;"",INDEX(Raw_D1!$F$2:$F$1001,$AP345),IF($AR345&lt;&gt;"",INDEX(Raw_D3!$F$2:$F$1001,$AR345),"")))</f>
        <v>19</v>
      </c>
      <c r="G345" s="5">
        <f>IF($A345="","",IF($AP345&lt;&gt;"",IF(INDEX(Raw_D1!$G$2:$G$1001,$AP345),1,0),IF($AR345&lt;&gt;"",IF(INDEX(Raw_D3!$G$2:$G$1001,$AR345),1,0),"")))</f>
        <v>0</v>
      </c>
      <c r="H345" s="5">
        <f>IF($A345="","",IF($AP345&lt;&gt;"",INDEX(Raw_D1!$H$2:$H$1001,$AP345),IF($AR345&lt;&gt;"",INDEX(Raw_D3!$H$2:$H$1001,$AR345),"")))</f>
        <v>6</v>
      </c>
      <c r="I345" s="5">
        <f>IF($A345="","",IF($AP345&lt;&gt;"",INDEX(Raw_D1!$I$2:$I$1001,$AP345),IF($AR345&lt;&gt;"",INDEX(Raw_D3!$I$2:$I$1001,$AR345),"")))</f>
        <v>2</v>
      </c>
      <c r="J345" s="16">
        <f>IF($A345="","",IF($AP345&lt;&gt;"",INDEX(Raw_D1!$J$2:$J$1001,$AP345),IF($AR345&lt;&gt;"",INDEX(Raw_D3!$J$2:$J$1001,$AR345),"")))</f>
        <v>0.32</v>
      </c>
      <c r="K345" s="17">
        <f>IF($A345="","",IF($AQ345&lt;&gt;"",IF(INDEX(Raw_D2!$C$2:$C$1001,$AQ345)="","",INDEX(Raw_D2!$C$2:$C$1001,$AQ345)),IF($AR345&lt;&gt;"",IF(INDEX(Raw_D3!$K$2:$K$1001,$AR345)="","",INDEX(Raw_D3!$K$2:$K$1001,$AR345)),"")))</f>
        <v>0.303</v>
      </c>
      <c r="L345" s="16">
        <f>IF($A345="","",IF($AQ345&lt;&gt;"",IF(INDEX(Raw_D2!$D$2:$D$1001,$AQ345)="","",INDEX(Raw_D2!$D$2:$D$1001,$AQ345)),IF($AR345&lt;&gt;"",IF(INDEX(Raw_D3!$L$2:$L$1001,$AR345)="","",INDEX(Raw_D3!$L$2:$L$1001,$AR345)),"")))</f>
        <v>0.39</v>
      </c>
      <c r="M345" s="17">
        <f>IF($A345="","",IF($AQ345&lt;&gt;"",IF(INDEX(Raw_D2!$E$2:$E$1001,$AQ345)="","",INDEX(Raw_D2!$E$2:$E$1001,$AQ345)),IF($AR345&lt;&gt;"",IF(INDEX(Raw_D3!$M$2:$M$1001,$AR345)="","",INDEX(Raw_D3!$M$2:$M$1001,$AR345)),"")))</f>
        <v>0.2537</v>
      </c>
      <c r="N345" s="5">
        <f>IF($A345="","",IF($AQ345&lt;&gt;"",IF(INDEX(Raw_D2!$F$2:$F$1001,$AQ345)="","",INDEX(Raw_D2!$F$2:$F$1001,$AQ345)),IF($AR345&lt;&gt;"",IF(INDEX(Raw_D3!$N$2:$N$1001,$AR345)="","",INDEX(Raw_D3!$N$2:$N$1001,$AR345)),"")))</f>
        <v>14</v>
      </c>
      <c r="O345" s="5">
        <f>IF($A345="","",IF($AQ345&lt;&gt;"",IF(INDEX(Raw_D2!$G$2:$G$1001,$AQ345)="","",INDEX(Raw_D2!$G$2:$G$1001,$AQ345)),IF($AR345&lt;&gt;"",IF(INDEX(Raw_D3!$O$2:$O$1001,$AR345)="","",INDEX(Raw_D3!$O$2:$O$1001,$AR345)),"")))</f>
        <v>60</v>
      </c>
      <c r="P345" s="5">
        <f>IF($A345="","",IF($AQ345&lt;&gt;"",IF(INDEX(Raw_D2!$H$2:$H$1001,$AQ345)="","",INDEX(Raw_D2!$H$2:$H$1001,$AQ345)),IF($AR345&lt;&gt;"",IF(INDEX(Raw_D3!$P$2:$P$1001,$AR345)="","",INDEX(Raw_D3!$P$2:$P$1001,$AR345)),"")))</f>
        <v>74</v>
      </c>
      <c r="Q345" s="5" t="str">
        <f>IF($A345="","",IF(AND($AP345&lt;&gt;"",$AQ345&lt;&gt;""),"D1+D2",IF($AR345&lt;&gt;"","D3","Incomplete")))</f>
        <v>D1+D2</v>
      </c>
      <c r="R345" s="17">
        <f>IF($A345="","",IF($K345="",IF($J345="","",ROUND(Lookups!$K$5+Lookups!$K$4*$J345,4)),$K345))</f>
        <v>0.303</v>
      </c>
      <c r="S345" s="5" t="str">
        <f>IF($A345="","",IF($K345="","Imputed","Original"))</f>
        <v>Original</v>
      </c>
      <c r="T345" s="5" t="str">
        <f>IF($A345="","",IF($P345="","Missing",IF($P345=$N345+$O345,"OK","Mismatch")))</f>
        <v>OK</v>
      </c>
      <c r="U345" s="5" t="str">
        <f>IF($A345="","",IF(COUNTIF($A$2:$A345,$A345)&gt;1,"Duplicate","Unique"))</f>
        <v>Unique</v>
      </c>
      <c r="V345" s="5">
        <f>IF($A345="","",IF(AND($U345="Unique",ISNUMBER($P345)),1,0))</f>
        <v>1</v>
      </c>
      <c r="W345" s="5" t="str">
        <f>IF($A345="","",IF(OR($H345=0,$H345=6),"Weekend","Weekday"))</f>
        <v>Weekend</v>
      </c>
      <c r="X345" s="5" t="str">
        <f>IF($A345="","",TEXT($B345,"ddd"))</f>
        <v>Sat</v>
      </c>
      <c r="Y345" s="5" t="str">
        <f>IF($A345="","",TEXT($B345,"mmm"))</f>
        <v>Jan</v>
      </c>
      <c r="Z345" s="5" t="str">
        <f>IF($A345="","",IFERROR(VLOOKUP($C345,Lookups!$D$4:$E$7,2,FALSE),"Unknown"))</f>
        <v>Winter</v>
      </c>
      <c r="AA345" s="5" t="str">
        <f>IF($A345="","",IFERROR(VLOOKUP($I345,Lookups!$A$4:$B$7,2,FALSE),"Unknown"))</f>
        <v>Mist/Cloudy</v>
      </c>
      <c r="AB345" s="5" t="str">
        <f>IF($A345="","",TEXT($F345,"00")&amp;":00")</f>
        <v>19:00</v>
      </c>
      <c r="AC345" s="5" t="str">
        <f>IF($A345="","",VLOOKUP($F345,Lookups!$G$4:$H$8,2,TRUE))</f>
        <v>Evening Peak (16-19)</v>
      </c>
      <c r="AD345" s="18">
        <f>IF($A345="","",IF($J345="","",ROUND($J345*41,1)))</f>
        <v>13.1</v>
      </c>
      <c r="AE345" s="18">
        <f>IF($A345="","",IF($R345="","",ROUND($R345*50,1)))</f>
        <v>15.2</v>
      </c>
      <c r="AF345" s="5">
        <f>IF($A345="","",IF($L345="","",ROUND($L345*100,0)))</f>
        <v>39</v>
      </c>
      <c r="AG345" s="18">
        <f>IF($A345="","",IF($M345="","",ROUND($M345*67,1)))</f>
        <v>17</v>
      </c>
      <c r="AH345" s="19">
        <f>IF($A345="","",IF($P345="","",IF($P345=0,0,$O345/$P345)))</f>
        <v>0.810810810810811</v>
      </c>
      <c r="AI345" s="5" t="str">
        <f>IF($A345="","",IF($P345="","",IF($P345&gt;=Lookups!$K$7,"High",IF($P345&lt;=Lookups!$K$8,"Low","Medium"))))</f>
        <v>Medium</v>
      </c>
      <c r="AJ345" s="5" t="str">
        <f>IF($A345="","",IF($AD345="","",IF($AD345&lt;5,"Under 5 C",IF($AD345&lt;10,"5-10 C",IF($AD345&lt;15,"10-15 C","15 C and above")))))</f>
        <v>10-15 C</v>
      </c>
      <c r="AK345" s="5">
        <f>IF($A345="","",IF($P345="","",$P345^2))</f>
        <v>5476</v>
      </c>
      <c r="AL345" s="18">
        <f>IF($V345&lt;&gt;1,"",AVERAGEIFS(Clean_Data!$P$2:$P$1001,Clean_Data!$F$2:$F$1001,$F345,Clean_Data!$W$2:$W$1001,$W345,Clean_Data!$V$2:$V$1001,1))</f>
        <v>50.1428571428571</v>
      </c>
      <c r="AM345" s="16">
        <f>IF($V345&lt;&gt;1,"",IFERROR(($P345-$AL345)/SQRT(MAX(0,(SUMIFS(Clean_Data!$AK$2:$AK$1001,Clean_Data!$F$2:$F$1001,$F345,Clean_Data!$W$2:$W$1001,$W345,Clean_Data!$V$2:$V$1001,1)-COUNTIFS(Clean_Data!$F$2:$F$1001,$F345,Clean_Data!$W$2:$W$1001,$W345,Clean_Data!$V$2:$V$1001,1)*$AL345^2)/(COUNTIFS(Clean_Data!$F$2:$F$1001,$F345,Clean_Data!$W$2:$W$1001,$W345,Clean_Data!$V$2:$V$1001,1)-1))),""))</f>
        <v>1.3408107959437</v>
      </c>
      <c r="AN345" s="5" t="str">
        <f>IF($AM345="","",IF($AM345&gt;=Lookups!$K$6,"High spike",IF($AM345&lt;=-Lookups!$K$6,"Unusual low","Normal")))</f>
        <v>Normal</v>
      </c>
      <c r="AO345" s="20">
        <f>IF($V345&lt;&gt;1,"",$P345+ROW()/100000)</f>
        <v>74.00345</v>
      </c>
      <c r="AP345" s="5">
        <f>IF($A345="","",IFERROR(MATCH($A345,Raw_D1!$A$2:$A$1001,0),""))</f>
        <v>344</v>
      </c>
      <c r="AQ345" s="5">
        <f>IF($A345="","",IFERROR(MATCH($A345,Raw_D2!$B$2:$B$1001,0),""))</f>
        <v>344</v>
      </c>
      <c r="AR345" s="5">
        <f>IF($A345="","",IFERROR(MATCH($A345,Raw_D3!$A$2:$A$1001,0),""))</f>
        <v/>
      </c>
    </row>
    <row r="346" spans="1:44" x14ac:dyDescent="0.25">
      <c r="A346" s="5">
        <v>345</v>
      </c>
      <c r="B346" s="11">
        <f>IF($A346="","",IF($AP346&lt;&gt;"",INDEX(Raw_D1!$B$2:$B$1001,$AP346),IF($AR346&lt;&gt;"",INDEX(Raw_D3!$B$2:$B$1001,$AR346),"")))</f>
        <v>40558.0</v>
      </c>
      <c r="C346" s="5">
        <f>IF($A346="","",IF($AP346&lt;&gt;"",INDEX(Raw_D1!$C$2:$C$1001,$AP346),IF($AR346&lt;&gt;"",INDEX(Raw_D3!$C$2:$C$1001,$AR346),"")))</f>
        <v>1</v>
      </c>
      <c r="D346" s="5">
        <f>IF($A346="","",IF($AP346&lt;&gt;"",INDEX(Raw_D1!$D$2:$D$1001,$AP346),IF($AR346&lt;&gt;"",INDEX(Raw_D3!$D$2:$D$1001,$AR346),"")))</f>
        <v>0</v>
      </c>
      <c r="E346" s="5">
        <f>IF($A346="","",IF($AP346&lt;&gt;"",INDEX(Raw_D1!$E$2:$E$1001,$AP346),IF($AR346&lt;&gt;"",INDEX(Raw_D3!$E$2:$E$1001,$AR346),"")))</f>
        <v>1</v>
      </c>
      <c r="F346" s="5">
        <f>IF($A346="","",IF($AP346&lt;&gt;"",INDEX(Raw_D1!$F$2:$F$1001,$AP346),IF($AR346&lt;&gt;"",INDEX(Raw_D3!$F$2:$F$1001,$AR346),"")))</f>
        <v>20</v>
      </c>
      <c r="G346" s="5">
        <f>IF($A346="","",IF($AP346&lt;&gt;"",IF(INDEX(Raw_D1!$G$2:$G$1001,$AP346),1,0),IF($AR346&lt;&gt;"",IF(INDEX(Raw_D3!$G$2:$G$1001,$AR346),1,0),"")))</f>
        <v>0</v>
      </c>
      <c r="H346" s="5">
        <f>IF($A346="","",IF($AP346&lt;&gt;"",INDEX(Raw_D1!$H$2:$H$1001,$AP346),IF($AR346&lt;&gt;"",INDEX(Raw_D3!$H$2:$H$1001,$AR346),"")))</f>
        <v>6</v>
      </c>
      <c r="I346" s="5">
        <f>IF($A346="","",IF($AP346&lt;&gt;"",INDEX(Raw_D1!$I$2:$I$1001,$AP346),IF($AR346&lt;&gt;"",INDEX(Raw_D3!$I$2:$I$1001,$AR346),"")))</f>
        <v>2</v>
      </c>
      <c r="J346" s="16">
        <f>IF($A346="","",IF($AP346&lt;&gt;"",INDEX(Raw_D1!$J$2:$J$1001,$AP346),IF($AR346&lt;&gt;"",INDEX(Raw_D3!$J$2:$J$1001,$AR346),"")))</f>
        <v>0.32</v>
      </c>
      <c r="K346" s="17">
        <f>IF($A346="","",IF($AQ346&lt;&gt;"",IF(INDEX(Raw_D2!$C$2:$C$1001,$AQ346)="","",INDEX(Raw_D2!$C$2:$C$1001,$AQ346)),IF($AR346&lt;&gt;"",IF(INDEX(Raw_D3!$K$2:$K$1001,$AR346)="","",INDEX(Raw_D3!$K$2:$K$1001,$AR346)),"")))</f>
        <v>0.303</v>
      </c>
      <c r="L346" s="16">
        <f>IF($A346="","",IF($AQ346&lt;&gt;"",IF(INDEX(Raw_D2!$D$2:$D$1001,$AQ346)="","",INDEX(Raw_D2!$D$2:$D$1001,$AQ346)),IF($AR346&lt;&gt;"",IF(INDEX(Raw_D3!$L$2:$L$1001,$AR346)="","",INDEX(Raw_D3!$L$2:$L$1001,$AR346)),"")))</f>
        <v>0.39</v>
      </c>
      <c r="M346" s="17">
        <f>IF($A346="","",IF($AQ346&lt;&gt;"",IF(INDEX(Raw_D2!$E$2:$E$1001,$AQ346)="","",INDEX(Raw_D2!$E$2:$E$1001,$AQ346)),IF($AR346&lt;&gt;"",IF(INDEX(Raw_D3!$M$2:$M$1001,$AR346)="","",INDEX(Raw_D3!$M$2:$M$1001,$AR346)),"")))</f>
        <v>0.2537</v>
      </c>
      <c r="N346" s="5">
        <f>IF($A346="","",IF($AQ346&lt;&gt;"",IF(INDEX(Raw_D2!$F$2:$F$1001,$AQ346)="","",INDEX(Raw_D2!$F$2:$F$1001,$AQ346)),IF($AR346&lt;&gt;"",IF(INDEX(Raw_D3!$N$2:$N$1001,$AR346)="","",INDEX(Raw_D3!$N$2:$N$1001,$AR346)),"")))</f>
        <v>6</v>
      </c>
      <c r="O346" s="5">
        <f>IF($A346="","",IF($AQ346&lt;&gt;"",IF(INDEX(Raw_D2!$G$2:$G$1001,$AQ346)="","",INDEX(Raw_D2!$G$2:$G$1001,$AQ346)),IF($AR346&lt;&gt;"",IF(INDEX(Raw_D3!$O$2:$O$1001,$AR346)="","",INDEX(Raw_D3!$O$2:$O$1001,$AR346)),"")))</f>
        <v>35</v>
      </c>
      <c r="P346" s="5">
        <f>IF($A346="","",IF($AQ346&lt;&gt;"",IF(INDEX(Raw_D2!$H$2:$H$1001,$AQ346)="","",INDEX(Raw_D2!$H$2:$H$1001,$AQ346)),IF($AR346&lt;&gt;"",IF(INDEX(Raw_D3!$P$2:$P$1001,$AR346)="","",INDEX(Raw_D3!$P$2:$P$1001,$AR346)),"")))</f>
        <v>41</v>
      </c>
      <c r="Q346" s="5" t="str">
        <f>IF($A346="","",IF(AND($AP346&lt;&gt;"",$AQ346&lt;&gt;""),"D1+D2",IF($AR346&lt;&gt;"","D3","Incomplete")))</f>
        <v>D1+D2</v>
      </c>
      <c r="R346" s="17">
        <f>IF($A346="","",IF($K346="",IF($J346="","",ROUND(Lookups!$K$5+Lookups!$K$4*$J346,4)),$K346))</f>
        <v>0.303</v>
      </c>
      <c r="S346" s="5" t="str">
        <f>IF($A346="","",IF($K346="","Imputed","Original"))</f>
        <v>Original</v>
      </c>
      <c r="T346" s="5" t="str">
        <f>IF($A346="","",IF($P346="","Missing",IF($P346=$N346+$O346,"OK","Mismatch")))</f>
        <v>OK</v>
      </c>
      <c r="U346" s="5" t="str">
        <f>IF($A346="","",IF(COUNTIF($A$2:$A346,$A346)&gt;1,"Duplicate","Unique"))</f>
        <v>Unique</v>
      </c>
      <c r="V346" s="5">
        <f>IF($A346="","",IF(AND($U346="Unique",ISNUMBER($P346)),1,0))</f>
        <v>1</v>
      </c>
      <c r="W346" s="5" t="str">
        <f>IF($A346="","",IF(OR($H346=0,$H346=6),"Weekend","Weekday"))</f>
        <v>Weekend</v>
      </c>
      <c r="X346" s="5" t="str">
        <f>IF($A346="","",TEXT($B346,"ddd"))</f>
        <v>Sat</v>
      </c>
      <c r="Y346" s="5" t="str">
        <f>IF($A346="","",TEXT($B346,"mmm"))</f>
        <v>Jan</v>
      </c>
      <c r="Z346" s="5" t="str">
        <f>IF($A346="","",IFERROR(VLOOKUP($C346,Lookups!$D$4:$E$7,2,FALSE),"Unknown"))</f>
        <v>Winter</v>
      </c>
      <c r="AA346" s="5" t="str">
        <f>IF($A346="","",IFERROR(VLOOKUP($I346,Lookups!$A$4:$B$7,2,FALSE),"Unknown"))</f>
        <v>Mist/Cloudy</v>
      </c>
      <c r="AB346" s="5" t="str">
        <f>IF($A346="","",TEXT($F346,"00")&amp;":00")</f>
        <v>20:00</v>
      </c>
      <c r="AC346" s="5" t="str">
        <f>IF($A346="","",VLOOKUP($F346,Lookups!$G$4:$H$8,2,TRUE))</f>
        <v>Late Evening (20-23)</v>
      </c>
      <c r="AD346" s="18">
        <f>IF($A346="","",IF($J346="","",ROUND($J346*41,1)))</f>
        <v>13.1</v>
      </c>
      <c r="AE346" s="18">
        <f>IF($A346="","",IF($R346="","",ROUND($R346*50,1)))</f>
        <v>15.2</v>
      </c>
      <c r="AF346" s="5">
        <f>IF($A346="","",IF($L346="","",ROUND($L346*100,0)))</f>
        <v>39</v>
      </c>
      <c r="AG346" s="18">
        <f>IF($A346="","",IF($M346="","",ROUND($M346*67,1)))</f>
        <v>17</v>
      </c>
      <c r="AH346" s="19">
        <f>IF($A346="","",IF($P346="","",IF($P346=0,0,$O346/$P346)))</f>
        <v>0.853658536585366</v>
      </c>
      <c r="AI346" s="5" t="str">
        <f>IF($A346="","",IF($P346="","",IF($P346&gt;=Lookups!$K$7,"High",IF($P346&lt;=Lookups!$K$8,"Low","Medium"))))</f>
        <v>Medium</v>
      </c>
      <c r="AJ346" s="5" t="str">
        <f>IF($A346="","",IF($AD346="","",IF($AD346&lt;5,"Under 5 C",IF($AD346&lt;10,"5-10 C",IF($AD346&lt;15,"10-15 C","15 C and above")))))</f>
        <v>10-15 C</v>
      </c>
      <c r="AK346" s="5">
        <f>IF($A346="","",IF($P346="","",$P346^2))</f>
        <v>1681</v>
      </c>
      <c r="AL346" s="18">
        <f>IF($V346&lt;&gt;1,"",AVERAGEIFS(Clean_Data!$P$2:$P$1001,Clean_Data!$F$2:$F$1001,$F346,Clean_Data!$W$2:$W$1001,$W346,Clean_Data!$V$2:$V$1001,1))</f>
        <v>40</v>
      </c>
      <c r="AM346" s="16">
        <f>IF($V346&lt;&gt;1,"",IFERROR(($P346-$AL346)/SQRT(MAX(0,(SUMIFS(Clean_Data!$AK$2:$AK$1001,Clean_Data!$F$2:$F$1001,$F346,Clean_Data!$W$2:$W$1001,$W346,Clean_Data!$V$2:$V$1001,1)-COUNTIFS(Clean_Data!$F$2:$F$1001,$F346,Clean_Data!$W$2:$W$1001,$W346,Clean_Data!$V$2:$V$1001,1)*$AL346^2)/(COUNTIFS(Clean_Data!$F$2:$F$1001,$F346,Clean_Data!$W$2:$W$1001,$W346,Clean_Data!$V$2:$V$1001,1)-1))),""))</f>
        <v>0.0811929312763709</v>
      </c>
      <c r="AN346" s="5" t="str">
        <f>IF($AM346="","",IF($AM346&gt;=Lookups!$K$6,"High spike",IF($AM346&lt;=-Lookups!$K$6,"Unusual low","Normal")))</f>
        <v>Normal</v>
      </c>
      <c r="AO346" s="20">
        <f>IF($V346&lt;&gt;1,"",$P346+ROW()/100000)</f>
        <v>41.00346</v>
      </c>
      <c r="AP346" s="5">
        <f>IF($A346="","",IFERROR(MATCH($A346,Raw_D1!$A$2:$A$1001,0),""))</f>
        <v>345</v>
      </c>
      <c r="AQ346" s="5">
        <f>IF($A346="","",IFERROR(MATCH($A346,Raw_D2!$B$2:$B$1001,0),""))</f>
        <v>345</v>
      </c>
      <c r="AR346" s="5">
        <f>IF($A346="","",IFERROR(MATCH($A346,Raw_D3!$A$2:$A$1001,0),""))</f>
        <v/>
      </c>
    </row>
    <row r="347" spans="1:44" x14ac:dyDescent="0.25">
      <c r="A347" s="5">
        <v>346</v>
      </c>
      <c r="B347" s="11">
        <f>IF($A347="","",IF($AP347&lt;&gt;"",INDEX(Raw_D1!$B$2:$B$1001,$AP347),IF($AR347&lt;&gt;"",INDEX(Raw_D3!$B$2:$B$1001,$AR347),"")))</f>
        <v>40558.0</v>
      </c>
      <c r="C347" s="5">
        <f>IF($A347="","",IF($AP347&lt;&gt;"",INDEX(Raw_D1!$C$2:$C$1001,$AP347),IF($AR347&lt;&gt;"",INDEX(Raw_D3!$C$2:$C$1001,$AR347),"")))</f>
        <v>1</v>
      </c>
      <c r="D347" s="5">
        <f>IF($A347="","",IF($AP347&lt;&gt;"",INDEX(Raw_D1!$D$2:$D$1001,$AP347),IF($AR347&lt;&gt;"",INDEX(Raw_D3!$D$2:$D$1001,$AR347),"")))</f>
        <v>0</v>
      </c>
      <c r="E347" s="5">
        <f>IF($A347="","",IF($AP347&lt;&gt;"",INDEX(Raw_D1!$E$2:$E$1001,$AP347),IF($AR347&lt;&gt;"",INDEX(Raw_D3!$E$2:$E$1001,$AR347),"")))</f>
        <v>1</v>
      </c>
      <c r="F347" s="5">
        <f>IF($A347="","",IF($AP347&lt;&gt;"",INDEX(Raw_D1!$F$2:$F$1001,$AP347),IF($AR347&lt;&gt;"",INDEX(Raw_D3!$F$2:$F$1001,$AR347),"")))</f>
        <v>21</v>
      </c>
      <c r="G347" s="5">
        <f>IF($A347="","",IF($AP347&lt;&gt;"",IF(INDEX(Raw_D1!$G$2:$G$1001,$AP347),1,0),IF($AR347&lt;&gt;"",IF(INDEX(Raw_D3!$G$2:$G$1001,$AR347),1,0),"")))</f>
        <v>0</v>
      </c>
      <c r="H347" s="5">
        <f>IF($A347="","",IF($AP347&lt;&gt;"",INDEX(Raw_D1!$H$2:$H$1001,$AP347),IF($AR347&lt;&gt;"",INDEX(Raw_D3!$H$2:$H$1001,$AR347),"")))</f>
        <v>6</v>
      </c>
      <c r="I347" s="5">
        <f>IF($A347="","",IF($AP347&lt;&gt;"",INDEX(Raw_D1!$I$2:$I$1001,$AP347),IF($AR347&lt;&gt;"",INDEX(Raw_D3!$I$2:$I$1001,$AR347),"")))</f>
        <v>2</v>
      </c>
      <c r="J347" s="16">
        <f>IF($A347="","",IF($AP347&lt;&gt;"",INDEX(Raw_D1!$J$2:$J$1001,$AP347),IF($AR347&lt;&gt;"",INDEX(Raw_D3!$J$2:$J$1001,$AR347),"")))</f>
        <v>0.32</v>
      </c>
      <c r="K347" s="17">
        <f>IF($A347="","",IF($AQ347&lt;&gt;"",IF(INDEX(Raw_D2!$C$2:$C$1001,$AQ347)="","",INDEX(Raw_D2!$C$2:$C$1001,$AQ347)),IF($AR347&lt;&gt;"",IF(INDEX(Raw_D3!$K$2:$K$1001,$AR347)="","",INDEX(Raw_D3!$K$2:$K$1001,$AR347)),"")))</f>
        <v>0.303</v>
      </c>
      <c r="L347" s="16">
        <f>IF($A347="","",IF($AQ347&lt;&gt;"",IF(INDEX(Raw_D2!$D$2:$D$1001,$AQ347)="","",INDEX(Raw_D2!$D$2:$D$1001,$AQ347)),IF($AR347&lt;&gt;"",IF(INDEX(Raw_D3!$L$2:$L$1001,$AR347)="","",INDEX(Raw_D3!$L$2:$L$1001,$AR347)),"")))</f>
        <v>0.39</v>
      </c>
      <c r="M347" s="17">
        <f>IF($A347="","",IF($AQ347&lt;&gt;"",IF(INDEX(Raw_D2!$E$2:$E$1001,$AQ347)="","",INDEX(Raw_D2!$E$2:$E$1001,$AQ347)),IF($AR347&lt;&gt;"",IF(INDEX(Raw_D3!$M$2:$M$1001,$AR347)="","",INDEX(Raw_D3!$M$2:$M$1001,$AR347)),"")))</f>
        <v>0.2239</v>
      </c>
      <c r="N347" s="5">
        <f>IF($A347="","",IF($AQ347&lt;&gt;"",IF(INDEX(Raw_D2!$F$2:$F$1001,$AQ347)="","",INDEX(Raw_D2!$F$2:$F$1001,$AQ347)),IF($AR347&lt;&gt;"",IF(INDEX(Raw_D3!$N$2:$N$1001,$AR347)="","",INDEX(Raw_D3!$N$2:$N$1001,$AR347)),"")))</f>
        <v>6</v>
      </c>
      <c r="O347" s="5">
        <f>IF($A347="","",IF($AQ347&lt;&gt;"",IF(INDEX(Raw_D2!$G$2:$G$1001,$AQ347)="","",INDEX(Raw_D2!$G$2:$G$1001,$AQ347)),IF($AR347&lt;&gt;"",IF(INDEX(Raw_D3!$O$2:$O$1001,$AR347)="","",INDEX(Raw_D3!$O$2:$O$1001,$AR347)),"")))</f>
        <v>51</v>
      </c>
      <c r="P347" s="5">
        <f>IF($A347="","",IF($AQ347&lt;&gt;"",IF(INDEX(Raw_D2!$H$2:$H$1001,$AQ347)="","",INDEX(Raw_D2!$H$2:$H$1001,$AQ347)),IF($AR347&lt;&gt;"",IF(INDEX(Raw_D3!$P$2:$P$1001,$AR347)="","",INDEX(Raw_D3!$P$2:$P$1001,$AR347)),"")))</f>
        <v>57</v>
      </c>
      <c r="Q347" s="5" t="str">
        <f>IF($A347="","",IF(AND($AP347&lt;&gt;"",$AQ347&lt;&gt;""),"D1+D2",IF($AR347&lt;&gt;"","D3","Incomplete")))</f>
        <v>D1+D2</v>
      </c>
      <c r="R347" s="17">
        <f>IF($A347="","",IF($K347="",IF($J347="","",ROUND(Lookups!$K$5+Lookups!$K$4*$J347,4)),$K347))</f>
        <v>0.303</v>
      </c>
      <c r="S347" s="5" t="str">
        <f>IF($A347="","",IF($K347="","Imputed","Original"))</f>
        <v>Original</v>
      </c>
      <c r="T347" s="5" t="str">
        <f>IF($A347="","",IF($P347="","Missing",IF($P347=$N347+$O347,"OK","Mismatch")))</f>
        <v>OK</v>
      </c>
      <c r="U347" s="5" t="str">
        <f>IF($A347="","",IF(COUNTIF($A$2:$A347,$A347)&gt;1,"Duplicate","Unique"))</f>
        <v>Unique</v>
      </c>
      <c r="V347" s="5">
        <f>IF($A347="","",IF(AND($U347="Unique",ISNUMBER($P347)),1,0))</f>
        <v>1</v>
      </c>
      <c r="W347" s="5" t="str">
        <f>IF($A347="","",IF(OR($H347=0,$H347=6),"Weekend","Weekday"))</f>
        <v>Weekend</v>
      </c>
      <c r="X347" s="5" t="str">
        <f>IF($A347="","",TEXT($B347,"ddd"))</f>
        <v>Sat</v>
      </c>
      <c r="Y347" s="5" t="str">
        <f>IF($A347="","",TEXT($B347,"mmm"))</f>
        <v>Jan</v>
      </c>
      <c r="Z347" s="5" t="str">
        <f>IF($A347="","",IFERROR(VLOOKUP($C347,Lookups!$D$4:$E$7,2,FALSE),"Unknown"))</f>
        <v>Winter</v>
      </c>
      <c r="AA347" s="5" t="str">
        <f>IF($A347="","",IFERROR(VLOOKUP($I347,Lookups!$A$4:$B$7,2,FALSE),"Unknown"))</f>
        <v>Mist/Cloudy</v>
      </c>
      <c r="AB347" s="5" t="str">
        <f>IF($A347="","",TEXT($F347,"00")&amp;":00")</f>
        <v>21:00</v>
      </c>
      <c r="AC347" s="5" t="str">
        <f>IF($A347="","",VLOOKUP($F347,Lookups!$G$4:$H$8,2,TRUE))</f>
        <v>Late Evening (20-23)</v>
      </c>
      <c r="AD347" s="18">
        <f>IF($A347="","",IF($J347="","",ROUND($J347*41,1)))</f>
        <v>13.1</v>
      </c>
      <c r="AE347" s="18">
        <f>IF($A347="","",IF($R347="","",ROUND($R347*50,1)))</f>
        <v>15.2</v>
      </c>
      <c r="AF347" s="5">
        <f>IF($A347="","",IF($L347="","",ROUND($L347*100,0)))</f>
        <v>39</v>
      </c>
      <c r="AG347" s="18">
        <f>IF($A347="","",IF($M347="","",ROUND($M347*67,1)))</f>
        <v>15</v>
      </c>
      <c r="AH347" s="19">
        <f>IF($A347="","",IF($P347="","",IF($P347=0,0,$O347/$P347)))</f>
        <v>0.894736842105263</v>
      </c>
      <c r="AI347" s="5" t="str">
        <f>IF($A347="","",IF($P347="","",IF($P347&gt;=Lookups!$K$7,"High",IF($P347&lt;=Lookups!$K$8,"Low","Medium"))))</f>
        <v>Medium</v>
      </c>
      <c r="AJ347" s="5" t="str">
        <f>IF($A347="","",IF($AD347="","",IF($AD347&lt;5,"Under 5 C",IF($AD347&lt;10,"5-10 C",IF($AD347&lt;15,"10-15 C","15 C and above")))))</f>
        <v>10-15 C</v>
      </c>
      <c r="AK347" s="5">
        <f>IF($A347="","",IF($P347="","",$P347^2))</f>
        <v>3249</v>
      </c>
      <c r="AL347" s="18">
        <f>IF($V347&lt;&gt;1,"",AVERAGEIFS(Clean_Data!$P$2:$P$1001,Clean_Data!$F$2:$F$1001,$F347,Clean_Data!$W$2:$W$1001,$W347,Clean_Data!$V$2:$V$1001,1))</f>
        <v>37.1428571428571</v>
      </c>
      <c r="AM347" s="16">
        <f>IF($V347&lt;&gt;1,"",IFERROR(($P347-$AL347)/SQRT(MAX(0,(SUMIFS(Clean_Data!$AK$2:$AK$1001,Clean_Data!$F$2:$F$1001,$F347,Clean_Data!$W$2:$W$1001,$W347,Clean_Data!$V$2:$V$1001,1)-COUNTIFS(Clean_Data!$F$2:$F$1001,$F347,Clean_Data!$W$2:$W$1001,$W347,Clean_Data!$V$2:$V$1001,1)*$AL347^2)/(COUNTIFS(Clean_Data!$F$2:$F$1001,$F347,Clean_Data!$W$2:$W$1001,$W347,Clean_Data!$V$2:$V$1001,1)-1))),""))</f>
        <v>1.64351254317963</v>
      </c>
      <c r="AN347" s="5" t="str">
        <f>IF($AM347="","",IF($AM347&gt;=Lookups!$K$6,"High spike",IF($AM347&lt;=-Lookups!$K$6,"Unusual low","Normal")))</f>
        <v>Normal</v>
      </c>
      <c r="AO347" s="20">
        <f>IF($V347&lt;&gt;1,"",$P347+ROW()/100000)</f>
        <v>57.00347</v>
      </c>
      <c r="AP347" s="5">
        <f>IF($A347="","",IFERROR(MATCH($A347,Raw_D1!$A$2:$A$1001,0),""))</f>
        <v>346</v>
      </c>
      <c r="AQ347" s="5">
        <f>IF($A347="","",IFERROR(MATCH($A347,Raw_D2!$B$2:$B$1001,0),""))</f>
        <v>346</v>
      </c>
      <c r="AR347" s="5">
        <f>IF($A347="","",IFERROR(MATCH($A347,Raw_D3!$A$2:$A$1001,0),""))</f>
        <v/>
      </c>
    </row>
    <row r="348" spans="1:44" x14ac:dyDescent="0.25">
      <c r="A348" s="5">
        <v>347</v>
      </c>
      <c r="B348" s="11">
        <f>IF($A348="","",IF($AP348&lt;&gt;"",INDEX(Raw_D1!$B$2:$B$1001,$AP348),IF($AR348&lt;&gt;"",INDEX(Raw_D3!$B$2:$B$1001,$AR348),"")))</f>
        <v>40558.0</v>
      </c>
      <c r="C348" s="5">
        <f>IF($A348="","",IF($AP348&lt;&gt;"",INDEX(Raw_D1!$C$2:$C$1001,$AP348),IF($AR348&lt;&gt;"",INDEX(Raw_D3!$C$2:$C$1001,$AR348),"")))</f>
        <v>1</v>
      </c>
      <c r="D348" s="5">
        <f>IF($A348="","",IF($AP348&lt;&gt;"",INDEX(Raw_D1!$D$2:$D$1001,$AP348),IF($AR348&lt;&gt;"",INDEX(Raw_D3!$D$2:$D$1001,$AR348),"")))</f>
        <v>0</v>
      </c>
      <c r="E348" s="5">
        <f>IF($A348="","",IF($AP348&lt;&gt;"",INDEX(Raw_D1!$E$2:$E$1001,$AP348),IF($AR348&lt;&gt;"",INDEX(Raw_D3!$E$2:$E$1001,$AR348),"")))</f>
        <v>1</v>
      </c>
      <c r="F348" s="5">
        <f>IF($A348="","",IF($AP348&lt;&gt;"",INDEX(Raw_D1!$F$2:$F$1001,$AP348),IF($AR348&lt;&gt;"",INDEX(Raw_D3!$F$2:$F$1001,$AR348),"")))</f>
        <v>22</v>
      </c>
      <c r="G348" s="5">
        <f>IF($A348="","",IF($AP348&lt;&gt;"",IF(INDEX(Raw_D1!$G$2:$G$1001,$AP348),1,0),IF($AR348&lt;&gt;"",IF(INDEX(Raw_D3!$G$2:$G$1001,$AR348),1,0),"")))</f>
        <v>0</v>
      </c>
      <c r="H348" s="5">
        <f>IF($A348="","",IF($AP348&lt;&gt;"",INDEX(Raw_D1!$H$2:$H$1001,$AP348),IF($AR348&lt;&gt;"",INDEX(Raw_D3!$H$2:$H$1001,$AR348),"")))</f>
        <v>6</v>
      </c>
      <c r="I348" s="5">
        <f>IF($A348="","",IF($AP348&lt;&gt;"",INDEX(Raw_D1!$I$2:$I$1001,$AP348),IF($AR348&lt;&gt;"",INDEX(Raw_D3!$I$2:$I$1001,$AR348),"")))</f>
        <v>2</v>
      </c>
      <c r="J348" s="16">
        <f>IF($A348="","",IF($AP348&lt;&gt;"",INDEX(Raw_D1!$J$2:$J$1001,$AP348),IF($AR348&lt;&gt;"",INDEX(Raw_D3!$J$2:$J$1001,$AR348),"")))</f>
        <v>0.3</v>
      </c>
      <c r="K348" s="17">
        <f>IF($A348="","",IF($AQ348&lt;&gt;"",IF(INDEX(Raw_D2!$C$2:$C$1001,$AQ348)="","",INDEX(Raw_D2!$C$2:$C$1001,$AQ348)),IF($AR348&lt;&gt;"",IF(INDEX(Raw_D3!$K$2:$K$1001,$AR348)="","",INDEX(Raw_D3!$K$2:$K$1001,$AR348)),"")))</f>
        <v>0.3182</v>
      </c>
      <c r="L348" s="16">
        <f>IF($A348="","",IF($AQ348&lt;&gt;"",IF(INDEX(Raw_D2!$D$2:$D$1001,$AQ348)="","",INDEX(Raw_D2!$D$2:$D$1001,$AQ348)),IF($AR348&lt;&gt;"",IF(INDEX(Raw_D3!$L$2:$L$1001,$AR348)="","",INDEX(Raw_D3!$L$2:$L$1001,$AR348)),"")))</f>
        <v>0.42</v>
      </c>
      <c r="M348" s="17">
        <f>IF($A348="","",IF($AQ348&lt;&gt;"",IF(INDEX(Raw_D2!$E$2:$E$1001,$AQ348)="","",INDEX(Raw_D2!$E$2:$E$1001,$AQ348)),IF($AR348&lt;&gt;"",IF(INDEX(Raw_D3!$M$2:$M$1001,$AR348)="","",INDEX(Raw_D3!$M$2:$M$1001,$AR348)),"")))</f>
        <v>0.1045</v>
      </c>
      <c r="N348" s="5">
        <f>IF($A348="","",IF($AQ348&lt;&gt;"",IF(INDEX(Raw_D2!$F$2:$F$1001,$AQ348)="","",INDEX(Raw_D2!$F$2:$F$1001,$AQ348)),IF($AR348&lt;&gt;"",IF(INDEX(Raw_D3!$N$2:$N$1001,$AR348)="","",INDEX(Raw_D3!$N$2:$N$1001,$AR348)),"")))</f>
        <v>0</v>
      </c>
      <c r="O348" s="5">
        <f>IF($A348="","",IF($AQ348&lt;&gt;"",IF(INDEX(Raw_D2!$G$2:$G$1001,$AQ348)="","",INDEX(Raw_D2!$G$2:$G$1001,$AQ348)),IF($AR348&lt;&gt;"",IF(INDEX(Raw_D3!$O$2:$O$1001,$AR348)="","",INDEX(Raw_D3!$O$2:$O$1001,$AR348)),"")))</f>
        <v>26</v>
      </c>
      <c r="P348" s="5">
        <f>IF($A348="","",IF($AQ348&lt;&gt;"",IF(INDEX(Raw_D2!$H$2:$H$1001,$AQ348)="","",INDEX(Raw_D2!$H$2:$H$1001,$AQ348)),IF($AR348&lt;&gt;"",IF(INDEX(Raw_D3!$P$2:$P$1001,$AR348)="","",INDEX(Raw_D3!$P$2:$P$1001,$AR348)),"")))</f>
        <v>26</v>
      </c>
      <c r="Q348" s="5" t="str">
        <f>IF($A348="","",IF(AND($AP348&lt;&gt;"",$AQ348&lt;&gt;""),"D1+D2",IF($AR348&lt;&gt;"","D3","Incomplete")))</f>
        <v>D1+D2</v>
      </c>
      <c r="R348" s="17">
        <f>IF($A348="","",IF($K348="",IF($J348="","",ROUND(Lookups!$K$5+Lookups!$K$4*$J348,4)),$K348))</f>
        <v>0.3182</v>
      </c>
      <c r="S348" s="5" t="str">
        <f>IF($A348="","",IF($K348="","Imputed","Original"))</f>
        <v>Original</v>
      </c>
      <c r="T348" s="5" t="str">
        <f>IF($A348="","",IF($P348="","Missing",IF($P348=$N348+$O348,"OK","Mismatch")))</f>
        <v>OK</v>
      </c>
      <c r="U348" s="5" t="str">
        <f>IF($A348="","",IF(COUNTIF($A$2:$A348,$A348)&gt;1,"Duplicate","Unique"))</f>
        <v>Unique</v>
      </c>
      <c r="V348" s="5">
        <f>IF($A348="","",IF(AND($U348="Unique",ISNUMBER($P348)),1,0))</f>
        <v>1</v>
      </c>
      <c r="W348" s="5" t="str">
        <f>IF($A348="","",IF(OR($H348=0,$H348=6),"Weekend","Weekday"))</f>
        <v>Weekend</v>
      </c>
      <c r="X348" s="5" t="str">
        <f>IF($A348="","",TEXT($B348,"ddd"))</f>
        <v>Sat</v>
      </c>
      <c r="Y348" s="5" t="str">
        <f>IF($A348="","",TEXT($B348,"mmm"))</f>
        <v>Jan</v>
      </c>
      <c r="Z348" s="5" t="str">
        <f>IF($A348="","",IFERROR(VLOOKUP($C348,Lookups!$D$4:$E$7,2,FALSE),"Unknown"))</f>
        <v>Winter</v>
      </c>
      <c r="AA348" s="5" t="str">
        <f>IF($A348="","",IFERROR(VLOOKUP($I348,Lookups!$A$4:$B$7,2,FALSE),"Unknown"))</f>
        <v>Mist/Cloudy</v>
      </c>
      <c r="AB348" s="5" t="str">
        <f>IF($A348="","",TEXT($F348,"00")&amp;":00")</f>
        <v>22:00</v>
      </c>
      <c r="AC348" s="5" t="str">
        <f>IF($A348="","",VLOOKUP($F348,Lookups!$G$4:$H$8,2,TRUE))</f>
        <v>Late Evening (20-23)</v>
      </c>
      <c r="AD348" s="18">
        <f>IF($A348="","",IF($J348="","",ROUND($J348*41,1)))</f>
        <v>12.3</v>
      </c>
      <c r="AE348" s="18">
        <f>IF($A348="","",IF($R348="","",ROUND($R348*50,1)))</f>
        <v>15.9</v>
      </c>
      <c r="AF348" s="5">
        <f>IF($A348="","",IF($L348="","",ROUND($L348*100,0)))</f>
        <v>42</v>
      </c>
      <c r="AG348" s="18">
        <f>IF($A348="","",IF($M348="","",ROUND($M348*67,1)))</f>
        <v>7</v>
      </c>
      <c r="AH348" s="19">
        <f>IF($A348="","",IF($P348="","",IF($P348=0,0,$O348/$P348)))</f>
        <v>1</v>
      </c>
      <c r="AI348" s="5" t="str">
        <f>IF($A348="","",IF($P348="","",IF($P348&gt;=Lookups!$K$7,"High",IF($P348&lt;=Lookups!$K$8,"Low","Medium"))))</f>
        <v>Medium</v>
      </c>
      <c r="AJ348" s="5" t="str">
        <f>IF($A348="","",IF($AD348="","",IF($AD348&lt;5,"Under 5 C",IF($AD348&lt;10,"5-10 C",IF($AD348&lt;15,"10-15 C","15 C and above")))))</f>
        <v>10-15 C</v>
      </c>
      <c r="AK348" s="5">
        <f>IF($A348="","",IF($P348="","",$P348^2))</f>
        <v>676</v>
      </c>
      <c r="AL348" s="18">
        <f>IF($V348&lt;&gt;1,"",AVERAGEIFS(Clean_Data!$P$2:$P$1001,Clean_Data!$F$2:$F$1001,$F348,Clean_Data!$W$2:$W$1001,$W348,Clean_Data!$V$2:$V$1001,1))</f>
        <v>30.8571428571429</v>
      </c>
      <c r="AM348" s="16">
        <f>IF($V348&lt;&gt;1,"",IFERROR(($P348-$AL348)/SQRT(MAX(0,(SUMIFS(Clean_Data!$AK$2:$AK$1001,Clean_Data!$F$2:$F$1001,$F348,Clean_Data!$W$2:$W$1001,$W348,Clean_Data!$V$2:$V$1001,1)-COUNTIFS(Clean_Data!$F$2:$F$1001,$F348,Clean_Data!$W$2:$W$1001,$W348,Clean_Data!$V$2:$V$1001,1)*$AL348^2)/(COUNTIFS(Clean_Data!$F$2:$F$1001,$F348,Clean_Data!$W$2:$W$1001,$W348,Clean_Data!$V$2:$V$1001,1)-1))),""))</f>
        <v>-0.359601395501153</v>
      </c>
      <c r="AN348" s="5" t="str">
        <f>IF($AM348="","",IF($AM348&gt;=Lookups!$K$6,"High spike",IF($AM348&lt;=-Lookups!$K$6,"Unusual low","Normal")))</f>
        <v>Normal</v>
      </c>
      <c r="AO348" s="20">
        <f>IF($V348&lt;&gt;1,"",$P348+ROW()/100000)</f>
        <v>26.00348</v>
      </c>
      <c r="AP348" s="5">
        <f>IF($A348="","",IFERROR(MATCH($A348,Raw_D1!$A$2:$A$1001,0),""))</f>
        <v>347</v>
      </c>
      <c r="AQ348" s="5">
        <f>IF($A348="","",IFERROR(MATCH($A348,Raw_D2!$B$2:$B$1001,0),""))</f>
        <v>347</v>
      </c>
      <c r="AR348" s="5">
        <f>IF($A348="","",IFERROR(MATCH($A348,Raw_D3!$A$2:$A$1001,0),""))</f>
        <v/>
      </c>
    </row>
    <row r="349" spans="1:44" x14ac:dyDescent="0.25">
      <c r="A349" s="5">
        <v>348</v>
      </c>
      <c r="B349" s="11">
        <f>IF($A349="","",IF($AP349&lt;&gt;"",INDEX(Raw_D1!$B$2:$B$1001,$AP349),IF($AR349&lt;&gt;"",INDEX(Raw_D3!$B$2:$B$1001,$AR349),"")))</f>
        <v>40558.0</v>
      </c>
      <c r="C349" s="5">
        <f>IF($A349="","",IF($AP349&lt;&gt;"",INDEX(Raw_D1!$C$2:$C$1001,$AP349),IF($AR349&lt;&gt;"",INDEX(Raw_D3!$C$2:$C$1001,$AR349),"")))</f>
        <v>1</v>
      </c>
      <c r="D349" s="5">
        <f>IF($A349="","",IF($AP349&lt;&gt;"",INDEX(Raw_D1!$D$2:$D$1001,$AP349),IF($AR349&lt;&gt;"",INDEX(Raw_D3!$D$2:$D$1001,$AR349),"")))</f>
        <v>0</v>
      </c>
      <c r="E349" s="5">
        <f>IF($A349="","",IF($AP349&lt;&gt;"",INDEX(Raw_D1!$E$2:$E$1001,$AP349),IF($AR349&lt;&gt;"",INDEX(Raw_D3!$E$2:$E$1001,$AR349),"")))</f>
        <v>1</v>
      </c>
      <c r="F349" s="5">
        <f>IF($A349="","",IF($AP349&lt;&gt;"",INDEX(Raw_D1!$F$2:$F$1001,$AP349),IF($AR349&lt;&gt;"",INDEX(Raw_D3!$F$2:$F$1001,$AR349),"")))</f>
        <v>23</v>
      </c>
      <c r="G349" s="5">
        <f>IF($A349="","",IF($AP349&lt;&gt;"",IF(INDEX(Raw_D1!$G$2:$G$1001,$AP349),1,0),IF($AR349&lt;&gt;"",IF(INDEX(Raw_D3!$G$2:$G$1001,$AR349),1,0),"")))</f>
        <v>0</v>
      </c>
      <c r="H349" s="5">
        <f>IF($A349="","",IF($AP349&lt;&gt;"",INDEX(Raw_D1!$H$2:$H$1001,$AP349),IF($AR349&lt;&gt;"",INDEX(Raw_D3!$H$2:$H$1001,$AR349),"")))</f>
        <v>6</v>
      </c>
      <c r="I349" s="5">
        <f>IF($A349="","",IF($AP349&lt;&gt;"",INDEX(Raw_D1!$I$2:$I$1001,$AP349),IF($AR349&lt;&gt;"",INDEX(Raw_D3!$I$2:$I$1001,$AR349),"")))</f>
        <v>1</v>
      </c>
      <c r="J349" s="16">
        <f>IF($A349="","",IF($AP349&lt;&gt;"",INDEX(Raw_D1!$J$2:$J$1001,$AP349),IF($AR349&lt;&gt;"",INDEX(Raw_D3!$J$2:$J$1001,$AR349),"")))</f>
        <v>0.3</v>
      </c>
      <c r="K349" s="17">
        <f>IF($A349="","",IF($AQ349&lt;&gt;"",IF(INDEX(Raw_D2!$C$2:$C$1001,$AQ349)="","",INDEX(Raw_D2!$C$2:$C$1001,$AQ349)),IF($AR349&lt;&gt;"",IF(INDEX(Raw_D3!$K$2:$K$1001,$AR349)="","",INDEX(Raw_D3!$K$2:$K$1001,$AR349)),"")))</f>
        <v>0.2879</v>
      </c>
      <c r="L349" s="16">
        <f>IF($A349="","",IF($AQ349&lt;&gt;"",IF(INDEX(Raw_D2!$D$2:$D$1001,$AQ349)="","",INDEX(Raw_D2!$D$2:$D$1001,$AQ349)),IF($AR349&lt;&gt;"",IF(INDEX(Raw_D3!$L$2:$L$1001,$AR349)="","",INDEX(Raw_D3!$L$2:$L$1001,$AR349)),"")))</f>
        <v>0.45</v>
      </c>
      <c r="M349" s="17">
        <f>IF($A349="","",IF($AQ349&lt;&gt;"",IF(INDEX(Raw_D2!$E$2:$E$1001,$AQ349)="","",INDEX(Raw_D2!$E$2:$E$1001,$AQ349)),IF($AR349&lt;&gt;"",IF(INDEX(Raw_D3!$M$2:$M$1001,$AR349)="","",INDEX(Raw_D3!$M$2:$M$1001,$AR349)),"")))</f>
        <v>0.2836</v>
      </c>
      <c r="N349" s="5">
        <f>IF($A349="","",IF($AQ349&lt;&gt;"",IF(INDEX(Raw_D2!$F$2:$F$1001,$AQ349)="","",INDEX(Raw_D2!$F$2:$F$1001,$AQ349)),IF($AR349&lt;&gt;"",IF(INDEX(Raw_D3!$N$2:$N$1001,$AR349)="","",INDEX(Raw_D3!$N$2:$N$1001,$AR349)),"")))</f>
        <v>5</v>
      </c>
      <c r="O349" s="5">
        <f>IF($A349="","",IF($AQ349&lt;&gt;"",IF(INDEX(Raw_D2!$G$2:$G$1001,$AQ349)="","",INDEX(Raw_D2!$G$2:$G$1001,$AQ349)),IF($AR349&lt;&gt;"",IF(INDEX(Raw_D3!$O$2:$O$1001,$AR349)="","",INDEX(Raw_D3!$O$2:$O$1001,$AR349)),"")))</f>
        <v>39</v>
      </c>
      <c r="P349" s="5">
        <f>IF($A349="","",IF($AQ349&lt;&gt;"",IF(INDEX(Raw_D2!$H$2:$H$1001,$AQ349)="","",INDEX(Raw_D2!$H$2:$H$1001,$AQ349)),IF($AR349&lt;&gt;"",IF(INDEX(Raw_D3!$P$2:$P$1001,$AR349)="","",INDEX(Raw_D3!$P$2:$P$1001,$AR349)),"")))</f>
        <v>44</v>
      </c>
      <c r="Q349" s="5" t="str">
        <f>IF($A349="","",IF(AND($AP349&lt;&gt;"",$AQ349&lt;&gt;""),"D1+D2",IF($AR349&lt;&gt;"","D3","Incomplete")))</f>
        <v>D1+D2</v>
      </c>
      <c r="R349" s="17">
        <f>IF($A349="","",IF($K349="",IF($J349="","",ROUND(Lookups!$K$5+Lookups!$K$4*$J349,4)),$K349))</f>
        <v>0.2879</v>
      </c>
      <c r="S349" s="5" t="str">
        <f>IF($A349="","",IF($K349="","Imputed","Original"))</f>
        <v>Original</v>
      </c>
      <c r="T349" s="5" t="str">
        <f>IF($A349="","",IF($P349="","Missing",IF($P349=$N349+$O349,"OK","Mismatch")))</f>
        <v>OK</v>
      </c>
      <c r="U349" s="5" t="str">
        <f>IF($A349="","",IF(COUNTIF($A$2:$A349,$A349)&gt;1,"Duplicate","Unique"))</f>
        <v>Unique</v>
      </c>
      <c r="V349" s="5">
        <f>IF($A349="","",IF(AND($U349="Unique",ISNUMBER($P349)),1,0))</f>
        <v>1</v>
      </c>
      <c r="W349" s="5" t="str">
        <f>IF($A349="","",IF(OR($H349=0,$H349=6),"Weekend","Weekday"))</f>
        <v>Weekend</v>
      </c>
      <c r="X349" s="5" t="str">
        <f>IF($A349="","",TEXT($B349,"ddd"))</f>
        <v>Sat</v>
      </c>
      <c r="Y349" s="5" t="str">
        <f>IF($A349="","",TEXT($B349,"mmm"))</f>
        <v>Jan</v>
      </c>
      <c r="Z349" s="5" t="str">
        <f>IF($A349="","",IFERROR(VLOOKUP($C349,Lookups!$D$4:$E$7,2,FALSE),"Unknown"))</f>
        <v>Winter</v>
      </c>
      <c r="AA349" s="5" t="str">
        <f>IF($A349="","",IFERROR(VLOOKUP($I349,Lookups!$A$4:$B$7,2,FALSE),"Unknown"))</f>
        <v>Clear</v>
      </c>
      <c r="AB349" s="5" t="str">
        <f>IF($A349="","",TEXT($F349,"00")&amp;":00")</f>
        <v>23:00</v>
      </c>
      <c r="AC349" s="5" t="str">
        <f>IF($A349="","",VLOOKUP($F349,Lookups!$G$4:$H$8,2,TRUE))</f>
        <v>Late Evening (20-23)</v>
      </c>
      <c r="AD349" s="18">
        <f>IF($A349="","",IF($J349="","",ROUND($J349*41,1)))</f>
        <v>12.3</v>
      </c>
      <c r="AE349" s="18">
        <f>IF($A349="","",IF($R349="","",ROUND($R349*50,1)))</f>
        <v>14.4</v>
      </c>
      <c r="AF349" s="5">
        <f>IF($A349="","",IF($L349="","",ROUND($L349*100,0)))</f>
        <v>45</v>
      </c>
      <c r="AG349" s="18">
        <f>IF($A349="","",IF($M349="","",ROUND($M349*67,1)))</f>
        <v>19</v>
      </c>
      <c r="AH349" s="19">
        <f>IF($A349="","",IF($P349="","",IF($P349=0,0,$O349/$P349)))</f>
        <v>0.886363636363636</v>
      </c>
      <c r="AI349" s="5" t="str">
        <f>IF($A349="","",IF($P349="","",IF($P349&gt;=Lookups!$K$7,"High",IF($P349&lt;=Lookups!$K$8,"Low","Medium"))))</f>
        <v>Medium</v>
      </c>
      <c r="AJ349" s="5" t="str">
        <f>IF($A349="","",IF($AD349="","",IF($AD349&lt;5,"Under 5 C",IF($AD349&lt;10,"5-10 C",IF($AD349&lt;15,"10-15 C","15 C and above")))))</f>
        <v>10-15 C</v>
      </c>
      <c r="AK349" s="5">
        <f>IF($A349="","",IF($P349="","",$P349^2))</f>
        <v>1936</v>
      </c>
      <c r="AL349" s="18">
        <f>IF($V349&lt;&gt;1,"",AVERAGEIFS(Clean_Data!$P$2:$P$1001,Clean_Data!$F$2:$F$1001,$F349,Clean_Data!$W$2:$W$1001,$W349,Clean_Data!$V$2:$V$1001,1))</f>
        <v>28.2857142857143</v>
      </c>
      <c r="AM349" s="16">
        <f>IF($V349&lt;&gt;1,"",IFERROR(($P349-$AL349)/SQRT(MAX(0,(SUMIFS(Clean_Data!$AK$2:$AK$1001,Clean_Data!$F$2:$F$1001,$F349,Clean_Data!$W$2:$W$1001,$W349,Clean_Data!$V$2:$V$1001,1)-COUNTIFS(Clean_Data!$F$2:$F$1001,$F349,Clean_Data!$W$2:$W$1001,$W349,Clean_Data!$V$2:$V$1001,1)*$AL349^2)/(COUNTIFS(Clean_Data!$F$2:$F$1001,$F349,Clean_Data!$W$2:$W$1001,$W349,Clean_Data!$V$2:$V$1001,1)-1))),""))</f>
        <v>1.12668930827968</v>
      </c>
      <c r="AN349" s="5" t="str">
        <f>IF($AM349="","",IF($AM349&gt;=Lookups!$K$6,"High spike",IF($AM349&lt;=-Lookups!$K$6,"Unusual low","Normal")))</f>
        <v>Normal</v>
      </c>
      <c r="AO349" s="20">
        <f>IF($V349&lt;&gt;1,"",$P349+ROW()/100000)</f>
        <v>44.00349</v>
      </c>
      <c r="AP349" s="5">
        <f>IF($A349="","",IFERROR(MATCH($A349,Raw_D1!$A$2:$A$1001,0),""))</f>
        <v>348</v>
      </c>
      <c r="AQ349" s="5">
        <f>IF($A349="","",IFERROR(MATCH($A349,Raw_D2!$B$2:$B$1001,0),""))</f>
        <v>348</v>
      </c>
      <c r="AR349" s="5">
        <f>IF($A349="","",IFERROR(MATCH($A349,Raw_D3!$A$2:$A$1001,0),""))</f>
        <v/>
      </c>
    </row>
    <row r="350" spans="1:44" x14ac:dyDescent="0.25">
      <c r="A350" s="5">
        <v>349</v>
      </c>
      <c r="B350" s="11">
        <f>IF($A350="","",IF($AP350&lt;&gt;"",INDEX(Raw_D1!$B$2:$B$1001,$AP350),IF($AR350&lt;&gt;"",INDEX(Raw_D3!$B$2:$B$1001,$AR350),"")))</f>
        <v>40559.0</v>
      </c>
      <c r="C350" s="5">
        <f>IF($A350="","",IF($AP350&lt;&gt;"",INDEX(Raw_D1!$C$2:$C$1001,$AP350),IF($AR350&lt;&gt;"",INDEX(Raw_D3!$C$2:$C$1001,$AR350),"")))</f>
        <v>1</v>
      </c>
      <c r="D350" s="5">
        <f>IF($A350="","",IF($AP350&lt;&gt;"",INDEX(Raw_D1!$D$2:$D$1001,$AP350),IF($AR350&lt;&gt;"",INDEX(Raw_D3!$D$2:$D$1001,$AR350),"")))</f>
        <v>0</v>
      </c>
      <c r="E350" s="5">
        <f>IF($A350="","",IF($AP350&lt;&gt;"",INDEX(Raw_D1!$E$2:$E$1001,$AP350),IF($AR350&lt;&gt;"",INDEX(Raw_D3!$E$2:$E$1001,$AR350),"")))</f>
        <v>1</v>
      </c>
      <c r="F350" s="5">
        <f>IF($A350="","",IF($AP350&lt;&gt;"",INDEX(Raw_D1!$F$2:$F$1001,$AP350),IF($AR350&lt;&gt;"",INDEX(Raw_D3!$F$2:$F$1001,$AR350),"")))</f>
        <v>0</v>
      </c>
      <c r="G350" s="5">
        <f>IF($A350="","",IF($AP350&lt;&gt;"",IF(INDEX(Raw_D1!$G$2:$G$1001,$AP350),1,0),IF($AR350&lt;&gt;"",IF(INDEX(Raw_D3!$G$2:$G$1001,$AR350),1,0),"")))</f>
        <v>0</v>
      </c>
      <c r="H350" s="5">
        <f>IF($A350="","",IF($AP350&lt;&gt;"",INDEX(Raw_D1!$H$2:$H$1001,$AP350),IF($AR350&lt;&gt;"",INDEX(Raw_D3!$H$2:$H$1001,$AR350),"")))</f>
        <v>0</v>
      </c>
      <c r="I350" s="5">
        <f>IF($A350="","",IF($AP350&lt;&gt;"",INDEX(Raw_D1!$I$2:$I$1001,$AP350),IF($AR350&lt;&gt;"",INDEX(Raw_D3!$I$2:$I$1001,$AR350),"")))</f>
        <v>1</v>
      </c>
      <c r="J350" s="16">
        <f>IF($A350="","",IF($AP350&lt;&gt;"",INDEX(Raw_D1!$J$2:$J$1001,$AP350),IF($AR350&lt;&gt;"",INDEX(Raw_D3!$J$2:$J$1001,$AR350),"")))</f>
        <v>0.26</v>
      </c>
      <c r="K350" s="17">
        <f>IF($A350="","",IF($AQ350&lt;&gt;"",IF(INDEX(Raw_D2!$C$2:$C$1001,$AQ350)="","",INDEX(Raw_D2!$C$2:$C$1001,$AQ350)),IF($AR350&lt;&gt;"",IF(INDEX(Raw_D3!$K$2:$K$1001,$AR350)="","",INDEX(Raw_D3!$K$2:$K$1001,$AR350)),"")))</f>
        <v>0.303</v>
      </c>
      <c r="L350" s="16">
        <f>IF($A350="","",IF($AQ350&lt;&gt;"",IF(INDEX(Raw_D2!$D$2:$D$1001,$AQ350)="","",INDEX(Raw_D2!$D$2:$D$1001,$AQ350)),IF($AR350&lt;&gt;"",IF(INDEX(Raw_D3!$L$2:$L$1001,$AR350)="","",INDEX(Raw_D3!$L$2:$L$1001,$AR350)),"")))</f>
        <v>0.56</v>
      </c>
      <c r="M350" s="17">
        <f>IF($A350="","",IF($AQ350&lt;&gt;"",IF(INDEX(Raw_D2!$E$2:$E$1001,$AQ350)="","",INDEX(Raw_D2!$E$2:$E$1001,$AQ350)),IF($AR350&lt;&gt;"",IF(INDEX(Raw_D3!$M$2:$M$1001,$AR350)="","",INDEX(Raw_D3!$M$2:$M$1001,$AR350)),"")))</f>
        <v>0</v>
      </c>
      <c r="N350" s="5">
        <f>IF($A350="","",IF($AQ350&lt;&gt;"",IF(INDEX(Raw_D2!$F$2:$F$1001,$AQ350)="","",INDEX(Raw_D2!$F$2:$F$1001,$AQ350)),IF($AR350&lt;&gt;"",IF(INDEX(Raw_D3!$N$2:$N$1001,$AR350)="","",INDEX(Raw_D3!$N$2:$N$1001,$AR350)),"")))</f>
        <v>6</v>
      </c>
      <c r="O350" s="5">
        <f>IF($A350="","",IF($AQ350&lt;&gt;"",IF(INDEX(Raw_D2!$G$2:$G$1001,$AQ350)="","",INDEX(Raw_D2!$G$2:$G$1001,$AQ350)),IF($AR350&lt;&gt;"",IF(INDEX(Raw_D3!$O$2:$O$1001,$AR350)="","",INDEX(Raw_D3!$O$2:$O$1001,$AR350)),"")))</f>
        <v>33</v>
      </c>
      <c r="P350" s="5">
        <f>IF($A350="","",IF($AQ350&lt;&gt;"",IF(INDEX(Raw_D2!$H$2:$H$1001,$AQ350)="","",INDEX(Raw_D2!$H$2:$H$1001,$AQ350)),IF($AR350&lt;&gt;"",IF(INDEX(Raw_D3!$P$2:$P$1001,$AR350)="","",INDEX(Raw_D3!$P$2:$P$1001,$AR350)),"")))</f>
        <v>39</v>
      </c>
      <c r="Q350" s="5" t="str">
        <f>IF($A350="","",IF(AND($AP350&lt;&gt;"",$AQ350&lt;&gt;""),"D1+D2",IF($AR350&lt;&gt;"","D3","Incomplete")))</f>
        <v>D1+D2</v>
      </c>
      <c r="R350" s="17">
        <f>IF($A350="","",IF($K350="",IF($J350="","",ROUND(Lookups!$K$5+Lookups!$K$4*$J350,4)),$K350))</f>
        <v>0.303</v>
      </c>
      <c r="S350" s="5" t="str">
        <f>IF($A350="","",IF($K350="","Imputed","Original"))</f>
        <v>Original</v>
      </c>
      <c r="T350" s="5" t="str">
        <f>IF($A350="","",IF($P350="","Missing",IF($P350=$N350+$O350,"OK","Mismatch")))</f>
        <v>OK</v>
      </c>
      <c r="U350" s="5" t="str">
        <f>IF($A350="","",IF(COUNTIF($A$2:$A350,$A350)&gt;1,"Duplicate","Unique"))</f>
        <v>Unique</v>
      </c>
      <c r="V350" s="5">
        <f>IF($A350="","",IF(AND($U350="Unique",ISNUMBER($P350)),1,0))</f>
        <v>1</v>
      </c>
      <c r="W350" s="5" t="str">
        <f>IF($A350="","",IF(OR($H350=0,$H350=6),"Weekend","Weekday"))</f>
        <v>Weekend</v>
      </c>
      <c r="X350" s="5" t="str">
        <f>IF($A350="","",TEXT($B350,"ddd"))</f>
        <v>Sun</v>
      </c>
      <c r="Y350" s="5" t="str">
        <f>IF($A350="","",TEXT($B350,"mmm"))</f>
        <v>Jan</v>
      </c>
      <c r="Z350" s="5" t="str">
        <f>IF($A350="","",IFERROR(VLOOKUP($C350,Lookups!$D$4:$E$7,2,FALSE),"Unknown"))</f>
        <v>Winter</v>
      </c>
      <c r="AA350" s="5" t="str">
        <f>IF($A350="","",IFERROR(VLOOKUP($I350,Lookups!$A$4:$B$7,2,FALSE),"Unknown"))</f>
        <v>Clear</v>
      </c>
      <c r="AB350" s="5" t="str">
        <f>IF($A350="","",TEXT($F350,"00")&amp;":00")</f>
        <v>00:00</v>
      </c>
      <c r="AC350" s="5" t="str">
        <f>IF($A350="","",VLOOKUP($F350,Lookups!$G$4:$H$8,2,TRUE))</f>
        <v>Night (00-05)</v>
      </c>
      <c r="AD350" s="18">
        <f>IF($A350="","",IF($J350="","",ROUND($J350*41,1)))</f>
        <v>10.7</v>
      </c>
      <c r="AE350" s="18">
        <f>IF($A350="","",IF($R350="","",ROUND($R350*50,1)))</f>
        <v>15.2</v>
      </c>
      <c r="AF350" s="5">
        <f>IF($A350="","",IF($L350="","",ROUND($L350*100,0)))</f>
        <v>56</v>
      </c>
      <c r="AG350" s="18">
        <f>IF($A350="","",IF($M350="","",ROUND($M350*67,1)))</f>
        <v>0</v>
      </c>
      <c r="AH350" s="19">
        <f>IF($A350="","",IF($P350="","",IF($P350=0,0,$O350/$P350)))</f>
        <v>0.846153846153846</v>
      </c>
      <c r="AI350" s="5" t="str">
        <f>IF($A350="","",IF($P350="","",IF($P350&gt;=Lookups!$K$7,"High",IF($P350&lt;=Lookups!$K$8,"Low","Medium"))))</f>
        <v>Medium</v>
      </c>
      <c r="AJ350" s="5" t="str">
        <f>IF($A350="","",IF($AD350="","",IF($AD350&lt;5,"Under 5 C",IF($AD350&lt;10,"5-10 C",IF($AD350&lt;15,"10-15 C","15 C and above")))))</f>
        <v>10-15 C</v>
      </c>
      <c r="AK350" s="5">
        <f>IF($A350="","",IF($P350="","",$P350^2))</f>
        <v>1521</v>
      </c>
      <c r="AL350" s="18">
        <f>IF($V350&lt;&gt;1,"",AVERAGEIFS(Clean_Data!$P$2:$P$1001,Clean_Data!$F$2:$F$1001,$F350,Clean_Data!$W$2:$W$1001,$W350,Clean_Data!$V$2:$V$1001,1))</f>
        <v>28.0714285714286</v>
      </c>
      <c r="AM350" s="16">
        <f>IF($V350&lt;&gt;1,"",IFERROR(($P350-$AL350)/SQRT(MAX(0,(SUMIFS(Clean_Data!$AK$2:$AK$1001,Clean_Data!$F$2:$F$1001,$F350,Clean_Data!$W$2:$W$1001,$W350,Clean_Data!$V$2:$V$1001,1)-COUNTIFS(Clean_Data!$F$2:$F$1001,$F350,Clean_Data!$W$2:$W$1001,$W350,Clean_Data!$V$2:$V$1001,1)*$AL350^2)/(COUNTIFS(Clean_Data!$F$2:$F$1001,$F350,Clean_Data!$W$2:$W$1001,$W350,Clean_Data!$V$2:$V$1001,1)-1))),""))</f>
        <v>1.21202688175174</v>
      </c>
      <c r="AN350" s="5" t="str">
        <f>IF($AM350="","",IF($AM350&gt;=Lookups!$K$6,"High spike",IF($AM350&lt;=-Lookups!$K$6,"Unusual low","Normal")))</f>
        <v>Normal</v>
      </c>
      <c r="AO350" s="20">
        <f>IF($V350&lt;&gt;1,"",$P350+ROW()/100000)</f>
        <v>39.0035</v>
      </c>
      <c r="AP350" s="5">
        <f>IF($A350="","",IFERROR(MATCH($A350,Raw_D1!$A$2:$A$1001,0),""))</f>
        <v>349</v>
      </c>
      <c r="AQ350" s="5">
        <f>IF($A350="","",IFERROR(MATCH($A350,Raw_D2!$B$2:$B$1001,0),""))</f>
        <v>349</v>
      </c>
      <c r="AR350" s="5">
        <f>IF($A350="","",IFERROR(MATCH($A350,Raw_D3!$A$2:$A$1001,0),""))</f>
        <v/>
      </c>
    </row>
    <row r="351" spans="1:44" x14ac:dyDescent="0.25">
      <c r="A351" s="5">
        <v>350</v>
      </c>
      <c r="B351" s="11">
        <f>IF($A351="","",IF($AP351&lt;&gt;"",INDEX(Raw_D1!$B$2:$B$1001,$AP351),IF($AR351&lt;&gt;"",INDEX(Raw_D3!$B$2:$B$1001,$AR351),"")))</f>
        <v>40559.0</v>
      </c>
      <c r="C351" s="5">
        <f>IF($A351="","",IF($AP351&lt;&gt;"",INDEX(Raw_D1!$C$2:$C$1001,$AP351),IF($AR351&lt;&gt;"",INDEX(Raw_D3!$C$2:$C$1001,$AR351),"")))</f>
        <v>1</v>
      </c>
      <c r="D351" s="5">
        <f>IF($A351="","",IF($AP351&lt;&gt;"",INDEX(Raw_D1!$D$2:$D$1001,$AP351),IF($AR351&lt;&gt;"",INDEX(Raw_D3!$D$2:$D$1001,$AR351),"")))</f>
        <v>0</v>
      </c>
      <c r="E351" s="5">
        <f>IF($A351="","",IF($AP351&lt;&gt;"",INDEX(Raw_D1!$E$2:$E$1001,$AP351),IF($AR351&lt;&gt;"",INDEX(Raw_D3!$E$2:$E$1001,$AR351),"")))</f>
        <v>1</v>
      </c>
      <c r="F351" s="5">
        <f>IF($A351="","",IF($AP351&lt;&gt;"",INDEX(Raw_D1!$F$2:$F$1001,$AP351),IF($AR351&lt;&gt;"",INDEX(Raw_D3!$F$2:$F$1001,$AR351),"")))</f>
        <v>1</v>
      </c>
      <c r="G351" s="5">
        <f>IF($A351="","",IF($AP351&lt;&gt;"",IF(INDEX(Raw_D1!$G$2:$G$1001,$AP351),1,0),IF($AR351&lt;&gt;"",IF(INDEX(Raw_D3!$G$2:$G$1001,$AR351),1,0),"")))</f>
        <v>0</v>
      </c>
      <c r="H351" s="5">
        <f>IF($A351="","",IF($AP351&lt;&gt;"",INDEX(Raw_D1!$H$2:$H$1001,$AP351),IF($AR351&lt;&gt;"",INDEX(Raw_D3!$H$2:$H$1001,$AR351),"")))</f>
        <v>0</v>
      </c>
      <c r="I351" s="5">
        <f>IF($A351="","",IF($AP351&lt;&gt;"",INDEX(Raw_D1!$I$2:$I$1001,$AP351),IF($AR351&lt;&gt;"",INDEX(Raw_D3!$I$2:$I$1001,$AR351),"")))</f>
        <v>1</v>
      </c>
      <c r="J351" s="16">
        <f>IF($A351="","",IF($AP351&lt;&gt;"",INDEX(Raw_D1!$J$2:$J$1001,$AP351),IF($AR351&lt;&gt;"",INDEX(Raw_D3!$J$2:$J$1001,$AR351),"")))</f>
        <v>0.26</v>
      </c>
      <c r="K351" s="17">
        <f>IF($A351="","",IF($AQ351&lt;&gt;"",IF(INDEX(Raw_D2!$C$2:$C$1001,$AQ351)="","",INDEX(Raw_D2!$C$2:$C$1001,$AQ351)),IF($AR351&lt;&gt;"",IF(INDEX(Raw_D3!$K$2:$K$1001,$AR351)="","",INDEX(Raw_D3!$K$2:$K$1001,$AR351)),"")))</f>
        <v>0.2727</v>
      </c>
      <c r="L351" s="16">
        <f>IF($A351="","",IF($AQ351&lt;&gt;"",IF(INDEX(Raw_D2!$D$2:$D$1001,$AQ351)="","",INDEX(Raw_D2!$D$2:$D$1001,$AQ351)),IF($AR351&lt;&gt;"",IF(INDEX(Raw_D3!$L$2:$L$1001,$AR351)="","",INDEX(Raw_D3!$L$2:$L$1001,$AR351)),"")))</f>
        <v>0.56</v>
      </c>
      <c r="M351" s="17">
        <f>IF($A351="","",IF($AQ351&lt;&gt;"",IF(INDEX(Raw_D2!$E$2:$E$1001,$AQ351)="","",INDEX(Raw_D2!$E$2:$E$1001,$AQ351)),IF($AR351&lt;&gt;"",IF(INDEX(Raw_D3!$M$2:$M$1001,$AR351)="","",INDEX(Raw_D3!$M$2:$M$1001,$AR351)),"")))</f>
        <v>0.1343</v>
      </c>
      <c r="N351" s="5">
        <f>IF($A351="","",IF($AQ351&lt;&gt;"",IF(INDEX(Raw_D2!$F$2:$F$1001,$AQ351)="","",INDEX(Raw_D2!$F$2:$F$1001,$AQ351)),IF($AR351&lt;&gt;"",IF(INDEX(Raw_D3!$N$2:$N$1001,$AR351)="","",INDEX(Raw_D3!$N$2:$N$1001,$AR351)),"")))</f>
        <v>4</v>
      </c>
      <c r="O351" s="5">
        <f>IF($A351="","",IF($AQ351&lt;&gt;"",IF(INDEX(Raw_D2!$G$2:$G$1001,$AQ351)="","",INDEX(Raw_D2!$G$2:$G$1001,$AQ351)),IF($AR351&lt;&gt;"",IF(INDEX(Raw_D3!$O$2:$O$1001,$AR351)="","",INDEX(Raw_D3!$O$2:$O$1001,$AR351)),"")))</f>
        <v>19</v>
      </c>
      <c r="P351" s="5">
        <f>IF($A351="","",IF($AQ351&lt;&gt;"",IF(INDEX(Raw_D2!$H$2:$H$1001,$AQ351)="","",INDEX(Raw_D2!$H$2:$H$1001,$AQ351)),IF($AR351&lt;&gt;"",IF(INDEX(Raw_D3!$P$2:$P$1001,$AR351)="","",INDEX(Raw_D3!$P$2:$P$1001,$AR351)),"")))</f>
        <v>23</v>
      </c>
      <c r="Q351" s="5" t="str">
        <f>IF($A351="","",IF(AND($AP351&lt;&gt;"",$AQ351&lt;&gt;""),"D1+D2",IF($AR351&lt;&gt;"","D3","Incomplete")))</f>
        <v>D1+D2</v>
      </c>
      <c r="R351" s="17">
        <f>IF($A351="","",IF($K351="",IF($J351="","",ROUND(Lookups!$K$5+Lookups!$K$4*$J351,4)),$K351))</f>
        <v>0.2727</v>
      </c>
      <c r="S351" s="5" t="str">
        <f>IF($A351="","",IF($K351="","Imputed","Original"))</f>
        <v>Original</v>
      </c>
      <c r="T351" s="5" t="str">
        <f>IF($A351="","",IF($P351="","Missing",IF($P351=$N351+$O351,"OK","Mismatch")))</f>
        <v>OK</v>
      </c>
      <c r="U351" s="5" t="str">
        <f>IF($A351="","",IF(COUNTIF($A$2:$A351,$A351)&gt;1,"Duplicate","Unique"))</f>
        <v>Unique</v>
      </c>
      <c r="V351" s="5">
        <f>IF($A351="","",IF(AND($U351="Unique",ISNUMBER($P351)),1,0))</f>
        <v>1</v>
      </c>
      <c r="W351" s="5" t="str">
        <f>IF($A351="","",IF(OR($H351=0,$H351=6),"Weekend","Weekday"))</f>
        <v>Weekend</v>
      </c>
      <c r="X351" s="5" t="str">
        <f>IF($A351="","",TEXT($B351,"ddd"))</f>
        <v>Sun</v>
      </c>
      <c r="Y351" s="5" t="str">
        <f>IF($A351="","",TEXT($B351,"mmm"))</f>
        <v>Jan</v>
      </c>
      <c r="Z351" s="5" t="str">
        <f>IF($A351="","",IFERROR(VLOOKUP($C351,Lookups!$D$4:$E$7,2,FALSE),"Unknown"))</f>
        <v>Winter</v>
      </c>
      <c r="AA351" s="5" t="str">
        <f>IF($A351="","",IFERROR(VLOOKUP($I351,Lookups!$A$4:$B$7,2,FALSE),"Unknown"))</f>
        <v>Clear</v>
      </c>
      <c r="AB351" s="5" t="str">
        <f>IF($A351="","",TEXT($F351,"00")&amp;":00")</f>
        <v>01:00</v>
      </c>
      <c r="AC351" s="5" t="str">
        <f>IF($A351="","",VLOOKUP($F351,Lookups!$G$4:$H$8,2,TRUE))</f>
        <v>Night (00-05)</v>
      </c>
      <c r="AD351" s="18">
        <f>IF($A351="","",IF($J351="","",ROUND($J351*41,1)))</f>
        <v>10.7</v>
      </c>
      <c r="AE351" s="18">
        <f>IF($A351="","",IF($R351="","",ROUND($R351*50,1)))</f>
        <v>13.6</v>
      </c>
      <c r="AF351" s="5">
        <f>IF($A351="","",IF($L351="","",ROUND($L351*100,0)))</f>
        <v>56</v>
      </c>
      <c r="AG351" s="18">
        <f>IF($A351="","",IF($M351="","",ROUND($M351*67,1)))</f>
        <v>9</v>
      </c>
      <c r="AH351" s="19">
        <f>IF($A351="","",IF($P351="","",IF($P351=0,0,$O351/$P351)))</f>
        <v>0.826086956521739</v>
      </c>
      <c r="AI351" s="5" t="str">
        <f>IF($A351="","",IF($P351="","",IF($P351&gt;=Lookups!$K$7,"High",IF($P351&lt;=Lookups!$K$8,"Low","Medium"))))</f>
        <v>Medium</v>
      </c>
      <c r="AJ351" s="5" t="str">
        <f>IF($A351="","",IF($AD351="","",IF($AD351&lt;5,"Under 5 C",IF($AD351&lt;10,"5-10 C",IF($AD351&lt;15,"10-15 C","15 C and above")))))</f>
        <v>10-15 C</v>
      </c>
      <c r="AK351" s="5">
        <f>IF($A351="","",IF($P351="","",$P351^2))</f>
        <v>529</v>
      </c>
      <c r="AL351" s="18">
        <f>IF($V351&lt;&gt;1,"",AVERAGEIFS(Clean_Data!$P$2:$P$1001,Clean_Data!$F$2:$F$1001,$F351,Clean_Data!$W$2:$W$1001,$W351,Clean_Data!$V$2:$V$1001,1))</f>
        <v>22.2857142857143</v>
      </c>
      <c r="AM351" s="16">
        <f>IF($V351&lt;&gt;1,"",IFERROR(($P351-$AL351)/SQRT(MAX(0,(SUMIFS(Clean_Data!$AK$2:$AK$1001,Clean_Data!$F$2:$F$1001,$F351,Clean_Data!$W$2:$W$1001,$W351,Clean_Data!$V$2:$V$1001,1)-COUNTIFS(Clean_Data!$F$2:$F$1001,$F351,Clean_Data!$W$2:$W$1001,$W351,Clean_Data!$V$2:$V$1001,1)*$AL351^2)/(COUNTIFS(Clean_Data!$F$2:$F$1001,$F351,Clean_Data!$W$2:$W$1001,$W351,Clean_Data!$V$2:$V$1001,1)-1))),""))</f>
        <v>0.0734073954651709</v>
      </c>
      <c r="AN351" s="5" t="str">
        <f>IF($AM351="","",IF($AM351&gt;=Lookups!$K$6,"High spike",IF($AM351&lt;=-Lookups!$K$6,"Unusual low","Normal")))</f>
        <v>Normal</v>
      </c>
      <c r="AO351" s="20">
        <f>IF($V351&lt;&gt;1,"",$P351+ROW()/100000)</f>
        <v>23.00351</v>
      </c>
      <c r="AP351" s="5">
        <f>IF($A351="","",IFERROR(MATCH($A351,Raw_D1!$A$2:$A$1001,0),""))</f>
        <v>350</v>
      </c>
      <c r="AQ351" s="5">
        <f>IF($A351="","",IFERROR(MATCH($A351,Raw_D2!$B$2:$B$1001,0),""))</f>
        <v>350</v>
      </c>
      <c r="AR351" s="5">
        <f>IF($A351="","",IFERROR(MATCH($A351,Raw_D3!$A$2:$A$1001,0),""))</f>
        <v/>
      </c>
    </row>
    <row r="352" spans="1:44" x14ac:dyDescent="0.25">
      <c r="A352" s="5">
        <v>351</v>
      </c>
      <c r="B352" s="11">
        <f>IF($A352="","",IF($AP352&lt;&gt;"",INDEX(Raw_D1!$B$2:$B$1001,$AP352),IF($AR352&lt;&gt;"",INDEX(Raw_D3!$B$2:$B$1001,$AR352),"")))</f>
        <v>40559.0</v>
      </c>
      <c r="C352" s="5">
        <f>IF($A352="","",IF($AP352&lt;&gt;"",INDEX(Raw_D1!$C$2:$C$1001,$AP352),IF($AR352&lt;&gt;"",INDEX(Raw_D3!$C$2:$C$1001,$AR352),"")))</f>
        <v>1</v>
      </c>
      <c r="D352" s="5">
        <f>IF($A352="","",IF($AP352&lt;&gt;"",INDEX(Raw_D1!$D$2:$D$1001,$AP352),IF($AR352&lt;&gt;"",INDEX(Raw_D3!$D$2:$D$1001,$AR352),"")))</f>
        <v>0</v>
      </c>
      <c r="E352" s="5">
        <f>IF($A352="","",IF($AP352&lt;&gt;"",INDEX(Raw_D1!$E$2:$E$1001,$AP352),IF($AR352&lt;&gt;"",INDEX(Raw_D3!$E$2:$E$1001,$AR352),"")))</f>
        <v>1</v>
      </c>
      <c r="F352" s="5">
        <f>IF($A352="","",IF($AP352&lt;&gt;"",INDEX(Raw_D1!$F$2:$F$1001,$AP352),IF($AR352&lt;&gt;"",INDEX(Raw_D3!$F$2:$F$1001,$AR352),"")))</f>
        <v>2</v>
      </c>
      <c r="G352" s="5">
        <f>IF($A352="","",IF($AP352&lt;&gt;"",IF(INDEX(Raw_D1!$G$2:$G$1001,$AP352),1,0),IF($AR352&lt;&gt;"",IF(INDEX(Raw_D3!$G$2:$G$1001,$AR352),1,0),"")))</f>
        <v>0</v>
      </c>
      <c r="H352" s="5">
        <f>IF($A352="","",IF($AP352&lt;&gt;"",INDEX(Raw_D1!$H$2:$H$1001,$AP352),IF($AR352&lt;&gt;"",INDEX(Raw_D3!$H$2:$H$1001,$AR352),"")))</f>
        <v>0</v>
      </c>
      <c r="I352" s="5">
        <f>IF($A352="","",IF($AP352&lt;&gt;"",INDEX(Raw_D1!$I$2:$I$1001,$AP352),IF($AR352&lt;&gt;"",INDEX(Raw_D3!$I$2:$I$1001,$AR352),"")))</f>
        <v>1</v>
      </c>
      <c r="J352" s="16">
        <f>IF($A352="","",IF($AP352&lt;&gt;"",INDEX(Raw_D1!$J$2:$J$1001,$AP352),IF($AR352&lt;&gt;"",INDEX(Raw_D3!$J$2:$J$1001,$AR352),"")))</f>
        <v>0.26</v>
      </c>
      <c r="K352" s="17">
        <f>IF($A352="","",IF($AQ352&lt;&gt;"",IF(INDEX(Raw_D2!$C$2:$C$1001,$AQ352)="","",INDEX(Raw_D2!$C$2:$C$1001,$AQ352)),IF($AR352&lt;&gt;"",IF(INDEX(Raw_D3!$K$2:$K$1001,$AR352)="","",INDEX(Raw_D3!$K$2:$K$1001,$AR352)),"")))</f>
        <v>0.2879</v>
      </c>
      <c r="L352" s="16">
        <f>IF($A352="","",IF($AQ352&lt;&gt;"",IF(INDEX(Raw_D2!$D$2:$D$1001,$AQ352)="","",INDEX(Raw_D2!$D$2:$D$1001,$AQ352)),IF($AR352&lt;&gt;"",IF(INDEX(Raw_D3!$L$2:$L$1001,$AR352)="","",INDEX(Raw_D3!$L$2:$L$1001,$AR352)),"")))</f>
        <v>0.56</v>
      </c>
      <c r="M352" s="17">
        <f>IF($A352="","",IF($AQ352&lt;&gt;"",IF(INDEX(Raw_D2!$E$2:$E$1001,$AQ352)="","",INDEX(Raw_D2!$E$2:$E$1001,$AQ352)),IF($AR352&lt;&gt;"",IF(INDEX(Raw_D3!$M$2:$M$1001,$AR352)="","",INDEX(Raw_D3!$M$2:$M$1001,$AR352)),"")))</f>
        <v>0.0896</v>
      </c>
      <c r="N352" s="5">
        <f>IF($A352="","",IF($AQ352&lt;&gt;"",IF(INDEX(Raw_D2!$F$2:$F$1001,$AQ352)="","",INDEX(Raw_D2!$F$2:$F$1001,$AQ352)),IF($AR352&lt;&gt;"",IF(INDEX(Raw_D3!$N$2:$N$1001,$AR352)="","",INDEX(Raw_D3!$N$2:$N$1001,$AR352)),"")))</f>
        <v>3</v>
      </c>
      <c r="O352" s="5">
        <f>IF($A352="","",IF($AQ352&lt;&gt;"",IF(INDEX(Raw_D2!$G$2:$G$1001,$AQ352)="","",INDEX(Raw_D2!$G$2:$G$1001,$AQ352)),IF($AR352&lt;&gt;"",IF(INDEX(Raw_D3!$O$2:$O$1001,$AR352)="","",INDEX(Raw_D3!$O$2:$O$1001,$AR352)),"")))</f>
        <v>13</v>
      </c>
      <c r="P352" s="5">
        <f>IF($A352="","",IF($AQ352&lt;&gt;"",IF(INDEX(Raw_D2!$H$2:$H$1001,$AQ352)="","",INDEX(Raw_D2!$H$2:$H$1001,$AQ352)),IF($AR352&lt;&gt;"",IF(INDEX(Raw_D3!$P$2:$P$1001,$AR352)="","",INDEX(Raw_D3!$P$2:$P$1001,$AR352)),"")))</f>
        <v>16</v>
      </c>
      <c r="Q352" s="5" t="str">
        <f>IF($A352="","",IF(AND($AP352&lt;&gt;"",$AQ352&lt;&gt;""),"D1+D2",IF($AR352&lt;&gt;"","D3","Incomplete")))</f>
        <v>D1+D2</v>
      </c>
      <c r="R352" s="17">
        <f>IF($A352="","",IF($K352="",IF($J352="","",ROUND(Lookups!$K$5+Lookups!$K$4*$J352,4)),$K352))</f>
        <v>0.2879</v>
      </c>
      <c r="S352" s="5" t="str">
        <f>IF($A352="","",IF($K352="","Imputed","Original"))</f>
        <v>Original</v>
      </c>
      <c r="T352" s="5" t="str">
        <f>IF($A352="","",IF($P352="","Missing",IF($P352=$N352+$O352,"OK","Mismatch")))</f>
        <v>OK</v>
      </c>
      <c r="U352" s="5" t="str">
        <f>IF($A352="","",IF(COUNTIF($A$2:$A352,$A352)&gt;1,"Duplicate","Unique"))</f>
        <v>Unique</v>
      </c>
      <c r="V352" s="5">
        <f>IF($A352="","",IF(AND($U352="Unique",ISNUMBER($P352)),1,0))</f>
        <v>1</v>
      </c>
      <c r="W352" s="5" t="str">
        <f>IF($A352="","",IF(OR($H352=0,$H352=6),"Weekend","Weekday"))</f>
        <v>Weekend</v>
      </c>
      <c r="X352" s="5" t="str">
        <f>IF($A352="","",TEXT($B352,"ddd"))</f>
        <v>Sun</v>
      </c>
      <c r="Y352" s="5" t="str">
        <f>IF($A352="","",TEXT($B352,"mmm"))</f>
        <v>Jan</v>
      </c>
      <c r="Z352" s="5" t="str">
        <f>IF($A352="","",IFERROR(VLOOKUP($C352,Lookups!$D$4:$E$7,2,FALSE),"Unknown"))</f>
        <v>Winter</v>
      </c>
      <c r="AA352" s="5" t="str">
        <f>IF($A352="","",IFERROR(VLOOKUP($I352,Lookups!$A$4:$B$7,2,FALSE),"Unknown"))</f>
        <v>Clear</v>
      </c>
      <c r="AB352" s="5" t="str">
        <f>IF($A352="","",TEXT($F352,"00")&amp;":00")</f>
        <v>02:00</v>
      </c>
      <c r="AC352" s="5" t="str">
        <f>IF($A352="","",VLOOKUP($F352,Lookups!$G$4:$H$8,2,TRUE))</f>
        <v>Night (00-05)</v>
      </c>
      <c r="AD352" s="18">
        <f>IF($A352="","",IF($J352="","",ROUND($J352*41,1)))</f>
        <v>10.7</v>
      </c>
      <c r="AE352" s="18">
        <f>IF($A352="","",IF($R352="","",ROUND($R352*50,1)))</f>
        <v>14.4</v>
      </c>
      <c r="AF352" s="5">
        <f>IF($A352="","",IF($L352="","",ROUND($L352*100,0)))</f>
        <v>56</v>
      </c>
      <c r="AG352" s="18">
        <f>IF($A352="","",IF($M352="","",ROUND($M352*67,1)))</f>
        <v>6</v>
      </c>
      <c r="AH352" s="19">
        <f>IF($A352="","",IF($P352="","",IF($P352=0,0,$O352/$P352)))</f>
        <v>0.8125</v>
      </c>
      <c r="AI352" s="5" t="str">
        <f>IF($A352="","",IF($P352="","",IF($P352&gt;=Lookups!$K$7,"High",IF($P352&lt;=Lookups!$K$8,"Low","Medium"))))</f>
        <v>Low</v>
      </c>
      <c r="AJ352" s="5" t="str">
        <f>IF($A352="","",IF($AD352="","",IF($AD352&lt;5,"Under 5 C",IF($AD352&lt;10,"5-10 C",IF($AD352&lt;15,"10-15 C","15 C and above")))))</f>
        <v>10-15 C</v>
      </c>
      <c r="AK352" s="5">
        <f>IF($A352="","",IF($P352="","",$P352^2))</f>
        <v>256</v>
      </c>
      <c r="AL352" s="18">
        <f>IF($V352&lt;&gt;1,"",AVERAGEIFS(Clean_Data!$P$2:$P$1001,Clean_Data!$F$2:$F$1001,$F352,Clean_Data!$W$2:$W$1001,$W352,Clean_Data!$V$2:$V$1001,1))</f>
        <v>15.9285714285714</v>
      </c>
      <c r="AM352" s="16">
        <f>IF($V352&lt;&gt;1,"",IFERROR(($P352-$AL352)/SQRT(MAX(0,(SUMIFS(Clean_Data!$AK$2:$AK$1001,Clean_Data!$F$2:$F$1001,$F352,Clean_Data!$W$2:$W$1001,$W352,Clean_Data!$V$2:$V$1001,1)-COUNTIFS(Clean_Data!$F$2:$F$1001,$F352,Clean_Data!$W$2:$W$1001,$W352,Clean_Data!$V$2:$V$1001,1)*$AL352^2)/(COUNTIFS(Clean_Data!$F$2:$F$1001,$F352,Clean_Data!$W$2:$W$1001,$W352,Clean_Data!$V$2:$V$1001,1)-1))),""))</f>
        <v>0.0123490819107601</v>
      </c>
      <c r="AN352" s="5" t="str">
        <f>IF($AM352="","",IF($AM352&gt;=Lookups!$K$6,"High spike",IF($AM352&lt;=-Lookups!$K$6,"Unusual low","Normal")))</f>
        <v>Normal</v>
      </c>
      <c r="AO352" s="20">
        <f>IF($V352&lt;&gt;1,"",$P352+ROW()/100000)</f>
        <v>16.00352</v>
      </c>
      <c r="AP352" s="5">
        <f>IF($A352="","",IFERROR(MATCH($A352,Raw_D1!$A$2:$A$1001,0),""))</f>
        <v>351</v>
      </c>
      <c r="AQ352" s="5">
        <f>IF($A352="","",IFERROR(MATCH($A352,Raw_D2!$B$2:$B$1001,0),""))</f>
        <v>351</v>
      </c>
      <c r="AR352" s="5">
        <f>IF($A352="","",IFERROR(MATCH($A352,Raw_D3!$A$2:$A$1001,0),""))</f>
        <v/>
      </c>
    </row>
    <row r="353" spans="1:44" x14ac:dyDescent="0.25">
      <c r="A353" s="5">
        <v>352</v>
      </c>
      <c r="B353" s="11">
        <f>IF($A353="","",IF($AP353&lt;&gt;"",INDEX(Raw_D1!$B$2:$B$1001,$AP353),IF($AR353&lt;&gt;"",INDEX(Raw_D3!$B$2:$B$1001,$AR353),"")))</f>
        <v>40559.0</v>
      </c>
      <c r="C353" s="5">
        <f>IF($A353="","",IF($AP353&lt;&gt;"",INDEX(Raw_D1!$C$2:$C$1001,$AP353),IF($AR353&lt;&gt;"",INDEX(Raw_D3!$C$2:$C$1001,$AR353),"")))</f>
        <v>1</v>
      </c>
      <c r="D353" s="5">
        <f>IF($A353="","",IF($AP353&lt;&gt;"",INDEX(Raw_D1!$D$2:$D$1001,$AP353),IF($AR353&lt;&gt;"",INDEX(Raw_D3!$D$2:$D$1001,$AR353),"")))</f>
        <v>0</v>
      </c>
      <c r="E353" s="5">
        <f>IF($A353="","",IF($AP353&lt;&gt;"",INDEX(Raw_D1!$E$2:$E$1001,$AP353),IF($AR353&lt;&gt;"",INDEX(Raw_D3!$E$2:$E$1001,$AR353),"")))</f>
        <v>1</v>
      </c>
      <c r="F353" s="5">
        <f>IF($A353="","",IF($AP353&lt;&gt;"",INDEX(Raw_D1!$F$2:$F$1001,$AP353),IF($AR353&lt;&gt;"",INDEX(Raw_D3!$F$2:$F$1001,$AR353),"")))</f>
        <v>3</v>
      </c>
      <c r="G353" s="5">
        <f>IF($A353="","",IF($AP353&lt;&gt;"",IF(INDEX(Raw_D1!$G$2:$G$1001,$AP353),1,0),IF($AR353&lt;&gt;"",IF(INDEX(Raw_D3!$G$2:$G$1001,$AR353),1,0),"")))</f>
        <v>0</v>
      </c>
      <c r="H353" s="5">
        <f>IF($A353="","",IF($AP353&lt;&gt;"",INDEX(Raw_D1!$H$2:$H$1001,$AP353),IF($AR353&lt;&gt;"",INDEX(Raw_D3!$H$2:$H$1001,$AR353),"")))</f>
        <v>0</v>
      </c>
      <c r="I353" s="5">
        <f>IF($A353="","",IF($AP353&lt;&gt;"",INDEX(Raw_D1!$I$2:$I$1001,$AP353),IF($AR353&lt;&gt;"",INDEX(Raw_D3!$I$2:$I$1001,$AR353),"")))</f>
        <v>1</v>
      </c>
      <c r="J353" s="16">
        <f>IF($A353="","",IF($AP353&lt;&gt;"",INDEX(Raw_D1!$J$2:$J$1001,$AP353),IF($AR353&lt;&gt;"",INDEX(Raw_D3!$J$2:$J$1001,$AR353),"")))</f>
        <v>0.22</v>
      </c>
      <c r="K353" s="17">
        <f>IF($A353="","",IF($AQ353&lt;&gt;"",IF(INDEX(Raw_D2!$C$2:$C$1001,$AQ353)="","",INDEX(Raw_D2!$C$2:$C$1001,$AQ353)),IF($AR353&lt;&gt;"",IF(INDEX(Raw_D3!$K$2:$K$1001,$AR353)="","",INDEX(Raw_D3!$K$2:$K$1001,$AR353)),"")))</f>
        <v>0.2727</v>
      </c>
      <c r="L353" s="16">
        <f>IF($A353="","",IF($AQ353&lt;&gt;"",IF(INDEX(Raw_D2!$D$2:$D$1001,$AQ353)="","",INDEX(Raw_D2!$D$2:$D$1001,$AQ353)),IF($AR353&lt;&gt;"",IF(INDEX(Raw_D3!$L$2:$L$1001,$AR353)="","",INDEX(Raw_D3!$L$2:$L$1001,$AR353)),"")))</f>
        <v>0.69</v>
      </c>
      <c r="M353" s="17">
        <f>IF($A353="","",IF($AQ353&lt;&gt;"",IF(INDEX(Raw_D2!$E$2:$E$1001,$AQ353)="","",INDEX(Raw_D2!$E$2:$E$1001,$AQ353)),IF($AR353&lt;&gt;"",IF(INDEX(Raw_D3!$M$2:$M$1001,$AR353)="","",INDEX(Raw_D3!$M$2:$M$1001,$AR353)),"")))</f>
        <v>0</v>
      </c>
      <c r="N353" s="5">
        <f>IF($A353="","",IF($AQ353&lt;&gt;"",IF(INDEX(Raw_D2!$F$2:$F$1001,$AQ353)="","",INDEX(Raw_D2!$F$2:$F$1001,$AQ353)),IF($AR353&lt;&gt;"",IF(INDEX(Raw_D3!$N$2:$N$1001,$AR353)="","",INDEX(Raw_D3!$N$2:$N$1001,$AR353)),"")))</f>
        <v>9</v>
      </c>
      <c r="O353" s="5">
        <f>IF($A353="","",IF($AQ353&lt;&gt;"",IF(INDEX(Raw_D2!$G$2:$G$1001,$AQ353)="","",INDEX(Raw_D2!$G$2:$G$1001,$AQ353)),IF($AR353&lt;&gt;"",IF(INDEX(Raw_D3!$O$2:$O$1001,$AR353)="","",INDEX(Raw_D3!$O$2:$O$1001,$AR353)),"")))</f>
        <v>6</v>
      </c>
      <c r="P353" s="5">
        <f>IF($A353="","",IF($AQ353&lt;&gt;"",IF(INDEX(Raw_D2!$H$2:$H$1001,$AQ353)="","",INDEX(Raw_D2!$H$2:$H$1001,$AQ353)),IF($AR353&lt;&gt;"",IF(INDEX(Raw_D3!$P$2:$P$1001,$AR353)="","",INDEX(Raw_D3!$P$2:$P$1001,$AR353)),"")))</f>
        <v>15</v>
      </c>
      <c r="Q353" s="5" t="str">
        <f>IF($A353="","",IF(AND($AP353&lt;&gt;"",$AQ353&lt;&gt;""),"D1+D2",IF($AR353&lt;&gt;"","D3","Incomplete")))</f>
        <v>D1+D2</v>
      </c>
      <c r="R353" s="17">
        <f>IF($A353="","",IF($K353="",IF($J353="","",ROUND(Lookups!$K$5+Lookups!$K$4*$J353,4)),$K353))</f>
        <v>0.2727</v>
      </c>
      <c r="S353" s="5" t="str">
        <f>IF($A353="","",IF($K353="","Imputed","Original"))</f>
        <v>Original</v>
      </c>
      <c r="T353" s="5" t="str">
        <f>IF($A353="","",IF($P353="","Missing",IF($P353=$N353+$O353,"OK","Mismatch")))</f>
        <v>OK</v>
      </c>
      <c r="U353" s="5" t="str">
        <f>IF($A353="","",IF(COUNTIF($A$2:$A353,$A353)&gt;1,"Duplicate","Unique"))</f>
        <v>Unique</v>
      </c>
      <c r="V353" s="5">
        <f>IF($A353="","",IF(AND($U353="Unique",ISNUMBER($P353)),1,0))</f>
        <v>1</v>
      </c>
      <c r="W353" s="5" t="str">
        <f>IF($A353="","",IF(OR($H353=0,$H353=6),"Weekend","Weekday"))</f>
        <v>Weekend</v>
      </c>
      <c r="X353" s="5" t="str">
        <f>IF($A353="","",TEXT($B353,"ddd"))</f>
        <v>Sun</v>
      </c>
      <c r="Y353" s="5" t="str">
        <f>IF($A353="","",TEXT($B353,"mmm"))</f>
        <v>Jan</v>
      </c>
      <c r="Z353" s="5" t="str">
        <f>IF($A353="","",IFERROR(VLOOKUP($C353,Lookups!$D$4:$E$7,2,FALSE),"Unknown"))</f>
        <v>Winter</v>
      </c>
      <c r="AA353" s="5" t="str">
        <f>IF($A353="","",IFERROR(VLOOKUP($I353,Lookups!$A$4:$B$7,2,FALSE),"Unknown"))</f>
        <v>Clear</v>
      </c>
      <c r="AB353" s="5" t="str">
        <f>IF($A353="","",TEXT($F353,"00")&amp;":00")</f>
        <v>03:00</v>
      </c>
      <c r="AC353" s="5" t="str">
        <f>IF($A353="","",VLOOKUP($F353,Lookups!$G$4:$H$8,2,TRUE))</f>
        <v>Night (00-05)</v>
      </c>
      <c r="AD353" s="18">
        <f>IF($A353="","",IF($J353="","",ROUND($J353*41,1)))</f>
        <v>9</v>
      </c>
      <c r="AE353" s="18">
        <f>IF($A353="","",IF($R353="","",ROUND($R353*50,1)))</f>
        <v>13.6</v>
      </c>
      <c r="AF353" s="5">
        <f>IF($A353="","",IF($L353="","",ROUND($L353*100,0)))</f>
        <v>69</v>
      </c>
      <c r="AG353" s="18">
        <f>IF($A353="","",IF($M353="","",ROUND($M353*67,1)))</f>
        <v>0</v>
      </c>
      <c r="AH353" s="19">
        <f>IF($A353="","",IF($P353="","",IF($P353=0,0,$O353/$P353)))</f>
        <v>0.4</v>
      </c>
      <c r="AI353" s="5" t="str">
        <f>IF($A353="","",IF($P353="","",IF($P353&gt;=Lookups!$K$7,"High",IF($P353&lt;=Lookups!$K$8,"Low","Medium"))))</f>
        <v>Low</v>
      </c>
      <c r="AJ353" s="5" t="str">
        <f>IF($A353="","",IF($AD353="","",IF($AD353&lt;5,"Under 5 C",IF($AD353&lt;10,"5-10 C",IF($AD353&lt;15,"10-15 C","15 C and above")))))</f>
        <v>5-10 C</v>
      </c>
      <c r="AK353" s="5">
        <f>IF($A353="","",IF($P353="","",$P353^2))</f>
        <v>225</v>
      </c>
      <c r="AL353" s="18">
        <f>IF($V353&lt;&gt;1,"",AVERAGEIFS(Clean_Data!$P$2:$P$1001,Clean_Data!$F$2:$F$1001,$F353,Clean_Data!$W$2:$W$1001,$W353,Clean_Data!$V$2:$V$1001,1))</f>
        <v>9.07142857142857</v>
      </c>
      <c r="AM353" s="16">
        <f>IF($V353&lt;&gt;1,"",IFERROR(($P353-$AL353)/SQRT(MAX(0,(SUMIFS(Clean_Data!$AK$2:$AK$1001,Clean_Data!$F$2:$F$1001,$F353,Clean_Data!$W$2:$W$1001,$W353,Clean_Data!$V$2:$V$1001,1)-COUNTIFS(Clean_Data!$F$2:$F$1001,$F353,Clean_Data!$W$2:$W$1001,$W353,Clean_Data!$V$2:$V$1001,1)*$AL353^2)/(COUNTIFS(Clean_Data!$F$2:$F$1001,$F353,Clean_Data!$W$2:$W$1001,$W353,Clean_Data!$V$2:$V$1001,1)-1))),""))</f>
        <v>1.78797814661922</v>
      </c>
      <c r="AN353" s="5" t="str">
        <f>IF($AM353="","",IF($AM353&gt;=Lookups!$K$6,"High spike",IF($AM353&lt;=-Lookups!$K$6,"Unusual low","Normal")))</f>
        <v>Normal</v>
      </c>
      <c r="AO353" s="20">
        <f>IF($V353&lt;&gt;1,"",$P353+ROW()/100000)</f>
        <v>15.00353</v>
      </c>
      <c r="AP353" s="5">
        <f>IF($A353="","",IFERROR(MATCH($A353,Raw_D1!$A$2:$A$1001,0),""))</f>
        <v>352</v>
      </c>
      <c r="AQ353" s="5">
        <f>IF($A353="","",IFERROR(MATCH($A353,Raw_D2!$B$2:$B$1001,0),""))</f>
        <v>352</v>
      </c>
      <c r="AR353" s="5">
        <f>IF($A353="","",IFERROR(MATCH($A353,Raw_D3!$A$2:$A$1001,0),""))</f>
        <v/>
      </c>
    </row>
    <row r="354" spans="1:44" x14ac:dyDescent="0.25">
      <c r="A354" s="5">
        <v>353</v>
      </c>
      <c r="B354" s="11">
        <f>IF($A354="","",IF($AP354&lt;&gt;"",INDEX(Raw_D1!$B$2:$B$1001,$AP354),IF($AR354&lt;&gt;"",INDEX(Raw_D3!$B$2:$B$1001,$AR354),"")))</f>
        <v>40559.0</v>
      </c>
      <c r="C354" s="5">
        <f>IF($A354="","",IF($AP354&lt;&gt;"",INDEX(Raw_D1!$C$2:$C$1001,$AP354),IF($AR354&lt;&gt;"",INDEX(Raw_D3!$C$2:$C$1001,$AR354),"")))</f>
        <v>1</v>
      </c>
      <c r="D354" s="5">
        <f>IF($A354="","",IF($AP354&lt;&gt;"",INDEX(Raw_D1!$D$2:$D$1001,$AP354),IF($AR354&lt;&gt;"",INDEX(Raw_D3!$D$2:$D$1001,$AR354),"")))</f>
        <v>0</v>
      </c>
      <c r="E354" s="5">
        <f>IF($A354="","",IF($AP354&lt;&gt;"",INDEX(Raw_D1!$E$2:$E$1001,$AP354),IF($AR354&lt;&gt;"",INDEX(Raw_D3!$E$2:$E$1001,$AR354),"")))</f>
        <v>1</v>
      </c>
      <c r="F354" s="5">
        <f>IF($A354="","",IF($AP354&lt;&gt;"",INDEX(Raw_D1!$F$2:$F$1001,$AP354),IF($AR354&lt;&gt;"",INDEX(Raw_D3!$F$2:$F$1001,$AR354),"")))</f>
        <v>4</v>
      </c>
      <c r="G354" s="5">
        <f>IF($A354="","",IF($AP354&lt;&gt;"",IF(INDEX(Raw_D1!$G$2:$G$1001,$AP354),1,0),IF($AR354&lt;&gt;"",IF(INDEX(Raw_D3!$G$2:$G$1001,$AR354),1,0),"")))</f>
        <v>0</v>
      </c>
      <c r="H354" s="5">
        <f>IF($A354="","",IF($AP354&lt;&gt;"",INDEX(Raw_D1!$H$2:$H$1001,$AP354),IF($AR354&lt;&gt;"",INDEX(Raw_D3!$H$2:$H$1001,$AR354),"")))</f>
        <v>0</v>
      </c>
      <c r="I354" s="5">
        <f>IF($A354="","",IF($AP354&lt;&gt;"",INDEX(Raw_D1!$I$2:$I$1001,$AP354),IF($AR354&lt;&gt;"",INDEX(Raw_D3!$I$2:$I$1001,$AR354),"")))</f>
        <v>1</v>
      </c>
      <c r="J354" s="16">
        <f>IF($A354="","",IF($AP354&lt;&gt;"",INDEX(Raw_D1!$J$2:$J$1001,$AP354),IF($AR354&lt;&gt;"",INDEX(Raw_D3!$J$2:$J$1001,$AR354),"")))</f>
        <v>0.26</v>
      </c>
      <c r="K354" s="17">
        <f>IF($A354="","",IF($AQ354&lt;&gt;"",IF(INDEX(Raw_D2!$C$2:$C$1001,$AQ354)="","",INDEX(Raw_D2!$C$2:$C$1001,$AQ354)),IF($AR354&lt;&gt;"",IF(INDEX(Raw_D3!$K$2:$K$1001,$AR354)="","",INDEX(Raw_D3!$K$2:$K$1001,$AR354)),"")))</f>
        <v>0.2576</v>
      </c>
      <c r="L354" s="16">
        <f>IF($A354="","",IF($AQ354&lt;&gt;"",IF(INDEX(Raw_D2!$D$2:$D$1001,$AQ354)="","",INDEX(Raw_D2!$D$2:$D$1001,$AQ354)),IF($AR354&lt;&gt;"",IF(INDEX(Raw_D3!$L$2:$L$1001,$AR354)="","",INDEX(Raw_D3!$L$2:$L$1001,$AR354)),"")))</f>
        <v>0.56</v>
      </c>
      <c r="M354" s="17">
        <f>IF($A354="","",IF($AQ354&lt;&gt;"",IF(INDEX(Raw_D2!$E$2:$E$1001,$AQ354)="","",INDEX(Raw_D2!$E$2:$E$1001,$AQ354)),IF($AR354&lt;&gt;"",IF(INDEX(Raw_D3!$M$2:$M$1001,$AR354)="","",INDEX(Raw_D3!$M$2:$M$1001,$AR354)),"")))</f>
        <v>0.1642</v>
      </c>
      <c r="N354" s="5">
        <f>IF($A354="","",IF($AQ354&lt;&gt;"",IF(INDEX(Raw_D2!$F$2:$F$1001,$AQ354)="","",INDEX(Raw_D2!$F$2:$F$1001,$AQ354)),IF($AR354&lt;&gt;"",IF(INDEX(Raw_D3!$N$2:$N$1001,$AR354)="","",INDEX(Raw_D3!$N$2:$N$1001,$AR354)),"")))</f>
        <v>0</v>
      </c>
      <c r="O354" s="5">
        <f>IF($A354="","",IF($AQ354&lt;&gt;"",IF(INDEX(Raw_D2!$G$2:$G$1001,$AQ354)="","",INDEX(Raw_D2!$G$2:$G$1001,$AQ354)),IF($AR354&lt;&gt;"",IF(INDEX(Raw_D3!$O$2:$O$1001,$AR354)="","",INDEX(Raw_D3!$O$2:$O$1001,$AR354)),"")))</f>
        <v>1</v>
      </c>
      <c r="P354" s="5">
        <f>IF($A354="","",IF($AQ354&lt;&gt;"",IF(INDEX(Raw_D2!$H$2:$H$1001,$AQ354)="","",INDEX(Raw_D2!$H$2:$H$1001,$AQ354)),IF($AR354&lt;&gt;"",IF(INDEX(Raw_D3!$P$2:$P$1001,$AR354)="","",INDEX(Raw_D3!$P$2:$P$1001,$AR354)),"")))</f>
        <v>1</v>
      </c>
      <c r="Q354" s="5" t="str">
        <f>IF($A354="","",IF(AND($AP354&lt;&gt;"",$AQ354&lt;&gt;""),"D1+D2",IF($AR354&lt;&gt;"","D3","Incomplete")))</f>
        <v>D1+D2</v>
      </c>
      <c r="R354" s="17">
        <f>IF($A354="","",IF($K354="",IF($J354="","",ROUND(Lookups!$K$5+Lookups!$K$4*$J354,4)),$K354))</f>
        <v>0.2576</v>
      </c>
      <c r="S354" s="5" t="str">
        <f>IF($A354="","",IF($K354="","Imputed","Original"))</f>
        <v>Original</v>
      </c>
      <c r="T354" s="5" t="str">
        <f>IF($A354="","",IF($P354="","Missing",IF($P354=$N354+$O354,"OK","Mismatch")))</f>
        <v>OK</v>
      </c>
      <c r="U354" s="5" t="str">
        <f>IF($A354="","",IF(COUNTIF($A$2:$A354,$A354)&gt;1,"Duplicate","Unique"))</f>
        <v>Unique</v>
      </c>
      <c r="V354" s="5">
        <f>IF($A354="","",IF(AND($U354="Unique",ISNUMBER($P354)),1,0))</f>
        <v>1</v>
      </c>
      <c r="W354" s="5" t="str">
        <f>IF($A354="","",IF(OR($H354=0,$H354=6),"Weekend","Weekday"))</f>
        <v>Weekend</v>
      </c>
      <c r="X354" s="5" t="str">
        <f>IF($A354="","",TEXT($B354,"ddd"))</f>
        <v>Sun</v>
      </c>
      <c r="Y354" s="5" t="str">
        <f>IF($A354="","",TEXT($B354,"mmm"))</f>
        <v>Jan</v>
      </c>
      <c r="Z354" s="5" t="str">
        <f>IF($A354="","",IFERROR(VLOOKUP($C354,Lookups!$D$4:$E$7,2,FALSE),"Unknown"))</f>
        <v>Winter</v>
      </c>
      <c r="AA354" s="5" t="str">
        <f>IF($A354="","",IFERROR(VLOOKUP($I354,Lookups!$A$4:$B$7,2,FALSE),"Unknown"))</f>
        <v>Clear</v>
      </c>
      <c r="AB354" s="5" t="str">
        <f>IF($A354="","",TEXT($F354,"00")&amp;":00")</f>
        <v>04:00</v>
      </c>
      <c r="AC354" s="5" t="str">
        <f>IF($A354="","",VLOOKUP($F354,Lookups!$G$4:$H$8,2,TRUE))</f>
        <v>Night (00-05)</v>
      </c>
      <c r="AD354" s="18">
        <f>IF($A354="","",IF($J354="","",ROUND($J354*41,1)))</f>
        <v>10.7</v>
      </c>
      <c r="AE354" s="18">
        <f>IF($A354="","",IF($R354="","",ROUND($R354*50,1)))</f>
        <v>12.9</v>
      </c>
      <c r="AF354" s="5">
        <f>IF($A354="","",IF($L354="","",ROUND($L354*100,0)))</f>
        <v>56</v>
      </c>
      <c r="AG354" s="18">
        <f>IF($A354="","",IF($M354="","",ROUND($M354*67,1)))</f>
        <v>11</v>
      </c>
      <c r="AH354" s="19">
        <f>IF($A354="","",IF($P354="","",IF($P354=0,0,$O354/$P354)))</f>
        <v>1</v>
      </c>
      <c r="AI354" s="5" t="str">
        <f>IF($A354="","",IF($P354="","",IF($P354&gt;=Lookups!$K$7,"High",IF($P354&lt;=Lookups!$K$8,"Low","Medium"))))</f>
        <v>Low</v>
      </c>
      <c r="AJ354" s="5" t="str">
        <f>IF($A354="","",IF($AD354="","",IF($AD354&lt;5,"Under 5 C",IF($AD354&lt;10,"5-10 C",IF($AD354&lt;15,"10-15 C","15 C and above")))))</f>
        <v>10-15 C</v>
      </c>
      <c r="AK354" s="5">
        <f>IF($A354="","",IF($P354="","",$P354^2))</f>
        <v>1</v>
      </c>
      <c r="AL354" s="18">
        <f>IF($V354&lt;&gt;1,"",AVERAGEIFS(Clean_Data!$P$2:$P$1001,Clean_Data!$F$2:$F$1001,$F354,Clean_Data!$W$2:$W$1001,$W354,Clean_Data!$V$2:$V$1001,1))</f>
        <v>2.69230769230769</v>
      </c>
      <c r="AM354" s="16">
        <f>IF($V354&lt;&gt;1,"",IFERROR(($P354-$AL354)/SQRT(MAX(0,(SUMIFS(Clean_Data!$AK$2:$AK$1001,Clean_Data!$F$2:$F$1001,$F354,Clean_Data!$W$2:$W$1001,$W354,Clean_Data!$V$2:$V$1001,1)-COUNTIFS(Clean_Data!$F$2:$F$1001,$F354,Clean_Data!$W$2:$W$1001,$W354,Clean_Data!$V$2:$V$1001,1)*$AL354^2)/(COUNTIFS(Clean_Data!$F$2:$F$1001,$F354,Clean_Data!$W$2:$W$1001,$W354,Clean_Data!$V$2:$V$1001,1)-1))),""))</f>
        <v>-0.822753351207442</v>
      </c>
      <c r="AN354" s="5" t="str">
        <f>IF($AM354="","",IF($AM354&gt;=Lookups!$K$6,"High spike",IF($AM354&lt;=-Lookups!$K$6,"Unusual low","Normal")))</f>
        <v>Normal</v>
      </c>
      <c r="AO354" s="20">
        <f>IF($V354&lt;&gt;1,"",$P354+ROW()/100000)</f>
        <v>1.00354</v>
      </c>
      <c r="AP354" s="5">
        <f>IF($A354="","",IFERROR(MATCH($A354,Raw_D1!$A$2:$A$1001,0),""))</f>
        <v>353</v>
      </c>
      <c r="AQ354" s="5">
        <f>IF($A354="","",IFERROR(MATCH($A354,Raw_D2!$B$2:$B$1001,0),""))</f>
        <v>353</v>
      </c>
      <c r="AR354" s="5">
        <f>IF($A354="","",IFERROR(MATCH($A354,Raw_D3!$A$2:$A$1001,0),""))</f>
        <v/>
      </c>
    </row>
    <row r="355" spans="1:44" x14ac:dyDescent="0.25">
      <c r="A355" s="5">
        <v>354</v>
      </c>
      <c r="B355" s="11">
        <f>IF($A355="","",IF($AP355&lt;&gt;"",INDEX(Raw_D1!$B$2:$B$1001,$AP355),IF($AR355&lt;&gt;"",INDEX(Raw_D3!$B$2:$B$1001,$AR355),"")))</f>
        <v>40559.0</v>
      </c>
      <c r="C355" s="5">
        <f>IF($A355="","",IF($AP355&lt;&gt;"",INDEX(Raw_D1!$C$2:$C$1001,$AP355),IF($AR355&lt;&gt;"",INDEX(Raw_D3!$C$2:$C$1001,$AR355),"")))</f>
        <v>1</v>
      </c>
      <c r="D355" s="5">
        <f>IF($A355="","",IF($AP355&lt;&gt;"",INDEX(Raw_D1!$D$2:$D$1001,$AP355),IF($AR355&lt;&gt;"",INDEX(Raw_D3!$D$2:$D$1001,$AR355),"")))</f>
        <v>0</v>
      </c>
      <c r="E355" s="5">
        <f>IF($A355="","",IF($AP355&lt;&gt;"",INDEX(Raw_D1!$E$2:$E$1001,$AP355),IF($AR355&lt;&gt;"",INDEX(Raw_D3!$E$2:$E$1001,$AR355),"")))</f>
        <v>1</v>
      </c>
      <c r="F355" s="5">
        <f>IF($A355="","",IF($AP355&lt;&gt;"",INDEX(Raw_D1!$F$2:$F$1001,$AP355),IF($AR355&lt;&gt;"",INDEX(Raw_D3!$F$2:$F$1001,$AR355),"")))</f>
        <v>5</v>
      </c>
      <c r="G355" s="5">
        <f>IF($A355="","",IF($AP355&lt;&gt;"",IF(INDEX(Raw_D1!$G$2:$G$1001,$AP355),1,0),IF($AR355&lt;&gt;"",IF(INDEX(Raw_D3!$G$2:$G$1001,$AR355),1,0),"")))</f>
        <v>0</v>
      </c>
      <c r="H355" s="5">
        <f>IF($A355="","",IF($AP355&lt;&gt;"",INDEX(Raw_D1!$H$2:$H$1001,$AP355),IF($AR355&lt;&gt;"",INDEX(Raw_D3!$H$2:$H$1001,$AR355),"")))</f>
        <v>0</v>
      </c>
      <c r="I355" s="5">
        <f>IF($A355="","",IF($AP355&lt;&gt;"",INDEX(Raw_D1!$I$2:$I$1001,$AP355),IF($AR355&lt;&gt;"",INDEX(Raw_D3!$I$2:$I$1001,$AR355),"")))</f>
        <v>2</v>
      </c>
      <c r="J355" s="16">
        <f>IF($A355="","",IF($AP355&lt;&gt;"",INDEX(Raw_D1!$J$2:$J$1001,$AP355),IF($AR355&lt;&gt;"",INDEX(Raw_D3!$J$2:$J$1001,$AR355),"")))</f>
        <v>0.26</v>
      </c>
      <c r="K355" s="17">
        <f>IF($A355="","",IF($AQ355&lt;&gt;"",IF(INDEX(Raw_D2!$C$2:$C$1001,$AQ355)="","",INDEX(Raw_D2!$C$2:$C$1001,$AQ355)),IF($AR355&lt;&gt;"",IF(INDEX(Raw_D3!$K$2:$K$1001,$AR355)="","",INDEX(Raw_D3!$K$2:$K$1001,$AR355)),"")))</f>
        <v>0.2576</v>
      </c>
      <c r="L355" s="16">
        <f>IF($A355="","",IF($AQ355&lt;&gt;"",IF(INDEX(Raw_D2!$D$2:$D$1001,$AQ355)="","",INDEX(Raw_D2!$D$2:$D$1001,$AQ355)),IF($AR355&lt;&gt;"",IF(INDEX(Raw_D3!$L$2:$L$1001,$AR355)="","",INDEX(Raw_D3!$L$2:$L$1001,$AR355)),"")))</f>
        <v>0.56</v>
      </c>
      <c r="M355" s="17">
        <f>IF($A355="","",IF($AQ355&lt;&gt;"",IF(INDEX(Raw_D2!$E$2:$E$1001,$AQ355)="","",INDEX(Raw_D2!$E$2:$E$1001,$AQ355)),IF($AR355&lt;&gt;"",IF(INDEX(Raw_D3!$M$2:$M$1001,$AR355)="","",INDEX(Raw_D3!$M$2:$M$1001,$AR355)),"")))</f>
        <v>0.1642</v>
      </c>
      <c r="N355" s="5">
        <f>IF($A355="","",IF($AQ355&lt;&gt;"",IF(INDEX(Raw_D2!$F$2:$F$1001,$AQ355)="","",INDEX(Raw_D2!$F$2:$F$1001,$AQ355)),IF($AR355&lt;&gt;"",IF(INDEX(Raw_D3!$N$2:$N$1001,$AR355)="","",INDEX(Raw_D3!$N$2:$N$1001,$AR355)),"")))</f>
        <v>1</v>
      </c>
      <c r="O355" s="5">
        <f>IF($A355="","",IF($AQ355&lt;&gt;"",IF(INDEX(Raw_D2!$G$2:$G$1001,$AQ355)="","",INDEX(Raw_D2!$G$2:$G$1001,$AQ355)),IF($AR355&lt;&gt;"",IF(INDEX(Raw_D3!$O$2:$O$1001,$AR355)="","",INDEX(Raw_D3!$O$2:$O$1001,$AR355)),"")))</f>
        <v>1</v>
      </c>
      <c r="P355" s="5">
        <f>IF($A355="","",IF($AQ355&lt;&gt;"",IF(INDEX(Raw_D2!$H$2:$H$1001,$AQ355)="","",INDEX(Raw_D2!$H$2:$H$1001,$AQ355)),IF($AR355&lt;&gt;"",IF(INDEX(Raw_D3!$P$2:$P$1001,$AR355)="","",INDEX(Raw_D3!$P$2:$P$1001,$AR355)),"")))</f>
        <v>2</v>
      </c>
      <c r="Q355" s="5" t="str">
        <f>IF($A355="","",IF(AND($AP355&lt;&gt;"",$AQ355&lt;&gt;""),"D1+D2",IF($AR355&lt;&gt;"","D3","Incomplete")))</f>
        <v>D1+D2</v>
      </c>
      <c r="R355" s="17">
        <f>IF($A355="","",IF($K355="",IF($J355="","",ROUND(Lookups!$K$5+Lookups!$K$4*$J355,4)),$K355))</f>
        <v>0.2576</v>
      </c>
      <c r="S355" s="5" t="str">
        <f>IF($A355="","",IF($K355="","Imputed","Original"))</f>
        <v>Original</v>
      </c>
      <c r="T355" s="5" t="str">
        <f>IF($A355="","",IF($P355="","Missing",IF($P355=$N355+$O355,"OK","Mismatch")))</f>
        <v>OK</v>
      </c>
      <c r="U355" s="5" t="str">
        <f>IF($A355="","",IF(COUNTIF($A$2:$A355,$A355)&gt;1,"Duplicate","Unique"))</f>
        <v>Unique</v>
      </c>
      <c r="V355" s="5">
        <f>IF($A355="","",IF(AND($U355="Unique",ISNUMBER($P355)),1,0))</f>
        <v>1</v>
      </c>
      <c r="W355" s="5" t="str">
        <f>IF($A355="","",IF(OR($H355=0,$H355=6),"Weekend","Weekday"))</f>
        <v>Weekend</v>
      </c>
      <c r="X355" s="5" t="str">
        <f>IF($A355="","",TEXT($B355,"ddd"))</f>
        <v>Sun</v>
      </c>
      <c r="Y355" s="5" t="str">
        <f>IF($A355="","",TEXT($B355,"mmm"))</f>
        <v>Jan</v>
      </c>
      <c r="Z355" s="5" t="str">
        <f>IF($A355="","",IFERROR(VLOOKUP($C355,Lookups!$D$4:$E$7,2,FALSE),"Unknown"))</f>
        <v>Winter</v>
      </c>
      <c r="AA355" s="5" t="str">
        <f>IF($A355="","",IFERROR(VLOOKUP($I355,Lookups!$A$4:$B$7,2,FALSE),"Unknown"))</f>
        <v>Mist/Cloudy</v>
      </c>
      <c r="AB355" s="5" t="str">
        <f>IF($A355="","",TEXT($F355,"00")&amp;":00")</f>
        <v>05:00</v>
      </c>
      <c r="AC355" s="5" t="str">
        <f>IF($A355="","",VLOOKUP($F355,Lookups!$G$4:$H$8,2,TRUE))</f>
        <v>Night (00-05)</v>
      </c>
      <c r="AD355" s="18">
        <f>IF($A355="","",IF($J355="","",ROUND($J355*41,1)))</f>
        <v>10.7</v>
      </c>
      <c r="AE355" s="18">
        <f>IF($A355="","",IF($R355="","",ROUND($R355*50,1)))</f>
        <v>12.9</v>
      </c>
      <c r="AF355" s="5">
        <f>IF($A355="","",IF($L355="","",ROUND($L355*100,0)))</f>
        <v>56</v>
      </c>
      <c r="AG355" s="18">
        <f>IF($A355="","",IF($M355="","",ROUND($M355*67,1)))</f>
        <v>11</v>
      </c>
      <c r="AH355" s="19">
        <f>IF($A355="","",IF($P355="","",IF($P355=0,0,$O355/$P355)))</f>
        <v>0.5</v>
      </c>
      <c r="AI355" s="5" t="str">
        <f>IF($A355="","",IF($P355="","",IF($P355&gt;=Lookups!$K$7,"High",IF($P355&lt;=Lookups!$K$8,"Low","Medium"))))</f>
        <v>Low</v>
      </c>
      <c r="AJ355" s="5" t="str">
        <f>IF($A355="","",IF($AD355="","",IF($AD355&lt;5,"Under 5 C",IF($AD355&lt;10,"5-10 C",IF($AD355&lt;15,"10-15 C","15 C and above")))))</f>
        <v>10-15 C</v>
      </c>
      <c r="AK355" s="5">
        <f>IF($A355="","",IF($P355="","",$P355^2))</f>
        <v>4</v>
      </c>
      <c r="AL355" s="18">
        <f>IF($V355&lt;&gt;1,"",AVERAGEIFS(Clean_Data!$P$2:$P$1001,Clean_Data!$F$2:$F$1001,$F355,Clean_Data!$W$2:$W$1001,$W355,Clean_Data!$V$2:$V$1001,1))</f>
        <v>2.7</v>
      </c>
      <c r="AM355" s="16">
        <f>IF($V355&lt;&gt;1,"",IFERROR(($P355-$AL355)/SQRT(MAX(0,(SUMIFS(Clean_Data!$AK$2:$AK$1001,Clean_Data!$F$2:$F$1001,$F355,Clean_Data!$W$2:$W$1001,$W355,Clean_Data!$V$2:$V$1001,1)-COUNTIFS(Clean_Data!$F$2:$F$1001,$F355,Clean_Data!$W$2:$W$1001,$W355,Clean_Data!$V$2:$V$1001,1)*$AL355^2)/(COUNTIFS(Clean_Data!$F$2:$F$1001,$F355,Clean_Data!$W$2:$W$1001,$W355,Clean_Data!$V$2:$V$1001,1)-1))),""))</f>
        <v>-0.270883192219368</v>
      </c>
      <c r="AN355" s="5" t="str">
        <f>IF($AM355="","",IF($AM355&gt;=Lookups!$K$6,"High spike",IF($AM355&lt;=-Lookups!$K$6,"Unusual low","Normal")))</f>
        <v>Normal</v>
      </c>
      <c r="AO355" s="20">
        <f>IF($V355&lt;&gt;1,"",$P355+ROW()/100000)</f>
        <v>2.00355</v>
      </c>
      <c r="AP355" s="5">
        <f>IF($A355="","",IFERROR(MATCH($A355,Raw_D1!$A$2:$A$1001,0),""))</f>
        <v>354</v>
      </c>
      <c r="AQ355" s="5">
        <f>IF($A355="","",IFERROR(MATCH($A355,Raw_D2!$B$2:$B$1001,0),""))</f>
        <v>354</v>
      </c>
      <c r="AR355" s="5">
        <f>IF($A355="","",IFERROR(MATCH($A355,Raw_D3!$A$2:$A$1001,0),""))</f>
        <v/>
      </c>
    </row>
    <row r="356" spans="1:44" x14ac:dyDescent="0.25">
      <c r="A356" s="5">
        <v>355</v>
      </c>
      <c r="B356" s="11">
        <f>IF($A356="","",IF($AP356&lt;&gt;"",INDEX(Raw_D1!$B$2:$B$1001,$AP356),IF($AR356&lt;&gt;"",INDEX(Raw_D3!$B$2:$B$1001,$AR356),"")))</f>
        <v>40559.0</v>
      </c>
      <c r="C356" s="5">
        <f>IF($A356="","",IF($AP356&lt;&gt;"",INDEX(Raw_D1!$C$2:$C$1001,$AP356),IF($AR356&lt;&gt;"",INDEX(Raw_D3!$C$2:$C$1001,$AR356),"")))</f>
        <v>1</v>
      </c>
      <c r="D356" s="5">
        <f>IF($A356="","",IF($AP356&lt;&gt;"",INDEX(Raw_D1!$D$2:$D$1001,$AP356),IF($AR356&lt;&gt;"",INDEX(Raw_D3!$D$2:$D$1001,$AR356),"")))</f>
        <v>0</v>
      </c>
      <c r="E356" s="5">
        <f>IF($A356="","",IF($AP356&lt;&gt;"",INDEX(Raw_D1!$E$2:$E$1001,$AP356),IF($AR356&lt;&gt;"",INDEX(Raw_D3!$E$2:$E$1001,$AR356),"")))</f>
        <v>1</v>
      </c>
      <c r="F356" s="5">
        <f>IF($A356="","",IF($AP356&lt;&gt;"",INDEX(Raw_D1!$F$2:$F$1001,$AP356),IF($AR356&lt;&gt;"",INDEX(Raw_D3!$F$2:$F$1001,$AR356),"")))</f>
        <v>6</v>
      </c>
      <c r="G356" s="5">
        <f>IF($A356="","",IF($AP356&lt;&gt;"",IF(INDEX(Raw_D1!$G$2:$G$1001,$AP356),1,0),IF($AR356&lt;&gt;"",IF(INDEX(Raw_D3!$G$2:$G$1001,$AR356),1,0),"")))</f>
        <v>0</v>
      </c>
      <c r="H356" s="5">
        <f>IF($A356="","",IF($AP356&lt;&gt;"",INDEX(Raw_D1!$H$2:$H$1001,$AP356),IF($AR356&lt;&gt;"",INDEX(Raw_D3!$H$2:$H$1001,$AR356),"")))</f>
        <v>0</v>
      </c>
      <c r="I356" s="5">
        <f>IF($A356="","",IF($AP356&lt;&gt;"",INDEX(Raw_D1!$I$2:$I$1001,$AP356),IF($AR356&lt;&gt;"",INDEX(Raw_D3!$I$2:$I$1001,$AR356),"")))</f>
        <v>2</v>
      </c>
      <c r="J356" s="16">
        <f>IF($A356="","",IF($AP356&lt;&gt;"",INDEX(Raw_D1!$J$2:$J$1001,$AP356),IF($AR356&lt;&gt;"",INDEX(Raw_D3!$J$2:$J$1001,$AR356),"")))</f>
        <v>0.26</v>
      </c>
      <c r="K356" s="17">
        <f>IF($A356="","",IF($AQ356&lt;&gt;"",IF(INDEX(Raw_D2!$C$2:$C$1001,$AQ356)="","",INDEX(Raw_D2!$C$2:$C$1001,$AQ356)),IF($AR356&lt;&gt;"",IF(INDEX(Raw_D3!$K$2:$K$1001,$AR356)="","",INDEX(Raw_D3!$K$2:$K$1001,$AR356)),"")))</f>
        <v>0.2576</v>
      </c>
      <c r="L356" s="16">
        <f>IF($A356="","",IF($AQ356&lt;&gt;"",IF(INDEX(Raw_D2!$D$2:$D$1001,$AQ356)="","",INDEX(Raw_D2!$D$2:$D$1001,$AQ356)),IF($AR356&lt;&gt;"",IF(INDEX(Raw_D3!$L$2:$L$1001,$AR356)="","",INDEX(Raw_D3!$L$2:$L$1001,$AR356)),"")))</f>
        <v>0.56</v>
      </c>
      <c r="M356" s="17">
        <f>IF($A356="","",IF($AQ356&lt;&gt;"",IF(INDEX(Raw_D2!$E$2:$E$1001,$AQ356)="","",INDEX(Raw_D2!$E$2:$E$1001,$AQ356)),IF($AR356&lt;&gt;"",IF(INDEX(Raw_D3!$M$2:$M$1001,$AR356)="","",INDEX(Raw_D3!$M$2:$M$1001,$AR356)),"")))</f>
        <v>0.1642</v>
      </c>
      <c r="N356" s="5">
        <f>IF($A356="","",IF($AQ356&lt;&gt;"",IF(INDEX(Raw_D2!$F$2:$F$1001,$AQ356)="","",INDEX(Raw_D2!$F$2:$F$1001,$AQ356)),IF($AR356&lt;&gt;"",IF(INDEX(Raw_D3!$N$2:$N$1001,$AR356)="","",INDEX(Raw_D3!$N$2:$N$1001,$AR356)),"")))</f>
        <v>0</v>
      </c>
      <c r="O356" s="5">
        <f>IF($A356="","",IF($AQ356&lt;&gt;"",IF(INDEX(Raw_D2!$G$2:$G$1001,$AQ356)="","",INDEX(Raw_D2!$G$2:$G$1001,$AQ356)),IF($AR356&lt;&gt;"",IF(INDEX(Raw_D3!$O$2:$O$1001,$AR356)="","",INDEX(Raw_D3!$O$2:$O$1001,$AR356)),"")))</f>
        <v>1</v>
      </c>
      <c r="P356" s="5">
        <f>IF($A356="","",IF($AQ356&lt;&gt;"",IF(INDEX(Raw_D2!$H$2:$H$1001,$AQ356)="","",INDEX(Raw_D2!$H$2:$H$1001,$AQ356)),IF($AR356&lt;&gt;"",IF(INDEX(Raw_D3!$P$2:$P$1001,$AR356)="","",INDEX(Raw_D3!$P$2:$P$1001,$AR356)),"")))</f>
        <v>1</v>
      </c>
      <c r="Q356" s="5" t="str">
        <f>IF($A356="","",IF(AND($AP356&lt;&gt;"",$AQ356&lt;&gt;""),"D1+D2",IF($AR356&lt;&gt;"","D3","Incomplete")))</f>
        <v>D1+D2</v>
      </c>
      <c r="R356" s="17">
        <f>IF($A356="","",IF($K356="",IF($J356="","",ROUND(Lookups!$K$5+Lookups!$K$4*$J356,4)),$K356))</f>
        <v>0.2576</v>
      </c>
      <c r="S356" s="5" t="str">
        <f>IF($A356="","",IF($K356="","Imputed","Original"))</f>
        <v>Original</v>
      </c>
      <c r="T356" s="5" t="str">
        <f>IF($A356="","",IF($P356="","Missing",IF($P356=$N356+$O356,"OK","Mismatch")))</f>
        <v>OK</v>
      </c>
      <c r="U356" s="5" t="str">
        <f>IF($A356="","",IF(COUNTIF($A$2:$A356,$A356)&gt;1,"Duplicate","Unique"))</f>
        <v>Unique</v>
      </c>
      <c r="V356" s="5">
        <f>IF($A356="","",IF(AND($U356="Unique",ISNUMBER($P356)),1,0))</f>
        <v>1</v>
      </c>
      <c r="W356" s="5" t="str">
        <f>IF($A356="","",IF(OR($H356=0,$H356=6),"Weekend","Weekday"))</f>
        <v>Weekend</v>
      </c>
      <c r="X356" s="5" t="str">
        <f>IF($A356="","",TEXT($B356,"ddd"))</f>
        <v>Sun</v>
      </c>
      <c r="Y356" s="5" t="str">
        <f>IF($A356="","",TEXT($B356,"mmm"))</f>
        <v>Jan</v>
      </c>
      <c r="Z356" s="5" t="str">
        <f>IF($A356="","",IFERROR(VLOOKUP($C356,Lookups!$D$4:$E$7,2,FALSE),"Unknown"))</f>
        <v>Winter</v>
      </c>
      <c r="AA356" s="5" t="str">
        <f>IF($A356="","",IFERROR(VLOOKUP($I356,Lookups!$A$4:$B$7,2,FALSE),"Unknown"))</f>
        <v>Mist/Cloudy</v>
      </c>
      <c r="AB356" s="5" t="str">
        <f>IF($A356="","",TEXT($F356,"00")&amp;":00")</f>
        <v>06:00</v>
      </c>
      <c r="AC356" s="5" t="str">
        <f>IF($A356="","",VLOOKUP($F356,Lookups!$G$4:$H$8,2,TRUE))</f>
        <v>Morning Peak (06-09)</v>
      </c>
      <c r="AD356" s="18">
        <f>IF($A356="","",IF($J356="","",ROUND($J356*41,1)))</f>
        <v>10.7</v>
      </c>
      <c r="AE356" s="18">
        <f>IF($A356="","",IF($R356="","",ROUND($R356*50,1)))</f>
        <v>12.9</v>
      </c>
      <c r="AF356" s="5">
        <f>IF($A356="","",IF($L356="","",ROUND($L356*100,0)))</f>
        <v>56</v>
      </c>
      <c r="AG356" s="18">
        <f>IF($A356="","",IF($M356="","",ROUND($M356*67,1)))</f>
        <v>11</v>
      </c>
      <c r="AH356" s="19">
        <f>IF($A356="","",IF($P356="","",IF($P356=0,0,$O356/$P356)))</f>
        <v>1</v>
      </c>
      <c r="AI356" s="5" t="str">
        <f>IF($A356="","",IF($P356="","",IF($P356&gt;=Lookups!$K$7,"High",IF($P356&lt;=Lookups!$K$8,"Low","Medium"))))</f>
        <v>Low</v>
      </c>
      <c r="AJ356" s="5" t="str">
        <f>IF($A356="","",IF($AD356="","",IF($AD356&lt;5,"Under 5 C",IF($AD356&lt;10,"5-10 C",IF($AD356&lt;15,"10-15 C","15 C and above")))))</f>
        <v>10-15 C</v>
      </c>
      <c r="AK356" s="5">
        <f>IF($A356="","",IF($P356="","",$P356^2))</f>
        <v>1</v>
      </c>
      <c r="AL356" s="18">
        <f>IF($V356&lt;&gt;1,"",AVERAGEIFS(Clean_Data!$P$2:$P$1001,Clean_Data!$F$2:$F$1001,$F356,Clean_Data!$W$2:$W$1001,$W356,Clean_Data!$V$2:$V$1001,1))</f>
        <v>2.15384615384615</v>
      </c>
      <c r="AM356" s="16">
        <f>IF($V356&lt;&gt;1,"",IFERROR(($P356-$AL356)/SQRT(MAX(0,(SUMIFS(Clean_Data!$AK$2:$AK$1001,Clean_Data!$F$2:$F$1001,$F356,Clean_Data!$W$2:$W$1001,$W356,Clean_Data!$V$2:$V$1001,1)-COUNTIFS(Clean_Data!$F$2:$F$1001,$F356,Clean_Data!$W$2:$W$1001,$W356,Clean_Data!$V$2:$V$1001,1)*$AL356^2)/(COUNTIFS(Clean_Data!$F$2:$F$1001,$F356,Clean_Data!$W$2:$W$1001,$W356,Clean_Data!$V$2:$V$1001,1)-1))),""))</f>
        <v>-0.950268400739926</v>
      </c>
      <c r="AN356" s="5" t="str">
        <f>IF($AM356="","",IF($AM356&gt;=Lookups!$K$6,"High spike",IF($AM356&lt;=-Lookups!$K$6,"Unusual low","Normal")))</f>
        <v>Normal</v>
      </c>
      <c r="AO356" s="20">
        <f>IF($V356&lt;&gt;1,"",$P356+ROW()/100000)</f>
        <v>1.00356</v>
      </c>
      <c r="AP356" s="5">
        <f>IF($A356="","",IFERROR(MATCH($A356,Raw_D1!$A$2:$A$1001,0),""))</f>
        <v>355</v>
      </c>
      <c r="AQ356" s="5">
        <f>IF($A356="","",IFERROR(MATCH($A356,Raw_D2!$B$2:$B$1001,0),""))</f>
        <v>355</v>
      </c>
      <c r="AR356" s="5">
        <f>IF($A356="","",IFERROR(MATCH($A356,Raw_D3!$A$2:$A$1001,0),""))</f>
        <v/>
      </c>
    </row>
    <row r="357" spans="1:44" x14ac:dyDescent="0.25">
      <c r="A357" s="5">
        <v>356</v>
      </c>
      <c r="B357" s="11">
        <f>IF($A357="","",IF($AP357&lt;&gt;"",INDEX(Raw_D1!$B$2:$B$1001,$AP357),IF($AR357&lt;&gt;"",INDEX(Raw_D3!$B$2:$B$1001,$AR357),"")))</f>
        <v>40559.0</v>
      </c>
      <c r="C357" s="5">
        <f>IF($A357="","",IF($AP357&lt;&gt;"",INDEX(Raw_D1!$C$2:$C$1001,$AP357),IF($AR357&lt;&gt;"",INDEX(Raw_D3!$C$2:$C$1001,$AR357),"")))</f>
        <v>1</v>
      </c>
      <c r="D357" s="5">
        <f>IF($A357="","",IF($AP357&lt;&gt;"",INDEX(Raw_D1!$D$2:$D$1001,$AP357),IF($AR357&lt;&gt;"",INDEX(Raw_D3!$D$2:$D$1001,$AR357),"")))</f>
        <v>0</v>
      </c>
      <c r="E357" s="5">
        <f>IF($A357="","",IF($AP357&lt;&gt;"",INDEX(Raw_D1!$E$2:$E$1001,$AP357),IF($AR357&lt;&gt;"",INDEX(Raw_D3!$E$2:$E$1001,$AR357),"")))</f>
        <v>1</v>
      </c>
      <c r="F357" s="5">
        <f>IF($A357="","",IF($AP357&lt;&gt;"",INDEX(Raw_D1!$F$2:$F$1001,$AP357),IF($AR357&lt;&gt;"",INDEX(Raw_D3!$F$2:$F$1001,$AR357),"")))</f>
        <v>7</v>
      </c>
      <c r="G357" s="5">
        <f>IF($A357="","",IF($AP357&lt;&gt;"",IF(INDEX(Raw_D1!$G$2:$G$1001,$AP357),1,0),IF($AR357&lt;&gt;"",IF(INDEX(Raw_D3!$G$2:$G$1001,$AR357),1,0),"")))</f>
        <v>0</v>
      </c>
      <c r="H357" s="5">
        <f>IF($A357="","",IF($AP357&lt;&gt;"",INDEX(Raw_D1!$H$2:$H$1001,$AP357),IF($AR357&lt;&gt;"",INDEX(Raw_D3!$H$2:$H$1001,$AR357),"")))</f>
        <v>0</v>
      </c>
      <c r="I357" s="5">
        <f>IF($A357="","",IF($AP357&lt;&gt;"",INDEX(Raw_D1!$I$2:$I$1001,$AP357),IF($AR357&lt;&gt;"",INDEX(Raw_D3!$I$2:$I$1001,$AR357),"")))</f>
        <v>2</v>
      </c>
      <c r="J357" s="16">
        <f>IF($A357="","",IF($AP357&lt;&gt;"",INDEX(Raw_D1!$J$2:$J$1001,$AP357),IF($AR357&lt;&gt;"",INDEX(Raw_D3!$J$2:$J$1001,$AR357),"")))</f>
        <v>0.24</v>
      </c>
      <c r="K357" s="17">
        <f>IF($A357="","",IF($AQ357&lt;&gt;"",IF(INDEX(Raw_D2!$C$2:$C$1001,$AQ357)="","",INDEX(Raw_D2!$C$2:$C$1001,$AQ357)),IF($AR357&lt;&gt;"",IF(INDEX(Raw_D3!$K$2:$K$1001,$AR357)="","",INDEX(Raw_D3!$K$2:$K$1001,$AR357)),"")))</f>
        <v>0.2121</v>
      </c>
      <c r="L357" s="16">
        <f>IF($A357="","",IF($AQ357&lt;&gt;"",IF(INDEX(Raw_D2!$D$2:$D$1001,$AQ357)="","",INDEX(Raw_D2!$D$2:$D$1001,$AQ357)),IF($AR357&lt;&gt;"",IF(INDEX(Raw_D3!$L$2:$L$1001,$AR357)="","",INDEX(Raw_D3!$L$2:$L$1001,$AR357)),"")))</f>
        <v>0.56</v>
      </c>
      <c r="M357" s="17">
        <f>IF($A357="","",IF($AQ357&lt;&gt;"",IF(INDEX(Raw_D2!$E$2:$E$1001,$AQ357)="","",INDEX(Raw_D2!$E$2:$E$1001,$AQ357)),IF($AR357&lt;&gt;"",IF(INDEX(Raw_D3!$M$2:$M$1001,$AR357)="","",INDEX(Raw_D3!$M$2:$M$1001,$AR357)),"")))</f>
        <v>0.2985</v>
      </c>
      <c r="N357" s="5">
        <f>IF($A357="","",IF($AQ357&lt;&gt;"",IF(INDEX(Raw_D2!$F$2:$F$1001,$AQ357)="","",INDEX(Raw_D2!$F$2:$F$1001,$AQ357)),IF($AR357&lt;&gt;"",IF(INDEX(Raw_D3!$N$2:$N$1001,$AR357)="","",INDEX(Raw_D3!$N$2:$N$1001,$AR357)),"")))</f>
        <v>0</v>
      </c>
      <c r="O357" s="5">
        <f>IF($A357="","",IF($AQ357&lt;&gt;"",IF(INDEX(Raw_D2!$G$2:$G$1001,$AQ357)="","",INDEX(Raw_D2!$G$2:$G$1001,$AQ357)),IF($AR357&lt;&gt;"",IF(INDEX(Raw_D3!$O$2:$O$1001,$AR357)="","",INDEX(Raw_D3!$O$2:$O$1001,$AR357)),"")))</f>
        <v>3</v>
      </c>
      <c r="P357" s="5">
        <f>IF($A357="","",IF($AQ357&lt;&gt;"",IF(INDEX(Raw_D2!$H$2:$H$1001,$AQ357)="","",INDEX(Raw_D2!$H$2:$H$1001,$AQ357)),IF($AR357&lt;&gt;"",IF(INDEX(Raw_D3!$P$2:$P$1001,$AR357)="","",INDEX(Raw_D3!$P$2:$P$1001,$AR357)),"")))</f>
        <v>3</v>
      </c>
      <c r="Q357" s="5" t="str">
        <f>IF($A357="","",IF(AND($AP357&lt;&gt;"",$AQ357&lt;&gt;""),"D1+D2",IF($AR357&lt;&gt;"","D3","Incomplete")))</f>
        <v>D1+D2</v>
      </c>
      <c r="R357" s="17">
        <f>IF($A357="","",IF($K357="",IF($J357="","",ROUND(Lookups!$K$5+Lookups!$K$4*$J357,4)),$K357))</f>
        <v>0.2121</v>
      </c>
      <c r="S357" s="5" t="str">
        <f>IF($A357="","",IF($K357="","Imputed","Original"))</f>
        <v>Original</v>
      </c>
      <c r="T357" s="5" t="str">
        <f>IF($A357="","",IF($P357="","Missing",IF($P357=$N357+$O357,"OK","Mismatch")))</f>
        <v>OK</v>
      </c>
      <c r="U357" s="5" t="str">
        <f>IF($A357="","",IF(COUNTIF($A$2:$A357,$A357)&gt;1,"Duplicate","Unique"))</f>
        <v>Unique</v>
      </c>
      <c r="V357" s="5">
        <f>IF($A357="","",IF(AND($U357="Unique",ISNUMBER($P357)),1,0))</f>
        <v>1</v>
      </c>
      <c r="W357" s="5" t="str">
        <f>IF($A357="","",IF(OR($H357=0,$H357=6),"Weekend","Weekday"))</f>
        <v>Weekend</v>
      </c>
      <c r="X357" s="5" t="str">
        <f>IF($A357="","",TEXT($B357,"ddd"))</f>
        <v>Sun</v>
      </c>
      <c r="Y357" s="5" t="str">
        <f>IF($A357="","",TEXT($B357,"mmm"))</f>
        <v>Jan</v>
      </c>
      <c r="Z357" s="5" t="str">
        <f>IF($A357="","",IFERROR(VLOOKUP($C357,Lookups!$D$4:$E$7,2,FALSE),"Unknown"))</f>
        <v>Winter</v>
      </c>
      <c r="AA357" s="5" t="str">
        <f>IF($A357="","",IFERROR(VLOOKUP($I357,Lookups!$A$4:$B$7,2,FALSE),"Unknown"))</f>
        <v>Mist/Cloudy</v>
      </c>
      <c r="AB357" s="5" t="str">
        <f>IF($A357="","",TEXT($F357,"00")&amp;":00")</f>
        <v>07:00</v>
      </c>
      <c r="AC357" s="5" t="str">
        <f>IF($A357="","",VLOOKUP($F357,Lookups!$G$4:$H$8,2,TRUE))</f>
        <v>Morning Peak (06-09)</v>
      </c>
      <c r="AD357" s="18">
        <f>IF($A357="","",IF($J357="","",ROUND($J357*41,1)))</f>
        <v>9.8</v>
      </c>
      <c r="AE357" s="18">
        <f>IF($A357="","",IF($R357="","",ROUND($R357*50,1)))</f>
        <v>10.6</v>
      </c>
      <c r="AF357" s="5">
        <f>IF($A357="","",IF($L357="","",ROUND($L357*100,0)))</f>
        <v>56</v>
      </c>
      <c r="AG357" s="18">
        <f>IF($A357="","",IF($M357="","",ROUND($M357*67,1)))</f>
        <v>20</v>
      </c>
      <c r="AH357" s="19">
        <f>IF($A357="","",IF($P357="","",IF($P357=0,0,$O357/$P357)))</f>
        <v>1</v>
      </c>
      <c r="AI357" s="5" t="str">
        <f>IF($A357="","",IF($P357="","",IF($P357&gt;=Lookups!$K$7,"High",IF($P357&lt;=Lookups!$K$8,"Low","Medium"))))</f>
        <v>Low</v>
      </c>
      <c r="AJ357" s="5" t="str">
        <f>IF($A357="","",IF($AD357="","",IF($AD357&lt;5,"Under 5 C",IF($AD357&lt;10,"5-10 C",IF($AD357&lt;15,"10-15 C","15 C and above")))))</f>
        <v>5-10 C</v>
      </c>
      <c r="AK357" s="5">
        <f>IF($A357="","",IF($P357="","",$P357^2))</f>
        <v>9</v>
      </c>
      <c r="AL357" s="18">
        <f>IF($V357&lt;&gt;1,"",AVERAGEIFS(Clean_Data!$P$2:$P$1001,Clean_Data!$F$2:$F$1001,$F357,Clean_Data!$W$2:$W$1001,$W357,Clean_Data!$V$2:$V$1001,1))</f>
        <v>5.42857142857143</v>
      </c>
      <c r="AM357" s="16">
        <f>IF($V357&lt;&gt;1,"",IFERROR(($P357-$AL357)/SQRT(MAX(0,(SUMIFS(Clean_Data!$AK$2:$AK$1001,Clean_Data!$F$2:$F$1001,$F357,Clean_Data!$W$2:$W$1001,$W357,Clean_Data!$V$2:$V$1001,1)-COUNTIFS(Clean_Data!$F$2:$F$1001,$F357,Clean_Data!$W$2:$W$1001,$W357,Clean_Data!$V$2:$V$1001,1)*$AL357^2)/(COUNTIFS(Clean_Data!$F$2:$F$1001,$F357,Clean_Data!$W$2:$W$1001,$W357,Clean_Data!$V$2:$V$1001,1)-1))),""))</f>
        <v>-0.752432262615843</v>
      </c>
      <c r="AN357" s="5" t="str">
        <f>IF($AM357="","",IF($AM357&gt;=Lookups!$K$6,"High spike",IF($AM357&lt;=-Lookups!$K$6,"Unusual low","Normal")))</f>
        <v>Normal</v>
      </c>
      <c r="AO357" s="20">
        <f>IF($V357&lt;&gt;1,"",$P357+ROW()/100000)</f>
        <v>3.00357</v>
      </c>
      <c r="AP357" s="5">
        <f>IF($A357="","",IFERROR(MATCH($A357,Raw_D1!$A$2:$A$1001,0),""))</f>
        <v>356</v>
      </c>
      <c r="AQ357" s="5">
        <f>IF($A357="","",IFERROR(MATCH($A357,Raw_D2!$B$2:$B$1001,0),""))</f>
        <v>356</v>
      </c>
      <c r="AR357" s="5">
        <f>IF($A357="","",IFERROR(MATCH($A357,Raw_D3!$A$2:$A$1001,0),""))</f>
        <v/>
      </c>
    </row>
    <row r="358" spans="1:44" x14ac:dyDescent="0.25">
      <c r="A358" s="5">
        <v>357</v>
      </c>
      <c r="B358" s="11">
        <f>IF($A358="","",IF($AP358&lt;&gt;"",INDEX(Raw_D1!$B$2:$B$1001,$AP358),IF($AR358&lt;&gt;"",INDEX(Raw_D3!$B$2:$B$1001,$AR358),"")))</f>
        <v>40559.0</v>
      </c>
      <c r="C358" s="5">
        <f>IF($A358="","",IF($AP358&lt;&gt;"",INDEX(Raw_D1!$C$2:$C$1001,$AP358),IF($AR358&lt;&gt;"",INDEX(Raw_D3!$C$2:$C$1001,$AR358),"")))</f>
        <v>1</v>
      </c>
      <c r="D358" s="5">
        <f>IF($A358="","",IF($AP358&lt;&gt;"",INDEX(Raw_D1!$D$2:$D$1001,$AP358),IF($AR358&lt;&gt;"",INDEX(Raw_D3!$D$2:$D$1001,$AR358),"")))</f>
        <v>0</v>
      </c>
      <c r="E358" s="5">
        <f>IF($A358="","",IF($AP358&lt;&gt;"",INDEX(Raw_D1!$E$2:$E$1001,$AP358),IF($AR358&lt;&gt;"",INDEX(Raw_D3!$E$2:$E$1001,$AR358),"")))</f>
        <v>1</v>
      </c>
      <c r="F358" s="5">
        <f>IF($A358="","",IF($AP358&lt;&gt;"",INDEX(Raw_D1!$F$2:$F$1001,$AP358),IF($AR358&lt;&gt;"",INDEX(Raw_D3!$F$2:$F$1001,$AR358),"")))</f>
        <v>8</v>
      </c>
      <c r="G358" s="5">
        <f>IF($A358="","",IF($AP358&lt;&gt;"",IF(INDEX(Raw_D1!$G$2:$G$1001,$AP358),1,0),IF($AR358&lt;&gt;"",IF(INDEX(Raw_D3!$G$2:$G$1001,$AR358),1,0),"")))</f>
        <v>0</v>
      </c>
      <c r="H358" s="5">
        <f>IF($A358="","",IF($AP358&lt;&gt;"",INDEX(Raw_D1!$H$2:$H$1001,$AP358),IF($AR358&lt;&gt;"",INDEX(Raw_D3!$H$2:$H$1001,$AR358),"")))</f>
        <v>0</v>
      </c>
      <c r="I358" s="5">
        <f>IF($A358="","",IF($AP358&lt;&gt;"",INDEX(Raw_D1!$I$2:$I$1001,$AP358),IF($AR358&lt;&gt;"",INDEX(Raw_D3!$I$2:$I$1001,$AR358),"")))</f>
        <v>1</v>
      </c>
      <c r="J358" s="16">
        <f>IF($A358="","",IF($AP358&lt;&gt;"",INDEX(Raw_D1!$J$2:$J$1001,$AP358),IF($AR358&lt;&gt;"",INDEX(Raw_D3!$J$2:$J$1001,$AR358),"")))</f>
        <v>0.22</v>
      </c>
      <c r="K358" s="17">
        <f>IF($A358="","",IF($AQ358&lt;&gt;"",IF(INDEX(Raw_D2!$C$2:$C$1001,$AQ358)="","",INDEX(Raw_D2!$C$2:$C$1001,$AQ358)),IF($AR358&lt;&gt;"",IF(INDEX(Raw_D3!$K$2:$K$1001,$AR358)="","",INDEX(Raw_D3!$K$2:$K$1001,$AR358)),"")))</f>
        <v>0.2121</v>
      </c>
      <c r="L358" s="16">
        <f>IF($A358="","",IF($AQ358&lt;&gt;"",IF(INDEX(Raw_D2!$D$2:$D$1001,$AQ358)="","",INDEX(Raw_D2!$D$2:$D$1001,$AQ358)),IF($AR358&lt;&gt;"",IF(INDEX(Raw_D3!$L$2:$L$1001,$AR358)="","",INDEX(Raw_D3!$L$2:$L$1001,$AR358)),"")))</f>
        <v>0.55</v>
      </c>
      <c r="M358" s="17">
        <f>IF($A358="","",IF($AQ358&lt;&gt;"",IF(INDEX(Raw_D2!$E$2:$E$1001,$AQ358)="","",INDEX(Raw_D2!$E$2:$E$1001,$AQ358)),IF($AR358&lt;&gt;"",IF(INDEX(Raw_D3!$M$2:$M$1001,$AR358)="","",INDEX(Raw_D3!$M$2:$M$1001,$AR358)),"")))</f>
        <v>0.2836</v>
      </c>
      <c r="N358" s="5">
        <f>IF($A358="","",IF($AQ358&lt;&gt;"",IF(INDEX(Raw_D2!$F$2:$F$1001,$AQ358)="","",INDEX(Raw_D2!$F$2:$F$1001,$AQ358)),IF($AR358&lt;&gt;"",IF(INDEX(Raw_D3!$N$2:$N$1001,$AR358)="","",INDEX(Raw_D3!$N$2:$N$1001,$AR358)),"")))</f>
        <v>0</v>
      </c>
      <c r="O358" s="5">
        <f>IF($A358="","",IF($AQ358&lt;&gt;"",IF(INDEX(Raw_D2!$G$2:$G$1001,$AQ358)="","",INDEX(Raw_D2!$G$2:$G$1001,$AQ358)),IF($AR358&lt;&gt;"",IF(INDEX(Raw_D3!$O$2:$O$1001,$AR358)="","",INDEX(Raw_D3!$O$2:$O$1001,$AR358)),"")))</f>
        <v>18</v>
      </c>
      <c r="P358" s="5">
        <f>IF($A358="","",IF($AQ358&lt;&gt;"",IF(INDEX(Raw_D2!$H$2:$H$1001,$AQ358)="","",INDEX(Raw_D2!$H$2:$H$1001,$AQ358)),IF($AR358&lt;&gt;"",IF(INDEX(Raw_D3!$P$2:$P$1001,$AR358)="","",INDEX(Raw_D3!$P$2:$P$1001,$AR358)),"")))</f>
        <v>18</v>
      </c>
      <c r="Q358" s="5" t="str">
        <f>IF($A358="","",IF(AND($AP358&lt;&gt;"",$AQ358&lt;&gt;""),"D1+D2",IF($AR358&lt;&gt;"","D3","Incomplete")))</f>
        <v>D1+D2</v>
      </c>
      <c r="R358" s="17">
        <f>IF($A358="","",IF($K358="",IF($J358="","",ROUND(Lookups!$K$5+Lookups!$K$4*$J358,4)),$K358))</f>
        <v>0.2121</v>
      </c>
      <c r="S358" s="5" t="str">
        <f>IF($A358="","",IF($K358="","Imputed","Original"))</f>
        <v>Original</v>
      </c>
      <c r="T358" s="5" t="str">
        <f>IF($A358="","",IF($P358="","Missing",IF($P358=$N358+$O358,"OK","Mismatch")))</f>
        <v>OK</v>
      </c>
      <c r="U358" s="5" t="str">
        <f>IF($A358="","",IF(COUNTIF($A$2:$A358,$A358)&gt;1,"Duplicate","Unique"))</f>
        <v>Unique</v>
      </c>
      <c r="V358" s="5">
        <f>IF($A358="","",IF(AND($U358="Unique",ISNUMBER($P358)),1,0))</f>
        <v>1</v>
      </c>
      <c r="W358" s="5" t="str">
        <f>IF($A358="","",IF(OR($H358=0,$H358=6),"Weekend","Weekday"))</f>
        <v>Weekend</v>
      </c>
      <c r="X358" s="5" t="str">
        <f>IF($A358="","",TEXT($B358,"ddd"))</f>
        <v>Sun</v>
      </c>
      <c r="Y358" s="5" t="str">
        <f>IF($A358="","",TEXT($B358,"mmm"))</f>
        <v>Jan</v>
      </c>
      <c r="Z358" s="5" t="str">
        <f>IF($A358="","",IFERROR(VLOOKUP($C358,Lookups!$D$4:$E$7,2,FALSE),"Unknown"))</f>
        <v>Winter</v>
      </c>
      <c r="AA358" s="5" t="str">
        <f>IF($A358="","",IFERROR(VLOOKUP($I358,Lookups!$A$4:$B$7,2,FALSE),"Unknown"))</f>
        <v>Clear</v>
      </c>
      <c r="AB358" s="5" t="str">
        <f>IF($A358="","",TEXT($F358,"00")&amp;":00")</f>
        <v>08:00</v>
      </c>
      <c r="AC358" s="5" t="str">
        <f>IF($A358="","",VLOOKUP($F358,Lookups!$G$4:$H$8,2,TRUE))</f>
        <v>Morning Peak (06-09)</v>
      </c>
      <c r="AD358" s="18">
        <f>IF($A358="","",IF($J358="","",ROUND($J358*41,1)))</f>
        <v>9</v>
      </c>
      <c r="AE358" s="18">
        <f>IF($A358="","",IF($R358="","",ROUND($R358*50,1)))</f>
        <v>10.6</v>
      </c>
      <c r="AF358" s="5">
        <f>IF($A358="","",IF($L358="","",ROUND($L358*100,0)))</f>
        <v>55</v>
      </c>
      <c r="AG358" s="18">
        <f>IF($A358="","",IF($M358="","",ROUND($M358*67,1)))</f>
        <v>19</v>
      </c>
      <c r="AH358" s="19">
        <f>IF($A358="","",IF($P358="","",IF($P358=0,0,$O358/$P358)))</f>
        <v>1</v>
      </c>
      <c r="AI358" s="5" t="str">
        <f>IF($A358="","",IF($P358="","",IF($P358&gt;=Lookups!$K$7,"High",IF($P358&lt;=Lookups!$K$8,"Low","Medium"))))</f>
        <v>Medium</v>
      </c>
      <c r="AJ358" s="5" t="str">
        <f>IF($A358="","",IF($AD358="","",IF($AD358&lt;5,"Under 5 C",IF($AD358&lt;10,"5-10 C",IF($AD358&lt;15,"10-15 C","15 C and above")))))</f>
        <v>5-10 C</v>
      </c>
      <c r="AK358" s="5">
        <f>IF($A358="","",IF($P358="","",$P358^2))</f>
        <v>324</v>
      </c>
      <c r="AL358" s="18">
        <f>IF($V358&lt;&gt;1,"",AVERAGEIFS(Clean_Data!$P$2:$P$1001,Clean_Data!$F$2:$F$1001,$F358,Clean_Data!$W$2:$W$1001,$W358,Clean_Data!$V$2:$V$1001,1))</f>
        <v>17.7857142857143</v>
      </c>
      <c r="AM358" s="16">
        <f>IF($V358&lt;&gt;1,"",IFERROR(($P358-$AL358)/SQRT(MAX(0,(SUMIFS(Clean_Data!$AK$2:$AK$1001,Clean_Data!$F$2:$F$1001,$F358,Clean_Data!$W$2:$W$1001,$W358,Clean_Data!$V$2:$V$1001,1)-COUNTIFS(Clean_Data!$F$2:$F$1001,$F358,Clean_Data!$W$2:$W$1001,$W358,Clean_Data!$V$2:$V$1001,1)*$AL358^2)/(COUNTIFS(Clean_Data!$F$2:$F$1001,$F358,Clean_Data!$W$2:$W$1001,$W358,Clean_Data!$V$2:$V$1001,1)-1))),""))</f>
        <v>0.0251952389373013</v>
      </c>
      <c r="AN358" s="5" t="str">
        <f>IF($AM358="","",IF($AM358&gt;=Lookups!$K$6,"High spike",IF($AM358&lt;=-Lookups!$K$6,"Unusual low","Normal")))</f>
        <v>Normal</v>
      </c>
      <c r="AO358" s="20">
        <f>IF($V358&lt;&gt;1,"",$P358+ROW()/100000)</f>
        <v>18.00358</v>
      </c>
      <c r="AP358" s="5">
        <f>IF($A358="","",IFERROR(MATCH($A358,Raw_D1!$A$2:$A$1001,0),""))</f>
        <v>357</v>
      </c>
      <c r="AQ358" s="5">
        <f>IF($A358="","",IFERROR(MATCH($A358,Raw_D2!$B$2:$B$1001,0),""))</f>
        <v>357</v>
      </c>
      <c r="AR358" s="5">
        <f>IF($A358="","",IFERROR(MATCH($A358,Raw_D3!$A$2:$A$1001,0),""))</f>
        <v/>
      </c>
    </row>
    <row r="359" spans="1:44" x14ac:dyDescent="0.25">
      <c r="A359" s="5">
        <v>358</v>
      </c>
      <c r="B359" s="11">
        <f>IF($A359="","",IF($AP359&lt;&gt;"",INDEX(Raw_D1!$B$2:$B$1001,$AP359),IF($AR359&lt;&gt;"",INDEX(Raw_D3!$B$2:$B$1001,$AR359),"")))</f>
        <v>40559.0</v>
      </c>
      <c r="C359" s="5">
        <f>IF($A359="","",IF($AP359&lt;&gt;"",INDEX(Raw_D1!$C$2:$C$1001,$AP359),IF($AR359&lt;&gt;"",INDEX(Raw_D3!$C$2:$C$1001,$AR359),"")))</f>
        <v>1</v>
      </c>
      <c r="D359" s="5">
        <f>IF($A359="","",IF($AP359&lt;&gt;"",INDEX(Raw_D1!$D$2:$D$1001,$AP359),IF($AR359&lt;&gt;"",INDEX(Raw_D3!$D$2:$D$1001,$AR359),"")))</f>
        <v>0</v>
      </c>
      <c r="E359" s="5">
        <f>IF($A359="","",IF($AP359&lt;&gt;"",INDEX(Raw_D1!$E$2:$E$1001,$AP359),IF($AR359&lt;&gt;"",INDEX(Raw_D3!$E$2:$E$1001,$AR359),"")))</f>
        <v>1</v>
      </c>
      <c r="F359" s="5">
        <f>IF($A359="","",IF($AP359&lt;&gt;"",INDEX(Raw_D1!$F$2:$F$1001,$AP359),IF($AR359&lt;&gt;"",INDEX(Raw_D3!$F$2:$F$1001,$AR359),"")))</f>
        <v>9</v>
      </c>
      <c r="G359" s="5">
        <f>IF($A359="","",IF($AP359&lt;&gt;"",IF(INDEX(Raw_D1!$G$2:$G$1001,$AP359),1,0),IF($AR359&lt;&gt;"",IF(INDEX(Raw_D3!$G$2:$G$1001,$AR359),1,0),"")))</f>
        <v>0</v>
      </c>
      <c r="H359" s="5">
        <f>IF($A359="","",IF($AP359&lt;&gt;"",INDEX(Raw_D1!$H$2:$H$1001,$AP359),IF($AR359&lt;&gt;"",INDEX(Raw_D3!$H$2:$H$1001,$AR359),"")))</f>
        <v>0</v>
      </c>
      <c r="I359" s="5">
        <f>IF($A359="","",IF($AP359&lt;&gt;"",INDEX(Raw_D1!$I$2:$I$1001,$AP359),IF($AR359&lt;&gt;"",INDEX(Raw_D3!$I$2:$I$1001,$AR359),"")))</f>
        <v>1</v>
      </c>
      <c r="J359" s="16">
        <f>IF($A359="","",IF($AP359&lt;&gt;"",INDEX(Raw_D1!$J$2:$J$1001,$AP359),IF($AR359&lt;&gt;"",INDEX(Raw_D3!$J$2:$J$1001,$AR359),"")))</f>
        <v>0.22</v>
      </c>
      <c r="K359" s="17">
        <f>IF($A359="","",IF($AQ359&lt;&gt;"",IF(INDEX(Raw_D2!$C$2:$C$1001,$AQ359)="","",INDEX(Raw_D2!$C$2:$C$1001,$AQ359)),IF($AR359&lt;&gt;"",IF(INDEX(Raw_D3!$K$2:$K$1001,$AR359)="","",INDEX(Raw_D3!$K$2:$K$1001,$AR359)),"")))</f>
        <v>0.2121</v>
      </c>
      <c r="L359" s="16">
        <f>IF($A359="","",IF($AQ359&lt;&gt;"",IF(INDEX(Raw_D2!$D$2:$D$1001,$AQ359)="","",INDEX(Raw_D2!$D$2:$D$1001,$AQ359)),IF($AR359&lt;&gt;"",IF(INDEX(Raw_D3!$L$2:$L$1001,$AR359)="","",INDEX(Raw_D3!$L$2:$L$1001,$AR359)),"")))</f>
        <v>0.51</v>
      </c>
      <c r="M359" s="17">
        <f>IF($A359="","",IF($AQ359&lt;&gt;"",IF(INDEX(Raw_D2!$E$2:$E$1001,$AQ359)="","",INDEX(Raw_D2!$E$2:$E$1001,$AQ359)),IF($AR359&lt;&gt;"",IF(INDEX(Raw_D3!$M$2:$M$1001,$AR359)="","",INDEX(Raw_D3!$M$2:$M$1001,$AR359)),"")))</f>
        <v>0.2537</v>
      </c>
      <c r="N359" s="5">
        <f>IF($A359="","",IF($AQ359&lt;&gt;"",IF(INDEX(Raw_D2!$F$2:$F$1001,$AQ359)="","",INDEX(Raw_D2!$F$2:$F$1001,$AQ359)),IF($AR359&lt;&gt;"",IF(INDEX(Raw_D3!$N$2:$N$1001,$AR359)="","",INDEX(Raw_D3!$N$2:$N$1001,$AR359)),"")))</f>
        <v>3</v>
      </c>
      <c r="O359" s="5">
        <f>IF($A359="","",IF($AQ359&lt;&gt;"",IF(INDEX(Raw_D2!$G$2:$G$1001,$AQ359)="","",INDEX(Raw_D2!$G$2:$G$1001,$AQ359)),IF($AR359&lt;&gt;"",IF(INDEX(Raw_D3!$O$2:$O$1001,$AR359)="","",INDEX(Raw_D3!$O$2:$O$1001,$AR359)),"")))</f>
        <v>29</v>
      </c>
      <c r="P359" s="5">
        <f>IF($A359="","",IF($AQ359&lt;&gt;"",IF(INDEX(Raw_D2!$H$2:$H$1001,$AQ359)="","",INDEX(Raw_D2!$H$2:$H$1001,$AQ359)),IF($AR359&lt;&gt;"",IF(INDEX(Raw_D3!$P$2:$P$1001,$AR359)="","",INDEX(Raw_D3!$P$2:$P$1001,$AR359)),"")))</f>
        <v>32</v>
      </c>
      <c r="Q359" s="5" t="str">
        <f>IF($A359="","",IF(AND($AP359&lt;&gt;"",$AQ359&lt;&gt;""),"D1+D2",IF($AR359&lt;&gt;"","D3","Incomplete")))</f>
        <v>D1+D2</v>
      </c>
      <c r="R359" s="17">
        <f>IF($A359="","",IF($K359="",IF($J359="","",ROUND(Lookups!$K$5+Lookups!$K$4*$J359,4)),$K359))</f>
        <v>0.2121</v>
      </c>
      <c r="S359" s="5" t="str">
        <f>IF($A359="","",IF($K359="","Imputed","Original"))</f>
        <v>Original</v>
      </c>
      <c r="T359" s="5" t="str">
        <f>IF($A359="","",IF($P359="","Missing",IF($P359=$N359+$O359,"OK","Mismatch")))</f>
        <v>OK</v>
      </c>
      <c r="U359" s="5" t="str">
        <f>IF($A359="","",IF(COUNTIF($A$2:$A359,$A359)&gt;1,"Duplicate","Unique"))</f>
        <v>Unique</v>
      </c>
      <c r="V359" s="5">
        <f>IF($A359="","",IF(AND($U359="Unique",ISNUMBER($P359)),1,0))</f>
        <v>1</v>
      </c>
      <c r="W359" s="5" t="str">
        <f>IF($A359="","",IF(OR($H359=0,$H359=6),"Weekend","Weekday"))</f>
        <v>Weekend</v>
      </c>
      <c r="X359" s="5" t="str">
        <f>IF($A359="","",TEXT($B359,"ddd"))</f>
        <v>Sun</v>
      </c>
      <c r="Y359" s="5" t="str">
        <f>IF($A359="","",TEXT($B359,"mmm"))</f>
        <v>Jan</v>
      </c>
      <c r="Z359" s="5" t="str">
        <f>IF($A359="","",IFERROR(VLOOKUP($C359,Lookups!$D$4:$E$7,2,FALSE),"Unknown"))</f>
        <v>Winter</v>
      </c>
      <c r="AA359" s="5" t="str">
        <f>IF($A359="","",IFERROR(VLOOKUP($I359,Lookups!$A$4:$B$7,2,FALSE),"Unknown"))</f>
        <v>Clear</v>
      </c>
      <c r="AB359" s="5" t="str">
        <f>IF($A359="","",TEXT($F359,"00")&amp;":00")</f>
        <v>09:00</v>
      </c>
      <c r="AC359" s="5" t="str">
        <f>IF($A359="","",VLOOKUP($F359,Lookups!$G$4:$H$8,2,TRUE))</f>
        <v>Morning Peak (06-09)</v>
      </c>
      <c r="AD359" s="18">
        <f>IF($A359="","",IF($J359="","",ROUND($J359*41,1)))</f>
        <v>9</v>
      </c>
      <c r="AE359" s="18">
        <f>IF($A359="","",IF($R359="","",ROUND($R359*50,1)))</f>
        <v>10.6</v>
      </c>
      <c r="AF359" s="5">
        <f>IF($A359="","",IF($L359="","",ROUND($L359*100,0)))</f>
        <v>51</v>
      </c>
      <c r="AG359" s="18">
        <f>IF($A359="","",IF($M359="","",ROUND($M359*67,1)))</f>
        <v>17</v>
      </c>
      <c r="AH359" s="19">
        <f>IF($A359="","",IF($P359="","",IF($P359=0,0,$O359/$P359)))</f>
        <v>0.90625</v>
      </c>
      <c r="AI359" s="5" t="str">
        <f>IF($A359="","",IF($P359="","",IF($P359&gt;=Lookups!$K$7,"High",IF($P359&lt;=Lookups!$K$8,"Low","Medium"))))</f>
        <v>Medium</v>
      </c>
      <c r="AJ359" s="5" t="str">
        <f>IF($A359="","",IF($AD359="","",IF($AD359&lt;5,"Under 5 C",IF($AD359&lt;10,"5-10 C",IF($AD359&lt;15,"10-15 C","15 C and above")))))</f>
        <v>5-10 C</v>
      </c>
      <c r="AK359" s="5">
        <f>IF($A359="","",IF($P359="","",$P359^2))</f>
        <v>1024</v>
      </c>
      <c r="AL359" s="18">
        <f>IF($V359&lt;&gt;1,"",AVERAGEIFS(Clean_Data!$P$2:$P$1001,Clean_Data!$F$2:$F$1001,$F359,Clean_Data!$W$2:$W$1001,$W359,Clean_Data!$V$2:$V$1001,1))</f>
        <v>30.9285714285714</v>
      </c>
      <c r="AM359" s="16">
        <f>IF($V359&lt;&gt;1,"",IFERROR(($P359-$AL359)/SQRT(MAX(0,(SUMIFS(Clean_Data!$AK$2:$AK$1001,Clean_Data!$F$2:$F$1001,$F359,Clean_Data!$W$2:$W$1001,$W359,Clean_Data!$V$2:$V$1001,1)-COUNTIFS(Clean_Data!$F$2:$F$1001,$F359,Clean_Data!$W$2:$W$1001,$W359,Clean_Data!$V$2:$V$1001,1)*$AL359^2)/(COUNTIFS(Clean_Data!$F$2:$F$1001,$F359,Clean_Data!$W$2:$W$1001,$W359,Clean_Data!$V$2:$V$1001,1)-1))),""))</f>
        <v>0.098283518826831</v>
      </c>
      <c r="AN359" s="5" t="str">
        <f>IF($AM359="","",IF($AM359&gt;=Lookups!$K$6,"High spike",IF($AM359&lt;=-Lookups!$K$6,"Unusual low","Normal")))</f>
        <v>Normal</v>
      </c>
      <c r="AO359" s="20">
        <f>IF($V359&lt;&gt;1,"",$P359+ROW()/100000)</f>
        <v>32.00359</v>
      </c>
      <c r="AP359" s="5">
        <f>IF($A359="","",IFERROR(MATCH($A359,Raw_D1!$A$2:$A$1001,0),""))</f>
        <v>358</v>
      </c>
      <c r="AQ359" s="5">
        <f>IF($A359="","",IFERROR(MATCH($A359,Raw_D2!$B$2:$B$1001,0),""))</f>
        <v>358</v>
      </c>
      <c r="AR359" s="5">
        <f>IF($A359="","",IFERROR(MATCH($A359,Raw_D3!$A$2:$A$1001,0),""))</f>
        <v/>
      </c>
    </row>
    <row r="360" spans="1:44" x14ac:dyDescent="0.25">
      <c r="A360" s="5">
        <v>359</v>
      </c>
      <c r="B360" s="11">
        <f>IF($A360="","",IF($AP360&lt;&gt;"",INDEX(Raw_D1!$B$2:$B$1001,$AP360),IF($AR360&lt;&gt;"",INDEX(Raw_D3!$B$2:$B$1001,$AR360),"")))</f>
        <v>40559.0</v>
      </c>
      <c r="C360" s="5">
        <f>IF($A360="","",IF($AP360&lt;&gt;"",INDEX(Raw_D1!$C$2:$C$1001,$AP360),IF($AR360&lt;&gt;"",INDEX(Raw_D3!$C$2:$C$1001,$AR360),"")))</f>
        <v>1</v>
      </c>
      <c r="D360" s="5">
        <f>IF($A360="","",IF($AP360&lt;&gt;"",INDEX(Raw_D1!$D$2:$D$1001,$AP360),IF($AR360&lt;&gt;"",INDEX(Raw_D3!$D$2:$D$1001,$AR360),"")))</f>
        <v>0</v>
      </c>
      <c r="E360" s="5">
        <f>IF($A360="","",IF($AP360&lt;&gt;"",INDEX(Raw_D1!$E$2:$E$1001,$AP360),IF($AR360&lt;&gt;"",INDEX(Raw_D3!$E$2:$E$1001,$AR360),"")))</f>
        <v>1</v>
      </c>
      <c r="F360" s="5">
        <f>IF($A360="","",IF($AP360&lt;&gt;"",INDEX(Raw_D1!$F$2:$F$1001,$AP360),IF($AR360&lt;&gt;"",INDEX(Raw_D3!$F$2:$F$1001,$AR360),"")))</f>
        <v>10</v>
      </c>
      <c r="G360" s="5">
        <f>IF($A360="","",IF($AP360&lt;&gt;"",IF(INDEX(Raw_D1!$G$2:$G$1001,$AP360),1,0),IF($AR360&lt;&gt;"",IF(INDEX(Raw_D3!$G$2:$G$1001,$AR360),1,0),"")))</f>
        <v>0</v>
      </c>
      <c r="H360" s="5">
        <f>IF($A360="","",IF($AP360&lt;&gt;"",INDEX(Raw_D1!$H$2:$H$1001,$AP360),IF($AR360&lt;&gt;"",INDEX(Raw_D3!$H$2:$H$1001,$AR360),"")))</f>
        <v>0</v>
      </c>
      <c r="I360" s="5">
        <f>IF($A360="","",IF($AP360&lt;&gt;"",INDEX(Raw_D1!$I$2:$I$1001,$AP360),IF($AR360&lt;&gt;"",INDEX(Raw_D3!$I$2:$I$1001,$AR360),"")))</f>
        <v>1</v>
      </c>
      <c r="J360" s="16">
        <f>IF($A360="","",IF($AP360&lt;&gt;"",INDEX(Raw_D1!$J$2:$J$1001,$AP360),IF($AR360&lt;&gt;"",INDEX(Raw_D3!$J$2:$J$1001,$AR360),"")))</f>
        <v>0.22</v>
      </c>
      <c r="K360" s="17">
        <f>IF($A360="","",IF($AQ360&lt;&gt;"",IF(INDEX(Raw_D2!$C$2:$C$1001,$AQ360)="","",INDEX(Raw_D2!$C$2:$C$1001,$AQ360)),IF($AR360&lt;&gt;"",IF(INDEX(Raw_D3!$K$2:$K$1001,$AR360)="","",INDEX(Raw_D3!$K$2:$K$1001,$AR360)),"")))</f>
        <v>0.2121</v>
      </c>
      <c r="L360" s="16">
        <f>IF($A360="","",IF($AQ360&lt;&gt;"",IF(INDEX(Raw_D2!$D$2:$D$1001,$AQ360)="","",INDEX(Raw_D2!$D$2:$D$1001,$AQ360)),IF($AR360&lt;&gt;"",IF(INDEX(Raw_D3!$L$2:$L$1001,$AR360)="","",INDEX(Raw_D3!$L$2:$L$1001,$AR360)),"")))</f>
        <v>0.51</v>
      </c>
      <c r="M360" s="17">
        <f>IF($A360="","",IF($AQ360&lt;&gt;"",IF(INDEX(Raw_D2!$E$2:$E$1001,$AQ360)="","",INDEX(Raw_D2!$E$2:$E$1001,$AQ360)),IF($AR360&lt;&gt;"",IF(INDEX(Raw_D3!$M$2:$M$1001,$AR360)="","",INDEX(Raw_D3!$M$2:$M$1001,$AR360)),"")))</f>
        <v>0.2836</v>
      </c>
      <c r="N360" s="5">
        <f>IF($A360="","",IF($AQ360&lt;&gt;"",IF(INDEX(Raw_D2!$F$2:$F$1001,$AQ360)="","",INDEX(Raw_D2!$F$2:$F$1001,$AQ360)),IF($AR360&lt;&gt;"",IF(INDEX(Raw_D3!$N$2:$N$1001,$AR360)="","",INDEX(Raw_D3!$N$2:$N$1001,$AR360)),"")))</f>
        <v>8</v>
      </c>
      <c r="O360" s="5">
        <f>IF($A360="","",IF($AQ360&lt;&gt;"",IF(INDEX(Raw_D2!$G$2:$G$1001,$AQ360)="","",INDEX(Raw_D2!$G$2:$G$1001,$AQ360)),IF($AR360&lt;&gt;"",IF(INDEX(Raw_D3!$O$2:$O$1001,$AR360)="","",INDEX(Raw_D3!$O$2:$O$1001,$AR360)),"")))</f>
        <v>71</v>
      </c>
      <c r="P360" s="5">
        <f>IF($A360="","",IF($AQ360&lt;&gt;"",IF(INDEX(Raw_D2!$H$2:$H$1001,$AQ360)="","",INDEX(Raw_D2!$H$2:$H$1001,$AQ360)),IF($AR360&lt;&gt;"",IF(INDEX(Raw_D3!$P$2:$P$1001,$AR360)="","",INDEX(Raw_D3!$P$2:$P$1001,$AR360)),"")))</f>
        <v>79</v>
      </c>
      <c r="Q360" s="5" t="str">
        <f>IF($A360="","",IF(AND($AP360&lt;&gt;"",$AQ360&lt;&gt;""),"D1+D2",IF($AR360&lt;&gt;"","D3","Incomplete")))</f>
        <v>D1+D2</v>
      </c>
      <c r="R360" s="17">
        <f>IF($A360="","",IF($K360="",IF($J360="","",ROUND(Lookups!$K$5+Lookups!$K$4*$J360,4)),$K360))</f>
        <v>0.2121</v>
      </c>
      <c r="S360" s="5" t="str">
        <f>IF($A360="","",IF($K360="","Imputed","Original"))</f>
        <v>Original</v>
      </c>
      <c r="T360" s="5" t="str">
        <f>IF($A360="","",IF($P360="","Missing",IF($P360=$N360+$O360,"OK","Mismatch")))</f>
        <v>OK</v>
      </c>
      <c r="U360" s="5" t="str">
        <f>IF($A360="","",IF(COUNTIF($A$2:$A360,$A360)&gt;1,"Duplicate","Unique"))</f>
        <v>Unique</v>
      </c>
      <c r="V360" s="5">
        <f>IF($A360="","",IF(AND($U360="Unique",ISNUMBER($P360)),1,0))</f>
        <v>1</v>
      </c>
      <c r="W360" s="5" t="str">
        <f>IF($A360="","",IF(OR($H360=0,$H360=6),"Weekend","Weekday"))</f>
        <v>Weekend</v>
      </c>
      <c r="X360" s="5" t="str">
        <f>IF($A360="","",TEXT($B360,"ddd"))</f>
        <v>Sun</v>
      </c>
      <c r="Y360" s="5" t="str">
        <f>IF($A360="","",TEXT($B360,"mmm"))</f>
        <v>Jan</v>
      </c>
      <c r="Z360" s="5" t="str">
        <f>IF($A360="","",IFERROR(VLOOKUP($C360,Lookups!$D$4:$E$7,2,FALSE),"Unknown"))</f>
        <v>Winter</v>
      </c>
      <c r="AA360" s="5" t="str">
        <f>IF($A360="","",IFERROR(VLOOKUP($I360,Lookups!$A$4:$B$7,2,FALSE),"Unknown"))</f>
        <v>Clear</v>
      </c>
      <c r="AB360" s="5" t="str">
        <f>IF($A360="","",TEXT($F360,"00")&amp;":00")</f>
        <v>10:00</v>
      </c>
      <c r="AC360" s="5" t="str">
        <f>IF($A360="","",VLOOKUP($F360,Lookups!$G$4:$H$8,2,TRUE))</f>
        <v>Midday (10-15)</v>
      </c>
      <c r="AD360" s="18">
        <f>IF($A360="","",IF($J360="","",ROUND($J360*41,1)))</f>
        <v>9</v>
      </c>
      <c r="AE360" s="18">
        <f>IF($A360="","",IF($R360="","",ROUND($R360*50,1)))</f>
        <v>10.6</v>
      </c>
      <c r="AF360" s="5">
        <f>IF($A360="","",IF($L360="","",ROUND($L360*100,0)))</f>
        <v>51</v>
      </c>
      <c r="AG360" s="18">
        <f>IF($A360="","",IF($M360="","",ROUND($M360*67,1)))</f>
        <v>19</v>
      </c>
      <c r="AH360" s="19">
        <f>IF($A360="","",IF($P360="","",IF($P360=0,0,$O360/$P360)))</f>
        <v>0.89873417721519</v>
      </c>
      <c r="AI360" s="5" t="str">
        <f>IF($A360="","",IF($P360="","",IF($P360&gt;=Lookups!$K$7,"High",IF($P360&lt;=Lookups!$K$8,"Low","Medium"))))</f>
        <v>Medium</v>
      </c>
      <c r="AJ360" s="5" t="str">
        <f>IF($A360="","",IF($AD360="","",IF($AD360&lt;5,"Under 5 C",IF($AD360&lt;10,"5-10 C",IF($AD360&lt;15,"10-15 C","15 C and above")))))</f>
        <v>5-10 C</v>
      </c>
      <c r="AK360" s="5">
        <f>IF($A360="","",IF($P360="","",$P360^2))</f>
        <v>6241</v>
      </c>
      <c r="AL360" s="18">
        <f>IF($V360&lt;&gt;1,"",AVERAGEIFS(Clean_Data!$P$2:$P$1001,Clean_Data!$F$2:$F$1001,$F360,Clean_Data!$W$2:$W$1001,$W360,Clean_Data!$V$2:$V$1001,1))</f>
        <v>62.7857142857143</v>
      </c>
      <c r="AM360" s="16">
        <f>IF($V360&lt;&gt;1,"",IFERROR(($P360-$AL360)/SQRT(MAX(0,(SUMIFS(Clean_Data!$AK$2:$AK$1001,Clean_Data!$F$2:$F$1001,$F360,Clean_Data!$W$2:$W$1001,$W360,Clean_Data!$V$2:$V$1001,1)-COUNTIFS(Clean_Data!$F$2:$F$1001,$F360,Clean_Data!$W$2:$W$1001,$W360,Clean_Data!$V$2:$V$1001,1)*$AL360^2)/(COUNTIFS(Clean_Data!$F$2:$F$1001,$F360,Clean_Data!$W$2:$W$1001,$W360,Clean_Data!$V$2:$V$1001,1)-1))),""))</f>
        <v>0.809752719132856</v>
      </c>
      <c r="AN360" s="5" t="str">
        <f>IF($AM360="","",IF($AM360&gt;=Lookups!$K$6,"High spike",IF($AM360&lt;=-Lookups!$K$6,"Unusual low","Normal")))</f>
        <v>Normal</v>
      </c>
      <c r="AO360" s="20">
        <f>IF($V360&lt;&gt;1,"",$P360+ROW()/100000)</f>
        <v>79.0036</v>
      </c>
      <c r="AP360" s="5">
        <f>IF($A360="","",IFERROR(MATCH($A360,Raw_D1!$A$2:$A$1001,0),""))</f>
        <v>359</v>
      </c>
      <c r="AQ360" s="5">
        <f>IF($A360="","",IFERROR(MATCH($A360,Raw_D2!$B$2:$B$1001,0),""))</f>
        <v>359</v>
      </c>
      <c r="AR360" s="5">
        <f>IF($A360="","",IFERROR(MATCH($A360,Raw_D3!$A$2:$A$1001,0),""))</f>
        <v/>
      </c>
    </row>
    <row r="361" spans="1:44" x14ac:dyDescent="0.25">
      <c r="A361" s="5">
        <v>360</v>
      </c>
      <c r="B361" s="11">
        <f>IF($A361="","",IF($AP361&lt;&gt;"",INDEX(Raw_D1!$B$2:$B$1001,$AP361),IF($AR361&lt;&gt;"",INDEX(Raw_D3!$B$2:$B$1001,$AR361),"")))</f>
        <v>40559.0</v>
      </c>
      <c r="C361" s="5">
        <f>IF($A361="","",IF($AP361&lt;&gt;"",INDEX(Raw_D1!$C$2:$C$1001,$AP361),IF($AR361&lt;&gt;"",INDEX(Raw_D3!$C$2:$C$1001,$AR361),"")))</f>
        <v>1</v>
      </c>
      <c r="D361" s="5">
        <f>IF($A361="","",IF($AP361&lt;&gt;"",INDEX(Raw_D1!$D$2:$D$1001,$AP361),IF($AR361&lt;&gt;"",INDEX(Raw_D3!$D$2:$D$1001,$AR361),"")))</f>
        <v>0</v>
      </c>
      <c r="E361" s="5">
        <f>IF($A361="","",IF($AP361&lt;&gt;"",INDEX(Raw_D1!$E$2:$E$1001,$AP361),IF($AR361&lt;&gt;"",INDEX(Raw_D3!$E$2:$E$1001,$AR361),"")))</f>
        <v>1</v>
      </c>
      <c r="F361" s="5">
        <f>IF($A361="","",IF($AP361&lt;&gt;"",INDEX(Raw_D1!$F$2:$F$1001,$AP361),IF($AR361&lt;&gt;"",INDEX(Raw_D3!$F$2:$F$1001,$AR361),"")))</f>
        <v>11</v>
      </c>
      <c r="G361" s="5">
        <f>IF($A361="","",IF($AP361&lt;&gt;"",IF(INDEX(Raw_D1!$G$2:$G$1001,$AP361),1,0),IF($AR361&lt;&gt;"",IF(INDEX(Raw_D3!$G$2:$G$1001,$AR361),1,0),"")))</f>
        <v>0</v>
      </c>
      <c r="H361" s="5">
        <f>IF($A361="","",IF($AP361&lt;&gt;"",INDEX(Raw_D1!$H$2:$H$1001,$AP361),IF($AR361&lt;&gt;"",INDEX(Raw_D3!$H$2:$H$1001,$AR361),"")))</f>
        <v>0</v>
      </c>
      <c r="I361" s="5">
        <f>IF($A361="","",IF($AP361&lt;&gt;"",INDEX(Raw_D1!$I$2:$I$1001,$AP361),IF($AR361&lt;&gt;"",INDEX(Raw_D3!$I$2:$I$1001,$AR361),"")))</f>
        <v>1</v>
      </c>
      <c r="J361" s="16">
        <f>IF($A361="","",IF($AP361&lt;&gt;"",INDEX(Raw_D1!$J$2:$J$1001,$AP361),IF($AR361&lt;&gt;"",INDEX(Raw_D3!$J$2:$J$1001,$AR361),"")))</f>
        <v>0.24</v>
      </c>
      <c r="K361" s="17">
        <f>IF($A361="","",IF($AQ361&lt;&gt;"",IF(INDEX(Raw_D2!$C$2:$C$1001,$AQ361)="","",INDEX(Raw_D2!$C$2:$C$1001,$AQ361)),IF($AR361&lt;&gt;"",IF(INDEX(Raw_D3!$K$2:$K$1001,$AR361)="","",INDEX(Raw_D3!$K$2:$K$1001,$AR361)),"")))</f>
        <v>0.2273</v>
      </c>
      <c r="L361" s="16">
        <f>IF($A361="","",IF($AQ361&lt;&gt;"",IF(INDEX(Raw_D2!$D$2:$D$1001,$AQ361)="","",INDEX(Raw_D2!$D$2:$D$1001,$AQ361)),IF($AR361&lt;&gt;"",IF(INDEX(Raw_D3!$L$2:$L$1001,$AR361)="","",INDEX(Raw_D3!$L$2:$L$1001,$AR361)),"")))</f>
        <v>0.44</v>
      </c>
      <c r="M361" s="17">
        <f>IF($A361="","",IF($AQ361&lt;&gt;"",IF(INDEX(Raw_D2!$E$2:$E$1001,$AQ361)="","",INDEX(Raw_D2!$E$2:$E$1001,$AQ361)),IF($AR361&lt;&gt;"",IF(INDEX(Raw_D3!$M$2:$M$1001,$AR361)="","",INDEX(Raw_D3!$M$2:$M$1001,$AR361)),"")))</f>
        <v>0.2537</v>
      </c>
      <c r="N361" s="5">
        <f>IF($A361="","",IF($AQ361&lt;&gt;"",IF(INDEX(Raw_D2!$F$2:$F$1001,$AQ361)="","",INDEX(Raw_D2!$F$2:$F$1001,$AQ361)),IF($AR361&lt;&gt;"",IF(INDEX(Raw_D3!$N$2:$N$1001,$AR361)="","",INDEX(Raw_D3!$N$2:$N$1001,$AR361)),"")))</f>
        <v>23</v>
      </c>
      <c r="O361" s="5">
        <f>IF($A361="","",IF($AQ361&lt;&gt;"",IF(INDEX(Raw_D2!$G$2:$G$1001,$AQ361)="","",INDEX(Raw_D2!$G$2:$G$1001,$AQ361)),IF($AR361&lt;&gt;"",IF(INDEX(Raw_D3!$O$2:$O$1001,$AR361)="","",INDEX(Raw_D3!$O$2:$O$1001,$AR361)),"")))</f>
        <v>70</v>
      </c>
      <c r="P361" s="5">
        <f>IF($A361="","",IF($AQ361&lt;&gt;"",IF(INDEX(Raw_D2!$H$2:$H$1001,$AQ361)="","",INDEX(Raw_D2!$H$2:$H$1001,$AQ361)),IF($AR361&lt;&gt;"",IF(INDEX(Raw_D3!$P$2:$P$1001,$AR361)="","",INDEX(Raw_D3!$P$2:$P$1001,$AR361)),"")))</f>
        <v>93</v>
      </c>
      <c r="Q361" s="5" t="str">
        <f>IF($A361="","",IF(AND($AP361&lt;&gt;"",$AQ361&lt;&gt;""),"D1+D2",IF($AR361&lt;&gt;"","D3","Incomplete")))</f>
        <v>D1+D2</v>
      </c>
      <c r="R361" s="17">
        <f>IF($A361="","",IF($K361="",IF($J361="","",ROUND(Lookups!$K$5+Lookups!$K$4*$J361,4)),$K361))</f>
        <v>0.2273</v>
      </c>
      <c r="S361" s="5" t="str">
        <f>IF($A361="","",IF($K361="","Imputed","Original"))</f>
        <v>Original</v>
      </c>
      <c r="T361" s="5" t="str">
        <f>IF($A361="","",IF($P361="","Missing",IF($P361=$N361+$O361,"OK","Mismatch")))</f>
        <v>OK</v>
      </c>
      <c r="U361" s="5" t="str">
        <f>IF($A361="","",IF(COUNTIF($A$2:$A361,$A361)&gt;1,"Duplicate","Unique"))</f>
        <v>Unique</v>
      </c>
      <c r="V361" s="5">
        <f>IF($A361="","",IF(AND($U361="Unique",ISNUMBER($P361)),1,0))</f>
        <v>1</v>
      </c>
      <c r="W361" s="5" t="str">
        <f>IF($A361="","",IF(OR($H361=0,$H361=6),"Weekend","Weekday"))</f>
        <v>Weekend</v>
      </c>
      <c r="X361" s="5" t="str">
        <f>IF($A361="","",TEXT($B361,"ddd"))</f>
        <v>Sun</v>
      </c>
      <c r="Y361" s="5" t="str">
        <f>IF($A361="","",TEXT($B361,"mmm"))</f>
        <v>Jan</v>
      </c>
      <c r="Z361" s="5" t="str">
        <f>IF($A361="","",IFERROR(VLOOKUP($C361,Lookups!$D$4:$E$7,2,FALSE),"Unknown"))</f>
        <v>Winter</v>
      </c>
      <c r="AA361" s="5" t="str">
        <f>IF($A361="","",IFERROR(VLOOKUP($I361,Lookups!$A$4:$B$7,2,FALSE),"Unknown"))</f>
        <v>Clear</v>
      </c>
      <c r="AB361" s="5" t="str">
        <f>IF($A361="","",TEXT($F361,"00")&amp;":00")</f>
        <v>11:00</v>
      </c>
      <c r="AC361" s="5" t="str">
        <f>IF($A361="","",VLOOKUP($F361,Lookups!$G$4:$H$8,2,TRUE))</f>
        <v>Midday (10-15)</v>
      </c>
      <c r="AD361" s="18">
        <f>IF($A361="","",IF($J361="","",ROUND($J361*41,1)))</f>
        <v>9.8</v>
      </c>
      <c r="AE361" s="18">
        <f>IF($A361="","",IF($R361="","",ROUND($R361*50,1)))</f>
        <v>11.4</v>
      </c>
      <c r="AF361" s="5">
        <f>IF($A361="","",IF($L361="","",ROUND($L361*100,0)))</f>
        <v>44</v>
      </c>
      <c r="AG361" s="18">
        <f>IF($A361="","",IF($M361="","",ROUND($M361*67,1)))</f>
        <v>17</v>
      </c>
      <c r="AH361" s="19">
        <f>IF($A361="","",IF($P361="","",IF($P361=0,0,$O361/$P361)))</f>
        <v>0.752688172043011</v>
      </c>
      <c r="AI361" s="5" t="str">
        <f>IF($A361="","",IF($P361="","",IF($P361&gt;=Lookups!$K$7,"High",IF($P361&lt;=Lookups!$K$8,"Low","Medium"))))</f>
        <v>High</v>
      </c>
      <c r="AJ361" s="5" t="str">
        <f>IF($A361="","",IF($AD361="","",IF($AD361&lt;5,"Under 5 C",IF($AD361&lt;10,"5-10 C",IF($AD361&lt;15,"10-15 C","15 C and above")))))</f>
        <v>5-10 C</v>
      </c>
      <c r="AK361" s="5">
        <f>IF($A361="","",IF($P361="","",$P361^2))</f>
        <v>8649</v>
      </c>
      <c r="AL361" s="18">
        <f>IF($V361&lt;&gt;1,"",AVERAGEIFS(Clean_Data!$P$2:$P$1001,Clean_Data!$F$2:$F$1001,$F361,Clean_Data!$W$2:$W$1001,$W361,Clean_Data!$V$2:$V$1001,1))</f>
        <v>76.9285714285714</v>
      </c>
      <c r="AM361" s="16">
        <f>IF($V361&lt;&gt;1,"",IFERROR(($P361-$AL361)/SQRT(MAX(0,(SUMIFS(Clean_Data!$AK$2:$AK$1001,Clean_Data!$F$2:$F$1001,$F361,Clean_Data!$W$2:$W$1001,$W361,Clean_Data!$V$2:$V$1001,1)-COUNTIFS(Clean_Data!$F$2:$F$1001,$F361,Clean_Data!$W$2:$W$1001,$W361,Clean_Data!$V$2:$V$1001,1)*$AL361^2)/(COUNTIFS(Clean_Data!$F$2:$F$1001,$F361,Clean_Data!$W$2:$W$1001,$W361,Clean_Data!$V$2:$V$1001,1)-1))),""))</f>
        <v>0.645968120478188</v>
      </c>
      <c r="AN361" s="5" t="str">
        <f>IF($AM361="","",IF($AM361&gt;=Lookups!$K$6,"High spike",IF($AM361&lt;=-Lookups!$K$6,"Unusual low","Normal")))</f>
        <v>Normal</v>
      </c>
      <c r="AO361" s="20">
        <f>IF($V361&lt;&gt;1,"",$P361+ROW()/100000)</f>
        <v>93.00361</v>
      </c>
      <c r="AP361" s="5">
        <f>IF($A361="","",IFERROR(MATCH($A361,Raw_D1!$A$2:$A$1001,0),""))</f>
        <v>360</v>
      </c>
      <c r="AQ361" s="5">
        <f>IF($A361="","",IFERROR(MATCH($A361,Raw_D2!$B$2:$B$1001,0),""))</f>
        <v>360</v>
      </c>
      <c r="AR361" s="5">
        <f>IF($A361="","",IFERROR(MATCH($A361,Raw_D3!$A$2:$A$1001,0),""))</f>
        <v/>
      </c>
    </row>
    <row r="362" spans="1:44" x14ac:dyDescent="0.25">
      <c r="A362" s="5">
        <v>361</v>
      </c>
      <c r="B362" s="11">
        <f>IF($A362="","",IF($AP362&lt;&gt;"",INDEX(Raw_D1!$B$2:$B$1001,$AP362),IF($AR362&lt;&gt;"",INDEX(Raw_D3!$B$2:$B$1001,$AR362),"")))</f>
        <v>40559.0</v>
      </c>
      <c r="C362" s="5">
        <f>IF($A362="","",IF($AP362&lt;&gt;"",INDEX(Raw_D1!$C$2:$C$1001,$AP362),IF($AR362&lt;&gt;"",INDEX(Raw_D3!$C$2:$C$1001,$AR362),"")))</f>
        <v>1</v>
      </c>
      <c r="D362" s="5">
        <f>IF($A362="","",IF($AP362&lt;&gt;"",INDEX(Raw_D1!$D$2:$D$1001,$AP362),IF($AR362&lt;&gt;"",INDEX(Raw_D3!$D$2:$D$1001,$AR362),"")))</f>
        <v>0</v>
      </c>
      <c r="E362" s="5">
        <f>IF($A362="","",IF($AP362&lt;&gt;"",INDEX(Raw_D1!$E$2:$E$1001,$AP362),IF($AR362&lt;&gt;"",INDEX(Raw_D3!$E$2:$E$1001,$AR362),"")))</f>
        <v>1</v>
      </c>
      <c r="F362" s="5">
        <f>IF($A362="","",IF($AP362&lt;&gt;"",INDEX(Raw_D1!$F$2:$F$1001,$AP362),IF($AR362&lt;&gt;"",INDEX(Raw_D3!$F$2:$F$1001,$AR362),"")))</f>
        <v>12</v>
      </c>
      <c r="G362" s="5">
        <f>IF($A362="","",IF($AP362&lt;&gt;"",IF(INDEX(Raw_D1!$G$2:$G$1001,$AP362),1,0),IF($AR362&lt;&gt;"",IF(INDEX(Raw_D3!$G$2:$G$1001,$AR362),1,0),"")))</f>
        <v>0</v>
      </c>
      <c r="H362" s="5">
        <f>IF($A362="","",IF($AP362&lt;&gt;"",INDEX(Raw_D1!$H$2:$H$1001,$AP362),IF($AR362&lt;&gt;"",INDEX(Raw_D3!$H$2:$H$1001,$AR362),"")))</f>
        <v>0</v>
      </c>
      <c r="I362" s="5">
        <f>IF($A362="","",IF($AP362&lt;&gt;"",INDEX(Raw_D1!$I$2:$I$1001,$AP362),IF($AR362&lt;&gt;"",INDEX(Raw_D3!$I$2:$I$1001,$AR362),"")))</f>
        <v>1</v>
      </c>
      <c r="J362" s="16">
        <f>IF($A362="","",IF($AP362&lt;&gt;"",INDEX(Raw_D1!$J$2:$J$1001,$AP362),IF($AR362&lt;&gt;"",INDEX(Raw_D3!$J$2:$J$1001,$AR362),"")))</f>
        <v>0.24</v>
      </c>
      <c r="K362" s="17">
        <f>IF($A362="","",IF($AQ362&lt;&gt;"",IF(INDEX(Raw_D2!$C$2:$C$1001,$AQ362)="","",INDEX(Raw_D2!$C$2:$C$1001,$AQ362)),IF($AR362&lt;&gt;"",IF(INDEX(Raw_D3!$K$2:$K$1001,$AR362)="","",INDEX(Raw_D3!$K$2:$K$1001,$AR362)),"")))</f>
        <v>0.2121</v>
      </c>
      <c r="L362" s="16">
        <f>IF($A362="","",IF($AQ362&lt;&gt;"",IF(INDEX(Raw_D2!$D$2:$D$1001,$AQ362)="","",INDEX(Raw_D2!$D$2:$D$1001,$AQ362)),IF($AR362&lt;&gt;"",IF(INDEX(Raw_D3!$L$2:$L$1001,$AR362)="","",INDEX(Raw_D3!$L$2:$L$1001,$AR362)),"")))</f>
        <v>0.41</v>
      </c>
      <c r="M362" s="17">
        <f>IF($A362="","",IF($AQ362&lt;&gt;"",IF(INDEX(Raw_D2!$E$2:$E$1001,$AQ362)="","",INDEX(Raw_D2!$E$2:$E$1001,$AQ362)),IF($AR362&lt;&gt;"",IF(INDEX(Raw_D3!$M$2:$M$1001,$AR362)="","",INDEX(Raw_D3!$M$2:$M$1001,$AR362)),"")))</f>
        <v>0.2836</v>
      </c>
      <c r="N362" s="5">
        <f>IF($A362="","",IF($AQ362&lt;&gt;"",IF(INDEX(Raw_D2!$F$2:$F$1001,$AQ362)="","",INDEX(Raw_D2!$F$2:$F$1001,$AQ362)),IF($AR362&lt;&gt;"",IF(INDEX(Raw_D3!$N$2:$N$1001,$AR362)="","",INDEX(Raw_D3!$N$2:$N$1001,$AR362)),"")))</f>
        <v>29</v>
      </c>
      <c r="O362" s="5">
        <f>IF($A362="","",IF($AQ362&lt;&gt;"",IF(INDEX(Raw_D2!$G$2:$G$1001,$AQ362)="","",INDEX(Raw_D2!$G$2:$G$1001,$AQ362)),IF($AR362&lt;&gt;"",IF(INDEX(Raw_D3!$O$2:$O$1001,$AR362)="","",INDEX(Raw_D3!$O$2:$O$1001,$AR362)),"")))</f>
        <v>75</v>
      </c>
      <c r="P362" s="5">
        <f>IF($A362="","",IF($AQ362&lt;&gt;"",IF(INDEX(Raw_D2!$H$2:$H$1001,$AQ362)="","",INDEX(Raw_D2!$H$2:$H$1001,$AQ362)),IF($AR362&lt;&gt;"",IF(INDEX(Raw_D3!$P$2:$P$1001,$AR362)="","",INDEX(Raw_D3!$P$2:$P$1001,$AR362)),"")))</f>
        <v>104</v>
      </c>
      <c r="Q362" s="5" t="str">
        <f>IF($A362="","",IF(AND($AP362&lt;&gt;"",$AQ362&lt;&gt;""),"D1+D2",IF($AR362&lt;&gt;"","D3","Incomplete")))</f>
        <v>D1+D2</v>
      </c>
      <c r="R362" s="17">
        <f>IF($A362="","",IF($K362="",IF($J362="","",ROUND(Lookups!$K$5+Lookups!$K$4*$J362,4)),$K362))</f>
        <v>0.2121</v>
      </c>
      <c r="S362" s="5" t="str">
        <f>IF($A362="","",IF($K362="","Imputed","Original"))</f>
        <v>Original</v>
      </c>
      <c r="T362" s="5" t="str">
        <f>IF($A362="","",IF($P362="","Missing",IF($P362=$N362+$O362,"OK","Mismatch")))</f>
        <v>OK</v>
      </c>
      <c r="U362" s="5" t="str">
        <f>IF($A362="","",IF(COUNTIF($A$2:$A362,$A362)&gt;1,"Duplicate","Unique"))</f>
        <v>Unique</v>
      </c>
      <c r="V362" s="5">
        <f>IF($A362="","",IF(AND($U362="Unique",ISNUMBER($P362)),1,0))</f>
        <v>1</v>
      </c>
      <c r="W362" s="5" t="str">
        <f>IF($A362="","",IF(OR($H362=0,$H362=6),"Weekend","Weekday"))</f>
        <v>Weekend</v>
      </c>
      <c r="X362" s="5" t="str">
        <f>IF($A362="","",TEXT($B362,"ddd"))</f>
        <v>Sun</v>
      </c>
      <c r="Y362" s="5" t="str">
        <f>IF($A362="","",TEXT($B362,"mmm"))</f>
        <v>Jan</v>
      </c>
      <c r="Z362" s="5" t="str">
        <f>IF($A362="","",IFERROR(VLOOKUP($C362,Lookups!$D$4:$E$7,2,FALSE),"Unknown"))</f>
        <v>Winter</v>
      </c>
      <c r="AA362" s="5" t="str">
        <f>IF($A362="","",IFERROR(VLOOKUP($I362,Lookups!$A$4:$B$7,2,FALSE),"Unknown"))</f>
        <v>Clear</v>
      </c>
      <c r="AB362" s="5" t="str">
        <f>IF($A362="","",TEXT($F362,"00")&amp;":00")</f>
        <v>12:00</v>
      </c>
      <c r="AC362" s="5" t="str">
        <f>IF($A362="","",VLOOKUP($F362,Lookups!$G$4:$H$8,2,TRUE))</f>
        <v>Midday (10-15)</v>
      </c>
      <c r="AD362" s="18">
        <f>IF($A362="","",IF($J362="","",ROUND($J362*41,1)))</f>
        <v>9.8</v>
      </c>
      <c r="AE362" s="18">
        <f>IF($A362="","",IF($R362="","",ROUND($R362*50,1)))</f>
        <v>10.6</v>
      </c>
      <c r="AF362" s="5">
        <f>IF($A362="","",IF($L362="","",ROUND($L362*100,0)))</f>
        <v>41</v>
      </c>
      <c r="AG362" s="18">
        <f>IF($A362="","",IF($M362="","",ROUND($M362*67,1)))</f>
        <v>19</v>
      </c>
      <c r="AH362" s="19">
        <f>IF($A362="","",IF($P362="","",IF($P362=0,0,$O362/$P362)))</f>
        <v>0.721153846153846</v>
      </c>
      <c r="AI362" s="5" t="str">
        <f>IF($A362="","",IF($P362="","",IF($P362&gt;=Lookups!$K$7,"High",IF($P362&lt;=Lookups!$K$8,"Low","Medium"))))</f>
        <v>High</v>
      </c>
      <c r="AJ362" s="5" t="str">
        <f>IF($A362="","",IF($AD362="","",IF($AD362&lt;5,"Under 5 C",IF($AD362&lt;10,"5-10 C",IF($AD362&lt;15,"10-15 C","15 C and above")))))</f>
        <v>5-10 C</v>
      </c>
      <c r="AK362" s="5">
        <f>IF($A362="","",IF($P362="","",$P362^2))</f>
        <v>10816</v>
      </c>
      <c r="AL362" s="18">
        <f>IF($V362&lt;&gt;1,"",AVERAGEIFS(Clean_Data!$P$2:$P$1001,Clean_Data!$F$2:$F$1001,$F362,Clean_Data!$W$2:$W$1001,$W362,Clean_Data!$V$2:$V$1001,1))</f>
        <v>100.714285714286</v>
      </c>
      <c r="AM362" s="16">
        <f>IF($V362&lt;&gt;1,"",IFERROR(($P362-$AL362)/SQRT(MAX(0,(SUMIFS(Clean_Data!$AK$2:$AK$1001,Clean_Data!$F$2:$F$1001,$F362,Clean_Data!$W$2:$W$1001,$W362,Clean_Data!$V$2:$V$1001,1)-COUNTIFS(Clean_Data!$F$2:$F$1001,$F362,Clean_Data!$W$2:$W$1001,$W362,Clean_Data!$V$2:$V$1001,1)*$AL362^2)/(COUNTIFS(Clean_Data!$F$2:$F$1001,$F362,Clean_Data!$W$2:$W$1001,$W362,Clean_Data!$V$2:$V$1001,1)-1))),""))</f>
        <v>0.102876379989279</v>
      </c>
      <c r="AN362" s="5" t="str">
        <f>IF($AM362="","",IF($AM362&gt;=Lookups!$K$6,"High spike",IF($AM362&lt;=-Lookups!$K$6,"Unusual low","Normal")))</f>
        <v>Normal</v>
      </c>
      <c r="AO362" s="20">
        <f>IF($V362&lt;&gt;1,"",$P362+ROW()/100000)</f>
        <v>104.00362</v>
      </c>
      <c r="AP362" s="5">
        <f>IF($A362="","",IFERROR(MATCH($A362,Raw_D1!$A$2:$A$1001,0),""))</f>
        <v>361</v>
      </c>
      <c r="AQ362" s="5">
        <f>IF($A362="","",IFERROR(MATCH($A362,Raw_D2!$B$2:$B$1001,0),""))</f>
        <v>361</v>
      </c>
      <c r="AR362" s="5">
        <f>IF($A362="","",IFERROR(MATCH($A362,Raw_D3!$A$2:$A$1001,0),""))</f>
        <v/>
      </c>
    </row>
    <row r="363" spans="1:44" x14ac:dyDescent="0.25">
      <c r="A363" s="5">
        <v>362</v>
      </c>
      <c r="B363" s="11">
        <f>IF($A363="","",IF($AP363&lt;&gt;"",INDEX(Raw_D1!$B$2:$B$1001,$AP363),IF($AR363&lt;&gt;"",INDEX(Raw_D3!$B$2:$B$1001,$AR363),"")))</f>
        <v>40559.0</v>
      </c>
      <c r="C363" s="5">
        <f>IF($A363="","",IF($AP363&lt;&gt;"",INDEX(Raw_D1!$C$2:$C$1001,$AP363),IF($AR363&lt;&gt;"",INDEX(Raw_D3!$C$2:$C$1001,$AR363),"")))</f>
        <v>1</v>
      </c>
      <c r="D363" s="5">
        <f>IF($A363="","",IF($AP363&lt;&gt;"",INDEX(Raw_D1!$D$2:$D$1001,$AP363),IF($AR363&lt;&gt;"",INDEX(Raw_D3!$D$2:$D$1001,$AR363),"")))</f>
        <v>0</v>
      </c>
      <c r="E363" s="5">
        <f>IF($A363="","",IF($AP363&lt;&gt;"",INDEX(Raw_D1!$E$2:$E$1001,$AP363),IF($AR363&lt;&gt;"",INDEX(Raw_D3!$E$2:$E$1001,$AR363),"")))</f>
        <v>1</v>
      </c>
      <c r="F363" s="5">
        <f>IF($A363="","",IF($AP363&lt;&gt;"",INDEX(Raw_D1!$F$2:$F$1001,$AP363),IF($AR363&lt;&gt;"",INDEX(Raw_D3!$F$2:$F$1001,$AR363),"")))</f>
        <v>13</v>
      </c>
      <c r="G363" s="5">
        <f>IF($A363="","",IF($AP363&lt;&gt;"",IF(INDEX(Raw_D1!$G$2:$G$1001,$AP363),1,0),IF($AR363&lt;&gt;"",IF(INDEX(Raw_D3!$G$2:$G$1001,$AR363),1,0),"")))</f>
        <v>0</v>
      </c>
      <c r="H363" s="5">
        <f>IF($A363="","",IF($AP363&lt;&gt;"",INDEX(Raw_D1!$H$2:$H$1001,$AP363),IF($AR363&lt;&gt;"",INDEX(Raw_D3!$H$2:$H$1001,$AR363),"")))</f>
        <v>0</v>
      </c>
      <c r="I363" s="5">
        <f>IF($A363="","",IF($AP363&lt;&gt;"",INDEX(Raw_D1!$I$2:$I$1001,$AP363),IF($AR363&lt;&gt;"",INDEX(Raw_D3!$I$2:$I$1001,$AR363),"")))</f>
        <v>1</v>
      </c>
      <c r="J363" s="16">
        <f>IF($A363="","",IF($AP363&lt;&gt;"",INDEX(Raw_D1!$J$2:$J$1001,$AP363),IF($AR363&lt;&gt;"",INDEX(Raw_D3!$J$2:$J$1001,$AR363),"")))</f>
        <v>0.26</v>
      </c>
      <c r="K363" s="17">
        <f>IF($A363="","",IF($AQ363&lt;&gt;"",IF(INDEX(Raw_D2!$C$2:$C$1001,$AQ363)="","",INDEX(Raw_D2!$C$2:$C$1001,$AQ363)),IF($AR363&lt;&gt;"",IF(INDEX(Raw_D3!$K$2:$K$1001,$AR363)="","",INDEX(Raw_D3!$K$2:$K$1001,$AR363)),"")))</f>
        <v>0.2273</v>
      </c>
      <c r="L363" s="16">
        <f>IF($A363="","",IF($AQ363&lt;&gt;"",IF(INDEX(Raw_D2!$D$2:$D$1001,$AQ363)="","",INDEX(Raw_D2!$D$2:$D$1001,$AQ363)),IF($AR363&lt;&gt;"",IF(INDEX(Raw_D3!$L$2:$L$1001,$AR363)="","",INDEX(Raw_D3!$L$2:$L$1001,$AR363)),"")))</f>
        <v>0.35</v>
      </c>
      <c r="M363" s="17">
        <f>IF($A363="","",IF($AQ363&lt;&gt;"",IF(INDEX(Raw_D2!$E$2:$E$1001,$AQ363)="","",INDEX(Raw_D2!$E$2:$E$1001,$AQ363)),IF($AR363&lt;&gt;"",IF(INDEX(Raw_D3!$M$2:$M$1001,$AR363)="","",INDEX(Raw_D3!$M$2:$M$1001,$AR363)),"")))</f>
        <v>0.2985</v>
      </c>
      <c r="N363" s="5">
        <f>IF($A363="","",IF($AQ363&lt;&gt;"",IF(INDEX(Raw_D2!$F$2:$F$1001,$AQ363)="","",INDEX(Raw_D2!$F$2:$F$1001,$AQ363)),IF($AR363&lt;&gt;"",IF(INDEX(Raw_D3!$N$2:$N$1001,$AR363)="","",INDEX(Raw_D3!$N$2:$N$1001,$AR363)),"")))</f>
        <v>23</v>
      </c>
      <c r="O363" s="5">
        <f>IF($A363="","",IF($AQ363&lt;&gt;"",IF(INDEX(Raw_D2!$G$2:$G$1001,$AQ363)="","",INDEX(Raw_D2!$G$2:$G$1001,$AQ363)),IF($AR363&lt;&gt;"",IF(INDEX(Raw_D3!$O$2:$O$1001,$AR363)="","",INDEX(Raw_D3!$O$2:$O$1001,$AR363)),"")))</f>
        <v>95</v>
      </c>
      <c r="P363" s="5">
        <f>IF($A363="","",IF($AQ363&lt;&gt;"",IF(INDEX(Raw_D2!$H$2:$H$1001,$AQ363)="","",INDEX(Raw_D2!$H$2:$H$1001,$AQ363)),IF($AR363&lt;&gt;"",IF(INDEX(Raw_D3!$P$2:$P$1001,$AR363)="","",INDEX(Raw_D3!$P$2:$P$1001,$AR363)),"")))</f>
        <v>118</v>
      </c>
      <c r="Q363" s="5" t="str">
        <f>IF($A363="","",IF(AND($AP363&lt;&gt;"",$AQ363&lt;&gt;""),"D1+D2",IF($AR363&lt;&gt;"","D3","Incomplete")))</f>
        <v>D1+D2</v>
      </c>
      <c r="R363" s="17">
        <f>IF($A363="","",IF($K363="",IF($J363="","",ROUND(Lookups!$K$5+Lookups!$K$4*$J363,4)),$K363))</f>
        <v>0.2273</v>
      </c>
      <c r="S363" s="5" t="str">
        <f>IF($A363="","",IF($K363="","Imputed","Original"))</f>
        <v>Original</v>
      </c>
      <c r="T363" s="5" t="str">
        <f>IF($A363="","",IF($P363="","Missing",IF($P363=$N363+$O363,"OK","Mismatch")))</f>
        <v>OK</v>
      </c>
      <c r="U363" s="5" t="str">
        <f>IF($A363="","",IF(COUNTIF($A$2:$A363,$A363)&gt;1,"Duplicate","Unique"))</f>
        <v>Unique</v>
      </c>
      <c r="V363" s="5">
        <f>IF($A363="","",IF(AND($U363="Unique",ISNUMBER($P363)),1,0))</f>
        <v>1</v>
      </c>
      <c r="W363" s="5" t="str">
        <f>IF($A363="","",IF(OR($H363=0,$H363=6),"Weekend","Weekday"))</f>
        <v>Weekend</v>
      </c>
      <c r="X363" s="5" t="str">
        <f>IF($A363="","",TEXT($B363,"ddd"))</f>
        <v>Sun</v>
      </c>
      <c r="Y363" s="5" t="str">
        <f>IF($A363="","",TEXT($B363,"mmm"))</f>
        <v>Jan</v>
      </c>
      <c r="Z363" s="5" t="str">
        <f>IF($A363="","",IFERROR(VLOOKUP($C363,Lookups!$D$4:$E$7,2,FALSE),"Unknown"))</f>
        <v>Winter</v>
      </c>
      <c r="AA363" s="5" t="str">
        <f>IF($A363="","",IFERROR(VLOOKUP($I363,Lookups!$A$4:$B$7,2,FALSE),"Unknown"))</f>
        <v>Clear</v>
      </c>
      <c r="AB363" s="5" t="str">
        <f>IF($A363="","",TEXT($F363,"00")&amp;":00")</f>
        <v>13:00</v>
      </c>
      <c r="AC363" s="5" t="str">
        <f>IF($A363="","",VLOOKUP($F363,Lookups!$G$4:$H$8,2,TRUE))</f>
        <v>Midday (10-15)</v>
      </c>
      <c r="AD363" s="18">
        <f>IF($A363="","",IF($J363="","",ROUND($J363*41,1)))</f>
        <v>10.7</v>
      </c>
      <c r="AE363" s="18">
        <f>IF($A363="","",IF($R363="","",ROUND($R363*50,1)))</f>
        <v>11.4</v>
      </c>
      <c r="AF363" s="5">
        <f>IF($A363="","",IF($L363="","",ROUND($L363*100,0)))</f>
        <v>35</v>
      </c>
      <c r="AG363" s="18">
        <f>IF($A363="","",IF($M363="","",ROUND($M363*67,1)))</f>
        <v>20</v>
      </c>
      <c r="AH363" s="19">
        <f>IF($A363="","",IF($P363="","",IF($P363=0,0,$O363/$P363)))</f>
        <v>0.805084745762712</v>
      </c>
      <c r="AI363" s="5" t="str">
        <f>IF($A363="","",IF($P363="","",IF($P363&gt;=Lookups!$K$7,"High",IF($P363&lt;=Lookups!$K$8,"Low","Medium"))))</f>
        <v>High</v>
      </c>
      <c r="AJ363" s="5" t="str">
        <f>IF($A363="","",IF($AD363="","",IF($AD363&lt;5,"Under 5 C",IF($AD363&lt;10,"5-10 C",IF($AD363&lt;15,"10-15 C","15 C and above")))))</f>
        <v>10-15 C</v>
      </c>
      <c r="AK363" s="5">
        <f>IF($A363="","",IF($P363="","",$P363^2))</f>
        <v>13924</v>
      </c>
      <c r="AL363" s="18">
        <f>IF($V363&lt;&gt;1,"",AVERAGEIFS(Clean_Data!$P$2:$P$1001,Clean_Data!$F$2:$F$1001,$F363,Clean_Data!$W$2:$W$1001,$W363,Clean_Data!$V$2:$V$1001,1))</f>
        <v>102</v>
      </c>
      <c r="AM363" s="16">
        <f>IF($V363&lt;&gt;1,"",IFERROR(($P363-$AL363)/SQRT(MAX(0,(SUMIFS(Clean_Data!$AK$2:$AK$1001,Clean_Data!$F$2:$F$1001,$F363,Clean_Data!$W$2:$W$1001,$W363,Clean_Data!$V$2:$V$1001,1)-COUNTIFS(Clean_Data!$F$2:$F$1001,$F363,Clean_Data!$W$2:$W$1001,$W363,Clean_Data!$V$2:$V$1001,1)*$AL363^2)/(COUNTIFS(Clean_Data!$F$2:$F$1001,$F363,Clean_Data!$W$2:$W$1001,$W363,Clean_Data!$V$2:$V$1001,1)-1))),""))</f>
        <v>0.469247480929986</v>
      </c>
      <c r="AN363" s="5" t="str">
        <f>IF($AM363="","",IF($AM363&gt;=Lookups!$K$6,"High spike",IF($AM363&lt;=-Lookups!$K$6,"Unusual low","Normal")))</f>
        <v>Normal</v>
      </c>
      <c r="AO363" s="20">
        <f>IF($V363&lt;&gt;1,"",$P363+ROW()/100000)</f>
        <v>118.00363</v>
      </c>
      <c r="AP363" s="5">
        <f>IF($A363="","",IFERROR(MATCH($A363,Raw_D1!$A$2:$A$1001,0),""))</f>
        <v>362</v>
      </c>
      <c r="AQ363" s="5">
        <f>IF($A363="","",IFERROR(MATCH($A363,Raw_D2!$B$2:$B$1001,0),""))</f>
        <v>362</v>
      </c>
      <c r="AR363" s="5">
        <f>IF($A363="","",IFERROR(MATCH($A363,Raw_D3!$A$2:$A$1001,0),""))</f>
        <v/>
      </c>
    </row>
    <row r="364" spans="1:44" x14ac:dyDescent="0.25">
      <c r="A364" s="5">
        <v>363</v>
      </c>
      <c r="B364" s="11">
        <f>IF($A364="","",IF($AP364&lt;&gt;"",INDEX(Raw_D1!$B$2:$B$1001,$AP364),IF($AR364&lt;&gt;"",INDEX(Raw_D3!$B$2:$B$1001,$AR364),"")))</f>
        <v>40559.0</v>
      </c>
      <c r="C364" s="5">
        <f>IF($A364="","",IF($AP364&lt;&gt;"",INDEX(Raw_D1!$C$2:$C$1001,$AP364),IF($AR364&lt;&gt;"",INDEX(Raw_D3!$C$2:$C$1001,$AR364),"")))</f>
        <v>1</v>
      </c>
      <c r="D364" s="5">
        <f>IF($A364="","",IF($AP364&lt;&gt;"",INDEX(Raw_D1!$D$2:$D$1001,$AP364),IF($AR364&lt;&gt;"",INDEX(Raw_D3!$D$2:$D$1001,$AR364),"")))</f>
        <v>0</v>
      </c>
      <c r="E364" s="5">
        <f>IF($A364="","",IF($AP364&lt;&gt;"",INDEX(Raw_D1!$E$2:$E$1001,$AP364),IF($AR364&lt;&gt;"",INDEX(Raw_D3!$E$2:$E$1001,$AR364),"")))</f>
        <v>1</v>
      </c>
      <c r="F364" s="5">
        <f>IF($A364="","",IF($AP364&lt;&gt;"",INDEX(Raw_D1!$F$2:$F$1001,$AP364),IF($AR364&lt;&gt;"",INDEX(Raw_D3!$F$2:$F$1001,$AR364),"")))</f>
        <v>14</v>
      </c>
      <c r="G364" s="5">
        <f>IF($A364="","",IF($AP364&lt;&gt;"",IF(INDEX(Raw_D1!$G$2:$G$1001,$AP364),1,0),IF($AR364&lt;&gt;"",IF(INDEX(Raw_D3!$G$2:$G$1001,$AR364),1,0),"")))</f>
        <v>0</v>
      </c>
      <c r="H364" s="5">
        <f>IF($A364="","",IF($AP364&lt;&gt;"",INDEX(Raw_D1!$H$2:$H$1001,$AP364),IF($AR364&lt;&gt;"",INDEX(Raw_D3!$H$2:$H$1001,$AR364),"")))</f>
        <v>0</v>
      </c>
      <c r="I364" s="5">
        <f>IF($A364="","",IF($AP364&lt;&gt;"",INDEX(Raw_D1!$I$2:$I$1001,$AP364),IF($AR364&lt;&gt;"",INDEX(Raw_D3!$I$2:$I$1001,$AR364),"")))</f>
        <v>1</v>
      </c>
      <c r="J364" s="16">
        <f>IF($A364="","",IF($AP364&lt;&gt;"",INDEX(Raw_D1!$J$2:$J$1001,$AP364),IF($AR364&lt;&gt;"",INDEX(Raw_D3!$J$2:$J$1001,$AR364),"")))</f>
        <v>0.28</v>
      </c>
      <c r="K364" s="17">
        <f>IF($A364="","",IF($AQ364&lt;&gt;"",IF(INDEX(Raw_D2!$C$2:$C$1001,$AQ364)="","",INDEX(Raw_D2!$C$2:$C$1001,$AQ364)),IF($AR364&lt;&gt;"",IF(INDEX(Raw_D3!$K$2:$K$1001,$AR364)="","",INDEX(Raw_D3!$K$2:$K$1001,$AR364)),"")))</f>
        <v>0.2727</v>
      </c>
      <c r="L364" s="16">
        <f>IF($A364="","",IF($AQ364&lt;&gt;"",IF(INDEX(Raw_D2!$D$2:$D$1001,$AQ364)="","",INDEX(Raw_D2!$D$2:$D$1001,$AQ364)),IF($AR364&lt;&gt;"",IF(INDEX(Raw_D3!$L$2:$L$1001,$AR364)="","",INDEX(Raw_D3!$L$2:$L$1001,$AR364)),"")))</f>
        <v>0.36</v>
      </c>
      <c r="M364" s="17">
        <f>IF($A364="","",IF($AQ364&lt;&gt;"",IF(INDEX(Raw_D2!$E$2:$E$1001,$AQ364)="","",INDEX(Raw_D2!$E$2:$E$1001,$AQ364)),IF($AR364&lt;&gt;"",IF(INDEX(Raw_D3!$M$2:$M$1001,$AR364)="","",INDEX(Raw_D3!$M$2:$M$1001,$AR364)),"")))</f>
        <v>0.2537</v>
      </c>
      <c r="N364" s="5">
        <f>IF($A364="","",IF($AQ364&lt;&gt;"",IF(INDEX(Raw_D2!$F$2:$F$1001,$AQ364)="","",INDEX(Raw_D2!$F$2:$F$1001,$AQ364)),IF($AR364&lt;&gt;"",IF(INDEX(Raw_D3!$N$2:$N$1001,$AR364)="","",INDEX(Raw_D3!$N$2:$N$1001,$AR364)),"")))</f>
        <v>22</v>
      </c>
      <c r="O364" s="5">
        <f>IF($A364="","",IF($AQ364&lt;&gt;"",IF(INDEX(Raw_D2!$G$2:$G$1001,$AQ364)="","",INDEX(Raw_D2!$G$2:$G$1001,$AQ364)),IF($AR364&lt;&gt;"",IF(INDEX(Raw_D3!$O$2:$O$1001,$AR364)="","",INDEX(Raw_D3!$O$2:$O$1001,$AR364)),"")))</f>
        <v>69</v>
      </c>
      <c r="P364" s="5">
        <f>IF($A364="","",IF($AQ364&lt;&gt;"",IF(INDEX(Raw_D2!$H$2:$H$1001,$AQ364)="","",INDEX(Raw_D2!$H$2:$H$1001,$AQ364)),IF($AR364&lt;&gt;"",IF(INDEX(Raw_D3!$P$2:$P$1001,$AR364)="","",INDEX(Raw_D3!$P$2:$P$1001,$AR364)),"")))</f>
        <v>91</v>
      </c>
      <c r="Q364" s="5" t="str">
        <f>IF($A364="","",IF(AND($AP364&lt;&gt;"",$AQ364&lt;&gt;""),"D1+D2",IF($AR364&lt;&gt;"","D3","Incomplete")))</f>
        <v>D1+D2</v>
      </c>
      <c r="R364" s="17">
        <f>IF($A364="","",IF($K364="",IF($J364="","",ROUND(Lookups!$K$5+Lookups!$K$4*$J364,4)),$K364))</f>
        <v>0.2727</v>
      </c>
      <c r="S364" s="5" t="str">
        <f>IF($A364="","",IF($K364="","Imputed","Original"))</f>
        <v>Original</v>
      </c>
      <c r="T364" s="5" t="str">
        <f>IF($A364="","",IF($P364="","Missing",IF($P364=$N364+$O364,"OK","Mismatch")))</f>
        <v>OK</v>
      </c>
      <c r="U364" s="5" t="str">
        <f>IF($A364="","",IF(COUNTIF($A$2:$A364,$A364)&gt;1,"Duplicate","Unique"))</f>
        <v>Unique</v>
      </c>
      <c r="V364" s="5">
        <f>IF($A364="","",IF(AND($U364="Unique",ISNUMBER($P364)),1,0))</f>
        <v>1</v>
      </c>
      <c r="W364" s="5" t="str">
        <f>IF($A364="","",IF(OR($H364=0,$H364=6),"Weekend","Weekday"))</f>
        <v>Weekend</v>
      </c>
      <c r="X364" s="5" t="str">
        <f>IF($A364="","",TEXT($B364,"ddd"))</f>
        <v>Sun</v>
      </c>
      <c r="Y364" s="5" t="str">
        <f>IF($A364="","",TEXT($B364,"mmm"))</f>
        <v>Jan</v>
      </c>
      <c r="Z364" s="5" t="str">
        <f>IF($A364="","",IFERROR(VLOOKUP($C364,Lookups!$D$4:$E$7,2,FALSE),"Unknown"))</f>
        <v>Winter</v>
      </c>
      <c r="AA364" s="5" t="str">
        <f>IF($A364="","",IFERROR(VLOOKUP($I364,Lookups!$A$4:$B$7,2,FALSE),"Unknown"))</f>
        <v>Clear</v>
      </c>
      <c r="AB364" s="5" t="str">
        <f>IF($A364="","",TEXT($F364,"00")&amp;":00")</f>
        <v>14:00</v>
      </c>
      <c r="AC364" s="5" t="str">
        <f>IF($A364="","",VLOOKUP($F364,Lookups!$G$4:$H$8,2,TRUE))</f>
        <v>Midday (10-15)</v>
      </c>
      <c r="AD364" s="18">
        <f>IF($A364="","",IF($J364="","",ROUND($J364*41,1)))</f>
        <v>11.5</v>
      </c>
      <c r="AE364" s="18">
        <f>IF($A364="","",IF($R364="","",ROUND($R364*50,1)))</f>
        <v>13.6</v>
      </c>
      <c r="AF364" s="5">
        <f>IF($A364="","",IF($L364="","",ROUND($L364*100,0)))</f>
        <v>36</v>
      </c>
      <c r="AG364" s="18">
        <f>IF($A364="","",IF($M364="","",ROUND($M364*67,1)))</f>
        <v>17</v>
      </c>
      <c r="AH364" s="19">
        <f>IF($A364="","",IF($P364="","",IF($P364=0,0,$O364/$P364)))</f>
        <v>0.758241758241758</v>
      </c>
      <c r="AI364" s="5" t="str">
        <f>IF($A364="","",IF($P364="","",IF($P364&gt;=Lookups!$K$7,"High",IF($P364&lt;=Lookups!$K$8,"Low","Medium"))))</f>
        <v>High</v>
      </c>
      <c r="AJ364" s="5" t="str">
        <f>IF($A364="","",IF($AD364="","",IF($AD364&lt;5,"Under 5 C",IF($AD364&lt;10,"5-10 C",IF($AD364&lt;15,"10-15 C","15 C and above")))))</f>
        <v>10-15 C</v>
      </c>
      <c r="AK364" s="5">
        <f>IF($A364="","",IF($P364="","",$P364^2))</f>
        <v>8281</v>
      </c>
      <c r="AL364" s="18">
        <f>IF($V364&lt;&gt;1,"",AVERAGEIFS(Clean_Data!$P$2:$P$1001,Clean_Data!$F$2:$F$1001,$F364,Clean_Data!$W$2:$W$1001,$W364,Clean_Data!$V$2:$V$1001,1))</f>
        <v>103.142857142857</v>
      </c>
      <c r="AM364" s="16">
        <f>IF($V364&lt;&gt;1,"",IFERROR(($P364-$AL364)/SQRT(MAX(0,(SUMIFS(Clean_Data!$AK$2:$AK$1001,Clean_Data!$F$2:$F$1001,$F364,Clean_Data!$W$2:$W$1001,$W364,Clean_Data!$V$2:$V$1001,1)-COUNTIFS(Clean_Data!$F$2:$F$1001,$F364,Clean_Data!$W$2:$W$1001,$W364,Clean_Data!$V$2:$V$1001,1)*$AL364^2)/(COUNTIFS(Clean_Data!$F$2:$F$1001,$F364,Clean_Data!$W$2:$W$1001,$W364,Clean_Data!$V$2:$V$1001,1)-1))),""))</f>
        <v>-0.371756700103638</v>
      </c>
      <c r="AN364" s="5" t="str">
        <f>IF($AM364="","",IF($AM364&gt;=Lookups!$K$6,"High spike",IF($AM364&lt;=-Lookups!$K$6,"Unusual low","Normal")))</f>
        <v>Normal</v>
      </c>
      <c r="AO364" s="20">
        <f>IF($V364&lt;&gt;1,"",$P364+ROW()/100000)</f>
        <v>91.00364</v>
      </c>
      <c r="AP364" s="5">
        <f>IF($A364="","",IFERROR(MATCH($A364,Raw_D1!$A$2:$A$1001,0),""))</f>
        <v>363</v>
      </c>
      <c r="AQ364" s="5">
        <f>IF($A364="","",IFERROR(MATCH($A364,Raw_D2!$B$2:$B$1001,0),""))</f>
        <v>363</v>
      </c>
      <c r="AR364" s="5">
        <f>IF($A364="","",IFERROR(MATCH($A364,Raw_D3!$A$2:$A$1001,0),""))</f>
        <v/>
      </c>
    </row>
    <row r="365" spans="1:44" x14ac:dyDescent="0.25">
      <c r="A365" s="5">
        <v>364</v>
      </c>
      <c r="B365" s="11">
        <f>IF($A365="","",IF($AP365&lt;&gt;"",INDEX(Raw_D1!$B$2:$B$1001,$AP365),IF($AR365&lt;&gt;"",INDEX(Raw_D3!$B$2:$B$1001,$AR365),"")))</f>
        <v>40559.0</v>
      </c>
      <c r="C365" s="5">
        <f>IF($A365="","",IF($AP365&lt;&gt;"",INDEX(Raw_D1!$C$2:$C$1001,$AP365),IF($AR365&lt;&gt;"",INDEX(Raw_D3!$C$2:$C$1001,$AR365),"")))</f>
        <v>1</v>
      </c>
      <c r="D365" s="5">
        <f>IF($A365="","",IF($AP365&lt;&gt;"",INDEX(Raw_D1!$D$2:$D$1001,$AP365),IF($AR365&lt;&gt;"",INDEX(Raw_D3!$D$2:$D$1001,$AR365),"")))</f>
        <v>0</v>
      </c>
      <c r="E365" s="5">
        <f>IF($A365="","",IF($AP365&lt;&gt;"",INDEX(Raw_D1!$E$2:$E$1001,$AP365),IF($AR365&lt;&gt;"",INDEX(Raw_D3!$E$2:$E$1001,$AR365),"")))</f>
        <v>1</v>
      </c>
      <c r="F365" s="5">
        <f>IF($A365="","",IF($AP365&lt;&gt;"",INDEX(Raw_D1!$F$2:$F$1001,$AP365),IF($AR365&lt;&gt;"",INDEX(Raw_D3!$F$2:$F$1001,$AR365),"")))</f>
        <v>15</v>
      </c>
      <c r="G365" s="5">
        <f>IF($A365="","",IF($AP365&lt;&gt;"",IF(INDEX(Raw_D1!$G$2:$G$1001,$AP365),1,0),IF($AR365&lt;&gt;"",IF(INDEX(Raw_D3!$G$2:$G$1001,$AR365),1,0),"")))</f>
        <v>0</v>
      </c>
      <c r="H365" s="5">
        <f>IF($A365="","",IF($AP365&lt;&gt;"",INDEX(Raw_D1!$H$2:$H$1001,$AP365),IF($AR365&lt;&gt;"",INDEX(Raw_D3!$H$2:$H$1001,$AR365),"")))</f>
        <v>0</v>
      </c>
      <c r="I365" s="5">
        <f>IF($A365="","",IF($AP365&lt;&gt;"",INDEX(Raw_D1!$I$2:$I$1001,$AP365),IF($AR365&lt;&gt;"",INDEX(Raw_D3!$I$2:$I$1001,$AR365),"")))</f>
        <v>1</v>
      </c>
      <c r="J365" s="16">
        <f>IF($A365="","",IF($AP365&lt;&gt;"",INDEX(Raw_D1!$J$2:$J$1001,$AP365),IF($AR365&lt;&gt;"",INDEX(Raw_D3!$J$2:$J$1001,$AR365),"")))</f>
        <v>0.26</v>
      </c>
      <c r="K365" s="17">
        <f>IF($A365="","",IF($AQ365&lt;&gt;"",IF(INDEX(Raw_D2!$C$2:$C$1001,$AQ365)="","",INDEX(Raw_D2!$C$2:$C$1001,$AQ365)),IF($AR365&lt;&gt;"",IF(INDEX(Raw_D3!$K$2:$K$1001,$AR365)="","",INDEX(Raw_D3!$K$2:$K$1001,$AR365)),"")))</f>
        <v>0.2424</v>
      </c>
      <c r="L365" s="16">
        <f>IF($A365="","",IF($AQ365&lt;&gt;"",IF(INDEX(Raw_D2!$D$2:$D$1001,$AQ365)="","",INDEX(Raw_D2!$D$2:$D$1001,$AQ365)),IF($AR365&lt;&gt;"",IF(INDEX(Raw_D3!$L$2:$L$1001,$AR365)="","",INDEX(Raw_D3!$L$2:$L$1001,$AR365)),"")))</f>
        <v>0.38</v>
      </c>
      <c r="M365" s="17">
        <f>IF($A365="","",IF($AQ365&lt;&gt;"",IF(INDEX(Raw_D2!$E$2:$E$1001,$AQ365)="","",INDEX(Raw_D2!$E$2:$E$1001,$AQ365)),IF($AR365&lt;&gt;"",IF(INDEX(Raw_D3!$M$2:$M$1001,$AR365)="","",INDEX(Raw_D3!$M$2:$M$1001,$AR365)),"")))</f>
        <v>0.2537</v>
      </c>
      <c r="N365" s="5">
        <f>IF($A365="","",IF($AQ365&lt;&gt;"",IF(INDEX(Raw_D2!$F$2:$F$1001,$AQ365)="","",INDEX(Raw_D2!$F$2:$F$1001,$AQ365)),IF($AR365&lt;&gt;"",IF(INDEX(Raw_D3!$N$2:$N$1001,$AR365)="","",INDEX(Raw_D3!$N$2:$N$1001,$AR365)),"")))</f>
        <v>35</v>
      </c>
      <c r="O365" s="5">
        <f>IF($A365="","",IF($AQ365&lt;&gt;"",IF(INDEX(Raw_D2!$G$2:$G$1001,$AQ365)="","",INDEX(Raw_D2!$G$2:$G$1001,$AQ365)),IF($AR365&lt;&gt;"",IF(INDEX(Raw_D3!$O$2:$O$1001,$AR365)="","",INDEX(Raw_D3!$O$2:$O$1001,$AR365)),"")))</f>
        <v>78</v>
      </c>
      <c r="P365" s="5">
        <f>IF($A365="","",IF($AQ365&lt;&gt;"",IF(INDEX(Raw_D2!$H$2:$H$1001,$AQ365)="","",INDEX(Raw_D2!$H$2:$H$1001,$AQ365)),IF($AR365&lt;&gt;"",IF(INDEX(Raw_D3!$P$2:$P$1001,$AR365)="","",INDEX(Raw_D3!$P$2:$P$1001,$AR365)),"")))</f>
        <v>113</v>
      </c>
      <c r="Q365" s="5" t="str">
        <f>IF($A365="","",IF(AND($AP365&lt;&gt;"",$AQ365&lt;&gt;""),"D1+D2",IF($AR365&lt;&gt;"","D3","Incomplete")))</f>
        <v>D1+D2</v>
      </c>
      <c r="R365" s="17">
        <f>IF($A365="","",IF($K365="",IF($J365="","",ROUND(Lookups!$K$5+Lookups!$K$4*$J365,4)),$K365))</f>
        <v>0.2424</v>
      </c>
      <c r="S365" s="5" t="str">
        <f>IF($A365="","",IF($K365="","Imputed","Original"))</f>
        <v>Original</v>
      </c>
      <c r="T365" s="5" t="str">
        <f>IF($A365="","",IF($P365="","Missing",IF($P365=$N365+$O365,"OK","Mismatch")))</f>
        <v>OK</v>
      </c>
      <c r="U365" s="5" t="str">
        <f>IF($A365="","",IF(COUNTIF($A$2:$A365,$A365)&gt;1,"Duplicate","Unique"))</f>
        <v>Unique</v>
      </c>
      <c r="V365" s="5">
        <f>IF($A365="","",IF(AND($U365="Unique",ISNUMBER($P365)),1,0))</f>
        <v>1</v>
      </c>
      <c r="W365" s="5" t="str">
        <f>IF($A365="","",IF(OR($H365=0,$H365=6),"Weekend","Weekday"))</f>
        <v>Weekend</v>
      </c>
      <c r="X365" s="5" t="str">
        <f>IF($A365="","",TEXT($B365,"ddd"))</f>
        <v>Sun</v>
      </c>
      <c r="Y365" s="5" t="str">
        <f>IF($A365="","",TEXT($B365,"mmm"))</f>
        <v>Jan</v>
      </c>
      <c r="Z365" s="5" t="str">
        <f>IF($A365="","",IFERROR(VLOOKUP($C365,Lookups!$D$4:$E$7,2,FALSE),"Unknown"))</f>
        <v>Winter</v>
      </c>
      <c r="AA365" s="5" t="str">
        <f>IF($A365="","",IFERROR(VLOOKUP($I365,Lookups!$A$4:$B$7,2,FALSE),"Unknown"))</f>
        <v>Clear</v>
      </c>
      <c r="AB365" s="5" t="str">
        <f>IF($A365="","",TEXT($F365,"00")&amp;":00")</f>
        <v>15:00</v>
      </c>
      <c r="AC365" s="5" t="str">
        <f>IF($A365="","",VLOOKUP($F365,Lookups!$G$4:$H$8,2,TRUE))</f>
        <v>Midday (10-15)</v>
      </c>
      <c r="AD365" s="18">
        <f>IF($A365="","",IF($J365="","",ROUND($J365*41,1)))</f>
        <v>10.7</v>
      </c>
      <c r="AE365" s="18">
        <f>IF($A365="","",IF($R365="","",ROUND($R365*50,1)))</f>
        <v>12.1</v>
      </c>
      <c r="AF365" s="5">
        <f>IF($A365="","",IF($L365="","",ROUND($L365*100,0)))</f>
        <v>38</v>
      </c>
      <c r="AG365" s="18">
        <f>IF($A365="","",IF($M365="","",ROUND($M365*67,1)))</f>
        <v>17</v>
      </c>
      <c r="AH365" s="19">
        <f>IF($A365="","",IF($P365="","",IF($P365=0,0,$O365/$P365)))</f>
        <v>0.690265486725664</v>
      </c>
      <c r="AI365" s="5" t="str">
        <f>IF($A365="","",IF($P365="","",IF($P365&gt;=Lookups!$K$7,"High",IF($P365&lt;=Lookups!$K$8,"Low","Medium"))))</f>
        <v>High</v>
      </c>
      <c r="AJ365" s="5" t="str">
        <f>IF($A365="","",IF($AD365="","",IF($AD365&lt;5,"Under 5 C",IF($AD365&lt;10,"5-10 C",IF($AD365&lt;15,"10-15 C","15 C and above")))))</f>
        <v>10-15 C</v>
      </c>
      <c r="AK365" s="5">
        <f>IF($A365="","",IF($P365="","",$P365^2))</f>
        <v>12769</v>
      </c>
      <c r="AL365" s="18">
        <f>IF($V365&lt;&gt;1,"",AVERAGEIFS(Clean_Data!$P$2:$P$1001,Clean_Data!$F$2:$F$1001,$F365,Clean_Data!$W$2:$W$1001,$W365,Clean_Data!$V$2:$V$1001,1))</f>
        <v>112.071428571429</v>
      </c>
      <c r="AM365" s="16">
        <f>IF($V365&lt;&gt;1,"",IFERROR(($P365-$AL365)/SQRT(MAX(0,(SUMIFS(Clean_Data!$AK$2:$AK$1001,Clean_Data!$F$2:$F$1001,$F365,Clean_Data!$W$2:$W$1001,$W365,Clean_Data!$V$2:$V$1001,1)-COUNTIFS(Clean_Data!$F$2:$F$1001,$F365,Clean_Data!$W$2:$W$1001,$W365,Clean_Data!$V$2:$V$1001,1)*$AL365^2)/(COUNTIFS(Clean_Data!$F$2:$F$1001,$F365,Clean_Data!$W$2:$W$1001,$W365,Clean_Data!$V$2:$V$1001,1)-1))),""))</f>
        <v>0.0240317950696615</v>
      </c>
      <c r="AN365" s="5" t="str">
        <f>IF($AM365="","",IF($AM365&gt;=Lookups!$K$6,"High spike",IF($AM365&lt;=-Lookups!$K$6,"Unusual low","Normal")))</f>
        <v>Normal</v>
      </c>
      <c r="AO365" s="20">
        <f>IF($V365&lt;&gt;1,"",$P365+ROW()/100000)</f>
        <v>113.00365</v>
      </c>
      <c r="AP365" s="5">
        <f>IF($A365="","",IFERROR(MATCH($A365,Raw_D1!$A$2:$A$1001,0),""))</f>
        <v>364</v>
      </c>
      <c r="AQ365" s="5">
        <f>IF($A365="","",IFERROR(MATCH($A365,Raw_D2!$B$2:$B$1001,0),""))</f>
        <v>364</v>
      </c>
      <c r="AR365" s="5">
        <f>IF($A365="","",IFERROR(MATCH($A365,Raw_D3!$A$2:$A$1001,0),""))</f>
        <v/>
      </c>
    </row>
    <row r="366" spans="1:44" x14ac:dyDescent="0.25">
      <c r="A366" s="5">
        <v>365</v>
      </c>
      <c r="B366" s="11">
        <f>IF($A366="","",IF($AP366&lt;&gt;"",INDEX(Raw_D1!$B$2:$B$1001,$AP366),IF($AR366&lt;&gt;"",INDEX(Raw_D3!$B$2:$B$1001,$AR366),"")))</f>
        <v>40559.0</v>
      </c>
      <c r="C366" s="5">
        <f>IF($A366="","",IF($AP366&lt;&gt;"",INDEX(Raw_D1!$C$2:$C$1001,$AP366),IF($AR366&lt;&gt;"",INDEX(Raw_D3!$C$2:$C$1001,$AR366),"")))</f>
        <v>1</v>
      </c>
      <c r="D366" s="5">
        <f>IF($A366="","",IF($AP366&lt;&gt;"",INDEX(Raw_D1!$D$2:$D$1001,$AP366),IF($AR366&lt;&gt;"",INDEX(Raw_D3!$D$2:$D$1001,$AR366),"")))</f>
        <v>0</v>
      </c>
      <c r="E366" s="5">
        <f>IF($A366="","",IF($AP366&lt;&gt;"",INDEX(Raw_D1!$E$2:$E$1001,$AP366),IF($AR366&lt;&gt;"",INDEX(Raw_D3!$E$2:$E$1001,$AR366),"")))</f>
        <v>1</v>
      </c>
      <c r="F366" s="5">
        <f>IF($A366="","",IF($AP366&lt;&gt;"",INDEX(Raw_D1!$F$2:$F$1001,$AP366),IF($AR366&lt;&gt;"",INDEX(Raw_D3!$F$2:$F$1001,$AR366),"")))</f>
        <v>16</v>
      </c>
      <c r="G366" s="5">
        <f>IF($A366="","",IF($AP366&lt;&gt;"",IF(INDEX(Raw_D1!$G$2:$G$1001,$AP366),1,0),IF($AR366&lt;&gt;"",IF(INDEX(Raw_D3!$G$2:$G$1001,$AR366),1,0),"")))</f>
        <v>0</v>
      </c>
      <c r="H366" s="5">
        <f>IF($A366="","",IF($AP366&lt;&gt;"",INDEX(Raw_D1!$H$2:$H$1001,$AP366),IF($AR366&lt;&gt;"",INDEX(Raw_D3!$H$2:$H$1001,$AR366),"")))</f>
        <v>0</v>
      </c>
      <c r="I366" s="5">
        <f>IF($A366="","",IF($AP366&lt;&gt;"",INDEX(Raw_D1!$I$2:$I$1001,$AP366),IF($AR366&lt;&gt;"",INDEX(Raw_D3!$I$2:$I$1001,$AR366),"")))</f>
        <v>1</v>
      </c>
      <c r="J366" s="16">
        <f>IF($A366="","",IF($AP366&lt;&gt;"",INDEX(Raw_D1!$J$2:$J$1001,$AP366),IF($AR366&lt;&gt;"",INDEX(Raw_D3!$J$2:$J$1001,$AR366),"")))</f>
        <v>0.24</v>
      </c>
      <c r="K366" s="17">
        <f>IF($A366="","",IF($AQ366&lt;&gt;"",IF(INDEX(Raw_D2!$C$2:$C$1001,$AQ366)="","",INDEX(Raw_D2!$C$2:$C$1001,$AQ366)),IF($AR366&lt;&gt;"",IF(INDEX(Raw_D3!$K$2:$K$1001,$AR366)="","",INDEX(Raw_D3!$K$2:$K$1001,$AR366)),"")))</f>
        <v>0.2273</v>
      </c>
      <c r="L366" s="16">
        <f>IF($A366="","",IF($AQ366&lt;&gt;"",IF(INDEX(Raw_D2!$D$2:$D$1001,$AQ366)="","",INDEX(Raw_D2!$D$2:$D$1001,$AQ366)),IF($AR366&lt;&gt;"",IF(INDEX(Raw_D3!$L$2:$L$1001,$AR366)="","",INDEX(Raw_D3!$L$2:$L$1001,$AR366)),"")))</f>
        <v>0.38</v>
      </c>
      <c r="M366" s="17">
        <f>IF($A366="","",IF($AQ366&lt;&gt;"",IF(INDEX(Raw_D2!$E$2:$E$1001,$AQ366)="","",INDEX(Raw_D2!$E$2:$E$1001,$AQ366)),IF($AR366&lt;&gt;"",IF(INDEX(Raw_D3!$M$2:$M$1001,$AR366)="","",INDEX(Raw_D3!$M$2:$M$1001,$AR366)),"")))</f>
        <v>0.2239</v>
      </c>
      <c r="N366" s="5">
        <f>IF($A366="","",IF($AQ366&lt;&gt;"",IF(INDEX(Raw_D2!$F$2:$F$1001,$AQ366)="","",INDEX(Raw_D2!$F$2:$F$1001,$AQ366)),IF($AR366&lt;&gt;"",IF(INDEX(Raw_D3!$N$2:$N$1001,$AR366)="","",INDEX(Raw_D3!$N$2:$N$1001,$AR366)),"")))</f>
        <v>22</v>
      </c>
      <c r="O366" s="5">
        <f>IF($A366="","",IF($AQ366&lt;&gt;"",IF(INDEX(Raw_D2!$G$2:$G$1001,$AQ366)="","",INDEX(Raw_D2!$G$2:$G$1001,$AQ366)),IF($AR366&lt;&gt;"",IF(INDEX(Raw_D3!$O$2:$O$1001,$AR366)="","",INDEX(Raw_D3!$O$2:$O$1001,$AR366)),"")))</f>
        <v>77</v>
      </c>
      <c r="P366" s="5">
        <f>IF($A366="","",IF($AQ366&lt;&gt;"",IF(INDEX(Raw_D2!$H$2:$H$1001,$AQ366)="","",INDEX(Raw_D2!$H$2:$H$1001,$AQ366)),IF($AR366&lt;&gt;"",IF(INDEX(Raw_D3!$P$2:$P$1001,$AR366)="","",INDEX(Raw_D3!$P$2:$P$1001,$AR366)),"")))</f>
        <v>99</v>
      </c>
      <c r="Q366" s="5" t="str">
        <f>IF($A366="","",IF(AND($AP366&lt;&gt;"",$AQ366&lt;&gt;""),"D1+D2",IF($AR366&lt;&gt;"","D3","Incomplete")))</f>
        <v>D1+D2</v>
      </c>
      <c r="R366" s="17">
        <f>IF($A366="","",IF($K366="",IF($J366="","",ROUND(Lookups!$K$5+Lookups!$K$4*$J366,4)),$K366))</f>
        <v>0.2273</v>
      </c>
      <c r="S366" s="5" t="str">
        <f>IF($A366="","",IF($K366="","Imputed","Original"))</f>
        <v>Original</v>
      </c>
      <c r="T366" s="5" t="str">
        <f>IF($A366="","",IF($P366="","Missing",IF($P366=$N366+$O366,"OK","Mismatch")))</f>
        <v>OK</v>
      </c>
      <c r="U366" s="5" t="str">
        <f>IF($A366="","",IF(COUNTIF($A$2:$A366,$A366)&gt;1,"Duplicate","Unique"))</f>
        <v>Unique</v>
      </c>
      <c r="V366" s="5">
        <f>IF($A366="","",IF(AND($U366="Unique",ISNUMBER($P366)),1,0))</f>
        <v>1</v>
      </c>
      <c r="W366" s="5" t="str">
        <f>IF($A366="","",IF(OR($H366=0,$H366=6),"Weekend","Weekday"))</f>
        <v>Weekend</v>
      </c>
      <c r="X366" s="5" t="str">
        <f>IF($A366="","",TEXT($B366,"ddd"))</f>
        <v>Sun</v>
      </c>
      <c r="Y366" s="5" t="str">
        <f>IF($A366="","",TEXT($B366,"mmm"))</f>
        <v>Jan</v>
      </c>
      <c r="Z366" s="5" t="str">
        <f>IF($A366="","",IFERROR(VLOOKUP($C366,Lookups!$D$4:$E$7,2,FALSE),"Unknown"))</f>
        <v>Winter</v>
      </c>
      <c r="AA366" s="5" t="str">
        <f>IF($A366="","",IFERROR(VLOOKUP($I366,Lookups!$A$4:$B$7,2,FALSE),"Unknown"))</f>
        <v>Clear</v>
      </c>
      <c r="AB366" s="5" t="str">
        <f>IF($A366="","",TEXT($F366,"00")&amp;":00")</f>
        <v>16:00</v>
      </c>
      <c r="AC366" s="5" t="str">
        <f>IF($A366="","",VLOOKUP($F366,Lookups!$G$4:$H$8,2,TRUE))</f>
        <v>Evening Peak (16-19)</v>
      </c>
      <c r="AD366" s="18">
        <f>IF($A366="","",IF($J366="","",ROUND($J366*41,1)))</f>
        <v>9.8</v>
      </c>
      <c r="AE366" s="18">
        <f>IF($A366="","",IF($R366="","",ROUND($R366*50,1)))</f>
        <v>11.4</v>
      </c>
      <c r="AF366" s="5">
        <f>IF($A366="","",IF($L366="","",ROUND($L366*100,0)))</f>
        <v>38</v>
      </c>
      <c r="AG366" s="18">
        <f>IF($A366="","",IF($M366="","",ROUND($M366*67,1)))</f>
        <v>15</v>
      </c>
      <c r="AH366" s="19">
        <f>IF($A366="","",IF($P366="","",IF($P366=0,0,$O366/$P366)))</f>
        <v>0.777777777777778</v>
      </c>
      <c r="AI366" s="5" t="str">
        <f>IF($A366="","",IF($P366="","",IF($P366&gt;=Lookups!$K$7,"High",IF($P366&lt;=Lookups!$K$8,"Low","Medium"))))</f>
        <v>High</v>
      </c>
      <c r="AJ366" s="5" t="str">
        <f>IF($A366="","",IF($AD366="","",IF($AD366&lt;5,"Under 5 C",IF($AD366&lt;10,"5-10 C",IF($AD366&lt;15,"10-15 C","15 C and above")))))</f>
        <v>5-10 C</v>
      </c>
      <c r="AK366" s="5">
        <f>IF($A366="","",IF($P366="","",$P366^2))</f>
        <v>9801</v>
      </c>
      <c r="AL366" s="18">
        <f>IF($V366&lt;&gt;1,"",AVERAGEIFS(Clean_Data!$P$2:$P$1001,Clean_Data!$F$2:$F$1001,$F366,Clean_Data!$W$2:$W$1001,$W366,Clean_Data!$V$2:$V$1001,1))</f>
        <v>103.5</v>
      </c>
      <c r="AM366" s="16">
        <f>IF($V366&lt;&gt;1,"",IFERROR(($P366-$AL366)/SQRT(MAX(0,(SUMIFS(Clean_Data!$AK$2:$AK$1001,Clean_Data!$F$2:$F$1001,$F366,Clean_Data!$W$2:$W$1001,$W366,Clean_Data!$V$2:$V$1001,1)-COUNTIFS(Clean_Data!$F$2:$F$1001,$F366,Clean_Data!$W$2:$W$1001,$W366,Clean_Data!$V$2:$V$1001,1)*$AL366^2)/(COUNTIFS(Clean_Data!$F$2:$F$1001,$F366,Clean_Data!$W$2:$W$1001,$W366,Clean_Data!$V$2:$V$1001,1)-1))),""))</f>
        <v>-0.153028407063273</v>
      </c>
      <c r="AN366" s="5" t="str">
        <f>IF($AM366="","",IF($AM366&gt;=Lookups!$K$6,"High spike",IF($AM366&lt;=-Lookups!$K$6,"Unusual low","Normal")))</f>
        <v>Normal</v>
      </c>
      <c r="AO366" s="20">
        <f>IF($V366&lt;&gt;1,"",$P366+ROW()/100000)</f>
        <v>99.00366</v>
      </c>
      <c r="AP366" s="5">
        <f>IF($A366="","",IFERROR(MATCH($A366,Raw_D1!$A$2:$A$1001,0),""))</f>
        <v>365</v>
      </c>
      <c r="AQ366" s="5">
        <f>IF($A366="","",IFERROR(MATCH($A366,Raw_D2!$B$2:$B$1001,0),""))</f>
        <v>365</v>
      </c>
      <c r="AR366" s="5">
        <f>IF($A366="","",IFERROR(MATCH($A366,Raw_D3!$A$2:$A$1001,0),""))</f>
        <v/>
      </c>
    </row>
    <row r="367" spans="1:44" x14ac:dyDescent="0.25">
      <c r="A367" s="5">
        <v>366</v>
      </c>
      <c r="B367" s="11">
        <f>IF($A367="","",IF($AP367&lt;&gt;"",INDEX(Raw_D1!$B$2:$B$1001,$AP367),IF($AR367&lt;&gt;"",INDEX(Raw_D3!$B$2:$B$1001,$AR367),"")))</f>
        <v>40559.0</v>
      </c>
      <c r="C367" s="5">
        <f>IF($A367="","",IF($AP367&lt;&gt;"",INDEX(Raw_D1!$C$2:$C$1001,$AP367),IF($AR367&lt;&gt;"",INDEX(Raw_D3!$C$2:$C$1001,$AR367),"")))</f>
        <v>1</v>
      </c>
      <c r="D367" s="5">
        <f>IF($A367="","",IF($AP367&lt;&gt;"",INDEX(Raw_D1!$D$2:$D$1001,$AP367),IF($AR367&lt;&gt;"",INDEX(Raw_D3!$D$2:$D$1001,$AR367),"")))</f>
        <v>0</v>
      </c>
      <c r="E367" s="5">
        <f>IF($A367="","",IF($AP367&lt;&gt;"",INDEX(Raw_D1!$E$2:$E$1001,$AP367),IF($AR367&lt;&gt;"",INDEX(Raw_D3!$E$2:$E$1001,$AR367),"")))</f>
        <v>1</v>
      </c>
      <c r="F367" s="5">
        <f>IF($A367="","",IF($AP367&lt;&gt;"",INDEX(Raw_D1!$F$2:$F$1001,$AP367),IF($AR367&lt;&gt;"",INDEX(Raw_D3!$F$2:$F$1001,$AR367),"")))</f>
        <v>17</v>
      </c>
      <c r="G367" s="5">
        <f>IF($A367="","",IF($AP367&lt;&gt;"",IF(INDEX(Raw_D1!$G$2:$G$1001,$AP367),1,0),IF($AR367&lt;&gt;"",IF(INDEX(Raw_D3!$G$2:$G$1001,$AR367),1,0),"")))</f>
        <v>0</v>
      </c>
      <c r="H367" s="5">
        <f>IF($A367="","",IF($AP367&lt;&gt;"",INDEX(Raw_D1!$H$2:$H$1001,$AP367),IF($AR367&lt;&gt;"",INDEX(Raw_D3!$H$2:$H$1001,$AR367),"")))</f>
        <v>0</v>
      </c>
      <c r="I367" s="5">
        <f>IF($A367="","",IF($AP367&lt;&gt;"",INDEX(Raw_D1!$I$2:$I$1001,$AP367),IF($AR367&lt;&gt;"",INDEX(Raw_D3!$I$2:$I$1001,$AR367),"")))</f>
        <v>1</v>
      </c>
      <c r="J367" s="16">
        <f>IF($A367="","",IF($AP367&lt;&gt;"",INDEX(Raw_D1!$J$2:$J$1001,$AP367),IF($AR367&lt;&gt;"",INDEX(Raw_D3!$J$2:$J$1001,$AR367),"")))</f>
        <v>0.22</v>
      </c>
      <c r="K367" s="17">
        <f>IF($A367="","",IF($AQ367&lt;&gt;"",IF(INDEX(Raw_D2!$C$2:$C$1001,$AQ367)="","",INDEX(Raw_D2!$C$2:$C$1001,$AQ367)),IF($AR367&lt;&gt;"",IF(INDEX(Raw_D3!$K$2:$K$1001,$AR367)="","",INDEX(Raw_D3!$K$2:$K$1001,$AR367)),"")))</f>
        <v>0.2121</v>
      </c>
      <c r="L367" s="16">
        <f>IF($A367="","",IF($AQ367&lt;&gt;"",IF(INDEX(Raw_D2!$D$2:$D$1001,$AQ367)="","",INDEX(Raw_D2!$D$2:$D$1001,$AQ367)),IF($AR367&lt;&gt;"",IF(INDEX(Raw_D3!$L$2:$L$1001,$AR367)="","",INDEX(Raw_D3!$L$2:$L$1001,$AR367)),"")))</f>
        <v>0.37</v>
      </c>
      <c r="M367" s="17">
        <f>IF($A367="","",IF($AQ367&lt;&gt;"",IF(INDEX(Raw_D2!$E$2:$E$1001,$AQ367)="","",INDEX(Raw_D2!$E$2:$E$1001,$AQ367)),IF($AR367&lt;&gt;"",IF(INDEX(Raw_D3!$M$2:$M$1001,$AR367)="","",INDEX(Raw_D3!$M$2:$M$1001,$AR367)),"")))</f>
        <v>0.2537</v>
      </c>
      <c r="N367" s="5">
        <f>IF($A367="","",IF($AQ367&lt;&gt;"",IF(INDEX(Raw_D2!$F$2:$F$1001,$AQ367)="","",INDEX(Raw_D2!$F$2:$F$1001,$AQ367)),IF($AR367&lt;&gt;"",IF(INDEX(Raw_D3!$N$2:$N$1001,$AR367)="","",INDEX(Raw_D3!$N$2:$N$1001,$AR367)),"")))</f>
        <v>23</v>
      </c>
      <c r="O367" s="5">
        <f>IF($A367="","",IF($AQ367&lt;&gt;"",IF(INDEX(Raw_D2!$G$2:$G$1001,$AQ367)="","",INDEX(Raw_D2!$G$2:$G$1001,$AQ367)),IF($AR367&lt;&gt;"",IF(INDEX(Raw_D3!$O$2:$O$1001,$AR367)="","",INDEX(Raw_D3!$O$2:$O$1001,$AR367)),"")))</f>
        <v>82</v>
      </c>
      <c r="P367" s="5">
        <f>IF($A367="","",IF($AQ367&lt;&gt;"",IF(INDEX(Raw_D2!$H$2:$H$1001,$AQ367)="","",INDEX(Raw_D2!$H$2:$H$1001,$AQ367)),IF($AR367&lt;&gt;"",IF(INDEX(Raw_D3!$P$2:$P$1001,$AR367)="","",INDEX(Raw_D3!$P$2:$P$1001,$AR367)),"")))</f>
        <v>105</v>
      </c>
      <c r="Q367" s="5" t="str">
        <f>IF($A367="","",IF(AND($AP367&lt;&gt;"",$AQ367&lt;&gt;""),"D1+D2",IF($AR367&lt;&gt;"","D3","Incomplete")))</f>
        <v>D1+D2</v>
      </c>
      <c r="R367" s="17">
        <f>IF($A367="","",IF($K367="",IF($J367="","",ROUND(Lookups!$K$5+Lookups!$K$4*$J367,4)),$K367))</f>
        <v>0.2121</v>
      </c>
      <c r="S367" s="5" t="str">
        <f>IF($A367="","",IF($K367="","Imputed","Original"))</f>
        <v>Original</v>
      </c>
      <c r="T367" s="5" t="str">
        <f>IF($A367="","",IF($P367="","Missing",IF($P367=$N367+$O367,"OK","Mismatch")))</f>
        <v>OK</v>
      </c>
      <c r="U367" s="5" t="str">
        <f>IF($A367="","",IF(COUNTIF($A$2:$A367,$A367)&gt;1,"Duplicate","Unique"))</f>
        <v>Unique</v>
      </c>
      <c r="V367" s="5">
        <f>IF($A367="","",IF(AND($U367="Unique",ISNUMBER($P367)),1,0))</f>
        <v>1</v>
      </c>
      <c r="W367" s="5" t="str">
        <f>IF($A367="","",IF(OR($H367=0,$H367=6),"Weekend","Weekday"))</f>
        <v>Weekend</v>
      </c>
      <c r="X367" s="5" t="str">
        <f>IF($A367="","",TEXT($B367,"ddd"))</f>
        <v>Sun</v>
      </c>
      <c r="Y367" s="5" t="str">
        <f>IF($A367="","",TEXT($B367,"mmm"))</f>
        <v>Jan</v>
      </c>
      <c r="Z367" s="5" t="str">
        <f>IF($A367="","",IFERROR(VLOOKUP($C367,Lookups!$D$4:$E$7,2,FALSE),"Unknown"))</f>
        <v>Winter</v>
      </c>
      <c r="AA367" s="5" t="str">
        <f>IF($A367="","",IFERROR(VLOOKUP($I367,Lookups!$A$4:$B$7,2,FALSE),"Unknown"))</f>
        <v>Clear</v>
      </c>
      <c r="AB367" s="5" t="str">
        <f>IF($A367="","",TEXT($F367,"00")&amp;":00")</f>
        <v>17:00</v>
      </c>
      <c r="AC367" s="5" t="str">
        <f>IF($A367="","",VLOOKUP($F367,Lookups!$G$4:$H$8,2,TRUE))</f>
        <v>Evening Peak (16-19)</v>
      </c>
      <c r="AD367" s="18">
        <f>IF($A367="","",IF($J367="","",ROUND($J367*41,1)))</f>
        <v>9</v>
      </c>
      <c r="AE367" s="18">
        <f>IF($A367="","",IF($R367="","",ROUND($R367*50,1)))</f>
        <v>10.6</v>
      </c>
      <c r="AF367" s="5">
        <f>IF($A367="","",IF($L367="","",ROUND($L367*100,0)))</f>
        <v>37</v>
      </c>
      <c r="AG367" s="18">
        <f>IF($A367="","",IF($M367="","",ROUND($M367*67,1)))</f>
        <v>17</v>
      </c>
      <c r="AH367" s="19">
        <f>IF($A367="","",IF($P367="","",IF($P367=0,0,$O367/$P367)))</f>
        <v>0.780952380952381</v>
      </c>
      <c r="AI367" s="5" t="str">
        <f>IF($A367="","",IF($P367="","",IF($P367&gt;=Lookups!$K$7,"High",IF($P367&lt;=Lookups!$K$8,"Low","Medium"))))</f>
        <v>High</v>
      </c>
      <c r="AJ367" s="5" t="str">
        <f>IF($A367="","",IF($AD367="","",IF($AD367&lt;5,"Under 5 C",IF($AD367&lt;10,"5-10 C",IF($AD367&lt;15,"10-15 C","15 C and above")))))</f>
        <v>5-10 C</v>
      </c>
      <c r="AK367" s="5">
        <f>IF($A367="","",IF($P367="","",$P367^2))</f>
        <v>11025</v>
      </c>
      <c r="AL367" s="18">
        <f>IF($V367&lt;&gt;1,"",AVERAGEIFS(Clean_Data!$P$2:$P$1001,Clean_Data!$F$2:$F$1001,$F367,Clean_Data!$W$2:$W$1001,$W367,Clean_Data!$V$2:$V$1001,1))</f>
        <v>85.8571428571429</v>
      </c>
      <c r="AM367" s="16">
        <f>IF($V367&lt;&gt;1,"",IFERROR(($P367-$AL367)/SQRT(MAX(0,(SUMIFS(Clean_Data!$AK$2:$AK$1001,Clean_Data!$F$2:$F$1001,$F367,Clean_Data!$W$2:$W$1001,$W367,Clean_Data!$V$2:$V$1001,1)-COUNTIFS(Clean_Data!$F$2:$F$1001,$F367,Clean_Data!$W$2:$W$1001,$W367,Clean_Data!$V$2:$V$1001,1)*$AL367^2)/(COUNTIFS(Clean_Data!$F$2:$F$1001,$F367,Clean_Data!$W$2:$W$1001,$W367,Clean_Data!$V$2:$V$1001,1)-1))),""))</f>
        <v>0.732616638459903</v>
      </c>
      <c r="AN367" s="5" t="str">
        <f>IF($AM367="","",IF($AM367&gt;=Lookups!$K$6,"High spike",IF($AM367&lt;=-Lookups!$K$6,"Unusual low","Normal")))</f>
        <v>Normal</v>
      </c>
      <c r="AO367" s="20">
        <f>IF($V367&lt;&gt;1,"",$P367+ROW()/100000)</f>
        <v>105.00367</v>
      </c>
      <c r="AP367" s="5">
        <f>IF($A367="","",IFERROR(MATCH($A367,Raw_D1!$A$2:$A$1001,0),""))</f>
        <v>366</v>
      </c>
      <c r="AQ367" s="5">
        <f>IF($A367="","",IFERROR(MATCH($A367,Raw_D2!$B$2:$B$1001,0),""))</f>
        <v>366</v>
      </c>
      <c r="AR367" s="5">
        <f>IF($A367="","",IFERROR(MATCH($A367,Raw_D3!$A$2:$A$1001,0),""))</f>
        <v/>
      </c>
    </row>
    <row r="368" spans="1:44" x14ac:dyDescent="0.25">
      <c r="A368" s="5">
        <v>367</v>
      </c>
      <c r="B368" s="11">
        <f>IF($A368="","",IF($AP368&lt;&gt;"",INDEX(Raw_D1!$B$2:$B$1001,$AP368),IF($AR368&lt;&gt;"",INDEX(Raw_D3!$B$2:$B$1001,$AR368),"")))</f>
        <v>40559.0</v>
      </c>
      <c r="C368" s="5">
        <f>IF($A368="","",IF($AP368&lt;&gt;"",INDEX(Raw_D1!$C$2:$C$1001,$AP368),IF($AR368&lt;&gt;"",INDEX(Raw_D3!$C$2:$C$1001,$AR368),"")))</f>
        <v>1</v>
      </c>
      <c r="D368" s="5">
        <f>IF($A368="","",IF($AP368&lt;&gt;"",INDEX(Raw_D1!$D$2:$D$1001,$AP368),IF($AR368&lt;&gt;"",INDEX(Raw_D3!$D$2:$D$1001,$AR368),"")))</f>
        <v>0</v>
      </c>
      <c r="E368" s="5">
        <f>IF($A368="","",IF($AP368&lt;&gt;"",INDEX(Raw_D1!$E$2:$E$1001,$AP368),IF($AR368&lt;&gt;"",INDEX(Raw_D3!$E$2:$E$1001,$AR368),"")))</f>
        <v>1</v>
      </c>
      <c r="F368" s="5">
        <f>IF($A368="","",IF($AP368&lt;&gt;"",INDEX(Raw_D1!$F$2:$F$1001,$AP368),IF($AR368&lt;&gt;"",INDEX(Raw_D3!$F$2:$F$1001,$AR368),"")))</f>
        <v>18</v>
      </c>
      <c r="G368" s="5">
        <f>IF($A368="","",IF($AP368&lt;&gt;"",IF(INDEX(Raw_D1!$G$2:$G$1001,$AP368),1,0),IF($AR368&lt;&gt;"",IF(INDEX(Raw_D3!$G$2:$G$1001,$AR368),1,0),"")))</f>
        <v>0</v>
      </c>
      <c r="H368" s="5">
        <f>IF($A368="","",IF($AP368&lt;&gt;"",INDEX(Raw_D1!$H$2:$H$1001,$AP368),IF($AR368&lt;&gt;"",INDEX(Raw_D3!$H$2:$H$1001,$AR368),"")))</f>
        <v>0</v>
      </c>
      <c r="I368" s="5">
        <f>IF($A368="","",IF($AP368&lt;&gt;"",INDEX(Raw_D1!$I$2:$I$1001,$AP368),IF($AR368&lt;&gt;"",INDEX(Raw_D3!$I$2:$I$1001,$AR368),"")))</f>
        <v>1</v>
      </c>
      <c r="J368" s="16">
        <f>IF($A368="","",IF($AP368&lt;&gt;"",INDEX(Raw_D1!$J$2:$J$1001,$AP368),IF($AR368&lt;&gt;"",INDEX(Raw_D3!$J$2:$J$1001,$AR368),"")))</f>
        <v>0.2</v>
      </c>
      <c r="K368" s="17">
        <f>IF($A368="","",IF($AQ368&lt;&gt;"",IF(INDEX(Raw_D2!$C$2:$C$1001,$AQ368)="","",INDEX(Raw_D2!$C$2:$C$1001,$AQ368)),IF($AR368&lt;&gt;"",IF(INDEX(Raw_D3!$K$2:$K$1001,$AR368)="","",INDEX(Raw_D3!$K$2:$K$1001,$AR368)),"")))</f>
        <v>0.2121</v>
      </c>
      <c r="L368" s="16">
        <f>IF($A368="","",IF($AQ368&lt;&gt;"",IF(INDEX(Raw_D2!$D$2:$D$1001,$AQ368)="","",INDEX(Raw_D2!$D$2:$D$1001,$AQ368)),IF($AR368&lt;&gt;"",IF(INDEX(Raw_D3!$L$2:$L$1001,$AR368)="","",INDEX(Raw_D3!$L$2:$L$1001,$AR368)),"")))</f>
        <v>0.4</v>
      </c>
      <c r="M368" s="17">
        <f>IF($A368="","",IF($AQ368&lt;&gt;"",IF(INDEX(Raw_D2!$E$2:$E$1001,$AQ368)="","",INDEX(Raw_D2!$E$2:$E$1001,$AQ368)),IF($AR368&lt;&gt;"",IF(INDEX(Raw_D3!$M$2:$M$1001,$AR368)="","",INDEX(Raw_D3!$M$2:$M$1001,$AR368)),"")))</f>
        <v>0.1642</v>
      </c>
      <c r="N368" s="5">
        <f>IF($A368="","",IF($AQ368&lt;&gt;"",IF(INDEX(Raw_D2!$F$2:$F$1001,$AQ368)="","",INDEX(Raw_D2!$F$2:$F$1001,$AQ368)),IF($AR368&lt;&gt;"",IF(INDEX(Raw_D3!$N$2:$N$1001,$AR368)="","",INDEX(Raw_D3!$N$2:$N$1001,$AR368)),"")))</f>
        <v>11</v>
      </c>
      <c r="O368" s="5">
        <f>IF($A368="","",IF($AQ368&lt;&gt;"",IF(INDEX(Raw_D2!$G$2:$G$1001,$AQ368)="","",INDEX(Raw_D2!$G$2:$G$1001,$AQ368)),IF($AR368&lt;&gt;"",IF(INDEX(Raw_D3!$O$2:$O$1001,$AR368)="","",INDEX(Raw_D3!$O$2:$O$1001,$AR368)),"")))</f>
        <v>56</v>
      </c>
      <c r="P368" s="5">
        <f>IF($A368="","",IF($AQ368&lt;&gt;"",IF(INDEX(Raw_D2!$H$2:$H$1001,$AQ368)="","",INDEX(Raw_D2!$H$2:$H$1001,$AQ368)),IF($AR368&lt;&gt;"",IF(INDEX(Raw_D3!$P$2:$P$1001,$AR368)="","",INDEX(Raw_D3!$P$2:$P$1001,$AR368)),"")))</f>
        <v>67</v>
      </c>
      <c r="Q368" s="5" t="str">
        <f>IF($A368="","",IF(AND($AP368&lt;&gt;"",$AQ368&lt;&gt;""),"D1+D2",IF($AR368&lt;&gt;"","D3","Incomplete")))</f>
        <v>D1+D2</v>
      </c>
      <c r="R368" s="17">
        <f>IF($A368="","",IF($K368="",IF($J368="","",ROUND(Lookups!$K$5+Lookups!$K$4*$J368,4)),$K368))</f>
        <v>0.2121</v>
      </c>
      <c r="S368" s="5" t="str">
        <f>IF($A368="","",IF($K368="","Imputed","Original"))</f>
        <v>Original</v>
      </c>
      <c r="T368" s="5" t="str">
        <f>IF($A368="","",IF($P368="","Missing",IF($P368=$N368+$O368,"OK","Mismatch")))</f>
        <v>OK</v>
      </c>
      <c r="U368" s="5" t="str">
        <f>IF($A368="","",IF(COUNTIF($A$2:$A368,$A368)&gt;1,"Duplicate","Unique"))</f>
        <v>Unique</v>
      </c>
      <c r="V368" s="5">
        <f>IF($A368="","",IF(AND($U368="Unique",ISNUMBER($P368)),1,0))</f>
        <v>1</v>
      </c>
      <c r="W368" s="5" t="str">
        <f>IF($A368="","",IF(OR($H368=0,$H368=6),"Weekend","Weekday"))</f>
        <v>Weekend</v>
      </c>
      <c r="X368" s="5" t="str">
        <f>IF($A368="","",TEXT($B368,"ddd"))</f>
        <v>Sun</v>
      </c>
      <c r="Y368" s="5" t="str">
        <f>IF($A368="","",TEXT($B368,"mmm"))</f>
        <v>Jan</v>
      </c>
      <c r="Z368" s="5" t="str">
        <f>IF($A368="","",IFERROR(VLOOKUP($C368,Lookups!$D$4:$E$7,2,FALSE),"Unknown"))</f>
        <v>Winter</v>
      </c>
      <c r="AA368" s="5" t="str">
        <f>IF($A368="","",IFERROR(VLOOKUP($I368,Lookups!$A$4:$B$7,2,FALSE),"Unknown"))</f>
        <v>Clear</v>
      </c>
      <c r="AB368" s="5" t="str">
        <f>IF($A368="","",TEXT($F368,"00")&amp;":00")</f>
        <v>18:00</v>
      </c>
      <c r="AC368" s="5" t="str">
        <f>IF($A368="","",VLOOKUP($F368,Lookups!$G$4:$H$8,2,TRUE))</f>
        <v>Evening Peak (16-19)</v>
      </c>
      <c r="AD368" s="18">
        <f>IF($A368="","",IF($J368="","",ROUND($J368*41,1)))</f>
        <v>8.2</v>
      </c>
      <c r="AE368" s="18">
        <f>IF($A368="","",IF($R368="","",ROUND($R368*50,1)))</f>
        <v>10.6</v>
      </c>
      <c r="AF368" s="5">
        <f>IF($A368="","",IF($L368="","",ROUND($L368*100,0)))</f>
        <v>40</v>
      </c>
      <c r="AG368" s="18">
        <f>IF($A368="","",IF($M368="","",ROUND($M368*67,1)))</f>
        <v>11</v>
      </c>
      <c r="AH368" s="19">
        <f>IF($A368="","",IF($P368="","",IF($P368=0,0,$O368/$P368)))</f>
        <v>0.835820895522388</v>
      </c>
      <c r="AI368" s="5" t="str">
        <f>IF($A368="","",IF($P368="","",IF($P368&gt;=Lookups!$K$7,"High",IF($P368&lt;=Lookups!$K$8,"Low","Medium"))))</f>
        <v>Medium</v>
      </c>
      <c r="AJ368" s="5" t="str">
        <f>IF($A368="","",IF($AD368="","",IF($AD368&lt;5,"Under 5 C",IF($AD368&lt;10,"5-10 C",IF($AD368&lt;15,"10-15 C","15 C and above")))))</f>
        <v>5-10 C</v>
      </c>
      <c r="AK368" s="5">
        <f>IF($A368="","",IF($P368="","",$P368^2))</f>
        <v>4489</v>
      </c>
      <c r="AL368" s="18">
        <f>IF($V368&lt;&gt;1,"",AVERAGEIFS(Clean_Data!$P$2:$P$1001,Clean_Data!$F$2:$F$1001,$F368,Clean_Data!$W$2:$W$1001,$W368,Clean_Data!$V$2:$V$1001,1))</f>
        <v>64.1428571428571</v>
      </c>
      <c r="AM368" s="16">
        <f>IF($V368&lt;&gt;1,"",IFERROR(($P368-$AL368)/SQRT(MAX(0,(SUMIFS(Clean_Data!$AK$2:$AK$1001,Clean_Data!$F$2:$F$1001,$F368,Clean_Data!$W$2:$W$1001,$W368,Clean_Data!$V$2:$V$1001,1)-COUNTIFS(Clean_Data!$F$2:$F$1001,$F368,Clean_Data!$W$2:$W$1001,$W368,Clean_Data!$V$2:$V$1001,1)*$AL368^2)/(COUNTIFS(Clean_Data!$F$2:$F$1001,$F368,Clean_Data!$W$2:$W$1001,$W368,Clean_Data!$V$2:$V$1001,1)-1))),""))</f>
        <v>0.172468028178731</v>
      </c>
      <c r="AN368" s="5" t="str">
        <f>IF($AM368="","",IF($AM368&gt;=Lookups!$K$6,"High spike",IF($AM368&lt;=-Lookups!$K$6,"Unusual low","Normal")))</f>
        <v>Normal</v>
      </c>
      <c r="AO368" s="20">
        <f>IF($V368&lt;&gt;1,"",$P368+ROW()/100000)</f>
        <v>67.00368</v>
      </c>
      <c r="AP368" s="5">
        <f>IF($A368="","",IFERROR(MATCH($A368,Raw_D1!$A$2:$A$1001,0),""))</f>
        <v>367</v>
      </c>
      <c r="AQ368" s="5">
        <f>IF($A368="","",IFERROR(MATCH($A368,Raw_D2!$B$2:$B$1001,0),""))</f>
        <v>367</v>
      </c>
      <c r="AR368" s="5">
        <f>IF($A368="","",IFERROR(MATCH($A368,Raw_D3!$A$2:$A$1001,0),""))</f>
        <v/>
      </c>
    </row>
    <row r="369" spans="1:44" x14ac:dyDescent="0.25">
      <c r="A369" s="5">
        <v>368</v>
      </c>
      <c r="B369" s="11">
        <f>IF($A369="","",IF($AP369&lt;&gt;"",INDEX(Raw_D1!$B$2:$B$1001,$AP369),IF($AR369&lt;&gt;"",INDEX(Raw_D3!$B$2:$B$1001,$AR369),"")))</f>
        <v>40559.0</v>
      </c>
      <c r="C369" s="5">
        <f>IF($A369="","",IF($AP369&lt;&gt;"",INDEX(Raw_D1!$C$2:$C$1001,$AP369),IF($AR369&lt;&gt;"",INDEX(Raw_D3!$C$2:$C$1001,$AR369),"")))</f>
        <v>1</v>
      </c>
      <c r="D369" s="5">
        <f>IF($A369="","",IF($AP369&lt;&gt;"",INDEX(Raw_D1!$D$2:$D$1001,$AP369),IF($AR369&lt;&gt;"",INDEX(Raw_D3!$D$2:$D$1001,$AR369),"")))</f>
        <v>0</v>
      </c>
      <c r="E369" s="5">
        <f>IF($A369="","",IF($AP369&lt;&gt;"",INDEX(Raw_D1!$E$2:$E$1001,$AP369),IF($AR369&lt;&gt;"",INDEX(Raw_D3!$E$2:$E$1001,$AR369),"")))</f>
        <v>1</v>
      </c>
      <c r="F369" s="5">
        <f>IF($A369="","",IF($AP369&lt;&gt;"",INDEX(Raw_D1!$F$2:$F$1001,$AP369),IF($AR369&lt;&gt;"",INDEX(Raw_D3!$F$2:$F$1001,$AR369),"")))</f>
        <v>19</v>
      </c>
      <c r="G369" s="5">
        <f>IF($A369="","",IF($AP369&lt;&gt;"",IF(INDEX(Raw_D1!$G$2:$G$1001,$AP369),1,0),IF($AR369&lt;&gt;"",IF(INDEX(Raw_D3!$G$2:$G$1001,$AR369),1,0),"")))</f>
        <v>0</v>
      </c>
      <c r="H369" s="5">
        <f>IF($A369="","",IF($AP369&lt;&gt;"",INDEX(Raw_D1!$H$2:$H$1001,$AP369),IF($AR369&lt;&gt;"",INDEX(Raw_D3!$H$2:$H$1001,$AR369),"")))</f>
        <v>0</v>
      </c>
      <c r="I369" s="5">
        <f>IF($A369="","",IF($AP369&lt;&gt;"",INDEX(Raw_D1!$I$2:$I$1001,$AP369),IF($AR369&lt;&gt;"",INDEX(Raw_D3!$I$2:$I$1001,$AR369),"")))</f>
        <v>1</v>
      </c>
      <c r="J369" s="16">
        <f>IF($A369="","",IF($AP369&lt;&gt;"",INDEX(Raw_D1!$J$2:$J$1001,$AP369),IF($AR369&lt;&gt;"",INDEX(Raw_D3!$J$2:$J$1001,$AR369),"")))</f>
        <v>0.18</v>
      </c>
      <c r="K369" s="17">
        <f>IF($A369="","",IF($AQ369&lt;&gt;"",IF(INDEX(Raw_D2!$C$2:$C$1001,$AQ369)="","",INDEX(Raw_D2!$C$2:$C$1001,$AQ369)),IF($AR369&lt;&gt;"",IF(INDEX(Raw_D3!$K$2:$K$1001,$AR369)="","",INDEX(Raw_D3!$K$2:$K$1001,$AR369)),"")))</f>
        <v>0.197</v>
      </c>
      <c r="L369" s="16">
        <f>IF($A369="","",IF($AQ369&lt;&gt;"",IF(INDEX(Raw_D2!$D$2:$D$1001,$AQ369)="","",INDEX(Raw_D2!$D$2:$D$1001,$AQ369)),IF($AR369&lt;&gt;"",IF(INDEX(Raw_D3!$L$2:$L$1001,$AR369)="","",INDEX(Raw_D3!$L$2:$L$1001,$AR369)),"")))</f>
        <v>0.47</v>
      </c>
      <c r="M369" s="17">
        <f>IF($A369="","",IF($AQ369&lt;&gt;"",IF(INDEX(Raw_D2!$E$2:$E$1001,$AQ369)="","",INDEX(Raw_D2!$E$2:$E$1001,$AQ369)),IF($AR369&lt;&gt;"",IF(INDEX(Raw_D3!$M$2:$M$1001,$AR369)="","",INDEX(Raw_D3!$M$2:$M$1001,$AR369)),"")))</f>
        <v>0.1343</v>
      </c>
      <c r="N369" s="5">
        <f>IF($A369="","",IF($AQ369&lt;&gt;"",IF(INDEX(Raw_D2!$F$2:$F$1001,$AQ369)="","",INDEX(Raw_D2!$F$2:$F$1001,$AQ369)),IF($AR369&lt;&gt;"",IF(INDEX(Raw_D3!$N$2:$N$1001,$AR369)="","",INDEX(Raw_D3!$N$2:$N$1001,$AR369)),"")))</f>
        <v>14</v>
      </c>
      <c r="O369" s="5">
        <f>IF($A369="","",IF($AQ369&lt;&gt;"",IF(INDEX(Raw_D2!$G$2:$G$1001,$AQ369)="","",INDEX(Raw_D2!$G$2:$G$1001,$AQ369)),IF($AR369&lt;&gt;"",IF(INDEX(Raw_D3!$O$2:$O$1001,$AR369)="","",INDEX(Raw_D3!$O$2:$O$1001,$AR369)),"")))</f>
        <v>47</v>
      </c>
      <c r="P369" s="5">
        <f>IF($A369="","",IF($AQ369&lt;&gt;"",IF(INDEX(Raw_D2!$H$2:$H$1001,$AQ369)="","",INDEX(Raw_D2!$H$2:$H$1001,$AQ369)),IF($AR369&lt;&gt;"",IF(INDEX(Raw_D3!$P$2:$P$1001,$AR369)="","",INDEX(Raw_D3!$P$2:$P$1001,$AR369)),"")))</f>
        <v>61</v>
      </c>
      <c r="Q369" s="5" t="str">
        <f>IF($A369="","",IF(AND($AP369&lt;&gt;"",$AQ369&lt;&gt;""),"D1+D2",IF($AR369&lt;&gt;"","D3","Incomplete")))</f>
        <v>D1+D2</v>
      </c>
      <c r="R369" s="17">
        <f>IF($A369="","",IF($K369="",IF($J369="","",ROUND(Lookups!$K$5+Lookups!$K$4*$J369,4)),$K369))</f>
        <v>0.197</v>
      </c>
      <c r="S369" s="5" t="str">
        <f>IF($A369="","",IF($K369="","Imputed","Original"))</f>
        <v>Original</v>
      </c>
      <c r="T369" s="5" t="str">
        <f>IF($A369="","",IF($P369="","Missing",IF($P369=$N369+$O369,"OK","Mismatch")))</f>
        <v>OK</v>
      </c>
      <c r="U369" s="5" t="str">
        <f>IF($A369="","",IF(COUNTIF($A$2:$A369,$A369)&gt;1,"Duplicate","Unique"))</f>
        <v>Unique</v>
      </c>
      <c r="V369" s="5">
        <f>IF($A369="","",IF(AND($U369="Unique",ISNUMBER($P369)),1,0))</f>
        <v>1</v>
      </c>
      <c r="W369" s="5" t="str">
        <f>IF($A369="","",IF(OR($H369=0,$H369=6),"Weekend","Weekday"))</f>
        <v>Weekend</v>
      </c>
      <c r="X369" s="5" t="str">
        <f>IF($A369="","",TEXT($B369,"ddd"))</f>
        <v>Sun</v>
      </c>
      <c r="Y369" s="5" t="str">
        <f>IF($A369="","",TEXT($B369,"mmm"))</f>
        <v>Jan</v>
      </c>
      <c r="Z369" s="5" t="str">
        <f>IF($A369="","",IFERROR(VLOOKUP($C369,Lookups!$D$4:$E$7,2,FALSE),"Unknown"))</f>
        <v>Winter</v>
      </c>
      <c r="AA369" s="5" t="str">
        <f>IF($A369="","",IFERROR(VLOOKUP($I369,Lookups!$A$4:$B$7,2,FALSE),"Unknown"))</f>
        <v>Clear</v>
      </c>
      <c r="AB369" s="5" t="str">
        <f>IF($A369="","",TEXT($F369,"00")&amp;":00")</f>
        <v>19:00</v>
      </c>
      <c r="AC369" s="5" t="str">
        <f>IF($A369="","",VLOOKUP($F369,Lookups!$G$4:$H$8,2,TRUE))</f>
        <v>Evening Peak (16-19)</v>
      </c>
      <c r="AD369" s="18">
        <f>IF($A369="","",IF($J369="","",ROUND($J369*41,1)))</f>
        <v>7.4</v>
      </c>
      <c r="AE369" s="18">
        <f>IF($A369="","",IF($R369="","",ROUND($R369*50,1)))</f>
        <v>9.9</v>
      </c>
      <c r="AF369" s="5">
        <f>IF($A369="","",IF($L369="","",ROUND($L369*100,0)))</f>
        <v>47</v>
      </c>
      <c r="AG369" s="18">
        <f>IF($A369="","",IF($M369="","",ROUND($M369*67,1)))</f>
        <v>9</v>
      </c>
      <c r="AH369" s="19">
        <f>IF($A369="","",IF($P369="","",IF($P369=0,0,$O369/$P369)))</f>
        <v>0.770491803278689</v>
      </c>
      <c r="AI369" s="5" t="str">
        <f>IF($A369="","",IF($P369="","",IF($P369&gt;=Lookups!$K$7,"High",IF($P369&lt;=Lookups!$K$8,"Low","Medium"))))</f>
        <v>Medium</v>
      </c>
      <c r="AJ369" s="5" t="str">
        <f>IF($A369="","",IF($AD369="","",IF($AD369&lt;5,"Under 5 C",IF($AD369&lt;10,"5-10 C",IF($AD369&lt;15,"10-15 C","15 C and above")))))</f>
        <v>5-10 C</v>
      </c>
      <c r="AK369" s="5">
        <f>IF($A369="","",IF($P369="","",$P369^2))</f>
        <v>3721</v>
      </c>
      <c r="AL369" s="18">
        <f>IF($V369&lt;&gt;1,"",AVERAGEIFS(Clean_Data!$P$2:$P$1001,Clean_Data!$F$2:$F$1001,$F369,Clean_Data!$W$2:$W$1001,$W369,Clean_Data!$V$2:$V$1001,1))</f>
        <v>50.1428571428571</v>
      </c>
      <c r="AM369" s="16">
        <f>IF($V369&lt;&gt;1,"",IFERROR(($P369-$AL369)/SQRT(MAX(0,(SUMIFS(Clean_Data!$AK$2:$AK$1001,Clean_Data!$F$2:$F$1001,$F369,Clean_Data!$W$2:$W$1001,$W369,Clean_Data!$V$2:$V$1001,1)-COUNTIFS(Clean_Data!$F$2:$F$1001,$F369,Clean_Data!$W$2:$W$1001,$W369,Clean_Data!$V$2:$V$1001,1)*$AL369^2)/(COUNTIFS(Clean_Data!$F$2:$F$1001,$F369,Clean_Data!$W$2:$W$1001,$W369,Clean_Data!$V$2:$V$1001,1)-1))),""))</f>
        <v>0.610189344261801</v>
      </c>
      <c r="AN369" s="5" t="str">
        <f>IF($AM369="","",IF($AM369&gt;=Lookups!$K$6,"High spike",IF($AM369&lt;=-Lookups!$K$6,"Unusual low","Normal")))</f>
        <v>Normal</v>
      </c>
      <c r="AO369" s="20">
        <f>IF($V369&lt;&gt;1,"",$P369+ROW()/100000)</f>
        <v>61.00369</v>
      </c>
      <c r="AP369" s="5">
        <f>IF($A369="","",IFERROR(MATCH($A369,Raw_D1!$A$2:$A$1001,0),""))</f>
        <v>368</v>
      </c>
      <c r="AQ369" s="5">
        <f>IF($A369="","",IFERROR(MATCH($A369,Raw_D2!$B$2:$B$1001,0),""))</f>
        <v>368</v>
      </c>
      <c r="AR369" s="5">
        <f>IF($A369="","",IFERROR(MATCH($A369,Raw_D3!$A$2:$A$1001,0),""))</f>
        <v/>
      </c>
    </row>
    <row r="370" spans="1:44" x14ac:dyDescent="0.25">
      <c r="A370" s="5">
        <v>369</v>
      </c>
      <c r="B370" s="11">
        <f>IF($A370="","",IF($AP370&lt;&gt;"",INDEX(Raw_D1!$B$2:$B$1001,$AP370),IF($AR370&lt;&gt;"",INDEX(Raw_D3!$B$2:$B$1001,$AR370),"")))</f>
        <v>40559.0</v>
      </c>
      <c r="C370" s="5">
        <f>IF($A370="","",IF($AP370&lt;&gt;"",INDEX(Raw_D1!$C$2:$C$1001,$AP370),IF($AR370&lt;&gt;"",INDEX(Raw_D3!$C$2:$C$1001,$AR370),"")))</f>
        <v>1</v>
      </c>
      <c r="D370" s="5">
        <f>IF($A370="","",IF($AP370&lt;&gt;"",INDEX(Raw_D1!$D$2:$D$1001,$AP370),IF($AR370&lt;&gt;"",INDEX(Raw_D3!$D$2:$D$1001,$AR370),"")))</f>
        <v>0</v>
      </c>
      <c r="E370" s="5">
        <f>IF($A370="","",IF($AP370&lt;&gt;"",INDEX(Raw_D1!$E$2:$E$1001,$AP370),IF($AR370&lt;&gt;"",INDEX(Raw_D3!$E$2:$E$1001,$AR370),"")))</f>
        <v>1</v>
      </c>
      <c r="F370" s="5">
        <f>IF($A370="","",IF($AP370&lt;&gt;"",INDEX(Raw_D1!$F$2:$F$1001,$AP370),IF($AR370&lt;&gt;"",INDEX(Raw_D3!$F$2:$F$1001,$AR370),"")))</f>
        <v>20</v>
      </c>
      <c r="G370" s="5">
        <f>IF($A370="","",IF($AP370&lt;&gt;"",IF(INDEX(Raw_D1!$G$2:$G$1001,$AP370),1,0),IF($AR370&lt;&gt;"",IF(INDEX(Raw_D3!$G$2:$G$1001,$AR370),1,0),"")))</f>
        <v>0</v>
      </c>
      <c r="H370" s="5">
        <f>IF($A370="","",IF($AP370&lt;&gt;"",INDEX(Raw_D1!$H$2:$H$1001,$AP370),IF($AR370&lt;&gt;"",INDEX(Raw_D3!$H$2:$H$1001,$AR370),"")))</f>
        <v>0</v>
      </c>
      <c r="I370" s="5">
        <f>IF($A370="","",IF($AP370&lt;&gt;"",INDEX(Raw_D1!$I$2:$I$1001,$AP370),IF($AR370&lt;&gt;"",INDEX(Raw_D3!$I$2:$I$1001,$AR370),"")))</f>
        <v>1</v>
      </c>
      <c r="J370" s="16">
        <f>IF($A370="","",IF($AP370&lt;&gt;"",INDEX(Raw_D1!$J$2:$J$1001,$AP370),IF($AR370&lt;&gt;"",INDEX(Raw_D3!$J$2:$J$1001,$AR370),"")))</f>
        <v>0.18</v>
      </c>
      <c r="K370" s="17">
        <f>IF($A370="","",IF($AQ370&lt;&gt;"",IF(INDEX(Raw_D2!$C$2:$C$1001,$AQ370)="","",INDEX(Raw_D2!$C$2:$C$1001,$AQ370)),IF($AR370&lt;&gt;"",IF(INDEX(Raw_D3!$K$2:$K$1001,$AR370)="","",INDEX(Raw_D3!$K$2:$K$1001,$AR370)),"")))</f>
        <v>0.197</v>
      </c>
      <c r="L370" s="16">
        <f>IF($A370="","",IF($AQ370&lt;&gt;"",IF(INDEX(Raw_D2!$D$2:$D$1001,$AQ370)="","",INDEX(Raw_D2!$D$2:$D$1001,$AQ370)),IF($AR370&lt;&gt;"",IF(INDEX(Raw_D3!$L$2:$L$1001,$AR370)="","",INDEX(Raw_D3!$L$2:$L$1001,$AR370)),"")))</f>
        <v>0.47</v>
      </c>
      <c r="M370" s="17">
        <f>IF($A370="","",IF($AQ370&lt;&gt;"",IF(INDEX(Raw_D2!$E$2:$E$1001,$AQ370)="","",INDEX(Raw_D2!$E$2:$E$1001,$AQ370)),IF($AR370&lt;&gt;"",IF(INDEX(Raw_D3!$M$2:$M$1001,$AR370)="","",INDEX(Raw_D3!$M$2:$M$1001,$AR370)),"")))</f>
        <v>0.1642</v>
      </c>
      <c r="N370" s="5">
        <f>IF($A370="","",IF($AQ370&lt;&gt;"",IF(INDEX(Raw_D2!$F$2:$F$1001,$AQ370)="","",INDEX(Raw_D2!$F$2:$F$1001,$AQ370)),IF($AR370&lt;&gt;"",IF(INDEX(Raw_D3!$N$2:$N$1001,$AR370)="","",INDEX(Raw_D3!$N$2:$N$1001,$AR370)),"")))</f>
        <v>7</v>
      </c>
      <c r="O370" s="5">
        <f>IF($A370="","",IF($AQ370&lt;&gt;"",IF(INDEX(Raw_D2!$G$2:$G$1001,$AQ370)="","",INDEX(Raw_D2!$G$2:$G$1001,$AQ370)),IF($AR370&lt;&gt;"",IF(INDEX(Raw_D3!$O$2:$O$1001,$AR370)="","",INDEX(Raw_D3!$O$2:$O$1001,$AR370)),"")))</f>
        <v>50</v>
      </c>
      <c r="P370" s="5">
        <f>IF($A370="","",IF($AQ370&lt;&gt;"",IF(INDEX(Raw_D2!$H$2:$H$1001,$AQ370)="","",INDEX(Raw_D2!$H$2:$H$1001,$AQ370)),IF($AR370&lt;&gt;"",IF(INDEX(Raw_D3!$P$2:$P$1001,$AR370)="","",INDEX(Raw_D3!$P$2:$P$1001,$AR370)),"")))</f>
        <v>57</v>
      </c>
      <c r="Q370" s="5" t="str">
        <f>IF($A370="","",IF(AND($AP370&lt;&gt;"",$AQ370&lt;&gt;""),"D1+D2",IF($AR370&lt;&gt;"","D3","Incomplete")))</f>
        <v>D1+D2</v>
      </c>
      <c r="R370" s="17">
        <f>IF($A370="","",IF($K370="",IF($J370="","",ROUND(Lookups!$K$5+Lookups!$K$4*$J370,4)),$K370))</f>
        <v>0.197</v>
      </c>
      <c r="S370" s="5" t="str">
        <f>IF($A370="","",IF($K370="","Imputed","Original"))</f>
        <v>Original</v>
      </c>
      <c r="T370" s="5" t="str">
        <f>IF($A370="","",IF($P370="","Missing",IF($P370=$N370+$O370,"OK","Mismatch")))</f>
        <v>OK</v>
      </c>
      <c r="U370" s="5" t="str">
        <f>IF($A370="","",IF(COUNTIF($A$2:$A370,$A370)&gt;1,"Duplicate","Unique"))</f>
        <v>Unique</v>
      </c>
      <c r="V370" s="5">
        <f>IF($A370="","",IF(AND($U370="Unique",ISNUMBER($P370)),1,0))</f>
        <v>1</v>
      </c>
      <c r="W370" s="5" t="str">
        <f>IF($A370="","",IF(OR($H370=0,$H370=6),"Weekend","Weekday"))</f>
        <v>Weekend</v>
      </c>
      <c r="X370" s="5" t="str">
        <f>IF($A370="","",TEXT($B370,"ddd"))</f>
        <v>Sun</v>
      </c>
      <c r="Y370" s="5" t="str">
        <f>IF($A370="","",TEXT($B370,"mmm"))</f>
        <v>Jan</v>
      </c>
      <c r="Z370" s="5" t="str">
        <f>IF($A370="","",IFERROR(VLOOKUP($C370,Lookups!$D$4:$E$7,2,FALSE),"Unknown"))</f>
        <v>Winter</v>
      </c>
      <c r="AA370" s="5" t="str">
        <f>IF($A370="","",IFERROR(VLOOKUP($I370,Lookups!$A$4:$B$7,2,FALSE),"Unknown"))</f>
        <v>Clear</v>
      </c>
      <c r="AB370" s="5" t="str">
        <f>IF($A370="","",TEXT($F370,"00")&amp;":00")</f>
        <v>20:00</v>
      </c>
      <c r="AC370" s="5" t="str">
        <f>IF($A370="","",VLOOKUP($F370,Lookups!$G$4:$H$8,2,TRUE))</f>
        <v>Late Evening (20-23)</v>
      </c>
      <c r="AD370" s="18">
        <f>IF($A370="","",IF($J370="","",ROUND($J370*41,1)))</f>
        <v>7.4</v>
      </c>
      <c r="AE370" s="18">
        <f>IF($A370="","",IF($R370="","",ROUND($R370*50,1)))</f>
        <v>9.9</v>
      </c>
      <c r="AF370" s="5">
        <f>IF($A370="","",IF($L370="","",ROUND($L370*100,0)))</f>
        <v>47</v>
      </c>
      <c r="AG370" s="18">
        <f>IF($A370="","",IF($M370="","",ROUND($M370*67,1)))</f>
        <v>11</v>
      </c>
      <c r="AH370" s="19">
        <f>IF($A370="","",IF($P370="","",IF($P370=0,0,$O370/$P370)))</f>
        <v>0.87719298245614</v>
      </c>
      <c r="AI370" s="5" t="str">
        <f>IF($A370="","",IF($P370="","",IF($P370&gt;=Lookups!$K$7,"High",IF($P370&lt;=Lookups!$K$8,"Low","Medium"))))</f>
        <v>Medium</v>
      </c>
      <c r="AJ370" s="5" t="str">
        <f>IF($A370="","",IF($AD370="","",IF($AD370&lt;5,"Under 5 C",IF($AD370&lt;10,"5-10 C",IF($AD370&lt;15,"10-15 C","15 C and above")))))</f>
        <v>5-10 C</v>
      </c>
      <c r="AK370" s="5">
        <f>IF($A370="","",IF($P370="","",$P370^2))</f>
        <v>3249</v>
      </c>
      <c r="AL370" s="18">
        <f>IF($V370&lt;&gt;1,"",AVERAGEIFS(Clean_Data!$P$2:$P$1001,Clean_Data!$F$2:$F$1001,$F370,Clean_Data!$W$2:$W$1001,$W370,Clean_Data!$V$2:$V$1001,1))</f>
        <v>40</v>
      </c>
      <c r="AM370" s="16">
        <f>IF($V370&lt;&gt;1,"",IFERROR(($P370-$AL370)/SQRT(MAX(0,(SUMIFS(Clean_Data!$AK$2:$AK$1001,Clean_Data!$F$2:$F$1001,$F370,Clean_Data!$W$2:$W$1001,$W370,Clean_Data!$V$2:$V$1001,1)-COUNTIFS(Clean_Data!$F$2:$F$1001,$F370,Clean_Data!$W$2:$W$1001,$W370,Clean_Data!$V$2:$V$1001,1)*$AL370^2)/(COUNTIFS(Clean_Data!$F$2:$F$1001,$F370,Clean_Data!$W$2:$W$1001,$W370,Clean_Data!$V$2:$V$1001,1)-1))),""))</f>
        <v>1.38027983169831</v>
      </c>
      <c r="AN370" s="5" t="str">
        <f>IF($AM370="","",IF($AM370&gt;=Lookups!$K$6,"High spike",IF($AM370&lt;=-Lookups!$K$6,"Unusual low","Normal")))</f>
        <v>Normal</v>
      </c>
      <c r="AO370" s="20">
        <f>IF($V370&lt;&gt;1,"",$P370+ROW()/100000)</f>
        <v>57.0037</v>
      </c>
      <c r="AP370" s="5">
        <f>IF($A370="","",IFERROR(MATCH($A370,Raw_D1!$A$2:$A$1001,0),""))</f>
        <v>369</v>
      </c>
      <c r="AQ370" s="5">
        <f>IF($A370="","",IFERROR(MATCH($A370,Raw_D2!$B$2:$B$1001,0),""))</f>
        <v>369</v>
      </c>
      <c r="AR370" s="5">
        <f>IF($A370="","",IFERROR(MATCH($A370,Raw_D3!$A$2:$A$1001,0),""))</f>
        <v/>
      </c>
    </row>
    <row r="371" spans="1:44" x14ac:dyDescent="0.25">
      <c r="A371" s="5">
        <v>370</v>
      </c>
      <c r="B371" s="11">
        <f>IF($A371="","",IF($AP371&lt;&gt;"",INDEX(Raw_D1!$B$2:$B$1001,$AP371),IF($AR371&lt;&gt;"",INDEX(Raw_D3!$B$2:$B$1001,$AR371),"")))</f>
        <v>40559.0</v>
      </c>
      <c r="C371" s="5">
        <f>IF($A371="","",IF($AP371&lt;&gt;"",INDEX(Raw_D1!$C$2:$C$1001,$AP371),IF($AR371&lt;&gt;"",INDEX(Raw_D3!$C$2:$C$1001,$AR371),"")))</f>
        <v>1</v>
      </c>
      <c r="D371" s="5">
        <f>IF($A371="","",IF($AP371&lt;&gt;"",INDEX(Raw_D1!$D$2:$D$1001,$AP371),IF($AR371&lt;&gt;"",INDEX(Raw_D3!$D$2:$D$1001,$AR371),"")))</f>
        <v>0</v>
      </c>
      <c r="E371" s="5">
        <f>IF($A371="","",IF($AP371&lt;&gt;"",INDEX(Raw_D1!$E$2:$E$1001,$AP371),IF($AR371&lt;&gt;"",INDEX(Raw_D3!$E$2:$E$1001,$AR371),"")))</f>
        <v>1</v>
      </c>
      <c r="F371" s="5">
        <f>IF($A371="","",IF($AP371&lt;&gt;"",INDEX(Raw_D1!$F$2:$F$1001,$AP371),IF($AR371&lt;&gt;"",INDEX(Raw_D3!$F$2:$F$1001,$AR371),"")))</f>
        <v>21</v>
      </c>
      <c r="G371" s="5">
        <f>IF($A371="","",IF($AP371&lt;&gt;"",IF(INDEX(Raw_D1!$G$2:$G$1001,$AP371),1,0),IF($AR371&lt;&gt;"",IF(INDEX(Raw_D3!$G$2:$G$1001,$AR371),1,0),"")))</f>
        <v>0</v>
      </c>
      <c r="H371" s="5">
        <f>IF($A371="","",IF($AP371&lt;&gt;"",INDEX(Raw_D1!$H$2:$H$1001,$AP371),IF($AR371&lt;&gt;"",INDEX(Raw_D3!$H$2:$H$1001,$AR371),"")))</f>
        <v>0</v>
      </c>
      <c r="I371" s="5">
        <f>IF($A371="","",IF($AP371&lt;&gt;"",INDEX(Raw_D1!$I$2:$I$1001,$AP371),IF($AR371&lt;&gt;"",INDEX(Raw_D3!$I$2:$I$1001,$AR371),"")))</f>
        <v>1</v>
      </c>
      <c r="J371" s="16">
        <f>IF($A371="","",IF($AP371&lt;&gt;"",INDEX(Raw_D1!$J$2:$J$1001,$AP371),IF($AR371&lt;&gt;"",INDEX(Raw_D3!$J$2:$J$1001,$AR371),"")))</f>
        <v>0.18</v>
      </c>
      <c r="K371" s="17">
        <f>IF($A371="","",IF($AQ371&lt;&gt;"",IF(INDEX(Raw_D2!$C$2:$C$1001,$AQ371)="","",INDEX(Raw_D2!$C$2:$C$1001,$AQ371)),IF($AR371&lt;&gt;"",IF(INDEX(Raw_D3!$K$2:$K$1001,$AR371)="","",INDEX(Raw_D3!$K$2:$K$1001,$AR371)),"")))</f>
        <v>0.197</v>
      </c>
      <c r="L371" s="16">
        <f>IF($A371="","",IF($AQ371&lt;&gt;"",IF(INDEX(Raw_D2!$D$2:$D$1001,$AQ371)="","",INDEX(Raw_D2!$D$2:$D$1001,$AQ371)),IF($AR371&lt;&gt;"",IF(INDEX(Raw_D3!$L$2:$L$1001,$AR371)="","",INDEX(Raw_D3!$L$2:$L$1001,$AR371)),"")))</f>
        <v>0.51</v>
      </c>
      <c r="M371" s="17">
        <f>IF($A371="","",IF($AQ371&lt;&gt;"",IF(INDEX(Raw_D2!$E$2:$E$1001,$AQ371)="","",INDEX(Raw_D2!$E$2:$E$1001,$AQ371)),IF($AR371&lt;&gt;"",IF(INDEX(Raw_D3!$M$2:$M$1001,$AR371)="","",INDEX(Raw_D3!$M$2:$M$1001,$AR371)),"")))</f>
        <v>0.1642</v>
      </c>
      <c r="N371" s="5">
        <f>IF($A371="","",IF($AQ371&lt;&gt;"",IF(INDEX(Raw_D2!$F$2:$F$1001,$AQ371)="","",INDEX(Raw_D2!$F$2:$F$1001,$AQ371)),IF($AR371&lt;&gt;"",IF(INDEX(Raw_D3!$N$2:$N$1001,$AR371)="","",INDEX(Raw_D3!$N$2:$N$1001,$AR371)),"")))</f>
        <v>6</v>
      </c>
      <c r="O371" s="5">
        <f>IF($A371="","",IF($AQ371&lt;&gt;"",IF(INDEX(Raw_D2!$G$2:$G$1001,$AQ371)="","",INDEX(Raw_D2!$G$2:$G$1001,$AQ371)),IF($AR371&lt;&gt;"",IF(INDEX(Raw_D3!$O$2:$O$1001,$AR371)="","",INDEX(Raw_D3!$O$2:$O$1001,$AR371)),"")))</f>
        <v>22</v>
      </c>
      <c r="P371" s="5">
        <f>IF($A371="","",IF($AQ371&lt;&gt;"",IF(INDEX(Raw_D2!$H$2:$H$1001,$AQ371)="","",INDEX(Raw_D2!$H$2:$H$1001,$AQ371)),IF($AR371&lt;&gt;"",IF(INDEX(Raw_D3!$P$2:$P$1001,$AR371)="","",INDEX(Raw_D3!$P$2:$P$1001,$AR371)),"")))</f>
        <v>28</v>
      </c>
      <c r="Q371" s="5" t="str">
        <f>IF($A371="","",IF(AND($AP371&lt;&gt;"",$AQ371&lt;&gt;""),"D1+D2",IF($AR371&lt;&gt;"","D3","Incomplete")))</f>
        <v>D1+D2</v>
      </c>
      <c r="R371" s="17">
        <f>IF($A371="","",IF($K371="",IF($J371="","",ROUND(Lookups!$K$5+Lookups!$K$4*$J371,4)),$K371))</f>
        <v>0.197</v>
      </c>
      <c r="S371" s="5" t="str">
        <f>IF($A371="","",IF($K371="","Imputed","Original"))</f>
        <v>Original</v>
      </c>
      <c r="T371" s="5" t="str">
        <f>IF($A371="","",IF($P371="","Missing",IF($P371=$N371+$O371,"OK","Mismatch")))</f>
        <v>OK</v>
      </c>
      <c r="U371" s="5" t="str">
        <f>IF($A371="","",IF(COUNTIF($A$2:$A371,$A371)&gt;1,"Duplicate","Unique"))</f>
        <v>Unique</v>
      </c>
      <c r="V371" s="5">
        <f>IF($A371="","",IF(AND($U371="Unique",ISNUMBER($P371)),1,0))</f>
        <v>1</v>
      </c>
      <c r="W371" s="5" t="str">
        <f>IF($A371="","",IF(OR($H371=0,$H371=6),"Weekend","Weekday"))</f>
        <v>Weekend</v>
      </c>
      <c r="X371" s="5" t="str">
        <f>IF($A371="","",TEXT($B371,"ddd"))</f>
        <v>Sun</v>
      </c>
      <c r="Y371" s="5" t="str">
        <f>IF($A371="","",TEXT($B371,"mmm"))</f>
        <v>Jan</v>
      </c>
      <c r="Z371" s="5" t="str">
        <f>IF($A371="","",IFERROR(VLOOKUP($C371,Lookups!$D$4:$E$7,2,FALSE),"Unknown"))</f>
        <v>Winter</v>
      </c>
      <c r="AA371" s="5" t="str">
        <f>IF($A371="","",IFERROR(VLOOKUP($I371,Lookups!$A$4:$B$7,2,FALSE),"Unknown"))</f>
        <v>Clear</v>
      </c>
      <c r="AB371" s="5" t="str">
        <f>IF($A371="","",TEXT($F371,"00")&amp;":00")</f>
        <v>21:00</v>
      </c>
      <c r="AC371" s="5" t="str">
        <f>IF($A371="","",VLOOKUP($F371,Lookups!$G$4:$H$8,2,TRUE))</f>
        <v>Late Evening (20-23)</v>
      </c>
      <c r="AD371" s="18">
        <f>IF($A371="","",IF($J371="","",ROUND($J371*41,1)))</f>
        <v>7.4</v>
      </c>
      <c r="AE371" s="18">
        <f>IF($A371="","",IF($R371="","",ROUND($R371*50,1)))</f>
        <v>9.9</v>
      </c>
      <c r="AF371" s="5">
        <f>IF($A371="","",IF($L371="","",ROUND($L371*100,0)))</f>
        <v>51</v>
      </c>
      <c r="AG371" s="18">
        <f>IF($A371="","",IF($M371="","",ROUND($M371*67,1)))</f>
        <v>11</v>
      </c>
      <c r="AH371" s="19">
        <f>IF($A371="","",IF($P371="","",IF($P371=0,0,$O371/$P371)))</f>
        <v>0.785714285714286</v>
      </c>
      <c r="AI371" s="5" t="str">
        <f>IF($A371="","",IF($P371="","",IF($P371&gt;=Lookups!$K$7,"High",IF($P371&lt;=Lookups!$K$8,"Low","Medium"))))</f>
        <v>Medium</v>
      </c>
      <c r="AJ371" s="5" t="str">
        <f>IF($A371="","",IF($AD371="","",IF($AD371&lt;5,"Under 5 C",IF($AD371&lt;10,"5-10 C",IF($AD371&lt;15,"10-15 C","15 C and above")))))</f>
        <v>5-10 C</v>
      </c>
      <c r="AK371" s="5">
        <f>IF($A371="","",IF($P371="","",$P371^2))</f>
        <v>784</v>
      </c>
      <c r="AL371" s="18">
        <f>IF($V371&lt;&gt;1,"",AVERAGEIFS(Clean_Data!$P$2:$P$1001,Clean_Data!$F$2:$F$1001,$F371,Clean_Data!$W$2:$W$1001,$W371,Clean_Data!$V$2:$V$1001,1))</f>
        <v>37.1428571428571</v>
      </c>
      <c r="AM371" s="16">
        <f>IF($V371&lt;&gt;1,"",IFERROR(($P371-$AL371)/SQRT(MAX(0,(SUMIFS(Clean_Data!$AK$2:$AK$1001,Clean_Data!$F$2:$F$1001,$F371,Clean_Data!$W$2:$W$1001,$W371,Clean_Data!$V$2:$V$1001,1)-COUNTIFS(Clean_Data!$F$2:$F$1001,$F371,Clean_Data!$W$2:$W$1001,$W371,Clean_Data!$V$2:$V$1001,1)*$AL371^2)/(COUNTIFS(Clean_Data!$F$2:$F$1001,$F371,Clean_Data!$W$2:$W$1001,$W371,Clean_Data!$V$2:$V$1001,1)-1))),""))</f>
        <v>-0.756725199737383</v>
      </c>
      <c r="AN371" s="5" t="str">
        <f>IF($AM371="","",IF($AM371&gt;=Lookups!$K$6,"High spike",IF($AM371&lt;=-Lookups!$K$6,"Unusual low","Normal")))</f>
        <v>Normal</v>
      </c>
      <c r="AO371" s="20">
        <f>IF($V371&lt;&gt;1,"",$P371+ROW()/100000)</f>
        <v>28.00371</v>
      </c>
      <c r="AP371" s="5">
        <f>IF($A371="","",IFERROR(MATCH($A371,Raw_D1!$A$2:$A$1001,0),""))</f>
        <v>370</v>
      </c>
      <c r="AQ371" s="5">
        <f>IF($A371="","",IFERROR(MATCH($A371,Raw_D2!$B$2:$B$1001,0),""))</f>
        <v>370</v>
      </c>
      <c r="AR371" s="5">
        <f>IF($A371="","",IFERROR(MATCH($A371,Raw_D3!$A$2:$A$1001,0),""))</f>
        <v/>
      </c>
    </row>
    <row r="372" spans="1:44" x14ac:dyDescent="0.25">
      <c r="A372" s="5">
        <v>371</v>
      </c>
      <c r="B372" s="11">
        <f>IF($A372="","",IF($AP372&lt;&gt;"",INDEX(Raw_D1!$B$2:$B$1001,$AP372),IF($AR372&lt;&gt;"",INDEX(Raw_D3!$B$2:$B$1001,$AR372),"")))</f>
        <v>40559.0</v>
      </c>
      <c r="C372" s="5">
        <f>IF($A372="","",IF($AP372&lt;&gt;"",INDEX(Raw_D1!$C$2:$C$1001,$AP372),IF($AR372&lt;&gt;"",INDEX(Raw_D3!$C$2:$C$1001,$AR372),"")))</f>
        <v>1</v>
      </c>
      <c r="D372" s="5">
        <f>IF($A372="","",IF($AP372&lt;&gt;"",INDEX(Raw_D1!$D$2:$D$1001,$AP372),IF($AR372&lt;&gt;"",INDEX(Raw_D3!$D$2:$D$1001,$AR372),"")))</f>
        <v>0</v>
      </c>
      <c r="E372" s="5">
        <f>IF($A372="","",IF($AP372&lt;&gt;"",INDEX(Raw_D1!$E$2:$E$1001,$AP372),IF($AR372&lt;&gt;"",INDEX(Raw_D3!$E$2:$E$1001,$AR372),"")))</f>
        <v>1</v>
      </c>
      <c r="F372" s="5">
        <f>IF($A372="","",IF($AP372&lt;&gt;"",INDEX(Raw_D1!$F$2:$F$1001,$AP372),IF($AR372&lt;&gt;"",INDEX(Raw_D3!$F$2:$F$1001,$AR372),"")))</f>
        <v>22</v>
      </c>
      <c r="G372" s="5">
        <f>IF($A372="","",IF($AP372&lt;&gt;"",IF(INDEX(Raw_D1!$G$2:$G$1001,$AP372),1,0),IF($AR372&lt;&gt;"",IF(INDEX(Raw_D3!$G$2:$G$1001,$AR372),1,0),"")))</f>
        <v>0</v>
      </c>
      <c r="H372" s="5">
        <f>IF($A372="","",IF($AP372&lt;&gt;"",INDEX(Raw_D1!$H$2:$H$1001,$AP372),IF($AR372&lt;&gt;"",INDEX(Raw_D3!$H$2:$H$1001,$AR372),"")))</f>
        <v>0</v>
      </c>
      <c r="I372" s="5">
        <f>IF($A372="","",IF($AP372&lt;&gt;"",INDEX(Raw_D1!$I$2:$I$1001,$AP372),IF($AR372&lt;&gt;"",INDEX(Raw_D3!$I$2:$I$1001,$AR372),"")))</f>
        <v>2</v>
      </c>
      <c r="J372" s="16">
        <f>IF($A372="","",IF($AP372&lt;&gt;"",INDEX(Raw_D1!$J$2:$J$1001,$AP372),IF($AR372&lt;&gt;"",INDEX(Raw_D3!$J$2:$J$1001,$AR372),"")))</f>
        <v>0.2</v>
      </c>
      <c r="K372" s="17">
        <f>IF($A372="","",IF($AQ372&lt;&gt;"",IF(INDEX(Raw_D2!$C$2:$C$1001,$AQ372)="","",INDEX(Raw_D2!$C$2:$C$1001,$AQ372)),IF($AR372&lt;&gt;"",IF(INDEX(Raw_D3!$K$2:$K$1001,$AR372)="","",INDEX(Raw_D3!$K$2:$K$1001,$AR372)),"")))</f>
        <v>0.2121</v>
      </c>
      <c r="L372" s="16">
        <f>IF($A372="","",IF($AQ372&lt;&gt;"",IF(INDEX(Raw_D2!$D$2:$D$1001,$AQ372)="","",INDEX(Raw_D2!$D$2:$D$1001,$AQ372)),IF($AR372&lt;&gt;"",IF(INDEX(Raw_D3!$L$2:$L$1001,$AR372)="","",INDEX(Raw_D3!$L$2:$L$1001,$AR372)),"")))</f>
        <v>0.49</v>
      </c>
      <c r="M372" s="17">
        <f>IF($A372="","",IF($AQ372&lt;&gt;"",IF(INDEX(Raw_D2!$E$2:$E$1001,$AQ372)="","",INDEX(Raw_D2!$E$2:$E$1001,$AQ372)),IF($AR372&lt;&gt;"",IF(INDEX(Raw_D3!$M$2:$M$1001,$AR372)="","",INDEX(Raw_D3!$M$2:$M$1001,$AR372)),"")))</f>
        <v>0.1343</v>
      </c>
      <c r="N372" s="5">
        <f>IF($A372="","",IF($AQ372&lt;&gt;"",IF(INDEX(Raw_D2!$F$2:$F$1001,$AQ372)="","",INDEX(Raw_D2!$F$2:$F$1001,$AQ372)),IF($AR372&lt;&gt;"",IF(INDEX(Raw_D3!$N$2:$N$1001,$AR372)="","",INDEX(Raw_D3!$N$2:$N$1001,$AR372)),"")))</f>
        <v>2</v>
      </c>
      <c r="O372" s="5">
        <f>IF($A372="","",IF($AQ372&lt;&gt;"",IF(INDEX(Raw_D2!$G$2:$G$1001,$AQ372)="","",INDEX(Raw_D2!$G$2:$G$1001,$AQ372)),IF($AR372&lt;&gt;"",IF(INDEX(Raw_D3!$O$2:$O$1001,$AR372)="","",INDEX(Raw_D3!$O$2:$O$1001,$AR372)),"")))</f>
        <v>19</v>
      </c>
      <c r="P372" s="5">
        <f>IF($A372="","",IF($AQ372&lt;&gt;"",IF(INDEX(Raw_D2!$H$2:$H$1001,$AQ372)="","",INDEX(Raw_D2!$H$2:$H$1001,$AQ372)),IF($AR372&lt;&gt;"",IF(INDEX(Raw_D3!$P$2:$P$1001,$AR372)="","",INDEX(Raw_D3!$P$2:$P$1001,$AR372)),"")))</f>
        <v>21</v>
      </c>
      <c r="Q372" s="5" t="str">
        <f>IF($A372="","",IF(AND($AP372&lt;&gt;"",$AQ372&lt;&gt;""),"D1+D2",IF($AR372&lt;&gt;"","D3","Incomplete")))</f>
        <v>D1+D2</v>
      </c>
      <c r="R372" s="17">
        <f>IF($A372="","",IF($K372="",IF($J372="","",ROUND(Lookups!$K$5+Lookups!$K$4*$J372,4)),$K372))</f>
        <v>0.2121</v>
      </c>
      <c r="S372" s="5" t="str">
        <f>IF($A372="","",IF($K372="","Imputed","Original"))</f>
        <v>Original</v>
      </c>
      <c r="T372" s="5" t="str">
        <f>IF($A372="","",IF($P372="","Missing",IF($P372=$N372+$O372,"OK","Mismatch")))</f>
        <v>OK</v>
      </c>
      <c r="U372" s="5" t="str">
        <f>IF($A372="","",IF(COUNTIF($A$2:$A372,$A372)&gt;1,"Duplicate","Unique"))</f>
        <v>Unique</v>
      </c>
      <c r="V372" s="5">
        <f>IF($A372="","",IF(AND($U372="Unique",ISNUMBER($P372)),1,0))</f>
        <v>1</v>
      </c>
      <c r="W372" s="5" t="str">
        <f>IF($A372="","",IF(OR($H372=0,$H372=6),"Weekend","Weekday"))</f>
        <v>Weekend</v>
      </c>
      <c r="X372" s="5" t="str">
        <f>IF($A372="","",TEXT($B372,"ddd"))</f>
        <v>Sun</v>
      </c>
      <c r="Y372" s="5" t="str">
        <f>IF($A372="","",TEXT($B372,"mmm"))</f>
        <v>Jan</v>
      </c>
      <c r="Z372" s="5" t="str">
        <f>IF($A372="","",IFERROR(VLOOKUP($C372,Lookups!$D$4:$E$7,2,FALSE),"Unknown"))</f>
        <v>Winter</v>
      </c>
      <c r="AA372" s="5" t="str">
        <f>IF($A372="","",IFERROR(VLOOKUP($I372,Lookups!$A$4:$B$7,2,FALSE),"Unknown"))</f>
        <v>Mist/Cloudy</v>
      </c>
      <c r="AB372" s="5" t="str">
        <f>IF($A372="","",TEXT($F372,"00")&amp;":00")</f>
        <v>22:00</v>
      </c>
      <c r="AC372" s="5" t="str">
        <f>IF($A372="","",VLOOKUP($F372,Lookups!$G$4:$H$8,2,TRUE))</f>
        <v>Late Evening (20-23)</v>
      </c>
      <c r="AD372" s="18">
        <f>IF($A372="","",IF($J372="","",ROUND($J372*41,1)))</f>
        <v>8.2</v>
      </c>
      <c r="AE372" s="18">
        <f>IF($A372="","",IF($R372="","",ROUND($R372*50,1)))</f>
        <v>10.6</v>
      </c>
      <c r="AF372" s="5">
        <f>IF($A372="","",IF($L372="","",ROUND($L372*100,0)))</f>
        <v>49</v>
      </c>
      <c r="AG372" s="18">
        <f>IF($A372="","",IF($M372="","",ROUND($M372*67,1)))</f>
        <v>9</v>
      </c>
      <c r="AH372" s="19">
        <f>IF($A372="","",IF($P372="","",IF($P372=0,0,$O372/$P372)))</f>
        <v>0.904761904761905</v>
      </c>
      <c r="AI372" s="5" t="str">
        <f>IF($A372="","",IF($P372="","",IF($P372&gt;=Lookups!$K$7,"High",IF($P372&lt;=Lookups!$K$8,"Low","Medium"))))</f>
        <v>Medium</v>
      </c>
      <c r="AJ372" s="5" t="str">
        <f>IF($A372="","",IF($AD372="","",IF($AD372&lt;5,"Under 5 C",IF($AD372&lt;10,"5-10 C",IF($AD372&lt;15,"10-15 C","15 C and above")))))</f>
        <v>5-10 C</v>
      </c>
      <c r="AK372" s="5">
        <f>IF($A372="","",IF($P372="","",$P372^2))</f>
        <v>441</v>
      </c>
      <c r="AL372" s="18">
        <f>IF($V372&lt;&gt;1,"",AVERAGEIFS(Clean_Data!$P$2:$P$1001,Clean_Data!$F$2:$F$1001,$F372,Clean_Data!$W$2:$W$1001,$W372,Clean_Data!$V$2:$V$1001,1))</f>
        <v>30.8571428571429</v>
      </c>
      <c r="AM372" s="16">
        <f>IF($V372&lt;&gt;1,"",IFERROR(($P372-$AL372)/SQRT(MAX(0,(SUMIFS(Clean_Data!$AK$2:$AK$1001,Clean_Data!$F$2:$F$1001,$F372,Clean_Data!$W$2:$W$1001,$W372,Clean_Data!$V$2:$V$1001,1)-COUNTIFS(Clean_Data!$F$2:$F$1001,$F372,Clean_Data!$W$2:$W$1001,$W372,Clean_Data!$V$2:$V$1001,1)*$AL372^2)/(COUNTIFS(Clean_Data!$F$2:$F$1001,$F372,Clean_Data!$W$2:$W$1001,$W372,Clean_Data!$V$2:$V$1001,1)-1))),""))</f>
        <v>-0.729779302634693</v>
      </c>
      <c r="AN372" s="5" t="str">
        <f>IF($AM372="","",IF($AM372&gt;=Lookups!$K$6,"High spike",IF($AM372&lt;=-Lookups!$K$6,"Unusual low","Normal")))</f>
        <v>Normal</v>
      </c>
      <c r="AO372" s="20">
        <f>IF($V372&lt;&gt;1,"",$P372+ROW()/100000)</f>
        <v>21.00372</v>
      </c>
      <c r="AP372" s="5">
        <f>IF($A372="","",IFERROR(MATCH($A372,Raw_D1!$A$2:$A$1001,0),""))</f>
        <v>371</v>
      </c>
      <c r="AQ372" s="5">
        <f>IF($A372="","",IFERROR(MATCH($A372,Raw_D2!$B$2:$B$1001,0),""))</f>
        <v>371</v>
      </c>
      <c r="AR372" s="5">
        <f>IF($A372="","",IFERROR(MATCH($A372,Raw_D3!$A$2:$A$1001,0),""))</f>
        <v/>
      </c>
    </row>
    <row r="373" spans="1:44" x14ac:dyDescent="0.25">
      <c r="A373" s="5">
        <v>372</v>
      </c>
      <c r="B373" s="11">
        <f>IF($A373="","",IF($AP373&lt;&gt;"",INDEX(Raw_D1!$B$2:$B$1001,$AP373),IF($AR373&lt;&gt;"",INDEX(Raw_D3!$B$2:$B$1001,$AR373),"")))</f>
        <v>40559.0</v>
      </c>
      <c r="C373" s="5">
        <f>IF($A373="","",IF($AP373&lt;&gt;"",INDEX(Raw_D1!$C$2:$C$1001,$AP373),IF($AR373&lt;&gt;"",INDEX(Raw_D3!$C$2:$C$1001,$AR373),"")))</f>
        <v>1</v>
      </c>
      <c r="D373" s="5">
        <f>IF($A373="","",IF($AP373&lt;&gt;"",INDEX(Raw_D1!$D$2:$D$1001,$AP373),IF($AR373&lt;&gt;"",INDEX(Raw_D3!$D$2:$D$1001,$AR373),"")))</f>
        <v>0</v>
      </c>
      <c r="E373" s="5">
        <f>IF($A373="","",IF($AP373&lt;&gt;"",INDEX(Raw_D1!$E$2:$E$1001,$AP373),IF($AR373&lt;&gt;"",INDEX(Raw_D3!$E$2:$E$1001,$AR373),"")))</f>
        <v>1</v>
      </c>
      <c r="F373" s="5">
        <f>IF($A373="","",IF($AP373&lt;&gt;"",INDEX(Raw_D1!$F$2:$F$1001,$AP373),IF($AR373&lt;&gt;"",INDEX(Raw_D3!$F$2:$F$1001,$AR373),"")))</f>
        <v>23</v>
      </c>
      <c r="G373" s="5">
        <f>IF($A373="","",IF($AP373&lt;&gt;"",IF(INDEX(Raw_D1!$G$2:$G$1001,$AP373),1,0),IF($AR373&lt;&gt;"",IF(INDEX(Raw_D3!$G$2:$G$1001,$AR373),1,0),"")))</f>
        <v>0</v>
      </c>
      <c r="H373" s="5">
        <f>IF($A373="","",IF($AP373&lt;&gt;"",INDEX(Raw_D1!$H$2:$H$1001,$AP373),IF($AR373&lt;&gt;"",INDEX(Raw_D3!$H$2:$H$1001,$AR373),"")))</f>
        <v>0</v>
      </c>
      <c r="I373" s="5">
        <f>IF($A373="","",IF($AP373&lt;&gt;"",INDEX(Raw_D1!$I$2:$I$1001,$AP373),IF($AR373&lt;&gt;"",INDEX(Raw_D3!$I$2:$I$1001,$AR373),"")))</f>
        <v>2</v>
      </c>
      <c r="J373" s="16">
        <f>IF($A373="","",IF($AP373&lt;&gt;"",INDEX(Raw_D1!$J$2:$J$1001,$AP373),IF($AR373&lt;&gt;"",INDEX(Raw_D3!$J$2:$J$1001,$AR373),"")))</f>
        <v>0.2</v>
      </c>
      <c r="K373" s="17">
        <f>IF($A373="","",IF($AQ373&lt;&gt;"",IF(INDEX(Raw_D2!$C$2:$C$1001,$AQ373)="","",INDEX(Raw_D2!$C$2:$C$1001,$AQ373)),IF($AR373&lt;&gt;"",IF(INDEX(Raw_D3!$K$2:$K$1001,$AR373)="","",INDEX(Raw_D3!$K$2:$K$1001,$AR373)),"")))</f>
        <v>0.2273</v>
      </c>
      <c r="L373" s="16">
        <f>IF($A373="","",IF($AQ373&lt;&gt;"",IF(INDEX(Raw_D2!$D$2:$D$1001,$AQ373)="","",INDEX(Raw_D2!$D$2:$D$1001,$AQ373)),IF($AR373&lt;&gt;"",IF(INDEX(Raw_D3!$L$2:$L$1001,$AR373)="","",INDEX(Raw_D3!$L$2:$L$1001,$AR373)),"")))</f>
        <v>0.4</v>
      </c>
      <c r="M373" s="17">
        <f>IF($A373="","",IF($AQ373&lt;&gt;"",IF(INDEX(Raw_D2!$E$2:$E$1001,$AQ373)="","",INDEX(Raw_D2!$E$2:$E$1001,$AQ373)),IF($AR373&lt;&gt;"",IF(INDEX(Raw_D3!$M$2:$M$1001,$AR373)="","",INDEX(Raw_D3!$M$2:$M$1001,$AR373)),"")))</f>
        <v>0.1045</v>
      </c>
      <c r="N373" s="5">
        <f>IF($A373="","",IF($AQ373&lt;&gt;"",IF(INDEX(Raw_D2!$F$2:$F$1001,$AQ373)="","",INDEX(Raw_D2!$F$2:$F$1001,$AQ373)),IF($AR373&lt;&gt;"",IF(INDEX(Raw_D3!$N$2:$N$1001,$AR373)="","",INDEX(Raw_D3!$N$2:$N$1001,$AR373)),"")))</f>
        <v>0</v>
      </c>
      <c r="O373" s="5">
        <f>IF($A373="","",IF($AQ373&lt;&gt;"",IF(INDEX(Raw_D2!$G$2:$G$1001,$AQ373)="","",INDEX(Raw_D2!$G$2:$G$1001,$AQ373)),IF($AR373&lt;&gt;"",IF(INDEX(Raw_D3!$O$2:$O$1001,$AR373)="","",INDEX(Raw_D3!$O$2:$O$1001,$AR373)),"")))</f>
        <v>18</v>
      </c>
      <c r="P373" s="5">
        <f>IF($A373="","",IF($AQ373&lt;&gt;"",IF(INDEX(Raw_D2!$H$2:$H$1001,$AQ373)="","",INDEX(Raw_D2!$H$2:$H$1001,$AQ373)),IF($AR373&lt;&gt;"",IF(INDEX(Raw_D3!$P$2:$P$1001,$AR373)="","",INDEX(Raw_D3!$P$2:$P$1001,$AR373)),"")))</f>
        <v>18</v>
      </c>
      <c r="Q373" s="5" t="str">
        <f>IF($A373="","",IF(AND($AP373&lt;&gt;"",$AQ373&lt;&gt;""),"D1+D2",IF($AR373&lt;&gt;"","D3","Incomplete")))</f>
        <v>D1+D2</v>
      </c>
      <c r="R373" s="17">
        <f>IF($A373="","",IF($K373="",IF($J373="","",ROUND(Lookups!$K$5+Lookups!$K$4*$J373,4)),$K373))</f>
        <v>0.2273</v>
      </c>
      <c r="S373" s="5" t="str">
        <f>IF($A373="","",IF($K373="","Imputed","Original"))</f>
        <v>Original</v>
      </c>
      <c r="T373" s="5" t="str">
        <f>IF($A373="","",IF($P373="","Missing",IF($P373=$N373+$O373,"OK","Mismatch")))</f>
        <v>OK</v>
      </c>
      <c r="U373" s="5" t="str">
        <f>IF($A373="","",IF(COUNTIF($A$2:$A373,$A373)&gt;1,"Duplicate","Unique"))</f>
        <v>Unique</v>
      </c>
      <c r="V373" s="5">
        <f>IF($A373="","",IF(AND($U373="Unique",ISNUMBER($P373)),1,0))</f>
        <v>1</v>
      </c>
      <c r="W373" s="5" t="str">
        <f>IF($A373="","",IF(OR($H373=0,$H373=6),"Weekend","Weekday"))</f>
        <v>Weekend</v>
      </c>
      <c r="X373" s="5" t="str">
        <f>IF($A373="","",TEXT($B373,"ddd"))</f>
        <v>Sun</v>
      </c>
      <c r="Y373" s="5" t="str">
        <f>IF($A373="","",TEXT($B373,"mmm"))</f>
        <v>Jan</v>
      </c>
      <c r="Z373" s="5" t="str">
        <f>IF($A373="","",IFERROR(VLOOKUP($C373,Lookups!$D$4:$E$7,2,FALSE),"Unknown"))</f>
        <v>Winter</v>
      </c>
      <c r="AA373" s="5" t="str">
        <f>IF($A373="","",IFERROR(VLOOKUP($I373,Lookups!$A$4:$B$7,2,FALSE),"Unknown"))</f>
        <v>Mist/Cloudy</v>
      </c>
      <c r="AB373" s="5" t="str">
        <f>IF($A373="","",TEXT($F373,"00")&amp;":00")</f>
        <v>23:00</v>
      </c>
      <c r="AC373" s="5" t="str">
        <f>IF($A373="","",VLOOKUP($F373,Lookups!$G$4:$H$8,2,TRUE))</f>
        <v>Late Evening (20-23)</v>
      </c>
      <c r="AD373" s="18">
        <f>IF($A373="","",IF($J373="","",ROUND($J373*41,1)))</f>
        <v>8.2</v>
      </c>
      <c r="AE373" s="18">
        <f>IF($A373="","",IF($R373="","",ROUND($R373*50,1)))</f>
        <v>11.4</v>
      </c>
      <c r="AF373" s="5">
        <f>IF($A373="","",IF($L373="","",ROUND($L373*100,0)))</f>
        <v>40</v>
      </c>
      <c r="AG373" s="18">
        <f>IF($A373="","",IF($M373="","",ROUND($M373*67,1)))</f>
        <v>7</v>
      </c>
      <c r="AH373" s="19">
        <f>IF($A373="","",IF($P373="","",IF($P373=0,0,$O373/$P373)))</f>
        <v>1</v>
      </c>
      <c r="AI373" s="5" t="str">
        <f>IF($A373="","",IF($P373="","",IF($P373&gt;=Lookups!$K$7,"High",IF($P373&lt;=Lookups!$K$8,"Low","Medium"))))</f>
        <v>Medium</v>
      </c>
      <c r="AJ373" s="5" t="str">
        <f>IF($A373="","",IF($AD373="","",IF($AD373&lt;5,"Under 5 C",IF($AD373&lt;10,"5-10 C",IF($AD373&lt;15,"10-15 C","15 C and above")))))</f>
        <v>5-10 C</v>
      </c>
      <c r="AK373" s="5">
        <f>IF($A373="","",IF($P373="","",$P373^2))</f>
        <v>324</v>
      </c>
      <c r="AL373" s="18">
        <f>IF($V373&lt;&gt;1,"",AVERAGEIFS(Clean_Data!$P$2:$P$1001,Clean_Data!$F$2:$F$1001,$F373,Clean_Data!$W$2:$W$1001,$W373,Clean_Data!$V$2:$V$1001,1))</f>
        <v>28.2857142857143</v>
      </c>
      <c r="AM373" s="16">
        <f>IF($V373&lt;&gt;1,"",IFERROR(($P373-$AL373)/SQRT(MAX(0,(SUMIFS(Clean_Data!$AK$2:$AK$1001,Clean_Data!$F$2:$F$1001,$F373,Clean_Data!$W$2:$W$1001,$W373,Clean_Data!$V$2:$V$1001,1)-COUNTIFS(Clean_Data!$F$2:$F$1001,$F373,Clean_Data!$W$2:$W$1001,$W373,Clean_Data!$V$2:$V$1001,1)*$AL373^2)/(COUNTIFS(Clean_Data!$F$2:$F$1001,$F373,Clean_Data!$W$2:$W$1001,$W373,Clean_Data!$V$2:$V$1001,1)-1))),""))</f>
        <v>-0.737469365419426</v>
      </c>
      <c r="AN373" s="5" t="str">
        <f>IF($AM373="","",IF($AM373&gt;=Lookups!$K$6,"High spike",IF($AM373&lt;=-Lookups!$K$6,"Unusual low","Normal")))</f>
        <v>Normal</v>
      </c>
      <c r="AO373" s="20">
        <f>IF($V373&lt;&gt;1,"",$P373+ROW()/100000)</f>
        <v>18.00373</v>
      </c>
      <c r="AP373" s="5">
        <f>IF($A373="","",IFERROR(MATCH($A373,Raw_D1!$A$2:$A$1001,0),""))</f>
        <v>372</v>
      </c>
      <c r="AQ373" s="5">
        <f>IF($A373="","",IFERROR(MATCH($A373,Raw_D2!$B$2:$B$1001,0),""))</f>
        <v>372</v>
      </c>
      <c r="AR373" s="5">
        <f>IF($A373="","",IFERROR(MATCH($A373,Raw_D3!$A$2:$A$1001,0),""))</f>
        <v/>
      </c>
    </row>
    <row r="374" spans="1:44" x14ac:dyDescent="0.25">
      <c r="A374" s="5">
        <v>373</v>
      </c>
      <c r="B374" s="11">
        <f>IF($A374="","",IF($AP374&lt;&gt;"",INDEX(Raw_D1!$B$2:$B$1001,$AP374),IF($AR374&lt;&gt;"",INDEX(Raw_D3!$B$2:$B$1001,$AR374),"")))</f>
        <v>40560.0</v>
      </c>
      <c r="C374" s="5">
        <f>IF($A374="","",IF($AP374&lt;&gt;"",INDEX(Raw_D1!$C$2:$C$1001,$AP374),IF($AR374&lt;&gt;"",INDEX(Raw_D3!$C$2:$C$1001,$AR374),"")))</f>
        <v>1</v>
      </c>
      <c r="D374" s="5">
        <f>IF($A374="","",IF($AP374&lt;&gt;"",INDEX(Raw_D1!$D$2:$D$1001,$AP374),IF($AR374&lt;&gt;"",INDEX(Raw_D3!$D$2:$D$1001,$AR374),"")))</f>
        <v>0</v>
      </c>
      <c r="E374" s="5">
        <f>IF($A374="","",IF($AP374&lt;&gt;"",INDEX(Raw_D1!$E$2:$E$1001,$AP374),IF($AR374&lt;&gt;"",INDEX(Raw_D3!$E$2:$E$1001,$AR374),"")))</f>
        <v>1</v>
      </c>
      <c r="F374" s="5">
        <f>IF($A374="","",IF($AP374&lt;&gt;"",INDEX(Raw_D1!$F$2:$F$1001,$AP374),IF($AR374&lt;&gt;"",INDEX(Raw_D3!$F$2:$F$1001,$AR374),"")))</f>
        <v>0</v>
      </c>
      <c r="G374" s="5">
        <f>IF($A374="","",IF($AP374&lt;&gt;"",IF(INDEX(Raw_D1!$G$2:$G$1001,$AP374),1,0),IF($AR374&lt;&gt;"",IF(INDEX(Raw_D3!$G$2:$G$1001,$AR374),1,0),"")))</f>
        <v>1</v>
      </c>
      <c r="H374" s="5">
        <f>IF($A374="","",IF($AP374&lt;&gt;"",INDEX(Raw_D1!$H$2:$H$1001,$AP374),IF($AR374&lt;&gt;"",INDEX(Raw_D3!$H$2:$H$1001,$AR374),"")))</f>
        <v>1</v>
      </c>
      <c r="I374" s="5">
        <f>IF($A374="","",IF($AP374&lt;&gt;"",INDEX(Raw_D1!$I$2:$I$1001,$AP374),IF($AR374&lt;&gt;"",INDEX(Raw_D3!$I$2:$I$1001,$AR374),"")))</f>
        <v>2</v>
      </c>
      <c r="J374" s="16">
        <f>IF($A374="","",IF($AP374&lt;&gt;"",INDEX(Raw_D1!$J$2:$J$1001,$AP374),IF($AR374&lt;&gt;"",INDEX(Raw_D3!$J$2:$J$1001,$AR374),"")))</f>
        <v>0.2</v>
      </c>
      <c r="K374" s="17">
        <f>IF($A374="","",IF($AQ374&lt;&gt;"",IF(INDEX(Raw_D2!$C$2:$C$1001,$AQ374)="","",INDEX(Raw_D2!$C$2:$C$1001,$AQ374)),IF($AR374&lt;&gt;"",IF(INDEX(Raw_D3!$K$2:$K$1001,$AR374)="","",INDEX(Raw_D3!$K$2:$K$1001,$AR374)),"")))</f>
        <v>0.197</v>
      </c>
      <c r="L374" s="16">
        <f>IF($A374="","",IF($AQ374&lt;&gt;"",IF(INDEX(Raw_D2!$D$2:$D$1001,$AQ374)="","",INDEX(Raw_D2!$D$2:$D$1001,$AQ374)),IF($AR374&lt;&gt;"",IF(INDEX(Raw_D3!$L$2:$L$1001,$AR374)="","",INDEX(Raw_D3!$L$2:$L$1001,$AR374)),"")))</f>
        <v>0.47</v>
      </c>
      <c r="M374" s="17">
        <f>IF($A374="","",IF($AQ374&lt;&gt;"",IF(INDEX(Raw_D2!$E$2:$E$1001,$AQ374)="","",INDEX(Raw_D2!$E$2:$E$1001,$AQ374)),IF($AR374&lt;&gt;"",IF(INDEX(Raw_D3!$M$2:$M$1001,$AR374)="","",INDEX(Raw_D3!$M$2:$M$1001,$AR374)),"")))</f>
        <v>0.2239</v>
      </c>
      <c r="N374" s="5">
        <f>IF($A374="","",IF($AQ374&lt;&gt;"",IF(INDEX(Raw_D2!$F$2:$F$1001,$AQ374)="","",INDEX(Raw_D2!$F$2:$F$1001,$AQ374)),IF($AR374&lt;&gt;"",IF(INDEX(Raw_D3!$N$2:$N$1001,$AR374)="","",INDEX(Raw_D3!$N$2:$N$1001,$AR374)),"")))</f>
        <v>1</v>
      </c>
      <c r="O374" s="5">
        <f>IF($A374="","",IF($AQ374&lt;&gt;"",IF(INDEX(Raw_D2!$G$2:$G$1001,$AQ374)="","",INDEX(Raw_D2!$G$2:$G$1001,$AQ374)),IF($AR374&lt;&gt;"",IF(INDEX(Raw_D3!$O$2:$O$1001,$AR374)="","",INDEX(Raw_D3!$O$2:$O$1001,$AR374)),"")))</f>
        <v>16</v>
      </c>
      <c r="P374" s="5">
        <f>IF($A374="","",IF($AQ374&lt;&gt;"",IF(INDEX(Raw_D2!$H$2:$H$1001,$AQ374)="","",INDEX(Raw_D2!$H$2:$H$1001,$AQ374)),IF($AR374&lt;&gt;"",IF(INDEX(Raw_D3!$P$2:$P$1001,$AR374)="","",INDEX(Raw_D3!$P$2:$P$1001,$AR374)),"")))</f>
        <v>17</v>
      </c>
      <c r="Q374" s="5" t="str">
        <f>IF($A374="","",IF(AND($AP374&lt;&gt;"",$AQ374&lt;&gt;""),"D1+D2",IF($AR374&lt;&gt;"","D3","Incomplete")))</f>
        <v>D1+D2</v>
      </c>
      <c r="R374" s="17">
        <f>IF($A374="","",IF($K374="",IF($J374="","",ROUND(Lookups!$K$5+Lookups!$K$4*$J374,4)),$K374))</f>
        <v>0.197</v>
      </c>
      <c r="S374" s="5" t="str">
        <f>IF($A374="","",IF($K374="","Imputed","Original"))</f>
        <v>Original</v>
      </c>
      <c r="T374" s="5" t="str">
        <f>IF($A374="","",IF($P374="","Missing",IF($P374=$N374+$O374,"OK","Mismatch")))</f>
        <v>OK</v>
      </c>
      <c r="U374" s="5" t="str">
        <f>IF($A374="","",IF(COUNTIF($A$2:$A374,$A374)&gt;1,"Duplicate","Unique"))</f>
        <v>Unique</v>
      </c>
      <c r="V374" s="5">
        <f>IF($A374="","",IF(AND($U374="Unique",ISNUMBER($P374)),1,0))</f>
        <v>1</v>
      </c>
      <c r="W374" s="5" t="str">
        <f>IF($A374="","",IF(OR($H374=0,$H374=6),"Weekend","Weekday"))</f>
        <v>Weekday</v>
      </c>
      <c r="X374" s="5" t="str">
        <f>IF($A374="","",TEXT($B374,"ddd"))</f>
        <v>Mon</v>
      </c>
      <c r="Y374" s="5" t="str">
        <f>IF($A374="","",TEXT($B374,"mmm"))</f>
        <v>Jan</v>
      </c>
      <c r="Z374" s="5" t="str">
        <f>IF($A374="","",IFERROR(VLOOKUP($C374,Lookups!$D$4:$E$7,2,FALSE),"Unknown"))</f>
        <v>Winter</v>
      </c>
      <c r="AA374" s="5" t="str">
        <f>IF($A374="","",IFERROR(VLOOKUP($I374,Lookups!$A$4:$B$7,2,FALSE),"Unknown"))</f>
        <v>Mist/Cloudy</v>
      </c>
      <c r="AB374" s="5" t="str">
        <f>IF($A374="","",TEXT($F374,"00")&amp;":00")</f>
        <v>00:00</v>
      </c>
      <c r="AC374" s="5" t="str">
        <f>IF($A374="","",VLOOKUP($F374,Lookups!$G$4:$H$8,2,TRUE))</f>
        <v>Night (00-05)</v>
      </c>
      <c r="AD374" s="18">
        <f>IF($A374="","",IF($J374="","",ROUND($J374*41,1)))</f>
        <v>8.2</v>
      </c>
      <c r="AE374" s="18">
        <f>IF($A374="","",IF($R374="","",ROUND($R374*50,1)))</f>
        <v>9.9</v>
      </c>
      <c r="AF374" s="5">
        <f>IF($A374="","",IF($L374="","",ROUND($L374*100,0)))</f>
        <v>47</v>
      </c>
      <c r="AG374" s="18">
        <f>IF($A374="","",IF($M374="","",ROUND($M374*67,1)))</f>
        <v>15</v>
      </c>
      <c r="AH374" s="19">
        <f>IF($A374="","",IF($P374="","",IF($P374=0,0,$O374/$P374)))</f>
        <v>0.941176470588235</v>
      </c>
      <c r="AI374" s="5" t="str">
        <f>IF($A374="","",IF($P374="","",IF($P374&gt;=Lookups!$K$7,"High",IF($P374&lt;=Lookups!$K$8,"Low","Medium"))))</f>
        <v>Medium</v>
      </c>
      <c r="AJ374" s="5" t="str">
        <f>IF($A374="","",IF($AD374="","",IF($AD374&lt;5,"Under 5 C",IF($AD374&lt;10,"5-10 C",IF($AD374&lt;15,"10-15 C","15 C and above")))))</f>
        <v>5-10 C</v>
      </c>
      <c r="AK374" s="5">
        <f>IF($A374="","",IF($P374="","",$P374^2))</f>
        <v>289</v>
      </c>
      <c r="AL374" s="18">
        <f>IF($V374&lt;&gt;1,"",AVERAGEIFS(Clean_Data!$P$2:$P$1001,Clean_Data!$F$2:$F$1001,$F374,Clean_Data!$W$2:$W$1001,$W374,Clean_Data!$V$2:$V$1001,1))</f>
        <v>10.6896551724138</v>
      </c>
      <c r="AM374" s="16">
        <f>IF($V374&lt;&gt;1,"",IFERROR(($P374-$AL374)/SQRT(MAX(0,(SUMIFS(Clean_Data!$AK$2:$AK$1001,Clean_Data!$F$2:$F$1001,$F374,Clean_Data!$W$2:$W$1001,$W374,Clean_Data!$V$2:$V$1001,1)-COUNTIFS(Clean_Data!$F$2:$F$1001,$F374,Clean_Data!$W$2:$W$1001,$W374,Clean_Data!$V$2:$V$1001,1)*$AL374^2)/(COUNTIFS(Clean_Data!$F$2:$F$1001,$F374,Clean_Data!$W$2:$W$1001,$W374,Clean_Data!$V$2:$V$1001,1)-1))),""))</f>
        <v>1.28981570673671</v>
      </c>
      <c r="AN374" s="5" t="str">
        <f>IF($AM374="","",IF($AM374&gt;=Lookups!$K$6,"High spike",IF($AM374&lt;=-Lookups!$K$6,"Unusual low","Normal")))</f>
        <v>Normal</v>
      </c>
      <c r="AO374" s="20">
        <f>IF($V374&lt;&gt;1,"",$P374+ROW()/100000)</f>
        <v>17.00374</v>
      </c>
      <c r="AP374" s="5">
        <f>IF($A374="","",IFERROR(MATCH($A374,Raw_D1!$A$2:$A$1001,0),""))</f>
        <v>373</v>
      </c>
      <c r="AQ374" s="5">
        <f>IF($A374="","",IFERROR(MATCH($A374,Raw_D2!$B$2:$B$1001,0),""))</f>
        <v>373</v>
      </c>
      <c r="AR374" s="5">
        <f>IF($A374="","",IFERROR(MATCH($A374,Raw_D3!$A$2:$A$1001,0),""))</f>
        <v/>
      </c>
    </row>
    <row r="375" spans="1:44" x14ac:dyDescent="0.25">
      <c r="A375" s="5">
        <v>374</v>
      </c>
      <c r="B375" s="11">
        <f>IF($A375="","",IF($AP375&lt;&gt;"",INDEX(Raw_D1!$B$2:$B$1001,$AP375),IF($AR375&lt;&gt;"",INDEX(Raw_D3!$B$2:$B$1001,$AR375),"")))</f>
        <v>40560.0</v>
      </c>
      <c r="C375" s="5">
        <f>IF($A375="","",IF($AP375&lt;&gt;"",INDEX(Raw_D1!$C$2:$C$1001,$AP375),IF($AR375&lt;&gt;"",INDEX(Raw_D3!$C$2:$C$1001,$AR375),"")))</f>
        <v>1</v>
      </c>
      <c r="D375" s="5">
        <f>IF($A375="","",IF($AP375&lt;&gt;"",INDEX(Raw_D1!$D$2:$D$1001,$AP375),IF($AR375&lt;&gt;"",INDEX(Raw_D3!$D$2:$D$1001,$AR375),"")))</f>
        <v>0</v>
      </c>
      <c r="E375" s="5">
        <f>IF($A375="","",IF($AP375&lt;&gt;"",INDEX(Raw_D1!$E$2:$E$1001,$AP375),IF($AR375&lt;&gt;"",INDEX(Raw_D3!$E$2:$E$1001,$AR375),"")))</f>
        <v>1</v>
      </c>
      <c r="F375" s="5">
        <f>IF($A375="","",IF($AP375&lt;&gt;"",INDEX(Raw_D1!$F$2:$F$1001,$AP375),IF($AR375&lt;&gt;"",INDEX(Raw_D3!$F$2:$F$1001,$AR375),"")))</f>
        <v>1</v>
      </c>
      <c r="G375" s="5">
        <f>IF($A375="","",IF($AP375&lt;&gt;"",IF(INDEX(Raw_D1!$G$2:$G$1001,$AP375),1,0),IF($AR375&lt;&gt;"",IF(INDEX(Raw_D3!$G$2:$G$1001,$AR375),1,0),"")))</f>
        <v>1</v>
      </c>
      <c r="H375" s="5">
        <f>IF($A375="","",IF($AP375&lt;&gt;"",INDEX(Raw_D1!$H$2:$H$1001,$AP375),IF($AR375&lt;&gt;"",INDEX(Raw_D3!$H$2:$H$1001,$AR375),"")))</f>
        <v>1</v>
      </c>
      <c r="I375" s="5">
        <f>IF($A375="","",IF($AP375&lt;&gt;"",INDEX(Raw_D1!$I$2:$I$1001,$AP375),IF($AR375&lt;&gt;"",INDEX(Raw_D3!$I$2:$I$1001,$AR375),"")))</f>
        <v>2</v>
      </c>
      <c r="J375" s="16">
        <f>IF($A375="","",IF($AP375&lt;&gt;"",INDEX(Raw_D1!$J$2:$J$1001,$AP375),IF($AR375&lt;&gt;"",INDEX(Raw_D3!$J$2:$J$1001,$AR375),"")))</f>
        <v>0.2</v>
      </c>
      <c r="K375" s="17">
        <f>IF($A375="","",IF($AQ375&lt;&gt;"",IF(INDEX(Raw_D2!$C$2:$C$1001,$AQ375)="","",INDEX(Raw_D2!$C$2:$C$1001,$AQ375)),IF($AR375&lt;&gt;"",IF(INDEX(Raw_D3!$K$2:$K$1001,$AR375)="","",INDEX(Raw_D3!$K$2:$K$1001,$AR375)),"")))</f>
        <v>0.197</v>
      </c>
      <c r="L375" s="16">
        <f>IF($A375="","",IF($AQ375&lt;&gt;"",IF(INDEX(Raw_D2!$D$2:$D$1001,$AQ375)="","",INDEX(Raw_D2!$D$2:$D$1001,$AQ375)),IF($AR375&lt;&gt;"",IF(INDEX(Raw_D3!$L$2:$L$1001,$AR375)="","",INDEX(Raw_D3!$L$2:$L$1001,$AR375)),"")))</f>
        <v>0.44</v>
      </c>
      <c r="M375" s="17">
        <f>IF($A375="","",IF($AQ375&lt;&gt;"",IF(INDEX(Raw_D2!$E$2:$E$1001,$AQ375)="","",INDEX(Raw_D2!$E$2:$E$1001,$AQ375)),IF($AR375&lt;&gt;"",IF(INDEX(Raw_D3!$M$2:$M$1001,$AR375)="","",INDEX(Raw_D3!$M$2:$M$1001,$AR375)),"")))</f>
        <v>0.194</v>
      </c>
      <c r="N375" s="5">
        <f>IF($A375="","",IF($AQ375&lt;&gt;"",IF(INDEX(Raw_D2!$F$2:$F$1001,$AQ375)="","",INDEX(Raw_D2!$F$2:$F$1001,$AQ375)),IF($AR375&lt;&gt;"",IF(INDEX(Raw_D3!$N$2:$N$1001,$AR375)="","",INDEX(Raw_D3!$N$2:$N$1001,$AR375)),"")))</f>
        <v>1</v>
      </c>
      <c r="O375" s="5">
        <f>IF($A375="","",IF($AQ375&lt;&gt;"",IF(INDEX(Raw_D2!$G$2:$G$1001,$AQ375)="","",INDEX(Raw_D2!$G$2:$G$1001,$AQ375)),IF($AR375&lt;&gt;"",IF(INDEX(Raw_D3!$O$2:$O$1001,$AR375)="","",INDEX(Raw_D3!$O$2:$O$1001,$AR375)),"")))</f>
        <v>15</v>
      </c>
      <c r="P375" s="5">
        <f>IF($A375="","",IF($AQ375&lt;&gt;"",IF(INDEX(Raw_D2!$H$2:$H$1001,$AQ375)="","",INDEX(Raw_D2!$H$2:$H$1001,$AQ375)),IF($AR375&lt;&gt;"",IF(INDEX(Raw_D3!$P$2:$P$1001,$AR375)="","",INDEX(Raw_D3!$P$2:$P$1001,$AR375)),"")))</f>
        <v>16</v>
      </c>
      <c r="Q375" s="5" t="str">
        <f>IF($A375="","",IF(AND($AP375&lt;&gt;"",$AQ375&lt;&gt;""),"D1+D2",IF($AR375&lt;&gt;"","D3","Incomplete")))</f>
        <v>D1+D2</v>
      </c>
      <c r="R375" s="17">
        <f>IF($A375="","",IF($K375="",IF($J375="","",ROUND(Lookups!$K$5+Lookups!$K$4*$J375,4)),$K375))</f>
        <v>0.197</v>
      </c>
      <c r="S375" s="5" t="str">
        <f>IF($A375="","",IF($K375="","Imputed","Original"))</f>
        <v>Original</v>
      </c>
      <c r="T375" s="5" t="str">
        <f>IF($A375="","",IF($P375="","Missing",IF($P375=$N375+$O375,"OK","Mismatch")))</f>
        <v>OK</v>
      </c>
      <c r="U375" s="5" t="str">
        <f>IF($A375="","",IF(COUNTIF($A$2:$A375,$A375)&gt;1,"Duplicate","Unique"))</f>
        <v>Unique</v>
      </c>
      <c r="V375" s="5">
        <f>IF($A375="","",IF(AND($U375="Unique",ISNUMBER($P375)),1,0))</f>
        <v>1</v>
      </c>
      <c r="W375" s="5" t="str">
        <f>IF($A375="","",IF(OR($H375=0,$H375=6),"Weekend","Weekday"))</f>
        <v>Weekday</v>
      </c>
      <c r="X375" s="5" t="str">
        <f>IF($A375="","",TEXT($B375,"ddd"))</f>
        <v>Mon</v>
      </c>
      <c r="Y375" s="5" t="str">
        <f>IF($A375="","",TEXT($B375,"mmm"))</f>
        <v>Jan</v>
      </c>
      <c r="Z375" s="5" t="str">
        <f>IF($A375="","",IFERROR(VLOOKUP($C375,Lookups!$D$4:$E$7,2,FALSE),"Unknown"))</f>
        <v>Winter</v>
      </c>
      <c r="AA375" s="5" t="str">
        <f>IF($A375="","",IFERROR(VLOOKUP($I375,Lookups!$A$4:$B$7,2,FALSE),"Unknown"))</f>
        <v>Mist/Cloudy</v>
      </c>
      <c r="AB375" s="5" t="str">
        <f>IF($A375="","",TEXT($F375,"00")&amp;":00")</f>
        <v>01:00</v>
      </c>
      <c r="AC375" s="5" t="str">
        <f>IF($A375="","",VLOOKUP($F375,Lookups!$G$4:$H$8,2,TRUE))</f>
        <v>Night (00-05)</v>
      </c>
      <c r="AD375" s="18">
        <f>IF($A375="","",IF($J375="","",ROUND($J375*41,1)))</f>
        <v>8.2</v>
      </c>
      <c r="AE375" s="18">
        <f>IF($A375="","",IF($R375="","",ROUND($R375*50,1)))</f>
        <v>9.9</v>
      </c>
      <c r="AF375" s="5">
        <f>IF($A375="","",IF($L375="","",ROUND($L375*100,0)))</f>
        <v>44</v>
      </c>
      <c r="AG375" s="18">
        <f>IF($A375="","",IF($M375="","",ROUND($M375*67,1)))</f>
        <v>13</v>
      </c>
      <c r="AH375" s="19">
        <f>IF($A375="","",IF($P375="","",IF($P375=0,0,$O375/$P375)))</f>
        <v>0.9375</v>
      </c>
      <c r="AI375" s="5" t="str">
        <f>IF($A375="","",IF($P375="","",IF($P375&gt;=Lookups!$K$7,"High",IF($P375&lt;=Lookups!$K$8,"Low","Medium"))))</f>
        <v>Low</v>
      </c>
      <c r="AJ375" s="5" t="str">
        <f>IF($A375="","",IF($AD375="","",IF($AD375&lt;5,"Under 5 C",IF($AD375&lt;10,"5-10 C",IF($AD375&lt;15,"10-15 C","15 C and above")))))</f>
        <v>5-10 C</v>
      </c>
      <c r="AK375" s="5">
        <f>IF($A375="","",IF($P375="","",$P375^2))</f>
        <v>256</v>
      </c>
      <c r="AL375" s="18">
        <f>IF($V375&lt;&gt;1,"",AVERAGEIFS(Clean_Data!$P$2:$P$1001,Clean_Data!$F$2:$F$1001,$F375,Clean_Data!$W$2:$W$1001,$W375,Clean_Data!$V$2:$V$1001,1))</f>
        <v>5.10344827586207</v>
      </c>
      <c r="AM375" s="16">
        <f>IF($V375&lt;&gt;1,"",IFERROR(($P375-$AL375)/SQRT(MAX(0,(SUMIFS(Clean_Data!$AK$2:$AK$1001,Clean_Data!$F$2:$F$1001,$F375,Clean_Data!$W$2:$W$1001,$W375,Clean_Data!$V$2:$V$1001,1)-COUNTIFS(Clean_Data!$F$2:$F$1001,$F375,Clean_Data!$W$2:$W$1001,$W375,Clean_Data!$V$2:$V$1001,1)*$AL375^2)/(COUNTIFS(Clean_Data!$F$2:$F$1001,$F375,Clean_Data!$W$2:$W$1001,$W375,Clean_Data!$V$2:$V$1001,1)-1))),""))</f>
        <v>3.77989348948032</v>
      </c>
      <c r="AN375" s="5" t="str">
        <f>IF($AM375="","",IF($AM375&gt;=Lookups!$K$6,"High spike",IF($AM375&lt;=-Lookups!$K$6,"Unusual low","Normal")))</f>
        <v>High spike</v>
      </c>
      <c r="AO375" s="20">
        <f>IF($V375&lt;&gt;1,"",$P375+ROW()/100000)</f>
        <v>16.00375</v>
      </c>
      <c r="AP375" s="5">
        <f>IF($A375="","",IFERROR(MATCH($A375,Raw_D1!$A$2:$A$1001,0),""))</f>
        <v>374</v>
      </c>
      <c r="AQ375" s="5">
        <f>IF($A375="","",IFERROR(MATCH($A375,Raw_D2!$B$2:$B$1001,0),""))</f>
        <v>374</v>
      </c>
      <c r="AR375" s="5">
        <f>IF($A375="","",IFERROR(MATCH($A375,Raw_D3!$A$2:$A$1001,0),""))</f>
        <v/>
      </c>
    </row>
    <row r="376" spans="1:44" x14ac:dyDescent="0.25">
      <c r="A376" s="5">
        <v>375</v>
      </c>
      <c r="B376" s="11">
        <f>IF($A376="","",IF($AP376&lt;&gt;"",INDEX(Raw_D1!$B$2:$B$1001,$AP376),IF($AR376&lt;&gt;"",INDEX(Raw_D3!$B$2:$B$1001,$AR376),"")))</f>
        <v>40560.0</v>
      </c>
      <c r="C376" s="5">
        <f>IF($A376="","",IF($AP376&lt;&gt;"",INDEX(Raw_D1!$C$2:$C$1001,$AP376),IF($AR376&lt;&gt;"",INDEX(Raw_D3!$C$2:$C$1001,$AR376),"")))</f>
        <v>1</v>
      </c>
      <c r="D376" s="5">
        <f>IF($A376="","",IF($AP376&lt;&gt;"",INDEX(Raw_D1!$D$2:$D$1001,$AP376),IF($AR376&lt;&gt;"",INDEX(Raw_D3!$D$2:$D$1001,$AR376),"")))</f>
        <v>0</v>
      </c>
      <c r="E376" s="5">
        <f>IF($A376="","",IF($AP376&lt;&gt;"",INDEX(Raw_D1!$E$2:$E$1001,$AP376),IF($AR376&lt;&gt;"",INDEX(Raw_D3!$E$2:$E$1001,$AR376),"")))</f>
        <v>1</v>
      </c>
      <c r="F376" s="5">
        <f>IF($A376="","",IF($AP376&lt;&gt;"",INDEX(Raw_D1!$F$2:$F$1001,$AP376),IF($AR376&lt;&gt;"",INDEX(Raw_D3!$F$2:$F$1001,$AR376),"")))</f>
        <v>2</v>
      </c>
      <c r="G376" s="5">
        <f>IF($A376="","",IF($AP376&lt;&gt;"",IF(INDEX(Raw_D1!$G$2:$G$1001,$AP376),1,0),IF($AR376&lt;&gt;"",IF(INDEX(Raw_D3!$G$2:$G$1001,$AR376),1,0),"")))</f>
        <v>1</v>
      </c>
      <c r="H376" s="5">
        <f>IF($A376="","",IF($AP376&lt;&gt;"",INDEX(Raw_D1!$H$2:$H$1001,$AP376),IF($AR376&lt;&gt;"",INDEX(Raw_D3!$H$2:$H$1001,$AR376),"")))</f>
        <v>1</v>
      </c>
      <c r="I376" s="5">
        <f>IF($A376="","",IF($AP376&lt;&gt;"",INDEX(Raw_D1!$I$2:$I$1001,$AP376),IF($AR376&lt;&gt;"",INDEX(Raw_D3!$I$2:$I$1001,$AR376),"")))</f>
        <v>2</v>
      </c>
      <c r="J376" s="16">
        <f>IF($A376="","",IF($AP376&lt;&gt;"",INDEX(Raw_D1!$J$2:$J$1001,$AP376),IF($AR376&lt;&gt;"",INDEX(Raw_D3!$J$2:$J$1001,$AR376),"")))</f>
        <v>0.18</v>
      </c>
      <c r="K376" s="17">
        <f>IF($A376="","",IF($AQ376&lt;&gt;"",IF(INDEX(Raw_D2!$C$2:$C$1001,$AQ376)="","",INDEX(Raw_D2!$C$2:$C$1001,$AQ376)),IF($AR376&lt;&gt;"",IF(INDEX(Raw_D3!$K$2:$K$1001,$AR376)="","",INDEX(Raw_D3!$K$2:$K$1001,$AR376)),"")))</f>
        <v>0.1667</v>
      </c>
      <c r="L376" s="16">
        <f>IF($A376="","",IF($AQ376&lt;&gt;"",IF(INDEX(Raw_D2!$D$2:$D$1001,$AQ376)="","",INDEX(Raw_D2!$D$2:$D$1001,$AQ376)),IF($AR376&lt;&gt;"",IF(INDEX(Raw_D3!$L$2:$L$1001,$AR376)="","",INDEX(Raw_D3!$L$2:$L$1001,$AR376)),"")))</f>
        <v>0.43</v>
      </c>
      <c r="M376" s="17">
        <f>IF($A376="","",IF($AQ376&lt;&gt;"",IF(INDEX(Raw_D2!$E$2:$E$1001,$AQ376)="","",INDEX(Raw_D2!$E$2:$E$1001,$AQ376)),IF($AR376&lt;&gt;"",IF(INDEX(Raw_D3!$M$2:$M$1001,$AR376)="","",INDEX(Raw_D3!$M$2:$M$1001,$AR376)),"")))</f>
        <v>0.2537</v>
      </c>
      <c r="N376" s="5">
        <f>IF($A376="","",IF($AQ376&lt;&gt;"",IF(INDEX(Raw_D2!$F$2:$F$1001,$AQ376)="","",INDEX(Raw_D2!$F$2:$F$1001,$AQ376)),IF($AR376&lt;&gt;"",IF(INDEX(Raw_D3!$N$2:$N$1001,$AR376)="","",INDEX(Raw_D3!$N$2:$N$1001,$AR376)),"")))</f>
        <v>0</v>
      </c>
      <c r="O376" s="5">
        <f>IF($A376="","",IF($AQ376&lt;&gt;"",IF(INDEX(Raw_D2!$G$2:$G$1001,$AQ376)="","",INDEX(Raw_D2!$G$2:$G$1001,$AQ376)),IF($AR376&lt;&gt;"",IF(INDEX(Raw_D3!$O$2:$O$1001,$AR376)="","",INDEX(Raw_D3!$O$2:$O$1001,$AR376)),"")))</f>
        <v>8</v>
      </c>
      <c r="P376" s="5">
        <f>IF($A376="","",IF($AQ376&lt;&gt;"",IF(INDEX(Raw_D2!$H$2:$H$1001,$AQ376)="","",INDEX(Raw_D2!$H$2:$H$1001,$AQ376)),IF($AR376&lt;&gt;"",IF(INDEX(Raw_D3!$P$2:$P$1001,$AR376)="","",INDEX(Raw_D3!$P$2:$P$1001,$AR376)),"")))</f>
        <v>8</v>
      </c>
      <c r="Q376" s="5" t="str">
        <f>IF($A376="","",IF(AND($AP376&lt;&gt;"",$AQ376&lt;&gt;""),"D1+D2",IF($AR376&lt;&gt;"","D3","Incomplete")))</f>
        <v>D1+D2</v>
      </c>
      <c r="R376" s="17">
        <f>IF($A376="","",IF($K376="",IF($J376="","",ROUND(Lookups!$K$5+Lookups!$K$4*$J376,4)),$K376))</f>
        <v>0.1667</v>
      </c>
      <c r="S376" s="5" t="str">
        <f>IF($A376="","",IF($K376="","Imputed","Original"))</f>
        <v>Original</v>
      </c>
      <c r="T376" s="5" t="str">
        <f>IF($A376="","",IF($P376="","Missing",IF($P376=$N376+$O376,"OK","Mismatch")))</f>
        <v>OK</v>
      </c>
      <c r="U376" s="5" t="str">
        <f>IF($A376="","",IF(COUNTIF($A$2:$A376,$A376)&gt;1,"Duplicate","Unique"))</f>
        <v>Unique</v>
      </c>
      <c r="V376" s="5">
        <f>IF($A376="","",IF(AND($U376="Unique",ISNUMBER($P376)),1,0))</f>
        <v>1</v>
      </c>
      <c r="W376" s="5" t="str">
        <f>IF($A376="","",IF(OR($H376=0,$H376=6),"Weekend","Weekday"))</f>
        <v>Weekday</v>
      </c>
      <c r="X376" s="5" t="str">
        <f>IF($A376="","",TEXT($B376,"ddd"))</f>
        <v>Mon</v>
      </c>
      <c r="Y376" s="5" t="str">
        <f>IF($A376="","",TEXT($B376,"mmm"))</f>
        <v>Jan</v>
      </c>
      <c r="Z376" s="5" t="str">
        <f>IF($A376="","",IFERROR(VLOOKUP($C376,Lookups!$D$4:$E$7,2,FALSE),"Unknown"))</f>
        <v>Winter</v>
      </c>
      <c r="AA376" s="5" t="str">
        <f>IF($A376="","",IFERROR(VLOOKUP($I376,Lookups!$A$4:$B$7,2,FALSE),"Unknown"))</f>
        <v>Mist/Cloudy</v>
      </c>
      <c r="AB376" s="5" t="str">
        <f>IF($A376="","",TEXT($F376,"00")&amp;":00")</f>
        <v>02:00</v>
      </c>
      <c r="AC376" s="5" t="str">
        <f>IF($A376="","",VLOOKUP($F376,Lookups!$G$4:$H$8,2,TRUE))</f>
        <v>Night (00-05)</v>
      </c>
      <c r="AD376" s="18">
        <f>IF($A376="","",IF($J376="","",ROUND($J376*41,1)))</f>
        <v>7.4</v>
      </c>
      <c r="AE376" s="18">
        <f>IF($A376="","",IF($R376="","",ROUND($R376*50,1)))</f>
        <v>8.3</v>
      </c>
      <c r="AF376" s="5">
        <f>IF($A376="","",IF($L376="","",ROUND($L376*100,0)))</f>
        <v>43</v>
      </c>
      <c r="AG376" s="18">
        <f>IF($A376="","",IF($M376="","",ROUND($M376*67,1)))</f>
        <v>17</v>
      </c>
      <c r="AH376" s="19">
        <f>IF($A376="","",IF($P376="","",IF($P376=0,0,$O376/$P376)))</f>
        <v>1</v>
      </c>
      <c r="AI376" s="5" t="str">
        <f>IF($A376="","",IF($P376="","",IF($P376&gt;=Lookups!$K$7,"High",IF($P376&lt;=Lookups!$K$8,"Low","Medium"))))</f>
        <v>Low</v>
      </c>
      <c r="AJ376" s="5" t="str">
        <f>IF($A376="","",IF($AD376="","",IF($AD376&lt;5,"Under 5 C",IF($AD376&lt;10,"5-10 C",IF($AD376&lt;15,"10-15 C","15 C and above")))))</f>
        <v>5-10 C</v>
      </c>
      <c r="AK376" s="5">
        <f>IF($A376="","",IF($P376="","",$P376^2))</f>
        <v>64</v>
      </c>
      <c r="AL376" s="18">
        <f>IF($V376&lt;&gt;1,"",AVERAGEIFS(Clean_Data!$P$2:$P$1001,Clean_Data!$F$2:$F$1001,$F376,Clean_Data!$W$2:$W$1001,$W376,Clean_Data!$V$2:$V$1001,1))</f>
        <v>2.62962962962963</v>
      </c>
      <c r="AM376" s="16">
        <f>IF($V376&lt;&gt;1,"",IFERROR(($P376-$AL376)/SQRT(MAX(0,(SUMIFS(Clean_Data!$AK$2:$AK$1001,Clean_Data!$F$2:$F$1001,$F376,Clean_Data!$W$2:$W$1001,$W376,Clean_Data!$V$2:$V$1001,1)-COUNTIFS(Clean_Data!$F$2:$F$1001,$F376,Clean_Data!$W$2:$W$1001,$W376,Clean_Data!$V$2:$V$1001,1)*$AL376^2)/(COUNTIFS(Clean_Data!$F$2:$F$1001,$F376,Clean_Data!$W$2:$W$1001,$W376,Clean_Data!$V$2:$V$1001,1)-1))),""))</f>
        <v>2.65602308721602</v>
      </c>
      <c r="AN376" s="5" t="str">
        <f>IF($AM376="","",IF($AM376&gt;=Lookups!$K$6,"High spike",IF($AM376&lt;=-Lookups!$K$6,"Unusual low","Normal")))</f>
        <v>Normal</v>
      </c>
      <c r="AO376" s="20">
        <f>IF($V376&lt;&gt;1,"",$P376+ROW()/100000)</f>
        <v>8.00376</v>
      </c>
      <c r="AP376" s="5">
        <f>IF($A376="","",IFERROR(MATCH($A376,Raw_D1!$A$2:$A$1001,0),""))</f>
        <v>375</v>
      </c>
      <c r="AQ376" s="5">
        <f>IF($A376="","",IFERROR(MATCH($A376,Raw_D2!$B$2:$B$1001,0),""))</f>
        <v>375</v>
      </c>
      <c r="AR376" s="5">
        <f>IF($A376="","",IFERROR(MATCH($A376,Raw_D3!$A$2:$A$1001,0),""))</f>
        <v/>
      </c>
    </row>
    <row r="377" spans="1:44" x14ac:dyDescent="0.25">
      <c r="A377" s="5">
        <v>376</v>
      </c>
      <c r="B377" s="11">
        <f>IF($A377="","",IF($AP377&lt;&gt;"",INDEX(Raw_D1!$B$2:$B$1001,$AP377),IF($AR377&lt;&gt;"",INDEX(Raw_D3!$B$2:$B$1001,$AR377),"")))</f>
        <v>40560.0</v>
      </c>
      <c r="C377" s="5">
        <f>IF($A377="","",IF($AP377&lt;&gt;"",INDEX(Raw_D1!$C$2:$C$1001,$AP377),IF($AR377&lt;&gt;"",INDEX(Raw_D3!$C$2:$C$1001,$AR377),"")))</f>
        <v>1</v>
      </c>
      <c r="D377" s="5">
        <f>IF($A377="","",IF($AP377&lt;&gt;"",INDEX(Raw_D1!$D$2:$D$1001,$AP377),IF($AR377&lt;&gt;"",INDEX(Raw_D3!$D$2:$D$1001,$AR377),"")))</f>
        <v>0</v>
      </c>
      <c r="E377" s="5">
        <f>IF($A377="","",IF($AP377&lt;&gt;"",INDEX(Raw_D1!$E$2:$E$1001,$AP377),IF($AR377&lt;&gt;"",INDEX(Raw_D3!$E$2:$E$1001,$AR377),"")))</f>
        <v>1</v>
      </c>
      <c r="F377" s="5">
        <f>IF($A377="","",IF($AP377&lt;&gt;"",INDEX(Raw_D1!$F$2:$F$1001,$AP377),IF($AR377&lt;&gt;"",INDEX(Raw_D3!$F$2:$F$1001,$AR377),"")))</f>
        <v>3</v>
      </c>
      <c r="G377" s="5">
        <f>IF($A377="","",IF($AP377&lt;&gt;"",IF(INDEX(Raw_D1!$G$2:$G$1001,$AP377),1,0),IF($AR377&lt;&gt;"",IF(INDEX(Raw_D3!$G$2:$G$1001,$AR377),1,0),"")))</f>
        <v>1</v>
      </c>
      <c r="H377" s="5">
        <f>IF($A377="","",IF($AP377&lt;&gt;"",INDEX(Raw_D1!$H$2:$H$1001,$AP377),IF($AR377&lt;&gt;"",INDEX(Raw_D3!$H$2:$H$1001,$AR377),"")))</f>
        <v>1</v>
      </c>
      <c r="I377" s="5">
        <f>IF($A377="","",IF($AP377&lt;&gt;"",INDEX(Raw_D1!$I$2:$I$1001,$AP377),IF($AR377&lt;&gt;"",INDEX(Raw_D3!$I$2:$I$1001,$AR377),"")))</f>
        <v>2</v>
      </c>
      <c r="J377" s="16">
        <f>IF($A377="","",IF($AP377&lt;&gt;"",INDEX(Raw_D1!$J$2:$J$1001,$AP377),IF($AR377&lt;&gt;"",INDEX(Raw_D3!$J$2:$J$1001,$AR377),"")))</f>
        <v>0.18</v>
      </c>
      <c r="K377" s="17">
        <f>IF($A377="","",IF($AQ377&lt;&gt;"",IF(INDEX(Raw_D2!$C$2:$C$1001,$AQ377)="","",INDEX(Raw_D2!$C$2:$C$1001,$AQ377)),IF($AR377&lt;&gt;"",IF(INDEX(Raw_D3!$K$2:$K$1001,$AR377)="","",INDEX(Raw_D3!$K$2:$K$1001,$AR377)),"")))</f>
        <v>0.1818</v>
      </c>
      <c r="L377" s="16">
        <f>IF($A377="","",IF($AQ377&lt;&gt;"",IF(INDEX(Raw_D2!$D$2:$D$1001,$AQ377)="","",INDEX(Raw_D2!$D$2:$D$1001,$AQ377)),IF($AR377&lt;&gt;"",IF(INDEX(Raw_D3!$L$2:$L$1001,$AR377)="","",INDEX(Raw_D3!$L$2:$L$1001,$AR377)),"")))</f>
        <v>0.43</v>
      </c>
      <c r="M377" s="17">
        <f>IF($A377="","",IF($AQ377&lt;&gt;"",IF(INDEX(Raw_D2!$E$2:$E$1001,$AQ377)="","",INDEX(Raw_D2!$E$2:$E$1001,$AQ377)),IF($AR377&lt;&gt;"",IF(INDEX(Raw_D3!$M$2:$M$1001,$AR377)="","",INDEX(Raw_D3!$M$2:$M$1001,$AR377)),"")))</f>
        <v>0.194</v>
      </c>
      <c r="N377" s="5">
        <f>IF($A377="","",IF($AQ377&lt;&gt;"",IF(INDEX(Raw_D2!$F$2:$F$1001,$AQ377)="","",INDEX(Raw_D2!$F$2:$F$1001,$AQ377)),IF($AR377&lt;&gt;"",IF(INDEX(Raw_D3!$N$2:$N$1001,$AR377)="","",INDEX(Raw_D3!$N$2:$N$1001,$AR377)),"")))</f>
        <v>0</v>
      </c>
      <c r="O377" s="5">
        <f>IF($A377="","",IF($AQ377&lt;&gt;"",IF(INDEX(Raw_D2!$G$2:$G$1001,$AQ377)="","",INDEX(Raw_D2!$G$2:$G$1001,$AQ377)),IF($AR377&lt;&gt;"",IF(INDEX(Raw_D3!$O$2:$O$1001,$AR377)="","",INDEX(Raw_D3!$O$2:$O$1001,$AR377)),"")))</f>
        <v>2</v>
      </c>
      <c r="P377" s="5">
        <f>IF($A377="","",IF($AQ377&lt;&gt;"",IF(INDEX(Raw_D2!$H$2:$H$1001,$AQ377)="","",INDEX(Raw_D2!$H$2:$H$1001,$AQ377)),IF($AR377&lt;&gt;"",IF(INDEX(Raw_D3!$P$2:$P$1001,$AR377)="","",INDEX(Raw_D3!$P$2:$P$1001,$AR377)),"")))</f>
        <v>2</v>
      </c>
      <c r="Q377" s="5" t="str">
        <f>IF($A377="","",IF(AND($AP377&lt;&gt;"",$AQ377&lt;&gt;""),"D1+D2",IF($AR377&lt;&gt;"","D3","Incomplete")))</f>
        <v>D1+D2</v>
      </c>
      <c r="R377" s="17">
        <f>IF($A377="","",IF($K377="",IF($J377="","",ROUND(Lookups!$K$5+Lookups!$K$4*$J377,4)),$K377))</f>
        <v>0.1818</v>
      </c>
      <c r="S377" s="5" t="str">
        <f>IF($A377="","",IF($K377="","Imputed","Original"))</f>
        <v>Original</v>
      </c>
      <c r="T377" s="5" t="str">
        <f>IF($A377="","",IF($P377="","Missing",IF($P377=$N377+$O377,"OK","Mismatch")))</f>
        <v>OK</v>
      </c>
      <c r="U377" s="5" t="str">
        <f>IF($A377="","",IF(COUNTIF($A$2:$A377,$A377)&gt;1,"Duplicate","Unique"))</f>
        <v>Unique</v>
      </c>
      <c r="V377" s="5">
        <f>IF($A377="","",IF(AND($U377="Unique",ISNUMBER($P377)),1,0))</f>
        <v>1</v>
      </c>
      <c r="W377" s="5" t="str">
        <f>IF($A377="","",IF(OR($H377=0,$H377=6),"Weekend","Weekday"))</f>
        <v>Weekday</v>
      </c>
      <c r="X377" s="5" t="str">
        <f>IF($A377="","",TEXT($B377,"ddd"))</f>
        <v>Mon</v>
      </c>
      <c r="Y377" s="5" t="str">
        <f>IF($A377="","",TEXT($B377,"mmm"))</f>
        <v>Jan</v>
      </c>
      <c r="Z377" s="5" t="str">
        <f>IF($A377="","",IFERROR(VLOOKUP($C377,Lookups!$D$4:$E$7,2,FALSE),"Unknown"))</f>
        <v>Winter</v>
      </c>
      <c r="AA377" s="5" t="str">
        <f>IF($A377="","",IFERROR(VLOOKUP($I377,Lookups!$A$4:$B$7,2,FALSE),"Unknown"))</f>
        <v>Mist/Cloudy</v>
      </c>
      <c r="AB377" s="5" t="str">
        <f>IF($A377="","",TEXT($F377,"00")&amp;":00")</f>
        <v>03:00</v>
      </c>
      <c r="AC377" s="5" t="str">
        <f>IF($A377="","",VLOOKUP($F377,Lookups!$G$4:$H$8,2,TRUE))</f>
        <v>Night (00-05)</v>
      </c>
      <c r="AD377" s="18">
        <f>IF($A377="","",IF($J377="","",ROUND($J377*41,1)))</f>
        <v>7.4</v>
      </c>
      <c r="AE377" s="18">
        <f>IF($A377="","",IF($R377="","",ROUND($R377*50,1)))</f>
        <v>9.1</v>
      </c>
      <c r="AF377" s="5">
        <f>IF($A377="","",IF($L377="","",ROUND($L377*100,0)))</f>
        <v>43</v>
      </c>
      <c r="AG377" s="18">
        <f>IF($A377="","",IF($M377="","",ROUND($M377*67,1)))</f>
        <v>13</v>
      </c>
      <c r="AH377" s="19">
        <f>IF($A377="","",IF($P377="","",IF($P377=0,0,$O377/$P377)))</f>
        <v>1</v>
      </c>
      <c r="AI377" s="5" t="str">
        <f>IF($A377="","",IF($P377="","",IF($P377&gt;=Lookups!$K$7,"High",IF($P377&lt;=Lookups!$K$8,"Low","Medium"))))</f>
        <v>Low</v>
      </c>
      <c r="AJ377" s="5" t="str">
        <f>IF($A377="","",IF($AD377="","",IF($AD377&lt;5,"Under 5 C",IF($AD377&lt;10,"5-10 C",IF($AD377&lt;15,"10-15 C","15 C and above")))))</f>
        <v>5-10 C</v>
      </c>
      <c r="AK377" s="5">
        <f>IF($A377="","",IF($P377="","",$P377^2))</f>
        <v>4</v>
      </c>
      <c r="AL377" s="18">
        <f>IF($V377&lt;&gt;1,"",AVERAGEIFS(Clean_Data!$P$2:$P$1001,Clean_Data!$F$2:$F$1001,$F377,Clean_Data!$W$2:$W$1001,$W377,Clean_Data!$V$2:$V$1001,1))</f>
        <v>1.41176470588235</v>
      </c>
      <c r="AM377" s="16">
        <f>IF($V377&lt;&gt;1,"",IFERROR(($P377-$AL377)/SQRT(MAX(0,(SUMIFS(Clean_Data!$AK$2:$AK$1001,Clean_Data!$F$2:$F$1001,$F377,Clean_Data!$W$2:$W$1001,$W377,Clean_Data!$V$2:$V$1001,1)-COUNTIFS(Clean_Data!$F$2:$F$1001,$F377,Clean_Data!$W$2:$W$1001,$W377,Clean_Data!$V$2:$V$1001,1)*$AL377^2)/(COUNTIFS(Clean_Data!$F$2:$F$1001,$F377,Clean_Data!$W$2:$W$1001,$W377,Clean_Data!$V$2:$V$1001,1)-1))),""))</f>
        <v>0.951302988308989</v>
      </c>
      <c r="AN377" s="5" t="str">
        <f>IF($AM377="","",IF($AM377&gt;=Lookups!$K$6,"High spike",IF($AM377&lt;=-Lookups!$K$6,"Unusual low","Normal")))</f>
        <v>Normal</v>
      </c>
      <c r="AO377" s="20">
        <f>IF($V377&lt;&gt;1,"",$P377+ROW()/100000)</f>
        <v>2.00377</v>
      </c>
      <c r="AP377" s="5">
        <f>IF($A377="","",IFERROR(MATCH($A377,Raw_D1!$A$2:$A$1001,0),""))</f>
        <v>376</v>
      </c>
      <c r="AQ377" s="5">
        <f>IF($A377="","",IFERROR(MATCH($A377,Raw_D2!$B$2:$B$1001,0),""))</f>
        <v>376</v>
      </c>
      <c r="AR377" s="5">
        <f>IF($A377="","",IFERROR(MATCH($A377,Raw_D3!$A$2:$A$1001,0),""))</f>
        <v/>
      </c>
    </row>
    <row r="378" spans="1:44" x14ac:dyDescent="0.25">
      <c r="A378" s="5">
        <v>377</v>
      </c>
      <c r="B378" s="11">
        <f>IF($A378="","",IF($AP378&lt;&gt;"",INDEX(Raw_D1!$B$2:$B$1001,$AP378),IF($AR378&lt;&gt;"",INDEX(Raw_D3!$B$2:$B$1001,$AR378),"")))</f>
        <v>40560.0</v>
      </c>
      <c r="C378" s="5">
        <f>IF($A378="","",IF($AP378&lt;&gt;"",INDEX(Raw_D1!$C$2:$C$1001,$AP378),IF($AR378&lt;&gt;"",INDEX(Raw_D3!$C$2:$C$1001,$AR378),"")))</f>
        <v>1</v>
      </c>
      <c r="D378" s="5">
        <f>IF($A378="","",IF($AP378&lt;&gt;"",INDEX(Raw_D1!$D$2:$D$1001,$AP378),IF($AR378&lt;&gt;"",INDEX(Raw_D3!$D$2:$D$1001,$AR378),"")))</f>
        <v>0</v>
      </c>
      <c r="E378" s="5">
        <f>IF($A378="","",IF($AP378&lt;&gt;"",INDEX(Raw_D1!$E$2:$E$1001,$AP378),IF($AR378&lt;&gt;"",INDEX(Raw_D3!$E$2:$E$1001,$AR378),"")))</f>
        <v>1</v>
      </c>
      <c r="F378" s="5">
        <f>IF($A378="","",IF($AP378&lt;&gt;"",INDEX(Raw_D1!$F$2:$F$1001,$AP378),IF($AR378&lt;&gt;"",INDEX(Raw_D3!$F$2:$F$1001,$AR378),"")))</f>
        <v>4</v>
      </c>
      <c r="G378" s="5">
        <f>IF($A378="","",IF($AP378&lt;&gt;"",IF(INDEX(Raw_D1!$G$2:$G$1001,$AP378),1,0),IF($AR378&lt;&gt;"",IF(INDEX(Raw_D3!$G$2:$G$1001,$AR378),1,0),"")))</f>
        <v>1</v>
      </c>
      <c r="H378" s="5">
        <f>IF($A378="","",IF($AP378&lt;&gt;"",INDEX(Raw_D1!$H$2:$H$1001,$AP378),IF($AR378&lt;&gt;"",INDEX(Raw_D3!$H$2:$H$1001,$AR378),"")))</f>
        <v>1</v>
      </c>
      <c r="I378" s="5">
        <f>IF($A378="","",IF($AP378&lt;&gt;"",INDEX(Raw_D1!$I$2:$I$1001,$AP378),IF($AR378&lt;&gt;"",INDEX(Raw_D3!$I$2:$I$1001,$AR378),"")))</f>
        <v>2</v>
      </c>
      <c r="J378" s="16">
        <f>IF($A378="","",IF($AP378&lt;&gt;"",INDEX(Raw_D1!$J$2:$J$1001,$AP378),IF($AR378&lt;&gt;"",INDEX(Raw_D3!$J$2:$J$1001,$AR378),"")))</f>
        <v>0.18</v>
      </c>
      <c r="K378" s="17">
        <f>IF($A378="","",IF($AQ378&lt;&gt;"",IF(INDEX(Raw_D2!$C$2:$C$1001,$AQ378)="","",INDEX(Raw_D2!$C$2:$C$1001,$AQ378)),IF($AR378&lt;&gt;"",IF(INDEX(Raw_D3!$K$2:$K$1001,$AR378)="","",INDEX(Raw_D3!$K$2:$K$1001,$AR378)),"")))</f>
        <v>0.197</v>
      </c>
      <c r="L378" s="16">
        <f>IF($A378="","",IF($AQ378&lt;&gt;"",IF(INDEX(Raw_D2!$D$2:$D$1001,$AQ378)="","",INDEX(Raw_D2!$D$2:$D$1001,$AQ378)),IF($AR378&lt;&gt;"",IF(INDEX(Raw_D3!$L$2:$L$1001,$AR378)="","",INDEX(Raw_D3!$L$2:$L$1001,$AR378)),"")))</f>
        <v>0.43</v>
      </c>
      <c r="M378" s="17">
        <f>IF($A378="","",IF($AQ378&lt;&gt;"",IF(INDEX(Raw_D2!$E$2:$E$1001,$AQ378)="","",INDEX(Raw_D2!$E$2:$E$1001,$AQ378)),IF($AR378&lt;&gt;"",IF(INDEX(Raw_D3!$M$2:$M$1001,$AR378)="","",INDEX(Raw_D3!$M$2:$M$1001,$AR378)),"")))</f>
        <v>0.1343</v>
      </c>
      <c r="N378" s="5">
        <f>IF($A378="","",IF($AQ378&lt;&gt;"",IF(INDEX(Raw_D2!$F$2:$F$1001,$AQ378)="","",INDEX(Raw_D2!$F$2:$F$1001,$AQ378)),IF($AR378&lt;&gt;"",IF(INDEX(Raw_D3!$N$2:$N$1001,$AR378)="","",INDEX(Raw_D3!$N$2:$N$1001,$AR378)),"")))</f>
        <v>1</v>
      </c>
      <c r="O378" s="5">
        <f>IF($A378="","",IF($AQ378&lt;&gt;"",IF(INDEX(Raw_D2!$G$2:$G$1001,$AQ378)="","",INDEX(Raw_D2!$G$2:$G$1001,$AQ378)),IF($AR378&lt;&gt;"",IF(INDEX(Raw_D3!$O$2:$O$1001,$AR378)="","",INDEX(Raw_D3!$O$2:$O$1001,$AR378)),"")))</f>
        <v>2</v>
      </c>
      <c r="P378" s="5">
        <f>IF($A378="","",IF($AQ378&lt;&gt;"",IF(INDEX(Raw_D2!$H$2:$H$1001,$AQ378)="","",INDEX(Raw_D2!$H$2:$H$1001,$AQ378)),IF($AR378&lt;&gt;"",IF(INDEX(Raw_D3!$P$2:$P$1001,$AR378)="","",INDEX(Raw_D3!$P$2:$P$1001,$AR378)),"")))</f>
        <v>3</v>
      </c>
      <c r="Q378" s="5" t="str">
        <f>IF($A378="","",IF(AND($AP378&lt;&gt;"",$AQ378&lt;&gt;""),"D1+D2",IF($AR378&lt;&gt;"","D3","Incomplete")))</f>
        <v>D1+D2</v>
      </c>
      <c r="R378" s="17">
        <f>IF($A378="","",IF($K378="",IF($J378="","",ROUND(Lookups!$K$5+Lookups!$K$4*$J378,4)),$K378))</f>
        <v>0.197</v>
      </c>
      <c r="S378" s="5" t="str">
        <f>IF($A378="","",IF($K378="","Imputed","Original"))</f>
        <v>Original</v>
      </c>
      <c r="T378" s="5" t="str">
        <f>IF($A378="","",IF($P378="","Missing",IF($P378=$N378+$O378,"OK","Mismatch")))</f>
        <v>OK</v>
      </c>
      <c r="U378" s="5" t="str">
        <f>IF($A378="","",IF(COUNTIF($A$2:$A378,$A378)&gt;1,"Duplicate","Unique"))</f>
        <v>Unique</v>
      </c>
      <c r="V378" s="5">
        <f>IF($A378="","",IF(AND($U378="Unique",ISNUMBER($P378)),1,0))</f>
        <v>1</v>
      </c>
      <c r="W378" s="5" t="str">
        <f>IF($A378="","",IF(OR($H378=0,$H378=6),"Weekend","Weekday"))</f>
        <v>Weekday</v>
      </c>
      <c r="X378" s="5" t="str">
        <f>IF($A378="","",TEXT($B378,"ddd"))</f>
        <v>Mon</v>
      </c>
      <c r="Y378" s="5" t="str">
        <f>IF($A378="","",TEXT($B378,"mmm"))</f>
        <v>Jan</v>
      </c>
      <c r="Z378" s="5" t="str">
        <f>IF($A378="","",IFERROR(VLOOKUP($C378,Lookups!$D$4:$E$7,2,FALSE),"Unknown"))</f>
        <v>Winter</v>
      </c>
      <c r="AA378" s="5" t="str">
        <f>IF($A378="","",IFERROR(VLOOKUP($I378,Lookups!$A$4:$B$7,2,FALSE),"Unknown"))</f>
        <v>Mist/Cloudy</v>
      </c>
      <c r="AB378" s="5" t="str">
        <f>IF($A378="","",TEXT($F378,"00")&amp;":00")</f>
        <v>04:00</v>
      </c>
      <c r="AC378" s="5" t="str">
        <f>IF($A378="","",VLOOKUP($F378,Lookups!$G$4:$H$8,2,TRUE))</f>
        <v>Night (00-05)</v>
      </c>
      <c r="AD378" s="18">
        <f>IF($A378="","",IF($J378="","",ROUND($J378*41,1)))</f>
        <v>7.4</v>
      </c>
      <c r="AE378" s="18">
        <f>IF($A378="","",IF($R378="","",ROUND($R378*50,1)))</f>
        <v>9.9</v>
      </c>
      <c r="AF378" s="5">
        <f>IF($A378="","",IF($L378="","",ROUND($L378*100,0)))</f>
        <v>43</v>
      </c>
      <c r="AG378" s="18">
        <f>IF($A378="","",IF($M378="","",ROUND($M378*67,1)))</f>
        <v>9</v>
      </c>
      <c r="AH378" s="19">
        <f>IF($A378="","",IF($P378="","",IF($P378=0,0,$O378/$P378)))</f>
        <v>0.666666666666667</v>
      </c>
      <c r="AI378" s="5" t="str">
        <f>IF($A378="","",IF($P378="","",IF($P378&gt;=Lookups!$K$7,"High",IF($P378&lt;=Lookups!$K$8,"Low","Medium"))))</f>
        <v>Low</v>
      </c>
      <c r="AJ378" s="5" t="str">
        <f>IF($A378="","",IF($AD378="","",IF($AD378&lt;5,"Under 5 C",IF($AD378&lt;10,"5-10 C",IF($AD378&lt;15,"10-15 C","15 C and above")))))</f>
        <v>5-10 C</v>
      </c>
      <c r="AK378" s="5">
        <f>IF($A378="","",IF($P378="","",$P378^2))</f>
        <v>9</v>
      </c>
      <c r="AL378" s="18">
        <f>IF($V378&lt;&gt;1,"",AVERAGEIFS(Clean_Data!$P$2:$P$1001,Clean_Data!$F$2:$F$1001,$F378,Clean_Data!$W$2:$W$1001,$W378,Clean_Data!$V$2:$V$1001,1))</f>
        <v>1.78947368421053</v>
      </c>
      <c r="AM378" s="16">
        <f>IF($V378&lt;&gt;1,"",IFERROR(($P378-$AL378)/SQRT(MAX(0,(SUMIFS(Clean_Data!$AK$2:$AK$1001,Clean_Data!$F$2:$F$1001,$F378,Clean_Data!$W$2:$W$1001,$W378,Clean_Data!$V$2:$V$1001,1)-COUNTIFS(Clean_Data!$F$2:$F$1001,$F378,Clean_Data!$W$2:$W$1001,$W378,Clean_Data!$V$2:$V$1001,1)*$AL378^2)/(COUNTIFS(Clean_Data!$F$2:$F$1001,$F378,Clean_Data!$W$2:$W$1001,$W378,Clean_Data!$V$2:$V$1001,1)-1))),""))</f>
        <v>1.31914046975573</v>
      </c>
      <c r="AN378" s="5" t="str">
        <f>IF($AM378="","",IF($AM378&gt;=Lookups!$K$6,"High spike",IF($AM378&lt;=-Lookups!$K$6,"Unusual low","Normal")))</f>
        <v>Normal</v>
      </c>
      <c r="AO378" s="20">
        <f>IF($V378&lt;&gt;1,"",$P378+ROW()/100000)</f>
        <v>3.00378</v>
      </c>
      <c r="AP378" s="5">
        <f>IF($A378="","",IFERROR(MATCH($A378,Raw_D1!$A$2:$A$1001,0),""))</f>
        <v>377</v>
      </c>
      <c r="AQ378" s="5">
        <f>IF($A378="","",IFERROR(MATCH($A378,Raw_D2!$B$2:$B$1001,0),""))</f>
        <v>377</v>
      </c>
      <c r="AR378" s="5">
        <f>IF($A378="","",IFERROR(MATCH($A378,Raw_D3!$A$2:$A$1001,0),""))</f>
        <v/>
      </c>
    </row>
    <row r="379" spans="1:44" x14ac:dyDescent="0.25">
      <c r="A379" s="5">
        <v>378</v>
      </c>
      <c r="B379" s="11">
        <f>IF($A379="","",IF($AP379&lt;&gt;"",INDEX(Raw_D1!$B$2:$B$1001,$AP379),IF($AR379&lt;&gt;"",INDEX(Raw_D3!$B$2:$B$1001,$AR379),"")))</f>
        <v>40560.0</v>
      </c>
      <c r="C379" s="5">
        <f>IF($A379="","",IF($AP379&lt;&gt;"",INDEX(Raw_D1!$C$2:$C$1001,$AP379),IF($AR379&lt;&gt;"",INDEX(Raw_D3!$C$2:$C$1001,$AR379),"")))</f>
        <v>1</v>
      </c>
      <c r="D379" s="5">
        <f>IF($A379="","",IF($AP379&lt;&gt;"",INDEX(Raw_D1!$D$2:$D$1001,$AP379),IF($AR379&lt;&gt;"",INDEX(Raw_D3!$D$2:$D$1001,$AR379),"")))</f>
        <v>0</v>
      </c>
      <c r="E379" s="5">
        <f>IF($A379="","",IF($AP379&lt;&gt;"",INDEX(Raw_D1!$E$2:$E$1001,$AP379),IF($AR379&lt;&gt;"",INDEX(Raw_D3!$E$2:$E$1001,$AR379),"")))</f>
        <v>1</v>
      </c>
      <c r="F379" s="5">
        <f>IF($A379="","",IF($AP379&lt;&gt;"",INDEX(Raw_D1!$F$2:$F$1001,$AP379),IF($AR379&lt;&gt;"",INDEX(Raw_D3!$F$2:$F$1001,$AR379),"")))</f>
        <v>5</v>
      </c>
      <c r="G379" s="5">
        <f>IF($A379="","",IF($AP379&lt;&gt;"",IF(INDEX(Raw_D1!$G$2:$G$1001,$AP379),1,0),IF($AR379&lt;&gt;"",IF(INDEX(Raw_D3!$G$2:$G$1001,$AR379),1,0),"")))</f>
        <v>1</v>
      </c>
      <c r="H379" s="5">
        <f>IF($A379="","",IF($AP379&lt;&gt;"",INDEX(Raw_D1!$H$2:$H$1001,$AP379),IF($AR379&lt;&gt;"",INDEX(Raw_D3!$H$2:$H$1001,$AR379),"")))</f>
        <v>1</v>
      </c>
      <c r="I379" s="5">
        <f>IF($A379="","",IF($AP379&lt;&gt;"",INDEX(Raw_D1!$I$2:$I$1001,$AP379),IF($AR379&lt;&gt;"",INDEX(Raw_D3!$I$2:$I$1001,$AR379),"")))</f>
        <v>2</v>
      </c>
      <c r="J379" s="16">
        <f>IF($A379="","",IF($AP379&lt;&gt;"",INDEX(Raw_D1!$J$2:$J$1001,$AP379),IF($AR379&lt;&gt;"",INDEX(Raw_D3!$J$2:$J$1001,$AR379),"")))</f>
        <v>0.18</v>
      </c>
      <c r="K379" s="17">
        <f>IF($A379="","",IF($AQ379&lt;&gt;"",IF(INDEX(Raw_D2!$C$2:$C$1001,$AQ379)="","",INDEX(Raw_D2!$C$2:$C$1001,$AQ379)),IF($AR379&lt;&gt;"",IF(INDEX(Raw_D3!$K$2:$K$1001,$AR379)="","",INDEX(Raw_D3!$K$2:$K$1001,$AR379)),"")))</f>
        <v>0.197</v>
      </c>
      <c r="L379" s="16">
        <f>IF($A379="","",IF($AQ379&lt;&gt;"",IF(INDEX(Raw_D2!$D$2:$D$1001,$AQ379)="","",INDEX(Raw_D2!$D$2:$D$1001,$AQ379)),IF($AR379&lt;&gt;"",IF(INDEX(Raw_D3!$L$2:$L$1001,$AR379)="","",INDEX(Raw_D3!$L$2:$L$1001,$AR379)),"")))</f>
        <v>0.43</v>
      </c>
      <c r="M379" s="17">
        <f>IF($A379="","",IF($AQ379&lt;&gt;"",IF(INDEX(Raw_D2!$E$2:$E$1001,$AQ379)="","",INDEX(Raw_D2!$E$2:$E$1001,$AQ379)),IF($AR379&lt;&gt;"",IF(INDEX(Raw_D3!$M$2:$M$1001,$AR379)="","",INDEX(Raw_D3!$M$2:$M$1001,$AR379)),"")))</f>
        <v>0.1642</v>
      </c>
      <c r="N379" s="5">
        <f>IF($A379="","",IF($AQ379&lt;&gt;"",IF(INDEX(Raw_D2!$F$2:$F$1001,$AQ379)="","",INDEX(Raw_D2!$F$2:$F$1001,$AQ379)),IF($AR379&lt;&gt;"",IF(INDEX(Raw_D3!$N$2:$N$1001,$AR379)="","",INDEX(Raw_D3!$N$2:$N$1001,$AR379)),"")))</f>
        <v>0</v>
      </c>
      <c r="O379" s="5">
        <f>IF($A379="","",IF($AQ379&lt;&gt;"",IF(INDEX(Raw_D2!$G$2:$G$1001,$AQ379)="","",INDEX(Raw_D2!$G$2:$G$1001,$AQ379)),IF($AR379&lt;&gt;"",IF(INDEX(Raw_D3!$O$2:$O$1001,$AR379)="","",INDEX(Raw_D3!$O$2:$O$1001,$AR379)),"")))</f>
        <v>1</v>
      </c>
      <c r="P379" s="5">
        <f>IF($A379="","",IF($AQ379&lt;&gt;"",IF(INDEX(Raw_D2!$H$2:$H$1001,$AQ379)="","",INDEX(Raw_D2!$H$2:$H$1001,$AQ379)),IF($AR379&lt;&gt;"",IF(INDEX(Raw_D3!$P$2:$P$1001,$AR379)="","",INDEX(Raw_D3!$P$2:$P$1001,$AR379)),"")))</f>
        <v>1</v>
      </c>
      <c r="Q379" s="5" t="str">
        <f>IF($A379="","",IF(AND($AP379&lt;&gt;"",$AQ379&lt;&gt;""),"D1+D2",IF($AR379&lt;&gt;"","D3","Incomplete")))</f>
        <v>D1+D2</v>
      </c>
      <c r="R379" s="17">
        <f>IF($A379="","",IF($K379="",IF($J379="","",ROUND(Lookups!$K$5+Lookups!$K$4*$J379,4)),$K379))</f>
        <v>0.197</v>
      </c>
      <c r="S379" s="5" t="str">
        <f>IF($A379="","",IF($K379="","Imputed","Original"))</f>
        <v>Original</v>
      </c>
      <c r="T379" s="5" t="str">
        <f>IF($A379="","",IF($P379="","Missing",IF($P379=$N379+$O379,"OK","Mismatch")))</f>
        <v>OK</v>
      </c>
      <c r="U379" s="5" t="str">
        <f>IF($A379="","",IF(COUNTIF($A$2:$A379,$A379)&gt;1,"Duplicate","Unique"))</f>
        <v>Unique</v>
      </c>
      <c r="V379" s="5">
        <f>IF($A379="","",IF(AND($U379="Unique",ISNUMBER($P379)),1,0))</f>
        <v>1</v>
      </c>
      <c r="W379" s="5" t="str">
        <f>IF($A379="","",IF(OR($H379=0,$H379=6),"Weekend","Weekday"))</f>
        <v>Weekday</v>
      </c>
      <c r="X379" s="5" t="str">
        <f>IF($A379="","",TEXT($B379,"ddd"))</f>
        <v>Mon</v>
      </c>
      <c r="Y379" s="5" t="str">
        <f>IF($A379="","",TEXT($B379,"mmm"))</f>
        <v>Jan</v>
      </c>
      <c r="Z379" s="5" t="str">
        <f>IF($A379="","",IFERROR(VLOOKUP($C379,Lookups!$D$4:$E$7,2,FALSE),"Unknown"))</f>
        <v>Winter</v>
      </c>
      <c r="AA379" s="5" t="str">
        <f>IF($A379="","",IFERROR(VLOOKUP($I379,Lookups!$A$4:$B$7,2,FALSE),"Unknown"))</f>
        <v>Mist/Cloudy</v>
      </c>
      <c r="AB379" s="5" t="str">
        <f>IF($A379="","",TEXT($F379,"00")&amp;":00")</f>
        <v>05:00</v>
      </c>
      <c r="AC379" s="5" t="str">
        <f>IF($A379="","",VLOOKUP($F379,Lookups!$G$4:$H$8,2,TRUE))</f>
        <v>Night (00-05)</v>
      </c>
      <c r="AD379" s="18">
        <f>IF($A379="","",IF($J379="","",ROUND($J379*41,1)))</f>
        <v>7.4</v>
      </c>
      <c r="AE379" s="18">
        <f>IF($A379="","",IF($R379="","",ROUND($R379*50,1)))</f>
        <v>9.9</v>
      </c>
      <c r="AF379" s="5">
        <f>IF($A379="","",IF($L379="","",ROUND($L379*100,0)))</f>
        <v>43</v>
      </c>
      <c r="AG379" s="18">
        <f>IF($A379="","",IF($M379="","",ROUND($M379*67,1)))</f>
        <v>11</v>
      </c>
      <c r="AH379" s="19">
        <f>IF($A379="","",IF($P379="","",IF($P379=0,0,$O379/$P379)))</f>
        <v>1</v>
      </c>
      <c r="AI379" s="5" t="str">
        <f>IF($A379="","",IF($P379="","",IF($P379&gt;=Lookups!$K$7,"High",IF($P379&lt;=Lookups!$K$8,"Low","Medium"))))</f>
        <v>Low</v>
      </c>
      <c r="AJ379" s="5" t="str">
        <f>IF($A379="","",IF($AD379="","",IF($AD379&lt;5,"Under 5 C",IF($AD379&lt;10,"5-10 C",IF($AD379&lt;15,"10-15 C","15 C and above")))))</f>
        <v>5-10 C</v>
      </c>
      <c r="AK379" s="5">
        <f>IF($A379="","",IF($P379="","",$P379^2))</f>
        <v>1</v>
      </c>
      <c r="AL379" s="18">
        <f>IF($V379&lt;&gt;1,"",AVERAGEIFS(Clean_Data!$P$2:$P$1001,Clean_Data!$F$2:$F$1001,$F379,Clean_Data!$W$2:$W$1001,$W379,Clean_Data!$V$2:$V$1001,1))</f>
        <v>4.72413793103448</v>
      </c>
      <c r="AM379" s="16">
        <f>IF($V379&lt;&gt;1,"",IFERROR(($P379-$AL379)/SQRT(MAX(0,(SUMIFS(Clean_Data!$AK$2:$AK$1001,Clean_Data!$F$2:$F$1001,$F379,Clean_Data!$W$2:$W$1001,$W379,Clean_Data!$V$2:$V$1001,1)-COUNTIFS(Clean_Data!$F$2:$F$1001,$F379,Clean_Data!$W$2:$W$1001,$W379,Clean_Data!$V$2:$V$1001,1)*$AL379^2)/(COUNTIFS(Clean_Data!$F$2:$F$1001,$F379,Clean_Data!$W$2:$W$1001,$W379,Clean_Data!$V$2:$V$1001,1)-1))),""))</f>
        <v>-1.58904553687487</v>
      </c>
      <c r="AN379" s="5" t="str">
        <f>IF($AM379="","",IF($AM379&gt;=Lookups!$K$6,"High spike",IF($AM379&lt;=-Lookups!$K$6,"Unusual low","Normal")))</f>
        <v>Normal</v>
      </c>
      <c r="AO379" s="20">
        <f>IF($V379&lt;&gt;1,"",$P379+ROW()/100000)</f>
        <v>1.00379</v>
      </c>
      <c r="AP379" s="5">
        <f>IF($A379="","",IFERROR(MATCH($A379,Raw_D1!$A$2:$A$1001,0),""))</f>
        <v>378</v>
      </c>
      <c r="AQ379" s="5">
        <f>IF($A379="","",IFERROR(MATCH($A379,Raw_D2!$B$2:$B$1001,0),""))</f>
        <v>378</v>
      </c>
      <c r="AR379" s="5">
        <f>IF($A379="","",IFERROR(MATCH($A379,Raw_D3!$A$2:$A$1001,0),""))</f>
        <v/>
      </c>
    </row>
    <row r="380" spans="1:44" x14ac:dyDescent="0.25">
      <c r="A380" s="5">
        <v>379</v>
      </c>
      <c r="B380" s="11">
        <f>IF($A380="","",IF($AP380&lt;&gt;"",INDEX(Raw_D1!$B$2:$B$1001,$AP380),IF($AR380&lt;&gt;"",INDEX(Raw_D3!$B$2:$B$1001,$AR380),"")))</f>
        <v>40560.0</v>
      </c>
      <c r="C380" s="5">
        <f>IF($A380="","",IF($AP380&lt;&gt;"",INDEX(Raw_D1!$C$2:$C$1001,$AP380),IF($AR380&lt;&gt;"",INDEX(Raw_D3!$C$2:$C$1001,$AR380),"")))</f>
        <v>1</v>
      </c>
      <c r="D380" s="5">
        <f>IF($A380="","",IF($AP380&lt;&gt;"",INDEX(Raw_D1!$D$2:$D$1001,$AP380),IF($AR380&lt;&gt;"",INDEX(Raw_D3!$D$2:$D$1001,$AR380),"")))</f>
        <v>0</v>
      </c>
      <c r="E380" s="5">
        <f>IF($A380="","",IF($AP380&lt;&gt;"",INDEX(Raw_D1!$E$2:$E$1001,$AP380),IF($AR380&lt;&gt;"",INDEX(Raw_D3!$E$2:$E$1001,$AR380),"")))</f>
        <v>1</v>
      </c>
      <c r="F380" s="5">
        <f>IF($A380="","",IF($AP380&lt;&gt;"",INDEX(Raw_D1!$F$2:$F$1001,$AP380),IF($AR380&lt;&gt;"",INDEX(Raw_D3!$F$2:$F$1001,$AR380),"")))</f>
        <v>6</v>
      </c>
      <c r="G380" s="5">
        <f>IF($A380="","",IF($AP380&lt;&gt;"",IF(INDEX(Raw_D1!$G$2:$G$1001,$AP380),1,0),IF($AR380&lt;&gt;"",IF(INDEX(Raw_D3!$G$2:$G$1001,$AR380),1,0),"")))</f>
        <v>1</v>
      </c>
      <c r="H380" s="5">
        <f>IF($A380="","",IF($AP380&lt;&gt;"",INDEX(Raw_D1!$H$2:$H$1001,$AP380),IF($AR380&lt;&gt;"",INDEX(Raw_D3!$H$2:$H$1001,$AR380),"")))</f>
        <v>1</v>
      </c>
      <c r="I380" s="5">
        <f>IF($A380="","",IF($AP380&lt;&gt;"",INDEX(Raw_D1!$I$2:$I$1001,$AP380),IF($AR380&lt;&gt;"",INDEX(Raw_D3!$I$2:$I$1001,$AR380),"")))</f>
        <v>2</v>
      </c>
      <c r="J380" s="16">
        <f>IF($A380="","",IF($AP380&lt;&gt;"",INDEX(Raw_D1!$J$2:$J$1001,$AP380),IF($AR380&lt;&gt;"",INDEX(Raw_D3!$J$2:$J$1001,$AR380),"")))</f>
        <v>0.18</v>
      </c>
      <c r="K380" s="17">
        <f>IF($A380="","",IF($AQ380&lt;&gt;"",IF(INDEX(Raw_D2!$C$2:$C$1001,$AQ380)="","",INDEX(Raw_D2!$C$2:$C$1001,$AQ380)),IF($AR380&lt;&gt;"",IF(INDEX(Raw_D3!$K$2:$K$1001,$AR380)="","",INDEX(Raw_D3!$K$2:$K$1001,$AR380)),"")))</f>
        <v>0.1818</v>
      </c>
      <c r="L380" s="16">
        <f>IF($A380="","",IF($AQ380&lt;&gt;"",IF(INDEX(Raw_D2!$D$2:$D$1001,$AQ380)="","",INDEX(Raw_D2!$D$2:$D$1001,$AQ380)),IF($AR380&lt;&gt;"",IF(INDEX(Raw_D3!$L$2:$L$1001,$AR380)="","",INDEX(Raw_D3!$L$2:$L$1001,$AR380)),"")))</f>
        <v>0.43</v>
      </c>
      <c r="M380" s="17">
        <f>IF($A380="","",IF($AQ380&lt;&gt;"",IF(INDEX(Raw_D2!$E$2:$E$1001,$AQ380)="","",INDEX(Raw_D2!$E$2:$E$1001,$AQ380)),IF($AR380&lt;&gt;"",IF(INDEX(Raw_D3!$M$2:$M$1001,$AR380)="","",INDEX(Raw_D3!$M$2:$M$1001,$AR380)),"")))</f>
        <v>0.194</v>
      </c>
      <c r="N380" s="5">
        <f>IF($A380="","",IF($AQ380&lt;&gt;"",IF(INDEX(Raw_D2!$F$2:$F$1001,$AQ380)="","",INDEX(Raw_D2!$F$2:$F$1001,$AQ380)),IF($AR380&lt;&gt;"",IF(INDEX(Raw_D3!$N$2:$N$1001,$AR380)="","",INDEX(Raw_D3!$N$2:$N$1001,$AR380)),"")))</f>
        <v>0</v>
      </c>
      <c r="O380" s="5">
        <f>IF($A380="","",IF($AQ380&lt;&gt;"",IF(INDEX(Raw_D2!$G$2:$G$1001,$AQ380)="","",INDEX(Raw_D2!$G$2:$G$1001,$AQ380)),IF($AR380&lt;&gt;"",IF(INDEX(Raw_D3!$O$2:$O$1001,$AR380)="","",INDEX(Raw_D3!$O$2:$O$1001,$AR380)),"")))</f>
        <v>5</v>
      </c>
      <c r="P380" s="5">
        <f>IF($A380="","",IF($AQ380&lt;&gt;"",IF(INDEX(Raw_D2!$H$2:$H$1001,$AQ380)="","",INDEX(Raw_D2!$H$2:$H$1001,$AQ380)),IF($AR380&lt;&gt;"",IF(INDEX(Raw_D3!$P$2:$P$1001,$AR380)="","",INDEX(Raw_D3!$P$2:$P$1001,$AR380)),"")))</f>
        <v>5</v>
      </c>
      <c r="Q380" s="5" t="str">
        <f>IF($A380="","",IF(AND($AP380&lt;&gt;"",$AQ380&lt;&gt;""),"D1+D2",IF($AR380&lt;&gt;"","D3","Incomplete")))</f>
        <v>D1+D2</v>
      </c>
      <c r="R380" s="17">
        <f>IF($A380="","",IF($K380="",IF($J380="","",ROUND(Lookups!$K$5+Lookups!$K$4*$J380,4)),$K380))</f>
        <v>0.1818</v>
      </c>
      <c r="S380" s="5" t="str">
        <f>IF($A380="","",IF($K380="","Imputed","Original"))</f>
        <v>Original</v>
      </c>
      <c r="T380" s="5" t="str">
        <f>IF($A380="","",IF($P380="","Missing",IF($P380=$N380+$O380,"OK","Mismatch")))</f>
        <v>OK</v>
      </c>
      <c r="U380" s="5" t="str">
        <f>IF($A380="","",IF(COUNTIF($A$2:$A380,$A380)&gt;1,"Duplicate","Unique"))</f>
        <v>Unique</v>
      </c>
      <c r="V380" s="5">
        <f>IF($A380="","",IF(AND($U380="Unique",ISNUMBER($P380)),1,0))</f>
        <v>1</v>
      </c>
      <c r="W380" s="5" t="str">
        <f>IF($A380="","",IF(OR($H380=0,$H380=6),"Weekend","Weekday"))</f>
        <v>Weekday</v>
      </c>
      <c r="X380" s="5" t="str">
        <f>IF($A380="","",TEXT($B380,"ddd"))</f>
        <v>Mon</v>
      </c>
      <c r="Y380" s="5" t="str">
        <f>IF($A380="","",TEXT($B380,"mmm"))</f>
        <v>Jan</v>
      </c>
      <c r="Z380" s="5" t="str">
        <f>IF($A380="","",IFERROR(VLOOKUP($C380,Lookups!$D$4:$E$7,2,FALSE),"Unknown"))</f>
        <v>Winter</v>
      </c>
      <c r="AA380" s="5" t="str">
        <f>IF($A380="","",IFERROR(VLOOKUP($I380,Lookups!$A$4:$B$7,2,FALSE),"Unknown"))</f>
        <v>Mist/Cloudy</v>
      </c>
      <c r="AB380" s="5" t="str">
        <f>IF($A380="","",TEXT($F380,"00")&amp;":00")</f>
        <v>06:00</v>
      </c>
      <c r="AC380" s="5" t="str">
        <f>IF($A380="","",VLOOKUP($F380,Lookups!$G$4:$H$8,2,TRUE))</f>
        <v>Morning Peak (06-09)</v>
      </c>
      <c r="AD380" s="18">
        <f>IF($A380="","",IF($J380="","",ROUND($J380*41,1)))</f>
        <v>7.4</v>
      </c>
      <c r="AE380" s="18">
        <f>IF($A380="","",IF($R380="","",ROUND($R380*50,1)))</f>
        <v>9.1</v>
      </c>
      <c r="AF380" s="5">
        <f>IF($A380="","",IF($L380="","",ROUND($L380*100,0)))</f>
        <v>43</v>
      </c>
      <c r="AG380" s="18">
        <f>IF($A380="","",IF($M380="","",ROUND($M380*67,1)))</f>
        <v>13</v>
      </c>
      <c r="AH380" s="19">
        <f>IF($A380="","",IF($P380="","",IF($P380=0,0,$O380/$P380)))</f>
        <v>1</v>
      </c>
      <c r="AI380" s="5" t="str">
        <f>IF($A380="","",IF($P380="","",IF($P380&gt;=Lookups!$K$7,"High",IF($P380&lt;=Lookups!$K$8,"Low","Medium"))))</f>
        <v>Low</v>
      </c>
      <c r="AJ380" s="5" t="str">
        <f>IF($A380="","",IF($AD380="","",IF($AD380&lt;5,"Under 5 C",IF($AD380&lt;10,"5-10 C",IF($AD380&lt;15,"10-15 C","15 C and above")))))</f>
        <v>5-10 C</v>
      </c>
      <c r="AK380" s="5">
        <f>IF($A380="","",IF($P380="","",$P380^2))</f>
        <v>25</v>
      </c>
      <c r="AL380" s="18">
        <f>IF($V380&lt;&gt;1,"",AVERAGEIFS(Clean_Data!$P$2:$P$1001,Clean_Data!$F$2:$F$1001,$F380,Clean_Data!$W$2:$W$1001,$W380,Clean_Data!$V$2:$V$1001,1))</f>
        <v>27.3793103448276</v>
      </c>
      <c r="AM380" s="16">
        <f>IF($V380&lt;&gt;1,"",IFERROR(($P380-$AL380)/SQRT(MAX(0,(SUMIFS(Clean_Data!$AK$2:$AK$1001,Clean_Data!$F$2:$F$1001,$F380,Clean_Data!$W$2:$W$1001,$W380,Clean_Data!$V$2:$V$1001,1)-COUNTIFS(Clean_Data!$F$2:$F$1001,$F380,Clean_Data!$W$2:$W$1001,$W380,Clean_Data!$V$2:$V$1001,1)*$AL380^2)/(COUNTIFS(Clean_Data!$F$2:$F$1001,$F380,Clean_Data!$W$2:$W$1001,$W380,Clean_Data!$V$2:$V$1001,1)-1))),""))</f>
        <v>-2.34929804120037</v>
      </c>
      <c r="AN380" s="5" t="str">
        <f>IF($AM380="","",IF($AM380&gt;=Lookups!$K$6,"High spike",IF($AM380&lt;=-Lookups!$K$6,"Unusual low","Normal")))</f>
        <v>Normal</v>
      </c>
      <c r="AO380" s="20">
        <f>IF($V380&lt;&gt;1,"",$P380+ROW()/100000)</f>
        <v>5.0038</v>
      </c>
      <c r="AP380" s="5">
        <f>IF($A380="","",IFERROR(MATCH($A380,Raw_D1!$A$2:$A$1001,0),""))</f>
        <v>379</v>
      </c>
      <c r="AQ380" s="5">
        <f>IF($A380="","",IFERROR(MATCH($A380,Raw_D2!$B$2:$B$1001,0),""))</f>
        <v>379</v>
      </c>
      <c r="AR380" s="5">
        <f>IF($A380="","",IFERROR(MATCH($A380,Raw_D3!$A$2:$A$1001,0),""))</f>
        <v/>
      </c>
    </row>
    <row r="381" spans="1:44" x14ac:dyDescent="0.25">
      <c r="A381" s="5">
        <v>380</v>
      </c>
      <c r="B381" s="11">
        <f>IF($A381="","",IF($AP381&lt;&gt;"",INDEX(Raw_D1!$B$2:$B$1001,$AP381),IF($AR381&lt;&gt;"",INDEX(Raw_D3!$B$2:$B$1001,$AR381),"")))</f>
        <v>40560.0</v>
      </c>
      <c r="C381" s="5">
        <f>IF($A381="","",IF($AP381&lt;&gt;"",INDEX(Raw_D1!$C$2:$C$1001,$AP381),IF($AR381&lt;&gt;"",INDEX(Raw_D3!$C$2:$C$1001,$AR381),"")))</f>
        <v>1</v>
      </c>
      <c r="D381" s="5">
        <f>IF($A381="","",IF($AP381&lt;&gt;"",INDEX(Raw_D1!$D$2:$D$1001,$AP381),IF($AR381&lt;&gt;"",INDEX(Raw_D3!$D$2:$D$1001,$AR381),"")))</f>
        <v>0</v>
      </c>
      <c r="E381" s="5">
        <f>IF($A381="","",IF($AP381&lt;&gt;"",INDEX(Raw_D1!$E$2:$E$1001,$AP381),IF($AR381&lt;&gt;"",INDEX(Raw_D3!$E$2:$E$1001,$AR381),"")))</f>
        <v>1</v>
      </c>
      <c r="F381" s="5">
        <f>IF($A381="","",IF($AP381&lt;&gt;"",INDEX(Raw_D1!$F$2:$F$1001,$AP381),IF($AR381&lt;&gt;"",INDEX(Raw_D3!$F$2:$F$1001,$AR381),"")))</f>
        <v>7</v>
      </c>
      <c r="G381" s="5">
        <f>IF($A381="","",IF($AP381&lt;&gt;"",IF(INDEX(Raw_D1!$G$2:$G$1001,$AP381),1,0),IF($AR381&lt;&gt;"",IF(INDEX(Raw_D3!$G$2:$G$1001,$AR381),1,0),"")))</f>
        <v>1</v>
      </c>
      <c r="H381" s="5">
        <f>IF($A381="","",IF($AP381&lt;&gt;"",INDEX(Raw_D1!$H$2:$H$1001,$AP381),IF($AR381&lt;&gt;"",INDEX(Raw_D3!$H$2:$H$1001,$AR381),"")))</f>
        <v>1</v>
      </c>
      <c r="I381" s="5">
        <f>IF($A381="","",IF($AP381&lt;&gt;"",INDEX(Raw_D1!$I$2:$I$1001,$AP381),IF($AR381&lt;&gt;"",INDEX(Raw_D3!$I$2:$I$1001,$AR381),"")))</f>
        <v>2</v>
      </c>
      <c r="J381" s="16">
        <f>IF($A381="","",IF($AP381&lt;&gt;"",INDEX(Raw_D1!$J$2:$J$1001,$AP381),IF($AR381&lt;&gt;"",INDEX(Raw_D3!$J$2:$J$1001,$AR381),"")))</f>
        <v>0.16</v>
      </c>
      <c r="K381" s="17">
        <f>IF($A381="","",IF($AQ381&lt;&gt;"",IF(INDEX(Raw_D2!$C$2:$C$1001,$AQ381)="","",INDEX(Raw_D2!$C$2:$C$1001,$AQ381)),IF($AR381&lt;&gt;"",IF(INDEX(Raw_D3!$K$2:$K$1001,$AR381)="","",INDEX(Raw_D3!$K$2:$K$1001,$AR381)),"")))</f>
        <v>0.1818</v>
      </c>
      <c r="L381" s="16">
        <f>IF($A381="","",IF($AQ381&lt;&gt;"",IF(INDEX(Raw_D2!$D$2:$D$1001,$AQ381)="","",INDEX(Raw_D2!$D$2:$D$1001,$AQ381)),IF($AR381&lt;&gt;"",IF(INDEX(Raw_D3!$L$2:$L$1001,$AR381)="","",INDEX(Raw_D3!$L$2:$L$1001,$AR381)),"")))</f>
        <v>0.5</v>
      </c>
      <c r="M381" s="17">
        <f>IF($A381="","",IF($AQ381&lt;&gt;"",IF(INDEX(Raw_D2!$E$2:$E$1001,$AQ381)="","",INDEX(Raw_D2!$E$2:$E$1001,$AQ381)),IF($AR381&lt;&gt;"",IF(INDEX(Raw_D3!$M$2:$M$1001,$AR381)="","",INDEX(Raw_D3!$M$2:$M$1001,$AR381)),"")))</f>
        <v>0.1343</v>
      </c>
      <c r="N381" s="5">
        <f>IF($A381="","",IF($AQ381&lt;&gt;"",IF(INDEX(Raw_D2!$F$2:$F$1001,$AQ381)="","",INDEX(Raw_D2!$F$2:$F$1001,$AQ381)),IF($AR381&lt;&gt;"",IF(INDEX(Raw_D3!$N$2:$N$1001,$AR381)="","",INDEX(Raw_D3!$N$2:$N$1001,$AR381)),"")))</f>
        <v>4</v>
      </c>
      <c r="O381" s="5">
        <f>IF($A381="","",IF($AQ381&lt;&gt;"",IF(INDEX(Raw_D2!$G$2:$G$1001,$AQ381)="","",INDEX(Raw_D2!$G$2:$G$1001,$AQ381)),IF($AR381&lt;&gt;"",IF(INDEX(Raw_D3!$O$2:$O$1001,$AR381)="","",INDEX(Raw_D3!$O$2:$O$1001,$AR381)),"")))</f>
        <v>9</v>
      </c>
      <c r="P381" s="5">
        <f>IF($A381="","",IF($AQ381&lt;&gt;"",IF(INDEX(Raw_D2!$H$2:$H$1001,$AQ381)="","",INDEX(Raw_D2!$H$2:$H$1001,$AQ381)),IF($AR381&lt;&gt;"",IF(INDEX(Raw_D3!$P$2:$P$1001,$AR381)="","",INDEX(Raw_D3!$P$2:$P$1001,$AR381)),"")))</f>
        <v>13</v>
      </c>
      <c r="Q381" s="5" t="str">
        <f>IF($A381="","",IF(AND($AP381&lt;&gt;"",$AQ381&lt;&gt;""),"D1+D2",IF($AR381&lt;&gt;"","D3","Incomplete")))</f>
        <v>D1+D2</v>
      </c>
      <c r="R381" s="17">
        <f>IF($A381="","",IF($K381="",IF($J381="","",ROUND(Lookups!$K$5+Lookups!$K$4*$J381,4)),$K381))</f>
        <v>0.1818</v>
      </c>
      <c r="S381" s="5" t="str">
        <f>IF($A381="","",IF($K381="","Imputed","Original"))</f>
        <v>Original</v>
      </c>
      <c r="T381" s="5" t="str">
        <f>IF($A381="","",IF($P381="","Missing",IF($P381=$N381+$O381,"OK","Mismatch")))</f>
        <v>OK</v>
      </c>
      <c r="U381" s="5" t="str">
        <f>IF($A381="","",IF(COUNTIF($A$2:$A381,$A381)&gt;1,"Duplicate","Unique"))</f>
        <v>Unique</v>
      </c>
      <c r="V381" s="5">
        <f>IF($A381="","",IF(AND($U381="Unique",ISNUMBER($P381)),1,0))</f>
        <v>1</v>
      </c>
      <c r="W381" s="5" t="str">
        <f>IF($A381="","",IF(OR($H381=0,$H381=6),"Weekend","Weekday"))</f>
        <v>Weekday</v>
      </c>
      <c r="X381" s="5" t="str">
        <f>IF($A381="","",TEXT($B381,"ddd"))</f>
        <v>Mon</v>
      </c>
      <c r="Y381" s="5" t="str">
        <f>IF($A381="","",TEXT($B381,"mmm"))</f>
        <v>Jan</v>
      </c>
      <c r="Z381" s="5" t="str">
        <f>IF($A381="","",IFERROR(VLOOKUP($C381,Lookups!$D$4:$E$7,2,FALSE),"Unknown"))</f>
        <v>Winter</v>
      </c>
      <c r="AA381" s="5" t="str">
        <f>IF($A381="","",IFERROR(VLOOKUP($I381,Lookups!$A$4:$B$7,2,FALSE),"Unknown"))</f>
        <v>Mist/Cloudy</v>
      </c>
      <c r="AB381" s="5" t="str">
        <f>IF($A381="","",TEXT($F381,"00")&amp;":00")</f>
        <v>07:00</v>
      </c>
      <c r="AC381" s="5" t="str">
        <f>IF($A381="","",VLOOKUP($F381,Lookups!$G$4:$H$8,2,TRUE))</f>
        <v>Morning Peak (06-09)</v>
      </c>
      <c r="AD381" s="18">
        <f>IF($A381="","",IF($J381="","",ROUND($J381*41,1)))</f>
        <v>6.6</v>
      </c>
      <c r="AE381" s="18">
        <f>IF($A381="","",IF($R381="","",ROUND($R381*50,1)))</f>
        <v>9.1</v>
      </c>
      <c r="AF381" s="5">
        <f>IF($A381="","",IF($L381="","",ROUND($L381*100,0)))</f>
        <v>50</v>
      </c>
      <c r="AG381" s="18">
        <f>IF($A381="","",IF($M381="","",ROUND($M381*67,1)))</f>
        <v>9</v>
      </c>
      <c r="AH381" s="19">
        <f>IF($A381="","",IF($P381="","",IF($P381=0,0,$O381/$P381)))</f>
        <v>0.692307692307692</v>
      </c>
      <c r="AI381" s="5" t="str">
        <f>IF($A381="","",IF($P381="","",IF($P381&gt;=Lookups!$K$7,"High",IF($P381&lt;=Lookups!$K$8,"Low","Medium"))))</f>
        <v>Low</v>
      </c>
      <c r="AJ381" s="5" t="str">
        <f>IF($A381="","",IF($AD381="","",IF($AD381&lt;5,"Under 5 C",IF($AD381&lt;10,"5-10 C",IF($AD381&lt;15,"10-15 C","15 C and above")))))</f>
        <v>5-10 C</v>
      </c>
      <c r="AK381" s="5">
        <f>IF($A381="","",IF($P381="","",$P381^2))</f>
        <v>169</v>
      </c>
      <c r="AL381" s="18">
        <f>IF($V381&lt;&gt;1,"",AVERAGEIFS(Clean_Data!$P$2:$P$1001,Clean_Data!$F$2:$F$1001,$F381,Clean_Data!$W$2:$W$1001,$W381,Clean_Data!$V$2:$V$1001,1))</f>
        <v>78.0344827586207</v>
      </c>
      <c r="AM381" s="16">
        <f>IF($V381&lt;&gt;1,"",IFERROR(($P381-$AL381)/SQRT(MAX(0,(SUMIFS(Clean_Data!$AK$2:$AK$1001,Clean_Data!$F$2:$F$1001,$F381,Clean_Data!$W$2:$W$1001,$W381,Clean_Data!$V$2:$V$1001,1)-COUNTIFS(Clean_Data!$F$2:$F$1001,$F381,Clean_Data!$W$2:$W$1001,$W381,Clean_Data!$V$2:$V$1001,1)*$AL381^2)/(COUNTIFS(Clean_Data!$F$2:$F$1001,$F381,Clean_Data!$W$2:$W$1001,$W381,Clean_Data!$V$2:$V$1001,1)-1))),""))</f>
        <v>-2.8734472509534</v>
      </c>
      <c r="AN381" s="5" t="str">
        <f>IF($AM381="","",IF($AM381&gt;=Lookups!$K$6,"High spike",IF($AM381&lt;=-Lookups!$K$6,"Unusual low","Normal")))</f>
        <v>Normal</v>
      </c>
      <c r="AO381" s="20">
        <f>IF($V381&lt;&gt;1,"",$P381+ROW()/100000)</f>
        <v>13.00381</v>
      </c>
      <c r="AP381" s="5">
        <f>IF($A381="","",IFERROR(MATCH($A381,Raw_D1!$A$2:$A$1001,0),""))</f>
        <v>380</v>
      </c>
      <c r="AQ381" s="5">
        <f>IF($A381="","",IFERROR(MATCH($A381,Raw_D2!$B$2:$B$1001,0),""))</f>
        <v>380</v>
      </c>
      <c r="AR381" s="5">
        <f>IF($A381="","",IFERROR(MATCH($A381,Raw_D3!$A$2:$A$1001,0),""))</f>
        <v/>
      </c>
    </row>
    <row r="382" spans="1:44" x14ac:dyDescent="0.25">
      <c r="A382" s="5">
        <v>381</v>
      </c>
      <c r="B382" s="11">
        <f>IF($A382="","",IF($AP382&lt;&gt;"",INDEX(Raw_D1!$B$2:$B$1001,$AP382),IF($AR382&lt;&gt;"",INDEX(Raw_D3!$B$2:$B$1001,$AR382),"")))</f>
        <v>40560.0</v>
      </c>
      <c r="C382" s="5">
        <f>IF($A382="","",IF($AP382&lt;&gt;"",INDEX(Raw_D1!$C$2:$C$1001,$AP382),IF($AR382&lt;&gt;"",INDEX(Raw_D3!$C$2:$C$1001,$AR382),"")))</f>
        <v>1</v>
      </c>
      <c r="D382" s="5">
        <f>IF($A382="","",IF($AP382&lt;&gt;"",INDEX(Raw_D1!$D$2:$D$1001,$AP382),IF($AR382&lt;&gt;"",INDEX(Raw_D3!$D$2:$D$1001,$AR382),"")))</f>
        <v>0</v>
      </c>
      <c r="E382" s="5">
        <f>IF($A382="","",IF($AP382&lt;&gt;"",INDEX(Raw_D1!$E$2:$E$1001,$AP382),IF($AR382&lt;&gt;"",INDEX(Raw_D3!$E$2:$E$1001,$AR382),"")))</f>
        <v>1</v>
      </c>
      <c r="F382" s="5">
        <f>IF($A382="","",IF($AP382&lt;&gt;"",INDEX(Raw_D1!$F$2:$F$1001,$AP382),IF($AR382&lt;&gt;"",INDEX(Raw_D3!$F$2:$F$1001,$AR382),"")))</f>
        <v>8</v>
      </c>
      <c r="G382" s="5">
        <f>IF($A382="","",IF($AP382&lt;&gt;"",IF(INDEX(Raw_D1!$G$2:$G$1001,$AP382),1,0),IF($AR382&lt;&gt;"",IF(INDEX(Raw_D3!$G$2:$G$1001,$AR382),1,0),"")))</f>
        <v>1</v>
      </c>
      <c r="H382" s="5">
        <f>IF($A382="","",IF($AP382&lt;&gt;"",INDEX(Raw_D1!$H$2:$H$1001,$AP382),IF($AR382&lt;&gt;"",INDEX(Raw_D3!$H$2:$H$1001,$AR382),"")))</f>
        <v>1</v>
      </c>
      <c r="I382" s="5">
        <f>IF($A382="","",IF($AP382&lt;&gt;"",INDEX(Raw_D1!$I$2:$I$1001,$AP382),IF($AR382&lt;&gt;"",INDEX(Raw_D3!$I$2:$I$1001,$AR382),"")))</f>
        <v>2</v>
      </c>
      <c r="J382" s="16">
        <f>IF($A382="","",IF($AP382&lt;&gt;"",INDEX(Raw_D1!$J$2:$J$1001,$AP382),IF($AR382&lt;&gt;"",INDEX(Raw_D3!$J$2:$J$1001,$AR382),"")))</f>
        <v>0.16</v>
      </c>
      <c r="K382" s="17">
        <f>IF($A382="","",IF($AQ382&lt;&gt;"",IF(INDEX(Raw_D2!$C$2:$C$1001,$AQ382)="","",INDEX(Raw_D2!$C$2:$C$1001,$AQ382)),IF($AR382&lt;&gt;"",IF(INDEX(Raw_D3!$K$2:$K$1001,$AR382)="","",INDEX(Raw_D3!$K$2:$K$1001,$AR382)),"")))</f>
        <v>0.1515</v>
      </c>
      <c r="L382" s="16">
        <f>IF($A382="","",IF($AQ382&lt;&gt;"",IF(INDEX(Raw_D2!$D$2:$D$1001,$AQ382)="","",INDEX(Raw_D2!$D$2:$D$1001,$AQ382)),IF($AR382&lt;&gt;"",IF(INDEX(Raw_D3!$L$2:$L$1001,$AR382)="","",INDEX(Raw_D3!$L$2:$L$1001,$AR382)),"")))</f>
        <v>0.47</v>
      </c>
      <c r="M382" s="17">
        <f>IF($A382="","",IF($AQ382&lt;&gt;"",IF(INDEX(Raw_D2!$E$2:$E$1001,$AQ382)="","",INDEX(Raw_D2!$E$2:$E$1001,$AQ382)),IF($AR382&lt;&gt;"",IF(INDEX(Raw_D3!$M$2:$M$1001,$AR382)="","",INDEX(Raw_D3!$M$2:$M$1001,$AR382)),"")))</f>
        <v>0.2239</v>
      </c>
      <c r="N382" s="5">
        <f>IF($A382="","",IF($AQ382&lt;&gt;"",IF(INDEX(Raw_D2!$F$2:$F$1001,$AQ382)="","",INDEX(Raw_D2!$F$2:$F$1001,$AQ382)),IF($AR382&lt;&gt;"",IF(INDEX(Raw_D3!$N$2:$N$1001,$AR382)="","",INDEX(Raw_D3!$N$2:$N$1001,$AR382)),"")))</f>
        <v>3</v>
      </c>
      <c r="O382" s="5">
        <f>IF($A382="","",IF($AQ382&lt;&gt;"",IF(INDEX(Raw_D2!$G$2:$G$1001,$AQ382)="","",INDEX(Raw_D2!$G$2:$G$1001,$AQ382)),IF($AR382&lt;&gt;"",IF(INDEX(Raw_D3!$O$2:$O$1001,$AR382)="","",INDEX(Raw_D3!$O$2:$O$1001,$AR382)),"")))</f>
        <v>30</v>
      </c>
      <c r="P382" s="5">
        <f>IF($A382="","",IF($AQ382&lt;&gt;"",IF(INDEX(Raw_D2!$H$2:$H$1001,$AQ382)="","",INDEX(Raw_D2!$H$2:$H$1001,$AQ382)),IF($AR382&lt;&gt;"",IF(INDEX(Raw_D3!$P$2:$P$1001,$AR382)="","",INDEX(Raw_D3!$P$2:$P$1001,$AR382)),"")))</f>
        <v>33</v>
      </c>
      <c r="Q382" s="5" t="str">
        <f>IF($A382="","",IF(AND($AP382&lt;&gt;"",$AQ382&lt;&gt;""),"D1+D2",IF($AR382&lt;&gt;"","D3","Incomplete")))</f>
        <v>D1+D2</v>
      </c>
      <c r="R382" s="17">
        <f>IF($A382="","",IF($K382="",IF($J382="","",ROUND(Lookups!$K$5+Lookups!$K$4*$J382,4)),$K382))</f>
        <v>0.1515</v>
      </c>
      <c r="S382" s="5" t="str">
        <f>IF($A382="","",IF($K382="","Imputed","Original"))</f>
        <v>Original</v>
      </c>
      <c r="T382" s="5" t="str">
        <f>IF($A382="","",IF($P382="","Missing",IF($P382=$N382+$O382,"OK","Mismatch")))</f>
        <v>OK</v>
      </c>
      <c r="U382" s="5" t="str">
        <f>IF($A382="","",IF(COUNTIF($A$2:$A382,$A382)&gt;1,"Duplicate","Unique"))</f>
        <v>Unique</v>
      </c>
      <c r="V382" s="5">
        <f>IF($A382="","",IF(AND($U382="Unique",ISNUMBER($P382)),1,0))</f>
        <v>1</v>
      </c>
      <c r="W382" s="5" t="str">
        <f>IF($A382="","",IF(OR($H382=0,$H382=6),"Weekend","Weekday"))</f>
        <v>Weekday</v>
      </c>
      <c r="X382" s="5" t="str">
        <f>IF($A382="","",TEXT($B382,"ddd"))</f>
        <v>Mon</v>
      </c>
      <c r="Y382" s="5" t="str">
        <f>IF($A382="","",TEXT($B382,"mmm"))</f>
        <v>Jan</v>
      </c>
      <c r="Z382" s="5" t="str">
        <f>IF($A382="","",IFERROR(VLOOKUP($C382,Lookups!$D$4:$E$7,2,FALSE),"Unknown"))</f>
        <v>Winter</v>
      </c>
      <c r="AA382" s="5" t="str">
        <f>IF($A382="","",IFERROR(VLOOKUP($I382,Lookups!$A$4:$B$7,2,FALSE),"Unknown"))</f>
        <v>Mist/Cloudy</v>
      </c>
      <c r="AB382" s="5" t="str">
        <f>IF($A382="","",TEXT($F382,"00")&amp;":00")</f>
        <v>08:00</v>
      </c>
      <c r="AC382" s="5" t="str">
        <f>IF($A382="","",VLOOKUP($F382,Lookups!$G$4:$H$8,2,TRUE))</f>
        <v>Morning Peak (06-09)</v>
      </c>
      <c r="AD382" s="18">
        <f>IF($A382="","",IF($J382="","",ROUND($J382*41,1)))</f>
        <v>6.6</v>
      </c>
      <c r="AE382" s="18">
        <f>IF($A382="","",IF($R382="","",ROUND($R382*50,1)))</f>
        <v>7.6</v>
      </c>
      <c r="AF382" s="5">
        <f>IF($A382="","",IF($L382="","",ROUND($L382*100,0)))</f>
        <v>47</v>
      </c>
      <c r="AG382" s="18">
        <f>IF($A382="","",IF($M382="","",ROUND($M382*67,1)))</f>
        <v>15</v>
      </c>
      <c r="AH382" s="19">
        <f>IF($A382="","",IF($P382="","",IF($P382=0,0,$O382/$P382)))</f>
        <v>0.909090909090909</v>
      </c>
      <c r="AI382" s="5" t="str">
        <f>IF($A382="","",IF($P382="","",IF($P382&gt;=Lookups!$K$7,"High",IF($P382&lt;=Lookups!$K$8,"Low","Medium"))))</f>
        <v>Medium</v>
      </c>
      <c r="AJ382" s="5" t="str">
        <f>IF($A382="","",IF($AD382="","",IF($AD382&lt;5,"Under 5 C",IF($AD382&lt;10,"5-10 C",IF($AD382&lt;15,"10-15 C","15 C and above")))))</f>
        <v>5-10 C</v>
      </c>
      <c r="AK382" s="5">
        <f>IF($A382="","",IF($P382="","",$P382^2))</f>
        <v>1089</v>
      </c>
      <c r="AL382" s="18">
        <f>IF($V382&lt;&gt;1,"",AVERAGEIFS(Clean_Data!$P$2:$P$1001,Clean_Data!$F$2:$F$1001,$F382,Clean_Data!$W$2:$W$1001,$W382,Clean_Data!$V$2:$V$1001,1))</f>
        <v>183.535714285714</v>
      </c>
      <c r="AM382" s="16">
        <f>IF($V382&lt;&gt;1,"",IFERROR(($P382-$AL382)/SQRT(MAX(0,(SUMIFS(Clean_Data!$AK$2:$AK$1001,Clean_Data!$F$2:$F$1001,$F382,Clean_Data!$W$2:$W$1001,$W382,Clean_Data!$V$2:$V$1001,1)-COUNTIFS(Clean_Data!$F$2:$F$1001,$F382,Clean_Data!$W$2:$W$1001,$W382,Clean_Data!$V$2:$V$1001,1)*$AL382^2)/(COUNTIFS(Clean_Data!$F$2:$F$1001,$F382,Clean_Data!$W$2:$W$1001,$W382,Clean_Data!$V$2:$V$1001,1)-1))),""))</f>
        <v>-3.08854325012311</v>
      </c>
      <c r="AN382" s="5" t="str">
        <f>IF($AM382="","",IF($AM382&gt;=Lookups!$K$6,"High spike",IF($AM382&lt;=-Lookups!$K$6,"Unusual low","Normal")))</f>
        <v>Unusual low</v>
      </c>
      <c r="AO382" s="20">
        <f>IF($V382&lt;&gt;1,"",$P382+ROW()/100000)</f>
        <v>33.00382</v>
      </c>
      <c r="AP382" s="5">
        <f>IF($A382="","",IFERROR(MATCH($A382,Raw_D1!$A$2:$A$1001,0),""))</f>
        <v>381</v>
      </c>
      <c r="AQ382" s="5">
        <f>IF($A382="","",IFERROR(MATCH($A382,Raw_D2!$B$2:$B$1001,0),""))</f>
        <v>381</v>
      </c>
      <c r="AR382" s="5">
        <f>IF($A382="","",IFERROR(MATCH($A382,Raw_D3!$A$2:$A$1001,0),""))</f>
        <v/>
      </c>
    </row>
    <row r="383" spans="1:44" x14ac:dyDescent="0.25">
      <c r="A383" s="5">
        <v>382</v>
      </c>
      <c r="B383" s="11">
        <f>IF($A383="","",IF($AP383&lt;&gt;"",INDEX(Raw_D1!$B$2:$B$1001,$AP383),IF($AR383&lt;&gt;"",INDEX(Raw_D3!$B$2:$B$1001,$AR383),"")))</f>
        <v>40560.0</v>
      </c>
      <c r="C383" s="5">
        <f>IF($A383="","",IF($AP383&lt;&gt;"",INDEX(Raw_D1!$C$2:$C$1001,$AP383),IF($AR383&lt;&gt;"",INDEX(Raw_D3!$C$2:$C$1001,$AR383),"")))</f>
        <v>1</v>
      </c>
      <c r="D383" s="5">
        <f>IF($A383="","",IF($AP383&lt;&gt;"",INDEX(Raw_D1!$D$2:$D$1001,$AP383),IF($AR383&lt;&gt;"",INDEX(Raw_D3!$D$2:$D$1001,$AR383),"")))</f>
        <v>0</v>
      </c>
      <c r="E383" s="5">
        <f>IF($A383="","",IF($AP383&lt;&gt;"",INDEX(Raw_D1!$E$2:$E$1001,$AP383),IF($AR383&lt;&gt;"",INDEX(Raw_D3!$E$2:$E$1001,$AR383),"")))</f>
        <v>1</v>
      </c>
      <c r="F383" s="5">
        <f>IF($A383="","",IF($AP383&lt;&gt;"",INDEX(Raw_D1!$F$2:$F$1001,$AP383),IF($AR383&lt;&gt;"",INDEX(Raw_D3!$F$2:$F$1001,$AR383),"")))</f>
        <v>9</v>
      </c>
      <c r="G383" s="5">
        <f>IF($A383="","",IF($AP383&lt;&gt;"",IF(INDEX(Raw_D1!$G$2:$G$1001,$AP383),1,0),IF($AR383&lt;&gt;"",IF(INDEX(Raw_D3!$G$2:$G$1001,$AR383),1,0),"")))</f>
        <v>1</v>
      </c>
      <c r="H383" s="5">
        <f>IF($A383="","",IF($AP383&lt;&gt;"",INDEX(Raw_D1!$H$2:$H$1001,$AP383),IF($AR383&lt;&gt;"",INDEX(Raw_D3!$H$2:$H$1001,$AR383),"")))</f>
        <v>1</v>
      </c>
      <c r="I383" s="5">
        <f>IF($A383="","",IF($AP383&lt;&gt;"",INDEX(Raw_D1!$I$2:$I$1001,$AP383),IF($AR383&lt;&gt;"",INDEX(Raw_D3!$I$2:$I$1001,$AR383),"")))</f>
        <v>2</v>
      </c>
      <c r="J383" s="16">
        <f>IF($A383="","",IF($AP383&lt;&gt;"",INDEX(Raw_D1!$J$2:$J$1001,$AP383),IF($AR383&lt;&gt;"",INDEX(Raw_D3!$J$2:$J$1001,$AR383),"")))</f>
        <v>0.16</v>
      </c>
      <c r="K383" s="17">
        <f>IF($A383="","",IF($AQ383&lt;&gt;"",IF(INDEX(Raw_D2!$C$2:$C$1001,$AQ383)="","",INDEX(Raw_D2!$C$2:$C$1001,$AQ383)),IF($AR383&lt;&gt;"",IF(INDEX(Raw_D3!$K$2:$K$1001,$AR383)="","",INDEX(Raw_D3!$K$2:$K$1001,$AR383)),"")))</f>
        <v>0.1515</v>
      </c>
      <c r="L383" s="16">
        <f>IF($A383="","",IF($AQ383&lt;&gt;"",IF(INDEX(Raw_D2!$D$2:$D$1001,$AQ383)="","",INDEX(Raw_D2!$D$2:$D$1001,$AQ383)),IF($AR383&lt;&gt;"",IF(INDEX(Raw_D3!$L$2:$L$1001,$AR383)="","",INDEX(Raw_D3!$L$2:$L$1001,$AR383)),"")))</f>
        <v>0.47</v>
      </c>
      <c r="M383" s="17">
        <f>IF($A383="","",IF($AQ383&lt;&gt;"",IF(INDEX(Raw_D2!$E$2:$E$1001,$AQ383)="","",INDEX(Raw_D2!$E$2:$E$1001,$AQ383)),IF($AR383&lt;&gt;"",IF(INDEX(Raw_D3!$M$2:$M$1001,$AR383)="","",INDEX(Raw_D3!$M$2:$M$1001,$AR383)),"")))</f>
        <v>0.2239</v>
      </c>
      <c r="N383" s="5">
        <f>IF($A383="","",IF($AQ383&lt;&gt;"",IF(INDEX(Raw_D2!$F$2:$F$1001,$AQ383)="","",INDEX(Raw_D2!$F$2:$F$1001,$AQ383)),IF($AR383&lt;&gt;"",IF(INDEX(Raw_D3!$N$2:$N$1001,$AR383)="","",INDEX(Raw_D3!$N$2:$N$1001,$AR383)),"")))</f>
        <v>8</v>
      </c>
      <c r="O383" s="5">
        <f>IF($A383="","",IF($AQ383&lt;&gt;"",IF(INDEX(Raw_D2!$G$2:$G$1001,$AQ383)="","",INDEX(Raw_D2!$G$2:$G$1001,$AQ383)),IF($AR383&lt;&gt;"",IF(INDEX(Raw_D3!$O$2:$O$1001,$AR383)="","",INDEX(Raw_D3!$O$2:$O$1001,$AR383)),"")))</f>
        <v>39</v>
      </c>
      <c r="P383" s="5">
        <f>IF($A383="","",IF($AQ383&lt;&gt;"",IF(INDEX(Raw_D2!$H$2:$H$1001,$AQ383)="","",INDEX(Raw_D2!$H$2:$H$1001,$AQ383)),IF($AR383&lt;&gt;"",IF(INDEX(Raw_D3!$P$2:$P$1001,$AR383)="","",INDEX(Raw_D3!$P$2:$P$1001,$AR383)),"")))</f>
        <v>47</v>
      </c>
      <c r="Q383" s="5" t="str">
        <f>IF($A383="","",IF(AND($AP383&lt;&gt;"",$AQ383&lt;&gt;""),"D1+D2",IF($AR383&lt;&gt;"","D3","Incomplete")))</f>
        <v>D1+D2</v>
      </c>
      <c r="R383" s="17">
        <f>IF($A383="","",IF($K383="",IF($J383="","",ROUND(Lookups!$K$5+Lookups!$K$4*$J383,4)),$K383))</f>
        <v>0.1515</v>
      </c>
      <c r="S383" s="5" t="str">
        <f>IF($A383="","",IF($K383="","Imputed","Original"))</f>
        <v>Original</v>
      </c>
      <c r="T383" s="5" t="str">
        <f>IF($A383="","",IF($P383="","Missing",IF($P383=$N383+$O383,"OK","Mismatch")))</f>
        <v>OK</v>
      </c>
      <c r="U383" s="5" t="str">
        <f>IF($A383="","",IF(COUNTIF($A$2:$A383,$A383)&gt;1,"Duplicate","Unique"))</f>
        <v>Unique</v>
      </c>
      <c r="V383" s="5">
        <f>IF($A383="","",IF(AND($U383="Unique",ISNUMBER($P383)),1,0))</f>
        <v>1</v>
      </c>
      <c r="W383" s="5" t="str">
        <f>IF($A383="","",IF(OR($H383=0,$H383=6),"Weekend","Weekday"))</f>
        <v>Weekday</v>
      </c>
      <c r="X383" s="5" t="str">
        <f>IF($A383="","",TEXT($B383,"ddd"))</f>
        <v>Mon</v>
      </c>
      <c r="Y383" s="5" t="str">
        <f>IF($A383="","",TEXT($B383,"mmm"))</f>
        <v>Jan</v>
      </c>
      <c r="Z383" s="5" t="str">
        <f>IF($A383="","",IFERROR(VLOOKUP($C383,Lookups!$D$4:$E$7,2,FALSE),"Unknown"))</f>
        <v>Winter</v>
      </c>
      <c r="AA383" s="5" t="str">
        <f>IF($A383="","",IFERROR(VLOOKUP($I383,Lookups!$A$4:$B$7,2,FALSE),"Unknown"))</f>
        <v>Mist/Cloudy</v>
      </c>
      <c r="AB383" s="5" t="str">
        <f>IF($A383="","",TEXT($F383,"00")&amp;":00")</f>
        <v>09:00</v>
      </c>
      <c r="AC383" s="5" t="str">
        <f>IF($A383="","",VLOOKUP($F383,Lookups!$G$4:$H$8,2,TRUE))</f>
        <v>Morning Peak (06-09)</v>
      </c>
      <c r="AD383" s="18">
        <f>IF($A383="","",IF($J383="","",ROUND($J383*41,1)))</f>
        <v>6.6</v>
      </c>
      <c r="AE383" s="18">
        <f>IF($A383="","",IF($R383="","",ROUND($R383*50,1)))</f>
        <v>7.6</v>
      </c>
      <c r="AF383" s="5">
        <f>IF($A383="","",IF($L383="","",ROUND($L383*100,0)))</f>
        <v>47</v>
      </c>
      <c r="AG383" s="18">
        <f>IF($A383="","",IF($M383="","",ROUND($M383*67,1)))</f>
        <v>15</v>
      </c>
      <c r="AH383" s="19">
        <f>IF($A383="","",IF($P383="","",IF($P383=0,0,$O383/$P383)))</f>
        <v>0.829787234042553</v>
      </c>
      <c r="AI383" s="5" t="str">
        <f>IF($A383="","",IF($P383="","",IF($P383&gt;=Lookups!$K$7,"High",IF($P383&lt;=Lookups!$K$8,"Low","Medium"))))</f>
        <v>Medium</v>
      </c>
      <c r="AJ383" s="5" t="str">
        <f>IF($A383="","",IF($AD383="","",IF($AD383&lt;5,"Under 5 C",IF($AD383&lt;10,"5-10 C",IF($AD383&lt;15,"10-15 C","15 C and above")))))</f>
        <v>5-10 C</v>
      </c>
      <c r="AK383" s="5">
        <f>IF($A383="","",IF($P383="","",$P383^2))</f>
        <v>2209</v>
      </c>
      <c r="AL383" s="18">
        <f>IF($V383&lt;&gt;1,"",AVERAGEIFS(Clean_Data!$P$2:$P$1001,Clean_Data!$F$2:$F$1001,$F383,Clean_Data!$W$2:$W$1001,$W383,Clean_Data!$V$2:$V$1001,1))</f>
        <v>115.678571428571</v>
      </c>
      <c r="AM383" s="16">
        <f>IF($V383&lt;&gt;1,"",IFERROR(($P383-$AL383)/SQRT(MAX(0,(SUMIFS(Clean_Data!$AK$2:$AK$1001,Clean_Data!$F$2:$F$1001,$F383,Clean_Data!$W$2:$W$1001,$W383,Clean_Data!$V$2:$V$1001,1)-COUNTIFS(Clean_Data!$F$2:$F$1001,$F383,Clean_Data!$W$2:$W$1001,$W383,Clean_Data!$V$2:$V$1001,1)*$AL383^2)/(COUNTIFS(Clean_Data!$F$2:$F$1001,$F383,Clean_Data!$W$2:$W$1001,$W383,Clean_Data!$V$2:$V$1001,1)-1))),""))</f>
        <v>-2.66419747332292</v>
      </c>
      <c r="AN383" s="5" t="str">
        <f>IF($AM383="","",IF($AM383&gt;=Lookups!$K$6,"High spike",IF($AM383&lt;=-Lookups!$K$6,"Unusual low","Normal")))</f>
        <v>Normal</v>
      </c>
      <c r="AO383" s="20">
        <f>IF($V383&lt;&gt;1,"",$P383+ROW()/100000)</f>
        <v>47.00383</v>
      </c>
      <c r="AP383" s="5">
        <f>IF($A383="","",IFERROR(MATCH($A383,Raw_D1!$A$2:$A$1001,0),""))</f>
        <v>382</v>
      </c>
      <c r="AQ383" s="5">
        <f>IF($A383="","",IFERROR(MATCH($A383,Raw_D2!$B$2:$B$1001,0),""))</f>
        <v>382</v>
      </c>
      <c r="AR383" s="5">
        <f>IF($A383="","",IFERROR(MATCH($A383,Raw_D3!$A$2:$A$1001,0),""))</f>
        <v/>
      </c>
    </row>
    <row r="384" spans="1:44" x14ac:dyDescent="0.25">
      <c r="A384" s="5">
        <v>383</v>
      </c>
      <c r="B384" s="11">
        <f>IF($A384="","",IF($AP384&lt;&gt;"",INDEX(Raw_D1!$B$2:$B$1001,$AP384),IF($AR384&lt;&gt;"",INDEX(Raw_D3!$B$2:$B$1001,$AR384),"")))</f>
        <v>40560.0</v>
      </c>
      <c r="C384" s="5">
        <f>IF($A384="","",IF($AP384&lt;&gt;"",INDEX(Raw_D1!$C$2:$C$1001,$AP384),IF($AR384&lt;&gt;"",INDEX(Raw_D3!$C$2:$C$1001,$AR384),"")))</f>
        <v>1</v>
      </c>
      <c r="D384" s="5">
        <f>IF($A384="","",IF($AP384&lt;&gt;"",INDEX(Raw_D1!$D$2:$D$1001,$AP384),IF($AR384&lt;&gt;"",INDEX(Raw_D3!$D$2:$D$1001,$AR384),"")))</f>
        <v>0</v>
      </c>
      <c r="E384" s="5">
        <f>IF($A384="","",IF($AP384&lt;&gt;"",INDEX(Raw_D1!$E$2:$E$1001,$AP384),IF($AR384&lt;&gt;"",INDEX(Raw_D3!$E$2:$E$1001,$AR384),"")))</f>
        <v>1</v>
      </c>
      <c r="F384" s="5">
        <f>IF($A384="","",IF($AP384&lt;&gt;"",INDEX(Raw_D1!$F$2:$F$1001,$AP384),IF($AR384&lt;&gt;"",INDEX(Raw_D3!$F$2:$F$1001,$AR384),"")))</f>
        <v>10</v>
      </c>
      <c r="G384" s="5">
        <f>IF($A384="","",IF($AP384&lt;&gt;"",IF(INDEX(Raw_D1!$G$2:$G$1001,$AP384),1,0),IF($AR384&lt;&gt;"",IF(INDEX(Raw_D3!$G$2:$G$1001,$AR384),1,0),"")))</f>
        <v>1</v>
      </c>
      <c r="H384" s="5">
        <f>IF($A384="","",IF($AP384&lt;&gt;"",INDEX(Raw_D1!$H$2:$H$1001,$AP384),IF($AR384&lt;&gt;"",INDEX(Raw_D3!$H$2:$H$1001,$AR384),"")))</f>
        <v>1</v>
      </c>
      <c r="I384" s="5">
        <f>IF($A384="","",IF($AP384&lt;&gt;"",INDEX(Raw_D1!$I$2:$I$1001,$AP384),IF($AR384&lt;&gt;"",INDEX(Raw_D3!$I$2:$I$1001,$AR384),"")))</f>
        <v>2</v>
      </c>
      <c r="J384" s="16">
        <f>IF($A384="","",IF($AP384&lt;&gt;"",INDEX(Raw_D1!$J$2:$J$1001,$AP384),IF($AR384&lt;&gt;"",INDEX(Raw_D3!$J$2:$J$1001,$AR384),"")))</f>
        <v>0.16</v>
      </c>
      <c r="K384" s="17">
        <f>IF($A384="","",IF($AQ384&lt;&gt;"",IF(INDEX(Raw_D2!$C$2:$C$1001,$AQ384)="","",INDEX(Raw_D2!$C$2:$C$1001,$AQ384)),IF($AR384&lt;&gt;"",IF(INDEX(Raw_D3!$K$2:$K$1001,$AR384)="","",INDEX(Raw_D3!$K$2:$K$1001,$AR384)),"")))</f>
        <v>0.1515</v>
      </c>
      <c r="L384" s="16">
        <f>IF($A384="","",IF($AQ384&lt;&gt;"",IF(INDEX(Raw_D2!$D$2:$D$1001,$AQ384)="","",INDEX(Raw_D2!$D$2:$D$1001,$AQ384)),IF($AR384&lt;&gt;"",IF(INDEX(Raw_D3!$L$2:$L$1001,$AR384)="","",INDEX(Raw_D3!$L$2:$L$1001,$AR384)),"")))</f>
        <v>0.5</v>
      </c>
      <c r="M384" s="17">
        <f>IF($A384="","",IF($AQ384&lt;&gt;"",IF(INDEX(Raw_D2!$E$2:$E$1001,$AQ384)="","",INDEX(Raw_D2!$E$2:$E$1001,$AQ384)),IF($AR384&lt;&gt;"",IF(INDEX(Raw_D3!$M$2:$M$1001,$AR384)="","",INDEX(Raw_D3!$M$2:$M$1001,$AR384)),"")))</f>
        <v>0.2537</v>
      </c>
      <c r="N384" s="5">
        <f>IF($A384="","",IF($AQ384&lt;&gt;"",IF(INDEX(Raw_D2!$F$2:$F$1001,$AQ384)="","",INDEX(Raw_D2!$F$2:$F$1001,$AQ384)),IF($AR384&lt;&gt;"",IF(INDEX(Raw_D3!$N$2:$N$1001,$AR384)="","",INDEX(Raw_D3!$N$2:$N$1001,$AR384)),"")))</f>
        <v>7</v>
      </c>
      <c r="O384" s="5">
        <f>IF($A384="","",IF($AQ384&lt;&gt;"",IF(INDEX(Raw_D2!$G$2:$G$1001,$AQ384)="","",INDEX(Raw_D2!$G$2:$G$1001,$AQ384)),IF($AR384&lt;&gt;"",IF(INDEX(Raw_D3!$O$2:$O$1001,$AR384)="","",INDEX(Raw_D3!$O$2:$O$1001,$AR384)),"")))</f>
        <v>50</v>
      </c>
      <c r="P384" s="5">
        <f>IF($A384="","",IF($AQ384&lt;&gt;"",IF(INDEX(Raw_D2!$H$2:$H$1001,$AQ384)="","",INDEX(Raw_D2!$H$2:$H$1001,$AQ384)),IF($AR384&lt;&gt;"",IF(INDEX(Raw_D3!$P$2:$P$1001,$AR384)="","",INDEX(Raw_D3!$P$2:$P$1001,$AR384)),"")))</f>
        <v>57</v>
      </c>
      <c r="Q384" s="5" t="str">
        <f>IF($A384="","",IF(AND($AP384&lt;&gt;"",$AQ384&lt;&gt;""),"D1+D2",IF($AR384&lt;&gt;"","D3","Incomplete")))</f>
        <v>D1+D2</v>
      </c>
      <c r="R384" s="17">
        <f>IF($A384="","",IF($K384="",IF($J384="","",ROUND(Lookups!$K$5+Lookups!$K$4*$J384,4)),$K384))</f>
        <v>0.1515</v>
      </c>
      <c r="S384" s="5" t="str">
        <f>IF($A384="","",IF($K384="","Imputed","Original"))</f>
        <v>Original</v>
      </c>
      <c r="T384" s="5" t="str">
        <f>IF($A384="","",IF($P384="","Missing",IF($P384=$N384+$O384,"OK","Mismatch")))</f>
        <v>OK</v>
      </c>
      <c r="U384" s="5" t="str">
        <f>IF($A384="","",IF(COUNTIF($A$2:$A384,$A384)&gt;1,"Duplicate","Unique"))</f>
        <v>Unique</v>
      </c>
      <c r="V384" s="5">
        <f>IF($A384="","",IF(AND($U384="Unique",ISNUMBER($P384)),1,0))</f>
        <v>1</v>
      </c>
      <c r="W384" s="5" t="str">
        <f>IF($A384="","",IF(OR($H384=0,$H384=6),"Weekend","Weekday"))</f>
        <v>Weekday</v>
      </c>
      <c r="X384" s="5" t="str">
        <f>IF($A384="","",TEXT($B384,"ddd"))</f>
        <v>Mon</v>
      </c>
      <c r="Y384" s="5" t="str">
        <f>IF($A384="","",TEXT($B384,"mmm"))</f>
        <v>Jan</v>
      </c>
      <c r="Z384" s="5" t="str">
        <f>IF($A384="","",IFERROR(VLOOKUP($C384,Lookups!$D$4:$E$7,2,FALSE),"Unknown"))</f>
        <v>Winter</v>
      </c>
      <c r="AA384" s="5" t="str">
        <f>IF($A384="","",IFERROR(VLOOKUP($I384,Lookups!$A$4:$B$7,2,FALSE),"Unknown"))</f>
        <v>Mist/Cloudy</v>
      </c>
      <c r="AB384" s="5" t="str">
        <f>IF($A384="","",TEXT($F384,"00")&amp;":00")</f>
        <v>10:00</v>
      </c>
      <c r="AC384" s="5" t="str">
        <f>IF($A384="","",VLOOKUP($F384,Lookups!$G$4:$H$8,2,TRUE))</f>
        <v>Midday (10-15)</v>
      </c>
      <c r="AD384" s="18">
        <f>IF($A384="","",IF($J384="","",ROUND($J384*41,1)))</f>
        <v>6.6</v>
      </c>
      <c r="AE384" s="18">
        <f>IF($A384="","",IF($R384="","",ROUND($R384*50,1)))</f>
        <v>7.6</v>
      </c>
      <c r="AF384" s="5">
        <f>IF($A384="","",IF($L384="","",ROUND($L384*100,0)))</f>
        <v>50</v>
      </c>
      <c r="AG384" s="18">
        <f>IF($A384="","",IF($M384="","",ROUND($M384*67,1)))</f>
        <v>17</v>
      </c>
      <c r="AH384" s="19">
        <f>IF($A384="","",IF($P384="","",IF($P384=0,0,$O384/$P384)))</f>
        <v>0.87719298245614</v>
      </c>
      <c r="AI384" s="5" t="str">
        <f>IF($A384="","",IF($P384="","",IF($P384&gt;=Lookups!$K$7,"High",IF($P384&lt;=Lookups!$K$8,"Low","Medium"))))</f>
        <v>Medium</v>
      </c>
      <c r="AJ384" s="5" t="str">
        <f>IF($A384="","",IF($AD384="","",IF($AD384&lt;5,"Under 5 C",IF($AD384&lt;10,"5-10 C",IF($AD384&lt;15,"10-15 C","15 C and above")))))</f>
        <v>5-10 C</v>
      </c>
      <c r="AK384" s="5">
        <f>IF($A384="","",IF($P384="","",$P384^2))</f>
        <v>3249</v>
      </c>
      <c r="AL384" s="18">
        <f>IF($V384&lt;&gt;1,"",AVERAGEIFS(Clean_Data!$P$2:$P$1001,Clean_Data!$F$2:$F$1001,$F384,Clean_Data!$W$2:$W$1001,$W384,Clean_Data!$V$2:$V$1001,1))</f>
        <v>49.0714285714286</v>
      </c>
      <c r="AM384" s="16">
        <f>IF($V384&lt;&gt;1,"",IFERROR(($P384-$AL384)/SQRT(MAX(0,(SUMIFS(Clean_Data!$AK$2:$AK$1001,Clean_Data!$F$2:$F$1001,$F384,Clean_Data!$W$2:$W$1001,$W384,Clean_Data!$V$2:$V$1001,1)-COUNTIFS(Clean_Data!$F$2:$F$1001,$F384,Clean_Data!$W$2:$W$1001,$W384,Clean_Data!$V$2:$V$1001,1)*$AL384^2)/(COUNTIFS(Clean_Data!$F$2:$F$1001,$F384,Clean_Data!$W$2:$W$1001,$W384,Clean_Data!$V$2:$V$1001,1)-1))),""))</f>
        <v>0.785636693099488</v>
      </c>
      <c r="AN384" s="5" t="str">
        <f>IF($AM384="","",IF($AM384&gt;=Lookups!$K$6,"High spike",IF($AM384&lt;=-Lookups!$K$6,"Unusual low","Normal")))</f>
        <v>Normal</v>
      </c>
      <c r="AO384" s="20">
        <f>IF($V384&lt;&gt;1,"",$P384+ROW()/100000)</f>
        <v>57.00384</v>
      </c>
      <c r="AP384" s="5">
        <f>IF($A384="","",IFERROR(MATCH($A384,Raw_D1!$A$2:$A$1001,0),""))</f>
        <v>383</v>
      </c>
      <c r="AQ384" s="5">
        <f>IF($A384="","",IFERROR(MATCH($A384,Raw_D2!$B$2:$B$1001,0),""))</f>
        <v>383</v>
      </c>
      <c r="AR384" s="5">
        <f>IF($A384="","",IFERROR(MATCH($A384,Raw_D3!$A$2:$A$1001,0),""))</f>
        <v/>
      </c>
    </row>
    <row r="385" spans="1:44" x14ac:dyDescent="0.25">
      <c r="A385" s="5">
        <v>384</v>
      </c>
      <c r="B385" s="11">
        <f>IF($A385="","",IF($AP385&lt;&gt;"",INDEX(Raw_D1!$B$2:$B$1001,$AP385),IF($AR385&lt;&gt;"",INDEX(Raw_D3!$B$2:$B$1001,$AR385),"")))</f>
        <v>40560.0</v>
      </c>
      <c r="C385" s="5">
        <f>IF($A385="","",IF($AP385&lt;&gt;"",INDEX(Raw_D1!$C$2:$C$1001,$AP385),IF($AR385&lt;&gt;"",INDEX(Raw_D3!$C$2:$C$1001,$AR385),"")))</f>
        <v>1</v>
      </c>
      <c r="D385" s="5">
        <f>IF($A385="","",IF($AP385&lt;&gt;"",INDEX(Raw_D1!$D$2:$D$1001,$AP385),IF($AR385&lt;&gt;"",INDEX(Raw_D3!$D$2:$D$1001,$AR385),"")))</f>
        <v>0</v>
      </c>
      <c r="E385" s="5">
        <f>IF($A385="","",IF($AP385&lt;&gt;"",INDEX(Raw_D1!$E$2:$E$1001,$AP385),IF($AR385&lt;&gt;"",INDEX(Raw_D3!$E$2:$E$1001,$AR385),"")))</f>
        <v>1</v>
      </c>
      <c r="F385" s="5">
        <f>IF($A385="","",IF($AP385&lt;&gt;"",INDEX(Raw_D1!$F$2:$F$1001,$AP385),IF($AR385&lt;&gt;"",INDEX(Raw_D3!$F$2:$F$1001,$AR385),"")))</f>
        <v>11</v>
      </c>
      <c r="G385" s="5">
        <f>IF($A385="","",IF($AP385&lt;&gt;"",IF(INDEX(Raw_D1!$G$2:$G$1001,$AP385),1,0),IF($AR385&lt;&gt;"",IF(INDEX(Raw_D3!$G$2:$G$1001,$AR385),1,0),"")))</f>
        <v>1</v>
      </c>
      <c r="H385" s="5">
        <f>IF($A385="","",IF($AP385&lt;&gt;"",INDEX(Raw_D1!$H$2:$H$1001,$AP385),IF($AR385&lt;&gt;"",INDEX(Raw_D3!$H$2:$H$1001,$AR385),"")))</f>
        <v>1</v>
      </c>
      <c r="I385" s="5">
        <f>IF($A385="","",IF($AP385&lt;&gt;"",INDEX(Raw_D1!$I$2:$I$1001,$AP385),IF($AR385&lt;&gt;"",INDEX(Raw_D3!$I$2:$I$1001,$AR385),"")))</f>
        <v>2</v>
      </c>
      <c r="J385" s="16">
        <f>IF($A385="","",IF($AP385&lt;&gt;"",INDEX(Raw_D1!$J$2:$J$1001,$AP385),IF($AR385&lt;&gt;"",INDEX(Raw_D3!$J$2:$J$1001,$AR385),"")))</f>
        <v>0.16</v>
      </c>
      <c r="K385" s="17">
        <f>IF($A385="","",IF($AQ385&lt;&gt;"",IF(INDEX(Raw_D2!$C$2:$C$1001,$AQ385)="","",INDEX(Raw_D2!$C$2:$C$1001,$AQ385)),IF($AR385&lt;&gt;"",IF(INDEX(Raw_D3!$K$2:$K$1001,$AR385)="","",INDEX(Raw_D3!$K$2:$K$1001,$AR385)),"")))</f>
        <v>0.1515</v>
      </c>
      <c r="L385" s="16">
        <f>IF($A385="","",IF($AQ385&lt;&gt;"",IF(INDEX(Raw_D2!$D$2:$D$1001,$AQ385)="","",INDEX(Raw_D2!$D$2:$D$1001,$AQ385)),IF($AR385&lt;&gt;"",IF(INDEX(Raw_D3!$L$2:$L$1001,$AR385)="","",INDEX(Raw_D3!$L$2:$L$1001,$AR385)),"")))</f>
        <v>0.55</v>
      </c>
      <c r="M385" s="17">
        <f>IF($A385="","",IF($AQ385&lt;&gt;"",IF(INDEX(Raw_D2!$E$2:$E$1001,$AQ385)="","",INDEX(Raw_D2!$E$2:$E$1001,$AQ385)),IF($AR385&lt;&gt;"",IF(INDEX(Raw_D3!$M$2:$M$1001,$AR385)="","",INDEX(Raw_D3!$M$2:$M$1001,$AR385)),"")))</f>
        <v>0.194</v>
      </c>
      <c r="N385" s="5">
        <f>IF($A385="","",IF($AQ385&lt;&gt;"",IF(INDEX(Raw_D2!$F$2:$F$1001,$AQ385)="","",INDEX(Raw_D2!$F$2:$F$1001,$AQ385)),IF($AR385&lt;&gt;"",IF(INDEX(Raw_D3!$N$2:$N$1001,$AR385)="","",INDEX(Raw_D3!$N$2:$N$1001,$AR385)),"")))</f>
        <v>9</v>
      </c>
      <c r="O385" s="5">
        <f>IF($A385="","",IF($AQ385&lt;&gt;"",IF(INDEX(Raw_D2!$G$2:$G$1001,$AQ385)="","",INDEX(Raw_D2!$G$2:$G$1001,$AQ385)),IF($AR385&lt;&gt;"",IF(INDEX(Raw_D3!$O$2:$O$1001,$AR385)="","",INDEX(Raw_D3!$O$2:$O$1001,$AR385)),"")))</f>
        <v>55</v>
      </c>
      <c r="P385" s="5">
        <f>IF($A385="","",IF($AQ385&lt;&gt;"",IF(INDEX(Raw_D2!$H$2:$H$1001,$AQ385)="","",INDEX(Raw_D2!$H$2:$H$1001,$AQ385)),IF($AR385&lt;&gt;"",IF(INDEX(Raw_D3!$P$2:$P$1001,$AR385)="","",INDEX(Raw_D3!$P$2:$P$1001,$AR385)),"")))</f>
        <v>64</v>
      </c>
      <c r="Q385" s="5" t="str">
        <f>IF($A385="","",IF(AND($AP385&lt;&gt;"",$AQ385&lt;&gt;""),"D1+D2",IF($AR385&lt;&gt;"","D3","Incomplete")))</f>
        <v>D1+D2</v>
      </c>
      <c r="R385" s="17">
        <f>IF($A385="","",IF($K385="",IF($J385="","",ROUND(Lookups!$K$5+Lookups!$K$4*$J385,4)),$K385))</f>
        <v>0.1515</v>
      </c>
      <c r="S385" s="5" t="str">
        <f>IF($A385="","",IF($K385="","Imputed","Original"))</f>
        <v>Original</v>
      </c>
      <c r="T385" s="5" t="str">
        <f>IF($A385="","",IF($P385="","Missing",IF($P385=$N385+$O385,"OK","Mismatch")))</f>
        <v>OK</v>
      </c>
      <c r="U385" s="5" t="str">
        <f>IF($A385="","",IF(COUNTIF($A$2:$A385,$A385)&gt;1,"Duplicate","Unique"))</f>
        <v>Unique</v>
      </c>
      <c r="V385" s="5">
        <f>IF($A385="","",IF(AND($U385="Unique",ISNUMBER($P385)),1,0))</f>
        <v>1</v>
      </c>
      <c r="W385" s="5" t="str">
        <f>IF($A385="","",IF(OR($H385=0,$H385=6),"Weekend","Weekday"))</f>
        <v>Weekday</v>
      </c>
      <c r="X385" s="5" t="str">
        <f>IF($A385="","",TEXT($B385,"ddd"))</f>
        <v>Mon</v>
      </c>
      <c r="Y385" s="5" t="str">
        <f>IF($A385="","",TEXT($B385,"mmm"))</f>
        <v>Jan</v>
      </c>
      <c r="Z385" s="5" t="str">
        <f>IF($A385="","",IFERROR(VLOOKUP($C385,Lookups!$D$4:$E$7,2,FALSE),"Unknown"))</f>
        <v>Winter</v>
      </c>
      <c r="AA385" s="5" t="str">
        <f>IF($A385="","",IFERROR(VLOOKUP($I385,Lookups!$A$4:$B$7,2,FALSE),"Unknown"))</f>
        <v>Mist/Cloudy</v>
      </c>
      <c r="AB385" s="5" t="str">
        <f>IF($A385="","",TEXT($F385,"00")&amp;":00")</f>
        <v>11:00</v>
      </c>
      <c r="AC385" s="5" t="str">
        <f>IF($A385="","",VLOOKUP($F385,Lookups!$G$4:$H$8,2,TRUE))</f>
        <v>Midday (10-15)</v>
      </c>
      <c r="AD385" s="18">
        <f>IF($A385="","",IF($J385="","",ROUND($J385*41,1)))</f>
        <v>6.6</v>
      </c>
      <c r="AE385" s="18">
        <f>IF($A385="","",IF($R385="","",ROUND($R385*50,1)))</f>
        <v>7.6</v>
      </c>
      <c r="AF385" s="5">
        <f>IF($A385="","",IF($L385="","",ROUND($L385*100,0)))</f>
        <v>55</v>
      </c>
      <c r="AG385" s="18">
        <f>IF($A385="","",IF($M385="","",ROUND($M385*67,1)))</f>
        <v>13</v>
      </c>
      <c r="AH385" s="19">
        <f>IF($A385="","",IF($P385="","",IF($P385=0,0,$O385/$P385)))</f>
        <v>0.859375</v>
      </c>
      <c r="AI385" s="5" t="str">
        <f>IF($A385="","",IF($P385="","",IF($P385&gt;=Lookups!$K$7,"High",IF($P385&lt;=Lookups!$K$8,"Low","Medium"))))</f>
        <v>Medium</v>
      </c>
      <c r="AJ385" s="5" t="str">
        <f>IF($A385="","",IF($AD385="","",IF($AD385&lt;5,"Under 5 C",IF($AD385&lt;10,"5-10 C",IF($AD385&lt;15,"10-15 C","15 C and above")))))</f>
        <v>5-10 C</v>
      </c>
      <c r="AK385" s="5">
        <f>IF($A385="","",IF($P385="","",$P385^2))</f>
        <v>4096</v>
      </c>
      <c r="AL385" s="18">
        <f>IF($V385&lt;&gt;1,"",AVERAGEIFS(Clean_Data!$P$2:$P$1001,Clean_Data!$F$2:$F$1001,$F385,Clean_Data!$W$2:$W$1001,$W385,Clean_Data!$V$2:$V$1001,1))</f>
        <v>50.6071428571429</v>
      </c>
      <c r="AM385" s="16">
        <f>IF($V385&lt;&gt;1,"",IFERROR(($P385-$AL385)/SQRT(MAX(0,(SUMIFS(Clean_Data!$AK$2:$AK$1001,Clean_Data!$F$2:$F$1001,$F385,Clean_Data!$W$2:$W$1001,$W385,Clean_Data!$V$2:$V$1001,1)-COUNTIFS(Clean_Data!$F$2:$F$1001,$F385,Clean_Data!$W$2:$W$1001,$W385,Clean_Data!$V$2:$V$1001,1)*$AL385^2)/(COUNTIFS(Clean_Data!$F$2:$F$1001,$F385,Clean_Data!$W$2:$W$1001,$W385,Clean_Data!$V$2:$V$1001,1)-1))),""))</f>
        <v>1.19547343587792</v>
      </c>
      <c r="AN385" s="5" t="str">
        <f>IF($AM385="","",IF($AM385&gt;=Lookups!$K$6,"High spike",IF($AM385&lt;=-Lookups!$K$6,"Unusual low","Normal")))</f>
        <v>Normal</v>
      </c>
      <c r="AO385" s="20">
        <f>IF($V385&lt;&gt;1,"",$P385+ROW()/100000)</f>
        <v>64.00385</v>
      </c>
      <c r="AP385" s="5">
        <f>IF($A385="","",IFERROR(MATCH($A385,Raw_D1!$A$2:$A$1001,0),""))</f>
        <v>384</v>
      </c>
      <c r="AQ385" s="5">
        <f>IF($A385="","",IFERROR(MATCH($A385,Raw_D2!$B$2:$B$1001,0),""))</f>
        <v>384</v>
      </c>
      <c r="AR385" s="5">
        <f>IF($A385="","",IFERROR(MATCH($A385,Raw_D3!$A$2:$A$1001,0),""))</f>
        <v/>
      </c>
    </row>
    <row r="386" spans="1:44" x14ac:dyDescent="0.25">
      <c r="A386" s="5">
        <v>385</v>
      </c>
      <c r="B386" s="11">
        <f>IF($A386="","",IF($AP386&lt;&gt;"",INDEX(Raw_D1!$B$2:$B$1001,$AP386),IF($AR386&lt;&gt;"",INDEX(Raw_D3!$B$2:$B$1001,$AR386),"")))</f>
        <v>40560.0</v>
      </c>
      <c r="C386" s="5">
        <f>IF($A386="","",IF($AP386&lt;&gt;"",INDEX(Raw_D1!$C$2:$C$1001,$AP386),IF($AR386&lt;&gt;"",INDEX(Raw_D3!$C$2:$C$1001,$AR386),"")))</f>
        <v>1</v>
      </c>
      <c r="D386" s="5">
        <f>IF($A386="","",IF($AP386&lt;&gt;"",INDEX(Raw_D1!$D$2:$D$1001,$AP386),IF($AR386&lt;&gt;"",INDEX(Raw_D3!$D$2:$D$1001,$AR386),"")))</f>
        <v>0</v>
      </c>
      <c r="E386" s="5">
        <f>IF($A386="","",IF($AP386&lt;&gt;"",INDEX(Raw_D1!$E$2:$E$1001,$AP386),IF($AR386&lt;&gt;"",INDEX(Raw_D3!$E$2:$E$1001,$AR386),"")))</f>
        <v>1</v>
      </c>
      <c r="F386" s="5">
        <f>IF($A386="","",IF($AP386&lt;&gt;"",INDEX(Raw_D1!$F$2:$F$1001,$AP386),IF($AR386&lt;&gt;"",INDEX(Raw_D3!$F$2:$F$1001,$AR386),"")))</f>
        <v>12</v>
      </c>
      <c r="G386" s="5">
        <f>IF($A386="","",IF($AP386&lt;&gt;"",IF(INDEX(Raw_D1!$G$2:$G$1001,$AP386),1,0),IF($AR386&lt;&gt;"",IF(INDEX(Raw_D3!$G$2:$G$1001,$AR386),1,0),"")))</f>
        <v>1</v>
      </c>
      <c r="H386" s="5">
        <f>IF($A386="","",IF($AP386&lt;&gt;"",INDEX(Raw_D1!$H$2:$H$1001,$AP386),IF($AR386&lt;&gt;"",INDEX(Raw_D3!$H$2:$H$1001,$AR386),"")))</f>
        <v>1</v>
      </c>
      <c r="I386" s="5">
        <f>IF($A386="","",IF($AP386&lt;&gt;"",INDEX(Raw_D1!$I$2:$I$1001,$AP386),IF($AR386&lt;&gt;"",INDEX(Raw_D3!$I$2:$I$1001,$AR386),"")))</f>
        <v>2</v>
      </c>
      <c r="J386" s="16">
        <f>IF($A386="","",IF($AP386&lt;&gt;"",INDEX(Raw_D1!$J$2:$J$1001,$AP386),IF($AR386&lt;&gt;"",INDEX(Raw_D3!$J$2:$J$1001,$AR386),"")))</f>
        <v>0.18</v>
      </c>
      <c r="K386" s="17">
        <f>IF($A386="","",IF($AQ386&lt;&gt;"",IF(INDEX(Raw_D2!$C$2:$C$1001,$AQ386)="","",INDEX(Raw_D2!$C$2:$C$1001,$AQ386)),IF($AR386&lt;&gt;"",IF(INDEX(Raw_D3!$K$2:$K$1001,$AR386)="","",INDEX(Raw_D3!$K$2:$K$1001,$AR386)),"")))</f>
        <v>0.197</v>
      </c>
      <c r="L386" s="16">
        <f>IF($A386="","",IF($AQ386&lt;&gt;"",IF(INDEX(Raw_D2!$D$2:$D$1001,$AQ386)="","",INDEX(Raw_D2!$D$2:$D$1001,$AQ386)),IF($AR386&lt;&gt;"",IF(INDEX(Raw_D3!$L$2:$L$1001,$AR386)="","",INDEX(Raw_D3!$L$2:$L$1001,$AR386)),"")))</f>
        <v>0.47</v>
      </c>
      <c r="M386" s="17">
        <f>IF($A386="","",IF($AQ386&lt;&gt;"",IF(INDEX(Raw_D2!$E$2:$E$1001,$AQ386)="","",INDEX(Raw_D2!$E$2:$E$1001,$AQ386)),IF($AR386&lt;&gt;"",IF(INDEX(Raw_D3!$M$2:$M$1001,$AR386)="","",INDEX(Raw_D3!$M$2:$M$1001,$AR386)),"")))</f>
        <v>0.1343</v>
      </c>
      <c r="N386" s="5">
        <f>IF($A386="","",IF($AQ386&lt;&gt;"",IF(INDEX(Raw_D2!$F$2:$F$1001,$AQ386)="","",INDEX(Raw_D2!$F$2:$F$1001,$AQ386)),IF($AR386&lt;&gt;"",IF(INDEX(Raw_D3!$N$2:$N$1001,$AR386)="","",INDEX(Raw_D3!$N$2:$N$1001,$AR386)),"")))</f>
        <v>10</v>
      </c>
      <c r="O386" s="5">
        <f>IF($A386="","",IF($AQ386&lt;&gt;"",IF(INDEX(Raw_D2!$G$2:$G$1001,$AQ386)="","",INDEX(Raw_D2!$G$2:$G$1001,$AQ386)),IF($AR386&lt;&gt;"",IF(INDEX(Raw_D3!$O$2:$O$1001,$AR386)="","",INDEX(Raw_D3!$O$2:$O$1001,$AR386)),"")))</f>
        <v>70</v>
      </c>
      <c r="P386" s="5">
        <f>IF($A386="","",IF($AQ386&lt;&gt;"",IF(INDEX(Raw_D2!$H$2:$H$1001,$AQ386)="","",INDEX(Raw_D2!$H$2:$H$1001,$AQ386)),IF($AR386&lt;&gt;"",IF(INDEX(Raw_D3!$P$2:$P$1001,$AR386)="","",INDEX(Raw_D3!$P$2:$P$1001,$AR386)),"")))</f>
        <v>80</v>
      </c>
      <c r="Q386" s="5" t="str">
        <f>IF($A386="","",IF(AND($AP386&lt;&gt;"",$AQ386&lt;&gt;""),"D1+D2",IF($AR386&lt;&gt;"","D3","Incomplete")))</f>
        <v>D1+D2</v>
      </c>
      <c r="R386" s="17">
        <f>IF($A386="","",IF($K386="",IF($J386="","",ROUND(Lookups!$K$5+Lookups!$K$4*$J386,4)),$K386))</f>
        <v>0.197</v>
      </c>
      <c r="S386" s="5" t="str">
        <f>IF($A386="","",IF($K386="","Imputed","Original"))</f>
        <v>Original</v>
      </c>
      <c r="T386" s="5" t="str">
        <f>IF($A386="","",IF($P386="","Missing",IF($P386=$N386+$O386,"OK","Mismatch")))</f>
        <v>OK</v>
      </c>
      <c r="U386" s="5" t="str">
        <f>IF($A386="","",IF(COUNTIF($A$2:$A386,$A386)&gt;1,"Duplicate","Unique"))</f>
        <v>Unique</v>
      </c>
      <c r="V386" s="5">
        <f>IF($A386="","",IF(AND($U386="Unique",ISNUMBER($P386)),1,0))</f>
        <v>1</v>
      </c>
      <c r="W386" s="5" t="str">
        <f>IF($A386="","",IF(OR($H386=0,$H386=6),"Weekend","Weekday"))</f>
        <v>Weekday</v>
      </c>
      <c r="X386" s="5" t="str">
        <f>IF($A386="","",TEXT($B386,"ddd"))</f>
        <v>Mon</v>
      </c>
      <c r="Y386" s="5" t="str">
        <f>IF($A386="","",TEXT($B386,"mmm"))</f>
        <v>Jan</v>
      </c>
      <c r="Z386" s="5" t="str">
        <f>IF($A386="","",IFERROR(VLOOKUP($C386,Lookups!$D$4:$E$7,2,FALSE),"Unknown"))</f>
        <v>Winter</v>
      </c>
      <c r="AA386" s="5" t="str">
        <f>IF($A386="","",IFERROR(VLOOKUP($I386,Lookups!$A$4:$B$7,2,FALSE),"Unknown"))</f>
        <v>Mist/Cloudy</v>
      </c>
      <c r="AB386" s="5" t="str">
        <f>IF($A386="","",TEXT($F386,"00")&amp;":00")</f>
        <v>12:00</v>
      </c>
      <c r="AC386" s="5" t="str">
        <f>IF($A386="","",VLOOKUP($F386,Lookups!$G$4:$H$8,2,TRUE))</f>
        <v>Midday (10-15)</v>
      </c>
      <c r="AD386" s="18">
        <f>IF($A386="","",IF($J386="","",ROUND($J386*41,1)))</f>
        <v>7.4</v>
      </c>
      <c r="AE386" s="18">
        <f>IF($A386="","",IF($R386="","",ROUND($R386*50,1)))</f>
        <v>9.9</v>
      </c>
      <c r="AF386" s="5">
        <f>IF($A386="","",IF($L386="","",ROUND($L386*100,0)))</f>
        <v>47</v>
      </c>
      <c r="AG386" s="18">
        <f>IF($A386="","",IF($M386="","",ROUND($M386*67,1)))</f>
        <v>9</v>
      </c>
      <c r="AH386" s="19">
        <f>IF($A386="","",IF($P386="","",IF($P386=0,0,$O386/$P386)))</f>
        <v>0.875</v>
      </c>
      <c r="AI386" s="5" t="str">
        <f>IF($A386="","",IF($P386="","",IF($P386&gt;=Lookups!$K$7,"High",IF($P386&lt;=Lookups!$K$8,"Low","Medium"))))</f>
        <v>Medium</v>
      </c>
      <c r="AJ386" s="5" t="str">
        <f>IF($A386="","",IF($AD386="","",IF($AD386&lt;5,"Under 5 C",IF($AD386&lt;10,"5-10 C",IF($AD386&lt;15,"10-15 C","15 C and above")))))</f>
        <v>5-10 C</v>
      </c>
      <c r="AK386" s="5">
        <f>IF($A386="","",IF($P386="","",$P386^2))</f>
        <v>6400</v>
      </c>
      <c r="AL386" s="18">
        <f>IF($V386&lt;&gt;1,"",AVERAGEIFS(Clean_Data!$P$2:$P$1001,Clean_Data!$F$2:$F$1001,$F386,Clean_Data!$W$2:$W$1001,$W386,Clean_Data!$V$2:$V$1001,1))</f>
        <v>64.5862068965517</v>
      </c>
      <c r="AM386" s="16">
        <f>IF($V386&lt;&gt;1,"",IFERROR(($P386-$AL386)/SQRT(MAX(0,(SUMIFS(Clean_Data!$AK$2:$AK$1001,Clean_Data!$F$2:$F$1001,$F386,Clean_Data!$W$2:$W$1001,$W386,Clean_Data!$V$2:$V$1001,1)-COUNTIFS(Clean_Data!$F$2:$F$1001,$F386,Clean_Data!$W$2:$W$1001,$W386,Clean_Data!$V$2:$V$1001,1)*$AL386^2)/(COUNTIFS(Clean_Data!$F$2:$F$1001,$F386,Clean_Data!$W$2:$W$1001,$W386,Clean_Data!$V$2:$V$1001,1)-1))),""))</f>
        <v>0.823019116768461</v>
      </c>
      <c r="AN386" s="5" t="str">
        <f>IF($AM386="","",IF($AM386&gt;=Lookups!$K$6,"High spike",IF($AM386&lt;=-Lookups!$K$6,"Unusual low","Normal")))</f>
        <v>Normal</v>
      </c>
      <c r="AO386" s="20">
        <f>IF($V386&lt;&gt;1,"",$P386+ROW()/100000)</f>
        <v>80.00386</v>
      </c>
      <c r="AP386" s="5">
        <f>IF($A386="","",IFERROR(MATCH($A386,Raw_D1!$A$2:$A$1001,0),""))</f>
        <v>385</v>
      </c>
      <c r="AQ386" s="5">
        <f>IF($A386="","",IFERROR(MATCH($A386,Raw_D2!$B$2:$B$1001,0),""))</f>
        <v>385</v>
      </c>
      <c r="AR386" s="5">
        <f>IF($A386="","",IFERROR(MATCH($A386,Raw_D3!$A$2:$A$1001,0),""))</f>
        <v/>
      </c>
    </row>
    <row r="387" spans="1:44" x14ac:dyDescent="0.25">
      <c r="A387" s="5">
        <v>386</v>
      </c>
      <c r="B387" s="11">
        <f>IF($A387="","",IF($AP387&lt;&gt;"",INDEX(Raw_D1!$B$2:$B$1001,$AP387),IF($AR387&lt;&gt;"",INDEX(Raw_D3!$B$2:$B$1001,$AR387),"")))</f>
        <v>40560.0</v>
      </c>
      <c r="C387" s="5">
        <f>IF($A387="","",IF($AP387&lt;&gt;"",INDEX(Raw_D1!$C$2:$C$1001,$AP387),IF($AR387&lt;&gt;"",INDEX(Raw_D3!$C$2:$C$1001,$AR387),"")))</f>
        <v>1</v>
      </c>
      <c r="D387" s="5">
        <f>IF($A387="","",IF($AP387&lt;&gt;"",INDEX(Raw_D1!$D$2:$D$1001,$AP387),IF($AR387&lt;&gt;"",INDEX(Raw_D3!$D$2:$D$1001,$AR387),"")))</f>
        <v>0</v>
      </c>
      <c r="E387" s="5">
        <f>IF($A387="","",IF($AP387&lt;&gt;"",INDEX(Raw_D1!$E$2:$E$1001,$AP387),IF($AR387&lt;&gt;"",INDEX(Raw_D3!$E$2:$E$1001,$AR387),"")))</f>
        <v>1</v>
      </c>
      <c r="F387" s="5">
        <f>IF($A387="","",IF($AP387&lt;&gt;"",INDEX(Raw_D1!$F$2:$F$1001,$AP387),IF($AR387&lt;&gt;"",INDEX(Raw_D3!$F$2:$F$1001,$AR387),"")))</f>
        <v>13</v>
      </c>
      <c r="G387" s="5">
        <f>IF($A387="","",IF($AP387&lt;&gt;"",IF(INDEX(Raw_D1!$G$2:$G$1001,$AP387),1,0),IF($AR387&lt;&gt;"",IF(INDEX(Raw_D3!$G$2:$G$1001,$AR387),1,0),"")))</f>
        <v>1</v>
      </c>
      <c r="H387" s="5">
        <f>IF($A387="","",IF($AP387&lt;&gt;"",INDEX(Raw_D1!$H$2:$H$1001,$AP387),IF($AR387&lt;&gt;"",INDEX(Raw_D3!$H$2:$H$1001,$AR387),"")))</f>
        <v>1</v>
      </c>
      <c r="I387" s="5">
        <f>IF($A387="","",IF($AP387&lt;&gt;"",INDEX(Raw_D1!$I$2:$I$1001,$AP387),IF($AR387&lt;&gt;"",INDEX(Raw_D3!$I$2:$I$1001,$AR387),"")))</f>
        <v>2</v>
      </c>
      <c r="J387" s="16">
        <f>IF($A387="","",IF($AP387&lt;&gt;"",INDEX(Raw_D1!$J$2:$J$1001,$AP387),IF($AR387&lt;&gt;"",INDEX(Raw_D3!$J$2:$J$1001,$AR387),"")))</f>
        <v>0.18</v>
      </c>
      <c r="K387" s="17">
        <f>IF($A387="","",IF($AQ387&lt;&gt;"",IF(INDEX(Raw_D2!$C$2:$C$1001,$AQ387)="","",INDEX(Raw_D2!$C$2:$C$1001,$AQ387)),IF($AR387&lt;&gt;"",IF(INDEX(Raw_D3!$K$2:$K$1001,$AR387)="","",INDEX(Raw_D3!$K$2:$K$1001,$AR387)),"")))</f>
        <v>0.197</v>
      </c>
      <c r="L387" s="16">
        <f>IF($A387="","",IF($AQ387&lt;&gt;"",IF(INDEX(Raw_D2!$D$2:$D$1001,$AQ387)="","",INDEX(Raw_D2!$D$2:$D$1001,$AQ387)),IF($AR387&lt;&gt;"",IF(INDEX(Raw_D3!$L$2:$L$1001,$AR387)="","",INDEX(Raw_D3!$L$2:$L$1001,$AR387)),"")))</f>
        <v>0.47</v>
      </c>
      <c r="M387" s="17">
        <f>IF($A387="","",IF($AQ387&lt;&gt;"",IF(INDEX(Raw_D2!$E$2:$E$1001,$AQ387)="","",INDEX(Raw_D2!$E$2:$E$1001,$AQ387)),IF($AR387&lt;&gt;"",IF(INDEX(Raw_D3!$M$2:$M$1001,$AR387)="","",INDEX(Raw_D3!$M$2:$M$1001,$AR387)),"")))</f>
        <v>0.1343</v>
      </c>
      <c r="N387" s="5">
        <f>IF($A387="","",IF($AQ387&lt;&gt;"",IF(INDEX(Raw_D2!$F$2:$F$1001,$AQ387)="","",INDEX(Raw_D2!$F$2:$F$1001,$AQ387)),IF($AR387&lt;&gt;"",IF(INDEX(Raw_D3!$N$2:$N$1001,$AR387)="","",INDEX(Raw_D3!$N$2:$N$1001,$AR387)),"")))</f>
        <v>13</v>
      </c>
      <c r="O387" s="5">
        <f>IF($A387="","",IF($AQ387&lt;&gt;"",IF(INDEX(Raw_D2!$G$2:$G$1001,$AQ387)="","",INDEX(Raw_D2!$G$2:$G$1001,$AQ387)),IF($AR387&lt;&gt;"",IF(INDEX(Raw_D3!$O$2:$O$1001,$AR387)="","",INDEX(Raw_D3!$O$2:$O$1001,$AR387)),"")))</f>
        <v>80</v>
      </c>
      <c r="P387" s="5">
        <f>IF($A387="","",IF($AQ387&lt;&gt;"",IF(INDEX(Raw_D2!$H$2:$H$1001,$AQ387)="","",INDEX(Raw_D2!$H$2:$H$1001,$AQ387)),IF($AR387&lt;&gt;"",IF(INDEX(Raw_D3!$P$2:$P$1001,$AR387)="","",INDEX(Raw_D3!$P$2:$P$1001,$AR387)),"")))</f>
        <v>93</v>
      </c>
      <c r="Q387" s="5" t="str">
        <f>IF($A387="","",IF(AND($AP387&lt;&gt;"",$AQ387&lt;&gt;""),"D1+D2",IF($AR387&lt;&gt;"","D3","Incomplete")))</f>
        <v>D1+D2</v>
      </c>
      <c r="R387" s="17">
        <f>IF($A387="","",IF($K387="",IF($J387="","",ROUND(Lookups!$K$5+Lookups!$K$4*$J387,4)),$K387))</f>
        <v>0.197</v>
      </c>
      <c r="S387" s="5" t="str">
        <f>IF($A387="","",IF($K387="","Imputed","Original"))</f>
        <v>Original</v>
      </c>
      <c r="T387" s="5" t="str">
        <f>IF($A387="","",IF($P387="","Missing",IF($P387=$N387+$O387,"OK","Mismatch")))</f>
        <v>OK</v>
      </c>
      <c r="U387" s="5" t="str">
        <f>IF($A387="","",IF(COUNTIF($A$2:$A387,$A387)&gt;1,"Duplicate","Unique"))</f>
        <v>Unique</v>
      </c>
      <c r="V387" s="5">
        <f>IF($A387="","",IF(AND($U387="Unique",ISNUMBER($P387)),1,0))</f>
        <v>1</v>
      </c>
      <c r="W387" s="5" t="str">
        <f>IF($A387="","",IF(OR($H387=0,$H387=6),"Weekend","Weekday"))</f>
        <v>Weekday</v>
      </c>
      <c r="X387" s="5" t="str">
        <f>IF($A387="","",TEXT($B387,"ddd"))</f>
        <v>Mon</v>
      </c>
      <c r="Y387" s="5" t="str">
        <f>IF($A387="","",TEXT($B387,"mmm"))</f>
        <v>Jan</v>
      </c>
      <c r="Z387" s="5" t="str">
        <f>IF($A387="","",IFERROR(VLOOKUP($C387,Lookups!$D$4:$E$7,2,FALSE),"Unknown"))</f>
        <v>Winter</v>
      </c>
      <c r="AA387" s="5" t="str">
        <f>IF($A387="","",IFERROR(VLOOKUP($I387,Lookups!$A$4:$B$7,2,FALSE),"Unknown"))</f>
        <v>Mist/Cloudy</v>
      </c>
      <c r="AB387" s="5" t="str">
        <f>IF($A387="","",TEXT($F387,"00")&amp;":00")</f>
        <v>13:00</v>
      </c>
      <c r="AC387" s="5" t="str">
        <f>IF($A387="","",VLOOKUP($F387,Lookups!$G$4:$H$8,2,TRUE))</f>
        <v>Midday (10-15)</v>
      </c>
      <c r="AD387" s="18">
        <f>IF($A387="","",IF($J387="","",ROUND($J387*41,1)))</f>
        <v>7.4</v>
      </c>
      <c r="AE387" s="18">
        <f>IF($A387="","",IF($R387="","",ROUND($R387*50,1)))</f>
        <v>9.9</v>
      </c>
      <c r="AF387" s="5">
        <f>IF($A387="","",IF($L387="","",ROUND($L387*100,0)))</f>
        <v>47</v>
      </c>
      <c r="AG387" s="18">
        <f>IF($A387="","",IF($M387="","",ROUND($M387*67,1)))</f>
        <v>9</v>
      </c>
      <c r="AH387" s="19">
        <f>IF($A387="","",IF($P387="","",IF($P387=0,0,$O387/$P387)))</f>
        <v>0.860215053763441</v>
      </c>
      <c r="AI387" s="5" t="str">
        <f>IF($A387="","",IF($P387="","",IF($P387&gt;=Lookups!$K$7,"High",IF($P387&lt;=Lookups!$K$8,"Low","Medium"))))</f>
        <v>High</v>
      </c>
      <c r="AJ387" s="5" t="str">
        <f>IF($A387="","",IF($AD387="","",IF($AD387&lt;5,"Under 5 C",IF($AD387&lt;10,"5-10 C",IF($AD387&lt;15,"10-15 C","15 C and above")))))</f>
        <v>5-10 C</v>
      </c>
      <c r="AK387" s="5">
        <f>IF($A387="","",IF($P387="","",$P387^2))</f>
        <v>8649</v>
      </c>
      <c r="AL387" s="18">
        <f>IF($V387&lt;&gt;1,"",AVERAGEIFS(Clean_Data!$P$2:$P$1001,Clean_Data!$F$2:$F$1001,$F387,Clean_Data!$W$2:$W$1001,$W387,Clean_Data!$V$2:$V$1001,1))</f>
        <v>67.1724137931034</v>
      </c>
      <c r="AM387" s="16">
        <f>IF($V387&lt;&gt;1,"",IFERROR(($P387-$AL387)/SQRT(MAX(0,(SUMIFS(Clean_Data!$AK$2:$AK$1001,Clean_Data!$F$2:$F$1001,$F387,Clean_Data!$W$2:$W$1001,$W387,Clean_Data!$V$2:$V$1001,1)-COUNTIFS(Clean_Data!$F$2:$F$1001,$F387,Clean_Data!$W$2:$W$1001,$W387,Clean_Data!$V$2:$V$1001,1)*$AL387^2)/(COUNTIFS(Clean_Data!$F$2:$F$1001,$F387,Clean_Data!$W$2:$W$1001,$W387,Clean_Data!$V$2:$V$1001,1)-1))),""))</f>
        <v>1.27909626800773</v>
      </c>
      <c r="AN387" s="5" t="str">
        <f>IF($AM387="","",IF($AM387&gt;=Lookups!$K$6,"High spike",IF($AM387&lt;=-Lookups!$K$6,"Unusual low","Normal")))</f>
        <v>Normal</v>
      </c>
      <c r="AO387" s="20">
        <f>IF($V387&lt;&gt;1,"",$P387+ROW()/100000)</f>
        <v>93.00387</v>
      </c>
      <c r="AP387" s="5">
        <f>IF($A387="","",IFERROR(MATCH($A387,Raw_D1!$A$2:$A$1001,0),""))</f>
        <v>386</v>
      </c>
      <c r="AQ387" s="5">
        <f>IF($A387="","",IFERROR(MATCH($A387,Raw_D2!$B$2:$B$1001,0),""))</f>
        <v>386</v>
      </c>
      <c r="AR387" s="5">
        <f>IF($A387="","",IFERROR(MATCH($A387,Raw_D3!$A$2:$A$1001,0),""))</f>
        <v/>
      </c>
    </row>
    <row r="388" spans="1:44" x14ac:dyDescent="0.25">
      <c r="A388" s="5">
        <v>387</v>
      </c>
      <c r="B388" s="11">
        <f>IF($A388="","",IF($AP388&lt;&gt;"",INDEX(Raw_D1!$B$2:$B$1001,$AP388),IF($AR388&lt;&gt;"",INDEX(Raw_D3!$B$2:$B$1001,$AR388),"")))</f>
        <v>40560.0</v>
      </c>
      <c r="C388" s="5">
        <f>IF($A388="","",IF($AP388&lt;&gt;"",INDEX(Raw_D1!$C$2:$C$1001,$AP388),IF($AR388&lt;&gt;"",INDEX(Raw_D3!$C$2:$C$1001,$AR388),"")))</f>
        <v>1</v>
      </c>
      <c r="D388" s="5">
        <f>IF($A388="","",IF($AP388&lt;&gt;"",INDEX(Raw_D1!$D$2:$D$1001,$AP388),IF($AR388&lt;&gt;"",INDEX(Raw_D3!$D$2:$D$1001,$AR388),"")))</f>
        <v>0</v>
      </c>
      <c r="E388" s="5">
        <f>IF($A388="","",IF($AP388&lt;&gt;"",INDEX(Raw_D1!$E$2:$E$1001,$AP388),IF($AR388&lt;&gt;"",INDEX(Raw_D3!$E$2:$E$1001,$AR388),"")))</f>
        <v>1</v>
      </c>
      <c r="F388" s="5">
        <f>IF($A388="","",IF($AP388&lt;&gt;"",INDEX(Raw_D1!$F$2:$F$1001,$AP388),IF($AR388&lt;&gt;"",INDEX(Raw_D3!$F$2:$F$1001,$AR388),"")))</f>
        <v>14</v>
      </c>
      <c r="G388" s="5">
        <f>IF($A388="","",IF($AP388&lt;&gt;"",IF(INDEX(Raw_D1!$G$2:$G$1001,$AP388),1,0),IF($AR388&lt;&gt;"",IF(INDEX(Raw_D3!$G$2:$G$1001,$AR388),1,0),"")))</f>
        <v>1</v>
      </c>
      <c r="H388" s="5">
        <f>IF($A388="","",IF($AP388&lt;&gt;"",INDEX(Raw_D1!$H$2:$H$1001,$AP388),IF($AR388&lt;&gt;"",INDEX(Raw_D3!$H$2:$H$1001,$AR388),"")))</f>
        <v>1</v>
      </c>
      <c r="I388" s="5">
        <f>IF($A388="","",IF($AP388&lt;&gt;"",INDEX(Raw_D1!$I$2:$I$1001,$AP388),IF($AR388&lt;&gt;"",INDEX(Raw_D3!$I$2:$I$1001,$AR388),"")))</f>
        <v>2</v>
      </c>
      <c r="J388" s="16">
        <f>IF($A388="","",IF($AP388&lt;&gt;"",INDEX(Raw_D1!$J$2:$J$1001,$AP388),IF($AR388&lt;&gt;"",INDEX(Raw_D3!$J$2:$J$1001,$AR388),"")))</f>
        <v>0.18</v>
      </c>
      <c r="K388" s="17">
        <f>IF($A388="","",IF($AQ388&lt;&gt;"",IF(INDEX(Raw_D2!$C$2:$C$1001,$AQ388)="","",INDEX(Raw_D2!$C$2:$C$1001,$AQ388)),IF($AR388&lt;&gt;"",IF(INDEX(Raw_D3!$K$2:$K$1001,$AR388)="","",INDEX(Raw_D3!$K$2:$K$1001,$AR388)),"")))</f>
        <v>0.2121</v>
      </c>
      <c r="L388" s="16">
        <f>IF($A388="","",IF($AQ388&lt;&gt;"",IF(INDEX(Raw_D2!$D$2:$D$1001,$AQ388)="","",INDEX(Raw_D2!$D$2:$D$1001,$AQ388)),IF($AR388&lt;&gt;"",IF(INDEX(Raw_D3!$L$2:$L$1001,$AR388)="","",INDEX(Raw_D3!$L$2:$L$1001,$AR388)),"")))</f>
        <v>0.43</v>
      </c>
      <c r="M388" s="17">
        <f>IF($A388="","",IF($AQ388&lt;&gt;"",IF(INDEX(Raw_D2!$E$2:$E$1001,$AQ388)="","",INDEX(Raw_D2!$E$2:$E$1001,$AQ388)),IF($AR388&lt;&gt;"",IF(INDEX(Raw_D3!$M$2:$M$1001,$AR388)="","",INDEX(Raw_D3!$M$2:$M$1001,$AR388)),"")))</f>
        <v>0.1045</v>
      </c>
      <c r="N388" s="5">
        <f>IF($A388="","",IF($AQ388&lt;&gt;"",IF(INDEX(Raw_D2!$F$2:$F$1001,$AQ388)="","",INDEX(Raw_D2!$F$2:$F$1001,$AQ388)),IF($AR388&lt;&gt;"",IF(INDEX(Raw_D3!$N$2:$N$1001,$AR388)="","",INDEX(Raw_D3!$N$2:$N$1001,$AR388)),"")))</f>
        <v>12</v>
      </c>
      <c r="O388" s="5">
        <f>IF($A388="","",IF($AQ388&lt;&gt;"",IF(INDEX(Raw_D2!$G$2:$G$1001,$AQ388)="","",INDEX(Raw_D2!$G$2:$G$1001,$AQ388)),IF($AR388&lt;&gt;"",IF(INDEX(Raw_D3!$O$2:$O$1001,$AR388)="","",INDEX(Raw_D3!$O$2:$O$1001,$AR388)),"")))</f>
        <v>74</v>
      </c>
      <c r="P388" s="5">
        <f>IF($A388="","",IF($AQ388&lt;&gt;"",IF(INDEX(Raw_D2!$H$2:$H$1001,$AQ388)="","",INDEX(Raw_D2!$H$2:$H$1001,$AQ388)),IF($AR388&lt;&gt;"",IF(INDEX(Raw_D3!$P$2:$P$1001,$AR388)="","",INDEX(Raw_D3!$P$2:$P$1001,$AR388)),"")))</f>
        <v>86</v>
      </c>
      <c r="Q388" s="5" t="str">
        <f>IF($A388="","",IF(AND($AP388&lt;&gt;"",$AQ388&lt;&gt;""),"D1+D2",IF($AR388&lt;&gt;"","D3","Incomplete")))</f>
        <v>D1+D2</v>
      </c>
      <c r="R388" s="17">
        <f>IF($A388="","",IF($K388="",IF($J388="","",ROUND(Lookups!$K$5+Lookups!$K$4*$J388,4)),$K388))</f>
        <v>0.2121</v>
      </c>
      <c r="S388" s="5" t="str">
        <f>IF($A388="","",IF($K388="","Imputed","Original"))</f>
        <v>Original</v>
      </c>
      <c r="T388" s="5" t="str">
        <f>IF($A388="","",IF($P388="","Missing",IF($P388=$N388+$O388,"OK","Mismatch")))</f>
        <v>OK</v>
      </c>
      <c r="U388" s="5" t="str">
        <f>IF($A388="","",IF(COUNTIF($A$2:$A388,$A388)&gt;1,"Duplicate","Unique"))</f>
        <v>Unique</v>
      </c>
      <c r="V388" s="5">
        <f>IF($A388="","",IF(AND($U388="Unique",ISNUMBER($P388)),1,0))</f>
        <v>1</v>
      </c>
      <c r="W388" s="5" t="str">
        <f>IF($A388="","",IF(OR($H388=0,$H388=6),"Weekend","Weekday"))</f>
        <v>Weekday</v>
      </c>
      <c r="X388" s="5" t="str">
        <f>IF($A388="","",TEXT($B388,"ddd"))</f>
        <v>Mon</v>
      </c>
      <c r="Y388" s="5" t="str">
        <f>IF($A388="","",TEXT($B388,"mmm"))</f>
        <v>Jan</v>
      </c>
      <c r="Z388" s="5" t="str">
        <f>IF($A388="","",IFERROR(VLOOKUP($C388,Lookups!$D$4:$E$7,2,FALSE),"Unknown"))</f>
        <v>Winter</v>
      </c>
      <c r="AA388" s="5" t="str">
        <f>IF($A388="","",IFERROR(VLOOKUP($I388,Lookups!$A$4:$B$7,2,FALSE),"Unknown"))</f>
        <v>Mist/Cloudy</v>
      </c>
      <c r="AB388" s="5" t="str">
        <f>IF($A388="","",TEXT($F388,"00")&amp;":00")</f>
        <v>14:00</v>
      </c>
      <c r="AC388" s="5" t="str">
        <f>IF($A388="","",VLOOKUP($F388,Lookups!$G$4:$H$8,2,TRUE))</f>
        <v>Midday (10-15)</v>
      </c>
      <c r="AD388" s="18">
        <f>IF($A388="","",IF($J388="","",ROUND($J388*41,1)))</f>
        <v>7.4</v>
      </c>
      <c r="AE388" s="18">
        <f>IF($A388="","",IF($R388="","",ROUND($R388*50,1)))</f>
        <v>10.6</v>
      </c>
      <c r="AF388" s="5">
        <f>IF($A388="","",IF($L388="","",ROUND($L388*100,0)))</f>
        <v>43</v>
      </c>
      <c r="AG388" s="18">
        <f>IF($A388="","",IF($M388="","",ROUND($M388*67,1)))</f>
        <v>7</v>
      </c>
      <c r="AH388" s="19">
        <f>IF($A388="","",IF($P388="","",IF($P388=0,0,$O388/$P388)))</f>
        <v>0.86046511627907</v>
      </c>
      <c r="AI388" s="5" t="str">
        <f>IF($A388="","",IF($P388="","",IF($P388&gt;=Lookups!$K$7,"High",IF($P388&lt;=Lookups!$K$8,"Low","Medium"))))</f>
        <v>High</v>
      </c>
      <c r="AJ388" s="5" t="str">
        <f>IF($A388="","",IF($AD388="","",IF($AD388&lt;5,"Under 5 C",IF($AD388&lt;10,"5-10 C",IF($AD388&lt;15,"10-15 C","15 C and above")))))</f>
        <v>5-10 C</v>
      </c>
      <c r="AK388" s="5">
        <f>IF($A388="","",IF($P388="","",$P388^2))</f>
        <v>7396</v>
      </c>
      <c r="AL388" s="18">
        <f>IF($V388&lt;&gt;1,"",AVERAGEIFS(Clean_Data!$P$2:$P$1001,Clean_Data!$F$2:$F$1001,$F388,Clean_Data!$W$2:$W$1001,$W388,Clean_Data!$V$2:$V$1001,1))</f>
        <v>60.551724137931</v>
      </c>
      <c r="AM388" s="16">
        <f>IF($V388&lt;&gt;1,"",IFERROR(($P388-$AL388)/SQRT(MAX(0,(SUMIFS(Clean_Data!$AK$2:$AK$1001,Clean_Data!$F$2:$F$1001,$F388,Clean_Data!$W$2:$W$1001,$W388,Clean_Data!$V$2:$V$1001,1)-COUNTIFS(Clean_Data!$F$2:$F$1001,$F388,Clean_Data!$W$2:$W$1001,$W388,Clean_Data!$V$2:$V$1001,1)*$AL388^2)/(COUNTIFS(Clean_Data!$F$2:$F$1001,$F388,Clean_Data!$W$2:$W$1001,$W388,Clean_Data!$V$2:$V$1001,1)-1))),""))</f>
        <v>1.54697677944126</v>
      </c>
      <c r="AN388" s="5" t="str">
        <f>IF($AM388="","",IF($AM388&gt;=Lookups!$K$6,"High spike",IF($AM388&lt;=-Lookups!$K$6,"Unusual low","Normal")))</f>
        <v>Normal</v>
      </c>
      <c r="AO388" s="20">
        <f>IF($V388&lt;&gt;1,"",$P388+ROW()/100000)</f>
        <v>86.00388</v>
      </c>
      <c r="AP388" s="5">
        <f>IF($A388="","",IFERROR(MATCH($A388,Raw_D1!$A$2:$A$1001,0),""))</f>
        <v>387</v>
      </c>
      <c r="AQ388" s="5">
        <f>IF($A388="","",IFERROR(MATCH($A388,Raw_D2!$B$2:$B$1001,0),""))</f>
        <v>387</v>
      </c>
      <c r="AR388" s="5">
        <f>IF($A388="","",IFERROR(MATCH($A388,Raw_D3!$A$2:$A$1001,0),""))</f>
        <v/>
      </c>
    </row>
    <row r="389" spans="1:44" x14ac:dyDescent="0.25">
      <c r="A389" s="5">
        <v>388</v>
      </c>
      <c r="B389" s="11">
        <f>IF($A389="","",IF($AP389&lt;&gt;"",INDEX(Raw_D1!$B$2:$B$1001,$AP389),IF($AR389&lt;&gt;"",INDEX(Raw_D3!$B$2:$B$1001,$AR389),"")))</f>
        <v>40560.0</v>
      </c>
      <c r="C389" s="5">
        <f>IF($A389="","",IF($AP389&lt;&gt;"",INDEX(Raw_D1!$C$2:$C$1001,$AP389),IF($AR389&lt;&gt;"",INDEX(Raw_D3!$C$2:$C$1001,$AR389),"")))</f>
        <v>1</v>
      </c>
      <c r="D389" s="5">
        <f>IF($A389="","",IF($AP389&lt;&gt;"",INDEX(Raw_D1!$D$2:$D$1001,$AP389),IF($AR389&lt;&gt;"",INDEX(Raw_D3!$D$2:$D$1001,$AR389),"")))</f>
        <v>0</v>
      </c>
      <c r="E389" s="5">
        <f>IF($A389="","",IF($AP389&lt;&gt;"",INDEX(Raw_D1!$E$2:$E$1001,$AP389),IF($AR389&lt;&gt;"",INDEX(Raw_D3!$E$2:$E$1001,$AR389),"")))</f>
        <v>1</v>
      </c>
      <c r="F389" s="5">
        <f>IF($A389="","",IF($AP389&lt;&gt;"",INDEX(Raw_D1!$F$2:$F$1001,$AP389),IF($AR389&lt;&gt;"",INDEX(Raw_D3!$F$2:$F$1001,$AR389),"")))</f>
        <v>15</v>
      </c>
      <c r="G389" s="5">
        <f>IF($A389="","",IF($AP389&lt;&gt;"",IF(INDEX(Raw_D1!$G$2:$G$1001,$AP389),1,0),IF($AR389&lt;&gt;"",IF(INDEX(Raw_D3!$G$2:$G$1001,$AR389),1,0),"")))</f>
        <v>1</v>
      </c>
      <c r="H389" s="5">
        <f>IF($A389="","",IF($AP389&lt;&gt;"",INDEX(Raw_D1!$H$2:$H$1001,$AP389),IF($AR389&lt;&gt;"",INDEX(Raw_D3!$H$2:$H$1001,$AR389),"")))</f>
        <v>1</v>
      </c>
      <c r="I389" s="5">
        <f>IF($A389="","",IF($AP389&lt;&gt;"",INDEX(Raw_D1!$I$2:$I$1001,$AP389),IF($AR389&lt;&gt;"",INDEX(Raw_D3!$I$2:$I$1001,$AR389),"")))</f>
        <v>2</v>
      </c>
      <c r="J389" s="16">
        <f>IF($A389="","",IF($AP389&lt;&gt;"",INDEX(Raw_D1!$J$2:$J$1001,$AP389),IF($AR389&lt;&gt;"",INDEX(Raw_D3!$J$2:$J$1001,$AR389),"")))</f>
        <v>0.2</v>
      </c>
      <c r="K389" s="17">
        <f>IF($A389="","",IF($AQ389&lt;&gt;"",IF(INDEX(Raw_D2!$C$2:$C$1001,$AQ389)="","",INDEX(Raw_D2!$C$2:$C$1001,$AQ389)),IF($AR389&lt;&gt;"",IF(INDEX(Raw_D3!$K$2:$K$1001,$AR389)="","",INDEX(Raw_D3!$K$2:$K$1001,$AR389)),"")))</f>
        <v>0.2121</v>
      </c>
      <c r="L389" s="16">
        <f>IF($A389="","",IF($AQ389&lt;&gt;"",IF(INDEX(Raw_D2!$D$2:$D$1001,$AQ389)="","",INDEX(Raw_D2!$D$2:$D$1001,$AQ389)),IF($AR389&lt;&gt;"",IF(INDEX(Raw_D3!$L$2:$L$1001,$AR389)="","",INDEX(Raw_D3!$L$2:$L$1001,$AR389)),"")))</f>
        <v>0.47</v>
      </c>
      <c r="M389" s="17">
        <f>IF($A389="","",IF($AQ389&lt;&gt;"",IF(INDEX(Raw_D2!$E$2:$E$1001,$AQ389)="","",INDEX(Raw_D2!$E$2:$E$1001,$AQ389)),IF($AR389&lt;&gt;"",IF(INDEX(Raw_D3!$M$2:$M$1001,$AR389)="","",INDEX(Raw_D3!$M$2:$M$1001,$AR389)),"")))</f>
        <v>0.1642</v>
      </c>
      <c r="N389" s="5">
        <f>IF($A389="","",IF($AQ389&lt;&gt;"",IF(INDEX(Raw_D2!$F$2:$F$1001,$AQ389)="","",INDEX(Raw_D2!$F$2:$F$1001,$AQ389)),IF($AR389&lt;&gt;"",IF(INDEX(Raw_D3!$N$2:$N$1001,$AR389)="","",INDEX(Raw_D3!$N$2:$N$1001,$AR389)),"")))</f>
        <v>21</v>
      </c>
      <c r="O389" s="5">
        <f>IF($A389="","",IF($AQ389&lt;&gt;"",IF(INDEX(Raw_D2!$G$2:$G$1001,$AQ389)="","",INDEX(Raw_D2!$G$2:$G$1001,$AQ389)),IF($AR389&lt;&gt;"",IF(INDEX(Raw_D3!$O$2:$O$1001,$AR389)="","",INDEX(Raw_D3!$O$2:$O$1001,$AR389)),"")))</f>
        <v>72</v>
      </c>
      <c r="P389" s="5">
        <f>IF($A389="","",IF($AQ389&lt;&gt;"",IF(INDEX(Raw_D2!$H$2:$H$1001,$AQ389)="","",INDEX(Raw_D2!$H$2:$H$1001,$AQ389)),IF($AR389&lt;&gt;"",IF(INDEX(Raw_D3!$P$2:$P$1001,$AR389)="","",INDEX(Raw_D3!$P$2:$P$1001,$AR389)),"")))</f>
        <v>93</v>
      </c>
      <c r="Q389" s="5" t="str">
        <f>IF($A389="","",IF(AND($AP389&lt;&gt;"",$AQ389&lt;&gt;""),"D1+D2",IF($AR389&lt;&gt;"","D3","Incomplete")))</f>
        <v>D1+D2</v>
      </c>
      <c r="R389" s="17">
        <f>IF($A389="","",IF($K389="",IF($J389="","",ROUND(Lookups!$K$5+Lookups!$K$4*$J389,4)),$K389))</f>
        <v>0.2121</v>
      </c>
      <c r="S389" s="5" t="str">
        <f>IF($A389="","",IF($K389="","Imputed","Original"))</f>
        <v>Original</v>
      </c>
      <c r="T389" s="5" t="str">
        <f>IF($A389="","",IF($P389="","Missing",IF($P389=$N389+$O389,"OK","Mismatch")))</f>
        <v>OK</v>
      </c>
      <c r="U389" s="5" t="str">
        <f>IF($A389="","",IF(COUNTIF($A$2:$A389,$A389)&gt;1,"Duplicate","Unique"))</f>
        <v>Unique</v>
      </c>
      <c r="V389" s="5">
        <f>IF($A389="","",IF(AND($U389="Unique",ISNUMBER($P389)),1,0))</f>
        <v>1</v>
      </c>
      <c r="W389" s="5" t="str">
        <f>IF($A389="","",IF(OR($H389=0,$H389=6),"Weekend","Weekday"))</f>
        <v>Weekday</v>
      </c>
      <c r="X389" s="5" t="str">
        <f>IF($A389="","",TEXT($B389,"ddd"))</f>
        <v>Mon</v>
      </c>
      <c r="Y389" s="5" t="str">
        <f>IF($A389="","",TEXT($B389,"mmm"))</f>
        <v>Jan</v>
      </c>
      <c r="Z389" s="5" t="str">
        <f>IF($A389="","",IFERROR(VLOOKUP($C389,Lookups!$D$4:$E$7,2,FALSE),"Unknown"))</f>
        <v>Winter</v>
      </c>
      <c r="AA389" s="5" t="str">
        <f>IF($A389="","",IFERROR(VLOOKUP($I389,Lookups!$A$4:$B$7,2,FALSE),"Unknown"))</f>
        <v>Mist/Cloudy</v>
      </c>
      <c r="AB389" s="5" t="str">
        <f>IF($A389="","",TEXT($F389,"00")&amp;":00")</f>
        <v>15:00</v>
      </c>
      <c r="AC389" s="5" t="str">
        <f>IF($A389="","",VLOOKUP($F389,Lookups!$G$4:$H$8,2,TRUE))</f>
        <v>Midday (10-15)</v>
      </c>
      <c r="AD389" s="18">
        <f>IF($A389="","",IF($J389="","",ROUND($J389*41,1)))</f>
        <v>8.2</v>
      </c>
      <c r="AE389" s="18">
        <f>IF($A389="","",IF($R389="","",ROUND($R389*50,1)))</f>
        <v>10.6</v>
      </c>
      <c r="AF389" s="5">
        <f>IF($A389="","",IF($L389="","",ROUND($L389*100,0)))</f>
        <v>47</v>
      </c>
      <c r="AG389" s="18">
        <f>IF($A389="","",IF($M389="","",ROUND($M389*67,1)))</f>
        <v>11</v>
      </c>
      <c r="AH389" s="19">
        <f>IF($A389="","",IF($P389="","",IF($P389=0,0,$O389/$P389)))</f>
        <v>0.774193548387097</v>
      </c>
      <c r="AI389" s="5" t="str">
        <f>IF($A389="","",IF($P389="","",IF($P389&gt;=Lookups!$K$7,"High",IF($P389&lt;=Lookups!$K$8,"Low","Medium"))))</f>
        <v>High</v>
      </c>
      <c r="AJ389" s="5" t="str">
        <f>IF($A389="","",IF($AD389="","",IF($AD389&lt;5,"Under 5 C",IF($AD389&lt;10,"5-10 C",IF($AD389&lt;15,"10-15 C","15 C and above")))))</f>
        <v>5-10 C</v>
      </c>
      <c r="AK389" s="5">
        <f>IF($A389="","",IF($P389="","",$P389^2))</f>
        <v>8649</v>
      </c>
      <c r="AL389" s="18">
        <f>IF($V389&lt;&gt;1,"",AVERAGEIFS(Clean_Data!$P$2:$P$1001,Clean_Data!$F$2:$F$1001,$F389,Clean_Data!$W$2:$W$1001,$W389,Clean_Data!$V$2:$V$1001,1))</f>
        <v>61.4827586206897</v>
      </c>
      <c r="AM389" s="16">
        <f>IF($V389&lt;&gt;1,"",IFERROR(($P389-$AL389)/SQRT(MAX(0,(SUMIFS(Clean_Data!$AK$2:$AK$1001,Clean_Data!$F$2:$F$1001,$F389,Clean_Data!$W$2:$W$1001,$W389,Clean_Data!$V$2:$V$1001,1)-COUNTIFS(Clean_Data!$F$2:$F$1001,$F389,Clean_Data!$W$2:$W$1001,$W389,Clean_Data!$V$2:$V$1001,1)*$AL389^2)/(COUNTIFS(Clean_Data!$F$2:$F$1001,$F389,Clean_Data!$W$2:$W$1001,$W389,Clean_Data!$V$2:$V$1001,1)-1))),""))</f>
        <v>2.09068216589119</v>
      </c>
      <c r="AN389" s="5" t="str">
        <f>IF($AM389="","",IF($AM389&gt;=Lookups!$K$6,"High spike",IF($AM389&lt;=-Lookups!$K$6,"Unusual low","Normal")))</f>
        <v>Normal</v>
      </c>
      <c r="AO389" s="20">
        <f>IF($V389&lt;&gt;1,"",$P389+ROW()/100000)</f>
        <v>93.00389</v>
      </c>
      <c r="AP389" s="5">
        <f>IF($A389="","",IFERROR(MATCH($A389,Raw_D1!$A$2:$A$1001,0),""))</f>
        <v>388</v>
      </c>
      <c r="AQ389" s="5">
        <f>IF($A389="","",IFERROR(MATCH($A389,Raw_D2!$B$2:$B$1001,0),""))</f>
        <v>388</v>
      </c>
      <c r="AR389" s="5">
        <f>IF($A389="","",IFERROR(MATCH($A389,Raw_D3!$A$2:$A$1001,0),""))</f>
        <v/>
      </c>
    </row>
    <row r="390" spans="1:44" x14ac:dyDescent="0.25">
      <c r="A390" s="5">
        <v>389</v>
      </c>
      <c r="B390" s="11">
        <f>IF($A390="","",IF($AP390&lt;&gt;"",INDEX(Raw_D1!$B$2:$B$1001,$AP390),IF($AR390&lt;&gt;"",INDEX(Raw_D3!$B$2:$B$1001,$AR390),"")))</f>
        <v>40560.0</v>
      </c>
      <c r="C390" s="5">
        <f>IF($A390="","",IF($AP390&lt;&gt;"",INDEX(Raw_D1!$C$2:$C$1001,$AP390),IF($AR390&lt;&gt;"",INDEX(Raw_D3!$C$2:$C$1001,$AR390),"")))</f>
        <v>1</v>
      </c>
      <c r="D390" s="5">
        <f>IF($A390="","",IF($AP390&lt;&gt;"",INDEX(Raw_D1!$D$2:$D$1001,$AP390),IF($AR390&lt;&gt;"",INDEX(Raw_D3!$D$2:$D$1001,$AR390),"")))</f>
        <v>0</v>
      </c>
      <c r="E390" s="5">
        <f>IF($A390="","",IF($AP390&lt;&gt;"",INDEX(Raw_D1!$E$2:$E$1001,$AP390),IF($AR390&lt;&gt;"",INDEX(Raw_D3!$E$2:$E$1001,$AR390),"")))</f>
        <v>1</v>
      </c>
      <c r="F390" s="5">
        <f>IF($A390="","",IF($AP390&lt;&gt;"",INDEX(Raw_D1!$F$2:$F$1001,$AP390),IF($AR390&lt;&gt;"",INDEX(Raw_D3!$F$2:$F$1001,$AR390),"")))</f>
        <v>16</v>
      </c>
      <c r="G390" s="5">
        <f>IF($A390="","",IF($AP390&lt;&gt;"",IF(INDEX(Raw_D1!$G$2:$G$1001,$AP390),1,0),IF($AR390&lt;&gt;"",IF(INDEX(Raw_D3!$G$2:$G$1001,$AR390),1,0),"")))</f>
        <v>1</v>
      </c>
      <c r="H390" s="5">
        <f>IF($A390="","",IF($AP390&lt;&gt;"",INDEX(Raw_D1!$H$2:$H$1001,$AP390),IF($AR390&lt;&gt;"",INDEX(Raw_D3!$H$2:$H$1001,$AR390),"")))</f>
        <v>1</v>
      </c>
      <c r="I390" s="5">
        <f>IF($A390="","",IF($AP390&lt;&gt;"",INDEX(Raw_D1!$I$2:$I$1001,$AP390),IF($AR390&lt;&gt;"",INDEX(Raw_D3!$I$2:$I$1001,$AR390),"")))</f>
        <v>2</v>
      </c>
      <c r="J390" s="16">
        <f>IF($A390="","",IF($AP390&lt;&gt;"",INDEX(Raw_D1!$J$2:$J$1001,$AP390),IF($AR390&lt;&gt;"",INDEX(Raw_D3!$J$2:$J$1001,$AR390),"")))</f>
        <v>0.2</v>
      </c>
      <c r="K390" s="17">
        <f>IF($A390="","",IF($AQ390&lt;&gt;"",IF(INDEX(Raw_D2!$C$2:$C$1001,$AQ390)="","",INDEX(Raw_D2!$C$2:$C$1001,$AQ390)),IF($AR390&lt;&gt;"",IF(INDEX(Raw_D3!$K$2:$K$1001,$AR390)="","",INDEX(Raw_D3!$K$2:$K$1001,$AR390)),"")))</f>
        <v>0.2121</v>
      </c>
      <c r="L390" s="16">
        <f>IF($A390="","",IF($AQ390&lt;&gt;"",IF(INDEX(Raw_D2!$D$2:$D$1001,$AQ390)="","",INDEX(Raw_D2!$D$2:$D$1001,$AQ390)),IF($AR390&lt;&gt;"",IF(INDEX(Raw_D3!$L$2:$L$1001,$AR390)="","",INDEX(Raw_D3!$L$2:$L$1001,$AR390)),"")))</f>
        <v>0.47</v>
      </c>
      <c r="M390" s="17">
        <f>IF($A390="","",IF($AQ390&lt;&gt;"",IF(INDEX(Raw_D2!$E$2:$E$1001,$AQ390)="","",INDEX(Raw_D2!$E$2:$E$1001,$AQ390)),IF($AR390&lt;&gt;"",IF(INDEX(Raw_D3!$M$2:$M$1001,$AR390)="","",INDEX(Raw_D3!$M$2:$M$1001,$AR390)),"")))</f>
        <v>0.1642</v>
      </c>
      <c r="N390" s="5">
        <f>IF($A390="","",IF($AQ390&lt;&gt;"",IF(INDEX(Raw_D2!$F$2:$F$1001,$AQ390)="","",INDEX(Raw_D2!$F$2:$F$1001,$AQ390)),IF($AR390&lt;&gt;"",IF(INDEX(Raw_D3!$N$2:$N$1001,$AR390)="","",INDEX(Raw_D3!$N$2:$N$1001,$AR390)),"")))</f>
        <v>6</v>
      </c>
      <c r="O390" s="5">
        <f>IF($A390="","",IF($AQ390&lt;&gt;"",IF(INDEX(Raw_D2!$G$2:$G$1001,$AQ390)="","",INDEX(Raw_D2!$G$2:$G$1001,$AQ390)),IF($AR390&lt;&gt;"",IF(INDEX(Raw_D3!$O$2:$O$1001,$AR390)="","",INDEX(Raw_D3!$O$2:$O$1001,$AR390)),"")))</f>
        <v>76</v>
      </c>
      <c r="P390" s="5">
        <f>IF($A390="","",IF($AQ390&lt;&gt;"",IF(INDEX(Raw_D2!$H$2:$H$1001,$AQ390)="","",INDEX(Raw_D2!$H$2:$H$1001,$AQ390)),IF($AR390&lt;&gt;"",IF(INDEX(Raw_D3!$P$2:$P$1001,$AR390)="","",INDEX(Raw_D3!$P$2:$P$1001,$AR390)),"")))</f>
        <v>82</v>
      </c>
      <c r="Q390" s="5" t="str">
        <f>IF($A390="","",IF(AND($AP390&lt;&gt;"",$AQ390&lt;&gt;""),"D1+D2",IF($AR390&lt;&gt;"","D3","Incomplete")))</f>
        <v>D1+D2</v>
      </c>
      <c r="R390" s="17">
        <f>IF($A390="","",IF($K390="",IF($J390="","",ROUND(Lookups!$K$5+Lookups!$K$4*$J390,4)),$K390))</f>
        <v>0.2121</v>
      </c>
      <c r="S390" s="5" t="str">
        <f>IF($A390="","",IF($K390="","Imputed","Original"))</f>
        <v>Original</v>
      </c>
      <c r="T390" s="5" t="str">
        <f>IF($A390="","",IF($P390="","Missing",IF($P390=$N390+$O390,"OK","Mismatch")))</f>
        <v>OK</v>
      </c>
      <c r="U390" s="5" t="str">
        <f>IF($A390="","",IF(COUNTIF($A$2:$A390,$A390)&gt;1,"Duplicate","Unique"))</f>
        <v>Unique</v>
      </c>
      <c r="V390" s="5">
        <f>IF($A390="","",IF(AND($U390="Unique",ISNUMBER($P390)),1,0))</f>
        <v>1</v>
      </c>
      <c r="W390" s="5" t="str">
        <f>IF($A390="","",IF(OR($H390=0,$H390=6),"Weekend","Weekday"))</f>
        <v>Weekday</v>
      </c>
      <c r="X390" s="5" t="str">
        <f>IF($A390="","",TEXT($B390,"ddd"))</f>
        <v>Mon</v>
      </c>
      <c r="Y390" s="5" t="str">
        <f>IF($A390="","",TEXT($B390,"mmm"))</f>
        <v>Jan</v>
      </c>
      <c r="Z390" s="5" t="str">
        <f>IF($A390="","",IFERROR(VLOOKUP($C390,Lookups!$D$4:$E$7,2,FALSE),"Unknown"))</f>
        <v>Winter</v>
      </c>
      <c r="AA390" s="5" t="str">
        <f>IF($A390="","",IFERROR(VLOOKUP($I390,Lookups!$A$4:$B$7,2,FALSE),"Unknown"))</f>
        <v>Mist/Cloudy</v>
      </c>
      <c r="AB390" s="5" t="str">
        <f>IF($A390="","",TEXT($F390,"00")&amp;":00")</f>
        <v>16:00</v>
      </c>
      <c r="AC390" s="5" t="str">
        <f>IF($A390="","",VLOOKUP($F390,Lookups!$G$4:$H$8,2,TRUE))</f>
        <v>Evening Peak (16-19)</v>
      </c>
      <c r="AD390" s="18">
        <f>IF($A390="","",IF($J390="","",ROUND($J390*41,1)))</f>
        <v>8.2</v>
      </c>
      <c r="AE390" s="18">
        <f>IF($A390="","",IF($R390="","",ROUND($R390*50,1)))</f>
        <v>10.6</v>
      </c>
      <c r="AF390" s="5">
        <f>IF($A390="","",IF($L390="","",ROUND($L390*100,0)))</f>
        <v>47</v>
      </c>
      <c r="AG390" s="18">
        <f>IF($A390="","",IF($M390="","",ROUND($M390*67,1)))</f>
        <v>11</v>
      </c>
      <c r="AH390" s="19">
        <f>IF($A390="","",IF($P390="","",IF($P390=0,0,$O390/$P390)))</f>
        <v>0.926829268292683</v>
      </c>
      <c r="AI390" s="5" t="str">
        <f>IF($A390="","",IF($P390="","",IF($P390&gt;=Lookups!$K$7,"High",IF($P390&lt;=Lookups!$K$8,"Low","Medium"))))</f>
        <v>Medium</v>
      </c>
      <c r="AJ390" s="5" t="str">
        <f>IF($A390="","",IF($AD390="","",IF($AD390&lt;5,"Under 5 C",IF($AD390&lt;10,"5-10 C",IF($AD390&lt;15,"10-15 C","15 C and above")))))</f>
        <v>5-10 C</v>
      </c>
      <c r="AK390" s="5">
        <f>IF($A390="","",IF($P390="","",$P390^2))</f>
        <v>6724</v>
      </c>
      <c r="AL390" s="18">
        <f>IF($V390&lt;&gt;1,"",AVERAGEIFS(Clean_Data!$P$2:$P$1001,Clean_Data!$F$2:$F$1001,$F390,Clean_Data!$W$2:$W$1001,$W390,Clean_Data!$V$2:$V$1001,1))</f>
        <v>82.6333333333333</v>
      </c>
      <c r="AM390" s="16">
        <f>IF($V390&lt;&gt;1,"",IFERROR(($P390-$AL390)/SQRT(MAX(0,(SUMIFS(Clean_Data!$AK$2:$AK$1001,Clean_Data!$F$2:$F$1001,$F390,Clean_Data!$W$2:$W$1001,$W390,Clean_Data!$V$2:$V$1001,1)-COUNTIFS(Clean_Data!$F$2:$F$1001,$F390,Clean_Data!$W$2:$W$1001,$W390,Clean_Data!$V$2:$V$1001,1)*$AL390^2)/(COUNTIFS(Clean_Data!$F$2:$F$1001,$F390,Clean_Data!$W$2:$W$1001,$W390,Clean_Data!$V$2:$V$1001,1)-1))),""))</f>
        <v>-0.0305310705549854</v>
      </c>
      <c r="AN390" s="5" t="str">
        <f>IF($AM390="","",IF($AM390&gt;=Lookups!$K$6,"High spike",IF($AM390&lt;=-Lookups!$K$6,"Unusual low","Normal")))</f>
        <v>Normal</v>
      </c>
      <c r="AO390" s="20">
        <f>IF($V390&lt;&gt;1,"",$P390+ROW()/100000)</f>
        <v>82.0039</v>
      </c>
      <c r="AP390" s="5">
        <f>IF($A390="","",IFERROR(MATCH($A390,Raw_D1!$A$2:$A$1001,0),""))</f>
        <v>389</v>
      </c>
      <c r="AQ390" s="5">
        <f>IF($A390="","",IFERROR(MATCH($A390,Raw_D2!$B$2:$B$1001,0),""))</f>
        <v>389</v>
      </c>
      <c r="AR390" s="5">
        <f>IF($A390="","",IFERROR(MATCH($A390,Raw_D3!$A$2:$A$1001,0),""))</f>
        <v/>
      </c>
    </row>
    <row r="391" spans="1:44" x14ac:dyDescent="0.25">
      <c r="A391" s="5">
        <v>390</v>
      </c>
      <c r="B391" s="11">
        <f>IF($A391="","",IF($AP391&lt;&gt;"",INDEX(Raw_D1!$B$2:$B$1001,$AP391),IF($AR391&lt;&gt;"",INDEX(Raw_D3!$B$2:$B$1001,$AR391),"")))</f>
        <v>40560.0</v>
      </c>
      <c r="C391" s="5">
        <f>IF($A391="","",IF($AP391&lt;&gt;"",INDEX(Raw_D1!$C$2:$C$1001,$AP391),IF($AR391&lt;&gt;"",INDEX(Raw_D3!$C$2:$C$1001,$AR391),"")))</f>
        <v>1</v>
      </c>
      <c r="D391" s="5">
        <f>IF($A391="","",IF($AP391&lt;&gt;"",INDEX(Raw_D1!$D$2:$D$1001,$AP391),IF($AR391&lt;&gt;"",INDEX(Raw_D3!$D$2:$D$1001,$AR391),"")))</f>
        <v>0</v>
      </c>
      <c r="E391" s="5">
        <f>IF($A391="","",IF($AP391&lt;&gt;"",INDEX(Raw_D1!$E$2:$E$1001,$AP391),IF($AR391&lt;&gt;"",INDEX(Raw_D3!$E$2:$E$1001,$AR391),"")))</f>
        <v>1</v>
      </c>
      <c r="F391" s="5">
        <f>IF($A391="","",IF($AP391&lt;&gt;"",INDEX(Raw_D1!$F$2:$F$1001,$AP391),IF($AR391&lt;&gt;"",INDEX(Raw_D3!$F$2:$F$1001,$AR391),"")))</f>
        <v>17</v>
      </c>
      <c r="G391" s="5">
        <f>IF($A391="","",IF($AP391&lt;&gt;"",IF(INDEX(Raw_D1!$G$2:$G$1001,$AP391),1,0),IF($AR391&lt;&gt;"",IF(INDEX(Raw_D3!$G$2:$G$1001,$AR391),1,0),"")))</f>
        <v>1</v>
      </c>
      <c r="H391" s="5">
        <f>IF($A391="","",IF($AP391&lt;&gt;"",INDEX(Raw_D1!$H$2:$H$1001,$AP391),IF($AR391&lt;&gt;"",INDEX(Raw_D3!$H$2:$H$1001,$AR391),"")))</f>
        <v>1</v>
      </c>
      <c r="I391" s="5">
        <f>IF($A391="","",IF($AP391&lt;&gt;"",INDEX(Raw_D1!$I$2:$I$1001,$AP391),IF($AR391&lt;&gt;"",INDEX(Raw_D3!$I$2:$I$1001,$AR391),"")))</f>
        <v>1</v>
      </c>
      <c r="J391" s="16">
        <f>IF($A391="","",IF($AP391&lt;&gt;"",INDEX(Raw_D1!$J$2:$J$1001,$AP391),IF($AR391&lt;&gt;"",INDEX(Raw_D3!$J$2:$J$1001,$AR391),"")))</f>
        <v>0.2</v>
      </c>
      <c r="K391" s="17">
        <f>IF($A391="","",IF($AQ391&lt;&gt;"",IF(INDEX(Raw_D2!$C$2:$C$1001,$AQ391)="","",INDEX(Raw_D2!$C$2:$C$1001,$AQ391)),IF($AR391&lt;&gt;"",IF(INDEX(Raw_D3!$K$2:$K$1001,$AR391)="","",INDEX(Raw_D3!$K$2:$K$1001,$AR391)),"")))</f>
        <v>0.197</v>
      </c>
      <c r="L391" s="16">
        <f>IF($A391="","",IF($AQ391&lt;&gt;"",IF(INDEX(Raw_D2!$D$2:$D$1001,$AQ391)="","",INDEX(Raw_D2!$D$2:$D$1001,$AQ391)),IF($AR391&lt;&gt;"",IF(INDEX(Raw_D3!$L$2:$L$1001,$AR391)="","",INDEX(Raw_D3!$L$2:$L$1001,$AR391)),"")))</f>
        <v>0.51</v>
      </c>
      <c r="M391" s="17">
        <f>IF($A391="","",IF($AQ391&lt;&gt;"",IF(INDEX(Raw_D2!$E$2:$E$1001,$AQ391)="","",INDEX(Raw_D2!$E$2:$E$1001,$AQ391)),IF($AR391&lt;&gt;"",IF(INDEX(Raw_D3!$M$2:$M$1001,$AR391)="","",INDEX(Raw_D3!$M$2:$M$1001,$AR391)),"")))</f>
        <v>0.194</v>
      </c>
      <c r="N391" s="5">
        <f>IF($A391="","",IF($AQ391&lt;&gt;"",IF(INDEX(Raw_D2!$F$2:$F$1001,$AQ391)="","",INDEX(Raw_D2!$F$2:$F$1001,$AQ391)),IF($AR391&lt;&gt;"",IF(INDEX(Raw_D3!$N$2:$N$1001,$AR391)="","",INDEX(Raw_D3!$N$2:$N$1001,$AR391)),"")))</f>
        <v>4</v>
      </c>
      <c r="O391" s="5">
        <f>IF($A391="","",IF($AQ391&lt;&gt;"",IF(INDEX(Raw_D2!$G$2:$G$1001,$AQ391)="","",INDEX(Raw_D2!$G$2:$G$1001,$AQ391)),IF($AR391&lt;&gt;"",IF(INDEX(Raw_D3!$O$2:$O$1001,$AR391)="","",INDEX(Raw_D3!$O$2:$O$1001,$AR391)),"")))</f>
        <v>67</v>
      </c>
      <c r="P391" s="5">
        <f>IF($A391="","",IF($AQ391&lt;&gt;"",IF(INDEX(Raw_D2!$H$2:$H$1001,$AQ391)="","",INDEX(Raw_D2!$H$2:$H$1001,$AQ391)),IF($AR391&lt;&gt;"",IF(INDEX(Raw_D3!$P$2:$P$1001,$AR391)="","",INDEX(Raw_D3!$P$2:$P$1001,$AR391)),"")))</f>
        <v>71</v>
      </c>
      <c r="Q391" s="5" t="str">
        <f>IF($A391="","",IF(AND($AP391&lt;&gt;"",$AQ391&lt;&gt;""),"D1+D2",IF($AR391&lt;&gt;"","D3","Incomplete")))</f>
        <v>D1+D2</v>
      </c>
      <c r="R391" s="17">
        <f>IF($A391="","",IF($K391="",IF($J391="","",ROUND(Lookups!$K$5+Lookups!$K$4*$J391,4)),$K391))</f>
        <v>0.197</v>
      </c>
      <c r="S391" s="5" t="str">
        <f>IF($A391="","",IF($K391="","Imputed","Original"))</f>
        <v>Original</v>
      </c>
      <c r="T391" s="5" t="str">
        <f>IF($A391="","",IF($P391="","Missing",IF($P391=$N391+$O391,"OK","Mismatch")))</f>
        <v>OK</v>
      </c>
      <c r="U391" s="5" t="str">
        <f>IF($A391="","",IF(COUNTIF($A$2:$A391,$A391)&gt;1,"Duplicate","Unique"))</f>
        <v>Unique</v>
      </c>
      <c r="V391" s="5">
        <f>IF($A391="","",IF(AND($U391="Unique",ISNUMBER($P391)),1,0))</f>
        <v>1</v>
      </c>
      <c r="W391" s="5" t="str">
        <f>IF($A391="","",IF(OR($H391=0,$H391=6),"Weekend","Weekday"))</f>
        <v>Weekday</v>
      </c>
      <c r="X391" s="5" t="str">
        <f>IF($A391="","",TEXT($B391,"ddd"))</f>
        <v>Mon</v>
      </c>
      <c r="Y391" s="5" t="str">
        <f>IF($A391="","",TEXT($B391,"mmm"))</f>
        <v>Jan</v>
      </c>
      <c r="Z391" s="5" t="str">
        <f>IF($A391="","",IFERROR(VLOOKUP($C391,Lookups!$D$4:$E$7,2,FALSE),"Unknown"))</f>
        <v>Winter</v>
      </c>
      <c r="AA391" s="5" t="str">
        <f>IF($A391="","",IFERROR(VLOOKUP($I391,Lookups!$A$4:$B$7,2,FALSE),"Unknown"))</f>
        <v>Clear</v>
      </c>
      <c r="AB391" s="5" t="str">
        <f>IF($A391="","",TEXT($F391,"00")&amp;":00")</f>
        <v>17:00</v>
      </c>
      <c r="AC391" s="5" t="str">
        <f>IF($A391="","",VLOOKUP($F391,Lookups!$G$4:$H$8,2,TRUE))</f>
        <v>Evening Peak (16-19)</v>
      </c>
      <c r="AD391" s="18">
        <f>IF($A391="","",IF($J391="","",ROUND($J391*41,1)))</f>
        <v>8.2</v>
      </c>
      <c r="AE391" s="18">
        <f>IF($A391="","",IF($R391="","",ROUND($R391*50,1)))</f>
        <v>9.9</v>
      </c>
      <c r="AF391" s="5">
        <f>IF($A391="","",IF($L391="","",ROUND($L391*100,0)))</f>
        <v>51</v>
      </c>
      <c r="AG391" s="18">
        <f>IF($A391="","",IF($M391="","",ROUND($M391*67,1)))</f>
        <v>13</v>
      </c>
      <c r="AH391" s="19">
        <f>IF($A391="","",IF($P391="","",IF($P391=0,0,$O391/$P391)))</f>
        <v>0.943661971830986</v>
      </c>
      <c r="AI391" s="5" t="str">
        <f>IF($A391="","",IF($P391="","",IF($P391&gt;=Lookups!$K$7,"High",IF($P391&lt;=Lookups!$K$8,"Low","Medium"))))</f>
        <v>Medium</v>
      </c>
      <c r="AJ391" s="5" t="str">
        <f>IF($A391="","",IF($AD391="","",IF($AD391&lt;5,"Under 5 C",IF($AD391&lt;10,"5-10 C",IF($AD391&lt;15,"10-15 C","15 C and above")))))</f>
        <v>5-10 C</v>
      </c>
      <c r="AK391" s="5">
        <f>IF($A391="","",IF($P391="","",$P391^2))</f>
        <v>5041</v>
      </c>
      <c r="AL391" s="18">
        <f>IF($V391&lt;&gt;1,"",AVERAGEIFS(Clean_Data!$P$2:$P$1001,Clean_Data!$F$2:$F$1001,$F391,Clean_Data!$W$2:$W$1001,$W391,Clean_Data!$V$2:$V$1001,1))</f>
        <v>165.566666666667</v>
      </c>
      <c r="AM391" s="16">
        <f>IF($V391&lt;&gt;1,"",IFERROR(($P391-$AL391)/SQRT(MAX(0,(SUMIFS(Clean_Data!$AK$2:$AK$1001,Clean_Data!$F$2:$F$1001,$F391,Clean_Data!$W$2:$W$1001,$W391,Clean_Data!$V$2:$V$1001,1)-COUNTIFS(Clean_Data!$F$2:$F$1001,$F391,Clean_Data!$W$2:$W$1001,$W391,Clean_Data!$V$2:$V$1001,1)*$AL391^2)/(COUNTIFS(Clean_Data!$F$2:$F$1001,$F391,Clean_Data!$W$2:$W$1001,$W391,Clean_Data!$V$2:$V$1001,1)-1))),""))</f>
        <v>-2.14860405587892</v>
      </c>
      <c r="AN391" s="5" t="str">
        <f>IF($AM391="","",IF($AM391&gt;=Lookups!$K$6,"High spike",IF($AM391&lt;=-Lookups!$K$6,"Unusual low","Normal")))</f>
        <v>Normal</v>
      </c>
      <c r="AO391" s="20">
        <f>IF($V391&lt;&gt;1,"",$P391+ROW()/100000)</f>
        <v>71.00391</v>
      </c>
      <c r="AP391" s="5">
        <f>IF($A391="","",IFERROR(MATCH($A391,Raw_D1!$A$2:$A$1001,0),""))</f>
        <v>390</v>
      </c>
      <c r="AQ391" s="5">
        <f>IF($A391="","",IFERROR(MATCH($A391,Raw_D2!$B$2:$B$1001,0),""))</f>
        <v>390</v>
      </c>
      <c r="AR391" s="5">
        <f>IF($A391="","",IFERROR(MATCH($A391,Raw_D3!$A$2:$A$1001,0),""))</f>
        <v/>
      </c>
    </row>
    <row r="392" spans="1:44" x14ac:dyDescent="0.25">
      <c r="A392" s="5">
        <v>391</v>
      </c>
      <c r="B392" s="11">
        <f>IF($A392="","",IF($AP392&lt;&gt;"",INDEX(Raw_D1!$B$2:$B$1001,$AP392),IF($AR392&lt;&gt;"",INDEX(Raw_D3!$B$2:$B$1001,$AR392),"")))</f>
        <v>40560.0</v>
      </c>
      <c r="C392" s="5">
        <f>IF($A392="","",IF($AP392&lt;&gt;"",INDEX(Raw_D1!$C$2:$C$1001,$AP392),IF($AR392&lt;&gt;"",INDEX(Raw_D3!$C$2:$C$1001,$AR392),"")))</f>
        <v>1</v>
      </c>
      <c r="D392" s="5">
        <f>IF($A392="","",IF($AP392&lt;&gt;"",INDEX(Raw_D1!$D$2:$D$1001,$AP392),IF($AR392&lt;&gt;"",INDEX(Raw_D3!$D$2:$D$1001,$AR392),"")))</f>
        <v>0</v>
      </c>
      <c r="E392" s="5">
        <f>IF($A392="","",IF($AP392&lt;&gt;"",INDEX(Raw_D1!$E$2:$E$1001,$AP392),IF($AR392&lt;&gt;"",INDEX(Raw_D3!$E$2:$E$1001,$AR392),"")))</f>
        <v>1</v>
      </c>
      <c r="F392" s="5">
        <f>IF($A392="","",IF($AP392&lt;&gt;"",INDEX(Raw_D1!$F$2:$F$1001,$AP392),IF($AR392&lt;&gt;"",INDEX(Raw_D3!$F$2:$F$1001,$AR392),"")))</f>
        <v>18</v>
      </c>
      <c r="G392" s="5">
        <f>IF($A392="","",IF($AP392&lt;&gt;"",IF(INDEX(Raw_D1!$G$2:$G$1001,$AP392),1,0),IF($AR392&lt;&gt;"",IF(INDEX(Raw_D3!$G$2:$G$1001,$AR392),1,0),"")))</f>
        <v>1</v>
      </c>
      <c r="H392" s="5">
        <f>IF($A392="","",IF($AP392&lt;&gt;"",INDEX(Raw_D1!$H$2:$H$1001,$AP392),IF($AR392&lt;&gt;"",INDEX(Raw_D3!$H$2:$H$1001,$AR392),"")))</f>
        <v>1</v>
      </c>
      <c r="I392" s="5">
        <f>IF($A392="","",IF($AP392&lt;&gt;"",INDEX(Raw_D1!$I$2:$I$1001,$AP392),IF($AR392&lt;&gt;"",INDEX(Raw_D3!$I$2:$I$1001,$AR392),"")))</f>
        <v>2</v>
      </c>
      <c r="J392" s="16">
        <f>IF($A392="","",IF($AP392&lt;&gt;"",INDEX(Raw_D1!$J$2:$J$1001,$AP392),IF($AR392&lt;&gt;"",INDEX(Raw_D3!$J$2:$J$1001,$AR392),"")))</f>
        <v>0.18</v>
      </c>
      <c r="K392" s="17">
        <f>IF($A392="","",IF($AQ392&lt;&gt;"",IF(INDEX(Raw_D2!$C$2:$C$1001,$AQ392)="","",INDEX(Raw_D2!$C$2:$C$1001,$AQ392)),IF($AR392&lt;&gt;"",IF(INDEX(Raw_D3!$K$2:$K$1001,$AR392)="","",INDEX(Raw_D3!$K$2:$K$1001,$AR392)),"")))</f>
        <v>0.1667</v>
      </c>
      <c r="L392" s="16">
        <f>IF($A392="","",IF($AQ392&lt;&gt;"",IF(INDEX(Raw_D2!$D$2:$D$1001,$AQ392)="","",INDEX(Raw_D2!$D$2:$D$1001,$AQ392)),IF($AR392&lt;&gt;"",IF(INDEX(Raw_D3!$L$2:$L$1001,$AR392)="","",INDEX(Raw_D3!$L$2:$L$1001,$AR392)),"")))</f>
        <v>0.55</v>
      </c>
      <c r="M392" s="17">
        <f>IF($A392="","",IF($AQ392&lt;&gt;"",IF(INDEX(Raw_D2!$E$2:$E$1001,$AQ392)="","",INDEX(Raw_D2!$E$2:$E$1001,$AQ392)),IF($AR392&lt;&gt;"",IF(INDEX(Raw_D3!$M$2:$M$1001,$AR392)="","",INDEX(Raw_D3!$M$2:$M$1001,$AR392)),"")))</f>
        <v>0.2537</v>
      </c>
      <c r="N392" s="5">
        <f>IF($A392="","",IF($AQ392&lt;&gt;"",IF(INDEX(Raw_D2!$F$2:$F$1001,$AQ392)="","",INDEX(Raw_D2!$F$2:$F$1001,$AQ392)),IF($AR392&lt;&gt;"",IF(INDEX(Raw_D3!$N$2:$N$1001,$AR392)="","",INDEX(Raw_D3!$N$2:$N$1001,$AR392)),"")))</f>
        <v>7</v>
      </c>
      <c r="O392" s="5">
        <f>IF($A392="","",IF($AQ392&lt;&gt;"",IF(INDEX(Raw_D2!$G$2:$G$1001,$AQ392)="","",INDEX(Raw_D2!$G$2:$G$1001,$AQ392)),IF($AR392&lt;&gt;"",IF(INDEX(Raw_D3!$O$2:$O$1001,$AR392)="","",INDEX(Raw_D3!$O$2:$O$1001,$AR392)),"")))</f>
        <v>85</v>
      </c>
      <c r="P392" s="5">
        <f>IF($A392="","",IF($AQ392&lt;&gt;"",IF(INDEX(Raw_D2!$H$2:$H$1001,$AQ392)="","",INDEX(Raw_D2!$H$2:$H$1001,$AQ392)),IF($AR392&lt;&gt;"",IF(INDEX(Raw_D3!$P$2:$P$1001,$AR392)="","",INDEX(Raw_D3!$P$2:$P$1001,$AR392)),"")))</f>
        <v>92</v>
      </c>
      <c r="Q392" s="5" t="str">
        <f>IF($A392="","",IF(AND($AP392&lt;&gt;"",$AQ392&lt;&gt;""),"D1+D2",IF($AR392&lt;&gt;"","D3","Incomplete")))</f>
        <v>D1+D2</v>
      </c>
      <c r="R392" s="17">
        <f>IF($A392="","",IF($K392="",IF($J392="","",ROUND(Lookups!$K$5+Lookups!$K$4*$J392,4)),$K392))</f>
        <v>0.1667</v>
      </c>
      <c r="S392" s="5" t="str">
        <f>IF($A392="","",IF($K392="","Imputed","Original"))</f>
        <v>Original</v>
      </c>
      <c r="T392" s="5" t="str">
        <f>IF($A392="","",IF($P392="","Missing",IF($P392=$N392+$O392,"OK","Mismatch")))</f>
        <v>OK</v>
      </c>
      <c r="U392" s="5" t="str">
        <f>IF($A392="","",IF(COUNTIF($A$2:$A392,$A392)&gt;1,"Duplicate","Unique"))</f>
        <v>Unique</v>
      </c>
      <c r="V392" s="5">
        <f>IF($A392="","",IF(AND($U392="Unique",ISNUMBER($P392)),1,0))</f>
        <v>1</v>
      </c>
      <c r="W392" s="5" t="str">
        <f>IF($A392="","",IF(OR($H392=0,$H392=6),"Weekend","Weekday"))</f>
        <v>Weekday</v>
      </c>
      <c r="X392" s="5" t="str">
        <f>IF($A392="","",TEXT($B392,"ddd"))</f>
        <v>Mon</v>
      </c>
      <c r="Y392" s="5" t="str">
        <f>IF($A392="","",TEXT($B392,"mmm"))</f>
        <v>Jan</v>
      </c>
      <c r="Z392" s="5" t="str">
        <f>IF($A392="","",IFERROR(VLOOKUP($C392,Lookups!$D$4:$E$7,2,FALSE),"Unknown"))</f>
        <v>Winter</v>
      </c>
      <c r="AA392" s="5" t="str">
        <f>IF($A392="","",IFERROR(VLOOKUP($I392,Lookups!$A$4:$B$7,2,FALSE),"Unknown"))</f>
        <v>Mist/Cloudy</v>
      </c>
      <c r="AB392" s="5" t="str">
        <f>IF($A392="","",TEXT($F392,"00")&amp;":00")</f>
        <v>18:00</v>
      </c>
      <c r="AC392" s="5" t="str">
        <f>IF($A392="","",VLOOKUP($F392,Lookups!$G$4:$H$8,2,TRUE))</f>
        <v>Evening Peak (16-19)</v>
      </c>
      <c r="AD392" s="18">
        <f>IF($A392="","",IF($J392="","",ROUND($J392*41,1)))</f>
        <v>7.4</v>
      </c>
      <c r="AE392" s="18">
        <f>IF($A392="","",IF($R392="","",ROUND($R392*50,1)))</f>
        <v>8.3</v>
      </c>
      <c r="AF392" s="5">
        <f>IF($A392="","",IF($L392="","",ROUND($L392*100,0)))</f>
        <v>55</v>
      </c>
      <c r="AG392" s="18">
        <f>IF($A392="","",IF($M392="","",ROUND($M392*67,1)))</f>
        <v>17</v>
      </c>
      <c r="AH392" s="19">
        <f>IF($A392="","",IF($P392="","",IF($P392=0,0,$O392/$P392)))</f>
        <v>0.923913043478261</v>
      </c>
      <c r="AI392" s="5" t="str">
        <f>IF($A392="","",IF($P392="","",IF($P392&gt;=Lookups!$K$7,"High",IF($P392&lt;=Lookups!$K$8,"Low","Medium"))))</f>
        <v>High</v>
      </c>
      <c r="AJ392" s="5" t="str">
        <f>IF($A392="","",IF($AD392="","",IF($AD392&lt;5,"Under 5 C",IF($AD392&lt;10,"5-10 C",IF($AD392&lt;15,"10-15 C","15 C and above")))))</f>
        <v>5-10 C</v>
      </c>
      <c r="AK392" s="5">
        <f>IF($A392="","",IF($P392="","",$P392^2))</f>
        <v>8464</v>
      </c>
      <c r="AL392" s="18">
        <f>IF($V392&lt;&gt;1,"",AVERAGEIFS(Clean_Data!$P$2:$P$1001,Clean_Data!$F$2:$F$1001,$F392,Clean_Data!$W$2:$W$1001,$W392,Clean_Data!$V$2:$V$1001,1))</f>
        <v>151.206896551724</v>
      </c>
      <c r="AM392" s="16">
        <f>IF($V392&lt;&gt;1,"",IFERROR(($P392-$AL392)/SQRT(MAX(0,(SUMIFS(Clean_Data!$AK$2:$AK$1001,Clean_Data!$F$2:$F$1001,$F392,Clean_Data!$W$2:$W$1001,$W392,Clean_Data!$V$2:$V$1001,1)-COUNTIFS(Clean_Data!$F$2:$F$1001,$F392,Clean_Data!$W$2:$W$1001,$W392,Clean_Data!$V$2:$V$1001,1)*$AL392^2)/(COUNTIFS(Clean_Data!$F$2:$F$1001,$F392,Clean_Data!$W$2:$W$1001,$W392,Clean_Data!$V$2:$V$1001,1)-1))),""))</f>
        <v>-2.01731555542812</v>
      </c>
      <c r="AN392" s="5" t="str">
        <f>IF($AM392="","",IF($AM392&gt;=Lookups!$K$6,"High spike",IF($AM392&lt;=-Lookups!$K$6,"Unusual low","Normal")))</f>
        <v>Normal</v>
      </c>
      <c r="AO392" s="20">
        <f>IF($V392&lt;&gt;1,"",$P392+ROW()/100000)</f>
        <v>92.00392</v>
      </c>
      <c r="AP392" s="5">
        <f>IF($A392="","",IFERROR(MATCH($A392,Raw_D1!$A$2:$A$1001,0),""))</f>
        <v>391</v>
      </c>
      <c r="AQ392" s="5">
        <f>IF($A392="","",IFERROR(MATCH($A392,Raw_D2!$B$2:$B$1001,0),""))</f>
        <v>391</v>
      </c>
      <c r="AR392" s="5">
        <f>IF($A392="","",IFERROR(MATCH($A392,Raw_D3!$A$2:$A$1001,0),""))</f>
        <v/>
      </c>
    </row>
    <row r="393" spans="1:44" x14ac:dyDescent="0.25">
      <c r="A393" s="5">
        <v>392</v>
      </c>
      <c r="B393" s="11">
        <f>IF($A393="","",IF($AP393&lt;&gt;"",INDEX(Raw_D1!$B$2:$B$1001,$AP393),IF($AR393&lt;&gt;"",INDEX(Raw_D3!$B$2:$B$1001,$AR393),"")))</f>
        <v>40560.0</v>
      </c>
      <c r="C393" s="5">
        <f>IF($A393="","",IF($AP393&lt;&gt;"",INDEX(Raw_D1!$C$2:$C$1001,$AP393),IF($AR393&lt;&gt;"",INDEX(Raw_D3!$C$2:$C$1001,$AR393),"")))</f>
        <v>1</v>
      </c>
      <c r="D393" s="5">
        <f>IF($A393="","",IF($AP393&lt;&gt;"",INDEX(Raw_D1!$D$2:$D$1001,$AP393),IF($AR393&lt;&gt;"",INDEX(Raw_D3!$D$2:$D$1001,$AR393),"")))</f>
        <v>0</v>
      </c>
      <c r="E393" s="5">
        <f>IF($A393="","",IF($AP393&lt;&gt;"",INDEX(Raw_D1!$E$2:$E$1001,$AP393),IF($AR393&lt;&gt;"",INDEX(Raw_D3!$E$2:$E$1001,$AR393),"")))</f>
        <v>1</v>
      </c>
      <c r="F393" s="5">
        <f>IF($A393="","",IF($AP393&lt;&gt;"",INDEX(Raw_D1!$F$2:$F$1001,$AP393),IF($AR393&lt;&gt;"",INDEX(Raw_D3!$F$2:$F$1001,$AR393),"")))</f>
        <v>19</v>
      </c>
      <c r="G393" s="5">
        <f>IF($A393="","",IF($AP393&lt;&gt;"",IF(INDEX(Raw_D1!$G$2:$G$1001,$AP393),1,0),IF($AR393&lt;&gt;"",IF(INDEX(Raw_D3!$G$2:$G$1001,$AR393),1,0),"")))</f>
        <v>1</v>
      </c>
      <c r="H393" s="5">
        <f>IF($A393="","",IF($AP393&lt;&gt;"",INDEX(Raw_D1!$H$2:$H$1001,$AP393),IF($AR393&lt;&gt;"",INDEX(Raw_D3!$H$2:$H$1001,$AR393),"")))</f>
        <v>1</v>
      </c>
      <c r="I393" s="5">
        <f>IF($A393="","",IF($AP393&lt;&gt;"",INDEX(Raw_D1!$I$2:$I$1001,$AP393),IF($AR393&lt;&gt;"",INDEX(Raw_D3!$I$2:$I$1001,$AR393),"")))</f>
        <v>3</v>
      </c>
      <c r="J393" s="16">
        <f>IF($A393="","",IF($AP393&lt;&gt;"",INDEX(Raw_D1!$J$2:$J$1001,$AP393),IF($AR393&lt;&gt;"",INDEX(Raw_D3!$J$2:$J$1001,$AR393),"")))</f>
        <v>0.18</v>
      </c>
      <c r="K393" s="17">
        <f>IF($A393="","",IF($AQ393&lt;&gt;"",IF(INDEX(Raw_D2!$C$2:$C$1001,$AQ393)="","",INDEX(Raw_D2!$C$2:$C$1001,$AQ393)),IF($AR393&lt;&gt;"",IF(INDEX(Raw_D3!$K$2:$K$1001,$AR393)="","",INDEX(Raw_D3!$K$2:$K$1001,$AR393)),"")))</f>
        <v>0.1818</v>
      </c>
      <c r="L393" s="16">
        <f>IF($A393="","",IF($AQ393&lt;&gt;"",IF(INDEX(Raw_D2!$D$2:$D$1001,$AQ393)="","",INDEX(Raw_D2!$D$2:$D$1001,$AQ393)),IF($AR393&lt;&gt;"",IF(INDEX(Raw_D3!$L$2:$L$1001,$AR393)="","",INDEX(Raw_D3!$L$2:$L$1001,$AR393)),"")))</f>
        <v>0.59</v>
      </c>
      <c r="M393" s="17">
        <f>IF($A393="","",IF($AQ393&lt;&gt;"",IF(INDEX(Raw_D2!$E$2:$E$1001,$AQ393)="","",INDEX(Raw_D2!$E$2:$E$1001,$AQ393)),IF($AR393&lt;&gt;"",IF(INDEX(Raw_D3!$M$2:$M$1001,$AR393)="","",INDEX(Raw_D3!$M$2:$M$1001,$AR393)),"")))</f>
        <v>0.194</v>
      </c>
      <c r="N393" s="5">
        <f>IF($A393="","",IF($AQ393&lt;&gt;"",IF(INDEX(Raw_D2!$F$2:$F$1001,$AQ393)="","",INDEX(Raw_D2!$F$2:$F$1001,$AQ393)),IF($AR393&lt;&gt;"",IF(INDEX(Raw_D3!$N$2:$N$1001,$AR393)="","",INDEX(Raw_D3!$N$2:$N$1001,$AR393)),"")))</f>
        <v>2</v>
      </c>
      <c r="O393" s="5">
        <f>IF($A393="","",IF($AQ393&lt;&gt;"",IF(INDEX(Raw_D2!$G$2:$G$1001,$AQ393)="","",INDEX(Raw_D2!$G$2:$G$1001,$AQ393)),IF($AR393&lt;&gt;"",IF(INDEX(Raw_D3!$O$2:$O$1001,$AR393)="","",INDEX(Raw_D3!$O$2:$O$1001,$AR393)),"")))</f>
        <v>58</v>
      </c>
      <c r="P393" s="5">
        <f>IF($A393="","",IF($AQ393&lt;&gt;"",IF(INDEX(Raw_D2!$H$2:$H$1001,$AQ393)="","",INDEX(Raw_D2!$H$2:$H$1001,$AQ393)),IF($AR393&lt;&gt;"",IF(INDEX(Raw_D3!$P$2:$P$1001,$AR393)="","",INDEX(Raw_D3!$P$2:$P$1001,$AR393)),"")))</f>
        <v>60</v>
      </c>
      <c r="Q393" s="5" t="str">
        <f>IF($A393="","",IF(AND($AP393&lt;&gt;"",$AQ393&lt;&gt;""),"D1+D2",IF($AR393&lt;&gt;"","D3","Incomplete")))</f>
        <v>D1+D2</v>
      </c>
      <c r="R393" s="17">
        <f>IF($A393="","",IF($K393="",IF($J393="","",ROUND(Lookups!$K$5+Lookups!$K$4*$J393,4)),$K393))</f>
        <v>0.1818</v>
      </c>
      <c r="S393" s="5" t="str">
        <f>IF($A393="","",IF($K393="","Imputed","Original"))</f>
        <v>Original</v>
      </c>
      <c r="T393" s="5" t="str">
        <f>IF($A393="","",IF($P393="","Missing",IF($P393=$N393+$O393,"OK","Mismatch")))</f>
        <v>OK</v>
      </c>
      <c r="U393" s="5" t="str">
        <f>IF($A393="","",IF(COUNTIF($A$2:$A393,$A393)&gt;1,"Duplicate","Unique"))</f>
        <v>Unique</v>
      </c>
      <c r="V393" s="5">
        <f>IF($A393="","",IF(AND($U393="Unique",ISNUMBER($P393)),1,0))</f>
        <v>1</v>
      </c>
      <c r="W393" s="5" t="str">
        <f>IF($A393="","",IF(OR($H393=0,$H393=6),"Weekend","Weekday"))</f>
        <v>Weekday</v>
      </c>
      <c r="X393" s="5" t="str">
        <f>IF($A393="","",TEXT($B393,"ddd"))</f>
        <v>Mon</v>
      </c>
      <c r="Y393" s="5" t="str">
        <f>IF($A393="","",TEXT($B393,"mmm"))</f>
        <v>Jan</v>
      </c>
      <c r="Z393" s="5" t="str">
        <f>IF($A393="","",IFERROR(VLOOKUP($C393,Lookups!$D$4:$E$7,2,FALSE),"Unknown"))</f>
        <v>Winter</v>
      </c>
      <c r="AA393" s="5" t="str">
        <f>IF($A393="","",IFERROR(VLOOKUP($I393,Lookups!$A$4:$B$7,2,FALSE),"Unknown"))</f>
        <v>Light Rain/Snow</v>
      </c>
      <c r="AB393" s="5" t="str">
        <f>IF($A393="","",TEXT($F393,"00")&amp;":00")</f>
        <v>19:00</v>
      </c>
      <c r="AC393" s="5" t="str">
        <f>IF($A393="","",VLOOKUP($F393,Lookups!$G$4:$H$8,2,TRUE))</f>
        <v>Evening Peak (16-19)</v>
      </c>
      <c r="AD393" s="18">
        <f>IF($A393="","",IF($J393="","",ROUND($J393*41,1)))</f>
        <v>7.4</v>
      </c>
      <c r="AE393" s="18">
        <f>IF($A393="","",IF($R393="","",ROUND($R393*50,1)))</f>
        <v>9.1</v>
      </c>
      <c r="AF393" s="5">
        <f>IF($A393="","",IF($L393="","",ROUND($L393*100,0)))</f>
        <v>59</v>
      </c>
      <c r="AG393" s="18">
        <f>IF($A393="","",IF($M393="","",ROUND($M393*67,1)))</f>
        <v>13</v>
      </c>
      <c r="AH393" s="19">
        <f>IF($A393="","",IF($P393="","",IF($P393=0,0,$O393/$P393)))</f>
        <v>0.966666666666667</v>
      </c>
      <c r="AI393" s="5" t="str">
        <f>IF($A393="","",IF($P393="","",IF($P393&gt;=Lookups!$K$7,"High",IF($P393&lt;=Lookups!$K$8,"Low","Medium"))))</f>
        <v>Medium</v>
      </c>
      <c r="AJ393" s="5" t="str">
        <f>IF($A393="","",IF($AD393="","",IF($AD393&lt;5,"Under 5 C",IF($AD393&lt;10,"5-10 C",IF($AD393&lt;15,"10-15 C","15 C and above")))))</f>
        <v>5-10 C</v>
      </c>
      <c r="AK393" s="5">
        <f>IF($A393="","",IF($P393="","",$P393^2))</f>
        <v>3600</v>
      </c>
      <c r="AL393" s="18">
        <f>IF($V393&lt;&gt;1,"",AVERAGEIFS(Clean_Data!$P$2:$P$1001,Clean_Data!$F$2:$F$1001,$F393,Clean_Data!$W$2:$W$1001,$W393,Clean_Data!$V$2:$V$1001,1))</f>
        <v>102.034482758621</v>
      </c>
      <c r="AM393" s="16">
        <f>IF($V393&lt;&gt;1,"",IFERROR(($P393-$AL393)/SQRT(MAX(0,(SUMIFS(Clean_Data!$AK$2:$AK$1001,Clean_Data!$F$2:$F$1001,$F393,Clean_Data!$W$2:$W$1001,$W393,Clean_Data!$V$2:$V$1001,1)-COUNTIFS(Clean_Data!$F$2:$F$1001,$F393,Clean_Data!$W$2:$W$1001,$W393,Clean_Data!$V$2:$V$1001,1)*$AL393^2)/(COUNTIFS(Clean_Data!$F$2:$F$1001,$F393,Clean_Data!$W$2:$W$1001,$W393,Clean_Data!$V$2:$V$1001,1)-1))),""))</f>
        <v>-1.97831115608028</v>
      </c>
      <c r="AN393" s="5" t="str">
        <f>IF($AM393="","",IF($AM393&gt;=Lookups!$K$6,"High spike",IF($AM393&lt;=-Lookups!$K$6,"Unusual low","Normal")))</f>
        <v>Normal</v>
      </c>
      <c r="AO393" s="20">
        <f>IF($V393&lt;&gt;1,"",$P393+ROW()/100000)</f>
        <v>60.00393</v>
      </c>
      <c r="AP393" s="5">
        <f>IF($A393="","",IFERROR(MATCH($A393,Raw_D1!$A$2:$A$1001,0),""))</f>
        <v>392</v>
      </c>
      <c r="AQ393" s="5">
        <f>IF($A393="","",IFERROR(MATCH($A393,Raw_D2!$B$2:$B$1001,0),""))</f>
        <v>392</v>
      </c>
      <c r="AR393" s="5">
        <f>IF($A393="","",IFERROR(MATCH($A393,Raw_D3!$A$2:$A$1001,0),""))</f>
        <v/>
      </c>
    </row>
    <row r="394" spans="1:44" x14ac:dyDescent="0.25">
      <c r="A394" s="5">
        <v>393</v>
      </c>
      <c r="B394" s="11">
        <f>IF($A394="","",IF($AP394&lt;&gt;"",INDEX(Raw_D1!$B$2:$B$1001,$AP394),IF($AR394&lt;&gt;"",INDEX(Raw_D3!$B$2:$B$1001,$AR394),"")))</f>
        <v>40560.0</v>
      </c>
      <c r="C394" s="5">
        <f>IF($A394="","",IF($AP394&lt;&gt;"",INDEX(Raw_D1!$C$2:$C$1001,$AP394),IF($AR394&lt;&gt;"",INDEX(Raw_D3!$C$2:$C$1001,$AR394),"")))</f>
        <v>1</v>
      </c>
      <c r="D394" s="5">
        <f>IF($A394="","",IF($AP394&lt;&gt;"",INDEX(Raw_D1!$D$2:$D$1001,$AP394),IF($AR394&lt;&gt;"",INDEX(Raw_D3!$D$2:$D$1001,$AR394),"")))</f>
        <v>0</v>
      </c>
      <c r="E394" s="5">
        <f>IF($A394="","",IF($AP394&lt;&gt;"",INDEX(Raw_D1!$E$2:$E$1001,$AP394),IF($AR394&lt;&gt;"",INDEX(Raw_D3!$E$2:$E$1001,$AR394),"")))</f>
        <v>1</v>
      </c>
      <c r="F394" s="5">
        <f>IF($A394="","",IF($AP394&lt;&gt;"",INDEX(Raw_D1!$F$2:$F$1001,$AP394),IF($AR394&lt;&gt;"",INDEX(Raw_D3!$F$2:$F$1001,$AR394),"")))</f>
        <v>20</v>
      </c>
      <c r="G394" s="5">
        <f>IF($A394="","",IF($AP394&lt;&gt;"",IF(INDEX(Raw_D1!$G$2:$G$1001,$AP394),1,0),IF($AR394&lt;&gt;"",IF(INDEX(Raw_D3!$G$2:$G$1001,$AR394),1,0),"")))</f>
        <v>1</v>
      </c>
      <c r="H394" s="5">
        <f>IF($A394="","",IF($AP394&lt;&gt;"",INDEX(Raw_D1!$H$2:$H$1001,$AP394),IF($AR394&lt;&gt;"",INDEX(Raw_D3!$H$2:$H$1001,$AR394),"")))</f>
        <v>1</v>
      </c>
      <c r="I394" s="5">
        <f>IF($A394="","",IF($AP394&lt;&gt;"",INDEX(Raw_D1!$I$2:$I$1001,$AP394),IF($AR394&lt;&gt;"",INDEX(Raw_D3!$I$2:$I$1001,$AR394),"")))</f>
        <v>3</v>
      </c>
      <c r="J394" s="16">
        <f>IF($A394="","",IF($AP394&lt;&gt;"",INDEX(Raw_D1!$J$2:$J$1001,$AP394),IF($AR394&lt;&gt;"",INDEX(Raw_D3!$J$2:$J$1001,$AR394),"")))</f>
        <v>0.16</v>
      </c>
      <c r="K394" s="17">
        <f>IF($A394="","",IF($AQ394&lt;&gt;"",IF(INDEX(Raw_D2!$C$2:$C$1001,$AQ394)="","",INDEX(Raw_D2!$C$2:$C$1001,$AQ394)),IF($AR394&lt;&gt;"",IF(INDEX(Raw_D3!$K$2:$K$1001,$AR394)="","",INDEX(Raw_D3!$K$2:$K$1001,$AR394)),"")))</f>
        <v>0.1515</v>
      </c>
      <c r="L394" s="16">
        <f>IF($A394="","",IF($AQ394&lt;&gt;"",IF(INDEX(Raw_D2!$D$2:$D$1001,$AQ394)="","",INDEX(Raw_D2!$D$2:$D$1001,$AQ394)),IF($AR394&lt;&gt;"",IF(INDEX(Raw_D3!$L$2:$L$1001,$AR394)="","",INDEX(Raw_D3!$L$2:$L$1001,$AR394)),"")))</f>
        <v>0.8</v>
      </c>
      <c r="M394" s="17">
        <f>IF($A394="","",IF($AQ394&lt;&gt;"",IF(INDEX(Raw_D2!$E$2:$E$1001,$AQ394)="","",INDEX(Raw_D2!$E$2:$E$1001,$AQ394)),IF($AR394&lt;&gt;"",IF(INDEX(Raw_D3!$M$2:$M$1001,$AR394)="","",INDEX(Raw_D3!$M$2:$M$1001,$AR394)),"")))</f>
        <v>0.194</v>
      </c>
      <c r="N394" s="5">
        <f>IF($A394="","",IF($AQ394&lt;&gt;"",IF(INDEX(Raw_D2!$F$2:$F$1001,$AQ394)="","",INDEX(Raw_D2!$F$2:$F$1001,$AQ394)),IF($AR394&lt;&gt;"",IF(INDEX(Raw_D3!$N$2:$N$1001,$AR394)="","",INDEX(Raw_D3!$N$2:$N$1001,$AR394)),"")))</f>
        <v>4</v>
      </c>
      <c r="O394" s="5">
        <f>IF($A394="","",IF($AQ394&lt;&gt;"",IF(INDEX(Raw_D2!$G$2:$G$1001,$AQ394)="","",INDEX(Raw_D2!$G$2:$G$1001,$AQ394)),IF($AR394&lt;&gt;"",IF(INDEX(Raw_D3!$O$2:$O$1001,$AR394)="","",INDEX(Raw_D3!$O$2:$O$1001,$AR394)),"")))</f>
        <v>29</v>
      </c>
      <c r="P394" s="5">
        <f>IF($A394="","",IF($AQ394&lt;&gt;"",IF(INDEX(Raw_D2!$H$2:$H$1001,$AQ394)="","",INDEX(Raw_D2!$H$2:$H$1001,$AQ394)),IF($AR394&lt;&gt;"",IF(INDEX(Raw_D3!$P$2:$P$1001,$AR394)="","",INDEX(Raw_D3!$P$2:$P$1001,$AR394)),"")))</f>
        <v>33</v>
      </c>
      <c r="Q394" s="5" t="str">
        <f>IF($A394="","",IF(AND($AP394&lt;&gt;"",$AQ394&lt;&gt;""),"D1+D2",IF($AR394&lt;&gt;"","D3","Incomplete")))</f>
        <v>D1+D2</v>
      </c>
      <c r="R394" s="17">
        <f>IF($A394="","",IF($K394="",IF($J394="","",ROUND(Lookups!$K$5+Lookups!$K$4*$J394,4)),$K394))</f>
        <v>0.1515</v>
      </c>
      <c r="S394" s="5" t="str">
        <f>IF($A394="","",IF($K394="","Imputed","Original"))</f>
        <v>Original</v>
      </c>
      <c r="T394" s="5" t="str">
        <f>IF($A394="","",IF($P394="","Missing",IF($P394=$N394+$O394,"OK","Mismatch")))</f>
        <v>OK</v>
      </c>
      <c r="U394" s="5" t="str">
        <f>IF($A394="","",IF(COUNTIF($A$2:$A394,$A394)&gt;1,"Duplicate","Unique"))</f>
        <v>Unique</v>
      </c>
      <c r="V394" s="5">
        <f>IF($A394="","",IF(AND($U394="Unique",ISNUMBER($P394)),1,0))</f>
        <v>1</v>
      </c>
      <c r="W394" s="5" t="str">
        <f>IF($A394="","",IF(OR($H394=0,$H394=6),"Weekend","Weekday"))</f>
        <v>Weekday</v>
      </c>
      <c r="X394" s="5" t="str">
        <f>IF($A394="","",TEXT($B394,"ddd"))</f>
        <v>Mon</v>
      </c>
      <c r="Y394" s="5" t="str">
        <f>IF($A394="","",TEXT($B394,"mmm"))</f>
        <v>Jan</v>
      </c>
      <c r="Z394" s="5" t="str">
        <f>IF($A394="","",IFERROR(VLOOKUP($C394,Lookups!$D$4:$E$7,2,FALSE),"Unknown"))</f>
        <v>Winter</v>
      </c>
      <c r="AA394" s="5" t="str">
        <f>IF($A394="","",IFERROR(VLOOKUP($I394,Lookups!$A$4:$B$7,2,FALSE),"Unknown"))</f>
        <v>Light Rain/Snow</v>
      </c>
      <c r="AB394" s="5" t="str">
        <f>IF($A394="","",TEXT($F394,"00")&amp;":00")</f>
        <v>20:00</v>
      </c>
      <c r="AC394" s="5" t="str">
        <f>IF($A394="","",VLOOKUP($F394,Lookups!$G$4:$H$8,2,TRUE))</f>
        <v>Late Evening (20-23)</v>
      </c>
      <c r="AD394" s="18">
        <f>IF($A394="","",IF($J394="","",ROUND($J394*41,1)))</f>
        <v>6.6</v>
      </c>
      <c r="AE394" s="18">
        <f>IF($A394="","",IF($R394="","",ROUND($R394*50,1)))</f>
        <v>7.6</v>
      </c>
      <c r="AF394" s="5">
        <f>IF($A394="","",IF($L394="","",ROUND($L394*100,0)))</f>
        <v>80</v>
      </c>
      <c r="AG394" s="18">
        <f>IF($A394="","",IF($M394="","",ROUND($M394*67,1)))</f>
        <v>13</v>
      </c>
      <c r="AH394" s="19">
        <f>IF($A394="","",IF($P394="","",IF($P394=0,0,$O394/$P394)))</f>
        <v>0.878787878787879</v>
      </c>
      <c r="AI394" s="5" t="str">
        <f>IF($A394="","",IF($P394="","",IF($P394&gt;=Lookups!$K$7,"High",IF($P394&lt;=Lookups!$K$8,"Low","Medium"))))</f>
        <v>Medium</v>
      </c>
      <c r="AJ394" s="5" t="str">
        <f>IF($A394="","",IF($AD394="","",IF($AD394&lt;5,"Under 5 C",IF($AD394&lt;10,"5-10 C",IF($AD394&lt;15,"10-15 C","15 C and above")))))</f>
        <v>5-10 C</v>
      </c>
      <c r="AK394" s="5">
        <f>IF($A394="","",IF($P394="","",$P394^2))</f>
        <v>1089</v>
      </c>
      <c r="AL394" s="18">
        <f>IF($V394&lt;&gt;1,"",AVERAGEIFS(Clean_Data!$P$2:$P$1001,Clean_Data!$F$2:$F$1001,$F394,Clean_Data!$W$2:$W$1001,$W394,Clean_Data!$V$2:$V$1001,1))</f>
        <v>72.2758620689655</v>
      </c>
      <c r="AM394" s="16">
        <f>IF($V394&lt;&gt;1,"",IFERROR(($P394-$AL394)/SQRT(MAX(0,(SUMIFS(Clean_Data!$AK$2:$AK$1001,Clean_Data!$F$2:$F$1001,$F394,Clean_Data!$W$2:$W$1001,$W394,Clean_Data!$V$2:$V$1001,1)-COUNTIFS(Clean_Data!$F$2:$F$1001,$F394,Clean_Data!$W$2:$W$1001,$W394,Clean_Data!$V$2:$V$1001,1)*$AL394^2)/(COUNTIFS(Clean_Data!$F$2:$F$1001,$F394,Clean_Data!$W$2:$W$1001,$W394,Clean_Data!$V$2:$V$1001,1)-1))),""))</f>
        <v>-1.7771679846818</v>
      </c>
      <c r="AN394" s="5" t="str">
        <f>IF($AM394="","",IF($AM394&gt;=Lookups!$K$6,"High spike",IF($AM394&lt;=-Lookups!$K$6,"Unusual low","Normal")))</f>
        <v>Normal</v>
      </c>
      <c r="AO394" s="20">
        <f>IF($V394&lt;&gt;1,"",$P394+ROW()/100000)</f>
        <v>33.00394</v>
      </c>
      <c r="AP394" s="5">
        <f>IF($A394="","",IFERROR(MATCH($A394,Raw_D1!$A$2:$A$1001,0),""))</f>
        <v>393</v>
      </c>
      <c r="AQ394" s="5">
        <f>IF($A394="","",IFERROR(MATCH($A394,Raw_D2!$B$2:$B$1001,0),""))</f>
        <v>393</v>
      </c>
      <c r="AR394" s="5">
        <f>IF($A394="","",IFERROR(MATCH($A394,Raw_D3!$A$2:$A$1001,0),""))</f>
        <v/>
      </c>
    </row>
    <row r="395" spans="1:44" x14ac:dyDescent="0.25">
      <c r="A395" s="5">
        <v>394</v>
      </c>
      <c r="B395" s="11">
        <f>IF($A395="","",IF($AP395&lt;&gt;"",INDEX(Raw_D1!$B$2:$B$1001,$AP395),IF($AR395&lt;&gt;"",INDEX(Raw_D3!$B$2:$B$1001,$AR395),"")))</f>
        <v>40560.0</v>
      </c>
      <c r="C395" s="5">
        <f>IF($A395="","",IF($AP395&lt;&gt;"",INDEX(Raw_D1!$C$2:$C$1001,$AP395),IF($AR395&lt;&gt;"",INDEX(Raw_D3!$C$2:$C$1001,$AR395),"")))</f>
        <v>1</v>
      </c>
      <c r="D395" s="5">
        <f>IF($A395="","",IF($AP395&lt;&gt;"",INDEX(Raw_D1!$D$2:$D$1001,$AP395),IF($AR395&lt;&gt;"",INDEX(Raw_D3!$D$2:$D$1001,$AR395),"")))</f>
        <v>0</v>
      </c>
      <c r="E395" s="5">
        <f>IF($A395="","",IF($AP395&lt;&gt;"",INDEX(Raw_D1!$E$2:$E$1001,$AP395),IF($AR395&lt;&gt;"",INDEX(Raw_D3!$E$2:$E$1001,$AR395),"")))</f>
        <v>1</v>
      </c>
      <c r="F395" s="5">
        <f>IF($A395="","",IF($AP395&lt;&gt;"",INDEX(Raw_D1!$F$2:$F$1001,$AP395),IF($AR395&lt;&gt;"",INDEX(Raw_D3!$F$2:$F$1001,$AR395),"")))</f>
        <v>21</v>
      </c>
      <c r="G395" s="5">
        <f>IF($A395="","",IF($AP395&lt;&gt;"",IF(INDEX(Raw_D1!$G$2:$G$1001,$AP395),1,0),IF($AR395&lt;&gt;"",IF(INDEX(Raw_D3!$G$2:$G$1001,$AR395),1,0),"")))</f>
        <v>1</v>
      </c>
      <c r="H395" s="5">
        <f>IF($A395="","",IF($AP395&lt;&gt;"",INDEX(Raw_D1!$H$2:$H$1001,$AP395),IF($AR395&lt;&gt;"",INDEX(Raw_D3!$H$2:$H$1001,$AR395),"")))</f>
        <v>1</v>
      </c>
      <c r="I395" s="5">
        <f>IF($A395="","",IF($AP395&lt;&gt;"",INDEX(Raw_D1!$I$2:$I$1001,$AP395),IF($AR395&lt;&gt;"",INDEX(Raw_D3!$I$2:$I$1001,$AR395),"")))</f>
        <v>3</v>
      </c>
      <c r="J395" s="16">
        <f>IF($A395="","",IF($AP395&lt;&gt;"",INDEX(Raw_D1!$J$2:$J$1001,$AP395),IF($AR395&lt;&gt;"",INDEX(Raw_D3!$J$2:$J$1001,$AR395),"")))</f>
        <v>0.16</v>
      </c>
      <c r="K395" s="17">
        <f>IF($A395="","",IF($AQ395&lt;&gt;"",IF(INDEX(Raw_D2!$C$2:$C$1001,$AQ395)="","",INDEX(Raw_D2!$C$2:$C$1001,$AQ395)),IF($AR395&lt;&gt;"",IF(INDEX(Raw_D3!$K$2:$K$1001,$AR395)="","",INDEX(Raw_D3!$K$2:$K$1001,$AR395)),"")))</f>
        <v>0.1515</v>
      </c>
      <c r="L395" s="16">
        <f>IF($A395="","",IF($AQ395&lt;&gt;"",IF(INDEX(Raw_D2!$D$2:$D$1001,$AQ395)="","",INDEX(Raw_D2!$D$2:$D$1001,$AQ395)),IF($AR395&lt;&gt;"",IF(INDEX(Raw_D3!$L$2:$L$1001,$AR395)="","",INDEX(Raw_D3!$L$2:$L$1001,$AR395)),"")))</f>
        <v>0.8</v>
      </c>
      <c r="M395" s="17">
        <f>IF($A395="","",IF($AQ395&lt;&gt;"",IF(INDEX(Raw_D2!$E$2:$E$1001,$AQ395)="","",INDEX(Raw_D2!$E$2:$E$1001,$AQ395)),IF($AR395&lt;&gt;"",IF(INDEX(Raw_D3!$M$2:$M$1001,$AR395)="","",INDEX(Raw_D3!$M$2:$M$1001,$AR395)),"")))</f>
        <v>0.194</v>
      </c>
      <c r="N395" s="5">
        <f>IF($A395="","",IF($AQ395&lt;&gt;"",IF(INDEX(Raw_D2!$F$2:$F$1001,$AQ395)="","",INDEX(Raw_D2!$F$2:$F$1001,$AQ395)),IF($AR395&lt;&gt;"",IF(INDEX(Raw_D3!$N$2:$N$1001,$AR395)="","",INDEX(Raw_D3!$N$2:$N$1001,$AR395)),"")))</f>
        <v>3</v>
      </c>
      <c r="O395" s="5">
        <f>IF($A395="","",IF($AQ395&lt;&gt;"",IF(INDEX(Raw_D2!$G$2:$G$1001,$AQ395)="","",INDEX(Raw_D2!$G$2:$G$1001,$AQ395)),IF($AR395&lt;&gt;"",IF(INDEX(Raw_D3!$O$2:$O$1001,$AR395)="","",INDEX(Raw_D3!$O$2:$O$1001,$AR395)),"")))</f>
        <v>24</v>
      </c>
      <c r="P395" s="5">
        <f>IF($A395="","",IF($AQ395&lt;&gt;"",IF(INDEX(Raw_D2!$H$2:$H$1001,$AQ395)="","",INDEX(Raw_D2!$H$2:$H$1001,$AQ395)),IF($AR395&lt;&gt;"",IF(INDEX(Raw_D3!$P$2:$P$1001,$AR395)="","",INDEX(Raw_D3!$P$2:$P$1001,$AR395)),"")))</f>
        <v>27</v>
      </c>
      <c r="Q395" s="5" t="str">
        <f>IF($A395="","",IF(AND($AP395&lt;&gt;"",$AQ395&lt;&gt;""),"D1+D2",IF($AR395&lt;&gt;"","D3","Incomplete")))</f>
        <v>D1+D2</v>
      </c>
      <c r="R395" s="17">
        <f>IF($A395="","",IF($K395="",IF($J395="","",ROUND(Lookups!$K$5+Lookups!$K$4*$J395,4)),$K395))</f>
        <v>0.1515</v>
      </c>
      <c r="S395" s="5" t="str">
        <f>IF($A395="","",IF($K395="","Imputed","Original"))</f>
        <v>Original</v>
      </c>
      <c r="T395" s="5" t="str">
        <f>IF($A395="","",IF($P395="","Missing",IF($P395=$N395+$O395,"OK","Mismatch")))</f>
        <v>OK</v>
      </c>
      <c r="U395" s="5" t="str">
        <f>IF($A395="","",IF(COUNTIF($A$2:$A395,$A395)&gt;1,"Duplicate","Unique"))</f>
        <v>Unique</v>
      </c>
      <c r="V395" s="5">
        <f>IF($A395="","",IF(AND($U395="Unique",ISNUMBER($P395)),1,0))</f>
        <v>1</v>
      </c>
      <c r="W395" s="5" t="str">
        <f>IF($A395="","",IF(OR($H395=0,$H395=6),"Weekend","Weekday"))</f>
        <v>Weekday</v>
      </c>
      <c r="X395" s="5" t="str">
        <f>IF($A395="","",TEXT($B395,"ddd"))</f>
        <v>Mon</v>
      </c>
      <c r="Y395" s="5" t="str">
        <f>IF($A395="","",TEXT($B395,"mmm"))</f>
        <v>Jan</v>
      </c>
      <c r="Z395" s="5" t="str">
        <f>IF($A395="","",IFERROR(VLOOKUP($C395,Lookups!$D$4:$E$7,2,FALSE),"Unknown"))</f>
        <v>Winter</v>
      </c>
      <c r="AA395" s="5" t="str">
        <f>IF($A395="","",IFERROR(VLOOKUP($I395,Lookups!$A$4:$B$7,2,FALSE),"Unknown"))</f>
        <v>Light Rain/Snow</v>
      </c>
      <c r="AB395" s="5" t="str">
        <f>IF($A395="","",TEXT($F395,"00")&amp;":00")</f>
        <v>21:00</v>
      </c>
      <c r="AC395" s="5" t="str">
        <f>IF($A395="","",VLOOKUP($F395,Lookups!$G$4:$H$8,2,TRUE))</f>
        <v>Late Evening (20-23)</v>
      </c>
      <c r="AD395" s="18">
        <f>IF($A395="","",IF($J395="","",ROUND($J395*41,1)))</f>
        <v>6.6</v>
      </c>
      <c r="AE395" s="18">
        <f>IF($A395="","",IF($R395="","",ROUND($R395*50,1)))</f>
        <v>7.6</v>
      </c>
      <c r="AF395" s="5">
        <f>IF($A395="","",IF($L395="","",ROUND($L395*100,0)))</f>
        <v>80</v>
      </c>
      <c r="AG395" s="18">
        <f>IF($A395="","",IF($M395="","",ROUND($M395*67,1)))</f>
        <v>13</v>
      </c>
      <c r="AH395" s="19">
        <f>IF($A395="","",IF($P395="","",IF($P395=0,0,$O395/$P395)))</f>
        <v>0.888888888888889</v>
      </c>
      <c r="AI395" s="5" t="str">
        <f>IF($A395="","",IF($P395="","",IF($P395&gt;=Lookups!$K$7,"High",IF($P395&lt;=Lookups!$K$8,"Low","Medium"))))</f>
        <v>Medium</v>
      </c>
      <c r="AJ395" s="5" t="str">
        <f>IF($A395="","",IF($AD395="","",IF($AD395&lt;5,"Under 5 C",IF($AD395&lt;10,"5-10 C",IF($AD395&lt;15,"10-15 C","15 C and above")))))</f>
        <v>5-10 C</v>
      </c>
      <c r="AK395" s="5">
        <f>IF($A395="","",IF($P395="","",$P395^2))</f>
        <v>729</v>
      </c>
      <c r="AL395" s="18">
        <f>IF($V395&lt;&gt;1,"",AVERAGEIFS(Clean_Data!$P$2:$P$1001,Clean_Data!$F$2:$F$1001,$F395,Clean_Data!$W$2:$W$1001,$W395,Clean_Data!$V$2:$V$1001,1))</f>
        <v>50.8965517241379</v>
      </c>
      <c r="AM395" s="16">
        <f>IF($V395&lt;&gt;1,"",IFERROR(($P395-$AL395)/SQRT(MAX(0,(SUMIFS(Clean_Data!$AK$2:$AK$1001,Clean_Data!$F$2:$F$1001,$F395,Clean_Data!$W$2:$W$1001,$W395,Clean_Data!$V$2:$V$1001,1)-COUNTIFS(Clean_Data!$F$2:$F$1001,$F395,Clean_Data!$W$2:$W$1001,$W395,Clean_Data!$V$2:$V$1001,1)*$AL395^2)/(COUNTIFS(Clean_Data!$F$2:$F$1001,$F395,Clean_Data!$W$2:$W$1001,$W395,Clean_Data!$V$2:$V$1001,1)-1))),""))</f>
        <v>-1.73060085775882</v>
      </c>
      <c r="AN395" s="5" t="str">
        <f>IF($AM395="","",IF($AM395&gt;=Lookups!$K$6,"High spike",IF($AM395&lt;=-Lookups!$K$6,"Unusual low","Normal")))</f>
        <v>Normal</v>
      </c>
      <c r="AO395" s="20">
        <f>IF($V395&lt;&gt;1,"",$P395+ROW()/100000)</f>
        <v>27.00395</v>
      </c>
      <c r="AP395" s="5">
        <f>IF($A395="","",IFERROR(MATCH($A395,Raw_D1!$A$2:$A$1001,0),""))</f>
        <v>394</v>
      </c>
      <c r="AQ395" s="5">
        <f>IF($A395="","",IFERROR(MATCH($A395,Raw_D2!$B$2:$B$1001,0),""))</f>
        <v>394</v>
      </c>
      <c r="AR395" s="5">
        <f>IF($A395="","",IFERROR(MATCH($A395,Raw_D3!$A$2:$A$1001,0),""))</f>
        <v/>
      </c>
    </row>
    <row r="396" spans="1:44" x14ac:dyDescent="0.25">
      <c r="A396" s="5">
        <v>395</v>
      </c>
      <c r="B396" s="11">
        <f>IF($A396="","",IF($AP396&lt;&gt;"",INDEX(Raw_D1!$B$2:$B$1001,$AP396),IF($AR396&lt;&gt;"",INDEX(Raw_D3!$B$2:$B$1001,$AR396),"")))</f>
        <v>40560.0</v>
      </c>
      <c r="C396" s="5">
        <f>IF($A396="","",IF($AP396&lt;&gt;"",INDEX(Raw_D1!$C$2:$C$1001,$AP396),IF($AR396&lt;&gt;"",INDEX(Raw_D3!$C$2:$C$1001,$AR396),"")))</f>
        <v>1</v>
      </c>
      <c r="D396" s="5">
        <f>IF($A396="","",IF($AP396&lt;&gt;"",INDEX(Raw_D1!$D$2:$D$1001,$AP396),IF($AR396&lt;&gt;"",INDEX(Raw_D3!$D$2:$D$1001,$AR396),"")))</f>
        <v>0</v>
      </c>
      <c r="E396" s="5">
        <f>IF($A396="","",IF($AP396&lt;&gt;"",INDEX(Raw_D1!$E$2:$E$1001,$AP396),IF($AR396&lt;&gt;"",INDEX(Raw_D3!$E$2:$E$1001,$AR396),"")))</f>
        <v>1</v>
      </c>
      <c r="F396" s="5">
        <f>IF($A396="","",IF($AP396&lt;&gt;"",INDEX(Raw_D1!$F$2:$F$1001,$AP396),IF($AR396&lt;&gt;"",INDEX(Raw_D3!$F$2:$F$1001,$AR396),"")))</f>
        <v>22</v>
      </c>
      <c r="G396" s="5">
        <f>IF($A396="","",IF($AP396&lt;&gt;"",IF(INDEX(Raw_D1!$G$2:$G$1001,$AP396),1,0),IF($AR396&lt;&gt;"",IF(INDEX(Raw_D3!$G$2:$G$1001,$AR396),1,0),"")))</f>
        <v>1</v>
      </c>
      <c r="H396" s="5">
        <f>IF($A396="","",IF($AP396&lt;&gt;"",INDEX(Raw_D1!$H$2:$H$1001,$AP396),IF($AR396&lt;&gt;"",INDEX(Raw_D3!$H$2:$H$1001,$AR396),"")))</f>
        <v>1</v>
      </c>
      <c r="I396" s="5">
        <f>IF($A396="","",IF($AP396&lt;&gt;"",INDEX(Raw_D1!$I$2:$I$1001,$AP396),IF($AR396&lt;&gt;"",INDEX(Raw_D3!$I$2:$I$1001,$AR396),"")))</f>
        <v>3</v>
      </c>
      <c r="J396" s="16">
        <f>IF($A396="","",IF($AP396&lt;&gt;"",INDEX(Raw_D1!$J$2:$J$1001,$AP396),IF($AR396&lt;&gt;"",INDEX(Raw_D3!$J$2:$J$1001,$AR396),"")))</f>
        <v>0.14</v>
      </c>
      <c r="K396" s="17">
        <f>IF($A396="","",IF($AQ396&lt;&gt;"",IF(INDEX(Raw_D2!$C$2:$C$1001,$AQ396)="","",INDEX(Raw_D2!$C$2:$C$1001,$AQ396)),IF($AR396&lt;&gt;"",IF(INDEX(Raw_D3!$K$2:$K$1001,$AR396)="","",INDEX(Raw_D3!$K$2:$K$1001,$AR396)),"")))</f>
        <v>0.1212</v>
      </c>
      <c r="L396" s="16">
        <f>IF($A396="","",IF($AQ396&lt;&gt;"",IF(INDEX(Raw_D2!$D$2:$D$1001,$AQ396)="","",INDEX(Raw_D2!$D$2:$D$1001,$AQ396)),IF($AR396&lt;&gt;"",IF(INDEX(Raw_D3!$L$2:$L$1001,$AR396)="","",INDEX(Raw_D3!$L$2:$L$1001,$AR396)),"")))</f>
        <v>0.93</v>
      </c>
      <c r="M396" s="17">
        <f>IF($A396="","",IF($AQ396&lt;&gt;"",IF(INDEX(Raw_D2!$E$2:$E$1001,$AQ396)="","",INDEX(Raw_D2!$E$2:$E$1001,$AQ396)),IF($AR396&lt;&gt;"",IF(INDEX(Raw_D3!$M$2:$M$1001,$AR396)="","",INDEX(Raw_D3!$M$2:$M$1001,$AR396)),"")))</f>
        <v>0.2537</v>
      </c>
      <c r="N396" s="5">
        <f>IF($A396="","",IF($AQ396&lt;&gt;"",IF(INDEX(Raw_D2!$F$2:$F$1001,$AQ396)="","",INDEX(Raw_D2!$F$2:$F$1001,$AQ396)),IF($AR396&lt;&gt;"",IF(INDEX(Raw_D3!$N$2:$N$1001,$AR396)="","",INDEX(Raw_D3!$N$2:$N$1001,$AR396)),"")))</f>
        <v>0</v>
      </c>
      <c r="O396" s="5">
        <f>IF($A396="","",IF($AQ396&lt;&gt;"",IF(INDEX(Raw_D2!$G$2:$G$1001,$AQ396)="","",INDEX(Raw_D2!$G$2:$G$1001,$AQ396)),IF($AR396&lt;&gt;"",IF(INDEX(Raw_D3!$O$2:$O$1001,$AR396)="","",INDEX(Raw_D3!$O$2:$O$1001,$AR396)),"")))</f>
        <v>13</v>
      </c>
      <c r="P396" s="5">
        <f>IF($A396="","",IF($AQ396&lt;&gt;"",IF(INDEX(Raw_D2!$H$2:$H$1001,$AQ396)="","",INDEX(Raw_D2!$H$2:$H$1001,$AQ396)),IF($AR396&lt;&gt;"",IF(INDEX(Raw_D3!$P$2:$P$1001,$AR396)="","",INDEX(Raw_D3!$P$2:$P$1001,$AR396)),"")))</f>
        <v>13</v>
      </c>
      <c r="Q396" s="5" t="str">
        <f>IF($A396="","",IF(AND($AP396&lt;&gt;"",$AQ396&lt;&gt;""),"D1+D2",IF($AR396&lt;&gt;"","D3","Incomplete")))</f>
        <v>D1+D2</v>
      </c>
      <c r="R396" s="17">
        <f>IF($A396="","",IF($K396="",IF($J396="","",ROUND(Lookups!$K$5+Lookups!$K$4*$J396,4)),$K396))</f>
        <v>0.1212</v>
      </c>
      <c r="S396" s="5" t="str">
        <f>IF($A396="","",IF($K396="","Imputed","Original"))</f>
        <v>Original</v>
      </c>
      <c r="T396" s="5" t="str">
        <f>IF($A396="","",IF($P396="","Missing",IF($P396=$N396+$O396,"OK","Mismatch")))</f>
        <v>OK</v>
      </c>
      <c r="U396" s="5" t="str">
        <f>IF($A396="","",IF(COUNTIF($A$2:$A396,$A396)&gt;1,"Duplicate","Unique"))</f>
        <v>Unique</v>
      </c>
      <c r="V396" s="5">
        <f>IF($A396="","",IF(AND($U396="Unique",ISNUMBER($P396)),1,0))</f>
        <v>1</v>
      </c>
      <c r="W396" s="5" t="str">
        <f>IF($A396="","",IF(OR($H396=0,$H396=6),"Weekend","Weekday"))</f>
        <v>Weekday</v>
      </c>
      <c r="X396" s="5" t="str">
        <f>IF($A396="","",TEXT($B396,"ddd"))</f>
        <v>Mon</v>
      </c>
      <c r="Y396" s="5" t="str">
        <f>IF($A396="","",TEXT($B396,"mmm"))</f>
        <v>Jan</v>
      </c>
      <c r="Z396" s="5" t="str">
        <f>IF($A396="","",IFERROR(VLOOKUP($C396,Lookups!$D$4:$E$7,2,FALSE),"Unknown"))</f>
        <v>Winter</v>
      </c>
      <c r="AA396" s="5" t="str">
        <f>IF($A396="","",IFERROR(VLOOKUP($I396,Lookups!$A$4:$B$7,2,FALSE),"Unknown"))</f>
        <v>Light Rain/Snow</v>
      </c>
      <c r="AB396" s="5" t="str">
        <f>IF($A396="","",TEXT($F396,"00")&amp;":00")</f>
        <v>22:00</v>
      </c>
      <c r="AC396" s="5" t="str">
        <f>IF($A396="","",VLOOKUP($F396,Lookups!$G$4:$H$8,2,TRUE))</f>
        <v>Late Evening (20-23)</v>
      </c>
      <c r="AD396" s="18">
        <f>IF($A396="","",IF($J396="","",ROUND($J396*41,1)))</f>
        <v>5.7</v>
      </c>
      <c r="AE396" s="18">
        <f>IF($A396="","",IF($R396="","",ROUND($R396*50,1)))</f>
        <v>6.1</v>
      </c>
      <c r="AF396" s="5">
        <f>IF($A396="","",IF($L396="","",ROUND($L396*100,0)))</f>
        <v>93</v>
      </c>
      <c r="AG396" s="18">
        <f>IF($A396="","",IF($M396="","",ROUND($M396*67,1)))</f>
        <v>17</v>
      </c>
      <c r="AH396" s="19">
        <f>IF($A396="","",IF($P396="","",IF($P396=0,0,$O396/$P396)))</f>
        <v>1</v>
      </c>
      <c r="AI396" s="5" t="str">
        <f>IF($A396="","",IF($P396="","",IF($P396&gt;=Lookups!$K$7,"High",IF($P396&lt;=Lookups!$K$8,"Low","Medium"))))</f>
        <v>Low</v>
      </c>
      <c r="AJ396" s="5" t="str">
        <f>IF($A396="","",IF($AD396="","",IF($AD396&lt;5,"Under 5 C",IF($AD396&lt;10,"5-10 C",IF($AD396&lt;15,"10-15 C","15 C and above")))))</f>
        <v>5-10 C</v>
      </c>
      <c r="AK396" s="5">
        <f>IF($A396="","",IF($P396="","",$P396^2))</f>
        <v>169</v>
      </c>
      <c r="AL396" s="18">
        <f>IF($V396&lt;&gt;1,"",AVERAGEIFS(Clean_Data!$P$2:$P$1001,Clean_Data!$F$2:$F$1001,$F396,Clean_Data!$W$2:$W$1001,$W396,Clean_Data!$V$2:$V$1001,1))</f>
        <v>37.1034482758621</v>
      </c>
      <c r="AM396" s="16">
        <f>IF($V396&lt;&gt;1,"",IFERROR(($P396-$AL396)/SQRT(MAX(0,(SUMIFS(Clean_Data!$AK$2:$AK$1001,Clean_Data!$F$2:$F$1001,$F396,Clean_Data!$W$2:$W$1001,$W396,Clean_Data!$V$2:$V$1001,1)-COUNTIFS(Clean_Data!$F$2:$F$1001,$F396,Clean_Data!$W$2:$W$1001,$W396,Clean_Data!$V$2:$V$1001,1)*$AL396^2)/(COUNTIFS(Clean_Data!$F$2:$F$1001,$F396,Clean_Data!$W$2:$W$1001,$W396,Clean_Data!$V$2:$V$1001,1)-1))),""))</f>
        <v>-2.2329053307997</v>
      </c>
      <c r="AN396" s="5" t="str">
        <f>IF($AM396="","",IF($AM396&gt;=Lookups!$K$6,"High spike",IF($AM396&lt;=-Lookups!$K$6,"Unusual low","Normal")))</f>
        <v>Normal</v>
      </c>
      <c r="AO396" s="20">
        <f>IF($V396&lt;&gt;1,"",$P396+ROW()/100000)</f>
        <v>13.00396</v>
      </c>
      <c r="AP396" s="5">
        <f>IF($A396="","",IFERROR(MATCH($A396,Raw_D1!$A$2:$A$1001,0),""))</f>
        <v>395</v>
      </c>
      <c r="AQ396" s="5">
        <f>IF($A396="","",IFERROR(MATCH($A396,Raw_D2!$B$2:$B$1001,0),""))</f>
        <v>395</v>
      </c>
      <c r="AR396" s="5">
        <f>IF($A396="","",IFERROR(MATCH($A396,Raw_D3!$A$2:$A$1001,0),""))</f>
        <v/>
      </c>
    </row>
    <row r="397" spans="1:44" x14ac:dyDescent="0.25">
      <c r="A397" s="5">
        <v>396</v>
      </c>
      <c r="B397" s="11">
        <f>IF($A397="","",IF($AP397&lt;&gt;"",INDEX(Raw_D1!$B$2:$B$1001,$AP397),IF($AR397&lt;&gt;"",INDEX(Raw_D3!$B$2:$B$1001,$AR397),"")))</f>
        <v>40560.0</v>
      </c>
      <c r="C397" s="5">
        <f>IF($A397="","",IF($AP397&lt;&gt;"",INDEX(Raw_D1!$C$2:$C$1001,$AP397),IF($AR397&lt;&gt;"",INDEX(Raw_D3!$C$2:$C$1001,$AR397),"")))</f>
        <v>1</v>
      </c>
      <c r="D397" s="5">
        <f>IF($A397="","",IF($AP397&lt;&gt;"",INDEX(Raw_D1!$D$2:$D$1001,$AP397),IF($AR397&lt;&gt;"",INDEX(Raw_D3!$D$2:$D$1001,$AR397),"")))</f>
        <v>0</v>
      </c>
      <c r="E397" s="5">
        <f>IF($A397="","",IF($AP397&lt;&gt;"",INDEX(Raw_D1!$E$2:$E$1001,$AP397),IF($AR397&lt;&gt;"",INDEX(Raw_D3!$E$2:$E$1001,$AR397),"")))</f>
        <v>1</v>
      </c>
      <c r="F397" s="5">
        <f>IF($A397="","",IF($AP397&lt;&gt;"",INDEX(Raw_D1!$F$2:$F$1001,$AP397),IF($AR397&lt;&gt;"",INDEX(Raw_D3!$F$2:$F$1001,$AR397),"")))</f>
        <v>23</v>
      </c>
      <c r="G397" s="5">
        <f>IF($A397="","",IF($AP397&lt;&gt;"",IF(INDEX(Raw_D1!$G$2:$G$1001,$AP397),1,0),IF($AR397&lt;&gt;"",IF(INDEX(Raw_D3!$G$2:$G$1001,$AR397),1,0),"")))</f>
        <v>1</v>
      </c>
      <c r="H397" s="5">
        <f>IF($A397="","",IF($AP397&lt;&gt;"",INDEX(Raw_D1!$H$2:$H$1001,$AP397),IF($AR397&lt;&gt;"",INDEX(Raw_D3!$H$2:$H$1001,$AR397),"")))</f>
        <v>1</v>
      </c>
      <c r="I397" s="5">
        <f>IF($A397="","",IF($AP397&lt;&gt;"",INDEX(Raw_D1!$I$2:$I$1001,$AP397),IF($AR397&lt;&gt;"",INDEX(Raw_D3!$I$2:$I$1001,$AR397),"")))</f>
        <v>3</v>
      </c>
      <c r="J397" s="16">
        <f>IF($A397="","",IF($AP397&lt;&gt;"",INDEX(Raw_D1!$J$2:$J$1001,$AP397),IF($AR397&lt;&gt;"",INDEX(Raw_D3!$J$2:$J$1001,$AR397),"")))</f>
        <v>0.16</v>
      </c>
      <c r="K397" s="17">
        <f>IF($A397="","",IF($AQ397&lt;&gt;"",IF(INDEX(Raw_D2!$C$2:$C$1001,$AQ397)="","",INDEX(Raw_D2!$C$2:$C$1001,$AQ397)),IF($AR397&lt;&gt;"",IF(INDEX(Raw_D3!$K$2:$K$1001,$AR397)="","",INDEX(Raw_D3!$K$2:$K$1001,$AR397)),"")))</f>
        <v>0.1364</v>
      </c>
      <c r="L397" s="16">
        <f>IF($A397="","",IF($AQ397&lt;&gt;"",IF(INDEX(Raw_D2!$D$2:$D$1001,$AQ397)="","",INDEX(Raw_D2!$D$2:$D$1001,$AQ397)),IF($AR397&lt;&gt;"",IF(INDEX(Raw_D3!$L$2:$L$1001,$AR397)="","",INDEX(Raw_D3!$L$2:$L$1001,$AR397)),"")))</f>
        <v>0.86</v>
      </c>
      <c r="M397" s="17">
        <f>IF($A397="","",IF($AQ397&lt;&gt;"",IF(INDEX(Raw_D2!$E$2:$E$1001,$AQ397)="","",INDEX(Raw_D2!$E$2:$E$1001,$AQ397)),IF($AR397&lt;&gt;"",IF(INDEX(Raw_D3!$M$2:$M$1001,$AR397)="","",INDEX(Raw_D3!$M$2:$M$1001,$AR397)),"")))</f>
        <v>0.2836</v>
      </c>
      <c r="N397" s="5">
        <f>IF($A397="","",IF($AQ397&lt;&gt;"",IF(INDEX(Raw_D2!$F$2:$F$1001,$AQ397)="","",INDEX(Raw_D2!$F$2:$F$1001,$AQ397)),IF($AR397&lt;&gt;"",IF(INDEX(Raw_D3!$N$2:$N$1001,$AR397)="","",INDEX(Raw_D3!$N$2:$N$1001,$AR397)),"")))</f>
        <v>1</v>
      </c>
      <c r="O397" s="5">
        <f>IF($A397="","",IF($AQ397&lt;&gt;"",IF(INDEX(Raw_D2!$G$2:$G$1001,$AQ397)="","",INDEX(Raw_D2!$G$2:$G$1001,$AQ397)),IF($AR397&lt;&gt;"",IF(INDEX(Raw_D3!$O$2:$O$1001,$AR397)="","",INDEX(Raw_D3!$O$2:$O$1001,$AR397)),"")))</f>
        <v>3</v>
      </c>
      <c r="P397" s="5">
        <f>IF($A397="","",IF($AQ397&lt;&gt;"",IF(INDEX(Raw_D2!$H$2:$H$1001,$AQ397)="","",INDEX(Raw_D2!$H$2:$H$1001,$AQ397)),IF($AR397&lt;&gt;"",IF(INDEX(Raw_D3!$P$2:$P$1001,$AR397)="","",INDEX(Raw_D3!$P$2:$P$1001,$AR397)),"")))</f>
        <v>4</v>
      </c>
      <c r="Q397" s="5" t="str">
        <f>IF($A397="","",IF(AND($AP397&lt;&gt;"",$AQ397&lt;&gt;""),"D1+D2",IF($AR397&lt;&gt;"","D3","Incomplete")))</f>
        <v>D1+D2</v>
      </c>
      <c r="R397" s="17">
        <f>IF($A397="","",IF($K397="",IF($J397="","",ROUND(Lookups!$K$5+Lookups!$K$4*$J397,4)),$K397))</f>
        <v>0.1364</v>
      </c>
      <c r="S397" s="5" t="str">
        <f>IF($A397="","",IF($K397="","Imputed","Original"))</f>
        <v>Original</v>
      </c>
      <c r="T397" s="5" t="str">
        <f>IF($A397="","",IF($P397="","Missing",IF($P397=$N397+$O397,"OK","Mismatch")))</f>
        <v>OK</v>
      </c>
      <c r="U397" s="5" t="str">
        <f>IF($A397="","",IF(COUNTIF($A$2:$A397,$A397)&gt;1,"Duplicate","Unique"))</f>
        <v>Unique</v>
      </c>
      <c r="V397" s="5">
        <f>IF($A397="","",IF(AND($U397="Unique",ISNUMBER($P397)),1,0))</f>
        <v>1</v>
      </c>
      <c r="W397" s="5" t="str">
        <f>IF($A397="","",IF(OR($H397=0,$H397=6),"Weekend","Weekday"))</f>
        <v>Weekday</v>
      </c>
      <c r="X397" s="5" t="str">
        <f>IF($A397="","",TEXT($B397,"ddd"))</f>
        <v>Mon</v>
      </c>
      <c r="Y397" s="5" t="str">
        <f>IF($A397="","",TEXT($B397,"mmm"))</f>
        <v>Jan</v>
      </c>
      <c r="Z397" s="5" t="str">
        <f>IF($A397="","",IFERROR(VLOOKUP($C397,Lookups!$D$4:$E$7,2,FALSE),"Unknown"))</f>
        <v>Winter</v>
      </c>
      <c r="AA397" s="5" t="str">
        <f>IF($A397="","",IFERROR(VLOOKUP($I397,Lookups!$A$4:$B$7,2,FALSE),"Unknown"))</f>
        <v>Light Rain/Snow</v>
      </c>
      <c r="AB397" s="5" t="str">
        <f>IF($A397="","",TEXT($F397,"00")&amp;":00")</f>
        <v>23:00</v>
      </c>
      <c r="AC397" s="5" t="str">
        <f>IF($A397="","",VLOOKUP($F397,Lookups!$G$4:$H$8,2,TRUE))</f>
        <v>Late Evening (20-23)</v>
      </c>
      <c r="AD397" s="18">
        <f>IF($A397="","",IF($J397="","",ROUND($J397*41,1)))</f>
        <v>6.6</v>
      </c>
      <c r="AE397" s="18">
        <f>IF($A397="","",IF($R397="","",ROUND($R397*50,1)))</f>
        <v>6.8</v>
      </c>
      <c r="AF397" s="5">
        <f>IF($A397="","",IF($L397="","",ROUND($L397*100,0)))</f>
        <v>86</v>
      </c>
      <c r="AG397" s="18">
        <f>IF($A397="","",IF($M397="","",ROUND($M397*67,1)))</f>
        <v>19</v>
      </c>
      <c r="AH397" s="19">
        <f>IF($A397="","",IF($P397="","",IF($P397=0,0,$O397/$P397)))</f>
        <v>0.75</v>
      </c>
      <c r="AI397" s="5" t="str">
        <f>IF($A397="","",IF($P397="","",IF($P397&gt;=Lookups!$K$7,"High",IF($P397&lt;=Lookups!$K$8,"Low","Medium"))))</f>
        <v>Low</v>
      </c>
      <c r="AJ397" s="5" t="str">
        <f>IF($A397="","",IF($AD397="","",IF($AD397&lt;5,"Under 5 C",IF($AD397&lt;10,"5-10 C",IF($AD397&lt;15,"10-15 C","15 C and above")))))</f>
        <v>5-10 C</v>
      </c>
      <c r="AK397" s="5">
        <f>IF($A397="","",IF($P397="","",$P397^2))</f>
        <v>16</v>
      </c>
      <c r="AL397" s="18">
        <f>IF($V397&lt;&gt;1,"",AVERAGEIFS(Clean_Data!$P$2:$P$1001,Clean_Data!$F$2:$F$1001,$F397,Clean_Data!$W$2:$W$1001,$W397,Clean_Data!$V$2:$V$1001,1))</f>
        <v>23.6896551724138</v>
      </c>
      <c r="AM397" s="16">
        <f>IF($V397&lt;&gt;1,"",IFERROR(($P397-$AL397)/SQRT(MAX(0,(SUMIFS(Clean_Data!$AK$2:$AK$1001,Clean_Data!$F$2:$F$1001,$F397,Clean_Data!$W$2:$W$1001,$W397,Clean_Data!$V$2:$V$1001,1)-COUNTIFS(Clean_Data!$F$2:$F$1001,$F397,Clean_Data!$W$2:$W$1001,$W397,Clean_Data!$V$2:$V$1001,1)*$AL397^2)/(COUNTIFS(Clean_Data!$F$2:$F$1001,$F397,Clean_Data!$W$2:$W$1001,$W397,Clean_Data!$V$2:$V$1001,1)-1))),""))</f>
        <v>-1.87971451988878</v>
      </c>
      <c r="AN397" s="5" t="str">
        <f>IF($AM397="","",IF($AM397&gt;=Lookups!$K$6,"High spike",IF($AM397&lt;=-Lookups!$K$6,"Unusual low","Normal")))</f>
        <v>Normal</v>
      </c>
      <c r="AO397" s="20">
        <f>IF($V397&lt;&gt;1,"",$P397+ROW()/100000)</f>
        <v>4.00397</v>
      </c>
      <c r="AP397" s="5">
        <f>IF($A397="","",IFERROR(MATCH($A397,Raw_D1!$A$2:$A$1001,0),""))</f>
        <v>396</v>
      </c>
      <c r="AQ397" s="5">
        <f>IF($A397="","",IFERROR(MATCH($A397,Raw_D2!$B$2:$B$1001,0),""))</f>
        <v>396</v>
      </c>
      <c r="AR397" s="5">
        <f>IF($A397="","",IFERROR(MATCH($A397,Raw_D3!$A$2:$A$1001,0),""))</f>
        <v/>
      </c>
    </row>
    <row r="398" spans="1:44" x14ac:dyDescent="0.25">
      <c r="A398" s="5">
        <v>397</v>
      </c>
      <c r="B398" s="11">
        <f>IF($A398="","",IF($AP398&lt;&gt;"",INDEX(Raw_D1!$B$2:$B$1001,$AP398),IF($AR398&lt;&gt;"",INDEX(Raw_D3!$B$2:$B$1001,$AR398),"")))</f>
        <v>40561.0</v>
      </c>
      <c r="C398" s="5">
        <f>IF($A398="","",IF($AP398&lt;&gt;"",INDEX(Raw_D1!$C$2:$C$1001,$AP398),IF($AR398&lt;&gt;"",INDEX(Raw_D3!$C$2:$C$1001,$AR398),"")))</f>
        <v>1</v>
      </c>
      <c r="D398" s="5">
        <f>IF($A398="","",IF($AP398&lt;&gt;"",INDEX(Raw_D1!$D$2:$D$1001,$AP398),IF($AR398&lt;&gt;"",INDEX(Raw_D3!$D$2:$D$1001,$AR398),"")))</f>
        <v>0</v>
      </c>
      <c r="E398" s="5">
        <f>IF($A398="","",IF($AP398&lt;&gt;"",INDEX(Raw_D1!$E$2:$E$1001,$AP398),IF($AR398&lt;&gt;"",INDEX(Raw_D3!$E$2:$E$1001,$AR398),"")))</f>
        <v>1</v>
      </c>
      <c r="F398" s="5">
        <f>IF($A398="","",IF($AP398&lt;&gt;"",INDEX(Raw_D1!$F$2:$F$1001,$AP398),IF($AR398&lt;&gt;"",INDEX(Raw_D3!$F$2:$F$1001,$AR398),"")))</f>
        <v>12</v>
      </c>
      <c r="G398" s="5">
        <f>IF($A398="","",IF($AP398&lt;&gt;"",IF(INDEX(Raw_D1!$G$2:$G$1001,$AP398),1,0),IF($AR398&lt;&gt;"",IF(INDEX(Raw_D3!$G$2:$G$1001,$AR398),1,0),"")))</f>
        <v>0</v>
      </c>
      <c r="H398" s="5">
        <f>IF($A398="","",IF($AP398&lt;&gt;"",INDEX(Raw_D1!$H$2:$H$1001,$AP398),IF($AR398&lt;&gt;"",INDEX(Raw_D3!$H$2:$H$1001,$AR398),"")))</f>
        <v>2</v>
      </c>
      <c r="I398" s="5">
        <f>IF($A398="","",IF($AP398&lt;&gt;"",INDEX(Raw_D1!$I$2:$I$1001,$AP398),IF($AR398&lt;&gt;"",INDEX(Raw_D3!$I$2:$I$1001,$AR398),"")))</f>
        <v>2</v>
      </c>
      <c r="J398" s="16">
        <f>IF($A398="","",IF($AP398&lt;&gt;"",INDEX(Raw_D1!$J$2:$J$1001,$AP398),IF($AR398&lt;&gt;"",INDEX(Raw_D3!$J$2:$J$1001,$AR398),"")))</f>
        <v>0.2</v>
      </c>
      <c r="K398" s="17">
        <f>IF($A398="","",IF($AQ398&lt;&gt;"",IF(INDEX(Raw_D2!$C$2:$C$1001,$AQ398)="","",INDEX(Raw_D2!$C$2:$C$1001,$AQ398)),IF($AR398&lt;&gt;"",IF(INDEX(Raw_D3!$K$2:$K$1001,$AR398)="","",INDEX(Raw_D3!$K$2:$K$1001,$AR398)),"")))</f>
        <v>0.1818</v>
      </c>
      <c r="L398" s="16">
        <f>IF($A398="","",IF($AQ398&lt;&gt;"",IF(INDEX(Raw_D2!$D$2:$D$1001,$AQ398)="","",INDEX(Raw_D2!$D$2:$D$1001,$AQ398)),IF($AR398&lt;&gt;"",IF(INDEX(Raw_D3!$L$2:$L$1001,$AR398)="","",INDEX(Raw_D3!$L$2:$L$1001,$AR398)),"")))</f>
        <v>0.86</v>
      </c>
      <c r="M398" s="17">
        <f>IF($A398="","",IF($AQ398&lt;&gt;"",IF(INDEX(Raw_D2!$E$2:$E$1001,$AQ398)="","",INDEX(Raw_D2!$E$2:$E$1001,$AQ398)),IF($AR398&lt;&gt;"",IF(INDEX(Raw_D3!$M$2:$M$1001,$AR398)="","",INDEX(Raw_D3!$M$2:$M$1001,$AR398)),"")))</f>
        <v>0.3284</v>
      </c>
      <c r="N398" s="5">
        <f>IF($A398="","",IF($AQ398&lt;&gt;"",IF(INDEX(Raw_D2!$F$2:$F$1001,$AQ398)="","",INDEX(Raw_D2!$F$2:$F$1001,$AQ398)),IF($AR398&lt;&gt;"",IF(INDEX(Raw_D3!$N$2:$N$1001,$AR398)="","",INDEX(Raw_D3!$N$2:$N$1001,$AR398)),"")))</f>
        <v>0</v>
      </c>
      <c r="O398" s="5">
        <f>IF($A398="","",IF($AQ398&lt;&gt;"",IF(INDEX(Raw_D2!$G$2:$G$1001,$AQ398)="","",INDEX(Raw_D2!$G$2:$G$1001,$AQ398)),IF($AR398&lt;&gt;"",IF(INDEX(Raw_D3!$O$2:$O$1001,$AR398)="","",INDEX(Raw_D3!$O$2:$O$1001,$AR398)),"")))</f>
        <v>3</v>
      </c>
      <c r="P398" s="5">
        <f>IF($A398="","",IF($AQ398&lt;&gt;"",IF(INDEX(Raw_D2!$H$2:$H$1001,$AQ398)="","",INDEX(Raw_D2!$H$2:$H$1001,$AQ398)),IF($AR398&lt;&gt;"",IF(INDEX(Raw_D3!$P$2:$P$1001,$AR398)="","",INDEX(Raw_D3!$P$2:$P$1001,$AR398)),"")))</f>
        <v>3</v>
      </c>
      <c r="Q398" s="5" t="str">
        <f>IF($A398="","",IF(AND($AP398&lt;&gt;"",$AQ398&lt;&gt;""),"D1+D2",IF($AR398&lt;&gt;"","D3","Incomplete")))</f>
        <v>D1+D2</v>
      </c>
      <c r="R398" s="17">
        <f>IF($A398="","",IF($K398="",IF($J398="","",ROUND(Lookups!$K$5+Lookups!$K$4*$J398,4)),$K398))</f>
        <v>0.1818</v>
      </c>
      <c r="S398" s="5" t="str">
        <f>IF($A398="","",IF($K398="","Imputed","Original"))</f>
        <v>Original</v>
      </c>
      <c r="T398" s="5" t="str">
        <f>IF($A398="","",IF($P398="","Missing",IF($P398=$N398+$O398,"OK","Mismatch")))</f>
        <v>OK</v>
      </c>
      <c r="U398" s="5" t="str">
        <f>IF($A398="","",IF(COUNTIF($A$2:$A398,$A398)&gt;1,"Duplicate","Unique"))</f>
        <v>Unique</v>
      </c>
      <c r="V398" s="5">
        <f>IF($A398="","",IF(AND($U398="Unique",ISNUMBER($P398)),1,0))</f>
        <v>1</v>
      </c>
      <c r="W398" s="5" t="str">
        <f>IF($A398="","",IF(OR($H398=0,$H398=6),"Weekend","Weekday"))</f>
        <v>Weekday</v>
      </c>
      <c r="X398" s="5" t="str">
        <f>IF($A398="","",TEXT($B398,"ddd"))</f>
        <v>Tue</v>
      </c>
      <c r="Y398" s="5" t="str">
        <f>IF($A398="","",TEXT($B398,"mmm"))</f>
        <v>Jan</v>
      </c>
      <c r="Z398" s="5" t="str">
        <f>IF($A398="","",IFERROR(VLOOKUP($C398,Lookups!$D$4:$E$7,2,FALSE),"Unknown"))</f>
        <v>Winter</v>
      </c>
      <c r="AA398" s="5" t="str">
        <f>IF($A398="","",IFERROR(VLOOKUP($I398,Lookups!$A$4:$B$7,2,FALSE),"Unknown"))</f>
        <v>Mist/Cloudy</v>
      </c>
      <c r="AB398" s="5" t="str">
        <f>IF($A398="","",TEXT($F398,"00")&amp;":00")</f>
        <v>12:00</v>
      </c>
      <c r="AC398" s="5" t="str">
        <f>IF($A398="","",VLOOKUP($F398,Lookups!$G$4:$H$8,2,TRUE))</f>
        <v>Midday (10-15)</v>
      </c>
      <c r="AD398" s="18">
        <f>IF($A398="","",IF($J398="","",ROUND($J398*41,1)))</f>
        <v>8.2</v>
      </c>
      <c r="AE398" s="18">
        <f>IF($A398="","",IF($R398="","",ROUND($R398*50,1)))</f>
        <v>9.1</v>
      </c>
      <c r="AF398" s="5">
        <f>IF($A398="","",IF($L398="","",ROUND($L398*100,0)))</f>
        <v>86</v>
      </c>
      <c r="AG398" s="18">
        <f>IF($A398="","",IF($M398="","",ROUND($M398*67,1)))</f>
        <v>22</v>
      </c>
      <c r="AH398" s="19">
        <f>IF($A398="","",IF($P398="","",IF($P398=0,0,$O398/$P398)))</f>
        <v>1</v>
      </c>
      <c r="AI398" s="5" t="str">
        <f>IF($A398="","",IF($P398="","",IF($P398&gt;=Lookups!$K$7,"High",IF($P398&lt;=Lookups!$K$8,"Low","Medium"))))</f>
        <v>Low</v>
      </c>
      <c r="AJ398" s="5" t="str">
        <f>IF($A398="","",IF($AD398="","",IF($AD398&lt;5,"Under 5 C",IF($AD398&lt;10,"5-10 C",IF($AD398&lt;15,"10-15 C","15 C and above")))))</f>
        <v>5-10 C</v>
      </c>
      <c r="AK398" s="5">
        <f>IF($A398="","",IF($P398="","",$P398^2))</f>
        <v>9</v>
      </c>
      <c r="AL398" s="18">
        <f>IF($V398&lt;&gt;1,"",AVERAGEIFS(Clean_Data!$P$2:$P$1001,Clean_Data!$F$2:$F$1001,$F398,Clean_Data!$W$2:$W$1001,$W398,Clean_Data!$V$2:$V$1001,1))</f>
        <v>64.5862068965517</v>
      </c>
      <c r="AM398" s="16">
        <f>IF($V398&lt;&gt;1,"",IFERROR(($P398-$AL398)/SQRT(MAX(0,(SUMIFS(Clean_Data!$AK$2:$AK$1001,Clean_Data!$F$2:$F$1001,$F398,Clean_Data!$W$2:$W$1001,$W398,Clean_Data!$V$2:$V$1001,1)-COUNTIFS(Clean_Data!$F$2:$F$1001,$F398,Clean_Data!$W$2:$W$1001,$W398,Clean_Data!$V$2:$V$1001,1)*$AL398^2)/(COUNTIFS(Clean_Data!$F$2:$F$1001,$F398,Clean_Data!$W$2:$W$1001,$W398,Clean_Data!$V$2:$V$1001,1)-1))),""))</f>
        <v>-3.28839405491828</v>
      </c>
      <c r="AN398" s="5" t="str">
        <f>IF($AM398="","",IF($AM398&gt;=Lookups!$K$6,"High spike",IF($AM398&lt;=-Lookups!$K$6,"Unusual low","Normal")))</f>
        <v>Unusual low</v>
      </c>
      <c r="AO398" s="20">
        <f>IF($V398&lt;&gt;1,"",$P398+ROW()/100000)</f>
        <v>3.00398</v>
      </c>
      <c r="AP398" s="5">
        <f>IF($A398="","",IFERROR(MATCH($A398,Raw_D1!$A$2:$A$1001,0),""))</f>
        <v>397</v>
      </c>
      <c r="AQ398" s="5">
        <f>IF($A398="","",IFERROR(MATCH($A398,Raw_D2!$B$2:$B$1001,0),""))</f>
        <v>397</v>
      </c>
      <c r="AR398" s="5">
        <f>IF($A398="","",IFERROR(MATCH($A398,Raw_D3!$A$2:$A$1001,0),""))</f>
        <v/>
      </c>
    </row>
    <row r="399" spans="1:44" x14ac:dyDescent="0.25">
      <c r="A399" s="5">
        <v>398</v>
      </c>
      <c r="B399" s="11">
        <f>IF($A399="","",IF($AP399&lt;&gt;"",INDEX(Raw_D1!$B$2:$B$1001,$AP399),IF($AR399&lt;&gt;"",INDEX(Raw_D3!$B$2:$B$1001,$AR399),"")))</f>
        <v>40561.0</v>
      </c>
      <c r="C399" s="5">
        <f>IF($A399="","",IF($AP399&lt;&gt;"",INDEX(Raw_D1!$C$2:$C$1001,$AP399),IF($AR399&lt;&gt;"",INDEX(Raw_D3!$C$2:$C$1001,$AR399),"")))</f>
        <v>1</v>
      </c>
      <c r="D399" s="5">
        <f>IF($A399="","",IF($AP399&lt;&gt;"",INDEX(Raw_D1!$D$2:$D$1001,$AP399),IF($AR399&lt;&gt;"",INDEX(Raw_D3!$D$2:$D$1001,$AR399),"")))</f>
        <v>0</v>
      </c>
      <c r="E399" s="5">
        <f>IF($A399="","",IF($AP399&lt;&gt;"",INDEX(Raw_D1!$E$2:$E$1001,$AP399),IF($AR399&lt;&gt;"",INDEX(Raw_D3!$E$2:$E$1001,$AR399),"")))</f>
        <v>1</v>
      </c>
      <c r="F399" s="5">
        <f>IF($A399="","",IF($AP399&lt;&gt;"",INDEX(Raw_D1!$F$2:$F$1001,$AP399),IF($AR399&lt;&gt;"",INDEX(Raw_D3!$F$2:$F$1001,$AR399),"")))</f>
        <v>13</v>
      </c>
      <c r="G399" s="5">
        <f>IF($A399="","",IF($AP399&lt;&gt;"",IF(INDEX(Raw_D1!$G$2:$G$1001,$AP399),1,0),IF($AR399&lt;&gt;"",IF(INDEX(Raw_D3!$G$2:$G$1001,$AR399),1,0),"")))</f>
        <v>0</v>
      </c>
      <c r="H399" s="5">
        <f>IF($A399="","",IF($AP399&lt;&gt;"",INDEX(Raw_D1!$H$2:$H$1001,$AP399),IF($AR399&lt;&gt;"",INDEX(Raw_D3!$H$2:$H$1001,$AR399),"")))</f>
        <v>2</v>
      </c>
      <c r="I399" s="5">
        <f>IF($A399="","",IF($AP399&lt;&gt;"",INDEX(Raw_D1!$I$2:$I$1001,$AP399),IF($AR399&lt;&gt;"",INDEX(Raw_D3!$I$2:$I$1001,$AR399),"")))</f>
        <v>2</v>
      </c>
      <c r="J399" s="16">
        <f>IF($A399="","",IF($AP399&lt;&gt;"",INDEX(Raw_D1!$J$2:$J$1001,$AP399),IF($AR399&lt;&gt;"",INDEX(Raw_D3!$J$2:$J$1001,$AR399),"")))</f>
        <v>0.2</v>
      </c>
      <c r="K399" s="17">
        <f>IF($A399="","",IF($AQ399&lt;&gt;"",IF(INDEX(Raw_D2!$C$2:$C$1001,$AQ399)="","",INDEX(Raw_D2!$C$2:$C$1001,$AQ399)),IF($AR399&lt;&gt;"",IF(INDEX(Raw_D3!$K$2:$K$1001,$AR399)="","",INDEX(Raw_D3!$K$2:$K$1001,$AR399)),"")))</f>
        <v>0.197</v>
      </c>
      <c r="L399" s="16">
        <f>IF($A399="","",IF($AQ399&lt;&gt;"",IF(INDEX(Raw_D2!$D$2:$D$1001,$AQ399)="","",INDEX(Raw_D2!$D$2:$D$1001,$AQ399)),IF($AR399&lt;&gt;"",IF(INDEX(Raw_D3!$L$2:$L$1001,$AR399)="","",INDEX(Raw_D3!$L$2:$L$1001,$AR399)),"")))</f>
        <v>0.86</v>
      </c>
      <c r="M399" s="17">
        <f>IF($A399="","",IF($AQ399&lt;&gt;"",IF(INDEX(Raw_D2!$E$2:$E$1001,$AQ399)="","",INDEX(Raw_D2!$E$2:$E$1001,$AQ399)),IF($AR399&lt;&gt;"",IF(INDEX(Raw_D3!$M$2:$M$1001,$AR399)="","",INDEX(Raw_D3!$M$2:$M$1001,$AR399)),"")))</f>
        <v>0.2239</v>
      </c>
      <c r="N399" s="5">
        <f>IF($A399="","",IF($AQ399&lt;&gt;"",IF(INDEX(Raw_D2!$F$2:$F$1001,$AQ399)="","",INDEX(Raw_D2!$F$2:$F$1001,$AQ399)),IF($AR399&lt;&gt;"",IF(INDEX(Raw_D3!$N$2:$N$1001,$AR399)="","",INDEX(Raw_D3!$N$2:$N$1001,$AR399)),"")))</f>
        <v>0</v>
      </c>
      <c r="O399" s="5">
        <f>IF($A399="","",IF($AQ399&lt;&gt;"",IF(INDEX(Raw_D2!$G$2:$G$1001,$AQ399)="","",INDEX(Raw_D2!$G$2:$G$1001,$AQ399)),IF($AR399&lt;&gt;"",IF(INDEX(Raw_D3!$O$2:$O$1001,$AR399)="","",INDEX(Raw_D3!$O$2:$O$1001,$AR399)),"")))</f>
        <v>22</v>
      </c>
      <c r="P399" s="5">
        <f>IF($A399="","",IF($AQ399&lt;&gt;"",IF(INDEX(Raw_D2!$H$2:$H$1001,$AQ399)="","",INDEX(Raw_D2!$H$2:$H$1001,$AQ399)),IF($AR399&lt;&gt;"",IF(INDEX(Raw_D3!$P$2:$P$1001,$AR399)="","",INDEX(Raw_D3!$P$2:$P$1001,$AR399)),"")))</f>
        <v>22</v>
      </c>
      <c r="Q399" s="5" t="str">
        <f>IF($A399="","",IF(AND($AP399&lt;&gt;"",$AQ399&lt;&gt;""),"D1+D2",IF($AR399&lt;&gt;"","D3","Incomplete")))</f>
        <v>D1+D2</v>
      </c>
      <c r="R399" s="17">
        <f>IF($A399="","",IF($K399="",IF($J399="","",ROUND(Lookups!$K$5+Lookups!$K$4*$J399,4)),$K399))</f>
        <v>0.197</v>
      </c>
      <c r="S399" s="5" t="str">
        <f>IF($A399="","",IF($K399="","Imputed","Original"))</f>
        <v>Original</v>
      </c>
      <c r="T399" s="5" t="str">
        <f>IF($A399="","",IF($P399="","Missing",IF($P399=$N399+$O399,"OK","Mismatch")))</f>
        <v>OK</v>
      </c>
      <c r="U399" s="5" t="str">
        <f>IF($A399="","",IF(COUNTIF($A$2:$A399,$A399)&gt;1,"Duplicate","Unique"))</f>
        <v>Unique</v>
      </c>
      <c r="V399" s="5">
        <f>IF($A399="","",IF(AND($U399="Unique",ISNUMBER($P399)),1,0))</f>
        <v>1</v>
      </c>
      <c r="W399" s="5" t="str">
        <f>IF($A399="","",IF(OR($H399=0,$H399=6),"Weekend","Weekday"))</f>
        <v>Weekday</v>
      </c>
      <c r="X399" s="5" t="str">
        <f>IF($A399="","",TEXT($B399,"ddd"))</f>
        <v>Tue</v>
      </c>
      <c r="Y399" s="5" t="str">
        <f>IF($A399="","",TEXT($B399,"mmm"))</f>
        <v>Jan</v>
      </c>
      <c r="Z399" s="5" t="str">
        <f>IF($A399="","",IFERROR(VLOOKUP($C399,Lookups!$D$4:$E$7,2,FALSE),"Unknown"))</f>
        <v>Winter</v>
      </c>
      <c r="AA399" s="5" t="str">
        <f>IF($A399="","",IFERROR(VLOOKUP($I399,Lookups!$A$4:$B$7,2,FALSE),"Unknown"))</f>
        <v>Mist/Cloudy</v>
      </c>
      <c r="AB399" s="5" t="str">
        <f>IF($A399="","",TEXT($F399,"00")&amp;":00")</f>
        <v>13:00</v>
      </c>
      <c r="AC399" s="5" t="str">
        <f>IF($A399="","",VLOOKUP($F399,Lookups!$G$4:$H$8,2,TRUE))</f>
        <v>Midday (10-15)</v>
      </c>
      <c r="AD399" s="18">
        <f>IF($A399="","",IF($J399="","",ROUND($J399*41,1)))</f>
        <v>8.2</v>
      </c>
      <c r="AE399" s="18">
        <f>IF($A399="","",IF($R399="","",ROUND($R399*50,1)))</f>
        <v>9.9</v>
      </c>
      <c r="AF399" s="5">
        <f>IF($A399="","",IF($L399="","",ROUND($L399*100,0)))</f>
        <v>86</v>
      </c>
      <c r="AG399" s="18">
        <f>IF($A399="","",IF($M399="","",ROUND($M399*67,1)))</f>
        <v>15</v>
      </c>
      <c r="AH399" s="19">
        <f>IF($A399="","",IF($P399="","",IF($P399=0,0,$O399/$P399)))</f>
        <v>1</v>
      </c>
      <c r="AI399" s="5" t="str">
        <f>IF($A399="","",IF($P399="","",IF($P399&gt;=Lookups!$K$7,"High",IF($P399&lt;=Lookups!$K$8,"Low","Medium"))))</f>
        <v>Medium</v>
      </c>
      <c r="AJ399" s="5" t="str">
        <f>IF($A399="","",IF($AD399="","",IF($AD399&lt;5,"Under 5 C",IF($AD399&lt;10,"5-10 C",IF($AD399&lt;15,"10-15 C","15 C and above")))))</f>
        <v>5-10 C</v>
      </c>
      <c r="AK399" s="5">
        <f>IF($A399="","",IF($P399="","",$P399^2))</f>
        <v>484</v>
      </c>
      <c r="AL399" s="18">
        <f>IF($V399&lt;&gt;1,"",AVERAGEIFS(Clean_Data!$P$2:$P$1001,Clean_Data!$F$2:$F$1001,$F399,Clean_Data!$W$2:$W$1001,$W399,Clean_Data!$V$2:$V$1001,1))</f>
        <v>67.1724137931034</v>
      </c>
      <c r="AM399" s="16">
        <f>IF($V399&lt;&gt;1,"",IFERROR(($P399-$AL399)/SQRT(MAX(0,(SUMIFS(Clean_Data!$AK$2:$AK$1001,Clean_Data!$F$2:$F$1001,$F399,Clean_Data!$W$2:$W$1001,$W399,Clean_Data!$V$2:$V$1001,1)-COUNTIFS(Clean_Data!$F$2:$F$1001,$F399,Clean_Data!$W$2:$W$1001,$W399,Clean_Data!$V$2:$V$1001,1)*$AL399^2)/(COUNTIFS(Clean_Data!$F$2:$F$1001,$F399,Clean_Data!$W$2:$W$1001,$W399,Clean_Data!$V$2:$V$1001,1)-1))),""))</f>
        <v>-2.23713766500684</v>
      </c>
      <c r="AN399" s="5" t="str">
        <f>IF($AM399="","",IF($AM399&gt;=Lookups!$K$6,"High spike",IF($AM399&lt;=-Lookups!$K$6,"Unusual low","Normal")))</f>
        <v>Normal</v>
      </c>
      <c r="AO399" s="20">
        <f>IF($V399&lt;&gt;1,"",$P399+ROW()/100000)</f>
        <v>22.00399</v>
      </c>
      <c r="AP399" s="5">
        <f>IF($A399="","",IFERROR(MATCH($A399,Raw_D1!$A$2:$A$1001,0),""))</f>
        <v>398</v>
      </c>
      <c r="AQ399" s="5">
        <f>IF($A399="","",IFERROR(MATCH($A399,Raw_D2!$B$2:$B$1001,0),""))</f>
        <v>398</v>
      </c>
      <c r="AR399" s="5">
        <f>IF($A399="","",IFERROR(MATCH($A399,Raw_D3!$A$2:$A$1001,0),""))</f>
        <v/>
      </c>
    </row>
    <row r="400" spans="1:44" x14ac:dyDescent="0.25">
      <c r="A400" s="5">
        <v>399</v>
      </c>
      <c r="B400" s="11">
        <f>IF($A400="","",IF($AP400&lt;&gt;"",INDEX(Raw_D1!$B$2:$B$1001,$AP400),IF($AR400&lt;&gt;"",INDEX(Raw_D3!$B$2:$B$1001,$AR400),"")))</f>
        <v>40561.0</v>
      </c>
      <c r="C400" s="5">
        <f>IF($A400="","",IF($AP400&lt;&gt;"",INDEX(Raw_D1!$C$2:$C$1001,$AP400),IF($AR400&lt;&gt;"",INDEX(Raw_D3!$C$2:$C$1001,$AR400),"")))</f>
        <v>1</v>
      </c>
      <c r="D400" s="5">
        <f>IF($A400="","",IF($AP400&lt;&gt;"",INDEX(Raw_D1!$D$2:$D$1001,$AP400),IF($AR400&lt;&gt;"",INDEX(Raw_D3!$D$2:$D$1001,$AR400),"")))</f>
        <v>0</v>
      </c>
      <c r="E400" s="5">
        <f>IF($A400="","",IF($AP400&lt;&gt;"",INDEX(Raw_D1!$E$2:$E$1001,$AP400),IF($AR400&lt;&gt;"",INDEX(Raw_D3!$E$2:$E$1001,$AR400),"")))</f>
        <v>1</v>
      </c>
      <c r="F400" s="5">
        <f>IF($A400="","",IF($AP400&lt;&gt;"",INDEX(Raw_D1!$F$2:$F$1001,$AP400),IF($AR400&lt;&gt;"",INDEX(Raw_D3!$F$2:$F$1001,$AR400),"")))</f>
        <v>14</v>
      </c>
      <c r="G400" s="5">
        <f>IF($A400="","",IF($AP400&lt;&gt;"",IF(INDEX(Raw_D1!$G$2:$G$1001,$AP400),1,0),IF($AR400&lt;&gt;"",IF(INDEX(Raw_D3!$G$2:$G$1001,$AR400),1,0),"")))</f>
        <v>0</v>
      </c>
      <c r="H400" s="5">
        <f>IF($A400="","",IF($AP400&lt;&gt;"",INDEX(Raw_D1!$H$2:$H$1001,$AP400),IF($AR400&lt;&gt;"",INDEX(Raw_D3!$H$2:$H$1001,$AR400),"")))</f>
        <v>2</v>
      </c>
      <c r="I400" s="5">
        <f>IF($A400="","",IF($AP400&lt;&gt;"",INDEX(Raw_D1!$I$2:$I$1001,$AP400),IF($AR400&lt;&gt;"",INDEX(Raw_D3!$I$2:$I$1001,$AR400),"")))</f>
        <v>2</v>
      </c>
      <c r="J400" s="16">
        <f>IF($A400="","",IF($AP400&lt;&gt;"",INDEX(Raw_D1!$J$2:$J$1001,$AP400),IF($AR400&lt;&gt;"",INDEX(Raw_D3!$J$2:$J$1001,$AR400),"")))</f>
        <v>0.22</v>
      </c>
      <c r="K400" s="17">
        <f>IF($A400="","",IF($AQ400&lt;&gt;"",IF(INDEX(Raw_D2!$C$2:$C$1001,$AQ400)="","",INDEX(Raw_D2!$C$2:$C$1001,$AQ400)),IF($AR400&lt;&gt;"",IF(INDEX(Raw_D3!$K$2:$K$1001,$AR400)="","",INDEX(Raw_D3!$K$2:$K$1001,$AR400)),"")))</f>
        <v>0.2273</v>
      </c>
      <c r="L400" s="16">
        <f>IF($A400="","",IF($AQ400&lt;&gt;"",IF(INDEX(Raw_D2!$D$2:$D$1001,$AQ400)="","",INDEX(Raw_D2!$D$2:$D$1001,$AQ400)),IF($AR400&lt;&gt;"",IF(INDEX(Raw_D3!$L$2:$L$1001,$AR400)="","",INDEX(Raw_D3!$L$2:$L$1001,$AR400)),"")))</f>
        <v>0.8</v>
      </c>
      <c r="M400" s="17">
        <f>IF($A400="","",IF($AQ400&lt;&gt;"",IF(INDEX(Raw_D2!$E$2:$E$1001,$AQ400)="","",INDEX(Raw_D2!$E$2:$E$1001,$AQ400)),IF($AR400&lt;&gt;"",IF(INDEX(Raw_D3!$M$2:$M$1001,$AR400)="","",INDEX(Raw_D3!$M$2:$M$1001,$AR400)),"")))</f>
        <v>0.1642</v>
      </c>
      <c r="N400" s="5">
        <f>IF($A400="","",IF($AQ400&lt;&gt;"",IF(INDEX(Raw_D2!$F$2:$F$1001,$AQ400)="","",INDEX(Raw_D2!$F$2:$F$1001,$AQ400)),IF($AR400&lt;&gt;"",IF(INDEX(Raw_D3!$N$2:$N$1001,$AR400)="","",INDEX(Raw_D3!$N$2:$N$1001,$AR400)),"")))</f>
        <v>2</v>
      </c>
      <c r="O400" s="5">
        <f>IF($A400="","",IF($AQ400&lt;&gt;"",IF(INDEX(Raw_D2!$G$2:$G$1001,$AQ400)="","",INDEX(Raw_D2!$G$2:$G$1001,$AQ400)),IF($AR400&lt;&gt;"",IF(INDEX(Raw_D3!$O$2:$O$1001,$AR400)="","",INDEX(Raw_D3!$O$2:$O$1001,$AR400)),"")))</f>
        <v>26</v>
      </c>
      <c r="P400" s="5">
        <f>IF($A400="","",IF($AQ400&lt;&gt;"",IF(INDEX(Raw_D2!$H$2:$H$1001,$AQ400)="","",INDEX(Raw_D2!$H$2:$H$1001,$AQ400)),IF($AR400&lt;&gt;"",IF(INDEX(Raw_D3!$P$2:$P$1001,$AR400)="","",INDEX(Raw_D3!$P$2:$P$1001,$AR400)),"")))</f>
        <v>28</v>
      </c>
      <c r="Q400" s="5" t="str">
        <f>IF($A400="","",IF(AND($AP400&lt;&gt;"",$AQ400&lt;&gt;""),"D1+D2",IF($AR400&lt;&gt;"","D3","Incomplete")))</f>
        <v>D1+D2</v>
      </c>
      <c r="R400" s="17">
        <f>IF($A400="","",IF($K400="",IF($J400="","",ROUND(Lookups!$K$5+Lookups!$K$4*$J400,4)),$K400))</f>
        <v>0.2273</v>
      </c>
      <c r="S400" s="5" t="str">
        <f>IF($A400="","",IF($K400="","Imputed","Original"))</f>
        <v>Original</v>
      </c>
      <c r="T400" s="5" t="str">
        <f>IF($A400="","",IF($P400="","Missing",IF($P400=$N400+$O400,"OK","Mismatch")))</f>
        <v>OK</v>
      </c>
      <c r="U400" s="5" t="str">
        <f>IF($A400="","",IF(COUNTIF($A$2:$A400,$A400)&gt;1,"Duplicate","Unique"))</f>
        <v>Unique</v>
      </c>
      <c r="V400" s="5">
        <f>IF($A400="","",IF(AND($U400="Unique",ISNUMBER($P400)),1,0))</f>
        <v>1</v>
      </c>
      <c r="W400" s="5" t="str">
        <f>IF($A400="","",IF(OR($H400=0,$H400=6),"Weekend","Weekday"))</f>
        <v>Weekday</v>
      </c>
      <c r="X400" s="5" t="str">
        <f>IF($A400="","",TEXT($B400,"ddd"))</f>
        <v>Tue</v>
      </c>
      <c r="Y400" s="5" t="str">
        <f>IF($A400="","",TEXT($B400,"mmm"))</f>
        <v>Jan</v>
      </c>
      <c r="Z400" s="5" t="str">
        <f>IF($A400="","",IFERROR(VLOOKUP($C400,Lookups!$D$4:$E$7,2,FALSE),"Unknown"))</f>
        <v>Winter</v>
      </c>
      <c r="AA400" s="5" t="str">
        <f>IF($A400="","",IFERROR(VLOOKUP($I400,Lookups!$A$4:$B$7,2,FALSE),"Unknown"))</f>
        <v>Mist/Cloudy</v>
      </c>
      <c r="AB400" s="5" t="str">
        <f>IF($A400="","",TEXT($F400,"00")&amp;":00")</f>
        <v>14:00</v>
      </c>
      <c r="AC400" s="5" t="str">
        <f>IF($A400="","",VLOOKUP($F400,Lookups!$G$4:$H$8,2,TRUE))</f>
        <v>Midday (10-15)</v>
      </c>
      <c r="AD400" s="18">
        <f>IF($A400="","",IF($J400="","",ROUND($J400*41,1)))</f>
        <v>9</v>
      </c>
      <c r="AE400" s="18">
        <f>IF($A400="","",IF($R400="","",ROUND($R400*50,1)))</f>
        <v>11.4</v>
      </c>
      <c r="AF400" s="5">
        <f>IF($A400="","",IF($L400="","",ROUND($L400*100,0)))</f>
        <v>80</v>
      </c>
      <c r="AG400" s="18">
        <f>IF($A400="","",IF($M400="","",ROUND($M400*67,1)))</f>
        <v>11</v>
      </c>
      <c r="AH400" s="19">
        <f>IF($A400="","",IF($P400="","",IF($P400=0,0,$O400/$P400)))</f>
        <v>0.928571428571429</v>
      </c>
      <c r="AI400" s="5" t="str">
        <f>IF($A400="","",IF($P400="","",IF($P400&gt;=Lookups!$K$7,"High",IF($P400&lt;=Lookups!$K$8,"Low","Medium"))))</f>
        <v>Medium</v>
      </c>
      <c r="AJ400" s="5" t="str">
        <f>IF($A400="","",IF($AD400="","",IF($AD400&lt;5,"Under 5 C",IF($AD400&lt;10,"5-10 C",IF($AD400&lt;15,"10-15 C","15 C and above")))))</f>
        <v>5-10 C</v>
      </c>
      <c r="AK400" s="5">
        <f>IF($A400="","",IF($P400="","",$P400^2))</f>
        <v>784</v>
      </c>
      <c r="AL400" s="18">
        <f>IF($V400&lt;&gt;1,"",AVERAGEIFS(Clean_Data!$P$2:$P$1001,Clean_Data!$F$2:$F$1001,$F400,Clean_Data!$W$2:$W$1001,$W400,Clean_Data!$V$2:$V$1001,1))</f>
        <v>60.551724137931</v>
      </c>
      <c r="AM400" s="16">
        <f>IF($V400&lt;&gt;1,"",IFERROR(($P400-$AL400)/SQRT(MAX(0,(SUMIFS(Clean_Data!$AK$2:$AK$1001,Clean_Data!$F$2:$F$1001,$F400,Clean_Data!$W$2:$W$1001,$W400,Clean_Data!$V$2:$V$1001,1)-COUNTIFS(Clean_Data!$F$2:$F$1001,$F400,Clean_Data!$W$2:$W$1001,$W400,Clean_Data!$V$2:$V$1001,1)*$AL400^2)/(COUNTIFS(Clean_Data!$F$2:$F$1001,$F400,Clean_Data!$W$2:$W$1001,$W400,Clean_Data!$V$2:$V$1001,1)-1))),""))</f>
        <v>-1.97878872600616</v>
      </c>
      <c r="AN400" s="5" t="str">
        <f>IF($AM400="","",IF($AM400&gt;=Lookups!$K$6,"High spike",IF($AM400&lt;=-Lookups!$K$6,"Unusual low","Normal")))</f>
        <v>Normal</v>
      </c>
      <c r="AO400" s="20">
        <f>IF($V400&lt;&gt;1,"",$P400+ROW()/100000)</f>
        <v>28.004</v>
      </c>
      <c r="AP400" s="5">
        <f>IF($A400="","",IFERROR(MATCH($A400,Raw_D1!$A$2:$A$1001,0),""))</f>
        <v>399</v>
      </c>
      <c r="AQ400" s="5">
        <f>IF($A400="","",IFERROR(MATCH($A400,Raw_D2!$B$2:$B$1001,0),""))</f>
        <v>399</v>
      </c>
      <c r="AR400" s="5">
        <f>IF($A400="","",IFERROR(MATCH($A400,Raw_D3!$A$2:$A$1001,0),""))</f>
        <v/>
      </c>
    </row>
    <row r="401" spans="1:44" x14ac:dyDescent="0.25">
      <c r="A401" s="5">
        <v>400</v>
      </c>
      <c r="B401" s="11">
        <f>IF($A401="","",IF($AP401&lt;&gt;"",INDEX(Raw_D1!$B$2:$B$1001,$AP401),IF($AR401&lt;&gt;"",INDEX(Raw_D3!$B$2:$B$1001,$AR401),"")))</f>
        <v>40561.0</v>
      </c>
      <c r="C401" s="5">
        <f>IF($A401="","",IF($AP401&lt;&gt;"",INDEX(Raw_D1!$C$2:$C$1001,$AP401),IF($AR401&lt;&gt;"",INDEX(Raw_D3!$C$2:$C$1001,$AR401),"")))</f>
        <v>1</v>
      </c>
      <c r="D401" s="5">
        <f>IF($A401="","",IF($AP401&lt;&gt;"",INDEX(Raw_D1!$D$2:$D$1001,$AP401),IF($AR401&lt;&gt;"",INDEX(Raw_D3!$D$2:$D$1001,$AR401),"")))</f>
        <v>0</v>
      </c>
      <c r="E401" s="5">
        <f>IF($A401="","",IF($AP401&lt;&gt;"",INDEX(Raw_D1!$E$2:$E$1001,$AP401),IF($AR401&lt;&gt;"",INDEX(Raw_D3!$E$2:$E$1001,$AR401),"")))</f>
        <v>1</v>
      </c>
      <c r="F401" s="5">
        <f>IF($A401="","",IF($AP401&lt;&gt;"",INDEX(Raw_D1!$F$2:$F$1001,$AP401),IF($AR401&lt;&gt;"",INDEX(Raw_D3!$F$2:$F$1001,$AR401),"")))</f>
        <v>15</v>
      </c>
      <c r="G401" s="5">
        <f>IF($A401="","",IF($AP401&lt;&gt;"",IF(INDEX(Raw_D1!$G$2:$G$1001,$AP401),1,0),IF($AR401&lt;&gt;"",IF(INDEX(Raw_D3!$G$2:$G$1001,$AR401),1,0),"")))</f>
        <v>0</v>
      </c>
      <c r="H401" s="5">
        <f>IF($A401="","",IF($AP401&lt;&gt;"",INDEX(Raw_D1!$H$2:$H$1001,$AP401),IF($AR401&lt;&gt;"",INDEX(Raw_D3!$H$2:$H$1001,$AR401),"")))</f>
        <v>2</v>
      </c>
      <c r="I401" s="5">
        <f>IF($A401="","",IF($AP401&lt;&gt;"",INDEX(Raw_D1!$I$2:$I$1001,$AP401),IF($AR401&lt;&gt;"",INDEX(Raw_D3!$I$2:$I$1001,$AR401),"")))</f>
        <v>2</v>
      </c>
      <c r="J401" s="16">
        <f>IF($A401="","",IF($AP401&lt;&gt;"",INDEX(Raw_D1!$J$2:$J$1001,$AP401),IF($AR401&lt;&gt;"",INDEX(Raw_D3!$J$2:$J$1001,$AR401),"")))</f>
        <v>0.22</v>
      </c>
      <c r="K401" s="17">
        <f>IF($A401="","",IF($AQ401&lt;&gt;"",IF(INDEX(Raw_D2!$C$2:$C$1001,$AQ401)="","",INDEX(Raw_D2!$C$2:$C$1001,$AQ401)),IF($AR401&lt;&gt;"",IF(INDEX(Raw_D3!$K$2:$K$1001,$AR401)="","",INDEX(Raw_D3!$K$2:$K$1001,$AR401)),"")))</f>
        <v>0.2273</v>
      </c>
      <c r="L401" s="16">
        <f>IF($A401="","",IF($AQ401&lt;&gt;"",IF(INDEX(Raw_D2!$D$2:$D$1001,$AQ401)="","",INDEX(Raw_D2!$D$2:$D$1001,$AQ401)),IF($AR401&lt;&gt;"",IF(INDEX(Raw_D3!$L$2:$L$1001,$AR401)="","",INDEX(Raw_D3!$L$2:$L$1001,$AR401)),"")))</f>
        <v>0.87</v>
      </c>
      <c r="M401" s="17">
        <f>IF($A401="","",IF($AQ401&lt;&gt;"",IF(INDEX(Raw_D2!$E$2:$E$1001,$AQ401)="","",INDEX(Raw_D2!$E$2:$E$1001,$AQ401)),IF($AR401&lt;&gt;"",IF(INDEX(Raw_D3!$M$2:$M$1001,$AR401)="","",INDEX(Raw_D3!$M$2:$M$1001,$AR401)),"")))</f>
        <v>0.1642</v>
      </c>
      <c r="N401" s="5">
        <f>IF($A401="","",IF($AQ401&lt;&gt;"",IF(INDEX(Raw_D2!$F$2:$F$1001,$AQ401)="","",INDEX(Raw_D2!$F$2:$F$1001,$AQ401)),IF($AR401&lt;&gt;"",IF(INDEX(Raw_D3!$N$2:$N$1001,$AR401)="","",INDEX(Raw_D3!$N$2:$N$1001,$AR401)),"")))</f>
        <v>3</v>
      </c>
      <c r="O401" s="5">
        <f>IF($A401="","",IF($AQ401&lt;&gt;"",IF(INDEX(Raw_D2!$G$2:$G$1001,$AQ401)="","",INDEX(Raw_D2!$G$2:$G$1001,$AQ401)),IF($AR401&lt;&gt;"",IF(INDEX(Raw_D3!$O$2:$O$1001,$AR401)="","",INDEX(Raw_D3!$O$2:$O$1001,$AR401)),"")))</f>
        <v>32</v>
      </c>
      <c r="P401" s="5">
        <f>IF($A401="","",IF($AQ401&lt;&gt;"",IF(INDEX(Raw_D2!$H$2:$H$1001,$AQ401)="","",INDEX(Raw_D2!$H$2:$H$1001,$AQ401)),IF($AR401&lt;&gt;"",IF(INDEX(Raw_D3!$P$2:$P$1001,$AR401)="","",INDEX(Raw_D3!$P$2:$P$1001,$AR401)),"")))</f>
        <v>35</v>
      </c>
      <c r="Q401" s="5" t="str">
        <f>IF($A401="","",IF(AND($AP401&lt;&gt;"",$AQ401&lt;&gt;""),"D1+D2",IF($AR401&lt;&gt;"","D3","Incomplete")))</f>
        <v>D1+D2</v>
      </c>
      <c r="R401" s="17">
        <f>IF($A401="","",IF($K401="",IF($J401="","",ROUND(Lookups!$K$5+Lookups!$K$4*$J401,4)),$K401))</f>
        <v>0.2273</v>
      </c>
      <c r="S401" s="5" t="str">
        <f>IF($A401="","",IF($K401="","Imputed","Original"))</f>
        <v>Original</v>
      </c>
      <c r="T401" s="5" t="str">
        <f>IF($A401="","",IF($P401="","Missing",IF($P401=$N401+$O401,"OK","Mismatch")))</f>
        <v>OK</v>
      </c>
      <c r="U401" s="5" t="str">
        <f>IF($A401="","",IF(COUNTIF($A$2:$A401,$A401)&gt;1,"Duplicate","Unique"))</f>
        <v>Unique</v>
      </c>
      <c r="V401" s="5">
        <f>IF($A401="","",IF(AND($U401="Unique",ISNUMBER($P401)),1,0))</f>
        <v>1</v>
      </c>
      <c r="W401" s="5" t="str">
        <f>IF($A401="","",IF(OR($H401=0,$H401=6),"Weekend","Weekday"))</f>
        <v>Weekday</v>
      </c>
      <c r="X401" s="5" t="str">
        <f>IF($A401="","",TEXT($B401,"ddd"))</f>
        <v>Tue</v>
      </c>
      <c r="Y401" s="5" t="str">
        <f>IF($A401="","",TEXT($B401,"mmm"))</f>
        <v>Jan</v>
      </c>
      <c r="Z401" s="5" t="str">
        <f>IF($A401="","",IFERROR(VLOOKUP($C401,Lookups!$D$4:$E$7,2,FALSE),"Unknown"))</f>
        <v>Winter</v>
      </c>
      <c r="AA401" s="5" t="str">
        <f>IF($A401="","",IFERROR(VLOOKUP($I401,Lookups!$A$4:$B$7,2,FALSE),"Unknown"))</f>
        <v>Mist/Cloudy</v>
      </c>
      <c r="AB401" s="5" t="str">
        <f>IF($A401="","",TEXT($F401,"00")&amp;":00")</f>
        <v>15:00</v>
      </c>
      <c r="AC401" s="5" t="str">
        <f>IF($A401="","",VLOOKUP($F401,Lookups!$G$4:$H$8,2,TRUE))</f>
        <v>Midday (10-15)</v>
      </c>
      <c r="AD401" s="18">
        <f>IF($A401="","",IF($J401="","",ROUND($J401*41,1)))</f>
        <v>9</v>
      </c>
      <c r="AE401" s="18">
        <f>IF($A401="","",IF($R401="","",ROUND($R401*50,1)))</f>
        <v>11.4</v>
      </c>
      <c r="AF401" s="5">
        <f>IF($A401="","",IF($L401="","",ROUND($L401*100,0)))</f>
        <v>87</v>
      </c>
      <c r="AG401" s="18">
        <f>IF($A401="","",IF($M401="","",ROUND($M401*67,1)))</f>
        <v>11</v>
      </c>
      <c r="AH401" s="19">
        <f>IF($A401="","",IF($P401="","",IF($P401=0,0,$O401/$P401)))</f>
        <v>0.914285714285714</v>
      </c>
      <c r="AI401" s="5" t="str">
        <f>IF($A401="","",IF($P401="","",IF($P401&gt;=Lookups!$K$7,"High",IF($P401&lt;=Lookups!$K$8,"Low","Medium"))))</f>
        <v>Medium</v>
      </c>
      <c r="AJ401" s="5" t="str">
        <f>IF($A401="","",IF($AD401="","",IF($AD401&lt;5,"Under 5 C",IF($AD401&lt;10,"5-10 C",IF($AD401&lt;15,"10-15 C","15 C and above")))))</f>
        <v>5-10 C</v>
      </c>
      <c r="AK401" s="5">
        <f>IF($A401="","",IF($P401="","",$P401^2))</f>
        <v>1225</v>
      </c>
      <c r="AL401" s="18">
        <f>IF($V401&lt;&gt;1,"",AVERAGEIFS(Clean_Data!$P$2:$P$1001,Clean_Data!$F$2:$F$1001,$F401,Clean_Data!$W$2:$W$1001,$W401,Clean_Data!$V$2:$V$1001,1))</f>
        <v>61.4827586206897</v>
      </c>
      <c r="AM401" s="16">
        <f>IF($V401&lt;&gt;1,"",IFERROR(($P401-$AL401)/SQRT(MAX(0,(SUMIFS(Clean_Data!$AK$2:$AK$1001,Clean_Data!$F$2:$F$1001,$F401,Clean_Data!$W$2:$W$1001,$W401,Clean_Data!$V$2:$V$1001,1)-COUNTIFS(Clean_Data!$F$2:$F$1001,$F401,Clean_Data!$W$2:$W$1001,$W401,Clean_Data!$V$2:$V$1001,1)*$AL401^2)/(COUNTIFS(Clean_Data!$F$2:$F$1001,$F401,Clean_Data!$W$2:$W$1001,$W401,Clean_Data!$V$2:$V$1001,1)-1))),""))</f>
        <v>-1.75672199497203</v>
      </c>
      <c r="AN401" s="5" t="str">
        <f>IF($AM401="","",IF($AM401&gt;=Lookups!$K$6,"High spike",IF($AM401&lt;=-Lookups!$K$6,"Unusual low","Normal")))</f>
        <v>Normal</v>
      </c>
      <c r="AO401" s="20">
        <f>IF($V401&lt;&gt;1,"",$P401+ROW()/100000)</f>
        <v>35.00401</v>
      </c>
      <c r="AP401" s="5">
        <f>IF($A401="","",IFERROR(MATCH($A401,Raw_D1!$A$2:$A$1001,0),""))</f>
        <v>400</v>
      </c>
      <c r="AQ401" s="5">
        <f>IF($A401="","",IFERROR(MATCH($A401,Raw_D2!$B$2:$B$1001,0),""))</f>
        <v>400</v>
      </c>
      <c r="AR401" s="5">
        <f>IF($A401="","",IFERROR(MATCH($A401,Raw_D3!$A$2:$A$1001,0),""))</f>
        <v/>
      </c>
    </row>
    <row r="402" spans="1:44" x14ac:dyDescent="0.25">
      <c r="A402" s="5">
        <v>401</v>
      </c>
      <c r="B402" s="11">
        <f>IF($A402="","",IF($AP402&lt;&gt;"",INDEX(Raw_D1!$B$2:$B$1001,$AP402),IF($AR402&lt;&gt;"",INDEX(Raw_D3!$B$2:$B$1001,$AR402),"")))</f>
        <v>40561.0</v>
      </c>
      <c r="C402" s="5">
        <f>IF($A402="","",IF($AP402&lt;&gt;"",INDEX(Raw_D1!$C$2:$C$1001,$AP402),IF($AR402&lt;&gt;"",INDEX(Raw_D3!$C$2:$C$1001,$AR402),"")))</f>
        <v>1</v>
      </c>
      <c r="D402" s="5">
        <f>IF($A402="","",IF($AP402&lt;&gt;"",INDEX(Raw_D1!$D$2:$D$1001,$AP402),IF($AR402&lt;&gt;"",INDEX(Raw_D3!$D$2:$D$1001,$AR402),"")))</f>
        <v>0</v>
      </c>
      <c r="E402" s="5">
        <f>IF($A402="","",IF($AP402&lt;&gt;"",INDEX(Raw_D1!$E$2:$E$1001,$AP402),IF($AR402&lt;&gt;"",INDEX(Raw_D3!$E$2:$E$1001,$AR402),"")))</f>
        <v>1</v>
      </c>
      <c r="F402" s="5">
        <f>IF($A402="","",IF($AP402&lt;&gt;"",INDEX(Raw_D1!$F$2:$F$1001,$AP402),IF($AR402&lt;&gt;"",INDEX(Raw_D3!$F$2:$F$1001,$AR402),"")))</f>
        <v>16</v>
      </c>
      <c r="G402" s="5">
        <f>IF($A402="","",IF($AP402&lt;&gt;"",IF(INDEX(Raw_D1!$G$2:$G$1001,$AP402),1,0),IF($AR402&lt;&gt;"",IF(INDEX(Raw_D3!$G$2:$G$1001,$AR402),1,0),"")))</f>
        <v>0</v>
      </c>
      <c r="H402" s="5">
        <f>IF($A402="","",IF($AP402&lt;&gt;"",INDEX(Raw_D1!$H$2:$H$1001,$AP402),IF($AR402&lt;&gt;"",INDEX(Raw_D3!$H$2:$H$1001,$AR402),"")))</f>
        <v>2</v>
      </c>
      <c r="I402" s="5">
        <f>IF($A402="","",IF($AP402&lt;&gt;"",INDEX(Raw_D1!$I$2:$I$1001,$AP402),IF($AR402&lt;&gt;"",INDEX(Raw_D3!$I$2:$I$1001,$AR402),"")))</f>
        <v>2</v>
      </c>
      <c r="J402" s="16">
        <f>IF($A402="","",IF($AP402&lt;&gt;"",INDEX(Raw_D1!$J$2:$J$1001,$AP402),IF($AR402&lt;&gt;"",INDEX(Raw_D3!$J$2:$J$1001,$AR402),"")))</f>
        <v>0.22</v>
      </c>
      <c r="K402" s="17">
        <f>IF($A402="","",IF($AQ402&lt;&gt;"",IF(INDEX(Raw_D2!$C$2:$C$1001,$AQ402)="","",INDEX(Raw_D2!$C$2:$C$1001,$AQ402)),IF($AR402&lt;&gt;"",IF(INDEX(Raw_D3!$K$2:$K$1001,$AR402)="","",INDEX(Raw_D3!$K$2:$K$1001,$AR402)),"")))</f>
        <v>0.2273</v>
      </c>
      <c r="L402" s="16">
        <f>IF($A402="","",IF($AQ402&lt;&gt;"",IF(INDEX(Raw_D2!$D$2:$D$1001,$AQ402)="","",INDEX(Raw_D2!$D$2:$D$1001,$AQ402)),IF($AR402&lt;&gt;"",IF(INDEX(Raw_D3!$L$2:$L$1001,$AR402)="","",INDEX(Raw_D3!$L$2:$L$1001,$AR402)),"")))</f>
        <v>0.87</v>
      </c>
      <c r="M402" s="17">
        <f>IF($A402="","",IF($AQ402&lt;&gt;"",IF(INDEX(Raw_D2!$E$2:$E$1001,$AQ402)="","",INDEX(Raw_D2!$E$2:$E$1001,$AQ402)),IF($AR402&lt;&gt;"",IF(INDEX(Raw_D3!$M$2:$M$1001,$AR402)="","",INDEX(Raw_D3!$M$2:$M$1001,$AR402)),"")))</f>
        <v>0.194</v>
      </c>
      <c r="N402" s="5">
        <f>IF($A402="","",IF($AQ402&lt;&gt;"",IF(INDEX(Raw_D2!$F$2:$F$1001,$AQ402)="","",INDEX(Raw_D2!$F$2:$F$1001,$AQ402)),IF($AR402&lt;&gt;"",IF(INDEX(Raw_D3!$N$2:$N$1001,$AR402)="","",INDEX(Raw_D3!$N$2:$N$1001,$AR402)),"")))</f>
        <v>0</v>
      </c>
      <c r="O402" s="5">
        <f>IF($A402="","",IF($AQ402&lt;&gt;"",IF(INDEX(Raw_D2!$G$2:$G$1001,$AQ402)="","",INDEX(Raw_D2!$G$2:$G$1001,$AQ402)),IF($AR402&lt;&gt;"",IF(INDEX(Raw_D3!$O$2:$O$1001,$AR402)="","",INDEX(Raw_D3!$O$2:$O$1001,$AR402)),"")))</f>
        <v>61</v>
      </c>
      <c r="P402" s="5">
        <f>IF($A402="","",IF($AQ402&lt;&gt;"",IF(INDEX(Raw_D2!$H$2:$H$1001,$AQ402)="","",INDEX(Raw_D2!$H$2:$H$1001,$AQ402)),IF($AR402&lt;&gt;"",IF(INDEX(Raw_D3!$P$2:$P$1001,$AR402)="","",INDEX(Raw_D3!$P$2:$P$1001,$AR402)),"")))</f>
        <v>61</v>
      </c>
      <c r="Q402" s="5" t="str">
        <f>IF($A402="","",IF(AND($AP402&lt;&gt;"",$AQ402&lt;&gt;""),"D1+D2",IF($AR402&lt;&gt;"","D3","Incomplete")))</f>
        <v>D1+D2</v>
      </c>
      <c r="R402" s="17">
        <f>IF($A402="","",IF($K402="",IF($J402="","",ROUND(Lookups!$K$5+Lookups!$K$4*$J402,4)),$K402))</f>
        <v>0.2273</v>
      </c>
      <c r="S402" s="5" t="str">
        <f>IF($A402="","",IF($K402="","Imputed","Original"))</f>
        <v>Original</v>
      </c>
      <c r="T402" s="5" t="str">
        <f>IF($A402="","",IF($P402="","Missing",IF($P402=$N402+$O402,"OK","Mismatch")))</f>
        <v>OK</v>
      </c>
      <c r="U402" s="5" t="str">
        <f>IF($A402="","",IF(COUNTIF($A$2:$A402,$A402)&gt;1,"Duplicate","Unique"))</f>
        <v>Unique</v>
      </c>
      <c r="V402" s="5">
        <f>IF($A402="","",IF(AND($U402="Unique",ISNUMBER($P402)),1,0))</f>
        <v>1</v>
      </c>
      <c r="W402" s="5" t="str">
        <f>IF($A402="","",IF(OR($H402=0,$H402=6),"Weekend","Weekday"))</f>
        <v>Weekday</v>
      </c>
      <c r="X402" s="5" t="str">
        <f>IF($A402="","",TEXT($B402,"ddd"))</f>
        <v>Tue</v>
      </c>
      <c r="Y402" s="5" t="str">
        <f>IF($A402="","",TEXT($B402,"mmm"))</f>
        <v>Jan</v>
      </c>
      <c r="Z402" s="5" t="str">
        <f>IF($A402="","",IFERROR(VLOOKUP($C402,Lookups!$D$4:$E$7,2,FALSE),"Unknown"))</f>
        <v>Winter</v>
      </c>
      <c r="AA402" s="5" t="str">
        <f>IF($A402="","",IFERROR(VLOOKUP($I402,Lookups!$A$4:$B$7,2,FALSE),"Unknown"))</f>
        <v>Mist/Cloudy</v>
      </c>
      <c r="AB402" s="5" t="str">
        <f>IF($A402="","",TEXT($F402,"00")&amp;":00")</f>
        <v>16:00</v>
      </c>
      <c r="AC402" s="5" t="str">
        <f>IF($A402="","",VLOOKUP($F402,Lookups!$G$4:$H$8,2,TRUE))</f>
        <v>Evening Peak (16-19)</v>
      </c>
      <c r="AD402" s="18">
        <f>IF($A402="","",IF($J402="","",ROUND($J402*41,1)))</f>
        <v>9</v>
      </c>
      <c r="AE402" s="18">
        <f>IF($A402="","",IF($R402="","",ROUND($R402*50,1)))</f>
        <v>11.4</v>
      </c>
      <c r="AF402" s="5">
        <f>IF($A402="","",IF($L402="","",ROUND($L402*100,0)))</f>
        <v>87</v>
      </c>
      <c r="AG402" s="18">
        <f>IF($A402="","",IF($M402="","",ROUND($M402*67,1)))</f>
        <v>13</v>
      </c>
      <c r="AH402" s="19">
        <f>IF($A402="","",IF($P402="","",IF($P402=0,0,$O402/$P402)))</f>
        <v>1</v>
      </c>
      <c r="AI402" s="5" t="str">
        <f>IF($A402="","",IF($P402="","",IF($P402&gt;=Lookups!$K$7,"High",IF($P402&lt;=Lookups!$K$8,"Low","Medium"))))</f>
        <v>Medium</v>
      </c>
      <c r="AJ402" s="5" t="str">
        <f>IF($A402="","",IF($AD402="","",IF($AD402&lt;5,"Under 5 C",IF($AD402&lt;10,"5-10 C",IF($AD402&lt;15,"10-15 C","15 C and above")))))</f>
        <v>5-10 C</v>
      </c>
      <c r="AK402" s="5">
        <f>IF($A402="","",IF($P402="","",$P402^2))</f>
        <v>3721</v>
      </c>
      <c r="AL402" s="18">
        <f>IF($V402&lt;&gt;1,"",AVERAGEIFS(Clean_Data!$P$2:$P$1001,Clean_Data!$F$2:$F$1001,$F402,Clean_Data!$W$2:$W$1001,$W402,Clean_Data!$V$2:$V$1001,1))</f>
        <v>82.6333333333333</v>
      </c>
      <c r="AM402" s="16">
        <f>IF($V402&lt;&gt;1,"",IFERROR(($P402-$AL402)/SQRT(MAX(0,(SUMIFS(Clean_Data!$AK$2:$AK$1001,Clean_Data!$F$2:$F$1001,$F402,Clean_Data!$W$2:$W$1001,$W402,Clean_Data!$V$2:$V$1001,1)-COUNTIFS(Clean_Data!$F$2:$F$1001,$F402,Clean_Data!$W$2:$W$1001,$W402,Clean_Data!$V$2:$V$1001,1)*$AL402^2)/(COUNTIFS(Clean_Data!$F$2:$F$1001,$F402,Clean_Data!$W$2:$W$1001,$W402,Clean_Data!$V$2:$V$1001,1)-1))),""))</f>
        <v>-1.04287709422028</v>
      </c>
      <c r="AN402" s="5" t="str">
        <f>IF($AM402="","",IF($AM402&gt;=Lookups!$K$6,"High spike",IF($AM402&lt;=-Lookups!$K$6,"Unusual low","Normal")))</f>
        <v>Normal</v>
      </c>
      <c r="AO402" s="20">
        <f>IF($V402&lt;&gt;1,"",$P402+ROW()/100000)</f>
        <v>61.00402</v>
      </c>
      <c r="AP402" s="5">
        <f>IF($A402="","",IFERROR(MATCH($A402,Raw_D1!$A$2:$A$1001,0),""))</f>
        <v>401</v>
      </c>
      <c r="AQ402" s="5">
        <f>IF($A402="","",IFERROR(MATCH($A402,Raw_D2!$B$2:$B$1001,0),""))</f>
        <v>401</v>
      </c>
      <c r="AR402" s="5">
        <f>IF($A402="","",IFERROR(MATCH($A402,Raw_D3!$A$2:$A$1001,0),""))</f>
        <v/>
      </c>
    </row>
    <row r="403" spans="1:44" x14ac:dyDescent="0.25">
      <c r="A403" s="5">
        <v>402</v>
      </c>
      <c r="B403" s="11">
        <f>IF($A403="","",IF($AP403&lt;&gt;"",INDEX(Raw_D1!$B$2:$B$1001,$AP403),IF($AR403&lt;&gt;"",INDEX(Raw_D3!$B$2:$B$1001,$AR403),"")))</f>
        <v>40561.0</v>
      </c>
      <c r="C403" s="5">
        <f>IF($A403="","",IF($AP403&lt;&gt;"",INDEX(Raw_D1!$C$2:$C$1001,$AP403),IF($AR403&lt;&gt;"",INDEX(Raw_D3!$C$2:$C$1001,$AR403),"")))</f>
        <v>1</v>
      </c>
      <c r="D403" s="5">
        <f>IF($A403="","",IF($AP403&lt;&gt;"",INDEX(Raw_D1!$D$2:$D$1001,$AP403),IF($AR403&lt;&gt;"",INDEX(Raw_D3!$D$2:$D$1001,$AR403),"")))</f>
        <v>0</v>
      </c>
      <c r="E403" s="5">
        <f>IF($A403="","",IF($AP403&lt;&gt;"",INDEX(Raw_D1!$E$2:$E$1001,$AP403),IF($AR403&lt;&gt;"",INDEX(Raw_D3!$E$2:$E$1001,$AR403),"")))</f>
        <v>1</v>
      </c>
      <c r="F403" s="5">
        <f>IF($A403="","",IF($AP403&lt;&gt;"",INDEX(Raw_D1!$F$2:$F$1001,$AP403),IF($AR403&lt;&gt;"",INDEX(Raw_D3!$F$2:$F$1001,$AR403),"")))</f>
        <v>17</v>
      </c>
      <c r="G403" s="5">
        <f>IF($A403="","",IF($AP403&lt;&gt;"",IF(INDEX(Raw_D1!$G$2:$G$1001,$AP403),1,0),IF($AR403&lt;&gt;"",IF(INDEX(Raw_D3!$G$2:$G$1001,$AR403),1,0),"")))</f>
        <v>0</v>
      </c>
      <c r="H403" s="5">
        <f>IF($A403="","",IF($AP403&lt;&gt;"",INDEX(Raw_D1!$H$2:$H$1001,$AP403),IF($AR403&lt;&gt;"",INDEX(Raw_D3!$H$2:$H$1001,$AR403),"")))</f>
        <v>2</v>
      </c>
      <c r="I403" s="5">
        <f>IF($A403="","",IF($AP403&lt;&gt;"",INDEX(Raw_D1!$I$2:$I$1001,$AP403),IF($AR403&lt;&gt;"",INDEX(Raw_D3!$I$2:$I$1001,$AR403),"")))</f>
        <v>2</v>
      </c>
      <c r="J403" s="16">
        <f>IF($A403="","",IF($AP403&lt;&gt;"",INDEX(Raw_D1!$J$2:$J$1001,$AP403),IF($AR403&lt;&gt;"",INDEX(Raw_D3!$J$2:$J$1001,$AR403),"")))</f>
        <v>0.22</v>
      </c>
      <c r="K403" s="17">
        <f>IF($A403="","",IF($AQ403&lt;&gt;"",IF(INDEX(Raw_D2!$C$2:$C$1001,$AQ403)="","",INDEX(Raw_D2!$C$2:$C$1001,$AQ403)),IF($AR403&lt;&gt;"",IF(INDEX(Raw_D3!$K$2:$K$1001,$AR403)="","",INDEX(Raw_D3!$K$2:$K$1001,$AR403)),"")))</f>
        <v>0.2273</v>
      </c>
      <c r="L403" s="16">
        <f>IF($A403="","",IF($AQ403&lt;&gt;"",IF(INDEX(Raw_D2!$D$2:$D$1001,$AQ403)="","",INDEX(Raw_D2!$D$2:$D$1001,$AQ403)),IF($AR403&lt;&gt;"",IF(INDEX(Raw_D3!$L$2:$L$1001,$AR403)="","",INDEX(Raw_D3!$L$2:$L$1001,$AR403)),"")))</f>
        <v>0.82</v>
      </c>
      <c r="M403" s="17">
        <f>IF($A403="","",IF($AQ403&lt;&gt;"",IF(INDEX(Raw_D2!$E$2:$E$1001,$AQ403)="","",INDEX(Raw_D2!$E$2:$E$1001,$AQ403)),IF($AR403&lt;&gt;"",IF(INDEX(Raw_D3!$M$2:$M$1001,$AR403)="","",INDEX(Raw_D3!$M$2:$M$1001,$AR403)),"")))</f>
        <v>0.194</v>
      </c>
      <c r="N403" s="5">
        <f>IF($A403="","",IF($AQ403&lt;&gt;"",IF(INDEX(Raw_D2!$F$2:$F$1001,$AQ403)="","",INDEX(Raw_D2!$F$2:$F$1001,$AQ403)),IF($AR403&lt;&gt;"",IF(INDEX(Raw_D3!$N$2:$N$1001,$AR403)="","",INDEX(Raw_D3!$N$2:$N$1001,$AR403)),"")))</f>
        <v>1</v>
      </c>
      <c r="O403" s="5">
        <f>IF($A403="","",IF($AQ403&lt;&gt;"",IF(INDEX(Raw_D2!$G$2:$G$1001,$AQ403)="","",INDEX(Raw_D2!$G$2:$G$1001,$AQ403)),IF($AR403&lt;&gt;"",IF(INDEX(Raw_D3!$O$2:$O$1001,$AR403)="","",INDEX(Raw_D3!$O$2:$O$1001,$AR403)),"")))</f>
        <v>124</v>
      </c>
      <c r="P403" s="5">
        <f>IF($A403="","",IF($AQ403&lt;&gt;"",IF(INDEX(Raw_D2!$H$2:$H$1001,$AQ403)="","",INDEX(Raw_D2!$H$2:$H$1001,$AQ403)),IF($AR403&lt;&gt;"",IF(INDEX(Raw_D3!$P$2:$P$1001,$AR403)="","",INDEX(Raw_D3!$P$2:$P$1001,$AR403)),"")))</f>
        <v>125</v>
      </c>
      <c r="Q403" s="5" t="str">
        <f>IF($A403="","",IF(AND($AP403&lt;&gt;"",$AQ403&lt;&gt;""),"D1+D2",IF($AR403&lt;&gt;"","D3","Incomplete")))</f>
        <v>D1+D2</v>
      </c>
      <c r="R403" s="17">
        <f>IF($A403="","",IF($K403="",IF($J403="","",ROUND(Lookups!$K$5+Lookups!$K$4*$J403,4)),$K403))</f>
        <v>0.2273</v>
      </c>
      <c r="S403" s="5" t="str">
        <f>IF($A403="","",IF($K403="","Imputed","Original"))</f>
        <v>Original</v>
      </c>
      <c r="T403" s="5" t="str">
        <f>IF($A403="","",IF($P403="","Missing",IF($P403=$N403+$O403,"OK","Mismatch")))</f>
        <v>OK</v>
      </c>
      <c r="U403" s="5" t="str">
        <f>IF($A403="","",IF(COUNTIF($A$2:$A403,$A403)&gt;1,"Duplicate","Unique"))</f>
        <v>Unique</v>
      </c>
      <c r="V403" s="5">
        <f>IF($A403="","",IF(AND($U403="Unique",ISNUMBER($P403)),1,0))</f>
        <v>1</v>
      </c>
      <c r="W403" s="5" t="str">
        <f>IF($A403="","",IF(OR($H403=0,$H403=6),"Weekend","Weekday"))</f>
        <v>Weekday</v>
      </c>
      <c r="X403" s="5" t="str">
        <f>IF($A403="","",TEXT($B403,"ddd"))</f>
        <v>Tue</v>
      </c>
      <c r="Y403" s="5" t="str">
        <f>IF($A403="","",TEXT($B403,"mmm"))</f>
        <v>Jan</v>
      </c>
      <c r="Z403" s="5" t="str">
        <f>IF($A403="","",IFERROR(VLOOKUP($C403,Lookups!$D$4:$E$7,2,FALSE),"Unknown"))</f>
        <v>Winter</v>
      </c>
      <c r="AA403" s="5" t="str">
        <f>IF($A403="","",IFERROR(VLOOKUP($I403,Lookups!$A$4:$B$7,2,FALSE),"Unknown"))</f>
        <v>Mist/Cloudy</v>
      </c>
      <c r="AB403" s="5" t="str">
        <f>IF($A403="","",TEXT($F403,"00")&amp;":00")</f>
        <v>17:00</v>
      </c>
      <c r="AC403" s="5" t="str">
        <f>IF($A403="","",VLOOKUP($F403,Lookups!$G$4:$H$8,2,TRUE))</f>
        <v>Evening Peak (16-19)</v>
      </c>
      <c r="AD403" s="18">
        <f>IF($A403="","",IF($J403="","",ROUND($J403*41,1)))</f>
        <v>9</v>
      </c>
      <c r="AE403" s="18">
        <f>IF($A403="","",IF($R403="","",ROUND($R403*50,1)))</f>
        <v>11.4</v>
      </c>
      <c r="AF403" s="5">
        <f>IF($A403="","",IF($L403="","",ROUND($L403*100,0)))</f>
        <v>82</v>
      </c>
      <c r="AG403" s="18">
        <f>IF($A403="","",IF($M403="","",ROUND($M403*67,1)))</f>
        <v>13</v>
      </c>
      <c r="AH403" s="19">
        <f>IF($A403="","",IF($P403="","",IF($P403=0,0,$O403/$P403)))</f>
        <v>0.992</v>
      </c>
      <c r="AI403" s="5" t="str">
        <f>IF($A403="","",IF($P403="","",IF($P403&gt;=Lookups!$K$7,"High",IF($P403&lt;=Lookups!$K$8,"Low","Medium"))))</f>
        <v>High</v>
      </c>
      <c r="AJ403" s="5" t="str">
        <f>IF($A403="","",IF($AD403="","",IF($AD403&lt;5,"Under 5 C",IF($AD403&lt;10,"5-10 C",IF($AD403&lt;15,"10-15 C","15 C and above")))))</f>
        <v>5-10 C</v>
      </c>
      <c r="AK403" s="5">
        <f>IF($A403="","",IF($P403="","",$P403^2))</f>
        <v>15625</v>
      </c>
      <c r="AL403" s="18">
        <f>IF($V403&lt;&gt;1,"",AVERAGEIFS(Clean_Data!$P$2:$P$1001,Clean_Data!$F$2:$F$1001,$F403,Clean_Data!$W$2:$W$1001,$W403,Clean_Data!$V$2:$V$1001,1))</f>
        <v>165.566666666667</v>
      </c>
      <c r="AM403" s="16">
        <f>IF($V403&lt;&gt;1,"",IFERROR(($P403-$AL403)/SQRT(MAX(0,(SUMIFS(Clean_Data!$AK$2:$AK$1001,Clean_Data!$F$2:$F$1001,$F403,Clean_Data!$W$2:$W$1001,$W403,Clean_Data!$V$2:$V$1001,1)-COUNTIFS(Clean_Data!$F$2:$F$1001,$F403,Clean_Data!$W$2:$W$1001,$W403,Clean_Data!$V$2:$V$1001,1)*$AL403^2)/(COUNTIFS(Clean_Data!$F$2:$F$1001,$F403,Clean_Data!$W$2:$W$1001,$W403,Clean_Data!$V$2:$V$1001,1)-1))),""))</f>
        <v>-0.92169585336787</v>
      </c>
      <c r="AN403" s="5" t="str">
        <f>IF($AM403="","",IF($AM403&gt;=Lookups!$K$6,"High spike",IF($AM403&lt;=-Lookups!$K$6,"Unusual low","Normal")))</f>
        <v>Normal</v>
      </c>
      <c r="AO403" s="20">
        <f>IF($V403&lt;&gt;1,"",$P403+ROW()/100000)</f>
        <v>125.00403</v>
      </c>
      <c r="AP403" s="5">
        <f>IF($A403="","",IFERROR(MATCH($A403,Raw_D1!$A$2:$A$1001,0),""))</f>
        <v>402</v>
      </c>
      <c r="AQ403" s="5">
        <f>IF($A403="","",IFERROR(MATCH($A403,Raw_D2!$B$2:$B$1001,0),""))</f>
        <v>402</v>
      </c>
      <c r="AR403" s="5">
        <f>IF($A403="","",IFERROR(MATCH($A403,Raw_D3!$A$2:$A$1001,0),""))</f>
        <v/>
      </c>
    </row>
    <row r="404" spans="1:44" x14ac:dyDescent="0.25">
      <c r="A404" s="5">
        <v>403</v>
      </c>
      <c r="B404" s="11">
        <f>IF($A404="","",IF($AP404&lt;&gt;"",INDEX(Raw_D1!$B$2:$B$1001,$AP404),IF($AR404&lt;&gt;"",INDEX(Raw_D3!$B$2:$B$1001,$AR404),"")))</f>
        <v>40561.0</v>
      </c>
      <c r="C404" s="5">
        <f>IF($A404="","",IF($AP404&lt;&gt;"",INDEX(Raw_D1!$C$2:$C$1001,$AP404),IF($AR404&lt;&gt;"",INDEX(Raw_D3!$C$2:$C$1001,$AR404),"")))</f>
        <v>1</v>
      </c>
      <c r="D404" s="5">
        <f>IF($A404="","",IF($AP404&lt;&gt;"",INDEX(Raw_D1!$D$2:$D$1001,$AP404),IF($AR404&lt;&gt;"",INDEX(Raw_D3!$D$2:$D$1001,$AR404),"")))</f>
        <v>0</v>
      </c>
      <c r="E404" s="5">
        <f>IF($A404="","",IF($AP404&lt;&gt;"",INDEX(Raw_D1!$E$2:$E$1001,$AP404),IF($AR404&lt;&gt;"",INDEX(Raw_D3!$E$2:$E$1001,$AR404),"")))</f>
        <v>1</v>
      </c>
      <c r="F404" s="5">
        <f>IF($A404="","",IF($AP404&lt;&gt;"",INDEX(Raw_D1!$F$2:$F$1001,$AP404),IF($AR404&lt;&gt;"",INDEX(Raw_D3!$F$2:$F$1001,$AR404),"")))</f>
        <v>18</v>
      </c>
      <c r="G404" s="5">
        <f>IF($A404="","",IF($AP404&lt;&gt;"",IF(INDEX(Raw_D1!$G$2:$G$1001,$AP404),1,0),IF($AR404&lt;&gt;"",IF(INDEX(Raw_D3!$G$2:$G$1001,$AR404),1,0),"")))</f>
        <v>0</v>
      </c>
      <c r="H404" s="5">
        <f>IF($A404="","",IF($AP404&lt;&gt;"",INDEX(Raw_D1!$H$2:$H$1001,$AP404),IF($AR404&lt;&gt;"",INDEX(Raw_D3!$H$2:$H$1001,$AR404),"")))</f>
        <v>2</v>
      </c>
      <c r="I404" s="5">
        <f>IF($A404="","",IF($AP404&lt;&gt;"",INDEX(Raw_D1!$I$2:$I$1001,$AP404),IF($AR404&lt;&gt;"",INDEX(Raw_D3!$I$2:$I$1001,$AR404),"")))</f>
        <v>2</v>
      </c>
      <c r="J404" s="16">
        <f>IF($A404="","",IF($AP404&lt;&gt;"",INDEX(Raw_D1!$J$2:$J$1001,$AP404),IF($AR404&lt;&gt;"",INDEX(Raw_D3!$J$2:$J$1001,$AR404),"")))</f>
        <v>0.22</v>
      </c>
      <c r="K404" s="17">
        <f>IF($A404="","",IF($AQ404&lt;&gt;"",IF(INDEX(Raw_D2!$C$2:$C$1001,$AQ404)="","",INDEX(Raw_D2!$C$2:$C$1001,$AQ404)),IF($AR404&lt;&gt;"",IF(INDEX(Raw_D3!$K$2:$K$1001,$AR404)="","",INDEX(Raw_D3!$K$2:$K$1001,$AR404)),"")))</f>
        <v>0.2273</v>
      </c>
      <c r="L404" s="16">
        <f>IF($A404="","",IF($AQ404&lt;&gt;"",IF(INDEX(Raw_D2!$D$2:$D$1001,$AQ404)="","",INDEX(Raw_D2!$D$2:$D$1001,$AQ404)),IF($AR404&lt;&gt;"",IF(INDEX(Raw_D3!$L$2:$L$1001,$AR404)="","",INDEX(Raw_D3!$L$2:$L$1001,$AR404)),"")))</f>
        <v>0.8</v>
      </c>
      <c r="M404" s="17">
        <f>IF($A404="","",IF($AQ404&lt;&gt;"",IF(INDEX(Raw_D2!$E$2:$E$1001,$AQ404)="","",INDEX(Raw_D2!$E$2:$E$1001,$AQ404)),IF($AR404&lt;&gt;"",IF(INDEX(Raw_D3!$M$2:$M$1001,$AR404)="","",INDEX(Raw_D3!$M$2:$M$1001,$AR404)),"")))</f>
        <v>0.1642</v>
      </c>
      <c r="N404" s="5">
        <f>IF($A404="","",IF($AQ404&lt;&gt;"",IF(INDEX(Raw_D2!$F$2:$F$1001,$AQ404)="","",INDEX(Raw_D2!$F$2:$F$1001,$AQ404)),IF($AR404&lt;&gt;"",IF(INDEX(Raw_D3!$N$2:$N$1001,$AR404)="","",INDEX(Raw_D3!$N$2:$N$1001,$AR404)),"")))</f>
        <v>1</v>
      </c>
      <c r="O404" s="5">
        <f>IF($A404="","",IF($AQ404&lt;&gt;"",IF(INDEX(Raw_D2!$G$2:$G$1001,$AQ404)="","",INDEX(Raw_D2!$G$2:$G$1001,$AQ404)),IF($AR404&lt;&gt;"",IF(INDEX(Raw_D3!$O$2:$O$1001,$AR404)="","",INDEX(Raw_D3!$O$2:$O$1001,$AR404)),"")))</f>
        <v>132</v>
      </c>
      <c r="P404" s="5">
        <f>IF($A404="","",IF($AQ404&lt;&gt;"",IF(INDEX(Raw_D2!$H$2:$H$1001,$AQ404)="","",INDEX(Raw_D2!$H$2:$H$1001,$AQ404)),IF($AR404&lt;&gt;"",IF(INDEX(Raw_D3!$P$2:$P$1001,$AR404)="","",INDEX(Raw_D3!$P$2:$P$1001,$AR404)),"")))</f>
        <v>133</v>
      </c>
      <c r="Q404" s="5" t="str">
        <f>IF($A404="","",IF(AND($AP404&lt;&gt;"",$AQ404&lt;&gt;""),"D1+D2",IF($AR404&lt;&gt;"","D3","Incomplete")))</f>
        <v>D1+D2</v>
      </c>
      <c r="R404" s="17">
        <f>IF($A404="","",IF($K404="",IF($J404="","",ROUND(Lookups!$K$5+Lookups!$K$4*$J404,4)),$K404))</f>
        <v>0.2273</v>
      </c>
      <c r="S404" s="5" t="str">
        <f>IF($A404="","",IF($K404="","Imputed","Original"))</f>
        <v>Original</v>
      </c>
      <c r="T404" s="5" t="str">
        <f>IF($A404="","",IF($P404="","Missing",IF($P404=$N404+$O404,"OK","Mismatch")))</f>
        <v>OK</v>
      </c>
      <c r="U404" s="5" t="str">
        <f>IF($A404="","",IF(COUNTIF($A$2:$A404,$A404)&gt;1,"Duplicate","Unique"))</f>
        <v>Unique</v>
      </c>
      <c r="V404" s="5">
        <f>IF($A404="","",IF(AND($U404="Unique",ISNUMBER($P404)),1,0))</f>
        <v>1</v>
      </c>
      <c r="W404" s="5" t="str">
        <f>IF($A404="","",IF(OR($H404=0,$H404=6),"Weekend","Weekday"))</f>
        <v>Weekday</v>
      </c>
      <c r="X404" s="5" t="str">
        <f>IF($A404="","",TEXT($B404,"ddd"))</f>
        <v>Tue</v>
      </c>
      <c r="Y404" s="5" t="str">
        <f>IF($A404="","",TEXT($B404,"mmm"))</f>
        <v>Jan</v>
      </c>
      <c r="Z404" s="5" t="str">
        <f>IF($A404="","",IFERROR(VLOOKUP($C404,Lookups!$D$4:$E$7,2,FALSE),"Unknown"))</f>
        <v>Winter</v>
      </c>
      <c r="AA404" s="5" t="str">
        <f>IF($A404="","",IFERROR(VLOOKUP($I404,Lookups!$A$4:$B$7,2,FALSE),"Unknown"))</f>
        <v>Mist/Cloudy</v>
      </c>
      <c r="AB404" s="5" t="str">
        <f>IF($A404="","",TEXT($F404,"00")&amp;":00")</f>
        <v>18:00</v>
      </c>
      <c r="AC404" s="5" t="str">
        <f>IF($A404="","",VLOOKUP($F404,Lookups!$G$4:$H$8,2,TRUE))</f>
        <v>Evening Peak (16-19)</v>
      </c>
      <c r="AD404" s="18">
        <f>IF($A404="","",IF($J404="","",ROUND($J404*41,1)))</f>
        <v>9</v>
      </c>
      <c r="AE404" s="18">
        <f>IF($A404="","",IF($R404="","",ROUND($R404*50,1)))</f>
        <v>11.4</v>
      </c>
      <c r="AF404" s="5">
        <f>IF($A404="","",IF($L404="","",ROUND($L404*100,0)))</f>
        <v>80</v>
      </c>
      <c r="AG404" s="18">
        <f>IF($A404="","",IF($M404="","",ROUND($M404*67,1)))</f>
        <v>11</v>
      </c>
      <c r="AH404" s="19">
        <f>IF($A404="","",IF($P404="","",IF($P404=0,0,$O404/$P404)))</f>
        <v>0.992481203007519</v>
      </c>
      <c r="AI404" s="5" t="str">
        <f>IF($A404="","",IF($P404="","",IF($P404&gt;=Lookups!$K$7,"High",IF($P404&lt;=Lookups!$K$8,"Low","Medium"))))</f>
        <v>High</v>
      </c>
      <c r="AJ404" s="5" t="str">
        <f>IF($A404="","",IF($AD404="","",IF($AD404&lt;5,"Under 5 C",IF($AD404&lt;10,"5-10 C",IF($AD404&lt;15,"10-15 C","15 C and above")))))</f>
        <v>5-10 C</v>
      </c>
      <c r="AK404" s="5">
        <f>IF($A404="","",IF($P404="","",$P404^2))</f>
        <v>17689</v>
      </c>
      <c r="AL404" s="18">
        <f>IF($V404&lt;&gt;1,"",AVERAGEIFS(Clean_Data!$P$2:$P$1001,Clean_Data!$F$2:$F$1001,$F404,Clean_Data!$W$2:$W$1001,$W404,Clean_Data!$V$2:$V$1001,1))</f>
        <v>151.206896551724</v>
      </c>
      <c r="AM404" s="16">
        <f>IF($V404&lt;&gt;1,"",IFERROR(($P404-$AL404)/SQRT(MAX(0,(SUMIFS(Clean_Data!$AK$2:$AK$1001,Clean_Data!$F$2:$F$1001,$F404,Clean_Data!$W$2:$W$1001,$W404,Clean_Data!$V$2:$V$1001,1)-COUNTIFS(Clean_Data!$F$2:$F$1001,$F404,Clean_Data!$W$2:$W$1001,$W404,Clean_Data!$V$2:$V$1001,1)*$AL404^2)/(COUNTIFS(Clean_Data!$F$2:$F$1001,$F404,Clean_Data!$W$2:$W$1001,$W404,Clean_Data!$V$2:$V$1001,1)-1))),""))</f>
        <v>-0.620350968704744</v>
      </c>
      <c r="AN404" s="5" t="str">
        <f>IF($AM404="","",IF($AM404&gt;=Lookups!$K$6,"High spike",IF($AM404&lt;=-Lookups!$K$6,"Unusual low","Normal")))</f>
        <v>Normal</v>
      </c>
      <c r="AO404" s="20">
        <f>IF($V404&lt;&gt;1,"",$P404+ROW()/100000)</f>
        <v>133.00404</v>
      </c>
      <c r="AP404" s="5">
        <f>IF($A404="","",IFERROR(MATCH($A404,Raw_D1!$A$2:$A$1001,0),""))</f>
        <v>403</v>
      </c>
      <c r="AQ404" s="5">
        <f>IF($A404="","",IFERROR(MATCH($A404,Raw_D2!$B$2:$B$1001,0),""))</f>
        <v>403</v>
      </c>
      <c r="AR404" s="5">
        <f>IF($A404="","",IFERROR(MATCH($A404,Raw_D3!$A$2:$A$1001,0),""))</f>
        <v/>
      </c>
    </row>
    <row r="405" spans="1:44" x14ac:dyDescent="0.25">
      <c r="A405" s="5">
        <v>404</v>
      </c>
      <c r="B405" s="11">
        <f>IF($A405="","",IF($AP405&lt;&gt;"",INDEX(Raw_D1!$B$2:$B$1001,$AP405),IF($AR405&lt;&gt;"",INDEX(Raw_D3!$B$2:$B$1001,$AR405),"")))</f>
        <v>40561.0</v>
      </c>
      <c r="C405" s="5">
        <f>IF($A405="","",IF($AP405&lt;&gt;"",INDEX(Raw_D1!$C$2:$C$1001,$AP405),IF($AR405&lt;&gt;"",INDEX(Raw_D3!$C$2:$C$1001,$AR405),"")))</f>
        <v>1</v>
      </c>
      <c r="D405" s="5">
        <f>IF($A405="","",IF($AP405&lt;&gt;"",INDEX(Raw_D1!$D$2:$D$1001,$AP405),IF($AR405&lt;&gt;"",INDEX(Raw_D3!$D$2:$D$1001,$AR405),"")))</f>
        <v>0</v>
      </c>
      <c r="E405" s="5">
        <f>IF($A405="","",IF($AP405&lt;&gt;"",INDEX(Raw_D1!$E$2:$E$1001,$AP405),IF($AR405&lt;&gt;"",INDEX(Raw_D3!$E$2:$E$1001,$AR405),"")))</f>
        <v>1</v>
      </c>
      <c r="F405" s="5">
        <f>IF($A405="","",IF($AP405&lt;&gt;"",INDEX(Raw_D1!$F$2:$F$1001,$AP405),IF($AR405&lt;&gt;"",INDEX(Raw_D3!$F$2:$F$1001,$AR405),"")))</f>
        <v>19</v>
      </c>
      <c r="G405" s="5">
        <f>IF($A405="","",IF($AP405&lt;&gt;"",IF(INDEX(Raw_D1!$G$2:$G$1001,$AP405),1,0),IF($AR405&lt;&gt;"",IF(INDEX(Raw_D3!$G$2:$G$1001,$AR405),1,0),"")))</f>
        <v>0</v>
      </c>
      <c r="H405" s="5">
        <f>IF($A405="","",IF($AP405&lt;&gt;"",INDEX(Raw_D1!$H$2:$H$1001,$AP405),IF($AR405&lt;&gt;"",INDEX(Raw_D3!$H$2:$H$1001,$AR405),"")))</f>
        <v>2</v>
      </c>
      <c r="I405" s="5">
        <f>IF($A405="","",IF($AP405&lt;&gt;"",INDEX(Raw_D1!$I$2:$I$1001,$AP405),IF($AR405&lt;&gt;"",INDEX(Raw_D3!$I$2:$I$1001,$AR405),"")))</f>
        <v>2</v>
      </c>
      <c r="J405" s="16">
        <f>IF($A405="","",IF($AP405&lt;&gt;"",INDEX(Raw_D1!$J$2:$J$1001,$AP405),IF($AR405&lt;&gt;"",INDEX(Raw_D3!$J$2:$J$1001,$AR405),"")))</f>
        <v>0.22</v>
      </c>
      <c r="K405" s="17">
        <f>IF($A405="","",IF($AQ405&lt;&gt;"",IF(INDEX(Raw_D2!$C$2:$C$1001,$AQ405)="","",INDEX(Raw_D2!$C$2:$C$1001,$AQ405)),IF($AR405&lt;&gt;"",IF(INDEX(Raw_D3!$K$2:$K$1001,$AR405)="","",INDEX(Raw_D3!$K$2:$K$1001,$AR405)),"")))</f>
        <v>0.2273</v>
      </c>
      <c r="L405" s="16">
        <f>IF($A405="","",IF($AQ405&lt;&gt;"",IF(INDEX(Raw_D2!$D$2:$D$1001,$AQ405)="","",INDEX(Raw_D2!$D$2:$D$1001,$AQ405)),IF($AR405&lt;&gt;"",IF(INDEX(Raw_D3!$L$2:$L$1001,$AR405)="","",INDEX(Raw_D3!$L$2:$L$1001,$AR405)),"")))</f>
        <v>0.8</v>
      </c>
      <c r="M405" s="17">
        <f>IF($A405="","",IF($AQ405&lt;&gt;"",IF(INDEX(Raw_D2!$E$2:$E$1001,$AQ405)="","",INDEX(Raw_D2!$E$2:$E$1001,$AQ405)),IF($AR405&lt;&gt;"",IF(INDEX(Raw_D3!$M$2:$M$1001,$AR405)="","",INDEX(Raw_D3!$M$2:$M$1001,$AR405)),"")))</f>
        <v>0.1343</v>
      </c>
      <c r="N405" s="5">
        <f>IF($A405="","",IF($AQ405&lt;&gt;"",IF(INDEX(Raw_D2!$F$2:$F$1001,$AQ405)="","",INDEX(Raw_D2!$F$2:$F$1001,$AQ405)),IF($AR405&lt;&gt;"",IF(INDEX(Raw_D3!$N$2:$N$1001,$AR405)="","",INDEX(Raw_D3!$N$2:$N$1001,$AR405)),"")))</f>
        <v>1</v>
      </c>
      <c r="O405" s="5">
        <f>IF($A405="","",IF($AQ405&lt;&gt;"",IF(INDEX(Raw_D2!$G$2:$G$1001,$AQ405)="","",INDEX(Raw_D2!$G$2:$G$1001,$AQ405)),IF($AR405&lt;&gt;"",IF(INDEX(Raw_D3!$O$2:$O$1001,$AR405)="","",INDEX(Raw_D3!$O$2:$O$1001,$AR405)),"")))</f>
        <v>98</v>
      </c>
      <c r="P405" s="5">
        <f>IF($A405="","",IF($AQ405&lt;&gt;"",IF(INDEX(Raw_D2!$H$2:$H$1001,$AQ405)="","",INDEX(Raw_D2!$H$2:$H$1001,$AQ405)),IF($AR405&lt;&gt;"",IF(INDEX(Raw_D3!$P$2:$P$1001,$AR405)="","",INDEX(Raw_D3!$P$2:$P$1001,$AR405)),"")))</f>
        <v>99</v>
      </c>
      <c r="Q405" s="5" t="str">
        <f>IF($A405="","",IF(AND($AP405&lt;&gt;"",$AQ405&lt;&gt;""),"D1+D2",IF($AR405&lt;&gt;"","D3","Incomplete")))</f>
        <v>D1+D2</v>
      </c>
      <c r="R405" s="17">
        <f>IF($A405="","",IF($K405="",IF($J405="","",ROUND(Lookups!$K$5+Lookups!$K$4*$J405,4)),$K405))</f>
        <v>0.2273</v>
      </c>
      <c r="S405" s="5" t="str">
        <f>IF($A405="","",IF($K405="","Imputed","Original"))</f>
        <v>Original</v>
      </c>
      <c r="T405" s="5" t="str">
        <f>IF($A405="","",IF($P405="","Missing",IF($P405=$N405+$O405,"OK","Mismatch")))</f>
        <v>OK</v>
      </c>
      <c r="U405" s="5" t="str">
        <f>IF($A405="","",IF(COUNTIF($A$2:$A405,$A405)&gt;1,"Duplicate","Unique"))</f>
        <v>Unique</v>
      </c>
      <c r="V405" s="5">
        <f>IF($A405="","",IF(AND($U405="Unique",ISNUMBER($P405)),1,0))</f>
        <v>1</v>
      </c>
      <c r="W405" s="5" t="str">
        <f>IF($A405="","",IF(OR($H405=0,$H405=6),"Weekend","Weekday"))</f>
        <v>Weekday</v>
      </c>
      <c r="X405" s="5" t="str">
        <f>IF($A405="","",TEXT($B405,"ddd"))</f>
        <v>Tue</v>
      </c>
      <c r="Y405" s="5" t="str">
        <f>IF($A405="","",TEXT($B405,"mmm"))</f>
        <v>Jan</v>
      </c>
      <c r="Z405" s="5" t="str">
        <f>IF($A405="","",IFERROR(VLOOKUP($C405,Lookups!$D$4:$E$7,2,FALSE),"Unknown"))</f>
        <v>Winter</v>
      </c>
      <c r="AA405" s="5" t="str">
        <f>IF($A405="","",IFERROR(VLOOKUP($I405,Lookups!$A$4:$B$7,2,FALSE),"Unknown"))</f>
        <v>Mist/Cloudy</v>
      </c>
      <c r="AB405" s="5" t="str">
        <f>IF($A405="","",TEXT($F405,"00")&amp;":00")</f>
        <v>19:00</v>
      </c>
      <c r="AC405" s="5" t="str">
        <f>IF($A405="","",VLOOKUP($F405,Lookups!$G$4:$H$8,2,TRUE))</f>
        <v>Evening Peak (16-19)</v>
      </c>
      <c r="AD405" s="18">
        <f>IF($A405="","",IF($J405="","",ROUND($J405*41,1)))</f>
        <v>9</v>
      </c>
      <c r="AE405" s="18">
        <f>IF($A405="","",IF($R405="","",ROUND($R405*50,1)))</f>
        <v>11.4</v>
      </c>
      <c r="AF405" s="5">
        <f>IF($A405="","",IF($L405="","",ROUND($L405*100,0)))</f>
        <v>80</v>
      </c>
      <c r="AG405" s="18">
        <f>IF($A405="","",IF($M405="","",ROUND($M405*67,1)))</f>
        <v>9</v>
      </c>
      <c r="AH405" s="19">
        <f>IF($A405="","",IF($P405="","",IF($P405=0,0,$O405/$P405)))</f>
        <v>0.98989898989899</v>
      </c>
      <c r="AI405" s="5" t="str">
        <f>IF($A405="","",IF($P405="","",IF($P405&gt;=Lookups!$K$7,"High",IF($P405&lt;=Lookups!$K$8,"Low","Medium"))))</f>
        <v>High</v>
      </c>
      <c r="AJ405" s="5" t="str">
        <f>IF($A405="","",IF($AD405="","",IF($AD405&lt;5,"Under 5 C",IF($AD405&lt;10,"5-10 C",IF($AD405&lt;15,"10-15 C","15 C and above")))))</f>
        <v>5-10 C</v>
      </c>
      <c r="AK405" s="5">
        <f>IF($A405="","",IF($P405="","",$P405^2))</f>
        <v>9801</v>
      </c>
      <c r="AL405" s="18">
        <f>IF($V405&lt;&gt;1,"",AVERAGEIFS(Clean_Data!$P$2:$P$1001,Clean_Data!$F$2:$F$1001,$F405,Clean_Data!$W$2:$W$1001,$W405,Clean_Data!$V$2:$V$1001,1))</f>
        <v>102.034482758621</v>
      </c>
      <c r="AM405" s="16">
        <f>IF($V405&lt;&gt;1,"",IFERROR(($P405-$AL405)/SQRT(MAX(0,(SUMIFS(Clean_Data!$AK$2:$AK$1001,Clean_Data!$F$2:$F$1001,$F405,Clean_Data!$W$2:$W$1001,$W405,Clean_Data!$V$2:$V$1001,1)-COUNTIFS(Clean_Data!$F$2:$F$1001,$F405,Clean_Data!$W$2:$W$1001,$W405,Clean_Data!$V$2:$V$1001,1)*$AL405^2)/(COUNTIFS(Clean_Data!$F$2:$F$1001,$F405,Clean_Data!$W$2:$W$1001,$W405,Clean_Data!$V$2:$V$1001,1)-1))),""))</f>
        <v>-0.142814915287173</v>
      </c>
      <c r="AN405" s="5" t="str">
        <f>IF($AM405="","",IF($AM405&gt;=Lookups!$K$6,"High spike",IF($AM405&lt;=-Lookups!$K$6,"Unusual low","Normal")))</f>
        <v>Normal</v>
      </c>
      <c r="AO405" s="20">
        <f>IF($V405&lt;&gt;1,"",$P405+ROW()/100000)</f>
        <v>99.00405</v>
      </c>
      <c r="AP405" s="5">
        <f>IF($A405="","",IFERROR(MATCH($A405,Raw_D1!$A$2:$A$1001,0),""))</f>
        <v>404</v>
      </c>
      <c r="AQ405" s="5">
        <f>IF($A405="","",IFERROR(MATCH($A405,Raw_D2!$B$2:$B$1001,0),""))</f>
        <v>404</v>
      </c>
      <c r="AR405" s="5">
        <f>IF($A405="","",IFERROR(MATCH($A405,Raw_D3!$A$2:$A$1001,0),""))</f>
        <v/>
      </c>
    </row>
    <row r="406" spans="1:44" x14ac:dyDescent="0.25">
      <c r="A406" s="5">
        <v>405</v>
      </c>
      <c r="B406" s="11">
        <f>IF($A406="","",IF($AP406&lt;&gt;"",INDEX(Raw_D1!$B$2:$B$1001,$AP406),IF($AR406&lt;&gt;"",INDEX(Raw_D3!$B$2:$B$1001,$AR406),"")))</f>
        <v>40561.0</v>
      </c>
      <c r="C406" s="5">
        <f>IF($A406="","",IF($AP406&lt;&gt;"",INDEX(Raw_D1!$C$2:$C$1001,$AP406),IF($AR406&lt;&gt;"",INDEX(Raw_D3!$C$2:$C$1001,$AR406),"")))</f>
        <v>1</v>
      </c>
      <c r="D406" s="5">
        <f>IF($A406="","",IF($AP406&lt;&gt;"",INDEX(Raw_D1!$D$2:$D$1001,$AP406),IF($AR406&lt;&gt;"",INDEX(Raw_D3!$D$2:$D$1001,$AR406),"")))</f>
        <v>0</v>
      </c>
      <c r="E406" s="5">
        <f>IF($A406="","",IF($AP406&lt;&gt;"",INDEX(Raw_D1!$E$2:$E$1001,$AP406),IF($AR406&lt;&gt;"",INDEX(Raw_D3!$E$2:$E$1001,$AR406),"")))</f>
        <v>1</v>
      </c>
      <c r="F406" s="5">
        <f>IF($A406="","",IF($AP406&lt;&gt;"",INDEX(Raw_D1!$F$2:$F$1001,$AP406),IF($AR406&lt;&gt;"",INDEX(Raw_D3!$F$2:$F$1001,$AR406),"")))</f>
        <v>20</v>
      </c>
      <c r="G406" s="5">
        <f>IF($A406="","",IF($AP406&lt;&gt;"",IF(INDEX(Raw_D1!$G$2:$G$1001,$AP406),1,0),IF($AR406&lt;&gt;"",IF(INDEX(Raw_D3!$G$2:$G$1001,$AR406),1,0),"")))</f>
        <v>0</v>
      </c>
      <c r="H406" s="5">
        <f>IF($A406="","",IF($AP406&lt;&gt;"",INDEX(Raw_D1!$H$2:$H$1001,$AP406),IF($AR406&lt;&gt;"",INDEX(Raw_D3!$H$2:$H$1001,$AR406),"")))</f>
        <v>2</v>
      </c>
      <c r="I406" s="5">
        <f>IF($A406="","",IF($AP406&lt;&gt;"",INDEX(Raw_D1!$I$2:$I$1001,$AP406),IF($AR406&lt;&gt;"",INDEX(Raw_D3!$I$2:$I$1001,$AR406),"")))</f>
        <v>2</v>
      </c>
      <c r="J406" s="16">
        <f>IF($A406="","",IF($AP406&lt;&gt;"",INDEX(Raw_D1!$J$2:$J$1001,$AP406),IF($AR406&lt;&gt;"",INDEX(Raw_D3!$J$2:$J$1001,$AR406),"")))</f>
        <v>0.22</v>
      </c>
      <c r="K406" s="17">
        <f>IF($A406="","",IF($AQ406&lt;&gt;"",IF(INDEX(Raw_D2!$C$2:$C$1001,$AQ406)="","",INDEX(Raw_D2!$C$2:$C$1001,$AQ406)),IF($AR406&lt;&gt;"",IF(INDEX(Raw_D3!$K$2:$K$1001,$AR406)="","",INDEX(Raw_D3!$K$2:$K$1001,$AR406)),"")))</f>
        <v>0.2727</v>
      </c>
      <c r="L406" s="16">
        <f>IF($A406="","",IF($AQ406&lt;&gt;"",IF(INDEX(Raw_D2!$D$2:$D$1001,$AQ406)="","",INDEX(Raw_D2!$D$2:$D$1001,$AQ406)),IF($AR406&lt;&gt;"",IF(INDEX(Raw_D3!$L$2:$L$1001,$AR406)="","",INDEX(Raw_D3!$L$2:$L$1001,$AR406)),"")))</f>
        <v>0.87</v>
      </c>
      <c r="M406" s="17">
        <f>IF($A406="","",IF($AQ406&lt;&gt;"",IF(INDEX(Raw_D2!$E$2:$E$1001,$AQ406)="","",INDEX(Raw_D2!$E$2:$E$1001,$AQ406)),IF($AR406&lt;&gt;"",IF(INDEX(Raw_D3!$M$2:$M$1001,$AR406)="","",INDEX(Raw_D3!$M$2:$M$1001,$AR406)),"")))</f>
        <v>0</v>
      </c>
      <c r="N406" s="5">
        <f>IF($A406="","",IF($AQ406&lt;&gt;"",IF(INDEX(Raw_D2!$F$2:$F$1001,$AQ406)="","",INDEX(Raw_D2!$F$2:$F$1001,$AQ406)),IF($AR406&lt;&gt;"",IF(INDEX(Raw_D3!$N$2:$N$1001,$AR406)="","",INDEX(Raw_D3!$N$2:$N$1001,$AR406)),"")))</f>
        <v>0</v>
      </c>
      <c r="O406" s="5">
        <f>IF($A406="","",IF($AQ406&lt;&gt;"",IF(INDEX(Raw_D2!$G$2:$G$1001,$AQ406)="","",INDEX(Raw_D2!$G$2:$G$1001,$AQ406)),IF($AR406&lt;&gt;"",IF(INDEX(Raw_D3!$O$2:$O$1001,$AR406)="","",INDEX(Raw_D3!$O$2:$O$1001,$AR406)),"")))</f>
        <v>83</v>
      </c>
      <c r="P406" s="5">
        <f>IF($A406="","",IF($AQ406&lt;&gt;"",IF(INDEX(Raw_D2!$H$2:$H$1001,$AQ406)="","",INDEX(Raw_D2!$H$2:$H$1001,$AQ406)),IF($AR406&lt;&gt;"",IF(INDEX(Raw_D3!$P$2:$P$1001,$AR406)="","",INDEX(Raw_D3!$P$2:$P$1001,$AR406)),"")))</f>
        <v>83</v>
      </c>
      <c r="Q406" s="5" t="str">
        <f>IF($A406="","",IF(AND($AP406&lt;&gt;"",$AQ406&lt;&gt;""),"D1+D2",IF($AR406&lt;&gt;"","D3","Incomplete")))</f>
        <v>D1+D2</v>
      </c>
      <c r="R406" s="17">
        <f>IF($A406="","",IF($K406="",IF($J406="","",ROUND(Lookups!$K$5+Lookups!$K$4*$J406,4)),$K406))</f>
        <v>0.2727</v>
      </c>
      <c r="S406" s="5" t="str">
        <f>IF($A406="","",IF($K406="","Imputed","Original"))</f>
        <v>Original</v>
      </c>
      <c r="T406" s="5" t="str">
        <f>IF($A406="","",IF($P406="","Missing",IF($P406=$N406+$O406,"OK","Mismatch")))</f>
        <v>OK</v>
      </c>
      <c r="U406" s="5" t="str">
        <f>IF($A406="","",IF(COUNTIF($A$2:$A406,$A406)&gt;1,"Duplicate","Unique"))</f>
        <v>Unique</v>
      </c>
      <c r="V406" s="5">
        <f>IF($A406="","",IF(AND($U406="Unique",ISNUMBER($P406)),1,0))</f>
        <v>1</v>
      </c>
      <c r="W406" s="5" t="str">
        <f>IF($A406="","",IF(OR($H406=0,$H406=6),"Weekend","Weekday"))</f>
        <v>Weekday</v>
      </c>
      <c r="X406" s="5" t="str">
        <f>IF($A406="","",TEXT($B406,"ddd"))</f>
        <v>Tue</v>
      </c>
      <c r="Y406" s="5" t="str">
        <f>IF($A406="","",TEXT($B406,"mmm"))</f>
        <v>Jan</v>
      </c>
      <c r="Z406" s="5" t="str">
        <f>IF($A406="","",IFERROR(VLOOKUP($C406,Lookups!$D$4:$E$7,2,FALSE),"Unknown"))</f>
        <v>Winter</v>
      </c>
      <c r="AA406" s="5" t="str">
        <f>IF($A406="","",IFERROR(VLOOKUP($I406,Lookups!$A$4:$B$7,2,FALSE),"Unknown"))</f>
        <v>Mist/Cloudy</v>
      </c>
      <c r="AB406" s="5" t="str">
        <f>IF($A406="","",TEXT($F406,"00")&amp;":00")</f>
        <v>20:00</v>
      </c>
      <c r="AC406" s="5" t="str">
        <f>IF($A406="","",VLOOKUP($F406,Lookups!$G$4:$H$8,2,TRUE))</f>
        <v>Late Evening (20-23)</v>
      </c>
      <c r="AD406" s="18">
        <f>IF($A406="","",IF($J406="","",ROUND($J406*41,1)))</f>
        <v>9</v>
      </c>
      <c r="AE406" s="18">
        <f>IF($A406="","",IF($R406="","",ROUND($R406*50,1)))</f>
        <v>13.6</v>
      </c>
      <c r="AF406" s="5">
        <f>IF($A406="","",IF($L406="","",ROUND($L406*100,0)))</f>
        <v>87</v>
      </c>
      <c r="AG406" s="18">
        <f>IF($A406="","",IF($M406="","",ROUND($M406*67,1)))</f>
        <v>0</v>
      </c>
      <c r="AH406" s="19">
        <f>IF($A406="","",IF($P406="","",IF($P406=0,0,$O406/$P406)))</f>
        <v>1</v>
      </c>
      <c r="AI406" s="5" t="str">
        <f>IF($A406="","",IF($P406="","",IF($P406&gt;=Lookups!$K$7,"High",IF($P406&lt;=Lookups!$K$8,"Low","Medium"))))</f>
        <v>High</v>
      </c>
      <c r="AJ406" s="5" t="str">
        <f>IF($A406="","",IF($AD406="","",IF($AD406&lt;5,"Under 5 C",IF($AD406&lt;10,"5-10 C",IF($AD406&lt;15,"10-15 C","15 C and above")))))</f>
        <v>5-10 C</v>
      </c>
      <c r="AK406" s="5">
        <f>IF($A406="","",IF($P406="","",$P406^2))</f>
        <v>6889</v>
      </c>
      <c r="AL406" s="18">
        <f>IF($V406&lt;&gt;1,"",AVERAGEIFS(Clean_Data!$P$2:$P$1001,Clean_Data!$F$2:$F$1001,$F406,Clean_Data!$W$2:$W$1001,$W406,Clean_Data!$V$2:$V$1001,1))</f>
        <v>72.2758620689655</v>
      </c>
      <c r="AM406" s="16">
        <f>IF($V406&lt;&gt;1,"",IFERROR(($P406-$AL406)/SQRT(MAX(0,(SUMIFS(Clean_Data!$AK$2:$AK$1001,Clean_Data!$F$2:$F$1001,$F406,Clean_Data!$W$2:$W$1001,$W406,Clean_Data!$V$2:$V$1001,1)-COUNTIFS(Clean_Data!$F$2:$F$1001,$F406,Clean_Data!$W$2:$W$1001,$W406,Clean_Data!$V$2:$V$1001,1)*$AL406^2)/(COUNTIFS(Clean_Data!$F$2:$F$1001,$F406,Clean_Data!$W$2:$W$1001,$W406,Clean_Data!$V$2:$V$1001,1)-1))),""))</f>
        <v>0.485249555079929</v>
      </c>
      <c r="AN406" s="5" t="str">
        <f>IF($AM406="","",IF($AM406&gt;=Lookups!$K$6,"High spike",IF($AM406&lt;=-Lookups!$K$6,"Unusual low","Normal")))</f>
        <v>Normal</v>
      </c>
      <c r="AO406" s="20">
        <f>IF($V406&lt;&gt;1,"",$P406+ROW()/100000)</f>
        <v>83.00406</v>
      </c>
      <c r="AP406" s="5">
        <f>IF($A406="","",IFERROR(MATCH($A406,Raw_D1!$A$2:$A$1001,0),""))</f>
        <v>405</v>
      </c>
      <c r="AQ406" s="5">
        <f>IF($A406="","",IFERROR(MATCH($A406,Raw_D2!$B$2:$B$1001,0),""))</f>
        <v>405</v>
      </c>
      <c r="AR406" s="5">
        <f>IF($A406="","",IFERROR(MATCH($A406,Raw_D3!$A$2:$A$1001,0),""))</f>
        <v/>
      </c>
    </row>
    <row r="407" spans="1:44" x14ac:dyDescent="0.25">
      <c r="A407" s="5">
        <v>406</v>
      </c>
      <c r="B407" s="11">
        <f>IF($A407="","",IF($AP407&lt;&gt;"",INDEX(Raw_D1!$B$2:$B$1001,$AP407),IF($AR407&lt;&gt;"",INDEX(Raw_D3!$B$2:$B$1001,$AR407),"")))</f>
        <v>40561.0</v>
      </c>
      <c r="C407" s="5">
        <f>IF($A407="","",IF($AP407&lt;&gt;"",INDEX(Raw_D1!$C$2:$C$1001,$AP407),IF($AR407&lt;&gt;"",INDEX(Raw_D3!$C$2:$C$1001,$AR407),"")))</f>
        <v>1</v>
      </c>
      <c r="D407" s="5">
        <f>IF($A407="","",IF($AP407&lt;&gt;"",INDEX(Raw_D1!$D$2:$D$1001,$AP407),IF($AR407&lt;&gt;"",INDEX(Raw_D3!$D$2:$D$1001,$AR407),"")))</f>
        <v>0</v>
      </c>
      <c r="E407" s="5">
        <f>IF($A407="","",IF($AP407&lt;&gt;"",INDEX(Raw_D1!$E$2:$E$1001,$AP407),IF($AR407&lt;&gt;"",INDEX(Raw_D3!$E$2:$E$1001,$AR407),"")))</f>
        <v>1</v>
      </c>
      <c r="F407" s="5">
        <f>IF($A407="","",IF($AP407&lt;&gt;"",INDEX(Raw_D1!$F$2:$F$1001,$AP407),IF($AR407&lt;&gt;"",INDEX(Raw_D3!$F$2:$F$1001,$AR407),"")))</f>
        <v>21</v>
      </c>
      <c r="G407" s="5">
        <f>IF($A407="","",IF($AP407&lt;&gt;"",IF(INDEX(Raw_D1!$G$2:$G$1001,$AP407),1,0),IF($AR407&lt;&gt;"",IF(INDEX(Raw_D3!$G$2:$G$1001,$AR407),1,0),"")))</f>
        <v>0</v>
      </c>
      <c r="H407" s="5">
        <f>IF($A407="","",IF($AP407&lt;&gt;"",INDEX(Raw_D1!$H$2:$H$1001,$AP407),IF($AR407&lt;&gt;"",INDEX(Raw_D3!$H$2:$H$1001,$AR407),"")))</f>
        <v>2</v>
      </c>
      <c r="I407" s="5">
        <f>IF($A407="","",IF($AP407&lt;&gt;"",INDEX(Raw_D1!$I$2:$I$1001,$AP407),IF($AR407&lt;&gt;"",INDEX(Raw_D3!$I$2:$I$1001,$AR407),"")))</f>
        <v>2</v>
      </c>
      <c r="J407" s="16">
        <f>IF($A407="","",IF($AP407&lt;&gt;"",INDEX(Raw_D1!$J$2:$J$1001,$AP407),IF($AR407&lt;&gt;"",INDEX(Raw_D3!$J$2:$J$1001,$AR407),"")))</f>
        <v>0.22</v>
      </c>
      <c r="K407" s="17">
        <f>IF($A407="","",IF($AQ407&lt;&gt;"",IF(INDEX(Raw_D2!$C$2:$C$1001,$AQ407)="","",INDEX(Raw_D2!$C$2:$C$1001,$AQ407)),IF($AR407&lt;&gt;"",IF(INDEX(Raw_D3!$K$2:$K$1001,$AR407)="","",INDEX(Raw_D3!$K$2:$K$1001,$AR407)),"")))</f>
        <v>0.2424</v>
      </c>
      <c r="L407" s="16">
        <f>IF($A407="","",IF($AQ407&lt;&gt;"",IF(INDEX(Raw_D2!$D$2:$D$1001,$AQ407)="","",INDEX(Raw_D2!$D$2:$D$1001,$AQ407)),IF($AR407&lt;&gt;"",IF(INDEX(Raw_D3!$L$2:$L$1001,$AR407)="","",INDEX(Raw_D3!$L$2:$L$1001,$AR407)),"")))</f>
        <v>0.93</v>
      </c>
      <c r="M407" s="17">
        <f>IF($A407="","",IF($AQ407&lt;&gt;"",IF(INDEX(Raw_D2!$E$2:$E$1001,$AQ407)="","",INDEX(Raw_D2!$E$2:$E$1001,$AQ407)),IF($AR407&lt;&gt;"",IF(INDEX(Raw_D3!$M$2:$M$1001,$AR407)="","",INDEX(Raw_D3!$M$2:$M$1001,$AR407)),"")))</f>
        <v>0.1045</v>
      </c>
      <c r="N407" s="5">
        <f>IF($A407="","",IF($AQ407&lt;&gt;"",IF(INDEX(Raw_D2!$F$2:$F$1001,$AQ407)="","",INDEX(Raw_D2!$F$2:$F$1001,$AQ407)),IF($AR407&lt;&gt;"",IF(INDEX(Raw_D3!$N$2:$N$1001,$AR407)="","",INDEX(Raw_D3!$N$2:$N$1001,$AR407)),"")))</f>
        <v>0</v>
      </c>
      <c r="O407" s="5">
        <f>IF($A407="","",IF($AQ407&lt;&gt;"",IF(INDEX(Raw_D2!$G$2:$G$1001,$AQ407)="","",INDEX(Raw_D2!$G$2:$G$1001,$AQ407)),IF($AR407&lt;&gt;"",IF(INDEX(Raw_D3!$O$2:$O$1001,$AR407)="","",INDEX(Raw_D3!$O$2:$O$1001,$AR407)),"")))</f>
        <v>41</v>
      </c>
      <c r="P407" s="5">
        <f>IF($A407="","",IF($AQ407&lt;&gt;"",IF(INDEX(Raw_D2!$H$2:$H$1001,$AQ407)="","",INDEX(Raw_D2!$H$2:$H$1001,$AQ407)),IF($AR407&lt;&gt;"",IF(INDEX(Raw_D3!$P$2:$P$1001,$AR407)="","",INDEX(Raw_D3!$P$2:$P$1001,$AR407)),"")))</f>
        <v>41</v>
      </c>
      <c r="Q407" s="5" t="str">
        <f>IF($A407="","",IF(AND($AP407&lt;&gt;"",$AQ407&lt;&gt;""),"D1+D2",IF($AR407&lt;&gt;"","D3","Incomplete")))</f>
        <v>D1+D2</v>
      </c>
      <c r="R407" s="17">
        <f>IF($A407="","",IF($K407="",IF($J407="","",ROUND(Lookups!$K$5+Lookups!$K$4*$J407,4)),$K407))</f>
        <v>0.2424</v>
      </c>
      <c r="S407" s="5" t="str">
        <f>IF($A407="","",IF($K407="","Imputed","Original"))</f>
        <v>Original</v>
      </c>
      <c r="T407" s="5" t="str">
        <f>IF($A407="","",IF($P407="","Missing",IF($P407=$N407+$O407,"OK","Mismatch")))</f>
        <v>OK</v>
      </c>
      <c r="U407" s="5" t="str">
        <f>IF($A407="","",IF(COUNTIF($A$2:$A407,$A407)&gt;1,"Duplicate","Unique"))</f>
        <v>Unique</v>
      </c>
      <c r="V407" s="5">
        <f>IF($A407="","",IF(AND($U407="Unique",ISNUMBER($P407)),1,0))</f>
        <v>1</v>
      </c>
      <c r="W407" s="5" t="str">
        <f>IF($A407="","",IF(OR($H407=0,$H407=6),"Weekend","Weekday"))</f>
        <v>Weekday</v>
      </c>
      <c r="X407" s="5" t="str">
        <f>IF($A407="","",TEXT($B407,"ddd"))</f>
        <v>Tue</v>
      </c>
      <c r="Y407" s="5" t="str">
        <f>IF($A407="","",TEXT($B407,"mmm"))</f>
        <v>Jan</v>
      </c>
      <c r="Z407" s="5" t="str">
        <f>IF($A407="","",IFERROR(VLOOKUP($C407,Lookups!$D$4:$E$7,2,FALSE),"Unknown"))</f>
        <v>Winter</v>
      </c>
      <c r="AA407" s="5" t="str">
        <f>IF($A407="","",IFERROR(VLOOKUP($I407,Lookups!$A$4:$B$7,2,FALSE),"Unknown"))</f>
        <v>Mist/Cloudy</v>
      </c>
      <c r="AB407" s="5" t="str">
        <f>IF($A407="","",TEXT($F407,"00")&amp;":00")</f>
        <v>21:00</v>
      </c>
      <c r="AC407" s="5" t="str">
        <f>IF($A407="","",VLOOKUP($F407,Lookups!$G$4:$H$8,2,TRUE))</f>
        <v>Late Evening (20-23)</v>
      </c>
      <c r="AD407" s="18">
        <f>IF($A407="","",IF($J407="","",ROUND($J407*41,1)))</f>
        <v>9</v>
      </c>
      <c r="AE407" s="18">
        <f>IF($A407="","",IF($R407="","",ROUND($R407*50,1)))</f>
        <v>12.1</v>
      </c>
      <c r="AF407" s="5">
        <f>IF($A407="","",IF($L407="","",ROUND($L407*100,0)))</f>
        <v>93</v>
      </c>
      <c r="AG407" s="18">
        <f>IF($A407="","",IF($M407="","",ROUND($M407*67,1)))</f>
        <v>7</v>
      </c>
      <c r="AH407" s="19">
        <f>IF($A407="","",IF($P407="","",IF($P407=0,0,$O407/$P407)))</f>
        <v>1</v>
      </c>
      <c r="AI407" s="5" t="str">
        <f>IF($A407="","",IF($P407="","",IF($P407&gt;=Lookups!$K$7,"High",IF($P407&lt;=Lookups!$K$8,"Low","Medium"))))</f>
        <v>Medium</v>
      </c>
      <c r="AJ407" s="5" t="str">
        <f>IF($A407="","",IF($AD407="","",IF($AD407&lt;5,"Under 5 C",IF($AD407&lt;10,"5-10 C",IF($AD407&lt;15,"10-15 C","15 C and above")))))</f>
        <v>5-10 C</v>
      </c>
      <c r="AK407" s="5">
        <f>IF($A407="","",IF($P407="","",$P407^2))</f>
        <v>1681</v>
      </c>
      <c r="AL407" s="18">
        <f>IF($V407&lt;&gt;1,"",AVERAGEIFS(Clean_Data!$P$2:$P$1001,Clean_Data!$F$2:$F$1001,$F407,Clean_Data!$W$2:$W$1001,$W407,Clean_Data!$V$2:$V$1001,1))</f>
        <v>50.8965517241379</v>
      </c>
      <c r="AM407" s="16">
        <f>IF($V407&lt;&gt;1,"",IFERROR(($P407-$AL407)/SQRT(MAX(0,(SUMIFS(Clean_Data!$AK$2:$AK$1001,Clean_Data!$F$2:$F$1001,$F407,Clean_Data!$W$2:$W$1001,$W407,Clean_Data!$V$2:$V$1001,1)-COUNTIFS(Clean_Data!$F$2:$F$1001,$F407,Clean_Data!$W$2:$W$1001,$W407,Clean_Data!$V$2:$V$1001,1)*$AL407^2)/(COUNTIFS(Clean_Data!$F$2:$F$1001,$F407,Clean_Data!$W$2:$W$1001,$W407,Clean_Data!$V$2:$V$1001,1)-1))),""))</f>
        <v>-0.716713486546581</v>
      </c>
      <c r="AN407" s="5" t="str">
        <f>IF($AM407="","",IF($AM407&gt;=Lookups!$K$6,"High spike",IF($AM407&lt;=-Lookups!$K$6,"Unusual low","Normal")))</f>
        <v>Normal</v>
      </c>
      <c r="AO407" s="20">
        <f>IF($V407&lt;&gt;1,"",$P407+ROW()/100000)</f>
        <v>41.00407</v>
      </c>
      <c r="AP407" s="5">
        <f>IF($A407="","",IFERROR(MATCH($A407,Raw_D1!$A$2:$A$1001,0),""))</f>
        <v>406</v>
      </c>
      <c r="AQ407" s="5">
        <f>IF($A407="","",IFERROR(MATCH($A407,Raw_D2!$B$2:$B$1001,0),""))</f>
        <v>406</v>
      </c>
      <c r="AR407" s="5">
        <f>IF($A407="","",IFERROR(MATCH($A407,Raw_D3!$A$2:$A$1001,0),""))</f>
        <v/>
      </c>
    </row>
    <row r="408" spans="1:44" x14ac:dyDescent="0.25">
      <c r="A408" s="5">
        <v>407</v>
      </c>
      <c r="B408" s="11">
        <f>IF($A408="","",IF($AP408&lt;&gt;"",INDEX(Raw_D1!$B$2:$B$1001,$AP408),IF($AR408&lt;&gt;"",INDEX(Raw_D3!$B$2:$B$1001,$AR408),"")))</f>
        <v>40561.0</v>
      </c>
      <c r="C408" s="5">
        <f>IF($A408="","",IF($AP408&lt;&gt;"",INDEX(Raw_D1!$C$2:$C$1001,$AP408),IF($AR408&lt;&gt;"",INDEX(Raw_D3!$C$2:$C$1001,$AR408),"")))</f>
        <v>1</v>
      </c>
      <c r="D408" s="5">
        <f>IF($A408="","",IF($AP408&lt;&gt;"",INDEX(Raw_D1!$D$2:$D$1001,$AP408),IF($AR408&lt;&gt;"",INDEX(Raw_D3!$D$2:$D$1001,$AR408),"")))</f>
        <v>0</v>
      </c>
      <c r="E408" s="5">
        <f>IF($A408="","",IF($AP408&lt;&gt;"",INDEX(Raw_D1!$E$2:$E$1001,$AP408),IF($AR408&lt;&gt;"",INDEX(Raw_D3!$E$2:$E$1001,$AR408),"")))</f>
        <v>1</v>
      </c>
      <c r="F408" s="5">
        <f>IF($A408="","",IF($AP408&lt;&gt;"",INDEX(Raw_D1!$F$2:$F$1001,$AP408),IF($AR408&lt;&gt;"",INDEX(Raw_D3!$F$2:$F$1001,$AR408),"")))</f>
        <v>22</v>
      </c>
      <c r="G408" s="5">
        <f>IF($A408="","",IF($AP408&lt;&gt;"",IF(INDEX(Raw_D1!$G$2:$G$1001,$AP408),1,0),IF($AR408&lt;&gt;"",IF(INDEX(Raw_D3!$G$2:$G$1001,$AR408),1,0),"")))</f>
        <v>0</v>
      </c>
      <c r="H408" s="5">
        <f>IF($A408="","",IF($AP408&lt;&gt;"",INDEX(Raw_D1!$H$2:$H$1001,$AP408),IF($AR408&lt;&gt;"",INDEX(Raw_D3!$H$2:$H$1001,$AR408),"")))</f>
        <v>2</v>
      </c>
      <c r="I408" s="5">
        <f>IF($A408="","",IF($AP408&lt;&gt;"",INDEX(Raw_D1!$I$2:$I$1001,$AP408),IF($AR408&lt;&gt;"",INDEX(Raw_D3!$I$2:$I$1001,$AR408),"")))</f>
        <v>2</v>
      </c>
      <c r="J408" s="16">
        <f>IF($A408="","",IF($AP408&lt;&gt;"",INDEX(Raw_D1!$J$2:$J$1001,$AP408),IF($AR408&lt;&gt;"",INDEX(Raw_D3!$J$2:$J$1001,$AR408),"")))</f>
        <v>0.22</v>
      </c>
      <c r="K408" s="17">
        <f>IF($A408="","",IF($AQ408&lt;&gt;"",IF(INDEX(Raw_D2!$C$2:$C$1001,$AQ408)="","",INDEX(Raw_D2!$C$2:$C$1001,$AQ408)),IF($AR408&lt;&gt;"",IF(INDEX(Raw_D3!$K$2:$K$1001,$AR408)="","",INDEX(Raw_D3!$K$2:$K$1001,$AR408)),"")))</f>
        <v>0.2576</v>
      </c>
      <c r="L408" s="16">
        <f>IF($A408="","",IF($AQ408&lt;&gt;"",IF(INDEX(Raw_D2!$D$2:$D$1001,$AQ408)="","",INDEX(Raw_D2!$D$2:$D$1001,$AQ408)),IF($AR408&lt;&gt;"",IF(INDEX(Raw_D3!$L$2:$L$1001,$AR408)="","",INDEX(Raw_D3!$L$2:$L$1001,$AR408)),"")))</f>
        <v>0.93</v>
      </c>
      <c r="M408" s="17">
        <f>IF($A408="","",IF($AQ408&lt;&gt;"",IF(INDEX(Raw_D2!$E$2:$E$1001,$AQ408)="","",INDEX(Raw_D2!$E$2:$E$1001,$AQ408)),IF($AR408&lt;&gt;"",IF(INDEX(Raw_D3!$M$2:$M$1001,$AR408)="","",INDEX(Raw_D3!$M$2:$M$1001,$AR408)),"")))</f>
        <v>0.0896</v>
      </c>
      <c r="N408" s="5">
        <f>IF($A408="","",IF($AQ408&lt;&gt;"",IF(INDEX(Raw_D2!$F$2:$F$1001,$AQ408)="","",INDEX(Raw_D2!$F$2:$F$1001,$AQ408)),IF($AR408&lt;&gt;"",IF(INDEX(Raw_D3!$N$2:$N$1001,$AR408)="","",INDEX(Raw_D3!$N$2:$N$1001,$AR408)),"")))</f>
        <v>0</v>
      </c>
      <c r="O408" s="5">
        <f>IF($A408="","",IF($AQ408&lt;&gt;"",IF(INDEX(Raw_D2!$G$2:$G$1001,$AQ408)="","",INDEX(Raw_D2!$G$2:$G$1001,$AQ408)),IF($AR408&lt;&gt;"",IF(INDEX(Raw_D3!$O$2:$O$1001,$AR408)="","",INDEX(Raw_D3!$O$2:$O$1001,$AR408)),"")))</f>
        <v>33</v>
      </c>
      <c r="P408" s="5">
        <f>IF($A408="","",IF($AQ408&lt;&gt;"",IF(INDEX(Raw_D2!$H$2:$H$1001,$AQ408)="","",INDEX(Raw_D2!$H$2:$H$1001,$AQ408)),IF($AR408&lt;&gt;"",IF(INDEX(Raw_D3!$P$2:$P$1001,$AR408)="","",INDEX(Raw_D3!$P$2:$P$1001,$AR408)),"")))</f>
        <v>33</v>
      </c>
      <c r="Q408" s="5" t="str">
        <f>IF($A408="","",IF(AND($AP408&lt;&gt;"",$AQ408&lt;&gt;""),"D1+D2",IF($AR408&lt;&gt;"","D3","Incomplete")))</f>
        <v>D1+D2</v>
      </c>
      <c r="R408" s="17">
        <f>IF($A408="","",IF($K408="",IF($J408="","",ROUND(Lookups!$K$5+Lookups!$K$4*$J408,4)),$K408))</f>
        <v>0.2576</v>
      </c>
      <c r="S408" s="5" t="str">
        <f>IF($A408="","",IF($K408="","Imputed","Original"))</f>
        <v>Original</v>
      </c>
      <c r="T408" s="5" t="str">
        <f>IF($A408="","",IF($P408="","Missing",IF($P408=$N408+$O408,"OK","Mismatch")))</f>
        <v>OK</v>
      </c>
      <c r="U408" s="5" t="str">
        <f>IF($A408="","",IF(COUNTIF($A$2:$A408,$A408)&gt;1,"Duplicate","Unique"))</f>
        <v>Unique</v>
      </c>
      <c r="V408" s="5">
        <f>IF($A408="","",IF(AND($U408="Unique",ISNUMBER($P408)),1,0))</f>
        <v>1</v>
      </c>
      <c r="W408" s="5" t="str">
        <f>IF($A408="","",IF(OR($H408=0,$H408=6),"Weekend","Weekday"))</f>
        <v>Weekday</v>
      </c>
      <c r="X408" s="5" t="str">
        <f>IF($A408="","",TEXT($B408,"ddd"))</f>
        <v>Tue</v>
      </c>
      <c r="Y408" s="5" t="str">
        <f>IF($A408="","",TEXT($B408,"mmm"))</f>
        <v>Jan</v>
      </c>
      <c r="Z408" s="5" t="str">
        <f>IF($A408="","",IFERROR(VLOOKUP($C408,Lookups!$D$4:$E$7,2,FALSE),"Unknown"))</f>
        <v>Winter</v>
      </c>
      <c r="AA408" s="5" t="str">
        <f>IF($A408="","",IFERROR(VLOOKUP($I408,Lookups!$A$4:$B$7,2,FALSE),"Unknown"))</f>
        <v>Mist/Cloudy</v>
      </c>
      <c r="AB408" s="5" t="str">
        <f>IF($A408="","",TEXT($F408,"00")&amp;":00")</f>
        <v>22:00</v>
      </c>
      <c r="AC408" s="5" t="str">
        <f>IF($A408="","",VLOOKUP($F408,Lookups!$G$4:$H$8,2,TRUE))</f>
        <v>Late Evening (20-23)</v>
      </c>
      <c r="AD408" s="18">
        <f>IF($A408="","",IF($J408="","",ROUND($J408*41,1)))</f>
        <v>9</v>
      </c>
      <c r="AE408" s="18">
        <f>IF($A408="","",IF($R408="","",ROUND($R408*50,1)))</f>
        <v>12.9</v>
      </c>
      <c r="AF408" s="5">
        <f>IF($A408="","",IF($L408="","",ROUND($L408*100,0)))</f>
        <v>93</v>
      </c>
      <c r="AG408" s="18">
        <f>IF($A408="","",IF($M408="","",ROUND($M408*67,1)))</f>
        <v>6</v>
      </c>
      <c r="AH408" s="19">
        <f>IF($A408="","",IF($P408="","",IF($P408=0,0,$O408/$P408)))</f>
        <v>1</v>
      </c>
      <c r="AI408" s="5" t="str">
        <f>IF($A408="","",IF($P408="","",IF($P408&gt;=Lookups!$K$7,"High",IF($P408&lt;=Lookups!$K$8,"Low","Medium"))))</f>
        <v>Medium</v>
      </c>
      <c r="AJ408" s="5" t="str">
        <f>IF($A408="","",IF($AD408="","",IF($AD408&lt;5,"Under 5 C",IF($AD408&lt;10,"5-10 C",IF($AD408&lt;15,"10-15 C","15 C and above")))))</f>
        <v>5-10 C</v>
      </c>
      <c r="AK408" s="5">
        <f>IF($A408="","",IF($P408="","",$P408^2))</f>
        <v>1089</v>
      </c>
      <c r="AL408" s="18">
        <f>IF($V408&lt;&gt;1,"",AVERAGEIFS(Clean_Data!$P$2:$P$1001,Clean_Data!$F$2:$F$1001,$F408,Clean_Data!$W$2:$W$1001,$W408,Clean_Data!$V$2:$V$1001,1))</f>
        <v>37.1034482758621</v>
      </c>
      <c r="AM408" s="16">
        <f>IF($V408&lt;&gt;1,"",IFERROR(($P408-$AL408)/SQRT(MAX(0,(SUMIFS(Clean_Data!$AK$2:$AK$1001,Clean_Data!$F$2:$F$1001,$F408,Clean_Data!$W$2:$W$1001,$W408,Clean_Data!$V$2:$V$1001,1)-COUNTIFS(Clean_Data!$F$2:$F$1001,$F408,Clean_Data!$W$2:$W$1001,$W408,Clean_Data!$V$2:$V$1001,1)*$AL408^2)/(COUNTIFS(Clean_Data!$F$2:$F$1001,$F408,Clean_Data!$W$2:$W$1001,$W408,Clean_Data!$V$2:$V$1001,1)-1))),""))</f>
        <v>-0.380136959034571</v>
      </c>
      <c r="AN408" s="5" t="str">
        <f>IF($AM408="","",IF($AM408&gt;=Lookups!$K$6,"High spike",IF($AM408&lt;=-Lookups!$K$6,"Unusual low","Normal")))</f>
        <v>Normal</v>
      </c>
      <c r="AO408" s="20">
        <f>IF($V408&lt;&gt;1,"",$P408+ROW()/100000)</f>
        <v>33.00408</v>
      </c>
      <c r="AP408" s="5">
        <f>IF($A408="","",IFERROR(MATCH($A408,Raw_D1!$A$2:$A$1001,0),""))</f>
        <v>407</v>
      </c>
      <c r="AQ408" s="5">
        <f>IF($A408="","",IFERROR(MATCH($A408,Raw_D2!$B$2:$B$1001,0),""))</f>
        <v>407</v>
      </c>
      <c r="AR408" s="5">
        <f>IF($A408="","",IFERROR(MATCH($A408,Raw_D3!$A$2:$A$1001,0),""))</f>
        <v/>
      </c>
    </row>
    <row r="409" spans="1:44" x14ac:dyDescent="0.25">
      <c r="A409" s="5">
        <v>408</v>
      </c>
      <c r="B409" s="11">
        <f>IF($A409="","",IF($AP409&lt;&gt;"",INDEX(Raw_D1!$B$2:$B$1001,$AP409),IF($AR409&lt;&gt;"",INDEX(Raw_D3!$B$2:$B$1001,$AR409),"")))</f>
        <v>40561.0</v>
      </c>
      <c r="C409" s="5">
        <f>IF($A409="","",IF($AP409&lt;&gt;"",INDEX(Raw_D1!$C$2:$C$1001,$AP409),IF($AR409&lt;&gt;"",INDEX(Raw_D3!$C$2:$C$1001,$AR409),"")))</f>
        <v>1</v>
      </c>
      <c r="D409" s="5">
        <f>IF($A409="","",IF($AP409&lt;&gt;"",INDEX(Raw_D1!$D$2:$D$1001,$AP409),IF($AR409&lt;&gt;"",INDEX(Raw_D3!$D$2:$D$1001,$AR409),"")))</f>
        <v>0</v>
      </c>
      <c r="E409" s="5">
        <f>IF($A409="","",IF($AP409&lt;&gt;"",INDEX(Raw_D1!$E$2:$E$1001,$AP409),IF($AR409&lt;&gt;"",INDEX(Raw_D3!$E$2:$E$1001,$AR409),"")))</f>
        <v>1</v>
      </c>
      <c r="F409" s="5">
        <f>IF($A409="","",IF($AP409&lt;&gt;"",INDEX(Raw_D1!$F$2:$F$1001,$AP409),IF($AR409&lt;&gt;"",INDEX(Raw_D3!$F$2:$F$1001,$AR409),"")))</f>
        <v>23</v>
      </c>
      <c r="G409" s="5">
        <f>IF($A409="","",IF($AP409&lt;&gt;"",IF(INDEX(Raw_D1!$G$2:$G$1001,$AP409),1,0),IF($AR409&lt;&gt;"",IF(INDEX(Raw_D3!$G$2:$G$1001,$AR409),1,0),"")))</f>
        <v>0</v>
      </c>
      <c r="H409" s="5">
        <f>IF($A409="","",IF($AP409&lt;&gt;"",INDEX(Raw_D1!$H$2:$H$1001,$AP409),IF($AR409&lt;&gt;"",INDEX(Raw_D3!$H$2:$H$1001,$AR409),"")))</f>
        <v>2</v>
      </c>
      <c r="I409" s="5">
        <f>IF($A409="","",IF($AP409&lt;&gt;"",INDEX(Raw_D1!$I$2:$I$1001,$AP409),IF($AR409&lt;&gt;"",INDEX(Raw_D3!$I$2:$I$1001,$AR409),"")))</f>
        <v>2</v>
      </c>
      <c r="J409" s="16">
        <f>IF($A409="","",IF($AP409&lt;&gt;"",INDEX(Raw_D1!$J$2:$J$1001,$AP409),IF($AR409&lt;&gt;"",INDEX(Raw_D3!$J$2:$J$1001,$AR409),"")))</f>
        <v>0.22</v>
      </c>
      <c r="K409" s="17">
        <f>IF($A409="","",IF($AQ409&lt;&gt;"",IF(INDEX(Raw_D2!$C$2:$C$1001,$AQ409)="","",INDEX(Raw_D2!$C$2:$C$1001,$AQ409)),IF($AR409&lt;&gt;"",IF(INDEX(Raw_D3!$K$2:$K$1001,$AR409)="","",INDEX(Raw_D3!$K$2:$K$1001,$AR409)),"")))</f>
        <v>0.2727</v>
      </c>
      <c r="L409" s="16">
        <f>IF($A409="","",IF($AQ409&lt;&gt;"",IF(INDEX(Raw_D2!$D$2:$D$1001,$AQ409)="","",INDEX(Raw_D2!$D$2:$D$1001,$AQ409)),IF($AR409&lt;&gt;"",IF(INDEX(Raw_D3!$L$2:$L$1001,$AR409)="","",INDEX(Raw_D3!$L$2:$L$1001,$AR409)),"")))</f>
        <v>0.93</v>
      </c>
      <c r="M409" s="17">
        <f>IF($A409="","",IF($AQ409&lt;&gt;"",IF(INDEX(Raw_D2!$E$2:$E$1001,$AQ409)="","",INDEX(Raw_D2!$E$2:$E$1001,$AQ409)),IF($AR409&lt;&gt;"",IF(INDEX(Raw_D3!$M$2:$M$1001,$AR409)="","",INDEX(Raw_D3!$M$2:$M$1001,$AR409)),"")))</f>
        <v>0</v>
      </c>
      <c r="N409" s="5">
        <f>IF($A409="","",IF($AQ409&lt;&gt;"",IF(INDEX(Raw_D2!$F$2:$F$1001,$AQ409)="","",INDEX(Raw_D2!$F$2:$F$1001,$AQ409)),IF($AR409&lt;&gt;"",IF(INDEX(Raw_D3!$N$2:$N$1001,$AR409)="","",INDEX(Raw_D3!$N$2:$N$1001,$AR409)),"")))</f>
        <v>1</v>
      </c>
      <c r="O409" s="5">
        <f>IF($A409="","",IF($AQ409&lt;&gt;"",IF(INDEX(Raw_D2!$G$2:$G$1001,$AQ409)="","",INDEX(Raw_D2!$G$2:$G$1001,$AQ409)),IF($AR409&lt;&gt;"",IF(INDEX(Raw_D3!$O$2:$O$1001,$AR409)="","",INDEX(Raw_D3!$O$2:$O$1001,$AR409)),"")))</f>
        <v>19</v>
      </c>
      <c r="P409" s="5">
        <f>IF($A409="","",IF($AQ409&lt;&gt;"",IF(INDEX(Raw_D2!$H$2:$H$1001,$AQ409)="","",INDEX(Raw_D2!$H$2:$H$1001,$AQ409)),IF($AR409&lt;&gt;"",IF(INDEX(Raw_D3!$P$2:$P$1001,$AR409)="","",INDEX(Raw_D3!$P$2:$P$1001,$AR409)),"")))</f>
        <v>20</v>
      </c>
      <c r="Q409" s="5" t="str">
        <f>IF($A409="","",IF(AND($AP409&lt;&gt;"",$AQ409&lt;&gt;""),"D1+D2",IF($AR409&lt;&gt;"","D3","Incomplete")))</f>
        <v>D1+D2</v>
      </c>
      <c r="R409" s="17">
        <f>IF($A409="","",IF($K409="",IF($J409="","",ROUND(Lookups!$K$5+Lookups!$K$4*$J409,4)),$K409))</f>
        <v>0.2727</v>
      </c>
      <c r="S409" s="5" t="str">
        <f>IF($A409="","",IF($K409="","Imputed","Original"))</f>
        <v>Original</v>
      </c>
      <c r="T409" s="5" t="str">
        <f>IF($A409="","",IF($P409="","Missing",IF($P409=$N409+$O409,"OK","Mismatch")))</f>
        <v>OK</v>
      </c>
      <c r="U409" s="5" t="str">
        <f>IF($A409="","",IF(COUNTIF($A$2:$A409,$A409)&gt;1,"Duplicate","Unique"))</f>
        <v>Unique</v>
      </c>
      <c r="V409" s="5">
        <f>IF($A409="","",IF(AND($U409="Unique",ISNUMBER($P409)),1,0))</f>
        <v>1</v>
      </c>
      <c r="W409" s="5" t="str">
        <f>IF($A409="","",IF(OR($H409=0,$H409=6),"Weekend","Weekday"))</f>
        <v>Weekday</v>
      </c>
      <c r="X409" s="5" t="str">
        <f>IF($A409="","",TEXT($B409,"ddd"))</f>
        <v>Tue</v>
      </c>
      <c r="Y409" s="5" t="str">
        <f>IF($A409="","",TEXT($B409,"mmm"))</f>
        <v>Jan</v>
      </c>
      <c r="Z409" s="5" t="str">
        <f>IF($A409="","",IFERROR(VLOOKUP($C409,Lookups!$D$4:$E$7,2,FALSE),"Unknown"))</f>
        <v>Winter</v>
      </c>
      <c r="AA409" s="5" t="str">
        <f>IF($A409="","",IFERROR(VLOOKUP($I409,Lookups!$A$4:$B$7,2,FALSE),"Unknown"))</f>
        <v>Mist/Cloudy</v>
      </c>
      <c r="AB409" s="5" t="str">
        <f>IF($A409="","",TEXT($F409,"00")&amp;":00")</f>
        <v>23:00</v>
      </c>
      <c r="AC409" s="5" t="str">
        <f>IF($A409="","",VLOOKUP($F409,Lookups!$G$4:$H$8,2,TRUE))</f>
        <v>Late Evening (20-23)</v>
      </c>
      <c r="AD409" s="18">
        <f>IF($A409="","",IF($J409="","",ROUND($J409*41,1)))</f>
        <v>9</v>
      </c>
      <c r="AE409" s="18">
        <f>IF($A409="","",IF($R409="","",ROUND($R409*50,1)))</f>
        <v>13.6</v>
      </c>
      <c r="AF409" s="5">
        <f>IF($A409="","",IF($L409="","",ROUND($L409*100,0)))</f>
        <v>93</v>
      </c>
      <c r="AG409" s="18">
        <f>IF($A409="","",IF($M409="","",ROUND($M409*67,1)))</f>
        <v>0</v>
      </c>
      <c r="AH409" s="19">
        <f>IF($A409="","",IF($P409="","",IF($P409=0,0,$O409/$P409)))</f>
        <v>0.95</v>
      </c>
      <c r="AI409" s="5" t="str">
        <f>IF($A409="","",IF($P409="","",IF($P409&gt;=Lookups!$K$7,"High",IF($P409&lt;=Lookups!$K$8,"Low","Medium"))))</f>
        <v>Medium</v>
      </c>
      <c r="AJ409" s="5" t="str">
        <f>IF($A409="","",IF($AD409="","",IF($AD409&lt;5,"Under 5 C",IF($AD409&lt;10,"5-10 C",IF($AD409&lt;15,"10-15 C","15 C and above")))))</f>
        <v>5-10 C</v>
      </c>
      <c r="AK409" s="5">
        <f>IF($A409="","",IF($P409="","",$P409^2))</f>
        <v>400</v>
      </c>
      <c r="AL409" s="18">
        <f>IF($V409&lt;&gt;1,"",AVERAGEIFS(Clean_Data!$P$2:$P$1001,Clean_Data!$F$2:$F$1001,$F409,Clean_Data!$W$2:$W$1001,$W409,Clean_Data!$V$2:$V$1001,1))</f>
        <v>23.6896551724138</v>
      </c>
      <c r="AM409" s="16">
        <f>IF($V409&lt;&gt;1,"",IFERROR(($P409-$AL409)/SQRT(MAX(0,(SUMIFS(Clean_Data!$AK$2:$AK$1001,Clean_Data!$F$2:$F$1001,$F409,Clean_Data!$W$2:$W$1001,$W409,Clean_Data!$V$2:$V$1001,1)-COUNTIFS(Clean_Data!$F$2:$F$1001,$F409,Clean_Data!$W$2:$W$1001,$W409,Clean_Data!$V$2:$V$1001,1)*$AL409^2)/(COUNTIFS(Clean_Data!$F$2:$F$1001,$F409,Clean_Data!$W$2:$W$1001,$W409,Clean_Data!$V$2:$V$1001,1)-1))),""))</f>
        <v>-0.352240724392468</v>
      </c>
      <c r="AN409" s="5" t="str">
        <f>IF($AM409="","",IF($AM409&gt;=Lookups!$K$6,"High spike",IF($AM409&lt;=-Lookups!$K$6,"Unusual low","Normal")))</f>
        <v>Normal</v>
      </c>
      <c r="AO409" s="20">
        <f>IF($V409&lt;&gt;1,"",$P409+ROW()/100000)</f>
        <v>20.00409</v>
      </c>
      <c r="AP409" s="5">
        <f>IF($A409="","",IFERROR(MATCH($A409,Raw_D1!$A$2:$A$1001,0),""))</f>
        <v>408</v>
      </c>
      <c r="AQ409" s="5">
        <f>IF($A409="","",IFERROR(MATCH($A409,Raw_D2!$B$2:$B$1001,0),""))</f>
        <v>408</v>
      </c>
      <c r="AR409" s="5">
        <f>IF($A409="","",IFERROR(MATCH($A409,Raw_D3!$A$2:$A$1001,0),""))</f>
        <v/>
      </c>
    </row>
    <row r="410" spans="1:44" x14ac:dyDescent="0.25">
      <c r="A410" s="5">
        <v>409</v>
      </c>
      <c r="B410" s="11">
        <f>IF($A410="","",IF($AP410&lt;&gt;"",INDEX(Raw_D1!$B$2:$B$1001,$AP410),IF($AR410&lt;&gt;"",INDEX(Raw_D3!$B$2:$B$1001,$AR410),"")))</f>
        <v>40562.0</v>
      </c>
      <c r="C410" s="5">
        <f>IF($A410="","",IF($AP410&lt;&gt;"",INDEX(Raw_D1!$C$2:$C$1001,$AP410),IF($AR410&lt;&gt;"",INDEX(Raw_D3!$C$2:$C$1001,$AR410),"")))</f>
        <v>1</v>
      </c>
      <c r="D410" s="5">
        <f>IF($A410="","",IF($AP410&lt;&gt;"",INDEX(Raw_D1!$D$2:$D$1001,$AP410),IF($AR410&lt;&gt;"",INDEX(Raw_D3!$D$2:$D$1001,$AR410),"")))</f>
        <v>0</v>
      </c>
      <c r="E410" s="5">
        <f>IF($A410="","",IF($AP410&lt;&gt;"",INDEX(Raw_D1!$E$2:$E$1001,$AP410),IF($AR410&lt;&gt;"",INDEX(Raw_D3!$E$2:$E$1001,$AR410),"")))</f>
        <v>1</v>
      </c>
      <c r="F410" s="5">
        <f>IF($A410="","",IF($AP410&lt;&gt;"",INDEX(Raw_D1!$F$2:$F$1001,$AP410),IF($AR410&lt;&gt;"",INDEX(Raw_D3!$F$2:$F$1001,$AR410),"")))</f>
        <v>0</v>
      </c>
      <c r="G410" s="5">
        <f>IF($A410="","",IF($AP410&lt;&gt;"",IF(INDEX(Raw_D1!$G$2:$G$1001,$AP410),1,0),IF($AR410&lt;&gt;"",IF(INDEX(Raw_D3!$G$2:$G$1001,$AR410),1,0),"")))</f>
        <v>0</v>
      </c>
      <c r="H410" s="5">
        <f>IF($A410="","",IF($AP410&lt;&gt;"",INDEX(Raw_D1!$H$2:$H$1001,$AP410),IF($AR410&lt;&gt;"",INDEX(Raw_D3!$H$2:$H$1001,$AR410),"")))</f>
        <v>3</v>
      </c>
      <c r="I410" s="5">
        <f>IF($A410="","",IF($AP410&lt;&gt;"",INDEX(Raw_D1!$I$2:$I$1001,$AP410),IF($AR410&lt;&gt;"",INDEX(Raw_D3!$I$2:$I$1001,$AR410),"")))</f>
        <v>2</v>
      </c>
      <c r="J410" s="16">
        <f>IF($A410="","",IF($AP410&lt;&gt;"",INDEX(Raw_D1!$J$2:$J$1001,$AP410),IF($AR410&lt;&gt;"",INDEX(Raw_D3!$J$2:$J$1001,$AR410),"")))</f>
        <v>0.22</v>
      </c>
      <c r="K410" s="17">
        <f>IF($A410="","",IF($AQ410&lt;&gt;"",IF(INDEX(Raw_D2!$C$2:$C$1001,$AQ410)="","",INDEX(Raw_D2!$C$2:$C$1001,$AQ410)),IF($AR410&lt;&gt;"",IF(INDEX(Raw_D3!$K$2:$K$1001,$AR410)="","",INDEX(Raw_D3!$K$2:$K$1001,$AR410)),"")))</f>
        <v>0.2727</v>
      </c>
      <c r="L410" s="16">
        <f>IF($A410="","",IF($AQ410&lt;&gt;"",IF(INDEX(Raw_D2!$D$2:$D$1001,$AQ410)="","",INDEX(Raw_D2!$D$2:$D$1001,$AQ410)),IF($AR410&lt;&gt;"",IF(INDEX(Raw_D3!$L$2:$L$1001,$AR410)="","",INDEX(Raw_D3!$L$2:$L$1001,$AR410)),"")))</f>
        <v>0.93</v>
      </c>
      <c r="M410" s="17">
        <f>IF($A410="","",IF($AQ410&lt;&gt;"",IF(INDEX(Raw_D2!$E$2:$E$1001,$AQ410)="","",INDEX(Raw_D2!$E$2:$E$1001,$AQ410)),IF($AR410&lt;&gt;"",IF(INDEX(Raw_D3!$M$2:$M$1001,$AR410)="","",INDEX(Raw_D3!$M$2:$M$1001,$AR410)),"")))</f>
        <v>0</v>
      </c>
      <c r="N410" s="5">
        <f>IF($A410="","",IF($AQ410&lt;&gt;"",IF(INDEX(Raw_D2!$F$2:$F$1001,$AQ410)="","",INDEX(Raw_D2!$F$2:$F$1001,$AQ410)),IF($AR410&lt;&gt;"",IF(INDEX(Raw_D3!$N$2:$N$1001,$AR410)="","",INDEX(Raw_D3!$N$2:$N$1001,$AR410)),"")))</f>
        <v>0</v>
      </c>
      <c r="O410" s="5">
        <f>IF($A410="","",IF($AQ410&lt;&gt;"",IF(INDEX(Raw_D2!$G$2:$G$1001,$AQ410)="","",INDEX(Raw_D2!$G$2:$G$1001,$AQ410)),IF($AR410&lt;&gt;"",IF(INDEX(Raw_D3!$O$2:$O$1001,$AR410)="","",INDEX(Raw_D3!$O$2:$O$1001,$AR410)),"")))</f>
        <v>3</v>
      </c>
      <c r="P410" s="5">
        <f>IF($A410="","",IF($AQ410&lt;&gt;"",IF(INDEX(Raw_D2!$H$2:$H$1001,$AQ410)="","",INDEX(Raw_D2!$H$2:$H$1001,$AQ410)),IF($AR410&lt;&gt;"",IF(INDEX(Raw_D3!$P$2:$P$1001,$AR410)="","",INDEX(Raw_D3!$P$2:$P$1001,$AR410)),"")))</f>
        <v>3</v>
      </c>
      <c r="Q410" s="5" t="str">
        <f>IF($A410="","",IF(AND($AP410&lt;&gt;"",$AQ410&lt;&gt;""),"D1+D2",IF($AR410&lt;&gt;"","D3","Incomplete")))</f>
        <v>D1+D2</v>
      </c>
      <c r="R410" s="17">
        <f>IF($A410="","",IF($K410="",IF($J410="","",ROUND(Lookups!$K$5+Lookups!$K$4*$J410,4)),$K410))</f>
        <v>0.2727</v>
      </c>
      <c r="S410" s="5" t="str">
        <f>IF($A410="","",IF($K410="","Imputed","Original"))</f>
        <v>Original</v>
      </c>
      <c r="T410" s="5" t="str">
        <f>IF($A410="","",IF($P410="","Missing",IF($P410=$N410+$O410,"OK","Mismatch")))</f>
        <v>OK</v>
      </c>
      <c r="U410" s="5" t="str">
        <f>IF($A410="","",IF(COUNTIF($A$2:$A410,$A410)&gt;1,"Duplicate","Unique"))</f>
        <v>Unique</v>
      </c>
      <c r="V410" s="5">
        <f>IF($A410="","",IF(AND($U410="Unique",ISNUMBER($P410)),1,0))</f>
        <v>1</v>
      </c>
      <c r="W410" s="5" t="str">
        <f>IF($A410="","",IF(OR($H410=0,$H410=6),"Weekend","Weekday"))</f>
        <v>Weekday</v>
      </c>
      <c r="X410" s="5" t="str">
        <f>IF($A410="","",TEXT($B410,"ddd"))</f>
        <v>Wed</v>
      </c>
      <c r="Y410" s="5" t="str">
        <f>IF($A410="","",TEXT($B410,"mmm"))</f>
        <v>Jan</v>
      </c>
      <c r="Z410" s="5" t="str">
        <f>IF($A410="","",IFERROR(VLOOKUP($C410,Lookups!$D$4:$E$7,2,FALSE),"Unknown"))</f>
        <v>Winter</v>
      </c>
      <c r="AA410" s="5" t="str">
        <f>IF($A410="","",IFERROR(VLOOKUP($I410,Lookups!$A$4:$B$7,2,FALSE),"Unknown"))</f>
        <v>Mist/Cloudy</v>
      </c>
      <c r="AB410" s="5" t="str">
        <f>IF($A410="","",TEXT($F410,"00")&amp;":00")</f>
        <v>00:00</v>
      </c>
      <c r="AC410" s="5" t="str">
        <f>IF($A410="","",VLOOKUP($F410,Lookups!$G$4:$H$8,2,TRUE))</f>
        <v>Night (00-05)</v>
      </c>
      <c r="AD410" s="18">
        <f>IF($A410="","",IF($J410="","",ROUND($J410*41,1)))</f>
        <v>9</v>
      </c>
      <c r="AE410" s="18">
        <f>IF($A410="","",IF($R410="","",ROUND($R410*50,1)))</f>
        <v>13.6</v>
      </c>
      <c r="AF410" s="5">
        <f>IF($A410="","",IF($L410="","",ROUND($L410*100,0)))</f>
        <v>93</v>
      </c>
      <c r="AG410" s="18">
        <f>IF($A410="","",IF($M410="","",ROUND($M410*67,1)))</f>
        <v>0</v>
      </c>
      <c r="AH410" s="19">
        <f>IF($A410="","",IF($P410="","",IF($P410=0,0,$O410/$P410)))</f>
        <v>1</v>
      </c>
      <c r="AI410" s="5" t="str">
        <f>IF($A410="","",IF($P410="","",IF($P410&gt;=Lookups!$K$7,"High",IF($P410&lt;=Lookups!$K$8,"Low","Medium"))))</f>
        <v>Low</v>
      </c>
      <c r="AJ410" s="5" t="str">
        <f>IF($A410="","",IF($AD410="","",IF($AD410&lt;5,"Under 5 C",IF($AD410&lt;10,"5-10 C",IF($AD410&lt;15,"10-15 C","15 C and above")))))</f>
        <v>5-10 C</v>
      </c>
      <c r="AK410" s="5">
        <f>IF($A410="","",IF($P410="","",$P410^2))</f>
        <v>9</v>
      </c>
      <c r="AL410" s="18">
        <f>IF($V410&lt;&gt;1,"",AVERAGEIFS(Clean_Data!$P$2:$P$1001,Clean_Data!$F$2:$F$1001,$F410,Clean_Data!$W$2:$W$1001,$W410,Clean_Data!$V$2:$V$1001,1))</f>
        <v>10.6896551724138</v>
      </c>
      <c r="AM410" s="16">
        <f>IF($V410&lt;&gt;1,"",IFERROR(($P410-$AL410)/SQRT(MAX(0,(SUMIFS(Clean_Data!$AK$2:$AK$1001,Clean_Data!$F$2:$F$1001,$F410,Clean_Data!$W$2:$W$1001,$W410,Clean_Data!$V$2:$V$1001,1)-COUNTIFS(Clean_Data!$F$2:$F$1001,$F410,Clean_Data!$W$2:$W$1001,$W410,Clean_Data!$V$2:$V$1001,1)*$AL410^2)/(COUNTIFS(Clean_Data!$F$2:$F$1001,$F410,Clean_Data!$W$2:$W$1001,$W410,Clean_Data!$V$2:$V$1001,1)-1))),""))</f>
        <v>-1.57174263717096</v>
      </c>
      <c r="AN410" s="5" t="str">
        <f>IF($AM410="","",IF($AM410&gt;=Lookups!$K$6,"High spike",IF($AM410&lt;=-Lookups!$K$6,"Unusual low","Normal")))</f>
        <v>Normal</v>
      </c>
      <c r="AO410" s="20">
        <f>IF($V410&lt;&gt;1,"",$P410+ROW()/100000)</f>
        <v>3.0041</v>
      </c>
      <c r="AP410" s="5">
        <f>IF($A410="","",IFERROR(MATCH($A410,Raw_D1!$A$2:$A$1001,0),""))</f>
        <v>409</v>
      </c>
      <c r="AQ410" s="5">
        <f>IF($A410="","",IFERROR(MATCH($A410,Raw_D2!$B$2:$B$1001,0),""))</f>
        <v>409</v>
      </c>
      <c r="AR410" s="5">
        <f>IF($A410="","",IFERROR(MATCH($A410,Raw_D3!$A$2:$A$1001,0),""))</f>
        <v/>
      </c>
    </row>
    <row r="411" spans="1:44" x14ac:dyDescent="0.25">
      <c r="A411" s="5">
        <v>410</v>
      </c>
      <c r="B411" s="11">
        <f>IF($A411="","",IF($AP411&lt;&gt;"",INDEX(Raw_D1!$B$2:$B$1001,$AP411),IF($AR411&lt;&gt;"",INDEX(Raw_D3!$B$2:$B$1001,$AR411),"")))</f>
        <v>40562.0</v>
      </c>
      <c r="C411" s="5">
        <f>IF($A411="","",IF($AP411&lt;&gt;"",INDEX(Raw_D1!$C$2:$C$1001,$AP411),IF($AR411&lt;&gt;"",INDEX(Raw_D3!$C$2:$C$1001,$AR411),"")))</f>
        <v>1</v>
      </c>
      <c r="D411" s="5">
        <f>IF($A411="","",IF($AP411&lt;&gt;"",INDEX(Raw_D1!$D$2:$D$1001,$AP411),IF($AR411&lt;&gt;"",INDEX(Raw_D3!$D$2:$D$1001,$AR411),"")))</f>
        <v>0</v>
      </c>
      <c r="E411" s="5">
        <f>IF($A411="","",IF($AP411&lt;&gt;"",INDEX(Raw_D1!$E$2:$E$1001,$AP411),IF($AR411&lt;&gt;"",INDEX(Raw_D3!$E$2:$E$1001,$AR411),"")))</f>
        <v>1</v>
      </c>
      <c r="F411" s="5">
        <f>IF($A411="","",IF($AP411&lt;&gt;"",INDEX(Raw_D1!$F$2:$F$1001,$AP411),IF($AR411&lt;&gt;"",INDEX(Raw_D3!$F$2:$F$1001,$AR411),"")))</f>
        <v>1</v>
      </c>
      <c r="G411" s="5">
        <f>IF($A411="","",IF($AP411&lt;&gt;"",IF(INDEX(Raw_D1!$G$2:$G$1001,$AP411),1,0),IF($AR411&lt;&gt;"",IF(INDEX(Raw_D3!$G$2:$G$1001,$AR411),1,0),"")))</f>
        <v>0</v>
      </c>
      <c r="H411" s="5">
        <f>IF($A411="","",IF($AP411&lt;&gt;"",INDEX(Raw_D1!$H$2:$H$1001,$AP411),IF($AR411&lt;&gt;"",INDEX(Raw_D3!$H$2:$H$1001,$AR411),"")))</f>
        <v>3</v>
      </c>
      <c r="I411" s="5">
        <f>IF($A411="","",IF($AP411&lt;&gt;"",INDEX(Raw_D1!$I$2:$I$1001,$AP411),IF($AR411&lt;&gt;"",INDEX(Raw_D3!$I$2:$I$1001,$AR411),"")))</f>
        <v>3</v>
      </c>
      <c r="J411" s="16">
        <f>IF($A411="","",IF($AP411&lt;&gt;"",INDEX(Raw_D1!$J$2:$J$1001,$AP411),IF($AR411&lt;&gt;"",INDEX(Raw_D3!$J$2:$J$1001,$AR411),"")))</f>
        <v>0.22</v>
      </c>
      <c r="K411" s="17">
        <f>IF($A411="","",IF($AQ411&lt;&gt;"",IF(INDEX(Raw_D2!$C$2:$C$1001,$AQ411)="","",INDEX(Raw_D2!$C$2:$C$1001,$AQ411)),IF($AR411&lt;&gt;"",IF(INDEX(Raw_D3!$K$2:$K$1001,$AR411)="","",INDEX(Raw_D3!$K$2:$K$1001,$AR411)),"")))</f>
        <v>0.2273</v>
      </c>
      <c r="L411" s="16">
        <f>IF($A411="","",IF($AQ411&lt;&gt;"",IF(INDEX(Raw_D2!$D$2:$D$1001,$AQ411)="","",INDEX(Raw_D2!$D$2:$D$1001,$AQ411)),IF($AR411&lt;&gt;"",IF(INDEX(Raw_D3!$L$2:$L$1001,$AR411)="","",INDEX(Raw_D3!$L$2:$L$1001,$AR411)),"")))</f>
        <v>0.93</v>
      </c>
      <c r="M411" s="17">
        <f>IF($A411="","",IF($AQ411&lt;&gt;"",IF(INDEX(Raw_D2!$E$2:$E$1001,$AQ411)="","",INDEX(Raw_D2!$E$2:$E$1001,$AQ411)),IF($AR411&lt;&gt;"",IF(INDEX(Raw_D3!$M$2:$M$1001,$AR411)="","",INDEX(Raw_D3!$M$2:$M$1001,$AR411)),"")))</f>
        <v>0.1343</v>
      </c>
      <c r="N411" s="5">
        <f>IF($A411="","",IF($AQ411&lt;&gt;"",IF(INDEX(Raw_D2!$F$2:$F$1001,$AQ411)="","",INDEX(Raw_D2!$F$2:$F$1001,$AQ411)),IF($AR411&lt;&gt;"",IF(INDEX(Raw_D3!$N$2:$N$1001,$AR411)="","",INDEX(Raw_D3!$N$2:$N$1001,$AR411)),"")))</f>
        <v>1</v>
      </c>
      <c r="O411" s="5">
        <f>IF($A411="","",IF($AQ411&lt;&gt;"",IF(INDEX(Raw_D2!$G$2:$G$1001,$AQ411)="","",INDEX(Raw_D2!$G$2:$G$1001,$AQ411)),IF($AR411&lt;&gt;"",IF(INDEX(Raw_D3!$O$2:$O$1001,$AR411)="","",INDEX(Raw_D3!$O$2:$O$1001,$AR411)),"")))</f>
        <v>6</v>
      </c>
      <c r="P411" s="5">
        <f>IF($A411="","",IF($AQ411&lt;&gt;"",IF(INDEX(Raw_D2!$H$2:$H$1001,$AQ411)="","",INDEX(Raw_D2!$H$2:$H$1001,$AQ411)),IF($AR411&lt;&gt;"",IF(INDEX(Raw_D3!$P$2:$P$1001,$AR411)="","",INDEX(Raw_D3!$P$2:$P$1001,$AR411)),"")))</f>
        <v>7</v>
      </c>
      <c r="Q411" s="5" t="str">
        <f>IF($A411="","",IF(AND($AP411&lt;&gt;"",$AQ411&lt;&gt;""),"D1+D2",IF($AR411&lt;&gt;"","D3","Incomplete")))</f>
        <v>D1+D2</v>
      </c>
      <c r="R411" s="17">
        <f>IF($A411="","",IF($K411="",IF($J411="","",ROUND(Lookups!$K$5+Lookups!$K$4*$J411,4)),$K411))</f>
        <v>0.2273</v>
      </c>
      <c r="S411" s="5" t="str">
        <f>IF($A411="","",IF($K411="","Imputed","Original"))</f>
        <v>Original</v>
      </c>
      <c r="T411" s="5" t="str">
        <f>IF($A411="","",IF($P411="","Missing",IF($P411=$N411+$O411,"OK","Mismatch")))</f>
        <v>OK</v>
      </c>
      <c r="U411" s="5" t="str">
        <f>IF($A411="","",IF(COUNTIF($A$2:$A411,$A411)&gt;1,"Duplicate","Unique"))</f>
        <v>Unique</v>
      </c>
      <c r="V411" s="5">
        <f>IF($A411="","",IF(AND($U411="Unique",ISNUMBER($P411)),1,0))</f>
        <v>1</v>
      </c>
      <c r="W411" s="5" t="str">
        <f>IF($A411="","",IF(OR($H411=0,$H411=6),"Weekend","Weekday"))</f>
        <v>Weekday</v>
      </c>
      <c r="X411" s="5" t="str">
        <f>IF($A411="","",TEXT($B411,"ddd"))</f>
        <v>Wed</v>
      </c>
      <c r="Y411" s="5" t="str">
        <f>IF($A411="","",TEXT($B411,"mmm"))</f>
        <v>Jan</v>
      </c>
      <c r="Z411" s="5" t="str">
        <f>IF($A411="","",IFERROR(VLOOKUP($C411,Lookups!$D$4:$E$7,2,FALSE),"Unknown"))</f>
        <v>Winter</v>
      </c>
      <c r="AA411" s="5" t="str">
        <f>IF($A411="","",IFERROR(VLOOKUP($I411,Lookups!$A$4:$B$7,2,FALSE),"Unknown"))</f>
        <v>Light Rain/Snow</v>
      </c>
      <c r="AB411" s="5" t="str">
        <f>IF($A411="","",TEXT($F411,"00")&amp;":00")</f>
        <v>01:00</v>
      </c>
      <c r="AC411" s="5" t="str">
        <f>IF($A411="","",VLOOKUP($F411,Lookups!$G$4:$H$8,2,TRUE))</f>
        <v>Night (00-05)</v>
      </c>
      <c r="AD411" s="18">
        <f>IF($A411="","",IF($J411="","",ROUND($J411*41,1)))</f>
        <v>9</v>
      </c>
      <c r="AE411" s="18">
        <f>IF($A411="","",IF($R411="","",ROUND($R411*50,1)))</f>
        <v>11.4</v>
      </c>
      <c r="AF411" s="5">
        <f>IF($A411="","",IF($L411="","",ROUND($L411*100,0)))</f>
        <v>93</v>
      </c>
      <c r="AG411" s="18">
        <f>IF($A411="","",IF($M411="","",ROUND($M411*67,1)))</f>
        <v>9</v>
      </c>
      <c r="AH411" s="19">
        <f>IF($A411="","",IF($P411="","",IF($P411=0,0,$O411/$P411)))</f>
        <v>0.857142857142857</v>
      </c>
      <c r="AI411" s="5" t="str">
        <f>IF($A411="","",IF($P411="","",IF($P411&gt;=Lookups!$K$7,"High",IF($P411&lt;=Lookups!$K$8,"Low","Medium"))))</f>
        <v>Low</v>
      </c>
      <c r="AJ411" s="5" t="str">
        <f>IF($A411="","",IF($AD411="","",IF($AD411&lt;5,"Under 5 C",IF($AD411&lt;10,"5-10 C",IF($AD411&lt;15,"10-15 C","15 C and above")))))</f>
        <v>5-10 C</v>
      </c>
      <c r="AK411" s="5">
        <f>IF($A411="","",IF($P411="","",$P411^2))</f>
        <v>49</v>
      </c>
      <c r="AL411" s="18">
        <f>IF($V411&lt;&gt;1,"",AVERAGEIFS(Clean_Data!$P$2:$P$1001,Clean_Data!$F$2:$F$1001,$F411,Clean_Data!$W$2:$W$1001,$W411,Clean_Data!$V$2:$V$1001,1))</f>
        <v>5.10344827586207</v>
      </c>
      <c r="AM411" s="16">
        <f>IF($V411&lt;&gt;1,"",IFERROR(($P411-$AL411)/SQRT(MAX(0,(SUMIFS(Clean_Data!$AK$2:$AK$1001,Clean_Data!$F$2:$F$1001,$F411,Clean_Data!$W$2:$W$1001,$W411,Clean_Data!$V$2:$V$1001,1)-COUNTIFS(Clean_Data!$F$2:$F$1001,$F411,Clean_Data!$W$2:$W$1001,$W411,Clean_Data!$V$2:$V$1001,1)*$AL411^2)/(COUNTIFS(Clean_Data!$F$2:$F$1001,$F411,Clean_Data!$W$2:$W$1001,$W411,Clean_Data!$V$2:$V$1001,1)-1))),""))</f>
        <v>0.657892854181701</v>
      </c>
      <c r="AN411" s="5" t="str">
        <f>IF($AM411="","",IF($AM411&gt;=Lookups!$K$6,"High spike",IF($AM411&lt;=-Lookups!$K$6,"Unusual low","Normal")))</f>
        <v>Normal</v>
      </c>
      <c r="AO411" s="20">
        <f>IF($V411&lt;&gt;1,"",$P411+ROW()/100000)</f>
        <v>7.00411</v>
      </c>
      <c r="AP411" s="5">
        <f>IF($A411="","",IFERROR(MATCH($A411,Raw_D1!$A$2:$A$1001,0),""))</f>
        <v>410</v>
      </c>
      <c r="AQ411" s="5">
        <f>IF($A411="","",IFERROR(MATCH($A411,Raw_D2!$B$2:$B$1001,0),""))</f>
        <v>410</v>
      </c>
      <c r="AR411" s="5">
        <f>IF($A411="","",IFERROR(MATCH($A411,Raw_D3!$A$2:$A$1001,0),""))</f>
        <v/>
      </c>
    </row>
    <row r="412" spans="1:44" x14ac:dyDescent="0.25">
      <c r="A412" s="5">
        <v>411</v>
      </c>
      <c r="B412" s="11">
        <f>IF($A412="","",IF($AP412&lt;&gt;"",INDEX(Raw_D1!$B$2:$B$1001,$AP412),IF($AR412&lt;&gt;"",INDEX(Raw_D3!$B$2:$B$1001,$AR412),"")))</f>
        <v>40562.0</v>
      </c>
      <c r="C412" s="5">
        <f>IF($A412="","",IF($AP412&lt;&gt;"",INDEX(Raw_D1!$C$2:$C$1001,$AP412),IF($AR412&lt;&gt;"",INDEX(Raw_D3!$C$2:$C$1001,$AR412),"")))</f>
        <v>1</v>
      </c>
      <c r="D412" s="5">
        <f>IF($A412="","",IF($AP412&lt;&gt;"",INDEX(Raw_D1!$D$2:$D$1001,$AP412),IF($AR412&lt;&gt;"",INDEX(Raw_D3!$D$2:$D$1001,$AR412),"")))</f>
        <v>0</v>
      </c>
      <c r="E412" s="5">
        <f>IF($A412="","",IF($AP412&lt;&gt;"",INDEX(Raw_D1!$E$2:$E$1001,$AP412),IF($AR412&lt;&gt;"",INDEX(Raw_D3!$E$2:$E$1001,$AR412),"")))</f>
        <v>1</v>
      </c>
      <c r="F412" s="5">
        <f>IF($A412="","",IF($AP412&lt;&gt;"",INDEX(Raw_D1!$F$2:$F$1001,$AP412),IF($AR412&lt;&gt;"",INDEX(Raw_D3!$F$2:$F$1001,$AR412),"")))</f>
        <v>2</v>
      </c>
      <c r="G412" s="5">
        <f>IF($A412="","",IF($AP412&lt;&gt;"",IF(INDEX(Raw_D1!$G$2:$G$1001,$AP412),1,0),IF($AR412&lt;&gt;"",IF(INDEX(Raw_D3!$G$2:$G$1001,$AR412),1,0),"")))</f>
        <v>0</v>
      </c>
      <c r="H412" s="5">
        <f>IF($A412="","",IF($AP412&lt;&gt;"",INDEX(Raw_D1!$H$2:$H$1001,$AP412),IF($AR412&lt;&gt;"",INDEX(Raw_D3!$H$2:$H$1001,$AR412),"")))</f>
        <v>3</v>
      </c>
      <c r="I412" s="5">
        <f>IF($A412="","",IF($AP412&lt;&gt;"",INDEX(Raw_D1!$I$2:$I$1001,$AP412),IF($AR412&lt;&gt;"",INDEX(Raw_D3!$I$2:$I$1001,$AR412),"")))</f>
        <v>3</v>
      </c>
      <c r="J412" s="16">
        <f>IF($A412="","",IF($AP412&lt;&gt;"",INDEX(Raw_D1!$J$2:$J$1001,$AP412),IF($AR412&lt;&gt;"",INDEX(Raw_D3!$J$2:$J$1001,$AR412),"")))</f>
        <v>0.22</v>
      </c>
      <c r="K412" s="17">
        <f>IF($A412="","",IF($AQ412&lt;&gt;"",IF(INDEX(Raw_D2!$C$2:$C$1001,$AQ412)="","",INDEX(Raw_D2!$C$2:$C$1001,$AQ412)),IF($AR412&lt;&gt;"",IF(INDEX(Raw_D3!$K$2:$K$1001,$AR412)="","",INDEX(Raw_D3!$K$2:$K$1001,$AR412)),"")))</f>
        <v>0.2273</v>
      </c>
      <c r="L412" s="16">
        <f>IF($A412="","",IF($AQ412&lt;&gt;"",IF(INDEX(Raw_D2!$D$2:$D$1001,$AQ412)="","",INDEX(Raw_D2!$D$2:$D$1001,$AQ412)),IF($AR412&lt;&gt;"",IF(INDEX(Raw_D3!$L$2:$L$1001,$AR412)="","",INDEX(Raw_D3!$L$2:$L$1001,$AR412)),"")))</f>
        <v>0.93</v>
      </c>
      <c r="M412" s="17">
        <f>IF($A412="","",IF($AQ412&lt;&gt;"",IF(INDEX(Raw_D2!$E$2:$E$1001,$AQ412)="","",INDEX(Raw_D2!$E$2:$E$1001,$AQ412)),IF($AR412&lt;&gt;"",IF(INDEX(Raw_D3!$M$2:$M$1001,$AR412)="","",INDEX(Raw_D3!$M$2:$M$1001,$AR412)),"")))</f>
        <v>0.1343</v>
      </c>
      <c r="N412" s="5">
        <f>IF($A412="","",IF($AQ412&lt;&gt;"",IF(INDEX(Raw_D2!$F$2:$F$1001,$AQ412)="","",INDEX(Raw_D2!$F$2:$F$1001,$AQ412)),IF($AR412&lt;&gt;"",IF(INDEX(Raw_D3!$N$2:$N$1001,$AR412)="","",INDEX(Raw_D3!$N$2:$N$1001,$AR412)),"")))</f>
        <v>0</v>
      </c>
      <c r="O412" s="5">
        <f>IF($A412="","",IF($AQ412&lt;&gt;"",IF(INDEX(Raw_D2!$G$2:$G$1001,$AQ412)="","",INDEX(Raw_D2!$G$2:$G$1001,$AQ412)),IF($AR412&lt;&gt;"",IF(INDEX(Raw_D3!$O$2:$O$1001,$AR412)="","",INDEX(Raw_D3!$O$2:$O$1001,$AR412)),"")))</f>
        <v>3</v>
      </c>
      <c r="P412" s="5">
        <f>IF($A412="","",IF($AQ412&lt;&gt;"",IF(INDEX(Raw_D2!$H$2:$H$1001,$AQ412)="","",INDEX(Raw_D2!$H$2:$H$1001,$AQ412)),IF($AR412&lt;&gt;"",IF(INDEX(Raw_D3!$P$2:$P$1001,$AR412)="","",INDEX(Raw_D3!$P$2:$P$1001,$AR412)),"")))</f>
        <v>3</v>
      </c>
      <c r="Q412" s="5" t="str">
        <f>IF($A412="","",IF(AND($AP412&lt;&gt;"",$AQ412&lt;&gt;""),"D1+D2",IF($AR412&lt;&gt;"","D3","Incomplete")))</f>
        <v>D1+D2</v>
      </c>
      <c r="R412" s="17">
        <f>IF($A412="","",IF($K412="",IF($J412="","",ROUND(Lookups!$K$5+Lookups!$K$4*$J412,4)),$K412))</f>
        <v>0.2273</v>
      </c>
      <c r="S412" s="5" t="str">
        <f>IF($A412="","",IF($K412="","Imputed","Original"))</f>
        <v>Original</v>
      </c>
      <c r="T412" s="5" t="str">
        <f>IF($A412="","",IF($P412="","Missing",IF($P412=$N412+$O412,"OK","Mismatch")))</f>
        <v>OK</v>
      </c>
      <c r="U412" s="5" t="str">
        <f>IF($A412="","",IF(COUNTIF($A$2:$A412,$A412)&gt;1,"Duplicate","Unique"))</f>
        <v>Unique</v>
      </c>
      <c r="V412" s="5">
        <f>IF($A412="","",IF(AND($U412="Unique",ISNUMBER($P412)),1,0))</f>
        <v>1</v>
      </c>
      <c r="W412" s="5" t="str">
        <f>IF($A412="","",IF(OR($H412=0,$H412=6),"Weekend","Weekday"))</f>
        <v>Weekday</v>
      </c>
      <c r="X412" s="5" t="str">
        <f>IF($A412="","",TEXT($B412,"ddd"))</f>
        <v>Wed</v>
      </c>
      <c r="Y412" s="5" t="str">
        <f>IF($A412="","",TEXT($B412,"mmm"))</f>
        <v>Jan</v>
      </c>
      <c r="Z412" s="5" t="str">
        <f>IF($A412="","",IFERROR(VLOOKUP($C412,Lookups!$D$4:$E$7,2,FALSE),"Unknown"))</f>
        <v>Winter</v>
      </c>
      <c r="AA412" s="5" t="str">
        <f>IF($A412="","",IFERROR(VLOOKUP($I412,Lookups!$A$4:$B$7,2,FALSE),"Unknown"))</f>
        <v>Light Rain/Snow</v>
      </c>
      <c r="AB412" s="5" t="str">
        <f>IF($A412="","",TEXT($F412,"00")&amp;":00")</f>
        <v>02:00</v>
      </c>
      <c r="AC412" s="5" t="str">
        <f>IF($A412="","",VLOOKUP($F412,Lookups!$G$4:$H$8,2,TRUE))</f>
        <v>Night (00-05)</v>
      </c>
      <c r="AD412" s="18">
        <f>IF($A412="","",IF($J412="","",ROUND($J412*41,1)))</f>
        <v>9</v>
      </c>
      <c r="AE412" s="18">
        <f>IF($A412="","",IF($R412="","",ROUND($R412*50,1)))</f>
        <v>11.4</v>
      </c>
      <c r="AF412" s="5">
        <f>IF($A412="","",IF($L412="","",ROUND($L412*100,0)))</f>
        <v>93</v>
      </c>
      <c r="AG412" s="18">
        <f>IF($A412="","",IF($M412="","",ROUND($M412*67,1)))</f>
        <v>9</v>
      </c>
      <c r="AH412" s="19">
        <f>IF($A412="","",IF($P412="","",IF($P412=0,0,$O412/$P412)))</f>
        <v>1</v>
      </c>
      <c r="AI412" s="5" t="str">
        <f>IF($A412="","",IF($P412="","",IF($P412&gt;=Lookups!$K$7,"High",IF($P412&lt;=Lookups!$K$8,"Low","Medium"))))</f>
        <v>Low</v>
      </c>
      <c r="AJ412" s="5" t="str">
        <f>IF($A412="","",IF($AD412="","",IF($AD412&lt;5,"Under 5 C",IF($AD412&lt;10,"5-10 C",IF($AD412&lt;15,"10-15 C","15 C and above")))))</f>
        <v>5-10 C</v>
      </c>
      <c r="AK412" s="5">
        <f>IF($A412="","",IF($P412="","",$P412^2))</f>
        <v>9</v>
      </c>
      <c r="AL412" s="18">
        <f>IF($V412&lt;&gt;1,"",AVERAGEIFS(Clean_Data!$P$2:$P$1001,Clean_Data!$F$2:$F$1001,$F412,Clean_Data!$W$2:$W$1001,$W412,Clean_Data!$V$2:$V$1001,1))</f>
        <v>2.62962962962963</v>
      </c>
      <c r="AM412" s="16">
        <f>IF($V412&lt;&gt;1,"",IFERROR(($P412-$AL412)/SQRT(MAX(0,(SUMIFS(Clean_Data!$AK$2:$AK$1001,Clean_Data!$F$2:$F$1001,$F412,Clean_Data!$W$2:$W$1001,$W412,Clean_Data!$V$2:$V$1001,1)-COUNTIFS(Clean_Data!$F$2:$F$1001,$F412,Clean_Data!$W$2:$W$1001,$W412,Clean_Data!$V$2:$V$1001,1)*$AL412^2)/(COUNTIFS(Clean_Data!$F$2:$F$1001,$F412,Clean_Data!$W$2:$W$1001,$W412,Clean_Data!$V$2:$V$1001,1)-1))),""))</f>
        <v>0.183174006014898</v>
      </c>
      <c r="AN412" s="5" t="str">
        <f>IF($AM412="","",IF($AM412&gt;=Lookups!$K$6,"High spike",IF($AM412&lt;=-Lookups!$K$6,"Unusual low","Normal")))</f>
        <v>Normal</v>
      </c>
      <c r="AO412" s="20">
        <f>IF($V412&lt;&gt;1,"",$P412+ROW()/100000)</f>
        <v>3.00412</v>
      </c>
      <c r="AP412" s="5">
        <f>IF($A412="","",IFERROR(MATCH($A412,Raw_D1!$A$2:$A$1001,0),""))</f>
        <v>411</v>
      </c>
      <c r="AQ412" s="5">
        <f>IF($A412="","",IFERROR(MATCH($A412,Raw_D2!$B$2:$B$1001,0),""))</f>
        <v>411</v>
      </c>
      <c r="AR412" s="5">
        <f>IF($A412="","",IFERROR(MATCH($A412,Raw_D3!$A$2:$A$1001,0),""))</f>
        <v/>
      </c>
    </row>
    <row r="413" spans="1:44" x14ac:dyDescent="0.25">
      <c r="A413" s="5">
        <v>412</v>
      </c>
      <c r="B413" s="11">
        <f>IF($A413="","",IF($AP413&lt;&gt;"",INDEX(Raw_D1!$B$2:$B$1001,$AP413),IF($AR413&lt;&gt;"",INDEX(Raw_D3!$B$2:$B$1001,$AR413),"")))</f>
        <v>40562.0</v>
      </c>
      <c r="C413" s="5">
        <f>IF($A413="","",IF($AP413&lt;&gt;"",INDEX(Raw_D1!$C$2:$C$1001,$AP413),IF($AR413&lt;&gt;"",INDEX(Raw_D3!$C$2:$C$1001,$AR413),"")))</f>
        <v>1</v>
      </c>
      <c r="D413" s="5">
        <f>IF($A413="","",IF($AP413&lt;&gt;"",INDEX(Raw_D1!$D$2:$D$1001,$AP413),IF($AR413&lt;&gt;"",INDEX(Raw_D3!$D$2:$D$1001,$AR413),"")))</f>
        <v>0</v>
      </c>
      <c r="E413" s="5">
        <f>IF($A413="","",IF($AP413&lt;&gt;"",INDEX(Raw_D1!$E$2:$E$1001,$AP413),IF($AR413&lt;&gt;"",INDEX(Raw_D3!$E$2:$E$1001,$AR413),"")))</f>
        <v>1</v>
      </c>
      <c r="F413" s="5">
        <f>IF($A413="","",IF($AP413&lt;&gt;"",INDEX(Raw_D1!$F$2:$F$1001,$AP413),IF($AR413&lt;&gt;"",INDEX(Raw_D3!$F$2:$F$1001,$AR413),"")))</f>
        <v>4</v>
      </c>
      <c r="G413" s="5">
        <f>IF($A413="","",IF($AP413&lt;&gt;"",IF(INDEX(Raw_D1!$G$2:$G$1001,$AP413),1,0),IF($AR413&lt;&gt;"",IF(INDEX(Raw_D3!$G$2:$G$1001,$AR413),1,0),"")))</f>
        <v>0</v>
      </c>
      <c r="H413" s="5">
        <f>IF($A413="","",IF($AP413&lt;&gt;"",INDEX(Raw_D1!$H$2:$H$1001,$AP413),IF($AR413&lt;&gt;"",INDEX(Raw_D3!$H$2:$H$1001,$AR413),"")))</f>
        <v>3</v>
      </c>
      <c r="I413" s="5">
        <f>IF($A413="","",IF($AP413&lt;&gt;"",INDEX(Raw_D1!$I$2:$I$1001,$AP413),IF($AR413&lt;&gt;"",INDEX(Raw_D3!$I$2:$I$1001,$AR413),"")))</f>
        <v>3</v>
      </c>
      <c r="J413" s="16">
        <f>IF($A413="","",IF($AP413&lt;&gt;"",INDEX(Raw_D1!$J$2:$J$1001,$AP413),IF($AR413&lt;&gt;"",INDEX(Raw_D3!$J$2:$J$1001,$AR413),"")))</f>
        <v>0.22</v>
      </c>
      <c r="K413" s="17">
        <f>IF($A413="","",IF($AQ413&lt;&gt;"",IF(INDEX(Raw_D2!$C$2:$C$1001,$AQ413)="","",INDEX(Raw_D2!$C$2:$C$1001,$AQ413)),IF($AR413&lt;&gt;"",IF(INDEX(Raw_D3!$K$2:$K$1001,$AR413)="","",INDEX(Raw_D3!$K$2:$K$1001,$AR413)),"")))</f>
        <v>0.2273</v>
      </c>
      <c r="L413" s="16">
        <f>IF($A413="","",IF($AQ413&lt;&gt;"",IF(INDEX(Raw_D2!$D$2:$D$1001,$AQ413)="","",INDEX(Raw_D2!$D$2:$D$1001,$AQ413)),IF($AR413&lt;&gt;"",IF(INDEX(Raw_D3!$L$2:$L$1001,$AR413)="","",INDEX(Raw_D3!$L$2:$L$1001,$AR413)),"")))</f>
        <v>0.93</v>
      </c>
      <c r="M413" s="17">
        <f>IF($A413="","",IF($AQ413&lt;&gt;"",IF(INDEX(Raw_D2!$E$2:$E$1001,$AQ413)="","",INDEX(Raw_D2!$E$2:$E$1001,$AQ413)),IF($AR413&lt;&gt;"",IF(INDEX(Raw_D3!$M$2:$M$1001,$AR413)="","",INDEX(Raw_D3!$M$2:$M$1001,$AR413)),"")))</f>
        <v>0.1343</v>
      </c>
      <c r="N413" s="5">
        <f>IF($A413="","",IF($AQ413&lt;&gt;"",IF(INDEX(Raw_D2!$F$2:$F$1001,$AQ413)="","",INDEX(Raw_D2!$F$2:$F$1001,$AQ413)),IF($AR413&lt;&gt;"",IF(INDEX(Raw_D3!$N$2:$N$1001,$AR413)="","",INDEX(Raw_D3!$N$2:$N$1001,$AR413)),"")))</f>
        <v>1</v>
      </c>
      <c r="O413" s="5">
        <f>IF($A413="","",IF($AQ413&lt;&gt;"",IF(INDEX(Raw_D2!$G$2:$G$1001,$AQ413)="","",INDEX(Raw_D2!$G$2:$G$1001,$AQ413)),IF($AR413&lt;&gt;"",IF(INDEX(Raw_D3!$O$2:$O$1001,$AR413)="","",INDEX(Raw_D3!$O$2:$O$1001,$AR413)),"")))</f>
        <v>1</v>
      </c>
      <c r="P413" s="5">
        <f>IF($A413="","",IF($AQ413&lt;&gt;"",IF(INDEX(Raw_D2!$H$2:$H$1001,$AQ413)="","",INDEX(Raw_D2!$H$2:$H$1001,$AQ413)),IF($AR413&lt;&gt;"",IF(INDEX(Raw_D3!$P$2:$P$1001,$AR413)="","",INDEX(Raw_D3!$P$2:$P$1001,$AR413)),"")))</f>
        <v>2</v>
      </c>
      <c r="Q413" s="5" t="str">
        <f>IF($A413="","",IF(AND($AP413&lt;&gt;"",$AQ413&lt;&gt;""),"D1+D2",IF($AR413&lt;&gt;"","D3","Incomplete")))</f>
        <v>D1+D2</v>
      </c>
      <c r="R413" s="17">
        <f>IF($A413="","",IF($K413="",IF($J413="","",ROUND(Lookups!$K$5+Lookups!$K$4*$J413,4)),$K413))</f>
        <v>0.2273</v>
      </c>
      <c r="S413" s="5" t="str">
        <f>IF($A413="","",IF($K413="","Imputed","Original"))</f>
        <v>Original</v>
      </c>
      <c r="T413" s="5" t="str">
        <f>IF($A413="","",IF($P413="","Missing",IF($P413=$N413+$O413,"OK","Mismatch")))</f>
        <v>OK</v>
      </c>
      <c r="U413" s="5" t="str">
        <f>IF($A413="","",IF(COUNTIF($A$2:$A413,$A413)&gt;1,"Duplicate","Unique"))</f>
        <v>Unique</v>
      </c>
      <c r="V413" s="5">
        <f>IF($A413="","",IF(AND($U413="Unique",ISNUMBER($P413)),1,0))</f>
        <v>1</v>
      </c>
      <c r="W413" s="5" t="str">
        <f>IF($A413="","",IF(OR($H413=0,$H413=6),"Weekend","Weekday"))</f>
        <v>Weekday</v>
      </c>
      <c r="X413" s="5" t="str">
        <f>IF($A413="","",TEXT($B413,"ddd"))</f>
        <v>Wed</v>
      </c>
      <c r="Y413" s="5" t="str">
        <f>IF($A413="","",TEXT($B413,"mmm"))</f>
        <v>Jan</v>
      </c>
      <c r="Z413" s="5" t="str">
        <f>IF($A413="","",IFERROR(VLOOKUP($C413,Lookups!$D$4:$E$7,2,FALSE),"Unknown"))</f>
        <v>Winter</v>
      </c>
      <c r="AA413" s="5" t="str">
        <f>IF($A413="","",IFERROR(VLOOKUP($I413,Lookups!$A$4:$B$7,2,FALSE),"Unknown"))</f>
        <v>Light Rain/Snow</v>
      </c>
      <c r="AB413" s="5" t="str">
        <f>IF($A413="","",TEXT($F413,"00")&amp;":00")</f>
        <v>04:00</v>
      </c>
      <c r="AC413" s="5" t="str">
        <f>IF($A413="","",VLOOKUP($F413,Lookups!$G$4:$H$8,2,TRUE))</f>
        <v>Night (00-05)</v>
      </c>
      <c r="AD413" s="18">
        <f>IF($A413="","",IF($J413="","",ROUND($J413*41,1)))</f>
        <v>9</v>
      </c>
      <c r="AE413" s="18">
        <f>IF($A413="","",IF($R413="","",ROUND($R413*50,1)))</f>
        <v>11.4</v>
      </c>
      <c r="AF413" s="5">
        <f>IF($A413="","",IF($L413="","",ROUND($L413*100,0)))</f>
        <v>93</v>
      </c>
      <c r="AG413" s="18">
        <f>IF($A413="","",IF($M413="","",ROUND($M413*67,1)))</f>
        <v>9</v>
      </c>
      <c r="AH413" s="19">
        <f>IF($A413="","",IF($P413="","",IF($P413=0,0,$O413/$P413)))</f>
        <v>0.5</v>
      </c>
      <c r="AI413" s="5" t="str">
        <f>IF($A413="","",IF($P413="","",IF($P413&gt;=Lookups!$K$7,"High",IF($P413&lt;=Lookups!$K$8,"Low","Medium"))))</f>
        <v>Low</v>
      </c>
      <c r="AJ413" s="5" t="str">
        <f>IF($A413="","",IF($AD413="","",IF($AD413&lt;5,"Under 5 C",IF($AD413&lt;10,"5-10 C",IF($AD413&lt;15,"10-15 C","15 C and above")))))</f>
        <v>5-10 C</v>
      </c>
      <c r="AK413" s="5">
        <f>IF($A413="","",IF($P413="","",$P413^2))</f>
        <v>4</v>
      </c>
      <c r="AL413" s="18">
        <f>IF($V413&lt;&gt;1,"",AVERAGEIFS(Clean_Data!$P$2:$P$1001,Clean_Data!$F$2:$F$1001,$F413,Clean_Data!$W$2:$W$1001,$W413,Clean_Data!$V$2:$V$1001,1))</f>
        <v>1.78947368421053</v>
      </c>
      <c r="AM413" s="16">
        <f>IF($V413&lt;&gt;1,"",IFERROR(($P413-$AL413)/SQRT(MAX(0,(SUMIFS(Clean_Data!$AK$2:$AK$1001,Clean_Data!$F$2:$F$1001,$F413,Clean_Data!$W$2:$W$1001,$W413,Clean_Data!$V$2:$V$1001,1)-COUNTIFS(Clean_Data!$F$2:$F$1001,$F413,Clean_Data!$W$2:$W$1001,$W413,Clean_Data!$V$2:$V$1001,1)*$AL413^2)/(COUNTIFS(Clean_Data!$F$2:$F$1001,$F413,Clean_Data!$W$2:$W$1001,$W413,Clean_Data!$V$2:$V$1001,1)-1))),""))</f>
        <v>0.229415733870562</v>
      </c>
      <c r="AN413" s="5" t="str">
        <f>IF($AM413="","",IF($AM413&gt;=Lookups!$K$6,"High spike",IF($AM413&lt;=-Lookups!$K$6,"Unusual low","Normal")))</f>
        <v>Normal</v>
      </c>
      <c r="AO413" s="20">
        <f>IF($V413&lt;&gt;1,"",$P413+ROW()/100000)</f>
        <v>2.00413</v>
      </c>
      <c r="AP413" s="5">
        <f>IF($A413="","",IFERROR(MATCH($A413,Raw_D1!$A$2:$A$1001,0),""))</f>
        <v>412</v>
      </c>
      <c r="AQ413" s="5">
        <f>IF($A413="","",IFERROR(MATCH($A413,Raw_D2!$B$2:$B$1001,0),""))</f>
        <v>412</v>
      </c>
      <c r="AR413" s="5">
        <f>IF($A413="","",IFERROR(MATCH($A413,Raw_D3!$A$2:$A$1001,0),""))</f>
        <v/>
      </c>
    </row>
    <row r="414" spans="1:44" x14ac:dyDescent="0.25">
      <c r="A414" s="5">
        <v>413</v>
      </c>
      <c r="B414" s="11">
        <f>IF($A414="","",IF($AP414&lt;&gt;"",INDEX(Raw_D1!$B$2:$B$1001,$AP414),IF($AR414&lt;&gt;"",INDEX(Raw_D3!$B$2:$B$1001,$AR414),"")))</f>
        <v>40562.0</v>
      </c>
      <c r="C414" s="5">
        <f>IF($A414="","",IF($AP414&lt;&gt;"",INDEX(Raw_D1!$C$2:$C$1001,$AP414),IF($AR414&lt;&gt;"",INDEX(Raw_D3!$C$2:$C$1001,$AR414),"")))</f>
        <v>1</v>
      </c>
      <c r="D414" s="5">
        <f>IF($A414="","",IF($AP414&lt;&gt;"",INDEX(Raw_D1!$D$2:$D$1001,$AP414),IF($AR414&lt;&gt;"",INDEX(Raw_D3!$D$2:$D$1001,$AR414),"")))</f>
        <v>0</v>
      </c>
      <c r="E414" s="5">
        <f>IF($A414="","",IF($AP414&lt;&gt;"",INDEX(Raw_D1!$E$2:$E$1001,$AP414),IF($AR414&lt;&gt;"",INDEX(Raw_D3!$E$2:$E$1001,$AR414),"")))</f>
        <v>1</v>
      </c>
      <c r="F414" s="5">
        <f>IF($A414="","",IF($AP414&lt;&gt;"",INDEX(Raw_D1!$F$2:$F$1001,$AP414),IF($AR414&lt;&gt;"",INDEX(Raw_D3!$F$2:$F$1001,$AR414),"")))</f>
        <v>5</v>
      </c>
      <c r="G414" s="5">
        <f>IF($A414="","",IF($AP414&lt;&gt;"",IF(INDEX(Raw_D1!$G$2:$G$1001,$AP414),1,0),IF($AR414&lt;&gt;"",IF(INDEX(Raw_D3!$G$2:$G$1001,$AR414),1,0),"")))</f>
        <v>0</v>
      </c>
      <c r="H414" s="5">
        <f>IF($A414="","",IF($AP414&lt;&gt;"",INDEX(Raw_D1!$H$2:$H$1001,$AP414),IF($AR414&lt;&gt;"",INDEX(Raw_D3!$H$2:$H$1001,$AR414),"")))</f>
        <v>3</v>
      </c>
      <c r="I414" s="5">
        <f>IF($A414="","",IF($AP414&lt;&gt;"",INDEX(Raw_D1!$I$2:$I$1001,$AP414),IF($AR414&lt;&gt;"",INDEX(Raw_D3!$I$2:$I$1001,$AR414),"")))</f>
        <v>2</v>
      </c>
      <c r="J414" s="16">
        <f>IF($A414="","",IF($AP414&lt;&gt;"",INDEX(Raw_D1!$J$2:$J$1001,$AP414),IF($AR414&lt;&gt;"",INDEX(Raw_D3!$J$2:$J$1001,$AR414),"")))</f>
        <v>0.22</v>
      </c>
      <c r="K414" s="17">
        <f>IF($A414="","",IF($AQ414&lt;&gt;"",IF(INDEX(Raw_D2!$C$2:$C$1001,$AQ414)="","",INDEX(Raw_D2!$C$2:$C$1001,$AQ414)),IF($AR414&lt;&gt;"",IF(INDEX(Raw_D3!$K$2:$K$1001,$AR414)="","",INDEX(Raw_D3!$K$2:$K$1001,$AR414)),"")))</f>
        <v>0.2576</v>
      </c>
      <c r="L414" s="16">
        <f>IF($A414="","",IF($AQ414&lt;&gt;"",IF(INDEX(Raw_D2!$D$2:$D$1001,$AQ414)="","",INDEX(Raw_D2!$D$2:$D$1001,$AQ414)),IF($AR414&lt;&gt;"",IF(INDEX(Raw_D3!$L$2:$L$1001,$AR414)="","",INDEX(Raw_D3!$L$2:$L$1001,$AR414)),"")))</f>
        <v>0.93</v>
      </c>
      <c r="M414" s="17">
        <f>IF($A414="","",IF($AQ414&lt;&gt;"",IF(INDEX(Raw_D2!$E$2:$E$1001,$AQ414)="","",INDEX(Raw_D2!$E$2:$E$1001,$AQ414)),IF($AR414&lt;&gt;"",IF(INDEX(Raw_D3!$M$2:$M$1001,$AR414)="","",INDEX(Raw_D3!$M$2:$M$1001,$AR414)),"")))</f>
        <v>0.0896</v>
      </c>
      <c r="N414" s="5">
        <f>IF($A414="","",IF($AQ414&lt;&gt;"",IF(INDEX(Raw_D2!$F$2:$F$1001,$AQ414)="","",INDEX(Raw_D2!$F$2:$F$1001,$AQ414)),IF($AR414&lt;&gt;"",IF(INDEX(Raw_D3!$N$2:$N$1001,$AR414)="","",INDEX(Raw_D3!$N$2:$N$1001,$AR414)),"")))</f>
        <v>0</v>
      </c>
      <c r="O414" s="5">
        <f>IF($A414="","",IF($AQ414&lt;&gt;"",IF(INDEX(Raw_D2!$G$2:$G$1001,$AQ414)="","",INDEX(Raw_D2!$G$2:$G$1001,$AQ414)),IF($AR414&lt;&gt;"",IF(INDEX(Raw_D3!$O$2:$O$1001,$AR414)="","",INDEX(Raw_D3!$O$2:$O$1001,$AR414)),"")))</f>
        <v>7</v>
      </c>
      <c r="P414" s="5">
        <f>IF($A414="","",IF($AQ414&lt;&gt;"",IF(INDEX(Raw_D2!$H$2:$H$1001,$AQ414)="","",INDEX(Raw_D2!$H$2:$H$1001,$AQ414)),IF($AR414&lt;&gt;"",IF(INDEX(Raw_D3!$P$2:$P$1001,$AR414)="","",INDEX(Raw_D3!$P$2:$P$1001,$AR414)),"")))</f>
        <v>7</v>
      </c>
      <c r="Q414" s="5" t="str">
        <f>IF($A414="","",IF(AND($AP414&lt;&gt;"",$AQ414&lt;&gt;""),"D1+D2",IF($AR414&lt;&gt;"","D3","Incomplete")))</f>
        <v>D1+D2</v>
      </c>
      <c r="R414" s="17">
        <f>IF($A414="","",IF($K414="",IF($J414="","",ROUND(Lookups!$K$5+Lookups!$K$4*$J414,4)),$K414))</f>
        <v>0.2576</v>
      </c>
      <c r="S414" s="5" t="str">
        <f>IF($A414="","",IF($K414="","Imputed","Original"))</f>
        <v>Original</v>
      </c>
      <c r="T414" s="5" t="str">
        <f>IF($A414="","",IF($P414="","Missing",IF($P414=$N414+$O414,"OK","Mismatch")))</f>
        <v>OK</v>
      </c>
      <c r="U414" s="5" t="str">
        <f>IF($A414="","",IF(COUNTIF($A$2:$A414,$A414)&gt;1,"Duplicate","Unique"))</f>
        <v>Unique</v>
      </c>
      <c r="V414" s="5">
        <f>IF($A414="","",IF(AND($U414="Unique",ISNUMBER($P414)),1,0))</f>
        <v>1</v>
      </c>
      <c r="W414" s="5" t="str">
        <f>IF($A414="","",IF(OR($H414=0,$H414=6),"Weekend","Weekday"))</f>
        <v>Weekday</v>
      </c>
      <c r="X414" s="5" t="str">
        <f>IF($A414="","",TEXT($B414,"ddd"))</f>
        <v>Wed</v>
      </c>
      <c r="Y414" s="5" t="str">
        <f>IF($A414="","",TEXT($B414,"mmm"))</f>
        <v>Jan</v>
      </c>
      <c r="Z414" s="5" t="str">
        <f>IF($A414="","",IFERROR(VLOOKUP($C414,Lookups!$D$4:$E$7,2,FALSE),"Unknown"))</f>
        <v>Winter</v>
      </c>
      <c r="AA414" s="5" t="str">
        <f>IF($A414="","",IFERROR(VLOOKUP($I414,Lookups!$A$4:$B$7,2,FALSE),"Unknown"))</f>
        <v>Mist/Cloudy</v>
      </c>
      <c r="AB414" s="5" t="str">
        <f>IF($A414="","",TEXT($F414,"00")&amp;":00")</f>
        <v>05:00</v>
      </c>
      <c r="AC414" s="5" t="str">
        <f>IF($A414="","",VLOOKUP($F414,Lookups!$G$4:$H$8,2,TRUE))</f>
        <v>Night (00-05)</v>
      </c>
      <c r="AD414" s="18">
        <f>IF($A414="","",IF($J414="","",ROUND($J414*41,1)))</f>
        <v>9</v>
      </c>
      <c r="AE414" s="18">
        <f>IF($A414="","",IF($R414="","",ROUND($R414*50,1)))</f>
        <v>12.9</v>
      </c>
      <c r="AF414" s="5">
        <f>IF($A414="","",IF($L414="","",ROUND($L414*100,0)))</f>
        <v>93</v>
      </c>
      <c r="AG414" s="18">
        <f>IF($A414="","",IF($M414="","",ROUND($M414*67,1)))</f>
        <v>6</v>
      </c>
      <c r="AH414" s="19">
        <f>IF($A414="","",IF($P414="","",IF($P414=0,0,$O414/$P414)))</f>
        <v>1</v>
      </c>
      <c r="AI414" s="5" t="str">
        <f>IF($A414="","",IF($P414="","",IF($P414&gt;=Lookups!$K$7,"High",IF($P414&lt;=Lookups!$K$8,"Low","Medium"))))</f>
        <v>Low</v>
      </c>
      <c r="AJ414" s="5" t="str">
        <f>IF($A414="","",IF($AD414="","",IF($AD414&lt;5,"Under 5 C",IF($AD414&lt;10,"5-10 C",IF($AD414&lt;15,"10-15 C","15 C and above")))))</f>
        <v>5-10 C</v>
      </c>
      <c r="AK414" s="5">
        <f>IF($A414="","",IF($P414="","",$P414^2))</f>
        <v>49</v>
      </c>
      <c r="AL414" s="18">
        <f>IF($V414&lt;&gt;1,"",AVERAGEIFS(Clean_Data!$P$2:$P$1001,Clean_Data!$F$2:$F$1001,$F414,Clean_Data!$W$2:$W$1001,$W414,Clean_Data!$V$2:$V$1001,1))</f>
        <v>4.72413793103448</v>
      </c>
      <c r="AM414" s="16">
        <f>IF($V414&lt;&gt;1,"",IFERROR(($P414-$AL414)/SQRT(MAX(0,(SUMIFS(Clean_Data!$AK$2:$AK$1001,Clean_Data!$F$2:$F$1001,$F414,Clean_Data!$W$2:$W$1001,$W414,Clean_Data!$V$2:$V$1001,1)-COUNTIFS(Clean_Data!$F$2:$F$1001,$F414,Clean_Data!$W$2:$W$1001,$W414,Clean_Data!$V$2:$V$1001,1)*$AL414^2)/(COUNTIFS(Clean_Data!$F$2:$F$1001,$F414,Clean_Data!$W$2:$W$1001,$W414,Clean_Data!$V$2:$V$1001,1)-1))),""))</f>
        <v>0.971083383645754</v>
      </c>
      <c r="AN414" s="5" t="str">
        <f>IF($AM414="","",IF($AM414&gt;=Lookups!$K$6,"High spike",IF($AM414&lt;=-Lookups!$K$6,"Unusual low","Normal")))</f>
        <v>Normal</v>
      </c>
      <c r="AO414" s="20">
        <f>IF($V414&lt;&gt;1,"",$P414+ROW()/100000)</f>
        <v>7.00414</v>
      </c>
      <c r="AP414" s="5">
        <f>IF($A414="","",IFERROR(MATCH($A414,Raw_D1!$A$2:$A$1001,0),""))</f>
        <v>413</v>
      </c>
      <c r="AQ414" s="5">
        <f>IF($A414="","",IFERROR(MATCH($A414,Raw_D2!$B$2:$B$1001,0),""))</f>
        <v>413</v>
      </c>
      <c r="AR414" s="5">
        <f>IF($A414="","",IFERROR(MATCH($A414,Raw_D3!$A$2:$A$1001,0),""))</f>
        <v/>
      </c>
    </row>
    <row r="415" spans="1:44" x14ac:dyDescent="0.25">
      <c r="A415" s="5">
        <v>414</v>
      </c>
      <c r="B415" s="11">
        <f>IF($A415="","",IF($AP415&lt;&gt;"",INDEX(Raw_D1!$B$2:$B$1001,$AP415),IF($AR415&lt;&gt;"",INDEX(Raw_D3!$B$2:$B$1001,$AR415),"")))</f>
        <v>40562.0</v>
      </c>
      <c r="C415" s="5">
        <f>IF($A415="","",IF($AP415&lt;&gt;"",INDEX(Raw_D1!$C$2:$C$1001,$AP415),IF($AR415&lt;&gt;"",INDEX(Raw_D3!$C$2:$C$1001,$AR415),"")))</f>
        <v>1</v>
      </c>
      <c r="D415" s="5">
        <f>IF($A415="","",IF($AP415&lt;&gt;"",INDEX(Raw_D1!$D$2:$D$1001,$AP415),IF($AR415&lt;&gt;"",INDEX(Raw_D3!$D$2:$D$1001,$AR415),"")))</f>
        <v>0</v>
      </c>
      <c r="E415" s="5">
        <f>IF($A415="","",IF($AP415&lt;&gt;"",INDEX(Raw_D1!$E$2:$E$1001,$AP415),IF($AR415&lt;&gt;"",INDEX(Raw_D3!$E$2:$E$1001,$AR415),"")))</f>
        <v>1</v>
      </c>
      <c r="F415" s="5">
        <f>IF($A415="","",IF($AP415&lt;&gt;"",INDEX(Raw_D1!$F$2:$F$1001,$AP415),IF($AR415&lt;&gt;"",INDEX(Raw_D3!$F$2:$F$1001,$AR415),"")))</f>
        <v>6</v>
      </c>
      <c r="G415" s="5">
        <f>IF($A415="","",IF($AP415&lt;&gt;"",IF(INDEX(Raw_D1!$G$2:$G$1001,$AP415),1,0),IF($AR415&lt;&gt;"",IF(INDEX(Raw_D3!$G$2:$G$1001,$AR415),1,0),"")))</f>
        <v>0</v>
      </c>
      <c r="H415" s="5">
        <f>IF($A415="","",IF($AP415&lt;&gt;"",INDEX(Raw_D1!$H$2:$H$1001,$AP415),IF($AR415&lt;&gt;"",INDEX(Raw_D3!$H$2:$H$1001,$AR415),"")))</f>
        <v>3</v>
      </c>
      <c r="I415" s="5">
        <f>IF($A415="","",IF($AP415&lt;&gt;"",INDEX(Raw_D1!$I$2:$I$1001,$AP415),IF($AR415&lt;&gt;"",INDEX(Raw_D3!$I$2:$I$1001,$AR415),"")))</f>
        <v>2</v>
      </c>
      <c r="J415" s="16">
        <f>IF($A415="","",IF($AP415&lt;&gt;"",INDEX(Raw_D1!$J$2:$J$1001,$AP415),IF($AR415&lt;&gt;"",INDEX(Raw_D3!$J$2:$J$1001,$AR415),"")))</f>
        <v>0.22</v>
      </c>
      <c r="K415" s="17">
        <f>IF($A415="","",IF($AQ415&lt;&gt;"",IF(INDEX(Raw_D2!$C$2:$C$1001,$AQ415)="","",INDEX(Raw_D2!$C$2:$C$1001,$AQ415)),IF($AR415&lt;&gt;"",IF(INDEX(Raw_D3!$K$2:$K$1001,$AR415)="","",INDEX(Raw_D3!$K$2:$K$1001,$AR415)),"")))</f>
        <v>0.2576</v>
      </c>
      <c r="L415" s="16">
        <f>IF($A415="","",IF($AQ415&lt;&gt;"",IF(INDEX(Raw_D2!$D$2:$D$1001,$AQ415)="","",INDEX(Raw_D2!$D$2:$D$1001,$AQ415)),IF($AR415&lt;&gt;"",IF(INDEX(Raw_D3!$L$2:$L$1001,$AR415)="","",INDEX(Raw_D3!$L$2:$L$1001,$AR415)),"")))</f>
        <v>0.93</v>
      </c>
      <c r="M415" s="17">
        <f>IF($A415="","",IF($AQ415&lt;&gt;"",IF(INDEX(Raw_D2!$E$2:$E$1001,$AQ415)="","",INDEX(Raw_D2!$E$2:$E$1001,$AQ415)),IF($AR415&lt;&gt;"",IF(INDEX(Raw_D3!$M$2:$M$1001,$AR415)="","",INDEX(Raw_D3!$M$2:$M$1001,$AR415)),"")))</f>
        <v>0.0896</v>
      </c>
      <c r="N415" s="5">
        <f>IF($A415="","",IF($AQ415&lt;&gt;"",IF(INDEX(Raw_D2!$F$2:$F$1001,$AQ415)="","",INDEX(Raw_D2!$F$2:$F$1001,$AQ415)),IF($AR415&lt;&gt;"",IF(INDEX(Raw_D3!$N$2:$N$1001,$AR415)="","",INDEX(Raw_D3!$N$2:$N$1001,$AR415)),"")))</f>
        <v>0</v>
      </c>
      <c r="O415" s="5">
        <f>IF($A415="","",IF($AQ415&lt;&gt;"",IF(INDEX(Raw_D2!$G$2:$G$1001,$AQ415)="","",INDEX(Raw_D2!$G$2:$G$1001,$AQ415)),IF($AR415&lt;&gt;"",IF(INDEX(Raw_D3!$O$2:$O$1001,$AR415)="","",INDEX(Raw_D3!$O$2:$O$1001,$AR415)),"")))</f>
        <v>32</v>
      </c>
      <c r="P415" s="5">
        <f>IF($A415="","",IF($AQ415&lt;&gt;"",IF(INDEX(Raw_D2!$H$2:$H$1001,$AQ415)="","",INDEX(Raw_D2!$H$2:$H$1001,$AQ415)),IF($AR415&lt;&gt;"",IF(INDEX(Raw_D3!$P$2:$P$1001,$AR415)="","",INDEX(Raw_D3!$P$2:$P$1001,$AR415)),"")))</f>
        <v>32</v>
      </c>
      <c r="Q415" s="5" t="str">
        <f>IF($A415="","",IF(AND($AP415&lt;&gt;"",$AQ415&lt;&gt;""),"D1+D2",IF($AR415&lt;&gt;"","D3","Incomplete")))</f>
        <v>D1+D2</v>
      </c>
      <c r="R415" s="17">
        <f>IF($A415="","",IF($K415="",IF($J415="","",ROUND(Lookups!$K$5+Lookups!$K$4*$J415,4)),$K415))</f>
        <v>0.2576</v>
      </c>
      <c r="S415" s="5" t="str">
        <f>IF($A415="","",IF($K415="","Imputed","Original"))</f>
        <v>Original</v>
      </c>
      <c r="T415" s="5" t="str">
        <f>IF($A415="","",IF($P415="","Missing",IF($P415=$N415+$O415,"OK","Mismatch")))</f>
        <v>OK</v>
      </c>
      <c r="U415" s="5" t="str">
        <f>IF($A415="","",IF(COUNTIF($A$2:$A415,$A415)&gt;1,"Duplicate","Unique"))</f>
        <v>Unique</v>
      </c>
      <c r="V415" s="5">
        <f>IF($A415="","",IF(AND($U415="Unique",ISNUMBER($P415)),1,0))</f>
        <v>1</v>
      </c>
      <c r="W415" s="5" t="str">
        <f>IF($A415="","",IF(OR($H415=0,$H415=6),"Weekend","Weekday"))</f>
        <v>Weekday</v>
      </c>
      <c r="X415" s="5" t="str">
        <f>IF($A415="","",TEXT($B415,"ddd"))</f>
        <v>Wed</v>
      </c>
      <c r="Y415" s="5" t="str">
        <f>IF($A415="","",TEXT($B415,"mmm"))</f>
        <v>Jan</v>
      </c>
      <c r="Z415" s="5" t="str">
        <f>IF($A415="","",IFERROR(VLOOKUP($C415,Lookups!$D$4:$E$7,2,FALSE),"Unknown"))</f>
        <v>Winter</v>
      </c>
      <c r="AA415" s="5" t="str">
        <f>IF($A415="","",IFERROR(VLOOKUP($I415,Lookups!$A$4:$B$7,2,FALSE),"Unknown"))</f>
        <v>Mist/Cloudy</v>
      </c>
      <c r="AB415" s="5" t="str">
        <f>IF($A415="","",TEXT($F415,"00")&amp;":00")</f>
        <v>06:00</v>
      </c>
      <c r="AC415" s="5" t="str">
        <f>IF($A415="","",VLOOKUP($F415,Lookups!$G$4:$H$8,2,TRUE))</f>
        <v>Morning Peak (06-09)</v>
      </c>
      <c r="AD415" s="18">
        <f>IF($A415="","",IF($J415="","",ROUND($J415*41,1)))</f>
        <v>9</v>
      </c>
      <c r="AE415" s="18">
        <f>IF($A415="","",IF($R415="","",ROUND($R415*50,1)))</f>
        <v>12.9</v>
      </c>
      <c r="AF415" s="5">
        <f>IF($A415="","",IF($L415="","",ROUND($L415*100,0)))</f>
        <v>93</v>
      </c>
      <c r="AG415" s="18">
        <f>IF($A415="","",IF($M415="","",ROUND($M415*67,1)))</f>
        <v>6</v>
      </c>
      <c r="AH415" s="19">
        <f>IF($A415="","",IF($P415="","",IF($P415=0,0,$O415/$P415)))</f>
        <v>1</v>
      </c>
      <c r="AI415" s="5" t="str">
        <f>IF($A415="","",IF($P415="","",IF($P415&gt;=Lookups!$K$7,"High",IF($P415&lt;=Lookups!$K$8,"Low","Medium"))))</f>
        <v>Medium</v>
      </c>
      <c r="AJ415" s="5" t="str">
        <f>IF($A415="","",IF($AD415="","",IF($AD415&lt;5,"Under 5 C",IF($AD415&lt;10,"5-10 C",IF($AD415&lt;15,"10-15 C","15 C and above")))))</f>
        <v>5-10 C</v>
      </c>
      <c r="AK415" s="5">
        <f>IF($A415="","",IF($P415="","",$P415^2))</f>
        <v>1024</v>
      </c>
      <c r="AL415" s="18">
        <f>IF($V415&lt;&gt;1,"",AVERAGEIFS(Clean_Data!$P$2:$P$1001,Clean_Data!$F$2:$F$1001,$F415,Clean_Data!$W$2:$W$1001,$W415,Clean_Data!$V$2:$V$1001,1))</f>
        <v>27.3793103448276</v>
      </c>
      <c r="AM415" s="16">
        <f>IF($V415&lt;&gt;1,"",IFERROR(($P415-$AL415)/SQRT(MAX(0,(SUMIFS(Clean_Data!$AK$2:$AK$1001,Clean_Data!$F$2:$F$1001,$F415,Clean_Data!$W$2:$W$1001,$W415,Clean_Data!$V$2:$V$1001,1)-COUNTIFS(Clean_Data!$F$2:$F$1001,$F415,Clean_Data!$W$2:$W$1001,$W415,Clean_Data!$V$2:$V$1001,1)*$AL415^2)/(COUNTIFS(Clean_Data!$F$2:$F$1001,$F415,Clean_Data!$W$2:$W$1001,$W415,Clean_Data!$V$2:$V$1001,1)-1))),""))</f>
        <v>0.485063077844145</v>
      </c>
      <c r="AN415" s="5" t="str">
        <f>IF($AM415="","",IF($AM415&gt;=Lookups!$K$6,"High spike",IF($AM415&lt;=-Lookups!$K$6,"Unusual low","Normal")))</f>
        <v>Normal</v>
      </c>
      <c r="AO415" s="20">
        <f>IF($V415&lt;&gt;1,"",$P415+ROW()/100000)</f>
        <v>32.00415</v>
      </c>
      <c r="AP415" s="5">
        <f>IF($A415="","",IFERROR(MATCH($A415,Raw_D1!$A$2:$A$1001,0),""))</f>
        <v>414</v>
      </c>
      <c r="AQ415" s="5">
        <f>IF($A415="","",IFERROR(MATCH($A415,Raw_D2!$B$2:$B$1001,0),""))</f>
        <v>414</v>
      </c>
      <c r="AR415" s="5">
        <f>IF($A415="","",IFERROR(MATCH($A415,Raw_D3!$A$2:$A$1001,0),""))</f>
        <v/>
      </c>
    </row>
    <row r="416" spans="1:44" x14ac:dyDescent="0.25">
      <c r="A416" s="5">
        <v>415</v>
      </c>
      <c r="B416" s="11">
        <f>IF($A416="","",IF($AP416&lt;&gt;"",INDEX(Raw_D1!$B$2:$B$1001,$AP416),IF($AR416&lt;&gt;"",INDEX(Raw_D3!$B$2:$B$1001,$AR416),"")))</f>
        <v>40562.0</v>
      </c>
      <c r="C416" s="5">
        <f>IF($A416="","",IF($AP416&lt;&gt;"",INDEX(Raw_D1!$C$2:$C$1001,$AP416),IF($AR416&lt;&gt;"",INDEX(Raw_D3!$C$2:$C$1001,$AR416),"")))</f>
        <v>1</v>
      </c>
      <c r="D416" s="5">
        <f>IF($A416="","",IF($AP416&lt;&gt;"",INDEX(Raw_D1!$D$2:$D$1001,$AP416),IF($AR416&lt;&gt;"",INDEX(Raw_D3!$D$2:$D$1001,$AR416),"")))</f>
        <v>0</v>
      </c>
      <c r="E416" s="5">
        <f>IF($A416="","",IF($AP416&lt;&gt;"",INDEX(Raw_D1!$E$2:$E$1001,$AP416),IF($AR416&lt;&gt;"",INDEX(Raw_D3!$E$2:$E$1001,$AR416),"")))</f>
        <v>1</v>
      </c>
      <c r="F416" s="5">
        <f>IF($A416="","",IF($AP416&lt;&gt;"",INDEX(Raw_D1!$F$2:$F$1001,$AP416),IF($AR416&lt;&gt;"",INDEX(Raw_D3!$F$2:$F$1001,$AR416),"")))</f>
        <v>7</v>
      </c>
      <c r="G416" s="5">
        <f>IF($A416="","",IF($AP416&lt;&gt;"",IF(INDEX(Raw_D1!$G$2:$G$1001,$AP416),1,0),IF($AR416&lt;&gt;"",IF(INDEX(Raw_D3!$G$2:$G$1001,$AR416),1,0),"")))</f>
        <v>0</v>
      </c>
      <c r="H416" s="5">
        <f>IF($A416="","",IF($AP416&lt;&gt;"",INDEX(Raw_D1!$H$2:$H$1001,$AP416),IF($AR416&lt;&gt;"",INDEX(Raw_D3!$H$2:$H$1001,$AR416),"")))</f>
        <v>3</v>
      </c>
      <c r="I416" s="5">
        <f>IF($A416="","",IF($AP416&lt;&gt;"",INDEX(Raw_D1!$I$2:$I$1001,$AP416),IF($AR416&lt;&gt;"",INDEX(Raw_D3!$I$2:$I$1001,$AR416),"")))</f>
        <v>2</v>
      </c>
      <c r="J416" s="16">
        <f>IF($A416="","",IF($AP416&lt;&gt;"",INDEX(Raw_D1!$J$2:$J$1001,$AP416),IF($AR416&lt;&gt;"",INDEX(Raw_D3!$J$2:$J$1001,$AR416),"")))</f>
        <v>0.24</v>
      </c>
      <c r="K416" s="17">
        <f>IF($A416="","",IF($AQ416&lt;&gt;"",IF(INDEX(Raw_D2!$C$2:$C$1001,$AQ416)="","",INDEX(Raw_D2!$C$2:$C$1001,$AQ416)),IF($AR416&lt;&gt;"",IF(INDEX(Raw_D3!$K$2:$K$1001,$AR416)="","",INDEX(Raw_D3!$K$2:$K$1001,$AR416)),"")))</f>
        <v>0.2576</v>
      </c>
      <c r="L416" s="16">
        <f>IF($A416="","",IF($AQ416&lt;&gt;"",IF(INDEX(Raw_D2!$D$2:$D$1001,$AQ416)="","",INDEX(Raw_D2!$D$2:$D$1001,$AQ416)),IF($AR416&lt;&gt;"",IF(INDEX(Raw_D3!$L$2:$L$1001,$AR416)="","",INDEX(Raw_D3!$L$2:$L$1001,$AR416)),"")))</f>
        <v>0.92</v>
      </c>
      <c r="M416" s="17">
        <f>IF($A416="","",IF($AQ416&lt;&gt;"",IF(INDEX(Raw_D2!$E$2:$E$1001,$AQ416)="","",INDEX(Raw_D2!$E$2:$E$1001,$AQ416)),IF($AR416&lt;&gt;"",IF(INDEX(Raw_D3!$M$2:$M$1001,$AR416)="","",INDEX(Raw_D3!$M$2:$M$1001,$AR416)),"")))</f>
        <v>0.1045</v>
      </c>
      <c r="N416" s="5">
        <f>IF($A416="","",IF($AQ416&lt;&gt;"",IF(INDEX(Raw_D2!$F$2:$F$1001,$AQ416)="","",INDEX(Raw_D2!$F$2:$F$1001,$AQ416)),IF($AR416&lt;&gt;"",IF(INDEX(Raw_D3!$N$2:$N$1001,$AR416)="","",INDEX(Raw_D3!$N$2:$N$1001,$AR416)),"")))</f>
        <v>1</v>
      </c>
      <c r="O416" s="5">
        <f>IF($A416="","",IF($AQ416&lt;&gt;"",IF(INDEX(Raw_D2!$G$2:$G$1001,$AQ416)="","",INDEX(Raw_D2!$G$2:$G$1001,$AQ416)),IF($AR416&lt;&gt;"",IF(INDEX(Raw_D3!$O$2:$O$1001,$AR416)="","",INDEX(Raw_D3!$O$2:$O$1001,$AR416)),"")))</f>
        <v>89</v>
      </c>
      <c r="P416" s="5">
        <f>IF($A416="","",IF($AQ416&lt;&gt;"",IF(INDEX(Raw_D2!$H$2:$H$1001,$AQ416)="","",INDEX(Raw_D2!$H$2:$H$1001,$AQ416)),IF($AR416&lt;&gt;"",IF(INDEX(Raw_D3!$P$2:$P$1001,$AR416)="","",INDEX(Raw_D3!$P$2:$P$1001,$AR416)),"")))</f>
        <v>90</v>
      </c>
      <c r="Q416" s="5" t="str">
        <f>IF($A416="","",IF(AND($AP416&lt;&gt;"",$AQ416&lt;&gt;""),"D1+D2",IF($AR416&lt;&gt;"","D3","Incomplete")))</f>
        <v>D1+D2</v>
      </c>
      <c r="R416" s="17">
        <f>IF($A416="","",IF($K416="",IF($J416="","",ROUND(Lookups!$K$5+Lookups!$K$4*$J416,4)),$K416))</f>
        <v>0.2576</v>
      </c>
      <c r="S416" s="5" t="str">
        <f>IF($A416="","",IF($K416="","Imputed","Original"))</f>
        <v>Original</v>
      </c>
      <c r="T416" s="5" t="str">
        <f>IF($A416="","",IF($P416="","Missing",IF($P416=$N416+$O416,"OK","Mismatch")))</f>
        <v>OK</v>
      </c>
      <c r="U416" s="5" t="str">
        <f>IF($A416="","",IF(COUNTIF($A$2:$A416,$A416)&gt;1,"Duplicate","Unique"))</f>
        <v>Unique</v>
      </c>
      <c r="V416" s="5">
        <f>IF($A416="","",IF(AND($U416="Unique",ISNUMBER($P416)),1,0))</f>
        <v>1</v>
      </c>
      <c r="W416" s="5" t="str">
        <f>IF($A416="","",IF(OR($H416=0,$H416=6),"Weekend","Weekday"))</f>
        <v>Weekday</v>
      </c>
      <c r="X416" s="5" t="str">
        <f>IF($A416="","",TEXT($B416,"ddd"))</f>
        <v>Wed</v>
      </c>
      <c r="Y416" s="5" t="str">
        <f>IF($A416="","",TEXT($B416,"mmm"))</f>
        <v>Jan</v>
      </c>
      <c r="Z416" s="5" t="str">
        <f>IF($A416="","",IFERROR(VLOOKUP($C416,Lookups!$D$4:$E$7,2,FALSE),"Unknown"))</f>
        <v>Winter</v>
      </c>
      <c r="AA416" s="5" t="str">
        <f>IF($A416="","",IFERROR(VLOOKUP($I416,Lookups!$A$4:$B$7,2,FALSE),"Unknown"))</f>
        <v>Mist/Cloudy</v>
      </c>
      <c r="AB416" s="5" t="str">
        <f>IF($A416="","",TEXT($F416,"00")&amp;":00")</f>
        <v>07:00</v>
      </c>
      <c r="AC416" s="5" t="str">
        <f>IF($A416="","",VLOOKUP($F416,Lookups!$G$4:$H$8,2,TRUE))</f>
        <v>Morning Peak (06-09)</v>
      </c>
      <c r="AD416" s="18">
        <f>IF($A416="","",IF($J416="","",ROUND($J416*41,1)))</f>
        <v>9.8</v>
      </c>
      <c r="AE416" s="18">
        <f>IF($A416="","",IF($R416="","",ROUND($R416*50,1)))</f>
        <v>12.9</v>
      </c>
      <c r="AF416" s="5">
        <f>IF($A416="","",IF($L416="","",ROUND($L416*100,0)))</f>
        <v>92</v>
      </c>
      <c r="AG416" s="18">
        <f>IF($A416="","",IF($M416="","",ROUND($M416*67,1)))</f>
        <v>7</v>
      </c>
      <c r="AH416" s="19">
        <f>IF($A416="","",IF($P416="","",IF($P416=0,0,$O416/$P416)))</f>
        <v>0.988888888888889</v>
      </c>
      <c r="AI416" s="5" t="str">
        <f>IF($A416="","",IF($P416="","",IF($P416&gt;=Lookups!$K$7,"High",IF($P416&lt;=Lookups!$K$8,"Low","Medium"))))</f>
        <v>High</v>
      </c>
      <c r="AJ416" s="5" t="str">
        <f>IF($A416="","",IF($AD416="","",IF($AD416&lt;5,"Under 5 C",IF($AD416&lt;10,"5-10 C",IF($AD416&lt;15,"10-15 C","15 C and above")))))</f>
        <v>5-10 C</v>
      </c>
      <c r="AK416" s="5">
        <f>IF($A416="","",IF($P416="","",$P416^2))</f>
        <v>8100</v>
      </c>
      <c r="AL416" s="18">
        <f>IF($V416&lt;&gt;1,"",AVERAGEIFS(Clean_Data!$P$2:$P$1001,Clean_Data!$F$2:$F$1001,$F416,Clean_Data!$W$2:$W$1001,$W416,Clean_Data!$V$2:$V$1001,1))</f>
        <v>78.0344827586207</v>
      </c>
      <c r="AM416" s="16">
        <f>IF($V416&lt;&gt;1,"",IFERROR(($P416-$AL416)/SQRT(MAX(0,(SUMIFS(Clean_Data!$AK$2:$AK$1001,Clean_Data!$F$2:$F$1001,$F416,Clean_Data!$W$2:$W$1001,$W416,Clean_Data!$V$2:$V$1001,1)-COUNTIFS(Clean_Data!$F$2:$F$1001,$F416,Clean_Data!$W$2:$W$1001,$W416,Clean_Data!$V$2:$V$1001,1)*$AL416^2)/(COUNTIFS(Clean_Data!$F$2:$F$1001,$F416,Clean_Data!$W$2:$W$1001,$W416,Clean_Data!$V$2:$V$1001,1)-1))),""))</f>
        <v>0.52867772856884</v>
      </c>
      <c r="AN416" s="5" t="str">
        <f>IF($AM416="","",IF($AM416&gt;=Lookups!$K$6,"High spike",IF($AM416&lt;=-Lookups!$K$6,"Unusual low","Normal")))</f>
        <v>Normal</v>
      </c>
      <c r="AO416" s="20">
        <f>IF($V416&lt;&gt;1,"",$P416+ROW()/100000)</f>
        <v>90.00416</v>
      </c>
      <c r="AP416" s="5">
        <f>IF($A416="","",IFERROR(MATCH($A416,Raw_D1!$A$2:$A$1001,0),""))</f>
        <v>415</v>
      </c>
      <c r="AQ416" s="5">
        <f>IF($A416="","",IFERROR(MATCH($A416,Raw_D2!$B$2:$B$1001,0),""))</f>
        <v>415</v>
      </c>
      <c r="AR416" s="5">
        <f>IF($A416="","",IFERROR(MATCH($A416,Raw_D3!$A$2:$A$1001,0),""))</f>
        <v/>
      </c>
    </row>
    <row r="417" spans="1:44" x14ac:dyDescent="0.25">
      <c r="A417" s="5">
        <v>416</v>
      </c>
      <c r="B417" s="11">
        <f>IF($A417="","",IF($AP417&lt;&gt;"",INDEX(Raw_D1!$B$2:$B$1001,$AP417),IF($AR417&lt;&gt;"",INDEX(Raw_D3!$B$2:$B$1001,$AR417),"")))</f>
        <v>40562.0</v>
      </c>
      <c r="C417" s="5">
        <f>IF($A417="","",IF($AP417&lt;&gt;"",INDEX(Raw_D1!$C$2:$C$1001,$AP417),IF($AR417&lt;&gt;"",INDEX(Raw_D3!$C$2:$C$1001,$AR417),"")))</f>
        <v>1</v>
      </c>
      <c r="D417" s="5">
        <f>IF($A417="","",IF($AP417&lt;&gt;"",INDEX(Raw_D1!$D$2:$D$1001,$AP417),IF($AR417&lt;&gt;"",INDEX(Raw_D3!$D$2:$D$1001,$AR417),"")))</f>
        <v>0</v>
      </c>
      <c r="E417" s="5">
        <f>IF($A417="","",IF($AP417&lt;&gt;"",INDEX(Raw_D1!$E$2:$E$1001,$AP417),IF($AR417&lt;&gt;"",INDEX(Raw_D3!$E$2:$E$1001,$AR417),"")))</f>
        <v>1</v>
      </c>
      <c r="F417" s="5">
        <f>IF($A417="","",IF($AP417&lt;&gt;"",INDEX(Raw_D1!$F$2:$F$1001,$AP417),IF($AR417&lt;&gt;"",INDEX(Raw_D3!$F$2:$F$1001,$AR417),"")))</f>
        <v>8</v>
      </c>
      <c r="G417" s="5">
        <f>IF($A417="","",IF($AP417&lt;&gt;"",IF(INDEX(Raw_D1!$G$2:$G$1001,$AP417),1,0),IF($AR417&lt;&gt;"",IF(INDEX(Raw_D3!$G$2:$G$1001,$AR417),1,0),"")))</f>
        <v>0</v>
      </c>
      <c r="H417" s="5">
        <f>IF($A417="","",IF($AP417&lt;&gt;"",INDEX(Raw_D1!$H$2:$H$1001,$AP417),IF($AR417&lt;&gt;"",INDEX(Raw_D3!$H$2:$H$1001,$AR417),"")))</f>
        <v>3</v>
      </c>
      <c r="I417" s="5">
        <f>IF($A417="","",IF($AP417&lt;&gt;"",INDEX(Raw_D1!$I$2:$I$1001,$AP417),IF($AR417&lt;&gt;"",INDEX(Raw_D3!$I$2:$I$1001,$AR417),"")))</f>
        <v>2</v>
      </c>
      <c r="J417" s="16">
        <f>IF($A417="","",IF($AP417&lt;&gt;"",INDEX(Raw_D1!$J$2:$J$1001,$AP417),IF($AR417&lt;&gt;"",INDEX(Raw_D3!$J$2:$J$1001,$AR417),"")))</f>
        <v>0.24</v>
      </c>
      <c r="K417" s="17">
        <f>IF($A417="","",IF($AQ417&lt;&gt;"",IF(INDEX(Raw_D2!$C$2:$C$1001,$AQ417)="","",INDEX(Raw_D2!$C$2:$C$1001,$AQ417)),IF($AR417&lt;&gt;"",IF(INDEX(Raw_D3!$K$2:$K$1001,$AR417)="","",INDEX(Raw_D3!$K$2:$K$1001,$AR417)),"")))</f>
        <v>0.2576</v>
      </c>
      <c r="L417" s="16">
        <f>IF($A417="","",IF($AQ417&lt;&gt;"",IF(INDEX(Raw_D2!$D$2:$D$1001,$AQ417)="","",INDEX(Raw_D2!$D$2:$D$1001,$AQ417)),IF($AR417&lt;&gt;"",IF(INDEX(Raw_D3!$L$2:$L$1001,$AR417)="","",INDEX(Raw_D3!$L$2:$L$1001,$AR417)),"")))</f>
        <v>0.93</v>
      </c>
      <c r="M417" s="17">
        <f>IF($A417="","",IF($AQ417&lt;&gt;"",IF(INDEX(Raw_D2!$E$2:$E$1001,$AQ417)="","",INDEX(Raw_D2!$E$2:$E$1001,$AQ417)),IF($AR417&lt;&gt;"",IF(INDEX(Raw_D3!$M$2:$M$1001,$AR417)="","",INDEX(Raw_D3!$M$2:$M$1001,$AR417)),"")))</f>
        <v>0.1045</v>
      </c>
      <c r="N417" s="5">
        <f>IF($A417="","",IF($AQ417&lt;&gt;"",IF(INDEX(Raw_D2!$F$2:$F$1001,$AQ417)="","",INDEX(Raw_D2!$F$2:$F$1001,$AQ417)),IF($AR417&lt;&gt;"",IF(INDEX(Raw_D3!$N$2:$N$1001,$AR417)="","",INDEX(Raw_D3!$N$2:$N$1001,$AR417)),"")))</f>
        <v>1</v>
      </c>
      <c r="O417" s="5">
        <f>IF($A417="","",IF($AQ417&lt;&gt;"",IF(INDEX(Raw_D2!$G$2:$G$1001,$AQ417)="","",INDEX(Raw_D2!$G$2:$G$1001,$AQ417)),IF($AR417&lt;&gt;"",IF(INDEX(Raw_D3!$O$2:$O$1001,$AR417)="","",INDEX(Raw_D3!$O$2:$O$1001,$AR417)),"")))</f>
        <v>196</v>
      </c>
      <c r="P417" s="5">
        <f>IF($A417="","",IF($AQ417&lt;&gt;"",IF(INDEX(Raw_D2!$H$2:$H$1001,$AQ417)="","",INDEX(Raw_D2!$H$2:$H$1001,$AQ417)),IF($AR417&lt;&gt;"",IF(INDEX(Raw_D3!$P$2:$P$1001,$AR417)="","",INDEX(Raw_D3!$P$2:$P$1001,$AR417)),"")))</f>
        <v>197</v>
      </c>
      <c r="Q417" s="5" t="str">
        <f>IF($A417="","",IF(AND($AP417&lt;&gt;"",$AQ417&lt;&gt;""),"D1+D2",IF($AR417&lt;&gt;"","D3","Incomplete")))</f>
        <v>D1+D2</v>
      </c>
      <c r="R417" s="17">
        <f>IF($A417="","",IF($K417="",IF($J417="","",ROUND(Lookups!$K$5+Lookups!$K$4*$J417,4)),$K417))</f>
        <v>0.2576</v>
      </c>
      <c r="S417" s="5" t="str">
        <f>IF($A417="","",IF($K417="","Imputed","Original"))</f>
        <v>Original</v>
      </c>
      <c r="T417" s="5" t="str">
        <f>IF($A417="","",IF($P417="","Missing",IF($P417=$N417+$O417,"OK","Mismatch")))</f>
        <v>OK</v>
      </c>
      <c r="U417" s="5" t="str">
        <f>IF($A417="","",IF(COUNTIF($A$2:$A417,$A417)&gt;1,"Duplicate","Unique"))</f>
        <v>Unique</v>
      </c>
      <c r="V417" s="5">
        <f>IF($A417="","",IF(AND($U417="Unique",ISNUMBER($P417)),1,0))</f>
        <v>1</v>
      </c>
      <c r="W417" s="5" t="str">
        <f>IF($A417="","",IF(OR($H417=0,$H417=6),"Weekend","Weekday"))</f>
        <v>Weekday</v>
      </c>
      <c r="X417" s="5" t="str">
        <f>IF($A417="","",TEXT($B417,"ddd"))</f>
        <v>Wed</v>
      </c>
      <c r="Y417" s="5" t="str">
        <f>IF($A417="","",TEXT($B417,"mmm"))</f>
        <v>Jan</v>
      </c>
      <c r="Z417" s="5" t="str">
        <f>IF($A417="","",IFERROR(VLOOKUP($C417,Lookups!$D$4:$E$7,2,FALSE),"Unknown"))</f>
        <v>Winter</v>
      </c>
      <c r="AA417" s="5" t="str">
        <f>IF($A417="","",IFERROR(VLOOKUP($I417,Lookups!$A$4:$B$7,2,FALSE),"Unknown"))</f>
        <v>Mist/Cloudy</v>
      </c>
      <c r="AB417" s="5" t="str">
        <f>IF($A417="","",TEXT($F417,"00")&amp;":00")</f>
        <v>08:00</v>
      </c>
      <c r="AC417" s="5" t="str">
        <f>IF($A417="","",VLOOKUP($F417,Lookups!$G$4:$H$8,2,TRUE))</f>
        <v>Morning Peak (06-09)</v>
      </c>
      <c r="AD417" s="18">
        <f>IF($A417="","",IF($J417="","",ROUND($J417*41,1)))</f>
        <v>9.8</v>
      </c>
      <c r="AE417" s="18">
        <f>IF($A417="","",IF($R417="","",ROUND($R417*50,1)))</f>
        <v>12.9</v>
      </c>
      <c r="AF417" s="5">
        <f>IF($A417="","",IF($L417="","",ROUND($L417*100,0)))</f>
        <v>93</v>
      </c>
      <c r="AG417" s="18">
        <f>IF($A417="","",IF($M417="","",ROUND($M417*67,1)))</f>
        <v>7</v>
      </c>
      <c r="AH417" s="19">
        <f>IF($A417="","",IF($P417="","",IF($P417=0,0,$O417/$P417)))</f>
        <v>0.99492385786802</v>
      </c>
      <c r="AI417" s="5" t="str">
        <f>IF($A417="","",IF($P417="","",IF($P417&gt;=Lookups!$K$7,"High",IF($P417&lt;=Lookups!$K$8,"Low","Medium"))))</f>
        <v>High</v>
      </c>
      <c r="AJ417" s="5" t="str">
        <f>IF($A417="","",IF($AD417="","",IF($AD417&lt;5,"Under 5 C",IF($AD417&lt;10,"5-10 C",IF($AD417&lt;15,"10-15 C","15 C and above")))))</f>
        <v>5-10 C</v>
      </c>
      <c r="AK417" s="5">
        <f>IF($A417="","",IF($P417="","",$P417^2))</f>
        <v>38809</v>
      </c>
      <c r="AL417" s="18">
        <f>IF($V417&lt;&gt;1,"",AVERAGEIFS(Clean_Data!$P$2:$P$1001,Clean_Data!$F$2:$F$1001,$F417,Clean_Data!$W$2:$W$1001,$W417,Clean_Data!$V$2:$V$1001,1))</f>
        <v>183.535714285714</v>
      </c>
      <c r="AM417" s="16">
        <f>IF($V417&lt;&gt;1,"",IFERROR(($P417-$AL417)/SQRT(MAX(0,(SUMIFS(Clean_Data!$AK$2:$AK$1001,Clean_Data!$F$2:$F$1001,$F417,Clean_Data!$W$2:$W$1001,$W417,Clean_Data!$V$2:$V$1001,1)-COUNTIFS(Clean_Data!$F$2:$F$1001,$F417,Clean_Data!$W$2:$W$1001,$W417,Clean_Data!$V$2:$V$1001,1)*$AL417^2)/(COUNTIFS(Clean_Data!$F$2:$F$1001,$F417,Clean_Data!$W$2:$W$1001,$W417,Clean_Data!$V$2:$V$1001,1)-1))),""))</f>
        <v>0.276246928895946</v>
      </c>
      <c r="AN417" s="5" t="str">
        <f>IF($AM417="","",IF($AM417&gt;=Lookups!$K$6,"High spike",IF($AM417&lt;=-Lookups!$K$6,"Unusual low","Normal")))</f>
        <v>Normal</v>
      </c>
      <c r="AO417" s="20">
        <f>IF($V417&lt;&gt;1,"",$P417+ROW()/100000)</f>
        <v>197.00417</v>
      </c>
      <c r="AP417" s="5">
        <f>IF($A417="","",IFERROR(MATCH($A417,Raw_D1!$A$2:$A$1001,0),""))</f>
        <v>416</v>
      </c>
      <c r="AQ417" s="5">
        <f>IF($A417="","",IFERROR(MATCH($A417,Raw_D2!$B$2:$B$1001,0),""))</f>
        <v>416</v>
      </c>
      <c r="AR417" s="5">
        <f>IF($A417="","",IFERROR(MATCH($A417,Raw_D3!$A$2:$A$1001,0),""))</f>
        <v/>
      </c>
    </row>
    <row r="418" spans="1:44" x14ac:dyDescent="0.25">
      <c r="A418" s="5">
        <v>417</v>
      </c>
      <c r="B418" s="11">
        <f>IF($A418="","",IF($AP418&lt;&gt;"",INDEX(Raw_D1!$B$2:$B$1001,$AP418),IF($AR418&lt;&gt;"",INDEX(Raw_D3!$B$2:$B$1001,$AR418),"")))</f>
        <v>40562.0</v>
      </c>
      <c r="C418" s="5">
        <f>IF($A418="","",IF($AP418&lt;&gt;"",INDEX(Raw_D1!$C$2:$C$1001,$AP418),IF($AR418&lt;&gt;"",INDEX(Raw_D3!$C$2:$C$1001,$AR418),"")))</f>
        <v>1</v>
      </c>
      <c r="D418" s="5">
        <f>IF($A418="","",IF($AP418&lt;&gt;"",INDEX(Raw_D1!$D$2:$D$1001,$AP418),IF($AR418&lt;&gt;"",INDEX(Raw_D3!$D$2:$D$1001,$AR418),"")))</f>
        <v>0</v>
      </c>
      <c r="E418" s="5">
        <f>IF($A418="","",IF($AP418&lt;&gt;"",INDEX(Raw_D1!$E$2:$E$1001,$AP418),IF($AR418&lt;&gt;"",INDEX(Raw_D3!$E$2:$E$1001,$AR418),"")))</f>
        <v>1</v>
      </c>
      <c r="F418" s="5">
        <f>IF($A418="","",IF($AP418&lt;&gt;"",INDEX(Raw_D1!$F$2:$F$1001,$AP418),IF($AR418&lt;&gt;"",INDEX(Raw_D3!$F$2:$F$1001,$AR418),"")))</f>
        <v>9</v>
      </c>
      <c r="G418" s="5">
        <f>IF($A418="","",IF($AP418&lt;&gt;"",IF(INDEX(Raw_D1!$G$2:$G$1001,$AP418),1,0),IF($AR418&lt;&gt;"",IF(INDEX(Raw_D3!$G$2:$G$1001,$AR418),1,0),"")))</f>
        <v>0</v>
      </c>
      <c r="H418" s="5">
        <f>IF($A418="","",IF($AP418&lt;&gt;"",INDEX(Raw_D1!$H$2:$H$1001,$AP418),IF($AR418&lt;&gt;"",INDEX(Raw_D3!$H$2:$H$1001,$AR418),"")))</f>
        <v>3</v>
      </c>
      <c r="I418" s="5">
        <f>IF($A418="","",IF($AP418&lt;&gt;"",INDEX(Raw_D1!$I$2:$I$1001,$AP418),IF($AR418&lt;&gt;"",INDEX(Raw_D3!$I$2:$I$1001,$AR418),"")))</f>
        <v>2</v>
      </c>
      <c r="J418" s="16">
        <f>IF($A418="","",IF($AP418&lt;&gt;"",INDEX(Raw_D1!$J$2:$J$1001,$AP418),IF($AR418&lt;&gt;"",INDEX(Raw_D3!$J$2:$J$1001,$AR418),"")))</f>
        <v>0.24</v>
      </c>
      <c r="K418" s="17">
        <f>IF($A418="","",IF($AQ418&lt;&gt;"",IF(INDEX(Raw_D2!$C$2:$C$1001,$AQ418)="","",INDEX(Raw_D2!$C$2:$C$1001,$AQ418)),IF($AR418&lt;&gt;"",IF(INDEX(Raw_D3!$K$2:$K$1001,$AR418)="","",INDEX(Raw_D3!$K$2:$K$1001,$AR418)),"")))</f>
        <v>0.2576</v>
      </c>
      <c r="L418" s="16">
        <f>IF($A418="","",IF($AQ418&lt;&gt;"",IF(INDEX(Raw_D2!$D$2:$D$1001,$AQ418)="","",INDEX(Raw_D2!$D$2:$D$1001,$AQ418)),IF($AR418&lt;&gt;"",IF(INDEX(Raw_D3!$L$2:$L$1001,$AR418)="","",INDEX(Raw_D3!$L$2:$L$1001,$AR418)),"")))</f>
        <v>0.93</v>
      </c>
      <c r="M418" s="17">
        <f>IF($A418="","",IF($AQ418&lt;&gt;"",IF(INDEX(Raw_D2!$E$2:$E$1001,$AQ418)="","",INDEX(Raw_D2!$E$2:$E$1001,$AQ418)),IF($AR418&lt;&gt;"",IF(INDEX(Raw_D3!$M$2:$M$1001,$AR418)="","",INDEX(Raw_D3!$M$2:$M$1001,$AR418)),"")))</f>
        <v>0.1045</v>
      </c>
      <c r="N418" s="5">
        <f>IF($A418="","",IF($AQ418&lt;&gt;"",IF(INDEX(Raw_D2!$F$2:$F$1001,$AQ418)="","",INDEX(Raw_D2!$F$2:$F$1001,$AQ418)),IF($AR418&lt;&gt;"",IF(INDEX(Raw_D3!$N$2:$N$1001,$AR418)="","",INDEX(Raw_D3!$N$2:$N$1001,$AR418)),"")))</f>
        <v>2</v>
      </c>
      <c r="O418" s="5">
        <f>IF($A418="","",IF($AQ418&lt;&gt;"",IF(INDEX(Raw_D2!$G$2:$G$1001,$AQ418)="","",INDEX(Raw_D2!$G$2:$G$1001,$AQ418)),IF($AR418&lt;&gt;"",IF(INDEX(Raw_D3!$O$2:$O$1001,$AR418)="","",INDEX(Raw_D3!$O$2:$O$1001,$AR418)),"")))</f>
        <v>107</v>
      </c>
      <c r="P418" s="5">
        <f>IF($A418="","",IF($AQ418&lt;&gt;"",IF(INDEX(Raw_D2!$H$2:$H$1001,$AQ418)="","",INDEX(Raw_D2!$H$2:$H$1001,$AQ418)),IF($AR418&lt;&gt;"",IF(INDEX(Raw_D3!$P$2:$P$1001,$AR418)="","",INDEX(Raw_D3!$P$2:$P$1001,$AR418)),"")))</f>
        <v>109</v>
      </c>
      <c r="Q418" s="5" t="str">
        <f>IF($A418="","",IF(AND($AP418&lt;&gt;"",$AQ418&lt;&gt;""),"D1+D2",IF($AR418&lt;&gt;"","D3","Incomplete")))</f>
        <v>D1+D2</v>
      </c>
      <c r="R418" s="17">
        <f>IF($A418="","",IF($K418="",IF($J418="","",ROUND(Lookups!$K$5+Lookups!$K$4*$J418,4)),$K418))</f>
        <v>0.2576</v>
      </c>
      <c r="S418" s="5" t="str">
        <f>IF($A418="","",IF($K418="","Imputed","Original"))</f>
        <v>Original</v>
      </c>
      <c r="T418" s="5" t="str">
        <f>IF($A418="","",IF($P418="","Missing",IF($P418=$N418+$O418,"OK","Mismatch")))</f>
        <v>OK</v>
      </c>
      <c r="U418" s="5" t="str">
        <f>IF($A418="","",IF(COUNTIF($A$2:$A418,$A418)&gt;1,"Duplicate","Unique"))</f>
        <v>Unique</v>
      </c>
      <c r="V418" s="5">
        <f>IF($A418="","",IF(AND($U418="Unique",ISNUMBER($P418)),1,0))</f>
        <v>1</v>
      </c>
      <c r="W418" s="5" t="str">
        <f>IF($A418="","",IF(OR($H418=0,$H418=6),"Weekend","Weekday"))</f>
        <v>Weekday</v>
      </c>
      <c r="X418" s="5" t="str">
        <f>IF($A418="","",TEXT($B418,"ddd"))</f>
        <v>Wed</v>
      </c>
      <c r="Y418" s="5" t="str">
        <f>IF($A418="","",TEXT($B418,"mmm"))</f>
        <v>Jan</v>
      </c>
      <c r="Z418" s="5" t="str">
        <f>IF($A418="","",IFERROR(VLOOKUP($C418,Lookups!$D$4:$E$7,2,FALSE),"Unknown"))</f>
        <v>Winter</v>
      </c>
      <c r="AA418" s="5" t="str">
        <f>IF($A418="","",IFERROR(VLOOKUP($I418,Lookups!$A$4:$B$7,2,FALSE),"Unknown"))</f>
        <v>Mist/Cloudy</v>
      </c>
      <c r="AB418" s="5" t="str">
        <f>IF($A418="","",TEXT($F418,"00")&amp;":00")</f>
        <v>09:00</v>
      </c>
      <c r="AC418" s="5" t="str">
        <f>IF($A418="","",VLOOKUP($F418,Lookups!$G$4:$H$8,2,TRUE))</f>
        <v>Morning Peak (06-09)</v>
      </c>
      <c r="AD418" s="18">
        <f>IF($A418="","",IF($J418="","",ROUND($J418*41,1)))</f>
        <v>9.8</v>
      </c>
      <c r="AE418" s="18">
        <f>IF($A418="","",IF($R418="","",ROUND($R418*50,1)))</f>
        <v>12.9</v>
      </c>
      <c r="AF418" s="5">
        <f>IF($A418="","",IF($L418="","",ROUND($L418*100,0)))</f>
        <v>93</v>
      </c>
      <c r="AG418" s="18">
        <f>IF($A418="","",IF($M418="","",ROUND($M418*67,1)))</f>
        <v>7</v>
      </c>
      <c r="AH418" s="19">
        <f>IF($A418="","",IF($P418="","",IF($P418=0,0,$O418/$P418)))</f>
        <v>0.981651376146789</v>
      </c>
      <c r="AI418" s="5" t="str">
        <f>IF($A418="","",IF($P418="","",IF($P418&gt;=Lookups!$K$7,"High",IF($P418&lt;=Lookups!$K$8,"Low","Medium"))))</f>
        <v>High</v>
      </c>
      <c r="AJ418" s="5" t="str">
        <f>IF($A418="","",IF($AD418="","",IF($AD418&lt;5,"Under 5 C",IF($AD418&lt;10,"5-10 C",IF($AD418&lt;15,"10-15 C","15 C and above")))))</f>
        <v>5-10 C</v>
      </c>
      <c r="AK418" s="5">
        <f>IF($A418="","",IF($P418="","",$P418^2))</f>
        <v>11881</v>
      </c>
      <c r="AL418" s="18">
        <f>IF($V418&lt;&gt;1,"",AVERAGEIFS(Clean_Data!$P$2:$P$1001,Clean_Data!$F$2:$F$1001,$F418,Clean_Data!$W$2:$W$1001,$W418,Clean_Data!$V$2:$V$1001,1))</f>
        <v>115.678571428571</v>
      </c>
      <c r="AM418" s="16">
        <f>IF($V418&lt;&gt;1,"",IFERROR(($P418-$AL418)/SQRT(MAX(0,(SUMIFS(Clean_Data!$AK$2:$AK$1001,Clean_Data!$F$2:$F$1001,$F418,Clean_Data!$W$2:$W$1001,$W418,Clean_Data!$V$2:$V$1001,1)-COUNTIFS(Clean_Data!$F$2:$F$1001,$F418,Clean_Data!$W$2:$W$1001,$W418,Clean_Data!$V$2:$V$1001,1)*$AL418^2)/(COUNTIFS(Clean_Data!$F$2:$F$1001,$F418,Clean_Data!$W$2:$W$1001,$W418,Clean_Data!$V$2:$V$1001,1)-1))),""))</f>
        <v>-0.259076925382936</v>
      </c>
      <c r="AN418" s="5" t="str">
        <f>IF($AM418="","",IF($AM418&gt;=Lookups!$K$6,"High spike",IF($AM418&lt;=-Lookups!$K$6,"Unusual low","Normal")))</f>
        <v>Normal</v>
      </c>
      <c r="AO418" s="20">
        <f>IF($V418&lt;&gt;1,"",$P418+ROW()/100000)</f>
        <v>109.00418</v>
      </c>
      <c r="AP418" s="5">
        <f>IF($A418="","",IFERROR(MATCH($A418,Raw_D1!$A$2:$A$1001,0),""))</f>
        <v>417</v>
      </c>
      <c r="AQ418" s="5">
        <f>IF($A418="","",IFERROR(MATCH($A418,Raw_D2!$B$2:$B$1001,0),""))</f>
        <v>417</v>
      </c>
      <c r="AR418" s="5">
        <f>IF($A418="","",IFERROR(MATCH($A418,Raw_D3!$A$2:$A$1001,0),""))</f>
        <v/>
      </c>
    </row>
    <row r="419" spans="1:44" x14ac:dyDescent="0.25">
      <c r="A419" s="5">
        <v>418</v>
      </c>
      <c r="B419" s="11">
        <f>IF($A419="","",IF($AP419&lt;&gt;"",INDEX(Raw_D1!$B$2:$B$1001,$AP419),IF($AR419&lt;&gt;"",INDEX(Raw_D3!$B$2:$B$1001,$AR419),"")))</f>
        <v>40562.0</v>
      </c>
      <c r="C419" s="5">
        <f>IF($A419="","",IF($AP419&lt;&gt;"",INDEX(Raw_D1!$C$2:$C$1001,$AP419),IF($AR419&lt;&gt;"",INDEX(Raw_D3!$C$2:$C$1001,$AR419),"")))</f>
        <v>1</v>
      </c>
      <c r="D419" s="5">
        <f>IF($A419="","",IF($AP419&lt;&gt;"",INDEX(Raw_D1!$D$2:$D$1001,$AP419),IF($AR419&lt;&gt;"",INDEX(Raw_D3!$D$2:$D$1001,$AR419),"")))</f>
        <v>0</v>
      </c>
      <c r="E419" s="5">
        <f>IF($A419="","",IF($AP419&lt;&gt;"",INDEX(Raw_D1!$E$2:$E$1001,$AP419),IF($AR419&lt;&gt;"",INDEX(Raw_D3!$E$2:$E$1001,$AR419),"")))</f>
        <v>1</v>
      </c>
      <c r="F419" s="5">
        <f>IF($A419="","",IF($AP419&lt;&gt;"",INDEX(Raw_D1!$F$2:$F$1001,$AP419),IF($AR419&lt;&gt;"",INDEX(Raw_D3!$F$2:$F$1001,$AR419),"")))</f>
        <v>10</v>
      </c>
      <c r="G419" s="5">
        <f>IF($A419="","",IF($AP419&lt;&gt;"",IF(INDEX(Raw_D1!$G$2:$G$1001,$AP419),1,0),IF($AR419&lt;&gt;"",IF(INDEX(Raw_D3!$G$2:$G$1001,$AR419),1,0),"")))</f>
        <v>0</v>
      </c>
      <c r="H419" s="5">
        <f>IF($A419="","",IF($AP419&lt;&gt;"",INDEX(Raw_D1!$H$2:$H$1001,$AP419),IF($AR419&lt;&gt;"",INDEX(Raw_D3!$H$2:$H$1001,$AR419),"")))</f>
        <v>3</v>
      </c>
      <c r="I419" s="5">
        <f>IF($A419="","",IF($AP419&lt;&gt;"",INDEX(Raw_D1!$I$2:$I$1001,$AP419),IF($AR419&lt;&gt;"",INDEX(Raw_D3!$I$2:$I$1001,$AR419),"")))</f>
        <v>2</v>
      </c>
      <c r="J419" s="16">
        <f>IF($A419="","",IF($AP419&lt;&gt;"",INDEX(Raw_D1!$J$2:$J$1001,$AP419),IF($AR419&lt;&gt;"",INDEX(Raw_D3!$J$2:$J$1001,$AR419),"")))</f>
        <v>0.26</v>
      </c>
      <c r="K419" s="17">
        <f>IF($A419="","",IF($AQ419&lt;&gt;"",IF(INDEX(Raw_D2!$C$2:$C$1001,$AQ419)="","",INDEX(Raw_D2!$C$2:$C$1001,$AQ419)),IF($AR419&lt;&gt;"",IF(INDEX(Raw_D3!$K$2:$K$1001,$AR419)="","",INDEX(Raw_D3!$K$2:$K$1001,$AR419)),"")))</f>
        <v>0.2727</v>
      </c>
      <c r="L419" s="16">
        <f>IF($A419="","",IF($AQ419&lt;&gt;"",IF(INDEX(Raw_D2!$D$2:$D$1001,$AQ419)="","",INDEX(Raw_D2!$D$2:$D$1001,$AQ419)),IF($AR419&lt;&gt;"",IF(INDEX(Raw_D3!$L$2:$L$1001,$AR419)="","",INDEX(Raw_D3!$L$2:$L$1001,$AR419)),"")))</f>
        <v>0.93</v>
      </c>
      <c r="M419" s="17">
        <f>IF($A419="","",IF($AQ419&lt;&gt;"",IF(INDEX(Raw_D2!$E$2:$E$1001,$AQ419)="","",INDEX(Raw_D2!$E$2:$E$1001,$AQ419)),IF($AR419&lt;&gt;"",IF(INDEX(Raw_D3!$M$2:$M$1001,$AR419)="","",INDEX(Raw_D3!$M$2:$M$1001,$AR419)),"")))</f>
        <v>0.1343</v>
      </c>
      <c r="N419" s="5">
        <f>IF($A419="","",IF($AQ419&lt;&gt;"",IF(INDEX(Raw_D2!$F$2:$F$1001,$AQ419)="","",INDEX(Raw_D2!$F$2:$F$1001,$AQ419)),IF($AR419&lt;&gt;"",IF(INDEX(Raw_D3!$N$2:$N$1001,$AR419)="","",INDEX(Raw_D3!$N$2:$N$1001,$AR419)),"")))</f>
        <v>1</v>
      </c>
      <c r="O419" s="5">
        <f>IF($A419="","",IF($AQ419&lt;&gt;"",IF(INDEX(Raw_D2!$G$2:$G$1001,$AQ419)="","",INDEX(Raw_D2!$G$2:$G$1001,$AQ419)),IF($AR419&lt;&gt;"",IF(INDEX(Raw_D3!$O$2:$O$1001,$AR419)="","",INDEX(Raw_D3!$O$2:$O$1001,$AR419)),"")))</f>
        <v>46</v>
      </c>
      <c r="P419" s="5">
        <f>IF($A419="","",IF($AQ419&lt;&gt;"",IF(INDEX(Raw_D2!$H$2:$H$1001,$AQ419)="","",INDEX(Raw_D2!$H$2:$H$1001,$AQ419)),IF($AR419&lt;&gt;"",IF(INDEX(Raw_D3!$P$2:$P$1001,$AR419)="","",INDEX(Raw_D3!$P$2:$P$1001,$AR419)),"")))</f>
        <v>47</v>
      </c>
      <c r="Q419" s="5" t="str">
        <f>IF($A419="","",IF(AND($AP419&lt;&gt;"",$AQ419&lt;&gt;""),"D1+D2",IF($AR419&lt;&gt;"","D3","Incomplete")))</f>
        <v>D1+D2</v>
      </c>
      <c r="R419" s="17">
        <f>IF($A419="","",IF($K419="",IF($J419="","",ROUND(Lookups!$K$5+Lookups!$K$4*$J419,4)),$K419))</f>
        <v>0.2727</v>
      </c>
      <c r="S419" s="5" t="str">
        <f>IF($A419="","",IF($K419="","Imputed","Original"))</f>
        <v>Original</v>
      </c>
      <c r="T419" s="5" t="str">
        <f>IF($A419="","",IF($P419="","Missing",IF($P419=$N419+$O419,"OK","Mismatch")))</f>
        <v>OK</v>
      </c>
      <c r="U419" s="5" t="str">
        <f>IF($A419="","",IF(COUNTIF($A$2:$A419,$A419)&gt;1,"Duplicate","Unique"))</f>
        <v>Unique</v>
      </c>
      <c r="V419" s="5">
        <f>IF($A419="","",IF(AND($U419="Unique",ISNUMBER($P419)),1,0))</f>
        <v>1</v>
      </c>
      <c r="W419" s="5" t="str">
        <f>IF($A419="","",IF(OR($H419=0,$H419=6),"Weekend","Weekday"))</f>
        <v>Weekday</v>
      </c>
      <c r="X419" s="5" t="str">
        <f>IF($A419="","",TEXT($B419,"ddd"))</f>
        <v>Wed</v>
      </c>
      <c r="Y419" s="5" t="str">
        <f>IF($A419="","",TEXT($B419,"mmm"))</f>
        <v>Jan</v>
      </c>
      <c r="Z419" s="5" t="str">
        <f>IF($A419="","",IFERROR(VLOOKUP($C419,Lookups!$D$4:$E$7,2,FALSE),"Unknown"))</f>
        <v>Winter</v>
      </c>
      <c r="AA419" s="5" t="str">
        <f>IF($A419="","",IFERROR(VLOOKUP($I419,Lookups!$A$4:$B$7,2,FALSE),"Unknown"))</f>
        <v>Mist/Cloudy</v>
      </c>
      <c r="AB419" s="5" t="str">
        <f>IF($A419="","",TEXT($F419,"00")&amp;":00")</f>
        <v>10:00</v>
      </c>
      <c r="AC419" s="5" t="str">
        <f>IF($A419="","",VLOOKUP($F419,Lookups!$G$4:$H$8,2,TRUE))</f>
        <v>Midday (10-15)</v>
      </c>
      <c r="AD419" s="18">
        <f>IF($A419="","",IF($J419="","",ROUND($J419*41,1)))</f>
        <v>10.7</v>
      </c>
      <c r="AE419" s="18">
        <f>IF($A419="","",IF($R419="","",ROUND($R419*50,1)))</f>
        <v>13.6</v>
      </c>
      <c r="AF419" s="5">
        <f>IF($A419="","",IF($L419="","",ROUND($L419*100,0)))</f>
        <v>93</v>
      </c>
      <c r="AG419" s="18">
        <f>IF($A419="","",IF($M419="","",ROUND($M419*67,1)))</f>
        <v>9</v>
      </c>
      <c r="AH419" s="19">
        <f>IF($A419="","",IF($P419="","",IF($P419=0,0,$O419/$P419)))</f>
        <v>0.978723404255319</v>
      </c>
      <c r="AI419" s="5" t="str">
        <f>IF($A419="","",IF($P419="","",IF($P419&gt;=Lookups!$K$7,"High",IF($P419&lt;=Lookups!$K$8,"Low","Medium"))))</f>
        <v>Medium</v>
      </c>
      <c r="AJ419" s="5" t="str">
        <f>IF($A419="","",IF($AD419="","",IF($AD419&lt;5,"Under 5 C",IF($AD419&lt;10,"5-10 C",IF($AD419&lt;15,"10-15 C","15 C and above")))))</f>
        <v>10-15 C</v>
      </c>
      <c r="AK419" s="5">
        <f>IF($A419="","",IF($P419="","",$P419^2))</f>
        <v>2209</v>
      </c>
      <c r="AL419" s="18">
        <f>IF($V419&lt;&gt;1,"",AVERAGEIFS(Clean_Data!$P$2:$P$1001,Clean_Data!$F$2:$F$1001,$F419,Clean_Data!$W$2:$W$1001,$W419,Clean_Data!$V$2:$V$1001,1))</f>
        <v>49.0714285714286</v>
      </c>
      <c r="AM419" s="16">
        <f>IF($V419&lt;&gt;1,"",IFERROR(($P419-$AL419)/SQRT(MAX(0,(SUMIFS(Clean_Data!$AK$2:$AK$1001,Clean_Data!$F$2:$F$1001,$F419,Clean_Data!$W$2:$W$1001,$W419,Clean_Data!$V$2:$V$1001,1)-COUNTIFS(Clean_Data!$F$2:$F$1001,$F419,Clean_Data!$W$2:$W$1001,$W419,Clean_Data!$V$2:$V$1001,1)*$AL419^2)/(COUNTIFS(Clean_Data!$F$2:$F$1001,$F419,Clean_Data!$W$2:$W$1001,$W419,Clean_Data!$V$2:$V$1001,1)-1))),""))</f>
        <v>-0.205256433332298</v>
      </c>
      <c r="AN419" s="5" t="str">
        <f>IF($AM419="","",IF($AM419&gt;=Lookups!$K$6,"High spike",IF($AM419&lt;=-Lookups!$K$6,"Unusual low","Normal")))</f>
        <v>Normal</v>
      </c>
      <c r="AO419" s="20">
        <f>IF($V419&lt;&gt;1,"",$P419+ROW()/100000)</f>
        <v>47.00419</v>
      </c>
      <c r="AP419" s="5">
        <f>IF($A419="","",IFERROR(MATCH($A419,Raw_D1!$A$2:$A$1001,0),""))</f>
        <v>418</v>
      </c>
      <c r="AQ419" s="5">
        <f>IF($A419="","",IFERROR(MATCH($A419,Raw_D2!$B$2:$B$1001,0),""))</f>
        <v>418</v>
      </c>
      <c r="AR419" s="5">
        <f>IF($A419="","",IFERROR(MATCH($A419,Raw_D3!$A$2:$A$1001,0),""))</f>
        <v/>
      </c>
    </row>
    <row r="420" spans="1:44" x14ac:dyDescent="0.25">
      <c r="A420" s="5">
        <v>419</v>
      </c>
      <c r="B420" s="11">
        <f>IF($A420="","",IF($AP420&lt;&gt;"",INDEX(Raw_D1!$B$2:$B$1001,$AP420),IF($AR420&lt;&gt;"",INDEX(Raw_D3!$B$2:$B$1001,$AR420),"")))</f>
        <v>40562.0</v>
      </c>
      <c r="C420" s="5">
        <f>IF($A420="","",IF($AP420&lt;&gt;"",INDEX(Raw_D1!$C$2:$C$1001,$AP420),IF($AR420&lt;&gt;"",INDEX(Raw_D3!$C$2:$C$1001,$AR420),"")))</f>
        <v>1</v>
      </c>
      <c r="D420" s="5">
        <f>IF($A420="","",IF($AP420&lt;&gt;"",INDEX(Raw_D1!$D$2:$D$1001,$AP420),IF($AR420&lt;&gt;"",INDEX(Raw_D3!$D$2:$D$1001,$AR420),"")))</f>
        <v>0</v>
      </c>
      <c r="E420" s="5">
        <f>IF($A420="","",IF($AP420&lt;&gt;"",INDEX(Raw_D1!$E$2:$E$1001,$AP420),IF($AR420&lt;&gt;"",INDEX(Raw_D3!$E$2:$E$1001,$AR420),"")))</f>
        <v>1</v>
      </c>
      <c r="F420" s="5">
        <f>IF($A420="","",IF($AP420&lt;&gt;"",INDEX(Raw_D1!$F$2:$F$1001,$AP420),IF($AR420&lt;&gt;"",INDEX(Raw_D3!$F$2:$F$1001,$AR420),"")))</f>
        <v>11</v>
      </c>
      <c r="G420" s="5">
        <f>IF($A420="","",IF($AP420&lt;&gt;"",IF(INDEX(Raw_D1!$G$2:$G$1001,$AP420),1,0),IF($AR420&lt;&gt;"",IF(INDEX(Raw_D3!$G$2:$G$1001,$AR420),1,0),"")))</f>
        <v>0</v>
      </c>
      <c r="H420" s="5">
        <f>IF($A420="","",IF($AP420&lt;&gt;"",INDEX(Raw_D1!$H$2:$H$1001,$AP420),IF($AR420&lt;&gt;"",INDEX(Raw_D3!$H$2:$H$1001,$AR420),"")))</f>
        <v>3</v>
      </c>
      <c r="I420" s="5">
        <f>IF($A420="","",IF($AP420&lt;&gt;"",INDEX(Raw_D1!$I$2:$I$1001,$AP420),IF($AR420&lt;&gt;"",INDEX(Raw_D3!$I$2:$I$1001,$AR420),"")))</f>
        <v>2</v>
      </c>
      <c r="J420" s="16">
        <f>IF($A420="","",IF($AP420&lt;&gt;"",INDEX(Raw_D1!$J$2:$J$1001,$AP420),IF($AR420&lt;&gt;"",INDEX(Raw_D3!$J$2:$J$1001,$AR420),"")))</f>
        <v>0.28</v>
      </c>
      <c r="K420" s="17">
        <f>IF($A420="","",IF($AQ420&lt;&gt;"",IF(INDEX(Raw_D2!$C$2:$C$1001,$AQ420)="","",INDEX(Raw_D2!$C$2:$C$1001,$AQ420)),IF($AR420&lt;&gt;"",IF(INDEX(Raw_D3!$K$2:$K$1001,$AR420)="","",INDEX(Raw_D3!$K$2:$K$1001,$AR420)),"")))</f>
        <v>0.303</v>
      </c>
      <c r="L420" s="16">
        <f>IF($A420="","",IF($AQ420&lt;&gt;"",IF(INDEX(Raw_D2!$D$2:$D$1001,$AQ420)="","",INDEX(Raw_D2!$D$2:$D$1001,$AQ420)),IF($AR420&lt;&gt;"",IF(INDEX(Raw_D3!$L$2:$L$1001,$AR420)="","",INDEX(Raw_D3!$L$2:$L$1001,$AR420)),"")))</f>
        <v>0.87</v>
      </c>
      <c r="M420" s="17">
        <f>IF($A420="","",IF($AQ420&lt;&gt;"",IF(INDEX(Raw_D2!$E$2:$E$1001,$AQ420)="","",INDEX(Raw_D2!$E$2:$E$1001,$AQ420)),IF($AR420&lt;&gt;"",IF(INDEX(Raw_D3!$M$2:$M$1001,$AR420)="","",INDEX(Raw_D3!$M$2:$M$1001,$AR420)),"")))</f>
        <v>0.0896</v>
      </c>
      <c r="N420" s="5">
        <f>IF($A420="","",IF($AQ420&lt;&gt;"",IF(INDEX(Raw_D2!$F$2:$F$1001,$AQ420)="","",INDEX(Raw_D2!$F$2:$F$1001,$AQ420)),IF($AR420&lt;&gt;"",IF(INDEX(Raw_D3!$N$2:$N$1001,$AR420)="","",INDEX(Raw_D3!$N$2:$N$1001,$AR420)),"")))</f>
        <v>5</v>
      </c>
      <c r="O420" s="5">
        <f>IF($A420="","",IF($AQ420&lt;&gt;"",IF(INDEX(Raw_D2!$G$2:$G$1001,$AQ420)="","",INDEX(Raw_D2!$G$2:$G$1001,$AQ420)),IF($AR420&lt;&gt;"",IF(INDEX(Raw_D3!$O$2:$O$1001,$AR420)="","",INDEX(Raw_D3!$O$2:$O$1001,$AR420)),"")))</f>
        <v>47</v>
      </c>
      <c r="P420" s="5">
        <f>IF($A420="","",IF($AQ420&lt;&gt;"",IF(INDEX(Raw_D2!$H$2:$H$1001,$AQ420)="","",INDEX(Raw_D2!$H$2:$H$1001,$AQ420)),IF($AR420&lt;&gt;"",IF(INDEX(Raw_D3!$P$2:$P$1001,$AR420)="","",INDEX(Raw_D3!$P$2:$P$1001,$AR420)),"")))</f>
        <v>52</v>
      </c>
      <c r="Q420" s="5" t="str">
        <f>IF($A420="","",IF(AND($AP420&lt;&gt;"",$AQ420&lt;&gt;""),"D1+D2",IF($AR420&lt;&gt;"","D3","Incomplete")))</f>
        <v>D1+D2</v>
      </c>
      <c r="R420" s="17">
        <f>IF($A420="","",IF($K420="",IF($J420="","",ROUND(Lookups!$K$5+Lookups!$K$4*$J420,4)),$K420))</f>
        <v>0.303</v>
      </c>
      <c r="S420" s="5" t="str">
        <f>IF($A420="","",IF($K420="","Imputed","Original"))</f>
        <v>Original</v>
      </c>
      <c r="T420" s="5" t="str">
        <f>IF($A420="","",IF($P420="","Missing",IF($P420=$N420+$O420,"OK","Mismatch")))</f>
        <v>OK</v>
      </c>
      <c r="U420" s="5" t="str">
        <f>IF($A420="","",IF(COUNTIF($A$2:$A420,$A420)&gt;1,"Duplicate","Unique"))</f>
        <v>Unique</v>
      </c>
      <c r="V420" s="5">
        <f>IF($A420="","",IF(AND($U420="Unique",ISNUMBER($P420)),1,0))</f>
        <v>1</v>
      </c>
      <c r="W420" s="5" t="str">
        <f>IF($A420="","",IF(OR($H420=0,$H420=6),"Weekend","Weekday"))</f>
        <v>Weekday</v>
      </c>
      <c r="X420" s="5" t="str">
        <f>IF($A420="","",TEXT($B420,"ddd"))</f>
        <v>Wed</v>
      </c>
      <c r="Y420" s="5" t="str">
        <f>IF($A420="","",TEXT($B420,"mmm"))</f>
        <v>Jan</v>
      </c>
      <c r="Z420" s="5" t="str">
        <f>IF($A420="","",IFERROR(VLOOKUP($C420,Lookups!$D$4:$E$7,2,FALSE),"Unknown"))</f>
        <v>Winter</v>
      </c>
      <c r="AA420" s="5" t="str">
        <f>IF($A420="","",IFERROR(VLOOKUP($I420,Lookups!$A$4:$B$7,2,FALSE),"Unknown"))</f>
        <v>Mist/Cloudy</v>
      </c>
      <c r="AB420" s="5" t="str">
        <f>IF($A420="","",TEXT($F420,"00")&amp;":00")</f>
        <v>11:00</v>
      </c>
      <c r="AC420" s="5" t="str">
        <f>IF($A420="","",VLOOKUP($F420,Lookups!$G$4:$H$8,2,TRUE))</f>
        <v>Midday (10-15)</v>
      </c>
      <c r="AD420" s="18">
        <f>IF($A420="","",IF($J420="","",ROUND($J420*41,1)))</f>
        <v>11.5</v>
      </c>
      <c r="AE420" s="18">
        <f>IF($A420="","",IF($R420="","",ROUND($R420*50,1)))</f>
        <v>15.2</v>
      </c>
      <c r="AF420" s="5">
        <f>IF($A420="","",IF($L420="","",ROUND($L420*100,0)))</f>
        <v>87</v>
      </c>
      <c r="AG420" s="18">
        <f>IF($A420="","",IF($M420="","",ROUND($M420*67,1)))</f>
        <v>6</v>
      </c>
      <c r="AH420" s="19">
        <f>IF($A420="","",IF($P420="","",IF($P420=0,0,$O420/$P420)))</f>
        <v>0.903846153846154</v>
      </c>
      <c r="AI420" s="5" t="str">
        <f>IF($A420="","",IF($P420="","",IF($P420&gt;=Lookups!$K$7,"High",IF($P420&lt;=Lookups!$K$8,"Low","Medium"))))</f>
        <v>Medium</v>
      </c>
      <c r="AJ420" s="5" t="str">
        <f>IF($A420="","",IF($AD420="","",IF($AD420&lt;5,"Under 5 C",IF($AD420&lt;10,"5-10 C",IF($AD420&lt;15,"10-15 C","15 C and above")))))</f>
        <v>10-15 C</v>
      </c>
      <c r="AK420" s="5">
        <f>IF($A420="","",IF($P420="","",$P420^2))</f>
        <v>2704</v>
      </c>
      <c r="AL420" s="18">
        <f>IF($V420&lt;&gt;1,"",AVERAGEIFS(Clean_Data!$P$2:$P$1001,Clean_Data!$F$2:$F$1001,$F420,Clean_Data!$W$2:$W$1001,$W420,Clean_Data!$V$2:$V$1001,1))</f>
        <v>50.6071428571429</v>
      </c>
      <c r="AM420" s="16">
        <f>IF($V420&lt;&gt;1,"",IFERROR(($P420-$AL420)/SQRT(MAX(0,(SUMIFS(Clean_Data!$AK$2:$AK$1001,Clean_Data!$F$2:$F$1001,$F420,Clean_Data!$W$2:$W$1001,$W420,Clean_Data!$V$2:$V$1001,1)-COUNTIFS(Clean_Data!$F$2:$F$1001,$F420,Clean_Data!$W$2:$W$1001,$W420,Clean_Data!$V$2:$V$1001,1)*$AL420^2)/(COUNTIFS(Clean_Data!$F$2:$F$1001,$F420,Clean_Data!$W$2:$W$1001,$W420,Clean_Data!$V$2:$V$1001,1)-1))),""))</f>
        <v>0.124329237331304</v>
      </c>
      <c r="AN420" s="5" t="str">
        <f>IF($AM420="","",IF($AM420&gt;=Lookups!$K$6,"High spike",IF($AM420&lt;=-Lookups!$K$6,"Unusual low","Normal")))</f>
        <v>Normal</v>
      </c>
      <c r="AO420" s="20">
        <f>IF($V420&lt;&gt;1,"",$P420+ROW()/100000)</f>
        <v>52.0042</v>
      </c>
      <c r="AP420" s="5">
        <f>IF($A420="","",IFERROR(MATCH($A420,Raw_D1!$A$2:$A$1001,0),""))</f>
        <v>419</v>
      </c>
      <c r="AQ420" s="5">
        <f>IF($A420="","",IFERROR(MATCH($A420,Raw_D2!$B$2:$B$1001,0),""))</f>
        <v>419</v>
      </c>
      <c r="AR420" s="5">
        <f>IF($A420="","",IFERROR(MATCH($A420,Raw_D3!$A$2:$A$1001,0),""))</f>
        <v/>
      </c>
    </row>
    <row r="421" spans="1:44" x14ac:dyDescent="0.25">
      <c r="A421" s="5">
        <v>420</v>
      </c>
      <c r="B421" s="11">
        <f>IF($A421="","",IF($AP421&lt;&gt;"",INDEX(Raw_D1!$B$2:$B$1001,$AP421),IF($AR421&lt;&gt;"",INDEX(Raw_D3!$B$2:$B$1001,$AR421),"")))</f>
        <v>40562.0</v>
      </c>
      <c r="C421" s="5">
        <f>IF($A421="","",IF($AP421&lt;&gt;"",INDEX(Raw_D1!$C$2:$C$1001,$AP421),IF($AR421&lt;&gt;"",INDEX(Raw_D3!$C$2:$C$1001,$AR421),"")))</f>
        <v>1</v>
      </c>
      <c r="D421" s="5">
        <f>IF($A421="","",IF($AP421&lt;&gt;"",INDEX(Raw_D1!$D$2:$D$1001,$AP421),IF($AR421&lt;&gt;"",INDEX(Raw_D3!$D$2:$D$1001,$AR421),"")))</f>
        <v>0</v>
      </c>
      <c r="E421" s="5">
        <f>IF($A421="","",IF($AP421&lt;&gt;"",INDEX(Raw_D1!$E$2:$E$1001,$AP421),IF($AR421&lt;&gt;"",INDEX(Raw_D3!$E$2:$E$1001,$AR421),"")))</f>
        <v>1</v>
      </c>
      <c r="F421" s="5">
        <f>IF($A421="","",IF($AP421&lt;&gt;"",INDEX(Raw_D1!$F$2:$F$1001,$AP421),IF($AR421&lt;&gt;"",INDEX(Raw_D3!$F$2:$F$1001,$AR421),"")))</f>
        <v>12</v>
      </c>
      <c r="G421" s="5">
        <f>IF($A421="","",IF($AP421&lt;&gt;"",IF(INDEX(Raw_D1!$G$2:$G$1001,$AP421),1,0),IF($AR421&lt;&gt;"",IF(INDEX(Raw_D3!$G$2:$G$1001,$AR421),1,0),"")))</f>
        <v>0</v>
      </c>
      <c r="H421" s="5">
        <f>IF($A421="","",IF($AP421&lt;&gt;"",INDEX(Raw_D1!$H$2:$H$1001,$AP421),IF($AR421&lt;&gt;"",INDEX(Raw_D3!$H$2:$H$1001,$AR421),"")))</f>
        <v>3</v>
      </c>
      <c r="I421" s="5">
        <f>IF($A421="","",IF($AP421&lt;&gt;"",INDEX(Raw_D1!$I$2:$I$1001,$AP421),IF($AR421&lt;&gt;"",INDEX(Raw_D3!$I$2:$I$1001,$AR421),"")))</f>
        <v>2</v>
      </c>
      <c r="J421" s="16">
        <f>IF($A421="","",IF($AP421&lt;&gt;"",INDEX(Raw_D1!$J$2:$J$1001,$AP421),IF($AR421&lt;&gt;"",INDEX(Raw_D3!$J$2:$J$1001,$AR421),"")))</f>
        <v>0.3</v>
      </c>
      <c r="K421" s="17">
        <f>IF($A421="","",IF($AQ421&lt;&gt;"",IF(INDEX(Raw_D2!$C$2:$C$1001,$AQ421)="","",INDEX(Raw_D2!$C$2:$C$1001,$AQ421)),IF($AR421&lt;&gt;"",IF(INDEX(Raw_D3!$K$2:$K$1001,$AR421)="","",INDEX(Raw_D3!$K$2:$K$1001,$AR421)),"")))</f>
        <v>0.3182</v>
      </c>
      <c r="L421" s="16">
        <f>IF($A421="","",IF($AQ421&lt;&gt;"",IF(INDEX(Raw_D2!$D$2:$D$1001,$AQ421)="","",INDEX(Raw_D2!$D$2:$D$1001,$AQ421)),IF($AR421&lt;&gt;"",IF(INDEX(Raw_D3!$L$2:$L$1001,$AR421)="","",INDEX(Raw_D3!$L$2:$L$1001,$AR421)),"")))</f>
        <v>0.81</v>
      </c>
      <c r="M421" s="17">
        <f>IF($A421="","",IF($AQ421&lt;&gt;"",IF(INDEX(Raw_D2!$E$2:$E$1001,$AQ421)="","",INDEX(Raw_D2!$E$2:$E$1001,$AQ421)),IF($AR421&lt;&gt;"",IF(INDEX(Raw_D3!$M$2:$M$1001,$AR421)="","",INDEX(Raw_D3!$M$2:$M$1001,$AR421)),"")))</f>
        <v>0.0896</v>
      </c>
      <c r="N421" s="5">
        <f>IF($A421="","",IF($AQ421&lt;&gt;"",IF(INDEX(Raw_D2!$F$2:$F$1001,$AQ421)="","",INDEX(Raw_D2!$F$2:$F$1001,$AQ421)),IF($AR421&lt;&gt;"",IF(INDEX(Raw_D3!$N$2:$N$1001,$AR421)="","",INDEX(Raw_D3!$N$2:$N$1001,$AR421)),"")))</f>
        <v>5</v>
      </c>
      <c r="O421" s="5">
        <f>IF($A421="","",IF($AQ421&lt;&gt;"",IF(INDEX(Raw_D2!$G$2:$G$1001,$AQ421)="","",INDEX(Raw_D2!$G$2:$G$1001,$AQ421)),IF($AR421&lt;&gt;"",IF(INDEX(Raw_D3!$O$2:$O$1001,$AR421)="","",INDEX(Raw_D3!$O$2:$O$1001,$AR421)),"")))</f>
        <v>65</v>
      </c>
      <c r="P421" s="5">
        <f>IF($A421="","",IF($AQ421&lt;&gt;"",IF(INDEX(Raw_D2!$H$2:$H$1001,$AQ421)="","",INDEX(Raw_D2!$H$2:$H$1001,$AQ421)),IF($AR421&lt;&gt;"",IF(INDEX(Raw_D3!$P$2:$P$1001,$AR421)="","",INDEX(Raw_D3!$P$2:$P$1001,$AR421)),"")))</f>
        <v>70</v>
      </c>
      <c r="Q421" s="5" t="str">
        <f>IF($A421="","",IF(AND($AP421&lt;&gt;"",$AQ421&lt;&gt;""),"D1+D2",IF($AR421&lt;&gt;"","D3","Incomplete")))</f>
        <v>D1+D2</v>
      </c>
      <c r="R421" s="17">
        <f>IF($A421="","",IF($K421="",IF($J421="","",ROUND(Lookups!$K$5+Lookups!$K$4*$J421,4)),$K421))</f>
        <v>0.3182</v>
      </c>
      <c r="S421" s="5" t="str">
        <f>IF($A421="","",IF($K421="","Imputed","Original"))</f>
        <v>Original</v>
      </c>
      <c r="T421" s="5" t="str">
        <f>IF($A421="","",IF($P421="","Missing",IF($P421=$N421+$O421,"OK","Mismatch")))</f>
        <v>OK</v>
      </c>
      <c r="U421" s="5" t="str">
        <f>IF($A421="","",IF(COUNTIF($A$2:$A421,$A421)&gt;1,"Duplicate","Unique"))</f>
        <v>Unique</v>
      </c>
      <c r="V421" s="5">
        <f>IF($A421="","",IF(AND($U421="Unique",ISNUMBER($P421)),1,0))</f>
        <v>1</v>
      </c>
      <c r="W421" s="5" t="str">
        <f>IF($A421="","",IF(OR($H421=0,$H421=6),"Weekend","Weekday"))</f>
        <v>Weekday</v>
      </c>
      <c r="X421" s="5" t="str">
        <f>IF($A421="","",TEXT($B421,"ddd"))</f>
        <v>Wed</v>
      </c>
      <c r="Y421" s="5" t="str">
        <f>IF($A421="","",TEXT($B421,"mmm"))</f>
        <v>Jan</v>
      </c>
      <c r="Z421" s="5" t="str">
        <f>IF($A421="","",IFERROR(VLOOKUP($C421,Lookups!$D$4:$E$7,2,FALSE),"Unknown"))</f>
        <v>Winter</v>
      </c>
      <c r="AA421" s="5" t="str">
        <f>IF($A421="","",IFERROR(VLOOKUP($I421,Lookups!$A$4:$B$7,2,FALSE),"Unknown"))</f>
        <v>Mist/Cloudy</v>
      </c>
      <c r="AB421" s="5" t="str">
        <f>IF($A421="","",TEXT($F421,"00")&amp;":00")</f>
        <v>12:00</v>
      </c>
      <c r="AC421" s="5" t="str">
        <f>IF($A421="","",VLOOKUP($F421,Lookups!$G$4:$H$8,2,TRUE))</f>
        <v>Midday (10-15)</v>
      </c>
      <c r="AD421" s="18">
        <f>IF($A421="","",IF($J421="","",ROUND($J421*41,1)))</f>
        <v>12.3</v>
      </c>
      <c r="AE421" s="18">
        <f>IF($A421="","",IF($R421="","",ROUND($R421*50,1)))</f>
        <v>15.9</v>
      </c>
      <c r="AF421" s="5">
        <f>IF($A421="","",IF($L421="","",ROUND($L421*100,0)))</f>
        <v>81</v>
      </c>
      <c r="AG421" s="18">
        <f>IF($A421="","",IF($M421="","",ROUND($M421*67,1)))</f>
        <v>6</v>
      </c>
      <c r="AH421" s="19">
        <f>IF($A421="","",IF($P421="","",IF($P421=0,0,$O421/$P421)))</f>
        <v>0.928571428571429</v>
      </c>
      <c r="AI421" s="5" t="str">
        <f>IF($A421="","",IF($P421="","",IF($P421&gt;=Lookups!$K$7,"High",IF($P421&lt;=Lookups!$K$8,"Low","Medium"))))</f>
        <v>Medium</v>
      </c>
      <c r="AJ421" s="5" t="str">
        <f>IF($A421="","",IF($AD421="","",IF($AD421&lt;5,"Under 5 C",IF($AD421&lt;10,"5-10 C",IF($AD421&lt;15,"10-15 C","15 C and above")))))</f>
        <v>10-15 C</v>
      </c>
      <c r="AK421" s="5">
        <f>IF($A421="","",IF($P421="","",$P421^2))</f>
        <v>4900</v>
      </c>
      <c r="AL421" s="18">
        <f>IF($V421&lt;&gt;1,"",AVERAGEIFS(Clean_Data!$P$2:$P$1001,Clean_Data!$F$2:$F$1001,$F421,Clean_Data!$W$2:$W$1001,$W421,Clean_Data!$V$2:$V$1001,1))</f>
        <v>64.5862068965517</v>
      </c>
      <c r="AM421" s="16">
        <f>IF($V421&lt;&gt;1,"",IFERROR(($P421-$AL421)/SQRT(MAX(0,(SUMIFS(Clean_Data!$AK$2:$AK$1001,Clean_Data!$F$2:$F$1001,$F421,Clean_Data!$W$2:$W$1001,$W421,Clean_Data!$V$2:$V$1001,1)-COUNTIFS(Clean_Data!$F$2:$F$1001,$F421,Clean_Data!$W$2:$W$1001,$W421,Clean_Data!$V$2:$V$1001,1)*$AL421^2)/(COUNTIFS(Clean_Data!$F$2:$F$1001,$F421,Clean_Data!$W$2:$W$1001,$W421,Clean_Data!$V$2:$V$1001,1)-1))),""))</f>
        <v>0.289069354211741</v>
      </c>
      <c r="AN421" s="5" t="str">
        <f>IF($AM421="","",IF($AM421&gt;=Lookups!$K$6,"High spike",IF($AM421&lt;=-Lookups!$K$6,"Unusual low","Normal")))</f>
        <v>Normal</v>
      </c>
      <c r="AO421" s="20">
        <f>IF($V421&lt;&gt;1,"",$P421+ROW()/100000)</f>
        <v>70.00421</v>
      </c>
      <c r="AP421" s="5">
        <f>IF($A421="","",IFERROR(MATCH($A421,Raw_D1!$A$2:$A$1001,0),""))</f>
        <v>420</v>
      </c>
      <c r="AQ421" s="5">
        <f>IF($A421="","",IFERROR(MATCH($A421,Raw_D2!$B$2:$B$1001,0),""))</f>
        <v>420</v>
      </c>
      <c r="AR421" s="5">
        <f>IF($A421="","",IFERROR(MATCH($A421,Raw_D3!$A$2:$A$1001,0),""))</f>
        <v/>
      </c>
    </row>
    <row r="422" spans="1:44" x14ac:dyDescent="0.25">
      <c r="A422" s="5">
        <v>421</v>
      </c>
      <c r="B422" s="11">
        <f>IF($A422="","",IF($AP422&lt;&gt;"",INDEX(Raw_D1!$B$2:$B$1001,$AP422),IF($AR422&lt;&gt;"",INDEX(Raw_D3!$B$2:$B$1001,$AR422),"")))</f>
        <v>40562.0</v>
      </c>
      <c r="C422" s="5">
        <f>IF($A422="","",IF($AP422&lt;&gt;"",INDEX(Raw_D1!$C$2:$C$1001,$AP422),IF($AR422&lt;&gt;"",INDEX(Raw_D3!$C$2:$C$1001,$AR422),"")))</f>
        <v>1</v>
      </c>
      <c r="D422" s="5">
        <f>IF($A422="","",IF($AP422&lt;&gt;"",INDEX(Raw_D1!$D$2:$D$1001,$AP422),IF($AR422&lt;&gt;"",INDEX(Raw_D3!$D$2:$D$1001,$AR422),"")))</f>
        <v>0</v>
      </c>
      <c r="E422" s="5">
        <f>IF($A422="","",IF($AP422&lt;&gt;"",INDEX(Raw_D1!$E$2:$E$1001,$AP422),IF($AR422&lt;&gt;"",INDEX(Raw_D3!$E$2:$E$1001,$AR422),"")))</f>
        <v>1</v>
      </c>
      <c r="F422" s="5">
        <f>IF($A422="","",IF($AP422&lt;&gt;"",INDEX(Raw_D1!$F$2:$F$1001,$AP422),IF($AR422&lt;&gt;"",INDEX(Raw_D3!$F$2:$F$1001,$AR422),"")))</f>
        <v>13</v>
      </c>
      <c r="G422" s="5">
        <f>IF($A422="","",IF($AP422&lt;&gt;"",IF(INDEX(Raw_D1!$G$2:$G$1001,$AP422),1,0),IF($AR422&lt;&gt;"",IF(INDEX(Raw_D3!$G$2:$G$1001,$AR422),1,0),"")))</f>
        <v>0</v>
      </c>
      <c r="H422" s="5">
        <f>IF($A422="","",IF($AP422&lt;&gt;"",INDEX(Raw_D1!$H$2:$H$1001,$AP422),IF($AR422&lt;&gt;"",INDEX(Raw_D3!$H$2:$H$1001,$AR422),"")))</f>
        <v>3</v>
      </c>
      <c r="I422" s="5">
        <f>IF($A422="","",IF($AP422&lt;&gt;"",INDEX(Raw_D1!$I$2:$I$1001,$AP422),IF($AR422&lt;&gt;"",INDEX(Raw_D3!$I$2:$I$1001,$AR422),"")))</f>
        <v>1</v>
      </c>
      <c r="J422" s="16">
        <f>IF($A422="","",IF($AP422&lt;&gt;"",INDEX(Raw_D1!$J$2:$J$1001,$AP422),IF($AR422&lt;&gt;"",INDEX(Raw_D3!$J$2:$J$1001,$AR422),"")))</f>
        <v>0.4</v>
      </c>
      <c r="K422" s="17">
        <f>IF($A422="","",IF($AQ422&lt;&gt;"",IF(INDEX(Raw_D2!$C$2:$C$1001,$AQ422)="","",INDEX(Raw_D2!$C$2:$C$1001,$AQ422)),IF($AR422&lt;&gt;"",IF(INDEX(Raw_D3!$K$2:$K$1001,$AR422)="","",INDEX(Raw_D3!$K$2:$K$1001,$AR422)),"")))</f>
        <v>0.4091</v>
      </c>
      <c r="L422" s="16">
        <f>IF($A422="","",IF($AQ422&lt;&gt;"",IF(INDEX(Raw_D2!$D$2:$D$1001,$AQ422)="","",INDEX(Raw_D2!$D$2:$D$1001,$AQ422)),IF($AR422&lt;&gt;"",IF(INDEX(Raw_D3!$L$2:$L$1001,$AR422)="","",INDEX(Raw_D3!$L$2:$L$1001,$AR422)),"")))</f>
        <v>0.62</v>
      </c>
      <c r="M422" s="17">
        <f>IF($A422="","",IF($AQ422&lt;&gt;"",IF(INDEX(Raw_D2!$E$2:$E$1001,$AQ422)="","",INDEX(Raw_D2!$E$2:$E$1001,$AQ422)),IF($AR422&lt;&gt;"",IF(INDEX(Raw_D3!$M$2:$M$1001,$AR422)="","",INDEX(Raw_D3!$M$2:$M$1001,$AR422)),"")))</f>
        <v>0.2836</v>
      </c>
      <c r="N422" s="5">
        <f>IF($A422="","",IF($AQ422&lt;&gt;"",IF(INDEX(Raw_D2!$F$2:$F$1001,$AQ422)="","",INDEX(Raw_D2!$F$2:$F$1001,$AQ422)),IF($AR422&lt;&gt;"",IF(INDEX(Raw_D3!$N$2:$N$1001,$AR422)="","",INDEX(Raw_D3!$N$2:$N$1001,$AR422)),"")))</f>
        <v>11</v>
      </c>
      <c r="O422" s="5">
        <f>IF($A422="","",IF($AQ422&lt;&gt;"",IF(INDEX(Raw_D2!$G$2:$G$1001,$AQ422)="","",INDEX(Raw_D2!$G$2:$G$1001,$AQ422)),IF($AR422&lt;&gt;"",IF(INDEX(Raw_D3!$O$2:$O$1001,$AR422)="","",INDEX(Raw_D3!$O$2:$O$1001,$AR422)),"")))</f>
        <v>67</v>
      </c>
      <c r="P422" s="5">
        <f>IF($A422="","",IF($AQ422&lt;&gt;"",IF(INDEX(Raw_D2!$H$2:$H$1001,$AQ422)="","",INDEX(Raw_D2!$H$2:$H$1001,$AQ422)),IF($AR422&lt;&gt;"",IF(INDEX(Raw_D3!$P$2:$P$1001,$AR422)="","",INDEX(Raw_D3!$P$2:$P$1001,$AR422)),"")))</f>
        <v>78</v>
      </c>
      <c r="Q422" s="5" t="str">
        <f>IF($A422="","",IF(AND($AP422&lt;&gt;"",$AQ422&lt;&gt;""),"D1+D2",IF($AR422&lt;&gt;"","D3","Incomplete")))</f>
        <v>D1+D2</v>
      </c>
      <c r="R422" s="17">
        <f>IF($A422="","",IF($K422="",IF($J422="","",ROUND(Lookups!$K$5+Lookups!$K$4*$J422,4)),$K422))</f>
        <v>0.4091</v>
      </c>
      <c r="S422" s="5" t="str">
        <f>IF($A422="","",IF($K422="","Imputed","Original"))</f>
        <v>Original</v>
      </c>
      <c r="T422" s="5" t="str">
        <f>IF($A422="","",IF($P422="","Missing",IF($P422=$N422+$O422,"OK","Mismatch")))</f>
        <v>OK</v>
      </c>
      <c r="U422" s="5" t="str">
        <f>IF($A422="","",IF(COUNTIF($A$2:$A422,$A422)&gt;1,"Duplicate","Unique"))</f>
        <v>Unique</v>
      </c>
      <c r="V422" s="5">
        <f>IF($A422="","",IF(AND($U422="Unique",ISNUMBER($P422)),1,0))</f>
        <v>1</v>
      </c>
      <c r="W422" s="5" t="str">
        <f>IF($A422="","",IF(OR($H422=0,$H422=6),"Weekend","Weekday"))</f>
        <v>Weekday</v>
      </c>
      <c r="X422" s="5" t="str">
        <f>IF($A422="","",TEXT($B422,"ddd"))</f>
        <v>Wed</v>
      </c>
      <c r="Y422" s="5" t="str">
        <f>IF($A422="","",TEXT($B422,"mmm"))</f>
        <v>Jan</v>
      </c>
      <c r="Z422" s="5" t="str">
        <f>IF($A422="","",IFERROR(VLOOKUP($C422,Lookups!$D$4:$E$7,2,FALSE),"Unknown"))</f>
        <v>Winter</v>
      </c>
      <c r="AA422" s="5" t="str">
        <f>IF($A422="","",IFERROR(VLOOKUP($I422,Lookups!$A$4:$B$7,2,FALSE),"Unknown"))</f>
        <v>Clear</v>
      </c>
      <c r="AB422" s="5" t="str">
        <f>IF($A422="","",TEXT($F422,"00")&amp;":00")</f>
        <v>13:00</v>
      </c>
      <c r="AC422" s="5" t="str">
        <f>IF($A422="","",VLOOKUP($F422,Lookups!$G$4:$H$8,2,TRUE))</f>
        <v>Midday (10-15)</v>
      </c>
      <c r="AD422" s="18">
        <f>IF($A422="","",IF($J422="","",ROUND($J422*41,1)))</f>
        <v>16.4</v>
      </c>
      <c r="AE422" s="18">
        <f>IF($A422="","",IF($R422="","",ROUND($R422*50,1)))</f>
        <v>20.5</v>
      </c>
      <c r="AF422" s="5">
        <f>IF($A422="","",IF($L422="","",ROUND($L422*100,0)))</f>
        <v>62</v>
      </c>
      <c r="AG422" s="18">
        <f>IF($A422="","",IF($M422="","",ROUND($M422*67,1)))</f>
        <v>19</v>
      </c>
      <c r="AH422" s="19">
        <f>IF($A422="","",IF($P422="","",IF($P422=0,0,$O422/$P422)))</f>
        <v>0.858974358974359</v>
      </c>
      <c r="AI422" s="5" t="str">
        <f>IF($A422="","",IF($P422="","",IF($P422&gt;=Lookups!$K$7,"High",IF($P422&lt;=Lookups!$K$8,"Low","Medium"))))</f>
        <v>Medium</v>
      </c>
      <c r="AJ422" s="5" t="str">
        <f>IF($A422="","",IF($AD422="","",IF($AD422&lt;5,"Under 5 C",IF($AD422&lt;10,"5-10 C",IF($AD422&lt;15,"10-15 C","15 C and above")))))</f>
        <v>15 C and above</v>
      </c>
      <c r="AK422" s="5">
        <f>IF($A422="","",IF($P422="","",$P422^2))</f>
        <v>6084</v>
      </c>
      <c r="AL422" s="18">
        <f>IF($V422&lt;&gt;1,"",AVERAGEIFS(Clean_Data!$P$2:$P$1001,Clean_Data!$F$2:$F$1001,$F422,Clean_Data!$W$2:$W$1001,$W422,Clean_Data!$V$2:$V$1001,1))</f>
        <v>67.1724137931034</v>
      </c>
      <c r="AM422" s="16">
        <f>IF($V422&lt;&gt;1,"",IFERROR(($P422-$AL422)/SQRT(MAX(0,(SUMIFS(Clean_Data!$AK$2:$AK$1001,Clean_Data!$F$2:$F$1001,$F422,Clean_Data!$W$2:$W$1001,$W422,Clean_Data!$V$2:$V$1001,1)-COUNTIFS(Clean_Data!$F$2:$F$1001,$F422,Clean_Data!$W$2:$W$1001,$W422,Clean_Data!$V$2:$V$1001,1)*$AL422^2)/(COUNTIFS(Clean_Data!$F$2:$F$1001,$F422,Clean_Data!$W$2:$W$1001,$W422,Clean_Data!$V$2:$V$1001,1)-1))),""))</f>
        <v>0.536229944131412</v>
      </c>
      <c r="AN422" s="5" t="str">
        <f>IF($AM422="","",IF($AM422&gt;=Lookups!$K$6,"High spike",IF($AM422&lt;=-Lookups!$K$6,"Unusual low","Normal")))</f>
        <v>Normal</v>
      </c>
      <c r="AO422" s="20">
        <f>IF($V422&lt;&gt;1,"",$P422+ROW()/100000)</f>
        <v>78.00422</v>
      </c>
      <c r="AP422" s="5">
        <f>IF($A422="","",IFERROR(MATCH($A422,Raw_D1!$A$2:$A$1001,0),""))</f>
        <v>421</v>
      </c>
      <c r="AQ422" s="5">
        <f>IF($A422="","",IFERROR(MATCH($A422,Raw_D2!$B$2:$B$1001,0),""))</f>
        <v>421</v>
      </c>
      <c r="AR422" s="5">
        <f>IF($A422="","",IFERROR(MATCH($A422,Raw_D3!$A$2:$A$1001,0),""))</f>
        <v/>
      </c>
    </row>
    <row r="423" spans="1:44" x14ac:dyDescent="0.25">
      <c r="A423" s="5">
        <v>422</v>
      </c>
      <c r="B423" s="11">
        <f>IF($A423="","",IF($AP423&lt;&gt;"",INDEX(Raw_D1!$B$2:$B$1001,$AP423),IF($AR423&lt;&gt;"",INDEX(Raw_D3!$B$2:$B$1001,$AR423),"")))</f>
        <v>40562.0</v>
      </c>
      <c r="C423" s="5">
        <f>IF($A423="","",IF($AP423&lt;&gt;"",INDEX(Raw_D1!$C$2:$C$1001,$AP423),IF($AR423&lt;&gt;"",INDEX(Raw_D3!$C$2:$C$1001,$AR423),"")))</f>
        <v>1</v>
      </c>
      <c r="D423" s="5">
        <f>IF($A423="","",IF($AP423&lt;&gt;"",INDEX(Raw_D1!$D$2:$D$1001,$AP423),IF($AR423&lt;&gt;"",INDEX(Raw_D3!$D$2:$D$1001,$AR423),"")))</f>
        <v>0</v>
      </c>
      <c r="E423" s="5">
        <f>IF($A423="","",IF($AP423&lt;&gt;"",INDEX(Raw_D1!$E$2:$E$1001,$AP423),IF($AR423&lt;&gt;"",INDEX(Raw_D3!$E$2:$E$1001,$AR423),"")))</f>
        <v>1</v>
      </c>
      <c r="F423" s="5">
        <f>IF($A423="","",IF($AP423&lt;&gt;"",INDEX(Raw_D1!$F$2:$F$1001,$AP423),IF($AR423&lt;&gt;"",INDEX(Raw_D3!$F$2:$F$1001,$AR423),"")))</f>
        <v>14</v>
      </c>
      <c r="G423" s="5">
        <f>IF($A423="","",IF($AP423&lt;&gt;"",IF(INDEX(Raw_D1!$G$2:$G$1001,$AP423),1,0),IF($AR423&lt;&gt;"",IF(INDEX(Raw_D3!$G$2:$G$1001,$AR423),1,0),"")))</f>
        <v>0</v>
      </c>
      <c r="H423" s="5">
        <f>IF($A423="","",IF($AP423&lt;&gt;"",INDEX(Raw_D1!$H$2:$H$1001,$AP423),IF($AR423&lt;&gt;"",INDEX(Raw_D3!$H$2:$H$1001,$AR423),"")))</f>
        <v>3</v>
      </c>
      <c r="I423" s="5">
        <f>IF($A423="","",IF($AP423&lt;&gt;"",INDEX(Raw_D1!$I$2:$I$1001,$AP423),IF($AR423&lt;&gt;"",INDEX(Raw_D3!$I$2:$I$1001,$AR423),"")))</f>
        <v>1</v>
      </c>
      <c r="J423" s="16">
        <f>IF($A423="","",IF($AP423&lt;&gt;"",INDEX(Raw_D1!$J$2:$J$1001,$AP423),IF($AR423&lt;&gt;"",INDEX(Raw_D3!$J$2:$J$1001,$AR423),"")))</f>
        <v>0.4</v>
      </c>
      <c r="K423" s="17">
        <f>IF($A423="","",IF($AQ423&lt;&gt;"",IF(INDEX(Raw_D2!$C$2:$C$1001,$AQ423)="","",INDEX(Raw_D2!$C$2:$C$1001,$AQ423)),IF($AR423&lt;&gt;"",IF(INDEX(Raw_D3!$K$2:$K$1001,$AR423)="","",INDEX(Raw_D3!$K$2:$K$1001,$AR423)),"")))</f>
        <v>0.4091</v>
      </c>
      <c r="L423" s="16">
        <f>IF($A423="","",IF($AQ423&lt;&gt;"",IF(INDEX(Raw_D2!$D$2:$D$1001,$AQ423)="","",INDEX(Raw_D2!$D$2:$D$1001,$AQ423)),IF($AR423&lt;&gt;"",IF(INDEX(Raw_D3!$L$2:$L$1001,$AR423)="","",INDEX(Raw_D3!$L$2:$L$1001,$AR423)),"")))</f>
        <v>0.58</v>
      </c>
      <c r="M423" s="17">
        <f>IF($A423="","",IF($AQ423&lt;&gt;"",IF(INDEX(Raw_D2!$E$2:$E$1001,$AQ423)="","",INDEX(Raw_D2!$E$2:$E$1001,$AQ423)),IF($AR423&lt;&gt;"",IF(INDEX(Raw_D3!$M$2:$M$1001,$AR423)="","",INDEX(Raw_D3!$M$2:$M$1001,$AR423)),"")))</f>
        <v>0.2537</v>
      </c>
      <c r="N423" s="5">
        <f>IF($A423="","",IF($AQ423&lt;&gt;"",IF(INDEX(Raw_D2!$F$2:$F$1001,$AQ423)="","",INDEX(Raw_D2!$F$2:$F$1001,$AQ423)),IF($AR423&lt;&gt;"",IF(INDEX(Raw_D3!$N$2:$N$1001,$AR423)="","",INDEX(Raw_D3!$N$2:$N$1001,$AR423)),"")))</f>
        <v>7</v>
      </c>
      <c r="O423" s="5">
        <f>IF($A423="","",IF($AQ423&lt;&gt;"",IF(INDEX(Raw_D2!$G$2:$G$1001,$AQ423)="","",INDEX(Raw_D2!$G$2:$G$1001,$AQ423)),IF($AR423&lt;&gt;"",IF(INDEX(Raw_D3!$O$2:$O$1001,$AR423)="","",INDEX(Raw_D3!$O$2:$O$1001,$AR423)),"")))</f>
        <v>68</v>
      </c>
      <c r="P423" s="5">
        <f>IF($A423="","",IF($AQ423&lt;&gt;"",IF(INDEX(Raw_D2!$H$2:$H$1001,$AQ423)="","",INDEX(Raw_D2!$H$2:$H$1001,$AQ423)),IF($AR423&lt;&gt;"",IF(INDEX(Raw_D3!$P$2:$P$1001,$AR423)="","",INDEX(Raw_D3!$P$2:$P$1001,$AR423)),"")))</f>
        <v>75</v>
      </c>
      <c r="Q423" s="5" t="str">
        <f>IF($A423="","",IF(AND($AP423&lt;&gt;"",$AQ423&lt;&gt;""),"D1+D2",IF($AR423&lt;&gt;"","D3","Incomplete")))</f>
        <v>D1+D2</v>
      </c>
      <c r="R423" s="17">
        <f>IF($A423="","",IF($K423="",IF($J423="","",ROUND(Lookups!$K$5+Lookups!$K$4*$J423,4)),$K423))</f>
        <v>0.4091</v>
      </c>
      <c r="S423" s="5" t="str">
        <f>IF($A423="","",IF($K423="","Imputed","Original"))</f>
        <v>Original</v>
      </c>
      <c r="T423" s="5" t="str">
        <f>IF($A423="","",IF($P423="","Missing",IF($P423=$N423+$O423,"OK","Mismatch")))</f>
        <v>OK</v>
      </c>
      <c r="U423" s="5" t="str">
        <f>IF($A423="","",IF(COUNTIF($A$2:$A423,$A423)&gt;1,"Duplicate","Unique"))</f>
        <v>Unique</v>
      </c>
      <c r="V423" s="5">
        <f>IF($A423="","",IF(AND($U423="Unique",ISNUMBER($P423)),1,0))</f>
        <v>1</v>
      </c>
      <c r="W423" s="5" t="str">
        <f>IF($A423="","",IF(OR($H423=0,$H423=6),"Weekend","Weekday"))</f>
        <v>Weekday</v>
      </c>
      <c r="X423" s="5" t="str">
        <f>IF($A423="","",TEXT($B423,"ddd"))</f>
        <v>Wed</v>
      </c>
      <c r="Y423" s="5" t="str">
        <f>IF($A423="","",TEXT($B423,"mmm"))</f>
        <v>Jan</v>
      </c>
      <c r="Z423" s="5" t="str">
        <f>IF($A423="","",IFERROR(VLOOKUP($C423,Lookups!$D$4:$E$7,2,FALSE),"Unknown"))</f>
        <v>Winter</v>
      </c>
      <c r="AA423" s="5" t="str">
        <f>IF($A423="","",IFERROR(VLOOKUP($I423,Lookups!$A$4:$B$7,2,FALSE),"Unknown"))</f>
        <v>Clear</v>
      </c>
      <c r="AB423" s="5" t="str">
        <f>IF($A423="","",TEXT($F423,"00")&amp;":00")</f>
        <v>14:00</v>
      </c>
      <c r="AC423" s="5" t="str">
        <f>IF($A423="","",VLOOKUP($F423,Lookups!$G$4:$H$8,2,TRUE))</f>
        <v>Midday (10-15)</v>
      </c>
      <c r="AD423" s="18">
        <f>IF($A423="","",IF($J423="","",ROUND($J423*41,1)))</f>
        <v>16.4</v>
      </c>
      <c r="AE423" s="18">
        <f>IF($A423="","",IF($R423="","",ROUND($R423*50,1)))</f>
        <v>20.5</v>
      </c>
      <c r="AF423" s="5">
        <f>IF($A423="","",IF($L423="","",ROUND($L423*100,0)))</f>
        <v>58</v>
      </c>
      <c r="AG423" s="18">
        <f>IF($A423="","",IF($M423="","",ROUND($M423*67,1)))</f>
        <v>17</v>
      </c>
      <c r="AH423" s="19">
        <f>IF($A423="","",IF($P423="","",IF($P423=0,0,$O423/$P423)))</f>
        <v>0.906666666666667</v>
      </c>
      <c r="AI423" s="5" t="str">
        <f>IF($A423="","",IF($P423="","",IF($P423&gt;=Lookups!$K$7,"High",IF($P423&lt;=Lookups!$K$8,"Low","Medium"))))</f>
        <v>Medium</v>
      </c>
      <c r="AJ423" s="5" t="str">
        <f>IF($A423="","",IF($AD423="","",IF($AD423&lt;5,"Under 5 C",IF($AD423&lt;10,"5-10 C",IF($AD423&lt;15,"10-15 C","15 C and above")))))</f>
        <v>15 C and above</v>
      </c>
      <c r="AK423" s="5">
        <f>IF($A423="","",IF($P423="","",$P423^2))</f>
        <v>5625</v>
      </c>
      <c r="AL423" s="18">
        <f>IF($V423&lt;&gt;1,"",AVERAGEIFS(Clean_Data!$P$2:$P$1001,Clean_Data!$F$2:$F$1001,$F423,Clean_Data!$W$2:$W$1001,$W423,Clean_Data!$V$2:$V$1001,1))</f>
        <v>60.551724137931</v>
      </c>
      <c r="AM423" s="16">
        <f>IF($V423&lt;&gt;1,"",IFERROR(($P423-$AL423)/SQRT(MAX(0,(SUMIFS(Clean_Data!$AK$2:$AK$1001,Clean_Data!$F$2:$F$1001,$F423,Clean_Data!$W$2:$W$1001,$W423,Clean_Data!$V$2:$V$1001,1)-COUNTIFS(Clean_Data!$F$2:$F$1001,$F423,Clean_Data!$W$2:$W$1001,$W423,Clean_Data!$V$2:$V$1001,1)*$AL423^2)/(COUNTIFS(Clean_Data!$F$2:$F$1001,$F423,Clean_Data!$W$2:$W$1001,$W423,Clean_Data!$V$2:$V$1001,1)-1))),""))</f>
        <v>0.878297114615024</v>
      </c>
      <c r="AN423" s="5" t="str">
        <f>IF($AM423="","",IF($AM423&gt;=Lookups!$K$6,"High spike",IF($AM423&lt;=-Lookups!$K$6,"Unusual low","Normal")))</f>
        <v>Normal</v>
      </c>
      <c r="AO423" s="20">
        <f>IF($V423&lt;&gt;1,"",$P423+ROW()/100000)</f>
        <v>75.00423</v>
      </c>
      <c r="AP423" s="5">
        <f>IF($A423="","",IFERROR(MATCH($A423,Raw_D1!$A$2:$A$1001,0),""))</f>
        <v>422</v>
      </c>
      <c r="AQ423" s="5">
        <f>IF($A423="","",IFERROR(MATCH($A423,Raw_D2!$B$2:$B$1001,0),""))</f>
        <v>422</v>
      </c>
      <c r="AR423" s="5">
        <f>IF($A423="","",IFERROR(MATCH($A423,Raw_D3!$A$2:$A$1001,0),""))</f>
        <v/>
      </c>
    </row>
    <row r="424" spans="1:44" x14ac:dyDescent="0.25">
      <c r="A424" s="5">
        <v>423</v>
      </c>
      <c r="B424" s="11">
        <f>IF($A424="","",IF($AP424&lt;&gt;"",INDEX(Raw_D1!$B$2:$B$1001,$AP424),IF($AR424&lt;&gt;"",INDEX(Raw_D3!$B$2:$B$1001,$AR424),"")))</f>
        <v>40562.0</v>
      </c>
      <c r="C424" s="5">
        <f>IF($A424="","",IF($AP424&lt;&gt;"",INDEX(Raw_D1!$C$2:$C$1001,$AP424),IF($AR424&lt;&gt;"",INDEX(Raw_D3!$C$2:$C$1001,$AR424),"")))</f>
        <v>1</v>
      </c>
      <c r="D424" s="5">
        <f>IF($A424="","",IF($AP424&lt;&gt;"",INDEX(Raw_D1!$D$2:$D$1001,$AP424),IF($AR424&lt;&gt;"",INDEX(Raw_D3!$D$2:$D$1001,$AR424),"")))</f>
        <v>0</v>
      </c>
      <c r="E424" s="5">
        <f>IF($A424="","",IF($AP424&lt;&gt;"",INDEX(Raw_D1!$E$2:$E$1001,$AP424),IF($AR424&lt;&gt;"",INDEX(Raw_D3!$E$2:$E$1001,$AR424),"")))</f>
        <v>1</v>
      </c>
      <c r="F424" s="5">
        <f>IF($A424="","",IF($AP424&lt;&gt;"",INDEX(Raw_D1!$F$2:$F$1001,$AP424),IF($AR424&lt;&gt;"",INDEX(Raw_D3!$F$2:$F$1001,$AR424),"")))</f>
        <v>15</v>
      </c>
      <c r="G424" s="5">
        <f>IF($A424="","",IF($AP424&lt;&gt;"",IF(INDEX(Raw_D1!$G$2:$G$1001,$AP424),1,0),IF($AR424&lt;&gt;"",IF(INDEX(Raw_D3!$G$2:$G$1001,$AR424),1,0),"")))</f>
        <v>0</v>
      </c>
      <c r="H424" s="5">
        <f>IF($A424="","",IF($AP424&lt;&gt;"",INDEX(Raw_D1!$H$2:$H$1001,$AP424),IF($AR424&lt;&gt;"",INDEX(Raw_D3!$H$2:$H$1001,$AR424),"")))</f>
        <v>3</v>
      </c>
      <c r="I424" s="5">
        <f>IF($A424="","",IF($AP424&lt;&gt;"",INDEX(Raw_D1!$I$2:$I$1001,$AP424),IF($AR424&lt;&gt;"",INDEX(Raw_D3!$I$2:$I$1001,$AR424),"")))</f>
        <v>1</v>
      </c>
      <c r="J424" s="16">
        <f>IF($A424="","",IF($AP424&lt;&gt;"",INDEX(Raw_D1!$J$2:$J$1001,$AP424),IF($AR424&lt;&gt;"",INDEX(Raw_D3!$J$2:$J$1001,$AR424),"")))</f>
        <v>0.4</v>
      </c>
      <c r="K424" s="17">
        <f>IF($A424="","",IF($AQ424&lt;&gt;"",IF(INDEX(Raw_D2!$C$2:$C$1001,$AQ424)="","",INDEX(Raw_D2!$C$2:$C$1001,$AQ424)),IF($AR424&lt;&gt;"",IF(INDEX(Raw_D3!$K$2:$K$1001,$AR424)="","",INDEX(Raw_D3!$K$2:$K$1001,$AR424)),"")))</f>
        <v>0.4091</v>
      </c>
      <c r="L424" s="16">
        <f>IF($A424="","",IF($AQ424&lt;&gt;"",IF(INDEX(Raw_D2!$D$2:$D$1001,$AQ424)="","",INDEX(Raw_D2!$D$2:$D$1001,$AQ424)),IF($AR424&lt;&gt;"",IF(INDEX(Raw_D3!$L$2:$L$1001,$AR424)="","",INDEX(Raw_D3!$L$2:$L$1001,$AR424)),"")))</f>
        <v>0.54</v>
      </c>
      <c r="M424" s="17">
        <f>IF($A424="","",IF($AQ424&lt;&gt;"",IF(INDEX(Raw_D2!$E$2:$E$1001,$AQ424)="","",INDEX(Raw_D2!$E$2:$E$1001,$AQ424)),IF($AR424&lt;&gt;"",IF(INDEX(Raw_D3!$M$2:$M$1001,$AR424)="","",INDEX(Raw_D3!$M$2:$M$1001,$AR424)),"")))</f>
        <v>0.2836</v>
      </c>
      <c r="N424" s="5">
        <f>IF($A424="","",IF($AQ424&lt;&gt;"",IF(INDEX(Raw_D2!$F$2:$F$1001,$AQ424)="","",INDEX(Raw_D2!$F$2:$F$1001,$AQ424)),IF($AR424&lt;&gt;"",IF(INDEX(Raw_D3!$N$2:$N$1001,$AR424)="","",INDEX(Raw_D3!$N$2:$N$1001,$AR424)),"")))</f>
        <v>4</v>
      </c>
      <c r="O424" s="5">
        <f>IF($A424="","",IF($AQ424&lt;&gt;"",IF(INDEX(Raw_D2!$G$2:$G$1001,$AQ424)="","",INDEX(Raw_D2!$G$2:$G$1001,$AQ424)),IF($AR424&lt;&gt;"",IF(INDEX(Raw_D3!$O$2:$O$1001,$AR424)="","",INDEX(Raw_D3!$O$2:$O$1001,$AR424)),"")))</f>
        <v>78</v>
      </c>
      <c r="P424" s="5">
        <f>IF($A424="","",IF($AQ424&lt;&gt;"",IF(INDEX(Raw_D2!$H$2:$H$1001,$AQ424)="","",INDEX(Raw_D2!$H$2:$H$1001,$AQ424)),IF($AR424&lt;&gt;"",IF(INDEX(Raw_D3!$P$2:$P$1001,$AR424)="","",INDEX(Raw_D3!$P$2:$P$1001,$AR424)),"")))</f>
        <v>82</v>
      </c>
      <c r="Q424" s="5" t="str">
        <f>IF($A424="","",IF(AND($AP424&lt;&gt;"",$AQ424&lt;&gt;""),"D1+D2",IF($AR424&lt;&gt;"","D3","Incomplete")))</f>
        <v>D1+D2</v>
      </c>
      <c r="R424" s="17">
        <f>IF($A424="","",IF($K424="",IF($J424="","",ROUND(Lookups!$K$5+Lookups!$K$4*$J424,4)),$K424))</f>
        <v>0.4091</v>
      </c>
      <c r="S424" s="5" t="str">
        <f>IF($A424="","",IF($K424="","Imputed","Original"))</f>
        <v>Original</v>
      </c>
      <c r="T424" s="5" t="str">
        <f>IF($A424="","",IF($P424="","Missing",IF($P424=$N424+$O424,"OK","Mismatch")))</f>
        <v>OK</v>
      </c>
      <c r="U424" s="5" t="str">
        <f>IF($A424="","",IF(COUNTIF($A$2:$A424,$A424)&gt;1,"Duplicate","Unique"))</f>
        <v>Unique</v>
      </c>
      <c r="V424" s="5">
        <f>IF($A424="","",IF(AND($U424="Unique",ISNUMBER($P424)),1,0))</f>
        <v>1</v>
      </c>
      <c r="W424" s="5" t="str">
        <f>IF($A424="","",IF(OR($H424=0,$H424=6),"Weekend","Weekday"))</f>
        <v>Weekday</v>
      </c>
      <c r="X424" s="5" t="str">
        <f>IF($A424="","",TEXT($B424,"ddd"))</f>
        <v>Wed</v>
      </c>
      <c r="Y424" s="5" t="str">
        <f>IF($A424="","",TEXT($B424,"mmm"))</f>
        <v>Jan</v>
      </c>
      <c r="Z424" s="5" t="str">
        <f>IF($A424="","",IFERROR(VLOOKUP($C424,Lookups!$D$4:$E$7,2,FALSE),"Unknown"))</f>
        <v>Winter</v>
      </c>
      <c r="AA424" s="5" t="str">
        <f>IF($A424="","",IFERROR(VLOOKUP($I424,Lookups!$A$4:$B$7,2,FALSE),"Unknown"))</f>
        <v>Clear</v>
      </c>
      <c r="AB424" s="5" t="str">
        <f>IF($A424="","",TEXT($F424,"00")&amp;":00")</f>
        <v>15:00</v>
      </c>
      <c r="AC424" s="5" t="str">
        <f>IF($A424="","",VLOOKUP($F424,Lookups!$G$4:$H$8,2,TRUE))</f>
        <v>Midday (10-15)</v>
      </c>
      <c r="AD424" s="18">
        <f>IF($A424="","",IF($J424="","",ROUND($J424*41,1)))</f>
        <v>16.4</v>
      </c>
      <c r="AE424" s="18">
        <f>IF($A424="","",IF($R424="","",ROUND($R424*50,1)))</f>
        <v>20.5</v>
      </c>
      <c r="AF424" s="5">
        <f>IF($A424="","",IF($L424="","",ROUND($L424*100,0)))</f>
        <v>54</v>
      </c>
      <c r="AG424" s="18">
        <f>IF($A424="","",IF($M424="","",ROUND($M424*67,1)))</f>
        <v>19</v>
      </c>
      <c r="AH424" s="19">
        <f>IF($A424="","",IF($P424="","",IF($P424=0,0,$O424/$P424)))</f>
        <v>0.951219512195122</v>
      </c>
      <c r="AI424" s="5" t="str">
        <f>IF($A424="","",IF($P424="","",IF($P424&gt;=Lookups!$K$7,"High",IF($P424&lt;=Lookups!$K$8,"Low","Medium"))))</f>
        <v>Medium</v>
      </c>
      <c r="AJ424" s="5" t="str">
        <f>IF($A424="","",IF($AD424="","",IF($AD424&lt;5,"Under 5 C",IF($AD424&lt;10,"5-10 C",IF($AD424&lt;15,"10-15 C","15 C and above")))))</f>
        <v>15 C and above</v>
      </c>
      <c r="AK424" s="5">
        <f>IF($A424="","",IF($P424="","",$P424^2))</f>
        <v>6724</v>
      </c>
      <c r="AL424" s="18">
        <f>IF($V424&lt;&gt;1,"",AVERAGEIFS(Clean_Data!$P$2:$P$1001,Clean_Data!$F$2:$F$1001,$F424,Clean_Data!$W$2:$W$1001,$W424,Clean_Data!$V$2:$V$1001,1))</f>
        <v>61.4827586206897</v>
      </c>
      <c r="AM424" s="16">
        <f>IF($V424&lt;&gt;1,"",IFERROR(($P424-$AL424)/SQRT(MAX(0,(SUMIFS(Clean_Data!$AK$2:$AK$1001,Clean_Data!$F$2:$F$1001,$F424,Clean_Data!$W$2:$W$1001,$W424,Clean_Data!$V$2:$V$1001,1)-COUNTIFS(Clean_Data!$F$2:$F$1001,$F424,Clean_Data!$W$2:$W$1001,$W424,Clean_Data!$V$2:$V$1001,1)*$AL424^2)/(COUNTIFS(Clean_Data!$F$2:$F$1001,$F424,Clean_Data!$W$2:$W$1001,$W424,Clean_Data!$V$2:$V$1001,1)-1))),""))</f>
        <v>1.36100206641713</v>
      </c>
      <c r="AN424" s="5" t="str">
        <f>IF($AM424="","",IF($AM424&gt;=Lookups!$K$6,"High spike",IF($AM424&lt;=-Lookups!$K$6,"Unusual low","Normal")))</f>
        <v>Normal</v>
      </c>
      <c r="AO424" s="20">
        <f>IF($V424&lt;&gt;1,"",$P424+ROW()/100000)</f>
        <v>82.00424</v>
      </c>
      <c r="AP424" s="5">
        <f>IF($A424="","",IFERROR(MATCH($A424,Raw_D1!$A$2:$A$1001,0),""))</f>
        <v>423</v>
      </c>
      <c r="AQ424" s="5">
        <f>IF($A424="","",IFERROR(MATCH($A424,Raw_D2!$B$2:$B$1001,0),""))</f>
        <v>423</v>
      </c>
      <c r="AR424" s="5">
        <f>IF($A424="","",IFERROR(MATCH($A424,Raw_D3!$A$2:$A$1001,0),""))</f>
        <v/>
      </c>
    </row>
    <row r="425" spans="1:44" x14ac:dyDescent="0.25">
      <c r="A425" s="5">
        <v>424</v>
      </c>
      <c r="B425" s="11">
        <f>IF($A425="","",IF($AP425&lt;&gt;"",INDEX(Raw_D1!$B$2:$B$1001,$AP425),IF($AR425&lt;&gt;"",INDEX(Raw_D3!$B$2:$B$1001,$AR425),"")))</f>
        <v>40562.0</v>
      </c>
      <c r="C425" s="5">
        <f>IF($A425="","",IF($AP425&lt;&gt;"",INDEX(Raw_D1!$C$2:$C$1001,$AP425),IF($AR425&lt;&gt;"",INDEX(Raw_D3!$C$2:$C$1001,$AR425),"")))</f>
        <v>1</v>
      </c>
      <c r="D425" s="5">
        <f>IF($A425="","",IF($AP425&lt;&gt;"",INDEX(Raw_D1!$D$2:$D$1001,$AP425),IF($AR425&lt;&gt;"",INDEX(Raw_D3!$D$2:$D$1001,$AR425),"")))</f>
        <v>0</v>
      </c>
      <c r="E425" s="5">
        <f>IF($A425="","",IF($AP425&lt;&gt;"",INDEX(Raw_D1!$E$2:$E$1001,$AP425),IF($AR425&lt;&gt;"",INDEX(Raw_D3!$E$2:$E$1001,$AR425),"")))</f>
        <v>1</v>
      </c>
      <c r="F425" s="5">
        <f>IF($A425="","",IF($AP425&lt;&gt;"",INDEX(Raw_D1!$F$2:$F$1001,$AP425),IF($AR425&lt;&gt;"",INDEX(Raw_D3!$F$2:$F$1001,$AR425),"")))</f>
        <v>16</v>
      </c>
      <c r="G425" s="5">
        <f>IF($A425="","",IF($AP425&lt;&gt;"",IF(INDEX(Raw_D1!$G$2:$G$1001,$AP425),1,0),IF($AR425&lt;&gt;"",IF(INDEX(Raw_D3!$G$2:$G$1001,$AR425),1,0),"")))</f>
        <v>0</v>
      </c>
      <c r="H425" s="5">
        <f>IF($A425="","",IF($AP425&lt;&gt;"",INDEX(Raw_D1!$H$2:$H$1001,$AP425),IF($AR425&lt;&gt;"",INDEX(Raw_D3!$H$2:$H$1001,$AR425),"")))</f>
        <v>3</v>
      </c>
      <c r="I425" s="5">
        <f>IF($A425="","",IF($AP425&lt;&gt;"",INDEX(Raw_D1!$I$2:$I$1001,$AP425),IF($AR425&lt;&gt;"",INDEX(Raw_D3!$I$2:$I$1001,$AR425),"")))</f>
        <v>1</v>
      </c>
      <c r="J425" s="16">
        <f>IF($A425="","",IF($AP425&lt;&gt;"",INDEX(Raw_D1!$J$2:$J$1001,$AP425),IF($AR425&lt;&gt;"",INDEX(Raw_D3!$J$2:$J$1001,$AR425),"")))</f>
        <v>0.38</v>
      </c>
      <c r="K425" s="17">
        <f>IF($A425="","",IF($AQ425&lt;&gt;"",IF(INDEX(Raw_D2!$C$2:$C$1001,$AQ425)="","",INDEX(Raw_D2!$C$2:$C$1001,$AQ425)),IF($AR425&lt;&gt;"",IF(INDEX(Raw_D3!$K$2:$K$1001,$AR425)="","",INDEX(Raw_D3!$K$2:$K$1001,$AR425)),"")))</f>
        <v>0.3939</v>
      </c>
      <c r="L425" s="16">
        <f>IF($A425="","",IF($AQ425&lt;&gt;"",IF(INDEX(Raw_D2!$D$2:$D$1001,$AQ425)="","",INDEX(Raw_D2!$D$2:$D$1001,$AQ425)),IF($AR425&lt;&gt;"",IF(INDEX(Raw_D3!$L$2:$L$1001,$AR425)="","",INDEX(Raw_D3!$L$2:$L$1001,$AR425)),"")))</f>
        <v>0.58</v>
      </c>
      <c r="M425" s="17">
        <f>IF($A425="","",IF($AQ425&lt;&gt;"",IF(INDEX(Raw_D2!$E$2:$E$1001,$AQ425)="","",INDEX(Raw_D2!$E$2:$E$1001,$AQ425)),IF($AR425&lt;&gt;"",IF(INDEX(Raw_D3!$M$2:$M$1001,$AR425)="","",INDEX(Raw_D3!$M$2:$M$1001,$AR425)),"")))</f>
        <v>0.3881</v>
      </c>
      <c r="N425" s="5">
        <f>IF($A425="","",IF($AQ425&lt;&gt;"",IF(INDEX(Raw_D2!$F$2:$F$1001,$AQ425)="","",INDEX(Raw_D2!$F$2:$F$1001,$AQ425)),IF($AR425&lt;&gt;"",IF(INDEX(Raw_D3!$N$2:$N$1001,$AR425)="","",INDEX(Raw_D3!$N$2:$N$1001,$AR425)),"")))</f>
        <v>10</v>
      </c>
      <c r="O425" s="5">
        <f>IF($A425="","",IF($AQ425&lt;&gt;"",IF(INDEX(Raw_D2!$G$2:$G$1001,$AQ425)="","",INDEX(Raw_D2!$G$2:$G$1001,$AQ425)),IF($AR425&lt;&gt;"",IF(INDEX(Raw_D3!$O$2:$O$1001,$AR425)="","",INDEX(Raw_D3!$O$2:$O$1001,$AR425)),"")))</f>
        <v>94</v>
      </c>
      <c r="P425" s="5">
        <f>IF($A425="","",IF($AQ425&lt;&gt;"",IF(INDEX(Raw_D2!$H$2:$H$1001,$AQ425)="","",INDEX(Raw_D2!$H$2:$H$1001,$AQ425)),IF($AR425&lt;&gt;"",IF(INDEX(Raw_D3!$P$2:$P$1001,$AR425)="","",INDEX(Raw_D3!$P$2:$P$1001,$AR425)),"")))</f>
        <v>104</v>
      </c>
      <c r="Q425" s="5" t="str">
        <f>IF($A425="","",IF(AND($AP425&lt;&gt;"",$AQ425&lt;&gt;""),"D1+D2",IF($AR425&lt;&gt;"","D3","Incomplete")))</f>
        <v>D1+D2</v>
      </c>
      <c r="R425" s="17">
        <f>IF($A425="","",IF($K425="",IF($J425="","",ROUND(Lookups!$K$5+Lookups!$K$4*$J425,4)),$K425))</f>
        <v>0.3939</v>
      </c>
      <c r="S425" s="5" t="str">
        <f>IF($A425="","",IF($K425="","Imputed","Original"))</f>
        <v>Original</v>
      </c>
      <c r="T425" s="5" t="str">
        <f>IF($A425="","",IF($P425="","Missing",IF($P425=$N425+$O425,"OK","Mismatch")))</f>
        <v>OK</v>
      </c>
      <c r="U425" s="5" t="str">
        <f>IF($A425="","",IF(COUNTIF($A$2:$A425,$A425)&gt;1,"Duplicate","Unique"))</f>
        <v>Unique</v>
      </c>
      <c r="V425" s="5">
        <f>IF($A425="","",IF(AND($U425="Unique",ISNUMBER($P425)),1,0))</f>
        <v>1</v>
      </c>
      <c r="W425" s="5" t="str">
        <f>IF($A425="","",IF(OR($H425=0,$H425=6),"Weekend","Weekday"))</f>
        <v>Weekday</v>
      </c>
      <c r="X425" s="5" t="str">
        <f>IF($A425="","",TEXT($B425,"ddd"))</f>
        <v>Wed</v>
      </c>
      <c r="Y425" s="5" t="str">
        <f>IF($A425="","",TEXT($B425,"mmm"))</f>
        <v>Jan</v>
      </c>
      <c r="Z425" s="5" t="str">
        <f>IF($A425="","",IFERROR(VLOOKUP($C425,Lookups!$D$4:$E$7,2,FALSE),"Unknown"))</f>
        <v>Winter</v>
      </c>
      <c r="AA425" s="5" t="str">
        <f>IF($A425="","",IFERROR(VLOOKUP($I425,Lookups!$A$4:$B$7,2,FALSE),"Unknown"))</f>
        <v>Clear</v>
      </c>
      <c r="AB425" s="5" t="str">
        <f>IF($A425="","",TEXT($F425,"00")&amp;":00")</f>
        <v>16:00</v>
      </c>
      <c r="AC425" s="5" t="str">
        <f>IF($A425="","",VLOOKUP($F425,Lookups!$G$4:$H$8,2,TRUE))</f>
        <v>Evening Peak (16-19)</v>
      </c>
      <c r="AD425" s="18">
        <f>IF($A425="","",IF($J425="","",ROUND($J425*41,1)))</f>
        <v>15.6</v>
      </c>
      <c r="AE425" s="18">
        <f>IF($A425="","",IF($R425="","",ROUND($R425*50,1)))</f>
        <v>19.7</v>
      </c>
      <c r="AF425" s="5">
        <f>IF($A425="","",IF($L425="","",ROUND($L425*100,0)))</f>
        <v>58</v>
      </c>
      <c r="AG425" s="18">
        <f>IF($A425="","",IF($M425="","",ROUND($M425*67,1)))</f>
        <v>26</v>
      </c>
      <c r="AH425" s="19">
        <f>IF($A425="","",IF($P425="","",IF($P425=0,0,$O425/$P425)))</f>
        <v>0.903846153846154</v>
      </c>
      <c r="AI425" s="5" t="str">
        <f>IF($A425="","",IF($P425="","",IF($P425&gt;=Lookups!$K$7,"High",IF($P425&lt;=Lookups!$K$8,"Low","Medium"))))</f>
        <v>High</v>
      </c>
      <c r="AJ425" s="5" t="str">
        <f>IF($A425="","",IF($AD425="","",IF($AD425&lt;5,"Under 5 C",IF($AD425&lt;10,"5-10 C",IF($AD425&lt;15,"10-15 C","15 C and above")))))</f>
        <v>15 C and above</v>
      </c>
      <c r="AK425" s="5">
        <f>IF($A425="","",IF($P425="","",$P425^2))</f>
        <v>10816</v>
      </c>
      <c r="AL425" s="18">
        <f>IF($V425&lt;&gt;1,"",AVERAGEIFS(Clean_Data!$P$2:$P$1001,Clean_Data!$F$2:$F$1001,$F425,Clean_Data!$W$2:$W$1001,$W425,Clean_Data!$V$2:$V$1001,1))</f>
        <v>82.6333333333333</v>
      </c>
      <c r="AM425" s="16">
        <f>IF($V425&lt;&gt;1,"",IFERROR(($P425-$AL425)/SQRT(MAX(0,(SUMIFS(Clean_Data!$AK$2:$AK$1001,Clean_Data!$F$2:$F$1001,$F425,Clean_Data!$W$2:$W$1001,$W425,Clean_Data!$V$2:$V$1001,1)-COUNTIFS(Clean_Data!$F$2:$F$1001,$F425,Clean_Data!$W$2:$W$1001,$W425,Clean_Data!$V$2:$V$1001,1)*$AL425^2)/(COUNTIFS(Clean_Data!$F$2:$F$1001,$F425,Clean_Data!$W$2:$W$1001,$W425,Clean_Data!$V$2:$V$1001,1)-1))),""))</f>
        <v>1.03002190661818</v>
      </c>
      <c r="AN425" s="5" t="str">
        <f>IF($AM425="","",IF($AM425&gt;=Lookups!$K$6,"High spike",IF($AM425&lt;=-Lookups!$K$6,"Unusual low","Normal")))</f>
        <v>Normal</v>
      </c>
      <c r="AO425" s="20">
        <f>IF($V425&lt;&gt;1,"",$P425+ROW()/100000)</f>
        <v>104.00425</v>
      </c>
      <c r="AP425" s="5">
        <f>IF($A425="","",IFERROR(MATCH($A425,Raw_D1!$A$2:$A$1001,0),""))</f>
        <v>424</v>
      </c>
      <c r="AQ425" s="5">
        <f>IF($A425="","",IFERROR(MATCH($A425,Raw_D2!$B$2:$B$1001,0),""))</f>
        <v>424</v>
      </c>
      <c r="AR425" s="5">
        <f>IF($A425="","",IFERROR(MATCH($A425,Raw_D3!$A$2:$A$1001,0),""))</f>
        <v/>
      </c>
    </row>
    <row r="426" spans="1:44" x14ac:dyDescent="0.25">
      <c r="A426" s="5">
        <v>425</v>
      </c>
      <c r="B426" s="11">
        <f>IF($A426="","",IF($AP426&lt;&gt;"",INDEX(Raw_D1!$B$2:$B$1001,$AP426),IF($AR426&lt;&gt;"",INDEX(Raw_D3!$B$2:$B$1001,$AR426),"")))</f>
        <v>40562.0</v>
      </c>
      <c r="C426" s="5">
        <f>IF($A426="","",IF($AP426&lt;&gt;"",INDEX(Raw_D1!$C$2:$C$1001,$AP426),IF($AR426&lt;&gt;"",INDEX(Raw_D3!$C$2:$C$1001,$AR426),"")))</f>
        <v>1</v>
      </c>
      <c r="D426" s="5">
        <f>IF($A426="","",IF($AP426&lt;&gt;"",INDEX(Raw_D1!$D$2:$D$1001,$AP426),IF($AR426&lt;&gt;"",INDEX(Raw_D3!$D$2:$D$1001,$AR426),"")))</f>
        <v>0</v>
      </c>
      <c r="E426" s="5">
        <f>IF($A426="","",IF($AP426&lt;&gt;"",INDEX(Raw_D1!$E$2:$E$1001,$AP426),IF($AR426&lt;&gt;"",INDEX(Raw_D3!$E$2:$E$1001,$AR426),"")))</f>
        <v>1</v>
      </c>
      <c r="F426" s="5">
        <f>IF($A426="","",IF($AP426&lt;&gt;"",INDEX(Raw_D1!$F$2:$F$1001,$AP426),IF($AR426&lt;&gt;"",INDEX(Raw_D3!$F$2:$F$1001,$AR426),"")))</f>
        <v>17</v>
      </c>
      <c r="G426" s="5">
        <f>IF($A426="","",IF($AP426&lt;&gt;"",IF(INDEX(Raw_D1!$G$2:$G$1001,$AP426),1,0),IF($AR426&lt;&gt;"",IF(INDEX(Raw_D3!$G$2:$G$1001,$AR426),1,0),"")))</f>
        <v>0</v>
      </c>
      <c r="H426" s="5">
        <f>IF($A426="","",IF($AP426&lt;&gt;"",INDEX(Raw_D1!$H$2:$H$1001,$AP426),IF($AR426&lt;&gt;"",INDEX(Raw_D3!$H$2:$H$1001,$AR426),"")))</f>
        <v>3</v>
      </c>
      <c r="I426" s="5">
        <f>IF($A426="","",IF($AP426&lt;&gt;"",INDEX(Raw_D1!$I$2:$I$1001,$AP426),IF($AR426&lt;&gt;"",INDEX(Raw_D3!$I$2:$I$1001,$AR426),"")))</f>
        <v>1</v>
      </c>
      <c r="J426" s="16">
        <f>IF($A426="","",IF($AP426&lt;&gt;"",INDEX(Raw_D1!$J$2:$J$1001,$AP426),IF($AR426&lt;&gt;"",INDEX(Raw_D3!$J$2:$J$1001,$AR426),"")))</f>
        <v>0.36</v>
      </c>
      <c r="K426" s="17">
        <f>IF($A426="","",IF($AQ426&lt;&gt;"",IF(INDEX(Raw_D2!$C$2:$C$1001,$AQ426)="","",INDEX(Raw_D2!$C$2:$C$1001,$AQ426)),IF($AR426&lt;&gt;"",IF(INDEX(Raw_D3!$K$2:$K$1001,$AR426)="","",INDEX(Raw_D3!$K$2:$K$1001,$AR426)),"")))</f>
        <v>0.3333</v>
      </c>
      <c r="L426" s="16">
        <f>IF($A426="","",IF($AQ426&lt;&gt;"",IF(INDEX(Raw_D2!$D$2:$D$1001,$AQ426)="","",INDEX(Raw_D2!$D$2:$D$1001,$AQ426)),IF($AR426&lt;&gt;"",IF(INDEX(Raw_D3!$L$2:$L$1001,$AR426)="","",INDEX(Raw_D3!$L$2:$L$1001,$AR426)),"")))</f>
        <v>0.57</v>
      </c>
      <c r="M426" s="17">
        <f>IF($A426="","",IF($AQ426&lt;&gt;"",IF(INDEX(Raw_D2!$E$2:$E$1001,$AQ426)="","",INDEX(Raw_D2!$E$2:$E$1001,$AQ426)),IF($AR426&lt;&gt;"",IF(INDEX(Raw_D3!$M$2:$M$1001,$AR426)="","",INDEX(Raw_D3!$M$2:$M$1001,$AR426)),"")))</f>
        <v>0.3284</v>
      </c>
      <c r="N426" s="5">
        <f>IF($A426="","",IF($AQ426&lt;&gt;"",IF(INDEX(Raw_D2!$F$2:$F$1001,$AQ426)="","",INDEX(Raw_D2!$F$2:$F$1001,$AQ426)),IF($AR426&lt;&gt;"",IF(INDEX(Raw_D3!$N$2:$N$1001,$AR426)="","",INDEX(Raw_D3!$N$2:$N$1001,$AR426)),"")))</f>
        <v>7</v>
      </c>
      <c r="O426" s="5">
        <f>IF($A426="","",IF($AQ426&lt;&gt;"",IF(INDEX(Raw_D2!$G$2:$G$1001,$AQ426)="","",INDEX(Raw_D2!$G$2:$G$1001,$AQ426)),IF($AR426&lt;&gt;"",IF(INDEX(Raw_D3!$O$2:$O$1001,$AR426)="","",INDEX(Raw_D3!$O$2:$O$1001,$AR426)),"")))</f>
        <v>190</v>
      </c>
      <c r="P426" s="5">
        <f>IF($A426="","",IF($AQ426&lt;&gt;"",IF(INDEX(Raw_D2!$H$2:$H$1001,$AQ426)="","",INDEX(Raw_D2!$H$2:$H$1001,$AQ426)),IF($AR426&lt;&gt;"",IF(INDEX(Raw_D3!$P$2:$P$1001,$AR426)="","",INDEX(Raw_D3!$P$2:$P$1001,$AR426)),"")))</f>
        <v>197</v>
      </c>
      <c r="Q426" s="5" t="str">
        <f>IF($A426="","",IF(AND($AP426&lt;&gt;"",$AQ426&lt;&gt;""),"D1+D2",IF($AR426&lt;&gt;"","D3","Incomplete")))</f>
        <v>D1+D2</v>
      </c>
      <c r="R426" s="17">
        <f>IF($A426="","",IF($K426="",IF($J426="","",ROUND(Lookups!$K$5+Lookups!$K$4*$J426,4)),$K426))</f>
        <v>0.3333</v>
      </c>
      <c r="S426" s="5" t="str">
        <f>IF($A426="","",IF($K426="","Imputed","Original"))</f>
        <v>Original</v>
      </c>
      <c r="T426" s="5" t="str">
        <f>IF($A426="","",IF($P426="","Missing",IF($P426=$N426+$O426,"OK","Mismatch")))</f>
        <v>OK</v>
      </c>
      <c r="U426" s="5" t="str">
        <f>IF($A426="","",IF(COUNTIF($A$2:$A426,$A426)&gt;1,"Duplicate","Unique"))</f>
        <v>Unique</v>
      </c>
      <c r="V426" s="5">
        <f>IF($A426="","",IF(AND($U426="Unique",ISNUMBER($P426)),1,0))</f>
        <v>1</v>
      </c>
      <c r="W426" s="5" t="str">
        <f>IF($A426="","",IF(OR($H426=0,$H426=6),"Weekend","Weekday"))</f>
        <v>Weekday</v>
      </c>
      <c r="X426" s="5" t="str">
        <f>IF($A426="","",TEXT($B426,"ddd"))</f>
        <v>Wed</v>
      </c>
      <c r="Y426" s="5" t="str">
        <f>IF($A426="","",TEXT($B426,"mmm"))</f>
        <v>Jan</v>
      </c>
      <c r="Z426" s="5" t="str">
        <f>IF($A426="","",IFERROR(VLOOKUP($C426,Lookups!$D$4:$E$7,2,FALSE),"Unknown"))</f>
        <v>Winter</v>
      </c>
      <c r="AA426" s="5" t="str">
        <f>IF($A426="","",IFERROR(VLOOKUP($I426,Lookups!$A$4:$B$7,2,FALSE),"Unknown"))</f>
        <v>Clear</v>
      </c>
      <c r="AB426" s="5" t="str">
        <f>IF($A426="","",TEXT($F426,"00")&amp;":00")</f>
        <v>17:00</v>
      </c>
      <c r="AC426" s="5" t="str">
        <f>IF($A426="","",VLOOKUP($F426,Lookups!$G$4:$H$8,2,TRUE))</f>
        <v>Evening Peak (16-19)</v>
      </c>
      <c r="AD426" s="18">
        <f>IF($A426="","",IF($J426="","",ROUND($J426*41,1)))</f>
        <v>14.8</v>
      </c>
      <c r="AE426" s="18">
        <f>IF($A426="","",IF($R426="","",ROUND($R426*50,1)))</f>
        <v>16.7</v>
      </c>
      <c r="AF426" s="5">
        <f>IF($A426="","",IF($L426="","",ROUND($L426*100,0)))</f>
        <v>57</v>
      </c>
      <c r="AG426" s="18">
        <f>IF($A426="","",IF($M426="","",ROUND($M426*67,1)))</f>
        <v>22</v>
      </c>
      <c r="AH426" s="19">
        <f>IF($A426="","",IF($P426="","",IF($P426=0,0,$O426/$P426)))</f>
        <v>0.964467005076142</v>
      </c>
      <c r="AI426" s="5" t="str">
        <f>IF($A426="","",IF($P426="","",IF($P426&gt;=Lookups!$K$7,"High",IF($P426&lt;=Lookups!$K$8,"Low","Medium"))))</f>
        <v>High</v>
      </c>
      <c r="AJ426" s="5" t="str">
        <f>IF($A426="","",IF($AD426="","",IF($AD426&lt;5,"Under 5 C",IF($AD426&lt;10,"5-10 C",IF($AD426&lt;15,"10-15 C","15 C and above")))))</f>
        <v>10-15 C</v>
      </c>
      <c r="AK426" s="5">
        <f>IF($A426="","",IF($P426="","",$P426^2))</f>
        <v>38809</v>
      </c>
      <c r="AL426" s="18">
        <f>IF($V426&lt;&gt;1,"",AVERAGEIFS(Clean_Data!$P$2:$P$1001,Clean_Data!$F$2:$F$1001,$F426,Clean_Data!$W$2:$W$1001,$W426,Clean_Data!$V$2:$V$1001,1))</f>
        <v>165.566666666667</v>
      </c>
      <c r="AM426" s="16">
        <f>IF($V426&lt;&gt;1,"",IFERROR(($P426-$AL426)/SQRT(MAX(0,(SUMIFS(Clean_Data!$AK$2:$AK$1001,Clean_Data!$F$2:$F$1001,$F426,Clean_Data!$W$2:$W$1001,$W426,Clean_Data!$V$2:$V$1001,1)-COUNTIFS(Clean_Data!$F$2:$F$1001,$F426,Clean_Data!$W$2:$W$1001,$W426,Clean_Data!$V$2:$V$1001,1)*$AL426^2)/(COUNTIFS(Clean_Data!$F$2:$F$1001,$F426,Clean_Data!$W$2:$W$1001,$W426,Clean_Data!$V$2:$V$1001,1)-1))),""))</f>
        <v>0.714181749980199</v>
      </c>
      <c r="AN426" s="5" t="str">
        <f>IF($AM426="","",IF($AM426&gt;=Lookups!$K$6,"High spike",IF($AM426&lt;=-Lookups!$K$6,"Unusual low","Normal")))</f>
        <v>Normal</v>
      </c>
      <c r="AO426" s="20">
        <f>IF($V426&lt;&gt;1,"",$P426+ROW()/100000)</f>
        <v>197.00426</v>
      </c>
      <c r="AP426" s="5">
        <f>IF($A426="","",IFERROR(MATCH($A426,Raw_D1!$A$2:$A$1001,0),""))</f>
        <v>425</v>
      </c>
      <c r="AQ426" s="5">
        <f>IF($A426="","",IFERROR(MATCH($A426,Raw_D2!$B$2:$B$1001,0),""))</f>
        <v>425</v>
      </c>
      <c r="AR426" s="5">
        <f>IF($A426="","",IFERROR(MATCH($A426,Raw_D3!$A$2:$A$1001,0),""))</f>
        <v/>
      </c>
    </row>
    <row r="427" spans="1:44" x14ac:dyDescent="0.25">
      <c r="A427" s="5">
        <v>426</v>
      </c>
      <c r="B427" s="11">
        <f>IF($A427="","",IF($AP427&lt;&gt;"",INDEX(Raw_D1!$B$2:$B$1001,$AP427),IF($AR427&lt;&gt;"",INDEX(Raw_D3!$B$2:$B$1001,$AR427),"")))</f>
        <v>40562.0</v>
      </c>
      <c r="C427" s="5">
        <f>IF($A427="","",IF($AP427&lt;&gt;"",INDEX(Raw_D1!$C$2:$C$1001,$AP427),IF($AR427&lt;&gt;"",INDEX(Raw_D3!$C$2:$C$1001,$AR427),"")))</f>
        <v>1</v>
      </c>
      <c r="D427" s="5">
        <f>IF($A427="","",IF($AP427&lt;&gt;"",INDEX(Raw_D1!$D$2:$D$1001,$AP427),IF($AR427&lt;&gt;"",INDEX(Raw_D3!$D$2:$D$1001,$AR427),"")))</f>
        <v>0</v>
      </c>
      <c r="E427" s="5">
        <f>IF($A427="","",IF($AP427&lt;&gt;"",INDEX(Raw_D1!$E$2:$E$1001,$AP427),IF($AR427&lt;&gt;"",INDEX(Raw_D3!$E$2:$E$1001,$AR427),"")))</f>
        <v>1</v>
      </c>
      <c r="F427" s="5">
        <f>IF($A427="","",IF($AP427&lt;&gt;"",INDEX(Raw_D1!$F$2:$F$1001,$AP427),IF($AR427&lt;&gt;"",INDEX(Raw_D3!$F$2:$F$1001,$AR427),"")))</f>
        <v>18</v>
      </c>
      <c r="G427" s="5">
        <f>IF($A427="","",IF($AP427&lt;&gt;"",IF(INDEX(Raw_D1!$G$2:$G$1001,$AP427),1,0),IF($AR427&lt;&gt;"",IF(INDEX(Raw_D3!$G$2:$G$1001,$AR427),1,0),"")))</f>
        <v>0</v>
      </c>
      <c r="H427" s="5">
        <f>IF($A427="","",IF($AP427&lt;&gt;"",INDEX(Raw_D1!$H$2:$H$1001,$AP427),IF($AR427&lt;&gt;"",INDEX(Raw_D3!$H$2:$H$1001,$AR427),"")))</f>
        <v>3</v>
      </c>
      <c r="I427" s="5">
        <f>IF($A427="","",IF($AP427&lt;&gt;"",INDEX(Raw_D1!$I$2:$I$1001,$AP427),IF($AR427&lt;&gt;"",INDEX(Raw_D3!$I$2:$I$1001,$AR427),"")))</f>
        <v>1</v>
      </c>
      <c r="J427" s="16">
        <f>IF($A427="","",IF($AP427&lt;&gt;"",INDEX(Raw_D1!$J$2:$J$1001,$AP427),IF($AR427&lt;&gt;"",INDEX(Raw_D3!$J$2:$J$1001,$AR427),"")))</f>
        <v>0.34</v>
      </c>
      <c r="K427" s="17">
        <f>IF($A427="","",IF($AQ427&lt;&gt;"",IF(INDEX(Raw_D2!$C$2:$C$1001,$AQ427)="","",INDEX(Raw_D2!$C$2:$C$1001,$AQ427)),IF($AR427&lt;&gt;"",IF(INDEX(Raw_D3!$K$2:$K$1001,$AR427)="","",INDEX(Raw_D3!$K$2:$K$1001,$AR427)),"")))</f>
        <v>0.3182</v>
      </c>
      <c r="L427" s="16">
        <f>IF($A427="","",IF($AQ427&lt;&gt;"",IF(INDEX(Raw_D2!$D$2:$D$1001,$AQ427)="","",INDEX(Raw_D2!$D$2:$D$1001,$AQ427)),IF($AR427&lt;&gt;"",IF(INDEX(Raw_D3!$L$2:$L$1001,$AR427)="","",INDEX(Raw_D3!$L$2:$L$1001,$AR427)),"")))</f>
        <v>0.61</v>
      </c>
      <c r="M427" s="17">
        <f>IF($A427="","",IF($AQ427&lt;&gt;"",IF(INDEX(Raw_D2!$E$2:$E$1001,$AQ427)="","",INDEX(Raw_D2!$E$2:$E$1001,$AQ427)),IF($AR427&lt;&gt;"",IF(INDEX(Raw_D3!$M$2:$M$1001,$AR427)="","",INDEX(Raw_D3!$M$2:$M$1001,$AR427)),"")))</f>
        <v>0.2836</v>
      </c>
      <c r="N427" s="5">
        <f>IF($A427="","",IF($AQ427&lt;&gt;"",IF(INDEX(Raw_D2!$F$2:$F$1001,$AQ427)="","",INDEX(Raw_D2!$F$2:$F$1001,$AQ427)),IF($AR427&lt;&gt;"",IF(INDEX(Raw_D3!$N$2:$N$1001,$AR427)="","",INDEX(Raw_D3!$N$2:$N$1001,$AR427)),"")))</f>
        <v>5</v>
      </c>
      <c r="O427" s="5">
        <f>IF($A427="","",IF($AQ427&lt;&gt;"",IF(INDEX(Raw_D2!$G$2:$G$1001,$AQ427)="","",INDEX(Raw_D2!$G$2:$G$1001,$AQ427)),IF($AR427&lt;&gt;"",IF(INDEX(Raw_D3!$O$2:$O$1001,$AR427)="","",INDEX(Raw_D3!$O$2:$O$1001,$AR427)),"")))</f>
        <v>156</v>
      </c>
      <c r="P427" s="5">
        <f>IF($A427="","",IF($AQ427&lt;&gt;"",IF(INDEX(Raw_D2!$H$2:$H$1001,$AQ427)="","",INDEX(Raw_D2!$H$2:$H$1001,$AQ427)),IF($AR427&lt;&gt;"",IF(INDEX(Raw_D3!$P$2:$P$1001,$AR427)="","",INDEX(Raw_D3!$P$2:$P$1001,$AR427)),"")))</f>
        <v>161</v>
      </c>
      <c r="Q427" s="5" t="str">
        <f>IF($A427="","",IF(AND($AP427&lt;&gt;"",$AQ427&lt;&gt;""),"D1+D2",IF($AR427&lt;&gt;"","D3","Incomplete")))</f>
        <v>D1+D2</v>
      </c>
      <c r="R427" s="17">
        <f>IF($A427="","",IF($K427="",IF($J427="","",ROUND(Lookups!$K$5+Lookups!$K$4*$J427,4)),$K427))</f>
        <v>0.3182</v>
      </c>
      <c r="S427" s="5" t="str">
        <f>IF($A427="","",IF($K427="","Imputed","Original"))</f>
        <v>Original</v>
      </c>
      <c r="T427" s="5" t="str">
        <f>IF($A427="","",IF($P427="","Missing",IF($P427=$N427+$O427,"OK","Mismatch")))</f>
        <v>OK</v>
      </c>
      <c r="U427" s="5" t="str">
        <f>IF($A427="","",IF(COUNTIF($A$2:$A427,$A427)&gt;1,"Duplicate","Unique"))</f>
        <v>Unique</v>
      </c>
      <c r="V427" s="5">
        <f>IF($A427="","",IF(AND($U427="Unique",ISNUMBER($P427)),1,0))</f>
        <v>1</v>
      </c>
      <c r="W427" s="5" t="str">
        <f>IF($A427="","",IF(OR($H427=0,$H427=6),"Weekend","Weekday"))</f>
        <v>Weekday</v>
      </c>
      <c r="X427" s="5" t="str">
        <f>IF($A427="","",TEXT($B427,"ddd"))</f>
        <v>Wed</v>
      </c>
      <c r="Y427" s="5" t="str">
        <f>IF($A427="","",TEXT($B427,"mmm"))</f>
        <v>Jan</v>
      </c>
      <c r="Z427" s="5" t="str">
        <f>IF($A427="","",IFERROR(VLOOKUP($C427,Lookups!$D$4:$E$7,2,FALSE),"Unknown"))</f>
        <v>Winter</v>
      </c>
      <c r="AA427" s="5" t="str">
        <f>IF($A427="","",IFERROR(VLOOKUP($I427,Lookups!$A$4:$B$7,2,FALSE),"Unknown"))</f>
        <v>Clear</v>
      </c>
      <c r="AB427" s="5" t="str">
        <f>IF($A427="","",TEXT($F427,"00")&amp;":00")</f>
        <v>18:00</v>
      </c>
      <c r="AC427" s="5" t="str">
        <f>IF($A427="","",VLOOKUP($F427,Lookups!$G$4:$H$8,2,TRUE))</f>
        <v>Evening Peak (16-19)</v>
      </c>
      <c r="AD427" s="18">
        <f>IF($A427="","",IF($J427="","",ROUND($J427*41,1)))</f>
        <v>13.9</v>
      </c>
      <c r="AE427" s="18">
        <f>IF($A427="","",IF($R427="","",ROUND($R427*50,1)))</f>
        <v>15.9</v>
      </c>
      <c r="AF427" s="5">
        <f>IF($A427="","",IF($L427="","",ROUND($L427*100,0)))</f>
        <v>61</v>
      </c>
      <c r="AG427" s="18">
        <f>IF($A427="","",IF($M427="","",ROUND($M427*67,1)))</f>
        <v>19</v>
      </c>
      <c r="AH427" s="19">
        <f>IF($A427="","",IF($P427="","",IF($P427=0,0,$O427/$P427)))</f>
        <v>0.968944099378882</v>
      </c>
      <c r="AI427" s="5" t="str">
        <f>IF($A427="","",IF($P427="","",IF($P427&gt;=Lookups!$K$7,"High",IF($P427&lt;=Lookups!$K$8,"Low","Medium"))))</f>
        <v>High</v>
      </c>
      <c r="AJ427" s="5" t="str">
        <f>IF($A427="","",IF($AD427="","",IF($AD427&lt;5,"Under 5 C",IF($AD427&lt;10,"5-10 C",IF($AD427&lt;15,"10-15 C","15 C and above")))))</f>
        <v>10-15 C</v>
      </c>
      <c r="AK427" s="5">
        <f>IF($A427="","",IF($P427="","",$P427^2))</f>
        <v>25921</v>
      </c>
      <c r="AL427" s="18">
        <f>IF($V427&lt;&gt;1,"",AVERAGEIFS(Clean_Data!$P$2:$P$1001,Clean_Data!$F$2:$F$1001,$F427,Clean_Data!$W$2:$W$1001,$W427,Clean_Data!$V$2:$V$1001,1))</f>
        <v>151.206896551724</v>
      </c>
      <c r="AM427" s="16">
        <f>IF($V427&lt;&gt;1,"",IFERROR(($P427-$AL427)/SQRT(MAX(0,(SUMIFS(Clean_Data!$AK$2:$AK$1001,Clean_Data!$F$2:$F$1001,$F427,Clean_Data!$W$2:$W$1001,$W427,Clean_Data!$V$2:$V$1001,1)-COUNTIFS(Clean_Data!$F$2:$F$1001,$F427,Clean_Data!$W$2:$W$1001,$W427,Clean_Data!$V$2:$V$1001,1)*$AL427^2)/(COUNTIFS(Clean_Data!$F$2:$F$1001,$F427,Clean_Data!$W$2:$W$1001,$W427,Clean_Data!$V$2:$V$1001,1)-1))),""))</f>
        <v>0.33367362710634</v>
      </c>
      <c r="AN427" s="5" t="str">
        <f>IF($AM427="","",IF($AM427&gt;=Lookups!$K$6,"High spike",IF($AM427&lt;=-Lookups!$K$6,"Unusual low","Normal")))</f>
        <v>Normal</v>
      </c>
      <c r="AO427" s="20">
        <f>IF($V427&lt;&gt;1,"",$P427+ROW()/100000)</f>
        <v>161.00427</v>
      </c>
      <c r="AP427" s="5">
        <f>IF($A427="","",IFERROR(MATCH($A427,Raw_D1!$A$2:$A$1001,0),""))</f>
        <v>426</v>
      </c>
      <c r="AQ427" s="5">
        <f>IF($A427="","",IFERROR(MATCH($A427,Raw_D2!$B$2:$B$1001,0),""))</f>
        <v>426</v>
      </c>
      <c r="AR427" s="5">
        <f>IF($A427="","",IFERROR(MATCH($A427,Raw_D3!$A$2:$A$1001,0),""))</f>
        <v/>
      </c>
    </row>
    <row r="428" spans="1:44" x14ac:dyDescent="0.25">
      <c r="A428" s="5">
        <v>427</v>
      </c>
      <c r="B428" s="11">
        <f>IF($A428="","",IF($AP428&lt;&gt;"",INDEX(Raw_D1!$B$2:$B$1001,$AP428),IF($AR428&lt;&gt;"",INDEX(Raw_D3!$B$2:$B$1001,$AR428),"")))</f>
        <v>40562.0</v>
      </c>
      <c r="C428" s="5">
        <f>IF($A428="","",IF($AP428&lt;&gt;"",INDEX(Raw_D1!$C$2:$C$1001,$AP428),IF($AR428&lt;&gt;"",INDEX(Raw_D3!$C$2:$C$1001,$AR428),"")))</f>
        <v>1</v>
      </c>
      <c r="D428" s="5">
        <f>IF($A428="","",IF($AP428&lt;&gt;"",INDEX(Raw_D1!$D$2:$D$1001,$AP428),IF($AR428&lt;&gt;"",INDEX(Raw_D3!$D$2:$D$1001,$AR428),"")))</f>
        <v>0</v>
      </c>
      <c r="E428" s="5">
        <f>IF($A428="","",IF($AP428&lt;&gt;"",INDEX(Raw_D1!$E$2:$E$1001,$AP428),IF($AR428&lt;&gt;"",INDEX(Raw_D3!$E$2:$E$1001,$AR428),"")))</f>
        <v>1</v>
      </c>
      <c r="F428" s="5">
        <f>IF($A428="","",IF($AP428&lt;&gt;"",INDEX(Raw_D1!$F$2:$F$1001,$AP428),IF($AR428&lt;&gt;"",INDEX(Raw_D3!$F$2:$F$1001,$AR428),"")))</f>
        <v>19</v>
      </c>
      <c r="G428" s="5">
        <f>IF($A428="","",IF($AP428&lt;&gt;"",IF(INDEX(Raw_D1!$G$2:$G$1001,$AP428),1,0),IF($AR428&lt;&gt;"",IF(INDEX(Raw_D3!$G$2:$G$1001,$AR428),1,0),"")))</f>
        <v>0</v>
      </c>
      <c r="H428" s="5">
        <f>IF($A428="","",IF($AP428&lt;&gt;"",INDEX(Raw_D1!$H$2:$H$1001,$AP428),IF($AR428&lt;&gt;"",INDEX(Raw_D3!$H$2:$H$1001,$AR428),"")))</f>
        <v>3</v>
      </c>
      <c r="I428" s="5">
        <f>IF($A428="","",IF($AP428&lt;&gt;"",INDEX(Raw_D1!$I$2:$I$1001,$AP428),IF($AR428&lt;&gt;"",INDEX(Raw_D3!$I$2:$I$1001,$AR428),"")))</f>
        <v>1</v>
      </c>
      <c r="J428" s="16">
        <f>IF($A428="","",IF($AP428&lt;&gt;"",INDEX(Raw_D1!$J$2:$J$1001,$AP428),IF($AR428&lt;&gt;"",INDEX(Raw_D3!$J$2:$J$1001,$AR428),"")))</f>
        <v>0.32</v>
      </c>
      <c r="K428" s="17">
        <f>IF($A428="","",IF($AQ428&lt;&gt;"",IF(INDEX(Raw_D2!$C$2:$C$1001,$AQ428)="","",INDEX(Raw_D2!$C$2:$C$1001,$AQ428)),IF($AR428&lt;&gt;"",IF(INDEX(Raw_D3!$K$2:$K$1001,$AR428)="","",INDEX(Raw_D3!$K$2:$K$1001,$AR428)),"")))</f>
        <v>0.2879</v>
      </c>
      <c r="L428" s="16">
        <f>IF($A428="","",IF($AQ428&lt;&gt;"",IF(INDEX(Raw_D2!$D$2:$D$1001,$AQ428)="","",INDEX(Raw_D2!$D$2:$D$1001,$AQ428)),IF($AR428&lt;&gt;"",IF(INDEX(Raw_D3!$L$2:$L$1001,$AR428)="","",INDEX(Raw_D3!$L$2:$L$1001,$AR428)),"")))</f>
        <v>0.57</v>
      </c>
      <c r="M428" s="17">
        <f>IF($A428="","",IF($AQ428&lt;&gt;"",IF(INDEX(Raw_D2!$E$2:$E$1001,$AQ428)="","",INDEX(Raw_D2!$E$2:$E$1001,$AQ428)),IF($AR428&lt;&gt;"",IF(INDEX(Raw_D3!$M$2:$M$1001,$AR428)="","",INDEX(Raw_D3!$M$2:$M$1001,$AR428)),"")))</f>
        <v>0.4179</v>
      </c>
      <c r="N428" s="5">
        <f>IF($A428="","",IF($AQ428&lt;&gt;"",IF(INDEX(Raw_D2!$F$2:$F$1001,$AQ428)="","",INDEX(Raw_D2!$F$2:$F$1001,$AQ428)),IF($AR428&lt;&gt;"",IF(INDEX(Raw_D3!$N$2:$N$1001,$AR428)="","",INDEX(Raw_D3!$N$2:$N$1001,$AR428)),"")))</f>
        <v>4</v>
      </c>
      <c r="O428" s="5">
        <f>IF($A428="","",IF($AQ428&lt;&gt;"",IF(INDEX(Raw_D2!$G$2:$G$1001,$AQ428)="","",INDEX(Raw_D2!$G$2:$G$1001,$AQ428)),IF($AR428&lt;&gt;"",IF(INDEX(Raw_D3!$O$2:$O$1001,$AR428)="","",INDEX(Raw_D3!$O$2:$O$1001,$AR428)),"")))</f>
        <v>108</v>
      </c>
      <c r="P428" s="5">
        <f>IF($A428="","",IF($AQ428&lt;&gt;"",IF(INDEX(Raw_D2!$H$2:$H$1001,$AQ428)="","",INDEX(Raw_D2!$H$2:$H$1001,$AQ428)),IF($AR428&lt;&gt;"",IF(INDEX(Raw_D3!$P$2:$P$1001,$AR428)="","",INDEX(Raw_D3!$P$2:$P$1001,$AR428)),"")))</f>
        <v>112</v>
      </c>
      <c r="Q428" s="5" t="str">
        <f>IF($A428="","",IF(AND($AP428&lt;&gt;"",$AQ428&lt;&gt;""),"D1+D2",IF($AR428&lt;&gt;"","D3","Incomplete")))</f>
        <v>D1+D2</v>
      </c>
      <c r="R428" s="17">
        <f>IF($A428="","",IF($K428="",IF($J428="","",ROUND(Lookups!$K$5+Lookups!$K$4*$J428,4)),$K428))</f>
        <v>0.2879</v>
      </c>
      <c r="S428" s="5" t="str">
        <f>IF($A428="","",IF($K428="","Imputed","Original"))</f>
        <v>Original</v>
      </c>
      <c r="T428" s="5" t="str">
        <f>IF($A428="","",IF($P428="","Missing",IF($P428=$N428+$O428,"OK","Mismatch")))</f>
        <v>OK</v>
      </c>
      <c r="U428" s="5" t="str">
        <f>IF($A428="","",IF(COUNTIF($A$2:$A428,$A428)&gt;1,"Duplicate","Unique"))</f>
        <v>Unique</v>
      </c>
      <c r="V428" s="5">
        <f>IF($A428="","",IF(AND($U428="Unique",ISNUMBER($P428)),1,0))</f>
        <v>1</v>
      </c>
      <c r="W428" s="5" t="str">
        <f>IF($A428="","",IF(OR($H428=0,$H428=6),"Weekend","Weekday"))</f>
        <v>Weekday</v>
      </c>
      <c r="X428" s="5" t="str">
        <f>IF($A428="","",TEXT($B428,"ddd"))</f>
        <v>Wed</v>
      </c>
      <c r="Y428" s="5" t="str">
        <f>IF($A428="","",TEXT($B428,"mmm"))</f>
        <v>Jan</v>
      </c>
      <c r="Z428" s="5" t="str">
        <f>IF($A428="","",IFERROR(VLOOKUP($C428,Lookups!$D$4:$E$7,2,FALSE),"Unknown"))</f>
        <v>Winter</v>
      </c>
      <c r="AA428" s="5" t="str">
        <f>IF($A428="","",IFERROR(VLOOKUP($I428,Lookups!$A$4:$B$7,2,FALSE),"Unknown"))</f>
        <v>Clear</v>
      </c>
      <c r="AB428" s="5" t="str">
        <f>IF($A428="","",TEXT($F428,"00")&amp;":00")</f>
        <v>19:00</v>
      </c>
      <c r="AC428" s="5" t="str">
        <f>IF($A428="","",VLOOKUP($F428,Lookups!$G$4:$H$8,2,TRUE))</f>
        <v>Evening Peak (16-19)</v>
      </c>
      <c r="AD428" s="18">
        <f>IF($A428="","",IF($J428="","",ROUND($J428*41,1)))</f>
        <v>13.1</v>
      </c>
      <c r="AE428" s="18">
        <f>IF($A428="","",IF($R428="","",ROUND($R428*50,1)))</f>
        <v>14.4</v>
      </c>
      <c r="AF428" s="5">
        <f>IF($A428="","",IF($L428="","",ROUND($L428*100,0)))</f>
        <v>57</v>
      </c>
      <c r="AG428" s="18">
        <f>IF($A428="","",IF($M428="","",ROUND($M428*67,1)))</f>
        <v>28</v>
      </c>
      <c r="AH428" s="19">
        <f>IF($A428="","",IF($P428="","",IF($P428=0,0,$O428/$P428)))</f>
        <v>0.964285714285714</v>
      </c>
      <c r="AI428" s="5" t="str">
        <f>IF($A428="","",IF($P428="","",IF($P428&gt;=Lookups!$K$7,"High",IF($P428&lt;=Lookups!$K$8,"Low","Medium"))))</f>
        <v>High</v>
      </c>
      <c r="AJ428" s="5" t="str">
        <f>IF($A428="","",IF($AD428="","",IF($AD428&lt;5,"Under 5 C",IF($AD428&lt;10,"5-10 C",IF($AD428&lt;15,"10-15 C","15 C and above")))))</f>
        <v>10-15 C</v>
      </c>
      <c r="AK428" s="5">
        <f>IF($A428="","",IF($P428="","",$P428^2))</f>
        <v>12544</v>
      </c>
      <c r="AL428" s="18">
        <f>IF($V428&lt;&gt;1,"",AVERAGEIFS(Clean_Data!$P$2:$P$1001,Clean_Data!$F$2:$F$1001,$F428,Clean_Data!$W$2:$W$1001,$W428,Clean_Data!$V$2:$V$1001,1))</f>
        <v>102.034482758621</v>
      </c>
      <c r="AM428" s="16">
        <f>IF($V428&lt;&gt;1,"",IFERROR(($P428-$AL428)/SQRT(MAX(0,(SUMIFS(Clean_Data!$AK$2:$AK$1001,Clean_Data!$F$2:$F$1001,$F428,Clean_Data!$W$2:$W$1001,$W428,Clean_Data!$V$2:$V$1001,1)-COUNTIFS(Clean_Data!$F$2:$F$1001,$F428,Clean_Data!$W$2:$W$1001,$W428,Clean_Data!$V$2:$V$1001,1)*$AL428^2)/(COUNTIFS(Clean_Data!$F$2:$F$1001,$F428,Clean_Data!$W$2:$W$1001,$W428,Clean_Data!$V$2:$V$1001,1)-1))),""))</f>
        <v>0.469017164977196</v>
      </c>
      <c r="AN428" s="5" t="str">
        <f>IF($AM428="","",IF($AM428&gt;=Lookups!$K$6,"High spike",IF($AM428&lt;=-Lookups!$K$6,"Unusual low","Normal")))</f>
        <v>Normal</v>
      </c>
      <c r="AO428" s="20">
        <f>IF($V428&lt;&gt;1,"",$P428+ROW()/100000)</f>
        <v>112.00428</v>
      </c>
      <c r="AP428" s="5">
        <f>IF($A428="","",IFERROR(MATCH($A428,Raw_D1!$A$2:$A$1001,0),""))</f>
        <v>427</v>
      </c>
      <c r="AQ428" s="5">
        <f>IF($A428="","",IFERROR(MATCH($A428,Raw_D2!$B$2:$B$1001,0),""))</f>
        <v>427</v>
      </c>
      <c r="AR428" s="5">
        <f>IF($A428="","",IFERROR(MATCH($A428,Raw_D3!$A$2:$A$1001,0),""))</f>
        <v/>
      </c>
    </row>
    <row r="429" spans="1:44" x14ac:dyDescent="0.25">
      <c r="A429" s="5">
        <v>428</v>
      </c>
      <c r="B429" s="11">
        <f>IF($A429="","",IF($AP429&lt;&gt;"",INDEX(Raw_D1!$B$2:$B$1001,$AP429),IF($AR429&lt;&gt;"",INDEX(Raw_D3!$B$2:$B$1001,$AR429),"")))</f>
        <v>40562.0</v>
      </c>
      <c r="C429" s="5">
        <f>IF($A429="","",IF($AP429&lt;&gt;"",INDEX(Raw_D1!$C$2:$C$1001,$AP429),IF($AR429&lt;&gt;"",INDEX(Raw_D3!$C$2:$C$1001,$AR429),"")))</f>
        <v>1</v>
      </c>
      <c r="D429" s="5">
        <f>IF($A429="","",IF($AP429&lt;&gt;"",INDEX(Raw_D1!$D$2:$D$1001,$AP429),IF($AR429&lt;&gt;"",INDEX(Raw_D3!$D$2:$D$1001,$AR429),"")))</f>
        <v>0</v>
      </c>
      <c r="E429" s="5">
        <f>IF($A429="","",IF($AP429&lt;&gt;"",INDEX(Raw_D1!$E$2:$E$1001,$AP429),IF($AR429&lt;&gt;"",INDEX(Raw_D3!$E$2:$E$1001,$AR429),"")))</f>
        <v>1</v>
      </c>
      <c r="F429" s="5">
        <f>IF($A429="","",IF($AP429&lt;&gt;"",INDEX(Raw_D1!$F$2:$F$1001,$AP429),IF($AR429&lt;&gt;"",INDEX(Raw_D3!$F$2:$F$1001,$AR429),"")))</f>
        <v>20</v>
      </c>
      <c r="G429" s="5">
        <f>IF($A429="","",IF($AP429&lt;&gt;"",IF(INDEX(Raw_D1!$G$2:$G$1001,$AP429),1,0),IF($AR429&lt;&gt;"",IF(INDEX(Raw_D3!$G$2:$G$1001,$AR429),1,0),"")))</f>
        <v>0</v>
      </c>
      <c r="H429" s="5">
        <f>IF($A429="","",IF($AP429&lt;&gt;"",INDEX(Raw_D1!$H$2:$H$1001,$AP429),IF($AR429&lt;&gt;"",INDEX(Raw_D3!$H$2:$H$1001,$AR429),"")))</f>
        <v>3</v>
      </c>
      <c r="I429" s="5">
        <f>IF($A429="","",IF($AP429&lt;&gt;"",INDEX(Raw_D1!$I$2:$I$1001,$AP429),IF($AR429&lt;&gt;"",INDEX(Raw_D3!$I$2:$I$1001,$AR429),"")))</f>
        <v>1</v>
      </c>
      <c r="J429" s="16">
        <f>IF($A429="","",IF($AP429&lt;&gt;"",INDEX(Raw_D1!$J$2:$J$1001,$AP429),IF($AR429&lt;&gt;"",INDEX(Raw_D3!$J$2:$J$1001,$AR429),"")))</f>
        <v>0.32</v>
      </c>
      <c r="K429" s="17">
        <f>IF($A429="","",IF($AQ429&lt;&gt;"",IF(INDEX(Raw_D2!$C$2:$C$1001,$AQ429)="","",INDEX(Raw_D2!$C$2:$C$1001,$AQ429)),IF($AR429&lt;&gt;"",IF(INDEX(Raw_D3!$K$2:$K$1001,$AR429)="","",INDEX(Raw_D3!$K$2:$K$1001,$AR429)),"")))</f>
        <v>0.303</v>
      </c>
      <c r="L429" s="16">
        <f>IF($A429="","",IF($AQ429&lt;&gt;"",IF(INDEX(Raw_D2!$D$2:$D$1001,$AQ429)="","",INDEX(Raw_D2!$D$2:$D$1001,$AQ429)),IF($AR429&lt;&gt;"",IF(INDEX(Raw_D3!$L$2:$L$1001,$AR429)="","",INDEX(Raw_D3!$L$2:$L$1001,$AR429)),"")))</f>
        <v>0.49</v>
      </c>
      <c r="M429" s="17">
        <f>IF($A429="","",IF($AQ429&lt;&gt;"",IF(INDEX(Raw_D2!$E$2:$E$1001,$AQ429)="","",INDEX(Raw_D2!$E$2:$E$1001,$AQ429)),IF($AR429&lt;&gt;"",IF(INDEX(Raw_D3!$M$2:$M$1001,$AR429)="","",INDEX(Raw_D3!$M$2:$M$1001,$AR429)),"")))</f>
        <v>0.2985</v>
      </c>
      <c r="N429" s="5">
        <f>IF($A429="","",IF($AQ429&lt;&gt;"",IF(INDEX(Raw_D2!$F$2:$F$1001,$AQ429)="","",INDEX(Raw_D2!$F$2:$F$1001,$AQ429)),IF($AR429&lt;&gt;"",IF(INDEX(Raw_D3!$N$2:$N$1001,$AR429)="","",INDEX(Raw_D3!$N$2:$N$1001,$AR429)),"")))</f>
        <v>2</v>
      </c>
      <c r="O429" s="5">
        <f>IF($A429="","",IF($AQ429&lt;&gt;"",IF(INDEX(Raw_D2!$G$2:$G$1001,$AQ429)="","",INDEX(Raw_D2!$G$2:$G$1001,$AQ429)),IF($AR429&lt;&gt;"",IF(INDEX(Raw_D3!$O$2:$O$1001,$AR429)="","",INDEX(Raw_D3!$O$2:$O$1001,$AR429)),"")))</f>
        <v>74</v>
      </c>
      <c r="P429" s="5">
        <f>IF($A429="","",IF($AQ429&lt;&gt;"",IF(INDEX(Raw_D2!$H$2:$H$1001,$AQ429)="","",INDEX(Raw_D2!$H$2:$H$1001,$AQ429)),IF($AR429&lt;&gt;"",IF(INDEX(Raw_D3!$P$2:$P$1001,$AR429)="","",INDEX(Raw_D3!$P$2:$P$1001,$AR429)),"")))</f>
        <v>76</v>
      </c>
      <c r="Q429" s="5" t="str">
        <f>IF($A429="","",IF(AND($AP429&lt;&gt;"",$AQ429&lt;&gt;""),"D1+D2",IF($AR429&lt;&gt;"","D3","Incomplete")))</f>
        <v>D1+D2</v>
      </c>
      <c r="R429" s="17">
        <f>IF($A429="","",IF($K429="",IF($J429="","",ROUND(Lookups!$K$5+Lookups!$K$4*$J429,4)),$K429))</f>
        <v>0.303</v>
      </c>
      <c r="S429" s="5" t="str">
        <f>IF($A429="","",IF($K429="","Imputed","Original"))</f>
        <v>Original</v>
      </c>
      <c r="T429" s="5" t="str">
        <f>IF($A429="","",IF($P429="","Missing",IF($P429=$N429+$O429,"OK","Mismatch")))</f>
        <v>OK</v>
      </c>
      <c r="U429" s="5" t="str">
        <f>IF($A429="","",IF(COUNTIF($A$2:$A429,$A429)&gt;1,"Duplicate","Unique"))</f>
        <v>Unique</v>
      </c>
      <c r="V429" s="5">
        <f>IF($A429="","",IF(AND($U429="Unique",ISNUMBER($P429)),1,0))</f>
        <v>1</v>
      </c>
      <c r="W429" s="5" t="str">
        <f>IF($A429="","",IF(OR($H429=0,$H429=6),"Weekend","Weekday"))</f>
        <v>Weekday</v>
      </c>
      <c r="X429" s="5" t="str">
        <f>IF($A429="","",TEXT($B429,"ddd"))</f>
        <v>Wed</v>
      </c>
      <c r="Y429" s="5" t="str">
        <f>IF($A429="","",TEXT($B429,"mmm"))</f>
        <v>Jan</v>
      </c>
      <c r="Z429" s="5" t="str">
        <f>IF($A429="","",IFERROR(VLOOKUP($C429,Lookups!$D$4:$E$7,2,FALSE),"Unknown"))</f>
        <v>Winter</v>
      </c>
      <c r="AA429" s="5" t="str">
        <f>IF($A429="","",IFERROR(VLOOKUP($I429,Lookups!$A$4:$B$7,2,FALSE),"Unknown"))</f>
        <v>Clear</v>
      </c>
      <c r="AB429" s="5" t="str">
        <f>IF($A429="","",TEXT($F429,"00")&amp;":00")</f>
        <v>20:00</v>
      </c>
      <c r="AC429" s="5" t="str">
        <f>IF($A429="","",VLOOKUP($F429,Lookups!$G$4:$H$8,2,TRUE))</f>
        <v>Late Evening (20-23)</v>
      </c>
      <c r="AD429" s="18">
        <f>IF($A429="","",IF($J429="","",ROUND($J429*41,1)))</f>
        <v>13.1</v>
      </c>
      <c r="AE429" s="18">
        <f>IF($A429="","",IF($R429="","",ROUND($R429*50,1)))</f>
        <v>15.2</v>
      </c>
      <c r="AF429" s="5">
        <f>IF($A429="","",IF($L429="","",ROUND($L429*100,0)))</f>
        <v>49</v>
      </c>
      <c r="AG429" s="18">
        <f>IF($A429="","",IF($M429="","",ROUND($M429*67,1)))</f>
        <v>20</v>
      </c>
      <c r="AH429" s="19">
        <f>IF($A429="","",IF($P429="","",IF($P429=0,0,$O429/$P429)))</f>
        <v>0.973684210526316</v>
      </c>
      <c r="AI429" s="5" t="str">
        <f>IF($A429="","",IF($P429="","",IF($P429&gt;=Lookups!$K$7,"High",IF($P429&lt;=Lookups!$K$8,"Low","Medium"))))</f>
        <v>Medium</v>
      </c>
      <c r="AJ429" s="5" t="str">
        <f>IF($A429="","",IF($AD429="","",IF($AD429&lt;5,"Under 5 C",IF($AD429&lt;10,"5-10 C",IF($AD429&lt;15,"10-15 C","15 C and above")))))</f>
        <v>10-15 C</v>
      </c>
      <c r="AK429" s="5">
        <f>IF($A429="","",IF($P429="","",$P429^2))</f>
        <v>5776</v>
      </c>
      <c r="AL429" s="18">
        <f>IF($V429&lt;&gt;1,"",AVERAGEIFS(Clean_Data!$P$2:$P$1001,Clean_Data!$F$2:$F$1001,$F429,Clean_Data!$W$2:$W$1001,$W429,Clean_Data!$V$2:$V$1001,1))</f>
        <v>72.2758620689655</v>
      </c>
      <c r="AM429" s="16">
        <f>IF($V429&lt;&gt;1,"",IFERROR(($P429-$AL429)/SQRT(MAX(0,(SUMIFS(Clean_Data!$AK$2:$AK$1001,Clean_Data!$F$2:$F$1001,$F429,Clean_Data!$W$2:$W$1001,$W429,Clean_Data!$V$2:$V$1001,1)-COUNTIFS(Clean_Data!$F$2:$F$1001,$F429,Clean_Data!$W$2:$W$1001,$W429,Clean_Data!$V$2:$V$1001,1)*$AL429^2)/(COUNTIFS(Clean_Data!$F$2:$F$1001,$F429,Clean_Data!$W$2:$W$1001,$W429,Clean_Data!$V$2:$V$1001,1)-1))),""))</f>
        <v>0.168511099513287</v>
      </c>
      <c r="AN429" s="5" t="str">
        <f>IF($AM429="","",IF($AM429&gt;=Lookups!$K$6,"High spike",IF($AM429&lt;=-Lookups!$K$6,"Unusual low","Normal")))</f>
        <v>Normal</v>
      </c>
      <c r="AO429" s="20">
        <f>IF($V429&lt;&gt;1,"",$P429+ROW()/100000)</f>
        <v>76.00429</v>
      </c>
      <c r="AP429" s="5">
        <f>IF($A429="","",IFERROR(MATCH($A429,Raw_D1!$A$2:$A$1001,0),""))</f>
        <v>428</v>
      </c>
      <c r="AQ429" s="5">
        <f>IF($A429="","",IFERROR(MATCH($A429,Raw_D2!$B$2:$B$1001,0),""))</f>
        <v>428</v>
      </c>
      <c r="AR429" s="5">
        <f>IF($A429="","",IFERROR(MATCH($A429,Raw_D3!$A$2:$A$1001,0),""))</f>
        <v/>
      </c>
    </row>
    <row r="430" spans="1:44" x14ac:dyDescent="0.25">
      <c r="A430" s="5">
        <v>429</v>
      </c>
      <c r="B430" s="11">
        <f>IF($A430="","",IF($AP430&lt;&gt;"",INDEX(Raw_D1!$B$2:$B$1001,$AP430),IF($AR430&lt;&gt;"",INDEX(Raw_D3!$B$2:$B$1001,$AR430),"")))</f>
        <v>40562.0</v>
      </c>
      <c r="C430" s="5">
        <f>IF($A430="","",IF($AP430&lt;&gt;"",INDEX(Raw_D1!$C$2:$C$1001,$AP430),IF($AR430&lt;&gt;"",INDEX(Raw_D3!$C$2:$C$1001,$AR430),"")))</f>
        <v>1</v>
      </c>
      <c r="D430" s="5">
        <f>IF($A430="","",IF($AP430&lt;&gt;"",INDEX(Raw_D1!$D$2:$D$1001,$AP430),IF($AR430&lt;&gt;"",INDEX(Raw_D3!$D$2:$D$1001,$AR430),"")))</f>
        <v>0</v>
      </c>
      <c r="E430" s="5">
        <f>IF($A430="","",IF($AP430&lt;&gt;"",INDEX(Raw_D1!$E$2:$E$1001,$AP430),IF($AR430&lt;&gt;"",INDEX(Raw_D3!$E$2:$E$1001,$AR430),"")))</f>
        <v>1</v>
      </c>
      <c r="F430" s="5">
        <f>IF($A430="","",IF($AP430&lt;&gt;"",INDEX(Raw_D1!$F$2:$F$1001,$AP430),IF($AR430&lt;&gt;"",INDEX(Raw_D3!$F$2:$F$1001,$AR430),"")))</f>
        <v>21</v>
      </c>
      <c r="G430" s="5">
        <f>IF($A430="","",IF($AP430&lt;&gt;"",IF(INDEX(Raw_D1!$G$2:$G$1001,$AP430),1,0),IF($AR430&lt;&gt;"",IF(INDEX(Raw_D3!$G$2:$G$1001,$AR430),1,0),"")))</f>
        <v>0</v>
      </c>
      <c r="H430" s="5">
        <f>IF($A430="","",IF($AP430&lt;&gt;"",INDEX(Raw_D1!$H$2:$H$1001,$AP430),IF($AR430&lt;&gt;"",INDEX(Raw_D3!$H$2:$H$1001,$AR430),"")))</f>
        <v>3</v>
      </c>
      <c r="I430" s="5">
        <f>IF($A430="","",IF($AP430&lt;&gt;"",INDEX(Raw_D1!$I$2:$I$1001,$AP430),IF($AR430&lt;&gt;"",INDEX(Raw_D3!$I$2:$I$1001,$AR430),"")))</f>
        <v>1</v>
      </c>
      <c r="J430" s="16">
        <f>IF($A430="","",IF($AP430&lt;&gt;"",INDEX(Raw_D1!$J$2:$J$1001,$AP430),IF($AR430&lt;&gt;"",INDEX(Raw_D3!$J$2:$J$1001,$AR430),"")))</f>
        <v>0.32</v>
      </c>
      <c r="K430" s="17">
        <f>IF($A430="","",IF($AQ430&lt;&gt;"",IF(INDEX(Raw_D2!$C$2:$C$1001,$AQ430)="","",INDEX(Raw_D2!$C$2:$C$1001,$AQ430)),IF($AR430&lt;&gt;"",IF(INDEX(Raw_D3!$K$2:$K$1001,$AR430)="","",INDEX(Raw_D3!$K$2:$K$1001,$AR430)),"")))</f>
        <v>0.2879</v>
      </c>
      <c r="L430" s="16">
        <f>IF($A430="","",IF($AQ430&lt;&gt;"",IF(INDEX(Raw_D2!$D$2:$D$1001,$AQ430)="","",INDEX(Raw_D2!$D$2:$D$1001,$AQ430)),IF($AR430&lt;&gt;"",IF(INDEX(Raw_D3!$L$2:$L$1001,$AR430)="","",INDEX(Raw_D3!$L$2:$L$1001,$AR430)),"")))</f>
        <v>0.49</v>
      </c>
      <c r="M430" s="17">
        <f>IF($A430="","",IF($AQ430&lt;&gt;"",IF(INDEX(Raw_D2!$E$2:$E$1001,$AQ430)="","",INDEX(Raw_D2!$E$2:$E$1001,$AQ430)),IF($AR430&lt;&gt;"",IF(INDEX(Raw_D3!$M$2:$M$1001,$AR430)="","",INDEX(Raw_D3!$M$2:$M$1001,$AR430)),"")))</f>
        <v>0.4179</v>
      </c>
      <c r="N430" s="5">
        <f>IF($A430="","",IF($AQ430&lt;&gt;"",IF(INDEX(Raw_D2!$F$2:$F$1001,$AQ430)="","",INDEX(Raw_D2!$F$2:$F$1001,$AQ430)),IF($AR430&lt;&gt;"",IF(INDEX(Raw_D3!$N$2:$N$1001,$AR430)="","",INDEX(Raw_D3!$N$2:$N$1001,$AR430)),"")))</f>
        <v>4</v>
      </c>
      <c r="O430" s="5">
        <f>IF($A430="","",IF($AQ430&lt;&gt;"",IF(INDEX(Raw_D2!$G$2:$G$1001,$AQ430)="","",INDEX(Raw_D2!$G$2:$G$1001,$AQ430)),IF($AR430&lt;&gt;"",IF(INDEX(Raw_D3!$O$2:$O$1001,$AR430)="","",INDEX(Raw_D3!$O$2:$O$1001,$AR430)),"")))</f>
        <v>55</v>
      </c>
      <c r="P430" s="5">
        <f>IF($A430="","",IF($AQ430&lt;&gt;"",IF(INDEX(Raw_D2!$H$2:$H$1001,$AQ430)="","",INDEX(Raw_D2!$H$2:$H$1001,$AQ430)),IF($AR430&lt;&gt;"",IF(INDEX(Raw_D3!$P$2:$P$1001,$AR430)="","",INDEX(Raw_D3!$P$2:$P$1001,$AR430)),"")))</f>
        <v>59</v>
      </c>
      <c r="Q430" s="5" t="str">
        <f>IF($A430="","",IF(AND($AP430&lt;&gt;"",$AQ430&lt;&gt;""),"D1+D2",IF($AR430&lt;&gt;"","D3","Incomplete")))</f>
        <v>D1+D2</v>
      </c>
      <c r="R430" s="17">
        <f>IF($A430="","",IF($K430="",IF($J430="","",ROUND(Lookups!$K$5+Lookups!$K$4*$J430,4)),$K430))</f>
        <v>0.2879</v>
      </c>
      <c r="S430" s="5" t="str">
        <f>IF($A430="","",IF($K430="","Imputed","Original"))</f>
        <v>Original</v>
      </c>
      <c r="T430" s="5" t="str">
        <f>IF($A430="","",IF($P430="","Missing",IF($P430=$N430+$O430,"OK","Mismatch")))</f>
        <v>OK</v>
      </c>
      <c r="U430" s="5" t="str">
        <f>IF($A430="","",IF(COUNTIF($A$2:$A430,$A430)&gt;1,"Duplicate","Unique"))</f>
        <v>Unique</v>
      </c>
      <c r="V430" s="5">
        <f>IF($A430="","",IF(AND($U430="Unique",ISNUMBER($P430)),1,0))</f>
        <v>1</v>
      </c>
      <c r="W430" s="5" t="str">
        <f>IF($A430="","",IF(OR($H430=0,$H430=6),"Weekend","Weekday"))</f>
        <v>Weekday</v>
      </c>
      <c r="X430" s="5" t="str">
        <f>IF($A430="","",TEXT($B430,"ddd"))</f>
        <v>Wed</v>
      </c>
      <c r="Y430" s="5" t="str">
        <f>IF($A430="","",TEXT($B430,"mmm"))</f>
        <v>Jan</v>
      </c>
      <c r="Z430" s="5" t="str">
        <f>IF($A430="","",IFERROR(VLOOKUP($C430,Lookups!$D$4:$E$7,2,FALSE),"Unknown"))</f>
        <v>Winter</v>
      </c>
      <c r="AA430" s="5" t="str">
        <f>IF($A430="","",IFERROR(VLOOKUP($I430,Lookups!$A$4:$B$7,2,FALSE),"Unknown"))</f>
        <v>Clear</v>
      </c>
      <c r="AB430" s="5" t="str">
        <f>IF($A430="","",TEXT($F430,"00")&amp;":00")</f>
        <v>21:00</v>
      </c>
      <c r="AC430" s="5" t="str">
        <f>IF($A430="","",VLOOKUP($F430,Lookups!$G$4:$H$8,2,TRUE))</f>
        <v>Late Evening (20-23)</v>
      </c>
      <c r="AD430" s="18">
        <f>IF($A430="","",IF($J430="","",ROUND($J430*41,1)))</f>
        <v>13.1</v>
      </c>
      <c r="AE430" s="18">
        <f>IF($A430="","",IF($R430="","",ROUND($R430*50,1)))</f>
        <v>14.4</v>
      </c>
      <c r="AF430" s="5">
        <f>IF($A430="","",IF($L430="","",ROUND($L430*100,0)))</f>
        <v>49</v>
      </c>
      <c r="AG430" s="18">
        <f>IF($A430="","",IF($M430="","",ROUND($M430*67,1)))</f>
        <v>28</v>
      </c>
      <c r="AH430" s="19">
        <f>IF($A430="","",IF($P430="","",IF($P430=0,0,$O430/$P430)))</f>
        <v>0.932203389830508</v>
      </c>
      <c r="AI430" s="5" t="str">
        <f>IF($A430="","",IF($P430="","",IF($P430&gt;=Lookups!$K$7,"High",IF($P430&lt;=Lookups!$K$8,"Low","Medium"))))</f>
        <v>Medium</v>
      </c>
      <c r="AJ430" s="5" t="str">
        <f>IF($A430="","",IF($AD430="","",IF($AD430&lt;5,"Under 5 C",IF($AD430&lt;10,"5-10 C",IF($AD430&lt;15,"10-15 C","15 C and above")))))</f>
        <v>10-15 C</v>
      </c>
      <c r="AK430" s="5">
        <f>IF($A430="","",IF($P430="","",$P430^2))</f>
        <v>3481</v>
      </c>
      <c r="AL430" s="18">
        <f>IF($V430&lt;&gt;1,"",AVERAGEIFS(Clean_Data!$P$2:$P$1001,Clean_Data!$F$2:$F$1001,$F430,Clean_Data!$W$2:$W$1001,$W430,Clean_Data!$V$2:$V$1001,1))</f>
        <v>50.8965517241379</v>
      </c>
      <c r="AM430" s="16">
        <f>IF($V430&lt;&gt;1,"",IFERROR(($P430-$AL430)/SQRT(MAX(0,(SUMIFS(Clean_Data!$AK$2:$AK$1001,Clean_Data!$F$2:$F$1001,$F430,Clean_Data!$W$2:$W$1001,$W430,Clean_Data!$V$2:$V$1001,1)-COUNTIFS(Clean_Data!$F$2:$F$1001,$F430,Clean_Data!$W$2:$W$1001,$W430,Clean_Data!$V$2:$V$1001,1)*$AL430^2)/(COUNTIFS(Clean_Data!$F$2:$F$1001,$F430,Clean_Data!$W$2:$W$1001,$W430,Clean_Data!$V$2:$V$1001,1)-1))),""))</f>
        <v>0.586855990726295</v>
      </c>
      <c r="AN430" s="5" t="str">
        <f>IF($AM430="","",IF($AM430&gt;=Lookups!$K$6,"High spike",IF($AM430&lt;=-Lookups!$K$6,"Unusual low","Normal")))</f>
        <v>Normal</v>
      </c>
      <c r="AO430" s="20">
        <f>IF($V430&lt;&gt;1,"",$P430+ROW()/100000)</f>
        <v>59.0043</v>
      </c>
      <c r="AP430" s="5">
        <f>IF($A430="","",IFERROR(MATCH($A430,Raw_D1!$A$2:$A$1001,0),""))</f>
        <v>429</v>
      </c>
      <c r="AQ430" s="5">
        <f>IF($A430="","",IFERROR(MATCH($A430,Raw_D2!$B$2:$B$1001,0),""))</f>
        <v>429</v>
      </c>
      <c r="AR430" s="5">
        <f>IF($A430="","",IFERROR(MATCH($A430,Raw_D3!$A$2:$A$1001,0),""))</f>
        <v/>
      </c>
    </row>
    <row r="431" spans="1:44" x14ac:dyDescent="0.25">
      <c r="A431" s="5">
        <v>430</v>
      </c>
      <c r="B431" s="11">
        <f>IF($A431="","",IF($AP431&lt;&gt;"",INDEX(Raw_D1!$B$2:$B$1001,$AP431),IF($AR431&lt;&gt;"",INDEX(Raw_D3!$B$2:$B$1001,$AR431),"")))</f>
        <v>40562.0</v>
      </c>
      <c r="C431" s="5">
        <f>IF($A431="","",IF($AP431&lt;&gt;"",INDEX(Raw_D1!$C$2:$C$1001,$AP431),IF($AR431&lt;&gt;"",INDEX(Raw_D3!$C$2:$C$1001,$AR431),"")))</f>
        <v>1</v>
      </c>
      <c r="D431" s="5">
        <f>IF($A431="","",IF($AP431&lt;&gt;"",INDEX(Raw_D1!$D$2:$D$1001,$AP431),IF($AR431&lt;&gt;"",INDEX(Raw_D3!$D$2:$D$1001,$AR431),"")))</f>
        <v>0</v>
      </c>
      <c r="E431" s="5">
        <f>IF($A431="","",IF($AP431&lt;&gt;"",INDEX(Raw_D1!$E$2:$E$1001,$AP431),IF($AR431&lt;&gt;"",INDEX(Raw_D3!$E$2:$E$1001,$AR431),"")))</f>
        <v>1</v>
      </c>
      <c r="F431" s="5">
        <f>IF($A431="","",IF($AP431&lt;&gt;"",INDEX(Raw_D1!$F$2:$F$1001,$AP431),IF($AR431&lt;&gt;"",INDEX(Raw_D3!$F$2:$F$1001,$AR431),"")))</f>
        <v>22</v>
      </c>
      <c r="G431" s="5">
        <f>IF($A431="","",IF($AP431&lt;&gt;"",IF(INDEX(Raw_D1!$G$2:$G$1001,$AP431),1,0),IF($AR431&lt;&gt;"",IF(INDEX(Raw_D3!$G$2:$G$1001,$AR431),1,0),"")))</f>
        <v>0</v>
      </c>
      <c r="H431" s="5">
        <f>IF($A431="","",IF($AP431&lt;&gt;"",INDEX(Raw_D1!$H$2:$H$1001,$AP431),IF($AR431&lt;&gt;"",INDEX(Raw_D3!$H$2:$H$1001,$AR431),"")))</f>
        <v>3</v>
      </c>
      <c r="I431" s="5">
        <f>IF($A431="","",IF($AP431&lt;&gt;"",INDEX(Raw_D1!$I$2:$I$1001,$AP431),IF($AR431&lt;&gt;"",INDEX(Raw_D3!$I$2:$I$1001,$AR431),"")))</f>
        <v>1</v>
      </c>
      <c r="J431" s="16">
        <f>IF($A431="","",IF($AP431&lt;&gt;"",INDEX(Raw_D1!$J$2:$J$1001,$AP431),IF($AR431&lt;&gt;"",INDEX(Raw_D3!$J$2:$J$1001,$AR431),"")))</f>
        <v>0.3</v>
      </c>
      <c r="K431" s="17">
        <f>IF($A431="","",IF($AQ431&lt;&gt;"",IF(INDEX(Raw_D2!$C$2:$C$1001,$AQ431)="","",INDEX(Raw_D2!$C$2:$C$1001,$AQ431)),IF($AR431&lt;&gt;"",IF(INDEX(Raw_D3!$K$2:$K$1001,$AR431)="","",INDEX(Raw_D3!$K$2:$K$1001,$AR431)),"")))</f>
        <v>0.303</v>
      </c>
      <c r="L431" s="16">
        <f>IF($A431="","",IF($AQ431&lt;&gt;"",IF(INDEX(Raw_D2!$D$2:$D$1001,$AQ431)="","",INDEX(Raw_D2!$D$2:$D$1001,$AQ431)),IF($AR431&lt;&gt;"",IF(INDEX(Raw_D3!$L$2:$L$1001,$AR431)="","",INDEX(Raw_D3!$L$2:$L$1001,$AR431)),"")))</f>
        <v>0.52</v>
      </c>
      <c r="M431" s="17">
        <f>IF($A431="","",IF($AQ431&lt;&gt;"",IF(INDEX(Raw_D2!$E$2:$E$1001,$AQ431)="","",INDEX(Raw_D2!$E$2:$E$1001,$AQ431)),IF($AR431&lt;&gt;"",IF(INDEX(Raw_D3!$M$2:$M$1001,$AR431)="","",INDEX(Raw_D3!$M$2:$M$1001,$AR431)),"")))</f>
        <v>0.1642</v>
      </c>
      <c r="N431" s="5">
        <f>IF($A431="","",IF($AQ431&lt;&gt;"",IF(INDEX(Raw_D2!$F$2:$F$1001,$AQ431)="","",INDEX(Raw_D2!$F$2:$F$1001,$AQ431)),IF($AR431&lt;&gt;"",IF(INDEX(Raw_D3!$N$2:$N$1001,$AR431)="","",INDEX(Raw_D3!$N$2:$N$1001,$AR431)),"")))</f>
        <v>6</v>
      </c>
      <c r="O431" s="5">
        <f>IF($A431="","",IF($AQ431&lt;&gt;"",IF(INDEX(Raw_D2!$G$2:$G$1001,$AQ431)="","",INDEX(Raw_D2!$G$2:$G$1001,$AQ431)),IF($AR431&lt;&gt;"",IF(INDEX(Raw_D3!$O$2:$O$1001,$AR431)="","",INDEX(Raw_D3!$O$2:$O$1001,$AR431)),"")))</f>
        <v>53</v>
      </c>
      <c r="P431" s="5">
        <f>IF($A431="","",IF($AQ431&lt;&gt;"",IF(INDEX(Raw_D2!$H$2:$H$1001,$AQ431)="","",INDEX(Raw_D2!$H$2:$H$1001,$AQ431)),IF($AR431&lt;&gt;"",IF(INDEX(Raw_D3!$P$2:$P$1001,$AR431)="","",INDEX(Raw_D3!$P$2:$P$1001,$AR431)),"")))</f>
        <v>59</v>
      </c>
      <c r="Q431" s="5" t="str">
        <f>IF($A431="","",IF(AND($AP431&lt;&gt;"",$AQ431&lt;&gt;""),"D1+D2",IF($AR431&lt;&gt;"","D3","Incomplete")))</f>
        <v>D1+D2</v>
      </c>
      <c r="R431" s="17">
        <f>IF($A431="","",IF($K431="",IF($J431="","",ROUND(Lookups!$K$5+Lookups!$K$4*$J431,4)),$K431))</f>
        <v>0.303</v>
      </c>
      <c r="S431" s="5" t="str">
        <f>IF($A431="","",IF($K431="","Imputed","Original"))</f>
        <v>Original</v>
      </c>
      <c r="T431" s="5" t="str">
        <f>IF($A431="","",IF($P431="","Missing",IF($P431=$N431+$O431,"OK","Mismatch")))</f>
        <v>OK</v>
      </c>
      <c r="U431" s="5" t="str">
        <f>IF($A431="","",IF(COUNTIF($A$2:$A431,$A431)&gt;1,"Duplicate","Unique"))</f>
        <v>Unique</v>
      </c>
      <c r="V431" s="5">
        <f>IF($A431="","",IF(AND($U431="Unique",ISNUMBER($P431)),1,0))</f>
        <v>1</v>
      </c>
      <c r="W431" s="5" t="str">
        <f>IF($A431="","",IF(OR($H431=0,$H431=6),"Weekend","Weekday"))</f>
        <v>Weekday</v>
      </c>
      <c r="X431" s="5" t="str">
        <f>IF($A431="","",TEXT($B431,"ddd"))</f>
        <v>Wed</v>
      </c>
      <c r="Y431" s="5" t="str">
        <f>IF($A431="","",TEXT($B431,"mmm"))</f>
        <v>Jan</v>
      </c>
      <c r="Z431" s="5" t="str">
        <f>IF($A431="","",IFERROR(VLOOKUP($C431,Lookups!$D$4:$E$7,2,FALSE),"Unknown"))</f>
        <v>Winter</v>
      </c>
      <c r="AA431" s="5" t="str">
        <f>IF($A431="","",IFERROR(VLOOKUP($I431,Lookups!$A$4:$B$7,2,FALSE),"Unknown"))</f>
        <v>Clear</v>
      </c>
      <c r="AB431" s="5" t="str">
        <f>IF($A431="","",TEXT($F431,"00")&amp;":00")</f>
        <v>22:00</v>
      </c>
      <c r="AC431" s="5" t="str">
        <f>IF($A431="","",VLOOKUP($F431,Lookups!$G$4:$H$8,2,TRUE))</f>
        <v>Late Evening (20-23)</v>
      </c>
      <c r="AD431" s="18">
        <f>IF($A431="","",IF($J431="","",ROUND($J431*41,1)))</f>
        <v>12.3</v>
      </c>
      <c r="AE431" s="18">
        <f>IF($A431="","",IF($R431="","",ROUND($R431*50,1)))</f>
        <v>15.2</v>
      </c>
      <c r="AF431" s="5">
        <f>IF($A431="","",IF($L431="","",ROUND($L431*100,0)))</f>
        <v>52</v>
      </c>
      <c r="AG431" s="18">
        <f>IF($A431="","",IF($M431="","",ROUND($M431*67,1)))</f>
        <v>11</v>
      </c>
      <c r="AH431" s="19">
        <f>IF($A431="","",IF($P431="","",IF($P431=0,0,$O431/$P431)))</f>
        <v>0.898305084745763</v>
      </c>
      <c r="AI431" s="5" t="str">
        <f>IF($A431="","",IF($P431="","",IF($P431&gt;=Lookups!$K$7,"High",IF($P431&lt;=Lookups!$K$8,"Low","Medium"))))</f>
        <v>Medium</v>
      </c>
      <c r="AJ431" s="5" t="str">
        <f>IF($A431="","",IF($AD431="","",IF($AD431&lt;5,"Under 5 C",IF($AD431&lt;10,"5-10 C",IF($AD431&lt;15,"10-15 C","15 C and above")))))</f>
        <v>10-15 C</v>
      </c>
      <c r="AK431" s="5">
        <f>IF($A431="","",IF($P431="","",$P431^2))</f>
        <v>3481</v>
      </c>
      <c r="AL431" s="18">
        <f>IF($V431&lt;&gt;1,"",AVERAGEIFS(Clean_Data!$P$2:$P$1001,Clean_Data!$F$2:$F$1001,$F431,Clean_Data!$W$2:$W$1001,$W431,Clean_Data!$V$2:$V$1001,1))</f>
        <v>37.1034482758621</v>
      </c>
      <c r="AM431" s="16">
        <f>IF($V431&lt;&gt;1,"",IFERROR(($P431-$AL431)/SQRT(MAX(0,(SUMIFS(Clean_Data!$AK$2:$AK$1001,Clean_Data!$F$2:$F$1001,$F431,Clean_Data!$W$2:$W$1001,$W431,Clean_Data!$V$2:$V$1001,1)-COUNTIFS(Clean_Data!$F$2:$F$1001,$F431,Clean_Data!$W$2:$W$1001,$W431,Clean_Data!$V$2:$V$1001,1)*$AL431^2)/(COUNTIFS(Clean_Data!$F$2:$F$1001,$F431,Clean_Data!$W$2:$W$1001,$W431,Clean_Data!$V$2:$V$1001,1)-1))),""))</f>
        <v>2.0284619242601</v>
      </c>
      <c r="AN431" s="5" t="str">
        <f>IF($AM431="","",IF($AM431&gt;=Lookups!$K$6,"High spike",IF($AM431&lt;=-Lookups!$K$6,"Unusual low","Normal")))</f>
        <v>Normal</v>
      </c>
      <c r="AO431" s="20">
        <f>IF($V431&lt;&gt;1,"",$P431+ROW()/100000)</f>
        <v>59.00431</v>
      </c>
      <c r="AP431" s="5">
        <f>IF($A431="","",IFERROR(MATCH($A431,Raw_D1!$A$2:$A$1001,0),""))</f>
        <v>430</v>
      </c>
      <c r="AQ431" s="5">
        <f>IF($A431="","",IFERROR(MATCH($A431,Raw_D2!$B$2:$B$1001,0),""))</f>
        <v>430</v>
      </c>
      <c r="AR431" s="5">
        <f>IF($A431="","",IFERROR(MATCH($A431,Raw_D3!$A$2:$A$1001,0),""))</f>
        <v/>
      </c>
    </row>
    <row r="432" spans="1:44" x14ac:dyDescent="0.25">
      <c r="A432" s="5">
        <v>431</v>
      </c>
      <c r="B432" s="11">
        <f>IF($A432="","",IF($AP432&lt;&gt;"",INDEX(Raw_D1!$B$2:$B$1001,$AP432),IF($AR432&lt;&gt;"",INDEX(Raw_D3!$B$2:$B$1001,$AR432),"")))</f>
        <v>40562.0</v>
      </c>
      <c r="C432" s="5">
        <f>IF($A432="","",IF($AP432&lt;&gt;"",INDEX(Raw_D1!$C$2:$C$1001,$AP432),IF($AR432&lt;&gt;"",INDEX(Raw_D3!$C$2:$C$1001,$AR432),"")))</f>
        <v>1</v>
      </c>
      <c r="D432" s="5">
        <f>IF($A432="","",IF($AP432&lt;&gt;"",INDEX(Raw_D1!$D$2:$D$1001,$AP432),IF($AR432&lt;&gt;"",INDEX(Raw_D3!$D$2:$D$1001,$AR432),"")))</f>
        <v>0</v>
      </c>
      <c r="E432" s="5">
        <f>IF($A432="","",IF($AP432&lt;&gt;"",INDEX(Raw_D1!$E$2:$E$1001,$AP432),IF($AR432&lt;&gt;"",INDEX(Raw_D3!$E$2:$E$1001,$AR432),"")))</f>
        <v>1</v>
      </c>
      <c r="F432" s="5">
        <f>IF($A432="","",IF($AP432&lt;&gt;"",INDEX(Raw_D1!$F$2:$F$1001,$AP432),IF($AR432&lt;&gt;"",INDEX(Raw_D3!$F$2:$F$1001,$AR432),"")))</f>
        <v>23</v>
      </c>
      <c r="G432" s="5">
        <f>IF($A432="","",IF($AP432&lt;&gt;"",IF(INDEX(Raw_D1!$G$2:$G$1001,$AP432),1,0),IF($AR432&lt;&gt;"",IF(INDEX(Raw_D3!$G$2:$G$1001,$AR432),1,0),"")))</f>
        <v>0</v>
      </c>
      <c r="H432" s="5">
        <f>IF($A432="","",IF($AP432&lt;&gt;"",INDEX(Raw_D1!$H$2:$H$1001,$AP432),IF($AR432&lt;&gt;"",INDEX(Raw_D3!$H$2:$H$1001,$AR432),"")))</f>
        <v>3</v>
      </c>
      <c r="I432" s="5">
        <f>IF($A432="","",IF($AP432&lt;&gt;"",INDEX(Raw_D1!$I$2:$I$1001,$AP432),IF($AR432&lt;&gt;"",INDEX(Raw_D3!$I$2:$I$1001,$AR432),"")))</f>
        <v>1</v>
      </c>
      <c r="J432" s="16">
        <f>IF($A432="","",IF($AP432&lt;&gt;"",INDEX(Raw_D1!$J$2:$J$1001,$AP432),IF($AR432&lt;&gt;"",INDEX(Raw_D3!$J$2:$J$1001,$AR432),"")))</f>
        <v>0.3</v>
      </c>
      <c r="K432" s="17">
        <f>IF($A432="","",IF($AQ432&lt;&gt;"",IF(INDEX(Raw_D2!$C$2:$C$1001,$AQ432)="","",INDEX(Raw_D2!$C$2:$C$1001,$AQ432)),IF($AR432&lt;&gt;"",IF(INDEX(Raw_D3!$K$2:$K$1001,$AR432)="","",INDEX(Raw_D3!$K$2:$K$1001,$AR432)),"")))</f>
        <v>0.2727</v>
      </c>
      <c r="L432" s="16">
        <f>IF($A432="","",IF($AQ432&lt;&gt;"",IF(INDEX(Raw_D2!$D$2:$D$1001,$AQ432)="","",INDEX(Raw_D2!$D$2:$D$1001,$AQ432)),IF($AR432&lt;&gt;"",IF(INDEX(Raw_D3!$L$2:$L$1001,$AR432)="","",INDEX(Raw_D3!$L$2:$L$1001,$AR432)),"")))</f>
        <v>0.52</v>
      </c>
      <c r="M432" s="17">
        <f>IF($A432="","",IF($AQ432&lt;&gt;"",IF(INDEX(Raw_D2!$E$2:$E$1001,$AQ432)="","",INDEX(Raw_D2!$E$2:$E$1001,$AQ432)),IF($AR432&lt;&gt;"",IF(INDEX(Raw_D3!$M$2:$M$1001,$AR432)="","",INDEX(Raw_D3!$M$2:$M$1001,$AR432)),"")))</f>
        <v>0.4627</v>
      </c>
      <c r="N432" s="5">
        <f>IF($A432="","",IF($AQ432&lt;&gt;"",IF(INDEX(Raw_D2!$F$2:$F$1001,$AQ432)="","",INDEX(Raw_D2!$F$2:$F$1001,$AQ432)),IF($AR432&lt;&gt;"",IF(INDEX(Raw_D3!$N$2:$N$1001,$AR432)="","",INDEX(Raw_D3!$N$2:$N$1001,$AR432)),"")))</f>
        <v>1</v>
      </c>
      <c r="O432" s="5">
        <f>IF($A432="","",IF($AQ432&lt;&gt;"",IF(INDEX(Raw_D2!$G$2:$G$1001,$AQ432)="","",INDEX(Raw_D2!$G$2:$G$1001,$AQ432)),IF($AR432&lt;&gt;"",IF(INDEX(Raw_D3!$O$2:$O$1001,$AR432)="","",INDEX(Raw_D3!$O$2:$O$1001,$AR432)),"")))</f>
        <v>27</v>
      </c>
      <c r="P432" s="5">
        <f>IF($A432="","",IF($AQ432&lt;&gt;"",IF(INDEX(Raw_D2!$H$2:$H$1001,$AQ432)="","",INDEX(Raw_D2!$H$2:$H$1001,$AQ432)),IF($AR432&lt;&gt;"",IF(INDEX(Raw_D3!$P$2:$P$1001,$AR432)="","",INDEX(Raw_D3!$P$2:$P$1001,$AR432)),"")))</f>
        <v>28</v>
      </c>
      <c r="Q432" s="5" t="str">
        <f>IF($A432="","",IF(AND($AP432&lt;&gt;"",$AQ432&lt;&gt;""),"D1+D2",IF($AR432&lt;&gt;"","D3","Incomplete")))</f>
        <v>D1+D2</v>
      </c>
      <c r="R432" s="17">
        <f>IF($A432="","",IF($K432="",IF($J432="","",ROUND(Lookups!$K$5+Lookups!$K$4*$J432,4)),$K432))</f>
        <v>0.2727</v>
      </c>
      <c r="S432" s="5" t="str">
        <f>IF($A432="","",IF($K432="","Imputed","Original"))</f>
        <v>Original</v>
      </c>
      <c r="T432" s="5" t="str">
        <f>IF($A432="","",IF($P432="","Missing",IF($P432=$N432+$O432,"OK","Mismatch")))</f>
        <v>OK</v>
      </c>
      <c r="U432" s="5" t="str">
        <f>IF($A432="","",IF(COUNTIF($A$2:$A432,$A432)&gt;1,"Duplicate","Unique"))</f>
        <v>Unique</v>
      </c>
      <c r="V432" s="5">
        <f>IF($A432="","",IF(AND($U432="Unique",ISNUMBER($P432)),1,0))</f>
        <v>1</v>
      </c>
      <c r="W432" s="5" t="str">
        <f>IF($A432="","",IF(OR($H432=0,$H432=6),"Weekend","Weekday"))</f>
        <v>Weekday</v>
      </c>
      <c r="X432" s="5" t="str">
        <f>IF($A432="","",TEXT($B432,"ddd"))</f>
        <v>Wed</v>
      </c>
      <c r="Y432" s="5" t="str">
        <f>IF($A432="","",TEXT($B432,"mmm"))</f>
        <v>Jan</v>
      </c>
      <c r="Z432" s="5" t="str">
        <f>IF($A432="","",IFERROR(VLOOKUP($C432,Lookups!$D$4:$E$7,2,FALSE),"Unknown"))</f>
        <v>Winter</v>
      </c>
      <c r="AA432" s="5" t="str">
        <f>IF($A432="","",IFERROR(VLOOKUP($I432,Lookups!$A$4:$B$7,2,FALSE),"Unknown"))</f>
        <v>Clear</v>
      </c>
      <c r="AB432" s="5" t="str">
        <f>IF($A432="","",TEXT($F432,"00")&amp;":00")</f>
        <v>23:00</v>
      </c>
      <c r="AC432" s="5" t="str">
        <f>IF($A432="","",VLOOKUP($F432,Lookups!$G$4:$H$8,2,TRUE))</f>
        <v>Late Evening (20-23)</v>
      </c>
      <c r="AD432" s="18">
        <f>IF($A432="","",IF($J432="","",ROUND($J432*41,1)))</f>
        <v>12.3</v>
      </c>
      <c r="AE432" s="18">
        <f>IF($A432="","",IF($R432="","",ROUND($R432*50,1)))</f>
        <v>13.6</v>
      </c>
      <c r="AF432" s="5">
        <f>IF($A432="","",IF($L432="","",ROUND($L432*100,0)))</f>
        <v>52</v>
      </c>
      <c r="AG432" s="18">
        <f>IF($A432="","",IF($M432="","",ROUND($M432*67,1)))</f>
        <v>31</v>
      </c>
      <c r="AH432" s="19">
        <f>IF($A432="","",IF($P432="","",IF($P432=0,0,$O432/$P432)))</f>
        <v>0.964285714285714</v>
      </c>
      <c r="AI432" s="5" t="str">
        <f>IF($A432="","",IF($P432="","",IF($P432&gt;=Lookups!$K$7,"High",IF($P432&lt;=Lookups!$K$8,"Low","Medium"))))</f>
        <v>Medium</v>
      </c>
      <c r="AJ432" s="5" t="str">
        <f>IF($A432="","",IF($AD432="","",IF($AD432&lt;5,"Under 5 C",IF($AD432&lt;10,"5-10 C",IF($AD432&lt;15,"10-15 C","15 C and above")))))</f>
        <v>10-15 C</v>
      </c>
      <c r="AK432" s="5">
        <f>IF($A432="","",IF($P432="","",$P432^2))</f>
        <v>784</v>
      </c>
      <c r="AL432" s="18">
        <f>IF($V432&lt;&gt;1,"",AVERAGEIFS(Clean_Data!$P$2:$P$1001,Clean_Data!$F$2:$F$1001,$F432,Clean_Data!$W$2:$W$1001,$W432,Clean_Data!$V$2:$V$1001,1))</f>
        <v>23.6896551724138</v>
      </c>
      <c r="AM432" s="16">
        <f>IF($V432&lt;&gt;1,"",IFERROR(($P432-$AL432)/SQRT(MAX(0,(SUMIFS(Clean_Data!$AK$2:$AK$1001,Clean_Data!$F$2:$F$1001,$F432,Clean_Data!$W$2:$W$1001,$W432,Clean_Data!$V$2:$V$1001,1)-COUNTIFS(Clean_Data!$F$2:$F$1001,$F432,Clean_Data!$W$2:$W$1001,$W432,Clean_Data!$V$2:$V$1001,1)*$AL432^2)/(COUNTIFS(Clean_Data!$F$2:$F$1001,$F432,Clean_Data!$W$2:$W$1001,$W432,Clean_Data!$V$2:$V$1001,1)-1))),""))</f>
        <v>0.411496173355686</v>
      </c>
      <c r="AN432" s="5" t="str">
        <f>IF($AM432="","",IF($AM432&gt;=Lookups!$K$6,"High spike",IF($AM432&lt;=-Lookups!$K$6,"Unusual low","Normal")))</f>
        <v>Normal</v>
      </c>
      <c r="AO432" s="20">
        <f>IF($V432&lt;&gt;1,"",$P432+ROW()/100000)</f>
        <v>28.00432</v>
      </c>
      <c r="AP432" s="5">
        <f>IF($A432="","",IFERROR(MATCH($A432,Raw_D1!$A$2:$A$1001,0),""))</f>
        <v>431</v>
      </c>
      <c r="AQ432" s="5">
        <f>IF($A432="","",IFERROR(MATCH($A432,Raw_D2!$B$2:$B$1001,0),""))</f>
        <v>431</v>
      </c>
      <c r="AR432" s="5">
        <f>IF($A432="","",IFERROR(MATCH($A432,Raw_D3!$A$2:$A$1001,0),""))</f>
        <v/>
      </c>
    </row>
    <row r="433" spans="1:44" x14ac:dyDescent="0.25">
      <c r="A433" s="5">
        <v>432</v>
      </c>
      <c r="B433" s="11">
        <f>IF($A433="","",IF($AP433&lt;&gt;"",INDEX(Raw_D1!$B$2:$B$1001,$AP433),IF($AR433&lt;&gt;"",INDEX(Raw_D3!$B$2:$B$1001,$AR433),"")))</f>
        <v>40563.0</v>
      </c>
      <c r="C433" s="5">
        <f>IF($A433="","",IF($AP433&lt;&gt;"",INDEX(Raw_D1!$C$2:$C$1001,$AP433),IF($AR433&lt;&gt;"",INDEX(Raw_D3!$C$2:$C$1001,$AR433),"")))</f>
        <v>1</v>
      </c>
      <c r="D433" s="5">
        <f>IF($A433="","",IF($AP433&lt;&gt;"",INDEX(Raw_D1!$D$2:$D$1001,$AP433),IF($AR433&lt;&gt;"",INDEX(Raw_D3!$D$2:$D$1001,$AR433),"")))</f>
        <v>0</v>
      </c>
      <c r="E433" s="5">
        <f>IF($A433="","",IF($AP433&lt;&gt;"",INDEX(Raw_D1!$E$2:$E$1001,$AP433),IF($AR433&lt;&gt;"",INDEX(Raw_D3!$E$2:$E$1001,$AR433),"")))</f>
        <v>1</v>
      </c>
      <c r="F433" s="5">
        <f>IF($A433="","",IF($AP433&lt;&gt;"",INDEX(Raw_D1!$F$2:$F$1001,$AP433),IF($AR433&lt;&gt;"",INDEX(Raw_D3!$F$2:$F$1001,$AR433),"")))</f>
        <v>0</v>
      </c>
      <c r="G433" s="5">
        <f>IF($A433="","",IF($AP433&lt;&gt;"",IF(INDEX(Raw_D1!$G$2:$G$1001,$AP433),1,0),IF($AR433&lt;&gt;"",IF(INDEX(Raw_D3!$G$2:$G$1001,$AR433),1,0),"")))</f>
        <v>0</v>
      </c>
      <c r="H433" s="5">
        <f>IF($A433="","",IF($AP433&lt;&gt;"",INDEX(Raw_D1!$H$2:$H$1001,$AP433),IF($AR433&lt;&gt;"",INDEX(Raw_D3!$H$2:$H$1001,$AR433),"")))</f>
        <v>4</v>
      </c>
      <c r="I433" s="5">
        <f>IF($A433="","",IF($AP433&lt;&gt;"",INDEX(Raw_D1!$I$2:$I$1001,$AP433),IF($AR433&lt;&gt;"",INDEX(Raw_D3!$I$2:$I$1001,$AR433),"")))</f>
        <v>1</v>
      </c>
      <c r="J433" s="16">
        <f>IF($A433="","",IF($AP433&lt;&gt;"",INDEX(Raw_D1!$J$2:$J$1001,$AP433),IF($AR433&lt;&gt;"",INDEX(Raw_D3!$J$2:$J$1001,$AR433),"")))</f>
        <v>0.26</v>
      </c>
      <c r="K433" s="17">
        <f>IF($A433="","",IF($AQ433&lt;&gt;"",IF(INDEX(Raw_D2!$C$2:$C$1001,$AQ433)="","",INDEX(Raw_D2!$C$2:$C$1001,$AQ433)),IF($AR433&lt;&gt;"",IF(INDEX(Raw_D3!$K$2:$K$1001,$AR433)="","",INDEX(Raw_D3!$K$2:$K$1001,$AR433)),"")))</f>
        <v>0.2273</v>
      </c>
      <c r="L433" s="16">
        <f>IF($A433="","",IF($AQ433&lt;&gt;"",IF(INDEX(Raw_D2!$D$2:$D$1001,$AQ433)="","",INDEX(Raw_D2!$D$2:$D$1001,$AQ433)),IF($AR433&lt;&gt;"",IF(INDEX(Raw_D3!$L$2:$L$1001,$AR433)="","",INDEX(Raw_D3!$L$2:$L$1001,$AR433)),"")))</f>
        <v>0.56</v>
      </c>
      <c r="M433" s="17">
        <f>IF($A433="","",IF($AQ433&lt;&gt;"",IF(INDEX(Raw_D2!$E$2:$E$1001,$AQ433)="","",INDEX(Raw_D2!$E$2:$E$1001,$AQ433)),IF($AR433&lt;&gt;"",IF(INDEX(Raw_D3!$M$2:$M$1001,$AR433)="","",INDEX(Raw_D3!$M$2:$M$1001,$AR433)),"")))</f>
        <v>0.3881</v>
      </c>
      <c r="N433" s="5">
        <f>IF($A433="","",IF($AQ433&lt;&gt;"",IF(INDEX(Raw_D2!$F$2:$F$1001,$AQ433)="","",INDEX(Raw_D2!$F$2:$F$1001,$AQ433)),IF($AR433&lt;&gt;"",IF(INDEX(Raw_D3!$N$2:$N$1001,$AR433)="","",INDEX(Raw_D3!$N$2:$N$1001,$AR433)),"")))</f>
        <v>5</v>
      </c>
      <c r="O433" s="5">
        <f>IF($A433="","",IF($AQ433&lt;&gt;"",IF(INDEX(Raw_D2!$G$2:$G$1001,$AQ433)="","",INDEX(Raw_D2!$G$2:$G$1001,$AQ433)),IF($AR433&lt;&gt;"",IF(INDEX(Raw_D3!$O$2:$O$1001,$AR433)="","",INDEX(Raw_D3!$O$2:$O$1001,$AR433)),"")))</f>
        <v>8</v>
      </c>
      <c r="P433" s="5">
        <f>IF($A433="","",IF($AQ433&lt;&gt;"",IF(INDEX(Raw_D2!$H$2:$H$1001,$AQ433)="","",INDEX(Raw_D2!$H$2:$H$1001,$AQ433)),IF($AR433&lt;&gt;"",IF(INDEX(Raw_D3!$P$2:$P$1001,$AR433)="","",INDEX(Raw_D3!$P$2:$P$1001,$AR433)),"")))</f>
        <v>13</v>
      </c>
      <c r="Q433" s="5" t="str">
        <f>IF($A433="","",IF(AND($AP433&lt;&gt;"",$AQ433&lt;&gt;""),"D1+D2",IF($AR433&lt;&gt;"","D3","Incomplete")))</f>
        <v>D1+D2</v>
      </c>
      <c r="R433" s="17">
        <f>IF($A433="","",IF($K433="",IF($J433="","",ROUND(Lookups!$K$5+Lookups!$K$4*$J433,4)),$K433))</f>
        <v>0.2273</v>
      </c>
      <c r="S433" s="5" t="str">
        <f>IF($A433="","",IF($K433="","Imputed","Original"))</f>
        <v>Original</v>
      </c>
      <c r="T433" s="5" t="str">
        <f>IF($A433="","",IF($P433="","Missing",IF($P433=$N433+$O433,"OK","Mismatch")))</f>
        <v>OK</v>
      </c>
      <c r="U433" s="5" t="str">
        <f>IF($A433="","",IF(COUNTIF($A$2:$A433,$A433)&gt;1,"Duplicate","Unique"))</f>
        <v>Unique</v>
      </c>
      <c r="V433" s="5">
        <f>IF($A433="","",IF(AND($U433="Unique",ISNUMBER($P433)),1,0))</f>
        <v>1</v>
      </c>
      <c r="W433" s="5" t="str">
        <f>IF($A433="","",IF(OR($H433=0,$H433=6),"Weekend","Weekday"))</f>
        <v>Weekday</v>
      </c>
      <c r="X433" s="5" t="str">
        <f>IF($A433="","",TEXT($B433,"ddd"))</f>
        <v>Thu</v>
      </c>
      <c r="Y433" s="5" t="str">
        <f>IF($A433="","",TEXT($B433,"mmm"))</f>
        <v>Jan</v>
      </c>
      <c r="Z433" s="5" t="str">
        <f>IF($A433="","",IFERROR(VLOOKUP($C433,Lookups!$D$4:$E$7,2,FALSE),"Unknown"))</f>
        <v>Winter</v>
      </c>
      <c r="AA433" s="5" t="str">
        <f>IF($A433="","",IFERROR(VLOOKUP($I433,Lookups!$A$4:$B$7,2,FALSE),"Unknown"))</f>
        <v>Clear</v>
      </c>
      <c r="AB433" s="5" t="str">
        <f>IF($A433="","",TEXT($F433,"00")&amp;":00")</f>
        <v>00:00</v>
      </c>
      <c r="AC433" s="5" t="str">
        <f>IF($A433="","",VLOOKUP($F433,Lookups!$G$4:$H$8,2,TRUE))</f>
        <v>Night (00-05)</v>
      </c>
      <c r="AD433" s="18">
        <f>IF($A433="","",IF($J433="","",ROUND($J433*41,1)))</f>
        <v>10.7</v>
      </c>
      <c r="AE433" s="18">
        <f>IF($A433="","",IF($R433="","",ROUND($R433*50,1)))</f>
        <v>11.4</v>
      </c>
      <c r="AF433" s="5">
        <f>IF($A433="","",IF($L433="","",ROUND($L433*100,0)))</f>
        <v>56</v>
      </c>
      <c r="AG433" s="18">
        <f>IF($A433="","",IF($M433="","",ROUND($M433*67,1)))</f>
        <v>26</v>
      </c>
      <c r="AH433" s="19">
        <f>IF($A433="","",IF($P433="","",IF($P433=0,0,$O433/$P433)))</f>
        <v>0.615384615384615</v>
      </c>
      <c r="AI433" s="5" t="str">
        <f>IF($A433="","",IF($P433="","",IF($P433&gt;=Lookups!$K$7,"High",IF($P433&lt;=Lookups!$K$8,"Low","Medium"))))</f>
        <v>Low</v>
      </c>
      <c r="AJ433" s="5" t="str">
        <f>IF($A433="","",IF($AD433="","",IF($AD433&lt;5,"Under 5 C",IF($AD433&lt;10,"5-10 C",IF($AD433&lt;15,"10-15 C","15 C and above")))))</f>
        <v>10-15 C</v>
      </c>
      <c r="AK433" s="5">
        <f>IF($A433="","",IF($P433="","",$P433^2))</f>
        <v>169</v>
      </c>
      <c r="AL433" s="18">
        <f>IF($V433&lt;&gt;1,"",AVERAGEIFS(Clean_Data!$P$2:$P$1001,Clean_Data!$F$2:$F$1001,$F433,Clean_Data!$W$2:$W$1001,$W433,Clean_Data!$V$2:$V$1001,1))</f>
        <v>10.6896551724138</v>
      </c>
      <c r="AM433" s="16">
        <f>IF($V433&lt;&gt;1,"",IFERROR(($P433-$AL433)/SQRT(MAX(0,(SUMIFS(Clean_Data!$AK$2:$AK$1001,Clean_Data!$F$2:$F$1001,$F433,Clean_Data!$W$2:$W$1001,$W433,Clean_Data!$V$2:$V$1001,1)-COUNTIFS(Clean_Data!$F$2:$F$1001,$F433,Clean_Data!$W$2:$W$1001,$W433,Clean_Data!$V$2:$V$1001,1)*$AL433^2)/(COUNTIFS(Clean_Data!$F$2:$F$1001,$F433,Clean_Data!$W$2:$W$1001,$W433,Clean_Data!$V$2:$V$1001,1)-1))),""))</f>
        <v>0.472227608477373</v>
      </c>
      <c r="AN433" s="5" t="str">
        <f>IF($AM433="","",IF($AM433&gt;=Lookups!$K$6,"High spike",IF($AM433&lt;=-Lookups!$K$6,"Unusual low","Normal")))</f>
        <v>Normal</v>
      </c>
      <c r="AO433" s="20">
        <f>IF($V433&lt;&gt;1,"",$P433+ROW()/100000)</f>
        <v>13.00433</v>
      </c>
      <c r="AP433" s="5">
        <f>IF($A433="","",IFERROR(MATCH($A433,Raw_D1!$A$2:$A$1001,0),""))</f>
        <v>432</v>
      </c>
      <c r="AQ433" s="5">
        <f>IF($A433="","",IFERROR(MATCH($A433,Raw_D2!$B$2:$B$1001,0),""))</f>
        <v>432</v>
      </c>
      <c r="AR433" s="5">
        <f>IF($A433="","",IFERROR(MATCH($A433,Raw_D3!$A$2:$A$1001,0),""))</f>
        <v/>
      </c>
    </row>
    <row r="434" spans="1:44" x14ac:dyDescent="0.25">
      <c r="A434" s="5">
        <v>433</v>
      </c>
      <c r="B434" s="11">
        <f>IF($A434="","",IF($AP434&lt;&gt;"",INDEX(Raw_D1!$B$2:$B$1001,$AP434),IF($AR434&lt;&gt;"",INDEX(Raw_D3!$B$2:$B$1001,$AR434),"")))</f>
        <v>40563.0</v>
      </c>
      <c r="C434" s="5">
        <f>IF($A434="","",IF($AP434&lt;&gt;"",INDEX(Raw_D1!$C$2:$C$1001,$AP434),IF($AR434&lt;&gt;"",INDEX(Raw_D3!$C$2:$C$1001,$AR434),"")))</f>
        <v>1</v>
      </c>
      <c r="D434" s="5">
        <f>IF($A434="","",IF($AP434&lt;&gt;"",INDEX(Raw_D1!$D$2:$D$1001,$AP434),IF($AR434&lt;&gt;"",INDEX(Raw_D3!$D$2:$D$1001,$AR434),"")))</f>
        <v>0</v>
      </c>
      <c r="E434" s="5">
        <f>IF($A434="","",IF($AP434&lt;&gt;"",INDEX(Raw_D1!$E$2:$E$1001,$AP434),IF($AR434&lt;&gt;"",INDEX(Raw_D3!$E$2:$E$1001,$AR434),"")))</f>
        <v>1</v>
      </c>
      <c r="F434" s="5">
        <f>IF($A434="","",IF($AP434&lt;&gt;"",INDEX(Raw_D1!$F$2:$F$1001,$AP434),IF($AR434&lt;&gt;"",INDEX(Raw_D3!$F$2:$F$1001,$AR434),"")))</f>
        <v>1</v>
      </c>
      <c r="G434" s="5">
        <f>IF($A434="","",IF($AP434&lt;&gt;"",IF(INDEX(Raw_D1!$G$2:$G$1001,$AP434),1,0),IF($AR434&lt;&gt;"",IF(INDEX(Raw_D3!$G$2:$G$1001,$AR434),1,0),"")))</f>
        <v>0</v>
      </c>
      <c r="H434" s="5">
        <f>IF($A434="","",IF($AP434&lt;&gt;"",INDEX(Raw_D1!$H$2:$H$1001,$AP434),IF($AR434&lt;&gt;"",INDEX(Raw_D3!$H$2:$H$1001,$AR434),"")))</f>
        <v>4</v>
      </c>
      <c r="I434" s="5">
        <f>IF($A434="","",IF($AP434&lt;&gt;"",INDEX(Raw_D1!$I$2:$I$1001,$AP434),IF($AR434&lt;&gt;"",INDEX(Raw_D3!$I$2:$I$1001,$AR434),"")))</f>
        <v>1</v>
      </c>
      <c r="J434" s="16">
        <f>IF($A434="","",IF($AP434&lt;&gt;"",INDEX(Raw_D1!$J$2:$J$1001,$AP434),IF($AR434&lt;&gt;"",INDEX(Raw_D3!$J$2:$J$1001,$AR434),"")))</f>
        <v>0.26</v>
      </c>
      <c r="K434" s="17">
        <f>IF($A434="","",IF($AQ434&lt;&gt;"",IF(INDEX(Raw_D2!$C$2:$C$1001,$AQ434)="","",INDEX(Raw_D2!$C$2:$C$1001,$AQ434)),IF($AR434&lt;&gt;"",IF(INDEX(Raw_D3!$K$2:$K$1001,$AR434)="","",INDEX(Raw_D3!$K$2:$K$1001,$AR434)),"")))</f>
        <v>0.2727</v>
      </c>
      <c r="L434" s="16">
        <f>IF($A434="","",IF($AQ434&lt;&gt;"",IF(INDEX(Raw_D2!$D$2:$D$1001,$AQ434)="","",INDEX(Raw_D2!$D$2:$D$1001,$AQ434)),IF($AR434&lt;&gt;"",IF(INDEX(Raw_D3!$L$2:$L$1001,$AR434)="","",INDEX(Raw_D3!$L$2:$L$1001,$AR434)),"")))</f>
        <v>0.56</v>
      </c>
      <c r="M434" s="17">
        <f>IF($A434="","",IF($AQ434&lt;&gt;"",IF(INDEX(Raw_D2!$E$2:$E$1001,$AQ434)="","",INDEX(Raw_D2!$E$2:$E$1001,$AQ434)),IF($AR434&lt;&gt;"",IF(INDEX(Raw_D3!$M$2:$M$1001,$AR434)="","",INDEX(Raw_D3!$M$2:$M$1001,$AR434)),"")))</f>
        <v>0</v>
      </c>
      <c r="N434" s="5">
        <f>IF($A434="","",IF($AQ434&lt;&gt;"",IF(INDEX(Raw_D2!$F$2:$F$1001,$AQ434)="","",INDEX(Raw_D2!$F$2:$F$1001,$AQ434)),IF($AR434&lt;&gt;"",IF(INDEX(Raw_D3!$N$2:$N$1001,$AR434)="","",INDEX(Raw_D3!$N$2:$N$1001,$AR434)),"")))</f>
        <v>2</v>
      </c>
      <c r="O434" s="5">
        <f>IF($A434="","",IF($AQ434&lt;&gt;"",IF(INDEX(Raw_D2!$G$2:$G$1001,$AQ434)="","",INDEX(Raw_D2!$G$2:$G$1001,$AQ434)),IF($AR434&lt;&gt;"",IF(INDEX(Raw_D3!$O$2:$O$1001,$AR434)="","",INDEX(Raw_D3!$O$2:$O$1001,$AR434)),"")))</f>
        <v>3</v>
      </c>
      <c r="P434" s="5">
        <f>IF($A434="","",IF($AQ434&lt;&gt;"",IF(INDEX(Raw_D2!$H$2:$H$1001,$AQ434)="","",INDEX(Raw_D2!$H$2:$H$1001,$AQ434)),IF($AR434&lt;&gt;"",IF(INDEX(Raw_D3!$P$2:$P$1001,$AR434)="","",INDEX(Raw_D3!$P$2:$P$1001,$AR434)),"")))</f>
        <v>5</v>
      </c>
      <c r="Q434" s="5" t="str">
        <f>IF($A434="","",IF(AND($AP434&lt;&gt;"",$AQ434&lt;&gt;""),"D1+D2",IF($AR434&lt;&gt;"","D3","Incomplete")))</f>
        <v>D1+D2</v>
      </c>
      <c r="R434" s="17">
        <f>IF($A434="","",IF($K434="",IF($J434="","",ROUND(Lookups!$K$5+Lookups!$K$4*$J434,4)),$K434))</f>
        <v>0.2727</v>
      </c>
      <c r="S434" s="5" t="str">
        <f>IF($A434="","",IF($K434="","Imputed","Original"))</f>
        <v>Original</v>
      </c>
      <c r="T434" s="5" t="str">
        <f>IF($A434="","",IF($P434="","Missing",IF($P434=$N434+$O434,"OK","Mismatch")))</f>
        <v>OK</v>
      </c>
      <c r="U434" s="5" t="str">
        <f>IF($A434="","",IF(COUNTIF($A$2:$A434,$A434)&gt;1,"Duplicate","Unique"))</f>
        <v>Unique</v>
      </c>
      <c r="V434" s="5">
        <f>IF($A434="","",IF(AND($U434="Unique",ISNUMBER($P434)),1,0))</f>
        <v>1</v>
      </c>
      <c r="W434" s="5" t="str">
        <f>IF($A434="","",IF(OR($H434=0,$H434=6),"Weekend","Weekday"))</f>
        <v>Weekday</v>
      </c>
      <c r="X434" s="5" t="str">
        <f>IF($A434="","",TEXT($B434,"ddd"))</f>
        <v>Thu</v>
      </c>
      <c r="Y434" s="5" t="str">
        <f>IF($A434="","",TEXT($B434,"mmm"))</f>
        <v>Jan</v>
      </c>
      <c r="Z434" s="5" t="str">
        <f>IF($A434="","",IFERROR(VLOOKUP($C434,Lookups!$D$4:$E$7,2,FALSE),"Unknown"))</f>
        <v>Winter</v>
      </c>
      <c r="AA434" s="5" t="str">
        <f>IF($A434="","",IFERROR(VLOOKUP($I434,Lookups!$A$4:$B$7,2,FALSE),"Unknown"))</f>
        <v>Clear</v>
      </c>
      <c r="AB434" s="5" t="str">
        <f>IF($A434="","",TEXT($F434,"00")&amp;":00")</f>
        <v>01:00</v>
      </c>
      <c r="AC434" s="5" t="str">
        <f>IF($A434="","",VLOOKUP($F434,Lookups!$G$4:$H$8,2,TRUE))</f>
        <v>Night (00-05)</v>
      </c>
      <c r="AD434" s="18">
        <f>IF($A434="","",IF($J434="","",ROUND($J434*41,1)))</f>
        <v>10.7</v>
      </c>
      <c r="AE434" s="18">
        <f>IF($A434="","",IF($R434="","",ROUND($R434*50,1)))</f>
        <v>13.6</v>
      </c>
      <c r="AF434" s="5">
        <f>IF($A434="","",IF($L434="","",ROUND($L434*100,0)))</f>
        <v>56</v>
      </c>
      <c r="AG434" s="18">
        <f>IF($A434="","",IF($M434="","",ROUND($M434*67,1)))</f>
        <v>0</v>
      </c>
      <c r="AH434" s="19">
        <f>IF($A434="","",IF($P434="","",IF($P434=0,0,$O434/$P434)))</f>
        <v>0.6</v>
      </c>
      <c r="AI434" s="5" t="str">
        <f>IF($A434="","",IF($P434="","",IF($P434&gt;=Lookups!$K$7,"High",IF($P434&lt;=Lookups!$K$8,"Low","Medium"))))</f>
        <v>Low</v>
      </c>
      <c r="AJ434" s="5" t="str">
        <f>IF($A434="","",IF($AD434="","",IF($AD434&lt;5,"Under 5 C",IF($AD434&lt;10,"5-10 C",IF($AD434&lt;15,"10-15 C","15 C and above")))))</f>
        <v>10-15 C</v>
      </c>
      <c r="AK434" s="5">
        <f>IF($A434="","",IF($P434="","",$P434^2))</f>
        <v>25</v>
      </c>
      <c r="AL434" s="18">
        <f>IF($V434&lt;&gt;1,"",AVERAGEIFS(Clean_Data!$P$2:$P$1001,Clean_Data!$F$2:$F$1001,$F434,Clean_Data!$W$2:$W$1001,$W434,Clean_Data!$V$2:$V$1001,1))</f>
        <v>5.10344827586207</v>
      </c>
      <c r="AM434" s="16">
        <f>IF($V434&lt;&gt;1,"",IFERROR(($P434-$AL434)/SQRT(MAX(0,(SUMIFS(Clean_Data!$AK$2:$AK$1001,Clean_Data!$F$2:$F$1001,$F434,Clean_Data!$W$2:$W$1001,$W434,Clean_Data!$V$2:$V$1001,1)-COUNTIFS(Clean_Data!$F$2:$F$1001,$F434,Clean_Data!$W$2:$W$1001,$W434,Clean_Data!$V$2:$V$1001,1)*$AL434^2)/(COUNTIFS(Clean_Data!$F$2:$F$1001,$F434,Clean_Data!$W$2:$W$1001,$W434,Clean_Data!$V$2:$V$1001,1)-1))),""))</f>
        <v>-0.0358850647735475</v>
      </c>
      <c r="AN434" s="5" t="str">
        <f>IF($AM434="","",IF($AM434&gt;=Lookups!$K$6,"High spike",IF($AM434&lt;=-Lookups!$K$6,"Unusual low","Normal")))</f>
        <v>Normal</v>
      </c>
      <c r="AO434" s="20">
        <f>IF($V434&lt;&gt;1,"",$P434+ROW()/100000)</f>
        <v>5.00434</v>
      </c>
      <c r="AP434" s="5">
        <f>IF($A434="","",IFERROR(MATCH($A434,Raw_D1!$A$2:$A$1001,0),""))</f>
        <v>433</v>
      </c>
      <c r="AQ434" s="5">
        <f>IF($A434="","",IFERROR(MATCH($A434,Raw_D2!$B$2:$B$1001,0),""))</f>
        <v>433</v>
      </c>
      <c r="AR434" s="5">
        <f>IF($A434="","",IFERROR(MATCH($A434,Raw_D3!$A$2:$A$1001,0),""))</f>
        <v/>
      </c>
    </row>
    <row r="435" spans="1:44" x14ac:dyDescent="0.25">
      <c r="A435" s="5">
        <v>434</v>
      </c>
      <c r="B435" s="11">
        <f>IF($A435="","",IF($AP435&lt;&gt;"",INDEX(Raw_D1!$B$2:$B$1001,$AP435),IF($AR435&lt;&gt;"",INDEX(Raw_D3!$B$2:$B$1001,$AR435),"")))</f>
        <v>40563.0</v>
      </c>
      <c r="C435" s="5">
        <f>IF($A435="","",IF($AP435&lt;&gt;"",INDEX(Raw_D1!$C$2:$C$1001,$AP435),IF($AR435&lt;&gt;"",INDEX(Raw_D3!$C$2:$C$1001,$AR435),"")))</f>
        <v>1</v>
      </c>
      <c r="D435" s="5">
        <f>IF($A435="","",IF($AP435&lt;&gt;"",INDEX(Raw_D1!$D$2:$D$1001,$AP435),IF($AR435&lt;&gt;"",INDEX(Raw_D3!$D$2:$D$1001,$AR435),"")))</f>
        <v>0</v>
      </c>
      <c r="E435" s="5">
        <f>IF($A435="","",IF($AP435&lt;&gt;"",INDEX(Raw_D1!$E$2:$E$1001,$AP435),IF($AR435&lt;&gt;"",INDEX(Raw_D3!$E$2:$E$1001,$AR435),"")))</f>
        <v>1</v>
      </c>
      <c r="F435" s="5">
        <f>IF($A435="","",IF($AP435&lt;&gt;"",INDEX(Raw_D1!$F$2:$F$1001,$AP435),IF($AR435&lt;&gt;"",INDEX(Raw_D3!$F$2:$F$1001,$AR435),"")))</f>
        <v>2</v>
      </c>
      <c r="G435" s="5">
        <f>IF($A435="","",IF($AP435&lt;&gt;"",IF(INDEX(Raw_D1!$G$2:$G$1001,$AP435),1,0),IF($AR435&lt;&gt;"",IF(INDEX(Raw_D3!$G$2:$G$1001,$AR435),1,0),"")))</f>
        <v>0</v>
      </c>
      <c r="H435" s="5">
        <f>IF($A435="","",IF($AP435&lt;&gt;"",INDEX(Raw_D1!$H$2:$H$1001,$AP435),IF($AR435&lt;&gt;"",INDEX(Raw_D3!$H$2:$H$1001,$AR435),"")))</f>
        <v>4</v>
      </c>
      <c r="I435" s="5">
        <f>IF($A435="","",IF($AP435&lt;&gt;"",INDEX(Raw_D1!$I$2:$I$1001,$AP435),IF($AR435&lt;&gt;"",INDEX(Raw_D3!$I$2:$I$1001,$AR435),"")))</f>
        <v>1</v>
      </c>
      <c r="J435" s="16">
        <f>IF($A435="","",IF($AP435&lt;&gt;"",INDEX(Raw_D1!$J$2:$J$1001,$AP435),IF($AR435&lt;&gt;"",INDEX(Raw_D3!$J$2:$J$1001,$AR435),"")))</f>
        <v>0.26</v>
      </c>
      <c r="K435" s="17">
        <f>IF($A435="","",IF($AQ435&lt;&gt;"",IF(INDEX(Raw_D2!$C$2:$C$1001,$AQ435)="","",INDEX(Raw_D2!$C$2:$C$1001,$AQ435)),IF($AR435&lt;&gt;"",IF(INDEX(Raw_D3!$K$2:$K$1001,$AR435)="","",INDEX(Raw_D3!$K$2:$K$1001,$AR435)),"")))</f>
        <v>0.2727</v>
      </c>
      <c r="L435" s="16">
        <f>IF($A435="","",IF($AQ435&lt;&gt;"",IF(INDEX(Raw_D2!$D$2:$D$1001,$AQ435)="","",INDEX(Raw_D2!$D$2:$D$1001,$AQ435)),IF($AR435&lt;&gt;"",IF(INDEX(Raw_D3!$L$2:$L$1001,$AR435)="","",INDEX(Raw_D3!$L$2:$L$1001,$AR435)),"")))</f>
        <v>0.56</v>
      </c>
      <c r="M435" s="17">
        <f>IF($A435="","",IF($AQ435&lt;&gt;"",IF(INDEX(Raw_D2!$E$2:$E$1001,$AQ435)="","",INDEX(Raw_D2!$E$2:$E$1001,$AQ435)),IF($AR435&lt;&gt;"",IF(INDEX(Raw_D3!$M$2:$M$1001,$AR435)="","",INDEX(Raw_D3!$M$2:$M$1001,$AR435)),"")))</f>
        <v>0</v>
      </c>
      <c r="N435" s="5">
        <f>IF($A435="","",IF($AQ435&lt;&gt;"",IF(INDEX(Raw_D2!$F$2:$F$1001,$AQ435)="","",INDEX(Raw_D2!$F$2:$F$1001,$AQ435)),IF($AR435&lt;&gt;"",IF(INDEX(Raw_D3!$N$2:$N$1001,$AR435)="","",INDEX(Raw_D3!$N$2:$N$1001,$AR435)),"")))</f>
        <v>0</v>
      </c>
      <c r="O435" s="5">
        <f>IF($A435="","",IF($AQ435&lt;&gt;"",IF(INDEX(Raw_D2!$G$2:$G$1001,$AQ435)="","",INDEX(Raw_D2!$G$2:$G$1001,$AQ435)),IF($AR435&lt;&gt;"",IF(INDEX(Raw_D3!$O$2:$O$1001,$AR435)="","",INDEX(Raw_D3!$O$2:$O$1001,$AR435)),"")))</f>
        <v>2</v>
      </c>
      <c r="P435" s="5">
        <f>IF($A435="","",IF($AQ435&lt;&gt;"",IF(INDEX(Raw_D2!$H$2:$H$1001,$AQ435)="","",INDEX(Raw_D2!$H$2:$H$1001,$AQ435)),IF($AR435&lt;&gt;"",IF(INDEX(Raw_D3!$P$2:$P$1001,$AR435)="","",INDEX(Raw_D3!$P$2:$P$1001,$AR435)),"")))</f>
        <v>2</v>
      </c>
      <c r="Q435" s="5" t="str">
        <f>IF($A435="","",IF(AND($AP435&lt;&gt;"",$AQ435&lt;&gt;""),"D1+D2",IF($AR435&lt;&gt;"","D3","Incomplete")))</f>
        <v>D1+D2</v>
      </c>
      <c r="R435" s="17">
        <f>IF($A435="","",IF($K435="",IF($J435="","",ROUND(Lookups!$K$5+Lookups!$K$4*$J435,4)),$K435))</f>
        <v>0.2727</v>
      </c>
      <c r="S435" s="5" t="str">
        <f>IF($A435="","",IF($K435="","Imputed","Original"))</f>
        <v>Original</v>
      </c>
      <c r="T435" s="5" t="str">
        <f>IF($A435="","",IF($P435="","Missing",IF($P435=$N435+$O435,"OK","Mismatch")))</f>
        <v>OK</v>
      </c>
      <c r="U435" s="5" t="str">
        <f>IF($A435="","",IF(COUNTIF($A$2:$A435,$A435)&gt;1,"Duplicate","Unique"))</f>
        <v>Unique</v>
      </c>
      <c r="V435" s="5">
        <f>IF($A435="","",IF(AND($U435="Unique",ISNUMBER($P435)),1,0))</f>
        <v>1</v>
      </c>
      <c r="W435" s="5" t="str">
        <f>IF($A435="","",IF(OR($H435=0,$H435=6),"Weekend","Weekday"))</f>
        <v>Weekday</v>
      </c>
      <c r="X435" s="5" t="str">
        <f>IF($A435="","",TEXT($B435,"ddd"))</f>
        <v>Thu</v>
      </c>
      <c r="Y435" s="5" t="str">
        <f>IF($A435="","",TEXT($B435,"mmm"))</f>
        <v>Jan</v>
      </c>
      <c r="Z435" s="5" t="str">
        <f>IF($A435="","",IFERROR(VLOOKUP($C435,Lookups!$D$4:$E$7,2,FALSE),"Unknown"))</f>
        <v>Winter</v>
      </c>
      <c r="AA435" s="5" t="str">
        <f>IF($A435="","",IFERROR(VLOOKUP($I435,Lookups!$A$4:$B$7,2,FALSE),"Unknown"))</f>
        <v>Clear</v>
      </c>
      <c r="AB435" s="5" t="str">
        <f>IF($A435="","",TEXT($F435,"00")&amp;":00")</f>
        <v>02:00</v>
      </c>
      <c r="AC435" s="5" t="str">
        <f>IF($A435="","",VLOOKUP($F435,Lookups!$G$4:$H$8,2,TRUE))</f>
        <v>Night (00-05)</v>
      </c>
      <c r="AD435" s="18">
        <f>IF($A435="","",IF($J435="","",ROUND($J435*41,1)))</f>
        <v>10.7</v>
      </c>
      <c r="AE435" s="18">
        <f>IF($A435="","",IF($R435="","",ROUND($R435*50,1)))</f>
        <v>13.6</v>
      </c>
      <c r="AF435" s="5">
        <f>IF($A435="","",IF($L435="","",ROUND($L435*100,0)))</f>
        <v>56</v>
      </c>
      <c r="AG435" s="18">
        <f>IF($A435="","",IF($M435="","",ROUND($M435*67,1)))</f>
        <v>0</v>
      </c>
      <c r="AH435" s="19">
        <f>IF($A435="","",IF($P435="","",IF($P435=0,0,$O435/$P435)))</f>
        <v>1</v>
      </c>
      <c r="AI435" s="5" t="str">
        <f>IF($A435="","",IF($P435="","",IF($P435&gt;=Lookups!$K$7,"High",IF($P435&lt;=Lookups!$K$8,"Low","Medium"))))</f>
        <v>Low</v>
      </c>
      <c r="AJ435" s="5" t="str">
        <f>IF($A435="","",IF($AD435="","",IF($AD435&lt;5,"Under 5 C",IF($AD435&lt;10,"5-10 C",IF($AD435&lt;15,"10-15 C","15 C and above")))))</f>
        <v>10-15 C</v>
      </c>
      <c r="AK435" s="5">
        <f>IF($A435="","",IF($P435="","",$P435^2))</f>
        <v>4</v>
      </c>
      <c r="AL435" s="18">
        <f>IF($V435&lt;&gt;1,"",AVERAGEIFS(Clean_Data!$P$2:$P$1001,Clean_Data!$F$2:$F$1001,$F435,Clean_Data!$W$2:$W$1001,$W435,Clean_Data!$V$2:$V$1001,1))</f>
        <v>2.62962962962963</v>
      </c>
      <c r="AM435" s="16">
        <f>IF($V435&lt;&gt;1,"",IFERROR(($P435-$AL435)/SQRT(MAX(0,(SUMIFS(Clean_Data!$AK$2:$AK$1001,Clean_Data!$F$2:$F$1001,$F435,Clean_Data!$W$2:$W$1001,$W435,Clean_Data!$V$2:$V$1001,1)-COUNTIFS(Clean_Data!$F$2:$F$1001,$F435,Clean_Data!$W$2:$W$1001,$W435,Clean_Data!$V$2:$V$1001,1)*$AL435^2)/(COUNTIFS(Clean_Data!$F$2:$F$1001,$F435,Clean_Data!$W$2:$W$1001,$W435,Clean_Data!$V$2:$V$1001,1)-1))),""))</f>
        <v>-0.311395810225326</v>
      </c>
      <c r="AN435" s="5" t="str">
        <f>IF($AM435="","",IF($AM435&gt;=Lookups!$K$6,"High spike",IF($AM435&lt;=-Lookups!$K$6,"Unusual low","Normal")))</f>
        <v>Normal</v>
      </c>
      <c r="AO435" s="20">
        <f>IF($V435&lt;&gt;1,"",$P435+ROW()/100000)</f>
        <v>2.00435</v>
      </c>
      <c r="AP435" s="5">
        <f>IF($A435="","",IFERROR(MATCH($A435,Raw_D1!$A$2:$A$1001,0),""))</f>
        <v>434</v>
      </c>
      <c r="AQ435" s="5">
        <f>IF($A435="","",IFERROR(MATCH($A435,Raw_D2!$B$2:$B$1001,0),""))</f>
        <v>434</v>
      </c>
      <c r="AR435" s="5">
        <f>IF($A435="","",IFERROR(MATCH($A435,Raw_D3!$A$2:$A$1001,0),""))</f>
        <v/>
      </c>
    </row>
    <row r="436" spans="1:44" x14ac:dyDescent="0.25">
      <c r="A436" s="5">
        <v>435</v>
      </c>
      <c r="B436" s="11">
        <f>IF($A436="","",IF($AP436&lt;&gt;"",INDEX(Raw_D1!$B$2:$B$1001,$AP436),IF($AR436&lt;&gt;"",INDEX(Raw_D3!$B$2:$B$1001,$AR436),"")))</f>
        <v>40563.0</v>
      </c>
      <c r="C436" s="5">
        <f>IF($A436="","",IF($AP436&lt;&gt;"",INDEX(Raw_D1!$C$2:$C$1001,$AP436),IF($AR436&lt;&gt;"",INDEX(Raw_D3!$C$2:$C$1001,$AR436),"")))</f>
        <v>1</v>
      </c>
      <c r="D436" s="5">
        <f>IF($A436="","",IF($AP436&lt;&gt;"",INDEX(Raw_D1!$D$2:$D$1001,$AP436),IF($AR436&lt;&gt;"",INDEX(Raw_D3!$D$2:$D$1001,$AR436),"")))</f>
        <v>0</v>
      </c>
      <c r="E436" s="5">
        <f>IF($A436="","",IF($AP436&lt;&gt;"",INDEX(Raw_D1!$E$2:$E$1001,$AP436),IF($AR436&lt;&gt;"",INDEX(Raw_D3!$E$2:$E$1001,$AR436),"")))</f>
        <v>1</v>
      </c>
      <c r="F436" s="5">
        <f>IF($A436="","",IF($AP436&lt;&gt;"",INDEX(Raw_D1!$F$2:$F$1001,$AP436),IF($AR436&lt;&gt;"",INDEX(Raw_D3!$F$2:$F$1001,$AR436),"")))</f>
        <v>3</v>
      </c>
      <c r="G436" s="5">
        <f>IF($A436="","",IF($AP436&lt;&gt;"",IF(INDEX(Raw_D1!$G$2:$G$1001,$AP436),1,0),IF($AR436&lt;&gt;"",IF(INDEX(Raw_D3!$G$2:$G$1001,$AR436),1,0),"")))</f>
        <v>0</v>
      </c>
      <c r="H436" s="5">
        <f>IF($A436="","",IF($AP436&lt;&gt;"",INDEX(Raw_D1!$H$2:$H$1001,$AP436),IF($AR436&lt;&gt;"",INDEX(Raw_D3!$H$2:$H$1001,$AR436),"")))</f>
        <v>4</v>
      </c>
      <c r="I436" s="5">
        <f>IF($A436="","",IF($AP436&lt;&gt;"",INDEX(Raw_D1!$I$2:$I$1001,$AP436),IF($AR436&lt;&gt;"",INDEX(Raw_D3!$I$2:$I$1001,$AR436),"")))</f>
        <v>1</v>
      </c>
      <c r="J436" s="16">
        <f>IF($A436="","",IF($AP436&lt;&gt;"",INDEX(Raw_D1!$J$2:$J$1001,$AP436),IF($AR436&lt;&gt;"",INDEX(Raw_D3!$J$2:$J$1001,$AR436),"")))</f>
        <v>0.26</v>
      </c>
      <c r="K436" s="17">
        <f>IF($A436="","",IF($AQ436&lt;&gt;"",IF(INDEX(Raw_D2!$C$2:$C$1001,$AQ436)="","",INDEX(Raw_D2!$C$2:$C$1001,$AQ436)),IF($AR436&lt;&gt;"",IF(INDEX(Raw_D3!$K$2:$K$1001,$AR436)="","",INDEX(Raw_D3!$K$2:$K$1001,$AR436)),"")))</f>
        <v>0.2576</v>
      </c>
      <c r="L436" s="16">
        <f>IF($A436="","",IF($AQ436&lt;&gt;"",IF(INDEX(Raw_D2!$D$2:$D$1001,$AQ436)="","",INDEX(Raw_D2!$D$2:$D$1001,$AQ436)),IF($AR436&lt;&gt;"",IF(INDEX(Raw_D3!$L$2:$L$1001,$AR436)="","",INDEX(Raw_D3!$L$2:$L$1001,$AR436)),"")))</f>
        <v>0.56</v>
      </c>
      <c r="M436" s="17">
        <f>IF($A436="","",IF($AQ436&lt;&gt;"",IF(INDEX(Raw_D2!$E$2:$E$1001,$AQ436)="","",INDEX(Raw_D2!$E$2:$E$1001,$AQ436)),IF($AR436&lt;&gt;"",IF(INDEX(Raw_D3!$M$2:$M$1001,$AR436)="","",INDEX(Raw_D3!$M$2:$M$1001,$AR436)),"")))</f>
        <v>0.1642</v>
      </c>
      <c r="N436" s="5">
        <f>IF($A436="","",IF($AQ436&lt;&gt;"",IF(INDEX(Raw_D2!$F$2:$F$1001,$AQ436)="","",INDEX(Raw_D2!$F$2:$F$1001,$AQ436)),IF($AR436&lt;&gt;"",IF(INDEX(Raw_D3!$N$2:$N$1001,$AR436)="","",INDEX(Raw_D3!$N$2:$N$1001,$AR436)),"")))</f>
        <v>0</v>
      </c>
      <c r="O436" s="5">
        <f>IF($A436="","",IF($AQ436&lt;&gt;"",IF(INDEX(Raw_D2!$G$2:$G$1001,$AQ436)="","",INDEX(Raw_D2!$G$2:$G$1001,$AQ436)),IF($AR436&lt;&gt;"",IF(INDEX(Raw_D3!$O$2:$O$1001,$AR436)="","",INDEX(Raw_D3!$O$2:$O$1001,$AR436)),"")))</f>
        <v>1</v>
      </c>
      <c r="P436" s="5">
        <f>IF($A436="","",IF($AQ436&lt;&gt;"",IF(INDEX(Raw_D2!$H$2:$H$1001,$AQ436)="","",INDEX(Raw_D2!$H$2:$H$1001,$AQ436)),IF($AR436&lt;&gt;"",IF(INDEX(Raw_D3!$P$2:$P$1001,$AR436)="","",INDEX(Raw_D3!$P$2:$P$1001,$AR436)),"")))</f>
        <v>1</v>
      </c>
      <c r="Q436" s="5" t="str">
        <f>IF($A436="","",IF(AND($AP436&lt;&gt;"",$AQ436&lt;&gt;""),"D1+D2",IF($AR436&lt;&gt;"","D3","Incomplete")))</f>
        <v>D1+D2</v>
      </c>
      <c r="R436" s="17">
        <f>IF($A436="","",IF($K436="",IF($J436="","",ROUND(Lookups!$K$5+Lookups!$K$4*$J436,4)),$K436))</f>
        <v>0.2576</v>
      </c>
      <c r="S436" s="5" t="str">
        <f>IF($A436="","",IF($K436="","Imputed","Original"))</f>
        <v>Original</v>
      </c>
      <c r="T436" s="5" t="str">
        <f>IF($A436="","",IF($P436="","Missing",IF($P436=$N436+$O436,"OK","Mismatch")))</f>
        <v>OK</v>
      </c>
      <c r="U436" s="5" t="str">
        <f>IF($A436="","",IF(COUNTIF($A$2:$A436,$A436)&gt;1,"Duplicate","Unique"))</f>
        <v>Unique</v>
      </c>
      <c r="V436" s="5">
        <f>IF($A436="","",IF(AND($U436="Unique",ISNUMBER($P436)),1,0))</f>
        <v>1</v>
      </c>
      <c r="W436" s="5" t="str">
        <f>IF($A436="","",IF(OR($H436=0,$H436=6),"Weekend","Weekday"))</f>
        <v>Weekday</v>
      </c>
      <c r="X436" s="5" t="str">
        <f>IF($A436="","",TEXT($B436,"ddd"))</f>
        <v>Thu</v>
      </c>
      <c r="Y436" s="5" t="str">
        <f>IF($A436="","",TEXT($B436,"mmm"))</f>
        <v>Jan</v>
      </c>
      <c r="Z436" s="5" t="str">
        <f>IF($A436="","",IFERROR(VLOOKUP($C436,Lookups!$D$4:$E$7,2,FALSE),"Unknown"))</f>
        <v>Winter</v>
      </c>
      <c r="AA436" s="5" t="str">
        <f>IF($A436="","",IFERROR(VLOOKUP($I436,Lookups!$A$4:$B$7,2,FALSE),"Unknown"))</f>
        <v>Clear</v>
      </c>
      <c r="AB436" s="5" t="str">
        <f>IF($A436="","",TEXT($F436,"00")&amp;":00")</f>
        <v>03:00</v>
      </c>
      <c r="AC436" s="5" t="str">
        <f>IF($A436="","",VLOOKUP($F436,Lookups!$G$4:$H$8,2,TRUE))</f>
        <v>Night (00-05)</v>
      </c>
      <c r="AD436" s="18">
        <f>IF($A436="","",IF($J436="","",ROUND($J436*41,1)))</f>
        <v>10.7</v>
      </c>
      <c r="AE436" s="18">
        <f>IF($A436="","",IF($R436="","",ROUND($R436*50,1)))</f>
        <v>12.9</v>
      </c>
      <c r="AF436" s="5">
        <f>IF($A436="","",IF($L436="","",ROUND($L436*100,0)))</f>
        <v>56</v>
      </c>
      <c r="AG436" s="18">
        <f>IF($A436="","",IF($M436="","",ROUND($M436*67,1)))</f>
        <v>11</v>
      </c>
      <c r="AH436" s="19">
        <f>IF($A436="","",IF($P436="","",IF($P436=0,0,$O436/$P436)))</f>
        <v>1</v>
      </c>
      <c r="AI436" s="5" t="str">
        <f>IF($A436="","",IF($P436="","",IF($P436&gt;=Lookups!$K$7,"High",IF($P436&lt;=Lookups!$K$8,"Low","Medium"))))</f>
        <v>Low</v>
      </c>
      <c r="AJ436" s="5" t="str">
        <f>IF($A436="","",IF($AD436="","",IF($AD436&lt;5,"Under 5 C",IF($AD436&lt;10,"5-10 C",IF($AD436&lt;15,"10-15 C","15 C and above")))))</f>
        <v>10-15 C</v>
      </c>
      <c r="AK436" s="5">
        <f>IF($A436="","",IF($P436="","",$P436^2))</f>
        <v>1</v>
      </c>
      <c r="AL436" s="18">
        <f>IF($V436&lt;&gt;1,"",AVERAGEIFS(Clean_Data!$P$2:$P$1001,Clean_Data!$F$2:$F$1001,$F436,Clean_Data!$W$2:$W$1001,$W436,Clean_Data!$V$2:$V$1001,1))</f>
        <v>1.41176470588235</v>
      </c>
      <c r="AM436" s="16">
        <f>IF($V436&lt;&gt;1,"",IFERROR(($P436-$AL436)/SQRT(MAX(0,(SUMIFS(Clean_Data!$AK$2:$AK$1001,Clean_Data!$F$2:$F$1001,$F436,Clean_Data!$W$2:$W$1001,$W436,Clean_Data!$V$2:$V$1001,1)-COUNTIFS(Clean_Data!$F$2:$F$1001,$F436,Clean_Data!$W$2:$W$1001,$W436,Clean_Data!$V$2:$V$1001,1)*$AL436^2)/(COUNTIFS(Clean_Data!$F$2:$F$1001,$F436,Clean_Data!$W$2:$W$1001,$W436,Clean_Data!$V$2:$V$1001,1)-1))),""))</f>
        <v>-0.665912091816292</v>
      </c>
      <c r="AN436" s="5" t="str">
        <f>IF($AM436="","",IF($AM436&gt;=Lookups!$K$6,"High spike",IF($AM436&lt;=-Lookups!$K$6,"Unusual low","Normal")))</f>
        <v>Normal</v>
      </c>
      <c r="AO436" s="20">
        <f>IF($V436&lt;&gt;1,"",$P436+ROW()/100000)</f>
        <v>1.00436</v>
      </c>
      <c r="AP436" s="5">
        <f>IF($A436="","",IFERROR(MATCH($A436,Raw_D1!$A$2:$A$1001,0),""))</f>
        <v>435</v>
      </c>
      <c r="AQ436" s="5">
        <f>IF($A436="","",IFERROR(MATCH($A436,Raw_D2!$B$2:$B$1001,0),""))</f>
        <v>435</v>
      </c>
      <c r="AR436" s="5">
        <f>IF($A436="","",IFERROR(MATCH($A436,Raw_D3!$A$2:$A$1001,0),""))</f>
        <v/>
      </c>
    </row>
    <row r="437" spans="1:44" x14ac:dyDescent="0.25">
      <c r="A437" s="5">
        <v>436</v>
      </c>
      <c r="B437" s="11">
        <f>IF($A437="","",IF($AP437&lt;&gt;"",INDEX(Raw_D1!$B$2:$B$1001,$AP437),IF($AR437&lt;&gt;"",INDEX(Raw_D3!$B$2:$B$1001,$AR437),"")))</f>
        <v>40563.0</v>
      </c>
      <c r="C437" s="5">
        <f>IF($A437="","",IF($AP437&lt;&gt;"",INDEX(Raw_D1!$C$2:$C$1001,$AP437),IF($AR437&lt;&gt;"",INDEX(Raw_D3!$C$2:$C$1001,$AR437),"")))</f>
        <v>1</v>
      </c>
      <c r="D437" s="5">
        <f>IF($A437="","",IF($AP437&lt;&gt;"",INDEX(Raw_D1!$D$2:$D$1001,$AP437),IF($AR437&lt;&gt;"",INDEX(Raw_D3!$D$2:$D$1001,$AR437),"")))</f>
        <v>0</v>
      </c>
      <c r="E437" s="5">
        <f>IF($A437="","",IF($AP437&lt;&gt;"",INDEX(Raw_D1!$E$2:$E$1001,$AP437),IF($AR437&lt;&gt;"",INDEX(Raw_D3!$E$2:$E$1001,$AR437),"")))</f>
        <v>1</v>
      </c>
      <c r="F437" s="5">
        <f>IF($A437="","",IF($AP437&lt;&gt;"",INDEX(Raw_D1!$F$2:$F$1001,$AP437),IF($AR437&lt;&gt;"",INDEX(Raw_D3!$F$2:$F$1001,$AR437),"")))</f>
        <v>4</v>
      </c>
      <c r="G437" s="5">
        <f>IF($A437="","",IF($AP437&lt;&gt;"",IF(INDEX(Raw_D1!$G$2:$G$1001,$AP437),1,0),IF($AR437&lt;&gt;"",IF(INDEX(Raw_D3!$G$2:$G$1001,$AR437),1,0),"")))</f>
        <v>0</v>
      </c>
      <c r="H437" s="5">
        <f>IF($A437="","",IF($AP437&lt;&gt;"",INDEX(Raw_D1!$H$2:$H$1001,$AP437),IF($AR437&lt;&gt;"",INDEX(Raw_D3!$H$2:$H$1001,$AR437),"")))</f>
        <v>4</v>
      </c>
      <c r="I437" s="5">
        <f>IF($A437="","",IF($AP437&lt;&gt;"",INDEX(Raw_D1!$I$2:$I$1001,$AP437),IF($AR437&lt;&gt;"",INDEX(Raw_D3!$I$2:$I$1001,$AR437),"")))</f>
        <v>1</v>
      </c>
      <c r="J437" s="16">
        <f>IF($A437="","",IF($AP437&lt;&gt;"",INDEX(Raw_D1!$J$2:$J$1001,$AP437),IF($AR437&lt;&gt;"",INDEX(Raw_D3!$J$2:$J$1001,$AR437),"")))</f>
        <v>0.26</v>
      </c>
      <c r="K437" s="17">
        <f>IF($A437="","",IF($AQ437&lt;&gt;"",IF(INDEX(Raw_D2!$C$2:$C$1001,$AQ437)="","",INDEX(Raw_D2!$C$2:$C$1001,$AQ437)),IF($AR437&lt;&gt;"",IF(INDEX(Raw_D3!$K$2:$K$1001,$AR437)="","",INDEX(Raw_D3!$K$2:$K$1001,$AR437)),"")))</f>
        <v>0.2576</v>
      </c>
      <c r="L437" s="16">
        <f>IF($A437="","",IF($AQ437&lt;&gt;"",IF(INDEX(Raw_D2!$D$2:$D$1001,$AQ437)="","",INDEX(Raw_D2!$D$2:$D$1001,$AQ437)),IF($AR437&lt;&gt;"",IF(INDEX(Raw_D3!$L$2:$L$1001,$AR437)="","",INDEX(Raw_D3!$L$2:$L$1001,$AR437)),"")))</f>
        <v>0.56</v>
      </c>
      <c r="M437" s="17">
        <f>IF($A437="","",IF($AQ437&lt;&gt;"",IF(INDEX(Raw_D2!$E$2:$E$1001,$AQ437)="","",INDEX(Raw_D2!$E$2:$E$1001,$AQ437)),IF($AR437&lt;&gt;"",IF(INDEX(Raw_D3!$M$2:$M$1001,$AR437)="","",INDEX(Raw_D3!$M$2:$M$1001,$AR437)),"")))</f>
        <v>0.1642</v>
      </c>
      <c r="N437" s="5">
        <f>IF($A437="","",IF($AQ437&lt;&gt;"",IF(INDEX(Raw_D2!$F$2:$F$1001,$AQ437)="","",INDEX(Raw_D2!$F$2:$F$1001,$AQ437)),IF($AR437&lt;&gt;"",IF(INDEX(Raw_D3!$N$2:$N$1001,$AR437)="","",INDEX(Raw_D3!$N$2:$N$1001,$AR437)),"")))</f>
        <v>0</v>
      </c>
      <c r="O437" s="5">
        <f>IF($A437="","",IF($AQ437&lt;&gt;"",IF(INDEX(Raw_D2!$G$2:$G$1001,$AQ437)="","",INDEX(Raw_D2!$G$2:$G$1001,$AQ437)),IF($AR437&lt;&gt;"",IF(INDEX(Raw_D3!$O$2:$O$1001,$AR437)="","",INDEX(Raw_D3!$O$2:$O$1001,$AR437)),"")))</f>
        <v>1</v>
      </c>
      <c r="P437" s="5">
        <f>IF($A437="","",IF($AQ437&lt;&gt;"",IF(INDEX(Raw_D2!$H$2:$H$1001,$AQ437)="","",INDEX(Raw_D2!$H$2:$H$1001,$AQ437)),IF($AR437&lt;&gt;"",IF(INDEX(Raw_D3!$P$2:$P$1001,$AR437)="","",INDEX(Raw_D3!$P$2:$P$1001,$AR437)),"")))</f>
        <v>1</v>
      </c>
      <c r="Q437" s="5" t="str">
        <f>IF($A437="","",IF(AND($AP437&lt;&gt;"",$AQ437&lt;&gt;""),"D1+D2",IF($AR437&lt;&gt;"","D3","Incomplete")))</f>
        <v>D1+D2</v>
      </c>
      <c r="R437" s="17">
        <f>IF($A437="","",IF($K437="",IF($J437="","",ROUND(Lookups!$K$5+Lookups!$K$4*$J437,4)),$K437))</f>
        <v>0.2576</v>
      </c>
      <c r="S437" s="5" t="str">
        <f>IF($A437="","",IF($K437="","Imputed","Original"))</f>
        <v>Original</v>
      </c>
      <c r="T437" s="5" t="str">
        <f>IF($A437="","",IF($P437="","Missing",IF($P437=$N437+$O437,"OK","Mismatch")))</f>
        <v>OK</v>
      </c>
      <c r="U437" s="5" t="str">
        <f>IF($A437="","",IF(COUNTIF($A$2:$A437,$A437)&gt;1,"Duplicate","Unique"))</f>
        <v>Unique</v>
      </c>
      <c r="V437" s="5">
        <f>IF($A437="","",IF(AND($U437="Unique",ISNUMBER($P437)),1,0))</f>
        <v>1</v>
      </c>
      <c r="W437" s="5" t="str">
        <f>IF($A437="","",IF(OR($H437=0,$H437=6),"Weekend","Weekday"))</f>
        <v>Weekday</v>
      </c>
      <c r="X437" s="5" t="str">
        <f>IF($A437="","",TEXT($B437,"ddd"))</f>
        <v>Thu</v>
      </c>
      <c r="Y437" s="5" t="str">
        <f>IF($A437="","",TEXT($B437,"mmm"))</f>
        <v>Jan</v>
      </c>
      <c r="Z437" s="5" t="str">
        <f>IF($A437="","",IFERROR(VLOOKUP($C437,Lookups!$D$4:$E$7,2,FALSE),"Unknown"))</f>
        <v>Winter</v>
      </c>
      <c r="AA437" s="5" t="str">
        <f>IF($A437="","",IFERROR(VLOOKUP($I437,Lookups!$A$4:$B$7,2,FALSE),"Unknown"))</f>
        <v>Clear</v>
      </c>
      <c r="AB437" s="5" t="str">
        <f>IF($A437="","",TEXT($F437,"00")&amp;":00")</f>
        <v>04:00</v>
      </c>
      <c r="AC437" s="5" t="str">
        <f>IF($A437="","",VLOOKUP($F437,Lookups!$G$4:$H$8,2,TRUE))</f>
        <v>Night (00-05)</v>
      </c>
      <c r="AD437" s="18">
        <f>IF($A437="","",IF($J437="","",ROUND($J437*41,1)))</f>
        <v>10.7</v>
      </c>
      <c r="AE437" s="18">
        <f>IF($A437="","",IF($R437="","",ROUND($R437*50,1)))</f>
        <v>12.9</v>
      </c>
      <c r="AF437" s="5">
        <f>IF($A437="","",IF($L437="","",ROUND($L437*100,0)))</f>
        <v>56</v>
      </c>
      <c r="AG437" s="18">
        <f>IF($A437="","",IF($M437="","",ROUND($M437*67,1)))</f>
        <v>11</v>
      </c>
      <c r="AH437" s="19">
        <f>IF($A437="","",IF($P437="","",IF($P437=0,0,$O437/$P437)))</f>
        <v>1</v>
      </c>
      <c r="AI437" s="5" t="str">
        <f>IF($A437="","",IF($P437="","",IF($P437&gt;=Lookups!$K$7,"High",IF($P437&lt;=Lookups!$K$8,"Low","Medium"))))</f>
        <v>Low</v>
      </c>
      <c r="AJ437" s="5" t="str">
        <f>IF($A437="","",IF($AD437="","",IF($AD437&lt;5,"Under 5 C",IF($AD437&lt;10,"5-10 C",IF($AD437&lt;15,"10-15 C","15 C and above")))))</f>
        <v>10-15 C</v>
      </c>
      <c r="AK437" s="5">
        <f>IF($A437="","",IF($P437="","",$P437^2))</f>
        <v>1</v>
      </c>
      <c r="AL437" s="18">
        <f>IF($V437&lt;&gt;1,"",AVERAGEIFS(Clean_Data!$P$2:$P$1001,Clean_Data!$F$2:$F$1001,$F437,Clean_Data!$W$2:$W$1001,$W437,Clean_Data!$V$2:$V$1001,1))</f>
        <v>1.78947368421053</v>
      </c>
      <c r="AM437" s="16">
        <f>IF($V437&lt;&gt;1,"",IFERROR(($P437-$AL437)/SQRT(MAX(0,(SUMIFS(Clean_Data!$AK$2:$AK$1001,Clean_Data!$F$2:$F$1001,$F437,Clean_Data!$W$2:$W$1001,$W437,Clean_Data!$V$2:$V$1001,1)-COUNTIFS(Clean_Data!$F$2:$F$1001,$F437,Clean_Data!$W$2:$W$1001,$W437,Clean_Data!$V$2:$V$1001,1)*$AL437^2)/(COUNTIFS(Clean_Data!$F$2:$F$1001,$F437,Clean_Data!$W$2:$W$1001,$W437,Clean_Data!$V$2:$V$1001,1)-1))),""))</f>
        <v>-0.860309002014607</v>
      </c>
      <c r="AN437" s="5" t="str">
        <f>IF($AM437="","",IF($AM437&gt;=Lookups!$K$6,"High spike",IF($AM437&lt;=-Lookups!$K$6,"Unusual low","Normal")))</f>
        <v>Normal</v>
      </c>
      <c r="AO437" s="20">
        <f>IF($V437&lt;&gt;1,"",$P437+ROW()/100000)</f>
        <v>1.00437</v>
      </c>
      <c r="AP437" s="5">
        <f>IF($A437="","",IFERROR(MATCH($A437,Raw_D1!$A$2:$A$1001,0),""))</f>
        <v>436</v>
      </c>
      <c r="AQ437" s="5">
        <f>IF($A437="","",IFERROR(MATCH($A437,Raw_D2!$B$2:$B$1001,0),""))</f>
        <v>436</v>
      </c>
      <c r="AR437" s="5">
        <f>IF($A437="","",IFERROR(MATCH($A437,Raw_D3!$A$2:$A$1001,0),""))</f>
        <v/>
      </c>
    </row>
    <row r="438" spans="1:44" x14ac:dyDescent="0.25">
      <c r="A438" s="5">
        <v>437</v>
      </c>
      <c r="B438" s="11">
        <f>IF($A438="","",IF($AP438&lt;&gt;"",INDEX(Raw_D1!$B$2:$B$1001,$AP438),IF($AR438&lt;&gt;"",INDEX(Raw_D3!$B$2:$B$1001,$AR438),"")))</f>
        <v>40563.0</v>
      </c>
      <c r="C438" s="5">
        <f>IF($A438="","",IF($AP438&lt;&gt;"",INDEX(Raw_D1!$C$2:$C$1001,$AP438),IF($AR438&lt;&gt;"",INDEX(Raw_D3!$C$2:$C$1001,$AR438),"")))</f>
        <v>1</v>
      </c>
      <c r="D438" s="5">
        <f>IF($A438="","",IF($AP438&lt;&gt;"",INDEX(Raw_D1!$D$2:$D$1001,$AP438),IF($AR438&lt;&gt;"",INDEX(Raw_D3!$D$2:$D$1001,$AR438),"")))</f>
        <v>0</v>
      </c>
      <c r="E438" s="5">
        <f>IF($A438="","",IF($AP438&lt;&gt;"",INDEX(Raw_D1!$E$2:$E$1001,$AP438),IF($AR438&lt;&gt;"",INDEX(Raw_D3!$E$2:$E$1001,$AR438),"")))</f>
        <v>1</v>
      </c>
      <c r="F438" s="5">
        <f>IF($A438="","",IF($AP438&lt;&gt;"",INDEX(Raw_D1!$F$2:$F$1001,$AP438),IF($AR438&lt;&gt;"",INDEX(Raw_D3!$F$2:$F$1001,$AR438),"")))</f>
        <v>5</v>
      </c>
      <c r="G438" s="5">
        <f>IF($A438="","",IF($AP438&lt;&gt;"",IF(INDEX(Raw_D1!$G$2:$G$1001,$AP438),1,0),IF($AR438&lt;&gt;"",IF(INDEX(Raw_D3!$G$2:$G$1001,$AR438),1,0),"")))</f>
        <v>0</v>
      </c>
      <c r="H438" s="5">
        <f>IF($A438="","",IF($AP438&lt;&gt;"",INDEX(Raw_D1!$H$2:$H$1001,$AP438),IF($AR438&lt;&gt;"",INDEX(Raw_D3!$H$2:$H$1001,$AR438),"")))</f>
        <v>4</v>
      </c>
      <c r="I438" s="5">
        <f>IF($A438="","",IF($AP438&lt;&gt;"",INDEX(Raw_D1!$I$2:$I$1001,$AP438),IF($AR438&lt;&gt;"",INDEX(Raw_D3!$I$2:$I$1001,$AR438),"")))</f>
        <v>1</v>
      </c>
      <c r="J438" s="16">
        <f>IF($A438="","",IF($AP438&lt;&gt;"",INDEX(Raw_D1!$J$2:$J$1001,$AP438),IF($AR438&lt;&gt;"",INDEX(Raw_D3!$J$2:$J$1001,$AR438),"")))</f>
        <v>0.24</v>
      </c>
      <c r="K438" s="17">
        <f>IF($A438="","",IF($AQ438&lt;&gt;"",IF(INDEX(Raw_D2!$C$2:$C$1001,$AQ438)="","",INDEX(Raw_D2!$C$2:$C$1001,$AQ438)),IF($AR438&lt;&gt;"",IF(INDEX(Raw_D3!$K$2:$K$1001,$AR438)="","",INDEX(Raw_D3!$K$2:$K$1001,$AR438)),"")))</f>
        <v>0.2273</v>
      </c>
      <c r="L438" s="16">
        <f>IF($A438="","",IF($AQ438&lt;&gt;"",IF(INDEX(Raw_D2!$D$2:$D$1001,$AQ438)="","",INDEX(Raw_D2!$D$2:$D$1001,$AQ438)),IF($AR438&lt;&gt;"",IF(INDEX(Raw_D3!$L$2:$L$1001,$AR438)="","",INDEX(Raw_D3!$L$2:$L$1001,$AR438)),"")))</f>
        <v>0.6</v>
      </c>
      <c r="M438" s="17">
        <f>IF($A438="","",IF($AQ438&lt;&gt;"",IF(INDEX(Raw_D2!$E$2:$E$1001,$AQ438)="","",INDEX(Raw_D2!$E$2:$E$1001,$AQ438)),IF($AR438&lt;&gt;"",IF(INDEX(Raw_D3!$M$2:$M$1001,$AR438)="","",INDEX(Raw_D3!$M$2:$M$1001,$AR438)),"")))</f>
        <v>0.2239</v>
      </c>
      <c r="N438" s="5">
        <f>IF($A438="","",IF($AQ438&lt;&gt;"",IF(INDEX(Raw_D2!$F$2:$F$1001,$AQ438)="","",INDEX(Raw_D2!$F$2:$F$1001,$AQ438)),IF($AR438&lt;&gt;"",IF(INDEX(Raw_D3!$N$2:$N$1001,$AR438)="","",INDEX(Raw_D3!$N$2:$N$1001,$AR438)),"")))</f>
        <v>0</v>
      </c>
      <c r="O438" s="5">
        <f>IF($A438="","",IF($AQ438&lt;&gt;"",IF(INDEX(Raw_D2!$G$2:$G$1001,$AQ438)="","",INDEX(Raw_D2!$G$2:$G$1001,$AQ438)),IF($AR438&lt;&gt;"",IF(INDEX(Raw_D3!$O$2:$O$1001,$AR438)="","",INDEX(Raw_D3!$O$2:$O$1001,$AR438)),"")))</f>
        <v>6</v>
      </c>
      <c r="P438" s="5">
        <f>IF($A438="","",IF($AQ438&lt;&gt;"",IF(INDEX(Raw_D2!$H$2:$H$1001,$AQ438)="","",INDEX(Raw_D2!$H$2:$H$1001,$AQ438)),IF($AR438&lt;&gt;"",IF(INDEX(Raw_D3!$P$2:$P$1001,$AR438)="","",INDEX(Raw_D3!$P$2:$P$1001,$AR438)),"")))</f>
        <v>6</v>
      </c>
      <c r="Q438" s="5" t="str">
        <f>IF($A438="","",IF(AND($AP438&lt;&gt;"",$AQ438&lt;&gt;""),"D1+D2",IF($AR438&lt;&gt;"","D3","Incomplete")))</f>
        <v>D1+D2</v>
      </c>
      <c r="R438" s="17">
        <f>IF($A438="","",IF($K438="",IF($J438="","",ROUND(Lookups!$K$5+Lookups!$K$4*$J438,4)),$K438))</f>
        <v>0.2273</v>
      </c>
      <c r="S438" s="5" t="str">
        <f>IF($A438="","",IF($K438="","Imputed","Original"))</f>
        <v>Original</v>
      </c>
      <c r="T438" s="5" t="str">
        <f>IF($A438="","",IF($P438="","Missing",IF($P438=$N438+$O438,"OK","Mismatch")))</f>
        <v>OK</v>
      </c>
      <c r="U438" s="5" t="str">
        <f>IF($A438="","",IF(COUNTIF($A$2:$A438,$A438)&gt;1,"Duplicate","Unique"))</f>
        <v>Unique</v>
      </c>
      <c r="V438" s="5">
        <f>IF($A438="","",IF(AND($U438="Unique",ISNUMBER($P438)),1,0))</f>
        <v>1</v>
      </c>
      <c r="W438" s="5" t="str">
        <f>IF($A438="","",IF(OR($H438=0,$H438=6),"Weekend","Weekday"))</f>
        <v>Weekday</v>
      </c>
      <c r="X438" s="5" t="str">
        <f>IF($A438="","",TEXT($B438,"ddd"))</f>
        <v>Thu</v>
      </c>
      <c r="Y438" s="5" t="str">
        <f>IF($A438="","",TEXT($B438,"mmm"))</f>
        <v>Jan</v>
      </c>
      <c r="Z438" s="5" t="str">
        <f>IF($A438="","",IFERROR(VLOOKUP($C438,Lookups!$D$4:$E$7,2,FALSE),"Unknown"))</f>
        <v>Winter</v>
      </c>
      <c r="AA438" s="5" t="str">
        <f>IF($A438="","",IFERROR(VLOOKUP($I438,Lookups!$A$4:$B$7,2,FALSE),"Unknown"))</f>
        <v>Clear</v>
      </c>
      <c r="AB438" s="5" t="str">
        <f>IF($A438="","",TEXT($F438,"00")&amp;":00")</f>
        <v>05:00</v>
      </c>
      <c r="AC438" s="5" t="str">
        <f>IF($A438="","",VLOOKUP($F438,Lookups!$G$4:$H$8,2,TRUE))</f>
        <v>Night (00-05)</v>
      </c>
      <c r="AD438" s="18">
        <f>IF($A438="","",IF($J438="","",ROUND($J438*41,1)))</f>
        <v>9.8</v>
      </c>
      <c r="AE438" s="18">
        <f>IF($A438="","",IF($R438="","",ROUND($R438*50,1)))</f>
        <v>11.4</v>
      </c>
      <c r="AF438" s="5">
        <f>IF($A438="","",IF($L438="","",ROUND($L438*100,0)))</f>
        <v>60</v>
      </c>
      <c r="AG438" s="18">
        <f>IF($A438="","",IF($M438="","",ROUND($M438*67,1)))</f>
        <v>15</v>
      </c>
      <c r="AH438" s="19">
        <f>IF($A438="","",IF($P438="","",IF($P438=0,0,$O438/$P438)))</f>
        <v>1</v>
      </c>
      <c r="AI438" s="5" t="str">
        <f>IF($A438="","",IF($P438="","",IF($P438&gt;=Lookups!$K$7,"High",IF($P438&lt;=Lookups!$K$8,"Low","Medium"))))</f>
        <v>Low</v>
      </c>
      <c r="AJ438" s="5" t="str">
        <f>IF($A438="","",IF($AD438="","",IF($AD438&lt;5,"Under 5 C",IF($AD438&lt;10,"5-10 C",IF($AD438&lt;15,"10-15 C","15 C and above")))))</f>
        <v>5-10 C</v>
      </c>
      <c r="AK438" s="5">
        <f>IF($A438="","",IF($P438="","",$P438^2))</f>
        <v>36</v>
      </c>
      <c r="AL438" s="18">
        <f>IF($V438&lt;&gt;1,"",AVERAGEIFS(Clean_Data!$P$2:$P$1001,Clean_Data!$F$2:$F$1001,$F438,Clean_Data!$W$2:$W$1001,$W438,Clean_Data!$V$2:$V$1001,1))</f>
        <v>4.72413793103448</v>
      </c>
      <c r="AM438" s="16">
        <f>IF($V438&lt;&gt;1,"",IFERROR(($P438-$AL438)/SQRT(MAX(0,(SUMIFS(Clean_Data!$AK$2:$AK$1001,Clean_Data!$F$2:$F$1001,$F438,Clean_Data!$W$2:$W$1001,$W438,Clean_Data!$V$2:$V$1001,1)-COUNTIFS(Clean_Data!$F$2:$F$1001,$F438,Clean_Data!$W$2:$W$1001,$W438,Clean_Data!$V$2:$V$1001,1)*$AL438^2)/(COUNTIFS(Clean_Data!$F$2:$F$1001,$F438,Clean_Data!$W$2:$W$1001,$W438,Clean_Data!$V$2:$V$1001,1)-1))),""))</f>
        <v>0.54439523022565</v>
      </c>
      <c r="AN438" s="5" t="str">
        <f>IF($AM438="","",IF($AM438&gt;=Lookups!$K$6,"High spike",IF($AM438&lt;=-Lookups!$K$6,"Unusual low","Normal")))</f>
        <v>Normal</v>
      </c>
      <c r="AO438" s="20">
        <f>IF($V438&lt;&gt;1,"",$P438+ROW()/100000)</f>
        <v>6.00438</v>
      </c>
      <c r="AP438" s="5">
        <f>IF($A438="","",IFERROR(MATCH($A438,Raw_D1!$A$2:$A$1001,0),""))</f>
        <v>437</v>
      </c>
      <c r="AQ438" s="5">
        <f>IF($A438="","",IFERROR(MATCH($A438,Raw_D2!$B$2:$B$1001,0),""))</f>
        <v>437</v>
      </c>
      <c r="AR438" s="5">
        <f>IF($A438="","",IFERROR(MATCH($A438,Raw_D3!$A$2:$A$1001,0),""))</f>
        <v/>
      </c>
    </row>
    <row r="439" spans="1:44" x14ac:dyDescent="0.25">
      <c r="A439" s="5">
        <v>438</v>
      </c>
      <c r="B439" s="11">
        <f>IF($A439="","",IF($AP439&lt;&gt;"",INDEX(Raw_D1!$B$2:$B$1001,$AP439),IF($AR439&lt;&gt;"",INDEX(Raw_D3!$B$2:$B$1001,$AR439),"")))</f>
        <v>40563.0</v>
      </c>
      <c r="C439" s="5">
        <f>IF($A439="","",IF($AP439&lt;&gt;"",INDEX(Raw_D1!$C$2:$C$1001,$AP439),IF($AR439&lt;&gt;"",INDEX(Raw_D3!$C$2:$C$1001,$AR439),"")))</f>
        <v>1</v>
      </c>
      <c r="D439" s="5">
        <f>IF($A439="","",IF($AP439&lt;&gt;"",INDEX(Raw_D1!$D$2:$D$1001,$AP439),IF($AR439&lt;&gt;"",INDEX(Raw_D3!$D$2:$D$1001,$AR439),"")))</f>
        <v>0</v>
      </c>
      <c r="E439" s="5">
        <f>IF($A439="","",IF($AP439&lt;&gt;"",INDEX(Raw_D1!$E$2:$E$1001,$AP439),IF($AR439&lt;&gt;"",INDEX(Raw_D3!$E$2:$E$1001,$AR439),"")))</f>
        <v>1</v>
      </c>
      <c r="F439" s="5">
        <f>IF($A439="","",IF($AP439&lt;&gt;"",INDEX(Raw_D1!$F$2:$F$1001,$AP439),IF($AR439&lt;&gt;"",INDEX(Raw_D3!$F$2:$F$1001,$AR439),"")))</f>
        <v>6</v>
      </c>
      <c r="G439" s="5">
        <f>IF($A439="","",IF($AP439&lt;&gt;"",IF(INDEX(Raw_D1!$G$2:$G$1001,$AP439),1,0),IF($AR439&lt;&gt;"",IF(INDEX(Raw_D3!$G$2:$G$1001,$AR439),1,0),"")))</f>
        <v>0</v>
      </c>
      <c r="H439" s="5">
        <f>IF($A439="","",IF($AP439&lt;&gt;"",INDEX(Raw_D1!$H$2:$H$1001,$AP439),IF($AR439&lt;&gt;"",INDEX(Raw_D3!$H$2:$H$1001,$AR439),"")))</f>
        <v>4</v>
      </c>
      <c r="I439" s="5">
        <f>IF($A439="","",IF($AP439&lt;&gt;"",INDEX(Raw_D1!$I$2:$I$1001,$AP439),IF($AR439&lt;&gt;"",INDEX(Raw_D3!$I$2:$I$1001,$AR439),"")))</f>
        <v>1</v>
      </c>
      <c r="J439" s="16">
        <f>IF($A439="","",IF($AP439&lt;&gt;"",INDEX(Raw_D1!$J$2:$J$1001,$AP439),IF($AR439&lt;&gt;"",INDEX(Raw_D3!$J$2:$J$1001,$AR439),"")))</f>
        <v>0.22</v>
      </c>
      <c r="K439" s="17">
        <f>IF($A439="","",IF($AQ439&lt;&gt;"",IF(INDEX(Raw_D2!$C$2:$C$1001,$AQ439)="","",INDEX(Raw_D2!$C$2:$C$1001,$AQ439)),IF($AR439&lt;&gt;"",IF(INDEX(Raw_D3!$K$2:$K$1001,$AR439)="","",INDEX(Raw_D3!$K$2:$K$1001,$AR439)),"")))</f>
        <v>0.2121</v>
      </c>
      <c r="L439" s="16">
        <f>IF($A439="","",IF($AQ439&lt;&gt;"",IF(INDEX(Raw_D2!$D$2:$D$1001,$AQ439)="","",INDEX(Raw_D2!$D$2:$D$1001,$AQ439)),IF($AR439&lt;&gt;"",IF(INDEX(Raw_D3!$L$2:$L$1001,$AR439)="","",INDEX(Raw_D3!$L$2:$L$1001,$AR439)),"")))</f>
        <v>0.6</v>
      </c>
      <c r="M439" s="17">
        <f>IF($A439="","",IF($AQ439&lt;&gt;"",IF(INDEX(Raw_D2!$E$2:$E$1001,$AQ439)="","",INDEX(Raw_D2!$E$2:$E$1001,$AQ439)),IF($AR439&lt;&gt;"",IF(INDEX(Raw_D3!$M$2:$M$1001,$AR439)="","",INDEX(Raw_D3!$M$2:$M$1001,$AR439)),"")))</f>
        <v>0.2239</v>
      </c>
      <c r="N439" s="5">
        <f>IF($A439="","",IF($AQ439&lt;&gt;"",IF(INDEX(Raw_D2!$F$2:$F$1001,$AQ439)="","",INDEX(Raw_D2!$F$2:$F$1001,$AQ439)),IF($AR439&lt;&gt;"",IF(INDEX(Raw_D3!$N$2:$N$1001,$AR439)="","",INDEX(Raw_D3!$N$2:$N$1001,$AR439)),"")))</f>
        <v>0</v>
      </c>
      <c r="O439" s="5">
        <f>IF($A439="","",IF($AQ439&lt;&gt;"",IF(INDEX(Raw_D2!$G$2:$G$1001,$AQ439)="","",INDEX(Raw_D2!$G$2:$G$1001,$AQ439)),IF($AR439&lt;&gt;"",IF(INDEX(Raw_D3!$O$2:$O$1001,$AR439)="","",INDEX(Raw_D3!$O$2:$O$1001,$AR439)),"")))</f>
        <v>35</v>
      </c>
      <c r="P439" s="5">
        <f>IF($A439="","",IF($AQ439&lt;&gt;"",IF(INDEX(Raw_D2!$H$2:$H$1001,$AQ439)="","",INDEX(Raw_D2!$H$2:$H$1001,$AQ439)),IF($AR439&lt;&gt;"",IF(INDEX(Raw_D3!$P$2:$P$1001,$AR439)="","",INDEX(Raw_D3!$P$2:$P$1001,$AR439)),"")))</f>
        <v>35</v>
      </c>
      <c r="Q439" s="5" t="str">
        <f>IF($A439="","",IF(AND($AP439&lt;&gt;"",$AQ439&lt;&gt;""),"D1+D2",IF($AR439&lt;&gt;"","D3","Incomplete")))</f>
        <v>D1+D2</v>
      </c>
      <c r="R439" s="17">
        <f>IF($A439="","",IF($K439="",IF($J439="","",ROUND(Lookups!$K$5+Lookups!$K$4*$J439,4)),$K439))</f>
        <v>0.2121</v>
      </c>
      <c r="S439" s="5" t="str">
        <f>IF($A439="","",IF($K439="","Imputed","Original"))</f>
        <v>Original</v>
      </c>
      <c r="T439" s="5" t="str">
        <f>IF($A439="","",IF($P439="","Missing",IF($P439=$N439+$O439,"OK","Mismatch")))</f>
        <v>OK</v>
      </c>
      <c r="U439" s="5" t="str">
        <f>IF($A439="","",IF(COUNTIF($A$2:$A439,$A439)&gt;1,"Duplicate","Unique"))</f>
        <v>Unique</v>
      </c>
      <c r="V439" s="5">
        <f>IF($A439="","",IF(AND($U439="Unique",ISNUMBER($P439)),1,0))</f>
        <v>1</v>
      </c>
      <c r="W439" s="5" t="str">
        <f>IF($A439="","",IF(OR($H439=0,$H439=6),"Weekend","Weekday"))</f>
        <v>Weekday</v>
      </c>
      <c r="X439" s="5" t="str">
        <f>IF($A439="","",TEXT($B439,"ddd"))</f>
        <v>Thu</v>
      </c>
      <c r="Y439" s="5" t="str">
        <f>IF($A439="","",TEXT($B439,"mmm"))</f>
        <v>Jan</v>
      </c>
      <c r="Z439" s="5" t="str">
        <f>IF($A439="","",IFERROR(VLOOKUP($C439,Lookups!$D$4:$E$7,2,FALSE),"Unknown"))</f>
        <v>Winter</v>
      </c>
      <c r="AA439" s="5" t="str">
        <f>IF($A439="","",IFERROR(VLOOKUP($I439,Lookups!$A$4:$B$7,2,FALSE),"Unknown"))</f>
        <v>Clear</v>
      </c>
      <c r="AB439" s="5" t="str">
        <f>IF($A439="","",TEXT($F439,"00")&amp;":00")</f>
        <v>06:00</v>
      </c>
      <c r="AC439" s="5" t="str">
        <f>IF($A439="","",VLOOKUP($F439,Lookups!$G$4:$H$8,2,TRUE))</f>
        <v>Morning Peak (06-09)</v>
      </c>
      <c r="AD439" s="18">
        <f>IF($A439="","",IF($J439="","",ROUND($J439*41,1)))</f>
        <v>9</v>
      </c>
      <c r="AE439" s="18">
        <f>IF($A439="","",IF($R439="","",ROUND($R439*50,1)))</f>
        <v>10.6</v>
      </c>
      <c r="AF439" s="5">
        <f>IF($A439="","",IF($L439="","",ROUND($L439*100,0)))</f>
        <v>60</v>
      </c>
      <c r="AG439" s="18">
        <f>IF($A439="","",IF($M439="","",ROUND($M439*67,1)))</f>
        <v>15</v>
      </c>
      <c r="AH439" s="19">
        <f>IF($A439="","",IF($P439="","",IF($P439=0,0,$O439/$P439)))</f>
        <v>1</v>
      </c>
      <c r="AI439" s="5" t="str">
        <f>IF($A439="","",IF($P439="","",IF($P439&gt;=Lookups!$K$7,"High",IF($P439&lt;=Lookups!$K$8,"Low","Medium"))))</f>
        <v>Medium</v>
      </c>
      <c r="AJ439" s="5" t="str">
        <f>IF($A439="","",IF($AD439="","",IF($AD439&lt;5,"Under 5 C",IF($AD439&lt;10,"5-10 C",IF($AD439&lt;15,"10-15 C","15 C and above")))))</f>
        <v>5-10 C</v>
      </c>
      <c r="AK439" s="5">
        <f>IF($A439="","",IF($P439="","",$P439^2))</f>
        <v>1225</v>
      </c>
      <c r="AL439" s="18">
        <f>IF($V439&lt;&gt;1,"",AVERAGEIFS(Clean_Data!$P$2:$P$1001,Clean_Data!$F$2:$F$1001,$F439,Clean_Data!$W$2:$W$1001,$W439,Clean_Data!$V$2:$V$1001,1))</f>
        <v>27.3793103448276</v>
      </c>
      <c r="AM439" s="16">
        <f>IF($V439&lt;&gt;1,"",IFERROR(($P439-$AL439)/SQRT(MAX(0,(SUMIFS(Clean_Data!$AK$2:$AK$1001,Clean_Data!$F$2:$F$1001,$F439,Clean_Data!$W$2:$W$1001,$W439,Clean_Data!$V$2:$V$1001,1)-COUNTIFS(Clean_Data!$F$2:$F$1001,$F439,Clean_Data!$W$2:$W$1001,$W439,Clean_Data!$V$2:$V$1001,1)*$AL439^2)/(COUNTIFS(Clean_Data!$F$2:$F$1001,$F439,Clean_Data!$W$2:$W$1001,$W439,Clean_Data!$V$2:$V$1001,1)-1))),""))</f>
        <v>0.799992091071314</v>
      </c>
      <c r="AN439" s="5" t="str">
        <f>IF($AM439="","",IF($AM439&gt;=Lookups!$K$6,"High spike",IF($AM439&lt;=-Lookups!$K$6,"Unusual low","Normal")))</f>
        <v>Normal</v>
      </c>
      <c r="AO439" s="20">
        <f>IF($V439&lt;&gt;1,"",$P439+ROW()/100000)</f>
        <v>35.00439</v>
      </c>
      <c r="AP439" s="5">
        <f>IF($A439="","",IFERROR(MATCH($A439,Raw_D1!$A$2:$A$1001,0),""))</f>
        <v>438</v>
      </c>
      <c r="AQ439" s="5">
        <f>IF($A439="","",IFERROR(MATCH($A439,Raw_D2!$B$2:$B$1001,0),""))</f>
        <v>438</v>
      </c>
      <c r="AR439" s="5">
        <f>IF($A439="","",IFERROR(MATCH($A439,Raw_D3!$A$2:$A$1001,0),""))</f>
        <v/>
      </c>
    </row>
    <row r="440" spans="1:44" x14ac:dyDescent="0.25">
      <c r="A440" s="5">
        <v>439</v>
      </c>
      <c r="B440" s="11">
        <f>IF($A440="","",IF($AP440&lt;&gt;"",INDEX(Raw_D1!$B$2:$B$1001,$AP440),IF($AR440&lt;&gt;"",INDEX(Raw_D3!$B$2:$B$1001,$AR440),"")))</f>
        <v>40563.0</v>
      </c>
      <c r="C440" s="5">
        <f>IF($A440="","",IF($AP440&lt;&gt;"",INDEX(Raw_D1!$C$2:$C$1001,$AP440),IF($AR440&lt;&gt;"",INDEX(Raw_D3!$C$2:$C$1001,$AR440),"")))</f>
        <v>1</v>
      </c>
      <c r="D440" s="5">
        <f>IF($A440="","",IF($AP440&lt;&gt;"",INDEX(Raw_D1!$D$2:$D$1001,$AP440),IF($AR440&lt;&gt;"",INDEX(Raw_D3!$D$2:$D$1001,$AR440),"")))</f>
        <v>0</v>
      </c>
      <c r="E440" s="5">
        <f>IF($A440="","",IF($AP440&lt;&gt;"",INDEX(Raw_D1!$E$2:$E$1001,$AP440),IF($AR440&lt;&gt;"",INDEX(Raw_D3!$E$2:$E$1001,$AR440),"")))</f>
        <v>1</v>
      </c>
      <c r="F440" s="5">
        <f>IF($A440="","",IF($AP440&lt;&gt;"",INDEX(Raw_D1!$F$2:$F$1001,$AP440),IF($AR440&lt;&gt;"",INDEX(Raw_D3!$F$2:$F$1001,$AR440),"")))</f>
        <v>7</v>
      </c>
      <c r="G440" s="5">
        <f>IF($A440="","",IF($AP440&lt;&gt;"",IF(INDEX(Raw_D1!$G$2:$G$1001,$AP440),1,0),IF($AR440&lt;&gt;"",IF(INDEX(Raw_D3!$G$2:$G$1001,$AR440),1,0),"")))</f>
        <v>0</v>
      </c>
      <c r="H440" s="5">
        <f>IF($A440="","",IF($AP440&lt;&gt;"",INDEX(Raw_D1!$H$2:$H$1001,$AP440),IF($AR440&lt;&gt;"",INDEX(Raw_D3!$H$2:$H$1001,$AR440),"")))</f>
        <v>4</v>
      </c>
      <c r="I440" s="5">
        <f>IF($A440="","",IF($AP440&lt;&gt;"",INDEX(Raw_D1!$I$2:$I$1001,$AP440),IF($AR440&lt;&gt;"",INDEX(Raw_D3!$I$2:$I$1001,$AR440),"")))</f>
        <v>1</v>
      </c>
      <c r="J440" s="16">
        <f>IF($A440="","",IF($AP440&lt;&gt;"",INDEX(Raw_D1!$J$2:$J$1001,$AP440),IF($AR440&lt;&gt;"",INDEX(Raw_D3!$J$2:$J$1001,$AR440),"")))</f>
        <v>0.22</v>
      </c>
      <c r="K440" s="17">
        <f>IF($A440="","",IF($AQ440&lt;&gt;"",IF(INDEX(Raw_D2!$C$2:$C$1001,$AQ440)="","",INDEX(Raw_D2!$C$2:$C$1001,$AQ440)),IF($AR440&lt;&gt;"",IF(INDEX(Raw_D3!$K$2:$K$1001,$AR440)="","",INDEX(Raw_D3!$K$2:$K$1001,$AR440)),"")))</f>
        <v>0.2121</v>
      </c>
      <c r="L440" s="16">
        <f>IF($A440="","",IF($AQ440&lt;&gt;"",IF(INDEX(Raw_D2!$D$2:$D$1001,$AQ440)="","",INDEX(Raw_D2!$D$2:$D$1001,$AQ440)),IF($AR440&lt;&gt;"",IF(INDEX(Raw_D3!$L$2:$L$1001,$AR440)="","",INDEX(Raw_D3!$L$2:$L$1001,$AR440)),"")))</f>
        <v>0.55</v>
      </c>
      <c r="M440" s="17">
        <f>IF($A440="","",IF($AQ440&lt;&gt;"",IF(INDEX(Raw_D2!$E$2:$E$1001,$AQ440)="","",INDEX(Raw_D2!$E$2:$E$1001,$AQ440)),IF($AR440&lt;&gt;"",IF(INDEX(Raw_D3!$M$2:$M$1001,$AR440)="","",INDEX(Raw_D3!$M$2:$M$1001,$AR440)),"")))</f>
        <v>0.2239</v>
      </c>
      <c r="N440" s="5">
        <f>IF($A440="","",IF($AQ440&lt;&gt;"",IF(INDEX(Raw_D2!$F$2:$F$1001,$AQ440)="","",INDEX(Raw_D2!$F$2:$F$1001,$AQ440)),IF($AR440&lt;&gt;"",IF(INDEX(Raw_D3!$N$2:$N$1001,$AR440)="","",INDEX(Raw_D3!$N$2:$N$1001,$AR440)),"")))</f>
        <v>1</v>
      </c>
      <c r="O440" s="5">
        <f>IF($A440="","",IF($AQ440&lt;&gt;"",IF(INDEX(Raw_D2!$G$2:$G$1001,$AQ440)="","",INDEX(Raw_D2!$G$2:$G$1001,$AQ440)),IF($AR440&lt;&gt;"",IF(INDEX(Raw_D3!$O$2:$O$1001,$AR440)="","",INDEX(Raw_D3!$O$2:$O$1001,$AR440)),"")))</f>
        <v>100</v>
      </c>
      <c r="P440" s="5">
        <f>IF($A440="","",IF($AQ440&lt;&gt;"",IF(INDEX(Raw_D2!$H$2:$H$1001,$AQ440)="","",INDEX(Raw_D2!$H$2:$H$1001,$AQ440)),IF($AR440&lt;&gt;"",IF(INDEX(Raw_D3!$P$2:$P$1001,$AR440)="","",INDEX(Raw_D3!$P$2:$P$1001,$AR440)),"")))</f>
        <v>101</v>
      </c>
      <c r="Q440" s="5" t="str">
        <f>IF($A440="","",IF(AND($AP440&lt;&gt;"",$AQ440&lt;&gt;""),"D1+D2",IF($AR440&lt;&gt;"","D3","Incomplete")))</f>
        <v>D1+D2</v>
      </c>
      <c r="R440" s="17">
        <f>IF($A440="","",IF($K440="",IF($J440="","",ROUND(Lookups!$K$5+Lookups!$K$4*$J440,4)),$K440))</f>
        <v>0.2121</v>
      </c>
      <c r="S440" s="5" t="str">
        <f>IF($A440="","",IF($K440="","Imputed","Original"))</f>
        <v>Original</v>
      </c>
      <c r="T440" s="5" t="str">
        <f>IF($A440="","",IF($P440="","Missing",IF($P440=$N440+$O440,"OK","Mismatch")))</f>
        <v>OK</v>
      </c>
      <c r="U440" s="5" t="str">
        <f>IF($A440="","",IF(COUNTIF($A$2:$A440,$A440)&gt;1,"Duplicate","Unique"))</f>
        <v>Unique</v>
      </c>
      <c r="V440" s="5">
        <f>IF($A440="","",IF(AND($U440="Unique",ISNUMBER($P440)),1,0))</f>
        <v>1</v>
      </c>
      <c r="W440" s="5" t="str">
        <f>IF($A440="","",IF(OR($H440=0,$H440=6),"Weekend","Weekday"))</f>
        <v>Weekday</v>
      </c>
      <c r="X440" s="5" t="str">
        <f>IF($A440="","",TEXT($B440,"ddd"))</f>
        <v>Thu</v>
      </c>
      <c r="Y440" s="5" t="str">
        <f>IF($A440="","",TEXT($B440,"mmm"))</f>
        <v>Jan</v>
      </c>
      <c r="Z440" s="5" t="str">
        <f>IF($A440="","",IFERROR(VLOOKUP($C440,Lookups!$D$4:$E$7,2,FALSE),"Unknown"))</f>
        <v>Winter</v>
      </c>
      <c r="AA440" s="5" t="str">
        <f>IF($A440="","",IFERROR(VLOOKUP($I440,Lookups!$A$4:$B$7,2,FALSE),"Unknown"))</f>
        <v>Clear</v>
      </c>
      <c r="AB440" s="5" t="str">
        <f>IF($A440="","",TEXT($F440,"00")&amp;":00")</f>
        <v>07:00</v>
      </c>
      <c r="AC440" s="5" t="str">
        <f>IF($A440="","",VLOOKUP($F440,Lookups!$G$4:$H$8,2,TRUE))</f>
        <v>Morning Peak (06-09)</v>
      </c>
      <c r="AD440" s="18">
        <f>IF($A440="","",IF($J440="","",ROUND($J440*41,1)))</f>
        <v>9</v>
      </c>
      <c r="AE440" s="18">
        <f>IF($A440="","",IF($R440="","",ROUND($R440*50,1)))</f>
        <v>10.6</v>
      </c>
      <c r="AF440" s="5">
        <f>IF($A440="","",IF($L440="","",ROUND($L440*100,0)))</f>
        <v>55</v>
      </c>
      <c r="AG440" s="18">
        <f>IF($A440="","",IF($M440="","",ROUND($M440*67,1)))</f>
        <v>15</v>
      </c>
      <c r="AH440" s="19">
        <f>IF($A440="","",IF($P440="","",IF($P440=0,0,$O440/$P440)))</f>
        <v>0.99009900990099</v>
      </c>
      <c r="AI440" s="5" t="str">
        <f>IF($A440="","",IF($P440="","",IF($P440&gt;=Lookups!$K$7,"High",IF($P440&lt;=Lookups!$K$8,"Low","Medium"))))</f>
        <v>High</v>
      </c>
      <c r="AJ440" s="5" t="str">
        <f>IF($A440="","",IF($AD440="","",IF($AD440&lt;5,"Under 5 C",IF($AD440&lt;10,"5-10 C",IF($AD440&lt;15,"10-15 C","15 C and above")))))</f>
        <v>5-10 C</v>
      </c>
      <c r="AK440" s="5">
        <f>IF($A440="","",IF($P440="","",$P440^2))</f>
        <v>10201</v>
      </c>
      <c r="AL440" s="18">
        <f>IF($V440&lt;&gt;1,"",AVERAGEIFS(Clean_Data!$P$2:$P$1001,Clean_Data!$F$2:$F$1001,$F440,Clean_Data!$W$2:$W$1001,$W440,Clean_Data!$V$2:$V$1001,1))</f>
        <v>78.0344827586207</v>
      </c>
      <c r="AM440" s="16">
        <f>IF($V440&lt;&gt;1,"",IFERROR(($P440-$AL440)/SQRT(MAX(0,(SUMIFS(Clean_Data!$AK$2:$AK$1001,Clean_Data!$F$2:$F$1001,$F440,Clean_Data!$W$2:$W$1001,$W440,Clean_Data!$V$2:$V$1001,1)-COUNTIFS(Clean_Data!$F$2:$F$1001,$F440,Clean_Data!$W$2:$W$1001,$W440,Clean_Data!$V$2:$V$1001,1)*$AL440^2)/(COUNTIFS(Clean_Data!$F$2:$F$1001,$F440,Clean_Data!$W$2:$W$1001,$W440,Clean_Data!$V$2:$V$1001,1)-1))),""))</f>
        <v>1.0146955827863</v>
      </c>
      <c r="AN440" s="5" t="str">
        <f>IF($AM440="","",IF($AM440&gt;=Lookups!$K$6,"High spike",IF($AM440&lt;=-Lookups!$K$6,"Unusual low","Normal")))</f>
        <v>Normal</v>
      </c>
      <c r="AO440" s="20">
        <f>IF($V440&lt;&gt;1,"",$P440+ROW()/100000)</f>
        <v>101.0044</v>
      </c>
      <c r="AP440" s="5">
        <f>IF($A440="","",IFERROR(MATCH($A440,Raw_D1!$A$2:$A$1001,0),""))</f>
        <v>439</v>
      </c>
      <c r="AQ440" s="5">
        <f>IF($A440="","",IFERROR(MATCH($A440,Raw_D2!$B$2:$B$1001,0),""))</f>
        <v>439</v>
      </c>
      <c r="AR440" s="5">
        <f>IF($A440="","",IFERROR(MATCH($A440,Raw_D3!$A$2:$A$1001,0),""))</f>
        <v/>
      </c>
    </row>
    <row r="441" spans="1:44" x14ac:dyDescent="0.25">
      <c r="A441" s="5">
        <v>440</v>
      </c>
      <c r="B441" s="11">
        <f>IF($A441="","",IF($AP441&lt;&gt;"",INDEX(Raw_D1!$B$2:$B$1001,$AP441),IF($AR441&lt;&gt;"",INDEX(Raw_D3!$B$2:$B$1001,$AR441),"")))</f>
        <v>40563.0</v>
      </c>
      <c r="C441" s="5">
        <f>IF($A441="","",IF($AP441&lt;&gt;"",INDEX(Raw_D1!$C$2:$C$1001,$AP441),IF($AR441&lt;&gt;"",INDEX(Raw_D3!$C$2:$C$1001,$AR441),"")))</f>
        <v>1</v>
      </c>
      <c r="D441" s="5">
        <f>IF($A441="","",IF($AP441&lt;&gt;"",INDEX(Raw_D1!$D$2:$D$1001,$AP441),IF($AR441&lt;&gt;"",INDEX(Raw_D3!$D$2:$D$1001,$AR441),"")))</f>
        <v>0</v>
      </c>
      <c r="E441" s="5">
        <f>IF($A441="","",IF($AP441&lt;&gt;"",INDEX(Raw_D1!$E$2:$E$1001,$AP441),IF($AR441&lt;&gt;"",INDEX(Raw_D3!$E$2:$E$1001,$AR441),"")))</f>
        <v>1</v>
      </c>
      <c r="F441" s="5">
        <f>IF($A441="","",IF($AP441&lt;&gt;"",INDEX(Raw_D1!$F$2:$F$1001,$AP441),IF($AR441&lt;&gt;"",INDEX(Raw_D3!$F$2:$F$1001,$AR441),"")))</f>
        <v>8</v>
      </c>
      <c r="G441" s="5">
        <f>IF($A441="","",IF($AP441&lt;&gt;"",IF(INDEX(Raw_D1!$G$2:$G$1001,$AP441),1,0),IF($AR441&lt;&gt;"",IF(INDEX(Raw_D3!$G$2:$G$1001,$AR441),1,0),"")))</f>
        <v>0</v>
      </c>
      <c r="H441" s="5">
        <f>IF($A441="","",IF($AP441&lt;&gt;"",INDEX(Raw_D1!$H$2:$H$1001,$AP441),IF($AR441&lt;&gt;"",INDEX(Raw_D3!$H$2:$H$1001,$AR441),"")))</f>
        <v>4</v>
      </c>
      <c r="I441" s="5">
        <f>IF($A441="","",IF($AP441&lt;&gt;"",INDEX(Raw_D1!$I$2:$I$1001,$AP441),IF($AR441&lt;&gt;"",INDEX(Raw_D3!$I$2:$I$1001,$AR441),"")))</f>
        <v>1</v>
      </c>
      <c r="J441" s="16">
        <f>IF($A441="","",IF($AP441&lt;&gt;"",INDEX(Raw_D1!$J$2:$J$1001,$AP441),IF($AR441&lt;&gt;"",INDEX(Raw_D3!$J$2:$J$1001,$AR441),"")))</f>
        <v>0.22</v>
      </c>
      <c r="K441" s="17">
        <f>IF($A441="","",IF($AQ441&lt;&gt;"",IF(INDEX(Raw_D2!$C$2:$C$1001,$AQ441)="","",INDEX(Raw_D2!$C$2:$C$1001,$AQ441)),IF($AR441&lt;&gt;"",IF(INDEX(Raw_D3!$K$2:$K$1001,$AR441)="","",INDEX(Raw_D3!$K$2:$K$1001,$AR441)),"")))</f>
        <v>0.2121</v>
      </c>
      <c r="L441" s="16">
        <f>IF($A441="","",IF($AQ441&lt;&gt;"",IF(INDEX(Raw_D2!$D$2:$D$1001,$AQ441)="","",INDEX(Raw_D2!$D$2:$D$1001,$AQ441)),IF($AR441&lt;&gt;"",IF(INDEX(Raw_D3!$L$2:$L$1001,$AR441)="","",INDEX(Raw_D3!$L$2:$L$1001,$AR441)),"")))</f>
        <v>0.55</v>
      </c>
      <c r="M441" s="17">
        <f>IF($A441="","",IF($AQ441&lt;&gt;"",IF(INDEX(Raw_D2!$E$2:$E$1001,$AQ441)="","",INDEX(Raw_D2!$E$2:$E$1001,$AQ441)),IF($AR441&lt;&gt;"",IF(INDEX(Raw_D3!$M$2:$M$1001,$AR441)="","",INDEX(Raw_D3!$M$2:$M$1001,$AR441)),"")))</f>
        <v>0.2836</v>
      </c>
      <c r="N441" s="5">
        <f>IF($A441="","",IF($AQ441&lt;&gt;"",IF(INDEX(Raw_D2!$F$2:$F$1001,$AQ441)="","",INDEX(Raw_D2!$F$2:$F$1001,$AQ441)),IF($AR441&lt;&gt;"",IF(INDEX(Raw_D3!$N$2:$N$1001,$AR441)="","",INDEX(Raw_D3!$N$2:$N$1001,$AR441)),"")))</f>
        <v>2</v>
      </c>
      <c r="O441" s="5">
        <f>IF($A441="","",IF($AQ441&lt;&gt;"",IF(INDEX(Raw_D2!$G$2:$G$1001,$AQ441)="","",INDEX(Raw_D2!$G$2:$G$1001,$AQ441)),IF($AR441&lt;&gt;"",IF(INDEX(Raw_D3!$O$2:$O$1001,$AR441)="","",INDEX(Raw_D3!$O$2:$O$1001,$AR441)),"")))</f>
        <v>247</v>
      </c>
      <c r="P441" s="5">
        <f>IF($A441="","",IF($AQ441&lt;&gt;"",IF(INDEX(Raw_D2!$H$2:$H$1001,$AQ441)="","",INDEX(Raw_D2!$H$2:$H$1001,$AQ441)),IF($AR441&lt;&gt;"",IF(INDEX(Raw_D3!$P$2:$P$1001,$AR441)="","",INDEX(Raw_D3!$P$2:$P$1001,$AR441)),"")))</f>
        <v>249</v>
      </c>
      <c r="Q441" s="5" t="str">
        <f>IF($A441="","",IF(AND($AP441&lt;&gt;"",$AQ441&lt;&gt;""),"D1+D2",IF($AR441&lt;&gt;"","D3","Incomplete")))</f>
        <v>D1+D2</v>
      </c>
      <c r="R441" s="17">
        <f>IF($A441="","",IF($K441="",IF($J441="","",ROUND(Lookups!$K$5+Lookups!$K$4*$J441,4)),$K441))</f>
        <v>0.2121</v>
      </c>
      <c r="S441" s="5" t="str">
        <f>IF($A441="","",IF($K441="","Imputed","Original"))</f>
        <v>Original</v>
      </c>
      <c r="T441" s="5" t="str">
        <f>IF($A441="","",IF($P441="","Missing",IF($P441=$N441+$O441,"OK","Mismatch")))</f>
        <v>OK</v>
      </c>
      <c r="U441" s="5" t="str">
        <f>IF($A441="","",IF(COUNTIF($A$2:$A441,$A441)&gt;1,"Duplicate","Unique"))</f>
        <v>Unique</v>
      </c>
      <c r="V441" s="5">
        <f>IF($A441="","",IF(AND($U441="Unique",ISNUMBER($P441)),1,0))</f>
        <v>1</v>
      </c>
      <c r="W441" s="5" t="str">
        <f>IF($A441="","",IF(OR($H441=0,$H441=6),"Weekend","Weekday"))</f>
        <v>Weekday</v>
      </c>
      <c r="X441" s="5" t="str">
        <f>IF($A441="","",TEXT($B441,"ddd"))</f>
        <v>Thu</v>
      </c>
      <c r="Y441" s="5" t="str">
        <f>IF($A441="","",TEXT($B441,"mmm"))</f>
        <v>Jan</v>
      </c>
      <c r="Z441" s="5" t="str">
        <f>IF($A441="","",IFERROR(VLOOKUP($C441,Lookups!$D$4:$E$7,2,FALSE),"Unknown"))</f>
        <v>Winter</v>
      </c>
      <c r="AA441" s="5" t="str">
        <f>IF($A441="","",IFERROR(VLOOKUP($I441,Lookups!$A$4:$B$7,2,FALSE),"Unknown"))</f>
        <v>Clear</v>
      </c>
      <c r="AB441" s="5" t="str">
        <f>IF($A441="","",TEXT($F441,"00")&amp;":00")</f>
        <v>08:00</v>
      </c>
      <c r="AC441" s="5" t="str">
        <f>IF($A441="","",VLOOKUP($F441,Lookups!$G$4:$H$8,2,TRUE))</f>
        <v>Morning Peak (06-09)</v>
      </c>
      <c r="AD441" s="18">
        <f>IF($A441="","",IF($J441="","",ROUND($J441*41,1)))</f>
        <v>9</v>
      </c>
      <c r="AE441" s="18">
        <f>IF($A441="","",IF($R441="","",ROUND($R441*50,1)))</f>
        <v>10.6</v>
      </c>
      <c r="AF441" s="5">
        <f>IF($A441="","",IF($L441="","",ROUND($L441*100,0)))</f>
        <v>55</v>
      </c>
      <c r="AG441" s="18">
        <f>IF($A441="","",IF($M441="","",ROUND($M441*67,1)))</f>
        <v>19</v>
      </c>
      <c r="AH441" s="19">
        <f>IF($A441="","",IF($P441="","",IF($P441=0,0,$O441/$P441)))</f>
        <v>0.991967871485944</v>
      </c>
      <c r="AI441" s="5" t="str">
        <f>IF($A441="","",IF($P441="","",IF($P441&gt;=Lookups!$K$7,"High",IF($P441&lt;=Lookups!$K$8,"Low","Medium"))))</f>
        <v>High</v>
      </c>
      <c r="AJ441" s="5" t="str">
        <f>IF($A441="","",IF($AD441="","",IF($AD441&lt;5,"Under 5 C",IF($AD441&lt;10,"5-10 C",IF($AD441&lt;15,"10-15 C","15 C and above")))))</f>
        <v>5-10 C</v>
      </c>
      <c r="AK441" s="5">
        <f>IF($A441="","",IF($P441="","",$P441^2))</f>
        <v>62001</v>
      </c>
      <c r="AL441" s="18">
        <f>IF($V441&lt;&gt;1,"",AVERAGEIFS(Clean_Data!$P$2:$P$1001,Clean_Data!$F$2:$F$1001,$F441,Clean_Data!$W$2:$W$1001,$W441,Clean_Data!$V$2:$V$1001,1))</f>
        <v>183.535714285714</v>
      </c>
      <c r="AM441" s="16">
        <f>IF($V441&lt;&gt;1,"",IFERROR(($P441-$AL441)/SQRT(MAX(0,(SUMIFS(Clean_Data!$AK$2:$AK$1001,Clean_Data!$F$2:$F$1001,$F441,Clean_Data!$W$2:$W$1001,$W441,Clean_Data!$V$2:$V$1001,1)-COUNTIFS(Clean_Data!$F$2:$F$1001,$F441,Clean_Data!$W$2:$W$1001,$W441,Clean_Data!$V$2:$V$1001,1)*$AL441^2)/(COUNTIFS(Clean_Data!$F$2:$F$1001,$F441,Clean_Data!$W$2:$W$1001,$W441,Clean_Data!$V$2:$V$1001,1)-1))),""))</f>
        <v>1.34313161980443</v>
      </c>
      <c r="AN441" s="5" t="str">
        <f>IF($AM441="","",IF($AM441&gt;=Lookups!$K$6,"High spike",IF($AM441&lt;=-Lookups!$K$6,"Unusual low","Normal")))</f>
        <v>Normal</v>
      </c>
      <c r="AO441" s="20">
        <f>IF($V441&lt;&gt;1,"",$P441+ROW()/100000)</f>
        <v>249.00441</v>
      </c>
      <c r="AP441" s="5">
        <f>IF($A441="","",IFERROR(MATCH($A441,Raw_D1!$A$2:$A$1001,0),""))</f>
        <v>440</v>
      </c>
      <c r="AQ441" s="5">
        <f>IF($A441="","",IFERROR(MATCH($A441,Raw_D2!$B$2:$B$1001,0),""))</f>
        <v>440</v>
      </c>
      <c r="AR441" s="5">
        <f>IF($A441="","",IFERROR(MATCH($A441,Raw_D3!$A$2:$A$1001,0),""))</f>
        <v/>
      </c>
    </row>
    <row r="442" spans="1:44" x14ac:dyDescent="0.25">
      <c r="A442" s="5">
        <v>441</v>
      </c>
      <c r="B442" s="11">
        <f>IF($A442="","",IF($AP442&lt;&gt;"",INDEX(Raw_D1!$B$2:$B$1001,$AP442),IF($AR442&lt;&gt;"",INDEX(Raw_D3!$B$2:$B$1001,$AR442),"")))</f>
        <v>40563.0</v>
      </c>
      <c r="C442" s="5">
        <f>IF($A442="","",IF($AP442&lt;&gt;"",INDEX(Raw_D1!$C$2:$C$1001,$AP442),IF($AR442&lt;&gt;"",INDEX(Raw_D3!$C$2:$C$1001,$AR442),"")))</f>
        <v>1</v>
      </c>
      <c r="D442" s="5">
        <f>IF($A442="","",IF($AP442&lt;&gt;"",INDEX(Raw_D1!$D$2:$D$1001,$AP442),IF($AR442&lt;&gt;"",INDEX(Raw_D3!$D$2:$D$1001,$AR442),"")))</f>
        <v>0</v>
      </c>
      <c r="E442" s="5">
        <f>IF($A442="","",IF($AP442&lt;&gt;"",INDEX(Raw_D1!$E$2:$E$1001,$AP442),IF($AR442&lt;&gt;"",INDEX(Raw_D3!$E$2:$E$1001,$AR442),"")))</f>
        <v>1</v>
      </c>
      <c r="F442" s="5">
        <f>IF($A442="","",IF($AP442&lt;&gt;"",INDEX(Raw_D1!$F$2:$F$1001,$AP442),IF($AR442&lt;&gt;"",INDEX(Raw_D3!$F$2:$F$1001,$AR442),"")))</f>
        <v>9</v>
      </c>
      <c r="G442" s="5">
        <f>IF($A442="","",IF($AP442&lt;&gt;"",IF(INDEX(Raw_D1!$G$2:$G$1001,$AP442),1,0),IF($AR442&lt;&gt;"",IF(INDEX(Raw_D3!$G$2:$G$1001,$AR442),1,0),"")))</f>
        <v>0</v>
      </c>
      <c r="H442" s="5">
        <f>IF($A442="","",IF($AP442&lt;&gt;"",INDEX(Raw_D1!$H$2:$H$1001,$AP442),IF($AR442&lt;&gt;"",INDEX(Raw_D3!$H$2:$H$1001,$AR442),"")))</f>
        <v>4</v>
      </c>
      <c r="I442" s="5">
        <f>IF($A442="","",IF($AP442&lt;&gt;"",INDEX(Raw_D1!$I$2:$I$1001,$AP442),IF($AR442&lt;&gt;"",INDEX(Raw_D3!$I$2:$I$1001,$AR442),"")))</f>
        <v>2</v>
      </c>
      <c r="J442" s="16">
        <f>IF($A442="","",IF($AP442&lt;&gt;"",INDEX(Raw_D1!$J$2:$J$1001,$AP442),IF($AR442&lt;&gt;"",INDEX(Raw_D3!$J$2:$J$1001,$AR442),"")))</f>
        <v>0.24</v>
      </c>
      <c r="K442" s="17">
        <f>IF($A442="","",IF($AQ442&lt;&gt;"",IF(INDEX(Raw_D2!$C$2:$C$1001,$AQ442)="","",INDEX(Raw_D2!$C$2:$C$1001,$AQ442)),IF($AR442&lt;&gt;"",IF(INDEX(Raw_D3!$K$2:$K$1001,$AR442)="","",INDEX(Raw_D3!$K$2:$K$1001,$AR442)),"")))</f>
        <v>0.2273</v>
      </c>
      <c r="L442" s="16">
        <f>IF($A442="","",IF($AQ442&lt;&gt;"",IF(INDEX(Raw_D2!$D$2:$D$1001,$AQ442)="","",INDEX(Raw_D2!$D$2:$D$1001,$AQ442)),IF($AR442&lt;&gt;"",IF(INDEX(Raw_D3!$L$2:$L$1001,$AR442)="","",INDEX(Raw_D3!$L$2:$L$1001,$AR442)),"")))</f>
        <v>0.52</v>
      </c>
      <c r="M442" s="17">
        <f>IF($A442="","",IF($AQ442&lt;&gt;"",IF(INDEX(Raw_D2!$E$2:$E$1001,$AQ442)="","",INDEX(Raw_D2!$E$2:$E$1001,$AQ442)),IF($AR442&lt;&gt;"",IF(INDEX(Raw_D3!$M$2:$M$1001,$AR442)="","",INDEX(Raw_D3!$M$2:$M$1001,$AR442)),"")))</f>
        <v>0.2239</v>
      </c>
      <c r="N442" s="5">
        <f>IF($A442="","",IF($AQ442&lt;&gt;"",IF(INDEX(Raw_D2!$F$2:$F$1001,$AQ442)="","",INDEX(Raw_D2!$F$2:$F$1001,$AQ442)),IF($AR442&lt;&gt;"",IF(INDEX(Raw_D3!$N$2:$N$1001,$AR442)="","",INDEX(Raw_D3!$N$2:$N$1001,$AR442)),"")))</f>
        <v>3</v>
      </c>
      <c r="O442" s="5">
        <f>IF($A442="","",IF($AQ442&lt;&gt;"",IF(INDEX(Raw_D2!$G$2:$G$1001,$AQ442)="","",INDEX(Raw_D2!$G$2:$G$1001,$AQ442)),IF($AR442&lt;&gt;"",IF(INDEX(Raw_D3!$O$2:$O$1001,$AR442)="","",INDEX(Raw_D3!$O$2:$O$1001,$AR442)),"")))</f>
        <v>140</v>
      </c>
      <c r="P442" s="5">
        <f>IF($A442="","",IF($AQ442&lt;&gt;"",IF(INDEX(Raw_D2!$H$2:$H$1001,$AQ442)="","",INDEX(Raw_D2!$H$2:$H$1001,$AQ442)),IF($AR442&lt;&gt;"",IF(INDEX(Raw_D3!$P$2:$P$1001,$AR442)="","",INDEX(Raw_D3!$P$2:$P$1001,$AR442)),"")))</f>
        <v>143</v>
      </c>
      <c r="Q442" s="5" t="str">
        <f>IF($A442="","",IF(AND($AP442&lt;&gt;"",$AQ442&lt;&gt;""),"D1+D2",IF($AR442&lt;&gt;"","D3","Incomplete")))</f>
        <v>D1+D2</v>
      </c>
      <c r="R442" s="17">
        <f>IF($A442="","",IF($K442="",IF($J442="","",ROUND(Lookups!$K$5+Lookups!$K$4*$J442,4)),$K442))</f>
        <v>0.2273</v>
      </c>
      <c r="S442" s="5" t="str">
        <f>IF($A442="","",IF($K442="","Imputed","Original"))</f>
        <v>Original</v>
      </c>
      <c r="T442" s="5" t="str">
        <f>IF($A442="","",IF($P442="","Missing",IF($P442=$N442+$O442,"OK","Mismatch")))</f>
        <v>OK</v>
      </c>
      <c r="U442" s="5" t="str">
        <f>IF($A442="","",IF(COUNTIF($A$2:$A442,$A442)&gt;1,"Duplicate","Unique"))</f>
        <v>Unique</v>
      </c>
      <c r="V442" s="5">
        <f>IF($A442="","",IF(AND($U442="Unique",ISNUMBER($P442)),1,0))</f>
        <v>1</v>
      </c>
      <c r="W442" s="5" t="str">
        <f>IF($A442="","",IF(OR($H442=0,$H442=6),"Weekend","Weekday"))</f>
        <v>Weekday</v>
      </c>
      <c r="X442" s="5" t="str">
        <f>IF($A442="","",TEXT($B442,"ddd"))</f>
        <v>Thu</v>
      </c>
      <c r="Y442" s="5" t="str">
        <f>IF($A442="","",TEXT($B442,"mmm"))</f>
        <v>Jan</v>
      </c>
      <c r="Z442" s="5" t="str">
        <f>IF($A442="","",IFERROR(VLOOKUP($C442,Lookups!$D$4:$E$7,2,FALSE),"Unknown"))</f>
        <v>Winter</v>
      </c>
      <c r="AA442" s="5" t="str">
        <f>IF($A442="","",IFERROR(VLOOKUP($I442,Lookups!$A$4:$B$7,2,FALSE),"Unknown"))</f>
        <v>Mist/Cloudy</v>
      </c>
      <c r="AB442" s="5" t="str">
        <f>IF($A442="","",TEXT($F442,"00")&amp;":00")</f>
        <v>09:00</v>
      </c>
      <c r="AC442" s="5" t="str">
        <f>IF($A442="","",VLOOKUP($F442,Lookups!$G$4:$H$8,2,TRUE))</f>
        <v>Morning Peak (06-09)</v>
      </c>
      <c r="AD442" s="18">
        <f>IF($A442="","",IF($J442="","",ROUND($J442*41,1)))</f>
        <v>9.8</v>
      </c>
      <c r="AE442" s="18">
        <f>IF($A442="","",IF($R442="","",ROUND($R442*50,1)))</f>
        <v>11.4</v>
      </c>
      <c r="AF442" s="5">
        <f>IF($A442="","",IF($L442="","",ROUND($L442*100,0)))</f>
        <v>52</v>
      </c>
      <c r="AG442" s="18">
        <f>IF($A442="","",IF($M442="","",ROUND($M442*67,1)))</f>
        <v>15</v>
      </c>
      <c r="AH442" s="19">
        <f>IF($A442="","",IF($P442="","",IF($P442=0,0,$O442/$P442)))</f>
        <v>0.979020979020979</v>
      </c>
      <c r="AI442" s="5" t="str">
        <f>IF($A442="","",IF($P442="","",IF($P442&gt;=Lookups!$K$7,"High",IF($P442&lt;=Lookups!$K$8,"Low","Medium"))))</f>
        <v>High</v>
      </c>
      <c r="AJ442" s="5" t="str">
        <f>IF($A442="","",IF($AD442="","",IF($AD442&lt;5,"Under 5 C",IF($AD442&lt;10,"5-10 C",IF($AD442&lt;15,"10-15 C","15 C and above")))))</f>
        <v>5-10 C</v>
      </c>
      <c r="AK442" s="5">
        <f>IF($A442="","",IF($P442="","",$P442^2))</f>
        <v>20449</v>
      </c>
      <c r="AL442" s="18">
        <f>IF($V442&lt;&gt;1,"",AVERAGEIFS(Clean_Data!$P$2:$P$1001,Clean_Data!$F$2:$F$1001,$F442,Clean_Data!$W$2:$W$1001,$W442,Clean_Data!$V$2:$V$1001,1))</f>
        <v>115.678571428571</v>
      </c>
      <c r="AM442" s="16">
        <f>IF($V442&lt;&gt;1,"",IFERROR(($P442-$AL442)/SQRT(MAX(0,(SUMIFS(Clean_Data!$AK$2:$AK$1001,Clean_Data!$F$2:$F$1001,$F442,Clean_Data!$W$2:$W$1001,$W442,Clean_Data!$V$2:$V$1001,1)-COUNTIFS(Clean_Data!$F$2:$F$1001,$F442,Clean_Data!$W$2:$W$1001,$W442,Clean_Data!$V$2:$V$1001,1)*$AL442^2)/(COUNTIFS(Clean_Data!$F$2:$F$1001,$F442,Clean_Data!$W$2:$W$1001,$W442,Clean_Data!$V$2:$V$1001,1)-1))),""))</f>
        <v>1.05986014929383</v>
      </c>
      <c r="AN442" s="5" t="str">
        <f>IF($AM442="","",IF($AM442&gt;=Lookups!$K$6,"High spike",IF($AM442&lt;=-Lookups!$K$6,"Unusual low","Normal")))</f>
        <v>Normal</v>
      </c>
      <c r="AO442" s="20">
        <f>IF($V442&lt;&gt;1,"",$P442+ROW()/100000)</f>
        <v>143.00442</v>
      </c>
      <c r="AP442" s="5">
        <f>IF($A442="","",IFERROR(MATCH($A442,Raw_D1!$A$2:$A$1001,0),""))</f>
        <v>441</v>
      </c>
      <c r="AQ442" s="5">
        <f>IF($A442="","",IFERROR(MATCH($A442,Raw_D2!$B$2:$B$1001,0),""))</f>
        <v>441</v>
      </c>
      <c r="AR442" s="5">
        <f>IF($A442="","",IFERROR(MATCH($A442,Raw_D3!$A$2:$A$1001,0),""))</f>
        <v/>
      </c>
    </row>
    <row r="443" spans="1:44" x14ac:dyDescent="0.25">
      <c r="A443" s="5">
        <v>442</v>
      </c>
      <c r="B443" s="11">
        <f>IF($A443="","",IF($AP443&lt;&gt;"",INDEX(Raw_D1!$B$2:$B$1001,$AP443),IF($AR443&lt;&gt;"",INDEX(Raw_D3!$B$2:$B$1001,$AR443),"")))</f>
        <v>40563.0</v>
      </c>
      <c r="C443" s="5">
        <f>IF($A443="","",IF($AP443&lt;&gt;"",INDEX(Raw_D1!$C$2:$C$1001,$AP443),IF($AR443&lt;&gt;"",INDEX(Raw_D3!$C$2:$C$1001,$AR443),"")))</f>
        <v>1</v>
      </c>
      <c r="D443" s="5">
        <f>IF($A443="","",IF($AP443&lt;&gt;"",INDEX(Raw_D1!$D$2:$D$1001,$AP443),IF($AR443&lt;&gt;"",INDEX(Raw_D3!$D$2:$D$1001,$AR443),"")))</f>
        <v>0</v>
      </c>
      <c r="E443" s="5">
        <f>IF($A443="","",IF($AP443&lt;&gt;"",INDEX(Raw_D1!$E$2:$E$1001,$AP443),IF($AR443&lt;&gt;"",INDEX(Raw_D3!$E$2:$E$1001,$AR443),"")))</f>
        <v>1</v>
      </c>
      <c r="F443" s="5">
        <f>IF($A443="","",IF($AP443&lt;&gt;"",INDEX(Raw_D1!$F$2:$F$1001,$AP443),IF($AR443&lt;&gt;"",INDEX(Raw_D3!$F$2:$F$1001,$AR443),"")))</f>
        <v>10</v>
      </c>
      <c r="G443" s="5">
        <f>IF($A443="","",IF($AP443&lt;&gt;"",IF(INDEX(Raw_D1!$G$2:$G$1001,$AP443),1,0),IF($AR443&lt;&gt;"",IF(INDEX(Raw_D3!$G$2:$G$1001,$AR443),1,0),"")))</f>
        <v>0</v>
      </c>
      <c r="H443" s="5">
        <f>IF($A443="","",IF($AP443&lt;&gt;"",INDEX(Raw_D1!$H$2:$H$1001,$AP443),IF($AR443&lt;&gt;"",INDEX(Raw_D3!$H$2:$H$1001,$AR443),"")))</f>
        <v>4</v>
      </c>
      <c r="I443" s="5">
        <f>IF($A443="","",IF($AP443&lt;&gt;"",INDEX(Raw_D1!$I$2:$I$1001,$AP443),IF($AR443&lt;&gt;"",INDEX(Raw_D3!$I$2:$I$1001,$AR443),"")))</f>
        <v>1</v>
      </c>
      <c r="J443" s="16">
        <f>IF($A443="","",IF($AP443&lt;&gt;"",INDEX(Raw_D1!$J$2:$J$1001,$AP443),IF($AR443&lt;&gt;"",INDEX(Raw_D3!$J$2:$J$1001,$AR443),"")))</f>
        <v>0.26</v>
      </c>
      <c r="K443" s="17">
        <f>IF($A443="","",IF($AQ443&lt;&gt;"",IF(INDEX(Raw_D2!$C$2:$C$1001,$AQ443)="","",INDEX(Raw_D2!$C$2:$C$1001,$AQ443)),IF($AR443&lt;&gt;"",IF(INDEX(Raw_D3!$K$2:$K$1001,$AR443)="","",INDEX(Raw_D3!$K$2:$K$1001,$AR443)),"")))</f>
        <v>0.2273</v>
      </c>
      <c r="L443" s="16">
        <f>IF($A443="","",IF($AQ443&lt;&gt;"",IF(INDEX(Raw_D2!$D$2:$D$1001,$AQ443)="","",INDEX(Raw_D2!$D$2:$D$1001,$AQ443)),IF($AR443&lt;&gt;"",IF(INDEX(Raw_D3!$L$2:$L$1001,$AR443)="","",INDEX(Raw_D3!$L$2:$L$1001,$AR443)),"")))</f>
        <v>0.48</v>
      </c>
      <c r="M443" s="17">
        <f>IF($A443="","",IF($AQ443&lt;&gt;"",IF(INDEX(Raw_D2!$E$2:$E$1001,$AQ443)="","",INDEX(Raw_D2!$E$2:$E$1001,$AQ443)),IF($AR443&lt;&gt;"",IF(INDEX(Raw_D3!$M$2:$M$1001,$AR443)="","",INDEX(Raw_D3!$M$2:$M$1001,$AR443)),"")))</f>
        <v>0.2985</v>
      </c>
      <c r="N443" s="5">
        <f>IF($A443="","",IF($AQ443&lt;&gt;"",IF(INDEX(Raw_D2!$F$2:$F$1001,$AQ443)="","",INDEX(Raw_D2!$F$2:$F$1001,$AQ443)),IF($AR443&lt;&gt;"",IF(INDEX(Raw_D3!$N$2:$N$1001,$AR443)="","",INDEX(Raw_D3!$N$2:$N$1001,$AR443)),"")))</f>
        <v>1</v>
      </c>
      <c r="O443" s="5">
        <f>IF($A443="","",IF($AQ443&lt;&gt;"",IF(INDEX(Raw_D2!$G$2:$G$1001,$AQ443)="","",INDEX(Raw_D2!$G$2:$G$1001,$AQ443)),IF($AR443&lt;&gt;"",IF(INDEX(Raw_D3!$O$2:$O$1001,$AR443)="","",INDEX(Raw_D3!$O$2:$O$1001,$AR443)),"")))</f>
        <v>56</v>
      </c>
      <c r="P443" s="5">
        <f>IF($A443="","",IF($AQ443&lt;&gt;"",IF(INDEX(Raw_D2!$H$2:$H$1001,$AQ443)="","",INDEX(Raw_D2!$H$2:$H$1001,$AQ443)),IF($AR443&lt;&gt;"",IF(INDEX(Raw_D3!$P$2:$P$1001,$AR443)="","",INDEX(Raw_D3!$P$2:$P$1001,$AR443)),"")))</f>
        <v>57</v>
      </c>
      <c r="Q443" s="5" t="str">
        <f>IF($A443="","",IF(AND($AP443&lt;&gt;"",$AQ443&lt;&gt;""),"D1+D2",IF($AR443&lt;&gt;"","D3","Incomplete")))</f>
        <v>D1+D2</v>
      </c>
      <c r="R443" s="17">
        <f>IF($A443="","",IF($K443="",IF($J443="","",ROUND(Lookups!$K$5+Lookups!$K$4*$J443,4)),$K443))</f>
        <v>0.2273</v>
      </c>
      <c r="S443" s="5" t="str">
        <f>IF($A443="","",IF($K443="","Imputed","Original"))</f>
        <v>Original</v>
      </c>
      <c r="T443" s="5" t="str">
        <f>IF($A443="","",IF($P443="","Missing",IF($P443=$N443+$O443,"OK","Mismatch")))</f>
        <v>OK</v>
      </c>
      <c r="U443" s="5" t="str">
        <f>IF($A443="","",IF(COUNTIF($A$2:$A443,$A443)&gt;1,"Duplicate","Unique"))</f>
        <v>Unique</v>
      </c>
      <c r="V443" s="5">
        <f>IF($A443="","",IF(AND($U443="Unique",ISNUMBER($P443)),1,0))</f>
        <v>1</v>
      </c>
      <c r="W443" s="5" t="str">
        <f>IF($A443="","",IF(OR($H443=0,$H443=6),"Weekend","Weekday"))</f>
        <v>Weekday</v>
      </c>
      <c r="X443" s="5" t="str">
        <f>IF($A443="","",TEXT($B443,"ddd"))</f>
        <v>Thu</v>
      </c>
      <c r="Y443" s="5" t="str">
        <f>IF($A443="","",TEXT($B443,"mmm"))</f>
        <v>Jan</v>
      </c>
      <c r="Z443" s="5" t="str">
        <f>IF($A443="","",IFERROR(VLOOKUP($C443,Lookups!$D$4:$E$7,2,FALSE),"Unknown"))</f>
        <v>Winter</v>
      </c>
      <c r="AA443" s="5" t="str">
        <f>IF($A443="","",IFERROR(VLOOKUP($I443,Lookups!$A$4:$B$7,2,FALSE),"Unknown"))</f>
        <v>Clear</v>
      </c>
      <c r="AB443" s="5" t="str">
        <f>IF($A443="","",TEXT($F443,"00")&amp;":00")</f>
        <v>10:00</v>
      </c>
      <c r="AC443" s="5" t="str">
        <f>IF($A443="","",VLOOKUP($F443,Lookups!$G$4:$H$8,2,TRUE))</f>
        <v>Midday (10-15)</v>
      </c>
      <c r="AD443" s="18">
        <f>IF($A443="","",IF($J443="","",ROUND($J443*41,1)))</f>
        <v>10.7</v>
      </c>
      <c r="AE443" s="18">
        <f>IF($A443="","",IF($R443="","",ROUND($R443*50,1)))</f>
        <v>11.4</v>
      </c>
      <c r="AF443" s="5">
        <f>IF($A443="","",IF($L443="","",ROUND($L443*100,0)))</f>
        <v>48</v>
      </c>
      <c r="AG443" s="18">
        <f>IF($A443="","",IF($M443="","",ROUND($M443*67,1)))</f>
        <v>20</v>
      </c>
      <c r="AH443" s="19">
        <f>IF($A443="","",IF($P443="","",IF($P443=0,0,$O443/$P443)))</f>
        <v>0.982456140350877</v>
      </c>
      <c r="AI443" s="5" t="str">
        <f>IF($A443="","",IF($P443="","",IF($P443&gt;=Lookups!$K$7,"High",IF($P443&lt;=Lookups!$K$8,"Low","Medium"))))</f>
        <v>Medium</v>
      </c>
      <c r="AJ443" s="5" t="str">
        <f>IF($A443="","",IF($AD443="","",IF($AD443&lt;5,"Under 5 C",IF($AD443&lt;10,"5-10 C",IF($AD443&lt;15,"10-15 C","15 C and above")))))</f>
        <v>10-15 C</v>
      </c>
      <c r="AK443" s="5">
        <f>IF($A443="","",IF($P443="","",$P443^2))</f>
        <v>3249</v>
      </c>
      <c r="AL443" s="18">
        <f>IF($V443&lt;&gt;1,"",AVERAGEIFS(Clean_Data!$P$2:$P$1001,Clean_Data!$F$2:$F$1001,$F443,Clean_Data!$W$2:$W$1001,$W443,Clean_Data!$V$2:$V$1001,1))</f>
        <v>49.0714285714286</v>
      </c>
      <c r="AM443" s="16">
        <f>IF($V443&lt;&gt;1,"",IFERROR(($P443-$AL443)/SQRT(MAX(0,(SUMIFS(Clean_Data!$AK$2:$AK$1001,Clean_Data!$F$2:$F$1001,$F443,Clean_Data!$W$2:$W$1001,$W443,Clean_Data!$V$2:$V$1001,1)-COUNTIFS(Clean_Data!$F$2:$F$1001,$F443,Clean_Data!$W$2:$W$1001,$W443,Clean_Data!$V$2:$V$1001,1)*$AL443^2)/(COUNTIFS(Clean_Data!$F$2:$F$1001,$F443,Clean_Data!$W$2:$W$1001,$W443,Clean_Data!$V$2:$V$1001,1)-1))),""))</f>
        <v>0.785636693099488</v>
      </c>
      <c r="AN443" s="5" t="str">
        <f>IF($AM443="","",IF($AM443&gt;=Lookups!$K$6,"High spike",IF($AM443&lt;=-Lookups!$K$6,"Unusual low","Normal")))</f>
        <v>Normal</v>
      </c>
      <c r="AO443" s="20">
        <f>IF($V443&lt;&gt;1,"",$P443+ROW()/100000)</f>
        <v>57.00443</v>
      </c>
      <c r="AP443" s="5">
        <f>IF($A443="","",IFERROR(MATCH($A443,Raw_D1!$A$2:$A$1001,0),""))</f>
        <v>442</v>
      </c>
      <c r="AQ443" s="5">
        <f>IF($A443="","",IFERROR(MATCH($A443,Raw_D2!$B$2:$B$1001,0),""))</f>
        <v>442</v>
      </c>
      <c r="AR443" s="5">
        <f>IF($A443="","",IFERROR(MATCH($A443,Raw_D3!$A$2:$A$1001,0),""))</f>
        <v/>
      </c>
    </row>
    <row r="444" spans="1:44" x14ac:dyDescent="0.25">
      <c r="A444" s="5">
        <v>443</v>
      </c>
      <c r="B444" s="11">
        <f>IF($A444="","",IF($AP444&lt;&gt;"",INDEX(Raw_D1!$B$2:$B$1001,$AP444),IF($AR444&lt;&gt;"",INDEX(Raw_D3!$B$2:$B$1001,$AR444),"")))</f>
        <v>40563.0</v>
      </c>
      <c r="C444" s="5">
        <f>IF($A444="","",IF($AP444&lt;&gt;"",INDEX(Raw_D1!$C$2:$C$1001,$AP444),IF($AR444&lt;&gt;"",INDEX(Raw_D3!$C$2:$C$1001,$AR444),"")))</f>
        <v>1</v>
      </c>
      <c r="D444" s="5">
        <f>IF($A444="","",IF($AP444&lt;&gt;"",INDEX(Raw_D1!$D$2:$D$1001,$AP444),IF($AR444&lt;&gt;"",INDEX(Raw_D3!$D$2:$D$1001,$AR444),"")))</f>
        <v>0</v>
      </c>
      <c r="E444" s="5">
        <f>IF($A444="","",IF($AP444&lt;&gt;"",INDEX(Raw_D1!$E$2:$E$1001,$AP444),IF($AR444&lt;&gt;"",INDEX(Raw_D3!$E$2:$E$1001,$AR444),"")))</f>
        <v>1</v>
      </c>
      <c r="F444" s="5">
        <f>IF($A444="","",IF($AP444&lt;&gt;"",INDEX(Raw_D1!$F$2:$F$1001,$AP444),IF($AR444&lt;&gt;"",INDEX(Raw_D3!$F$2:$F$1001,$AR444),"")))</f>
        <v>11</v>
      </c>
      <c r="G444" s="5">
        <f>IF($A444="","",IF($AP444&lt;&gt;"",IF(INDEX(Raw_D1!$G$2:$G$1001,$AP444),1,0),IF($AR444&lt;&gt;"",IF(INDEX(Raw_D3!$G$2:$G$1001,$AR444),1,0),"")))</f>
        <v>0</v>
      </c>
      <c r="H444" s="5">
        <f>IF($A444="","",IF($AP444&lt;&gt;"",INDEX(Raw_D1!$H$2:$H$1001,$AP444),IF($AR444&lt;&gt;"",INDEX(Raw_D3!$H$2:$H$1001,$AR444),"")))</f>
        <v>4</v>
      </c>
      <c r="I444" s="5">
        <f>IF($A444="","",IF($AP444&lt;&gt;"",INDEX(Raw_D1!$I$2:$I$1001,$AP444),IF($AR444&lt;&gt;"",INDEX(Raw_D3!$I$2:$I$1001,$AR444),"")))</f>
        <v>2</v>
      </c>
      <c r="J444" s="16">
        <f>IF($A444="","",IF($AP444&lt;&gt;"",INDEX(Raw_D1!$J$2:$J$1001,$AP444),IF($AR444&lt;&gt;"",INDEX(Raw_D3!$J$2:$J$1001,$AR444),"")))</f>
        <v>0.28</v>
      </c>
      <c r="K444" s="17">
        <f>IF($A444="","",IF($AQ444&lt;&gt;"",IF(INDEX(Raw_D2!$C$2:$C$1001,$AQ444)="","",INDEX(Raw_D2!$C$2:$C$1001,$AQ444)),IF($AR444&lt;&gt;"",IF(INDEX(Raw_D3!$K$2:$K$1001,$AR444)="","",INDEX(Raw_D3!$K$2:$K$1001,$AR444)),"")))</f>
        <v>0.2727</v>
      </c>
      <c r="L444" s="16">
        <f>IF($A444="","",IF($AQ444&lt;&gt;"",IF(INDEX(Raw_D2!$D$2:$D$1001,$AQ444)="","",INDEX(Raw_D2!$D$2:$D$1001,$AQ444)),IF($AR444&lt;&gt;"",IF(INDEX(Raw_D3!$L$2:$L$1001,$AR444)="","",INDEX(Raw_D3!$L$2:$L$1001,$AR444)),"")))</f>
        <v>0.45</v>
      </c>
      <c r="M444" s="17">
        <f>IF($A444="","",IF($AQ444&lt;&gt;"",IF(INDEX(Raw_D2!$E$2:$E$1001,$AQ444)="","",INDEX(Raw_D2!$E$2:$E$1001,$AQ444)),IF($AR444&lt;&gt;"",IF(INDEX(Raw_D3!$M$2:$M$1001,$AR444)="","",INDEX(Raw_D3!$M$2:$M$1001,$AR444)),"")))</f>
        <v>0.1642</v>
      </c>
      <c r="N444" s="5">
        <f>IF($A444="","",IF($AQ444&lt;&gt;"",IF(INDEX(Raw_D2!$F$2:$F$1001,$AQ444)="","",INDEX(Raw_D2!$F$2:$F$1001,$AQ444)),IF($AR444&lt;&gt;"",IF(INDEX(Raw_D3!$N$2:$N$1001,$AR444)="","",INDEX(Raw_D3!$N$2:$N$1001,$AR444)),"")))</f>
        <v>5</v>
      </c>
      <c r="O444" s="5">
        <f>IF($A444="","",IF($AQ444&lt;&gt;"",IF(INDEX(Raw_D2!$G$2:$G$1001,$AQ444)="","",INDEX(Raw_D2!$G$2:$G$1001,$AQ444)),IF($AR444&lt;&gt;"",IF(INDEX(Raw_D3!$O$2:$O$1001,$AR444)="","",INDEX(Raw_D3!$O$2:$O$1001,$AR444)),"")))</f>
        <v>63</v>
      </c>
      <c r="P444" s="5">
        <f>IF($A444="","",IF($AQ444&lt;&gt;"",IF(INDEX(Raw_D2!$H$2:$H$1001,$AQ444)="","",INDEX(Raw_D2!$H$2:$H$1001,$AQ444)),IF($AR444&lt;&gt;"",IF(INDEX(Raw_D3!$P$2:$P$1001,$AR444)="","",INDEX(Raw_D3!$P$2:$P$1001,$AR444)),"")))</f>
        <v>68</v>
      </c>
      <c r="Q444" s="5" t="str">
        <f>IF($A444="","",IF(AND($AP444&lt;&gt;"",$AQ444&lt;&gt;""),"D1+D2",IF($AR444&lt;&gt;"","D3","Incomplete")))</f>
        <v>D1+D2</v>
      </c>
      <c r="R444" s="17">
        <f>IF($A444="","",IF($K444="",IF($J444="","",ROUND(Lookups!$K$5+Lookups!$K$4*$J444,4)),$K444))</f>
        <v>0.2727</v>
      </c>
      <c r="S444" s="5" t="str">
        <f>IF($A444="","",IF($K444="","Imputed","Original"))</f>
        <v>Original</v>
      </c>
      <c r="T444" s="5" t="str">
        <f>IF($A444="","",IF($P444="","Missing",IF($P444=$N444+$O444,"OK","Mismatch")))</f>
        <v>OK</v>
      </c>
      <c r="U444" s="5" t="str">
        <f>IF($A444="","",IF(COUNTIF($A$2:$A444,$A444)&gt;1,"Duplicate","Unique"))</f>
        <v>Unique</v>
      </c>
      <c r="V444" s="5">
        <f>IF($A444="","",IF(AND($U444="Unique",ISNUMBER($P444)),1,0))</f>
        <v>1</v>
      </c>
      <c r="W444" s="5" t="str">
        <f>IF($A444="","",IF(OR($H444=0,$H444=6),"Weekend","Weekday"))</f>
        <v>Weekday</v>
      </c>
      <c r="X444" s="5" t="str">
        <f>IF($A444="","",TEXT($B444,"ddd"))</f>
        <v>Thu</v>
      </c>
      <c r="Y444" s="5" t="str">
        <f>IF($A444="","",TEXT($B444,"mmm"))</f>
        <v>Jan</v>
      </c>
      <c r="Z444" s="5" t="str">
        <f>IF($A444="","",IFERROR(VLOOKUP($C444,Lookups!$D$4:$E$7,2,FALSE),"Unknown"))</f>
        <v>Winter</v>
      </c>
      <c r="AA444" s="5" t="str">
        <f>IF($A444="","",IFERROR(VLOOKUP($I444,Lookups!$A$4:$B$7,2,FALSE),"Unknown"))</f>
        <v>Mist/Cloudy</v>
      </c>
      <c r="AB444" s="5" t="str">
        <f>IF($A444="","",TEXT($F444,"00")&amp;":00")</f>
        <v>11:00</v>
      </c>
      <c r="AC444" s="5" t="str">
        <f>IF($A444="","",VLOOKUP($F444,Lookups!$G$4:$H$8,2,TRUE))</f>
        <v>Midday (10-15)</v>
      </c>
      <c r="AD444" s="18">
        <f>IF($A444="","",IF($J444="","",ROUND($J444*41,1)))</f>
        <v>11.5</v>
      </c>
      <c r="AE444" s="18">
        <f>IF($A444="","",IF($R444="","",ROUND($R444*50,1)))</f>
        <v>13.6</v>
      </c>
      <c r="AF444" s="5">
        <f>IF($A444="","",IF($L444="","",ROUND($L444*100,0)))</f>
        <v>45</v>
      </c>
      <c r="AG444" s="18">
        <f>IF($A444="","",IF($M444="","",ROUND($M444*67,1)))</f>
        <v>11</v>
      </c>
      <c r="AH444" s="19">
        <f>IF($A444="","",IF($P444="","",IF($P444=0,0,$O444/$P444)))</f>
        <v>0.926470588235294</v>
      </c>
      <c r="AI444" s="5" t="str">
        <f>IF($A444="","",IF($P444="","",IF($P444&gt;=Lookups!$K$7,"High",IF($P444&lt;=Lookups!$K$8,"Low","Medium"))))</f>
        <v>Medium</v>
      </c>
      <c r="AJ444" s="5" t="str">
        <f>IF($A444="","",IF($AD444="","",IF($AD444&lt;5,"Under 5 C",IF($AD444&lt;10,"5-10 C",IF($AD444&lt;15,"10-15 C","15 C and above")))))</f>
        <v>10-15 C</v>
      </c>
      <c r="AK444" s="5">
        <f>IF($A444="","",IF($P444="","",$P444^2))</f>
        <v>4624</v>
      </c>
      <c r="AL444" s="18">
        <f>IF($V444&lt;&gt;1,"",AVERAGEIFS(Clean_Data!$P$2:$P$1001,Clean_Data!$F$2:$F$1001,$F444,Clean_Data!$W$2:$W$1001,$W444,Clean_Data!$V$2:$V$1001,1))</f>
        <v>50.6071428571429</v>
      </c>
      <c r="AM444" s="16">
        <f>IF($V444&lt;&gt;1,"",IFERROR(($P444-$AL444)/SQRT(MAX(0,(SUMIFS(Clean_Data!$AK$2:$AK$1001,Clean_Data!$F$2:$F$1001,$F444,Clean_Data!$W$2:$W$1001,$W444,Clean_Data!$V$2:$V$1001,1)-COUNTIFS(Clean_Data!$F$2:$F$1001,$F444,Clean_Data!$W$2:$W$1001,$W444,Clean_Data!$V$2:$V$1001,1)*$AL444^2)/(COUNTIFS(Clean_Data!$F$2:$F$1001,$F444,Clean_Data!$W$2:$W$1001,$W444,Clean_Data!$V$2:$V$1001,1)-1))),""))</f>
        <v>1.55252150206013</v>
      </c>
      <c r="AN444" s="5" t="str">
        <f>IF($AM444="","",IF($AM444&gt;=Lookups!$K$6,"High spike",IF($AM444&lt;=-Lookups!$K$6,"Unusual low","Normal")))</f>
        <v>Normal</v>
      </c>
      <c r="AO444" s="20">
        <f>IF($V444&lt;&gt;1,"",$P444+ROW()/100000)</f>
        <v>68.00444</v>
      </c>
      <c r="AP444" s="5">
        <f>IF($A444="","",IFERROR(MATCH($A444,Raw_D1!$A$2:$A$1001,0),""))</f>
        <v>443</v>
      </c>
      <c r="AQ444" s="5">
        <f>IF($A444="","",IFERROR(MATCH($A444,Raw_D2!$B$2:$B$1001,0),""))</f>
        <v>443</v>
      </c>
      <c r="AR444" s="5">
        <f>IF($A444="","",IFERROR(MATCH($A444,Raw_D3!$A$2:$A$1001,0),""))</f>
        <v/>
      </c>
    </row>
    <row r="445" spans="1:44" x14ac:dyDescent="0.25">
      <c r="A445" s="5">
        <v>444</v>
      </c>
      <c r="B445" s="11">
        <f>IF($A445="","",IF($AP445&lt;&gt;"",INDEX(Raw_D1!$B$2:$B$1001,$AP445),IF($AR445&lt;&gt;"",INDEX(Raw_D3!$B$2:$B$1001,$AR445),"")))</f>
        <v>40563.0</v>
      </c>
      <c r="C445" s="5">
        <f>IF($A445="","",IF($AP445&lt;&gt;"",INDEX(Raw_D1!$C$2:$C$1001,$AP445),IF($AR445&lt;&gt;"",INDEX(Raw_D3!$C$2:$C$1001,$AR445),"")))</f>
        <v>1</v>
      </c>
      <c r="D445" s="5">
        <f>IF($A445="","",IF($AP445&lt;&gt;"",INDEX(Raw_D1!$D$2:$D$1001,$AP445),IF($AR445&lt;&gt;"",INDEX(Raw_D3!$D$2:$D$1001,$AR445),"")))</f>
        <v>0</v>
      </c>
      <c r="E445" s="5">
        <f>IF($A445="","",IF($AP445&lt;&gt;"",INDEX(Raw_D1!$E$2:$E$1001,$AP445),IF($AR445&lt;&gt;"",INDEX(Raw_D3!$E$2:$E$1001,$AR445),"")))</f>
        <v>1</v>
      </c>
      <c r="F445" s="5">
        <f>IF($A445="","",IF($AP445&lt;&gt;"",INDEX(Raw_D1!$F$2:$F$1001,$AP445),IF($AR445&lt;&gt;"",INDEX(Raw_D3!$F$2:$F$1001,$AR445),"")))</f>
        <v>12</v>
      </c>
      <c r="G445" s="5">
        <f>IF($A445="","",IF($AP445&lt;&gt;"",IF(INDEX(Raw_D1!$G$2:$G$1001,$AP445),1,0),IF($AR445&lt;&gt;"",IF(INDEX(Raw_D3!$G$2:$G$1001,$AR445),1,0),"")))</f>
        <v>0</v>
      </c>
      <c r="H445" s="5">
        <f>IF($A445="","",IF($AP445&lt;&gt;"",INDEX(Raw_D1!$H$2:$H$1001,$AP445),IF($AR445&lt;&gt;"",INDEX(Raw_D3!$H$2:$H$1001,$AR445),"")))</f>
        <v>4</v>
      </c>
      <c r="I445" s="5">
        <f>IF($A445="","",IF($AP445&lt;&gt;"",INDEX(Raw_D1!$I$2:$I$1001,$AP445),IF($AR445&lt;&gt;"",INDEX(Raw_D3!$I$2:$I$1001,$AR445),"")))</f>
        <v>2</v>
      </c>
      <c r="J445" s="16">
        <f>IF($A445="","",IF($AP445&lt;&gt;"",INDEX(Raw_D1!$J$2:$J$1001,$AP445),IF($AR445&lt;&gt;"",INDEX(Raw_D3!$J$2:$J$1001,$AR445),"")))</f>
        <v>0.3</v>
      </c>
      <c r="K445" s="17">
        <f>IF($A445="","",IF($AQ445&lt;&gt;"",IF(INDEX(Raw_D2!$C$2:$C$1001,$AQ445)="","",INDEX(Raw_D2!$C$2:$C$1001,$AQ445)),IF($AR445&lt;&gt;"",IF(INDEX(Raw_D3!$K$2:$K$1001,$AR445)="","",INDEX(Raw_D3!$K$2:$K$1001,$AR445)),"")))</f>
        <v>0.3333</v>
      </c>
      <c r="L445" s="16">
        <f>IF($A445="","",IF($AQ445&lt;&gt;"",IF(INDEX(Raw_D2!$D$2:$D$1001,$AQ445)="","",INDEX(Raw_D2!$D$2:$D$1001,$AQ445)),IF($AR445&lt;&gt;"",IF(INDEX(Raw_D3!$L$2:$L$1001,$AR445)="","",INDEX(Raw_D3!$L$2:$L$1001,$AR445)),"")))</f>
        <v>0.42</v>
      </c>
      <c r="M445" s="17">
        <f>IF($A445="","",IF($AQ445&lt;&gt;"",IF(INDEX(Raw_D2!$E$2:$E$1001,$AQ445)="","",INDEX(Raw_D2!$E$2:$E$1001,$AQ445)),IF($AR445&lt;&gt;"",IF(INDEX(Raw_D3!$M$2:$M$1001,$AR445)="","",INDEX(Raw_D3!$M$2:$M$1001,$AR445)),"")))</f>
        <v>0</v>
      </c>
      <c r="N445" s="5">
        <f>IF($A445="","",IF($AQ445&lt;&gt;"",IF(INDEX(Raw_D2!$F$2:$F$1001,$AQ445)="","",INDEX(Raw_D2!$F$2:$F$1001,$AQ445)),IF($AR445&lt;&gt;"",IF(INDEX(Raw_D3!$N$2:$N$1001,$AR445)="","",INDEX(Raw_D3!$N$2:$N$1001,$AR445)),"")))</f>
        <v>7</v>
      </c>
      <c r="O445" s="5">
        <f>IF($A445="","",IF($AQ445&lt;&gt;"",IF(INDEX(Raw_D2!$G$2:$G$1001,$AQ445)="","",INDEX(Raw_D2!$G$2:$G$1001,$AQ445)),IF($AR445&lt;&gt;"",IF(INDEX(Raw_D3!$O$2:$O$1001,$AR445)="","",INDEX(Raw_D3!$O$2:$O$1001,$AR445)),"")))</f>
        <v>77</v>
      </c>
      <c r="P445" s="5">
        <f>IF($A445="","",IF($AQ445&lt;&gt;"",IF(INDEX(Raw_D2!$H$2:$H$1001,$AQ445)="","",INDEX(Raw_D2!$H$2:$H$1001,$AQ445)),IF($AR445&lt;&gt;"",IF(INDEX(Raw_D3!$P$2:$P$1001,$AR445)="","",INDEX(Raw_D3!$P$2:$P$1001,$AR445)),"")))</f>
        <v>84</v>
      </c>
      <c r="Q445" s="5" t="str">
        <f>IF($A445="","",IF(AND($AP445&lt;&gt;"",$AQ445&lt;&gt;""),"D1+D2",IF($AR445&lt;&gt;"","D3","Incomplete")))</f>
        <v>D1+D2</v>
      </c>
      <c r="R445" s="17">
        <f>IF($A445="","",IF($K445="",IF($J445="","",ROUND(Lookups!$K$5+Lookups!$K$4*$J445,4)),$K445))</f>
        <v>0.3333</v>
      </c>
      <c r="S445" s="5" t="str">
        <f>IF($A445="","",IF($K445="","Imputed","Original"))</f>
        <v>Original</v>
      </c>
      <c r="T445" s="5" t="str">
        <f>IF($A445="","",IF($P445="","Missing",IF($P445=$N445+$O445,"OK","Mismatch")))</f>
        <v>OK</v>
      </c>
      <c r="U445" s="5" t="str">
        <f>IF($A445="","",IF(COUNTIF($A$2:$A445,$A445)&gt;1,"Duplicate","Unique"))</f>
        <v>Unique</v>
      </c>
      <c r="V445" s="5">
        <f>IF($A445="","",IF(AND($U445="Unique",ISNUMBER($P445)),1,0))</f>
        <v>1</v>
      </c>
      <c r="W445" s="5" t="str">
        <f>IF($A445="","",IF(OR($H445=0,$H445=6),"Weekend","Weekday"))</f>
        <v>Weekday</v>
      </c>
      <c r="X445" s="5" t="str">
        <f>IF($A445="","",TEXT($B445,"ddd"))</f>
        <v>Thu</v>
      </c>
      <c r="Y445" s="5" t="str">
        <f>IF($A445="","",TEXT($B445,"mmm"))</f>
        <v>Jan</v>
      </c>
      <c r="Z445" s="5" t="str">
        <f>IF($A445="","",IFERROR(VLOOKUP($C445,Lookups!$D$4:$E$7,2,FALSE),"Unknown"))</f>
        <v>Winter</v>
      </c>
      <c r="AA445" s="5" t="str">
        <f>IF($A445="","",IFERROR(VLOOKUP($I445,Lookups!$A$4:$B$7,2,FALSE),"Unknown"))</f>
        <v>Mist/Cloudy</v>
      </c>
      <c r="AB445" s="5" t="str">
        <f>IF($A445="","",TEXT($F445,"00")&amp;":00")</f>
        <v>12:00</v>
      </c>
      <c r="AC445" s="5" t="str">
        <f>IF($A445="","",VLOOKUP($F445,Lookups!$G$4:$H$8,2,TRUE))</f>
        <v>Midday (10-15)</v>
      </c>
      <c r="AD445" s="18">
        <f>IF($A445="","",IF($J445="","",ROUND($J445*41,1)))</f>
        <v>12.3</v>
      </c>
      <c r="AE445" s="18">
        <f>IF($A445="","",IF($R445="","",ROUND($R445*50,1)))</f>
        <v>16.7</v>
      </c>
      <c r="AF445" s="5">
        <f>IF($A445="","",IF($L445="","",ROUND($L445*100,0)))</f>
        <v>42</v>
      </c>
      <c r="AG445" s="18">
        <f>IF($A445="","",IF($M445="","",ROUND($M445*67,1)))</f>
        <v>0</v>
      </c>
      <c r="AH445" s="19">
        <f>IF($A445="","",IF($P445="","",IF($P445=0,0,$O445/$P445)))</f>
        <v>0.916666666666667</v>
      </c>
      <c r="AI445" s="5" t="str">
        <f>IF($A445="","",IF($P445="","",IF($P445&gt;=Lookups!$K$7,"High",IF($P445&lt;=Lookups!$K$8,"Low","Medium"))))</f>
        <v>High</v>
      </c>
      <c r="AJ445" s="5" t="str">
        <f>IF($A445="","",IF($AD445="","",IF($AD445&lt;5,"Under 5 C",IF($AD445&lt;10,"5-10 C",IF($AD445&lt;15,"10-15 C","15 C and above")))))</f>
        <v>10-15 C</v>
      </c>
      <c r="AK445" s="5">
        <f>IF($A445="","",IF($P445="","",$P445^2))</f>
        <v>7056</v>
      </c>
      <c r="AL445" s="18">
        <f>IF($V445&lt;&gt;1,"",AVERAGEIFS(Clean_Data!$P$2:$P$1001,Clean_Data!$F$2:$F$1001,$F445,Clean_Data!$W$2:$W$1001,$W445,Clean_Data!$V$2:$V$1001,1))</f>
        <v>64.5862068965517</v>
      </c>
      <c r="AM445" s="16">
        <f>IF($V445&lt;&gt;1,"",IFERROR(($P445-$AL445)/SQRT(MAX(0,(SUMIFS(Clean_Data!$AK$2:$AK$1001,Clean_Data!$F$2:$F$1001,$F445,Clean_Data!$W$2:$W$1001,$W445,Clean_Data!$V$2:$V$1001,1)-COUNTIFS(Clean_Data!$F$2:$F$1001,$F445,Clean_Data!$W$2:$W$1001,$W445,Clean_Data!$V$2:$V$1001,1)*$AL445^2)/(COUNTIFS(Clean_Data!$F$2:$F$1001,$F445,Clean_Data!$W$2:$W$1001,$W445,Clean_Data!$V$2:$V$1001,1)-1))),""))</f>
        <v>1.03659902179115</v>
      </c>
      <c r="AN445" s="5" t="str">
        <f>IF($AM445="","",IF($AM445&gt;=Lookups!$K$6,"High spike",IF($AM445&lt;=-Lookups!$K$6,"Unusual low","Normal")))</f>
        <v>Normal</v>
      </c>
      <c r="AO445" s="20">
        <f>IF($V445&lt;&gt;1,"",$P445+ROW()/100000)</f>
        <v>84.00445</v>
      </c>
      <c r="AP445" s="5">
        <f>IF($A445="","",IFERROR(MATCH($A445,Raw_D1!$A$2:$A$1001,0),""))</f>
        <v>444</v>
      </c>
      <c r="AQ445" s="5">
        <f>IF($A445="","",IFERROR(MATCH($A445,Raw_D2!$B$2:$B$1001,0),""))</f>
        <v>444</v>
      </c>
      <c r="AR445" s="5">
        <f>IF($A445="","",IFERROR(MATCH($A445,Raw_D3!$A$2:$A$1001,0),""))</f>
        <v/>
      </c>
    </row>
    <row r="446" spans="1:44" x14ac:dyDescent="0.25">
      <c r="A446" s="5">
        <v>445</v>
      </c>
      <c r="B446" s="11">
        <f>IF($A446="","",IF($AP446&lt;&gt;"",INDEX(Raw_D1!$B$2:$B$1001,$AP446),IF($AR446&lt;&gt;"",INDEX(Raw_D3!$B$2:$B$1001,$AR446),"")))</f>
        <v>40563.0</v>
      </c>
      <c r="C446" s="5">
        <f>IF($A446="","",IF($AP446&lt;&gt;"",INDEX(Raw_D1!$C$2:$C$1001,$AP446),IF($AR446&lt;&gt;"",INDEX(Raw_D3!$C$2:$C$1001,$AR446),"")))</f>
        <v>1</v>
      </c>
      <c r="D446" s="5">
        <f>IF($A446="","",IF($AP446&lt;&gt;"",INDEX(Raw_D1!$D$2:$D$1001,$AP446),IF($AR446&lt;&gt;"",INDEX(Raw_D3!$D$2:$D$1001,$AR446),"")))</f>
        <v>0</v>
      </c>
      <c r="E446" s="5">
        <f>IF($A446="","",IF($AP446&lt;&gt;"",INDEX(Raw_D1!$E$2:$E$1001,$AP446),IF($AR446&lt;&gt;"",INDEX(Raw_D3!$E$2:$E$1001,$AR446),"")))</f>
        <v>1</v>
      </c>
      <c r="F446" s="5">
        <f>IF($A446="","",IF($AP446&lt;&gt;"",INDEX(Raw_D1!$F$2:$F$1001,$AP446),IF($AR446&lt;&gt;"",INDEX(Raw_D3!$F$2:$F$1001,$AR446),"")))</f>
        <v>13</v>
      </c>
      <c r="G446" s="5">
        <f>IF($A446="","",IF($AP446&lt;&gt;"",IF(INDEX(Raw_D1!$G$2:$G$1001,$AP446),1,0),IF($AR446&lt;&gt;"",IF(INDEX(Raw_D3!$G$2:$G$1001,$AR446),1,0),"")))</f>
        <v>0</v>
      </c>
      <c r="H446" s="5">
        <f>IF($A446="","",IF($AP446&lt;&gt;"",INDEX(Raw_D1!$H$2:$H$1001,$AP446),IF($AR446&lt;&gt;"",INDEX(Raw_D3!$H$2:$H$1001,$AR446),"")))</f>
        <v>4</v>
      </c>
      <c r="I446" s="5">
        <f>IF($A446="","",IF($AP446&lt;&gt;"",INDEX(Raw_D1!$I$2:$I$1001,$AP446),IF($AR446&lt;&gt;"",INDEX(Raw_D3!$I$2:$I$1001,$AR446),"")))</f>
        <v>2</v>
      </c>
      <c r="J446" s="16">
        <f>IF($A446="","",IF($AP446&lt;&gt;"",INDEX(Raw_D1!$J$2:$J$1001,$AP446),IF($AR446&lt;&gt;"",INDEX(Raw_D3!$J$2:$J$1001,$AR446),"")))</f>
        <v>0.28</v>
      </c>
      <c r="K446" s="17">
        <f>IF($A446="","",IF($AQ446&lt;&gt;"",IF(INDEX(Raw_D2!$C$2:$C$1001,$AQ446)="","",INDEX(Raw_D2!$C$2:$C$1001,$AQ446)),IF($AR446&lt;&gt;"",IF(INDEX(Raw_D3!$K$2:$K$1001,$AR446)="","",INDEX(Raw_D3!$K$2:$K$1001,$AR446)),"")))</f>
        <v>0.2879</v>
      </c>
      <c r="L446" s="16">
        <f>IF($A446="","",IF($AQ446&lt;&gt;"",IF(INDEX(Raw_D2!$D$2:$D$1001,$AQ446)="","",INDEX(Raw_D2!$D$2:$D$1001,$AQ446)),IF($AR446&lt;&gt;"",IF(INDEX(Raw_D3!$L$2:$L$1001,$AR446)="","",INDEX(Raw_D3!$L$2:$L$1001,$AR446)),"")))</f>
        <v>0.45</v>
      </c>
      <c r="M446" s="17">
        <f>IF($A446="","",IF($AQ446&lt;&gt;"",IF(INDEX(Raw_D2!$E$2:$E$1001,$AQ446)="","",INDEX(Raw_D2!$E$2:$E$1001,$AQ446)),IF($AR446&lt;&gt;"",IF(INDEX(Raw_D3!$M$2:$M$1001,$AR446)="","",INDEX(Raw_D3!$M$2:$M$1001,$AR446)),"")))</f>
        <v>0.1045</v>
      </c>
      <c r="N446" s="5">
        <f>IF($A446="","",IF($AQ446&lt;&gt;"",IF(INDEX(Raw_D2!$F$2:$F$1001,$AQ446)="","",INDEX(Raw_D2!$F$2:$F$1001,$AQ446)),IF($AR446&lt;&gt;"",IF(INDEX(Raw_D3!$N$2:$N$1001,$AR446)="","",INDEX(Raw_D3!$N$2:$N$1001,$AR446)),"")))</f>
        <v>12</v>
      </c>
      <c r="O446" s="5">
        <f>IF($A446="","",IF($AQ446&lt;&gt;"",IF(INDEX(Raw_D2!$G$2:$G$1001,$AQ446)="","",INDEX(Raw_D2!$G$2:$G$1001,$AQ446)),IF($AR446&lt;&gt;"",IF(INDEX(Raw_D3!$O$2:$O$1001,$AR446)="","",INDEX(Raw_D3!$O$2:$O$1001,$AR446)),"")))</f>
        <v>86</v>
      </c>
      <c r="P446" s="5">
        <f>IF($A446="","",IF($AQ446&lt;&gt;"",IF(INDEX(Raw_D2!$H$2:$H$1001,$AQ446)="","",INDEX(Raw_D2!$H$2:$H$1001,$AQ446)),IF($AR446&lt;&gt;"",IF(INDEX(Raw_D3!$P$2:$P$1001,$AR446)="","",INDEX(Raw_D3!$P$2:$P$1001,$AR446)),"")))</f>
        <v>98</v>
      </c>
      <c r="Q446" s="5" t="str">
        <f>IF($A446="","",IF(AND($AP446&lt;&gt;"",$AQ446&lt;&gt;""),"D1+D2",IF($AR446&lt;&gt;"","D3","Incomplete")))</f>
        <v>D1+D2</v>
      </c>
      <c r="R446" s="17">
        <f>IF($A446="","",IF($K446="",IF($J446="","",ROUND(Lookups!$K$5+Lookups!$K$4*$J446,4)),$K446))</f>
        <v>0.2879</v>
      </c>
      <c r="S446" s="5" t="str">
        <f>IF($A446="","",IF($K446="","Imputed","Original"))</f>
        <v>Original</v>
      </c>
      <c r="T446" s="5" t="str">
        <f>IF($A446="","",IF($P446="","Missing",IF($P446=$N446+$O446,"OK","Mismatch")))</f>
        <v>OK</v>
      </c>
      <c r="U446" s="5" t="str">
        <f>IF($A446="","",IF(COUNTIF($A$2:$A446,$A446)&gt;1,"Duplicate","Unique"))</f>
        <v>Unique</v>
      </c>
      <c r="V446" s="5">
        <f>IF($A446="","",IF(AND($U446="Unique",ISNUMBER($P446)),1,0))</f>
        <v>1</v>
      </c>
      <c r="W446" s="5" t="str">
        <f>IF($A446="","",IF(OR($H446=0,$H446=6),"Weekend","Weekday"))</f>
        <v>Weekday</v>
      </c>
      <c r="X446" s="5" t="str">
        <f>IF($A446="","",TEXT($B446,"ddd"))</f>
        <v>Thu</v>
      </c>
      <c r="Y446" s="5" t="str">
        <f>IF($A446="","",TEXT($B446,"mmm"))</f>
        <v>Jan</v>
      </c>
      <c r="Z446" s="5" t="str">
        <f>IF($A446="","",IFERROR(VLOOKUP($C446,Lookups!$D$4:$E$7,2,FALSE),"Unknown"))</f>
        <v>Winter</v>
      </c>
      <c r="AA446" s="5" t="str">
        <f>IF($A446="","",IFERROR(VLOOKUP($I446,Lookups!$A$4:$B$7,2,FALSE),"Unknown"))</f>
        <v>Mist/Cloudy</v>
      </c>
      <c r="AB446" s="5" t="str">
        <f>IF($A446="","",TEXT($F446,"00")&amp;":00")</f>
        <v>13:00</v>
      </c>
      <c r="AC446" s="5" t="str">
        <f>IF($A446="","",VLOOKUP($F446,Lookups!$G$4:$H$8,2,TRUE))</f>
        <v>Midday (10-15)</v>
      </c>
      <c r="AD446" s="18">
        <f>IF($A446="","",IF($J446="","",ROUND($J446*41,1)))</f>
        <v>11.5</v>
      </c>
      <c r="AE446" s="18">
        <f>IF($A446="","",IF($R446="","",ROUND($R446*50,1)))</f>
        <v>14.4</v>
      </c>
      <c r="AF446" s="5">
        <f>IF($A446="","",IF($L446="","",ROUND($L446*100,0)))</f>
        <v>45</v>
      </c>
      <c r="AG446" s="18">
        <f>IF($A446="","",IF($M446="","",ROUND($M446*67,1)))</f>
        <v>7</v>
      </c>
      <c r="AH446" s="19">
        <f>IF($A446="","",IF($P446="","",IF($P446=0,0,$O446/$P446)))</f>
        <v>0.877551020408163</v>
      </c>
      <c r="AI446" s="5" t="str">
        <f>IF($A446="","",IF($P446="","",IF($P446&gt;=Lookups!$K$7,"High",IF($P446&lt;=Lookups!$K$8,"Low","Medium"))))</f>
        <v>High</v>
      </c>
      <c r="AJ446" s="5" t="str">
        <f>IF($A446="","",IF($AD446="","",IF($AD446&lt;5,"Under 5 C",IF($AD446&lt;10,"5-10 C",IF($AD446&lt;15,"10-15 C","15 C and above")))))</f>
        <v>10-15 C</v>
      </c>
      <c r="AK446" s="5">
        <f>IF($A446="","",IF($P446="","",$P446^2))</f>
        <v>9604</v>
      </c>
      <c r="AL446" s="18">
        <f>IF($V446&lt;&gt;1,"",AVERAGEIFS(Clean_Data!$P$2:$P$1001,Clean_Data!$F$2:$F$1001,$F446,Clean_Data!$W$2:$W$1001,$W446,Clean_Data!$V$2:$V$1001,1))</f>
        <v>67.1724137931034</v>
      </c>
      <c r="AM446" s="16">
        <f>IF($V446&lt;&gt;1,"",IFERROR(($P446-$AL446)/SQRT(MAX(0,(SUMIFS(Clean_Data!$AK$2:$AK$1001,Clean_Data!$F$2:$F$1001,$F446,Clean_Data!$W$2:$W$1001,$W446,Clean_Data!$V$2:$V$1001,1)-COUNTIFS(Clean_Data!$F$2:$F$1001,$F446,Clean_Data!$W$2:$W$1001,$W446,Clean_Data!$V$2:$V$1001,1)*$AL446^2)/(COUNTIFS(Clean_Data!$F$2:$F$1001,$F446,Clean_Data!$W$2:$W$1001,$W446,Clean_Data!$V$2:$V$1001,1)-1))),""))</f>
        <v>1.5267183759665</v>
      </c>
      <c r="AN446" s="5" t="str">
        <f>IF($AM446="","",IF($AM446&gt;=Lookups!$K$6,"High spike",IF($AM446&lt;=-Lookups!$K$6,"Unusual low","Normal")))</f>
        <v>Normal</v>
      </c>
      <c r="AO446" s="20">
        <f>IF($V446&lt;&gt;1,"",$P446+ROW()/100000)</f>
        <v>98.00446</v>
      </c>
      <c r="AP446" s="5">
        <f>IF($A446="","",IFERROR(MATCH($A446,Raw_D1!$A$2:$A$1001,0),""))</f>
        <v>445</v>
      </c>
      <c r="AQ446" s="5">
        <f>IF($A446="","",IFERROR(MATCH($A446,Raw_D2!$B$2:$B$1001,0),""))</f>
        <v>445</v>
      </c>
      <c r="AR446" s="5">
        <f>IF($A446="","",IFERROR(MATCH($A446,Raw_D3!$A$2:$A$1001,0),""))</f>
        <v/>
      </c>
    </row>
    <row r="447" spans="1:44" x14ac:dyDescent="0.25">
      <c r="A447" s="5">
        <v>446</v>
      </c>
      <c r="B447" s="11">
        <f>IF($A447="","",IF($AP447&lt;&gt;"",INDEX(Raw_D1!$B$2:$B$1001,$AP447),IF($AR447&lt;&gt;"",INDEX(Raw_D3!$B$2:$B$1001,$AR447),"")))</f>
        <v>40563.0</v>
      </c>
      <c r="C447" s="5">
        <f>IF($A447="","",IF($AP447&lt;&gt;"",INDEX(Raw_D1!$C$2:$C$1001,$AP447),IF($AR447&lt;&gt;"",INDEX(Raw_D3!$C$2:$C$1001,$AR447),"")))</f>
        <v>1</v>
      </c>
      <c r="D447" s="5">
        <f>IF($A447="","",IF($AP447&lt;&gt;"",INDEX(Raw_D1!$D$2:$D$1001,$AP447),IF($AR447&lt;&gt;"",INDEX(Raw_D3!$D$2:$D$1001,$AR447),"")))</f>
        <v>0</v>
      </c>
      <c r="E447" s="5">
        <f>IF($A447="","",IF($AP447&lt;&gt;"",INDEX(Raw_D1!$E$2:$E$1001,$AP447),IF($AR447&lt;&gt;"",INDEX(Raw_D3!$E$2:$E$1001,$AR447),"")))</f>
        <v>1</v>
      </c>
      <c r="F447" s="5">
        <f>IF($A447="","",IF($AP447&lt;&gt;"",INDEX(Raw_D1!$F$2:$F$1001,$AP447),IF($AR447&lt;&gt;"",INDEX(Raw_D3!$F$2:$F$1001,$AR447),"")))</f>
        <v>14</v>
      </c>
      <c r="G447" s="5">
        <f>IF($A447="","",IF($AP447&lt;&gt;"",IF(INDEX(Raw_D1!$G$2:$G$1001,$AP447),1,0),IF($AR447&lt;&gt;"",IF(INDEX(Raw_D3!$G$2:$G$1001,$AR447),1,0),"")))</f>
        <v>0</v>
      </c>
      <c r="H447" s="5">
        <f>IF($A447="","",IF($AP447&lt;&gt;"",INDEX(Raw_D1!$H$2:$H$1001,$AP447),IF($AR447&lt;&gt;"",INDEX(Raw_D3!$H$2:$H$1001,$AR447),"")))</f>
        <v>4</v>
      </c>
      <c r="I447" s="5">
        <f>IF($A447="","",IF($AP447&lt;&gt;"",INDEX(Raw_D1!$I$2:$I$1001,$AP447),IF($AR447&lt;&gt;"",INDEX(Raw_D3!$I$2:$I$1001,$AR447),"")))</f>
        <v>2</v>
      </c>
      <c r="J447" s="16">
        <f>IF($A447="","",IF($AP447&lt;&gt;"",INDEX(Raw_D1!$J$2:$J$1001,$AP447),IF($AR447&lt;&gt;"",INDEX(Raw_D3!$J$2:$J$1001,$AR447),"")))</f>
        <v>0.3</v>
      </c>
      <c r="K447" s="17">
        <f>IF($A447="","",IF($AQ447&lt;&gt;"",IF(INDEX(Raw_D2!$C$2:$C$1001,$AQ447)="","",INDEX(Raw_D2!$C$2:$C$1001,$AQ447)),IF($AR447&lt;&gt;"",IF(INDEX(Raw_D3!$K$2:$K$1001,$AR447)="","",INDEX(Raw_D3!$K$2:$K$1001,$AR447)),"")))</f>
        <v>0.303</v>
      </c>
      <c r="L447" s="16">
        <f>IF($A447="","",IF($AQ447&lt;&gt;"",IF(INDEX(Raw_D2!$D$2:$D$1001,$AQ447)="","",INDEX(Raw_D2!$D$2:$D$1001,$AQ447)),IF($AR447&lt;&gt;"",IF(INDEX(Raw_D3!$L$2:$L$1001,$AR447)="","",INDEX(Raw_D3!$L$2:$L$1001,$AR447)),"")))</f>
        <v>0.45</v>
      </c>
      <c r="M447" s="17">
        <f>IF($A447="","",IF($AQ447&lt;&gt;"",IF(INDEX(Raw_D2!$E$2:$E$1001,$AQ447)="","",INDEX(Raw_D2!$E$2:$E$1001,$AQ447)),IF($AR447&lt;&gt;"",IF(INDEX(Raw_D3!$M$2:$M$1001,$AR447)="","",INDEX(Raw_D3!$M$2:$M$1001,$AR447)),"")))</f>
        <v>0.1343</v>
      </c>
      <c r="N447" s="5">
        <f>IF($A447="","",IF($AQ447&lt;&gt;"",IF(INDEX(Raw_D2!$F$2:$F$1001,$AQ447)="","",INDEX(Raw_D2!$F$2:$F$1001,$AQ447)),IF($AR447&lt;&gt;"",IF(INDEX(Raw_D3!$N$2:$N$1001,$AR447)="","",INDEX(Raw_D3!$N$2:$N$1001,$AR447)),"")))</f>
        <v>6</v>
      </c>
      <c r="O447" s="5">
        <f>IF($A447="","",IF($AQ447&lt;&gt;"",IF(INDEX(Raw_D2!$G$2:$G$1001,$AQ447)="","",INDEX(Raw_D2!$G$2:$G$1001,$AQ447)),IF($AR447&lt;&gt;"",IF(INDEX(Raw_D3!$O$2:$O$1001,$AR447)="","",INDEX(Raw_D3!$O$2:$O$1001,$AR447)),"")))</f>
        <v>75</v>
      </c>
      <c r="P447" s="5">
        <f>IF($A447="","",IF($AQ447&lt;&gt;"",IF(INDEX(Raw_D2!$H$2:$H$1001,$AQ447)="","",INDEX(Raw_D2!$H$2:$H$1001,$AQ447)),IF($AR447&lt;&gt;"",IF(INDEX(Raw_D3!$P$2:$P$1001,$AR447)="","",INDEX(Raw_D3!$P$2:$P$1001,$AR447)),"")))</f>
        <v>81</v>
      </c>
      <c r="Q447" s="5" t="str">
        <f>IF($A447="","",IF(AND($AP447&lt;&gt;"",$AQ447&lt;&gt;""),"D1+D2",IF($AR447&lt;&gt;"","D3","Incomplete")))</f>
        <v>D1+D2</v>
      </c>
      <c r="R447" s="17">
        <f>IF($A447="","",IF($K447="",IF($J447="","",ROUND(Lookups!$K$5+Lookups!$K$4*$J447,4)),$K447))</f>
        <v>0.303</v>
      </c>
      <c r="S447" s="5" t="str">
        <f>IF($A447="","",IF($K447="","Imputed","Original"))</f>
        <v>Original</v>
      </c>
      <c r="T447" s="5" t="str">
        <f>IF($A447="","",IF($P447="","Missing",IF($P447=$N447+$O447,"OK","Mismatch")))</f>
        <v>OK</v>
      </c>
      <c r="U447" s="5" t="str">
        <f>IF($A447="","",IF(COUNTIF($A$2:$A447,$A447)&gt;1,"Duplicate","Unique"))</f>
        <v>Unique</v>
      </c>
      <c r="V447" s="5">
        <f>IF($A447="","",IF(AND($U447="Unique",ISNUMBER($P447)),1,0))</f>
        <v>1</v>
      </c>
      <c r="W447" s="5" t="str">
        <f>IF($A447="","",IF(OR($H447=0,$H447=6),"Weekend","Weekday"))</f>
        <v>Weekday</v>
      </c>
      <c r="X447" s="5" t="str">
        <f>IF($A447="","",TEXT($B447,"ddd"))</f>
        <v>Thu</v>
      </c>
      <c r="Y447" s="5" t="str">
        <f>IF($A447="","",TEXT($B447,"mmm"))</f>
        <v>Jan</v>
      </c>
      <c r="Z447" s="5" t="str">
        <f>IF($A447="","",IFERROR(VLOOKUP($C447,Lookups!$D$4:$E$7,2,FALSE),"Unknown"))</f>
        <v>Winter</v>
      </c>
      <c r="AA447" s="5" t="str">
        <f>IF($A447="","",IFERROR(VLOOKUP($I447,Lookups!$A$4:$B$7,2,FALSE),"Unknown"))</f>
        <v>Mist/Cloudy</v>
      </c>
      <c r="AB447" s="5" t="str">
        <f>IF($A447="","",TEXT($F447,"00")&amp;":00")</f>
        <v>14:00</v>
      </c>
      <c r="AC447" s="5" t="str">
        <f>IF($A447="","",VLOOKUP($F447,Lookups!$G$4:$H$8,2,TRUE))</f>
        <v>Midday (10-15)</v>
      </c>
      <c r="AD447" s="18">
        <f>IF($A447="","",IF($J447="","",ROUND($J447*41,1)))</f>
        <v>12.3</v>
      </c>
      <c r="AE447" s="18">
        <f>IF($A447="","",IF($R447="","",ROUND($R447*50,1)))</f>
        <v>15.2</v>
      </c>
      <c r="AF447" s="5">
        <f>IF($A447="","",IF($L447="","",ROUND($L447*100,0)))</f>
        <v>45</v>
      </c>
      <c r="AG447" s="18">
        <f>IF($A447="","",IF($M447="","",ROUND($M447*67,1)))</f>
        <v>9</v>
      </c>
      <c r="AH447" s="19">
        <f>IF($A447="","",IF($P447="","",IF($P447=0,0,$O447/$P447)))</f>
        <v>0.925925925925926</v>
      </c>
      <c r="AI447" s="5" t="str">
        <f>IF($A447="","",IF($P447="","",IF($P447&gt;=Lookups!$K$7,"High",IF($P447&lt;=Lookups!$K$8,"Low","Medium"))))</f>
        <v>Medium</v>
      </c>
      <c r="AJ447" s="5" t="str">
        <f>IF($A447="","",IF($AD447="","",IF($AD447&lt;5,"Under 5 C",IF($AD447&lt;10,"5-10 C",IF($AD447&lt;15,"10-15 C","15 C and above")))))</f>
        <v>10-15 C</v>
      </c>
      <c r="AK447" s="5">
        <f>IF($A447="","",IF($P447="","",$P447^2))</f>
        <v>6561</v>
      </c>
      <c r="AL447" s="18">
        <f>IF($V447&lt;&gt;1,"",AVERAGEIFS(Clean_Data!$P$2:$P$1001,Clean_Data!$F$2:$F$1001,$F447,Clean_Data!$W$2:$W$1001,$W447,Clean_Data!$V$2:$V$1001,1))</f>
        <v>60.551724137931</v>
      </c>
      <c r="AM447" s="16">
        <f>IF($V447&lt;&gt;1,"",IFERROR(($P447-$AL447)/SQRT(MAX(0,(SUMIFS(Clean_Data!$AK$2:$AK$1001,Clean_Data!$F$2:$F$1001,$F447,Clean_Data!$W$2:$W$1001,$W447,Clean_Data!$V$2:$V$1001,1)-COUNTIFS(Clean_Data!$F$2:$F$1001,$F447,Clean_Data!$W$2:$W$1001,$W447,Clean_Data!$V$2:$V$1001,1)*$AL447^2)/(COUNTIFS(Clean_Data!$F$2:$F$1001,$F447,Clean_Data!$W$2:$W$1001,$W447,Clean_Data!$V$2:$V$1001,1)-1))),""))</f>
        <v>1.24303147724752</v>
      </c>
      <c r="AN447" s="5" t="str">
        <f>IF($AM447="","",IF($AM447&gt;=Lookups!$K$6,"High spike",IF($AM447&lt;=-Lookups!$K$6,"Unusual low","Normal")))</f>
        <v>Normal</v>
      </c>
      <c r="AO447" s="20">
        <f>IF($V447&lt;&gt;1,"",$P447+ROW()/100000)</f>
        <v>81.00447</v>
      </c>
      <c r="AP447" s="5">
        <f>IF($A447="","",IFERROR(MATCH($A447,Raw_D1!$A$2:$A$1001,0),""))</f>
        <v>446</v>
      </c>
      <c r="AQ447" s="5">
        <f>IF($A447="","",IFERROR(MATCH($A447,Raw_D2!$B$2:$B$1001,0),""))</f>
        <v>446</v>
      </c>
      <c r="AR447" s="5">
        <f>IF($A447="","",IFERROR(MATCH($A447,Raw_D3!$A$2:$A$1001,0),""))</f>
        <v/>
      </c>
    </row>
    <row r="448" spans="1:44" x14ac:dyDescent="0.25">
      <c r="A448" s="5">
        <v>447</v>
      </c>
      <c r="B448" s="11">
        <f>IF($A448="","",IF($AP448&lt;&gt;"",INDEX(Raw_D1!$B$2:$B$1001,$AP448),IF($AR448&lt;&gt;"",INDEX(Raw_D3!$B$2:$B$1001,$AR448),"")))</f>
        <v>40563.0</v>
      </c>
      <c r="C448" s="5">
        <f>IF($A448="","",IF($AP448&lt;&gt;"",INDEX(Raw_D1!$C$2:$C$1001,$AP448),IF($AR448&lt;&gt;"",INDEX(Raw_D3!$C$2:$C$1001,$AR448),"")))</f>
        <v>1</v>
      </c>
      <c r="D448" s="5">
        <f>IF($A448="","",IF($AP448&lt;&gt;"",INDEX(Raw_D1!$D$2:$D$1001,$AP448),IF($AR448&lt;&gt;"",INDEX(Raw_D3!$D$2:$D$1001,$AR448),"")))</f>
        <v>0</v>
      </c>
      <c r="E448" s="5">
        <f>IF($A448="","",IF($AP448&lt;&gt;"",INDEX(Raw_D1!$E$2:$E$1001,$AP448),IF($AR448&lt;&gt;"",INDEX(Raw_D3!$E$2:$E$1001,$AR448),"")))</f>
        <v>1</v>
      </c>
      <c r="F448" s="5">
        <f>IF($A448="","",IF($AP448&lt;&gt;"",INDEX(Raw_D1!$F$2:$F$1001,$AP448),IF($AR448&lt;&gt;"",INDEX(Raw_D3!$F$2:$F$1001,$AR448),"")))</f>
        <v>15</v>
      </c>
      <c r="G448" s="5">
        <f>IF($A448="","",IF($AP448&lt;&gt;"",IF(INDEX(Raw_D1!$G$2:$G$1001,$AP448),1,0),IF($AR448&lt;&gt;"",IF(INDEX(Raw_D3!$G$2:$G$1001,$AR448),1,0),"")))</f>
        <v>0</v>
      </c>
      <c r="H448" s="5">
        <f>IF($A448="","",IF($AP448&lt;&gt;"",INDEX(Raw_D1!$H$2:$H$1001,$AP448),IF($AR448&lt;&gt;"",INDEX(Raw_D3!$H$2:$H$1001,$AR448),"")))</f>
        <v>4</v>
      </c>
      <c r="I448" s="5">
        <f>IF($A448="","",IF($AP448&lt;&gt;"",INDEX(Raw_D1!$I$2:$I$1001,$AP448),IF($AR448&lt;&gt;"",INDEX(Raw_D3!$I$2:$I$1001,$AR448),"")))</f>
        <v>2</v>
      </c>
      <c r="J448" s="16">
        <f>IF($A448="","",IF($AP448&lt;&gt;"",INDEX(Raw_D1!$J$2:$J$1001,$AP448),IF($AR448&lt;&gt;"",INDEX(Raw_D3!$J$2:$J$1001,$AR448),"")))</f>
        <v>0.32</v>
      </c>
      <c r="K448" s="17">
        <f>IF($A448="","",IF($AQ448&lt;&gt;"",IF(INDEX(Raw_D2!$C$2:$C$1001,$AQ448)="","",INDEX(Raw_D2!$C$2:$C$1001,$AQ448)),IF($AR448&lt;&gt;"",IF(INDEX(Raw_D3!$K$2:$K$1001,$AR448)="","",INDEX(Raw_D3!$K$2:$K$1001,$AR448)),"")))</f>
        <v>0.3182</v>
      </c>
      <c r="L448" s="16">
        <f>IF($A448="","",IF($AQ448&lt;&gt;"",IF(INDEX(Raw_D2!$D$2:$D$1001,$AQ448)="","",INDEX(Raw_D2!$D$2:$D$1001,$AQ448)),IF($AR448&lt;&gt;"",IF(INDEX(Raw_D3!$L$2:$L$1001,$AR448)="","",INDEX(Raw_D3!$L$2:$L$1001,$AR448)),"")))</f>
        <v>0.45</v>
      </c>
      <c r="M448" s="17">
        <f>IF($A448="","",IF($AQ448&lt;&gt;"",IF(INDEX(Raw_D2!$E$2:$E$1001,$AQ448)="","",INDEX(Raw_D2!$E$2:$E$1001,$AQ448)),IF($AR448&lt;&gt;"",IF(INDEX(Raw_D3!$M$2:$M$1001,$AR448)="","",INDEX(Raw_D3!$M$2:$M$1001,$AR448)),"")))</f>
        <v>0.194</v>
      </c>
      <c r="N448" s="5">
        <f>IF($A448="","",IF($AQ448&lt;&gt;"",IF(INDEX(Raw_D2!$F$2:$F$1001,$AQ448)="","",INDEX(Raw_D2!$F$2:$F$1001,$AQ448)),IF($AR448&lt;&gt;"",IF(INDEX(Raw_D3!$N$2:$N$1001,$AR448)="","",INDEX(Raw_D3!$N$2:$N$1001,$AR448)),"")))</f>
        <v>8</v>
      </c>
      <c r="O448" s="5">
        <f>IF($A448="","",IF($AQ448&lt;&gt;"",IF(INDEX(Raw_D2!$G$2:$G$1001,$AQ448)="","",INDEX(Raw_D2!$G$2:$G$1001,$AQ448)),IF($AR448&lt;&gt;"",IF(INDEX(Raw_D3!$O$2:$O$1001,$AR448)="","",INDEX(Raw_D3!$O$2:$O$1001,$AR448)),"")))</f>
        <v>62</v>
      </c>
      <c r="P448" s="5">
        <f>IF($A448="","",IF($AQ448&lt;&gt;"",IF(INDEX(Raw_D2!$H$2:$H$1001,$AQ448)="","",INDEX(Raw_D2!$H$2:$H$1001,$AQ448)),IF($AR448&lt;&gt;"",IF(INDEX(Raw_D3!$P$2:$P$1001,$AR448)="","",INDEX(Raw_D3!$P$2:$P$1001,$AR448)),"")))</f>
        <v>70</v>
      </c>
      <c r="Q448" s="5" t="str">
        <f>IF($A448="","",IF(AND($AP448&lt;&gt;"",$AQ448&lt;&gt;""),"D1+D2",IF($AR448&lt;&gt;"","D3","Incomplete")))</f>
        <v>D1+D2</v>
      </c>
      <c r="R448" s="17">
        <f>IF($A448="","",IF($K448="",IF($J448="","",ROUND(Lookups!$K$5+Lookups!$K$4*$J448,4)),$K448))</f>
        <v>0.3182</v>
      </c>
      <c r="S448" s="5" t="str">
        <f>IF($A448="","",IF($K448="","Imputed","Original"))</f>
        <v>Original</v>
      </c>
      <c r="T448" s="5" t="str">
        <f>IF($A448="","",IF($P448="","Missing",IF($P448=$N448+$O448,"OK","Mismatch")))</f>
        <v>OK</v>
      </c>
      <c r="U448" s="5" t="str">
        <f>IF($A448="","",IF(COUNTIF($A$2:$A448,$A448)&gt;1,"Duplicate","Unique"))</f>
        <v>Unique</v>
      </c>
      <c r="V448" s="5">
        <f>IF($A448="","",IF(AND($U448="Unique",ISNUMBER($P448)),1,0))</f>
        <v>1</v>
      </c>
      <c r="W448" s="5" t="str">
        <f>IF($A448="","",IF(OR($H448=0,$H448=6),"Weekend","Weekday"))</f>
        <v>Weekday</v>
      </c>
      <c r="X448" s="5" t="str">
        <f>IF($A448="","",TEXT($B448,"ddd"))</f>
        <v>Thu</v>
      </c>
      <c r="Y448" s="5" t="str">
        <f>IF($A448="","",TEXT($B448,"mmm"))</f>
        <v>Jan</v>
      </c>
      <c r="Z448" s="5" t="str">
        <f>IF($A448="","",IFERROR(VLOOKUP($C448,Lookups!$D$4:$E$7,2,FALSE),"Unknown"))</f>
        <v>Winter</v>
      </c>
      <c r="AA448" s="5" t="str">
        <f>IF($A448="","",IFERROR(VLOOKUP($I448,Lookups!$A$4:$B$7,2,FALSE),"Unknown"))</f>
        <v>Mist/Cloudy</v>
      </c>
      <c r="AB448" s="5" t="str">
        <f>IF($A448="","",TEXT($F448,"00")&amp;":00")</f>
        <v>15:00</v>
      </c>
      <c r="AC448" s="5" t="str">
        <f>IF($A448="","",VLOOKUP($F448,Lookups!$G$4:$H$8,2,TRUE))</f>
        <v>Midday (10-15)</v>
      </c>
      <c r="AD448" s="18">
        <f>IF($A448="","",IF($J448="","",ROUND($J448*41,1)))</f>
        <v>13.1</v>
      </c>
      <c r="AE448" s="18">
        <f>IF($A448="","",IF($R448="","",ROUND($R448*50,1)))</f>
        <v>15.9</v>
      </c>
      <c r="AF448" s="5">
        <f>IF($A448="","",IF($L448="","",ROUND($L448*100,0)))</f>
        <v>45</v>
      </c>
      <c r="AG448" s="18">
        <f>IF($A448="","",IF($M448="","",ROUND($M448*67,1)))</f>
        <v>13</v>
      </c>
      <c r="AH448" s="19">
        <f>IF($A448="","",IF($P448="","",IF($P448=0,0,$O448/$P448)))</f>
        <v>0.885714285714286</v>
      </c>
      <c r="AI448" s="5" t="str">
        <f>IF($A448="","",IF($P448="","",IF($P448&gt;=Lookups!$K$7,"High",IF($P448&lt;=Lookups!$K$8,"Low","Medium"))))</f>
        <v>Medium</v>
      </c>
      <c r="AJ448" s="5" t="str">
        <f>IF($A448="","",IF($AD448="","",IF($AD448&lt;5,"Under 5 C",IF($AD448&lt;10,"5-10 C",IF($AD448&lt;15,"10-15 C","15 C and above")))))</f>
        <v>10-15 C</v>
      </c>
      <c r="AK448" s="5">
        <f>IF($A448="","",IF($P448="","",$P448^2))</f>
        <v>4900</v>
      </c>
      <c r="AL448" s="18">
        <f>IF($V448&lt;&gt;1,"",AVERAGEIFS(Clean_Data!$P$2:$P$1001,Clean_Data!$F$2:$F$1001,$F448,Clean_Data!$W$2:$W$1001,$W448,Clean_Data!$V$2:$V$1001,1))</f>
        <v>61.4827586206897</v>
      </c>
      <c r="AM448" s="16">
        <f>IF($V448&lt;&gt;1,"",IFERROR(($P448-$AL448)/SQRT(MAX(0,(SUMIFS(Clean_Data!$AK$2:$AK$1001,Clean_Data!$F$2:$F$1001,$F448,Clean_Data!$W$2:$W$1001,$W448,Clean_Data!$V$2:$V$1001,1)-COUNTIFS(Clean_Data!$F$2:$F$1001,$F448,Clean_Data!$W$2:$W$1001,$W448,Clean_Data!$V$2:$V$1001,1)*$AL448^2)/(COUNTIFS(Clean_Data!$F$2:$F$1001,$F448,Clean_Data!$W$2:$W$1001,$W448,Clean_Data!$V$2:$V$1001,1)-1))),""))</f>
        <v>0.56498741244543</v>
      </c>
      <c r="AN448" s="5" t="str">
        <f>IF($AM448="","",IF($AM448&gt;=Lookups!$K$6,"High spike",IF($AM448&lt;=-Lookups!$K$6,"Unusual low","Normal")))</f>
        <v>Normal</v>
      </c>
      <c r="AO448" s="20">
        <f>IF($V448&lt;&gt;1,"",$P448+ROW()/100000)</f>
        <v>70.00448</v>
      </c>
      <c r="AP448" s="5">
        <f>IF($A448="","",IFERROR(MATCH($A448,Raw_D1!$A$2:$A$1001,0),""))</f>
        <v>447</v>
      </c>
      <c r="AQ448" s="5">
        <f>IF($A448="","",IFERROR(MATCH($A448,Raw_D2!$B$2:$B$1001,0),""))</f>
        <v>447</v>
      </c>
      <c r="AR448" s="5">
        <f>IF($A448="","",IFERROR(MATCH($A448,Raw_D3!$A$2:$A$1001,0),""))</f>
        <v/>
      </c>
    </row>
    <row r="449" spans="1:44" x14ac:dyDescent="0.25">
      <c r="A449" s="5">
        <v>448</v>
      </c>
      <c r="B449" s="11">
        <f>IF($A449="","",IF($AP449&lt;&gt;"",INDEX(Raw_D1!$B$2:$B$1001,$AP449),IF($AR449&lt;&gt;"",INDEX(Raw_D3!$B$2:$B$1001,$AR449),"")))</f>
        <v>40563.0</v>
      </c>
      <c r="C449" s="5">
        <f>IF($A449="","",IF($AP449&lt;&gt;"",INDEX(Raw_D1!$C$2:$C$1001,$AP449),IF($AR449&lt;&gt;"",INDEX(Raw_D3!$C$2:$C$1001,$AR449),"")))</f>
        <v>1</v>
      </c>
      <c r="D449" s="5">
        <f>IF($A449="","",IF($AP449&lt;&gt;"",INDEX(Raw_D1!$D$2:$D$1001,$AP449),IF($AR449&lt;&gt;"",INDEX(Raw_D3!$D$2:$D$1001,$AR449),"")))</f>
        <v>0</v>
      </c>
      <c r="E449" s="5">
        <f>IF($A449="","",IF($AP449&lt;&gt;"",INDEX(Raw_D1!$E$2:$E$1001,$AP449),IF($AR449&lt;&gt;"",INDEX(Raw_D3!$E$2:$E$1001,$AR449),"")))</f>
        <v>1</v>
      </c>
      <c r="F449" s="5">
        <f>IF($A449="","",IF($AP449&lt;&gt;"",INDEX(Raw_D1!$F$2:$F$1001,$AP449),IF($AR449&lt;&gt;"",INDEX(Raw_D3!$F$2:$F$1001,$AR449),"")))</f>
        <v>16</v>
      </c>
      <c r="G449" s="5">
        <f>IF($A449="","",IF($AP449&lt;&gt;"",IF(INDEX(Raw_D1!$G$2:$G$1001,$AP449),1,0),IF($AR449&lt;&gt;"",IF(INDEX(Raw_D3!$G$2:$G$1001,$AR449),1,0),"")))</f>
        <v>0</v>
      </c>
      <c r="H449" s="5">
        <f>IF($A449="","",IF($AP449&lt;&gt;"",INDEX(Raw_D1!$H$2:$H$1001,$AP449),IF($AR449&lt;&gt;"",INDEX(Raw_D3!$H$2:$H$1001,$AR449),"")))</f>
        <v>4</v>
      </c>
      <c r="I449" s="5">
        <f>IF($A449="","",IF($AP449&lt;&gt;"",INDEX(Raw_D1!$I$2:$I$1001,$AP449),IF($AR449&lt;&gt;"",INDEX(Raw_D3!$I$2:$I$1001,$AR449),"")))</f>
        <v>2</v>
      </c>
      <c r="J449" s="16">
        <f>IF($A449="","",IF($AP449&lt;&gt;"",INDEX(Raw_D1!$J$2:$J$1001,$AP449),IF($AR449&lt;&gt;"",INDEX(Raw_D3!$J$2:$J$1001,$AR449),"")))</f>
        <v>0.3</v>
      </c>
      <c r="K449" s="17">
        <f>IF($A449="","",IF($AQ449&lt;&gt;"",IF(INDEX(Raw_D2!$C$2:$C$1001,$AQ449)="","",INDEX(Raw_D2!$C$2:$C$1001,$AQ449)),IF($AR449&lt;&gt;"",IF(INDEX(Raw_D3!$K$2:$K$1001,$AR449)="","",INDEX(Raw_D3!$K$2:$K$1001,$AR449)),"")))</f>
        <v>0.303</v>
      </c>
      <c r="L449" s="16">
        <f>IF($A449="","",IF($AQ449&lt;&gt;"",IF(INDEX(Raw_D2!$D$2:$D$1001,$AQ449)="","",INDEX(Raw_D2!$D$2:$D$1001,$AQ449)),IF($AR449&lt;&gt;"",IF(INDEX(Raw_D3!$L$2:$L$1001,$AR449)="","",INDEX(Raw_D3!$L$2:$L$1001,$AR449)),"")))</f>
        <v>0.49</v>
      </c>
      <c r="M449" s="17">
        <f>IF($A449="","",IF($AQ449&lt;&gt;"",IF(INDEX(Raw_D2!$E$2:$E$1001,$AQ449)="","",INDEX(Raw_D2!$E$2:$E$1001,$AQ449)),IF($AR449&lt;&gt;"",IF(INDEX(Raw_D3!$M$2:$M$1001,$AR449)="","",INDEX(Raw_D3!$M$2:$M$1001,$AR449)),"")))</f>
        <v>0.1343</v>
      </c>
      <c r="N449" s="5">
        <f>IF($A449="","",IF($AQ449&lt;&gt;"",IF(INDEX(Raw_D2!$F$2:$F$1001,$AQ449)="","",INDEX(Raw_D2!$F$2:$F$1001,$AQ449)),IF($AR449&lt;&gt;"",IF(INDEX(Raw_D3!$N$2:$N$1001,$AR449)="","",INDEX(Raw_D3!$N$2:$N$1001,$AR449)),"")))</f>
        <v>8</v>
      </c>
      <c r="O449" s="5">
        <f>IF($A449="","",IF($AQ449&lt;&gt;"",IF(INDEX(Raw_D2!$G$2:$G$1001,$AQ449)="","",INDEX(Raw_D2!$G$2:$G$1001,$AQ449)),IF($AR449&lt;&gt;"",IF(INDEX(Raw_D3!$O$2:$O$1001,$AR449)="","",INDEX(Raw_D3!$O$2:$O$1001,$AR449)),"")))</f>
        <v>83</v>
      </c>
      <c r="P449" s="5">
        <f>IF($A449="","",IF($AQ449&lt;&gt;"",IF(INDEX(Raw_D2!$H$2:$H$1001,$AQ449)="","",INDEX(Raw_D2!$H$2:$H$1001,$AQ449)),IF($AR449&lt;&gt;"",IF(INDEX(Raw_D3!$P$2:$P$1001,$AR449)="","",INDEX(Raw_D3!$P$2:$P$1001,$AR449)),"")))</f>
        <v>91</v>
      </c>
      <c r="Q449" s="5" t="str">
        <f>IF($A449="","",IF(AND($AP449&lt;&gt;"",$AQ449&lt;&gt;""),"D1+D2",IF($AR449&lt;&gt;"","D3","Incomplete")))</f>
        <v>D1+D2</v>
      </c>
      <c r="R449" s="17">
        <f>IF($A449="","",IF($K449="",IF($J449="","",ROUND(Lookups!$K$5+Lookups!$K$4*$J449,4)),$K449))</f>
        <v>0.303</v>
      </c>
      <c r="S449" s="5" t="str">
        <f>IF($A449="","",IF($K449="","Imputed","Original"))</f>
        <v>Original</v>
      </c>
      <c r="T449" s="5" t="str">
        <f>IF($A449="","",IF($P449="","Missing",IF($P449=$N449+$O449,"OK","Mismatch")))</f>
        <v>OK</v>
      </c>
      <c r="U449" s="5" t="str">
        <f>IF($A449="","",IF(COUNTIF($A$2:$A449,$A449)&gt;1,"Duplicate","Unique"))</f>
        <v>Unique</v>
      </c>
      <c r="V449" s="5">
        <f>IF($A449="","",IF(AND($U449="Unique",ISNUMBER($P449)),1,0))</f>
        <v>1</v>
      </c>
      <c r="W449" s="5" t="str">
        <f>IF($A449="","",IF(OR($H449=0,$H449=6),"Weekend","Weekday"))</f>
        <v>Weekday</v>
      </c>
      <c r="X449" s="5" t="str">
        <f>IF($A449="","",TEXT($B449,"ddd"))</f>
        <v>Thu</v>
      </c>
      <c r="Y449" s="5" t="str">
        <f>IF($A449="","",TEXT($B449,"mmm"))</f>
        <v>Jan</v>
      </c>
      <c r="Z449" s="5" t="str">
        <f>IF($A449="","",IFERROR(VLOOKUP($C449,Lookups!$D$4:$E$7,2,FALSE),"Unknown"))</f>
        <v>Winter</v>
      </c>
      <c r="AA449" s="5" t="str">
        <f>IF($A449="","",IFERROR(VLOOKUP($I449,Lookups!$A$4:$B$7,2,FALSE),"Unknown"))</f>
        <v>Mist/Cloudy</v>
      </c>
      <c r="AB449" s="5" t="str">
        <f>IF($A449="","",TEXT($F449,"00")&amp;":00")</f>
        <v>16:00</v>
      </c>
      <c r="AC449" s="5" t="str">
        <f>IF($A449="","",VLOOKUP($F449,Lookups!$G$4:$H$8,2,TRUE))</f>
        <v>Evening Peak (16-19)</v>
      </c>
      <c r="AD449" s="18">
        <f>IF($A449="","",IF($J449="","",ROUND($J449*41,1)))</f>
        <v>12.3</v>
      </c>
      <c r="AE449" s="18">
        <f>IF($A449="","",IF($R449="","",ROUND($R449*50,1)))</f>
        <v>15.2</v>
      </c>
      <c r="AF449" s="5">
        <f>IF($A449="","",IF($L449="","",ROUND($L449*100,0)))</f>
        <v>49</v>
      </c>
      <c r="AG449" s="18">
        <f>IF($A449="","",IF($M449="","",ROUND($M449*67,1)))</f>
        <v>9</v>
      </c>
      <c r="AH449" s="19">
        <f>IF($A449="","",IF($P449="","",IF($P449=0,0,$O449/$P449)))</f>
        <v>0.912087912087912</v>
      </c>
      <c r="AI449" s="5" t="str">
        <f>IF($A449="","",IF($P449="","",IF($P449&gt;=Lookups!$K$7,"High",IF($P449&lt;=Lookups!$K$8,"Low","Medium"))))</f>
        <v>High</v>
      </c>
      <c r="AJ449" s="5" t="str">
        <f>IF($A449="","",IF($AD449="","",IF($AD449&lt;5,"Under 5 C",IF($AD449&lt;10,"5-10 C",IF($AD449&lt;15,"10-15 C","15 C and above")))))</f>
        <v>10-15 C</v>
      </c>
      <c r="AK449" s="5">
        <f>IF($A449="","",IF($P449="","",$P449^2))</f>
        <v>8281</v>
      </c>
      <c r="AL449" s="18">
        <f>IF($V449&lt;&gt;1,"",AVERAGEIFS(Clean_Data!$P$2:$P$1001,Clean_Data!$F$2:$F$1001,$F449,Clean_Data!$W$2:$W$1001,$W449,Clean_Data!$V$2:$V$1001,1))</f>
        <v>82.6333333333333</v>
      </c>
      <c r="AM449" s="16">
        <f>IF($V449&lt;&gt;1,"",IFERROR(($P449-$AL449)/SQRT(MAX(0,(SUMIFS(Clean_Data!$AK$2:$AK$1001,Clean_Data!$F$2:$F$1001,$F449,Clean_Data!$W$2:$W$1001,$W449,Clean_Data!$V$2:$V$1001,1)-COUNTIFS(Clean_Data!$F$2:$F$1001,$F449,Clean_Data!$W$2:$W$1001,$W449,Clean_Data!$V$2:$V$1001,1)*$AL449^2)/(COUNTIFS(Clean_Data!$F$2:$F$1001,$F449,Clean_Data!$W$2:$W$1001,$W449,Clean_Data!$V$2:$V$1001,1)-1))),""))</f>
        <v>0.403331511015856</v>
      </c>
      <c r="AN449" s="5" t="str">
        <f>IF($AM449="","",IF($AM449&gt;=Lookups!$K$6,"High spike",IF($AM449&lt;=-Lookups!$K$6,"Unusual low","Normal")))</f>
        <v>Normal</v>
      </c>
      <c r="AO449" s="20">
        <f>IF($V449&lt;&gt;1,"",$P449+ROW()/100000)</f>
        <v>91.00449</v>
      </c>
      <c r="AP449" s="5">
        <f>IF($A449="","",IFERROR(MATCH($A449,Raw_D1!$A$2:$A$1001,0),""))</f>
        <v>448</v>
      </c>
      <c r="AQ449" s="5">
        <f>IF($A449="","",IFERROR(MATCH($A449,Raw_D2!$B$2:$B$1001,0),""))</f>
        <v>448</v>
      </c>
      <c r="AR449" s="5">
        <f>IF($A449="","",IFERROR(MATCH($A449,Raw_D3!$A$2:$A$1001,0),""))</f>
        <v/>
      </c>
    </row>
    <row r="450" spans="1:44" x14ac:dyDescent="0.25">
      <c r="A450" s="5">
        <v>449</v>
      </c>
      <c r="B450" s="11">
        <f>IF($A450="","",IF($AP450&lt;&gt;"",INDEX(Raw_D1!$B$2:$B$1001,$AP450),IF($AR450&lt;&gt;"",INDEX(Raw_D3!$B$2:$B$1001,$AR450),"")))</f>
        <v>40563.0</v>
      </c>
      <c r="C450" s="5">
        <f>IF($A450="","",IF($AP450&lt;&gt;"",INDEX(Raw_D1!$C$2:$C$1001,$AP450),IF($AR450&lt;&gt;"",INDEX(Raw_D3!$C$2:$C$1001,$AR450),"")))</f>
        <v>1</v>
      </c>
      <c r="D450" s="5">
        <f>IF($A450="","",IF($AP450&lt;&gt;"",INDEX(Raw_D1!$D$2:$D$1001,$AP450),IF($AR450&lt;&gt;"",INDEX(Raw_D3!$D$2:$D$1001,$AR450),"")))</f>
        <v>0</v>
      </c>
      <c r="E450" s="5">
        <f>IF($A450="","",IF($AP450&lt;&gt;"",INDEX(Raw_D1!$E$2:$E$1001,$AP450),IF($AR450&lt;&gt;"",INDEX(Raw_D3!$E$2:$E$1001,$AR450),"")))</f>
        <v>1</v>
      </c>
      <c r="F450" s="5">
        <f>IF($A450="","",IF($AP450&lt;&gt;"",INDEX(Raw_D1!$F$2:$F$1001,$AP450),IF($AR450&lt;&gt;"",INDEX(Raw_D3!$F$2:$F$1001,$AR450),"")))</f>
        <v>17</v>
      </c>
      <c r="G450" s="5">
        <f>IF($A450="","",IF($AP450&lt;&gt;"",IF(INDEX(Raw_D1!$G$2:$G$1001,$AP450),1,0),IF($AR450&lt;&gt;"",IF(INDEX(Raw_D3!$G$2:$G$1001,$AR450),1,0),"")))</f>
        <v>0</v>
      </c>
      <c r="H450" s="5">
        <f>IF($A450="","",IF($AP450&lt;&gt;"",INDEX(Raw_D1!$H$2:$H$1001,$AP450),IF($AR450&lt;&gt;"",INDEX(Raw_D3!$H$2:$H$1001,$AR450),"")))</f>
        <v>4</v>
      </c>
      <c r="I450" s="5">
        <f>IF($A450="","",IF($AP450&lt;&gt;"",INDEX(Raw_D1!$I$2:$I$1001,$AP450),IF($AR450&lt;&gt;"",INDEX(Raw_D3!$I$2:$I$1001,$AR450),"")))</f>
        <v>2</v>
      </c>
      <c r="J450" s="16">
        <f>IF($A450="","",IF($AP450&lt;&gt;"",INDEX(Raw_D1!$J$2:$J$1001,$AP450),IF($AR450&lt;&gt;"",INDEX(Raw_D3!$J$2:$J$1001,$AR450),"")))</f>
        <v>0.3</v>
      </c>
      <c r="K450" s="17">
        <f>IF($A450="","",IF($AQ450&lt;&gt;"",IF(INDEX(Raw_D2!$C$2:$C$1001,$AQ450)="","",INDEX(Raw_D2!$C$2:$C$1001,$AQ450)),IF($AR450&lt;&gt;"",IF(INDEX(Raw_D3!$K$2:$K$1001,$AR450)="","",INDEX(Raw_D3!$K$2:$K$1001,$AR450)),"")))</f>
        <v>0.3182</v>
      </c>
      <c r="L450" s="16">
        <f>IF($A450="","",IF($AQ450&lt;&gt;"",IF(INDEX(Raw_D2!$D$2:$D$1001,$AQ450)="","",INDEX(Raw_D2!$D$2:$D$1001,$AQ450)),IF($AR450&lt;&gt;"",IF(INDEX(Raw_D3!$L$2:$L$1001,$AR450)="","",INDEX(Raw_D3!$L$2:$L$1001,$AR450)),"")))</f>
        <v>0.49</v>
      </c>
      <c r="M450" s="17">
        <f>IF($A450="","",IF($AQ450&lt;&gt;"",IF(INDEX(Raw_D2!$E$2:$E$1001,$AQ450)="","",INDEX(Raw_D2!$E$2:$E$1001,$AQ450)),IF($AR450&lt;&gt;"",IF(INDEX(Raw_D3!$M$2:$M$1001,$AR450)="","",INDEX(Raw_D3!$M$2:$M$1001,$AR450)),"")))</f>
        <v>0.1045</v>
      </c>
      <c r="N450" s="5">
        <f>IF($A450="","",IF($AQ450&lt;&gt;"",IF(INDEX(Raw_D2!$F$2:$F$1001,$AQ450)="","",INDEX(Raw_D2!$F$2:$F$1001,$AQ450)),IF($AR450&lt;&gt;"",IF(INDEX(Raw_D3!$N$2:$N$1001,$AR450)="","",INDEX(Raw_D3!$N$2:$N$1001,$AR450)),"")))</f>
        <v>8</v>
      </c>
      <c r="O450" s="5">
        <f>IF($A450="","",IF($AQ450&lt;&gt;"",IF(INDEX(Raw_D2!$G$2:$G$1001,$AQ450)="","",INDEX(Raw_D2!$G$2:$G$1001,$AQ450)),IF($AR450&lt;&gt;"",IF(INDEX(Raw_D3!$O$2:$O$1001,$AR450)="","",INDEX(Raw_D3!$O$2:$O$1001,$AR450)),"")))</f>
        <v>207</v>
      </c>
      <c r="P450" s="5">
        <f>IF($A450="","",IF($AQ450&lt;&gt;"",IF(INDEX(Raw_D2!$H$2:$H$1001,$AQ450)="","",INDEX(Raw_D2!$H$2:$H$1001,$AQ450)),IF($AR450&lt;&gt;"",IF(INDEX(Raw_D3!$P$2:$P$1001,$AR450)="","",INDEX(Raw_D3!$P$2:$P$1001,$AR450)),"")))</f>
        <v>215</v>
      </c>
      <c r="Q450" s="5" t="str">
        <f>IF($A450="","",IF(AND($AP450&lt;&gt;"",$AQ450&lt;&gt;""),"D1+D2",IF($AR450&lt;&gt;"","D3","Incomplete")))</f>
        <v>D1+D2</v>
      </c>
      <c r="R450" s="17">
        <f>IF($A450="","",IF($K450="",IF($J450="","",ROUND(Lookups!$K$5+Lookups!$K$4*$J450,4)),$K450))</f>
        <v>0.3182</v>
      </c>
      <c r="S450" s="5" t="str">
        <f>IF($A450="","",IF($K450="","Imputed","Original"))</f>
        <v>Original</v>
      </c>
      <c r="T450" s="5" t="str">
        <f>IF($A450="","",IF($P450="","Missing",IF($P450=$N450+$O450,"OK","Mismatch")))</f>
        <v>OK</v>
      </c>
      <c r="U450" s="5" t="str">
        <f>IF($A450="","",IF(COUNTIF($A$2:$A450,$A450)&gt;1,"Duplicate","Unique"))</f>
        <v>Unique</v>
      </c>
      <c r="V450" s="5">
        <f>IF($A450="","",IF(AND($U450="Unique",ISNUMBER($P450)),1,0))</f>
        <v>1</v>
      </c>
      <c r="W450" s="5" t="str">
        <f>IF($A450="","",IF(OR($H450=0,$H450=6),"Weekend","Weekday"))</f>
        <v>Weekday</v>
      </c>
      <c r="X450" s="5" t="str">
        <f>IF($A450="","",TEXT($B450,"ddd"))</f>
        <v>Thu</v>
      </c>
      <c r="Y450" s="5" t="str">
        <f>IF($A450="","",TEXT($B450,"mmm"))</f>
        <v>Jan</v>
      </c>
      <c r="Z450" s="5" t="str">
        <f>IF($A450="","",IFERROR(VLOOKUP($C450,Lookups!$D$4:$E$7,2,FALSE),"Unknown"))</f>
        <v>Winter</v>
      </c>
      <c r="AA450" s="5" t="str">
        <f>IF($A450="","",IFERROR(VLOOKUP($I450,Lookups!$A$4:$B$7,2,FALSE),"Unknown"))</f>
        <v>Mist/Cloudy</v>
      </c>
      <c r="AB450" s="5" t="str">
        <f>IF($A450="","",TEXT($F450,"00")&amp;":00")</f>
        <v>17:00</v>
      </c>
      <c r="AC450" s="5" t="str">
        <f>IF($A450="","",VLOOKUP($F450,Lookups!$G$4:$H$8,2,TRUE))</f>
        <v>Evening Peak (16-19)</v>
      </c>
      <c r="AD450" s="18">
        <f>IF($A450="","",IF($J450="","",ROUND($J450*41,1)))</f>
        <v>12.3</v>
      </c>
      <c r="AE450" s="18">
        <f>IF($A450="","",IF($R450="","",ROUND($R450*50,1)))</f>
        <v>15.9</v>
      </c>
      <c r="AF450" s="5">
        <f>IF($A450="","",IF($L450="","",ROUND($L450*100,0)))</f>
        <v>49</v>
      </c>
      <c r="AG450" s="18">
        <f>IF($A450="","",IF($M450="","",ROUND($M450*67,1)))</f>
        <v>7</v>
      </c>
      <c r="AH450" s="19">
        <f>IF($A450="","",IF($P450="","",IF($P450=0,0,$O450/$P450)))</f>
        <v>0.962790697674419</v>
      </c>
      <c r="AI450" s="5" t="str">
        <f>IF($A450="","",IF($P450="","",IF($P450&gt;=Lookups!$K$7,"High",IF($P450&lt;=Lookups!$K$8,"Low","Medium"))))</f>
        <v>High</v>
      </c>
      <c r="AJ450" s="5" t="str">
        <f>IF($A450="","",IF($AD450="","",IF($AD450&lt;5,"Under 5 C",IF($AD450&lt;10,"5-10 C",IF($AD450&lt;15,"10-15 C","15 C and above")))))</f>
        <v>10-15 C</v>
      </c>
      <c r="AK450" s="5">
        <f>IF($A450="","",IF($P450="","",$P450^2))</f>
        <v>46225</v>
      </c>
      <c r="AL450" s="18">
        <f>IF($V450&lt;&gt;1,"",AVERAGEIFS(Clean_Data!$P$2:$P$1001,Clean_Data!$F$2:$F$1001,$F450,Clean_Data!$W$2:$W$1001,$W450,Clean_Data!$V$2:$V$1001,1))</f>
        <v>165.566666666667</v>
      </c>
      <c r="AM450" s="16">
        <f>IF($V450&lt;&gt;1,"",IFERROR(($P450-$AL450)/SQRT(MAX(0,(SUMIFS(Clean_Data!$AK$2:$AK$1001,Clean_Data!$F$2:$F$1001,$F450,Clean_Data!$W$2:$W$1001,$W450,Clean_Data!$V$2:$V$1001,1)-COUNTIFS(Clean_Data!$F$2:$F$1001,$F450,Clean_Data!$W$2:$W$1001,$W450,Clean_Data!$V$2:$V$1001,1)*$AL450^2)/(COUNTIFS(Clean_Data!$F$2:$F$1001,$F450,Clean_Data!$W$2:$W$1001,$W450,Clean_Data!$V$2:$V$1001,1)-1))),""))</f>
        <v>1.12315115081722</v>
      </c>
      <c r="AN450" s="5" t="str">
        <f>IF($AM450="","",IF($AM450&gt;=Lookups!$K$6,"High spike",IF($AM450&lt;=-Lookups!$K$6,"Unusual low","Normal")))</f>
        <v>Normal</v>
      </c>
      <c r="AO450" s="20">
        <f>IF($V450&lt;&gt;1,"",$P450+ROW()/100000)</f>
        <v>215.0045</v>
      </c>
      <c r="AP450" s="5">
        <f>IF($A450="","",IFERROR(MATCH($A450,Raw_D1!$A$2:$A$1001,0),""))</f>
        <v>449</v>
      </c>
      <c r="AQ450" s="5">
        <f>IF($A450="","",IFERROR(MATCH($A450,Raw_D2!$B$2:$B$1001,0),""))</f>
        <v>449</v>
      </c>
      <c r="AR450" s="5">
        <f>IF($A450="","",IFERROR(MATCH($A450,Raw_D3!$A$2:$A$1001,0),""))</f>
        <v/>
      </c>
    </row>
    <row r="451" spans="1:44" x14ac:dyDescent="0.25">
      <c r="A451" s="5">
        <v>450</v>
      </c>
      <c r="B451" s="11">
        <f>IF($A451="","",IF($AP451&lt;&gt;"",INDEX(Raw_D1!$B$2:$B$1001,$AP451),IF($AR451&lt;&gt;"",INDEX(Raw_D3!$B$2:$B$1001,$AR451),"")))</f>
        <v>40563.0</v>
      </c>
      <c r="C451" s="5">
        <f>IF($A451="","",IF($AP451&lt;&gt;"",INDEX(Raw_D1!$C$2:$C$1001,$AP451),IF($AR451&lt;&gt;"",INDEX(Raw_D3!$C$2:$C$1001,$AR451),"")))</f>
        <v>1</v>
      </c>
      <c r="D451" s="5">
        <f>IF($A451="","",IF($AP451&lt;&gt;"",INDEX(Raw_D1!$D$2:$D$1001,$AP451),IF($AR451&lt;&gt;"",INDEX(Raw_D3!$D$2:$D$1001,$AR451),"")))</f>
        <v>0</v>
      </c>
      <c r="E451" s="5">
        <f>IF($A451="","",IF($AP451&lt;&gt;"",INDEX(Raw_D1!$E$2:$E$1001,$AP451),IF($AR451&lt;&gt;"",INDEX(Raw_D3!$E$2:$E$1001,$AR451),"")))</f>
        <v>1</v>
      </c>
      <c r="F451" s="5">
        <f>IF($A451="","",IF($AP451&lt;&gt;"",INDEX(Raw_D1!$F$2:$F$1001,$AP451),IF($AR451&lt;&gt;"",INDEX(Raw_D3!$F$2:$F$1001,$AR451),"")))</f>
        <v>18</v>
      </c>
      <c r="G451" s="5">
        <f>IF($A451="","",IF($AP451&lt;&gt;"",IF(INDEX(Raw_D1!$G$2:$G$1001,$AP451),1,0),IF($AR451&lt;&gt;"",IF(INDEX(Raw_D3!$G$2:$G$1001,$AR451),1,0),"")))</f>
        <v>0</v>
      </c>
      <c r="H451" s="5">
        <f>IF($A451="","",IF($AP451&lt;&gt;"",INDEX(Raw_D1!$H$2:$H$1001,$AP451),IF($AR451&lt;&gt;"",INDEX(Raw_D3!$H$2:$H$1001,$AR451),"")))</f>
        <v>4</v>
      </c>
      <c r="I451" s="5">
        <f>IF($A451="","",IF($AP451&lt;&gt;"",INDEX(Raw_D1!$I$2:$I$1001,$AP451),IF($AR451&lt;&gt;"",INDEX(Raw_D3!$I$2:$I$1001,$AR451),"")))</f>
        <v>2</v>
      </c>
      <c r="J451" s="16">
        <f>IF($A451="","",IF($AP451&lt;&gt;"",INDEX(Raw_D1!$J$2:$J$1001,$AP451),IF($AR451&lt;&gt;"",INDEX(Raw_D3!$J$2:$J$1001,$AR451),"")))</f>
        <v>0.26</v>
      </c>
      <c r="K451" s="17">
        <f>IF($A451="","",IF($AQ451&lt;&gt;"",IF(INDEX(Raw_D2!$C$2:$C$1001,$AQ451)="","",INDEX(Raw_D2!$C$2:$C$1001,$AQ451)),IF($AR451&lt;&gt;"",IF(INDEX(Raw_D3!$K$2:$K$1001,$AR451)="","",INDEX(Raw_D3!$K$2:$K$1001,$AR451)),"")))</f>
        <v>0.2576</v>
      </c>
      <c r="L451" s="16">
        <f>IF($A451="","",IF($AQ451&lt;&gt;"",IF(INDEX(Raw_D2!$D$2:$D$1001,$AQ451)="","",INDEX(Raw_D2!$D$2:$D$1001,$AQ451)),IF($AR451&lt;&gt;"",IF(INDEX(Raw_D3!$L$2:$L$1001,$AR451)="","",INDEX(Raw_D3!$L$2:$L$1001,$AR451)),"")))</f>
        <v>0.56</v>
      </c>
      <c r="M451" s="17">
        <f>IF($A451="","",IF($AQ451&lt;&gt;"",IF(INDEX(Raw_D2!$E$2:$E$1001,$AQ451)="","",INDEX(Raw_D2!$E$2:$E$1001,$AQ451)),IF($AR451&lt;&gt;"",IF(INDEX(Raw_D3!$M$2:$M$1001,$AR451)="","",INDEX(Raw_D3!$M$2:$M$1001,$AR451)),"")))</f>
        <v>0.194</v>
      </c>
      <c r="N451" s="5">
        <f>IF($A451="","",IF($AQ451&lt;&gt;"",IF(INDEX(Raw_D2!$F$2:$F$1001,$AQ451)="","",INDEX(Raw_D2!$F$2:$F$1001,$AQ451)),IF($AR451&lt;&gt;"",IF(INDEX(Raw_D3!$N$2:$N$1001,$AR451)="","",INDEX(Raw_D3!$N$2:$N$1001,$AR451)),"")))</f>
        <v>1</v>
      </c>
      <c r="O451" s="5">
        <f>IF($A451="","",IF($AQ451&lt;&gt;"",IF(INDEX(Raw_D2!$G$2:$G$1001,$AQ451)="","",INDEX(Raw_D2!$G$2:$G$1001,$AQ451)),IF($AR451&lt;&gt;"",IF(INDEX(Raw_D3!$O$2:$O$1001,$AR451)="","",INDEX(Raw_D3!$O$2:$O$1001,$AR451)),"")))</f>
        <v>184</v>
      </c>
      <c r="P451" s="5">
        <f>IF($A451="","",IF($AQ451&lt;&gt;"",IF(INDEX(Raw_D2!$H$2:$H$1001,$AQ451)="","",INDEX(Raw_D2!$H$2:$H$1001,$AQ451)),IF($AR451&lt;&gt;"",IF(INDEX(Raw_D3!$P$2:$P$1001,$AR451)="","",INDEX(Raw_D3!$P$2:$P$1001,$AR451)),"")))</f>
        <v>185</v>
      </c>
      <c r="Q451" s="5" t="str">
        <f>IF($A451="","",IF(AND($AP451&lt;&gt;"",$AQ451&lt;&gt;""),"D1+D2",IF($AR451&lt;&gt;"","D3","Incomplete")))</f>
        <v>D1+D2</v>
      </c>
      <c r="R451" s="17">
        <f>IF($A451="","",IF($K451="",IF($J451="","",ROUND(Lookups!$K$5+Lookups!$K$4*$J451,4)),$K451))</f>
        <v>0.2576</v>
      </c>
      <c r="S451" s="5" t="str">
        <f>IF($A451="","",IF($K451="","Imputed","Original"))</f>
        <v>Original</v>
      </c>
      <c r="T451" s="5" t="str">
        <f>IF($A451="","",IF($P451="","Missing",IF($P451=$N451+$O451,"OK","Mismatch")))</f>
        <v>OK</v>
      </c>
      <c r="U451" s="5" t="str">
        <f>IF($A451="","",IF(COUNTIF($A$2:$A451,$A451)&gt;1,"Duplicate","Unique"))</f>
        <v>Unique</v>
      </c>
      <c r="V451" s="5">
        <f>IF($A451="","",IF(AND($U451="Unique",ISNUMBER($P451)),1,0))</f>
        <v>1</v>
      </c>
      <c r="W451" s="5" t="str">
        <f>IF($A451="","",IF(OR($H451=0,$H451=6),"Weekend","Weekday"))</f>
        <v>Weekday</v>
      </c>
      <c r="X451" s="5" t="str">
        <f>IF($A451="","",TEXT($B451,"ddd"))</f>
        <v>Thu</v>
      </c>
      <c r="Y451" s="5" t="str">
        <f>IF($A451="","",TEXT($B451,"mmm"))</f>
        <v>Jan</v>
      </c>
      <c r="Z451" s="5" t="str">
        <f>IF($A451="","",IFERROR(VLOOKUP($C451,Lookups!$D$4:$E$7,2,FALSE),"Unknown"))</f>
        <v>Winter</v>
      </c>
      <c r="AA451" s="5" t="str">
        <f>IF($A451="","",IFERROR(VLOOKUP($I451,Lookups!$A$4:$B$7,2,FALSE),"Unknown"))</f>
        <v>Mist/Cloudy</v>
      </c>
      <c r="AB451" s="5" t="str">
        <f>IF($A451="","",TEXT($F451,"00")&amp;":00")</f>
        <v>18:00</v>
      </c>
      <c r="AC451" s="5" t="str">
        <f>IF($A451="","",VLOOKUP($F451,Lookups!$G$4:$H$8,2,TRUE))</f>
        <v>Evening Peak (16-19)</v>
      </c>
      <c r="AD451" s="18">
        <f>IF($A451="","",IF($J451="","",ROUND($J451*41,1)))</f>
        <v>10.7</v>
      </c>
      <c r="AE451" s="18">
        <f>IF($A451="","",IF($R451="","",ROUND($R451*50,1)))</f>
        <v>12.9</v>
      </c>
      <c r="AF451" s="5">
        <f>IF($A451="","",IF($L451="","",ROUND($L451*100,0)))</f>
        <v>56</v>
      </c>
      <c r="AG451" s="18">
        <f>IF($A451="","",IF($M451="","",ROUND($M451*67,1)))</f>
        <v>13</v>
      </c>
      <c r="AH451" s="19">
        <f>IF($A451="","",IF($P451="","",IF($P451=0,0,$O451/$P451)))</f>
        <v>0.994594594594595</v>
      </c>
      <c r="AI451" s="5" t="str">
        <f>IF($A451="","",IF($P451="","",IF($P451&gt;=Lookups!$K$7,"High",IF($P451&lt;=Lookups!$K$8,"Low","Medium"))))</f>
        <v>High</v>
      </c>
      <c r="AJ451" s="5" t="str">
        <f>IF($A451="","",IF($AD451="","",IF($AD451&lt;5,"Under 5 C",IF($AD451&lt;10,"5-10 C",IF($AD451&lt;15,"10-15 C","15 C and above")))))</f>
        <v>10-15 C</v>
      </c>
      <c r="AK451" s="5">
        <f>IF($A451="","",IF($P451="","",$P451^2))</f>
        <v>34225</v>
      </c>
      <c r="AL451" s="18">
        <f>IF($V451&lt;&gt;1,"",AVERAGEIFS(Clean_Data!$P$2:$P$1001,Clean_Data!$F$2:$F$1001,$F451,Clean_Data!$W$2:$W$1001,$W451,Clean_Data!$V$2:$V$1001,1))</f>
        <v>151.206896551724</v>
      </c>
      <c r="AM451" s="16">
        <f>IF($V451&lt;&gt;1,"",IFERROR(($P451-$AL451)/SQRT(MAX(0,(SUMIFS(Clean_Data!$AK$2:$AK$1001,Clean_Data!$F$2:$F$1001,$F451,Clean_Data!$W$2:$W$1001,$W451,Clean_Data!$V$2:$V$1001,1)-COUNTIFS(Clean_Data!$F$2:$F$1001,$F451,Clean_Data!$W$2:$W$1001,$W451,Clean_Data!$V$2:$V$1001,1)*$AL451^2)/(COUNTIFS(Clean_Data!$F$2:$F$1001,$F451,Clean_Data!$W$2:$W$1001,$W451,Clean_Data!$V$2:$V$1001,1)-1))),""))</f>
        <v>1.15140899494441</v>
      </c>
      <c r="AN451" s="5" t="str">
        <f>IF($AM451="","",IF($AM451&gt;=Lookups!$K$6,"High spike",IF($AM451&lt;=-Lookups!$K$6,"Unusual low","Normal")))</f>
        <v>Normal</v>
      </c>
      <c r="AO451" s="20">
        <f>IF($V451&lt;&gt;1,"",$P451+ROW()/100000)</f>
        <v>185.00451</v>
      </c>
      <c r="AP451" s="5">
        <f>IF($A451="","",IFERROR(MATCH($A451,Raw_D1!$A$2:$A$1001,0),""))</f>
        <v>450</v>
      </c>
      <c r="AQ451" s="5">
        <f>IF($A451="","",IFERROR(MATCH($A451,Raw_D2!$B$2:$B$1001,0),""))</f>
        <v>450</v>
      </c>
      <c r="AR451" s="5">
        <f>IF($A451="","",IFERROR(MATCH($A451,Raw_D3!$A$2:$A$1001,0),""))</f>
        <v/>
      </c>
    </row>
    <row r="452" spans="1:44" x14ac:dyDescent="0.25">
      <c r="A452" s="5">
        <v>451</v>
      </c>
      <c r="B452" s="11">
        <f>IF($A452="","",IF($AP452&lt;&gt;"",INDEX(Raw_D1!$B$2:$B$1001,$AP452),IF($AR452&lt;&gt;"",INDEX(Raw_D3!$B$2:$B$1001,$AR452),"")))</f>
        <v>40563.0</v>
      </c>
      <c r="C452" s="5">
        <f>IF($A452="","",IF($AP452&lt;&gt;"",INDEX(Raw_D1!$C$2:$C$1001,$AP452),IF($AR452&lt;&gt;"",INDEX(Raw_D3!$C$2:$C$1001,$AR452),"")))</f>
        <v>1</v>
      </c>
      <c r="D452" s="5">
        <f>IF($A452="","",IF($AP452&lt;&gt;"",INDEX(Raw_D1!$D$2:$D$1001,$AP452),IF($AR452&lt;&gt;"",INDEX(Raw_D3!$D$2:$D$1001,$AR452),"")))</f>
        <v>0</v>
      </c>
      <c r="E452" s="5">
        <f>IF($A452="","",IF($AP452&lt;&gt;"",INDEX(Raw_D1!$E$2:$E$1001,$AP452),IF($AR452&lt;&gt;"",INDEX(Raw_D3!$E$2:$E$1001,$AR452),"")))</f>
        <v>1</v>
      </c>
      <c r="F452" s="5">
        <f>IF($A452="","",IF($AP452&lt;&gt;"",INDEX(Raw_D1!$F$2:$F$1001,$AP452),IF($AR452&lt;&gt;"",INDEX(Raw_D3!$F$2:$F$1001,$AR452),"")))</f>
        <v>19</v>
      </c>
      <c r="G452" s="5">
        <f>IF($A452="","",IF($AP452&lt;&gt;"",IF(INDEX(Raw_D1!$G$2:$G$1001,$AP452),1,0),IF($AR452&lt;&gt;"",IF(INDEX(Raw_D3!$G$2:$G$1001,$AR452),1,0),"")))</f>
        <v>0</v>
      </c>
      <c r="H452" s="5">
        <f>IF($A452="","",IF($AP452&lt;&gt;"",INDEX(Raw_D1!$H$2:$H$1001,$AP452),IF($AR452&lt;&gt;"",INDEX(Raw_D3!$H$2:$H$1001,$AR452),"")))</f>
        <v>4</v>
      </c>
      <c r="I452" s="5">
        <f>IF($A452="","",IF($AP452&lt;&gt;"",INDEX(Raw_D1!$I$2:$I$1001,$AP452),IF($AR452&lt;&gt;"",INDEX(Raw_D3!$I$2:$I$1001,$AR452),"")))</f>
        <v>1</v>
      </c>
      <c r="J452" s="16">
        <f>IF($A452="","",IF($AP452&lt;&gt;"",INDEX(Raw_D1!$J$2:$J$1001,$AP452),IF($AR452&lt;&gt;"",INDEX(Raw_D3!$J$2:$J$1001,$AR452),"")))</f>
        <v>0.26</v>
      </c>
      <c r="K452" s="17">
        <f>IF($A452="","",IF($AQ452&lt;&gt;"",IF(INDEX(Raw_D2!$C$2:$C$1001,$AQ452)="","",INDEX(Raw_D2!$C$2:$C$1001,$AQ452)),IF($AR452&lt;&gt;"",IF(INDEX(Raw_D3!$K$2:$K$1001,$AR452)="","",INDEX(Raw_D3!$K$2:$K$1001,$AR452)),"")))</f>
        <v>0.2273</v>
      </c>
      <c r="L452" s="16">
        <f>IF($A452="","",IF($AQ452&lt;&gt;"",IF(INDEX(Raw_D2!$D$2:$D$1001,$AQ452)="","",INDEX(Raw_D2!$D$2:$D$1001,$AQ452)),IF($AR452&lt;&gt;"",IF(INDEX(Raw_D3!$L$2:$L$1001,$AR452)="","",INDEX(Raw_D3!$L$2:$L$1001,$AR452)),"")))</f>
        <v>0.56</v>
      </c>
      <c r="M452" s="17">
        <f>IF($A452="","",IF($AQ452&lt;&gt;"",IF(INDEX(Raw_D2!$E$2:$E$1001,$AQ452)="","",INDEX(Raw_D2!$E$2:$E$1001,$AQ452)),IF($AR452&lt;&gt;"",IF(INDEX(Raw_D3!$M$2:$M$1001,$AR452)="","",INDEX(Raw_D3!$M$2:$M$1001,$AR452)),"")))</f>
        <v>0.3284</v>
      </c>
      <c r="N452" s="5">
        <f>IF($A452="","",IF($AQ452&lt;&gt;"",IF(INDEX(Raw_D2!$F$2:$F$1001,$AQ452)="","",INDEX(Raw_D2!$F$2:$F$1001,$AQ452)),IF($AR452&lt;&gt;"",IF(INDEX(Raw_D3!$N$2:$N$1001,$AR452)="","",INDEX(Raw_D3!$N$2:$N$1001,$AR452)),"")))</f>
        <v>6</v>
      </c>
      <c r="O452" s="5">
        <f>IF($A452="","",IF($AQ452&lt;&gt;"",IF(INDEX(Raw_D2!$G$2:$G$1001,$AQ452)="","",INDEX(Raw_D2!$G$2:$G$1001,$AQ452)),IF($AR452&lt;&gt;"",IF(INDEX(Raw_D3!$O$2:$O$1001,$AR452)="","",INDEX(Raw_D3!$O$2:$O$1001,$AR452)),"")))</f>
        <v>146</v>
      </c>
      <c r="P452" s="5">
        <f>IF($A452="","",IF($AQ452&lt;&gt;"",IF(INDEX(Raw_D2!$H$2:$H$1001,$AQ452)="","",INDEX(Raw_D2!$H$2:$H$1001,$AQ452)),IF($AR452&lt;&gt;"",IF(INDEX(Raw_D3!$P$2:$P$1001,$AR452)="","",INDEX(Raw_D3!$P$2:$P$1001,$AR452)),"")))</f>
        <v>152</v>
      </c>
      <c r="Q452" s="5" t="str">
        <f>IF($A452="","",IF(AND($AP452&lt;&gt;"",$AQ452&lt;&gt;""),"D1+D2",IF($AR452&lt;&gt;"","D3","Incomplete")))</f>
        <v>D1+D2</v>
      </c>
      <c r="R452" s="17">
        <f>IF($A452="","",IF($K452="",IF($J452="","",ROUND(Lookups!$K$5+Lookups!$K$4*$J452,4)),$K452))</f>
        <v>0.2273</v>
      </c>
      <c r="S452" s="5" t="str">
        <f>IF($A452="","",IF($K452="","Imputed","Original"))</f>
        <v>Original</v>
      </c>
      <c r="T452" s="5" t="str">
        <f>IF($A452="","",IF($P452="","Missing",IF($P452=$N452+$O452,"OK","Mismatch")))</f>
        <v>OK</v>
      </c>
      <c r="U452" s="5" t="str">
        <f>IF($A452="","",IF(COUNTIF($A$2:$A452,$A452)&gt;1,"Duplicate","Unique"))</f>
        <v>Unique</v>
      </c>
      <c r="V452" s="5">
        <f>IF($A452="","",IF(AND($U452="Unique",ISNUMBER($P452)),1,0))</f>
        <v>1</v>
      </c>
      <c r="W452" s="5" t="str">
        <f>IF($A452="","",IF(OR($H452=0,$H452=6),"Weekend","Weekday"))</f>
        <v>Weekday</v>
      </c>
      <c r="X452" s="5" t="str">
        <f>IF($A452="","",TEXT($B452,"ddd"))</f>
        <v>Thu</v>
      </c>
      <c r="Y452" s="5" t="str">
        <f>IF($A452="","",TEXT($B452,"mmm"))</f>
        <v>Jan</v>
      </c>
      <c r="Z452" s="5" t="str">
        <f>IF($A452="","",IFERROR(VLOOKUP($C452,Lookups!$D$4:$E$7,2,FALSE),"Unknown"))</f>
        <v>Winter</v>
      </c>
      <c r="AA452" s="5" t="str">
        <f>IF($A452="","",IFERROR(VLOOKUP($I452,Lookups!$A$4:$B$7,2,FALSE),"Unknown"))</f>
        <v>Clear</v>
      </c>
      <c r="AB452" s="5" t="str">
        <f>IF($A452="","",TEXT($F452,"00")&amp;":00")</f>
        <v>19:00</v>
      </c>
      <c r="AC452" s="5" t="str">
        <f>IF($A452="","",VLOOKUP($F452,Lookups!$G$4:$H$8,2,TRUE))</f>
        <v>Evening Peak (16-19)</v>
      </c>
      <c r="AD452" s="18">
        <f>IF($A452="","",IF($J452="","",ROUND($J452*41,1)))</f>
        <v>10.7</v>
      </c>
      <c r="AE452" s="18">
        <f>IF($A452="","",IF($R452="","",ROUND($R452*50,1)))</f>
        <v>11.4</v>
      </c>
      <c r="AF452" s="5">
        <f>IF($A452="","",IF($L452="","",ROUND($L452*100,0)))</f>
        <v>56</v>
      </c>
      <c r="AG452" s="18">
        <f>IF($A452="","",IF($M452="","",ROUND($M452*67,1)))</f>
        <v>22</v>
      </c>
      <c r="AH452" s="19">
        <f>IF($A452="","",IF($P452="","",IF($P452=0,0,$O452/$P452)))</f>
        <v>0.960526315789474</v>
      </c>
      <c r="AI452" s="5" t="str">
        <f>IF($A452="","",IF($P452="","",IF($P452&gt;=Lookups!$K$7,"High",IF($P452&lt;=Lookups!$K$8,"Low","Medium"))))</f>
        <v>High</v>
      </c>
      <c r="AJ452" s="5" t="str">
        <f>IF($A452="","",IF($AD452="","",IF($AD452&lt;5,"Under 5 C",IF($AD452&lt;10,"5-10 C",IF($AD452&lt;15,"10-15 C","15 C and above")))))</f>
        <v>10-15 C</v>
      </c>
      <c r="AK452" s="5">
        <f>IF($A452="","",IF($P452="","",$P452^2))</f>
        <v>23104</v>
      </c>
      <c r="AL452" s="18">
        <f>IF($V452&lt;&gt;1,"",AVERAGEIFS(Clean_Data!$P$2:$P$1001,Clean_Data!$F$2:$F$1001,$F452,Clean_Data!$W$2:$W$1001,$W452,Clean_Data!$V$2:$V$1001,1))</f>
        <v>102.034482758621</v>
      </c>
      <c r="AM452" s="16">
        <f>IF($V452&lt;&gt;1,"",IFERROR(($P452-$AL452)/SQRT(MAX(0,(SUMIFS(Clean_Data!$AK$2:$AK$1001,Clean_Data!$F$2:$F$1001,$F452,Clean_Data!$W$2:$W$1001,$W452,Clean_Data!$V$2:$V$1001,1)-COUNTIFS(Clean_Data!$F$2:$F$1001,$F452,Clean_Data!$W$2:$W$1001,$W452,Clean_Data!$V$2:$V$1001,1)*$AL452^2)/(COUNTIFS(Clean_Data!$F$2:$F$1001,$F452,Clean_Data!$W$2:$W$1001,$W452,Clean_Data!$V$2:$V$1001,1)-1))),""))</f>
        <v>2.35157741194448</v>
      </c>
      <c r="AN452" s="5" t="str">
        <f>IF($AM452="","",IF($AM452&gt;=Lookups!$K$6,"High spike",IF($AM452&lt;=-Lookups!$K$6,"Unusual low","Normal")))</f>
        <v>Normal</v>
      </c>
      <c r="AO452" s="20">
        <f>IF($V452&lt;&gt;1,"",$P452+ROW()/100000)</f>
        <v>152.00452</v>
      </c>
      <c r="AP452" s="5">
        <f>IF($A452="","",IFERROR(MATCH($A452,Raw_D1!$A$2:$A$1001,0),""))</f>
        <v>451</v>
      </c>
      <c r="AQ452" s="5">
        <f>IF($A452="","",IFERROR(MATCH($A452,Raw_D2!$B$2:$B$1001,0),""))</f>
        <v>451</v>
      </c>
      <c r="AR452" s="5">
        <f>IF($A452="","",IFERROR(MATCH($A452,Raw_D3!$A$2:$A$1001,0),""))</f>
        <v/>
      </c>
    </row>
    <row r="453" spans="1:44" x14ac:dyDescent="0.25">
      <c r="A453" s="5">
        <v>452</v>
      </c>
      <c r="B453" s="11">
        <f>IF($A453="","",IF($AP453&lt;&gt;"",INDEX(Raw_D1!$B$2:$B$1001,$AP453),IF($AR453&lt;&gt;"",INDEX(Raw_D3!$B$2:$B$1001,$AR453),"")))</f>
        <v>40563.0</v>
      </c>
      <c r="C453" s="5">
        <f>IF($A453="","",IF($AP453&lt;&gt;"",INDEX(Raw_D1!$C$2:$C$1001,$AP453),IF($AR453&lt;&gt;"",INDEX(Raw_D3!$C$2:$C$1001,$AR453),"")))</f>
        <v>1</v>
      </c>
      <c r="D453" s="5">
        <f>IF($A453="","",IF($AP453&lt;&gt;"",INDEX(Raw_D1!$D$2:$D$1001,$AP453),IF($AR453&lt;&gt;"",INDEX(Raw_D3!$D$2:$D$1001,$AR453),"")))</f>
        <v>0</v>
      </c>
      <c r="E453" s="5">
        <f>IF($A453="","",IF($AP453&lt;&gt;"",INDEX(Raw_D1!$E$2:$E$1001,$AP453),IF($AR453&lt;&gt;"",INDEX(Raw_D3!$E$2:$E$1001,$AR453),"")))</f>
        <v>1</v>
      </c>
      <c r="F453" s="5">
        <f>IF($A453="","",IF($AP453&lt;&gt;"",INDEX(Raw_D1!$F$2:$F$1001,$AP453),IF($AR453&lt;&gt;"",INDEX(Raw_D3!$F$2:$F$1001,$AR453),"")))</f>
        <v>20</v>
      </c>
      <c r="G453" s="5">
        <f>IF($A453="","",IF($AP453&lt;&gt;"",IF(INDEX(Raw_D1!$G$2:$G$1001,$AP453),1,0),IF($AR453&lt;&gt;"",IF(INDEX(Raw_D3!$G$2:$G$1001,$AR453),1,0),"")))</f>
        <v>0</v>
      </c>
      <c r="H453" s="5">
        <f>IF($A453="","",IF($AP453&lt;&gt;"",INDEX(Raw_D1!$H$2:$H$1001,$AP453),IF($AR453&lt;&gt;"",INDEX(Raw_D3!$H$2:$H$1001,$AR453),"")))</f>
        <v>4</v>
      </c>
      <c r="I453" s="5">
        <f>IF($A453="","",IF($AP453&lt;&gt;"",INDEX(Raw_D1!$I$2:$I$1001,$AP453),IF($AR453&lt;&gt;"",INDEX(Raw_D3!$I$2:$I$1001,$AR453),"")))</f>
        <v>2</v>
      </c>
      <c r="J453" s="16">
        <f>IF($A453="","",IF($AP453&lt;&gt;"",INDEX(Raw_D1!$J$2:$J$1001,$AP453),IF($AR453&lt;&gt;"",INDEX(Raw_D3!$J$2:$J$1001,$AR453),"")))</f>
        <v>0.26</v>
      </c>
      <c r="K453" s="17">
        <f>IF($A453="","",IF($AQ453&lt;&gt;"",IF(INDEX(Raw_D2!$C$2:$C$1001,$AQ453)="","",INDEX(Raw_D2!$C$2:$C$1001,$AQ453)),IF($AR453&lt;&gt;"",IF(INDEX(Raw_D3!$K$2:$K$1001,$AR453)="","",INDEX(Raw_D3!$K$2:$K$1001,$AR453)),"")))</f>
        <v>0.2424</v>
      </c>
      <c r="L453" s="16">
        <f>IF($A453="","",IF($AQ453&lt;&gt;"",IF(INDEX(Raw_D2!$D$2:$D$1001,$AQ453)="","",INDEX(Raw_D2!$D$2:$D$1001,$AQ453)),IF($AR453&lt;&gt;"",IF(INDEX(Raw_D3!$L$2:$L$1001,$AR453)="","",INDEX(Raw_D3!$L$2:$L$1001,$AR453)),"")))</f>
        <v>0.6</v>
      </c>
      <c r="M453" s="17">
        <f>IF($A453="","",IF($AQ453&lt;&gt;"",IF(INDEX(Raw_D2!$E$2:$E$1001,$AQ453)="","",INDEX(Raw_D2!$E$2:$E$1001,$AQ453)),IF($AR453&lt;&gt;"",IF(INDEX(Raw_D3!$M$2:$M$1001,$AR453)="","",INDEX(Raw_D3!$M$2:$M$1001,$AR453)),"")))</f>
        <v>0.2836</v>
      </c>
      <c r="N453" s="5">
        <f>IF($A453="","",IF($AQ453&lt;&gt;"",IF(INDEX(Raw_D2!$F$2:$F$1001,$AQ453)="","",INDEX(Raw_D2!$F$2:$F$1001,$AQ453)),IF($AR453&lt;&gt;"",IF(INDEX(Raw_D3!$N$2:$N$1001,$AR453)="","",INDEX(Raw_D3!$N$2:$N$1001,$AR453)),"")))</f>
        <v>2</v>
      </c>
      <c r="O453" s="5">
        <f>IF($A453="","",IF($AQ453&lt;&gt;"",IF(INDEX(Raw_D2!$G$2:$G$1001,$AQ453)="","",INDEX(Raw_D2!$G$2:$G$1001,$AQ453)),IF($AR453&lt;&gt;"",IF(INDEX(Raw_D3!$O$2:$O$1001,$AR453)="","",INDEX(Raw_D3!$O$2:$O$1001,$AR453)),"")))</f>
        <v>124</v>
      </c>
      <c r="P453" s="5">
        <f>IF($A453="","",IF($AQ453&lt;&gt;"",IF(INDEX(Raw_D2!$H$2:$H$1001,$AQ453)="","",INDEX(Raw_D2!$H$2:$H$1001,$AQ453)),IF($AR453&lt;&gt;"",IF(INDEX(Raw_D3!$P$2:$P$1001,$AR453)="","",INDEX(Raw_D3!$P$2:$P$1001,$AR453)),"")))</f>
        <v>126</v>
      </c>
      <c r="Q453" s="5" t="str">
        <f>IF($A453="","",IF(AND($AP453&lt;&gt;"",$AQ453&lt;&gt;""),"D1+D2",IF($AR453&lt;&gt;"","D3","Incomplete")))</f>
        <v>D1+D2</v>
      </c>
      <c r="R453" s="17">
        <f>IF($A453="","",IF($K453="",IF($J453="","",ROUND(Lookups!$K$5+Lookups!$K$4*$J453,4)),$K453))</f>
        <v>0.2424</v>
      </c>
      <c r="S453" s="5" t="str">
        <f>IF($A453="","",IF($K453="","Imputed","Original"))</f>
        <v>Original</v>
      </c>
      <c r="T453" s="5" t="str">
        <f>IF($A453="","",IF($P453="","Missing",IF($P453=$N453+$O453,"OK","Mismatch")))</f>
        <v>OK</v>
      </c>
      <c r="U453" s="5" t="str">
        <f>IF($A453="","",IF(COUNTIF($A$2:$A453,$A453)&gt;1,"Duplicate","Unique"))</f>
        <v>Unique</v>
      </c>
      <c r="V453" s="5">
        <f>IF($A453="","",IF(AND($U453="Unique",ISNUMBER($P453)),1,0))</f>
        <v>1</v>
      </c>
      <c r="W453" s="5" t="str">
        <f>IF($A453="","",IF(OR($H453=0,$H453=6),"Weekend","Weekday"))</f>
        <v>Weekday</v>
      </c>
      <c r="X453" s="5" t="str">
        <f>IF($A453="","",TEXT($B453,"ddd"))</f>
        <v>Thu</v>
      </c>
      <c r="Y453" s="5" t="str">
        <f>IF($A453="","",TEXT($B453,"mmm"))</f>
        <v>Jan</v>
      </c>
      <c r="Z453" s="5" t="str">
        <f>IF($A453="","",IFERROR(VLOOKUP($C453,Lookups!$D$4:$E$7,2,FALSE),"Unknown"))</f>
        <v>Winter</v>
      </c>
      <c r="AA453" s="5" t="str">
        <f>IF($A453="","",IFERROR(VLOOKUP($I453,Lookups!$A$4:$B$7,2,FALSE),"Unknown"))</f>
        <v>Mist/Cloudy</v>
      </c>
      <c r="AB453" s="5" t="str">
        <f>IF($A453="","",TEXT($F453,"00")&amp;":00")</f>
        <v>20:00</v>
      </c>
      <c r="AC453" s="5" t="str">
        <f>IF($A453="","",VLOOKUP($F453,Lookups!$G$4:$H$8,2,TRUE))</f>
        <v>Late Evening (20-23)</v>
      </c>
      <c r="AD453" s="18">
        <f>IF($A453="","",IF($J453="","",ROUND($J453*41,1)))</f>
        <v>10.7</v>
      </c>
      <c r="AE453" s="18">
        <f>IF($A453="","",IF($R453="","",ROUND($R453*50,1)))</f>
        <v>12.1</v>
      </c>
      <c r="AF453" s="5">
        <f>IF($A453="","",IF($L453="","",ROUND($L453*100,0)))</f>
        <v>60</v>
      </c>
      <c r="AG453" s="18">
        <f>IF($A453="","",IF($M453="","",ROUND($M453*67,1)))</f>
        <v>19</v>
      </c>
      <c r="AH453" s="19">
        <f>IF($A453="","",IF($P453="","",IF($P453=0,0,$O453/$P453)))</f>
        <v>0.984126984126984</v>
      </c>
      <c r="AI453" s="5" t="str">
        <f>IF($A453="","",IF($P453="","",IF($P453&gt;=Lookups!$K$7,"High",IF($P453&lt;=Lookups!$K$8,"Low","Medium"))))</f>
        <v>High</v>
      </c>
      <c r="AJ453" s="5" t="str">
        <f>IF($A453="","",IF($AD453="","",IF($AD453&lt;5,"Under 5 C",IF($AD453&lt;10,"5-10 C",IF($AD453&lt;15,"10-15 C","15 C and above")))))</f>
        <v>10-15 C</v>
      </c>
      <c r="AK453" s="5">
        <f>IF($A453="","",IF($P453="","",$P453^2))</f>
        <v>15876</v>
      </c>
      <c r="AL453" s="18">
        <f>IF($V453&lt;&gt;1,"",AVERAGEIFS(Clean_Data!$P$2:$P$1001,Clean_Data!$F$2:$F$1001,$F453,Clean_Data!$W$2:$W$1001,$W453,Clean_Data!$V$2:$V$1001,1))</f>
        <v>72.2758620689655</v>
      </c>
      <c r="AM453" s="16">
        <f>IF($V453&lt;&gt;1,"",IFERROR(($P453-$AL453)/SQRT(MAX(0,(SUMIFS(Clean_Data!$AK$2:$AK$1001,Clean_Data!$F$2:$F$1001,$F453,Clean_Data!$W$2:$W$1001,$W453,Clean_Data!$V$2:$V$1001,1)-COUNTIFS(Clean_Data!$F$2:$F$1001,$F453,Clean_Data!$W$2:$W$1001,$W453,Clean_Data!$V$2:$V$1001,1)*$AL453^2)/(COUNTIFS(Clean_Data!$F$2:$F$1001,$F453,Clean_Data!$W$2:$W$1001,$W453,Clean_Data!$V$2:$V$1001,1)-1))),""))</f>
        <v>2.43092863927502</v>
      </c>
      <c r="AN453" s="5" t="str">
        <f>IF($AM453="","",IF($AM453&gt;=Lookups!$K$6,"High spike",IF($AM453&lt;=-Lookups!$K$6,"Unusual low","Normal")))</f>
        <v>Normal</v>
      </c>
      <c r="AO453" s="20">
        <f>IF($V453&lt;&gt;1,"",$P453+ROW()/100000)</f>
        <v>126.00453</v>
      </c>
      <c r="AP453" s="5">
        <f>IF($A453="","",IFERROR(MATCH($A453,Raw_D1!$A$2:$A$1001,0),""))</f>
        <v>452</v>
      </c>
      <c r="AQ453" s="5">
        <f>IF($A453="","",IFERROR(MATCH($A453,Raw_D2!$B$2:$B$1001,0),""))</f>
        <v>452</v>
      </c>
      <c r="AR453" s="5">
        <f>IF($A453="","",IFERROR(MATCH($A453,Raw_D3!$A$2:$A$1001,0),""))</f>
        <v/>
      </c>
    </row>
    <row r="454" spans="1:44" x14ac:dyDescent="0.25">
      <c r="A454" s="5">
        <v>453</v>
      </c>
      <c r="B454" s="11">
        <f>IF($A454="","",IF($AP454&lt;&gt;"",INDEX(Raw_D1!$B$2:$B$1001,$AP454),IF($AR454&lt;&gt;"",INDEX(Raw_D3!$B$2:$B$1001,$AR454),"")))</f>
        <v>40563.0</v>
      </c>
      <c r="C454" s="5">
        <f>IF($A454="","",IF($AP454&lt;&gt;"",INDEX(Raw_D1!$C$2:$C$1001,$AP454),IF($AR454&lt;&gt;"",INDEX(Raw_D3!$C$2:$C$1001,$AR454),"")))</f>
        <v>1</v>
      </c>
      <c r="D454" s="5">
        <f>IF($A454="","",IF($AP454&lt;&gt;"",INDEX(Raw_D1!$D$2:$D$1001,$AP454),IF($AR454&lt;&gt;"",INDEX(Raw_D3!$D$2:$D$1001,$AR454),"")))</f>
        <v>0</v>
      </c>
      <c r="E454" s="5">
        <f>IF($A454="","",IF($AP454&lt;&gt;"",INDEX(Raw_D1!$E$2:$E$1001,$AP454),IF($AR454&lt;&gt;"",INDEX(Raw_D3!$E$2:$E$1001,$AR454),"")))</f>
        <v>1</v>
      </c>
      <c r="F454" s="5">
        <f>IF($A454="","",IF($AP454&lt;&gt;"",INDEX(Raw_D1!$F$2:$F$1001,$AP454),IF($AR454&lt;&gt;"",INDEX(Raw_D3!$F$2:$F$1001,$AR454),"")))</f>
        <v>21</v>
      </c>
      <c r="G454" s="5">
        <f>IF($A454="","",IF($AP454&lt;&gt;"",IF(INDEX(Raw_D1!$G$2:$G$1001,$AP454),1,0),IF($AR454&lt;&gt;"",IF(INDEX(Raw_D3!$G$2:$G$1001,$AR454),1,0),"")))</f>
        <v>0</v>
      </c>
      <c r="H454" s="5">
        <f>IF($A454="","",IF($AP454&lt;&gt;"",INDEX(Raw_D1!$H$2:$H$1001,$AP454),IF($AR454&lt;&gt;"",INDEX(Raw_D3!$H$2:$H$1001,$AR454),"")))</f>
        <v>4</v>
      </c>
      <c r="I454" s="5">
        <f>IF($A454="","",IF($AP454&lt;&gt;"",INDEX(Raw_D1!$I$2:$I$1001,$AP454),IF($AR454&lt;&gt;"",INDEX(Raw_D3!$I$2:$I$1001,$AR454),"")))</f>
        <v>2</v>
      </c>
      <c r="J454" s="16">
        <f>IF($A454="","",IF($AP454&lt;&gt;"",INDEX(Raw_D1!$J$2:$J$1001,$AP454),IF($AR454&lt;&gt;"",INDEX(Raw_D3!$J$2:$J$1001,$AR454),"")))</f>
        <v>0.24</v>
      </c>
      <c r="K454" s="17">
        <f>IF($A454="","",IF($AQ454&lt;&gt;"",IF(INDEX(Raw_D2!$C$2:$C$1001,$AQ454)="","",INDEX(Raw_D2!$C$2:$C$1001,$AQ454)),IF($AR454&lt;&gt;"",IF(INDEX(Raw_D3!$K$2:$K$1001,$AR454)="","",INDEX(Raw_D3!$K$2:$K$1001,$AR454)),"")))</f>
        <v>0.2273</v>
      </c>
      <c r="L454" s="16">
        <f>IF($A454="","",IF($AQ454&lt;&gt;"",IF(INDEX(Raw_D2!$D$2:$D$1001,$AQ454)="","",INDEX(Raw_D2!$D$2:$D$1001,$AQ454)),IF($AR454&lt;&gt;"",IF(INDEX(Raw_D3!$L$2:$L$1001,$AR454)="","",INDEX(Raw_D3!$L$2:$L$1001,$AR454)),"")))</f>
        <v>0.6</v>
      </c>
      <c r="M454" s="17">
        <f>IF($A454="","",IF($AQ454&lt;&gt;"",IF(INDEX(Raw_D2!$E$2:$E$1001,$AQ454)="","",INDEX(Raw_D2!$E$2:$E$1001,$AQ454)),IF($AR454&lt;&gt;"",IF(INDEX(Raw_D3!$M$2:$M$1001,$AR454)="","",INDEX(Raw_D3!$M$2:$M$1001,$AR454)),"")))</f>
        <v>0.2537</v>
      </c>
      <c r="N454" s="5">
        <f>IF($A454="","",IF($AQ454&lt;&gt;"",IF(INDEX(Raw_D2!$F$2:$F$1001,$AQ454)="","",INDEX(Raw_D2!$F$2:$F$1001,$AQ454)),IF($AR454&lt;&gt;"",IF(INDEX(Raw_D3!$N$2:$N$1001,$AR454)="","",INDEX(Raw_D3!$N$2:$N$1001,$AR454)),"")))</f>
        <v>3</v>
      </c>
      <c r="O454" s="5">
        <f>IF($A454="","",IF($AQ454&lt;&gt;"",IF(INDEX(Raw_D2!$G$2:$G$1001,$AQ454)="","",INDEX(Raw_D2!$G$2:$G$1001,$AQ454)),IF($AR454&lt;&gt;"",IF(INDEX(Raw_D3!$O$2:$O$1001,$AR454)="","",INDEX(Raw_D3!$O$2:$O$1001,$AR454)),"")))</f>
        <v>54</v>
      </c>
      <c r="P454" s="5">
        <f>IF($A454="","",IF($AQ454&lt;&gt;"",IF(INDEX(Raw_D2!$H$2:$H$1001,$AQ454)="","",INDEX(Raw_D2!$H$2:$H$1001,$AQ454)),IF($AR454&lt;&gt;"",IF(INDEX(Raw_D3!$P$2:$P$1001,$AR454)="","",INDEX(Raw_D3!$P$2:$P$1001,$AR454)),"")))</f>
        <v>57</v>
      </c>
      <c r="Q454" s="5" t="str">
        <f>IF($A454="","",IF(AND($AP454&lt;&gt;"",$AQ454&lt;&gt;""),"D1+D2",IF($AR454&lt;&gt;"","D3","Incomplete")))</f>
        <v>D1+D2</v>
      </c>
      <c r="R454" s="17">
        <f>IF($A454="","",IF($K454="",IF($J454="","",ROUND(Lookups!$K$5+Lookups!$K$4*$J454,4)),$K454))</f>
        <v>0.2273</v>
      </c>
      <c r="S454" s="5" t="str">
        <f>IF($A454="","",IF($K454="","Imputed","Original"))</f>
        <v>Original</v>
      </c>
      <c r="T454" s="5" t="str">
        <f>IF($A454="","",IF($P454="","Missing",IF($P454=$N454+$O454,"OK","Mismatch")))</f>
        <v>OK</v>
      </c>
      <c r="U454" s="5" t="str">
        <f>IF($A454="","",IF(COUNTIF($A$2:$A454,$A454)&gt;1,"Duplicate","Unique"))</f>
        <v>Unique</v>
      </c>
      <c r="V454" s="5">
        <f>IF($A454="","",IF(AND($U454="Unique",ISNUMBER($P454)),1,0))</f>
        <v>1</v>
      </c>
      <c r="W454" s="5" t="str">
        <f>IF($A454="","",IF(OR($H454=0,$H454=6),"Weekend","Weekday"))</f>
        <v>Weekday</v>
      </c>
      <c r="X454" s="5" t="str">
        <f>IF($A454="","",TEXT($B454,"ddd"))</f>
        <v>Thu</v>
      </c>
      <c r="Y454" s="5" t="str">
        <f>IF($A454="","",TEXT($B454,"mmm"))</f>
        <v>Jan</v>
      </c>
      <c r="Z454" s="5" t="str">
        <f>IF($A454="","",IFERROR(VLOOKUP($C454,Lookups!$D$4:$E$7,2,FALSE),"Unknown"))</f>
        <v>Winter</v>
      </c>
      <c r="AA454" s="5" t="str">
        <f>IF($A454="","",IFERROR(VLOOKUP($I454,Lookups!$A$4:$B$7,2,FALSE),"Unknown"))</f>
        <v>Mist/Cloudy</v>
      </c>
      <c r="AB454" s="5" t="str">
        <f>IF($A454="","",TEXT($F454,"00")&amp;":00")</f>
        <v>21:00</v>
      </c>
      <c r="AC454" s="5" t="str">
        <f>IF($A454="","",VLOOKUP($F454,Lookups!$G$4:$H$8,2,TRUE))</f>
        <v>Late Evening (20-23)</v>
      </c>
      <c r="AD454" s="18">
        <f>IF($A454="","",IF($J454="","",ROUND($J454*41,1)))</f>
        <v>9.8</v>
      </c>
      <c r="AE454" s="18">
        <f>IF($A454="","",IF($R454="","",ROUND($R454*50,1)))</f>
        <v>11.4</v>
      </c>
      <c r="AF454" s="5">
        <f>IF($A454="","",IF($L454="","",ROUND($L454*100,0)))</f>
        <v>60</v>
      </c>
      <c r="AG454" s="18">
        <f>IF($A454="","",IF($M454="","",ROUND($M454*67,1)))</f>
        <v>17</v>
      </c>
      <c r="AH454" s="19">
        <f>IF($A454="","",IF($P454="","",IF($P454=0,0,$O454/$P454)))</f>
        <v>0.947368421052632</v>
      </c>
      <c r="AI454" s="5" t="str">
        <f>IF($A454="","",IF($P454="","",IF($P454&gt;=Lookups!$K$7,"High",IF($P454&lt;=Lookups!$K$8,"Low","Medium"))))</f>
        <v>Medium</v>
      </c>
      <c r="AJ454" s="5" t="str">
        <f>IF($A454="","",IF($AD454="","",IF($AD454&lt;5,"Under 5 C",IF($AD454&lt;10,"5-10 C",IF($AD454&lt;15,"10-15 C","15 C and above")))))</f>
        <v>5-10 C</v>
      </c>
      <c r="AK454" s="5">
        <f>IF($A454="","",IF($P454="","",$P454^2))</f>
        <v>3249</v>
      </c>
      <c r="AL454" s="18">
        <f>IF($V454&lt;&gt;1,"",AVERAGEIFS(Clean_Data!$P$2:$P$1001,Clean_Data!$F$2:$F$1001,$F454,Clean_Data!$W$2:$W$1001,$W454,Clean_Data!$V$2:$V$1001,1))</f>
        <v>50.8965517241379</v>
      </c>
      <c r="AM454" s="16">
        <f>IF($V454&lt;&gt;1,"",IFERROR(($P454-$AL454)/SQRT(MAX(0,(SUMIFS(Clean_Data!$AK$2:$AK$1001,Clean_Data!$F$2:$F$1001,$F454,Clean_Data!$W$2:$W$1001,$W454,Clean_Data!$V$2:$V$1001,1)-COUNTIFS(Clean_Data!$F$2:$F$1001,$F454,Clean_Data!$W$2:$W$1001,$W454,Clean_Data!$V$2:$V$1001,1)*$AL454^2)/(COUNTIFS(Clean_Data!$F$2:$F$1001,$F454,Clean_Data!$W$2:$W$1001,$W454,Clean_Data!$V$2:$V$1001,1)-1))),""))</f>
        <v>0.442014937695976</v>
      </c>
      <c r="AN454" s="5" t="str">
        <f>IF($AM454="","",IF($AM454&gt;=Lookups!$K$6,"High spike",IF($AM454&lt;=-Lookups!$K$6,"Unusual low","Normal")))</f>
        <v>Normal</v>
      </c>
      <c r="AO454" s="20">
        <f>IF($V454&lt;&gt;1,"",$P454+ROW()/100000)</f>
        <v>57.00454</v>
      </c>
      <c r="AP454" s="5">
        <f>IF($A454="","",IFERROR(MATCH($A454,Raw_D1!$A$2:$A$1001,0),""))</f>
        <v>453</v>
      </c>
      <c r="AQ454" s="5">
        <f>IF($A454="","",IFERROR(MATCH($A454,Raw_D2!$B$2:$B$1001,0),""))</f>
        <v>453</v>
      </c>
      <c r="AR454" s="5">
        <f>IF($A454="","",IFERROR(MATCH($A454,Raw_D3!$A$2:$A$1001,0),""))</f>
        <v/>
      </c>
    </row>
    <row r="455" spans="1:44" x14ac:dyDescent="0.25">
      <c r="A455" s="5">
        <v>454</v>
      </c>
      <c r="B455" s="11">
        <f>IF($A455="","",IF($AP455&lt;&gt;"",INDEX(Raw_D1!$B$2:$B$1001,$AP455),IF($AR455&lt;&gt;"",INDEX(Raw_D3!$B$2:$B$1001,$AR455),"")))</f>
        <v>40563.0</v>
      </c>
      <c r="C455" s="5">
        <f>IF($A455="","",IF($AP455&lt;&gt;"",INDEX(Raw_D1!$C$2:$C$1001,$AP455),IF($AR455&lt;&gt;"",INDEX(Raw_D3!$C$2:$C$1001,$AR455),"")))</f>
        <v>1</v>
      </c>
      <c r="D455" s="5">
        <f>IF($A455="","",IF($AP455&lt;&gt;"",INDEX(Raw_D1!$D$2:$D$1001,$AP455),IF($AR455&lt;&gt;"",INDEX(Raw_D3!$D$2:$D$1001,$AR455),"")))</f>
        <v>0</v>
      </c>
      <c r="E455" s="5">
        <f>IF($A455="","",IF($AP455&lt;&gt;"",INDEX(Raw_D1!$E$2:$E$1001,$AP455),IF($AR455&lt;&gt;"",INDEX(Raw_D3!$E$2:$E$1001,$AR455),"")))</f>
        <v>1</v>
      </c>
      <c r="F455" s="5">
        <f>IF($A455="","",IF($AP455&lt;&gt;"",INDEX(Raw_D1!$F$2:$F$1001,$AP455),IF($AR455&lt;&gt;"",INDEX(Raw_D3!$F$2:$F$1001,$AR455),"")))</f>
        <v>22</v>
      </c>
      <c r="G455" s="5">
        <f>IF($A455="","",IF($AP455&lt;&gt;"",IF(INDEX(Raw_D1!$G$2:$G$1001,$AP455),1,0),IF($AR455&lt;&gt;"",IF(INDEX(Raw_D3!$G$2:$G$1001,$AR455),1,0),"")))</f>
        <v>0</v>
      </c>
      <c r="H455" s="5">
        <f>IF($A455="","",IF($AP455&lt;&gt;"",INDEX(Raw_D1!$H$2:$H$1001,$AP455),IF($AR455&lt;&gt;"",INDEX(Raw_D3!$H$2:$H$1001,$AR455),"")))</f>
        <v>4</v>
      </c>
      <c r="I455" s="5">
        <f>IF($A455="","",IF($AP455&lt;&gt;"",INDEX(Raw_D1!$I$2:$I$1001,$AP455),IF($AR455&lt;&gt;"",INDEX(Raw_D3!$I$2:$I$1001,$AR455),"")))</f>
        <v>2</v>
      </c>
      <c r="J455" s="16">
        <f>IF($A455="","",IF($AP455&lt;&gt;"",INDEX(Raw_D1!$J$2:$J$1001,$AP455),IF($AR455&lt;&gt;"",INDEX(Raw_D3!$J$2:$J$1001,$AR455),"")))</f>
        <v>0.24</v>
      </c>
      <c r="K455" s="17">
        <f>IF($A455="","",IF($AQ455&lt;&gt;"",IF(INDEX(Raw_D2!$C$2:$C$1001,$AQ455)="","",INDEX(Raw_D2!$C$2:$C$1001,$AQ455)),IF($AR455&lt;&gt;"",IF(INDEX(Raw_D3!$K$2:$K$1001,$AR455)="","",INDEX(Raw_D3!$K$2:$K$1001,$AR455)),"")))</f>
        <v>0.2121</v>
      </c>
      <c r="L455" s="16">
        <f>IF($A455="","",IF($AQ455&lt;&gt;"",IF(INDEX(Raw_D2!$D$2:$D$1001,$AQ455)="","",INDEX(Raw_D2!$D$2:$D$1001,$AQ455)),IF($AR455&lt;&gt;"",IF(INDEX(Raw_D3!$L$2:$L$1001,$AR455)="","",INDEX(Raw_D3!$L$2:$L$1001,$AR455)),"")))</f>
        <v>0.65</v>
      </c>
      <c r="M455" s="17">
        <f>IF($A455="","",IF($AQ455&lt;&gt;"",IF(INDEX(Raw_D2!$E$2:$E$1001,$AQ455)="","",INDEX(Raw_D2!$E$2:$E$1001,$AQ455)),IF($AR455&lt;&gt;"",IF(INDEX(Raw_D3!$M$2:$M$1001,$AR455)="","",INDEX(Raw_D3!$M$2:$M$1001,$AR455)),"")))</f>
        <v>0.2836</v>
      </c>
      <c r="N455" s="5">
        <f>IF($A455="","",IF($AQ455&lt;&gt;"",IF(INDEX(Raw_D2!$F$2:$F$1001,$AQ455)="","",INDEX(Raw_D2!$F$2:$F$1001,$AQ455)),IF($AR455&lt;&gt;"",IF(INDEX(Raw_D3!$N$2:$N$1001,$AR455)="","",INDEX(Raw_D3!$N$2:$N$1001,$AR455)),"")))</f>
        <v>0</v>
      </c>
      <c r="O455" s="5">
        <f>IF($A455="","",IF($AQ455&lt;&gt;"",IF(INDEX(Raw_D2!$G$2:$G$1001,$AQ455)="","",INDEX(Raw_D2!$G$2:$G$1001,$AQ455)),IF($AR455&lt;&gt;"",IF(INDEX(Raw_D3!$O$2:$O$1001,$AR455)="","",INDEX(Raw_D3!$O$2:$O$1001,$AR455)),"")))</f>
        <v>56</v>
      </c>
      <c r="P455" s="5">
        <f>IF($A455="","",IF($AQ455&lt;&gt;"",IF(INDEX(Raw_D2!$H$2:$H$1001,$AQ455)="","",INDEX(Raw_D2!$H$2:$H$1001,$AQ455)),IF($AR455&lt;&gt;"",IF(INDEX(Raw_D3!$P$2:$P$1001,$AR455)="","",INDEX(Raw_D3!$P$2:$P$1001,$AR455)),"")))</f>
        <v>56</v>
      </c>
      <c r="Q455" s="5" t="str">
        <f>IF($A455="","",IF(AND($AP455&lt;&gt;"",$AQ455&lt;&gt;""),"D1+D2",IF($AR455&lt;&gt;"","D3","Incomplete")))</f>
        <v>D1+D2</v>
      </c>
      <c r="R455" s="17">
        <f>IF($A455="","",IF($K455="",IF($J455="","",ROUND(Lookups!$K$5+Lookups!$K$4*$J455,4)),$K455))</f>
        <v>0.2121</v>
      </c>
      <c r="S455" s="5" t="str">
        <f>IF($A455="","",IF($K455="","Imputed","Original"))</f>
        <v>Original</v>
      </c>
      <c r="T455" s="5" t="str">
        <f>IF($A455="","",IF($P455="","Missing",IF($P455=$N455+$O455,"OK","Mismatch")))</f>
        <v>OK</v>
      </c>
      <c r="U455" s="5" t="str">
        <f>IF($A455="","",IF(COUNTIF($A$2:$A455,$A455)&gt;1,"Duplicate","Unique"))</f>
        <v>Unique</v>
      </c>
      <c r="V455" s="5">
        <f>IF($A455="","",IF(AND($U455="Unique",ISNUMBER($P455)),1,0))</f>
        <v>1</v>
      </c>
      <c r="W455" s="5" t="str">
        <f>IF($A455="","",IF(OR($H455=0,$H455=6),"Weekend","Weekday"))</f>
        <v>Weekday</v>
      </c>
      <c r="X455" s="5" t="str">
        <f>IF($A455="","",TEXT($B455,"ddd"))</f>
        <v>Thu</v>
      </c>
      <c r="Y455" s="5" t="str">
        <f>IF($A455="","",TEXT($B455,"mmm"))</f>
        <v>Jan</v>
      </c>
      <c r="Z455" s="5" t="str">
        <f>IF($A455="","",IFERROR(VLOOKUP($C455,Lookups!$D$4:$E$7,2,FALSE),"Unknown"))</f>
        <v>Winter</v>
      </c>
      <c r="AA455" s="5" t="str">
        <f>IF($A455="","",IFERROR(VLOOKUP($I455,Lookups!$A$4:$B$7,2,FALSE),"Unknown"))</f>
        <v>Mist/Cloudy</v>
      </c>
      <c r="AB455" s="5" t="str">
        <f>IF($A455="","",TEXT($F455,"00")&amp;":00")</f>
        <v>22:00</v>
      </c>
      <c r="AC455" s="5" t="str">
        <f>IF($A455="","",VLOOKUP($F455,Lookups!$G$4:$H$8,2,TRUE))</f>
        <v>Late Evening (20-23)</v>
      </c>
      <c r="AD455" s="18">
        <f>IF($A455="","",IF($J455="","",ROUND($J455*41,1)))</f>
        <v>9.8</v>
      </c>
      <c r="AE455" s="18">
        <f>IF($A455="","",IF($R455="","",ROUND($R455*50,1)))</f>
        <v>10.6</v>
      </c>
      <c r="AF455" s="5">
        <f>IF($A455="","",IF($L455="","",ROUND($L455*100,0)))</f>
        <v>65</v>
      </c>
      <c r="AG455" s="18">
        <f>IF($A455="","",IF($M455="","",ROUND($M455*67,1)))</f>
        <v>19</v>
      </c>
      <c r="AH455" s="19">
        <f>IF($A455="","",IF($P455="","",IF($P455=0,0,$O455/$P455)))</f>
        <v>1</v>
      </c>
      <c r="AI455" s="5" t="str">
        <f>IF($A455="","",IF($P455="","",IF($P455&gt;=Lookups!$K$7,"High",IF($P455&lt;=Lookups!$K$8,"Low","Medium"))))</f>
        <v>Medium</v>
      </c>
      <c r="AJ455" s="5" t="str">
        <f>IF($A455="","",IF($AD455="","",IF($AD455&lt;5,"Under 5 C",IF($AD455&lt;10,"5-10 C",IF($AD455&lt;15,"10-15 C","15 C and above")))))</f>
        <v>5-10 C</v>
      </c>
      <c r="AK455" s="5">
        <f>IF($A455="","",IF($P455="","",$P455^2))</f>
        <v>3136</v>
      </c>
      <c r="AL455" s="18">
        <f>IF($V455&lt;&gt;1,"",AVERAGEIFS(Clean_Data!$P$2:$P$1001,Clean_Data!$F$2:$F$1001,$F455,Clean_Data!$W$2:$W$1001,$W455,Clean_Data!$V$2:$V$1001,1))</f>
        <v>37.1034482758621</v>
      </c>
      <c r="AM455" s="16">
        <f>IF($V455&lt;&gt;1,"",IFERROR(($P455-$AL455)/SQRT(MAX(0,(SUMIFS(Clean_Data!$AK$2:$AK$1001,Clean_Data!$F$2:$F$1001,$F455,Clean_Data!$W$2:$W$1001,$W455,Clean_Data!$V$2:$V$1001,1)-COUNTIFS(Clean_Data!$F$2:$F$1001,$F455,Clean_Data!$W$2:$W$1001,$W455,Clean_Data!$V$2:$V$1001,1)*$AL455^2)/(COUNTIFS(Clean_Data!$F$2:$F$1001,$F455,Clean_Data!$W$2:$W$1001,$W455,Clean_Data!$V$2:$V$1001,1)-1))),""))</f>
        <v>1.75054666849533</v>
      </c>
      <c r="AN455" s="5" t="str">
        <f>IF($AM455="","",IF($AM455&gt;=Lookups!$K$6,"High spike",IF($AM455&lt;=-Lookups!$K$6,"Unusual low","Normal")))</f>
        <v>Normal</v>
      </c>
      <c r="AO455" s="20">
        <f>IF($V455&lt;&gt;1,"",$P455+ROW()/100000)</f>
        <v>56.00455</v>
      </c>
      <c r="AP455" s="5">
        <f>IF($A455="","",IFERROR(MATCH($A455,Raw_D1!$A$2:$A$1001,0),""))</f>
        <v>454</v>
      </c>
      <c r="AQ455" s="5">
        <f>IF($A455="","",IFERROR(MATCH($A455,Raw_D2!$B$2:$B$1001,0),""))</f>
        <v>454</v>
      </c>
      <c r="AR455" s="5">
        <f>IF($A455="","",IFERROR(MATCH($A455,Raw_D3!$A$2:$A$1001,0),""))</f>
        <v/>
      </c>
    </row>
    <row r="456" spans="1:44" x14ac:dyDescent="0.25">
      <c r="A456" s="5">
        <v>455</v>
      </c>
      <c r="B456" s="11">
        <f>IF($A456="","",IF($AP456&lt;&gt;"",INDEX(Raw_D1!$B$2:$B$1001,$AP456),IF($AR456&lt;&gt;"",INDEX(Raw_D3!$B$2:$B$1001,$AR456),"")))</f>
        <v>40563.0</v>
      </c>
      <c r="C456" s="5">
        <f>IF($A456="","",IF($AP456&lt;&gt;"",INDEX(Raw_D1!$C$2:$C$1001,$AP456),IF($AR456&lt;&gt;"",INDEX(Raw_D3!$C$2:$C$1001,$AR456),"")))</f>
        <v>1</v>
      </c>
      <c r="D456" s="5">
        <f>IF($A456="","",IF($AP456&lt;&gt;"",INDEX(Raw_D1!$D$2:$D$1001,$AP456),IF($AR456&lt;&gt;"",INDEX(Raw_D3!$D$2:$D$1001,$AR456),"")))</f>
        <v>0</v>
      </c>
      <c r="E456" s="5">
        <f>IF($A456="","",IF($AP456&lt;&gt;"",INDEX(Raw_D1!$E$2:$E$1001,$AP456),IF($AR456&lt;&gt;"",INDEX(Raw_D3!$E$2:$E$1001,$AR456),"")))</f>
        <v>1</v>
      </c>
      <c r="F456" s="5">
        <f>IF($A456="","",IF($AP456&lt;&gt;"",INDEX(Raw_D1!$F$2:$F$1001,$AP456),IF($AR456&lt;&gt;"",INDEX(Raw_D3!$F$2:$F$1001,$AR456),"")))</f>
        <v>23</v>
      </c>
      <c r="G456" s="5">
        <f>IF($A456="","",IF($AP456&lt;&gt;"",IF(INDEX(Raw_D1!$G$2:$G$1001,$AP456),1,0),IF($AR456&lt;&gt;"",IF(INDEX(Raw_D3!$G$2:$G$1001,$AR456),1,0),"")))</f>
        <v>0</v>
      </c>
      <c r="H456" s="5">
        <f>IF($A456="","",IF($AP456&lt;&gt;"",INDEX(Raw_D1!$H$2:$H$1001,$AP456),IF($AR456&lt;&gt;"",INDEX(Raw_D3!$H$2:$H$1001,$AR456),"")))</f>
        <v>4</v>
      </c>
      <c r="I456" s="5">
        <f>IF($A456="","",IF($AP456&lt;&gt;"",INDEX(Raw_D1!$I$2:$I$1001,$AP456),IF($AR456&lt;&gt;"",INDEX(Raw_D3!$I$2:$I$1001,$AR456),"")))</f>
        <v>2</v>
      </c>
      <c r="J456" s="16">
        <f>IF($A456="","",IF($AP456&lt;&gt;"",INDEX(Raw_D1!$J$2:$J$1001,$AP456),IF($AR456&lt;&gt;"",INDEX(Raw_D3!$J$2:$J$1001,$AR456),"")))</f>
        <v>0.24</v>
      </c>
      <c r="K456" s="17">
        <f>IF($A456="","",IF($AQ456&lt;&gt;"",IF(INDEX(Raw_D2!$C$2:$C$1001,$AQ456)="","",INDEX(Raw_D2!$C$2:$C$1001,$AQ456)),IF($AR456&lt;&gt;"",IF(INDEX(Raw_D3!$K$2:$K$1001,$AR456)="","",INDEX(Raw_D3!$K$2:$K$1001,$AR456)),"")))</f>
        <v>0.2121</v>
      </c>
      <c r="L456" s="16">
        <f>IF($A456="","",IF($AQ456&lt;&gt;"",IF(INDEX(Raw_D2!$D$2:$D$1001,$AQ456)="","",INDEX(Raw_D2!$D$2:$D$1001,$AQ456)),IF($AR456&lt;&gt;"",IF(INDEX(Raw_D3!$L$2:$L$1001,$AR456)="","",INDEX(Raw_D3!$L$2:$L$1001,$AR456)),"")))</f>
        <v>0.65</v>
      </c>
      <c r="M456" s="17">
        <f>IF($A456="","",IF($AQ456&lt;&gt;"",IF(INDEX(Raw_D2!$E$2:$E$1001,$AQ456)="","",INDEX(Raw_D2!$E$2:$E$1001,$AQ456)),IF($AR456&lt;&gt;"",IF(INDEX(Raw_D3!$M$2:$M$1001,$AR456)="","",INDEX(Raw_D3!$M$2:$M$1001,$AR456)),"")))</f>
        <v>0.3284</v>
      </c>
      <c r="N456" s="5">
        <f>IF($A456="","",IF($AQ456&lt;&gt;"",IF(INDEX(Raw_D2!$F$2:$F$1001,$AQ456)="","",INDEX(Raw_D2!$F$2:$F$1001,$AQ456)),IF($AR456&lt;&gt;"",IF(INDEX(Raw_D3!$N$2:$N$1001,$AR456)="","",INDEX(Raw_D3!$N$2:$N$1001,$AR456)),"")))</f>
        <v>3</v>
      </c>
      <c r="O456" s="5">
        <f>IF($A456="","",IF($AQ456&lt;&gt;"",IF(INDEX(Raw_D2!$G$2:$G$1001,$AQ456)="","",INDEX(Raw_D2!$G$2:$G$1001,$AQ456)),IF($AR456&lt;&gt;"",IF(INDEX(Raw_D3!$O$2:$O$1001,$AR456)="","",INDEX(Raw_D3!$O$2:$O$1001,$AR456)),"")))</f>
        <v>28</v>
      </c>
      <c r="P456" s="5">
        <f>IF($A456="","",IF($AQ456&lt;&gt;"",IF(INDEX(Raw_D2!$H$2:$H$1001,$AQ456)="","",INDEX(Raw_D2!$H$2:$H$1001,$AQ456)),IF($AR456&lt;&gt;"",IF(INDEX(Raw_D3!$P$2:$P$1001,$AR456)="","",INDEX(Raw_D3!$P$2:$P$1001,$AR456)),"")))</f>
        <v>31</v>
      </c>
      <c r="Q456" s="5" t="str">
        <f>IF($A456="","",IF(AND($AP456&lt;&gt;"",$AQ456&lt;&gt;""),"D1+D2",IF($AR456&lt;&gt;"","D3","Incomplete")))</f>
        <v>D1+D2</v>
      </c>
      <c r="R456" s="17">
        <f>IF($A456="","",IF($K456="",IF($J456="","",ROUND(Lookups!$K$5+Lookups!$K$4*$J456,4)),$K456))</f>
        <v>0.2121</v>
      </c>
      <c r="S456" s="5" t="str">
        <f>IF($A456="","",IF($K456="","Imputed","Original"))</f>
        <v>Original</v>
      </c>
      <c r="T456" s="5" t="str">
        <f>IF($A456="","",IF($P456="","Missing",IF($P456=$N456+$O456,"OK","Mismatch")))</f>
        <v>OK</v>
      </c>
      <c r="U456" s="5" t="str">
        <f>IF($A456="","",IF(COUNTIF($A$2:$A456,$A456)&gt;1,"Duplicate","Unique"))</f>
        <v>Unique</v>
      </c>
      <c r="V456" s="5">
        <f>IF($A456="","",IF(AND($U456="Unique",ISNUMBER($P456)),1,0))</f>
        <v>1</v>
      </c>
      <c r="W456" s="5" t="str">
        <f>IF($A456="","",IF(OR($H456=0,$H456=6),"Weekend","Weekday"))</f>
        <v>Weekday</v>
      </c>
      <c r="X456" s="5" t="str">
        <f>IF($A456="","",TEXT($B456,"ddd"))</f>
        <v>Thu</v>
      </c>
      <c r="Y456" s="5" t="str">
        <f>IF($A456="","",TEXT($B456,"mmm"))</f>
        <v>Jan</v>
      </c>
      <c r="Z456" s="5" t="str">
        <f>IF($A456="","",IFERROR(VLOOKUP($C456,Lookups!$D$4:$E$7,2,FALSE),"Unknown"))</f>
        <v>Winter</v>
      </c>
      <c r="AA456" s="5" t="str">
        <f>IF($A456="","",IFERROR(VLOOKUP($I456,Lookups!$A$4:$B$7,2,FALSE),"Unknown"))</f>
        <v>Mist/Cloudy</v>
      </c>
      <c r="AB456" s="5" t="str">
        <f>IF($A456="","",TEXT($F456,"00")&amp;":00")</f>
        <v>23:00</v>
      </c>
      <c r="AC456" s="5" t="str">
        <f>IF($A456="","",VLOOKUP($F456,Lookups!$G$4:$H$8,2,TRUE))</f>
        <v>Late Evening (20-23)</v>
      </c>
      <c r="AD456" s="18">
        <f>IF($A456="","",IF($J456="","",ROUND($J456*41,1)))</f>
        <v>9.8</v>
      </c>
      <c r="AE456" s="18">
        <f>IF($A456="","",IF($R456="","",ROUND($R456*50,1)))</f>
        <v>10.6</v>
      </c>
      <c r="AF456" s="5">
        <f>IF($A456="","",IF($L456="","",ROUND($L456*100,0)))</f>
        <v>65</v>
      </c>
      <c r="AG456" s="18">
        <f>IF($A456="","",IF($M456="","",ROUND($M456*67,1)))</f>
        <v>22</v>
      </c>
      <c r="AH456" s="19">
        <f>IF($A456="","",IF($P456="","",IF($P456=0,0,$O456/$P456)))</f>
        <v>0.903225806451613</v>
      </c>
      <c r="AI456" s="5" t="str">
        <f>IF($A456="","",IF($P456="","",IF($P456&gt;=Lookups!$K$7,"High",IF($P456&lt;=Lookups!$K$8,"Low","Medium"))))</f>
        <v>Medium</v>
      </c>
      <c r="AJ456" s="5" t="str">
        <f>IF($A456="","",IF($AD456="","",IF($AD456&lt;5,"Under 5 C",IF($AD456&lt;10,"5-10 C",IF($AD456&lt;15,"10-15 C","15 C and above")))))</f>
        <v>5-10 C</v>
      </c>
      <c r="AK456" s="5">
        <f>IF($A456="","",IF($P456="","",$P456^2))</f>
        <v>961</v>
      </c>
      <c r="AL456" s="18">
        <f>IF($V456&lt;&gt;1,"",AVERAGEIFS(Clean_Data!$P$2:$P$1001,Clean_Data!$F$2:$F$1001,$F456,Clean_Data!$W$2:$W$1001,$W456,Clean_Data!$V$2:$V$1001,1))</f>
        <v>23.6896551724138</v>
      </c>
      <c r="AM456" s="16">
        <f>IF($V456&lt;&gt;1,"",IFERROR(($P456-$AL456)/SQRT(MAX(0,(SUMIFS(Clean_Data!$AK$2:$AK$1001,Clean_Data!$F$2:$F$1001,$F456,Clean_Data!$W$2:$W$1001,$W456,Clean_Data!$V$2:$V$1001,1)-COUNTIFS(Clean_Data!$F$2:$F$1001,$F456,Clean_Data!$W$2:$W$1001,$W456,Clean_Data!$V$2:$V$1001,1)*$AL456^2)/(COUNTIFS(Clean_Data!$F$2:$F$1001,$F456,Clean_Data!$W$2:$W$1001,$W456,Clean_Data!$V$2:$V$1001,1)-1))),""))</f>
        <v>0.697897510011244</v>
      </c>
      <c r="AN456" s="5" t="str">
        <f>IF($AM456="","",IF($AM456&gt;=Lookups!$K$6,"High spike",IF($AM456&lt;=-Lookups!$K$6,"Unusual low","Normal")))</f>
        <v>Normal</v>
      </c>
      <c r="AO456" s="20">
        <f>IF($V456&lt;&gt;1,"",$P456+ROW()/100000)</f>
        <v>31.00456</v>
      </c>
      <c r="AP456" s="5">
        <f>IF($A456="","",IFERROR(MATCH($A456,Raw_D1!$A$2:$A$1001,0),""))</f>
        <v>455</v>
      </c>
      <c r="AQ456" s="5">
        <f>IF($A456="","",IFERROR(MATCH($A456,Raw_D2!$B$2:$B$1001,0),""))</f>
        <v>455</v>
      </c>
      <c r="AR456" s="5">
        <f>IF($A456="","",IFERROR(MATCH($A456,Raw_D3!$A$2:$A$1001,0),""))</f>
        <v/>
      </c>
    </row>
    <row r="457" spans="1:44" x14ac:dyDescent="0.25">
      <c r="A457" s="5">
        <v>456</v>
      </c>
      <c r="B457" s="11">
        <f>IF($A457="","",IF($AP457&lt;&gt;"",INDEX(Raw_D1!$B$2:$B$1001,$AP457),IF($AR457&lt;&gt;"",INDEX(Raw_D3!$B$2:$B$1001,$AR457),"")))</f>
        <v>40564.0</v>
      </c>
      <c r="C457" s="5">
        <f>IF($A457="","",IF($AP457&lt;&gt;"",INDEX(Raw_D1!$C$2:$C$1001,$AP457),IF($AR457&lt;&gt;"",INDEX(Raw_D3!$C$2:$C$1001,$AR457),"")))</f>
        <v>1</v>
      </c>
      <c r="D457" s="5">
        <f>IF($A457="","",IF($AP457&lt;&gt;"",INDEX(Raw_D1!$D$2:$D$1001,$AP457),IF($AR457&lt;&gt;"",INDEX(Raw_D3!$D$2:$D$1001,$AR457),"")))</f>
        <v>0</v>
      </c>
      <c r="E457" s="5">
        <f>IF($A457="","",IF($AP457&lt;&gt;"",INDEX(Raw_D1!$E$2:$E$1001,$AP457),IF($AR457&lt;&gt;"",INDEX(Raw_D3!$E$2:$E$1001,$AR457),"")))</f>
        <v>1</v>
      </c>
      <c r="F457" s="5">
        <f>IF($A457="","",IF($AP457&lt;&gt;"",INDEX(Raw_D1!$F$2:$F$1001,$AP457),IF($AR457&lt;&gt;"",INDEX(Raw_D3!$F$2:$F$1001,$AR457),"")))</f>
        <v>0</v>
      </c>
      <c r="G457" s="5">
        <f>IF($A457="","",IF($AP457&lt;&gt;"",IF(INDEX(Raw_D1!$G$2:$G$1001,$AP457),1,0),IF($AR457&lt;&gt;"",IF(INDEX(Raw_D3!$G$2:$G$1001,$AR457),1,0),"")))</f>
        <v>0</v>
      </c>
      <c r="H457" s="5">
        <f>IF($A457="","",IF($AP457&lt;&gt;"",INDEX(Raw_D1!$H$2:$H$1001,$AP457),IF($AR457&lt;&gt;"",INDEX(Raw_D3!$H$2:$H$1001,$AR457),"")))</f>
        <v>5</v>
      </c>
      <c r="I457" s="5">
        <f>IF($A457="","",IF($AP457&lt;&gt;"",INDEX(Raw_D1!$I$2:$I$1001,$AP457),IF($AR457&lt;&gt;"",INDEX(Raw_D3!$I$2:$I$1001,$AR457),"")))</f>
        <v>2</v>
      </c>
      <c r="J457" s="16">
        <f>IF($A457="","",IF($AP457&lt;&gt;"",INDEX(Raw_D1!$J$2:$J$1001,$AP457),IF($AR457&lt;&gt;"",INDEX(Raw_D3!$J$2:$J$1001,$AR457),"")))</f>
        <v>0.24</v>
      </c>
      <c r="K457" s="17">
        <f>IF($A457="","",IF($AQ457&lt;&gt;"",IF(INDEX(Raw_D2!$C$2:$C$1001,$AQ457)="","",INDEX(Raw_D2!$C$2:$C$1001,$AQ457)),IF($AR457&lt;&gt;"",IF(INDEX(Raw_D3!$K$2:$K$1001,$AR457)="","",INDEX(Raw_D3!$K$2:$K$1001,$AR457)),"")))</f>
        <v>0.2273</v>
      </c>
      <c r="L457" s="16">
        <f>IF($A457="","",IF($AQ457&lt;&gt;"",IF(INDEX(Raw_D2!$D$2:$D$1001,$AQ457)="","",INDEX(Raw_D2!$D$2:$D$1001,$AQ457)),IF($AR457&lt;&gt;"",IF(INDEX(Raw_D3!$L$2:$L$1001,$AR457)="","",INDEX(Raw_D3!$L$2:$L$1001,$AR457)),"")))</f>
        <v>0.7</v>
      </c>
      <c r="M457" s="17">
        <f>IF($A457="","",IF($AQ457&lt;&gt;"",IF(INDEX(Raw_D2!$E$2:$E$1001,$AQ457)="","",INDEX(Raw_D2!$E$2:$E$1001,$AQ457)),IF($AR457&lt;&gt;"",IF(INDEX(Raw_D3!$M$2:$M$1001,$AR457)="","",INDEX(Raw_D3!$M$2:$M$1001,$AR457)),"")))</f>
        <v>0.2537</v>
      </c>
      <c r="N457" s="5">
        <f>IF($A457="","",IF($AQ457&lt;&gt;"",IF(INDEX(Raw_D2!$F$2:$F$1001,$AQ457)="","",INDEX(Raw_D2!$F$2:$F$1001,$AQ457)),IF($AR457&lt;&gt;"",IF(INDEX(Raw_D3!$N$2:$N$1001,$AR457)="","",INDEX(Raw_D3!$N$2:$N$1001,$AR457)),"")))</f>
        <v>1</v>
      </c>
      <c r="O457" s="5">
        <f>IF($A457="","",IF($AQ457&lt;&gt;"",IF(INDEX(Raw_D2!$G$2:$G$1001,$AQ457)="","",INDEX(Raw_D2!$G$2:$G$1001,$AQ457)),IF($AR457&lt;&gt;"",IF(INDEX(Raw_D3!$O$2:$O$1001,$AR457)="","",INDEX(Raw_D3!$O$2:$O$1001,$AR457)),"")))</f>
        <v>20</v>
      </c>
      <c r="P457" s="5">
        <f>IF($A457="","",IF($AQ457&lt;&gt;"",IF(INDEX(Raw_D2!$H$2:$H$1001,$AQ457)="","",INDEX(Raw_D2!$H$2:$H$1001,$AQ457)),IF($AR457&lt;&gt;"",IF(INDEX(Raw_D3!$P$2:$P$1001,$AR457)="","",INDEX(Raw_D3!$P$2:$P$1001,$AR457)),"")))</f>
        <v>21</v>
      </c>
      <c r="Q457" s="5" t="str">
        <f>IF($A457="","",IF(AND($AP457&lt;&gt;"",$AQ457&lt;&gt;""),"D1+D2",IF($AR457&lt;&gt;"","D3","Incomplete")))</f>
        <v>D1+D2</v>
      </c>
      <c r="R457" s="17">
        <f>IF($A457="","",IF($K457="",IF($J457="","",ROUND(Lookups!$K$5+Lookups!$K$4*$J457,4)),$K457))</f>
        <v>0.2273</v>
      </c>
      <c r="S457" s="5" t="str">
        <f>IF($A457="","",IF($K457="","Imputed","Original"))</f>
        <v>Original</v>
      </c>
      <c r="T457" s="5" t="str">
        <f>IF($A457="","",IF($P457="","Missing",IF($P457=$N457+$O457,"OK","Mismatch")))</f>
        <v>OK</v>
      </c>
      <c r="U457" s="5" t="str">
        <f>IF($A457="","",IF(COUNTIF($A$2:$A457,$A457)&gt;1,"Duplicate","Unique"))</f>
        <v>Unique</v>
      </c>
      <c r="V457" s="5">
        <f>IF($A457="","",IF(AND($U457="Unique",ISNUMBER($P457)),1,0))</f>
        <v>1</v>
      </c>
      <c r="W457" s="5" t="str">
        <f>IF($A457="","",IF(OR($H457=0,$H457=6),"Weekend","Weekday"))</f>
        <v>Weekday</v>
      </c>
      <c r="X457" s="5" t="str">
        <f>IF($A457="","",TEXT($B457,"ddd"))</f>
        <v>Fri</v>
      </c>
      <c r="Y457" s="5" t="str">
        <f>IF($A457="","",TEXT($B457,"mmm"))</f>
        <v>Jan</v>
      </c>
      <c r="Z457" s="5" t="str">
        <f>IF($A457="","",IFERROR(VLOOKUP($C457,Lookups!$D$4:$E$7,2,FALSE),"Unknown"))</f>
        <v>Winter</v>
      </c>
      <c r="AA457" s="5" t="str">
        <f>IF($A457="","",IFERROR(VLOOKUP($I457,Lookups!$A$4:$B$7,2,FALSE),"Unknown"))</f>
        <v>Mist/Cloudy</v>
      </c>
      <c r="AB457" s="5" t="str">
        <f>IF($A457="","",TEXT($F457,"00")&amp;":00")</f>
        <v>00:00</v>
      </c>
      <c r="AC457" s="5" t="str">
        <f>IF($A457="","",VLOOKUP($F457,Lookups!$G$4:$H$8,2,TRUE))</f>
        <v>Night (00-05)</v>
      </c>
      <c r="AD457" s="18">
        <f>IF($A457="","",IF($J457="","",ROUND($J457*41,1)))</f>
        <v>9.8</v>
      </c>
      <c r="AE457" s="18">
        <f>IF($A457="","",IF($R457="","",ROUND($R457*50,1)))</f>
        <v>11.4</v>
      </c>
      <c r="AF457" s="5">
        <f>IF($A457="","",IF($L457="","",ROUND($L457*100,0)))</f>
        <v>70</v>
      </c>
      <c r="AG457" s="18">
        <f>IF($A457="","",IF($M457="","",ROUND($M457*67,1)))</f>
        <v>17</v>
      </c>
      <c r="AH457" s="19">
        <f>IF($A457="","",IF($P457="","",IF($P457=0,0,$O457/$P457)))</f>
        <v>0.952380952380952</v>
      </c>
      <c r="AI457" s="5" t="str">
        <f>IF($A457="","",IF($P457="","",IF($P457&gt;=Lookups!$K$7,"High",IF($P457&lt;=Lookups!$K$8,"Low","Medium"))))</f>
        <v>Medium</v>
      </c>
      <c r="AJ457" s="5" t="str">
        <f>IF($A457="","",IF($AD457="","",IF($AD457&lt;5,"Under 5 C",IF($AD457&lt;10,"5-10 C",IF($AD457&lt;15,"10-15 C","15 C and above")))))</f>
        <v>5-10 C</v>
      </c>
      <c r="AK457" s="5">
        <f>IF($A457="","",IF($P457="","",$P457^2))</f>
        <v>441</v>
      </c>
      <c r="AL457" s="18">
        <f>IF($V457&lt;&gt;1,"",AVERAGEIFS(Clean_Data!$P$2:$P$1001,Clean_Data!$F$2:$F$1001,$F457,Clean_Data!$W$2:$W$1001,$W457,Clean_Data!$V$2:$V$1001,1))</f>
        <v>10.6896551724138</v>
      </c>
      <c r="AM457" s="16">
        <f>IF($V457&lt;&gt;1,"",IFERROR(($P457-$AL457)/SQRT(MAX(0,(SUMIFS(Clean_Data!$AK$2:$AK$1001,Clean_Data!$F$2:$F$1001,$F457,Clean_Data!$W$2:$W$1001,$W457,Clean_Data!$V$2:$V$1001,1)-COUNTIFS(Clean_Data!$F$2:$F$1001,$F457,Clean_Data!$W$2:$W$1001,$W457,Clean_Data!$V$2:$V$1001,1)*$AL457^2)/(COUNTIFS(Clean_Data!$F$2:$F$1001,$F457,Clean_Data!$W$2:$W$1001,$W457,Clean_Data!$V$2:$V$1001,1)-1))),""))</f>
        <v>2.10740380499604</v>
      </c>
      <c r="AN457" s="5" t="str">
        <f>IF($AM457="","",IF($AM457&gt;=Lookups!$K$6,"High spike",IF($AM457&lt;=-Lookups!$K$6,"Unusual low","Normal")))</f>
        <v>Normal</v>
      </c>
      <c r="AO457" s="20">
        <f>IF($V457&lt;&gt;1,"",$P457+ROW()/100000)</f>
        <v>21.00457</v>
      </c>
      <c r="AP457" s="5">
        <f>IF($A457="","",IFERROR(MATCH($A457,Raw_D1!$A$2:$A$1001,0),""))</f>
        <v>456</v>
      </c>
      <c r="AQ457" s="5">
        <f>IF($A457="","",IFERROR(MATCH($A457,Raw_D2!$B$2:$B$1001,0),""))</f>
        <v>456</v>
      </c>
      <c r="AR457" s="5">
        <f>IF($A457="","",IFERROR(MATCH($A457,Raw_D3!$A$2:$A$1001,0),""))</f>
        <v/>
      </c>
    </row>
    <row r="458" spans="1:44" x14ac:dyDescent="0.25">
      <c r="A458" s="5">
        <v>457</v>
      </c>
      <c r="B458" s="11">
        <f>IF($A458="","",IF($AP458&lt;&gt;"",INDEX(Raw_D1!$B$2:$B$1001,$AP458),IF($AR458&lt;&gt;"",INDEX(Raw_D3!$B$2:$B$1001,$AR458),"")))</f>
        <v>40564.0</v>
      </c>
      <c r="C458" s="5">
        <f>IF($A458="","",IF($AP458&lt;&gt;"",INDEX(Raw_D1!$C$2:$C$1001,$AP458),IF($AR458&lt;&gt;"",INDEX(Raw_D3!$C$2:$C$1001,$AR458),"")))</f>
        <v>1</v>
      </c>
      <c r="D458" s="5">
        <f>IF($A458="","",IF($AP458&lt;&gt;"",INDEX(Raw_D1!$D$2:$D$1001,$AP458),IF($AR458&lt;&gt;"",INDEX(Raw_D3!$D$2:$D$1001,$AR458),"")))</f>
        <v>0</v>
      </c>
      <c r="E458" s="5">
        <f>IF($A458="","",IF($AP458&lt;&gt;"",INDEX(Raw_D1!$E$2:$E$1001,$AP458),IF($AR458&lt;&gt;"",INDEX(Raw_D3!$E$2:$E$1001,$AR458),"")))</f>
        <v>1</v>
      </c>
      <c r="F458" s="5">
        <f>IF($A458="","",IF($AP458&lt;&gt;"",INDEX(Raw_D1!$F$2:$F$1001,$AP458),IF($AR458&lt;&gt;"",INDEX(Raw_D3!$F$2:$F$1001,$AR458),"")))</f>
        <v>1</v>
      </c>
      <c r="G458" s="5">
        <f>IF($A458="","",IF($AP458&lt;&gt;"",IF(INDEX(Raw_D1!$G$2:$G$1001,$AP458),1,0),IF($AR458&lt;&gt;"",IF(INDEX(Raw_D3!$G$2:$G$1001,$AR458),1,0),"")))</f>
        <v>0</v>
      </c>
      <c r="H458" s="5">
        <f>IF($A458="","",IF($AP458&lt;&gt;"",INDEX(Raw_D1!$H$2:$H$1001,$AP458),IF($AR458&lt;&gt;"",INDEX(Raw_D3!$H$2:$H$1001,$AR458),"")))</f>
        <v>5</v>
      </c>
      <c r="I458" s="5">
        <f>IF($A458="","",IF($AP458&lt;&gt;"",INDEX(Raw_D1!$I$2:$I$1001,$AP458),IF($AR458&lt;&gt;"",INDEX(Raw_D3!$I$2:$I$1001,$AR458),"")))</f>
        <v>2</v>
      </c>
      <c r="J458" s="16">
        <f>IF($A458="","",IF($AP458&lt;&gt;"",INDEX(Raw_D1!$J$2:$J$1001,$AP458),IF($AR458&lt;&gt;"",INDEX(Raw_D3!$J$2:$J$1001,$AR458),"")))</f>
        <v>0.24</v>
      </c>
      <c r="K458" s="17">
        <f>IF($A458="","",IF($AQ458&lt;&gt;"",IF(INDEX(Raw_D2!$C$2:$C$1001,$AQ458)="","",INDEX(Raw_D2!$C$2:$C$1001,$AQ458)),IF($AR458&lt;&gt;"",IF(INDEX(Raw_D3!$K$2:$K$1001,$AR458)="","",INDEX(Raw_D3!$K$2:$K$1001,$AR458)),"")))</f>
        <v>0.2273</v>
      </c>
      <c r="L458" s="16">
        <f>IF($A458="","",IF($AQ458&lt;&gt;"",IF(INDEX(Raw_D2!$D$2:$D$1001,$AQ458)="","",INDEX(Raw_D2!$D$2:$D$1001,$AQ458)),IF($AR458&lt;&gt;"",IF(INDEX(Raw_D3!$L$2:$L$1001,$AR458)="","",INDEX(Raw_D3!$L$2:$L$1001,$AR458)),"")))</f>
        <v>0.7</v>
      </c>
      <c r="M458" s="17">
        <f>IF($A458="","",IF($AQ458&lt;&gt;"",IF(INDEX(Raw_D2!$E$2:$E$1001,$AQ458)="","",INDEX(Raw_D2!$E$2:$E$1001,$AQ458)),IF($AR458&lt;&gt;"",IF(INDEX(Raw_D3!$M$2:$M$1001,$AR458)="","",INDEX(Raw_D3!$M$2:$M$1001,$AR458)),"")))</f>
        <v>0.2537</v>
      </c>
      <c r="N458" s="5">
        <f>IF($A458="","",IF($AQ458&lt;&gt;"",IF(INDEX(Raw_D2!$F$2:$F$1001,$AQ458)="","",INDEX(Raw_D2!$F$2:$F$1001,$AQ458)),IF($AR458&lt;&gt;"",IF(INDEX(Raw_D3!$N$2:$N$1001,$AR458)="","",INDEX(Raw_D3!$N$2:$N$1001,$AR458)),"")))</f>
        <v>0</v>
      </c>
      <c r="O458" s="5">
        <f>IF($A458="","",IF($AQ458&lt;&gt;"",IF(INDEX(Raw_D2!$G$2:$G$1001,$AQ458)="","",INDEX(Raw_D2!$G$2:$G$1001,$AQ458)),IF($AR458&lt;&gt;"",IF(INDEX(Raw_D3!$O$2:$O$1001,$AR458)="","",INDEX(Raw_D3!$O$2:$O$1001,$AR458)),"")))</f>
        <v>6</v>
      </c>
      <c r="P458" s="5">
        <f>IF($A458="","",IF($AQ458&lt;&gt;"",IF(INDEX(Raw_D2!$H$2:$H$1001,$AQ458)="","",INDEX(Raw_D2!$H$2:$H$1001,$AQ458)),IF($AR458&lt;&gt;"",IF(INDEX(Raw_D3!$P$2:$P$1001,$AR458)="","",INDEX(Raw_D3!$P$2:$P$1001,$AR458)),"")))</f>
        <v>6</v>
      </c>
      <c r="Q458" s="5" t="str">
        <f>IF($A458="","",IF(AND($AP458&lt;&gt;"",$AQ458&lt;&gt;""),"D1+D2",IF($AR458&lt;&gt;"","D3","Incomplete")))</f>
        <v>D1+D2</v>
      </c>
      <c r="R458" s="17">
        <f>IF($A458="","",IF($K458="",IF($J458="","",ROUND(Lookups!$K$5+Lookups!$K$4*$J458,4)),$K458))</f>
        <v>0.2273</v>
      </c>
      <c r="S458" s="5" t="str">
        <f>IF($A458="","",IF($K458="","Imputed","Original"))</f>
        <v>Original</v>
      </c>
      <c r="T458" s="5" t="str">
        <f>IF($A458="","",IF($P458="","Missing",IF($P458=$N458+$O458,"OK","Mismatch")))</f>
        <v>OK</v>
      </c>
      <c r="U458" s="5" t="str">
        <f>IF($A458="","",IF(COUNTIF($A$2:$A458,$A458)&gt;1,"Duplicate","Unique"))</f>
        <v>Unique</v>
      </c>
      <c r="V458" s="5">
        <f>IF($A458="","",IF(AND($U458="Unique",ISNUMBER($P458)),1,0))</f>
        <v>1</v>
      </c>
      <c r="W458" s="5" t="str">
        <f>IF($A458="","",IF(OR($H458=0,$H458=6),"Weekend","Weekday"))</f>
        <v>Weekday</v>
      </c>
      <c r="X458" s="5" t="str">
        <f>IF($A458="","",TEXT($B458,"ddd"))</f>
        <v>Fri</v>
      </c>
      <c r="Y458" s="5" t="str">
        <f>IF($A458="","",TEXT($B458,"mmm"))</f>
        <v>Jan</v>
      </c>
      <c r="Z458" s="5" t="str">
        <f>IF($A458="","",IFERROR(VLOOKUP($C458,Lookups!$D$4:$E$7,2,FALSE),"Unknown"))</f>
        <v>Winter</v>
      </c>
      <c r="AA458" s="5" t="str">
        <f>IF($A458="","",IFERROR(VLOOKUP($I458,Lookups!$A$4:$B$7,2,FALSE),"Unknown"))</f>
        <v>Mist/Cloudy</v>
      </c>
      <c r="AB458" s="5" t="str">
        <f>IF($A458="","",TEXT($F458,"00")&amp;":00")</f>
        <v>01:00</v>
      </c>
      <c r="AC458" s="5" t="str">
        <f>IF($A458="","",VLOOKUP($F458,Lookups!$G$4:$H$8,2,TRUE))</f>
        <v>Night (00-05)</v>
      </c>
      <c r="AD458" s="18">
        <f>IF($A458="","",IF($J458="","",ROUND($J458*41,1)))</f>
        <v>9.8</v>
      </c>
      <c r="AE458" s="18">
        <f>IF($A458="","",IF($R458="","",ROUND($R458*50,1)))</f>
        <v>11.4</v>
      </c>
      <c r="AF458" s="5">
        <f>IF($A458="","",IF($L458="","",ROUND($L458*100,0)))</f>
        <v>70</v>
      </c>
      <c r="AG458" s="18">
        <f>IF($A458="","",IF($M458="","",ROUND($M458*67,1)))</f>
        <v>17</v>
      </c>
      <c r="AH458" s="19">
        <f>IF($A458="","",IF($P458="","",IF($P458=0,0,$O458/$P458)))</f>
        <v>1</v>
      </c>
      <c r="AI458" s="5" t="str">
        <f>IF($A458="","",IF($P458="","",IF($P458&gt;=Lookups!$K$7,"High",IF($P458&lt;=Lookups!$K$8,"Low","Medium"))))</f>
        <v>Low</v>
      </c>
      <c r="AJ458" s="5" t="str">
        <f>IF($A458="","",IF($AD458="","",IF($AD458&lt;5,"Under 5 C",IF($AD458&lt;10,"5-10 C",IF($AD458&lt;15,"10-15 C","15 C and above")))))</f>
        <v>5-10 C</v>
      </c>
      <c r="AK458" s="5">
        <f>IF($A458="","",IF($P458="","",$P458^2))</f>
        <v>36</v>
      </c>
      <c r="AL458" s="18">
        <f>IF($V458&lt;&gt;1,"",AVERAGEIFS(Clean_Data!$P$2:$P$1001,Clean_Data!$F$2:$F$1001,$F458,Clean_Data!$W$2:$W$1001,$W458,Clean_Data!$V$2:$V$1001,1))</f>
        <v>5.10344827586207</v>
      </c>
      <c r="AM458" s="16">
        <f>IF($V458&lt;&gt;1,"",IFERROR(($P458-$AL458)/SQRT(MAX(0,(SUMIFS(Clean_Data!$AK$2:$AK$1001,Clean_Data!$F$2:$F$1001,$F458,Clean_Data!$W$2:$W$1001,$W458,Clean_Data!$V$2:$V$1001,1)-COUNTIFS(Clean_Data!$F$2:$F$1001,$F458,Clean_Data!$W$2:$W$1001,$W458,Clean_Data!$V$2:$V$1001,1)*$AL458^2)/(COUNTIFS(Clean_Data!$F$2:$F$1001,$F458,Clean_Data!$W$2:$W$1001,$W458,Clean_Data!$V$2:$V$1001,1)-1))),""))</f>
        <v>0.311003894704077</v>
      </c>
      <c r="AN458" s="5" t="str">
        <f>IF($AM458="","",IF($AM458&gt;=Lookups!$K$6,"High spike",IF($AM458&lt;=-Lookups!$K$6,"Unusual low","Normal")))</f>
        <v>Normal</v>
      </c>
      <c r="AO458" s="20">
        <f>IF($V458&lt;&gt;1,"",$P458+ROW()/100000)</f>
        <v>6.00458</v>
      </c>
      <c r="AP458" s="5">
        <f>IF($A458="","",IFERROR(MATCH($A458,Raw_D1!$A$2:$A$1001,0),""))</f>
        <v>457</v>
      </c>
      <c r="AQ458" s="5">
        <f>IF($A458="","",IFERROR(MATCH($A458,Raw_D2!$B$2:$B$1001,0),""))</f>
        <v>457</v>
      </c>
      <c r="AR458" s="5">
        <f>IF($A458="","",IFERROR(MATCH($A458,Raw_D3!$A$2:$A$1001,0),""))</f>
        <v/>
      </c>
    </row>
    <row r="459" spans="1:44" x14ac:dyDescent="0.25">
      <c r="A459" s="5">
        <v>458</v>
      </c>
      <c r="B459" s="11">
        <f>IF($A459="","",IF($AP459&lt;&gt;"",INDEX(Raw_D1!$B$2:$B$1001,$AP459),IF($AR459&lt;&gt;"",INDEX(Raw_D3!$B$2:$B$1001,$AR459),"")))</f>
        <v>40564.0</v>
      </c>
      <c r="C459" s="5">
        <f>IF($A459="","",IF($AP459&lt;&gt;"",INDEX(Raw_D1!$C$2:$C$1001,$AP459),IF($AR459&lt;&gt;"",INDEX(Raw_D3!$C$2:$C$1001,$AR459),"")))</f>
        <v>1</v>
      </c>
      <c r="D459" s="5">
        <f>IF($A459="","",IF($AP459&lt;&gt;"",INDEX(Raw_D1!$D$2:$D$1001,$AP459),IF($AR459&lt;&gt;"",INDEX(Raw_D3!$D$2:$D$1001,$AR459),"")))</f>
        <v>0</v>
      </c>
      <c r="E459" s="5">
        <f>IF($A459="","",IF($AP459&lt;&gt;"",INDEX(Raw_D1!$E$2:$E$1001,$AP459),IF($AR459&lt;&gt;"",INDEX(Raw_D3!$E$2:$E$1001,$AR459),"")))</f>
        <v>1</v>
      </c>
      <c r="F459" s="5">
        <f>IF($A459="","",IF($AP459&lt;&gt;"",INDEX(Raw_D1!$F$2:$F$1001,$AP459),IF($AR459&lt;&gt;"",INDEX(Raw_D3!$F$2:$F$1001,$AR459),"")))</f>
        <v>2</v>
      </c>
      <c r="G459" s="5">
        <f>IF($A459="","",IF($AP459&lt;&gt;"",IF(INDEX(Raw_D1!$G$2:$G$1001,$AP459),1,0),IF($AR459&lt;&gt;"",IF(INDEX(Raw_D3!$G$2:$G$1001,$AR459),1,0),"")))</f>
        <v>0</v>
      </c>
      <c r="H459" s="5">
        <f>IF($A459="","",IF($AP459&lt;&gt;"",INDEX(Raw_D1!$H$2:$H$1001,$AP459),IF($AR459&lt;&gt;"",INDEX(Raw_D3!$H$2:$H$1001,$AR459),"")))</f>
        <v>5</v>
      </c>
      <c r="I459" s="5">
        <f>IF($A459="","",IF($AP459&lt;&gt;"",INDEX(Raw_D1!$I$2:$I$1001,$AP459),IF($AR459&lt;&gt;"",INDEX(Raw_D3!$I$2:$I$1001,$AR459),"")))</f>
        <v>3</v>
      </c>
      <c r="J459" s="16">
        <f>IF($A459="","",IF($AP459&lt;&gt;"",INDEX(Raw_D1!$J$2:$J$1001,$AP459),IF($AR459&lt;&gt;"",INDEX(Raw_D3!$J$2:$J$1001,$AR459),"")))</f>
        <v>0.24</v>
      </c>
      <c r="K459" s="17">
        <f>IF($A459="","",IF($AQ459&lt;&gt;"",IF(INDEX(Raw_D2!$C$2:$C$1001,$AQ459)="","",INDEX(Raw_D2!$C$2:$C$1001,$AQ459)),IF($AR459&lt;&gt;"",IF(INDEX(Raw_D3!$K$2:$K$1001,$AR459)="","",INDEX(Raw_D3!$K$2:$K$1001,$AR459)),"")))</f>
        <v>0.2424</v>
      </c>
      <c r="L459" s="16">
        <f>IF($A459="","",IF($AQ459&lt;&gt;"",IF(INDEX(Raw_D2!$D$2:$D$1001,$AQ459)="","",INDEX(Raw_D2!$D$2:$D$1001,$AQ459)),IF($AR459&lt;&gt;"",IF(INDEX(Raw_D3!$L$2:$L$1001,$AR459)="","",INDEX(Raw_D3!$L$2:$L$1001,$AR459)),"")))</f>
        <v>0.75</v>
      </c>
      <c r="M459" s="17">
        <f>IF($A459="","",IF($AQ459&lt;&gt;"",IF(INDEX(Raw_D2!$E$2:$E$1001,$AQ459)="","",INDEX(Raw_D2!$E$2:$E$1001,$AQ459)),IF($AR459&lt;&gt;"",IF(INDEX(Raw_D3!$M$2:$M$1001,$AR459)="","",INDEX(Raw_D3!$M$2:$M$1001,$AR459)),"")))</f>
        <v>0.1642</v>
      </c>
      <c r="N459" s="5">
        <f>IF($A459="","",IF($AQ459&lt;&gt;"",IF(INDEX(Raw_D2!$F$2:$F$1001,$AQ459)="","",INDEX(Raw_D2!$F$2:$F$1001,$AQ459)),IF($AR459&lt;&gt;"",IF(INDEX(Raw_D3!$N$2:$N$1001,$AR459)="","",INDEX(Raw_D3!$N$2:$N$1001,$AR459)),"")))</f>
        <v>0</v>
      </c>
      <c r="O459" s="5">
        <f>IF($A459="","",IF($AQ459&lt;&gt;"",IF(INDEX(Raw_D2!$G$2:$G$1001,$AQ459)="","",INDEX(Raw_D2!$G$2:$G$1001,$AQ459)),IF($AR459&lt;&gt;"",IF(INDEX(Raw_D3!$O$2:$O$1001,$AR459)="","",INDEX(Raw_D3!$O$2:$O$1001,$AR459)),"")))</f>
        <v>2</v>
      </c>
      <c r="P459" s="5">
        <f>IF($A459="","",IF($AQ459&lt;&gt;"",IF(INDEX(Raw_D2!$H$2:$H$1001,$AQ459)="","",INDEX(Raw_D2!$H$2:$H$1001,$AQ459)),IF($AR459&lt;&gt;"",IF(INDEX(Raw_D3!$P$2:$P$1001,$AR459)="","",INDEX(Raw_D3!$P$2:$P$1001,$AR459)),"")))</f>
        <v>2</v>
      </c>
      <c r="Q459" s="5" t="str">
        <f>IF($A459="","",IF(AND($AP459&lt;&gt;"",$AQ459&lt;&gt;""),"D1+D2",IF($AR459&lt;&gt;"","D3","Incomplete")))</f>
        <v>D1+D2</v>
      </c>
      <c r="R459" s="17">
        <f>IF($A459="","",IF($K459="",IF($J459="","",ROUND(Lookups!$K$5+Lookups!$K$4*$J459,4)),$K459))</f>
        <v>0.2424</v>
      </c>
      <c r="S459" s="5" t="str">
        <f>IF($A459="","",IF($K459="","Imputed","Original"))</f>
        <v>Original</v>
      </c>
      <c r="T459" s="5" t="str">
        <f>IF($A459="","",IF($P459="","Missing",IF($P459=$N459+$O459,"OK","Mismatch")))</f>
        <v>OK</v>
      </c>
      <c r="U459" s="5" t="str">
        <f>IF($A459="","",IF(COUNTIF($A$2:$A459,$A459)&gt;1,"Duplicate","Unique"))</f>
        <v>Unique</v>
      </c>
      <c r="V459" s="5">
        <f>IF($A459="","",IF(AND($U459="Unique",ISNUMBER($P459)),1,0))</f>
        <v>1</v>
      </c>
      <c r="W459" s="5" t="str">
        <f>IF($A459="","",IF(OR($H459=0,$H459=6),"Weekend","Weekday"))</f>
        <v>Weekday</v>
      </c>
      <c r="X459" s="5" t="str">
        <f>IF($A459="","",TEXT($B459,"ddd"))</f>
        <v>Fri</v>
      </c>
      <c r="Y459" s="5" t="str">
        <f>IF($A459="","",TEXT($B459,"mmm"))</f>
        <v>Jan</v>
      </c>
      <c r="Z459" s="5" t="str">
        <f>IF($A459="","",IFERROR(VLOOKUP($C459,Lookups!$D$4:$E$7,2,FALSE),"Unknown"))</f>
        <v>Winter</v>
      </c>
      <c r="AA459" s="5" t="str">
        <f>IF($A459="","",IFERROR(VLOOKUP($I459,Lookups!$A$4:$B$7,2,FALSE),"Unknown"))</f>
        <v>Light Rain/Snow</v>
      </c>
      <c r="AB459" s="5" t="str">
        <f>IF($A459="","",TEXT($F459,"00")&amp;":00")</f>
        <v>02:00</v>
      </c>
      <c r="AC459" s="5" t="str">
        <f>IF($A459="","",VLOOKUP($F459,Lookups!$G$4:$H$8,2,TRUE))</f>
        <v>Night (00-05)</v>
      </c>
      <c r="AD459" s="18">
        <f>IF($A459="","",IF($J459="","",ROUND($J459*41,1)))</f>
        <v>9.8</v>
      </c>
      <c r="AE459" s="18">
        <f>IF($A459="","",IF($R459="","",ROUND($R459*50,1)))</f>
        <v>12.1</v>
      </c>
      <c r="AF459" s="5">
        <f>IF($A459="","",IF($L459="","",ROUND($L459*100,0)))</f>
        <v>75</v>
      </c>
      <c r="AG459" s="18">
        <f>IF($A459="","",IF($M459="","",ROUND($M459*67,1)))</f>
        <v>11</v>
      </c>
      <c r="AH459" s="19">
        <f>IF($A459="","",IF($P459="","",IF($P459=0,0,$O459/$P459)))</f>
        <v>1</v>
      </c>
      <c r="AI459" s="5" t="str">
        <f>IF($A459="","",IF($P459="","",IF($P459&gt;=Lookups!$K$7,"High",IF($P459&lt;=Lookups!$K$8,"Low","Medium"))))</f>
        <v>Low</v>
      </c>
      <c r="AJ459" s="5" t="str">
        <f>IF($A459="","",IF($AD459="","",IF($AD459&lt;5,"Under 5 C",IF($AD459&lt;10,"5-10 C",IF($AD459&lt;15,"10-15 C","15 C and above")))))</f>
        <v>5-10 C</v>
      </c>
      <c r="AK459" s="5">
        <f>IF($A459="","",IF($P459="","",$P459^2))</f>
        <v>4</v>
      </c>
      <c r="AL459" s="18">
        <f>IF($V459&lt;&gt;1,"",AVERAGEIFS(Clean_Data!$P$2:$P$1001,Clean_Data!$F$2:$F$1001,$F459,Clean_Data!$W$2:$W$1001,$W459,Clean_Data!$V$2:$V$1001,1))</f>
        <v>2.62962962962963</v>
      </c>
      <c r="AM459" s="16">
        <f>IF($V459&lt;&gt;1,"",IFERROR(($P459-$AL459)/SQRT(MAX(0,(SUMIFS(Clean_Data!$AK$2:$AK$1001,Clean_Data!$F$2:$F$1001,$F459,Clean_Data!$W$2:$W$1001,$W459,Clean_Data!$V$2:$V$1001,1)-COUNTIFS(Clean_Data!$F$2:$F$1001,$F459,Clean_Data!$W$2:$W$1001,$W459,Clean_Data!$V$2:$V$1001,1)*$AL459^2)/(COUNTIFS(Clean_Data!$F$2:$F$1001,$F459,Clean_Data!$W$2:$W$1001,$W459,Clean_Data!$V$2:$V$1001,1)-1))),""))</f>
        <v>-0.311395810225326</v>
      </c>
      <c r="AN459" s="5" t="str">
        <f>IF($AM459="","",IF($AM459&gt;=Lookups!$K$6,"High spike",IF($AM459&lt;=-Lookups!$K$6,"Unusual low","Normal")))</f>
        <v>Normal</v>
      </c>
      <c r="AO459" s="20">
        <f>IF($V459&lt;&gt;1,"",$P459+ROW()/100000)</f>
        <v>2.00459</v>
      </c>
      <c r="AP459" s="5">
        <f>IF($A459="","",IFERROR(MATCH($A459,Raw_D1!$A$2:$A$1001,0),""))</f>
        <v>458</v>
      </c>
      <c r="AQ459" s="5">
        <f>IF($A459="","",IFERROR(MATCH($A459,Raw_D2!$B$2:$B$1001,0),""))</f>
        <v>458</v>
      </c>
      <c r="AR459" s="5">
        <f>IF($A459="","",IFERROR(MATCH($A459,Raw_D3!$A$2:$A$1001,0),""))</f>
        <v/>
      </c>
    </row>
    <row r="460" spans="1:44" x14ac:dyDescent="0.25">
      <c r="A460" s="5">
        <v>459</v>
      </c>
      <c r="B460" s="11">
        <f>IF($A460="","",IF($AP460&lt;&gt;"",INDEX(Raw_D1!$B$2:$B$1001,$AP460),IF($AR460&lt;&gt;"",INDEX(Raw_D3!$B$2:$B$1001,$AR460),"")))</f>
        <v>40564.0</v>
      </c>
      <c r="C460" s="5">
        <f>IF($A460="","",IF($AP460&lt;&gt;"",INDEX(Raw_D1!$C$2:$C$1001,$AP460),IF($AR460&lt;&gt;"",INDEX(Raw_D3!$C$2:$C$1001,$AR460),"")))</f>
        <v>1</v>
      </c>
      <c r="D460" s="5">
        <f>IF($A460="","",IF($AP460&lt;&gt;"",INDEX(Raw_D1!$D$2:$D$1001,$AP460),IF($AR460&lt;&gt;"",INDEX(Raw_D3!$D$2:$D$1001,$AR460),"")))</f>
        <v>0</v>
      </c>
      <c r="E460" s="5">
        <f>IF($A460="","",IF($AP460&lt;&gt;"",INDEX(Raw_D1!$E$2:$E$1001,$AP460),IF($AR460&lt;&gt;"",INDEX(Raw_D3!$E$2:$E$1001,$AR460),"")))</f>
        <v>1</v>
      </c>
      <c r="F460" s="5">
        <f>IF($A460="","",IF($AP460&lt;&gt;"",INDEX(Raw_D1!$F$2:$F$1001,$AP460),IF($AR460&lt;&gt;"",INDEX(Raw_D3!$F$2:$F$1001,$AR460),"")))</f>
        <v>3</v>
      </c>
      <c r="G460" s="5">
        <f>IF($A460="","",IF($AP460&lt;&gt;"",IF(INDEX(Raw_D1!$G$2:$G$1001,$AP460),1,0),IF($AR460&lt;&gt;"",IF(INDEX(Raw_D3!$G$2:$G$1001,$AR460),1,0),"")))</f>
        <v>0</v>
      </c>
      <c r="H460" s="5">
        <f>IF($A460="","",IF($AP460&lt;&gt;"",INDEX(Raw_D1!$H$2:$H$1001,$AP460),IF($AR460&lt;&gt;"",INDEX(Raw_D3!$H$2:$H$1001,$AR460),"")))</f>
        <v>5</v>
      </c>
      <c r="I460" s="5">
        <f>IF($A460="","",IF($AP460&lt;&gt;"",INDEX(Raw_D1!$I$2:$I$1001,$AP460),IF($AR460&lt;&gt;"",INDEX(Raw_D3!$I$2:$I$1001,$AR460),"")))</f>
        <v>3</v>
      </c>
      <c r="J460" s="16">
        <f>IF($A460="","",IF($AP460&lt;&gt;"",INDEX(Raw_D1!$J$2:$J$1001,$AP460),IF($AR460&lt;&gt;"",INDEX(Raw_D3!$J$2:$J$1001,$AR460),"")))</f>
        <v>0.22</v>
      </c>
      <c r="K460" s="17">
        <f>IF($A460="","",IF($AQ460&lt;&gt;"",IF(INDEX(Raw_D2!$C$2:$C$1001,$AQ460)="","",INDEX(Raw_D2!$C$2:$C$1001,$AQ460)),IF($AR460&lt;&gt;"",IF(INDEX(Raw_D3!$K$2:$K$1001,$AR460)="","",INDEX(Raw_D3!$K$2:$K$1001,$AR460)),"")))</f>
        <v>0.2121</v>
      </c>
      <c r="L460" s="16">
        <f>IF($A460="","",IF($AQ460&lt;&gt;"",IF(INDEX(Raw_D2!$D$2:$D$1001,$AQ460)="","",INDEX(Raw_D2!$D$2:$D$1001,$AQ460)),IF($AR460&lt;&gt;"",IF(INDEX(Raw_D3!$L$2:$L$1001,$AR460)="","",INDEX(Raw_D3!$L$2:$L$1001,$AR460)),"")))</f>
        <v>0.8</v>
      </c>
      <c r="M460" s="17">
        <f>IF($A460="","",IF($AQ460&lt;&gt;"",IF(INDEX(Raw_D2!$E$2:$E$1001,$AQ460)="","",INDEX(Raw_D2!$E$2:$E$1001,$AQ460)),IF($AR460&lt;&gt;"",IF(INDEX(Raw_D3!$M$2:$M$1001,$AR460)="","",INDEX(Raw_D3!$M$2:$M$1001,$AR460)),"")))</f>
        <v>0.2985</v>
      </c>
      <c r="N460" s="5">
        <f>IF($A460="","",IF($AQ460&lt;&gt;"",IF(INDEX(Raw_D2!$F$2:$F$1001,$AQ460)="","",INDEX(Raw_D2!$F$2:$F$1001,$AQ460)),IF($AR460&lt;&gt;"",IF(INDEX(Raw_D3!$N$2:$N$1001,$AR460)="","",INDEX(Raw_D3!$N$2:$N$1001,$AR460)),"")))</f>
        <v>0</v>
      </c>
      <c r="O460" s="5">
        <f>IF($A460="","",IF($AQ460&lt;&gt;"",IF(INDEX(Raw_D2!$G$2:$G$1001,$AQ460)="","",INDEX(Raw_D2!$G$2:$G$1001,$AQ460)),IF($AR460&lt;&gt;"",IF(INDEX(Raw_D3!$O$2:$O$1001,$AR460)="","",INDEX(Raw_D3!$O$2:$O$1001,$AR460)),"")))</f>
        <v>1</v>
      </c>
      <c r="P460" s="5">
        <f>IF($A460="","",IF($AQ460&lt;&gt;"",IF(INDEX(Raw_D2!$H$2:$H$1001,$AQ460)="","",INDEX(Raw_D2!$H$2:$H$1001,$AQ460)),IF($AR460&lt;&gt;"",IF(INDEX(Raw_D3!$P$2:$P$1001,$AR460)="","",INDEX(Raw_D3!$P$2:$P$1001,$AR460)),"")))</f>
        <v>1</v>
      </c>
      <c r="Q460" s="5" t="str">
        <f>IF($A460="","",IF(AND($AP460&lt;&gt;"",$AQ460&lt;&gt;""),"D1+D2",IF($AR460&lt;&gt;"","D3","Incomplete")))</f>
        <v>D1+D2</v>
      </c>
      <c r="R460" s="17">
        <f>IF($A460="","",IF($K460="",IF($J460="","",ROUND(Lookups!$K$5+Lookups!$K$4*$J460,4)),$K460))</f>
        <v>0.2121</v>
      </c>
      <c r="S460" s="5" t="str">
        <f>IF($A460="","",IF($K460="","Imputed","Original"))</f>
        <v>Original</v>
      </c>
      <c r="T460" s="5" t="str">
        <f>IF($A460="","",IF($P460="","Missing",IF($P460=$N460+$O460,"OK","Mismatch")))</f>
        <v>OK</v>
      </c>
      <c r="U460" s="5" t="str">
        <f>IF($A460="","",IF(COUNTIF($A$2:$A460,$A460)&gt;1,"Duplicate","Unique"))</f>
        <v>Unique</v>
      </c>
      <c r="V460" s="5">
        <f>IF($A460="","",IF(AND($U460="Unique",ISNUMBER($P460)),1,0))</f>
        <v>1</v>
      </c>
      <c r="W460" s="5" t="str">
        <f>IF($A460="","",IF(OR($H460=0,$H460=6),"Weekend","Weekday"))</f>
        <v>Weekday</v>
      </c>
      <c r="X460" s="5" t="str">
        <f>IF($A460="","",TEXT($B460,"ddd"))</f>
        <v>Fri</v>
      </c>
      <c r="Y460" s="5" t="str">
        <f>IF($A460="","",TEXT($B460,"mmm"))</f>
        <v>Jan</v>
      </c>
      <c r="Z460" s="5" t="str">
        <f>IF($A460="","",IFERROR(VLOOKUP($C460,Lookups!$D$4:$E$7,2,FALSE),"Unknown"))</f>
        <v>Winter</v>
      </c>
      <c r="AA460" s="5" t="str">
        <f>IF($A460="","",IFERROR(VLOOKUP($I460,Lookups!$A$4:$B$7,2,FALSE),"Unknown"))</f>
        <v>Light Rain/Snow</v>
      </c>
      <c r="AB460" s="5" t="str">
        <f>IF($A460="","",TEXT($F460,"00")&amp;":00")</f>
        <v>03:00</v>
      </c>
      <c r="AC460" s="5" t="str">
        <f>IF($A460="","",VLOOKUP($F460,Lookups!$G$4:$H$8,2,TRUE))</f>
        <v>Night (00-05)</v>
      </c>
      <c r="AD460" s="18">
        <f>IF($A460="","",IF($J460="","",ROUND($J460*41,1)))</f>
        <v>9</v>
      </c>
      <c r="AE460" s="18">
        <f>IF($A460="","",IF($R460="","",ROUND($R460*50,1)))</f>
        <v>10.6</v>
      </c>
      <c r="AF460" s="5">
        <f>IF($A460="","",IF($L460="","",ROUND($L460*100,0)))</f>
        <v>80</v>
      </c>
      <c r="AG460" s="18">
        <f>IF($A460="","",IF($M460="","",ROUND($M460*67,1)))</f>
        <v>20</v>
      </c>
      <c r="AH460" s="19">
        <f>IF($A460="","",IF($P460="","",IF($P460=0,0,$O460/$P460)))</f>
        <v>1</v>
      </c>
      <c r="AI460" s="5" t="str">
        <f>IF($A460="","",IF($P460="","",IF($P460&gt;=Lookups!$K$7,"High",IF($P460&lt;=Lookups!$K$8,"Low","Medium"))))</f>
        <v>Low</v>
      </c>
      <c r="AJ460" s="5" t="str">
        <f>IF($A460="","",IF($AD460="","",IF($AD460&lt;5,"Under 5 C",IF($AD460&lt;10,"5-10 C",IF($AD460&lt;15,"10-15 C","15 C and above")))))</f>
        <v>5-10 C</v>
      </c>
      <c r="AK460" s="5">
        <f>IF($A460="","",IF($P460="","",$P460^2))</f>
        <v>1</v>
      </c>
      <c r="AL460" s="18">
        <f>IF($V460&lt;&gt;1,"",AVERAGEIFS(Clean_Data!$P$2:$P$1001,Clean_Data!$F$2:$F$1001,$F460,Clean_Data!$W$2:$W$1001,$W460,Clean_Data!$V$2:$V$1001,1))</f>
        <v>1.41176470588235</v>
      </c>
      <c r="AM460" s="16">
        <f>IF($V460&lt;&gt;1,"",IFERROR(($P460-$AL460)/SQRT(MAX(0,(SUMIFS(Clean_Data!$AK$2:$AK$1001,Clean_Data!$F$2:$F$1001,$F460,Clean_Data!$W$2:$W$1001,$W460,Clean_Data!$V$2:$V$1001,1)-COUNTIFS(Clean_Data!$F$2:$F$1001,$F460,Clean_Data!$W$2:$W$1001,$W460,Clean_Data!$V$2:$V$1001,1)*$AL460^2)/(COUNTIFS(Clean_Data!$F$2:$F$1001,$F460,Clean_Data!$W$2:$W$1001,$W460,Clean_Data!$V$2:$V$1001,1)-1))),""))</f>
        <v>-0.665912091816292</v>
      </c>
      <c r="AN460" s="5" t="str">
        <f>IF($AM460="","",IF($AM460&gt;=Lookups!$K$6,"High spike",IF($AM460&lt;=-Lookups!$K$6,"Unusual low","Normal")))</f>
        <v>Normal</v>
      </c>
      <c r="AO460" s="20">
        <f>IF($V460&lt;&gt;1,"",$P460+ROW()/100000)</f>
        <v>1.0046</v>
      </c>
      <c r="AP460" s="5">
        <f>IF($A460="","",IFERROR(MATCH($A460,Raw_D1!$A$2:$A$1001,0),""))</f>
        <v>459</v>
      </c>
      <c r="AQ460" s="5">
        <f>IF($A460="","",IFERROR(MATCH($A460,Raw_D2!$B$2:$B$1001,0),""))</f>
        <v>459</v>
      </c>
      <c r="AR460" s="5">
        <f>IF($A460="","",IFERROR(MATCH($A460,Raw_D3!$A$2:$A$1001,0),""))</f>
        <v/>
      </c>
    </row>
    <row r="461" spans="1:44" x14ac:dyDescent="0.25">
      <c r="A461" s="5">
        <v>460</v>
      </c>
      <c r="B461" s="11">
        <f>IF($A461="","",IF($AP461&lt;&gt;"",INDEX(Raw_D1!$B$2:$B$1001,$AP461),IF($AR461&lt;&gt;"",INDEX(Raw_D3!$B$2:$B$1001,$AR461),"")))</f>
        <v>40564.0</v>
      </c>
      <c r="C461" s="5">
        <f>IF($A461="","",IF($AP461&lt;&gt;"",INDEX(Raw_D1!$C$2:$C$1001,$AP461),IF($AR461&lt;&gt;"",INDEX(Raw_D3!$C$2:$C$1001,$AR461),"")))</f>
        <v>1</v>
      </c>
      <c r="D461" s="5">
        <f>IF($A461="","",IF($AP461&lt;&gt;"",INDEX(Raw_D1!$D$2:$D$1001,$AP461),IF($AR461&lt;&gt;"",INDEX(Raw_D3!$D$2:$D$1001,$AR461),"")))</f>
        <v>0</v>
      </c>
      <c r="E461" s="5">
        <f>IF($A461="","",IF($AP461&lt;&gt;"",INDEX(Raw_D1!$E$2:$E$1001,$AP461),IF($AR461&lt;&gt;"",INDEX(Raw_D3!$E$2:$E$1001,$AR461),"")))</f>
        <v>1</v>
      </c>
      <c r="F461" s="5">
        <f>IF($A461="","",IF($AP461&lt;&gt;"",INDEX(Raw_D1!$F$2:$F$1001,$AP461),IF($AR461&lt;&gt;"",INDEX(Raw_D3!$F$2:$F$1001,$AR461),"")))</f>
        <v>4</v>
      </c>
      <c r="G461" s="5">
        <f>IF($A461="","",IF($AP461&lt;&gt;"",IF(INDEX(Raw_D1!$G$2:$G$1001,$AP461),1,0),IF($AR461&lt;&gt;"",IF(INDEX(Raw_D3!$G$2:$G$1001,$AR461),1,0),"")))</f>
        <v>0</v>
      </c>
      <c r="H461" s="5">
        <f>IF($A461="","",IF($AP461&lt;&gt;"",INDEX(Raw_D1!$H$2:$H$1001,$AP461),IF($AR461&lt;&gt;"",INDEX(Raw_D3!$H$2:$H$1001,$AR461),"")))</f>
        <v>5</v>
      </c>
      <c r="I461" s="5">
        <f>IF($A461="","",IF($AP461&lt;&gt;"",INDEX(Raw_D1!$I$2:$I$1001,$AP461),IF($AR461&lt;&gt;"",INDEX(Raw_D3!$I$2:$I$1001,$AR461),"")))</f>
        <v>2</v>
      </c>
      <c r="J461" s="16">
        <f>IF($A461="","",IF($AP461&lt;&gt;"",INDEX(Raw_D1!$J$2:$J$1001,$AP461),IF($AR461&lt;&gt;"",INDEX(Raw_D3!$J$2:$J$1001,$AR461),"")))</f>
        <v>0.22</v>
      </c>
      <c r="K461" s="17">
        <f>IF($A461="","",IF($AQ461&lt;&gt;"",IF(INDEX(Raw_D2!$C$2:$C$1001,$AQ461)="","",INDEX(Raw_D2!$C$2:$C$1001,$AQ461)),IF($AR461&lt;&gt;"",IF(INDEX(Raw_D3!$K$2:$K$1001,$AR461)="","",INDEX(Raw_D3!$K$2:$K$1001,$AR461)),"")))</f>
        <v>0.2576</v>
      </c>
      <c r="L461" s="16">
        <f>IF($A461="","",IF($AQ461&lt;&gt;"",IF(INDEX(Raw_D2!$D$2:$D$1001,$AQ461)="","",INDEX(Raw_D2!$D$2:$D$1001,$AQ461)),IF($AR461&lt;&gt;"",IF(INDEX(Raw_D3!$L$2:$L$1001,$AR461)="","",INDEX(Raw_D3!$L$2:$L$1001,$AR461)),"")))</f>
        <v>0.87</v>
      </c>
      <c r="M461" s="17">
        <f>IF($A461="","",IF($AQ461&lt;&gt;"",IF(INDEX(Raw_D2!$E$2:$E$1001,$AQ461)="","",INDEX(Raw_D2!$E$2:$E$1001,$AQ461)),IF($AR461&lt;&gt;"",IF(INDEX(Raw_D3!$M$2:$M$1001,$AR461)="","",INDEX(Raw_D3!$M$2:$M$1001,$AR461)),"")))</f>
        <v>0.0896</v>
      </c>
      <c r="N461" s="5">
        <f>IF($A461="","",IF($AQ461&lt;&gt;"",IF(INDEX(Raw_D2!$F$2:$F$1001,$AQ461)="","",INDEX(Raw_D2!$F$2:$F$1001,$AQ461)),IF($AR461&lt;&gt;"",IF(INDEX(Raw_D3!$N$2:$N$1001,$AR461)="","",INDEX(Raw_D3!$N$2:$N$1001,$AR461)),"")))</f>
        <v>0</v>
      </c>
      <c r="O461" s="5">
        <f>IF($A461="","",IF($AQ461&lt;&gt;"",IF(INDEX(Raw_D2!$G$2:$G$1001,$AQ461)="","",INDEX(Raw_D2!$G$2:$G$1001,$AQ461)),IF($AR461&lt;&gt;"",IF(INDEX(Raw_D3!$O$2:$O$1001,$AR461)="","",INDEX(Raw_D3!$O$2:$O$1001,$AR461)),"")))</f>
        <v>1</v>
      </c>
      <c r="P461" s="5">
        <f>IF($A461="","",IF($AQ461&lt;&gt;"",IF(INDEX(Raw_D2!$H$2:$H$1001,$AQ461)="","",INDEX(Raw_D2!$H$2:$H$1001,$AQ461)),IF($AR461&lt;&gt;"",IF(INDEX(Raw_D3!$P$2:$P$1001,$AR461)="","",INDEX(Raw_D3!$P$2:$P$1001,$AR461)),"")))</f>
        <v>1</v>
      </c>
      <c r="Q461" s="5" t="str">
        <f>IF($A461="","",IF(AND($AP461&lt;&gt;"",$AQ461&lt;&gt;""),"D1+D2",IF($AR461&lt;&gt;"","D3","Incomplete")))</f>
        <v>D1+D2</v>
      </c>
      <c r="R461" s="17">
        <f>IF($A461="","",IF($K461="",IF($J461="","",ROUND(Lookups!$K$5+Lookups!$K$4*$J461,4)),$K461))</f>
        <v>0.2576</v>
      </c>
      <c r="S461" s="5" t="str">
        <f>IF($A461="","",IF($K461="","Imputed","Original"))</f>
        <v>Original</v>
      </c>
      <c r="T461" s="5" t="str">
        <f>IF($A461="","",IF($P461="","Missing",IF($P461=$N461+$O461,"OK","Mismatch")))</f>
        <v>OK</v>
      </c>
      <c r="U461" s="5" t="str">
        <f>IF($A461="","",IF(COUNTIF($A$2:$A461,$A461)&gt;1,"Duplicate","Unique"))</f>
        <v>Unique</v>
      </c>
      <c r="V461" s="5">
        <f>IF($A461="","",IF(AND($U461="Unique",ISNUMBER($P461)),1,0))</f>
        <v>1</v>
      </c>
      <c r="W461" s="5" t="str">
        <f>IF($A461="","",IF(OR($H461=0,$H461=6),"Weekend","Weekday"))</f>
        <v>Weekday</v>
      </c>
      <c r="X461" s="5" t="str">
        <f>IF($A461="","",TEXT($B461,"ddd"))</f>
        <v>Fri</v>
      </c>
      <c r="Y461" s="5" t="str">
        <f>IF($A461="","",TEXT($B461,"mmm"))</f>
        <v>Jan</v>
      </c>
      <c r="Z461" s="5" t="str">
        <f>IF($A461="","",IFERROR(VLOOKUP($C461,Lookups!$D$4:$E$7,2,FALSE),"Unknown"))</f>
        <v>Winter</v>
      </c>
      <c r="AA461" s="5" t="str">
        <f>IF($A461="","",IFERROR(VLOOKUP($I461,Lookups!$A$4:$B$7,2,FALSE),"Unknown"))</f>
        <v>Mist/Cloudy</v>
      </c>
      <c r="AB461" s="5" t="str">
        <f>IF($A461="","",TEXT($F461,"00")&amp;":00")</f>
        <v>04:00</v>
      </c>
      <c r="AC461" s="5" t="str">
        <f>IF($A461="","",VLOOKUP($F461,Lookups!$G$4:$H$8,2,TRUE))</f>
        <v>Night (00-05)</v>
      </c>
      <c r="AD461" s="18">
        <f>IF($A461="","",IF($J461="","",ROUND($J461*41,1)))</f>
        <v>9</v>
      </c>
      <c r="AE461" s="18">
        <f>IF($A461="","",IF($R461="","",ROUND($R461*50,1)))</f>
        <v>12.9</v>
      </c>
      <c r="AF461" s="5">
        <f>IF($A461="","",IF($L461="","",ROUND($L461*100,0)))</f>
        <v>87</v>
      </c>
      <c r="AG461" s="18">
        <f>IF($A461="","",IF($M461="","",ROUND($M461*67,1)))</f>
        <v>6</v>
      </c>
      <c r="AH461" s="19">
        <f>IF($A461="","",IF($P461="","",IF($P461=0,0,$O461/$P461)))</f>
        <v>1</v>
      </c>
      <c r="AI461" s="5" t="str">
        <f>IF($A461="","",IF($P461="","",IF($P461&gt;=Lookups!$K$7,"High",IF($P461&lt;=Lookups!$K$8,"Low","Medium"))))</f>
        <v>Low</v>
      </c>
      <c r="AJ461" s="5" t="str">
        <f>IF($A461="","",IF($AD461="","",IF($AD461&lt;5,"Under 5 C",IF($AD461&lt;10,"5-10 C",IF($AD461&lt;15,"10-15 C","15 C and above")))))</f>
        <v>5-10 C</v>
      </c>
      <c r="AK461" s="5">
        <f>IF($A461="","",IF($P461="","",$P461^2))</f>
        <v>1</v>
      </c>
      <c r="AL461" s="18">
        <f>IF($V461&lt;&gt;1,"",AVERAGEIFS(Clean_Data!$P$2:$P$1001,Clean_Data!$F$2:$F$1001,$F461,Clean_Data!$W$2:$W$1001,$W461,Clean_Data!$V$2:$V$1001,1))</f>
        <v>1.78947368421053</v>
      </c>
      <c r="AM461" s="16">
        <f>IF($V461&lt;&gt;1,"",IFERROR(($P461-$AL461)/SQRT(MAX(0,(SUMIFS(Clean_Data!$AK$2:$AK$1001,Clean_Data!$F$2:$F$1001,$F461,Clean_Data!$W$2:$W$1001,$W461,Clean_Data!$V$2:$V$1001,1)-COUNTIFS(Clean_Data!$F$2:$F$1001,$F461,Clean_Data!$W$2:$W$1001,$W461,Clean_Data!$V$2:$V$1001,1)*$AL461^2)/(COUNTIFS(Clean_Data!$F$2:$F$1001,$F461,Clean_Data!$W$2:$W$1001,$W461,Clean_Data!$V$2:$V$1001,1)-1))),""))</f>
        <v>-0.860309002014607</v>
      </c>
      <c r="AN461" s="5" t="str">
        <f>IF($AM461="","",IF($AM461&gt;=Lookups!$K$6,"High spike",IF($AM461&lt;=-Lookups!$K$6,"Unusual low","Normal")))</f>
        <v>Normal</v>
      </c>
      <c r="AO461" s="20">
        <f>IF($V461&lt;&gt;1,"",$P461+ROW()/100000)</f>
        <v>1.00461</v>
      </c>
      <c r="AP461" s="5">
        <f>IF($A461="","",IFERROR(MATCH($A461,Raw_D1!$A$2:$A$1001,0),""))</f>
        <v>460</v>
      </c>
      <c r="AQ461" s="5">
        <f>IF($A461="","",IFERROR(MATCH($A461,Raw_D2!$B$2:$B$1001,0),""))</f>
        <v>460</v>
      </c>
      <c r="AR461" s="5">
        <f>IF($A461="","",IFERROR(MATCH($A461,Raw_D3!$A$2:$A$1001,0),""))</f>
        <v/>
      </c>
    </row>
    <row r="462" spans="1:44" x14ac:dyDescent="0.25">
      <c r="A462" s="5">
        <v>461</v>
      </c>
      <c r="B462" s="11">
        <f>IF($A462="","",IF($AP462&lt;&gt;"",INDEX(Raw_D1!$B$2:$B$1001,$AP462),IF($AR462&lt;&gt;"",INDEX(Raw_D3!$B$2:$B$1001,$AR462),"")))</f>
        <v>40564.0</v>
      </c>
      <c r="C462" s="5">
        <f>IF($A462="","",IF($AP462&lt;&gt;"",INDEX(Raw_D1!$C$2:$C$1001,$AP462),IF($AR462&lt;&gt;"",INDEX(Raw_D3!$C$2:$C$1001,$AR462),"")))</f>
        <v>1</v>
      </c>
      <c r="D462" s="5">
        <f>IF($A462="","",IF($AP462&lt;&gt;"",INDEX(Raw_D1!$D$2:$D$1001,$AP462),IF($AR462&lt;&gt;"",INDEX(Raw_D3!$D$2:$D$1001,$AR462),"")))</f>
        <v>0</v>
      </c>
      <c r="E462" s="5">
        <f>IF($A462="","",IF($AP462&lt;&gt;"",INDEX(Raw_D1!$E$2:$E$1001,$AP462),IF($AR462&lt;&gt;"",INDEX(Raw_D3!$E$2:$E$1001,$AR462),"")))</f>
        <v>1</v>
      </c>
      <c r="F462" s="5">
        <f>IF($A462="","",IF($AP462&lt;&gt;"",INDEX(Raw_D1!$F$2:$F$1001,$AP462),IF($AR462&lt;&gt;"",INDEX(Raw_D3!$F$2:$F$1001,$AR462),"")))</f>
        <v>5</v>
      </c>
      <c r="G462" s="5">
        <f>IF($A462="","",IF($AP462&lt;&gt;"",IF(INDEX(Raw_D1!$G$2:$G$1001,$AP462),1,0),IF($AR462&lt;&gt;"",IF(INDEX(Raw_D3!$G$2:$G$1001,$AR462),1,0),"")))</f>
        <v>0</v>
      </c>
      <c r="H462" s="5">
        <f>IF($A462="","",IF($AP462&lt;&gt;"",INDEX(Raw_D1!$H$2:$H$1001,$AP462),IF($AR462&lt;&gt;"",INDEX(Raw_D3!$H$2:$H$1001,$AR462),"")))</f>
        <v>5</v>
      </c>
      <c r="I462" s="5">
        <f>IF($A462="","",IF($AP462&lt;&gt;"",INDEX(Raw_D1!$I$2:$I$1001,$AP462),IF($AR462&lt;&gt;"",INDEX(Raw_D3!$I$2:$I$1001,$AR462),"")))</f>
        <v>1</v>
      </c>
      <c r="J462" s="16">
        <f>IF($A462="","",IF($AP462&lt;&gt;"",INDEX(Raw_D1!$J$2:$J$1001,$AP462),IF($AR462&lt;&gt;"",INDEX(Raw_D3!$J$2:$J$1001,$AR462),"")))</f>
        <v>0.24</v>
      </c>
      <c r="K462" s="17">
        <f>IF($A462="","",IF($AQ462&lt;&gt;"",IF(INDEX(Raw_D2!$C$2:$C$1001,$AQ462)="","",INDEX(Raw_D2!$C$2:$C$1001,$AQ462)),IF($AR462&lt;&gt;"",IF(INDEX(Raw_D3!$K$2:$K$1001,$AR462)="","",INDEX(Raw_D3!$K$2:$K$1001,$AR462)),"")))</f>
        <v>0.197</v>
      </c>
      <c r="L462" s="16">
        <f>IF($A462="","",IF($AQ462&lt;&gt;"",IF(INDEX(Raw_D2!$D$2:$D$1001,$AQ462)="","",INDEX(Raw_D2!$D$2:$D$1001,$AQ462)),IF($AR462&lt;&gt;"",IF(INDEX(Raw_D3!$L$2:$L$1001,$AR462)="","",INDEX(Raw_D3!$L$2:$L$1001,$AR462)),"")))</f>
        <v>0.6</v>
      </c>
      <c r="M462" s="17">
        <f>IF($A462="","",IF($AQ462&lt;&gt;"",IF(INDEX(Raw_D2!$E$2:$E$1001,$AQ462)="","",INDEX(Raw_D2!$E$2:$E$1001,$AQ462)),IF($AR462&lt;&gt;"",IF(INDEX(Raw_D3!$M$2:$M$1001,$AR462)="","",INDEX(Raw_D3!$M$2:$M$1001,$AR462)),"")))</f>
        <v>0.4179</v>
      </c>
      <c r="N462" s="5">
        <f>IF($A462="","",IF($AQ462&lt;&gt;"",IF(INDEX(Raw_D2!$F$2:$F$1001,$AQ462)="","",INDEX(Raw_D2!$F$2:$F$1001,$AQ462)),IF($AR462&lt;&gt;"",IF(INDEX(Raw_D3!$N$2:$N$1001,$AR462)="","",INDEX(Raw_D3!$N$2:$N$1001,$AR462)),"")))</f>
        <v>1</v>
      </c>
      <c r="O462" s="5">
        <f>IF($A462="","",IF($AQ462&lt;&gt;"",IF(INDEX(Raw_D2!$G$2:$G$1001,$AQ462)="","",INDEX(Raw_D2!$G$2:$G$1001,$AQ462)),IF($AR462&lt;&gt;"",IF(INDEX(Raw_D3!$O$2:$O$1001,$AR462)="","",INDEX(Raw_D3!$O$2:$O$1001,$AR462)),"")))</f>
        <v>4</v>
      </c>
      <c r="P462" s="5">
        <f>IF($A462="","",IF($AQ462&lt;&gt;"",IF(INDEX(Raw_D2!$H$2:$H$1001,$AQ462)="","",INDEX(Raw_D2!$H$2:$H$1001,$AQ462)),IF($AR462&lt;&gt;"",IF(INDEX(Raw_D3!$P$2:$P$1001,$AR462)="","",INDEX(Raw_D3!$P$2:$P$1001,$AR462)),"")))</f>
        <v>5</v>
      </c>
      <c r="Q462" s="5" t="str">
        <f>IF($A462="","",IF(AND($AP462&lt;&gt;"",$AQ462&lt;&gt;""),"D1+D2",IF($AR462&lt;&gt;"","D3","Incomplete")))</f>
        <v>D1+D2</v>
      </c>
      <c r="R462" s="17">
        <f>IF($A462="","",IF($K462="",IF($J462="","",ROUND(Lookups!$K$5+Lookups!$K$4*$J462,4)),$K462))</f>
        <v>0.197</v>
      </c>
      <c r="S462" s="5" t="str">
        <f>IF($A462="","",IF($K462="","Imputed","Original"))</f>
        <v>Original</v>
      </c>
      <c r="T462" s="5" t="str">
        <f>IF($A462="","",IF($P462="","Missing",IF($P462=$N462+$O462,"OK","Mismatch")))</f>
        <v>OK</v>
      </c>
      <c r="U462" s="5" t="str">
        <f>IF($A462="","",IF(COUNTIF($A$2:$A462,$A462)&gt;1,"Duplicate","Unique"))</f>
        <v>Unique</v>
      </c>
      <c r="V462" s="5">
        <f>IF($A462="","",IF(AND($U462="Unique",ISNUMBER($P462)),1,0))</f>
        <v>1</v>
      </c>
      <c r="W462" s="5" t="str">
        <f>IF($A462="","",IF(OR($H462=0,$H462=6),"Weekend","Weekday"))</f>
        <v>Weekday</v>
      </c>
      <c r="X462" s="5" t="str">
        <f>IF($A462="","",TEXT($B462,"ddd"))</f>
        <v>Fri</v>
      </c>
      <c r="Y462" s="5" t="str">
        <f>IF($A462="","",TEXT($B462,"mmm"))</f>
        <v>Jan</v>
      </c>
      <c r="Z462" s="5" t="str">
        <f>IF($A462="","",IFERROR(VLOOKUP($C462,Lookups!$D$4:$E$7,2,FALSE),"Unknown"))</f>
        <v>Winter</v>
      </c>
      <c r="AA462" s="5" t="str">
        <f>IF($A462="","",IFERROR(VLOOKUP($I462,Lookups!$A$4:$B$7,2,FALSE),"Unknown"))</f>
        <v>Clear</v>
      </c>
      <c r="AB462" s="5" t="str">
        <f>IF($A462="","",TEXT($F462,"00")&amp;":00")</f>
        <v>05:00</v>
      </c>
      <c r="AC462" s="5" t="str">
        <f>IF($A462="","",VLOOKUP($F462,Lookups!$G$4:$H$8,2,TRUE))</f>
        <v>Night (00-05)</v>
      </c>
      <c r="AD462" s="18">
        <f>IF($A462="","",IF($J462="","",ROUND($J462*41,1)))</f>
        <v>9.8</v>
      </c>
      <c r="AE462" s="18">
        <f>IF($A462="","",IF($R462="","",ROUND($R462*50,1)))</f>
        <v>9.9</v>
      </c>
      <c r="AF462" s="5">
        <f>IF($A462="","",IF($L462="","",ROUND($L462*100,0)))</f>
        <v>60</v>
      </c>
      <c r="AG462" s="18">
        <f>IF($A462="","",IF($M462="","",ROUND($M462*67,1)))</f>
        <v>28</v>
      </c>
      <c r="AH462" s="19">
        <f>IF($A462="","",IF($P462="","",IF($P462=0,0,$O462/$P462)))</f>
        <v>0.8</v>
      </c>
      <c r="AI462" s="5" t="str">
        <f>IF($A462="","",IF($P462="","",IF($P462&gt;=Lookups!$K$7,"High",IF($P462&lt;=Lookups!$K$8,"Low","Medium"))))</f>
        <v>Low</v>
      </c>
      <c r="AJ462" s="5" t="str">
        <f>IF($A462="","",IF($AD462="","",IF($AD462&lt;5,"Under 5 C",IF($AD462&lt;10,"5-10 C",IF($AD462&lt;15,"10-15 C","15 C and above")))))</f>
        <v>5-10 C</v>
      </c>
      <c r="AK462" s="5">
        <f>IF($A462="","",IF($P462="","",$P462^2))</f>
        <v>25</v>
      </c>
      <c r="AL462" s="18">
        <f>IF($V462&lt;&gt;1,"",AVERAGEIFS(Clean_Data!$P$2:$P$1001,Clean_Data!$F$2:$F$1001,$F462,Clean_Data!$W$2:$W$1001,$W462,Clean_Data!$V$2:$V$1001,1))</f>
        <v>4.72413793103448</v>
      </c>
      <c r="AM462" s="16">
        <f>IF($V462&lt;&gt;1,"",IFERROR(($P462-$AL462)/SQRT(MAX(0,(SUMIFS(Clean_Data!$AK$2:$AK$1001,Clean_Data!$F$2:$F$1001,$F462,Clean_Data!$W$2:$W$1001,$W462,Clean_Data!$V$2:$V$1001,1)-COUNTIFS(Clean_Data!$F$2:$F$1001,$F462,Clean_Data!$W$2:$W$1001,$W462,Clean_Data!$V$2:$V$1001,1)*$AL462^2)/(COUNTIFS(Clean_Data!$F$2:$F$1001,$F462,Clean_Data!$W$2:$W$1001,$W462,Clean_Data!$V$2:$V$1001,1)-1))),""))</f>
        <v>0.117707076805546</v>
      </c>
      <c r="AN462" s="5" t="str">
        <f>IF($AM462="","",IF($AM462&gt;=Lookups!$K$6,"High spike",IF($AM462&lt;=-Lookups!$K$6,"Unusual low","Normal")))</f>
        <v>Normal</v>
      </c>
      <c r="AO462" s="20">
        <f>IF($V462&lt;&gt;1,"",$P462+ROW()/100000)</f>
        <v>5.00462</v>
      </c>
      <c r="AP462" s="5">
        <f>IF($A462="","",IFERROR(MATCH($A462,Raw_D1!$A$2:$A$1001,0),""))</f>
        <v>461</v>
      </c>
      <c r="AQ462" s="5">
        <f>IF($A462="","",IFERROR(MATCH($A462,Raw_D2!$B$2:$B$1001,0),""))</f>
        <v>461</v>
      </c>
      <c r="AR462" s="5">
        <f>IF($A462="","",IFERROR(MATCH($A462,Raw_D3!$A$2:$A$1001,0),""))</f>
        <v/>
      </c>
    </row>
    <row r="463" spans="1:44" x14ac:dyDescent="0.25">
      <c r="A463" s="5">
        <v>462</v>
      </c>
      <c r="B463" s="11">
        <f>IF($A463="","",IF($AP463&lt;&gt;"",INDEX(Raw_D1!$B$2:$B$1001,$AP463),IF($AR463&lt;&gt;"",INDEX(Raw_D3!$B$2:$B$1001,$AR463),"")))</f>
        <v>40564.0</v>
      </c>
      <c r="C463" s="5">
        <f>IF($A463="","",IF($AP463&lt;&gt;"",INDEX(Raw_D1!$C$2:$C$1001,$AP463),IF($AR463&lt;&gt;"",INDEX(Raw_D3!$C$2:$C$1001,$AR463),"")))</f>
        <v>1</v>
      </c>
      <c r="D463" s="5">
        <f>IF($A463="","",IF($AP463&lt;&gt;"",INDEX(Raw_D1!$D$2:$D$1001,$AP463),IF($AR463&lt;&gt;"",INDEX(Raw_D3!$D$2:$D$1001,$AR463),"")))</f>
        <v>0</v>
      </c>
      <c r="E463" s="5">
        <f>IF($A463="","",IF($AP463&lt;&gt;"",INDEX(Raw_D1!$E$2:$E$1001,$AP463),IF($AR463&lt;&gt;"",INDEX(Raw_D3!$E$2:$E$1001,$AR463),"")))</f>
        <v>1</v>
      </c>
      <c r="F463" s="5">
        <f>IF($A463="","",IF($AP463&lt;&gt;"",INDEX(Raw_D1!$F$2:$F$1001,$AP463),IF($AR463&lt;&gt;"",INDEX(Raw_D3!$F$2:$F$1001,$AR463),"")))</f>
        <v>6</v>
      </c>
      <c r="G463" s="5">
        <f>IF($A463="","",IF($AP463&lt;&gt;"",IF(INDEX(Raw_D1!$G$2:$G$1001,$AP463),1,0),IF($AR463&lt;&gt;"",IF(INDEX(Raw_D3!$G$2:$G$1001,$AR463),1,0),"")))</f>
        <v>0</v>
      </c>
      <c r="H463" s="5">
        <f>IF($A463="","",IF($AP463&lt;&gt;"",INDEX(Raw_D1!$H$2:$H$1001,$AP463),IF($AR463&lt;&gt;"",INDEX(Raw_D3!$H$2:$H$1001,$AR463),"")))</f>
        <v>5</v>
      </c>
      <c r="I463" s="5">
        <f>IF($A463="","",IF($AP463&lt;&gt;"",INDEX(Raw_D1!$I$2:$I$1001,$AP463),IF($AR463&lt;&gt;"",INDEX(Raw_D3!$I$2:$I$1001,$AR463),"")))</f>
        <v>1</v>
      </c>
      <c r="J463" s="16">
        <f>IF($A463="","",IF($AP463&lt;&gt;"",INDEX(Raw_D1!$J$2:$J$1001,$AP463),IF($AR463&lt;&gt;"",INDEX(Raw_D3!$J$2:$J$1001,$AR463),"")))</f>
        <v>0.22</v>
      </c>
      <c r="K463" s="17">
        <f>IF($A463="","",IF($AQ463&lt;&gt;"",IF(INDEX(Raw_D2!$C$2:$C$1001,$AQ463)="","",INDEX(Raw_D2!$C$2:$C$1001,$AQ463)),IF($AR463&lt;&gt;"",IF(INDEX(Raw_D3!$K$2:$K$1001,$AR463)="","",INDEX(Raw_D3!$K$2:$K$1001,$AR463)),"")))</f>
        <v>0.2121</v>
      </c>
      <c r="L463" s="16">
        <f>IF($A463="","",IF($AQ463&lt;&gt;"",IF(INDEX(Raw_D2!$D$2:$D$1001,$AQ463)="","",INDEX(Raw_D2!$D$2:$D$1001,$AQ463)),IF($AR463&lt;&gt;"",IF(INDEX(Raw_D3!$L$2:$L$1001,$AR463)="","",INDEX(Raw_D3!$L$2:$L$1001,$AR463)),"")))</f>
        <v>0.55</v>
      </c>
      <c r="M463" s="17">
        <f>IF($A463="","",IF($AQ463&lt;&gt;"",IF(INDEX(Raw_D2!$E$2:$E$1001,$AQ463)="","",INDEX(Raw_D2!$E$2:$E$1001,$AQ463)),IF($AR463&lt;&gt;"",IF(INDEX(Raw_D3!$M$2:$M$1001,$AR463)="","",INDEX(Raw_D3!$M$2:$M$1001,$AR463)),"")))</f>
        <v>0.2537</v>
      </c>
      <c r="N463" s="5">
        <f>IF($A463="","",IF($AQ463&lt;&gt;"",IF(INDEX(Raw_D2!$F$2:$F$1001,$AQ463)="","",INDEX(Raw_D2!$F$2:$F$1001,$AQ463)),IF($AR463&lt;&gt;"",IF(INDEX(Raw_D3!$N$2:$N$1001,$AR463)="","",INDEX(Raw_D3!$N$2:$N$1001,$AR463)),"")))</f>
        <v>0</v>
      </c>
      <c r="O463" s="5">
        <f>IF($A463="","",IF($AQ463&lt;&gt;"",IF(INDEX(Raw_D2!$G$2:$G$1001,$AQ463)="","",INDEX(Raw_D2!$G$2:$G$1001,$AQ463)),IF($AR463&lt;&gt;"",IF(INDEX(Raw_D3!$O$2:$O$1001,$AR463)="","",INDEX(Raw_D3!$O$2:$O$1001,$AR463)),"")))</f>
        <v>27</v>
      </c>
      <c r="P463" s="5">
        <f>IF($A463="","",IF($AQ463&lt;&gt;"",IF(INDEX(Raw_D2!$H$2:$H$1001,$AQ463)="","",INDEX(Raw_D2!$H$2:$H$1001,$AQ463)),IF($AR463&lt;&gt;"",IF(INDEX(Raw_D3!$P$2:$P$1001,$AR463)="","",INDEX(Raw_D3!$P$2:$P$1001,$AR463)),"")))</f>
        <v>27</v>
      </c>
      <c r="Q463" s="5" t="str">
        <f>IF($A463="","",IF(AND($AP463&lt;&gt;"",$AQ463&lt;&gt;""),"D1+D2",IF($AR463&lt;&gt;"","D3","Incomplete")))</f>
        <v>D1+D2</v>
      </c>
      <c r="R463" s="17">
        <f>IF($A463="","",IF($K463="",IF($J463="","",ROUND(Lookups!$K$5+Lookups!$K$4*$J463,4)),$K463))</f>
        <v>0.2121</v>
      </c>
      <c r="S463" s="5" t="str">
        <f>IF($A463="","",IF($K463="","Imputed","Original"))</f>
        <v>Original</v>
      </c>
      <c r="T463" s="5" t="str">
        <f>IF($A463="","",IF($P463="","Missing",IF($P463=$N463+$O463,"OK","Mismatch")))</f>
        <v>OK</v>
      </c>
      <c r="U463" s="5" t="str">
        <f>IF($A463="","",IF(COUNTIF($A$2:$A463,$A463)&gt;1,"Duplicate","Unique"))</f>
        <v>Unique</v>
      </c>
      <c r="V463" s="5">
        <f>IF($A463="","",IF(AND($U463="Unique",ISNUMBER($P463)),1,0))</f>
        <v>1</v>
      </c>
      <c r="W463" s="5" t="str">
        <f>IF($A463="","",IF(OR($H463=0,$H463=6),"Weekend","Weekday"))</f>
        <v>Weekday</v>
      </c>
      <c r="X463" s="5" t="str">
        <f>IF($A463="","",TEXT($B463,"ddd"))</f>
        <v>Fri</v>
      </c>
      <c r="Y463" s="5" t="str">
        <f>IF($A463="","",TEXT($B463,"mmm"))</f>
        <v>Jan</v>
      </c>
      <c r="Z463" s="5" t="str">
        <f>IF($A463="","",IFERROR(VLOOKUP($C463,Lookups!$D$4:$E$7,2,FALSE),"Unknown"))</f>
        <v>Winter</v>
      </c>
      <c r="AA463" s="5" t="str">
        <f>IF($A463="","",IFERROR(VLOOKUP($I463,Lookups!$A$4:$B$7,2,FALSE),"Unknown"))</f>
        <v>Clear</v>
      </c>
      <c r="AB463" s="5" t="str">
        <f>IF($A463="","",TEXT($F463,"00")&amp;":00")</f>
        <v>06:00</v>
      </c>
      <c r="AC463" s="5" t="str">
        <f>IF($A463="","",VLOOKUP($F463,Lookups!$G$4:$H$8,2,TRUE))</f>
        <v>Morning Peak (06-09)</v>
      </c>
      <c r="AD463" s="18">
        <f>IF($A463="","",IF($J463="","",ROUND($J463*41,1)))</f>
        <v>9</v>
      </c>
      <c r="AE463" s="18">
        <f>IF($A463="","",IF($R463="","",ROUND($R463*50,1)))</f>
        <v>10.6</v>
      </c>
      <c r="AF463" s="5">
        <f>IF($A463="","",IF($L463="","",ROUND($L463*100,0)))</f>
        <v>55</v>
      </c>
      <c r="AG463" s="18">
        <f>IF($A463="","",IF($M463="","",ROUND($M463*67,1)))</f>
        <v>17</v>
      </c>
      <c r="AH463" s="19">
        <f>IF($A463="","",IF($P463="","",IF($P463=0,0,$O463/$P463)))</f>
        <v>1</v>
      </c>
      <c r="AI463" s="5" t="str">
        <f>IF($A463="","",IF($P463="","",IF($P463&gt;=Lookups!$K$7,"High",IF($P463&lt;=Lookups!$K$8,"Low","Medium"))))</f>
        <v>Medium</v>
      </c>
      <c r="AJ463" s="5" t="str">
        <f>IF($A463="","",IF($AD463="","",IF($AD463&lt;5,"Under 5 C",IF($AD463&lt;10,"5-10 C",IF($AD463&lt;15,"10-15 C","15 C and above")))))</f>
        <v>5-10 C</v>
      </c>
      <c r="AK463" s="5">
        <f>IF($A463="","",IF($P463="","",$P463^2))</f>
        <v>729</v>
      </c>
      <c r="AL463" s="18">
        <f>IF($V463&lt;&gt;1,"",AVERAGEIFS(Clean_Data!$P$2:$P$1001,Clean_Data!$F$2:$F$1001,$F463,Clean_Data!$W$2:$W$1001,$W463,Clean_Data!$V$2:$V$1001,1))</f>
        <v>27.3793103448276</v>
      </c>
      <c r="AM463" s="16">
        <f>IF($V463&lt;&gt;1,"",IFERROR(($P463-$AL463)/SQRT(MAX(0,(SUMIFS(Clean_Data!$AK$2:$AK$1001,Clean_Data!$F$2:$F$1001,$F463,Clean_Data!$W$2:$W$1001,$W463,Clean_Data!$V$2:$V$1001,1)-COUNTIFS(Clean_Data!$F$2:$F$1001,$F463,Clean_Data!$W$2:$W$1001,$W463,Clean_Data!$V$2:$V$1001,1)*$AL463^2)/(COUNTIFS(Clean_Data!$F$2:$F$1001,$F463,Clean_Data!$W$2:$W$1001,$W463,Clean_Data!$V$2:$V$1001,1)-1))),""))</f>
        <v>-0.0398186108678031</v>
      </c>
      <c r="AN463" s="5" t="str">
        <f>IF($AM463="","",IF($AM463&gt;=Lookups!$K$6,"High spike",IF($AM463&lt;=-Lookups!$K$6,"Unusual low","Normal")))</f>
        <v>Normal</v>
      </c>
      <c r="AO463" s="20">
        <f>IF($V463&lt;&gt;1,"",$P463+ROW()/100000)</f>
        <v>27.00463</v>
      </c>
      <c r="AP463" s="5">
        <f>IF($A463="","",IFERROR(MATCH($A463,Raw_D1!$A$2:$A$1001,0),""))</f>
        <v>462</v>
      </c>
      <c r="AQ463" s="5">
        <f>IF($A463="","",IFERROR(MATCH($A463,Raw_D2!$B$2:$B$1001,0),""))</f>
        <v>462</v>
      </c>
      <c r="AR463" s="5">
        <f>IF($A463="","",IFERROR(MATCH($A463,Raw_D3!$A$2:$A$1001,0),""))</f>
        <v/>
      </c>
    </row>
    <row r="464" spans="1:44" x14ac:dyDescent="0.25">
      <c r="A464" s="5">
        <v>463</v>
      </c>
      <c r="B464" s="11">
        <f>IF($A464="","",IF($AP464&lt;&gt;"",INDEX(Raw_D1!$B$2:$B$1001,$AP464),IF($AR464&lt;&gt;"",INDEX(Raw_D3!$B$2:$B$1001,$AR464),"")))</f>
        <v>40564.0</v>
      </c>
      <c r="C464" s="5">
        <f>IF($A464="","",IF($AP464&lt;&gt;"",INDEX(Raw_D1!$C$2:$C$1001,$AP464),IF($AR464&lt;&gt;"",INDEX(Raw_D3!$C$2:$C$1001,$AR464),"")))</f>
        <v>1</v>
      </c>
      <c r="D464" s="5">
        <f>IF($A464="","",IF($AP464&lt;&gt;"",INDEX(Raw_D1!$D$2:$D$1001,$AP464),IF($AR464&lt;&gt;"",INDEX(Raw_D3!$D$2:$D$1001,$AR464),"")))</f>
        <v>0</v>
      </c>
      <c r="E464" s="5">
        <f>IF($A464="","",IF($AP464&lt;&gt;"",INDEX(Raw_D1!$E$2:$E$1001,$AP464),IF($AR464&lt;&gt;"",INDEX(Raw_D3!$E$2:$E$1001,$AR464),"")))</f>
        <v>1</v>
      </c>
      <c r="F464" s="5">
        <f>IF($A464="","",IF($AP464&lt;&gt;"",INDEX(Raw_D1!$F$2:$F$1001,$AP464),IF($AR464&lt;&gt;"",INDEX(Raw_D3!$F$2:$F$1001,$AR464),"")))</f>
        <v>7</v>
      </c>
      <c r="G464" s="5">
        <f>IF($A464="","",IF($AP464&lt;&gt;"",IF(INDEX(Raw_D1!$G$2:$G$1001,$AP464),1,0),IF($AR464&lt;&gt;"",IF(INDEX(Raw_D3!$G$2:$G$1001,$AR464),1,0),"")))</f>
        <v>0</v>
      </c>
      <c r="H464" s="5">
        <f>IF($A464="","",IF($AP464&lt;&gt;"",INDEX(Raw_D1!$H$2:$H$1001,$AP464),IF($AR464&lt;&gt;"",INDEX(Raw_D3!$H$2:$H$1001,$AR464),"")))</f>
        <v>5</v>
      </c>
      <c r="I464" s="5">
        <f>IF($A464="","",IF($AP464&lt;&gt;"",INDEX(Raw_D1!$I$2:$I$1001,$AP464),IF($AR464&lt;&gt;"",INDEX(Raw_D3!$I$2:$I$1001,$AR464),"")))</f>
        <v>1</v>
      </c>
      <c r="J464" s="16">
        <f>IF($A464="","",IF($AP464&lt;&gt;"",INDEX(Raw_D1!$J$2:$J$1001,$AP464),IF($AR464&lt;&gt;"",INDEX(Raw_D3!$J$2:$J$1001,$AR464),"")))</f>
        <v>0.2</v>
      </c>
      <c r="K464" s="17">
        <f>IF($A464="","",IF($AQ464&lt;&gt;"",IF(INDEX(Raw_D2!$C$2:$C$1001,$AQ464)="","",INDEX(Raw_D2!$C$2:$C$1001,$AQ464)),IF($AR464&lt;&gt;"",IF(INDEX(Raw_D3!$K$2:$K$1001,$AR464)="","",INDEX(Raw_D3!$K$2:$K$1001,$AR464)),"")))</f>
        <v>0.1818</v>
      </c>
      <c r="L464" s="16">
        <f>IF($A464="","",IF($AQ464&lt;&gt;"",IF(INDEX(Raw_D2!$D$2:$D$1001,$AQ464)="","",INDEX(Raw_D2!$D$2:$D$1001,$AQ464)),IF($AR464&lt;&gt;"",IF(INDEX(Raw_D3!$L$2:$L$1001,$AR464)="","",INDEX(Raw_D3!$L$2:$L$1001,$AR464)),"")))</f>
        <v>0.51</v>
      </c>
      <c r="M464" s="17">
        <f>IF($A464="","",IF($AQ464&lt;&gt;"",IF(INDEX(Raw_D2!$E$2:$E$1001,$AQ464)="","",INDEX(Raw_D2!$E$2:$E$1001,$AQ464)),IF($AR464&lt;&gt;"",IF(INDEX(Raw_D3!$M$2:$M$1001,$AR464)="","",INDEX(Raw_D3!$M$2:$M$1001,$AR464)),"")))</f>
        <v>0.2836</v>
      </c>
      <c r="N464" s="5">
        <f>IF($A464="","",IF($AQ464&lt;&gt;"",IF(INDEX(Raw_D2!$F$2:$F$1001,$AQ464)="","",INDEX(Raw_D2!$F$2:$F$1001,$AQ464)),IF($AR464&lt;&gt;"",IF(INDEX(Raw_D3!$N$2:$N$1001,$AR464)="","",INDEX(Raw_D3!$N$2:$N$1001,$AR464)),"")))</f>
        <v>2</v>
      </c>
      <c r="O464" s="5">
        <f>IF($A464="","",IF($AQ464&lt;&gt;"",IF(INDEX(Raw_D2!$G$2:$G$1001,$AQ464)="","",INDEX(Raw_D2!$G$2:$G$1001,$AQ464)),IF($AR464&lt;&gt;"",IF(INDEX(Raw_D3!$O$2:$O$1001,$AR464)="","",INDEX(Raw_D3!$O$2:$O$1001,$AR464)),"")))</f>
        <v>66</v>
      </c>
      <c r="P464" s="5">
        <f>IF($A464="","",IF($AQ464&lt;&gt;"",IF(INDEX(Raw_D2!$H$2:$H$1001,$AQ464)="","",INDEX(Raw_D2!$H$2:$H$1001,$AQ464)),IF($AR464&lt;&gt;"",IF(INDEX(Raw_D3!$P$2:$P$1001,$AR464)="","",INDEX(Raw_D3!$P$2:$P$1001,$AR464)),"")))</f>
        <v>68</v>
      </c>
      <c r="Q464" s="5" t="str">
        <f>IF($A464="","",IF(AND($AP464&lt;&gt;"",$AQ464&lt;&gt;""),"D1+D2",IF($AR464&lt;&gt;"","D3","Incomplete")))</f>
        <v>D1+D2</v>
      </c>
      <c r="R464" s="17">
        <f>IF($A464="","",IF($K464="",IF($J464="","",ROUND(Lookups!$K$5+Lookups!$K$4*$J464,4)),$K464))</f>
        <v>0.1818</v>
      </c>
      <c r="S464" s="5" t="str">
        <f>IF($A464="","",IF($K464="","Imputed","Original"))</f>
        <v>Original</v>
      </c>
      <c r="T464" s="5" t="str">
        <f>IF($A464="","",IF($P464="","Missing",IF($P464=$N464+$O464,"OK","Mismatch")))</f>
        <v>OK</v>
      </c>
      <c r="U464" s="5" t="str">
        <f>IF($A464="","",IF(COUNTIF($A$2:$A464,$A464)&gt;1,"Duplicate","Unique"))</f>
        <v>Unique</v>
      </c>
      <c r="V464" s="5">
        <f>IF($A464="","",IF(AND($U464="Unique",ISNUMBER($P464)),1,0))</f>
        <v>1</v>
      </c>
      <c r="W464" s="5" t="str">
        <f>IF($A464="","",IF(OR($H464=0,$H464=6),"Weekend","Weekday"))</f>
        <v>Weekday</v>
      </c>
      <c r="X464" s="5" t="str">
        <f>IF($A464="","",TEXT($B464,"ddd"))</f>
        <v>Fri</v>
      </c>
      <c r="Y464" s="5" t="str">
        <f>IF($A464="","",TEXT($B464,"mmm"))</f>
        <v>Jan</v>
      </c>
      <c r="Z464" s="5" t="str">
        <f>IF($A464="","",IFERROR(VLOOKUP($C464,Lookups!$D$4:$E$7,2,FALSE),"Unknown"))</f>
        <v>Winter</v>
      </c>
      <c r="AA464" s="5" t="str">
        <f>IF($A464="","",IFERROR(VLOOKUP($I464,Lookups!$A$4:$B$7,2,FALSE),"Unknown"))</f>
        <v>Clear</v>
      </c>
      <c r="AB464" s="5" t="str">
        <f>IF($A464="","",TEXT($F464,"00")&amp;":00")</f>
        <v>07:00</v>
      </c>
      <c r="AC464" s="5" t="str">
        <f>IF($A464="","",VLOOKUP($F464,Lookups!$G$4:$H$8,2,TRUE))</f>
        <v>Morning Peak (06-09)</v>
      </c>
      <c r="AD464" s="18">
        <f>IF($A464="","",IF($J464="","",ROUND($J464*41,1)))</f>
        <v>8.2</v>
      </c>
      <c r="AE464" s="18">
        <f>IF($A464="","",IF($R464="","",ROUND($R464*50,1)))</f>
        <v>9.1</v>
      </c>
      <c r="AF464" s="5">
        <f>IF($A464="","",IF($L464="","",ROUND($L464*100,0)))</f>
        <v>51</v>
      </c>
      <c r="AG464" s="18">
        <f>IF($A464="","",IF($M464="","",ROUND($M464*67,1)))</f>
        <v>19</v>
      </c>
      <c r="AH464" s="19">
        <f>IF($A464="","",IF($P464="","",IF($P464=0,0,$O464/$P464)))</f>
        <v>0.970588235294118</v>
      </c>
      <c r="AI464" s="5" t="str">
        <f>IF($A464="","",IF($P464="","",IF($P464&gt;=Lookups!$K$7,"High",IF($P464&lt;=Lookups!$K$8,"Low","Medium"))))</f>
        <v>Medium</v>
      </c>
      <c r="AJ464" s="5" t="str">
        <f>IF($A464="","",IF($AD464="","",IF($AD464&lt;5,"Under 5 C",IF($AD464&lt;10,"5-10 C",IF($AD464&lt;15,"10-15 C","15 C and above")))))</f>
        <v>5-10 C</v>
      </c>
      <c r="AK464" s="5">
        <f>IF($A464="","",IF($P464="","",$P464^2))</f>
        <v>4624</v>
      </c>
      <c r="AL464" s="18">
        <f>IF($V464&lt;&gt;1,"",AVERAGEIFS(Clean_Data!$P$2:$P$1001,Clean_Data!$F$2:$F$1001,$F464,Clean_Data!$W$2:$W$1001,$W464,Clean_Data!$V$2:$V$1001,1))</f>
        <v>78.0344827586207</v>
      </c>
      <c r="AM464" s="16">
        <f>IF($V464&lt;&gt;1,"",IFERROR(($P464-$AL464)/SQRT(MAX(0,(SUMIFS(Clean_Data!$AK$2:$AK$1001,Clean_Data!$F$2:$F$1001,$F464,Clean_Data!$W$2:$W$1001,$W464,Clean_Data!$V$2:$V$1001,1)-COUNTIFS(Clean_Data!$F$2:$F$1001,$F464,Clean_Data!$W$2:$W$1001,$W464,Clean_Data!$V$2:$V$1001,1)*$AL464^2)/(COUNTIFS(Clean_Data!$F$2:$F$1001,$F464,Clean_Data!$W$2:$W$1001,$W464,Clean_Data!$V$2:$V$1001,1)-1))),""))</f>
        <v>-0.443357979866087</v>
      </c>
      <c r="AN464" s="5" t="str">
        <f>IF($AM464="","",IF($AM464&gt;=Lookups!$K$6,"High spike",IF($AM464&lt;=-Lookups!$K$6,"Unusual low","Normal")))</f>
        <v>Normal</v>
      </c>
      <c r="AO464" s="20">
        <f>IF($V464&lt;&gt;1,"",$P464+ROW()/100000)</f>
        <v>68.00464</v>
      </c>
      <c r="AP464" s="5">
        <f>IF($A464="","",IFERROR(MATCH($A464,Raw_D1!$A$2:$A$1001,0),""))</f>
        <v>463</v>
      </c>
      <c r="AQ464" s="5">
        <f>IF($A464="","",IFERROR(MATCH($A464,Raw_D2!$B$2:$B$1001,0),""))</f>
        <v>463</v>
      </c>
      <c r="AR464" s="5">
        <f>IF($A464="","",IFERROR(MATCH($A464,Raw_D3!$A$2:$A$1001,0),""))</f>
        <v/>
      </c>
    </row>
    <row r="465" spans="1:44" x14ac:dyDescent="0.25">
      <c r="A465" s="5">
        <v>464</v>
      </c>
      <c r="B465" s="11">
        <f>IF($A465="","",IF($AP465&lt;&gt;"",INDEX(Raw_D1!$B$2:$B$1001,$AP465),IF($AR465&lt;&gt;"",INDEX(Raw_D3!$B$2:$B$1001,$AR465),"")))</f>
        <v>40564.0</v>
      </c>
      <c r="C465" s="5">
        <f>IF($A465="","",IF($AP465&lt;&gt;"",INDEX(Raw_D1!$C$2:$C$1001,$AP465),IF($AR465&lt;&gt;"",INDEX(Raw_D3!$C$2:$C$1001,$AR465),"")))</f>
        <v>1</v>
      </c>
      <c r="D465" s="5">
        <f>IF($A465="","",IF($AP465&lt;&gt;"",INDEX(Raw_D1!$D$2:$D$1001,$AP465),IF($AR465&lt;&gt;"",INDEX(Raw_D3!$D$2:$D$1001,$AR465),"")))</f>
        <v>0</v>
      </c>
      <c r="E465" s="5">
        <f>IF($A465="","",IF($AP465&lt;&gt;"",INDEX(Raw_D1!$E$2:$E$1001,$AP465),IF($AR465&lt;&gt;"",INDEX(Raw_D3!$E$2:$E$1001,$AR465),"")))</f>
        <v>1</v>
      </c>
      <c r="F465" s="5">
        <f>IF($A465="","",IF($AP465&lt;&gt;"",INDEX(Raw_D1!$F$2:$F$1001,$AP465),IF($AR465&lt;&gt;"",INDEX(Raw_D3!$F$2:$F$1001,$AR465),"")))</f>
        <v>8</v>
      </c>
      <c r="G465" s="5">
        <f>IF($A465="","",IF($AP465&lt;&gt;"",IF(INDEX(Raw_D1!$G$2:$G$1001,$AP465),1,0),IF($AR465&lt;&gt;"",IF(INDEX(Raw_D3!$G$2:$G$1001,$AR465),1,0),"")))</f>
        <v>0</v>
      </c>
      <c r="H465" s="5">
        <f>IF($A465="","",IF($AP465&lt;&gt;"",INDEX(Raw_D1!$H$2:$H$1001,$AP465),IF($AR465&lt;&gt;"",INDEX(Raw_D3!$H$2:$H$1001,$AR465),"")))</f>
        <v>5</v>
      </c>
      <c r="I465" s="5">
        <f>IF($A465="","",IF($AP465&lt;&gt;"",INDEX(Raw_D1!$I$2:$I$1001,$AP465),IF($AR465&lt;&gt;"",INDEX(Raw_D3!$I$2:$I$1001,$AR465),"")))</f>
        <v>1</v>
      </c>
      <c r="J465" s="16">
        <f>IF($A465="","",IF($AP465&lt;&gt;"",INDEX(Raw_D1!$J$2:$J$1001,$AP465),IF($AR465&lt;&gt;"",INDEX(Raw_D3!$J$2:$J$1001,$AR465),"")))</f>
        <v>0.2</v>
      </c>
      <c r="K465" s="17">
        <f>IF($A465="","",IF($AQ465&lt;&gt;"",IF(INDEX(Raw_D2!$C$2:$C$1001,$AQ465)="","",INDEX(Raw_D2!$C$2:$C$1001,$AQ465)),IF($AR465&lt;&gt;"",IF(INDEX(Raw_D3!$K$2:$K$1001,$AR465)="","",INDEX(Raw_D3!$K$2:$K$1001,$AR465)),"")))</f>
        <v>0.1818</v>
      </c>
      <c r="L465" s="16">
        <f>IF($A465="","",IF($AQ465&lt;&gt;"",IF(INDEX(Raw_D2!$D$2:$D$1001,$AQ465)="","",INDEX(Raw_D2!$D$2:$D$1001,$AQ465)),IF($AR465&lt;&gt;"",IF(INDEX(Raw_D3!$L$2:$L$1001,$AR465)="","",INDEX(Raw_D3!$L$2:$L$1001,$AR465)),"")))</f>
        <v>0.47</v>
      </c>
      <c r="M465" s="17">
        <f>IF($A465="","",IF($AQ465&lt;&gt;"",IF(INDEX(Raw_D2!$E$2:$E$1001,$AQ465)="","",INDEX(Raw_D2!$E$2:$E$1001,$AQ465)),IF($AR465&lt;&gt;"",IF(INDEX(Raw_D3!$M$2:$M$1001,$AR465)="","",INDEX(Raw_D3!$M$2:$M$1001,$AR465)),"")))</f>
        <v>0.3284</v>
      </c>
      <c r="N465" s="5">
        <f>IF($A465="","",IF($AQ465&lt;&gt;"",IF(INDEX(Raw_D2!$F$2:$F$1001,$AQ465)="","",INDEX(Raw_D2!$F$2:$F$1001,$AQ465)),IF($AR465&lt;&gt;"",IF(INDEX(Raw_D3!$N$2:$N$1001,$AR465)="","",INDEX(Raw_D3!$N$2:$N$1001,$AR465)),"")))</f>
        <v>7</v>
      </c>
      <c r="O465" s="5">
        <f>IF($A465="","",IF($AQ465&lt;&gt;"",IF(INDEX(Raw_D2!$G$2:$G$1001,$AQ465)="","",INDEX(Raw_D2!$G$2:$G$1001,$AQ465)),IF($AR465&lt;&gt;"",IF(INDEX(Raw_D3!$O$2:$O$1001,$AR465)="","",INDEX(Raw_D3!$O$2:$O$1001,$AR465)),"")))</f>
        <v>210</v>
      </c>
      <c r="P465" s="5">
        <f>IF($A465="","",IF($AQ465&lt;&gt;"",IF(INDEX(Raw_D2!$H$2:$H$1001,$AQ465)="","",INDEX(Raw_D2!$H$2:$H$1001,$AQ465)),IF($AR465&lt;&gt;"",IF(INDEX(Raw_D3!$P$2:$P$1001,$AR465)="","",INDEX(Raw_D3!$P$2:$P$1001,$AR465)),"")))</f>
        <v>217</v>
      </c>
      <c r="Q465" s="5" t="str">
        <f>IF($A465="","",IF(AND($AP465&lt;&gt;"",$AQ465&lt;&gt;""),"D1+D2",IF($AR465&lt;&gt;"","D3","Incomplete")))</f>
        <v>D1+D2</v>
      </c>
      <c r="R465" s="17">
        <f>IF($A465="","",IF($K465="",IF($J465="","",ROUND(Lookups!$K$5+Lookups!$K$4*$J465,4)),$K465))</f>
        <v>0.1818</v>
      </c>
      <c r="S465" s="5" t="str">
        <f>IF($A465="","",IF($K465="","Imputed","Original"))</f>
        <v>Original</v>
      </c>
      <c r="T465" s="5" t="str">
        <f>IF($A465="","",IF($P465="","Missing",IF($P465=$N465+$O465,"OK","Mismatch")))</f>
        <v>OK</v>
      </c>
      <c r="U465" s="5" t="str">
        <f>IF($A465="","",IF(COUNTIF($A$2:$A465,$A465)&gt;1,"Duplicate","Unique"))</f>
        <v>Unique</v>
      </c>
      <c r="V465" s="5">
        <f>IF($A465="","",IF(AND($U465="Unique",ISNUMBER($P465)),1,0))</f>
        <v>1</v>
      </c>
      <c r="W465" s="5" t="str">
        <f>IF($A465="","",IF(OR($H465=0,$H465=6),"Weekend","Weekday"))</f>
        <v>Weekday</v>
      </c>
      <c r="X465" s="5" t="str">
        <f>IF($A465="","",TEXT($B465,"ddd"))</f>
        <v>Fri</v>
      </c>
      <c r="Y465" s="5" t="str">
        <f>IF($A465="","",TEXT($B465,"mmm"))</f>
        <v>Jan</v>
      </c>
      <c r="Z465" s="5" t="str">
        <f>IF($A465="","",IFERROR(VLOOKUP($C465,Lookups!$D$4:$E$7,2,FALSE),"Unknown"))</f>
        <v>Winter</v>
      </c>
      <c r="AA465" s="5" t="str">
        <f>IF($A465="","",IFERROR(VLOOKUP($I465,Lookups!$A$4:$B$7,2,FALSE),"Unknown"))</f>
        <v>Clear</v>
      </c>
      <c r="AB465" s="5" t="str">
        <f>IF($A465="","",TEXT($F465,"00")&amp;":00")</f>
        <v>08:00</v>
      </c>
      <c r="AC465" s="5" t="str">
        <f>IF($A465="","",VLOOKUP($F465,Lookups!$G$4:$H$8,2,TRUE))</f>
        <v>Morning Peak (06-09)</v>
      </c>
      <c r="AD465" s="18">
        <f>IF($A465="","",IF($J465="","",ROUND($J465*41,1)))</f>
        <v>8.2</v>
      </c>
      <c r="AE465" s="18">
        <f>IF($A465="","",IF($R465="","",ROUND($R465*50,1)))</f>
        <v>9.1</v>
      </c>
      <c r="AF465" s="5">
        <f>IF($A465="","",IF($L465="","",ROUND($L465*100,0)))</f>
        <v>47</v>
      </c>
      <c r="AG465" s="18">
        <f>IF($A465="","",IF($M465="","",ROUND($M465*67,1)))</f>
        <v>22</v>
      </c>
      <c r="AH465" s="19">
        <f>IF($A465="","",IF($P465="","",IF($P465=0,0,$O465/$P465)))</f>
        <v>0.967741935483871</v>
      </c>
      <c r="AI465" s="5" t="str">
        <f>IF($A465="","",IF($P465="","",IF($P465&gt;=Lookups!$K$7,"High",IF($P465&lt;=Lookups!$K$8,"Low","Medium"))))</f>
        <v>High</v>
      </c>
      <c r="AJ465" s="5" t="str">
        <f>IF($A465="","",IF($AD465="","",IF($AD465&lt;5,"Under 5 C",IF($AD465&lt;10,"5-10 C",IF($AD465&lt;15,"10-15 C","15 C and above")))))</f>
        <v>5-10 C</v>
      </c>
      <c r="AK465" s="5">
        <f>IF($A465="","",IF($P465="","",$P465^2))</f>
        <v>47089</v>
      </c>
      <c r="AL465" s="18">
        <f>IF($V465&lt;&gt;1,"",AVERAGEIFS(Clean_Data!$P$2:$P$1001,Clean_Data!$F$2:$F$1001,$F465,Clean_Data!$W$2:$W$1001,$W465,Clean_Data!$V$2:$V$1001,1))</f>
        <v>183.535714285714</v>
      </c>
      <c r="AM465" s="16">
        <f>IF($V465&lt;&gt;1,"",IFERROR(($P465-$AL465)/SQRT(MAX(0,(SUMIFS(Clean_Data!$AK$2:$AK$1001,Clean_Data!$F$2:$F$1001,$F465,Clean_Data!$W$2:$W$1001,$W465,Clean_Data!$V$2:$V$1001,1)-COUNTIFS(Clean_Data!$F$2:$F$1001,$F465,Clean_Data!$W$2:$W$1001,$W465,Clean_Data!$V$2:$V$1001,1)*$AL465^2)/(COUNTIFS(Clean_Data!$F$2:$F$1001,$F465,Clean_Data!$W$2:$W$1001,$W465,Clean_Data!$V$2:$V$1001,1)-1))),""))</f>
        <v>0.686587194629977</v>
      </c>
      <c r="AN465" s="5" t="str">
        <f>IF($AM465="","",IF($AM465&gt;=Lookups!$K$6,"High spike",IF($AM465&lt;=-Lookups!$K$6,"Unusual low","Normal")))</f>
        <v>Normal</v>
      </c>
      <c r="AO465" s="20">
        <f>IF($V465&lt;&gt;1,"",$P465+ROW()/100000)</f>
        <v>217.00465</v>
      </c>
      <c r="AP465" s="5">
        <f>IF($A465="","",IFERROR(MATCH($A465,Raw_D1!$A$2:$A$1001,0),""))</f>
        <v>464</v>
      </c>
      <c r="AQ465" s="5">
        <f>IF($A465="","",IFERROR(MATCH($A465,Raw_D2!$B$2:$B$1001,0),""))</f>
        <v>464</v>
      </c>
      <c r="AR465" s="5">
        <f>IF($A465="","",IFERROR(MATCH($A465,Raw_D3!$A$2:$A$1001,0),""))</f>
        <v/>
      </c>
    </row>
    <row r="466" spans="1:44" x14ac:dyDescent="0.25">
      <c r="A466" s="5">
        <v>465</v>
      </c>
      <c r="B466" s="11">
        <f>IF($A466="","",IF($AP466&lt;&gt;"",INDEX(Raw_D1!$B$2:$B$1001,$AP466),IF($AR466&lt;&gt;"",INDEX(Raw_D3!$B$2:$B$1001,$AR466),"")))</f>
        <v>40564.0</v>
      </c>
      <c r="C466" s="5">
        <f>IF($A466="","",IF($AP466&lt;&gt;"",INDEX(Raw_D1!$C$2:$C$1001,$AP466),IF($AR466&lt;&gt;"",INDEX(Raw_D3!$C$2:$C$1001,$AR466),"")))</f>
        <v>1</v>
      </c>
      <c r="D466" s="5">
        <f>IF($A466="","",IF($AP466&lt;&gt;"",INDEX(Raw_D1!$D$2:$D$1001,$AP466),IF($AR466&lt;&gt;"",INDEX(Raw_D3!$D$2:$D$1001,$AR466),"")))</f>
        <v>0</v>
      </c>
      <c r="E466" s="5">
        <f>IF($A466="","",IF($AP466&lt;&gt;"",INDEX(Raw_D1!$E$2:$E$1001,$AP466),IF($AR466&lt;&gt;"",INDEX(Raw_D3!$E$2:$E$1001,$AR466),"")))</f>
        <v>1</v>
      </c>
      <c r="F466" s="5">
        <f>IF($A466="","",IF($AP466&lt;&gt;"",INDEX(Raw_D1!$F$2:$F$1001,$AP466),IF($AR466&lt;&gt;"",INDEX(Raw_D3!$F$2:$F$1001,$AR466),"")))</f>
        <v>9</v>
      </c>
      <c r="G466" s="5">
        <f>IF($A466="","",IF($AP466&lt;&gt;"",IF(INDEX(Raw_D1!$G$2:$G$1001,$AP466),1,0),IF($AR466&lt;&gt;"",IF(INDEX(Raw_D3!$G$2:$G$1001,$AR466),1,0),"")))</f>
        <v>0</v>
      </c>
      <c r="H466" s="5">
        <f>IF($A466="","",IF($AP466&lt;&gt;"",INDEX(Raw_D1!$H$2:$H$1001,$AP466),IF($AR466&lt;&gt;"",INDEX(Raw_D3!$H$2:$H$1001,$AR466),"")))</f>
        <v>5</v>
      </c>
      <c r="I466" s="5">
        <f>IF($A466="","",IF($AP466&lt;&gt;"",INDEX(Raw_D1!$I$2:$I$1001,$AP466),IF($AR466&lt;&gt;"",INDEX(Raw_D3!$I$2:$I$1001,$AR466),"")))</f>
        <v>1</v>
      </c>
      <c r="J466" s="16">
        <f>IF($A466="","",IF($AP466&lt;&gt;"",INDEX(Raw_D1!$J$2:$J$1001,$AP466),IF($AR466&lt;&gt;"",INDEX(Raw_D3!$J$2:$J$1001,$AR466),"")))</f>
        <v>0.2</v>
      </c>
      <c r="K466" s="17">
        <f>IF($A466="","",IF($AQ466&lt;&gt;"",IF(INDEX(Raw_D2!$C$2:$C$1001,$AQ466)="","",INDEX(Raw_D2!$C$2:$C$1001,$AQ466)),IF($AR466&lt;&gt;"",IF(INDEX(Raw_D3!$K$2:$K$1001,$AR466)="","",INDEX(Raw_D3!$K$2:$K$1001,$AR466)),"")))</f>
        <v>0.1818</v>
      </c>
      <c r="L466" s="16">
        <f>IF($A466="","",IF($AQ466&lt;&gt;"",IF(INDEX(Raw_D2!$D$2:$D$1001,$AQ466)="","",INDEX(Raw_D2!$D$2:$D$1001,$AQ466)),IF($AR466&lt;&gt;"",IF(INDEX(Raw_D3!$L$2:$L$1001,$AR466)="","",INDEX(Raw_D3!$L$2:$L$1001,$AR466)),"")))</f>
        <v>0.51</v>
      </c>
      <c r="M466" s="17">
        <f>IF($A466="","",IF($AQ466&lt;&gt;"",IF(INDEX(Raw_D2!$E$2:$E$1001,$AQ466)="","",INDEX(Raw_D2!$E$2:$E$1001,$AQ466)),IF($AR466&lt;&gt;"",IF(INDEX(Raw_D3!$M$2:$M$1001,$AR466)="","",INDEX(Raw_D3!$M$2:$M$1001,$AR466)),"")))</f>
        <v>0.3582</v>
      </c>
      <c r="N466" s="5">
        <f>IF($A466="","",IF($AQ466&lt;&gt;"",IF(INDEX(Raw_D2!$F$2:$F$1001,$AQ466)="","",INDEX(Raw_D2!$F$2:$F$1001,$AQ466)),IF($AR466&lt;&gt;"",IF(INDEX(Raw_D3!$N$2:$N$1001,$AR466)="","",INDEX(Raw_D3!$N$2:$N$1001,$AR466)),"")))</f>
        <v>7</v>
      </c>
      <c r="O466" s="5">
        <f>IF($A466="","",IF($AQ466&lt;&gt;"",IF(INDEX(Raw_D2!$G$2:$G$1001,$AQ466)="","",INDEX(Raw_D2!$G$2:$G$1001,$AQ466)),IF($AR466&lt;&gt;"",IF(INDEX(Raw_D3!$O$2:$O$1001,$AR466)="","",INDEX(Raw_D3!$O$2:$O$1001,$AR466)),"")))</f>
        <v>159</v>
      </c>
      <c r="P466" s="5">
        <f>IF($A466="","",IF($AQ466&lt;&gt;"",IF(INDEX(Raw_D2!$H$2:$H$1001,$AQ466)="","",INDEX(Raw_D2!$H$2:$H$1001,$AQ466)),IF($AR466&lt;&gt;"",IF(INDEX(Raw_D3!$P$2:$P$1001,$AR466)="","",INDEX(Raw_D3!$P$2:$P$1001,$AR466)),"")))</f>
        <v>166</v>
      </c>
      <c r="Q466" s="5" t="str">
        <f>IF($A466="","",IF(AND($AP466&lt;&gt;"",$AQ466&lt;&gt;""),"D1+D2",IF($AR466&lt;&gt;"","D3","Incomplete")))</f>
        <v>D1+D2</v>
      </c>
      <c r="R466" s="17">
        <f>IF($A466="","",IF($K466="",IF($J466="","",ROUND(Lookups!$K$5+Lookups!$K$4*$J466,4)),$K466))</f>
        <v>0.1818</v>
      </c>
      <c r="S466" s="5" t="str">
        <f>IF($A466="","",IF($K466="","Imputed","Original"))</f>
        <v>Original</v>
      </c>
      <c r="T466" s="5" t="str">
        <f>IF($A466="","",IF($P466="","Missing",IF($P466=$N466+$O466,"OK","Mismatch")))</f>
        <v>OK</v>
      </c>
      <c r="U466" s="5" t="str">
        <f>IF($A466="","",IF(COUNTIF($A$2:$A466,$A466)&gt;1,"Duplicate","Unique"))</f>
        <v>Unique</v>
      </c>
      <c r="V466" s="5">
        <f>IF($A466="","",IF(AND($U466="Unique",ISNUMBER($P466)),1,0))</f>
        <v>1</v>
      </c>
      <c r="W466" s="5" t="str">
        <f>IF($A466="","",IF(OR($H466=0,$H466=6),"Weekend","Weekday"))</f>
        <v>Weekday</v>
      </c>
      <c r="X466" s="5" t="str">
        <f>IF($A466="","",TEXT($B466,"ddd"))</f>
        <v>Fri</v>
      </c>
      <c r="Y466" s="5" t="str">
        <f>IF($A466="","",TEXT($B466,"mmm"))</f>
        <v>Jan</v>
      </c>
      <c r="Z466" s="5" t="str">
        <f>IF($A466="","",IFERROR(VLOOKUP($C466,Lookups!$D$4:$E$7,2,FALSE),"Unknown"))</f>
        <v>Winter</v>
      </c>
      <c r="AA466" s="5" t="str">
        <f>IF($A466="","",IFERROR(VLOOKUP($I466,Lookups!$A$4:$B$7,2,FALSE),"Unknown"))</f>
        <v>Clear</v>
      </c>
      <c r="AB466" s="5" t="str">
        <f>IF($A466="","",TEXT($F466,"00")&amp;":00")</f>
        <v>09:00</v>
      </c>
      <c r="AC466" s="5" t="str">
        <f>IF($A466="","",VLOOKUP($F466,Lookups!$G$4:$H$8,2,TRUE))</f>
        <v>Morning Peak (06-09)</v>
      </c>
      <c r="AD466" s="18">
        <f>IF($A466="","",IF($J466="","",ROUND($J466*41,1)))</f>
        <v>8.2</v>
      </c>
      <c r="AE466" s="18">
        <f>IF($A466="","",IF($R466="","",ROUND($R466*50,1)))</f>
        <v>9.1</v>
      </c>
      <c r="AF466" s="5">
        <f>IF($A466="","",IF($L466="","",ROUND($L466*100,0)))</f>
        <v>51</v>
      </c>
      <c r="AG466" s="18">
        <f>IF($A466="","",IF($M466="","",ROUND($M466*67,1)))</f>
        <v>24</v>
      </c>
      <c r="AH466" s="19">
        <f>IF($A466="","",IF($P466="","",IF($P466=0,0,$O466/$P466)))</f>
        <v>0.957831325301205</v>
      </c>
      <c r="AI466" s="5" t="str">
        <f>IF($A466="","",IF($P466="","",IF($P466&gt;=Lookups!$K$7,"High",IF($P466&lt;=Lookups!$K$8,"Low","Medium"))))</f>
        <v>High</v>
      </c>
      <c r="AJ466" s="5" t="str">
        <f>IF($A466="","",IF($AD466="","",IF($AD466&lt;5,"Under 5 C",IF($AD466&lt;10,"5-10 C",IF($AD466&lt;15,"10-15 C","15 C and above")))))</f>
        <v>5-10 C</v>
      </c>
      <c r="AK466" s="5">
        <f>IF($A466="","",IF($P466="","",$P466^2))</f>
        <v>27556</v>
      </c>
      <c r="AL466" s="18">
        <f>IF($V466&lt;&gt;1,"",AVERAGEIFS(Clean_Data!$P$2:$P$1001,Clean_Data!$F$2:$F$1001,$F466,Clean_Data!$W$2:$W$1001,$W466,Clean_Data!$V$2:$V$1001,1))</f>
        <v>115.678571428571</v>
      </c>
      <c r="AM466" s="16">
        <f>IF($V466&lt;&gt;1,"",IFERROR(($P466-$AL466)/SQRT(MAX(0,(SUMIFS(Clean_Data!$AK$2:$AK$1001,Clean_Data!$F$2:$F$1001,$F466,Clean_Data!$W$2:$W$1001,$W466,Clean_Data!$V$2:$V$1001,1)-COUNTIFS(Clean_Data!$F$2:$F$1001,$F466,Clean_Data!$W$2:$W$1001,$W466,Clean_Data!$V$2:$V$1001,1)*$AL466^2)/(COUNTIFS(Clean_Data!$F$2:$F$1001,$F466,Clean_Data!$W$2:$W$1001,$W466,Clean_Data!$V$2:$V$1001,1)-1))),""))</f>
        <v>1.95208228804576</v>
      </c>
      <c r="AN466" s="5" t="str">
        <f>IF($AM466="","",IF($AM466&gt;=Lookups!$K$6,"High spike",IF($AM466&lt;=-Lookups!$K$6,"Unusual low","Normal")))</f>
        <v>Normal</v>
      </c>
      <c r="AO466" s="20">
        <f>IF($V466&lt;&gt;1,"",$P466+ROW()/100000)</f>
        <v>166.00466</v>
      </c>
      <c r="AP466" s="5">
        <f>IF($A466="","",IFERROR(MATCH($A466,Raw_D1!$A$2:$A$1001,0),""))</f>
        <v>465</v>
      </c>
      <c r="AQ466" s="5">
        <f>IF($A466="","",IFERROR(MATCH($A466,Raw_D2!$B$2:$B$1001,0),""))</f>
        <v>465</v>
      </c>
      <c r="AR466" s="5">
        <f>IF($A466="","",IFERROR(MATCH($A466,Raw_D3!$A$2:$A$1001,0),""))</f>
        <v/>
      </c>
    </row>
    <row r="467" spans="1:44" x14ac:dyDescent="0.25">
      <c r="A467" s="5">
        <v>466</v>
      </c>
      <c r="B467" s="11">
        <f>IF($A467="","",IF($AP467&lt;&gt;"",INDEX(Raw_D1!$B$2:$B$1001,$AP467),IF($AR467&lt;&gt;"",INDEX(Raw_D3!$B$2:$B$1001,$AR467),"")))</f>
        <v>40564.0</v>
      </c>
      <c r="C467" s="5">
        <f>IF($A467="","",IF($AP467&lt;&gt;"",INDEX(Raw_D1!$C$2:$C$1001,$AP467),IF($AR467&lt;&gt;"",INDEX(Raw_D3!$C$2:$C$1001,$AR467),"")))</f>
        <v>1</v>
      </c>
      <c r="D467" s="5">
        <f>IF($A467="","",IF($AP467&lt;&gt;"",INDEX(Raw_D1!$D$2:$D$1001,$AP467),IF($AR467&lt;&gt;"",INDEX(Raw_D3!$D$2:$D$1001,$AR467),"")))</f>
        <v>0</v>
      </c>
      <c r="E467" s="5">
        <f>IF($A467="","",IF($AP467&lt;&gt;"",INDEX(Raw_D1!$E$2:$E$1001,$AP467),IF($AR467&lt;&gt;"",INDEX(Raw_D3!$E$2:$E$1001,$AR467),"")))</f>
        <v>1</v>
      </c>
      <c r="F467" s="5">
        <f>IF($A467="","",IF($AP467&lt;&gt;"",INDEX(Raw_D1!$F$2:$F$1001,$AP467),IF($AR467&lt;&gt;"",INDEX(Raw_D3!$F$2:$F$1001,$AR467),"")))</f>
        <v>10</v>
      </c>
      <c r="G467" s="5">
        <f>IF($A467="","",IF($AP467&lt;&gt;"",IF(INDEX(Raw_D1!$G$2:$G$1001,$AP467),1,0),IF($AR467&lt;&gt;"",IF(INDEX(Raw_D3!$G$2:$G$1001,$AR467),1,0),"")))</f>
        <v>0</v>
      </c>
      <c r="H467" s="5">
        <f>IF($A467="","",IF($AP467&lt;&gt;"",INDEX(Raw_D1!$H$2:$H$1001,$AP467),IF($AR467&lt;&gt;"",INDEX(Raw_D3!$H$2:$H$1001,$AR467),"")))</f>
        <v>5</v>
      </c>
      <c r="I467" s="5">
        <f>IF($A467="","",IF($AP467&lt;&gt;"",INDEX(Raw_D1!$I$2:$I$1001,$AP467),IF($AR467&lt;&gt;"",INDEX(Raw_D3!$I$2:$I$1001,$AR467),"")))</f>
        <v>1</v>
      </c>
      <c r="J467" s="16">
        <f>IF($A467="","",IF($AP467&lt;&gt;"",INDEX(Raw_D1!$J$2:$J$1001,$AP467),IF($AR467&lt;&gt;"",INDEX(Raw_D3!$J$2:$J$1001,$AR467),"")))</f>
        <v>0.2</v>
      </c>
      <c r="K467" s="17">
        <f>IF($A467="","",IF($AQ467&lt;&gt;"",IF(INDEX(Raw_D2!$C$2:$C$1001,$AQ467)="","",INDEX(Raw_D2!$C$2:$C$1001,$AQ467)),IF($AR467&lt;&gt;"",IF(INDEX(Raw_D3!$K$2:$K$1001,$AR467)="","",INDEX(Raw_D3!$K$2:$K$1001,$AR467)),"")))</f>
        <v>0.1667</v>
      </c>
      <c r="L467" s="16">
        <f>IF($A467="","",IF($AQ467&lt;&gt;"",IF(INDEX(Raw_D2!$D$2:$D$1001,$AQ467)="","",INDEX(Raw_D2!$D$2:$D$1001,$AQ467)),IF($AR467&lt;&gt;"",IF(INDEX(Raw_D3!$L$2:$L$1001,$AR467)="","",INDEX(Raw_D3!$L$2:$L$1001,$AR467)),"")))</f>
        <v>0.47</v>
      </c>
      <c r="M467" s="17">
        <f>IF($A467="","",IF($AQ467&lt;&gt;"",IF(INDEX(Raw_D2!$E$2:$E$1001,$AQ467)="","",INDEX(Raw_D2!$E$2:$E$1001,$AQ467)),IF($AR467&lt;&gt;"",IF(INDEX(Raw_D3!$M$2:$M$1001,$AR467)="","",INDEX(Raw_D3!$M$2:$M$1001,$AR467)),"")))</f>
        <v>0.4627</v>
      </c>
      <c r="N467" s="5">
        <f>IF($A467="","",IF($AQ467&lt;&gt;"",IF(INDEX(Raw_D2!$F$2:$F$1001,$AQ467)="","",INDEX(Raw_D2!$F$2:$F$1001,$AQ467)),IF($AR467&lt;&gt;"",IF(INDEX(Raw_D3!$N$2:$N$1001,$AR467)="","",INDEX(Raw_D3!$N$2:$N$1001,$AR467)),"")))</f>
        <v>6</v>
      </c>
      <c r="O467" s="5">
        <f>IF($A467="","",IF($AQ467&lt;&gt;"",IF(INDEX(Raw_D2!$G$2:$G$1001,$AQ467)="","",INDEX(Raw_D2!$G$2:$G$1001,$AQ467)),IF($AR467&lt;&gt;"",IF(INDEX(Raw_D3!$O$2:$O$1001,$AR467)="","",INDEX(Raw_D3!$O$2:$O$1001,$AR467)),"")))</f>
        <v>57</v>
      </c>
      <c r="P467" s="5">
        <f>IF($A467="","",IF($AQ467&lt;&gt;"",IF(INDEX(Raw_D2!$H$2:$H$1001,$AQ467)="","",INDEX(Raw_D2!$H$2:$H$1001,$AQ467)),IF($AR467&lt;&gt;"",IF(INDEX(Raw_D3!$P$2:$P$1001,$AR467)="","",INDEX(Raw_D3!$P$2:$P$1001,$AR467)),"")))</f>
        <v>63</v>
      </c>
      <c r="Q467" s="5" t="str">
        <f>IF($A467="","",IF(AND($AP467&lt;&gt;"",$AQ467&lt;&gt;""),"D1+D2",IF($AR467&lt;&gt;"","D3","Incomplete")))</f>
        <v>D1+D2</v>
      </c>
      <c r="R467" s="17">
        <f>IF($A467="","",IF($K467="",IF($J467="","",ROUND(Lookups!$K$5+Lookups!$K$4*$J467,4)),$K467))</f>
        <v>0.1667</v>
      </c>
      <c r="S467" s="5" t="str">
        <f>IF($A467="","",IF($K467="","Imputed","Original"))</f>
        <v>Original</v>
      </c>
      <c r="T467" s="5" t="str">
        <f>IF($A467="","",IF($P467="","Missing",IF($P467=$N467+$O467,"OK","Mismatch")))</f>
        <v>OK</v>
      </c>
      <c r="U467" s="5" t="str">
        <f>IF($A467="","",IF(COUNTIF($A$2:$A467,$A467)&gt;1,"Duplicate","Unique"))</f>
        <v>Unique</v>
      </c>
      <c r="V467" s="5">
        <f>IF($A467="","",IF(AND($U467="Unique",ISNUMBER($P467)),1,0))</f>
        <v>1</v>
      </c>
      <c r="W467" s="5" t="str">
        <f>IF($A467="","",IF(OR($H467=0,$H467=6),"Weekend","Weekday"))</f>
        <v>Weekday</v>
      </c>
      <c r="X467" s="5" t="str">
        <f>IF($A467="","",TEXT($B467,"ddd"))</f>
        <v>Fri</v>
      </c>
      <c r="Y467" s="5" t="str">
        <f>IF($A467="","",TEXT($B467,"mmm"))</f>
        <v>Jan</v>
      </c>
      <c r="Z467" s="5" t="str">
        <f>IF($A467="","",IFERROR(VLOOKUP($C467,Lookups!$D$4:$E$7,2,FALSE),"Unknown"))</f>
        <v>Winter</v>
      </c>
      <c r="AA467" s="5" t="str">
        <f>IF($A467="","",IFERROR(VLOOKUP($I467,Lookups!$A$4:$B$7,2,FALSE),"Unknown"))</f>
        <v>Clear</v>
      </c>
      <c r="AB467" s="5" t="str">
        <f>IF($A467="","",TEXT($F467,"00")&amp;":00")</f>
        <v>10:00</v>
      </c>
      <c r="AC467" s="5" t="str">
        <f>IF($A467="","",VLOOKUP($F467,Lookups!$G$4:$H$8,2,TRUE))</f>
        <v>Midday (10-15)</v>
      </c>
      <c r="AD467" s="18">
        <f>IF($A467="","",IF($J467="","",ROUND($J467*41,1)))</f>
        <v>8.2</v>
      </c>
      <c r="AE467" s="18">
        <f>IF($A467="","",IF($R467="","",ROUND($R467*50,1)))</f>
        <v>8.3</v>
      </c>
      <c r="AF467" s="5">
        <f>IF($A467="","",IF($L467="","",ROUND($L467*100,0)))</f>
        <v>47</v>
      </c>
      <c r="AG467" s="18">
        <f>IF($A467="","",IF($M467="","",ROUND($M467*67,1)))</f>
        <v>31</v>
      </c>
      <c r="AH467" s="19">
        <f>IF($A467="","",IF($P467="","",IF($P467=0,0,$O467/$P467)))</f>
        <v>0.904761904761905</v>
      </c>
      <c r="AI467" s="5" t="str">
        <f>IF($A467="","",IF($P467="","",IF($P467&gt;=Lookups!$K$7,"High",IF($P467&lt;=Lookups!$K$8,"Low","Medium"))))</f>
        <v>Medium</v>
      </c>
      <c r="AJ467" s="5" t="str">
        <f>IF($A467="","",IF($AD467="","",IF($AD467&lt;5,"Under 5 C",IF($AD467&lt;10,"5-10 C",IF($AD467&lt;15,"10-15 C","15 C and above")))))</f>
        <v>5-10 C</v>
      </c>
      <c r="AK467" s="5">
        <f>IF($A467="","",IF($P467="","",$P467^2))</f>
        <v>3969</v>
      </c>
      <c r="AL467" s="18">
        <f>IF($V467&lt;&gt;1,"",AVERAGEIFS(Clean_Data!$P$2:$P$1001,Clean_Data!$F$2:$F$1001,$F467,Clean_Data!$W$2:$W$1001,$W467,Clean_Data!$V$2:$V$1001,1))</f>
        <v>49.0714285714286</v>
      </c>
      <c r="AM467" s="16">
        <f>IF($V467&lt;&gt;1,"",IFERROR(($P467-$AL467)/SQRT(MAX(0,(SUMIFS(Clean_Data!$AK$2:$AK$1001,Clean_Data!$F$2:$F$1001,$F467,Clean_Data!$W$2:$W$1001,$W467,Clean_Data!$V$2:$V$1001,1)-COUNTIFS(Clean_Data!$F$2:$F$1001,$F467,Clean_Data!$W$2:$W$1001,$W467,Clean_Data!$V$2:$V$1001,1)*$AL467^2)/(COUNTIFS(Clean_Data!$F$2:$F$1001,$F467,Clean_Data!$W$2:$W$1001,$W467,Clean_Data!$V$2:$V$1001,1)-1))),""))</f>
        <v>1.38017256895856</v>
      </c>
      <c r="AN467" s="5" t="str">
        <f>IF($AM467="","",IF($AM467&gt;=Lookups!$K$6,"High spike",IF($AM467&lt;=-Lookups!$K$6,"Unusual low","Normal")))</f>
        <v>Normal</v>
      </c>
      <c r="AO467" s="20">
        <f>IF($V467&lt;&gt;1,"",$P467+ROW()/100000)</f>
        <v>63.00467</v>
      </c>
      <c r="AP467" s="5">
        <f>IF($A467="","",IFERROR(MATCH($A467,Raw_D1!$A$2:$A$1001,0),""))</f>
        <v>466</v>
      </c>
      <c r="AQ467" s="5">
        <f>IF($A467="","",IFERROR(MATCH($A467,Raw_D2!$B$2:$B$1001,0),""))</f>
        <v>466</v>
      </c>
      <c r="AR467" s="5">
        <f>IF($A467="","",IFERROR(MATCH($A467,Raw_D3!$A$2:$A$1001,0),""))</f>
        <v/>
      </c>
    </row>
    <row r="468" spans="1:44" x14ac:dyDescent="0.25">
      <c r="A468" s="5">
        <v>467</v>
      </c>
      <c r="B468" s="11">
        <f>IF($A468="","",IF($AP468&lt;&gt;"",INDEX(Raw_D1!$B$2:$B$1001,$AP468),IF($AR468&lt;&gt;"",INDEX(Raw_D3!$B$2:$B$1001,$AR468),"")))</f>
        <v>40564.0</v>
      </c>
      <c r="C468" s="5">
        <f>IF($A468="","",IF($AP468&lt;&gt;"",INDEX(Raw_D1!$C$2:$C$1001,$AP468),IF($AR468&lt;&gt;"",INDEX(Raw_D3!$C$2:$C$1001,$AR468),"")))</f>
        <v>1</v>
      </c>
      <c r="D468" s="5">
        <f>IF($A468="","",IF($AP468&lt;&gt;"",INDEX(Raw_D1!$D$2:$D$1001,$AP468),IF($AR468&lt;&gt;"",INDEX(Raw_D3!$D$2:$D$1001,$AR468),"")))</f>
        <v>0</v>
      </c>
      <c r="E468" s="5">
        <f>IF($A468="","",IF($AP468&lt;&gt;"",INDEX(Raw_D1!$E$2:$E$1001,$AP468),IF($AR468&lt;&gt;"",INDEX(Raw_D3!$E$2:$E$1001,$AR468),"")))</f>
        <v>1</v>
      </c>
      <c r="F468" s="5">
        <f>IF($A468="","",IF($AP468&lt;&gt;"",INDEX(Raw_D1!$F$2:$F$1001,$AP468),IF($AR468&lt;&gt;"",INDEX(Raw_D3!$F$2:$F$1001,$AR468),"")))</f>
        <v>11</v>
      </c>
      <c r="G468" s="5">
        <f>IF($A468="","",IF($AP468&lt;&gt;"",IF(INDEX(Raw_D1!$G$2:$G$1001,$AP468),1,0),IF($AR468&lt;&gt;"",IF(INDEX(Raw_D3!$G$2:$G$1001,$AR468),1,0),"")))</f>
        <v>0</v>
      </c>
      <c r="H468" s="5">
        <f>IF($A468="","",IF($AP468&lt;&gt;"",INDEX(Raw_D1!$H$2:$H$1001,$AP468),IF($AR468&lt;&gt;"",INDEX(Raw_D3!$H$2:$H$1001,$AR468),"")))</f>
        <v>5</v>
      </c>
      <c r="I468" s="5">
        <f>IF($A468="","",IF($AP468&lt;&gt;"",INDEX(Raw_D1!$I$2:$I$1001,$AP468),IF($AR468&lt;&gt;"",INDEX(Raw_D3!$I$2:$I$1001,$AR468),"")))</f>
        <v>1</v>
      </c>
      <c r="J468" s="16">
        <f>IF($A468="","",IF($AP468&lt;&gt;"",INDEX(Raw_D1!$J$2:$J$1001,$AP468),IF($AR468&lt;&gt;"",INDEX(Raw_D3!$J$2:$J$1001,$AR468),"")))</f>
        <v>0.22</v>
      </c>
      <c r="K468" s="17">
        <f>IF($A468="","",IF($AQ468&lt;&gt;"",IF(INDEX(Raw_D2!$C$2:$C$1001,$AQ468)="","",INDEX(Raw_D2!$C$2:$C$1001,$AQ468)),IF($AR468&lt;&gt;"",IF(INDEX(Raw_D3!$K$2:$K$1001,$AR468)="","",INDEX(Raw_D3!$K$2:$K$1001,$AR468)),"")))</f>
        <v>0.1818</v>
      </c>
      <c r="L468" s="16">
        <f>IF($A468="","",IF($AQ468&lt;&gt;"",IF(INDEX(Raw_D2!$D$2:$D$1001,$AQ468)="","",INDEX(Raw_D2!$D$2:$D$1001,$AQ468)),IF($AR468&lt;&gt;"",IF(INDEX(Raw_D3!$L$2:$L$1001,$AR468)="","",INDEX(Raw_D3!$L$2:$L$1001,$AR468)),"")))</f>
        <v>0.41</v>
      </c>
      <c r="M468" s="17">
        <f>IF($A468="","",IF($AQ468&lt;&gt;"",IF(INDEX(Raw_D2!$E$2:$E$1001,$AQ468)="","",INDEX(Raw_D2!$E$2:$E$1001,$AQ468)),IF($AR468&lt;&gt;"",IF(INDEX(Raw_D3!$M$2:$M$1001,$AR468)="","",INDEX(Raw_D3!$M$2:$M$1001,$AR468)),"")))</f>
        <v>0.4627</v>
      </c>
      <c r="N468" s="5">
        <f>IF($A468="","",IF($AQ468&lt;&gt;"",IF(INDEX(Raw_D2!$F$2:$F$1001,$AQ468)="","",INDEX(Raw_D2!$F$2:$F$1001,$AQ468)),IF($AR468&lt;&gt;"",IF(INDEX(Raw_D3!$N$2:$N$1001,$AR468)="","",INDEX(Raw_D3!$N$2:$N$1001,$AR468)),"")))</f>
        <v>6</v>
      </c>
      <c r="O468" s="5">
        <f>IF($A468="","",IF($AQ468&lt;&gt;"",IF(INDEX(Raw_D2!$G$2:$G$1001,$AQ468)="","",INDEX(Raw_D2!$G$2:$G$1001,$AQ468)),IF($AR468&lt;&gt;"",IF(INDEX(Raw_D3!$O$2:$O$1001,$AR468)="","",INDEX(Raw_D3!$O$2:$O$1001,$AR468)),"")))</f>
        <v>53</v>
      </c>
      <c r="P468" s="5">
        <f>IF($A468="","",IF($AQ468&lt;&gt;"",IF(INDEX(Raw_D2!$H$2:$H$1001,$AQ468)="","",INDEX(Raw_D2!$H$2:$H$1001,$AQ468)),IF($AR468&lt;&gt;"",IF(INDEX(Raw_D3!$P$2:$P$1001,$AR468)="","",INDEX(Raw_D3!$P$2:$P$1001,$AR468)),"")))</f>
        <v>59</v>
      </c>
      <c r="Q468" s="5" t="str">
        <f>IF($A468="","",IF(AND($AP468&lt;&gt;"",$AQ468&lt;&gt;""),"D1+D2",IF($AR468&lt;&gt;"","D3","Incomplete")))</f>
        <v>D1+D2</v>
      </c>
      <c r="R468" s="17">
        <f>IF($A468="","",IF($K468="",IF($J468="","",ROUND(Lookups!$K$5+Lookups!$K$4*$J468,4)),$K468))</f>
        <v>0.1818</v>
      </c>
      <c r="S468" s="5" t="str">
        <f>IF($A468="","",IF($K468="","Imputed","Original"))</f>
        <v>Original</v>
      </c>
      <c r="T468" s="5" t="str">
        <f>IF($A468="","",IF($P468="","Missing",IF($P468=$N468+$O468,"OK","Mismatch")))</f>
        <v>OK</v>
      </c>
      <c r="U468" s="5" t="str">
        <f>IF($A468="","",IF(COUNTIF($A$2:$A468,$A468)&gt;1,"Duplicate","Unique"))</f>
        <v>Unique</v>
      </c>
      <c r="V468" s="5">
        <f>IF($A468="","",IF(AND($U468="Unique",ISNUMBER($P468)),1,0))</f>
        <v>1</v>
      </c>
      <c r="W468" s="5" t="str">
        <f>IF($A468="","",IF(OR($H468=0,$H468=6),"Weekend","Weekday"))</f>
        <v>Weekday</v>
      </c>
      <c r="X468" s="5" t="str">
        <f>IF($A468="","",TEXT($B468,"ddd"))</f>
        <v>Fri</v>
      </c>
      <c r="Y468" s="5" t="str">
        <f>IF($A468="","",TEXT($B468,"mmm"))</f>
        <v>Jan</v>
      </c>
      <c r="Z468" s="5" t="str">
        <f>IF($A468="","",IFERROR(VLOOKUP($C468,Lookups!$D$4:$E$7,2,FALSE),"Unknown"))</f>
        <v>Winter</v>
      </c>
      <c r="AA468" s="5" t="str">
        <f>IF($A468="","",IFERROR(VLOOKUP($I468,Lookups!$A$4:$B$7,2,FALSE),"Unknown"))</f>
        <v>Clear</v>
      </c>
      <c r="AB468" s="5" t="str">
        <f>IF($A468="","",TEXT($F468,"00")&amp;":00")</f>
        <v>11:00</v>
      </c>
      <c r="AC468" s="5" t="str">
        <f>IF($A468="","",VLOOKUP($F468,Lookups!$G$4:$H$8,2,TRUE))</f>
        <v>Midday (10-15)</v>
      </c>
      <c r="AD468" s="18">
        <f>IF($A468="","",IF($J468="","",ROUND($J468*41,1)))</f>
        <v>9</v>
      </c>
      <c r="AE468" s="18">
        <f>IF($A468="","",IF($R468="","",ROUND($R468*50,1)))</f>
        <v>9.1</v>
      </c>
      <c r="AF468" s="5">
        <f>IF($A468="","",IF($L468="","",ROUND($L468*100,0)))</f>
        <v>41</v>
      </c>
      <c r="AG468" s="18">
        <f>IF($A468="","",IF($M468="","",ROUND($M468*67,1)))</f>
        <v>31</v>
      </c>
      <c r="AH468" s="19">
        <f>IF($A468="","",IF($P468="","",IF($P468=0,0,$O468/$P468)))</f>
        <v>0.898305084745763</v>
      </c>
      <c r="AI468" s="5" t="str">
        <f>IF($A468="","",IF($P468="","",IF($P468&gt;=Lookups!$K$7,"High",IF($P468&lt;=Lookups!$K$8,"Low","Medium"))))</f>
        <v>Medium</v>
      </c>
      <c r="AJ468" s="5" t="str">
        <f>IF($A468="","",IF($AD468="","",IF($AD468&lt;5,"Under 5 C",IF($AD468&lt;10,"5-10 C",IF($AD468&lt;15,"10-15 C","15 C and above")))))</f>
        <v>5-10 C</v>
      </c>
      <c r="AK468" s="5">
        <f>IF($A468="","",IF($P468="","",$P468^2))</f>
        <v>3481</v>
      </c>
      <c r="AL468" s="18">
        <f>IF($V468&lt;&gt;1,"",AVERAGEIFS(Clean_Data!$P$2:$P$1001,Clean_Data!$F$2:$F$1001,$F468,Clean_Data!$W$2:$W$1001,$W468,Clean_Data!$V$2:$V$1001,1))</f>
        <v>50.6071428571429</v>
      </c>
      <c r="AM468" s="16">
        <f>IF($V468&lt;&gt;1,"",IFERROR(($P468-$AL468)/SQRT(MAX(0,(SUMIFS(Clean_Data!$AK$2:$AK$1001,Clean_Data!$F$2:$F$1001,$F468,Clean_Data!$W$2:$W$1001,$W468,Clean_Data!$V$2:$V$1001,1)-COUNTIFS(Clean_Data!$F$2:$F$1001,$F468,Clean_Data!$W$2:$W$1001,$W468,Clean_Data!$V$2:$V$1001,1)*$AL468^2)/(COUNTIFS(Clean_Data!$F$2:$F$1001,$F468,Clean_Data!$W$2:$W$1001,$W468,Clean_Data!$V$2:$V$1001,1)-1))),""))</f>
        <v>0.749163353150164</v>
      </c>
      <c r="AN468" s="5" t="str">
        <f>IF($AM468="","",IF($AM468&gt;=Lookups!$K$6,"High spike",IF($AM468&lt;=-Lookups!$K$6,"Unusual low","Normal")))</f>
        <v>Normal</v>
      </c>
      <c r="AO468" s="20">
        <f>IF($V468&lt;&gt;1,"",$P468+ROW()/100000)</f>
        <v>59.00468</v>
      </c>
      <c r="AP468" s="5">
        <f>IF($A468="","",IFERROR(MATCH($A468,Raw_D1!$A$2:$A$1001,0),""))</f>
        <v>467</v>
      </c>
      <c r="AQ468" s="5">
        <f>IF($A468="","",IFERROR(MATCH($A468,Raw_D2!$B$2:$B$1001,0),""))</f>
        <v>467</v>
      </c>
      <c r="AR468" s="5">
        <f>IF($A468="","",IFERROR(MATCH($A468,Raw_D3!$A$2:$A$1001,0),""))</f>
        <v/>
      </c>
    </row>
    <row r="469" spans="1:44" x14ac:dyDescent="0.25">
      <c r="A469" s="5">
        <v>468</v>
      </c>
      <c r="B469" s="11">
        <f>IF($A469="","",IF($AP469&lt;&gt;"",INDEX(Raw_D1!$B$2:$B$1001,$AP469),IF($AR469&lt;&gt;"",INDEX(Raw_D3!$B$2:$B$1001,$AR469),"")))</f>
        <v>40564.0</v>
      </c>
      <c r="C469" s="5">
        <f>IF($A469="","",IF($AP469&lt;&gt;"",INDEX(Raw_D1!$C$2:$C$1001,$AP469),IF($AR469&lt;&gt;"",INDEX(Raw_D3!$C$2:$C$1001,$AR469),"")))</f>
        <v>1</v>
      </c>
      <c r="D469" s="5">
        <f>IF($A469="","",IF($AP469&lt;&gt;"",INDEX(Raw_D1!$D$2:$D$1001,$AP469),IF($AR469&lt;&gt;"",INDEX(Raw_D3!$D$2:$D$1001,$AR469),"")))</f>
        <v>0</v>
      </c>
      <c r="E469" s="5">
        <f>IF($A469="","",IF($AP469&lt;&gt;"",INDEX(Raw_D1!$E$2:$E$1001,$AP469),IF($AR469&lt;&gt;"",INDEX(Raw_D3!$E$2:$E$1001,$AR469),"")))</f>
        <v>1</v>
      </c>
      <c r="F469" s="5">
        <f>IF($A469="","",IF($AP469&lt;&gt;"",INDEX(Raw_D1!$F$2:$F$1001,$AP469),IF($AR469&lt;&gt;"",INDEX(Raw_D3!$F$2:$F$1001,$AR469),"")))</f>
        <v>12</v>
      </c>
      <c r="G469" s="5">
        <f>IF($A469="","",IF($AP469&lt;&gt;"",IF(INDEX(Raw_D1!$G$2:$G$1001,$AP469),1,0),IF($AR469&lt;&gt;"",IF(INDEX(Raw_D3!$G$2:$G$1001,$AR469),1,0),"")))</f>
        <v>0</v>
      </c>
      <c r="H469" s="5">
        <f>IF($A469="","",IF($AP469&lt;&gt;"",INDEX(Raw_D1!$H$2:$H$1001,$AP469),IF($AR469&lt;&gt;"",INDEX(Raw_D3!$H$2:$H$1001,$AR469),"")))</f>
        <v>5</v>
      </c>
      <c r="I469" s="5">
        <f>IF($A469="","",IF($AP469&lt;&gt;"",INDEX(Raw_D1!$I$2:$I$1001,$AP469),IF($AR469&lt;&gt;"",INDEX(Raw_D3!$I$2:$I$1001,$AR469),"")))</f>
        <v>1</v>
      </c>
      <c r="J469" s="16">
        <f>IF($A469="","",IF($AP469&lt;&gt;"",INDEX(Raw_D1!$J$2:$J$1001,$AP469),IF($AR469&lt;&gt;"",INDEX(Raw_D3!$J$2:$J$1001,$AR469),"")))</f>
        <v>0.22</v>
      </c>
      <c r="K469" s="17">
        <f>IF($A469="","",IF($AQ469&lt;&gt;"",IF(INDEX(Raw_D2!$C$2:$C$1001,$AQ469)="","",INDEX(Raw_D2!$C$2:$C$1001,$AQ469)),IF($AR469&lt;&gt;"",IF(INDEX(Raw_D3!$K$2:$K$1001,$AR469)="","",INDEX(Raw_D3!$K$2:$K$1001,$AR469)),"")))</f>
        <v>0.1818</v>
      </c>
      <c r="L469" s="16">
        <f>IF($A469="","",IF($AQ469&lt;&gt;"",IF(INDEX(Raw_D2!$D$2:$D$1001,$AQ469)="","",INDEX(Raw_D2!$D$2:$D$1001,$AQ469)),IF($AR469&lt;&gt;"",IF(INDEX(Raw_D3!$L$2:$L$1001,$AR469)="","",INDEX(Raw_D3!$L$2:$L$1001,$AR469)),"")))</f>
        <v>0.27</v>
      </c>
      <c r="M469" s="17">
        <f>IF($A469="","",IF($AQ469&lt;&gt;"",IF(INDEX(Raw_D2!$E$2:$E$1001,$AQ469)="","",INDEX(Raw_D2!$E$2:$E$1001,$AQ469)),IF($AR469&lt;&gt;"",IF(INDEX(Raw_D3!$M$2:$M$1001,$AR469)="","",INDEX(Raw_D3!$M$2:$M$1001,$AR469)),"")))</f>
        <v>0.5821</v>
      </c>
      <c r="N469" s="5">
        <f>IF($A469="","",IF($AQ469&lt;&gt;"",IF(INDEX(Raw_D2!$F$2:$F$1001,$AQ469)="","",INDEX(Raw_D2!$F$2:$F$1001,$AQ469)),IF($AR469&lt;&gt;"",IF(INDEX(Raw_D3!$N$2:$N$1001,$AR469)="","",INDEX(Raw_D3!$N$2:$N$1001,$AR469)),"")))</f>
        <v>11</v>
      </c>
      <c r="O469" s="5">
        <f>IF($A469="","",IF($AQ469&lt;&gt;"",IF(INDEX(Raw_D2!$G$2:$G$1001,$AQ469)="","",INDEX(Raw_D2!$G$2:$G$1001,$AQ469)),IF($AR469&lt;&gt;"",IF(INDEX(Raw_D3!$O$2:$O$1001,$AR469)="","",INDEX(Raw_D3!$O$2:$O$1001,$AR469)),"")))</f>
        <v>67</v>
      </c>
      <c r="P469" s="5">
        <f>IF($A469="","",IF($AQ469&lt;&gt;"",IF(INDEX(Raw_D2!$H$2:$H$1001,$AQ469)="","",INDEX(Raw_D2!$H$2:$H$1001,$AQ469)),IF($AR469&lt;&gt;"",IF(INDEX(Raw_D3!$P$2:$P$1001,$AR469)="","",INDEX(Raw_D3!$P$2:$P$1001,$AR469)),"")))</f>
        <v>78</v>
      </c>
      <c r="Q469" s="5" t="str">
        <f>IF($A469="","",IF(AND($AP469&lt;&gt;"",$AQ469&lt;&gt;""),"D1+D2",IF($AR469&lt;&gt;"","D3","Incomplete")))</f>
        <v>D1+D2</v>
      </c>
      <c r="R469" s="17">
        <f>IF($A469="","",IF($K469="",IF($J469="","",ROUND(Lookups!$K$5+Lookups!$K$4*$J469,4)),$K469))</f>
        <v>0.1818</v>
      </c>
      <c r="S469" s="5" t="str">
        <f>IF($A469="","",IF($K469="","Imputed","Original"))</f>
        <v>Original</v>
      </c>
      <c r="T469" s="5" t="str">
        <f>IF($A469="","",IF($P469="","Missing",IF($P469=$N469+$O469,"OK","Mismatch")))</f>
        <v>OK</v>
      </c>
      <c r="U469" s="5" t="str">
        <f>IF($A469="","",IF(COUNTIF($A$2:$A469,$A469)&gt;1,"Duplicate","Unique"))</f>
        <v>Unique</v>
      </c>
      <c r="V469" s="5">
        <f>IF($A469="","",IF(AND($U469="Unique",ISNUMBER($P469)),1,0))</f>
        <v>1</v>
      </c>
      <c r="W469" s="5" t="str">
        <f>IF($A469="","",IF(OR($H469=0,$H469=6),"Weekend","Weekday"))</f>
        <v>Weekday</v>
      </c>
      <c r="X469" s="5" t="str">
        <f>IF($A469="","",TEXT($B469,"ddd"))</f>
        <v>Fri</v>
      </c>
      <c r="Y469" s="5" t="str">
        <f>IF($A469="","",TEXT($B469,"mmm"))</f>
        <v>Jan</v>
      </c>
      <c r="Z469" s="5" t="str">
        <f>IF($A469="","",IFERROR(VLOOKUP($C469,Lookups!$D$4:$E$7,2,FALSE),"Unknown"))</f>
        <v>Winter</v>
      </c>
      <c r="AA469" s="5" t="str">
        <f>IF($A469="","",IFERROR(VLOOKUP($I469,Lookups!$A$4:$B$7,2,FALSE),"Unknown"))</f>
        <v>Clear</v>
      </c>
      <c r="AB469" s="5" t="str">
        <f>IF($A469="","",TEXT($F469,"00")&amp;":00")</f>
        <v>12:00</v>
      </c>
      <c r="AC469" s="5" t="str">
        <f>IF($A469="","",VLOOKUP($F469,Lookups!$G$4:$H$8,2,TRUE))</f>
        <v>Midday (10-15)</v>
      </c>
      <c r="AD469" s="18">
        <f>IF($A469="","",IF($J469="","",ROUND($J469*41,1)))</f>
        <v>9</v>
      </c>
      <c r="AE469" s="18">
        <f>IF($A469="","",IF($R469="","",ROUND($R469*50,1)))</f>
        <v>9.1</v>
      </c>
      <c r="AF469" s="5">
        <f>IF($A469="","",IF($L469="","",ROUND($L469*100,0)))</f>
        <v>27</v>
      </c>
      <c r="AG469" s="18">
        <f>IF($A469="","",IF($M469="","",ROUND($M469*67,1)))</f>
        <v>39</v>
      </c>
      <c r="AH469" s="19">
        <f>IF($A469="","",IF($P469="","",IF($P469=0,0,$O469/$P469)))</f>
        <v>0.858974358974359</v>
      </c>
      <c r="AI469" s="5" t="str">
        <f>IF($A469="","",IF($P469="","",IF($P469&gt;=Lookups!$K$7,"High",IF($P469&lt;=Lookups!$K$8,"Low","Medium"))))</f>
        <v>Medium</v>
      </c>
      <c r="AJ469" s="5" t="str">
        <f>IF($A469="","",IF($AD469="","",IF($AD469&lt;5,"Under 5 C",IF($AD469&lt;10,"5-10 C",IF($AD469&lt;15,"10-15 C","15 C and above")))))</f>
        <v>5-10 C</v>
      </c>
      <c r="AK469" s="5">
        <f>IF($A469="","",IF($P469="","",$P469^2))</f>
        <v>6084</v>
      </c>
      <c r="AL469" s="18">
        <f>IF($V469&lt;&gt;1,"",AVERAGEIFS(Clean_Data!$P$2:$P$1001,Clean_Data!$F$2:$F$1001,$F469,Clean_Data!$W$2:$W$1001,$W469,Clean_Data!$V$2:$V$1001,1))</f>
        <v>64.5862068965517</v>
      </c>
      <c r="AM469" s="16">
        <f>IF($V469&lt;&gt;1,"",IFERROR(($P469-$AL469)/SQRT(MAX(0,(SUMIFS(Clean_Data!$AK$2:$AK$1001,Clean_Data!$F$2:$F$1001,$F469,Clean_Data!$W$2:$W$1001,$W469,Clean_Data!$V$2:$V$1001,1)-COUNTIFS(Clean_Data!$F$2:$F$1001,$F469,Clean_Data!$W$2:$W$1001,$W469,Clean_Data!$V$2:$V$1001,1)*$AL469^2)/(COUNTIFS(Clean_Data!$F$2:$F$1001,$F469,Clean_Data!$W$2:$W$1001,$W469,Clean_Data!$V$2:$V$1001,1)-1))),""))</f>
        <v>0.716229164257117</v>
      </c>
      <c r="AN469" s="5" t="str">
        <f>IF($AM469="","",IF($AM469&gt;=Lookups!$K$6,"High spike",IF($AM469&lt;=-Lookups!$K$6,"Unusual low","Normal")))</f>
        <v>Normal</v>
      </c>
      <c r="AO469" s="20">
        <f>IF($V469&lt;&gt;1,"",$P469+ROW()/100000)</f>
        <v>78.00469</v>
      </c>
      <c r="AP469" s="5">
        <f>IF($A469="","",IFERROR(MATCH($A469,Raw_D1!$A$2:$A$1001,0),""))</f>
        <v>468</v>
      </c>
      <c r="AQ469" s="5">
        <f>IF($A469="","",IFERROR(MATCH($A469,Raw_D2!$B$2:$B$1001,0),""))</f>
        <v>468</v>
      </c>
      <c r="AR469" s="5">
        <f>IF($A469="","",IFERROR(MATCH($A469,Raw_D3!$A$2:$A$1001,0),""))</f>
        <v/>
      </c>
    </row>
    <row r="470" spans="1:44" x14ac:dyDescent="0.25">
      <c r="A470" s="5">
        <v>469</v>
      </c>
      <c r="B470" s="11">
        <f>IF($A470="","",IF($AP470&lt;&gt;"",INDEX(Raw_D1!$B$2:$B$1001,$AP470),IF($AR470&lt;&gt;"",INDEX(Raw_D3!$B$2:$B$1001,$AR470),"")))</f>
        <v>40564.0</v>
      </c>
      <c r="C470" s="5">
        <f>IF($A470="","",IF($AP470&lt;&gt;"",INDEX(Raw_D1!$C$2:$C$1001,$AP470),IF($AR470&lt;&gt;"",INDEX(Raw_D3!$C$2:$C$1001,$AR470),"")))</f>
        <v>1</v>
      </c>
      <c r="D470" s="5">
        <f>IF($A470="","",IF($AP470&lt;&gt;"",INDEX(Raw_D1!$D$2:$D$1001,$AP470),IF($AR470&lt;&gt;"",INDEX(Raw_D3!$D$2:$D$1001,$AR470),"")))</f>
        <v>0</v>
      </c>
      <c r="E470" s="5">
        <f>IF($A470="","",IF($AP470&lt;&gt;"",INDEX(Raw_D1!$E$2:$E$1001,$AP470),IF($AR470&lt;&gt;"",INDEX(Raw_D3!$E$2:$E$1001,$AR470),"")))</f>
        <v>1</v>
      </c>
      <c r="F470" s="5">
        <f>IF($A470="","",IF($AP470&lt;&gt;"",INDEX(Raw_D1!$F$2:$F$1001,$AP470),IF($AR470&lt;&gt;"",INDEX(Raw_D3!$F$2:$F$1001,$AR470),"")))</f>
        <v>13</v>
      </c>
      <c r="G470" s="5">
        <f>IF($A470="","",IF($AP470&lt;&gt;"",IF(INDEX(Raw_D1!$G$2:$G$1001,$AP470),1,0),IF($AR470&lt;&gt;"",IF(INDEX(Raw_D3!$G$2:$G$1001,$AR470),1,0),"")))</f>
        <v>0</v>
      </c>
      <c r="H470" s="5">
        <f>IF($A470="","",IF($AP470&lt;&gt;"",INDEX(Raw_D1!$H$2:$H$1001,$AP470),IF($AR470&lt;&gt;"",INDEX(Raw_D3!$H$2:$H$1001,$AR470),"")))</f>
        <v>5</v>
      </c>
      <c r="I470" s="5">
        <f>IF($A470="","",IF($AP470&lt;&gt;"",INDEX(Raw_D1!$I$2:$I$1001,$AP470),IF($AR470&lt;&gt;"",INDEX(Raw_D3!$I$2:$I$1001,$AR470),"")))</f>
        <v>1</v>
      </c>
      <c r="J470" s="16">
        <f>IF($A470="","",IF($AP470&lt;&gt;"",INDEX(Raw_D1!$J$2:$J$1001,$AP470),IF($AR470&lt;&gt;"",INDEX(Raw_D3!$J$2:$J$1001,$AR470),"")))</f>
        <v>0.2</v>
      </c>
      <c r="K470" s="17">
        <f>IF($A470="","",IF($AQ470&lt;&gt;"",IF(INDEX(Raw_D2!$C$2:$C$1001,$AQ470)="","",INDEX(Raw_D2!$C$2:$C$1001,$AQ470)),IF($AR470&lt;&gt;"",IF(INDEX(Raw_D3!$K$2:$K$1001,$AR470)="","",INDEX(Raw_D3!$K$2:$K$1001,$AR470)),"")))</f>
        <v>0.1515</v>
      </c>
      <c r="L470" s="16">
        <f>IF($A470="","",IF($AQ470&lt;&gt;"",IF(INDEX(Raw_D2!$D$2:$D$1001,$AQ470)="","",INDEX(Raw_D2!$D$2:$D$1001,$AQ470)),IF($AR470&lt;&gt;"",IF(INDEX(Raw_D3!$L$2:$L$1001,$AR470)="","",INDEX(Raw_D3!$L$2:$L$1001,$AR470)),"")))</f>
        <v>0.21</v>
      </c>
      <c r="M470" s="17">
        <f>IF($A470="","",IF($AQ470&lt;&gt;"",IF(INDEX(Raw_D2!$E$2:$E$1001,$AQ470)="","",INDEX(Raw_D2!$E$2:$E$1001,$AQ470)),IF($AR470&lt;&gt;"",IF(INDEX(Raw_D3!$M$2:$M$1001,$AR470)="","",INDEX(Raw_D3!$M$2:$M$1001,$AR470)),"")))</f>
        <v>0.5821</v>
      </c>
      <c r="N470" s="5">
        <f>IF($A470="","",IF($AQ470&lt;&gt;"",IF(INDEX(Raw_D2!$F$2:$F$1001,$AQ470)="","",INDEX(Raw_D2!$F$2:$F$1001,$AQ470)),IF($AR470&lt;&gt;"",IF(INDEX(Raw_D3!$N$2:$N$1001,$AR470)="","",INDEX(Raw_D3!$N$2:$N$1001,$AR470)),"")))</f>
        <v>8</v>
      </c>
      <c r="O470" s="5">
        <f>IF($A470="","",IF($AQ470&lt;&gt;"",IF(INDEX(Raw_D2!$G$2:$G$1001,$AQ470)="","",INDEX(Raw_D2!$G$2:$G$1001,$AQ470)),IF($AR470&lt;&gt;"",IF(INDEX(Raw_D3!$O$2:$O$1001,$AR470)="","",INDEX(Raw_D3!$O$2:$O$1001,$AR470)),"")))</f>
        <v>65</v>
      </c>
      <c r="P470" s="5">
        <f>IF($A470="","",IF($AQ470&lt;&gt;"",IF(INDEX(Raw_D2!$H$2:$H$1001,$AQ470)="","",INDEX(Raw_D2!$H$2:$H$1001,$AQ470)),IF($AR470&lt;&gt;"",IF(INDEX(Raw_D3!$P$2:$P$1001,$AR470)="","",INDEX(Raw_D3!$P$2:$P$1001,$AR470)),"")))</f>
        <v>73</v>
      </c>
      <c r="Q470" s="5" t="str">
        <f>IF($A470="","",IF(AND($AP470&lt;&gt;"",$AQ470&lt;&gt;""),"D1+D2",IF($AR470&lt;&gt;"","D3","Incomplete")))</f>
        <v>D1+D2</v>
      </c>
      <c r="R470" s="17">
        <f>IF($A470="","",IF($K470="",IF($J470="","",ROUND(Lookups!$K$5+Lookups!$K$4*$J470,4)),$K470))</f>
        <v>0.1515</v>
      </c>
      <c r="S470" s="5" t="str">
        <f>IF($A470="","",IF($K470="","Imputed","Original"))</f>
        <v>Original</v>
      </c>
      <c r="T470" s="5" t="str">
        <f>IF($A470="","",IF($P470="","Missing",IF($P470=$N470+$O470,"OK","Mismatch")))</f>
        <v>OK</v>
      </c>
      <c r="U470" s="5" t="str">
        <f>IF($A470="","",IF(COUNTIF($A$2:$A470,$A470)&gt;1,"Duplicate","Unique"))</f>
        <v>Unique</v>
      </c>
      <c r="V470" s="5">
        <f>IF($A470="","",IF(AND($U470="Unique",ISNUMBER($P470)),1,0))</f>
        <v>1</v>
      </c>
      <c r="W470" s="5" t="str">
        <f>IF($A470="","",IF(OR($H470=0,$H470=6),"Weekend","Weekday"))</f>
        <v>Weekday</v>
      </c>
      <c r="X470" s="5" t="str">
        <f>IF($A470="","",TEXT($B470,"ddd"))</f>
        <v>Fri</v>
      </c>
      <c r="Y470" s="5" t="str">
        <f>IF($A470="","",TEXT($B470,"mmm"))</f>
        <v>Jan</v>
      </c>
      <c r="Z470" s="5" t="str">
        <f>IF($A470="","",IFERROR(VLOOKUP($C470,Lookups!$D$4:$E$7,2,FALSE),"Unknown"))</f>
        <v>Winter</v>
      </c>
      <c r="AA470" s="5" t="str">
        <f>IF($A470="","",IFERROR(VLOOKUP($I470,Lookups!$A$4:$B$7,2,FALSE),"Unknown"))</f>
        <v>Clear</v>
      </c>
      <c r="AB470" s="5" t="str">
        <f>IF($A470="","",TEXT($F470,"00")&amp;":00")</f>
        <v>13:00</v>
      </c>
      <c r="AC470" s="5" t="str">
        <f>IF($A470="","",VLOOKUP($F470,Lookups!$G$4:$H$8,2,TRUE))</f>
        <v>Midday (10-15)</v>
      </c>
      <c r="AD470" s="18">
        <f>IF($A470="","",IF($J470="","",ROUND($J470*41,1)))</f>
        <v>8.2</v>
      </c>
      <c r="AE470" s="18">
        <f>IF($A470="","",IF($R470="","",ROUND($R470*50,1)))</f>
        <v>7.6</v>
      </c>
      <c r="AF470" s="5">
        <f>IF($A470="","",IF($L470="","",ROUND($L470*100,0)))</f>
        <v>21</v>
      </c>
      <c r="AG470" s="18">
        <f>IF($A470="","",IF($M470="","",ROUND($M470*67,1)))</f>
        <v>39</v>
      </c>
      <c r="AH470" s="19">
        <f>IF($A470="","",IF($P470="","",IF($P470=0,0,$O470/$P470)))</f>
        <v>0.89041095890411</v>
      </c>
      <c r="AI470" s="5" t="str">
        <f>IF($A470="","",IF($P470="","",IF($P470&gt;=Lookups!$K$7,"High",IF($P470&lt;=Lookups!$K$8,"Low","Medium"))))</f>
        <v>Medium</v>
      </c>
      <c r="AJ470" s="5" t="str">
        <f>IF($A470="","",IF($AD470="","",IF($AD470&lt;5,"Under 5 C",IF($AD470&lt;10,"5-10 C",IF($AD470&lt;15,"10-15 C","15 C and above")))))</f>
        <v>5-10 C</v>
      </c>
      <c r="AK470" s="5">
        <f>IF($A470="","",IF($P470="","",$P470^2))</f>
        <v>5329</v>
      </c>
      <c r="AL470" s="18">
        <f>IF($V470&lt;&gt;1,"",AVERAGEIFS(Clean_Data!$P$2:$P$1001,Clean_Data!$F$2:$F$1001,$F470,Clean_Data!$W$2:$W$1001,$W470,Clean_Data!$V$2:$V$1001,1))</f>
        <v>67.1724137931034</v>
      </c>
      <c r="AM470" s="16">
        <f>IF($V470&lt;&gt;1,"",IFERROR(($P470-$AL470)/SQRT(MAX(0,(SUMIFS(Clean_Data!$AK$2:$AK$1001,Clean_Data!$F$2:$F$1001,$F470,Clean_Data!$W$2:$W$1001,$W470,Clean_Data!$V$2:$V$1001,1)-COUNTIFS(Clean_Data!$F$2:$F$1001,$F470,Clean_Data!$W$2:$W$1001,$W470,Clean_Data!$V$2:$V$1001,1)*$AL470^2)/(COUNTIFS(Clean_Data!$F$2:$F$1001,$F470,Clean_Data!$W$2:$W$1001,$W470,Clean_Data!$V$2:$V$1001,1)-1))),""))</f>
        <v>0.288607836172639</v>
      </c>
      <c r="AN470" s="5" t="str">
        <f>IF($AM470="","",IF($AM470&gt;=Lookups!$K$6,"High spike",IF($AM470&lt;=-Lookups!$K$6,"Unusual low","Normal")))</f>
        <v>Normal</v>
      </c>
      <c r="AO470" s="20">
        <f>IF($V470&lt;&gt;1,"",$P470+ROW()/100000)</f>
        <v>73.0047</v>
      </c>
      <c r="AP470" s="5">
        <f>IF($A470="","",IFERROR(MATCH($A470,Raw_D1!$A$2:$A$1001,0),""))</f>
        <v>469</v>
      </c>
      <c r="AQ470" s="5">
        <f>IF($A470="","",IFERROR(MATCH($A470,Raw_D2!$B$2:$B$1001,0),""))</f>
        <v>469</v>
      </c>
      <c r="AR470" s="5">
        <f>IF($A470="","",IFERROR(MATCH($A470,Raw_D3!$A$2:$A$1001,0),""))</f>
        <v/>
      </c>
    </row>
    <row r="471" spans="1:44" x14ac:dyDescent="0.25">
      <c r="A471" s="5">
        <v>470</v>
      </c>
      <c r="B471" s="11">
        <f>IF($A471="","",IF($AP471&lt;&gt;"",INDEX(Raw_D1!$B$2:$B$1001,$AP471),IF($AR471&lt;&gt;"",INDEX(Raw_D3!$B$2:$B$1001,$AR471),"")))</f>
        <v>40564.0</v>
      </c>
      <c r="C471" s="5">
        <f>IF($A471="","",IF($AP471&lt;&gt;"",INDEX(Raw_D1!$C$2:$C$1001,$AP471),IF($AR471&lt;&gt;"",INDEX(Raw_D3!$C$2:$C$1001,$AR471),"")))</f>
        <v>1</v>
      </c>
      <c r="D471" s="5">
        <f>IF($A471="","",IF($AP471&lt;&gt;"",INDEX(Raw_D1!$D$2:$D$1001,$AP471),IF($AR471&lt;&gt;"",INDEX(Raw_D3!$D$2:$D$1001,$AR471),"")))</f>
        <v>0</v>
      </c>
      <c r="E471" s="5">
        <f>IF($A471="","",IF($AP471&lt;&gt;"",INDEX(Raw_D1!$E$2:$E$1001,$AP471),IF($AR471&lt;&gt;"",INDEX(Raw_D3!$E$2:$E$1001,$AR471),"")))</f>
        <v>1</v>
      </c>
      <c r="F471" s="5">
        <f>IF($A471="","",IF($AP471&lt;&gt;"",INDEX(Raw_D1!$F$2:$F$1001,$AP471),IF($AR471&lt;&gt;"",INDEX(Raw_D3!$F$2:$F$1001,$AR471),"")))</f>
        <v>14</v>
      </c>
      <c r="G471" s="5">
        <f>IF($A471="","",IF($AP471&lt;&gt;"",IF(INDEX(Raw_D1!$G$2:$G$1001,$AP471),1,0),IF($AR471&lt;&gt;"",IF(INDEX(Raw_D3!$G$2:$G$1001,$AR471),1,0),"")))</f>
        <v>0</v>
      </c>
      <c r="H471" s="5">
        <f>IF($A471="","",IF($AP471&lt;&gt;"",INDEX(Raw_D1!$H$2:$H$1001,$AP471),IF($AR471&lt;&gt;"",INDEX(Raw_D3!$H$2:$H$1001,$AR471),"")))</f>
        <v>5</v>
      </c>
      <c r="I471" s="5">
        <f>IF($A471="","",IF($AP471&lt;&gt;"",INDEX(Raw_D1!$I$2:$I$1001,$AP471),IF($AR471&lt;&gt;"",INDEX(Raw_D3!$I$2:$I$1001,$AR471),"")))</f>
        <v>1</v>
      </c>
      <c r="J471" s="16">
        <f>IF($A471="","",IF($AP471&lt;&gt;"",INDEX(Raw_D1!$J$2:$J$1001,$AP471),IF($AR471&lt;&gt;"",INDEX(Raw_D3!$J$2:$J$1001,$AR471),"")))</f>
        <v>0.2</v>
      </c>
      <c r="K471" s="17">
        <f>IF($A471="","",IF($AQ471&lt;&gt;"",IF(INDEX(Raw_D2!$C$2:$C$1001,$AQ471)="","",INDEX(Raw_D2!$C$2:$C$1001,$AQ471)),IF($AR471&lt;&gt;"",IF(INDEX(Raw_D3!$K$2:$K$1001,$AR471)="","",INDEX(Raw_D3!$K$2:$K$1001,$AR471)),"")))</f>
        <v>0.1515</v>
      </c>
      <c r="L471" s="16">
        <f>IF($A471="","",IF($AQ471&lt;&gt;"",IF(INDEX(Raw_D2!$D$2:$D$1001,$AQ471)="","",INDEX(Raw_D2!$D$2:$D$1001,$AQ471)),IF($AR471&lt;&gt;"",IF(INDEX(Raw_D3!$L$2:$L$1001,$AR471)="","",INDEX(Raw_D3!$L$2:$L$1001,$AR471)),"")))</f>
        <v>0.25</v>
      </c>
      <c r="M471" s="17">
        <f>IF($A471="","",IF($AQ471&lt;&gt;"",IF(INDEX(Raw_D2!$E$2:$E$1001,$AQ471)="","",INDEX(Raw_D2!$E$2:$E$1001,$AQ471)),IF($AR471&lt;&gt;"",IF(INDEX(Raw_D3!$M$2:$M$1001,$AR471)="","",INDEX(Raw_D3!$M$2:$M$1001,$AR471)),"")))</f>
        <v>0.5224</v>
      </c>
      <c r="N471" s="5">
        <f>IF($A471="","",IF($AQ471&lt;&gt;"",IF(INDEX(Raw_D2!$F$2:$F$1001,$AQ471)="","",INDEX(Raw_D2!$F$2:$F$1001,$AQ471)),IF($AR471&lt;&gt;"",IF(INDEX(Raw_D3!$N$2:$N$1001,$AR471)="","",INDEX(Raw_D3!$N$2:$N$1001,$AR471)),"")))</f>
        <v>6</v>
      </c>
      <c r="O471" s="5">
        <f>IF($A471="","",IF($AQ471&lt;&gt;"",IF(INDEX(Raw_D2!$G$2:$G$1001,$AQ471)="","",INDEX(Raw_D2!$G$2:$G$1001,$AQ471)),IF($AR471&lt;&gt;"",IF(INDEX(Raw_D3!$O$2:$O$1001,$AR471)="","",INDEX(Raw_D3!$O$2:$O$1001,$AR471)),"")))</f>
        <v>56</v>
      </c>
      <c r="P471" s="5">
        <f>IF($A471="","",IF($AQ471&lt;&gt;"",IF(INDEX(Raw_D2!$H$2:$H$1001,$AQ471)="","",INDEX(Raw_D2!$H$2:$H$1001,$AQ471)),IF($AR471&lt;&gt;"",IF(INDEX(Raw_D3!$P$2:$P$1001,$AR471)="","",INDEX(Raw_D3!$P$2:$P$1001,$AR471)),"")))</f>
        <v>62</v>
      </c>
      <c r="Q471" s="5" t="str">
        <f>IF($A471="","",IF(AND($AP471&lt;&gt;"",$AQ471&lt;&gt;""),"D1+D2",IF($AR471&lt;&gt;"","D3","Incomplete")))</f>
        <v>D1+D2</v>
      </c>
      <c r="R471" s="17">
        <f>IF($A471="","",IF($K471="",IF($J471="","",ROUND(Lookups!$K$5+Lookups!$K$4*$J471,4)),$K471))</f>
        <v>0.1515</v>
      </c>
      <c r="S471" s="5" t="str">
        <f>IF($A471="","",IF($K471="","Imputed","Original"))</f>
        <v>Original</v>
      </c>
      <c r="T471" s="5" t="str">
        <f>IF($A471="","",IF($P471="","Missing",IF($P471=$N471+$O471,"OK","Mismatch")))</f>
        <v>OK</v>
      </c>
      <c r="U471" s="5" t="str">
        <f>IF($A471="","",IF(COUNTIF($A$2:$A471,$A471)&gt;1,"Duplicate","Unique"))</f>
        <v>Unique</v>
      </c>
      <c r="V471" s="5">
        <f>IF($A471="","",IF(AND($U471="Unique",ISNUMBER($P471)),1,0))</f>
        <v>1</v>
      </c>
      <c r="W471" s="5" t="str">
        <f>IF($A471="","",IF(OR($H471=0,$H471=6),"Weekend","Weekday"))</f>
        <v>Weekday</v>
      </c>
      <c r="X471" s="5" t="str">
        <f>IF($A471="","",TEXT($B471,"ddd"))</f>
        <v>Fri</v>
      </c>
      <c r="Y471" s="5" t="str">
        <f>IF($A471="","",TEXT($B471,"mmm"))</f>
        <v>Jan</v>
      </c>
      <c r="Z471" s="5" t="str">
        <f>IF($A471="","",IFERROR(VLOOKUP($C471,Lookups!$D$4:$E$7,2,FALSE),"Unknown"))</f>
        <v>Winter</v>
      </c>
      <c r="AA471" s="5" t="str">
        <f>IF($A471="","",IFERROR(VLOOKUP($I471,Lookups!$A$4:$B$7,2,FALSE),"Unknown"))</f>
        <v>Clear</v>
      </c>
      <c r="AB471" s="5" t="str">
        <f>IF($A471="","",TEXT($F471,"00")&amp;":00")</f>
        <v>14:00</v>
      </c>
      <c r="AC471" s="5" t="str">
        <f>IF($A471="","",VLOOKUP($F471,Lookups!$G$4:$H$8,2,TRUE))</f>
        <v>Midday (10-15)</v>
      </c>
      <c r="AD471" s="18">
        <f>IF($A471="","",IF($J471="","",ROUND($J471*41,1)))</f>
        <v>8.2</v>
      </c>
      <c r="AE471" s="18">
        <f>IF($A471="","",IF($R471="","",ROUND($R471*50,1)))</f>
        <v>7.6</v>
      </c>
      <c r="AF471" s="5">
        <f>IF($A471="","",IF($L471="","",ROUND($L471*100,0)))</f>
        <v>25</v>
      </c>
      <c r="AG471" s="18">
        <f>IF($A471="","",IF($M471="","",ROUND($M471*67,1)))</f>
        <v>35</v>
      </c>
      <c r="AH471" s="19">
        <f>IF($A471="","",IF($P471="","",IF($P471=0,0,$O471/$P471)))</f>
        <v>0.903225806451613</v>
      </c>
      <c r="AI471" s="5" t="str">
        <f>IF($A471="","",IF($P471="","",IF($P471&gt;=Lookups!$K$7,"High",IF($P471&lt;=Lookups!$K$8,"Low","Medium"))))</f>
        <v>Medium</v>
      </c>
      <c r="AJ471" s="5" t="str">
        <f>IF($A471="","",IF($AD471="","",IF($AD471&lt;5,"Under 5 C",IF($AD471&lt;10,"5-10 C",IF($AD471&lt;15,"10-15 C","15 C and above")))))</f>
        <v>5-10 C</v>
      </c>
      <c r="AK471" s="5">
        <f>IF($A471="","",IF($P471="","",$P471^2))</f>
        <v>3844</v>
      </c>
      <c r="AL471" s="18">
        <f>IF($V471&lt;&gt;1,"",AVERAGEIFS(Clean_Data!$P$2:$P$1001,Clean_Data!$F$2:$F$1001,$F471,Clean_Data!$W$2:$W$1001,$W471,Clean_Data!$V$2:$V$1001,1))</f>
        <v>60.551724137931</v>
      </c>
      <c r="AM471" s="16">
        <f>IF($V471&lt;&gt;1,"",IFERROR(($P471-$AL471)/SQRT(MAX(0,(SUMIFS(Clean_Data!$AK$2:$AK$1001,Clean_Data!$F$2:$F$1001,$F471,Clean_Data!$W$2:$W$1001,$W471,Clean_Data!$V$2:$V$1001,1)-COUNTIFS(Clean_Data!$F$2:$F$1001,$F471,Clean_Data!$W$2:$W$1001,$W471,Clean_Data!$V$2:$V$1001,1)*$AL471^2)/(COUNTIFS(Clean_Data!$F$2:$F$1001,$F471,Clean_Data!$W$2:$W$1001,$W471,Clean_Data!$V$2:$V$1001,1)-1))),""))</f>
        <v>0.0880393289112913</v>
      </c>
      <c r="AN471" s="5" t="str">
        <f>IF($AM471="","",IF($AM471&gt;=Lookups!$K$6,"High spike",IF($AM471&lt;=-Lookups!$K$6,"Unusual low","Normal")))</f>
        <v>Normal</v>
      </c>
      <c r="AO471" s="20">
        <f>IF($V471&lt;&gt;1,"",$P471+ROW()/100000)</f>
        <v>62.00471</v>
      </c>
      <c r="AP471" s="5">
        <f>IF($A471="","",IFERROR(MATCH($A471,Raw_D1!$A$2:$A$1001,0),""))</f>
        <v>470</v>
      </c>
      <c r="AQ471" s="5">
        <f>IF($A471="","",IFERROR(MATCH($A471,Raw_D2!$B$2:$B$1001,0),""))</f>
        <v>470</v>
      </c>
      <c r="AR471" s="5">
        <f>IF($A471="","",IFERROR(MATCH($A471,Raw_D3!$A$2:$A$1001,0),""))</f>
        <v/>
      </c>
    </row>
    <row r="472" spans="1:44" x14ac:dyDescent="0.25">
      <c r="A472" s="5">
        <v>471</v>
      </c>
      <c r="B472" s="11">
        <f>IF($A472="","",IF($AP472&lt;&gt;"",INDEX(Raw_D1!$B$2:$B$1001,$AP472),IF($AR472&lt;&gt;"",INDEX(Raw_D3!$B$2:$B$1001,$AR472),"")))</f>
        <v>40564.0</v>
      </c>
      <c r="C472" s="5">
        <f>IF($A472="","",IF($AP472&lt;&gt;"",INDEX(Raw_D1!$C$2:$C$1001,$AP472),IF($AR472&lt;&gt;"",INDEX(Raw_D3!$C$2:$C$1001,$AR472),"")))</f>
        <v>1</v>
      </c>
      <c r="D472" s="5">
        <f>IF($A472="","",IF($AP472&lt;&gt;"",INDEX(Raw_D1!$D$2:$D$1001,$AP472),IF($AR472&lt;&gt;"",INDEX(Raw_D3!$D$2:$D$1001,$AR472),"")))</f>
        <v>0</v>
      </c>
      <c r="E472" s="5">
        <f>IF($A472="","",IF($AP472&lt;&gt;"",INDEX(Raw_D1!$E$2:$E$1001,$AP472),IF($AR472&lt;&gt;"",INDEX(Raw_D3!$E$2:$E$1001,$AR472),"")))</f>
        <v>1</v>
      </c>
      <c r="F472" s="5">
        <f>IF($A472="","",IF($AP472&lt;&gt;"",INDEX(Raw_D1!$F$2:$F$1001,$AP472),IF($AR472&lt;&gt;"",INDEX(Raw_D3!$F$2:$F$1001,$AR472),"")))</f>
        <v>15</v>
      </c>
      <c r="G472" s="5">
        <f>IF($A472="","",IF($AP472&lt;&gt;"",IF(INDEX(Raw_D1!$G$2:$G$1001,$AP472),1,0),IF($AR472&lt;&gt;"",IF(INDEX(Raw_D3!$G$2:$G$1001,$AR472),1,0),"")))</f>
        <v>0</v>
      </c>
      <c r="H472" s="5">
        <f>IF($A472="","",IF($AP472&lt;&gt;"",INDEX(Raw_D1!$H$2:$H$1001,$AP472),IF($AR472&lt;&gt;"",INDEX(Raw_D3!$H$2:$H$1001,$AR472),"")))</f>
        <v>5</v>
      </c>
      <c r="I472" s="5">
        <f>IF($A472="","",IF($AP472&lt;&gt;"",INDEX(Raw_D1!$I$2:$I$1001,$AP472),IF($AR472&lt;&gt;"",INDEX(Raw_D3!$I$2:$I$1001,$AR472),"")))</f>
        <v>1</v>
      </c>
      <c r="J472" s="16">
        <f>IF($A472="","",IF($AP472&lt;&gt;"",INDEX(Raw_D1!$J$2:$J$1001,$AP472),IF($AR472&lt;&gt;"",INDEX(Raw_D3!$J$2:$J$1001,$AR472),"")))</f>
        <v>0.16</v>
      </c>
      <c r="K472" s="17">
        <f>IF($A472="","",IF($AQ472&lt;&gt;"",IF(INDEX(Raw_D2!$C$2:$C$1001,$AQ472)="","",INDEX(Raw_D2!$C$2:$C$1001,$AQ472)),IF($AR472&lt;&gt;"",IF(INDEX(Raw_D3!$K$2:$K$1001,$AR472)="","",INDEX(Raw_D3!$K$2:$K$1001,$AR472)),"")))</f>
        <v>0.1212</v>
      </c>
      <c r="L472" s="16">
        <f>IF($A472="","",IF($AQ472&lt;&gt;"",IF(INDEX(Raw_D2!$D$2:$D$1001,$AQ472)="","",INDEX(Raw_D2!$D$2:$D$1001,$AQ472)),IF($AR472&lt;&gt;"",IF(INDEX(Raw_D3!$L$2:$L$1001,$AR472)="","",INDEX(Raw_D3!$L$2:$L$1001,$AR472)),"")))</f>
        <v>0.26</v>
      </c>
      <c r="M472" s="17">
        <f>IF($A472="","",IF($AQ472&lt;&gt;"",IF(INDEX(Raw_D2!$E$2:$E$1001,$AQ472)="","",INDEX(Raw_D2!$E$2:$E$1001,$AQ472)),IF($AR472&lt;&gt;"",IF(INDEX(Raw_D3!$M$2:$M$1001,$AR472)="","",INDEX(Raw_D3!$M$2:$M$1001,$AR472)),"")))</f>
        <v>0.4478</v>
      </c>
      <c r="N472" s="5">
        <f>IF($A472="","",IF($AQ472&lt;&gt;"",IF(INDEX(Raw_D2!$F$2:$F$1001,$AQ472)="","",INDEX(Raw_D2!$F$2:$F$1001,$AQ472)),IF($AR472&lt;&gt;"",IF(INDEX(Raw_D3!$N$2:$N$1001,$AR472)="","",INDEX(Raw_D3!$N$2:$N$1001,$AR472)),"")))</f>
        <v>4</v>
      </c>
      <c r="O472" s="5">
        <f>IF($A472="","",IF($AQ472&lt;&gt;"",IF(INDEX(Raw_D2!$G$2:$G$1001,$AQ472)="","",INDEX(Raw_D2!$G$2:$G$1001,$AQ472)),IF($AR472&lt;&gt;"",IF(INDEX(Raw_D3!$O$2:$O$1001,$AR472)="","",INDEX(Raw_D3!$O$2:$O$1001,$AR472)),"")))</f>
        <v>61</v>
      </c>
      <c r="P472" s="5">
        <f>IF($A472="","",IF($AQ472&lt;&gt;"",IF(INDEX(Raw_D2!$H$2:$H$1001,$AQ472)="","",INDEX(Raw_D2!$H$2:$H$1001,$AQ472)),IF($AR472&lt;&gt;"",IF(INDEX(Raw_D3!$P$2:$P$1001,$AR472)="","",INDEX(Raw_D3!$P$2:$P$1001,$AR472)),"")))</f>
        <v>65</v>
      </c>
      <c r="Q472" s="5" t="str">
        <f>IF($A472="","",IF(AND($AP472&lt;&gt;"",$AQ472&lt;&gt;""),"D1+D2",IF($AR472&lt;&gt;"","D3","Incomplete")))</f>
        <v>D1+D2</v>
      </c>
      <c r="R472" s="17">
        <f>IF($A472="","",IF($K472="",IF($J472="","",ROUND(Lookups!$K$5+Lookups!$K$4*$J472,4)),$K472))</f>
        <v>0.1212</v>
      </c>
      <c r="S472" s="5" t="str">
        <f>IF($A472="","",IF($K472="","Imputed","Original"))</f>
        <v>Original</v>
      </c>
      <c r="T472" s="5" t="str">
        <f>IF($A472="","",IF($P472="","Missing",IF($P472=$N472+$O472,"OK","Mismatch")))</f>
        <v>OK</v>
      </c>
      <c r="U472" s="5" t="str">
        <f>IF($A472="","",IF(COUNTIF($A$2:$A472,$A472)&gt;1,"Duplicate","Unique"))</f>
        <v>Unique</v>
      </c>
      <c r="V472" s="5">
        <f>IF($A472="","",IF(AND($U472="Unique",ISNUMBER($P472)),1,0))</f>
        <v>1</v>
      </c>
      <c r="W472" s="5" t="str">
        <f>IF($A472="","",IF(OR($H472=0,$H472=6),"Weekend","Weekday"))</f>
        <v>Weekday</v>
      </c>
      <c r="X472" s="5" t="str">
        <f>IF($A472="","",TEXT($B472,"ddd"))</f>
        <v>Fri</v>
      </c>
      <c r="Y472" s="5" t="str">
        <f>IF($A472="","",TEXT($B472,"mmm"))</f>
        <v>Jan</v>
      </c>
      <c r="Z472" s="5" t="str">
        <f>IF($A472="","",IFERROR(VLOOKUP($C472,Lookups!$D$4:$E$7,2,FALSE),"Unknown"))</f>
        <v>Winter</v>
      </c>
      <c r="AA472" s="5" t="str">
        <f>IF($A472="","",IFERROR(VLOOKUP($I472,Lookups!$A$4:$B$7,2,FALSE),"Unknown"))</f>
        <v>Clear</v>
      </c>
      <c r="AB472" s="5" t="str">
        <f>IF($A472="","",TEXT($F472,"00")&amp;":00")</f>
        <v>15:00</v>
      </c>
      <c r="AC472" s="5" t="str">
        <f>IF($A472="","",VLOOKUP($F472,Lookups!$G$4:$H$8,2,TRUE))</f>
        <v>Midday (10-15)</v>
      </c>
      <c r="AD472" s="18">
        <f>IF($A472="","",IF($J472="","",ROUND($J472*41,1)))</f>
        <v>6.6</v>
      </c>
      <c r="AE472" s="18">
        <f>IF($A472="","",IF($R472="","",ROUND($R472*50,1)))</f>
        <v>6.1</v>
      </c>
      <c r="AF472" s="5">
        <f>IF($A472="","",IF($L472="","",ROUND($L472*100,0)))</f>
        <v>26</v>
      </c>
      <c r="AG472" s="18">
        <f>IF($A472="","",IF($M472="","",ROUND($M472*67,1)))</f>
        <v>30</v>
      </c>
      <c r="AH472" s="19">
        <f>IF($A472="","",IF($P472="","",IF($P472=0,0,$O472/$P472)))</f>
        <v>0.938461538461539</v>
      </c>
      <c r="AI472" s="5" t="str">
        <f>IF($A472="","",IF($P472="","",IF($P472&gt;=Lookups!$K$7,"High",IF($P472&lt;=Lookups!$K$8,"Low","Medium"))))</f>
        <v>Medium</v>
      </c>
      <c r="AJ472" s="5" t="str">
        <f>IF($A472="","",IF($AD472="","",IF($AD472&lt;5,"Under 5 C",IF($AD472&lt;10,"5-10 C",IF($AD472&lt;15,"10-15 C","15 C and above")))))</f>
        <v>5-10 C</v>
      </c>
      <c r="AK472" s="5">
        <f>IF($A472="","",IF($P472="","",$P472^2))</f>
        <v>4225</v>
      </c>
      <c r="AL472" s="18">
        <f>IF($V472&lt;&gt;1,"",AVERAGEIFS(Clean_Data!$P$2:$P$1001,Clean_Data!$F$2:$F$1001,$F472,Clean_Data!$W$2:$W$1001,$W472,Clean_Data!$V$2:$V$1001,1))</f>
        <v>61.4827586206897</v>
      </c>
      <c r="AM472" s="16">
        <f>IF($V472&lt;&gt;1,"",IFERROR(($P472-$AL472)/SQRT(MAX(0,(SUMIFS(Clean_Data!$AK$2:$AK$1001,Clean_Data!$F$2:$F$1001,$F472,Clean_Data!$W$2:$W$1001,$W472,Clean_Data!$V$2:$V$1001,1)-COUNTIFS(Clean_Data!$F$2:$F$1001,$F472,Clean_Data!$W$2:$W$1001,$W472,Clean_Data!$V$2:$V$1001,1)*$AL472^2)/(COUNTIFS(Clean_Data!$F$2:$F$1001,$F472,Clean_Data!$W$2:$W$1001,$W472,Clean_Data!$V$2:$V$1001,1)-1))),""))</f>
        <v>0.233314639957222</v>
      </c>
      <c r="AN472" s="5" t="str">
        <f>IF($AM472="","",IF($AM472&gt;=Lookups!$K$6,"High spike",IF($AM472&lt;=-Lookups!$K$6,"Unusual low","Normal")))</f>
        <v>Normal</v>
      </c>
      <c r="AO472" s="20">
        <f>IF($V472&lt;&gt;1,"",$P472+ROW()/100000)</f>
        <v>65.00472</v>
      </c>
      <c r="AP472" s="5">
        <f>IF($A472="","",IFERROR(MATCH($A472,Raw_D1!$A$2:$A$1001,0),""))</f>
        <v>471</v>
      </c>
      <c r="AQ472" s="5">
        <f>IF($A472="","",IFERROR(MATCH($A472,Raw_D2!$B$2:$B$1001,0),""))</f>
        <v>471</v>
      </c>
      <c r="AR472" s="5">
        <f>IF($A472="","",IFERROR(MATCH($A472,Raw_D3!$A$2:$A$1001,0),""))</f>
        <v/>
      </c>
    </row>
    <row r="473" spans="1:44" x14ac:dyDescent="0.25">
      <c r="A473" s="5">
        <v>472</v>
      </c>
      <c r="B473" s="11">
        <f>IF($A473="","",IF($AP473&lt;&gt;"",INDEX(Raw_D1!$B$2:$B$1001,$AP473),IF($AR473&lt;&gt;"",INDEX(Raw_D3!$B$2:$B$1001,$AR473),"")))</f>
        <v>40564.0</v>
      </c>
      <c r="C473" s="5">
        <f>IF($A473="","",IF($AP473&lt;&gt;"",INDEX(Raw_D1!$C$2:$C$1001,$AP473),IF($AR473&lt;&gt;"",INDEX(Raw_D3!$C$2:$C$1001,$AR473),"")))</f>
        <v>1</v>
      </c>
      <c r="D473" s="5">
        <f>IF($A473="","",IF($AP473&lt;&gt;"",INDEX(Raw_D1!$D$2:$D$1001,$AP473),IF($AR473&lt;&gt;"",INDEX(Raw_D3!$D$2:$D$1001,$AR473),"")))</f>
        <v>0</v>
      </c>
      <c r="E473" s="5">
        <f>IF($A473="","",IF($AP473&lt;&gt;"",INDEX(Raw_D1!$E$2:$E$1001,$AP473),IF($AR473&lt;&gt;"",INDEX(Raw_D3!$E$2:$E$1001,$AR473),"")))</f>
        <v>1</v>
      </c>
      <c r="F473" s="5">
        <f>IF($A473="","",IF($AP473&lt;&gt;"",INDEX(Raw_D1!$F$2:$F$1001,$AP473),IF($AR473&lt;&gt;"",INDEX(Raw_D3!$F$2:$F$1001,$AR473),"")))</f>
        <v>16</v>
      </c>
      <c r="G473" s="5">
        <f>IF($A473="","",IF($AP473&lt;&gt;"",IF(INDEX(Raw_D1!$G$2:$G$1001,$AP473),1,0),IF($AR473&lt;&gt;"",IF(INDEX(Raw_D3!$G$2:$G$1001,$AR473),1,0),"")))</f>
        <v>0</v>
      </c>
      <c r="H473" s="5">
        <f>IF($A473="","",IF($AP473&lt;&gt;"",INDEX(Raw_D1!$H$2:$H$1001,$AP473),IF($AR473&lt;&gt;"",INDEX(Raw_D3!$H$2:$H$1001,$AR473),"")))</f>
        <v>5</v>
      </c>
      <c r="I473" s="5">
        <f>IF($A473="","",IF($AP473&lt;&gt;"",INDEX(Raw_D1!$I$2:$I$1001,$AP473),IF($AR473&lt;&gt;"",INDEX(Raw_D3!$I$2:$I$1001,$AR473),"")))</f>
        <v>1</v>
      </c>
      <c r="J473" s="16">
        <f>IF($A473="","",IF($AP473&lt;&gt;"",INDEX(Raw_D1!$J$2:$J$1001,$AP473),IF($AR473&lt;&gt;"",INDEX(Raw_D3!$J$2:$J$1001,$AR473),"")))</f>
        <v>0.16</v>
      </c>
      <c r="K473" s="17">
        <f>IF($A473="","",IF($AQ473&lt;&gt;"",IF(INDEX(Raw_D2!$C$2:$C$1001,$AQ473)="","",INDEX(Raw_D2!$C$2:$C$1001,$AQ473)),IF($AR473&lt;&gt;"",IF(INDEX(Raw_D3!$K$2:$K$1001,$AR473)="","",INDEX(Raw_D3!$K$2:$K$1001,$AR473)),"")))</f>
        <v>0.1364</v>
      </c>
      <c r="L473" s="16">
        <f>IF($A473="","",IF($AQ473&lt;&gt;"",IF(INDEX(Raw_D2!$D$2:$D$1001,$AQ473)="","",INDEX(Raw_D2!$D$2:$D$1001,$AQ473)),IF($AR473&lt;&gt;"",IF(INDEX(Raw_D3!$L$2:$L$1001,$AR473)="","",INDEX(Raw_D3!$L$2:$L$1001,$AR473)),"")))</f>
        <v>0.26</v>
      </c>
      <c r="M473" s="17">
        <f>IF($A473="","",IF($AQ473&lt;&gt;"",IF(INDEX(Raw_D2!$E$2:$E$1001,$AQ473)="","",INDEX(Raw_D2!$E$2:$E$1001,$AQ473)),IF($AR473&lt;&gt;"",IF(INDEX(Raw_D3!$M$2:$M$1001,$AR473)="","",INDEX(Raw_D3!$M$2:$M$1001,$AR473)),"")))</f>
        <v>0.3582</v>
      </c>
      <c r="N473" s="5">
        <f>IF($A473="","",IF($AQ473&lt;&gt;"",IF(INDEX(Raw_D2!$F$2:$F$1001,$AQ473)="","",INDEX(Raw_D2!$F$2:$F$1001,$AQ473)),IF($AR473&lt;&gt;"",IF(INDEX(Raw_D3!$N$2:$N$1001,$AR473)="","",INDEX(Raw_D3!$N$2:$N$1001,$AR473)),"")))</f>
        <v>0</v>
      </c>
      <c r="O473" s="5">
        <f>IF($A473="","",IF($AQ473&lt;&gt;"",IF(INDEX(Raw_D2!$G$2:$G$1001,$AQ473)="","",INDEX(Raw_D2!$G$2:$G$1001,$AQ473)),IF($AR473&lt;&gt;"",IF(INDEX(Raw_D3!$O$2:$O$1001,$AR473)="","",INDEX(Raw_D3!$O$2:$O$1001,$AR473)),"")))</f>
        <v>97</v>
      </c>
      <c r="P473" s="5">
        <f>IF($A473="","",IF($AQ473&lt;&gt;"",IF(INDEX(Raw_D2!$H$2:$H$1001,$AQ473)="","",INDEX(Raw_D2!$H$2:$H$1001,$AQ473)),IF($AR473&lt;&gt;"",IF(INDEX(Raw_D3!$P$2:$P$1001,$AR473)="","",INDEX(Raw_D3!$P$2:$P$1001,$AR473)),"")))</f>
        <v>97</v>
      </c>
      <c r="Q473" s="5" t="str">
        <f>IF($A473="","",IF(AND($AP473&lt;&gt;"",$AQ473&lt;&gt;""),"D1+D2",IF($AR473&lt;&gt;"","D3","Incomplete")))</f>
        <v>D1+D2</v>
      </c>
      <c r="R473" s="17">
        <f>IF($A473="","",IF($K473="",IF($J473="","",ROUND(Lookups!$K$5+Lookups!$K$4*$J473,4)),$K473))</f>
        <v>0.1364</v>
      </c>
      <c r="S473" s="5" t="str">
        <f>IF($A473="","",IF($K473="","Imputed","Original"))</f>
        <v>Original</v>
      </c>
      <c r="T473" s="5" t="str">
        <f>IF($A473="","",IF($P473="","Missing",IF($P473=$N473+$O473,"OK","Mismatch")))</f>
        <v>OK</v>
      </c>
      <c r="U473" s="5" t="str">
        <f>IF($A473="","",IF(COUNTIF($A$2:$A473,$A473)&gt;1,"Duplicate","Unique"))</f>
        <v>Unique</v>
      </c>
      <c r="V473" s="5">
        <f>IF($A473="","",IF(AND($U473="Unique",ISNUMBER($P473)),1,0))</f>
        <v>1</v>
      </c>
      <c r="W473" s="5" t="str">
        <f>IF($A473="","",IF(OR($H473=0,$H473=6),"Weekend","Weekday"))</f>
        <v>Weekday</v>
      </c>
      <c r="X473" s="5" t="str">
        <f>IF($A473="","",TEXT($B473,"ddd"))</f>
        <v>Fri</v>
      </c>
      <c r="Y473" s="5" t="str">
        <f>IF($A473="","",TEXT($B473,"mmm"))</f>
        <v>Jan</v>
      </c>
      <c r="Z473" s="5" t="str">
        <f>IF($A473="","",IFERROR(VLOOKUP($C473,Lookups!$D$4:$E$7,2,FALSE),"Unknown"))</f>
        <v>Winter</v>
      </c>
      <c r="AA473" s="5" t="str">
        <f>IF($A473="","",IFERROR(VLOOKUP($I473,Lookups!$A$4:$B$7,2,FALSE),"Unknown"))</f>
        <v>Clear</v>
      </c>
      <c r="AB473" s="5" t="str">
        <f>IF($A473="","",TEXT($F473,"00")&amp;":00")</f>
        <v>16:00</v>
      </c>
      <c r="AC473" s="5" t="str">
        <f>IF($A473="","",VLOOKUP($F473,Lookups!$G$4:$H$8,2,TRUE))</f>
        <v>Evening Peak (16-19)</v>
      </c>
      <c r="AD473" s="18">
        <f>IF($A473="","",IF($J473="","",ROUND($J473*41,1)))</f>
        <v>6.6</v>
      </c>
      <c r="AE473" s="18">
        <f>IF($A473="","",IF($R473="","",ROUND($R473*50,1)))</f>
        <v>6.8</v>
      </c>
      <c r="AF473" s="5">
        <f>IF($A473="","",IF($L473="","",ROUND($L473*100,0)))</f>
        <v>26</v>
      </c>
      <c r="AG473" s="18">
        <f>IF($A473="","",IF($M473="","",ROUND($M473*67,1)))</f>
        <v>24</v>
      </c>
      <c r="AH473" s="19">
        <f>IF($A473="","",IF($P473="","",IF($P473=0,0,$O473/$P473)))</f>
        <v>1</v>
      </c>
      <c r="AI473" s="5" t="str">
        <f>IF($A473="","",IF($P473="","",IF($P473&gt;=Lookups!$K$7,"High",IF($P473&lt;=Lookups!$K$8,"Low","Medium"))))</f>
        <v>High</v>
      </c>
      <c r="AJ473" s="5" t="str">
        <f>IF($A473="","",IF($AD473="","",IF($AD473&lt;5,"Under 5 C",IF($AD473&lt;10,"5-10 C",IF($AD473&lt;15,"10-15 C","15 C and above")))))</f>
        <v>5-10 C</v>
      </c>
      <c r="AK473" s="5">
        <f>IF($A473="","",IF($P473="","",$P473^2))</f>
        <v>9409</v>
      </c>
      <c r="AL473" s="18">
        <f>IF($V473&lt;&gt;1,"",AVERAGEIFS(Clean_Data!$P$2:$P$1001,Clean_Data!$F$2:$F$1001,$F473,Clean_Data!$W$2:$W$1001,$W473,Clean_Data!$V$2:$V$1001,1))</f>
        <v>82.6333333333333</v>
      </c>
      <c r="AM473" s="16">
        <f>IF($V473&lt;&gt;1,"",IFERROR(($P473-$AL473)/SQRT(MAX(0,(SUMIFS(Clean_Data!$AK$2:$AK$1001,Clean_Data!$F$2:$F$1001,$F473,Clean_Data!$W$2:$W$1001,$W473,Clean_Data!$V$2:$V$1001,1)-COUNTIFS(Clean_Data!$F$2:$F$1001,$F473,Clean_Data!$W$2:$W$1001,$W473,Clean_Data!$V$2:$V$1001,1)*$AL473^2)/(COUNTIFS(Clean_Data!$F$2:$F$1001,$F473,Clean_Data!$W$2:$W$1001,$W473,Clean_Data!$V$2:$V$1001,1)-1))),""))</f>
        <v>0.692573232063083</v>
      </c>
      <c r="AN473" s="5" t="str">
        <f>IF($AM473="","",IF($AM473&gt;=Lookups!$K$6,"High spike",IF($AM473&lt;=-Lookups!$K$6,"Unusual low","Normal")))</f>
        <v>Normal</v>
      </c>
      <c r="AO473" s="20">
        <f>IF($V473&lt;&gt;1,"",$P473+ROW()/100000)</f>
        <v>97.00473</v>
      </c>
      <c r="AP473" s="5">
        <f>IF($A473="","",IFERROR(MATCH($A473,Raw_D1!$A$2:$A$1001,0),""))</f>
        <v>472</v>
      </c>
      <c r="AQ473" s="5">
        <f>IF($A473="","",IFERROR(MATCH($A473,Raw_D2!$B$2:$B$1001,0),""))</f>
        <v>472</v>
      </c>
      <c r="AR473" s="5">
        <f>IF($A473="","",IFERROR(MATCH($A473,Raw_D3!$A$2:$A$1001,0),""))</f>
        <v/>
      </c>
    </row>
    <row r="474" spans="1:44" x14ac:dyDescent="0.25">
      <c r="A474" s="5">
        <v>473</v>
      </c>
      <c r="B474" s="11">
        <f>IF($A474="","",IF($AP474&lt;&gt;"",INDEX(Raw_D1!$B$2:$B$1001,$AP474),IF($AR474&lt;&gt;"",INDEX(Raw_D3!$B$2:$B$1001,$AR474),"")))</f>
        <v>40564.0</v>
      </c>
      <c r="C474" s="5">
        <f>IF($A474="","",IF($AP474&lt;&gt;"",INDEX(Raw_D1!$C$2:$C$1001,$AP474),IF($AR474&lt;&gt;"",INDEX(Raw_D3!$C$2:$C$1001,$AR474),"")))</f>
        <v>1</v>
      </c>
      <c r="D474" s="5">
        <f>IF($A474="","",IF($AP474&lt;&gt;"",INDEX(Raw_D1!$D$2:$D$1001,$AP474),IF($AR474&lt;&gt;"",INDEX(Raw_D3!$D$2:$D$1001,$AR474),"")))</f>
        <v>0</v>
      </c>
      <c r="E474" s="5">
        <f>IF($A474="","",IF($AP474&lt;&gt;"",INDEX(Raw_D1!$E$2:$E$1001,$AP474),IF($AR474&lt;&gt;"",INDEX(Raw_D3!$E$2:$E$1001,$AR474),"")))</f>
        <v>1</v>
      </c>
      <c r="F474" s="5">
        <f>IF($A474="","",IF($AP474&lt;&gt;"",INDEX(Raw_D1!$F$2:$F$1001,$AP474),IF($AR474&lt;&gt;"",INDEX(Raw_D3!$F$2:$F$1001,$AR474),"")))</f>
        <v>17</v>
      </c>
      <c r="G474" s="5">
        <f>IF($A474="","",IF($AP474&lt;&gt;"",IF(INDEX(Raw_D1!$G$2:$G$1001,$AP474),1,0),IF($AR474&lt;&gt;"",IF(INDEX(Raw_D3!$G$2:$G$1001,$AR474),1,0),"")))</f>
        <v>0</v>
      </c>
      <c r="H474" s="5">
        <f>IF($A474="","",IF($AP474&lt;&gt;"",INDEX(Raw_D1!$H$2:$H$1001,$AP474),IF($AR474&lt;&gt;"",INDEX(Raw_D3!$H$2:$H$1001,$AR474),"")))</f>
        <v>5</v>
      </c>
      <c r="I474" s="5">
        <f>IF($A474="","",IF($AP474&lt;&gt;"",INDEX(Raw_D1!$I$2:$I$1001,$AP474),IF($AR474&lt;&gt;"",INDEX(Raw_D3!$I$2:$I$1001,$AR474),"")))</f>
        <v>1</v>
      </c>
      <c r="J474" s="16">
        <f>IF($A474="","",IF($AP474&lt;&gt;"",INDEX(Raw_D1!$J$2:$J$1001,$AP474),IF($AR474&lt;&gt;"",INDEX(Raw_D3!$J$2:$J$1001,$AR474),"")))</f>
        <v>0.14</v>
      </c>
      <c r="K474" s="17">
        <f>IF($A474="","",IF($AQ474&lt;&gt;"",IF(INDEX(Raw_D2!$C$2:$C$1001,$AQ474)="","",INDEX(Raw_D2!$C$2:$C$1001,$AQ474)),IF($AR474&lt;&gt;"",IF(INDEX(Raw_D3!$K$2:$K$1001,$AR474)="","",INDEX(Raw_D3!$K$2:$K$1001,$AR474)),"")))</f>
        <v>0.1212</v>
      </c>
      <c r="L474" s="16">
        <f>IF($A474="","",IF($AQ474&lt;&gt;"",IF(INDEX(Raw_D2!$D$2:$D$1001,$AQ474)="","",INDEX(Raw_D2!$D$2:$D$1001,$AQ474)),IF($AR474&lt;&gt;"",IF(INDEX(Raw_D3!$L$2:$L$1001,$AR474)="","",INDEX(Raw_D3!$L$2:$L$1001,$AR474)),"")))</f>
        <v>0.28</v>
      </c>
      <c r="M474" s="17">
        <f>IF($A474="","",IF($AQ474&lt;&gt;"",IF(INDEX(Raw_D2!$E$2:$E$1001,$AQ474)="","",INDEX(Raw_D2!$E$2:$E$1001,$AQ474)),IF($AR474&lt;&gt;"",IF(INDEX(Raw_D3!$M$2:$M$1001,$AR474)="","",INDEX(Raw_D3!$M$2:$M$1001,$AR474)),"")))</f>
        <v>0.3582</v>
      </c>
      <c r="N474" s="5">
        <f>IF($A474="","",IF($AQ474&lt;&gt;"",IF(INDEX(Raw_D2!$F$2:$F$1001,$AQ474)="","",INDEX(Raw_D2!$F$2:$F$1001,$AQ474)),IF($AR474&lt;&gt;"",IF(INDEX(Raw_D3!$N$2:$N$1001,$AR474)="","",INDEX(Raw_D3!$N$2:$N$1001,$AR474)),"")))</f>
        <v>10</v>
      </c>
      <c r="O474" s="5">
        <f>IF($A474="","",IF($AQ474&lt;&gt;"",IF(INDEX(Raw_D2!$G$2:$G$1001,$AQ474)="","",INDEX(Raw_D2!$G$2:$G$1001,$AQ474)),IF($AR474&lt;&gt;"",IF(INDEX(Raw_D3!$O$2:$O$1001,$AR474)="","",INDEX(Raw_D3!$O$2:$O$1001,$AR474)),"")))</f>
        <v>151</v>
      </c>
      <c r="P474" s="5">
        <f>IF($A474="","",IF($AQ474&lt;&gt;"",IF(INDEX(Raw_D2!$H$2:$H$1001,$AQ474)="","",INDEX(Raw_D2!$H$2:$H$1001,$AQ474)),IF($AR474&lt;&gt;"",IF(INDEX(Raw_D3!$P$2:$P$1001,$AR474)="","",INDEX(Raw_D3!$P$2:$P$1001,$AR474)),"")))</f>
        <v>161</v>
      </c>
      <c r="Q474" s="5" t="str">
        <f>IF($A474="","",IF(AND($AP474&lt;&gt;"",$AQ474&lt;&gt;""),"D1+D2",IF($AR474&lt;&gt;"","D3","Incomplete")))</f>
        <v>D1+D2</v>
      </c>
      <c r="R474" s="17">
        <f>IF($A474="","",IF($K474="",IF($J474="","",ROUND(Lookups!$K$5+Lookups!$K$4*$J474,4)),$K474))</f>
        <v>0.1212</v>
      </c>
      <c r="S474" s="5" t="str">
        <f>IF($A474="","",IF($K474="","Imputed","Original"))</f>
        <v>Original</v>
      </c>
      <c r="T474" s="5" t="str">
        <f>IF($A474="","",IF($P474="","Missing",IF($P474=$N474+$O474,"OK","Mismatch")))</f>
        <v>OK</v>
      </c>
      <c r="U474" s="5" t="str">
        <f>IF($A474="","",IF(COUNTIF($A$2:$A474,$A474)&gt;1,"Duplicate","Unique"))</f>
        <v>Unique</v>
      </c>
      <c r="V474" s="5">
        <f>IF($A474="","",IF(AND($U474="Unique",ISNUMBER($P474)),1,0))</f>
        <v>1</v>
      </c>
      <c r="W474" s="5" t="str">
        <f>IF($A474="","",IF(OR($H474=0,$H474=6),"Weekend","Weekday"))</f>
        <v>Weekday</v>
      </c>
      <c r="X474" s="5" t="str">
        <f>IF($A474="","",TEXT($B474,"ddd"))</f>
        <v>Fri</v>
      </c>
      <c r="Y474" s="5" t="str">
        <f>IF($A474="","",TEXT($B474,"mmm"))</f>
        <v>Jan</v>
      </c>
      <c r="Z474" s="5" t="str">
        <f>IF($A474="","",IFERROR(VLOOKUP($C474,Lookups!$D$4:$E$7,2,FALSE),"Unknown"))</f>
        <v>Winter</v>
      </c>
      <c r="AA474" s="5" t="str">
        <f>IF($A474="","",IFERROR(VLOOKUP($I474,Lookups!$A$4:$B$7,2,FALSE),"Unknown"))</f>
        <v>Clear</v>
      </c>
      <c r="AB474" s="5" t="str">
        <f>IF($A474="","",TEXT($F474,"00")&amp;":00")</f>
        <v>17:00</v>
      </c>
      <c r="AC474" s="5" t="str">
        <f>IF($A474="","",VLOOKUP($F474,Lookups!$G$4:$H$8,2,TRUE))</f>
        <v>Evening Peak (16-19)</v>
      </c>
      <c r="AD474" s="18">
        <f>IF($A474="","",IF($J474="","",ROUND($J474*41,1)))</f>
        <v>5.7</v>
      </c>
      <c r="AE474" s="18">
        <f>IF($A474="","",IF($R474="","",ROUND($R474*50,1)))</f>
        <v>6.1</v>
      </c>
      <c r="AF474" s="5">
        <f>IF($A474="","",IF($L474="","",ROUND($L474*100,0)))</f>
        <v>28</v>
      </c>
      <c r="AG474" s="18">
        <f>IF($A474="","",IF($M474="","",ROUND($M474*67,1)))</f>
        <v>24</v>
      </c>
      <c r="AH474" s="19">
        <f>IF($A474="","",IF($P474="","",IF($P474=0,0,$O474/$P474)))</f>
        <v>0.937888198757764</v>
      </c>
      <c r="AI474" s="5" t="str">
        <f>IF($A474="","",IF($P474="","",IF($P474&gt;=Lookups!$K$7,"High",IF($P474&lt;=Lookups!$K$8,"Low","Medium"))))</f>
        <v>High</v>
      </c>
      <c r="AJ474" s="5" t="str">
        <f>IF($A474="","",IF($AD474="","",IF($AD474&lt;5,"Under 5 C",IF($AD474&lt;10,"5-10 C",IF($AD474&lt;15,"10-15 C","15 C and above")))))</f>
        <v>5-10 C</v>
      </c>
      <c r="AK474" s="5">
        <f>IF($A474="","",IF($P474="","",$P474^2))</f>
        <v>25921</v>
      </c>
      <c r="AL474" s="18">
        <f>IF($V474&lt;&gt;1,"",AVERAGEIFS(Clean_Data!$P$2:$P$1001,Clean_Data!$F$2:$F$1001,$F474,Clean_Data!$W$2:$W$1001,$W474,Clean_Data!$V$2:$V$1001,1))</f>
        <v>165.566666666667</v>
      </c>
      <c r="AM474" s="16">
        <f>IF($V474&lt;&gt;1,"",IFERROR(($P474-$AL474)/SQRT(MAX(0,(SUMIFS(Clean_Data!$AK$2:$AK$1001,Clean_Data!$F$2:$F$1001,$F474,Clean_Data!$W$2:$W$1001,$W474,Clean_Data!$V$2:$V$1001,1)-COUNTIFS(Clean_Data!$F$2:$F$1001,$F474,Clean_Data!$W$2:$W$1001,$W474,Clean_Data!$V$2:$V$1001,1)*$AL474^2)/(COUNTIFS(Clean_Data!$F$2:$F$1001,$F474,Clean_Data!$W$2:$W$1001,$W474,Clean_Data!$V$2:$V$1001,1)-1))),""))</f>
        <v>-0.103757051693836</v>
      </c>
      <c r="AN474" s="5" t="str">
        <f>IF($AM474="","",IF($AM474&gt;=Lookups!$K$6,"High spike",IF($AM474&lt;=-Lookups!$K$6,"Unusual low","Normal")))</f>
        <v>Normal</v>
      </c>
      <c r="AO474" s="20">
        <f>IF($V474&lt;&gt;1,"",$P474+ROW()/100000)</f>
        <v>161.00474</v>
      </c>
      <c r="AP474" s="5">
        <f>IF($A474="","",IFERROR(MATCH($A474,Raw_D1!$A$2:$A$1001,0),""))</f>
        <v>473</v>
      </c>
      <c r="AQ474" s="5">
        <f>IF($A474="","",IFERROR(MATCH($A474,Raw_D2!$B$2:$B$1001,0),""))</f>
        <v>473</v>
      </c>
      <c r="AR474" s="5">
        <f>IF($A474="","",IFERROR(MATCH($A474,Raw_D3!$A$2:$A$1001,0),""))</f>
        <v/>
      </c>
    </row>
    <row r="475" spans="1:44" x14ac:dyDescent="0.25">
      <c r="A475" s="5">
        <v>474</v>
      </c>
      <c r="B475" s="11">
        <f>IF($A475="","",IF($AP475&lt;&gt;"",INDEX(Raw_D1!$B$2:$B$1001,$AP475),IF($AR475&lt;&gt;"",INDEX(Raw_D3!$B$2:$B$1001,$AR475),"")))</f>
        <v>40564.0</v>
      </c>
      <c r="C475" s="5">
        <f>IF($A475="","",IF($AP475&lt;&gt;"",INDEX(Raw_D1!$C$2:$C$1001,$AP475),IF($AR475&lt;&gt;"",INDEX(Raw_D3!$C$2:$C$1001,$AR475),"")))</f>
        <v>1</v>
      </c>
      <c r="D475" s="5">
        <f>IF($A475="","",IF($AP475&lt;&gt;"",INDEX(Raw_D1!$D$2:$D$1001,$AP475),IF($AR475&lt;&gt;"",INDEX(Raw_D3!$D$2:$D$1001,$AR475),"")))</f>
        <v>0</v>
      </c>
      <c r="E475" s="5">
        <f>IF($A475="","",IF($AP475&lt;&gt;"",INDEX(Raw_D1!$E$2:$E$1001,$AP475),IF($AR475&lt;&gt;"",INDEX(Raw_D3!$E$2:$E$1001,$AR475),"")))</f>
        <v>1</v>
      </c>
      <c r="F475" s="5">
        <f>IF($A475="","",IF($AP475&lt;&gt;"",INDEX(Raw_D1!$F$2:$F$1001,$AP475),IF($AR475&lt;&gt;"",INDEX(Raw_D3!$F$2:$F$1001,$AR475),"")))</f>
        <v>18</v>
      </c>
      <c r="G475" s="5">
        <f>IF($A475="","",IF($AP475&lt;&gt;"",IF(INDEX(Raw_D1!$G$2:$G$1001,$AP475),1,0),IF($AR475&lt;&gt;"",IF(INDEX(Raw_D3!$G$2:$G$1001,$AR475),1,0),"")))</f>
        <v>0</v>
      </c>
      <c r="H475" s="5">
        <f>IF($A475="","",IF($AP475&lt;&gt;"",INDEX(Raw_D1!$H$2:$H$1001,$AP475),IF($AR475&lt;&gt;"",INDEX(Raw_D3!$H$2:$H$1001,$AR475),"")))</f>
        <v>5</v>
      </c>
      <c r="I475" s="5">
        <f>IF($A475="","",IF($AP475&lt;&gt;"",INDEX(Raw_D1!$I$2:$I$1001,$AP475),IF($AR475&lt;&gt;"",INDEX(Raw_D3!$I$2:$I$1001,$AR475),"")))</f>
        <v>1</v>
      </c>
      <c r="J475" s="16">
        <f>IF($A475="","",IF($AP475&lt;&gt;"",INDEX(Raw_D1!$J$2:$J$1001,$AP475),IF($AR475&lt;&gt;"",INDEX(Raw_D3!$J$2:$J$1001,$AR475),"")))</f>
        <v>0.12</v>
      </c>
      <c r="K475" s="17">
        <f>IF($A475="","",IF($AQ475&lt;&gt;"",IF(INDEX(Raw_D2!$C$2:$C$1001,$AQ475)="","",INDEX(Raw_D2!$C$2:$C$1001,$AQ475)),IF($AR475&lt;&gt;"",IF(INDEX(Raw_D3!$K$2:$K$1001,$AR475)="","",INDEX(Raw_D3!$K$2:$K$1001,$AR475)),"")))</f>
        <v>0.1212</v>
      </c>
      <c r="L475" s="16">
        <f>IF($A475="","",IF($AQ475&lt;&gt;"",IF(INDEX(Raw_D2!$D$2:$D$1001,$AQ475)="","",INDEX(Raw_D2!$D$2:$D$1001,$AQ475)),IF($AR475&lt;&gt;"",IF(INDEX(Raw_D3!$L$2:$L$1001,$AR475)="","",INDEX(Raw_D3!$L$2:$L$1001,$AR475)),"")))</f>
        <v>0.3</v>
      </c>
      <c r="M475" s="17">
        <f>IF($A475="","",IF($AQ475&lt;&gt;"",IF(INDEX(Raw_D2!$E$2:$E$1001,$AQ475)="","",INDEX(Raw_D2!$E$2:$E$1001,$AQ475)),IF($AR475&lt;&gt;"",IF(INDEX(Raw_D3!$M$2:$M$1001,$AR475)="","",INDEX(Raw_D3!$M$2:$M$1001,$AR475)),"")))</f>
        <v>0.2537</v>
      </c>
      <c r="N475" s="5">
        <f>IF($A475="","",IF($AQ475&lt;&gt;"",IF(INDEX(Raw_D2!$F$2:$F$1001,$AQ475)="","",INDEX(Raw_D2!$F$2:$F$1001,$AQ475)),IF($AR475&lt;&gt;"",IF(INDEX(Raw_D3!$N$2:$N$1001,$AR475)="","",INDEX(Raw_D3!$N$2:$N$1001,$AR475)),"")))</f>
        <v>1</v>
      </c>
      <c r="O475" s="5">
        <f>IF($A475="","",IF($AQ475&lt;&gt;"",IF(INDEX(Raw_D2!$G$2:$G$1001,$AQ475)="","",INDEX(Raw_D2!$G$2:$G$1001,$AQ475)),IF($AR475&lt;&gt;"",IF(INDEX(Raw_D3!$O$2:$O$1001,$AR475)="","",INDEX(Raw_D3!$O$2:$O$1001,$AR475)),"")))</f>
        <v>119</v>
      </c>
      <c r="P475" s="5">
        <f>IF($A475="","",IF($AQ475&lt;&gt;"",IF(INDEX(Raw_D2!$H$2:$H$1001,$AQ475)="","",INDEX(Raw_D2!$H$2:$H$1001,$AQ475)),IF($AR475&lt;&gt;"",IF(INDEX(Raw_D3!$P$2:$P$1001,$AR475)="","",INDEX(Raw_D3!$P$2:$P$1001,$AR475)),"")))</f>
        <v>120</v>
      </c>
      <c r="Q475" s="5" t="str">
        <f>IF($A475="","",IF(AND($AP475&lt;&gt;"",$AQ475&lt;&gt;""),"D1+D2",IF($AR475&lt;&gt;"","D3","Incomplete")))</f>
        <v>D1+D2</v>
      </c>
      <c r="R475" s="17">
        <f>IF($A475="","",IF($K475="",IF($J475="","",ROUND(Lookups!$K$5+Lookups!$K$4*$J475,4)),$K475))</f>
        <v>0.1212</v>
      </c>
      <c r="S475" s="5" t="str">
        <f>IF($A475="","",IF($K475="","Imputed","Original"))</f>
        <v>Original</v>
      </c>
      <c r="T475" s="5" t="str">
        <f>IF($A475="","",IF($P475="","Missing",IF($P475=$N475+$O475,"OK","Mismatch")))</f>
        <v>OK</v>
      </c>
      <c r="U475" s="5" t="str">
        <f>IF($A475="","",IF(COUNTIF($A$2:$A475,$A475)&gt;1,"Duplicate","Unique"))</f>
        <v>Unique</v>
      </c>
      <c r="V475" s="5">
        <f>IF($A475="","",IF(AND($U475="Unique",ISNUMBER($P475)),1,0))</f>
        <v>1</v>
      </c>
      <c r="W475" s="5" t="str">
        <f>IF($A475="","",IF(OR($H475=0,$H475=6),"Weekend","Weekday"))</f>
        <v>Weekday</v>
      </c>
      <c r="X475" s="5" t="str">
        <f>IF($A475="","",TEXT($B475,"ddd"))</f>
        <v>Fri</v>
      </c>
      <c r="Y475" s="5" t="str">
        <f>IF($A475="","",TEXT($B475,"mmm"))</f>
        <v>Jan</v>
      </c>
      <c r="Z475" s="5" t="str">
        <f>IF($A475="","",IFERROR(VLOOKUP($C475,Lookups!$D$4:$E$7,2,FALSE),"Unknown"))</f>
        <v>Winter</v>
      </c>
      <c r="AA475" s="5" t="str">
        <f>IF($A475="","",IFERROR(VLOOKUP($I475,Lookups!$A$4:$B$7,2,FALSE),"Unknown"))</f>
        <v>Clear</v>
      </c>
      <c r="AB475" s="5" t="str">
        <f>IF($A475="","",TEXT($F475,"00")&amp;":00")</f>
        <v>18:00</v>
      </c>
      <c r="AC475" s="5" t="str">
        <f>IF($A475="","",VLOOKUP($F475,Lookups!$G$4:$H$8,2,TRUE))</f>
        <v>Evening Peak (16-19)</v>
      </c>
      <c r="AD475" s="18">
        <f>IF($A475="","",IF($J475="","",ROUND($J475*41,1)))</f>
        <v>4.9</v>
      </c>
      <c r="AE475" s="18">
        <f>IF($A475="","",IF($R475="","",ROUND($R475*50,1)))</f>
        <v>6.1</v>
      </c>
      <c r="AF475" s="5">
        <f>IF($A475="","",IF($L475="","",ROUND($L475*100,0)))</f>
        <v>30</v>
      </c>
      <c r="AG475" s="18">
        <f>IF($A475="","",IF($M475="","",ROUND($M475*67,1)))</f>
        <v>17</v>
      </c>
      <c r="AH475" s="19">
        <f>IF($A475="","",IF($P475="","",IF($P475=0,0,$O475/$P475)))</f>
        <v>0.991666666666667</v>
      </c>
      <c r="AI475" s="5" t="str">
        <f>IF($A475="","",IF($P475="","",IF($P475&gt;=Lookups!$K$7,"High",IF($P475&lt;=Lookups!$K$8,"Low","Medium"))))</f>
        <v>High</v>
      </c>
      <c r="AJ475" s="5" t="str">
        <f>IF($A475="","",IF($AD475="","",IF($AD475&lt;5,"Under 5 C",IF($AD475&lt;10,"5-10 C",IF($AD475&lt;15,"10-15 C","15 C and above")))))</f>
        <v>Under 5 C</v>
      </c>
      <c r="AK475" s="5">
        <f>IF($A475="","",IF($P475="","",$P475^2))</f>
        <v>14400</v>
      </c>
      <c r="AL475" s="18">
        <f>IF($V475&lt;&gt;1,"",AVERAGEIFS(Clean_Data!$P$2:$P$1001,Clean_Data!$F$2:$F$1001,$F475,Clean_Data!$W$2:$W$1001,$W475,Clean_Data!$V$2:$V$1001,1))</f>
        <v>151.206896551724</v>
      </c>
      <c r="AM475" s="16">
        <f>IF($V475&lt;&gt;1,"",IFERROR(($P475-$AL475)/SQRT(MAX(0,(SUMIFS(Clean_Data!$AK$2:$AK$1001,Clean_Data!$F$2:$F$1001,$F475,Clean_Data!$W$2:$W$1001,$W475,Clean_Data!$V$2:$V$1001,1)-COUNTIFS(Clean_Data!$F$2:$F$1001,$F475,Clean_Data!$W$2:$W$1001,$W475,Clean_Data!$V$2:$V$1001,1)*$AL475^2)/(COUNTIFS(Clean_Data!$F$2:$F$1001,$F475,Clean_Data!$W$2:$W$1001,$W475,Clean_Data!$V$2:$V$1001,1)-1))),""))</f>
        <v>-1.06329095961703</v>
      </c>
      <c r="AN475" s="5" t="str">
        <f>IF($AM475="","",IF($AM475&gt;=Lookups!$K$6,"High spike",IF($AM475&lt;=-Lookups!$K$6,"Unusual low","Normal")))</f>
        <v>Normal</v>
      </c>
      <c r="AO475" s="20">
        <f>IF($V475&lt;&gt;1,"",$P475+ROW()/100000)</f>
        <v>120.00475</v>
      </c>
      <c r="AP475" s="5">
        <f>IF($A475="","",IFERROR(MATCH($A475,Raw_D1!$A$2:$A$1001,0),""))</f>
        <v>474</v>
      </c>
      <c r="AQ475" s="5">
        <f>IF($A475="","",IFERROR(MATCH($A475,Raw_D2!$B$2:$B$1001,0),""))</f>
        <v>474</v>
      </c>
      <c r="AR475" s="5">
        <f>IF($A475="","",IFERROR(MATCH($A475,Raw_D3!$A$2:$A$1001,0),""))</f>
        <v/>
      </c>
    </row>
    <row r="476" spans="1:44" x14ac:dyDescent="0.25">
      <c r="A476" s="5">
        <v>475</v>
      </c>
      <c r="B476" s="11">
        <f>IF($A476="","",IF($AP476&lt;&gt;"",INDEX(Raw_D1!$B$2:$B$1001,$AP476),IF($AR476&lt;&gt;"",INDEX(Raw_D3!$B$2:$B$1001,$AR476),"")))</f>
        <v>40564.0</v>
      </c>
      <c r="C476" s="5">
        <f>IF($A476="","",IF($AP476&lt;&gt;"",INDEX(Raw_D1!$C$2:$C$1001,$AP476),IF($AR476&lt;&gt;"",INDEX(Raw_D3!$C$2:$C$1001,$AR476),"")))</f>
        <v>1</v>
      </c>
      <c r="D476" s="5">
        <f>IF($A476="","",IF($AP476&lt;&gt;"",INDEX(Raw_D1!$D$2:$D$1001,$AP476),IF($AR476&lt;&gt;"",INDEX(Raw_D3!$D$2:$D$1001,$AR476),"")))</f>
        <v>0</v>
      </c>
      <c r="E476" s="5">
        <f>IF($A476="","",IF($AP476&lt;&gt;"",INDEX(Raw_D1!$E$2:$E$1001,$AP476),IF($AR476&lt;&gt;"",INDEX(Raw_D3!$E$2:$E$1001,$AR476),"")))</f>
        <v>1</v>
      </c>
      <c r="F476" s="5">
        <f>IF($A476="","",IF($AP476&lt;&gt;"",INDEX(Raw_D1!$F$2:$F$1001,$AP476),IF($AR476&lt;&gt;"",INDEX(Raw_D3!$F$2:$F$1001,$AR476),"")))</f>
        <v>19</v>
      </c>
      <c r="G476" s="5">
        <f>IF($A476="","",IF($AP476&lt;&gt;"",IF(INDEX(Raw_D1!$G$2:$G$1001,$AP476),1,0),IF($AR476&lt;&gt;"",IF(INDEX(Raw_D3!$G$2:$G$1001,$AR476),1,0),"")))</f>
        <v>0</v>
      </c>
      <c r="H476" s="5">
        <f>IF($A476="","",IF($AP476&lt;&gt;"",INDEX(Raw_D1!$H$2:$H$1001,$AP476),IF($AR476&lt;&gt;"",INDEX(Raw_D3!$H$2:$H$1001,$AR476),"")))</f>
        <v>5</v>
      </c>
      <c r="I476" s="5">
        <f>IF($A476="","",IF($AP476&lt;&gt;"",INDEX(Raw_D1!$I$2:$I$1001,$AP476),IF($AR476&lt;&gt;"",INDEX(Raw_D3!$I$2:$I$1001,$AR476),"")))</f>
        <v>1</v>
      </c>
      <c r="J476" s="16">
        <f>IF($A476="","",IF($AP476&lt;&gt;"",INDEX(Raw_D1!$J$2:$J$1001,$AP476),IF($AR476&lt;&gt;"",INDEX(Raw_D3!$J$2:$J$1001,$AR476),"")))</f>
        <v>0.12</v>
      </c>
      <c r="K476" s="17">
        <f>IF($A476="","",IF($AQ476&lt;&gt;"",IF(INDEX(Raw_D2!$C$2:$C$1001,$AQ476)="","",INDEX(Raw_D2!$C$2:$C$1001,$AQ476)),IF($AR476&lt;&gt;"",IF(INDEX(Raw_D3!$K$2:$K$1001,$AR476)="","",INDEX(Raw_D3!$K$2:$K$1001,$AR476)),"")))</f>
        <v>0.1061</v>
      </c>
      <c r="L476" s="16">
        <f>IF($A476="","",IF($AQ476&lt;&gt;"",IF(INDEX(Raw_D2!$D$2:$D$1001,$AQ476)="","",INDEX(Raw_D2!$D$2:$D$1001,$AQ476)),IF($AR476&lt;&gt;"",IF(INDEX(Raw_D3!$L$2:$L$1001,$AR476)="","",INDEX(Raw_D3!$L$2:$L$1001,$AR476)),"")))</f>
        <v>0.3</v>
      </c>
      <c r="M476" s="17">
        <f>IF($A476="","",IF($AQ476&lt;&gt;"",IF(INDEX(Raw_D2!$E$2:$E$1001,$AQ476)="","",INDEX(Raw_D2!$E$2:$E$1001,$AQ476)),IF($AR476&lt;&gt;"",IF(INDEX(Raw_D3!$M$2:$M$1001,$AR476)="","",INDEX(Raw_D3!$M$2:$M$1001,$AR476)),"")))</f>
        <v>0.3284</v>
      </c>
      <c r="N476" s="5">
        <f>IF($A476="","",IF($AQ476&lt;&gt;"",IF(INDEX(Raw_D2!$F$2:$F$1001,$AQ476)="","",INDEX(Raw_D2!$F$2:$F$1001,$AQ476)),IF($AR476&lt;&gt;"",IF(INDEX(Raw_D3!$N$2:$N$1001,$AR476)="","",INDEX(Raw_D3!$N$2:$N$1001,$AR476)),"")))</f>
        <v>3</v>
      </c>
      <c r="O476" s="5">
        <f>IF($A476="","",IF($AQ476&lt;&gt;"",IF(INDEX(Raw_D2!$G$2:$G$1001,$AQ476)="","",INDEX(Raw_D2!$G$2:$G$1001,$AQ476)),IF($AR476&lt;&gt;"",IF(INDEX(Raw_D3!$O$2:$O$1001,$AR476)="","",INDEX(Raw_D3!$O$2:$O$1001,$AR476)),"")))</f>
        <v>93</v>
      </c>
      <c r="P476" s="5">
        <f>IF($A476="","",IF($AQ476&lt;&gt;"",IF(INDEX(Raw_D2!$H$2:$H$1001,$AQ476)="","",INDEX(Raw_D2!$H$2:$H$1001,$AQ476)),IF($AR476&lt;&gt;"",IF(INDEX(Raw_D3!$P$2:$P$1001,$AR476)="","",INDEX(Raw_D3!$P$2:$P$1001,$AR476)),"")))</f>
        <v>96</v>
      </c>
      <c r="Q476" s="5" t="str">
        <f>IF($A476="","",IF(AND($AP476&lt;&gt;"",$AQ476&lt;&gt;""),"D1+D2",IF($AR476&lt;&gt;"","D3","Incomplete")))</f>
        <v>D1+D2</v>
      </c>
      <c r="R476" s="17">
        <f>IF($A476="","",IF($K476="",IF($J476="","",ROUND(Lookups!$K$5+Lookups!$K$4*$J476,4)),$K476))</f>
        <v>0.1061</v>
      </c>
      <c r="S476" s="5" t="str">
        <f>IF($A476="","",IF($K476="","Imputed","Original"))</f>
        <v>Original</v>
      </c>
      <c r="T476" s="5" t="str">
        <f>IF($A476="","",IF($P476="","Missing",IF($P476=$N476+$O476,"OK","Mismatch")))</f>
        <v>OK</v>
      </c>
      <c r="U476" s="5" t="str">
        <f>IF($A476="","",IF(COUNTIF($A$2:$A476,$A476)&gt;1,"Duplicate","Unique"))</f>
        <v>Unique</v>
      </c>
      <c r="V476" s="5">
        <f>IF($A476="","",IF(AND($U476="Unique",ISNUMBER($P476)),1,0))</f>
        <v>1</v>
      </c>
      <c r="W476" s="5" t="str">
        <f>IF($A476="","",IF(OR($H476=0,$H476=6),"Weekend","Weekday"))</f>
        <v>Weekday</v>
      </c>
      <c r="X476" s="5" t="str">
        <f>IF($A476="","",TEXT($B476,"ddd"))</f>
        <v>Fri</v>
      </c>
      <c r="Y476" s="5" t="str">
        <f>IF($A476="","",TEXT($B476,"mmm"))</f>
        <v>Jan</v>
      </c>
      <c r="Z476" s="5" t="str">
        <f>IF($A476="","",IFERROR(VLOOKUP($C476,Lookups!$D$4:$E$7,2,FALSE),"Unknown"))</f>
        <v>Winter</v>
      </c>
      <c r="AA476" s="5" t="str">
        <f>IF($A476="","",IFERROR(VLOOKUP($I476,Lookups!$A$4:$B$7,2,FALSE),"Unknown"))</f>
        <v>Clear</v>
      </c>
      <c r="AB476" s="5" t="str">
        <f>IF($A476="","",TEXT($F476,"00")&amp;":00")</f>
        <v>19:00</v>
      </c>
      <c r="AC476" s="5" t="str">
        <f>IF($A476="","",VLOOKUP($F476,Lookups!$G$4:$H$8,2,TRUE))</f>
        <v>Evening Peak (16-19)</v>
      </c>
      <c r="AD476" s="18">
        <f>IF($A476="","",IF($J476="","",ROUND($J476*41,1)))</f>
        <v>4.9</v>
      </c>
      <c r="AE476" s="18">
        <f>IF($A476="","",IF($R476="","",ROUND($R476*50,1)))</f>
        <v>5.3</v>
      </c>
      <c r="AF476" s="5">
        <f>IF($A476="","",IF($L476="","",ROUND($L476*100,0)))</f>
        <v>30</v>
      </c>
      <c r="AG476" s="18">
        <f>IF($A476="","",IF($M476="","",ROUND($M476*67,1)))</f>
        <v>22</v>
      </c>
      <c r="AH476" s="19">
        <f>IF($A476="","",IF($P476="","",IF($P476=0,0,$O476/$P476)))</f>
        <v>0.96875</v>
      </c>
      <c r="AI476" s="5" t="str">
        <f>IF($A476="","",IF($P476="","",IF($P476&gt;=Lookups!$K$7,"High",IF($P476&lt;=Lookups!$K$8,"Low","Medium"))))</f>
        <v>High</v>
      </c>
      <c r="AJ476" s="5" t="str">
        <f>IF($A476="","",IF($AD476="","",IF($AD476&lt;5,"Under 5 C",IF($AD476&lt;10,"5-10 C",IF($AD476&lt;15,"10-15 C","15 C and above")))))</f>
        <v>Under 5 C</v>
      </c>
      <c r="AK476" s="5">
        <f>IF($A476="","",IF($P476="","",$P476^2))</f>
        <v>9216</v>
      </c>
      <c r="AL476" s="18">
        <f>IF($V476&lt;&gt;1,"",AVERAGEIFS(Clean_Data!$P$2:$P$1001,Clean_Data!$F$2:$F$1001,$F476,Clean_Data!$W$2:$W$1001,$W476,Clean_Data!$V$2:$V$1001,1))</f>
        <v>102.034482758621</v>
      </c>
      <c r="AM476" s="16">
        <f>IF($V476&lt;&gt;1,"",IFERROR(($P476-$AL476)/SQRT(MAX(0,(SUMIFS(Clean_Data!$AK$2:$AK$1001,Clean_Data!$F$2:$F$1001,$F476,Clean_Data!$W$2:$W$1001,$W476,Clean_Data!$V$2:$V$1001,1)-COUNTIFS(Clean_Data!$F$2:$F$1001,$F476,Clean_Data!$W$2:$W$1001,$W476,Clean_Data!$V$2:$V$1001,1)*$AL476^2)/(COUNTIFS(Clean_Data!$F$2:$F$1001,$F476,Clean_Data!$W$2:$W$1001,$W476,Clean_Data!$V$2:$V$1001,1)-1))),""))</f>
        <v>-0.28400693380972</v>
      </c>
      <c r="AN476" s="5" t="str">
        <f>IF($AM476="","",IF($AM476&gt;=Lookups!$K$6,"High spike",IF($AM476&lt;=-Lookups!$K$6,"Unusual low","Normal")))</f>
        <v>Normal</v>
      </c>
      <c r="AO476" s="20">
        <f>IF($V476&lt;&gt;1,"",$P476+ROW()/100000)</f>
        <v>96.00476</v>
      </c>
      <c r="AP476" s="5">
        <f>IF($A476="","",IFERROR(MATCH($A476,Raw_D1!$A$2:$A$1001,0),""))</f>
        <v>475</v>
      </c>
      <c r="AQ476" s="5">
        <f>IF($A476="","",IFERROR(MATCH($A476,Raw_D2!$B$2:$B$1001,0),""))</f>
        <v>475</v>
      </c>
      <c r="AR476" s="5">
        <f>IF($A476="","",IFERROR(MATCH($A476,Raw_D3!$A$2:$A$1001,0),""))</f>
        <v/>
      </c>
    </row>
    <row r="477" spans="1:44" x14ac:dyDescent="0.25">
      <c r="A477" s="5">
        <v>476</v>
      </c>
      <c r="B477" s="11">
        <f>IF($A477="","",IF($AP477&lt;&gt;"",INDEX(Raw_D1!$B$2:$B$1001,$AP477),IF($AR477&lt;&gt;"",INDEX(Raw_D3!$B$2:$B$1001,$AR477),"")))</f>
        <v>40564.0</v>
      </c>
      <c r="C477" s="5">
        <f>IF($A477="","",IF($AP477&lt;&gt;"",INDEX(Raw_D1!$C$2:$C$1001,$AP477),IF($AR477&lt;&gt;"",INDEX(Raw_D3!$C$2:$C$1001,$AR477),"")))</f>
        <v>1</v>
      </c>
      <c r="D477" s="5">
        <f>IF($A477="","",IF($AP477&lt;&gt;"",INDEX(Raw_D1!$D$2:$D$1001,$AP477),IF($AR477&lt;&gt;"",INDEX(Raw_D3!$D$2:$D$1001,$AR477),"")))</f>
        <v>0</v>
      </c>
      <c r="E477" s="5">
        <f>IF($A477="","",IF($AP477&lt;&gt;"",INDEX(Raw_D1!$E$2:$E$1001,$AP477),IF($AR477&lt;&gt;"",INDEX(Raw_D3!$E$2:$E$1001,$AR477),"")))</f>
        <v>1</v>
      </c>
      <c r="F477" s="5">
        <f>IF($A477="","",IF($AP477&lt;&gt;"",INDEX(Raw_D1!$F$2:$F$1001,$AP477),IF($AR477&lt;&gt;"",INDEX(Raw_D3!$F$2:$F$1001,$AR477),"")))</f>
        <v>20</v>
      </c>
      <c r="G477" s="5">
        <f>IF($A477="","",IF($AP477&lt;&gt;"",IF(INDEX(Raw_D1!$G$2:$G$1001,$AP477),1,0),IF($AR477&lt;&gt;"",IF(INDEX(Raw_D3!$G$2:$G$1001,$AR477),1,0),"")))</f>
        <v>0</v>
      </c>
      <c r="H477" s="5">
        <f>IF($A477="","",IF($AP477&lt;&gt;"",INDEX(Raw_D1!$H$2:$H$1001,$AP477),IF($AR477&lt;&gt;"",INDEX(Raw_D3!$H$2:$H$1001,$AR477),"")))</f>
        <v>5</v>
      </c>
      <c r="I477" s="5">
        <f>IF($A477="","",IF($AP477&lt;&gt;"",INDEX(Raw_D1!$I$2:$I$1001,$AP477),IF($AR477&lt;&gt;"",INDEX(Raw_D3!$I$2:$I$1001,$AR477),"")))</f>
        <v>1</v>
      </c>
      <c r="J477" s="16">
        <f>IF($A477="","",IF($AP477&lt;&gt;"",INDEX(Raw_D1!$J$2:$J$1001,$AP477),IF($AR477&lt;&gt;"",INDEX(Raw_D3!$J$2:$J$1001,$AR477),"")))</f>
        <v>0.1</v>
      </c>
      <c r="K477" s="17">
        <f>IF($A477="","",IF($AQ477&lt;&gt;"",IF(INDEX(Raw_D2!$C$2:$C$1001,$AQ477)="","",INDEX(Raw_D2!$C$2:$C$1001,$AQ477)),IF($AR477&lt;&gt;"",IF(INDEX(Raw_D3!$K$2:$K$1001,$AR477)="","",INDEX(Raw_D3!$K$2:$K$1001,$AR477)),"")))</f>
        <v>0.0758</v>
      </c>
      <c r="L477" s="16">
        <f>IF($A477="","",IF($AQ477&lt;&gt;"",IF(INDEX(Raw_D2!$D$2:$D$1001,$AQ477)="","",INDEX(Raw_D2!$D$2:$D$1001,$AQ477)),IF($AR477&lt;&gt;"",IF(INDEX(Raw_D3!$L$2:$L$1001,$AR477)="","",INDEX(Raw_D3!$L$2:$L$1001,$AR477)),"")))</f>
        <v>0.33</v>
      </c>
      <c r="M477" s="17">
        <f>IF($A477="","",IF($AQ477&lt;&gt;"",IF(INDEX(Raw_D2!$E$2:$E$1001,$AQ477)="","",INDEX(Raw_D2!$E$2:$E$1001,$AQ477)),IF($AR477&lt;&gt;"",IF(INDEX(Raw_D3!$M$2:$M$1001,$AR477)="","",INDEX(Raw_D3!$M$2:$M$1001,$AR477)),"")))</f>
        <v>0.4179</v>
      </c>
      <c r="N477" s="5">
        <f>IF($A477="","",IF($AQ477&lt;&gt;"",IF(INDEX(Raw_D2!$F$2:$F$1001,$AQ477)="","",INDEX(Raw_D2!$F$2:$F$1001,$AQ477)),IF($AR477&lt;&gt;"",IF(INDEX(Raw_D3!$N$2:$N$1001,$AR477)="","",INDEX(Raw_D3!$N$2:$N$1001,$AR477)),"")))</f>
        <v>1</v>
      </c>
      <c r="O477" s="5">
        <f>IF($A477="","",IF($AQ477&lt;&gt;"",IF(INDEX(Raw_D2!$G$2:$G$1001,$AQ477)="","",INDEX(Raw_D2!$G$2:$G$1001,$AQ477)),IF($AR477&lt;&gt;"",IF(INDEX(Raw_D3!$O$2:$O$1001,$AR477)="","",INDEX(Raw_D3!$O$2:$O$1001,$AR477)),"")))</f>
        <v>52</v>
      </c>
      <c r="P477" s="5">
        <f>IF($A477="","",IF($AQ477&lt;&gt;"",IF(INDEX(Raw_D2!$H$2:$H$1001,$AQ477)="","",INDEX(Raw_D2!$H$2:$H$1001,$AQ477)),IF($AR477&lt;&gt;"",IF(INDEX(Raw_D3!$P$2:$P$1001,$AR477)="","",INDEX(Raw_D3!$P$2:$P$1001,$AR477)),"")))</f>
        <v>53</v>
      </c>
      <c r="Q477" s="5" t="str">
        <f>IF($A477="","",IF(AND($AP477&lt;&gt;"",$AQ477&lt;&gt;""),"D1+D2",IF($AR477&lt;&gt;"","D3","Incomplete")))</f>
        <v>D1+D2</v>
      </c>
      <c r="R477" s="17">
        <f>IF($A477="","",IF($K477="",IF($J477="","",ROUND(Lookups!$K$5+Lookups!$K$4*$J477,4)),$K477))</f>
        <v>0.0758</v>
      </c>
      <c r="S477" s="5" t="str">
        <f>IF($A477="","",IF($K477="","Imputed","Original"))</f>
        <v>Original</v>
      </c>
      <c r="T477" s="5" t="str">
        <f>IF($A477="","",IF($P477="","Missing",IF($P477=$N477+$O477,"OK","Mismatch")))</f>
        <v>OK</v>
      </c>
      <c r="U477" s="5" t="str">
        <f>IF($A477="","",IF(COUNTIF($A$2:$A477,$A477)&gt;1,"Duplicate","Unique"))</f>
        <v>Unique</v>
      </c>
      <c r="V477" s="5">
        <f>IF($A477="","",IF(AND($U477="Unique",ISNUMBER($P477)),1,0))</f>
        <v>1</v>
      </c>
      <c r="W477" s="5" t="str">
        <f>IF($A477="","",IF(OR($H477=0,$H477=6),"Weekend","Weekday"))</f>
        <v>Weekday</v>
      </c>
      <c r="X477" s="5" t="str">
        <f>IF($A477="","",TEXT($B477,"ddd"))</f>
        <v>Fri</v>
      </c>
      <c r="Y477" s="5" t="str">
        <f>IF($A477="","",TEXT($B477,"mmm"))</f>
        <v>Jan</v>
      </c>
      <c r="Z477" s="5" t="str">
        <f>IF($A477="","",IFERROR(VLOOKUP($C477,Lookups!$D$4:$E$7,2,FALSE),"Unknown"))</f>
        <v>Winter</v>
      </c>
      <c r="AA477" s="5" t="str">
        <f>IF($A477="","",IFERROR(VLOOKUP($I477,Lookups!$A$4:$B$7,2,FALSE),"Unknown"))</f>
        <v>Clear</v>
      </c>
      <c r="AB477" s="5" t="str">
        <f>IF($A477="","",TEXT($F477,"00")&amp;":00")</f>
        <v>20:00</v>
      </c>
      <c r="AC477" s="5" t="str">
        <f>IF($A477="","",VLOOKUP($F477,Lookups!$G$4:$H$8,2,TRUE))</f>
        <v>Late Evening (20-23)</v>
      </c>
      <c r="AD477" s="18">
        <f>IF($A477="","",IF($J477="","",ROUND($J477*41,1)))</f>
        <v>4.1</v>
      </c>
      <c r="AE477" s="18">
        <f>IF($A477="","",IF($R477="","",ROUND($R477*50,1)))</f>
        <v>3.8</v>
      </c>
      <c r="AF477" s="5">
        <f>IF($A477="","",IF($L477="","",ROUND($L477*100,0)))</f>
        <v>33</v>
      </c>
      <c r="AG477" s="18">
        <f>IF($A477="","",IF($M477="","",ROUND($M477*67,1)))</f>
        <v>28</v>
      </c>
      <c r="AH477" s="19">
        <f>IF($A477="","",IF($P477="","",IF($P477=0,0,$O477/$P477)))</f>
        <v>0.981132075471698</v>
      </c>
      <c r="AI477" s="5" t="str">
        <f>IF($A477="","",IF($P477="","",IF($P477&gt;=Lookups!$K$7,"High",IF($P477&lt;=Lookups!$K$8,"Low","Medium"))))</f>
        <v>Medium</v>
      </c>
      <c r="AJ477" s="5" t="str">
        <f>IF($A477="","",IF($AD477="","",IF($AD477&lt;5,"Under 5 C",IF($AD477&lt;10,"5-10 C",IF($AD477&lt;15,"10-15 C","15 C and above")))))</f>
        <v>Under 5 C</v>
      </c>
      <c r="AK477" s="5">
        <f>IF($A477="","",IF($P477="","",$P477^2))</f>
        <v>2809</v>
      </c>
      <c r="AL477" s="18">
        <f>IF($V477&lt;&gt;1,"",AVERAGEIFS(Clean_Data!$P$2:$P$1001,Clean_Data!$F$2:$F$1001,$F477,Clean_Data!$W$2:$W$1001,$W477,Clean_Data!$V$2:$V$1001,1))</f>
        <v>72.2758620689655</v>
      </c>
      <c r="AM477" s="16">
        <f>IF($V477&lt;&gt;1,"",IFERROR(($P477-$AL477)/SQRT(MAX(0,(SUMIFS(Clean_Data!$AK$2:$AK$1001,Clean_Data!$F$2:$F$1001,$F477,Clean_Data!$W$2:$W$1001,$W477,Clean_Data!$V$2:$V$1001,1)-COUNTIFS(Clean_Data!$F$2:$F$1001,$F477,Clean_Data!$W$2:$W$1001,$W477,Clean_Data!$V$2:$V$1001,1)*$AL477^2)/(COUNTIFS(Clean_Data!$F$2:$F$1001,$F477,Clean_Data!$W$2:$W$1001,$W477,Clean_Data!$V$2:$V$1001,1)-1))),""))</f>
        <v>-0.872200968777108</v>
      </c>
      <c r="AN477" s="5" t="str">
        <f>IF($AM477="","",IF($AM477&gt;=Lookups!$K$6,"High spike",IF($AM477&lt;=-Lookups!$K$6,"Unusual low","Normal")))</f>
        <v>Normal</v>
      </c>
      <c r="AO477" s="20">
        <f>IF($V477&lt;&gt;1,"",$P477+ROW()/100000)</f>
        <v>53.00477</v>
      </c>
      <c r="AP477" s="5">
        <f>IF($A477="","",IFERROR(MATCH($A477,Raw_D1!$A$2:$A$1001,0),""))</f>
        <v>476</v>
      </c>
      <c r="AQ477" s="5">
        <f>IF($A477="","",IFERROR(MATCH($A477,Raw_D2!$B$2:$B$1001,0),""))</f>
        <v>476</v>
      </c>
      <c r="AR477" s="5">
        <f>IF($A477="","",IFERROR(MATCH($A477,Raw_D3!$A$2:$A$1001,0),""))</f>
        <v/>
      </c>
    </row>
    <row r="478" spans="1:44" x14ac:dyDescent="0.25">
      <c r="A478" s="5">
        <v>477</v>
      </c>
      <c r="B478" s="11">
        <f>IF($A478="","",IF($AP478&lt;&gt;"",INDEX(Raw_D1!$B$2:$B$1001,$AP478),IF($AR478&lt;&gt;"",INDEX(Raw_D3!$B$2:$B$1001,$AR478),"")))</f>
        <v>40564.0</v>
      </c>
      <c r="C478" s="5">
        <f>IF($A478="","",IF($AP478&lt;&gt;"",INDEX(Raw_D1!$C$2:$C$1001,$AP478),IF($AR478&lt;&gt;"",INDEX(Raw_D3!$C$2:$C$1001,$AR478),"")))</f>
        <v>1</v>
      </c>
      <c r="D478" s="5">
        <f>IF($A478="","",IF($AP478&lt;&gt;"",INDEX(Raw_D1!$D$2:$D$1001,$AP478),IF($AR478&lt;&gt;"",INDEX(Raw_D3!$D$2:$D$1001,$AR478),"")))</f>
        <v>0</v>
      </c>
      <c r="E478" s="5">
        <f>IF($A478="","",IF($AP478&lt;&gt;"",INDEX(Raw_D1!$E$2:$E$1001,$AP478),IF($AR478&lt;&gt;"",INDEX(Raw_D3!$E$2:$E$1001,$AR478),"")))</f>
        <v>1</v>
      </c>
      <c r="F478" s="5">
        <f>IF($A478="","",IF($AP478&lt;&gt;"",INDEX(Raw_D1!$F$2:$F$1001,$AP478),IF($AR478&lt;&gt;"",INDEX(Raw_D3!$F$2:$F$1001,$AR478),"")))</f>
        <v>21</v>
      </c>
      <c r="G478" s="5">
        <f>IF($A478="","",IF($AP478&lt;&gt;"",IF(INDEX(Raw_D1!$G$2:$G$1001,$AP478),1,0),IF($AR478&lt;&gt;"",IF(INDEX(Raw_D3!$G$2:$G$1001,$AR478),1,0),"")))</f>
        <v>0</v>
      </c>
      <c r="H478" s="5">
        <f>IF($A478="","",IF($AP478&lt;&gt;"",INDEX(Raw_D1!$H$2:$H$1001,$AP478),IF($AR478&lt;&gt;"",INDEX(Raw_D3!$H$2:$H$1001,$AR478),"")))</f>
        <v>5</v>
      </c>
      <c r="I478" s="5">
        <f>IF($A478="","",IF($AP478&lt;&gt;"",INDEX(Raw_D1!$I$2:$I$1001,$AP478),IF($AR478&lt;&gt;"",INDEX(Raw_D3!$I$2:$I$1001,$AR478),"")))</f>
        <v>1</v>
      </c>
      <c r="J478" s="16">
        <f>IF($A478="","",IF($AP478&lt;&gt;"",INDEX(Raw_D1!$J$2:$J$1001,$AP478),IF($AR478&lt;&gt;"",INDEX(Raw_D3!$J$2:$J$1001,$AR478),"")))</f>
        <v>0.08</v>
      </c>
      <c r="K478" s="17">
        <f>IF($A478="","",IF($AQ478&lt;&gt;"",IF(INDEX(Raw_D2!$C$2:$C$1001,$AQ478)="","",INDEX(Raw_D2!$C$2:$C$1001,$AQ478)),IF($AR478&lt;&gt;"",IF(INDEX(Raw_D3!$K$2:$K$1001,$AR478)="","",INDEX(Raw_D3!$K$2:$K$1001,$AR478)),"")))</f>
        <v>0.0758</v>
      </c>
      <c r="L478" s="16">
        <f>IF($A478="","",IF($AQ478&lt;&gt;"",IF(INDEX(Raw_D2!$D$2:$D$1001,$AQ478)="","",INDEX(Raw_D2!$D$2:$D$1001,$AQ478)),IF($AR478&lt;&gt;"",IF(INDEX(Raw_D3!$L$2:$L$1001,$AR478)="","",INDEX(Raw_D3!$L$2:$L$1001,$AR478)),"")))</f>
        <v>0.38</v>
      </c>
      <c r="M478" s="17">
        <f>IF($A478="","",IF($AQ478&lt;&gt;"",IF(INDEX(Raw_D2!$E$2:$E$1001,$AQ478)="","",INDEX(Raw_D2!$E$2:$E$1001,$AQ478)),IF($AR478&lt;&gt;"",IF(INDEX(Raw_D3!$M$2:$M$1001,$AR478)="","",INDEX(Raw_D3!$M$2:$M$1001,$AR478)),"")))</f>
        <v>0.2836</v>
      </c>
      <c r="N478" s="5">
        <f>IF($A478="","",IF($AQ478&lt;&gt;"",IF(INDEX(Raw_D2!$F$2:$F$1001,$AQ478)="","",INDEX(Raw_D2!$F$2:$F$1001,$AQ478)),IF($AR478&lt;&gt;"",IF(INDEX(Raw_D3!$N$2:$N$1001,$AR478)="","",INDEX(Raw_D3!$N$2:$N$1001,$AR478)),"")))</f>
        <v>0</v>
      </c>
      <c r="O478" s="5">
        <f>IF($A478="","",IF($AQ478&lt;&gt;"",IF(INDEX(Raw_D2!$G$2:$G$1001,$AQ478)="","",INDEX(Raw_D2!$G$2:$G$1001,$AQ478)),IF($AR478&lt;&gt;"",IF(INDEX(Raw_D3!$O$2:$O$1001,$AR478)="","",INDEX(Raw_D3!$O$2:$O$1001,$AR478)),"")))</f>
        <v>41</v>
      </c>
      <c r="P478" s="5">
        <f>IF($A478="","",IF($AQ478&lt;&gt;"",IF(INDEX(Raw_D2!$H$2:$H$1001,$AQ478)="","",INDEX(Raw_D2!$H$2:$H$1001,$AQ478)),IF($AR478&lt;&gt;"",IF(INDEX(Raw_D3!$P$2:$P$1001,$AR478)="","",INDEX(Raw_D3!$P$2:$P$1001,$AR478)),"")))</f>
        <v>41</v>
      </c>
      <c r="Q478" s="5" t="str">
        <f>IF($A478="","",IF(AND($AP478&lt;&gt;"",$AQ478&lt;&gt;""),"D1+D2",IF($AR478&lt;&gt;"","D3","Incomplete")))</f>
        <v>D1+D2</v>
      </c>
      <c r="R478" s="17">
        <f>IF($A478="","",IF($K478="",IF($J478="","",ROUND(Lookups!$K$5+Lookups!$K$4*$J478,4)),$K478))</f>
        <v>0.0758</v>
      </c>
      <c r="S478" s="5" t="str">
        <f>IF($A478="","",IF($K478="","Imputed","Original"))</f>
        <v>Original</v>
      </c>
      <c r="T478" s="5" t="str">
        <f>IF($A478="","",IF($P478="","Missing",IF($P478=$N478+$O478,"OK","Mismatch")))</f>
        <v>OK</v>
      </c>
      <c r="U478" s="5" t="str">
        <f>IF($A478="","",IF(COUNTIF($A$2:$A478,$A478)&gt;1,"Duplicate","Unique"))</f>
        <v>Unique</v>
      </c>
      <c r="V478" s="5">
        <f>IF($A478="","",IF(AND($U478="Unique",ISNUMBER($P478)),1,0))</f>
        <v>1</v>
      </c>
      <c r="W478" s="5" t="str">
        <f>IF($A478="","",IF(OR($H478=0,$H478=6),"Weekend","Weekday"))</f>
        <v>Weekday</v>
      </c>
      <c r="X478" s="5" t="str">
        <f>IF($A478="","",TEXT($B478,"ddd"))</f>
        <v>Fri</v>
      </c>
      <c r="Y478" s="5" t="str">
        <f>IF($A478="","",TEXT($B478,"mmm"))</f>
        <v>Jan</v>
      </c>
      <c r="Z478" s="5" t="str">
        <f>IF($A478="","",IFERROR(VLOOKUP($C478,Lookups!$D$4:$E$7,2,FALSE),"Unknown"))</f>
        <v>Winter</v>
      </c>
      <c r="AA478" s="5" t="str">
        <f>IF($A478="","",IFERROR(VLOOKUP($I478,Lookups!$A$4:$B$7,2,FALSE),"Unknown"))</f>
        <v>Clear</v>
      </c>
      <c r="AB478" s="5" t="str">
        <f>IF($A478="","",TEXT($F478,"00")&amp;":00")</f>
        <v>21:00</v>
      </c>
      <c r="AC478" s="5" t="str">
        <f>IF($A478="","",VLOOKUP($F478,Lookups!$G$4:$H$8,2,TRUE))</f>
        <v>Late Evening (20-23)</v>
      </c>
      <c r="AD478" s="18">
        <f>IF($A478="","",IF($J478="","",ROUND($J478*41,1)))</f>
        <v>3.3</v>
      </c>
      <c r="AE478" s="18">
        <f>IF($A478="","",IF($R478="","",ROUND($R478*50,1)))</f>
        <v>3.8</v>
      </c>
      <c r="AF478" s="5">
        <f>IF($A478="","",IF($L478="","",ROUND($L478*100,0)))</f>
        <v>38</v>
      </c>
      <c r="AG478" s="18">
        <f>IF($A478="","",IF($M478="","",ROUND($M478*67,1)))</f>
        <v>19</v>
      </c>
      <c r="AH478" s="19">
        <f>IF($A478="","",IF($P478="","",IF($P478=0,0,$O478/$P478)))</f>
        <v>1</v>
      </c>
      <c r="AI478" s="5" t="str">
        <f>IF($A478="","",IF($P478="","",IF($P478&gt;=Lookups!$K$7,"High",IF($P478&lt;=Lookups!$K$8,"Low","Medium"))))</f>
        <v>Medium</v>
      </c>
      <c r="AJ478" s="5" t="str">
        <f>IF($A478="","",IF($AD478="","",IF($AD478&lt;5,"Under 5 C",IF($AD478&lt;10,"5-10 C",IF($AD478&lt;15,"10-15 C","15 C and above")))))</f>
        <v>Under 5 C</v>
      </c>
      <c r="AK478" s="5">
        <f>IF($A478="","",IF($P478="","",$P478^2))</f>
        <v>1681</v>
      </c>
      <c r="AL478" s="18">
        <f>IF($V478&lt;&gt;1,"",AVERAGEIFS(Clean_Data!$P$2:$P$1001,Clean_Data!$F$2:$F$1001,$F478,Clean_Data!$W$2:$W$1001,$W478,Clean_Data!$V$2:$V$1001,1))</f>
        <v>50.8965517241379</v>
      </c>
      <c r="AM478" s="16">
        <f>IF($V478&lt;&gt;1,"",IFERROR(($P478-$AL478)/SQRT(MAX(0,(SUMIFS(Clean_Data!$AK$2:$AK$1001,Clean_Data!$F$2:$F$1001,$F478,Clean_Data!$W$2:$W$1001,$W478,Clean_Data!$V$2:$V$1001,1)-COUNTIFS(Clean_Data!$F$2:$F$1001,$F478,Clean_Data!$W$2:$W$1001,$W478,Clean_Data!$V$2:$V$1001,1)*$AL478^2)/(COUNTIFS(Clean_Data!$F$2:$F$1001,$F478,Clean_Data!$W$2:$W$1001,$W478,Clean_Data!$V$2:$V$1001,1)-1))),""))</f>
        <v>-0.716713486546581</v>
      </c>
      <c r="AN478" s="5" t="str">
        <f>IF($AM478="","",IF($AM478&gt;=Lookups!$K$6,"High spike",IF($AM478&lt;=-Lookups!$K$6,"Unusual low","Normal")))</f>
        <v>Normal</v>
      </c>
      <c r="AO478" s="20">
        <f>IF($V478&lt;&gt;1,"",$P478+ROW()/100000)</f>
        <v>41.00478</v>
      </c>
      <c r="AP478" s="5">
        <f>IF($A478="","",IFERROR(MATCH($A478,Raw_D1!$A$2:$A$1001,0),""))</f>
        <v>477</v>
      </c>
      <c r="AQ478" s="5">
        <f>IF($A478="","",IFERROR(MATCH($A478,Raw_D2!$B$2:$B$1001,0),""))</f>
        <v>477</v>
      </c>
      <c r="AR478" s="5">
        <f>IF($A478="","",IFERROR(MATCH($A478,Raw_D3!$A$2:$A$1001,0),""))</f>
        <v/>
      </c>
    </row>
    <row r="479" spans="1:44" x14ac:dyDescent="0.25">
      <c r="A479" s="5">
        <v>478</v>
      </c>
      <c r="B479" s="11">
        <f>IF($A479="","",IF($AP479&lt;&gt;"",INDEX(Raw_D1!$B$2:$B$1001,$AP479),IF($AR479&lt;&gt;"",INDEX(Raw_D3!$B$2:$B$1001,$AR479),"")))</f>
        <v>40564.0</v>
      </c>
      <c r="C479" s="5">
        <f>IF($A479="","",IF($AP479&lt;&gt;"",INDEX(Raw_D1!$C$2:$C$1001,$AP479),IF($AR479&lt;&gt;"",INDEX(Raw_D3!$C$2:$C$1001,$AR479),"")))</f>
        <v>1</v>
      </c>
      <c r="D479" s="5">
        <f>IF($A479="","",IF($AP479&lt;&gt;"",INDEX(Raw_D1!$D$2:$D$1001,$AP479),IF($AR479&lt;&gt;"",INDEX(Raw_D3!$D$2:$D$1001,$AR479),"")))</f>
        <v>0</v>
      </c>
      <c r="E479" s="5">
        <f>IF($A479="","",IF($AP479&lt;&gt;"",INDEX(Raw_D1!$E$2:$E$1001,$AP479),IF($AR479&lt;&gt;"",INDEX(Raw_D3!$E$2:$E$1001,$AR479),"")))</f>
        <v>1</v>
      </c>
      <c r="F479" s="5">
        <f>IF($A479="","",IF($AP479&lt;&gt;"",INDEX(Raw_D1!$F$2:$F$1001,$AP479),IF($AR479&lt;&gt;"",INDEX(Raw_D3!$F$2:$F$1001,$AR479),"")))</f>
        <v>22</v>
      </c>
      <c r="G479" s="5">
        <f>IF($A479="","",IF($AP479&lt;&gt;"",IF(INDEX(Raw_D1!$G$2:$G$1001,$AP479),1,0),IF($AR479&lt;&gt;"",IF(INDEX(Raw_D3!$G$2:$G$1001,$AR479),1,0),"")))</f>
        <v>0</v>
      </c>
      <c r="H479" s="5">
        <f>IF($A479="","",IF($AP479&lt;&gt;"",INDEX(Raw_D1!$H$2:$H$1001,$AP479),IF($AR479&lt;&gt;"",INDEX(Raw_D3!$H$2:$H$1001,$AR479),"")))</f>
        <v>5</v>
      </c>
      <c r="I479" s="5">
        <f>IF($A479="","",IF($AP479&lt;&gt;"",INDEX(Raw_D1!$I$2:$I$1001,$AP479),IF($AR479&lt;&gt;"",INDEX(Raw_D3!$I$2:$I$1001,$AR479),"")))</f>
        <v>1</v>
      </c>
      <c r="J479" s="16">
        <f>IF($A479="","",IF($AP479&lt;&gt;"",INDEX(Raw_D1!$J$2:$J$1001,$AP479),IF($AR479&lt;&gt;"",INDEX(Raw_D3!$J$2:$J$1001,$AR479),"")))</f>
        <v>0.06</v>
      </c>
      <c r="K479" s="17">
        <f>IF($A479="","",IF($AQ479&lt;&gt;"",IF(INDEX(Raw_D2!$C$2:$C$1001,$AQ479)="","",INDEX(Raw_D2!$C$2:$C$1001,$AQ479)),IF($AR479&lt;&gt;"",IF(INDEX(Raw_D3!$K$2:$K$1001,$AR479)="","",INDEX(Raw_D3!$K$2:$K$1001,$AR479)),"")))</f>
        <v>0.0303</v>
      </c>
      <c r="L479" s="16">
        <f>IF($A479="","",IF($AQ479&lt;&gt;"",IF(INDEX(Raw_D2!$D$2:$D$1001,$AQ479)="","",INDEX(Raw_D2!$D$2:$D$1001,$AQ479)),IF($AR479&lt;&gt;"",IF(INDEX(Raw_D3!$L$2:$L$1001,$AR479)="","",INDEX(Raw_D3!$L$2:$L$1001,$AR479)),"")))</f>
        <v>0.41</v>
      </c>
      <c r="M479" s="17">
        <f>IF($A479="","",IF($AQ479&lt;&gt;"",IF(INDEX(Raw_D2!$E$2:$E$1001,$AQ479)="","",INDEX(Raw_D2!$E$2:$E$1001,$AQ479)),IF($AR479&lt;&gt;"",IF(INDEX(Raw_D3!$M$2:$M$1001,$AR479)="","",INDEX(Raw_D3!$M$2:$M$1001,$AR479)),"")))</f>
        <v>0.3881</v>
      </c>
      <c r="N479" s="5">
        <f>IF($A479="","",IF($AQ479&lt;&gt;"",IF(INDEX(Raw_D2!$F$2:$F$1001,$AQ479)="","",INDEX(Raw_D2!$F$2:$F$1001,$AQ479)),IF($AR479&lt;&gt;"",IF(INDEX(Raw_D3!$N$2:$N$1001,$AR479)="","",INDEX(Raw_D3!$N$2:$N$1001,$AR479)),"")))</f>
        <v>1</v>
      </c>
      <c r="O479" s="5">
        <f>IF($A479="","",IF($AQ479&lt;&gt;"",IF(INDEX(Raw_D2!$G$2:$G$1001,$AQ479)="","",INDEX(Raw_D2!$G$2:$G$1001,$AQ479)),IF($AR479&lt;&gt;"",IF(INDEX(Raw_D3!$O$2:$O$1001,$AR479)="","",INDEX(Raw_D3!$O$2:$O$1001,$AR479)),"")))</f>
        <v>33</v>
      </c>
      <c r="P479" s="5">
        <f>IF($A479="","",IF($AQ479&lt;&gt;"",IF(INDEX(Raw_D2!$H$2:$H$1001,$AQ479)="","",INDEX(Raw_D2!$H$2:$H$1001,$AQ479)),IF($AR479&lt;&gt;"",IF(INDEX(Raw_D3!$P$2:$P$1001,$AR479)="","",INDEX(Raw_D3!$P$2:$P$1001,$AR479)),"")))</f>
        <v>34</v>
      </c>
      <c r="Q479" s="5" t="str">
        <f>IF($A479="","",IF(AND($AP479&lt;&gt;"",$AQ479&lt;&gt;""),"D1+D2",IF($AR479&lt;&gt;"","D3","Incomplete")))</f>
        <v>D1+D2</v>
      </c>
      <c r="R479" s="17">
        <f>IF($A479="","",IF($K479="",IF($J479="","",ROUND(Lookups!$K$5+Lookups!$K$4*$J479,4)),$K479))</f>
        <v>0.0303</v>
      </c>
      <c r="S479" s="5" t="str">
        <f>IF($A479="","",IF($K479="","Imputed","Original"))</f>
        <v>Original</v>
      </c>
      <c r="T479" s="5" t="str">
        <f>IF($A479="","",IF($P479="","Missing",IF($P479=$N479+$O479,"OK","Mismatch")))</f>
        <v>OK</v>
      </c>
      <c r="U479" s="5" t="str">
        <f>IF($A479="","",IF(COUNTIF($A$2:$A479,$A479)&gt;1,"Duplicate","Unique"))</f>
        <v>Unique</v>
      </c>
      <c r="V479" s="5">
        <f>IF($A479="","",IF(AND($U479="Unique",ISNUMBER($P479)),1,0))</f>
        <v>1</v>
      </c>
      <c r="W479" s="5" t="str">
        <f>IF($A479="","",IF(OR($H479=0,$H479=6),"Weekend","Weekday"))</f>
        <v>Weekday</v>
      </c>
      <c r="X479" s="5" t="str">
        <f>IF($A479="","",TEXT($B479,"ddd"))</f>
        <v>Fri</v>
      </c>
      <c r="Y479" s="5" t="str">
        <f>IF($A479="","",TEXT($B479,"mmm"))</f>
        <v>Jan</v>
      </c>
      <c r="Z479" s="5" t="str">
        <f>IF($A479="","",IFERROR(VLOOKUP($C479,Lookups!$D$4:$E$7,2,FALSE),"Unknown"))</f>
        <v>Winter</v>
      </c>
      <c r="AA479" s="5" t="str">
        <f>IF($A479="","",IFERROR(VLOOKUP($I479,Lookups!$A$4:$B$7,2,FALSE),"Unknown"))</f>
        <v>Clear</v>
      </c>
      <c r="AB479" s="5" t="str">
        <f>IF($A479="","",TEXT($F479,"00")&amp;":00")</f>
        <v>22:00</v>
      </c>
      <c r="AC479" s="5" t="str">
        <f>IF($A479="","",VLOOKUP($F479,Lookups!$G$4:$H$8,2,TRUE))</f>
        <v>Late Evening (20-23)</v>
      </c>
      <c r="AD479" s="18">
        <f>IF($A479="","",IF($J479="","",ROUND($J479*41,1)))</f>
        <v>2.5</v>
      </c>
      <c r="AE479" s="18">
        <f>IF($A479="","",IF($R479="","",ROUND($R479*50,1)))</f>
        <v>1.5</v>
      </c>
      <c r="AF479" s="5">
        <f>IF($A479="","",IF($L479="","",ROUND($L479*100,0)))</f>
        <v>41</v>
      </c>
      <c r="AG479" s="18">
        <f>IF($A479="","",IF($M479="","",ROUND($M479*67,1)))</f>
        <v>26</v>
      </c>
      <c r="AH479" s="19">
        <f>IF($A479="","",IF($P479="","",IF($P479=0,0,$O479/$P479)))</f>
        <v>0.970588235294118</v>
      </c>
      <c r="AI479" s="5" t="str">
        <f>IF($A479="","",IF($P479="","",IF($P479&gt;=Lookups!$K$7,"High",IF($P479&lt;=Lookups!$K$8,"Low","Medium"))))</f>
        <v>Medium</v>
      </c>
      <c r="AJ479" s="5" t="str">
        <f>IF($A479="","",IF($AD479="","",IF($AD479&lt;5,"Under 5 C",IF($AD479&lt;10,"5-10 C",IF($AD479&lt;15,"10-15 C","15 C and above")))))</f>
        <v>Under 5 C</v>
      </c>
      <c r="AK479" s="5">
        <f>IF($A479="","",IF($P479="","",$P479^2))</f>
        <v>1156</v>
      </c>
      <c r="AL479" s="18">
        <f>IF($V479&lt;&gt;1,"",AVERAGEIFS(Clean_Data!$P$2:$P$1001,Clean_Data!$F$2:$F$1001,$F479,Clean_Data!$W$2:$W$1001,$W479,Clean_Data!$V$2:$V$1001,1))</f>
        <v>37.1034482758621</v>
      </c>
      <c r="AM479" s="16">
        <f>IF($V479&lt;&gt;1,"",IFERROR(($P479-$AL479)/SQRT(MAX(0,(SUMIFS(Clean_Data!$AK$2:$AK$1001,Clean_Data!$F$2:$F$1001,$F479,Clean_Data!$W$2:$W$1001,$W479,Clean_Data!$V$2:$V$1001,1)-COUNTIFS(Clean_Data!$F$2:$F$1001,$F479,Clean_Data!$W$2:$W$1001,$W479,Clean_Data!$V$2:$V$1001,1)*$AL479^2)/(COUNTIFS(Clean_Data!$F$2:$F$1001,$F479,Clean_Data!$W$2:$W$1001,$W479,Clean_Data!$V$2:$V$1001,1)-1))),""))</f>
        <v>-0.287498540446314</v>
      </c>
      <c r="AN479" s="5" t="str">
        <f>IF($AM479="","",IF($AM479&gt;=Lookups!$K$6,"High spike",IF($AM479&lt;=-Lookups!$K$6,"Unusual low","Normal")))</f>
        <v>Normal</v>
      </c>
      <c r="AO479" s="20">
        <f>IF($V479&lt;&gt;1,"",$P479+ROW()/100000)</f>
        <v>34.00479</v>
      </c>
      <c r="AP479" s="5">
        <f>IF($A479="","",IFERROR(MATCH($A479,Raw_D1!$A$2:$A$1001,0),""))</f>
        <v>478</v>
      </c>
      <c r="AQ479" s="5">
        <f>IF($A479="","",IFERROR(MATCH($A479,Raw_D2!$B$2:$B$1001,0),""))</f>
        <v>478</v>
      </c>
      <c r="AR479" s="5">
        <f>IF($A479="","",IFERROR(MATCH($A479,Raw_D3!$A$2:$A$1001,0),""))</f>
        <v/>
      </c>
    </row>
    <row r="480" spans="1:44" x14ac:dyDescent="0.25">
      <c r="A480" s="5">
        <v>479</v>
      </c>
      <c r="B480" s="11">
        <f>IF($A480="","",IF($AP480&lt;&gt;"",INDEX(Raw_D1!$B$2:$B$1001,$AP480),IF($AR480&lt;&gt;"",INDEX(Raw_D3!$B$2:$B$1001,$AR480),"")))</f>
        <v>40564.0</v>
      </c>
      <c r="C480" s="5">
        <f>IF($A480="","",IF($AP480&lt;&gt;"",INDEX(Raw_D1!$C$2:$C$1001,$AP480),IF($AR480&lt;&gt;"",INDEX(Raw_D3!$C$2:$C$1001,$AR480),"")))</f>
        <v>1</v>
      </c>
      <c r="D480" s="5">
        <f>IF($A480="","",IF($AP480&lt;&gt;"",INDEX(Raw_D1!$D$2:$D$1001,$AP480),IF($AR480&lt;&gt;"",INDEX(Raw_D3!$D$2:$D$1001,$AR480),"")))</f>
        <v>0</v>
      </c>
      <c r="E480" s="5">
        <f>IF($A480="","",IF($AP480&lt;&gt;"",INDEX(Raw_D1!$E$2:$E$1001,$AP480),IF($AR480&lt;&gt;"",INDEX(Raw_D3!$E$2:$E$1001,$AR480),"")))</f>
        <v>1</v>
      </c>
      <c r="F480" s="5">
        <f>IF($A480="","",IF($AP480&lt;&gt;"",INDEX(Raw_D1!$F$2:$F$1001,$AP480),IF($AR480&lt;&gt;"",INDEX(Raw_D3!$F$2:$F$1001,$AR480),"")))</f>
        <v>23</v>
      </c>
      <c r="G480" s="5">
        <f>IF($A480="","",IF($AP480&lt;&gt;"",IF(INDEX(Raw_D1!$G$2:$G$1001,$AP480),1,0),IF($AR480&lt;&gt;"",IF(INDEX(Raw_D3!$G$2:$G$1001,$AR480),1,0),"")))</f>
        <v>0</v>
      </c>
      <c r="H480" s="5">
        <f>IF($A480="","",IF($AP480&lt;&gt;"",INDEX(Raw_D1!$H$2:$H$1001,$AP480),IF($AR480&lt;&gt;"",INDEX(Raw_D3!$H$2:$H$1001,$AR480),"")))</f>
        <v>5</v>
      </c>
      <c r="I480" s="5">
        <f>IF($A480="","",IF($AP480&lt;&gt;"",INDEX(Raw_D1!$I$2:$I$1001,$AP480),IF($AR480&lt;&gt;"",INDEX(Raw_D3!$I$2:$I$1001,$AR480),"")))</f>
        <v>1</v>
      </c>
      <c r="J480" s="16">
        <f>IF($A480="","",IF($AP480&lt;&gt;"",INDEX(Raw_D1!$J$2:$J$1001,$AP480),IF($AR480&lt;&gt;"",INDEX(Raw_D3!$J$2:$J$1001,$AR480),"")))</f>
        <v>0.06</v>
      </c>
      <c r="K480" s="17">
        <f>IF($A480="","",IF($AQ480&lt;&gt;"",IF(INDEX(Raw_D2!$C$2:$C$1001,$AQ480)="","",INDEX(Raw_D2!$C$2:$C$1001,$AQ480)),IF($AR480&lt;&gt;"",IF(INDEX(Raw_D3!$K$2:$K$1001,$AR480)="","",INDEX(Raw_D3!$K$2:$K$1001,$AR480)),"")))</f>
        <v>0.0455</v>
      </c>
      <c r="L480" s="16">
        <f>IF($A480="","",IF($AQ480&lt;&gt;"",IF(INDEX(Raw_D2!$D$2:$D$1001,$AQ480)="","",INDEX(Raw_D2!$D$2:$D$1001,$AQ480)),IF($AR480&lt;&gt;"",IF(INDEX(Raw_D3!$L$2:$L$1001,$AR480)="","",INDEX(Raw_D3!$L$2:$L$1001,$AR480)),"")))</f>
        <v>0.38</v>
      </c>
      <c r="M480" s="17">
        <f>IF($A480="","",IF($AQ480&lt;&gt;"",IF(INDEX(Raw_D2!$E$2:$E$1001,$AQ480)="","",INDEX(Raw_D2!$E$2:$E$1001,$AQ480)),IF($AR480&lt;&gt;"",IF(INDEX(Raw_D3!$M$2:$M$1001,$AR480)="","",INDEX(Raw_D3!$M$2:$M$1001,$AR480)),"")))</f>
        <v>0.3284</v>
      </c>
      <c r="N480" s="5">
        <f>IF($A480="","",IF($AQ480&lt;&gt;"",IF(INDEX(Raw_D2!$F$2:$F$1001,$AQ480)="","",INDEX(Raw_D2!$F$2:$F$1001,$AQ480)),IF($AR480&lt;&gt;"",IF(INDEX(Raw_D3!$N$2:$N$1001,$AR480)="","",INDEX(Raw_D3!$N$2:$N$1001,$AR480)),"")))</f>
        <v>0</v>
      </c>
      <c r="O480" s="5">
        <f>IF($A480="","",IF($AQ480&lt;&gt;"",IF(INDEX(Raw_D2!$G$2:$G$1001,$AQ480)="","",INDEX(Raw_D2!$G$2:$G$1001,$AQ480)),IF($AR480&lt;&gt;"",IF(INDEX(Raw_D3!$O$2:$O$1001,$AR480)="","",INDEX(Raw_D3!$O$2:$O$1001,$AR480)),"")))</f>
        <v>27</v>
      </c>
      <c r="P480" s="5">
        <f>IF($A480="","",IF($AQ480&lt;&gt;"",IF(INDEX(Raw_D2!$H$2:$H$1001,$AQ480)="","",INDEX(Raw_D2!$H$2:$H$1001,$AQ480)),IF($AR480&lt;&gt;"",IF(INDEX(Raw_D3!$P$2:$P$1001,$AR480)="","",INDEX(Raw_D3!$P$2:$P$1001,$AR480)),"")))</f>
        <v>27</v>
      </c>
      <c r="Q480" s="5" t="str">
        <f>IF($A480="","",IF(AND($AP480&lt;&gt;"",$AQ480&lt;&gt;""),"D1+D2",IF($AR480&lt;&gt;"","D3","Incomplete")))</f>
        <v>D1+D2</v>
      </c>
      <c r="R480" s="17">
        <f>IF($A480="","",IF($K480="",IF($J480="","",ROUND(Lookups!$K$5+Lookups!$K$4*$J480,4)),$K480))</f>
        <v>0.0455</v>
      </c>
      <c r="S480" s="5" t="str">
        <f>IF($A480="","",IF($K480="","Imputed","Original"))</f>
        <v>Original</v>
      </c>
      <c r="T480" s="5" t="str">
        <f>IF($A480="","",IF($P480="","Missing",IF($P480=$N480+$O480,"OK","Mismatch")))</f>
        <v>OK</v>
      </c>
      <c r="U480" s="5" t="str">
        <f>IF($A480="","",IF(COUNTIF($A$2:$A480,$A480)&gt;1,"Duplicate","Unique"))</f>
        <v>Unique</v>
      </c>
      <c r="V480" s="5">
        <f>IF($A480="","",IF(AND($U480="Unique",ISNUMBER($P480)),1,0))</f>
        <v>1</v>
      </c>
      <c r="W480" s="5" t="str">
        <f>IF($A480="","",IF(OR($H480=0,$H480=6),"Weekend","Weekday"))</f>
        <v>Weekday</v>
      </c>
      <c r="X480" s="5" t="str">
        <f>IF($A480="","",TEXT($B480,"ddd"))</f>
        <v>Fri</v>
      </c>
      <c r="Y480" s="5" t="str">
        <f>IF($A480="","",TEXT($B480,"mmm"))</f>
        <v>Jan</v>
      </c>
      <c r="Z480" s="5" t="str">
        <f>IF($A480="","",IFERROR(VLOOKUP($C480,Lookups!$D$4:$E$7,2,FALSE),"Unknown"))</f>
        <v>Winter</v>
      </c>
      <c r="AA480" s="5" t="str">
        <f>IF($A480="","",IFERROR(VLOOKUP($I480,Lookups!$A$4:$B$7,2,FALSE),"Unknown"))</f>
        <v>Clear</v>
      </c>
      <c r="AB480" s="5" t="str">
        <f>IF($A480="","",TEXT($F480,"00")&amp;":00")</f>
        <v>23:00</v>
      </c>
      <c r="AC480" s="5" t="str">
        <f>IF($A480="","",VLOOKUP($F480,Lookups!$G$4:$H$8,2,TRUE))</f>
        <v>Late Evening (20-23)</v>
      </c>
      <c r="AD480" s="18">
        <f>IF($A480="","",IF($J480="","",ROUND($J480*41,1)))</f>
        <v>2.5</v>
      </c>
      <c r="AE480" s="18">
        <f>IF($A480="","",IF($R480="","",ROUND($R480*50,1)))</f>
        <v>2.3</v>
      </c>
      <c r="AF480" s="5">
        <f>IF($A480="","",IF($L480="","",ROUND($L480*100,0)))</f>
        <v>38</v>
      </c>
      <c r="AG480" s="18">
        <f>IF($A480="","",IF($M480="","",ROUND($M480*67,1)))</f>
        <v>22</v>
      </c>
      <c r="AH480" s="19">
        <f>IF($A480="","",IF($P480="","",IF($P480=0,0,$O480/$P480)))</f>
        <v>1</v>
      </c>
      <c r="AI480" s="5" t="str">
        <f>IF($A480="","",IF($P480="","",IF($P480&gt;=Lookups!$K$7,"High",IF($P480&lt;=Lookups!$K$8,"Low","Medium"))))</f>
        <v>Medium</v>
      </c>
      <c r="AJ480" s="5" t="str">
        <f>IF($A480="","",IF($AD480="","",IF($AD480&lt;5,"Under 5 C",IF($AD480&lt;10,"5-10 C",IF($AD480&lt;15,"10-15 C","15 C and above")))))</f>
        <v>Under 5 C</v>
      </c>
      <c r="AK480" s="5">
        <f>IF($A480="","",IF($P480="","",$P480^2))</f>
        <v>729</v>
      </c>
      <c r="AL480" s="18">
        <f>IF($V480&lt;&gt;1,"",AVERAGEIFS(Clean_Data!$P$2:$P$1001,Clean_Data!$F$2:$F$1001,$F480,Clean_Data!$W$2:$W$1001,$W480,Clean_Data!$V$2:$V$1001,1))</f>
        <v>23.6896551724138</v>
      </c>
      <c r="AM480" s="16">
        <f>IF($V480&lt;&gt;1,"",IFERROR(($P480-$AL480)/SQRT(MAX(0,(SUMIFS(Clean_Data!$AK$2:$AK$1001,Clean_Data!$F$2:$F$1001,$F480,Clean_Data!$W$2:$W$1001,$W480,Clean_Data!$V$2:$V$1001,1)-COUNTIFS(Clean_Data!$F$2:$F$1001,$F480,Clean_Data!$W$2:$W$1001,$W480,Clean_Data!$V$2:$V$1001,1)*$AL480^2)/(COUNTIFS(Clean_Data!$F$2:$F$1001,$F480,Clean_Data!$W$2:$W$1001,$W480,Clean_Data!$V$2:$V$1001,1)-1))),""))</f>
        <v>0.316029061137167</v>
      </c>
      <c r="AN480" s="5" t="str">
        <f>IF($AM480="","",IF($AM480&gt;=Lookups!$K$6,"High spike",IF($AM480&lt;=-Lookups!$K$6,"Unusual low","Normal")))</f>
        <v>Normal</v>
      </c>
      <c r="AO480" s="20">
        <f>IF($V480&lt;&gt;1,"",$P480+ROW()/100000)</f>
        <v>27.0048</v>
      </c>
      <c r="AP480" s="5">
        <f>IF($A480="","",IFERROR(MATCH($A480,Raw_D1!$A$2:$A$1001,0),""))</f>
        <v>479</v>
      </c>
      <c r="AQ480" s="5">
        <f>IF($A480="","",IFERROR(MATCH($A480,Raw_D2!$B$2:$B$1001,0),""))</f>
        <v>479</v>
      </c>
      <c r="AR480" s="5">
        <f>IF($A480="","",IFERROR(MATCH($A480,Raw_D3!$A$2:$A$1001,0),""))</f>
        <v/>
      </c>
    </row>
    <row r="481" spans="1:44" x14ac:dyDescent="0.25">
      <c r="A481" s="5">
        <v>480</v>
      </c>
      <c r="B481" s="11">
        <f>IF($A481="","",IF($AP481&lt;&gt;"",INDEX(Raw_D1!$B$2:$B$1001,$AP481),IF($AR481&lt;&gt;"",INDEX(Raw_D3!$B$2:$B$1001,$AR481),"")))</f>
        <v>40565.0</v>
      </c>
      <c r="C481" s="5">
        <f>IF($A481="","",IF($AP481&lt;&gt;"",INDEX(Raw_D1!$C$2:$C$1001,$AP481),IF($AR481&lt;&gt;"",INDEX(Raw_D3!$C$2:$C$1001,$AR481),"")))</f>
        <v>1</v>
      </c>
      <c r="D481" s="5">
        <f>IF($A481="","",IF($AP481&lt;&gt;"",INDEX(Raw_D1!$D$2:$D$1001,$AP481),IF($AR481&lt;&gt;"",INDEX(Raw_D3!$D$2:$D$1001,$AR481),"")))</f>
        <v>0</v>
      </c>
      <c r="E481" s="5">
        <f>IF($A481="","",IF($AP481&lt;&gt;"",INDEX(Raw_D1!$E$2:$E$1001,$AP481),IF($AR481&lt;&gt;"",INDEX(Raw_D3!$E$2:$E$1001,$AR481),"")))</f>
        <v>1</v>
      </c>
      <c r="F481" s="5">
        <f>IF($A481="","",IF($AP481&lt;&gt;"",INDEX(Raw_D1!$F$2:$F$1001,$AP481),IF($AR481&lt;&gt;"",INDEX(Raw_D3!$F$2:$F$1001,$AR481),"")))</f>
        <v>0</v>
      </c>
      <c r="G481" s="5">
        <f>IF($A481="","",IF($AP481&lt;&gt;"",IF(INDEX(Raw_D1!$G$2:$G$1001,$AP481),1,0),IF($AR481&lt;&gt;"",IF(INDEX(Raw_D3!$G$2:$G$1001,$AR481),1,0),"")))</f>
        <v>0</v>
      </c>
      <c r="H481" s="5">
        <f>IF($A481="","",IF($AP481&lt;&gt;"",INDEX(Raw_D1!$H$2:$H$1001,$AP481),IF($AR481&lt;&gt;"",INDEX(Raw_D3!$H$2:$H$1001,$AR481),"")))</f>
        <v>6</v>
      </c>
      <c r="I481" s="5">
        <f>IF($A481="","",IF($AP481&lt;&gt;"",INDEX(Raw_D1!$I$2:$I$1001,$AP481),IF($AR481&lt;&gt;"",INDEX(Raw_D3!$I$2:$I$1001,$AR481),"")))</f>
        <v>1</v>
      </c>
      <c r="J481" s="16">
        <f>IF($A481="","",IF($AP481&lt;&gt;"",INDEX(Raw_D1!$J$2:$J$1001,$AP481),IF($AR481&lt;&gt;"",INDEX(Raw_D3!$J$2:$J$1001,$AR481),"")))</f>
        <v>0.04</v>
      </c>
      <c r="K481" s="17">
        <f>IF($A481="","",IF($AQ481&lt;&gt;"",IF(INDEX(Raw_D2!$C$2:$C$1001,$AQ481)="","",INDEX(Raw_D2!$C$2:$C$1001,$AQ481)),IF($AR481&lt;&gt;"",IF(INDEX(Raw_D3!$K$2:$K$1001,$AR481)="","",INDEX(Raw_D3!$K$2:$K$1001,$AR481)),"")))</f>
        <v>0.0303</v>
      </c>
      <c r="L481" s="16">
        <f>IF($A481="","",IF($AQ481&lt;&gt;"",IF(INDEX(Raw_D2!$D$2:$D$1001,$AQ481)="","",INDEX(Raw_D2!$D$2:$D$1001,$AQ481)),IF($AR481&lt;&gt;"",IF(INDEX(Raw_D3!$L$2:$L$1001,$AR481)="","",INDEX(Raw_D3!$L$2:$L$1001,$AR481)),"")))</f>
        <v>0.45</v>
      </c>
      <c r="M481" s="17">
        <f>IF($A481="","",IF($AQ481&lt;&gt;"",IF(INDEX(Raw_D2!$E$2:$E$1001,$AQ481)="","",INDEX(Raw_D2!$E$2:$E$1001,$AQ481)),IF($AR481&lt;&gt;"",IF(INDEX(Raw_D3!$M$2:$M$1001,$AR481)="","",INDEX(Raw_D3!$M$2:$M$1001,$AR481)),"")))</f>
        <v>0.2537</v>
      </c>
      <c r="N481" s="5">
        <f>IF($A481="","",IF($AQ481&lt;&gt;"",IF(INDEX(Raw_D2!$F$2:$F$1001,$AQ481)="","",INDEX(Raw_D2!$F$2:$F$1001,$AQ481)),IF($AR481&lt;&gt;"",IF(INDEX(Raw_D3!$N$2:$N$1001,$AR481)="","",INDEX(Raw_D3!$N$2:$N$1001,$AR481)),"")))</f>
        <v>0</v>
      </c>
      <c r="O481" s="5">
        <f>IF($A481="","",IF($AQ481&lt;&gt;"",IF(INDEX(Raw_D2!$G$2:$G$1001,$AQ481)="","",INDEX(Raw_D2!$G$2:$G$1001,$AQ481)),IF($AR481&lt;&gt;"",IF(INDEX(Raw_D3!$O$2:$O$1001,$AR481)="","",INDEX(Raw_D3!$O$2:$O$1001,$AR481)),"")))</f>
        <v>13</v>
      </c>
      <c r="P481" s="5">
        <f>IF($A481="","",IF($AQ481&lt;&gt;"",IF(INDEX(Raw_D2!$H$2:$H$1001,$AQ481)="","",INDEX(Raw_D2!$H$2:$H$1001,$AQ481)),IF($AR481&lt;&gt;"",IF(INDEX(Raw_D3!$P$2:$P$1001,$AR481)="","",INDEX(Raw_D3!$P$2:$P$1001,$AR481)),"")))</f>
        <v>13</v>
      </c>
      <c r="Q481" s="5" t="str">
        <f>IF($A481="","",IF(AND($AP481&lt;&gt;"",$AQ481&lt;&gt;""),"D1+D2",IF($AR481&lt;&gt;"","D3","Incomplete")))</f>
        <v>D1+D2</v>
      </c>
      <c r="R481" s="17">
        <f>IF($A481="","",IF($K481="",IF($J481="","",ROUND(Lookups!$K$5+Lookups!$K$4*$J481,4)),$K481))</f>
        <v>0.0303</v>
      </c>
      <c r="S481" s="5" t="str">
        <f>IF($A481="","",IF($K481="","Imputed","Original"))</f>
        <v>Original</v>
      </c>
      <c r="T481" s="5" t="str">
        <f>IF($A481="","",IF($P481="","Missing",IF($P481=$N481+$O481,"OK","Mismatch")))</f>
        <v>OK</v>
      </c>
      <c r="U481" s="5" t="str">
        <f>IF($A481="","",IF(COUNTIF($A$2:$A481,$A481)&gt;1,"Duplicate","Unique"))</f>
        <v>Unique</v>
      </c>
      <c r="V481" s="5">
        <f>IF($A481="","",IF(AND($U481="Unique",ISNUMBER($P481)),1,0))</f>
        <v>1</v>
      </c>
      <c r="W481" s="5" t="str">
        <f>IF($A481="","",IF(OR($H481=0,$H481=6),"Weekend","Weekday"))</f>
        <v>Weekend</v>
      </c>
      <c r="X481" s="5" t="str">
        <f>IF($A481="","",TEXT($B481,"ddd"))</f>
        <v>Sat</v>
      </c>
      <c r="Y481" s="5" t="str">
        <f>IF($A481="","",TEXT($B481,"mmm"))</f>
        <v>Jan</v>
      </c>
      <c r="Z481" s="5" t="str">
        <f>IF($A481="","",IFERROR(VLOOKUP($C481,Lookups!$D$4:$E$7,2,FALSE),"Unknown"))</f>
        <v>Winter</v>
      </c>
      <c r="AA481" s="5" t="str">
        <f>IF($A481="","",IFERROR(VLOOKUP($I481,Lookups!$A$4:$B$7,2,FALSE),"Unknown"))</f>
        <v>Clear</v>
      </c>
      <c r="AB481" s="5" t="str">
        <f>IF($A481="","",TEXT($F481,"00")&amp;":00")</f>
        <v>00:00</v>
      </c>
      <c r="AC481" s="5" t="str">
        <f>IF($A481="","",VLOOKUP($F481,Lookups!$G$4:$H$8,2,TRUE))</f>
        <v>Night (00-05)</v>
      </c>
      <c r="AD481" s="18">
        <f>IF($A481="","",IF($J481="","",ROUND($J481*41,1)))</f>
        <v>1.6</v>
      </c>
      <c r="AE481" s="18">
        <f>IF($A481="","",IF($R481="","",ROUND($R481*50,1)))</f>
        <v>1.5</v>
      </c>
      <c r="AF481" s="5">
        <f>IF($A481="","",IF($L481="","",ROUND($L481*100,0)))</f>
        <v>45</v>
      </c>
      <c r="AG481" s="18">
        <f>IF($A481="","",IF($M481="","",ROUND($M481*67,1)))</f>
        <v>17</v>
      </c>
      <c r="AH481" s="19">
        <f>IF($A481="","",IF($P481="","",IF($P481=0,0,$O481/$P481)))</f>
        <v>1</v>
      </c>
      <c r="AI481" s="5" t="str">
        <f>IF($A481="","",IF($P481="","",IF($P481&gt;=Lookups!$K$7,"High",IF($P481&lt;=Lookups!$K$8,"Low","Medium"))))</f>
        <v>Low</v>
      </c>
      <c r="AJ481" s="5" t="str">
        <f>IF($A481="","",IF($AD481="","",IF($AD481&lt;5,"Under 5 C",IF($AD481&lt;10,"5-10 C",IF($AD481&lt;15,"10-15 C","15 C and above")))))</f>
        <v>Under 5 C</v>
      </c>
      <c r="AK481" s="5">
        <f>IF($A481="","",IF($P481="","",$P481^2))</f>
        <v>169</v>
      </c>
      <c r="AL481" s="18">
        <f>IF($V481&lt;&gt;1,"",AVERAGEIFS(Clean_Data!$P$2:$P$1001,Clean_Data!$F$2:$F$1001,$F481,Clean_Data!$W$2:$W$1001,$W481,Clean_Data!$V$2:$V$1001,1))</f>
        <v>28.0714285714286</v>
      </c>
      <c r="AM481" s="16">
        <f>IF($V481&lt;&gt;1,"",IFERROR(($P481-$AL481)/SQRT(MAX(0,(SUMIFS(Clean_Data!$AK$2:$AK$1001,Clean_Data!$F$2:$F$1001,$F481,Clean_Data!$W$2:$W$1001,$W481,Clean_Data!$V$2:$V$1001,1)-COUNTIFS(Clean_Data!$F$2:$F$1001,$F481,Clean_Data!$W$2:$W$1001,$W481,Clean_Data!$V$2:$V$1001,1)*$AL481^2)/(COUNTIFS(Clean_Data!$F$2:$F$1001,$F481,Clean_Data!$W$2:$W$1001,$W481,Clean_Data!$V$2:$V$1001,1)-1))),""))</f>
        <v>-1.67148805261187</v>
      </c>
      <c r="AN481" s="5" t="str">
        <f>IF($AM481="","",IF($AM481&gt;=Lookups!$K$6,"High spike",IF($AM481&lt;=-Lookups!$K$6,"Unusual low","Normal")))</f>
        <v>Normal</v>
      </c>
      <c r="AO481" s="20">
        <f>IF($V481&lt;&gt;1,"",$P481+ROW()/100000)</f>
        <v>13.00481</v>
      </c>
      <c r="AP481" s="5">
        <f>IF($A481="","",IFERROR(MATCH($A481,Raw_D1!$A$2:$A$1001,0),""))</f>
        <v>480</v>
      </c>
      <c r="AQ481" s="5">
        <f>IF($A481="","",IFERROR(MATCH($A481,Raw_D2!$B$2:$B$1001,0),""))</f>
        <v>480</v>
      </c>
      <c r="AR481" s="5">
        <f>IF($A481="","",IFERROR(MATCH($A481,Raw_D3!$A$2:$A$1001,0),""))</f>
        <v/>
      </c>
    </row>
    <row r="482" spans="1:44" x14ac:dyDescent="0.25">
      <c r="A482" s="5">
        <v>481</v>
      </c>
      <c r="B482" s="11">
        <f>IF($A482="","",IF($AP482&lt;&gt;"",INDEX(Raw_D1!$B$2:$B$1001,$AP482),IF($AR482&lt;&gt;"",INDEX(Raw_D3!$B$2:$B$1001,$AR482),"")))</f>
        <v>40565.0</v>
      </c>
      <c r="C482" s="5">
        <f>IF($A482="","",IF($AP482&lt;&gt;"",INDEX(Raw_D1!$C$2:$C$1001,$AP482),IF($AR482&lt;&gt;"",INDEX(Raw_D3!$C$2:$C$1001,$AR482),"")))</f>
        <v>1</v>
      </c>
      <c r="D482" s="5">
        <f>IF($A482="","",IF($AP482&lt;&gt;"",INDEX(Raw_D1!$D$2:$D$1001,$AP482),IF($AR482&lt;&gt;"",INDEX(Raw_D3!$D$2:$D$1001,$AR482),"")))</f>
        <v>0</v>
      </c>
      <c r="E482" s="5">
        <f>IF($A482="","",IF($AP482&lt;&gt;"",INDEX(Raw_D1!$E$2:$E$1001,$AP482),IF($AR482&lt;&gt;"",INDEX(Raw_D3!$E$2:$E$1001,$AR482),"")))</f>
        <v>1</v>
      </c>
      <c r="F482" s="5">
        <f>IF($A482="","",IF($AP482&lt;&gt;"",INDEX(Raw_D1!$F$2:$F$1001,$AP482),IF($AR482&lt;&gt;"",INDEX(Raw_D3!$F$2:$F$1001,$AR482),"")))</f>
        <v>1</v>
      </c>
      <c r="G482" s="5">
        <f>IF($A482="","",IF($AP482&lt;&gt;"",IF(INDEX(Raw_D1!$G$2:$G$1001,$AP482),1,0),IF($AR482&lt;&gt;"",IF(INDEX(Raw_D3!$G$2:$G$1001,$AR482),1,0),"")))</f>
        <v>0</v>
      </c>
      <c r="H482" s="5">
        <f>IF($A482="","",IF($AP482&lt;&gt;"",INDEX(Raw_D1!$H$2:$H$1001,$AP482),IF($AR482&lt;&gt;"",INDEX(Raw_D3!$H$2:$H$1001,$AR482),"")))</f>
        <v>6</v>
      </c>
      <c r="I482" s="5">
        <f>IF($A482="","",IF($AP482&lt;&gt;"",INDEX(Raw_D1!$I$2:$I$1001,$AP482),IF($AR482&lt;&gt;"",INDEX(Raw_D3!$I$2:$I$1001,$AR482),"")))</f>
        <v>2</v>
      </c>
      <c r="J482" s="16">
        <f>IF($A482="","",IF($AP482&lt;&gt;"",INDEX(Raw_D1!$J$2:$J$1001,$AP482),IF($AR482&lt;&gt;"",INDEX(Raw_D3!$J$2:$J$1001,$AR482),"")))</f>
        <v>0.04</v>
      </c>
      <c r="K482" s="17">
        <f>IF($A482="","",IF($AQ482&lt;&gt;"",IF(INDEX(Raw_D2!$C$2:$C$1001,$AQ482)="","",INDEX(Raw_D2!$C$2:$C$1001,$AQ482)),IF($AR482&lt;&gt;"",IF(INDEX(Raw_D3!$K$2:$K$1001,$AR482)="","",INDEX(Raw_D3!$K$2:$K$1001,$AR482)),"")))</f>
        <v>0</v>
      </c>
      <c r="L482" s="16">
        <f>IF($A482="","",IF($AQ482&lt;&gt;"",IF(INDEX(Raw_D2!$D$2:$D$1001,$AQ482)="","",INDEX(Raw_D2!$D$2:$D$1001,$AQ482)),IF($AR482&lt;&gt;"",IF(INDEX(Raw_D3!$L$2:$L$1001,$AR482)="","",INDEX(Raw_D3!$L$2:$L$1001,$AR482)),"")))</f>
        <v>0.41</v>
      </c>
      <c r="M482" s="17">
        <f>IF($A482="","",IF($AQ482&lt;&gt;"",IF(INDEX(Raw_D2!$E$2:$E$1001,$AQ482)="","",INDEX(Raw_D2!$E$2:$E$1001,$AQ482)),IF($AR482&lt;&gt;"",IF(INDEX(Raw_D3!$M$2:$M$1001,$AR482)="","",INDEX(Raw_D3!$M$2:$M$1001,$AR482)),"")))</f>
        <v>0.3881</v>
      </c>
      <c r="N482" s="5">
        <f>IF($A482="","",IF($AQ482&lt;&gt;"",IF(INDEX(Raw_D2!$F$2:$F$1001,$AQ482)="","",INDEX(Raw_D2!$F$2:$F$1001,$AQ482)),IF($AR482&lt;&gt;"",IF(INDEX(Raw_D3!$N$2:$N$1001,$AR482)="","",INDEX(Raw_D3!$N$2:$N$1001,$AR482)),"")))</f>
        <v>3</v>
      </c>
      <c r="O482" s="5">
        <f>IF($A482="","",IF($AQ482&lt;&gt;"",IF(INDEX(Raw_D2!$G$2:$G$1001,$AQ482)="","",INDEX(Raw_D2!$G$2:$G$1001,$AQ482)),IF($AR482&lt;&gt;"",IF(INDEX(Raw_D3!$O$2:$O$1001,$AR482)="","",INDEX(Raw_D3!$O$2:$O$1001,$AR482)),"")))</f>
        <v>9</v>
      </c>
      <c r="P482" s="5">
        <f>IF($A482="","",IF($AQ482&lt;&gt;"",IF(INDEX(Raw_D2!$H$2:$H$1001,$AQ482)="","",INDEX(Raw_D2!$H$2:$H$1001,$AQ482)),IF($AR482&lt;&gt;"",IF(INDEX(Raw_D3!$P$2:$P$1001,$AR482)="","",INDEX(Raw_D3!$P$2:$P$1001,$AR482)),"")))</f>
        <v>12</v>
      </c>
      <c r="Q482" s="5" t="str">
        <f>IF($A482="","",IF(AND($AP482&lt;&gt;"",$AQ482&lt;&gt;""),"D1+D2",IF($AR482&lt;&gt;"","D3","Incomplete")))</f>
        <v>D1+D2</v>
      </c>
      <c r="R482" s="17">
        <f>IF($A482="","",IF($K482="",IF($J482="","",ROUND(Lookups!$K$5+Lookups!$K$4*$J482,4)),$K482))</f>
        <v>0</v>
      </c>
      <c r="S482" s="5" t="str">
        <f>IF($A482="","",IF($K482="","Imputed","Original"))</f>
        <v>Original</v>
      </c>
      <c r="T482" s="5" t="str">
        <f>IF($A482="","",IF($P482="","Missing",IF($P482=$N482+$O482,"OK","Mismatch")))</f>
        <v>OK</v>
      </c>
      <c r="U482" s="5" t="str">
        <f>IF($A482="","",IF(COUNTIF($A$2:$A482,$A482)&gt;1,"Duplicate","Unique"))</f>
        <v>Unique</v>
      </c>
      <c r="V482" s="5">
        <f>IF($A482="","",IF(AND($U482="Unique",ISNUMBER($P482)),1,0))</f>
        <v>1</v>
      </c>
      <c r="W482" s="5" t="str">
        <f>IF($A482="","",IF(OR($H482=0,$H482=6),"Weekend","Weekday"))</f>
        <v>Weekend</v>
      </c>
      <c r="X482" s="5" t="str">
        <f>IF($A482="","",TEXT($B482,"ddd"))</f>
        <v>Sat</v>
      </c>
      <c r="Y482" s="5" t="str">
        <f>IF($A482="","",TEXT($B482,"mmm"))</f>
        <v>Jan</v>
      </c>
      <c r="Z482" s="5" t="str">
        <f>IF($A482="","",IFERROR(VLOOKUP($C482,Lookups!$D$4:$E$7,2,FALSE),"Unknown"))</f>
        <v>Winter</v>
      </c>
      <c r="AA482" s="5" t="str">
        <f>IF($A482="","",IFERROR(VLOOKUP($I482,Lookups!$A$4:$B$7,2,FALSE),"Unknown"))</f>
        <v>Mist/Cloudy</v>
      </c>
      <c r="AB482" s="5" t="str">
        <f>IF($A482="","",TEXT($F482,"00")&amp;":00")</f>
        <v>01:00</v>
      </c>
      <c r="AC482" s="5" t="str">
        <f>IF($A482="","",VLOOKUP($F482,Lookups!$G$4:$H$8,2,TRUE))</f>
        <v>Night (00-05)</v>
      </c>
      <c r="AD482" s="18">
        <f>IF($A482="","",IF($J482="","",ROUND($J482*41,1)))</f>
        <v>1.6</v>
      </c>
      <c r="AE482" s="18">
        <f>IF($A482="","",IF($R482="","",ROUND($R482*50,1)))</f>
        <v>0</v>
      </c>
      <c r="AF482" s="5">
        <f>IF($A482="","",IF($L482="","",ROUND($L482*100,0)))</f>
        <v>41</v>
      </c>
      <c r="AG482" s="18">
        <f>IF($A482="","",IF($M482="","",ROUND($M482*67,1)))</f>
        <v>26</v>
      </c>
      <c r="AH482" s="19">
        <f>IF($A482="","",IF($P482="","",IF($P482=0,0,$O482/$P482)))</f>
        <v>0.75</v>
      </c>
      <c r="AI482" s="5" t="str">
        <f>IF($A482="","",IF($P482="","",IF($P482&gt;=Lookups!$K$7,"High",IF($P482&lt;=Lookups!$K$8,"Low","Medium"))))</f>
        <v>Low</v>
      </c>
      <c r="AJ482" s="5" t="str">
        <f>IF($A482="","",IF($AD482="","",IF($AD482&lt;5,"Under 5 C",IF($AD482&lt;10,"5-10 C",IF($AD482&lt;15,"10-15 C","15 C and above")))))</f>
        <v>Under 5 C</v>
      </c>
      <c r="AK482" s="5">
        <f>IF($A482="","",IF($P482="","",$P482^2))</f>
        <v>144</v>
      </c>
      <c r="AL482" s="18">
        <f>IF($V482&lt;&gt;1,"",AVERAGEIFS(Clean_Data!$P$2:$P$1001,Clean_Data!$F$2:$F$1001,$F482,Clean_Data!$W$2:$W$1001,$W482,Clean_Data!$V$2:$V$1001,1))</f>
        <v>22.2857142857143</v>
      </c>
      <c r="AM482" s="16">
        <f>IF($V482&lt;&gt;1,"",IFERROR(($P482-$AL482)/SQRT(MAX(0,(SUMIFS(Clean_Data!$AK$2:$AK$1001,Clean_Data!$F$2:$F$1001,$F482,Clean_Data!$W$2:$W$1001,$W482,Clean_Data!$V$2:$V$1001,1)-COUNTIFS(Clean_Data!$F$2:$F$1001,$F482,Clean_Data!$W$2:$W$1001,$W482,Clean_Data!$V$2:$V$1001,1)*$AL482^2)/(COUNTIFS(Clean_Data!$F$2:$F$1001,$F482,Clean_Data!$W$2:$W$1001,$W482,Clean_Data!$V$2:$V$1001,1)-1))),""))</f>
        <v>-1.05706649469846</v>
      </c>
      <c r="AN482" s="5" t="str">
        <f>IF($AM482="","",IF($AM482&gt;=Lookups!$K$6,"High spike",IF($AM482&lt;=-Lookups!$K$6,"Unusual low","Normal")))</f>
        <v>Normal</v>
      </c>
      <c r="AO482" s="20">
        <f>IF($V482&lt;&gt;1,"",$P482+ROW()/100000)</f>
        <v>12.00482</v>
      </c>
      <c r="AP482" s="5">
        <f>IF($A482="","",IFERROR(MATCH($A482,Raw_D1!$A$2:$A$1001,0),""))</f>
        <v>481</v>
      </c>
      <c r="AQ482" s="5">
        <f>IF($A482="","",IFERROR(MATCH($A482,Raw_D2!$B$2:$B$1001,0),""))</f>
        <v>481</v>
      </c>
      <c r="AR482" s="5">
        <f>IF($A482="","",IFERROR(MATCH($A482,Raw_D3!$A$2:$A$1001,0),""))</f>
        <v/>
      </c>
    </row>
    <row r="483" spans="1:44" x14ac:dyDescent="0.25">
      <c r="A483" s="5">
        <v>482</v>
      </c>
      <c r="B483" s="11">
        <f>IF($A483="","",IF($AP483&lt;&gt;"",INDEX(Raw_D1!$B$2:$B$1001,$AP483),IF($AR483&lt;&gt;"",INDEX(Raw_D3!$B$2:$B$1001,$AR483),"")))</f>
        <v>40565.0</v>
      </c>
      <c r="C483" s="5">
        <f>IF($A483="","",IF($AP483&lt;&gt;"",INDEX(Raw_D1!$C$2:$C$1001,$AP483),IF($AR483&lt;&gt;"",INDEX(Raw_D3!$C$2:$C$1001,$AR483),"")))</f>
        <v>1</v>
      </c>
      <c r="D483" s="5">
        <f>IF($A483="","",IF($AP483&lt;&gt;"",INDEX(Raw_D1!$D$2:$D$1001,$AP483),IF($AR483&lt;&gt;"",INDEX(Raw_D3!$D$2:$D$1001,$AR483),"")))</f>
        <v>0</v>
      </c>
      <c r="E483" s="5">
        <f>IF($A483="","",IF($AP483&lt;&gt;"",INDEX(Raw_D1!$E$2:$E$1001,$AP483),IF($AR483&lt;&gt;"",INDEX(Raw_D3!$E$2:$E$1001,$AR483),"")))</f>
        <v>1</v>
      </c>
      <c r="F483" s="5">
        <f>IF($A483="","",IF($AP483&lt;&gt;"",INDEX(Raw_D1!$F$2:$F$1001,$AP483),IF($AR483&lt;&gt;"",INDEX(Raw_D3!$F$2:$F$1001,$AR483),"")))</f>
        <v>2</v>
      </c>
      <c r="G483" s="5">
        <f>IF($A483="","",IF($AP483&lt;&gt;"",IF(INDEX(Raw_D1!$G$2:$G$1001,$AP483),1,0),IF($AR483&lt;&gt;"",IF(INDEX(Raw_D3!$G$2:$G$1001,$AR483),1,0),"")))</f>
        <v>0</v>
      </c>
      <c r="H483" s="5">
        <f>IF($A483="","",IF($AP483&lt;&gt;"",INDEX(Raw_D1!$H$2:$H$1001,$AP483),IF($AR483&lt;&gt;"",INDEX(Raw_D3!$H$2:$H$1001,$AR483),"")))</f>
        <v>6</v>
      </c>
      <c r="I483" s="5">
        <f>IF($A483="","",IF($AP483&lt;&gt;"",INDEX(Raw_D1!$I$2:$I$1001,$AP483),IF($AR483&lt;&gt;"",INDEX(Raw_D3!$I$2:$I$1001,$AR483),"")))</f>
        <v>2</v>
      </c>
      <c r="J483" s="16">
        <f>IF($A483="","",IF($AP483&lt;&gt;"",INDEX(Raw_D1!$J$2:$J$1001,$AP483),IF($AR483&lt;&gt;"",INDEX(Raw_D3!$J$2:$J$1001,$AR483),"")))</f>
        <v>0.04</v>
      </c>
      <c r="K483" s="17">
        <f>IF($A483="","",IF($AQ483&lt;&gt;"",IF(INDEX(Raw_D2!$C$2:$C$1001,$AQ483)="","",INDEX(Raw_D2!$C$2:$C$1001,$AQ483)),IF($AR483&lt;&gt;"",IF(INDEX(Raw_D3!$K$2:$K$1001,$AR483)="","",INDEX(Raw_D3!$K$2:$K$1001,$AR483)),"")))</f>
        <v>0.0303</v>
      </c>
      <c r="L483" s="16">
        <f>IF($A483="","",IF($AQ483&lt;&gt;"",IF(INDEX(Raw_D2!$D$2:$D$1001,$AQ483)="","",INDEX(Raw_D2!$D$2:$D$1001,$AQ483)),IF($AR483&lt;&gt;"",IF(INDEX(Raw_D3!$L$2:$L$1001,$AR483)="","",INDEX(Raw_D3!$L$2:$L$1001,$AR483)),"")))</f>
        <v>0.41</v>
      </c>
      <c r="M483" s="17">
        <f>IF($A483="","",IF($AQ483&lt;&gt;"",IF(INDEX(Raw_D2!$E$2:$E$1001,$AQ483)="","",INDEX(Raw_D2!$E$2:$E$1001,$AQ483)),IF($AR483&lt;&gt;"",IF(INDEX(Raw_D3!$M$2:$M$1001,$AR483)="","",INDEX(Raw_D3!$M$2:$M$1001,$AR483)),"")))</f>
        <v>0.2537</v>
      </c>
      <c r="N483" s="5">
        <f>IF($A483="","",IF($AQ483&lt;&gt;"",IF(INDEX(Raw_D2!$F$2:$F$1001,$AQ483)="","",INDEX(Raw_D2!$F$2:$F$1001,$AQ483)),IF($AR483&lt;&gt;"",IF(INDEX(Raw_D3!$N$2:$N$1001,$AR483)="","",INDEX(Raw_D3!$N$2:$N$1001,$AR483)),"")))</f>
        <v>0</v>
      </c>
      <c r="O483" s="5">
        <f>IF($A483="","",IF($AQ483&lt;&gt;"",IF(INDEX(Raw_D2!$G$2:$G$1001,$AQ483)="","",INDEX(Raw_D2!$G$2:$G$1001,$AQ483)),IF($AR483&lt;&gt;"",IF(INDEX(Raw_D3!$O$2:$O$1001,$AR483)="","",INDEX(Raw_D3!$O$2:$O$1001,$AR483)),"")))</f>
        <v>11</v>
      </c>
      <c r="P483" s="5">
        <f>IF($A483="","",IF($AQ483&lt;&gt;"",IF(INDEX(Raw_D2!$H$2:$H$1001,$AQ483)="","",INDEX(Raw_D2!$H$2:$H$1001,$AQ483)),IF($AR483&lt;&gt;"",IF(INDEX(Raw_D3!$P$2:$P$1001,$AR483)="","",INDEX(Raw_D3!$P$2:$P$1001,$AR483)),"")))</f>
        <v>11</v>
      </c>
      <c r="Q483" s="5" t="str">
        <f>IF($A483="","",IF(AND($AP483&lt;&gt;"",$AQ483&lt;&gt;""),"D1+D2",IF($AR483&lt;&gt;"","D3","Incomplete")))</f>
        <v>D1+D2</v>
      </c>
      <c r="R483" s="17">
        <f>IF($A483="","",IF($K483="",IF($J483="","",ROUND(Lookups!$K$5+Lookups!$K$4*$J483,4)),$K483))</f>
        <v>0.0303</v>
      </c>
      <c r="S483" s="5" t="str">
        <f>IF($A483="","",IF($K483="","Imputed","Original"))</f>
        <v>Original</v>
      </c>
      <c r="T483" s="5" t="str">
        <f>IF($A483="","",IF($P483="","Missing",IF($P483=$N483+$O483,"OK","Mismatch")))</f>
        <v>OK</v>
      </c>
      <c r="U483" s="5" t="str">
        <f>IF($A483="","",IF(COUNTIF($A$2:$A483,$A483)&gt;1,"Duplicate","Unique"))</f>
        <v>Unique</v>
      </c>
      <c r="V483" s="5">
        <f>IF($A483="","",IF(AND($U483="Unique",ISNUMBER($P483)),1,0))</f>
        <v>1</v>
      </c>
      <c r="W483" s="5" t="str">
        <f>IF($A483="","",IF(OR($H483=0,$H483=6),"Weekend","Weekday"))</f>
        <v>Weekend</v>
      </c>
      <c r="X483" s="5" t="str">
        <f>IF($A483="","",TEXT($B483,"ddd"))</f>
        <v>Sat</v>
      </c>
      <c r="Y483" s="5" t="str">
        <f>IF($A483="","",TEXT($B483,"mmm"))</f>
        <v>Jan</v>
      </c>
      <c r="Z483" s="5" t="str">
        <f>IF($A483="","",IFERROR(VLOOKUP($C483,Lookups!$D$4:$E$7,2,FALSE),"Unknown"))</f>
        <v>Winter</v>
      </c>
      <c r="AA483" s="5" t="str">
        <f>IF($A483="","",IFERROR(VLOOKUP($I483,Lookups!$A$4:$B$7,2,FALSE),"Unknown"))</f>
        <v>Mist/Cloudy</v>
      </c>
      <c r="AB483" s="5" t="str">
        <f>IF($A483="","",TEXT($F483,"00")&amp;":00")</f>
        <v>02:00</v>
      </c>
      <c r="AC483" s="5" t="str">
        <f>IF($A483="","",VLOOKUP($F483,Lookups!$G$4:$H$8,2,TRUE))</f>
        <v>Night (00-05)</v>
      </c>
      <c r="AD483" s="18">
        <f>IF($A483="","",IF($J483="","",ROUND($J483*41,1)))</f>
        <v>1.6</v>
      </c>
      <c r="AE483" s="18">
        <f>IF($A483="","",IF($R483="","",ROUND($R483*50,1)))</f>
        <v>1.5</v>
      </c>
      <c r="AF483" s="5">
        <f>IF($A483="","",IF($L483="","",ROUND($L483*100,0)))</f>
        <v>41</v>
      </c>
      <c r="AG483" s="18">
        <f>IF($A483="","",IF($M483="","",ROUND($M483*67,1)))</f>
        <v>17</v>
      </c>
      <c r="AH483" s="19">
        <f>IF($A483="","",IF($P483="","",IF($P483=0,0,$O483/$P483)))</f>
        <v>1</v>
      </c>
      <c r="AI483" s="5" t="str">
        <f>IF($A483="","",IF($P483="","",IF($P483&gt;=Lookups!$K$7,"High",IF($P483&lt;=Lookups!$K$8,"Low","Medium"))))</f>
        <v>Low</v>
      </c>
      <c r="AJ483" s="5" t="str">
        <f>IF($A483="","",IF($AD483="","",IF($AD483&lt;5,"Under 5 C",IF($AD483&lt;10,"5-10 C",IF($AD483&lt;15,"10-15 C","15 C and above")))))</f>
        <v>Under 5 C</v>
      </c>
      <c r="AK483" s="5">
        <f>IF($A483="","",IF($P483="","",$P483^2))</f>
        <v>121</v>
      </c>
      <c r="AL483" s="18">
        <f>IF($V483&lt;&gt;1,"",AVERAGEIFS(Clean_Data!$P$2:$P$1001,Clean_Data!$F$2:$F$1001,$F483,Clean_Data!$W$2:$W$1001,$W483,Clean_Data!$V$2:$V$1001,1))</f>
        <v>15.9285714285714</v>
      </c>
      <c r="AM483" s="16">
        <f>IF($V483&lt;&gt;1,"",IFERROR(($P483-$AL483)/SQRT(MAX(0,(SUMIFS(Clean_Data!$AK$2:$AK$1001,Clean_Data!$F$2:$F$1001,$F483,Clean_Data!$W$2:$W$1001,$W483,Clean_Data!$V$2:$V$1001,1)-COUNTIFS(Clean_Data!$F$2:$F$1001,$F483,Clean_Data!$W$2:$W$1001,$W483,Clean_Data!$V$2:$V$1001,1)*$AL483^2)/(COUNTIFS(Clean_Data!$F$2:$F$1001,$F483,Clean_Data!$W$2:$W$1001,$W483,Clean_Data!$V$2:$V$1001,1)-1))),""))</f>
        <v>-0.852086651842453</v>
      </c>
      <c r="AN483" s="5" t="str">
        <f>IF($AM483="","",IF($AM483&gt;=Lookups!$K$6,"High spike",IF($AM483&lt;=-Lookups!$K$6,"Unusual low","Normal")))</f>
        <v>Normal</v>
      </c>
      <c r="AO483" s="20">
        <f>IF($V483&lt;&gt;1,"",$P483+ROW()/100000)</f>
        <v>11.00483</v>
      </c>
      <c r="AP483" s="5">
        <f>IF($A483="","",IFERROR(MATCH($A483,Raw_D1!$A$2:$A$1001,0),""))</f>
        <v>482</v>
      </c>
      <c r="AQ483" s="5">
        <f>IF($A483="","",IFERROR(MATCH($A483,Raw_D2!$B$2:$B$1001,0),""))</f>
        <v>482</v>
      </c>
      <c r="AR483" s="5">
        <f>IF($A483="","",IFERROR(MATCH($A483,Raw_D3!$A$2:$A$1001,0),""))</f>
        <v/>
      </c>
    </row>
    <row r="484" spans="1:44" x14ac:dyDescent="0.25">
      <c r="A484" s="5">
        <v>483</v>
      </c>
      <c r="B484" s="11">
        <f>IF($A484="","",IF($AP484&lt;&gt;"",INDEX(Raw_D1!$B$2:$B$1001,$AP484),IF($AR484&lt;&gt;"",INDEX(Raw_D3!$B$2:$B$1001,$AR484),"")))</f>
        <v>40565.0</v>
      </c>
      <c r="C484" s="5">
        <f>IF($A484="","",IF($AP484&lt;&gt;"",INDEX(Raw_D1!$C$2:$C$1001,$AP484),IF($AR484&lt;&gt;"",INDEX(Raw_D3!$C$2:$C$1001,$AR484),"")))</f>
        <v>1</v>
      </c>
      <c r="D484" s="5">
        <f>IF($A484="","",IF($AP484&lt;&gt;"",INDEX(Raw_D1!$D$2:$D$1001,$AP484),IF($AR484&lt;&gt;"",INDEX(Raw_D3!$D$2:$D$1001,$AR484),"")))</f>
        <v>0</v>
      </c>
      <c r="E484" s="5">
        <f>IF($A484="","",IF($AP484&lt;&gt;"",INDEX(Raw_D1!$E$2:$E$1001,$AP484),IF($AR484&lt;&gt;"",INDEX(Raw_D3!$E$2:$E$1001,$AR484),"")))</f>
        <v>1</v>
      </c>
      <c r="F484" s="5">
        <f>IF($A484="","",IF($AP484&lt;&gt;"",INDEX(Raw_D1!$F$2:$F$1001,$AP484),IF($AR484&lt;&gt;"",INDEX(Raw_D3!$F$2:$F$1001,$AR484),"")))</f>
        <v>3</v>
      </c>
      <c r="G484" s="5">
        <f>IF($A484="","",IF($AP484&lt;&gt;"",IF(INDEX(Raw_D1!$G$2:$G$1001,$AP484),1,0),IF($AR484&lt;&gt;"",IF(INDEX(Raw_D3!$G$2:$G$1001,$AR484),1,0),"")))</f>
        <v>0</v>
      </c>
      <c r="H484" s="5">
        <f>IF($A484="","",IF($AP484&lt;&gt;"",INDEX(Raw_D1!$H$2:$H$1001,$AP484),IF($AR484&lt;&gt;"",INDEX(Raw_D3!$H$2:$H$1001,$AR484),"")))</f>
        <v>6</v>
      </c>
      <c r="I484" s="5">
        <f>IF($A484="","",IF($AP484&lt;&gt;"",INDEX(Raw_D1!$I$2:$I$1001,$AP484),IF($AR484&lt;&gt;"",INDEX(Raw_D3!$I$2:$I$1001,$AR484),"")))</f>
        <v>2</v>
      </c>
      <c r="J484" s="16">
        <f>IF($A484="","",IF($AP484&lt;&gt;"",INDEX(Raw_D1!$J$2:$J$1001,$AP484),IF($AR484&lt;&gt;"",INDEX(Raw_D3!$J$2:$J$1001,$AR484),"")))</f>
        <v>0.04</v>
      </c>
      <c r="K484" s="17">
        <f>IF($A484="","",IF($AQ484&lt;&gt;"",IF(INDEX(Raw_D2!$C$2:$C$1001,$AQ484)="","",INDEX(Raw_D2!$C$2:$C$1001,$AQ484)),IF($AR484&lt;&gt;"",IF(INDEX(Raw_D3!$K$2:$K$1001,$AR484)="","",INDEX(Raw_D3!$K$2:$K$1001,$AR484)),"")))</f>
        <v>0.0303</v>
      </c>
      <c r="L484" s="16">
        <f>IF($A484="","",IF($AQ484&lt;&gt;"",IF(INDEX(Raw_D2!$D$2:$D$1001,$AQ484)="","",INDEX(Raw_D2!$D$2:$D$1001,$AQ484)),IF($AR484&lt;&gt;"",IF(INDEX(Raw_D3!$L$2:$L$1001,$AR484)="","",INDEX(Raw_D3!$L$2:$L$1001,$AR484)),"")))</f>
        <v>0.41</v>
      </c>
      <c r="M484" s="17">
        <f>IF($A484="","",IF($AQ484&lt;&gt;"",IF(INDEX(Raw_D2!$E$2:$E$1001,$AQ484)="","",INDEX(Raw_D2!$E$2:$E$1001,$AQ484)),IF($AR484&lt;&gt;"",IF(INDEX(Raw_D3!$M$2:$M$1001,$AR484)="","",INDEX(Raw_D3!$M$2:$M$1001,$AR484)),"")))</f>
        <v>0.2836</v>
      </c>
      <c r="N484" s="5">
        <f>IF($A484="","",IF($AQ484&lt;&gt;"",IF(INDEX(Raw_D2!$F$2:$F$1001,$AQ484)="","",INDEX(Raw_D2!$F$2:$F$1001,$AQ484)),IF($AR484&lt;&gt;"",IF(INDEX(Raw_D3!$N$2:$N$1001,$AR484)="","",INDEX(Raw_D3!$N$2:$N$1001,$AR484)),"")))</f>
        <v>1</v>
      </c>
      <c r="O484" s="5">
        <f>IF($A484="","",IF($AQ484&lt;&gt;"",IF(INDEX(Raw_D2!$G$2:$G$1001,$AQ484)="","",INDEX(Raw_D2!$G$2:$G$1001,$AQ484)),IF($AR484&lt;&gt;"",IF(INDEX(Raw_D3!$O$2:$O$1001,$AR484)="","",INDEX(Raw_D3!$O$2:$O$1001,$AR484)),"")))</f>
        <v>6</v>
      </c>
      <c r="P484" s="5">
        <f>IF($A484="","",IF($AQ484&lt;&gt;"",IF(INDEX(Raw_D2!$H$2:$H$1001,$AQ484)="","",INDEX(Raw_D2!$H$2:$H$1001,$AQ484)),IF($AR484&lt;&gt;"",IF(INDEX(Raw_D3!$P$2:$P$1001,$AR484)="","",INDEX(Raw_D3!$P$2:$P$1001,$AR484)),"")))</f>
        <v>7</v>
      </c>
      <c r="Q484" s="5" t="str">
        <f>IF($A484="","",IF(AND($AP484&lt;&gt;"",$AQ484&lt;&gt;""),"D1+D2",IF($AR484&lt;&gt;"","D3","Incomplete")))</f>
        <v>D1+D2</v>
      </c>
      <c r="R484" s="17">
        <f>IF($A484="","",IF($K484="",IF($J484="","",ROUND(Lookups!$K$5+Lookups!$K$4*$J484,4)),$K484))</f>
        <v>0.0303</v>
      </c>
      <c r="S484" s="5" t="str">
        <f>IF($A484="","",IF($K484="","Imputed","Original"))</f>
        <v>Original</v>
      </c>
      <c r="T484" s="5" t="str">
        <f>IF($A484="","",IF($P484="","Missing",IF($P484=$N484+$O484,"OK","Mismatch")))</f>
        <v>OK</v>
      </c>
      <c r="U484" s="5" t="str">
        <f>IF($A484="","",IF(COUNTIF($A$2:$A484,$A484)&gt;1,"Duplicate","Unique"))</f>
        <v>Unique</v>
      </c>
      <c r="V484" s="5">
        <f>IF($A484="","",IF(AND($U484="Unique",ISNUMBER($P484)),1,0))</f>
        <v>1</v>
      </c>
      <c r="W484" s="5" t="str">
        <f>IF($A484="","",IF(OR($H484=0,$H484=6),"Weekend","Weekday"))</f>
        <v>Weekend</v>
      </c>
      <c r="X484" s="5" t="str">
        <f>IF($A484="","",TEXT($B484,"ddd"))</f>
        <v>Sat</v>
      </c>
      <c r="Y484" s="5" t="str">
        <f>IF($A484="","",TEXT($B484,"mmm"))</f>
        <v>Jan</v>
      </c>
      <c r="Z484" s="5" t="str">
        <f>IF($A484="","",IFERROR(VLOOKUP($C484,Lookups!$D$4:$E$7,2,FALSE),"Unknown"))</f>
        <v>Winter</v>
      </c>
      <c r="AA484" s="5" t="str">
        <f>IF($A484="","",IFERROR(VLOOKUP($I484,Lookups!$A$4:$B$7,2,FALSE),"Unknown"))</f>
        <v>Mist/Cloudy</v>
      </c>
      <c r="AB484" s="5" t="str">
        <f>IF($A484="","",TEXT($F484,"00")&amp;":00")</f>
        <v>03:00</v>
      </c>
      <c r="AC484" s="5" t="str">
        <f>IF($A484="","",VLOOKUP($F484,Lookups!$G$4:$H$8,2,TRUE))</f>
        <v>Night (00-05)</v>
      </c>
      <c r="AD484" s="18">
        <f>IF($A484="","",IF($J484="","",ROUND($J484*41,1)))</f>
        <v>1.6</v>
      </c>
      <c r="AE484" s="18">
        <f>IF($A484="","",IF($R484="","",ROUND($R484*50,1)))</f>
        <v>1.5</v>
      </c>
      <c r="AF484" s="5">
        <f>IF($A484="","",IF($L484="","",ROUND($L484*100,0)))</f>
        <v>41</v>
      </c>
      <c r="AG484" s="18">
        <f>IF($A484="","",IF($M484="","",ROUND($M484*67,1)))</f>
        <v>19</v>
      </c>
      <c r="AH484" s="19">
        <f>IF($A484="","",IF($P484="","",IF($P484=0,0,$O484/$P484)))</f>
        <v>0.857142857142857</v>
      </c>
      <c r="AI484" s="5" t="str">
        <f>IF($A484="","",IF($P484="","",IF($P484&gt;=Lookups!$K$7,"High",IF($P484&lt;=Lookups!$K$8,"Low","Medium"))))</f>
        <v>Low</v>
      </c>
      <c r="AJ484" s="5" t="str">
        <f>IF($A484="","",IF($AD484="","",IF($AD484&lt;5,"Under 5 C",IF($AD484&lt;10,"5-10 C",IF($AD484&lt;15,"10-15 C","15 C and above")))))</f>
        <v>Under 5 C</v>
      </c>
      <c r="AK484" s="5">
        <f>IF($A484="","",IF($P484="","",$P484^2))</f>
        <v>49</v>
      </c>
      <c r="AL484" s="18">
        <f>IF($V484&lt;&gt;1,"",AVERAGEIFS(Clean_Data!$P$2:$P$1001,Clean_Data!$F$2:$F$1001,$F484,Clean_Data!$W$2:$W$1001,$W484,Clean_Data!$V$2:$V$1001,1))</f>
        <v>9.07142857142857</v>
      </c>
      <c r="AM484" s="16">
        <f>IF($V484&lt;&gt;1,"",IFERROR(($P484-$AL484)/SQRT(MAX(0,(SUMIFS(Clean_Data!$AK$2:$AK$1001,Clean_Data!$F$2:$F$1001,$F484,Clean_Data!$W$2:$W$1001,$W484,Clean_Data!$V$2:$V$1001,1)-COUNTIFS(Clean_Data!$F$2:$F$1001,$F484,Clean_Data!$W$2:$W$1001,$W484,Clean_Data!$V$2:$V$1001,1)*$AL484^2)/(COUNTIFS(Clean_Data!$F$2:$F$1001,$F484,Clean_Data!$W$2:$W$1001,$W484,Clean_Data!$V$2:$V$1001,1)-1))),""))</f>
        <v>-0.624715256047678</v>
      </c>
      <c r="AN484" s="5" t="str">
        <f>IF($AM484="","",IF($AM484&gt;=Lookups!$K$6,"High spike",IF($AM484&lt;=-Lookups!$K$6,"Unusual low","Normal")))</f>
        <v>Normal</v>
      </c>
      <c r="AO484" s="20">
        <f>IF($V484&lt;&gt;1,"",$P484+ROW()/100000)</f>
        <v>7.00484</v>
      </c>
      <c r="AP484" s="5">
        <f>IF($A484="","",IFERROR(MATCH($A484,Raw_D1!$A$2:$A$1001,0),""))</f>
        <v>483</v>
      </c>
      <c r="AQ484" s="5">
        <f>IF($A484="","",IFERROR(MATCH($A484,Raw_D2!$B$2:$B$1001,0),""))</f>
        <v>483</v>
      </c>
      <c r="AR484" s="5">
        <f>IF($A484="","",IFERROR(MATCH($A484,Raw_D3!$A$2:$A$1001,0),""))</f>
        <v/>
      </c>
    </row>
    <row r="485" spans="1:44" x14ac:dyDescent="0.25">
      <c r="A485" s="5">
        <v>484</v>
      </c>
      <c r="B485" s="11">
        <f>IF($A485="","",IF($AP485&lt;&gt;"",INDEX(Raw_D1!$B$2:$B$1001,$AP485),IF($AR485&lt;&gt;"",INDEX(Raw_D3!$B$2:$B$1001,$AR485),"")))</f>
        <v>40565.0</v>
      </c>
      <c r="C485" s="5">
        <f>IF($A485="","",IF($AP485&lt;&gt;"",INDEX(Raw_D1!$C$2:$C$1001,$AP485),IF($AR485&lt;&gt;"",INDEX(Raw_D3!$C$2:$C$1001,$AR485),"")))</f>
        <v>1</v>
      </c>
      <c r="D485" s="5">
        <f>IF($A485="","",IF($AP485&lt;&gt;"",INDEX(Raw_D1!$D$2:$D$1001,$AP485),IF($AR485&lt;&gt;"",INDEX(Raw_D3!$D$2:$D$1001,$AR485),"")))</f>
        <v>0</v>
      </c>
      <c r="E485" s="5">
        <f>IF($A485="","",IF($AP485&lt;&gt;"",INDEX(Raw_D1!$E$2:$E$1001,$AP485),IF($AR485&lt;&gt;"",INDEX(Raw_D3!$E$2:$E$1001,$AR485),"")))</f>
        <v>1</v>
      </c>
      <c r="F485" s="5">
        <f>IF($A485="","",IF($AP485&lt;&gt;"",INDEX(Raw_D1!$F$2:$F$1001,$AP485),IF($AR485&lt;&gt;"",INDEX(Raw_D3!$F$2:$F$1001,$AR485),"")))</f>
        <v>4</v>
      </c>
      <c r="G485" s="5">
        <f>IF($A485="","",IF($AP485&lt;&gt;"",IF(INDEX(Raw_D1!$G$2:$G$1001,$AP485),1,0),IF($AR485&lt;&gt;"",IF(INDEX(Raw_D3!$G$2:$G$1001,$AR485),1,0),"")))</f>
        <v>0</v>
      </c>
      <c r="H485" s="5">
        <f>IF($A485="","",IF($AP485&lt;&gt;"",INDEX(Raw_D1!$H$2:$H$1001,$AP485),IF($AR485&lt;&gt;"",INDEX(Raw_D3!$H$2:$H$1001,$AR485),"")))</f>
        <v>6</v>
      </c>
      <c r="I485" s="5">
        <f>IF($A485="","",IF($AP485&lt;&gt;"",INDEX(Raw_D1!$I$2:$I$1001,$AP485),IF($AR485&lt;&gt;"",INDEX(Raw_D3!$I$2:$I$1001,$AR485),"")))</f>
        <v>2</v>
      </c>
      <c r="J485" s="16">
        <f>IF($A485="","",IF($AP485&lt;&gt;"",INDEX(Raw_D1!$J$2:$J$1001,$AP485),IF($AR485&lt;&gt;"",INDEX(Raw_D3!$J$2:$J$1001,$AR485),"")))</f>
        <v>0.02</v>
      </c>
      <c r="K485" s="17">
        <f>IF($A485="","",IF($AQ485&lt;&gt;"",IF(INDEX(Raw_D2!$C$2:$C$1001,$AQ485)="","",INDEX(Raw_D2!$C$2:$C$1001,$AQ485)),IF($AR485&lt;&gt;"",IF(INDEX(Raw_D3!$K$2:$K$1001,$AR485)="","",INDEX(Raw_D3!$K$2:$K$1001,$AR485)),"")))</f>
        <v>0.0152</v>
      </c>
      <c r="L485" s="16">
        <f>IF($A485="","",IF($AQ485&lt;&gt;"",IF(INDEX(Raw_D2!$D$2:$D$1001,$AQ485)="","",INDEX(Raw_D2!$D$2:$D$1001,$AQ485)),IF($AR485&lt;&gt;"",IF(INDEX(Raw_D3!$L$2:$L$1001,$AR485)="","",INDEX(Raw_D3!$L$2:$L$1001,$AR485)),"")))</f>
        <v>0.48</v>
      </c>
      <c r="M485" s="17">
        <f>IF($A485="","",IF($AQ485&lt;&gt;"",IF(INDEX(Raw_D2!$E$2:$E$1001,$AQ485)="","",INDEX(Raw_D2!$E$2:$E$1001,$AQ485)),IF($AR485&lt;&gt;"",IF(INDEX(Raw_D3!$M$2:$M$1001,$AR485)="","",INDEX(Raw_D3!$M$2:$M$1001,$AR485)),"")))</f>
        <v>0.2985</v>
      </c>
      <c r="N485" s="5">
        <f>IF($A485="","",IF($AQ485&lt;&gt;"",IF(INDEX(Raw_D2!$F$2:$F$1001,$AQ485)="","",INDEX(Raw_D2!$F$2:$F$1001,$AQ485)),IF($AR485&lt;&gt;"",IF(INDEX(Raw_D3!$N$2:$N$1001,$AR485)="","",INDEX(Raw_D3!$N$2:$N$1001,$AR485)),"")))</f>
        <v>0</v>
      </c>
      <c r="O485" s="5">
        <f>IF($A485="","",IF($AQ485&lt;&gt;"",IF(INDEX(Raw_D2!$G$2:$G$1001,$AQ485)="","",INDEX(Raw_D2!$G$2:$G$1001,$AQ485)),IF($AR485&lt;&gt;"",IF(INDEX(Raw_D3!$O$2:$O$1001,$AR485)="","",INDEX(Raw_D3!$O$2:$O$1001,$AR485)),"")))</f>
        <v>3</v>
      </c>
      <c r="P485" s="5">
        <f>IF($A485="","",IF($AQ485&lt;&gt;"",IF(INDEX(Raw_D2!$H$2:$H$1001,$AQ485)="","",INDEX(Raw_D2!$H$2:$H$1001,$AQ485)),IF($AR485&lt;&gt;"",IF(INDEX(Raw_D3!$P$2:$P$1001,$AR485)="","",INDEX(Raw_D3!$P$2:$P$1001,$AR485)),"")))</f>
        <v>3</v>
      </c>
      <c r="Q485" s="5" t="str">
        <f>IF($A485="","",IF(AND($AP485&lt;&gt;"",$AQ485&lt;&gt;""),"D1+D2",IF($AR485&lt;&gt;"","D3","Incomplete")))</f>
        <v>D1+D2</v>
      </c>
      <c r="R485" s="17">
        <f>IF($A485="","",IF($K485="",IF($J485="","",ROUND(Lookups!$K$5+Lookups!$K$4*$J485,4)),$K485))</f>
        <v>0.0152</v>
      </c>
      <c r="S485" s="5" t="str">
        <f>IF($A485="","",IF($K485="","Imputed","Original"))</f>
        <v>Original</v>
      </c>
      <c r="T485" s="5" t="str">
        <f>IF($A485="","",IF($P485="","Missing",IF($P485=$N485+$O485,"OK","Mismatch")))</f>
        <v>OK</v>
      </c>
      <c r="U485" s="5" t="str">
        <f>IF($A485="","",IF(COUNTIF($A$2:$A485,$A485)&gt;1,"Duplicate","Unique"))</f>
        <v>Unique</v>
      </c>
      <c r="V485" s="5">
        <f>IF($A485="","",IF(AND($U485="Unique",ISNUMBER($P485)),1,0))</f>
        <v>1</v>
      </c>
      <c r="W485" s="5" t="str">
        <f>IF($A485="","",IF(OR($H485=0,$H485=6),"Weekend","Weekday"))</f>
        <v>Weekend</v>
      </c>
      <c r="X485" s="5" t="str">
        <f>IF($A485="","",TEXT($B485,"ddd"))</f>
        <v>Sat</v>
      </c>
      <c r="Y485" s="5" t="str">
        <f>IF($A485="","",TEXT($B485,"mmm"))</f>
        <v>Jan</v>
      </c>
      <c r="Z485" s="5" t="str">
        <f>IF($A485="","",IFERROR(VLOOKUP($C485,Lookups!$D$4:$E$7,2,FALSE),"Unknown"))</f>
        <v>Winter</v>
      </c>
      <c r="AA485" s="5" t="str">
        <f>IF($A485="","",IFERROR(VLOOKUP($I485,Lookups!$A$4:$B$7,2,FALSE),"Unknown"))</f>
        <v>Mist/Cloudy</v>
      </c>
      <c r="AB485" s="5" t="str">
        <f>IF($A485="","",TEXT($F485,"00")&amp;":00")</f>
        <v>04:00</v>
      </c>
      <c r="AC485" s="5" t="str">
        <f>IF($A485="","",VLOOKUP($F485,Lookups!$G$4:$H$8,2,TRUE))</f>
        <v>Night (00-05)</v>
      </c>
      <c r="AD485" s="18">
        <f>IF($A485="","",IF($J485="","",ROUND($J485*41,1)))</f>
        <v>0.8</v>
      </c>
      <c r="AE485" s="18">
        <f>IF($A485="","",IF($R485="","",ROUND($R485*50,1)))</f>
        <v>0.8</v>
      </c>
      <c r="AF485" s="5">
        <f>IF($A485="","",IF($L485="","",ROUND($L485*100,0)))</f>
        <v>48</v>
      </c>
      <c r="AG485" s="18">
        <f>IF($A485="","",IF($M485="","",ROUND($M485*67,1)))</f>
        <v>20</v>
      </c>
      <c r="AH485" s="19">
        <f>IF($A485="","",IF($P485="","",IF($P485=0,0,$O485/$P485)))</f>
        <v>1</v>
      </c>
      <c r="AI485" s="5" t="str">
        <f>IF($A485="","",IF($P485="","",IF($P485&gt;=Lookups!$K$7,"High",IF($P485&lt;=Lookups!$K$8,"Low","Medium"))))</f>
        <v>Low</v>
      </c>
      <c r="AJ485" s="5" t="str">
        <f>IF($A485="","",IF($AD485="","",IF($AD485&lt;5,"Under 5 C",IF($AD485&lt;10,"5-10 C",IF($AD485&lt;15,"10-15 C","15 C and above")))))</f>
        <v>Under 5 C</v>
      </c>
      <c r="AK485" s="5">
        <f>IF($A485="","",IF($P485="","",$P485^2))</f>
        <v>9</v>
      </c>
      <c r="AL485" s="18">
        <f>IF($V485&lt;&gt;1,"",AVERAGEIFS(Clean_Data!$P$2:$P$1001,Clean_Data!$F$2:$F$1001,$F485,Clean_Data!$W$2:$W$1001,$W485,Clean_Data!$V$2:$V$1001,1))</f>
        <v>2.69230769230769</v>
      </c>
      <c r="AM485" s="16">
        <f>IF($V485&lt;&gt;1,"",IFERROR(($P485-$AL485)/SQRT(MAX(0,(SUMIFS(Clean_Data!$AK$2:$AK$1001,Clean_Data!$F$2:$F$1001,$F485,Clean_Data!$W$2:$W$1001,$W485,Clean_Data!$V$2:$V$1001,1)-COUNTIFS(Clean_Data!$F$2:$F$1001,$F485,Clean_Data!$W$2:$W$1001,$W485,Clean_Data!$V$2:$V$1001,1)*$AL485^2)/(COUNTIFS(Clean_Data!$F$2:$F$1001,$F485,Clean_Data!$W$2:$W$1001,$W485,Clean_Data!$V$2:$V$1001,1)-1))),""))</f>
        <v>0.149591518401353</v>
      </c>
      <c r="AN485" s="5" t="str">
        <f>IF($AM485="","",IF($AM485&gt;=Lookups!$K$6,"High spike",IF($AM485&lt;=-Lookups!$K$6,"Unusual low","Normal")))</f>
        <v>Normal</v>
      </c>
      <c r="AO485" s="20">
        <f>IF($V485&lt;&gt;1,"",$P485+ROW()/100000)</f>
        <v>3.00485</v>
      </c>
      <c r="AP485" s="5">
        <f>IF($A485="","",IFERROR(MATCH($A485,Raw_D1!$A$2:$A$1001,0),""))</f>
        <v>484</v>
      </c>
      <c r="AQ485" s="5">
        <f>IF($A485="","",IFERROR(MATCH($A485,Raw_D2!$B$2:$B$1001,0),""))</f>
        <v>484</v>
      </c>
      <c r="AR485" s="5">
        <f>IF($A485="","",IFERROR(MATCH($A485,Raw_D3!$A$2:$A$1001,0),""))</f>
        <v/>
      </c>
    </row>
    <row r="486" spans="1:44" x14ac:dyDescent="0.25">
      <c r="A486" s="5">
        <v>485</v>
      </c>
      <c r="B486" s="11">
        <f>IF($A486="","",IF($AP486&lt;&gt;"",INDEX(Raw_D1!$B$2:$B$1001,$AP486),IF($AR486&lt;&gt;"",INDEX(Raw_D3!$B$2:$B$1001,$AR486),"")))</f>
        <v>40565.0</v>
      </c>
      <c r="C486" s="5">
        <f>IF($A486="","",IF($AP486&lt;&gt;"",INDEX(Raw_D1!$C$2:$C$1001,$AP486),IF($AR486&lt;&gt;"",INDEX(Raw_D3!$C$2:$C$1001,$AR486),"")))</f>
        <v>1</v>
      </c>
      <c r="D486" s="5">
        <f>IF($A486="","",IF($AP486&lt;&gt;"",INDEX(Raw_D1!$D$2:$D$1001,$AP486),IF($AR486&lt;&gt;"",INDEX(Raw_D3!$D$2:$D$1001,$AR486),"")))</f>
        <v>0</v>
      </c>
      <c r="E486" s="5">
        <f>IF($A486="","",IF($AP486&lt;&gt;"",INDEX(Raw_D1!$E$2:$E$1001,$AP486),IF($AR486&lt;&gt;"",INDEX(Raw_D3!$E$2:$E$1001,$AR486),"")))</f>
        <v>1</v>
      </c>
      <c r="F486" s="5">
        <f>IF($A486="","",IF($AP486&lt;&gt;"",INDEX(Raw_D1!$F$2:$F$1001,$AP486),IF($AR486&lt;&gt;"",INDEX(Raw_D3!$F$2:$F$1001,$AR486),"")))</f>
        <v>6</v>
      </c>
      <c r="G486" s="5">
        <f>IF($A486="","",IF($AP486&lt;&gt;"",IF(INDEX(Raw_D1!$G$2:$G$1001,$AP486),1,0),IF($AR486&lt;&gt;"",IF(INDEX(Raw_D3!$G$2:$G$1001,$AR486),1,0),"")))</f>
        <v>0</v>
      </c>
      <c r="H486" s="5">
        <f>IF($A486="","",IF($AP486&lt;&gt;"",INDEX(Raw_D1!$H$2:$H$1001,$AP486),IF($AR486&lt;&gt;"",INDEX(Raw_D3!$H$2:$H$1001,$AR486),"")))</f>
        <v>6</v>
      </c>
      <c r="I486" s="5">
        <f>IF($A486="","",IF($AP486&lt;&gt;"",INDEX(Raw_D1!$I$2:$I$1001,$AP486),IF($AR486&lt;&gt;"",INDEX(Raw_D3!$I$2:$I$1001,$AR486),"")))</f>
        <v>2</v>
      </c>
      <c r="J486" s="16">
        <f>IF($A486="","",IF($AP486&lt;&gt;"",INDEX(Raw_D1!$J$2:$J$1001,$AP486),IF($AR486&lt;&gt;"",INDEX(Raw_D3!$J$2:$J$1001,$AR486),"")))</f>
        <v>0.02</v>
      </c>
      <c r="K486" s="17">
        <f>IF($A486="","",IF($AQ486&lt;&gt;"",IF(INDEX(Raw_D2!$C$2:$C$1001,$AQ486)="","",INDEX(Raw_D2!$C$2:$C$1001,$AQ486)),IF($AR486&lt;&gt;"",IF(INDEX(Raw_D3!$K$2:$K$1001,$AR486)="","",INDEX(Raw_D3!$K$2:$K$1001,$AR486)),"")))</f>
        <v>0.0303</v>
      </c>
      <c r="L486" s="16">
        <f>IF($A486="","",IF($AQ486&lt;&gt;"",IF(INDEX(Raw_D2!$D$2:$D$1001,$AQ486)="","",INDEX(Raw_D2!$D$2:$D$1001,$AQ486)),IF($AR486&lt;&gt;"",IF(INDEX(Raw_D3!$L$2:$L$1001,$AR486)="","",INDEX(Raw_D3!$L$2:$L$1001,$AR486)),"")))</f>
        <v>0.44</v>
      </c>
      <c r="M486" s="17">
        <f>IF($A486="","",IF($AQ486&lt;&gt;"",IF(INDEX(Raw_D2!$E$2:$E$1001,$AQ486)="","",INDEX(Raw_D2!$E$2:$E$1001,$AQ486)),IF($AR486&lt;&gt;"",IF(INDEX(Raw_D3!$M$2:$M$1001,$AR486)="","",INDEX(Raw_D3!$M$2:$M$1001,$AR486)),"")))</f>
        <v>0.2239</v>
      </c>
      <c r="N486" s="5">
        <f>IF($A486="","",IF($AQ486&lt;&gt;"",IF(INDEX(Raw_D2!$F$2:$F$1001,$AQ486)="","",INDEX(Raw_D2!$F$2:$F$1001,$AQ486)),IF($AR486&lt;&gt;"",IF(INDEX(Raw_D3!$N$2:$N$1001,$AR486)="","",INDEX(Raw_D3!$N$2:$N$1001,$AR486)),"")))</f>
        <v>0</v>
      </c>
      <c r="O486" s="5">
        <f>IF($A486="","",IF($AQ486&lt;&gt;"",IF(INDEX(Raw_D2!$G$2:$G$1001,$AQ486)="","",INDEX(Raw_D2!$G$2:$G$1001,$AQ486)),IF($AR486&lt;&gt;"",IF(INDEX(Raw_D3!$O$2:$O$1001,$AR486)="","",INDEX(Raw_D3!$O$2:$O$1001,$AR486)),"")))</f>
        <v>2</v>
      </c>
      <c r="P486" s="5">
        <f>IF($A486="","",IF($AQ486&lt;&gt;"",IF(INDEX(Raw_D2!$H$2:$H$1001,$AQ486)="","",INDEX(Raw_D2!$H$2:$H$1001,$AQ486)),IF($AR486&lt;&gt;"",IF(INDEX(Raw_D3!$P$2:$P$1001,$AR486)="","",INDEX(Raw_D3!$P$2:$P$1001,$AR486)),"")))</f>
        <v>2</v>
      </c>
      <c r="Q486" s="5" t="str">
        <f>IF($A486="","",IF(AND($AP486&lt;&gt;"",$AQ486&lt;&gt;""),"D1+D2",IF($AR486&lt;&gt;"","D3","Incomplete")))</f>
        <v>D1+D2</v>
      </c>
      <c r="R486" s="17">
        <f>IF($A486="","",IF($K486="",IF($J486="","",ROUND(Lookups!$K$5+Lookups!$K$4*$J486,4)),$K486))</f>
        <v>0.0303</v>
      </c>
      <c r="S486" s="5" t="str">
        <f>IF($A486="","",IF($K486="","Imputed","Original"))</f>
        <v>Original</v>
      </c>
      <c r="T486" s="5" t="str">
        <f>IF($A486="","",IF($P486="","Missing",IF($P486=$N486+$O486,"OK","Mismatch")))</f>
        <v>OK</v>
      </c>
      <c r="U486" s="5" t="str">
        <f>IF($A486="","",IF(COUNTIF($A$2:$A486,$A486)&gt;1,"Duplicate","Unique"))</f>
        <v>Unique</v>
      </c>
      <c r="V486" s="5">
        <f>IF($A486="","",IF(AND($U486="Unique",ISNUMBER($P486)),1,0))</f>
        <v>1</v>
      </c>
      <c r="W486" s="5" t="str">
        <f>IF($A486="","",IF(OR($H486=0,$H486=6),"Weekend","Weekday"))</f>
        <v>Weekend</v>
      </c>
      <c r="X486" s="5" t="str">
        <f>IF($A486="","",TEXT($B486,"ddd"))</f>
        <v>Sat</v>
      </c>
      <c r="Y486" s="5" t="str">
        <f>IF($A486="","",TEXT($B486,"mmm"))</f>
        <v>Jan</v>
      </c>
      <c r="Z486" s="5" t="str">
        <f>IF($A486="","",IFERROR(VLOOKUP($C486,Lookups!$D$4:$E$7,2,FALSE),"Unknown"))</f>
        <v>Winter</v>
      </c>
      <c r="AA486" s="5" t="str">
        <f>IF($A486="","",IFERROR(VLOOKUP($I486,Lookups!$A$4:$B$7,2,FALSE),"Unknown"))</f>
        <v>Mist/Cloudy</v>
      </c>
      <c r="AB486" s="5" t="str">
        <f>IF($A486="","",TEXT($F486,"00")&amp;":00")</f>
        <v>06:00</v>
      </c>
      <c r="AC486" s="5" t="str">
        <f>IF($A486="","",VLOOKUP($F486,Lookups!$G$4:$H$8,2,TRUE))</f>
        <v>Morning Peak (06-09)</v>
      </c>
      <c r="AD486" s="18">
        <f>IF($A486="","",IF($J486="","",ROUND($J486*41,1)))</f>
        <v>0.8</v>
      </c>
      <c r="AE486" s="18">
        <f>IF($A486="","",IF($R486="","",ROUND($R486*50,1)))</f>
        <v>1.5</v>
      </c>
      <c r="AF486" s="5">
        <f>IF($A486="","",IF($L486="","",ROUND($L486*100,0)))</f>
        <v>44</v>
      </c>
      <c r="AG486" s="18">
        <f>IF($A486="","",IF($M486="","",ROUND($M486*67,1)))</f>
        <v>15</v>
      </c>
      <c r="AH486" s="19">
        <f>IF($A486="","",IF($P486="","",IF($P486=0,0,$O486/$P486)))</f>
        <v>1</v>
      </c>
      <c r="AI486" s="5" t="str">
        <f>IF($A486="","",IF($P486="","",IF($P486&gt;=Lookups!$K$7,"High",IF($P486&lt;=Lookups!$K$8,"Low","Medium"))))</f>
        <v>Low</v>
      </c>
      <c r="AJ486" s="5" t="str">
        <f>IF($A486="","",IF($AD486="","",IF($AD486&lt;5,"Under 5 C",IF($AD486&lt;10,"5-10 C",IF($AD486&lt;15,"10-15 C","15 C and above")))))</f>
        <v>Under 5 C</v>
      </c>
      <c r="AK486" s="5">
        <f>IF($A486="","",IF($P486="","",$P486^2))</f>
        <v>4</v>
      </c>
      <c r="AL486" s="18">
        <f>IF($V486&lt;&gt;1,"",AVERAGEIFS(Clean_Data!$P$2:$P$1001,Clean_Data!$F$2:$F$1001,$F486,Clean_Data!$W$2:$W$1001,$W486,Clean_Data!$V$2:$V$1001,1))</f>
        <v>2.15384615384615</v>
      </c>
      <c r="AM486" s="16">
        <f>IF($V486&lt;&gt;1,"",IFERROR(($P486-$AL486)/SQRT(MAX(0,(SUMIFS(Clean_Data!$AK$2:$AK$1001,Clean_Data!$F$2:$F$1001,$F486,Clean_Data!$W$2:$W$1001,$W486,Clean_Data!$V$2:$V$1001,1)-COUNTIFS(Clean_Data!$F$2:$F$1001,$F486,Clean_Data!$W$2:$W$1001,$W486,Clean_Data!$V$2:$V$1001,1)*$AL486^2)/(COUNTIFS(Clean_Data!$F$2:$F$1001,$F486,Clean_Data!$W$2:$W$1001,$W486,Clean_Data!$V$2:$V$1001,1)-1))),""))</f>
        <v>-0.12670245343199</v>
      </c>
      <c r="AN486" s="5" t="str">
        <f>IF($AM486="","",IF($AM486&gt;=Lookups!$K$6,"High spike",IF($AM486&lt;=-Lookups!$K$6,"Unusual low","Normal")))</f>
        <v>Normal</v>
      </c>
      <c r="AO486" s="20">
        <f>IF($V486&lt;&gt;1,"",$P486+ROW()/100000)</f>
        <v>2.00486</v>
      </c>
      <c r="AP486" s="5">
        <f>IF($A486="","",IFERROR(MATCH($A486,Raw_D1!$A$2:$A$1001,0),""))</f>
        <v>485</v>
      </c>
      <c r="AQ486" s="5">
        <f>IF($A486="","",IFERROR(MATCH($A486,Raw_D2!$B$2:$B$1001,0),""))</f>
        <v>485</v>
      </c>
      <c r="AR486" s="5">
        <f>IF($A486="","",IFERROR(MATCH($A486,Raw_D3!$A$2:$A$1001,0),""))</f>
        <v/>
      </c>
    </row>
    <row r="487" spans="1:44" x14ac:dyDescent="0.25">
      <c r="A487" s="5">
        <v>486</v>
      </c>
      <c r="B487" s="11">
        <f>IF($A487="","",IF($AP487&lt;&gt;"",INDEX(Raw_D1!$B$2:$B$1001,$AP487),IF($AR487&lt;&gt;"",INDEX(Raw_D3!$B$2:$B$1001,$AR487),"")))</f>
        <v>40565.0</v>
      </c>
      <c r="C487" s="5">
        <f>IF($A487="","",IF($AP487&lt;&gt;"",INDEX(Raw_D1!$C$2:$C$1001,$AP487),IF($AR487&lt;&gt;"",INDEX(Raw_D3!$C$2:$C$1001,$AR487),"")))</f>
        <v>1</v>
      </c>
      <c r="D487" s="5">
        <f>IF($A487="","",IF($AP487&lt;&gt;"",INDEX(Raw_D1!$D$2:$D$1001,$AP487),IF($AR487&lt;&gt;"",INDEX(Raw_D3!$D$2:$D$1001,$AR487),"")))</f>
        <v>0</v>
      </c>
      <c r="E487" s="5">
        <f>IF($A487="","",IF($AP487&lt;&gt;"",INDEX(Raw_D1!$E$2:$E$1001,$AP487),IF($AR487&lt;&gt;"",INDEX(Raw_D3!$E$2:$E$1001,$AR487),"")))</f>
        <v>1</v>
      </c>
      <c r="F487" s="5">
        <f>IF($A487="","",IF($AP487&lt;&gt;"",INDEX(Raw_D1!$F$2:$F$1001,$AP487),IF($AR487&lt;&gt;"",INDEX(Raw_D3!$F$2:$F$1001,$AR487),"")))</f>
        <v>7</v>
      </c>
      <c r="G487" s="5">
        <f>IF($A487="","",IF($AP487&lt;&gt;"",IF(INDEX(Raw_D1!$G$2:$G$1001,$AP487),1,0),IF($AR487&lt;&gt;"",IF(INDEX(Raw_D3!$G$2:$G$1001,$AR487),1,0),"")))</f>
        <v>0</v>
      </c>
      <c r="H487" s="5">
        <f>IF($A487="","",IF($AP487&lt;&gt;"",INDEX(Raw_D1!$H$2:$H$1001,$AP487),IF($AR487&lt;&gt;"",INDEX(Raw_D3!$H$2:$H$1001,$AR487),"")))</f>
        <v>6</v>
      </c>
      <c r="I487" s="5">
        <f>IF($A487="","",IF($AP487&lt;&gt;"",INDEX(Raw_D1!$I$2:$I$1001,$AP487),IF($AR487&lt;&gt;"",INDEX(Raw_D3!$I$2:$I$1001,$AR487),"")))</f>
        <v>1</v>
      </c>
      <c r="J487" s="16">
        <f>IF($A487="","",IF($AP487&lt;&gt;"",INDEX(Raw_D1!$J$2:$J$1001,$AP487),IF($AR487&lt;&gt;"",INDEX(Raw_D3!$J$2:$J$1001,$AR487),"")))</f>
        <v>0.02</v>
      </c>
      <c r="K487" s="17">
        <f>IF($A487="","",IF($AQ487&lt;&gt;"",IF(INDEX(Raw_D2!$C$2:$C$1001,$AQ487)="","",INDEX(Raw_D2!$C$2:$C$1001,$AQ487)),IF($AR487&lt;&gt;"",IF(INDEX(Raw_D3!$K$2:$K$1001,$AR487)="","",INDEX(Raw_D3!$K$2:$K$1001,$AR487)),"")))</f>
        <v>0.0152</v>
      </c>
      <c r="L487" s="16">
        <f>IF($A487="","",IF($AQ487&lt;&gt;"",IF(INDEX(Raw_D2!$D$2:$D$1001,$AQ487)="","",INDEX(Raw_D2!$D$2:$D$1001,$AQ487)),IF($AR487&lt;&gt;"",IF(INDEX(Raw_D3!$L$2:$L$1001,$AR487)="","",INDEX(Raw_D3!$L$2:$L$1001,$AR487)),"")))</f>
        <v>0.44</v>
      </c>
      <c r="M487" s="17">
        <f>IF($A487="","",IF($AQ487&lt;&gt;"",IF(INDEX(Raw_D2!$E$2:$E$1001,$AQ487)="","",INDEX(Raw_D2!$E$2:$E$1001,$AQ487)),IF($AR487&lt;&gt;"",IF(INDEX(Raw_D3!$M$2:$M$1001,$AR487)="","",INDEX(Raw_D3!$M$2:$M$1001,$AR487)),"")))</f>
        <v>0.2836</v>
      </c>
      <c r="N487" s="5">
        <f>IF($A487="","",IF($AQ487&lt;&gt;"",IF(INDEX(Raw_D2!$F$2:$F$1001,$AQ487)="","",INDEX(Raw_D2!$F$2:$F$1001,$AQ487)),IF($AR487&lt;&gt;"",IF(INDEX(Raw_D3!$N$2:$N$1001,$AR487)="","",INDEX(Raw_D3!$N$2:$N$1001,$AR487)),"")))</f>
        <v>0</v>
      </c>
      <c r="O487" s="5">
        <f>IF($A487="","",IF($AQ487&lt;&gt;"",IF(INDEX(Raw_D2!$G$2:$G$1001,$AQ487)="","",INDEX(Raw_D2!$G$2:$G$1001,$AQ487)),IF($AR487&lt;&gt;"",IF(INDEX(Raw_D3!$O$2:$O$1001,$AR487)="","",INDEX(Raw_D3!$O$2:$O$1001,$AR487)),"")))</f>
        <v>8</v>
      </c>
      <c r="P487" s="5">
        <f>IF($A487="","",IF($AQ487&lt;&gt;"",IF(INDEX(Raw_D2!$H$2:$H$1001,$AQ487)="","",INDEX(Raw_D2!$H$2:$H$1001,$AQ487)),IF($AR487&lt;&gt;"",IF(INDEX(Raw_D3!$P$2:$P$1001,$AR487)="","",INDEX(Raw_D3!$P$2:$P$1001,$AR487)),"")))</f>
        <v>8</v>
      </c>
      <c r="Q487" s="5" t="str">
        <f>IF($A487="","",IF(AND($AP487&lt;&gt;"",$AQ487&lt;&gt;""),"D1+D2",IF($AR487&lt;&gt;"","D3","Incomplete")))</f>
        <v>D1+D2</v>
      </c>
      <c r="R487" s="17">
        <f>IF($A487="","",IF($K487="",IF($J487="","",ROUND(Lookups!$K$5+Lookups!$K$4*$J487,4)),$K487))</f>
        <v>0.0152</v>
      </c>
      <c r="S487" s="5" t="str">
        <f>IF($A487="","",IF($K487="","Imputed","Original"))</f>
        <v>Original</v>
      </c>
      <c r="T487" s="5" t="str">
        <f>IF($A487="","",IF($P487="","Missing",IF($P487=$N487+$O487,"OK","Mismatch")))</f>
        <v>OK</v>
      </c>
      <c r="U487" s="5" t="str">
        <f>IF($A487="","",IF(COUNTIF($A$2:$A487,$A487)&gt;1,"Duplicate","Unique"))</f>
        <v>Unique</v>
      </c>
      <c r="V487" s="5">
        <f>IF($A487="","",IF(AND($U487="Unique",ISNUMBER($P487)),1,0))</f>
        <v>1</v>
      </c>
      <c r="W487" s="5" t="str">
        <f>IF($A487="","",IF(OR($H487=0,$H487=6),"Weekend","Weekday"))</f>
        <v>Weekend</v>
      </c>
      <c r="X487" s="5" t="str">
        <f>IF($A487="","",TEXT($B487,"ddd"))</f>
        <v>Sat</v>
      </c>
      <c r="Y487" s="5" t="str">
        <f>IF($A487="","",TEXT($B487,"mmm"))</f>
        <v>Jan</v>
      </c>
      <c r="Z487" s="5" t="str">
        <f>IF($A487="","",IFERROR(VLOOKUP($C487,Lookups!$D$4:$E$7,2,FALSE),"Unknown"))</f>
        <v>Winter</v>
      </c>
      <c r="AA487" s="5" t="str">
        <f>IF($A487="","",IFERROR(VLOOKUP($I487,Lookups!$A$4:$B$7,2,FALSE),"Unknown"))</f>
        <v>Clear</v>
      </c>
      <c r="AB487" s="5" t="str">
        <f>IF($A487="","",TEXT($F487,"00")&amp;":00")</f>
        <v>07:00</v>
      </c>
      <c r="AC487" s="5" t="str">
        <f>IF($A487="","",VLOOKUP($F487,Lookups!$G$4:$H$8,2,TRUE))</f>
        <v>Morning Peak (06-09)</v>
      </c>
      <c r="AD487" s="18">
        <f>IF($A487="","",IF($J487="","",ROUND($J487*41,1)))</f>
        <v>0.8</v>
      </c>
      <c r="AE487" s="18">
        <f>IF($A487="","",IF($R487="","",ROUND($R487*50,1)))</f>
        <v>0.8</v>
      </c>
      <c r="AF487" s="5">
        <f>IF($A487="","",IF($L487="","",ROUND($L487*100,0)))</f>
        <v>44</v>
      </c>
      <c r="AG487" s="18">
        <f>IF($A487="","",IF($M487="","",ROUND($M487*67,1)))</f>
        <v>19</v>
      </c>
      <c r="AH487" s="19">
        <f>IF($A487="","",IF($P487="","",IF($P487=0,0,$O487/$P487)))</f>
        <v>1</v>
      </c>
      <c r="AI487" s="5" t="str">
        <f>IF($A487="","",IF($P487="","",IF($P487&gt;=Lookups!$K$7,"High",IF($P487&lt;=Lookups!$K$8,"Low","Medium"))))</f>
        <v>Low</v>
      </c>
      <c r="AJ487" s="5" t="str">
        <f>IF($A487="","",IF($AD487="","",IF($AD487&lt;5,"Under 5 C",IF($AD487&lt;10,"5-10 C",IF($AD487&lt;15,"10-15 C","15 C and above")))))</f>
        <v>Under 5 C</v>
      </c>
      <c r="AK487" s="5">
        <f>IF($A487="","",IF($P487="","",$P487^2))</f>
        <v>64</v>
      </c>
      <c r="AL487" s="18">
        <f>IF($V487&lt;&gt;1,"",AVERAGEIFS(Clean_Data!$P$2:$P$1001,Clean_Data!$F$2:$F$1001,$F487,Clean_Data!$W$2:$W$1001,$W487,Clean_Data!$V$2:$V$1001,1))</f>
        <v>5.42857142857143</v>
      </c>
      <c r="AM487" s="16">
        <f>IF($V487&lt;&gt;1,"",IFERROR(($P487-$AL487)/SQRT(MAX(0,(SUMIFS(Clean_Data!$AK$2:$AK$1001,Clean_Data!$F$2:$F$1001,$F487,Clean_Data!$W$2:$W$1001,$W487,Clean_Data!$V$2:$V$1001,1)-COUNTIFS(Clean_Data!$F$2:$F$1001,$F487,Clean_Data!$W$2:$W$1001,$W487,Clean_Data!$V$2:$V$1001,1)*$AL487^2)/(COUNTIFS(Clean_Data!$F$2:$F$1001,$F487,Clean_Data!$W$2:$W$1001,$W487,Clean_Data!$V$2:$V$1001,1)-1))),""))</f>
        <v>0.796692983946186</v>
      </c>
      <c r="AN487" s="5" t="str">
        <f>IF($AM487="","",IF($AM487&gt;=Lookups!$K$6,"High spike",IF($AM487&lt;=-Lookups!$K$6,"Unusual low","Normal")))</f>
        <v>Normal</v>
      </c>
      <c r="AO487" s="20">
        <f>IF($V487&lt;&gt;1,"",$P487+ROW()/100000)</f>
        <v>8.00487</v>
      </c>
      <c r="AP487" s="5">
        <f>IF($A487="","",IFERROR(MATCH($A487,Raw_D1!$A$2:$A$1001,0),""))</f>
        <v>486</v>
      </c>
      <c r="AQ487" s="5">
        <f>IF($A487="","",IFERROR(MATCH($A487,Raw_D2!$B$2:$B$1001,0),""))</f>
        <v>486</v>
      </c>
      <c r="AR487" s="5">
        <f>IF($A487="","",IFERROR(MATCH($A487,Raw_D3!$A$2:$A$1001,0),""))</f>
        <v/>
      </c>
    </row>
    <row r="488" spans="1:44" x14ac:dyDescent="0.25">
      <c r="A488" s="5">
        <v>487</v>
      </c>
      <c r="B488" s="11">
        <f>IF($A488="","",IF($AP488&lt;&gt;"",INDEX(Raw_D1!$B$2:$B$1001,$AP488),IF($AR488&lt;&gt;"",INDEX(Raw_D3!$B$2:$B$1001,$AR488),"")))</f>
        <v>40565.0</v>
      </c>
      <c r="C488" s="5">
        <f>IF($A488="","",IF($AP488&lt;&gt;"",INDEX(Raw_D1!$C$2:$C$1001,$AP488),IF($AR488&lt;&gt;"",INDEX(Raw_D3!$C$2:$C$1001,$AR488),"")))</f>
        <v>1</v>
      </c>
      <c r="D488" s="5">
        <f>IF($A488="","",IF($AP488&lt;&gt;"",INDEX(Raw_D1!$D$2:$D$1001,$AP488),IF($AR488&lt;&gt;"",INDEX(Raw_D3!$D$2:$D$1001,$AR488),"")))</f>
        <v>0</v>
      </c>
      <c r="E488" s="5">
        <f>IF($A488="","",IF($AP488&lt;&gt;"",INDEX(Raw_D1!$E$2:$E$1001,$AP488),IF($AR488&lt;&gt;"",INDEX(Raw_D3!$E$2:$E$1001,$AR488),"")))</f>
        <v>1</v>
      </c>
      <c r="F488" s="5">
        <f>IF($A488="","",IF($AP488&lt;&gt;"",INDEX(Raw_D1!$F$2:$F$1001,$AP488),IF($AR488&lt;&gt;"",INDEX(Raw_D3!$F$2:$F$1001,$AR488),"")))</f>
        <v>8</v>
      </c>
      <c r="G488" s="5">
        <f>IF($A488="","",IF($AP488&lt;&gt;"",IF(INDEX(Raw_D1!$G$2:$G$1001,$AP488),1,0),IF($AR488&lt;&gt;"",IF(INDEX(Raw_D3!$G$2:$G$1001,$AR488),1,0),"")))</f>
        <v>0</v>
      </c>
      <c r="H488" s="5">
        <f>IF($A488="","",IF($AP488&lt;&gt;"",INDEX(Raw_D1!$H$2:$H$1001,$AP488),IF($AR488&lt;&gt;"",INDEX(Raw_D3!$H$2:$H$1001,$AR488),"")))</f>
        <v>6</v>
      </c>
      <c r="I488" s="5">
        <f>IF($A488="","",IF($AP488&lt;&gt;"",INDEX(Raw_D1!$I$2:$I$1001,$AP488),IF($AR488&lt;&gt;"",INDEX(Raw_D3!$I$2:$I$1001,$AR488),"")))</f>
        <v>1</v>
      </c>
      <c r="J488" s="16">
        <f>IF($A488="","",IF($AP488&lt;&gt;"",INDEX(Raw_D1!$J$2:$J$1001,$AP488),IF($AR488&lt;&gt;"",INDEX(Raw_D3!$J$2:$J$1001,$AR488),"")))</f>
        <v>0.02</v>
      </c>
      <c r="K488" s="17">
        <f>IF($A488="","",IF($AQ488&lt;&gt;"",IF(INDEX(Raw_D2!$C$2:$C$1001,$AQ488)="","",INDEX(Raw_D2!$C$2:$C$1001,$AQ488)),IF($AR488&lt;&gt;"",IF(INDEX(Raw_D3!$K$2:$K$1001,$AR488)="","",INDEX(Raw_D3!$K$2:$K$1001,$AR488)),"")))</f>
        <v>0</v>
      </c>
      <c r="L488" s="16">
        <f>IF($A488="","",IF($AQ488&lt;&gt;"",IF(INDEX(Raw_D2!$D$2:$D$1001,$AQ488)="","",INDEX(Raw_D2!$D$2:$D$1001,$AQ488)),IF($AR488&lt;&gt;"",IF(INDEX(Raw_D3!$L$2:$L$1001,$AR488)="","",INDEX(Raw_D3!$L$2:$L$1001,$AR488)),"")))</f>
        <v>0.44</v>
      </c>
      <c r="M488" s="17">
        <f>IF($A488="","",IF($AQ488&lt;&gt;"",IF(INDEX(Raw_D2!$E$2:$E$1001,$AQ488)="","",INDEX(Raw_D2!$E$2:$E$1001,$AQ488)),IF($AR488&lt;&gt;"",IF(INDEX(Raw_D3!$M$2:$M$1001,$AR488)="","",INDEX(Raw_D3!$M$2:$M$1001,$AR488)),"")))</f>
        <v>0.3284</v>
      </c>
      <c r="N488" s="5">
        <f>IF($A488="","",IF($AQ488&lt;&gt;"",IF(INDEX(Raw_D2!$F$2:$F$1001,$AQ488)="","",INDEX(Raw_D2!$F$2:$F$1001,$AQ488)),IF($AR488&lt;&gt;"",IF(INDEX(Raw_D3!$N$2:$N$1001,$AR488)="","",INDEX(Raw_D3!$N$2:$N$1001,$AR488)),"")))</f>
        <v>1</v>
      </c>
      <c r="O488" s="5">
        <f>IF($A488="","",IF($AQ488&lt;&gt;"",IF(INDEX(Raw_D2!$G$2:$G$1001,$AQ488)="","",INDEX(Raw_D2!$G$2:$G$1001,$AQ488)),IF($AR488&lt;&gt;"",IF(INDEX(Raw_D3!$O$2:$O$1001,$AR488)="","",INDEX(Raw_D3!$O$2:$O$1001,$AR488)),"")))</f>
        <v>26</v>
      </c>
      <c r="P488" s="5">
        <f>IF($A488="","",IF($AQ488&lt;&gt;"",IF(INDEX(Raw_D2!$H$2:$H$1001,$AQ488)="","",INDEX(Raw_D2!$H$2:$H$1001,$AQ488)),IF($AR488&lt;&gt;"",IF(INDEX(Raw_D3!$P$2:$P$1001,$AR488)="","",INDEX(Raw_D3!$P$2:$P$1001,$AR488)),"")))</f>
        <v>27</v>
      </c>
      <c r="Q488" s="5" t="str">
        <f>IF($A488="","",IF(AND($AP488&lt;&gt;"",$AQ488&lt;&gt;""),"D1+D2",IF($AR488&lt;&gt;"","D3","Incomplete")))</f>
        <v>D1+D2</v>
      </c>
      <c r="R488" s="17">
        <f>IF($A488="","",IF($K488="",IF($J488="","",ROUND(Lookups!$K$5+Lookups!$K$4*$J488,4)),$K488))</f>
        <v>0</v>
      </c>
      <c r="S488" s="5" t="str">
        <f>IF($A488="","",IF($K488="","Imputed","Original"))</f>
        <v>Original</v>
      </c>
      <c r="T488" s="5" t="str">
        <f>IF($A488="","",IF($P488="","Missing",IF($P488=$N488+$O488,"OK","Mismatch")))</f>
        <v>OK</v>
      </c>
      <c r="U488" s="5" t="str">
        <f>IF($A488="","",IF(COUNTIF($A$2:$A488,$A488)&gt;1,"Duplicate","Unique"))</f>
        <v>Unique</v>
      </c>
      <c r="V488" s="5">
        <f>IF($A488="","",IF(AND($U488="Unique",ISNUMBER($P488)),1,0))</f>
        <v>1</v>
      </c>
      <c r="W488" s="5" t="str">
        <f>IF($A488="","",IF(OR($H488=0,$H488=6),"Weekend","Weekday"))</f>
        <v>Weekend</v>
      </c>
      <c r="X488" s="5" t="str">
        <f>IF($A488="","",TEXT($B488,"ddd"))</f>
        <v>Sat</v>
      </c>
      <c r="Y488" s="5" t="str">
        <f>IF($A488="","",TEXT($B488,"mmm"))</f>
        <v>Jan</v>
      </c>
      <c r="Z488" s="5" t="str">
        <f>IF($A488="","",IFERROR(VLOOKUP($C488,Lookups!$D$4:$E$7,2,FALSE),"Unknown"))</f>
        <v>Winter</v>
      </c>
      <c r="AA488" s="5" t="str">
        <f>IF($A488="","",IFERROR(VLOOKUP($I488,Lookups!$A$4:$B$7,2,FALSE),"Unknown"))</f>
        <v>Clear</v>
      </c>
      <c r="AB488" s="5" t="str">
        <f>IF($A488="","",TEXT($F488,"00")&amp;":00")</f>
        <v>08:00</v>
      </c>
      <c r="AC488" s="5" t="str">
        <f>IF($A488="","",VLOOKUP($F488,Lookups!$G$4:$H$8,2,TRUE))</f>
        <v>Morning Peak (06-09)</v>
      </c>
      <c r="AD488" s="18">
        <f>IF($A488="","",IF($J488="","",ROUND($J488*41,1)))</f>
        <v>0.8</v>
      </c>
      <c r="AE488" s="18">
        <f>IF($A488="","",IF($R488="","",ROUND($R488*50,1)))</f>
        <v>0</v>
      </c>
      <c r="AF488" s="5">
        <f>IF($A488="","",IF($L488="","",ROUND($L488*100,0)))</f>
        <v>44</v>
      </c>
      <c r="AG488" s="18">
        <f>IF($A488="","",IF($M488="","",ROUND($M488*67,1)))</f>
        <v>22</v>
      </c>
      <c r="AH488" s="19">
        <f>IF($A488="","",IF($P488="","",IF($P488=0,0,$O488/$P488)))</f>
        <v>0.962962962962963</v>
      </c>
      <c r="AI488" s="5" t="str">
        <f>IF($A488="","",IF($P488="","",IF($P488&gt;=Lookups!$K$7,"High",IF($P488&lt;=Lookups!$K$8,"Low","Medium"))))</f>
        <v>Medium</v>
      </c>
      <c r="AJ488" s="5" t="str">
        <f>IF($A488="","",IF($AD488="","",IF($AD488&lt;5,"Under 5 C",IF($AD488&lt;10,"5-10 C",IF($AD488&lt;15,"10-15 C","15 C and above")))))</f>
        <v>Under 5 C</v>
      </c>
      <c r="AK488" s="5">
        <f>IF($A488="","",IF($P488="","",$P488^2))</f>
        <v>729</v>
      </c>
      <c r="AL488" s="18">
        <f>IF($V488&lt;&gt;1,"",AVERAGEIFS(Clean_Data!$P$2:$P$1001,Clean_Data!$F$2:$F$1001,$F488,Clean_Data!$W$2:$W$1001,$W488,Clean_Data!$V$2:$V$1001,1))</f>
        <v>17.7857142857143</v>
      </c>
      <c r="AM488" s="16">
        <f>IF($V488&lt;&gt;1,"",IFERROR(($P488-$AL488)/SQRT(MAX(0,(SUMIFS(Clean_Data!$AK$2:$AK$1001,Clean_Data!$F$2:$F$1001,$F488,Clean_Data!$W$2:$W$1001,$W488,Clean_Data!$V$2:$V$1001,1)-COUNTIFS(Clean_Data!$F$2:$F$1001,$F488,Clean_Data!$W$2:$W$1001,$W488,Clean_Data!$V$2:$V$1001,1)*$AL488^2)/(COUNTIFS(Clean_Data!$F$2:$F$1001,$F488,Clean_Data!$W$2:$W$1001,$W488,Clean_Data!$V$2:$V$1001,1)-1))),""))</f>
        <v>1.08339527430395</v>
      </c>
      <c r="AN488" s="5" t="str">
        <f>IF($AM488="","",IF($AM488&gt;=Lookups!$K$6,"High spike",IF($AM488&lt;=-Lookups!$K$6,"Unusual low","Normal")))</f>
        <v>Normal</v>
      </c>
      <c r="AO488" s="20">
        <f>IF($V488&lt;&gt;1,"",$P488+ROW()/100000)</f>
        <v>27.00488</v>
      </c>
      <c r="AP488" s="5">
        <f>IF($A488="","",IFERROR(MATCH($A488,Raw_D1!$A$2:$A$1001,0),""))</f>
        <v>487</v>
      </c>
      <c r="AQ488" s="5">
        <f>IF($A488="","",IFERROR(MATCH($A488,Raw_D2!$B$2:$B$1001,0),""))</f>
        <v>487</v>
      </c>
      <c r="AR488" s="5">
        <f>IF($A488="","",IFERROR(MATCH($A488,Raw_D3!$A$2:$A$1001,0),""))</f>
        <v/>
      </c>
    </row>
    <row r="489" spans="1:44" x14ac:dyDescent="0.25">
      <c r="A489" s="5">
        <v>488</v>
      </c>
      <c r="B489" s="11">
        <f>IF($A489="","",IF($AP489&lt;&gt;"",INDEX(Raw_D1!$B$2:$B$1001,$AP489),IF($AR489&lt;&gt;"",INDEX(Raw_D3!$B$2:$B$1001,$AR489),"")))</f>
        <v>40565.0</v>
      </c>
      <c r="C489" s="5">
        <f>IF($A489="","",IF($AP489&lt;&gt;"",INDEX(Raw_D1!$C$2:$C$1001,$AP489),IF($AR489&lt;&gt;"",INDEX(Raw_D3!$C$2:$C$1001,$AR489),"")))</f>
        <v>1</v>
      </c>
      <c r="D489" s="5">
        <f>IF($A489="","",IF($AP489&lt;&gt;"",INDEX(Raw_D1!$D$2:$D$1001,$AP489),IF($AR489&lt;&gt;"",INDEX(Raw_D3!$D$2:$D$1001,$AR489),"")))</f>
        <v>0</v>
      </c>
      <c r="E489" s="5">
        <f>IF($A489="","",IF($AP489&lt;&gt;"",INDEX(Raw_D1!$E$2:$E$1001,$AP489),IF($AR489&lt;&gt;"",INDEX(Raw_D3!$E$2:$E$1001,$AR489),"")))</f>
        <v>1</v>
      </c>
      <c r="F489" s="5">
        <f>IF($A489="","",IF($AP489&lt;&gt;"",INDEX(Raw_D1!$F$2:$F$1001,$AP489),IF($AR489&lt;&gt;"",INDEX(Raw_D3!$F$2:$F$1001,$AR489),"")))</f>
        <v>9</v>
      </c>
      <c r="G489" s="5">
        <f>IF($A489="","",IF($AP489&lt;&gt;"",IF(INDEX(Raw_D1!$G$2:$G$1001,$AP489),1,0),IF($AR489&lt;&gt;"",IF(INDEX(Raw_D3!$G$2:$G$1001,$AR489),1,0),"")))</f>
        <v>0</v>
      </c>
      <c r="H489" s="5">
        <f>IF($A489="","",IF($AP489&lt;&gt;"",INDEX(Raw_D1!$H$2:$H$1001,$AP489),IF($AR489&lt;&gt;"",INDEX(Raw_D3!$H$2:$H$1001,$AR489),"")))</f>
        <v>6</v>
      </c>
      <c r="I489" s="5">
        <f>IF($A489="","",IF($AP489&lt;&gt;"",INDEX(Raw_D1!$I$2:$I$1001,$AP489),IF($AR489&lt;&gt;"",INDEX(Raw_D3!$I$2:$I$1001,$AR489),"")))</f>
        <v>1</v>
      </c>
      <c r="J489" s="16">
        <f>IF($A489="","",IF($AP489&lt;&gt;"",INDEX(Raw_D1!$J$2:$J$1001,$AP489),IF($AR489&lt;&gt;"",INDEX(Raw_D3!$J$2:$J$1001,$AR489),"")))</f>
        <v>0.04</v>
      </c>
      <c r="K489" s="17">
        <f>IF($A489="","",IF($AQ489&lt;&gt;"",IF(INDEX(Raw_D2!$C$2:$C$1001,$AQ489)="","",INDEX(Raw_D2!$C$2:$C$1001,$AQ489)),IF($AR489&lt;&gt;"",IF(INDEX(Raw_D3!$K$2:$K$1001,$AR489)="","",INDEX(Raw_D3!$K$2:$K$1001,$AR489)),"")))</f>
        <v>0.0303</v>
      </c>
      <c r="L489" s="16">
        <f>IF($A489="","",IF($AQ489&lt;&gt;"",IF(INDEX(Raw_D2!$D$2:$D$1001,$AQ489)="","",INDEX(Raw_D2!$D$2:$D$1001,$AQ489)),IF($AR489&lt;&gt;"",IF(INDEX(Raw_D3!$L$2:$L$1001,$AR489)="","",INDEX(Raw_D3!$L$2:$L$1001,$AR489)),"")))</f>
        <v>0.41</v>
      </c>
      <c r="M489" s="17">
        <f>IF($A489="","",IF($AQ489&lt;&gt;"",IF(INDEX(Raw_D2!$E$2:$E$1001,$AQ489)="","",INDEX(Raw_D2!$E$2:$E$1001,$AQ489)),IF($AR489&lt;&gt;"",IF(INDEX(Raw_D3!$M$2:$M$1001,$AR489)="","",INDEX(Raw_D3!$M$2:$M$1001,$AR489)),"")))</f>
        <v>0.2537</v>
      </c>
      <c r="N489" s="5">
        <f>IF($A489="","",IF($AQ489&lt;&gt;"",IF(INDEX(Raw_D2!$F$2:$F$1001,$AQ489)="","",INDEX(Raw_D2!$F$2:$F$1001,$AQ489)),IF($AR489&lt;&gt;"",IF(INDEX(Raw_D3!$N$2:$N$1001,$AR489)="","",INDEX(Raw_D3!$N$2:$N$1001,$AR489)),"")))</f>
        <v>3</v>
      </c>
      <c r="O489" s="5">
        <f>IF($A489="","",IF($AQ489&lt;&gt;"",IF(INDEX(Raw_D2!$G$2:$G$1001,$AQ489)="","",INDEX(Raw_D2!$G$2:$G$1001,$AQ489)),IF($AR489&lt;&gt;"",IF(INDEX(Raw_D3!$O$2:$O$1001,$AR489)="","",INDEX(Raw_D3!$O$2:$O$1001,$AR489)),"")))</f>
        <v>37</v>
      </c>
      <c r="P489" s="5">
        <f>IF($A489="","",IF($AQ489&lt;&gt;"",IF(INDEX(Raw_D2!$H$2:$H$1001,$AQ489)="","",INDEX(Raw_D2!$H$2:$H$1001,$AQ489)),IF($AR489&lt;&gt;"",IF(INDEX(Raw_D3!$P$2:$P$1001,$AR489)="","",INDEX(Raw_D3!$P$2:$P$1001,$AR489)),"")))</f>
        <v>40</v>
      </c>
      <c r="Q489" s="5" t="str">
        <f>IF($A489="","",IF(AND($AP489&lt;&gt;"",$AQ489&lt;&gt;""),"D1+D2",IF($AR489&lt;&gt;"","D3","Incomplete")))</f>
        <v>D1+D2</v>
      </c>
      <c r="R489" s="17">
        <f>IF($A489="","",IF($K489="",IF($J489="","",ROUND(Lookups!$K$5+Lookups!$K$4*$J489,4)),$K489))</f>
        <v>0.0303</v>
      </c>
      <c r="S489" s="5" t="str">
        <f>IF($A489="","",IF($K489="","Imputed","Original"))</f>
        <v>Original</v>
      </c>
      <c r="T489" s="5" t="str">
        <f>IF($A489="","",IF($P489="","Missing",IF($P489=$N489+$O489,"OK","Mismatch")))</f>
        <v>OK</v>
      </c>
      <c r="U489" s="5" t="str">
        <f>IF($A489="","",IF(COUNTIF($A$2:$A489,$A489)&gt;1,"Duplicate","Unique"))</f>
        <v>Unique</v>
      </c>
      <c r="V489" s="5">
        <f>IF($A489="","",IF(AND($U489="Unique",ISNUMBER($P489)),1,0))</f>
        <v>1</v>
      </c>
      <c r="W489" s="5" t="str">
        <f>IF($A489="","",IF(OR($H489=0,$H489=6),"Weekend","Weekday"))</f>
        <v>Weekend</v>
      </c>
      <c r="X489" s="5" t="str">
        <f>IF($A489="","",TEXT($B489,"ddd"))</f>
        <v>Sat</v>
      </c>
      <c r="Y489" s="5" t="str">
        <f>IF($A489="","",TEXT($B489,"mmm"))</f>
        <v>Jan</v>
      </c>
      <c r="Z489" s="5" t="str">
        <f>IF($A489="","",IFERROR(VLOOKUP($C489,Lookups!$D$4:$E$7,2,FALSE),"Unknown"))</f>
        <v>Winter</v>
      </c>
      <c r="AA489" s="5" t="str">
        <f>IF($A489="","",IFERROR(VLOOKUP($I489,Lookups!$A$4:$B$7,2,FALSE),"Unknown"))</f>
        <v>Clear</v>
      </c>
      <c r="AB489" s="5" t="str">
        <f>IF($A489="","",TEXT($F489,"00")&amp;":00")</f>
        <v>09:00</v>
      </c>
      <c r="AC489" s="5" t="str">
        <f>IF($A489="","",VLOOKUP($F489,Lookups!$G$4:$H$8,2,TRUE))</f>
        <v>Morning Peak (06-09)</v>
      </c>
      <c r="AD489" s="18">
        <f>IF($A489="","",IF($J489="","",ROUND($J489*41,1)))</f>
        <v>1.6</v>
      </c>
      <c r="AE489" s="18">
        <f>IF($A489="","",IF($R489="","",ROUND($R489*50,1)))</f>
        <v>1.5</v>
      </c>
      <c r="AF489" s="5">
        <f>IF($A489="","",IF($L489="","",ROUND($L489*100,0)))</f>
        <v>41</v>
      </c>
      <c r="AG489" s="18">
        <f>IF($A489="","",IF($M489="","",ROUND($M489*67,1)))</f>
        <v>17</v>
      </c>
      <c r="AH489" s="19">
        <f>IF($A489="","",IF($P489="","",IF($P489=0,0,$O489/$P489)))</f>
        <v>0.925</v>
      </c>
      <c r="AI489" s="5" t="str">
        <f>IF($A489="","",IF($P489="","",IF($P489&gt;=Lookups!$K$7,"High",IF($P489&lt;=Lookups!$K$8,"Low","Medium"))))</f>
        <v>Medium</v>
      </c>
      <c r="AJ489" s="5" t="str">
        <f>IF($A489="","",IF($AD489="","",IF($AD489&lt;5,"Under 5 C",IF($AD489&lt;10,"5-10 C",IF($AD489&lt;15,"10-15 C","15 C and above")))))</f>
        <v>Under 5 C</v>
      </c>
      <c r="AK489" s="5">
        <f>IF($A489="","",IF($P489="","",$P489^2))</f>
        <v>1600</v>
      </c>
      <c r="AL489" s="18">
        <f>IF($V489&lt;&gt;1,"",AVERAGEIFS(Clean_Data!$P$2:$P$1001,Clean_Data!$F$2:$F$1001,$F489,Clean_Data!$W$2:$W$1001,$W489,Clean_Data!$V$2:$V$1001,1))</f>
        <v>30.9285714285714</v>
      </c>
      <c r="AM489" s="16">
        <f>IF($V489&lt;&gt;1,"",IFERROR(($P489-$AL489)/SQRT(MAX(0,(SUMIFS(Clean_Data!$AK$2:$AK$1001,Clean_Data!$F$2:$F$1001,$F489,Clean_Data!$W$2:$W$1001,$W489,Clean_Data!$V$2:$V$1001,1)-COUNTIFS(Clean_Data!$F$2:$F$1001,$F489,Clean_Data!$W$2:$W$1001,$W489,Clean_Data!$V$2:$V$1001,1)*$AL489^2)/(COUNTIFS(Clean_Data!$F$2:$F$1001,$F489,Clean_Data!$W$2:$W$1001,$W489,Clean_Data!$V$2:$V$1001,1)-1))),""))</f>
        <v>0.832133792733835</v>
      </c>
      <c r="AN489" s="5" t="str">
        <f>IF($AM489="","",IF($AM489&gt;=Lookups!$K$6,"High spike",IF($AM489&lt;=-Lookups!$K$6,"Unusual low","Normal")))</f>
        <v>Normal</v>
      </c>
      <c r="AO489" s="20">
        <f>IF($V489&lt;&gt;1,"",$P489+ROW()/100000)</f>
        <v>40.00489</v>
      </c>
      <c r="AP489" s="5">
        <f>IF($A489="","",IFERROR(MATCH($A489,Raw_D1!$A$2:$A$1001,0),""))</f>
        <v>488</v>
      </c>
      <c r="AQ489" s="5">
        <f>IF($A489="","",IFERROR(MATCH($A489,Raw_D2!$B$2:$B$1001,0),""))</f>
        <v>488</v>
      </c>
      <c r="AR489" s="5">
        <f>IF($A489="","",IFERROR(MATCH($A489,Raw_D3!$A$2:$A$1001,0),""))</f>
        <v/>
      </c>
    </row>
    <row r="490" spans="1:44" x14ac:dyDescent="0.25">
      <c r="A490" s="5">
        <v>489</v>
      </c>
      <c r="B490" s="11">
        <f>IF($A490="","",IF($AP490&lt;&gt;"",INDEX(Raw_D1!$B$2:$B$1001,$AP490),IF($AR490&lt;&gt;"",INDEX(Raw_D3!$B$2:$B$1001,$AR490),"")))</f>
        <v>40565.0</v>
      </c>
      <c r="C490" s="5">
        <f>IF($A490="","",IF($AP490&lt;&gt;"",INDEX(Raw_D1!$C$2:$C$1001,$AP490),IF($AR490&lt;&gt;"",INDEX(Raw_D3!$C$2:$C$1001,$AR490),"")))</f>
        <v>1</v>
      </c>
      <c r="D490" s="5">
        <f>IF($A490="","",IF($AP490&lt;&gt;"",INDEX(Raw_D1!$D$2:$D$1001,$AP490),IF($AR490&lt;&gt;"",INDEX(Raw_D3!$D$2:$D$1001,$AR490),"")))</f>
        <v>0</v>
      </c>
      <c r="E490" s="5">
        <f>IF($A490="","",IF($AP490&lt;&gt;"",INDEX(Raw_D1!$E$2:$E$1001,$AP490),IF($AR490&lt;&gt;"",INDEX(Raw_D3!$E$2:$E$1001,$AR490),"")))</f>
        <v>1</v>
      </c>
      <c r="F490" s="5">
        <f>IF($A490="","",IF($AP490&lt;&gt;"",INDEX(Raw_D1!$F$2:$F$1001,$AP490),IF($AR490&lt;&gt;"",INDEX(Raw_D3!$F$2:$F$1001,$AR490),"")))</f>
        <v>10</v>
      </c>
      <c r="G490" s="5">
        <f>IF($A490="","",IF($AP490&lt;&gt;"",IF(INDEX(Raw_D1!$G$2:$G$1001,$AP490),1,0),IF($AR490&lt;&gt;"",IF(INDEX(Raw_D3!$G$2:$G$1001,$AR490),1,0),"")))</f>
        <v>0</v>
      </c>
      <c r="H490" s="5">
        <f>IF($A490="","",IF($AP490&lt;&gt;"",INDEX(Raw_D1!$H$2:$H$1001,$AP490),IF($AR490&lt;&gt;"",INDEX(Raw_D3!$H$2:$H$1001,$AR490),"")))</f>
        <v>6</v>
      </c>
      <c r="I490" s="5">
        <f>IF($A490="","",IF($AP490&lt;&gt;"",INDEX(Raw_D1!$I$2:$I$1001,$AP490),IF($AR490&lt;&gt;"",INDEX(Raw_D3!$I$2:$I$1001,$AR490),"")))</f>
        <v>2</v>
      </c>
      <c r="J490" s="16">
        <f>IF($A490="","",IF($AP490&lt;&gt;"",INDEX(Raw_D1!$J$2:$J$1001,$AP490),IF($AR490&lt;&gt;"",INDEX(Raw_D3!$J$2:$J$1001,$AR490),"")))</f>
        <v>0.04</v>
      </c>
      <c r="K490" s="17">
        <f>IF($A490="","",IF($AQ490&lt;&gt;"",IF(INDEX(Raw_D2!$C$2:$C$1001,$AQ490)="","",INDEX(Raw_D2!$C$2:$C$1001,$AQ490)),IF($AR490&lt;&gt;"",IF(INDEX(Raw_D3!$K$2:$K$1001,$AR490)="","",INDEX(Raw_D3!$K$2:$K$1001,$AR490)),"")))</f>
        <v>0.0606</v>
      </c>
      <c r="L490" s="16">
        <f>IF($A490="","",IF($AQ490&lt;&gt;"",IF(INDEX(Raw_D2!$D$2:$D$1001,$AQ490)="","",INDEX(Raw_D2!$D$2:$D$1001,$AQ490)),IF($AR490&lt;&gt;"",IF(INDEX(Raw_D3!$L$2:$L$1001,$AR490)="","",INDEX(Raw_D3!$L$2:$L$1001,$AR490)),"")))</f>
        <v>0.41</v>
      </c>
      <c r="M490" s="17">
        <f>IF($A490="","",IF($AQ490&lt;&gt;"",IF(INDEX(Raw_D2!$E$2:$E$1001,$AQ490)="","",INDEX(Raw_D2!$E$2:$E$1001,$AQ490)),IF($AR490&lt;&gt;"",IF(INDEX(Raw_D3!$M$2:$M$1001,$AR490)="","",INDEX(Raw_D3!$M$2:$M$1001,$AR490)),"")))</f>
        <v>0.1642</v>
      </c>
      <c r="N490" s="5">
        <f>IF($A490="","",IF($AQ490&lt;&gt;"",IF(INDEX(Raw_D2!$F$2:$F$1001,$AQ490)="","",INDEX(Raw_D2!$F$2:$F$1001,$AQ490)),IF($AR490&lt;&gt;"",IF(INDEX(Raw_D3!$N$2:$N$1001,$AR490)="","",INDEX(Raw_D3!$N$2:$N$1001,$AR490)),"")))</f>
        <v>3</v>
      </c>
      <c r="O490" s="5">
        <f>IF($A490="","",IF($AQ490&lt;&gt;"",IF(INDEX(Raw_D2!$G$2:$G$1001,$AQ490)="","",INDEX(Raw_D2!$G$2:$G$1001,$AQ490)),IF($AR490&lt;&gt;"",IF(INDEX(Raw_D3!$O$2:$O$1001,$AR490)="","",INDEX(Raw_D3!$O$2:$O$1001,$AR490)),"")))</f>
        <v>50</v>
      </c>
      <c r="P490" s="5">
        <f>IF($A490="","",IF($AQ490&lt;&gt;"",IF(INDEX(Raw_D2!$H$2:$H$1001,$AQ490)="","",INDEX(Raw_D2!$H$2:$H$1001,$AQ490)),IF($AR490&lt;&gt;"",IF(INDEX(Raw_D3!$P$2:$P$1001,$AR490)="","",INDEX(Raw_D3!$P$2:$P$1001,$AR490)),"")))</f>
        <v>53</v>
      </c>
      <c r="Q490" s="5" t="str">
        <f>IF($A490="","",IF(AND($AP490&lt;&gt;"",$AQ490&lt;&gt;""),"D1+D2",IF($AR490&lt;&gt;"","D3","Incomplete")))</f>
        <v>D1+D2</v>
      </c>
      <c r="R490" s="17">
        <f>IF($A490="","",IF($K490="",IF($J490="","",ROUND(Lookups!$K$5+Lookups!$K$4*$J490,4)),$K490))</f>
        <v>0.0606</v>
      </c>
      <c r="S490" s="5" t="str">
        <f>IF($A490="","",IF($K490="","Imputed","Original"))</f>
        <v>Original</v>
      </c>
      <c r="T490" s="5" t="str">
        <f>IF($A490="","",IF($P490="","Missing",IF($P490=$N490+$O490,"OK","Mismatch")))</f>
        <v>OK</v>
      </c>
      <c r="U490" s="5" t="str">
        <f>IF($A490="","",IF(COUNTIF($A$2:$A490,$A490)&gt;1,"Duplicate","Unique"))</f>
        <v>Unique</v>
      </c>
      <c r="V490" s="5">
        <f>IF($A490="","",IF(AND($U490="Unique",ISNUMBER($P490)),1,0))</f>
        <v>1</v>
      </c>
      <c r="W490" s="5" t="str">
        <f>IF($A490="","",IF(OR($H490=0,$H490=6),"Weekend","Weekday"))</f>
        <v>Weekend</v>
      </c>
      <c r="X490" s="5" t="str">
        <f>IF($A490="","",TEXT($B490,"ddd"))</f>
        <v>Sat</v>
      </c>
      <c r="Y490" s="5" t="str">
        <f>IF($A490="","",TEXT($B490,"mmm"))</f>
        <v>Jan</v>
      </c>
      <c r="Z490" s="5" t="str">
        <f>IF($A490="","",IFERROR(VLOOKUP($C490,Lookups!$D$4:$E$7,2,FALSE),"Unknown"))</f>
        <v>Winter</v>
      </c>
      <c r="AA490" s="5" t="str">
        <f>IF($A490="","",IFERROR(VLOOKUP($I490,Lookups!$A$4:$B$7,2,FALSE),"Unknown"))</f>
        <v>Mist/Cloudy</v>
      </c>
      <c r="AB490" s="5" t="str">
        <f>IF($A490="","",TEXT($F490,"00")&amp;":00")</f>
        <v>10:00</v>
      </c>
      <c r="AC490" s="5" t="str">
        <f>IF($A490="","",VLOOKUP($F490,Lookups!$G$4:$H$8,2,TRUE))</f>
        <v>Midday (10-15)</v>
      </c>
      <c r="AD490" s="18">
        <f>IF($A490="","",IF($J490="","",ROUND($J490*41,1)))</f>
        <v>1.6</v>
      </c>
      <c r="AE490" s="18">
        <f>IF($A490="","",IF($R490="","",ROUND($R490*50,1)))</f>
        <v>3</v>
      </c>
      <c r="AF490" s="5">
        <f>IF($A490="","",IF($L490="","",ROUND($L490*100,0)))</f>
        <v>41</v>
      </c>
      <c r="AG490" s="18">
        <f>IF($A490="","",IF($M490="","",ROUND($M490*67,1)))</f>
        <v>11</v>
      </c>
      <c r="AH490" s="19">
        <f>IF($A490="","",IF($P490="","",IF($P490=0,0,$O490/$P490)))</f>
        <v>0.943396226415094</v>
      </c>
      <c r="AI490" s="5" t="str">
        <f>IF($A490="","",IF($P490="","",IF($P490&gt;=Lookups!$K$7,"High",IF($P490&lt;=Lookups!$K$8,"Low","Medium"))))</f>
        <v>Medium</v>
      </c>
      <c r="AJ490" s="5" t="str">
        <f>IF($A490="","",IF($AD490="","",IF($AD490&lt;5,"Under 5 C",IF($AD490&lt;10,"5-10 C",IF($AD490&lt;15,"10-15 C","15 C and above")))))</f>
        <v>Under 5 C</v>
      </c>
      <c r="AK490" s="5">
        <f>IF($A490="","",IF($P490="","",$P490^2))</f>
        <v>2809</v>
      </c>
      <c r="AL490" s="18">
        <f>IF($V490&lt;&gt;1,"",AVERAGEIFS(Clean_Data!$P$2:$P$1001,Clean_Data!$F$2:$F$1001,$F490,Clean_Data!$W$2:$W$1001,$W490,Clean_Data!$V$2:$V$1001,1))</f>
        <v>62.7857142857143</v>
      </c>
      <c r="AM490" s="16">
        <f>IF($V490&lt;&gt;1,"",IFERROR(($P490-$AL490)/SQRT(MAX(0,(SUMIFS(Clean_Data!$AK$2:$AK$1001,Clean_Data!$F$2:$F$1001,$F490,Clean_Data!$W$2:$W$1001,$W490,Clean_Data!$V$2:$V$1001,1)-COUNTIFS(Clean_Data!$F$2:$F$1001,$F490,Clean_Data!$W$2:$W$1001,$W490,Clean_Data!$V$2:$V$1001,1)*$AL490^2)/(COUNTIFS(Clean_Data!$F$2:$F$1001,$F490,Clean_Data!$W$2:$W$1001,$W490,Clean_Data!$V$2:$V$1001,1)-1))),""))</f>
        <v>-0.488705385555953</v>
      </c>
      <c r="AN490" s="5" t="str">
        <f>IF($AM490="","",IF($AM490&gt;=Lookups!$K$6,"High spike",IF($AM490&lt;=-Lookups!$K$6,"Unusual low","Normal")))</f>
        <v>Normal</v>
      </c>
      <c r="AO490" s="20">
        <f>IF($V490&lt;&gt;1,"",$P490+ROW()/100000)</f>
        <v>53.0049</v>
      </c>
      <c r="AP490" s="5">
        <f>IF($A490="","",IFERROR(MATCH($A490,Raw_D1!$A$2:$A$1001,0),""))</f>
        <v>489</v>
      </c>
      <c r="AQ490" s="5">
        <f>IF($A490="","",IFERROR(MATCH($A490,Raw_D2!$B$2:$B$1001,0),""))</f>
        <v>489</v>
      </c>
      <c r="AR490" s="5">
        <f>IF($A490="","",IFERROR(MATCH($A490,Raw_D3!$A$2:$A$1001,0),""))</f>
        <v/>
      </c>
    </row>
    <row r="491" spans="1:44" x14ac:dyDescent="0.25">
      <c r="A491" s="5">
        <v>490</v>
      </c>
      <c r="B491" s="11">
        <f>IF($A491="","",IF($AP491&lt;&gt;"",INDEX(Raw_D1!$B$2:$B$1001,$AP491),IF($AR491&lt;&gt;"",INDEX(Raw_D3!$B$2:$B$1001,$AR491),"")))</f>
        <v>40565.0</v>
      </c>
      <c r="C491" s="5">
        <f>IF($A491="","",IF($AP491&lt;&gt;"",INDEX(Raw_D1!$C$2:$C$1001,$AP491),IF($AR491&lt;&gt;"",INDEX(Raw_D3!$C$2:$C$1001,$AR491),"")))</f>
        <v>1</v>
      </c>
      <c r="D491" s="5">
        <f>IF($A491="","",IF($AP491&lt;&gt;"",INDEX(Raw_D1!$D$2:$D$1001,$AP491),IF($AR491&lt;&gt;"",INDEX(Raw_D3!$D$2:$D$1001,$AR491),"")))</f>
        <v>0</v>
      </c>
      <c r="E491" s="5">
        <f>IF($A491="","",IF($AP491&lt;&gt;"",INDEX(Raw_D1!$E$2:$E$1001,$AP491),IF($AR491&lt;&gt;"",INDEX(Raw_D3!$E$2:$E$1001,$AR491),"")))</f>
        <v>1</v>
      </c>
      <c r="F491" s="5">
        <f>IF($A491="","",IF($AP491&lt;&gt;"",INDEX(Raw_D1!$F$2:$F$1001,$AP491),IF($AR491&lt;&gt;"",INDEX(Raw_D3!$F$2:$F$1001,$AR491),"")))</f>
        <v>11</v>
      </c>
      <c r="G491" s="5">
        <f>IF($A491="","",IF($AP491&lt;&gt;"",IF(INDEX(Raw_D1!$G$2:$G$1001,$AP491),1,0),IF($AR491&lt;&gt;"",IF(INDEX(Raw_D3!$G$2:$G$1001,$AR491),1,0),"")))</f>
        <v>0</v>
      </c>
      <c r="H491" s="5">
        <f>IF($A491="","",IF($AP491&lt;&gt;"",INDEX(Raw_D1!$H$2:$H$1001,$AP491),IF($AR491&lt;&gt;"",INDEX(Raw_D3!$H$2:$H$1001,$AR491),"")))</f>
        <v>6</v>
      </c>
      <c r="I491" s="5">
        <f>IF($A491="","",IF($AP491&lt;&gt;"",INDEX(Raw_D1!$I$2:$I$1001,$AP491),IF($AR491&lt;&gt;"",INDEX(Raw_D3!$I$2:$I$1001,$AR491),"")))</f>
        <v>2</v>
      </c>
      <c r="J491" s="16">
        <f>IF($A491="","",IF($AP491&lt;&gt;"",INDEX(Raw_D1!$J$2:$J$1001,$AP491),IF($AR491&lt;&gt;"",INDEX(Raw_D3!$J$2:$J$1001,$AR491),"")))</f>
        <v>0.06</v>
      </c>
      <c r="K491" s="17">
        <f>IF($A491="","",IF($AQ491&lt;&gt;"",IF(INDEX(Raw_D2!$C$2:$C$1001,$AQ491)="","",INDEX(Raw_D2!$C$2:$C$1001,$AQ491)),IF($AR491&lt;&gt;"",IF(INDEX(Raw_D3!$K$2:$K$1001,$AR491)="","",INDEX(Raw_D3!$K$2:$K$1001,$AR491)),"")))</f>
        <v>0.0758</v>
      </c>
      <c r="L491" s="16">
        <f>IF($A491="","",IF($AQ491&lt;&gt;"",IF(INDEX(Raw_D2!$D$2:$D$1001,$AQ491)="","",INDEX(Raw_D2!$D$2:$D$1001,$AQ491)),IF($AR491&lt;&gt;"",IF(INDEX(Raw_D3!$L$2:$L$1001,$AR491)="","",INDEX(Raw_D3!$L$2:$L$1001,$AR491)),"")))</f>
        <v>0.38</v>
      </c>
      <c r="M491" s="17">
        <f>IF($A491="","",IF($AQ491&lt;&gt;"",IF(INDEX(Raw_D2!$E$2:$E$1001,$AQ491)="","",INDEX(Raw_D2!$E$2:$E$1001,$AQ491)),IF($AR491&lt;&gt;"",IF(INDEX(Raw_D3!$M$2:$M$1001,$AR491)="","",INDEX(Raw_D3!$M$2:$M$1001,$AR491)),"")))</f>
        <v>0.1343</v>
      </c>
      <c r="N491" s="5">
        <f>IF($A491="","",IF($AQ491&lt;&gt;"",IF(INDEX(Raw_D2!$F$2:$F$1001,$AQ491)="","",INDEX(Raw_D2!$F$2:$F$1001,$AQ491)),IF($AR491&lt;&gt;"",IF(INDEX(Raw_D3!$N$2:$N$1001,$AR491)="","",INDEX(Raw_D3!$N$2:$N$1001,$AR491)),"")))</f>
        <v>4</v>
      </c>
      <c r="O491" s="5">
        <f>IF($A491="","",IF($AQ491&lt;&gt;"",IF(INDEX(Raw_D2!$G$2:$G$1001,$AQ491)="","",INDEX(Raw_D2!$G$2:$G$1001,$AQ491)),IF($AR491&lt;&gt;"",IF(INDEX(Raw_D3!$O$2:$O$1001,$AR491)="","",INDEX(Raw_D3!$O$2:$O$1001,$AR491)),"")))</f>
        <v>59</v>
      </c>
      <c r="P491" s="5">
        <f>IF($A491="","",IF($AQ491&lt;&gt;"",IF(INDEX(Raw_D2!$H$2:$H$1001,$AQ491)="","",INDEX(Raw_D2!$H$2:$H$1001,$AQ491)),IF($AR491&lt;&gt;"",IF(INDEX(Raw_D3!$P$2:$P$1001,$AR491)="","",INDEX(Raw_D3!$P$2:$P$1001,$AR491)),"")))</f>
        <v>63</v>
      </c>
      <c r="Q491" s="5" t="str">
        <f>IF($A491="","",IF(AND($AP491&lt;&gt;"",$AQ491&lt;&gt;""),"D1+D2",IF($AR491&lt;&gt;"","D3","Incomplete")))</f>
        <v>D1+D2</v>
      </c>
      <c r="R491" s="17">
        <f>IF($A491="","",IF($K491="",IF($J491="","",ROUND(Lookups!$K$5+Lookups!$K$4*$J491,4)),$K491))</f>
        <v>0.0758</v>
      </c>
      <c r="S491" s="5" t="str">
        <f>IF($A491="","",IF($K491="","Imputed","Original"))</f>
        <v>Original</v>
      </c>
      <c r="T491" s="5" t="str">
        <f>IF($A491="","",IF($P491="","Missing",IF($P491=$N491+$O491,"OK","Mismatch")))</f>
        <v>OK</v>
      </c>
      <c r="U491" s="5" t="str">
        <f>IF($A491="","",IF(COUNTIF($A$2:$A491,$A491)&gt;1,"Duplicate","Unique"))</f>
        <v>Unique</v>
      </c>
      <c r="V491" s="5">
        <f>IF($A491="","",IF(AND($U491="Unique",ISNUMBER($P491)),1,0))</f>
        <v>1</v>
      </c>
      <c r="W491" s="5" t="str">
        <f>IF($A491="","",IF(OR($H491=0,$H491=6),"Weekend","Weekday"))</f>
        <v>Weekend</v>
      </c>
      <c r="X491" s="5" t="str">
        <f>IF($A491="","",TEXT($B491,"ddd"))</f>
        <v>Sat</v>
      </c>
      <c r="Y491" s="5" t="str">
        <f>IF($A491="","",TEXT($B491,"mmm"))</f>
        <v>Jan</v>
      </c>
      <c r="Z491" s="5" t="str">
        <f>IF($A491="","",IFERROR(VLOOKUP($C491,Lookups!$D$4:$E$7,2,FALSE),"Unknown"))</f>
        <v>Winter</v>
      </c>
      <c r="AA491" s="5" t="str">
        <f>IF($A491="","",IFERROR(VLOOKUP($I491,Lookups!$A$4:$B$7,2,FALSE),"Unknown"))</f>
        <v>Mist/Cloudy</v>
      </c>
      <c r="AB491" s="5" t="str">
        <f>IF($A491="","",TEXT($F491,"00")&amp;":00")</f>
        <v>11:00</v>
      </c>
      <c r="AC491" s="5" t="str">
        <f>IF($A491="","",VLOOKUP($F491,Lookups!$G$4:$H$8,2,TRUE))</f>
        <v>Midday (10-15)</v>
      </c>
      <c r="AD491" s="18">
        <f>IF($A491="","",IF($J491="","",ROUND($J491*41,1)))</f>
        <v>2.5</v>
      </c>
      <c r="AE491" s="18">
        <f>IF($A491="","",IF($R491="","",ROUND($R491*50,1)))</f>
        <v>3.8</v>
      </c>
      <c r="AF491" s="5">
        <f>IF($A491="","",IF($L491="","",ROUND($L491*100,0)))</f>
        <v>38</v>
      </c>
      <c r="AG491" s="18">
        <f>IF($A491="","",IF($M491="","",ROUND($M491*67,1)))</f>
        <v>9</v>
      </c>
      <c r="AH491" s="19">
        <f>IF($A491="","",IF($P491="","",IF($P491=0,0,$O491/$P491)))</f>
        <v>0.936507936507937</v>
      </c>
      <c r="AI491" s="5" t="str">
        <f>IF($A491="","",IF($P491="","",IF($P491&gt;=Lookups!$K$7,"High",IF($P491&lt;=Lookups!$K$8,"Low","Medium"))))</f>
        <v>Medium</v>
      </c>
      <c r="AJ491" s="5" t="str">
        <f>IF($A491="","",IF($AD491="","",IF($AD491&lt;5,"Under 5 C",IF($AD491&lt;10,"5-10 C",IF($AD491&lt;15,"10-15 C","15 C and above")))))</f>
        <v>Under 5 C</v>
      </c>
      <c r="AK491" s="5">
        <f>IF($A491="","",IF($P491="","",$P491^2))</f>
        <v>3969</v>
      </c>
      <c r="AL491" s="18">
        <f>IF($V491&lt;&gt;1,"",AVERAGEIFS(Clean_Data!$P$2:$P$1001,Clean_Data!$F$2:$F$1001,$F491,Clean_Data!$W$2:$W$1001,$W491,Clean_Data!$V$2:$V$1001,1))</f>
        <v>76.9285714285714</v>
      </c>
      <c r="AM491" s="16">
        <f>IF($V491&lt;&gt;1,"",IFERROR(($P491-$AL491)/SQRT(MAX(0,(SUMIFS(Clean_Data!$AK$2:$AK$1001,Clean_Data!$F$2:$F$1001,$F491,Clean_Data!$W$2:$W$1001,$W491,Clean_Data!$V$2:$V$1001,1)-COUNTIFS(Clean_Data!$F$2:$F$1001,$F491,Clean_Data!$W$2:$W$1001,$W491,Clean_Data!$V$2:$V$1001,1)*$AL491^2)/(COUNTIFS(Clean_Data!$F$2:$F$1001,$F491,Clean_Data!$W$2:$W$1001,$W491,Clean_Data!$V$2:$V$1001,1)-1))),""))</f>
        <v>-0.559839037747763</v>
      </c>
      <c r="AN491" s="5" t="str">
        <f>IF($AM491="","",IF($AM491&gt;=Lookups!$K$6,"High spike",IF($AM491&lt;=-Lookups!$K$6,"Unusual low","Normal")))</f>
        <v>Normal</v>
      </c>
      <c r="AO491" s="20">
        <f>IF($V491&lt;&gt;1,"",$P491+ROW()/100000)</f>
        <v>63.00491</v>
      </c>
      <c r="AP491" s="5">
        <f>IF($A491="","",IFERROR(MATCH($A491,Raw_D1!$A$2:$A$1001,0),""))</f>
        <v>490</v>
      </c>
      <c r="AQ491" s="5">
        <f>IF($A491="","",IFERROR(MATCH($A491,Raw_D2!$B$2:$B$1001,0),""))</f>
        <v>490</v>
      </c>
      <c r="AR491" s="5">
        <f>IF($A491="","",IFERROR(MATCH($A491,Raw_D3!$A$2:$A$1001,0),""))</f>
        <v/>
      </c>
    </row>
    <row r="492" spans="1:44" x14ac:dyDescent="0.25">
      <c r="A492" s="5">
        <v>491</v>
      </c>
      <c r="B492" s="11">
        <f>IF($A492="","",IF($AP492&lt;&gt;"",INDEX(Raw_D1!$B$2:$B$1001,$AP492),IF($AR492&lt;&gt;"",INDEX(Raw_D3!$B$2:$B$1001,$AR492),"")))</f>
        <v>40565.0</v>
      </c>
      <c r="C492" s="5">
        <f>IF($A492="","",IF($AP492&lt;&gt;"",INDEX(Raw_D1!$C$2:$C$1001,$AP492),IF($AR492&lt;&gt;"",INDEX(Raw_D3!$C$2:$C$1001,$AR492),"")))</f>
        <v>1</v>
      </c>
      <c r="D492" s="5">
        <f>IF($A492="","",IF($AP492&lt;&gt;"",INDEX(Raw_D1!$D$2:$D$1001,$AP492),IF($AR492&lt;&gt;"",INDEX(Raw_D3!$D$2:$D$1001,$AR492),"")))</f>
        <v>0</v>
      </c>
      <c r="E492" s="5">
        <f>IF($A492="","",IF($AP492&lt;&gt;"",INDEX(Raw_D1!$E$2:$E$1001,$AP492),IF($AR492&lt;&gt;"",INDEX(Raw_D3!$E$2:$E$1001,$AR492),"")))</f>
        <v>1</v>
      </c>
      <c r="F492" s="5">
        <f>IF($A492="","",IF($AP492&lt;&gt;"",INDEX(Raw_D1!$F$2:$F$1001,$AP492),IF($AR492&lt;&gt;"",INDEX(Raw_D3!$F$2:$F$1001,$AR492),"")))</f>
        <v>12</v>
      </c>
      <c r="G492" s="5">
        <f>IF($A492="","",IF($AP492&lt;&gt;"",IF(INDEX(Raw_D1!$G$2:$G$1001,$AP492),1,0),IF($AR492&lt;&gt;"",IF(INDEX(Raw_D3!$G$2:$G$1001,$AR492),1,0),"")))</f>
        <v>0</v>
      </c>
      <c r="H492" s="5">
        <f>IF($A492="","",IF($AP492&lt;&gt;"",INDEX(Raw_D1!$H$2:$H$1001,$AP492),IF($AR492&lt;&gt;"",INDEX(Raw_D3!$H$2:$H$1001,$AR492),"")))</f>
        <v>6</v>
      </c>
      <c r="I492" s="5">
        <f>IF($A492="","",IF($AP492&lt;&gt;"",INDEX(Raw_D1!$I$2:$I$1001,$AP492),IF($AR492&lt;&gt;"",INDEX(Raw_D3!$I$2:$I$1001,$AR492),"")))</f>
        <v>2</v>
      </c>
      <c r="J492" s="16">
        <f>IF($A492="","",IF($AP492&lt;&gt;"",INDEX(Raw_D1!$J$2:$J$1001,$AP492),IF($AR492&lt;&gt;"",INDEX(Raw_D3!$J$2:$J$1001,$AR492),"")))</f>
        <v>0.06</v>
      </c>
      <c r="K492" s="17">
        <f>IF($A492="","",IF($AQ492&lt;&gt;"",IF(INDEX(Raw_D2!$C$2:$C$1001,$AQ492)="","",INDEX(Raw_D2!$C$2:$C$1001,$AQ492)),IF($AR492&lt;&gt;"",IF(INDEX(Raw_D3!$K$2:$K$1001,$AR492)="","",INDEX(Raw_D3!$K$2:$K$1001,$AR492)),"")))</f>
        <v>0.1061</v>
      </c>
      <c r="L492" s="16">
        <f>IF($A492="","",IF($AQ492&lt;&gt;"",IF(INDEX(Raw_D2!$D$2:$D$1001,$AQ492)="","",INDEX(Raw_D2!$D$2:$D$1001,$AQ492)),IF($AR492&lt;&gt;"",IF(INDEX(Raw_D3!$L$2:$L$1001,$AR492)="","",INDEX(Raw_D3!$L$2:$L$1001,$AR492)),"")))</f>
        <v>0.38</v>
      </c>
      <c r="M492" s="17">
        <f>IF($A492="","",IF($AQ492&lt;&gt;"",IF(INDEX(Raw_D2!$E$2:$E$1001,$AQ492)="","",INDEX(Raw_D2!$E$2:$E$1001,$AQ492)),IF($AR492&lt;&gt;"",IF(INDEX(Raw_D3!$M$2:$M$1001,$AR492)="","",INDEX(Raw_D3!$M$2:$M$1001,$AR492)),"")))</f>
        <v>0.1045</v>
      </c>
      <c r="N492" s="5">
        <f>IF($A492="","",IF($AQ492&lt;&gt;"",IF(INDEX(Raw_D2!$F$2:$F$1001,$AQ492)="","",INDEX(Raw_D2!$F$2:$F$1001,$AQ492)),IF($AR492&lt;&gt;"",IF(INDEX(Raw_D3!$N$2:$N$1001,$AR492)="","",INDEX(Raw_D3!$N$2:$N$1001,$AR492)),"")))</f>
        <v>10</v>
      </c>
      <c r="O492" s="5">
        <f>IF($A492="","",IF($AQ492&lt;&gt;"",IF(INDEX(Raw_D2!$G$2:$G$1001,$AQ492)="","",INDEX(Raw_D2!$G$2:$G$1001,$AQ492)),IF($AR492&lt;&gt;"",IF(INDEX(Raw_D3!$O$2:$O$1001,$AR492)="","",INDEX(Raw_D3!$O$2:$O$1001,$AR492)),"")))</f>
        <v>60</v>
      </c>
      <c r="P492" s="5">
        <f>IF($A492="","",IF($AQ492&lt;&gt;"",IF(INDEX(Raw_D2!$H$2:$H$1001,$AQ492)="","",INDEX(Raw_D2!$H$2:$H$1001,$AQ492)),IF($AR492&lt;&gt;"",IF(INDEX(Raw_D3!$P$2:$P$1001,$AR492)="","",INDEX(Raw_D3!$P$2:$P$1001,$AR492)),"")))</f>
        <v>70</v>
      </c>
      <c r="Q492" s="5" t="str">
        <f>IF($A492="","",IF(AND($AP492&lt;&gt;"",$AQ492&lt;&gt;""),"D1+D2",IF($AR492&lt;&gt;"","D3","Incomplete")))</f>
        <v>D1+D2</v>
      </c>
      <c r="R492" s="17">
        <f>IF($A492="","",IF($K492="",IF($J492="","",ROUND(Lookups!$K$5+Lookups!$K$4*$J492,4)),$K492))</f>
        <v>0.1061</v>
      </c>
      <c r="S492" s="5" t="str">
        <f>IF($A492="","",IF($K492="","Imputed","Original"))</f>
        <v>Original</v>
      </c>
      <c r="T492" s="5" t="str">
        <f>IF($A492="","",IF($P492="","Missing",IF($P492=$N492+$O492,"OK","Mismatch")))</f>
        <v>OK</v>
      </c>
      <c r="U492" s="5" t="str">
        <f>IF($A492="","",IF(COUNTIF($A$2:$A492,$A492)&gt;1,"Duplicate","Unique"))</f>
        <v>Unique</v>
      </c>
      <c r="V492" s="5">
        <f>IF($A492="","",IF(AND($U492="Unique",ISNUMBER($P492)),1,0))</f>
        <v>1</v>
      </c>
      <c r="W492" s="5" t="str">
        <f>IF($A492="","",IF(OR($H492=0,$H492=6),"Weekend","Weekday"))</f>
        <v>Weekend</v>
      </c>
      <c r="X492" s="5" t="str">
        <f>IF($A492="","",TEXT($B492,"ddd"))</f>
        <v>Sat</v>
      </c>
      <c r="Y492" s="5" t="str">
        <f>IF($A492="","",TEXT($B492,"mmm"))</f>
        <v>Jan</v>
      </c>
      <c r="Z492" s="5" t="str">
        <f>IF($A492="","",IFERROR(VLOOKUP($C492,Lookups!$D$4:$E$7,2,FALSE),"Unknown"))</f>
        <v>Winter</v>
      </c>
      <c r="AA492" s="5" t="str">
        <f>IF($A492="","",IFERROR(VLOOKUP($I492,Lookups!$A$4:$B$7,2,FALSE),"Unknown"))</f>
        <v>Mist/Cloudy</v>
      </c>
      <c r="AB492" s="5" t="str">
        <f>IF($A492="","",TEXT($F492,"00")&amp;":00")</f>
        <v>12:00</v>
      </c>
      <c r="AC492" s="5" t="str">
        <f>IF($A492="","",VLOOKUP($F492,Lookups!$G$4:$H$8,2,TRUE))</f>
        <v>Midday (10-15)</v>
      </c>
      <c r="AD492" s="18">
        <f>IF($A492="","",IF($J492="","",ROUND($J492*41,1)))</f>
        <v>2.5</v>
      </c>
      <c r="AE492" s="18">
        <f>IF($A492="","",IF($R492="","",ROUND($R492*50,1)))</f>
        <v>5.3</v>
      </c>
      <c r="AF492" s="5">
        <f>IF($A492="","",IF($L492="","",ROUND($L492*100,0)))</f>
        <v>38</v>
      </c>
      <c r="AG492" s="18">
        <f>IF($A492="","",IF($M492="","",ROUND($M492*67,1)))</f>
        <v>7</v>
      </c>
      <c r="AH492" s="19">
        <f>IF($A492="","",IF($P492="","",IF($P492=0,0,$O492/$P492)))</f>
        <v>0.857142857142857</v>
      </c>
      <c r="AI492" s="5" t="str">
        <f>IF($A492="","",IF($P492="","",IF($P492&gt;=Lookups!$K$7,"High",IF($P492&lt;=Lookups!$K$8,"Low","Medium"))))</f>
        <v>Medium</v>
      </c>
      <c r="AJ492" s="5" t="str">
        <f>IF($A492="","",IF($AD492="","",IF($AD492&lt;5,"Under 5 C",IF($AD492&lt;10,"5-10 C",IF($AD492&lt;15,"10-15 C","15 C and above")))))</f>
        <v>Under 5 C</v>
      </c>
      <c r="AK492" s="5">
        <f>IF($A492="","",IF($P492="","",$P492^2))</f>
        <v>4900</v>
      </c>
      <c r="AL492" s="18">
        <f>IF($V492&lt;&gt;1,"",AVERAGEIFS(Clean_Data!$P$2:$P$1001,Clean_Data!$F$2:$F$1001,$F492,Clean_Data!$W$2:$W$1001,$W492,Clean_Data!$V$2:$V$1001,1))</f>
        <v>100.714285714286</v>
      </c>
      <c r="AM492" s="16">
        <f>IF($V492&lt;&gt;1,"",IFERROR(($P492-$AL492)/SQRT(MAX(0,(SUMIFS(Clean_Data!$AK$2:$AK$1001,Clean_Data!$F$2:$F$1001,$F492,Clean_Data!$W$2:$W$1001,$W492,Clean_Data!$V$2:$V$1001,1)-COUNTIFS(Clean_Data!$F$2:$F$1001,$F492,Clean_Data!$W$2:$W$1001,$W492,Clean_Data!$V$2:$V$1001,1)*$AL492^2)/(COUNTIFS(Clean_Data!$F$2:$F$1001,$F492,Clean_Data!$W$2:$W$1001,$W492,Clean_Data!$V$2:$V$1001,1)-1))),""))</f>
        <v>-0.961670508595432</v>
      </c>
      <c r="AN492" s="5" t="str">
        <f>IF($AM492="","",IF($AM492&gt;=Lookups!$K$6,"High spike",IF($AM492&lt;=-Lookups!$K$6,"Unusual low","Normal")))</f>
        <v>Normal</v>
      </c>
      <c r="AO492" s="20">
        <f>IF($V492&lt;&gt;1,"",$P492+ROW()/100000)</f>
        <v>70.00492</v>
      </c>
      <c r="AP492" s="5">
        <f>IF($A492="","",IFERROR(MATCH($A492,Raw_D1!$A$2:$A$1001,0),""))</f>
        <v>491</v>
      </c>
      <c r="AQ492" s="5">
        <f>IF($A492="","",IFERROR(MATCH($A492,Raw_D2!$B$2:$B$1001,0),""))</f>
        <v>491</v>
      </c>
      <c r="AR492" s="5">
        <f>IF($A492="","",IFERROR(MATCH($A492,Raw_D3!$A$2:$A$1001,0),""))</f>
        <v/>
      </c>
    </row>
    <row r="493" spans="1:44" x14ac:dyDescent="0.25">
      <c r="A493" s="5">
        <v>492</v>
      </c>
      <c r="B493" s="11">
        <f>IF($A493="","",IF($AP493&lt;&gt;"",INDEX(Raw_D1!$B$2:$B$1001,$AP493),IF($AR493&lt;&gt;"",INDEX(Raw_D3!$B$2:$B$1001,$AR493),"")))</f>
        <v>40565.0</v>
      </c>
      <c r="C493" s="5">
        <f>IF($A493="","",IF($AP493&lt;&gt;"",INDEX(Raw_D1!$C$2:$C$1001,$AP493),IF($AR493&lt;&gt;"",INDEX(Raw_D3!$C$2:$C$1001,$AR493),"")))</f>
        <v>1</v>
      </c>
      <c r="D493" s="5">
        <f>IF($A493="","",IF($AP493&lt;&gt;"",INDEX(Raw_D1!$D$2:$D$1001,$AP493),IF($AR493&lt;&gt;"",INDEX(Raw_D3!$D$2:$D$1001,$AR493),"")))</f>
        <v>0</v>
      </c>
      <c r="E493" s="5">
        <f>IF($A493="","",IF($AP493&lt;&gt;"",INDEX(Raw_D1!$E$2:$E$1001,$AP493),IF($AR493&lt;&gt;"",INDEX(Raw_D3!$E$2:$E$1001,$AR493),"")))</f>
        <v>1</v>
      </c>
      <c r="F493" s="5">
        <f>IF($A493="","",IF($AP493&lt;&gt;"",INDEX(Raw_D1!$F$2:$F$1001,$AP493),IF($AR493&lt;&gt;"",INDEX(Raw_D3!$F$2:$F$1001,$AR493),"")))</f>
        <v>13</v>
      </c>
      <c r="G493" s="5">
        <f>IF($A493="","",IF($AP493&lt;&gt;"",IF(INDEX(Raw_D1!$G$2:$G$1001,$AP493),1,0),IF($AR493&lt;&gt;"",IF(INDEX(Raw_D3!$G$2:$G$1001,$AR493),1,0),"")))</f>
        <v>0</v>
      </c>
      <c r="H493" s="5">
        <f>IF($A493="","",IF($AP493&lt;&gt;"",INDEX(Raw_D1!$H$2:$H$1001,$AP493),IF($AR493&lt;&gt;"",INDEX(Raw_D3!$H$2:$H$1001,$AR493),"")))</f>
        <v>6</v>
      </c>
      <c r="I493" s="5">
        <f>IF($A493="","",IF($AP493&lt;&gt;"",INDEX(Raw_D1!$I$2:$I$1001,$AP493),IF($AR493&lt;&gt;"",INDEX(Raw_D3!$I$2:$I$1001,$AR493),"")))</f>
        <v>1</v>
      </c>
      <c r="J493" s="16">
        <f>IF($A493="","",IF($AP493&lt;&gt;"",INDEX(Raw_D1!$J$2:$J$1001,$AP493),IF($AR493&lt;&gt;"",INDEX(Raw_D3!$J$2:$J$1001,$AR493),"")))</f>
        <v>0.08</v>
      </c>
      <c r="K493" s="17">
        <f>IF($A493="","",IF($AQ493&lt;&gt;"",IF(INDEX(Raw_D2!$C$2:$C$1001,$AQ493)="","",INDEX(Raw_D2!$C$2:$C$1001,$AQ493)),IF($AR493&lt;&gt;"",IF(INDEX(Raw_D3!$K$2:$K$1001,$AR493)="","",INDEX(Raw_D3!$K$2:$K$1001,$AR493)),"")))</f>
        <v>0.1667</v>
      </c>
      <c r="L493" s="16">
        <f>IF($A493="","",IF($AQ493&lt;&gt;"",IF(INDEX(Raw_D2!$D$2:$D$1001,$AQ493)="","",INDEX(Raw_D2!$D$2:$D$1001,$AQ493)),IF($AR493&lt;&gt;"",IF(INDEX(Raw_D3!$L$2:$L$1001,$AR493)="","",INDEX(Raw_D3!$L$2:$L$1001,$AR493)),"")))</f>
        <v>0.35</v>
      </c>
      <c r="M493" s="17">
        <f>IF($A493="","",IF($AQ493&lt;&gt;"",IF(INDEX(Raw_D2!$E$2:$E$1001,$AQ493)="","",INDEX(Raw_D2!$E$2:$E$1001,$AQ493)),IF($AR493&lt;&gt;"",IF(INDEX(Raw_D3!$M$2:$M$1001,$AR493)="","",INDEX(Raw_D3!$M$2:$M$1001,$AR493)),"")))</f>
        <v>0</v>
      </c>
      <c r="N493" s="5">
        <f>IF($A493="","",IF($AQ493&lt;&gt;"",IF(INDEX(Raw_D2!$F$2:$F$1001,$AQ493)="","",INDEX(Raw_D2!$F$2:$F$1001,$AQ493)),IF($AR493&lt;&gt;"",IF(INDEX(Raw_D3!$N$2:$N$1001,$AR493)="","",INDEX(Raw_D3!$N$2:$N$1001,$AR493)),"")))</f>
        <v>12</v>
      </c>
      <c r="O493" s="5">
        <f>IF($A493="","",IF($AQ493&lt;&gt;"",IF(INDEX(Raw_D2!$G$2:$G$1001,$AQ493)="","",INDEX(Raw_D2!$G$2:$G$1001,$AQ493)),IF($AR493&lt;&gt;"",IF(INDEX(Raw_D3!$O$2:$O$1001,$AR493)="","",INDEX(Raw_D3!$O$2:$O$1001,$AR493)),"")))</f>
        <v>72</v>
      </c>
      <c r="P493" s="5">
        <f>IF($A493="","",IF($AQ493&lt;&gt;"",IF(INDEX(Raw_D2!$H$2:$H$1001,$AQ493)="","",INDEX(Raw_D2!$H$2:$H$1001,$AQ493)),IF($AR493&lt;&gt;"",IF(INDEX(Raw_D3!$P$2:$P$1001,$AR493)="","",INDEX(Raw_D3!$P$2:$P$1001,$AR493)),"")))</f>
        <v>84</v>
      </c>
      <c r="Q493" s="5" t="str">
        <f>IF($A493="","",IF(AND($AP493&lt;&gt;"",$AQ493&lt;&gt;""),"D1+D2",IF($AR493&lt;&gt;"","D3","Incomplete")))</f>
        <v>D1+D2</v>
      </c>
      <c r="R493" s="17">
        <f>IF($A493="","",IF($K493="",IF($J493="","",ROUND(Lookups!$K$5+Lookups!$K$4*$J493,4)),$K493))</f>
        <v>0.1667</v>
      </c>
      <c r="S493" s="5" t="str">
        <f>IF($A493="","",IF($K493="","Imputed","Original"))</f>
        <v>Original</v>
      </c>
      <c r="T493" s="5" t="str">
        <f>IF($A493="","",IF($P493="","Missing",IF($P493=$N493+$O493,"OK","Mismatch")))</f>
        <v>OK</v>
      </c>
      <c r="U493" s="5" t="str">
        <f>IF($A493="","",IF(COUNTIF($A$2:$A493,$A493)&gt;1,"Duplicate","Unique"))</f>
        <v>Unique</v>
      </c>
      <c r="V493" s="5">
        <f>IF($A493="","",IF(AND($U493="Unique",ISNUMBER($P493)),1,0))</f>
        <v>1</v>
      </c>
      <c r="W493" s="5" t="str">
        <f>IF($A493="","",IF(OR($H493=0,$H493=6),"Weekend","Weekday"))</f>
        <v>Weekend</v>
      </c>
      <c r="X493" s="5" t="str">
        <f>IF($A493="","",TEXT($B493,"ddd"))</f>
        <v>Sat</v>
      </c>
      <c r="Y493" s="5" t="str">
        <f>IF($A493="","",TEXT($B493,"mmm"))</f>
        <v>Jan</v>
      </c>
      <c r="Z493" s="5" t="str">
        <f>IF($A493="","",IFERROR(VLOOKUP($C493,Lookups!$D$4:$E$7,2,FALSE),"Unknown"))</f>
        <v>Winter</v>
      </c>
      <c r="AA493" s="5" t="str">
        <f>IF($A493="","",IFERROR(VLOOKUP($I493,Lookups!$A$4:$B$7,2,FALSE),"Unknown"))</f>
        <v>Clear</v>
      </c>
      <c r="AB493" s="5" t="str">
        <f>IF($A493="","",TEXT($F493,"00")&amp;":00")</f>
        <v>13:00</v>
      </c>
      <c r="AC493" s="5" t="str">
        <f>IF($A493="","",VLOOKUP($F493,Lookups!$G$4:$H$8,2,TRUE))</f>
        <v>Midday (10-15)</v>
      </c>
      <c r="AD493" s="18">
        <f>IF($A493="","",IF($J493="","",ROUND($J493*41,1)))</f>
        <v>3.3</v>
      </c>
      <c r="AE493" s="18">
        <f>IF($A493="","",IF($R493="","",ROUND($R493*50,1)))</f>
        <v>8.3</v>
      </c>
      <c r="AF493" s="5">
        <f>IF($A493="","",IF($L493="","",ROUND($L493*100,0)))</f>
        <v>35</v>
      </c>
      <c r="AG493" s="18">
        <f>IF($A493="","",IF($M493="","",ROUND($M493*67,1)))</f>
        <v>0</v>
      </c>
      <c r="AH493" s="19">
        <f>IF($A493="","",IF($P493="","",IF($P493=0,0,$O493/$P493)))</f>
        <v>0.857142857142857</v>
      </c>
      <c r="AI493" s="5" t="str">
        <f>IF($A493="","",IF($P493="","",IF($P493&gt;=Lookups!$K$7,"High",IF($P493&lt;=Lookups!$K$8,"Low","Medium"))))</f>
        <v>High</v>
      </c>
      <c r="AJ493" s="5" t="str">
        <f>IF($A493="","",IF($AD493="","",IF($AD493&lt;5,"Under 5 C",IF($AD493&lt;10,"5-10 C",IF($AD493&lt;15,"10-15 C","15 C and above")))))</f>
        <v>Under 5 C</v>
      </c>
      <c r="AK493" s="5">
        <f>IF($A493="","",IF($P493="","",$P493^2))</f>
        <v>7056</v>
      </c>
      <c r="AL493" s="18">
        <f>IF($V493&lt;&gt;1,"",AVERAGEIFS(Clean_Data!$P$2:$P$1001,Clean_Data!$F$2:$F$1001,$F493,Clean_Data!$W$2:$W$1001,$W493,Clean_Data!$V$2:$V$1001,1))</f>
        <v>102</v>
      </c>
      <c r="AM493" s="16">
        <f>IF($V493&lt;&gt;1,"",IFERROR(($P493-$AL493)/SQRT(MAX(0,(SUMIFS(Clean_Data!$AK$2:$AK$1001,Clean_Data!$F$2:$F$1001,$F493,Clean_Data!$W$2:$W$1001,$W493,Clean_Data!$V$2:$V$1001,1)-COUNTIFS(Clean_Data!$F$2:$F$1001,$F493,Clean_Data!$W$2:$W$1001,$W493,Clean_Data!$V$2:$V$1001,1)*$AL493^2)/(COUNTIFS(Clean_Data!$F$2:$F$1001,$F493,Clean_Data!$W$2:$W$1001,$W493,Clean_Data!$V$2:$V$1001,1)-1))),""))</f>
        <v>-0.527903416046234</v>
      </c>
      <c r="AN493" s="5" t="str">
        <f>IF($AM493="","",IF($AM493&gt;=Lookups!$K$6,"High spike",IF($AM493&lt;=-Lookups!$K$6,"Unusual low","Normal")))</f>
        <v>Normal</v>
      </c>
      <c r="AO493" s="20">
        <f>IF($V493&lt;&gt;1,"",$P493+ROW()/100000)</f>
        <v>84.00493</v>
      </c>
      <c r="AP493" s="5">
        <f>IF($A493="","",IFERROR(MATCH($A493,Raw_D1!$A$2:$A$1001,0),""))</f>
        <v>492</v>
      </c>
      <c r="AQ493" s="5">
        <f>IF($A493="","",IFERROR(MATCH($A493,Raw_D2!$B$2:$B$1001,0),""))</f>
        <v>492</v>
      </c>
      <c r="AR493" s="5">
        <f>IF($A493="","",IFERROR(MATCH($A493,Raw_D3!$A$2:$A$1001,0),""))</f>
        <v/>
      </c>
    </row>
    <row r="494" spans="1:44" x14ac:dyDescent="0.25">
      <c r="A494" s="5">
        <v>493</v>
      </c>
      <c r="B494" s="11">
        <f>IF($A494="","",IF($AP494&lt;&gt;"",INDEX(Raw_D1!$B$2:$B$1001,$AP494),IF($AR494&lt;&gt;"",INDEX(Raw_D3!$B$2:$B$1001,$AR494),"")))</f>
        <v>40565.0</v>
      </c>
      <c r="C494" s="5">
        <f>IF($A494="","",IF($AP494&lt;&gt;"",INDEX(Raw_D1!$C$2:$C$1001,$AP494),IF($AR494&lt;&gt;"",INDEX(Raw_D3!$C$2:$C$1001,$AR494),"")))</f>
        <v>1</v>
      </c>
      <c r="D494" s="5">
        <f>IF($A494="","",IF($AP494&lt;&gt;"",INDEX(Raw_D1!$D$2:$D$1001,$AP494),IF($AR494&lt;&gt;"",INDEX(Raw_D3!$D$2:$D$1001,$AR494),"")))</f>
        <v>0</v>
      </c>
      <c r="E494" s="5">
        <f>IF($A494="","",IF($AP494&lt;&gt;"",INDEX(Raw_D1!$E$2:$E$1001,$AP494),IF($AR494&lt;&gt;"",INDEX(Raw_D3!$E$2:$E$1001,$AR494),"")))</f>
        <v>1</v>
      </c>
      <c r="F494" s="5">
        <f>IF($A494="","",IF($AP494&lt;&gt;"",INDEX(Raw_D1!$F$2:$F$1001,$AP494),IF($AR494&lt;&gt;"",INDEX(Raw_D3!$F$2:$F$1001,$AR494),"")))</f>
        <v>14</v>
      </c>
      <c r="G494" s="5">
        <f>IF($A494="","",IF($AP494&lt;&gt;"",IF(INDEX(Raw_D1!$G$2:$G$1001,$AP494),1,0),IF($AR494&lt;&gt;"",IF(INDEX(Raw_D3!$G$2:$G$1001,$AR494),1,0),"")))</f>
        <v>0</v>
      </c>
      <c r="H494" s="5">
        <f>IF($A494="","",IF($AP494&lt;&gt;"",INDEX(Raw_D1!$H$2:$H$1001,$AP494),IF($AR494&lt;&gt;"",INDEX(Raw_D3!$H$2:$H$1001,$AR494),"")))</f>
        <v>6</v>
      </c>
      <c r="I494" s="5">
        <f>IF($A494="","",IF($AP494&lt;&gt;"",INDEX(Raw_D1!$I$2:$I$1001,$AP494),IF($AR494&lt;&gt;"",INDEX(Raw_D3!$I$2:$I$1001,$AR494),"")))</f>
        <v>1</v>
      </c>
      <c r="J494" s="16">
        <f>IF($A494="","",IF($AP494&lt;&gt;"",INDEX(Raw_D1!$J$2:$J$1001,$AP494),IF($AR494&lt;&gt;"",INDEX(Raw_D3!$J$2:$J$1001,$AR494),"")))</f>
        <v>0.1</v>
      </c>
      <c r="K494" s="17">
        <f>IF($A494="","",IF($AQ494&lt;&gt;"",IF(INDEX(Raw_D2!$C$2:$C$1001,$AQ494)="","",INDEX(Raw_D2!$C$2:$C$1001,$AQ494)),IF($AR494&lt;&gt;"",IF(INDEX(Raw_D3!$K$2:$K$1001,$AR494)="","",INDEX(Raw_D3!$K$2:$K$1001,$AR494)),"")))</f>
        <v>0.1364</v>
      </c>
      <c r="L494" s="16">
        <f>IF($A494="","",IF($AQ494&lt;&gt;"",IF(INDEX(Raw_D2!$D$2:$D$1001,$AQ494)="","",INDEX(Raw_D2!$D$2:$D$1001,$AQ494)),IF($AR494&lt;&gt;"",IF(INDEX(Raw_D3!$L$2:$L$1001,$AR494)="","",INDEX(Raw_D3!$L$2:$L$1001,$AR494)),"")))</f>
        <v>0.33</v>
      </c>
      <c r="M494" s="17">
        <f>IF($A494="","",IF($AQ494&lt;&gt;"",IF(INDEX(Raw_D2!$E$2:$E$1001,$AQ494)="","",INDEX(Raw_D2!$E$2:$E$1001,$AQ494)),IF($AR494&lt;&gt;"",IF(INDEX(Raw_D3!$M$2:$M$1001,$AR494)="","",INDEX(Raw_D3!$M$2:$M$1001,$AR494)),"")))</f>
        <v>0.1045</v>
      </c>
      <c r="N494" s="5">
        <f>IF($A494="","",IF($AQ494&lt;&gt;"",IF(INDEX(Raw_D2!$F$2:$F$1001,$AQ494)="","",INDEX(Raw_D2!$F$2:$F$1001,$AQ494)),IF($AR494&lt;&gt;"",IF(INDEX(Raw_D3!$N$2:$N$1001,$AR494)="","",INDEX(Raw_D3!$N$2:$N$1001,$AR494)),"")))</f>
        <v>11</v>
      </c>
      <c r="O494" s="5">
        <f>IF($A494="","",IF($AQ494&lt;&gt;"",IF(INDEX(Raw_D2!$G$2:$G$1001,$AQ494)="","",INDEX(Raw_D2!$G$2:$G$1001,$AQ494)),IF($AR494&lt;&gt;"",IF(INDEX(Raw_D3!$O$2:$O$1001,$AR494)="","",INDEX(Raw_D3!$O$2:$O$1001,$AR494)),"")))</f>
        <v>64</v>
      </c>
      <c r="P494" s="5">
        <f>IF($A494="","",IF($AQ494&lt;&gt;"",IF(INDEX(Raw_D2!$H$2:$H$1001,$AQ494)="","",INDEX(Raw_D2!$H$2:$H$1001,$AQ494)),IF($AR494&lt;&gt;"",IF(INDEX(Raw_D3!$P$2:$P$1001,$AR494)="","",INDEX(Raw_D3!$P$2:$P$1001,$AR494)),"")))</f>
        <v>75</v>
      </c>
      <c r="Q494" s="5" t="str">
        <f>IF($A494="","",IF(AND($AP494&lt;&gt;"",$AQ494&lt;&gt;""),"D1+D2",IF($AR494&lt;&gt;"","D3","Incomplete")))</f>
        <v>D1+D2</v>
      </c>
      <c r="R494" s="17">
        <f>IF($A494="","",IF($K494="",IF($J494="","",ROUND(Lookups!$K$5+Lookups!$K$4*$J494,4)),$K494))</f>
        <v>0.1364</v>
      </c>
      <c r="S494" s="5" t="str">
        <f>IF($A494="","",IF($K494="","Imputed","Original"))</f>
        <v>Original</v>
      </c>
      <c r="T494" s="5" t="str">
        <f>IF($A494="","",IF($P494="","Missing",IF($P494=$N494+$O494,"OK","Mismatch")))</f>
        <v>OK</v>
      </c>
      <c r="U494" s="5" t="str">
        <f>IF($A494="","",IF(COUNTIF($A$2:$A494,$A494)&gt;1,"Duplicate","Unique"))</f>
        <v>Unique</v>
      </c>
      <c r="V494" s="5">
        <f>IF($A494="","",IF(AND($U494="Unique",ISNUMBER($P494)),1,0))</f>
        <v>1</v>
      </c>
      <c r="W494" s="5" t="str">
        <f>IF($A494="","",IF(OR($H494=0,$H494=6),"Weekend","Weekday"))</f>
        <v>Weekend</v>
      </c>
      <c r="X494" s="5" t="str">
        <f>IF($A494="","",TEXT($B494,"ddd"))</f>
        <v>Sat</v>
      </c>
      <c r="Y494" s="5" t="str">
        <f>IF($A494="","",TEXT($B494,"mmm"))</f>
        <v>Jan</v>
      </c>
      <c r="Z494" s="5" t="str">
        <f>IF($A494="","",IFERROR(VLOOKUP($C494,Lookups!$D$4:$E$7,2,FALSE),"Unknown"))</f>
        <v>Winter</v>
      </c>
      <c r="AA494" s="5" t="str">
        <f>IF($A494="","",IFERROR(VLOOKUP($I494,Lookups!$A$4:$B$7,2,FALSE),"Unknown"))</f>
        <v>Clear</v>
      </c>
      <c r="AB494" s="5" t="str">
        <f>IF($A494="","",TEXT($F494,"00")&amp;":00")</f>
        <v>14:00</v>
      </c>
      <c r="AC494" s="5" t="str">
        <f>IF($A494="","",VLOOKUP($F494,Lookups!$G$4:$H$8,2,TRUE))</f>
        <v>Midday (10-15)</v>
      </c>
      <c r="AD494" s="18">
        <f>IF($A494="","",IF($J494="","",ROUND($J494*41,1)))</f>
        <v>4.1</v>
      </c>
      <c r="AE494" s="18">
        <f>IF($A494="","",IF($R494="","",ROUND($R494*50,1)))</f>
        <v>6.8</v>
      </c>
      <c r="AF494" s="5">
        <f>IF($A494="","",IF($L494="","",ROUND($L494*100,0)))</f>
        <v>33</v>
      </c>
      <c r="AG494" s="18">
        <f>IF($A494="","",IF($M494="","",ROUND($M494*67,1)))</f>
        <v>7</v>
      </c>
      <c r="AH494" s="19">
        <f>IF($A494="","",IF($P494="","",IF($P494=0,0,$O494/$P494)))</f>
        <v>0.853333333333333</v>
      </c>
      <c r="AI494" s="5" t="str">
        <f>IF($A494="","",IF($P494="","",IF($P494&gt;=Lookups!$K$7,"High",IF($P494&lt;=Lookups!$K$8,"Low","Medium"))))</f>
        <v>Medium</v>
      </c>
      <c r="AJ494" s="5" t="str">
        <f>IF($A494="","",IF($AD494="","",IF($AD494&lt;5,"Under 5 C",IF($AD494&lt;10,"5-10 C",IF($AD494&lt;15,"10-15 C","15 C and above")))))</f>
        <v>Under 5 C</v>
      </c>
      <c r="AK494" s="5">
        <f>IF($A494="","",IF($P494="","",$P494^2))</f>
        <v>5625</v>
      </c>
      <c r="AL494" s="18">
        <f>IF($V494&lt;&gt;1,"",AVERAGEIFS(Clean_Data!$P$2:$P$1001,Clean_Data!$F$2:$F$1001,$F494,Clean_Data!$W$2:$W$1001,$W494,Clean_Data!$V$2:$V$1001,1))</f>
        <v>103.142857142857</v>
      </c>
      <c r="AM494" s="16">
        <f>IF($V494&lt;&gt;1,"",IFERROR(($P494-$AL494)/SQRT(MAX(0,(SUMIFS(Clean_Data!$AK$2:$AK$1001,Clean_Data!$F$2:$F$1001,$F494,Clean_Data!$W$2:$W$1001,$W494,Clean_Data!$V$2:$V$1001,1)-COUNTIFS(Clean_Data!$F$2:$F$1001,$F494,Clean_Data!$W$2:$W$1001,$W494,Clean_Data!$V$2:$V$1001,1)*$AL494^2)/(COUNTIFS(Clean_Data!$F$2:$F$1001,$F494,Clean_Data!$W$2:$W$1001,$W494,Clean_Data!$V$2:$V$1001,1)-1))),""))</f>
        <v>-0.861600822593138</v>
      </c>
      <c r="AN494" s="5" t="str">
        <f>IF($AM494="","",IF($AM494&gt;=Lookups!$K$6,"High spike",IF($AM494&lt;=-Lookups!$K$6,"Unusual low","Normal")))</f>
        <v>Normal</v>
      </c>
      <c r="AO494" s="20">
        <f>IF($V494&lt;&gt;1,"",$P494+ROW()/100000)</f>
        <v>75.00494</v>
      </c>
      <c r="AP494" s="5">
        <f>IF($A494="","",IFERROR(MATCH($A494,Raw_D1!$A$2:$A$1001,0),""))</f>
        <v>493</v>
      </c>
      <c r="AQ494" s="5">
        <f>IF($A494="","",IFERROR(MATCH($A494,Raw_D2!$B$2:$B$1001,0),""))</f>
        <v>493</v>
      </c>
      <c r="AR494" s="5">
        <f>IF($A494="","",IFERROR(MATCH($A494,Raw_D3!$A$2:$A$1001,0),""))</f>
        <v/>
      </c>
    </row>
    <row r="495" spans="1:44" x14ac:dyDescent="0.25">
      <c r="A495" s="5">
        <v>494</v>
      </c>
      <c r="B495" s="11">
        <f>IF($A495="","",IF($AP495&lt;&gt;"",INDEX(Raw_D1!$B$2:$B$1001,$AP495),IF($AR495&lt;&gt;"",INDEX(Raw_D3!$B$2:$B$1001,$AR495),"")))</f>
        <v>40565.0</v>
      </c>
      <c r="C495" s="5">
        <f>IF($A495="","",IF($AP495&lt;&gt;"",INDEX(Raw_D1!$C$2:$C$1001,$AP495),IF($AR495&lt;&gt;"",INDEX(Raw_D3!$C$2:$C$1001,$AR495),"")))</f>
        <v>1</v>
      </c>
      <c r="D495" s="5">
        <f>IF($A495="","",IF($AP495&lt;&gt;"",INDEX(Raw_D1!$D$2:$D$1001,$AP495),IF($AR495&lt;&gt;"",INDEX(Raw_D3!$D$2:$D$1001,$AR495),"")))</f>
        <v>0</v>
      </c>
      <c r="E495" s="5">
        <f>IF($A495="","",IF($AP495&lt;&gt;"",INDEX(Raw_D1!$E$2:$E$1001,$AP495),IF($AR495&lt;&gt;"",INDEX(Raw_D3!$E$2:$E$1001,$AR495),"")))</f>
        <v>1</v>
      </c>
      <c r="F495" s="5">
        <f>IF($A495="","",IF($AP495&lt;&gt;"",INDEX(Raw_D1!$F$2:$F$1001,$AP495),IF($AR495&lt;&gt;"",INDEX(Raw_D3!$F$2:$F$1001,$AR495),"")))</f>
        <v>15</v>
      </c>
      <c r="G495" s="5">
        <f>IF($A495="","",IF($AP495&lt;&gt;"",IF(INDEX(Raw_D1!$G$2:$G$1001,$AP495),1,0),IF($AR495&lt;&gt;"",IF(INDEX(Raw_D3!$G$2:$G$1001,$AR495),1,0),"")))</f>
        <v>0</v>
      </c>
      <c r="H495" s="5">
        <f>IF($A495="","",IF($AP495&lt;&gt;"",INDEX(Raw_D1!$H$2:$H$1001,$AP495),IF($AR495&lt;&gt;"",INDEX(Raw_D3!$H$2:$H$1001,$AR495),"")))</f>
        <v>6</v>
      </c>
      <c r="I495" s="5">
        <f>IF($A495="","",IF($AP495&lt;&gt;"",INDEX(Raw_D1!$I$2:$I$1001,$AP495),IF($AR495&lt;&gt;"",INDEX(Raw_D3!$I$2:$I$1001,$AR495),"")))</f>
        <v>1</v>
      </c>
      <c r="J495" s="16">
        <f>IF($A495="","",IF($AP495&lt;&gt;"",INDEX(Raw_D1!$J$2:$J$1001,$AP495),IF($AR495&lt;&gt;"",INDEX(Raw_D3!$J$2:$J$1001,$AR495),"")))</f>
        <v>0.12</v>
      </c>
      <c r="K495" s="17">
        <f>IF($A495="","",IF($AQ495&lt;&gt;"",IF(INDEX(Raw_D2!$C$2:$C$1001,$AQ495)="","",INDEX(Raw_D2!$C$2:$C$1001,$AQ495)),IF($AR495&lt;&gt;"",IF(INDEX(Raw_D3!$K$2:$K$1001,$AR495)="","",INDEX(Raw_D3!$K$2:$K$1001,$AR495)),"")))</f>
        <v>0.1515</v>
      </c>
      <c r="L495" s="16">
        <f>IF($A495="","",IF($AQ495&lt;&gt;"",IF(INDEX(Raw_D2!$D$2:$D$1001,$AQ495)="","",INDEX(Raw_D2!$D$2:$D$1001,$AQ495)),IF($AR495&lt;&gt;"",IF(INDEX(Raw_D3!$L$2:$L$1001,$AR495)="","",INDEX(Raw_D3!$L$2:$L$1001,$AR495)),"")))</f>
        <v>0.28</v>
      </c>
      <c r="M495" s="17">
        <f>IF($A495="","",IF($AQ495&lt;&gt;"",IF(INDEX(Raw_D2!$E$2:$E$1001,$AQ495)="","",INDEX(Raw_D2!$E$2:$E$1001,$AQ495)),IF($AR495&lt;&gt;"",IF(INDEX(Raw_D3!$M$2:$M$1001,$AR495)="","",INDEX(Raw_D3!$M$2:$M$1001,$AR495)),"")))</f>
        <v>0</v>
      </c>
      <c r="N495" s="5">
        <f>IF($A495="","",IF($AQ495&lt;&gt;"",IF(INDEX(Raw_D2!$F$2:$F$1001,$AQ495)="","",INDEX(Raw_D2!$F$2:$F$1001,$AQ495)),IF($AR495&lt;&gt;"",IF(INDEX(Raw_D3!$N$2:$N$1001,$AR495)="","",INDEX(Raw_D3!$N$2:$N$1001,$AR495)),"")))</f>
        <v>10</v>
      </c>
      <c r="O495" s="5">
        <f>IF($A495="","",IF($AQ495&lt;&gt;"",IF(INDEX(Raw_D2!$G$2:$G$1001,$AQ495)="","",INDEX(Raw_D2!$G$2:$G$1001,$AQ495)),IF($AR495&lt;&gt;"",IF(INDEX(Raw_D3!$O$2:$O$1001,$AR495)="","",INDEX(Raw_D3!$O$2:$O$1001,$AR495)),"")))</f>
        <v>93</v>
      </c>
      <c r="P495" s="5">
        <f>IF($A495="","",IF($AQ495&lt;&gt;"",IF(INDEX(Raw_D2!$H$2:$H$1001,$AQ495)="","",INDEX(Raw_D2!$H$2:$H$1001,$AQ495)),IF($AR495&lt;&gt;"",IF(INDEX(Raw_D3!$P$2:$P$1001,$AR495)="","",INDEX(Raw_D3!$P$2:$P$1001,$AR495)),"")))</f>
        <v>103</v>
      </c>
      <c r="Q495" s="5" t="str">
        <f>IF($A495="","",IF(AND($AP495&lt;&gt;"",$AQ495&lt;&gt;""),"D1+D2",IF($AR495&lt;&gt;"","D3","Incomplete")))</f>
        <v>D1+D2</v>
      </c>
      <c r="R495" s="17">
        <f>IF($A495="","",IF($K495="",IF($J495="","",ROUND(Lookups!$K$5+Lookups!$K$4*$J495,4)),$K495))</f>
        <v>0.1515</v>
      </c>
      <c r="S495" s="5" t="str">
        <f>IF($A495="","",IF($K495="","Imputed","Original"))</f>
        <v>Original</v>
      </c>
      <c r="T495" s="5" t="str">
        <f>IF($A495="","",IF($P495="","Missing",IF($P495=$N495+$O495,"OK","Mismatch")))</f>
        <v>OK</v>
      </c>
      <c r="U495" s="5" t="str">
        <f>IF($A495="","",IF(COUNTIF($A$2:$A495,$A495)&gt;1,"Duplicate","Unique"))</f>
        <v>Unique</v>
      </c>
      <c r="V495" s="5">
        <f>IF($A495="","",IF(AND($U495="Unique",ISNUMBER($P495)),1,0))</f>
        <v>1</v>
      </c>
      <c r="W495" s="5" t="str">
        <f>IF($A495="","",IF(OR($H495=0,$H495=6),"Weekend","Weekday"))</f>
        <v>Weekend</v>
      </c>
      <c r="X495" s="5" t="str">
        <f>IF($A495="","",TEXT($B495,"ddd"))</f>
        <v>Sat</v>
      </c>
      <c r="Y495" s="5" t="str">
        <f>IF($A495="","",TEXT($B495,"mmm"))</f>
        <v>Jan</v>
      </c>
      <c r="Z495" s="5" t="str">
        <f>IF($A495="","",IFERROR(VLOOKUP($C495,Lookups!$D$4:$E$7,2,FALSE),"Unknown"))</f>
        <v>Winter</v>
      </c>
      <c r="AA495" s="5" t="str">
        <f>IF($A495="","",IFERROR(VLOOKUP($I495,Lookups!$A$4:$B$7,2,FALSE),"Unknown"))</f>
        <v>Clear</v>
      </c>
      <c r="AB495" s="5" t="str">
        <f>IF($A495="","",TEXT($F495,"00")&amp;":00")</f>
        <v>15:00</v>
      </c>
      <c r="AC495" s="5" t="str">
        <f>IF($A495="","",VLOOKUP($F495,Lookups!$G$4:$H$8,2,TRUE))</f>
        <v>Midday (10-15)</v>
      </c>
      <c r="AD495" s="18">
        <f>IF($A495="","",IF($J495="","",ROUND($J495*41,1)))</f>
        <v>4.9</v>
      </c>
      <c r="AE495" s="18">
        <f>IF($A495="","",IF($R495="","",ROUND($R495*50,1)))</f>
        <v>7.6</v>
      </c>
      <c r="AF495" s="5">
        <f>IF($A495="","",IF($L495="","",ROUND($L495*100,0)))</f>
        <v>28</v>
      </c>
      <c r="AG495" s="18">
        <f>IF($A495="","",IF($M495="","",ROUND($M495*67,1)))</f>
        <v>0</v>
      </c>
      <c r="AH495" s="19">
        <f>IF($A495="","",IF($P495="","",IF($P495=0,0,$O495/$P495)))</f>
        <v>0.902912621359223</v>
      </c>
      <c r="AI495" s="5" t="str">
        <f>IF($A495="","",IF($P495="","",IF($P495&gt;=Lookups!$K$7,"High",IF($P495&lt;=Lookups!$K$8,"Low","Medium"))))</f>
        <v>High</v>
      </c>
      <c r="AJ495" s="5" t="str">
        <f>IF($A495="","",IF($AD495="","",IF($AD495&lt;5,"Under 5 C",IF($AD495&lt;10,"5-10 C",IF($AD495&lt;15,"10-15 C","15 C and above")))))</f>
        <v>Under 5 C</v>
      </c>
      <c r="AK495" s="5">
        <f>IF($A495="","",IF($P495="","",$P495^2))</f>
        <v>10609</v>
      </c>
      <c r="AL495" s="18">
        <f>IF($V495&lt;&gt;1,"",AVERAGEIFS(Clean_Data!$P$2:$P$1001,Clean_Data!$F$2:$F$1001,$F495,Clean_Data!$W$2:$W$1001,$W495,Clean_Data!$V$2:$V$1001,1))</f>
        <v>112.071428571429</v>
      </c>
      <c r="AM495" s="16">
        <f>IF($V495&lt;&gt;1,"",IFERROR(($P495-$AL495)/SQRT(MAX(0,(SUMIFS(Clean_Data!$AK$2:$AK$1001,Clean_Data!$F$2:$F$1001,$F495,Clean_Data!$W$2:$W$1001,$W495,Clean_Data!$V$2:$V$1001,1)-COUNTIFS(Clean_Data!$F$2:$F$1001,$F495,Clean_Data!$W$2:$W$1001,$W495,Clean_Data!$V$2:$V$1001,1)*$AL495^2)/(COUNTIFS(Clean_Data!$F$2:$F$1001,$F495,Clean_Data!$W$2:$W$1001,$W495,Clean_Data!$V$2:$V$1001,1)-1))),""))</f>
        <v>-0.234772151834385</v>
      </c>
      <c r="AN495" s="5" t="str">
        <f>IF($AM495="","",IF($AM495&gt;=Lookups!$K$6,"High spike",IF($AM495&lt;=-Lookups!$K$6,"Unusual low","Normal")))</f>
        <v>Normal</v>
      </c>
      <c r="AO495" s="20">
        <f>IF($V495&lt;&gt;1,"",$P495+ROW()/100000)</f>
        <v>103.00495</v>
      </c>
      <c r="AP495" s="5">
        <f>IF($A495="","",IFERROR(MATCH($A495,Raw_D1!$A$2:$A$1001,0),""))</f>
        <v>494</v>
      </c>
      <c r="AQ495" s="5">
        <f>IF($A495="","",IFERROR(MATCH($A495,Raw_D2!$B$2:$B$1001,0),""))</f>
        <v>494</v>
      </c>
      <c r="AR495" s="5">
        <f>IF($A495="","",IFERROR(MATCH($A495,Raw_D3!$A$2:$A$1001,0),""))</f>
        <v/>
      </c>
    </row>
    <row r="496" spans="1:44" x14ac:dyDescent="0.25">
      <c r="A496" s="5">
        <v>495</v>
      </c>
      <c r="B496" s="11">
        <f>IF($A496="","",IF($AP496&lt;&gt;"",INDEX(Raw_D1!$B$2:$B$1001,$AP496),IF($AR496&lt;&gt;"",INDEX(Raw_D3!$B$2:$B$1001,$AR496),"")))</f>
        <v>40565.0</v>
      </c>
      <c r="C496" s="5">
        <f>IF($A496="","",IF($AP496&lt;&gt;"",INDEX(Raw_D1!$C$2:$C$1001,$AP496),IF($AR496&lt;&gt;"",INDEX(Raw_D3!$C$2:$C$1001,$AR496),"")))</f>
        <v>1</v>
      </c>
      <c r="D496" s="5">
        <f>IF($A496="","",IF($AP496&lt;&gt;"",INDEX(Raw_D1!$D$2:$D$1001,$AP496),IF($AR496&lt;&gt;"",INDEX(Raw_D3!$D$2:$D$1001,$AR496),"")))</f>
        <v>0</v>
      </c>
      <c r="E496" s="5">
        <f>IF($A496="","",IF($AP496&lt;&gt;"",INDEX(Raw_D1!$E$2:$E$1001,$AP496),IF($AR496&lt;&gt;"",INDEX(Raw_D3!$E$2:$E$1001,$AR496),"")))</f>
        <v>1</v>
      </c>
      <c r="F496" s="5">
        <f>IF($A496="","",IF($AP496&lt;&gt;"",INDEX(Raw_D1!$F$2:$F$1001,$AP496),IF($AR496&lt;&gt;"",INDEX(Raw_D3!$F$2:$F$1001,$AR496),"")))</f>
        <v>16</v>
      </c>
      <c r="G496" s="5">
        <f>IF($A496="","",IF($AP496&lt;&gt;"",IF(INDEX(Raw_D1!$G$2:$G$1001,$AP496),1,0),IF($AR496&lt;&gt;"",IF(INDEX(Raw_D3!$G$2:$G$1001,$AR496),1,0),"")))</f>
        <v>0</v>
      </c>
      <c r="H496" s="5">
        <f>IF($A496="","",IF($AP496&lt;&gt;"",INDEX(Raw_D1!$H$2:$H$1001,$AP496),IF($AR496&lt;&gt;"",INDEX(Raw_D3!$H$2:$H$1001,$AR496),"")))</f>
        <v>6</v>
      </c>
      <c r="I496" s="5">
        <f>IF($A496="","",IF($AP496&lt;&gt;"",INDEX(Raw_D1!$I$2:$I$1001,$AP496),IF($AR496&lt;&gt;"",INDEX(Raw_D3!$I$2:$I$1001,$AR496),"")))</f>
        <v>1</v>
      </c>
      <c r="J496" s="16">
        <f>IF($A496="","",IF($AP496&lt;&gt;"",INDEX(Raw_D1!$J$2:$J$1001,$AP496),IF($AR496&lt;&gt;"",INDEX(Raw_D3!$J$2:$J$1001,$AR496),"")))</f>
        <v>0.12</v>
      </c>
      <c r="K496" s="17">
        <f>IF($A496="","",IF($AQ496&lt;&gt;"",IF(INDEX(Raw_D2!$C$2:$C$1001,$AQ496)="","",INDEX(Raw_D2!$C$2:$C$1001,$AQ496)),IF($AR496&lt;&gt;"",IF(INDEX(Raw_D3!$K$2:$K$1001,$AR496)="","",INDEX(Raw_D3!$K$2:$K$1001,$AR496)),"")))</f>
        <v>0.1364</v>
      </c>
      <c r="L496" s="16">
        <f>IF($A496="","",IF($AQ496&lt;&gt;"",IF(INDEX(Raw_D2!$D$2:$D$1001,$AQ496)="","",INDEX(Raw_D2!$D$2:$D$1001,$AQ496)),IF($AR496&lt;&gt;"",IF(INDEX(Raw_D3!$L$2:$L$1001,$AR496)="","",INDEX(Raw_D3!$L$2:$L$1001,$AR496)),"")))</f>
        <v>0.28</v>
      </c>
      <c r="M496" s="17">
        <f>IF($A496="","",IF($AQ496&lt;&gt;"",IF(INDEX(Raw_D2!$E$2:$E$1001,$AQ496)="","",INDEX(Raw_D2!$E$2:$E$1001,$AQ496)),IF($AR496&lt;&gt;"",IF(INDEX(Raw_D3!$M$2:$M$1001,$AR496)="","",INDEX(Raw_D3!$M$2:$M$1001,$AR496)),"")))</f>
        <v>0.194</v>
      </c>
      <c r="N496" s="5">
        <f>IF($A496="","",IF($AQ496&lt;&gt;"",IF(INDEX(Raw_D2!$F$2:$F$1001,$AQ496)="","",INDEX(Raw_D2!$F$2:$F$1001,$AQ496)),IF($AR496&lt;&gt;"",IF(INDEX(Raw_D3!$N$2:$N$1001,$AR496)="","",INDEX(Raw_D3!$N$2:$N$1001,$AR496)),"")))</f>
        <v>11</v>
      </c>
      <c r="O496" s="5">
        <f>IF($A496="","",IF($AQ496&lt;&gt;"",IF(INDEX(Raw_D2!$G$2:$G$1001,$AQ496)="","",INDEX(Raw_D2!$G$2:$G$1001,$AQ496)),IF($AR496&lt;&gt;"",IF(INDEX(Raw_D3!$O$2:$O$1001,$AR496)="","",INDEX(Raw_D3!$O$2:$O$1001,$AR496)),"")))</f>
        <v>72</v>
      </c>
      <c r="P496" s="5">
        <f>IF($A496="","",IF($AQ496&lt;&gt;"",IF(INDEX(Raw_D2!$H$2:$H$1001,$AQ496)="","",INDEX(Raw_D2!$H$2:$H$1001,$AQ496)),IF($AR496&lt;&gt;"",IF(INDEX(Raw_D3!$P$2:$P$1001,$AR496)="","",INDEX(Raw_D3!$P$2:$P$1001,$AR496)),"")))</f>
        <v>83</v>
      </c>
      <c r="Q496" s="5" t="str">
        <f>IF($A496="","",IF(AND($AP496&lt;&gt;"",$AQ496&lt;&gt;""),"D1+D2",IF($AR496&lt;&gt;"","D3","Incomplete")))</f>
        <v>D1+D2</v>
      </c>
      <c r="R496" s="17">
        <f>IF($A496="","",IF($K496="",IF($J496="","",ROUND(Lookups!$K$5+Lookups!$K$4*$J496,4)),$K496))</f>
        <v>0.1364</v>
      </c>
      <c r="S496" s="5" t="str">
        <f>IF($A496="","",IF($K496="","Imputed","Original"))</f>
        <v>Original</v>
      </c>
      <c r="T496" s="5" t="str">
        <f>IF($A496="","",IF($P496="","Missing",IF($P496=$N496+$O496,"OK","Mismatch")))</f>
        <v>OK</v>
      </c>
      <c r="U496" s="5" t="str">
        <f>IF($A496="","",IF(COUNTIF($A$2:$A496,$A496)&gt;1,"Duplicate","Unique"))</f>
        <v>Unique</v>
      </c>
      <c r="V496" s="5">
        <f>IF($A496="","",IF(AND($U496="Unique",ISNUMBER($P496)),1,0))</f>
        <v>1</v>
      </c>
      <c r="W496" s="5" t="str">
        <f>IF($A496="","",IF(OR($H496=0,$H496=6),"Weekend","Weekday"))</f>
        <v>Weekend</v>
      </c>
      <c r="X496" s="5" t="str">
        <f>IF($A496="","",TEXT($B496,"ddd"))</f>
        <v>Sat</v>
      </c>
      <c r="Y496" s="5" t="str">
        <f>IF($A496="","",TEXT($B496,"mmm"))</f>
        <v>Jan</v>
      </c>
      <c r="Z496" s="5" t="str">
        <f>IF($A496="","",IFERROR(VLOOKUP($C496,Lookups!$D$4:$E$7,2,FALSE),"Unknown"))</f>
        <v>Winter</v>
      </c>
      <c r="AA496" s="5" t="str">
        <f>IF($A496="","",IFERROR(VLOOKUP($I496,Lookups!$A$4:$B$7,2,FALSE),"Unknown"))</f>
        <v>Clear</v>
      </c>
      <c r="AB496" s="5" t="str">
        <f>IF($A496="","",TEXT($F496,"00")&amp;":00")</f>
        <v>16:00</v>
      </c>
      <c r="AC496" s="5" t="str">
        <f>IF($A496="","",VLOOKUP($F496,Lookups!$G$4:$H$8,2,TRUE))</f>
        <v>Evening Peak (16-19)</v>
      </c>
      <c r="AD496" s="18">
        <f>IF($A496="","",IF($J496="","",ROUND($J496*41,1)))</f>
        <v>4.9</v>
      </c>
      <c r="AE496" s="18">
        <f>IF($A496="","",IF($R496="","",ROUND($R496*50,1)))</f>
        <v>6.8</v>
      </c>
      <c r="AF496" s="5">
        <f>IF($A496="","",IF($L496="","",ROUND($L496*100,0)))</f>
        <v>28</v>
      </c>
      <c r="AG496" s="18">
        <f>IF($A496="","",IF($M496="","",ROUND($M496*67,1)))</f>
        <v>13</v>
      </c>
      <c r="AH496" s="19">
        <f>IF($A496="","",IF($P496="","",IF($P496=0,0,$O496/$P496)))</f>
        <v>0.867469879518072</v>
      </c>
      <c r="AI496" s="5" t="str">
        <f>IF($A496="","",IF($P496="","",IF($P496&gt;=Lookups!$K$7,"High",IF($P496&lt;=Lookups!$K$8,"Low","Medium"))))</f>
        <v>High</v>
      </c>
      <c r="AJ496" s="5" t="str">
        <f>IF($A496="","",IF($AD496="","",IF($AD496&lt;5,"Under 5 C",IF($AD496&lt;10,"5-10 C",IF($AD496&lt;15,"10-15 C","15 C and above")))))</f>
        <v>Under 5 C</v>
      </c>
      <c r="AK496" s="5">
        <f>IF($A496="","",IF($P496="","",$P496^2))</f>
        <v>6889</v>
      </c>
      <c r="AL496" s="18">
        <f>IF($V496&lt;&gt;1,"",AVERAGEIFS(Clean_Data!$P$2:$P$1001,Clean_Data!$F$2:$F$1001,$F496,Clean_Data!$W$2:$W$1001,$W496,Clean_Data!$V$2:$V$1001,1))</f>
        <v>103.5</v>
      </c>
      <c r="AM496" s="16">
        <f>IF($V496&lt;&gt;1,"",IFERROR(($P496-$AL496)/SQRT(MAX(0,(SUMIFS(Clean_Data!$AK$2:$AK$1001,Clean_Data!$F$2:$F$1001,$F496,Clean_Data!$W$2:$W$1001,$W496,Clean_Data!$V$2:$V$1001,1)-COUNTIFS(Clean_Data!$F$2:$F$1001,$F496,Clean_Data!$W$2:$W$1001,$W496,Clean_Data!$V$2:$V$1001,1)*$AL496^2)/(COUNTIFS(Clean_Data!$F$2:$F$1001,$F496,Clean_Data!$W$2:$W$1001,$W496,Clean_Data!$V$2:$V$1001,1)-1))),""))</f>
        <v>-0.69712940995491</v>
      </c>
      <c r="AN496" s="5" t="str">
        <f>IF($AM496="","",IF($AM496&gt;=Lookups!$K$6,"High spike",IF($AM496&lt;=-Lookups!$K$6,"Unusual low","Normal")))</f>
        <v>Normal</v>
      </c>
      <c r="AO496" s="20">
        <f>IF($V496&lt;&gt;1,"",$P496+ROW()/100000)</f>
        <v>83.00496</v>
      </c>
      <c r="AP496" s="5">
        <f>IF($A496="","",IFERROR(MATCH($A496,Raw_D1!$A$2:$A$1001,0),""))</f>
        <v>495</v>
      </c>
      <c r="AQ496" s="5">
        <f>IF($A496="","",IFERROR(MATCH($A496,Raw_D2!$B$2:$B$1001,0),""))</f>
        <v>495</v>
      </c>
      <c r="AR496" s="5">
        <f>IF($A496="","",IFERROR(MATCH($A496,Raw_D3!$A$2:$A$1001,0),""))</f>
        <v/>
      </c>
    </row>
    <row r="497" spans="1:44" x14ac:dyDescent="0.25">
      <c r="A497" s="5">
        <v>496</v>
      </c>
      <c r="B497" s="11">
        <f>IF($A497="","",IF($AP497&lt;&gt;"",INDEX(Raw_D1!$B$2:$B$1001,$AP497),IF($AR497&lt;&gt;"",INDEX(Raw_D3!$B$2:$B$1001,$AR497),"")))</f>
        <v>40565.0</v>
      </c>
      <c r="C497" s="5">
        <f>IF($A497="","",IF($AP497&lt;&gt;"",INDEX(Raw_D1!$C$2:$C$1001,$AP497),IF($AR497&lt;&gt;"",INDEX(Raw_D3!$C$2:$C$1001,$AR497),"")))</f>
        <v>1</v>
      </c>
      <c r="D497" s="5">
        <f>IF($A497="","",IF($AP497&lt;&gt;"",INDEX(Raw_D1!$D$2:$D$1001,$AP497),IF($AR497&lt;&gt;"",INDEX(Raw_D3!$D$2:$D$1001,$AR497),"")))</f>
        <v>0</v>
      </c>
      <c r="E497" s="5">
        <f>IF($A497="","",IF($AP497&lt;&gt;"",INDEX(Raw_D1!$E$2:$E$1001,$AP497),IF($AR497&lt;&gt;"",INDEX(Raw_D3!$E$2:$E$1001,$AR497),"")))</f>
        <v>1</v>
      </c>
      <c r="F497" s="5">
        <f>IF($A497="","",IF($AP497&lt;&gt;"",INDEX(Raw_D1!$F$2:$F$1001,$AP497),IF($AR497&lt;&gt;"",INDEX(Raw_D3!$F$2:$F$1001,$AR497),"")))</f>
        <v>17</v>
      </c>
      <c r="G497" s="5">
        <f>IF($A497="","",IF($AP497&lt;&gt;"",IF(INDEX(Raw_D1!$G$2:$G$1001,$AP497),1,0),IF($AR497&lt;&gt;"",IF(INDEX(Raw_D3!$G$2:$G$1001,$AR497),1,0),"")))</f>
        <v>0</v>
      </c>
      <c r="H497" s="5">
        <f>IF($A497="","",IF($AP497&lt;&gt;"",INDEX(Raw_D1!$H$2:$H$1001,$AP497),IF($AR497&lt;&gt;"",INDEX(Raw_D3!$H$2:$H$1001,$AR497),"")))</f>
        <v>6</v>
      </c>
      <c r="I497" s="5">
        <f>IF($A497="","",IF($AP497&lt;&gt;"",INDEX(Raw_D1!$I$2:$I$1001,$AP497),IF($AR497&lt;&gt;"",INDEX(Raw_D3!$I$2:$I$1001,$AR497),"")))</f>
        <v>1</v>
      </c>
      <c r="J497" s="16">
        <f>IF($A497="","",IF($AP497&lt;&gt;"",INDEX(Raw_D1!$J$2:$J$1001,$AP497),IF($AR497&lt;&gt;"",INDEX(Raw_D3!$J$2:$J$1001,$AR497),"")))</f>
        <v>0.12</v>
      </c>
      <c r="K497" s="17">
        <f>IF($A497="","",IF($AQ497&lt;&gt;"",IF(INDEX(Raw_D2!$C$2:$C$1001,$AQ497)="","",INDEX(Raw_D2!$C$2:$C$1001,$AQ497)),IF($AR497&lt;&gt;"",IF(INDEX(Raw_D3!$K$2:$K$1001,$AR497)="","",INDEX(Raw_D3!$K$2:$K$1001,$AR497)),"")))</f>
        <v>0.197</v>
      </c>
      <c r="L497" s="16">
        <f>IF($A497="","",IF($AQ497&lt;&gt;"",IF(INDEX(Raw_D2!$D$2:$D$1001,$AQ497)="","",INDEX(Raw_D2!$D$2:$D$1001,$AQ497)),IF($AR497&lt;&gt;"",IF(INDEX(Raw_D3!$L$2:$L$1001,$AR497)="","",INDEX(Raw_D3!$L$2:$L$1001,$AR497)),"")))</f>
        <v>0.28</v>
      </c>
      <c r="M497" s="17">
        <f>IF($A497="","",IF($AQ497&lt;&gt;"",IF(INDEX(Raw_D2!$E$2:$E$1001,$AQ497)="","",INDEX(Raw_D2!$E$2:$E$1001,$AQ497)),IF($AR497&lt;&gt;"",IF(INDEX(Raw_D3!$M$2:$M$1001,$AR497)="","",INDEX(Raw_D3!$M$2:$M$1001,$AR497)),"")))</f>
        <v>0</v>
      </c>
      <c r="N497" s="5">
        <f>IF($A497="","",IF($AQ497&lt;&gt;"",IF(INDEX(Raw_D2!$F$2:$F$1001,$AQ497)="","",INDEX(Raw_D2!$F$2:$F$1001,$AQ497)),IF($AR497&lt;&gt;"",IF(INDEX(Raw_D3!$N$2:$N$1001,$AR497)="","",INDEX(Raw_D3!$N$2:$N$1001,$AR497)),"")))</f>
        <v>8</v>
      </c>
      <c r="O497" s="5">
        <f>IF($A497="","",IF($AQ497&lt;&gt;"",IF(INDEX(Raw_D2!$G$2:$G$1001,$AQ497)="","",INDEX(Raw_D2!$G$2:$G$1001,$AQ497)),IF($AR497&lt;&gt;"",IF(INDEX(Raw_D3!$O$2:$O$1001,$AR497)="","",INDEX(Raw_D3!$O$2:$O$1001,$AR497)),"")))</f>
        <v>59</v>
      </c>
      <c r="P497" s="5">
        <f>IF($A497="","",IF($AQ497&lt;&gt;"",IF(INDEX(Raw_D2!$H$2:$H$1001,$AQ497)="","",INDEX(Raw_D2!$H$2:$H$1001,$AQ497)),IF($AR497&lt;&gt;"",IF(INDEX(Raw_D3!$P$2:$P$1001,$AR497)="","",INDEX(Raw_D3!$P$2:$P$1001,$AR497)),"")))</f>
        <v>67</v>
      </c>
      <c r="Q497" s="5" t="str">
        <f>IF($A497="","",IF(AND($AP497&lt;&gt;"",$AQ497&lt;&gt;""),"D1+D2",IF($AR497&lt;&gt;"","D3","Incomplete")))</f>
        <v>D1+D2</v>
      </c>
      <c r="R497" s="17">
        <f>IF($A497="","",IF($K497="",IF($J497="","",ROUND(Lookups!$K$5+Lookups!$K$4*$J497,4)),$K497))</f>
        <v>0.197</v>
      </c>
      <c r="S497" s="5" t="str">
        <f>IF($A497="","",IF($K497="","Imputed","Original"))</f>
        <v>Original</v>
      </c>
      <c r="T497" s="5" t="str">
        <f>IF($A497="","",IF($P497="","Missing",IF($P497=$N497+$O497,"OK","Mismatch")))</f>
        <v>OK</v>
      </c>
      <c r="U497" s="5" t="str">
        <f>IF($A497="","",IF(COUNTIF($A$2:$A497,$A497)&gt;1,"Duplicate","Unique"))</f>
        <v>Unique</v>
      </c>
      <c r="V497" s="5">
        <f>IF($A497="","",IF(AND($U497="Unique",ISNUMBER($P497)),1,0))</f>
        <v>1</v>
      </c>
      <c r="W497" s="5" t="str">
        <f>IF($A497="","",IF(OR($H497=0,$H497=6),"Weekend","Weekday"))</f>
        <v>Weekend</v>
      </c>
      <c r="X497" s="5" t="str">
        <f>IF($A497="","",TEXT($B497,"ddd"))</f>
        <v>Sat</v>
      </c>
      <c r="Y497" s="5" t="str">
        <f>IF($A497="","",TEXT($B497,"mmm"))</f>
        <v>Jan</v>
      </c>
      <c r="Z497" s="5" t="str">
        <f>IF($A497="","",IFERROR(VLOOKUP($C497,Lookups!$D$4:$E$7,2,FALSE),"Unknown"))</f>
        <v>Winter</v>
      </c>
      <c r="AA497" s="5" t="str">
        <f>IF($A497="","",IFERROR(VLOOKUP($I497,Lookups!$A$4:$B$7,2,FALSE),"Unknown"))</f>
        <v>Clear</v>
      </c>
      <c r="AB497" s="5" t="str">
        <f>IF($A497="","",TEXT($F497,"00")&amp;":00")</f>
        <v>17:00</v>
      </c>
      <c r="AC497" s="5" t="str">
        <f>IF($A497="","",VLOOKUP($F497,Lookups!$G$4:$H$8,2,TRUE))</f>
        <v>Evening Peak (16-19)</v>
      </c>
      <c r="AD497" s="18">
        <f>IF($A497="","",IF($J497="","",ROUND($J497*41,1)))</f>
        <v>4.9</v>
      </c>
      <c r="AE497" s="18">
        <f>IF($A497="","",IF($R497="","",ROUND($R497*50,1)))</f>
        <v>9.9</v>
      </c>
      <c r="AF497" s="5">
        <f>IF($A497="","",IF($L497="","",ROUND($L497*100,0)))</f>
        <v>28</v>
      </c>
      <c r="AG497" s="18">
        <f>IF($A497="","",IF($M497="","",ROUND($M497*67,1)))</f>
        <v>0</v>
      </c>
      <c r="AH497" s="19">
        <f>IF($A497="","",IF($P497="","",IF($P497=0,0,$O497/$P497)))</f>
        <v>0.880597014925373</v>
      </c>
      <c r="AI497" s="5" t="str">
        <f>IF($A497="","",IF($P497="","",IF($P497&gt;=Lookups!$K$7,"High",IF($P497&lt;=Lookups!$K$8,"Low","Medium"))))</f>
        <v>Medium</v>
      </c>
      <c r="AJ497" s="5" t="str">
        <f>IF($A497="","",IF($AD497="","",IF($AD497&lt;5,"Under 5 C",IF($AD497&lt;10,"5-10 C",IF($AD497&lt;15,"10-15 C","15 C and above")))))</f>
        <v>Under 5 C</v>
      </c>
      <c r="AK497" s="5">
        <f>IF($A497="","",IF($P497="","",$P497^2))</f>
        <v>4489</v>
      </c>
      <c r="AL497" s="18">
        <f>IF($V497&lt;&gt;1,"",AVERAGEIFS(Clean_Data!$P$2:$P$1001,Clean_Data!$F$2:$F$1001,$F497,Clean_Data!$W$2:$W$1001,$W497,Clean_Data!$V$2:$V$1001,1))</f>
        <v>85.8571428571429</v>
      </c>
      <c r="AM497" s="16">
        <f>IF($V497&lt;&gt;1,"",IFERROR(($P497-$AL497)/SQRT(MAX(0,(SUMIFS(Clean_Data!$AK$2:$AK$1001,Clean_Data!$F$2:$F$1001,$F497,Clean_Data!$W$2:$W$1001,$W497,Clean_Data!$V$2:$V$1001,1)-COUNTIFS(Clean_Data!$F$2:$F$1001,$F497,Clean_Data!$W$2:$W$1001,$W497,Clean_Data!$V$2:$V$1001,1)*$AL497^2)/(COUNTIFS(Clean_Data!$F$2:$F$1001,$F497,Clean_Data!$W$2:$W$1001,$W497,Clean_Data!$V$2:$V$1001,1)-1))),""))</f>
        <v>-0.721682061766472</v>
      </c>
      <c r="AN497" s="5" t="str">
        <f>IF($AM497="","",IF($AM497&gt;=Lookups!$K$6,"High spike",IF($AM497&lt;=-Lookups!$K$6,"Unusual low","Normal")))</f>
        <v>Normal</v>
      </c>
      <c r="AO497" s="20">
        <f>IF($V497&lt;&gt;1,"",$P497+ROW()/100000)</f>
        <v>67.00497</v>
      </c>
      <c r="AP497" s="5">
        <f>IF($A497="","",IFERROR(MATCH($A497,Raw_D1!$A$2:$A$1001,0),""))</f>
        <v>496</v>
      </c>
      <c r="AQ497" s="5">
        <f>IF($A497="","",IFERROR(MATCH($A497,Raw_D2!$B$2:$B$1001,0),""))</f>
        <v>496</v>
      </c>
      <c r="AR497" s="5">
        <f>IF($A497="","",IFERROR(MATCH($A497,Raw_D3!$A$2:$A$1001,0),""))</f>
        <v/>
      </c>
    </row>
    <row r="498" spans="1:44" x14ac:dyDescent="0.25">
      <c r="A498" s="5">
        <v>497</v>
      </c>
      <c r="B498" s="11">
        <f>IF($A498="","",IF($AP498&lt;&gt;"",INDEX(Raw_D1!$B$2:$B$1001,$AP498),IF($AR498&lt;&gt;"",INDEX(Raw_D3!$B$2:$B$1001,$AR498),"")))</f>
        <v>40565.0</v>
      </c>
      <c r="C498" s="5">
        <f>IF($A498="","",IF($AP498&lt;&gt;"",INDEX(Raw_D1!$C$2:$C$1001,$AP498),IF($AR498&lt;&gt;"",INDEX(Raw_D3!$C$2:$C$1001,$AR498),"")))</f>
        <v>1</v>
      </c>
      <c r="D498" s="5">
        <f>IF($A498="","",IF($AP498&lt;&gt;"",INDEX(Raw_D1!$D$2:$D$1001,$AP498),IF($AR498&lt;&gt;"",INDEX(Raw_D3!$D$2:$D$1001,$AR498),"")))</f>
        <v>0</v>
      </c>
      <c r="E498" s="5">
        <f>IF($A498="","",IF($AP498&lt;&gt;"",INDEX(Raw_D1!$E$2:$E$1001,$AP498),IF($AR498&lt;&gt;"",INDEX(Raw_D3!$E$2:$E$1001,$AR498),"")))</f>
        <v>1</v>
      </c>
      <c r="F498" s="5">
        <f>IF($A498="","",IF($AP498&lt;&gt;"",INDEX(Raw_D1!$F$2:$F$1001,$AP498),IF($AR498&lt;&gt;"",INDEX(Raw_D3!$F$2:$F$1001,$AR498),"")))</f>
        <v>18</v>
      </c>
      <c r="G498" s="5">
        <f>IF($A498="","",IF($AP498&lt;&gt;"",IF(INDEX(Raw_D1!$G$2:$G$1001,$AP498),1,0),IF($AR498&lt;&gt;"",IF(INDEX(Raw_D3!$G$2:$G$1001,$AR498),1,0),"")))</f>
        <v>0</v>
      </c>
      <c r="H498" s="5">
        <f>IF($A498="","",IF($AP498&lt;&gt;"",INDEX(Raw_D1!$H$2:$H$1001,$AP498),IF($AR498&lt;&gt;"",INDEX(Raw_D3!$H$2:$H$1001,$AR498),"")))</f>
        <v>6</v>
      </c>
      <c r="I498" s="5">
        <f>IF($A498="","",IF($AP498&lt;&gt;"",INDEX(Raw_D1!$I$2:$I$1001,$AP498),IF($AR498&lt;&gt;"",INDEX(Raw_D3!$I$2:$I$1001,$AR498),"")))</f>
        <v>1</v>
      </c>
      <c r="J498" s="16">
        <f>IF($A498="","",IF($AP498&lt;&gt;"",INDEX(Raw_D1!$J$2:$J$1001,$AP498),IF($AR498&lt;&gt;"",INDEX(Raw_D3!$J$2:$J$1001,$AR498),"")))</f>
        <v>0.08</v>
      </c>
      <c r="K498" s="17">
        <f>IF($A498="","",IF($AQ498&lt;&gt;"",IF(INDEX(Raw_D2!$C$2:$C$1001,$AQ498)="","",INDEX(Raw_D2!$C$2:$C$1001,$AQ498)),IF($AR498&lt;&gt;"",IF(INDEX(Raw_D3!$K$2:$K$1001,$AR498)="","",INDEX(Raw_D3!$K$2:$K$1001,$AR498)),"")))</f>
        <v>0.0909</v>
      </c>
      <c r="L498" s="16">
        <f>IF($A498="","",IF($AQ498&lt;&gt;"",IF(INDEX(Raw_D2!$D$2:$D$1001,$AQ498)="","",INDEX(Raw_D2!$D$2:$D$1001,$AQ498)),IF($AR498&lt;&gt;"",IF(INDEX(Raw_D3!$L$2:$L$1001,$AR498)="","",INDEX(Raw_D3!$L$2:$L$1001,$AR498)),"")))</f>
        <v>0.35</v>
      </c>
      <c r="M498" s="17">
        <f>IF($A498="","",IF($AQ498&lt;&gt;"",IF(INDEX(Raw_D2!$E$2:$E$1001,$AQ498)="","",INDEX(Raw_D2!$E$2:$E$1001,$AQ498)),IF($AR498&lt;&gt;"",IF(INDEX(Raw_D3!$M$2:$M$1001,$AR498)="","",INDEX(Raw_D3!$M$2:$M$1001,$AR498)),"")))</f>
        <v>0.194</v>
      </c>
      <c r="N498" s="5">
        <f>IF($A498="","",IF($AQ498&lt;&gt;"",IF(INDEX(Raw_D2!$F$2:$F$1001,$AQ498)="","",INDEX(Raw_D2!$F$2:$F$1001,$AQ498)),IF($AR498&lt;&gt;"",IF(INDEX(Raw_D3!$N$2:$N$1001,$AR498)="","",INDEX(Raw_D3!$N$2:$N$1001,$AR498)),"")))</f>
        <v>0</v>
      </c>
      <c r="O498" s="5">
        <f>IF($A498="","",IF($AQ498&lt;&gt;"",IF(INDEX(Raw_D2!$G$2:$G$1001,$AQ498)="","",INDEX(Raw_D2!$G$2:$G$1001,$AQ498)),IF($AR498&lt;&gt;"",IF(INDEX(Raw_D3!$O$2:$O$1001,$AR498)="","",INDEX(Raw_D3!$O$2:$O$1001,$AR498)),"")))</f>
        <v>54</v>
      </c>
      <c r="P498" s="5">
        <f>IF($A498="","",IF($AQ498&lt;&gt;"",IF(INDEX(Raw_D2!$H$2:$H$1001,$AQ498)="","",INDEX(Raw_D2!$H$2:$H$1001,$AQ498)),IF($AR498&lt;&gt;"",IF(INDEX(Raw_D3!$P$2:$P$1001,$AR498)="","",INDEX(Raw_D3!$P$2:$P$1001,$AR498)),"")))</f>
        <v>54</v>
      </c>
      <c r="Q498" s="5" t="str">
        <f>IF($A498="","",IF(AND($AP498&lt;&gt;"",$AQ498&lt;&gt;""),"D1+D2",IF($AR498&lt;&gt;"","D3","Incomplete")))</f>
        <v>D1+D2</v>
      </c>
      <c r="R498" s="17">
        <f>IF($A498="","",IF($K498="",IF($J498="","",ROUND(Lookups!$K$5+Lookups!$K$4*$J498,4)),$K498))</f>
        <v>0.0909</v>
      </c>
      <c r="S498" s="5" t="str">
        <f>IF($A498="","",IF($K498="","Imputed","Original"))</f>
        <v>Original</v>
      </c>
      <c r="T498" s="5" t="str">
        <f>IF($A498="","",IF($P498="","Missing",IF($P498=$N498+$O498,"OK","Mismatch")))</f>
        <v>OK</v>
      </c>
      <c r="U498" s="5" t="str">
        <f>IF($A498="","",IF(COUNTIF($A$2:$A498,$A498)&gt;1,"Duplicate","Unique"))</f>
        <v>Unique</v>
      </c>
      <c r="V498" s="5">
        <f>IF($A498="","",IF(AND($U498="Unique",ISNUMBER($P498)),1,0))</f>
        <v>1</v>
      </c>
      <c r="W498" s="5" t="str">
        <f>IF($A498="","",IF(OR($H498=0,$H498=6),"Weekend","Weekday"))</f>
        <v>Weekend</v>
      </c>
      <c r="X498" s="5" t="str">
        <f>IF($A498="","",TEXT($B498,"ddd"))</f>
        <v>Sat</v>
      </c>
      <c r="Y498" s="5" t="str">
        <f>IF($A498="","",TEXT($B498,"mmm"))</f>
        <v>Jan</v>
      </c>
      <c r="Z498" s="5" t="str">
        <f>IF($A498="","",IFERROR(VLOOKUP($C498,Lookups!$D$4:$E$7,2,FALSE),"Unknown"))</f>
        <v>Winter</v>
      </c>
      <c r="AA498" s="5" t="str">
        <f>IF($A498="","",IFERROR(VLOOKUP($I498,Lookups!$A$4:$B$7,2,FALSE),"Unknown"))</f>
        <v>Clear</v>
      </c>
      <c r="AB498" s="5" t="str">
        <f>IF($A498="","",TEXT($F498,"00")&amp;":00")</f>
        <v>18:00</v>
      </c>
      <c r="AC498" s="5" t="str">
        <f>IF($A498="","",VLOOKUP($F498,Lookups!$G$4:$H$8,2,TRUE))</f>
        <v>Evening Peak (16-19)</v>
      </c>
      <c r="AD498" s="18">
        <f>IF($A498="","",IF($J498="","",ROUND($J498*41,1)))</f>
        <v>3.3</v>
      </c>
      <c r="AE498" s="18">
        <f>IF($A498="","",IF($R498="","",ROUND($R498*50,1)))</f>
        <v>4.5</v>
      </c>
      <c r="AF498" s="5">
        <f>IF($A498="","",IF($L498="","",ROUND($L498*100,0)))</f>
        <v>35</v>
      </c>
      <c r="AG498" s="18">
        <f>IF($A498="","",IF($M498="","",ROUND($M498*67,1)))</f>
        <v>13</v>
      </c>
      <c r="AH498" s="19">
        <f>IF($A498="","",IF($P498="","",IF($P498=0,0,$O498/$P498)))</f>
        <v>1</v>
      </c>
      <c r="AI498" s="5" t="str">
        <f>IF($A498="","",IF($P498="","",IF($P498&gt;=Lookups!$K$7,"High",IF($P498&lt;=Lookups!$K$8,"Low","Medium"))))</f>
        <v>Medium</v>
      </c>
      <c r="AJ498" s="5" t="str">
        <f>IF($A498="","",IF($AD498="","",IF($AD498&lt;5,"Under 5 C",IF($AD498&lt;10,"5-10 C",IF($AD498&lt;15,"10-15 C","15 C and above")))))</f>
        <v>Under 5 C</v>
      </c>
      <c r="AK498" s="5">
        <f>IF($A498="","",IF($P498="","",$P498^2))</f>
        <v>2916</v>
      </c>
      <c r="AL498" s="18">
        <f>IF($V498&lt;&gt;1,"",AVERAGEIFS(Clean_Data!$P$2:$P$1001,Clean_Data!$F$2:$F$1001,$F498,Clean_Data!$W$2:$W$1001,$W498,Clean_Data!$V$2:$V$1001,1))</f>
        <v>64.1428571428571</v>
      </c>
      <c r="AM498" s="16">
        <f>IF($V498&lt;&gt;1,"",IFERROR(($P498-$AL498)/SQRT(MAX(0,(SUMIFS(Clean_Data!$AK$2:$AK$1001,Clean_Data!$F$2:$F$1001,$F498,Clean_Data!$W$2:$W$1001,$W498,Clean_Data!$V$2:$V$1001,1)-COUNTIFS(Clean_Data!$F$2:$F$1001,$F498,Clean_Data!$W$2:$W$1001,$W498,Clean_Data!$V$2:$V$1001,1)*$AL498^2)/(COUNTIFS(Clean_Data!$F$2:$F$1001,$F498,Clean_Data!$W$2:$W$1001,$W498,Clean_Data!$V$2:$V$1001,1)-1))),""))</f>
        <v>-0.612261500034492</v>
      </c>
      <c r="AN498" s="5" t="str">
        <f>IF($AM498="","",IF($AM498&gt;=Lookups!$K$6,"High spike",IF($AM498&lt;=-Lookups!$K$6,"Unusual low","Normal")))</f>
        <v>Normal</v>
      </c>
      <c r="AO498" s="20">
        <f>IF($V498&lt;&gt;1,"",$P498+ROW()/100000)</f>
        <v>54.00498</v>
      </c>
      <c r="AP498" s="5">
        <f>IF($A498="","",IFERROR(MATCH($A498,Raw_D1!$A$2:$A$1001,0),""))</f>
        <v>497</v>
      </c>
      <c r="AQ498" s="5">
        <f>IF($A498="","",IFERROR(MATCH($A498,Raw_D2!$B$2:$B$1001,0),""))</f>
        <v>497</v>
      </c>
      <c r="AR498" s="5">
        <f>IF($A498="","",IFERROR(MATCH($A498,Raw_D3!$A$2:$A$1001,0),""))</f>
        <v/>
      </c>
    </row>
    <row r="499" spans="1:44" x14ac:dyDescent="0.25">
      <c r="A499" s="5">
        <v>498</v>
      </c>
      <c r="B499" s="11">
        <f>IF($A499="","",IF($AP499&lt;&gt;"",INDEX(Raw_D1!$B$2:$B$1001,$AP499),IF($AR499&lt;&gt;"",INDEX(Raw_D3!$B$2:$B$1001,$AR499),"")))</f>
        <v>40565.0</v>
      </c>
      <c r="C499" s="5">
        <f>IF($A499="","",IF($AP499&lt;&gt;"",INDEX(Raw_D1!$C$2:$C$1001,$AP499),IF($AR499&lt;&gt;"",INDEX(Raw_D3!$C$2:$C$1001,$AR499),"")))</f>
        <v>1</v>
      </c>
      <c r="D499" s="5">
        <f>IF($A499="","",IF($AP499&lt;&gt;"",INDEX(Raw_D1!$D$2:$D$1001,$AP499),IF($AR499&lt;&gt;"",INDEX(Raw_D3!$D$2:$D$1001,$AR499),"")))</f>
        <v>0</v>
      </c>
      <c r="E499" s="5">
        <f>IF($A499="","",IF($AP499&lt;&gt;"",INDEX(Raw_D1!$E$2:$E$1001,$AP499),IF($AR499&lt;&gt;"",INDEX(Raw_D3!$E$2:$E$1001,$AR499),"")))</f>
        <v>1</v>
      </c>
      <c r="F499" s="5">
        <f>IF($A499="","",IF($AP499&lt;&gt;"",INDEX(Raw_D1!$F$2:$F$1001,$AP499),IF($AR499&lt;&gt;"",INDEX(Raw_D3!$F$2:$F$1001,$AR499),"")))</f>
        <v>19</v>
      </c>
      <c r="G499" s="5">
        <f>IF($A499="","",IF($AP499&lt;&gt;"",IF(INDEX(Raw_D1!$G$2:$G$1001,$AP499),1,0),IF($AR499&lt;&gt;"",IF(INDEX(Raw_D3!$G$2:$G$1001,$AR499),1,0),"")))</f>
        <v>0</v>
      </c>
      <c r="H499" s="5">
        <f>IF($A499="","",IF($AP499&lt;&gt;"",INDEX(Raw_D1!$H$2:$H$1001,$AP499),IF($AR499&lt;&gt;"",INDEX(Raw_D3!$H$2:$H$1001,$AR499),"")))</f>
        <v>6</v>
      </c>
      <c r="I499" s="5">
        <f>IF($A499="","",IF($AP499&lt;&gt;"",INDEX(Raw_D1!$I$2:$I$1001,$AP499),IF($AR499&lt;&gt;"",INDEX(Raw_D3!$I$2:$I$1001,$AR499),"")))</f>
        <v>1</v>
      </c>
      <c r="J499" s="16">
        <f>IF($A499="","",IF($AP499&lt;&gt;"",INDEX(Raw_D1!$J$2:$J$1001,$AP499),IF($AR499&lt;&gt;"",INDEX(Raw_D3!$J$2:$J$1001,$AR499),"")))</f>
        <v>0.08</v>
      </c>
      <c r="K499" s="17">
        <f>IF($A499="","",IF($AQ499&lt;&gt;"",IF(INDEX(Raw_D2!$C$2:$C$1001,$AQ499)="","",INDEX(Raw_D2!$C$2:$C$1001,$AQ499)),IF($AR499&lt;&gt;"",IF(INDEX(Raw_D3!$K$2:$K$1001,$AR499)="","",INDEX(Raw_D3!$K$2:$K$1001,$AR499)),"")))</f>
        <v>0.1061</v>
      </c>
      <c r="L499" s="16">
        <f>IF($A499="","",IF($AQ499&lt;&gt;"",IF(INDEX(Raw_D2!$D$2:$D$1001,$AQ499)="","",INDEX(Raw_D2!$D$2:$D$1001,$AQ499)),IF($AR499&lt;&gt;"",IF(INDEX(Raw_D3!$L$2:$L$1001,$AR499)="","",INDEX(Raw_D3!$L$2:$L$1001,$AR499)),"")))</f>
        <v>0.35</v>
      </c>
      <c r="M499" s="17">
        <f>IF($A499="","",IF($AQ499&lt;&gt;"",IF(INDEX(Raw_D2!$E$2:$E$1001,$AQ499)="","",INDEX(Raw_D2!$E$2:$E$1001,$AQ499)),IF($AR499&lt;&gt;"",IF(INDEX(Raw_D3!$M$2:$M$1001,$AR499)="","",INDEX(Raw_D3!$M$2:$M$1001,$AR499)),"")))</f>
        <v>0.1343</v>
      </c>
      <c r="N499" s="5">
        <f>IF($A499="","",IF($AQ499&lt;&gt;"",IF(INDEX(Raw_D2!$F$2:$F$1001,$AQ499)="","",INDEX(Raw_D2!$F$2:$F$1001,$AQ499)),IF($AR499&lt;&gt;"",IF(INDEX(Raw_D3!$N$2:$N$1001,$AR499)="","",INDEX(Raw_D3!$N$2:$N$1001,$AR499)),"")))</f>
        <v>6</v>
      </c>
      <c r="O499" s="5">
        <f>IF($A499="","",IF($AQ499&lt;&gt;"",IF(INDEX(Raw_D2!$G$2:$G$1001,$AQ499)="","",INDEX(Raw_D2!$G$2:$G$1001,$AQ499)),IF($AR499&lt;&gt;"",IF(INDEX(Raw_D3!$O$2:$O$1001,$AR499)="","",INDEX(Raw_D3!$O$2:$O$1001,$AR499)),"")))</f>
        <v>53</v>
      </c>
      <c r="P499" s="5">
        <f>IF($A499="","",IF($AQ499&lt;&gt;"",IF(INDEX(Raw_D2!$H$2:$H$1001,$AQ499)="","",INDEX(Raw_D2!$H$2:$H$1001,$AQ499)),IF($AR499&lt;&gt;"",IF(INDEX(Raw_D3!$P$2:$P$1001,$AR499)="","",INDEX(Raw_D3!$P$2:$P$1001,$AR499)),"")))</f>
        <v>59</v>
      </c>
      <c r="Q499" s="5" t="str">
        <f>IF($A499="","",IF(AND($AP499&lt;&gt;"",$AQ499&lt;&gt;""),"D1+D2",IF($AR499&lt;&gt;"","D3","Incomplete")))</f>
        <v>D1+D2</v>
      </c>
      <c r="R499" s="17">
        <f>IF($A499="","",IF($K499="",IF($J499="","",ROUND(Lookups!$K$5+Lookups!$K$4*$J499,4)),$K499))</f>
        <v>0.1061</v>
      </c>
      <c r="S499" s="5" t="str">
        <f>IF($A499="","",IF($K499="","Imputed","Original"))</f>
        <v>Original</v>
      </c>
      <c r="T499" s="5" t="str">
        <f>IF($A499="","",IF($P499="","Missing",IF($P499=$N499+$O499,"OK","Mismatch")))</f>
        <v>OK</v>
      </c>
      <c r="U499" s="5" t="str">
        <f>IF($A499="","",IF(COUNTIF($A$2:$A499,$A499)&gt;1,"Duplicate","Unique"))</f>
        <v>Unique</v>
      </c>
      <c r="V499" s="5">
        <f>IF($A499="","",IF(AND($U499="Unique",ISNUMBER($P499)),1,0))</f>
        <v>1</v>
      </c>
      <c r="W499" s="5" t="str">
        <f>IF($A499="","",IF(OR($H499=0,$H499=6),"Weekend","Weekday"))</f>
        <v>Weekend</v>
      </c>
      <c r="X499" s="5" t="str">
        <f>IF($A499="","",TEXT($B499,"ddd"))</f>
        <v>Sat</v>
      </c>
      <c r="Y499" s="5" t="str">
        <f>IF($A499="","",TEXT($B499,"mmm"))</f>
        <v>Jan</v>
      </c>
      <c r="Z499" s="5" t="str">
        <f>IF($A499="","",IFERROR(VLOOKUP($C499,Lookups!$D$4:$E$7,2,FALSE),"Unknown"))</f>
        <v>Winter</v>
      </c>
      <c r="AA499" s="5" t="str">
        <f>IF($A499="","",IFERROR(VLOOKUP($I499,Lookups!$A$4:$B$7,2,FALSE),"Unknown"))</f>
        <v>Clear</v>
      </c>
      <c r="AB499" s="5" t="str">
        <f>IF($A499="","",TEXT($F499,"00")&amp;":00")</f>
        <v>19:00</v>
      </c>
      <c r="AC499" s="5" t="str">
        <f>IF($A499="","",VLOOKUP($F499,Lookups!$G$4:$H$8,2,TRUE))</f>
        <v>Evening Peak (16-19)</v>
      </c>
      <c r="AD499" s="18">
        <f>IF($A499="","",IF($J499="","",ROUND($J499*41,1)))</f>
        <v>3.3</v>
      </c>
      <c r="AE499" s="18">
        <f>IF($A499="","",IF($R499="","",ROUND($R499*50,1)))</f>
        <v>5.3</v>
      </c>
      <c r="AF499" s="5">
        <f>IF($A499="","",IF($L499="","",ROUND($L499*100,0)))</f>
        <v>35</v>
      </c>
      <c r="AG499" s="18">
        <f>IF($A499="","",IF($M499="","",ROUND($M499*67,1)))</f>
        <v>9</v>
      </c>
      <c r="AH499" s="19">
        <f>IF($A499="","",IF($P499="","",IF($P499=0,0,$O499/$P499)))</f>
        <v>0.898305084745763</v>
      </c>
      <c r="AI499" s="5" t="str">
        <f>IF($A499="","",IF($P499="","",IF($P499&gt;=Lookups!$K$7,"High",IF($P499&lt;=Lookups!$K$8,"Low","Medium"))))</f>
        <v>Medium</v>
      </c>
      <c r="AJ499" s="5" t="str">
        <f>IF($A499="","",IF($AD499="","",IF($AD499&lt;5,"Under 5 C",IF($AD499&lt;10,"5-10 C",IF($AD499&lt;15,"10-15 C","15 C and above")))))</f>
        <v>Under 5 C</v>
      </c>
      <c r="AK499" s="5">
        <f>IF($A499="","",IF($P499="","",$P499^2))</f>
        <v>3481</v>
      </c>
      <c r="AL499" s="18">
        <f>IF($V499&lt;&gt;1,"",AVERAGEIFS(Clean_Data!$P$2:$P$1001,Clean_Data!$F$2:$F$1001,$F499,Clean_Data!$W$2:$W$1001,$W499,Clean_Data!$V$2:$V$1001,1))</f>
        <v>50.1428571428571</v>
      </c>
      <c r="AM499" s="16">
        <f>IF($V499&lt;&gt;1,"",IFERROR(($P499-$AL499)/SQRT(MAX(0,(SUMIFS(Clean_Data!$AK$2:$AK$1001,Clean_Data!$F$2:$F$1001,$F499,Clean_Data!$W$2:$W$1001,$W499,Clean_Data!$V$2:$V$1001,1)-COUNTIFS(Clean_Data!$F$2:$F$1001,$F499,Clean_Data!$W$2:$W$1001,$W499,Clean_Data!$V$2:$V$1001,1)*$AL499^2)/(COUNTIFS(Clean_Data!$F$2:$F$1001,$F499,Clean_Data!$W$2:$W$1001,$W499,Clean_Data!$V$2:$V$1001,1)-1))),""))</f>
        <v>0.497786044003048</v>
      </c>
      <c r="AN499" s="5" t="str">
        <f>IF($AM499="","",IF($AM499&gt;=Lookups!$K$6,"High spike",IF($AM499&lt;=-Lookups!$K$6,"Unusual low","Normal")))</f>
        <v>Normal</v>
      </c>
      <c r="AO499" s="20">
        <f>IF($V499&lt;&gt;1,"",$P499+ROW()/100000)</f>
        <v>59.00499</v>
      </c>
      <c r="AP499" s="5">
        <f>IF($A499="","",IFERROR(MATCH($A499,Raw_D1!$A$2:$A$1001,0),""))</f>
        <v>498</v>
      </c>
      <c r="AQ499" s="5">
        <f>IF($A499="","",IFERROR(MATCH($A499,Raw_D2!$B$2:$B$1001,0),""))</f>
        <v>498</v>
      </c>
      <c r="AR499" s="5">
        <f>IF($A499="","",IFERROR(MATCH($A499,Raw_D3!$A$2:$A$1001,0),""))</f>
        <v/>
      </c>
    </row>
    <row r="500" spans="1:44" x14ac:dyDescent="0.25">
      <c r="A500" s="5">
        <v>499</v>
      </c>
      <c r="B500" s="11">
        <f>IF($A500="","",IF($AP500&lt;&gt;"",INDEX(Raw_D1!$B$2:$B$1001,$AP500),IF($AR500&lt;&gt;"",INDEX(Raw_D3!$B$2:$B$1001,$AR500),"")))</f>
        <v>40565.0</v>
      </c>
      <c r="C500" s="5">
        <f>IF($A500="","",IF($AP500&lt;&gt;"",INDEX(Raw_D1!$C$2:$C$1001,$AP500),IF($AR500&lt;&gt;"",INDEX(Raw_D3!$C$2:$C$1001,$AR500),"")))</f>
        <v>1</v>
      </c>
      <c r="D500" s="5">
        <f>IF($A500="","",IF($AP500&lt;&gt;"",INDEX(Raw_D1!$D$2:$D$1001,$AP500),IF($AR500&lt;&gt;"",INDEX(Raw_D3!$D$2:$D$1001,$AR500),"")))</f>
        <v>0</v>
      </c>
      <c r="E500" s="5">
        <f>IF($A500="","",IF($AP500&lt;&gt;"",INDEX(Raw_D1!$E$2:$E$1001,$AP500),IF($AR500&lt;&gt;"",INDEX(Raw_D3!$E$2:$E$1001,$AR500),"")))</f>
        <v>1</v>
      </c>
      <c r="F500" s="5">
        <f>IF($A500="","",IF($AP500&lt;&gt;"",INDEX(Raw_D1!$F$2:$F$1001,$AP500),IF($AR500&lt;&gt;"",INDEX(Raw_D3!$F$2:$F$1001,$AR500),"")))</f>
        <v>20</v>
      </c>
      <c r="G500" s="5">
        <f>IF($A500="","",IF($AP500&lt;&gt;"",IF(INDEX(Raw_D1!$G$2:$G$1001,$AP500),1,0),IF($AR500&lt;&gt;"",IF(INDEX(Raw_D3!$G$2:$G$1001,$AR500),1,0),"")))</f>
        <v>0</v>
      </c>
      <c r="H500" s="5">
        <f>IF($A500="","",IF($AP500&lt;&gt;"",INDEX(Raw_D1!$H$2:$H$1001,$AP500),IF($AR500&lt;&gt;"",INDEX(Raw_D3!$H$2:$H$1001,$AR500),"")))</f>
        <v>6</v>
      </c>
      <c r="I500" s="5">
        <f>IF($A500="","",IF($AP500&lt;&gt;"",INDEX(Raw_D1!$I$2:$I$1001,$AP500),IF($AR500&lt;&gt;"",INDEX(Raw_D3!$I$2:$I$1001,$AR500),"")))</f>
        <v>1</v>
      </c>
      <c r="J500" s="16">
        <f>IF($A500="","",IF($AP500&lt;&gt;"",INDEX(Raw_D1!$J$2:$J$1001,$AP500),IF($AR500&lt;&gt;"",INDEX(Raw_D3!$J$2:$J$1001,$AR500),"")))</f>
        <v>0.06</v>
      </c>
      <c r="K500" s="17">
        <f>IF($A500="","",IF($AQ500&lt;&gt;"",IF(INDEX(Raw_D2!$C$2:$C$1001,$AQ500)="","",INDEX(Raw_D2!$C$2:$C$1001,$AQ500)),IF($AR500&lt;&gt;"",IF(INDEX(Raw_D3!$K$2:$K$1001,$AR500)="","",INDEX(Raw_D3!$K$2:$K$1001,$AR500)),"")))</f>
        <v>0.0758</v>
      </c>
      <c r="L500" s="16">
        <f>IF($A500="","",IF($AQ500&lt;&gt;"",IF(INDEX(Raw_D2!$D$2:$D$1001,$AQ500)="","",INDEX(Raw_D2!$D$2:$D$1001,$AQ500)),IF($AR500&lt;&gt;"",IF(INDEX(Raw_D3!$L$2:$L$1001,$AR500)="","",INDEX(Raw_D3!$L$2:$L$1001,$AR500)),"")))</f>
        <v>0.45</v>
      </c>
      <c r="M500" s="17">
        <f>IF($A500="","",IF($AQ500&lt;&gt;"",IF(INDEX(Raw_D2!$E$2:$E$1001,$AQ500)="","",INDEX(Raw_D2!$E$2:$E$1001,$AQ500)),IF($AR500&lt;&gt;"",IF(INDEX(Raw_D3!$M$2:$M$1001,$AR500)="","",INDEX(Raw_D3!$M$2:$M$1001,$AR500)),"")))</f>
        <v>0.1642</v>
      </c>
      <c r="N500" s="5">
        <f>IF($A500="","",IF($AQ500&lt;&gt;"",IF(INDEX(Raw_D2!$F$2:$F$1001,$AQ500)="","",INDEX(Raw_D2!$F$2:$F$1001,$AQ500)),IF($AR500&lt;&gt;"",IF(INDEX(Raw_D3!$N$2:$N$1001,$AR500)="","",INDEX(Raw_D3!$N$2:$N$1001,$AR500)),"")))</f>
        <v>1</v>
      </c>
      <c r="O500" s="5">
        <f>IF($A500="","",IF($AQ500&lt;&gt;"",IF(INDEX(Raw_D2!$G$2:$G$1001,$AQ500)="","",INDEX(Raw_D2!$G$2:$G$1001,$AQ500)),IF($AR500&lt;&gt;"",IF(INDEX(Raw_D3!$O$2:$O$1001,$AR500)="","",INDEX(Raw_D3!$O$2:$O$1001,$AR500)),"")))</f>
        <v>44</v>
      </c>
      <c r="P500" s="5">
        <f>IF($A500="","",IF($AQ500&lt;&gt;"",IF(INDEX(Raw_D2!$H$2:$H$1001,$AQ500)="","",INDEX(Raw_D2!$H$2:$H$1001,$AQ500)),IF($AR500&lt;&gt;"",IF(INDEX(Raw_D3!$P$2:$P$1001,$AR500)="","",INDEX(Raw_D3!$P$2:$P$1001,$AR500)),"")))</f>
        <v>45</v>
      </c>
      <c r="Q500" s="5" t="str">
        <f>IF($A500="","",IF(AND($AP500&lt;&gt;"",$AQ500&lt;&gt;""),"D1+D2",IF($AR500&lt;&gt;"","D3","Incomplete")))</f>
        <v>D1+D2</v>
      </c>
      <c r="R500" s="17">
        <f>IF($A500="","",IF($K500="",IF($J500="","",ROUND(Lookups!$K$5+Lookups!$K$4*$J500,4)),$K500))</f>
        <v>0.0758</v>
      </c>
      <c r="S500" s="5" t="str">
        <f>IF($A500="","",IF($K500="","Imputed","Original"))</f>
        <v>Original</v>
      </c>
      <c r="T500" s="5" t="str">
        <f>IF($A500="","",IF($P500="","Missing",IF($P500=$N500+$O500,"OK","Mismatch")))</f>
        <v>OK</v>
      </c>
      <c r="U500" s="5" t="str">
        <f>IF($A500="","",IF(COUNTIF($A$2:$A500,$A500)&gt;1,"Duplicate","Unique"))</f>
        <v>Unique</v>
      </c>
      <c r="V500" s="5">
        <f>IF($A500="","",IF(AND($U500="Unique",ISNUMBER($P500)),1,0))</f>
        <v>1</v>
      </c>
      <c r="W500" s="5" t="str">
        <f>IF($A500="","",IF(OR($H500=0,$H500=6),"Weekend","Weekday"))</f>
        <v>Weekend</v>
      </c>
      <c r="X500" s="5" t="str">
        <f>IF($A500="","",TEXT($B500,"ddd"))</f>
        <v>Sat</v>
      </c>
      <c r="Y500" s="5" t="str">
        <f>IF($A500="","",TEXT($B500,"mmm"))</f>
        <v>Jan</v>
      </c>
      <c r="Z500" s="5" t="str">
        <f>IF($A500="","",IFERROR(VLOOKUP($C500,Lookups!$D$4:$E$7,2,FALSE),"Unknown"))</f>
        <v>Winter</v>
      </c>
      <c r="AA500" s="5" t="str">
        <f>IF($A500="","",IFERROR(VLOOKUP($I500,Lookups!$A$4:$B$7,2,FALSE),"Unknown"))</f>
        <v>Clear</v>
      </c>
      <c r="AB500" s="5" t="str">
        <f>IF($A500="","",TEXT($F500,"00")&amp;":00")</f>
        <v>20:00</v>
      </c>
      <c r="AC500" s="5" t="str">
        <f>IF($A500="","",VLOOKUP($F500,Lookups!$G$4:$H$8,2,TRUE))</f>
        <v>Late Evening (20-23)</v>
      </c>
      <c r="AD500" s="18">
        <f>IF($A500="","",IF($J500="","",ROUND($J500*41,1)))</f>
        <v>2.5</v>
      </c>
      <c r="AE500" s="18">
        <f>IF($A500="","",IF($R500="","",ROUND($R500*50,1)))</f>
        <v>3.8</v>
      </c>
      <c r="AF500" s="5">
        <f>IF($A500="","",IF($L500="","",ROUND($L500*100,0)))</f>
        <v>45</v>
      </c>
      <c r="AG500" s="18">
        <f>IF($A500="","",IF($M500="","",ROUND($M500*67,1)))</f>
        <v>11</v>
      </c>
      <c r="AH500" s="19">
        <f>IF($A500="","",IF($P500="","",IF($P500=0,0,$O500/$P500)))</f>
        <v>0.977777777777778</v>
      </c>
      <c r="AI500" s="5" t="str">
        <f>IF($A500="","",IF($P500="","",IF($P500&gt;=Lookups!$K$7,"High",IF($P500&lt;=Lookups!$K$8,"Low","Medium"))))</f>
        <v>Medium</v>
      </c>
      <c r="AJ500" s="5" t="str">
        <f>IF($A500="","",IF($AD500="","",IF($AD500&lt;5,"Under 5 C",IF($AD500&lt;10,"5-10 C",IF($AD500&lt;15,"10-15 C","15 C and above")))))</f>
        <v>Under 5 C</v>
      </c>
      <c r="AK500" s="5">
        <f>IF($A500="","",IF($P500="","",$P500^2))</f>
        <v>2025</v>
      </c>
      <c r="AL500" s="18">
        <f>IF($V500&lt;&gt;1,"",AVERAGEIFS(Clean_Data!$P$2:$P$1001,Clean_Data!$F$2:$F$1001,$F500,Clean_Data!$W$2:$W$1001,$W500,Clean_Data!$V$2:$V$1001,1))</f>
        <v>40</v>
      </c>
      <c r="AM500" s="16">
        <f>IF($V500&lt;&gt;1,"",IFERROR(($P500-$AL500)/SQRT(MAX(0,(SUMIFS(Clean_Data!$AK$2:$AK$1001,Clean_Data!$F$2:$F$1001,$F500,Clean_Data!$W$2:$W$1001,$W500,Clean_Data!$V$2:$V$1001,1)-COUNTIFS(Clean_Data!$F$2:$F$1001,$F500,Clean_Data!$W$2:$W$1001,$W500,Clean_Data!$V$2:$V$1001,1)*$AL500^2)/(COUNTIFS(Clean_Data!$F$2:$F$1001,$F500,Clean_Data!$W$2:$W$1001,$W500,Clean_Data!$V$2:$V$1001,1)-1))),""))</f>
        <v>0.405964656381855</v>
      </c>
      <c r="AN500" s="5" t="str">
        <f>IF($AM500="","",IF($AM500&gt;=Lookups!$K$6,"High spike",IF($AM500&lt;=-Lookups!$K$6,"Unusual low","Normal")))</f>
        <v>Normal</v>
      </c>
      <c r="AO500" s="20">
        <f>IF($V500&lt;&gt;1,"",$P500+ROW()/100000)</f>
        <v>45.005</v>
      </c>
      <c r="AP500" s="5">
        <f>IF($A500="","",IFERROR(MATCH($A500,Raw_D1!$A$2:$A$1001,0),""))</f>
        <v>499</v>
      </c>
      <c r="AQ500" s="5">
        <f>IF($A500="","",IFERROR(MATCH($A500,Raw_D2!$B$2:$B$1001,0),""))</f>
        <v>499</v>
      </c>
      <c r="AR500" s="5">
        <f>IF($A500="","",IFERROR(MATCH($A500,Raw_D3!$A$2:$A$1001,0),""))</f>
        <v/>
      </c>
    </row>
    <row r="501" spans="1:44" x14ac:dyDescent="0.25">
      <c r="A501" s="5">
        <v>500</v>
      </c>
      <c r="B501" s="11">
        <f>IF($A501="","",IF($AP501&lt;&gt;"",INDEX(Raw_D1!$B$2:$B$1001,$AP501),IF($AR501&lt;&gt;"",INDEX(Raw_D3!$B$2:$B$1001,$AR501),"")))</f>
        <v>40565.0</v>
      </c>
      <c r="C501" s="5">
        <f>IF($A501="","",IF($AP501&lt;&gt;"",INDEX(Raw_D1!$C$2:$C$1001,$AP501),IF($AR501&lt;&gt;"",INDEX(Raw_D3!$C$2:$C$1001,$AR501),"")))</f>
        <v>1</v>
      </c>
      <c r="D501" s="5">
        <f>IF($A501="","",IF($AP501&lt;&gt;"",INDEX(Raw_D1!$D$2:$D$1001,$AP501),IF($AR501&lt;&gt;"",INDEX(Raw_D3!$D$2:$D$1001,$AR501),"")))</f>
        <v>0</v>
      </c>
      <c r="E501" s="5">
        <f>IF($A501="","",IF($AP501&lt;&gt;"",INDEX(Raw_D1!$E$2:$E$1001,$AP501),IF($AR501&lt;&gt;"",INDEX(Raw_D3!$E$2:$E$1001,$AR501),"")))</f>
        <v>1</v>
      </c>
      <c r="F501" s="5">
        <f>IF($A501="","",IF($AP501&lt;&gt;"",INDEX(Raw_D1!$F$2:$F$1001,$AP501),IF($AR501&lt;&gt;"",INDEX(Raw_D3!$F$2:$F$1001,$AR501),"")))</f>
        <v>21</v>
      </c>
      <c r="G501" s="5">
        <f>IF($A501="","",IF($AP501&lt;&gt;"",IF(INDEX(Raw_D1!$G$2:$G$1001,$AP501),1,0),IF($AR501&lt;&gt;"",IF(INDEX(Raw_D3!$G$2:$G$1001,$AR501),1,0),"")))</f>
        <v>0</v>
      </c>
      <c r="H501" s="5">
        <f>IF($A501="","",IF($AP501&lt;&gt;"",INDEX(Raw_D1!$H$2:$H$1001,$AP501),IF($AR501&lt;&gt;"",INDEX(Raw_D3!$H$2:$H$1001,$AR501),"")))</f>
        <v>6</v>
      </c>
      <c r="I501" s="5">
        <f>IF($A501="","",IF($AP501&lt;&gt;"",INDEX(Raw_D1!$I$2:$I$1001,$AP501),IF($AR501&lt;&gt;"",INDEX(Raw_D3!$I$2:$I$1001,$AR501),"")))</f>
        <v>1</v>
      </c>
      <c r="J501" s="16">
        <f>IF($A501="","",IF($AP501&lt;&gt;"",INDEX(Raw_D1!$J$2:$J$1001,$AP501),IF($AR501&lt;&gt;"",INDEX(Raw_D3!$J$2:$J$1001,$AR501),"")))</f>
        <v>0.06</v>
      </c>
      <c r="K501" s="17">
        <f>IF($A501="","",IF($AQ501&lt;&gt;"",IF(INDEX(Raw_D2!$C$2:$C$1001,$AQ501)="","",INDEX(Raw_D2!$C$2:$C$1001,$AQ501)),IF($AR501&lt;&gt;"",IF(INDEX(Raw_D3!$K$2:$K$1001,$AR501)="","",INDEX(Raw_D3!$K$2:$K$1001,$AR501)),"")))</f>
        <v>0.1061</v>
      </c>
      <c r="L501" s="16">
        <f>IF($A501="","",IF($AQ501&lt;&gt;"",IF(INDEX(Raw_D2!$D$2:$D$1001,$AQ501)="","",INDEX(Raw_D2!$D$2:$D$1001,$AQ501)),IF($AR501&lt;&gt;"",IF(INDEX(Raw_D3!$L$2:$L$1001,$AR501)="","",INDEX(Raw_D3!$L$2:$L$1001,$AR501)),"")))</f>
        <v>0.41</v>
      </c>
      <c r="M501" s="17">
        <f>IF($A501="","",IF($AQ501&lt;&gt;"",IF(INDEX(Raw_D2!$E$2:$E$1001,$AQ501)="","",INDEX(Raw_D2!$E$2:$E$1001,$AQ501)),IF($AR501&lt;&gt;"",IF(INDEX(Raw_D3!$M$2:$M$1001,$AR501)="","",INDEX(Raw_D3!$M$2:$M$1001,$AR501)),"")))</f>
        <v>0.0896</v>
      </c>
      <c r="N501" s="5">
        <f>IF($A501="","",IF($AQ501&lt;&gt;"",IF(INDEX(Raw_D2!$F$2:$F$1001,$AQ501)="","",INDEX(Raw_D2!$F$2:$F$1001,$AQ501)),IF($AR501&lt;&gt;"",IF(INDEX(Raw_D3!$N$2:$N$1001,$AR501)="","",INDEX(Raw_D3!$N$2:$N$1001,$AR501)),"")))</f>
        <v>0</v>
      </c>
      <c r="O501" s="5">
        <f>IF($A501="","",IF($AQ501&lt;&gt;"",IF(INDEX(Raw_D2!$G$2:$G$1001,$AQ501)="","",INDEX(Raw_D2!$G$2:$G$1001,$AQ501)),IF($AR501&lt;&gt;"",IF(INDEX(Raw_D3!$O$2:$O$1001,$AR501)="","",INDEX(Raw_D3!$O$2:$O$1001,$AR501)),"")))</f>
        <v>39</v>
      </c>
      <c r="P501" s="5">
        <f>IF($A501="","",IF($AQ501&lt;&gt;"",IF(INDEX(Raw_D2!$H$2:$H$1001,$AQ501)="","",INDEX(Raw_D2!$H$2:$H$1001,$AQ501)),IF($AR501&lt;&gt;"",IF(INDEX(Raw_D3!$P$2:$P$1001,$AR501)="","",INDEX(Raw_D3!$P$2:$P$1001,$AR501)),"")))</f>
        <v>39</v>
      </c>
      <c r="Q501" s="5" t="str">
        <f>IF($A501="","",IF(AND($AP501&lt;&gt;"",$AQ501&lt;&gt;""),"D1+D2",IF($AR501&lt;&gt;"","D3","Incomplete")))</f>
        <v>D1+D2</v>
      </c>
      <c r="R501" s="17">
        <f>IF($A501="","",IF($K501="",IF($J501="","",ROUND(Lookups!$K$5+Lookups!$K$4*$J501,4)),$K501))</f>
        <v>0.1061</v>
      </c>
      <c r="S501" s="5" t="str">
        <f>IF($A501="","",IF($K501="","Imputed","Original"))</f>
        <v>Original</v>
      </c>
      <c r="T501" s="5" t="str">
        <f>IF($A501="","",IF($P501="","Missing",IF($P501=$N501+$O501,"OK","Mismatch")))</f>
        <v>OK</v>
      </c>
      <c r="U501" s="5" t="str">
        <f>IF($A501="","",IF(COUNTIF($A$2:$A501,$A501)&gt;1,"Duplicate","Unique"))</f>
        <v>Unique</v>
      </c>
      <c r="V501" s="5">
        <f>IF($A501="","",IF(AND($U501="Unique",ISNUMBER($P501)),1,0))</f>
        <v>1</v>
      </c>
      <c r="W501" s="5" t="str">
        <f>IF($A501="","",IF(OR($H501=0,$H501=6),"Weekend","Weekday"))</f>
        <v>Weekend</v>
      </c>
      <c r="X501" s="5" t="str">
        <f>IF($A501="","",TEXT($B501,"ddd"))</f>
        <v>Sat</v>
      </c>
      <c r="Y501" s="5" t="str">
        <f>IF($A501="","",TEXT($B501,"mmm"))</f>
        <v>Jan</v>
      </c>
      <c r="Z501" s="5" t="str">
        <f>IF($A501="","",IFERROR(VLOOKUP($C501,Lookups!$D$4:$E$7,2,FALSE),"Unknown"))</f>
        <v>Winter</v>
      </c>
      <c r="AA501" s="5" t="str">
        <f>IF($A501="","",IFERROR(VLOOKUP($I501,Lookups!$A$4:$B$7,2,FALSE),"Unknown"))</f>
        <v>Clear</v>
      </c>
      <c r="AB501" s="5" t="str">
        <f>IF($A501="","",TEXT($F501,"00")&amp;":00")</f>
        <v>21:00</v>
      </c>
      <c r="AC501" s="5" t="str">
        <f>IF($A501="","",VLOOKUP($F501,Lookups!$G$4:$H$8,2,TRUE))</f>
        <v>Late Evening (20-23)</v>
      </c>
      <c r="AD501" s="18">
        <f>IF($A501="","",IF($J501="","",ROUND($J501*41,1)))</f>
        <v>2.5</v>
      </c>
      <c r="AE501" s="18">
        <f>IF($A501="","",IF($R501="","",ROUND($R501*50,1)))</f>
        <v>5.3</v>
      </c>
      <c r="AF501" s="5">
        <f>IF($A501="","",IF($L501="","",ROUND($L501*100,0)))</f>
        <v>41</v>
      </c>
      <c r="AG501" s="18">
        <f>IF($A501="","",IF($M501="","",ROUND($M501*67,1)))</f>
        <v>6</v>
      </c>
      <c r="AH501" s="19">
        <f>IF($A501="","",IF($P501="","",IF($P501=0,0,$O501/$P501)))</f>
        <v>1</v>
      </c>
      <c r="AI501" s="5" t="str">
        <f>IF($A501="","",IF($P501="","",IF($P501&gt;=Lookups!$K$7,"High",IF($P501&lt;=Lookups!$K$8,"Low","Medium"))))</f>
        <v>Medium</v>
      </c>
      <c r="AJ501" s="5" t="str">
        <f>IF($A501="","",IF($AD501="","",IF($AD501&lt;5,"Under 5 C",IF($AD501&lt;10,"5-10 C",IF($AD501&lt;15,"10-15 C","15 C and above")))))</f>
        <v>Under 5 C</v>
      </c>
      <c r="AK501" s="5">
        <f>IF($A501="","",IF($P501="","",$P501^2))</f>
        <v>1521</v>
      </c>
      <c r="AL501" s="18">
        <f>IF($V501&lt;&gt;1,"",AVERAGEIFS(Clean_Data!$P$2:$P$1001,Clean_Data!$F$2:$F$1001,$F501,Clean_Data!$W$2:$W$1001,$W501,Clean_Data!$V$2:$V$1001,1))</f>
        <v>37.1428571428571</v>
      </c>
      <c r="AM501" s="16">
        <f>IF($V501&lt;&gt;1,"",IFERROR(($P501-$AL501)/SQRT(MAX(0,(SUMIFS(Clean_Data!$AK$2:$AK$1001,Clean_Data!$F$2:$F$1001,$F501,Clean_Data!$W$2:$W$1001,$W501,Clean_Data!$V$2:$V$1001,1)-COUNTIFS(Clean_Data!$F$2:$F$1001,$F501,Clean_Data!$W$2:$W$1001,$W501,Clean_Data!$V$2:$V$1001,1)*$AL501^2)/(COUNTIFS(Clean_Data!$F$2:$F$1001,$F501,Clean_Data!$W$2:$W$1001,$W501,Clean_Data!$V$2:$V$1001,1)-1))),""))</f>
        <v>0.153709806196656</v>
      </c>
      <c r="AN501" s="5" t="str">
        <f>IF($AM501="","",IF($AM501&gt;=Lookups!$K$6,"High spike",IF($AM501&lt;=-Lookups!$K$6,"Unusual low","Normal")))</f>
        <v>Normal</v>
      </c>
      <c r="AO501" s="20">
        <f>IF($V501&lt;&gt;1,"",$P501+ROW()/100000)</f>
        <v>39.00501</v>
      </c>
      <c r="AP501" s="5">
        <f>IF($A501="","",IFERROR(MATCH($A501,Raw_D1!$A$2:$A$1001,0),""))</f>
        <v>500</v>
      </c>
      <c r="AQ501" s="5">
        <f>IF($A501="","",IFERROR(MATCH($A501,Raw_D2!$B$2:$B$1001,0),""))</f>
        <v>500</v>
      </c>
      <c r="AR501" s="5">
        <f>IF($A501="","",IFERROR(MATCH($A501,Raw_D3!$A$2:$A$1001,0),""))</f>
        <v/>
      </c>
    </row>
    <row r="502" spans="1:44" x14ac:dyDescent="0.25">
      <c r="A502" s="5">
        <v>501</v>
      </c>
      <c r="B502" s="11">
        <f>IF($A502="","",IF($AP502&lt;&gt;"",INDEX(Raw_D1!$B$2:$B$1001,$AP502),IF($AR502&lt;&gt;"",INDEX(Raw_D3!$B$2:$B$1001,$AR502),"")))</f>
        <v>40565.0</v>
      </c>
      <c r="C502" s="5">
        <f>IF($A502="","",IF($AP502&lt;&gt;"",INDEX(Raw_D1!$C$2:$C$1001,$AP502),IF($AR502&lt;&gt;"",INDEX(Raw_D3!$C$2:$C$1001,$AR502),"")))</f>
        <v>1</v>
      </c>
      <c r="D502" s="5">
        <f>IF($A502="","",IF($AP502&lt;&gt;"",INDEX(Raw_D1!$D$2:$D$1001,$AP502),IF($AR502&lt;&gt;"",INDEX(Raw_D3!$D$2:$D$1001,$AR502),"")))</f>
        <v>0</v>
      </c>
      <c r="E502" s="5">
        <f>IF($A502="","",IF($AP502&lt;&gt;"",INDEX(Raw_D1!$E$2:$E$1001,$AP502),IF($AR502&lt;&gt;"",INDEX(Raw_D3!$E$2:$E$1001,$AR502),"")))</f>
        <v>1</v>
      </c>
      <c r="F502" s="5">
        <f>IF($A502="","",IF($AP502&lt;&gt;"",INDEX(Raw_D1!$F$2:$F$1001,$AP502),IF($AR502&lt;&gt;"",INDEX(Raw_D3!$F$2:$F$1001,$AR502),"")))</f>
        <v>22</v>
      </c>
      <c r="G502" s="5">
        <f>IF($A502="","",IF($AP502&lt;&gt;"",IF(INDEX(Raw_D1!$G$2:$G$1001,$AP502),1,0),IF($AR502&lt;&gt;"",IF(INDEX(Raw_D3!$G$2:$G$1001,$AR502),1,0),"")))</f>
        <v>0</v>
      </c>
      <c r="H502" s="5">
        <f>IF($A502="","",IF($AP502&lt;&gt;"",INDEX(Raw_D1!$H$2:$H$1001,$AP502),IF($AR502&lt;&gt;"",INDEX(Raw_D3!$H$2:$H$1001,$AR502),"")))</f>
        <v>6</v>
      </c>
      <c r="I502" s="5">
        <f>IF($A502="","",IF($AP502&lt;&gt;"",INDEX(Raw_D1!$I$2:$I$1001,$AP502),IF($AR502&lt;&gt;"",INDEX(Raw_D3!$I$2:$I$1001,$AR502),"")))</f>
        <v>1</v>
      </c>
      <c r="J502" s="16">
        <f>IF($A502="","",IF($AP502&lt;&gt;"",INDEX(Raw_D1!$J$2:$J$1001,$AP502),IF($AR502&lt;&gt;"",INDEX(Raw_D3!$J$2:$J$1001,$AR502),"")))</f>
        <v>0.06</v>
      </c>
      <c r="K502" s="17">
        <f>IF($A502="","",IF($AQ502&lt;&gt;"",IF(INDEX(Raw_D2!$C$2:$C$1001,$AQ502)="","",INDEX(Raw_D2!$C$2:$C$1001,$AQ502)),IF($AR502&lt;&gt;"",IF(INDEX(Raw_D3!$K$2:$K$1001,$AR502)="","",INDEX(Raw_D3!$K$2:$K$1001,$AR502)),"")))</f>
        <v>0.1515</v>
      </c>
      <c r="L502" s="16">
        <f>IF($A502="","",IF($AQ502&lt;&gt;"",IF(INDEX(Raw_D2!$D$2:$D$1001,$AQ502)="","",INDEX(Raw_D2!$D$2:$D$1001,$AQ502)),IF($AR502&lt;&gt;"",IF(INDEX(Raw_D3!$L$2:$L$1001,$AR502)="","",INDEX(Raw_D3!$L$2:$L$1001,$AR502)),"")))</f>
        <v>0.49</v>
      </c>
      <c r="M502" s="17">
        <f>IF($A502="","",IF($AQ502&lt;&gt;"",IF(INDEX(Raw_D2!$E$2:$E$1001,$AQ502)="","",INDEX(Raw_D2!$E$2:$E$1001,$AQ502)),IF($AR502&lt;&gt;"",IF(INDEX(Raw_D3!$M$2:$M$1001,$AR502)="","",INDEX(Raw_D3!$M$2:$M$1001,$AR502)),"")))</f>
        <v>0</v>
      </c>
      <c r="N502" s="5">
        <f>IF($A502="","",IF($AQ502&lt;&gt;"",IF(INDEX(Raw_D2!$F$2:$F$1001,$AQ502)="","",INDEX(Raw_D2!$F$2:$F$1001,$AQ502)),IF($AR502&lt;&gt;"",IF(INDEX(Raw_D3!$N$2:$N$1001,$AR502)="","",INDEX(Raw_D3!$N$2:$N$1001,$AR502)),"")))</f>
        <v>7</v>
      </c>
      <c r="O502" s="5">
        <f>IF($A502="","",IF($AQ502&lt;&gt;"",IF(INDEX(Raw_D2!$G$2:$G$1001,$AQ502)="","",INDEX(Raw_D2!$G$2:$G$1001,$AQ502)),IF($AR502&lt;&gt;"",IF(INDEX(Raw_D3!$O$2:$O$1001,$AR502)="","",INDEX(Raw_D3!$O$2:$O$1001,$AR502)),"")))</f>
        <v>23</v>
      </c>
      <c r="P502" s="5">
        <f>IF($A502="","",IF($AQ502&lt;&gt;"",IF(INDEX(Raw_D2!$H$2:$H$1001,$AQ502)="","",INDEX(Raw_D2!$H$2:$H$1001,$AQ502)),IF($AR502&lt;&gt;"",IF(INDEX(Raw_D3!$P$2:$P$1001,$AR502)="","",INDEX(Raw_D3!$P$2:$P$1001,$AR502)),"")))</f>
        <v>30</v>
      </c>
      <c r="Q502" s="5" t="str">
        <f>IF($A502="","",IF(AND($AP502&lt;&gt;"",$AQ502&lt;&gt;""),"D1+D2",IF($AR502&lt;&gt;"","D3","Incomplete")))</f>
        <v>D1+D2</v>
      </c>
      <c r="R502" s="17">
        <f>IF($A502="","",IF($K502="",IF($J502="","",ROUND(Lookups!$K$5+Lookups!$K$4*$J502,4)),$K502))</f>
        <v>0.1515</v>
      </c>
      <c r="S502" s="5" t="str">
        <f>IF($A502="","",IF($K502="","Imputed","Original"))</f>
        <v>Original</v>
      </c>
      <c r="T502" s="5" t="str">
        <f>IF($A502="","",IF($P502="","Missing",IF($P502=$N502+$O502,"OK","Mismatch")))</f>
        <v>OK</v>
      </c>
      <c r="U502" s="5" t="str">
        <f>IF($A502="","",IF(COUNTIF($A$2:$A502,$A502)&gt;1,"Duplicate","Unique"))</f>
        <v>Unique</v>
      </c>
      <c r="V502" s="5">
        <f>IF($A502="","",IF(AND($U502="Unique",ISNUMBER($P502)),1,0))</f>
        <v>1</v>
      </c>
      <c r="W502" s="5" t="str">
        <f>IF($A502="","",IF(OR($H502=0,$H502=6),"Weekend","Weekday"))</f>
        <v>Weekend</v>
      </c>
      <c r="X502" s="5" t="str">
        <f>IF($A502="","",TEXT($B502,"ddd"))</f>
        <v>Sat</v>
      </c>
      <c r="Y502" s="5" t="str">
        <f>IF($A502="","",TEXT($B502,"mmm"))</f>
        <v>Jan</v>
      </c>
      <c r="Z502" s="5" t="str">
        <f>IF($A502="","",IFERROR(VLOOKUP($C502,Lookups!$D$4:$E$7,2,FALSE),"Unknown"))</f>
        <v>Winter</v>
      </c>
      <c r="AA502" s="5" t="str">
        <f>IF($A502="","",IFERROR(VLOOKUP($I502,Lookups!$A$4:$B$7,2,FALSE),"Unknown"))</f>
        <v>Clear</v>
      </c>
      <c r="AB502" s="5" t="str">
        <f>IF($A502="","",TEXT($F502,"00")&amp;":00")</f>
        <v>22:00</v>
      </c>
      <c r="AC502" s="5" t="str">
        <f>IF($A502="","",VLOOKUP($F502,Lookups!$G$4:$H$8,2,TRUE))</f>
        <v>Late Evening (20-23)</v>
      </c>
      <c r="AD502" s="18">
        <f>IF($A502="","",IF($J502="","",ROUND($J502*41,1)))</f>
        <v>2.5</v>
      </c>
      <c r="AE502" s="18">
        <f>IF($A502="","",IF($R502="","",ROUND($R502*50,1)))</f>
        <v>7.6</v>
      </c>
      <c r="AF502" s="5">
        <f>IF($A502="","",IF($L502="","",ROUND($L502*100,0)))</f>
        <v>49</v>
      </c>
      <c r="AG502" s="18">
        <f>IF($A502="","",IF($M502="","",ROUND($M502*67,1)))</f>
        <v>0</v>
      </c>
      <c r="AH502" s="19">
        <f>IF($A502="","",IF($P502="","",IF($P502=0,0,$O502/$P502)))</f>
        <v>0.766666666666667</v>
      </c>
      <c r="AI502" s="5" t="str">
        <f>IF($A502="","",IF($P502="","",IF($P502&gt;=Lookups!$K$7,"High",IF($P502&lt;=Lookups!$K$8,"Low","Medium"))))</f>
        <v>Medium</v>
      </c>
      <c r="AJ502" s="5" t="str">
        <f>IF($A502="","",IF($AD502="","",IF($AD502&lt;5,"Under 5 C",IF($AD502&lt;10,"5-10 C",IF($AD502&lt;15,"10-15 C","15 C and above")))))</f>
        <v>Under 5 C</v>
      </c>
      <c r="AK502" s="5">
        <f>IF($A502="","",IF($P502="","",$P502^2))</f>
        <v>900</v>
      </c>
      <c r="AL502" s="18">
        <f>IF($V502&lt;&gt;1,"",AVERAGEIFS(Clean_Data!$P$2:$P$1001,Clean_Data!$F$2:$F$1001,$F502,Clean_Data!$W$2:$W$1001,$W502,Clean_Data!$V$2:$V$1001,1))</f>
        <v>30.8571428571429</v>
      </c>
      <c r="AM502" s="16">
        <f>IF($V502&lt;&gt;1,"",IFERROR(($P502-$AL502)/SQRT(MAX(0,(SUMIFS(Clean_Data!$AK$2:$AK$1001,Clean_Data!$F$2:$F$1001,$F502,Clean_Data!$W$2:$W$1001,$W502,Clean_Data!$V$2:$V$1001,1)-COUNTIFS(Clean_Data!$F$2:$F$1001,$F502,Clean_Data!$W$2:$W$1001,$W502,Clean_Data!$V$2:$V$1001,1)*$AL502^2)/(COUNTIFS(Clean_Data!$F$2:$F$1001,$F502,Clean_Data!$W$2:$W$1001,$W502,Clean_Data!$V$2:$V$1001,1)-1))),""))</f>
        <v>-0.0634590697943211</v>
      </c>
      <c r="AN502" s="5" t="str">
        <f>IF($AM502="","",IF($AM502&gt;=Lookups!$K$6,"High spike",IF($AM502&lt;=-Lookups!$K$6,"Unusual low","Normal")))</f>
        <v>Normal</v>
      </c>
      <c r="AO502" s="20">
        <f>IF($V502&lt;&gt;1,"",$P502+ROW()/100000)</f>
        <v>30.00502</v>
      </c>
      <c r="AP502" s="5">
        <f>IF($A502="","",IFERROR(MATCH($A502,Raw_D1!$A$2:$A$1001,0),""))</f>
        <v>501</v>
      </c>
      <c r="AQ502" s="5">
        <f>IF($A502="","",IFERROR(MATCH($A502,Raw_D2!$B$2:$B$1001,0),""))</f>
        <v>501</v>
      </c>
      <c r="AR502" s="5">
        <f>IF($A502="","",IFERROR(MATCH($A502,Raw_D3!$A$2:$A$1001,0),""))</f>
        <v/>
      </c>
    </row>
    <row r="503" spans="1:44" x14ac:dyDescent="0.25">
      <c r="A503" s="5">
        <v>502</v>
      </c>
      <c r="B503" s="11">
        <f>IF($A503="","",IF($AP503&lt;&gt;"",INDEX(Raw_D1!$B$2:$B$1001,$AP503),IF($AR503&lt;&gt;"",INDEX(Raw_D3!$B$2:$B$1001,$AR503),"")))</f>
        <v>40565.0</v>
      </c>
      <c r="C503" s="5">
        <f>IF($A503="","",IF($AP503&lt;&gt;"",INDEX(Raw_D1!$C$2:$C$1001,$AP503),IF($AR503&lt;&gt;"",INDEX(Raw_D3!$C$2:$C$1001,$AR503),"")))</f>
        <v>1</v>
      </c>
      <c r="D503" s="5">
        <f>IF($A503="","",IF($AP503&lt;&gt;"",INDEX(Raw_D1!$D$2:$D$1001,$AP503),IF($AR503&lt;&gt;"",INDEX(Raw_D3!$D$2:$D$1001,$AR503),"")))</f>
        <v>0</v>
      </c>
      <c r="E503" s="5">
        <f>IF($A503="","",IF($AP503&lt;&gt;"",INDEX(Raw_D1!$E$2:$E$1001,$AP503),IF($AR503&lt;&gt;"",INDEX(Raw_D3!$E$2:$E$1001,$AR503),"")))</f>
        <v>1</v>
      </c>
      <c r="F503" s="5">
        <f>IF($A503="","",IF($AP503&lt;&gt;"",INDEX(Raw_D1!$F$2:$F$1001,$AP503),IF($AR503&lt;&gt;"",INDEX(Raw_D3!$F$2:$F$1001,$AR503),"")))</f>
        <v>23</v>
      </c>
      <c r="G503" s="5">
        <f>IF($A503="","",IF($AP503&lt;&gt;"",IF(INDEX(Raw_D1!$G$2:$G$1001,$AP503),1,0),IF($AR503&lt;&gt;"",IF(INDEX(Raw_D3!$G$2:$G$1001,$AR503),1,0),"")))</f>
        <v>0</v>
      </c>
      <c r="H503" s="5">
        <f>IF($A503="","",IF($AP503&lt;&gt;"",INDEX(Raw_D1!$H$2:$H$1001,$AP503),IF($AR503&lt;&gt;"",INDEX(Raw_D3!$H$2:$H$1001,$AR503),"")))</f>
        <v>6</v>
      </c>
      <c r="I503" s="5">
        <f>IF($A503="","",IF($AP503&lt;&gt;"",INDEX(Raw_D1!$I$2:$I$1001,$AP503),IF($AR503&lt;&gt;"",INDEX(Raw_D3!$I$2:$I$1001,$AR503),"")))</f>
        <v>1</v>
      </c>
      <c r="J503" s="16">
        <f>IF($A503="","",IF($AP503&lt;&gt;"",INDEX(Raw_D1!$J$2:$J$1001,$AP503),IF($AR503&lt;&gt;"",INDEX(Raw_D3!$J$2:$J$1001,$AR503),"")))</f>
        <v>0.04</v>
      </c>
      <c r="K503" s="17">
        <f>IF($A503="","",IF($AQ503&lt;&gt;"",IF(INDEX(Raw_D2!$C$2:$C$1001,$AQ503)="","",INDEX(Raw_D2!$C$2:$C$1001,$AQ503)),IF($AR503&lt;&gt;"",IF(INDEX(Raw_D3!$K$2:$K$1001,$AR503)="","",INDEX(Raw_D3!$K$2:$K$1001,$AR503)),"")))</f>
        <v>0.0758</v>
      </c>
      <c r="L503" s="16">
        <f>IF($A503="","",IF($AQ503&lt;&gt;"",IF(INDEX(Raw_D2!$D$2:$D$1001,$AQ503)="","",INDEX(Raw_D2!$D$2:$D$1001,$AQ503)),IF($AR503&lt;&gt;"",IF(INDEX(Raw_D3!$L$2:$L$1001,$AR503)="","",INDEX(Raw_D3!$L$2:$L$1001,$AR503)),"")))</f>
        <v>0.57</v>
      </c>
      <c r="M503" s="17">
        <f>IF($A503="","",IF($AQ503&lt;&gt;"",IF(INDEX(Raw_D2!$E$2:$E$1001,$AQ503)="","",INDEX(Raw_D2!$E$2:$E$1001,$AQ503)),IF($AR503&lt;&gt;"",IF(INDEX(Raw_D3!$M$2:$M$1001,$AR503)="","",INDEX(Raw_D3!$M$2:$M$1001,$AR503)),"")))</f>
        <v>0.1045</v>
      </c>
      <c r="N503" s="5">
        <f>IF($A503="","",IF($AQ503&lt;&gt;"",IF(INDEX(Raw_D2!$F$2:$F$1001,$AQ503)="","",INDEX(Raw_D2!$F$2:$F$1001,$AQ503)),IF($AR503&lt;&gt;"",IF(INDEX(Raw_D3!$N$2:$N$1001,$AR503)="","",INDEX(Raw_D3!$N$2:$N$1001,$AR503)),"")))</f>
        <v>2</v>
      </c>
      <c r="O503" s="5">
        <f>IF($A503="","",IF($AQ503&lt;&gt;"",IF(INDEX(Raw_D2!$G$2:$G$1001,$AQ503)="","",INDEX(Raw_D2!$G$2:$G$1001,$AQ503)),IF($AR503&lt;&gt;"",IF(INDEX(Raw_D3!$O$2:$O$1001,$AR503)="","",INDEX(Raw_D3!$O$2:$O$1001,$AR503)),"")))</f>
        <v>31</v>
      </c>
      <c r="P503" s="5">
        <f>IF($A503="","",IF($AQ503&lt;&gt;"",IF(INDEX(Raw_D2!$H$2:$H$1001,$AQ503)="","",INDEX(Raw_D2!$H$2:$H$1001,$AQ503)),IF($AR503&lt;&gt;"",IF(INDEX(Raw_D3!$P$2:$P$1001,$AR503)="","",INDEX(Raw_D3!$P$2:$P$1001,$AR503)),"")))</f>
        <v>33</v>
      </c>
      <c r="Q503" s="5" t="str">
        <f>IF($A503="","",IF(AND($AP503&lt;&gt;"",$AQ503&lt;&gt;""),"D1+D2",IF($AR503&lt;&gt;"","D3","Incomplete")))</f>
        <v>D1+D2</v>
      </c>
      <c r="R503" s="17">
        <f>IF($A503="","",IF($K503="",IF($J503="","",ROUND(Lookups!$K$5+Lookups!$K$4*$J503,4)),$K503))</f>
        <v>0.0758</v>
      </c>
      <c r="S503" s="5" t="str">
        <f>IF($A503="","",IF($K503="","Imputed","Original"))</f>
        <v>Original</v>
      </c>
      <c r="T503" s="5" t="str">
        <f>IF($A503="","",IF($P503="","Missing",IF($P503=$N503+$O503,"OK","Mismatch")))</f>
        <v>OK</v>
      </c>
      <c r="U503" s="5" t="str">
        <f>IF($A503="","",IF(COUNTIF($A$2:$A503,$A503)&gt;1,"Duplicate","Unique"))</f>
        <v>Unique</v>
      </c>
      <c r="V503" s="5">
        <f>IF($A503="","",IF(AND($U503="Unique",ISNUMBER($P503)),1,0))</f>
        <v>1</v>
      </c>
      <c r="W503" s="5" t="str">
        <f>IF($A503="","",IF(OR($H503=0,$H503=6),"Weekend","Weekday"))</f>
        <v>Weekend</v>
      </c>
      <c r="X503" s="5" t="str">
        <f>IF($A503="","",TEXT($B503,"ddd"))</f>
        <v>Sat</v>
      </c>
      <c r="Y503" s="5" t="str">
        <f>IF($A503="","",TEXT($B503,"mmm"))</f>
        <v>Jan</v>
      </c>
      <c r="Z503" s="5" t="str">
        <f>IF($A503="","",IFERROR(VLOOKUP($C503,Lookups!$D$4:$E$7,2,FALSE),"Unknown"))</f>
        <v>Winter</v>
      </c>
      <c r="AA503" s="5" t="str">
        <f>IF($A503="","",IFERROR(VLOOKUP($I503,Lookups!$A$4:$B$7,2,FALSE),"Unknown"))</f>
        <v>Clear</v>
      </c>
      <c r="AB503" s="5" t="str">
        <f>IF($A503="","",TEXT($F503,"00")&amp;":00")</f>
        <v>23:00</v>
      </c>
      <c r="AC503" s="5" t="str">
        <f>IF($A503="","",VLOOKUP($F503,Lookups!$G$4:$H$8,2,TRUE))</f>
        <v>Late Evening (20-23)</v>
      </c>
      <c r="AD503" s="18">
        <f>IF($A503="","",IF($J503="","",ROUND($J503*41,1)))</f>
        <v>1.6</v>
      </c>
      <c r="AE503" s="18">
        <f>IF($A503="","",IF($R503="","",ROUND($R503*50,1)))</f>
        <v>3.8</v>
      </c>
      <c r="AF503" s="5">
        <f>IF($A503="","",IF($L503="","",ROUND($L503*100,0)))</f>
        <v>57</v>
      </c>
      <c r="AG503" s="18">
        <f>IF($A503="","",IF($M503="","",ROUND($M503*67,1)))</f>
        <v>7</v>
      </c>
      <c r="AH503" s="19">
        <f>IF($A503="","",IF($P503="","",IF($P503=0,0,$O503/$P503)))</f>
        <v>0.939393939393939</v>
      </c>
      <c r="AI503" s="5" t="str">
        <f>IF($A503="","",IF($P503="","",IF($P503&gt;=Lookups!$K$7,"High",IF($P503&lt;=Lookups!$K$8,"Low","Medium"))))</f>
        <v>Medium</v>
      </c>
      <c r="AJ503" s="5" t="str">
        <f>IF($A503="","",IF($AD503="","",IF($AD503&lt;5,"Under 5 C",IF($AD503&lt;10,"5-10 C",IF($AD503&lt;15,"10-15 C","15 C and above")))))</f>
        <v>Under 5 C</v>
      </c>
      <c r="AK503" s="5">
        <f>IF($A503="","",IF($P503="","",$P503^2))</f>
        <v>1089</v>
      </c>
      <c r="AL503" s="18">
        <f>IF($V503&lt;&gt;1,"",AVERAGEIFS(Clean_Data!$P$2:$P$1001,Clean_Data!$F$2:$F$1001,$F503,Clean_Data!$W$2:$W$1001,$W503,Clean_Data!$V$2:$V$1001,1))</f>
        <v>28.2857142857143</v>
      </c>
      <c r="AM503" s="16">
        <f>IF($V503&lt;&gt;1,"",IFERROR(($P503-$AL503)/SQRT(MAX(0,(SUMIFS(Clean_Data!$AK$2:$AK$1001,Clean_Data!$F$2:$F$1001,$F503,Clean_Data!$W$2:$W$1001,$W503,Clean_Data!$V$2:$V$1001,1)-COUNTIFS(Clean_Data!$F$2:$F$1001,$F503,Clean_Data!$W$2:$W$1001,$W503,Clean_Data!$V$2:$V$1001,1)*$AL503^2)/(COUNTIFS(Clean_Data!$F$2:$F$1001,$F503,Clean_Data!$W$2:$W$1001,$W503,Clean_Data!$V$2:$V$1001,1)-1))),""))</f>
        <v>0.338006792483904</v>
      </c>
      <c r="AN503" s="5" t="str">
        <f>IF($AM503="","",IF($AM503&gt;=Lookups!$K$6,"High spike",IF($AM503&lt;=-Lookups!$K$6,"Unusual low","Normal")))</f>
        <v>Normal</v>
      </c>
      <c r="AO503" s="20">
        <f>IF($V503&lt;&gt;1,"",$P503+ROW()/100000)</f>
        <v>33.00503</v>
      </c>
      <c r="AP503" s="5">
        <f>IF($A503="","",IFERROR(MATCH($A503,Raw_D1!$A$2:$A$1001,0),""))</f>
        <v>502</v>
      </c>
      <c r="AQ503" s="5">
        <f>IF($A503="","",IFERROR(MATCH($A503,Raw_D2!$B$2:$B$1001,0),""))</f>
        <v>502</v>
      </c>
      <c r="AR503" s="5">
        <f>IF($A503="","",IFERROR(MATCH($A503,Raw_D3!$A$2:$A$1001,0),""))</f>
        <v/>
      </c>
    </row>
    <row r="504" spans="1:44" x14ac:dyDescent="0.25">
      <c r="A504" s="5">
        <v>503</v>
      </c>
      <c r="B504" s="11">
        <f>IF($A504="","",IF($AP504&lt;&gt;"",INDEX(Raw_D1!$B$2:$B$1001,$AP504),IF($AR504&lt;&gt;"",INDEX(Raw_D3!$B$2:$B$1001,$AR504),"")))</f>
        <v>40566.0</v>
      </c>
      <c r="C504" s="5">
        <f>IF($A504="","",IF($AP504&lt;&gt;"",INDEX(Raw_D1!$C$2:$C$1001,$AP504),IF($AR504&lt;&gt;"",INDEX(Raw_D3!$C$2:$C$1001,$AR504),"")))</f>
        <v>1</v>
      </c>
      <c r="D504" s="5">
        <f>IF($A504="","",IF($AP504&lt;&gt;"",INDEX(Raw_D1!$D$2:$D$1001,$AP504),IF($AR504&lt;&gt;"",INDEX(Raw_D3!$D$2:$D$1001,$AR504),"")))</f>
        <v>0</v>
      </c>
      <c r="E504" s="5">
        <f>IF($A504="","",IF($AP504&lt;&gt;"",INDEX(Raw_D1!$E$2:$E$1001,$AP504),IF($AR504&lt;&gt;"",INDEX(Raw_D3!$E$2:$E$1001,$AR504),"")))</f>
        <v>1</v>
      </c>
      <c r="F504" s="5">
        <f>IF($A504="","",IF($AP504&lt;&gt;"",INDEX(Raw_D1!$F$2:$F$1001,$AP504),IF($AR504&lt;&gt;"",INDEX(Raw_D3!$F$2:$F$1001,$AR504),"")))</f>
        <v>0</v>
      </c>
      <c r="G504" s="5">
        <f>IF($A504="","",IF($AP504&lt;&gt;"",IF(INDEX(Raw_D1!$G$2:$G$1001,$AP504),1,0),IF($AR504&lt;&gt;"",IF(INDEX(Raw_D3!$G$2:$G$1001,$AR504),1,0),"")))</f>
        <v>0</v>
      </c>
      <c r="H504" s="5">
        <f>IF($A504="","",IF($AP504&lt;&gt;"",INDEX(Raw_D1!$H$2:$H$1001,$AP504),IF($AR504&lt;&gt;"",INDEX(Raw_D3!$H$2:$H$1001,$AR504),"")))</f>
        <v>0</v>
      </c>
      <c r="I504" s="5">
        <f>IF($A504="","",IF($AP504&lt;&gt;"",INDEX(Raw_D1!$I$2:$I$1001,$AP504),IF($AR504&lt;&gt;"",INDEX(Raw_D3!$I$2:$I$1001,$AR504),"")))</f>
        <v>1</v>
      </c>
      <c r="J504" s="16">
        <f>IF($A504="","",IF($AP504&lt;&gt;"",INDEX(Raw_D1!$J$2:$J$1001,$AP504),IF($AR504&lt;&gt;"",INDEX(Raw_D3!$J$2:$J$1001,$AR504),"")))</f>
        <v>0.04</v>
      </c>
      <c r="K504" s="17">
        <f>IF($A504="","",IF($AQ504&lt;&gt;"",IF(INDEX(Raw_D2!$C$2:$C$1001,$AQ504)="","",INDEX(Raw_D2!$C$2:$C$1001,$AQ504)),IF($AR504&lt;&gt;"",IF(INDEX(Raw_D3!$K$2:$K$1001,$AR504)="","",INDEX(Raw_D3!$K$2:$K$1001,$AR504)),"")))</f>
        <v>0.0758</v>
      </c>
      <c r="L504" s="16">
        <f>IF($A504="","",IF($AQ504&lt;&gt;"",IF(INDEX(Raw_D2!$D$2:$D$1001,$AQ504)="","",INDEX(Raw_D2!$D$2:$D$1001,$AQ504)),IF($AR504&lt;&gt;"",IF(INDEX(Raw_D3!$L$2:$L$1001,$AR504)="","",INDEX(Raw_D3!$L$2:$L$1001,$AR504)),"")))</f>
        <v>0.57</v>
      </c>
      <c r="M504" s="17">
        <f>IF($A504="","",IF($AQ504&lt;&gt;"",IF(INDEX(Raw_D2!$E$2:$E$1001,$AQ504)="","",INDEX(Raw_D2!$E$2:$E$1001,$AQ504)),IF($AR504&lt;&gt;"",IF(INDEX(Raw_D3!$M$2:$M$1001,$AR504)="","",INDEX(Raw_D3!$M$2:$M$1001,$AR504)),"")))</f>
        <v>0.1045</v>
      </c>
      <c r="N504" s="5">
        <f>IF($A504="","",IF($AQ504&lt;&gt;"",IF(INDEX(Raw_D2!$F$2:$F$1001,$AQ504)="","",INDEX(Raw_D2!$F$2:$F$1001,$AQ504)),IF($AR504&lt;&gt;"",IF(INDEX(Raw_D3!$N$2:$N$1001,$AR504)="","",INDEX(Raw_D3!$N$2:$N$1001,$AR504)),"")))</f>
        <v>2</v>
      </c>
      <c r="O504" s="5">
        <f>IF($A504="","",IF($AQ504&lt;&gt;"",IF(INDEX(Raw_D2!$G$2:$G$1001,$AQ504)="","",INDEX(Raw_D2!$G$2:$G$1001,$AQ504)),IF($AR504&lt;&gt;"",IF(INDEX(Raw_D3!$O$2:$O$1001,$AR504)="","",INDEX(Raw_D3!$O$2:$O$1001,$AR504)),"")))</f>
        <v>20</v>
      </c>
      <c r="P504" s="5">
        <f>IF($A504="","",IF($AQ504&lt;&gt;"",IF(INDEX(Raw_D2!$H$2:$H$1001,$AQ504)="","",INDEX(Raw_D2!$H$2:$H$1001,$AQ504)),IF($AR504&lt;&gt;"",IF(INDEX(Raw_D3!$P$2:$P$1001,$AR504)="","",INDEX(Raw_D3!$P$2:$P$1001,$AR504)),"")))</f>
        <v>22</v>
      </c>
      <c r="Q504" s="5" t="str">
        <f>IF($A504="","",IF(AND($AP504&lt;&gt;"",$AQ504&lt;&gt;""),"D1+D2",IF($AR504&lt;&gt;"","D3","Incomplete")))</f>
        <v>D1+D2</v>
      </c>
      <c r="R504" s="17">
        <f>IF($A504="","",IF($K504="",IF($J504="","",ROUND(Lookups!$K$5+Lookups!$K$4*$J504,4)),$K504))</f>
        <v>0.0758</v>
      </c>
      <c r="S504" s="5" t="str">
        <f>IF($A504="","",IF($K504="","Imputed","Original"))</f>
        <v>Original</v>
      </c>
      <c r="T504" s="5" t="str">
        <f>IF($A504="","",IF($P504="","Missing",IF($P504=$N504+$O504,"OK","Mismatch")))</f>
        <v>OK</v>
      </c>
      <c r="U504" s="5" t="str">
        <f>IF($A504="","",IF(COUNTIF($A$2:$A504,$A504)&gt;1,"Duplicate","Unique"))</f>
        <v>Unique</v>
      </c>
      <c r="V504" s="5">
        <f>IF($A504="","",IF(AND($U504="Unique",ISNUMBER($P504)),1,0))</f>
        <v>1</v>
      </c>
      <c r="W504" s="5" t="str">
        <f>IF($A504="","",IF(OR($H504=0,$H504=6),"Weekend","Weekday"))</f>
        <v>Weekend</v>
      </c>
      <c r="X504" s="5" t="str">
        <f>IF($A504="","",TEXT($B504,"ddd"))</f>
        <v>Sun</v>
      </c>
      <c r="Y504" s="5" t="str">
        <f>IF($A504="","",TEXT($B504,"mmm"))</f>
        <v>Jan</v>
      </c>
      <c r="Z504" s="5" t="str">
        <f>IF($A504="","",IFERROR(VLOOKUP($C504,Lookups!$D$4:$E$7,2,FALSE),"Unknown"))</f>
        <v>Winter</v>
      </c>
      <c r="AA504" s="5" t="str">
        <f>IF($A504="","",IFERROR(VLOOKUP($I504,Lookups!$A$4:$B$7,2,FALSE),"Unknown"))</f>
        <v>Clear</v>
      </c>
      <c r="AB504" s="5" t="str">
        <f>IF($A504="","",TEXT($F504,"00")&amp;":00")</f>
        <v>00:00</v>
      </c>
      <c r="AC504" s="5" t="str">
        <f>IF($A504="","",VLOOKUP($F504,Lookups!$G$4:$H$8,2,TRUE))</f>
        <v>Night (00-05)</v>
      </c>
      <c r="AD504" s="18">
        <f>IF($A504="","",IF($J504="","",ROUND($J504*41,1)))</f>
        <v>1.6</v>
      </c>
      <c r="AE504" s="18">
        <f>IF($A504="","",IF($R504="","",ROUND($R504*50,1)))</f>
        <v>3.8</v>
      </c>
      <c r="AF504" s="5">
        <f>IF($A504="","",IF($L504="","",ROUND($L504*100,0)))</f>
        <v>57</v>
      </c>
      <c r="AG504" s="18">
        <f>IF($A504="","",IF($M504="","",ROUND($M504*67,1)))</f>
        <v>7</v>
      </c>
      <c r="AH504" s="19">
        <f>IF($A504="","",IF($P504="","",IF($P504=0,0,$O504/$P504)))</f>
        <v>0.909090909090909</v>
      </c>
      <c r="AI504" s="5" t="str">
        <f>IF($A504="","",IF($P504="","",IF($P504&gt;=Lookups!$K$7,"High",IF($P504&lt;=Lookups!$K$8,"Low","Medium"))))</f>
        <v>Medium</v>
      </c>
      <c r="AJ504" s="5" t="str">
        <f>IF($A504="","",IF($AD504="","",IF($AD504&lt;5,"Under 5 C",IF($AD504&lt;10,"5-10 C",IF($AD504&lt;15,"10-15 C","15 C and above")))))</f>
        <v>Under 5 C</v>
      </c>
      <c r="AK504" s="5">
        <f>IF($A504="","",IF($P504="","",$P504^2))</f>
        <v>484</v>
      </c>
      <c r="AL504" s="18">
        <f>IF($V504&lt;&gt;1,"",AVERAGEIFS(Clean_Data!$P$2:$P$1001,Clean_Data!$F$2:$F$1001,$F504,Clean_Data!$W$2:$W$1001,$W504,Clean_Data!$V$2:$V$1001,1))</f>
        <v>28.0714285714286</v>
      </c>
      <c r="AM504" s="16">
        <f>IF($V504&lt;&gt;1,"",IFERROR(($P504-$AL504)/SQRT(MAX(0,(SUMIFS(Clean_Data!$AK$2:$AK$1001,Clean_Data!$F$2:$F$1001,$F504,Clean_Data!$W$2:$W$1001,$W504,Clean_Data!$V$2:$V$1001,1)-COUNTIFS(Clean_Data!$F$2:$F$1001,$F504,Clean_Data!$W$2:$W$1001,$W504,Clean_Data!$V$2:$V$1001,1)*$AL504^2)/(COUNTIFS(Clean_Data!$F$2:$F$1001,$F504,Clean_Data!$W$2:$W$1001,$W504,Clean_Data!$V$2:$V$1001,1)-1))),""))</f>
        <v>-0.673348267639855</v>
      </c>
      <c r="AN504" s="5" t="str">
        <f>IF($AM504="","",IF($AM504&gt;=Lookups!$K$6,"High spike",IF($AM504&lt;=-Lookups!$K$6,"Unusual low","Normal")))</f>
        <v>Normal</v>
      </c>
      <c r="AO504" s="20">
        <f>IF($V504&lt;&gt;1,"",$P504+ROW()/100000)</f>
        <v>22.00504</v>
      </c>
      <c r="AP504" s="5">
        <f>IF($A504="","",IFERROR(MATCH($A504,Raw_D1!$A$2:$A$1001,0),""))</f>
        <v>503</v>
      </c>
      <c r="AQ504" s="5">
        <f>IF($A504="","",IFERROR(MATCH($A504,Raw_D2!$B$2:$B$1001,0),""))</f>
        <v>503</v>
      </c>
      <c r="AR504" s="5">
        <f>IF($A504="","",IFERROR(MATCH($A504,Raw_D3!$A$2:$A$1001,0),""))</f>
        <v/>
      </c>
    </row>
    <row r="505" spans="1:44" x14ac:dyDescent="0.25">
      <c r="A505" s="5">
        <v>504</v>
      </c>
      <c r="B505" s="11">
        <f>IF($A505="","",IF($AP505&lt;&gt;"",INDEX(Raw_D1!$B$2:$B$1001,$AP505),IF($AR505&lt;&gt;"",INDEX(Raw_D3!$B$2:$B$1001,$AR505),"")))</f>
        <v>40566.0</v>
      </c>
      <c r="C505" s="5">
        <f>IF($A505="","",IF($AP505&lt;&gt;"",INDEX(Raw_D1!$C$2:$C$1001,$AP505),IF($AR505&lt;&gt;"",INDEX(Raw_D3!$C$2:$C$1001,$AR505),"")))</f>
        <v>1</v>
      </c>
      <c r="D505" s="5">
        <f>IF($A505="","",IF($AP505&lt;&gt;"",INDEX(Raw_D1!$D$2:$D$1001,$AP505),IF($AR505&lt;&gt;"",INDEX(Raw_D3!$D$2:$D$1001,$AR505),"")))</f>
        <v>0</v>
      </c>
      <c r="E505" s="5">
        <f>IF($A505="","",IF($AP505&lt;&gt;"",INDEX(Raw_D1!$E$2:$E$1001,$AP505),IF($AR505&lt;&gt;"",INDEX(Raw_D3!$E$2:$E$1001,$AR505),"")))</f>
        <v>1</v>
      </c>
      <c r="F505" s="5">
        <f>IF($A505="","",IF($AP505&lt;&gt;"",INDEX(Raw_D1!$F$2:$F$1001,$AP505),IF($AR505&lt;&gt;"",INDEX(Raw_D3!$F$2:$F$1001,$AR505),"")))</f>
        <v>1</v>
      </c>
      <c r="G505" s="5">
        <f>IF($A505="","",IF($AP505&lt;&gt;"",IF(INDEX(Raw_D1!$G$2:$G$1001,$AP505),1,0),IF($AR505&lt;&gt;"",IF(INDEX(Raw_D3!$G$2:$G$1001,$AR505),1,0),"")))</f>
        <v>0</v>
      </c>
      <c r="H505" s="5">
        <f>IF($A505="","",IF($AP505&lt;&gt;"",INDEX(Raw_D1!$H$2:$H$1001,$AP505),IF($AR505&lt;&gt;"",INDEX(Raw_D3!$H$2:$H$1001,$AR505),"")))</f>
        <v>0</v>
      </c>
      <c r="I505" s="5">
        <f>IF($A505="","",IF($AP505&lt;&gt;"",INDEX(Raw_D1!$I$2:$I$1001,$AP505),IF($AR505&lt;&gt;"",INDEX(Raw_D3!$I$2:$I$1001,$AR505),"")))</f>
        <v>1</v>
      </c>
      <c r="J505" s="16">
        <f>IF($A505="","",IF($AP505&lt;&gt;"",INDEX(Raw_D1!$J$2:$J$1001,$AP505),IF($AR505&lt;&gt;"",INDEX(Raw_D3!$J$2:$J$1001,$AR505),"")))</f>
        <v>0.04</v>
      </c>
      <c r="K505" s="17">
        <f>IF($A505="","",IF($AQ505&lt;&gt;"",IF(INDEX(Raw_D2!$C$2:$C$1001,$AQ505)="","",INDEX(Raw_D2!$C$2:$C$1001,$AQ505)),IF($AR505&lt;&gt;"",IF(INDEX(Raw_D3!$K$2:$K$1001,$AR505)="","",INDEX(Raw_D3!$K$2:$K$1001,$AR505)),"")))</f>
        <v>0.0758</v>
      </c>
      <c r="L505" s="16">
        <f>IF($A505="","",IF($AQ505&lt;&gt;"",IF(INDEX(Raw_D2!$D$2:$D$1001,$AQ505)="","",INDEX(Raw_D2!$D$2:$D$1001,$AQ505)),IF($AR505&lt;&gt;"",IF(INDEX(Raw_D3!$L$2:$L$1001,$AR505)="","",INDEX(Raw_D3!$L$2:$L$1001,$AR505)),"")))</f>
        <v>0.57</v>
      </c>
      <c r="M505" s="17">
        <f>IF($A505="","",IF($AQ505&lt;&gt;"",IF(INDEX(Raw_D2!$E$2:$E$1001,$AQ505)="","",INDEX(Raw_D2!$E$2:$E$1001,$AQ505)),IF($AR505&lt;&gt;"",IF(INDEX(Raw_D3!$M$2:$M$1001,$AR505)="","",INDEX(Raw_D3!$M$2:$M$1001,$AR505)),"")))</f>
        <v>0.1045</v>
      </c>
      <c r="N505" s="5">
        <f>IF($A505="","",IF($AQ505&lt;&gt;"",IF(INDEX(Raw_D2!$F$2:$F$1001,$AQ505)="","",INDEX(Raw_D2!$F$2:$F$1001,$AQ505)),IF($AR505&lt;&gt;"",IF(INDEX(Raw_D3!$N$2:$N$1001,$AR505)="","",INDEX(Raw_D3!$N$2:$N$1001,$AR505)),"")))</f>
        <v>1</v>
      </c>
      <c r="O505" s="5">
        <f>IF($A505="","",IF($AQ505&lt;&gt;"",IF(INDEX(Raw_D2!$G$2:$G$1001,$AQ505)="","",INDEX(Raw_D2!$G$2:$G$1001,$AQ505)),IF($AR505&lt;&gt;"",IF(INDEX(Raw_D3!$O$2:$O$1001,$AR505)="","",INDEX(Raw_D3!$O$2:$O$1001,$AR505)),"")))</f>
        <v>12</v>
      </c>
      <c r="P505" s="5">
        <f>IF($A505="","",IF($AQ505&lt;&gt;"",IF(INDEX(Raw_D2!$H$2:$H$1001,$AQ505)="","",INDEX(Raw_D2!$H$2:$H$1001,$AQ505)),IF($AR505&lt;&gt;"",IF(INDEX(Raw_D3!$P$2:$P$1001,$AR505)="","",INDEX(Raw_D3!$P$2:$P$1001,$AR505)),"")))</f>
        <v>13</v>
      </c>
      <c r="Q505" s="5" t="str">
        <f>IF($A505="","",IF(AND($AP505&lt;&gt;"",$AQ505&lt;&gt;""),"D1+D2",IF($AR505&lt;&gt;"","D3","Incomplete")))</f>
        <v>D1+D2</v>
      </c>
      <c r="R505" s="17">
        <f>IF($A505="","",IF($K505="",IF($J505="","",ROUND(Lookups!$K$5+Lookups!$K$4*$J505,4)),$K505))</f>
        <v>0.0758</v>
      </c>
      <c r="S505" s="5" t="str">
        <f>IF($A505="","",IF($K505="","Imputed","Original"))</f>
        <v>Original</v>
      </c>
      <c r="T505" s="5" t="str">
        <f>IF($A505="","",IF($P505="","Missing",IF($P505=$N505+$O505,"OK","Mismatch")))</f>
        <v>OK</v>
      </c>
      <c r="U505" s="5" t="str">
        <f>IF($A505="","",IF(COUNTIF($A$2:$A505,$A505)&gt;1,"Duplicate","Unique"))</f>
        <v>Unique</v>
      </c>
      <c r="V505" s="5">
        <f>IF($A505="","",IF(AND($U505="Unique",ISNUMBER($P505)),1,0))</f>
        <v>1</v>
      </c>
      <c r="W505" s="5" t="str">
        <f>IF($A505="","",IF(OR($H505=0,$H505=6),"Weekend","Weekday"))</f>
        <v>Weekend</v>
      </c>
      <c r="X505" s="5" t="str">
        <f>IF($A505="","",TEXT($B505,"ddd"))</f>
        <v>Sun</v>
      </c>
      <c r="Y505" s="5" t="str">
        <f>IF($A505="","",TEXT($B505,"mmm"))</f>
        <v>Jan</v>
      </c>
      <c r="Z505" s="5" t="str">
        <f>IF($A505="","",IFERROR(VLOOKUP($C505,Lookups!$D$4:$E$7,2,FALSE),"Unknown"))</f>
        <v>Winter</v>
      </c>
      <c r="AA505" s="5" t="str">
        <f>IF($A505="","",IFERROR(VLOOKUP($I505,Lookups!$A$4:$B$7,2,FALSE),"Unknown"))</f>
        <v>Clear</v>
      </c>
      <c r="AB505" s="5" t="str">
        <f>IF($A505="","",TEXT($F505,"00")&amp;":00")</f>
        <v>01:00</v>
      </c>
      <c r="AC505" s="5" t="str">
        <f>IF($A505="","",VLOOKUP($F505,Lookups!$G$4:$H$8,2,TRUE))</f>
        <v>Night (00-05)</v>
      </c>
      <c r="AD505" s="18">
        <f>IF($A505="","",IF($J505="","",ROUND($J505*41,1)))</f>
        <v>1.6</v>
      </c>
      <c r="AE505" s="18">
        <f>IF($A505="","",IF($R505="","",ROUND($R505*50,1)))</f>
        <v>3.8</v>
      </c>
      <c r="AF505" s="5">
        <f>IF($A505="","",IF($L505="","",ROUND($L505*100,0)))</f>
        <v>57</v>
      </c>
      <c r="AG505" s="18">
        <f>IF($A505="","",IF($M505="","",ROUND($M505*67,1)))</f>
        <v>7</v>
      </c>
      <c r="AH505" s="19">
        <f>IF($A505="","",IF($P505="","",IF($P505=0,0,$O505/$P505)))</f>
        <v>0.923076923076923</v>
      </c>
      <c r="AI505" s="5" t="str">
        <f>IF($A505="","",IF($P505="","",IF($P505&gt;=Lookups!$K$7,"High",IF($P505&lt;=Lookups!$K$8,"Low","Medium"))))</f>
        <v>Low</v>
      </c>
      <c r="AJ505" s="5" t="str">
        <f>IF($A505="","",IF($AD505="","",IF($AD505&lt;5,"Under 5 C",IF($AD505&lt;10,"5-10 C",IF($AD505&lt;15,"10-15 C","15 C and above")))))</f>
        <v>Under 5 C</v>
      </c>
      <c r="AK505" s="5">
        <f>IF($A505="","",IF($P505="","",$P505^2))</f>
        <v>169</v>
      </c>
      <c r="AL505" s="18">
        <f>IF($V505&lt;&gt;1,"",AVERAGEIFS(Clean_Data!$P$2:$P$1001,Clean_Data!$F$2:$F$1001,$F505,Clean_Data!$W$2:$W$1001,$W505,Clean_Data!$V$2:$V$1001,1))</f>
        <v>22.2857142857143</v>
      </c>
      <c r="AM505" s="16">
        <f>IF($V505&lt;&gt;1,"",IFERROR(($P505-$AL505)/SQRT(MAX(0,(SUMIFS(Clean_Data!$AK$2:$AK$1001,Clean_Data!$F$2:$F$1001,$F505,Clean_Data!$W$2:$W$1001,$W505,Clean_Data!$V$2:$V$1001,1)-COUNTIFS(Clean_Data!$F$2:$F$1001,$F505,Clean_Data!$W$2:$W$1001,$W505,Clean_Data!$V$2:$V$1001,1)*$AL505^2)/(COUNTIFS(Clean_Data!$F$2:$F$1001,$F505,Clean_Data!$W$2:$W$1001,$W505,Clean_Data!$V$2:$V$1001,1)-1))),""))</f>
        <v>-0.95429614104722</v>
      </c>
      <c r="AN505" s="5" t="str">
        <f>IF($AM505="","",IF($AM505&gt;=Lookups!$K$6,"High spike",IF($AM505&lt;=-Lookups!$K$6,"Unusual low","Normal")))</f>
        <v>Normal</v>
      </c>
      <c r="AO505" s="20">
        <f>IF($V505&lt;&gt;1,"",$P505+ROW()/100000)</f>
        <v>13.00505</v>
      </c>
      <c r="AP505" s="5">
        <f>IF($A505="","",IFERROR(MATCH($A505,Raw_D1!$A$2:$A$1001,0),""))</f>
        <v>504</v>
      </c>
      <c r="AQ505" s="5">
        <f>IF($A505="","",IFERROR(MATCH($A505,Raw_D2!$B$2:$B$1001,0),""))</f>
        <v>504</v>
      </c>
      <c r="AR505" s="5">
        <f>IF($A505="","",IFERROR(MATCH($A505,Raw_D3!$A$2:$A$1001,0),""))</f>
        <v/>
      </c>
    </row>
    <row r="506" spans="1:44" x14ac:dyDescent="0.25">
      <c r="A506" s="5">
        <v>505</v>
      </c>
      <c r="B506" s="11">
        <f>IF($A506="","",IF($AP506&lt;&gt;"",INDEX(Raw_D1!$B$2:$B$1001,$AP506),IF($AR506&lt;&gt;"",INDEX(Raw_D3!$B$2:$B$1001,$AR506),"")))</f>
        <v>40566.0</v>
      </c>
      <c r="C506" s="5">
        <f>IF($A506="","",IF($AP506&lt;&gt;"",INDEX(Raw_D1!$C$2:$C$1001,$AP506),IF($AR506&lt;&gt;"",INDEX(Raw_D3!$C$2:$C$1001,$AR506),"")))</f>
        <v>1</v>
      </c>
      <c r="D506" s="5">
        <f>IF($A506="","",IF($AP506&lt;&gt;"",INDEX(Raw_D1!$D$2:$D$1001,$AP506),IF($AR506&lt;&gt;"",INDEX(Raw_D3!$D$2:$D$1001,$AR506),"")))</f>
        <v>0</v>
      </c>
      <c r="E506" s="5">
        <f>IF($A506="","",IF($AP506&lt;&gt;"",INDEX(Raw_D1!$E$2:$E$1001,$AP506),IF($AR506&lt;&gt;"",INDEX(Raw_D3!$E$2:$E$1001,$AR506),"")))</f>
        <v>1</v>
      </c>
      <c r="F506" s="5">
        <f>IF($A506="","",IF($AP506&lt;&gt;"",INDEX(Raw_D1!$F$2:$F$1001,$AP506),IF($AR506&lt;&gt;"",INDEX(Raw_D3!$F$2:$F$1001,$AR506),"")))</f>
        <v>2</v>
      </c>
      <c r="G506" s="5">
        <f>IF($A506="","",IF($AP506&lt;&gt;"",IF(INDEX(Raw_D1!$G$2:$G$1001,$AP506),1,0),IF($AR506&lt;&gt;"",IF(INDEX(Raw_D3!$G$2:$G$1001,$AR506),1,0),"")))</f>
        <v>0</v>
      </c>
      <c r="H506" s="5">
        <f>IF($A506="","",IF($AP506&lt;&gt;"",INDEX(Raw_D1!$H$2:$H$1001,$AP506),IF($AR506&lt;&gt;"",INDEX(Raw_D3!$H$2:$H$1001,$AR506),"")))</f>
        <v>0</v>
      </c>
      <c r="I506" s="5">
        <f>IF($A506="","",IF($AP506&lt;&gt;"",INDEX(Raw_D1!$I$2:$I$1001,$AP506),IF($AR506&lt;&gt;"",INDEX(Raw_D3!$I$2:$I$1001,$AR506),"")))</f>
        <v>1</v>
      </c>
      <c r="J506" s="16">
        <f>IF($A506="","",IF($AP506&lt;&gt;"",INDEX(Raw_D1!$J$2:$J$1001,$AP506),IF($AR506&lt;&gt;"",INDEX(Raw_D3!$J$2:$J$1001,$AR506),"")))</f>
        <v>0.02</v>
      </c>
      <c r="K506" s="17">
        <f>IF($A506="","",IF($AQ506&lt;&gt;"",IF(INDEX(Raw_D2!$C$2:$C$1001,$AQ506)="","",INDEX(Raw_D2!$C$2:$C$1001,$AQ506)),IF($AR506&lt;&gt;"",IF(INDEX(Raw_D3!$K$2:$K$1001,$AR506)="","",INDEX(Raw_D3!$K$2:$K$1001,$AR506)),"")))</f>
        <v>0.0606</v>
      </c>
      <c r="L506" s="16">
        <f>IF($A506="","",IF($AQ506&lt;&gt;"",IF(INDEX(Raw_D2!$D$2:$D$1001,$AQ506)="","",INDEX(Raw_D2!$D$2:$D$1001,$AQ506)),IF($AR506&lt;&gt;"",IF(INDEX(Raw_D3!$L$2:$L$1001,$AR506)="","",INDEX(Raw_D3!$L$2:$L$1001,$AR506)),"")))</f>
        <v>0.62</v>
      </c>
      <c r="M506" s="17">
        <f>IF($A506="","",IF($AQ506&lt;&gt;"",IF(INDEX(Raw_D2!$E$2:$E$1001,$AQ506)="","",INDEX(Raw_D2!$E$2:$E$1001,$AQ506)),IF($AR506&lt;&gt;"",IF(INDEX(Raw_D3!$M$2:$M$1001,$AR506)="","",INDEX(Raw_D3!$M$2:$M$1001,$AR506)),"")))</f>
        <v>0.1343</v>
      </c>
      <c r="N506" s="5">
        <f>IF($A506="","",IF($AQ506&lt;&gt;"",IF(INDEX(Raw_D2!$F$2:$F$1001,$AQ506)="","",INDEX(Raw_D2!$F$2:$F$1001,$AQ506)),IF($AR506&lt;&gt;"",IF(INDEX(Raw_D3!$N$2:$N$1001,$AR506)="","",INDEX(Raw_D3!$N$2:$N$1001,$AR506)),"")))</f>
        <v>3</v>
      </c>
      <c r="O506" s="5">
        <f>IF($A506="","",IF($AQ506&lt;&gt;"",IF(INDEX(Raw_D2!$G$2:$G$1001,$AQ506)="","",INDEX(Raw_D2!$G$2:$G$1001,$AQ506)),IF($AR506&lt;&gt;"",IF(INDEX(Raw_D3!$O$2:$O$1001,$AR506)="","",INDEX(Raw_D3!$O$2:$O$1001,$AR506)),"")))</f>
        <v>15</v>
      </c>
      <c r="P506" s="5">
        <f>IF($A506="","",IF($AQ506&lt;&gt;"",IF(INDEX(Raw_D2!$H$2:$H$1001,$AQ506)="","",INDEX(Raw_D2!$H$2:$H$1001,$AQ506)),IF($AR506&lt;&gt;"",IF(INDEX(Raw_D3!$P$2:$P$1001,$AR506)="","",INDEX(Raw_D3!$P$2:$P$1001,$AR506)),"")))</f>
        <v>18</v>
      </c>
      <c r="Q506" s="5" t="str">
        <f>IF($A506="","",IF(AND($AP506&lt;&gt;"",$AQ506&lt;&gt;""),"D1+D2",IF($AR506&lt;&gt;"","D3","Incomplete")))</f>
        <v>D1+D2</v>
      </c>
      <c r="R506" s="17">
        <f>IF($A506="","",IF($K506="",IF($J506="","",ROUND(Lookups!$K$5+Lookups!$K$4*$J506,4)),$K506))</f>
        <v>0.0606</v>
      </c>
      <c r="S506" s="5" t="str">
        <f>IF($A506="","",IF($K506="","Imputed","Original"))</f>
        <v>Original</v>
      </c>
      <c r="T506" s="5" t="str">
        <f>IF($A506="","",IF($P506="","Missing",IF($P506=$N506+$O506,"OK","Mismatch")))</f>
        <v>OK</v>
      </c>
      <c r="U506" s="5" t="str">
        <f>IF($A506="","",IF(COUNTIF($A$2:$A506,$A506)&gt;1,"Duplicate","Unique"))</f>
        <v>Unique</v>
      </c>
      <c r="V506" s="5">
        <f>IF($A506="","",IF(AND($U506="Unique",ISNUMBER($P506)),1,0))</f>
        <v>1</v>
      </c>
      <c r="W506" s="5" t="str">
        <f>IF($A506="","",IF(OR($H506=0,$H506=6),"Weekend","Weekday"))</f>
        <v>Weekend</v>
      </c>
      <c r="X506" s="5" t="str">
        <f>IF($A506="","",TEXT($B506,"ddd"))</f>
        <v>Sun</v>
      </c>
      <c r="Y506" s="5" t="str">
        <f>IF($A506="","",TEXT($B506,"mmm"))</f>
        <v>Jan</v>
      </c>
      <c r="Z506" s="5" t="str">
        <f>IF($A506="","",IFERROR(VLOOKUP($C506,Lookups!$D$4:$E$7,2,FALSE),"Unknown"))</f>
        <v>Winter</v>
      </c>
      <c r="AA506" s="5" t="str">
        <f>IF($A506="","",IFERROR(VLOOKUP($I506,Lookups!$A$4:$B$7,2,FALSE),"Unknown"))</f>
        <v>Clear</v>
      </c>
      <c r="AB506" s="5" t="str">
        <f>IF($A506="","",TEXT($F506,"00")&amp;":00")</f>
        <v>02:00</v>
      </c>
      <c r="AC506" s="5" t="str">
        <f>IF($A506="","",VLOOKUP($F506,Lookups!$G$4:$H$8,2,TRUE))</f>
        <v>Night (00-05)</v>
      </c>
      <c r="AD506" s="18">
        <f>IF($A506="","",IF($J506="","",ROUND($J506*41,1)))</f>
        <v>0.8</v>
      </c>
      <c r="AE506" s="18">
        <f>IF($A506="","",IF($R506="","",ROUND($R506*50,1)))</f>
        <v>3</v>
      </c>
      <c r="AF506" s="5">
        <f>IF($A506="","",IF($L506="","",ROUND($L506*100,0)))</f>
        <v>62</v>
      </c>
      <c r="AG506" s="18">
        <f>IF($A506="","",IF($M506="","",ROUND($M506*67,1)))</f>
        <v>9</v>
      </c>
      <c r="AH506" s="19">
        <f>IF($A506="","",IF($P506="","",IF($P506=0,0,$O506/$P506)))</f>
        <v>0.833333333333333</v>
      </c>
      <c r="AI506" s="5" t="str">
        <f>IF($A506="","",IF($P506="","",IF($P506&gt;=Lookups!$K$7,"High",IF($P506&lt;=Lookups!$K$8,"Low","Medium"))))</f>
        <v>Medium</v>
      </c>
      <c r="AJ506" s="5" t="str">
        <f>IF($A506="","",IF($AD506="","",IF($AD506&lt;5,"Under 5 C",IF($AD506&lt;10,"5-10 C",IF($AD506&lt;15,"10-15 C","15 C and above")))))</f>
        <v>Under 5 C</v>
      </c>
      <c r="AK506" s="5">
        <f>IF($A506="","",IF($P506="","",$P506^2))</f>
        <v>324</v>
      </c>
      <c r="AL506" s="18">
        <f>IF($V506&lt;&gt;1,"",AVERAGEIFS(Clean_Data!$P$2:$P$1001,Clean_Data!$F$2:$F$1001,$F506,Clean_Data!$W$2:$W$1001,$W506,Clean_Data!$V$2:$V$1001,1))</f>
        <v>15.9285714285714</v>
      </c>
      <c r="AM506" s="16">
        <f>IF($V506&lt;&gt;1,"",IFERROR(($P506-$AL506)/SQRT(MAX(0,(SUMIFS(Clean_Data!$AK$2:$AK$1001,Clean_Data!$F$2:$F$1001,$F506,Clean_Data!$W$2:$W$1001,$W506,Clean_Data!$V$2:$V$1001,1)-COUNTIFS(Clean_Data!$F$2:$F$1001,$F506,Clean_Data!$W$2:$W$1001,$W506,Clean_Data!$V$2:$V$1001,1)*$AL506^2)/(COUNTIFS(Clean_Data!$F$2:$F$1001,$F506,Clean_Data!$W$2:$W$1001,$W506,Clean_Data!$V$2:$V$1001,1)-1))),""))</f>
        <v>0.358123375412045</v>
      </c>
      <c r="AN506" s="5" t="str">
        <f>IF($AM506="","",IF($AM506&gt;=Lookups!$K$6,"High spike",IF($AM506&lt;=-Lookups!$K$6,"Unusual low","Normal")))</f>
        <v>Normal</v>
      </c>
      <c r="AO506" s="20">
        <f>IF($V506&lt;&gt;1,"",$P506+ROW()/100000)</f>
        <v>18.00506</v>
      </c>
      <c r="AP506" s="5">
        <f>IF($A506="","",IFERROR(MATCH($A506,Raw_D1!$A$2:$A$1001,0),""))</f>
        <v>505</v>
      </c>
      <c r="AQ506" s="5">
        <f>IF($A506="","",IFERROR(MATCH($A506,Raw_D2!$B$2:$B$1001,0),""))</f>
        <v>505</v>
      </c>
      <c r="AR506" s="5">
        <f>IF($A506="","",IFERROR(MATCH($A506,Raw_D3!$A$2:$A$1001,0),""))</f>
        <v/>
      </c>
    </row>
    <row r="507" spans="1:44" x14ac:dyDescent="0.25">
      <c r="A507" s="5">
        <v>506</v>
      </c>
      <c r="B507" s="11">
        <f>IF($A507="","",IF($AP507&lt;&gt;"",INDEX(Raw_D1!$B$2:$B$1001,$AP507),IF($AR507&lt;&gt;"",INDEX(Raw_D3!$B$2:$B$1001,$AR507),"")))</f>
        <v>40566.0</v>
      </c>
      <c r="C507" s="5">
        <f>IF($A507="","",IF($AP507&lt;&gt;"",INDEX(Raw_D1!$C$2:$C$1001,$AP507),IF($AR507&lt;&gt;"",INDEX(Raw_D3!$C$2:$C$1001,$AR507),"")))</f>
        <v>1</v>
      </c>
      <c r="D507" s="5">
        <f>IF($A507="","",IF($AP507&lt;&gt;"",INDEX(Raw_D1!$D$2:$D$1001,$AP507),IF($AR507&lt;&gt;"",INDEX(Raw_D3!$D$2:$D$1001,$AR507),"")))</f>
        <v>0</v>
      </c>
      <c r="E507" s="5">
        <f>IF($A507="","",IF($AP507&lt;&gt;"",INDEX(Raw_D1!$E$2:$E$1001,$AP507),IF($AR507&lt;&gt;"",INDEX(Raw_D3!$E$2:$E$1001,$AR507),"")))</f>
        <v>1</v>
      </c>
      <c r="F507" s="5">
        <f>IF($A507="","",IF($AP507&lt;&gt;"",INDEX(Raw_D1!$F$2:$F$1001,$AP507),IF($AR507&lt;&gt;"",INDEX(Raw_D3!$F$2:$F$1001,$AR507),"")))</f>
        <v>3</v>
      </c>
      <c r="G507" s="5">
        <f>IF($A507="","",IF($AP507&lt;&gt;"",IF(INDEX(Raw_D1!$G$2:$G$1001,$AP507),1,0),IF($AR507&lt;&gt;"",IF(INDEX(Raw_D3!$G$2:$G$1001,$AR507),1,0),"")))</f>
        <v>0</v>
      </c>
      <c r="H507" s="5">
        <f>IF($A507="","",IF($AP507&lt;&gt;"",INDEX(Raw_D1!$H$2:$H$1001,$AP507),IF($AR507&lt;&gt;"",INDEX(Raw_D3!$H$2:$H$1001,$AR507),"")))</f>
        <v>0</v>
      </c>
      <c r="I507" s="5">
        <f>IF($A507="","",IF($AP507&lt;&gt;"",INDEX(Raw_D1!$I$2:$I$1001,$AP507),IF($AR507&lt;&gt;"",INDEX(Raw_D3!$I$2:$I$1001,$AR507),"")))</f>
        <v>1</v>
      </c>
      <c r="J507" s="16">
        <f>IF($A507="","",IF($AP507&lt;&gt;"",INDEX(Raw_D1!$J$2:$J$1001,$AP507),IF($AR507&lt;&gt;"",INDEX(Raw_D3!$J$2:$J$1001,$AR507),"")))</f>
        <v>0.02</v>
      </c>
      <c r="K507" s="17">
        <f>IF($A507="","",IF($AQ507&lt;&gt;"",IF(INDEX(Raw_D2!$C$2:$C$1001,$AQ507)="","",INDEX(Raw_D2!$C$2:$C$1001,$AQ507)),IF($AR507&lt;&gt;"",IF(INDEX(Raw_D3!$K$2:$K$1001,$AR507)="","",INDEX(Raw_D3!$K$2:$K$1001,$AR507)),"")))</f>
        <v>0.0606</v>
      </c>
      <c r="L507" s="16">
        <f>IF($A507="","",IF($AQ507&lt;&gt;"",IF(INDEX(Raw_D2!$D$2:$D$1001,$AQ507)="","",INDEX(Raw_D2!$D$2:$D$1001,$AQ507)),IF($AR507&lt;&gt;"",IF(INDEX(Raw_D3!$L$2:$L$1001,$AR507)="","",INDEX(Raw_D3!$L$2:$L$1001,$AR507)),"")))</f>
        <v>0.62</v>
      </c>
      <c r="M507" s="17">
        <f>IF($A507="","",IF($AQ507&lt;&gt;"",IF(INDEX(Raw_D2!$E$2:$E$1001,$AQ507)="","",INDEX(Raw_D2!$E$2:$E$1001,$AQ507)),IF($AR507&lt;&gt;"",IF(INDEX(Raw_D3!$M$2:$M$1001,$AR507)="","",INDEX(Raw_D3!$M$2:$M$1001,$AR507)),"")))</f>
        <v>0.1343</v>
      </c>
      <c r="N507" s="5">
        <f>IF($A507="","",IF($AQ507&lt;&gt;"",IF(INDEX(Raw_D2!$F$2:$F$1001,$AQ507)="","",INDEX(Raw_D2!$F$2:$F$1001,$AQ507)),IF($AR507&lt;&gt;"",IF(INDEX(Raw_D3!$N$2:$N$1001,$AR507)="","",INDEX(Raw_D3!$N$2:$N$1001,$AR507)),"")))</f>
        <v>1</v>
      </c>
      <c r="O507" s="5">
        <f>IF($A507="","",IF($AQ507&lt;&gt;"",IF(INDEX(Raw_D2!$G$2:$G$1001,$AQ507)="","",INDEX(Raw_D2!$G$2:$G$1001,$AQ507)),IF($AR507&lt;&gt;"",IF(INDEX(Raw_D3!$O$2:$O$1001,$AR507)="","",INDEX(Raw_D3!$O$2:$O$1001,$AR507)),"")))</f>
        <v>4</v>
      </c>
      <c r="P507" s="5">
        <f>IF($A507="","",IF($AQ507&lt;&gt;"",IF(INDEX(Raw_D2!$H$2:$H$1001,$AQ507)="","",INDEX(Raw_D2!$H$2:$H$1001,$AQ507)),IF($AR507&lt;&gt;"",IF(INDEX(Raw_D3!$P$2:$P$1001,$AR507)="","",INDEX(Raw_D3!$P$2:$P$1001,$AR507)),"")))</f>
        <v>5</v>
      </c>
      <c r="Q507" s="5" t="str">
        <f>IF($A507="","",IF(AND($AP507&lt;&gt;"",$AQ507&lt;&gt;""),"D1+D2",IF($AR507&lt;&gt;"","D3","Incomplete")))</f>
        <v>D1+D2</v>
      </c>
      <c r="R507" s="17">
        <f>IF($A507="","",IF($K507="",IF($J507="","",ROUND(Lookups!$K$5+Lookups!$K$4*$J507,4)),$K507))</f>
        <v>0.0606</v>
      </c>
      <c r="S507" s="5" t="str">
        <f>IF($A507="","",IF($K507="","Imputed","Original"))</f>
        <v>Original</v>
      </c>
      <c r="T507" s="5" t="str">
        <f>IF($A507="","",IF($P507="","Missing",IF($P507=$N507+$O507,"OK","Mismatch")))</f>
        <v>OK</v>
      </c>
      <c r="U507" s="5" t="str">
        <f>IF($A507="","",IF(COUNTIF($A$2:$A507,$A507)&gt;1,"Duplicate","Unique"))</f>
        <v>Unique</v>
      </c>
      <c r="V507" s="5">
        <f>IF($A507="","",IF(AND($U507="Unique",ISNUMBER($P507)),1,0))</f>
        <v>1</v>
      </c>
      <c r="W507" s="5" t="str">
        <f>IF($A507="","",IF(OR($H507=0,$H507=6),"Weekend","Weekday"))</f>
        <v>Weekend</v>
      </c>
      <c r="X507" s="5" t="str">
        <f>IF($A507="","",TEXT($B507,"ddd"))</f>
        <v>Sun</v>
      </c>
      <c r="Y507" s="5" t="str">
        <f>IF($A507="","",TEXT($B507,"mmm"))</f>
        <v>Jan</v>
      </c>
      <c r="Z507" s="5" t="str">
        <f>IF($A507="","",IFERROR(VLOOKUP($C507,Lookups!$D$4:$E$7,2,FALSE),"Unknown"))</f>
        <v>Winter</v>
      </c>
      <c r="AA507" s="5" t="str">
        <f>IF($A507="","",IFERROR(VLOOKUP($I507,Lookups!$A$4:$B$7,2,FALSE),"Unknown"))</f>
        <v>Clear</v>
      </c>
      <c r="AB507" s="5" t="str">
        <f>IF($A507="","",TEXT($F507,"00")&amp;":00")</f>
        <v>03:00</v>
      </c>
      <c r="AC507" s="5" t="str">
        <f>IF($A507="","",VLOOKUP($F507,Lookups!$G$4:$H$8,2,TRUE))</f>
        <v>Night (00-05)</v>
      </c>
      <c r="AD507" s="18">
        <f>IF($A507="","",IF($J507="","",ROUND($J507*41,1)))</f>
        <v>0.8</v>
      </c>
      <c r="AE507" s="18">
        <f>IF($A507="","",IF($R507="","",ROUND($R507*50,1)))</f>
        <v>3</v>
      </c>
      <c r="AF507" s="5">
        <f>IF($A507="","",IF($L507="","",ROUND($L507*100,0)))</f>
        <v>62</v>
      </c>
      <c r="AG507" s="18">
        <f>IF($A507="","",IF($M507="","",ROUND($M507*67,1)))</f>
        <v>9</v>
      </c>
      <c r="AH507" s="19">
        <f>IF($A507="","",IF($P507="","",IF($P507=0,0,$O507/$P507)))</f>
        <v>0.8</v>
      </c>
      <c r="AI507" s="5" t="str">
        <f>IF($A507="","",IF($P507="","",IF($P507&gt;=Lookups!$K$7,"High",IF($P507&lt;=Lookups!$K$8,"Low","Medium"))))</f>
        <v>Low</v>
      </c>
      <c r="AJ507" s="5" t="str">
        <f>IF($A507="","",IF($AD507="","",IF($AD507&lt;5,"Under 5 C",IF($AD507&lt;10,"5-10 C",IF($AD507&lt;15,"10-15 C","15 C and above")))))</f>
        <v>Under 5 C</v>
      </c>
      <c r="AK507" s="5">
        <f>IF($A507="","",IF($P507="","",$P507^2))</f>
        <v>25</v>
      </c>
      <c r="AL507" s="18">
        <f>IF($V507&lt;&gt;1,"",AVERAGEIFS(Clean_Data!$P$2:$P$1001,Clean_Data!$F$2:$F$1001,$F507,Clean_Data!$W$2:$W$1001,$W507,Clean_Data!$V$2:$V$1001,1))</f>
        <v>9.07142857142857</v>
      </c>
      <c r="AM507" s="16">
        <f>IF($V507&lt;&gt;1,"",IFERROR(($P507-$AL507)/SQRT(MAX(0,(SUMIFS(Clean_Data!$AK$2:$AK$1001,Clean_Data!$F$2:$F$1001,$F507,Clean_Data!$W$2:$W$1001,$W507,Clean_Data!$V$2:$V$1001,1)-COUNTIFS(Clean_Data!$F$2:$F$1001,$F507,Clean_Data!$W$2:$W$1001,$W507,Clean_Data!$V$2:$V$1001,1)*$AL507^2)/(COUNTIFS(Clean_Data!$F$2:$F$1001,$F507,Clean_Data!$W$2:$W$1001,$W507,Clean_Data!$V$2:$V$1001,1)-1))),""))</f>
        <v>-1.2278886067144</v>
      </c>
      <c r="AN507" s="5" t="str">
        <f>IF($AM507="","",IF($AM507&gt;=Lookups!$K$6,"High spike",IF($AM507&lt;=-Lookups!$K$6,"Unusual low","Normal")))</f>
        <v>Normal</v>
      </c>
      <c r="AO507" s="20">
        <f>IF($V507&lt;&gt;1,"",$P507+ROW()/100000)</f>
        <v>5.00507</v>
      </c>
      <c r="AP507" s="5">
        <f>IF($A507="","",IFERROR(MATCH($A507,Raw_D1!$A$2:$A$1001,0),""))</f>
        <v>506</v>
      </c>
      <c r="AQ507" s="5">
        <f>IF($A507="","",IFERROR(MATCH($A507,Raw_D2!$B$2:$B$1001,0),""))</f>
        <v>506</v>
      </c>
      <c r="AR507" s="5">
        <f>IF($A507="","",IFERROR(MATCH($A507,Raw_D3!$A$2:$A$1001,0),""))</f>
        <v/>
      </c>
    </row>
    <row r="508" spans="1:44" x14ac:dyDescent="0.25">
      <c r="A508" s="5">
        <v>507</v>
      </c>
      <c r="B508" s="11">
        <f>IF($A508="","",IF($AP508&lt;&gt;"",INDEX(Raw_D1!$B$2:$B$1001,$AP508),IF($AR508&lt;&gt;"",INDEX(Raw_D3!$B$2:$B$1001,$AR508),"")))</f>
        <v>40566.0</v>
      </c>
      <c r="C508" s="5">
        <f>IF($A508="","",IF($AP508&lt;&gt;"",INDEX(Raw_D1!$C$2:$C$1001,$AP508),IF($AR508&lt;&gt;"",INDEX(Raw_D3!$C$2:$C$1001,$AR508),"")))</f>
        <v>1</v>
      </c>
      <c r="D508" s="5">
        <f>IF($A508="","",IF($AP508&lt;&gt;"",INDEX(Raw_D1!$D$2:$D$1001,$AP508),IF($AR508&lt;&gt;"",INDEX(Raw_D3!$D$2:$D$1001,$AR508),"")))</f>
        <v>0</v>
      </c>
      <c r="E508" s="5">
        <f>IF($A508="","",IF($AP508&lt;&gt;"",INDEX(Raw_D1!$E$2:$E$1001,$AP508),IF($AR508&lt;&gt;"",INDEX(Raw_D3!$E$2:$E$1001,$AR508),"")))</f>
        <v>1</v>
      </c>
      <c r="F508" s="5">
        <f>IF($A508="","",IF($AP508&lt;&gt;"",INDEX(Raw_D1!$F$2:$F$1001,$AP508),IF($AR508&lt;&gt;"",INDEX(Raw_D3!$F$2:$F$1001,$AR508),"")))</f>
        <v>5</v>
      </c>
      <c r="G508" s="5">
        <f>IF($A508="","",IF($AP508&lt;&gt;"",IF(INDEX(Raw_D1!$G$2:$G$1001,$AP508),1,0),IF($AR508&lt;&gt;"",IF(INDEX(Raw_D3!$G$2:$G$1001,$AR508),1,0),"")))</f>
        <v>0</v>
      </c>
      <c r="H508" s="5">
        <f>IF($A508="","",IF($AP508&lt;&gt;"",INDEX(Raw_D1!$H$2:$H$1001,$AP508),IF($AR508&lt;&gt;"",INDEX(Raw_D3!$H$2:$H$1001,$AR508),"")))</f>
        <v>0</v>
      </c>
      <c r="I508" s="5">
        <f>IF($A508="","",IF($AP508&lt;&gt;"",INDEX(Raw_D1!$I$2:$I$1001,$AP508),IF($AR508&lt;&gt;"",INDEX(Raw_D3!$I$2:$I$1001,$AR508),"")))</f>
        <v>2</v>
      </c>
      <c r="J508" s="16">
        <f>IF($A508="","",IF($AP508&lt;&gt;"",INDEX(Raw_D1!$J$2:$J$1001,$AP508),IF($AR508&lt;&gt;"",INDEX(Raw_D3!$J$2:$J$1001,$AR508),"")))</f>
        <v>0.04</v>
      </c>
      <c r="K508" s="17">
        <f>IF($A508="","",IF($AQ508&lt;&gt;"",IF(INDEX(Raw_D2!$C$2:$C$1001,$AQ508)="","",INDEX(Raw_D2!$C$2:$C$1001,$AQ508)),IF($AR508&lt;&gt;"",IF(INDEX(Raw_D3!$K$2:$K$1001,$AR508)="","",INDEX(Raw_D3!$K$2:$K$1001,$AR508)),"")))</f>
        <v>0.0758</v>
      </c>
      <c r="L508" s="16">
        <f>IF($A508="","",IF($AQ508&lt;&gt;"",IF(INDEX(Raw_D2!$D$2:$D$1001,$AQ508)="","",INDEX(Raw_D2!$D$2:$D$1001,$AQ508)),IF($AR508&lt;&gt;"",IF(INDEX(Raw_D3!$L$2:$L$1001,$AR508)="","",INDEX(Raw_D3!$L$2:$L$1001,$AR508)),"")))</f>
        <v>0.57</v>
      </c>
      <c r="M508" s="17">
        <f>IF($A508="","",IF($AQ508&lt;&gt;"",IF(INDEX(Raw_D2!$E$2:$E$1001,$AQ508)="","",INDEX(Raw_D2!$E$2:$E$1001,$AQ508)),IF($AR508&lt;&gt;"",IF(INDEX(Raw_D3!$M$2:$M$1001,$AR508)="","",INDEX(Raw_D3!$M$2:$M$1001,$AR508)),"")))</f>
        <v>0.1045</v>
      </c>
      <c r="N508" s="5">
        <f>IF($A508="","",IF($AQ508&lt;&gt;"",IF(INDEX(Raw_D2!$F$2:$F$1001,$AQ508)="","",INDEX(Raw_D2!$F$2:$F$1001,$AQ508)),IF($AR508&lt;&gt;"",IF(INDEX(Raw_D3!$N$2:$N$1001,$AR508)="","",INDEX(Raw_D3!$N$2:$N$1001,$AR508)),"")))</f>
        <v>0</v>
      </c>
      <c r="O508" s="5">
        <f>IF($A508="","",IF($AQ508&lt;&gt;"",IF(INDEX(Raw_D2!$G$2:$G$1001,$AQ508)="","",INDEX(Raw_D2!$G$2:$G$1001,$AQ508)),IF($AR508&lt;&gt;"",IF(INDEX(Raw_D3!$O$2:$O$1001,$AR508)="","",INDEX(Raw_D3!$O$2:$O$1001,$AR508)),"")))</f>
        <v>3</v>
      </c>
      <c r="P508" s="5">
        <f>IF($A508="","",IF($AQ508&lt;&gt;"",IF(INDEX(Raw_D2!$H$2:$H$1001,$AQ508)="","",INDEX(Raw_D2!$H$2:$H$1001,$AQ508)),IF($AR508&lt;&gt;"",IF(INDEX(Raw_D3!$P$2:$P$1001,$AR508)="","",INDEX(Raw_D3!$P$2:$P$1001,$AR508)),"")))</f>
        <v>3</v>
      </c>
      <c r="Q508" s="5" t="str">
        <f>IF($A508="","",IF(AND($AP508&lt;&gt;"",$AQ508&lt;&gt;""),"D1+D2",IF($AR508&lt;&gt;"","D3","Incomplete")))</f>
        <v>D1+D2</v>
      </c>
      <c r="R508" s="17">
        <f>IF($A508="","",IF($K508="",IF($J508="","",ROUND(Lookups!$K$5+Lookups!$K$4*$J508,4)),$K508))</f>
        <v>0.0758</v>
      </c>
      <c r="S508" s="5" t="str">
        <f>IF($A508="","",IF($K508="","Imputed","Original"))</f>
        <v>Original</v>
      </c>
      <c r="T508" s="5" t="str">
        <f>IF($A508="","",IF($P508="","Missing",IF($P508=$N508+$O508,"OK","Mismatch")))</f>
        <v>OK</v>
      </c>
      <c r="U508" s="5" t="str">
        <f>IF($A508="","",IF(COUNTIF($A$2:$A508,$A508)&gt;1,"Duplicate","Unique"))</f>
        <v>Unique</v>
      </c>
      <c r="V508" s="5">
        <f>IF($A508="","",IF(AND($U508="Unique",ISNUMBER($P508)),1,0))</f>
        <v>1</v>
      </c>
      <c r="W508" s="5" t="str">
        <f>IF($A508="","",IF(OR($H508=0,$H508=6),"Weekend","Weekday"))</f>
        <v>Weekend</v>
      </c>
      <c r="X508" s="5" t="str">
        <f>IF($A508="","",TEXT($B508,"ddd"))</f>
        <v>Sun</v>
      </c>
      <c r="Y508" s="5" t="str">
        <f>IF($A508="","",TEXT($B508,"mmm"))</f>
        <v>Jan</v>
      </c>
      <c r="Z508" s="5" t="str">
        <f>IF($A508="","",IFERROR(VLOOKUP($C508,Lookups!$D$4:$E$7,2,FALSE),"Unknown"))</f>
        <v>Winter</v>
      </c>
      <c r="AA508" s="5" t="str">
        <f>IF($A508="","",IFERROR(VLOOKUP($I508,Lookups!$A$4:$B$7,2,FALSE),"Unknown"))</f>
        <v>Mist/Cloudy</v>
      </c>
      <c r="AB508" s="5" t="str">
        <f>IF($A508="","",TEXT($F508,"00")&amp;":00")</f>
        <v>05:00</v>
      </c>
      <c r="AC508" s="5" t="str">
        <f>IF($A508="","",VLOOKUP($F508,Lookups!$G$4:$H$8,2,TRUE))</f>
        <v>Night (00-05)</v>
      </c>
      <c r="AD508" s="18">
        <f>IF($A508="","",IF($J508="","",ROUND($J508*41,1)))</f>
        <v>1.6</v>
      </c>
      <c r="AE508" s="18">
        <f>IF($A508="","",IF($R508="","",ROUND($R508*50,1)))</f>
        <v>3.8</v>
      </c>
      <c r="AF508" s="5">
        <f>IF($A508="","",IF($L508="","",ROUND($L508*100,0)))</f>
        <v>57</v>
      </c>
      <c r="AG508" s="18">
        <f>IF($A508="","",IF($M508="","",ROUND($M508*67,1)))</f>
        <v>7</v>
      </c>
      <c r="AH508" s="19">
        <f>IF($A508="","",IF($P508="","",IF($P508=0,0,$O508/$P508)))</f>
        <v>1</v>
      </c>
      <c r="AI508" s="5" t="str">
        <f>IF($A508="","",IF($P508="","",IF($P508&gt;=Lookups!$K$7,"High",IF($P508&lt;=Lookups!$K$8,"Low","Medium"))))</f>
        <v>Low</v>
      </c>
      <c r="AJ508" s="5" t="str">
        <f>IF($A508="","",IF($AD508="","",IF($AD508&lt;5,"Under 5 C",IF($AD508&lt;10,"5-10 C",IF($AD508&lt;15,"10-15 C","15 C and above")))))</f>
        <v>Under 5 C</v>
      </c>
      <c r="AK508" s="5">
        <f>IF($A508="","",IF($P508="","",$P508^2))</f>
        <v>9</v>
      </c>
      <c r="AL508" s="18">
        <f>IF($V508&lt;&gt;1,"",AVERAGEIFS(Clean_Data!$P$2:$P$1001,Clean_Data!$F$2:$F$1001,$F508,Clean_Data!$W$2:$W$1001,$W508,Clean_Data!$V$2:$V$1001,1))</f>
        <v>2.7</v>
      </c>
      <c r="AM508" s="16">
        <f>IF($V508&lt;&gt;1,"",IFERROR(($P508-$AL508)/SQRT(MAX(0,(SUMIFS(Clean_Data!$AK$2:$AK$1001,Clean_Data!$F$2:$F$1001,$F508,Clean_Data!$W$2:$W$1001,$W508,Clean_Data!$V$2:$V$1001,1)-COUNTIFS(Clean_Data!$F$2:$F$1001,$F508,Clean_Data!$W$2:$W$1001,$W508,Clean_Data!$V$2:$V$1001,1)*$AL508^2)/(COUNTIFS(Clean_Data!$F$2:$F$1001,$F508,Clean_Data!$W$2:$W$1001,$W508,Clean_Data!$V$2:$V$1001,1)-1))),""))</f>
        <v>0.116092796665443</v>
      </c>
      <c r="AN508" s="5" t="str">
        <f>IF($AM508="","",IF($AM508&gt;=Lookups!$K$6,"High spike",IF($AM508&lt;=-Lookups!$K$6,"Unusual low","Normal")))</f>
        <v>Normal</v>
      </c>
      <c r="AO508" s="20">
        <f>IF($V508&lt;&gt;1,"",$P508+ROW()/100000)</f>
        <v>3.00508</v>
      </c>
      <c r="AP508" s="5">
        <f>IF($A508="","",IFERROR(MATCH($A508,Raw_D1!$A$2:$A$1001,0),""))</f>
        <v>507</v>
      </c>
      <c r="AQ508" s="5">
        <f>IF($A508="","",IFERROR(MATCH($A508,Raw_D2!$B$2:$B$1001,0),""))</f>
        <v>507</v>
      </c>
      <c r="AR508" s="5">
        <f>IF($A508="","",IFERROR(MATCH($A508,Raw_D3!$A$2:$A$1001,0),""))</f>
        <v/>
      </c>
    </row>
    <row r="509" spans="1:44" x14ac:dyDescent="0.25">
      <c r="A509" s="5">
        <v>508</v>
      </c>
      <c r="B509" s="11">
        <f>IF($A509="","",IF($AP509&lt;&gt;"",INDEX(Raw_D1!$B$2:$B$1001,$AP509),IF($AR509&lt;&gt;"",INDEX(Raw_D3!$B$2:$B$1001,$AR509),"")))</f>
        <v>40566.0</v>
      </c>
      <c r="C509" s="5">
        <f>IF($A509="","",IF($AP509&lt;&gt;"",INDEX(Raw_D1!$C$2:$C$1001,$AP509),IF($AR509&lt;&gt;"",INDEX(Raw_D3!$C$2:$C$1001,$AR509),"")))</f>
        <v>1</v>
      </c>
      <c r="D509" s="5">
        <f>IF($A509="","",IF($AP509&lt;&gt;"",INDEX(Raw_D1!$D$2:$D$1001,$AP509),IF($AR509&lt;&gt;"",INDEX(Raw_D3!$D$2:$D$1001,$AR509),"")))</f>
        <v>0</v>
      </c>
      <c r="E509" s="5">
        <f>IF($A509="","",IF($AP509&lt;&gt;"",INDEX(Raw_D1!$E$2:$E$1001,$AP509),IF($AR509&lt;&gt;"",INDEX(Raw_D3!$E$2:$E$1001,$AR509),"")))</f>
        <v>1</v>
      </c>
      <c r="F509" s="5">
        <f>IF($A509="","",IF($AP509&lt;&gt;"",INDEX(Raw_D1!$F$2:$F$1001,$AP509),IF($AR509&lt;&gt;"",INDEX(Raw_D3!$F$2:$F$1001,$AR509),"")))</f>
        <v>6</v>
      </c>
      <c r="G509" s="5">
        <f>IF($A509="","",IF($AP509&lt;&gt;"",IF(INDEX(Raw_D1!$G$2:$G$1001,$AP509),1,0),IF($AR509&lt;&gt;"",IF(INDEX(Raw_D3!$G$2:$G$1001,$AR509),1,0),"")))</f>
        <v>0</v>
      </c>
      <c r="H509" s="5">
        <f>IF($A509="","",IF($AP509&lt;&gt;"",INDEX(Raw_D1!$H$2:$H$1001,$AP509),IF($AR509&lt;&gt;"",INDEX(Raw_D3!$H$2:$H$1001,$AR509),"")))</f>
        <v>0</v>
      </c>
      <c r="I509" s="5">
        <f>IF($A509="","",IF($AP509&lt;&gt;"",INDEX(Raw_D1!$I$2:$I$1001,$AP509),IF($AR509&lt;&gt;"",INDEX(Raw_D3!$I$2:$I$1001,$AR509),"")))</f>
        <v>2</v>
      </c>
      <c r="J509" s="16">
        <f>IF($A509="","",IF($AP509&lt;&gt;"",INDEX(Raw_D1!$J$2:$J$1001,$AP509),IF($AR509&lt;&gt;"",INDEX(Raw_D3!$J$2:$J$1001,$AR509),"")))</f>
        <v>0.04</v>
      </c>
      <c r="K509" s="17">
        <f>IF($A509="","",IF($AQ509&lt;&gt;"",IF(INDEX(Raw_D2!$C$2:$C$1001,$AQ509)="","",INDEX(Raw_D2!$C$2:$C$1001,$AQ509)),IF($AR509&lt;&gt;"",IF(INDEX(Raw_D3!$K$2:$K$1001,$AR509)="","",INDEX(Raw_D3!$K$2:$K$1001,$AR509)),"")))</f>
        <v>0.0758</v>
      </c>
      <c r="L509" s="16">
        <f>IF($A509="","",IF($AQ509&lt;&gt;"",IF(INDEX(Raw_D2!$D$2:$D$1001,$AQ509)="","",INDEX(Raw_D2!$D$2:$D$1001,$AQ509)),IF($AR509&lt;&gt;"",IF(INDEX(Raw_D3!$L$2:$L$1001,$AR509)="","",INDEX(Raw_D3!$L$2:$L$1001,$AR509)),"")))</f>
        <v>0.57</v>
      </c>
      <c r="M509" s="17">
        <f>IF($A509="","",IF($AQ509&lt;&gt;"",IF(INDEX(Raw_D2!$E$2:$E$1001,$AQ509)="","",INDEX(Raw_D2!$E$2:$E$1001,$AQ509)),IF($AR509&lt;&gt;"",IF(INDEX(Raw_D3!$M$2:$M$1001,$AR509)="","",INDEX(Raw_D3!$M$2:$M$1001,$AR509)),"")))</f>
        <v>0.1045</v>
      </c>
      <c r="N509" s="5">
        <f>IF($A509="","",IF($AQ509&lt;&gt;"",IF(INDEX(Raw_D2!$F$2:$F$1001,$AQ509)="","",INDEX(Raw_D2!$F$2:$F$1001,$AQ509)),IF($AR509&lt;&gt;"",IF(INDEX(Raw_D3!$N$2:$N$1001,$AR509)="","",INDEX(Raw_D3!$N$2:$N$1001,$AR509)),"")))</f>
        <v>0</v>
      </c>
      <c r="O509" s="5">
        <f>IF($A509="","",IF($AQ509&lt;&gt;"",IF(INDEX(Raw_D2!$G$2:$G$1001,$AQ509)="","",INDEX(Raw_D2!$G$2:$G$1001,$AQ509)),IF($AR509&lt;&gt;"",IF(INDEX(Raw_D3!$O$2:$O$1001,$AR509)="","",INDEX(Raw_D3!$O$2:$O$1001,$AR509)),"")))</f>
        <v>1</v>
      </c>
      <c r="P509" s="5">
        <f>IF($A509="","",IF($AQ509&lt;&gt;"",IF(INDEX(Raw_D2!$H$2:$H$1001,$AQ509)="","",INDEX(Raw_D2!$H$2:$H$1001,$AQ509)),IF($AR509&lt;&gt;"",IF(INDEX(Raw_D3!$P$2:$P$1001,$AR509)="","",INDEX(Raw_D3!$P$2:$P$1001,$AR509)),"")))</f>
        <v>1</v>
      </c>
      <c r="Q509" s="5" t="str">
        <f>IF($A509="","",IF(AND($AP509&lt;&gt;"",$AQ509&lt;&gt;""),"D1+D2",IF($AR509&lt;&gt;"","D3","Incomplete")))</f>
        <v>D1+D2</v>
      </c>
      <c r="R509" s="17">
        <f>IF($A509="","",IF($K509="",IF($J509="","",ROUND(Lookups!$K$5+Lookups!$K$4*$J509,4)),$K509))</f>
        <v>0.0758</v>
      </c>
      <c r="S509" s="5" t="str">
        <f>IF($A509="","",IF($K509="","Imputed","Original"))</f>
        <v>Original</v>
      </c>
      <c r="T509" s="5" t="str">
        <f>IF($A509="","",IF($P509="","Missing",IF($P509=$N509+$O509,"OK","Mismatch")))</f>
        <v>OK</v>
      </c>
      <c r="U509" s="5" t="str">
        <f>IF($A509="","",IF(COUNTIF($A$2:$A509,$A509)&gt;1,"Duplicate","Unique"))</f>
        <v>Unique</v>
      </c>
      <c r="V509" s="5">
        <f>IF($A509="","",IF(AND($U509="Unique",ISNUMBER($P509)),1,0))</f>
        <v>1</v>
      </c>
      <c r="W509" s="5" t="str">
        <f>IF($A509="","",IF(OR($H509=0,$H509=6),"Weekend","Weekday"))</f>
        <v>Weekend</v>
      </c>
      <c r="X509" s="5" t="str">
        <f>IF($A509="","",TEXT($B509,"ddd"))</f>
        <v>Sun</v>
      </c>
      <c r="Y509" s="5" t="str">
        <f>IF($A509="","",TEXT($B509,"mmm"))</f>
        <v>Jan</v>
      </c>
      <c r="Z509" s="5" t="str">
        <f>IF($A509="","",IFERROR(VLOOKUP($C509,Lookups!$D$4:$E$7,2,FALSE),"Unknown"))</f>
        <v>Winter</v>
      </c>
      <c r="AA509" s="5" t="str">
        <f>IF($A509="","",IFERROR(VLOOKUP($I509,Lookups!$A$4:$B$7,2,FALSE),"Unknown"))</f>
        <v>Mist/Cloudy</v>
      </c>
      <c r="AB509" s="5" t="str">
        <f>IF($A509="","",TEXT($F509,"00")&amp;":00")</f>
        <v>06:00</v>
      </c>
      <c r="AC509" s="5" t="str">
        <f>IF($A509="","",VLOOKUP($F509,Lookups!$G$4:$H$8,2,TRUE))</f>
        <v>Morning Peak (06-09)</v>
      </c>
      <c r="AD509" s="18">
        <f>IF($A509="","",IF($J509="","",ROUND($J509*41,1)))</f>
        <v>1.6</v>
      </c>
      <c r="AE509" s="18">
        <f>IF($A509="","",IF($R509="","",ROUND($R509*50,1)))</f>
        <v>3.8</v>
      </c>
      <c r="AF509" s="5">
        <f>IF($A509="","",IF($L509="","",ROUND($L509*100,0)))</f>
        <v>57</v>
      </c>
      <c r="AG509" s="18">
        <f>IF($A509="","",IF($M509="","",ROUND($M509*67,1)))</f>
        <v>7</v>
      </c>
      <c r="AH509" s="19">
        <f>IF($A509="","",IF($P509="","",IF($P509=0,0,$O509/$P509)))</f>
        <v>1</v>
      </c>
      <c r="AI509" s="5" t="str">
        <f>IF($A509="","",IF($P509="","",IF($P509&gt;=Lookups!$K$7,"High",IF($P509&lt;=Lookups!$K$8,"Low","Medium"))))</f>
        <v>Low</v>
      </c>
      <c r="AJ509" s="5" t="str">
        <f>IF($A509="","",IF($AD509="","",IF($AD509&lt;5,"Under 5 C",IF($AD509&lt;10,"5-10 C",IF($AD509&lt;15,"10-15 C","15 C and above")))))</f>
        <v>Under 5 C</v>
      </c>
      <c r="AK509" s="5">
        <f>IF($A509="","",IF($P509="","",$P509^2))</f>
        <v>1</v>
      </c>
      <c r="AL509" s="18">
        <f>IF($V509&lt;&gt;1,"",AVERAGEIFS(Clean_Data!$P$2:$P$1001,Clean_Data!$F$2:$F$1001,$F509,Clean_Data!$W$2:$W$1001,$W509,Clean_Data!$V$2:$V$1001,1))</f>
        <v>2.15384615384615</v>
      </c>
      <c r="AM509" s="16">
        <f>IF($V509&lt;&gt;1,"",IFERROR(($P509-$AL509)/SQRT(MAX(0,(SUMIFS(Clean_Data!$AK$2:$AK$1001,Clean_Data!$F$2:$F$1001,$F509,Clean_Data!$W$2:$W$1001,$W509,Clean_Data!$V$2:$V$1001,1)-COUNTIFS(Clean_Data!$F$2:$F$1001,$F509,Clean_Data!$W$2:$W$1001,$W509,Clean_Data!$V$2:$V$1001,1)*$AL509^2)/(COUNTIFS(Clean_Data!$F$2:$F$1001,$F509,Clean_Data!$W$2:$W$1001,$W509,Clean_Data!$V$2:$V$1001,1)-1))),""))</f>
        <v>-0.950268400739926</v>
      </c>
      <c r="AN509" s="5" t="str">
        <f>IF($AM509="","",IF($AM509&gt;=Lookups!$K$6,"High spike",IF($AM509&lt;=-Lookups!$K$6,"Unusual low","Normal")))</f>
        <v>Normal</v>
      </c>
      <c r="AO509" s="20">
        <f>IF($V509&lt;&gt;1,"",$P509+ROW()/100000)</f>
        <v>1.00509</v>
      </c>
      <c r="AP509" s="5">
        <f>IF($A509="","",IFERROR(MATCH($A509,Raw_D1!$A$2:$A$1001,0),""))</f>
        <v>508</v>
      </c>
      <c r="AQ509" s="5">
        <f>IF($A509="","",IFERROR(MATCH($A509,Raw_D2!$B$2:$B$1001,0),""))</f>
        <v>508</v>
      </c>
      <c r="AR509" s="5">
        <f>IF($A509="","",IFERROR(MATCH($A509,Raw_D3!$A$2:$A$1001,0),""))</f>
        <v/>
      </c>
    </row>
    <row r="510" spans="1:44" x14ac:dyDescent="0.25">
      <c r="A510" s="5">
        <v>509</v>
      </c>
      <c r="B510" s="11">
        <f>IF($A510="","",IF($AP510&lt;&gt;"",INDEX(Raw_D1!$B$2:$B$1001,$AP510),IF($AR510&lt;&gt;"",INDEX(Raw_D3!$B$2:$B$1001,$AR510),"")))</f>
        <v>40566.0</v>
      </c>
      <c r="C510" s="5">
        <f>IF($A510="","",IF($AP510&lt;&gt;"",INDEX(Raw_D1!$C$2:$C$1001,$AP510),IF($AR510&lt;&gt;"",INDEX(Raw_D3!$C$2:$C$1001,$AR510),"")))</f>
        <v>1</v>
      </c>
      <c r="D510" s="5">
        <f>IF($A510="","",IF($AP510&lt;&gt;"",INDEX(Raw_D1!$D$2:$D$1001,$AP510),IF($AR510&lt;&gt;"",INDEX(Raw_D3!$D$2:$D$1001,$AR510),"")))</f>
        <v>0</v>
      </c>
      <c r="E510" s="5">
        <f>IF($A510="","",IF($AP510&lt;&gt;"",INDEX(Raw_D1!$E$2:$E$1001,$AP510),IF($AR510&lt;&gt;"",INDEX(Raw_D3!$E$2:$E$1001,$AR510),"")))</f>
        <v>1</v>
      </c>
      <c r="F510" s="5">
        <f>IF($A510="","",IF($AP510&lt;&gt;"",INDEX(Raw_D1!$F$2:$F$1001,$AP510),IF($AR510&lt;&gt;"",INDEX(Raw_D3!$F$2:$F$1001,$AR510),"")))</f>
        <v>7</v>
      </c>
      <c r="G510" s="5">
        <f>IF($A510="","",IF($AP510&lt;&gt;"",IF(INDEX(Raw_D1!$G$2:$G$1001,$AP510),1,0),IF($AR510&lt;&gt;"",IF(INDEX(Raw_D3!$G$2:$G$1001,$AR510),1,0),"")))</f>
        <v>0</v>
      </c>
      <c r="H510" s="5">
        <f>IF($A510="","",IF($AP510&lt;&gt;"",INDEX(Raw_D1!$H$2:$H$1001,$AP510),IF($AR510&lt;&gt;"",INDEX(Raw_D3!$H$2:$H$1001,$AR510),"")))</f>
        <v>0</v>
      </c>
      <c r="I510" s="5">
        <f>IF($A510="","",IF($AP510&lt;&gt;"",INDEX(Raw_D1!$I$2:$I$1001,$AP510),IF($AR510&lt;&gt;"",INDEX(Raw_D3!$I$2:$I$1001,$AR510),"")))</f>
        <v>1</v>
      </c>
      <c r="J510" s="16">
        <f>IF($A510="","",IF($AP510&lt;&gt;"",INDEX(Raw_D1!$J$2:$J$1001,$AP510),IF($AR510&lt;&gt;"",INDEX(Raw_D3!$J$2:$J$1001,$AR510),"")))</f>
        <v>0.08</v>
      </c>
      <c r="K510" s="17">
        <f>IF($A510="","",IF($AQ510&lt;&gt;"",IF(INDEX(Raw_D2!$C$2:$C$1001,$AQ510)="","",INDEX(Raw_D2!$C$2:$C$1001,$AQ510)),IF($AR510&lt;&gt;"",IF(INDEX(Raw_D3!$K$2:$K$1001,$AR510)="","",INDEX(Raw_D3!$K$2:$K$1001,$AR510)),"")))</f>
        <v>0.1061</v>
      </c>
      <c r="L510" s="16">
        <f>IF($A510="","",IF($AQ510&lt;&gt;"",IF(INDEX(Raw_D2!$D$2:$D$1001,$AQ510)="","",INDEX(Raw_D2!$D$2:$D$1001,$AQ510)),IF($AR510&lt;&gt;"",IF(INDEX(Raw_D3!$L$2:$L$1001,$AR510)="","",INDEX(Raw_D3!$L$2:$L$1001,$AR510)),"")))</f>
        <v>0.58</v>
      </c>
      <c r="M510" s="17">
        <f>IF($A510="","",IF($AQ510&lt;&gt;"",IF(INDEX(Raw_D2!$E$2:$E$1001,$AQ510)="","",INDEX(Raw_D2!$E$2:$E$1001,$AQ510)),IF($AR510&lt;&gt;"",IF(INDEX(Raw_D3!$M$2:$M$1001,$AR510)="","",INDEX(Raw_D3!$M$2:$M$1001,$AR510)),"")))</f>
        <v>0.1642</v>
      </c>
      <c r="N510" s="5">
        <f>IF($A510="","",IF($AQ510&lt;&gt;"",IF(INDEX(Raw_D2!$F$2:$F$1001,$AQ510)="","",INDEX(Raw_D2!$F$2:$F$1001,$AQ510)),IF($AR510&lt;&gt;"",IF(INDEX(Raw_D3!$N$2:$N$1001,$AR510)="","",INDEX(Raw_D3!$N$2:$N$1001,$AR510)),"")))</f>
        <v>1</v>
      </c>
      <c r="O510" s="5">
        <f>IF($A510="","",IF($AQ510&lt;&gt;"",IF(INDEX(Raw_D2!$G$2:$G$1001,$AQ510)="","",INDEX(Raw_D2!$G$2:$G$1001,$AQ510)),IF($AR510&lt;&gt;"",IF(INDEX(Raw_D3!$O$2:$O$1001,$AR510)="","",INDEX(Raw_D3!$O$2:$O$1001,$AR510)),"")))</f>
        <v>1</v>
      </c>
      <c r="P510" s="5">
        <f>IF($A510="","",IF($AQ510&lt;&gt;"",IF(INDEX(Raw_D2!$H$2:$H$1001,$AQ510)="","",INDEX(Raw_D2!$H$2:$H$1001,$AQ510)),IF($AR510&lt;&gt;"",IF(INDEX(Raw_D3!$P$2:$P$1001,$AR510)="","",INDEX(Raw_D3!$P$2:$P$1001,$AR510)),"")))</f>
        <v>2</v>
      </c>
      <c r="Q510" s="5" t="str">
        <f>IF($A510="","",IF(AND($AP510&lt;&gt;"",$AQ510&lt;&gt;""),"D1+D2",IF($AR510&lt;&gt;"","D3","Incomplete")))</f>
        <v>D1+D2</v>
      </c>
      <c r="R510" s="17">
        <f>IF($A510="","",IF($K510="",IF($J510="","",ROUND(Lookups!$K$5+Lookups!$K$4*$J510,4)),$K510))</f>
        <v>0.1061</v>
      </c>
      <c r="S510" s="5" t="str">
        <f>IF($A510="","",IF($K510="","Imputed","Original"))</f>
        <v>Original</v>
      </c>
      <c r="T510" s="5" t="str">
        <f>IF($A510="","",IF($P510="","Missing",IF($P510=$N510+$O510,"OK","Mismatch")))</f>
        <v>OK</v>
      </c>
      <c r="U510" s="5" t="str">
        <f>IF($A510="","",IF(COUNTIF($A$2:$A510,$A510)&gt;1,"Duplicate","Unique"))</f>
        <v>Unique</v>
      </c>
      <c r="V510" s="5">
        <f>IF($A510="","",IF(AND($U510="Unique",ISNUMBER($P510)),1,0))</f>
        <v>1</v>
      </c>
      <c r="W510" s="5" t="str">
        <f>IF($A510="","",IF(OR($H510=0,$H510=6),"Weekend","Weekday"))</f>
        <v>Weekend</v>
      </c>
      <c r="X510" s="5" t="str">
        <f>IF($A510="","",TEXT($B510,"ddd"))</f>
        <v>Sun</v>
      </c>
      <c r="Y510" s="5" t="str">
        <f>IF($A510="","",TEXT($B510,"mmm"))</f>
        <v>Jan</v>
      </c>
      <c r="Z510" s="5" t="str">
        <f>IF($A510="","",IFERROR(VLOOKUP($C510,Lookups!$D$4:$E$7,2,FALSE),"Unknown"))</f>
        <v>Winter</v>
      </c>
      <c r="AA510" s="5" t="str">
        <f>IF($A510="","",IFERROR(VLOOKUP($I510,Lookups!$A$4:$B$7,2,FALSE),"Unknown"))</f>
        <v>Clear</v>
      </c>
      <c r="AB510" s="5" t="str">
        <f>IF($A510="","",TEXT($F510,"00")&amp;":00")</f>
        <v>07:00</v>
      </c>
      <c r="AC510" s="5" t="str">
        <f>IF($A510="","",VLOOKUP($F510,Lookups!$G$4:$H$8,2,TRUE))</f>
        <v>Morning Peak (06-09)</v>
      </c>
      <c r="AD510" s="18">
        <f>IF($A510="","",IF($J510="","",ROUND($J510*41,1)))</f>
        <v>3.3</v>
      </c>
      <c r="AE510" s="18">
        <f>IF($A510="","",IF($R510="","",ROUND($R510*50,1)))</f>
        <v>5.3</v>
      </c>
      <c r="AF510" s="5">
        <f>IF($A510="","",IF($L510="","",ROUND($L510*100,0)))</f>
        <v>58</v>
      </c>
      <c r="AG510" s="18">
        <f>IF($A510="","",IF($M510="","",ROUND($M510*67,1)))</f>
        <v>11</v>
      </c>
      <c r="AH510" s="19">
        <f>IF($A510="","",IF($P510="","",IF($P510=0,0,$O510/$P510)))</f>
        <v>0.5</v>
      </c>
      <c r="AI510" s="5" t="str">
        <f>IF($A510="","",IF($P510="","",IF($P510&gt;=Lookups!$K$7,"High",IF($P510&lt;=Lookups!$K$8,"Low","Medium"))))</f>
        <v>Low</v>
      </c>
      <c r="AJ510" s="5" t="str">
        <f>IF($A510="","",IF($AD510="","",IF($AD510&lt;5,"Under 5 C",IF($AD510&lt;10,"5-10 C",IF($AD510&lt;15,"10-15 C","15 C and above")))))</f>
        <v>Under 5 C</v>
      </c>
      <c r="AK510" s="5">
        <f>IF($A510="","",IF($P510="","",$P510^2))</f>
        <v>4</v>
      </c>
      <c r="AL510" s="18">
        <f>IF($V510&lt;&gt;1,"",AVERAGEIFS(Clean_Data!$P$2:$P$1001,Clean_Data!$F$2:$F$1001,$F510,Clean_Data!$W$2:$W$1001,$W510,Clean_Data!$V$2:$V$1001,1))</f>
        <v>5.42857142857143</v>
      </c>
      <c r="AM510" s="16">
        <f>IF($V510&lt;&gt;1,"",IFERROR(($P510-$AL510)/SQRT(MAX(0,(SUMIFS(Clean_Data!$AK$2:$AK$1001,Clean_Data!$F$2:$F$1001,$F510,Clean_Data!$W$2:$W$1001,$W510,Clean_Data!$V$2:$V$1001,1)-COUNTIFS(Clean_Data!$F$2:$F$1001,$F510,Clean_Data!$W$2:$W$1001,$W510,Clean_Data!$V$2:$V$1001,1)*$AL510^2)/(COUNTIFS(Clean_Data!$F$2:$F$1001,$F510,Clean_Data!$W$2:$W$1001,$W510,Clean_Data!$V$2:$V$1001,1)-1))),""))</f>
        <v>-1.06225731192825</v>
      </c>
      <c r="AN510" s="5" t="str">
        <f>IF($AM510="","",IF($AM510&gt;=Lookups!$K$6,"High spike",IF($AM510&lt;=-Lookups!$K$6,"Unusual low","Normal")))</f>
        <v>Normal</v>
      </c>
      <c r="AO510" s="20">
        <f>IF($V510&lt;&gt;1,"",$P510+ROW()/100000)</f>
        <v>2.0051</v>
      </c>
      <c r="AP510" s="5">
        <f>IF($A510="","",IFERROR(MATCH($A510,Raw_D1!$A$2:$A$1001,0),""))</f>
        <v>509</v>
      </c>
      <c r="AQ510" s="5">
        <f>IF($A510="","",IFERROR(MATCH($A510,Raw_D2!$B$2:$B$1001,0),""))</f>
        <v>509</v>
      </c>
      <c r="AR510" s="5">
        <f>IF($A510="","",IFERROR(MATCH($A510,Raw_D3!$A$2:$A$1001,0),""))</f>
        <v/>
      </c>
    </row>
    <row r="511" spans="1:44" x14ac:dyDescent="0.25">
      <c r="A511" s="5">
        <v>510</v>
      </c>
      <c r="B511" s="11">
        <f>IF($A511="","",IF($AP511&lt;&gt;"",INDEX(Raw_D1!$B$2:$B$1001,$AP511),IF($AR511&lt;&gt;"",INDEX(Raw_D3!$B$2:$B$1001,$AR511),"")))</f>
        <v>40566.0</v>
      </c>
      <c r="C511" s="5">
        <f>IF($A511="","",IF($AP511&lt;&gt;"",INDEX(Raw_D1!$C$2:$C$1001,$AP511),IF($AR511&lt;&gt;"",INDEX(Raw_D3!$C$2:$C$1001,$AR511),"")))</f>
        <v>1</v>
      </c>
      <c r="D511" s="5">
        <f>IF($A511="","",IF($AP511&lt;&gt;"",INDEX(Raw_D1!$D$2:$D$1001,$AP511),IF($AR511&lt;&gt;"",INDEX(Raw_D3!$D$2:$D$1001,$AR511),"")))</f>
        <v>0</v>
      </c>
      <c r="E511" s="5">
        <f>IF($A511="","",IF($AP511&lt;&gt;"",INDEX(Raw_D1!$E$2:$E$1001,$AP511),IF($AR511&lt;&gt;"",INDEX(Raw_D3!$E$2:$E$1001,$AR511),"")))</f>
        <v>1</v>
      </c>
      <c r="F511" s="5">
        <f>IF($A511="","",IF($AP511&lt;&gt;"",INDEX(Raw_D1!$F$2:$F$1001,$AP511),IF($AR511&lt;&gt;"",INDEX(Raw_D3!$F$2:$F$1001,$AR511),"")))</f>
        <v>8</v>
      </c>
      <c r="G511" s="5">
        <f>IF($A511="","",IF($AP511&lt;&gt;"",IF(INDEX(Raw_D1!$G$2:$G$1001,$AP511),1,0),IF($AR511&lt;&gt;"",IF(INDEX(Raw_D3!$G$2:$G$1001,$AR511),1,0),"")))</f>
        <v>0</v>
      </c>
      <c r="H511" s="5">
        <f>IF($A511="","",IF($AP511&lt;&gt;"",INDEX(Raw_D1!$H$2:$H$1001,$AP511),IF($AR511&lt;&gt;"",INDEX(Raw_D3!$H$2:$H$1001,$AR511),"")))</f>
        <v>0</v>
      </c>
      <c r="I511" s="5">
        <f>IF($A511="","",IF($AP511&lt;&gt;"",INDEX(Raw_D1!$I$2:$I$1001,$AP511),IF($AR511&lt;&gt;"",INDEX(Raw_D3!$I$2:$I$1001,$AR511),"")))</f>
        <v>1</v>
      </c>
      <c r="J511" s="16">
        <f>IF($A511="","",IF($AP511&lt;&gt;"",INDEX(Raw_D1!$J$2:$J$1001,$AP511),IF($AR511&lt;&gt;"",INDEX(Raw_D3!$J$2:$J$1001,$AR511),"")))</f>
        <v>0.06</v>
      </c>
      <c r="K511" s="17">
        <f>IF($A511="","",IF($AQ511&lt;&gt;"",IF(INDEX(Raw_D2!$C$2:$C$1001,$AQ511)="","",INDEX(Raw_D2!$C$2:$C$1001,$AQ511)),IF($AR511&lt;&gt;"",IF(INDEX(Raw_D3!$K$2:$K$1001,$AR511)="","",INDEX(Raw_D3!$K$2:$K$1001,$AR511)),"")))</f>
        <v>0.0758</v>
      </c>
      <c r="L511" s="16">
        <f>IF($A511="","",IF($AQ511&lt;&gt;"",IF(INDEX(Raw_D2!$D$2:$D$1001,$AQ511)="","",INDEX(Raw_D2!$D$2:$D$1001,$AQ511)),IF($AR511&lt;&gt;"",IF(INDEX(Raw_D3!$L$2:$L$1001,$AR511)="","",INDEX(Raw_D3!$L$2:$L$1001,$AR511)),"")))</f>
        <v>0.62</v>
      </c>
      <c r="M511" s="17">
        <f>IF($A511="","",IF($AQ511&lt;&gt;"",IF(INDEX(Raw_D2!$E$2:$E$1001,$AQ511)="","",INDEX(Raw_D2!$E$2:$E$1001,$AQ511)),IF($AR511&lt;&gt;"",IF(INDEX(Raw_D3!$M$2:$M$1001,$AR511)="","",INDEX(Raw_D3!$M$2:$M$1001,$AR511)),"")))</f>
        <v>0.1642</v>
      </c>
      <c r="N511" s="5">
        <f>IF($A511="","",IF($AQ511&lt;&gt;"",IF(INDEX(Raw_D2!$F$2:$F$1001,$AQ511)="","",INDEX(Raw_D2!$F$2:$F$1001,$AQ511)),IF($AR511&lt;&gt;"",IF(INDEX(Raw_D3!$N$2:$N$1001,$AR511)="","",INDEX(Raw_D3!$N$2:$N$1001,$AR511)),"")))</f>
        <v>2</v>
      </c>
      <c r="O511" s="5">
        <f>IF($A511="","",IF($AQ511&lt;&gt;"",IF(INDEX(Raw_D2!$G$2:$G$1001,$AQ511)="","",INDEX(Raw_D2!$G$2:$G$1001,$AQ511)),IF($AR511&lt;&gt;"",IF(INDEX(Raw_D3!$O$2:$O$1001,$AR511)="","",INDEX(Raw_D3!$O$2:$O$1001,$AR511)),"")))</f>
        <v>17</v>
      </c>
      <c r="P511" s="5">
        <f>IF($A511="","",IF($AQ511&lt;&gt;"",IF(INDEX(Raw_D2!$H$2:$H$1001,$AQ511)="","",INDEX(Raw_D2!$H$2:$H$1001,$AQ511)),IF($AR511&lt;&gt;"",IF(INDEX(Raw_D3!$P$2:$P$1001,$AR511)="","",INDEX(Raw_D3!$P$2:$P$1001,$AR511)),"")))</f>
        <v>19</v>
      </c>
      <c r="Q511" s="5" t="str">
        <f>IF($A511="","",IF(AND($AP511&lt;&gt;"",$AQ511&lt;&gt;""),"D1+D2",IF($AR511&lt;&gt;"","D3","Incomplete")))</f>
        <v>D1+D2</v>
      </c>
      <c r="R511" s="17">
        <f>IF($A511="","",IF($K511="",IF($J511="","",ROUND(Lookups!$K$5+Lookups!$K$4*$J511,4)),$K511))</f>
        <v>0.0758</v>
      </c>
      <c r="S511" s="5" t="str">
        <f>IF($A511="","",IF($K511="","Imputed","Original"))</f>
        <v>Original</v>
      </c>
      <c r="T511" s="5" t="str">
        <f>IF($A511="","",IF($P511="","Missing",IF($P511=$N511+$O511,"OK","Mismatch")))</f>
        <v>OK</v>
      </c>
      <c r="U511" s="5" t="str">
        <f>IF($A511="","",IF(COUNTIF($A$2:$A511,$A511)&gt;1,"Duplicate","Unique"))</f>
        <v>Unique</v>
      </c>
      <c r="V511" s="5">
        <f>IF($A511="","",IF(AND($U511="Unique",ISNUMBER($P511)),1,0))</f>
        <v>1</v>
      </c>
      <c r="W511" s="5" t="str">
        <f>IF($A511="","",IF(OR($H511=0,$H511=6),"Weekend","Weekday"))</f>
        <v>Weekend</v>
      </c>
      <c r="X511" s="5" t="str">
        <f>IF($A511="","",TEXT($B511,"ddd"))</f>
        <v>Sun</v>
      </c>
      <c r="Y511" s="5" t="str">
        <f>IF($A511="","",TEXT($B511,"mmm"))</f>
        <v>Jan</v>
      </c>
      <c r="Z511" s="5" t="str">
        <f>IF($A511="","",IFERROR(VLOOKUP($C511,Lookups!$D$4:$E$7,2,FALSE),"Unknown"))</f>
        <v>Winter</v>
      </c>
      <c r="AA511" s="5" t="str">
        <f>IF($A511="","",IFERROR(VLOOKUP($I511,Lookups!$A$4:$B$7,2,FALSE),"Unknown"))</f>
        <v>Clear</v>
      </c>
      <c r="AB511" s="5" t="str">
        <f>IF($A511="","",TEXT($F511,"00")&amp;":00")</f>
        <v>08:00</v>
      </c>
      <c r="AC511" s="5" t="str">
        <f>IF($A511="","",VLOOKUP($F511,Lookups!$G$4:$H$8,2,TRUE))</f>
        <v>Morning Peak (06-09)</v>
      </c>
      <c r="AD511" s="18">
        <f>IF($A511="","",IF($J511="","",ROUND($J511*41,1)))</f>
        <v>2.5</v>
      </c>
      <c r="AE511" s="18">
        <f>IF($A511="","",IF($R511="","",ROUND($R511*50,1)))</f>
        <v>3.8</v>
      </c>
      <c r="AF511" s="5">
        <f>IF($A511="","",IF($L511="","",ROUND($L511*100,0)))</f>
        <v>62</v>
      </c>
      <c r="AG511" s="18">
        <f>IF($A511="","",IF($M511="","",ROUND($M511*67,1)))</f>
        <v>11</v>
      </c>
      <c r="AH511" s="19">
        <f>IF($A511="","",IF($P511="","",IF($P511=0,0,$O511/$P511)))</f>
        <v>0.894736842105263</v>
      </c>
      <c r="AI511" s="5" t="str">
        <f>IF($A511="","",IF($P511="","",IF($P511&gt;=Lookups!$K$7,"High",IF($P511&lt;=Lookups!$K$8,"Low","Medium"))))</f>
        <v>Medium</v>
      </c>
      <c r="AJ511" s="5" t="str">
        <f>IF($A511="","",IF($AD511="","",IF($AD511&lt;5,"Under 5 C",IF($AD511&lt;10,"5-10 C",IF($AD511&lt;15,"10-15 C","15 C and above")))))</f>
        <v>Under 5 C</v>
      </c>
      <c r="AK511" s="5">
        <f>IF($A511="","",IF($P511="","",$P511^2))</f>
        <v>361</v>
      </c>
      <c r="AL511" s="18">
        <f>IF($V511&lt;&gt;1,"",AVERAGEIFS(Clean_Data!$P$2:$P$1001,Clean_Data!$F$2:$F$1001,$F511,Clean_Data!$W$2:$W$1001,$W511,Clean_Data!$V$2:$V$1001,1))</f>
        <v>17.7857142857143</v>
      </c>
      <c r="AM511" s="16">
        <f>IF($V511&lt;&gt;1,"",IFERROR(($P511-$AL511)/SQRT(MAX(0,(SUMIFS(Clean_Data!$AK$2:$AK$1001,Clean_Data!$F$2:$F$1001,$F511,Clean_Data!$W$2:$W$1001,$W511,Clean_Data!$V$2:$V$1001,1)-COUNTIFS(Clean_Data!$F$2:$F$1001,$F511,Clean_Data!$W$2:$W$1001,$W511,Clean_Data!$V$2:$V$1001,1)*$AL511^2)/(COUNTIFS(Clean_Data!$F$2:$F$1001,$F511,Clean_Data!$W$2:$W$1001,$W511,Clean_Data!$V$2:$V$1001,1)-1))),""))</f>
        <v>0.142773020644707</v>
      </c>
      <c r="AN511" s="5" t="str">
        <f>IF($AM511="","",IF($AM511&gt;=Lookups!$K$6,"High spike",IF($AM511&lt;=-Lookups!$K$6,"Unusual low","Normal")))</f>
        <v>Normal</v>
      </c>
      <c r="AO511" s="20">
        <f>IF($V511&lt;&gt;1,"",$P511+ROW()/100000)</f>
        <v>19.00511</v>
      </c>
      <c r="AP511" s="5">
        <f>IF($A511="","",IFERROR(MATCH($A511,Raw_D1!$A$2:$A$1001,0),""))</f>
        <v>510</v>
      </c>
      <c r="AQ511" s="5">
        <f>IF($A511="","",IFERROR(MATCH($A511,Raw_D2!$B$2:$B$1001,0),""))</f>
        <v>510</v>
      </c>
      <c r="AR511" s="5">
        <f>IF($A511="","",IFERROR(MATCH($A511,Raw_D3!$A$2:$A$1001,0),""))</f>
        <v/>
      </c>
    </row>
    <row r="512" spans="1:44" x14ac:dyDescent="0.25">
      <c r="A512" s="5">
        <v>511</v>
      </c>
      <c r="B512" s="11">
        <f>IF($A512="","",IF($AP512&lt;&gt;"",INDEX(Raw_D1!$B$2:$B$1001,$AP512),IF($AR512&lt;&gt;"",INDEX(Raw_D3!$B$2:$B$1001,$AR512),"")))</f>
        <v>40566.0</v>
      </c>
      <c r="C512" s="5">
        <f>IF($A512="","",IF($AP512&lt;&gt;"",INDEX(Raw_D1!$C$2:$C$1001,$AP512),IF($AR512&lt;&gt;"",INDEX(Raw_D3!$C$2:$C$1001,$AR512),"")))</f>
        <v>1</v>
      </c>
      <c r="D512" s="5">
        <f>IF($A512="","",IF($AP512&lt;&gt;"",INDEX(Raw_D1!$D$2:$D$1001,$AP512),IF($AR512&lt;&gt;"",INDEX(Raw_D3!$D$2:$D$1001,$AR512),"")))</f>
        <v>0</v>
      </c>
      <c r="E512" s="5">
        <f>IF($A512="","",IF($AP512&lt;&gt;"",INDEX(Raw_D1!$E$2:$E$1001,$AP512),IF($AR512&lt;&gt;"",INDEX(Raw_D3!$E$2:$E$1001,$AR512),"")))</f>
        <v>1</v>
      </c>
      <c r="F512" s="5">
        <f>IF($A512="","",IF($AP512&lt;&gt;"",INDEX(Raw_D1!$F$2:$F$1001,$AP512),IF($AR512&lt;&gt;"",INDEX(Raw_D3!$F$2:$F$1001,$AR512),"")))</f>
        <v>9</v>
      </c>
      <c r="G512" s="5">
        <f>IF($A512="","",IF($AP512&lt;&gt;"",IF(INDEX(Raw_D1!$G$2:$G$1001,$AP512),1,0),IF($AR512&lt;&gt;"",IF(INDEX(Raw_D3!$G$2:$G$1001,$AR512),1,0),"")))</f>
        <v>0</v>
      </c>
      <c r="H512" s="5">
        <f>IF($A512="","",IF($AP512&lt;&gt;"",INDEX(Raw_D1!$H$2:$H$1001,$AP512),IF($AR512&lt;&gt;"",INDEX(Raw_D3!$H$2:$H$1001,$AR512),"")))</f>
        <v>0</v>
      </c>
      <c r="I512" s="5">
        <f>IF($A512="","",IF($AP512&lt;&gt;"",INDEX(Raw_D1!$I$2:$I$1001,$AP512),IF($AR512&lt;&gt;"",INDEX(Raw_D3!$I$2:$I$1001,$AR512),"")))</f>
        <v>1</v>
      </c>
      <c r="J512" s="16">
        <f>IF($A512="","",IF($AP512&lt;&gt;"",INDEX(Raw_D1!$J$2:$J$1001,$AP512),IF($AR512&lt;&gt;"",INDEX(Raw_D3!$J$2:$J$1001,$AR512),"")))</f>
        <v>0.1</v>
      </c>
      <c r="K512" s="17">
        <f>IF($A512="","",IF($AQ512&lt;&gt;"",IF(INDEX(Raw_D2!$C$2:$C$1001,$AQ512)="","",INDEX(Raw_D2!$C$2:$C$1001,$AQ512)),IF($AR512&lt;&gt;"",IF(INDEX(Raw_D3!$K$2:$K$1001,$AR512)="","",INDEX(Raw_D3!$K$2:$K$1001,$AR512)),"")))</f>
        <v>0.0758</v>
      </c>
      <c r="L512" s="16">
        <f>IF($A512="","",IF($AQ512&lt;&gt;"",IF(INDEX(Raw_D2!$D$2:$D$1001,$AQ512)="","",INDEX(Raw_D2!$D$2:$D$1001,$AQ512)),IF($AR512&lt;&gt;"",IF(INDEX(Raw_D3!$L$2:$L$1001,$AR512)="","",INDEX(Raw_D3!$L$2:$L$1001,$AR512)),"")))</f>
        <v>0.54</v>
      </c>
      <c r="M512" s="17">
        <f>IF($A512="","",IF($AQ512&lt;&gt;"",IF(INDEX(Raw_D2!$E$2:$E$1001,$AQ512)="","",INDEX(Raw_D2!$E$2:$E$1001,$AQ512)),IF($AR512&lt;&gt;"",IF(INDEX(Raw_D3!$M$2:$M$1001,$AR512)="","",INDEX(Raw_D3!$M$2:$M$1001,$AR512)),"")))</f>
        <v>0.3582</v>
      </c>
      <c r="N512" s="5">
        <f>IF($A512="","",IF($AQ512&lt;&gt;"",IF(INDEX(Raw_D2!$F$2:$F$1001,$AQ512)="","",INDEX(Raw_D2!$F$2:$F$1001,$AQ512)),IF($AR512&lt;&gt;"",IF(INDEX(Raw_D3!$N$2:$N$1001,$AR512)="","",INDEX(Raw_D3!$N$2:$N$1001,$AR512)),"")))</f>
        <v>3</v>
      </c>
      <c r="O512" s="5">
        <f>IF($A512="","",IF($AQ512&lt;&gt;"",IF(INDEX(Raw_D2!$G$2:$G$1001,$AQ512)="","",INDEX(Raw_D2!$G$2:$G$1001,$AQ512)),IF($AR512&lt;&gt;"",IF(INDEX(Raw_D3!$O$2:$O$1001,$AR512)="","",INDEX(Raw_D3!$O$2:$O$1001,$AR512)),"")))</f>
        <v>25</v>
      </c>
      <c r="P512" s="5">
        <f>IF($A512="","",IF($AQ512&lt;&gt;"",IF(INDEX(Raw_D2!$H$2:$H$1001,$AQ512)="","",INDEX(Raw_D2!$H$2:$H$1001,$AQ512)),IF($AR512&lt;&gt;"",IF(INDEX(Raw_D3!$P$2:$P$1001,$AR512)="","",INDEX(Raw_D3!$P$2:$P$1001,$AR512)),"")))</f>
        <v>28</v>
      </c>
      <c r="Q512" s="5" t="str">
        <f>IF($A512="","",IF(AND($AP512&lt;&gt;"",$AQ512&lt;&gt;""),"D1+D2",IF($AR512&lt;&gt;"","D3","Incomplete")))</f>
        <v>D1+D2</v>
      </c>
      <c r="R512" s="17">
        <f>IF($A512="","",IF($K512="",IF($J512="","",ROUND(Lookups!$K$5+Lookups!$K$4*$J512,4)),$K512))</f>
        <v>0.0758</v>
      </c>
      <c r="S512" s="5" t="str">
        <f>IF($A512="","",IF($K512="","Imputed","Original"))</f>
        <v>Original</v>
      </c>
      <c r="T512" s="5" t="str">
        <f>IF($A512="","",IF($P512="","Missing",IF($P512=$N512+$O512,"OK","Mismatch")))</f>
        <v>OK</v>
      </c>
      <c r="U512" s="5" t="str">
        <f>IF($A512="","",IF(COUNTIF($A$2:$A512,$A512)&gt;1,"Duplicate","Unique"))</f>
        <v>Unique</v>
      </c>
      <c r="V512" s="5">
        <f>IF($A512="","",IF(AND($U512="Unique",ISNUMBER($P512)),1,0))</f>
        <v>1</v>
      </c>
      <c r="W512" s="5" t="str">
        <f>IF($A512="","",IF(OR($H512=0,$H512=6),"Weekend","Weekday"))</f>
        <v>Weekend</v>
      </c>
      <c r="X512" s="5" t="str">
        <f>IF($A512="","",TEXT($B512,"ddd"))</f>
        <v>Sun</v>
      </c>
      <c r="Y512" s="5" t="str">
        <f>IF($A512="","",TEXT($B512,"mmm"))</f>
        <v>Jan</v>
      </c>
      <c r="Z512" s="5" t="str">
        <f>IF($A512="","",IFERROR(VLOOKUP($C512,Lookups!$D$4:$E$7,2,FALSE),"Unknown"))</f>
        <v>Winter</v>
      </c>
      <c r="AA512" s="5" t="str">
        <f>IF($A512="","",IFERROR(VLOOKUP($I512,Lookups!$A$4:$B$7,2,FALSE),"Unknown"))</f>
        <v>Clear</v>
      </c>
      <c r="AB512" s="5" t="str">
        <f>IF($A512="","",TEXT($F512,"00")&amp;":00")</f>
        <v>09:00</v>
      </c>
      <c r="AC512" s="5" t="str">
        <f>IF($A512="","",VLOOKUP($F512,Lookups!$G$4:$H$8,2,TRUE))</f>
        <v>Morning Peak (06-09)</v>
      </c>
      <c r="AD512" s="18">
        <f>IF($A512="","",IF($J512="","",ROUND($J512*41,1)))</f>
        <v>4.1</v>
      </c>
      <c r="AE512" s="18">
        <f>IF($A512="","",IF($R512="","",ROUND($R512*50,1)))</f>
        <v>3.8</v>
      </c>
      <c r="AF512" s="5">
        <f>IF($A512="","",IF($L512="","",ROUND($L512*100,0)))</f>
        <v>54</v>
      </c>
      <c r="AG512" s="18">
        <f>IF($A512="","",IF($M512="","",ROUND($M512*67,1)))</f>
        <v>24</v>
      </c>
      <c r="AH512" s="19">
        <f>IF($A512="","",IF($P512="","",IF($P512=0,0,$O512/$P512)))</f>
        <v>0.892857142857143</v>
      </c>
      <c r="AI512" s="5" t="str">
        <f>IF($A512="","",IF($P512="","",IF($P512&gt;=Lookups!$K$7,"High",IF($P512&lt;=Lookups!$K$8,"Low","Medium"))))</f>
        <v>Medium</v>
      </c>
      <c r="AJ512" s="5" t="str">
        <f>IF($A512="","",IF($AD512="","",IF($AD512&lt;5,"Under 5 C",IF($AD512&lt;10,"5-10 C",IF($AD512&lt;15,"10-15 C","15 C and above")))))</f>
        <v>Under 5 C</v>
      </c>
      <c r="AK512" s="5">
        <f>IF($A512="","",IF($P512="","",$P512^2))</f>
        <v>784</v>
      </c>
      <c r="AL512" s="18">
        <f>IF($V512&lt;&gt;1,"",AVERAGEIFS(Clean_Data!$P$2:$P$1001,Clean_Data!$F$2:$F$1001,$F512,Clean_Data!$W$2:$W$1001,$W512,Clean_Data!$V$2:$V$1001,1))</f>
        <v>30.9285714285714</v>
      </c>
      <c r="AM512" s="16">
        <f>IF($V512&lt;&gt;1,"",IFERROR(($P512-$AL512)/SQRT(MAX(0,(SUMIFS(Clean_Data!$AK$2:$AK$1001,Clean_Data!$F$2:$F$1001,$F512,Clean_Data!$W$2:$W$1001,$W512,Clean_Data!$V$2:$V$1001,1)-COUNTIFS(Clean_Data!$F$2:$F$1001,$F512,Clean_Data!$W$2:$W$1001,$W512,Clean_Data!$V$2:$V$1001,1)*$AL512^2)/(COUNTIFS(Clean_Data!$F$2:$F$1001,$F512,Clean_Data!$W$2:$W$1001,$W512,Clean_Data!$V$2:$V$1001,1)-1))),""))</f>
        <v>-0.268641618126671</v>
      </c>
      <c r="AN512" s="5" t="str">
        <f>IF($AM512="","",IF($AM512&gt;=Lookups!$K$6,"High spike",IF($AM512&lt;=-Lookups!$K$6,"Unusual low","Normal")))</f>
        <v>Normal</v>
      </c>
      <c r="AO512" s="20">
        <f>IF($V512&lt;&gt;1,"",$P512+ROW()/100000)</f>
        <v>28.00512</v>
      </c>
      <c r="AP512" s="5">
        <f>IF($A512="","",IFERROR(MATCH($A512,Raw_D1!$A$2:$A$1001,0),""))</f>
        <v>511</v>
      </c>
      <c r="AQ512" s="5">
        <f>IF($A512="","",IFERROR(MATCH($A512,Raw_D2!$B$2:$B$1001,0),""))</f>
        <v>511</v>
      </c>
      <c r="AR512" s="5">
        <f>IF($A512="","",IFERROR(MATCH($A512,Raw_D3!$A$2:$A$1001,0),""))</f>
        <v/>
      </c>
    </row>
    <row r="513" spans="1:44" x14ac:dyDescent="0.25">
      <c r="A513" s="5">
        <v>512</v>
      </c>
      <c r="B513" s="11">
        <f>IF($A513="","",IF($AP513&lt;&gt;"",INDEX(Raw_D1!$B$2:$B$1001,$AP513),IF($AR513&lt;&gt;"",INDEX(Raw_D3!$B$2:$B$1001,$AR513),"")))</f>
        <v>40566.0</v>
      </c>
      <c r="C513" s="5">
        <f>IF($A513="","",IF($AP513&lt;&gt;"",INDEX(Raw_D1!$C$2:$C$1001,$AP513),IF($AR513&lt;&gt;"",INDEX(Raw_D3!$C$2:$C$1001,$AR513),"")))</f>
        <v>1</v>
      </c>
      <c r="D513" s="5">
        <f>IF($A513="","",IF($AP513&lt;&gt;"",INDEX(Raw_D1!$D$2:$D$1001,$AP513),IF($AR513&lt;&gt;"",INDEX(Raw_D3!$D$2:$D$1001,$AR513),"")))</f>
        <v>0</v>
      </c>
      <c r="E513" s="5">
        <f>IF($A513="","",IF($AP513&lt;&gt;"",INDEX(Raw_D1!$E$2:$E$1001,$AP513),IF($AR513&lt;&gt;"",INDEX(Raw_D3!$E$2:$E$1001,$AR513),"")))</f>
        <v>1</v>
      </c>
      <c r="F513" s="5">
        <f>IF($A513="","",IF($AP513&lt;&gt;"",INDEX(Raw_D1!$F$2:$F$1001,$AP513),IF($AR513&lt;&gt;"",INDEX(Raw_D3!$F$2:$F$1001,$AR513),"")))</f>
        <v>10</v>
      </c>
      <c r="G513" s="5">
        <f>IF($A513="","",IF($AP513&lt;&gt;"",IF(INDEX(Raw_D1!$G$2:$G$1001,$AP513),1,0),IF($AR513&lt;&gt;"",IF(INDEX(Raw_D3!$G$2:$G$1001,$AR513),1,0),"")))</f>
        <v>0</v>
      </c>
      <c r="H513" s="5">
        <f>IF($A513="","",IF($AP513&lt;&gt;"",INDEX(Raw_D1!$H$2:$H$1001,$AP513),IF($AR513&lt;&gt;"",INDEX(Raw_D3!$H$2:$H$1001,$AR513),"")))</f>
        <v>0</v>
      </c>
      <c r="I513" s="5">
        <f>IF($A513="","",IF($AP513&lt;&gt;"",INDEX(Raw_D1!$I$2:$I$1001,$AP513),IF($AR513&lt;&gt;"",INDEX(Raw_D3!$I$2:$I$1001,$AR513),"")))</f>
        <v>1</v>
      </c>
      <c r="J513" s="16">
        <f>IF($A513="","",IF($AP513&lt;&gt;"",INDEX(Raw_D1!$J$2:$J$1001,$AP513),IF($AR513&lt;&gt;"",INDEX(Raw_D3!$J$2:$J$1001,$AR513),"")))</f>
        <v>0.14</v>
      </c>
      <c r="K513" s="17">
        <f>IF($A513="","",IF($AQ513&lt;&gt;"",IF(INDEX(Raw_D2!$C$2:$C$1001,$AQ513)="","",INDEX(Raw_D2!$C$2:$C$1001,$AQ513)),IF($AR513&lt;&gt;"",IF(INDEX(Raw_D3!$K$2:$K$1001,$AR513)="","",INDEX(Raw_D3!$K$2:$K$1001,$AR513)),"")))</f>
        <v>0.1061</v>
      </c>
      <c r="L513" s="16">
        <f>IF($A513="","",IF($AQ513&lt;&gt;"",IF(INDEX(Raw_D2!$D$2:$D$1001,$AQ513)="","",INDEX(Raw_D2!$D$2:$D$1001,$AQ513)),IF($AR513&lt;&gt;"",IF(INDEX(Raw_D3!$L$2:$L$1001,$AR513)="","",INDEX(Raw_D3!$L$2:$L$1001,$AR513)),"")))</f>
        <v>0.46</v>
      </c>
      <c r="M513" s="17">
        <f>IF($A513="","",IF($AQ513&lt;&gt;"",IF(INDEX(Raw_D2!$E$2:$E$1001,$AQ513)="","",INDEX(Raw_D2!$E$2:$E$1001,$AQ513)),IF($AR513&lt;&gt;"",IF(INDEX(Raw_D3!$M$2:$M$1001,$AR513)="","",INDEX(Raw_D3!$M$2:$M$1001,$AR513)),"")))</f>
        <v>0.3881</v>
      </c>
      <c r="N513" s="5">
        <f>IF($A513="","",IF($AQ513&lt;&gt;"",IF(INDEX(Raw_D2!$F$2:$F$1001,$AQ513)="","",INDEX(Raw_D2!$F$2:$F$1001,$AQ513)),IF($AR513&lt;&gt;"",IF(INDEX(Raw_D3!$N$2:$N$1001,$AR513)="","",INDEX(Raw_D3!$N$2:$N$1001,$AR513)),"")))</f>
        <v>7</v>
      </c>
      <c r="O513" s="5">
        <f>IF($A513="","",IF($AQ513&lt;&gt;"",IF(INDEX(Raw_D2!$G$2:$G$1001,$AQ513)="","",INDEX(Raw_D2!$G$2:$G$1001,$AQ513)),IF($AR513&lt;&gt;"",IF(INDEX(Raw_D3!$O$2:$O$1001,$AR513)="","",INDEX(Raw_D3!$O$2:$O$1001,$AR513)),"")))</f>
        <v>51</v>
      </c>
      <c r="P513" s="5">
        <f>IF($A513="","",IF($AQ513&lt;&gt;"",IF(INDEX(Raw_D2!$H$2:$H$1001,$AQ513)="","",INDEX(Raw_D2!$H$2:$H$1001,$AQ513)),IF($AR513&lt;&gt;"",IF(INDEX(Raw_D3!$P$2:$P$1001,$AR513)="","",INDEX(Raw_D3!$P$2:$P$1001,$AR513)),"")))</f>
        <v>58</v>
      </c>
      <c r="Q513" s="5" t="str">
        <f>IF($A513="","",IF(AND($AP513&lt;&gt;"",$AQ513&lt;&gt;""),"D1+D2",IF($AR513&lt;&gt;"","D3","Incomplete")))</f>
        <v>D1+D2</v>
      </c>
      <c r="R513" s="17">
        <f>IF($A513="","",IF($K513="",IF($J513="","",ROUND(Lookups!$K$5+Lookups!$K$4*$J513,4)),$K513))</f>
        <v>0.1061</v>
      </c>
      <c r="S513" s="5" t="str">
        <f>IF($A513="","",IF($K513="","Imputed","Original"))</f>
        <v>Original</v>
      </c>
      <c r="T513" s="5" t="str">
        <f>IF($A513="","",IF($P513="","Missing",IF($P513=$N513+$O513,"OK","Mismatch")))</f>
        <v>OK</v>
      </c>
      <c r="U513" s="5" t="str">
        <f>IF($A513="","",IF(COUNTIF($A$2:$A513,$A513)&gt;1,"Duplicate","Unique"))</f>
        <v>Unique</v>
      </c>
      <c r="V513" s="5">
        <f>IF($A513="","",IF(AND($U513="Unique",ISNUMBER($P513)),1,0))</f>
        <v>1</v>
      </c>
      <c r="W513" s="5" t="str">
        <f>IF($A513="","",IF(OR($H513=0,$H513=6),"Weekend","Weekday"))</f>
        <v>Weekend</v>
      </c>
      <c r="X513" s="5" t="str">
        <f>IF($A513="","",TEXT($B513,"ddd"))</f>
        <v>Sun</v>
      </c>
      <c r="Y513" s="5" t="str">
        <f>IF($A513="","",TEXT($B513,"mmm"))</f>
        <v>Jan</v>
      </c>
      <c r="Z513" s="5" t="str">
        <f>IF($A513="","",IFERROR(VLOOKUP($C513,Lookups!$D$4:$E$7,2,FALSE),"Unknown"))</f>
        <v>Winter</v>
      </c>
      <c r="AA513" s="5" t="str">
        <f>IF($A513="","",IFERROR(VLOOKUP($I513,Lookups!$A$4:$B$7,2,FALSE),"Unknown"))</f>
        <v>Clear</v>
      </c>
      <c r="AB513" s="5" t="str">
        <f>IF($A513="","",TEXT($F513,"00")&amp;":00")</f>
        <v>10:00</v>
      </c>
      <c r="AC513" s="5" t="str">
        <f>IF($A513="","",VLOOKUP($F513,Lookups!$G$4:$H$8,2,TRUE))</f>
        <v>Midday (10-15)</v>
      </c>
      <c r="AD513" s="18">
        <f>IF($A513="","",IF($J513="","",ROUND($J513*41,1)))</f>
        <v>5.7</v>
      </c>
      <c r="AE513" s="18">
        <f>IF($A513="","",IF($R513="","",ROUND($R513*50,1)))</f>
        <v>5.3</v>
      </c>
      <c r="AF513" s="5">
        <f>IF($A513="","",IF($L513="","",ROUND($L513*100,0)))</f>
        <v>46</v>
      </c>
      <c r="AG513" s="18">
        <f>IF($A513="","",IF($M513="","",ROUND($M513*67,1)))</f>
        <v>26</v>
      </c>
      <c r="AH513" s="19">
        <f>IF($A513="","",IF($P513="","",IF($P513=0,0,$O513/$P513)))</f>
        <v>0.879310344827586</v>
      </c>
      <c r="AI513" s="5" t="str">
        <f>IF($A513="","",IF($P513="","",IF($P513&gt;=Lookups!$K$7,"High",IF($P513&lt;=Lookups!$K$8,"Low","Medium"))))</f>
        <v>Medium</v>
      </c>
      <c r="AJ513" s="5" t="str">
        <f>IF($A513="","",IF($AD513="","",IF($AD513&lt;5,"Under 5 C",IF($AD513&lt;10,"5-10 C",IF($AD513&lt;15,"10-15 C","15 C and above")))))</f>
        <v>5-10 C</v>
      </c>
      <c r="AK513" s="5">
        <f>IF($A513="","",IF($P513="","",$P513^2))</f>
        <v>3364</v>
      </c>
      <c r="AL513" s="18">
        <f>IF($V513&lt;&gt;1,"",AVERAGEIFS(Clean_Data!$P$2:$P$1001,Clean_Data!$F$2:$F$1001,$F513,Clean_Data!$W$2:$W$1001,$W513,Clean_Data!$V$2:$V$1001,1))</f>
        <v>62.7857142857143</v>
      </c>
      <c r="AM513" s="16">
        <f>IF($V513&lt;&gt;1,"",IFERROR(($P513-$AL513)/SQRT(MAX(0,(SUMIFS(Clean_Data!$AK$2:$AK$1001,Clean_Data!$F$2:$F$1001,$F513,Clean_Data!$W$2:$W$1001,$W513,Clean_Data!$V$2:$V$1001,1)-COUNTIFS(Clean_Data!$F$2:$F$1001,$F513,Clean_Data!$W$2:$W$1001,$W513,Clean_Data!$V$2:$V$1001,1)*$AL513^2)/(COUNTIFS(Clean_Data!$F$2:$F$1001,$F513,Clean_Data!$W$2:$W$1001,$W513,Clean_Data!$V$2:$V$1001,1)-1))),""))</f>
        <v>-0.239001903885028</v>
      </c>
      <c r="AN513" s="5" t="str">
        <f>IF($AM513="","",IF($AM513&gt;=Lookups!$K$6,"High spike",IF($AM513&lt;=-Lookups!$K$6,"Unusual low","Normal")))</f>
        <v>Normal</v>
      </c>
      <c r="AO513" s="20">
        <f>IF($V513&lt;&gt;1,"",$P513+ROW()/100000)</f>
        <v>58.00513</v>
      </c>
      <c r="AP513" s="5">
        <f>IF($A513="","",IFERROR(MATCH($A513,Raw_D1!$A$2:$A$1001,0),""))</f>
        <v>512</v>
      </c>
      <c r="AQ513" s="5">
        <f>IF($A513="","",IFERROR(MATCH($A513,Raw_D2!$B$2:$B$1001,0),""))</f>
        <v>512</v>
      </c>
      <c r="AR513" s="5">
        <f>IF($A513="","",IFERROR(MATCH($A513,Raw_D3!$A$2:$A$1001,0),""))</f>
        <v/>
      </c>
    </row>
    <row r="514" spans="1:44" x14ac:dyDescent="0.25">
      <c r="A514" s="5">
        <v>513</v>
      </c>
      <c r="B514" s="11">
        <f>IF($A514="","",IF($AP514&lt;&gt;"",INDEX(Raw_D1!$B$2:$B$1001,$AP514),IF($AR514&lt;&gt;"",INDEX(Raw_D3!$B$2:$B$1001,$AR514),"")))</f>
        <v>40566.0</v>
      </c>
      <c r="C514" s="5">
        <f>IF($A514="","",IF($AP514&lt;&gt;"",INDEX(Raw_D1!$C$2:$C$1001,$AP514),IF($AR514&lt;&gt;"",INDEX(Raw_D3!$C$2:$C$1001,$AR514),"")))</f>
        <v>1</v>
      </c>
      <c r="D514" s="5">
        <f>IF($A514="","",IF($AP514&lt;&gt;"",INDEX(Raw_D1!$D$2:$D$1001,$AP514),IF($AR514&lt;&gt;"",INDEX(Raw_D3!$D$2:$D$1001,$AR514),"")))</f>
        <v>0</v>
      </c>
      <c r="E514" s="5">
        <f>IF($A514="","",IF($AP514&lt;&gt;"",INDEX(Raw_D1!$E$2:$E$1001,$AP514),IF($AR514&lt;&gt;"",INDEX(Raw_D3!$E$2:$E$1001,$AR514),"")))</f>
        <v>1</v>
      </c>
      <c r="F514" s="5">
        <f>IF($A514="","",IF($AP514&lt;&gt;"",INDEX(Raw_D1!$F$2:$F$1001,$AP514),IF($AR514&lt;&gt;"",INDEX(Raw_D3!$F$2:$F$1001,$AR514),"")))</f>
        <v>11</v>
      </c>
      <c r="G514" s="5">
        <f>IF($A514="","",IF($AP514&lt;&gt;"",IF(INDEX(Raw_D1!$G$2:$G$1001,$AP514),1,0),IF($AR514&lt;&gt;"",IF(INDEX(Raw_D3!$G$2:$G$1001,$AR514),1,0),"")))</f>
        <v>0</v>
      </c>
      <c r="H514" s="5">
        <f>IF($A514="","",IF($AP514&lt;&gt;"",INDEX(Raw_D1!$H$2:$H$1001,$AP514),IF($AR514&lt;&gt;"",INDEX(Raw_D3!$H$2:$H$1001,$AR514),"")))</f>
        <v>0</v>
      </c>
      <c r="I514" s="5">
        <f>IF($A514="","",IF($AP514&lt;&gt;"",INDEX(Raw_D1!$I$2:$I$1001,$AP514),IF($AR514&lt;&gt;"",INDEX(Raw_D3!$I$2:$I$1001,$AR514),"")))</f>
        <v>1</v>
      </c>
      <c r="J514" s="16">
        <f>IF($A514="","",IF($AP514&lt;&gt;"",INDEX(Raw_D1!$J$2:$J$1001,$AP514),IF($AR514&lt;&gt;"",INDEX(Raw_D3!$J$2:$J$1001,$AR514),"")))</f>
        <v>0.14</v>
      </c>
      <c r="K514" s="17">
        <f>IF($A514="","",IF($AQ514&lt;&gt;"",IF(INDEX(Raw_D2!$C$2:$C$1001,$AQ514)="","",INDEX(Raw_D2!$C$2:$C$1001,$AQ514)),IF($AR514&lt;&gt;"",IF(INDEX(Raw_D3!$K$2:$K$1001,$AR514)="","",INDEX(Raw_D3!$K$2:$K$1001,$AR514)),"")))</f>
        <v>0.1364</v>
      </c>
      <c r="L514" s="16">
        <f>IF($A514="","",IF($AQ514&lt;&gt;"",IF(INDEX(Raw_D2!$D$2:$D$1001,$AQ514)="","",INDEX(Raw_D2!$D$2:$D$1001,$AQ514)),IF($AR514&lt;&gt;"",IF(INDEX(Raw_D3!$L$2:$L$1001,$AR514)="","",INDEX(Raw_D3!$L$2:$L$1001,$AR514)),"")))</f>
        <v>0.43</v>
      </c>
      <c r="M514" s="17">
        <f>IF($A514="","",IF($AQ514&lt;&gt;"",IF(INDEX(Raw_D2!$E$2:$E$1001,$AQ514)="","",INDEX(Raw_D2!$E$2:$E$1001,$AQ514)),IF($AR514&lt;&gt;"",IF(INDEX(Raw_D3!$M$2:$M$1001,$AR514)="","",INDEX(Raw_D3!$M$2:$M$1001,$AR514)),"")))</f>
        <v>0.2239</v>
      </c>
      <c r="N514" s="5">
        <f>IF($A514="","",IF($AQ514&lt;&gt;"",IF(INDEX(Raw_D2!$F$2:$F$1001,$AQ514)="","",INDEX(Raw_D2!$F$2:$F$1001,$AQ514)),IF($AR514&lt;&gt;"",IF(INDEX(Raw_D3!$N$2:$N$1001,$AR514)="","",INDEX(Raw_D3!$N$2:$N$1001,$AR514)),"")))</f>
        <v>22</v>
      </c>
      <c r="O514" s="5">
        <f>IF($A514="","",IF($AQ514&lt;&gt;"",IF(INDEX(Raw_D2!$G$2:$G$1001,$AQ514)="","",INDEX(Raw_D2!$G$2:$G$1001,$AQ514)),IF($AR514&lt;&gt;"",IF(INDEX(Raw_D3!$O$2:$O$1001,$AR514)="","",INDEX(Raw_D3!$O$2:$O$1001,$AR514)),"")))</f>
        <v>77</v>
      </c>
      <c r="P514" s="5">
        <f>IF($A514="","",IF($AQ514&lt;&gt;"",IF(INDEX(Raw_D2!$H$2:$H$1001,$AQ514)="","",INDEX(Raw_D2!$H$2:$H$1001,$AQ514)),IF($AR514&lt;&gt;"",IF(INDEX(Raw_D3!$P$2:$P$1001,$AR514)="","",INDEX(Raw_D3!$P$2:$P$1001,$AR514)),"")))</f>
        <v>99</v>
      </c>
      <c r="Q514" s="5" t="str">
        <f>IF($A514="","",IF(AND($AP514&lt;&gt;"",$AQ514&lt;&gt;""),"D1+D2",IF($AR514&lt;&gt;"","D3","Incomplete")))</f>
        <v>D1+D2</v>
      </c>
      <c r="R514" s="17">
        <f>IF($A514="","",IF($K514="",IF($J514="","",ROUND(Lookups!$K$5+Lookups!$K$4*$J514,4)),$K514))</f>
        <v>0.1364</v>
      </c>
      <c r="S514" s="5" t="str">
        <f>IF($A514="","",IF($K514="","Imputed","Original"))</f>
        <v>Original</v>
      </c>
      <c r="T514" s="5" t="str">
        <f>IF($A514="","",IF($P514="","Missing",IF($P514=$N514+$O514,"OK","Mismatch")))</f>
        <v>OK</v>
      </c>
      <c r="U514" s="5" t="str">
        <f>IF($A514="","",IF(COUNTIF($A$2:$A514,$A514)&gt;1,"Duplicate","Unique"))</f>
        <v>Unique</v>
      </c>
      <c r="V514" s="5">
        <f>IF($A514="","",IF(AND($U514="Unique",ISNUMBER($P514)),1,0))</f>
        <v>1</v>
      </c>
      <c r="W514" s="5" t="str">
        <f>IF($A514="","",IF(OR($H514=0,$H514=6),"Weekend","Weekday"))</f>
        <v>Weekend</v>
      </c>
      <c r="X514" s="5" t="str">
        <f>IF($A514="","",TEXT($B514,"ddd"))</f>
        <v>Sun</v>
      </c>
      <c r="Y514" s="5" t="str">
        <f>IF($A514="","",TEXT($B514,"mmm"))</f>
        <v>Jan</v>
      </c>
      <c r="Z514" s="5" t="str">
        <f>IF($A514="","",IFERROR(VLOOKUP($C514,Lookups!$D$4:$E$7,2,FALSE),"Unknown"))</f>
        <v>Winter</v>
      </c>
      <c r="AA514" s="5" t="str">
        <f>IF($A514="","",IFERROR(VLOOKUP($I514,Lookups!$A$4:$B$7,2,FALSE),"Unknown"))</f>
        <v>Clear</v>
      </c>
      <c r="AB514" s="5" t="str">
        <f>IF($A514="","",TEXT($F514,"00")&amp;":00")</f>
        <v>11:00</v>
      </c>
      <c r="AC514" s="5" t="str">
        <f>IF($A514="","",VLOOKUP($F514,Lookups!$G$4:$H$8,2,TRUE))</f>
        <v>Midday (10-15)</v>
      </c>
      <c r="AD514" s="18">
        <f>IF($A514="","",IF($J514="","",ROUND($J514*41,1)))</f>
        <v>5.7</v>
      </c>
      <c r="AE514" s="18">
        <f>IF($A514="","",IF($R514="","",ROUND($R514*50,1)))</f>
        <v>6.8</v>
      </c>
      <c r="AF514" s="5">
        <f>IF($A514="","",IF($L514="","",ROUND($L514*100,0)))</f>
        <v>43</v>
      </c>
      <c r="AG514" s="18">
        <f>IF($A514="","",IF($M514="","",ROUND($M514*67,1)))</f>
        <v>15</v>
      </c>
      <c r="AH514" s="19">
        <f>IF($A514="","",IF($P514="","",IF($P514=0,0,$O514/$P514)))</f>
        <v>0.777777777777778</v>
      </c>
      <c r="AI514" s="5" t="str">
        <f>IF($A514="","",IF($P514="","",IF($P514&gt;=Lookups!$K$7,"High",IF($P514&lt;=Lookups!$K$8,"Low","Medium"))))</f>
        <v>High</v>
      </c>
      <c r="AJ514" s="5" t="str">
        <f>IF($A514="","",IF($AD514="","",IF($AD514&lt;5,"Under 5 C",IF($AD514&lt;10,"5-10 C",IF($AD514&lt;15,"10-15 C","15 C and above")))))</f>
        <v>5-10 C</v>
      </c>
      <c r="AK514" s="5">
        <f>IF($A514="","",IF($P514="","",$P514^2))</f>
        <v>9801</v>
      </c>
      <c r="AL514" s="18">
        <f>IF($V514&lt;&gt;1,"",AVERAGEIFS(Clean_Data!$P$2:$P$1001,Clean_Data!$F$2:$F$1001,$F514,Clean_Data!$W$2:$W$1001,$W514,Clean_Data!$V$2:$V$1001,1))</f>
        <v>76.9285714285714</v>
      </c>
      <c r="AM514" s="16">
        <f>IF($V514&lt;&gt;1,"",IFERROR(($P514-$AL514)/SQRT(MAX(0,(SUMIFS(Clean_Data!$AK$2:$AK$1001,Clean_Data!$F$2:$F$1001,$F514,Clean_Data!$W$2:$W$1001,$W514,Clean_Data!$V$2:$V$1001,1)-COUNTIFS(Clean_Data!$F$2:$F$1001,$F514,Clean_Data!$W$2:$W$1001,$W514,Clean_Data!$V$2:$V$1001,1)*$AL514^2)/(COUNTIFS(Clean_Data!$F$2:$F$1001,$F514,Clean_Data!$W$2:$W$1001,$W514,Clean_Data!$V$2:$V$1001,1)-1))),""))</f>
        <v>0.887129552123378</v>
      </c>
      <c r="AN514" s="5" t="str">
        <f>IF($AM514="","",IF($AM514&gt;=Lookups!$K$6,"High spike",IF($AM514&lt;=-Lookups!$K$6,"Unusual low","Normal")))</f>
        <v>Normal</v>
      </c>
      <c r="AO514" s="20">
        <f>IF($V514&lt;&gt;1,"",$P514+ROW()/100000)</f>
        <v>99.00514</v>
      </c>
      <c r="AP514" s="5">
        <f>IF($A514="","",IFERROR(MATCH($A514,Raw_D1!$A$2:$A$1001,0),""))</f>
        <v>513</v>
      </c>
      <c r="AQ514" s="5">
        <f>IF($A514="","",IFERROR(MATCH($A514,Raw_D2!$B$2:$B$1001,0),""))</f>
        <v>513</v>
      </c>
      <c r="AR514" s="5">
        <f>IF($A514="","",IFERROR(MATCH($A514,Raw_D3!$A$2:$A$1001,0),""))</f>
        <v/>
      </c>
    </row>
    <row r="515" spans="1:44" x14ac:dyDescent="0.25">
      <c r="A515" s="5">
        <v>514</v>
      </c>
      <c r="B515" s="11">
        <f>IF($A515="","",IF($AP515&lt;&gt;"",INDEX(Raw_D1!$B$2:$B$1001,$AP515),IF($AR515&lt;&gt;"",INDEX(Raw_D3!$B$2:$B$1001,$AR515),"")))</f>
        <v>40566.0</v>
      </c>
      <c r="C515" s="5">
        <f>IF($A515="","",IF($AP515&lt;&gt;"",INDEX(Raw_D1!$C$2:$C$1001,$AP515),IF($AR515&lt;&gt;"",INDEX(Raw_D3!$C$2:$C$1001,$AR515),"")))</f>
        <v>1</v>
      </c>
      <c r="D515" s="5">
        <f>IF($A515="","",IF($AP515&lt;&gt;"",INDEX(Raw_D1!$D$2:$D$1001,$AP515),IF($AR515&lt;&gt;"",INDEX(Raw_D3!$D$2:$D$1001,$AR515),"")))</f>
        <v>0</v>
      </c>
      <c r="E515" s="5">
        <f>IF($A515="","",IF($AP515&lt;&gt;"",INDEX(Raw_D1!$E$2:$E$1001,$AP515),IF($AR515&lt;&gt;"",INDEX(Raw_D3!$E$2:$E$1001,$AR515),"")))</f>
        <v>1</v>
      </c>
      <c r="F515" s="5">
        <f>IF($A515="","",IF($AP515&lt;&gt;"",INDEX(Raw_D1!$F$2:$F$1001,$AP515),IF($AR515&lt;&gt;"",INDEX(Raw_D3!$F$2:$F$1001,$AR515),"")))</f>
        <v>12</v>
      </c>
      <c r="G515" s="5">
        <f>IF($A515="","",IF($AP515&lt;&gt;"",IF(INDEX(Raw_D1!$G$2:$G$1001,$AP515),1,0),IF($AR515&lt;&gt;"",IF(INDEX(Raw_D3!$G$2:$G$1001,$AR515),1,0),"")))</f>
        <v>0</v>
      </c>
      <c r="H515" s="5">
        <f>IF($A515="","",IF($AP515&lt;&gt;"",INDEX(Raw_D1!$H$2:$H$1001,$AP515),IF($AR515&lt;&gt;"",INDEX(Raw_D3!$H$2:$H$1001,$AR515),"")))</f>
        <v>0</v>
      </c>
      <c r="I515" s="5">
        <f>IF($A515="","",IF($AP515&lt;&gt;"",INDEX(Raw_D1!$I$2:$I$1001,$AP515),IF($AR515&lt;&gt;"",INDEX(Raw_D3!$I$2:$I$1001,$AR515),"")))</f>
        <v>1</v>
      </c>
      <c r="J515" s="16">
        <f>IF($A515="","",IF($AP515&lt;&gt;"",INDEX(Raw_D1!$J$2:$J$1001,$AP515),IF($AR515&lt;&gt;"",INDEX(Raw_D3!$J$2:$J$1001,$AR515),"")))</f>
        <v>0.16</v>
      </c>
      <c r="K515" s="17">
        <f>IF($A515="","",IF($AQ515&lt;&gt;"",IF(INDEX(Raw_D2!$C$2:$C$1001,$AQ515)="","",INDEX(Raw_D2!$C$2:$C$1001,$AQ515)),IF($AR515&lt;&gt;"",IF(INDEX(Raw_D3!$K$2:$K$1001,$AR515)="","",INDEX(Raw_D3!$K$2:$K$1001,$AR515)),"")))</f>
        <v>0.1212</v>
      </c>
      <c r="L515" s="16">
        <f>IF($A515="","",IF($AQ515&lt;&gt;"",IF(INDEX(Raw_D2!$D$2:$D$1001,$AQ515)="","",INDEX(Raw_D2!$D$2:$D$1001,$AQ515)),IF($AR515&lt;&gt;"",IF(INDEX(Raw_D3!$L$2:$L$1001,$AR515)="","",INDEX(Raw_D3!$L$2:$L$1001,$AR515)),"")))</f>
        <v>0.37</v>
      </c>
      <c r="M515" s="17">
        <f>IF($A515="","",IF($AQ515&lt;&gt;"",IF(INDEX(Raw_D2!$E$2:$E$1001,$AQ515)="","",INDEX(Raw_D2!$E$2:$E$1001,$AQ515)),IF($AR515&lt;&gt;"",IF(INDEX(Raw_D3!$M$2:$M$1001,$AR515)="","",INDEX(Raw_D3!$M$2:$M$1001,$AR515)),"")))</f>
        <v>0.4627</v>
      </c>
      <c r="N515" s="5">
        <f>IF($A515="","",IF($AQ515&lt;&gt;"",IF(INDEX(Raw_D2!$F$2:$F$1001,$AQ515)="","",INDEX(Raw_D2!$F$2:$F$1001,$AQ515)),IF($AR515&lt;&gt;"",IF(INDEX(Raw_D3!$N$2:$N$1001,$AR515)="","",INDEX(Raw_D3!$N$2:$N$1001,$AR515)),"")))</f>
        <v>24</v>
      </c>
      <c r="O515" s="5">
        <f>IF($A515="","",IF($AQ515&lt;&gt;"",IF(INDEX(Raw_D2!$G$2:$G$1001,$AQ515)="","",INDEX(Raw_D2!$G$2:$G$1001,$AQ515)),IF($AR515&lt;&gt;"",IF(INDEX(Raw_D3!$O$2:$O$1001,$AR515)="","",INDEX(Raw_D3!$O$2:$O$1001,$AR515)),"")))</f>
        <v>92</v>
      </c>
      <c r="P515" s="5">
        <f>IF($A515="","",IF($AQ515&lt;&gt;"",IF(INDEX(Raw_D2!$H$2:$H$1001,$AQ515)="","",INDEX(Raw_D2!$H$2:$H$1001,$AQ515)),IF($AR515&lt;&gt;"",IF(INDEX(Raw_D3!$P$2:$P$1001,$AR515)="","",INDEX(Raw_D3!$P$2:$P$1001,$AR515)),"")))</f>
        <v>116</v>
      </c>
      <c r="Q515" s="5" t="str">
        <f>IF($A515="","",IF(AND($AP515&lt;&gt;"",$AQ515&lt;&gt;""),"D1+D2",IF($AR515&lt;&gt;"","D3","Incomplete")))</f>
        <v>D1+D2</v>
      </c>
      <c r="R515" s="17">
        <f>IF($A515="","",IF($K515="",IF($J515="","",ROUND(Lookups!$K$5+Lookups!$K$4*$J515,4)),$K515))</f>
        <v>0.1212</v>
      </c>
      <c r="S515" s="5" t="str">
        <f>IF($A515="","",IF($K515="","Imputed","Original"))</f>
        <v>Original</v>
      </c>
      <c r="T515" s="5" t="str">
        <f>IF($A515="","",IF($P515="","Missing",IF($P515=$N515+$O515,"OK","Mismatch")))</f>
        <v>OK</v>
      </c>
      <c r="U515" s="5" t="str">
        <f>IF($A515="","",IF(COUNTIF($A$2:$A515,$A515)&gt;1,"Duplicate","Unique"))</f>
        <v>Unique</v>
      </c>
      <c r="V515" s="5">
        <f>IF($A515="","",IF(AND($U515="Unique",ISNUMBER($P515)),1,0))</f>
        <v>1</v>
      </c>
      <c r="W515" s="5" t="str">
        <f>IF($A515="","",IF(OR($H515=0,$H515=6),"Weekend","Weekday"))</f>
        <v>Weekend</v>
      </c>
      <c r="X515" s="5" t="str">
        <f>IF($A515="","",TEXT($B515,"ddd"))</f>
        <v>Sun</v>
      </c>
      <c r="Y515" s="5" t="str">
        <f>IF($A515="","",TEXT($B515,"mmm"))</f>
        <v>Jan</v>
      </c>
      <c r="Z515" s="5" t="str">
        <f>IF($A515="","",IFERROR(VLOOKUP($C515,Lookups!$D$4:$E$7,2,FALSE),"Unknown"))</f>
        <v>Winter</v>
      </c>
      <c r="AA515" s="5" t="str">
        <f>IF($A515="","",IFERROR(VLOOKUP($I515,Lookups!$A$4:$B$7,2,FALSE),"Unknown"))</f>
        <v>Clear</v>
      </c>
      <c r="AB515" s="5" t="str">
        <f>IF($A515="","",TEXT($F515,"00")&amp;":00")</f>
        <v>12:00</v>
      </c>
      <c r="AC515" s="5" t="str">
        <f>IF($A515="","",VLOOKUP($F515,Lookups!$G$4:$H$8,2,TRUE))</f>
        <v>Midday (10-15)</v>
      </c>
      <c r="AD515" s="18">
        <f>IF($A515="","",IF($J515="","",ROUND($J515*41,1)))</f>
        <v>6.6</v>
      </c>
      <c r="AE515" s="18">
        <f>IF($A515="","",IF($R515="","",ROUND($R515*50,1)))</f>
        <v>6.1</v>
      </c>
      <c r="AF515" s="5">
        <f>IF($A515="","",IF($L515="","",ROUND($L515*100,0)))</f>
        <v>37</v>
      </c>
      <c r="AG515" s="18">
        <f>IF($A515="","",IF($M515="","",ROUND($M515*67,1)))</f>
        <v>31</v>
      </c>
      <c r="AH515" s="19">
        <f>IF($A515="","",IF($P515="","",IF($P515=0,0,$O515/$P515)))</f>
        <v>0.793103448275862</v>
      </c>
      <c r="AI515" s="5" t="str">
        <f>IF($A515="","",IF($P515="","",IF($P515&gt;=Lookups!$K$7,"High",IF($P515&lt;=Lookups!$K$8,"Low","Medium"))))</f>
        <v>High</v>
      </c>
      <c r="AJ515" s="5" t="str">
        <f>IF($A515="","",IF($AD515="","",IF($AD515&lt;5,"Under 5 C",IF($AD515&lt;10,"5-10 C",IF($AD515&lt;15,"10-15 C","15 C and above")))))</f>
        <v>5-10 C</v>
      </c>
      <c r="AK515" s="5">
        <f>IF($A515="","",IF($P515="","",$P515^2))</f>
        <v>13456</v>
      </c>
      <c r="AL515" s="18">
        <f>IF($V515&lt;&gt;1,"",AVERAGEIFS(Clean_Data!$P$2:$P$1001,Clean_Data!$F$2:$F$1001,$F515,Clean_Data!$W$2:$W$1001,$W515,Clean_Data!$V$2:$V$1001,1))</f>
        <v>100.714285714286</v>
      </c>
      <c r="AM515" s="16">
        <f>IF($V515&lt;&gt;1,"",IFERROR(($P515-$AL515)/SQRT(MAX(0,(SUMIFS(Clean_Data!$AK$2:$AK$1001,Clean_Data!$F$2:$F$1001,$F515,Clean_Data!$W$2:$W$1001,$W515,Clean_Data!$V$2:$V$1001,1)-COUNTIFS(Clean_Data!$F$2:$F$1001,$F515,Clean_Data!$W$2:$W$1001,$W515,Clean_Data!$V$2:$V$1001,1)*$AL515^2)/(COUNTIFS(Clean_Data!$F$2:$F$1001,$F515,Clean_Data!$W$2:$W$1001,$W515,Clean_Data!$V$2:$V$1001,1)-1))),""))</f>
        <v>0.478598811254471</v>
      </c>
      <c r="AN515" s="5" t="str">
        <f>IF($AM515="","",IF($AM515&gt;=Lookups!$K$6,"High spike",IF($AM515&lt;=-Lookups!$K$6,"Unusual low","Normal")))</f>
        <v>Normal</v>
      </c>
      <c r="AO515" s="20">
        <f>IF($V515&lt;&gt;1,"",$P515+ROW()/100000)</f>
        <v>116.00515</v>
      </c>
      <c r="AP515" s="5">
        <f>IF($A515="","",IFERROR(MATCH($A515,Raw_D1!$A$2:$A$1001,0),""))</f>
        <v>514</v>
      </c>
      <c r="AQ515" s="5">
        <f>IF($A515="","",IFERROR(MATCH($A515,Raw_D2!$B$2:$B$1001,0),""))</f>
        <v>514</v>
      </c>
      <c r="AR515" s="5">
        <f>IF($A515="","",IFERROR(MATCH($A515,Raw_D3!$A$2:$A$1001,0),""))</f>
        <v/>
      </c>
    </row>
    <row r="516" spans="1:44" x14ac:dyDescent="0.25">
      <c r="A516" s="5">
        <v>515</v>
      </c>
      <c r="B516" s="11">
        <f>IF($A516="","",IF($AP516&lt;&gt;"",INDEX(Raw_D1!$B$2:$B$1001,$AP516),IF($AR516&lt;&gt;"",INDEX(Raw_D3!$B$2:$B$1001,$AR516),"")))</f>
        <v>40566.0</v>
      </c>
      <c r="C516" s="5">
        <f>IF($A516="","",IF($AP516&lt;&gt;"",INDEX(Raw_D1!$C$2:$C$1001,$AP516),IF($AR516&lt;&gt;"",INDEX(Raw_D3!$C$2:$C$1001,$AR516),"")))</f>
        <v>1</v>
      </c>
      <c r="D516" s="5">
        <f>IF($A516="","",IF($AP516&lt;&gt;"",INDEX(Raw_D1!$D$2:$D$1001,$AP516),IF($AR516&lt;&gt;"",INDEX(Raw_D3!$D$2:$D$1001,$AR516),"")))</f>
        <v>0</v>
      </c>
      <c r="E516" s="5">
        <f>IF($A516="","",IF($AP516&lt;&gt;"",INDEX(Raw_D1!$E$2:$E$1001,$AP516),IF($AR516&lt;&gt;"",INDEX(Raw_D3!$E$2:$E$1001,$AR516),"")))</f>
        <v>1</v>
      </c>
      <c r="F516" s="5">
        <f>IF($A516="","",IF($AP516&lt;&gt;"",INDEX(Raw_D1!$F$2:$F$1001,$AP516),IF($AR516&lt;&gt;"",INDEX(Raw_D3!$F$2:$F$1001,$AR516),"")))</f>
        <v>13</v>
      </c>
      <c r="G516" s="5">
        <f>IF($A516="","",IF($AP516&lt;&gt;"",IF(INDEX(Raw_D1!$G$2:$G$1001,$AP516),1,0),IF($AR516&lt;&gt;"",IF(INDEX(Raw_D3!$G$2:$G$1001,$AR516),1,0),"")))</f>
        <v>0</v>
      </c>
      <c r="H516" s="5">
        <f>IF($A516="","",IF($AP516&lt;&gt;"",INDEX(Raw_D1!$H$2:$H$1001,$AP516),IF($AR516&lt;&gt;"",INDEX(Raw_D3!$H$2:$H$1001,$AR516),"")))</f>
        <v>0</v>
      </c>
      <c r="I516" s="5">
        <f>IF($A516="","",IF($AP516&lt;&gt;"",INDEX(Raw_D1!$I$2:$I$1001,$AP516),IF($AR516&lt;&gt;"",INDEX(Raw_D3!$I$2:$I$1001,$AR516),"")))</f>
        <v>1</v>
      </c>
      <c r="J516" s="16">
        <f>IF($A516="","",IF($AP516&lt;&gt;"",INDEX(Raw_D1!$J$2:$J$1001,$AP516),IF($AR516&lt;&gt;"",INDEX(Raw_D3!$J$2:$J$1001,$AR516),"")))</f>
        <v>0.14</v>
      </c>
      <c r="K516" s="17">
        <f>IF($A516="","",IF($AQ516&lt;&gt;"",IF(INDEX(Raw_D2!$C$2:$C$1001,$AQ516)="","",INDEX(Raw_D2!$C$2:$C$1001,$AQ516)),IF($AR516&lt;&gt;"",IF(INDEX(Raw_D3!$K$2:$K$1001,$AR516)="","",INDEX(Raw_D3!$K$2:$K$1001,$AR516)),"")))</f>
        <v>0.1061</v>
      </c>
      <c r="L516" s="16">
        <f>IF($A516="","",IF($AQ516&lt;&gt;"",IF(INDEX(Raw_D2!$D$2:$D$1001,$AQ516)="","",INDEX(Raw_D2!$D$2:$D$1001,$AQ516)),IF($AR516&lt;&gt;"",IF(INDEX(Raw_D3!$L$2:$L$1001,$AR516)="","",INDEX(Raw_D3!$L$2:$L$1001,$AR516)),"")))</f>
        <v>0.33</v>
      </c>
      <c r="M516" s="17">
        <f>IF($A516="","",IF($AQ516&lt;&gt;"",IF(INDEX(Raw_D2!$E$2:$E$1001,$AQ516)="","",INDEX(Raw_D2!$E$2:$E$1001,$AQ516)),IF($AR516&lt;&gt;"",IF(INDEX(Raw_D3!$M$2:$M$1001,$AR516)="","",INDEX(Raw_D3!$M$2:$M$1001,$AR516)),"")))</f>
        <v>0.3881</v>
      </c>
      <c r="N516" s="5">
        <f>IF($A516="","",IF($AQ516&lt;&gt;"",IF(INDEX(Raw_D2!$F$2:$F$1001,$AQ516)="","",INDEX(Raw_D2!$F$2:$F$1001,$AQ516)),IF($AR516&lt;&gt;"",IF(INDEX(Raw_D3!$N$2:$N$1001,$AR516)="","",INDEX(Raw_D3!$N$2:$N$1001,$AR516)),"")))</f>
        <v>12</v>
      </c>
      <c r="O516" s="5">
        <f>IF($A516="","",IF($AQ516&lt;&gt;"",IF(INDEX(Raw_D2!$G$2:$G$1001,$AQ516)="","",INDEX(Raw_D2!$G$2:$G$1001,$AQ516)),IF($AR516&lt;&gt;"",IF(INDEX(Raw_D3!$O$2:$O$1001,$AR516)="","",INDEX(Raw_D3!$O$2:$O$1001,$AR516)),"")))</f>
        <v>75</v>
      </c>
      <c r="P516" s="5">
        <f>IF($A516="","",IF($AQ516&lt;&gt;"",IF(INDEX(Raw_D2!$H$2:$H$1001,$AQ516)="","",INDEX(Raw_D2!$H$2:$H$1001,$AQ516)),IF($AR516&lt;&gt;"",IF(INDEX(Raw_D3!$P$2:$P$1001,$AR516)="","",INDEX(Raw_D3!$P$2:$P$1001,$AR516)),"")))</f>
        <v>87</v>
      </c>
      <c r="Q516" s="5" t="str">
        <f>IF($A516="","",IF(AND($AP516&lt;&gt;"",$AQ516&lt;&gt;""),"D1+D2",IF($AR516&lt;&gt;"","D3","Incomplete")))</f>
        <v>D1+D2</v>
      </c>
      <c r="R516" s="17">
        <f>IF($A516="","",IF($K516="",IF($J516="","",ROUND(Lookups!$K$5+Lookups!$K$4*$J516,4)),$K516))</f>
        <v>0.1061</v>
      </c>
      <c r="S516" s="5" t="str">
        <f>IF($A516="","",IF($K516="","Imputed","Original"))</f>
        <v>Original</v>
      </c>
      <c r="T516" s="5" t="str">
        <f>IF($A516="","",IF($P516="","Missing",IF($P516=$N516+$O516,"OK","Mismatch")))</f>
        <v>OK</v>
      </c>
      <c r="U516" s="5" t="str">
        <f>IF($A516="","",IF(COUNTIF($A$2:$A516,$A516)&gt;1,"Duplicate","Unique"))</f>
        <v>Unique</v>
      </c>
      <c r="V516" s="5">
        <f>IF($A516="","",IF(AND($U516="Unique",ISNUMBER($P516)),1,0))</f>
        <v>1</v>
      </c>
      <c r="W516" s="5" t="str">
        <f>IF($A516="","",IF(OR($H516=0,$H516=6),"Weekend","Weekday"))</f>
        <v>Weekend</v>
      </c>
      <c r="X516" s="5" t="str">
        <f>IF($A516="","",TEXT($B516,"ddd"))</f>
        <v>Sun</v>
      </c>
      <c r="Y516" s="5" t="str">
        <f>IF($A516="","",TEXT($B516,"mmm"))</f>
        <v>Jan</v>
      </c>
      <c r="Z516" s="5" t="str">
        <f>IF($A516="","",IFERROR(VLOOKUP($C516,Lookups!$D$4:$E$7,2,FALSE),"Unknown"))</f>
        <v>Winter</v>
      </c>
      <c r="AA516" s="5" t="str">
        <f>IF($A516="","",IFERROR(VLOOKUP($I516,Lookups!$A$4:$B$7,2,FALSE),"Unknown"))</f>
        <v>Clear</v>
      </c>
      <c r="AB516" s="5" t="str">
        <f>IF($A516="","",TEXT($F516,"00")&amp;":00")</f>
        <v>13:00</v>
      </c>
      <c r="AC516" s="5" t="str">
        <f>IF($A516="","",VLOOKUP($F516,Lookups!$G$4:$H$8,2,TRUE))</f>
        <v>Midday (10-15)</v>
      </c>
      <c r="AD516" s="18">
        <f>IF($A516="","",IF($J516="","",ROUND($J516*41,1)))</f>
        <v>5.7</v>
      </c>
      <c r="AE516" s="18">
        <f>IF($A516="","",IF($R516="","",ROUND($R516*50,1)))</f>
        <v>5.3</v>
      </c>
      <c r="AF516" s="5">
        <f>IF($A516="","",IF($L516="","",ROUND($L516*100,0)))</f>
        <v>33</v>
      </c>
      <c r="AG516" s="18">
        <f>IF($A516="","",IF($M516="","",ROUND($M516*67,1)))</f>
        <v>26</v>
      </c>
      <c r="AH516" s="19">
        <f>IF($A516="","",IF($P516="","",IF($P516=0,0,$O516/$P516)))</f>
        <v>0.862068965517241</v>
      </c>
      <c r="AI516" s="5" t="str">
        <f>IF($A516="","",IF($P516="","",IF($P516&gt;=Lookups!$K$7,"High",IF($P516&lt;=Lookups!$K$8,"Low","Medium"))))</f>
        <v>High</v>
      </c>
      <c r="AJ516" s="5" t="str">
        <f>IF($A516="","",IF($AD516="","",IF($AD516&lt;5,"Under 5 C",IF($AD516&lt;10,"5-10 C",IF($AD516&lt;15,"10-15 C","15 C and above")))))</f>
        <v>5-10 C</v>
      </c>
      <c r="AK516" s="5">
        <f>IF($A516="","",IF($P516="","",$P516^2))</f>
        <v>7569</v>
      </c>
      <c r="AL516" s="18">
        <f>IF($V516&lt;&gt;1,"",AVERAGEIFS(Clean_Data!$P$2:$P$1001,Clean_Data!$F$2:$F$1001,$F516,Clean_Data!$W$2:$W$1001,$W516,Clean_Data!$V$2:$V$1001,1))</f>
        <v>102</v>
      </c>
      <c r="AM516" s="16">
        <f>IF($V516&lt;&gt;1,"",IFERROR(($P516-$AL516)/SQRT(MAX(0,(SUMIFS(Clean_Data!$AK$2:$AK$1001,Clean_Data!$F$2:$F$1001,$F516,Clean_Data!$W$2:$W$1001,$W516,Clean_Data!$V$2:$V$1001,1)-COUNTIFS(Clean_Data!$F$2:$F$1001,$F516,Clean_Data!$W$2:$W$1001,$W516,Clean_Data!$V$2:$V$1001,1)*$AL516^2)/(COUNTIFS(Clean_Data!$F$2:$F$1001,$F516,Clean_Data!$W$2:$W$1001,$W516,Clean_Data!$V$2:$V$1001,1)-1))),""))</f>
        <v>-0.439919513371862</v>
      </c>
      <c r="AN516" s="5" t="str">
        <f>IF($AM516="","",IF($AM516&gt;=Lookups!$K$6,"High spike",IF($AM516&lt;=-Lookups!$K$6,"Unusual low","Normal")))</f>
        <v>Normal</v>
      </c>
      <c r="AO516" s="20">
        <f>IF($V516&lt;&gt;1,"",$P516+ROW()/100000)</f>
        <v>87.00516</v>
      </c>
      <c r="AP516" s="5">
        <f>IF($A516="","",IFERROR(MATCH($A516,Raw_D1!$A$2:$A$1001,0),""))</f>
        <v>515</v>
      </c>
      <c r="AQ516" s="5">
        <f>IF($A516="","",IFERROR(MATCH($A516,Raw_D2!$B$2:$B$1001,0),""))</f>
        <v>515</v>
      </c>
      <c r="AR516" s="5">
        <f>IF($A516="","",IFERROR(MATCH($A516,Raw_D3!$A$2:$A$1001,0),""))</f>
        <v/>
      </c>
    </row>
    <row r="517" spans="1:44" x14ac:dyDescent="0.25">
      <c r="A517" s="5">
        <v>516</v>
      </c>
      <c r="B517" s="11">
        <f>IF($A517="","",IF($AP517&lt;&gt;"",INDEX(Raw_D1!$B$2:$B$1001,$AP517),IF($AR517&lt;&gt;"",INDEX(Raw_D3!$B$2:$B$1001,$AR517),"")))</f>
        <v>40566.0</v>
      </c>
      <c r="C517" s="5">
        <f>IF($A517="","",IF($AP517&lt;&gt;"",INDEX(Raw_D1!$C$2:$C$1001,$AP517),IF($AR517&lt;&gt;"",INDEX(Raw_D3!$C$2:$C$1001,$AR517),"")))</f>
        <v>1</v>
      </c>
      <c r="D517" s="5">
        <f>IF($A517="","",IF($AP517&lt;&gt;"",INDEX(Raw_D1!$D$2:$D$1001,$AP517),IF($AR517&lt;&gt;"",INDEX(Raw_D3!$D$2:$D$1001,$AR517),"")))</f>
        <v>0</v>
      </c>
      <c r="E517" s="5">
        <f>IF($A517="","",IF($AP517&lt;&gt;"",INDEX(Raw_D1!$E$2:$E$1001,$AP517),IF($AR517&lt;&gt;"",INDEX(Raw_D3!$E$2:$E$1001,$AR517),"")))</f>
        <v>1</v>
      </c>
      <c r="F517" s="5">
        <f>IF($A517="","",IF($AP517&lt;&gt;"",INDEX(Raw_D1!$F$2:$F$1001,$AP517),IF($AR517&lt;&gt;"",INDEX(Raw_D3!$F$2:$F$1001,$AR517),"")))</f>
        <v>14</v>
      </c>
      <c r="G517" s="5">
        <f>IF($A517="","",IF($AP517&lt;&gt;"",IF(INDEX(Raw_D1!$G$2:$G$1001,$AP517),1,0),IF($AR517&lt;&gt;"",IF(INDEX(Raw_D3!$G$2:$G$1001,$AR517),1,0),"")))</f>
        <v>0</v>
      </c>
      <c r="H517" s="5">
        <f>IF($A517="","",IF($AP517&lt;&gt;"",INDEX(Raw_D1!$H$2:$H$1001,$AP517),IF($AR517&lt;&gt;"",INDEX(Raw_D3!$H$2:$H$1001,$AR517),"")))</f>
        <v>0</v>
      </c>
      <c r="I517" s="5">
        <f>IF($A517="","",IF($AP517&lt;&gt;"",INDEX(Raw_D1!$I$2:$I$1001,$AP517),IF($AR517&lt;&gt;"",INDEX(Raw_D3!$I$2:$I$1001,$AR517),"")))</f>
        <v>1</v>
      </c>
      <c r="J517" s="16">
        <f>IF($A517="","",IF($AP517&lt;&gt;"",INDEX(Raw_D1!$J$2:$J$1001,$AP517),IF($AR517&lt;&gt;"",INDEX(Raw_D3!$J$2:$J$1001,$AR517),"")))</f>
        <v>0.16</v>
      </c>
      <c r="K517" s="17">
        <f>IF($A517="","",IF($AQ517&lt;&gt;"",IF(INDEX(Raw_D2!$C$2:$C$1001,$AQ517)="","",INDEX(Raw_D2!$C$2:$C$1001,$AQ517)),IF($AR517&lt;&gt;"",IF(INDEX(Raw_D3!$K$2:$K$1001,$AR517)="","",INDEX(Raw_D3!$K$2:$K$1001,$AR517)),"")))</f>
        <v>0.1364</v>
      </c>
      <c r="L517" s="16">
        <f>IF($A517="","",IF($AQ517&lt;&gt;"",IF(INDEX(Raw_D2!$D$2:$D$1001,$AQ517)="","",INDEX(Raw_D2!$D$2:$D$1001,$AQ517)),IF($AR517&lt;&gt;"",IF(INDEX(Raw_D3!$L$2:$L$1001,$AR517)="","",INDEX(Raw_D3!$L$2:$L$1001,$AR517)),"")))</f>
        <v>0.28</v>
      </c>
      <c r="M517" s="17">
        <f>IF($A517="","",IF($AQ517&lt;&gt;"",IF(INDEX(Raw_D2!$E$2:$E$1001,$AQ517)="","",INDEX(Raw_D2!$E$2:$E$1001,$AQ517)),IF($AR517&lt;&gt;"",IF(INDEX(Raw_D3!$M$2:$M$1001,$AR517)="","",INDEX(Raw_D3!$M$2:$M$1001,$AR517)),"")))</f>
        <v>0.3582</v>
      </c>
      <c r="N517" s="5">
        <f>IF($A517="","",IF($AQ517&lt;&gt;"",IF(INDEX(Raw_D2!$F$2:$F$1001,$AQ517)="","",INDEX(Raw_D2!$F$2:$F$1001,$AQ517)),IF($AR517&lt;&gt;"",IF(INDEX(Raw_D3!$N$2:$N$1001,$AR517)="","",INDEX(Raw_D3!$N$2:$N$1001,$AR517)),"")))</f>
        <v>17</v>
      </c>
      <c r="O517" s="5">
        <f>IF($A517="","",IF($AQ517&lt;&gt;"",IF(INDEX(Raw_D2!$G$2:$G$1001,$AQ517)="","",INDEX(Raw_D2!$G$2:$G$1001,$AQ517)),IF($AR517&lt;&gt;"",IF(INDEX(Raw_D3!$O$2:$O$1001,$AR517)="","",INDEX(Raw_D3!$O$2:$O$1001,$AR517)),"")))</f>
        <v>93</v>
      </c>
      <c r="P517" s="5">
        <f>IF($A517="","",IF($AQ517&lt;&gt;"",IF(INDEX(Raw_D2!$H$2:$H$1001,$AQ517)="","",INDEX(Raw_D2!$H$2:$H$1001,$AQ517)),IF($AR517&lt;&gt;"",IF(INDEX(Raw_D3!$P$2:$P$1001,$AR517)="","",INDEX(Raw_D3!$P$2:$P$1001,$AR517)),"")))</f>
        <v>110</v>
      </c>
      <c r="Q517" s="5" t="str">
        <f>IF($A517="","",IF(AND($AP517&lt;&gt;"",$AQ517&lt;&gt;""),"D1+D2",IF($AR517&lt;&gt;"","D3","Incomplete")))</f>
        <v>D1+D2</v>
      </c>
      <c r="R517" s="17">
        <f>IF($A517="","",IF($K517="",IF($J517="","",ROUND(Lookups!$K$5+Lookups!$K$4*$J517,4)),$K517))</f>
        <v>0.1364</v>
      </c>
      <c r="S517" s="5" t="str">
        <f>IF($A517="","",IF($K517="","Imputed","Original"))</f>
        <v>Original</v>
      </c>
      <c r="T517" s="5" t="str">
        <f>IF($A517="","",IF($P517="","Missing",IF($P517=$N517+$O517,"OK","Mismatch")))</f>
        <v>OK</v>
      </c>
      <c r="U517" s="5" t="str">
        <f>IF($A517="","",IF(COUNTIF($A$2:$A517,$A517)&gt;1,"Duplicate","Unique"))</f>
        <v>Unique</v>
      </c>
      <c r="V517" s="5">
        <f>IF($A517="","",IF(AND($U517="Unique",ISNUMBER($P517)),1,0))</f>
        <v>1</v>
      </c>
      <c r="W517" s="5" t="str">
        <f>IF($A517="","",IF(OR($H517=0,$H517=6),"Weekend","Weekday"))</f>
        <v>Weekend</v>
      </c>
      <c r="X517" s="5" t="str">
        <f>IF($A517="","",TEXT($B517,"ddd"))</f>
        <v>Sun</v>
      </c>
      <c r="Y517" s="5" t="str">
        <f>IF($A517="","",TEXT($B517,"mmm"))</f>
        <v>Jan</v>
      </c>
      <c r="Z517" s="5" t="str">
        <f>IF($A517="","",IFERROR(VLOOKUP($C517,Lookups!$D$4:$E$7,2,FALSE),"Unknown"))</f>
        <v>Winter</v>
      </c>
      <c r="AA517" s="5" t="str">
        <f>IF($A517="","",IFERROR(VLOOKUP($I517,Lookups!$A$4:$B$7,2,FALSE),"Unknown"))</f>
        <v>Clear</v>
      </c>
      <c r="AB517" s="5" t="str">
        <f>IF($A517="","",TEXT($F517,"00")&amp;":00")</f>
        <v>14:00</v>
      </c>
      <c r="AC517" s="5" t="str">
        <f>IF($A517="","",VLOOKUP($F517,Lookups!$G$4:$H$8,2,TRUE))</f>
        <v>Midday (10-15)</v>
      </c>
      <c r="AD517" s="18">
        <f>IF($A517="","",IF($J517="","",ROUND($J517*41,1)))</f>
        <v>6.6</v>
      </c>
      <c r="AE517" s="18">
        <f>IF($A517="","",IF($R517="","",ROUND($R517*50,1)))</f>
        <v>6.8</v>
      </c>
      <c r="AF517" s="5">
        <f>IF($A517="","",IF($L517="","",ROUND($L517*100,0)))</f>
        <v>28</v>
      </c>
      <c r="AG517" s="18">
        <f>IF($A517="","",IF($M517="","",ROUND($M517*67,1)))</f>
        <v>24</v>
      </c>
      <c r="AH517" s="19">
        <f>IF($A517="","",IF($P517="","",IF($P517=0,0,$O517/$P517)))</f>
        <v>0.845454545454546</v>
      </c>
      <c r="AI517" s="5" t="str">
        <f>IF($A517="","",IF($P517="","",IF($P517&gt;=Lookups!$K$7,"High",IF($P517&lt;=Lookups!$K$8,"Low","Medium"))))</f>
        <v>High</v>
      </c>
      <c r="AJ517" s="5" t="str">
        <f>IF($A517="","",IF($AD517="","",IF($AD517&lt;5,"Under 5 C",IF($AD517&lt;10,"5-10 C",IF($AD517&lt;15,"10-15 C","15 C and above")))))</f>
        <v>5-10 C</v>
      </c>
      <c r="AK517" s="5">
        <f>IF($A517="","",IF($P517="","",$P517^2))</f>
        <v>12100</v>
      </c>
      <c r="AL517" s="18">
        <f>IF($V517&lt;&gt;1,"",AVERAGEIFS(Clean_Data!$P$2:$P$1001,Clean_Data!$F$2:$F$1001,$F517,Clean_Data!$W$2:$W$1001,$W517,Clean_Data!$V$2:$V$1001,1))</f>
        <v>103.142857142857</v>
      </c>
      <c r="AM517" s="16">
        <f>IF($V517&lt;&gt;1,"",IFERROR(($P517-$AL517)/SQRT(MAX(0,(SUMIFS(Clean_Data!$AK$2:$AK$1001,Clean_Data!$F$2:$F$1001,$F517,Clean_Data!$W$2:$W$1001,$W517,Clean_Data!$V$2:$V$1001,1)-COUNTIFS(Clean_Data!$F$2:$F$1001,$F517,Clean_Data!$W$2:$W$1001,$W517,Clean_Data!$V$2:$V$1001,1)*$AL517^2)/(COUNTIFS(Clean_Data!$F$2:$F$1001,$F517,Clean_Data!$W$2:$W$1001,$W517,Clean_Data!$V$2:$V$1001,1)-1))),""))</f>
        <v>0.209933195352643</v>
      </c>
      <c r="AN517" s="5" t="str">
        <f>IF($AM517="","",IF($AM517&gt;=Lookups!$K$6,"High spike",IF($AM517&lt;=-Lookups!$K$6,"Unusual low","Normal")))</f>
        <v>Normal</v>
      </c>
      <c r="AO517" s="20">
        <f>IF($V517&lt;&gt;1,"",$P517+ROW()/100000)</f>
        <v>110.00517</v>
      </c>
      <c r="AP517" s="5">
        <f>IF($A517="","",IFERROR(MATCH($A517,Raw_D1!$A$2:$A$1001,0),""))</f>
        <v>516</v>
      </c>
      <c r="AQ517" s="5">
        <f>IF($A517="","",IFERROR(MATCH($A517,Raw_D2!$B$2:$B$1001,0),""))</f>
        <v>516</v>
      </c>
      <c r="AR517" s="5">
        <f>IF($A517="","",IFERROR(MATCH($A517,Raw_D3!$A$2:$A$1001,0),""))</f>
        <v/>
      </c>
    </row>
    <row r="518" spans="1:44" x14ac:dyDescent="0.25">
      <c r="A518" s="5">
        <v>517</v>
      </c>
      <c r="B518" s="11">
        <f>IF($A518="","",IF($AP518&lt;&gt;"",INDEX(Raw_D1!$B$2:$B$1001,$AP518),IF($AR518&lt;&gt;"",INDEX(Raw_D3!$B$2:$B$1001,$AR518),"")))</f>
        <v>40566.0</v>
      </c>
      <c r="C518" s="5">
        <f>IF($A518="","",IF($AP518&lt;&gt;"",INDEX(Raw_D1!$C$2:$C$1001,$AP518),IF($AR518&lt;&gt;"",INDEX(Raw_D3!$C$2:$C$1001,$AR518),"")))</f>
        <v>1</v>
      </c>
      <c r="D518" s="5">
        <f>IF($A518="","",IF($AP518&lt;&gt;"",INDEX(Raw_D1!$D$2:$D$1001,$AP518),IF($AR518&lt;&gt;"",INDEX(Raw_D3!$D$2:$D$1001,$AR518),"")))</f>
        <v>0</v>
      </c>
      <c r="E518" s="5">
        <f>IF($A518="","",IF($AP518&lt;&gt;"",INDEX(Raw_D1!$E$2:$E$1001,$AP518),IF($AR518&lt;&gt;"",INDEX(Raw_D3!$E$2:$E$1001,$AR518),"")))</f>
        <v>1</v>
      </c>
      <c r="F518" s="5">
        <f>IF($A518="","",IF($AP518&lt;&gt;"",INDEX(Raw_D1!$F$2:$F$1001,$AP518),IF($AR518&lt;&gt;"",INDEX(Raw_D3!$F$2:$F$1001,$AR518),"")))</f>
        <v>15</v>
      </c>
      <c r="G518" s="5">
        <f>IF($A518="","",IF($AP518&lt;&gt;"",IF(INDEX(Raw_D1!$G$2:$G$1001,$AP518),1,0),IF($AR518&lt;&gt;"",IF(INDEX(Raw_D3!$G$2:$G$1001,$AR518),1,0),"")))</f>
        <v>0</v>
      </c>
      <c r="H518" s="5">
        <f>IF($A518="","",IF($AP518&lt;&gt;"",INDEX(Raw_D1!$H$2:$H$1001,$AP518),IF($AR518&lt;&gt;"",INDEX(Raw_D3!$H$2:$H$1001,$AR518),"")))</f>
        <v>0</v>
      </c>
      <c r="I518" s="5">
        <f>IF($A518="","",IF($AP518&lt;&gt;"",INDEX(Raw_D1!$I$2:$I$1001,$AP518),IF($AR518&lt;&gt;"",INDEX(Raw_D3!$I$2:$I$1001,$AR518),"")))</f>
        <v>1</v>
      </c>
      <c r="J518" s="16">
        <f>IF($A518="","",IF($AP518&lt;&gt;"",INDEX(Raw_D1!$J$2:$J$1001,$AP518),IF($AR518&lt;&gt;"",INDEX(Raw_D3!$J$2:$J$1001,$AR518),"")))</f>
        <v>0.16</v>
      </c>
      <c r="K518" s="17">
        <f>IF($A518="","",IF($AQ518&lt;&gt;"",IF(INDEX(Raw_D2!$C$2:$C$1001,$AQ518)="","",INDEX(Raw_D2!$C$2:$C$1001,$AQ518)),IF($AR518&lt;&gt;"",IF(INDEX(Raw_D3!$K$2:$K$1001,$AR518)="","",INDEX(Raw_D3!$K$2:$K$1001,$AR518)),"")))</f>
        <v>0.1364</v>
      </c>
      <c r="L518" s="16">
        <f>IF($A518="","",IF($AQ518&lt;&gt;"",IF(INDEX(Raw_D2!$D$2:$D$1001,$AQ518)="","",INDEX(Raw_D2!$D$2:$D$1001,$AQ518)),IF($AR518&lt;&gt;"",IF(INDEX(Raw_D3!$L$2:$L$1001,$AR518)="","",INDEX(Raw_D3!$L$2:$L$1001,$AR518)),"")))</f>
        <v>0.28</v>
      </c>
      <c r="M518" s="17">
        <f>IF($A518="","",IF($AQ518&lt;&gt;"",IF(INDEX(Raw_D2!$E$2:$E$1001,$AQ518)="","",INDEX(Raw_D2!$E$2:$E$1001,$AQ518)),IF($AR518&lt;&gt;"",IF(INDEX(Raw_D3!$M$2:$M$1001,$AR518)="","",INDEX(Raw_D3!$M$2:$M$1001,$AR518)),"")))</f>
        <v>0.3582</v>
      </c>
      <c r="N518" s="5">
        <f>IF($A518="","",IF($AQ518&lt;&gt;"",IF(INDEX(Raw_D2!$F$2:$F$1001,$AQ518)="","",INDEX(Raw_D2!$F$2:$F$1001,$AQ518)),IF($AR518&lt;&gt;"",IF(INDEX(Raw_D3!$N$2:$N$1001,$AR518)="","",INDEX(Raw_D3!$N$2:$N$1001,$AR518)),"")))</f>
        <v>13</v>
      </c>
      <c r="O518" s="5">
        <f>IF($A518="","",IF($AQ518&lt;&gt;"",IF(INDEX(Raw_D2!$G$2:$G$1001,$AQ518)="","",INDEX(Raw_D2!$G$2:$G$1001,$AQ518)),IF($AR518&lt;&gt;"",IF(INDEX(Raw_D3!$O$2:$O$1001,$AR518)="","",INDEX(Raw_D3!$O$2:$O$1001,$AR518)),"")))</f>
        <v>64</v>
      </c>
      <c r="P518" s="5">
        <f>IF($A518="","",IF($AQ518&lt;&gt;"",IF(INDEX(Raw_D2!$H$2:$H$1001,$AQ518)="","",INDEX(Raw_D2!$H$2:$H$1001,$AQ518)),IF($AR518&lt;&gt;"",IF(INDEX(Raw_D3!$P$2:$P$1001,$AR518)="","",INDEX(Raw_D3!$P$2:$P$1001,$AR518)),"")))</f>
        <v>77</v>
      </c>
      <c r="Q518" s="5" t="str">
        <f>IF($A518="","",IF(AND($AP518&lt;&gt;"",$AQ518&lt;&gt;""),"D1+D2",IF($AR518&lt;&gt;"","D3","Incomplete")))</f>
        <v>D1+D2</v>
      </c>
      <c r="R518" s="17">
        <f>IF($A518="","",IF($K518="",IF($J518="","",ROUND(Lookups!$K$5+Lookups!$K$4*$J518,4)),$K518))</f>
        <v>0.1364</v>
      </c>
      <c r="S518" s="5" t="str">
        <f>IF($A518="","",IF($K518="","Imputed","Original"))</f>
        <v>Original</v>
      </c>
      <c r="T518" s="5" t="str">
        <f>IF($A518="","",IF($P518="","Missing",IF($P518=$N518+$O518,"OK","Mismatch")))</f>
        <v>OK</v>
      </c>
      <c r="U518" s="5" t="str">
        <f>IF($A518="","",IF(COUNTIF($A$2:$A518,$A518)&gt;1,"Duplicate","Unique"))</f>
        <v>Unique</v>
      </c>
      <c r="V518" s="5">
        <f>IF($A518="","",IF(AND($U518="Unique",ISNUMBER($P518)),1,0))</f>
        <v>1</v>
      </c>
      <c r="W518" s="5" t="str">
        <f>IF($A518="","",IF(OR($H518=0,$H518=6),"Weekend","Weekday"))</f>
        <v>Weekend</v>
      </c>
      <c r="X518" s="5" t="str">
        <f>IF($A518="","",TEXT($B518,"ddd"))</f>
        <v>Sun</v>
      </c>
      <c r="Y518" s="5" t="str">
        <f>IF($A518="","",TEXT($B518,"mmm"))</f>
        <v>Jan</v>
      </c>
      <c r="Z518" s="5" t="str">
        <f>IF($A518="","",IFERROR(VLOOKUP($C518,Lookups!$D$4:$E$7,2,FALSE),"Unknown"))</f>
        <v>Winter</v>
      </c>
      <c r="AA518" s="5" t="str">
        <f>IF($A518="","",IFERROR(VLOOKUP($I518,Lookups!$A$4:$B$7,2,FALSE),"Unknown"))</f>
        <v>Clear</v>
      </c>
      <c r="AB518" s="5" t="str">
        <f>IF($A518="","",TEXT($F518,"00")&amp;":00")</f>
        <v>15:00</v>
      </c>
      <c r="AC518" s="5" t="str">
        <f>IF($A518="","",VLOOKUP($F518,Lookups!$G$4:$H$8,2,TRUE))</f>
        <v>Midday (10-15)</v>
      </c>
      <c r="AD518" s="18">
        <f>IF($A518="","",IF($J518="","",ROUND($J518*41,1)))</f>
        <v>6.6</v>
      </c>
      <c r="AE518" s="18">
        <f>IF($A518="","",IF($R518="","",ROUND($R518*50,1)))</f>
        <v>6.8</v>
      </c>
      <c r="AF518" s="5">
        <f>IF($A518="","",IF($L518="","",ROUND($L518*100,0)))</f>
        <v>28</v>
      </c>
      <c r="AG518" s="18">
        <f>IF($A518="","",IF($M518="","",ROUND($M518*67,1)))</f>
        <v>24</v>
      </c>
      <c r="AH518" s="19">
        <f>IF($A518="","",IF($P518="","",IF($P518=0,0,$O518/$P518)))</f>
        <v>0.831168831168831</v>
      </c>
      <c r="AI518" s="5" t="str">
        <f>IF($A518="","",IF($P518="","",IF($P518&gt;=Lookups!$K$7,"High",IF($P518&lt;=Lookups!$K$8,"Low","Medium"))))</f>
        <v>Medium</v>
      </c>
      <c r="AJ518" s="5" t="str">
        <f>IF($A518="","",IF($AD518="","",IF($AD518&lt;5,"Under 5 C",IF($AD518&lt;10,"5-10 C",IF($AD518&lt;15,"10-15 C","15 C and above")))))</f>
        <v>5-10 C</v>
      </c>
      <c r="AK518" s="5">
        <f>IF($A518="","",IF($P518="","",$P518^2))</f>
        <v>5929</v>
      </c>
      <c r="AL518" s="18">
        <f>IF($V518&lt;&gt;1,"",AVERAGEIFS(Clean_Data!$P$2:$P$1001,Clean_Data!$F$2:$F$1001,$F518,Clean_Data!$W$2:$W$1001,$W518,Clean_Data!$V$2:$V$1001,1))</f>
        <v>112.071428571429</v>
      </c>
      <c r="AM518" s="16">
        <f>IF($V518&lt;&gt;1,"",IFERROR(($P518-$AL518)/SQRT(MAX(0,(SUMIFS(Clean_Data!$AK$2:$AK$1001,Clean_Data!$F$2:$F$1001,$F518,Clean_Data!$W$2:$W$1001,$W518,Clean_Data!$V$2:$V$1001,1)-COUNTIFS(Clean_Data!$F$2:$F$1001,$F518,Clean_Data!$W$2:$W$1001,$W518,Clean_Data!$V$2:$V$1001,1)*$AL518^2)/(COUNTIFS(Clean_Data!$F$2:$F$1001,$F518,Clean_Data!$W$2:$W$1001,$W518,Clean_Data!$V$2:$V$1001,1)-1))),""))</f>
        <v>-0.907662413784906</v>
      </c>
      <c r="AN518" s="5" t="str">
        <f>IF($AM518="","",IF($AM518&gt;=Lookups!$K$6,"High spike",IF($AM518&lt;=-Lookups!$K$6,"Unusual low","Normal")))</f>
        <v>Normal</v>
      </c>
      <c r="AO518" s="20">
        <f>IF($V518&lt;&gt;1,"",$P518+ROW()/100000)</f>
        <v>77.00518</v>
      </c>
      <c r="AP518" s="5">
        <f>IF($A518="","",IFERROR(MATCH($A518,Raw_D1!$A$2:$A$1001,0),""))</f>
        <v>517</v>
      </c>
      <c r="AQ518" s="5">
        <f>IF($A518="","",IFERROR(MATCH($A518,Raw_D2!$B$2:$B$1001,0),""))</f>
        <v>517</v>
      </c>
      <c r="AR518" s="5">
        <f>IF($A518="","",IFERROR(MATCH($A518,Raw_D3!$A$2:$A$1001,0),""))</f>
        <v/>
      </c>
    </row>
    <row r="519" spans="1:44" x14ac:dyDescent="0.25">
      <c r="A519" s="5">
        <v>518</v>
      </c>
      <c r="B519" s="11">
        <f>IF($A519="","",IF($AP519&lt;&gt;"",INDEX(Raw_D1!$B$2:$B$1001,$AP519),IF($AR519&lt;&gt;"",INDEX(Raw_D3!$B$2:$B$1001,$AR519),"")))</f>
        <v>40566.0</v>
      </c>
      <c r="C519" s="5">
        <f>IF($A519="","",IF($AP519&lt;&gt;"",INDEX(Raw_D1!$C$2:$C$1001,$AP519),IF($AR519&lt;&gt;"",INDEX(Raw_D3!$C$2:$C$1001,$AR519),"")))</f>
        <v>1</v>
      </c>
      <c r="D519" s="5">
        <f>IF($A519="","",IF($AP519&lt;&gt;"",INDEX(Raw_D1!$D$2:$D$1001,$AP519),IF($AR519&lt;&gt;"",INDEX(Raw_D3!$D$2:$D$1001,$AR519),"")))</f>
        <v>0</v>
      </c>
      <c r="E519" s="5">
        <f>IF($A519="","",IF($AP519&lt;&gt;"",INDEX(Raw_D1!$E$2:$E$1001,$AP519),IF($AR519&lt;&gt;"",INDEX(Raw_D3!$E$2:$E$1001,$AR519),"")))</f>
        <v>1</v>
      </c>
      <c r="F519" s="5">
        <f>IF($A519="","",IF($AP519&lt;&gt;"",INDEX(Raw_D1!$F$2:$F$1001,$AP519),IF($AR519&lt;&gt;"",INDEX(Raw_D3!$F$2:$F$1001,$AR519),"")))</f>
        <v>16</v>
      </c>
      <c r="G519" s="5">
        <f>IF($A519="","",IF($AP519&lt;&gt;"",IF(INDEX(Raw_D1!$G$2:$G$1001,$AP519),1,0),IF($AR519&lt;&gt;"",IF(INDEX(Raw_D3!$G$2:$G$1001,$AR519),1,0),"")))</f>
        <v>0</v>
      </c>
      <c r="H519" s="5">
        <f>IF($A519="","",IF($AP519&lt;&gt;"",INDEX(Raw_D1!$H$2:$H$1001,$AP519),IF($AR519&lt;&gt;"",INDEX(Raw_D3!$H$2:$H$1001,$AR519),"")))</f>
        <v>0</v>
      </c>
      <c r="I519" s="5">
        <f>IF($A519="","",IF($AP519&lt;&gt;"",INDEX(Raw_D1!$I$2:$I$1001,$AP519),IF($AR519&lt;&gt;"",INDEX(Raw_D3!$I$2:$I$1001,$AR519),"")))</f>
        <v>1</v>
      </c>
      <c r="J519" s="16">
        <f>IF($A519="","",IF($AP519&lt;&gt;"",INDEX(Raw_D1!$J$2:$J$1001,$AP519),IF($AR519&lt;&gt;"",INDEX(Raw_D3!$J$2:$J$1001,$AR519),"")))</f>
        <v>0.16</v>
      </c>
      <c r="K519" s="17">
        <f>IF($A519="","",IF($AQ519&lt;&gt;"",IF(INDEX(Raw_D2!$C$2:$C$1001,$AQ519)="","",INDEX(Raw_D2!$C$2:$C$1001,$AQ519)),IF($AR519&lt;&gt;"",IF(INDEX(Raw_D3!$K$2:$K$1001,$AR519)="","",INDEX(Raw_D3!$K$2:$K$1001,$AR519)),"")))</f>
        <v>0.1364</v>
      </c>
      <c r="L519" s="16">
        <f>IF($A519="","",IF($AQ519&lt;&gt;"",IF(INDEX(Raw_D2!$D$2:$D$1001,$AQ519)="","",INDEX(Raw_D2!$D$2:$D$1001,$AQ519)),IF($AR519&lt;&gt;"",IF(INDEX(Raw_D3!$L$2:$L$1001,$AR519)="","",INDEX(Raw_D3!$L$2:$L$1001,$AR519)),"")))</f>
        <v>0.26</v>
      </c>
      <c r="M519" s="17">
        <f>IF($A519="","",IF($AQ519&lt;&gt;"",IF(INDEX(Raw_D2!$E$2:$E$1001,$AQ519)="","",INDEX(Raw_D2!$E$2:$E$1001,$AQ519)),IF($AR519&lt;&gt;"",IF(INDEX(Raw_D3!$M$2:$M$1001,$AR519)="","",INDEX(Raw_D3!$M$2:$M$1001,$AR519)),"")))</f>
        <v>0.3284</v>
      </c>
      <c r="N519" s="5">
        <f>IF($A519="","",IF($AQ519&lt;&gt;"",IF(INDEX(Raw_D2!$F$2:$F$1001,$AQ519)="","",INDEX(Raw_D2!$F$2:$F$1001,$AQ519)),IF($AR519&lt;&gt;"",IF(INDEX(Raw_D3!$N$2:$N$1001,$AR519)="","",INDEX(Raw_D3!$N$2:$N$1001,$AR519)),"")))</f>
        <v>9</v>
      </c>
      <c r="O519" s="5">
        <f>IF($A519="","",IF($AQ519&lt;&gt;"",IF(INDEX(Raw_D2!$G$2:$G$1001,$AQ519)="","",INDEX(Raw_D2!$G$2:$G$1001,$AQ519)),IF($AR519&lt;&gt;"",IF(INDEX(Raw_D3!$O$2:$O$1001,$AR519)="","",INDEX(Raw_D3!$O$2:$O$1001,$AR519)),"")))</f>
        <v>56</v>
      </c>
      <c r="P519" s="5">
        <f>IF($A519="","",IF($AQ519&lt;&gt;"",IF(INDEX(Raw_D2!$H$2:$H$1001,$AQ519)="","",INDEX(Raw_D2!$H$2:$H$1001,$AQ519)),IF($AR519&lt;&gt;"",IF(INDEX(Raw_D3!$P$2:$P$1001,$AR519)="","",INDEX(Raw_D3!$P$2:$P$1001,$AR519)),"")))</f>
        <v>65</v>
      </c>
      <c r="Q519" s="5" t="str">
        <f>IF($A519="","",IF(AND($AP519&lt;&gt;"",$AQ519&lt;&gt;""),"D1+D2",IF($AR519&lt;&gt;"","D3","Incomplete")))</f>
        <v>D1+D2</v>
      </c>
      <c r="R519" s="17">
        <f>IF($A519="","",IF($K519="",IF($J519="","",ROUND(Lookups!$K$5+Lookups!$K$4*$J519,4)),$K519))</f>
        <v>0.1364</v>
      </c>
      <c r="S519" s="5" t="str">
        <f>IF($A519="","",IF($K519="","Imputed","Original"))</f>
        <v>Original</v>
      </c>
      <c r="T519" s="5" t="str">
        <f>IF($A519="","",IF($P519="","Missing",IF($P519=$N519+$O519,"OK","Mismatch")))</f>
        <v>OK</v>
      </c>
      <c r="U519" s="5" t="str">
        <f>IF($A519="","",IF(COUNTIF($A$2:$A519,$A519)&gt;1,"Duplicate","Unique"))</f>
        <v>Unique</v>
      </c>
      <c r="V519" s="5">
        <f>IF($A519="","",IF(AND($U519="Unique",ISNUMBER($P519)),1,0))</f>
        <v>1</v>
      </c>
      <c r="W519" s="5" t="str">
        <f>IF($A519="","",IF(OR($H519=0,$H519=6),"Weekend","Weekday"))</f>
        <v>Weekend</v>
      </c>
      <c r="X519" s="5" t="str">
        <f>IF($A519="","",TEXT($B519,"ddd"))</f>
        <v>Sun</v>
      </c>
      <c r="Y519" s="5" t="str">
        <f>IF($A519="","",TEXT($B519,"mmm"))</f>
        <v>Jan</v>
      </c>
      <c r="Z519" s="5" t="str">
        <f>IF($A519="","",IFERROR(VLOOKUP($C519,Lookups!$D$4:$E$7,2,FALSE),"Unknown"))</f>
        <v>Winter</v>
      </c>
      <c r="AA519" s="5" t="str">
        <f>IF($A519="","",IFERROR(VLOOKUP($I519,Lookups!$A$4:$B$7,2,FALSE),"Unknown"))</f>
        <v>Clear</v>
      </c>
      <c r="AB519" s="5" t="str">
        <f>IF($A519="","",TEXT($F519,"00")&amp;":00")</f>
        <v>16:00</v>
      </c>
      <c r="AC519" s="5" t="str">
        <f>IF($A519="","",VLOOKUP($F519,Lookups!$G$4:$H$8,2,TRUE))</f>
        <v>Evening Peak (16-19)</v>
      </c>
      <c r="AD519" s="18">
        <f>IF($A519="","",IF($J519="","",ROUND($J519*41,1)))</f>
        <v>6.6</v>
      </c>
      <c r="AE519" s="18">
        <f>IF($A519="","",IF($R519="","",ROUND($R519*50,1)))</f>
        <v>6.8</v>
      </c>
      <c r="AF519" s="5">
        <f>IF($A519="","",IF($L519="","",ROUND($L519*100,0)))</f>
        <v>26</v>
      </c>
      <c r="AG519" s="18">
        <f>IF($A519="","",IF($M519="","",ROUND($M519*67,1)))</f>
        <v>22</v>
      </c>
      <c r="AH519" s="19">
        <f>IF($A519="","",IF($P519="","",IF($P519=0,0,$O519/$P519)))</f>
        <v>0.861538461538462</v>
      </c>
      <c r="AI519" s="5" t="str">
        <f>IF($A519="","",IF($P519="","",IF($P519&gt;=Lookups!$K$7,"High",IF($P519&lt;=Lookups!$K$8,"Low","Medium"))))</f>
        <v>Medium</v>
      </c>
      <c r="AJ519" s="5" t="str">
        <f>IF($A519="","",IF($AD519="","",IF($AD519&lt;5,"Under 5 C",IF($AD519&lt;10,"5-10 C",IF($AD519&lt;15,"10-15 C","15 C and above")))))</f>
        <v>5-10 C</v>
      </c>
      <c r="AK519" s="5">
        <f>IF($A519="","",IF($P519="","",$P519^2))</f>
        <v>4225</v>
      </c>
      <c r="AL519" s="18">
        <f>IF($V519&lt;&gt;1,"",AVERAGEIFS(Clean_Data!$P$2:$P$1001,Clean_Data!$F$2:$F$1001,$F519,Clean_Data!$W$2:$W$1001,$W519,Clean_Data!$V$2:$V$1001,1))</f>
        <v>103.5</v>
      </c>
      <c r="AM519" s="16">
        <f>IF($V519&lt;&gt;1,"",IFERROR(($P519-$AL519)/SQRT(MAX(0,(SUMIFS(Clean_Data!$AK$2:$AK$1001,Clean_Data!$F$2:$F$1001,$F519,Clean_Data!$W$2:$W$1001,$W519,Clean_Data!$V$2:$V$1001,1)-COUNTIFS(Clean_Data!$F$2:$F$1001,$F519,Clean_Data!$W$2:$W$1001,$W519,Clean_Data!$V$2:$V$1001,1)*$AL519^2)/(COUNTIFS(Clean_Data!$F$2:$F$1001,$F519,Clean_Data!$W$2:$W$1001,$W519,Clean_Data!$V$2:$V$1001,1)-1))),""))</f>
        <v>-1.309243038208</v>
      </c>
      <c r="AN519" s="5" t="str">
        <f>IF($AM519="","",IF($AM519&gt;=Lookups!$K$6,"High spike",IF($AM519&lt;=-Lookups!$K$6,"Unusual low","Normal")))</f>
        <v>Normal</v>
      </c>
      <c r="AO519" s="20">
        <f>IF($V519&lt;&gt;1,"",$P519+ROW()/100000)</f>
        <v>65.00519</v>
      </c>
      <c r="AP519" s="5">
        <f>IF($A519="","",IFERROR(MATCH($A519,Raw_D1!$A$2:$A$1001,0),""))</f>
        <v>518</v>
      </c>
      <c r="AQ519" s="5">
        <f>IF($A519="","",IFERROR(MATCH($A519,Raw_D2!$B$2:$B$1001,0),""))</f>
        <v>518</v>
      </c>
      <c r="AR519" s="5">
        <f>IF($A519="","",IFERROR(MATCH($A519,Raw_D3!$A$2:$A$1001,0),""))</f>
        <v/>
      </c>
    </row>
    <row r="520" spans="1:44" x14ac:dyDescent="0.25">
      <c r="A520" s="5">
        <v>519</v>
      </c>
      <c r="B520" s="11">
        <f>IF($A520="","",IF($AP520&lt;&gt;"",INDEX(Raw_D1!$B$2:$B$1001,$AP520),IF($AR520&lt;&gt;"",INDEX(Raw_D3!$B$2:$B$1001,$AR520),"")))</f>
        <v>40566.0</v>
      </c>
      <c r="C520" s="5">
        <f>IF($A520="","",IF($AP520&lt;&gt;"",INDEX(Raw_D1!$C$2:$C$1001,$AP520),IF($AR520&lt;&gt;"",INDEX(Raw_D3!$C$2:$C$1001,$AR520),"")))</f>
        <v>1</v>
      </c>
      <c r="D520" s="5">
        <f>IF($A520="","",IF($AP520&lt;&gt;"",INDEX(Raw_D1!$D$2:$D$1001,$AP520),IF($AR520&lt;&gt;"",INDEX(Raw_D3!$D$2:$D$1001,$AR520),"")))</f>
        <v>0</v>
      </c>
      <c r="E520" s="5">
        <f>IF($A520="","",IF($AP520&lt;&gt;"",INDEX(Raw_D1!$E$2:$E$1001,$AP520),IF($AR520&lt;&gt;"",INDEX(Raw_D3!$E$2:$E$1001,$AR520),"")))</f>
        <v>1</v>
      </c>
      <c r="F520" s="5">
        <f>IF($A520="","",IF($AP520&lt;&gt;"",INDEX(Raw_D1!$F$2:$F$1001,$AP520),IF($AR520&lt;&gt;"",INDEX(Raw_D3!$F$2:$F$1001,$AR520),"")))</f>
        <v>17</v>
      </c>
      <c r="G520" s="5">
        <f>IF($A520="","",IF($AP520&lt;&gt;"",IF(INDEX(Raw_D1!$G$2:$G$1001,$AP520),1,0),IF($AR520&lt;&gt;"",IF(INDEX(Raw_D3!$G$2:$G$1001,$AR520),1,0),"")))</f>
        <v>0</v>
      </c>
      <c r="H520" s="5">
        <f>IF($A520="","",IF($AP520&lt;&gt;"",INDEX(Raw_D1!$H$2:$H$1001,$AP520),IF($AR520&lt;&gt;"",INDEX(Raw_D3!$H$2:$H$1001,$AR520),"")))</f>
        <v>0</v>
      </c>
      <c r="I520" s="5">
        <f>IF($A520="","",IF($AP520&lt;&gt;"",INDEX(Raw_D1!$I$2:$I$1001,$AP520),IF($AR520&lt;&gt;"",INDEX(Raw_D3!$I$2:$I$1001,$AR520),"")))</f>
        <v>1</v>
      </c>
      <c r="J520" s="16">
        <f>IF($A520="","",IF($AP520&lt;&gt;"",INDEX(Raw_D1!$J$2:$J$1001,$AP520),IF($AR520&lt;&gt;"",INDEX(Raw_D3!$J$2:$J$1001,$AR520),"")))</f>
        <v>0.14</v>
      </c>
      <c r="K520" s="17">
        <f>IF($A520="","",IF($AQ520&lt;&gt;"",IF(INDEX(Raw_D2!$C$2:$C$1001,$AQ520)="","",INDEX(Raw_D2!$C$2:$C$1001,$AQ520)),IF($AR520&lt;&gt;"",IF(INDEX(Raw_D3!$K$2:$K$1001,$AR520)="","",INDEX(Raw_D3!$K$2:$K$1001,$AR520)),"")))</f>
        <v>0.1061</v>
      </c>
      <c r="L520" s="16">
        <f>IF($A520="","",IF($AQ520&lt;&gt;"",IF(INDEX(Raw_D2!$D$2:$D$1001,$AQ520)="","",INDEX(Raw_D2!$D$2:$D$1001,$AQ520)),IF($AR520&lt;&gt;"",IF(INDEX(Raw_D3!$L$2:$L$1001,$AR520)="","",INDEX(Raw_D3!$L$2:$L$1001,$AR520)),"")))</f>
        <v>0.26</v>
      </c>
      <c r="M520" s="17">
        <f>IF($A520="","",IF($AQ520&lt;&gt;"",IF(INDEX(Raw_D2!$E$2:$E$1001,$AQ520)="","",INDEX(Raw_D2!$E$2:$E$1001,$AQ520)),IF($AR520&lt;&gt;"",IF(INDEX(Raw_D3!$M$2:$M$1001,$AR520)="","",INDEX(Raw_D3!$M$2:$M$1001,$AR520)),"")))</f>
        <v>0.3881</v>
      </c>
      <c r="N520" s="5">
        <f>IF($A520="","",IF($AQ520&lt;&gt;"",IF(INDEX(Raw_D2!$F$2:$F$1001,$AQ520)="","",INDEX(Raw_D2!$F$2:$F$1001,$AQ520)),IF($AR520&lt;&gt;"",IF(INDEX(Raw_D3!$N$2:$N$1001,$AR520)="","",INDEX(Raw_D3!$N$2:$N$1001,$AR520)),"")))</f>
        <v>5</v>
      </c>
      <c r="O520" s="5">
        <f>IF($A520="","",IF($AQ520&lt;&gt;"",IF(INDEX(Raw_D2!$G$2:$G$1001,$AQ520)="","",INDEX(Raw_D2!$G$2:$G$1001,$AQ520)),IF($AR520&lt;&gt;"",IF(INDEX(Raw_D3!$O$2:$O$1001,$AR520)="","",INDEX(Raw_D3!$O$2:$O$1001,$AR520)),"")))</f>
        <v>50</v>
      </c>
      <c r="P520" s="5">
        <f>IF($A520="","",IF($AQ520&lt;&gt;"",IF(INDEX(Raw_D2!$H$2:$H$1001,$AQ520)="","",INDEX(Raw_D2!$H$2:$H$1001,$AQ520)),IF($AR520&lt;&gt;"",IF(INDEX(Raw_D3!$P$2:$P$1001,$AR520)="","",INDEX(Raw_D3!$P$2:$P$1001,$AR520)),"")))</f>
        <v>55</v>
      </c>
      <c r="Q520" s="5" t="str">
        <f>IF($A520="","",IF(AND($AP520&lt;&gt;"",$AQ520&lt;&gt;""),"D1+D2",IF($AR520&lt;&gt;"","D3","Incomplete")))</f>
        <v>D1+D2</v>
      </c>
      <c r="R520" s="17">
        <f>IF($A520="","",IF($K520="",IF($J520="","",ROUND(Lookups!$K$5+Lookups!$K$4*$J520,4)),$K520))</f>
        <v>0.1061</v>
      </c>
      <c r="S520" s="5" t="str">
        <f>IF($A520="","",IF($K520="","Imputed","Original"))</f>
        <v>Original</v>
      </c>
      <c r="T520" s="5" t="str">
        <f>IF($A520="","",IF($P520="","Missing",IF($P520=$N520+$O520,"OK","Mismatch")))</f>
        <v>OK</v>
      </c>
      <c r="U520" s="5" t="str">
        <f>IF($A520="","",IF(COUNTIF($A$2:$A520,$A520)&gt;1,"Duplicate","Unique"))</f>
        <v>Unique</v>
      </c>
      <c r="V520" s="5">
        <f>IF($A520="","",IF(AND($U520="Unique",ISNUMBER($P520)),1,0))</f>
        <v>1</v>
      </c>
      <c r="W520" s="5" t="str">
        <f>IF($A520="","",IF(OR($H520=0,$H520=6),"Weekend","Weekday"))</f>
        <v>Weekend</v>
      </c>
      <c r="X520" s="5" t="str">
        <f>IF($A520="","",TEXT($B520,"ddd"))</f>
        <v>Sun</v>
      </c>
      <c r="Y520" s="5" t="str">
        <f>IF($A520="","",TEXT($B520,"mmm"))</f>
        <v>Jan</v>
      </c>
      <c r="Z520" s="5" t="str">
        <f>IF($A520="","",IFERROR(VLOOKUP($C520,Lookups!$D$4:$E$7,2,FALSE),"Unknown"))</f>
        <v>Winter</v>
      </c>
      <c r="AA520" s="5" t="str">
        <f>IF($A520="","",IFERROR(VLOOKUP($I520,Lookups!$A$4:$B$7,2,FALSE),"Unknown"))</f>
        <v>Clear</v>
      </c>
      <c r="AB520" s="5" t="str">
        <f>IF($A520="","",TEXT($F520,"00")&amp;":00")</f>
        <v>17:00</v>
      </c>
      <c r="AC520" s="5" t="str">
        <f>IF($A520="","",VLOOKUP($F520,Lookups!$G$4:$H$8,2,TRUE))</f>
        <v>Evening Peak (16-19)</v>
      </c>
      <c r="AD520" s="18">
        <f>IF($A520="","",IF($J520="","",ROUND($J520*41,1)))</f>
        <v>5.7</v>
      </c>
      <c r="AE520" s="18">
        <f>IF($A520="","",IF($R520="","",ROUND($R520*50,1)))</f>
        <v>5.3</v>
      </c>
      <c r="AF520" s="5">
        <f>IF($A520="","",IF($L520="","",ROUND($L520*100,0)))</f>
        <v>26</v>
      </c>
      <c r="AG520" s="18">
        <f>IF($A520="","",IF($M520="","",ROUND($M520*67,1)))</f>
        <v>26</v>
      </c>
      <c r="AH520" s="19">
        <f>IF($A520="","",IF($P520="","",IF($P520=0,0,$O520/$P520)))</f>
        <v>0.909090909090909</v>
      </c>
      <c r="AI520" s="5" t="str">
        <f>IF($A520="","",IF($P520="","",IF($P520&gt;=Lookups!$K$7,"High",IF($P520&lt;=Lookups!$K$8,"Low","Medium"))))</f>
        <v>Medium</v>
      </c>
      <c r="AJ520" s="5" t="str">
        <f>IF($A520="","",IF($AD520="","",IF($AD520&lt;5,"Under 5 C",IF($AD520&lt;10,"5-10 C",IF($AD520&lt;15,"10-15 C","15 C and above")))))</f>
        <v>5-10 C</v>
      </c>
      <c r="AK520" s="5">
        <f>IF($A520="","",IF($P520="","",$P520^2))</f>
        <v>3025</v>
      </c>
      <c r="AL520" s="18">
        <f>IF($V520&lt;&gt;1,"",AVERAGEIFS(Clean_Data!$P$2:$P$1001,Clean_Data!$F$2:$F$1001,$F520,Clean_Data!$W$2:$W$1001,$W520,Clean_Data!$V$2:$V$1001,1))</f>
        <v>85.8571428571429</v>
      </c>
      <c r="AM520" s="16">
        <f>IF($V520&lt;&gt;1,"",IFERROR(($P520-$AL520)/SQRT(MAX(0,(SUMIFS(Clean_Data!$AK$2:$AK$1001,Clean_Data!$F$2:$F$1001,$F520,Clean_Data!$W$2:$W$1001,$W520,Clean_Data!$V$2:$V$1001,1)-COUNTIFS(Clean_Data!$F$2:$F$1001,$F520,Clean_Data!$W$2:$W$1001,$W520,Clean_Data!$V$2:$V$1001,1)*$AL520^2)/(COUNTIFS(Clean_Data!$F$2:$F$1001,$F520,Clean_Data!$W$2:$W$1001,$W520,Clean_Data!$V$2:$V$1001,1)-1))),""))</f>
        <v>-1.18093428289059</v>
      </c>
      <c r="AN520" s="5" t="str">
        <f>IF($AM520="","",IF($AM520&gt;=Lookups!$K$6,"High spike",IF($AM520&lt;=-Lookups!$K$6,"Unusual low","Normal")))</f>
        <v>Normal</v>
      </c>
      <c r="AO520" s="20">
        <f>IF($V520&lt;&gt;1,"",$P520+ROW()/100000)</f>
        <v>55.0052</v>
      </c>
      <c r="AP520" s="5">
        <f>IF($A520="","",IFERROR(MATCH($A520,Raw_D1!$A$2:$A$1001,0),""))</f>
        <v>519</v>
      </c>
      <c r="AQ520" s="5">
        <f>IF($A520="","",IFERROR(MATCH($A520,Raw_D2!$B$2:$B$1001,0),""))</f>
        <v>519</v>
      </c>
      <c r="AR520" s="5">
        <f>IF($A520="","",IFERROR(MATCH($A520,Raw_D3!$A$2:$A$1001,0),""))</f>
        <v/>
      </c>
    </row>
    <row r="521" spans="1:44" x14ac:dyDescent="0.25">
      <c r="A521" s="5">
        <v>520</v>
      </c>
      <c r="B521" s="11">
        <f>IF($A521="","",IF($AP521&lt;&gt;"",INDEX(Raw_D1!$B$2:$B$1001,$AP521),IF($AR521&lt;&gt;"",INDEX(Raw_D3!$B$2:$B$1001,$AR521),"")))</f>
        <v>40566.0</v>
      </c>
      <c r="C521" s="5">
        <f>IF($A521="","",IF($AP521&lt;&gt;"",INDEX(Raw_D1!$C$2:$C$1001,$AP521),IF($AR521&lt;&gt;"",INDEX(Raw_D3!$C$2:$C$1001,$AR521),"")))</f>
        <v>1</v>
      </c>
      <c r="D521" s="5">
        <f>IF($A521="","",IF($AP521&lt;&gt;"",INDEX(Raw_D1!$D$2:$D$1001,$AP521),IF($AR521&lt;&gt;"",INDEX(Raw_D3!$D$2:$D$1001,$AR521),"")))</f>
        <v>0</v>
      </c>
      <c r="E521" s="5">
        <f>IF($A521="","",IF($AP521&lt;&gt;"",INDEX(Raw_D1!$E$2:$E$1001,$AP521),IF($AR521&lt;&gt;"",INDEX(Raw_D3!$E$2:$E$1001,$AR521),"")))</f>
        <v>1</v>
      </c>
      <c r="F521" s="5">
        <f>IF($A521="","",IF($AP521&lt;&gt;"",INDEX(Raw_D1!$F$2:$F$1001,$AP521),IF($AR521&lt;&gt;"",INDEX(Raw_D3!$F$2:$F$1001,$AR521),"")))</f>
        <v>18</v>
      </c>
      <c r="G521" s="5">
        <f>IF($A521="","",IF($AP521&lt;&gt;"",IF(INDEX(Raw_D1!$G$2:$G$1001,$AP521),1,0),IF($AR521&lt;&gt;"",IF(INDEX(Raw_D3!$G$2:$G$1001,$AR521),1,0),"")))</f>
        <v>0</v>
      </c>
      <c r="H521" s="5">
        <f>IF($A521="","",IF($AP521&lt;&gt;"",INDEX(Raw_D1!$H$2:$H$1001,$AP521),IF($AR521&lt;&gt;"",INDEX(Raw_D3!$H$2:$H$1001,$AR521),"")))</f>
        <v>0</v>
      </c>
      <c r="I521" s="5">
        <f>IF($A521="","",IF($AP521&lt;&gt;"",INDEX(Raw_D1!$I$2:$I$1001,$AP521),IF($AR521&lt;&gt;"",INDEX(Raw_D3!$I$2:$I$1001,$AR521),"")))</f>
        <v>1</v>
      </c>
      <c r="J521" s="16">
        <f>IF($A521="","",IF($AP521&lt;&gt;"",INDEX(Raw_D1!$J$2:$J$1001,$AP521),IF($AR521&lt;&gt;"",INDEX(Raw_D3!$J$2:$J$1001,$AR521),"")))</f>
        <v>0.12</v>
      </c>
      <c r="K521" s="17">
        <f>IF($A521="","",IF($AQ521&lt;&gt;"",IF(INDEX(Raw_D2!$C$2:$C$1001,$AQ521)="","",INDEX(Raw_D2!$C$2:$C$1001,$AQ521)),IF($AR521&lt;&gt;"",IF(INDEX(Raw_D3!$K$2:$K$1001,$AR521)="","",INDEX(Raw_D3!$K$2:$K$1001,$AR521)),"")))</f>
        <v>0.1212</v>
      </c>
      <c r="L521" s="16">
        <f>IF($A521="","",IF($AQ521&lt;&gt;"",IF(INDEX(Raw_D2!$D$2:$D$1001,$AQ521)="","",INDEX(Raw_D2!$D$2:$D$1001,$AQ521)),IF($AR521&lt;&gt;"",IF(INDEX(Raw_D3!$L$2:$L$1001,$AR521)="","",INDEX(Raw_D3!$L$2:$L$1001,$AR521)),"")))</f>
        <v>0.3</v>
      </c>
      <c r="M521" s="17">
        <f>IF($A521="","",IF($AQ521&lt;&gt;"",IF(INDEX(Raw_D2!$E$2:$E$1001,$AQ521)="","",INDEX(Raw_D2!$E$2:$E$1001,$AQ521)),IF($AR521&lt;&gt;"",IF(INDEX(Raw_D3!$M$2:$M$1001,$AR521)="","",INDEX(Raw_D3!$M$2:$M$1001,$AR521)),"")))</f>
        <v>0.2537</v>
      </c>
      <c r="N521" s="5">
        <f>IF($A521="","",IF($AQ521&lt;&gt;"",IF(INDEX(Raw_D2!$F$2:$F$1001,$AQ521)="","",INDEX(Raw_D2!$F$2:$F$1001,$AQ521)),IF($AR521&lt;&gt;"",IF(INDEX(Raw_D3!$N$2:$N$1001,$AR521)="","",INDEX(Raw_D3!$N$2:$N$1001,$AR521)),"")))</f>
        <v>5</v>
      </c>
      <c r="O521" s="5">
        <f>IF($A521="","",IF($AQ521&lt;&gt;"",IF(INDEX(Raw_D2!$G$2:$G$1001,$AQ521)="","",INDEX(Raw_D2!$G$2:$G$1001,$AQ521)),IF($AR521&lt;&gt;"",IF(INDEX(Raw_D3!$O$2:$O$1001,$AR521)="","",INDEX(Raw_D3!$O$2:$O$1001,$AR521)),"")))</f>
        <v>44</v>
      </c>
      <c r="P521" s="5">
        <f>IF($A521="","",IF($AQ521&lt;&gt;"",IF(INDEX(Raw_D2!$H$2:$H$1001,$AQ521)="","",INDEX(Raw_D2!$H$2:$H$1001,$AQ521)),IF($AR521&lt;&gt;"",IF(INDEX(Raw_D3!$P$2:$P$1001,$AR521)="","",INDEX(Raw_D3!$P$2:$P$1001,$AR521)),"")))</f>
        <v>49</v>
      </c>
      <c r="Q521" s="5" t="str">
        <f>IF($A521="","",IF(AND($AP521&lt;&gt;"",$AQ521&lt;&gt;""),"D1+D2",IF($AR521&lt;&gt;"","D3","Incomplete")))</f>
        <v>D1+D2</v>
      </c>
      <c r="R521" s="17">
        <f>IF($A521="","",IF($K521="",IF($J521="","",ROUND(Lookups!$K$5+Lookups!$K$4*$J521,4)),$K521))</f>
        <v>0.1212</v>
      </c>
      <c r="S521" s="5" t="str">
        <f>IF($A521="","",IF($K521="","Imputed","Original"))</f>
        <v>Original</v>
      </c>
      <c r="T521" s="5" t="str">
        <f>IF($A521="","",IF($P521="","Missing",IF($P521=$N521+$O521,"OK","Mismatch")))</f>
        <v>OK</v>
      </c>
      <c r="U521" s="5" t="str">
        <f>IF($A521="","",IF(COUNTIF($A$2:$A521,$A521)&gt;1,"Duplicate","Unique"))</f>
        <v>Unique</v>
      </c>
      <c r="V521" s="5">
        <f>IF($A521="","",IF(AND($U521="Unique",ISNUMBER($P521)),1,0))</f>
        <v>1</v>
      </c>
      <c r="W521" s="5" t="str">
        <f>IF($A521="","",IF(OR($H521=0,$H521=6),"Weekend","Weekday"))</f>
        <v>Weekend</v>
      </c>
      <c r="X521" s="5" t="str">
        <f>IF($A521="","",TEXT($B521,"ddd"))</f>
        <v>Sun</v>
      </c>
      <c r="Y521" s="5" t="str">
        <f>IF($A521="","",TEXT($B521,"mmm"))</f>
        <v>Jan</v>
      </c>
      <c r="Z521" s="5" t="str">
        <f>IF($A521="","",IFERROR(VLOOKUP($C521,Lookups!$D$4:$E$7,2,FALSE),"Unknown"))</f>
        <v>Winter</v>
      </c>
      <c r="AA521" s="5" t="str">
        <f>IF($A521="","",IFERROR(VLOOKUP($I521,Lookups!$A$4:$B$7,2,FALSE),"Unknown"))</f>
        <v>Clear</v>
      </c>
      <c r="AB521" s="5" t="str">
        <f>IF($A521="","",TEXT($F521,"00")&amp;":00")</f>
        <v>18:00</v>
      </c>
      <c r="AC521" s="5" t="str">
        <f>IF($A521="","",VLOOKUP($F521,Lookups!$G$4:$H$8,2,TRUE))</f>
        <v>Evening Peak (16-19)</v>
      </c>
      <c r="AD521" s="18">
        <f>IF($A521="","",IF($J521="","",ROUND($J521*41,1)))</f>
        <v>4.9</v>
      </c>
      <c r="AE521" s="18">
        <f>IF($A521="","",IF($R521="","",ROUND($R521*50,1)))</f>
        <v>6.1</v>
      </c>
      <c r="AF521" s="5">
        <f>IF($A521="","",IF($L521="","",ROUND($L521*100,0)))</f>
        <v>30</v>
      </c>
      <c r="AG521" s="18">
        <f>IF($A521="","",IF($M521="","",ROUND($M521*67,1)))</f>
        <v>17</v>
      </c>
      <c r="AH521" s="19">
        <f>IF($A521="","",IF($P521="","",IF($P521=0,0,$O521/$P521)))</f>
        <v>0.897959183673469</v>
      </c>
      <c r="AI521" s="5" t="str">
        <f>IF($A521="","",IF($P521="","",IF($P521&gt;=Lookups!$K$7,"High",IF($P521&lt;=Lookups!$K$8,"Low","Medium"))))</f>
        <v>Medium</v>
      </c>
      <c r="AJ521" s="5" t="str">
        <f>IF($A521="","",IF($AD521="","",IF($AD521&lt;5,"Under 5 C",IF($AD521&lt;10,"5-10 C",IF($AD521&lt;15,"10-15 C","15 C and above")))))</f>
        <v>Under 5 C</v>
      </c>
      <c r="AK521" s="5">
        <f>IF($A521="","",IF($P521="","",$P521^2))</f>
        <v>2401</v>
      </c>
      <c r="AL521" s="18">
        <f>IF($V521&lt;&gt;1,"",AVERAGEIFS(Clean_Data!$P$2:$P$1001,Clean_Data!$F$2:$F$1001,$F521,Clean_Data!$W$2:$W$1001,$W521,Clean_Data!$V$2:$V$1001,1))</f>
        <v>64.1428571428571</v>
      </c>
      <c r="AM521" s="16">
        <f>IF($V521&lt;&gt;1,"",IFERROR(($P521-$AL521)/SQRT(MAX(0,(SUMIFS(Clean_Data!$AK$2:$AK$1001,Clean_Data!$F$2:$F$1001,$F521,Clean_Data!$W$2:$W$1001,$W521,Clean_Data!$V$2:$V$1001,1)-COUNTIFS(Clean_Data!$F$2:$F$1001,$F521,Clean_Data!$W$2:$W$1001,$W521,Clean_Data!$V$2:$V$1001,1)*$AL521^2)/(COUNTIFS(Clean_Data!$F$2:$F$1001,$F521,Clean_Data!$W$2:$W$1001,$W521,Clean_Data!$V$2:$V$1001,1)-1))),""))</f>
        <v>-0.91408054934727</v>
      </c>
      <c r="AN521" s="5" t="str">
        <f>IF($AM521="","",IF($AM521&gt;=Lookups!$K$6,"High spike",IF($AM521&lt;=-Lookups!$K$6,"Unusual low","Normal")))</f>
        <v>Normal</v>
      </c>
      <c r="AO521" s="20">
        <f>IF($V521&lt;&gt;1,"",$P521+ROW()/100000)</f>
        <v>49.00521</v>
      </c>
      <c r="AP521" s="5">
        <f>IF($A521="","",IFERROR(MATCH($A521,Raw_D1!$A$2:$A$1001,0),""))</f>
        <v>520</v>
      </c>
      <c r="AQ521" s="5">
        <f>IF($A521="","",IFERROR(MATCH($A521,Raw_D2!$B$2:$B$1001,0),""))</f>
        <v>520</v>
      </c>
      <c r="AR521" s="5">
        <f>IF($A521="","",IFERROR(MATCH($A521,Raw_D3!$A$2:$A$1001,0),""))</f>
        <v/>
      </c>
    </row>
    <row r="522" spans="1:44" x14ac:dyDescent="0.25">
      <c r="A522" s="5">
        <v>521</v>
      </c>
      <c r="B522" s="11">
        <f>IF($A522="","",IF($AP522&lt;&gt;"",INDEX(Raw_D1!$B$2:$B$1001,$AP522),IF($AR522&lt;&gt;"",INDEX(Raw_D3!$B$2:$B$1001,$AR522),"")))</f>
        <v>40566.0</v>
      </c>
      <c r="C522" s="5">
        <f>IF($A522="","",IF($AP522&lt;&gt;"",INDEX(Raw_D1!$C$2:$C$1001,$AP522),IF($AR522&lt;&gt;"",INDEX(Raw_D3!$C$2:$C$1001,$AR522),"")))</f>
        <v>1</v>
      </c>
      <c r="D522" s="5">
        <f>IF($A522="","",IF($AP522&lt;&gt;"",INDEX(Raw_D1!$D$2:$D$1001,$AP522),IF($AR522&lt;&gt;"",INDEX(Raw_D3!$D$2:$D$1001,$AR522),"")))</f>
        <v>0</v>
      </c>
      <c r="E522" s="5">
        <f>IF($A522="","",IF($AP522&lt;&gt;"",INDEX(Raw_D1!$E$2:$E$1001,$AP522),IF($AR522&lt;&gt;"",INDEX(Raw_D3!$E$2:$E$1001,$AR522),"")))</f>
        <v>1</v>
      </c>
      <c r="F522" s="5">
        <f>IF($A522="","",IF($AP522&lt;&gt;"",INDEX(Raw_D1!$F$2:$F$1001,$AP522),IF($AR522&lt;&gt;"",INDEX(Raw_D3!$F$2:$F$1001,$AR522),"")))</f>
        <v>19</v>
      </c>
      <c r="G522" s="5">
        <f>IF($A522="","",IF($AP522&lt;&gt;"",IF(INDEX(Raw_D1!$G$2:$G$1001,$AP522),1,0),IF($AR522&lt;&gt;"",IF(INDEX(Raw_D3!$G$2:$G$1001,$AR522),1,0),"")))</f>
        <v>0</v>
      </c>
      <c r="H522" s="5">
        <f>IF($A522="","",IF($AP522&lt;&gt;"",INDEX(Raw_D1!$H$2:$H$1001,$AP522),IF($AR522&lt;&gt;"",INDEX(Raw_D3!$H$2:$H$1001,$AR522),"")))</f>
        <v>0</v>
      </c>
      <c r="I522" s="5">
        <f>IF($A522="","",IF($AP522&lt;&gt;"",INDEX(Raw_D1!$I$2:$I$1001,$AP522),IF($AR522&lt;&gt;"",INDEX(Raw_D3!$I$2:$I$1001,$AR522),"")))</f>
        <v>1</v>
      </c>
      <c r="J522" s="16">
        <f>IF($A522="","",IF($AP522&lt;&gt;"",INDEX(Raw_D1!$J$2:$J$1001,$AP522),IF($AR522&lt;&gt;"",INDEX(Raw_D3!$J$2:$J$1001,$AR522),"")))</f>
        <v>0.12</v>
      </c>
      <c r="K522" s="17">
        <f>IF($A522="","",IF($AQ522&lt;&gt;"",IF(INDEX(Raw_D2!$C$2:$C$1001,$AQ522)="","",INDEX(Raw_D2!$C$2:$C$1001,$AQ522)),IF($AR522&lt;&gt;"",IF(INDEX(Raw_D3!$K$2:$K$1001,$AR522)="","",INDEX(Raw_D3!$K$2:$K$1001,$AR522)),"")))</f>
        <v>0.1212</v>
      </c>
      <c r="L522" s="16">
        <f>IF($A522="","",IF($AQ522&lt;&gt;"",IF(INDEX(Raw_D2!$D$2:$D$1001,$AQ522)="","",INDEX(Raw_D2!$D$2:$D$1001,$AQ522)),IF($AR522&lt;&gt;"",IF(INDEX(Raw_D3!$L$2:$L$1001,$AR522)="","",INDEX(Raw_D3!$L$2:$L$1001,$AR522)),"")))</f>
        <v>0.3</v>
      </c>
      <c r="M522" s="17">
        <f>IF($A522="","",IF($AQ522&lt;&gt;"",IF(INDEX(Raw_D2!$E$2:$E$1001,$AQ522)="","",INDEX(Raw_D2!$E$2:$E$1001,$AQ522)),IF($AR522&lt;&gt;"",IF(INDEX(Raw_D3!$M$2:$M$1001,$AR522)="","",INDEX(Raw_D3!$M$2:$M$1001,$AR522)),"")))</f>
        <v>0.2836</v>
      </c>
      <c r="N522" s="5">
        <f>IF($A522="","",IF($AQ522&lt;&gt;"",IF(INDEX(Raw_D2!$F$2:$F$1001,$AQ522)="","",INDEX(Raw_D2!$F$2:$F$1001,$AQ522)),IF($AR522&lt;&gt;"",IF(INDEX(Raw_D3!$N$2:$N$1001,$AR522)="","",INDEX(Raw_D3!$N$2:$N$1001,$AR522)),"")))</f>
        <v>5</v>
      </c>
      <c r="O522" s="5">
        <f>IF($A522="","",IF($AQ522&lt;&gt;"",IF(INDEX(Raw_D2!$G$2:$G$1001,$AQ522)="","",INDEX(Raw_D2!$G$2:$G$1001,$AQ522)),IF($AR522&lt;&gt;"",IF(INDEX(Raw_D3!$O$2:$O$1001,$AR522)="","",INDEX(Raw_D3!$O$2:$O$1001,$AR522)),"")))</f>
        <v>45</v>
      </c>
      <c r="P522" s="5">
        <f>IF($A522="","",IF($AQ522&lt;&gt;"",IF(INDEX(Raw_D2!$H$2:$H$1001,$AQ522)="","",INDEX(Raw_D2!$H$2:$H$1001,$AQ522)),IF($AR522&lt;&gt;"",IF(INDEX(Raw_D3!$P$2:$P$1001,$AR522)="","",INDEX(Raw_D3!$P$2:$P$1001,$AR522)),"")))</f>
        <v>50</v>
      </c>
      <c r="Q522" s="5" t="str">
        <f>IF($A522="","",IF(AND($AP522&lt;&gt;"",$AQ522&lt;&gt;""),"D1+D2",IF($AR522&lt;&gt;"","D3","Incomplete")))</f>
        <v>D1+D2</v>
      </c>
      <c r="R522" s="17">
        <f>IF($A522="","",IF($K522="",IF($J522="","",ROUND(Lookups!$K$5+Lookups!$K$4*$J522,4)),$K522))</f>
        <v>0.1212</v>
      </c>
      <c r="S522" s="5" t="str">
        <f>IF($A522="","",IF($K522="","Imputed","Original"))</f>
        <v>Original</v>
      </c>
      <c r="T522" s="5" t="str">
        <f>IF($A522="","",IF($P522="","Missing",IF($P522=$N522+$O522,"OK","Mismatch")))</f>
        <v>OK</v>
      </c>
      <c r="U522" s="5" t="str">
        <f>IF($A522="","",IF(COUNTIF($A$2:$A522,$A522)&gt;1,"Duplicate","Unique"))</f>
        <v>Unique</v>
      </c>
      <c r="V522" s="5">
        <f>IF($A522="","",IF(AND($U522="Unique",ISNUMBER($P522)),1,0))</f>
        <v>1</v>
      </c>
      <c r="W522" s="5" t="str">
        <f>IF($A522="","",IF(OR($H522=0,$H522=6),"Weekend","Weekday"))</f>
        <v>Weekend</v>
      </c>
      <c r="X522" s="5" t="str">
        <f>IF($A522="","",TEXT($B522,"ddd"))</f>
        <v>Sun</v>
      </c>
      <c r="Y522" s="5" t="str">
        <f>IF($A522="","",TEXT($B522,"mmm"))</f>
        <v>Jan</v>
      </c>
      <c r="Z522" s="5" t="str">
        <f>IF($A522="","",IFERROR(VLOOKUP($C522,Lookups!$D$4:$E$7,2,FALSE),"Unknown"))</f>
        <v>Winter</v>
      </c>
      <c r="AA522" s="5" t="str">
        <f>IF($A522="","",IFERROR(VLOOKUP($I522,Lookups!$A$4:$B$7,2,FALSE),"Unknown"))</f>
        <v>Clear</v>
      </c>
      <c r="AB522" s="5" t="str">
        <f>IF($A522="","",TEXT($F522,"00")&amp;":00")</f>
        <v>19:00</v>
      </c>
      <c r="AC522" s="5" t="str">
        <f>IF($A522="","",VLOOKUP($F522,Lookups!$G$4:$H$8,2,TRUE))</f>
        <v>Evening Peak (16-19)</v>
      </c>
      <c r="AD522" s="18">
        <f>IF($A522="","",IF($J522="","",ROUND($J522*41,1)))</f>
        <v>4.9</v>
      </c>
      <c r="AE522" s="18">
        <f>IF($A522="","",IF($R522="","",ROUND($R522*50,1)))</f>
        <v>6.1</v>
      </c>
      <c r="AF522" s="5">
        <f>IF($A522="","",IF($L522="","",ROUND($L522*100,0)))</f>
        <v>30</v>
      </c>
      <c r="AG522" s="18">
        <f>IF($A522="","",IF($M522="","",ROUND($M522*67,1)))</f>
        <v>19</v>
      </c>
      <c r="AH522" s="19">
        <f>IF($A522="","",IF($P522="","",IF($P522=0,0,$O522/$P522)))</f>
        <v>0.9</v>
      </c>
      <c r="AI522" s="5" t="str">
        <f>IF($A522="","",IF($P522="","",IF($P522&gt;=Lookups!$K$7,"High",IF($P522&lt;=Lookups!$K$8,"Low","Medium"))))</f>
        <v>Medium</v>
      </c>
      <c r="AJ522" s="5" t="str">
        <f>IF($A522="","",IF($AD522="","",IF($AD522&lt;5,"Under 5 C",IF($AD522&lt;10,"5-10 C",IF($AD522&lt;15,"10-15 C","15 C and above")))))</f>
        <v>Under 5 C</v>
      </c>
      <c r="AK522" s="5">
        <f>IF($A522="","",IF($P522="","",$P522^2))</f>
        <v>2500</v>
      </c>
      <c r="AL522" s="18">
        <f>IF($V522&lt;&gt;1,"",AVERAGEIFS(Clean_Data!$P$2:$P$1001,Clean_Data!$F$2:$F$1001,$F522,Clean_Data!$W$2:$W$1001,$W522,Clean_Data!$V$2:$V$1001,1))</f>
        <v>50.1428571428571</v>
      </c>
      <c r="AM522" s="16">
        <f>IF($V522&lt;&gt;1,"",IFERROR(($P522-$AL522)/SQRT(MAX(0,(SUMIFS(Clean_Data!$AK$2:$AK$1001,Clean_Data!$F$2:$F$1001,$F522,Clean_Data!$W$2:$W$1001,$W522,Clean_Data!$V$2:$V$1001,1)-COUNTIFS(Clean_Data!$F$2:$F$1001,$F522,Clean_Data!$W$2:$W$1001,$W522,Clean_Data!$V$2:$V$1001,1)*$AL522^2)/(COUNTIFS(Clean_Data!$F$2:$F$1001,$F522,Clean_Data!$W$2:$W$1001,$W522,Clean_Data!$V$2:$V$1001,1)-1))),""))</f>
        <v>-0.00802880716133967</v>
      </c>
      <c r="AN522" s="5" t="str">
        <f>IF($AM522="","",IF($AM522&gt;=Lookups!$K$6,"High spike",IF($AM522&lt;=-Lookups!$K$6,"Unusual low","Normal")))</f>
        <v>Normal</v>
      </c>
      <c r="AO522" s="20">
        <f>IF($V522&lt;&gt;1,"",$P522+ROW()/100000)</f>
        <v>50.00522</v>
      </c>
      <c r="AP522" s="5">
        <f>IF($A522="","",IFERROR(MATCH($A522,Raw_D1!$A$2:$A$1001,0),""))</f>
        <v>521</v>
      </c>
      <c r="AQ522" s="5">
        <f>IF($A522="","",IFERROR(MATCH($A522,Raw_D2!$B$2:$B$1001,0),""))</f>
        <v>521</v>
      </c>
      <c r="AR522" s="5">
        <f>IF($A522="","",IFERROR(MATCH($A522,Raw_D3!$A$2:$A$1001,0),""))</f>
        <v/>
      </c>
    </row>
    <row r="523" spans="1:44" x14ac:dyDescent="0.25">
      <c r="A523" s="5">
        <v>522</v>
      </c>
      <c r="B523" s="11">
        <f>IF($A523="","",IF($AP523&lt;&gt;"",INDEX(Raw_D1!$B$2:$B$1001,$AP523),IF($AR523&lt;&gt;"",INDEX(Raw_D3!$B$2:$B$1001,$AR523),"")))</f>
        <v>40566.0</v>
      </c>
      <c r="C523" s="5">
        <f>IF($A523="","",IF($AP523&lt;&gt;"",INDEX(Raw_D1!$C$2:$C$1001,$AP523),IF($AR523&lt;&gt;"",INDEX(Raw_D3!$C$2:$C$1001,$AR523),"")))</f>
        <v>1</v>
      </c>
      <c r="D523" s="5">
        <f>IF($A523="","",IF($AP523&lt;&gt;"",INDEX(Raw_D1!$D$2:$D$1001,$AP523),IF($AR523&lt;&gt;"",INDEX(Raw_D3!$D$2:$D$1001,$AR523),"")))</f>
        <v>0</v>
      </c>
      <c r="E523" s="5">
        <f>IF($A523="","",IF($AP523&lt;&gt;"",INDEX(Raw_D1!$E$2:$E$1001,$AP523),IF($AR523&lt;&gt;"",INDEX(Raw_D3!$E$2:$E$1001,$AR523),"")))</f>
        <v>1</v>
      </c>
      <c r="F523" s="5">
        <f>IF($A523="","",IF($AP523&lt;&gt;"",INDEX(Raw_D1!$F$2:$F$1001,$AP523),IF($AR523&lt;&gt;"",INDEX(Raw_D3!$F$2:$F$1001,$AR523),"")))</f>
        <v>20</v>
      </c>
      <c r="G523" s="5">
        <f>IF($A523="","",IF($AP523&lt;&gt;"",IF(INDEX(Raw_D1!$G$2:$G$1001,$AP523),1,0),IF($AR523&lt;&gt;"",IF(INDEX(Raw_D3!$G$2:$G$1001,$AR523),1,0),"")))</f>
        <v>0</v>
      </c>
      <c r="H523" s="5">
        <f>IF($A523="","",IF($AP523&lt;&gt;"",INDEX(Raw_D1!$H$2:$H$1001,$AP523),IF($AR523&lt;&gt;"",INDEX(Raw_D3!$H$2:$H$1001,$AR523),"")))</f>
        <v>0</v>
      </c>
      <c r="I523" s="5">
        <f>IF($A523="","",IF($AP523&lt;&gt;"",INDEX(Raw_D1!$I$2:$I$1001,$AP523),IF($AR523&lt;&gt;"",INDEX(Raw_D3!$I$2:$I$1001,$AR523),"")))</f>
        <v>1</v>
      </c>
      <c r="J523" s="16">
        <f>IF($A523="","",IF($AP523&lt;&gt;"",INDEX(Raw_D1!$J$2:$J$1001,$AP523),IF($AR523&lt;&gt;"",INDEX(Raw_D3!$J$2:$J$1001,$AR523),"")))</f>
        <v>0.1</v>
      </c>
      <c r="K523" s="17">
        <f>IF($A523="","",IF($AQ523&lt;&gt;"",IF(INDEX(Raw_D2!$C$2:$C$1001,$AQ523)="","",INDEX(Raw_D2!$C$2:$C$1001,$AQ523)),IF($AR523&lt;&gt;"",IF(INDEX(Raw_D3!$K$2:$K$1001,$AR523)="","",INDEX(Raw_D3!$K$2:$K$1001,$AR523)),"")))</f>
        <v>0.1061</v>
      </c>
      <c r="L523" s="16">
        <f>IF($A523="","",IF($AQ523&lt;&gt;"",IF(INDEX(Raw_D2!$D$2:$D$1001,$AQ523)="","",INDEX(Raw_D2!$D$2:$D$1001,$AQ523)),IF($AR523&lt;&gt;"",IF(INDEX(Raw_D3!$L$2:$L$1001,$AR523)="","",INDEX(Raw_D3!$L$2:$L$1001,$AR523)),"")))</f>
        <v>0.36</v>
      </c>
      <c r="M523" s="17">
        <f>IF($A523="","",IF($AQ523&lt;&gt;"",IF(INDEX(Raw_D2!$E$2:$E$1001,$AQ523)="","",INDEX(Raw_D2!$E$2:$E$1001,$AQ523)),IF($AR523&lt;&gt;"",IF(INDEX(Raw_D3!$M$2:$M$1001,$AR523)="","",INDEX(Raw_D3!$M$2:$M$1001,$AR523)),"")))</f>
        <v>0.2537</v>
      </c>
      <c r="N523" s="5">
        <f>IF($A523="","",IF($AQ523&lt;&gt;"",IF(INDEX(Raw_D2!$F$2:$F$1001,$AQ523)="","",INDEX(Raw_D2!$F$2:$F$1001,$AQ523)),IF($AR523&lt;&gt;"",IF(INDEX(Raw_D3!$N$2:$N$1001,$AR523)="","",INDEX(Raw_D3!$N$2:$N$1001,$AR523)),"")))</f>
        <v>4</v>
      </c>
      <c r="O523" s="5">
        <f>IF($A523="","",IF($AQ523&lt;&gt;"",IF(INDEX(Raw_D2!$G$2:$G$1001,$AQ523)="","",INDEX(Raw_D2!$G$2:$G$1001,$AQ523)),IF($AR523&lt;&gt;"",IF(INDEX(Raw_D3!$O$2:$O$1001,$AR523)="","",INDEX(Raw_D3!$O$2:$O$1001,$AR523)),"")))</f>
        <v>31</v>
      </c>
      <c r="P523" s="5">
        <f>IF($A523="","",IF($AQ523&lt;&gt;"",IF(INDEX(Raw_D2!$H$2:$H$1001,$AQ523)="","",INDEX(Raw_D2!$H$2:$H$1001,$AQ523)),IF($AR523&lt;&gt;"",IF(INDEX(Raw_D3!$P$2:$P$1001,$AR523)="","",INDEX(Raw_D3!$P$2:$P$1001,$AR523)),"")))</f>
        <v>35</v>
      </c>
      <c r="Q523" s="5" t="str">
        <f>IF($A523="","",IF(AND($AP523&lt;&gt;"",$AQ523&lt;&gt;""),"D1+D2",IF($AR523&lt;&gt;"","D3","Incomplete")))</f>
        <v>D1+D2</v>
      </c>
      <c r="R523" s="17">
        <f>IF($A523="","",IF($K523="",IF($J523="","",ROUND(Lookups!$K$5+Lookups!$K$4*$J523,4)),$K523))</f>
        <v>0.1061</v>
      </c>
      <c r="S523" s="5" t="str">
        <f>IF($A523="","",IF($K523="","Imputed","Original"))</f>
        <v>Original</v>
      </c>
      <c r="T523" s="5" t="str">
        <f>IF($A523="","",IF($P523="","Missing",IF($P523=$N523+$O523,"OK","Mismatch")))</f>
        <v>OK</v>
      </c>
      <c r="U523" s="5" t="str">
        <f>IF($A523="","",IF(COUNTIF($A$2:$A523,$A523)&gt;1,"Duplicate","Unique"))</f>
        <v>Unique</v>
      </c>
      <c r="V523" s="5">
        <f>IF($A523="","",IF(AND($U523="Unique",ISNUMBER($P523)),1,0))</f>
        <v>1</v>
      </c>
      <c r="W523" s="5" t="str">
        <f>IF($A523="","",IF(OR($H523=0,$H523=6),"Weekend","Weekday"))</f>
        <v>Weekend</v>
      </c>
      <c r="X523" s="5" t="str">
        <f>IF($A523="","",TEXT($B523,"ddd"))</f>
        <v>Sun</v>
      </c>
      <c r="Y523" s="5" t="str">
        <f>IF($A523="","",TEXT($B523,"mmm"))</f>
        <v>Jan</v>
      </c>
      <c r="Z523" s="5" t="str">
        <f>IF($A523="","",IFERROR(VLOOKUP($C523,Lookups!$D$4:$E$7,2,FALSE),"Unknown"))</f>
        <v>Winter</v>
      </c>
      <c r="AA523" s="5" t="str">
        <f>IF($A523="","",IFERROR(VLOOKUP($I523,Lookups!$A$4:$B$7,2,FALSE),"Unknown"))</f>
        <v>Clear</v>
      </c>
      <c r="AB523" s="5" t="str">
        <f>IF($A523="","",TEXT($F523,"00")&amp;":00")</f>
        <v>20:00</v>
      </c>
      <c r="AC523" s="5" t="str">
        <f>IF($A523="","",VLOOKUP($F523,Lookups!$G$4:$H$8,2,TRUE))</f>
        <v>Late Evening (20-23)</v>
      </c>
      <c r="AD523" s="18">
        <f>IF($A523="","",IF($J523="","",ROUND($J523*41,1)))</f>
        <v>4.1</v>
      </c>
      <c r="AE523" s="18">
        <f>IF($A523="","",IF($R523="","",ROUND($R523*50,1)))</f>
        <v>5.3</v>
      </c>
      <c r="AF523" s="5">
        <f>IF($A523="","",IF($L523="","",ROUND($L523*100,0)))</f>
        <v>36</v>
      </c>
      <c r="AG523" s="18">
        <f>IF($A523="","",IF($M523="","",ROUND($M523*67,1)))</f>
        <v>17</v>
      </c>
      <c r="AH523" s="19">
        <f>IF($A523="","",IF($P523="","",IF($P523=0,0,$O523/$P523)))</f>
        <v>0.885714285714286</v>
      </c>
      <c r="AI523" s="5" t="str">
        <f>IF($A523="","",IF($P523="","",IF($P523&gt;=Lookups!$K$7,"High",IF($P523&lt;=Lookups!$K$8,"Low","Medium"))))</f>
        <v>Medium</v>
      </c>
      <c r="AJ523" s="5" t="str">
        <f>IF($A523="","",IF($AD523="","",IF($AD523&lt;5,"Under 5 C",IF($AD523&lt;10,"5-10 C",IF($AD523&lt;15,"10-15 C","15 C and above")))))</f>
        <v>Under 5 C</v>
      </c>
      <c r="AK523" s="5">
        <f>IF($A523="","",IF($P523="","",$P523^2))</f>
        <v>1225</v>
      </c>
      <c r="AL523" s="18">
        <f>IF($V523&lt;&gt;1,"",AVERAGEIFS(Clean_Data!$P$2:$P$1001,Clean_Data!$F$2:$F$1001,$F523,Clean_Data!$W$2:$W$1001,$W523,Clean_Data!$V$2:$V$1001,1))</f>
        <v>40</v>
      </c>
      <c r="AM523" s="16">
        <f>IF($V523&lt;&gt;1,"",IFERROR(($P523-$AL523)/SQRT(MAX(0,(SUMIFS(Clean_Data!$AK$2:$AK$1001,Clean_Data!$F$2:$F$1001,$F523,Clean_Data!$W$2:$W$1001,$W523,Clean_Data!$V$2:$V$1001,1)-COUNTIFS(Clean_Data!$F$2:$F$1001,$F523,Clean_Data!$W$2:$W$1001,$W523,Clean_Data!$V$2:$V$1001,1)*$AL523^2)/(COUNTIFS(Clean_Data!$F$2:$F$1001,$F523,Clean_Data!$W$2:$W$1001,$W523,Clean_Data!$V$2:$V$1001,1)-1))),""))</f>
        <v>-0.405964656381855</v>
      </c>
      <c r="AN523" s="5" t="str">
        <f>IF($AM523="","",IF($AM523&gt;=Lookups!$K$6,"High spike",IF($AM523&lt;=-Lookups!$K$6,"Unusual low","Normal")))</f>
        <v>Normal</v>
      </c>
      <c r="AO523" s="20">
        <f>IF($V523&lt;&gt;1,"",$P523+ROW()/100000)</f>
        <v>35.00523</v>
      </c>
      <c r="AP523" s="5">
        <f>IF($A523="","",IFERROR(MATCH($A523,Raw_D1!$A$2:$A$1001,0),""))</f>
        <v>522</v>
      </c>
      <c r="AQ523" s="5">
        <f>IF($A523="","",IFERROR(MATCH($A523,Raw_D2!$B$2:$B$1001,0),""))</f>
        <v>522</v>
      </c>
      <c r="AR523" s="5">
        <f>IF($A523="","",IFERROR(MATCH($A523,Raw_D3!$A$2:$A$1001,0),""))</f>
        <v/>
      </c>
    </row>
    <row r="524" spans="1:44" x14ac:dyDescent="0.25">
      <c r="A524" s="5">
        <v>523</v>
      </c>
      <c r="B524" s="11">
        <f>IF($A524="","",IF($AP524&lt;&gt;"",INDEX(Raw_D1!$B$2:$B$1001,$AP524),IF($AR524&lt;&gt;"",INDEX(Raw_D3!$B$2:$B$1001,$AR524),"")))</f>
        <v>40566.0</v>
      </c>
      <c r="C524" s="5">
        <f>IF($A524="","",IF($AP524&lt;&gt;"",INDEX(Raw_D1!$C$2:$C$1001,$AP524),IF($AR524&lt;&gt;"",INDEX(Raw_D3!$C$2:$C$1001,$AR524),"")))</f>
        <v>1</v>
      </c>
      <c r="D524" s="5">
        <f>IF($A524="","",IF($AP524&lt;&gt;"",INDEX(Raw_D1!$D$2:$D$1001,$AP524),IF($AR524&lt;&gt;"",INDEX(Raw_D3!$D$2:$D$1001,$AR524),"")))</f>
        <v>0</v>
      </c>
      <c r="E524" s="5">
        <f>IF($A524="","",IF($AP524&lt;&gt;"",INDEX(Raw_D1!$E$2:$E$1001,$AP524),IF($AR524&lt;&gt;"",INDEX(Raw_D3!$E$2:$E$1001,$AR524),"")))</f>
        <v>1</v>
      </c>
      <c r="F524" s="5">
        <f>IF($A524="","",IF($AP524&lt;&gt;"",INDEX(Raw_D1!$F$2:$F$1001,$AP524),IF($AR524&lt;&gt;"",INDEX(Raw_D3!$F$2:$F$1001,$AR524),"")))</f>
        <v>21</v>
      </c>
      <c r="G524" s="5">
        <f>IF($A524="","",IF($AP524&lt;&gt;"",IF(INDEX(Raw_D1!$G$2:$G$1001,$AP524),1,0),IF($AR524&lt;&gt;"",IF(INDEX(Raw_D3!$G$2:$G$1001,$AR524),1,0),"")))</f>
        <v>0</v>
      </c>
      <c r="H524" s="5">
        <f>IF($A524="","",IF($AP524&lt;&gt;"",INDEX(Raw_D1!$H$2:$H$1001,$AP524),IF($AR524&lt;&gt;"",INDEX(Raw_D3!$H$2:$H$1001,$AR524),"")))</f>
        <v>0</v>
      </c>
      <c r="I524" s="5">
        <f>IF($A524="","",IF($AP524&lt;&gt;"",INDEX(Raw_D1!$I$2:$I$1001,$AP524),IF($AR524&lt;&gt;"",INDEX(Raw_D3!$I$2:$I$1001,$AR524),"")))</f>
        <v>1</v>
      </c>
      <c r="J524" s="16">
        <f>IF($A524="","",IF($AP524&lt;&gt;"",INDEX(Raw_D1!$J$2:$J$1001,$AP524),IF($AR524&lt;&gt;"",INDEX(Raw_D3!$J$2:$J$1001,$AR524),"")))</f>
        <v>0.1</v>
      </c>
      <c r="K524" s="17">
        <f>IF($A524="","",IF($AQ524&lt;&gt;"",IF(INDEX(Raw_D2!$C$2:$C$1001,$AQ524)="","",INDEX(Raw_D2!$C$2:$C$1001,$AQ524)),IF($AR524&lt;&gt;"",IF(INDEX(Raw_D3!$K$2:$K$1001,$AR524)="","",INDEX(Raw_D3!$K$2:$K$1001,$AR524)),"")))</f>
        <v>0.1061</v>
      </c>
      <c r="L524" s="16">
        <f>IF($A524="","",IF($AQ524&lt;&gt;"",IF(INDEX(Raw_D2!$D$2:$D$1001,$AQ524)="","",INDEX(Raw_D2!$D$2:$D$1001,$AQ524)),IF($AR524&lt;&gt;"",IF(INDEX(Raw_D3!$L$2:$L$1001,$AR524)="","",INDEX(Raw_D3!$L$2:$L$1001,$AR524)),"")))</f>
        <v>0.36</v>
      </c>
      <c r="M524" s="17">
        <f>IF($A524="","",IF($AQ524&lt;&gt;"",IF(INDEX(Raw_D2!$E$2:$E$1001,$AQ524)="","",INDEX(Raw_D2!$E$2:$E$1001,$AQ524)),IF($AR524&lt;&gt;"",IF(INDEX(Raw_D3!$M$2:$M$1001,$AR524)="","",INDEX(Raw_D3!$M$2:$M$1001,$AR524)),"")))</f>
        <v>0.194</v>
      </c>
      <c r="N524" s="5">
        <f>IF($A524="","",IF($AQ524&lt;&gt;"",IF(INDEX(Raw_D2!$F$2:$F$1001,$AQ524)="","",INDEX(Raw_D2!$F$2:$F$1001,$AQ524)),IF($AR524&lt;&gt;"",IF(INDEX(Raw_D3!$N$2:$N$1001,$AR524)="","",INDEX(Raw_D3!$N$2:$N$1001,$AR524)),"")))</f>
        <v>5</v>
      </c>
      <c r="O524" s="5">
        <f>IF($A524="","",IF($AQ524&lt;&gt;"",IF(INDEX(Raw_D2!$G$2:$G$1001,$AQ524)="","",INDEX(Raw_D2!$G$2:$G$1001,$AQ524)),IF($AR524&lt;&gt;"",IF(INDEX(Raw_D3!$O$2:$O$1001,$AR524)="","",INDEX(Raw_D3!$O$2:$O$1001,$AR524)),"")))</f>
        <v>20</v>
      </c>
      <c r="P524" s="5">
        <f>IF($A524="","",IF($AQ524&lt;&gt;"",IF(INDEX(Raw_D2!$H$2:$H$1001,$AQ524)="","",INDEX(Raw_D2!$H$2:$H$1001,$AQ524)),IF($AR524&lt;&gt;"",IF(INDEX(Raw_D3!$P$2:$P$1001,$AR524)="","",INDEX(Raw_D3!$P$2:$P$1001,$AR524)),"")))</f>
        <v>25</v>
      </c>
      <c r="Q524" s="5" t="str">
        <f>IF($A524="","",IF(AND($AP524&lt;&gt;"",$AQ524&lt;&gt;""),"D1+D2",IF($AR524&lt;&gt;"","D3","Incomplete")))</f>
        <v>D1+D2</v>
      </c>
      <c r="R524" s="17">
        <f>IF($A524="","",IF($K524="",IF($J524="","",ROUND(Lookups!$K$5+Lookups!$K$4*$J524,4)),$K524))</f>
        <v>0.1061</v>
      </c>
      <c r="S524" s="5" t="str">
        <f>IF($A524="","",IF($K524="","Imputed","Original"))</f>
        <v>Original</v>
      </c>
      <c r="T524" s="5" t="str">
        <f>IF($A524="","",IF($P524="","Missing",IF($P524=$N524+$O524,"OK","Mismatch")))</f>
        <v>OK</v>
      </c>
      <c r="U524" s="5" t="str">
        <f>IF($A524="","",IF(COUNTIF($A$2:$A524,$A524)&gt;1,"Duplicate","Unique"))</f>
        <v>Unique</v>
      </c>
      <c r="V524" s="5">
        <f>IF($A524="","",IF(AND($U524="Unique",ISNUMBER($P524)),1,0))</f>
        <v>1</v>
      </c>
      <c r="W524" s="5" t="str">
        <f>IF($A524="","",IF(OR($H524=0,$H524=6),"Weekend","Weekday"))</f>
        <v>Weekend</v>
      </c>
      <c r="X524" s="5" t="str">
        <f>IF($A524="","",TEXT($B524,"ddd"))</f>
        <v>Sun</v>
      </c>
      <c r="Y524" s="5" t="str">
        <f>IF($A524="","",TEXT($B524,"mmm"))</f>
        <v>Jan</v>
      </c>
      <c r="Z524" s="5" t="str">
        <f>IF($A524="","",IFERROR(VLOOKUP($C524,Lookups!$D$4:$E$7,2,FALSE),"Unknown"))</f>
        <v>Winter</v>
      </c>
      <c r="AA524" s="5" t="str">
        <f>IF($A524="","",IFERROR(VLOOKUP($I524,Lookups!$A$4:$B$7,2,FALSE),"Unknown"))</f>
        <v>Clear</v>
      </c>
      <c r="AB524" s="5" t="str">
        <f>IF($A524="","",TEXT($F524,"00")&amp;":00")</f>
        <v>21:00</v>
      </c>
      <c r="AC524" s="5" t="str">
        <f>IF($A524="","",VLOOKUP($F524,Lookups!$G$4:$H$8,2,TRUE))</f>
        <v>Late Evening (20-23)</v>
      </c>
      <c r="AD524" s="18">
        <f>IF($A524="","",IF($J524="","",ROUND($J524*41,1)))</f>
        <v>4.1</v>
      </c>
      <c r="AE524" s="18">
        <f>IF($A524="","",IF($R524="","",ROUND($R524*50,1)))</f>
        <v>5.3</v>
      </c>
      <c r="AF524" s="5">
        <f>IF($A524="","",IF($L524="","",ROUND($L524*100,0)))</f>
        <v>36</v>
      </c>
      <c r="AG524" s="18">
        <f>IF($A524="","",IF($M524="","",ROUND($M524*67,1)))</f>
        <v>13</v>
      </c>
      <c r="AH524" s="19">
        <f>IF($A524="","",IF($P524="","",IF($P524=0,0,$O524/$P524)))</f>
        <v>0.8</v>
      </c>
      <c r="AI524" s="5" t="str">
        <f>IF($A524="","",IF($P524="","",IF($P524&gt;=Lookups!$K$7,"High",IF($P524&lt;=Lookups!$K$8,"Low","Medium"))))</f>
        <v>Medium</v>
      </c>
      <c r="AJ524" s="5" t="str">
        <f>IF($A524="","",IF($AD524="","",IF($AD524&lt;5,"Under 5 C",IF($AD524&lt;10,"5-10 C",IF($AD524&lt;15,"10-15 C","15 C and above")))))</f>
        <v>Under 5 C</v>
      </c>
      <c r="AK524" s="5">
        <f>IF($A524="","",IF($P524="","",$P524^2))</f>
        <v>625</v>
      </c>
      <c r="AL524" s="18">
        <f>IF($V524&lt;&gt;1,"",AVERAGEIFS(Clean_Data!$P$2:$P$1001,Clean_Data!$F$2:$F$1001,$F524,Clean_Data!$W$2:$W$1001,$W524,Clean_Data!$V$2:$V$1001,1))</f>
        <v>37.1428571428571</v>
      </c>
      <c r="AM524" s="16">
        <f>IF($V524&lt;&gt;1,"",IFERROR(($P524-$AL524)/SQRT(MAX(0,(SUMIFS(Clean_Data!$AK$2:$AK$1001,Clean_Data!$F$2:$F$1001,$F524,Clean_Data!$W$2:$W$1001,$W524,Clean_Data!$V$2:$V$1001,1)-COUNTIFS(Clean_Data!$F$2:$F$1001,$F524,Clean_Data!$W$2:$W$1001,$W524,Clean_Data!$V$2:$V$1001,1)*$AL524^2)/(COUNTIFS(Clean_Data!$F$2:$F$1001,$F524,Clean_Data!$W$2:$W$1001,$W524,Clean_Data!$V$2:$V$1001,1)-1))),""))</f>
        <v>-1.00502565590121</v>
      </c>
      <c r="AN524" s="5" t="str">
        <f>IF($AM524="","",IF($AM524&gt;=Lookups!$K$6,"High spike",IF($AM524&lt;=-Lookups!$K$6,"Unusual low","Normal")))</f>
        <v>Normal</v>
      </c>
      <c r="AO524" s="20">
        <f>IF($V524&lt;&gt;1,"",$P524+ROW()/100000)</f>
        <v>25.00524</v>
      </c>
      <c r="AP524" s="5">
        <f>IF($A524="","",IFERROR(MATCH($A524,Raw_D1!$A$2:$A$1001,0),""))</f>
        <v>523</v>
      </c>
      <c r="AQ524" s="5">
        <f>IF($A524="","",IFERROR(MATCH($A524,Raw_D2!$B$2:$B$1001,0),""))</f>
        <v>523</v>
      </c>
      <c r="AR524" s="5">
        <f>IF($A524="","",IFERROR(MATCH($A524,Raw_D3!$A$2:$A$1001,0),""))</f>
        <v/>
      </c>
    </row>
    <row r="525" spans="1:44" x14ac:dyDescent="0.25">
      <c r="A525" s="5">
        <v>524</v>
      </c>
      <c r="B525" s="11">
        <f>IF($A525="","",IF($AP525&lt;&gt;"",INDEX(Raw_D1!$B$2:$B$1001,$AP525),IF($AR525&lt;&gt;"",INDEX(Raw_D3!$B$2:$B$1001,$AR525),"")))</f>
        <v>40566.0</v>
      </c>
      <c r="C525" s="5">
        <f>IF($A525="","",IF($AP525&lt;&gt;"",INDEX(Raw_D1!$C$2:$C$1001,$AP525),IF($AR525&lt;&gt;"",INDEX(Raw_D3!$C$2:$C$1001,$AR525),"")))</f>
        <v>1</v>
      </c>
      <c r="D525" s="5">
        <f>IF($A525="","",IF($AP525&lt;&gt;"",INDEX(Raw_D1!$D$2:$D$1001,$AP525),IF($AR525&lt;&gt;"",INDEX(Raw_D3!$D$2:$D$1001,$AR525),"")))</f>
        <v>0</v>
      </c>
      <c r="E525" s="5">
        <f>IF($A525="","",IF($AP525&lt;&gt;"",INDEX(Raw_D1!$E$2:$E$1001,$AP525),IF($AR525&lt;&gt;"",INDEX(Raw_D3!$E$2:$E$1001,$AR525),"")))</f>
        <v>1</v>
      </c>
      <c r="F525" s="5">
        <f>IF($A525="","",IF($AP525&lt;&gt;"",INDEX(Raw_D1!$F$2:$F$1001,$AP525),IF($AR525&lt;&gt;"",INDEX(Raw_D3!$F$2:$F$1001,$AR525),"")))</f>
        <v>22</v>
      </c>
      <c r="G525" s="5">
        <f>IF($A525="","",IF($AP525&lt;&gt;"",IF(INDEX(Raw_D1!$G$2:$G$1001,$AP525),1,0),IF($AR525&lt;&gt;"",IF(INDEX(Raw_D3!$G$2:$G$1001,$AR525),1,0),"")))</f>
        <v>0</v>
      </c>
      <c r="H525" s="5">
        <f>IF($A525="","",IF($AP525&lt;&gt;"",INDEX(Raw_D1!$H$2:$H$1001,$AP525),IF($AR525&lt;&gt;"",INDEX(Raw_D3!$H$2:$H$1001,$AR525),"")))</f>
        <v>0</v>
      </c>
      <c r="I525" s="5">
        <f>IF($A525="","",IF($AP525&lt;&gt;"",INDEX(Raw_D1!$I$2:$I$1001,$AP525),IF($AR525&lt;&gt;"",INDEX(Raw_D3!$I$2:$I$1001,$AR525),"")))</f>
        <v>1</v>
      </c>
      <c r="J525" s="16">
        <f>IF($A525="","",IF($AP525&lt;&gt;"",INDEX(Raw_D1!$J$2:$J$1001,$AP525),IF($AR525&lt;&gt;"",INDEX(Raw_D3!$J$2:$J$1001,$AR525),"")))</f>
        <v>0.08</v>
      </c>
      <c r="K525" s="17">
        <f>IF($A525="","",IF($AQ525&lt;&gt;"",IF(INDEX(Raw_D2!$C$2:$C$1001,$AQ525)="","",INDEX(Raw_D2!$C$2:$C$1001,$AQ525)),IF($AR525&lt;&gt;"",IF(INDEX(Raw_D3!$K$2:$K$1001,$AR525)="","",INDEX(Raw_D3!$K$2:$K$1001,$AR525)),"")))</f>
        <v>0.0909</v>
      </c>
      <c r="L525" s="16">
        <f>IF($A525="","",IF($AQ525&lt;&gt;"",IF(INDEX(Raw_D2!$D$2:$D$1001,$AQ525)="","",INDEX(Raw_D2!$D$2:$D$1001,$AQ525)),IF($AR525&lt;&gt;"",IF(INDEX(Raw_D3!$L$2:$L$1001,$AR525)="","",INDEX(Raw_D3!$L$2:$L$1001,$AR525)),"")))</f>
        <v>0.38</v>
      </c>
      <c r="M525" s="17">
        <f>IF($A525="","",IF($AQ525&lt;&gt;"",IF(INDEX(Raw_D2!$E$2:$E$1001,$AQ525)="","",INDEX(Raw_D2!$E$2:$E$1001,$AQ525)),IF($AR525&lt;&gt;"",IF(INDEX(Raw_D3!$M$2:$M$1001,$AR525)="","",INDEX(Raw_D3!$M$2:$M$1001,$AR525)),"")))</f>
        <v>0.194</v>
      </c>
      <c r="N525" s="5">
        <f>IF($A525="","",IF($AQ525&lt;&gt;"",IF(INDEX(Raw_D2!$F$2:$F$1001,$AQ525)="","",INDEX(Raw_D2!$F$2:$F$1001,$AQ525)),IF($AR525&lt;&gt;"",IF(INDEX(Raw_D3!$N$2:$N$1001,$AR525)="","",INDEX(Raw_D3!$N$2:$N$1001,$AR525)),"")))</f>
        <v>5</v>
      </c>
      <c r="O525" s="5">
        <f>IF($A525="","",IF($AQ525&lt;&gt;"",IF(INDEX(Raw_D2!$G$2:$G$1001,$AQ525)="","",INDEX(Raw_D2!$G$2:$G$1001,$AQ525)),IF($AR525&lt;&gt;"",IF(INDEX(Raw_D3!$O$2:$O$1001,$AR525)="","",INDEX(Raw_D3!$O$2:$O$1001,$AR525)),"")))</f>
        <v>23</v>
      </c>
      <c r="P525" s="5">
        <f>IF($A525="","",IF($AQ525&lt;&gt;"",IF(INDEX(Raw_D2!$H$2:$H$1001,$AQ525)="","",INDEX(Raw_D2!$H$2:$H$1001,$AQ525)),IF($AR525&lt;&gt;"",IF(INDEX(Raw_D3!$P$2:$P$1001,$AR525)="","",INDEX(Raw_D3!$P$2:$P$1001,$AR525)),"")))</f>
        <v>28</v>
      </c>
      <c r="Q525" s="5" t="str">
        <f>IF($A525="","",IF(AND($AP525&lt;&gt;"",$AQ525&lt;&gt;""),"D1+D2",IF($AR525&lt;&gt;"","D3","Incomplete")))</f>
        <v>D1+D2</v>
      </c>
      <c r="R525" s="17">
        <f>IF($A525="","",IF($K525="",IF($J525="","",ROUND(Lookups!$K$5+Lookups!$K$4*$J525,4)),$K525))</f>
        <v>0.0909</v>
      </c>
      <c r="S525" s="5" t="str">
        <f>IF($A525="","",IF($K525="","Imputed","Original"))</f>
        <v>Original</v>
      </c>
      <c r="T525" s="5" t="str">
        <f>IF($A525="","",IF($P525="","Missing",IF($P525=$N525+$O525,"OK","Mismatch")))</f>
        <v>OK</v>
      </c>
      <c r="U525" s="5" t="str">
        <f>IF($A525="","",IF(COUNTIF($A$2:$A525,$A525)&gt;1,"Duplicate","Unique"))</f>
        <v>Unique</v>
      </c>
      <c r="V525" s="5">
        <f>IF($A525="","",IF(AND($U525="Unique",ISNUMBER($P525)),1,0))</f>
        <v>1</v>
      </c>
      <c r="W525" s="5" t="str">
        <f>IF($A525="","",IF(OR($H525=0,$H525=6),"Weekend","Weekday"))</f>
        <v>Weekend</v>
      </c>
      <c r="X525" s="5" t="str">
        <f>IF($A525="","",TEXT($B525,"ddd"))</f>
        <v>Sun</v>
      </c>
      <c r="Y525" s="5" t="str">
        <f>IF($A525="","",TEXT($B525,"mmm"))</f>
        <v>Jan</v>
      </c>
      <c r="Z525" s="5" t="str">
        <f>IF($A525="","",IFERROR(VLOOKUP($C525,Lookups!$D$4:$E$7,2,FALSE),"Unknown"))</f>
        <v>Winter</v>
      </c>
      <c r="AA525" s="5" t="str">
        <f>IF($A525="","",IFERROR(VLOOKUP($I525,Lookups!$A$4:$B$7,2,FALSE),"Unknown"))</f>
        <v>Clear</v>
      </c>
      <c r="AB525" s="5" t="str">
        <f>IF($A525="","",TEXT($F525,"00")&amp;":00")</f>
        <v>22:00</v>
      </c>
      <c r="AC525" s="5" t="str">
        <f>IF($A525="","",VLOOKUP($F525,Lookups!$G$4:$H$8,2,TRUE))</f>
        <v>Late Evening (20-23)</v>
      </c>
      <c r="AD525" s="18">
        <f>IF($A525="","",IF($J525="","",ROUND($J525*41,1)))</f>
        <v>3.3</v>
      </c>
      <c r="AE525" s="18">
        <f>IF($A525="","",IF($R525="","",ROUND($R525*50,1)))</f>
        <v>4.5</v>
      </c>
      <c r="AF525" s="5">
        <f>IF($A525="","",IF($L525="","",ROUND($L525*100,0)))</f>
        <v>38</v>
      </c>
      <c r="AG525" s="18">
        <f>IF($A525="","",IF($M525="","",ROUND($M525*67,1)))</f>
        <v>13</v>
      </c>
      <c r="AH525" s="19">
        <f>IF($A525="","",IF($P525="","",IF($P525=0,0,$O525/$P525)))</f>
        <v>0.821428571428571</v>
      </c>
      <c r="AI525" s="5" t="str">
        <f>IF($A525="","",IF($P525="","",IF($P525&gt;=Lookups!$K$7,"High",IF($P525&lt;=Lookups!$K$8,"Low","Medium"))))</f>
        <v>Medium</v>
      </c>
      <c r="AJ525" s="5" t="str">
        <f>IF($A525="","",IF($AD525="","",IF($AD525&lt;5,"Under 5 C",IF($AD525&lt;10,"5-10 C",IF($AD525&lt;15,"10-15 C","15 C and above")))))</f>
        <v>Under 5 C</v>
      </c>
      <c r="AK525" s="5">
        <f>IF($A525="","",IF($P525="","",$P525^2))</f>
        <v>784</v>
      </c>
      <c r="AL525" s="18">
        <f>IF($V525&lt;&gt;1,"",AVERAGEIFS(Clean_Data!$P$2:$P$1001,Clean_Data!$F$2:$F$1001,$F525,Clean_Data!$W$2:$W$1001,$W525,Clean_Data!$V$2:$V$1001,1))</f>
        <v>30.8571428571429</v>
      </c>
      <c r="AM525" s="16">
        <f>IF($V525&lt;&gt;1,"",IFERROR(($P525-$AL525)/SQRT(MAX(0,(SUMIFS(Clean_Data!$AK$2:$AK$1001,Clean_Data!$F$2:$F$1001,$F525,Clean_Data!$W$2:$W$1001,$W525,Clean_Data!$V$2:$V$1001,1)-COUNTIFS(Clean_Data!$F$2:$F$1001,$F525,Clean_Data!$W$2:$W$1001,$W525,Clean_Data!$V$2:$V$1001,1)*$AL525^2)/(COUNTIFS(Clean_Data!$F$2:$F$1001,$F525,Clean_Data!$W$2:$W$1001,$W525,Clean_Data!$V$2:$V$1001,1)-1))),""))</f>
        <v>-0.211530232647737</v>
      </c>
      <c r="AN525" s="5" t="str">
        <f>IF($AM525="","",IF($AM525&gt;=Lookups!$K$6,"High spike",IF($AM525&lt;=-Lookups!$K$6,"Unusual low","Normal")))</f>
        <v>Normal</v>
      </c>
      <c r="AO525" s="20">
        <f>IF($V525&lt;&gt;1,"",$P525+ROW()/100000)</f>
        <v>28.00525</v>
      </c>
      <c r="AP525" s="5">
        <f>IF($A525="","",IFERROR(MATCH($A525,Raw_D1!$A$2:$A$1001,0),""))</f>
        <v>524</v>
      </c>
      <c r="AQ525" s="5">
        <f>IF($A525="","",IFERROR(MATCH($A525,Raw_D2!$B$2:$B$1001,0),""))</f>
        <v>524</v>
      </c>
      <c r="AR525" s="5">
        <f>IF($A525="","",IFERROR(MATCH($A525,Raw_D3!$A$2:$A$1001,0),""))</f>
        <v/>
      </c>
    </row>
    <row r="526" spans="1:44" x14ac:dyDescent="0.25">
      <c r="A526" s="5">
        <v>525</v>
      </c>
      <c r="B526" s="11">
        <f>IF($A526="","",IF($AP526&lt;&gt;"",INDEX(Raw_D1!$B$2:$B$1001,$AP526),IF($AR526&lt;&gt;"",INDEX(Raw_D3!$B$2:$B$1001,$AR526),"")))</f>
        <v>40566.0</v>
      </c>
      <c r="C526" s="5">
        <f>IF($A526="","",IF($AP526&lt;&gt;"",INDEX(Raw_D1!$C$2:$C$1001,$AP526),IF($AR526&lt;&gt;"",INDEX(Raw_D3!$C$2:$C$1001,$AR526),"")))</f>
        <v>1</v>
      </c>
      <c r="D526" s="5">
        <f>IF($A526="","",IF($AP526&lt;&gt;"",INDEX(Raw_D1!$D$2:$D$1001,$AP526),IF($AR526&lt;&gt;"",INDEX(Raw_D3!$D$2:$D$1001,$AR526),"")))</f>
        <v>0</v>
      </c>
      <c r="E526" s="5">
        <f>IF($A526="","",IF($AP526&lt;&gt;"",INDEX(Raw_D1!$E$2:$E$1001,$AP526),IF($AR526&lt;&gt;"",INDEX(Raw_D3!$E$2:$E$1001,$AR526),"")))</f>
        <v>1</v>
      </c>
      <c r="F526" s="5">
        <f>IF($A526="","",IF($AP526&lt;&gt;"",INDEX(Raw_D1!$F$2:$F$1001,$AP526),IF($AR526&lt;&gt;"",INDEX(Raw_D3!$F$2:$F$1001,$AR526),"")))</f>
        <v>23</v>
      </c>
      <c r="G526" s="5">
        <f>IF($A526="","",IF($AP526&lt;&gt;"",IF(INDEX(Raw_D1!$G$2:$G$1001,$AP526),1,0),IF($AR526&lt;&gt;"",IF(INDEX(Raw_D3!$G$2:$G$1001,$AR526),1,0),"")))</f>
        <v>0</v>
      </c>
      <c r="H526" s="5">
        <f>IF($A526="","",IF($AP526&lt;&gt;"",INDEX(Raw_D1!$H$2:$H$1001,$AP526),IF($AR526&lt;&gt;"",INDEX(Raw_D3!$H$2:$H$1001,$AR526),"")))</f>
        <v>0</v>
      </c>
      <c r="I526" s="5">
        <f>IF($A526="","",IF($AP526&lt;&gt;"",INDEX(Raw_D1!$I$2:$I$1001,$AP526),IF($AR526&lt;&gt;"",INDEX(Raw_D3!$I$2:$I$1001,$AR526),"")))</f>
        <v>1</v>
      </c>
      <c r="J526" s="16">
        <f>IF($A526="","",IF($AP526&lt;&gt;"",INDEX(Raw_D1!$J$2:$J$1001,$AP526),IF($AR526&lt;&gt;"",INDEX(Raw_D3!$J$2:$J$1001,$AR526),"")))</f>
        <v>0.06</v>
      </c>
      <c r="K526" s="17">
        <f>IF($A526="","",IF($AQ526&lt;&gt;"",IF(INDEX(Raw_D2!$C$2:$C$1001,$AQ526)="","",INDEX(Raw_D2!$C$2:$C$1001,$AQ526)),IF($AR526&lt;&gt;"",IF(INDEX(Raw_D3!$K$2:$K$1001,$AR526)="","",INDEX(Raw_D3!$K$2:$K$1001,$AR526)),"")))</f>
        <v>0.0606</v>
      </c>
      <c r="L526" s="16">
        <f>IF($A526="","",IF($AQ526&lt;&gt;"",IF(INDEX(Raw_D2!$D$2:$D$1001,$AQ526)="","",INDEX(Raw_D2!$D$2:$D$1001,$AQ526)),IF($AR526&lt;&gt;"",IF(INDEX(Raw_D3!$L$2:$L$1001,$AR526)="","",INDEX(Raw_D3!$L$2:$L$1001,$AR526)),"")))</f>
        <v>0.41</v>
      </c>
      <c r="M526" s="17">
        <f>IF($A526="","",IF($AQ526&lt;&gt;"",IF(INDEX(Raw_D2!$E$2:$E$1001,$AQ526)="","",INDEX(Raw_D2!$E$2:$E$1001,$AQ526)),IF($AR526&lt;&gt;"",IF(INDEX(Raw_D3!$M$2:$M$1001,$AR526)="","",INDEX(Raw_D3!$M$2:$M$1001,$AR526)),"")))</f>
        <v>0.2239</v>
      </c>
      <c r="N526" s="5">
        <f>IF($A526="","",IF($AQ526&lt;&gt;"",IF(INDEX(Raw_D2!$F$2:$F$1001,$AQ526)="","",INDEX(Raw_D2!$F$2:$F$1001,$AQ526)),IF($AR526&lt;&gt;"",IF(INDEX(Raw_D3!$N$2:$N$1001,$AR526)="","",INDEX(Raw_D3!$N$2:$N$1001,$AR526)),"")))</f>
        <v>4</v>
      </c>
      <c r="O526" s="5">
        <f>IF($A526="","",IF($AQ526&lt;&gt;"",IF(INDEX(Raw_D2!$G$2:$G$1001,$AQ526)="","",INDEX(Raw_D2!$G$2:$G$1001,$AQ526)),IF($AR526&lt;&gt;"",IF(INDEX(Raw_D3!$O$2:$O$1001,$AR526)="","",INDEX(Raw_D3!$O$2:$O$1001,$AR526)),"")))</f>
        <v>17</v>
      </c>
      <c r="P526" s="5">
        <f>IF($A526="","",IF($AQ526&lt;&gt;"",IF(INDEX(Raw_D2!$H$2:$H$1001,$AQ526)="","",INDEX(Raw_D2!$H$2:$H$1001,$AQ526)),IF($AR526&lt;&gt;"",IF(INDEX(Raw_D3!$P$2:$P$1001,$AR526)="","",INDEX(Raw_D3!$P$2:$P$1001,$AR526)),"")))</f>
        <v>21</v>
      </c>
      <c r="Q526" s="5" t="str">
        <f>IF($A526="","",IF(AND($AP526&lt;&gt;"",$AQ526&lt;&gt;""),"D1+D2",IF($AR526&lt;&gt;"","D3","Incomplete")))</f>
        <v>D1+D2</v>
      </c>
      <c r="R526" s="17">
        <f>IF($A526="","",IF($K526="",IF($J526="","",ROUND(Lookups!$K$5+Lookups!$K$4*$J526,4)),$K526))</f>
        <v>0.0606</v>
      </c>
      <c r="S526" s="5" t="str">
        <f>IF($A526="","",IF($K526="","Imputed","Original"))</f>
        <v>Original</v>
      </c>
      <c r="T526" s="5" t="str">
        <f>IF($A526="","",IF($P526="","Missing",IF($P526=$N526+$O526,"OK","Mismatch")))</f>
        <v>OK</v>
      </c>
      <c r="U526" s="5" t="str">
        <f>IF($A526="","",IF(COUNTIF($A$2:$A526,$A526)&gt;1,"Duplicate","Unique"))</f>
        <v>Unique</v>
      </c>
      <c r="V526" s="5">
        <f>IF($A526="","",IF(AND($U526="Unique",ISNUMBER($P526)),1,0))</f>
        <v>1</v>
      </c>
      <c r="W526" s="5" t="str">
        <f>IF($A526="","",IF(OR($H526=0,$H526=6),"Weekend","Weekday"))</f>
        <v>Weekend</v>
      </c>
      <c r="X526" s="5" t="str">
        <f>IF($A526="","",TEXT($B526,"ddd"))</f>
        <v>Sun</v>
      </c>
      <c r="Y526" s="5" t="str">
        <f>IF($A526="","",TEXT($B526,"mmm"))</f>
        <v>Jan</v>
      </c>
      <c r="Z526" s="5" t="str">
        <f>IF($A526="","",IFERROR(VLOOKUP($C526,Lookups!$D$4:$E$7,2,FALSE),"Unknown"))</f>
        <v>Winter</v>
      </c>
      <c r="AA526" s="5" t="str">
        <f>IF($A526="","",IFERROR(VLOOKUP($I526,Lookups!$A$4:$B$7,2,FALSE),"Unknown"))</f>
        <v>Clear</v>
      </c>
      <c r="AB526" s="5" t="str">
        <f>IF($A526="","",TEXT($F526,"00")&amp;":00")</f>
        <v>23:00</v>
      </c>
      <c r="AC526" s="5" t="str">
        <f>IF($A526="","",VLOOKUP($F526,Lookups!$G$4:$H$8,2,TRUE))</f>
        <v>Late Evening (20-23)</v>
      </c>
      <c r="AD526" s="18">
        <f>IF($A526="","",IF($J526="","",ROUND($J526*41,1)))</f>
        <v>2.5</v>
      </c>
      <c r="AE526" s="18">
        <f>IF($A526="","",IF($R526="","",ROUND($R526*50,1)))</f>
        <v>3</v>
      </c>
      <c r="AF526" s="5">
        <f>IF($A526="","",IF($L526="","",ROUND($L526*100,0)))</f>
        <v>41</v>
      </c>
      <c r="AG526" s="18">
        <f>IF($A526="","",IF($M526="","",ROUND($M526*67,1)))</f>
        <v>15</v>
      </c>
      <c r="AH526" s="19">
        <f>IF($A526="","",IF($P526="","",IF($P526=0,0,$O526/$P526)))</f>
        <v>0.80952380952381</v>
      </c>
      <c r="AI526" s="5" t="str">
        <f>IF($A526="","",IF($P526="","",IF($P526&gt;=Lookups!$K$7,"High",IF($P526&lt;=Lookups!$K$8,"Low","Medium"))))</f>
        <v>Medium</v>
      </c>
      <c r="AJ526" s="5" t="str">
        <f>IF($A526="","",IF($AD526="","",IF($AD526&lt;5,"Under 5 C",IF($AD526&lt;10,"5-10 C",IF($AD526&lt;15,"10-15 C","15 C and above")))))</f>
        <v>Under 5 C</v>
      </c>
      <c r="AK526" s="5">
        <f>IF($A526="","",IF($P526="","",$P526^2))</f>
        <v>441</v>
      </c>
      <c r="AL526" s="18">
        <f>IF($V526&lt;&gt;1,"",AVERAGEIFS(Clean_Data!$P$2:$P$1001,Clean_Data!$F$2:$F$1001,$F526,Clean_Data!$W$2:$W$1001,$W526,Clean_Data!$V$2:$V$1001,1))</f>
        <v>28.2857142857143</v>
      </c>
      <c r="AM526" s="16">
        <f>IF($V526&lt;&gt;1,"",IFERROR(($P526-$AL526)/SQRT(MAX(0,(SUMIFS(Clean_Data!$AK$2:$AK$1001,Clean_Data!$F$2:$F$1001,$F526,Clean_Data!$W$2:$W$1001,$W526,Clean_Data!$V$2:$V$1001,1)-COUNTIFS(Clean_Data!$F$2:$F$1001,$F526,Clean_Data!$W$2:$W$1001,$W526,Clean_Data!$V$2:$V$1001,1)*$AL526^2)/(COUNTIFS(Clean_Data!$F$2:$F$1001,$F526,Clean_Data!$W$2:$W$1001,$W526,Clean_Data!$V$2:$V$1001,1)-1))),""))</f>
        <v>-0.52237413383876</v>
      </c>
      <c r="AN526" s="5" t="str">
        <f>IF($AM526="","",IF($AM526&gt;=Lookups!$K$6,"High spike",IF($AM526&lt;=-Lookups!$K$6,"Unusual low","Normal")))</f>
        <v>Normal</v>
      </c>
      <c r="AO526" s="20">
        <f>IF($V526&lt;&gt;1,"",$P526+ROW()/100000)</f>
        <v>21.00526</v>
      </c>
      <c r="AP526" s="5">
        <f>IF($A526="","",IFERROR(MATCH($A526,Raw_D1!$A$2:$A$1001,0),""))</f>
        <v>525</v>
      </c>
      <c r="AQ526" s="5">
        <f>IF($A526="","",IFERROR(MATCH($A526,Raw_D2!$B$2:$B$1001,0),""))</f>
        <v>525</v>
      </c>
      <c r="AR526" s="5">
        <f>IF($A526="","",IFERROR(MATCH($A526,Raw_D3!$A$2:$A$1001,0),""))</f>
        <v/>
      </c>
    </row>
    <row r="527" spans="1:44" x14ac:dyDescent="0.25">
      <c r="A527" s="5">
        <v>526</v>
      </c>
      <c r="B527" s="11">
        <f>IF($A527="","",IF($AP527&lt;&gt;"",INDEX(Raw_D1!$B$2:$B$1001,$AP527),IF($AR527&lt;&gt;"",INDEX(Raw_D3!$B$2:$B$1001,$AR527),"")))</f>
        <v>40567.0</v>
      </c>
      <c r="C527" s="5">
        <f>IF($A527="","",IF($AP527&lt;&gt;"",INDEX(Raw_D1!$C$2:$C$1001,$AP527),IF($AR527&lt;&gt;"",INDEX(Raw_D3!$C$2:$C$1001,$AR527),"")))</f>
        <v>1</v>
      </c>
      <c r="D527" s="5">
        <f>IF($A527="","",IF($AP527&lt;&gt;"",INDEX(Raw_D1!$D$2:$D$1001,$AP527),IF($AR527&lt;&gt;"",INDEX(Raw_D3!$D$2:$D$1001,$AR527),"")))</f>
        <v>0</v>
      </c>
      <c r="E527" s="5">
        <f>IF($A527="","",IF($AP527&lt;&gt;"",INDEX(Raw_D1!$E$2:$E$1001,$AP527),IF($AR527&lt;&gt;"",INDEX(Raw_D3!$E$2:$E$1001,$AR527),"")))</f>
        <v>1</v>
      </c>
      <c r="F527" s="5">
        <f>IF($A527="","",IF($AP527&lt;&gt;"",INDEX(Raw_D1!$F$2:$F$1001,$AP527),IF($AR527&lt;&gt;"",INDEX(Raw_D3!$F$2:$F$1001,$AR527),"")))</f>
        <v>0</v>
      </c>
      <c r="G527" s="5">
        <f>IF($A527="","",IF($AP527&lt;&gt;"",IF(INDEX(Raw_D1!$G$2:$G$1001,$AP527),1,0),IF($AR527&lt;&gt;"",IF(INDEX(Raw_D3!$G$2:$G$1001,$AR527),1,0),"")))</f>
        <v>0</v>
      </c>
      <c r="H527" s="5">
        <f>IF($A527="","",IF($AP527&lt;&gt;"",INDEX(Raw_D1!$H$2:$H$1001,$AP527),IF($AR527&lt;&gt;"",INDEX(Raw_D3!$H$2:$H$1001,$AR527),"")))</f>
        <v>1</v>
      </c>
      <c r="I527" s="5">
        <f>IF($A527="","",IF($AP527&lt;&gt;"",INDEX(Raw_D1!$I$2:$I$1001,$AP527),IF($AR527&lt;&gt;"",INDEX(Raw_D3!$I$2:$I$1001,$AR527),"")))</f>
        <v>1</v>
      </c>
      <c r="J527" s="16">
        <f>IF($A527="","",IF($AP527&lt;&gt;"",INDEX(Raw_D1!$J$2:$J$1001,$AP527),IF($AR527&lt;&gt;"",INDEX(Raw_D3!$J$2:$J$1001,$AR527),"")))</f>
        <v>0.06</v>
      </c>
      <c r="K527" s="17">
        <f>IF($A527="","",IF($AQ527&lt;&gt;"",IF(INDEX(Raw_D2!$C$2:$C$1001,$AQ527)="","",INDEX(Raw_D2!$C$2:$C$1001,$AQ527)),IF($AR527&lt;&gt;"",IF(INDEX(Raw_D3!$K$2:$K$1001,$AR527)="","",INDEX(Raw_D3!$K$2:$K$1001,$AR527)),"")))</f>
        <v>0.0606</v>
      </c>
      <c r="L527" s="16">
        <f>IF($A527="","",IF($AQ527&lt;&gt;"",IF(INDEX(Raw_D2!$D$2:$D$1001,$AQ527)="","",INDEX(Raw_D2!$D$2:$D$1001,$AQ527)),IF($AR527&lt;&gt;"",IF(INDEX(Raw_D3!$L$2:$L$1001,$AR527)="","",INDEX(Raw_D3!$L$2:$L$1001,$AR527)),"")))</f>
        <v>0.41</v>
      </c>
      <c r="M527" s="17">
        <f>IF($A527="","",IF($AQ527&lt;&gt;"",IF(INDEX(Raw_D2!$E$2:$E$1001,$AQ527)="","",INDEX(Raw_D2!$E$2:$E$1001,$AQ527)),IF($AR527&lt;&gt;"",IF(INDEX(Raw_D3!$M$2:$M$1001,$AR527)="","",INDEX(Raw_D3!$M$2:$M$1001,$AR527)),"")))</f>
        <v>0.194</v>
      </c>
      <c r="N527" s="5">
        <f>IF($A527="","",IF($AQ527&lt;&gt;"",IF(INDEX(Raw_D2!$F$2:$F$1001,$AQ527)="","",INDEX(Raw_D2!$F$2:$F$1001,$AQ527)),IF($AR527&lt;&gt;"",IF(INDEX(Raw_D3!$N$2:$N$1001,$AR527)="","",INDEX(Raw_D3!$N$2:$N$1001,$AR527)),"")))</f>
        <v>0</v>
      </c>
      <c r="O527" s="5">
        <f>IF($A527="","",IF($AQ527&lt;&gt;"",IF(INDEX(Raw_D2!$G$2:$G$1001,$AQ527)="","",INDEX(Raw_D2!$G$2:$G$1001,$AQ527)),IF($AR527&lt;&gt;"",IF(INDEX(Raw_D3!$O$2:$O$1001,$AR527)="","",INDEX(Raw_D3!$O$2:$O$1001,$AR527)),"")))</f>
        <v>7</v>
      </c>
      <c r="P527" s="5">
        <f>IF($A527="","",IF($AQ527&lt;&gt;"",IF(INDEX(Raw_D2!$H$2:$H$1001,$AQ527)="","",INDEX(Raw_D2!$H$2:$H$1001,$AQ527)),IF($AR527&lt;&gt;"",IF(INDEX(Raw_D3!$P$2:$P$1001,$AR527)="","",INDEX(Raw_D3!$P$2:$P$1001,$AR527)),"")))</f>
        <v>7</v>
      </c>
      <c r="Q527" s="5" t="str">
        <f>IF($A527="","",IF(AND($AP527&lt;&gt;"",$AQ527&lt;&gt;""),"D1+D2",IF($AR527&lt;&gt;"","D3","Incomplete")))</f>
        <v>D1+D2</v>
      </c>
      <c r="R527" s="17">
        <f>IF($A527="","",IF($K527="",IF($J527="","",ROUND(Lookups!$K$5+Lookups!$K$4*$J527,4)),$K527))</f>
        <v>0.0606</v>
      </c>
      <c r="S527" s="5" t="str">
        <f>IF($A527="","",IF($K527="","Imputed","Original"))</f>
        <v>Original</v>
      </c>
      <c r="T527" s="5" t="str">
        <f>IF($A527="","",IF($P527="","Missing",IF($P527=$N527+$O527,"OK","Mismatch")))</f>
        <v>OK</v>
      </c>
      <c r="U527" s="5" t="str">
        <f>IF($A527="","",IF(COUNTIF($A$2:$A527,$A527)&gt;1,"Duplicate","Unique"))</f>
        <v>Unique</v>
      </c>
      <c r="V527" s="5">
        <f>IF($A527="","",IF(AND($U527="Unique",ISNUMBER($P527)),1,0))</f>
        <v>1</v>
      </c>
      <c r="W527" s="5" t="str">
        <f>IF($A527="","",IF(OR($H527=0,$H527=6),"Weekend","Weekday"))</f>
        <v>Weekday</v>
      </c>
      <c r="X527" s="5" t="str">
        <f>IF($A527="","",TEXT($B527,"ddd"))</f>
        <v>Mon</v>
      </c>
      <c r="Y527" s="5" t="str">
        <f>IF($A527="","",TEXT($B527,"mmm"))</f>
        <v>Jan</v>
      </c>
      <c r="Z527" s="5" t="str">
        <f>IF($A527="","",IFERROR(VLOOKUP($C527,Lookups!$D$4:$E$7,2,FALSE),"Unknown"))</f>
        <v>Winter</v>
      </c>
      <c r="AA527" s="5" t="str">
        <f>IF($A527="","",IFERROR(VLOOKUP($I527,Lookups!$A$4:$B$7,2,FALSE),"Unknown"))</f>
        <v>Clear</v>
      </c>
      <c r="AB527" s="5" t="str">
        <f>IF($A527="","",TEXT($F527,"00")&amp;":00")</f>
        <v>00:00</v>
      </c>
      <c r="AC527" s="5" t="str">
        <f>IF($A527="","",VLOOKUP($F527,Lookups!$G$4:$H$8,2,TRUE))</f>
        <v>Night (00-05)</v>
      </c>
      <c r="AD527" s="18">
        <f>IF($A527="","",IF($J527="","",ROUND($J527*41,1)))</f>
        <v>2.5</v>
      </c>
      <c r="AE527" s="18">
        <f>IF($A527="","",IF($R527="","",ROUND($R527*50,1)))</f>
        <v>3</v>
      </c>
      <c r="AF527" s="5">
        <f>IF($A527="","",IF($L527="","",ROUND($L527*100,0)))</f>
        <v>41</v>
      </c>
      <c r="AG527" s="18">
        <f>IF($A527="","",IF($M527="","",ROUND($M527*67,1)))</f>
        <v>13</v>
      </c>
      <c r="AH527" s="19">
        <f>IF($A527="","",IF($P527="","",IF($P527=0,0,$O527/$P527)))</f>
        <v>1</v>
      </c>
      <c r="AI527" s="5" t="str">
        <f>IF($A527="","",IF($P527="","",IF($P527&gt;=Lookups!$K$7,"High",IF($P527&lt;=Lookups!$K$8,"Low","Medium"))))</f>
        <v>Low</v>
      </c>
      <c r="AJ527" s="5" t="str">
        <f>IF($A527="","",IF($AD527="","",IF($AD527&lt;5,"Under 5 C",IF($AD527&lt;10,"5-10 C",IF($AD527&lt;15,"10-15 C","15 C and above")))))</f>
        <v>Under 5 C</v>
      </c>
      <c r="AK527" s="5">
        <f>IF($A527="","",IF($P527="","",$P527^2))</f>
        <v>49</v>
      </c>
      <c r="AL527" s="18">
        <f>IF($V527&lt;&gt;1,"",AVERAGEIFS(Clean_Data!$P$2:$P$1001,Clean_Data!$F$2:$F$1001,$F527,Clean_Data!$W$2:$W$1001,$W527,Clean_Data!$V$2:$V$1001,1))</f>
        <v>10.6896551724138</v>
      </c>
      <c r="AM527" s="16">
        <f>IF($V527&lt;&gt;1,"",IFERROR(($P527-$AL527)/SQRT(MAX(0,(SUMIFS(Clean_Data!$AK$2:$AK$1001,Clean_Data!$F$2:$F$1001,$F527,Clean_Data!$W$2:$W$1001,$W527,Clean_Data!$V$2:$V$1001,1)-COUNTIFS(Clean_Data!$F$2:$F$1001,$F527,Clean_Data!$W$2:$W$1001,$W527,Clean_Data!$V$2:$V$1001,1)*$AL527^2)/(COUNTIFS(Clean_Data!$F$2:$F$1001,$F527,Clean_Data!$W$2:$W$1001,$W527,Clean_Data!$V$2:$V$1001,1)-1))),""))</f>
        <v>-0.754154538911626</v>
      </c>
      <c r="AN527" s="5" t="str">
        <f>IF($AM527="","",IF($AM527&gt;=Lookups!$K$6,"High spike",IF($AM527&lt;=-Lookups!$K$6,"Unusual low","Normal")))</f>
        <v>Normal</v>
      </c>
      <c r="AO527" s="20">
        <f>IF($V527&lt;&gt;1,"",$P527+ROW()/100000)</f>
        <v>7.00527</v>
      </c>
      <c r="AP527" s="5">
        <f>IF($A527="","",IFERROR(MATCH($A527,Raw_D1!$A$2:$A$1001,0),""))</f>
        <v>526</v>
      </c>
      <c r="AQ527" s="5">
        <f>IF($A527="","",IFERROR(MATCH($A527,Raw_D2!$B$2:$B$1001,0),""))</f>
        <v>526</v>
      </c>
      <c r="AR527" s="5">
        <f>IF($A527="","",IFERROR(MATCH($A527,Raw_D3!$A$2:$A$1001,0),""))</f>
        <v/>
      </c>
    </row>
    <row r="528" spans="1:44" x14ac:dyDescent="0.25">
      <c r="A528" s="5">
        <v>527</v>
      </c>
      <c r="B528" s="11">
        <f>IF($A528="","",IF($AP528&lt;&gt;"",INDEX(Raw_D1!$B$2:$B$1001,$AP528),IF($AR528&lt;&gt;"",INDEX(Raw_D3!$B$2:$B$1001,$AR528),"")))</f>
        <v>40567.0</v>
      </c>
      <c r="C528" s="5">
        <f>IF($A528="","",IF($AP528&lt;&gt;"",INDEX(Raw_D1!$C$2:$C$1001,$AP528),IF($AR528&lt;&gt;"",INDEX(Raw_D3!$C$2:$C$1001,$AR528),"")))</f>
        <v>1</v>
      </c>
      <c r="D528" s="5">
        <f>IF($A528="","",IF($AP528&lt;&gt;"",INDEX(Raw_D1!$D$2:$D$1001,$AP528),IF($AR528&lt;&gt;"",INDEX(Raw_D3!$D$2:$D$1001,$AR528),"")))</f>
        <v>0</v>
      </c>
      <c r="E528" s="5">
        <f>IF($A528="","",IF($AP528&lt;&gt;"",INDEX(Raw_D1!$E$2:$E$1001,$AP528),IF($AR528&lt;&gt;"",INDEX(Raw_D3!$E$2:$E$1001,$AR528),"")))</f>
        <v>1</v>
      </c>
      <c r="F528" s="5">
        <f>IF($A528="","",IF($AP528&lt;&gt;"",INDEX(Raw_D1!$F$2:$F$1001,$AP528),IF($AR528&lt;&gt;"",INDEX(Raw_D3!$F$2:$F$1001,$AR528),"")))</f>
        <v>1</v>
      </c>
      <c r="G528" s="5">
        <f>IF($A528="","",IF($AP528&lt;&gt;"",IF(INDEX(Raw_D1!$G$2:$G$1001,$AP528),1,0),IF($AR528&lt;&gt;"",IF(INDEX(Raw_D3!$G$2:$G$1001,$AR528),1,0),"")))</f>
        <v>0</v>
      </c>
      <c r="H528" s="5">
        <f>IF($A528="","",IF($AP528&lt;&gt;"",INDEX(Raw_D1!$H$2:$H$1001,$AP528),IF($AR528&lt;&gt;"",INDEX(Raw_D3!$H$2:$H$1001,$AR528),"")))</f>
        <v>1</v>
      </c>
      <c r="I528" s="5">
        <f>IF($A528="","",IF($AP528&lt;&gt;"",INDEX(Raw_D1!$I$2:$I$1001,$AP528),IF($AR528&lt;&gt;"",INDEX(Raw_D3!$I$2:$I$1001,$AR528),"")))</f>
        <v>1</v>
      </c>
      <c r="J528" s="16">
        <f>IF($A528="","",IF($AP528&lt;&gt;"",INDEX(Raw_D1!$J$2:$J$1001,$AP528),IF($AR528&lt;&gt;"",INDEX(Raw_D3!$J$2:$J$1001,$AR528),"")))</f>
        <v>0.04</v>
      </c>
      <c r="K528" s="17">
        <f>IF($A528="","",IF($AQ528&lt;&gt;"",IF(INDEX(Raw_D2!$C$2:$C$1001,$AQ528)="","",INDEX(Raw_D2!$C$2:$C$1001,$AQ528)),IF($AR528&lt;&gt;"",IF(INDEX(Raw_D3!$K$2:$K$1001,$AR528)="","",INDEX(Raw_D3!$K$2:$K$1001,$AR528)),"")))</f>
        <v>0.0455</v>
      </c>
      <c r="L528" s="16">
        <f>IF($A528="","",IF($AQ528&lt;&gt;"",IF(INDEX(Raw_D2!$D$2:$D$1001,$AQ528)="","",INDEX(Raw_D2!$D$2:$D$1001,$AQ528)),IF($AR528&lt;&gt;"",IF(INDEX(Raw_D3!$L$2:$L$1001,$AR528)="","",INDEX(Raw_D3!$L$2:$L$1001,$AR528)),"")))</f>
        <v>0.45</v>
      </c>
      <c r="M528" s="17">
        <f>IF($A528="","",IF($AQ528&lt;&gt;"",IF(INDEX(Raw_D2!$E$2:$E$1001,$AQ528)="","",INDEX(Raw_D2!$E$2:$E$1001,$AQ528)),IF($AR528&lt;&gt;"",IF(INDEX(Raw_D3!$M$2:$M$1001,$AR528)="","",INDEX(Raw_D3!$M$2:$M$1001,$AR528)),"")))</f>
        <v>0.194</v>
      </c>
      <c r="N528" s="5">
        <f>IF($A528="","",IF($AQ528&lt;&gt;"",IF(INDEX(Raw_D2!$F$2:$F$1001,$AQ528)="","",INDEX(Raw_D2!$F$2:$F$1001,$AQ528)),IF($AR528&lt;&gt;"",IF(INDEX(Raw_D3!$N$2:$N$1001,$AR528)="","",INDEX(Raw_D3!$N$2:$N$1001,$AR528)),"")))</f>
        <v>0</v>
      </c>
      <c r="O528" s="5">
        <f>IF($A528="","",IF($AQ528&lt;&gt;"",IF(INDEX(Raw_D2!$G$2:$G$1001,$AQ528)="","",INDEX(Raw_D2!$G$2:$G$1001,$AQ528)),IF($AR528&lt;&gt;"",IF(INDEX(Raw_D3!$O$2:$O$1001,$AR528)="","",INDEX(Raw_D3!$O$2:$O$1001,$AR528)),"")))</f>
        <v>1</v>
      </c>
      <c r="P528" s="5">
        <f>IF($A528="","",IF($AQ528&lt;&gt;"",IF(INDEX(Raw_D2!$H$2:$H$1001,$AQ528)="","",INDEX(Raw_D2!$H$2:$H$1001,$AQ528)),IF($AR528&lt;&gt;"",IF(INDEX(Raw_D3!$P$2:$P$1001,$AR528)="","",INDEX(Raw_D3!$P$2:$P$1001,$AR528)),"")))</f>
        <v>1</v>
      </c>
      <c r="Q528" s="5" t="str">
        <f>IF($A528="","",IF(AND($AP528&lt;&gt;"",$AQ528&lt;&gt;""),"D1+D2",IF($AR528&lt;&gt;"","D3","Incomplete")))</f>
        <v>D1+D2</v>
      </c>
      <c r="R528" s="17">
        <f>IF($A528="","",IF($K528="",IF($J528="","",ROUND(Lookups!$K$5+Lookups!$K$4*$J528,4)),$K528))</f>
        <v>0.0455</v>
      </c>
      <c r="S528" s="5" t="str">
        <f>IF($A528="","",IF($K528="","Imputed","Original"))</f>
        <v>Original</v>
      </c>
      <c r="T528" s="5" t="str">
        <f>IF($A528="","",IF($P528="","Missing",IF($P528=$N528+$O528,"OK","Mismatch")))</f>
        <v>OK</v>
      </c>
      <c r="U528" s="5" t="str">
        <f>IF($A528="","",IF(COUNTIF($A$2:$A528,$A528)&gt;1,"Duplicate","Unique"))</f>
        <v>Unique</v>
      </c>
      <c r="V528" s="5">
        <f>IF($A528="","",IF(AND($U528="Unique",ISNUMBER($P528)),1,0))</f>
        <v>1</v>
      </c>
      <c r="W528" s="5" t="str">
        <f>IF($A528="","",IF(OR($H528=0,$H528=6),"Weekend","Weekday"))</f>
        <v>Weekday</v>
      </c>
      <c r="X528" s="5" t="str">
        <f>IF($A528="","",TEXT($B528,"ddd"))</f>
        <v>Mon</v>
      </c>
      <c r="Y528" s="5" t="str">
        <f>IF($A528="","",TEXT($B528,"mmm"))</f>
        <v>Jan</v>
      </c>
      <c r="Z528" s="5" t="str">
        <f>IF($A528="","",IFERROR(VLOOKUP($C528,Lookups!$D$4:$E$7,2,FALSE),"Unknown"))</f>
        <v>Winter</v>
      </c>
      <c r="AA528" s="5" t="str">
        <f>IF($A528="","",IFERROR(VLOOKUP($I528,Lookups!$A$4:$B$7,2,FALSE),"Unknown"))</f>
        <v>Clear</v>
      </c>
      <c r="AB528" s="5" t="str">
        <f>IF($A528="","",TEXT($F528,"00")&amp;":00")</f>
        <v>01:00</v>
      </c>
      <c r="AC528" s="5" t="str">
        <f>IF($A528="","",VLOOKUP($F528,Lookups!$G$4:$H$8,2,TRUE))</f>
        <v>Night (00-05)</v>
      </c>
      <c r="AD528" s="18">
        <f>IF($A528="","",IF($J528="","",ROUND($J528*41,1)))</f>
        <v>1.6</v>
      </c>
      <c r="AE528" s="18">
        <f>IF($A528="","",IF($R528="","",ROUND($R528*50,1)))</f>
        <v>2.3</v>
      </c>
      <c r="AF528" s="5">
        <f>IF($A528="","",IF($L528="","",ROUND($L528*100,0)))</f>
        <v>45</v>
      </c>
      <c r="AG528" s="18">
        <f>IF($A528="","",IF($M528="","",ROUND($M528*67,1)))</f>
        <v>13</v>
      </c>
      <c r="AH528" s="19">
        <f>IF($A528="","",IF($P528="","",IF($P528=0,0,$O528/$P528)))</f>
        <v>1</v>
      </c>
      <c r="AI528" s="5" t="str">
        <f>IF($A528="","",IF($P528="","",IF($P528&gt;=Lookups!$K$7,"High",IF($P528&lt;=Lookups!$K$8,"Low","Medium"))))</f>
        <v>Low</v>
      </c>
      <c r="AJ528" s="5" t="str">
        <f>IF($A528="","",IF($AD528="","",IF($AD528&lt;5,"Under 5 C",IF($AD528&lt;10,"5-10 C",IF($AD528&lt;15,"10-15 C","15 C and above")))))</f>
        <v>Under 5 C</v>
      </c>
      <c r="AK528" s="5">
        <f>IF($A528="","",IF($P528="","",$P528^2))</f>
        <v>1</v>
      </c>
      <c r="AL528" s="18">
        <f>IF($V528&lt;&gt;1,"",AVERAGEIFS(Clean_Data!$P$2:$P$1001,Clean_Data!$F$2:$F$1001,$F528,Clean_Data!$W$2:$W$1001,$W528,Clean_Data!$V$2:$V$1001,1))</f>
        <v>5.10344827586207</v>
      </c>
      <c r="AM528" s="16">
        <f>IF($V528&lt;&gt;1,"",IFERROR(($P528-$AL528)/SQRT(MAX(0,(SUMIFS(Clean_Data!$AK$2:$AK$1001,Clean_Data!$F$2:$F$1001,$F528,Clean_Data!$W$2:$W$1001,$W528,Clean_Data!$V$2:$V$1001,1)-COUNTIFS(Clean_Data!$F$2:$F$1001,$F528,Clean_Data!$W$2:$W$1001,$W528,Clean_Data!$V$2:$V$1001,1)*$AL528^2)/(COUNTIFS(Clean_Data!$F$2:$F$1001,$F528,Clean_Data!$W$2:$W$1001,$W528,Clean_Data!$V$2:$V$1001,1)-1))),""))</f>
        <v>-1.42344090268405</v>
      </c>
      <c r="AN528" s="5" t="str">
        <f>IF($AM528="","",IF($AM528&gt;=Lookups!$K$6,"High spike",IF($AM528&lt;=-Lookups!$K$6,"Unusual low","Normal")))</f>
        <v>Normal</v>
      </c>
      <c r="AO528" s="20">
        <f>IF($V528&lt;&gt;1,"",$P528+ROW()/100000)</f>
        <v>1.00528</v>
      </c>
      <c r="AP528" s="5">
        <f>IF($A528="","",IFERROR(MATCH($A528,Raw_D1!$A$2:$A$1001,0),""))</f>
        <v>527</v>
      </c>
      <c r="AQ528" s="5">
        <f>IF($A528="","",IFERROR(MATCH($A528,Raw_D2!$B$2:$B$1001,0),""))</f>
        <v>527</v>
      </c>
      <c r="AR528" s="5">
        <f>IF($A528="","",IFERROR(MATCH($A528,Raw_D3!$A$2:$A$1001,0),""))</f>
        <v/>
      </c>
    </row>
    <row r="529" spans="1:44" x14ac:dyDescent="0.25">
      <c r="A529" s="5">
        <v>528</v>
      </c>
      <c r="B529" s="11">
        <f>IF($A529="","",IF($AP529&lt;&gt;"",INDEX(Raw_D1!$B$2:$B$1001,$AP529),IF($AR529&lt;&gt;"",INDEX(Raw_D3!$B$2:$B$1001,$AR529),"")))</f>
        <v>40567.0</v>
      </c>
      <c r="C529" s="5">
        <f>IF($A529="","",IF($AP529&lt;&gt;"",INDEX(Raw_D1!$C$2:$C$1001,$AP529),IF($AR529&lt;&gt;"",INDEX(Raw_D3!$C$2:$C$1001,$AR529),"")))</f>
        <v>1</v>
      </c>
      <c r="D529" s="5">
        <f>IF($A529="","",IF($AP529&lt;&gt;"",INDEX(Raw_D1!$D$2:$D$1001,$AP529),IF($AR529&lt;&gt;"",INDEX(Raw_D3!$D$2:$D$1001,$AR529),"")))</f>
        <v>0</v>
      </c>
      <c r="E529" s="5">
        <f>IF($A529="","",IF($AP529&lt;&gt;"",INDEX(Raw_D1!$E$2:$E$1001,$AP529),IF($AR529&lt;&gt;"",INDEX(Raw_D3!$E$2:$E$1001,$AR529),"")))</f>
        <v>1</v>
      </c>
      <c r="F529" s="5">
        <f>IF($A529="","",IF($AP529&lt;&gt;"",INDEX(Raw_D1!$F$2:$F$1001,$AP529),IF($AR529&lt;&gt;"",INDEX(Raw_D3!$F$2:$F$1001,$AR529),"")))</f>
        <v>3</v>
      </c>
      <c r="G529" s="5">
        <f>IF($A529="","",IF($AP529&lt;&gt;"",IF(INDEX(Raw_D1!$G$2:$G$1001,$AP529),1,0),IF($AR529&lt;&gt;"",IF(INDEX(Raw_D3!$G$2:$G$1001,$AR529),1,0),"")))</f>
        <v>0</v>
      </c>
      <c r="H529" s="5">
        <f>IF($A529="","",IF($AP529&lt;&gt;"",INDEX(Raw_D1!$H$2:$H$1001,$AP529),IF($AR529&lt;&gt;"",INDEX(Raw_D3!$H$2:$H$1001,$AR529),"")))</f>
        <v>1</v>
      </c>
      <c r="I529" s="5">
        <f>IF($A529="","",IF($AP529&lt;&gt;"",INDEX(Raw_D1!$I$2:$I$1001,$AP529),IF($AR529&lt;&gt;"",INDEX(Raw_D3!$I$2:$I$1001,$AR529),"")))</f>
        <v>1</v>
      </c>
      <c r="J529" s="16">
        <f>IF($A529="","",IF($AP529&lt;&gt;"",INDEX(Raw_D1!$J$2:$J$1001,$AP529),IF($AR529&lt;&gt;"",INDEX(Raw_D3!$J$2:$J$1001,$AR529),"")))</f>
        <v>0.04</v>
      </c>
      <c r="K529" s="17">
        <f>IF($A529="","",IF($AQ529&lt;&gt;"",IF(INDEX(Raw_D2!$C$2:$C$1001,$AQ529)="","",INDEX(Raw_D2!$C$2:$C$1001,$AQ529)),IF($AR529&lt;&gt;"",IF(INDEX(Raw_D3!$K$2:$K$1001,$AR529)="","",INDEX(Raw_D3!$K$2:$K$1001,$AR529)),"")))</f>
        <v>0.0303</v>
      </c>
      <c r="L529" s="16">
        <f>IF($A529="","",IF($AQ529&lt;&gt;"",IF(INDEX(Raw_D2!$D$2:$D$1001,$AQ529)="","",INDEX(Raw_D2!$D$2:$D$1001,$AQ529)),IF($AR529&lt;&gt;"",IF(INDEX(Raw_D3!$L$2:$L$1001,$AR529)="","",INDEX(Raw_D3!$L$2:$L$1001,$AR529)),"")))</f>
        <v>0.45</v>
      </c>
      <c r="M529" s="17">
        <f>IF($A529="","",IF($AQ529&lt;&gt;"",IF(INDEX(Raw_D2!$E$2:$E$1001,$AQ529)="","",INDEX(Raw_D2!$E$2:$E$1001,$AQ529)),IF($AR529&lt;&gt;"",IF(INDEX(Raw_D3!$M$2:$M$1001,$AR529)="","",INDEX(Raw_D3!$M$2:$M$1001,$AR529)),"")))</f>
        <v>0.2537</v>
      </c>
      <c r="N529" s="5">
        <f>IF($A529="","",IF($AQ529&lt;&gt;"",IF(INDEX(Raw_D2!$F$2:$F$1001,$AQ529)="","",INDEX(Raw_D2!$F$2:$F$1001,$AQ529)),IF($AR529&lt;&gt;"",IF(INDEX(Raw_D3!$N$2:$N$1001,$AR529)="","",INDEX(Raw_D3!$N$2:$N$1001,$AR529)),"")))</f>
        <v>0</v>
      </c>
      <c r="O529" s="5">
        <f>IF($A529="","",IF($AQ529&lt;&gt;"",IF(INDEX(Raw_D2!$G$2:$G$1001,$AQ529)="","",INDEX(Raw_D2!$G$2:$G$1001,$AQ529)),IF($AR529&lt;&gt;"",IF(INDEX(Raw_D3!$O$2:$O$1001,$AR529)="","",INDEX(Raw_D3!$O$2:$O$1001,$AR529)),"")))</f>
        <v>1</v>
      </c>
      <c r="P529" s="5">
        <f>IF($A529="","",IF($AQ529&lt;&gt;"",IF(INDEX(Raw_D2!$H$2:$H$1001,$AQ529)="","",INDEX(Raw_D2!$H$2:$H$1001,$AQ529)),IF($AR529&lt;&gt;"",IF(INDEX(Raw_D3!$P$2:$P$1001,$AR529)="","",INDEX(Raw_D3!$P$2:$P$1001,$AR529)),"")))</f>
        <v>1</v>
      </c>
      <c r="Q529" s="5" t="str">
        <f>IF($A529="","",IF(AND($AP529&lt;&gt;"",$AQ529&lt;&gt;""),"D1+D2",IF($AR529&lt;&gt;"","D3","Incomplete")))</f>
        <v>D1+D2</v>
      </c>
      <c r="R529" s="17">
        <f>IF($A529="","",IF($K529="",IF($J529="","",ROUND(Lookups!$K$5+Lookups!$K$4*$J529,4)),$K529))</f>
        <v>0.0303</v>
      </c>
      <c r="S529" s="5" t="str">
        <f>IF($A529="","",IF($K529="","Imputed","Original"))</f>
        <v>Original</v>
      </c>
      <c r="T529" s="5" t="str">
        <f>IF($A529="","",IF($P529="","Missing",IF($P529=$N529+$O529,"OK","Mismatch")))</f>
        <v>OK</v>
      </c>
      <c r="U529" s="5" t="str">
        <f>IF($A529="","",IF(COUNTIF($A$2:$A529,$A529)&gt;1,"Duplicate","Unique"))</f>
        <v>Unique</v>
      </c>
      <c r="V529" s="5">
        <f>IF($A529="","",IF(AND($U529="Unique",ISNUMBER($P529)),1,0))</f>
        <v>1</v>
      </c>
      <c r="W529" s="5" t="str">
        <f>IF($A529="","",IF(OR($H529=0,$H529=6),"Weekend","Weekday"))</f>
        <v>Weekday</v>
      </c>
      <c r="X529" s="5" t="str">
        <f>IF($A529="","",TEXT($B529,"ddd"))</f>
        <v>Mon</v>
      </c>
      <c r="Y529" s="5" t="str">
        <f>IF($A529="","",TEXT($B529,"mmm"))</f>
        <v>Jan</v>
      </c>
      <c r="Z529" s="5" t="str">
        <f>IF($A529="","",IFERROR(VLOOKUP($C529,Lookups!$D$4:$E$7,2,FALSE),"Unknown"))</f>
        <v>Winter</v>
      </c>
      <c r="AA529" s="5" t="str">
        <f>IF($A529="","",IFERROR(VLOOKUP($I529,Lookups!$A$4:$B$7,2,FALSE),"Unknown"))</f>
        <v>Clear</v>
      </c>
      <c r="AB529" s="5" t="str">
        <f>IF($A529="","",TEXT($F529,"00")&amp;":00")</f>
        <v>03:00</v>
      </c>
      <c r="AC529" s="5" t="str">
        <f>IF($A529="","",VLOOKUP($F529,Lookups!$G$4:$H$8,2,TRUE))</f>
        <v>Night (00-05)</v>
      </c>
      <c r="AD529" s="18">
        <f>IF($A529="","",IF($J529="","",ROUND($J529*41,1)))</f>
        <v>1.6</v>
      </c>
      <c r="AE529" s="18">
        <f>IF($A529="","",IF($R529="","",ROUND($R529*50,1)))</f>
        <v>1.5</v>
      </c>
      <c r="AF529" s="5">
        <f>IF($A529="","",IF($L529="","",ROUND($L529*100,0)))</f>
        <v>45</v>
      </c>
      <c r="AG529" s="18">
        <f>IF($A529="","",IF($M529="","",ROUND($M529*67,1)))</f>
        <v>17</v>
      </c>
      <c r="AH529" s="19">
        <f>IF($A529="","",IF($P529="","",IF($P529=0,0,$O529/$P529)))</f>
        <v>1</v>
      </c>
      <c r="AI529" s="5" t="str">
        <f>IF($A529="","",IF($P529="","",IF($P529&gt;=Lookups!$K$7,"High",IF($P529&lt;=Lookups!$K$8,"Low","Medium"))))</f>
        <v>Low</v>
      </c>
      <c r="AJ529" s="5" t="str">
        <f>IF($A529="","",IF($AD529="","",IF($AD529&lt;5,"Under 5 C",IF($AD529&lt;10,"5-10 C",IF($AD529&lt;15,"10-15 C","15 C and above")))))</f>
        <v>Under 5 C</v>
      </c>
      <c r="AK529" s="5">
        <f>IF($A529="","",IF($P529="","",$P529^2))</f>
        <v>1</v>
      </c>
      <c r="AL529" s="18">
        <f>IF($V529&lt;&gt;1,"",AVERAGEIFS(Clean_Data!$P$2:$P$1001,Clean_Data!$F$2:$F$1001,$F529,Clean_Data!$W$2:$W$1001,$W529,Clean_Data!$V$2:$V$1001,1))</f>
        <v>1.41176470588235</v>
      </c>
      <c r="AM529" s="16">
        <f>IF($V529&lt;&gt;1,"",IFERROR(($P529-$AL529)/SQRT(MAX(0,(SUMIFS(Clean_Data!$AK$2:$AK$1001,Clean_Data!$F$2:$F$1001,$F529,Clean_Data!$W$2:$W$1001,$W529,Clean_Data!$V$2:$V$1001,1)-COUNTIFS(Clean_Data!$F$2:$F$1001,$F529,Clean_Data!$W$2:$W$1001,$W529,Clean_Data!$V$2:$V$1001,1)*$AL529^2)/(COUNTIFS(Clean_Data!$F$2:$F$1001,$F529,Clean_Data!$W$2:$W$1001,$W529,Clean_Data!$V$2:$V$1001,1)-1))),""))</f>
        <v>-0.665912091816292</v>
      </c>
      <c r="AN529" s="5" t="str">
        <f>IF($AM529="","",IF($AM529&gt;=Lookups!$K$6,"High spike",IF($AM529&lt;=-Lookups!$K$6,"Unusual low","Normal")))</f>
        <v>Normal</v>
      </c>
      <c r="AO529" s="20">
        <f>IF($V529&lt;&gt;1,"",$P529+ROW()/100000)</f>
        <v>1.00529</v>
      </c>
      <c r="AP529" s="5">
        <f>IF($A529="","",IFERROR(MATCH($A529,Raw_D1!$A$2:$A$1001,0),""))</f>
        <v>528</v>
      </c>
      <c r="AQ529" s="5">
        <f>IF($A529="","",IFERROR(MATCH($A529,Raw_D2!$B$2:$B$1001,0),""))</f>
        <v>528</v>
      </c>
      <c r="AR529" s="5">
        <f>IF($A529="","",IFERROR(MATCH($A529,Raw_D3!$A$2:$A$1001,0),""))</f>
        <v/>
      </c>
    </row>
    <row r="530" spans="1:44" x14ac:dyDescent="0.25">
      <c r="A530" s="5">
        <v>529</v>
      </c>
      <c r="B530" s="11">
        <f>IF($A530="","",IF($AP530&lt;&gt;"",INDEX(Raw_D1!$B$2:$B$1001,$AP530),IF($AR530&lt;&gt;"",INDEX(Raw_D3!$B$2:$B$1001,$AR530),"")))</f>
        <v>40567.0</v>
      </c>
      <c r="C530" s="5">
        <f>IF($A530="","",IF($AP530&lt;&gt;"",INDEX(Raw_D1!$C$2:$C$1001,$AP530),IF($AR530&lt;&gt;"",INDEX(Raw_D3!$C$2:$C$1001,$AR530),"")))</f>
        <v>1</v>
      </c>
      <c r="D530" s="5">
        <f>IF($A530="","",IF($AP530&lt;&gt;"",INDEX(Raw_D1!$D$2:$D$1001,$AP530),IF($AR530&lt;&gt;"",INDEX(Raw_D3!$D$2:$D$1001,$AR530),"")))</f>
        <v>0</v>
      </c>
      <c r="E530" s="5">
        <f>IF($A530="","",IF($AP530&lt;&gt;"",INDEX(Raw_D1!$E$2:$E$1001,$AP530),IF($AR530&lt;&gt;"",INDEX(Raw_D3!$E$2:$E$1001,$AR530),"")))</f>
        <v>1</v>
      </c>
      <c r="F530" s="5">
        <f>IF($A530="","",IF($AP530&lt;&gt;"",INDEX(Raw_D1!$F$2:$F$1001,$AP530),IF($AR530&lt;&gt;"",INDEX(Raw_D3!$F$2:$F$1001,$AR530),"")))</f>
        <v>4</v>
      </c>
      <c r="G530" s="5">
        <f>IF($A530="","",IF($AP530&lt;&gt;"",IF(INDEX(Raw_D1!$G$2:$G$1001,$AP530),1,0),IF($AR530&lt;&gt;"",IF(INDEX(Raw_D3!$G$2:$G$1001,$AR530),1,0),"")))</f>
        <v>0</v>
      </c>
      <c r="H530" s="5">
        <f>IF($A530="","",IF($AP530&lt;&gt;"",INDEX(Raw_D1!$H$2:$H$1001,$AP530),IF($AR530&lt;&gt;"",INDEX(Raw_D3!$H$2:$H$1001,$AR530),"")))</f>
        <v>1</v>
      </c>
      <c r="I530" s="5">
        <f>IF($A530="","",IF($AP530&lt;&gt;"",INDEX(Raw_D1!$I$2:$I$1001,$AP530),IF($AR530&lt;&gt;"",INDEX(Raw_D3!$I$2:$I$1001,$AR530),"")))</f>
        <v>1</v>
      </c>
      <c r="J530" s="16">
        <f>IF($A530="","",IF($AP530&lt;&gt;"",INDEX(Raw_D1!$J$2:$J$1001,$AP530),IF($AR530&lt;&gt;"",INDEX(Raw_D3!$J$2:$J$1001,$AR530),"")))</f>
        <v>0.02</v>
      </c>
      <c r="K530" s="17">
        <f>IF($A530="","",IF($AQ530&lt;&gt;"",IF(INDEX(Raw_D2!$C$2:$C$1001,$AQ530)="","",INDEX(Raw_D2!$C$2:$C$1001,$AQ530)),IF($AR530&lt;&gt;"",IF(INDEX(Raw_D3!$K$2:$K$1001,$AR530)="","",INDEX(Raw_D3!$K$2:$K$1001,$AR530)),"")))</f>
        <v>0.0606</v>
      </c>
      <c r="L530" s="16">
        <f>IF($A530="","",IF($AQ530&lt;&gt;"",IF(INDEX(Raw_D2!$D$2:$D$1001,$AQ530)="","",INDEX(Raw_D2!$D$2:$D$1001,$AQ530)),IF($AR530&lt;&gt;"",IF(INDEX(Raw_D3!$L$2:$L$1001,$AR530)="","",INDEX(Raw_D3!$L$2:$L$1001,$AR530)),"")))</f>
        <v>0.48</v>
      </c>
      <c r="M530" s="17">
        <f>IF($A530="","",IF($AQ530&lt;&gt;"",IF(INDEX(Raw_D2!$E$2:$E$1001,$AQ530)="","",INDEX(Raw_D2!$E$2:$E$1001,$AQ530)),IF($AR530&lt;&gt;"",IF(INDEX(Raw_D3!$M$2:$M$1001,$AR530)="","",INDEX(Raw_D3!$M$2:$M$1001,$AR530)),"")))</f>
        <v>0.1343</v>
      </c>
      <c r="N530" s="5">
        <f>IF($A530="","",IF($AQ530&lt;&gt;"",IF(INDEX(Raw_D2!$F$2:$F$1001,$AQ530)="","",INDEX(Raw_D2!$F$2:$F$1001,$AQ530)),IF($AR530&lt;&gt;"",IF(INDEX(Raw_D3!$N$2:$N$1001,$AR530)="","",INDEX(Raw_D3!$N$2:$N$1001,$AR530)),"")))</f>
        <v>0</v>
      </c>
      <c r="O530" s="5">
        <f>IF($A530="","",IF($AQ530&lt;&gt;"",IF(INDEX(Raw_D2!$G$2:$G$1001,$AQ530)="","",INDEX(Raw_D2!$G$2:$G$1001,$AQ530)),IF($AR530&lt;&gt;"",IF(INDEX(Raw_D3!$O$2:$O$1001,$AR530)="","",INDEX(Raw_D3!$O$2:$O$1001,$AR530)),"")))</f>
        <v>1</v>
      </c>
      <c r="P530" s="5">
        <f>IF($A530="","",IF($AQ530&lt;&gt;"",IF(INDEX(Raw_D2!$H$2:$H$1001,$AQ530)="","",INDEX(Raw_D2!$H$2:$H$1001,$AQ530)),IF($AR530&lt;&gt;"",IF(INDEX(Raw_D3!$P$2:$P$1001,$AR530)="","",INDEX(Raw_D3!$P$2:$P$1001,$AR530)),"")))</f>
        <v>1</v>
      </c>
      <c r="Q530" s="5" t="str">
        <f>IF($A530="","",IF(AND($AP530&lt;&gt;"",$AQ530&lt;&gt;""),"D1+D2",IF($AR530&lt;&gt;"","D3","Incomplete")))</f>
        <v>D1+D2</v>
      </c>
      <c r="R530" s="17">
        <f>IF($A530="","",IF($K530="",IF($J530="","",ROUND(Lookups!$K$5+Lookups!$K$4*$J530,4)),$K530))</f>
        <v>0.0606</v>
      </c>
      <c r="S530" s="5" t="str">
        <f>IF($A530="","",IF($K530="","Imputed","Original"))</f>
        <v>Original</v>
      </c>
      <c r="T530" s="5" t="str">
        <f>IF($A530="","",IF($P530="","Missing",IF($P530=$N530+$O530,"OK","Mismatch")))</f>
        <v>OK</v>
      </c>
      <c r="U530" s="5" t="str">
        <f>IF($A530="","",IF(COUNTIF($A$2:$A530,$A530)&gt;1,"Duplicate","Unique"))</f>
        <v>Unique</v>
      </c>
      <c r="V530" s="5">
        <f>IF($A530="","",IF(AND($U530="Unique",ISNUMBER($P530)),1,0))</f>
        <v>1</v>
      </c>
      <c r="W530" s="5" t="str">
        <f>IF($A530="","",IF(OR($H530=0,$H530=6),"Weekend","Weekday"))</f>
        <v>Weekday</v>
      </c>
      <c r="X530" s="5" t="str">
        <f>IF($A530="","",TEXT($B530,"ddd"))</f>
        <v>Mon</v>
      </c>
      <c r="Y530" s="5" t="str">
        <f>IF($A530="","",TEXT($B530,"mmm"))</f>
        <v>Jan</v>
      </c>
      <c r="Z530" s="5" t="str">
        <f>IF($A530="","",IFERROR(VLOOKUP($C530,Lookups!$D$4:$E$7,2,FALSE),"Unknown"))</f>
        <v>Winter</v>
      </c>
      <c r="AA530" s="5" t="str">
        <f>IF($A530="","",IFERROR(VLOOKUP($I530,Lookups!$A$4:$B$7,2,FALSE),"Unknown"))</f>
        <v>Clear</v>
      </c>
      <c r="AB530" s="5" t="str">
        <f>IF($A530="","",TEXT($F530,"00")&amp;":00")</f>
        <v>04:00</v>
      </c>
      <c r="AC530" s="5" t="str">
        <f>IF($A530="","",VLOOKUP($F530,Lookups!$G$4:$H$8,2,TRUE))</f>
        <v>Night (00-05)</v>
      </c>
      <c r="AD530" s="18">
        <f>IF($A530="","",IF($J530="","",ROUND($J530*41,1)))</f>
        <v>0.8</v>
      </c>
      <c r="AE530" s="18">
        <f>IF($A530="","",IF($R530="","",ROUND($R530*50,1)))</f>
        <v>3</v>
      </c>
      <c r="AF530" s="5">
        <f>IF($A530="","",IF($L530="","",ROUND($L530*100,0)))</f>
        <v>48</v>
      </c>
      <c r="AG530" s="18">
        <f>IF($A530="","",IF($M530="","",ROUND($M530*67,1)))</f>
        <v>9</v>
      </c>
      <c r="AH530" s="19">
        <f>IF($A530="","",IF($P530="","",IF($P530=0,0,$O530/$P530)))</f>
        <v>1</v>
      </c>
      <c r="AI530" s="5" t="str">
        <f>IF($A530="","",IF($P530="","",IF($P530&gt;=Lookups!$K$7,"High",IF($P530&lt;=Lookups!$K$8,"Low","Medium"))))</f>
        <v>Low</v>
      </c>
      <c r="AJ530" s="5" t="str">
        <f>IF($A530="","",IF($AD530="","",IF($AD530&lt;5,"Under 5 C",IF($AD530&lt;10,"5-10 C",IF($AD530&lt;15,"10-15 C","15 C and above")))))</f>
        <v>Under 5 C</v>
      </c>
      <c r="AK530" s="5">
        <f>IF($A530="","",IF($P530="","",$P530^2))</f>
        <v>1</v>
      </c>
      <c r="AL530" s="18">
        <f>IF($V530&lt;&gt;1,"",AVERAGEIFS(Clean_Data!$P$2:$P$1001,Clean_Data!$F$2:$F$1001,$F530,Clean_Data!$W$2:$W$1001,$W530,Clean_Data!$V$2:$V$1001,1))</f>
        <v>1.78947368421053</v>
      </c>
      <c r="AM530" s="16">
        <f>IF($V530&lt;&gt;1,"",IFERROR(($P530-$AL530)/SQRT(MAX(0,(SUMIFS(Clean_Data!$AK$2:$AK$1001,Clean_Data!$F$2:$F$1001,$F530,Clean_Data!$W$2:$W$1001,$W530,Clean_Data!$V$2:$V$1001,1)-COUNTIFS(Clean_Data!$F$2:$F$1001,$F530,Clean_Data!$W$2:$W$1001,$W530,Clean_Data!$V$2:$V$1001,1)*$AL530^2)/(COUNTIFS(Clean_Data!$F$2:$F$1001,$F530,Clean_Data!$W$2:$W$1001,$W530,Clean_Data!$V$2:$V$1001,1)-1))),""))</f>
        <v>-0.860309002014607</v>
      </c>
      <c r="AN530" s="5" t="str">
        <f>IF($AM530="","",IF($AM530&gt;=Lookups!$K$6,"High spike",IF($AM530&lt;=-Lookups!$K$6,"Unusual low","Normal")))</f>
        <v>Normal</v>
      </c>
      <c r="AO530" s="20">
        <f>IF($V530&lt;&gt;1,"",$P530+ROW()/100000)</f>
        <v>1.0053</v>
      </c>
      <c r="AP530" s="5">
        <f>IF($A530="","",IFERROR(MATCH($A530,Raw_D1!$A$2:$A$1001,0),""))</f>
        <v>529</v>
      </c>
      <c r="AQ530" s="5">
        <f>IF($A530="","",IFERROR(MATCH($A530,Raw_D2!$B$2:$B$1001,0),""))</f>
        <v>529</v>
      </c>
      <c r="AR530" s="5">
        <f>IF($A530="","",IFERROR(MATCH($A530,Raw_D3!$A$2:$A$1001,0),""))</f>
        <v/>
      </c>
    </row>
    <row r="531" spans="1:44" x14ac:dyDescent="0.25">
      <c r="A531" s="5">
        <v>530</v>
      </c>
      <c r="B531" s="11">
        <f>IF($A531="","",IF($AP531&lt;&gt;"",INDEX(Raw_D1!$B$2:$B$1001,$AP531),IF($AR531&lt;&gt;"",INDEX(Raw_D3!$B$2:$B$1001,$AR531),"")))</f>
        <v>40567.0</v>
      </c>
      <c r="C531" s="5">
        <f>IF($A531="","",IF($AP531&lt;&gt;"",INDEX(Raw_D1!$C$2:$C$1001,$AP531),IF($AR531&lt;&gt;"",INDEX(Raw_D3!$C$2:$C$1001,$AR531),"")))</f>
        <v>1</v>
      </c>
      <c r="D531" s="5">
        <f>IF($A531="","",IF($AP531&lt;&gt;"",INDEX(Raw_D1!$D$2:$D$1001,$AP531),IF($AR531&lt;&gt;"",INDEX(Raw_D3!$D$2:$D$1001,$AR531),"")))</f>
        <v>0</v>
      </c>
      <c r="E531" s="5">
        <f>IF($A531="","",IF($AP531&lt;&gt;"",INDEX(Raw_D1!$E$2:$E$1001,$AP531),IF($AR531&lt;&gt;"",INDEX(Raw_D3!$E$2:$E$1001,$AR531),"")))</f>
        <v>1</v>
      </c>
      <c r="F531" s="5">
        <f>IF($A531="","",IF($AP531&lt;&gt;"",INDEX(Raw_D1!$F$2:$F$1001,$AP531),IF($AR531&lt;&gt;"",INDEX(Raw_D3!$F$2:$F$1001,$AR531),"")))</f>
        <v>5</v>
      </c>
      <c r="G531" s="5">
        <f>IF($A531="","",IF($AP531&lt;&gt;"",IF(INDEX(Raw_D1!$G$2:$G$1001,$AP531),1,0),IF($AR531&lt;&gt;"",IF(INDEX(Raw_D3!$G$2:$G$1001,$AR531),1,0),"")))</f>
        <v>0</v>
      </c>
      <c r="H531" s="5">
        <f>IF($A531="","",IF($AP531&lt;&gt;"",INDEX(Raw_D1!$H$2:$H$1001,$AP531),IF($AR531&lt;&gt;"",INDEX(Raw_D3!$H$2:$H$1001,$AR531),"")))</f>
        <v>1</v>
      </c>
      <c r="I531" s="5">
        <f>IF($A531="","",IF($AP531&lt;&gt;"",INDEX(Raw_D1!$I$2:$I$1001,$AP531),IF($AR531&lt;&gt;"",INDEX(Raw_D3!$I$2:$I$1001,$AR531),"")))</f>
        <v>1</v>
      </c>
      <c r="J531" s="16">
        <f>IF($A531="","",IF($AP531&lt;&gt;"",INDEX(Raw_D1!$J$2:$J$1001,$AP531),IF($AR531&lt;&gt;"",INDEX(Raw_D3!$J$2:$J$1001,$AR531),"")))</f>
        <v>0.02</v>
      </c>
      <c r="K531" s="17">
        <f>IF($A531="","",IF($AQ531&lt;&gt;"",IF(INDEX(Raw_D2!$C$2:$C$1001,$AQ531)="","",INDEX(Raw_D2!$C$2:$C$1001,$AQ531)),IF($AR531&lt;&gt;"",IF(INDEX(Raw_D3!$K$2:$K$1001,$AR531)="","",INDEX(Raw_D3!$K$2:$K$1001,$AR531)),"")))</f>
        <v>0.0606</v>
      </c>
      <c r="L531" s="16">
        <f>IF($A531="","",IF($AQ531&lt;&gt;"",IF(INDEX(Raw_D2!$D$2:$D$1001,$AQ531)="","",INDEX(Raw_D2!$D$2:$D$1001,$AQ531)),IF($AR531&lt;&gt;"",IF(INDEX(Raw_D3!$L$2:$L$1001,$AR531)="","",INDEX(Raw_D3!$L$2:$L$1001,$AR531)),"")))</f>
        <v>0.48</v>
      </c>
      <c r="M531" s="17">
        <f>IF($A531="","",IF($AQ531&lt;&gt;"",IF(INDEX(Raw_D2!$E$2:$E$1001,$AQ531)="","",INDEX(Raw_D2!$E$2:$E$1001,$AQ531)),IF($AR531&lt;&gt;"",IF(INDEX(Raw_D3!$M$2:$M$1001,$AR531)="","",INDEX(Raw_D3!$M$2:$M$1001,$AR531)),"")))</f>
        <v>0.1343</v>
      </c>
      <c r="N531" s="5">
        <f>IF($A531="","",IF($AQ531&lt;&gt;"",IF(INDEX(Raw_D2!$F$2:$F$1001,$AQ531)="","",INDEX(Raw_D2!$F$2:$F$1001,$AQ531)),IF($AR531&lt;&gt;"",IF(INDEX(Raw_D3!$N$2:$N$1001,$AR531)="","",INDEX(Raw_D3!$N$2:$N$1001,$AR531)),"")))</f>
        <v>0</v>
      </c>
      <c r="O531" s="5">
        <f>IF($A531="","",IF($AQ531&lt;&gt;"",IF(INDEX(Raw_D2!$G$2:$G$1001,$AQ531)="","",INDEX(Raw_D2!$G$2:$G$1001,$AQ531)),IF($AR531&lt;&gt;"",IF(INDEX(Raw_D3!$O$2:$O$1001,$AR531)="","",INDEX(Raw_D3!$O$2:$O$1001,$AR531)),"")))</f>
        <v>5</v>
      </c>
      <c r="P531" s="5">
        <f>IF($A531="","",IF($AQ531&lt;&gt;"",IF(INDEX(Raw_D2!$H$2:$H$1001,$AQ531)="","",INDEX(Raw_D2!$H$2:$H$1001,$AQ531)),IF($AR531&lt;&gt;"",IF(INDEX(Raw_D3!$P$2:$P$1001,$AR531)="","",INDEX(Raw_D3!$P$2:$P$1001,$AR531)),"")))</f>
        <v>5</v>
      </c>
      <c r="Q531" s="5" t="str">
        <f>IF($A531="","",IF(AND($AP531&lt;&gt;"",$AQ531&lt;&gt;""),"D1+D2",IF($AR531&lt;&gt;"","D3","Incomplete")))</f>
        <v>D1+D2</v>
      </c>
      <c r="R531" s="17">
        <f>IF($A531="","",IF($K531="",IF($J531="","",ROUND(Lookups!$K$5+Lookups!$K$4*$J531,4)),$K531))</f>
        <v>0.0606</v>
      </c>
      <c r="S531" s="5" t="str">
        <f>IF($A531="","",IF($K531="","Imputed","Original"))</f>
        <v>Original</v>
      </c>
      <c r="T531" s="5" t="str">
        <f>IF($A531="","",IF($P531="","Missing",IF($P531=$N531+$O531,"OK","Mismatch")))</f>
        <v>OK</v>
      </c>
      <c r="U531" s="5" t="str">
        <f>IF($A531="","",IF(COUNTIF($A$2:$A531,$A531)&gt;1,"Duplicate","Unique"))</f>
        <v>Unique</v>
      </c>
      <c r="V531" s="5">
        <f>IF($A531="","",IF(AND($U531="Unique",ISNUMBER($P531)),1,0))</f>
        <v>1</v>
      </c>
      <c r="W531" s="5" t="str">
        <f>IF($A531="","",IF(OR($H531=0,$H531=6),"Weekend","Weekday"))</f>
        <v>Weekday</v>
      </c>
      <c r="X531" s="5" t="str">
        <f>IF($A531="","",TEXT($B531,"ddd"))</f>
        <v>Mon</v>
      </c>
      <c r="Y531" s="5" t="str">
        <f>IF($A531="","",TEXT($B531,"mmm"))</f>
        <v>Jan</v>
      </c>
      <c r="Z531" s="5" t="str">
        <f>IF($A531="","",IFERROR(VLOOKUP($C531,Lookups!$D$4:$E$7,2,FALSE),"Unknown"))</f>
        <v>Winter</v>
      </c>
      <c r="AA531" s="5" t="str">
        <f>IF($A531="","",IFERROR(VLOOKUP($I531,Lookups!$A$4:$B$7,2,FALSE),"Unknown"))</f>
        <v>Clear</v>
      </c>
      <c r="AB531" s="5" t="str">
        <f>IF($A531="","",TEXT($F531,"00")&amp;":00")</f>
        <v>05:00</v>
      </c>
      <c r="AC531" s="5" t="str">
        <f>IF($A531="","",VLOOKUP($F531,Lookups!$G$4:$H$8,2,TRUE))</f>
        <v>Night (00-05)</v>
      </c>
      <c r="AD531" s="18">
        <f>IF($A531="","",IF($J531="","",ROUND($J531*41,1)))</f>
        <v>0.8</v>
      </c>
      <c r="AE531" s="18">
        <f>IF($A531="","",IF($R531="","",ROUND($R531*50,1)))</f>
        <v>3</v>
      </c>
      <c r="AF531" s="5">
        <f>IF($A531="","",IF($L531="","",ROUND($L531*100,0)))</f>
        <v>48</v>
      </c>
      <c r="AG531" s="18">
        <f>IF($A531="","",IF($M531="","",ROUND($M531*67,1)))</f>
        <v>9</v>
      </c>
      <c r="AH531" s="19">
        <f>IF($A531="","",IF($P531="","",IF($P531=0,0,$O531/$P531)))</f>
        <v>1</v>
      </c>
      <c r="AI531" s="5" t="str">
        <f>IF($A531="","",IF($P531="","",IF($P531&gt;=Lookups!$K$7,"High",IF($P531&lt;=Lookups!$K$8,"Low","Medium"))))</f>
        <v>Low</v>
      </c>
      <c r="AJ531" s="5" t="str">
        <f>IF($A531="","",IF($AD531="","",IF($AD531&lt;5,"Under 5 C",IF($AD531&lt;10,"5-10 C",IF($AD531&lt;15,"10-15 C","15 C and above")))))</f>
        <v>Under 5 C</v>
      </c>
      <c r="AK531" s="5">
        <f>IF($A531="","",IF($P531="","",$P531^2))</f>
        <v>25</v>
      </c>
      <c r="AL531" s="18">
        <f>IF($V531&lt;&gt;1,"",AVERAGEIFS(Clean_Data!$P$2:$P$1001,Clean_Data!$F$2:$F$1001,$F531,Clean_Data!$W$2:$W$1001,$W531,Clean_Data!$V$2:$V$1001,1))</f>
        <v>4.72413793103448</v>
      </c>
      <c r="AM531" s="16">
        <f>IF($V531&lt;&gt;1,"",IFERROR(($P531-$AL531)/SQRT(MAX(0,(SUMIFS(Clean_Data!$AK$2:$AK$1001,Clean_Data!$F$2:$F$1001,$F531,Clean_Data!$W$2:$W$1001,$W531,Clean_Data!$V$2:$V$1001,1)-COUNTIFS(Clean_Data!$F$2:$F$1001,$F531,Clean_Data!$W$2:$W$1001,$W531,Clean_Data!$V$2:$V$1001,1)*$AL531^2)/(COUNTIFS(Clean_Data!$F$2:$F$1001,$F531,Clean_Data!$W$2:$W$1001,$W531,Clean_Data!$V$2:$V$1001,1)-1))),""))</f>
        <v>0.117707076805546</v>
      </c>
      <c r="AN531" s="5" t="str">
        <f>IF($AM531="","",IF($AM531&gt;=Lookups!$K$6,"High spike",IF($AM531&lt;=-Lookups!$K$6,"Unusual low","Normal")))</f>
        <v>Normal</v>
      </c>
      <c r="AO531" s="20">
        <f>IF($V531&lt;&gt;1,"",$P531+ROW()/100000)</f>
        <v>5.00531</v>
      </c>
      <c r="AP531" s="5">
        <f>IF($A531="","",IFERROR(MATCH($A531,Raw_D1!$A$2:$A$1001,0),""))</f>
        <v>530</v>
      </c>
      <c r="AQ531" s="5">
        <f>IF($A531="","",IFERROR(MATCH($A531,Raw_D2!$B$2:$B$1001,0),""))</f>
        <v>530</v>
      </c>
      <c r="AR531" s="5">
        <f>IF($A531="","",IFERROR(MATCH($A531,Raw_D3!$A$2:$A$1001,0),""))</f>
        <v/>
      </c>
    </row>
    <row r="532" spans="1:44" x14ac:dyDescent="0.25">
      <c r="A532" s="5">
        <v>531</v>
      </c>
      <c r="B532" s="11">
        <f>IF($A532="","",IF($AP532&lt;&gt;"",INDEX(Raw_D1!$B$2:$B$1001,$AP532),IF($AR532&lt;&gt;"",INDEX(Raw_D3!$B$2:$B$1001,$AR532),"")))</f>
        <v>40567.0</v>
      </c>
      <c r="C532" s="5">
        <f>IF($A532="","",IF($AP532&lt;&gt;"",INDEX(Raw_D1!$C$2:$C$1001,$AP532),IF($AR532&lt;&gt;"",INDEX(Raw_D3!$C$2:$C$1001,$AR532),"")))</f>
        <v>1</v>
      </c>
      <c r="D532" s="5">
        <f>IF($A532="","",IF($AP532&lt;&gt;"",INDEX(Raw_D1!$D$2:$D$1001,$AP532),IF($AR532&lt;&gt;"",INDEX(Raw_D3!$D$2:$D$1001,$AR532),"")))</f>
        <v>0</v>
      </c>
      <c r="E532" s="5">
        <f>IF($A532="","",IF($AP532&lt;&gt;"",INDEX(Raw_D1!$E$2:$E$1001,$AP532),IF($AR532&lt;&gt;"",INDEX(Raw_D3!$E$2:$E$1001,$AR532),"")))</f>
        <v>1</v>
      </c>
      <c r="F532" s="5">
        <f>IF($A532="","",IF($AP532&lt;&gt;"",INDEX(Raw_D1!$F$2:$F$1001,$AP532),IF($AR532&lt;&gt;"",INDEX(Raw_D3!$F$2:$F$1001,$AR532),"")))</f>
        <v>6</v>
      </c>
      <c r="G532" s="5">
        <f>IF($A532="","",IF($AP532&lt;&gt;"",IF(INDEX(Raw_D1!$G$2:$G$1001,$AP532),1,0),IF($AR532&lt;&gt;"",IF(INDEX(Raw_D3!$G$2:$G$1001,$AR532),1,0),"")))</f>
        <v>0</v>
      </c>
      <c r="H532" s="5">
        <f>IF($A532="","",IF($AP532&lt;&gt;"",INDEX(Raw_D1!$H$2:$H$1001,$AP532),IF($AR532&lt;&gt;"",INDEX(Raw_D3!$H$2:$H$1001,$AR532),"")))</f>
        <v>1</v>
      </c>
      <c r="I532" s="5">
        <f>IF($A532="","",IF($AP532&lt;&gt;"",INDEX(Raw_D1!$I$2:$I$1001,$AP532),IF($AR532&lt;&gt;"",INDEX(Raw_D3!$I$2:$I$1001,$AR532),"")))</f>
        <v>1</v>
      </c>
      <c r="J532" s="16">
        <f>IF($A532="","",IF($AP532&lt;&gt;"",INDEX(Raw_D1!$J$2:$J$1001,$AP532),IF($AR532&lt;&gt;"",INDEX(Raw_D3!$J$2:$J$1001,$AR532),"")))</f>
        <v>0.02</v>
      </c>
      <c r="K532" s="17">
        <f>IF($A532="","",IF($AQ532&lt;&gt;"",IF(INDEX(Raw_D2!$C$2:$C$1001,$AQ532)="","",INDEX(Raw_D2!$C$2:$C$1001,$AQ532)),IF($AR532&lt;&gt;"",IF(INDEX(Raw_D3!$K$2:$K$1001,$AR532)="","",INDEX(Raw_D3!$K$2:$K$1001,$AR532)),"")))</f>
        <v>0.0758</v>
      </c>
      <c r="L532" s="16">
        <f>IF($A532="","",IF($AQ532&lt;&gt;"",IF(INDEX(Raw_D2!$D$2:$D$1001,$AQ532)="","",INDEX(Raw_D2!$D$2:$D$1001,$AQ532)),IF($AR532&lt;&gt;"",IF(INDEX(Raw_D3!$L$2:$L$1001,$AR532)="","",INDEX(Raw_D3!$L$2:$L$1001,$AR532)),"")))</f>
        <v>0.48</v>
      </c>
      <c r="M532" s="17">
        <f>IF($A532="","",IF($AQ532&lt;&gt;"",IF(INDEX(Raw_D2!$E$2:$E$1001,$AQ532)="","",INDEX(Raw_D2!$E$2:$E$1001,$AQ532)),IF($AR532&lt;&gt;"",IF(INDEX(Raw_D3!$M$2:$M$1001,$AR532)="","",INDEX(Raw_D3!$M$2:$M$1001,$AR532)),"")))</f>
        <v>0.0896</v>
      </c>
      <c r="N532" s="5">
        <f>IF($A532="","",IF($AQ532&lt;&gt;"",IF(INDEX(Raw_D2!$F$2:$F$1001,$AQ532)="","",INDEX(Raw_D2!$F$2:$F$1001,$AQ532)),IF($AR532&lt;&gt;"",IF(INDEX(Raw_D3!$N$2:$N$1001,$AR532)="","",INDEX(Raw_D3!$N$2:$N$1001,$AR532)),"")))</f>
        <v>0</v>
      </c>
      <c r="O532" s="5">
        <f>IF($A532="","",IF($AQ532&lt;&gt;"",IF(INDEX(Raw_D2!$G$2:$G$1001,$AQ532)="","",INDEX(Raw_D2!$G$2:$G$1001,$AQ532)),IF($AR532&lt;&gt;"",IF(INDEX(Raw_D3!$O$2:$O$1001,$AR532)="","",INDEX(Raw_D3!$O$2:$O$1001,$AR532)),"")))</f>
        <v>15</v>
      </c>
      <c r="P532" s="5">
        <f>IF($A532="","",IF($AQ532&lt;&gt;"",IF(INDEX(Raw_D2!$H$2:$H$1001,$AQ532)="","",INDEX(Raw_D2!$H$2:$H$1001,$AQ532)),IF($AR532&lt;&gt;"",IF(INDEX(Raw_D3!$P$2:$P$1001,$AR532)="","",INDEX(Raw_D3!$P$2:$P$1001,$AR532)),"")))</f>
        <v>15</v>
      </c>
      <c r="Q532" s="5" t="str">
        <f>IF($A532="","",IF(AND($AP532&lt;&gt;"",$AQ532&lt;&gt;""),"D1+D2",IF($AR532&lt;&gt;"","D3","Incomplete")))</f>
        <v>D1+D2</v>
      </c>
      <c r="R532" s="17">
        <f>IF($A532="","",IF($K532="",IF($J532="","",ROUND(Lookups!$K$5+Lookups!$K$4*$J532,4)),$K532))</f>
        <v>0.0758</v>
      </c>
      <c r="S532" s="5" t="str">
        <f>IF($A532="","",IF($K532="","Imputed","Original"))</f>
        <v>Original</v>
      </c>
      <c r="T532" s="5" t="str">
        <f>IF($A532="","",IF($P532="","Missing",IF($P532=$N532+$O532,"OK","Mismatch")))</f>
        <v>OK</v>
      </c>
      <c r="U532" s="5" t="str">
        <f>IF($A532="","",IF(COUNTIF($A$2:$A532,$A532)&gt;1,"Duplicate","Unique"))</f>
        <v>Unique</v>
      </c>
      <c r="V532" s="5">
        <f>IF($A532="","",IF(AND($U532="Unique",ISNUMBER($P532)),1,0))</f>
        <v>1</v>
      </c>
      <c r="W532" s="5" t="str">
        <f>IF($A532="","",IF(OR($H532=0,$H532=6),"Weekend","Weekday"))</f>
        <v>Weekday</v>
      </c>
      <c r="X532" s="5" t="str">
        <f>IF($A532="","",TEXT($B532,"ddd"))</f>
        <v>Mon</v>
      </c>
      <c r="Y532" s="5" t="str">
        <f>IF($A532="","",TEXT($B532,"mmm"))</f>
        <v>Jan</v>
      </c>
      <c r="Z532" s="5" t="str">
        <f>IF($A532="","",IFERROR(VLOOKUP($C532,Lookups!$D$4:$E$7,2,FALSE),"Unknown"))</f>
        <v>Winter</v>
      </c>
      <c r="AA532" s="5" t="str">
        <f>IF($A532="","",IFERROR(VLOOKUP($I532,Lookups!$A$4:$B$7,2,FALSE),"Unknown"))</f>
        <v>Clear</v>
      </c>
      <c r="AB532" s="5" t="str">
        <f>IF($A532="","",TEXT($F532,"00")&amp;":00")</f>
        <v>06:00</v>
      </c>
      <c r="AC532" s="5" t="str">
        <f>IF($A532="","",VLOOKUP($F532,Lookups!$G$4:$H$8,2,TRUE))</f>
        <v>Morning Peak (06-09)</v>
      </c>
      <c r="AD532" s="18">
        <f>IF($A532="","",IF($J532="","",ROUND($J532*41,1)))</f>
        <v>0.8</v>
      </c>
      <c r="AE532" s="18">
        <f>IF($A532="","",IF($R532="","",ROUND($R532*50,1)))</f>
        <v>3.8</v>
      </c>
      <c r="AF532" s="5">
        <f>IF($A532="","",IF($L532="","",ROUND($L532*100,0)))</f>
        <v>48</v>
      </c>
      <c r="AG532" s="18">
        <f>IF($A532="","",IF($M532="","",ROUND($M532*67,1)))</f>
        <v>6</v>
      </c>
      <c r="AH532" s="19">
        <f>IF($A532="","",IF($P532="","",IF($P532=0,0,$O532/$P532)))</f>
        <v>1</v>
      </c>
      <c r="AI532" s="5" t="str">
        <f>IF($A532="","",IF($P532="","",IF($P532&gt;=Lookups!$K$7,"High",IF($P532&lt;=Lookups!$K$8,"Low","Medium"))))</f>
        <v>Low</v>
      </c>
      <c r="AJ532" s="5" t="str">
        <f>IF($A532="","",IF($AD532="","",IF($AD532&lt;5,"Under 5 C",IF($AD532&lt;10,"5-10 C",IF($AD532&lt;15,"10-15 C","15 C and above")))))</f>
        <v>Under 5 C</v>
      </c>
      <c r="AK532" s="5">
        <f>IF($A532="","",IF($P532="","",$P532^2))</f>
        <v>225</v>
      </c>
      <c r="AL532" s="18">
        <f>IF($V532&lt;&gt;1,"",AVERAGEIFS(Clean_Data!$P$2:$P$1001,Clean_Data!$F$2:$F$1001,$F532,Clean_Data!$W$2:$W$1001,$W532,Clean_Data!$V$2:$V$1001,1))</f>
        <v>27.3793103448276</v>
      </c>
      <c r="AM532" s="16">
        <f>IF($V532&lt;&gt;1,"",IFERROR(($P532-$AL532)/SQRT(MAX(0,(SUMIFS(Clean_Data!$AK$2:$AK$1001,Clean_Data!$F$2:$F$1001,$F532,Clean_Data!$W$2:$W$1001,$W532,Clean_Data!$V$2:$V$1001,1)-COUNTIFS(Clean_Data!$F$2:$F$1001,$F532,Clean_Data!$W$2:$W$1001,$W532,Clean_Data!$V$2:$V$1001,1)*$AL532^2)/(COUNTIFS(Clean_Data!$F$2:$F$1001,$F532,Clean_Data!$W$2:$W$1001,$W532,Clean_Data!$V$2:$V$1001,1)-1))),""))</f>
        <v>-1.29953466377648</v>
      </c>
      <c r="AN532" s="5" t="str">
        <f>IF($AM532="","",IF($AM532&gt;=Lookups!$K$6,"High spike",IF($AM532&lt;=-Lookups!$K$6,"Unusual low","Normal")))</f>
        <v>Normal</v>
      </c>
      <c r="AO532" s="20">
        <f>IF($V532&lt;&gt;1,"",$P532+ROW()/100000)</f>
        <v>15.00532</v>
      </c>
      <c r="AP532" s="5">
        <f>IF($A532="","",IFERROR(MATCH($A532,Raw_D1!$A$2:$A$1001,0),""))</f>
        <v>531</v>
      </c>
      <c r="AQ532" s="5">
        <f>IF($A532="","",IFERROR(MATCH($A532,Raw_D2!$B$2:$B$1001,0),""))</f>
        <v>531</v>
      </c>
      <c r="AR532" s="5">
        <f>IF($A532="","",IFERROR(MATCH($A532,Raw_D3!$A$2:$A$1001,0),""))</f>
        <v/>
      </c>
    </row>
    <row r="533" spans="1:44" x14ac:dyDescent="0.25">
      <c r="A533" s="5">
        <v>532</v>
      </c>
      <c r="B533" s="11">
        <f>IF($A533="","",IF($AP533&lt;&gt;"",INDEX(Raw_D1!$B$2:$B$1001,$AP533),IF($AR533&lt;&gt;"",INDEX(Raw_D3!$B$2:$B$1001,$AR533),"")))</f>
        <v>40567.0</v>
      </c>
      <c r="C533" s="5">
        <f>IF($A533="","",IF($AP533&lt;&gt;"",INDEX(Raw_D1!$C$2:$C$1001,$AP533),IF($AR533&lt;&gt;"",INDEX(Raw_D3!$C$2:$C$1001,$AR533),"")))</f>
        <v>1</v>
      </c>
      <c r="D533" s="5">
        <f>IF($A533="","",IF($AP533&lt;&gt;"",INDEX(Raw_D1!$D$2:$D$1001,$AP533),IF($AR533&lt;&gt;"",INDEX(Raw_D3!$D$2:$D$1001,$AR533),"")))</f>
        <v>0</v>
      </c>
      <c r="E533" s="5">
        <f>IF($A533="","",IF($AP533&lt;&gt;"",INDEX(Raw_D1!$E$2:$E$1001,$AP533),IF($AR533&lt;&gt;"",INDEX(Raw_D3!$E$2:$E$1001,$AR533),"")))</f>
        <v>1</v>
      </c>
      <c r="F533" s="5">
        <f>IF($A533="","",IF($AP533&lt;&gt;"",INDEX(Raw_D1!$F$2:$F$1001,$AP533),IF($AR533&lt;&gt;"",INDEX(Raw_D3!$F$2:$F$1001,$AR533),"")))</f>
        <v>7</v>
      </c>
      <c r="G533" s="5">
        <f>IF($A533="","",IF($AP533&lt;&gt;"",IF(INDEX(Raw_D1!$G$2:$G$1001,$AP533),1,0),IF($AR533&lt;&gt;"",IF(INDEX(Raw_D3!$G$2:$G$1001,$AR533),1,0),"")))</f>
        <v>0</v>
      </c>
      <c r="H533" s="5">
        <f>IF($A533="","",IF($AP533&lt;&gt;"",INDEX(Raw_D1!$H$2:$H$1001,$AP533),IF($AR533&lt;&gt;"",INDEX(Raw_D3!$H$2:$H$1001,$AR533),"")))</f>
        <v>1</v>
      </c>
      <c r="I533" s="5">
        <f>IF($A533="","",IF($AP533&lt;&gt;"",INDEX(Raw_D1!$I$2:$I$1001,$AP533),IF($AR533&lt;&gt;"",INDEX(Raw_D3!$I$2:$I$1001,$AR533),"")))</f>
        <v>1</v>
      </c>
      <c r="J533" s="16">
        <f>IF($A533="","",IF($AP533&lt;&gt;"",INDEX(Raw_D1!$J$2:$J$1001,$AP533),IF($AR533&lt;&gt;"",INDEX(Raw_D3!$J$2:$J$1001,$AR533),"")))</f>
        <v>0.02</v>
      </c>
      <c r="K533" s="17">
        <f>IF($A533="","",IF($AQ533&lt;&gt;"",IF(INDEX(Raw_D2!$C$2:$C$1001,$AQ533)="","",INDEX(Raw_D2!$C$2:$C$1001,$AQ533)),IF($AR533&lt;&gt;"",IF(INDEX(Raw_D3!$K$2:$K$1001,$AR533)="","",INDEX(Raw_D3!$K$2:$K$1001,$AR533)),"")))</f>
        <v>0.1212</v>
      </c>
      <c r="L533" s="16">
        <f>IF($A533="","",IF($AQ533&lt;&gt;"",IF(INDEX(Raw_D2!$D$2:$D$1001,$AQ533)="","",INDEX(Raw_D2!$D$2:$D$1001,$AQ533)),IF($AR533&lt;&gt;"",IF(INDEX(Raw_D3!$L$2:$L$1001,$AR533)="","",INDEX(Raw_D3!$L$2:$L$1001,$AR533)),"")))</f>
        <v>0.48</v>
      </c>
      <c r="M533" s="17">
        <f>IF($A533="","",IF($AQ533&lt;&gt;"",IF(INDEX(Raw_D2!$E$2:$E$1001,$AQ533)="","",INDEX(Raw_D2!$E$2:$E$1001,$AQ533)),IF($AR533&lt;&gt;"",IF(INDEX(Raw_D3!$M$2:$M$1001,$AR533)="","",INDEX(Raw_D3!$M$2:$M$1001,$AR533)),"")))</f>
        <v>0</v>
      </c>
      <c r="N533" s="5">
        <f>IF($A533="","",IF($AQ533&lt;&gt;"",IF(INDEX(Raw_D2!$F$2:$F$1001,$AQ533)="","",INDEX(Raw_D2!$F$2:$F$1001,$AQ533)),IF($AR533&lt;&gt;"",IF(INDEX(Raw_D3!$N$2:$N$1001,$AR533)="","",INDEX(Raw_D3!$N$2:$N$1001,$AR533)),"")))</f>
        <v>5</v>
      </c>
      <c r="O533" s="5">
        <f>IF($A533="","",IF($AQ533&lt;&gt;"",IF(INDEX(Raw_D2!$G$2:$G$1001,$AQ533)="","",INDEX(Raw_D2!$G$2:$G$1001,$AQ533)),IF($AR533&lt;&gt;"",IF(INDEX(Raw_D3!$O$2:$O$1001,$AR533)="","",INDEX(Raw_D3!$O$2:$O$1001,$AR533)),"")))</f>
        <v>79</v>
      </c>
      <c r="P533" s="5">
        <f>IF($A533="","",IF($AQ533&lt;&gt;"",IF(INDEX(Raw_D2!$H$2:$H$1001,$AQ533)="","",INDEX(Raw_D2!$H$2:$H$1001,$AQ533)),IF($AR533&lt;&gt;"",IF(INDEX(Raw_D3!$P$2:$P$1001,$AR533)="","",INDEX(Raw_D3!$P$2:$P$1001,$AR533)),"")))</f>
        <v>84</v>
      </c>
      <c r="Q533" s="5" t="str">
        <f>IF($A533="","",IF(AND($AP533&lt;&gt;"",$AQ533&lt;&gt;""),"D1+D2",IF($AR533&lt;&gt;"","D3","Incomplete")))</f>
        <v>D1+D2</v>
      </c>
      <c r="R533" s="17">
        <f>IF($A533="","",IF($K533="",IF($J533="","",ROUND(Lookups!$K$5+Lookups!$K$4*$J533,4)),$K533))</f>
        <v>0.1212</v>
      </c>
      <c r="S533" s="5" t="str">
        <f>IF($A533="","",IF($K533="","Imputed","Original"))</f>
        <v>Original</v>
      </c>
      <c r="T533" s="5" t="str">
        <f>IF($A533="","",IF($P533="","Missing",IF($P533=$N533+$O533,"OK","Mismatch")))</f>
        <v>OK</v>
      </c>
      <c r="U533" s="5" t="str">
        <f>IF($A533="","",IF(COUNTIF($A$2:$A533,$A533)&gt;1,"Duplicate","Unique"))</f>
        <v>Unique</v>
      </c>
      <c r="V533" s="5">
        <f>IF($A533="","",IF(AND($U533="Unique",ISNUMBER($P533)),1,0))</f>
        <v>1</v>
      </c>
      <c r="W533" s="5" t="str">
        <f>IF($A533="","",IF(OR($H533=0,$H533=6),"Weekend","Weekday"))</f>
        <v>Weekday</v>
      </c>
      <c r="X533" s="5" t="str">
        <f>IF($A533="","",TEXT($B533,"ddd"))</f>
        <v>Mon</v>
      </c>
      <c r="Y533" s="5" t="str">
        <f>IF($A533="","",TEXT($B533,"mmm"))</f>
        <v>Jan</v>
      </c>
      <c r="Z533" s="5" t="str">
        <f>IF($A533="","",IFERROR(VLOOKUP($C533,Lookups!$D$4:$E$7,2,FALSE),"Unknown"))</f>
        <v>Winter</v>
      </c>
      <c r="AA533" s="5" t="str">
        <f>IF($A533="","",IFERROR(VLOOKUP($I533,Lookups!$A$4:$B$7,2,FALSE),"Unknown"))</f>
        <v>Clear</v>
      </c>
      <c r="AB533" s="5" t="str">
        <f>IF($A533="","",TEXT($F533,"00")&amp;":00")</f>
        <v>07:00</v>
      </c>
      <c r="AC533" s="5" t="str">
        <f>IF($A533="","",VLOOKUP($F533,Lookups!$G$4:$H$8,2,TRUE))</f>
        <v>Morning Peak (06-09)</v>
      </c>
      <c r="AD533" s="18">
        <f>IF($A533="","",IF($J533="","",ROUND($J533*41,1)))</f>
        <v>0.8</v>
      </c>
      <c r="AE533" s="18">
        <f>IF($A533="","",IF($R533="","",ROUND($R533*50,1)))</f>
        <v>6.1</v>
      </c>
      <c r="AF533" s="5">
        <f>IF($A533="","",IF($L533="","",ROUND($L533*100,0)))</f>
        <v>48</v>
      </c>
      <c r="AG533" s="18">
        <f>IF($A533="","",IF($M533="","",ROUND($M533*67,1)))</f>
        <v>0</v>
      </c>
      <c r="AH533" s="19">
        <f>IF($A533="","",IF($P533="","",IF($P533=0,0,$O533/$P533)))</f>
        <v>0.940476190476191</v>
      </c>
      <c r="AI533" s="5" t="str">
        <f>IF($A533="","",IF($P533="","",IF($P533&gt;=Lookups!$K$7,"High",IF($P533&lt;=Lookups!$K$8,"Low","Medium"))))</f>
        <v>High</v>
      </c>
      <c r="AJ533" s="5" t="str">
        <f>IF($A533="","",IF($AD533="","",IF($AD533&lt;5,"Under 5 C",IF($AD533&lt;10,"5-10 C",IF($AD533&lt;15,"10-15 C","15 C and above")))))</f>
        <v>Under 5 C</v>
      </c>
      <c r="AK533" s="5">
        <f>IF($A533="","",IF($P533="","",$P533^2))</f>
        <v>7056</v>
      </c>
      <c r="AL533" s="18">
        <f>IF($V533&lt;&gt;1,"",AVERAGEIFS(Clean_Data!$P$2:$P$1001,Clean_Data!$F$2:$F$1001,$F533,Clean_Data!$W$2:$W$1001,$W533,Clean_Data!$V$2:$V$1001,1))</f>
        <v>78.0344827586207</v>
      </c>
      <c r="AM533" s="16">
        <f>IF($V533&lt;&gt;1,"",IFERROR(($P533-$AL533)/SQRT(MAX(0,(SUMIFS(Clean_Data!$AK$2:$AK$1001,Clean_Data!$F$2:$F$1001,$F533,Clean_Data!$W$2:$W$1001,$W533,Clean_Data!$V$2:$V$1001,1)-COUNTIFS(Clean_Data!$F$2:$F$1001,$F533,Clean_Data!$W$2:$W$1001,$W533,Clean_Data!$V$2:$V$1001,1)*$AL533^2)/(COUNTIFS(Clean_Data!$F$2:$F$1001,$F533,Clean_Data!$W$2:$W$1001,$W533,Clean_Data!$V$2:$V$1001,1)-1))),""))</f>
        <v>0.26357708081386</v>
      </c>
      <c r="AN533" s="5" t="str">
        <f>IF($AM533="","",IF($AM533&gt;=Lookups!$K$6,"High spike",IF($AM533&lt;=-Lookups!$K$6,"Unusual low","Normal")))</f>
        <v>Normal</v>
      </c>
      <c r="AO533" s="20">
        <f>IF($V533&lt;&gt;1,"",$P533+ROW()/100000)</f>
        <v>84.00533</v>
      </c>
      <c r="AP533" s="5">
        <f>IF($A533="","",IFERROR(MATCH($A533,Raw_D1!$A$2:$A$1001,0),""))</f>
        <v>532</v>
      </c>
      <c r="AQ533" s="5">
        <f>IF($A533="","",IFERROR(MATCH($A533,Raw_D2!$B$2:$B$1001,0),""))</f>
        <v>532</v>
      </c>
      <c r="AR533" s="5">
        <f>IF($A533="","",IFERROR(MATCH($A533,Raw_D3!$A$2:$A$1001,0),""))</f>
        <v/>
      </c>
    </row>
    <row r="534" spans="1:44" x14ac:dyDescent="0.25">
      <c r="A534" s="5">
        <v>533</v>
      </c>
      <c r="B534" s="11">
        <f>IF($A534="","",IF($AP534&lt;&gt;"",INDEX(Raw_D1!$B$2:$B$1001,$AP534),IF($AR534&lt;&gt;"",INDEX(Raw_D3!$B$2:$B$1001,$AR534),"")))</f>
        <v>40567.0</v>
      </c>
      <c r="C534" s="5">
        <f>IF($A534="","",IF($AP534&lt;&gt;"",INDEX(Raw_D1!$C$2:$C$1001,$AP534),IF($AR534&lt;&gt;"",INDEX(Raw_D3!$C$2:$C$1001,$AR534),"")))</f>
        <v>1</v>
      </c>
      <c r="D534" s="5">
        <f>IF($A534="","",IF($AP534&lt;&gt;"",INDEX(Raw_D1!$D$2:$D$1001,$AP534),IF($AR534&lt;&gt;"",INDEX(Raw_D3!$D$2:$D$1001,$AR534),"")))</f>
        <v>0</v>
      </c>
      <c r="E534" s="5">
        <f>IF($A534="","",IF($AP534&lt;&gt;"",INDEX(Raw_D1!$E$2:$E$1001,$AP534),IF($AR534&lt;&gt;"",INDEX(Raw_D3!$E$2:$E$1001,$AR534),"")))</f>
        <v>1</v>
      </c>
      <c r="F534" s="5">
        <f>IF($A534="","",IF($AP534&lt;&gt;"",INDEX(Raw_D1!$F$2:$F$1001,$AP534),IF($AR534&lt;&gt;"",INDEX(Raw_D3!$F$2:$F$1001,$AR534),"")))</f>
        <v>8</v>
      </c>
      <c r="G534" s="5">
        <f>IF($A534="","",IF($AP534&lt;&gt;"",IF(INDEX(Raw_D1!$G$2:$G$1001,$AP534),1,0),IF($AR534&lt;&gt;"",IF(INDEX(Raw_D3!$G$2:$G$1001,$AR534),1,0),"")))</f>
        <v>0</v>
      </c>
      <c r="H534" s="5">
        <f>IF($A534="","",IF($AP534&lt;&gt;"",INDEX(Raw_D1!$H$2:$H$1001,$AP534),IF($AR534&lt;&gt;"",INDEX(Raw_D3!$H$2:$H$1001,$AR534),"")))</f>
        <v>1</v>
      </c>
      <c r="I534" s="5">
        <f>IF($A534="","",IF($AP534&lt;&gt;"",INDEX(Raw_D1!$I$2:$I$1001,$AP534),IF($AR534&lt;&gt;"",INDEX(Raw_D3!$I$2:$I$1001,$AR534),"")))</f>
        <v>1</v>
      </c>
      <c r="J534" s="16">
        <f>IF($A534="","",IF($AP534&lt;&gt;"",INDEX(Raw_D1!$J$2:$J$1001,$AP534),IF($AR534&lt;&gt;"",INDEX(Raw_D3!$J$2:$J$1001,$AR534),"")))</f>
        <v>0.04</v>
      </c>
      <c r="K534" s="17">
        <f>IF($A534="","",IF($AQ534&lt;&gt;"",IF(INDEX(Raw_D2!$C$2:$C$1001,$AQ534)="","",INDEX(Raw_D2!$C$2:$C$1001,$AQ534)),IF($AR534&lt;&gt;"",IF(INDEX(Raw_D3!$K$2:$K$1001,$AR534)="","",INDEX(Raw_D3!$K$2:$K$1001,$AR534)),"")))</f>
        <v>0.1364</v>
      </c>
      <c r="L534" s="16">
        <f>IF($A534="","",IF($AQ534&lt;&gt;"",IF(INDEX(Raw_D2!$D$2:$D$1001,$AQ534)="","",INDEX(Raw_D2!$D$2:$D$1001,$AQ534)),IF($AR534&lt;&gt;"",IF(INDEX(Raw_D3!$L$2:$L$1001,$AR534)="","",INDEX(Raw_D3!$L$2:$L$1001,$AR534)),"")))</f>
        <v>0.49</v>
      </c>
      <c r="M534" s="17">
        <f>IF($A534="","",IF($AQ534&lt;&gt;"",IF(INDEX(Raw_D2!$E$2:$E$1001,$AQ534)="","",INDEX(Raw_D2!$E$2:$E$1001,$AQ534)),IF($AR534&lt;&gt;"",IF(INDEX(Raw_D3!$M$2:$M$1001,$AR534)="","",INDEX(Raw_D3!$M$2:$M$1001,$AR534)),"")))</f>
        <v>0</v>
      </c>
      <c r="N534" s="5">
        <f>IF($A534="","",IF($AQ534&lt;&gt;"",IF(INDEX(Raw_D2!$F$2:$F$1001,$AQ534)="","",INDEX(Raw_D2!$F$2:$F$1001,$AQ534)),IF($AR534&lt;&gt;"",IF(INDEX(Raw_D3!$N$2:$N$1001,$AR534)="","",INDEX(Raw_D3!$N$2:$N$1001,$AR534)),"")))</f>
        <v>6</v>
      </c>
      <c r="O534" s="5">
        <f>IF($A534="","",IF($AQ534&lt;&gt;"",IF(INDEX(Raw_D2!$G$2:$G$1001,$AQ534)="","",INDEX(Raw_D2!$G$2:$G$1001,$AQ534)),IF($AR534&lt;&gt;"",IF(INDEX(Raw_D3!$O$2:$O$1001,$AR534)="","",INDEX(Raw_D3!$O$2:$O$1001,$AR534)),"")))</f>
        <v>171</v>
      </c>
      <c r="P534" s="5">
        <f>IF($A534="","",IF($AQ534&lt;&gt;"",IF(INDEX(Raw_D2!$H$2:$H$1001,$AQ534)="","",INDEX(Raw_D2!$H$2:$H$1001,$AQ534)),IF($AR534&lt;&gt;"",IF(INDEX(Raw_D3!$P$2:$P$1001,$AR534)="","",INDEX(Raw_D3!$P$2:$P$1001,$AR534)),"")))</f>
        <v>177</v>
      </c>
      <c r="Q534" s="5" t="str">
        <f>IF($A534="","",IF(AND($AP534&lt;&gt;"",$AQ534&lt;&gt;""),"D1+D2",IF($AR534&lt;&gt;"","D3","Incomplete")))</f>
        <v>D1+D2</v>
      </c>
      <c r="R534" s="17">
        <f>IF($A534="","",IF($K534="",IF($J534="","",ROUND(Lookups!$K$5+Lookups!$K$4*$J534,4)),$K534))</f>
        <v>0.1364</v>
      </c>
      <c r="S534" s="5" t="str">
        <f>IF($A534="","",IF($K534="","Imputed","Original"))</f>
        <v>Original</v>
      </c>
      <c r="T534" s="5" t="str">
        <f>IF($A534="","",IF($P534="","Missing",IF($P534=$N534+$O534,"OK","Mismatch")))</f>
        <v>OK</v>
      </c>
      <c r="U534" s="5" t="str">
        <f>IF($A534="","",IF(COUNTIF($A$2:$A534,$A534)&gt;1,"Duplicate","Unique"))</f>
        <v>Unique</v>
      </c>
      <c r="V534" s="5">
        <f>IF($A534="","",IF(AND($U534="Unique",ISNUMBER($P534)),1,0))</f>
        <v>1</v>
      </c>
      <c r="W534" s="5" t="str">
        <f>IF($A534="","",IF(OR($H534=0,$H534=6),"Weekend","Weekday"))</f>
        <v>Weekday</v>
      </c>
      <c r="X534" s="5" t="str">
        <f>IF($A534="","",TEXT($B534,"ddd"))</f>
        <v>Mon</v>
      </c>
      <c r="Y534" s="5" t="str">
        <f>IF($A534="","",TEXT($B534,"mmm"))</f>
        <v>Jan</v>
      </c>
      <c r="Z534" s="5" t="str">
        <f>IF($A534="","",IFERROR(VLOOKUP($C534,Lookups!$D$4:$E$7,2,FALSE),"Unknown"))</f>
        <v>Winter</v>
      </c>
      <c r="AA534" s="5" t="str">
        <f>IF($A534="","",IFERROR(VLOOKUP($I534,Lookups!$A$4:$B$7,2,FALSE),"Unknown"))</f>
        <v>Clear</v>
      </c>
      <c r="AB534" s="5" t="str">
        <f>IF($A534="","",TEXT($F534,"00")&amp;":00")</f>
        <v>08:00</v>
      </c>
      <c r="AC534" s="5" t="str">
        <f>IF($A534="","",VLOOKUP($F534,Lookups!$G$4:$H$8,2,TRUE))</f>
        <v>Morning Peak (06-09)</v>
      </c>
      <c r="AD534" s="18">
        <f>IF($A534="","",IF($J534="","",ROUND($J534*41,1)))</f>
        <v>1.6</v>
      </c>
      <c r="AE534" s="18">
        <f>IF($A534="","",IF($R534="","",ROUND($R534*50,1)))</f>
        <v>6.8</v>
      </c>
      <c r="AF534" s="5">
        <f>IF($A534="","",IF($L534="","",ROUND($L534*100,0)))</f>
        <v>49</v>
      </c>
      <c r="AG534" s="18">
        <f>IF($A534="","",IF($M534="","",ROUND($M534*67,1)))</f>
        <v>0</v>
      </c>
      <c r="AH534" s="19">
        <f>IF($A534="","",IF($P534="","",IF($P534=0,0,$O534/$P534)))</f>
        <v>0.966101694915254</v>
      </c>
      <c r="AI534" s="5" t="str">
        <f>IF($A534="","",IF($P534="","",IF($P534&gt;=Lookups!$K$7,"High",IF($P534&lt;=Lookups!$K$8,"Low","Medium"))))</f>
        <v>High</v>
      </c>
      <c r="AJ534" s="5" t="str">
        <f>IF($A534="","",IF($AD534="","",IF($AD534&lt;5,"Under 5 C",IF($AD534&lt;10,"5-10 C",IF($AD534&lt;15,"10-15 C","15 C and above")))))</f>
        <v>Under 5 C</v>
      </c>
      <c r="AK534" s="5">
        <f>IF($A534="","",IF($P534="","",$P534^2))</f>
        <v>31329</v>
      </c>
      <c r="AL534" s="18">
        <f>IF($V534&lt;&gt;1,"",AVERAGEIFS(Clean_Data!$P$2:$P$1001,Clean_Data!$F$2:$F$1001,$F534,Clean_Data!$W$2:$W$1001,$W534,Clean_Data!$V$2:$V$1001,1))</f>
        <v>183.535714285714</v>
      </c>
      <c r="AM534" s="16">
        <f>IF($V534&lt;&gt;1,"",IFERROR(($P534-$AL534)/SQRT(MAX(0,(SUMIFS(Clean_Data!$AK$2:$AK$1001,Clean_Data!$F$2:$F$1001,$F534,Clean_Data!$W$2:$W$1001,$W534,Clean_Data!$V$2:$V$1001,1)-COUNTIFS(Clean_Data!$F$2:$F$1001,$F534,Clean_Data!$W$2:$W$1001,$W534,Clean_Data!$V$2:$V$1001,1)*$AL534^2)/(COUNTIFS(Clean_Data!$F$2:$F$1001,$F534,Clean_Data!$W$2:$W$1001,$W534,Clean_Data!$V$2:$V$1001,1)-1))),""))</f>
        <v>-0.134093336838085</v>
      </c>
      <c r="AN534" s="5" t="str">
        <f>IF($AM534="","",IF($AM534&gt;=Lookups!$K$6,"High spike",IF($AM534&lt;=-Lookups!$K$6,"Unusual low","Normal")))</f>
        <v>Normal</v>
      </c>
      <c r="AO534" s="20">
        <f>IF($V534&lt;&gt;1,"",$P534+ROW()/100000)</f>
        <v>177.00534</v>
      </c>
      <c r="AP534" s="5">
        <f>IF($A534="","",IFERROR(MATCH($A534,Raw_D1!$A$2:$A$1001,0),""))</f>
        <v>533</v>
      </c>
      <c r="AQ534" s="5">
        <f>IF($A534="","",IFERROR(MATCH($A534,Raw_D2!$B$2:$B$1001,0),""))</f>
        <v>533</v>
      </c>
      <c r="AR534" s="5">
        <f>IF($A534="","",IFERROR(MATCH($A534,Raw_D3!$A$2:$A$1001,0),""))</f>
        <v/>
      </c>
    </row>
    <row r="535" spans="1:44" x14ac:dyDescent="0.25">
      <c r="A535" s="5">
        <v>534</v>
      </c>
      <c r="B535" s="11">
        <f>IF($A535="","",IF($AP535&lt;&gt;"",INDEX(Raw_D1!$B$2:$B$1001,$AP535),IF($AR535&lt;&gt;"",INDEX(Raw_D3!$B$2:$B$1001,$AR535),"")))</f>
        <v>40567.0</v>
      </c>
      <c r="C535" s="5">
        <f>IF($A535="","",IF($AP535&lt;&gt;"",INDEX(Raw_D1!$C$2:$C$1001,$AP535),IF($AR535&lt;&gt;"",INDEX(Raw_D3!$C$2:$C$1001,$AR535),"")))</f>
        <v>1</v>
      </c>
      <c r="D535" s="5">
        <f>IF($A535="","",IF($AP535&lt;&gt;"",INDEX(Raw_D1!$D$2:$D$1001,$AP535),IF($AR535&lt;&gt;"",INDEX(Raw_D3!$D$2:$D$1001,$AR535),"")))</f>
        <v>0</v>
      </c>
      <c r="E535" s="5">
        <f>IF($A535="","",IF($AP535&lt;&gt;"",INDEX(Raw_D1!$E$2:$E$1001,$AP535),IF($AR535&lt;&gt;"",INDEX(Raw_D3!$E$2:$E$1001,$AR535),"")))</f>
        <v>1</v>
      </c>
      <c r="F535" s="5">
        <f>IF($A535="","",IF($AP535&lt;&gt;"",INDEX(Raw_D1!$F$2:$F$1001,$AP535),IF($AR535&lt;&gt;"",INDEX(Raw_D3!$F$2:$F$1001,$AR535),"")))</f>
        <v>9</v>
      </c>
      <c r="G535" s="5">
        <f>IF($A535="","",IF($AP535&lt;&gt;"",IF(INDEX(Raw_D1!$G$2:$G$1001,$AP535),1,0),IF($AR535&lt;&gt;"",IF(INDEX(Raw_D3!$G$2:$G$1001,$AR535),1,0),"")))</f>
        <v>0</v>
      </c>
      <c r="H535" s="5">
        <f>IF($A535="","",IF($AP535&lt;&gt;"",INDEX(Raw_D1!$H$2:$H$1001,$AP535),IF($AR535&lt;&gt;"",INDEX(Raw_D3!$H$2:$H$1001,$AR535),"")))</f>
        <v>1</v>
      </c>
      <c r="I535" s="5">
        <f>IF($A535="","",IF($AP535&lt;&gt;"",INDEX(Raw_D1!$I$2:$I$1001,$AP535),IF($AR535&lt;&gt;"",INDEX(Raw_D3!$I$2:$I$1001,$AR535),"")))</f>
        <v>1</v>
      </c>
      <c r="J535" s="16">
        <f>IF($A535="","",IF($AP535&lt;&gt;"",INDEX(Raw_D1!$J$2:$J$1001,$AP535),IF($AR535&lt;&gt;"",INDEX(Raw_D3!$J$2:$J$1001,$AR535),"")))</f>
        <v>0.06</v>
      </c>
      <c r="K535" s="17">
        <f>IF($A535="","",IF($AQ535&lt;&gt;"",IF(INDEX(Raw_D2!$C$2:$C$1001,$AQ535)="","",INDEX(Raw_D2!$C$2:$C$1001,$AQ535)),IF($AR535&lt;&gt;"",IF(INDEX(Raw_D3!$K$2:$K$1001,$AR535)="","",INDEX(Raw_D3!$K$2:$K$1001,$AR535)),"")))</f>
        <v>0.1515</v>
      </c>
      <c r="L535" s="16">
        <f>IF($A535="","",IF($AQ535&lt;&gt;"",IF(INDEX(Raw_D2!$D$2:$D$1001,$AQ535)="","",INDEX(Raw_D2!$D$2:$D$1001,$AQ535)),IF($AR535&lt;&gt;"",IF(INDEX(Raw_D3!$L$2:$L$1001,$AR535)="","",INDEX(Raw_D3!$L$2:$L$1001,$AR535)),"")))</f>
        <v>0.41</v>
      </c>
      <c r="M535" s="17">
        <f>IF($A535="","",IF($AQ535&lt;&gt;"",IF(INDEX(Raw_D2!$E$2:$E$1001,$AQ535)="","",INDEX(Raw_D2!$E$2:$E$1001,$AQ535)),IF($AR535&lt;&gt;"",IF(INDEX(Raw_D3!$M$2:$M$1001,$AR535)="","",INDEX(Raw_D3!$M$2:$M$1001,$AR535)),"")))</f>
        <v>0</v>
      </c>
      <c r="N535" s="5">
        <f>IF($A535="","",IF($AQ535&lt;&gt;"",IF(INDEX(Raw_D2!$F$2:$F$1001,$AQ535)="","",INDEX(Raw_D2!$F$2:$F$1001,$AQ535)),IF($AR535&lt;&gt;"",IF(INDEX(Raw_D3!$N$2:$N$1001,$AR535)="","",INDEX(Raw_D3!$N$2:$N$1001,$AR535)),"")))</f>
        <v>4</v>
      </c>
      <c r="O535" s="5">
        <f>IF($A535="","",IF($AQ535&lt;&gt;"",IF(INDEX(Raw_D2!$G$2:$G$1001,$AQ535)="","",INDEX(Raw_D2!$G$2:$G$1001,$AQ535)),IF($AR535&lt;&gt;"",IF(INDEX(Raw_D3!$O$2:$O$1001,$AR535)="","",INDEX(Raw_D3!$O$2:$O$1001,$AR535)),"")))</f>
        <v>98</v>
      </c>
      <c r="P535" s="5">
        <f>IF($A535="","",IF($AQ535&lt;&gt;"",IF(INDEX(Raw_D2!$H$2:$H$1001,$AQ535)="","",INDEX(Raw_D2!$H$2:$H$1001,$AQ535)),IF($AR535&lt;&gt;"",IF(INDEX(Raw_D3!$P$2:$P$1001,$AR535)="","",INDEX(Raw_D3!$P$2:$P$1001,$AR535)),"")))</f>
        <v>102</v>
      </c>
      <c r="Q535" s="5" t="str">
        <f>IF($A535="","",IF(AND($AP535&lt;&gt;"",$AQ535&lt;&gt;""),"D1+D2",IF($AR535&lt;&gt;"","D3","Incomplete")))</f>
        <v>D1+D2</v>
      </c>
      <c r="R535" s="17">
        <f>IF($A535="","",IF($K535="",IF($J535="","",ROUND(Lookups!$K$5+Lookups!$K$4*$J535,4)),$K535))</f>
        <v>0.1515</v>
      </c>
      <c r="S535" s="5" t="str">
        <f>IF($A535="","",IF($K535="","Imputed","Original"))</f>
        <v>Original</v>
      </c>
      <c r="T535" s="5" t="str">
        <f>IF($A535="","",IF($P535="","Missing",IF($P535=$N535+$O535,"OK","Mismatch")))</f>
        <v>OK</v>
      </c>
      <c r="U535" s="5" t="str">
        <f>IF($A535="","",IF(COUNTIF($A$2:$A535,$A535)&gt;1,"Duplicate","Unique"))</f>
        <v>Unique</v>
      </c>
      <c r="V535" s="5">
        <f>IF($A535="","",IF(AND($U535="Unique",ISNUMBER($P535)),1,0))</f>
        <v>1</v>
      </c>
      <c r="W535" s="5" t="str">
        <f>IF($A535="","",IF(OR($H535=0,$H535=6),"Weekend","Weekday"))</f>
        <v>Weekday</v>
      </c>
      <c r="X535" s="5" t="str">
        <f>IF($A535="","",TEXT($B535,"ddd"))</f>
        <v>Mon</v>
      </c>
      <c r="Y535" s="5" t="str">
        <f>IF($A535="","",TEXT($B535,"mmm"))</f>
        <v>Jan</v>
      </c>
      <c r="Z535" s="5" t="str">
        <f>IF($A535="","",IFERROR(VLOOKUP($C535,Lookups!$D$4:$E$7,2,FALSE),"Unknown"))</f>
        <v>Winter</v>
      </c>
      <c r="AA535" s="5" t="str">
        <f>IF($A535="","",IFERROR(VLOOKUP($I535,Lookups!$A$4:$B$7,2,FALSE),"Unknown"))</f>
        <v>Clear</v>
      </c>
      <c r="AB535" s="5" t="str">
        <f>IF($A535="","",TEXT($F535,"00")&amp;":00")</f>
        <v>09:00</v>
      </c>
      <c r="AC535" s="5" t="str">
        <f>IF($A535="","",VLOOKUP($F535,Lookups!$G$4:$H$8,2,TRUE))</f>
        <v>Morning Peak (06-09)</v>
      </c>
      <c r="AD535" s="18">
        <f>IF($A535="","",IF($J535="","",ROUND($J535*41,1)))</f>
        <v>2.5</v>
      </c>
      <c r="AE535" s="18">
        <f>IF($A535="","",IF($R535="","",ROUND($R535*50,1)))</f>
        <v>7.6</v>
      </c>
      <c r="AF535" s="5">
        <f>IF($A535="","",IF($L535="","",ROUND($L535*100,0)))</f>
        <v>41</v>
      </c>
      <c r="AG535" s="18">
        <f>IF($A535="","",IF($M535="","",ROUND($M535*67,1)))</f>
        <v>0</v>
      </c>
      <c r="AH535" s="19">
        <f>IF($A535="","",IF($P535="","",IF($P535=0,0,$O535/$P535)))</f>
        <v>0.96078431372549</v>
      </c>
      <c r="AI535" s="5" t="str">
        <f>IF($A535="","",IF($P535="","",IF($P535&gt;=Lookups!$K$7,"High",IF($P535&lt;=Lookups!$K$8,"Low","Medium"))))</f>
        <v>High</v>
      </c>
      <c r="AJ535" s="5" t="str">
        <f>IF($A535="","",IF($AD535="","",IF($AD535&lt;5,"Under 5 C",IF($AD535&lt;10,"5-10 C",IF($AD535&lt;15,"10-15 C","15 C and above")))))</f>
        <v>Under 5 C</v>
      </c>
      <c r="AK535" s="5">
        <f>IF($A535="","",IF($P535="","",$P535^2))</f>
        <v>10404</v>
      </c>
      <c r="AL535" s="18">
        <f>IF($V535&lt;&gt;1,"",AVERAGEIFS(Clean_Data!$P$2:$P$1001,Clean_Data!$F$2:$F$1001,$F535,Clean_Data!$W$2:$W$1001,$W535,Clean_Data!$V$2:$V$1001,1))</f>
        <v>115.678571428571</v>
      </c>
      <c r="AM535" s="16">
        <f>IF($V535&lt;&gt;1,"",IFERROR(($P535-$AL535)/SQRT(MAX(0,(SUMIFS(Clean_Data!$AK$2:$AK$1001,Clean_Data!$F$2:$F$1001,$F535,Clean_Data!$W$2:$W$1001,$W535,Clean_Data!$V$2:$V$1001,1)-COUNTIFS(Clean_Data!$F$2:$F$1001,$F535,Clean_Data!$W$2:$W$1001,$W535,Clean_Data!$V$2:$V$1001,1)*$AL535^2)/(COUNTIFS(Clean_Data!$F$2:$F$1001,$F535,Clean_Data!$W$2:$W$1001,$W535,Clean_Data!$V$2:$V$1001,1)-1))),""))</f>
        <v>-0.53062279369874</v>
      </c>
      <c r="AN535" s="5" t="str">
        <f>IF($AM535="","",IF($AM535&gt;=Lookups!$K$6,"High spike",IF($AM535&lt;=-Lookups!$K$6,"Unusual low","Normal")))</f>
        <v>Normal</v>
      </c>
      <c r="AO535" s="20">
        <f>IF($V535&lt;&gt;1,"",$P535+ROW()/100000)</f>
        <v>102.00535</v>
      </c>
      <c r="AP535" s="5">
        <f>IF($A535="","",IFERROR(MATCH($A535,Raw_D1!$A$2:$A$1001,0),""))</f>
        <v>534</v>
      </c>
      <c r="AQ535" s="5">
        <f>IF($A535="","",IFERROR(MATCH($A535,Raw_D2!$B$2:$B$1001,0),""))</f>
        <v>534</v>
      </c>
      <c r="AR535" s="5">
        <f>IF($A535="","",IFERROR(MATCH($A535,Raw_D3!$A$2:$A$1001,0),""))</f>
        <v/>
      </c>
    </row>
    <row r="536" spans="1:44" x14ac:dyDescent="0.25">
      <c r="A536" s="5">
        <v>535</v>
      </c>
      <c r="B536" s="11">
        <f>IF($A536="","",IF($AP536&lt;&gt;"",INDEX(Raw_D1!$B$2:$B$1001,$AP536),IF($AR536&lt;&gt;"",INDEX(Raw_D3!$B$2:$B$1001,$AR536),"")))</f>
        <v>40567.0</v>
      </c>
      <c r="C536" s="5">
        <f>IF($A536="","",IF($AP536&lt;&gt;"",INDEX(Raw_D1!$C$2:$C$1001,$AP536),IF($AR536&lt;&gt;"",INDEX(Raw_D3!$C$2:$C$1001,$AR536),"")))</f>
        <v>1</v>
      </c>
      <c r="D536" s="5">
        <f>IF($A536="","",IF($AP536&lt;&gt;"",INDEX(Raw_D1!$D$2:$D$1001,$AP536),IF($AR536&lt;&gt;"",INDEX(Raw_D3!$D$2:$D$1001,$AR536),"")))</f>
        <v>0</v>
      </c>
      <c r="E536" s="5">
        <f>IF($A536="","",IF($AP536&lt;&gt;"",INDEX(Raw_D1!$E$2:$E$1001,$AP536),IF($AR536&lt;&gt;"",INDEX(Raw_D3!$E$2:$E$1001,$AR536),"")))</f>
        <v>1</v>
      </c>
      <c r="F536" s="5">
        <f>IF($A536="","",IF($AP536&lt;&gt;"",INDEX(Raw_D1!$F$2:$F$1001,$AP536),IF($AR536&lt;&gt;"",INDEX(Raw_D3!$F$2:$F$1001,$AR536),"")))</f>
        <v>10</v>
      </c>
      <c r="G536" s="5">
        <f>IF($A536="","",IF($AP536&lt;&gt;"",IF(INDEX(Raw_D1!$G$2:$G$1001,$AP536),1,0),IF($AR536&lt;&gt;"",IF(INDEX(Raw_D3!$G$2:$G$1001,$AR536),1,0),"")))</f>
        <v>0</v>
      </c>
      <c r="H536" s="5">
        <f>IF($A536="","",IF($AP536&lt;&gt;"",INDEX(Raw_D1!$H$2:$H$1001,$AP536),IF($AR536&lt;&gt;"",INDEX(Raw_D3!$H$2:$H$1001,$AR536),"")))</f>
        <v>1</v>
      </c>
      <c r="I536" s="5">
        <f>IF($A536="","",IF($AP536&lt;&gt;"",INDEX(Raw_D1!$I$2:$I$1001,$AP536),IF($AR536&lt;&gt;"",INDEX(Raw_D3!$I$2:$I$1001,$AR536),"")))</f>
        <v>1</v>
      </c>
      <c r="J536" s="16">
        <f>IF($A536="","",IF($AP536&lt;&gt;"",INDEX(Raw_D1!$J$2:$J$1001,$AP536),IF($AR536&lt;&gt;"",INDEX(Raw_D3!$J$2:$J$1001,$AR536),"")))</f>
        <v>0.1</v>
      </c>
      <c r="K536" s="17">
        <f>IF($A536="","",IF($AQ536&lt;&gt;"",IF(INDEX(Raw_D2!$C$2:$C$1001,$AQ536)="","",INDEX(Raw_D2!$C$2:$C$1001,$AQ536)),IF($AR536&lt;&gt;"",IF(INDEX(Raw_D3!$K$2:$K$1001,$AR536)="","",INDEX(Raw_D3!$K$2:$K$1001,$AR536)),"")))</f>
        <v>0.1364</v>
      </c>
      <c r="L536" s="16">
        <f>IF($A536="","",IF($AQ536&lt;&gt;"",IF(INDEX(Raw_D2!$D$2:$D$1001,$AQ536)="","",INDEX(Raw_D2!$D$2:$D$1001,$AQ536)),IF($AR536&lt;&gt;"",IF(INDEX(Raw_D3!$L$2:$L$1001,$AR536)="","",INDEX(Raw_D3!$L$2:$L$1001,$AR536)),"")))</f>
        <v>0.42</v>
      </c>
      <c r="M536" s="17">
        <f>IF($A536="","",IF($AQ536&lt;&gt;"",IF(INDEX(Raw_D2!$E$2:$E$1001,$AQ536)="","",INDEX(Raw_D2!$E$2:$E$1001,$AQ536)),IF($AR536&lt;&gt;"",IF(INDEX(Raw_D3!$M$2:$M$1001,$AR536)="","",INDEX(Raw_D3!$M$2:$M$1001,$AR536)),"")))</f>
        <v>0</v>
      </c>
      <c r="N536" s="5">
        <f>IF($A536="","",IF($AQ536&lt;&gt;"",IF(INDEX(Raw_D2!$F$2:$F$1001,$AQ536)="","",INDEX(Raw_D2!$F$2:$F$1001,$AQ536)),IF($AR536&lt;&gt;"",IF(INDEX(Raw_D3!$N$2:$N$1001,$AR536)="","",INDEX(Raw_D3!$N$2:$N$1001,$AR536)),"")))</f>
        <v>6</v>
      </c>
      <c r="O536" s="5">
        <f>IF($A536="","",IF($AQ536&lt;&gt;"",IF(INDEX(Raw_D2!$G$2:$G$1001,$AQ536)="","",INDEX(Raw_D2!$G$2:$G$1001,$AQ536)),IF($AR536&lt;&gt;"",IF(INDEX(Raw_D3!$O$2:$O$1001,$AR536)="","",INDEX(Raw_D3!$O$2:$O$1001,$AR536)),"")))</f>
        <v>34</v>
      </c>
      <c r="P536" s="5">
        <f>IF($A536="","",IF($AQ536&lt;&gt;"",IF(INDEX(Raw_D2!$H$2:$H$1001,$AQ536)="","",INDEX(Raw_D2!$H$2:$H$1001,$AQ536)),IF($AR536&lt;&gt;"",IF(INDEX(Raw_D3!$P$2:$P$1001,$AR536)="","",INDEX(Raw_D3!$P$2:$P$1001,$AR536)),"")))</f>
        <v>40</v>
      </c>
      <c r="Q536" s="5" t="str">
        <f>IF($A536="","",IF(AND($AP536&lt;&gt;"",$AQ536&lt;&gt;""),"D1+D2",IF($AR536&lt;&gt;"","D3","Incomplete")))</f>
        <v>D1+D2</v>
      </c>
      <c r="R536" s="17">
        <f>IF($A536="","",IF($K536="",IF($J536="","",ROUND(Lookups!$K$5+Lookups!$K$4*$J536,4)),$K536))</f>
        <v>0.1364</v>
      </c>
      <c r="S536" s="5" t="str">
        <f>IF($A536="","",IF($K536="","Imputed","Original"))</f>
        <v>Original</v>
      </c>
      <c r="T536" s="5" t="str">
        <f>IF($A536="","",IF($P536="","Missing",IF($P536=$N536+$O536,"OK","Mismatch")))</f>
        <v>OK</v>
      </c>
      <c r="U536" s="5" t="str">
        <f>IF($A536="","",IF(COUNTIF($A$2:$A536,$A536)&gt;1,"Duplicate","Unique"))</f>
        <v>Unique</v>
      </c>
      <c r="V536" s="5">
        <f>IF($A536="","",IF(AND($U536="Unique",ISNUMBER($P536)),1,0))</f>
        <v>1</v>
      </c>
      <c r="W536" s="5" t="str">
        <f>IF($A536="","",IF(OR($H536=0,$H536=6),"Weekend","Weekday"))</f>
        <v>Weekday</v>
      </c>
      <c r="X536" s="5" t="str">
        <f>IF($A536="","",TEXT($B536,"ddd"))</f>
        <v>Mon</v>
      </c>
      <c r="Y536" s="5" t="str">
        <f>IF($A536="","",TEXT($B536,"mmm"))</f>
        <v>Jan</v>
      </c>
      <c r="Z536" s="5" t="str">
        <f>IF($A536="","",IFERROR(VLOOKUP($C536,Lookups!$D$4:$E$7,2,FALSE),"Unknown"))</f>
        <v>Winter</v>
      </c>
      <c r="AA536" s="5" t="str">
        <f>IF($A536="","",IFERROR(VLOOKUP($I536,Lookups!$A$4:$B$7,2,FALSE),"Unknown"))</f>
        <v>Clear</v>
      </c>
      <c r="AB536" s="5" t="str">
        <f>IF($A536="","",TEXT($F536,"00")&amp;":00")</f>
        <v>10:00</v>
      </c>
      <c r="AC536" s="5" t="str">
        <f>IF($A536="","",VLOOKUP($F536,Lookups!$G$4:$H$8,2,TRUE))</f>
        <v>Midday (10-15)</v>
      </c>
      <c r="AD536" s="18">
        <f>IF($A536="","",IF($J536="","",ROUND($J536*41,1)))</f>
        <v>4.1</v>
      </c>
      <c r="AE536" s="18">
        <f>IF($A536="","",IF($R536="","",ROUND($R536*50,1)))</f>
        <v>6.8</v>
      </c>
      <c r="AF536" s="5">
        <f>IF($A536="","",IF($L536="","",ROUND($L536*100,0)))</f>
        <v>42</v>
      </c>
      <c r="AG536" s="18">
        <f>IF($A536="","",IF($M536="","",ROUND($M536*67,1)))</f>
        <v>0</v>
      </c>
      <c r="AH536" s="19">
        <f>IF($A536="","",IF($P536="","",IF($P536=0,0,$O536/$P536)))</f>
        <v>0.85</v>
      </c>
      <c r="AI536" s="5" t="str">
        <f>IF($A536="","",IF($P536="","",IF($P536&gt;=Lookups!$K$7,"High",IF($P536&lt;=Lookups!$K$8,"Low","Medium"))))</f>
        <v>Medium</v>
      </c>
      <c r="AJ536" s="5" t="str">
        <f>IF($A536="","",IF($AD536="","",IF($AD536&lt;5,"Under 5 C",IF($AD536&lt;10,"5-10 C",IF($AD536&lt;15,"10-15 C","15 C and above")))))</f>
        <v>Under 5 C</v>
      </c>
      <c r="AK536" s="5">
        <f>IF($A536="","",IF($P536="","",$P536^2))</f>
        <v>1600</v>
      </c>
      <c r="AL536" s="18">
        <f>IF($V536&lt;&gt;1,"",AVERAGEIFS(Clean_Data!$P$2:$P$1001,Clean_Data!$F$2:$F$1001,$F536,Clean_Data!$W$2:$W$1001,$W536,Clean_Data!$V$2:$V$1001,1))</f>
        <v>49.0714285714286</v>
      </c>
      <c r="AM536" s="16">
        <f>IF($V536&lt;&gt;1,"",IFERROR(($P536-$AL536)/SQRT(MAX(0,(SUMIFS(Clean_Data!$AK$2:$AK$1001,Clean_Data!$F$2:$F$1001,$F536,Clean_Data!$W$2:$W$1001,$W536,Clean_Data!$V$2:$V$1001,1)-COUNTIFS(Clean_Data!$F$2:$F$1001,$F536,Clean_Data!$W$2:$W$1001,$W536,Clean_Data!$V$2:$V$1001,1)*$AL536^2)/(COUNTIFS(Clean_Data!$F$2:$F$1001,$F536,Clean_Data!$W$2:$W$1001,$W536,Clean_Data!$V$2:$V$1001,1)-1))),""))</f>
        <v>-0.898881621834549</v>
      </c>
      <c r="AN536" s="5" t="str">
        <f>IF($AM536="","",IF($AM536&gt;=Lookups!$K$6,"High spike",IF($AM536&lt;=-Lookups!$K$6,"Unusual low","Normal")))</f>
        <v>Normal</v>
      </c>
      <c r="AO536" s="20">
        <f>IF($V536&lt;&gt;1,"",$P536+ROW()/100000)</f>
        <v>40.00536</v>
      </c>
      <c r="AP536" s="5">
        <f>IF($A536="","",IFERROR(MATCH($A536,Raw_D1!$A$2:$A$1001,0),""))</f>
        <v>535</v>
      </c>
      <c r="AQ536" s="5">
        <f>IF($A536="","",IFERROR(MATCH($A536,Raw_D2!$B$2:$B$1001,0),""))</f>
        <v>535</v>
      </c>
      <c r="AR536" s="5">
        <f>IF($A536="","",IFERROR(MATCH($A536,Raw_D3!$A$2:$A$1001,0),""))</f>
        <v/>
      </c>
    </row>
    <row r="537" spans="1:44" x14ac:dyDescent="0.25">
      <c r="A537" s="5">
        <v>536</v>
      </c>
      <c r="B537" s="11">
        <f>IF($A537="","",IF($AP537&lt;&gt;"",INDEX(Raw_D1!$B$2:$B$1001,$AP537),IF($AR537&lt;&gt;"",INDEX(Raw_D3!$B$2:$B$1001,$AR537),"")))</f>
        <v>40567.0</v>
      </c>
      <c r="C537" s="5">
        <f>IF($A537="","",IF($AP537&lt;&gt;"",INDEX(Raw_D1!$C$2:$C$1001,$AP537),IF($AR537&lt;&gt;"",INDEX(Raw_D3!$C$2:$C$1001,$AR537),"")))</f>
        <v>1</v>
      </c>
      <c r="D537" s="5">
        <f>IF($A537="","",IF($AP537&lt;&gt;"",INDEX(Raw_D1!$D$2:$D$1001,$AP537),IF($AR537&lt;&gt;"",INDEX(Raw_D3!$D$2:$D$1001,$AR537),"")))</f>
        <v>0</v>
      </c>
      <c r="E537" s="5">
        <f>IF($A537="","",IF($AP537&lt;&gt;"",INDEX(Raw_D1!$E$2:$E$1001,$AP537),IF($AR537&lt;&gt;"",INDEX(Raw_D3!$E$2:$E$1001,$AR537),"")))</f>
        <v>1</v>
      </c>
      <c r="F537" s="5">
        <f>IF($A537="","",IF($AP537&lt;&gt;"",INDEX(Raw_D1!$F$2:$F$1001,$AP537),IF($AR537&lt;&gt;"",INDEX(Raw_D3!$F$2:$F$1001,$AR537),"")))</f>
        <v>11</v>
      </c>
      <c r="G537" s="5">
        <f>IF($A537="","",IF($AP537&lt;&gt;"",IF(INDEX(Raw_D1!$G$2:$G$1001,$AP537),1,0),IF($AR537&lt;&gt;"",IF(INDEX(Raw_D3!$G$2:$G$1001,$AR537),1,0),"")))</f>
        <v>0</v>
      </c>
      <c r="H537" s="5">
        <f>IF($A537="","",IF($AP537&lt;&gt;"",INDEX(Raw_D1!$H$2:$H$1001,$AP537),IF($AR537&lt;&gt;"",INDEX(Raw_D3!$H$2:$H$1001,$AR537),"")))</f>
        <v>1</v>
      </c>
      <c r="I537" s="5">
        <f>IF($A537="","",IF($AP537&lt;&gt;"",INDEX(Raw_D1!$I$2:$I$1001,$AP537),IF($AR537&lt;&gt;"",INDEX(Raw_D3!$I$2:$I$1001,$AR537),"")))</f>
        <v>1</v>
      </c>
      <c r="J537" s="16">
        <f>IF($A537="","",IF($AP537&lt;&gt;"",INDEX(Raw_D1!$J$2:$J$1001,$AP537),IF($AR537&lt;&gt;"",INDEX(Raw_D3!$J$2:$J$1001,$AR537),"")))</f>
        <v>0.1</v>
      </c>
      <c r="K537" s="17">
        <f>IF($A537="","",IF($AQ537&lt;&gt;"",IF(INDEX(Raw_D2!$C$2:$C$1001,$AQ537)="","",INDEX(Raw_D2!$C$2:$C$1001,$AQ537)),IF($AR537&lt;&gt;"",IF(INDEX(Raw_D3!$K$2:$K$1001,$AR537)="","",INDEX(Raw_D3!$K$2:$K$1001,$AR537)),"")))</f>
        <v>0.1212</v>
      </c>
      <c r="L537" s="16">
        <f>IF($A537="","",IF($AQ537&lt;&gt;"",IF(INDEX(Raw_D2!$D$2:$D$1001,$AQ537)="","",INDEX(Raw_D2!$D$2:$D$1001,$AQ537)),IF($AR537&lt;&gt;"",IF(INDEX(Raw_D3!$L$2:$L$1001,$AR537)="","",INDEX(Raw_D3!$L$2:$L$1001,$AR537)),"")))</f>
        <v>0.46</v>
      </c>
      <c r="M537" s="17">
        <f>IF($A537="","",IF($AQ537&lt;&gt;"",IF(INDEX(Raw_D2!$E$2:$E$1001,$AQ537)="","",INDEX(Raw_D2!$E$2:$E$1001,$AQ537)),IF($AR537&lt;&gt;"",IF(INDEX(Raw_D3!$M$2:$M$1001,$AR537)="","",INDEX(Raw_D3!$M$2:$M$1001,$AR537)),"")))</f>
        <v>0.1343</v>
      </c>
      <c r="N537" s="5">
        <f>IF($A537="","",IF($AQ537&lt;&gt;"",IF(INDEX(Raw_D2!$F$2:$F$1001,$AQ537)="","",INDEX(Raw_D2!$F$2:$F$1001,$AQ537)),IF($AR537&lt;&gt;"",IF(INDEX(Raw_D3!$N$2:$N$1001,$AR537)="","",INDEX(Raw_D3!$N$2:$N$1001,$AR537)),"")))</f>
        <v>3</v>
      </c>
      <c r="O537" s="5">
        <f>IF($A537="","",IF($AQ537&lt;&gt;"",IF(INDEX(Raw_D2!$G$2:$G$1001,$AQ537)="","",INDEX(Raw_D2!$G$2:$G$1001,$AQ537)),IF($AR537&lt;&gt;"",IF(INDEX(Raw_D3!$O$2:$O$1001,$AR537)="","",INDEX(Raw_D3!$O$2:$O$1001,$AR537)),"")))</f>
        <v>43</v>
      </c>
      <c r="P537" s="5">
        <f>IF($A537="","",IF($AQ537&lt;&gt;"",IF(INDEX(Raw_D2!$H$2:$H$1001,$AQ537)="","",INDEX(Raw_D2!$H$2:$H$1001,$AQ537)),IF($AR537&lt;&gt;"",IF(INDEX(Raw_D3!$P$2:$P$1001,$AR537)="","",INDEX(Raw_D3!$P$2:$P$1001,$AR537)),"")))</f>
        <v>46</v>
      </c>
      <c r="Q537" s="5" t="str">
        <f>IF($A537="","",IF(AND($AP537&lt;&gt;"",$AQ537&lt;&gt;""),"D1+D2",IF($AR537&lt;&gt;"","D3","Incomplete")))</f>
        <v>D1+D2</v>
      </c>
      <c r="R537" s="17">
        <f>IF($A537="","",IF($K537="",IF($J537="","",ROUND(Lookups!$K$5+Lookups!$K$4*$J537,4)),$K537))</f>
        <v>0.1212</v>
      </c>
      <c r="S537" s="5" t="str">
        <f>IF($A537="","",IF($K537="","Imputed","Original"))</f>
        <v>Original</v>
      </c>
      <c r="T537" s="5" t="str">
        <f>IF($A537="","",IF($P537="","Missing",IF($P537=$N537+$O537,"OK","Mismatch")))</f>
        <v>OK</v>
      </c>
      <c r="U537" s="5" t="str">
        <f>IF($A537="","",IF(COUNTIF($A$2:$A537,$A537)&gt;1,"Duplicate","Unique"))</f>
        <v>Unique</v>
      </c>
      <c r="V537" s="5">
        <f>IF($A537="","",IF(AND($U537="Unique",ISNUMBER($P537)),1,0))</f>
        <v>1</v>
      </c>
      <c r="W537" s="5" t="str">
        <f>IF($A537="","",IF(OR($H537=0,$H537=6),"Weekend","Weekday"))</f>
        <v>Weekday</v>
      </c>
      <c r="X537" s="5" t="str">
        <f>IF($A537="","",TEXT($B537,"ddd"))</f>
        <v>Mon</v>
      </c>
      <c r="Y537" s="5" t="str">
        <f>IF($A537="","",TEXT($B537,"mmm"))</f>
        <v>Jan</v>
      </c>
      <c r="Z537" s="5" t="str">
        <f>IF($A537="","",IFERROR(VLOOKUP($C537,Lookups!$D$4:$E$7,2,FALSE),"Unknown"))</f>
        <v>Winter</v>
      </c>
      <c r="AA537" s="5" t="str">
        <f>IF($A537="","",IFERROR(VLOOKUP($I537,Lookups!$A$4:$B$7,2,FALSE),"Unknown"))</f>
        <v>Clear</v>
      </c>
      <c r="AB537" s="5" t="str">
        <f>IF($A537="","",TEXT($F537,"00")&amp;":00")</f>
        <v>11:00</v>
      </c>
      <c r="AC537" s="5" t="str">
        <f>IF($A537="","",VLOOKUP($F537,Lookups!$G$4:$H$8,2,TRUE))</f>
        <v>Midday (10-15)</v>
      </c>
      <c r="AD537" s="18">
        <f>IF($A537="","",IF($J537="","",ROUND($J537*41,1)))</f>
        <v>4.1</v>
      </c>
      <c r="AE537" s="18">
        <f>IF($A537="","",IF($R537="","",ROUND($R537*50,1)))</f>
        <v>6.1</v>
      </c>
      <c r="AF537" s="5">
        <f>IF($A537="","",IF($L537="","",ROUND($L537*100,0)))</f>
        <v>46</v>
      </c>
      <c r="AG537" s="18">
        <f>IF($A537="","",IF($M537="","",ROUND($M537*67,1)))</f>
        <v>9</v>
      </c>
      <c r="AH537" s="19">
        <f>IF($A537="","",IF($P537="","",IF($P537=0,0,$O537/$P537)))</f>
        <v>0.934782608695652</v>
      </c>
      <c r="AI537" s="5" t="str">
        <f>IF($A537="","",IF($P537="","",IF($P537&gt;=Lookups!$K$7,"High",IF($P537&lt;=Lookups!$K$8,"Low","Medium"))))</f>
        <v>Medium</v>
      </c>
      <c r="AJ537" s="5" t="str">
        <f>IF($A537="","",IF($AD537="","",IF($AD537&lt;5,"Under 5 C",IF($AD537&lt;10,"5-10 C",IF($AD537&lt;15,"10-15 C","15 C and above")))))</f>
        <v>Under 5 C</v>
      </c>
      <c r="AK537" s="5">
        <f>IF($A537="","",IF($P537="","",$P537^2))</f>
        <v>2116</v>
      </c>
      <c r="AL537" s="18">
        <f>IF($V537&lt;&gt;1,"",AVERAGEIFS(Clean_Data!$P$2:$P$1001,Clean_Data!$F$2:$F$1001,$F537,Clean_Data!$W$2:$W$1001,$W537,Clean_Data!$V$2:$V$1001,1))</f>
        <v>50.6071428571429</v>
      </c>
      <c r="AM537" s="16">
        <f>IF($V537&lt;&gt;1,"",IFERROR(($P537-$AL537)/SQRT(MAX(0,(SUMIFS(Clean_Data!$AK$2:$AK$1001,Clean_Data!$F$2:$F$1001,$F537,Clean_Data!$W$2:$W$1001,$W537,Clean_Data!$V$2:$V$1001,1)-COUNTIFS(Clean_Data!$F$2:$F$1001,$F537,Clean_Data!$W$2:$W$1001,$W537,Clean_Data!$V$2:$V$1001,1)*$AL537^2)/(COUNTIFS(Clean_Data!$F$2:$F$1001,$F537,Clean_Data!$W$2:$W$1001,$W537,Clean_Data!$V$2:$V$1001,1)-1))),""))</f>
        <v>-0.411242861942005</v>
      </c>
      <c r="AN537" s="5" t="str">
        <f>IF($AM537="","",IF($AM537&gt;=Lookups!$K$6,"High spike",IF($AM537&lt;=-Lookups!$K$6,"Unusual low","Normal")))</f>
        <v>Normal</v>
      </c>
      <c r="AO537" s="20">
        <f>IF($V537&lt;&gt;1,"",$P537+ROW()/100000)</f>
        <v>46.00537</v>
      </c>
      <c r="AP537" s="5">
        <f>IF($A537="","",IFERROR(MATCH($A537,Raw_D1!$A$2:$A$1001,0),""))</f>
        <v>536</v>
      </c>
      <c r="AQ537" s="5">
        <f>IF($A537="","",IFERROR(MATCH($A537,Raw_D2!$B$2:$B$1001,0),""))</f>
        <v>536</v>
      </c>
      <c r="AR537" s="5">
        <f>IF($A537="","",IFERROR(MATCH($A537,Raw_D3!$A$2:$A$1001,0),""))</f>
        <v/>
      </c>
    </row>
    <row r="538" spans="1:44" x14ac:dyDescent="0.25">
      <c r="A538" s="5">
        <v>537</v>
      </c>
      <c r="B538" s="11">
        <f>IF($A538="","",IF($AP538&lt;&gt;"",INDEX(Raw_D1!$B$2:$B$1001,$AP538),IF($AR538&lt;&gt;"",INDEX(Raw_D3!$B$2:$B$1001,$AR538),"")))</f>
        <v>40567.0</v>
      </c>
      <c r="C538" s="5">
        <f>IF($A538="","",IF($AP538&lt;&gt;"",INDEX(Raw_D1!$C$2:$C$1001,$AP538),IF($AR538&lt;&gt;"",INDEX(Raw_D3!$C$2:$C$1001,$AR538),"")))</f>
        <v>1</v>
      </c>
      <c r="D538" s="5">
        <f>IF($A538="","",IF($AP538&lt;&gt;"",INDEX(Raw_D1!$D$2:$D$1001,$AP538),IF($AR538&lt;&gt;"",INDEX(Raw_D3!$D$2:$D$1001,$AR538),"")))</f>
        <v>0</v>
      </c>
      <c r="E538" s="5">
        <f>IF($A538="","",IF($AP538&lt;&gt;"",INDEX(Raw_D1!$E$2:$E$1001,$AP538),IF($AR538&lt;&gt;"",INDEX(Raw_D3!$E$2:$E$1001,$AR538),"")))</f>
        <v>1</v>
      </c>
      <c r="F538" s="5">
        <f>IF($A538="","",IF($AP538&lt;&gt;"",INDEX(Raw_D1!$F$2:$F$1001,$AP538),IF($AR538&lt;&gt;"",INDEX(Raw_D3!$F$2:$F$1001,$AR538),"")))</f>
        <v>12</v>
      </c>
      <c r="G538" s="5">
        <f>IF($A538="","",IF($AP538&lt;&gt;"",IF(INDEX(Raw_D1!$G$2:$G$1001,$AP538),1,0),IF($AR538&lt;&gt;"",IF(INDEX(Raw_D3!$G$2:$G$1001,$AR538),1,0),"")))</f>
        <v>0</v>
      </c>
      <c r="H538" s="5">
        <f>IF($A538="","",IF($AP538&lt;&gt;"",INDEX(Raw_D1!$H$2:$H$1001,$AP538),IF($AR538&lt;&gt;"",INDEX(Raw_D3!$H$2:$H$1001,$AR538),"")))</f>
        <v>1</v>
      </c>
      <c r="I538" s="5">
        <f>IF($A538="","",IF($AP538&lt;&gt;"",INDEX(Raw_D1!$I$2:$I$1001,$AP538),IF($AR538&lt;&gt;"",INDEX(Raw_D3!$I$2:$I$1001,$AR538),"")))</f>
        <v>2</v>
      </c>
      <c r="J538" s="16">
        <f>IF($A538="","",IF($AP538&lt;&gt;"",INDEX(Raw_D1!$J$2:$J$1001,$AP538),IF($AR538&lt;&gt;"",INDEX(Raw_D3!$J$2:$J$1001,$AR538),"")))</f>
        <v>0.12</v>
      </c>
      <c r="K538" s="17">
        <f>IF($A538="","",IF($AQ538&lt;&gt;"",IF(INDEX(Raw_D2!$C$2:$C$1001,$AQ538)="","",INDEX(Raw_D2!$C$2:$C$1001,$AQ538)),IF($AR538&lt;&gt;"",IF(INDEX(Raw_D3!$K$2:$K$1001,$AR538)="","",INDEX(Raw_D3!$K$2:$K$1001,$AR538)),"")))</f>
        <v>0.1364</v>
      </c>
      <c r="L538" s="16">
        <f>IF($A538="","",IF($AQ538&lt;&gt;"",IF(INDEX(Raw_D2!$D$2:$D$1001,$AQ538)="","",INDEX(Raw_D2!$D$2:$D$1001,$AQ538)),IF($AR538&lt;&gt;"",IF(INDEX(Raw_D3!$L$2:$L$1001,$AR538)="","",INDEX(Raw_D3!$L$2:$L$1001,$AR538)),"")))</f>
        <v>0.42</v>
      </c>
      <c r="M538" s="17">
        <f>IF($A538="","",IF($AQ538&lt;&gt;"",IF(INDEX(Raw_D2!$E$2:$E$1001,$AQ538)="","",INDEX(Raw_D2!$E$2:$E$1001,$AQ538)),IF($AR538&lt;&gt;"",IF(INDEX(Raw_D3!$M$2:$M$1001,$AR538)="","",INDEX(Raw_D3!$M$2:$M$1001,$AR538)),"")))</f>
        <v>0.194</v>
      </c>
      <c r="N538" s="5">
        <f>IF($A538="","",IF($AQ538&lt;&gt;"",IF(INDEX(Raw_D2!$F$2:$F$1001,$AQ538)="","",INDEX(Raw_D2!$F$2:$F$1001,$AQ538)),IF($AR538&lt;&gt;"",IF(INDEX(Raw_D3!$N$2:$N$1001,$AR538)="","",INDEX(Raw_D3!$N$2:$N$1001,$AR538)),"")))</f>
        <v>11</v>
      </c>
      <c r="O538" s="5">
        <f>IF($A538="","",IF($AQ538&lt;&gt;"",IF(INDEX(Raw_D2!$G$2:$G$1001,$AQ538)="","",INDEX(Raw_D2!$G$2:$G$1001,$AQ538)),IF($AR538&lt;&gt;"",IF(INDEX(Raw_D3!$O$2:$O$1001,$AR538)="","",INDEX(Raw_D3!$O$2:$O$1001,$AR538)),"")))</f>
        <v>52</v>
      </c>
      <c r="P538" s="5">
        <f>IF($A538="","",IF($AQ538&lt;&gt;"",IF(INDEX(Raw_D2!$H$2:$H$1001,$AQ538)="","",INDEX(Raw_D2!$H$2:$H$1001,$AQ538)),IF($AR538&lt;&gt;"",IF(INDEX(Raw_D3!$P$2:$P$1001,$AR538)="","",INDEX(Raw_D3!$P$2:$P$1001,$AR538)),"")))</f>
        <v>63</v>
      </c>
      <c r="Q538" s="5" t="str">
        <f>IF($A538="","",IF(AND($AP538&lt;&gt;"",$AQ538&lt;&gt;""),"D1+D2",IF($AR538&lt;&gt;"","D3","Incomplete")))</f>
        <v>D1+D2</v>
      </c>
      <c r="R538" s="17">
        <f>IF($A538="","",IF($K538="",IF($J538="","",ROUND(Lookups!$K$5+Lookups!$K$4*$J538,4)),$K538))</f>
        <v>0.1364</v>
      </c>
      <c r="S538" s="5" t="str">
        <f>IF($A538="","",IF($K538="","Imputed","Original"))</f>
        <v>Original</v>
      </c>
      <c r="T538" s="5" t="str">
        <f>IF($A538="","",IF($P538="","Missing",IF($P538=$N538+$O538,"OK","Mismatch")))</f>
        <v>OK</v>
      </c>
      <c r="U538" s="5" t="str">
        <f>IF($A538="","",IF(COUNTIF($A$2:$A538,$A538)&gt;1,"Duplicate","Unique"))</f>
        <v>Unique</v>
      </c>
      <c r="V538" s="5">
        <f>IF($A538="","",IF(AND($U538="Unique",ISNUMBER($P538)),1,0))</f>
        <v>1</v>
      </c>
      <c r="W538" s="5" t="str">
        <f>IF($A538="","",IF(OR($H538=0,$H538=6),"Weekend","Weekday"))</f>
        <v>Weekday</v>
      </c>
      <c r="X538" s="5" t="str">
        <f>IF($A538="","",TEXT($B538,"ddd"))</f>
        <v>Mon</v>
      </c>
      <c r="Y538" s="5" t="str">
        <f>IF($A538="","",TEXT($B538,"mmm"))</f>
        <v>Jan</v>
      </c>
      <c r="Z538" s="5" t="str">
        <f>IF($A538="","",IFERROR(VLOOKUP($C538,Lookups!$D$4:$E$7,2,FALSE),"Unknown"))</f>
        <v>Winter</v>
      </c>
      <c r="AA538" s="5" t="str">
        <f>IF($A538="","",IFERROR(VLOOKUP($I538,Lookups!$A$4:$B$7,2,FALSE),"Unknown"))</f>
        <v>Mist/Cloudy</v>
      </c>
      <c r="AB538" s="5" t="str">
        <f>IF($A538="","",TEXT($F538,"00")&amp;":00")</f>
        <v>12:00</v>
      </c>
      <c r="AC538" s="5" t="str">
        <f>IF($A538="","",VLOOKUP($F538,Lookups!$G$4:$H$8,2,TRUE))</f>
        <v>Midday (10-15)</v>
      </c>
      <c r="AD538" s="18">
        <f>IF($A538="","",IF($J538="","",ROUND($J538*41,1)))</f>
        <v>4.9</v>
      </c>
      <c r="AE538" s="18">
        <f>IF($A538="","",IF($R538="","",ROUND($R538*50,1)))</f>
        <v>6.8</v>
      </c>
      <c r="AF538" s="5">
        <f>IF($A538="","",IF($L538="","",ROUND($L538*100,0)))</f>
        <v>42</v>
      </c>
      <c r="AG538" s="18">
        <f>IF($A538="","",IF($M538="","",ROUND($M538*67,1)))</f>
        <v>13</v>
      </c>
      <c r="AH538" s="19">
        <f>IF($A538="","",IF($P538="","",IF($P538=0,0,$O538/$P538)))</f>
        <v>0.825396825396825</v>
      </c>
      <c r="AI538" s="5" t="str">
        <f>IF($A538="","",IF($P538="","",IF($P538&gt;=Lookups!$K$7,"High",IF($P538&lt;=Lookups!$K$8,"Low","Medium"))))</f>
        <v>Medium</v>
      </c>
      <c r="AJ538" s="5" t="str">
        <f>IF($A538="","",IF($AD538="","",IF($AD538&lt;5,"Under 5 C",IF($AD538&lt;10,"5-10 C",IF($AD538&lt;15,"10-15 C","15 C and above")))))</f>
        <v>Under 5 C</v>
      </c>
      <c r="AK538" s="5">
        <f>IF($A538="","",IF($P538="","",$P538^2))</f>
        <v>3969</v>
      </c>
      <c r="AL538" s="18">
        <f>IF($V538&lt;&gt;1,"",AVERAGEIFS(Clean_Data!$P$2:$P$1001,Clean_Data!$F$2:$F$1001,$F538,Clean_Data!$W$2:$W$1001,$W538,Clean_Data!$V$2:$V$1001,1))</f>
        <v>64.5862068965517</v>
      </c>
      <c r="AM538" s="16">
        <f>IF($V538&lt;&gt;1,"",IFERROR(($P538-$AL538)/SQRT(MAX(0,(SUMIFS(Clean_Data!$AK$2:$AK$1001,Clean_Data!$F$2:$F$1001,$F538,Clean_Data!$W$2:$W$1001,$W538,Clean_Data!$V$2:$V$1001,1)-COUNTIFS(Clean_Data!$F$2:$F$1001,$F538,Clean_Data!$W$2:$W$1001,$W538,Clean_Data!$V$2:$V$1001,1)*$AL538^2)/(COUNTIFS(Clean_Data!$F$2:$F$1001,$F538,Clean_Data!$W$2:$W$1001,$W538,Clean_Data!$V$2:$V$1001,1)-1))),""))</f>
        <v>-0.0846954795779628</v>
      </c>
      <c r="AN538" s="5" t="str">
        <f>IF($AM538="","",IF($AM538&gt;=Lookups!$K$6,"High spike",IF($AM538&lt;=-Lookups!$K$6,"Unusual low","Normal")))</f>
        <v>Normal</v>
      </c>
      <c r="AO538" s="20">
        <f>IF($V538&lt;&gt;1,"",$P538+ROW()/100000)</f>
        <v>63.00538</v>
      </c>
      <c r="AP538" s="5">
        <f>IF($A538="","",IFERROR(MATCH($A538,Raw_D1!$A$2:$A$1001,0),""))</f>
        <v>537</v>
      </c>
      <c r="AQ538" s="5">
        <f>IF($A538="","",IFERROR(MATCH($A538,Raw_D2!$B$2:$B$1001,0),""))</f>
        <v>537</v>
      </c>
      <c r="AR538" s="5">
        <f>IF($A538="","",IFERROR(MATCH($A538,Raw_D3!$A$2:$A$1001,0),""))</f>
        <v/>
      </c>
    </row>
    <row r="539" spans="1:44" x14ac:dyDescent="0.25">
      <c r="A539" s="5">
        <v>538</v>
      </c>
      <c r="B539" s="11">
        <f>IF($A539="","",IF($AP539&lt;&gt;"",INDEX(Raw_D1!$B$2:$B$1001,$AP539),IF($AR539&lt;&gt;"",INDEX(Raw_D3!$B$2:$B$1001,$AR539),"")))</f>
        <v>40567.0</v>
      </c>
      <c r="C539" s="5">
        <f>IF($A539="","",IF($AP539&lt;&gt;"",INDEX(Raw_D1!$C$2:$C$1001,$AP539),IF($AR539&lt;&gt;"",INDEX(Raw_D3!$C$2:$C$1001,$AR539),"")))</f>
        <v>1</v>
      </c>
      <c r="D539" s="5">
        <f>IF($A539="","",IF($AP539&lt;&gt;"",INDEX(Raw_D1!$D$2:$D$1001,$AP539),IF($AR539&lt;&gt;"",INDEX(Raw_D3!$D$2:$D$1001,$AR539),"")))</f>
        <v>0</v>
      </c>
      <c r="E539" s="5">
        <f>IF($A539="","",IF($AP539&lt;&gt;"",INDEX(Raw_D1!$E$2:$E$1001,$AP539),IF($AR539&lt;&gt;"",INDEX(Raw_D3!$E$2:$E$1001,$AR539),"")))</f>
        <v>1</v>
      </c>
      <c r="F539" s="5">
        <f>IF($A539="","",IF($AP539&lt;&gt;"",INDEX(Raw_D1!$F$2:$F$1001,$AP539),IF($AR539&lt;&gt;"",INDEX(Raw_D3!$F$2:$F$1001,$AR539),"")))</f>
        <v>13</v>
      </c>
      <c r="G539" s="5">
        <f>IF($A539="","",IF($AP539&lt;&gt;"",IF(INDEX(Raw_D1!$G$2:$G$1001,$AP539),1,0),IF($AR539&lt;&gt;"",IF(INDEX(Raw_D3!$G$2:$G$1001,$AR539),1,0),"")))</f>
        <v>0</v>
      </c>
      <c r="H539" s="5">
        <f>IF($A539="","",IF($AP539&lt;&gt;"",INDEX(Raw_D1!$H$2:$H$1001,$AP539),IF($AR539&lt;&gt;"",INDEX(Raw_D3!$H$2:$H$1001,$AR539),"")))</f>
        <v>1</v>
      </c>
      <c r="I539" s="5">
        <f>IF($A539="","",IF($AP539&lt;&gt;"",INDEX(Raw_D1!$I$2:$I$1001,$AP539),IF($AR539&lt;&gt;"",INDEX(Raw_D3!$I$2:$I$1001,$AR539),"")))</f>
        <v>2</v>
      </c>
      <c r="J539" s="16">
        <f>IF($A539="","",IF($AP539&lt;&gt;"",INDEX(Raw_D1!$J$2:$J$1001,$AP539),IF($AR539&lt;&gt;"",INDEX(Raw_D3!$J$2:$J$1001,$AR539),"")))</f>
        <v>0.14</v>
      </c>
      <c r="K539" s="17">
        <f>IF($A539="","",IF($AQ539&lt;&gt;"",IF(INDEX(Raw_D2!$C$2:$C$1001,$AQ539)="","",INDEX(Raw_D2!$C$2:$C$1001,$AQ539)),IF($AR539&lt;&gt;"",IF(INDEX(Raw_D3!$K$2:$K$1001,$AR539)="","",INDEX(Raw_D3!$K$2:$K$1001,$AR539)),"")))</f>
        <v>0.1364</v>
      </c>
      <c r="L539" s="16">
        <f>IF($A539="","",IF($AQ539&lt;&gt;"",IF(INDEX(Raw_D2!$D$2:$D$1001,$AQ539)="","",INDEX(Raw_D2!$D$2:$D$1001,$AQ539)),IF($AR539&lt;&gt;"",IF(INDEX(Raw_D3!$L$2:$L$1001,$AR539)="","",INDEX(Raw_D3!$L$2:$L$1001,$AR539)),"")))</f>
        <v>0.43</v>
      </c>
      <c r="M539" s="17">
        <f>IF($A539="","",IF($AQ539&lt;&gt;"",IF(INDEX(Raw_D2!$E$2:$E$1001,$AQ539)="","",INDEX(Raw_D2!$E$2:$E$1001,$AQ539)),IF($AR539&lt;&gt;"",IF(INDEX(Raw_D3!$M$2:$M$1001,$AR539)="","",INDEX(Raw_D3!$M$2:$M$1001,$AR539)),"")))</f>
        <v>0.2239</v>
      </c>
      <c r="N539" s="5">
        <f>IF($A539="","",IF($AQ539&lt;&gt;"",IF(INDEX(Raw_D2!$F$2:$F$1001,$AQ539)="","",INDEX(Raw_D2!$F$2:$F$1001,$AQ539)),IF($AR539&lt;&gt;"",IF(INDEX(Raw_D3!$N$2:$N$1001,$AR539)="","",INDEX(Raw_D3!$N$2:$N$1001,$AR539)),"")))</f>
        <v>6</v>
      </c>
      <c r="O539" s="5">
        <f>IF($A539="","",IF($AQ539&lt;&gt;"",IF(INDEX(Raw_D2!$G$2:$G$1001,$AQ539)="","",INDEX(Raw_D2!$G$2:$G$1001,$AQ539)),IF($AR539&lt;&gt;"",IF(INDEX(Raw_D3!$O$2:$O$1001,$AR539)="","",INDEX(Raw_D3!$O$2:$O$1001,$AR539)),"")))</f>
        <v>54</v>
      </c>
      <c r="P539" s="5">
        <f>IF($A539="","",IF($AQ539&lt;&gt;"",IF(INDEX(Raw_D2!$H$2:$H$1001,$AQ539)="","",INDEX(Raw_D2!$H$2:$H$1001,$AQ539)),IF($AR539&lt;&gt;"",IF(INDEX(Raw_D3!$P$2:$P$1001,$AR539)="","",INDEX(Raw_D3!$P$2:$P$1001,$AR539)),"")))</f>
        <v>60</v>
      </c>
      <c r="Q539" s="5" t="str">
        <f>IF($A539="","",IF(AND($AP539&lt;&gt;"",$AQ539&lt;&gt;""),"D1+D2",IF($AR539&lt;&gt;"","D3","Incomplete")))</f>
        <v>D1+D2</v>
      </c>
      <c r="R539" s="17">
        <f>IF($A539="","",IF($K539="",IF($J539="","",ROUND(Lookups!$K$5+Lookups!$K$4*$J539,4)),$K539))</f>
        <v>0.1364</v>
      </c>
      <c r="S539" s="5" t="str">
        <f>IF($A539="","",IF($K539="","Imputed","Original"))</f>
        <v>Original</v>
      </c>
      <c r="T539" s="5" t="str">
        <f>IF($A539="","",IF($P539="","Missing",IF($P539=$N539+$O539,"OK","Mismatch")))</f>
        <v>OK</v>
      </c>
      <c r="U539" s="5" t="str">
        <f>IF($A539="","",IF(COUNTIF($A$2:$A539,$A539)&gt;1,"Duplicate","Unique"))</f>
        <v>Unique</v>
      </c>
      <c r="V539" s="5">
        <f>IF($A539="","",IF(AND($U539="Unique",ISNUMBER($P539)),1,0))</f>
        <v>1</v>
      </c>
      <c r="W539" s="5" t="str">
        <f>IF($A539="","",IF(OR($H539=0,$H539=6),"Weekend","Weekday"))</f>
        <v>Weekday</v>
      </c>
      <c r="X539" s="5" t="str">
        <f>IF($A539="","",TEXT($B539,"ddd"))</f>
        <v>Mon</v>
      </c>
      <c r="Y539" s="5" t="str">
        <f>IF($A539="","",TEXT($B539,"mmm"))</f>
        <v>Jan</v>
      </c>
      <c r="Z539" s="5" t="str">
        <f>IF($A539="","",IFERROR(VLOOKUP($C539,Lookups!$D$4:$E$7,2,FALSE),"Unknown"))</f>
        <v>Winter</v>
      </c>
      <c r="AA539" s="5" t="str">
        <f>IF($A539="","",IFERROR(VLOOKUP($I539,Lookups!$A$4:$B$7,2,FALSE),"Unknown"))</f>
        <v>Mist/Cloudy</v>
      </c>
      <c r="AB539" s="5" t="str">
        <f>IF($A539="","",TEXT($F539,"00")&amp;":00")</f>
        <v>13:00</v>
      </c>
      <c r="AC539" s="5" t="str">
        <f>IF($A539="","",VLOOKUP($F539,Lookups!$G$4:$H$8,2,TRUE))</f>
        <v>Midday (10-15)</v>
      </c>
      <c r="AD539" s="18">
        <f>IF($A539="","",IF($J539="","",ROUND($J539*41,1)))</f>
        <v>5.7</v>
      </c>
      <c r="AE539" s="18">
        <f>IF($A539="","",IF($R539="","",ROUND($R539*50,1)))</f>
        <v>6.8</v>
      </c>
      <c r="AF539" s="5">
        <f>IF($A539="","",IF($L539="","",ROUND($L539*100,0)))</f>
        <v>43</v>
      </c>
      <c r="AG539" s="18">
        <f>IF($A539="","",IF($M539="","",ROUND($M539*67,1)))</f>
        <v>15</v>
      </c>
      <c r="AH539" s="19">
        <f>IF($A539="","",IF($P539="","",IF($P539=0,0,$O539/$P539)))</f>
        <v>0.9</v>
      </c>
      <c r="AI539" s="5" t="str">
        <f>IF($A539="","",IF($P539="","",IF($P539&gt;=Lookups!$K$7,"High",IF($P539&lt;=Lookups!$K$8,"Low","Medium"))))</f>
        <v>Medium</v>
      </c>
      <c r="AJ539" s="5" t="str">
        <f>IF($A539="","",IF($AD539="","",IF($AD539&lt;5,"Under 5 C",IF($AD539&lt;10,"5-10 C",IF($AD539&lt;15,"10-15 C","15 C and above")))))</f>
        <v>5-10 C</v>
      </c>
      <c r="AK539" s="5">
        <f>IF($A539="","",IF($P539="","",$P539^2))</f>
        <v>3600</v>
      </c>
      <c r="AL539" s="18">
        <f>IF($V539&lt;&gt;1,"",AVERAGEIFS(Clean_Data!$P$2:$P$1001,Clean_Data!$F$2:$F$1001,$F539,Clean_Data!$W$2:$W$1001,$W539,Clean_Data!$V$2:$V$1001,1))</f>
        <v>67.1724137931034</v>
      </c>
      <c r="AM539" s="16">
        <f>IF($V539&lt;&gt;1,"",IFERROR(($P539-$AL539)/SQRT(MAX(0,(SUMIFS(Clean_Data!$AK$2:$AK$1001,Clean_Data!$F$2:$F$1001,$F539,Clean_Data!$W$2:$W$1001,$W539,Clean_Data!$V$2:$V$1001,1)-COUNTIFS(Clean_Data!$F$2:$F$1001,$F539,Clean_Data!$W$2:$W$1001,$W539,Clean_Data!$V$2:$V$1001,1)*$AL539^2)/(COUNTIFS(Clean_Data!$F$2:$F$1001,$F539,Clean_Data!$W$2:$W$1001,$W539,Clean_Data!$V$2:$V$1001,1)-1))),""))</f>
        <v>-0.355209644520171</v>
      </c>
      <c r="AN539" s="5" t="str">
        <f>IF($AM539="","",IF($AM539&gt;=Lookups!$K$6,"High spike",IF($AM539&lt;=-Lookups!$K$6,"Unusual low","Normal")))</f>
        <v>Normal</v>
      </c>
      <c r="AO539" s="20">
        <f>IF($V539&lt;&gt;1,"",$P539+ROW()/100000)</f>
        <v>60.00539</v>
      </c>
      <c r="AP539" s="5">
        <f>IF($A539="","",IFERROR(MATCH($A539,Raw_D1!$A$2:$A$1001,0),""))</f>
        <v>538</v>
      </c>
      <c r="AQ539" s="5">
        <f>IF($A539="","",IFERROR(MATCH($A539,Raw_D2!$B$2:$B$1001,0),""))</f>
        <v>538</v>
      </c>
      <c r="AR539" s="5">
        <f>IF($A539="","",IFERROR(MATCH($A539,Raw_D3!$A$2:$A$1001,0),""))</f>
        <v/>
      </c>
    </row>
    <row r="540" spans="1:44" x14ac:dyDescent="0.25">
      <c r="A540" s="5">
        <v>539</v>
      </c>
      <c r="B540" s="11">
        <f>IF($A540="","",IF($AP540&lt;&gt;"",INDEX(Raw_D1!$B$2:$B$1001,$AP540),IF($AR540&lt;&gt;"",INDEX(Raw_D3!$B$2:$B$1001,$AR540),"")))</f>
        <v>40567.0</v>
      </c>
      <c r="C540" s="5">
        <f>IF($A540="","",IF($AP540&lt;&gt;"",INDEX(Raw_D1!$C$2:$C$1001,$AP540),IF($AR540&lt;&gt;"",INDEX(Raw_D3!$C$2:$C$1001,$AR540),"")))</f>
        <v>1</v>
      </c>
      <c r="D540" s="5">
        <f>IF($A540="","",IF($AP540&lt;&gt;"",INDEX(Raw_D1!$D$2:$D$1001,$AP540),IF($AR540&lt;&gt;"",INDEX(Raw_D3!$D$2:$D$1001,$AR540),"")))</f>
        <v>0</v>
      </c>
      <c r="E540" s="5">
        <f>IF($A540="","",IF($AP540&lt;&gt;"",INDEX(Raw_D1!$E$2:$E$1001,$AP540),IF($AR540&lt;&gt;"",INDEX(Raw_D3!$E$2:$E$1001,$AR540),"")))</f>
        <v>1</v>
      </c>
      <c r="F540" s="5">
        <f>IF($A540="","",IF($AP540&lt;&gt;"",INDEX(Raw_D1!$F$2:$F$1001,$AP540),IF($AR540&lt;&gt;"",INDEX(Raw_D3!$F$2:$F$1001,$AR540),"")))</f>
        <v>14</v>
      </c>
      <c r="G540" s="5">
        <f>IF($A540="","",IF($AP540&lt;&gt;"",IF(INDEX(Raw_D1!$G$2:$G$1001,$AP540),1,0),IF($AR540&lt;&gt;"",IF(INDEX(Raw_D3!$G$2:$G$1001,$AR540),1,0),"")))</f>
        <v>0</v>
      </c>
      <c r="H540" s="5">
        <f>IF($A540="","",IF($AP540&lt;&gt;"",INDEX(Raw_D1!$H$2:$H$1001,$AP540),IF($AR540&lt;&gt;"",INDEX(Raw_D3!$H$2:$H$1001,$AR540),"")))</f>
        <v>1</v>
      </c>
      <c r="I540" s="5">
        <f>IF($A540="","",IF($AP540&lt;&gt;"",INDEX(Raw_D1!$I$2:$I$1001,$AP540),IF($AR540&lt;&gt;"",INDEX(Raw_D3!$I$2:$I$1001,$AR540),"")))</f>
        <v>2</v>
      </c>
      <c r="J540" s="16">
        <f>IF($A540="","",IF($AP540&lt;&gt;"",INDEX(Raw_D1!$J$2:$J$1001,$AP540),IF($AR540&lt;&gt;"",INDEX(Raw_D3!$J$2:$J$1001,$AR540),"")))</f>
        <v>0.14</v>
      </c>
      <c r="K540" s="17">
        <f>IF($A540="","",IF($AQ540&lt;&gt;"",IF(INDEX(Raw_D2!$C$2:$C$1001,$AQ540)="","",INDEX(Raw_D2!$C$2:$C$1001,$AQ540)),IF($AR540&lt;&gt;"",IF(INDEX(Raw_D3!$K$2:$K$1001,$AR540)="","",INDEX(Raw_D3!$K$2:$K$1001,$AR540)),"")))</f>
        <v>0.1364</v>
      </c>
      <c r="L540" s="16">
        <f>IF($A540="","",IF($AQ540&lt;&gt;"",IF(INDEX(Raw_D2!$D$2:$D$1001,$AQ540)="","",INDEX(Raw_D2!$D$2:$D$1001,$AQ540)),IF($AR540&lt;&gt;"",IF(INDEX(Raw_D3!$L$2:$L$1001,$AR540)="","",INDEX(Raw_D3!$L$2:$L$1001,$AR540)),"")))</f>
        <v>0.46</v>
      </c>
      <c r="M540" s="17">
        <f>IF($A540="","",IF($AQ540&lt;&gt;"",IF(INDEX(Raw_D2!$E$2:$E$1001,$AQ540)="","",INDEX(Raw_D2!$E$2:$E$1001,$AQ540)),IF($AR540&lt;&gt;"",IF(INDEX(Raw_D3!$M$2:$M$1001,$AR540)="","",INDEX(Raw_D3!$M$2:$M$1001,$AR540)),"")))</f>
        <v>0.2239</v>
      </c>
      <c r="N540" s="5">
        <f>IF($A540="","",IF($AQ540&lt;&gt;"",IF(INDEX(Raw_D2!$F$2:$F$1001,$AQ540)="","",INDEX(Raw_D2!$F$2:$F$1001,$AQ540)),IF($AR540&lt;&gt;"",IF(INDEX(Raw_D3!$N$2:$N$1001,$AR540)="","",INDEX(Raw_D3!$N$2:$N$1001,$AR540)),"")))</f>
        <v>2</v>
      </c>
      <c r="O540" s="5">
        <f>IF($A540="","",IF($AQ540&lt;&gt;"",IF(INDEX(Raw_D2!$G$2:$G$1001,$AQ540)="","",INDEX(Raw_D2!$G$2:$G$1001,$AQ540)),IF($AR540&lt;&gt;"",IF(INDEX(Raw_D3!$O$2:$O$1001,$AR540)="","",INDEX(Raw_D3!$O$2:$O$1001,$AR540)),"")))</f>
        <v>43</v>
      </c>
      <c r="P540" s="5">
        <f>IF($A540="","",IF($AQ540&lt;&gt;"",IF(INDEX(Raw_D2!$H$2:$H$1001,$AQ540)="","",INDEX(Raw_D2!$H$2:$H$1001,$AQ540)),IF($AR540&lt;&gt;"",IF(INDEX(Raw_D3!$P$2:$P$1001,$AR540)="","",INDEX(Raw_D3!$P$2:$P$1001,$AR540)),"")))</f>
        <v>45</v>
      </c>
      <c r="Q540" s="5" t="str">
        <f>IF($A540="","",IF(AND($AP540&lt;&gt;"",$AQ540&lt;&gt;""),"D1+D2",IF($AR540&lt;&gt;"","D3","Incomplete")))</f>
        <v>D1+D2</v>
      </c>
      <c r="R540" s="17">
        <f>IF($A540="","",IF($K540="",IF($J540="","",ROUND(Lookups!$K$5+Lookups!$K$4*$J540,4)),$K540))</f>
        <v>0.1364</v>
      </c>
      <c r="S540" s="5" t="str">
        <f>IF($A540="","",IF($K540="","Imputed","Original"))</f>
        <v>Original</v>
      </c>
      <c r="T540" s="5" t="str">
        <f>IF($A540="","",IF($P540="","Missing",IF($P540=$N540+$O540,"OK","Mismatch")))</f>
        <v>OK</v>
      </c>
      <c r="U540" s="5" t="str">
        <f>IF($A540="","",IF(COUNTIF($A$2:$A540,$A540)&gt;1,"Duplicate","Unique"))</f>
        <v>Unique</v>
      </c>
      <c r="V540" s="5">
        <f>IF($A540="","",IF(AND($U540="Unique",ISNUMBER($P540)),1,0))</f>
        <v>1</v>
      </c>
      <c r="W540" s="5" t="str">
        <f>IF($A540="","",IF(OR($H540=0,$H540=6),"Weekend","Weekday"))</f>
        <v>Weekday</v>
      </c>
      <c r="X540" s="5" t="str">
        <f>IF($A540="","",TEXT($B540,"ddd"))</f>
        <v>Mon</v>
      </c>
      <c r="Y540" s="5" t="str">
        <f>IF($A540="","",TEXT($B540,"mmm"))</f>
        <v>Jan</v>
      </c>
      <c r="Z540" s="5" t="str">
        <f>IF($A540="","",IFERROR(VLOOKUP($C540,Lookups!$D$4:$E$7,2,FALSE),"Unknown"))</f>
        <v>Winter</v>
      </c>
      <c r="AA540" s="5" t="str">
        <f>IF($A540="","",IFERROR(VLOOKUP($I540,Lookups!$A$4:$B$7,2,FALSE),"Unknown"))</f>
        <v>Mist/Cloudy</v>
      </c>
      <c r="AB540" s="5" t="str">
        <f>IF($A540="","",TEXT($F540,"00")&amp;":00")</f>
        <v>14:00</v>
      </c>
      <c r="AC540" s="5" t="str">
        <f>IF($A540="","",VLOOKUP($F540,Lookups!$G$4:$H$8,2,TRUE))</f>
        <v>Midday (10-15)</v>
      </c>
      <c r="AD540" s="18">
        <f>IF($A540="","",IF($J540="","",ROUND($J540*41,1)))</f>
        <v>5.7</v>
      </c>
      <c r="AE540" s="18">
        <f>IF($A540="","",IF($R540="","",ROUND($R540*50,1)))</f>
        <v>6.8</v>
      </c>
      <c r="AF540" s="5">
        <f>IF($A540="","",IF($L540="","",ROUND($L540*100,0)))</f>
        <v>46</v>
      </c>
      <c r="AG540" s="18">
        <f>IF($A540="","",IF($M540="","",ROUND($M540*67,1)))</f>
        <v>15</v>
      </c>
      <c r="AH540" s="19">
        <f>IF($A540="","",IF($P540="","",IF($P540=0,0,$O540/$P540)))</f>
        <v>0.955555555555556</v>
      </c>
      <c r="AI540" s="5" t="str">
        <f>IF($A540="","",IF($P540="","",IF($P540&gt;=Lookups!$K$7,"High",IF($P540&lt;=Lookups!$K$8,"Low","Medium"))))</f>
        <v>Medium</v>
      </c>
      <c r="AJ540" s="5" t="str">
        <f>IF($A540="","",IF($AD540="","",IF($AD540&lt;5,"Under 5 C",IF($AD540&lt;10,"5-10 C",IF($AD540&lt;15,"10-15 C","15 C and above")))))</f>
        <v>5-10 C</v>
      </c>
      <c r="AK540" s="5">
        <f>IF($A540="","",IF($P540="","",$P540^2))</f>
        <v>2025</v>
      </c>
      <c r="AL540" s="18">
        <f>IF($V540&lt;&gt;1,"",AVERAGEIFS(Clean_Data!$P$2:$P$1001,Clean_Data!$F$2:$F$1001,$F540,Clean_Data!$W$2:$W$1001,$W540,Clean_Data!$V$2:$V$1001,1))</f>
        <v>60.551724137931</v>
      </c>
      <c r="AM540" s="16">
        <f>IF($V540&lt;&gt;1,"",IFERROR(($P540-$AL540)/SQRT(MAX(0,(SUMIFS(Clean_Data!$AK$2:$AK$1001,Clean_Data!$F$2:$F$1001,$F540,Clean_Data!$W$2:$W$1001,$W540,Clean_Data!$V$2:$V$1001,1)-COUNTIFS(Clean_Data!$F$2:$F$1001,$F540,Clean_Data!$W$2:$W$1001,$W540,Clean_Data!$V$2:$V$1001,1)*$AL540^2)/(COUNTIFS(Clean_Data!$F$2:$F$1001,$F540,Clean_Data!$W$2:$W$1001,$W540,Clean_Data!$V$2:$V$1001,1)-1))),""))</f>
        <v>-0.945374698547435</v>
      </c>
      <c r="AN540" s="5" t="str">
        <f>IF($AM540="","",IF($AM540&gt;=Lookups!$K$6,"High spike",IF($AM540&lt;=-Lookups!$K$6,"Unusual low","Normal")))</f>
        <v>Normal</v>
      </c>
      <c r="AO540" s="20">
        <f>IF($V540&lt;&gt;1,"",$P540+ROW()/100000)</f>
        <v>45.0054</v>
      </c>
      <c r="AP540" s="5">
        <f>IF($A540="","",IFERROR(MATCH($A540,Raw_D1!$A$2:$A$1001,0),""))</f>
        <v>539</v>
      </c>
      <c r="AQ540" s="5">
        <f>IF($A540="","",IFERROR(MATCH($A540,Raw_D2!$B$2:$B$1001,0),""))</f>
        <v>539</v>
      </c>
      <c r="AR540" s="5">
        <f>IF($A540="","",IFERROR(MATCH($A540,Raw_D3!$A$2:$A$1001,0),""))</f>
        <v/>
      </c>
    </row>
    <row r="541" spans="1:44" x14ac:dyDescent="0.25">
      <c r="A541" s="5">
        <v>540</v>
      </c>
      <c r="B541" s="11">
        <f>IF($A541="","",IF($AP541&lt;&gt;"",INDEX(Raw_D1!$B$2:$B$1001,$AP541),IF($AR541&lt;&gt;"",INDEX(Raw_D3!$B$2:$B$1001,$AR541),"")))</f>
        <v>40567.0</v>
      </c>
      <c r="C541" s="5">
        <f>IF($A541="","",IF($AP541&lt;&gt;"",INDEX(Raw_D1!$C$2:$C$1001,$AP541),IF($AR541&lt;&gt;"",INDEX(Raw_D3!$C$2:$C$1001,$AR541),"")))</f>
        <v>1</v>
      </c>
      <c r="D541" s="5">
        <f>IF($A541="","",IF($AP541&lt;&gt;"",INDEX(Raw_D1!$D$2:$D$1001,$AP541),IF($AR541&lt;&gt;"",INDEX(Raw_D3!$D$2:$D$1001,$AR541),"")))</f>
        <v>0</v>
      </c>
      <c r="E541" s="5">
        <f>IF($A541="","",IF($AP541&lt;&gt;"",INDEX(Raw_D1!$E$2:$E$1001,$AP541),IF($AR541&lt;&gt;"",INDEX(Raw_D3!$E$2:$E$1001,$AR541),"")))</f>
        <v>1</v>
      </c>
      <c r="F541" s="5">
        <f>IF($A541="","",IF($AP541&lt;&gt;"",INDEX(Raw_D1!$F$2:$F$1001,$AP541),IF($AR541&lt;&gt;"",INDEX(Raw_D3!$F$2:$F$1001,$AR541),"")))</f>
        <v>15</v>
      </c>
      <c r="G541" s="5">
        <f>IF($A541="","",IF($AP541&lt;&gt;"",IF(INDEX(Raw_D1!$G$2:$G$1001,$AP541),1,0),IF($AR541&lt;&gt;"",IF(INDEX(Raw_D3!$G$2:$G$1001,$AR541),1,0),"")))</f>
        <v>0</v>
      </c>
      <c r="H541" s="5">
        <f>IF($A541="","",IF($AP541&lt;&gt;"",INDEX(Raw_D1!$H$2:$H$1001,$AP541),IF($AR541&lt;&gt;"",INDEX(Raw_D3!$H$2:$H$1001,$AR541),"")))</f>
        <v>1</v>
      </c>
      <c r="I541" s="5">
        <f>IF($A541="","",IF($AP541&lt;&gt;"",INDEX(Raw_D1!$I$2:$I$1001,$AP541),IF($AR541&lt;&gt;"",INDEX(Raw_D3!$I$2:$I$1001,$AR541),"")))</f>
        <v>1</v>
      </c>
      <c r="J541" s="16">
        <f>IF($A541="","",IF($AP541&lt;&gt;"",INDEX(Raw_D1!$J$2:$J$1001,$AP541),IF($AR541&lt;&gt;"",INDEX(Raw_D3!$J$2:$J$1001,$AR541),"")))</f>
        <v>0.16</v>
      </c>
      <c r="K541" s="17">
        <f>IF($A541="","",IF($AQ541&lt;&gt;"",IF(INDEX(Raw_D2!$C$2:$C$1001,$AQ541)="","",INDEX(Raw_D2!$C$2:$C$1001,$AQ541)),IF($AR541&lt;&gt;"",IF(INDEX(Raw_D3!$K$2:$K$1001,$AR541)="","",INDEX(Raw_D3!$K$2:$K$1001,$AR541)),"")))</f>
        <v>0.1667</v>
      </c>
      <c r="L541" s="16">
        <f>IF($A541="","",IF($AQ541&lt;&gt;"",IF(INDEX(Raw_D2!$D$2:$D$1001,$AQ541)="","",INDEX(Raw_D2!$D$2:$D$1001,$AQ541)),IF($AR541&lt;&gt;"",IF(INDEX(Raw_D3!$L$2:$L$1001,$AR541)="","",INDEX(Raw_D3!$L$2:$L$1001,$AR541)),"")))</f>
        <v>0.4</v>
      </c>
      <c r="M541" s="17">
        <f>IF($A541="","",IF($AQ541&lt;&gt;"",IF(INDEX(Raw_D2!$E$2:$E$1001,$AQ541)="","",INDEX(Raw_D2!$E$2:$E$1001,$AQ541)),IF($AR541&lt;&gt;"",IF(INDEX(Raw_D3!$M$2:$M$1001,$AR541)="","",INDEX(Raw_D3!$M$2:$M$1001,$AR541)),"")))</f>
        <v>0.1642</v>
      </c>
      <c r="N541" s="5">
        <f>IF($A541="","",IF($AQ541&lt;&gt;"",IF(INDEX(Raw_D2!$F$2:$F$1001,$AQ541)="","",INDEX(Raw_D2!$F$2:$F$1001,$AQ541)),IF($AR541&lt;&gt;"",IF(INDEX(Raw_D3!$N$2:$N$1001,$AR541)="","",INDEX(Raw_D3!$N$2:$N$1001,$AR541)),"")))</f>
        <v>7</v>
      </c>
      <c r="O541" s="5">
        <f>IF($A541="","",IF($AQ541&lt;&gt;"",IF(INDEX(Raw_D2!$G$2:$G$1001,$AQ541)="","",INDEX(Raw_D2!$G$2:$G$1001,$AQ541)),IF($AR541&lt;&gt;"",IF(INDEX(Raw_D3!$O$2:$O$1001,$AR541)="","",INDEX(Raw_D3!$O$2:$O$1001,$AR541)),"")))</f>
        <v>50</v>
      </c>
      <c r="P541" s="5">
        <f>IF($A541="","",IF($AQ541&lt;&gt;"",IF(INDEX(Raw_D2!$H$2:$H$1001,$AQ541)="","",INDEX(Raw_D2!$H$2:$H$1001,$AQ541)),IF($AR541&lt;&gt;"",IF(INDEX(Raw_D3!$P$2:$P$1001,$AR541)="","",INDEX(Raw_D3!$P$2:$P$1001,$AR541)),"")))</f>
        <v>57</v>
      </c>
      <c r="Q541" s="5" t="str">
        <f>IF($A541="","",IF(AND($AP541&lt;&gt;"",$AQ541&lt;&gt;""),"D1+D2",IF($AR541&lt;&gt;"","D3","Incomplete")))</f>
        <v>D1+D2</v>
      </c>
      <c r="R541" s="17">
        <f>IF($A541="","",IF($K541="",IF($J541="","",ROUND(Lookups!$K$5+Lookups!$K$4*$J541,4)),$K541))</f>
        <v>0.1667</v>
      </c>
      <c r="S541" s="5" t="str">
        <f>IF($A541="","",IF($K541="","Imputed","Original"))</f>
        <v>Original</v>
      </c>
      <c r="T541" s="5" t="str">
        <f>IF($A541="","",IF($P541="","Missing",IF($P541=$N541+$O541,"OK","Mismatch")))</f>
        <v>OK</v>
      </c>
      <c r="U541" s="5" t="str">
        <f>IF($A541="","",IF(COUNTIF($A$2:$A541,$A541)&gt;1,"Duplicate","Unique"))</f>
        <v>Unique</v>
      </c>
      <c r="V541" s="5">
        <f>IF($A541="","",IF(AND($U541="Unique",ISNUMBER($P541)),1,0))</f>
        <v>1</v>
      </c>
      <c r="W541" s="5" t="str">
        <f>IF($A541="","",IF(OR($H541=0,$H541=6),"Weekend","Weekday"))</f>
        <v>Weekday</v>
      </c>
      <c r="X541" s="5" t="str">
        <f>IF($A541="","",TEXT($B541,"ddd"))</f>
        <v>Mon</v>
      </c>
      <c r="Y541" s="5" t="str">
        <f>IF($A541="","",TEXT($B541,"mmm"))</f>
        <v>Jan</v>
      </c>
      <c r="Z541" s="5" t="str">
        <f>IF($A541="","",IFERROR(VLOOKUP($C541,Lookups!$D$4:$E$7,2,FALSE),"Unknown"))</f>
        <v>Winter</v>
      </c>
      <c r="AA541" s="5" t="str">
        <f>IF($A541="","",IFERROR(VLOOKUP($I541,Lookups!$A$4:$B$7,2,FALSE),"Unknown"))</f>
        <v>Clear</v>
      </c>
      <c r="AB541" s="5" t="str">
        <f>IF($A541="","",TEXT($F541,"00")&amp;":00")</f>
        <v>15:00</v>
      </c>
      <c r="AC541" s="5" t="str">
        <f>IF($A541="","",VLOOKUP($F541,Lookups!$G$4:$H$8,2,TRUE))</f>
        <v>Midday (10-15)</v>
      </c>
      <c r="AD541" s="18">
        <f>IF($A541="","",IF($J541="","",ROUND($J541*41,1)))</f>
        <v>6.6</v>
      </c>
      <c r="AE541" s="18">
        <f>IF($A541="","",IF($R541="","",ROUND($R541*50,1)))</f>
        <v>8.3</v>
      </c>
      <c r="AF541" s="5">
        <f>IF($A541="","",IF($L541="","",ROUND($L541*100,0)))</f>
        <v>40</v>
      </c>
      <c r="AG541" s="18">
        <f>IF($A541="","",IF($M541="","",ROUND($M541*67,1)))</f>
        <v>11</v>
      </c>
      <c r="AH541" s="19">
        <f>IF($A541="","",IF($P541="","",IF($P541=0,0,$O541/$P541)))</f>
        <v>0.87719298245614</v>
      </c>
      <c r="AI541" s="5" t="str">
        <f>IF($A541="","",IF($P541="","",IF($P541&gt;=Lookups!$K$7,"High",IF($P541&lt;=Lookups!$K$8,"Low","Medium"))))</f>
        <v>Medium</v>
      </c>
      <c r="AJ541" s="5" t="str">
        <f>IF($A541="","",IF($AD541="","",IF($AD541&lt;5,"Under 5 C",IF($AD541&lt;10,"5-10 C",IF($AD541&lt;15,"10-15 C","15 C and above")))))</f>
        <v>5-10 C</v>
      </c>
      <c r="AK541" s="5">
        <f>IF($A541="","",IF($P541="","",$P541^2))</f>
        <v>3249</v>
      </c>
      <c r="AL541" s="18">
        <f>IF($V541&lt;&gt;1,"",AVERAGEIFS(Clean_Data!$P$2:$P$1001,Clean_Data!$F$2:$F$1001,$F541,Clean_Data!$W$2:$W$1001,$W541,Clean_Data!$V$2:$V$1001,1))</f>
        <v>61.4827586206897</v>
      </c>
      <c r="AM541" s="16">
        <f>IF($V541&lt;&gt;1,"",IFERROR(($P541-$AL541)/SQRT(MAX(0,(SUMIFS(Clean_Data!$AK$2:$AK$1001,Clean_Data!$F$2:$F$1001,$F541,Clean_Data!$W$2:$W$1001,$W541,Clean_Data!$V$2:$V$1001,1)-COUNTIFS(Clean_Data!$F$2:$F$1001,$F541,Clean_Data!$W$2:$W$1001,$W541,Clean_Data!$V$2:$V$1001,1)*$AL541^2)/(COUNTIFS(Clean_Data!$F$2:$F$1001,$F541,Clean_Data!$W$2:$W$1001,$W541,Clean_Data!$V$2:$V$1001,1)-1))),""))</f>
        <v>-0.297361796023911</v>
      </c>
      <c r="AN541" s="5" t="str">
        <f>IF($AM541="","",IF($AM541&gt;=Lookups!$K$6,"High spike",IF($AM541&lt;=-Lookups!$K$6,"Unusual low","Normal")))</f>
        <v>Normal</v>
      </c>
      <c r="AO541" s="20">
        <f>IF($V541&lt;&gt;1,"",$P541+ROW()/100000)</f>
        <v>57.00541</v>
      </c>
      <c r="AP541" s="5">
        <f>IF($A541="","",IFERROR(MATCH($A541,Raw_D1!$A$2:$A$1001,0),""))</f>
        <v>540</v>
      </c>
      <c r="AQ541" s="5">
        <f>IF($A541="","",IFERROR(MATCH($A541,Raw_D2!$B$2:$B$1001,0),""))</f>
        <v>540</v>
      </c>
      <c r="AR541" s="5">
        <f>IF($A541="","",IFERROR(MATCH($A541,Raw_D3!$A$2:$A$1001,0),""))</f>
        <v/>
      </c>
    </row>
    <row r="542" spans="1:44" x14ac:dyDescent="0.25">
      <c r="A542" s="5">
        <v>541</v>
      </c>
      <c r="B542" s="11">
        <f>IF($A542="","",IF($AP542&lt;&gt;"",INDEX(Raw_D1!$B$2:$B$1001,$AP542),IF($AR542&lt;&gt;"",INDEX(Raw_D3!$B$2:$B$1001,$AR542),"")))</f>
        <v>40567.0</v>
      </c>
      <c r="C542" s="5">
        <f>IF($A542="","",IF($AP542&lt;&gt;"",INDEX(Raw_D1!$C$2:$C$1001,$AP542),IF($AR542&lt;&gt;"",INDEX(Raw_D3!$C$2:$C$1001,$AR542),"")))</f>
        <v>1</v>
      </c>
      <c r="D542" s="5">
        <f>IF($A542="","",IF($AP542&lt;&gt;"",INDEX(Raw_D1!$D$2:$D$1001,$AP542),IF($AR542&lt;&gt;"",INDEX(Raw_D3!$D$2:$D$1001,$AR542),"")))</f>
        <v>0</v>
      </c>
      <c r="E542" s="5">
        <f>IF($A542="","",IF($AP542&lt;&gt;"",INDEX(Raw_D1!$E$2:$E$1001,$AP542),IF($AR542&lt;&gt;"",INDEX(Raw_D3!$E$2:$E$1001,$AR542),"")))</f>
        <v>1</v>
      </c>
      <c r="F542" s="5">
        <f>IF($A542="","",IF($AP542&lt;&gt;"",INDEX(Raw_D1!$F$2:$F$1001,$AP542),IF($AR542&lt;&gt;"",INDEX(Raw_D3!$F$2:$F$1001,$AR542),"")))</f>
        <v>16</v>
      </c>
      <c r="G542" s="5">
        <f>IF($A542="","",IF($AP542&lt;&gt;"",IF(INDEX(Raw_D1!$G$2:$G$1001,$AP542),1,0),IF($AR542&lt;&gt;"",IF(INDEX(Raw_D3!$G$2:$G$1001,$AR542),1,0),"")))</f>
        <v>0</v>
      </c>
      <c r="H542" s="5">
        <f>IF($A542="","",IF($AP542&lt;&gt;"",INDEX(Raw_D1!$H$2:$H$1001,$AP542),IF($AR542&lt;&gt;"",INDEX(Raw_D3!$H$2:$H$1001,$AR542),"")))</f>
        <v>1</v>
      </c>
      <c r="I542" s="5">
        <f>IF($A542="","",IF($AP542&lt;&gt;"",INDEX(Raw_D1!$I$2:$I$1001,$AP542),IF($AR542&lt;&gt;"",INDEX(Raw_D3!$I$2:$I$1001,$AR542),"")))</f>
        <v>1</v>
      </c>
      <c r="J542" s="16">
        <f>IF($A542="","",IF($AP542&lt;&gt;"",INDEX(Raw_D1!$J$2:$J$1001,$AP542),IF($AR542&lt;&gt;"",INDEX(Raw_D3!$J$2:$J$1001,$AR542),"")))</f>
        <v>0.16</v>
      </c>
      <c r="K542" s="17">
        <f>IF($A542="","",IF($AQ542&lt;&gt;"",IF(INDEX(Raw_D2!$C$2:$C$1001,$AQ542)="","",INDEX(Raw_D2!$C$2:$C$1001,$AQ542)),IF($AR542&lt;&gt;"",IF(INDEX(Raw_D3!$K$2:$K$1001,$AR542)="","",INDEX(Raw_D3!$K$2:$K$1001,$AR542)),"")))</f>
        <v>0.1515</v>
      </c>
      <c r="L542" s="16">
        <f>IF($A542="","",IF($AQ542&lt;&gt;"",IF(INDEX(Raw_D2!$D$2:$D$1001,$AQ542)="","",INDEX(Raw_D2!$D$2:$D$1001,$AQ542)),IF($AR542&lt;&gt;"",IF(INDEX(Raw_D3!$L$2:$L$1001,$AR542)="","",INDEX(Raw_D3!$L$2:$L$1001,$AR542)),"")))</f>
        <v>0.47</v>
      </c>
      <c r="M542" s="17">
        <f>IF($A542="","",IF($AQ542&lt;&gt;"",IF(INDEX(Raw_D2!$E$2:$E$1001,$AQ542)="","",INDEX(Raw_D2!$E$2:$E$1001,$AQ542)),IF($AR542&lt;&gt;"",IF(INDEX(Raw_D3!$M$2:$M$1001,$AR542)="","",INDEX(Raw_D3!$M$2:$M$1001,$AR542)),"")))</f>
        <v>0.2537</v>
      </c>
      <c r="N542" s="5">
        <f>IF($A542="","",IF($AQ542&lt;&gt;"",IF(INDEX(Raw_D2!$F$2:$F$1001,$AQ542)="","",INDEX(Raw_D2!$F$2:$F$1001,$AQ542)),IF($AR542&lt;&gt;"",IF(INDEX(Raw_D3!$N$2:$N$1001,$AR542)="","",INDEX(Raw_D3!$N$2:$N$1001,$AR542)),"")))</f>
        <v>4</v>
      </c>
      <c r="O542" s="5">
        <f>IF($A542="","",IF($AQ542&lt;&gt;"",IF(INDEX(Raw_D2!$G$2:$G$1001,$AQ542)="","",INDEX(Raw_D2!$G$2:$G$1001,$AQ542)),IF($AR542&lt;&gt;"",IF(INDEX(Raw_D3!$O$2:$O$1001,$AR542)="","",INDEX(Raw_D3!$O$2:$O$1001,$AR542)),"")))</f>
        <v>66</v>
      </c>
      <c r="P542" s="5">
        <f>IF($A542="","",IF($AQ542&lt;&gt;"",IF(INDEX(Raw_D2!$H$2:$H$1001,$AQ542)="","",INDEX(Raw_D2!$H$2:$H$1001,$AQ542)),IF($AR542&lt;&gt;"",IF(INDEX(Raw_D3!$P$2:$P$1001,$AR542)="","",INDEX(Raw_D3!$P$2:$P$1001,$AR542)),"")))</f>
        <v>70</v>
      </c>
      <c r="Q542" s="5" t="str">
        <f>IF($A542="","",IF(AND($AP542&lt;&gt;"",$AQ542&lt;&gt;""),"D1+D2",IF($AR542&lt;&gt;"","D3","Incomplete")))</f>
        <v>D1+D2</v>
      </c>
      <c r="R542" s="17">
        <f>IF($A542="","",IF($K542="",IF($J542="","",ROUND(Lookups!$K$5+Lookups!$K$4*$J542,4)),$K542))</f>
        <v>0.1515</v>
      </c>
      <c r="S542" s="5" t="str">
        <f>IF($A542="","",IF($K542="","Imputed","Original"))</f>
        <v>Original</v>
      </c>
      <c r="T542" s="5" t="str">
        <f>IF($A542="","",IF($P542="","Missing",IF($P542=$N542+$O542,"OK","Mismatch")))</f>
        <v>OK</v>
      </c>
      <c r="U542" s="5" t="str">
        <f>IF($A542="","",IF(COUNTIF($A$2:$A542,$A542)&gt;1,"Duplicate","Unique"))</f>
        <v>Unique</v>
      </c>
      <c r="V542" s="5">
        <f>IF($A542="","",IF(AND($U542="Unique",ISNUMBER($P542)),1,0))</f>
        <v>1</v>
      </c>
      <c r="W542" s="5" t="str">
        <f>IF($A542="","",IF(OR($H542=0,$H542=6),"Weekend","Weekday"))</f>
        <v>Weekday</v>
      </c>
      <c r="X542" s="5" t="str">
        <f>IF($A542="","",TEXT($B542,"ddd"))</f>
        <v>Mon</v>
      </c>
      <c r="Y542" s="5" t="str">
        <f>IF($A542="","",TEXT($B542,"mmm"))</f>
        <v>Jan</v>
      </c>
      <c r="Z542" s="5" t="str">
        <f>IF($A542="","",IFERROR(VLOOKUP($C542,Lookups!$D$4:$E$7,2,FALSE),"Unknown"))</f>
        <v>Winter</v>
      </c>
      <c r="AA542" s="5" t="str">
        <f>IF($A542="","",IFERROR(VLOOKUP($I542,Lookups!$A$4:$B$7,2,FALSE),"Unknown"))</f>
        <v>Clear</v>
      </c>
      <c r="AB542" s="5" t="str">
        <f>IF($A542="","",TEXT($F542,"00")&amp;":00")</f>
        <v>16:00</v>
      </c>
      <c r="AC542" s="5" t="str">
        <f>IF($A542="","",VLOOKUP($F542,Lookups!$G$4:$H$8,2,TRUE))</f>
        <v>Evening Peak (16-19)</v>
      </c>
      <c r="AD542" s="18">
        <f>IF($A542="","",IF($J542="","",ROUND($J542*41,1)))</f>
        <v>6.6</v>
      </c>
      <c r="AE542" s="18">
        <f>IF($A542="","",IF($R542="","",ROUND($R542*50,1)))</f>
        <v>7.6</v>
      </c>
      <c r="AF542" s="5">
        <f>IF($A542="","",IF($L542="","",ROUND($L542*100,0)))</f>
        <v>47</v>
      </c>
      <c r="AG542" s="18">
        <f>IF($A542="","",IF($M542="","",ROUND($M542*67,1)))</f>
        <v>17</v>
      </c>
      <c r="AH542" s="19">
        <f>IF($A542="","",IF($P542="","",IF($P542=0,0,$O542/$P542)))</f>
        <v>0.942857142857143</v>
      </c>
      <c r="AI542" s="5" t="str">
        <f>IF($A542="","",IF($P542="","",IF($P542&gt;=Lookups!$K$7,"High",IF($P542&lt;=Lookups!$K$8,"Low","Medium"))))</f>
        <v>Medium</v>
      </c>
      <c r="AJ542" s="5" t="str">
        <f>IF($A542="","",IF($AD542="","",IF($AD542&lt;5,"Under 5 C",IF($AD542&lt;10,"5-10 C",IF($AD542&lt;15,"10-15 C","15 C and above")))))</f>
        <v>5-10 C</v>
      </c>
      <c r="AK542" s="5">
        <f>IF($A542="","",IF($P542="","",$P542^2))</f>
        <v>4900</v>
      </c>
      <c r="AL542" s="18">
        <f>IF($V542&lt;&gt;1,"",AVERAGEIFS(Clean_Data!$P$2:$P$1001,Clean_Data!$F$2:$F$1001,$F542,Clean_Data!$W$2:$W$1001,$W542,Clean_Data!$V$2:$V$1001,1))</f>
        <v>82.6333333333333</v>
      </c>
      <c r="AM542" s="16">
        <f>IF($V542&lt;&gt;1,"",IFERROR(($P542-$AL542)/SQRT(MAX(0,(SUMIFS(Clean_Data!$AK$2:$AK$1001,Clean_Data!$F$2:$F$1001,$F542,Clean_Data!$W$2:$W$1001,$W542,Clean_Data!$V$2:$V$1001,1)-COUNTIFS(Clean_Data!$F$2:$F$1001,$F542,Clean_Data!$W$2:$W$1001,$W542,Clean_Data!$V$2:$V$1001,1)*$AL542^2)/(COUNTIFS(Clean_Data!$F$2:$F$1001,$F542,Clean_Data!$W$2:$W$1001,$W542,Clean_Data!$V$2:$V$1001,1)-1))),""))</f>
        <v>-0.60901451264944</v>
      </c>
      <c r="AN542" s="5" t="str">
        <f>IF($AM542="","",IF($AM542&gt;=Lookups!$K$6,"High spike",IF($AM542&lt;=-Lookups!$K$6,"Unusual low","Normal")))</f>
        <v>Normal</v>
      </c>
      <c r="AO542" s="20">
        <f>IF($V542&lt;&gt;1,"",$P542+ROW()/100000)</f>
        <v>70.00542</v>
      </c>
      <c r="AP542" s="5">
        <f>IF($A542="","",IFERROR(MATCH($A542,Raw_D1!$A$2:$A$1001,0),""))</f>
        <v>541</v>
      </c>
      <c r="AQ542" s="5">
        <f>IF($A542="","",IFERROR(MATCH($A542,Raw_D2!$B$2:$B$1001,0),""))</f>
        <v>541</v>
      </c>
      <c r="AR542" s="5">
        <f>IF($A542="","",IFERROR(MATCH($A542,Raw_D3!$A$2:$A$1001,0),""))</f>
        <v/>
      </c>
    </row>
    <row r="543" spans="1:44" x14ac:dyDescent="0.25">
      <c r="A543" s="5">
        <v>542</v>
      </c>
      <c r="B543" s="11">
        <f>IF($A543="","",IF($AP543&lt;&gt;"",INDEX(Raw_D1!$B$2:$B$1001,$AP543),IF($AR543&lt;&gt;"",INDEX(Raw_D3!$B$2:$B$1001,$AR543),"")))</f>
        <v>40567.0</v>
      </c>
      <c r="C543" s="5">
        <f>IF($A543="","",IF($AP543&lt;&gt;"",INDEX(Raw_D1!$C$2:$C$1001,$AP543),IF($AR543&lt;&gt;"",INDEX(Raw_D3!$C$2:$C$1001,$AR543),"")))</f>
        <v>1</v>
      </c>
      <c r="D543" s="5">
        <f>IF($A543="","",IF($AP543&lt;&gt;"",INDEX(Raw_D1!$D$2:$D$1001,$AP543),IF($AR543&lt;&gt;"",INDEX(Raw_D3!$D$2:$D$1001,$AR543),"")))</f>
        <v>0</v>
      </c>
      <c r="E543" s="5">
        <f>IF($A543="","",IF($AP543&lt;&gt;"",INDEX(Raw_D1!$E$2:$E$1001,$AP543),IF($AR543&lt;&gt;"",INDEX(Raw_D3!$E$2:$E$1001,$AR543),"")))</f>
        <v>1</v>
      </c>
      <c r="F543" s="5">
        <f>IF($A543="","",IF($AP543&lt;&gt;"",INDEX(Raw_D1!$F$2:$F$1001,$AP543),IF($AR543&lt;&gt;"",INDEX(Raw_D3!$F$2:$F$1001,$AR543),"")))</f>
        <v>17</v>
      </c>
      <c r="G543" s="5">
        <f>IF($A543="","",IF($AP543&lt;&gt;"",IF(INDEX(Raw_D1!$G$2:$G$1001,$AP543),1,0),IF($AR543&lt;&gt;"",IF(INDEX(Raw_D3!$G$2:$G$1001,$AR543),1,0),"")))</f>
        <v>0</v>
      </c>
      <c r="H543" s="5">
        <f>IF($A543="","",IF($AP543&lt;&gt;"",INDEX(Raw_D1!$H$2:$H$1001,$AP543),IF($AR543&lt;&gt;"",INDEX(Raw_D3!$H$2:$H$1001,$AR543),"")))</f>
        <v>1</v>
      </c>
      <c r="I543" s="5">
        <f>IF($A543="","",IF($AP543&lt;&gt;"",INDEX(Raw_D1!$I$2:$I$1001,$AP543),IF($AR543&lt;&gt;"",INDEX(Raw_D3!$I$2:$I$1001,$AR543),"")))</f>
        <v>1</v>
      </c>
      <c r="J543" s="16">
        <f>IF($A543="","",IF($AP543&lt;&gt;"",INDEX(Raw_D1!$J$2:$J$1001,$AP543),IF($AR543&lt;&gt;"",INDEX(Raw_D3!$J$2:$J$1001,$AR543),"")))</f>
        <v>0.14</v>
      </c>
      <c r="K543" s="17">
        <f>IF($A543="","",IF($AQ543&lt;&gt;"",IF(INDEX(Raw_D2!$C$2:$C$1001,$AQ543)="","",INDEX(Raw_D2!$C$2:$C$1001,$AQ543)),IF($AR543&lt;&gt;"",IF(INDEX(Raw_D3!$K$2:$K$1001,$AR543)="","",INDEX(Raw_D3!$K$2:$K$1001,$AR543)),"")))</f>
        <v>0.1212</v>
      </c>
      <c r="L543" s="16">
        <f>IF($A543="","",IF($AQ543&lt;&gt;"",IF(INDEX(Raw_D2!$D$2:$D$1001,$AQ543)="","",INDEX(Raw_D2!$D$2:$D$1001,$AQ543)),IF($AR543&lt;&gt;"",IF(INDEX(Raw_D3!$L$2:$L$1001,$AR543)="","",INDEX(Raw_D3!$L$2:$L$1001,$AR543)),"")))</f>
        <v>0.5</v>
      </c>
      <c r="M543" s="17">
        <f>IF($A543="","",IF($AQ543&lt;&gt;"",IF(INDEX(Raw_D2!$E$2:$E$1001,$AQ543)="","",INDEX(Raw_D2!$E$2:$E$1001,$AQ543)),IF($AR543&lt;&gt;"",IF(INDEX(Raw_D3!$M$2:$M$1001,$AR543)="","",INDEX(Raw_D3!$M$2:$M$1001,$AR543)),"")))</f>
        <v>0.2537</v>
      </c>
      <c r="N543" s="5">
        <f>IF($A543="","",IF($AQ543&lt;&gt;"",IF(INDEX(Raw_D2!$F$2:$F$1001,$AQ543)="","",INDEX(Raw_D2!$F$2:$F$1001,$AQ543)),IF($AR543&lt;&gt;"",IF(INDEX(Raw_D3!$N$2:$N$1001,$AR543)="","",INDEX(Raw_D3!$N$2:$N$1001,$AR543)),"")))</f>
        <v>6</v>
      </c>
      <c r="O543" s="5">
        <f>IF($A543="","",IF($AQ543&lt;&gt;"",IF(INDEX(Raw_D2!$G$2:$G$1001,$AQ543)="","",INDEX(Raw_D2!$G$2:$G$1001,$AQ543)),IF($AR543&lt;&gt;"",IF(INDEX(Raw_D3!$O$2:$O$1001,$AR543)="","",INDEX(Raw_D3!$O$2:$O$1001,$AR543)),"")))</f>
        <v>178</v>
      </c>
      <c r="P543" s="5">
        <f>IF($A543="","",IF($AQ543&lt;&gt;"",IF(INDEX(Raw_D2!$H$2:$H$1001,$AQ543)="","",INDEX(Raw_D2!$H$2:$H$1001,$AQ543)),IF($AR543&lt;&gt;"",IF(INDEX(Raw_D3!$P$2:$P$1001,$AR543)="","",INDEX(Raw_D3!$P$2:$P$1001,$AR543)),"")))</f>
        <v>184</v>
      </c>
      <c r="Q543" s="5" t="str">
        <f>IF($A543="","",IF(AND($AP543&lt;&gt;"",$AQ543&lt;&gt;""),"D1+D2",IF($AR543&lt;&gt;"","D3","Incomplete")))</f>
        <v>D1+D2</v>
      </c>
      <c r="R543" s="17">
        <f>IF($A543="","",IF($K543="",IF($J543="","",ROUND(Lookups!$K$5+Lookups!$K$4*$J543,4)),$K543))</f>
        <v>0.1212</v>
      </c>
      <c r="S543" s="5" t="str">
        <f>IF($A543="","",IF($K543="","Imputed","Original"))</f>
        <v>Original</v>
      </c>
      <c r="T543" s="5" t="str">
        <f>IF($A543="","",IF($P543="","Missing",IF($P543=$N543+$O543,"OK","Mismatch")))</f>
        <v>OK</v>
      </c>
      <c r="U543" s="5" t="str">
        <f>IF($A543="","",IF(COUNTIF($A$2:$A543,$A543)&gt;1,"Duplicate","Unique"))</f>
        <v>Unique</v>
      </c>
      <c r="V543" s="5">
        <f>IF($A543="","",IF(AND($U543="Unique",ISNUMBER($P543)),1,0))</f>
        <v>1</v>
      </c>
      <c r="W543" s="5" t="str">
        <f>IF($A543="","",IF(OR($H543=0,$H543=6),"Weekend","Weekday"))</f>
        <v>Weekday</v>
      </c>
      <c r="X543" s="5" t="str">
        <f>IF($A543="","",TEXT($B543,"ddd"))</f>
        <v>Mon</v>
      </c>
      <c r="Y543" s="5" t="str">
        <f>IF($A543="","",TEXT($B543,"mmm"))</f>
        <v>Jan</v>
      </c>
      <c r="Z543" s="5" t="str">
        <f>IF($A543="","",IFERROR(VLOOKUP($C543,Lookups!$D$4:$E$7,2,FALSE),"Unknown"))</f>
        <v>Winter</v>
      </c>
      <c r="AA543" s="5" t="str">
        <f>IF($A543="","",IFERROR(VLOOKUP($I543,Lookups!$A$4:$B$7,2,FALSE),"Unknown"))</f>
        <v>Clear</v>
      </c>
      <c r="AB543" s="5" t="str">
        <f>IF($A543="","",TEXT($F543,"00")&amp;":00")</f>
        <v>17:00</v>
      </c>
      <c r="AC543" s="5" t="str">
        <f>IF($A543="","",VLOOKUP($F543,Lookups!$G$4:$H$8,2,TRUE))</f>
        <v>Evening Peak (16-19)</v>
      </c>
      <c r="AD543" s="18">
        <f>IF($A543="","",IF($J543="","",ROUND($J543*41,1)))</f>
        <v>5.7</v>
      </c>
      <c r="AE543" s="18">
        <f>IF($A543="","",IF($R543="","",ROUND($R543*50,1)))</f>
        <v>6.1</v>
      </c>
      <c r="AF543" s="5">
        <f>IF($A543="","",IF($L543="","",ROUND($L543*100,0)))</f>
        <v>50</v>
      </c>
      <c r="AG543" s="18">
        <f>IF($A543="","",IF($M543="","",ROUND($M543*67,1)))</f>
        <v>17</v>
      </c>
      <c r="AH543" s="19">
        <f>IF($A543="","",IF($P543="","",IF($P543=0,0,$O543/$P543)))</f>
        <v>0.967391304347826</v>
      </c>
      <c r="AI543" s="5" t="str">
        <f>IF($A543="","",IF($P543="","",IF($P543&gt;=Lookups!$K$7,"High",IF($P543&lt;=Lookups!$K$8,"Low","Medium"))))</f>
        <v>High</v>
      </c>
      <c r="AJ543" s="5" t="str">
        <f>IF($A543="","",IF($AD543="","",IF($AD543&lt;5,"Under 5 C",IF($AD543&lt;10,"5-10 C",IF($AD543&lt;15,"10-15 C","15 C and above")))))</f>
        <v>5-10 C</v>
      </c>
      <c r="AK543" s="5">
        <f>IF($A543="","",IF($P543="","",$P543^2))</f>
        <v>33856</v>
      </c>
      <c r="AL543" s="18">
        <f>IF($V543&lt;&gt;1,"",AVERAGEIFS(Clean_Data!$P$2:$P$1001,Clean_Data!$F$2:$F$1001,$F543,Clean_Data!$W$2:$W$1001,$W543,Clean_Data!$V$2:$V$1001,1))</f>
        <v>165.566666666667</v>
      </c>
      <c r="AM543" s="16">
        <f>IF($V543&lt;&gt;1,"",IFERROR(($P543-$AL543)/SQRT(MAX(0,(SUMIFS(Clean_Data!$AK$2:$AK$1001,Clean_Data!$F$2:$F$1001,$F543,Clean_Data!$W$2:$W$1001,$W543,Clean_Data!$V$2:$V$1001,1)-COUNTIFS(Clean_Data!$F$2:$F$1001,$F543,Clean_Data!$W$2:$W$1001,$W543,Clean_Data!$V$2:$V$1001,1)*$AL543^2)/(COUNTIFS(Clean_Data!$F$2:$F$1001,$F543,Clean_Data!$W$2:$W$1001,$W543,Clean_Data!$V$2:$V$1001,1)-1))),""))</f>
        <v>0.418814960486797</v>
      </c>
      <c r="AN543" s="5" t="str">
        <f>IF($AM543="","",IF($AM543&gt;=Lookups!$K$6,"High spike",IF($AM543&lt;=-Lookups!$K$6,"Unusual low","Normal")))</f>
        <v>Normal</v>
      </c>
      <c r="AO543" s="20">
        <f>IF($V543&lt;&gt;1,"",$P543+ROW()/100000)</f>
        <v>184.00543</v>
      </c>
      <c r="AP543" s="5">
        <f>IF($A543="","",IFERROR(MATCH($A543,Raw_D1!$A$2:$A$1001,0),""))</f>
        <v>542</v>
      </c>
      <c r="AQ543" s="5">
        <f>IF($A543="","",IFERROR(MATCH($A543,Raw_D2!$B$2:$B$1001,0),""))</f>
        <v>542</v>
      </c>
      <c r="AR543" s="5">
        <f>IF($A543="","",IFERROR(MATCH($A543,Raw_D3!$A$2:$A$1001,0),""))</f>
        <v/>
      </c>
    </row>
    <row r="544" spans="1:44" x14ac:dyDescent="0.25">
      <c r="A544" s="5">
        <v>543</v>
      </c>
      <c r="B544" s="11">
        <f>IF($A544="","",IF($AP544&lt;&gt;"",INDEX(Raw_D1!$B$2:$B$1001,$AP544),IF($AR544&lt;&gt;"",INDEX(Raw_D3!$B$2:$B$1001,$AR544),"")))</f>
        <v>40567.0</v>
      </c>
      <c r="C544" s="5">
        <f>IF($A544="","",IF($AP544&lt;&gt;"",INDEX(Raw_D1!$C$2:$C$1001,$AP544),IF($AR544&lt;&gt;"",INDEX(Raw_D3!$C$2:$C$1001,$AR544),"")))</f>
        <v>1</v>
      </c>
      <c r="D544" s="5">
        <f>IF($A544="","",IF($AP544&lt;&gt;"",INDEX(Raw_D1!$D$2:$D$1001,$AP544),IF($AR544&lt;&gt;"",INDEX(Raw_D3!$D$2:$D$1001,$AR544),"")))</f>
        <v>0</v>
      </c>
      <c r="E544" s="5">
        <f>IF($A544="","",IF($AP544&lt;&gt;"",INDEX(Raw_D1!$E$2:$E$1001,$AP544),IF($AR544&lt;&gt;"",INDEX(Raw_D3!$E$2:$E$1001,$AR544),"")))</f>
        <v>1</v>
      </c>
      <c r="F544" s="5">
        <f>IF($A544="","",IF($AP544&lt;&gt;"",INDEX(Raw_D1!$F$2:$F$1001,$AP544),IF($AR544&lt;&gt;"",INDEX(Raw_D3!$F$2:$F$1001,$AR544),"")))</f>
        <v>18</v>
      </c>
      <c r="G544" s="5">
        <f>IF($A544="","",IF($AP544&lt;&gt;"",IF(INDEX(Raw_D1!$G$2:$G$1001,$AP544),1,0),IF($AR544&lt;&gt;"",IF(INDEX(Raw_D3!$G$2:$G$1001,$AR544),1,0),"")))</f>
        <v>0</v>
      </c>
      <c r="H544" s="5">
        <f>IF($A544="","",IF($AP544&lt;&gt;"",INDEX(Raw_D1!$H$2:$H$1001,$AP544),IF($AR544&lt;&gt;"",INDEX(Raw_D3!$H$2:$H$1001,$AR544),"")))</f>
        <v>1</v>
      </c>
      <c r="I544" s="5">
        <f>IF($A544="","",IF($AP544&lt;&gt;"",INDEX(Raw_D1!$I$2:$I$1001,$AP544),IF($AR544&lt;&gt;"",INDEX(Raw_D3!$I$2:$I$1001,$AR544),"")))</f>
        <v>1</v>
      </c>
      <c r="J544" s="16">
        <f>IF($A544="","",IF($AP544&lt;&gt;"",INDEX(Raw_D1!$J$2:$J$1001,$AP544),IF($AR544&lt;&gt;"",INDEX(Raw_D3!$J$2:$J$1001,$AR544),"")))</f>
        <v>0.14</v>
      </c>
      <c r="K544" s="17">
        <f>IF($A544="","",IF($AQ544&lt;&gt;"",IF(INDEX(Raw_D2!$C$2:$C$1001,$AQ544)="","",INDEX(Raw_D2!$C$2:$C$1001,$AQ544)),IF($AR544&lt;&gt;"",IF(INDEX(Raw_D3!$K$2:$K$1001,$AR544)="","",INDEX(Raw_D3!$K$2:$K$1001,$AR544)),"")))</f>
        <v>0.1364</v>
      </c>
      <c r="L544" s="16">
        <f>IF($A544="","",IF($AQ544&lt;&gt;"",IF(INDEX(Raw_D2!$D$2:$D$1001,$AQ544)="","",INDEX(Raw_D2!$D$2:$D$1001,$AQ544)),IF($AR544&lt;&gt;"",IF(INDEX(Raw_D3!$L$2:$L$1001,$AR544)="","",INDEX(Raw_D3!$L$2:$L$1001,$AR544)),"")))</f>
        <v>0.59</v>
      </c>
      <c r="M544" s="17">
        <f>IF($A544="","",IF($AQ544&lt;&gt;"",IF(INDEX(Raw_D2!$E$2:$E$1001,$AQ544)="","",INDEX(Raw_D2!$E$2:$E$1001,$AQ544)),IF($AR544&lt;&gt;"",IF(INDEX(Raw_D3!$M$2:$M$1001,$AR544)="","",INDEX(Raw_D3!$M$2:$M$1001,$AR544)),"")))</f>
        <v>0.194</v>
      </c>
      <c r="N544" s="5">
        <f>IF($A544="","",IF($AQ544&lt;&gt;"",IF(INDEX(Raw_D2!$F$2:$F$1001,$AQ544)="","",INDEX(Raw_D2!$F$2:$F$1001,$AQ544)),IF($AR544&lt;&gt;"",IF(INDEX(Raw_D3!$N$2:$N$1001,$AR544)="","",INDEX(Raw_D3!$N$2:$N$1001,$AR544)),"")))</f>
        <v>8</v>
      </c>
      <c r="O544" s="5">
        <f>IF($A544="","",IF($AQ544&lt;&gt;"",IF(INDEX(Raw_D2!$G$2:$G$1001,$AQ544)="","",INDEX(Raw_D2!$G$2:$G$1001,$AQ544)),IF($AR544&lt;&gt;"",IF(INDEX(Raw_D3!$O$2:$O$1001,$AR544)="","",INDEX(Raw_D3!$O$2:$O$1001,$AR544)),"")))</f>
        <v>145</v>
      </c>
      <c r="P544" s="5">
        <f>IF($A544="","",IF($AQ544&lt;&gt;"",IF(INDEX(Raw_D2!$H$2:$H$1001,$AQ544)="","",INDEX(Raw_D2!$H$2:$H$1001,$AQ544)),IF($AR544&lt;&gt;"",IF(INDEX(Raw_D3!$P$2:$P$1001,$AR544)="","",INDEX(Raw_D3!$P$2:$P$1001,$AR544)),"")))</f>
        <v>153</v>
      </c>
      <c r="Q544" s="5" t="str">
        <f>IF($A544="","",IF(AND($AP544&lt;&gt;"",$AQ544&lt;&gt;""),"D1+D2",IF($AR544&lt;&gt;"","D3","Incomplete")))</f>
        <v>D1+D2</v>
      </c>
      <c r="R544" s="17">
        <f>IF($A544="","",IF($K544="",IF($J544="","",ROUND(Lookups!$K$5+Lookups!$K$4*$J544,4)),$K544))</f>
        <v>0.1364</v>
      </c>
      <c r="S544" s="5" t="str">
        <f>IF($A544="","",IF($K544="","Imputed","Original"))</f>
        <v>Original</v>
      </c>
      <c r="T544" s="5" t="str">
        <f>IF($A544="","",IF($P544="","Missing",IF($P544=$N544+$O544,"OK","Mismatch")))</f>
        <v>OK</v>
      </c>
      <c r="U544" s="5" t="str">
        <f>IF($A544="","",IF(COUNTIF($A$2:$A544,$A544)&gt;1,"Duplicate","Unique"))</f>
        <v>Unique</v>
      </c>
      <c r="V544" s="5">
        <f>IF($A544="","",IF(AND($U544="Unique",ISNUMBER($P544)),1,0))</f>
        <v>1</v>
      </c>
      <c r="W544" s="5" t="str">
        <f>IF($A544="","",IF(OR($H544=0,$H544=6),"Weekend","Weekday"))</f>
        <v>Weekday</v>
      </c>
      <c r="X544" s="5" t="str">
        <f>IF($A544="","",TEXT($B544,"ddd"))</f>
        <v>Mon</v>
      </c>
      <c r="Y544" s="5" t="str">
        <f>IF($A544="","",TEXT($B544,"mmm"))</f>
        <v>Jan</v>
      </c>
      <c r="Z544" s="5" t="str">
        <f>IF($A544="","",IFERROR(VLOOKUP($C544,Lookups!$D$4:$E$7,2,FALSE),"Unknown"))</f>
        <v>Winter</v>
      </c>
      <c r="AA544" s="5" t="str">
        <f>IF($A544="","",IFERROR(VLOOKUP($I544,Lookups!$A$4:$B$7,2,FALSE),"Unknown"))</f>
        <v>Clear</v>
      </c>
      <c r="AB544" s="5" t="str">
        <f>IF($A544="","",TEXT($F544,"00")&amp;":00")</f>
        <v>18:00</v>
      </c>
      <c r="AC544" s="5" t="str">
        <f>IF($A544="","",VLOOKUP($F544,Lookups!$G$4:$H$8,2,TRUE))</f>
        <v>Evening Peak (16-19)</v>
      </c>
      <c r="AD544" s="18">
        <f>IF($A544="","",IF($J544="","",ROUND($J544*41,1)))</f>
        <v>5.7</v>
      </c>
      <c r="AE544" s="18">
        <f>IF($A544="","",IF($R544="","",ROUND($R544*50,1)))</f>
        <v>6.8</v>
      </c>
      <c r="AF544" s="5">
        <f>IF($A544="","",IF($L544="","",ROUND($L544*100,0)))</f>
        <v>59</v>
      </c>
      <c r="AG544" s="18">
        <f>IF($A544="","",IF($M544="","",ROUND($M544*67,1)))</f>
        <v>13</v>
      </c>
      <c r="AH544" s="19">
        <f>IF($A544="","",IF($P544="","",IF($P544=0,0,$O544/$P544)))</f>
        <v>0.947712418300654</v>
      </c>
      <c r="AI544" s="5" t="str">
        <f>IF($A544="","",IF($P544="","",IF($P544&gt;=Lookups!$K$7,"High",IF($P544&lt;=Lookups!$K$8,"Low","Medium"))))</f>
        <v>High</v>
      </c>
      <c r="AJ544" s="5" t="str">
        <f>IF($A544="","",IF($AD544="","",IF($AD544&lt;5,"Under 5 C",IF($AD544&lt;10,"5-10 C",IF($AD544&lt;15,"10-15 C","15 C and above")))))</f>
        <v>5-10 C</v>
      </c>
      <c r="AK544" s="5">
        <f>IF($A544="","",IF($P544="","",$P544^2))</f>
        <v>23409</v>
      </c>
      <c r="AL544" s="18">
        <f>IF($V544&lt;&gt;1,"",AVERAGEIFS(Clean_Data!$P$2:$P$1001,Clean_Data!$F$2:$F$1001,$F544,Clean_Data!$W$2:$W$1001,$W544,Clean_Data!$V$2:$V$1001,1))</f>
        <v>151.206896551724</v>
      </c>
      <c r="AM544" s="16">
        <f>IF($V544&lt;&gt;1,"",IFERROR(($P544-$AL544)/SQRT(MAX(0,(SUMIFS(Clean_Data!$AK$2:$AK$1001,Clean_Data!$F$2:$F$1001,$F544,Clean_Data!$W$2:$W$1001,$W544,Clean_Data!$V$2:$V$1001,1)-COUNTIFS(Clean_Data!$F$2:$F$1001,$F544,Clean_Data!$W$2:$W$1001,$W544,Clean_Data!$V$2:$V$1001,1)*$AL544^2)/(COUNTIFS(Clean_Data!$F$2:$F$1001,$F544,Clean_Data!$W$2:$W$1001,$W544,Clean_Data!$V$2:$V$1001,1)-1))),""))</f>
        <v>0.061095171160316</v>
      </c>
      <c r="AN544" s="5" t="str">
        <f>IF($AM544="","",IF($AM544&gt;=Lookups!$K$6,"High spike",IF($AM544&lt;=-Lookups!$K$6,"Unusual low","Normal")))</f>
        <v>Normal</v>
      </c>
      <c r="AO544" s="20">
        <f>IF($V544&lt;&gt;1,"",$P544+ROW()/100000)</f>
        <v>153.00544</v>
      </c>
      <c r="AP544" s="5">
        <f>IF($A544="","",IFERROR(MATCH($A544,Raw_D1!$A$2:$A$1001,0),""))</f>
        <v>543</v>
      </c>
      <c r="AQ544" s="5">
        <f>IF($A544="","",IFERROR(MATCH($A544,Raw_D2!$B$2:$B$1001,0),""))</f>
        <v>543</v>
      </c>
      <c r="AR544" s="5">
        <f>IF($A544="","",IFERROR(MATCH($A544,Raw_D3!$A$2:$A$1001,0),""))</f>
        <v/>
      </c>
    </row>
    <row r="545" spans="1:44" x14ac:dyDescent="0.25">
      <c r="A545" s="5">
        <v>544</v>
      </c>
      <c r="B545" s="11">
        <f>IF($A545="","",IF($AP545&lt;&gt;"",INDEX(Raw_D1!$B$2:$B$1001,$AP545),IF($AR545&lt;&gt;"",INDEX(Raw_D3!$B$2:$B$1001,$AR545),"")))</f>
        <v>40567.0</v>
      </c>
      <c r="C545" s="5">
        <f>IF($A545="","",IF($AP545&lt;&gt;"",INDEX(Raw_D1!$C$2:$C$1001,$AP545),IF($AR545&lt;&gt;"",INDEX(Raw_D3!$C$2:$C$1001,$AR545),"")))</f>
        <v>1</v>
      </c>
      <c r="D545" s="5">
        <f>IF($A545="","",IF($AP545&lt;&gt;"",INDEX(Raw_D1!$D$2:$D$1001,$AP545),IF($AR545&lt;&gt;"",INDEX(Raw_D3!$D$2:$D$1001,$AR545),"")))</f>
        <v>0</v>
      </c>
      <c r="E545" s="5">
        <f>IF($A545="","",IF($AP545&lt;&gt;"",INDEX(Raw_D1!$E$2:$E$1001,$AP545),IF($AR545&lt;&gt;"",INDEX(Raw_D3!$E$2:$E$1001,$AR545),"")))</f>
        <v>1</v>
      </c>
      <c r="F545" s="5">
        <f>IF($A545="","",IF($AP545&lt;&gt;"",INDEX(Raw_D1!$F$2:$F$1001,$AP545),IF($AR545&lt;&gt;"",INDEX(Raw_D3!$F$2:$F$1001,$AR545),"")))</f>
        <v>19</v>
      </c>
      <c r="G545" s="5">
        <f>IF($A545="","",IF($AP545&lt;&gt;"",IF(INDEX(Raw_D1!$G$2:$G$1001,$AP545),1,0),IF($AR545&lt;&gt;"",IF(INDEX(Raw_D3!$G$2:$G$1001,$AR545),1,0),"")))</f>
        <v>0</v>
      </c>
      <c r="H545" s="5">
        <f>IF($A545="","",IF($AP545&lt;&gt;"",INDEX(Raw_D1!$H$2:$H$1001,$AP545),IF($AR545&lt;&gt;"",INDEX(Raw_D3!$H$2:$H$1001,$AR545),"")))</f>
        <v>1</v>
      </c>
      <c r="I545" s="5">
        <f>IF($A545="","",IF($AP545&lt;&gt;"",INDEX(Raw_D1!$I$2:$I$1001,$AP545),IF($AR545&lt;&gt;"",INDEX(Raw_D3!$I$2:$I$1001,$AR545),"")))</f>
        <v>1</v>
      </c>
      <c r="J545" s="16">
        <f>IF($A545="","",IF($AP545&lt;&gt;"",INDEX(Raw_D1!$J$2:$J$1001,$AP545),IF($AR545&lt;&gt;"",INDEX(Raw_D3!$J$2:$J$1001,$AR545),"")))</f>
        <v>0.14</v>
      </c>
      <c r="K545" s="17">
        <f>IF($A545="","",IF($AQ545&lt;&gt;"",IF(INDEX(Raw_D2!$C$2:$C$1001,$AQ545)="","",INDEX(Raw_D2!$C$2:$C$1001,$AQ545)),IF($AR545&lt;&gt;"",IF(INDEX(Raw_D3!$K$2:$K$1001,$AR545)="","",INDEX(Raw_D3!$K$2:$K$1001,$AR545)),"")))</f>
        <v>0.1515</v>
      </c>
      <c r="L545" s="16">
        <f>IF($A545="","",IF($AQ545&lt;&gt;"",IF(INDEX(Raw_D2!$D$2:$D$1001,$AQ545)="","",INDEX(Raw_D2!$D$2:$D$1001,$AQ545)),IF($AR545&lt;&gt;"",IF(INDEX(Raw_D3!$L$2:$L$1001,$AR545)="","",INDEX(Raw_D3!$L$2:$L$1001,$AR545)),"")))</f>
        <v>0.54</v>
      </c>
      <c r="M545" s="17">
        <f>IF($A545="","",IF($AQ545&lt;&gt;"",IF(INDEX(Raw_D2!$E$2:$E$1001,$AQ545)="","",INDEX(Raw_D2!$E$2:$E$1001,$AQ545)),IF($AR545&lt;&gt;"",IF(INDEX(Raw_D3!$M$2:$M$1001,$AR545)="","",INDEX(Raw_D3!$M$2:$M$1001,$AR545)),"")))</f>
        <v>0.1642</v>
      </c>
      <c r="N545" s="5">
        <f>IF($A545="","",IF($AQ545&lt;&gt;"",IF(INDEX(Raw_D2!$F$2:$F$1001,$AQ545)="","",INDEX(Raw_D2!$F$2:$F$1001,$AQ545)),IF($AR545&lt;&gt;"",IF(INDEX(Raw_D3!$N$2:$N$1001,$AR545)="","",INDEX(Raw_D3!$N$2:$N$1001,$AR545)),"")))</f>
        <v>5</v>
      </c>
      <c r="O545" s="5">
        <f>IF($A545="","",IF($AQ545&lt;&gt;"",IF(INDEX(Raw_D2!$G$2:$G$1001,$AQ545)="","",INDEX(Raw_D2!$G$2:$G$1001,$AQ545)),IF($AR545&lt;&gt;"",IF(INDEX(Raw_D3!$O$2:$O$1001,$AR545)="","",INDEX(Raw_D3!$O$2:$O$1001,$AR545)),"")))</f>
        <v>101</v>
      </c>
      <c r="P545" s="5">
        <f>IF($A545="","",IF($AQ545&lt;&gt;"",IF(INDEX(Raw_D2!$H$2:$H$1001,$AQ545)="","",INDEX(Raw_D2!$H$2:$H$1001,$AQ545)),IF($AR545&lt;&gt;"",IF(INDEX(Raw_D3!$P$2:$P$1001,$AR545)="","",INDEX(Raw_D3!$P$2:$P$1001,$AR545)),"")))</f>
        <v>106</v>
      </c>
      <c r="Q545" s="5" t="str">
        <f>IF($A545="","",IF(AND($AP545&lt;&gt;"",$AQ545&lt;&gt;""),"D1+D2",IF($AR545&lt;&gt;"","D3","Incomplete")))</f>
        <v>D1+D2</v>
      </c>
      <c r="R545" s="17">
        <f>IF($A545="","",IF($K545="",IF($J545="","",ROUND(Lookups!$K$5+Lookups!$K$4*$J545,4)),$K545))</f>
        <v>0.1515</v>
      </c>
      <c r="S545" s="5" t="str">
        <f>IF($A545="","",IF($K545="","Imputed","Original"))</f>
        <v>Original</v>
      </c>
      <c r="T545" s="5" t="str">
        <f>IF($A545="","",IF($P545="","Missing",IF($P545=$N545+$O545,"OK","Mismatch")))</f>
        <v>OK</v>
      </c>
      <c r="U545" s="5" t="str">
        <f>IF($A545="","",IF(COUNTIF($A$2:$A545,$A545)&gt;1,"Duplicate","Unique"))</f>
        <v>Unique</v>
      </c>
      <c r="V545" s="5">
        <f>IF($A545="","",IF(AND($U545="Unique",ISNUMBER($P545)),1,0))</f>
        <v>1</v>
      </c>
      <c r="W545" s="5" t="str">
        <f>IF($A545="","",IF(OR($H545=0,$H545=6),"Weekend","Weekday"))</f>
        <v>Weekday</v>
      </c>
      <c r="X545" s="5" t="str">
        <f>IF($A545="","",TEXT($B545,"ddd"))</f>
        <v>Mon</v>
      </c>
      <c r="Y545" s="5" t="str">
        <f>IF($A545="","",TEXT($B545,"mmm"))</f>
        <v>Jan</v>
      </c>
      <c r="Z545" s="5" t="str">
        <f>IF($A545="","",IFERROR(VLOOKUP($C545,Lookups!$D$4:$E$7,2,FALSE),"Unknown"))</f>
        <v>Winter</v>
      </c>
      <c r="AA545" s="5" t="str">
        <f>IF($A545="","",IFERROR(VLOOKUP($I545,Lookups!$A$4:$B$7,2,FALSE),"Unknown"))</f>
        <v>Clear</v>
      </c>
      <c r="AB545" s="5" t="str">
        <f>IF($A545="","",TEXT($F545,"00")&amp;":00")</f>
        <v>19:00</v>
      </c>
      <c r="AC545" s="5" t="str">
        <f>IF($A545="","",VLOOKUP($F545,Lookups!$G$4:$H$8,2,TRUE))</f>
        <v>Evening Peak (16-19)</v>
      </c>
      <c r="AD545" s="18">
        <f>IF($A545="","",IF($J545="","",ROUND($J545*41,1)))</f>
        <v>5.7</v>
      </c>
      <c r="AE545" s="18">
        <f>IF($A545="","",IF($R545="","",ROUND($R545*50,1)))</f>
        <v>7.6</v>
      </c>
      <c r="AF545" s="5">
        <f>IF($A545="","",IF($L545="","",ROUND($L545*100,0)))</f>
        <v>54</v>
      </c>
      <c r="AG545" s="18">
        <f>IF($A545="","",IF($M545="","",ROUND($M545*67,1)))</f>
        <v>11</v>
      </c>
      <c r="AH545" s="19">
        <f>IF($A545="","",IF($P545="","",IF($P545=0,0,$O545/$P545)))</f>
        <v>0.952830188679245</v>
      </c>
      <c r="AI545" s="5" t="str">
        <f>IF($A545="","",IF($P545="","",IF($P545&gt;=Lookups!$K$7,"High",IF($P545&lt;=Lookups!$K$8,"Low","Medium"))))</f>
        <v>High</v>
      </c>
      <c r="AJ545" s="5" t="str">
        <f>IF($A545="","",IF($AD545="","",IF($AD545&lt;5,"Under 5 C",IF($AD545&lt;10,"5-10 C",IF($AD545&lt;15,"10-15 C","15 C and above")))))</f>
        <v>5-10 C</v>
      </c>
      <c r="AK545" s="5">
        <f>IF($A545="","",IF($P545="","",$P545^2))</f>
        <v>11236</v>
      </c>
      <c r="AL545" s="18">
        <f>IF($V545&lt;&gt;1,"",AVERAGEIFS(Clean_Data!$P$2:$P$1001,Clean_Data!$F$2:$F$1001,$F545,Clean_Data!$W$2:$W$1001,$W545,Clean_Data!$V$2:$V$1001,1))</f>
        <v>102.034482758621</v>
      </c>
      <c r="AM545" s="16">
        <f>IF($V545&lt;&gt;1,"",IFERROR(($P545-$AL545)/SQRT(MAX(0,(SUMIFS(Clean_Data!$AK$2:$AK$1001,Clean_Data!$F$2:$F$1001,$F545,Clean_Data!$W$2:$W$1001,$W545,Clean_Data!$V$2:$V$1001,1)-COUNTIFS(Clean_Data!$F$2:$F$1001,$F545,Clean_Data!$W$2:$W$1001,$W545,Clean_Data!$V$2:$V$1001,1)*$AL545^2)/(COUNTIFS(Clean_Data!$F$2:$F$1001,$F545,Clean_Data!$W$2:$W$1001,$W545,Clean_Data!$V$2:$V$1001,1)-1))),""))</f>
        <v>0.186633127932102</v>
      </c>
      <c r="AN545" s="5" t="str">
        <f>IF($AM545="","",IF($AM545&gt;=Lookups!$K$6,"High spike",IF($AM545&lt;=-Lookups!$K$6,"Unusual low","Normal")))</f>
        <v>Normal</v>
      </c>
      <c r="AO545" s="20">
        <f>IF($V545&lt;&gt;1,"",$P545+ROW()/100000)</f>
        <v>106.00545</v>
      </c>
      <c r="AP545" s="5">
        <f>IF($A545="","",IFERROR(MATCH($A545,Raw_D1!$A$2:$A$1001,0),""))</f>
        <v>544</v>
      </c>
      <c r="AQ545" s="5">
        <f>IF($A545="","",IFERROR(MATCH($A545,Raw_D2!$B$2:$B$1001,0),""))</f>
        <v>544</v>
      </c>
      <c r="AR545" s="5">
        <f>IF($A545="","",IFERROR(MATCH($A545,Raw_D3!$A$2:$A$1001,0),""))</f>
        <v/>
      </c>
    </row>
    <row r="546" spans="1:44" x14ac:dyDescent="0.25">
      <c r="A546" s="5">
        <v>545</v>
      </c>
      <c r="B546" s="11">
        <f>IF($A546="","",IF($AP546&lt;&gt;"",INDEX(Raw_D1!$B$2:$B$1001,$AP546),IF($AR546&lt;&gt;"",INDEX(Raw_D3!$B$2:$B$1001,$AR546),"")))</f>
        <v>40567.0</v>
      </c>
      <c r="C546" s="5">
        <f>IF($A546="","",IF($AP546&lt;&gt;"",INDEX(Raw_D1!$C$2:$C$1001,$AP546),IF($AR546&lt;&gt;"",INDEX(Raw_D3!$C$2:$C$1001,$AR546),"")))</f>
        <v>1</v>
      </c>
      <c r="D546" s="5">
        <f>IF($A546="","",IF($AP546&lt;&gt;"",INDEX(Raw_D1!$D$2:$D$1001,$AP546),IF($AR546&lt;&gt;"",INDEX(Raw_D3!$D$2:$D$1001,$AR546),"")))</f>
        <v>0</v>
      </c>
      <c r="E546" s="5">
        <f>IF($A546="","",IF($AP546&lt;&gt;"",INDEX(Raw_D1!$E$2:$E$1001,$AP546),IF($AR546&lt;&gt;"",INDEX(Raw_D3!$E$2:$E$1001,$AR546),"")))</f>
        <v>1</v>
      </c>
      <c r="F546" s="5">
        <f>IF($A546="","",IF($AP546&lt;&gt;"",INDEX(Raw_D1!$F$2:$F$1001,$AP546),IF($AR546&lt;&gt;"",INDEX(Raw_D3!$F$2:$F$1001,$AR546),"")))</f>
        <v>20</v>
      </c>
      <c r="G546" s="5">
        <f>IF($A546="","",IF($AP546&lt;&gt;"",IF(INDEX(Raw_D1!$G$2:$G$1001,$AP546),1,0),IF($AR546&lt;&gt;"",IF(INDEX(Raw_D3!$G$2:$G$1001,$AR546),1,0),"")))</f>
        <v>0</v>
      </c>
      <c r="H546" s="5">
        <f>IF($A546="","",IF($AP546&lt;&gt;"",INDEX(Raw_D1!$H$2:$H$1001,$AP546),IF($AR546&lt;&gt;"",INDEX(Raw_D3!$H$2:$H$1001,$AR546),"")))</f>
        <v>1</v>
      </c>
      <c r="I546" s="5">
        <f>IF($A546="","",IF($AP546&lt;&gt;"",INDEX(Raw_D1!$I$2:$I$1001,$AP546),IF($AR546&lt;&gt;"",INDEX(Raw_D3!$I$2:$I$1001,$AR546),"")))</f>
        <v>1</v>
      </c>
      <c r="J546" s="16">
        <f>IF($A546="","",IF($AP546&lt;&gt;"",INDEX(Raw_D1!$J$2:$J$1001,$AP546),IF($AR546&lt;&gt;"",INDEX(Raw_D3!$J$2:$J$1001,$AR546),"")))</f>
        <v>0.14</v>
      </c>
      <c r="K546" s="17">
        <f>IF($A546="","",IF($AQ546&lt;&gt;"",IF(INDEX(Raw_D2!$C$2:$C$1001,$AQ546)="","",INDEX(Raw_D2!$C$2:$C$1001,$AQ546)),IF($AR546&lt;&gt;"",IF(INDEX(Raw_D3!$K$2:$K$1001,$AR546)="","",INDEX(Raw_D3!$K$2:$K$1001,$AR546)),"")))</f>
        <v>0.1364</v>
      </c>
      <c r="L546" s="16">
        <f>IF($A546="","",IF($AQ546&lt;&gt;"",IF(INDEX(Raw_D2!$D$2:$D$1001,$AQ546)="","",INDEX(Raw_D2!$D$2:$D$1001,$AQ546)),IF($AR546&lt;&gt;"",IF(INDEX(Raw_D3!$L$2:$L$1001,$AR546)="","",INDEX(Raw_D3!$L$2:$L$1001,$AR546)),"")))</f>
        <v>0.59</v>
      </c>
      <c r="M546" s="17">
        <f>IF($A546="","",IF($AQ546&lt;&gt;"",IF(INDEX(Raw_D2!$E$2:$E$1001,$AQ546)="","",INDEX(Raw_D2!$E$2:$E$1001,$AQ546)),IF($AR546&lt;&gt;"",IF(INDEX(Raw_D3!$M$2:$M$1001,$AR546)="","",INDEX(Raw_D3!$M$2:$M$1001,$AR546)),"")))</f>
        <v>0.194</v>
      </c>
      <c r="N546" s="5">
        <f>IF($A546="","",IF($AQ546&lt;&gt;"",IF(INDEX(Raw_D2!$F$2:$F$1001,$AQ546)="","",INDEX(Raw_D2!$F$2:$F$1001,$AQ546)),IF($AR546&lt;&gt;"",IF(INDEX(Raw_D3!$N$2:$N$1001,$AR546)="","",INDEX(Raw_D3!$N$2:$N$1001,$AR546)),"")))</f>
        <v>1</v>
      </c>
      <c r="O546" s="5">
        <f>IF($A546="","",IF($AQ546&lt;&gt;"",IF(INDEX(Raw_D2!$G$2:$G$1001,$AQ546)="","",INDEX(Raw_D2!$G$2:$G$1001,$AQ546)),IF($AR546&lt;&gt;"",IF(INDEX(Raw_D3!$O$2:$O$1001,$AR546)="","",INDEX(Raw_D3!$O$2:$O$1001,$AR546)),"")))</f>
        <v>80</v>
      </c>
      <c r="P546" s="5">
        <f>IF($A546="","",IF($AQ546&lt;&gt;"",IF(INDEX(Raw_D2!$H$2:$H$1001,$AQ546)="","",INDEX(Raw_D2!$H$2:$H$1001,$AQ546)),IF($AR546&lt;&gt;"",IF(INDEX(Raw_D3!$P$2:$P$1001,$AR546)="","",INDEX(Raw_D3!$P$2:$P$1001,$AR546)),"")))</f>
        <v>81</v>
      </c>
      <c r="Q546" s="5" t="str">
        <f>IF($A546="","",IF(AND($AP546&lt;&gt;"",$AQ546&lt;&gt;""),"D1+D2",IF($AR546&lt;&gt;"","D3","Incomplete")))</f>
        <v>D1+D2</v>
      </c>
      <c r="R546" s="17">
        <f>IF($A546="","",IF($K546="",IF($J546="","",ROUND(Lookups!$K$5+Lookups!$K$4*$J546,4)),$K546))</f>
        <v>0.1364</v>
      </c>
      <c r="S546" s="5" t="str">
        <f>IF($A546="","",IF($K546="","Imputed","Original"))</f>
        <v>Original</v>
      </c>
      <c r="T546" s="5" t="str">
        <f>IF($A546="","",IF($P546="","Missing",IF($P546=$N546+$O546,"OK","Mismatch")))</f>
        <v>OK</v>
      </c>
      <c r="U546" s="5" t="str">
        <f>IF($A546="","",IF(COUNTIF($A$2:$A546,$A546)&gt;1,"Duplicate","Unique"))</f>
        <v>Unique</v>
      </c>
      <c r="V546" s="5">
        <f>IF($A546="","",IF(AND($U546="Unique",ISNUMBER($P546)),1,0))</f>
        <v>1</v>
      </c>
      <c r="W546" s="5" t="str">
        <f>IF($A546="","",IF(OR($H546=0,$H546=6),"Weekend","Weekday"))</f>
        <v>Weekday</v>
      </c>
      <c r="X546" s="5" t="str">
        <f>IF($A546="","",TEXT($B546,"ddd"))</f>
        <v>Mon</v>
      </c>
      <c r="Y546" s="5" t="str">
        <f>IF($A546="","",TEXT($B546,"mmm"))</f>
        <v>Jan</v>
      </c>
      <c r="Z546" s="5" t="str">
        <f>IF($A546="","",IFERROR(VLOOKUP($C546,Lookups!$D$4:$E$7,2,FALSE),"Unknown"))</f>
        <v>Winter</v>
      </c>
      <c r="AA546" s="5" t="str">
        <f>IF($A546="","",IFERROR(VLOOKUP($I546,Lookups!$A$4:$B$7,2,FALSE),"Unknown"))</f>
        <v>Clear</v>
      </c>
      <c r="AB546" s="5" t="str">
        <f>IF($A546="","",TEXT($F546,"00")&amp;":00")</f>
        <v>20:00</v>
      </c>
      <c r="AC546" s="5" t="str">
        <f>IF($A546="","",VLOOKUP($F546,Lookups!$G$4:$H$8,2,TRUE))</f>
        <v>Late Evening (20-23)</v>
      </c>
      <c r="AD546" s="18">
        <f>IF($A546="","",IF($J546="","",ROUND($J546*41,1)))</f>
        <v>5.7</v>
      </c>
      <c r="AE546" s="18">
        <f>IF($A546="","",IF($R546="","",ROUND($R546*50,1)))</f>
        <v>6.8</v>
      </c>
      <c r="AF546" s="5">
        <f>IF($A546="","",IF($L546="","",ROUND($L546*100,0)))</f>
        <v>59</v>
      </c>
      <c r="AG546" s="18">
        <f>IF($A546="","",IF($M546="","",ROUND($M546*67,1)))</f>
        <v>13</v>
      </c>
      <c r="AH546" s="19">
        <f>IF($A546="","",IF($P546="","",IF($P546=0,0,$O546/$P546)))</f>
        <v>0.987654320987654</v>
      </c>
      <c r="AI546" s="5" t="str">
        <f>IF($A546="","",IF($P546="","",IF($P546&gt;=Lookups!$K$7,"High",IF($P546&lt;=Lookups!$K$8,"Low","Medium"))))</f>
        <v>Medium</v>
      </c>
      <c r="AJ546" s="5" t="str">
        <f>IF($A546="","",IF($AD546="","",IF($AD546&lt;5,"Under 5 C",IF($AD546&lt;10,"5-10 C",IF($AD546&lt;15,"10-15 C","15 C and above")))))</f>
        <v>5-10 C</v>
      </c>
      <c r="AK546" s="5">
        <f>IF($A546="","",IF($P546="","",$P546^2))</f>
        <v>6561</v>
      </c>
      <c r="AL546" s="18">
        <f>IF($V546&lt;&gt;1,"",AVERAGEIFS(Clean_Data!$P$2:$P$1001,Clean_Data!$F$2:$F$1001,$F546,Clean_Data!$W$2:$W$1001,$W546,Clean_Data!$V$2:$V$1001,1))</f>
        <v>72.2758620689655</v>
      </c>
      <c r="AM546" s="16">
        <f>IF($V546&lt;&gt;1,"",IFERROR(($P546-$AL546)/SQRT(MAX(0,(SUMIFS(Clean_Data!$AK$2:$AK$1001,Clean_Data!$F$2:$F$1001,$F546,Clean_Data!$W$2:$W$1001,$W546,Clean_Data!$V$2:$V$1001,1)-COUNTIFS(Clean_Data!$F$2:$F$1001,$F546,Clean_Data!$W$2:$W$1001,$W546,Clean_Data!$V$2:$V$1001,1)*$AL546^2)/(COUNTIFS(Clean_Data!$F$2:$F$1001,$F546,Clean_Data!$W$2:$W$1001,$W546,Clean_Data!$V$2:$V$1001,1)-1))),""))</f>
        <v>0.39475285348946</v>
      </c>
      <c r="AN546" s="5" t="str">
        <f>IF($AM546="","",IF($AM546&gt;=Lookups!$K$6,"High spike",IF($AM546&lt;=-Lookups!$K$6,"Unusual low","Normal")))</f>
        <v>Normal</v>
      </c>
      <c r="AO546" s="20">
        <f>IF($V546&lt;&gt;1,"",$P546+ROW()/100000)</f>
        <v>81.00546</v>
      </c>
      <c r="AP546" s="5">
        <f>IF($A546="","",IFERROR(MATCH($A546,Raw_D1!$A$2:$A$1001,0),""))</f>
        <v>545</v>
      </c>
      <c r="AQ546" s="5">
        <f>IF($A546="","",IFERROR(MATCH($A546,Raw_D2!$B$2:$B$1001,0),""))</f>
        <v>545</v>
      </c>
      <c r="AR546" s="5">
        <f>IF($A546="","",IFERROR(MATCH($A546,Raw_D3!$A$2:$A$1001,0),""))</f>
        <v/>
      </c>
    </row>
    <row r="547" spans="1:44" x14ac:dyDescent="0.25">
      <c r="A547" s="5">
        <v>546</v>
      </c>
      <c r="B547" s="11">
        <f>IF($A547="","",IF($AP547&lt;&gt;"",INDEX(Raw_D1!$B$2:$B$1001,$AP547),IF($AR547&lt;&gt;"",INDEX(Raw_D3!$B$2:$B$1001,$AR547),"")))</f>
        <v>40567.0</v>
      </c>
      <c r="C547" s="5">
        <f>IF($A547="","",IF($AP547&lt;&gt;"",INDEX(Raw_D1!$C$2:$C$1001,$AP547),IF($AR547&lt;&gt;"",INDEX(Raw_D3!$C$2:$C$1001,$AR547),"")))</f>
        <v>1</v>
      </c>
      <c r="D547" s="5">
        <f>IF($A547="","",IF($AP547&lt;&gt;"",INDEX(Raw_D1!$D$2:$D$1001,$AP547),IF($AR547&lt;&gt;"",INDEX(Raw_D3!$D$2:$D$1001,$AR547),"")))</f>
        <v>0</v>
      </c>
      <c r="E547" s="5">
        <f>IF($A547="","",IF($AP547&lt;&gt;"",INDEX(Raw_D1!$E$2:$E$1001,$AP547),IF($AR547&lt;&gt;"",INDEX(Raw_D3!$E$2:$E$1001,$AR547),"")))</f>
        <v>1</v>
      </c>
      <c r="F547" s="5">
        <f>IF($A547="","",IF($AP547&lt;&gt;"",INDEX(Raw_D1!$F$2:$F$1001,$AP547),IF($AR547&lt;&gt;"",INDEX(Raw_D3!$F$2:$F$1001,$AR547),"")))</f>
        <v>21</v>
      </c>
      <c r="G547" s="5">
        <f>IF($A547="","",IF($AP547&lt;&gt;"",IF(INDEX(Raw_D1!$G$2:$G$1001,$AP547),1,0),IF($AR547&lt;&gt;"",IF(INDEX(Raw_D3!$G$2:$G$1001,$AR547),1,0),"")))</f>
        <v>0</v>
      </c>
      <c r="H547" s="5">
        <f>IF($A547="","",IF($AP547&lt;&gt;"",INDEX(Raw_D1!$H$2:$H$1001,$AP547),IF($AR547&lt;&gt;"",INDEX(Raw_D3!$H$2:$H$1001,$AR547),"")))</f>
        <v>1</v>
      </c>
      <c r="I547" s="5">
        <f>IF($A547="","",IF($AP547&lt;&gt;"",INDEX(Raw_D1!$I$2:$I$1001,$AP547),IF($AR547&lt;&gt;"",INDEX(Raw_D3!$I$2:$I$1001,$AR547),"")))</f>
        <v>1</v>
      </c>
      <c r="J547" s="16">
        <f>IF($A547="","",IF($AP547&lt;&gt;"",INDEX(Raw_D1!$J$2:$J$1001,$AP547),IF($AR547&lt;&gt;"",INDEX(Raw_D3!$J$2:$J$1001,$AR547),"")))</f>
        <v>0.14</v>
      </c>
      <c r="K547" s="17">
        <f>IF($A547="","",IF($AQ547&lt;&gt;"",IF(INDEX(Raw_D2!$C$2:$C$1001,$AQ547)="","",INDEX(Raw_D2!$C$2:$C$1001,$AQ547)),IF($AR547&lt;&gt;"",IF(INDEX(Raw_D3!$K$2:$K$1001,$AR547)="","",INDEX(Raw_D3!$K$2:$K$1001,$AR547)),"")))</f>
        <v>0.1515</v>
      </c>
      <c r="L547" s="16">
        <f>IF($A547="","",IF($AQ547&lt;&gt;"",IF(INDEX(Raw_D2!$D$2:$D$1001,$AQ547)="","",INDEX(Raw_D2!$D$2:$D$1001,$AQ547)),IF($AR547&lt;&gt;"",IF(INDEX(Raw_D3!$L$2:$L$1001,$AR547)="","",INDEX(Raw_D3!$L$2:$L$1001,$AR547)),"")))</f>
        <v>0.63</v>
      </c>
      <c r="M547" s="17">
        <f>IF($A547="","",IF($AQ547&lt;&gt;"",IF(INDEX(Raw_D2!$E$2:$E$1001,$AQ547)="","",INDEX(Raw_D2!$E$2:$E$1001,$AQ547)),IF($AR547&lt;&gt;"",IF(INDEX(Raw_D3!$M$2:$M$1001,$AR547)="","",INDEX(Raw_D3!$M$2:$M$1001,$AR547)),"")))</f>
        <v>0.1642</v>
      </c>
      <c r="N547" s="5">
        <f>IF($A547="","",IF($AQ547&lt;&gt;"",IF(INDEX(Raw_D2!$F$2:$F$1001,$AQ547)="","",INDEX(Raw_D2!$F$2:$F$1001,$AQ547)),IF($AR547&lt;&gt;"",IF(INDEX(Raw_D3!$N$2:$N$1001,$AR547)="","",INDEX(Raw_D3!$N$2:$N$1001,$AR547)),"")))</f>
        <v>6</v>
      </c>
      <c r="O547" s="5">
        <f>IF($A547="","",IF($AQ547&lt;&gt;"",IF(INDEX(Raw_D2!$G$2:$G$1001,$AQ547)="","",INDEX(Raw_D2!$G$2:$G$1001,$AQ547)),IF($AR547&lt;&gt;"",IF(INDEX(Raw_D3!$O$2:$O$1001,$AR547)="","",INDEX(Raw_D3!$O$2:$O$1001,$AR547)),"")))</f>
        <v>53</v>
      </c>
      <c r="P547" s="5">
        <f>IF($A547="","",IF($AQ547&lt;&gt;"",IF(INDEX(Raw_D2!$H$2:$H$1001,$AQ547)="","",INDEX(Raw_D2!$H$2:$H$1001,$AQ547)),IF($AR547&lt;&gt;"",IF(INDEX(Raw_D3!$P$2:$P$1001,$AR547)="","",INDEX(Raw_D3!$P$2:$P$1001,$AR547)),"")))</f>
        <v>59</v>
      </c>
      <c r="Q547" s="5" t="str">
        <f>IF($A547="","",IF(AND($AP547&lt;&gt;"",$AQ547&lt;&gt;""),"D1+D2",IF($AR547&lt;&gt;"","D3","Incomplete")))</f>
        <v>D1+D2</v>
      </c>
      <c r="R547" s="17">
        <f>IF($A547="","",IF($K547="",IF($J547="","",ROUND(Lookups!$K$5+Lookups!$K$4*$J547,4)),$K547))</f>
        <v>0.1515</v>
      </c>
      <c r="S547" s="5" t="str">
        <f>IF($A547="","",IF($K547="","Imputed","Original"))</f>
        <v>Original</v>
      </c>
      <c r="T547" s="5" t="str">
        <f>IF($A547="","",IF($P547="","Missing",IF($P547=$N547+$O547,"OK","Mismatch")))</f>
        <v>OK</v>
      </c>
      <c r="U547" s="5" t="str">
        <f>IF($A547="","",IF(COUNTIF($A$2:$A547,$A547)&gt;1,"Duplicate","Unique"))</f>
        <v>Unique</v>
      </c>
      <c r="V547" s="5">
        <f>IF($A547="","",IF(AND($U547="Unique",ISNUMBER($P547)),1,0))</f>
        <v>1</v>
      </c>
      <c r="W547" s="5" t="str">
        <f>IF($A547="","",IF(OR($H547=0,$H547=6),"Weekend","Weekday"))</f>
        <v>Weekday</v>
      </c>
      <c r="X547" s="5" t="str">
        <f>IF($A547="","",TEXT($B547,"ddd"))</f>
        <v>Mon</v>
      </c>
      <c r="Y547" s="5" t="str">
        <f>IF($A547="","",TEXT($B547,"mmm"))</f>
        <v>Jan</v>
      </c>
      <c r="Z547" s="5" t="str">
        <f>IF($A547="","",IFERROR(VLOOKUP($C547,Lookups!$D$4:$E$7,2,FALSE),"Unknown"))</f>
        <v>Winter</v>
      </c>
      <c r="AA547" s="5" t="str">
        <f>IF($A547="","",IFERROR(VLOOKUP($I547,Lookups!$A$4:$B$7,2,FALSE),"Unknown"))</f>
        <v>Clear</v>
      </c>
      <c r="AB547" s="5" t="str">
        <f>IF($A547="","",TEXT($F547,"00")&amp;":00")</f>
        <v>21:00</v>
      </c>
      <c r="AC547" s="5" t="str">
        <f>IF($A547="","",VLOOKUP($F547,Lookups!$G$4:$H$8,2,TRUE))</f>
        <v>Late Evening (20-23)</v>
      </c>
      <c r="AD547" s="18">
        <f>IF($A547="","",IF($J547="","",ROUND($J547*41,1)))</f>
        <v>5.7</v>
      </c>
      <c r="AE547" s="18">
        <f>IF($A547="","",IF($R547="","",ROUND($R547*50,1)))</f>
        <v>7.6</v>
      </c>
      <c r="AF547" s="5">
        <f>IF($A547="","",IF($L547="","",ROUND($L547*100,0)))</f>
        <v>63</v>
      </c>
      <c r="AG547" s="18">
        <f>IF($A547="","",IF($M547="","",ROUND($M547*67,1)))</f>
        <v>11</v>
      </c>
      <c r="AH547" s="19">
        <f>IF($A547="","",IF($P547="","",IF($P547=0,0,$O547/$P547)))</f>
        <v>0.898305084745763</v>
      </c>
      <c r="AI547" s="5" t="str">
        <f>IF($A547="","",IF($P547="","",IF($P547&gt;=Lookups!$K$7,"High",IF($P547&lt;=Lookups!$K$8,"Low","Medium"))))</f>
        <v>Medium</v>
      </c>
      <c r="AJ547" s="5" t="str">
        <f>IF($A547="","",IF($AD547="","",IF($AD547&lt;5,"Under 5 C",IF($AD547&lt;10,"5-10 C",IF($AD547&lt;15,"10-15 C","15 C and above")))))</f>
        <v>5-10 C</v>
      </c>
      <c r="AK547" s="5">
        <f>IF($A547="","",IF($P547="","",$P547^2))</f>
        <v>3481</v>
      </c>
      <c r="AL547" s="18">
        <f>IF($V547&lt;&gt;1,"",AVERAGEIFS(Clean_Data!$P$2:$P$1001,Clean_Data!$F$2:$F$1001,$F547,Clean_Data!$W$2:$W$1001,$W547,Clean_Data!$V$2:$V$1001,1))</f>
        <v>50.8965517241379</v>
      </c>
      <c r="AM547" s="16">
        <f>IF($V547&lt;&gt;1,"",IFERROR(($P547-$AL547)/SQRT(MAX(0,(SUMIFS(Clean_Data!$AK$2:$AK$1001,Clean_Data!$F$2:$F$1001,$F547,Clean_Data!$W$2:$W$1001,$W547,Clean_Data!$V$2:$V$1001,1)-COUNTIFS(Clean_Data!$F$2:$F$1001,$F547,Clean_Data!$W$2:$W$1001,$W547,Clean_Data!$V$2:$V$1001,1)*$AL547^2)/(COUNTIFS(Clean_Data!$F$2:$F$1001,$F547,Clean_Data!$W$2:$W$1001,$W547,Clean_Data!$V$2:$V$1001,1)-1))),""))</f>
        <v>0.586855990726295</v>
      </c>
      <c r="AN547" s="5" t="str">
        <f>IF($AM547="","",IF($AM547&gt;=Lookups!$K$6,"High spike",IF($AM547&lt;=-Lookups!$K$6,"Unusual low","Normal")))</f>
        <v>Normal</v>
      </c>
      <c r="AO547" s="20">
        <f>IF($V547&lt;&gt;1,"",$P547+ROW()/100000)</f>
        <v>59.00547</v>
      </c>
      <c r="AP547" s="5">
        <f>IF($A547="","",IFERROR(MATCH($A547,Raw_D1!$A$2:$A$1001,0),""))</f>
        <v>546</v>
      </c>
      <c r="AQ547" s="5">
        <f>IF($A547="","",IFERROR(MATCH($A547,Raw_D2!$B$2:$B$1001,0),""))</f>
        <v>546</v>
      </c>
      <c r="AR547" s="5">
        <f>IF($A547="","",IFERROR(MATCH($A547,Raw_D3!$A$2:$A$1001,0),""))</f>
        <v/>
      </c>
    </row>
    <row r="548" spans="1:44" x14ac:dyDescent="0.25">
      <c r="A548" s="5">
        <v>547</v>
      </c>
      <c r="B548" s="11">
        <f>IF($A548="","",IF($AP548&lt;&gt;"",INDEX(Raw_D1!$B$2:$B$1001,$AP548),IF($AR548&lt;&gt;"",INDEX(Raw_D3!$B$2:$B$1001,$AR548),"")))</f>
        <v>40567.0</v>
      </c>
      <c r="C548" s="5">
        <f>IF($A548="","",IF($AP548&lt;&gt;"",INDEX(Raw_D1!$C$2:$C$1001,$AP548),IF($AR548&lt;&gt;"",INDEX(Raw_D3!$C$2:$C$1001,$AR548),"")))</f>
        <v>1</v>
      </c>
      <c r="D548" s="5">
        <f>IF($A548="","",IF($AP548&lt;&gt;"",INDEX(Raw_D1!$D$2:$D$1001,$AP548),IF($AR548&lt;&gt;"",INDEX(Raw_D3!$D$2:$D$1001,$AR548),"")))</f>
        <v>0</v>
      </c>
      <c r="E548" s="5">
        <f>IF($A548="","",IF($AP548&lt;&gt;"",INDEX(Raw_D1!$E$2:$E$1001,$AP548),IF($AR548&lt;&gt;"",INDEX(Raw_D3!$E$2:$E$1001,$AR548),"")))</f>
        <v>1</v>
      </c>
      <c r="F548" s="5">
        <f>IF($A548="","",IF($AP548&lt;&gt;"",INDEX(Raw_D1!$F$2:$F$1001,$AP548),IF($AR548&lt;&gt;"",INDEX(Raw_D3!$F$2:$F$1001,$AR548),"")))</f>
        <v>22</v>
      </c>
      <c r="G548" s="5">
        <f>IF($A548="","",IF($AP548&lt;&gt;"",IF(INDEX(Raw_D1!$G$2:$G$1001,$AP548),1,0),IF($AR548&lt;&gt;"",IF(INDEX(Raw_D3!$G$2:$G$1001,$AR548),1,0),"")))</f>
        <v>0</v>
      </c>
      <c r="H548" s="5">
        <f>IF($A548="","",IF($AP548&lt;&gt;"",INDEX(Raw_D1!$H$2:$H$1001,$AP548),IF($AR548&lt;&gt;"",INDEX(Raw_D3!$H$2:$H$1001,$AR548),"")))</f>
        <v>1</v>
      </c>
      <c r="I548" s="5">
        <f>IF($A548="","",IF($AP548&lt;&gt;"",INDEX(Raw_D1!$I$2:$I$1001,$AP548),IF($AR548&lt;&gt;"",INDEX(Raw_D3!$I$2:$I$1001,$AR548),"")))</f>
        <v>2</v>
      </c>
      <c r="J548" s="16">
        <f>IF($A548="","",IF($AP548&lt;&gt;"",INDEX(Raw_D1!$J$2:$J$1001,$AP548),IF($AR548&lt;&gt;"",INDEX(Raw_D3!$J$2:$J$1001,$AR548),"")))</f>
        <v>0.14</v>
      </c>
      <c r="K548" s="17">
        <f>IF($A548="","",IF($AQ548&lt;&gt;"",IF(INDEX(Raw_D2!$C$2:$C$1001,$AQ548)="","",INDEX(Raw_D2!$C$2:$C$1001,$AQ548)),IF($AR548&lt;&gt;"",IF(INDEX(Raw_D3!$K$2:$K$1001,$AR548)="","",INDEX(Raw_D3!$K$2:$K$1001,$AR548)),"")))</f>
        <v>0.1364</v>
      </c>
      <c r="L548" s="16">
        <f>IF($A548="","",IF($AQ548&lt;&gt;"",IF(INDEX(Raw_D2!$D$2:$D$1001,$AQ548)="","",INDEX(Raw_D2!$D$2:$D$1001,$AQ548)),IF($AR548&lt;&gt;"",IF(INDEX(Raw_D3!$L$2:$L$1001,$AR548)="","",INDEX(Raw_D3!$L$2:$L$1001,$AR548)),"")))</f>
        <v>0.63</v>
      </c>
      <c r="M548" s="17">
        <f>IF($A548="","",IF($AQ548&lt;&gt;"",IF(INDEX(Raw_D2!$E$2:$E$1001,$AQ548)="","",INDEX(Raw_D2!$E$2:$E$1001,$AQ548)),IF($AR548&lt;&gt;"",IF(INDEX(Raw_D3!$M$2:$M$1001,$AR548)="","",INDEX(Raw_D3!$M$2:$M$1001,$AR548)),"")))</f>
        <v>0.2239</v>
      </c>
      <c r="N548" s="5">
        <f>IF($A548="","",IF($AQ548&lt;&gt;"",IF(INDEX(Raw_D2!$F$2:$F$1001,$AQ548)="","",INDEX(Raw_D2!$F$2:$F$1001,$AQ548)),IF($AR548&lt;&gt;"",IF(INDEX(Raw_D3!$N$2:$N$1001,$AR548)="","",INDEX(Raw_D3!$N$2:$N$1001,$AR548)),"")))</f>
        <v>3</v>
      </c>
      <c r="O548" s="5">
        <f>IF($A548="","",IF($AQ548&lt;&gt;"",IF(INDEX(Raw_D2!$G$2:$G$1001,$AQ548)="","",INDEX(Raw_D2!$G$2:$G$1001,$AQ548)),IF($AR548&lt;&gt;"",IF(INDEX(Raw_D3!$O$2:$O$1001,$AR548)="","",INDEX(Raw_D3!$O$2:$O$1001,$AR548)),"")))</f>
        <v>32</v>
      </c>
      <c r="P548" s="5">
        <f>IF($A548="","",IF($AQ548&lt;&gt;"",IF(INDEX(Raw_D2!$H$2:$H$1001,$AQ548)="","",INDEX(Raw_D2!$H$2:$H$1001,$AQ548)),IF($AR548&lt;&gt;"",IF(INDEX(Raw_D3!$P$2:$P$1001,$AR548)="","",INDEX(Raw_D3!$P$2:$P$1001,$AR548)),"")))</f>
        <v>35</v>
      </c>
      <c r="Q548" s="5" t="str">
        <f>IF($A548="","",IF(AND($AP548&lt;&gt;"",$AQ548&lt;&gt;""),"D1+D2",IF($AR548&lt;&gt;"","D3","Incomplete")))</f>
        <v>D1+D2</v>
      </c>
      <c r="R548" s="17">
        <f>IF($A548="","",IF($K548="",IF($J548="","",ROUND(Lookups!$K$5+Lookups!$K$4*$J548,4)),$K548))</f>
        <v>0.1364</v>
      </c>
      <c r="S548" s="5" t="str">
        <f>IF($A548="","",IF($K548="","Imputed","Original"))</f>
        <v>Original</v>
      </c>
      <c r="T548" s="5" t="str">
        <f>IF($A548="","",IF($P548="","Missing",IF($P548=$N548+$O548,"OK","Mismatch")))</f>
        <v>OK</v>
      </c>
      <c r="U548" s="5" t="str">
        <f>IF($A548="","",IF(COUNTIF($A$2:$A548,$A548)&gt;1,"Duplicate","Unique"))</f>
        <v>Unique</v>
      </c>
      <c r="V548" s="5">
        <f>IF($A548="","",IF(AND($U548="Unique",ISNUMBER($P548)),1,0))</f>
        <v>1</v>
      </c>
      <c r="W548" s="5" t="str">
        <f>IF($A548="","",IF(OR($H548=0,$H548=6),"Weekend","Weekday"))</f>
        <v>Weekday</v>
      </c>
      <c r="X548" s="5" t="str">
        <f>IF($A548="","",TEXT($B548,"ddd"))</f>
        <v>Mon</v>
      </c>
      <c r="Y548" s="5" t="str">
        <f>IF($A548="","",TEXT($B548,"mmm"))</f>
        <v>Jan</v>
      </c>
      <c r="Z548" s="5" t="str">
        <f>IF($A548="","",IFERROR(VLOOKUP($C548,Lookups!$D$4:$E$7,2,FALSE),"Unknown"))</f>
        <v>Winter</v>
      </c>
      <c r="AA548" s="5" t="str">
        <f>IF($A548="","",IFERROR(VLOOKUP($I548,Lookups!$A$4:$B$7,2,FALSE),"Unknown"))</f>
        <v>Mist/Cloudy</v>
      </c>
      <c r="AB548" s="5" t="str">
        <f>IF($A548="","",TEXT($F548,"00")&amp;":00")</f>
        <v>22:00</v>
      </c>
      <c r="AC548" s="5" t="str">
        <f>IF($A548="","",VLOOKUP($F548,Lookups!$G$4:$H$8,2,TRUE))</f>
        <v>Late Evening (20-23)</v>
      </c>
      <c r="AD548" s="18">
        <f>IF($A548="","",IF($J548="","",ROUND($J548*41,1)))</f>
        <v>5.7</v>
      </c>
      <c r="AE548" s="18">
        <f>IF($A548="","",IF($R548="","",ROUND($R548*50,1)))</f>
        <v>6.8</v>
      </c>
      <c r="AF548" s="5">
        <f>IF($A548="","",IF($L548="","",ROUND($L548*100,0)))</f>
        <v>63</v>
      </c>
      <c r="AG548" s="18">
        <f>IF($A548="","",IF($M548="","",ROUND($M548*67,1)))</f>
        <v>15</v>
      </c>
      <c r="AH548" s="19">
        <f>IF($A548="","",IF($P548="","",IF($P548=0,0,$O548/$P548)))</f>
        <v>0.914285714285714</v>
      </c>
      <c r="AI548" s="5" t="str">
        <f>IF($A548="","",IF($P548="","",IF($P548&gt;=Lookups!$K$7,"High",IF($P548&lt;=Lookups!$K$8,"Low","Medium"))))</f>
        <v>Medium</v>
      </c>
      <c r="AJ548" s="5" t="str">
        <f>IF($A548="","",IF($AD548="","",IF($AD548&lt;5,"Under 5 C",IF($AD548&lt;10,"5-10 C",IF($AD548&lt;15,"10-15 C","15 C and above")))))</f>
        <v>5-10 C</v>
      </c>
      <c r="AK548" s="5">
        <f>IF($A548="","",IF($P548="","",$P548^2))</f>
        <v>1225</v>
      </c>
      <c r="AL548" s="18">
        <f>IF($V548&lt;&gt;1,"",AVERAGEIFS(Clean_Data!$P$2:$P$1001,Clean_Data!$F$2:$F$1001,$F548,Clean_Data!$W$2:$W$1001,$W548,Clean_Data!$V$2:$V$1001,1))</f>
        <v>37.1034482758621</v>
      </c>
      <c r="AM548" s="16">
        <f>IF($V548&lt;&gt;1,"",IFERROR(($P548-$AL548)/SQRT(MAX(0,(SUMIFS(Clean_Data!$AK$2:$AK$1001,Clean_Data!$F$2:$F$1001,$F548,Clean_Data!$W$2:$W$1001,$W548,Clean_Data!$V$2:$V$1001,1)-COUNTIFS(Clean_Data!$F$2:$F$1001,$F548,Clean_Data!$W$2:$W$1001,$W548,Clean_Data!$V$2:$V$1001,1)*$AL548^2)/(COUNTIFS(Clean_Data!$F$2:$F$1001,$F548,Clean_Data!$W$2:$W$1001,$W548,Clean_Data!$V$2:$V$1001,1)-1))),""))</f>
        <v>-0.194860121858057</v>
      </c>
      <c r="AN548" s="5" t="str">
        <f>IF($AM548="","",IF($AM548&gt;=Lookups!$K$6,"High spike",IF($AM548&lt;=-Lookups!$K$6,"Unusual low","Normal")))</f>
        <v>Normal</v>
      </c>
      <c r="AO548" s="20">
        <f>IF($V548&lt;&gt;1,"",$P548+ROW()/100000)</f>
        <v>35.00548</v>
      </c>
      <c r="AP548" s="5">
        <f>IF($A548="","",IFERROR(MATCH($A548,Raw_D1!$A$2:$A$1001,0),""))</f>
        <v>547</v>
      </c>
      <c r="AQ548" s="5">
        <f>IF($A548="","",IFERROR(MATCH($A548,Raw_D2!$B$2:$B$1001,0),""))</f>
        <v>547</v>
      </c>
      <c r="AR548" s="5">
        <f>IF($A548="","",IFERROR(MATCH($A548,Raw_D3!$A$2:$A$1001,0),""))</f>
        <v/>
      </c>
    </row>
    <row r="549" spans="1:44" x14ac:dyDescent="0.25">
      <c r="A549" s="5">
        <v>548</v>
      </c>
      <c r="B549" s="11">
        <f>IF($A549="","",IF($AP549&lt;&gt;"",INDEX(Raw_D1!$B$2:$B$1001,$AP549),IF($AR549&lt;&gt;"",INDEX(Raw_D3!$B$2:$B$1001,$AR549),"")))</f>
        <v>40567.0</v>
      </c>
      <c r="C549" s="5">
        <f>IF($A549="","",IF($AP549&lt;&gt;"",INDEX(Raw_D1!$C$2:$C$1001,$AP549),IF($AR549&lt;&gt;"",INDEX(Raw_D3!$C$2:$C$1001,$AR549),"")))</f>
        <v>1</v>
      </c>
      <c r="D549" s="5">
        <f>IF($A549="","",IF($AP549&lt;&gt;"",INDEX(Raw_D1!$D$2:$D$1001,$AP549),IF($AR549&lt;&gt;"",INDEX(Raw_D3!$D$2:$D$1001,$AR549),"")))</f>
        <v>0</v>
      </c>
      <c r="E549" s="5">
        <f>IF($A549="","",IF($AP549&lt;&gt;"",INDEX(Raw_D1!$E$2:$E$1001,$AP549),IF($AR549&lt;&gt;"",INDEX(Raw_D3!$E$2:$E$1001,$AR549),"")))</f>
        <v>1</v>
      </c>
      <c r="F549" s="5">
        <f>IF($A549="","",IF($AP549&lt;&gt;"",INDEX(Raw_D1!$F$2:$F$1001,$AP549),IF($AR549&lt;&gt;"",INDEX(Raw_D3!$F$2:$F$1001,$AR549),"")))</f>
        <v>23</v>
      </c>
      <c r="G549" s="5">
        <f>IF($A549="","",IF($AP549&lt;&gt;"",IF(INDEX(Raw_D1!$G$2:$G$1001,$AP549),1,0),IF($AR549&lt;&gt;"",IF(INDEX(Raw_D3!$G$2:$G$1001,$AR549),1,0),"")))</f>
        <v>0</v>
      </c>
      <c r="H549" s="5">
        <f>IF($A549="","",IF($AP549&lt;&gt;"",INDEX(Raw_D1!$H$2:$H$1001,$AP549),IF($AR549&lt;&gt;"",INDEX(Raw_D3!$H$2:$H$1001,$AR549),"")))</f>
        <v>1</v>
      </c>
      <c r="I549" s="5">
        <f>IF($A549="","",IF($AP549&lt;&gt;"",INDEX(Raw_D1!$I$2:$I$1001,$AP549),IF($AR549&lt;&gt;"",INDEX(Raw_D3!$I$2:$I$1001,$AR549),"")))</f>
        <v>2</v>
      </c>
      <c r="J549" s="16">
        <f>IF($A549="","",IF($AP549&lt;&gt;"",INDEX(Raw_D1!$J$2:$J$1001,$AP549),IF($AR549&lt;&gt;"",INDEX(Raw_D3!$J$2:$J$1001,$AR549),"")))</f>
        <v>0.16</v>
      </c>
      <c r="K549" s="17">
        <f>IF($A549="","",IF($AQ549&lt;&gt;"",IF(INDEX(Raw_D2!$C$2:$C$1001,$AQ549)="","",INDEX(Raw_D2!$C$2:$C$1001,$AQ549)),IF($AR549&lt;&gt;"",IF(INDEX(Raw_D3!$K$2:$K$1001,$AR549)="","",INDEX(Raw_D3!$K$2:$K$1001,$AR549)),"")))</f>
        <v>0.1515</v>
      </c>
      <c r="L549" s="16">
        <f>IF($A549="","",IF($AQ549&lt;&gt;"",IF(INDEX(Raw_D2!$D$2:$D$1001,$AQ549)="","",INDEX(Raw_D2!$D$2:$D$1001,$AQ549)),IF($AR549&lt;&gt;"",IF(INDEX(Raw_D3!$L$2:$L$1001,$AR549)="","",INDEX(Raw_D3!$L$2:$L$1001,$AR549)),"")))</f>
        <v>0.64</v>
      </c>
      <c r="M549" s="17">
        <f>IF($A549="","",IF($AQ549&lt;&gt;"",IF(INDEX(Raw_D2!$E$2:$E$1001,$AQ549)="","",INDEX(Raw_D2!$E$2:$E$1001,$AQ549)),IF($AR549&lt;&gt;"",IF(INDEX(Raw_D3!$M$2:$M$1001,$AR549)="","",INDEX(Raw_D3!$M$2:$M$1001,$AR549)),"")))</f>
        <v>0.2537</v>
      </c>
      <c r="N549" s="5">
        <f>IF($A549="","",IF($AQ549&lt;&gt;"",IF(INDEX(Raw_D2!$F$2:$F$1001,$AQ549)="","",INDEX(Raw_D2!$F$2:$F$1001,$AQ549)),IF($AR549&lt;&gt;"",IF(INDEX(Raw_D3!$N$2:$N$1001,$AR549)="","",INDEX(Raw_D3!$N$2:$N$1001,$AR549)),"")))</f>
        <v>3</v>
      </c>
      <c r="O549" s="5">
        <f>IF($A549="","",IF($AQ549&lt;&gt;"",IF(INDEX(Raw_D2!$G$2:$G$1001,$AQ549)="","",INDEX(Raw_D2!$G$2:$G$1001,$AQ549)),IF($AR549&lt;&gt;"",IF(INDEX(Raw_D3!$O$2:$O$1001,$AR549)="","",INDEX(Raw_D3!$O$2:$O$1001,$AR549)),"")))</f>
        <v>21</v>
      </c>
      <c r="P549" s="5">
        <f>IF($A549="","",IF($AQ549&lt;&gt;"",IF(INDEX(Raw_D2!$H$2:$H$1001,$AQ549)="","",INDEX(Raw_D2!$H$2:$H$1001,$AQ549)),IF($AR549&lt;&gt;"",IF(INDEX(Raw_D3!$P$2:$P$1001,$AR549)="","",INDEX(Raw_D3!$P$2:$P$1001,$AR549)),"")))</f>
        <v>24</v>
      </c>
      <c r="Q549" s="5" t="str">
        <f>IF($A549="","",IF(AND($AP549&lt;&gt;"",$AQ549&lt;&gt;""),"D1+D2",IF($AR549&lt;&gt;"","D3","Incomplete")))</f>
        <v>D1+D2</v>
      </c>
      <c r="R549" s="17">
        <f>IF($A549="","",IF($K549="",IF($J549="","",ROUND(Lookups!$K$5+Lookups!$K$4*$J549,4)),$K549))</f>
        <v>0.1515</v>
      </c>
      <c r="S549" s="5" t="str">
        <f>IF($A549="","",IF($K549="","Imputed","Original"))</f>
        <v>Original</v>
      </c>
      <c r="T549" s="5" t="str">
        <f>IF($A549="","",IF($P549="","Missing",IF($P549=$N549+$O549,"OK","Mismatch")))</f>
        <v>OK</v>
      </c>
      <c r="U549" s="5" t="str">
        <f>IF($A549="","",IF(COUNTIF($A$2:$A549,$A549)&gt;1,"Duplicate","Unique"))</f>
        <v>Unique</v>
      </c>
      <c r="V549" s="5">
        <f>IF($A549="","",IF(AND($U549="Unique",ISNUMBER($P549)),1,0))</f>
        <v>1</v>
      </c>
      <c r="W549" s="5" t="str">
        <f>IF($A549="","",IF(OR($H549=0,$H549=6),"Weekend","Weekday"))</f>
        <v>Weekday</v>
      </c>
      <c r="X549" s="5" t="str">
        <f>IF($A549="","",TEXT($B549,"ddd"))</f>
        <v>Mon</v>
      </c>
      <c r="Y549" s="5" t="str">
        <f>IF($A549="","",TEXT($B549,"mmm"))</f>
        <v>Jan</v>
      </c>
      <c r="Z549" s="5" t="str">
        <f>IF($A549="","",IFERROR(VLOOKUP($C549,Lookups!$D$4:$E$7,2,FALSE),"Unknown"))</f>
        <v>Winter</v>
      </c>
      <c r="AA549" s="5" t="str">
        <f>IF($A549="","",IFERROR(VLOOKUP($I549,Lookups!$A$4:$B$7,2,FALSE),"Unknown"))</f>
        <v>Mist/Cloudy</v>
      </c>
      <c r="AB549" s="5" t="str">
        <f>IF($A549="","",TEXT($F549,"00")&amp;":00")</f>
        <v>23:00</v>
      </c>
      <c r="AC549" s="5" t="str">
        <f>IF($A549="","",VLOOKUP($F549,Lookups!$G$4:$H$8,2,TRUE))</f>
        <v>Late Evening (20-23)</v>
      </c>
      <c r="AD549" s="18">
        <f>IF($A549="","",IF($J549="","",ROUND($J549*41,1)))</f>
        <v>6.6</v>
      </c>
      <c r="AE549" s="18">
        <f>IF($A549="","",IF($R549="","",ROUND($R549*50,1)))</f>
        <v>7.6</v>
      </c>
      <c r="AF549" s="5">
        <f>IF($A549="","",IF($L549="","",ROUND($L549*100,0)))</f>
        <v>64</v>
      </c>
      <c r="AG549" s="18">
        <f>IF($A549="","",IF($M549="","",ROUND($M549*67,1)))</f>
        <v>17</v>
      </c>
      <c r="AH549" s="19">
        <f>IF($A549="","",IF($P549="","",IF($P549=0,0,$O549/$P549)))</f>
        <v>0.875</v>
      </c>
      <c r="AI549" s="5" t="str">
        <f>IF($A549="","",IF($P549="","",IF($P549&gt;=Lookups!$K$7,"High",IF($P549&lt;=Lookups!$K$8,"Low","Medium"))))</f>
        <v>Medium</v>
      </c>
      <c r="AJ549" s="5" t="str">
        <f>IF($A549="","",IF($AD549="","",IF($AD549&lt;5,"Under 5 C",IF($AD549&lt;10,"5-10 C",IF($AD549&lt;15,"10-15 C","15 C and above")))))</f>
        <v>5-10 C</v>
      </c>
      <c r="AK549" s="5">
        <f>IF($A549="","",IF($P549="","",$P549^2))</f>
        <v>576</v>
      </c>
      <c r="AL549" s="18">
        <f>IF($V549&lt;&gt;1,"",AVERAGEIFS(Clean_Data!$P$2:$P$1001,Clean_Data!$F$2:$F$1001,$F549,Clean_Data!$W$2:$W$1001,$W549,Clean_Data!$V$2:$V$1001,1))</f>
        <v>23.6896551724138</v>
      </c>
      <c r="AM549" s="16">
        <f>IF($V549&lt;&gt;1,"",IFERROR(($P549-$AL549)/SQRT(MAX(0,(SUMIFS(Clean_Data!$AK$2:$AK$1001,Clean_Data!$F$2:$F$1001,$F549,Clean_Data!$W$2:$W$1001,$W549,Clean_Data!$V$2:$V$1001,1)-COUNTIFS(Clean_Data!$F$2:$F$1001,$F549,Clean_Data!$W$2:$W$1001,$W549,Clean_Data!$V$2:$V$1001,1)*$AL549^2)/(COUNTIFS(Clean_Data!$F$2:$F$1001,$F549,Clean_Data!$W$2:$W$1001,$W549,Clean_Data!$V$2:$V$1001,1)-1))),""))</f>
        <v>0.0296277244816094</v>
      </c>
      <c r="AN549" s="5" t="str">
        <f>IF($AM549="","",IF($AM549&gt;=Lookups!$K$6,"High spike",IF($AM549&lt;=-Lookups!$K$6,"Unusual low","Normal")))</f>
        <v>Normal</v>
      </c>
      <c r="AO549" s="20">
        <f>IF($V549&lt;&gt;1,"",$P549+ROW()/100000)</f>
        <v>24.00549</v>
      </c>
      <c r="AP549" s="5">
        <f>IF($A549="","",IFERROR(MATCH($A549,Raw_D1!$A$2:$A$1001,0),""))</f>
        <v>548</v>
      </c>
      <c r="AQ549" s="5">
        <f>IF($A549="","",IFERROR(MATCH($A549,Raw_D2!$B$2:$B$1001,0),""))</f>
        <v>548</v>
      </c>
      <c r="AR549" s="5">
        <f>IF($A549="","",IFERROR(MATCH($A549,Raw_D3!$A$2:$A$1001,0),""))</f>
        <v/>
      </c>
    </row>
    <row r="550" spans="1:44" x14ac:dyDescent="0.25">
      <c r="A550" s="5">
        <v>549</v>
      </c>
      <c r="B550" s="11">
        <f>IF($A550="","",IF($AP550&lt;&gt;"",INDEX(Raw_D1!$B$2:$B$1001,$AP550),IF($AR550&lt;&gt;"",INDEX(Raw_D3!$B$2:$B$1001,$AR550),"")))</f>
        <v>40568.0</v>
      </c>
      <c r="C550" s="5">
        <f>IF($A550="","",IF($AP550&lt;&gt;"",INDEX(Raw_D1!$C$2:$C$1001,$AP550),IF($AR550&lt;&gt;"",INDEX(Raw_D3!$C$2:$C$1001,$AR550),"")))</f>
        <v>1</v>
      </c>
      <c r="D550" s="5">
        <f>IF($A550="","",IF($AP550&lt;&gt;"",INDEX(Raw_D1!$D$2:$D$1001,$AP550),IF($AR550&lt;&gt;"",INDEX(Raw_D3!$D$2:$D$1001,$AR550),"")))</f>
        <v>0</v>
      </c>
      <c r="E550" s="5">
        <f>IF($A550="","",IF($AP550&lt;&gt;"",INDEX(Raw_D1!$E$2:$E$1001,$AP550),IF($AR550&lt;&gt;"",INDEX(Raw_D3!$E$2:$E$1001,$AR550),"")))</f>
        <v>1</v>
      </c>
      <c r="F550" s="5">
        <f>IF($A550="","",IF($AP550&lt;&gt;"",INDEX(Raw_D1!$F$2:$F$1001,$AP550),IF($AR550&lt;&gt;"",INDEX(Raw_D3!$F$2:$F$1001,$AR550),"")))</f>
        <v>0</v>
      </c>
      <c r="G550" s="5">
        <f>IF($A550="","",IF($AP550&lt;&gt;"",IF(INDEX(Raw_D1!$G$2:$G$1001,$AP550),1,0),IF($AR550&lt;&gt;"",IF(INDEX(Raw_D3!$G$2:$G$1001,$AR550),1,0),"")))</f>
        <v>0</v>
      </c>
      <c r="H550" s="5">
        <f>IF($A550="","",IF($AP550&lt;&gt;"",INDEX(Raw_D1!$H$2:$H$1001,$AP550),IF($AR550&lt;&gt;"",INDEX(Raw_D3!$H$2:$H$1001,$AR550),"")))</f>
        <v>2</v>
      </c>
      <c r="I550" s="5">
        <f>IF($A550="","",IF($AP550&lt;&gt;"",INDEX(Raw_D1!$I$2:$I$1001,$AP550),IF($AR550&lt;&gt;"",INDEX(Raw_D3!$I$2:$I$1001,$AR550),"")))</f>
        <v>2</v>
      </c>
      <c r="J550" s="16">
        <f>IF($A550="","",IF($AP550&lt;&gt;"",INDEX(Raw_D1!$J$2:$J$1001,$AP550),IF($AR550&lt;&gt;"",INDEX(Raw_D3!$J$2:$J$1001,$AR550),"")))</f>
        <v>0.16</v>
      </c>
      <c r="K550" s="17">
        <f>IF($A550="","",IF($AQ550&lt;&gt;"",IF(INDEX(Raw_D2!$C$2:$C$1001,$AQ550)="","",INDEX(Raw_D2!$C$2:$C$1001,$AQ550)),IF($AR550&lt;&gt;"",IF(INDEX(Raw_D3!$K$2:$K$1001,$AR550)="","",INDEX(Raw_D3!$K$2:$K$1001,$AR550)),"")))</f>
        <v>0.1364</v>
      </c>
      <c r="L550" s="16">
        <f>IF($A550="","",IF($AQ550&lt;&gt;"",IF(INDEX(Raw_D2!$D$2:$D$1001,$AQ550)="","",INDEX(Raw_D2!$D$2:$D$1001,$AQ550)),IF($AR550&lt;&gt;"",IF(INDEX(Raw_D3!$L$2:$L$1001,$AR550)="","",INDEX(Raw_D3!$L$2:$L$1001,$AR550)),"")))</f>
        <v>0.69</v>
      </c>
      <c r="M550" s="17">
        <f>IF($A550="","",IF($AQ550&lt;&gt;"",IF(INDEX(Raw_D2!$E$2:$E$1001,$AQ550)="","",INDEX(Raw_D2!$E$2:$E$1001,$AQ550)),IF($AR550&lt;&gt;"",IF(INDEX(Raw_D3!$M$2:$M$1001,$AR550)="","",INDEX(Raw_D3!$M$2:$M$1001,$AR550)),"")))</f>
        <v>0.2836</v>
      </c>
      <c r="N550" s="5">
        <f>IF($A550="","",IF($AQ550&lt;&gt;"",IF(INDEX(Raw_D2!$F$2:$F$1001,$AQ550)="","",INDEX(Raw_D2!$F$2:$F$1001,$AQ550)),IF($AR550&lt;&gt;"",IF(INDEX(Raw_D3!$N$2:$N$1001,$AR550)="","",INDEX(Raw_D3!$N$2:$N$1001,$AR550)),"")))</f>
        <v>3</v>
      </c>
      <c r="O550" s="5">
        <f>IF($A550="","",IF($AQ550&lt;&gt;"",IF(INDEX(Raw_D2!$G$2:$G$1001,$AQ550)="","",INDEX(Raw_D2!$G$2:$G$1001,$AQ550)),IF($AR550&lt;&gt;"",IF(INDEX(Raw_D3!$O$2:$O$1001,$AR550)="","",INDEX(Raw_D3!$O$2:$O$1001,$AR550)),"")))</f>
        <v>6</v>
      </c>
      <c r="P550" s="5">
        <f>IF($A550="","",IF($AQ550&lt;&gt;"",IF(INDEX(Raw_D2!$H$2:$H$1001,$AQ550)="","",INDEX(Raw_D2!$H$2:$H$1001,$AQ550)),IF($AR550&lt;&gt;"",IF(INDEX(Raw_D3!$P$2:$P$1001,$AR550)="","",INDEX(Raw_D3!$P$2:$P$1001,$AR550)),"")))</f>
        <v>9</v>
      </c>
      <c r="Q550" s="5" t="str">
        <f>IF($A550="","",IF(AND($AP550&lt;&gt;"",$AQ550&lt;&gt;""),"D1+D2",IF($AR550&lt;&gt;"","D3","Incomplete")))</f>
        <v>D1+D2</v>
      </c>
      <c r="R550" s="17">
        <f>IF($A550="","",IF($K550="",IF($J550="","",ROUND(Lookups!$K$5+Lookups!$K$4*$J550,4)),$K550))</f>
        <v>0.1364</v>
      </c>
      <c r="S550" s="5" t="str">
        <f>IF($A550="","",IF($K550="","Imputed","Original"))</f>
        <v>Original</v>
      </c>
      <c r="T550" s="5" t="str">
        <f>IF($A550="","",IF($P550="","Missing",IF($P550=$N550+$O550,"OK","Mismatch")))</f>
        <v>OK</v>
      </c>
      <c r="U550" s="5" t="str">
        <f>IF($A550="","",IF(COUNTIF($A$2:$A550,$A550)&gt;1,"Duplicate","Unique"))</f>
        <v>Unique</v>
      </c>
      <c r="V550" s="5">
        <f>IF($A550="","",IF(AND($U550="Unique",ISNUMBER($P550)),1,0))</f>
        <v>1</v>
      </c>
      <c r="W550" s="5" t="str">
        <f>IF($A550="","",IF(OR($H550=0,$H550=6),"Weekend","Weekday"))</f>
        <v>Weekday</v>
      </c>
      <c r="X550" s="5" t="str">
        <f>IF($A550="","",TEXT($B550,"ddd"))</f>
        <v>Tue</v>
      </c>
      <c r="Y550" s="5" t="str">
        <f>IF($A550="","",TEXT($B550,"mmm"))</f>
        <v>Jan</v>
      </c>
      <c r="Z550" s="5" t="str">
        <f>IF($A550="","",IFERROR(VLOOKUP($C550,Lookups!$D$4:$E$7,2,FALSE),"Unknown"))</f>
        <v>Winter</v>
      </c>
      <c r="AA550" s="5" t="str">
        <f>IF($A550="","",IFERROR(VLOOKUP($I550,Lookups!$A$4:$B$7,2,FALSE),"Unknown"))</f>
        <v>Mist/Cloudy</v>
      </c>
      <c r="AB550" s="5" t="str">
        <f>IF($A550="","",TEXT($F550,"00")&amp;":00")</f>
        <v>00:00</v>
      </c>
      <c r="AC550" s="5" t="str">
        <f>IF($A550="","",VLOOKUP($F550,Lookups!$G$4:$H$8,2,TRUE))</f>
        <v>Night (00-05)</v>
      </c>
      <c r="AD550" s="18">
        <f>IF($A550="","",IF($J550="","",ROUND($J550*41,1)))</f>
        <v>6.6</v>
      </c>
      <c r="AE550" s="18">
        <f>IF($A550="","",IF($R550="","",ROUND($R550*50,1)))</f>
        <v>6.8</v>
      </c>
      <c r="AF550" s="5">
        <f>IF($A550="","",IF($L550="","",ROUND($L550*100,0)))</f>
        <v>69</v>
      </c>
      <c r="AG550" s="18">
        <f>IF($A550="","",IF($M550="","",ROUND($M550*67,1)))</f>
        <v>19</v>
      </c>
      <c r="AH550" s="19">
        <f>IF($A550="","",IF($P550="","",IF($P550=0,0,$O550/$P550)))</f>
        <v>0.666666666666667</v>
      </c>
      <c r="AI550" s="5" t="str">
        <f>IF($A550="","",IF($P550="","",IF($P550&gt;=Lookups!$K$7,"High",IF($P550&lt;=Lookups!$K$8,"Low","Medium"))))</f>
        <v>Low</v>
      </c>
      <c r="AJ550" s="5" t="str">
        <f>IF($A550="","",IF($AD550="","",IF($AD550&lt;5,"Under 5 C",IF($AD550&lt;10,"5-10 C",IF($AD550&lt;15,"10-15 C","15 C and above")))))</f>
        <v>5-10 C</v>
      </c>
      <c r="AK550" s="5">
        <f>IF($A550="","",IF($P550="","",$P550^2))</f>
        <v>81</v>
      </c>
      <c r="AL550" s="18">
        <f>IF($V550&lt;&gt;1,"",AVERAGEIFS(Clean_Data!$P$2:$P$1001,Clean_Data!$F$2:$F$1001,$F550,Clean_Data!$W$2:$W$1001,$W550,Clean_Data!$V$2:$V$1001,1))</f>
        <v>10.6896551724138</v>
      </c>
      <c r="AM550" s="16">
        <f>IF($V550&lt;&gt;1,"",IFERROR(($P550-$AL550)/SQRT(MAX(0,(SUMIFS(Clean_Data!$AK$2:$AK$1001,Clean_Data!$F$2:$F$1001,$F550,Clean_Data!$W$2:$W$1001,$W550,Clean_Data!$V$2:$V$1001,1)-COUNTIFS(Clean_Data!$F$2:$F$1001,$F550,Clean_Data!$W$2:$W$1001,$W550,Clean_Data!$V$2:$V$1001,1)*$AL550^2)/(COUNTIFS(Clean_Data!$F$2:$F$1001,$F550,Clean_Data!$W$2:$W$1001,$W550,Clean_Data!$V$2:$V$1001,1)-1))),""))</f>
        <v>-0.34536048978196</v>
      </c>
      <c r="AN550" s="5" t="str">
        <f>IF($AM550="","",IF($AM550&gt;=Lookups!$K$6,"High spike",IF($AM550&lt;=-Lookups!$K$6,"Unusual low","Normal")))</f>
        <v>Normal</v>
      </c>
      <c r="AO550" s="20">
        <f>IF($V550&lt;&gt;1,"",$P550+ROW()/100000)</f>
        <v>9.0055</v>
      </c>
      <c r="AP550" s="5">
        <f>IF($A550="","",IFERROR(MATCH($A550,Raw_D1!$A$2:$A$1001,0),""))</f>
        <v>549</v>
      </c>
      <c r="AQ550" s="5">
        <f>IF($A550="","",IFERROR(MATCH($A550,Raw_D2!$B$2:$B$1001,0),""))</f>
        <v>549</v>
      </c>
      <c r="AR550" s="5">
        <f>IF($A550="","",IFERROR(MATCH($A550,Raw_D3!$A$2:$A$1001,0),""))</f>
        <v/>
      </c>
    </row>
    <row r="551" spans="1:44" x14ac:dyDescent="0.25">
      <c r="A551" s="5">
        <v>550</v>
      </c>
      <c r="B551" s="11">
        <f>IF($A551="","",IF($AP551&lt;&gt;"",INDEX(Raw_D1!$B$2:$B$1001,$AP551),IF($AR551&lt;&gt;"",INDEX(Raw_D3!$B$2:$B$1001,$AR551),"")))</f>
        <v>40568.0</v>
      </c>
      <c r="C551" s="5">
        <f>IF($A551="","",IF($AP551&lt;&gt;"",INDEX(Raw_D1!$C$2:$C$1001,$AP551),IF($AR551&lt;&gt;"",INDEX(Raw_D3!$C$2:$C$1001,$AR551),"")))</f>
        <v>1</v>
      </c>
      <c r="D551" s="5">
        <f>IF($A551="","",IF($AP551&lt;&gt;"",INDEX(Raw_D1!$D$2:$D$1001,$AP551),IF($AR551&lt;&gt;"",INDEX(Raw_D3!$D$2:$D$1001,$AR551),"")))</f>
        <v>0</v>
      </c>
      <c r="E551" s="5">
        <f>IF($A551="","",IF($AP551&lt;&gt;"",INDEX(Raw_D1!$E$2:$E$1001,$AP551),IF($AR551&lt;&gt;"",INDEX(Raw_D3!$E$2:$E$1001,$AR551),"")))</f>
        <v>1</v>
      </c>
      <c r="F551" s="5">
        <f>IF($A551="","",IF($AP551&lt;&gt;"",INDEX(Raw_D1!$F$2:$F$1001,$AP551),IF($AR551&lt;&gt;"",INDEX(Raw_D3!$F$2:$F$1001,$AR551),"")))</f>
        <v>1</v>
      </c>
      <c r="G551" s="5">
        <f>IF($A551="","",IF($AP551&lt;&gt;"",IF(INDEX(Raw_D1!$G$2:$G$1001,$AP551),1,0),IF($AR551&lt;&gt;"",IF(INDEX(Raw_D3!$G$2:$G$1001,$AR551),1,0),"")))</f>
        <v>0</v>
      </c>
      <c r="H551" s="5">
        <f>IF($A551="","",IF($AP551&lt;&gt;"",INDEX(Raw_D1!$H$2:$H$1001,$AP551),IF($AR551&lt;&gt;"",INDEX(Raw_D3!$H$2:$H$1001,$AR551),"")))</f>
        <v>2</v>
      </c>
      <c r="I551" s="5">
        <f>IF($A551="","",IF($AP551&lt;&gt;"",INDEX(Raw_D1!$I$2:$I$1001,$AP551),IF($AR551&lt;&gt;"",INDEX(Raw_D3!$I$2:$I$1001,$AR551),"")))</f>
        <v>2</v>
      </c>
      <c r="J551" s="16">
        <f>IF($A551="","",IF($AP551&lt;&gt;"",INDEX(Raw_D1!$J$2:$J$1001,$AP551),IF($AR551&lt;&gt;"",INDEX(Raw_D3!$J$2:$J$1001,$AR551),"")))</f>
        <v>0.16</v>
      </c>
      <c r="K551" s="17">
        <f>IF($A551="","",IF($AQ551&lt;&gt;"",IF(INDEX(Raw_D2!$C$2:$C$1001,$AQ551)="","",INDEX(Raw_D2!$C$2:$C$1001,$AQ551)),IF($AR551&lt;&gt;"",IF(INDEX(Raw_D3!$K$2:$K$1001,$AR551)="","",INDEX(Raw_D3!$K$2:$K$1001,$AR551)),"")))</f>
        <v>0.1667</v>
      </c>
      <c r="L551" s="16">
        <f>IF($A551="","",IF($AQ551&lt;&gt;"",IF(INDEX(Raw_D2!$D$2:$D$1001,$AQ551)="","",INDEX(Raw_D2!$D$2:$D$1001,$AQ551)),IF($AR551&lt;&gt;"",IF(INDEX(Raw_D3!$L$2:$L$1001,$AR551)="","",INDEX(Raw_D3!$L$2:$L$1001,$AR551)),"")))</f>
        <v>0.69</v>
      </c>
      <c r="M551" s="17">
        <f>IF($A551="","",IF($AQ551&lt;&gt;"",IF(INDEX(Raw_D2!$E$2:$E$1001,$AQ551)="","",INDEX(Raw_D2!$E$2:$E$1001,$AQ551)),IF($AR551&lt;&gt;"",IF(INDEX(Raw_D3!$M$2:$M$1001,$AR551)="","",INDEX(Raw_D3!$M$2:$M$1001,$AR551)),"")))</f>
        <v>0.1642</v>
      </c>
      <c r="N551" s="5">
        <f>IF($A551="","",IF($AQ551&lt;&gt;"",IF(INDEX(Raw_D2!$F$2:$F$1001,$AQ551)="","",INDEX(Raw_D2!$F$2:$F$1001,$AQ551)),IF($AR551&lt;&gt;"",IF(INDEX(Raw_D3!$N$2:$N$1001,$AR551)="","",INDEX(Raw_D3!$N$2:$N$1001,$AR551)),"")))</f>
        <v>0</v>
      </c>
      <c r="O551" s="5">
        <f>IF($A551="","",IF($AQ551&lt;&gt;"",IF(INDEX(Raw_D2!$G$2:$G$1001,$AQ551)="","",INDEX(Raw_D2!$G$2:$G$1001,$AQ551)),IF($AR551&lt;&gt;"",IF(INDEX(Raw_D3!$O$2:$O$1001,$AR551)="","",INDEX(Raw_D3!$O$2:$O$1001,$AR551)),"")))</f>
        <v>5</v>
      </c>
      <c r="P551" s="5">
        <f>IF($A551="","",IF($AQ551&lt;&gt;"",IF(INDEX(Raw_D2!$H$2:$H$1001,$AQ551)="","",INDEX(Raw_D2!$H$2:$H$1001,$AQ551)),IF($AR551&lt;&gt;"",IF(INDEX(Raw_D3!$P$2:$P$1001,$AR551)="","",INDEX(Raw_D3!$P$2:$P$1001,$AR551)),"")))</f>
        <v>5</v>
      </c>
      <c r="Q551" s="5" t="str">
        <f>IF($A551="","",IF(AND($AP551&lt;&gt;"",$AQ551&lt;&gt;""),"D1+D2",IF($AR551&lt;&gt;"","D3","Incomplete")))</f>
        <v>D1+D2</v>
      </c>
      <c r="R551" s="17">
        <f>IF($A551="","",IF($K551="",IF($J551="","",ROUND(Lookups!$K$5+Lookups!$K$4*$J551,4)),$K551))</f>
        <v>0.1667</v>
      </c>
      <c r="S551" s="5" t="str">
        <f>IF($A551="","",IF($K551="","Imputed","Original"))</f>
        <v>Original</v>
      </c>
      <c r="T551" s="5" t="str">
        <f>IF($A551="","",IF($P551="","Missing",IF($P551=$N551+$O551,"OK","Mismatch")))</f>
        <v>OK</v>
      </c>
      <c r="U551" s="5" t="str">
        <f>IF($A551="","",IF(COUNTIF($A$2:$A551,$A551)&gt;1,"Duplicate","Unique"))</f>
        <v>Unique</v>
      </c>
      <c r="V551" s="5">
        <f>IF($A551="","",IF(AND($U551="Unique",ISNUMBER($P551)),1,0))</f>
        <v>1</v>
      </c>
      <c r="W551" s="5" t="str">
        <f>IF($A551="","",IF(OR($H551=0,$H551=6),"Weekend","Weekday"))</f>
        <v>Weekday</v>
      </c>
      <c r="X551" s="5" t="str">
        <f>IF($A551="","",TEXT($B551,"ddd"))</f>
        <v>Tue</v>
      </c>
      <c r="Y551" s="5" t="str">
        <f>IF($A551="","",TEXT($B551,"mmm"))</f>
        <v>Jan</v>
      </c>
      <c r="Z551" s="5" t="str">
        <f>IF($A551="","",IFERROR(VLOOKUP($C551,Lookups!$D$4:$E$7,2,FALSE),"Unknown"))</f>
        <v>Winter</v>
      </c>
      <c r="AA551" s="5" t="str">
        <f>IF($A551="","",IFERROR(VLOOKUP($I551,Lookups!$A$4:$B$7,2,FALSE),"Unknown"))</f>
        <v>Mist/Cloudy</v>
      </c>
      <c r="AB551" s="5" t="str">
        <f>IF($A551="","",TEXT($F551,"00")&amp;":00")</f>
        <v>01:00</v>
      </c>
      <c r="AC551" s="5" t="str">
        <f>IF($A551="","",VLOOKUP($F551,Lookups!$G$4:$H$8,2,TRUE))</f>
        <v>Night (00-05)</v>
      </c>
      <c r="AD551" s="18">
        <f>IF($A551="","",IF($J551="","",ROUND($J551*41,1)))</f>
        <v>6.6</v>
      </c>
      <c r="AE551" s="18">
        <f>IF($A551="","",IF($R551="","",ROUND($R551*50,1)))</f>
        <v>8.3</v>
      </c>
      <c r="AF551" s="5">
        <f>IF($A551="","",IF($L551="","",ROUND($L551*100,0)))</f>
        <v>69</v>
      </c>
      <c r="AG551" s="18">
        <f>IF($A551="","",IF($M551="","",ROUND($M551*67,1)))</f>
        <v>11</v>
      </c>
      <c r="AH551" s="19">
        <f>IF($A551="","",IF($P551="","",IF($P551=0,0,$O551/$P551)))</f>
        <v>1</v>
      </c>
      <c r="AI551" s="5" t="str">
        <f>IF($A551="","",IF($P551="","",IF($P551&gt;=Lookups!$K$7,"High",IF($P551&lt;=Lookups!$K$8,"Low","Medium"))))</f>
        <v>Low</v>
      </c>
      <c r="AJ551" s="5" t="str">
        <f>IF($A551="","",IF($AD551="","",IF($AD551&lt;5,"Under 5 C",IF($AD551&lt;10,"5-10 C",IF($AD551&lt;15,"10-15 C","15 C and above")))))</f>
        <v>5-10 C</v>
      </c>
      <c r="AK551" s="5">
        <f>IF($A551="","",IF($P551="","",$P551^2))</f>
        <v>25</v>
      </c>
      <c r="AL551" s="18">
        <f>IF($V551&lt;&gt;1,"",AVERAGEIFS(Clean_Data!$P$2:$P$1001,Clean_Data!$F$2:$F$1001,$F551,Clean_Data!$W$2:$W$1001,$W551,Clean_Data!$V$2:$V$1001,1))</f>
        <v>5.10344827586207</v>
      </c>
      <c r="AM551" s="16">
        <f>IF($V551&lt;&gt;1,"",IFERROR(($P551-$AL551)/SQRT(MAX(0,(SUMIFS(Clean_Data!$AK$2:$AK$1001,Clean_Data!$F$2:$F$1001,$F551,Clean_Data!$W$2:$W$1001,$W551,Clean_Data!$V$2:$V$1001,1)-COUNTIFS(Clean_Data!$F$2:$F$1001,$F551,Clean_Data!$W$2:$W$1001,$W551,Clean_Data!$V$2:$V$1001,1)*$AL551^2)/(COUNTIFS(Clean_Data!$F$2:$F$1001,$F551,Clean_Data!$W$2:$W$1001,$W551,Clean_Data!$V$2:$V$1001,1)-1))),""))</f>
        <v>-0.0358850647735475</v>
      </c>
      <c r="AN551" s="5" t="str">
        <f>IF($AM551="","",IF($AM551&gt;=Lookups!$K$6,"High spike",IF($AM551&lt;=-Lookups!$K$6,"Unusual low","Normal")))</f>
        <v>Normal</v>
      </c>
      <c r="AO551" s="20">
        <f>IF($V551&lt;&gt;1,"",$P551+ROW()/100000)</f>
        <v>5.00551</v>
      </c>
      <c r="AP551" s="5">
        <f>IF($A551="","",IFERROR(MATCH($A551,Raw_D1!$A$2:$A$1001,0),""))</f>
        <v>550</v>
      </c>
      <c r="AQ551" s="5">
        <f>IF($A551="","",IFERROR(MATCH($A551,Raw_D2!$B$2:$B$1001,0),""))</f>
        <v>550</v>
      </c>
      <c r="AR551" s="5">
        <f>IF($A551="","",IFERROR(MATCH($A551,Raw_D3!$A$2:$A$1001,0),""))</f>
        <v/>
      </c>
    </row>
    <row r="552" spans="1:44" x14ac:dyDescent="0.25">
      <c r="A552" s="5">
        <v>551</v>
      </c>
      <c r="B552" s="11">
        <f>IF($A552="","",IF($AP552&lt;&gt;"",INDEX(Raw_D1!$B$2:$B$1001,$AP552),IF($AR552&lt;&gt;"",INDEX(Raw_D3!$B$2:$B$1001,$AR552),"")))</f>
        <v>40568.0</v>
      </c>
      <c r="C552" s="5">
        <f>IF($A552="","",IF($AP552&lt;&gt;"",INDEX(Raw_D1!$C$2:$C$1001,$AP552),IF($AR552&lt;&gt;"",INDEX(Raw_D3!$C$2:$C$1001,$AR552),"")))</f>
        <v>1</v>
      </c>
      <c r="D552" s="5">
        <f>IF($A552="","",IF($AP552&lt;&gt;"",INDEX(Raw_D1!$D$2:$D$1001,$AP552),IF($AR552&lt;&gt;"",INDEX(Raw_D3!$D$2:$D$1001,$AR552),"")))</f>
        <v>0</v>
      </c>
      <c r="E552" s="5">
        <f>IF($A552="","",IF($AP552&lt;&gt;"",INDEX(Raw_D1!$E$2:$E$1001,$AP552),IF($AR552&lt;&gt;"",INDEX(Raw_D3!$E$2:$E$1001,$AR552),"")))</f>
        <v>1</v>
      </c>
      <c r="F552" s="5">
        <f>IF($A552="","",IF($AP552&lt;&gt;"",INDEX(Raw_D1!$F$2:$F$1001,$AP552),IF($AR552&lt;&gt;"",INDEX(Raw_D3!$F$2:$F$1001,$AR552),"")))</f>
        <v>2</v>
      </c>
      <c r="G552" s="5">
        <f>IF($A552="","",IF($AP552&lt;&gt;"",IF(INDEX(Raw_D1!$G$2:$G$1001,$AP552),1,0),IF($AR552&lt;&gt;"",IF(INDEX(Raw_D3!$G$2:$G$1001,$AR552),1,0),"")))</f>
        <v>0</v>
      </c>
      <c r="H552" s="5">
        <f>IF($A552="","",IF($AP552&lt;&gt;"",INDEX(Raw_D1!$H$2:$H$1001,$AP552),IF($AR552&lt;&gt;"",INDEX(Raw_D3!$H$2:$H$1001,$AR552),"")))</f>
        <v>2</v>
      </c>
      <c r="I552" s="5">
        <f>IF($A552="","",IF($AP552&lt;&gt;"",INDEX(Raw_D1!$I$2:$I$1001,$AP552),IF($AR552&lt;&gt;"",INDEX(Raw_D3!$I$2:$I$1001,$AR552),"")))</f>
        <v>1</v>
      </c>
      <c r="J552" s="16">
        <f>IF($A552="","",IF($AP552&lt;&gt;"",INDEX(Raw_D1!$J$2:$J$1001,$AP552),IF($AR552&lt;&gt;"",INDEX(Raw_D3!$J$2:$J$1001,$AR552),"")))</f>
        <v>0.16</v>
      </c>
      <c r="K552" s="17">
        <f>IF($A552="","",IF($AQ552&lt;&gt;"",IF(INDEX(Raw_D2!$C$2:$C$1001,$AQ552)="","",INDEX(Raw_D2!$C$2:$C$1001,$AQ552)),IF($AR552&lt;&gt;"",IF(INDEX(Raw_D3!$K$2:$K$1001,$AR552)="","",INDEX(Raw_D3!$K$2:$K$1001,$AR552)),"")))</f>
        <v>0.1515</v>
      </c>
      <c r="L552" s="16">
        <f>IF($A552="","",IF($AQ552&lt;&gt;"",IF(INDEX(Raw_D2!$D$2:$D$1001,$AQ552)="","",INDEX(Raw_D2!$D$2:$D$1001,$AQ552)),IF($AR552&lt;&gt;"",IF(INDEX(Raw_D3!$L$2:$L$1001,$AR552)="","",INDEX(Raw_D3!$L$2:$L$1001,$AR552)),"")))</f>
        <v>0.69</v>
      </c>
      <c r="M552" s="17">
        <f>IF($A552="","",IF($AQ552&lt;&gt;"",IF(INDEX(Raw_D2!$E$2:$E$1001,$AQ552)="","",INDEX(Raw_D2!$E$2:$E$1001,$AQ552)),IF($AR552&lt;&gt;"",IF(INDEX(Raw_D3!$M$2:$M$1001,$AR552)="","",INDEX(Raw_D3!$M$2:$M$1001,$AR552)),"")))</f>
        <v>0.2239</v>
      </c>
      <c r="N552" s="5">
        <f>IF($A552="","",IF($AQ552&lt;&gt;"",IF(INDEX(Raw_D2!$F$2:$F$1001,$AQ552)="","",INDEX(Raw_D2!$F$2:$F$1001,$AQ552)),IF($AR552&lt;&gt;"",IF(INDEX(Raw_D3!$N$2:$N$1001,$AR552)="","",INDEX(Raw_D3!$N$2:$N$1001,$AR552)),"")))</f>
        <v>0</v>
      </c>
      <c r="O552" s="5">
        <f>IF($A552="","",IF($AQ552&lt;&gt;"",IF(INDEX(Raw_D2!$G$2:$G$1001,$AQ552)="","",INDEX(Raw_D2!$G$2:$G$1001,$AQ552)),IF($AR552&lt;&gt;"",IF(INDEX(Raw_D3!$O$2:$O$1001,$AR552)="","",INDEX(Raw_D3!$O$2:$O$1001,$AR552)),"")))</f>
        <v>2</v>
      </c>
      <c r="P552" s="5">
        <f>IF($A552="","",IF($AQ552&lt;&gt;"",IF(INDEX(Raw_D2!$H$2:$H$1001,$AQ552)="","",INDEX(Raw_D2!$H$2:$H$1001,$AQ552)),IF($AR552&lt;&gt;"",IF(INDEX(Raw_D3!$P$2:$P$1001,$AR552)="","",INDEX(Raw_D3!$P$2:$P$1001,$AR552)),"")))</f>
        <v>2</v>
      </c>
      <c r="Q552" s="5" t="str">
        <f>IF($A552="","",IF(AND($AP552&lt;&gt;"",$AQ552&lt;&gt;""),"D1+D2",IF($AR552&lt;&gt;"","D3","Incomplete")))</f>
        <v>D1+D2</v>
      </c>
      <c r="R552" s="17">
        <f>IF($A552="","",IF($K552="",IF($J552="","",ROUND(Lookups!$K$5+Lookups!$K$4*$J552,4)),$K552))</f>
        <v>0.1515</v>
      </c>
      <c r="S552" s="5" t="str">
        <f>IF($A552="","",IF($K552="","Imputed","Original"))</f>
        <v>Original</v>
      </c>
      <c r="T552" s="5" t="str">
        <f>IF($A552="","",IF($P552="","Missing",IF($P552=$N552+$O552,"OK","Mismatch")))</f>
        <v>OK</v>
      </c>
      <c r="U552" s="5" t="str">
        <f>IF($A552="","",IF(COUNTIF($A$2:$A552,$A552)&gt;1,"Duplicate","Unique"))</f>
        <v>Unique</v>
      </c>
      <c r="V552" s="5">
        <f>IF($A552="","",IF(AND($U552="Unique",ISNUMBER($P552)),1,0))</f>
        <v>1</v>
      </c>
      <c r="W552" s="5" t="str">
        <f>IF($A552="","",IF(OR($H552=0,$H552=6),"Weekend","Weekday"))</f>
        <v>Weekday</v>
      </c>
      <c r="X552" s="5" t="str">
        <f>IF($A552="","",TEXT($B552,"ddd"))</f>
        <v>Tue</v>
      </c>
      <c r="Y552" s="5" t="str">
        <f>IF($A552="","",TEXT($B552,"mmm"))</f>
        <v>Jan</v>
      </c>
      <c r="Z552" s="5" t="str">
        <f>IF($A552="","",IFERROR(VLOOKUP($C552,Lookups!$D$4:$E$7,2,FALSE),"Unknown"))</f>
        <v>Winter</v>
      </c>
      <c r="AA552" s="5" t="str">
        <f>IF($A552="","",IFERROR(VLOOKUP($I552,Lookups!$A$4:$B$7,2,FALSE),"Unknown"))</f>
        <v>Clear</v>
      </c>
      <c r="AB552" s="5" t="str">
        <f>IF($A552="","",TEXT($F552,"00")&amp;":00")</f>
        <v>02:00</v>
      </c>
      <c r="AC552" s="5" t="str">
        <f>IF($A552="","",VLOOKUP($F552,Lookups!$G$4:$H$8,2,TRUE))</f>
        <v>Night (00-05)</v>
      </c>
      <c r="AD552" s="18">
        <f>IF($A552="","",IF($J552="","",ROUND($J552*41,1)))</f>
        <v>6.6</v>
      </c>
      <c r="AE552" s="18">
        <f>IF($A552="","",IF($R552="","",ROUND($R552*50,1)))</f>
        <v>7.6</v>
      </c>
      <c r="AF552" s="5">
        <f>IF($A552="","",IF($L552="","",ROUND($L552*100,0)))</f>
        <v>69</v>
      </c>
      <c r="AG552" s="18">
        <f>IF($A552="","",IF($M552="","",ROUND($M552*67,1)))</f>
        <v>15</v>
      </c>
      <c r="AH552" s="19">
        <f>IF($A552="","",IF($P552="","",IF($P552=0,0,$O552/$P552)))</f>
        <v>1</v>
      </c>
      <c r="AI552" s="5" t="str">
        <f>IF($A552="","",IF($P552="","",IF($P552&gt;=Lookups!$K$7,"High",IF($P552&lt;=Lookups!$K$8,"Low","Medium"))))</f>
        <v>Low</v>
      </c>
      <c r="AJ552" s="5" t="str">
        <f>IF($A552="","",IF($AD552="","",IF($AD552&lt;5,"Under 5 C",IF($AD552&lt;10,"5-10 C",IF($AD552&lt;15,"10-15 C","15 C and above")))))</f>
        <v>5-10 C</v>
      </c>
      <c r="AK552" s="5">
        <f>IF($A552="","",IF($P552="","",$P552^2))</f>
        <v>4</v>
      </c>
      <c r="AL552" s="18">
        <f>IF($V552&lt;&gt;1,"",AVERAGEIFS(Clean_Data!$P$2:$P$1001,Clean_Data!$F$2:$F$1001,$F552,Clean_Data!$W$2:$W$1001,$W552,Clean_Data!$V$2:$V$1001,1))</f>
        <v>2.62962962962963</v>
      </c>
      <c r="AM552" s="16">
        <f>IF($V552&lt;&gt;1,"",IFERROR(($P552-$AL552)/SQRT(MAX(0,(SUMIFS(Clean_Data!$AK$2:$AK$1001,Clean_Data!$F$2:$F$1001,$F552,Clean_Data!$W$2:$W$1001,$W552,Clean_Data!$V$2:$V$1001,1)-COUNTIFS(Clean_Data!$F$2:$F$1001,$F552,Clean_Data!$W$2:$W$1001,$W552,Clean_Data!$V$2:$V$1001,1)*$AL552^2)/(COUNTIFS(Clean_Data!$F$2:$F$1001,$F552,Clean_Data!$W$2:$W$1001,$W552,Clean_Data!$V$2:$V$1001,1)-1))),""))</f>
        <v>-0.311395810225326</v>
      </c>
      <c r="AN552" s="5" t="str">
        <f>IF($AM552="","",IF($AM552&gt;=Lookups!$K$6,"High spike",IF($AM552&lt;=-Lookups!$K$6,"Unusual low","Normal")))</f>
        <v>Normal</v>
      </c>
      <c r="AO552" s="20">
        <f>IF($V552&lt;&gt;1,"",$P552+ROW()/100000)</f>
        <v>2.00552</v>
      </c>
      <c r="AP552" s="5">
        <f>IF($A552="","",IFERROR(MATCH($A552,Raw_D1!$A$2:$A$1001,0),""))</f>
        <v>551</v>
      </c>
      <c r="AQ552" s="5">
        <f>IF($A552="","",IFERROR(MATCH($A552,Raw_D2!$B$2:$B$1001,0),""))</f>
        <v>551</v>
      </c>
      <c r="AR552" s="5">
        <f>IF($A552="","",IFERROR(MATCH($A552,Raw_D3!$A$2:$A$1001,0),""))</f>
        <v/>
      </c>
    </row>
    <row r="553" spans="1:44" x14ac:dyDescent="0.25">
      <c r="A553" s="5">
        <v>552</v>
      </c>
      <c r="B553" s="11">
        <f>IF($A553="","",IF($AP553&lt;&gt;"",INDEX(Raw_D1!$B$2:$B$1001,$AP553),IF($AR553&lt;&gt;"",INDEX(Raw_D3!$B$2:$B$1001,$AR553),"")))</f>
        <v>40568.0</v>
      </c>
      <c r="C553" s="5">
        <f>IF($A553="","",IF($AP553&lt;&gt;"",INDEX(Raw_D1!$C$2:$C$1001,$AP553),IF($AR553&lt;&gt;"",INDEX(Raw_D3!$C$2:$C$1001,$AR553),"")))</f>
        <v>1</v>
      </c>
      <c r="D553" s="5">
        <f>IF($A553="","",IF($AP553&lt;&gt;"",INDEX(Raw_D1!$D$2:$D$1001,$AP553),IF($AR553&lt;&gt;"",INDEX(Raw_D3!$D$2:$D$1001,$AR553),"")))</f>
        <v>0</v>
      </c>
      <c r="E553" s="5">
        <f>IF($A553="","",IF($AP553&lt;&gt;"",INDEX(Raw_D1!$E$2:$E$1001,$AP553),IF($AR553&lt;&gt;"",INDEX(Raw_D3!$E$2:$E$1001,$AR553),"")))</f>
        <v>1</v>
      </c>
      <c r="F553" s="5">
        <f>IF($A553="","",IF($AP553&lt;&gt;"",INDEX(Raw_D1!$F$2:$F$1001,$AP553),IF($AR553&lt;&gt;"",INDEX(Raw_D3!$F$2:$F$1001,$AR553),"")))</f>
        <v>4</v>
      </c>
      <c r="G553" s="5">
        <f>IF($A553="","",IF($AP553&lt;&gt;"",IF(INDEX(Raw_D1!$G$2:$G$1001,$AP553),1,0),IF($AR553&lt;&gt;"",IF(INDEX(Raw_D3!$G$2:$G$1001,$AR553),1,0),"")))</f>
        <v>0</v>
      </c>
      <c r="H553" s="5">
        <f>IF($A553="","",IF($AP553&lt;&gt;"",INDEX(Raw_D1!$H$2:$H$1001,$AP553),IF($AR553&lt;&gt;"",INDEX(Raw_D3!$H$2:$H$1001,$AR553),"")))</f>
        <v>2</v>
      </c>
      <c r="I553" s="5">
        <f>IF($A553="","",IF($AP553&lt;&gt;"",INDEX(Raw_D1!$I$2:$I$1001,$AP553),IF($AR553&lt;&gt;"",INDEX(Raw_D3!$I$2:$I$1001,$AR553),"")))</f>
        <v>1</v>
      </c>
      <c r="J553" s="16">
        <f>IF($A553="","",IF($AP553&lt;&gt;"",INDEX(Raw_D1!$J$2:$J$1001,$AP553),IF($AR553&lt;&gt;"",INDEX(Raw_D3!$J$2:$J$1001,$AR553),"")))</f>
        <v>0.14</v>
      </c>
      <c r="K553" s="17">
        <f>IF($A553="","",IF($AQ553&lt;&gt;"",IF(INDEX(Raw_D2!$C$2:$C$1001,$AQ553)="","",INDEX(Raw_D2!$C$2:$C$1001,$AQ553)),IF($AR553&lt;&gt;"",IF(INDEX(Raw_D3!$K$2:$K$1001,$AR553)="","",INDEX(Raw_D3!$K$2:$K$1001,$AR553)),"")))</f>
        <v>0.1667</v>
      </c>
      <c r="L553" s="16">
        <f>IF($A553="","",IF($AQ553&lt;&gt;"",IF(INDEX(Raw_D2!$D$2:$D$1001,$AQ553)="","",INDEX(Raw_D2!$D$2:$D$1001,$AQ553)),IF($AR553&lt;&gt;"",IF(INDEX(Raw_D3!$L$2:$L$1001,$AR553)="","",INDEX(Raw_D3!$L$2:$L$1001,$AR553)),"")))</f>
        <v>0.74</v>
      </c>
      <c r="M553" s="17">
        <f>IF($A553="","",IF($AQ553&lt;&gt;"",IF(INDEX(Raw_D2!$E$2:$E$1001,$AQ553)="","",INDEX(Raw_D2!$E$2:$E$1001,$AQ553)),IF($AR553&lt;&gt;"",IF(INDEX(Raw_D3!$M$2:$M$1001,$AR553)="","",INDEX(Raw_D3!$M$2:$M$1001,$AR553)),"")))</f>
        <v>0.1045</v>
      </c>
      <c r="N553" s="5">
        <f>IF($A553="","",IF($AQ553&lt;&gt;"",IF(INDEX(Raw_D2!$F$2:$F$1001,$AQ553)="","",INDEX(Raw_D2!$F$2:$F$1001,$AQ553)),IF($AR553&lt;&gt;"",IF(INDEX(Raw_D3!$N$2:$N$1001,$AR553)="","",INDEX(Raw_D3!$N$2:$N$1001,$AR553)),"")))</f>
        <v>0</v>
      </c>
      <c r="O553" s="5">
        <f>IF($A553="","",IF($AQ553&lt;&gt;"",IF(INDEX(Raw_D2!$G$2:$G$1001,$AQ553)="","",INDEX(Raw_D2!$G$2:$G$1001,$AQ553)),IF($AR553&lt;&gt;"",IF(INDEX(Raw_D3!$O$2:$O$1001,$AR553)="","",INDEX(Raw_D3!$O$2:$O$1001,$AR553)),"")))</f>
        <v>1</v>
      </c>
      <c r="P553" s="5">
        <f>IF($A553="","",IF($AQ553&lt;&gt;"",IF(INDEX(Raw_D2!$H$2:$H$1001,$AQ553)="","",INDEX(Raw_D2!$H$2:$H$1001,$AQ553)),IF($AR553&lt;&gt;"",IF(INDEX(Raw_D3!$P$2:$P$1001,$AR553)="","",INDEX(Raw_D3!$P$2:$P$1001,$AR553)),"")))</f>
        <v>1</v>
      </c>
      <c r="Q553" s="5" t="str">
        <f>IF($A553="","",IF(AND($AP553&lt;&gt;"",$AQ553&lt;&gt;""),"D1+D2",IF($AR553&lt;&gt;"","D3","Incomplete")))</f>
        <v>D1+D2</v>
      </c>
      <c r="R553" s="17">
        <f>IF($A553="","",IF($K553="",IF($J553="","",ROUND(Lookups!$K$5+Lookups!$K$4*$J553,4)),$K553))</f>
        <v>0.1667</v>
      </c>
      <c r="S553" s="5" t="str">
        <f>IF($A553="","",IF($K553="","Imputed","Original"))</f>
        <v>Original</v>
      </c>
      <c r="T553" s="5" t="str">
        <f>IF($A553="","",IF($P553="","Missing",IF($P553=$N553+$O553,"OK","Mismatch")))</f>
        <v>OK</v>
      </c>
      <c r="U553" s="5" t="str">
        <f>IF($A553="","",IF(COUNTIF($A$2:$A553,$A553)&gt;1,"Duplicate","Unique"))</f>
        <v>Unique</v>
      </c>
      <c r="V553" s="5">
        <f>IF($A553="","",IF(AND($U553="Unique",ISNUMBER($P553)),1,0))</f>
        <v>1</v>
      </c>
      <c r="W553" s="5" t="str">
        <f>IF($A553="","",IF(OR($H553=0,$H553=6),"Weekend","Weekday"))</f>
        <v>Weekday</v>
      </c>
      <c r="X553" s="5" t="str">
        <f>IF($A553="","",TEXT($B553,"ddd"))</f>
        <v>Tue</v>
      </c>
      <c r="Y553" s="5" t="str">
        <f>IF($A553="","",TEXT($B553,"mmm"))</f>
        <v>Jan</v>
      </c>
      <c r="Z553" s="5" t="str">
        <f>IF($A553="","",IFERROR(VLOOKUP($C553,Lookups!$D$4:$E$7,2,FALSE),"Unknown"))</f>
        <v>Winter</v>
      </c>
      <c r="AA553" s="5" t="str">
        <f>IF($A553="","",IFERROR(VLOOKUP($I553,Lookups!$A$4:$B$7,2,FALSE),"Unknown"))</f>
        <v>Clear</v>
      </c>
      <c r="AB553" s="5" t="str">
        <f>IF($A553="","",TEXT($F553,"00")&amp;":00")</f>
        <v>04:00</v>
      </c>
      <c r="AC553" s="5" t="str">
        <f>IF($A553="","",VLOOKUP($F553,Lookups!$G$4:$H$8,2,TRUE))</f>
        <v>Night (00-05)</v>
      </c>
      <c r="AD553" s="18">
        <f>IF($A553="","",IF($J553="","",ROUND($J553*41,1)))</f>
        <v>5.7</v>
      </c>
      <c r="AE553" s="18">
        <f>IF($A553="","",IF($R553="","",ROUND($R553*50,1)))</f>
        <v>8.3</v>
      </c>
      <c r="AF553" s="5">
        <f>IF($A553="","",IF($L553="","",ROUND($L553*100,0)))</f>
        <v>74</v>
      </c>
      <c r="AG553" s="18">
        <f>IF($A553="","",IF($M553="","",ROUND($M553*67,1)))</f>
        <v>7</v>
      </c>
      <c r="AH553" s="19">
        <f>IF($A553="","",IF($P553="","",IF($P553=0,0,$O553/$P553)))</f>
        <v>1</v>
      </c>
      <c r="AI553" s="5" t="str">
        <f>IF($A553="","",IF($P553="","",IF($P553&gt;=Lookups!$K$7,"High",IF($P553&lt;=Lookups!$K$8,"Low","Medium"))))</f>
        <v>Low</v>
      </c>
      <c r="AJ553" s="5" t="str">
        <f>IF($A553="","",IF($AD553="","",IF($AD553&lt;5,"Under 5 C",IF($AD553&lt;10,"5-10 C",IF($AD553&lt;15,"10-15 C","15 C and above")))))</f>
        <v>5-10 C</v>
      </c>
      <c r="AK553" s="5">
        <f>IF($A553="","",IF($P553="","",$P553^2))</f>
        <v>1</v>
      </c>
      <c r="AL553" s="18">
        <f>IF($V553&lt;&gt;1,"",AVERAGEIFS(Clean_Data!$P$2:$P$1001,Clean_Data!$F$2:$F$1001,$F553,Clean_Data!$W$2:$W$1001,$W553,Clean_Data!$V$2:$V$1001,1))</f>
        <v>1.78947368421053</v>
      </c>
      <c r="AM553" s="16">
        <f>IF($V553&lt;&gt;1,"",IFERROR(($P553-$AL553)/SQRT(MAX(0,(SUMIFS(Clean_Data!$AK$2:$AK$1001,Clean_Data!$F$2:$F$1001,$F553,Clean_Data!$W$2:$W$1001,$W553,Clean_Data!$V$2:$V$1001,1)-COUNTIFS(Clean_Data!$F$2:$F$1001,$F553,Clean_Data!$W$2:$W$1001,$W553,Clean_Data!$V$2:$V$1001,1)*$AL553^2)/(COUNTIFS(Clean_Data!$F$2:$F$1001,$F553,Clean_Data!$W$2:$W$1001,$W553,Clean_Data!$V$2:$V$1001,1)-1))),""))</f>
        <v>-0.860309002014607</v>
      </c>
      <c r="AN553" s="5" t="str">
        <f>IF($AM553="","",IF($AM553&gt;=Lookups!$K$6,"High spike",IF($AM553&lt;=-Lookups!$K$6,"Unusual low","Normal")))</f>
        <v>Normal</v>
      </c>
      <c r="AO553" s="20">
        <f>IF($V553&lt;&gt;1,"",$P553+ROW()/100000)</f>
        <v>1.00553</v>
      </c>
      <c r="AP553" s="5">
        <f>IF($A553="","",IFERROR(MATCH($A553,Raw_D1!$A$2:$A$1001,0),""))</f>
        <v>552</v>
      </c>
      <c r="AQ553" s="5">
        <f>IF($A553="","",IFERROR(MATCH($A553,Raw_D2!$B$2:$B$1001,0),""))</f>
        <v>552</v>
      </c>
      <c r="AR553" s="5">
        <f>IF($A553="","",IFERROR(MATCH($A553,Raw_D3!$A$2:$A$1001,0),""))</f>
        <v/>
      </c>
    </row>
    <row r="554" spans="1:44" x14ac:dyDescent="0.25">
      <c r="A554" s="5">
        <v>553</v>
      </c>
      <c r="B554" s="11">
        <f>IF($A554="","",IF($AP554&lt;&gt;"",INDEX(Raw_D1!$B$2:$B$1001,$AP554),IF($AR554&lt;&gt;"",INDEX(Raw_D3!$B$2:$B$1001,$AR554),"")))</f>
        <v>40568.0</v>
      </c>
      <c r="C554" s="5">
        <f>IF($A554="","",IF($AP554&lt;&gt;"",INDEX(Raw_D1!$C$2:$C$1001,$AP554),IF($AR554&lt;&gt;"",INDEX(Raw_D3!$C$2:$C$1001,$AR554),"")))</f>
        <v>1</v>
      </c>
      <c r="D554" s="5">
        <f>IF($A554="","",IF($AP554&lt;&gt;"",INDEX(Raw_D1!$D$2:$D$1001,$AP554),IF($AR554&lt;&gt;"",INDEX(Raw_D3!$D$2:$D$1001,$AR554),"")))</f>
        <v>0</v>
      </c>
      <c r="E554" s="5">
        <f>IF($A554="","",IF($AP554&lt;&gt;"",INDEX(Raw_D1!$E$2:$E$1001,$AP554),IF($AR554&lt;&gt;"",INDEX(Raw_D3!$E$2:$E$1001,$AR554),"")))</f>
        <v>1</v>
      </c>
      <c r="F554" s="5">
        <f>IF($A554="","",IF($AP554&lt;&gt;"",INDEX(Raw_D1!$F$2:$F$1001,$AP554),IF($AR554&lt;&gt;"",INDEX(Raw_D3!$F$2:$F$1001,$AR554),"")))</f>
        <v>5</v>
      </c>
      <c r="G554" s="5">
        <f>IF($A554="","",IF($AP554&lt;&gt;"",IF(INDEX(Raw_D1!$G$2:$G$1001,$AP554),1,0),IF($AR554&lt;&gt;"",IF(INDEX(Raw_D3!$G$2:$G$1001,$AR554),1,0),"")))</f>
        <v>0</v>
      </c>
      <c r="H554" s="5">
        <f>IF($A554="","",IF($AP554&lt;&gt;"",INDEX(Raw_D1!$H$2:$H$1001,$AP554),IF($AR554&lt;&gt;"",INDEX(Raw_D3!$H$2:$H$1001,$AR554),"")))</f>
        <v>2</v>
      </c>
      <c r="I554" s="5">
        <f>IF($A554="","",IF($AP554&lt;&gt;"",INDEX(Raw_D1!$I$2:$I$1001,$AP554),IF($AR554&lt;&gt;"",INDEX(Raw_D3!$I$2:$I$1001,$AR554),"")))</f>
        <v>1</v>
      </c>
      <c r="J554" s="16">
        <f>IF($A554="","",IF($AP554&lt;&gt;"",INDEX(Raw_D1!$J$2:$J$1001,$AP554),IF($AR554&lt;&gt;"",INDEX(Raw_D3!$J$2:$J$1001,$AR554),"")))</f>
        <v>0.14</v>
      </c>
      <c r="K554" s="17">
        <f>IF($A554="","",IF($AQ554&lt;&gt;"",IF(INDEX(Raw_D2!$C$2:$C$1001,$AQ554)="","",INDEX(Raw_D2!$C$2:$C$1001,$AQ554)),IF($AR554&lt;&gt;"",IF(INDEX(Raw_D3!$K$2:$K$1001,$AR554)="","",INDEX(Raw_D3!$K$2:$K$1001,$AR554)),"")))</f>
        <v>0.1364</v>
      </c>
      <c r="L554" s="16">
        <f>IF($A554="","",IF($AQ554&lt;&gt;"",IF(INDEX(Raw_D2!$D$2:$D$1001,$AQ554)="","",INDEX(Raw_D2!$D$2:$D$1001,$AQ554)),IF($AR554&lt;&gt;"",IF(INDEX(Raw_D3!$L$2:$L$1001,$AR554)="","",INDEX(Raw_D3!$L$2:$L$1001,$AR554)),"")))</f>
        <v>0.74</v>
      </c>
      <c r="M554" s="17">
        <f>IF($A554="","",IF($AQ554&lt;&gt;"",IF(INDEX(Raw_D2!$E$2:$E$1001,$AQ554)="","",INDEX(Raw_D2!$E$2:$E$1001,$AQ554)),IF($AR554&lt;&gt;"",IF(INDEX(Raw_D3!$M$2:$M$1001,$AR554)="","",INDEX(Raw_D3!$M$2:$M$1001,$AR554)),"")))</f>
        <v>0.2239</v>
      </c>
      <c r="N554" s="5">
        <f>IF($A554="","",IF($AQ554&lt;&gt;"",IF(INDEX(Raw_D2!$F$2:$F$1001,$AQ554)="","",INDEX(Raw_D2!$F$2:$F$1001,$AQ554)),IF($AR554&lt;&gt;"",IF(INDEX(Raw_D3!$N$2:$N$1001,$AR554)="","",INDEX(Raw_D3!$N$2:$N$1001,$AR554)),"")))</f>
        <v>0</v>
      </c>
      <c r="O554" s="5">
        <f>IF($A554="","",IF($AQ554&lt;&gt;"",IF(INDEX(Raw_D2!$G$2:$G$1001,$AQ554)="","",INDEX(Raw_D2!$G$2:$G$1001,$AQ554)),IF($AR554&lt;&gt;"",IF(INDEX(Raw_D3!$O$2:$O$1001,$AR554)="","",INDEX(Raw_D3!$O$2:$O$1001,$AR554)),"")))</f>
        <v>9</v>
      </c>
      <c r="P554" s="5">
        <f>IF($A554="","",IF($AQ554&lt;&gt;"",IF(INDEX(Raw_D2!$H$2:$H$1001,$AQ554)="","",INDEX(Raw_D2!$H$2:$H$1001,$AQ554)),IF($AR554&lt;&gt;"",IF(INDEX(Raw_D3!$P$2:$P$1001,$AR554)="","",INDEX(Raw_D3!$P$2:$P$1001,$AR554)),"")))</f>
        <v>9</v>
      </c>
      <c r="Q554" s="5" t="str">
        <f>IF($A554="","",IF(AND($AP554&lt;&gt;"",$AQ554&lt;&gt;""),"D1+D2",IF($AR554&lt;&gt;"","D3","Incomplete")))</f>
        <v>D1+D2</v>
      </c>
      <c r="R554" s="17">
        <f>IF($A554="","",IF($K554="",IF($J554="","",ROUND(Lookups!$K$5+Lookups!$K$4*$J554,4)),$K554))</f>
        <v>0.1364</v>
      </c>
      <c r="S554" s="5" t="str">
        <f>IF($A554="","",IF($K554="","Imputed","Original"))</f>
        <v>Original</v>
      </c>
      <c r="T554" s="5" t="str">
        <f>IF($A554="","",IF($P554="","Missing",IF($P554=$N554+$O554,"OK","Mismatch")))</f>
        <v>OK</v>
      </c>
      <c r="U554" s="5" t="str">
        <f>IF($A554="","",IF(COUNTIF($A$2:$A554,$A554)&gt;1,"Duplicate","Unique"))</f>
        <v>Unique</v>
      </c>
      <c r="V554" s="5">
        <f>IF($A554="","",IF(AND($U554="Unique",ISNUMBER($P554)),1,0))</f>
        <v>1</v>
      </c>
      <c r="W554" s="5" t="str">
        <f>IF($A554="","",IF(OR($H554=0,$H554=6),"Weekend","Weekday"))</f>
        <v>Weekday</v>
      </c>
      <c r="X554" s="5" t="str">
        <f>IF($A554="","",TEXT($B554,"ddd"))</f>
        <v>Tue</v>
      </c>
      <c r="Y554" s="5" t="str">
        <f>IF($A554="","",TEXT($B554,"mmm"))</f>
        <v>Jan</v>
      </c>
      <c r="Z554" s="5" t="str">
        <f>IF($A554="","",IFERROR(VLOOKUP($C554,Lookups!$D$4:$E$7,2,FALSE),"Unknown"))</f>
        <v>Winter</v>
      </c>
      <c r="AA554" s="5" t="str">
        <f>IF($A554="","",IFERROR(VLOOKUP($I554,Lookups!$A$4:$B$7,2,FALSE),"Unknown"))</f>
        <v>Clear</v>
      </c>
      <c r="AB554" s="5" t="str">
        <f>IF($A554="","",TEXT($F554,"00")&amp;":00")</f>
        <v>05:00</v>
      </c>
      <c r="AC554" s="5" t="str">
        <f>IF($A554="","",VLOOKUP($F554,Lookups!$G$4:$H$8,2,TRUE))</f>
        <v>Night (00-05)</v>
      </c>
      <c r="AD554" s="18">
        <f>IF($A554="","",IF($J554="","",ROUND($J554*41,1)))</f>
        <v>5.7</v>
      </c>
      <c r="AE554" s="18">
        <f>IF($A554="","",IF($R554="","",ROUND($R554*50,1)))</f>
        <v>6.8</v>
      </c>
      <c r="AF554" s="5">
        <f>IF($A554="","",IF($L554="","",ROUND($L554*100,0)))</f>
        <v>74</v>
      </c>
      <c r="AG554" s="18">
        <f>IF($A554="","",IF($M554="","",ROUND($M554*67,1)))</f>
        <v>15</v>
      </c>
      <c r="AH554" s="19">
        <f>IF($A554="","",IF($P554="","",IF($P554=0,0,$O554/$P554)))</f>
        <v>1</v>
      </c>
      <c r="AI554" s="5" t="str">
        <f>IF($A554="","",IF($P554="","",IF($P554&gt;=Lookups!$K$7,"High",IF($P554&lt;=Lookups!$K$8,"Low","Medium"))))</f>
        <v>Low</v>
      </c>
      <c r="AJ554" s="5" t="str">
        <f>IF($A554="","",IF($AD554="","",IF($AD554&lt;5,"Under 5 C",IF($AD554&lt;10,"5-10 C",IF($AD554&lt;15,"10-15 C","15 C and above")))))</f>
        <v>5-10 C</v>
      </c>
      <c r="AK554" s="5">
        <f>IF($A554="","",IF($P554="","",$P554^2))</f>
        <v>81</v>
      </c>
      <c r="AL554" s="18">
        <f>IF($V554&lt;&gt;1,"",AVERAGEIFS(Clean_Data!$P$2:$P$1001,Clean_Data!$F$2:$F$1001,$F554,Clean_Data!$W$2:$W$1001,$W554,Clean_Data!$V$2:$V$1001,1))</f>
        <v>4.72413793103448</v>
      </c>
      <c r="AM554" s="16">
        <f>IF($V554&lt;&gt;1,"",IFERROR(($P554-$AL554)/SQRT(MAX(0,(SUMIFS(Clean_Data!$AK$2:$AK$1001,Clean_Data!$F$2:$F$1001,$F554,Clean_Data!$W$2:$W$1001,$W554,Clean_Data!$V$2:$V$1001,1)-COUNTIFS(Clean_Data!$F$2:$F$1001,$F554,Clean_Data!$W$2:$W$1001,$W554,Clean_Data!$V$2:$V$1001,1)*$AL554^2)/(COUNTIFS(Clean_Data!$F$2:$F$1001,$F554,Clean_Data!$W$2:$W$1001,$W554,Clean_Data!$V$2:$V$1001,1)-1))),""))</f>
        <v>1.82445969048596</v>
      </c>
      <c r="AN554" s="5" t="str">
        <f>IF($AM554="","",IF($AM554&gt;=Lookups!$K$6,"High spike",IF($AM554&lt;=-Lookups!$K$6,"Unusual low","Normal")))</f>
        <v>Normal</v>
      </c>
      <c r="AO554" s="20">
        <f>IF($V554&lt;&gt;1,"",$P554+ROW()/100000)</f>
        <v>9.00554</v>
      </c>
      <c r="AP554" s="5">
        <f>IF($A554="","",IFERROR(MATCH($A554,Raw_D1!$A$2:$A$1001,0),""))</f>
        <v>553</v>
      </c>
      <c r="AQ554" s="5">
        <f>IF($A554="","",IFERROR(MATCH($A554,Raw_D2!$B$2:$B$1001,0),""))</f>
        <v>553</v>
      </c>
      <c r="AR554" s="5">
        <f>IF($A554="","",IFERROR(MATCH($A554,Raw_D3!$A$2:$A$1001,0),""))</f>
        <v/>
      </c>
    </row>
    <row r="555" spans="1:44" x14ac:dyDescent="0.25">
      <c r="A555" s="5">
        <v>554</v>
      </c>
      <c r="B555" s="11">
        <f>IF($A555="","",IF($AP555&lt;&gt;"",INDEX(Raw_D1!$B$2:$B$1001,$AP555),IF($AR555&lt;&gt;"",INDEX(Raw_D3!$B$2:$B$1001,$AR555),"")))</f>
        <v>40568.0</v>
      </c>
      <c r="C555" s="5">
        <f>IF($A555="","",IF($AP555&lt;&gt;"",INDEX(Raw_D1!$C$2:$C$1001,$AP555),IF($AR555&lt;&gt;"",INDEX(Raw_D3!$C$2:$C$1001,$AR555),"")))</f>
        <v>1</v>
      </c>
      <c r="D555" s="5">
        <f>IF($A555="","",IF($AP555&lt;&gt;"",INDEX(Raw_D1!$D$2:$D$1001,$AP555),IF($AR555&lt;&gt;"",INDEX(Raw_D3!$D$2:$D$1001,$AR555),"")))</f>
        <v>0</v>
      </c>
      <c r="E555" s="5">
        <f>IF($A555="","",IF($AP555&lt;&gt;"",INDEX(Raw_D1!$E$2:$E$1001,$AP555),IF($AR555&lt;&gt;"",INDEX(Raw_D3!$E$2:$E$1001,$AR555),"")))</f>
        <v>1</v>
      </c>
      <c r="F555" s="5">
        <f>IF($A555="","",IF($AP555&lt;&gt;"",INDEX(Raw_D1!$F$2:$F$1001,$AP555),IF($AR555&lt;&gt;"",INDEX(Raw_D3!$F$2:$F$1001,$AR555),"")))</f>
        <v>6</v>
      </c>
      <c r="G555" s="5">
        <f>IF($A555="","",IF($AP555&lt;&gt;"",IF(INDEX(Raw_D1!$G$2:$G$1001,$AP555),1,0),IF($AR555&lt;&gt;"",IF(INDEX(Raw_D3!$G$2:$G$1001,$AR555),1,0),"")))</f>
        <v>0</v>
      </c>
      <c r="H555" s="5">
        <f>IF($A555="","",IF($AP555&lt;&gt;"",INDEX(Raw_D1!$H$2:$H$1001,$AP555),IF($AR555&lt;&gt;"",INDEX(Raw_D3!$H$2:$H$1001,$AR555),"")))</f>
        <v>2</v>
      </c>
      <c r="I555" s="5">
        <f>IF($A555="","",IF($AP555&lt;&gt;"",INDEX(Raw_D1!$I$2:$I$1001,$AP555),IF($AR555&lt;&gt;"",INDEX(Raw_D3!$I$2:$I$1001,$AR555),"")))</f>
        <v>1</v>
      </c>
      <c r="J555" s="16">
        <f>IF($A555="","",IF($AP555&lt;&gt;"",INDEX(Raw_D1!$J$2:$J$1001,$AP555),IF($AR555&lt;&gt;"",INDEX(Raw_D3!$J$2:$J$1001,$AR555),"")))</f>
        <v>0.16</v>
      </c>
      <c r="K555" s="17">
        <f>IF($A555="","",IF($AQ555&lt;&gt;"",IF(INDEX(Raw_D2!$C$2:$C$1001,$AQ555)="","",INDEX(Raw_D2!$C$2:$C$1001,$AQ555)),IF($AR555&lt;&gt;"",IF(INDEX(Raw_D3!$K$2:$K$1001,$AR555)="","",INDEX(Raw_D3!$K$2:$K$1001,$AR555)),"")))</f>
        <v>0.1818</v>
      </c>
      <c r="L555" s="16">
        <f>IF($A555="","",IF($AQ555&lt;&gt;"",IF(INDEX(Raw_D2!$D$2:$D$1001,$AQ555)="","",INDEX(Raw_D2!$D$2:$D$1001,$AQ555)),IF($AR555&lt;&gt;"",IF(INDEX(Raw_D3!$L$2:$L$1001,$AR555)="","",INDEX(Raw_D3!$L$2:$L$1001,$AR555)),"")))</f>
        <v>0.74</v>
      </c>
      <c r="M555" s="17">
        <f>IF($A555="","",IF($AQ555&lt;&gt;"",IF(INDEX(Raw_D2!$E$2:$E$1001,$AQ555)="","",INDEX(Raw_D2!$E$2:$E$1001,$AQ555)),IF($AR555&lt;&gt;"",IF(INDEX(Raw_D3!$M$2:$M$1001,$AR555)="","",INDEX(Raw_D3!$M$2:$M$1001,$AR555)),"")))</f>
        <v>0.1045</v>
      </c>
      <c r="N555" s="5">
        <f>IF($A555="","",IF($AQ555&lt;&gt;"",IF(INDEX(Raw_D2!$F$2:$F$1001,$AQ555)="","",INDEX(Raw_D2!$F$2:$F$1001,$AQ555)),IF($AR555&lt;&gt;"",IF(INDEX(Raw_D3!$N$2:$N$1001,$AR555)="","",INDEX(Raw_D3!$N$2:$N$1001,$AR555)),"")))</f>
        <v>1</v>
      </c>
      <c r="O555" s="5">
        <f>IF($A555="","",IF($AQ555&lt;&gt;"",IF(INDEX(Raw_D2!$G$2:$G$1001,$AQ555)="","",INDEX(Raw_D2!$G$2:$G$1001,$AQ555)),IF($AR555&lt;&gt;"",IF(INDEX(Raw_D3!$O$2:$O$1001,$AR555)="","",INDEX(Raw_D3!$O$2:$O$1001,$AR555)),"")))</f>
        <v>35</v>
      </c>
      <c r="P555" s="5">
        <f>IF($A555="","",IF($AQ555&lt;&gt;"",IF(INDEX(Raw_D2!$H$2:$H$1001,$AQ555)="","",INDEX(Raw_D2!$H$2:$H$1001,$AQ555)),IF($AR555&lt;&gt;"",IF(INDEX(Raw_D3!$P$2:$P$1001,$AR555)="","",INDEX(Raw_D3!$P$2:$P$1001,$AR555)),"")))</f>
        <v>36</v>
      </c>
      <c r="Q555" s="5" t="str">
        <f>IF($A555="","",IF(AND($AP555&lt;&gt;"",$AQ555&lt;&gt;""),"D1+D2",IF($AR555&lt;&gt;"","D3","Incomplete")))</f>
        <v>D1+D2</v>
      </c>
      <c r="R555" s="17">
        <f>IF($A555="","",IF($K555="",IF($J555="","",ROUND(Lookups!$K$5+Lookups!$K$4*$J555,4)),$K555))</f>
        <v>0.1818</v>
      </c>
      <c r="S555" s="5" t="str">
        <f>IF($A555="","",IF($K555="","Imputed","Original"))</f>
        <v>Original</v>
      </c>
      <c r="T555" s="5" t="str">
        <f>IF($A555="","",IF($P555="","Missing",IF($P555=$N555+$O555,"OK","Mismatch")))</f>
        <v>OK</v>
      </c>
      <c r="U555" s="5" t="str">
        <f>IF($A555="","",IF(COUNTIF($A$2:$A555,$A555)&gt;1,"Duplicate","Unique"))</f>
        <v>Unique</v>
      </c>
      <c r="V555" s="5">
        <f>IF($A555="","",IF(AND($U555="Unique",ISNUMBER($P555)),1,0))</f>
        <v>1</v>
      </c>
      <c r="W555" s="5" t="str">
        <f>IF($A555="","",IF(OR($H555=0,$H555=6),"Weekend","Weekday"))</f>
        <v>Weekday</v>
      </c>
      <c r="X555" s="5" t="str">
        <f>IF($A555="","",TEXT($B555,"ddd"))</f>
        <v>Tue</v>
      </c>
      <c r="Y555" s="5" t="str">
        <f>IF($A555="","",TEXT($B555,"mmm"))</f>
        <v>Jan</v>
      </c>
      <c r="Z555" s="5" t="str">
        <f>IF($A555="","",IFERROR(VLOOKUP($C555,Lookups!$D$4:$E$7,2,FALSE),"Unknown"))</f>
        <v>Winter</v>
      </c>
      <c r="AA555" s="5" t="str">
        <f>IF($A555="","",IFERROR(VLOOKUP($I555,Lookups!$A$4:$B$7,2,FALSE),"Unknown"))</f>
        <v>Clear</v>
      </c>
      <c r="AB555" s="5" t="str">
        <f>IF($A555="","",TEXT($F555,"00")&amp;":00")</f>
        <v>06:00</v>
      </c>
      <c r="AC555" s="5" t="str">
        <f>IF($A555="","",VLOOKUP($F555,Lookups!$G$4:$H$8,2,TRUE))</f>
        <v>Morning Peak (06-09)</v>
      </c>
      <c r="AD555" s="18">
        <f>IF($A555="","",IF($J555="","",ROUND($J555*41,1)))</f>
        <v>6.6</v>
      </c>
      <c r="AE555" s="18">
        <f>IF($A555="","",IF($R555="","",ROUND($R555*50,1)))</f>
        <v>9.1</v>
      </c>
      <c r="AF555" s="5">
        <f>IF($A555="","",IF($L555="","",ROUND($L555*100,0)))</f>
        <v>74</v>
      </c>
      <c r="AG555" s="18">
        <f>IF($A555="","",IF($M555="","",ROUND($M555*67,1)))</f>
        <v>7</v>
      </c>
      <c r="AH555" s="19">
        <f>IF($A555="","",IF($P555="","",IF($P555=0,0,$O555/$P555)))</f>
        <v>0.972222222222222</v>
      </c>
      <c r="AI555" s="5" t="str">
        <f>IF($A555="","",IF($P555="","",IF($P555&gt;=Lookups!$K$7,"High",IF($P555&lt;=Lookups!$K$8,"Low","Medium"))))</f>
        <v>Medium</v>
      </c>
      <c r="AJ555" s="5" t="str">
        <f>IF($A555="","",IF($AD555="","",IF($AD555&lt;5,"Under 5 C",IF($AD555&lt;10,"5-10 C",IF($AD555&lt;15,"10-15 C","15 C and above")))))</f>
        <v>5-10 C</v>
      </c>
      <c r="AK555" s="5">
        <f>IF($A555="","",IF($P555="","",$P555^2))</f>
        <v>1296</v>
      </c>
      <c r="AL555" s="18">
        <f>IF($V555&lt;&gt;1,"",AVERAGEIFS(Clean_Data!$P$2:$P$1001,Clean_Data!$F$2:$F$1001,$F555,Clean_Data!$W$2:$W$1001,$W555,Clean_Data!$V$2:$V$1001,1))</f>
        <v>27.3793103448276</v>
      </c>
      <c r="AM555" s="16">
        <f>IF($V555&lt;&gt;1,"",IFERROR(($P555-$AL555)/SQRT(MAX(0,(SUMIFS(Clean_Data!$AK$2:$AK$1001,Clean_Data!$F$2:$F$1001,$F555,Clean_Data!$W$2:$W$1001,$W555,Clean_Data!$V$2:$V$1001,1)-COUNTIFS(Clean_Data!$F$2:$F$1001,$F555,Clean_Data!$W$2:$W$1001,$W555,Clean_Data!$V$2:$V$1001,1)*$AL555^2)/(COUNTIFS(Clean_Data!$F$2:$F$1001,$F555,Clean_Data!$W$2:$W$1001,$W555,Clean_Data!$V$2:$V$1001,1)-1))),""))</f>
        <v>0.904968428813703</v>
      </c>
      <c r="AN555" s="5" t="str">
        <f>IF($AM555="","",IF($AM555&gt;=Lookups!$K$6,"High spike",IF($AM555&lt;=-Lookups!$K$6,"Unusual low","Normal")))</f>
        <v>Normal</v>
      </c>
      <c r="AO555" s="20">
        <f>IF($V555&lt;&gt;1,"",$P555+ROW()/100000)</f>
        <v>36.00555</v>
      </c>
      <c r="AP555" s="5">
        <f>IF($A555="","",IFERROR(MATCH($A555,Raw_D1!$A$2:$A$1001,0),""))</f>
        <v>554</v>
      </c>
      <c r="AQ555" s="5">
        <f>IF($A555="","",IFERROR(MATCH($A555,Raw_D2!$B$2:$B$1001,0),""))</f>
        <v>554</v>
      </c>
      <c r="AR555" s="5">
        <f>IF($A555="","",IFERROR(MATCH($A555,Raw_D3!$A$2:$A$1001,0),""))</f>
        <v/>
      </c>
    </row>
    <row r="556" spans="1:44" x14ac:dyDescent="0.25">
      <c r="A556" s="5">
        <v>555</v>
      </c>
      <c r="B556" s="11">
        <f>IF($A556="","",IF($AP556&lt;&gt;"",INDEX(Raw_D1!$B$2:$B$1001,$AP556),IF($AR556&lt;&gt;"",INDEX(Raw_D3!$B$2:$B$1001,$AR556),"")))</f>
        <v>40568.0</v>
      </c>
      <c r="C556" s="5">
        <f>IF($A556="","",IF($AP556&lt;&gt;"",INDEX(Raw_D1!$C$2:$C$1001,$AP556),IF($AR556&lt;&gt;"",INDEX(Raw_D3!$C$2:$C$1001,$AR556),"")))</f>
        <v>1</v>
      </c>
      <c r="D556" s="5">
        <f>IF($A556="","",IF($AP556&lt;&gt;"",INDEX(Raw_D1!$D$2:$D$1001,$AP556),IF($AR556&lt;&gt;"",INDEX(Raw_D3!$D$2:$D$1001,$AR556),"")))</f>
        <v>0</v>
      </c>
      <c r="E556" s="5">
        <f>IF($A556="","",IF($AP556&lt;&gt;"",INDEX(Raw_D1!$E$2:$E$1001,$AP556),IF($AR556&lt;&gt;"",INDEX(Raw_D3!$E$2:$E$1001,$AR556),"")))</f>
        <v>1</v>
      </c>
      <c r="F556" s="5">
        <f>IF($A556="","",IF($AP556&lt;&gt;"",INDEX(Raw_D1!$F$2:$F$1001,$AP556),IF($AR556&lt;&gt;"",INDEX(Raw_D3!$F$2:$F$1001,$AR556),"")))</f>
        <v>7</v>
      </c>
      <c r="G556" s="5">
        <f>IF($A556="","",IF($AP556&lt;&gt;"",IF(INDEX(Raw_D1!$G$2:$G$1001,$AP556),1,0),IF($AR556&lt;&gt;"",IF(INDEX(Raw_D3!$G$2:$G$1001,$AR556),1,0),"")))</f>
        <v>0</v>
      </c>
      <c r="H556" s="5">
        <f>IF($A556="","",IF($AP556&lt;&gt;"",INDEX(Raw_D1!$H$2:$H$1001,$AP556),IF($AR556&lt;&gt;"",INDEX(Raw_D3!$H$2:$H$1001,$AR556),"")))</f>
        <v>2</v>
      </c>
      <c r="I556" s="5">
        <f>IF($A556="","",IF($AP556&lt;&gt;"",INDEX(Raw_D1!$I$2:$I$1001,$AP556),IF($AR556&lt;&gt;"",INDEX(Raw_D3!$I$2:$I$1001,$AR556),"")))</f>
        <v>1</v>
      </c>
      <c r="J556" s="16">
        <f>IF($A556="","",IF($AP556&lt;&gt;"",INDEX(Raw_D1!$J$2:$J$1001,$AP556),IF($AR556&lt;&gt;"",INDEX(Raw_D3!$J$2:$J$1001,$AR556),"")))</f>
        <v>0.16</v>
      </c>
      <c r="K556" s="17">
        <f>IF($A556="","",IF($AQ556&lt;&gt;"",IF(INDEX(Raw_D2!$C$2:$C$1001,$AQ556)="","",INDEX(Raw_D2!$C$2:$C$1001,$AQ556)),IF($AR556&lt;&gt;"",IF(INDEX(Raw_D3!$K$2:$K$1001,$AR556)="","",INDEX(Raw_D3!$K$2:$K$1001,$AR556)),"")))</f>
        <v>0.1515</v>
      </c>
      <c r="L556" s="16">
        <f>IF($A556="","",IF($AQ556&lt;&gt;"",IF(INDEX(Raw_D2!$D$2:$D$1001,$AQ556)="","",INDEX(Raw_D2!$D$2:$D$1001,$AQ556)),IF($AR556&lt;&gt;"",IF(INDEX(Raw_D3!$L$2:$L$1001,$AR556)="","",INDEX(Raw_D3!$L$2:$L$1001,$AR556)),"")))</f>
        <v>0.74</v>
      </c>
      <c r="M556" s="17">
        <f>IF($A556="","",IF($AQ556&lt;&gt;"",IF(INDEX(Raw_D2!$E$2:$E$1001,$AQ556)="","",INDEX(Raw_D2!$E$2:$E$1001,$AQ556)),IF($AR556&lt;&gt;"",IF(INDEX(Raw_D3!$M$2:$M$1001,$AR556)="","",INDEX(Raw_D3!$M$2:$M$1001,$AR556)),"")))</f>
        <v>0.2239</v>
      </c>
      <c r="N556" s="5">
        <f>IF($A556="","",IF($AQ556&lt;&gt;"",IF(INDEX(Raw_D2!$F$2:$F$1001,$AQ556)="","",INDEX(Raw_D2!$F$2:$F$1001,$AQ556)),IF($AR556&lt;&gt;"",IF(INDEX(Raw_D3!$N$2:$N$1001,$AR556)="","",INDEX(Raw_D3!$N$2:$N$1001,$AR556)),"")))</f>
        <v>5</v>
      </c>
      <c r="O556" s="5">
        <f>IF($A556="","",IF($AQ556&lt;&gt;"",IF(INDEX(Raw_D2!$G$2:$G$1001,$AQ556)="","",INDEX(Raw_D2!$G$2:$G$1001,$AQ556)),IF($AR556&lt;&gt;"",IF(INDEX(Raw_D3!$O$2:$O$1001,$AR556)="","",INDEX(Raw_D3!$O$2:$O$1001,$AR556)),"")))</f>
        <v>103</v>
      </c>
      <c r="P556" s="5">
        <f>IF($A556="","",IF($AQ556&lt;&gt;"",IF(INDEX(Raw_D2!$H$2:$H$1001,$AQ556)="","",INDEX(Raw_D2!$H$2:$H$1001,$AQ556)),IF($AR556&lt;&gt;"",IF(INDEX(Raw_D3!$P$2:$P$1001,$AR556)="","",INDEX(Raw_D3!$P$2:$P$1001,$AR556)),"")))</f>
        <v>108</v>
      </c>
      <c r="Q556" s="5" t="str">
        <f>IF($A556="","",IF(AND($AP556&lt;&gt;"",$AQ556&lt;&gt;""),"D1+D2",IF($AR556&lt;&gt;"","D3","Incomplete")))</f>
        <v>D1+D2</v>
      </c>
      <c r="R556" s="17">
        <f>IF($A556="","",IF($K556="",IF($J556="","",ROUND(Lookups!$K$5+Lookups!$K$4*$J556,4)),$K556))</f>
        <v>0.1515</v>
      </c>
      <c r="S556" s="5" t="str">
        <f>IF($A556="","",IF($K556="","Imputed","Original"))</f>
        <v>Original</v>
      </c>
      <c r="T556" s="5" t="str">
        <f>IF($A556="","",IF($P556="","Missing",IF($P556=$N556+$O556,"OK","Mismatch")))</f>
        <v>OK</v>
      </c>
      <c r="U556" s="5" t="str">
        <f>IF($A556="","",IF(COUNTIF($A$2:$A556,$A556)&gt;1,"Duplicate","Unique"))</f>
        <v>Unique</v>
      </c>
      <c r="V556" s="5">
        <f>IF($A556="","",IF(AND($U556="Unique",ISNUMBER($P556)),1,0))</f>
        <v>1</v>
      </c>
      <c r="W556" s="5" t="str">
        <f>IF($A556="","",IF(OR($H556=0,$H556=6),"Weekend","Weekday"))</f>
        <v>Weekday</v>
      </c>
      <c r="X556" s="5" t="str">
        <f>IF($A556="","",TEXT($B556,"ddd"))</f>
        <v>Tue</v>
      </c>
      <c r="Y556" s="5" t="str">
        <f>IF($A556="","",TEXT($B556,"mmm"))</f>
        <v>Jan</v>
      </c>
      <c r="Z556" s="5" t="str">
        <f>IF($A556="","",IFERROR(VLOOKUP($C556,Lookups!$D$4:$E$7,2,FALSE),"Unknown"))</f>
        <v>Winter</v>
      </c>
      <c r="AA556" s="5" t="str">
        <f>IF($A556="","",IFERROR(VLOOKUP($I556,Lookups!$A$4:$B$7,2,FALSE),"Unknown"))</f>
        <v>Clear</v>
      </c>
      <c r="AB556" s="5" t="str">
        <f>IF($A556="","",TEXT($F556,"00")&amp;":00")</f>
        <v>07:00</v>
      </c>
      <c r="AC556" s="5" t="str">
        <f>IF($A556="","",VLOOKUP($F556,Lookups!$G$4:$H$8,2,TRUE))</f>
        <v>Morning Peak (06-09)</v>
      </c>
      <c r="AD556" s="18">
        <f>IF($A556="","",IF($J556="","",ROUND($J556*41,1)))</f>
        <v>6.6</v>
      </c>
      <c r="AE556" s="18">
        <f>IF($A556="","",IF($R556="","",ROUND($R556*50,1)))</f>
        <v>7.6</v>
      </c>
      <c r="AF556" s="5">
        <f>IF($A556="","",IF($L556="","",ROUND($L556*100,0)))</f>
        <v>74</v>
      </c>
      <c r="AG556" s="18">
        <f>IF($A556="","",IF($M556="","",ROUND($M556*67,1)))</f>
        <v>15</v>
      </c>
      <c r="AH556" s="19">
        <f>IF($A556="","",IF($P556="","",IF($P556=0,0,$O556/$P556)))</f>
        <v>0.953703703703704</v>
      </c>
      <c r="AI556" s="5" t="str">
        <f>IF($A556="","",IF($P556="","",IF($P556&gt;=Lookups!$K$7,"High",IF($P556&lt;=Lookups!$K$8,"Low","Medium"))))</f>
        <v>High</v>
      </c>
      <c r="AJ556" s="5" t="str">
        <f>IF($A556="","",IF($AD556="","",IF($AD556&lt;5,"Under 5 C",IF($AD556&lt;10,"5-10 C",IF($AD556&lt;15,"10-15 C","15 C and above")))))</f>
        <v>5-10 C</v>
      </c>
      <c r="AK556" s="5">
        <f>IF($A556="","",IF($P556="","",$P556^2))</f>
        <v>11664</v>
      </c>
      <c r="AL556" s="18">
        <f>IF($V556&lt;&gt;1,"",AVERAGEIFS(Clean_Data!$P$2:$P$1001,Clean_Data!$F$2:$F$1001,$F556,Clean_Data!$W$2:$W$1001,$W556,Clean_Data!$V$2:$V$1001,1))</f>
        <v>78.0344827586207</v>
      </c>
      <c r="AM556" s="16">
        <f>IF($V556&lt;&gt;1,"",IFERROR(($P556-$AL556)/SQRT(MAX(0,(SUMIFS(Clean_Data!$AK$2:$AK$1001,Clean_Data!$F$2:$F$1001,$F556,Clean_Data!$W$2:$W$1001,$W556,Clean_Data!$V$2:$V$1001,1)-COUNTIFS(Clean_Data!$F$2:$F$1001,$F556,Clean_Data!$W$2:$W$1001,$W556,Clean_Data!$V$2:$V$1001,1)*$AL556^2)/(COUNTIFS(Clean_Data!$F$2:$F$1001,$F556,Clean_Data!$W$2:$W$1001,$W556,Clean_Data!$V$2:$V$1001,1)-1))),""))</f>
        <v>1.32397967183378</v>
      </c>
      <c r="AN556" s="5" t="str">
        <f>IF($AM556="","",IF($AM556&gt;=Lookups!$K$6,"High spike",IF($AM556&lt;=-Lookups!$K$6,"Unusual low","Normal")))</f>
        <v>Normal</v>
      </c>
      <c r="AO556" s="20">
        <f>IF($V556&lt;&gt;1,"",$P556+ROW()/100000)</f>
        <v>108.00556</v>
      </c>
      <c r="AP556" s="5">
        <f>IF($A556="","",IFERROR(MATCH($A556,Raw_D1!$A$2:$A$1001,0),""))</f>
        <v>555</v>
      </c>
      <c r="AQ556" s="5">
        <f>IF($A556="","",IFERROR(MATCH($A556,Raw_D2!$B$2:$B$1001,0),""))</f>
        <v>555</v>
      </c>
      <c r="AR556" s="5">
        <f>IF($A556="","",IFERROR(MATCH($A556,Raw_D3!$A$2:$A$1001,0),""))</f>
        <v/>
      </c>
    </row>
    <row r="557" spans="1:44" x14ac:dyDescent="0.25">
      <c r="A557" s="5">
        <v>556</v>
      </c>
      <c r="B557" s="11">
        <f>IF($A557="","",IF($AP557&lt;&gt;"",INDEX(Raw_D1!$B$2:$B$1001,$AP557),IF($AR557&lt;&gt;"",INDEX(Raw_D3!$B$2:$B$1001,$AR557),"")))</f>
        <v>40568.0</v>
      </c>
      <c r="C557" s="5">
        <f>IF($A557="","",IF($AP557&lt;&gt;"",INDEX(Raw_D1!$C$2:$C$1001,$AP557),IF($AR557&lt;&gt;"",INDEX(Raw_D3!$C$2:$C$1001,$AR557),"")))</f>
        <v>1</v>
      </c>
      <c r="D557" s="5">
        <f>IF($A557="","",IF($AP557&lt;&gt;"",INDEX(Raw_D1!$D$2:$D$1001,$AP557),IF($AR557&lt;&gt;"",INDEX(Raw_D3!$D$2:$D$1001,$AR557),"")))</f>
        <v>0</v>
      </c>
      <c r="E557" s="5">
        <f>IF($A557="","",IF($AP557&lt;&gt;"",INDEX(Raw_D1!$E$2:$E$1001,$AP557),IF($AR557&lt;&gt;"",INDEX(Raw_D3!$E$2:$E$1001,$AR557),"")))</f>
        <v>1</v>
      </c>
      <c r="F557" s="5">
        <f>IF($A557="","",IF($AP557&lt;&gt;"",INDEX(Raw_D1!$F$2:$F$1001,$AP557),IF($AR557&lt;&gt;"",INDEX(Raw_D3!$F$2:$F$1001,$AR557),"")))</f>
        <v>8</v>
      </c>
      <c r="G557" s="5">
        <f>IF($A557="","",IF($AP557&lt;&gt;"",IF(INDEX(Raw_D1!$G$2:$G$1001,$AP557),1,0),IF($AR557&lt;&gt;"",IF(INDEX(Raw_D3!$G$2:$G$1001,$AR557),1,0),"")))</f>
        <v>0</v>
      </c>
      <c r="H557" s="5">
        <f>IF($A557="","",IF($AP557&lt;&gt;"",INDEX(Raw_D1!$H$2:$H$1001,$AP557),IF($AR557&lt;&gt;"",INDEX(Raw_D3!$H$2:$H$1001,$AR557),"")))</f>
        <v>2</v>
      </c>
      <c r="I557" s="5">
        <f>IF($A557="","",IF($AP557&lt;&gt;"",INDEX(Raw_D1!$I$2:$I$1001,$AP557),IF($AR557&lt;&gt;"",INDEX(Raw_D3!$I$2:$I$1001,$AR557),"")))</f>
        <v>2</v>
      </c>
      <c r="J557" s="16">
        <f>IF($A557="","",IF($AP557&lt;&gt;"",INDEX(Raw_D1!$J$2:$J$1001,$AP557),IF($AR557&lt;&gt;"",INDEX(Raw_D3!$J$2:$J$1001,$AR557),"")))</f>
        <v>0.16</v>
      </c>
      <c r="K557" s="17">
        <f>IF($A557="","",IF($AQ557&lt;&gt;"",IF(INDEX(Raw_D2!$C$2:$C$1001,$AQ557)="","",INDEX(Raw_D2!$C$2:$C$1001,$AQ557)),IF($AR557&lt;&gt;"",IF(INDEX(Raw_D3!$K$2:$K$1001,$AR557)="","",INDEX(Raw_D3!$K$2:$K$1001,$AR557)),"")))</f>
        <v>0.1818</v>
      </c>
      <c r="L557" s="16">
        <f>IF($A557="","",IF($AQ557&lt;&gt;"",IF(INDEX(Raw_D2!$D$2:$D$1001,$AQ557)="","",INDEX(Raw_D2!$D$2:$D$1001,$AQ557)),IF($AR557&lt;&gt;"",IF(INDEX(Raw_D3!$L$2:$L$1001,$AR557)="","",INDEX(Raw_D3!$L$2:$L$1001,$AR557)),"")))</f>
        <v>0.74</v>
      </c>
      <c r="M557" s="17">
        <f>IF($A557="","",IF($AQ557&lt;&gt;"",IF(INDEX(Raw_D2!$E$2:$E$1001,$AQ557)="","",INDEX(Raw_D2!$E$2:$E$1001,$AQ557)),IF($AR557&lt;&gt;"",IF(INDEX(Raw_D3!$M$2:$M$1001,$AR557)="","",INDEX(Raw_D3!$M$2:$M$1001,$AR557)),"")))</f>
        <v>0.1343</v>
      </c>
      <c r="N557" s="5">
        <f>IF($A557="","",IF($AQ557&lt;&gt;"",IF(INDEX(Raw_D2!$F$2:$F$1001,$AQ557)="","",INDEX(Raw_D2!$F$2:$F$1001,$AQ557)),IF($AR557&lt;&gt;"",IF(INDEX(Raw_D3!$N$2:$N$1001,$AR557)="","",INDEX(Raw_D3!$N$2:$N$1001,$AR557)),"")))</f>
        <v>5</v>
      </c>
      <c r="O557" s="5">
        <f>IF($A557="","",IF($AQ557&lt;&gt;"",IF(INDEX(Raw_D2!$G$2:$G$1001,$AQ557)="","",INDEX(Raw_D2!$G$2:$G$1001,$AQ557)),IF($AR557&lt;&gt;"",IF(INDEX(Raw_D3!$O$2:$O$1001,$AR557)="","",INDEX(Raw_D3!$O$2:$O$1001,$AR557)),"")))</f>
        <v>233</v>
      </c>
      <c r="P557" s="5">
        <f>IF($A557="","",IF($AQ557&lt;&gt;"",IF(INDEX(Raw_D2!$H$2:$H$1001,$AQ557)="","",INDEX(Raw_D2!$H$2:$H$1001,$AQ557)),IF($AR557&lt;&gt;"",IF(INDEX(Raw_D3!$P$2:$P$1001,$AR557)="","",INDEX(Raw_D3!$P$2:$P$1001,$AR557)),"")))</f>
        <v>238</v>
      </c>
      <c r="Q557" s="5" t="str">
        <f>IF($A557="","",IF(AND($AP557&lt;&gt;"",$AQ557&lt;&gt;""),"D1+D2",IF($AR557&lt;&gt;"","D3","Incomplete")))</f>
        <v>D1+D2</v>
      </c>
      <c r="R557" s="17">
        <f>IF($A557="","",IF($K557="",IF($J557="","",ROUND(Lookups!$K$5+Lookups!$K$4*$J557,4)),$K557))</f>
        <v>0.1818</v>
      </c>
      <c r="S557" s="5" t="str">
        <f>IF($A557="","",IF($K557="","Imputed","Original"))</f>
        <v>Original</v>
      </c>
      <c r="T557" s="5" t="str">
        <f>IF($A557="","",IF($P557="","Missing",IF($P557=$N557+$O557,"OK","Mismatch")))</f>
        <v>OK</v>
      </c>
      <c r="U557" s="5" t="str">
        <f>IF($A557="","",IF(COUNTIF($A$2:$A557,$A557)&gt;1,"Duplicate","Unique"))</f>
        <v>Unique</v>
      </c>
      <c r="V557" s="5">
        <f>IF($A557="","",IF(AND($U557="Unique",ISNUMBER($P557)),1,0))</f>
        <v>1</v>
      </c>
      <c r="W557" s="5" t="str">
        <f>IF($A557="","",IF(OR($H557=0,$H557=6),"Weekend","Weekday"))</f>
        <v>Weekday</v>
      </c>
      <c r="X557" s="5" t="str">
        <f>IF($A557="","",TEXT($B557,"ddd"))</f>
        <v>Tue</v>
      </c>
      <c r="Y557" s="5" t="str">
        <f>IF($A557="","",TEXT($B557,"mmm"))</f>
        <v>Jan</v>
      </c>
      <c r="Z557" s="5" t="str">
        <f>IF($A557="","",IFERROR(VLOOKUP($C557,Lookups!$D$4:$E$7,2,FALSE),"Unknown"))</f>
        <v>Winter</v>
      </c>
      <c r="AA557" s="5" t="str">
        <f>IF($A557="","",IFERROR(VLOOKUP($I557,Lookups!$A$4:$B$7,2,FALSE),"Unknown"))</f>
        <v>Mist/Cloudy</v>
      </c>
      <c r="AB557" s="5" t="str">
        <f>IF($A557="","",TEXT($F557,"00")&amp;":00")</f>
        <v>08:00</v>
      </c>
      <c r="AC557" s="5" t="str">
        <f>IF($A557="","",VLOOKUP($F557,Lookups!$G$4:$H$8,2,TRUE))</f>
        <v>Morning Peak (06-09)</v>
      </c>
      <c r="AD557" s="18">
        <f>IF($A557="","",IF($J557="","",ROUND($J557*41,1)))</f>
        <v>6.6</v>
      </c>
      <c r="AE557" s="18">
        <f>IF($A557="","",IF($R557="","",ROUND($R557*50,1)))</f>
        <v>9.1</v>
      </c>
      <c r="AF557" s="5">
        <f>IF($A557="","",IF($L557="","",ROUND($L557*100,0)))</f>
        <v>74</v>
      </c>
      <c r="AG557" s="18">
        <f>IF($A557="","",IF($M557="","",ROUND($M557*67,1)))</f>
        <v>9</v>
      </c>
      <c r="AH557" s="19">
        <f>IF($A557="","",IF($P557="","",IF($P557=0,0,$O557/$P557)))</f>
        <v>0.978991596638655</v>
      </c>
      <c r="AI557" s="5" t="str">
        <f>IF($A557="","",IF($P557="","",IF($P557&gt;=Lookups!$K$7,"High",IF($P557&lt;=Lookups!$K$8,"Low","Medium"))))</f>
        <v>High</v>
      </c>
      <c r="AJ557" s="5" t="str">
        <f>IF($A557="","",IF($AD557="","",IF($AD557&lt;5,"Under 5 C",IF($AD557&lt;10,"5-10 C",IF($AD557&lt;15,"10-15 C","15 C and above")))))</f>
        <v>5-10 C</v>
      </c>
      <c r="AK557" s="5">
        <f>IF($A557="","",IF($P557="","",$P557^2))</f>
        <v>56644</v>
      </c>
      <c r="AL557" s="18">
        <f>IF($V557&lt;&gt;1,"",AVERAGEIFS(Clean_Data!$P$2:$P$1001,Clean_Data!$F$2:$F$1001,$F557,Clean_Data!$W$2:$W$1001,$W557,Clean_Data!$V$2:$V$1001,1))</f>
        <v>183.535714285714</v>
      </c>
      <c r="AM557" s="16">
        <f>IF($V557&lt;&gt;1,"",IFERROR(($P557-$AL557)/SQRT(MAX(0,(SUMIFS(Clean_Data!$AK$2:$AK$1001,Clean_Data!$F$2:$F$1001,$F557,Clean_Data!$W$2:$W$1001,$W557,Clean_Data!$V$2:$V$1001,1)-COUNTIFS(Clean_Data!$F$2:$F$1001,$F557,Clean_Data!$W$2:$W$1001,$W557,Clean_Data!$V$2:$V$1001,1)*$AL557^2)/(COUNTIFS(Clean_Data!$F$2:$F$1001,$F557,Clean_Data!$W$2:$W$1001,$W557,Clean_Data!$V$2:$V$1001,1)-1))),""))</f>
        <v>1.11744447365071</v>
      </c>
      <c r="AN557" s="5" t="str">
        <f>IF($AM557="","",IF($AM557&gt;=Lookups!$K$6,"High spike",IF($AM557&lt;=-Lookups!$K$6,"Unusual low","Normal")))</f>
        <v>Normal</v>
      </c>
      <c r="AO557" s="20">
        <f>IF($V557&lt;&gt;1,"",$P557+ROW()/100000)</f>
        <v>238.00557</v>
      </c>
      <c r="AP557" s="5">
        <f>IF($A557="","",IFERROR(MATCH($A557,Raw_D1!$A$2:$A$1001,0),""))</f>
        <v>556</v>
      </c>
      <c r="AQ557" s="5">
        <f>IF($A557="","",IFERROR(MATCH($A557,Raw_D2!$B$2:$B$1001,0),""))</f>
        <v>556</v>
      </c>
      <c r="AR557" s="5">
        <f>IF($A557="","",IFERROR(MATCH($A557,Raw_D3!$A$2:$A$1001,0),""))</f>
        <v/>
      </c>
    </row>
    <row r="558" spans="1:44" x14ac:dyDescent="0.25">
      <c r="A558" s="5">
        <v>557</v>
      </c>
      <c r="B558" s="11">
        <f>IF($A558="","",IF($AP558&lt;&gt;"",INDEX(Raw_D1!$B$2:$B$1001,$AP558),IF($AR558&lt;&gt;"",INDEX(Raw_D3!$B$2:$B$1001,$AR558),"")))</f>
        <v>40568.0</v>
      </c>
      <c r="C558" s="5">
        <f>IF($A558="","",IF($AP558&lt;&gt;"",INDEX(Raw_D1!$C$2:$C$1001,$AP558),IF($AR558&lt;&gt;"",INDEX(Raw_D3!$C$2:$C$1001,$AR558),"")))</f>
        <v>1</v>
      </c>
      <c r="D558" s="5">
        <f>IF($A558="","",IF($AP558&lt;&gt;"",INDEX(Raw_D1!$D$2:$D$1001,$AP558),IF($AR558&lt;&gt;"",INDEX(Raw_D3!$D$2:$D$1001,$AR558),"")))</f>
        <v>0</v>
      </c>
      <c r="E558" s="5">
        <f>IF($A558="","",IF($AP558&lt;&gt;"",INDEX(Raw_D1!$E$2:$E$1001,$AP558),IF($AR558&lt;&gt;"",INDEX(Raw_D3!$E$2:$E$1001,$AR558),"")))</f>
        <v>1</v>
      </c>
      <c r="F558" s="5">
        <f>IF($A558="","",IF($AP558&lt;&gt;"",INDEX(Raw_D1!$F$2:$F$1001,$AP558),IF($AR558&lt;&gt;"",INDEX(Raw_D3!$F$2:$F$1001,$AR558),"")))</f>
        <v>9</v>
      </c>
      <c r="G558" s="5">
        <f>IF($A558="","",IF($AP558&lt;&gt;"",IF(INDEX(Raw_D1!$G$2:$G$1001,$AP558),1,0),IF($AR558&lt;&gt;"",IF(INDEX(Raw_D3!$G$2:$G$1001,$AR558),1,0),"")))</f>
        <v>0</v>
      </c>
      <c r="H558" s="5">
        <f>IF($A558="","",IF($AP558&lt;&gt;"",INDEX(Raw_D1!$H$2:$H$1001,$AP558),IF($AR558&lt;&gt;"",INDEX(Raw_D3!$H$2:$H$1001,$AR558),"")))</f>
        <v>2</v>
      </c>
      <c r="I558" s="5">
        <f>IF($A558="","",IF($AP558&lt;&gt;"",INDEX(Raw_D1!$I$2:$I$1001,$AP558),IF($AR558&lt;&gt;"",INDEX(Raw_D3!$I$2:$I$1001,$AR558),"")))</f>
        <v>2</v>
      </c>
      <c r="J558" s="16">
        <f>IF($A558="","",IF($AP558&lt;&gt;"",INDEX(Raw_D1!$J$2:$J$1001,$AP558),IF($AR558&lt;&gt;"",INDEX(Raw_D3!$J$2:$J$1001,$AR558),"")))</f>
        <v>0.2</v>
      </c>
      <c r="K558" s="17">
        <f>IF($A558="","",IF($AQ558&lt;&gt;"",IF(INDEX(Raw_D2!$C$2:$C$1001,$AQ558)="","",INDEX(Raw_D2!$C$2:$C$1001,$AQ558)),IF($AR558&lt;&gt;"",IF(INDEX(Raw_D3!$K$2:$K$1001,$AR558)="","",INDEX(Raw_D3!$K$2:$K$1001,$AR558)),"")))</f>
        <v>0.2273</v>
      </c>
      <c r="L558" s="16">
        <f>IF($A558="","",IF($AQ558&lt;&gt;"",IF(INDEX(Raw_D2!$D$2:$D$1001,$AQ558)="","",INDEX(Raw_D2!$D$2:$D$1001,$AQ558)),IF($AR558&lt;&gt;"",IF(INDEX(Raw_D3!$L$2:$L$1001,$AR558)="","",INDEX(Raw_D3!$L$2:$L$1001,$AR558)),"")))</f>
        <v>0.64</v>
      </c>
      <c r="M558" s="17">
        <f>IF($A558="","",IF($AQ558&lt;&gt;"",IF(INDEX(Raw_D2!$E$2:$E$1001,$AQ558)="","",INDEX(Raw_D2!$E$2:$E$1001,$AQ558)),IF($AR558&lt;&gt;"",IF(INDEX(Raw_D3!$M$2:$M$1001,$AR558)="","",INDEX(Raw_D3!$M$2:$M$1001,$AR558)),"")))</f>
        <v>0.0896</v>
      </c>
      <c r="N558" s="5">
        <f>IF($A558="","",IF($AQ558&lt;&gt;"",IF(INDEX(Raw_D2!$F$2:$F$1001,$AQ558)="","",INDEX(Raw_D2!$F$2:$F$1001,$AQ558)),IF($AR558&lt;&gt;"",IF(INDEX(Raw_D3!$N$2:$N$1001,$AR558)="","",INDEX(Raw_D3!$N$2:$N$1001,$AR558)),"")))</f>
        <v>10</v>
      </c>
      <c r="O558" s="5">
        <f>IF($A558="","",IF($AQ558&lt;&gt;"",IF(INDEX(Raw_D2!$G$2:$G$1001,$AQ558)="","",INDEX(Raw_D2!$G$2:$G$1001,$AQ558)),IF($AR558&lt;&gt;"",IF(INDEX(Raw_D3!$O$2:$O$1001,$AR558)="","",INDEX(Raw_D3!$O$2:$O$1001,$AR558)),"")))</f>
        <v>134</v>
      </c>
      <c r="P558" s="5">
        <f>IF($A558="","",IF($AQ558&lt;&gt;"",IF(INDEX(Raw_D2!$H$2:$H$1001,$AQ558)="","",INDEX(Raw_D2!$H$2:$H$1001,$AQ558)),IF($AR558&lt;&gt;"",IF(INDEX(Raw_D3!$P$2:$P$1001,$AR558)="","",INDEX(Raw_D3!$P$2:$P$1001,$AR558)),"")))</f>
        <v>144</v>
      </c>
      <c r="Q558" s="5" t="str">
        <f>IF($A558="","",IF(AND($AP558&lt;&gt;"",$AQ558&lt;&gt;""),"D1+D2",IF($AR558&lt;&gt;"","D3","Incomplete")))</f>
        <v>D1+D2</v>
      </c>
      <c r="R558" s="17">
        <f>IF($A558="","",IF($K558="",IF($J558="","",ROUND(Lookups!$K$5+Lookups!$K$4*$J558,4)),$K558))</f>
        <v>0.2273</v>
      </c>
      <c r="S558" s="5" t="str">
        <f>IF($A558="","",IF($K558="","Imputed","Original"))</f>
        <v>Original</v>
      </c>
      <c r="T558" s="5" t="str">
        <f>IF($A558="","",IF($P558="","Missing",IF($P558=$N558+$O558,"OK","Mismatch")))</f>
        <v>OK</v>
      </c>
      <c r="U558" s="5" t="str">
        <f>IF($A558="","",IF(COUNTIF($A$2:$A558,$A558)&gt;1,"Duplicate","Unique"))</f>
        <v>Unique</v>
      </c>
      <c r="V558" s="5">
        <f>IF($A558="","",IF(AND($U558="Unique",ISNUMBER($P558)),1,0))</f>
        <v>1</v>
      </c>
      <c r="W558" s="5" t="str">
        <f>IF($A558="","",IF(OR($H558=0,$H558=6),"Weekend","Weekday"))</f>
        <v>Weekday</v>
      </c>
      <c r="X558" s="5" t="str">
        <f>IF($A558="","",TEXT($B558,"ddd"))</f>
        <v>Tue</v>
      </c>
      <c r="Y558" s="5" t="str">
        <f>IF($A558="","",TEXT($B558,"mmm"))</f>
        <v>Jan</v>
      </c>
      <c r="Z558" s="5" t="str">
        <f>IF($A558="","",IFERROR(VLOOKUP($C558,Lookups!$D$4:$E$7,2,FALSE),"Unknown"))</f>
        <v>Winter</v>
      </c>
      <c r="AA558" s="5" t="str">
        <f>IF($A558="","",IFERROR(VLOOKUP($I558,Lookups!$A$4:$B$7,2,FALSE),"Unknown"))</f>
        <v>Mist/Cloudy</v>
      </c>
      <c r="AB558" s="5" t="str">
        <f>IF($A558="","",TEXT($F558,"00")&amp;":00")</f>
        <v>09:00</v>
      </c>
      <c r="AC558" s="5" t="str">
        <f>IF($A558="","",VLOOKUP($F558,Lookups!$G$4:$H$8,2,TRUE))</f>
        <v>Morning Peak (06-09)</v>
      </c>
      <c r="AD558" s="18">
        <f>IF($A558="","",IF($J558="","",ROUND($J558*41,1)))</f>
        <v>8.2</v>
      </c>
      <c r="AE558" s="18">
        <f>IF($A558="","",IF($R558="","",ROUND($R558*50,1)))</f>
        <v>11.4</v>
      </c>
      <c r="AF558" s="5">
        <f>IF($A558="","",IF($L558="","",ROUND($L558*100,0)))</f>
        <v>64</v>
      </c>
      <c r="AG558" s="18">
        <f>IF($A558="","",IF($M558="","",ROUND($M558*67,1)))</f>
        <v>6</v>
      </c>
      <c r="AH558" s="19">
        <f>IF($A558="","",IF($P558="","",IF($P558=0,0,$O558/$P558)))</f>
        <v>0.930555555555556</v>
      </c>
      <c r="AI558" s="5" t="str">
        <f>IF($A558="","",IF($P558="","",IF($P558&gt;=Lookups!$K$7,"High",IF($P558&lt;=Lookups!$K$8,"Low","Medium"))))</f>
        <v>High</v>
      </c>
      <c r="AJ558" s="5" t="str">
        <f>IF($A558="","",IF($AD558="","",IF($AD558&lt;5,"Under 5 C",IF($AD558&lt;10,"5-10 C",IF($AD558&lt;15,"10-15 C","15 C and above")))))</f>
        <v>5-10 C</v>
      </c>
      <c r="AK558" s="5">
        <f>IF($A558="","",IF($P558="","",$P558^2))</f>
        <v>20736</v>
      </c>
      <c r="AL558" s="18">
        <f>IF($V558&lt;&gt;1,"",AVERAGEIFS(Clean_Data!$P$2:$P$1001,Clean_Data!$F$2:$F$1001,$F558,Clean_Data!$W$2:$W$1001,$W558,Clean_Data!$V$2:$V$1001,1))</f>
        <v>115.678571428571</v>
      </c>
      <c r="AM558" s="16">
        <f>IF($V558&lt;&gt;1,"",IFERROR(($P558-$AL558)/SQRT(MAX(0,(SUMIFS(Clean_Data!$AK$2:$AK$1001,Clean_Data!$F$2:$F$1001,$F558,Clean_Data!$W$2:$W$1001,$W558,Clean_Data!$V$2:$V$1001,1)-COUNTIFS(Clean_Data!$F$2:$F$1001,$F558,Clean_Data!$W$2:$W$1001,$W558,Clean_Data!$V$2:$V$1001,1)*$AL558^2)/(COUNTIFS(Clean_Data!$F$2:$F$1001,$F558,Clean_Data!$W$2:$W$1001,$W558,Clean_Data!$V$2:$V$1001,1)-1))),""))</f>
        <v>1.09865241619609</v>
      </c>
      <c r="AN558" s="5" t="str">
        <f>IF($AM558="","",IF($AM558&gt;=Lookups!$K$6,"High spike",IF($AM558&lt;=-Lookups!$K$6,"Unusual low","Normal")))</f>
        <v>Normal</v>
      </c>
      <c r="AO558" s="20">
        <f>IF($V558&lt;&gt;1,"",$P558+ROW()/100000)</f>
        <v>144.00558</v>
      </c>
      <c r="AP558" s="5">
        <f>IF($A558="","",IFERROR(MATCH($A558,Raw_D1!$A$2:$A$1001,0),""))</f>
        <v>557</v>
      </c>
      <c r="AQ558" s="5">
        <f>IF($A558="","",IFERROR(MATCH($A558,Raw_D2!$B$2:$B$1001,0),""))</f>
        <v>557</v>
      </c>
      <c r="AR558" s="5">
        <f>IF($A558="","",IFERROR(MATCH($A558,Raw_D3!$A$2:$A$1001,0),""))</f>
        <v/>
      </c>
    </row>
    <row r="559" spans="1:44" x14ac:dyDescent="0.25">
      <c r="A559" s="5">
        <v>558</v>
      </c>
      <c r="B559" s="11">
        <f>IF($A559="","",IF($AP559&lt;&gt;"",INDEX(Raw_D1!$B$2:$B$1001,$AP559),IF($AR559&lt;&gt;"",INDEX(Raw_D3!$B$2:$B$1001,$AR559),"")))</f>
        <v>40568.0</v>
      </c>
      <c r="C559" s="5">
        <f>IF($A559="","",IF($AP559&lt;&gt;"",INDEX(Raw_D1!$C$2:$C$1001,$AP559),IF($AR559&lt;&gt;"",INDEX(Raw_D3!$C$2:$C$1001,$AR559),"")))</f>
        <v>1</v>
      </c>
      <c r="D559" s="5">
        <f>IF($A559="","",IF($AP559&lt;&gt;"",INDEX(Raw_D1!$D$2:$D$1001,$AP559),IF($AR559&lt;&gt;"",INDEX(Raw_D3!$D$2:$D$1001,$AR559),"")))</f>
        <v>0</v>
      </c>
      <c r="E559" s="5">
        <f>IF($A559="","",IF($AP559&lt;&gt;"",INDEX(Raw_D1!$E$2:$E$1001,$AP559),IF($AR559&lt;&gt;"",INDEX(Raw_D3!$E$2:$E$1001,$AR559),"")))</f>
        <v>1</v>
      </c>
      <c r="F559" s="5">
        <f>IF($A559="","",IF($AP559&lt;&gt;"",INDEX(Raw_D1!$F$2:$F$1001,$AP559),IF($AR559&lt;&gt;"",INDEX(Raw_D3!$F$2:$F$1001,$AR559),"")))</f>
        <v>10</v>
      </c>
      <c r="G559" s="5">
        <f>IF($A559="","",IF($AP559&lt;&gt;"",IF(INDEX(Raw_D1!$G$2:$G$1001,$AP559),1,0),IF($AR559&lt;&gt;"",IF(INDEX(Raw_D3!$G$2:$G$1001,$AR559),1,0),"")))</f>
        <v>0</v>
      </c>
      <c r="H559" s="5">
        <f>IF($A559="","",IF($AP559&lt;&gt;"",INDEX(Raw_D1!$H$2:$H$1001,$AP559),IF($AR559&lt;&gt;"",INDEX(Raw_D3!$H$2:$H$1001,$AR559),"")))</f>
        <v>2</v>
      </c>
      <c r="I559" s="5">
        <f>IF($A559="","",IF($AP559&lt;&gt;"",INDEX(Raw_D1!$I$2:$I$1001,$AP559),IF($AR559&lt;&gt;"",INDEX(Raw_D3!$I$2:$I$1001,$AR559),"")))</f>
        <v>2</v>
      </c>
      <c r="J559" s="16">
        <f>IF($A559="","",IF($AP559&lt;&gt;"",INDEX(Raw_D1!$J$2:$J$1001,$AP559),IF($AR559&lt;&gt;"",INDEX(Raw_D3!$J$2:$J$1001,$AR559),"")))</f>
        <v>0.22</v>
      </c>
      <c r="K559" s="17">
        <f>IF($A559="","",IF($AQ559&lt;&gt;"",IF(INDEX(Raw_D2!$C$2:$C$1001,$AQ559)="","",INDEX(Raw_D2!$C$2:$C$1001,$AQ559)),IF($AR559&lt;&gt;"",IF(INDEX(Raw_D3!$K$2:$K$1001,$AR559)="","",INDEX(Raw_D3!$K$2:$K$1001,$AR559)),"")))</f>
        <v>0.2424</v>
      </c>
      <c r="L559" s="16">
        <f>IF($A559="","",IF($AQ559&lt;&gt;"",IF(INDEX(Raw_D2!$D$2:$D$1001,$AQ559)="","",INDEX(Raw_D2!$D$2:$D$1001,$AQ559)),IF($AR559&lt;&gt;"",IF(INDEX(Raw_D3!$L$2:$L$1001,$AR559)="","",INDEX(Raw_D3!$L$2:$L$1001,$AR559)),"")))</f>
        <v>0.6</v>
      </c>
      <c r="M559" s="17">
        <f>IF($A559="","",IF($AQ559&lt;&gt;"",IF(INDEX(Raw_D2!$E$2:$E$1001,$AQ559)="","",INDEX(Raw_D2!$E$2:$E$1001,$AQ559)),IF($AR559&lt;&gt;"",IF(INDEX(Raw_D3!$M$2:$M$1001,$AR559)="","",INDEX(Raw_D3!$M$2:$M$1001,$AR559)),"")))</f>
        <v>0.1045</v>
      </c>
      <c r="N559" s="5">
        <f>IF($A559="","",IF($AQ559&lt;&gt;"",IF(INDEX(Raw_D2!$F$2:$F$1001,$AQ559)="","",INDEX(Raw_D2!$F$2:$F$1001,$AQ559)),IF($AR559&lt;&gt;"",IF(INDEX(Raw_D3!$N$2:$N$1001,$AR559)="","",INDEX(Raw_D3!$N$2:$N$1001,$AR559)),"")))</f>
        <v>6</v>
      </c>
      <c r="O559" s="5">
        <f>IF($A559="","",IF($AQ559&lt;&gt;"",IF(INDEX(Raw_D2!$G$2:$G$1001,$AQ559)="","",INDEX(Raw_D2!$G$2:$G$1001,$AQ559)),IF($AR559&lt;&gt;"",IF(INDEX(Raw_D3!$O$2:$O$1001,$AR559)="","",INDEX(Raw_D3!$O$2:$O$1001,$AR559)),"")))</f>
        <v>49</v>
      </c>
      <c r="P559" s="5">
        <f>IF($A559="","",IF($AQ559&lt;&gt;"",IF(INDEX(Raw_D2!$H$2:$H$1001,$AQ559)="","",INDEX(Raw_D2!$H$2:$H$1001,$AQ559)),IF($AR559&lt;&gt;"",IF(INDEX(Raw_D3!$P$2:$P$1001,$AR559)="","",INDEX(Raw_D3!$P$2:$P$1001,$AR559)),"")))</f>
        <v>55</v>
      </c>
      <c r="Q559" s="5" t="str">
        <f>IF($A559="","",IF(AND($AP559&lt;&gt;"",$AQ559&lt;&gt;""),"D1+D2",IF($AR559&lt;&gt;"","D3","Incomplete")))</f>
        <v>D1+D2</v>
      </c>
      <c r="R559" s="17">
        <f>IF($A559="","",IF($K559="",IF($J559="","",ROUND(Lookups!$K$5+Lookups!$K$4*$J559,4)),$K559))</f>
        <v>0.2424</v>
      </c>
      <c r="S559" s="5" t="str">
        <f>IF($A559="","",IF($K559="","Imputed","Original"))</f>
        <v>Original</v>
      </c>
      <c r="T559" s="5" t="str">
        <f>IF($A559="","",IF($P559="","Missing",IF($P559=$N559+$O559,"OK","Mismatch")))</f>
        <v>OK</v>
      </c>
      <c r="U559" s="5" t="str">
        <f>IF($A559="","",IF(COUNTIF($A$2:$A559,$A559)&gt;1,"Duplicate","Unique"))</f>
        <v>Unique</v>
      </c>
      <c r="V559" s="5">
        <f>IF($A559="","",IF(AND($U559="Unique",ISNUMBER($P559)),1,0))</f>
        <v>1</v>
      </c>
      <c r="W559" s="5" t="str">
        <f>IF($A559="","",IF(OR($H559=0,$H559=6),"Weekend","Weekday"))</f>
        <v>Weekday</v>
      </c>
      <c r="X559" s="5" t="str">
        <f>IF($A559="","",TEXT($B559,"ddd"))</f>
        <v>Tue</v>
      </c>
      <c r="Y559" s="5" t="str">
        <f>IF($A559="","",TEXT($B559,"mmm"))</f>
        <v>Jan</v>
      </c>
      <c r="Z559" s="5" t="str">
        <f>IF($A559="","",IFERROR(VLOOKUP($C559,Lookups!$D$4:$E$7,2,FALSE),"Unknown"))</f>
        <v>Winter</v>
      </c>
      <c r="AA559" s="5" t="str">
        <f>IF($A559="","",IFERROR(VLOOKUP($I559,Lookups!$A$4:$B$7,2,FALSE),"Unknown"))</f>
        <v>Mist/Cloudy</v>
      </c>
      <c r="AB559" s="5" t="str">
        <f>IF($A559="","",TEXT($F559,"00")&amp;":00")</f>
        <v>10:00</v>
      </c>
      <c r="AC559" s="5" t="str">
        <f>IF($A559="","",VLOOKUP($F559,Lookups!$G$4:$H$8,2,TRUE))</f>
        <v>Midday (10-15)</v>
      </c>
      <c r="AD559" s="18">
        <f>IF($A559="","",IF($J559="","",ROUND($J559*41,1)))</f>
        <v>9</v>
      </c>
      <c r="AE559" s="18">
        <f>IF($A559="","",IF($R559="","",ROUND($R559*50,1)))</f>
        <v>12.1</v>
      </c>
      <c r="AF559" s="5">
        <f>IF($A559="","",IF($L559="","",ROUND($L559*100,0)))</f>
        <v>60</v>
      </c>
      <c r="AG559" s="18">
        <f>IF($A559="","",IF($M559="","",ROUND($M559*67,1)))</f>
        <v>7</v>
      </c>
      <c r="AH559" s="19">
        <f>IF($A559="","",IF($P559="","",IF($P559=0,0,$O559/$P559)))</f>
        <v>0.890909090909091</v>
      </c>
      <c r="AI559" s="5" t="str">
        <f>IF($A559="","",IF($P559="","",IF($P559&gt;=Lookups!$K$7,"High",IF($P559&lt;=Lookups!$K$8,"Low","Medium"))))</f>
        <v>Medium</v>
      </c>
      <c r="AJ559" s="5" t="str">
        <f>IF($A559="","",IF($AD559="","",IF($AD559&lt;5,"Under 5 C",IF($AD559&lt;10,"5-10 C",IF($AD559&lt;15,"10-15 C","15 C and above")))))</f>
        <v>5-10 C</v>
      </c>
      <c r="AK559" s="5">
        <f>IF($A559="","",IF($P559="","",$P559^2))</f>
        <v>3025</v>
      </c>
      <c r="AL559" s="18">
        <f>IF($V559&lt;&gt;1,"",AVERAGEIFS(Clean_Data!$P$2:$P$1001,Clean_Data!$F$2:$F$1001,$F559,Clean_Data!$W$2:$W$1001,$W559,Clean_Data!$V$2:$V$1001,1))</f>
        <v>49.0714285714286</v>
      </c>
      <c r="AM559" s="16">
        <f>IF($V559&lt;&gt;1,"",IFERROR(($P559-$AL559)/SQRT(MAX(0,(SUMIFS(Clean_Data!$AK$2:$AK$1001,Clean_Data!$F$2:$F$1001,$F559,Clean_Data!$W$2:$W$1001,$W559,Clean_Data!$V$2:$V$1001,1)-COUNTIFS(Clean_Data!$F$2:$F$1001,$F559,Clean_Data!$W$2:$W$1001,$W559,Clean_Data!$V$2:$V$1001,1)*$AL559^2)/(COUNTIFS(Clean_Data!$F$2:$F$1001,$F559,Clean_Data!$W$2:$W$1001,$W559,Clean_Data!$V$2:$V$1001,1)-1))),""))</f>
        <v>0.587458067813131</v>
      </c>
      <c r="AN559" s="5" t="str">
        <f>IF($AM559="","",IF($AM559&gt;=Lookups!$K$6,"High spike",IF($AM559&lt;=-Lookups!$K$6,"Unusual low","Normal")))</f>
        <v>Normal</v>
      </c>
      <c r="AO559" s="20">
        <f>IF($V559&lt;&gt;1,"",$P559+ROW()/100000)</f>
        <v>55.00559</v>
      </c>
      <c r="AP559" s="5">
        <f>IF($A559="","",IFERROR(MATCH($A559,Raw_D1!$A$2:$A$1001,0),""))</f>
        <v>558</v>
      </c>
      <c r="AQ559" s="5">
        <f>IF($A559="","",IFERROR(MATCH($A559,Raw_D2!$B$2:$B$1001,0),""))</f>
        <v>558</v>
      </c>
      <c r="AR559" s="5">
        <f>IF($A559="","",IFERROR(MATCH($A559,Raw_D3!$A$2:$A$1001,0),""))</f>
        <v/>
      </c>
    </row>
    <row r="560" spans="1:44" x14ac:dyDescent="0.25">
      <c r="A560" s="5">
        <v>559</v>
      </c>
      <c r="B560" s="11">
        <f>IF($A560="","",IF($AP560&lt;&gt;"",INDEX(Raw_D1!$B$2:$B$1001,$AP560),IF($AR560&lt;&gt;"",INDEX(Raw_D3!$B$2:$B$1001,$AR560),"")))</f>
        <v>40568.0</v>
      </c>
      <c r="C560" s="5">
        <f>IF($A560="","",IF($AP560&lt;&gt;"",INDEX(Raw_D1!$C$2:$C$1001,$AP560),IF($AR560&lt;&gt;"",INDEX(Raw_D3!$C$2:$C$1001,$AR560),"")))</f>
        <v>1</v>
      </c>
      <c r="D560" s="5">
        <f>IF($A560="","",IF($AP560&lt;&gt;"",INDEX(Raw_D1!$D$2:$D$1001,$AP560),IF($AR560&lt;&gt;"",INDEX(Raw_D3!$D$2:$D$1001,$AR560),"")))</f>
        <v>0</v>
      </c>
      <c r="E560" s="5">
        <f>IF($A560="","",IF($AP560&lt;&gt;"",INDEX(Raw_D1!$E$2:$E$1001,$AP560),IF($AR560&lt;&gt;"",INDEX(Raw_D3!$E$2:$E$1001,$AR560),"")))</f>
        <v>1</v>
      </c>
      <c r="F560" s="5">
        <f>IF($A560="","",IF($AP560&lt;&gt;"",INDEX(Raw_D1!$F$2:$F$1001,$AP560),IF($AR560&lt;&gt;"",INDEX(Raw_D3!$F$2:$F$1001,$AR560),"")))</f>
        <v>11</v>
      </c>
      <c r="G560" s="5">
        <f>IF($A560="","",IF($AP560&lt;&gt;"",IF(INDEX(Raw_D1!$G$2:$G$1001,$AP560),1,0),IF($AR560&lt;&gt;"",IF(INDEX(Raw_D3!$G$2:$G$1001,$AR560),1,0),"")))</f>
        <v>0</v>
      </c>
      <c r="H560" s="5">
        <f>IF($A560="","",IF($AP560&lt;&gt;"",INDEX(Raw_D1!$H$2:$H$1001,$AP560),IF($AR560&lt;&gt;"",INDEX(Raw_D3!$H$2:$H$1001,$AR560),"")))</f>
        <v>2</v>
      </c>
      <c r="I560" s="5">
        <f>IF($A560="","",IF($AP560&lt;&gt;"",INDEX(Raw_D1!$I$2:$I$1001,$AP560),IF($AR560&lt;&gt;"",INDEX(Raw_D3!$I$2:$I$1001,$AR560),"")))</f>
        <v>2</v>
      </c>
      <c r="J560" s="16">
        <f>IF($A560="","",IF($AP560&lt;&gt;"",INDEX(Raw_D1!$J$2:$J$1001,$AP560),IF($AR560&lt;&gt;"",INDEX(Raw_D3!$J$2:$J$1001,$AR560),"")))</f>
        <v>0.24</v>
      </c>
      <c r="K560" s="17">
        <f>IF($A560="","",IF($AQ560&lt;&gt;"",IF(INDEX(Raw_D2!$C$2:$C$1001,$AQ560)="","",INDEX(Raw_D2!$C$2:$C$1001,$AQ560)),IF($AR560&lt;&gt;"",IF(INDEX(Raw_D3!$K$2:$K$1001,$AR560)="","",INDEX(Raw_D3!$K$2:$K$1001,$AR560)),"")))</f>
        <v>0.2424</v>
      </c>
      <c r="L560" s="16">
        <f>IF($A560="","",IF($AQ560&lt;&gt;"",IF(INDEX(Raw_D2!$D$2:$D$1001,$AQ560)="","",INDEX(Raw_D2!$D$2:$D$1001,$AQ560)),IF($AR560&lt;&gt;"",IF(INDEX(Raw_D3!$L$2:$L$1001,$AR560)="","",INDEX(Raw_D3!$L$2:$L$1001,$AR560)),"")))</f>
        <v>0.6</v>
      </c>
      <c r="M560" s="17">
        <f>IF($A560="","",IF($AQ560&lt;&gt;"",IF(INDEX(Raw_D2!$E$2:$E$1001,$AQ560)="","",INDEX(Raw_D2!$E$2:$E$1001,$AQ560)),IF($AR560&lt;&gt;"",IF(INDEX(Raw_D3!$M$2:$M$1001,$AR560)="","",INDEX(Raw_D3!$M$2:$M$1001,$AR560)),"")))</f>
        <v>0.1343</v>
      </c>
      <c r="N560" s="5">
        <f>IF($A560="","",IF($AQ560&lt;&gt;"",IF(INDEX(Raw_D2!$F$2:$F$1001,$AQ560)="","",INDEX(Raw_D2!$F$2:$F$1001,$AQ560)),IF($AR560&lt;&gt;"",IF(INDEX(Raw_D3!$N$2:$N$1001,$AR560)="","",INDEX(Raw_D3!$N$2:$N$1001,$AR560)),"")))</f>
        <v>6</v>
      </c>
      <c r="O560" s="5">
        <f>IF($A560="","",IF($AQ560&lt;&gt;"",IF(INDEX(Raw_D2!$G$2:$G$1001,$AQ560)="","",INDEX(Raw_D2!$G$2:$G$1001,$AQ560)),IF($AR560&lt;&gt;"",IF(INDEX(Raw_D3!$O$2:$O$1001,$AR560)="","",INDEX(Raw_D3!$O$2:$O$1001,$AR560)),"")))</f>
        <v>55</v>
      </c>
      <c r="P560" s="5">
        <f>IF($A560="","",IF($AQ560&lt;&gt;"",IF(INDEX(Raw_D2!$H$2:$H$1001,$AQ560)="","",INDEX(Raw_D2!$H$2:$H$1001,$AQ560)),IF($AR560&lt;&gt;"",IF(INDEX(Raw_D3!$P$2:$P$1001,$AR560)="","",INDEX(Raw_D3!$P$2:$P$1001,$AR560)),"")))</f>
        <v>61</v>
      </c>
      <c r="Q560" s="5" t="str">
        <f>IF($A560="","",IF(AND($AP560&lt;&gt;"",$AQ560&lt;&gt;""),"D1+D2",IF($AR560&lt;&gt;"","D3","Incomplete")))</f>
        <v>D1+D2</v>
      </c>
      <c r="R560" s="17">
        <f>IF($A560="","",IF($K560="",IF($J560="","",ROUND(Lookups!$K$5+Lookups!$K$4*$J560,4)),$K560))</f>
        <v>0.2424</v>
      </c>
      <c r="S560" s="5" t="str">
        <f>IF($A560="","",IF($K560="","Imputed","Original"))</f>
        <v>Original</v>
      </c>
      <c r="T560" s="5" t="str">
        <f>IF($A560="","",IF($P560="","Missing",IF($P560=$N560+$O560,"OK","Mismatch")))</f>
        <v>OK</v>
      </c>
      <c r="U560" s="5" t="str">
        <f>IF($A560="","",IF(COUNTIF($A$2:$A560,$A560)&gt;1,"Duplicate","Unique"))</f>
        <v>Unique</v>
      </c>
      <c r="V560" s="5">
        <f>IF($A560="","",IF(AND($U560="Unique",ISNUMBER($P560)),1,0))</f>
        <v>1</v>
      </c>
      <c r="W560" s="5" t="str">
        <f>IF($A560="","",IF(OR($H560=0,$H560=6),"Weekend","Weekday"))</f>
        <v>Weekday</v>
      </c>
      <c r="X560" s="5" t="str">
        <f>IF($A560="","",TEXT($B560,"ddd"))</f>
        <v>Tue</v>
      </c>
      <c r="Y560" s="5" t="str">
        <f>IF($A560="","",TEXT($B560,"mmm"))</f>
        <v>Jan</v>
      </c>
      <c r="Z560" s="5" t="str">
        <f>IF($A560="","",IFERROR(VLOOKUP($C560,Lookups!$D$4:$E$7,2,FALSE),"Unknown"))</f>
        <v>Winter</v>
      </c>
      <c r="AA560" s="5" t="str">
        <f>IF($A560="","",IFERROR(VLOOKUP($I560,Lookups!$A$4:$B$7,2,FALSE),"Unknown"))</f>
        <v>Mist/Cloudy</v>
      </c>
      <c r="AB560" s="5" t="str">
        <f>IF($A560="","",TEXT($F560,"00")&amp;":00")</f>
        <v>11:00</v>
      </c>
      <c r="AC560" s="5" t="str">
        <f>IF($A560="","",VLOOKUP($F560,Lookups!$G$4:$H$8,2,TRUE))</f>
        <v>Midday (10-15)</v>
      </c>
      <c r="AD560" s="18">
        <f>IF($A560="","",IF($J560="","",ROUND($J560*41,1)))</f>
        <v>9.8</v>
      </c>
      <c r="AE560" s="18">
        <f>IF($A560="","",IF($R560="","",ROUND($R560*50,1)))</f>
        <v>12.1</v>
      </c>
      <c r="AF560" s="5">
        <f>IF($A560="","",IF($L560="","",ROUND($L560*100,0)))</f>
        <v>60</v>
      </c>
      <c r="AG560" s="18">
        <f>IF($A560="","",IF($M560="","",ROUND($M560*67,1)))</f>
        <v>9</v>
      </c>
      <c r="AH560" s="19">
        <f>IF($A560="","",IF($P560="","",IF($P560=0,0,$O560/$P560)))</f>
        <v>0.901639344262295</v>
      </c>
      <c r="AI560" s="5" t="str">
        <f>IF($A560="","",IF($P560="","",IF($P560&gt;=Lookups!$K$7,"High",IF($P560&lt;=Lookups!$K$8,"Low","Medium"))))</f>
        <v>Medium</v>
      </c>
      <c r="AJ560" s="5" t="str">
        <f>IF($A560="","",IF($AD560="","",IF($AD560&lt;5,"Under 5 C",IF($AD560&lt;10,"5-10 C",IF($AD560&lt;15,"10-15 C","15 C and above")))))</f>
        <v>5-10 C</v>
      </c>
      <c r="AK560" s="5">
        <f>IF($A560="","",IF($P560="","",$P560^2))</f>
        <v>3721</v>
      </c>
      <c r="AL560" s="18">
        <f>IF($V560&lt;&gt;1,"",AVERAGEIFS(Clean_Data!$P$2:$P$1001,Clean_Data!$F$2:$F$1001,$F560,Clean_Data!$W$2:$W$1001,$W560,Clean_Data!$V$2:$V$1001,1))</f>
        <v>50.6071428571429</v>
      </c>
      <c r="AM560" s="16">
        <f>IF($V560&lt;&gt;1,"",IFERROR(($P560-$AL560)/SQRT(MAX(0,(SUMIFS(Clean_Data!$AK$2:$AK$1001,Clean_Data!$F$2:$F$1001,$F560,Clean_Data!$W$2:$W$1001,$W560,Clean_Data!$V$2:$V$1001,1)-COUNTIFS(Clean_Data!$F$2:$F$1001,$F560,Clean_Data!$W$2:$W$1001,$W560,Clean_Data!$V$2:$V$1001,1)*$AL560^2)/(COUNTIFS(Clean_Data!$F$2:$F$1001,$F560,Clean_Data!$W$2:$W$1001,$W560,Clean_Data!$V$2:$V$1001,1)-1))),""))</f>
        <v>0.927687386241267</v>
      </c>
      <c r="AN560" s="5" t="str">
        <f>IF($AM560="","",IF($AM560&gt;=Lookups!$K$6,"High spike",IF($AM560&lt;=-Lookups!$K$6,"Unusual low","Normal")))</f>
        <v>Normal</v>
      </c>
      <c r="AO560" s="20">
        <f>IF($V560&lt;&gt;1,"",$P560+ROW()/100000)</f>
        <v>61.0056</v>
      </c>
      <c r="AP560" s="5">
        <f>IF($A560="","",IFERROR(MATCH($A560,Raw_D1!$A$2:$A$1001,0),""))</f>
        <v>559</v>
      </c>
      <c r="AQ560" s="5">
        <f>IF($A560="","",IFERROR(MATCH($A560,Raw_D2!$B$2:$B$1001,0),""))</f>
        <v>559</v>
      </c>
      <c r="AR560" s="5">
        <f>IF($A560="","",IFERROR(MATCH($A560,Raw_D3!$A$2:$A$1001,0),""))</f>
        <v/>
      </c>
    </row>
    <row r="561" spans="1:44" x14ac:dyDescent="0.25">
      <c r="A561" s="5">
        <v>560</v>
      </c>
      <c r="B561" s="11">
        <f>IF($A561="","",IF($AP561&lt;&gt;"",INDEX(Raw_D1!$B$2:$B$1001,$AP561),IF($AR561&lt;&gt;"",INDEX(Raw_D3!$B$2:$B$1001,$AR561),"")))</f>
        <v>40568.0</v>
      </c>
      <c r="C561" s="5">
        <f>IF($A561="","",IF($AP561&lt;&gt;"",INDEX(Raw_D1!$C$2:$C$1001,$AP561),IF($AR561&lt;&gt;"",INDEX(Raw_D3!$C$2:$C$1001,$AR561),"")))</f>
        <v>1</v>
      </c>
      <c r="D561" s="5">
        <f>IF($A561="","",IF($AP561&lt;&gt;"",INDEX(Raw_D1!$D$2:$D$1001,$AP561),IF($AR561&lt;&gt;"",INDEX(Raw_D3!$D$2:$D$1001,$AR561),"")))</f>
        <v>0</v>
      </c>
      <c r="E561" s="5">
        <f>IF($A561="","",IF($AP561&lt;&gt;"",INDEX(Raw_D1!$E$2:$E$1001,$AP561),IF($AR561&lt;&gt;"",INDEX(Raw_D3!$E$2:$E$1001,$AR561),"")))</f>
        <v>1</v>
      </c>
      <c r="F561" s="5">
        <f>IF($A561="","",IF($AP561&lt;&gt;"",INDEX(Raw_D1!$F$2:$F$1001,$AP561),IF($AR561&lt;&gt;"",INDEX(Raw_D3!$F$2:$F$1001,$AR561),"")))</f>
        <v>12</v>
      </c>
      <c r="G561" s="5">
        <f>IF($A561="","",IF($AP561&lt;&gt;"",IF(INDEX(Raw_D1!$G$2:$G$1001,$AP561),1,0),IF($AR561&lt;&gt;"",IF(INDEX(Raw_D3!$G$2:$G$1001,$AR561),1,0),"")))</f>
        <v>0</v>
      </c>
      <c r="H561" s="5">
        <f>IF($A561="","",IF($AP561&lt;&gt;"",INDEX(Raw_D1!$H$2:$H$1001,$AP561),IF($AR561&lt;&gt;"",INDEX(Raw_D3!$H$2:$H$1001,$AR561),"")))</f>
        <v>2</v>
      </c>
      <c r="I561" s="5">
        <f>IF($A561="","",IF($AP561&lt;&gt;"",INDEX(Raw_D1!$I$2:$I$1001,$AP561),IF($AR561&lt;&gt;"",INDEX(Raw_D3!$I$2:$I$1001,$AR561),"")))</f>
        <v>2</v>
      </c>
      <c r="J561" s="16">
        <f>IF($A561="","",IF($AP561&lt;&gt;"",INDEX(Raw_D1!$J$2:$J$1001,$AP561),IF($AR561&lt;&gt;"",INDEX(Raw_D3!$J$2:$J$1001,$AR561),"")))</f>
        <v>0.26</v>
      </c>
      <c r="K561" s="17">
        <f>IF($A561="","",IF($AQ561&lt;&gt;"",IF(INDEX(Raw_D2!$C$2:$C$1001,$AQ561)="","",INDEX(Raw_D2!$C$2:$C$1001,$AQ561)),IF($AR561&lt;&gt;"",IF(INDEX(Raw_D3!$K$2:$K$1001,$AR561)="","",INDEX(Raw_D3!$K$2:$K$1001,$AR561)),"")))</f>
        <v>0.2879</v>
      </c>
      <c r="L561" s="16">
        <f>IF($A561="","",IF($AQ561&lt;&gt;"",IF(INDEX(Raw_D2!$D$2:$D$1001,$AQ561)="","",INDEX(Raw_D2!$D$2:$D$1001,$AQ561)),IF($AR561&lt;&gt;"",IF(INDEX(Raw_D3!$L$2:$L$1001,$AR561)="","",INDEX(Raw_D3!$L$2:$L$1001,$AR561)),"")))</f>
        <v>0.56</v>
      </c>
      <c r="M561" s="17">
        <f>IF($A561="","",IF($AQ561&lt;&gt;"",IF(INDEX(Raw_D2!$E$2:$E$1001,$AQ561)="","",INDEX(Raw_D2!$E$2:$E$1001,$AQ561)),IF($AR561&lt;&gt;"",IF(INDEX(Raw_D3!$M$2:$M$1001,$AR561)="","",INDEX(Raw_D3!$M$2:$M$1001,$AR561)),"")))</f>
        <v>0.0896</v>
      </c>
      <c r="N561" s="5">
        <f>IF($A561="","",IF($AQ561&lt;&gt;"",IF(INDEX(Raw_D2!$F$2:$F$1001,$AQ561)="","",INDEX(Raw_D2!$F$2:$F$1001,$AQ561)),IF($AR561&lt;&gt;"",IF(INDEX(Raw_D3!$N$2:$N$1001,$AR561)="","",INDEX(Raw_D3!$N$2:$N$1001,$AR561)),"")))</f>
        <v>21</v>
      </c>
      <c r="O561" s="5">
        <f>IF($A561="","",IF($AQ561&lt;&gt;"",IF(INDEX(Raw_D2!$G$2:$G$1001,$AQ561)="","",INDEX(Raw_D2!$G$2:$G$1001,$AQ561)),IF($AR561&lt;&gt;"",IF(INDEX(Raw_D3!$O$2:$O$1001,$AR561)="","",INDEX(Raw_D3!$O$2:$O$1001,$AR561)),"")))</f>
        <v>85</v>
      </c>
      <c r="P561" s="5">
        <f>IF($A561="","",IF($AQ561&lt;&gt;"",IF(INDEX(Raw_D2!$H$2:$H$1001,$AQ561)="","",INDEX(Raw_D2!$H$2:$H$1001,$AQ561)),IF($AR561&lt;&gt;"",IF(INDEX(Raw_D3!$P$2:$P$1001,$AR561)="","",INDEX(Raw_D3!$P$2:$P$1001,$AR561)),"")))</f>
        <v>106</v>
      </c>
      <c r="Q561" s="5" t="str">
        <f>IF($A561="","",IF(AND($AP561&lt;&gt;"",$AQ561&lt;&gt;""),"D1+D2",IF($AR561&lt;&gt;"","D3","Incomplete")))</f>
        <v>D1+D2</v>
      </c>
      <c r="R561" s="17">
        <f>IF($A561="","",IF($K561="",IF($J561="","",ROUND(Lookups!$K$5+Lookups!$K$4*$J561,4)),$K561))</f>
        <v>0.2879</v>
      </c>
      <c r="S561" s="5" t="str">
        <f>IF($A561="","",IF($K561="","Imputed","Original"))</f>
        <v>Original</v>
      </c>
      <c r="T561" s="5" t="str">
        <f>IF($A561="","",IF($P561="","Missing",IF($P561=$N561+$O561,"OK","Mismatch")))</f>
        <v>OK</v>
      </c>
      <c r="U561" s="5" t="str">
        <f>IF($A561="","",IF(COUNTIF($A$2:$A561,$A561)&gt;1,"Duplicate","Unique"))</f>
        <v>Unique</v>
      </c>
      <c r="V561" s="5">
        <f>IF($A561="","",IF(AND($U561="Unique",ISNUMBER($P561)),1,0))</f>
        <v>1</v>
      </c>
      <c r="W561" s="5" t="str">
        <f>IF($A561="","",IF(OR($H561=0,$H561=6),"Weekend","Weekday"))</f>
        <v>Weekday</v>
      </c>
      <c r="X561" s="5" t="str">
        <f>IF($A561="","",TEXT($B561,"ddd"))</f>
        <v>Tue</v>
      </c>
      <c r="Y561" s="5" t="str">
        <f>IF($A561="","",TEXT($B561,"mmm"))</f>
        <v>Jan</v>
      </c>
      <c r="Z561" s="5" t="str">
        <f>IF($A561="","",IFERROR(VLOOKUP($C561,Lookups!$D$4:$E$7,2,FALSE),"Unknown"))</f>
        <v>Winter</v>
      </c>
      <c r="AA561" s="5" t="str">
        <f>IF($A561="","",IFERROR(VLOOKUP($I561,Lookups!$A$4:$B$7,2,FALSE),"Unknown"))</f>
        <v>Mist/Cloudy</v>
      </c>
      <c r="AB561" s="5" t="str">
        <f>IF($A561="","",TEXT($F561,"00")&amp;":00")</f>
        <v>12:00</v>
      </c>
      <c r="AC561" s="5" t="str">
        <f>IF($A561="","",VLOOKUP($F561,Lookups!$G$4:$H$8,2,TRUE))</f>
        <v>Midday (10-15)</v>
      </c>
      <c r="AD561" s="18">
        <f>IF($A561="","",IF($J561="","",ROUND($J561*41,1)))</f>
        <v>10.7</v>
      </c>
      <c r="AE561" s="18">
        <f>IF($A561="","",IF($R561="","",ROUND($R561*50,1)))</f>
        <v>14.4</v>
      </c>
      <c r="AF561" s="5">
        <f>IF($A561="","",IF($L561="","",ROUND($L561*100,0)))</f>
        <v>56</v>
      </c>
      <c r="AG561" s="18">
        <f>IF($A561="","",IF($M561="","",ROUND($M561*67,1)))</f>
        <v>6</v>
      </c>
      <c r="AH561" s="19">
        <f>IF($A561="","",IF($P561="","",IF($P561=0,0,$O561/$P561)))</f>
        <v>0.80188679245283</v>
      </c>
      <c r="AI561" s="5" t="str">
        <f>IF($A561="","",IF($P561="","",IF($P561&gt;=Lookups!$K$7,"High",IF($P561&lt;=Lookups!$K$8,"Low","Medium"))))</f>
        <v>High</v>
      </c>
      <c r="AJ561" s="5" t="str">
        <f>IF($A561="","",IF($AD561="","",IF($AD561&lt;5,"Under 5 C",IF($AD561&lt;10,"5-10 C",IF($AD561&lt;15,"10-15 C","15 C and above")))))</f>
        <v>10-15 C</v>
      </c>
      <c r="AK561" s="5">
        <f>IF($A561="","",IF($P561="","",$P561^2))</f>
        <v>11236</v>
      </c>
      <c r="AL561" s="18">
        <f>IF($V561&lt;&gt;1,"",AVERAGEIFS(Clean_Data!$P$2:$P$1001,Clean_Data!$F$2:$F$1001,$F561,Clean_Data!$W$2:$W$1001,$W561,Clean_Data!$V$2:$V$1001,1))</f>
        <v>64.5862068965517</v>
      </c>
      <c r="AM561" s="16">
        <f>IF($V561&lt;&gt;1,"",IFERROR(($P561-$AL561)/SQRT(MAX(0,(SUMIFS(Clean_Data!$AK$2:$AK$1001,Clean_Data!$F$2:$F$1001,$F561,Clean_Data!$W$2:$W$1001,$W561,Clean_Data!$V$2:$V$1001,1)-COUNTIFS(Clean_Data!$F$2:$F$1001,$F561,Clean_Data!$W$2:$W$1001,$W561,Clean_Data!$V$2:$V$1001,1)*$AL561^2)/(COUNTIFS(Clean_Data!$F$2:$F$1001,$F561,Clean_Data!$W$2:$W$1001,$W561,Clean_Data!$V$2:$V$1001,1)-1))),""))</f>
        <v>2.21128849941593</v>
      </c>
      <c r="AN561" s="5" t="str">
        <f>IF($AM561="","",IF($AM561&gt;=Lookups!$K$6,"High spike",IF($AM561&lt;=-Lookups!$K$6,"Unusual low","Normal")))</f>
        <v>Normal</v>
      </c>
      <c r="AO561" s="20">
        <f>IF($V561&lt;&gt;1,"",$P561+ROW()/100000)</f>
        <v>106.00561</v>
      </c>
      <c r="AP561" s="5">
        <f>IF($A561="","",IFERROR(MATCH($A561,Raw_D1!$A$2:$A$1001,0),""))</f>
        <v>560</v>
      </c>
      <c r="AQ561" s="5">
        <f>IF($A561="","",IFERROR(MATCH($A561,Raw_D2!$B$2:$B$1001,0),""))</f>
        <v>560</v>
      </c>
      <c r="AR561" s="5">
        <f>IF($A561="","",IFERROR(MATCH($A561,Raw_D3!$A$2:$A$1001,0),""))</f>
        <v/>
      </c>
    </row>
    <row r="562" spans="1:44" x14ac:dyDescent="0.25">
      <c r="A562" s="5">
        <v>561</v>
      </c>
      <c r="B562" s="11">
        <f>IF($A562="","",IF($AP562&lt;&gt;"",INDEX(Raw_D1!$B$2:$B$1001,$AP562),IF($AR562&lt;&gt;"",INDEX(Raw_D3!$B$2:$B$1001,$AR562),"")))</f>
        <v>40568.0</v>
      </c>
      <c r="C562" s="5">
        <f>IF($A562="","",IF($AP562&lt;&gt;"",INDEX(Raw_D1!$C$2:$C$1001,$AP562),IF($AR562&lt;&gt;"",INDEX(Raw_D3!$C$2:$C$1001,$AR562),"")))</f>
        <v>1</v>
      </c>
      <c r="D562" s="5">
        <f>IF($A562="","",IF($AP562&lt;&gt;"",INDEX(Raw_D1!$D$2:$D$1001,$AP562),IF($AR562&lt;&gt;"",INDEX(Raw_D3!$D$2:$D$1001,$AR562),"")))</f>
        <v>0</v>
      </c>
      <c r="E562" s="5">
        <f>IF($A562="","",IF($AP562&lt;&gt;"",INDEX(Raw_D1!$E$2:$E$1001,$AP562),IF($AR562&lt;&gt;"",INDEX(Raw_D3!$E$2:$E$1001,$AR562),"")))</f>
        <v>1</v>
      </c>
      <c r="F562" s="5">
        <f>IF($A562="","",IF($AP562&lt;&gt;"",INDEX(Raw_D1!$F$2:$F$1001,$AP562),IF($AR562&lt;&gt;"",INDEX(Raw_D3!$F$2:$F$1001,$AR562),"")))</f>
        <v>13</v>
      </c>
      <c r="G562" s="5">
        <f>IF($A562="","",IF($AP562&lt;&gt;"",IF(INDEX(Raw_D1!$G$2:$G$1001,$AP562),1,0),IF($AR562&lt;&gt;"",IF(INDEX(Raw_D3!$G$2:$G$1001,$AR562),1,0),"")))</f>
        <v>0</v>
      </c>
      <c r="H562" s="5">
        <f>IF($A562="","",IF($AP562&lt;&gt;"",INDEX(Raw_D1!$H$2:$H$1001,$AP562),IF($AR562&lt;&gt;"",INDEX(Raw_D3!$H$2:$H$1001,$AR562),"")))</f>
        <v>2</v>
      </c>
      <c r="I562" s="5">
        <f>IF($A562="","",IF($AP562&lt;&gt;"",INDEX(Raw_D1!$I$2:$I$1001,$AP562),IF($AR562&lt;&gt;"",INDEX(Raw_D3!$I$2:$I$1001,$AR562),"")))</f>
        <v>2</v>
      </c>
      <c r="J562" s="16">
        <f>IF($A562="","",IF($AP562&lt;&gt;"",INDEX(Raw_D1!$J$2:$J$1001,$AP562),IF($AR562&lt;&gt;"",INDEX(Raw_D3!$J$2:$J$1001,$AR562),"")))</f>
        <v>0.26</v>
      </c>
      <c r="K562" s="17">
        <f>IF($A562="","",IF($AQ562&lt;&gt;"",IF(INDEX(Raw_D2!$C$2:$C$1001,$AQ562)="","",INDEX(Raw_D2!$C$2:$C$1001,$AQ562)),IF($AR562&lt;&gt;"",IF(INDEX(Raw_D3!$K$2:$K$1001,$AR562)="","",INDEX(Raw_D3!$K$2:$K$1001,$AR562)),"")))</f>
        <v>0.2727</v>
      </c>
      <c r="L562" s="16">
        <f>IF($A562="","",IF($AQ562&lt;&gt;"",IF(INDEX(Raw_D2!$D$2:$D$1001,$AQ562)="","",INDEX(Raw_D2!$D$2:$D$1001,$AQ562)),IF($AR562&lt;&gt;"",IF(INDEX(Raw_D3!$L$2:$L$1001,$AR562)="","",INDEX(Raw_D3!$L$2:$L$1001,$AR562)),"")))</f>
        <v>0.56</v>
      </c>
      <c r="M562" s="17">
        <f>IF($A562="","",IF($AQ562&lt;&gt;"",IF(INDEX(Raw_D2!$E$2:$E$1001,$AQ562)="","",INDEX(Raw_D2!$E$2:$E$1001,$AQ562)),IF($AR562&lt;&gt;"",IF(INDEX(Raw_D3!$M$2:$M$1001,$AR562)="","",INDEX(Raw_D3!$M$2:$M$1001,$AR562)),"")))</f>
        <v>0.1343</v>
      </c>
      <c r="N562" s="5">
        <f>IF($A562="","",IF($AQ562&lt;&gt;"",IF(INDEX(Raw_D2!$F$2:$F$1001,$AQ562)="","",INDEX(Raw_D2!$F$2:$F$1001,$AQ562)),IF($AR562&lt;&gt;"",IF(INDEX(Raw_D3!$N$2:$N$1001,$AR562)="","",INDEX(Raw_D3!$N$2:$N$1001,$AR562)),"")))</f>
        <v>21</v>
      </c>
      <c r="O562" s="5">
        <f>IF($A562="","",IF($AQ562&lt;&gt;"",IF(INDEX(Raw_D2!$G$2:$G$1001,$AQ562)="","",INDEX(Raw_D2!$G$2:$G$1001,$AQ562)),IF($AR562&lt;&gt;"",IF(INDEX(Raw_D3!$O$2:$O$1001,$AR562)="","",INDEX(Raw_D3!$O$2:$O$1001,$AR562)),"")))</f>
        <v>72</v>
      </c>
      <c r="P562" s="5">
        <f>IF($A562="","",IF($AQ562&lt;&gt;"",IF(INDEX(Raw_D2!$H$2:$H$1001,$AQ562)="","",INDEX(Raw_D2!$H$2:$H$1001,$AQ562)),IF($AR562&lt;&gt;"",IF(INDEX(Raw_D3!$P$2:$P$1001,$AR562)="","",INDEX(Raw_D3!$P$2:$P$1001,$AR562)),"")))</f>
        <v>93</v>
      </c>
      <c r="Q562" s="5" t="str">
        <f>IF($A562="","",IF(AND($AP562&lt;&gt;"",$AQ562&lt;&gt;""),"D1+D2",IF($AR562&lt;&gt;"","D3","Incomplete")))</f>
        <v>D1+D2</v>
      </c>
      <c r="R562" s="17">
        <f>IF($A562="","",IF($K562="",IF($J562="","",ROUND(Lookups!$K$5+Lookups!$K$4*$J562,4)),$K562))</f>
        <v>0.2727</v>
      </c>
      <c r="S562" s="5" t="str">
        <f>IF($A562="","",IF($K562="","Imputed","Original"))</f>
        <v>Original</v>
      </c>
      <c r="T562" s="5" t="str">
        <f>IF($A562="","",IF($P562="","Missing",IF($P562=$N562+$O562,"OK","Mismatch")))</f>
        <v>OK</v>
      </c>
      <c r="U562" s="5" t="str">
        <f>IF($A562="","",IF(COUNTIF($A$2:$A562,$A562)&gt;1,"Duplicate","Unique"))</f>
        <v>Unique</v>
      </c>
      <c r="V562" s="5">
        <f>IF($A562="","",IF(AND($U562="Unique",ISNUMBER($P562)),1,0))</f>
        <v>1</v>
      </c>
      <c r="W562" s="5" t="str">
        <f>IF($A562="","",IF(OR($H562=0,$H562=6),"Weekend","Weekday"))</f>
        <v>Weekday</v>
      </c>
      <c r="X562" s="5" t="str">
        <f>IF($A562="","",TEXT($B562,"ddd"))</f>
        <v>Tue</v>
      </c>
      <c r="Y562" s="5" t="str">
        <f>IF($A562="","",TEXT($B562,"mmm"))</f>
        <v>Jan</v>
      </c>
      <c r="Z562" s="5" t="str">
        <f>IF($A562="","",IFERROR(VLOOKUP($C562,Lookups!$D$4:$E$7,2,FALSE),"Unknown"))</f>
        <v>Winter</v>
      </c>
      <c r="AA562" s="5" t="str">
        <f>IF($A562="","",IFERROR(VLOOKUP($I562,Lookups!$A$4:$B$7,2,FALSE),"Unknown"))</f>
        <v>Mist/Cloudy</v>
      </c>
      <c r="AB562" s="5" t="str">
        <f>IF($A562="","",TEXT($F562,"00")&amp;":00")</f>
        <v>13:00</v>
      </c>
      <c r="AC562" s="5" t="str">
        <f>IF($A562="","",VLOOKUP($F562,Lookups!$G$4:$H$8,2,TRUE))</f>
        <v>Midday (10-15)</v>
      </c>
      <c r="AD562" s="18">
        <f>IF($A562="","",IF($J562="","",ROUND($J562*41,1)))</f>
        <v>10.7</v>
      </c>
      <c r="AE562" s="18">
        <f>IF($A562="","",IF($R562="","",ROUND($R562*50,1)))</f>
        <v>13.6</v>
      </c>
      <c r="AF562" s="5">
        <f>IF($A562="","",IF($L562="","",ROUND($L562*100,0)))</f>
        <v>56</v>
      </c>
      <c r="AG562" s="18">
        <f>IF($A562="","",IF($M562="","",ROUND($M562*67,1)))</f>
        <v>9</v>
      </c>
      <c r="AH562" s="19">
        <f>IF($A562="","",IF($P562="","",IF($P562=0,0,$O562/$P562)))</f>
        <v>0.774193548387097</v>
      </c>
      <c r="AI562" s="5" t="str">
        <f>IF($A562="","",IF($P562="","",IF($P562&gt;=Lookups!$K$7,"High",IF($P562&lt;=Lookups!$K$8,"Low","Medium"))))</f>
        <v>High</v>
      </c>
      <c r="AJ562" s="5" t="str">
        <f>IF($A562="","",IF($AD562="","",IF($AD562&lt;5,"Under 5 C",IF($AD562&lt;10,"5-10 C",IF($AD562&lt;15,"10-15 C","15 C and above")))))</f>
        <v>10-15 C</v>
      </c>
      <c r="AK562" s="5">
        <f>IF($A562="","",IF($P562="","",$P562^2))</f>
        <v>8649</v>
      </c>
      <c r="AL562" s="18">
        <f>IF($V562&lt;&gt;1,"",AVERAGEIFS(Clean_Data!$P$2:$P$1001,Clean_Data!$F$2:$F$1001,$F562,Clean_Data!$W$2:$W$1001,$W562,Clean_Data!$V$2:$V$1001,1))</f>
        <v>67.1724137931034</v>
      </c>
      <c r="AM562" s="16">
        <f>IF($V562&lt;&gt;1,"",IFERROR(($P562-$AL562)/SQRT(MAX(0,(SUMIFS(Clean_Data!$AK$2:$AK$1001,Clean_Data!$F$2:$F$1001,$F562,Clean_Data!$W$2:$W$1001,$W562,Clean_Data!$V$2:$V$1001,1)-COUNTIFS(Clean_Data!$F$2:$F$1001,$F562,Clean_Data!$W$2:$W$1001,$W562,Clean_Data!$V$2:$V$1001,1)*$AL562^2)/(COUNTIFS(Clean_Data!$F$2:$F$1001,$F562,Clean_Data!$W$2:$W$1001,$W562,Clean_Data!$V$2:$V$1001,1)-1))),""))</f>
        <v>1.27909626800773</v>
      </c>
      <c r="AN562" s="5" t="str">
        <f>IF($AM562="","",IF($AM562&gt;=Lookups!$K$6,"High spike",IF($AM562&lt;=-Lookups!$K$6,"Unusual low","Normal")))</f>
        <v>Normal</v>
      </c>
      <c r="AO562" s="20">
        <f>IF($V562&lt;&gt;1,"",$P562+ROW()/100000)</f>
        <v>93.00562</v>
      </c>
      <c r="AP562" s="5">
        <f>IF($A562="","",IFERROR(MATCH($A562,Raw_D1!$A$2:$A$1001,0),""))</f>
        <v>561</v>
      </c>
      <c r="AQ562" s="5">
        <f>IF($A562="","",IFERROR(MATCH($A562,Raw_D2!$B$2:$B$1001,0),""))</f>
        <v>561</v>
      </c>
      <c r="AR562" s="5">
        <f>IF($A562="","",IFERROR(MATCH($A562,Raw_D3!$A$2:$A$1001,0),""))</f>
        <v/>
      </c>
    </row>
    <row r="563" spans="1:44" x14ac:dyDescent="0.25">
      <c r="A563" s="5">
        <v>562</v>
      </c>
      <c r="B563" s="11">
        <f>IF($A563="","",IF($AP563&lt;&gt;"",INDEX(Raw_D1!$B$2:$B$1001,$AP563),IF($AR563&lt;&gt;"",INDEX(Raw_D3!$B$2:$B$1001,$AR563),"")))</f>
        <v>40568.0</v>
      </c>
      <c r="C563" s="5">
        <f>IF($A563="","",IF($AP563&lt;&gt;"",INDEX(Raw_D1!$C$2:$C$1001,$AP563),IF($AR563&lt;&gt;"",INDEX(Raw_D3!$C$2:$C$1001,$AR563),"")))</f>
        <v>1</v>
      </c>
      <c r="D563" s="5">
        <f>IF($A563="","",IF($AP563&lt;&gt;"",INDEX(Raw_D1!$D$2:$D$1001,$AP563),IF($AR563&lt;&gt;"",INDEX(Raw_D3!$D$2:$D$1001,$AR563),"")))</f>
        <v>0</v>
      </c>
      <c r="E563" s="5">
        <f>IF($A563="","",IF($AP563&lt;&gt;"",INDEX(Raw_D1!$E$2:$E$1001,$AP563),IF($AR563&lt;&gt;"",INDEX(Raw_D3!$E$2:$E$1001,$AR563),"")))</f>
        <v>1</v>
      </c>
      <c r="F563" s="5">
        <f>IF($A563="","",IF($AP563&lt;&gt;"",INDEX(Raw_D1!$F$2:$F$1001,$AP563),IF($AR563&lt;&gt;"",INDEX(Raw_D3!$F$2:$F$1001,$AR563),"")))</f>
        <v>14</v>
      </c>
      <c r="G563" s="5">
        <f>IF($A563="","",IF($AP563&lt;&gt;"",IF(INDEX(Raw_D1!$G$2:$G$1001,$AP563),1,0),IF($AR563&lt;&gt;"",IF(INDEX(Raw_D3!$G$2:$G$1001,$AR563),1,0),"")))</f>
        <v>0</v>
      </c>
      <c r="H563" s="5">
        <f>IF($A563="","",IF($AP563&lt;&gt;"",INDEX(Raw_D1!$H$2:$H$1001,$AP563),IF($AR563&lt;&gt;"",INDEX(Raw_D3!$H$2:$H$1001,$AR563),"")))</f>
        <v>2</v>
      </c>
      <c r="I563" s="5">
        <f>IF($A563="","",IF($AP563&lt;&gt;"",INDEX(Raw_D1!$I$2:$I$1001,$AP563),IF($AR563&lt;&gt;"",INDEX(Raw_D3!$I$2:$I$1001,$AR563),"")))</f>
        <v>2</v>
      </c>
      <c r="J563" s="16">
        <f>IF($A563="","",IF($AP563&lt;&gt;"",INDEX(Raw_D1!$J$2:$J$1001,$AP563),IF($AR563&lt;&gt;"",INDEX(Raw_D3!$J$2:$J$1001,$AR563),"")))</f>
        <v>0.3</v>
      </c>
      <c r="K563" s="17">
        <f>IF($A563="","",IF($AQ563&lt;&gt;"",IF(INDEX(Raw_D2!$C$2:$C$1001,$AQ563)="","",INDEX(Raw_D2!$C$2:$C$1001,$AQ563)),IF($AR563&lt;&gt;"",IF(INDEX(Raw_D3!$K$2:$K$1001,$AR563)="","",INDEX(Raw_D3!$K$2:$K$1001,$AR563)),"")))</f>
        <v>0.3333</v>
      </c>
      <c r="L563" s="16">
        <f>IF($A563="","",IF($AQ563&lt;&gt;"",IF(INDEX(Raw_D2!$D$2:$D$1001,$AQ563)="","",INDEX(Raw_D2!$D$2:$D$1001,$AQ563)),IF($AR563&lt;&gt;"",IF(INDEX(Raw_D3!$L$2:$L$1001,$AR563)="","",INDEX(Raw_D3!$L$2:$L$1001,$AR563)),"")))</f>
        <v>0.45</v>
      </c>
      <c r="M563" s="17">
        <f>IF($A563="","",IF($AQ563&lt;&gt;"",IF(INDEX(Raw_D2!$E$2:$E$1001,$AQ563)="","",INDEX(Raw_D2!$E$2:$E$1001,$AQ563)),IF($AR563&lt;&gt;"",IF(INDEX(Raw_D3!$M$2:$M$1001,$AR563)="","",INDEX(Raw_D3!$M$2:$M$1001,$AR563)),"")))</f>
        <v>0</v>
      </c>
      <c r="N563" s="5">
        <f>IF($A563="","",IF($AQ563&lt;&gt;"",IF(INDEX(Raw_D2!$F$2:$F$1001,$AQ563)="","",INDEX(Raw_D2!$F$2:$F$1001,$AQ563)),IF($AR563&lt;&gt;"",IF(INDEX(Raw_D3!$N$2:$N$1001,$AR563)="","",INDEX(Raw_D3!$N$2:$N$1001,$AR563)),"")))</f>
        <v>11</v>
      </c>
      <c r="O563" s="5">
        <f>IF($A563="","",IF($AQ563&lt;&gt;"",IF(INDEX(Raw_D2!$G$2:$G$1001,$AQ563)="","",INDEX(Raw_D2!$G$2:$G$1001,$AQ563)),IF($AR563&lt;&gt;"",IF(INDEX(Raw_D3!$O$2:$O$1001,$AR563)="","",INDEX(Raw_D3!$O$2:$O$1001,$AR563)),"")))</f>
        <v>57</v>
      </c>
      <c r="P563" s="5">
        <f>IF($A563="","",IF($AQ563&lt;&gt;"",IF(INDEX(Raw_D2!$H$2:$H$1001,$AQ563)="","",INDEX(Raw_D2!$H$2:$H$1001,$AQ563)),IF($AR563&lt;&gt;"",IF(INDEX(Raw_D3!$P$2:$P$1001,$AR563)="","",INDEX(Raw_D3!$P$2:$P$1001,$AR563)),"")))</f>
        <v>68</v>
      </c>
      <c r="Q563" s="5" t="str">
        <f>IF($A563="","",IF(AND($AP563&lt;&gt;"",$AQ563&lt;&gt;""),"D1+D2",IF($AR563&lt;&gt;"","D3","Incomplete")))</f>
        <v>D1+D2</v>
      </c>
      <c r="R563" s="17">
        <f>IF($A563="","",IF($K563="",IF($J563="","",ROUND(Lookups!$K$5+Lookups!$K$4*$J563,4)),$K563))</f>
        <v>0.3333</v>
      </c>
      <c r="S563" s="5" t="str">
        <f>IF($A563="","",IF($K563="","Imputed","Original"))</f>
        <v>Original</v>
      </c>
      <c r="T563" s="5" t="str">
        <f>IF($A563="","",IF($P563="","Missing",IF($P563=$N563+$O563,"OK","Mismatch")))</f>
        <v>OK</v>
      </c>
      <c r="U563" s="5" t="str">
        <f>IF($A563="","",IF(COUNTIF($A$2:$A563,$A563)&gt;1,"Duplicate","Unique"))</f>
        <v>Unique</v>
      </c>
      <c r="V563" s="5">
        <f>IF($A563="","",IF(AND($U563="Unique",ISNUMBER($P563)),1,0))</f>
        <v>1</v>
      </c>
      <c r="W563" s="5" t="str">
        <f>IF($A563="","",IF(OR($H563=0,$H563=6),"Weekend","Weekday"))</f>
        <v>Weekday</v>
      </c>
      <c r="X563" s="5" t="str">
        <f>IF($A563="","",TEXT($B563,"ddd"))</f>
        <v>Tue</v>
      </c>
      <c r="Y563" s="5" t="str">
        <f>IF($A563="","",TEXT($B563,"mmm"))</f>
        <v>Jan</v>
      </c>
      <c r="Z563" s="5" t="str">
        <f>IF($A563="","",IFERROR(VLOOKUP($C563,Lookups!$D$4:$E$7,2,FALSE),"Unknown"))</f>
        <v>Winter</v>
      </c>
      <c r="AA563" s="5" t="str">
        <f>IF($A563="","",IFERROR(VLOOKUP($I563,Lookups!$A$4:$B$7,2,FALSE),"Unknown"))</f>
        <v>Mist/Cloudy</v>
      </c>
      <c r="AB563" s="5" t="str">
        <f>IF($A563="","",TEXT($F563,"00")&amp;":00")</f>
        <v>14:00</v>
      </c>
      <c r="AC563" s="5" t="str">
        <f>IF($A563="","",VLOOKUP($F563,Lookups!$G$4:$H$8,2,TRUE))</f>
        <v>Midday (10-15)</v>
      </c>
      <c r="AD563" s="18">
        <f>IF($A563="","",IF($J563="","",ROUND($J563*41,1)))</f>
        <v>12.3</v>
      </c>
      <c r="AE563" s="18">
        <f>IF($A563="","",IF($R563="","",ROUND($R563*50,1)))</f>
        <v>16.7</v>
      </c>
      <c r="AF563" s="5">
        <f>IF($A563="","",IF($L563="","",ROUND($L563*100,0)))</f>
        <v>45</v>
      </c>
      <c r="AG563" s="18">
        <f>IF($A563="","",IF($M563="","",ROUND($M563*67,1)))</f>
        <v>0</v>
      </c>
      <c r="AH563" s="19">
        <f>IF($A563="","",IF($P563="","",IF($P563=0,0,$O563/$P563)))</f>
        <v>0.838235294117647</v>
      </c>
      <c r="AI563" s="5" t="str">
        <f>IF($A563="","",IF($P563="","",IF($P563&gt;=Lookups!$K$7,"High",IF($P563&lt;=Lookups!$K$8,"Low","Medium"))))</f>
        <v>Medium</v>
      </c>
      <c r="AJ563" s="5" t="str">
        <f>IF($A563="","",IF($AD563="","",IF($AD563&lt;5,"Under 5 C",IF($AD563&lt;10,"5-10 C",IF($AD563&lt;15,"10-15 C","15 C and above")))))</f>
        <v>10-15 C</v>
      </c>
      <c r="AK563" s="5">
        <f>IF($A563="","",IF($P563="","",$P563^2))</f>
        <v>4624</v>
      </c>
      <c r="AL563" s="18">
        <f>IF($V563&lt;&gt;1,"",AVERAGEIFS(Clean_Data!$P$2:$P$1001,Clean_Data!$F$2:$F$1001,$F563,Clean_Data!$W$2:$W$1001,$W563,Clean_Data!$V$2:$V$1001,1))</f>
        <v>60.551724137931</v>
      </c>
      <c r="AM563" s="16">
        <f>IF($V563&lt;&gt;1,"",IFERROR(($P563-$AL563)/SQRT(MAX(0,(SUMIFS(Clean_Data!$AK$2:$AK$1001,Clean_Data!$F$2:$F$1001,$F563,Clean_Data!$W$2:$W$1001,$W563,Clean_Data!$V$2:$V$1001,1)-COUNTIFS(Clean_Data!$F$2:$F$1001,$F563,Clean_Data!$W$2:$W$1001,$W563,Clean_Data!$V$2:$V$1001,1)*$AL563^2)/(COUNTIFS(Clean_Data!$F$2:$F$1001,$F563,Clean_Data!$W$2:$W$1001,$W563,Clean_Data!$V$2:$V$1001,1)-1))),""))</f>
        <v>0.452773691543783</v>
      </c>
      <c r="AN563" s="5" t="str">
        <f>IF($AM563="","",IF($AM563&gt;=Lookups!$K$6,"High spike",IF($AM563&lt;=-Lookups!$K$6,"Unusual low","Normal")))</f>
        <v>Normal</v>
      </c>
      <c r="AO563" s="20">
        <f>IF($V563&lt;&gt;1,"",$P563+ROW()/100000)</f>
        <v>68.00563</v>
      </c>
      <c r="AP563" s="5">
        <f>IF($A563="","",IFERROR(MATCH($A563,Raw_D1!$A$2:$A$1001,0),""))</f>
        <v>562</v>
      </c>
      <c r="AQ563" s="5">
        <f>IF($A563="","",IFERROR(MATCH($A563,Raw_D2!$B$2:$B$1001,0),""))</f>
        <v>562</v>
      </c>
      <c r="AR563" s="5">
        <f>IF($A563="","",IFERROR(MATCH($A563,Raw_D3!$A$2:$A$1001,0),""))</f>
        <v/>
      </c>
    </row>
    <row r="564" spans="1:44" x14ac:dyDescent="0.25">
      <c r="A564" s="5">
        <v>563</v>
      </c>
      <c r="B564" s="11">
        <f>IF($A564="","",IF($AP564&lt;&gt;"",INDEX(Raw_D1!$B$2:$B$1001,$AP564),IF($AR564&lt;&gt;"",INDEX(Raw_D3!$B$2:$B$1001,$AR564),"")))</f>
        <v>40568.0</v>
      </c>
      <c r="C564" s="5">
        <f>IF($A564="","",IF($AP564&lt;&gt;"",INDEX(Raw_D1!$C$2:$C$1001,$AP564),IF($AR564&lt;&gt;"",INDEX(Raw_D3!$C$2:$C$1001,$AR564),"")))</f>
        <v>1</v>
      </c>
      <c r="D564" s="5">
        <f>IF($A564="","",IF($AP564&lt;&gt;"",INDEX(Raw_D1!$D$2:$D$1001,$AP564),IF($AR564&lt;&gt;"",INDEX(Raw_D3!$D$2:$D$1001,$AR564),"")))</f>
        <v>0</v>
      </c>
      <c r="E564" s="5">
        <f>IF($A564="","",IF($AP564&lt;&gt;"",INDEX(Raw_D1!$E$2:$E$1001,$AP564),IF($AR564&lt;&gt;"",INDEX(Raw_D3!$E$2:$E$1001,$AR564),"")))</f>
        <v>1</v>
      </c>
      <c r="F564" s="5">
        <f>IF($A564="","",IF($AP564&lt;&gt;"",INDEX(Raw_D1!$F$2:$F$1001,$AP564),IF($AR564&lt;&gt;"",INDEX(Raw_D3!$F$2:$F$1001,$AR564),"")))</f>
        <v>15</v>
      </c>
      <c r="G564" s="5">
        <f>IF($A564="","",IF($AP564&lt;&gt;"",IF(INDEX(Raw_D1!$G$2:$G$1001,$AP564),1,0),IF($AR564&lt;&gt;"",IF(INDEX(Raw_D3!$G$2:$G$1001,$AR564),1,0),"")))</f>
        <v>0</v>
      </c>
      <c r="H564" s="5">
        <f>IF($A564="","",IF($AP564&lt;&gt;"",INDEX(Raw_D1!$H$2:$H$1001,$AP564),IF($AR564&lt;&gt;"",INDEX(Raw_D3!$H$2:$H$1001,$AR564),"")))</f>
        <v>2</v>
      </c>
      <c r="I564" s="5">
        <f>IF($A564="","",IF($AP564&lt;&gt;"",INDEX(Raw_D1!$I$2:$I$1001,$AP564),IF($AR564&lt;&gt;"",INDEX(Raw_D3!$I$2:$I$1001,$AR564),"")))</f>
        <v>2</v>
      </c>
      <c r="J564" s="16">
        <f>IF($A564="","",IF($AP564&lt;&gt;"",INDEX(Raw_D1!$J$2:$J$1001,$AP564),IF($AR564&lt;&gt;"",INDEX(Raw_D3!$J$2:$J$1001,$AR564),"")))</f>
        <v>0.32</v>
      </c>
      <c r="K564" s="17">
        <f>IF($A564="","",IF($AQ564&lt;&gt;"",IF(INDEX(Raw_D2!$C$2:$C$1001,$AQ564)="","",INDEX(Raw_D2!$C$2:$C$1001,$AQ564)),IF($AR564&lt;&gt;"",IF(INDEX(Raw_D3!$K$2:$K$1001,$AR564)="","",INDEX(Raw_D3!$K$2:$K$1001,$AR564)),"")))</f>
        <v>0.3485</v>
      </c>
      <c r="L564" s="16">
        <f>IF($A564="","",IF($AQ564&lt;&gt;"",IF(INDEX(Raw_D2!$D$2:$D$1001,$AQ564)="","",INDEX(Raw_D2!$D$2:$D$1001,$AQ564)),IF($AR564&lt;&gt;"",IF(INDEX(Raw_D3!$L$2:$L$1001,$AR564)="","",INDEX(Raw_D3!$L$2:$L$1001,$AR564)),"")))</f>
        <v>0.42</v>
      </c>
      <c r="M564" s="17">
        <f>IF($A564="","",IF($AQ564&lt;&gt;"",IF(INDEX(Raw_D2!$E$2:$E$1001,$AQ564)="","",INDEX(Raw_D2!$E$2:$E$1001,$AQ564)),IF($AR564&lt;&gt;"",IF(INDEX(Raw_D3!$M$2:$M$1001,$AR564)="","",INDEX(Raw_D3!$M$2:$M$1001,$AR564)),"")))</f>
        <v>0</v>
      </c>
      <c r="N564" s="5">
        <f>IF($A564="","",IF($AQ564&lt;&gt;"",IF(INDEX(Raw_D2!$F$2:$F$1001,$AQ564)="","",INDEX(Raw_D2!$F$2:$F$1001,$AQ564)),IF($AR564&lt;&gt;"",IF(INDEX(Raw_D3!$N$2:$N$1001,$AR564)="","",INDEX(Raw_D3!$N$2:$N$1001,$AR564)),"")))</f>
        <v>21</v>
      </c>
      <c r="O564" s="5">
        <f>IF($A564="","",IF($AQ564&lt;&gt;"",IF(INDEX(Raw_D2!$G$2:$G$1001,$AQ564)="","",INDEX(Raw_D2!$G$2:$G$1001,$AQ564)),IF($AR564&lt;&gt;"",IF(INDEX(Raw_D3!$O$2:$O$1001,$AR564)="","",INDEX(Raw_D3!$O$2:$O$1001,$AR564)),"")))</f>
        <v>63</v>
      </c>
      <c r="P564" s="5">
        <f>IF($A564="","",IF($AQ564&lt;&gt;"",IF(INDEX(Raw_D2!$H$2:$H$1001,$AQ564)="","",INDEX(Raw_D2!$H$2:$H$1001,$AQ564)),IF($AR564&lt;&gt;"",IF(INDEX(Raw_D3!$P$2:$P$1001,$AR564)="","",INDEX(Raw_D3!$P$2:$P$1001,$AR564)),"")))</f>
        <v>84</v>
      </c>
      <c r="Q564" s="5" t="str">
        <f>IF($A564="","",IF(AND($AP564&lt;&gt;"",$AQ564&lt;&gt;""),"D1+D2",IF($AR564&lt;&gt;"","D3","Incomplete")))</f>
        <v>D1+D2</v>
      </c>
      <c r="R564" s="17">
        <f>IF($A564="","",IF($K564="",IF($J564="","",ROUND(Lookups!$K$5+Lookups!$K$4*$J564,4)),$K564))</f>
        <v>0.3485</v>
      </c>
      <c r="S564" s="5" t="str">
        <f>IF($A564="","",IF($K564="","Imputed","Original"))</f>
        <v>Original</v>
      </c>
      <c r="T564" s="5" t="str">
        <f>IF($A564="","",IF($P564="","Missing",IF($P564=$N564+$O564,"OK","Mismatch")))</f>
        <v>OK</v>
      </c>
      <c r="U564" s="5" t="str">
        <f>IF($A564="","",IF(COUNTIF($A$2:$A564,$A564)&gt;1,"Duplicate","Unique"))</f>
        <v>Unique</v>
      </c>
      <c r="V564" s="5">
        <f>IF($A564="","",IF(AND($U564="Unique",ISNUMBER($P564)),1,0))</f>
        <v>1</v>
      </c>
      <c r="W564" s="5" t="str">
        <f>IF($A564="","",IF(OR($H564=0,$H564=6),"Weekend","Weekday"))</f>
        <v>Weekday</v>
      </c>
      <c r="X564" s="5" t="str">
        <f>IF($A564="","",TEXT($B564,"ddd"))</f>
        <v>Tue</v>
      </c>
      <c r="Y564" s="5" t="str">
        <f>IF($A564="","",TEXT($B564,"mmm"))</f>
        <v>Jan</v>
      </c>
      <c r="Z564" s="5" t="str">
        <f>IF($A564="","",IFERROR(VLOOKUP($C564,Lookups!$D$4:$E$7,2,FALSE),"Unknown"))</f>
        <v>Winter</v>
      </c>
      <c r="AA564" s="5" t="str">
        <f>IF($A564="","",IFERROR(VLOOKUP($I564,Lookups!$A$4:$B$7,2,FALSE),"Unknown"))</f>
        <v>Mist/Cloudy</v>
      </c>
      <c r="AB564" s="5" t="str">
        <f>IF($A564="","",TEXT($F564,"00")&amp;":00")</f>
        <v>15:00</v>
      </c>
      <c r="AC564" s="5" t="str">
        <f>IF($A564="","",VLOOKUP($F564,Lookups!$G$4:$H$8,2,TRUE))</f>
        <v>Midday (10-15)</v>
      </c>
      <c r="AD564" s="18">
        <f>IF($A564="","",IF($J564="","",ROUND($J564*41,1)))</f>
        <v>13.1</v>
      </c>
      <c r="AE564" s="18">
        <f>IF($A564="","",IF($R564="","",ROUND($R564*50,1)))</f>
        <v>17.4</v>
      </c>
      <c r="AF564" s="5">
        <f>IF($A564="","",IF($L564="","",ROUND($L564*100,0)))</f>
        <v>42</v>
      </c>
      <c r="AG564" s="18">
        <f>IF($A564="","",IF($M564="","",ROUND($M564*67,1)))</f>
        <v>0</v>
      </c>
      <c r="AH564" s="19">
        <f>IF($A564="","",IF($P564="","",IF($P564=0,0,$O564/$P564)))</f>
        <v>0.75</v>
      </c>
      <c r="AI564" s="5" t="str">
        <f>IF($A564="","",IF($P564="","",IF($P564&gt;=Lookups!$K$7,"High",IF($P564&lt;=Lookups!$K$8,"Low","Medium"))))</f>
        <v>High</v>
      </c>
      <c r="AJ564" s="5" t="str">
        <f>IF($A564="","",IF($AD564="","",IF($AD564&lt;5,"Under 5 C",IF($AD564&lt;10,"5-10 C",IF($AD564&lt;15,"10-15 C","15 C and above")))))</f>
        <v>10-15 C</v>
      </c>
      <c r="AK564" s="5">
        <f>IF($A564="","",IF($P564="","",$P564^2))</f>
        <v>7056</v>
      </c>
      <c r="AL564" s="18">
        <f>IF($V564&lt;&gt;1,"",AVERAGEIFS(Clean_Data!$P$2:$P$1001,Clean_Data!$F$2:$F$1001,$F564,Clean_Data!$W$2:$W$1001,$W564,Clean_Data!$V$2:$V$1001,1))</f>
        <v>61.4827586206897</v>
      </c>
      <c r="AM564" s="16">
        <f>IF($V564&lt;&gt;1,"",IFERROR(($P564-$AL564)/SQRT(MAX(0,(SUMIFS(Clean_Data!$AK$2:$AK$1001,Clean_Data!$F$2:$F$1001,$F564,Clean_Data!$W$2:$W$1001,$W564,Clean_Data!$V$2:$V$1001,1)-COUNTIFS(Clean_Data!$F$2:$F$1001,$F564,Clean_Data!$W$2:$W$1001,$W564,Clean_Data!$V$2:$V$1001,1)*$AL564^2)/(COUNTIFS(Clean_Data!$F$2:$F$1001,$F564,Clean_Data!$W$2:$W$1001,$W564,Clean_Data!$V$2:$V$1001,1)-1))),""))</f>
        <v>1.49367117541241</v>
      </c>
      <c r="AN564" s="5" t="str">
        <f>IF($AM564="","",IF($AM564&gt;=Lookups!$K$6,"High spike",IF($AM564&lt;=-Lookups!$K$6,"Unusual low","Normal")))</f>
        <v>Normal</v>
      </c>
      <c r="AO564" s="20">
        <f>IF($V564&lt;&gt;1,"",$P564+ROW()/100000)</f>
        <v>84.00564</v>
      </c>
      <c r="AP564" s="5">
        <f>IF($A564="","",IFERROR(MATCH($A564,Raw_D1!$A$2:$A$1001,0),""))</f>
        <v>563</v>
      </c>
      <c r="AQ564" s="5">
        <f>IF($A564="","",IFERROR(MATCH($A564,Raw_D2!$B$2:$B$1001,0),""))</f>
        <v>563</v>
      </c>
      <c r="AR564" s="5">
        <f>IF($A564="","",IFERROR(MATCH($A564,Raw_D3!$A$2:$A$1001,0),""))</f>
        <v/>
      </c>
    </row>
    <row r="565" spans="1:44" x14ac:dyDescent="0.25">
      <c r="A565" s="5">
        <v>564</v>
      </c>
      <c r="B565" s="11">
        <f>IF($A565="","",IF($AP565&lt;&gt;"",INDEX(Raw_D1!$B$2:$B$1001,$AP565),IF($AR565&lt;&gt;"",INDEX(Raw_D3!$B$2:$B$1001,$AR565),"")))</f>
        <v>40568.0</v>
      </c>
      <c r="C565" s="5">
        <f>IF($A565="","",IF($AP565&lt;&gt;"",INDEX(Raw_D1!$C$2:$C$1001,$AP565),IF($AR565&lt;&gt;"",INDEX(Raw_D3!$C$2:$C$1001,$AR565),"")))</f>
        <v>1</v>
      </c>
      <c r="D565" s="5">
        <f>IF($A565="","",IF($AP565&lt;&gt;"",INDEX(Raw_D1!$D$2:$D$1001,$AP565),IF($AR565&lt;&gt;"",INDEX(Raw_D3!$D$2:$D$1001,$AR565),"")))</f>
        <v>0</v>
      </c>
      <c r="E565" s="5">
        <f>IF($A565="","",IF($AP565&lt;&gt;"",INDEX(Raw_D1!$E$2:$E$1001,$AP565),IF($AR565&lt;&gt;"",INDEX(Raw_D3!$E$2:$E$1001,$AR565),"")))</f>
        <v>1</v>
      </c>
      <c r="F565" s="5">
        <f>IF($A565="","",IF($AP565&lt;&gt;"",INDEX(Raw_D1!$F$2:$F$1001,$AP565),IF($AR565&lt;&gt;"",INDEX(Raw_D3!$F$2:$F$1001,$AR565),"")))</f>
        <v>16</v>
      </c>
      <c r="G565" s="5">
        <f>IF($A565="","",IF($AP565&lt;&gt;"",IF(INDEX(Raw_D1!$G$2:$G$1001,$AP565),1,0),IF($AR565&lt;&gt;"",IF(INDEX(Raw_D3!$G$2:$G$1001,$AR565),1,0),"")))</f>
        <v>0</v>
      </c>
      <c r="H565" s="5">
        <f>IF($A565="","",IF($AP565&lt;&gt;"",INDEX(Raw_D1!$H$2:$H$1001,$AP565),IF($AR565&lt;&gt;"",INDEX(Raw_D3!$H$2:$H$1001,$AR565),"")))</f>
        <v>2</v>
      </c>
      <c r="I565" s="5">
        <f>IF($A565="","",IF($AP565&lt;&gt;"",INDEX(Raw_D1!$I$2:$I$1001,$AP565),IF($AR565&lt;&gt;"",INDEX(Raw_D3!$I$2:$I$1001,$AR565),"")))</f>
        <v>2</v>
      </c>
      <c r="J565" s="16">
        <f>IF($A565="","",IF($AP565&lt;&gt;"",INDEX(Raw_D1!$J$2:$J$1001,$AP565),IF($AR565&lt;&gt;"",INDEX(Raw_D3!$J$2:$J$1001,$AR565),"")))</f>
        <v>0.32</v>
      </c>
      <c r="K565" s="17">
        <f>IF($A565="","",IF($AQ565&lt;&gt;"",IF(INDEX(Raw_D2!$C$2:$C$1001,$AQ565)="","",INDEX(Raw_D2!$C$2:$C$1001,$AQ565)),IF($AR565&lt;&gt;"",IF(INDEX(Raw_D3!$K$2:$K$1001,$AR565)="","",INDEX(Raw_D3!$K$2:$K$1001,$AR565)),"")))</f>
        <v>0.3485</v>
      </c>
      <c r="L565" s="16">
        <f>IF($A565="","",IF($AQ565&lt;&gt;"",IF(INDEX(Raw_D2!$D$2:$D$1001,$AQ565)="","",INDEX(Raw_D2!$D$2:$D$1001,$AQ565)),IF($AR565&lt;&gt;"",IF(INDEX(Raw_D3!$L$2:$L$1001,$AR565)="","",INDEX(Raw_D3!$L$2:$L$1001,$AR565)),"")))</f>
        <v>0.42</v>
      </c>
      <c r="M565" s="17">
        <f>IF($A565="","",IF($AQ565&lt;&gt;"",IF(INDEX(Raw_D2!$E$2:$E$1001,$AQ565)="","",INDEX(Raw_D2!$E$2:$E$1001,$AQ565)),IF($AR565&lt;&gt;"",IF(INDEX(Raw_D3!$M$2:$M$1001,$AR565)="","",INDEX(Raw_D3!$M$2:$M$1001,$AR565)),"")))</f>
        <v>0</v>
      </c>
      <c r="N565" s="5">
        <f>IF($A565="","",IF($AQ565&lt;&gt;"",IF(INDEX(Raw_D2!$F$2:$F$1001,$AQ565)="","",INDEX(Raw_D2!$F$2:$F$1001,$AQ565)),IF($AR565&lt;&gt;"",IF(INDEX(Raw_D3!$N$2:$N$1001,$AR565)="","",INDEX(Raw_D3!$N$2:$N$1001,$AR565)),"")))</f>
        <v>14</v>
      </c>
      <c r="O565" s="5">
        <f>IF($A565="","",IF($AQ565&lt;&gt;"",IF(INDEX(Raw_D2!$G$2:$G$1001,$AQ565)="","",INDEX(Raw_D2!$G$2:$G$1001,$AQ565)),IF($AR565&lt;&gt;"",IF(INDEX(Raw_D3!$O$2:$O$1001,$AR565)="","",INDEX(Raw_D3!$O$2:$O$1001,$AR565)),"")))</f>
        <v>102</v>
      </c>
      <c r="P565" s="5">
        <f>IF($A565="","",IF($AQ565&lt;&gt;"",IF(INDEX(Raw_D2!$H$2:$H$1001,$AQ565)="","",INDEX(Raw_D2!$H$2:$H$1001,$AQ565)),IF($AR565&lt;&gt;"",IF(INDEX(Raw_D3!$P$2:$P$1001,$AR565)="","",INDEX(Raw_D3!$P$2:$P$1001,$AR565)),"")))</f>
        <v>116</v>
      </c>
      <c r="Q565" s="5" t="str">
        <f>IF($A565="","",IF(AND($AP565&lt;&gt;"",$AQ565&lt;&gt;""),"D1+D2",IF($AR565&lt;&gt;"","D3","Incomplete")))</f>
        <v>D1+D2</v>
      </c>
      <c r="R565" s="17">
        <f>IF($A565="","",IF($K565="",IF($J565="","",ROUND(Lookups!$K$5+Lookups!$K$4*$J565,4)),$K565))</f>
        <v>0.3485</v>
      </c>
      <c r="S565" s="5" t="str">
        <f>IF($A565="","",IF($K565="","Imputed","Original"))</f>
        <v>Original</v>
      </c>
      <c r="T565" s="5" t="str">
        <f>IF($A565="","",IF($P565="","Missing",IF($P565=$N565+$O565,"OK","Mismatch")))</f>
        <v>OK</v>
      </c>
      <c r="U565" s="5" t="str">
        <f>IF($A565="","",IF(COUNTIF($A$2:$A565,$A565)&gt;1,"Duplicate","Unique"))</f>
        <v>Unique</v>
      </c>
      <c r="V565" s="5">
        <f>IF($A565="","",IF(AND($U565="Unique",ISNUMBER($P565)),1,0))</f>
        <v>1</v>
      </c>
      <c r="W565" s="5" t="str">
        <f>IF($A565="","",IF(OR($H565=0,$H565=6),"Weekend","Weekday"))</f>
        <v>Weekday</v>
      </c>
      <c r="X565" s="5" t="str">
        <f>IF($A565="","",TEXT($B565,"ddd"))</f>
        <v>Tue</v>
      </c>
      <c r="Y565" s="5" t="str">
        <f>IF($A565="","",TEXT($B565,"mmm"))</f>
        <v>Jan</v>
      </c>
      <c r="Z565" s="5" t="str">
        <f>IF($A565="","",IFERROR(VLOOKUP($C565,Lookups!$D$4:$E$7,2,FALSE),"Unknown"))</f>
        <v>Winter</v>
      </c>
      <c r="AA565" s="5" t="str">
        <f>IF($A565="","",IFERROR(VLOOKUP($I565,Lookups!$A$4:$B$7,2,FALSE),"Unknown"))</f>
        <v>Mist/Cloudy</v>
      </c>
      <c r="AB565" s="5" t="str">
        <f>IF($A565="","",TEXT($F565,"00")&amp;":00")</f>
        <v>16:00</v>
      </c>
      <c r="AC565" s="5" t="str">
        <f>IF($A565="","",VLOOKUP($F565,Lookups!$G$4:$H$8,2,TRUE))</f>
        <v>Evening Peak (16-19)</v>
      </c>
      <c r="AD565" s="18">
        <f>IF($A565="","",IF($J565="","",ROUND($J565*41,1)))</f>
        <v>13.1</v>
      </c>
      <c r="AE565" s="18">
        <f>IF($A565="","",IF($R565="","",ROUND($R565*50,1)))</f>
        <v>17.4</v>
      </c>
      <c r="AF565" s="5">
        <f>IF($A565="","",IF($L565="","",ROUND($L565*100,0)))</f>
        <v>42</v>
      </c>
      <c r="AG565" s="18">
        <f>IF($A565="","",IF($M565="","",ROUND($M565*67,1)))</f>
        <v>0</v>
      </c>
      <c r="AH565" s="19">
        <f>IF($A565="","",IF($P565="","",IF($P565=0,0,$O565/$P565)))</f>
        <v>0.879310344827586</v>
      </c>
      <c r="AI565" s="5" t="str">
        <f>IF($A565="","",IF($P565="","",IF($P565&gt;=Lookups!$K$7,"High",IF($P565&lt;=Lookups!$K$8,"Low","Medium"))))</f>
        <v>High</v>
      </c>
      <c r="AJ565" s="5" t="str">
        <f>IF($A565="","",IF($AD565="","",IF($AD565&lt;5,"Under 5 C",IF($AD565&lt;10,"5-10 C",IF($AD565&lt;15,"10-15 C","15 C and above")))))</f>
        <v>10-15 C</v>
      </c>
      <c r="AK565" s="5">
        <f>IF($A565="","",IF($P565="","",$P565^2))</f>
        <v>13456</v>
      </c>
      <c r="AL565" s="18">
        <f>IF($V565&lt;&gt;1,"",AVERAGEIFS(Clean_Data!$P$2:$P$1001,Clean_Data!$F$2:$F$1001,$F565,Clean_Data!$W$2:$W$1001,$W565,Clean_Data!$V$2:$V$1001,1))</f>
        <v>82.6333333333333</v>
      </c>
      <c r="AM565" s="16">
        <f>IF($V565&lt;&gt;1,"",IFERROR(($P565-$AL565)/SQRT(MAX(0,(SUMIFS(Clean_Data!$AK$2:$AK$1001,Clean_Data!$F$2:$F$1001,$F565,Clean_Data!$W$2:$W$1001,$W565,Clean_Data!$V$2:$V$1001,1)-COUNTIFS(Clean_Data!$F$2:$F$1001,$F565,Clean_Data!$W$2:$W$1001,$W565,Clean_Data!$V$2:$V$1001,1)*$AL565^2)/(COUNTIFS(Clean_Data!$F$2:$F$1001,$F565,Clean_Data!$W$2:$W$1001,$W565,Clean_Data!$V$2:$V$1001,1)-1))),""))</f>
        <v>1.60850534871264</v>
      </c>
      <c r="AN565" s="5" t="str">
        <f>IF($AM565="","",IF($AM565&gt;=Lookups!$K$6,"High spike",IF($AM565&lt;=-Lookups!$K$6,"Unusual low","Normal")))</f>
        <v>Normal</v>
      </c>
      <c r="AO565" s="20">
        <f>IF($V565&lt;&gt;1,"",$P565+ROW()/100000)</f>
        <v>116.00565</v>
      </c>
      <c r="AP565" s="5">
        <f>IF($A565="","",IFERROR(MATCH($A565,Raw_D1!$A$2:$A$1001,0),""))</f>
        <v>564</v>
      </c>
      <c r="AQ565" s="5">
        <f>IF($A565="","",IFERROR(MATCH($A565,Raw_D2!$B$2:$B$1001,0),""))</f>
        <v>564</v>
      </c>
      <c r="AR565" s="5">
        <f>IF($A565="","",IFERROR(MATCH($A565,Raw_D3!$A$2:$A$1001,0),""))</f>
        <v/>
      </c>
    </row>
    <row r="566" spans="1:44" x14ac:dyDescent="0.25">
      <c r="A566" s="5">
        <v>565</v>
      </c>
      <c r="B566" s="11">
        <f>IF($A566="","",IF($AP566&lt;&gt;"",INDEX(Raw_D1!$B$2:$B$1001,$AP566),IF($AR566&lt;&gt;"",INDEX(Raw_D3!$B$2:$B$1001,$AR566),"")))</f>
        <v>40568.0</v>
      </c>
      <c r="C566" s="5">
        <f>IF($A566="","",IF($AP566&lt;&gt;"",INDEX(Raw_D1!$C$2:$C$1001,$AP566),IF($AR566&lt;&gt;"",INDEX(Raw_D3!$C$2:$C$1001,$AR566),"")))</f>
        <v>1</v>
      </c>
      <c r="D566" s="5">
        <f>IF($A566="","",IF($AP566&lt;&gt;"",INDEX(Raw_D1!$D$2:$D$1001,$AP566),IF($AR566&lt;&gt;"",INDEX(Raw_D3!$D$2:$D$1001,$AR566),"")))</f>
        <v>0</v>
      </c>
      <c r="E566" s="5">
        <f>IF($A566="","",IF($AP566&lt;&gt;"",INDEX(Raw_D1!$E$2:$E$1001,$AP566),IF($AR566&lt;&gt;"",INDEX(Raw_D3!$E$2:$E$1001,$AR566),"")))</f>
        <v>1</v>
      </c>
      <c r="F566" s="5">
        <f>IF($A566="","",IF($AP566&lt;&gt;"",INDEX(Raw_D1!$F$2:$F$1001,$AP566),IF($AR566&lt;&gt;"",INDEX(Raw_D3!$F$2:$F$1001,$AR566),"")))</f>
        <v>17</v>
      </c>
      <c r="G566" s="5">
        <f>IF($A566="","",IF($AP566&lt;&gt;"",IF(INDEX(Raw_D1!$G$2:$G$1001,$AP566),1,0),IF($AR566&lt;&gt;"",IF(INDEX(Raw_D3!$G$2:$G$1001,$AR566),1,0),"")))</f>
        <v>0</v>
      </c>
      <c r="H566" s="5">
        <f>IF($A566="","",IF($AP566&lt;&gt;"",INDEX(Raw_D1!$H$2:$H$1001,$AP566),IF($AR566&lt;&gt;"",INDEX(Raw_D3!$H$2:$H$1001,$AR566),"")))</f>
        <v>2</v>
      </c>
      <c r="I566" s="5">
        <f>IF($A566="","",IF($AP566&lt;&gt;"",INDEX(Raw_D1!$I$2:$I$1001,$AP566),IF($AR566&lt;&gt;"",INDEX(Raw_D3!$I$2:$I$1001,$AR566),"")))</f>
        <v>1</v>
      </c>
      <c r="J566" s="16">
        <f>IF($A566="","",IF($AP566&lt;&gt;"",INDEX(Raw_D1!$J$2:$J$1001,$AP566),IF($AR566&lt;&gt;"",INDEX(Raw_D3!$J$2:$J$1001,$AR566),"")))</f>
        <v>0.3</v>
      </c>
      <c r="K566" s="17">
        <f>IF($A566="","",IF($AQ566&lt;&gt;"",IF(INDEX(Raw_D2!$C$2:$C$1001,$AQ566)="","",INDEX(Raw_D2!$C$2:$C$1001,$AQ566)),IF($AR566&lt;&gt;"",IF(INDEX(Raw_D3!$K$2:$K$1001,$AR566)="","",INDEX(Raw_D3!$K$2:$K$1001,$AR566)),"")))</f>
        <v>0.3333</v>
      </c>
      <c r="L566" s="16">
        <f>IF($A566="","",IF($AQ566&lt;&gt;"",IF(INDEX(Raw_D2!$D$2:$D$1001,$AQ566)="","",INDEX(Raw_D2!$D$2:$D$1001,$AQ566)),IF($AR566&lt;&gt;"",IF(INDEX(Raw_D3!$L$2:$L$1001,$AR566)="","",INDEX(Raw_D3!$L$2:$L$1001,$AR566)),"")))</f>
        <v>0.45</v>
      </c>
      <c r="M566" s="17">
        <f>IF($A566="","",IF($AQ566&lt;&gt;"",IF(INDEX(Raw_D2!$E$2:$E$1001,$AQ566)="","",INDEX(Raw_D2!$E$2:$E$1001,$AQ566)),IF($AR566&lt;&gt;"",IF(INDEX(Raw_D3!$M$2:$M$1001,$AR566)="","",INDEX(Raw_D3!$M$2:$M$1001,$AR566)),"")))</f>
        <v>0</v>
      </c>
      <c r="N566" s="5">
        <f>IF($A566="","",IF($AQ566&lt;&gt;"",IF(INDEX(Raw_D2!$F$2:$F$1001,$AQ566)="","",INDEX(Raw_D2!$F$2:$F$1001,$AQ566)),IF($AR566&lt;&gt;"",IF(INDEX(Raw_D3!$N$2:$N$1001,$AR566)="","",INDEX(Raw_D3!$N$2:$N$1001,$AR566)),"")))</f>
        <v>14</v>
      </c>
      <c r="O566" s="5">
        <f>IF($A566="","",IF($AQ566&lt;&gt;"",IF(INDEX(Raw_D2!$G$2:$G$1001,$AQ566)="","",INDEX(Raw_D2!$G$2:$G$1001,$AQ566)),IF($AR566&lt;&gt;"",IF(INDEX(Raw_D3!$O$2:$O$1001,$AR566)="","",INDEX(Raw_D3!$O$2:$O$1001,$AR566)),"")))</f>
        <v>208</v>
      </c>
      <c r="P566" s="5">
        <f>IF($A566="","",IF($AQ566&lt;&gt;"",IF(INDEX(Raw_D2!$H$2:$H$1001,$AQ566)="","",INDEX(Raw_D2!$H$2:$H$1001,$AQ566)),IF($AR566&lt;&gt;"",IF(INDEX(Raw_D3!$P$2:$P$1001,$AR566)="","",INDEX(Raw_D3!$P$2:$P$1001,$AR566)),"")))</f>
        <v>222</v>
      </c>
      <c r="Q566" s="5" t="str">
        <f>IF($A566="","",IF(AND($AP566&lt;&gt;"",$AQ566&lt;&gt;""),"D1+D2",IF($AR566&lt;&gt;"","D3","Incomplete")))</f>
        <v>D1+D2</v>
      </c>
      <c r="R566" s="17">
        <f>IF($A566="","",IF($K566="",IF($J566="","",ROUND(Lookups!$K$5+Lookups!$K$4*$J566,4)),$K566))</f>
        <v>0.3333</v>
      </c>
      <c r="S566" s="5" t="str">
        <f>IF($A566="","",IF($K566="","Imputed","Original"))</f>
        <v>Original</v>
      </c>
      <c r="T566" s="5" t="str">
        <f>IF($A566="","",IF($P566="","Missing",IF($P566=$N566+$O566,"OK","Mismatch")))</f>
        <v>OK</v>
      </c>
      <c r="U566" s="5" t="str">
        <f>IF($A566="","",IF(COUNTIF($A$2:$A566,$A566)&gt;1,"Duplicate","Unique"))</f>
        <v>Unique</v>
      </c>
      <c r="V566" s="5">
        <f>IF($A566="","",IF(AND($U566="Unique",ISNUMBER($P566)),1,0))</f>
        <v>1</v>
      </c>
      <c r="W566" s="5" t="str">
        <f>IF($A566="","",IF(OR($H566=0,$H566=6),"Weekend","Weekday"))</f>
        <v>Weekday</v>
      </c>
      <c r="X566" s="5" t="str">
        <f>IF($A566="","",TEXT($B566,"ddd"))</f>
        <v>Tue</v>
      </c>
      <c r="Y566" s="5" t="str">
        <f>IF($A566="","",TEXT($B566,"mmm"))</f>
        <v>Jan</v>
      </c>
      <c r="Z566" s="5" t="str">
        <f>IF($A566="","",IFERROR(VLOOKUP($C566,Lookups!$D$4:$E$7,2,FALSE),"Unknown"))</f>
        <v>Winter</v>
      </c>
      <c r="AA566" s="5" t="str">
        <f>IF($A566="","",IFERROR(VLOOKUP($I566,Lookups!$A$4:$B$7,2,FALSE),"Unknown"))</f>
        <v>Clear</v>
      </c>
      <c r="AB566" s="5" t="str">
        <f>IF($A566="","",TEXT($F566,"00")&amp;":00")</f>
        <v>17:00</v>
      </c>
      <c r="AC566" s="5" t="str">
        <f>IF($A566="","",VLOOKUP($F566,Lookups!$G$4:$H$8,2,TRUE))</f>
        <v>Evening Peak (16-19)</v>
      </c>
      <c r="AD566" s="18">
        <f>IF($A566="","",IF($J566="","",ROUND($J566*41,1)))</f>
        <v>12.3</v>
      </c>
      <c r="AE566" s="18">
        <f>IF($A566="","",IF($R566="","",ROUND($R566*50,1)))</f>
        <v>16.7</v>
      </c>
      <c r="AF566" s="5">
        <f>IF($A566="","",IF($L566="","",ROUND($L566*100,0)))</f>
        <v>45</v>
      </c>
      <c r="AG566" s="18">
        <f>IF($A566="","",IF($M566="","",ROUND($M566*67,1)))</f>
        <v>0</v>
      </c>
      <c r="AH566" s="19">
        <f>IF($A566="","",IF($P566="","",IF($P566=0,0,$O566/$P566)))</f>
        <v>0.936936936936937</v>
      </c>
      <c r="AI566" s="5" t="str">
        <f>IF($A566="","",IF($P566="","",IF($P566&gt;=Lookups!$K$7,"High",IF($P566&lt;=Lookups!$K$8,"Low","Medium"))))</f>
        <v>High</v>
      </c>
      <c r="AJ566" s="5" t="str">
        <f>IF($A566="","",IF($AD566="","",IF($AD566&lt;5,"Under 5 C",IF($AD566&lt;10,"5-10 C",IF($AD566&lt;15,"10-15 C","15 C and above")))))</f>
        <v>10-15 C</v>
      </c>
      <c r="AK566" s="5">
        <f>IF($A566="","",IF($P566="","",$P566^2))</f>
        <v>49284</v>
      </c>
      <c r="AL566" s="18">
        <f>IF($V566&lt;&gt;1,"",AVERAGEIFS(Clean_Data!$P$2:$P$1001,Clean_Data!$F$2:$F$1001,$F566,Clean_Data!$W$2:$W$1001,$W566,Clean_Data!$V$2:$V$1001,1))</f>
        <v>165.566666666667</v>
      </c>
      <c r="AM566" s="16">
        <f>IF($V566&lt;&gt;1,"",IFERROR(($P566-$AL566)/SQRT(MAX(0,(SUMIFS(Clean_Data!$AK$2:$AK$1001,Clean_Data!$F$2:$F$1001,$F566,Clean_Data!$W$2:$W$1001,$W566,Clean_Data!$V$2:$V$1001,1)-COUNTIFS(Clean_Data!$F$2:$F$1001,$F566,Clean_Data!$W$2:$W$1001,$W566,Clean_Data!$V$2:$V$1001,1)*$AL566^2)/(COUNTIFS(Clean_Data!$F$2:$F$1001,$F566,Clean_Data!$W$2:$W$1001,$W566,Clean_Data!$V$2:$V$1001,1)-1))),""))</f>
        <v>1.28219480669828</v>
      </c>
      <c r="AN566" s="5" t="str">
        <f>IF($AM566="","",IF($AM566&gt;=Lookups!$K$6,"High spike",IF($AM566&lt;=-Lookups!$K$6,"Unusual low","Normal")))</f>
        <v>Normal</v>
      </c>
      <c r="AO566" s="20">
        <f>IF($V566&lt;&gt;1,"",$P566+ROW()/100000)</f>
        <v>222.00566</v>
      </c>
      <c r="AP566" s="5">
        <f>IF($A566="","",IFERROR(MATCH($A566,Raw_D1!$A$2:$A$1001,0),""))</f>
        <v>565</v>
      </c>
      <c r="AQ566" s="5">
        <f>IF($A566="","",IFERROR(MATCH($A566,Raw_D2!$B$2:$B$1001,0),""))</f>
        <v>565</v>
      </c>
      <c r="AR566" s="5">
        <f>IF($A566="","",IFERROR(MATCH($A566,Raw_D3!$A$2:$A$1001,0),""))</f>
        <v/>
      </c>
    </row>
    <row r="567" spans="1:44" x14ac:dyDescent="0.25">
      <c r="A567" s="5">
        <v>566</v>
      </c>
      <c r="B567" s="11">
        <f>IF($A567="","",IF($AP567&lt;&gt;"",INDEX(Raw_D1!$B$2:$B$1001,$AP567),IF($AR567&lt;&gt;"",INDEX(Raw_D3!$B$2:$B$1001,$AR567),"")))</f>
        <v>40568.0</v>
      </c>
      <c r="C567" s="5">
        <f>IF($A567="","",IF($AP567&lt;&gt;"",INDEX(Raw_D1!$C$2:$C$1001,$AP567),IF($AR567&lt;&gt;"",INDEX(Raw_D3!$C$2:$C$1001,$AR567),"")))</f>
        <v>1</v>
      </c>
      <c r="D567" s="5">
        <f>IF($A567="","",IF($AP567&lt;&gt;"",INDEX(Raw_D1!$D$2:$D$1001,$AP567),IF($AR567&lt;&gt;"",INDEX(Raw_D3!$D$2:$D$1001,$AR567),"")))</f>
        <v>0</v>
      </c>
      <c r="E567" s="5">
        <f>IF($A567="","",IF($AP567&lt;&gt;"",INDEX(Raw_D1!$E$2:$E$1001,$AP567),IF($AR567&lt;&gt;"",INDEX(Raw_D3!$E$2:$E$1001,$AR567),"")))</f>
        <v>1</v>
      </c>
      <c r="F567" s="5">
        <f>IF($A567="","",IF($AP567&lt;&gt;"",INDEX(Raw_D1!$F$2:$F$1001,$AP567),IF($AR567&lt;&gt;"",INDEX(Raw_D3!$F$2:$F$1001,$AR567),"")))</f>
        <v>18</v>
      </c>
      <c r="G567" s="5">
        <f>IF($A567="","",IF($AP567&lt;&gt;"",IF(INDEX(Raw_D1!$G$2:$G$1001,$AP567),1,0),IF($AR567&lt;&gt;"",IF(INDEX(Raw_D3!$G$2:$G$1001,$AR567),1,0),"")))</f>
        <v>0</v>
      </c>
      <c r="H567" s="5">
        <f>IF($A567="","",IF($AP567&lt;&gt;"",INDEX(Raw_D1!$H$2:$H$1001,$AP567),IF($AR567&lt;&gt;"",INDEX(Raw_D3!$H$2:$H$1001,$AR567),"")))</f>
        <v>2</v>
      </c>
      <c r="I567" s="5">
        <f>IF($A567="","",IF($AP567&lt;&gt;"",INDEX(Raw_D1!$I$2:$I$1001,$AP567),IF($AR567&lt;&gt;"",INDEX(Raw_D3!$I$2:$I$1001,$AR567),"")))</f>
        <v>2</v>
      </c>
      <c r="J567" s="16">
        <f>IF($A567="","",IF($AP567&lt;&gt;"",INDEX(Raw_D1!$J$2:$J$1001,$AP567),IF($AR567&lt;&gt;"",INDEX(Raw_D3!$J$2:$J$1001,$AR567),"")))</f>
        <v>0.3</v>
      </c>
      <c r="K567" s="17">
        <f>IF($A567="","",IF($AQ567&lt;&gt;"",IF(INDEX(Raw_D2!$C$2:$C$1001,$AQ567)="","",INDEX(Raw_D2!$C$2:$C$1001,$AQ567)),IF($AR567&lt;&gt;"",IF(INDEX(Raw_D3!$K$2:$K$1001,$AR567)="","",INDEX(Raw_D3!$K$2:$K$1001,$AR567)),"")))</f>
        <v>0.3182</v>
      </c>
      <c r="L567" s="16">
        <f>IF($A567="","",IF($AQ567&lt;&gt;"",IF(INDEX(Raw_D2!$D$2:$D$1001,$AQ567)="","",INDEX(Raw_D2!$D$2:$D$1001,$AQ567)),IF($AR567&lt;&gt;"",IF(INDEX(Raw_D3!$L$2:$L$1001,$AR567)="","",INDEX(Raw_D3!$L$2:$L$1001,$AR567)),"")))</f>
        <v>0.49</v>
      </c>
      <c r="M567" s="17">
        <f>IF($A567="","",IF($AQ567&lt;&gt;"",IF(INDEX(Raw_D2!$E$2:$E$1001,$AQ567)="","",INDEX(Raw_D2!$E$2:$E$1001,$AQ567)),IF($AR567&lt;&gt;"",IF(INDEX(Raw_D3!$M$2:$M$1001,$AR567)="","",INDEX(Raw_D3!$M$2:$M$1001,$AR567)),"")))</f>
        <v>0.0896</v>
      </c>
      <c r="N567" s="5">
        <f>IF($A567="","",IF($AQ567&lt;&gt;"",IF(INDEX(Raw_D2!$F$2:$F$1001,$AQ567)="","",INDEX(Raw_D2!$F$2:$F$1001,$AQ567)),IF($AR567&lt;&gt;"",IF(INDEX(Raw_D3!$N$2:$N$1001,$AR567)="","",INDEX(Raw_D3!$N$2:$N$1001,$AR567)),"")))</f>
        <v>7</v>
      </c>
      <c r="O567" s="5">
        <f>IF($A567="","",IF($AQ567&lt;&gt;"",IF(INDEX(Raw_D2!$G$2:$G$1001,$AQ567)="","",INDEX(Raw_D2!$G$2:$G$1001,$AQ567)),IF($AR567&lt;&gt;"",IF(INDEX(Raw_D3!$O$2:$O$1001,$AR567)="","",INDEX(Raw_D3!$O$2:$O$1001,$AR567)),"")))</f>
        <v>218</v>
      </c>
      <c r="P567" s="5">
        <f>IF($A567="","",IF($AQ567&lt;&gt;"",IF(INDEX(Raw_D2!$H$2:$H$1001,$AQ567)="","",INDEX(Raw_D2!$H$2:$H$1001,$AQ567)),IF($AR567&lt;&gt;"",IF(INDEX(Raw_D3!$P$2:$P$1001,$AR567)="","",INDEX(Raw_D3!$P$2:$P$1001,$AR567)),"")))</f>
        <v>225</v>
      </c>
      <c r="Q567" s="5" t="str">
        <f>IF($A567="","",IF(AND($AP567&lt;&gt;"",$AQ567&lt;&gt;""),"D1+D2",IF($AR567&lt;&gt;"","D3","Incomplete")))</f>
        <v>D1+D2</v>
      </c>
      <c r="R567" s="17">
        <f>IF($A567="","",IF($K567="",IF($J567="","",ROUND(Lookups!$K$5+Lookups!$K$4*$J567,4)),$K567))</f>
        <v>0.3182</v>
      </c>
      <c r="S567" s="5" t="str">
        <f>IF($A567="","",IF($K567="","Imputed","Original"))</f>
        <v>Original</v>
      </c>
      <c r="T567" s="5" t="str">
        <f>IF($A567="","",IF($P567="","Missing",IF($P567=$N567+$O567,"OK","Mismatch")))</f>
        <v>OK</v>
      </c>
      <c r="U567" s="5" t="str">
        <f>IF($A567="","",IF(COUNTIF($A$2:$A567,$A567)&gt;1,"Duplicate","Unique"))</f>
        <v>Unique</v>
      </c>
      <c r="V567" s="5">
        <f>IF($A567="","",IF(AND($U567="Unique",ISNUMBER($P567)),1,0))</f>
        <v>1</v>
      </c>
      <c r="W567" s="5" t="str">
        <f>IF($A567="","",IF(OR($H567=0,$H567=6),"Weekend","Weekday"))</f>
        <v>Weekday</v>
      </c>
      <c r="X567" s="5" t="str">
        <f>IF($A567="","",TEXT($B567,"ddd"))</f>
        <v>Tue</v>
      </c>
      <c r="Y567" s="5" t="str">
        <f>IF($A567="","",TEXT($B567,"mmm"))</f>
        <v>Jan</v>
      </c>
      <c r="Z567" s="5" t="str">
        <f>IF($A567="","",IFERROR(VLOOKUP($C567,Lookups!$D$4:$E$7,2,FALSE),"Unknown"))</f>
        <v>Winter</v>
      </c>
      <c r="AA567" s="5" t="str">
        <f>IF($A567="","",IFERROR(VLOOKUP($I567,Lookups!$A$4:$B$7,2,FALSE),"Unknown"))</f>
        <v>Mist/Cloudy</v>
      </c>
      <c r="AB567" s="5" t="str">
        <f>IF($A567="","",TEXT($F567,"00")&amp;":00")</f>
        <v>18:00</v>
      </c>
      <c r="AC567" s="5" t="str">
        <f>IF($A567="","",VLOOKUP($F567,Lookups!$G$4:$H$8,2,TRUE))</f>
        <v>Evening Peak (16-19)</v>
      </c>
      <c r="AD567" s="18">
        <f>IF($A567="","",IF($J567="","",ROUND($J567*41,1)))</f>
        <v>12.3</v>
      </c>
      <c r="AE567" s="18">
        <f>IF($A567="","",IF($R567="","",ROUND($R567*50,1)))</f>
        <v>15.9</v>
      </c>
      <c r="AF567" s="5">
        <f>IF($A567="","",IF($L567="","",ROUND($L567*100,0)))</f>
        <v>49</v>
      </c>
      <c r="AG567" s="18">
        <f>IF($A567="","",IF($M567="","",ROUND($M567*67,1)))</f>
        <v>6</v>
      </c>
      <c r="AH567" s="19">
        <f>IF($A567="","",IF($P567="","",IF($P567=0,0,$O567/$P567)))</f>
        <v>0.968888888888889</v>
      </c>
      <c r="AI567" s="5" t="str">
        <f>IF($A567="","",IF($P567="","",IF($P567&gt;=Lookups!$K$7,"High",IF($P567&lt;=Lookups!$K$8,"Low","Medium"))))</f>
        <v>High</v>
      </c>
      <c r="AJ567" s="5" t="str">
        <f>IF($A567="","",IF($AD567="","",IF($AD567&lt;5,"Under 5 C",IF($AD567&lt;10,"5-10 C",IF($AD567&lt;15,"10-15 C","15 C and above")))))</f>
        <v>10-15 C</v>
      </c>
      <c r="AK567" s="5">
        <f>IF($A567="","",IF($P567="","",$P567^2))</f>
        <v>50625</v>
      </c>
      <c r="AL567" s="18">
        <f>IF($V567&lt;&gt;1,"",AVERAGEIFS(Clean_Data!$P$2:$P$1001,Clean_Data!$F$2:$F$1001,$F567,Clean_Data!$W$2:$W$1001,$W567,Clean_Data!$V$2:$V$1001,1))</f>
        <v>151.206896551724</v>
      </c>
      <c r="AM567" s="16">
        <f>IF($V567&lt;&gt;1,"",IFERROR(($P567-$AL567)/SQRT(MAX(0,(SUMIFS(Clean_Data!$AK$2:$AK$1001,Clean_Data!$F$2:$F$1001,$F567,Clean_Data!$W$2:$W$1001,$W567,Clean_Data!$V$2:$V$1001,1)-COUNTIFS(Clean_Data!$F$2:$F$1001,$F567,Clean_Data!$W$2:$W$1001,$W567,Clean_Data!$V$2:$V$1001,1)*$AL567^2)/(COUNTIFS(Clean_Data!$F$2:$F$1001,$F567,Clean_Data!$W$2:$W$1001,$W567,Clean_Data!$V$2:$V$1001,1)-1))),""))</f>
        <v>2.51430127467453</v>
      </c>
      <c r="AN567" s="5" t="str">
        <f>IF($AM567="","",IF($AM567&gt;=Lookups!$K$6,"High spike",IF($AM567&lt;=-Lookups!$K$6,"Unusual low","Normal")))</f>
        <v>Normal</v>
      </c>
      <c r="AO567" s="20">
        <f>IF($V567&lt;&gt;1,"",$P567+ROW()/100000)</f>
        <v>225.00567</v>
      </c>
      <c r="AP567" s="5">
        <f>IF($A567="","",IFERROR(MATCH($A567,Raw_D1!$A$2:$A$1001,0),""))</f>
        <v>566</v>
      </c>
      <c r="AQ567" s="5">
        <f>IF($A567="","",IFERROR(MATCH($A567,Raw_D2!$B$2:$B$1001,0),""))</f>
        <v>566</v>
      </c>
      <c r="AR567" s="5">
        <f>IF($A567="","",IFERROR(MATCH($A567,Raw_D3!$A$2:$A$1001,0),""))</f>
        <v/>
      </c>
    </row>
    <row r="568" spans="1:44" x14ac:dyDescent="0.25">
      <c r="A568" s="5">
        <v>567</v>
      </c>
      <c r="B568" s="11">
        <f>IF($A568="","",IF($AP568&lt;&gt;"",INDEX(Raw_D1!$B$2:$B$1001,$AP568),IF($AR568&lt;&gt;"",INDEX(Raw_D3!$B$2:$B$1001,$AR568),"")))</f>
        <v>40568.0</v>
      </c>
      <c r="C568" s="5">
        <f>IF($A568="","",IF($AP568&lt;&gt;"",INDEX(Raw_D1!$C$2:$C$1001,$AP568),IF($AR568&lt;&gt;"",INDEX(Raw_D3!$C$2:$C$1001,$AR568),"")))</f>
        <v>1</v>
      </c>
      <c r="D568" s="5">
        <f>IF($A568="","",IF($AP568&lt;&gt;"",INDEX(Raw_D1!$D$2:$D$1001,$AP568),IF($AR568&lt;&gt;"",INDEX(Raw_D3!$D$2:$D$1001,$AR568),"")))</f>
        <v>0</v>
      </c>
      <c r="E568" s="5">
        <f>IF($A568="","",IF($AP568&lt;&gt;"",INDEX(Raw_D1!$E$2:$E$1001,$AP568),IF($AR568&lt;&gt;"",INDEX(Raw_D3!$E$2:$E$1001,$AR568),"")))</f>
        <v>1</v>
      </c>
      <c r="F568" s="5">
        <f>IF($A568="","",IF($AP568&lt;&gt;"",INDEX(Raw_D1!$F$2:$F$1001,$AP568),IF($AR568&lt;&gt;"",INDEX(Raw_D3!$F$2:$F$1001,$AR568),"")))</f>
        <v>19</v>
      </c>
      <c r="G568" s="5">
        <f>IF($A568="","",IF($AP568&lt;&gt;"",IF(INDEX(Raw_D1!$G$2:$G$1001,$AP568),1,0),IF($AR568&lt;&gt;"",IF(INDEX(Raw_D3!$G$2:$G$1001,$AR568),1,0),"")))</f>
        <v>0</v>
      </c>
      <c r="H568" s="5">
        <f>IF($A568="","",IF($AP568&lt;&gt;"",INDEX(Raw_D1!$H$2:$H$1001,$AP568),IF($AR568&lt;&gt;"",INDEX(Raw_D3!$H$2:$H$1001,$AR568),"")))</f>
        <v>2</v>
      </c>
      <c r="I568" s="5">
        <f>IF($A568="","",IF($AP568&lt;&gt;"",INDEX(Raw_D1!$I$2:$I$1001,$AP568),IF($AR568&lt;&gt;"",INDEX(Raw_D3!$I$2:$I$1001,$AR568),"")))</f>
        <v>2</v>
      </c>
      <c r="J568" s="16">
        <f>IF($A568="","",IF($AP568&lt;&gt;"",INDEX(Raw_D1!$J$2:$J$1001,$AP568),IF($AR568&lt;&gt;"",INDEX(Raw_D3!$J$2:$J$1001,$AR568),"")))</f>
        <v>0.26</v>
      </c>
      <c r="K568" s="17">
        <f>IF($A568="","",IF($AQ568&lt;&gt;"",IF(INDEX(Raw_D2!$C$2:$C$1001,$AQ568)="","",INDEX(Raw_D2!$C$2:$C$1001,$AQ568)),IF($AR568&lt;&gt;"",IF(INDEX(Raw_D3!$K$2:$K$1001,$AR568)="","",INDEX(Raw_D3!$K$2:$K$1001,$AR568)),"")))</f>
        <v>0.2576</v>
      </c>
      <c r="L568" s="16">
        <f>IF($A568="","",IF($AQ568&lt;&gt;"",IF(INDEX(Raw_D2!$D$2:$D$1001,$AQ568)="","",INDEX(Raw_D2!$D$2:$D$1001,$AQ568)),IF($AR568&lt;&gt;"",IF(INDEX(Raw_D3!$L$2:$L$1001,$AR568)="","",INDEX(Raw_D3!$L$2:$L$1001,$AR568)),"")))</f>
        <v>0.65</v>
      </c>
      <c r="M568" s="17">
        <f>IF($A568="","",IF($AQ568&lt;&gt;"",IF(INDEX(Raw_D2!$E$2:$E$1001,$AQ568)="","",INDEX(Raw_D2!$E$2:$E$1001,$AQ568)),IF($AR568&lt;&gt;"",IF(INDEX(Raw_D3!$M$2:$M$1001,$AR568)="","",INDEX(Raw_D3!$M$2:$M$1001,$AR568)),"")))</f>
        <v>0.1642</v>
      </c>
      <c r="N568" s="5">
        <f>IF($A568="","",IF($AQ568&lt;&gt;"",IF(INDEX(Raw_D2!$F$2:$F$1001,$AQ568)="","",INDEX(Raw_D2!$F$2:$F$1001,$AQ568)),IF($AR568&lt;&gt;"",IF(INDEX(Raw_D3!$N$2:$N$1001,$AR568)="","",INDEX(Raw_D3!$N$2:$N$1001,$AR568)),"")))</f>
        <v>13</v>
      </c>
      <c r="O568" s="5">
        <f>IF($A568="","",IF($AQ568&lt;&gt;"",IF(INDEX(Raw_D2!$G$2:$G$1001,$AQ568)="","",INDEX(Raw_D2!$G$2:$G$1001,$AQ568)),IF($AR568&lt;&gt;"",IF(INDEX(Raw_D3!$O$2:$O$1001,$AR568)="","",INDEX(Raw_D3!$O$2:$O$1001,$AR568)),"")))</f>
        <v>133</v>
      </c>
      <c r="P568" s="5">
        <f>IF($A568="","",IF($AQ568&lt;&gt;"",IF(INDEX(Raw_D2!$H$2:$H$1001,$AQ568)="","",INDEX(Raw_D2!$H$2:$H$1001,$AQ568)),IF($AR568&lt;&gt;"",IF(INDEX(Raw_D3!$P$2:$P$1001,$AR568)="","",INDEX(Raw_D3!$P$2:$P$1001,$AR568)),"")))</f>
        <v>146</v>
      </c>
      <c r="Q568" s="5" t="str">
        <f>IF($A568="","",IF(AND($AP568&lt;&gt;"",$AQ568&lt;&gt;""),"D1+D2",IF($AR568&lt;&gt;"","D3","Incomplete")))</f>
        <v>D1+D2</v>
      </c>
      <c r="R568" s="17">
        <f>IF($A568="","",IF($K568="",IF($J568="","",ROUND(Lookups!$K$5+Lookups!$K$4*$J568,4)),$K568))</f>
        <v>0.2576</v>
      </c>
      <c r="S568" s="5" t="str">
        <f>IF($A568="","",IF($K568="","Imputed","Original"))</f>
        <v>Original</v>
      </c>
      <c r="T568" s="5" t="str">
        <f>IF($A568="","",IF($P568="","Missing",IF($P568=$N568+$O568,"OK","Mismatch")))</f>
        <v>OK</v>
      </c>
      <c r="U568" s="5" t="str">
        <f>IF($A568="","",IF(COUNTIF($A$2:$A568,$A568)&gt;1,"Duplicate","Unique"))</f>
        <v>Unique</v>
      </c>
      <c r="V568" s="5">
        <f>IF($A568="","",IF(AND($U568="Unique",ISNUMBER($P568)),1,0))</f>
        <v>1</v>
      </c>
      <c r="W568" s="5" t="str">
        <f>IF($A568="","",IF(OR($H568=0,$H568=6),"Weekend","Weekday"))</f>
        <v>Weekday</v>
      </c>
      <c r="X568" s="5" t="str">
        <f>IF($A568="","",TEXT($B568,"ddd"))</f>
        <v>Tue</v>
      </c>
      <c r="Y568" s="5" t="str">
        <f>IF($A568="","",TEXT($B568,"mmm"))</f>
        <v>Jan</v>
      </c>
      <c r="Z568" s="5" t="str">
        <f>IF($A568="","",IFERROR(VLOOKUP($C568,Lookups!$D$4:$E$7,2,FALSE),"Unknown"))</f>
        <v>Winter</v>
      </c>
      <c r="AA568" s="5" t="str">
        <f>IF($A568="","",IFERROR(VLOOKUP($I568,Lookups!$A$4:$B$7,2,FALSE),"Unknown"))</f>
        <v>Mist/Cloudy</v>
      </c>
      <c r="AB568" s="5" t="str">
        <f>IF($A568="","",TEXT($F568,"00")&amp;":00")</f>
        <v>19:00</v>
      </c>
      <c r="AC568" s="5" t="str">
        <f>IF($A568="","",VLOOKUP($F568,Lookups!$G$4:$H$8,2,TRUE))</f>
        <v>Evening Peak (16-19)</v>
      </c>
      <c r="AD568" s="18">
        <f>IF($A568="","",IF($J568="","",ROUND($J568*41,1)))</f>
        <v>10.7</v>
      </c>
      <c r="AE568" s="18">
        <f>IF($A568="","",IF($R568="","",ROUND($R568*50,1)))</f>
        <v>12.9</v>
      </c>
      <c r="AF568" s="5">
        <f>IF($A568="","",IF($L568="","",ROUND($L568*100,0)))</f>
        <v>65</v>
      </c>
      <c r="AG568" s="18">
        <f>IF($A568="","",IF($M568="","",ROUND($M568*67,1)))</f>
        <v>11</v>
      </c>
      <c r="AH568" s="19">
        <f>IF($A568="","",IF($P568="","",IF($P568=0,0,$O568/$P568)))</f>
        <v>0.910958904109589</v>
      </c>
      <c r="AI568" s="5" t="str">
        <f>IF($A568="","",IF($P568="","",IF($P568&gt;=Lookups!$K$7,"High",IF($P568&lt;=Lookups!$K$8,"Low","Medium"))))</f>
        <v>High</v>
      </c>
      <c r="AJ568" s="5" t="str">
        <f>IF($A568="","",IF($AD568="","",IF($AD568&lt;5,"Under 5 C",IF($AD568&lt;10,"5-10 C",IF($AD568&lt;15,"10-15 C","15 C and above")))))</f>
        <v>10-15 C</v>
      </c>
      <c r="AK568" s="5">
        <f>IF($A568="","",IF($P568="","",$P568^2))</f>
        <v>21316</v>
      </c>
      <c r="AL568" s="18">
        <f>IF($V568&lt;&gt;1,"",AVERAGEIFS(Clean_Data!$P$2:$P$1001,Clean_Data!$F$2:$F$1001,$F568,Clean_Data!$W$2:$W$1001,$W568,Clean_Data!$V$2:$V$1001,1))</f>
        <v>102.034482758621</v>
      </c>
      <c r="AM568" s="16">
        <f>IF($V568&lt;&gt;1,"",IFERROR(($P568-$AL568)/SQRT(MAX(0,(SUMIFS(Clean_Data!$AK$2:$AK$1001,Clean_Data!$F$2:$F$1001,$F568,Clean_Data!$W$2:$W$1001,$W568,Clean_Data!$V$2:$V$1001,1)-COUNTIFS(Clean_Data!$F$2:$F$1001,$F568,Clean_Data!$W$2:$W$1001,$W568,Clean_Data!$V$2:$V$1001,1)*$AL568^2)/(COUNTIFS(Clean_Data!$F$2:$F$1001,$F568,Clean_Data!$W$2:$W$1001,$W568,Clean_Data!$V$2:$V$1001,1)-1))),""))</f>
        <v>2.06919337489939</v>
      </c>
      <c r="AN568" s="5" t="str">
        <f>IF($AM568="","",IF($AM568&gt;=Lookups!$K$6,"High spike",IF($AM568&lt;=-Lookups!$K$6,"Unusual low","Normal")))</f>
        <v>Normal</v>
      </c>
      <c r="AO568" s="20">
        <f>IF($V568&lt;&gt;1,"",$P568+ROW()/100000)</f>
        <v>146.00568</v>
      </c>
      <c r="AP568" s="5">
        <f>IF($A568="","",IFERROR(MATCH($A568,Raw_D1!$A$2:$A$1001,0),""))</f>
        <v>567</v>
      </c>
      <c r="AQ568" s="5">
        <f>IF($A568="","",IFERROR(MATCH($A568,Raw_D2!$B$2:$B$1001,0),""))</f>
        <v>567</v>
      </c>
      <c r="AR568" s="5">
        <f>IF($A568="","",IFERROR(MATCH($A568,Raw_D3!$A$2:$A$1001,0),""))</f>
        <v/>
      </c>
    </row>
    <row r="569" spans="1:44" x14ac:dyDescent="0.25">
      <c r="A569" s="5">
        <v>568</v>
      </c>
      <c r="B569" s="11">
        <f>IF($A569="","",IF($AP569&lt;&gt;"",INDEX(Raw_D1!$B$2:$B$1001,$AP569),IF($AR569&lt;&gt;"",INDEX(Raw_D3!$B$2:$B$1001,$AR569),"")))</f>
        <v>40568.0</v>
      </c>
      <c r="C569" s="5">
        <f>IF($A569="","",IF($AP569&lt;&gt;"",INDEX(Raw_D1!$C$2:$C$1001,$AP569),IF($AR569&lt;&gt;"",INDEX(Raw_D3!$C$2:$C$1001,$AR569),"")))</f>
        <v>1</v>
      </c>
      <c r="D569" s="5">
        <f>IF($A569="","",IF($AP569&lt;&gt;"",INDEX(Raw_D1!$D$2:$D$1001,$AP569),IF($AR569&lt;&gt;"",INDEX(Raw_D3!$D$2:$D$1001,$AR569),"")))</f>
        <v>0</v>
      </c>
      <c r="E569" s="5">
        <f>IF($A569="","",IF($AP569&lt;&gt;"",INDEX(Raw_D1!$E$2:$E$1001,$AP569),IF($AR569&lt;&gt;"",INDEX(Raw_D3!$E$2:$E$1001,$AR569),"")))</f>
        <v>1</v>
      </c>
      <c r="F569" s="5">
        <f>IF($A569="","",IF($AP569&lt;&gt;"",INDEX(Raw_D1!$F$2:$F$1001,$AP569),IF($AR569&lt;&gt;"",INDEX(Raw_D3!$F$2:$F$1001,$AR569),"")))</f>
        <v>20</v>
      </c>
      <c r="G569" s="5">
        <f>IF($A569="","",IF($AP569&lt;&gt;"",IF(INDEX(Raw_D1!$G$2:$G$1001,$AP569),1,0),IF($AR569&lt;&gt;"",IF(INDEX(Raw_D3!$G$2:$G$1001,$AR569),1,0),"")))</f>
        <v>0</v>
      </c>
      <c r="H569" s="5">
        <f>IF($A569="","",IF($AP569&lt;&gt;"",INDEX(Raw_D1!$H$2:$H$1001,$AP569),IF($AR569&lt;&gt;"",INDEX(Raw_D3!$H$2:$H$1001,$AR569),"")))</f>
        <v>2</v>
      </c>
      <c r="I569" s="5">
        <f>IF($A569="","",IF($AP569&lt;&gt;"",INDEX(Raw_D1!$I$2:$I$1001,$AP569),IF($AR569&lt;&gt;"",INDEX(Raw_D3!$I$2:$I$1001,$AR569),"")))</f>
        <v>1</v>
      </c>
      <c r="J569" s="16">
        <f>IF($A569="","",IF($AP569&lt;&gt;"",INDEX(Raw_D1!$J$2:$J$1001,$AP569),IF($AR569&lt;&gt;"",INDEX(Raw_D3!$J$2:$J$1001,$AR569),"")))</f>
        <v>0.24</v>
      </c>
      <c r="K569" s="17">
        <f>IF($A569="","",IF($AQ569&lt;&gt;"",IF(INDEX(Raw_D2!$C$2:$C$1001,$AQ569)="","",INDEX(Raw_D2!$C$2:$C$1001,$AQ569)),IF($AR569&lt;&gt;"",IF(INDEX(Raw_D3!$K$2:$K$1001,$AR569)="","",INDEX(Raw_D3!$K$2:$K$1001,$AR569)),"")))</f>
        <v>0.2273</v>
      </c>
      <c r="L569" s="16">
        <f>IF($A569="","",IF($AQ569&lt;&gt;"",IF(INDEX(Raw_D2!$D$2:$D$1001,$AQ569)="","",INDEX(Raw_D2!$D$2:$D$1001,$AQ569)),IF($AR569&lt;&gt;"",IF(INDEX(Raw_D3!$L$2:$L$1001,$AR569)="","",INDEX(Raw_D3!$L$2:$L$1001,$AR569)),"")))</f>
        <v>0.65</v>
      </c>
      <c r="M569" s="17">
        <f>IF($A569="","",IF($AQ569&lt;&gt;"",IF(INDEX(Raw_D2!$E$2:$E$1001,$AQ569)="","",INDEX(Raw_D2!$E$2:$E$1001,$AQ569)),IF($AR569&lt;&gt;"",IF(INDEX(Raw_D3!$M$2:$M$1001,$AR569)="","",INDEX(Raw_D3!$M$2:$M$1001,$AR569)),"")))</f>
        <v>0.194</v>
      </c>
      <c r="N569" s="5">
        <f>IF($A569="","",IF($AQ569&lt;&gt;"",IF(INDEX(Raw_D2!$F$2:$F$1001,$AQ569)="","",INDEX(Raw_D2!$F$2:$F$1001,$AQ569)),IF($AR569&lt;&gt;"",IF(INDEX(Raw_D3!$N$2:$N$1001,$AR569)="","",INDEX(Raw_D3!$N$2:$N$1001,$AR569)),"")))</f>
        <v>16</v>
      </c>
      <c r="O569" s="5">
        <f>IF($A569="","",IF($AQ569&lt;&gt;"",IF(INDEX(Raw_D2!$G$2:$G$1001,$AQ569)="","",INDEX(Raw_D2!$G$2:$G$1001,$AQ569)),IF($AR569&lt;&gt;"",IF(INDEX(Raw_D3!$O$2:$O$1001,$AR569)="","",INDEX(Raw_D3!$O$2:$O$1001,$AR569)),"")))</f>
        <v>103</v>
      </c>
      <c r="P569" s="5">
        <f>IF($A569="","",IF($AQ569&lt;&gt;"",IF(INDEX(Raw_D2!$H$2:$H$1001,$AQ569)="","",INDEX(Raw_D2!$H$2:$H$1001,$AQ569)),IF($AR569&lt;&gt;"",IF(INDEX(Raw_D3!$P$2:$P$1001,$AR569)="","",INDEX(Raw_D3!$P$2:$P$1001,$AR569)),"")))</f>
        <v>119</v>
      </c>
      <c r="Q569" s="5" t="str">
        <f>IF($A569="","",IF(AND($AP569&lt;&gt;"",$AQ569&lt;&gt;""),"D1+D2",IF($AR569&lt;&gt;"","D3","Incomplete")))</f>
        <v>D1+D2</v>
      </c>
      <c r="R569" s="17">
        <f>IF($A569="","",IF($K569="",IF($J569="","",ROUND(Lookups!$K$5+Lookups!$K$4*$J569,4)),$K569))</f>
        <v>0.2273</v>
      </c>
      <c r="S569" s="5" t="str">
        <f>IF($A569="","",IF($K569="","Imputed","Original"))</f>
        <v>Original</v>
      </c>
      <c r="T569" s="5" t="str">
        <f>IF($A569="","",IF($P569="","Missing",IF($P569=$N569+$O569,"OK","Mismatch")))</f>
        <v>OK</v>
      </c>
      <c r="U569" s="5" t="str">
        <f>IF($A569="","",IF(COUNTIF($A$2:$A569,$A569)&gt;1,"Duplicate","Unique"))</f>
        <v>Unique</v>
      </c>
      <c r="V569" s="5">
        <f>IF($A569="","",IF(AND($U569="Unique",ISNUMBER($P569)),1,0))</f>
        <v>1</v>
      </c>
      <c r="W569" s="5" t="str">
        <f>IF($A569="","",IF(OR($H569=0,$H569=6),"Weekend","Weekday"))</f>
        <v>Weekday</v>
      </c>
      <c r="X569" s="5" t="str">
        <f>IF($A569="","",TEXT($B569,"ddd"))</f>
        <v>Tue</v>
      </c>
      <c r="Y569" s="5" t="str">
        <f>IF($A569="","",TEXT($B569,"mmm"))</f>
        <v>Jan</v>
      </c>
      <c r="Z569" s="5" t="str">
        <f>IF($A569="","",IFERROR(VLOOKUP($C569,Lookups!$D$4:$E$7,2,FALSE),"Unknown"))</f>
        <v>Winter</v>
      </c>
      <c r="AA569" s="5" t="str">
        <f>IF($A569="","",IFERROR(VLOOKUP($I569,Lookups!$A$4:$B$7,2,FALSE),"Unknown"))</f>
        <v>Clear</v>
      </c>
      <c r="AB569" s="5" t="str">
        <f>IF($A569="","",TEXT($F569,"00")&amp;":00")</f>
        <v>20:00</v>
      </c>
      <c r="AC569" s="5" t="str">
        <f>IF($A569="","",VLOOKUP($F569,Lookups!$G$4:$H$8,2,TRUE))</f>
        <v>Late Evening (20-23)</v>
      </c>
      <c r="AD569" s="18">
        <f>IF($A569="","",IF($J569="","",ROUND($J569*41,1)))</f>
        <v>9.8</v>
      </c>
      <c r="AE569" s="18">
        <f>IF($A569="","",IF($R569="","",ROUND($R569*50,1)))</f>
        <v>11.4</v>
      </c>
      <c r="AF569" s="5">
        <f>IF($A569="","",IF($L569="","",ROUND($L569*100,0)))</f>
        <v>65</v>
      </c>
      <c r="AG569" s="18">
        <f>IF($A569="","",IF($M569="","",ROUND($M569*67,1)))</f>
        <v>13</v>
      </c>
      <c r="AH569" s="19">
        <f>IF($A569="","",IF($P569="","",IF($P569=0,0,$O569/$P569)))</f>
        <v>0.865546218487395</v>
      </c>
      <c r="AI569" s="5" t="str">
        <f>IF($A569="","",IF($P569="","",IF($P569&gt;=Lookups!$K$7,"High",IF($P569&lt;=Lookups!$K$8,"Low","Medium"))))</f>
        <v>High</v>
      </c>
      <c r="AJ569" s="5" t="str">
        <f>IF($A569="","",IF($AD569="","",IF($AD569&lt;5,"Under 5 C",IF($AD569&lt;10,"5-10 C",IF($AD569&lt;15,"10-15 C","15 C and above")))))</f>
        <v>5-10 C</v>
      </c>
      <c r="AK569" s="5">
        <f>IF($A569="","",IF($P569="","",$P569^2))</f>
        <v>14161</v>
      </c>
      <c r="AL569" s="18">
        <f>IF($V569&lt;&gt;1,"",AVERAGEIFS(Clean_Data!$P$2:$P$1001,Clean_Data!$F$2:$F$1001,$F569,Clean_Data!$W$2:$W$1001,$W569,Clean_Data!$V$2:$V$1001,1))</f>
        <v>72.2758620689655</v>
      </c>
      <c r="AM569" s="16">
        <f>IF($V569&lt;&gt;1,"",IFERROR(($P569-$AL569)/SQRT(MAX(0,(SUMIFS(Clean_Data!$AK$2:$AK$1001,Clean_Data!$F$2:$F$1001,$F569,Clean_Data!$W$2:$W$1001,$W569,Clean_Data!$V$2:$V$1001,1)-COUNTIFS(Clean_Data!$F$2:$F$1001,$F569,Clean_Data!$W$2:$W$1001,$W569,Clean_Data!$V$2:$V$1001,1)*$AL569^2)/(COUNTIFS(Clean_Data!$F$2:$F$1001,$F569,Clean_Data!$W$2:$W$1001,$W569,Clean_Data!$V$2:$V$1001,1)-1))),""))</f>
        <v>2.11419018370837</v>
      </c>
      <c r="AN569" s="5" t="str">
        <f>IF($AM569="","",IF($AM569&gt;=Lookups!$K$6,"High spike",IF($AM569&lt;=-Lookups!$K$6,"Unusual low","Normal")))</f>
        <v>Normal</v>
      </c>
      <c r="AO569" s="20">
        <f>IF($V569&lt;&gt;1,"",$P569+ROW()/100000)</f>
        <v>119.00569</v>
      </c>
      <c r="AP569" s="5">
        <f>IF($A569="","",IFERROR(MATCH($A569,Raw_D1!$A$2:$A$1001,0),""))</f>
        <v>568</v>
      </c>
      <c r="AQ569" s="5">
        <f>IF($A569="","",IFERROR(MATCH($A569,Raw_D2!$B$2:$B$1001,0),""))</f>
        <v>568</v>
      </c>
      <c r="AR569" s="5">
        <f>IF($A569="","",IFERROR(MATCH($A569,Raw_D3!$A$2:$A$1001,0),""))</f>
        <v/>
      </c>
    </row>
    <row r="570" spans="1:44" x14ac:dyDescent="0.25">
      <c r="A570" s="5">
        <v>569</v>
      </c>
      <c r="B570" s="11">
        <f>IF($A570="","",IF($AP570&lt;&gt;"",INDEX(Raw_D1!$B$2:$B$1001,$AP570),IF($AR570&lt;&gt;"",INDEX(Raw_D3!$B$2:$B$1001,$AR570),"")))</f>
        <v>40568.0</v>
      </c>
      <c r="C570" s="5">
        <f>IF($A570="","",IF($AP570&lt;&gt;"",INDEX(Raw_D1!$C$2:$C$1001,$AP570),IF($AR570&lt;&gt;"",INDEX(Raw_D3!$C$2:$C$1001,$AR570),"")))</f>
        <v>1</v>
      </c>
      <c r="D570" s="5">
        <f>IF($A570="","",IF($AP570&lt;&gt;"",INDEX(Raw_D1!$D$2:$D$1001,$AP570),IF($AR570&lt;&gt;"",INDEX(Raw_D3!$D$2:$D$1001,$AR570),"")))</f>
        <v>0</v>
      </c>
      <c r="E570" s="5">
        <f>IF($A570="","",IF($AP570&lt;&gt;"",INDEX(Raw_D1!$E$2:$E$1001,$AP570),IF($AR570&lt;&gt;"",INDEX(Raw_D3!$E$2:$E$1001,$AR570),"")))</f>
        <v>1</v>
      </c>
      <c r="F570" s="5">
        <f>IF($A570="","",IF($AP570&lt;&gt;"",INDEX(Raw_D1!$F$2:$F$1001,$AP570),IF($AR570&lt;&gt;"",INDEX(Raw_D3!$F$2:$F$1001,$AR570),"")))</f>
        <v>21</v>
      </c>
      <c r="G570" s="5">
        <f>IF($A570="","",IF($AP570&lt;&gt;"",IF(INDEX(Raw_D1!$G$2:$G$1001,$AP570),1,0),IF($AR570&lt;&gt;"",IF(INDEX(Raw_D3!$G$2:$G$1001,$AR570),1,0),"")))</f>
        <v>0</v>
      </c>
      <c r="H570" s="5">
        <f>IF($A570="","",IF($AP570&lt;&gt;"",INDEX(Raw_D1!$H$2:$H$1001,$AP570),IF($AR570&lt;&gt;"",INDEX(Raw_D3!$H$2:$H$1001,$AR570),"")))</f>
        <v>2</v>
      </c>
      <c r="I570" s="5">
        <f>IF($A570="","",IF($AP570&lt;&gt;"",INDEX(Raw_D1!$I$2:$I$1001,$AP570),IF($AR570&lt;&gt;"",INDEX(Raw_D3!$I$2:$I$1001,$AR570),"")))</f>
        <v>1</v>
      </c>
      <c r="J570" s="16">
        <f>IF($A570="","",IF($AP570&lt;&gt;"",INDEX(Raw_D1!$J$2:$J$1001,$AP570),IF($AR570&lt;&gt;"",INDEX(Raw_D3!$J$2:$J$1001,$AR570),"")))</f>
        <v>0.24</v>
      </c>
      <c r="K570" s="17">
        <f>IF($A570="","",IF($AQ570&lt;&gt;"",IF(INDEX(Raw_D2!$C$2:$C$1001,$AQ570)="","",INDEX(Raw_D2!$C$2:$C$1001,$AQ570)),IF($AR570&lt;&gt;"",IF(INDEX(Raw_D3!$K$2:$K$1001,$AR570)="","",INDEX(Raw_D3!$K$2:$K$1001,$AR570)),"")))</f>
        <v>0.2273</v>
      </c>
      <c r="L570" s="16">
        <f>IF($A570="","",IF($AQ570&lt;&gt;"",IF(INDEX(Raw_D2!$D$2:$D$1001,$AQ570)="","",INDEX(Raw_D2!$D$2:$D$1001,$AQ570)),IF($AR570&lt;&gt;"",IF(INDEX(Raw_D3!$L$2:$L$1001,$AR570)="","",INDEX(Raw_D3!$L$2:$L$1001,$AR570)),"")))</f>
        <v>0.65</v>
      </c>
      <c r="M570" s="17">
        <f>IF($A570="","",IF($AQ570&lt;&gt;"",IF(INDEX(Raw_D2!$E$2:$E$1001,$AQ570)="","",INDEX(Raw_D2!$E$2:$E$1001,$AQ570)),IF($AR570&lt;&gt;"",IF(INDEX(Raw_D3!$M$2:$M$1001,$AR570)="","",INDEX(Raw_D3!$M$2:$M$1001,$AR570)),"")))</f>
        <v>0.194</v>
      </c>
      <c r="N570" s="5">
        <f>IF($A570="","",IF($AQ570&lt;&gt;"",IF(INDEX(Raw_D2!$F$2:$F$1001,$AQ570)="","",INDEX(Raw_D2!$F$2:$F$1001,$AQ570)),IF($AR570&lt;&gt;"",IF(INDEX(Raw_D3!$N$2:$N$1001,$AR570)="","",INDEX(Raw_D3!$N$2:$N$1001,$AR570)),"")))</f>
        <v>5</v>
      </c>
      <c r="O570" s="5">
        <f>IF($A570="","",IF($AQ570&lt;&gt;"",IF(INDEX(Raw_D2!$G$2:$G$1001,$AQ570)="","",INDEX(Raw_D2!$G$2:$G$1001,$AQ570)),IF($AR570&lt;&gt;"",IF(INDEX(Raw_D3!$O$2:$O$1001,$AR570)="","",INDEX(Raw_D3!$O$2:$O$1001,$AR570)),"")))</f>
        <v>40</v>
      </c>
      <c r="P570" s="5">
        <f>IF($A570="","",IF($AQ570&lt;&gt;"",IF(INDEX(Raw_D2!$H$2:$H$1001,$AQ570)="","",INDEX(Raw_D2!$H$2:$H$1001,$AQ570)),IF($AR570&lt;&gt;"",IF(INDEX(Raw_D3!$P$2:$P$1001,$AR570)="","",INDEX(Raw_D3!$P$2:$P$1001,$AR570)),"")))</f>
        <v>45</v>
      </c>
      <c r="Q570" s="5" t="str">
        <f>IF($A570="","",IF(AND($AP570&lt;&gt;"",$AQ570&lt;&gt;""),"D1+D2",IF($AR570&lt;&gt;"","D3","Incomplete")))</f>
        <v>D1+D2</v>
      </c>
      <c r="R570" s="17">
        <f>IF($A570="","",IF($K570="",IF($J570="","",ROUND(Lookups!$K$5+Lookups!$K$4*$J570,4)),$K570))</f>
        <v>0.2273</v>
      </c>
      <c r="S570" s="5" t="str">
        <f>IF($A570="","",IF($K570="","Imputed","Original"))</f>
        <v>Original</v>
      </c>
      <c r="T570" s="5" t="str">
        <f>IF($A570="","",IF($P570="","Missing",IF($P570=$N570+$O570,"OK","Mismatch")))</f>
        <v>OK</v>
      </c>
      <c r="U570" s="5" t="str">
        <f>IF($A570="","",IF(COUNTIF($A$2:$A570,$A570)&gt;1,"Duplicate","Unique"))</f>
        <v>Unique</v>
      </c>
      <c r="V570" s="5">
        <f>IF($A570="","",IF(AND($U570="Unique",ISNUMBER($P570)),1,0))</f>
        <v>1</v>
      </c>
      <c r="W570" s="5" t="str">
        <f>IF($A570="","",IF(OR($H570=0,$H570=6),"Weekend","Weekday"))</f>
        <v>Weekday</v>
      </c>
      <c r="X570" s="5" t="str">
        <f>IF($A570="","",TEXT($B570,"ddd"))</f>
        <v>Tue</v>
      </c>
      <c r="Y570" s="5" t="str">
        <f>IF($A570="","",TEXT($B570,"mmm"))</f>
        <v>Jan</v>
      </c>
      <c r="Z570" s="5" t="str">
        <f>IF($A570="","",IFERROR(VLOOKUP($C570,Lookups!$D$4:$E$7,2,FALSE),"Unknown"))</f>
        <v>Winter</v>
      </c>
      <c r="AA570" s="5" t="str">
        <f>IF($A570="","",IFERROR(VLOOKUP($I570,Lookups!$A$4:$B$7,2,FALSE),"Unknown"))</f>
        <v>Clear</v>
      </c>
      <c r="AB570" s="5" t="str">
        <f>IF($A570="","",TEXT($F570,"00")&amp;":00")</f>
        <v>21:00</v>
      </c>
      <c r="AC570" s="5" t="str">
        <f>IF($A570="","",VLOOKUP($F570,Lookups!$G$4:$H$8,2,TRUE))</f>
        <v>Late Evening (20-23)</v>
      </c>
      <c r="AD570" s="18">
        <f>IF($A570="","",IF($J570="","",ROUND($J570*41,1)))</f>
        <v>9.8</v>
      </c>
      <c r="AE570" s="18">
        <f>IF($A570="","",IF($R570="","",ROUND($R570*50,1)))</f>
        <v>11.4</v>
      </c>
      <c r="AF570" s="5">
        <f>IF($A570="","",IF($L570="","",ROUND($L570*100,0)))</f>
        <v>65</v>
      </c>
      <c r="AG570" s="18">
        <f>IF($A570="","",IF($M570="","",ROUND($M570*67,1)))</f>
        <v>13</v>
      </c>
      <c r="AH570" s="19">
        <f>IF($A570="","",IF($P570="","",IF($P570=0,0,$O570/$P570)))</f>
        <v>0.888888888888889</v>
      </c>
      <c r="AI570" s="5" t="str">
        <f>IF($A570="","",IF($P570="","",IF($P570&gt;=Lookups!$K$7,"High",IF($P570&lt;=Lookups!$K$8,"Low","Medium"))))</f>
        <v>Medium</v>
      </c>
      <c r="AJ570" s="5" t="str">
        <f>IF($A570="","",IF($AD570="","",IF($AD570&lt;5,"Under 5 C",IF($AD570&lt;10,"5-10 C",IF($AD570&lt;15,"10-15 C","15 C and above")))))</f>
        <v>5-10 C</v>
      </c>
      <c r="AK570" s="5">
        <f>IF($A570="","",IF($P570="","",$P570^2))</f>
        <v>2025</v>
      </c>
      <c r="AL570" s="18">
        <f>IF($V570&lt;&gt;1,"",AVERAGEIFS(Clean_Data!$P$2:$P$1001,Clean_Data!$F$2:$F$1001,$F570,Clean_Data!$W$2:$W$1001,$W570,Clean_Data!$V$2:$V$1001,1))</f>
        <v>50.8965517241379</v>
      </c>
      <c r="AM570" s="16">
        <f>IF($V570&lt;&gt;1,"",IFERROR(($P570-$AL570)/SQRT(MAX(0,(SUMIFS(Clean_Data!$AK$2:$AK$1001,Clean_Data!$F$2:$F$1001,$F570,Clean_Data!$W$2:$W$1001,$W570,Clean_Data!$V$2:$V$1001,1)-COUNTIFS(Clean_Data!$F$2:$F$1001,$F570,Clean_Data!$W$2:$W$1001,$W570,Clean_Data!$V$2:$V$1001,1)*$AL570^2)/(COUNTIFS(Clean_Data!$F$2:$F$1001,$F570,Clean_Data!$W$2:$W$1001,$W570,Clean_Data!$V$2:$V$1001,1)-1))),""))</f>
        <v>-0.427031380485942</v>
      </c>
      <c r="AN570" s="5" t="str">
        <f>IF($AM570="","",IF($AM570&gt;=Lookups!$K$6,"High spike",IF($AM570&lt;=-Lookups!$K$6,"Unusual low","Normal")))</f>
        <v>Normal</v>
      </c>
      <c r="AO570" s="20">
        <f>IF($V570&lt;&gt;1,"",$P570+ROW()/100000)</f>
        <v>45.0057</v>
      </c>
      <c r="AP570" s="5">
        <f>IF($A570="","",IFERROR(MATCH($A570,Raw_D1!$A$2:$A$1001,0),""))</f>
        <v>569</v>
      </c>
      <c r="AQ570" s="5">
        <f>IF($A570="","",IFERROR(MATCH($A570,Raw_D2!$B$2:$B$1001,0),""))</f>
        <v>569</v>
      </c>
      <c r="AR570" s="5">
        <f>IF($A570="","",IFERROR(MATCH($A570,Raw_D3!$A$2:$A$1001,0),""))</f>
        <v/>
      </c>
    </row>
    <row r="571" spans="1:44" x14ac:dyDescent="0.25">
      <c r="A571" s="5">
        <v>570</v>
      </c>
      <c r="B571" s="11">
        <f>IF($A571="","",IF($AP571&lt;&gt;"",INDEX(Raw_D1!$B$2:$B$1001,$AP571),IF($AR571&lt;&gt;"",INDEX(Raw_D3!$B$2:$B$1001,$AR571),"")))</f>
        <v>40568.0</v>
      </c>
      <c r="C571" s="5">
        <f>IF($A571="","",IF($AP571&lt;&gt;"",INDEX(Raw_D1!$C$2:$C$1001,$AP571),IF($AR571&lt;&gt;"",INDEX(Raw_D3!$C$2:$C$1001,$AR571),"")))</f>
        <v>1</v>
      </c>
      <c r="D571" s="5">
        <f>IF($A571="","",IF($AP571&lt;&gt;"",INDEX(Raw_D1!$D$2:$D$1001,$AP571),IF($AR571&lt;&gt;"",INDEX(Raw_D3!$D$2:$D$1001,$AR571),"")))</f>
        <v>0</v>
      </c>
      <c r="E571" s="5">
        <f>IF($A571="","",IF($AP571&lt;&gt;"",INDEX(Raw_D1!$E$2:$E$1001,$AP571),IF($AR571&lt;&gt;"",INDEX(Raw_D3!$E$2:$E$1001,$AR571),"")))</f>
        <v>1</v>
      </c>
      <c r="F571" s="5">
        <f>IF($A571="","",IF($AP571&lt;&gt;"",INDEX(Raw_D1!$F$2:$F$1001,$AP571),IF($AR571&lt;&gt;"",INDEX(Raw_D3!$F$2:$F$1001,$AR571),"")))</f>
        <v>22</v>
      </c>
      <c r="G571" s="5">
        <f>IF($A571="","",IF($AP571&lt;&gt;"",IF(INDEX(Raw_D1!$G$2:$G$1001,$AP571),1,0),IF($AR571&lt;&gt;"",IF(INDEX(Raw_D3!$G$2:$G$1001,$AR571),1,0),"")))</f>
        <v>0</v>
      </c>
      <c r="H571" s="5">
        <f>IF($A571="","",IF($AP571&lt;&gt;"",INDEX(Raw_D1!$H$2:$H$1001,$AP571),IF($AR571&lt;&gt;"",INDEX(Raw_D3!$H$2:$H$1001,$AR571),"")))</f>
        <v>2</v>
      </c>
      <c r="I571" s="5">
        <f>IF($A571="","",IF($AP571&lt;&gt;"",INDEX(Raw_D1!$I$2:$I$1001,$AP571),IF($AR571&lt;&gt;"",INDEX(Raw_D3!$I$2:$I$1001,$AR571),"")))</f>
        <v>1</v>
      </c>
      <c r="J571" s="16">
        <f>IF($A571="","",IF($AP571&lt;&gt;"",INDEX(Raw_D1!$J$2:$J$1001,$AP571),IF($AR571&lt;&gt;"",INDEX(Raw_D3!$J$2:$J$1001,$AR571),"")))</f>
        <v>0.22</v>
      </c>
      <c r="K571" s="17">
        <f>IF($A571="","",IF($AQ571&lt;&gt;"",IF(INDEX(Raw_D2!$C$2:$C$1001,$AQ571)="","",INDEX(Raw_D2!$C$2:$C$1001,$AQ571)),IF($AR571&lt;&gt;"",IF(INDEX(Raw_D3!$K$2:$K$1001,$AR571)="","",INDEX(Raw_D3!$K$2:$K$1001,$AR571)),"")))</f>
        <v>0.2273</v>
      </c>
      <c r="L571" s="16">
        <f>IF($A571="","",IF($AQ571&lt;&gt;"",IF(INDEX(Raw_D2!$D$2:$D$1001,$AQ571)="","",INDEX(Raw_D2!$D$2:$D$1001,$AQ571)),IF($AR571&lt;&gt;"",IF(INDEX(Raw_D3!$L$2:$L$1001,$AR571)="","",INDEX(Raw_D3!$L$2:$L$1001,$AR571)),"")))</f>
        <v>0.64</v>
      </c>
      <c r="M571" s="17">
        <f>IF($A571="","",IF($AQ571&lt;&gt;"",IF(INDEX(Raw_D2!$E$2:$E$1001,$AQ571)="","",INDEX(Raw_D2!$E$2:$E$1001,$AQ571)),IF($AR571&lt;&gt;"",IF(INDEX(Raw_D3!$M$2:$M$1001,$AR571)="","",INDEX(Raw_D3!$M$2:$M$1001,$AR571)),"")))</f>
        <v>0.1642</v>
      </c>
      <c r="N571" s="5">
        <f>IF($A571="","",IF($AQ571&lt;&gt;"",IF(INDEX(Raw_D2!$F$2:$F$1001,$AQ571)="","",INDEX(Raw_D2!$F$2:$F$1001,$AQ571)),IF($AR571&lt;&gt;"",IF(INDEX(Raw_D3!$N$2:$N$1001,$AR571)="","",INDEX(Raw_D3!$N$2:$N$1001,$AR571)),"")))</f>
        <v>4</v>
      </c>
      <c r="O571" s="5">
        <f>IF($A571="","",IF($AQ571&lt;&gt;"",IF(INDEX(Raw_D2!$G$2:$G$1001,$AQ571)="","",INDEX(Raw_D2!$G$2:$G$1001,$AQ571)),IF($AR571&lt;&gt;"",IF(INDEX(Raw_D3!$O$2:$O$1001,$AR571)="","",INDEX(Raw_D3!$O$2:$O$1001,$AR571)),"")))</f>
        <v>49</v>
      </c>
      <c r="P571" s="5">
        <f>IF($A571="","",IF($AQ571&lt;&gt;"",IF(INDEX(Raw_D2!$H$2:$H$1001,$AQ571)="","",INDEX(Raw_D2!$H$2:$H$1001,$AQ571)),IF($AR571&lt;&gt;"",IF(INDEX(Raw_D3!$P$2:$P$1001,$AR571)="","",INDEX(Raw_D3!$P$2:$P$1001,$AR571)),"")))</f>
        <v>53</v>
      </c>
      <c r="Q571" s="5" t="str">
        <f>IF($A571="","",IF(AND($AP571&lt;&gt;"",$AQ571&lt;&gt;""),"D1+D2",IF($AR571&lt;&gt;"","D3","Incomplete")))</f>
        <v>D1+D2</v>
      </c>
      <c r="R571" s="17">
        <f>IF($A571="","",IF($K571="",IF($J571="","",ROUND(Lookups!$K$5+Lookups!$K$4*$J571,4)),$K571))</f>
        <v>0.2273</v>
      </c>
      <c r="S571" s="5" t="str">
        <f>IF($A571="","",IF($K571="","Imputed","Original"))</f>
        <v>Original</v>
      </c>
      <c r="T571" s="5" t="str">
        <f>IF($A571="","",IF($P571="","Missing",IF($P571=$N571+$O571,"OK","Mismatch")))</f>
        <v>OK</v>
      </c>
      <c r="U571" s="5" t="str">
        <f>IF($A571="","",IF(COUNTIF($A$2:$A571,$A571)&gt;1,"Duplicate","Unique"))</f>
        <v>Unique</v>
      </c>
      <c r="V571" s="5">
        <f>IF($A571="","",IF(AND($U571="Unique",ISNUMBER($P571)),1,0))</f>
        <v>1</v>
      </c>
      <c r="W571" s="5" t="str">
        <f>IF($A571="","",IF(OR($H571=0,$H571=6),"Weekend","Weekday"))</f>
        <v>Weekday</v>
      </c>
      <c r="X571" s="5" t="str">
        <f>IF($A571="","",TEXT($B571,"ddd"))</f>
        <v>Tue</v>
      </c>
      <c r="Y571" s="5" t="str">
        <f>IF($A571="","",TEXT($B571,"mmm"))</f>
        <v>Jan</v>
      </c>
      <c r="Z571" s="5" t="str">
        <f>IF($A571="","",IFERROR(VLOOKUP($C571,Lookups!$D$4:$E$7,2,FALSE),"Unknown"))</f>
        <v>Winter</v>
      </c>
      <c r="AA571" s="5" t="str">
        <f>IF($A571="","",IFERROR(VLOOKUP($I571,Lookups!$A$4:$B$7,2,FALSE),"Unknown"))</f>
        <v>Clear</v>
      </c>
      <c r="AB571" s="5" t="str">
        <f>IF($A571="","",TEXT($F571,"00")&amp;":00")</f>
        <v>22:00</v>
      </c>
      <c r="AC571" s="5" t="str">
        <f>IF($A571="","",VLOOKUP($F571,Lookups!$G$4:$H$8,2,TRUE))</f>
        <v>Late Evening (20-23)</v>
      </c>
      <c r="AD571" s="18">
        <f>IF($A571="","",IF($J571="","",ROUND($J571*41,1)))</f>
        <v>9</v>
      </c>
      <c r="AE571" s="18">
        <f>IF($A571="","",IF($R571="","",ROUND($R571*50,1)))</f>
        <v>11.4</v>
      </c>
      <c r="AF571" s="5">
        <f>IF($A571="","",IF($L571="","",ROUND($L571*100,0)))</f>
        <v>64</v>
      </c>
      <c r="AG571" s="18">
        <f>IF($A571="","",IF($M571="","",ROUND($M571*67,1)))</f>
        <v>11</v>
      </c>
      <c r="AH571" s="19">
        <f>IF($A571="","",IF($P571="","",IF($P571=0,0,$O571/$P571)))</f>
        <v>0.924528301886793</v>
      </c>
      <c r="AI571" s="5" t="str">
        <f>IF($A571="","",IF($P571="","",IF($P571&gt;=Lookups!$K$7,"High",IF($P571&lt;=Lookups!$K$8,"Low","Medium"))))</f>
        <v>Medium</v>
      </c>
      <c r="AJ571" s="5" t="str">
        <f>IF($A571="","",IF($AD571="","",IF($AD571&lt;5,"Under 5 C",IF($AD571&lt;10,"5-10 C",IF($AD571&lt;15,"10-15 C","15 C and above")))))</f>
        <v>5-10 C</v>
      </c>
      <c r="AK571" s="5">
        <f>IF($A571="","",IF($P571="","",$P571^2))</f>
        <v>2809</v>
      </c>
      <c r="AL571" s="18">
        <f>IF($V571&lt;&gt;1,"",AVERAGEIFS(Clean_Data!$P$2:$P$1001,Clean_Data!$F$2:$F$1001,$F571,Clean_Data!$W$2:$W$1001,$W571,Clean_Data!$V$2:$V$1001,1))</f>
        <v>37.1034482758621</v>
      </c>
      <c r="AM571" s="16">
        <f>IF($V571&lt;&gt;1,"",IFERROR(($P571-$AL571)/SQRT(MAX(0,(SUMIFS(Clean_Data!$AK$2:$AK$1001,Clean_Data!$F$2:$F$1001,$F571,Clean_Data!$W$2:$W$1001,$W571,Clean_Data!$V$2:$V$1001,1)-COUNTIFS(Clean_Data!$F$2:$F$1001,$F571,Clean_Data!$W$2:$W$1001,$W571,Clean_Data!$V$2:$V$1001,1)*$AL571^2)/(COUNTIFS(Clean_Data!$F$2:$F$1001,$F571,Clean_Data!$W$2:$W$1001,$W571,Clean_Data!$V$2:$V$1001,1)-1))),""))</f>
        <v>1.47263141273056</v>
      </c>
      <c r="AN571" s="5" t="str">
        <f>IF($AM571="","",IF($AM571&gt;=Lookups!$K$6,"High spike",IF($AM571&lt;=-Lookups!$K$6,"Unusual low","Normal")))</f>
        <v>Normal</v>
      </c>
      <c r="AO571" s="20">
        <f>IF($V571&lt;&gt;1,"",$P571+ROW()/100000)</f>
        <v>53.00571</v>
      </c>
      <c r="AP571" s="5">
        <f>IF($A571="","",IFERROR(MATCH($A571,Raw_D1!$A$2:$A$1001,0),""))</f>
        <v>570</v>
      </c>
      <c r="AQ571" s="5">
        <f>IF($A571="","",IFERROR(MATCH($A571,Raw_D2!$B$2:$B$1001,0),""))</f>
        <v>570</v>
      </c>
      <c r="AR571" s="5">
        <f>IF($A571="","",IFERROR(MATCH($A571,Raw_D3!$A$2:$A$1001,0),""))</f>
        <v/>
      </c>
    </row>
    <row r="572" spans="1:44" x14ac:dyDescent="0.25">
      <c r="A572" s="5">
        <v>571</v>
      </c>
      <c r="B572" s="11">
        <f>IF($A572="","",IF($AP572&lt;&gt;"",INDEX(Raw_D1!$B$2:$B$1001,$AP572),IF($AR572&lt;&gt;"",INDEX(Raw_D3!$B$2:$B$1001,$AR572),"")))</f>
        <v>40568.0</v>
      </c>
      <c r="C572" s="5">
        <f>IF($A572="","",IF($AP572&lt;&gt;"",INDEX(Raw_D1!$C$2:$C$1001,$AP572),IF($AR572&lt;&gt;"",INDEX(Raw_D3!$C$2:$C$1001,$AR572),"")))</f>
        <v>1</v>
      </c>
      <c r="D572" s="5">
        <f>IF($A572="","",IF($AP572&lt;&gt;"",INDEX(Raw_D1!$D$2:$D$1001,$AP572),IF($AR572&lt;&gt;"",INDEX(Raw_D3!$D$2:$D$1001,$AR572),"")))</f>
        <v>0</v>
      </c>
      <c r="E572" s="5">
        <f>IF($A572="","",IF($AP572&lt;&gt;"",INDEX(Raw_D1!$E$2:$E$1001,$AP572),IF($AR572&lt;&gt;"",INDEX(Raw_D3!$E$2:$E$1001,$AR572),"")))</f>
        <v>1</v>
      </c>
      <c r="F572" s="5">
        <f>IF($A572="","",IF($AP572&lt;&gt;"",INDEX(Raw_D1!$F$2:$F$1001,$AP572),IF($AR572&lt;&gt;"",INDEX(Raw_D3!$F$2:$F$1001,$AR572),"")))</f>
        <v>23</v>
      </c>
      <c r="G572" s="5">
        <f>IF($A572="","",IF($AP572&lt;&gt;"",IF(INDEX(Raw_D1!$G$2:$G$1001,$AP572),1,0),IF($AR572&lt;&gt;"",IF(INDEX(Raw_D3!$G$2:$G$1001,$AR572),1,0),"")))</f>
        <v>0</v>
      </c>
      <c r="H572" s="5">
        <f>IF($A572="","",IF($AP572&lt;&gt;"",INDEX(Raw_D1!$H$2:$H$1001,$AP572),IF($AR572&lt;&gt;"",INDEX(Raw_D3!$H$2:$H$1001,$AR572),"")))</f>
        <v>2</v>
      </c>
      <c r="I572" s="5">
        <f>IF($A572="","",IF($AP572&lt;&gt;"",INDEX(Raw_D1!$I$2:$I$1001,$AP572),IF($AR572&lt;&gt;"",INDEX(Raw_D3!$I$2:$I$1001,$AR572),"")))</f>
        <v>2</v>
      </c>
      <c r="J572" s="16">
        <f>IF($A572="","",IF($AP572&lt;&gt;"",INDEX(Raw_D1!$J$2:$J$1001,$AP572),IF($AR572&lt;&gt;"",INDEX(Raw_D3!$J$2:$J$1001,$AR572),"")))</f>
        <v>0.22</v>
      </c>
      <c r="K572" s="17">
        <f>IF($A572="","",IF($AQ572&lt;&gt;"",IF(INDEX(Raw_D2!$C$2:$C$1001,$AQ572)="","",INDEX(Raw_D2!$C$2:$C$1001,$AQ572)),IF($AR572&lt;&gt;"",IF(INDEX(Raw_D3!$K$2:$K$1001,$AR572)="","",INDEX(Raw_D3!$K$2:$K$1001,$AR572)),"")))</f>
        <v>0.2273</v>
      </c>
      <c r="L572" s="16">
        <f>IF($A572="","",IF($AQ572&lt;&gt;"",IF(INDEX(Raw_D2!$D$2:$D$1001,$AQ572)="","",INDEX(Raw_D2!$D$2:$D$1001,$AQ572)),IF($AR572&lt;&gt;"",IF(INDEX(Raw_D3!$L$2:$L$1001,$AR572)="","",INDEX(Raw_D3!$L$2:$L$1001,$AR572)),"")))</f>
        <v>0.64</v>
      </c>
      <c r="M572" s="17">
        <f>IF($A572="","",IF($AQ572&lt;&gt;"",IF(INDEX(Raw_D2!$E$2:$E$1001,$AQ572)="","",INDEX(Raw_D2!$E$2:$E$1001,$AQ572)),IF($AR572&lt;&gt;"",IF(INDEX(Raw_D3!$M$2:$M$1001,$AR572)="","",INDEX(Raw_D3!$M$2:$M$1001,$AR572)),"")))</f>
        <v>0.1642</v>
      </c>
      <c r="N572" s="5">
        <f>IF($A572="","",IF($AQ572&lt;&gt;"",IF(INDEX(Raw_D2!$F$2:$F$1001,$AQ572)="","",INDEX(Raw_D2!$F$2:$F$1001,$AQ572)),IF($AR572&lt;&gt;"",IF(INDEX(Raw_D3!$N$2:$N$1001,$AR572)="","",INDEX(Raw_D3!$N$2:$N$1001,$AR572)),"")))</f>
        <v>3</v>
      </c>
      <c r="O572" s="5">
        <f>IF($A572="","",IF($AQ572&lt;&gt;"",IF(INDEX(Raw_D2!$G$2:$G$1001,$AQ572)="","",INDEX(Raw_D2!$G$2:$G$1001,$AQ572)),IF($AR572&lt;&gt;"",IF(INDEX(Raw_D3!$O$2:$O$1001,$AR572)="","",INDEX(Raw_D3!$O$2:$O$1001,$AR572)),"")))</f>
        <v>37</v>
      </c>
      <c r="P572" s="5">
        <f>IF($A572="","",IF($AQ572&lt;&gt;"",IF(INDEX(Raw_D2!$H$2:$H$1001,$AQ572)="","",INDEX(Raw_D2!$H$2:$H$1001,$AQ572)),IF($AR572&lt;&gt;"",IF(INDEX(Raw_D3!$P$2:$P$1001,$AR572)="","",INDEX(Raw_D3!$P$2:$P$1001,$AR572)),"")))</f>
        <v>40</v>
      </c>
      <c r="Q572" s="5" t="str">
        <f>IF($A572="","",IF(AND($AP572&lt;&gt;"",$AQ572&lt;&gt;""),"D1+D2",IF($AR572&lt;&gt;"","D3","Incomplete")))</f>
        <v>D1+D2</v>
      </c>
      <c r="R572" s="17">
        <f>IF($A572="","",IF($K572="",IF($J572="","",ROUND(Lookups!$K$5+Lookups!$K$4*$J572,4)),$K572))</f>
        <v>0.2273</v>
      </c>
      <c r="S572" s="5" t="str">
        <f>IF($A572="","",IF($K572="","Imputed","Original"))</f>
        <v>Original</v>
      </c>
      <c r="T572" s="5" t="str">
        <f>IF($A572="","",IF($P572="","Missing",IF($P572=$N572+$O572,"OK","Mismatch")))</f>
        <v>OK</v>
      </c>
      <c r="U572" s="5" t="str">
        <f>IF($A572="","",IF(COUNTIF($A$2:$A572,$A572)&gt;1,"Duplicate","Unique"))</f>
        <v>Unique</v>
      </c>
      <c r="V572" s="5">
        <f>IF($A572="","",IF(AND($U572="Unique",ISNUMBER($P572)),1,0))</f>
        <v>1</v>
      </c>
      <c r="W572" s="5" t="str">
        <f>IF($A572="","",IF(OR($H572=0,$H572=6),"Weekend","Weekday"))</f>
        <v>Weekday</v>
      </c>
      <c r="X572" s="5" t="str">
        <f>IF($A572="","",TEXT($B572,"ddd"))</f>
        <v>Tue</v>
      </c>
      <c r="Y572" s="5" t="str">
        <f>IF($A572="","",TEXT($B572,"mmm"))</f>
        <v>Jan</v>
      </c>
      <c r="Z572" s="5" t="str">
        <f>IF($A572="","",IFERROR(VLOOKUP($C572,Lookups!$D$4:$E$7,2,FALSE),"Unknown"))</f>
        <v>Winter</v>
      </c>
      <c r="AA572" s="5" t="str">
        <f>IF($A572="","",IFERROR(VLOOKUP($I572,Lookups!$A$4:$B$7,2,FALSE),"Unknown"))</f>
        <v>Mist/Cloudy</v>
      </c>
      <c r="AB572" s="5" t="str">
        <f>IF($A572="","",TEXT($F572,"00")&amp;":00")</f>
        <v>23:00</v>
      </c>
      <c r="AC572" s="5" t="str">
        <f>IF($A572="","",VLOOKUP($F572,Lookups!$G$4:$H$8,2,TRUE))</f>
        <v>Late Evening (20-23)</v>
      </c>
      <c r="AD572" s="18">
        <f>IF($A572="","",IF($J572="","",ROUND($J572*41,1)))</f>
        <v>9</v>
      </c>
      <c r="AE572" s="18">
        <f>IF($A572="","",IF($R572="","",ROUND($R572*50,1)))</f>
        <v>11.4</v>
      </c>
      <c r="AF572" s="5">
        <f>IF($A572="","",IF($L572="","",ROUND($L572*100,0)))</f>
        <v>64</v>
      </c>
      <c r="AG572" s="18">
        <f>IF($A572="","",IF($M572="","",ROUND($M572*67,1)))</f>
        <v>11</v>
      </c>
      <c r="AH572" s="19">
        <f>IF($A572="","",IF($P572="","",IF($P572=0,0,$O572/$P572)))</f>
        <v>0.925</v>
      </c>
      <c r="AI572" s="5" t="str">
        <f>IF($A572="","",IF($P572="","",IF($P572&gt;=Lookups!$K$7,"High",IF($P572&lt;=Lookups!$K$8,"Low","Medium"))))</f>
        <v>Medium</v>
      </c>
      <c r="AJ572" s="5" t="str">
        <f>IF($A572="","",IF($AD572="","",IF($AD572&lt;5,"Under 5 C",IF($AD572&lt;10,"5-10 C",IF($AD572&lt;15,"10-15 C","15 C and above")))))</f>
        <v>5-10 C</v>
      </c>
      <c r="AK572" s="5">
        <f>IF($A572="","",IF($P572="","",$P572^2))</f>
        <v>1600</v>
      </c>
      <c r="AL572" s="18">
        <f>IF($V572&lt;&gt;1,"",AVERAGEIFS(Clean_Data!$P$2:$P$1001,Clean_Data!$F$2:$F$1001,$F572,Clean_Data!$W$2:$W$1001,$W572,Clean_Data!$V$2:$V$1001,1))</f>
        <v>23.6896551724138</v>
      </c>
      <c r="AM572" s="16">
        <f>IF($V572&lt;&gt;1,"",IFERROR(($P572-$AL572)/SQRT(MAX(0,(SUMIFS(Clean_Data!$AK$2:$AK$1001,Clean_Data!$F$2:$F$1001,$F572,Clean_Data!$W$2:$W$1001,$W572,Clean_Data!$V$2:$V$1001,1)-COUNTIFS(Clean_Data!$F$2:$F$1001,$F572,Clean_Data!$W$2:$W$1001,$W572,Clean_Data!$V$2:$V$1001,1)*$AL572^2)/(COUNTIFS(Clean_Data!$F$2:$F$1001,$F572,Clean_Data!$W$2:$W$1001,$W572,Clean_Data!$V$2:$V$1001,1)-1))),""))</f>
        <v>1.55710151997792</v>
      </c>
      <c r="AN572" s="5" t="str">
        <f>IF($AM572="","",IF($AM572&gt;=Lookups!$K$6,"High spike",IF($AM572&lt;=-Lookups!$K$6,"Unusual low","Normal")))</f>
        <v>Normal</v>
      </c>
      <c r="AO572" s="20">
        <f>IF($V572&lt;&gt;1,"",$P572+ROW()/100000)</f>
        <v>40.00572</v>
      </c>
      <c r="AP572" s="5">
        <f>IF($A572="","",IFERROR(MATCH($A572,Raw_D1!$A$2:$A$1001,0),""))</f>
        <v>571</v>
      </c>
      <c r="AQ572" s="5">
        <f>IF($A572="","",IFERROR(MATCH($A572,Raw_D2!$B$2:$B$1001,0),""))</f>
        <v>571</v>
      </c>
      <c r="AR572" s="5">
        <f>IF($A572="","",IFERROR(MATCH($A572,Raw_D3!$A$2:$A$1001,0),""))</f>
        <v/>
      </c>
    </row>
    <row r="573" spans="1:44" x14ac:dyDescent="0.25">
      <c r="A573" s="5">
        <v>572</v>
      </c>
      <c r="B573" s="11">
        <f>IF($A573="","",IF($AP573&lt;&gt;"",INDEX(Raw_D1!$B$2:$B$1001,$AP573),IF($AR573&lt;&gt;"",INDEX(Raw_D3!$B$2:$B$1001,$AR573),"")))</f>
        <v>40569.0</v>
      </c>
      <c r="C573" s="5">
        <f>IF($A573="","",IF($AP573&lt;&gt;"",INDEX(Raw_D1!$C$2:$C$1001,$AP573),IF($AR573&lt;&gt;"",INDEX(Raw_D3!$C$2:$C$1001,$AR573),"")))</f>
        <v>1</v>
      </c>
      <c r="D573" s="5">
        <f>IF($A573="","",IF($AP573&lt;&gt;"",INDEX(Raw_D1!$D$2:$D$1001,$AP573),IF($AR573&lt;&gt;"",INDEX(Raw_D3!$D$2:$D$1001,$AR573),"")))</f>
        <v>0</v>
      </c>
      <c r="E573" s="5">
        <f>IF($A573="","",IF($AP573&lt;&gt;"",INDEX(Raw_D1!$E$2:$E$1001,$AP573),IF($AR573&lt;&gt;"",INDEX(Raw_D3!$E$2:$E$1001,$AR573),"")))</f>
        <v>1</v>
      </c>
      <c r="F573" s="5">
        <f>IF($A573="","",IF($AP573&lt;&gt;"",INDEX(Raw_D1!$F$2:$F$1001,$AP573),IF($AR573&lt;&gt;"",INDEX(Raw_D3!$F$2:$F$1001,$AR573),"")))</f>
        <v>0</v>
      </c>
      <c r="G573" s="5">
        <f>IF($A573="","",IF($AP573&lt;&gt;"",IF(INDEX(Raw_D1!$G$2:$G$1001,$AP573),1,0),IF($AR573&lt;&gt;"",IF(INDEX(Raw_D3!$G$2:$G$1001,$AR573),1,0),"")))</f>
        <v>0</v>
      </c>
      <c r="H573" s="5">
        <f>IF($A573="","",IF($AP573&lt;&gt;"",INDEX(Raw_D1!$H$2:$H$1001,$AP573),IF($AR573&lt;&gt;"",INDEX(Raw_D3!$H$2:$H$1001,$AR573),"")))</f>
        <v>3</v>
      </c>
      <c r="I573" s="5">
        <f>IF($A573="","",IF($AP573&lt;&gt;"",INDEX(Raw_D1!$I$2:$I$1001,$AP573),IF($AR573&lt;&gt;"",INDEX(Raw_D3!$I$2:$I$1001,$AR573),"")))</f>
        <v>2</v>
      </c>
      <c r="J573" s="16">
        <f>IF($A573="","",IF($AP573&lt;&gt;"",INDEX(Raw_D1!$J$2:$J$1001,$AP573),IF($AR573&lt;&gt;"",INDEX(Raw_D3!$J$2:$J$1001,$AR573),"")))</f>
        <v>0.22</v>
      </c>
      <c r="K573" s="17">
        <f>IF($A573="","",IF($AQ573&lt;&gt;"",IF(INDEX(Raw_D2!$C$2:$C$1001,$AQ573)="","",INDEX(Raw_D2!$C$2:$C$1001,$AQ573)),IF($AR573&lt;&gt;"",IF(INDEX(Raw_D3!$K$2:$K$1001,$AR573)="","",INDEX(Raw_D3!$K$2:$K$1001,$AR573)),"")))</f>
        <v>0.2273</v>
      </c>
      <c r="L573" s="16">
        <f>IF($A573="","",IF($AQ573&lt;&gt;"",IF(INDEX(Raw_D2!$D$2:$D$1001,$AQ573)="","",INDEX(Raw_D2!$D$2:$D$1001,$AQ573)),IF($AR573&lt;&gt;"",IF(INDEX(Raw_D3!$L$2:$L$1001,$AR573)="","",INDEX(Raw_D3!$L$2:$L$1001,$AR573)),"")))</f>
        <v>0.69</v>
      </c>
      <c r="M573" s="17">
        <f>IF($A573="","",IF($AQ573&lt;&gt;"",IF(INDEX(Raw_D2!$E$2:$E$1001,$AQ573)="","",INDEX(Raw_D2!$E$2:$E$1001,$AQ573)),IF($AR573&lt;&gt;"",IF(INDEX(Raw_D3!$M$2:$M$1001,$AR573)="","",INDEX(Raw_D3!$M$2:$M$1001,$AR573)),"")))</f>
        <v>0.1343</v>
      </c>
      <c r="N573" s="5">
        <f>IF($A573="","",IF($AQ573&lt;&gt;"",IF(INDEX(Raw_D2!$F$2:$F$1001,$AQ573)="","",INDEX(Raw_D2!$F$2:$F$1001,$AQ573)),IF($AR573&lt;&gt;"",IF(INDEX(Raw_D3!$N$2:$N$1001,$AR573)="","",INDEX(Raw_D3!$N$2:$N$1001,$AR573)),"")))</f>
        <v>3</v>
      </c>
      <c r="O573" s="5">
        <f>IF($A573="","",IF($AQ573&lt;&gt;"",IF(INDEX(Raw_D2!$G$2:$G$1001,$AQ573)="","",INDEX(Raw_D2!$G$2:$G$1001,$AQ573)),IF($AR573&lt;&gt;"",IF(INDEX(Raw_D3!$O$2:$O$1001,$AR573)="","",INDEX(Raw_D3!$O$2:$O$1001,$AR573)),"")))</f>
        <v>14</v>
      </c>
      <c r="P573" s="5">
        <f>IF($A573="","",IF($AQ573&lt;&gt;"",IF(INDEX(Raw_D2!$H$2:$H$1001,$AQ573)="","",INDEX(Raw_D2!$H$2:$H$1001,$AQ573)),IF($AR573&lt;&gt;"",IF(INDEX(Raw_D3!$P$2:$P$1001,$AR573)="","",INDEX(Raw_D3!$P$2:$P$1001,$AR573)),"")))</f>
        <v>17</v>
      </c>
      <c r="Q573" s="5" t="str">
        <f>IF($A573="","",IF(AND($AP573&lt;&gt;"",$AQ573&lt;&gt;""),"D1+D2",IF($AR573&lt;&gt;"","D3","Incomplete")))</f>
        <v>D1+D2</v>
      </c>
      <c r="R573" s="17">
        <f>IF($A573="","",IF($K573="",IF($J573="","",ROUND(Lookups!$K$5+Lookups!$K$4*$J573,4)),$K573))</f>
        <v>0.2273</v>
      </c>
      <c r="S573" s="5" t="str">
        <f>IF($A573="","",IF($K573="","Imputed","Original"))</f>
        <v>Original</v>
      </c>
      <c r="T573" s="5" t="str">
        <f>IF($A573="","",IF($P573="","Missing",IF($P573=$N573+$O573,"OK","Mismatch")))</f>
        <v>OK</v>
      </c>
      <c r="U573" s="5" t="str">
        <f>IF($A573="","",IF(COUNTIF($A$2:$A573,$A573)&gt;1,"Duplicate","Unique"))</f>
        <v>Unique</v>
      </c>
      <c r="V573" s="5">
        <f>IF($A573="","",IF(AND($U573="Unique",ISNUMBER($P573)),1,0))</f>
        <v>1</v>
      </c>
      <c r="W573" s="5" t="str">
        <f>IF($A573="","",IF(OR($H573=0,$H573=6),"Weekend","Weekday"))</f>
        <v>Weekday</v>
      </c>
      <c r="X573" s="5" t="str">
        <f>IF($A573="","",TEXT($B573,"ddd"))</f>
        <v>Wed</v>
      </c>
      <c r="Y573" s="5" t="str">
        <f>IF($A573="","",TEXT($B573,"mmm"))</f>
        <v>Jan</v>
      </c>
      <c r="Z573" s="5" t="str">
        <f>IF($A573="","",IFERROR(VLOOKUP($C573,Lookups!$D$4:$E$7,2,FALSE),"Unknown"))</f>
        <v>Winter</v>
      </c>
      <c r="AA573" s="5" t="str">
        <f>IF($A573="","",IFERROR(VLOOKUP($I573,Lookups!$A$4:$B$7,2,FALSE),"Unknown"))</f>
        <v>Mist/Cloudy</v>
      </c>
      <c r="AB573" s="5" t="str">
        <f>IF($A573="","",TEXT($F573,"00")&amp;":00")</f>
        <v>00:00</v>
      </c>
      <c r="AC573" s="5" t="str">
        <f>IF($A573="","",VLOOKUP($F573,Lookups!$G$4:$H$8,2,TRUE))</f>
        <v>Night (00-05)</v>
      </c>
      <c r="AD573" s="18">
        <f>IF($A573="","",IF($J573="","",ROUND($J573*41,1)))</f>
        <v>9</v>
      </c>
      <c r="AE573" s="18">
        <f>IF($A573="","",IF($R573="","",ROUND($R573*50,1)))</f>
        <v>11.4</v>
      </c>
      <c r="AF573" s="5">
        <f>IF($A573="","",IF($L573="","",ROUND($L573*100,0)))</f>
        <v>69</v>
      </c>
      <c r="AG573" s="18">
        <f>IF($A573="","",IF($M573="","",ROUND($M573*67,1)))</f>
        <v>9</v>
      </c>
      <c r="AH573" s="19">
        <f>IF($A573="","",IF($P573="","",IF($P573=0,0,$O573/$P573)))</f>
        <v>0.823529411764706</v>
      </c>
      <c r="AI573" s="5" t="str">
        <f>IF($A573="","",IF($P573="","",IF($P573&gt;=Lookups!$K$7,"High",IF($P573&lt;=Lookups!$K$8,"Low","Medium"))))</f>
        <v>Medium</v>
      </c>
      <c r="AJ573" s="5" t="str">
        <f>IF($A573="","",IF($AD573="","",IF($AD573&lt;5,"Under 5 C",IF($AD573&lt;10,"5-10 C",IF($AD573&lt;15,"10-15 C","15 C and above")))))</f>
        <v>5-10 C</v>
      </c>
      <c r="AK573" s="5">
        <f>IF($A573="","",IF($P573="","",$P573^2))</f>
        <v>289</v>
      </c>
      <c r="AL573" s="18">
        <f>IF($V573&lt;&gt;1,"",AVERAGEIFS(Clean_Data!$P$2:$P$1001,Clean_Data!$F$2:$F$1001,$F573,Clean_Data!$W$2:$W$1001,$W573,Clean_Data!$V$2:$V$1001,1))</f>
        <v>10.6896551724138</v>
      </c>
      <c r="AM573" s="16">
        <f>IF($V573&lt;&gt;1,"",IFERROR(($P573-$AL573)/SQRT(MAX(0,(SUMIFS(Clean_Data!$AK$2:$AK$1001,Clean_Data!$F$2:$F$1001,$F573,Clean_Data!$W$2:$W$1001,$W573,Clean_Data!$V$2:$V$1001,1)-COUNTIFS(Clean_Data!$F$2:$F$1001,$F573,Clean_Data!$W$2:$W$1001,$W573,Clean_Data!$V$2:$V$1001,1)*$AL573^2)/(COUNTIFS(Clean_Data!$F$2:$F$1001,$F573,Clean_Data!$W$2:$W$1001,$W573,Clean_Data!$V$2:$V$1001,1)-1))),""))</f>
        <v>1.28981570673671</v>
      </c>
      <c r="AN573" s="5" t="str">
        <f>IF($AM573="","",IF($AM573&gt;=Lookups!$K$6,"High spike",IF($AM573&lt;=-Lookups!$K$6,"Unusual low","Normal")))</f>
        <v>Normal</v>
      </c>
      <c r="AO573" s="20">
        <f>IF($V573&lt;&gt;1,"",$P573+ROW()/100000)</f>
        <v>17.00573</v>
      </c>
      <c r="AP573" s="5">
        <f>IF($A573="","",IFERROR(MATCH($A573,Raw_D1!$A$2:$A$1001,0),""))</f>
        <v>572</v>
      </c>
      <c r="AQ573" s="5">
        <f>IF($A573="","",IFERROR(MATCH($A573,Raw_D2!$B$2:$B$1001,0),""))</f>
        <v>572</v>
      </c>
      <c r="AR573" s="5">
        <f>IF($A573="","",IFERROR(MATCH($A573,Raw_D3!$A$2:$A$1001,0),""))</f>
        <v/>
      </c>
    </row>
    <row r="574" spans="1:44" x14ac:dyDescent="0.25">
      <c r="A574" s="5">
        <v>573</v>
      </c>
      <c r="B574" s="11">
        <f>IF($A574="","",IF($AP574&lt;&gt;"",INDEX(Raw_D1!$B$2:$B$1001,$AP574),IF($AR574&lt;&gt;"",INDEX(Raw_D3!$B$2:$B$1001,$AR574),"")))</f>
        <v>40569.0</v>
      </c>
      <c r="C574" s="5">
        <f>IF($A574="","",IF($AP574&lt;&gt;"",INDEX(Raw_D1!$C$2:$C$1001,$AP574),IF($AR574&lt;&gt;"",INDEX(Raw_D3!$C$2:$C$1001,$AR574),"")))</f>
        <v>1</v>
      </c>
      <c r="D574" s="5">
        <f>IF($A574="","",IF($AP574&lt;&gt;"",INDEX(Raw_D1!$D$2:$D$1001,$AP574),IF($AR574&lt;&gt;"",INDEX(Raw_D3!$D$2:$D$1001,$AR574),"")))</f>
        <v>0</v>
      </c>
      <c r="E574" s="5">
        <f>IF($A574="","",IF($AP574&lt;&gt;"",INDEX(Raw_D1!$E$2:$E$1001,$AP574),IF($AR574&lt;&gt;"",INDEX(Raw_D3!$E$2:$E$1001,$AR574),"")))</f>
        <v>1</v>
      </c>
      <c r="F574" s="5">
        <f>IF($A574="","",IF($AP574&lt;&gt;"",INDEX(Raw_D1!$F$2:$F$1001,$AP574),IF($AR574&lt;&gt;"",INDEX(Raw_D3!$F$2:$F$1001,$AR574),"")))</f>
        <v>1</v>
      </c>
      <c r="G574" s="5">
        <f>IF($A574="","",IF($AP574&lt;&gt;"",IF(INDEX(Raw_D1!$G$2:$G$1001,$AP574),1,0),IF($AR574&lt;&gt;"",IF(INDEX(Raw_D3!$G$2:$G$1001,$AR574),1,0),"")))</f>
        <v>0</v>
      </c>
      <c r="H574" s="5">
        <f>IF($A574="","",IF($AP574&lt;&gt;"",INDEX(Raw_D1!$H$2:$H$1001,$AP574),IF($AR574&lt;&gt;"",INDEX(Raw_D3!$H$2:$H$1001,$AR574),"")))</f>
        <v>3</v>
      </c>
      <c r="I574" s="5">
        <f>IF($A574="","",IF($AP574&lt;&gt;"",INDEX(Raw_D1!$I$2:$I$1001,$AP574),IF($AR574&lt;&gt;"",INDEX(Raw_D3!$I$2:$I$1001,$AR574),"")))</f>
        <v>2</v>
      </c>
      <c r="J574" s="16">
        <f>IF($A574="","",IF($AP574&lt;&gt;"",INDEX(Raw_D1!$J$2:$J$1001,$AP574),IF($AR574&lt;&gt;"",INDEX(Raw_D3!$J$2:$J$1001,$AR574),"")))</f>
        <v>0.24</v>
      </c>
      <c r="K574" s="17">
        <f>IF($A574="","",IF($AQ574&lt;&gt;"",IF(INDEX(Raw_D2!$C$2:$C$1001,$AQ574)="","",INDEX(Raw_D2!$C$2:$C$1001,$AQ574)),IF($AR574&lt;&gt;"",IF(INDEX(Raw_D3!$K$2:$K$1001,$AR574)="","",INDEX(Raw_D3!$K$2:$K$1001,$AR574)),"")))</f>
        <v>0.2424</v>
      </c>
      <c r="L574" s="16">
        <f>IF($A574="","",IF($AQ574&lt;&gt;"",IF(INDEX(Raw_D2!$D$2:$D$1001,$AQ574)="","",INDEX(Raw_D2!$D$2:$D$1001,$AQ574)),IF($AR574&lt;&gt;"",IF(INDEX(Raw_D3!$L$2:$L$1001,$AR574)="","",INDEX(Raw_D3!$L$2:$L$1001,$AR574)),"")))</f>
        <v>0.65</v>
      </c>
      <c r="M574" s="17">
        <f>IF($A574="","",IF($AQ574&lt;&gt;"",IF(INDEX(Raw_D2!$E$2:$E$1001,$AQ574)="","",INDEX(Raw_D2!$E$2:$E$1001,$AQ574)),IF($AR574&lt;&gt;"",IF(INDEX(Raw_D3!$M$2:$M$1001,$AR574)="","",INDEX(Raw_D3!$M$2:$M$1001,$AR574)),"")))</f>
        <v>0.1343</v>
      </c>
      <c r="N574" s="5">
        <f>IF($A574="","",IF($AQ574&lt;&gt;"",IF(INDEX(Raw_D2!$F$2:$F$1001,$AQ574)="","",INDEX(Raw_D2!$F$2:$F$1001,$AQ574)),IF($AR574&lt;&gt;"",IF(INDEX(Raw_D3!$N$2:$N$1001,$AR574)="","",INDEX(Raw_D3!$N$2:$N$1001,$AR574)),"")))</f>
        <v>0</v>
      </c>
      <c r="O574" s="5">
        <f>IF($A574="","",IF($AQ574&lt;&gt;"",IF(INDEX(Raw_D2!$G$2:$G$1001,$AQ574)="","",INDEX(Raw_D2!$G$2:$G$1001,$AQ574)),IF($AR574&lt;&gt;"",IF(INDEX(Raw_D3!$O$2:$O$1001,$AR574)="","",INDEX(Raw_D3!$O$2:$O$1001,$AR574)),"")))</f>
        <v>5</v>
      </c>
      <c r="P574" s="5">
        <f>IF($A574="","",IF($AQ574&lt;&gt;"",IF(INDEX(Raw_D2!$H$2:$H$1001,$AQ574)="","",INDEX(Raw_D2!$H$2:$H$1001,$AQ574)),IF($AR574&lt;&gt;"",IF(INDEX(Raw_D3!$P$2:$P$1001,$AR574)="","",INDEX(Raw_D3!$P$2:$P$1001,$AR574)),"")))</f>
        <v>5</v>
      </c>
      <c r="Q574" s="5" t="str">
        <f>IF($A574="","",IF(AND($AP574&lt;&gt;"",$AQ574&lt;&gt;""),"D1+D2",IF($AR574&lt;&gt;"","D3","Incomplete")))</f>
        <v>D1+D2</v>
      </c>
      <c r="R574" s="17">
        <f>IF($A574="","",IF($K574="",IF($J574="","",ROUND(Lookups!$K$5+Lookups!$K$4*$J574,4)),$K574))</f>
        <v>0.2424</v>
      </c>
      <c r="S574" s="5" t="str">
        <f>IF($A574="","",IF($K574="","Imputed","Original"))</f>
        <v>Original</v>
      </c>
      <c r="T574" s="5" t="str">
        <f>IF($A574="","",IF($P574="","Missing",IF($P574=$N574+$O574,"OK","Mismatch")))</f>
        <v>OK</v>
      </c>
      <c r="U574" s="5" t="str">
        <f>IF($A574="","",IF(COUNTIF($A$2:$A574,$A574)&gt;1,"Duplicate","Unique"))</f>
        <v>Unique</v>
      </c>
      <c r="V574" s="5">
        <f>IF($A574="","",IF(AND($U574="Unique",ISNUMBER($P574)),1,0))</f>
        <v>1</v>
      </c>
      <c r="W574" s="5" t="str">
        <f>IF($A574="","",IF(OR($H574=0,$H574=6),"Weekend","Weekday"))</f>
        <v>Weekday</v>
      </c>
      <c r="X574" s="5" t="str">
        <f>IF($A574="","",TEXT($B574,"ddd"))</f>
        <v>Wed</v>
      </c>
      <c r="Y574" s="5" t="str">
        <f>IF($A574="","",TEXT($B574,"mmm"))</f>
        <v>Jan</v>
      </c>
      <c r="Z574" s="5" t="str">
        <f>IF($A574="","",IFERROR(VLOOKUP($C574,Lookups!$D$4:$E$7,2,FALSE),"Unknown"))</f>
        <v>Winter</v>
      </c>
      <c r="AA574" s="5" t="str">
        <f>IF($A574="","",IFERROR(VLOOKUP($I574,Lookups!$A$4:$B$7,2,FALSE),"Unknown"))</f>
        <v>Mist/Cloudy</v>
      </c>
      <c r="AB574" s="5" t="str">
        <f>IF($A574="","",TEXT($F574,"00")&amp;":00")</f>
        <v>01:00</v>
      </c>
      <c r="AC574" s="5" t="str">
        <f>IF($A574="","",VLOOKUP($F574,Lookups!$G$4:$H$8,2,TRUE))</f>
        <v>Night (00-05)</v>
      </c>
      <c r="AD574" s="18">
        <f>IF($A574="","",IF($J574="","",ROUND($J574*41,1)))</f>
        <v>9.8</v>
      </c>
      <c r="AE574" s="18">
        <f>IF($A574="","",IF($R574="","",ROUND($R574*50,1)))</f>
        <v>12.1</v>
      </c>
      <c r="AF574" s="5">
        <f>IF($A574="","",IF($L574="","",ROUND($L574*100,0)))</f>
        <v>65</v>
      </c>
      <c r="AG574" s="18">
        <f>IF($A574="","",IF($M574="","",ROUND($M574*67,1)))</f>
        <v>9</v>
      </c>
      <c r="AH574" s="19">
        <f>IF($A574="","",IF($P574="","",IF($P574=0,0,$O574/$P574)))</f>
        <v>1</v>
      </c>
      <c r="AI574" s="5" t="str">
        <f>IF($A574="","",IF($P574="","",IF($P574&gt;=Lookups!$K$7,"High",IF($P574&lt;=Lookups!$K$8,"Low","Medium"))))</f>
        <v>Low</v>
      </c>
      <c r="AJ574" s="5" t="str">
        <f>IF($A574="","",IF($AD574="","",IF($AD574&lt;5,"Under 5 C",IF($AD574&lt;10,"5-10 C",IF($AD574&lt;15,"10-15 C","15 C and above")))))</f>
        <v>5-10 C</v>
      </c>
      <c r="AK574" s="5">
        <f>IF($A574="","",IF($P574="","",$P574^2))</f>
        <v>25</v>
      </c>
      <c r="AL574" s="18">
        <f>IF($V574&lt;&gt;1,"",AVERAGEIFS(Clean_Data!$P$2:$P$1001,Clean_Data!$F$2:$F$1001,$F574,Clean_Data!$W$2:$W$1001,$W574,Clean_Data!$V$2:$V$1001,1))</f>
        <v>5.10344827586207</v>
      </c>
      <c r="AM574" s="16">
        <f>IF($V574&lt;&gt;1,"",IFERROR(($P574-$AL574)/SQRT(MAX(0,(SUMIFS(Clean_Data!$AK$2:$AK$1001,Clean_Data!$F$2:$F$1001,$F574,Clean_Data!$W$2:$W$1001,$W574,Clean_Data!$V$2:$V$1001,1)-COUNTIFS(Clean_Data!$F$2:$F$1001,$F574,Clean_Data!$W$2:$W$1001,$W574,Clean_Data!$V$2:$V$1001,1)*$AL574^2)/(COUNTIFS(Clean_Data!$F$2:$F$1001,$F574,Clean_Data!$W$2:$W$1001,$W574,Clean_Data!$V$2:$V$1001,1)-1))),""))</f>
        <v>-0.0358850647735475</v>
      </c>
      <c r="AN574" s="5" t="str">
        <f>IF($AM574="","",IF($AM574&gt;=Lookups!$K$6,"High spike",IF($AM574&lt;=-Lookups!$K$6,"Unusual low","Normal")))</f>
        <v>Normal</v>
      </c>
      <c r="AO574" s="20">
        <f>IF($V574&lt;&gt;1,"",$P574+ROW()/100000)</f>
        <v>5.00574</v>
      </c>
      <c r="AP574" s="5">
        <f>IF($A574="","",IFERROR(MATCH($A574,Raw_D1!$A$2:$A$1001,0),""))</f>
        <v>573</v>
      </c>
      <c r="AQ574" s="5">
        <f>IF($A574="","",IFERROR(MATCH($A574,Raw_D2!$B$2:$B$1001,0),""))</f>
        <v>573</v>
      </c>
      <c r="AR574" s="5">
        <f>IF($A574="","",IFERROR(MATCH($A574,Raw_D3!$A$2:$A$1001,0),""))</f>
        <v/>
      </c>
    </row>
    <row r="575" spans="1:44" x14ac:dyDescent="0.25">
      <c r="A575" s="5">
        <v>574</v>
      </c>
      <c r="B575" s="11">
        <f>IF($A575="","",IF($AP575&lt;&gt;"",INDEX(Raw_D1!$B$2:$B$1001,$AP575),IF($AR575&lt;&gt;"",INDEX(Raw_D3!$B$2:$B$1001,$AR575),"")))</f>
        <v>40569.0</v>
      </c>
      <c r="C575" s="5">
        <f>IF($A575="","",IF($AP575&lt;&gt;"",INDEX(Raw_D1!$C$2:$C$1001,$AP575),IF($AR575&lt;&gt;"",INDEX(Raw_D3!$C$2:$C$1001,$AR575),"")))</f>
        <v>1</v>
      </c>
      <c r="D575" s="5">
        <f>IF($A575="","",IF($AP575&lt;&gt;"",INDEX(Raw_D1!$D$2:$D$1001,$AP575),IF($AR575&lt;&gt;"",INDEX(Raw_D3!$D$2:$D$1001,$AR575),"")))</f>
        <v>0</v>
      </c>
      <c r="E575" s="5">
        <f>IF($A575="","",IF($AP575&lt;&gt;"",INDEX(Raw_D1!$E$2:$E$1001,$AP575),IF($AR575&lt;&gt;"",INDEX(Raw_D3!$E$2:$E$1001,$AR575),"")))</f>
        <v>1</v>
      </c>
      <c r="F575" s="5">
        <f>IF($A575="","",IF($AP575&lt;&gt;"",INDEX(Raw_D1!$F$2:$F$1001,$AP575),IF($AR575&lt;&gt;"",INDEX(Raw_D3!$F$2:$F$1001,$AR575),"")))</f>
        <v>2</v>
      </c>
      <c r="G575" s="5">
        <f>IF($A575="","",IF($AP575&lt;&gt;"",IF(INDEX(Raw_D1!$G$2:$G$1001,$AP575),1,0),IF($AR575&lt;&gt;"",IF(INDEX(Raw_D3!$G$2:$G$1001,$AR575),1,0),"")))</f>
        <v>0</v>
      </c>
      <c r="H575" s="5">
        <f>IF($A575="","",IF($AP575&lt;&gt;"",INDEX(Raw_D1!$H$2:$H$1001,$AP575),IF($AR575&lt;&gt;"",INDEX(Raw_D3!$H$2:$H$1001,$AR575),"")))</f>
        <v>3</v>
      </c>
      <c r="I575" s="5">
        <f>IF($A575="","",IF($AP575&lt;&gt;"",INDEX(Raw_D1!$I$2:$I$1001,$AP575),IF($AR575&lt;&gt;"",INDEX(Raw_D3!$I$2:$I$1001,$AR575),"")))</f>
        <v>3</v>
      </c>
      <c r="J575" s="16">
        <f>IF($A575="","",IF($AP575&lt;&gt;"",INDEX(Raw_D1!$J$2:$J$1001,$AP575),IF($AR575&lt;&gt;"",INDEX(Raw_D3!$J$2:$J$1001,$AR575),"")))</f>
        <v>0.22</v>
      </c>
      <c r="K575" s="17">
        <f>IF($A575="","",IF($AQ575&lt;&gt;"",IF(INDEX(Raw_D2!$C$2:$C$1001,$AQ575)="","",INDEX(Raw_D2!$C$2:$C$1001,$AQ575)),IF($AR575&lt;&gt;"",IF(INDEX(Raw_D3!$K$2:$K$1001,$AR575)="","",INDEX(Raw_D3!$K$2:$K$1001,$AR575)),"")))</f>
        <v>0.2273</v>
      </c>
      <c r="L575" s="16">
        <f>IF($A575="","",IF($AQ575&lt;&gt;"",IF(INDEX(Raw_D2!$D$2:$D$1001,$AQ575)="","",INDEX(Raw_D2!$D$2:$D$1001,$AQ575)),IF($AR575&lt;&gt;"",IF(INDEX(Raw_D3!$L$2:$L$1001,$AR575)="","",INDEX(Raw_D3!$L$2:$L$1001,$AR575)),"")))</f>
        <v>0.69</v>
      </c>
      <c r="M575" s="17">
        <f>IF($A575="","",IF($AQ575&lt;&gt;"",IF(INDEX(Raw_D2!$E$2:$E$1001,$AQ575)="","",INDEX(Raw_D2!$E$2:$E$1001,$AQ575)),IF($AR575&lt;&gt;"",IF(INDEX(Raw_D3!$M$2:$M$1001,$AR575)="","",INDEX(Raw_D3!$M$2:$M$1001,$AR575)),"")))</f>
        <v>0.194</v>
      </c>
      <c r="N575" s="5">
        <f>IF($A575="","",IF($AQ575&lt;&gt;"",IF(INDEX(Raw_D2!$F$2:$F$1001,$AQ575)="","",INDEX(Raw_D2!$F$2:$F$1001,$AQ575)),IF($AR575&lt;&gt;"",IF(INDEX(Raw_D3!$N$2:$N$1001,$AR575)="","",INDEX(Raw_D3!$N$2:$N$1001,$AR575)),"")))</f>
        <v>3</v>
      </c>
      <c r="O575" s="5">
        <f>IF($A575="","",IF($AQ575&lt;&gt;"",IF(INDEX(Raw_D2!$G$2:$G$1001,$AQ575)="","",INDEX(Raw_D2!$G$2:$G$1001,$AQ575)),IF($AR575&lt;&gt;"",IF(INDEX(Raw_D3!$O$2:$O$1001,$AR575)="","",INDEX(Raw_D3!$O$2:$O$1001,$AR575)),"")))</f>
        <v>7</v>
      </c>
      <c r="P575" s="5">
        <f>IF($A575="","",IF($AQ575&lt;&gt;"",IF(INDEX(Raw_D2!$H$2:$H$1001,$AQ575)="","",INDEX(Raw_D2!$H$2:$H$1001,$AQ575)),IF($AR575&lt;&gt;"",IF(INDEX(Raw_D3!$P$2:$P$1001,$AR575)="","",INDEX(Raw_D3!$P$2:$P$1001,$AR575)),"")))</f>
        <v>10</v>
      </c>
      <c r="Q575" s="5" t="str">
        <f>IF($A575="","",IF(AND($AP575&lt;&gt;"",$AQ575&lt;&gt;""),"D1+D2",IF($AR575&lt;&gt;"","D3","Incomplete")))</f>
        <v>D1+D2</v>
      </c>
      <c r="R575" s="17">
        <f>IF($A575="","",IF($K575="",IF($J575="","",ROUND(Lookups!$K$5+Lookups!$K$4*$J575,4)),$K575))</f>
        <v>0.2273</v>
      </c>
      <c r="S575" s="5" t="str">
        <f>IF($A575="","",IF($K575="","Imputed","Original"))</f>
        <v>Original</v>
      </c>
      <c r="T575" s="5" t="str">
        <f>IF($A575="","",IF($P575="","Missing",IF($P575=$N575+$O575,"OK","Mismatch")))</f>
        <v>OK</v>
      </c>
      <c r="U575" s="5" t="str">
        <f>IF($A575="","",IF(COUNTIF($A$2:$A575,$A575)&gt;1,"Duplicate","Unique"))</f>
        <v>Unique</v>
      </c>
      <c r="V575" s="5">
        <f>IF($A575="","",IF(AND($U575="Unique",ISNUMBER($P575)),1,0))</f>
        <v>1</v>
      </c>
      <c r="W575" s="5" t="str">
        <f>IF($A575="","",IF(OR($H575=0,$H575=6),"Weekend","Weekday"))</f>
        <v>Weekday</v>
      </c>
      <c r="X575" s="5" t="str">
        <f>IF($A575="","",TEXT($B575,"ddd"))</f>
        <v>Wed</v>
      </c>
      <c r="Y575" s="5" t="str">
        <f>IF($A575="","",TEXT($B575,"mmm"))</f>
        <v>Jan</v>
      </c>
      <c r="Z575" s="5" t="str">
        <f>IF($A575="","",IFERROR(VLOOKUP($C575,Lookups!$D$4:$E$7,2,FALSE),"Unknown"))</f>
        <v>Winter</v>
      </c>
      <c r="AA575" s="5" t="str">
        <f>IF($A575="","",IFERROR(VLOOKUP($I575,Lookups!$A$4:$B$7,2,FALSE),"Unknown"))</f>
        <v>Light Rain/Snow</v>
      </c>
      <c r="AB575" s="5" t="str">
        <f>IF($A575="","",TEXT($F575,"00")&amp;":00")</f>
        <v>02:00</v>
      </c>
      <c r="AC575" s="5" t="str">
        <f>IF($A575="","",VLOOKUP($F575,Lookups!$G$4:$H$8,2,TRUE))</f>
        <v>Night (00-05)</v>
      </c>
      <c r="AD575" s="18">
        <f>IF($A575="","",IF($J575="","",ROUND($J575*41,1)))</f>
        <v>9</v>
      </c>
      <c r="AE575" s="18">
        <f>IF($A575="","",IF($R575="","",ROUND($R575*50,1)))</f>
        <v>11.4</v>
      </c>
      <c r="AF575" s="5">
        <f>IF($A575="","",IF($L575="","",ROUND($L575*100,0)))</f>
        <v>69</v>
      </c>
      <c r="AG575" s="18">
        <f>IF($A575="","",IF($M575="","",ROUND($M575*67,1)))</f>
        <v>13</v>
      </c>
      <c r="AH575" s="19">
        <f>IF($A575="","",IF($P575="","",IF($P575=0,0,$O575/$P575)))</f>
        <v>0.7</v>
      </c>
      <c r="AI575" s="5" t="str">
        <f>IF($A575="","",IF($P575="","",IF($P575&gt;=Lookups!$K$7,"High",IF($P575&lt;=Lookups!$K$8,"Low","Medium"))))</f>
        <v>Low</v>
      </c>
      <c r="AJ575" s="5" t="str">
        <f>IF($A575="","",IF($AD575="","",IF($AD575&lt;5,"Under 5 C",IF($AD575&lt;10,"5-10 C",IF($AD575&lt;15,"10-15 C","15 C and above")))))</f>
        <v>5-10 C</v>
      </c>
      <c r="AK575" s="5">
        <f>IF($A575="","",IF($P575="","",$P575^2))</f>
        <v>100</v>
      </c>
      <c r="AL575" s="18">
        <f>IF($V575&lt;&gt;1,"",AVERAGEIFS(Clean_Data!$P$2:$P$1001,Clean_Data!$F$2:$F$1001,$F575,Clean_Data!$W$2:$W$1001,$W575,Clean_Data!$V$2:$V$1001,1))</f>
        <v>2.62962962962963</v>
      </c>
      <c r="AM575" s="16">
        <f>IF($V575&lt;&gt;1,"",IFERROR(($P575-$AL575)/SQRT(MAX(0,(SUMIFS(Clean_Data!$AK$2:$AK$1001,Clean_Data!$F$2:$F$1001,$F575,Clean_Data!$W$2:$W$1001,$W575,Clean_Data!$V$2:$V$1001,1)-COUNTIFS(Clean_Data!$F$2:$F$1001,$F575,Clean_Data!$W$2:$W$1001,$W575,Clean_Data!$V$2:$V$1001,1)*$AL575^2)/(COUNTIFS(Clean_Data!$F$2:$F$1001,$F575,Clean_Data!$W$2:$W$1001,$W575,Clean_Data!$V$2:$V$1001,1)-1))),""))</f>
        <v>3.64516271969646</v>
      </c>
      <c r="AN575" s="5" t="str">
        <f>IF($AM575="","",IF($AM575&gt;=Lookups!$K$6,"High spike",IF($AM575&lt;=-Lookups!$K$6,"Unusual low","Normal")))</f>
        <v>High spike</v>
      </c>
      <c r="AO575" s="20">
        <f>IF($V575&lt;&gt;1,"",$P575+ROW()/100000)</f>
        <v>10.00575</v>
      </c>
      <c r="AP575" s="5">
        <f>IF($A575="","",IFERROR(MATCH($A575,Raw_D1!$A$2:$A$1001,0),""))</f>
        <v>574</v>
      </c>
      <c r="AQ575" s="5">
        <f>IF($A575="","",IFERROR(MATCH($A575,Raw_D2!$B$2:$B$1001,0),""))</f>
        <v>574</v>
      </c>
      <c r="AR575" s="5">
        <f>IF($A575="","",IFERROR(MATCH($A575,Raw_D3!$A$2:$A$1001,0),""))</f>
        <v/>
      </c>
    </row>
    <row r="576" spans="1:44" x14ac:dyDescent="0.25">
      <c r="A576" s="5">
        <v>575</v>
      </c>
      <c r="B576" s="11">
        <f>IF($A576="","",IF($AP576&lt;&gt;"",INDEX(Raw_D1!$B$2:$B$1001,$AP576),IF($AR576&lt;&gt;"",INDEX(Raw_D3!$B$2:$B$1001,$AR576),"")))</f>
        <v>40569.0</v>
      </c>
      <c r="C576" s="5">
        <f>IF($A576="","",IF($AP576&lt;&gt;"",INDEX(Raw_D1!$C$2:$C$1001,$AP576),IF($AR576&lt;&gt;"",INDEX(Raw_D3!$C$2:$C$1001,$AR576),"")))</f>
        <v>1</v>
      </c>
      <c r="D576" s="5">
        <f>IF($A576="","",IF($AP576&lt;&gt;"",INDEX(Raw_D1!$D$2:$D$1001,$AP576),IF($AR576&lt;&gt;"",INDEX(Raw_D3!$D$2:$D$1001,$AR576),"")))</f>
        <v>0</v>
      </c>
      <c r="E576" s="5">
        <f>IF($A576="","",IF($AP576&lt;&gt;"",INDEX(Raw_D1!$E$2:$E$1001,$AP576),IF($AR576&lt;&gt;"",INDEX(Raw_D3!$E$2:$E$1001,$AR576),"")))</f>
        <v>1</v>
      </c>
      <c r="F576" s="5">
        <f>IF($A576="","",IF($AP576&lt;&gt;"",INDEX(Raw_D1!$F$2:$F$1001,$AP576),IF($AR576&lt;&gt;"",INDEX(Raw_D3!$F$2:$F$1001,$AR576),"")))</f>
        <v>5</v>
      </c>
      <c r="G576" s="5">
        <f>IF($A576="","",IF($AP576&lt;&gt;"",IF(INDEX(Raw_D1!$G$2:$G$1001,$AP576),1,0),IF($AR576&lt;&gt;"",IF(INDEX(Raw_D3!$G$2:$G$1001,$AR576),1,0),"")))</f>
        <v>0</v>
      </c>
      <c r="H576" s="5">
        <f>IF($A576="","",IF($AP576&lt;&gt;"",INDEX(Raw_D1!$H$2:$H$1001,$AP576),IF($AR576&lt;&gt;"",INDEX(Raw_D3!$H$2:$H$1001,$AR576),"")))</f>
        <v>3</v>
      </c>
      <c r="I576" s="5">
        <f>IF($A576="","",IF($AP576&lt;&gt;"",INDEX(Raw_D1!$I$2:$I$1001,$AP576),IF($AR576&lt;&gt;"",INDEX(Raw_D3!$I$2:$I$1001,$AR576),"")))</f>
        <v>3</v>
      </c>
      <c r="J576" s="16">
        <f>IF($A576="","",IF($AP576&lt;&gt;"",INDEX(Raw_D1!$J$2:$J$1001,$AP576),IF($AR576&lt;&gt;"",INDEX(Raw_D3!$J$2:$J$1001,$AR576),"")))</f>
        <v>0.2</v>
      </c>
      <c r="K576" s="17">
        <f>IF($A576="","",IF($AQ576&lt;&gt;"",IF(INDEX(Raw_D2!$C$2:$C$1001,$AQ576)="","",INDEX(Raw_D2!$C$2:$C$1001,$AQ576)),IF($AR576&lt;&gt;"",IF(INDEX(Raw_D3!$K$2:$K$1001,$AR576)="","",INDEX(Raw_D3!$K$2:$K$1001,$AR576)),"")))</f>
        <v>0.1818</v>
      </c>
      <c r="L576" s="16">
        <f>IF($A576="","",IF($AQ576&lt;&gt;"",IF(INDEX(Raw_D2!$D$2:$D$1001,$AQ576)="","",INDEX(Raw_D2!$D$2:$D$1001,$AQ576)),IF($AR576&lt;&gt;"",IF(INDEX(Raw_D3!$L$2:$L$1001,$AR576)="","",INDEX(Raw_D3!$L$2:$L$1001,$AR576)),"")))</f>
        <v>0.86</v>
      </c>
      <c r="M576" s="17">
        <f>IF($A576="","",IF($AQ576&lt;&gt;"",IF(INDEX(Raw_D2!$E$2:$E$1001,$AQ576)="","",INDEX(Raw_D2!$E$2:$E$1001,$AQ576)),IF($AR576&lt;&gt;"",IF(INDEX(Raw_D3!$M$2:$M$1001,$AR576)="","",INDEX(Raw_D3!$M$2:$M$1001,$AR576)),"")))</f>
        <v>0.2836</v>
      </c>
      <c r="N576" s="5">
        <f>IF($A576="","",IF($AQ576&lt;&gt;"",IF(INDEX(Raw_D2!$F$2:$F$1001,$AQ576)="","",INDEX(Raw_D2!$F$2:$F$1001,$AQ576)),IF($AR576&lt;&gt;"",IF(INDEX(Raw_D3!$N$2:$N$1001,$AR576)="","",INDEX(Raw_D3!$N$2:$N$1001,$AR576)),"")))</f>
        <v>0</v>
      </c>
      <c r="O576" s="5">
        <f>IF($A576="","",IF($AQ576&lt;&gt;"",IF(INDEX(Raw_D2!$G$2:$G$1001,$AQ576)="","",INDEX(Raw_D2!$G$2:$G$1001,$AQ576)),IF($AR576&lt;&gt;"",IF(INDEX(Raw_D3!$O$2:$O$1001,$AR576)="","",INDEX(Raw_D3!$O$2:$O$1001,$AR576)),"")))</f>
        <v>1</v>
      </c>
      <c r="P576" s="5">
        <f>IF($A576="","",IF($AQ576&lt;&gt;"",IF(INDEX(Raw_D2!$H$2:$H$1001,$AQ576)="","",INDEX(Raw_D2!$H$2:$H$1001,$AQ576)),IF($AR576&lt;&gt;"",IF(INDEX(Raw_D3!$P$2:$P$1001,$AR576)="","",INDEX(Raw_D3!$P$2:$P$1001,$AR576)),"")))</f>
        <v>1</v>
      </c>
      <c r="Q576" s="5" t="str">
        <f>IF($A576="","",IF(AND($AP576&lt;&gt;"",$AQ576&lt;&gt;""),"D1+D2",IF($AR576&lt;&gt;"","D3","Incomplete")))</f>
        <v>D1+D2</v>
      </c>
      <c r="R576" s="17">
        <f>IF($A576="","",IF($K576="",IF($J576="","",ROUND(Lookups!$K$5+Lookups!$K$4*$J576,4)),$K576))</f>
        <v>0.1818</v>
      </c>
      <c r="S576" s="5" t="str">
        <f>IF($A576="","",IF($K576="","Imputed","Original"))</f>
        <v>Original</v>
      </c>
      <c r="T576" s="5" t="str">
        <f>IF($A576="","",IF($P576="","Missing",IF($P576=$N576+$O576,"OK","Mismatch")))</f>
        <v>OK</v>
      </c>
      <c r="U576" s="5" t="str">
        <f>IF($A576="","",IF(COUNTIF($A$2:$A576,$A576)&gt;1,"Duplicate","Unique"))</f>
        <v>Unique</v>
      </c>
      <c r="V576" s="5">
        <f>IF($A576="","",IF(AND($U576="Unique",ISNUMBER($P576)),1,0))</f>
        <v>1</v>
      </c>
      <c r="W576" s="5" t="str">
        <f>IF($A576="","",IF(OR($H576=0,$H576=6),"Weekend","Weekday"))</f>
        <v>Weekday</v>
      </c>
      <c r="X576" s="5" t="str">
        <f>IF($A576="","",TEXT($B576,"ddd"))</f>
        <v>Wed</v>
      </c>
      <c r="Y576" s="5" t="str">
        <f>IF($A576="","",TEXT($B576,"mmm"))</f>
        <v>Jan</v>
      </c>
      <c r="Z576" s="5" t="str">
        <f>IF($A576="","",IFERROR(VLOOKUP($C576,Lookups!$D$4:$E$7,2,FALSE),"Unknown"))</f>
        <v>Winter</v>
      </c>
      <c r="AA576" s="5" t="str">
        <f>IF($A576="","",IFERROR(VLOOKUP($I576,Lookups!$A$4:$B$7,2,FALSE),"Unknown"))</f>
        <v>Light Rain/Snow</v>
      </c>
      <c r="AB576" s="5" t="str">
        <f>IF($A576="","",TEXT($F576,"00")&amp;":00")</f>
        <v>05:00</v>
      </c>
      <c r="AC576" s="5" t="str">
        <f>IF($A576="","",VLOOKUP($F576,Lookups!$G$4:$H$8,2,TRUE))</f>
        <v>Night (00-05)</v>
      </c>
      <c r="AD576" s="18">
        <f>IF($A576="","",IF($J576="","",ROUND($J576*41,1)))</f>
        <v>8.2</v>
      </c>
      <c r="AE576" s="18">
        <f>IF($A576="","",IF($R576="","",ROUND($R576*50,1)))</f>
        <v>9.1</v>
      </c>
      <c r="AF576" s="5">
        <f>IF($A576="","",IF($L576="","",ROUND($L576*100,0)))</f>
        <v>86</v>
      </c>
      <c r="AG576" s="18">
        <f>IF($A576="","",IF($M576="","",ROUND($M576*67,1)))</f>
        <v>19</v>
      </c>
      <c r="AH576" s="19">
        <f>IF($A576="","",IF($P576="","",IF($P576=0,0,$O576/$P576)))</f>
        <v>1</v>
      </c>
      <c r="AI576" s="5" t="str">
        <f>IF($A576="","",IF($P576="","",IF($P576&gt;=Lookups!$K$7,"High",IF($P576&lt;=Lookups!$K$8,"Low","Medium"))))</f>
        <v>Low</v>
      </c>
      <c r="AJ576" s="5" t="str">
        <f>IF($A576="","",IF($AD576="","",IF($AD576&lt;5,"Under 5 C",IF($AD576&lt;10,"5-10 C",IF($AD576&lt;15,"10-15 C","15 C and above")))))</f>
        <v>5-10 C</v>
      </c>
      <c r="AK576" s="5">
        <f>IF($A576="","",IF($P576="","",$P576^2))</f>
        <v>1</v>
      </c>
      <c r="AL576" s="18">
        <f>IF($V576&lt;&gt;1,"",AVERAGEIFS(Clean_Data!$P$2:$P$1001,Clean_Data!$F$2:$F$1001,$F576,Clean_Data!$W$2:$W$1001,$W576,Clean_Data!$V$2:$V$1001,1))</f>
        <v>4.72413793103448</v>
      </c>
      <c r="AM576" s="16">
        <f>IF($V576&lt;&gt;1,"",IFERROR(($P576-$AL576)/SQRT(MAX(0,(SUMIFS(Clean_Data!$AK$2:$AK$1001,Clean_Data!$F$2:$F$1001,$F576,Clean_Data!$W$2:$W$1001,$W576,Clean_Data!$V$2:$V$1001,1)-COUNTIFS(Clean_Data!$F$2:$F$1001,$F576,Clean_Data!$W$2:$W$1001,$W576,Clean_Data!$V$2:$V$1001,1)*$AL576^2)/(COUNTIFS(Clean_Data!$F$2:$F$1001,$F576,Clean_Data!$W$2:$W$1001,$W576,Clean_Data!$V$2:$V$1001,1)-1))),""))</f>
        <v>-1.58904553687487</v>
      </c>
      <c r="AN576" s="5" t="str">
        <f>IF($AM576="","",IF($AM576&gt;=Lookups!$K$6,"High spike",IF($AM576&lt;=-Lookups!$K$6,"Unusual low","Normal")))</f>
        <v>Normal</v>
      </c>
      <c r="AO576" s="20">
        <f>IF($V576&lt;&gt;1,"",$P576+ROW()/100000)</f>
        <v>1.00576</v>
      </c>
      <c r="AP576" s="5">
        <f>IF($A576="","",IFERROR(MATCH($A576,Raw_D1!$A$2:$A$1001,0),""))</f>
        <v>575</v>
      </c>
      <c r="AQ576" s="5">
        <f>IF($A576="","",IFERROR(MATCH($A576,Raw_D2!$B$2:$B$1001,0),""))</f>
        <v>575</v>
      </c>
      <c r="AR576" s="5">
        <f>IF($A576="","",IFERROR(MATCH($A576,Raw_D3!$A$2:$A$1001,0),""))</f>
        <v/>
      </c>
    </row>
    <row r="577" spans="1:44" x14ac:dyDescent="0.25">
      <c r="A577" s="5">
        <v>576</v>
      </c>
      <c r="B577" s="11">
        <f>IF($A577="","",IF($AP577&lt;&gt;"",INDEX(Raw_D1!$B$2:$B$1001,$AP577),IF($AR577&lt;&gt;"",INDEX(Raw_D3!$B$2:$B$1001,$AR577),"")))</f>
        <v>40569.0</v>
      </c>
      <c r="C577" s="5">
        <f>IF($A577="","",IF($AP577&lt;&gt;"",INDEX(Raw_D1!$C$2:$C$1001,$AP577),IF($AR577&lt;&gt;"",INDEX(Raw_D3!$C$2:$C$1001,$AR577),"")))</f>
        <v>1</v>
      </c>
      <c r="D577" s="5">
        <f>IF($A577="","",IF($AP577&lt;&gt;"",INDEX(Raw_D1!$D$2:$D$1001,$AP577),IF($AR577&lt;&gt;"",INDEX(Raw_D3!$D$2:$D$1001,$AR577),"")))</f>
        <v>0</v>
      </c>
      <c r="E577" s="5">
        <f>IF($A577="","",IF($AP577&lt;&gt;"",INDEX(Raw_D1!$E$2:$E$1001,$AP577),IF($AR577&lt;&gt;"",INDEX(Raw_D3!$E$2:$E$1001,$AR577),"")))</f>
        <v>1</v>
      </c>
      <c r="F577" s="5">
        <f>IF($A577="","",IF($AP577&lt;&gt;"",INDEX(Raw_D1!$F$2:$F$1001,$AP577),IF($AR577&lt;&gt;"",INDEX(Raw_D3!$F$2:$F$1001,$AR577),"")))</f>
        <v>6</v>
      </c>
      <c r="G577" s="5">
        <f>IF($A577="","",IF($AP577&lt;&gt;"",IF(INDEX(Raw_D1!$G$2:$G$1001,$AP577),1,0),IF($AR577&lt;&gt;"",IF(INDEX(Raw_D3!$G$2:$G$1001,$AR577),1,0),"")))</f>
        <v>0</v>
      </c>
      <c r="H577" s="5">
        <f>IF($A577="","",IF($AP577&lt;&gt;"",INDEX(Raw_D1!$H$2:$H$1001,$AP577),IF($AR577&lt;&gt;"",INDEX(Raw_D3!$H$2:$H$1001,$AR577),"")))</f>
        <v>3</v>
      </c>
      <c r="I577" s="5">
        <f>IF($A577="","",IF($AP577&lt;&gt;"",INDEX(Raw_D1!$I$2:$I$1001,$AP577),IF($AR577&lt;&gt;"",INDEX(Raw_D3!$I$2:$I$1001,$AR577),"")))</f>
        <v>3</v>
      </c>
      <c r="J577" s="16">
        <f>IF($A577="","",IF($AP577&lt;&gt;"",INDEX(Raw_D1!$J$2:$J$1001,$AP577),IF($AR577&lt;&gt;"",INDEX(Raw_D3!$J$2:$J$1001,$AR577),"")))</f>
        <v>0.2</v>
      </c>
      <c r="K577" s="17">
        <f>IF($A577="","",IF($AQ577&lt;&gt;"",IF(INDEX(Raw_D2!$C$2:$C$1001,$AQ577)="","",INDEX(Raw_D2!$C$2:$C$1001,$AQ577)),IF($AR577&lt;&gt;"",IF(INDEX(Raw_D3!$K$2:$K$1001,$AR577)="","",INDEX(Raw_D3!$K$2:$K$1001,$AR577)),"")))</f>
        <v>0.1818</v>
      </c>
      <c r="L577" s="16">
        <f>IF($A577="","",IF($AQ577&lt;&gt;"",IF(INDEX(Raw_D2!$D$2:$D$1001,$AQ577)="","",INDEX(Raw_D2!$D$2:$D$1001,$AQ577)),IF($AR577&lt;&gt;"",IF(INDEX(Raw_D3!$L$2:$L$1001,$AR577)="","",INDEX(Raw_D3!$L$2:$L$1001,$AR577)),"")))</f>
        <v>0.86</v>
      </c>
      <c r="M577" s="17">
        <f>IF($A577="","",IF($AQ577&lt;&gt;"",IF(INDEX(Raw_D2!$E$2:$E$1001,$AQ577)="","",INDEX(Raw_D2!$E$2:$E$1001,$AQ577)),IF($AR577&lt;&gt;"",IF(INDEX(Raw_D3!$M$2:$M$1001,$AR577)="","",INDEX(Raw_D3!$M$2:$M$1001,$AR577)),"")))</f>
        <v>0.2836</v>
      </c>
      <c r="N577" s="5">
        <f>IF($A577="","",IF($AQ577&lt;&gt;"",IF(INDEX(Raw_D2!$F$2:$F$1001,$AQ577)="","",INDEX(Raw_D2!$F$2:$F$1001,$AQ577)),IF($AR577&lt;&gt;"",IF(INDEX(Raw_D3!$N$2:$N$1001,$AR577)="","",INDEX(Raw_D3!$N$2:$N$1001,$AR577)),"")))</f>
        <v>0</v>
      </c>
      <c r="O577" s="5">
        <f>IF($A577="","",IF($AQ577&lt;&gt;"",IF(INDEX(Raw_D2!$G$2:$G$1001,$AQ577)="","",INDEX(Raw_D2!$G$2:$G$1001,$AQ577)),IF($AR577&lt;&gt;"",IF(INDEX(Raw_D3!$O$2:$O$1001,$AR577)="","",INDEX(Raw_D3!$O$2:$O$1001,$AR577)),"")))</f>
        <v>8</v>
      </c>
      <c r="P577" s="5">
        <f>IF($A577="","",IF($AQ577&lt;&gt;"",IF(INDEX(Raw_D2!$H$2:$H$1001,$AQ577)="","",INDEX(Raw_D2!$H$2:$H$1001,$AQ577)),IF($AR577&lt;&gt;"",IF(INDEX(Raw_D3!$P$2:$P$1001,$AR577)="","",INDEX(Raw_D3!$P$2:$P$1001,$AR577)),"")))</f>
        <v>8</v>
      </c>
      <c r="Q577" s="5" t="str">
        <f>IF($A577="","",IF(AND($AP577&lt;&gt;"",$AQ577&lt;&gt;""),"D1+D2",IF($AR577&lt;&gt;"","D3","Incomplete")))</f>
        <v>D1+D2</v>
      </c>
      <c r="R577" s="17">
        <f>IF($A577="","",IF($K577="",IF($J577="","",ROUND(Lookups!$K$5+Lookups!$K$4*$J577,4)),$K577))</f>
        <v>0.1818</v>
      </c>
      <c r="S577" s="5" t="str">
        <f>IF($A577="","",IF($K577="","Imputed","Original"))</f>
        <v>Original</v>
      </c>
      <c r="T577" s="5" t="str">
        <f>IF($A577="","",IF($P577="","Missing",IF($P577=$N577+$O577,"OK","Mismatch")))</f>
        <v>OK</v>
      </c>
      <c r="U577" s="5" t="str">
        <f>IF($A577="","",IF(COUNTIF($A$2:$A577,$A577)&gt;1,"Duplicate","Unique"))</f>
        <v>Unique</v>
      </c>
      <c r="V577" s="5">
        <f>IF($A577="","",IF(AND($U577="Unique",ISNUMBER($P577)),1,0))</f>
        <v>1</v>
      </c>
      <c r="W577" s="5" t="str">
        <f>IF($A577="","",IF(OR($H577=0,$H577=6),"Weekend","Weekday"))</f>
        <v>Weekday</v>
      </c>
      <c r="X577" s="5" t="str">
        <f>IF($A577="","",TEXT($B577,"ddd"))</f>
        <v>Wed</v>
      </c>
      <c r="Y577" s="5" t="str">
        <f>IF($A577="","",TEXT($B577,"mmm"))</f>
        <v>Jan</v>
      </c>
      <c r="Z577" s="5" t="str">
        <f>IF($A577="","",IFERROR(VLOOKUP($C577,Lookups!$D$4:$E$7,2,FALSE),"Unknown"))</f>
        <v>Winter</v>
      </c>
      <c r="AA577" s="5" t="str">
        <f>IF($A577="","",IFERROR(VLOOKUP($I577,Lookups!$A$4:$B$7,2,FALSE),"Unknown"))</f>
        <v>Light Rain/Snow</v>
      </c>
      <c r="AB577" s="5" t="str">
        <f>IF($A577="","",TEXT($F577,"00")&amp;":00")</f>
        <v>06:00</v>
      </c>
      <c r="AC577" s="5" t="str">
        <f>IF($A577="","",VLOOKUP($F577,Lookups!$G$4:$H$8,2,TRUE))</f>
        <v>Morning Peak (06-09)</v>
      </c>
      <c r="AD577" s="18">
        <f>IF($A577="","",IF($J577="","",ROUND($J577*41,1)))</f>
        <v>8.2</v>
      </c>
      <c r="AE577" s="18">
        <f>IF($A577="","",IF($R577="","",ROUND($R577*50,1)))</f>
        <v>9.1</v>
      </c>
      <c r="AF577" s="5">
        <f>IF($A577="","",IF($L577="","",ROUND($L577*100,0)))</f>
        <v>86</v>
      </c>
      <c r="AG577" s="18">
        <f>IF($A577="","",IF($M577="","",ROUND($M577*67,1)))</f>
        <v>19</v>
      </c>
      <c r="AH577" s="19">
        <f>IF($A577="","",IF($P577="","",IF($P577=0,0,$O577/$P577)))</f>
        <v>1</v>
      </c>
      <c r="AI577" s="5" t="str">
        <f>IF($A577="","",IF($P577="","",IF($P577&gt;=Lookups!$K$7,"High",IF($P577&lt;=Lookups!$K$8,"Low","Medium"))))</f>
        <v>Low</v>
      </c>
      <c r="AJ577" s="5" t="str">
        <f>IF($A577="","",IF($AD577="","",IF($AD577&lt;5,"Under 5 C",IF($AD577&lt;10,"5-10 C",IF($AD577&lt;15,"10-15 C","15 C and above")))))</f>
        <v>5-10 C</v>
      </c>
      <c r="AK577" s="5">
        <f>IF($A577="","",IF($P577="","",$P577^2))</f>
        <v>64</v>
      </c>
      <c r="AL577" s="18">
        <f>IF($V577&lt;&gt;1,"",AVERAGEIFS(Clean_Data!$P$2:$P$1001,Clean_Data!$F$2:$F$1001,$F577,Clean_Data!$W$2:$W$1001,$W577,Clean_Data!$V$2:$V$1001,1))</f>
        <v>27.3793103448276</v>
      </c>
      <c r="AM577" s="16">
        <f>IF($V577&lt;&gt;1,"",IFERROR(($P577-$AL577)/SQRT(MAX(0,(SUMIFS(Clean_Data!$AK$2:$AK$1001,Clean_Data!$F$2:$F$1001,$F577,Clean_Data!$W$2:$W$1001,$W577,Clean_Data!$V$2:$V$1001,1)-COUNTIFS(Clean_Data!$F$2:$F$1001,$F577,Clean_Data!$W$2:$W$1001,$W577,Clean_Data!$V$2:$V$1001,1)*$AL577^2)/(COUNTIFS(Clean_Data!$F$2:$F$1001,$F577,Clean_Data!$W$2:$W$1001,$W577,Clean_Data!$V$2:$V$1001,1)-1))),""))</f>
        <v>-2.03436902797321</v>
      </c>
      <c r="AN577" s="5" t="str">
        <f>IF($AM577="","",IF($AM577&gt;=Lookups!$K$6,"High spike",IF($AM577&lt;=-Lookups!$K$6,"Unusual low","Normal")))</f>
        <v>Normal</v>
      </c>
      <c r="AO577" s="20">
        <f>IF($V577&lt;&gt;1,"",$P577+ROW()/100000)</f>
        <v>8.00577</v>
      </c>
      <c r="AP577" s="5">
        <f>IF($A577="","",IFERROR(MATCH($A577,Raw_D1!$A$2:$A$1001,0),""))</f>
        <v>576</v>
      </c>
      <c r="AQ577" s="5">
        <f>IF($A577="","",IFERROR(MATCH($A577,Raw_D2!$B$2:$B$1001,0),""))</f>
        <v>576</v>
      </c>
      <c r="AR577" s="5">
        <f>IF($A577="","",IFERROR(MATCH($A577,Raw_D3!$A$2:$A$1001,0),""))</f>
        <v/>
      </c>
    </row>
    <row r="578" spans="1:44" x14ac:dyDescent="0.25">
      <c r="A578" s="5">
        <v>577</v>
      </c>
      <c r="B578" s="11">
        <f>IF($A578="","",IF($AP578&lt;&gt;"",INDEX(Raw_D1!$B$2:$B$1001,$AP578),IF($AR578&lt;&gt;"",INDEX(Raw_D3!$B$2:$B$1001,$AR578),"")))</f>
        <v>40569.0</v>
      </c>
      <c r="C578" s="5">
        <f>IF($A578="","",IF($AP578&lt;&gt;"",INDEX(Raw_D1!$C$2:$C$1001,$AP578),IF($AR578&lt;&gt;"",INDEX(Raw_D3!$C$2:$C$1001,$AR578),"")))</f>
        <v>1</v>
      </c>
      <c r="D578" s="5">
        <f>IF($A578="","",IF($AP578&lt;&gt;"",INDEX(Raw_D1!$D$2:$D$1001,$AP578),IF($AR578&lt;&gt;"",INDEX(Raw_D3!$D$2:$D$1001,$AR578),"")))</f>
        <v>0</v>
      </c>
      <c r="E578" s="5">
        <f>IF($A578="","",IF($AP578&lt;&gt;"",INDEX(Raw_D1!$E$2:$E$1001,$AP578),IF($AR578&lt;&gt;"",INDEX(Raw_D3!$E$2:$E$1001,$AR578),"")))</f>
        <v>1</v>
      </c>
      <c r="F578" s="5">
        <f>IF($A578="","",IF($AP578&lt;&gt;"",INDEX(Raw_D1!$F$2:$F$1001,$AP578),IF($AR578&lt;&gt;"",INDEX(Raw_D3!$F$2:$F$1001,$AR578),"")))</f>
        <v>7</v>
      </c>
      <c r="G578" s="5">
        <f>IF($A578="","",IF($AP578&lt;&gt;"",IF(INDEX(Raw_D1!$G$2:$G$1001,$AP578),1,0),IF($AR578&lt;&gt;"",IF(INDEX(Raw_D3!$G$2:$G$1001,$AR578),1,0),"")))</f>
        <v>0</v>
      </c>
      <c r="H578" s="5">
        <f>IF($A578="","",IF($AP578&lt;&gt;"",INDEX(Raw_D1!$H$2:$H$1001,$AP578),IF($AR578&lt;&gt;"",INDEX(Raw_D3!$H$2:$H$1001,$AR578),"")))</f>
        <v>3</v>
      </c>
      <c r="I578" s="5">
        <f>IF($A578="","",IF($AP578&lt;&gt;"",INDEX(Raw_D1!$I$2:$I$1001,$AP578),IF($AR578&lt;&gt;"",INDEX(Raw_D3!$I$2:$I$1001,$AR578),"")))</f>
        <v>3</v>
      </c>
      <c r="J578" s="16">
        <f>IF($A578="","",IF($AP578&lt;&gt;"",INDEX(Raw_D1!$J$2:$J$1001,$AP578),IF($AR578&lt;&gt;"",INDEX(Raw_D3!$J$2:$J$1001,$AR578),"")))</f>
        <v>0.22</v>
      </c>
      <c r="K578" s="17">
        <f>IF($A578="","",IF($AQ578&lt;&gt;"",IF(INDEX(Raw_D2!$C$2:$C$1001,$AQ578)="","",INDEX(Raw_D2!$C$2:$C$1001,$AQ578)),IF($AR578&lt;&gt;"",IF(INDEX(Raw_D3!$K$2:$K$1001,$AR578)="","",INDEX(Raw_D3!$K$2:$K$1001,$AR578)),"")))</f>
        <v>0.2121</v>
      </c>
      <c r="L578" s="16">
        <f>IF($A578="","",IF($AQ578&lt;&gt;"",IF(INDEX(Raw_D2!$D$2:$D$1001,$AQ578)="","",INDEX(Raw_D2!$D$2:$D$1001,$AQ578)),IF($AR578&lt;&gt;"",IF(INDEX(Raw_D3!$L$2:$L$1001,$AR578)="","",INDEX(Raw_D3!$L$2:$L$1001,$AR578)),"")))</f>
        <v>0.87</v>
      </c>
      <c r="M578" s="17">
        <f>IF($A578="","",IF($AQ578&lt;&gt;"",IF(INDEX(Raw_D2!$E$2:$E$1001,$AQ578)="","",INDEX(Raw_D2!$E$2:$E$1001,$AQ578)),IF($AR578&lt;&gt;"",IF(INDEX(Raw_D3!$M$2:$M$1001,$AR578)="","",INDEX(Raw_D3!$M$2:$M$1001,$AR578)),"")))</f>
        <v>0.2985</v>
      </c>
      <c r="N578" s="5">
        <f>IF($A578="","",IF($AQ578&lt;&gt;"",IF(INDEX(Raw_D2!$F$2:$F$1001,$AQ578)="","",INDEX(Raw_D2!$F$2:$F$1001,$AQ578)),IF($AR578&lt;&gt;"",IF(INDEX(Raw_D3!$N$2:$N$1001,$AR578)="","",INDEX(Raw_D3!$N$2:$N$1001,$AR578)),"")))</f>
        <v>1</v>
      </c>
      <c r="O578" s="5">
        <f>IF($A578="","",IF($AQ578&lt;&gt;"",IF(INDEX(Raw_D2!$G$2:$G$1001,$AQ578)="","",INDEX(Raw_D2!$G$2:$G$1001,$AQ578)),IF($AR578&lt;&gt;"",IF(INDEX(Raw_D3!$O$2:$O$1001,$AR578)="","",INDEX(Raw_D3!$O$2:$O$1001,$AR578)),"")))</f>
        <v>29</v>
      </c>
      <c r="P578" s="5">
        <f>IF($A578="","",IF($AQ578&lt;&gt;"",IF(INDEX(Raw_D2!$H$2:$H$1001,$AQ578)="","",INDEX(Raw_D2!$H$2:$H$1001,$AQ578)),IF($AR578&lt;&gt;"",IF(INDEX(Raw_D3!$P$2:$P$1001,$AR578)="","",INDEX(Raw_D3!$P$2:$P$1001,$AR578)),"")))</f>
        <v>30</v>
      </c>
      <c r="Q578" s="5" t="str">
        <f>IF($A578="","",IF(AND($AP578&lt;&gt;"",$AQ578&lt;&gt;""),"D1+D2",IF($AR578&lt;&gt;"","D3","Incomplete")))</f>
        <v>D1+D2</v>
      </c>
      <c r="R578" s="17">
        <f>IF($A578="","",IF($K578="",IF($J578="","",ROUND(Lookups!$K$5+Lookups!$K$4*$J578,4)),$K578))</f>
        <v>0.2121</v>
      </c>
      <c r="S578" s="5" t="str">
        <f>IF($A578="","",IF($K578="","Imputed","Original"))</f>
        <v>Original</v>
      </c>
      <c r="T578" s="5" t="str">
        <f>IF($A578="","",IF($P578="","Missing",IF($P578=$N578+$O578,"OK","Mismatch")))</f>
        <v>OK</v>
      </c>
      <c r="U578" s="5" t="str">
        <f>IF($A578="","",IF(COUNTIF($A$2:$A578,$A578)&gt;1,"Duplicate","Unique"))</f>
        <v>Unique</v>
      </c>
      <c r="V578" s="5">
        <f>IF($A578="","",IF(AND($U578="Unique",ISNUMBER($P578)),1,0))</f>
        <v>1</v>
      </c>
      <c r="W578" s="5" t="str">
        <f>IF($A578="","",IF(OR($H578=0,$H578=6),"Weekend","Weekday"))</f>
        <v>Weekday</v>
      </c>
      <c r="X578" s="5" t="str">
        <f>IF($A578="","",TEXT($B578,"ddd"))</f>
        <v>Wed</v>
      </c>
      <c r="Y578" s="5" t="str">
        <f>IF($A578="","",TEXT($B578,"mmm"))</f>
        <v>Jan</v>
      </c>
      <c r="Z578" s="5" t="str">
        <f>IF($A578="","",IFERROR(VLOOKUP($C578,Lookups!$D$4:$E$7,2,FALSE),"Unknown"))</f>
        <v>Winter</v>
      </c>
      <c r="AA578" s="5" t="str">
        <f>IF($A578="","",IFERROR(VLOOKUP($I578,Lookups!$A$4:$B$7,2,FALSE),"Unknown"))</f>
        <v>Light Rain/Snow</v>
      </c>
      <c r="AB578" s="5" t="str">
        <f>IF($A578="","",TEXT($F578,"00")&amp;":00")</f>
        <v>07:00</v>
      </c>
      <c r="AC578" s="5" t="str">
        <f>IF($A578="","",VLOOKUP($F578,Lookups!$G$4:$H$8,2,TRUE))</f>
        <v>Morning Peak (06-09)</v>
      </c>
      <c r="AD578" s="18">
        <f>IF($A578="","",IF($J578="","",ROUND($J578*41,1)))</f>
        <v>9</v>
      </c>
      <c r="AE578" s="18">
        <f>IF($A578="","",IF($R578="","",ROUND($R578*50,1)))</f>
        <v>10.6</v>
      </c>
      <c r="AF578" s="5">
        <f>IF($A578="","",IF($L578="","",ROUND($L578*100,0)))</f>
        <v>87</v>
      </c>
      <c r="AG578" s="18">
        <f>IF($A578="","",IF($M578="","",ROUND($M578*67,1)))</f>
        <v>20</v>
      </c>
      <c r="AH578" s="19">
        <f>IF($A578="","",IF($P578="","",IF($P578=0,0,$O578/$P578)))</f>
        <v>0.966666666666667</v>
      </c>
      <c r="AI578" s="5" t="str">
        <f>IF($A578="","",IF($P578="","",IF($P578&gt;=Lookups!$K$7,"High",IF($P578&lt;=Lookups!$K$8,"Low","Medium"))))</f>
        <v>Medium</v>
      </c>
      <c r="AJ578" s="5" t="str">
        <f>IF($A578="","",IF($AD578="","",IF($AD578&lt;5,"Under 5 C",IF($AD578&lt;10,"5-10 C",IF($AD578&lt;15,"10-15 C","15 C and above")))))</f>
        <v>5-10 C</v>
      </c>
      <c r="AK578" s="5">
        <f>IF($A578="","",IF($P578="","",$P578^2))</f>
        <v>900</v>
      </c>
      <c r="AL578" s="18">
        <f>IF($V578&lt;&gt;1,"",AVERAGEIFS(Clean_Data!$P$2:$P$1001,Clean_Data!$F$2:$F$1001,$F578,Clean_Data!$W$2:$W$1001,$W578,Clean_Data!$V$2:$V$1001,1))</f>
        <v>78.0344827586207</v>
      </c>
      <c r="AM578" s="16">
        <f>IF($V578&lt;&gt;1,"",IFERROR(($P578-$AL578)/SQRT(MAX(0,(SUMIFS(Clean_Data!$AK$2:$AK$1001,Clean_Data!$F$2:$F$1001,$F578,Clean_Data!$W$2:$W$1001,$W578,Clean_Data!$V$2:$V$1001,1)-COUNTIFS(Clean_Data!$F$2:$F$1001,$F578,Clean_Data!$W$2:$W$1001,$W578,Clean_Data!$V$2:$V$1001,1)*$AL578^2)/(COUNTIFS(Clean_Data!$F$2:$F$1001,$F578,Clean_Data!$W$2:$W$1001,$W578,Clean_Data!$V$2:$V$1001,1)-1))),""))</f>
        <v>-2.12232874898096</v>
      </c>
      <c r="AN578" s="5" t="str">
        <f>IF($AM578="","",IF($AM578&gt;=Lookups!$K$6,"High spike",IF($AM578&lt;=-Lookups!$K$6,"Unusual low","Normal")))</f>
        <v>Normal</v>
      </c>
      <c r="AO578" s="20">
        <f>IF($V578&lt;&gt;1,"",$P578+ROW()/100000)</f>
        <v>30.00578</v>
      </c>
      <c r="AP578" s="5">
        <f>IF($A578="","",IFERROR(MATCH($A578,Raw_D1!$A$2:$A$1001,0),""))</f>
        <v>577</v>
      </c>
      <c r="AQ578" s="5">
        <f>IF($A578="","",IFERROR(MATCH($A578,Raw_D2!$B$2:$B$1001,0),""))</f>
        <v>577</v>
      </c>
      <c r="AR578" s="5">
        <f>IF($A578="","",IFERROR(MATCH($A578,Raw_D3!$A$2:$A$1001,0),""))</f>
        <v/>
      </c>
    </row>
    <row r="579" spans="1:44" x14ac:dyDescent="0.25">
      <c r="A579" s="5">
        <v>578</v>
      </c>
      <c r="B579" s="11">
        <f>IF($A579="","",IF($AP579&lt;&gt;"",INDEX(Raw_D1!$B$2:$B$1001,$AP579),IF($AR579&lt;&gt;"",INDEX(Raw_D3!$B$2:$B$1001,$AR579),"")))</f>
        <v>40569.0</v>
      </c>
      <c r="C579" s="5">
        <f>IF($A579="","",IF($AP579&lt;&gt;"",INDEX(Raw_D1!$C$2:$C$1001,$AP579),IF($AR579&lt;&gt;"",INDEX(Raw_D3!$C$2:$C$1001,$AR579),"")))</f>
        <v>1</v>
      </c>
      <c r="D579" s="5">
        <f>IF($A579="","",IF($AP579&lt;&gt;"",INDEX(Raw_D1!$D$2:$D$1001,$AP579),IF($AR579&lt;&gt;"",INDEX(Raw_D3!$D$2:$D$1001,$AR579),"")))</f>
        <v>0</v>
      </c>
      <c r="E579" s="5">
        <f>IF($A579="","",IF($AP579&lt;&gt;"",INDEX(Raw_D1!$E$2:$E$1001,$AP579),IF($AR579&lt;&gt;"",INDEX(Raw_D3!$E$2:$E$1001,$AR579),"")))</f>
        <v>1</v>
      </c>
      <c r="F579" s="5">
        <f>IF($A579="","",IF($AP579&lt;&gt;"",INDEX(Raw_D1!$F$2:$F$1001,$AP579),IF($AR579&lt;&gt;"",INDEX(Raw_D3!$F$2:$F$1001,$AR579),"")))</f>
        <v>8</v>
      </c>
      <c r="G579" s="5">
        <f>IF($A579="","",IF($AP579&lt;&gt;"",IF(INDEX(Raw_D1!$G$2:$G$1001,$AP579),1,0),IF($AR579&lt;&gt;"",IF(INDEX(Raw_D3!$G$2:$G$1001,$AR579),1,0),"")))</f>
        <v>0</v>
      </c>
      <c r="H579" s="5">
        <f>IF($A579="","",IF($AP579&lt;&gt;"",INDEX(Raw_D1!$H$2:$H$1001,$AP579),IF($AR579&lt;&gt;"",INDEX(Raw_D3!$H$2:$H$1001,$AR579),"")))</f>
        <v>3</v>
      </c>
      <c r="I579" s="5">
        <f>IF($A579="","",IF($AP579&lt;&gt;"",INDEX(Raw_D1!$I$2:$I$1001,$AP579),IF($AR579&lt;&gt;"",INDEX(Raw_D3!$I$2:$I$1001,$AR579),"")))</f>
        <v>3</v>
      </c>
      <c r="J579" s="16">
        <f>IF($A579="","",IF($AP579&lt;&gt;"",INDEX(Raw_D1!$J$2:$J$1001,$AP579),IF($AR579&lt;&gt;"",INDEX(Raw_D3!$J$2:$J$1001,$AR579),"")))</f>
        <v>0.22</v>
      </c>
      <c r="K579" s="17">
        <f>IF($A579="","",IF($AQ579&lt;&gt;"",IF(INDEX(Raw_D2!$C$2:$C$1001,$AQ579)="","",INDEX(Raw_D2!$C$2:$C$1001,$AQ579)),IF($AR579&lt;&gt;"",IF(INDEX(Raw_D3!$K$2:$K$1001,$AR579)="","",INDEX(Raw_D3!$K$2:$K$1001,$AR579)),"")))</f>
        <v>0.2121</v>
      </c>
      <c r="L579" s="16">
        <f>IF($A579="","",IF($AQ579&lt;&gt;"",IF(INDEX(Raw_D2!$D$2:$D$1001,$AQ579)="","",INDEX(Raw_D2!$D$2:$D$1001,$AQ579)),IF($AR579&lt;&gt;"",IF(INDEX(Raw_D3!$L$2:$L$1001,$AR579)="","",INDEX(Raw_D3!$L$2:$L$1001,$AR579)),"")))</f>
        <v>0.87</v>
      </c>
      <c r="M579" s="17">
        <f>IF($A579="","",IF($AQ579&lt;&gt;"",IF(INDEX(Raw_D2!$E$2:$E$1001,$AQ579)="","",INDEX(Raw_D2!$E$2:$E$1001,$AQ579)),IF($AR579&lt;&gt;"",IF(INDEX(Raw_D3!$M$2:$M$1001,$AR579)="","",INDEX(Raw_D3!$M$2:$M$1001,$AR579)),"")))</f>
        <v>0.2985</v>
      </c>
      <c r="N579" s="5">
        <f>IF($A579="","",IF($AQ579&lt;&gt;"",IF(INDEX(Raw_D2!$F$2:$F$1001,$AQ579)="","",INDEX(Raw_D2!$F$2:$F$1001,$AQ579)),IF($AR579&lt;&gt;"",IF(INDEX(Raw_D3!$N$2:$N$1001,$AR579)="","",INDEX(Raw_D3!$N$2:$N$1001,$AR579)),"")))</f>
        <v>3</v>
      </c>
      <c r="O579" s="5">
        <f>IF($A579="","",IF($AQ579&lt;&gt;"",IF(INDEX(Raw_D2!$G$2:$G$1001,$AQ579)="","",INDEX(Raw_D2!$G$2:$G$1001,$AQ579)),IF($AR579&lt;&gt;"",IF(INDEX(Raw_D3!$O$2:$O$1001,$AR579)="","",INDEX(Raw_D3!$O$2:$O$1001,$AR579)),"")))</f>
        <v>69</v>
      </c>
      <c r="P579" s="5">
        <f>IF($A579="","",IF($AQ579&lt;&gt;"",IF(INDEX(Raw_D2!$H$2:$H$1001,$AQ579)="","",INDEX(Raw_D2!$H$2:$H$1001,$AQ579)),IF($AR579&lt;&gt;"",IF(INDEX(Raw_D3!$P$2:$P$1001,$AR579)="","",INDEX(Raw_D3!$P$2:$P$1001,$AR579)),"")))</f>
        <v>72</v>
      </c>
      <c r="Q579" s="5" t="str">
        <f>IF($A579="","",IF(AND($AP579&lt;&gt;"",$AQ579&lt;&gt;""),"D1+D2",IF($AR579&lt;&gt;"","D3","Incomplete")))</f>
        <v>D1+D2</v>
      </c>
      <c r="R579" s="17">
        <f>IF($A579="","",IF($K579="",IF($J579="","",ROUND(Lookups!$K$5+Lookups!$K$4*$J579,4)),$K579))</f>
        <v>0.2121</v>
      </c>
      <c r="S579" s="5" t="str">
        <f>IF($A579="","",IF($K579="","Imputed","Original"))</f>
        <v>Original</v>
      </c>
      <c r="T579" s="5" t="str">
        <f>IF($A579="","",IF($P579="","Missing",IF($P579=$N579+$O579,"OK","Mismatch")))</f>
        <v>OK</v>
      </c>
      <c r="U579" s="5" t="str">
        <f>IF($A579="","",IF(COUNTIF($A$2:$A579,$A579)&gt;1,"Duplicate","Unique"))</f>
        <v>Unique</v>
      </c>
      <c r="V579" s="5">
        <f>IF($A579="","",IF(AND($U579="Unique",ISNUMBER($P579)),1,0))</f>
        <v>1</v>
      </c>
      <c r="W579" s="5" t="str">
        <f>IF($A579="","",IF(OR($H579=0,$H579=6),"Weekend","Weekday"))</f>
        <v>Weekday</v>
      </c>
      <c r="X579" s="5" t="str">
        <f>IF($A579="","",TEXT($B579,"ddd"))</f>
        <v>Wed</v>
      </c>
      <c r="Y579" s="5" t="str">
        <f>IF($A579="","",TEXT($B579,"mmm"))</f>
        <v>Jan</v>
      </c>
      <c r="Z579" s="5" t="str">
        <f>IF($A579="","",IFERROR(VLOOKUP($C579,Lookups!$D$4:$E$7,2,FALSE),"Unknown"))</f>
        <v>Winter</v>
      </c>
      <c r="AA579" s="5" t="str">
        <f>IF($A579="","",IFERROR(VLOOKUP($I579,Lookups!$A$4:$B$7,2,FALSE),"Unknown"))</f>
        <v>Light Rain/Snow</v>
      </c>
      <c r="AB579" s="5" t="str">
        <f>IF($A579="","",TEXT($F579,"00")&amp;":00")</f>
        <v>08:00</v>
      </c>
      <c r="AC579" s="5" t="str">
        <f>IF($A579="","",VLOOKUP($F579,Lookups!$G$4:$H$8,2,TRUE))</f>
        <v>Morning Peak (06-09)</v>
      </c>
      <c r="AD579" s="18">
        <f>IF($A579="","",IF($J579="","",ROUND($J579*41,1)))</f>
        <v>9</v>
      </c>
      <c r="AE579" s="18">
        <f>IF($A579="","",IF($R579="","",ROUND($R579*50,1)))</f>
        <v>10.6</v>
      </c>
      <c r="AF579" s="5">
        <f>IF($A579="","",IF($L579="","",ROUND($L579*100,0)))</f>
        <v>87</v>
      </c>
      <c r="AG579" s="18">
        <f>IF($A579="","",IF($M579="","",ROUND($M579*67,1)))</f>
        <v>20</v>
      </c>
      <c r="AH579" s="19">
        <f>IF($A579="","",IF($P579="","",IF($P579=0,0,$O579/$P579)))</f>
        <v>0.958333333333333</v>
      </c>
      <c r="AI579" s="5" t="str">
        <f>IF($A579="","",IF($P579="","",IF($P579&gt;=Lookups!$K$7,"High",IF($P579&lt;=Lookups!$K$8,"Low","Medium"))))</f>
        <v>Medium</v>
      </c>
      <c r="AJ579" s="5" t="str">
        <f>IF($A579="","",IF($AD579="","",IF($AD579&lt;5,"Under 5 C",IF($AD579&lt;10,"5-10 C",IF($AD579&lt;15,"10-15 C","15 C and above")))))</f>
        <v>5-10 C</v>
      </c>
      <c r="AK579" s="5">
        <f>IF($A579="","",IF($P579="","",$P579^2))</f>
        <v>5184</v>
      </c>
      <c r="AL579" s="18">
        <f>IF($V579&lt;&gt;1,"",AVERAGEIFS(Clean_Data!$P$2:$P$1001,Clean_Data!$F$2:$F$1001,$F579,Clean_Data!$W$2:$W$1001,$W579,Clean_Data!$V$2:$V$1001,1))</f>
        <v>183.535714285714</v>
      </c>
      <c r="AM579" s="16">
        <f>IF($V579&lt;&gt;1,"",IFERROR(($P579-$AL579)/SQRT(MAX(0,(SUMIFS(Clean_Data!$AK$2:$AK$1001,Clean_Data!$F$2:$F$1001,$F579,Clean_Data!$W$2:$W$1001,$W579,Clean_Data!$V$2:$V$1001,1)-COUNTIFS(Clean_Data!$F$2:$F$1001,$F579,Clean_Data!$W$2:$W$1001,$W579,Clean_Data!$V$2:$V$1001,1)*$AL579^2)/(COUNTIFS(Clean_Data!$F$2:$F$1001,$F579,Clean_Data!$W$2:$W$1001,$W579,Clean_Data!$V$2:$V$1001,1)-1))),""))</f>
        <v>-2.28837973194175</v>
      </c>
      <c r="AN579" s="5" t="str">
        <f>IF($AM579="","",IF($AM579&gt;=Lookups!$K$6,"High spike",IF($AM579&lt;=-Lookups!$K$6,"Unusual low","Normal")))</f>
        <v>Normal</v>
      </c>
      <c r="AO579" s="20">
        <f>IF($V579&lt;&gt;1,"",$P579+ROW()/100000)</f>
        <v>72.00579</v>
      </c>
      <c r="AP579" s="5">
        <f>IF($A579="","",IFERROR(MATCH($A579,Raw_D1!$A$2:$A$1001,0),""))</f>
        <v>578</v>
      </c>
      <c r="AQ579" s="5">
        <f>IF($A579="","",IFERROR(MATCH($A579,Raw_D2!$B$2:$B$1001,0),""))</f>
        <v>578</v>
      </c>
      <c r="AR579" s="5">
        <f>IF($A579="","",IFERROR(MATCH($A579,Raw_D3!$A$2:$A$1001,0),""))</f>
        <v/>
      </c>
    </row>
    <row r="580" spans="1:44" x14ac:dyDescent="0.25">
      <c r="A580" s="5">
        <v>579</v>
      </c>
      <c r="B580" s="11">
        <f>IF($A580="","",IF($AP580&lt;&gt;"",INDEX(Raw_D1!$B$2:$B$1001,$AP580),IF($AR580&lt;&gt;"",INDEX(Raw_D3!$B$2:$B$1001,$AR580),"")))</f>
        <v>40569.0</v>
      </c>
      <c r="C580" s="5">
        <f>IF($A580="","",IF($AP580&lt;&gt;"",INDEX(Raw_D1!$C$2:$C$1001,$AP580),IF($AR580&lt;&gt;"",INDEX(Raw_D3!$C$2:$C$1001,$AR580),"")))</f>
        <v>1</v>
      </c>
      <c r="D580" s="5">
        <f>IF($A580="","",IF($AP580&lt;&gt;"",INDEX(Raw_D1!$D$2:$D$1001,$AP580),IF($AR580&lt;&gt;"",INDEX(Raw_D3!$D$2:$D$1001,$AR580),"")))</f>
        <v>0</v>
      </c>
      <c r="E580" s="5">
        <f>IF($A580="","",IF($AP580&lt;&gt;"",INDEX(Raw_D1!$E$2:$E$1001,$AP580),IF($AR580&lt;&gt;"",INDEX(Raw_D3!$E$2:$E$1001,$AR580),"")))</f>
        <v>1</v>
      </c>
      <c r="F580" s="5">
        <f>IF($A580="","",IF($AP580&lt;&gt;"",INDEX(Raw_D1!$F$2:$F$1001,$AP580),IF($AR580&lt;&gt;"",INDEX(Raw_D3!$F$2:$F$1001,$AR580),"")))</f>
        <v>9</v>
      </c>
      <c r="G580" s="5">
        <f>IF($A580="","",IF($AP580&lt;&gt;"",IF(INDEX(Raw_D1!$G$2:$G$1001,$AP580),1,0),IF($AR580&lt;&gt;"",IF(INDEX(Raw_D3!$G$2:$G$1001,$AR580),1,0),"")))</f>
        <v>0</v>
      </c>
      <c r="H580" s="5">
        <f>IF($A580="","",IF($AP580&lt;&gt;"",INDEX(Raw_D1!$H$2:$H$1001,$AP580),IF($AR580&lt;&gt;"",INDEX(Raw_D3!$H$2:$H$1001,$AR580),"")))</f>
        <v>3</v>
      </c>
      <c r="I580" s="5">
        <f>IF($A580="","",IF($AP580&lt;&gt;"",INDEX(Raw_D1!$I$2:$I$1001,$AP580),IF($AR580&lt;&gt;"",INDEX(Raw_D3!$I$2:$I$1001,$AR580),"")))</f>
        <v>3</v>
      </c>
      <c r="J580" s="16">
        <f>IF($A580="","",IF($AP580&lt;&gt;"",INDEX(Raw_D1!$J$2:$J$1001,$AP580),IF($AR580&lt;&gt;"",INDEX(Raw_D3!$J$2:$J$1001,$AR580),"")))</f>
        <v>0.22</v>
      </c>
      <c r="K580" s="17">
        <f>IF($A580="","",IF($AQ580&lt;&gt;"",IF(INDEX(Raw_D2!$C$2:$C$1001,$AQ580)="","",INDEX(Raw_D2!$C$2:$C$1001,$AQ580)),IF($AR580&lt;&gt;"",IF(INDEX(Raw_D3!$K$2:$K$1001,$AR580)="","",INDEX(Raw_D3!$K$2:$K$1001,$AR580)),"")))</f>
        <v>0.2121</v>
      </c>
      <c r="L580" s="16">
        <f>IF($A580="","",IF($AQ580&lt;&gt;"",IF(INDEX(Raw_D2!$D$2:$D$1001,$AQ580)="","",INDEX(Raw_D2!$D$2:$D$1001,$AQ580)),IF($AR580&lt;&gt;"",IF(INDEX(Raw_D3!$L$2:$L$1001,$AR580)="","",INDEX(Raw_D3!$L$2:$L$1001,$AR580)),"")))</f>
        <v>0.87</v>
      </c>
      <c r="M580" s="17">
        <f>IF($A580="","",IF($AQ580&lt;&gt;"",IF(INDEX(Raw_D2!$E$2:$E$1001,$AQ580)="","",INDEX(Raw_D2!$E$2:$E$1001,$AQ580)),IF($AR580&lt;&gt;"",IF(INDEX(Raw_D3!$M$2:$M$1001,$AR580)="","",INDEX(Raw_D3!$M$2:$M$1001,$AR580)),"")))</f>
        <v>0.2985</v>
      </c>
      <c r="N580" s="5">
        <f>IF($A580="","",IF($AQ580&lt;&gt;"",IF(INDEX(Raw_D2!$F$2:$F$1001,$AQ580)="","",INDEX(Raw_D2!$F$2:$F$1001,$AQ580)),IF($AR580&lt;&gt;"",IF(INDEX(Raw_D3!$N$2:$N$1001,$AR580)="","",INDEX(Raw_D3!$N$2:$N$1001,$AR580)),"")))</f>
        <v>3</v>
      </c>
      <c r="O580" s="5">
        <f>IF($A580="","",IF($AQ580&lt;&gt;"",IF(INDEX(Raw_D2!$G$2:$G$1001,$AQ580)="","",INDEX(Raw_D2!$G$2:$G$1001,$AQ580)),IF($AR580&lt;&gt;"",IF(INDEX(Raw_D3!$O$2:$O$1001,$AR580)="","",INDEX(Raw_D3!$O$2:$O$1001,$AR580)),"")))</f>
        <v>55</v>
      </c>
      <c r="P580" s="5">
        <f>IF($A580="","",IF($AQ580&lt;&gt;"",IF(INDEX(Raw_D2!$H$2:$H$1001,$AQ580)="","",INDEX(Raw_D2!$H$2:$H$1001,$AQ580)),IF($AR580&lt;&gt;"",IF(INDEX(Raw_D3!$P$2:$P$1001,$AR580)="","",INDEX(Raw_D3!$P$2:$P$1001,$AR580)),"")))</f>
        <v>58</v>
      </c>
      <c r="Q580" s="5" t="str">
        <f>IF($A580="","",IF(AND($AP580&lt;&gt;"",$AQ580&lt;&gt;""),"D1+D2",IF($AR580&lt;&gt;"","D3","Incomplete")))</f>
        <v>D1+D2</v>
      </c>
      <c r="R580" s="17">
        <f>IF($A580="","",IF($K580="",IF($J580="","",ROUND(Lookups!$K$5+Lookups!$K$4*$J580,4)),$K580))</f>
        <v>0.2121</v>
      </c>
      <c r="S580" s="5" t="str">
        <f>IF($A580="","",IF($K580="","Imputed","Original"))</f>
        <v>Original</v>
      </c>
      <c r="T580" s="5" t="str">
        <f>IF($A580="","",IF($P580="","Missing",IF($P580=$N580+$O580,"OK","Mismatch")))</f>
        <v>OK</v>
      </c>
      <c r="U580" s="5" t="str">
        <f>IF($A580="","",IF(COUNTIF($A$2:$A580,$A580)&gt;1,"Duplicate","Unique"))</f>
        <v>Unique</v>
      </c>
      <c r="V580" s="5">
        <f>IF($A580="","",IF(AND($U580="Unique",ISNUMBER($P580)),1,0))</f>
        <v>1</v>
      </c>
      <c r="W580" s="5" t="str">
        <f>IF($A580="","",IF(OR($H580=0,$H580=6),"Weekend","Weekday"))</f>
        <v>Weekday</v>
      </c>
      <c r="X580" s="5" t="str">
        <f>IF($A580="","",TEXT($B580,"ddd"))</f>
        <v>Wed</v>
      </c>
      <c r="Y580" s="5" t="str">
        <f>IF($A580="","",TEXT($B580,"mmm"))</f>
        <v>Jan</v>
      </c>
      <c r="Z580" s="5" t="str">
        <f>IF($A580="","",IFERROR(VLOOKUP($C580,Lookups!$D$4:$E$7,2,FALSE),"Unknown"))</f>
        <v>Winter</v>
      </c>
      <c r="AA580" s="5" t="str">
        <f>IF($A580="","",IFERROR(VLOOKUP($I580,Lookups!$A$4:$B$7,2,FALSE),"Unknown"))</f>
        <v>Light Rain/Snow</v>
      </c>
      <c r="AB580" s="5" t="str">
        <f>IF($A580="","",TEXT($F580,"00")&amp;":00")</f>
        <v>09:00</v>
      </c>
      <c r="AC580" s="5" t="str">
        <f>IF($A580="","",VLOOKUP($F580,Lookups!$G$4:$H$8,2,TRUE))</f>
        <v>Morning Peak (06-09)</v>
      </c>
      <c r="AD580" s="18">
        <f>IF($A580="","",IF($J580="","",ROUND($J580*41,1)))</f>
        <v>9</v>
      </c>
      <c r="AE580" s="18">
        <f>IF($A580="","",IF($R580="","",ROUND($R580*50,1)))</f>
        <v>10.6</v>
      </c>
      <c r="AF580" s="5">
        <f>IF($A580="","",IF($L580="","",ROUND($L580*100,0)))</f>
        <v>87</v>
      </c>
      <c r="AG580" s="18">
        <f>IF($A580="","",IF($M580="","",ROUND($M580*67,1)))</f>
        <v>20</v>
      </c>
      <c r="AH580" s="19">
        <f>IF($A580="","",IF($P580="","",IF($P580=0,0,$O580/$P580)))</f>
        <v>0.948275862068966</v>
      </c>
      <c r="AI580" s="5" t="str">
        <f>IF($A580="","",IF($P580="","",IF($P580&gt;=Lookups!$K$7,"High",IF($P580&lt;=Lookups!$K$8,"Low","Medium"))))</f>
        <v>Medium</v>
      </c>
      <c r="AJ580" s="5" t="str">
        <f>IF($A580="","",IF($AD580="","",IF($AD580&lt;5,"Under 5 C",IF($AD580&lt;10,"5-10 C",IF($AD580&lt;15,"10-15 C","15 C and above")))))</f>
        <v>5-10 C</v>
      </c>
      <c r="AK580" s="5">
        <f>IF($A580="","",IF($P580="","",$P580^2))</f>
        <v>3364</v>
      </c>
      <c r="AL580" s="18">
        <f>IF($V580&lt;&gt;1,"",AVERAGEIFS(Clean_Data!$P$2:$P$1001,Clean_Data!$F$2:$F$1001,$F580,Clean_Data!$W$2:$W$1001,$W580,Clean_Data!$V$2:$V$1001,1))</f>
        <v>115.678571428571</v>
      </c>
      <c r="AM580" s="16">
        <f>IF($V580&lt;&gt;1,"",IFERROR(($P580-$AL580)/SQRT(MAX(0,(SUMIFS(Clean_Data!$AK$2:$AK$1001,Clean_Data!$F$2:$F$1001,$F580,Clean_Data!$W$2:$W$1001,$W580,Clean_Data!$V$2:$V$1001,1)-COUNTIFS(Clean_Data!$F$2:$F$1001,$F580,Clean_Data!$W$2:$W$1001,$W580,Clean_Data!$V$2:$V$1001,1)*$AL580^2)/(COUNTIFS(Clean_Data!$F$2:$F$1001,$F580,Clean_Data!$W$2:$W$1001,$W580,Clean_Data!$V$2:$V$1001,1)-1))),""))</f>
        <v>-2.23748253739808</v>
      </c>
      <c r="AN580" s="5" t="str">
        <f>IF($AM580="","",IF($AM580&gt;=Lookups!$K$6,"High spike",IF($AM580&lt;=-Lookups!$K$6,"Unusual low","Normal")))</f>
        <v>Normal</v>
      </c>
      <c r="AO580" s="20">
        <f>IF($V580&lt;&gt;1,"",$P580+ROW()/100000)</f>
        <v>58.0058</v>
      </c>
      <c r="AP580" s="5">
        <f>IF($A580="","",IFERROR(MATCH($A580,Raw_D1!$A$2:$A$1001,0),""))</f>
        <v>579</v>
      </c>
      <c r="AQ580" s="5">
        <f>IF($A580="","",IFERROR(MATCH($A580,Raw_D2!$B$2:$B$1001,0),""))</f>
        <v>579</v>
      </c>
      <c r="AR580" s="5">
        <f>IF($A580="","",IFERROR(MATCH($A580,Raw_D3!$A$2:$A$1001,0),""))</f>
        <v/>
      </c>
    </row>
    <row r="581" spans="1:44" x14ac:dyDescent="0.25">
      <c r="A581" s="5">
        <v>580</v>
      </c>
      <c r="B581" s="11">
        <f>IF($A581="","",IF($AP581&lt;&gt;"",INDEX(Raw_D1!$B$2:$B$1001,$AP581),IF($AR581&lt;&gt;"",INDEX(Raw_D3!$B$2:$B$1001,$AR581),"")))</f>
        <v>40569.0</v>
      </c>
      <c r="C581" s="5">
        <f>IF($A581="","",IF($AP581&lt;&gt;"",INDEX(Raw_D1!$C$2:$C$1001,$AP581),IF($AR581&lt;&gt;"",INDEX(Raw_D3!$C$2:$C$1001,$AR581),"")))</f>
        <v>1</v>
      </c>
      <c r="D581" s="5">
        <f>IF($A581="","",IF($AP581&lt;&gt;"",INDEX(Raw_D1!$D$2:$D$1001,$AP581),IF($AR581&lt;&gt;"",INDEX(Raw_D3!$D$2:$D$1001,$AR581),"")))</f>
        <v>0</v>
      </c>
      <c r="E581" s="5">
        <f>IF($A581="","",IF($AP581&lt;&gt;"",INDEX(Raw_D1!$E$2:$E$1001,$AP581),IF($AR581&lt;&gt;"",INDEX(Raw_D3!$E$2:$E$1001,$AR581),"")))</f>
        <v>1</v>
      </c>
      <c r="F581" s="5">
        <f>IF($A581="","",IF($AP581&lt;&gt;"",INDEX(Raw_D1!$F$2:$F$1001,$AP581),IF($AR581&lt;&gt;"",INDEX(Raw_D3!$F$2:$F$1001,$AR581),"")))</f>
        <v>10</v>
      </c>
      <c r="G581" s="5">
        <f>IF($A581="","",IF($AP581&lt;&gt;"",IF(INDEX(Raw_D1!$G$2:$G$1001,$AP581),1,0),IF($AR581&lt;&gt;"",IF(INDEX(Raw_D3!$G$2:$G$1001,$AR581),1,0),"")))</f>
        <v>0</v>
      </c>
      <c r="H581" s="5">
        <f>IF($A581="","",IF($AP581&lt;&gt;"",INDEX(Raw_D1!$H$2:$H$1001,$AP581),IF($AR581&lt;&gt;"",INDEX(Raw_D3!$H$2:$H$1001,$AR581),"")))</f>
        <v>3</v>
      </c>
      <c r="I581" s="5">
        <f>IF($A581="","",IF($AP581&lt;&gt;"",INDEX(Raw_D1!$I$2:$I$1001,$AP581),IF($AR581&lt;&gt;"",INDEX(Raw_D3!$I$2:$I$1001,$AR581),"")))</f>
        <v>3</v>
      </c>
      <c r="J581" s="16">
        <f>IF($A581="","",IF($AP581&lt;&gt;"",INDEX(Raw_D1!$J$2:$J$1001,$AP581),IF($AR581&lt;&gt;"",INDEX(Raw_D3!$J$2:$J$1001,$AR581),"")))</f>
        <v>0.22</v>
      </c>
      <c r="K581" s="17">
        <f>IF($A581="","",IF($AQ581&lt;&gt;"",IF(INDEX(Raw_D2!$C$2:$C$1001,$AQ581)="","",INDEX(Raw_D2!$C$2:$C$1001,$AQ581)),IF($AR581&lt;&gt;"",IF(INDEX(Raw_D3!$K$2:$K$1001,$AR581)="","",INDEX(Raw_D3!$K$2:$K$1001,$AR581)),"")))</f>
        <v>0.2121</v>
      </c>
      <c r="L581" s="16">
        <f>IF($A581="","",IF($AQ581&lt;&gt;"",IF(INDEX(Raw_D2!$D$2:$D$1001,$AQ581)="","",INDEX(Raw_D2!$D$2:$D$1001,$AQ581)),IF($AR581&lt;&gt;"",IF(INDEX(Raw_D3!$L$2:$L$1001,$AR581)="","",INDEX(Raw_D3!$L$2:$L$1001,$AR581)),"")))</f>
        <v>0.93</v>
      </c>
      <c r="M581" s="17">
        <f>IF($A581="","",IF($AQ581&lt;&gt;"",IF(INDEX(Raw_D2!$E$2:$E$1001,$AQ581)="","",INDEX(Raw_D2!$E$2:$E$1001,$AQ581)),IF($AR581&lt;&gt;"",IF(INDEX(Raw_D3!$M$2:$M$1001,$AR581)="","",INDEX(Raw_D3!$M$2:$M$1001,$AR581)),"")))</f>
        <v>0.2836</v>
      </c>
      <c r="N581" s="5">
        <f>IF($A581="","",IF($AQ581&lt;&gt;"",IF(INDEX(Raw_D2!$F$2:$F$1001,$AQ581)="","",INDEX(Raw_D2!$F$2:$F$1001,$AQ581)),IF($AR581&lt;&gt;"",IF(INDEX(Raw_D3!$N$2:$N$1001,$AR581)="","",INDEX(Raw_D3!$N$2:$N$1001,$AR581)),"")))</f>
        <v>2</v>
      </c>
      <c r="O581" s="5">
        <f>IF($A581="","",IF($AQ581&lt;&gt;"",IF(INDEX(Raw_D2!$G$2:$G$1001,$AQ581)="","",INDEX(Raw_D2!$G$2:$G$1001,$AQ581)),IF($AR581&lt;&gt;"",IF(INDEX(Raw_D3!$O$2:$O$1001,$AR581)="","",INDEX(Raw_D3!$O$2:$O$1001,$AR581)),"")))</f>
        <v>26</v>
      </c>
      <c r="P581" s="5">
        <f>IF($A581="","",IF($AQ581&lt;&gt;"",IF(INDEX(Raw_D2!$H$2:$H$1001,$AQ581)="","",INDEX(Raw_D2!$H$2:$H$1001,$AQ581)),IF($AR581&lt;&gt;"",IF(INDEX(Raw_D3!$P$2:$P$1001,$AR581)="","",INDEX(Raw_D3!$P$2:$P$1001,$AR581)),"")))</f>
        <v>28</v>
      </c>
      <c r="Q581" s="5" t="str">
        <f>IF($A581="","",IF(AND($AP581&lt;&gt;"",$AQ581&lt;&gt;""),"D1+D2",IF($AR581&lt;&gt;"","D3","Incomplete")))</f>
        <v>D1+D2</v>
      </c>
      <c r="R581" s="17">
        <f>IF($A581="","",IF($K581="",IF($J581="","",ROUND(Lookups!$K$5+Lookups!$K$4*$J581,4)),$K581))</f>
        <v>0.2121</v>
      </c>
      <c r="S581" s="5" t="str">
        <f>IF($A581="","",IF($K581="","Imputed","Original"))</f>
        <v>Original</v>
      </c>
      <c r="T581" s="5" t="str">
        <f>IF($A581="","",IF($P581="","Missing",IF($P581=$N581+$O581,"OK","Mismatch")))</f>
        <v>OK</v>
      </c>
      <c r="U581" s="5" t="str">
        <f>IF($A581="","",IF(COUNTIF($A$2:$A581,$A581)&gt;1,"Duplicate","Unique"))</f>
        <v>Unique</v>
      </c>
      <c r="V581" s="5">
        <f>IF($A581="","",IF(AND($U581="Unique",ISNUMBER($P581)),1,0))</f>
        <v>1</v>
      </c>
      <c r="W581" s="5" t="str">
        <f>IF($A581="","",IF(OR($H581=0,$H581=6),"Weekend","Weekday"))</f>
        <v>Weekday</v>
      </c>
      <c r="X581" s="5" t="str">
        <f>IF($A581="","",TEXT($B581,"ddd"))</f>
        <v>Wed</v>
      </c>
      <c r="Y581" s="5" t="str">
        <f>IF($A581="","",TEXT($B581,"mmm"))</f>
        <v>Jan</v>
      </c>
      <c r="Z581" s="5" t="str">
        <f>IF($A581="","",IFERROR(VLOOKUP($C581,Lookups!$D$4:$E$7,2,FALSE),"Unknown"))</f>
        <v>Winter</v>
      </c>
      <c r="AA581" s="5" t="str">
        <f>IF($A581="","",IFERROR(VLOOKUP($I581,Lookups!$A$4:$B$7,2,FALSE),"Unknown"))</f>
        <v>Light Rain/Snow</v>
      </c>
      <c r="AB581" s="5" t="str">
        <f>IF($A581="","",TEXT($F581,"00")&amp;":00")</f>
        <v>10:00</v>
      </c>
      <c r="AC581" s="5" t="str">
        <f>IF($A581="","",VLOOKUP($F581,Lookups!$G$4:$H$8,2,TRUE))</f>
        <v>Midday (10-15)</v>
      </c>
      <c r="AD581" s="18">
        <f>IF($A581="","",IF($J581="","",ROUND($J581*41,1)))</f>
        <v>9</v>
      </c>
      <c r="AE581" s="18">
        <f>IF($A581="","",IF($R581="","",ROUND($R581*50,1)))</f>
        <v>10.6</v>
      </c>
      <c r="AF581" s="5">
        <f>IF($A581="","",IF($L581="","",ROUND($L581*100,0)))</f>
        <v>93</v>
      </c>
      <c r="AG581" s="18">
        <f>IF($A581="","",IF($M581="","",ROUND($M581*67,1)))</f>
        <v>19</v>
      </c>
      <c r="AH581" s="19">
        <f>IF($A581="","",IF($P581="","",IF($P581=0,0,$O581/$P581)))</f>
        <v>0.928571428571429</v>
      </c>
      <c r="AI581" s="5" t="str">
        <f>IF($A581="","",IF($P581="","",IF($P581&gt;=Lookups!$K$7,"High",IF($P581&lt;=Lookups!$K$8,"Low","Medium"))))</f>
        <v>Medium</v>
      </c>
      <c r="AJ581" s="5" t="str">
        <f>IF($A581="","",IF($AD581="","",IF($AD581&lt;5,"Under 5 C",IF($AD581&lt;10,"5-10 C",IF($AD581&lt;15,"10-15 C","15 C and above")))))</f>
        <v>5-10 C</v>
      </c>
      <c r="AK581" s="5">
        <f>IF($A581="","",IF($P581="","",$P581^2))</f>
        <v>784</v>
      </c>
      <c r="AL581" s="18">
        <f>IF($V581&lt;&gt;1,"",AVERAGEIFS(Clean_Data!$P$2:$P$1001,Clean_Data!$F$2:$F$1001,$F581,Clean_Data!$W$2:$W$1001,$W581,Clean_Data!$V$2:$V$1001,1))</f>
        <v>49.0714285714286</v>
      </c>
      <c r="AM581" s="16">
        <f>IF($V581&lt;&gt;1,"",IFERROR(($P581-$AL581)/SQRT(MAX(0,(SUMIFS(Clean_Data!$AK$2:$AK$1001,Clean_Data!$F$2:$F$1001,$F581,Clean_Data!$W$2:$W$1001,$W581,Clean_Data!$V$2:$V$1001,1)-COUNTIFS(Clean_Data!$F$2:$F$1001,$F581,Clean_Data!$W$2:$W$1001,$W581,Clean_Data!$V$2:$V$1001,1)*$AL581^2)/(COUNTIFS(Clean_Data!$F$2:$F$1001,$F581,Clean_Data!$W$2:$W$1001,$W581,Clean_Data!$V$2:$V$1001,1)-1))),""))</f>
        <v>-2.08795337355269</v>
      </c>
      <c r="AN581" s="5" t="str">
        <f>IF($AM581="","",IF($AM581&gt;=Lookups!$K$6,"High spike",IF($AM581&lt;=-Lookups!$K$6,"Unusual low","Normal")))</f>
        <v>Normal</v>
      </c>
      <c r="AO581" s="20">
        <f>IF($V581&lt;&gt;1,"",$P581+ROW()/100000)</f>
        <v>28.00581</v>
      </c>
      <c r="AP581" s="5">
        <f>IF($A581="","",IFERROR(MATCH($A581,Raw_D1!$A$2:$A$1001,0),""))</f>
        <v>580</v>
      </c>
      <c r="AQ581" s="5">
        <f>IF($A581="","",IFERROR(MATCH($A581,Raw_D2!$B$2:$B$1001,0),""))</f>
        <v>580</v>
      </c>
      <c r="AR581" s="5">
        <f>IF($A581="","",IFERROR(MATCH($A581,Raw_D3!$A$2:$A$1001,0),""))</f>
        <v/>
      </c>
    </row>
    <row r="582" spans="1:44" x14ac:dyDescent="0.25">
      <c r="A582" s="5">
        <v>581</v>
      </c>
      <c r="B582" s="11">
        <f>IF($A582="","",IF($AP582&lt;&gt;"",INDEX(Raw_D1!$B$2:$B$1001,$AP582),IF($AR582&lt;&gt;"",INDEX(Raw_D3!$B$2:$B$1001,$AR582),"")))</f>
        <v>40569.0</v>
      </c>
      <c r="C582" s="5">
        <f>IF($A582="","",IF($AP582&lt;&gt;"",INDEX(Raw_D1!$C$2:$C$1001,$AP582),IF($AR582&lt;&gt;"",INDEX(Raw_D3!$C$2:$C$1001,$AR582),"")))</f>
        <v>1</v>
      </c>
      <c r="D582" s="5">
        <f>IF($A582="","",IF($AP582&lt;&gt;"",INDEX(Raw_D1!$D$2:$D$1001,$AP582),IF($AR582&lt;&gt;"",INDEX(Raw_D3!$D$2:$D$1001,$AR582),"")))</f>
        <v>0</v>
      </c>
      <c r="E582" s="5">
        <f>IF($A582="","",IF($AP582&lt;&gt;"",INDEX(Raw_D1!$E$2:$E$1001,$AP582),IF($AR582&lt;&gt;"",INDEX(Raw_D3!$E$2:$E$1001,$AR582),"")))</f>
        <v>1</v>
      </c>
      <c r="F582" s="5">
        <f>IF($A582="","",IF($AP582&lt;&gt;"",INDEX(Raw_D1!$F$2:$F$1001,$AP582),IF($AR582&lt;&gt;"",INDEX(Raw_D3!$F$2:$F$1001,$AR582),"")))</f>
        <v>11</v>
      </c>
      <c r="G582" s="5">
        <f>IF($A582="","",IF($AP582&lt;&gt;"",IF(INDEX(Raw_D1!$G$2:$G$1001,$AP582),1,0),IF($AR582&lt;&gt;"",IF(INDEX(Raw_D3!$G$2:$G$1001,$AR582),1,0),"")))</f>
        <v>0</v>
      </c>
      <c r="H582" s="5">
        <f>IF($A582="","",IF($AP582&lt;&gt;"",INDEX(Raw_D1!$H$2:$H$1001,$AP582),IF($AR582&lt;&gt;"",INDEX(Raw_D3!$H$2:$H$1001,$AR582),"")))</f>
        <v>3</v>
      </c>
      <c r="I582" s="5">
        <f>IF($A582="","",IF($AP582&lt;&gt;"",INDEX(Raw_D1!$I$2:$I$1001,$AP582),IF($AR582&lt;&gt;"",INDEX(Raw_D3!$I$2:$I$1001,$AR582),"")))</f>
        <v>3</v>
      </c>
      <c r="J582" s="16">
        <f>IF($A582="","",IF($AP582&lt;&gt;"",INDEX(Raw_D1!$J$2:$J$1001,$AP582),IF($AR582&lt;&gt;"",INDEX(Raw_D3!$J$2:$J$1001,$AR582),"")))</f>
        <v>0.22</v>
      </c>
      <c r="K582" s="17">
        <f>IF($A582="","",IF($AQ582&lt;&gt;"",IF(INDEX(Raw_D2!$C$2:$C$1001,$AQ582)="","",INDEX(Raw_D2!$C$2:$C$1001,$AQ582)),IF($AR582&lt;&gt;"",IF(INDEX(Raw_D3!$K$2:$K$1001,$AR582)="","",INDEX(Raw_D3!$K$2:$K$1001,$AR582)),"")))</f>
        <v>0.197</v>
      </c>
      <c r="L582" s="16">
        <f>IF($A582="","",IF($AQ582&lt;&gt;"",IF(INDEX(Raw_D2!$D$2:$D$1001,$AQ582)="","",INDEX(Raw_D2!$D$2:$D$1001,$AQ582)),IF($AR582&lt;&gt;"",IF(INDEX(Raw_D3!$L$2:$L$1001,$AR582)="","",INDEX(Raw_D3!$L$2:$L$1001,$AR582)),"")))</f>
        <v>0.93</v>
      </c>
      <c r="M582" s="17">
        <f>IF($A582="","",IF($AQ582&lt;&gt;"",IF(INDEX(Raw_D2!$E$2:$E$1001,$AQ582)="","",INDEX(Raw_D2!$E$2:$E$1001,$AQ582)),IF($AR582&lt;&gt;"",IF(INDEX(Raw_D3!$M$2:$M$1001,$AR582)="","",INDEX(Raw_D3!$M$2:$M$1001,$AR582)),"")))</f>
        <v>0.3284</v>
      </c>
      <c r="N582" s="5">
        <f>IF($A582="","",IF($AQ582&lt;&gt;"",IF(INDEX(Raw_D2!$F$2:$F$1001,$AQ582)="","",INDEX(Raw_D2!$F$2:$F$1001,$AQ582)),IF($AR582&lt;&gt;"",IF(INDEX(Raw_D3!$N$2:$N$1001,$AR582)="","",INDEX(Raw_D3!$N$2:$N$1001,$AR582)),"")))</f>
        <v>6</v>
      </c>
      <c r="O582" s="5">
        <f>IF($A582="","",IF($AQ582&lt;&gt;"",IF(INDEX(Raw_D2!$G$2:$G$1001,$AQ582)="","",INDEX(Raw_D2!$G$2:$G$1001,$AQ582)),IF($AR582&lt;&gt;"",IF(INDEX(Raw_D3!$O$2:$O$1001,$AR582)="","",INDEX(Raw_D3!$O$2:$O$1001,$AR582)),"")))</f>
        <v>35</v>
      </c>
      <c r="P582" s="5">
        <f>IF($A582="","",IF($AQ582&lt;&gt;"",IF(INDEX(Raw_D2!$H$2:$H$1001,$AQ582)="","",INDEX(Raw_D2!$H$2:$H$1001,$AQ582)),IF($AR582&lt;&gt;"",IF(INDEX(Raw_D3!$P$2:$P$1001,$AR582)="","",INDEX(Raw_D3!$P$2:$P$1001,$AR582)),"")))</f>
        <v>41</v>
      </c>
      <c r="Q582" s="5" t="str">
        <f>IF($A582="","",IF(AND($AP582&lt;&gt;"",$AQ582&lt;&gt;""),"D1+D2",IF($AR582&lt;&gt;"","D3","Incomplete")))</f>
        <v>D1+D2</v>
      </c>
      <c r="R582" s="17">
        <f>IF($A582="","",IF($K582="",IF($J582="","",ROUND(Lookups!$K$5+Lookups!$K$4*$J582,4)),$K582))</f>
        <v>0.197</v>
      </c>
      <c r="S582" s="5" t="str">
        <f>IF($A582="","",IF($K582="","Imputed","Original"))</f>
        <v>Original</v>
      </c>
      <c r="T582" s="5" t="str">
        <f>IF($A582="","",IF($P582="","Missing",IF($P582=$N582+$O582,"OK","Mismatch")))</f>
        <v>OK</v>
      </c>
      <c r="U582" s="5" t="str">
        <f>IF($A582="","",IF(COUNTIF($A$2:$A582,$A582)&gt;1,"Duplicate","Unique"))</f>
        <v>Unique</v>
      </c>
      <c r="V582" s="5">
        <f>IF($A582="","",IF(AND($U582="Unique",ISNUMBER($P582)),1,0))</f>
        <v>1</v>
      </c>
      <c r="W582" s="5" t="str">
        <f>IF($A582="","",IF(OR($H582=0,$H582=6),"Weekend","Weekday"))</f>
        <v>Weekday</v>
      </c>
      <c r="X582" s="5" t="str">
        <f>IF($A582="","",TEXT($B582,"ddd"))</f>
        <v>Wed</v>
      </c>
      <c r="Y582" s="5" t="str">
        <f>IF($A582="","",TEXT($B582,"mmm"))</f>
        <v>Jan</v>
      </c>
      <c r="Z582" s="5" t="str">
        <f>IF($A582="","",IFERROR(VLOOKUP($C582,Lookups!$D$4:$E$7,2,FALSE),"Unknown"))</f>
        <v>Winter</v>
      </c>
      <c r="AA582" s="5" t="str">
        <f>IF($A582="","",IFERROR(VLOOKUP($I582,Lookups!$A$4:$B$7,2,FALSE),"Unknown"))</f>
        <v>Light Rain/Snow</v>
      </c>
      <c r="AB582" s="5" t="str">
        <f>IF($A582="","",TEXT($F582,"00")&amp;":00")</f>
        <v>11:00</v>
      </c>
      <c r="AC582" s="5" t="str">
        <f>IF($A582="","",VLOOKUP($F582,Lookups!$G$4:$H$8,2,TRUE))</f>
        <v>Midday (10-15)</v>
      </c>
      <c r="AD582" s="18">
        <f>IF($A582="","",IF($J582="","",ROUND($J582*41,1)))</f>
        <v>9</v>
      </c>
      <c r="AE582" s="18">
        <f>IF($A582="","",IF($R582="","",ROUND($R582*50,1)))</f>
        <v>9.9</v>
      </c>
      <c r="AF582" s="5">
        <f>IF($A582="","",IF($L582="","",ROUND($L582*100,0)))</f>
        <v>93</v>
      </c>
      <c r="AG582" s="18">
        <f>IF($A582="","",IF($M582="","",ROUND($M582*67,1)))</f>
        <v>22</v>
      </c>
      <c r="AH582" s="19">
        <f>IF($A582="","",IF($P582="","",IF($P582=0,0,$O582/$P582)))</f>
        <v>0.853658536585366</v>
      </c>
      <c r="AI582" s="5" t="str">
        <f>IF($A582="","",IF($P582="","",IF($P582&gt;=Lookups!$K$7,"High",IF($P582&lt;=Lookups!$K$8,"Low","Medium"))))</f>
        <v>Medium</v>
      </c>
      <c r="AJ582" s="5" t="str">
        <f>IF($A582="","",IF($AD582="","",IF($AD582&lt;5,"Under 5 C",IF($AD582&lt;10,"5-10 C",IF($AD582&lt;15,"10-15 C","15 C and above")))))</f>
        <v>5-10 C</v>
      </c>
      <c r="AK582" s="5">
        <f>IF($A582="","",IF($P582="","",$P582^2))</f>
        <v>1681</v>
      </c>
      <c r="AL582" s="18">
        <f>IF($V582&lt;&gt;1,"",AVERAGEIFS(Clean_Data!$P$2:$P$1001,Clean_Data!$F$2:$F$1001,$F582,Clean_Data!$W$2:$W$1001,$W582,Clean_Data!$V$2:$V$1001,1))</f>
        <v>50.6071428571429</v>
      </c>
      <c r="AM582" s="16">
        <f>IF($V582&lt;&gt;1,"",IFERROR(($P582-$AL582)/SQRT(MAX(0,(SUMIFS(Clean_Data!$AK$2:$AK$1001,Clean_Data!$F$2:$F$1001,$F582,Clean_Data!$W$2:$W$1001,$W582,Clean_Data!$V$2:$V$1001,1)-COUNTIFS(Clean_Data!$F$2:$F$1001,$F582,Clean_Data!$W$2:$W$1001,$W582,Clean_Data!$V$2:$V$1001,1)*$AL582^2)/(COUNTIFS(Clean_Data!$F$2:$F$1001,$F582,Clean_Data!$W$2:$W$1001,$W582,Clean_Data!$V$2:$V$1001,1)-1))),""))</f>
        <v>-0.857552944669762</v>
      </c>
      <c r="AN582" s="5" t="str">
        <f>IF($AM582="","",IF($AM582&gt;=Lookups!$K$6,"High spike",IF($AM582&lt;=-Lookups!$K$6,"Unusual low","Normal")))</f>
        <v>Normal</v>
      </c>
      <c r="AO582" s="20">
        <f>IF($V582&lt;&gt;1,"",$P582+ROW()/100000)</f>
        <v>41.00582</v>
      </c>
      <c r="AP582" s="5">
        <f>IF($A582="","",IFERROR(MATCH($A582,Raw_D1!$A$2:$A$1001,0),""))</f>
        <v>581</v>
      </c>
      <c r="AQ582" s="5">
        <f>IF($A582="","",IFERROR(MATCH($A582,Raw_D2!$B$2:$B$1001,0),""))</f>
        <v>581</v>
      </c>
      <c r="AR582" s="5">
        <f>IF($A582="","",IFERROR(MATCH($A582,Raw_D3!$A$2:$A$1001,0),""))</f>
        <v/>
      </c>
    </row>
    <row r="583" spans="1:44" x14ac:dyDescent="0.25">
      <c r="A583" s="5">
        <v>582</v>
      </c>
      <c r="B583" s="11">
        <f>IF($A583="","",IF($AP583&lt;&gt;"",INDEX(Raw_D1!$B$2:$B$1001,$AP583),IF($AR583&lt;&gt;"",INDEX(Raw_D3!$B$2:$B$1001,$AR583),"")))</f>
        <v>40569.0</v>
      </c>
      <c r="C583" s="5">
        <f>IF($A583="","",IF($AP583&lt;&gt;"",INDEX(Raw_D1!$C$2:$C$1001,$AP583),IF($AR583&lt;&gt;"",INDEX(Raw_D3!$C$2:$C$1001,$AR583),"")))</f>
        <v>1</v>
      </c>
      <c r="D583" s="5">
        <f>IF($A583="","",IF($AP583&lt;&gt;"",INDEX(Raw_D1!$D$2:$D$1001,$AP583),IF($AR583&lt;&gt;"",INDEX(Raw_D3!$D$2:$D$1001,$AR583),"")))</f>
        <v>0</v>
      </c>
      <c r="E583" s="5">
        <f>IF($A583="","",IF($AP583&lt;&gt;"",INDEX(Raw_D1!$E$2:$E$1001,$AP583),IF($AR583&lt;&gt;"",INDEX(Raw_D3!$E$2:$E$1001,$AR583),"")))</f>
        <v>1</v>
      </c>
      <c r="F583" s="5">
        <f>IF($A583="","",IF($AP583&lt;&gt;"",INDEX(Raw_D1!$F$2:$F$1001,$AP583),IF($AR583&lt;&gt;"",INDEX(Raw_D3!$F$2:$F$1001,$AR583),"")))</f>
        <v>12</v>
      </c>
      <c r="G583" s="5">
        <f>IF($A583="","",IF($AP583&lt;&gt;"",IF(INDEX(Raw_D1!$G$2:$G$1001,$AP583),1,0),IF($AR583&lt;&gt;"",IF(INDEX(Raw_D3!$G$2:$G$1001,$AR583),1,0),"")))</f>
        <v>0</v>
      </c>
      <c r="H583" s="5">
        <f>IF($A583="","",IF($AP583&lt;&gt;"",INDEX(Raw_D1!$H$2:$H$1001,$AP583),IF($AR583&lt;&gt;"",INDEX(Raw_D3!$H$2:$H$1001,$AR583),"")))</f>
        <v>3</v>
      </c>
      <c r="I583" s="5">
        <f>IF($A583="","",IF($AP583&lt;&gt;"",INDEX(Raw_D1!$I$2:$I$1001,$AP583),IF($AR583&lt;&gt;"",INDEX(Raw_D3!$I$2:$I$1001,$AR583),"")))</f>
        <v>3</v>
      </c>
      <c r="J583" s="16">
        <f>IF($A583="","",IF($AP583&lt;&gt;"",INDEX(Raw_D1!$J$2:$J$1001,$AP583),IF($AR583&lt;&gt;"",INDEX(Raw_D3!$J$2:$J$1001,$AR583),"")))</f>
        <v>0.22</v>
      </c>
      <c r="K583" s="17">
        <f>IF($A583="","",IF($AQ583&lt;&gt;"",IF(INDEX(Raw_D2!$C$2:$C$1001,$AQ583)="","",INDEX(Raw_D2!$C$2:$C$1001,$AQ583)),IF($AR583&lt;&gt;"",IF(INDEX(Raw_D3!$K$2:$K$1001,$AR583)="","",INDEX(Raw_D3!$K$2:$K$1001,$AR583)),"")))</f>
        <v>0.197</v>
      </c>
      <c r="L583" s="16">
        <f>IF($A583="","",IF($AQ583&lt;&gt;"",IF(INDEX(Raw_D2!$D$2:$D$1001,$AQ583)="","",INDEX(Raw_D2!$D$2:$D$1001,$AQ583)),IF($AR583&lt;&gt;"",IF(INDEX(Raw_D3!$L$2:$L$1001,$AR583)="","",INDEX(Raw_D3!$L$2:$L$1001,$AR583)),"")))</f>
        <v>0.93</v>
      </c>
      <c r="M583" s="17">
        <f>IF($A583="","",IF($AQ583&lt;&gt;"",IF(INDEX(Raw_D2!$E$2:$E$1001,$AQ583)="","",INDEX(Raw_D2!$E$2:$E$1001,$AQ583)),IF($AR583&lt;&gt;"",IF(INDEX(Raw_D3!$M$2:$M$1001,$AR583)="","",INDEX(Raw_D3!$M$2:$M$1001,$AR583)),"")))</f>
        <v>0.3284</v>
      </c>
      <c r="N583" s="5">
        <f>IF($A583="","",IF($AQ583&lt;&gt;"",IF(INDEX(Raw_D2!$F$2:$F$1001,$AQ583)="","",INDEX(Raw_D2!$F$2:$F$1001,$AQ583)),IF($AR583&lt;&gt;"",IF(INDEX(Raw_D3!$N$2:$N$1001,$AR583)="","",INDEX(Raw_D3!$N$2:$N$1001,$AR583)),"")))</f>
        <v>7</v>
      </c>
      <c r="O583" s="5">
        <f>IF($A583="","",IF($AQ583&lt;&gt;"",IF(INDEX(Raw_D2!$G$2:$G$1001,$AQ583)="","",INDEX(Raw_D2!$G$2:$G$1001,$AQ583)),IF($AR583&lt;&gt;"",IF(INDEX(Raw_D3!$O$2:$O$1001,$AR583)="","",INDEX(Raw_D3!$O$2:$O$1001,$AR583)),"")))</f>
        <v>41</v>
      </c>
      <c r="P583" s="5">
        <f>IF($A583="","",IF($AQ583&lt;&gt;"",IF(INDEX(Raw_D2!$H$2:$H$1001,$AQ583)="","",INDEX(Raw_D2!$H$2:$H$1001,$AQ583)),IF($AR583&lt;&gt;"",IF(INDEX(Raw_D3!$P$2:$P$1001,$AR583)="","",INDEX(Raw_D3!$P$2:$P$1001,$AR583)),"")))</f>
        <v>48</v>
      </c>
      <c r="Q583" s="5" t="str">
        <f>IF($A583="","",IF(AND($AP583&lt;&gt;"",$AQ583&lt;&gt;""),"D1+D2",IF($AR583&lt;&gt;"","D3","Incomplete")))</f>
        <v>D1+D2</v>
      </c>
      <c r="R583" s="17">
        <f>IF($A583="","",IF($K583="",IF($J583="","",ROUND(Lookups!$K$5+Lookups!$K$4*$J583,4)),$K583))</f>
        <v>0.197</v>
      </c>
      <c r="S583" s="5" t="str">
        <f>IF($A583="","",IF($K583="","Imputed","Original"))</f>
        <v>Original</v>
      </c>
      <c r="T583" s="5" t="str">
        <f>IF($A583="","",IF($P583="","Missing",IF($P583=$N583+$O583,"OK","Mismatch")))</f>
        <v>OK</v>
      </c>
      <c r="U583" s="5" t="str">
        <f>IF($A583="","",IF(COUNTIF($A$2:$A583,$A583)&gt;1,"Duplicate","Unique"))</f>
        <v>Unique</v>
      </c>
      <c r="V583" s="5">
        <f>IF($A583="","",IF(AND($U583="Unique",ISNUMBER($P583)),1,0))</f>
        <v>1</v>
      </c>
      <c r="W583" s="5" t="str">
        <f>IF($A583="","",IF(OR($H583=0,$H583=6),"Weekend","Weekday"))</f>
        <v>Weekday</v>
      </c>
      <c r="X583" s="5" t="str">
        <f>IF($A583="","",TEXT($B583,"ddd"))</f>
        <v>Wed</v>
      </c>
      <c r="Y583" s="5" t="str">
        <f>IF($A583="","",TEXT($B583,"mmm"))</f>
        <v>Jan</v>
      </c>
      <c r="Z583" s="5" t="str">
        <f>IF($A583="","",IFERROR(VLOOKUP($C583,Lookups!$D$4:$E$7,2,FALSE),"Unknown"))</f>
        <v>Winter</v>
      </c>
      <c r="AA583" s="5" t="str">
        <f>IF($A583="","",IFERROR(VLOOKUP($I583,Lookups!$A$4:$B$7,2,FALSE),"Unknown"))</f>
        <v>Light Rain/Snow</v>
      </c>
      <c r="AB583" s="5" t="str">
        <f>IF($A583="","",TEXT($F583,"00")&amp;":00")</f>
        <v>12:00</v>
      </c>
      <c r="AC583" s="5" t="str">
        <f>IF($A583="","",VLOOKUP($F583,Lookups!$G$4:$H$8,2,TRUE))</f>
        <v>Midday (10-15)</v>
      </c>
      <c r="AD583" s="18">
        <f>IF($A583="","",IF($J583="","",ROUND($J583*41,1)))</f>
        <v>9</v>
      </c>
      <c r="AE583" s="18">
        <f>IF($A583="","",IF($R583="","",ROUND($R583*50,1)))</f>
        <v>9.9</v>
      </c>
      <c r="AF583" s="5">
        <f>IF($A583="","",IF($L583="","",ROUND($L583*100,0)))</f>
        <v>93</v>
      </c>
      <c r="AG583" s="18">
        <f>IF($A583="","",IF($M583="","",ROUND($M583*67,1)))</f>
        <v>22</v>
      </c>
      <c r="AH583" s="19">
        <f>IF($A583="","",IF($P583="","",IF($P583=0,0,$O583/$P583)))</f>
        <v>0.854166666666667</v>
      </c>
      <c r="AI583" s="5" t="str">
        <f>IF($A583="","",IF($P583="","",IF($P583&gt;=Lookups!$K$7,"High",IF($P583&lt;=Lookups!$K$8,"Low","Medium"))))</f>
        <v>Medium</v>
      </c>
      <c r="AJ583" s="5" t="str">
        <f>IF($A583="","",IF($AD583="","",IF($AD583&lt;5,"Under 5 C",IF($AD583&lt;10,"5-10 C",IF($AD583&lt;15,"10-15 C","15 C and above")))))</f>
        <v>5-10 C</v>
      </c>
      <c r="AK583" s="5">
        <f>IF($A583="","",IF($P583="","",$P583^2))</f>
        <v>2304</v>
      </c>
      <c r="AL583" s="18">
        <f>IF($V583&lt;&gt;1,"",AVERAGEIFS(Clean_Data!$P$2:$P$1001,Clean_Data!$F$2:$F$1001,$F583,Clean_Data!$W$2:$W$1001,$W583,Clean_Data!$V$2:$V$1001,1))</f>
        <v>64.5862068965517</v>
      </c>
      <c r="AM583" s="16">
        <f>IF($V583&lt;&gt;1,"",IFERROR(($P583-$AL583)/SQRT(MAX(0,(SUMIFS(Clean_Data!$AK$2:$AK$1001,Clean_Data!$F$2:$F$1001,$F583,Clean_Data!$W$2:$W$1001,$W583,Clean_Data!$V$2:$V$1001,1)-COUNTIFS(Clean_Data!$F$2:$F$1001,$F583,Clean_Data!$W$2:$W$1001,$W583,Clean_Data!$V$2:$V$1001,1)*$AL583^2)/(COUNTIFS(Clean_Data!$F$2:$F$1001,$F583,Clean_Data!$W$2:$W$1001,$W583,Clean_Data!$V$2:$V$1001,1)-1))),""))</f>
        <v>-0.885620123413043</v>
      </c>
      <c r="AN583" s="5" t="str">
        <f>IF($AM583="","",IF($AM583&gt;=Lookups!$K$6,"High spike",IF($AM583&lt;=-Lookups!$K$6,"Unusual low","Normal")))</f>
        <v>Normal</v>
      </c>
      <c r="AO583" s="20">
        <f>IF($V583&lt;&gt;1,"",$P583+ROW()/100000)</f>
        <v>48.00583</v>
      </c>
      <c r="AP583" s="5">
        <f>IF($A583="","",IFERROR(MATCH($A583,Raw_D1!$A$2:$A$1001,0),""))</f>
        <v>582</v>
      </c>
      <c r="AQ583" s="5">
        <f>IF($A583="","",IFERROR(MATCH($A583,Raw_D2!$B$2:$B$1001,0),""))</f>
        <v>582</v>
      </c>
      <c r="AR583" s="5">
        <f>IF($A583="","",IFERROR(MATCH($A583,Raw_D3!$A$2:$A$1001,0),""))</f>
        <v/>
      </c>
    </row>
    <row r="584" spans="1:44" x14ac:dyDescent="0.25">
      <c r="A584" s="5">
        <v>583</v>
      </c>
      <c r="B584" s="11">
        <f>IF($A584="","",IF($AP584&lt;&gt;"",INDEX(Raw_D1!$B$2:$B$1001,$AP584),IF($AR584&lt;&gt;"",INDEX(Raw_D3!$B$2:$B$1001,$AR584),"")))</f>
        <v>40569.0</v>
      </c>
      <c r="C584" s="5">
        <f>IF($A584="","",IF($AP584&lt;&gt;"",INDEX(Raw_D1!$C$2:$C$1001,$AP584),IF($AR584&lt;&gt;"",INDEX(Raw_D3!$C$2:$C$1001,$AR584),"")))</f>
        <v>1</v>
      </c>
      <c r="D584" s="5">
        <f>IF($A584="","",IF($AP584&lt;&gt;"",INDEX(Raw_D1!$D$2:$D$1001,$AP584),IF($AR584&lt;&gt;"",INDEX(Raw_D3!$D$2:$D$1001,$AR584),"")))</f>
        <v>0</v>
      </c>
      <c r="E584" s="5">
        <f>IF($A584="","",IF($AP584&lt;&gt;"",INDEX(Raw_D1!$E$2:$E$1001,$AP584),IF($AR584&lt;&gt;"",INDEX(Raw_D3!$E$2:$E$1001,$AR584),"")))</f>
        <v>1</v>
      </c>
      <c r="F584" s="5">
        <f>IF($A584="","",IF($AP584&lt;&gt;"",INDEX(Raw_D1!$F$2:$F$1001,$AP584),IF($AR584&lt;&gt;"",INDEX(Raw_D3!$F$2:$F$1001,$AR584),"")))</f>
        <v>13</v>
      </c>
      <c r="G584" s="5">
        <f>IF($A584="","",IF($AP584&lt;&gt;"",IF(INDEX(Raw_D1!$G$2:$G$1001,$AP584),1,0),IF($AR584&lt;&gt;"",IF(INDEX(Raw_D3!$G$2:$G$1001,$AR584),1,0),"")))</f>
        <v>0</v>
      </c>
      <c r="H584" s="5">
        <f>IF($A584="","",IF($AP584&lt;&gt;"",INDEX(Raw_D1!$H$2:$H$1001,$AP584),IF($AR584&lt;&gt;"",INDEX(Raw_D3!$H$2:$H$1001,$AR584),"")))</f>
        <v>3</v>
      </c>
      <c r="I584" s="5">
        <f>IF($A584="","",IF($AP584&lt;&gt;"",INDEX(Raw_D1!$I$2:$I$1001,$AP584),IF($AR584&lt;&gt;"",INDEX(Raw_D3!$I$2:$I$1001,$AR584),"")))</f>
        <v>3</v>
      </c>
      <c r="J584" s="16">
        <f>IF($A584="","",IF($AP584&lt;&gt;"",INDEX(Raw_D1!$J$2:$J$1001,$AP584),IF($AR584&lt;&gt;"",INDEX(Raw_D3!$J$2:$J$1001,$AR584),"")))</f>
        <v>0.22</v>
      </c>
      <c r="K584" s="17">
        <f>IF($A584="","",IF($AQ584&lt;&gt;"",IF(INDEX(Raw_D2!$C$2:$C$1001,$AQ584)="","",INDEX(Raw_D2!$C$2:$C$1001,$AQ584)),IF($AR584&lt;&gt;"",IF(INDEX(Raw_D3!$K$2:$K$1001,$AR584)="","",INDEX(Raw_D3!$K$2:$K$1001,$AR584)),"")))</f>
        <v>0.197</v>
      </c>
      <c r="L584" s="16">
        <f>IF($A584="","",IF($AQ584&lt;&gt;"",IF(INDEX(Raw_D2!$D$2:$D$1001,$AQ584)="","",INDEX(Raw_D2!$D$2:$D$1001,$AQ584)),IF($AR584&lt;&gt;"",IF(INDEX(Raw_D3!$L$2:$L$1001,$AR584)="","",INDEX(Raw_D3!$L$2:$L$1001,$AR584)),"")))</f>
        <v>0.93</v>
      </c>
      <c r="M584" s="17">
        <f>IF($A584="","",IF($AQ584&lt;&gt;"",IF(INDEX(Raw_D2!$E$2:$E$1001,$AQ584)="","",INDEX(Raw_D2!$E$2:$E$1001,$AQ584)),IF($AR584&lt;&gt;"",IF(INDEX(Raw_D3!$M$2:$M$1001,$AR584)="","",INDEX(Raw_D3!$M$2:$M$1001,$AR584)),"")))</f>
        <v>0.3284</v>
      </c>
      <c r="N584" s="5">
        <f>IF($A584="","",IF($AQ584&lt;&gt;"",IF(INDEX(Raw_D2!$F$2:$F$1001,$AQ584)="","",INDEX(Raw_D2!$F$2:$F$1001,$AQ584)),IF($AR584&lt;&gt;"",IF(INDEX(Raw_D3!$N$2:$N$1001,$AR584)="","",INDEX(Raw_D3!$N$2:$N$1001,$AR584)),"")))</f>
        <v>4</v>
      </c>
      <c r="O584" s="5">
        <f>IF($A584="","",IF($AQ584&lt;&gt;"",IF(INDEX(Raw_D2!$G$2:$G$1001,$AQ584)="","",INDEX(Raw_D2!$G$2:$G$1001,$AQ584)),IF($AR584&lt;&gt;"",IF(INDEX(Raw_D3!$O$2:$O$1001,$AR584)="","",INDEX(Raw_D3!$O$2:$O$1001,$AR584)),"")))</f>
        <v>43</v>
      </c>
      <c r="P584" s="5">
        <f>IF($A584="","",IF($AQ584&lt;&gt;"",IF(INDEX(Raw_D2!$H$2:$H$1001,$AQ584)="","",INDEX(Raw_D2!$H$2:$H$1001,$AQ584)),IF($AR584&lt;&gt;"",IF(INDEX(Raw_D3!$P$2:$P$1001,$AR584)="","",INDEX(Raw_D3!$P$2:$P$1001,$AR584)),"")))</f>
        <v>47</v>
      </c>
      <c r="Q584" s="5" t="str">
        <f>IF($A584="","",IF(AND($AP584&lt;&gt;"",$AQ584&lt;&gt;""),"D1+D2",IF($AR584&lt;&gt;"","D3","Incomplete")))</f>
        <v>D1+D2</v>
      </c>
      <c r="R584" s="17">
        <f>IF($A584="","",IF($K584="",IF($J584="","",ROUND(Lookups!$K$5+Lookups!$K$4*$J584,4)),$K584))</f>
        <v>0.197</v>
      </c>
      <c r="S584" s="5" t="str">
        <f>IF($A584="","",IF($K584="","Imputed","Original"))</f>
        <v>Original</v>
      </c>
      <c r="T584" s="5" t="str">
        <f>IF($A584="","",IF($P584="","Missing",IF($P584=$N584+$O584,"OK","Mismatch")))</f>
        <v>OK</v>
      </c>
      <c r="U584" s="5" t="str">
        <f>IF($A584="","",IF(COUNTIF($A$2:$A584,$A584)&gt;1,"Duplicate","Unique"))</f>
        <v>Unique</v>
      </c>
      <c r="V584" s="5">
        <f>IF($A584="","",IF(AND($U584="Unique",ISNUMBER($P584)),1,0))</f>
        <v>1</v>
      </c>
      <c r="W584" s="5" t="str">
        <f>IF($A584="","",IF(OR($H584=0,$H584=6),"Weekend","Weekday"))</f>
        <v>Weekday</v>
      </c>
      <c r="X584" s="5" t="str">
        <f>IF($A584="","",TEXT($B584,"ddd"))</f>
        <v>Wed</v>
      </c>
      <c r="Y584" s="5" t="str">
        <f>IF($A584="","",TEXT($B584,"mmm"))</f>
        <v>Jan</v>
      </c>
      <c r="Z584" s="5" t="str">
        <f>IF($A584="","",IFERROR(VLOOKUP($C584,Lookups!$D$4:$E$7,2,FALSE),"Unknown"))</f>
        <v>Winter</v>
      </c>
      <c r="AA584" s="5" t="str">
        <f>IF($A584="","",IFERROR(VLOOKUP($I584,Lookups!$A$4:$B$7,2,FALSE),"Unknown"))</f>
        <v>Light Rain/Snow</v>
      </c>
      <c r="AB584" s="5" t="str">
        <f>IF($A584="","",TEXT($F584,"00")&amp;":00")</f>
        <v>13:00</v>
      </c>
      <c r="AC584" s="5" t="str">
        <f>IF($A584="","",VLOOKUP($F584,Lookups!$G$4:$H$8,2,TRUE))</f>
        <v>Midday (10-15)</v>
      </c>
      <c r="AD584" s="18">
        <f>IF($A584="","",IF($J584="","",ROUND($J584*41,1)))</f>
        <v>9</v>
      </c>
      <c r="AE584" s="18">
        <f>IF($A584="","",IF($R584="","",ROUND($R584*50,1)))</f>
        <v>9.9</v>
      </c>
      <c r="AF584" s="5">
        <f>IF($A584="","",IF($L584="","",ROUND($L584*100,0)))</f>
        <v>93</v>
      </c>
      <c r="AG584" s="18">
        <f>IF($A584="","",IF($M584="","",ROUND($M584*67,1)))</f>
        <v>22</v>
      </c>
      <c r="AH584" s="19">
        <f>IF($A584="","",IF($P584="","",IF($P584=0,0,$O584/$P584)))</f>
        <v>0.914893617021277</v>
      </c>
      <c r="AI584" s="5" t="str">
        <f>IF($A584="","",IF($P584="","",IF($P584&gt;=Lookups!$K$7,"High",IF($P584&lt;=Lookups!$K$8,"Low","Medium"))))</f>
        <v>Medium</v>
      </c>
      <c r="AJ584" s="5" t="str">
        <f>IF($A584="","",IF($AD584="","",IF($AD584&lt;5,"Under 5 C",IF($AD584&lt;10,"5-10 C",IF($AD584&lt;15,"10-15 C","15 C and above")))))</f>
        <v>5-10 C</v>
      </c>
      <c r="AK584" s="5">
        <f>IF($A584="","",IF($P584="","",$P584^2))</f>
        <v>2209</v>
      </c>
      <c r="AL584" s="18">
        <f>IF($V584&lt;&gt;1,"",AVERAGEIFS(Clean_Data!$P$2:$P$1001,Clean_Data!$F$2:$F$1001,$F584,Clean_Data!$W$2:$W$1001,$W584,Clean_Data!$V$2:$V$1001,1))</f>
        <v>67.1724137931034</v>
      </c>
      <c r="AM584" s="16">
        <f>IF($V584&lt;&gt;1,"",IFERROR(($P584-$AL584)/SQRT(MAX(0,(SUMIFS(Clean_Data!$AK$2:$AK$1001,Clean_Data!$F$2:$F$1001,$F584,Clean_Data!$W$2:$W$1001,$W584,Clean_Data!$V$2:$V$1001,1)-COUNTIFS(Clean_Data!$F$2:$F$1001,$F584,Clean_Data!$W$2:$W$1001,$W584,Clean_Data!$V$2:$V$1001,1)*$AL584^2)/(COUNTIFS(Clean_Data!$F$2:$F$1001,$F584,Clean_Data!$W$2:$W$1001,$W584,Clean_Data!$V$2:$V$1001,1)-1))),""))</f>
        <v>-0.99902712521298</v>
      </c>
      <c r="AN584" s="5" t="str">
        <f>IF($AM584="","",IF($AM584&gt;=Lookups!$K$6,"High spike",IF($AM584&lt;=-Lookups!$K$6,"Unusual low","Normal")))</f>
        <v>Normal</v>
      </c>
      <c r="AO584" s="20">
        <f>IF($V584&lt;&gt;1,"",$P584+ROW()/100000)</f>
        <v>47.00584</v>
      </c>
      <c r="AP584" s="5">
        <f>IF($A584="","",IFERROR(MATCH($A584,Raw_D1!$A$2:$A$1001,0),""))</f>
        <v>583</v>
      </c>
      <c r="AQ584" s="5">
        <f>IF($A584="","",IFERROR(MATCH($A584,Raw_D2!$B$2:$B$1001,0),""))</f>
        <v>583</v>
      </c>
      <c r="AR584" s="5">
        <f>IF($A584="","",IFERROR(MATCH($A584,Raw_D3!$A$2:$A$1001,0),""))</f>
        <v/>
      </c>
    </row>
    <row r="585" spans="1:44" x14ac:dyDescent="0.25">
      <c r="A585" s="5">
        <v>584</v>
      </c>
      <c r="B585" s="11">
        <f>IF($A585="","",IF($AP585&lt;&gt;"",INDEX(Raw_D1!$B$2:$B$1001,$AP585),IF($AR585&lt;&gt;"",INDEX(Raw_D3!$B$2:$B$1001,$AR585),"")))</f>
        <v>40569.0</v>
      </c>
      <c r="C585" s="5">
        <f>IF($A585="","",IF($AP585&lt;&gt;"",INDEX(Raw_D1!$C$2:$C$1001,$AP585),IF($AR585&lt;&gt;"",INDEX(Raw_D3!$C$2:$C$1001,$AR585),"")))</f>
        <v>1</v>
      </c>
      <c r="D585" s="5">
        <f>IF($A585="","",IF($AP585&lt;&gt;"",INDEX(Raw_D1!$D$2:$D$1001,$AP585),IF($AR585&lt;&gt;"",INDEX(Raw_D3!$D$2:$D$1001,$AR585),"")))</f>
        <v>0</v>
      </c>
      <c r="E585" s="5">
        <f>IF($A585="","",IF($AP585&lt;&gt;"",INDEX(Raw_D1!$E$2:$E$1001,$AP585),IF($AR585&lt;&gt;"",INDEX(Raw_D3!$E$2:$E$1001,$AR585),"")))</f>
        <v>1</v>
      </c>
      <c r="F585" s="5">
        <f>IF($A585="","",IF($AP585&lt;&gt;"",INDEX(Raw_D1!$F$2:$F$1001,$AP585),IF($AR585&lt;&gt;"",INDEX(Raw_D3!$F$2:$F$1001,$AR585),"")))</f>
        <v>14</v>
      </c>
      <c r="G585" s="5">
        <f>IF($A585="","",IF($AP585&lt;&gt;"",IF(INDEX(Raw_D1!$G$2:$G$1001,$AP585),1,0),IF($AR585&lt;&gt;"",IF(INDEX(Raw_D3!$G$2:$G$1001,$AR585),1,0),"")))</f>
        <v>0</v>
      </c>
      <c r="H585" s="5">
        <f>IF($A585="","",IF($AP585&lt;&gt;"",INDEX(Raw_D1!$H$2:$H$1001,$AP585),IF($AR585&lt;&gt;"",INDEX(Raw_D3!$H$2:$H$1001,$AR585),"")))</f>
        <v>3</v>
      </c>
      <c r="I585" s="5">
        <f>IF($A585="","",IF($AP585&lt;&gt;"",INDEX(Raw_D1!$I$2:$I$1001,$AP585),IF($AR585&lt;&gt;"",INDEX(Raw_D3!$I$2:$I$1001,$AR585),"")))</f>
        <v>3</v>
      </c>
      <c r="J585" s="16">
        <f>IF($A585="","",IF($AP585&lt;&gt;"",INDEX(Raw_D1!$J$2:$J$1001,$AP585),IF($AR585&lt;&gt;"",INDEX(Raw_D3!$J$2:$J$1001,$AR585),"")))</f>
        <v>0.22</v>
      </c>
      <c r="K585" s="17">
        <f>IF($A585="","",IF($AQ585&lt;&gt;"",IF(INDEX(Raw_D2!$C$2:$C$1001,$AQ585)="","",INDEX(Raw_D2!$C$2:$C$1001,$AQ585)),IF($AR585&lt;&gt;"",IF(INDEX(Raw_D3!$K$2:$K$1001,$AR585)="","",INDEX(Raw_D3!$K$2:$K$1001,$AR585)),"")))</f>
        <v>0.197</v>
      </c>
      <c r="L585" s="16">
        <f>IF($A585="","",IF($AQ585&lt;&gt;"",IF(INDEX(Raw_D2!$D$2:$D$1001,$AQ585)="","",INDEX(Raw_D2!$D$2:$D$1001,$AQ585)),IF($AR585&lt;&gt;"",IF(INDEX(Raw_D3!$L$2:$L$1001,$AR585)="","",INDEX(Raw_D3!$L$2:$L$1001,$AR585)),"")))</f>
        <v>0.93</v>
      </c>
      <c r="M585" s="17">
        <f>IF($A585="","",IF($AQ585&lt;&gt;"",IF(INDEX(Raw_D2!$E$2:$E$1001,$AQ585)="","",INDEX(Raw_D2!$E$2:$E$1001,$AQ585)),IF($AR585&lt;&gt;"",IF(INDEX(Raw_D3!$M$2:$M$1001,$AR585)="","",INDEX(Raw_D3!$M$2:$M$1001,$AR585)),"")))</f>
        <v>0.3582</v>
      </c>
      <c r="N585" s="5">
        <f>IF($A585="","",IF($AQ585&lt;&gt;"",IF(INDEX(Raw_D2!$F$2:$F$1001,$AQ585)="","",INDEX(Raw_D2!$F$2:$F$1001,$AQ585)),IF($AR585&lt;&gt;"",IF(INDEX(Raw_D3!$N$2:$N$1001,$AR585)="","",INDEX(Raw_D3!$N$2:$N$1001,$AR585)),"")))</f>
        <v>0</v>
      </c>
      <c r="O585" s="5">
        <f>IF($A585="","",IF($AQ585&lt;&gt;"",IF(INDEX(Raw_D2!$G$2:$G$1001,$AQ585)="","",INDEX(Raw_D2!$G$2:$G$1001,$AQ585)),IF($AR585&lt;&gt;"",IF(INDEX(Raw_D3!$O$2:$O$1001,$AR585)="","",INDEX(Raw_D3!$O$2:$O$1001,$AR585)),"")))</f>
        <v>36</v>
      </c>
      <c r="P585" s="5">
        <f>IF($A585="","",IF($AQ585&lt;&gt;"",IF(INDEX(Raw_D2!$H$2:$H$1001,$AQ585)="","",INDEX(Raw_D2!$H$2:$H$1001,$AQ585)),IF($AR585&lt;&gt;"",IF(INDEX(Raw_D3!$P$2:$P$1001,$AR585)="","",INDEX(Raw_D3!$P$2:$P$1001,$AR585)),"")))</f>
        <v>36</v>
      </c>
      <c r="Q585" s="5" t="str">
        <f>IF($A585="","",IF(AND($AP585&lt;&gt;"",$AQ585&lt;&gt;""),"D1+D2",IF($AR585&lt;&gt;"","D3","Incomplete")))</f>
        <v>D1+D2</v>
      </c>
      <c r="R585" s="17">
        <f>IF($A585="","",IF($K585="",IF($J585="","",ROUND(Lookups!$K$5+Lookups!$K$4*$J585,4)),$K585))</f>
        <v>0.197</v>
      </c>
      <c r="S585" s="5" t="str">
        <f>IF($A585="","",IF($K585="","Imputed","Original"))</f>
        <v>Original</v>
      </c>
      <c r="T585" s="5" t="str">
        <f>IF($A585="","",IF($P585="","Missing",IF($P585=$N585+$O585,"OK","Mismatch")))</f>
        <v>OK</v>
      </c>
      <c r="U585" s="5" t="str">
        <f>IF($A585="","",IF(COUNTIF($A$2:$A585,$A585)&gt;1,"Duplicate","Unique"))</f>
        <v>Unique</v>
      </c>
      <c r="V585" s="5">
        <f>IF($A585="","",IF(AND($U585="Unique",ISNUMBER($P585)),1,0))</f>
        <v>1</v>
      </c>
      <c r="W585" s="5" t="str">
        <f>IF($A585="","",IF(OR($H585=0,$H585=6),"Weekend","Weekday"))</f>
        <v>Weekday</v>
      </c>
      <c r="X585" s="5" t="str">
        <f>IF($A585="","",TEXT($B585,"ddd"))</f>
        <v>Wed</v>
      </c>
      <c r="Y585" s="5" t="str">
        <f>IF($A585="","",TEXT($B585,"mmm"))</f>
        <v>Jan</v>
      </c>
      <c r="Z585" s="5" t="str">
        <f>IF($A585="","",IFERROR(VLOOKUP($C585,Lookups!$D$4:$E$7,2,FALSE),"Unknown"))</f>
        <v>Winter</v>
      </c>
      <c r="AA585" s="5" t="str">
        <f>IF($A585="","",IFERROR(VLOOKUP($I585,Lookups!$A$4:$B$7,2,FALSE),"Unknown"))</f>
        <v>Light Rain/Snow</v>
      </c>
      <c r="AB585" s="5" t="str">
        <f>IF($A585="","",TEXT($F585,"00")&amp;":00")</f>
        <v>14:00</v>
      </c>
      <c r="AC585" s="5" t="str">
        <f>IF($A585="","",VLOOKUP($F585,Lookups!$G$4:$H$8,2,TRUE))</f>
        <v>Midday (10-15)</v>
      </c>
      <c r="AD585" s="18">
        <f>IF($A585="","",IF($J585="","",ROUND($J585*41,1)))</f>
        <v>9</v>
      </c>
      <c r="AE585" s="18">
        <f>IF($A585="","",IF($R585="","",ROUND($R585*50,1)))</f>
        <v>9.9</v>
      </c>
      <c r="AF585" s="5">
        <f>IF($A585="","",IF($L585="","",ROUND($L585*100,0)))</f>
        <v>93</v>
      </c>
      <c r="AG585" s="18">
        <f>IF($A585="","",IF($M585="","",ROUND($M585*67,1)))</f>
        <v>24</v>
      </c>
      <c r="AH585" s="19">
        <f>IF($A585="","",IF($P585="","",IF($P585=0,0,$O585/$P585)))</f>
        <v>1</v>
      </c>
      <c r="AI585" s="5" t="str">
        <f>IF($A585="","",IF($P585="","",IF($P585&gt;=Lookups!$K$7,"High",IF($P585&lt;=Lookups!$K$8,"Low","Medium"))))</f>
        <v>Medium</v>
      </c>
      <c r="AJ585" s="5" t="str">
        <f>IF($A585="","",IF($AD585="","",IF($AD585&lt;5,"Under 5 C",IF($AD585&lt;10,"5-10 C",IF($AD585&lt;15,"10-15 C","15 C and above")))))</f>
        <v>5-10 C</v>
      </c>
      <c r="AK585" s="5">
        <f>IF($A585="","",IF($P585="","",$P585^2))</f>
        <v>1296</v>
      </c>
      <c r="AL585" s="18">
        <f>IF($V585&lt;&gt;1,"",AVERAGEIFS(Clean_Data!$P$2:$P$1001,Clean_Data!$F$2:$F$1001,$F585,Clean_Data!$W$2:$W$1001,$W585,Clean_Data!$V$2:$V$1001,1))</f>
        <v>60.551724137931</v>
      </c>
      <c r="AM585" s="16">
        <f>IF($V585&lt;&gt;1,"",IFERROR(($P585-$AL585)/SQRT(MAX(0,(SUMIFS(Clean_Data!$AK$2:$AK$1001,Clean_Data!$F$2:$F$1001,$F585,Clean_Data!$W$2:$W$1001,$W585,Clean_Data!$V$2:$V$1001,1)-COUNTIFS(Clean_Data!$F$2:$F$1001,$F585,Clean_Data!$W$2:$W$1001,$W585,Clean_Data!$V$2:$V$1001,1)*$AL585^2)/(COUNTIFS(Clean_Data!$F$2:$F$1001,$F585,Clean_Data!$W$2:$W$1001,$W585,Clean_Data!$V$2:$V$1001,1)-1))),""))</f>
        <v>-1.49247624249617</v>
      </c>
      <c r="AN585" s="5" t="str">
        <f>IF($AM585="","",IF($AM585&gt;=Lookups!$K$6,"High spike",IF($AM585&lt;=-Lookups!$K$6,"Unusual low","Normal")))</f>
        <v>Normal</v>
      </c>
      <c r="AO585" s="20">
        <f>IF($V585&lt;&gt;1,"",$P585+ROW()/100000)</f>
        <v>36.00585</v>
      </c>
      <c r="AP585" s="5">
        <f>IF($A585="","",IFERROR(MATCH($A585,Raw_D1!$A$2:$A$1001,0),""))</f>
        <v>584</v>
      </c>
      <c r="AQ585" s="5">
        <f>IF($A585="","",IFERROR(MATCH($A585,Raw_D2!$B$2:$B$1001,0),""))</f>
        <v>584</v>
      </c>
      <c r="AR585" s="5">
        <f>IF($A585="","",IFERROR(MATCH($A585,Raw_D3!$A$2:$A$1001,0),""))</f>
        <v/>
      </c>
    </row>
    <row r="586" spans="1:44" x14ac:dyDescent="0.25">
      <c r="A586" s="5">
        <v>585</v>
      </c>
      <c r="B586" s="11">
        <f>IF($A586="","",IF($AP586&lt;&gt;"",INDEX(Raw_D1!$B$2:$B$1001,$AP586),IF($AR586&lt;&gt;"",INDEX(Raw_D3!$B$2:$B$1001,$AR586),"")))</f>
        <v>40569.0</v>
      </c>
      <c r="C586" s="5">
        <f>IF($A586="","",IF($AP586&lt;&gt;"",INDEX(Raw_D1!$C$2:$C$1001,$AP586),IF($AR586&lt;&gt;"",INDEX(Raw_D3!$C$2:$C$1001,$AR586),"")))</f>
        <v>1</v>
      </c>
      <c r="D586" s="5">
        <f>IF($A586="","",IF($AP586&lt;&gt;"",INDEX(Raw_D1!$D$2:$D$1001,$AP586),IF($AR586&lt;&gt;"",INDEX(Raw_D3!$D$2:$D$1001,$AR586),"")))</f>
        <v>0</v>
      </c>
      <c r="E586" s="5">
        <f>IF($A586="","",IF($AP586&lt;&gt;"",INDEX(Raw_D1!$E$2:$E$1001,$AP586),IF($AR586&lt;&gt;"",INDEX(Raw_D3!$E$2:$E$1001,$AR586),"")))</f>
        <v>1</v>
      </c>
      <c r="F586" s="5">
        <f>IF($A586="","",IF($AP586&lt;&gt;"",INDEX(Raw_D1!$F$2:$F$1001,$AP586),IF($AR586&lt;&gt;"",INDEX(Raw_D3!$F$2:$F$1001,$AR586),"")))</f>
        <v>15</v>
      </c>
      <c r="G586" s="5">
        <f>IF($A586="","",IF($AP586&lt;&gt;"",IF(INDEX(Raw_D1!$G$2:$G$1001,$AP586),1,0),IF($AR586&lt;&gt;"",IF(INDEX(Raw_D3!$G$2:$G$1001,$AR586),1,0),"")))</f>
        <v>0</v>
      </c>
      <c r="H586" s="5">
        <f>IF($A586="","",IF($AP586&lt;&gt;"",INDEX(Raw_D1!$H$2:$H$1001,$AP586),IF($AR586&lt;&gt;"",INDEX(Raw_D3!$H$2:$H$1001,$AR586),"")))</f>
        <v>3</v>
      </c>
      <c r="I586" s="5">
        <f>IF($A586="","",IF($AP586&lt;&gt;"",INDEX(Raw_D1!$I$2:$I$1001,$AP586),IF($AR586&lt;&gt;"",INDEX(Raw_D3!$I$2:$I$1001,$AR586),"")))</f>
        <v>3</v>
      </c>
      <c r="J586" s="16">
        <f>IF($A586="","",IF($AP586&lt;&gt;"",INDEX(Raw_D1!$J$2:$J$1001,$AP586),IF($AR586&lt;&gt;"",INDEX(Raw_D3!$J$2:$J$1001,$AR586),"")))</f>
        <v>0.22</v>
      </c>
      <c r="K586" s="17">
        <f>IF($A586="","",IF($AQ586&lt;&gt;"",IF(INDEX(Raw_D2!$C$2:$C$1001,$AQ586)="","",INDEX(Raw_D2!$C$2:$C$1001,$AQ586)),IF($AR586&lt;&gt;"",IF(INDEX(Raw_D3!$K$2:$K$1001,$AR586)="","",INDEX(Raw_D3!$K$2:$K$1001,$AR586)),"")))</f>
        <v>0.1818</v>
      </c>
      <c r="L586" s="16">
        <f>IF($A586="","",IF($AQ586&lt;&gt;"",IF(INDEX(Raw_D2!$D$2:$D$1001,$AQ586)="","",INDEX(Raw_D2!$D$2:$D$1001,$AQ586)),IF($AR586&lt;&gt;"",IF(INDEX(Raw_D3!$L$2:$L$1001,$AR586)="","",INDEX(Raw_D3!$L$2:$L$1001,$AR586)),"")))</f>
        <v>0.93</v>
      </c>
      <c r="M586" s="17">
        <f>IF($A586="","",IF($AQ586&lt;&gt;"",IF(INDEX(Raw_D2!$E$2:$E$1001,$AQ586)="","",INDEX(Raw_D2!$E$2:$E$1001,$AQ586)),IF($AR586&lt;&gt;"",IF(INDEX(Raw_D3!$M$2:$M$1001,$AR586)="","",INDEX(Raw_D3!$M$2:$M$1001,$AR586)),"")))</f>
        <v>0.4627</v>
      </c>
      <c r="N586" s="5">
        <f>IF($A586="","",IF($AQ586&lt;&gt;"",IF(INDEX(Raw_D2!$F$2:$F$1001,$AQ586)="","",INDEX(Raw_D2!$F$2:$F$1001,$AQ586)),IF($AR586&lt;&gt;"",IF(INDEX(Raw_D3!$N$2:$N$1001,$AR586)="","",INDEX(Raw_D3!$N$2:$N$1001,$AR586)),"")))</f>
        <v>1</v>
      </c>
      <c r="O586" s="5">
        <f>IF($A586="","",IF($AQ586&lt;&gt;"",IF(INDEX(Raw_D2!$G$2:$G$1001,$AQ586)="","",INDEX(Raw_D2!$G$2:$G$1001,$AQ586)),IF($AR586&lt;&gt;"",IF(INDEX(Raw_D3!$O$2:$O$1001,$AR586)="","",INDEX(Raw_D3!$O$2:$O$1001,$AR586)),"")))</f>
        <v>42</v>
      </c>
      <c r="P586" s="5">
        <f>IF($A586="","",IF($AQ586&lt;&gt;"",IF(INDEX(Raw_D2!$H$2:$H$1001,$AQ586)="","",INDEX(Raw_D2!$H$2:$H$1001,$AQ586)),IF($AR586&lt;&gt;"",IF(INDEX(Raw_D3!$P$2:$P$1001,$AR586)="","",INDEX(Raw_D3!$P$2:$P$1001,$AR586)),"")))</f>
        <v>43</v>
      </c>
      <c r="Q586" s="5" t="str">
        <f>IF($A586="","",IF(AND($AP586&lt;&gt;"",$AQ586&lt;&gt;""),"D1+D2",IF($AR586&lt;&gt;"","D3","Incomplete")))</f>
        <v>D1+D2</v>
      </c>
      <c r="R586" s="17">
        <f>IF($A586="","",IF($K586="",IF($J586="","",ROUND(Lookups!$K$5+Lookups!$K$4*$J586,4)),$K586))</f>
        <v>0.1818</v>
      </c>
      <c r="S586" s="5" t="str">
        <f>IF($A586="","",IF($K586="","Imputed","Original"))</f>
        <v>Original</v>
      </c>
      <c r="T586" s="5" t="str">
        <f>IF($A586="","",IF($P586="","Missing",IF($P586=$N586+$O586,"OK","Mismatch")))</f>
        <v>OK</v>
      </c>
      <c r="U586" s="5" t="str">
        <f>IF($A586="","",IF(COUNTIF($A$2:$A586,$A586)&gt;1,"Duplicate","Unique"))</f>
        <v>Unique</v>
      </c>
      <c r="V586" s="5">
        <f>IF($A586="","",IF(AND($U586="Unique",ISNUMBER($P586)),1,0))</f>
        <v>1</v>
      </c>
      <c r="W586" s="5" t="str">
        <f>IF($A586="","",IF(OR($H586=0,$H586=6),"Weekend","Weekday"))</f>
        <v>Weekday</v>
      </c>
      <c r="X586" s="5" t="str">
        <f>IF($A586="","",TEXT($B586,"ddd"))</f>
        <v>Wed</v>
      </c>
      <c r="Y586" s="5" t="str">
        <f>IF($A586="","",TEXT($B586,"mmm"))</f>
        <v>Jan</v>
      </c>
      <c r="Z586" s="5" t="str">
        <f>IF($A586="","",IFERROR(VLOOKUP($C586,Lookups!$D$4:$E$7,2,FALSE),"Unknown"))</f>
        <v>Winter</v>
      </c>
      <c r="AA586" s="5" t="str">
        <f>IF($A586="","",IFERROR(VLOOKUP($I586,Lookups!$A$4:$B$7,2,FALSE),"Unknown"))</f>
        <v>Light Rain/Snow</v>
      </c>
      <c r="AB586" s="5" t="str">
        <f>IF($A586="","",TEXT($F586,"00")&amp;":00")</f>
        <v>15:00</v>
      </c>
      <c r="AC586" s="5" t="str">
        <f>IF($A586="","",VLOOKUP($F586,Lookups!$G$4:$H$8,2,TRUE))</f>
        <v>Midday (10-15)</v>
      </c>
      <c r="AD586" s="18">
        <f>IF($A586="","",IF($J586="","",ROUND($J586*41,1)))</f>
        <v>9</v>
      </c>
      <c r="AE586" s="18">
        <f>IF($A586="","",IF($R586="","",ROUND($R586*50,1)))</f>
        <v>9.1</v>
      </c>
      <c r="AF586" s="5">
        <f>IF($A586="","",IF($L586="","",ROUND($L586*100,0)))</f>
        <v>93</v>
      </c>
      <c r="AG586" s="18">
        <f>IF($A586="","",IF($M586="","",ROUND($M586*67,1)))</f>
        <v>31</v>
      </c>
      <c r="AH586" s="19">
        <f>IF($A586="","",IF($P586="","",IF($P586=0,0,$O586/$P586)))</f>
        <v>0.976744186046512</v>
      </c>
      <c r="AI586" s="5" t="str">
        <f>IF($A586="","",IF($P586="","",IF($P586&gt;=Lookups!$K$7,"High",IF($P586&lt;=Lookups!$K$8,"Low","Medium"))))</f>
        <v>Medium</v>
      </c>
      <c r="AJ586" s="5" t="str">
        <f>IF($A586="","",IF($AD586="","",IF($AD586&lt;5,"Under 5 C",IF($AD586&lt;10,"5-10 C",IF($AD586&lt;15,"10-15 C","15 C and above")))))</f>
        <v>5-10 C</v>
      </c>
      <c r="AK586" s="5">
        <f>IF($A586="","",IF($P586="","",$P586^2))</f>
        <v>1849</v>
      </c>
      <c r="AL586" s="18">
        <f>IF($V586&lt;&gt;1,"",AVERAGEIFS(Clean_Data!$P$2:$P$1001,Clean_Data!$F$2:$F$1001,$F586,Clean_Data!$W$2:$W$1001,$W586,Clean_Data!$V$2:$V$1001,1))</f>
        <v>61.4827586206897</v>
      </c>
      <c r="AM586" s="16">
        <f>IF($V586&lt;&gt;1,"",IFERROR(($P586-$AL586)/SQRT(MAX(0,(SUMIFS(Clean_Data!$AK$2:$AK$1001,Clean_Data!$F$2:$F$1001,$F586,Clean_Data!$W$2:$W$1001,$W586,Clean_Data!$V$2:$V$1001,1)-COUNTIFS(Clean_Data!$F$2:$F$1001,$F586,Clean_Data!$W$2:$W$1001,$W586,Clean_Data!$V$2:$V$1001,1)*$AL586^2)/(COUNTIFS(Clean_Data!$F$2:$F$1001,$F586,Clean_Data!$W$2:$W$1001,$W586,Clean_Data!$V$2:$V$1001,1)-1))),""))</f>
        <v>-1.22604555899089</v>
      </c>
      <c r="AN586" s="5" t="str">
        <f>IF($AM586="","",IF($AM586&gt;=Lookups!$K$6,"High spike",IF($AM586&lt;=-Lookups!$K$6,"Unusual low","Normal")))</f>
        <v>Normal</v>
      </c>
      <c r="AO586" s="20">
        <f>IF($V586&lt;&gt;1,"",$P586+ROW()/100000)</f>
        <v>43.00586</v>
      </c>
      <c r="AP586" s="5">
        <f>IF($A586="","",IFERROR(MATCH($A586,Raw_D1!$A$2:$A$1001,0),""))</f>
        <v>585</v>
      </c>
      <c r="AQ586" s="5">
        <f>IF($A586="","",IFERROR(MATCH($A586,Raw_D2!$B$2:$B$1001,0),""))</f>
        <v>585</v>
      </c>
      <c r="AR586" s="5">
        <f>IF($A586="","",IFERROR(MATCH($A586,Raw_D3!$A$2:$A$1001,0),""))</f>
        <v/>
      </c>
    </row>
    <row r="587" spans="1:44" x14ac:dyDescent="0.25">
      <c r="A587" s="5">
        <v>586</v>
      </c>
      <c r="B587" s="11">
        <f>IF($A587="","",IF($AP587&lt;&gt;"",INDEX(Raw_D1!$B$2:$B$1001,$AP587),IF($AR587&lt;&gt;"",INDEX(Raw_D3!$B$2:$B$1001,$AR587),"")))</f>
        <v>40569.0</v>
      </c>
      <c r="C587" s="5">
        <f>IF($A587="","",IF($AP587&lt;&gt;"",INDEX(Raw_D1!$C$2:$C$1001,$AP587),IF($AR587&lt;&gt;"",INDEX(Raw_D3!$C$2:$C$1001,$AR587),"")))</f>
        <v>1</v>
      </c>
      <c r="D587" s="5">
        <f>IF($A587="","",IF($AP587&lt;&gt;"",INDEX(Raw_D1!$D$2:$D$1001,$AP587),IF($AR587&lt;&gt;"",INDEX(Raw_D3!$D$2:$D$1001,$AR587),"")))</f>
        <v>0</v>
      </c>
      <c r="E587" s="5">
        <f>IF($A587="","",IF($AP587&lt;&gt;"",INDEX(Raw_D1!$E$2:$E$1001,$AP587),IF($AR587&lt;&gt;"",INDEX(Raw_D3!$E$2:$E$1001,$AR587),"")))</f>
        <v>1</v>
      </c>
      <c r="F587" s="5">
        <f>IF($A587="","",IF($AP587&lt;&gt;"",INDEX(Raw_D1!$F$2:$F$1001,$AP587),IF($AR587&lt;&gt;"",INDEX(Raw_D3!$F$2:$F$1001,$AR587),"")))</f>
        <v>16</v>
      </c>
      <c r="G587" s="5">
        <f>IF($A587="","",IF($AP587&lt;&gt;"",IF(INDEX(Raw_D1!$G$2:$G$1001,$AP587),1,0),IF($AR587&lt;&gt;"",IF(INDEX(Raw_D3!$G$2:$G$1001,$AR587),1,0),"")))</f>
        <v>0</v>
      </c>
      <c r="H587" s="5">
        <f>IF($A587="","",IF($AP587&lt;&gt;"",INDEX(Raw_D1!$H$2:$H$1001,$AP587),IF($AR587&lt;&gt;"",INDEX(Raw_D3!$H$2:$H$1001,$AR587),"")))</f>
        <v>3</v>
      </c>
      <c r="I587" s="5">
        <f>IF($A587="","",IF($AP587&lt;&gt;"",INDEX(Raw_D1!$I$2:$I$1001,$AP587),IF($AR587&lt;&gt;"",INDEX(Raw_D3!$I$2:$I$1001,$AR587),"")))</f>
        <v>4</v>
      </c>
      <c r="J587" s="16">
        <f>IF($A587="","",IF($AP587&lt;&gt;"",INDEX(Raw_D1!$J$2:$J$1001,$AP587),IF($AR587&lt;&gt;"",INDEX(Raw_D3!$J$2:$J$1001,$AR587),"")))</f>
        <v>0.22</v>
      </c>
      <c r="K587" s="17">
        <f>IF($A587="","",IF($AQ587&lt;&gt;"",IF(INDEX(Raw_D2!$C$2:$C$1001,$AQ587)="","",INDEX(Raw_D2!$C$2:$C$1001,$AQ587)),IF($AR587&lt;&gt;"",IF(INDEX(Raw_D3!$K$2:$K$1001,$AR587)="","",INDEX(Raw_D3!$K$2:$K$1001,$AR587)),"")))</f>
        <v>0.197</v>
      </c>
      <c r="L587" s="16">
        <f>IF($A587="","",IF($AQ587&lt;&gt;"",IF(INDEX(Raw_D2!$D$2:$D$1001,$AQ587)="","",INDEX(Raw_D2!$D$2:$D$1001,$AQ587)),IF($AR587&lt;&gt;"",IF(INDEX(Raw_D3!$L$2:$L$1001,$AR587)="","",INDEX(Raw_D3!$L$2:$L$1001,$AR587)),"")))</f>
        <v>0.93</v>
      </c>
      <c r="M587" s="17">
        <f>IF($A587="","",IF($AQ587&lt;&gt;"",IF(INDEX(Raw_D2!$E$2:$E$1001,$AQ587)="","",INDEX(Raw_D2!$E$2:$E$1001,$AQ587)),IF($AR587&lt;&gt;"",IF(INDEX(Raw_D3!$M$2:$M$1001,$AR587)="","",INDEX(Raw_D3!$M$2:$M$1001,$AR587)),"")))</f>
        <v>0.3284</v>
      </c>
      <c r="N587" s="5">
        <f>IF($A587="","",IF($AQ587&lt;&gt;"",IF(INDEX(Raw_D2!$F$2:$F$1001,$AQ587)="","",INDEX(Raw_D2!$F$2:$F$1001,$AQ587)),IF($AR587&lt;&gt;"",IF(INDEX(Raw_D3!$N$2:$N$1001,$AR587)="","",INDEX(Raw_D3!$N$2:$N$1001,$AR587)),"")))</f>
        <v>1</v>
      </c>
      <c r="O587" s="5">
        <f>IF($A587="","",IF($AQ587&lt;&gt;"",IF(INDEX(Raw_D2!$G$2:$G$1001,$AQ587)="","",INDEX(Raw_D2!$G$2:$G$1001,$AQ587)),IF($AR587&lt;&gt;"",IF(INDEX(Raw_D3!$O$2:$O$1001,$AR587)="","",INDEX(Raw_D3!$O$2:$O$1001,$AR587)),"")))</f>
        <v>35</v>
      </c>
      <c r="P587" s="5">
        <f>IF($A587="","",IF($AQ587&lt;&gt;"",IF(INDEX(Raw_D2!$H$2:$H$1001,$AQ587)="","",INDEX(Raw_D2!$H$2:$H$1001,$AQ587)),IF($AR587&lt;&gt;"",IF(INDEX(Raw_D3!$P$2:$P$1001,$AR587)="","",INDEX(Raw_D3!$P$2:$P$1001,$AR587)),"")))</f>
        <v>36</v>
      </c>
      <c r="Q587" s="5" t="str">
        <f>IF($A587="","",IF(AND($AP587&lt;&gt;"",$AQ587&lt;&gt;""),"D1+D2",IF($AR587&lt;&gt;"","D3","Incomplete")))</f>
        <v>D1+D2</v>
      </c>
      <c r="R587" s="17">
        <f>IF($A587="","",IF($K587="",IF($J587="","",ROUND(Lookups!$K$5+Lookups!$K$4*$J587,4)),$K587))</f>
        <v>0.197</v>
      </c>
      <c r="S587" s="5" t="str">
        <f>IF($A587="","",IF($K587="","Imputed","Original"))</f>
        <v>Original</v>
      </c>
      <c r="T587" s="5" t="str">
        <f>IF($A587="","",IF($P587="","Missing",IF($P587=$N587+$O587,"OK","Mismatch")))</f>
        <v>OK</v>
      </c>
      <c r="U587" s="5" t="str">
        <f>IF($A587="","",IF(COUNTIF($A$2:$A587,$A587)&gt;1,"Duplicate","Unique"))</f>
        <v>Unique</v>
      </c>
      <c r="V587" s="5">
        <f>IF($A587="","",IF(AND($U587="Unique",ISNUMBER($P587)),1,0))</f>
        <v>1</v>
      </c>
      <c r="W587" s="5" t="str">
        <f>IF($A587="","",IF(OR($H587=0,$H587=6),"Weekend","Weekday"))</f>
        <v>Weekday</v>
      </c>
      <c r="X587" s="5" t="str">
        <f>IF($A587="","",TEXT($B587,"ddd"))</f>
        <v>Wed</v>
      </c>
      <c r="Y587" s="5" t="str">
        <f>IF($A587="","",TEXT($B587,"mmm"))</f>
        <v>Jan</v>
      </c>
      <c r="Z587" s="5" t="str">
        <f>IF($A587="","",IFERROR(VLOOKUP($C587,Lookups!$D$4:$E$7,2,FALSE),"Unknown"))</f>
        <v>Winter</v>
      </c>
      <c r="AA587" s="5" t="str">
        <f>IF($A587="","",IFERROR(VLOOKUP($I587,Lookups!$A$4:$B$7,2,FALSE),"Unknown"))</f>
        <v>Heavy Rain/Snow</v>
      </c>
      <c r="AB587" s="5" t="str">
        <f>IF($A587="","",TEXT($F587,"00")&amp;":00")</f>
        <v>16:00</v>
      </c>
      <c r="AC587" s="5" t="str">
        <f>IF($A587="","",VLOOKUP($F587,Lookups!$G$4:$H$8,2,TRUE))</f>
        <v>Evening Peak (16-19)</v>
      </c>
      <c r="AD587" s="18">
        <f>IF($A587="","",IF($J587="","",ROUND($J587*41,1)))</f>
        <v>9</v>
      </c>
      <c r="AE587" s="18">
        <f>IF($A587="","",IF($R587="","",ROUND($R587*50,1)))</f>
        <v>9.9</v>
      </c>
      <c r="AF587" s="5">
        <f>IF($A587="","",IF($L587="","",ROUND($L587*100,0)))</f>
        <v>93</v>
      </c>
      <c r="AG587" s="18">
        <f>IF($A587="","",IF($M587="","",ROUND($M587*67,1)))</f>
        <v>22</v>
      </c>
      <c r="AH587" s="19">
        <f>IF($A587="","",IF($P587="","",IF($P587=0,0,$O587/$P587)))</f>
        <v>0.972222222222222</v>
      </c>
      <c r="AI587" s="5" t="str">
        <f>IF($A587="","",IF($P587="","",IF($P587&gt;=Lookups!$K$7,"High",IF($P587&lt;=Lookups!$K$8,"Low","Medium"))))</f>
        <v>Medium</v>
      </c>
      <c r="AJ587" s="5" t="str">
        <f>IF($A587="","",IF($AD587="","",IF($AD587&lt;5,"Under 5 C",IF($AD587&lt;10,"5-10 C",IF($AD587&lt;15,"10-15 C","15 C and above")))))</f>
        <v>5-10 C</v>
      </c>
      <c r="AK587" s="5">
        <f>IF($A587="","",IF($P587="","",$P587^2))</f>
        <v>1296</v>
      </c>
      <c r="AL587" s="18">
        <f>IF($V587&lt;&gt;1,"",AVERAGEIFS(Clean_Data!$P$2:$P$1001,Clean_Data!$F$2:$F$1001,$F587,Clean_Data!$W$2:$W$1001,$W587,Clean_Data!$V$2:$V$1001,1))</f>
        <v>82.6333333333333</v>
      </c>
      <c r="AM587" s="16">
        <f>IF($V587&lt;&gt;1,"",IFERROR(($P587-$AL587)/SQRT(MAX(0,(SUMIFS(Clean_Data!$AK$2:$AK$1001,Clean_Data!$F$2:$F$1001,$F587,Clean_Data!$W$2:$W$1001,$W587,Clean_Data!$V$2:$V$1001,1)-COUNTIFS(Clean_Data!$F$2:$F$1001,$F587,Clean_Data!$W$2:$W$1001,$W587,Clean_Data!$V$2:$V$1001,1)*$AL587^2)/(COUNTIFS(Clean_Data!$F$2:$F$1001,$F587,Clean_Data!$W$2:$W$1001,$W587,Clean_Data!$V$2:$V$1001,1)-1))),""))</f>
        <v>-2.24805093191706</v>
      </c>
      <c r="AN587" s="5" t="str">
        <f>IF($AM587="","",IF($AM587&gt;=Lookups!$K$6,"High spike",IF($AM587&lt;=-Lookups!$K$6,"Unusual low","Normal")))</f>
        <v>Normal</v>
      </c>
      <c r="AO587" s="20">
        <f>IF($V587&lt;&gt;1,"",$P587+ROW()/100000)</f>
        <v>36.00587</v>
      </c>
      <c r="AP587" s="5">
        <f>IF($A587="","",IFERROR(MATCH($A587,Raw_D1!$A$2:$A$1001,0),""))</f>
        <v>586</v>
      </c>
      <c r="AQ587" s="5">
        <f>IF($A587="","",IFERROR(MATCH($A587,Raw_D2!$B$2:$B$1001,0),""))</f>
        <v>586</v>
      </c>
      <c r="AR587" s="5">
        <f>IF($A587="","",IFERROR(MATCH($A587,Raw_D3!$A$2:$A$1001,0),""))</f>
        <v/>
      </c>
    </row>
    <row r="588" spans="1:44" x14ac:dyDescent="0.25">
      <c r="A588" s="5">
        <v>587</v>
      </c>
      <c r="B588" s="11">
        <f>IF($A588="","",IF($AP588&lt;&gt;"",INDEX(Raw_D1!$B$2:$B$1001,$AP588),IF($AR588&lt;&gt;"",INDEX(Raw_D3!$B$2:$B$1001,$AR588),"")))</f>
        <v>40569.0</v>
      </c>
      <c r="C588" s="5">
        <f>IF($A588="","",IF($AP588&lt;&gt;"",INDEX(Raw_D1!$C$2:$C$1001,$AP588),IF($AR588&lt;&gt;"",INDEX(Raw_D3!$C$2:$C$1001,$AR588),"")))</f>
        <v>1</v>
      </c>
      <c r="D588" s="5">
        <f>IF($A588="","",IF($AP588&lt;&gt;"",INDEX(Raw_D1!$D$2:$D$1001,$AP588),IF($AR588&lt;&gt;"",INDEX(Raw_D3!$D$2:$D$1001,$AR588),"")))</f>
        <v>0</v>
      </c>
      <c r="E588" s="5">
        <f>IF($A588="","",IF($AP588&lt;&gt;"",INDEX(Raw_D1!$E$2:$E$1001,$AP588),IF($AR588&lt;&gt;"",INDEX(Raw_D3!$E$2:$E$1001,$AR588),"")))</f>
        <v>1</v>
      </c>
      <c r="F588" s="5">
        <f>IF($A588="","",IF($AP588&lt;&gt;"",INDEX(Raw_D1!$F$2:$F$1001,$AP588),IF($AR588&lt;&gt;"",INDEX(Raw_D3!$F$2:$F$1001,$AR588),"")))</f>
        <v>17</v>
      </c>
      <c r="G588" s="5">
        <f>IF($A588="","",IF($AP588&lt;&gt;"",IF(INDEX(Raw_D1!$G$2:$G$1001,$AP588),1,0),IF($AR588&lt;&gt;"",IF(INDEX(Raw_D3!$G$2:$G$1001,$AR588),1,0),"")))</f>
        <v>0</v>
      </c>
      <c r="H588" s="5">
        <f>IF($A588="","",IF($AP588&lt;&gt;"",INDEX(Raw_D1!$H$2:$H$1001,$AP588),IF($AR588&lt;&gt;"",INDEX(Raw_D3!$H$2:$H$1001,$AR588),"")))</f>
        <v>3</v>
      </c>
      <c r="I588" s="5">
        <f>IF($A588="","",IF($AP588&lt;&gt;"",INDEX(Raw_D1!$I$2:$I$1001,$AP588),IF($AR588&lt;&gt;"",INDEX(Raw_D3!$I$2:$I$1001,$AR588),"")))</f>
        <v>3</v>
      </c>
      <c r="J588" s="16">
        <f>IF($A588="","",IF($AP588&lt;&gt;"",INDEX(Raw_D1!$J$2:$J$1001,$AP588),IF($AR588&lt;&gt;"",INDEX(Raw_D3!$J$2:$J$1001,$AR588),"")))</f>
        <v>0.2</v>
      </c>
      <c r="K588" s="17">
        <f>IF($A588="","",IF($AQ588&lt;&gt;"",IF(INDEX(Raw_D2!$C$2:$C$1001,$AQ588)="","",INDEX(Raw_D2!$C$2:$C$1001,$AQ588)),IF($AR588&lt;&gt;"",IF(INDEX(Raw_D3!$K$2:$K$1001,$AR588)="","",INDEX(Raw_D3!$K$2:$K$1001,$AR588)),"")))</f>
        <v>0.1818</v>
      </c>
      <c r="L588" s="16">
        <f>IF($A588="","",IF($AQ588&lt;&gt;"",IF(INDEX(Raw_D2!$D$2:$D$1001,$AQ588)="","",INDEX(Raw_D2!$D$2:$D$1001,$AQ588)),IF($AR588&lt;&gt;"",IF(INDEX(Raw_D3!$L$2:$L$1001,$AR588)="","",INDEX(Raw_D3!$L$2:$L$1001,$AR588)),"")))</f>
        <v>0.93</v>
      </c>
      <c r="M588" s="17">
        <f>IF($A588="","",IF($AQ588&lt;&gt;"",IF(INDEX(Raw_D2!$E$2:$E$1001,$AQ588)="","",INDEX(Raw_D2!$E$2:$E$1001,$AQ588)),IF($AR588&lt;&gt;"",IF(INDEX(Raw_D3!$M$2:$M$1001,$AR588)="","",INDEX(Raw_D3!$M$2:$M$1001,$AR588)),"")))</f>
        <v>0.3582</v>
      </c>
      <c r="N588" s="5">
        <f>IF($A588="","",IF($AQ588&lt;&gt;"",IF(INDEX(Raw_D2!$F$2:$F$1001,$AQ588)="","",INDEX(Raw_D2!$F$2:$F$1001,$AQ588)),IF($AR588&lt;&gt;"",IF(INDEX(Raw_D3!$N$2:$N$1001,$AR588)="","",INDEX(Raw_D3!$N$2:$N$1001,$AR588)),"")))</f>
        <v>0</v>
      </c>
      <c r="O588" s="5">
        <f>IF($A588="","",IF($AQ588&lt;&gt;"",IF(INDEX(Raw_D2!$G$2:$G$1001,$AQ588)="","",INDEX(Raw_D2!$G$2:$G$1001,$AQ588)),IF($AR588&lt;&gt;"",IF(INDEX(Raw_D3!$O$2:$O$1001,$AR588)="","",INDEX(Raw_D3!$O$2:$O$1001,$AR588)),"")))</f>
        <v>26</v>
      </c>
      <c r="P588" s="5">
        <f>IF($A588="","",IF($AQ588&lt;&gt;"",IF(INDEX(Raw_D2!$H$2:$H$1001,$AQ588)="","",INDEX(Raw_D2!$H$2:$H$1001,$AQ588)),IF($AR588&lt;&gt;"",IF(INDEX(Raw_D3!$P$2:$P$1001,$AR588)="","",INDEX(Raw_D3!$P$2:$P$1001,$AR588)),"")))</f>
        <v>26</v>
      </c>
      <c r="Q588" s="5" t="str">
        <f>IF($A588="","",IF(AND($AP588&lt;&gt;"",$AQ588&lt;&gt;""),"D1+D2",IF($AR588&lt;&gt;"","D3","Incomplete")))</f>
        <v>D1+D2</v>
      </c>
      <c r="R588" s="17">
        <f>IF($A588="","",IF($K588="",IF($J588="","",ROUND(Lookups!$K$5+Lookups!$K$4*$J588,4)),$K588))</f>
        <v>0.1818</v>
      </c>
      <c r="S588" s="5" t="str">
        <f>IF($A588="","",IF($K588="","Imputed","Original"))</f>
        <v>Original</v>
      </c>
      <c r="T588" s="5" t="str">
        <f>IF($A588="","",IF($P588="","Missing",IF($P588=$N588+$O588,"OK","Mismatch")))</f>
        <v>OK</v>
      </c>
      <c r="U588" s="5" t="str">
        <f>IF($A588="","",IF(COUNTIF($A$2:$A588,$A588)&gt;1,"Duplicate","Unique"))</f>
        <v>Unique</v>
      </c>
      <c r="V588" s="5">
        <f>IF($A588="","",IF(AND($U588="Unique",ISNUMBER($P588)),1,0))</f>
        <v>1</v>
      </c>
      <c r="W588" s="5" t="str">
        <f>IF($A588="","",IF(OR($H588=0,$H588=6),"Weekend","Weekday"))</f>
        <v>Weekday</v>
      </c>
      <c r="X588" s="5" t="str">
        <f>IF($A588="","",TEXT($B588,"ddd"))</f>
        <v>Wed</v>
      </c>
      <c r="Y588" s="5" t="str">
        <f>IF($A588="","",TEXT($B588,"mmm"))</f>
        <v>Jan</v>
      </c>
      <c r="Z588" s="5" t="str">
        <f>IF($A588="","",IFERROR(VLOOKUP($C588,Lookups!$D$4:$E$7,2,FALSE),"Unknown"))</f>
        <v>Winter</v>
      </c>
      <c r="AA588" s="5" t="str">
        <f>IF($A588="","",IFERROR(VLOOKUP($I588,Lookups!$A$4:$B$7,2,FALSE),"Unknown"))</f>
        <v>Light Rain/Snow</v>
      </c>
      <c r="AB588" s="5" t="str">
        <f>IF($A588="","",TEXT($F588,"00")&amp;":00")</f>
        <v>17:00</v>
      </c>
      <c r="AC588" s="5" t="str">
        <f>IF($A588="","",VLOOKUP($F588,Lookups!$G$4:$H$8,2,TRUE))</f>
        <v>Evening Peak (16-19)</v>
      </c>
      <c r="AD588" s="18">
        <f>IF($A588="","",IF($J588="","",ROUND($J588*41,1)))</f>
        <v>8.2</v>
      </c>
      <c r="AE588" s="18">
        <f>IF($A588="","",IF($R588="","",ROUND($R588*50,1)))</f>
        <v>9.1</v>
      </c>
      <c r="AF588" s="5">
        <f>IF($A588="","",IF($L588="","",ROUND($L588*100,0)))</f>
        <v>93</v>
      </c>
      <c r="AG588" s="18">
        <f>IF($A588="","",IF($M588="","",ROUND($M588*67,1)))</f>
        <v>24</v>
      </c>
      <c r="AH588" s="19">
        <f>IF($A588="","",IF($P588="","",IF($P588=0,0,$O588/$P588)))</f>
        <v>1</v>
      </c>
      <c r="AI588" s="5" t="str">
        <f>IF($A588="","",IF($P588="","",IF($P588&gt;=Lookups!$K$7,"High",IF($P588&lt;=Lookups!$K$8,"Low","Medium"))))</f>
        <v>Medium</v>
      </c>
      <c r="AJ588" s="5" t="str">
        <f>IF($A588="","",IF($AD588="","",IF($AD588&lt;5,"Under 5 C",IF($AD588&lt;10,"5-10 C",IF($AD588&lt;15,"10-15 C","15 C and above")))))</f>
        <v>5-10 C</v>
      </c>
      <c r="AK588" s="5">
        <f>IF($A588="","",IF($P588="","",$P588^2))</f>
        <v>676</v>
      </c>
      <c r="AL588" s="18">
        <f>IF($V588&lt;&gt;1,"",AVERAGEIFS(Clean_Data!$P$2:$P$1001,Clean_Data!$F$2:$F$1001,$F588,Clean_Data!$W$2:$W$1001,$W588,Clean_Data!$V$2:$V$1001,1))</f>
        <v>165.566666666667</v>
      </c>
      <c r="AM588" s="16">
        <f>IF($V588&lt;&gt;1,"",IFERROR(($P588-$AL588)/SQRT(MAX(0,(SUMIFS(Clean_Data!$AK$2:$AK$1001,Clean_Data!$F$2:$F$1001,$F588,Clean_Data!$W$2:$W$1001,$W588,Clean_Data!$V$2:$V$1001,1)-COUNTIFS(Clean_Data!$F$2:$F$1001,$F588,Clean_Data!$W$2:$W$1001,$W588,Clean_Data!$V$2:$V$1001,1)*$AL588^2)/(COUNTIFS(Clean_Data!$F$2:$F$1001,$F588,Clean_Data!$W$2:$W$1001,$W588,Clean_Data!$V$2:$V$1001,1)-1))),""))</f>
        <v>-3.17102755797147</v>
      </c>
      <c r="AN588" s="5" t="str">
        <f>IF($AM588="","",IF($AM588&gt;=Lookups!$K$6,"High spike",IF($AM588&lt;=-Lookups!$K$6,"Unusual low","Normal")))</f>
        <v>Unusual low</v>
      </c>
      <c r="AO588" s="20">
        <f>IF($V588&lt;&gt;1,"",$P588+ROW()/100000)</f>
        <v>26.00588</v>
      </c>
      <c r="AP588" s="5">
        <f>IF($A588="","",IFERROR(MATCH($A588,Raw_D1!$A$2:$A$1001,0),""))</f>
        <v>587</v>
      </c>
      <c r="AQ588" s="5">
        <f>IF($A588="","",IFERROR(MATCH($A588,Raw_D2!$B$2:$B$1001,0),""))</f>
        <v>587</v>
      </c>
      <c r="AR588" s="5">
        <f>IF($A588="","",IFERROR(MATCH($A588,Raw_D3!$A$2:$A$1001,0),""))</f>
        <v/>
      </c>
    </row>
    <row r="589" spans="1:44" x14ac:dyDescent="0.25">
      <c r="A589" s="5">
        <v>588</v>
      </c>
      <c r="B589" s="11">
        <f>IF($A589="","",IF($AP589&lt;&gt;"",INDEX(Raw_D1!$B$2:$B$1001,$AP589),IF($AR589&lt;&gt;"",INDEX(Raw_D3!$B$2:$B$1001,$AR589),"")))</f>
        <v>40570.0</v>
      </c>
      <c r="C589" s="5">
        <f>IF($A589="","",IF($AP589&lt;&gt;"",INDEX(Raw_D1!$C$2:$C$1001,$AP589),IF($AR589&lt;&gt;"",INDEX(Raw_D3!$C$2:$C$1001,$AR589),"")))</f>
        <v>1</v>
      </c>
      <c r="D589" s="5">
        <f>IF($A589="","",IF($AP589&lt;&gt;"",INDEX(Raw_D1!$D$2:$D$1001,$AP589),IF($AR589&lt;&gt;"",INDEX(Raw_D3!$D$2:$D$1001,$AR589),"")))</f>
        <v>0</v>
      </c>
      <c r="E589" s="5">
        <f>IF($A589="","",IF($AP589&lt;&gt;"",INDEX(Raw_D1!$E$2:$E$1001,$AP589),IF($AR589&lt;&gt;"",INDEX(Raw_D3!$E$2:$E$1001,$AR589),"")))</f>
        <v>1</v>
      </c>
      <c r="F589" s="5">
        <f>IF($A589="","",IF($AP589&lt;&gt;"",INDEX(Raw_D1!$F$2:$F$1001,$AP589),IF($AR589&lt;&gt;"",INDEX(Raw_D3!$F$2:$F$1001,$AR589),"")))</f>
        <v>16</v>
      </c>
      <c r="G589" s="5">
        <f>IF($A589="","",IF($AP589&lt;&gt;"",IF(INDEX(Raw_D1!$G$2:$G$1001,$AP589),1,0),IF($AR589&lt;&gt;"",IF(INDEX(Raw_D3!$G$2:$G$1001,$AR589),1,0),"")))</f>
        <v>0</v>
      </c>
      <c r="H589" s="5">
        <f>IF($A589="","",IF($AP589&lt;&gt;"",INDEX(Raw_D1!$H$2:$H$1001,$AP589),IF($AR589&lt;&gt;"",INDEX(Raw_D3!$H$2:$H$1001,$AR589),"")))</f>
        <v>4</v>
      </c>
      <c r="I589" s="5">
        <f>IF($A589="","",IF($AP589&lt;&gt;"",INDEX(Raw_D1!$I$2:$I$1001,$AP589),IF($AR589&lt;&gt;"",INDEX(Raw_D3!$I$2:$I$1001,$AR589),"")))</f>
        <v>1</v>
      </c>
      <c r="J589" s="16">
        <f>IF($A589="","",IF($AP589&lt;&gt;"",INDEX(Raw_D1!$J$2:$J$1001,$AP589),IF($AR589&lt;&gt;"",INDEX(Raw_D3!$J$2:$J$1001,$AR589),"")))</f>
        <v>0.22</v>
      </c>
      <c r="K589" s="17">
        <f>IF($A589="","",IF($AQ589&lt;&gt;"",IF(INDEX(Raw_D2!$C$2:$C$1001,$AQ589)="","",INDEX(Raw_D2!$C$2:$C$1001,$AQ589)),IF($AR589&lt;&gt;"",IF(INDEX(Raw_D3!$K$2:$K$1001,$AR589)="","",INDEX(Raw_D3!$K$2:$K$1001,$AR589)),"")))</f>
        <v>0.2273</v>
      </c>
      <c r="L589" s="16">
        <f>IF($A589="","",IF($AQ589&lt;&gt;"",IF(INDEX(Raw_D2!$D$2:$D$1001,$AQ589)="","",INDEX(Raw_D2!$D$2:$D$1001,$AQ589)),IF($AR589&lt;&gt;"",IF(INDEX(Raw_D3!$L$2:$L$1001,$AR589)="","",INDEX(Raw_D3!$L$2:$L$1001,$AR589)),"")))</f>
        <v>0.55</v>
      </c>
      <c r="M589" s="17">
        <f>IF($A589="","",IF($AQ589&lt;&gt;"",IF(INDEX(Raw_D2!$E$2:$E$1001,$AQ589)="","",INDEX(Raw_D2!$E$2:$E$1001,$AQ589)),IF($AR589&lt;&gt;"",IF(INDEX(Raw_D3!$M$2:$M$1001,$AR589)="","",INDEX(Raw_D3!$M$2:$M$1001,$AR589)),"")))</f>
        <v>0.194</v>
      </c>
      <c r="N589" s="5">
        <f>IF($A589="","",IF($AQ589&lt;&gt;"",IF(INDEX(Raw_D2!$F$2:$F$1001,$AQ589)="","",INDEX(Raw_D2!$F$2:$F$1001,$AQ589)),IF($AR589&lt;&gt;"",IF(INDEX(Raw_D3!$N$2:$N$1001,$AR589)="","",INDEX(Raw_D3!$N$2:$N$1001,$AR589)),"")))</f>
        <v>1</v>
      </c>
      <c r="O589" s="5">
        <f>IF($A589="","",IF($AQ589&lt;&gt;"",IF(INDEX(Raw_D2!$G$2:$G$1001,$AQ589)="","",INDEX(Raw_D2!$G$2:$G$1001,$AQ589)),IF($AR589&lt;&gt;"",IF(INDEX(Raw_D3!$O$2:$O$1001,$AR589)="","",INDEX(Raw_D3!$O$2:$O$1001,$AR589)),"")))</f>
        <v>23</v>
      </c>
      <c r="P589" s="5">
        <f>IF($A589="","",IF($AQ589&lt;&gt;"",IF(INDEX(Raw_D2!$H$2:$H$1001,$AQ589)="","",INDEX(Raw_D2!$H$2:$H$1001,$AQ589)),IF($AR589&lt;&gt;"",IF(INDEX(Raw_D3!$P$2:$P$1001,$AR589)="","",INDEX(Raw_D3!$P$2:$P$1001,$AR589)),"")))</f>
        <v>24</v>
      </c>
      <c r="Q589" s="5" t="str">
        <f>IF($A589="","",IF(AND($AP589&lt;&gt;"",$AQ589&lt;&gt;""),"D1+D2",IF($AR589&lt;&gt;"","D3","Incomplete")))</f>
        <v>D1+D2</v>
      </c>
      <c r="R589" s="17">
        <f>IF($A589="","",IF($K589="",IF($J589="","",ROUND(Lookups!$K$5+Lookups!$K$4*$J589,4)),$K589))</f>
        <v>0.2273</v>
      </c>
      <c r="S589" s="5" t="str">
        <f>IF($A589="","",IF($K589="","Imputed","Original"))</f>
        <v>Original</v>
      </c>
      <c r="T589" s="5" t="str">
        <f>IF($A589="","",IF($P589="","Missing",IF($P589=$N589+$O589,"OK","Mismatch")))</f>
        <v>OK</v>
      </c>
      <c r="U589" s="5" t="str">
        <f>IF($A589="","",IF(COUNTIF($A$2:$A589,$A589)&gt;1,"Duplicate","Unique"))</f>
        <v>Unique</v>
      </c>
      <c r="V589" s="5">
        <f>IF($A589="","",IF(AND($U589="Unique",ISNUMBER($P589)),1,0))</f>
        <v>1</v>
      </c>
      <c r="W589" s="5" t="str">
        <f>IF($A589="","",IF(OR($H589=0,$H589=6),"Weekend","Weekday"))</f>
        <v>Weekday</v>
      </c>
      <c r="X589" s="5" t="str">
        <f>IF($A589="","",TEXT($B589,"ddd"))</f>
        <v>Thu</v>
      </c>
      <c r="Y589" s="5" t="str">
        <f>IF($A589="","",TEXT($B589,"mmm"))</f>
        <v>Jan</v>
      </c>
      <c r="Z589" s="5" t="str">
        <f>IF($A589="","",IFERROR(VLOOKUP($C589,Lookups!$D$4:$E$7,2,FALSE),"Unknown"))</f>
        <v>Winter</v>
      </c>
      <c r="AA589" s="5" t="str">
        <f>IF($A589="","",IFERROR(VLOOKUP($I589,Lookups!$A$4:$B$7,2,FALSE),"Unknown"))</f>
        <v>Clear</v>
      </c>
      <c r="AB589" s="5" t="str">
        <f>IF($A589="","",TEXT($F589,"00")&amp;":00")</f>
        <v>16:00</v>
      </c>
      <c r="AC589" s="5" t="str">
        <f>IF($A589="","",VLOOKUP($F589,Lookups!$G$4:$H$8,2,TRUE))</f>
        <v>Evening Peak (16-19)</v>
      </c>
      <c r="AD589" s="18">
        <f>IF($A589="","",IF($J589="","",ROUND($J589*41,1)))</f>
        <v>9</v>
      </c>
      <c r="AE589" s="18">
        <f>IF($A589="","",IF($R589="","",ROUND($R589*50,1)))</f>
        <v>11.4</v>
      </c>
      <c r="AF589" s="5">
        <f>IF($A589="","",IF($L589="","",ROUND($L589*100,0)))</f>
        <v>55</v>
      </c>
      <c r="AG589" s="18">
        <f>IF($A589="","",IF($M589="","",ROUND($M589*67,1)))</f>
        <v>13</v>
      </c>
      <c r="AH589" s="19">
        <f>IF($A589="","",IF($P589="","",IF($P589=0,0,$O589/$P589)))</f>
        <v>0.958333333333333</v>
      </c>
      <c r="AI589" s="5" t="str">
        <f>IF($A589="","",IF($P589="","",IF($P589&gt;=Lookups!$K$7,"High",IF($P589&lt;=Lookups!$K$8,"Low","Medium"))))</f>
        <v>Medium</v>
      </c>
      <c r="AJ589" s="5" t="str">
        <f>IF($A589="","",IF($AD589="","",IF($AD589&lt;5,"Under 5 C",IF($AD589&lt;10,"5-10 C",IF($AD589&lt;15,"10-15 C","15 C and above")))))</f>
        <v>5-10 C</v>
      </c>
      <c r="AK589" s="5">
        <f>IF($A589="","",IF($P589="","",$P589^2))</f>
        <v>576</v>
      </c>
      <c r="AL589" s="18">
        <f>IF($V589&lt;&gt;1,"",AVERAGEIFS(Clean_Data!$P$2:$P$1001,Clean_Data!$F$2:$F$1001,$F589,Clean_Data!$W$2:$W$1001,$W589,Clean_Data!$V$2:$V$1001,1))</f>
        <v>82.6333333333333</v>
      </c>
      <c r="AM589" s="16">
        <f>IF($V589&lt;&gt;1,"",IFERROR(($P589-$AL589)/SQRT(MAX(0,(SUMIFS(Clean_Data!$AK$2:$AK$1001,Clean_Data!$F$2:$F$1001,$F589,Clean_Data!$W$2:$W$1001,$W589,Clean_Data!$V$2:$V$1001,1)-COUNTIFS(Clean_Data!$F$2:$F$1001,$F589,Clean_Data!$W$2:$W$1001,$W589,Clean_Data!$V$2:$V$1001,1)*$AL589^2)/(COUNTIFS(Clean_Data!$F$2:$F$1001,$F589,Clean_Data!$W$2:$W$1001,$W589,Clean_Data!$V$2:$V$1001,1)-1))),""))</f>
        <v>-2.82653437401152</v>
      </c>
      <c r="AN589" s="5" t="str">
        <f>IF($AM589="","",IF($AM589&gt;=Lookups!$K$6,"High spike",IF($AM589&lt;=-Lookups!$K$6,"Unusual low","Normal")))</f>
        <v>Normal</v>
      </c>
      <c r="AO589" s="20">
        <f>IF($V589&lt;&gt;1,"",$P589+ROW()/100000)</f>
        <v>24.00589</v>
      </c>
      <c r="AP589" s="5">
        <f>IF($A589="","",IFERROR(MATCH($A589,Raw_D1!$A$2:$A$1001,0),""))</f>
        <v>588</v>
      </c>
      <c r="AQ589" s="5">
        <f>IF($A589="","",IFERROR(MATCH($A589,Raw_D2!$B$2:$B$1001,0),""))</f>
        <v>588</v>
      </c>
      <c r="AR589" s="5">
        <f>IF($A589="","",IFERROR(MATCH($A589,Raw_D3!$A$2:$A$1001,0),""))</f>
        <v/>
      </c>
    </row>
    <row r="590" spans="1:44" x14ac:dyDescent="0.25">
      <c r="A590" s="5">
        <v>589</v>
      </c>
      <c r="B590" s="11">
        <f>IF($A590="","",IF($AP590&lt;&gt;"",INDEX(Raw_D1!$B$2:$B$1001,$AP590),IF($AR590&lt;&gt;"",INDEX(Raw_D3!$B$2:$B$1001,$AR590),"")))</f>
        <v>40570.0</v>
      </c>
      <c r="C590" s="5">
        <f>IF($A590="","",IF($AP590&lt;&gt;"",INDEX(Raw_D1!$C$2:$C$1001,$AP590),IF($AR590&lt;&gt;"",INDEX(Raw_D3!$C$2:$C$1001,$AR590),"")))</f>
        <v>1</v>
      </c>
      <c r="D590" s="5">
        <f>IF($A590="","",IF($AP590&lt;&gt;"",INDEX(Raw_D1!$D$2:$D$1001,$AP590),IF($AR590&lt;&gt;"",INDEX(Raw_D3!$D$2:$D$1001,$AR590),"")))</f>
        <v>0</v>
      </c>
      <c r="E590" s="5">
        <f>IF($A590="","",IF($AP590&lt;&gt;"",INDEX(Raw_D1!$E$2:$E$1001,$AP590),IF($AR590&lt;&gt;"",INDEX(Raw_D3!$E$2:$E$1001,$AR590),"")))</f>
        <v>1</v>
      </c>
      <c r="F590" s="5">
        <f>IF($A590="","",IF($AP590&lt;&gt;"",INDEX(Raw_D1!$F$2:$F$1001,$AP590),IF($AR590&lt;&gt;"",INDEX(Raw_D3!$F$2:$F$1001,$AR590),"")))</f>
        <v>17</v>
      </c>
      <c r="G590" s="5">
        <f>IF($A590="","",IF($AP590&lt;&gt;"",IF(INDEX(Raw_D1!$G$2:$G$1001,$AP590),1,0),IF($AR590&lt;&gt;"",IF(INDEX(Raw_D3!$G$2:$G$1001,$AR590),1,0),"")))</f>
        <v>0</v>
      </c>
      <c r="H590" s="5">
        <f>IF($A590="","",IF($AP590&lt;&gt;"",INDEX(Raw_D1!$H$2:$H$1001,$AP590),IF($AR590&lt;&gt;"",INDEX(Raw_D3!$H$2:$H$1001,$AR590),"")))</f>
        <v>4</v>
      </c>
      <c r="I590" s="5">
        <f>IF($A590="","",IF($AP590&lt;&gt;"",INDEX(Raw_D1!$I$2:$I$1001,$AP590),IF($AR590&lt;&gt;"",INDEX(Raw_D3!$I$2:$I$1001,$AR590),"")))</f>
        <v>1</v>
      </c>
      <c r="J590" s="16">
        <f>IF($A590="","",IF($AP590&lt;&gt;"",INDEX(Raw_D1!$J$2:$J$1001,$AP590),IF($AR590&lt;&gt;"",INDEX(Raw_D3!$J$2:$J$1001,$AR590),"")))</f>
        <v>0.22</v>
      </c>
      <c r="K590" s="17">
        <f>IF($A590="","",IF($AQ590&lt;&gt;"",IF(INDEX(Raw_D2!$C$2:$C$1001,$AQ590)="","",INDEX(Raw_D2!$C$2:$C$1001,$AQ590)),IF($AR590&lt;&gt;"",IF(INDEX(Raw_D3!$K$2:$K$1001,$AR590)="","",INDEX(Raw_D3!$K$2:$K$1001,$AR590)),"")))</f>
        <v>0.2424</v>
      </c>
      <c r="L590" s="16">
        <f>IF($A590="","",IF($AQ590&lt;&gt;"",IF(INDEX(Raw_D2!$D$2:$D$1001,$AQ590)="","",INDEX(Raw_D2!$D$2:$D$1001,$AQ590)),IF($AR590&lt;&gt;"",IF(INDEX(Raw_D3!$L$2:$L$1001,$AR590)="","",INDEX(Raw_D3!$L$2:$L$1001,$AR590)),"")))</f>
        <v>0.55</v>
      </c>
      <c r="M590" s="17">
        <f>IF($A590="","",IF($AQ590&lt;&gt;"",IF(INDEX(Raw_D2!$E$2:$E$1001,$AQ590)="","",INDEX(Raw_D2!$E$2:$E$1001,$AQ590)),IF($AR590&lt;&gt;"",IF(INDEX(Raw_D3!$M$2:$M$1001,$AR590)="","",INDEX(Raw_D3!$M$2:$M$1001,$AR590)),"")))</f>
        <v>0.1045</v>
      </c>
      <c r="N590" s="5">
        <f>IF($A590="","",IF($AQ590&lt;&gt;"",IF(INDEX(Raw_D2!$F$2:$F$1001,$AQ590)="","",INDEX(Raw_D2!$F$2:$F$1001,$AQ590)),IF($AR590&lt;&gt;"",IF(INDEX(Raw_D3!$N$2:$N$1001,$AR590)="","",INDEX(Raw_D3!$N$2:$N$1001,$AR590)),"")))</f>
        <v>2</v>
      </c>
      <c r="O590" s="5">
        <f>IF($A590="","",IF($AQ590&lt;&gt;"",IF(INDEX(Raw_D2!$G$2:$G$1001,$AQ590)="","",INDEX(Raw_D2!$G$2:$G$1001,$AQ590)),IF($AR590&lt;&gt;"",IF(INDEX(Raw_D3!$O$2:$O$1001,$AR590)="","",INDEX(Raw_D3!$O$2:$O$1001,$AR590)),"")))</f>
        <v>82</v>
      </c>
      <c r="P590" s="5">
        <f>IF($A590="","",IF($AQ590&lt;&gt;"",IF(INDEX(Raw_D2!$H$2:$H$1001,$AQ590)="","",INDEX(Raw_D2!$H$2:$H$1001,$AQ590)),IF($AR590&lt;&gt;"",IF(INDEX(Raw_D3!$P$2:$P$1001,$AR590)="","",INDEX(Raw_D3!$P$2:$P$1001,$AR590)),"")))</f>
        <v>84</v>
      </c>
      <c r="Q590" s="5" t="str">
        <f>IF($A590="","",IF(AND($AP590&lt;&gt;"",$AQ590&lt;&gt;""),"D1+D2",IF($AR590&lt;&gt;"","D3","Incomplete")))</f>
        <v>D1+D2</v>
      </c>
      <c r="R590" s="17">
        <f>IF($A590="","",IF($K590="",IF($J590="","",ROUND(Lookups!$K$5+Lookups!$K$4*$J590,4)),$K590))</f>
        <v>0.2424</v>
      </c>
      <c r="S590" s="5" t="str">
        <f>IF($A590="","",IF($K590="","Imputed","Original"))</f>
        <v>Original</v>
      </c>
      <c r="T590" s="5" t="str">
        <f>IF($A590="","",IF($P590="","Missing",IF($P590=$N590+$O590,"OK","Mismatch")))</f>
        <v>OK</v>
      </c>
      <c r="U590" s="5" t="str">
        <f>IF($A590="","",IF(COUNTIF($A$2:$A590,$A590)&gt;1,"Duplicate","Unique"))</f>
        <v>Unique</v>
      </c>
      <c r="V590" s="5">
        <f>IF($A590="","",IF(AND($U590="Unique",ISNUMBER($P590)),1,0))</f>
        <v>1</v>
      </c>
      <c r="W590" s="5" t="str">
        <f>IF($A590="","",IF(OR($H590=0,$H590=6),"Weekend","Weekday"))</f>
        <v>Weekday</v>
      </c>
      <c r="X590" s="5" t="str">
        <f>IF($A590="","",TEXT($B590,"ddd"))</f>
        <v>Thu</v>
      </c>
      <c r="Y590" s="5" t="str">
        <f>IF($A590="","",TEXT($B590,"mmm"))</f>
        <v>Jan</v>
      </c>
      <c r="Z590" s="5" t="str">
        <f>IF($A590="","",IFERROR(VLOOKUP($C590,Lookups!$D$4:$E$7,2,FALSE),"Unknown"))</f>
        <v>Winter</v>
      </c>
      <c r="AA590" s="5" t="str">
        <f>IF($A590="","",IFERROR(VLOOKUP($I590,Lookups!$A$4:$B$7,2,FALSE),"Unknown"))</f>
        <v>Clear</v>
      </c>
      <c r="AB590" s="5" t="str">
        <f>IF($A590="","",TEXT($F590,"00")&amp;":00")</f>
        <v>17:00</v>
      </c>
      <c r="AC590" s="5" t="str">
        <f>IF($A590="","",VLOOKUP($F590,Lookups!$G$4:$H$8,2,TRUE))</f>
        <v>Evening Peak (16-19)</v>
      </c>
      <c r="AD590" s="18">
        <f>IF($A590="","",IF($J590="","",ROUND($J590*41,1)))</f>
        <v>9</v>
      </c>
      <c r="AE590" s="18">
        <f>IF($A590="","",IF($R590="","",ROUND($R590*50,1)))</f>
        <v>12.1</v>
      </c>
      <c r="AF590" s="5">
        <f>IF($A590="","",IF($L590="","",ROUND($L590*100,0)))</f>
        <v>55</v>
      </c>
      <c r="AG590" s="18">
        <f>IF($A590="","",IF($M590="","",ROUND($M590*67,1)))</f>
        <v>7</v>
      </c>
      <c r="AH590" s="19">
        <f>IF($A590="","",IF($P590="","",IF($P590=0,0,$O590/$P590)))</f>
        <v>0.976190476190476</v>
      </c>
      <c r="AI590" s="5" t="str">
        <f>IF($A590="","",IF($P590="","",IF($P590&gt;=Lookups!$K$7,"High",IF($P590&lt;=Lookups!$K$8,"Low","Medium"))))</f>
        <v>High</v>
      </c>
      <c r="AJ590" s="5" t="str">
        <f>IF($A590="","",IF($AD590="","",IF($AD590&lt;5,"Under 5 C",IF($AD590&lt;10,"5-10 C",IF($AD590&lt;15,"10-15 C","15 C and above")))))</f>
        <v>5-10 C</v>
      </c>
      <c r="AK590" s="5">
        <f>IF($A590="","",IF($P590="","",$P590^2))</f>
        <v>7056</v>
      </c>
      <c r="AL590" s="18">
        <f>IF($V590&lt;&gt;1,"",AVERAGEIFS(Clean_Data!$P$2:$P$1001,Clean_Data!$F$2:$F$1001,$F590,Clean_Data!$W$2:$W$1001,$W590,Clean_Data!$V$2:$V$1001,1))</f>
        <v>165.566666666667</v>
      </c>
      <c r="AM590" s="16">
        <f>IF($V590&lt;&gt;1,"",IFERROR(($P590-$AL590)/SQRT(MAX(0,(SUMIFS(Clean_Data!$AK$2:$AK$1001,Clean_Data!$F$2:$F$1001,$F590,Clean_Data!$W$2:$W$1001,$W590,Clean_Data!$V$2:$V$1001,1)-COUNTIFS(Clean_Data!$F$2:$F$1001,$F590,Clean_Data!$W$2:$W$1001,$W590,Clean_Data!$V$2:$V$1001,1)*$AL590^2)/(COUNTIFS(Clean_Data!$F$2:$F$1001,$F590,Clean_Data!$W$2:$W$1001,$W590,Clean_Data!$V$2:$V$1001,1)-1))),""))</f>
        <v>-1.85323726638552</v>
      </c>
      <c r="AN590" s="5" t="str">
        <f>IF($AM590="","",IF($AM590&gt;=Lookups!$K$6,"High spike",IF($AM590&lt;=-Lookups!$K$6,"Unusual low","Normal")))</f>
        <v>Normal</v>
      </c>
      <c r="AO590" s="20">
        <f>IF($V590&lt;&gt;1,"",$P590+ROW()/100000)</f>
        <v>84.0059</v>
      </c>
      <c r="AP590" s="5">
        <f>IF($A590="","",IFERROR(MATCH($A590,Raw_D1!$A$2:$A$1001,0),""))</f>
        <v>589</v>
      </c>
      <c r="AQ590" s="5">
        <f>IF($A590="","",IFERROR(MATCH($A590,Raw_D2!$B$2:$B$1001,0),""))</f>
        <v>589</v>
      </c>
      <c r="AR590" s="5">
        <f>IF($A590="","",IFERROR(MATCH($A590,Raw_D3!$A$2:$A$1001,0),""))</f>
        <v/>
      </c>
    </row>
    <row r="591" spans="1:44" x14ac:dyDescent="0.25">
      <c r="A591" s="5">
        <v>590</v>
      </c>
      <c r="B591" s="11">
        <f>IF($A591="","",IF($AP591&lt;&gt;"",INDEX(Raw_D1!$B$2:$B$1001,$AP591),IF($AR591&lt;&gt;"",INDEX(Raw_D3!$B$2:$B$1001,$AR591),"")))</f>
        <v>40570.0</v>
      </c>
      <c r="C591" s="5">
        <f>IF($A591="","",IF($AP591&lt;&gt;"",INDEX(Raw_D1!$C$2:$C$1001,$AP591),IF($AR591&lt;&gt;"",INDEX(Raw_D3!$C$2:$C$1001,$AR591),"")))</f>
        <v>1</v>
      </c>
      <c r="D591" s="5">
        <f>IF($A591="","",IF($AP591&lt;&gt;"",INDEX(Raw_D1!$D$2:$D$1001,$AP591),IF($AR591&lt;&gt;"",INDEX(Raw_D3!$D$2:$D$1001,$AR591),"")))</f>
        <v>0</v>
      </c>
      <c r="E591" s="5">
        <f>IF($A591="","",IF($AP591&lt;&gt;"",INDEX(Raw_D1!$E$2:$E$1001,$AP591),IF($AR591&lt;&gt;"",INDEX(Raw_D3!$E$2:$E$1001,$AR591),"")))</f>
        <v>1</v>
      </c>
      <c r="F591" s="5">
        <f>IF($A591="","",IF($AP591&lt;&gt;"",INDEX(Raw_D1!$F$2:$F$1001,$AP591),IF($AR591&lt;&gt;"",INDEX(Raw_D3!$F$2:$F$1001,$AR591),"")))</f>
        <v>18</v>
      </c>
      <c r="G591" s="5">
        <f>IF($A591="","",IF($AP591&lt;&gt;"",IF(INDEX(Raw_D1!$G$2:$G$1001,$AP591),1,0),IF($AR591&lt;&gt;"",IF(INDEX(Raw_D3!$G$2:$G$1001,$AR591),1,0),"")))</f>
        <v>0</v>
      </c>
      <c r="H591" s="5">
        <f>IF($A591="","",IF($AP591&lt;&gt;"",INDEX(Raw_D1!$H$2:$H$1001,$AP591),IF($AR591&lt;&gt;"",INDEX(Raw_D3!$H$2:$H$1001,$AR591),"")))</f>
        <v>4</v>
      </c>
      <c r="I591" s="5">
        <f>IF($A591="","",IF($AP591&lt;&gt;"",INDEX(Raw_D1!$I$2:$I$1001,$AP591),IF($AR591&lt;&gt;"",INDEX(Raw_D3!$I$2:$I$1001,$AR591),"")))</f>
        <v>1</v>
      </c>
      <c r="J591" s="16">
        <f>IF($A591="","",IF($AP591&lt;&gt;"",INDEX(Raw_D1!$J$2:$J$1001,$AP591),IF($AR591&lt;&gt;"",INDEX(Raw_D3!$J$2:$J$1001,$AR591),"")))</f>
        <v>0.2</v>
      </c>
      <c r="K591" s="17">
        <f>IF($A591="","",IF($AQ591&lt;&gt;"",IF(INDEX(Raw_D2!$C$2:$C$1001,$AQ591)="","",INDEX(Raw_D2!$C$2:$C$1001,$AQ591)),IF($AR591&lt;&gt;"",IF(INDEX(Raw_D3!$K$2:$K$1001,$AR591)="","",INDEX(Raw_D3!$K$2:$K$1001,$AR591)),"")))</f>
        <v>0.2273</v>
      </c>
      <c r="L591" s="16">
        <f>IF($A591="","",IF($AQ591&lt;&gt;"",IF(INDEX(Raw_D2!$D$2:$D$1001,$AQ591)="","",INDEX(Raw_D2!$D$2:$D$1001,$AQ591)),IF($AR591&lt;&gt;"",IF(INDEX(Raw_D3!$L$2:$L$1001,$AR591)="","",INDEX(Raw_D3!$L$2:$L$1001,$AR591)),"")))</f>
        <v>0.69</v>
      </c>
      <c r="M591" s="17">
        <f>IF($A591="","",IF($AQ591&lt;&gt;"",IF(INDEX(Raw_D2!$E$2:$E$1001,$AQ591)="","",INDEX(Raw_D2!$E$2:$E$1001,$AQ591)),IF($AR591&lt;&gt;"",IF(INDEX(Raw_D3!$M$2:$M$1001,$AR591)="","",INDEX(Raw_D3!$M$2:$M$1001,$AR591)),"")))</f>
        <v>0.0896</v>
      </c>
      <c r="N591" s="5">
        <f>IF($A591="","",IF($AQ591&lt;&gt;"",IF(INDEX(Raw_D2!$F$2:$F$1001,$AQ591)="","",INDEX(Raw_D2!$F$2:$F$1001,$AQ591)),IF($AR591&lt;&gt;"",IF(INDEX(Raw_D3!$N$2:$N$1001,$AR591)="","",INDEX(Raw_D3!$N$2:$N$1001,$AR591)),"")))</f>
        <v>3</v>
      </c>
      <c r="O591" s="5">
        <f>IF($A591="","",IF($AQ591&lt;&gt;"",IF(INDEX(Raw_D2!$G$2:$G$1001,$AQ591)="","",INDEX(Raw_D2!$G$2:$G$1001,$AQ591)),IF($AR591&lt;&gt;"",IF(INDEX(Raw_D3!$O$2:$O$1001,$AR591)="","",INDEX(Raw_D3!$O$2:$O$1001,$AR591)),"")))</f>
        <v>101</v>
      </c>
      <c r="P591" s="5">
        <f>IF($A591="","",IF($AQ591&lt;&gt;"",IF(INDEX(Raw_D2!$H$2:$H$1001,$AQ591)="","",INDEX(Raw_D2!$H$2:$H$1001,$AQ591)),IF($AR591&lt;&gt;"",IF(INDEX(Raw_D3!$P$2:$P$1001,$AR591)="","",INDEX(Raw_D3!$P$2:$P$1001,$AR591)),"")))</f>
        <v>104</v>
      </c>
      <c r="Q591" s="5" t="str">
        <f>IF($A591="","",IF(AND($AP591&lt;&gt;"",$AQ591&lt;&gt;""),"D1+D2",IF($AR591&lt;&gt;"","D3","Incomplete")))</f>
        <v>D1+D2</v>
      </c>
      <c r="R591" s="17">
        <f>IF($A591="","",IF($K591="",IF($J591="","",ROUND(Lookups!$K$5+Lookups!$K$4*$J591,4)),$K591))</f>
        <v>0.2273</v>
      </c>
      <c r="S591" s="5" t="str">
        <f>IF($A591="","",IF($K591="","Imputed","Original"))</f>
        <v>Original</v>
      </c>
      <c r="T591" s="5" t="str">
        <f>IF($A591="","",IF($P591="","Missing",IF($P591=$N591+$O591,"OK","Mismatch")))</f>
        <v>OK</v>
      </c>
      <c r="U591" s="5" t="str">
        <f>IF($A591="","",IF(COUNTIF($A$2:$A591,$A591)&gt;1,"Duplicate","Unique"))</f>
        <v>Unique</v>
      </c>
      <c r="V591" s="5">
        <f>IF($A591="","",IF(AND($U591="Unique",ISNUMBER($P591)),1,0))</f>
        <v>1</v>
      </c>
      <c r="W591" s="5" t="str">
        <f>IF($A591="","",IF(OR($H591=0,$H591=6),"Weekend","Weekday"))</f>
        <v>Weekday</v>
      </c>
      <c r="X591" s="5" t="str">
        <f>IF($A591="","",TEXT($B591,"ddd"))</f>
        <v>Thu</v>
      </c>
      <c r="Y591" s="5" t="str">
        <f>IF($A591="","",TEXT($B591,"mmm"))</f>
        <v>Jan</v>
      </c>
      <c r="Z591" s="5" t="str">
        <f>IF($A591="","",IFERROR(VLOOKUP($C591,Lookups!$D$4:$E$7,2,FALSE),"Unknown"))</f>
        <v>Winter</v>
      </c>
      <c r="AA591" s="5" t="str">
        <f>IF($A591="","",IFERROR(VLOOKUP($I591,Lookups!$A$4:$B$7,2,FALSE),"Unknown"))</f>
        <v>Clear</v>
      </c>
      <c r="AB591" s="5" t="str">
        <f>IF($A591="","",TEXT($F591,"00")&amp;":00")</f>
        <v>18:00</v>
      </c>
      <c r="AC591" s="5" t="str">
        <f>IF($A591="","",VLOOKUP($F591,Lookups!$G$4:$H$8,2,TRUE))</f>
        <v>Evening Peak (16-19)</v>
      </c>
      <c r="AD591" s="18">
        <f>IF($A591="","",IF($J591="","",ROUND($J591*41,1)))</f>
        <v>8.2</v>
      </c>
      <c r="AE591" s="18">
        <f>IF($A591="","",IF($R591="","",ROUND($R591*50,1)))</f>
        <v>11.4</v>
      </c>
      <c r="AF591" s="5">
        <f>IF($A591="","",IF($L591="","",ROUND($L591*100,0)))</f>
        <v>69</v>
      </c>
      <c r="AG591" s="18">
        <f>IF($A591="","",IF($M591="","",ROUND($M591*67,1)))</f>
        <v>6</v>
      </c>
      <c r="AH591" s="19">
        <f>IF($A591="","",IF($P591="","",IF($P591=0,0,$O591/$P591)))</f>
        <v>0.971153846153846</v>
      </c>
      <c r="AI591" s="5" t="str">
        <f>IF($A591="","",IF($P591="","",IF($P591&gt;=Lookups!$K$7,"High",IF($P591&lt;=Lookups!$K$8,"Low","Medium"))))</f>
        <v>High</v>
      </c>
      <c r="AJ591" s="5" t="str">
        <f>IF($A591="","",IF($AD591="","",IF($AD591&lt;5,"Under 5 C",IF($AD591&lt;10,"5-10 C",IF($AD591&lt;15,"10-15 C","15 C and above")))))</f>
        <v>5-10 C</v>
      </c>
      <c r="AK591" s="5">
        <f>IF($A591="","",IF($P591="","",$P591^2))</f>
        <v>10816</v>
      </c>
      <c r="AL591" s="18">
        <f>IF($V591&lt;&gt;1,"",AVERAGEIFS(Clean_Data!$P$2:$P$1001,Clean_Data!$F$2:$F$1001,$F591,Clean_Data!$W$2:$W$1001,$W591,Clean_Data!$V$2:$V$1001,1))</f>
        <v>151.206896551724</v>
      </c>
      <c r="AM591" s="16">
        <f>IF($V591&lt;&gt;1,"",IFERROR(($P591-$AL591)/SQRT(MAX(0,(SUMIFS(Clean_Data!$AK$2:$AK$1001,Clean_Data!$F$2:$F$1001,$F591,Clean_Data!$W$2:$W$1001,$W591,Clean_Data!$V$2:$V$1001,1)-COUNTIFS(Clean_Data!$F$2:$F$1001,$F591,Clean_Data!$W$2:$W$1001,$W591,Clean_Data!$V$2:$V$1001,1)*$AL591^2)/(COUNTIFS(Clean_Data!$F$2:$F$1001,$F591,Clean_Data!$W$2:$W$1001,$W591,Clean_Data!$V$2:$V$1001,1)-1))),""))</f>
        <v>-1.60844787150908</v>
      </c>
      <c r="AN591" s="5" t="str">
        <f>IF($AM591="","",IF($AM591&gt;=Lookups!$K$6,"High spike",IF($AM591&lt;=-Lookups!$K$6,"Unusual low","Normal")))</f>
        <v>Normal</v>
      </c>
      <c r="AO591" s="20">
        <f>IF($V591&lt;&gt;1,"",$P591+ROW()/100000)</f>
        <v>104.00591</v>
      </c>
      <c r="AP591" s="5">
        <f>IF($A591="","",IFERROR(MATCH($A591,Raw_D1!$A$2:$A$1001,0),""))</f>
        <v>590</v>
      </c>
      <c r="AQ591" s="5">
        <f>IF($A591="","",IFERROR(MATCH($A591,Raw_D2!$B$2:$B$1001,0),""))</f>
        <v>590</v>
      </c>
      <c r="AR591" s="5">
        <f>IF($A591="","",IFERROR(MATCH($A591,Raw_D3!$A$2:$A$1001,0),""))</f>
        <v/>
      </c>
    </row>
    <row r="592" spans="1:44" x14ac:dyDescent="0.25">
      <c r="A592" s="5">
        <v>591</v>
      </c>
      <c r="B592" s="11">
        <f>IF($A592="","",IF($AP592&lt;&gt;"",INDEX(Raw_D1!$B$2:$B$1001,$AP592),IF($AR592&lt;&gt;"",INDEX(Raw_D3!$B$2:$B$1001,$AR592),"")))</f>
        <v>40570.0</v>
      </c>
      <c r="C592" s="5">
        <f>IF($A592="","",IF($AP592&lt;&gt;"",INDEX(Raw_D1!$C$2:$C$1001,$AP592),IF($AR592&lt;&gt;"",INDEX(Raw_D3!$C$2:$C$1001,$AR592),"")))</f>
        <v>1</v>
      </c>
      <c r="D592" s="5">
        <f>IF($A592="","",IF($AP592&lt;&gt;"",INDEX(Raw_D1!$D$2:$D$1001,$AP592),IF($AR592&lt;&gt;"",INDEX(Raw_D3!$D$2:$D$1001,$AR592),"")))</f>
        <v>0</v>
      </c>
      <c r="E592" s="5">
        <f>IF($A592="","",IF($AP592&lt;&gt;"",INDEX(Raw_D1!$E$2:$E$1001,$AP592),IF($AR592&lt;&gt;"",INDEX(Raw_D3!$E$2:$E$1001,$AR592),"")))</f>
        <v>1</v>
      </c>
      <c r="F592" s="5">
        <f>IF($A592="","",IF($AP592&lt;&gt;"",INDEX(Raw_D1!$F$2:$F$1001,$AP592),IF($AR592&lt;&gt;"",INDEX(Raw_D3!$F$2:$F$1001,$AR592),"")))</f>
        <v>19</v>
      </c>
      <c r="G592" s="5">
        <f>IF($A592="","",IF($AP592&lt;&gt;"",IF(INDEX(Raw_D1!$G$2:$G$1001,$AP592),1,0),IF($AR592&lt;&gt;"",IF(INDEX(Raw_D3!$G$2:$G$1001,$AR592),1,0),"")))</f>
        <v>0</v>
      </c>
      <c r="H592" s="5">
        <f>IF($A592="","",IF($AP592&lt;&gt;"",INDEX(Raw_D1!$H$2:$H$1001,$AP592),IF($AR592&lt;&gt;"",INDEX(Raw_D3!$H$2:$H$1001,$AR592),"")))</f>
        <v>4</v>
      </c>
      <c r="I592" s="5">
        <f>IF($A592="","",IF($AP592&lt;&gt;"",INDEX(Raw_D1!$I$2:$I$1001,$AP592),IF($AR592&lt;&gt;"",INDEX(Raw_D3!$I$2:$I$1001,$AR592),"")))</f>
        <v>1</v>
      </c>
      <c r="J592" s="16">
        <f>IF($A592="","",IF($AP592&lt;&gt;"",INDEX(Raw_D1!$J$2:$J$1001,$AP592),IF($AR592&lt;&gt;"",INDEX(Raw_D3!$J$2:$J$1001,$AR592),"")))</f>
        <v>0.2</v>
      </c>
      <c r="K592" s="17">
        <f>IF($A592="","",IF($AQ592&lt;&gt;"",IF(INDEX(Raw_D2!$C$2:$C$1001,$AQ592)="","",INDEX(Raw_D2!$C$2:$C$1001,$AQ592)),IF($AR592&lt;&gt;"",IF(INDEX(Raw_D3!$K$2:$K$1001,$AR592)="","",INDEX(Raw_D3!$K$2:$K$1001,$AR592)),"")))</f>
        <v>0.2273</v>
      </c>
      <c r="L592" s="16">
        <f>IF($A592="","",IF($AQ592&lt;&gt;"",IF(INDEX(Raw_D2!$D$2:$D$1001,$AQ592)="","",INDEX(Raw_D2!$D$2:$D$1001,$AQ592)),IF($AR592&lt;&gt;"",IF(INDEX(Raw_D3!$L$2:$L$1001,$AR592)="","",INDEX(Raw_D3!$L$2:$L$1001,$AR592)),"")))</f>
        <v>0.69</v>
      </c>
      <c r="M592" s="17">
        <f>IF($A592="","",IF($AQ592&lt;&gt;"",IF(INDEX(Raw_D2!$E$2:$E$1001,$AQ592)="","",INDEX(Raw_D2!$E$2:$E$1001,$AQ592)),IF($AR592&lt;&gt;"",IF(INDEX(Raw_D3!$M$2:$M$1001,$AR592)="","",INDEX(Raw_D3!$M$2:$M$1001,$AR592)),"")))</f>
        <v>0.0896</v>
      </c>
      <c r="N592" s="5">
        <f>IF($A592="","",IF($AQ592&lt;&gt;"",IF(INDEX(Raw_D2!$F$2:$F$1001,$AQ592)="","",INDEX(Raw_D2!$F$2:$F$1001,$AQ592)),IF($AR592&lt;&gt;"",IF(INDEX(Raw_D3!$N$2:$N$1001,$AR592)="","",INDEX(Raw_D3!$N$2:$N$1001,$AR592)),"")))</f>
        <v>3</v>
      </c>
      <c r="O592" s="5">
        <f>IF($A592="","",IF($AQ592&lt;&gt;"",IF(INDEX(Raw_D2!$G$2:$G$1001,$AQ592)="","",INDEX(Raw_D2!$G$2:$G$1001,$AQ592)),IF($AR592&lt;&gt;"",IF(INDEX(Raw_D3!$O$2:$O$1001,$AR592)="","",INDEX(Raw_D3!$O$2:$O$1001,$AR592)),"")))</f>
        <v>76</v>
      </c>
      <c r="P592" s="5">
        <f>IF($A592="","",IF($AQ592&lt;&gt;"",IF(INDEX(Raw_D2!$H$2:$H$1001,$AQ592)="","",INDEX(Raw_D2!$H$2:$H$1001,$AQ592)),IF($AR592&lt;&gt;"",IF(INDEX(Raw_D3!$P$2:$P$1001,$AR592)="","",INDEX(Raw_D3!$P$2:$P$1001,$AR592)),"")))</f>
        <v>79</v>
      </c>
      <c r="Q592" s="5" t="str">
        <f>IF($A592="","",IF(AND($AP592&lt;&gt;"",$AQ592&lt;&gt;""),"D1+D2",IF($AR592&lt;&gt;"","D3","Incomplete")))</f>
        <v>D1+D2</v>
      </c>
      <c r="R592" s="17">
        <f>IF($A592="","",IF($K592="",IF($J592="","",ROUND(Lookups!$K$5+Lookups!$K$4*$J592,4)),$K592))</f>
        <v>0.2273</v>
      </c>
      <c r="S592" s="5" t="str">
        <f>IF($A592="","",IF($K592="","Imputed","Original"))</f>
        <v>Original</v>
      </c>
      <c r="T592" s="5" t="str">
        <f>IF($A592="","",IF($P592="","Missing",IF($P592=$N592+$O592,"OK","Mismatch")))</f>
        <v>OK</v>
      </c>
      <c r="U592" s="5" t="str">
        <f>IF($A592="","",IF(COUNTIF($A$2:$A592,$A592)&gt;1,"Duplicate","Unique"))</f>
        <v>Unique</v>
      </c>
      <c r="V592" s="5">
        <f>IF($A592="","",IF(AND($U592="Unique",ISNUMBER($P592)),1,0))</f>
        <v>1</v>
      </c>
      <c r="W592" s="5" t="str">
        <f>IF($A592="","",IF(OR($H592=0,$H592=6),"Weekend","Weekday"))</f>
        <v>Weekday</v>
      </c>
      <c r="X592" s="5" t="str">
        <f>IF($A592="","",TEXT($B592,"ddd"))</f>
        <v>Thu</v>
      </c>
      <c r="Y592" s="5" t="str">
        <f>IF($A592="","",TEXT($B592,"mmm"))</f>
        <v>Jan</v>
      </c>
      <c r="Z592" s="5" t="str">
        <f>IF($A592="","",IFERROR(VLOOKUP($C592,Lookups!$D$4:$E$7,2,FALSE),"Unknown"))</f>
        <v>Winter</v>
      </c>
      <c r="AA592" s="5" t="str">
        <f>IF($A592="","",IFERROR(VLOOKUP($I592,Lookups!$A$4:$B$7,2,FALSE),"Unknown"))</f>
        <v>Clear</v>
      </c>
      <c r="AB592" s="5" t="str">
        <f>IF($A592="","",TEXT($F592,"00")&amp;":00")</f>
        <v>19:00</v>
      </c>
      <c r="AC592" s="5" t="str">
        <f>IF($A592="","",VLOOKUP($F592,Lookups!$G$4:$H$8,2,TRUE))</f>
        <v>Evening Peak (16-19)</v>
      </c>
      <c r="AD592" s="18">
        <f>IF($A592="","",IF($J592="","",ROUND($J592*41,1)))</f>
        <v>8.2</v>
      </c>
      <c r="AE592" s="18">
        <f>IF($A592="","",IF($R592="","",ROUND($R592*50,1)))</f>
        <v>11.4</v>
      </c>
      <c r="AF592" s="5">
        <f>IF($A592="","",IF($L592="","",ROUND($L592*100,0)))</f>
        <v>69</v>
      </c>
      <c r="AG592" s="18">
        <f>IF($A592="","",IF($M592="","",ROUND($M592*67,1)))</f>
        <v>6</v>
      </c>
      <c r="AH592" s="19">
        <f>IF($A592="","",IF($P592="","",IF($P592=0,0,$O592/$P592)))</f>
        <v>0.962025316455696</v>
      </c>
      <c r="AI592" s="5" t="str">
        <f>IF($A592="","",IF($P592="","",IF($P592&gt;=Lookups!$K$7,"High",IF($P592&lt;=Lookups!$K$8,"Low","Medium"))))</f>
        <v>Medium</v>
      </c>
      <c r="AJ592" s="5" t="str">
        <f>IF($A592="","",IF($AD592="","",IF($AD592&lt;5,"Under 5 C",IF($AD592&lt;10,"5-10 C",IF($AD592&lt;15,"10-15 C","15 C and above")))))</f>
        <v>5-10 C</v>
      </c>
      <c r="AK592" s="5">
        <f>IF($A592="","",IF($P592="","",$P592^2))</f>
        <v>6241</v>
      </c>
      <c r="AL592" s="18">
        <f>IF($V592&lt;&gt;1,"",AVERAGEIFS(Clean_Data!$P$2:$P$1001,Clean_Data!$F$2:$F$1001,$F592,Clean_Data!$W$2:$W$1001,$W592,Clean_Data!$V$2:$V$1001,1))</f>
        <v>102.034482758621</v>
      </c>
      <c r="AM592" s="16">
        <f>IF($V592&lt;&gt;1,"",IFERROR(($P592-$AL592)/SQRT(MAX(0,(SUMIFS(Clean_Data!$AK$2:$AK$1001,Clean_Data!$F$2:$F$1001,$F592,Clean_Data!$W$2:$W$1001,$W592,Clean_Data!$V$2:$V$1001,1)-COUNTIFS(Clean_Data!$F$2:$F$1001,$F592,Clean_Data!$W$2:$W$1001,$W592,Clean_Data!$V$2:$V$1001,1)*$AL592^2)/(COUNTIFS(Clean_Data!$F$2:$F$1001,$F592,Clean_Data!$W$2:$W$1001,$W592,Clean_Data!$V$2:$V$1001,1)-1))),""))</f>
        <v>-1.08409503877082</v>
      </c>
      <c r="AN592" s="5" t="str">
        <f>IF($AM592="","",IF($AM592&gt;=Lookups!$K$6,"High spike",IF($AM592&lt;=-Lookups!$K$6,"Unusual low","Normal")))</f>
        <v>Normal</v>
      </c>
      <c r="AO592" s="20">
        <f>IF($V592&lt;&gt;1,"",$P592+ROW()/100000)</f>
        <v>79.00592</v>
      </c>
      <c r="AP592" s="5">
        <f>IF($A592="","",IFERROR(MATCH($A592,Raw_D1!$A$2:$A$1001,0),""))</f>
        <v>591</v>
      </c>
      <c r="AQ592" s="5">
        <f>IF($A592="","",IFERROR(MATCH($A592,Raw_D2!$B$2:$B$1001,0),""))</f>
        <v>591</v>
      </c>
      <c r="AR592" s="5">
        <f>IF($A592="","",IFERROR(MATCH($A592,Raw_D3!$A$2:$A$1001,0),""))</f>
        <v/>
      </c>
    </row>
    <row r="593" spans="1:44" x14ac:dyDescent="0.25">
      <c r="A593" s="5">
        <v>592</v>
      </c>
      <c r="B593" s="11">
        <f>IF($A593="","",IF($AP593&lt;&gt;"",INDEX(Raw_D1!$B$2:$B$1001,$AP593),IF($AR593&lt;&gt;"",INDEX(Raw_D3!$B$2:$B$1001,$AR593),"")))</f>
        <v>40570.0</v>
      </c>
      <c r="C593" s="5">
        <f>IF($A593="","",IF($AP593&lt;&gt;"",INDEX(Raw_D1!$C$2:$C$1001,$AP593),IF($AR593&lt;&gt;"",INDEX(Raw_D3!$C$2:$C$1001,$AR593),"")))</f>
        <v>1</v>
      </c>
      <c r="D593" s="5">
        <f>IF($A593="","",IF($AP593&lt;&gt;"",INDEX(Raw_D1!$D$2:$D$1001,$AP593),IF($AR593&lt;&gt;"",INDEX(Raw_D3!$D$2:$D$1001,$AR593),"")))</f>
        <v>0</v>
      </c>
      <c r="E593" s="5">
        <f>IF($A593="","",IF($AP593&lt;&gt;"",INDEX(Raw_D1!$E$2:$E$1001,$AP593),IF($AR593&lt;&gt;"",INDEX(Raw_D3!$E$2:$E$1001,$AR593),"")))</f>
        <v>1</v>
      </c>
      <c r="F593" s="5">
        <f>IF($A593="","",IF($AP593&lt;&gt;"",INDEX(Raw_D1!$F$2:$F$1001,$AP593),IF($AR593&lt;&gt;"",INDEX(Raw_D3!$F$2:$F$1001,$AR593),"")))</f>
        <v>20</v>
      </c>
      <c r="G593" s="5">
        <f>IF($A593="","",IF($AP593&lt;&gt;"",IF(INDEX(Raw_D1!$G$2:$G$1001,$AP593),1,0),IF($AR593&lt;&gt;"",IF(INDEX(Raw_D3!$G$2:$G$1001,$AR593),1,0),"")))</f>
        <v>0</v>
      </c>
      <c r="H593" s="5">
        <f>IF($A593="","",IF($AP593&lt;&gt;"",INDEX(Raw_D1!$H$2:$H$1001,$AP593),IF($AR593&lt;&gt;"",INDEX(Raw_D3!$H$2:$H$1001,$AR593),"")))</f>
        <v>4</v>
      </c>
      <c r="I593" s="5">
        <f>IF($A593="","",IF($AP593&lt;&gt;"",INDEX(Raw_D1!$I$2:$I$1001,$AP593),IF($AR593&lt;&gt;"",INDEX(Raw_D3!$I$2:$I$1001,$AR593),"")))</f>
        <v>1</v>
      </c>
      <c r="J593" s="16">
        <f>IF($A593="","",IF($AP593&lt;&gt;"",INDEX(Raw_D1!$J$2:$J$1001,$AP593),IF($AR593&lt;&gt;"",INDEX(Raw_D3!$J$2:$J$1001,$AR593),"")))</f>
        <v>0.18</v>
      </c>
      <c r="K593" s="17">
        <f>IF($A593="","",IF($AQ593&lt;&gt;"",IF(INDEX(Raw_D2!$C$2:$C$1001,$AQ593)="","",INDEX(Raw_D2!$C$2:$C$1001,$AQ593)),IF($AR593&lt;&gt;"",IF(INDEX(Raw_D3!$K$2:$K$1001,$AR593)="","",INDEX(Raw_D3!$K$2:$K$1001,$AR593)),"")))</f>
        <v>0.2121</v>
      </c>
      <c r="L593" s="16">
        <f>IF($A593="","",IF($AQ593&lt;&gt;"",IF(INDEX(Raw_D2!$D$2:$D$1001,$AQ593)="","",INDEX(Raw_D2!$D$2:$D$1001,$AQ593)),IF($AR593&lt;&gt;"",IF(INDEX(Raw_D3!$L$2:$L$1001,$AR593)="","",INDEX(Raw_D3!$L$2:$L$1001,$AR593)),"")))</f>
        <v>0.74</v>
      </c>
      <c r="M593" s="17">
        <f>IF($A593="","",IF($AQ593&lt;&gt;"",IF(INDEX(Raw_D2!$E$2:$E$1001,$AQ593)="","",INDEX(Raw_D2!$E$2:$E$1001,$AQ593)),IF($AR593&lt;&gt;"",IF(INDEX(Raw_D3!$M$2:$M$1001,$AR593)="","",INDEX(Raw_D3!$M$2:$M$1001,$AR593)),"")))</f>
        <v>0.0896</v>
      </c>
      <c r="N593" s="5">
        <f>IF($A593="","",IF($AQ593&lt;&gt;"",IF(INDEX(Raw_D2!$F$2:$F$1001,$AQ593)="","",INDEX(Raw_D2!$F$2:$F$1001,$AQ593)),IF($AR593&lt;&gt;"",IF(INDEX(Raw_D3!$N$2:$N$1001,$AR593)="","",INDEX(Raw_D3!$N$2:$N$1001,$AR593)),"")))</f>
        <v>4</v>
      </c>
      <c r="O593" s="5">
        <f>IF($A593="","",IF($AQ593&lt;&gt;"",IF(INDEX(Raw_D2!$G$2:$G$1001,$AQ593)="","",INDEX(Raw_D2!$G$2:$G$1001,$AQ593)),IF($AR593&lt;&gt;"",IF(INDEX(Raw_D3!$O$2:$O$1001,$AR593)="","",INDEX(Raw_D3!$O$2:$O$1001,$AR593)),"")))</f>
        <v>55</v>
      </c>
      <c r="P593" s="5">
        <f>IF($A593="","",IF($AQ593&lt;&gt;"",IF(INDEX(Raw_D2!$H$2:$H$1001,$AQ593)="","",INDEX(Raw_D2!$H$2:$H$1001,$AQ593)),IF($AR593&lt;&gt;"",IF(INDEX(Raw_D3!$P$2:$P$1001,$AR593)="","",INDEX(Raw_D3!$P$2:$P$1001,$AR593)),"")))</f>
        <v>59</v>
      </c>
      <c r="Q593" s="5" t="str">
        <f>IF($A593="","",IF(AND($AP593&lt;&gt;"",$AQ593&lt;&gt;""),"D1+D2",IF($AR593&lt;&gt;"","D3","Incomplete")))</f>
        <v>D1+D2</v>
      </c>
      <c r="R593" s="17">
        <f>IF($A593="","",IF($K593="",IF($J593="","",ROUND(Lookups!$K$5+Lookups!$K$4*$J593,4)),$K593))</f>
        <v>0.2121</v>
      </c>
      <c r="S593" s="5" t="str">
        <f>IF($A593="","",IF($K593="","Imputed","Original"))</f>
        <v>Original</v>
      </c>
      <c r="T593" s="5" t="str">
        <f>IF($A593="","",IF($P593="","Missing",IF($P593=$N593+$O593,"OK","Mismatch")))</f>
        <v>OK</v>
      </c>
      <c r="U593" s="5" t="str">
        <f>IF($A593="","",IF(COUNTIF($A$2:$A593,$A593)&gt;1,"Duplicate","Unique"))</f>
        <v>Unique</v>
      </c>
      <c r="V593" s="5">
        <f>IF($A593="","",IF(AND($U593="Unique",ISNUMBER($P593)),1,0))</f>
        <v>1</v>
      </c>
      <c r="W593" s="5" t="str">
        <f>IF($A593="","",IF(OR($H593=0,$H593=6),"Weekend","Weekday"))</f>
        <v>Weekday</v>
      </c>
      <c r="X593" s="5" t="str">
        <f>IF($A593="","",TEXT($B593,"ddd"))</f>
        <v>Thu</v>
      </c>
      <c r="Y593" s="5" t="str">
        <f>IF($A593="","",TEXT($B593,"mmm"))</f>
        <v>Jan</v>
      </c>
      <c r="Z593" s="5" t="str">
        <f>IF($A593="","",IFERROR(VLOOKUP($C593,Lookups!$D$4:$E$7,2,FALSE),"Unknown"))</f>
        <v>Winter</v>
      </c>
      <c r="AA593" s="5" t="str">
        <f>IF($A593="","",IFERROR(VLOOKUP($I593,Lookups!$A$4:$B$7,2,FALSE),"Unknown"))</f>
        <v>Clear</v>
      </c>
      <c r="AB593" s="5" t="str">
        <f>IF($A593="","",TEXT($F593,"00")&amp;":00")</f>
        <v>20:00</v>
      </c>
      <c r="AC593" s="5" t="str">
        <f>IF($A593="","",VLOOKUP($F593,Lookups!$G$4:$H$8,2,TRUE))</f>
        <v>Late Evening (20-23)</v>
      </c>
      <c r="AD593" s="18">
        <f>IF($A593="","",IF($J593="","",ROUND($J593*41,1)))</f>
        <v>7.4</v>
      </c>
      <c r="AE593" s="18">
        <f>IF($A593="","",IF($R593="","",ROUND($R593*50,1)))</f>
        <v>10.6</v>
      </c>
      <c r="AF593" s="5">
        <f>IF($A593="","",IF($L593="","",ROUND($L593*100,0)))</f>
        <v>74</v>
      </c>
      <c r="AG593" s="18">
        <f>IF($A593="","",IF($M593="","",ROUND($M593*67,1)))</f>
        <v>6</v>
      </c>
      <c r="AH593" s="19">
        <f>IF($A593="","",IF($P593="","",IF($P593=0,0,$O593/$P593)))</f>
        <v>0.932203389830508</v>
      </c>
      <c r="AI593" s="5" t="str">
        <f>IF($A593="","",IF($P593="","",IF($P593&gt;=Lookups!$K$7,"High",IF($P593&lt;=Lookups!$K$8,"Low","Medium"))))</f>
        <v>Medium</v>
      </c>
      <c r="AJ593" s="5" t="str">
        <f>IF($A593="","",IF($AD593="","",IF($AD593&lt;5,"Under 5 C",IF($AD593&lt;10,"5-10 C",IF($AD593&lt;15,"10-15 C","15 C and above")))))</f>
        <v>5-10 C</v>
      </c>
      <c r="AK593" s="5">
        <f>IF($A593="","",IF($P593="","",$P593^2))</f>
        <v>3481</v>
      </c>
      <c r="AL593" s="18">
        <f>IF($V593&lt;&gt;1,"",AVERAGEIFS(Clean_Data!$P$2:$P$1001,Clean_Data!$F$2:$F$1001,$F593,Clean_Data!$W$2:$W$1001,$W593,Clean_Data!$V$2:$V$1001,1))</f>
        <v>72.2758620689655</v>
      </c>
      <c r="AM593" s="16">
        <f>IF($V593&lt;&gt;1,"",IFERROR(($P593-$AL593)/SQRT(MAX(0,(SUMIFS(Clean_Data!$AK$2:$AK$1001,Clean_Data!$F$2:$F$1001,$F593,Clean_Data!$W$2:$W$1001,$W593,Clean_Data!$V$2:$V$1001,1)-COUNTIFS(Clean_Data!$F$2:$F$1001,$F593,Clean_Data!$W$2:$W$1001,$W593,Clean_Data!$V$2:$V$1001,1)*$AL593^2)/(COUNTIFS(Clean_Data!$F$2:$F$1001,$F593,Clean_Data!$W$2:$W$1001,$W593,Clean_Data!$V$2:$V$1001,1)-1))),""))</f>
        <v>-0.6007108640057</v>
      </c>
      <c r="AN593" s="5" t="str">
        <f>IF($AM593="","",IF($AM593&gt;=Lookups!$K$6,"High spike",IF($AM593&lt;=-Lookups!$K$6,"Unusual low","Normal")))</f>
        <v>Normal</v>
      </c>
      <c r="AO593" s="20">
        <f>IF($V593&lt;&gt;1,"",$P593+ROW()/100000)</f>
        <v>59.00593</v>
      </c>
      <c r="AP593" s="5">
        <f>IF($A593="","",IFERROR(MATCH($A593,Raw_D1!$A$2:$A$1001,0),""))</f>
        <v>592</v>
      </c>
      <c r="AQ593" s="5">
        <f>IF($A593="","",IFERROR(MATCH($A593,Raw_D2!$B$2:$B$1001,0),""))</f>
        <v>592</v>
      </c>
      <c r="AR593" s="5">
        <f>IF($A593="","",IFERROR(MATCH($A593,Raw_D3!$A$2:$A$1001,0),""))</f>
        <v/>
      </c>
    </row>
    <row r="594" spans="1:44" x14ac:dyDescent="0.25">
      <c r="A594" s="5">
        <v>593</v>
      </c>
      <c r="B594" s="11">
        <f>IF($A594="","",IF($AP594&lt;&gt;"",INDEX(Raw_D1!$B$2:$B$1001,$AP594),IF($AR594&lt;&gt;"",INDEX(Raw_D3!$B$2:$B$1001,$AR594),"")))</f>
        <v>40570.0</v>
      </c>
      <c r="C594" s="5">
        <f>IF($A594="","",IF($AP594&lt;&gt;"",INDEX(Raw_D1!$C$2:$C$1001,$AP594),IF($AR594&lt;&gt;"",INDEX(Raw_D3!$C$2:$C$1001,$AR594),"")))</f>
        <v>1</v>
      </c>
      <c r="D594" s="5">
        <f>IF($A594="","",IF($AP594&lt;&gt;"",INDEX(Raw_D1!$D$2:$D$1001,$AP594),IF($AR594&lt;&gt;"",INDEX(Raw_D3!$D$2:$D$1001,$AR594),"")))</f>
        <v>0</v>
      </c>
      <c r="E594" s="5">
        <f>IF($A594="","",IF($AP594&lt;&gt;"",INDEX(Raw_D1!$E$2:$E$1001,$AP594),IF($AR594&lt;&gt;"",INDEX(Raw_D3!$E$2:$E$1001,$AR594),"")))</f>
        <v>1</v>
      </c>
      <c r="F594" s="5">
        <f>IF($A594="","",IF($AP594&lt;&gt;"",INDEX(Raw_D1!$F$2:$F$1001,$AP594),IF($AR594&lt;&gt;"",INDEX(Raw_D3!$F$2:$F$1001,$AR594),"")))</f>
        <v>21</v>
      </c>
      <c r="G594" s="5">
        <f>IF($A594="","",IF($AP594&lt;&gt;"",IF(INDEX(Raw_D1!$G$2:$G$1001,$AP594),1,0),IF($AR594&lt;&gt;"",IF(INDEX(Raw_D3!$G$2:$G$1001,$AR594),1,0),"")))</f>
        <v>0</v>
      </c>
      <c r="H594" s="5">
        <f>IF($A594="","",IF($AP594&lt;&gt;"",INDEX(Raw_D1!$H$2:$H$1001,$AP594),IF($AR594&lt;&gt;"",INDEX(Raw_D3!$H$2:$H$1001,$AR594),"")))</f>
        <v>4</v>
      </c>
      <c r="I594" s="5">
        <f>IF($A594="","",IF($AP594&lt;&gt;"",INDEX(Raw_D1!$I$2:$I$1001,$AP594),IF($AR594&lt;&gt;"",INDEX(Raw_D3!$I$2:$I$1001,$AR594),"")))</f>
        <v>1</v>
      </c>
      <c r="J594" s="16">
        <f>IF($A594="","",IF($AP594&lt;&gt;"",INDEX(Raw_D1!$J$2:$J$1001,$AP594),IF($AR594&lt;&gt;"",INDEX(Raw_D3!$J$2:$J$1001,$AR594),"")))</f>
        <v>0.18</v>
      </c>
      <c r="K594" s="17">
        <f>IF($A594="","",IF($AQ594&lt;&gt;"",IF(INDEX(Raw_D2!$C$2:$C$1001,$AQ594)="","",INDEX(Raw_D2!$C$2:$C$1001,$AQ594)),IF($AR594&lt;&gt;"",IF(INDEX(Raw_D3!$K$2:$K$1001,$AR594)="","",INDEX(Raw_D3!$K$2:$K$1001,$AR594)),"")))</f>
        <v>0.2121</v>
      </c>
      <c r="L594" s="16">
        <f>IF($A594="","",IF($AQ594&lt;&gt;"",IF(INDEX(Raw_D2!$D$2:$D$1001,$AQ594)="","",INDEX(Raw_D2!$D$2:$D$1001,$AQ594)),IF($AR594&lt;&gt;"",IF(INDEX(Raw_D3!$L$2:$L$1001,$AR594)="","",INDEX(Raw_D3!$L$2:$L$1001,$AR594)),"")))</f>
        <v>0.74</v>
      </c>
      <c r="M594" s="17">
        <f>IF($A594="","",IF($AQ594&lt;&gt;"",IF(INDEX(Raw_D2!$E$2:$E$1001,$AQ594)="","",INDEX(Raw_D2!$E$2:$E$1001,$AQ594)),IF($AR594&lt;&gt;"",IF(INDEX(Raw_D3!$M$2:$M$1001,$AR594)="","",INDEX(Raw_D3!$M$2:$M$1001,$AR594)),"")))</f>
        <v>0.0896</v>
      </c>
      <c r="N594" s="5">
        <f>IF($A594="","",IF($AQ594&lt;&gt;"",IF(INDEX(Raw_D2!$F$2:$F$1001,$AQ594)="","",INDEX(Raw_D2!$F$2:$F$1001,$AQ594)),IF($AR594&lt;&gt;"",IF(INDEX(Raw_D3!$N$2:$N$1001,$AR594)="","",INDEX(Raw_D3!$N$2:$N$1001,$AR594)),"")))</f>
        <v>2</v>
      </c>
      <c r="O594" s="5">
        <f>IF($A594="","",IF($AQ594&lt;&gt;"",IF(INDEX(Raw_D2!$G$2:$G$1001,$AQ594)="","",INDEX(Raw_D2!$G$2:$G$1001,$AQ594)),IF($AR594&lt;&gt;"",IF(INDEX(Raw_D3!$O$2:$O$1001,$AR594)="","",INDEX(Raw_D3!$O$2:$O$1001,$AR594)),"")))</f>
        <v>36</v>
      </c>
      <c r="P594" s="5">
        <f>IF($A594="","",IF($AQ594&lt;&gt;"",IF(INDEX(Raw_D2!$H$2:$H$1001,$AQ594)="","",INDEX(Raw_D2!$H$2:$H$1001,$AQ594)),IF($AR594&lt;&gt;"",IF(INDEX(Raw_D3!$P$2:$P$1001,$AR594)="","",INDEX(Raw_D3!$P$2:$P$1001,$AR594)),"")))</f>
        <v>38</v>
      </c>
      <c r="Q594" s="5" t="str">
        <f>IF($A594="","",IF(AND($AP594&lt;&gt;"",$AQ594&lt;&gt;""),"D1+D2",IF($AR594&lt;&gt;"","D3","Incomplete")))</f>
        <v>D1+D2</v>
      </c>
      <c r="R594" s="17">
        <f>IF($A594="","",IF($K594="",IF($J594="","",ROUND(Lookups!$K$5+Lookups!$K$4*$J594,4)),$K594))</f>
        <v>0.2121</v>
      </c>
      <c r="S594" s="5" t="str">
        <f>IF($A594="","",IF($K594="","Imputed","Original"))</f>
        <v>Original</v>
      </c>
      <c r="T594" s="5" t="str">
        <f>IF($A594="","",IF($P594="","Missing",IF($P594=$N594+$O594,"OK","Mismatch")))</f>
        <v>OK</v>
      </c>
      <c r="U594" s="5" t="str">
        <f>IF($A594="","",IF(COUNTIF($A$2:$A594,$A594)&gt;1,"Duplicate","Unique"))</f>
        <v>Unique</v>
      </c>
      <c r="V594" s="5">
        <f>IF($A594="","",IF(AND($U594="Unique",ISNUMBER($P594)),1,0))</f>
        <v>1</v>
      </c>
      <c r="W594" s="5" t="str">
        <f>IF($A594="","",IF(OR($H594=0,$H594=6),"Weekend","Weekday"))</f>
        <v>Weekday</v>
      </c>
      <c r="X594" s="5" t="str">
        <f>IF($A594="","",TEXT($B594,"ddd"))</f>
        <v>Thu</v>
      </c>
      <c r="Y594" s="5" t="str">
        <f>IF($A594="","",TEXT($B594,"mmm"))</f>
        <v>Jan</v>
      </c>
      <c r="Z594" s="5" t="str">
        <f>IF($A594="","",IFERROR(VLOOKUP($C594,Lookups!$D$4:$E$7,2,FALSE),"Unknown"))</f>
        <v>Winter</v>
      </c>
      <c r="AA594" s="5" t="str">
        <f>IF($A594="","",IFERROR(VLOOKUP($I594,Lookups!$A$4:$B$7,2,FALSE),"Unknown"))</f>
        <v>Clear</v>
      </c>
      <c r="AB594" s="5" t="str">
        <f>IF($A594="","",TEXT($F594,"00")&amp;":00")</f>
        <v>21:00</v>
      </c>
      <c r="AC594" s="5" t="str">
        <f>IF($A594="","",VLOOKUP($F594,Lookups!$G$4:$H$8,2,TRUE))</f>
        <v>Late Evening (20-23)</v>
      </c>
      <c r="AD594" s="18">
        <f>IF($A594="","",IF($J594="","",ROUND($J594*41,1)))</f>
        <v>7.4</v>
      </c>
      <c r="AE594" s="18">
        <f>IF($A594="","",IF($R594="","",ROUND($R594*50,1)))</f>
        <v>10.6</v>
      </c>
      <c r="AF594" s="5">
        <f>IF($A594="","",IF($L594="","",ROUND($L594*100,0)))</f>
        <v>74</v>
      </c>
      <c r="AG594" s="18">
        <f>IF($A594="","",IF($M594="","",ROUND($M594*67,1)))</f>
        <v>6</v>
      </c>
      <c r="AH594" s="19">
        <f>IF($A594="","",IF($P594="","",IF($P594=0,0,$O594/$P594)))</f>
        <v>0.947368421052632</v>
      </c>
      <c r="AI594" s="5" t="str">
        <f>IF($A594="","",IF($P594="","",IF($P594&gt;=Lookups!$K$7,"High",IF($P594&lt;=Lookups!$K$8,"Low","Medium"))))</f>
        <v>Medium</v>
      </c>
      <c r="AJ594" s="5" t="str">
        <f>IF($A594="","",IF($AD594="","",IF($AD594&lt;5,"Under 5 C",IF($AD594&lt;10,"5-10 C",IF($AD594&lt;15,"10-15 C","15 C and above")))))</f>
        <v>5-10 C</v>
      </c>
      <c r="AK594" s="5">
        <f>IF($A594="","",IF($P594="","",$P594^2))</f>
        <v>1444</v>
      </c>
      <c r="AL594" s="18">
        <f>IF($V594&lt;&gt;1,"",AVERAGEIFS(Clean_Data!$P$2:$P$1001,Clean_Data!$F$2:$F$1001,$F594,Clean_Data!$W$2:$W$1001,$W594,Clean_Data!$V$2:$V$1001,1))</f>
        <v>50.8965517241379</v>
      </c>
      <c r="AM594" s="16">
        <f>IF($V594&lt;&gt;1,"",IFERROR(($P594-$AL594)/SQRT(MAX(0,(SUMIFS(Clean_Data!$AK$2:$AK$1001,Clean_Data!$F$2:$F$1001,$F594,Clean_Data!$W$2:$W$1001,$W594,Clean_Data!$V$2:$V$1001,1)-COUNTIFS(Clean_Data!$F$2:$F$1001,$F594,Clean_Data!$W$2:$W$1001,$W594,Clean_Data!$V$2:$V$1001,1)*$AL594^2)/(COUNTIFS(Clean_Data!$F$2:$F$1001,$F594,Clean_Data!$W$2:$W$1001,$W594,Clean_Data!$V$2:$V$1001,1)-1))),""))</f>
        <v>-0.933975066092061</v>
      </c>
      <c r="AN594" s="5" t="str">
        <f>IF($AM594="","",IF($AM594&gt;=Lookups!$K$6,"High spike",IF($AM594&lt;=-Lookups!$K$6,"Unusual low","Normal")))</f>
        <v>Normal</v>
      </c>
      <c r="AO594" s="20">
        <f>IF($V594&lt;&gt;1,"",$P594+ROW()/100000)</f>
        <v>38.00594</v>
      </c>
      <c r="AP594" s="5">
        <f>IF($A594="","",IFERROR(MATCH($A594,Raw_D1!$A$2:$A$1001,0),""))</f>
        <v>593</v>
      </c>
      <c r="AQ594" s="5">
        <f>IF($A594="","",IFERROR(MATCH($A594,Raw_D2!$B$2:$B$1001,0),""))</f>
        <v>593</v>
      </c>
      <c r="AR594" s="5">
        <f>IF($A594="","",IFERROR(MATCH($A594,Raw_D3!$A$2:$A$1001,0),""))</f>
        <v/>
      </c>
    </row>
    <row r="595" spans="1:44" x14ac:dyDescent="0.25">
      <c r="A595" s="5">
        <v>594</v>
      </c>
      <c r="B595" s="11">
        <f>IF($A595="","",IF($AP595&lt;&gt;"",INDEX(Raw_D1!$B$2:$B$1001,$AP595),IF($AR595&lt;&gt;"",INDEX(Raw_D3!$B$2:$B$1001,$AR595),"")))</f>
        <v>40570.0</v>
      </c>
      <c r="C595" s="5">
        <f>IF($A595="","",IF($AP595&lt;&gt;"",INDEX(Raw_D1!$C$2:$C$1001,$AP595),IF($AR595&lt;&gt;"",INDEX(Raw_D3!$C$2:$C$1001,$AR595),"")))</f>
        <v>1</v>
      </c>
      <c r="D595" s="5">
        <f>IF($A595="","",IF($AP595&lt;&gt;"",INDEX(Raw_D1!$D$2:$D$1001,$AP595),IF($AR595&lt;&gt;"",INDEX(Raw_D3!$D$2:$D$1001,$AR595),"")))</f>
        <v>0</v>
      </c>
      <c r="E595" s="5">
        <f>IF($A595="","",IF($AP595&lt;&gt;"",INDEX(Raw_D1!$E$2:$E$1001,$AP595),IF($AR595&lt;&gt;"",INDEX(Raw_D3!$E$2:$E$1001,$AR595),"")))</f>
        <v>1</v>
      </c>
      <c r="F595" s="5">
        <f>IF($A595="","",IF($AP595&lt;&gt;"",INDEX(Raw_D1!$F$2:$F$1001,$AP595),IF($AR595&lt;&gt;"",INDEX(Raw_D3!$F$2:$F$1001,$AR595),"")))</f>
        <v>22</v>
      </c>
      <c r="G595" s="5">
        <f>IF($A595="","",IF($AP595&lt;&gt;"",IF(INDEX(Raw_D1!$G$2:$G$1001,$AP595),1,0),IF($AR595&lt;&gt;"",IF(INDEX(Raw_D3!$G$2:$G$1001,$AR595),1,0),"")))</f>
        <v>0</v>
      </c>
      <c r="H595" s="5">
        <f>IF($A595="","",IF($AP595&lt;&gt;"",INDEX(Raw_D1!$H$2:$H$1001,$AP595),IF($AR595&lt;&gt;"",INDEX(Raw_D3!$H$2:$H$1001,$AR595),"")))</f>
        <v>4</v>
      </c>
      <c r="I595" s="5">
        <f>IF($A595="","",IF($AP595&lt;&gt;"",INDEX(Raw_D1!$I$2:$I$1001,$AP595),IF($AR595&lt;&gt;"",INDEX(Raw_D3!$I$2:$I$1001,$AR595),"")))</f>
        <v>1</v>
      </c>
      <c r="J595" s="16">
        <f>IF($A595="","",IF($AP595&lt;&gt;"",INDEX(Raw_D1!$J$2:$J$1001,$AP595),IF($AR595&lt;&gt;"",INDEX(Raw_D3!$J$2:$J$1001,$AR595),"")))</f>
        <v>0.18</v>
      </c>
      <c r="K595" s="17">
        <f>IF($A595="","",IF($AQ595&lt;&gt;"",IF(INDEX(Raw_D2!$C$2:$C$1001,$AQ595)="","",INDEX(Raw_D2!$C$2:$C$1001,$AQ595)),IF($AR595&lt;&gt;"",IF(INDEX(Raw_D3!$K$2:$K$1001,$AR595)="","",INDEX(Raw_D3!$K$2:$K$1001,$AR595)),"")))</f>
        <v>0.2121</v>
      </c>
      <c r="L595" s="16">
        <f>IF($A595="","",IF($AQ595&lt;&gt;"",IF(INDEX(Raw_D2!$D$2:$D$1001,$AQ595)="","",INDEX(Raw_D2!$D$2:$D$1001,$AQ595)),IF($AR595&lt;&gt;"",IF(INDEX(Raw_D3!$L$2:$L$1001,$AR595)="","",INDEX(Raw_D3!$L$2:$L$1001,$AR595)),"")))</f>
        <v>0.74</v>
      </c>
      <c r="M595" s="17">
        <f>IF($A595="","",IF($AQ595&lt;&gt;"",IF(INDEX(Raw_D2!$E$2:$E$1001,$AQ595)="","",INDEX(Raw_D2!$E$2:$E$1001,$AQ595)),IF($AR595&lt;&gt;"",IF(INDEX(Raw_D3!$M$2:$M$1001,$AR595)="","",INDEX(Raw_D3!$M$2:$M$1001,$AR595)),"")))</f>
        <v>0.0896</v>
      </c>
      <c r="N595" s="5">
        <f>IF($A595="","",IF($AQ595&lt;&gt;"",IF(INDEX(Raw_D2!$F$2:$F$1001,$AQ595)="","",INDEX(Raw_D2!$F$2:$F$1001,$AQ595)),IF($AR595&lt;&gt;"",IF(INDEX(Raw_D3!$N$2:$N$1001,$AR595)="","",INDEX(Raw_D3!$N$2:$N$1001,$AR595)),"")))</f>
        <v>0</v>
      </c>
      <c r="O595" s="5">
        <f>IF($A595="","",IF($AQ595&lt;&gt;"",IF(INDEX(Raw_D2!$G$2:$G$1001,$AQ595)="","",INDEX(Raw_D2!$G$2:$G$1001,$AQ595)),IF($AR595&lt;&gt;"",IF(INDEX(Raw_D3!$O$2:$O$1001,$AR595)="","",INDEX(Raw_D3!$O$2:$O$1001,$AR595)),"")))</f>
        <v>27</v>
      </c>
      <c r="P595" s="5">
        <f>IF($A595="","",IF($AQ595&lt;&gt;"",IF(INDEX(Raw_D2!$H$2:$H$1001,$AQ595)="","",INDEX(Raw_D2!$H$2:$H$1001,$AQ595)),IF($AR595&lt;&gt;"",IF(INDEX(Raw_D3!$P$2:$P$1001,$AR595)="","",INDEX(Raw_D3!$P$2:$P$1001,$AR595)),"")))</f>
        <v>27</v>
      </c>
      <c r="Q595" s="5" t="str">
        <f>IF($A595="","",IF(AND($AP595&lt;&gt;"",$AQ595&lt;&gt;""),"D1+D2",IF($AR595&lt;&gt;"","D3","Incomplete")))</f>
        <v>D1+D2</v>
      </c>
      <c r="R595" s="17">
        <f>IF($A595="","",IF($K595="",IF($J595="","",ROUND(Lookups!$K$5+Lookups!$K$4*$J595,4)),$K595))</f>
        <v>0.2121</v>
      </c>
      <c r="S595" s="5" t="str">
        <f>IF($A595="","",IF($K595="","Imputed","Original"))</f>
        <v>Original</v>
      </c>
      <c r="T595" s="5" t="str">
        <f>IF($A595="","",IF($P595="","Missing",IF($P595=$N595+$O595,"OK","Mismatch")))</f>
        <v>OK</v>
      </c>
      <c r="U595" s="5" t="str">
        <f>IF($A595="","",IF(COUNTIF($A$2:$A595,$A595)&gt;1,"Duplicate","Unique"))</f>
        <v>Unique</v>
      </c>
      <c r="V595" s="5">
        <f>IF($A595="","",IF(AND($U595="Unique",ISNUMBER($P595)),1,0))</f>
        <v>1</v>
      </c>
      <c r="W595" s="5" t="str">
        <f>IF($A595="","",IF(OR($H595=0,$H595=6),"Weekend","Weekday"))</f>
        <v>Weekday</v>
      </c>
      <c r="X595" s="5" t="str">
        <f>IF($A595="","",TEXT($B595,"ddd"))</f>
        <v>Thu</v>
      </c>
      <c r="Y595" s="5" t="str">
        <f>IF($A595="","",TEXT($B595,"mmm"))</f>
        <v>Jan</v>
      </c>
      <c r="Z595" s="5" t="str">
        <f>IF($A595="","",IFERROR(VLOOKUP($C595,Lookups!$D$4:$E$7,2,FALSE),"Unknown"))</f>
        <v>Winter</v>
      </c>
      <c r="AA595" s="5" t="str">
        <f>IF($A595="","",IFERROR(VLOOKUP($I595,Lookups!$A$4:$B$7,2,FALSE),"Unknown"))</f>
        <v>Clear</v>
      </c>
      <c r="AB595" s="5" t="str">
        <f>IF($A595="","",TEXT($F595,"00")&amp;":00")</f>
        <v>22:00</v>
      </c>
      <c r="AC595" s="5" t="str">
        <f>IF($A595="","",VLOOKUP($F595,Lookups!$G$4:$H$8,2,TRUE))</f>
        <v>Late Evening (20-23)</v>
      </c>
      <c r="AD595" s="18">
        <f>IF($A595="","",IF($J595="","",ROUND($J595*41,1)))</f>
        <v>7.4</v>
      </c>
      <c r="AE595" s="18">
        <f>IF($A595="","",IF($R595="","",ROUND($R595*50,1)))</f>
        <v>10.6</v>
      </c>
      <c r="AF595" s="5">
        <f>IF($A595="","",IF($L595="","",ROUND($L595*100,0)))</f>
        <v>74</v>
      </c>
      <c r="AG595" s="18">
        <f>IF($A595="","",IF($M595="","",ROUND($M595*67,1)))</f>
        <v>6</v>
      </c>
      <c r="AH595" s="19">
        <f>IF($A595="","",IF($P595="","",IF($P595=0,0,$O595/$P595)))</f>
        <v>1</v>
      </c>
      <c r="AI595" s="5" t="str">
        <f>IF($A595="","",IF($P595="","",IF($P595&gt;=Lookups!$K$7,"High",IF($P595&lt;=Lookups!$K$8,"Low","Medium"))))</f>
        <v>Medium</v>
      </c>
      <c r="AJ595" s="5" t="str">
        <f>IF($A595="","",IF($AD595="","",IF($AD595&lt;5,"Under 5 C",IF($AD595&lt;10,"5-10 C",IF($AD595&lt;15,"10-15 C","15 C and above")))))</f>
        <v>5-10 C</v>
      </c>
      <c r="AK595" s="5">
        <f>IF($A595="","",IF($P595="","",$P595^2))</f>
        <v>729</v>
      </c>
      <c r="AL595" s="18">
        <f>IF($V595&lt;&gt;1,"",AVERAGEIFS(Clean_Data!$P$2:$P$1001,Clean_Data!$F$2:$F$1001,$F595,Clean_Data!$W$2:$W$1001,$W595,Clean_Data!$V$2:$V$1001,1))</f>
        <v>37.1034482758621</v>
      </c>
      <c r="AM595" s="16">
        <f>IF($V595&lt;&gt;1,"",IFERROR(($P595-$AL595)/SQRT(MAX(0,(SUMIFS(Clean_Data!$AK$2:$AK$1001,Clean_Data!$F$2:$F$1001,$F595,Clean_Data!$W$2:$W$1001,$W595,Clean_Data!$V$2:$V$1001,1)-COUNTIFS(Clean_Data!$F$2:$F$1001,$F595,Clean_Data!$W$2:$W$1001,$W595,Clean_Data!$V$2:$V$1001,1)*$AL595^2)/(COUNTIFS(Clean_Data!$F$2:$F$1001,$F595,Clean_Data!$W$2:$W$1001,$W595,Clean_Data!$V$2:$V$1001,1)-1))),""))</f>
        <v>-0.93596747056411</v>
      </c>
      <c r="AN595" s="5" t="str">
        <f>IF($AM595="","",IF($AM595&gt;=Lookups!$K$6,"High spike",IF($AM595&lt;=-Lookups!$K$6,"Unusual low","Normal")))</f>
        <v>Normal</v>
      </c>
      <c r="AO595" s="20">
        <f>IF($V595&lt;&gt;1,"",$P595+ROW()/100000)</f>
        <v>27.00595</v>
      </c>
      <c r="AP595" s="5">
        <f>IF($A595="","",IFERROR(MATCH($A595,Raw_D1!$A$2:$A$1001,0),""))</f>
        <v>594</v>
      </c>
      <c r="AQ595" s="5">
        <f>IF($A595="","",IFERROR(MATCH($A595,Raw_D2!$B$2:$B$1001,0),""))</f>
        <v>594</v>
      </c>
      <c r="AR595" s="5">
        <f>IF($A595="","",IFERROR(MATCH($A595,Raw_D3!$A$2:$A$1001,0),""))</f>
        <v/>
      </c>
    </row>
    <row r="596" spans="1:44" x14ac:dyDescent="0.25">
      <c r="A596" s="5">
        <v>595</v>
      </c>
      <c r="B596" s="11">
        <f>IF($A596="","",IF($AP596&lt;&gt;"",INDEX(Raw_D1!$B$2:$B$1001,$AP596),IF($AR596&lt;&gt;"",INDEX(Raw_D3!$B$2:$B$1001,$AR596),"")))</f>
        <v>40570.0</v>
      </c>
      <c r="C596" s="5">
        <f>IF($A596="","",IF($AP596&lt;&gt;"",INDEX(Raw_D1!$C$2:$C$1001,$AP596),IF($AR596&lt;&gt;"",INDEX(Raw_D3!$C$2:$C$1001,$AR596),"")))</f>
        <v>1</v>
      </c>
      <c r="D596" s="5">
        <f>IF($A596="","",IF($AP596&lt;&gt;"",INDEX(Raw_D1!$D$2:$D$1001,$AP596),IF($AR596&lt;&gt;"",INDEX(Raw_D3!$D$2:$D$1001,$AR596),"")))</f>
        <v>0</v>
      </c>
      <c r="E596" s="5">
        <f>IF($A596="","",IF($AP596&lt;&gt;"",INDEX(Raw_D1!$E$2:$E$1001,$AP596),IF($AR596&lt;&gt;"",INDEX(Raw_D3!$E$2:$E$1001,$AR596),"")))</f>
        <v>1</v>
      </c>
      <c r="F596" s="5">
        <f>IF($A596="","",IF($AP596&lt;&gt;"",INDEX(Raw_D1!$F$2:$F$1001,$AP596),IF($AR596&lt;&gt;"",INDEX(Raw_D3!$F$2:$F$1001,$AR596),"")))</f>
        <v>23</v>
      </c>
      <c r="G596" s="5">
        <f>IF($A596="","",IF($AP596&lt;&gt;"",IF(INDEX(Raw_D1!$G$2:$G$1001,$AP596),1,0),IF($AR596&lt;&gt;"",IF(INDEX(Raw_D3!$G$2:$G$1001,$AR596),1,0),"")))</f>
        <v>0</v>
      </c>
      <c r="H596" s="5">
        <f>IF($A596="","",IF($AP596&lt;&gt;"",INDEX(Raw_D1!$H$2:$H$1001,$AP596),IF($AR596&lt;&gt;"",INDEX(Raw_D3!$H$2:$H$1001,$AR596),"")))</f>
        <v>4</v>
      </c>
      <c r="I596" s="5">
        <f>IF($A596="","",IF($AP596&lt;&gt;"",INDEX(Raw_D1!$I$2:$I$1001,$AP596),IF($AR596&lt;&gt;"",INDEX(Raw_D3!$I$2:$I$1001,$AR596),"")))</f>
        <v>1</v>
      </c>
      <c r="J596" s="16">
        <f>IF($A596="","",IF($AP596&lt;&gt;"",INDEX(Raw_D1!$J$2:$J$1001,$AP596),IF($AR596&lt;&gt;"",INDEX(Raw_D3!$J$2:$J$1001,$AR596),"")))</f>
        <v>0.18</v>
      </c>
      <c r="K596" s="17">
        <f>IF($A596="","",IF($AQ596&lt;&gt;"",IF(INDEX(Raw_D2!$C$2:$C$1001,$AQ596)="","",INDEX(Raw_D2!$C$2:$C$1001,$AQ596)),IF($AR596&lt;&gt;"",IF(INDEX(Raw_D3!$K$2:$K$1001,$AR596)="","",INDEX(Raw_D3!$K$2:$K$1001,$AR596)),"")))</f>
        <v>0.197</v>
      </c>
      <c r="L596" s="16">
        <f>IF($A596="","",IF($AQ596&lt;&gt;"",IF(INDEX(Raw_D2!$D$2:$D$1001,$AQ596)="","",INDEX(Raw_D2!$D$2:$D$1001,$AQ596)),IF($AR596&lt;&gt;"",IF(INDEX(Raw_D3!$L$2:$L$1001,$AR596)="","",INDEX(Raw_D3!$L$2:$L$1001,$AR596)),"")))</f>
        <v>0.8</v>
      </c>
      <c r="M596" s="17">
        <f>IF($A596="","",IF($AQ596&lt;&gt;"",IF(INDEX(Raw_D2!$E$2:$E$1001,$AQ596)="","",INDEX(Raw_D2!$E$2:$E$1001,$AQ596)),IF($AR596&lt;&gt;"",IF(INDEX(Raw_D3!$M$2:$M$1001,$AR596)="","",INDEX(Raw_D3!$M$2:$M$1001,$AR596)),"")))</f>
        <v>0.1642</v>
      </c>
      <c r="N596" s="5">
        <f>IF($A596="","",IF($AQ596&lt;&gt;"",IF(INDEX(Raw_D2!$F$2:$F$1001,$AQ596)="","",INDEX(Raw_D2!$F$2:$F$1001,$AQ596)),IF($AR596&lt;&gt;"",IF(INDEX(Raw_D3!$N$2:$N$1001,$AR596)="","",INDEX(Raw_D3!$N$2:$N$1001,$AR596)),"")))</f>
        <v>0</v>
      </c>
      <c r="O596" s="5">
        <f>IF($A596="","",IF($AQ596&lt;&gt;"",IF(INDEX(Raw_D2!$G$2:$G$1001,$AQ596)="","",INDEX(Raw_D2!$G$2:$G$1001,$AQ596)),IF($AR596&lt;&gt;"",IF(INDEX(Raw_D3!$O$2:$O$1001,$AR596)="","",INDEX(Raw_D3!$O$2:$O$1001,$AR596)),"")))</f>
        <v>16</v>
      </c>
      <c r="P596" s="5">
        <f>IF($A596="","",IF($AQ596&lt;&gt;"",IF(INDEX(Raw_D2!$H$2:$H$1001,$AQ596)="","",INDEX(Raw_D2!$H$2:$H$1001,$AQ596)),IF($AR596&lt;&gt;"",IF(INDEX(Raw_D3!$P$2:$P$1001,$AR596)="","",INDEX(Raw_D3!$P$2:$P$1001,$AR596)),"")))</f>
        <v>16</v>
      </c>
      <c r="Q596" s="5" t="str">
        <f>IF($A596="","",IF(AND($AP596&lt;&gt;"",$AQ596&lt;&gt;""),"D1+D2",IF($AR596&lt;&gt;"","D3","Incomplete")))</f>
        <v>D1+D2</v>
      </c>
      <c r="R596" s="17">
        <f>IF($A596="","",IF($K596="",IF($J596="","",ROUND(Lookups!$K$5+Lookups!$K$4*$J596,4)),$K596))</f>
        <v>0.197</v>
      </c>
      <c r="S596" s="5" t="str">
        <f>IF($A596="","",IF($K596="","Imputed","Original"))</f>
        <v>Original</v>
      </c>
      <c r="T596" s="5" t="str">
        <f>IF($A596="","",IF($P596="","Missing",IF($P596=$N596+$O596,"OK","Mismatch")))</f>
        <v>OK</v>
      </c>
      <c r="U596" s="5" t="str">
        <f>IF($A596="","",IF(COUNTIF($A$2:$A596,$A596)&gt;1,"Duplicate","Unique"))</f>
        <v>Unique</v>
      </c>
      <c r="V596" s="5">
        <f>IF($A596="","",IF(AND($U596="Unique",ISNUMBER($P596)),1,0))</f>
        <v>1</v>
      </c>
      <c r="W596" s="5" t="str">
        <f>IF($A596="","",IF(OR($H596=0,$H596=6),"Weekend","Weekday"))</f>
        <v>Weekday</v>
      </c>
      <c r="X596" s="5" t="str">
        <f>IF($A596="","",TEXT($B596,"ddd"))</f>
        <v>Thu</v>
      </c>
      <c r="Y596" s="5" t="str">
        <f>IF($A596="","",TEXT($B596,"mmm"))</f>
        <v>Jan</v>
      </c>
      <c r="Z596" s="5" t="str">
        <f>IF($A596="","",IFERROR(VLOOKUP($C596,Lookups!$D$4:$E$7,2,FALSE),"Unknown"))</f>
        <v>Winter</v>
      </c>
      <c r="AA596" s="5" t="str">
        <f>IF($A596="","",IFERROR(VLOOKUP($I596,Lookups!$A$4:$B$7,2,FALSE),"Unknown"))</f>
        <v>Clear</v>
      </c>
      <c r="AB596" s="5" t="str">
        <f>IF($A596="","",TEXT($F596,"00")&amp;":00")</f>
        <v>23:00</v>
      </c>
      <c r="AC596" s="5" t="str">
        <f>IF($A596="","",VLOOKUP($F596,Lookups!$G$4:$H$8,2,TRUE))</f>
        <v>Late Evening (20-23)</v>
      </c>
      <c r="AD596" s="18">
        <f>IF($A596="","",IF($J596="","",ROUND($J596*41,1)))</f>
        <v>7.4</v>
      </c>
      <c r="AE596" s="18">
        <f>IF($A596="","",IF($R596="","",ROUND($R596*50,1)))</f>
        <v>9.9</v>
      </c>
      <c r="AF596" s="5">
        <f>IF($A596="","",IF($L596="","",ROUND($L596*100,0)))</f>
        <v>80</v>
      </c>
      <c r="AG596" s="18">
        <f>IF($A596="","",IF($M596="","",ROUND($M596*67,1)))</f>
        <v>11</v>
      </c>
      <c r="AH596" s="19">
        <f>IF($A596="","",IF($P596="","",IF($P596=0,0,$O596/$P596)))</f>
        <v>1</v>
      </c>
      <c r="AI596" s="5" t="str">
        <f>IF($A596="","",IF($P596="","",IF($P596&gt;=Lookups!$K$7,"High",IF($P596&lt;=Lookups!$K$8,"Low","Medium"))))</f>
        <v>Low</v>
      </c>
      <c r="AJ596" s="5" t="str">
        <f>IF($A596="","",IF($AD596="","",IF($AD596&lt;5,"Under 5 C",IF($AD596&lt;10,"5-10 C",IF($AD596&lt;15,"10-15 C","15 C and above")))))</f>
        <v>5-10 C</v>
      </c>
      <c r="AK596" s="5">
        <f>IF($A596="","",IF($P596="","",$P596^2))</f>
        <v>256</v>
      </c>
      <c r="AL596" s="18">
        <f>IF($V596&lt;&gt;1,"",AVERAGEIFS(Clean_Data!$P$2:$P$1001,Clean_Data!$F$2:$F$1001,$F596,Clean_Data!$W$2:$W$1001,$W596,Clean_Data!$V$2:$V$1001,1))</f>
        <v>23.6896551724138</v>
      </c>
      <c r="AM596" s="16">
        <f>IF($V596&lt;&gt;1,"",IFERROR(($P596-$AL596)/SQRT(MAX(0,(SUMIFS(Clean_Data!$AK$2:$AK$1001,Clean_Data!$F$2:$F$1001,$F596,Clean_Data!$W$2:$W$1001,$W596,Clean_Data!$V$2:$V$1001,1)-COUNTIFS(Clean_Data!$F$2:$F$1001,$F596,Clean_Data!$W$2:$W$1001,$W596,Clean_Data!$V$2:$V$1001,1)*$AL596^2)/(COUNTIFS(Clean_Data!$F$2:$F$1001,$F596,Clean_Data!$W$2:$W$1001,$W596,Clean_Data!$V$2:$V$1001,1)-1))),""))</f>
        <v>-0.734109173266545</v>
      </c>
      <c r="AN596" s="5" t="str">
        <f>IF($AM596="","",IF($AM596&gt;=Lookups!$K$6,"High spike",IF($AM596&lt;=-Lookups!$K$6,"Unusual low","Normal")))</f>
        <v>Normal</v>
      </c>
      <c r="AO596" s="20">
        <f>IF($V596&lt;&gt;1,"",$P596+ROW()/100000)</f>
        <v>16.00596</v>
      </c>
      <c r="AP596" s="5">
        <f>IF($A596="","",IFERROR(MATCH($A596,Raw_D1!$A$2:$A$1001,0),""))</f>
        <v>595</v>
      </c>
      <c r="AQ596" s="5">
        <f>IF($A596="","",IFERROR(MATCH($A596,Raw_D2!$B$2:$B$1001,0),""))</f>
        <v>595</v>
      </c>
      <c r="AR596" s="5">
        <f>IF($A596="","",IFERROR(MATCH($A596,Raw_D3!$A$2:$A$1001,0),""))</f>
        <v/>
      </c>
    </row>
    <row r="597" spans="1:44" x14ac:dyDescent="0.25">
      <c r="A597" s="5">
        <v>596</v>
      </c>
      <c r="B597" s="11">
        <f>IF($A597="","",IF($AP597&lt;&gt;"",INDEX(Raw_D1!$B$2:$B$1001,$AP597),IF($AR597&lt;&gt;"",INDEX(Raw_D3!$B$2:$B$1001,$AR597),"")))</f>
        <v>40571.0</v>
      </c>
      <c r="C597" s="5">
        <f>IF($A597="","",IF($AP597&lt;&gt;"",INDEX(Raw_D1!$C$2:$C$1001,$AP597),IF($AR597&lt;&gt;"",INDEX(Raw_D3!$C$2:$C$1001,$AR597),"")))</f>
        <v>1</v>
      </c>
      <c r="D597" s="5">
        <f>IF($A597="","",IF($AP597&lt;&gt;"",INDEX(Raw_D1!$D$2:$D$1001,$AP597),IF($AR597&lt;&gt;"",INDEX(Raw_D3!$D$2:$D$1001,$AR597),"")))</f>
        <v>0</v>
      </c>
      <c r="E597" s="5">
        <f>IF($A597="","",IF($AP597&lt;&gt;"",INDEX(Raw_D1!$E$2:$E$1001,$AP597),IF($AR597&lt;&gt;"",INDEX(Raw_D3!$E$2:$E$1001,$AR597),"")))</f>
        <v>1</v>
      </c>
      <c r="F597" s="5">
        <f>IF($A597="","",IF($AP597&lt;&gt;"",INDEX(Raw_D1!$F$2:$F$1001,$AP597),IF($AR597&lt;&gt;"",INDEX(Raw_D3!$F$2:$F$1001,$AR597),"")))</f>
        <v>0</v>
      </c>
      <c r="G597" s="5">
        <f>IF($A597="","",IF($AP597&lt;&gt;"",IF(INDEX(Raw_D1!$G$2:$G$1001,$AP597),1,0),IF($AR597&lt;&gt;"",IF(INDEX(Raw_D3!$G$2:$G$1001,$AR597),1,0),"")))</f>
        <v>0</v>
      </c>
      <c r="H597" s="5">
        <f>IF($A597="","",IF($AP597&lt;&gt;"",INDEX(Raw_D1!$H$2:$H$1001,$AP597),IF($AR597&lt;&gt;"",INDEX(Raw_D3!$H$2:$H$1001,$AR597),"")))</f>
        <v>5</v>
      </c>
      <c r="I597" s="5">
        <f>IF($A597="","",IF($AP597&lt;&gt;"",INDEX(Raw_D1!$I$2:$I$1001,$AP597),IF($AR597&lt;&gt;"",INDEX(Raw_D3!$I$2:$I$1001,$AR597),"")))</f>
        <v>2</v>
      </c>
      <c r="J597" s="16">
        <f>IF($A597="","",IF($AP597&lt;&gt;"",INDEX(Raw_D1!$J$2:$J$1001,$AP597),IF($AR597&lt;&gt;"",INDEX(Raw_D3!$J$2:$J$1001,$AR597),"")))</f>
        <v>0.2</v>
      </c>
      <c r="K597" s="17">
        <f>IF($A597="","",IF($AQ597&lt;&gt;"",IF(INDEX(Raw_D2!$C$2:$C$1001,$AQ597)="","",INDEX(Raw_D2!$C$2:$C$1001,$AQ597)),IF($AR597&lt;&gt;"",IF(INDEX(Raw_D3!$K$2:$K$1001,$AR597)="","",INDEX(Raw_D3!$K$2:$K$1001,$AR597)),"")))</f>
        <v>0.2121</v>
      </c>
      <c r="L597" s="16">
        <f>IF($A597="","",IF($AQ597&lt;&gt;"",IF(INDEX(Raw_D2!$D$2:$D$1001,$AQ597)="","",INDEX(Raw_D2!$D$2:$D$1001,$AQ597)),IF($AR597&lt;&gt;"",IF(INDEX(Raw_D3!$L$2:$L$1001,$AR597)="","",INDEX(Raw_D3!$L$2:$L$1001,$AR597)),"")))</f>
        <v>0.75</v>
      </c>
      <c r="M597" s="17">
        <f>IF($A597="","",IF($AQ597&lt;&gt;"",IF(INDEX(Raw_D2!$E$2:$E$1001,$AQ597)="","",INDEX(Raw_D2!$E$2:$E$1001,$AQ597)),IF($AR597&lt;&gt;"",IF(INDEX(Raw_D3!$M$2:$M$1001,$AR597)="","",INDEX(Raw_D3!$M$2:$M$1001,$AR597)),"")))</f>
        <v>0.1343</v>
      </c>
      <c r="N597" s="5">
        <f>IF($A597="","",IF($AQ597&lt;&gt;"",IF(INDEX(Raw_D2!$F$2:$F$1001,$AQ597)="","",INDEX(Raw_D2!$F$2:$F$1001,$AQ597)),IF($AR597&lt;&gt;"",IF(INDEX(Raw_D3!$N$2:$N$1001,$AR597)="","",INDEX(Raw_D3!$N$2:$N$1001,$AR597)),"")))</f>
        <v>0</v>
      </c>
      <c r="O597" s="5">
        <f>IF($A597="","",IF($AQ597&lt;&gt;"",IF(INDEX(Raw_D2!$G$2:$G$1001,$AQ597)="","",INDEX(Raw_D2!$G$2:$G$1001,$AQ597)),IF($AR597&lt;&gt;"",IF(INDEX(Raw_D3!$O$2:$O$1001,$AR597)="","",INDEX(Raw_D3!$O$2:$O$1001,$AR597)),"")))</f>
        <v>9</v>
      </c>
      <c r="P597" s="5">
        <f>IF($A597="","",IF($AQ597&lt;&gt;"",IF(INDEX(Raw_D2!$H$2:$H$1001,$AQ597)="","",INDEX(Raw_D2!$H$2:$H$1001,$AQ597)),IF($AR597&lt;&gt;"",IF(INDEX(Raw_D3!$P$2:$P$1001,$AR597)="","",INDEX(Raw_D3!$P$2:$P$1001,$AR597)),"")))</f>
        <v>9</v>
      </c>
      <c r="Q597" s="5" t="str">
        <f>IF($A597="","",IF(AND($AP597&lt;&gt;"",$AQ597&lt;&gt;""),"D1+D2",IF($AR597&lt;&gt;"","D3","Incomplete")))</f>
        <v>D1+D2</v>
      </c>
      <c r="R597" s="17">
        <f>IF($A597="","",IF($K597="",IF($J597="","",ROUND(Lookups!$K$5+Lookups!$K$4*$J597,4)),$K597))</f>
        <v>0.2121</v>
      </c>
      <c r="S597" s="5" t="str">
        <f>IF($A597="","",IF($K597="","Imputed","Original"))</f>
        <v>Original</v>
      </c>
      <c r="T597" s="5" t="str">
        <f>IF($A597="","",IF($P597="","Missing",IF($P597=$N597+$O597,"OK","Mismatch")))</f>
        <v>OK</v>
      </c>
      <c r="U597" s="5" t="str">
        <f>IF($A597="","",IF(COUNTIF($A$2:$A597,$A597)&gt;1,"Duplicate","Unique"))</f>
        <v>Unique</v>
      </c>
      <c r="V597" s="5">
        <f>IF($A597="","",IF(AND($U597="Unique",ISNUMBER($P597)),1,0))</f>
        <v>1</v>
      </c>
      <c r="W597" s="5" t="str">
        <f>IF($A597="","",IF(OR($H597=0,$H597=6),"Weekend","Weekday"))</f>
        <v>Weekday</v>
      </c>
      <c r="X597" s="5" t="str">
        <f>IF($A597="","",TEXT($B597,"ddd"))</f>
        <v>Fri</v>
      </c>
      <c r="Y597" s="5" t="str">
        <f>IF($A597="","",TEXT($B597,"mmm"))</f>
        <v>Jan</v>
      </c>
      <c r="Z597" s="5" t="str">
        <f>IF($A597="","",IFERROR(VLOOKUP($C597,Lookups!$D$4:$E$7,2,FALSE),"Unknown"))</f>
        <v>Winter</v>
      </c>
      <c r="AA597" s="5" t="str">
        <f>IF($A597="","",IFERROR(VLOOKUP($I597,Lookups!$A$4:$B$7,2,FALSE),"Unknown"))</f>
        <v>Mist/Cloudy</v>
      </c>
      <c r="AB597" s="5" t="str">
        <f>IF($A597="","",TEXT($F597,"00")&amp;":00")</f>
        <v>00:00</v>
      </c>
      <c r="AC597" s="5" t="str">
        <f>IF($A597="","",VLOOKUP($F597,Lookups!$G$4:$H$8,2,TRUE))</f>
        <v>Night (00-05)</v>
      </c>
      <c r="AD597" s="18">
        <f>IF($A597="","",IF($J597="","",ROUND($J597*41,1)))</f>
        <v>8.2</v>
      </c>
      <c r="AE597" s="18">
        <f>IF($A597="","",IF($R597="","",ROUND($R597*50,1)))</f>
        <v>10.6</v>
      </c>
      <c r="AF597" s="5">
        <f>IF($A597="","",IF($L597="","",ROUND($L597*100,0)))</f>
        <v>75</v>
      </c>
      <c r="AG597" s="18">
        <f>IF($A597="","",IF($M597="","",ROUND($M597*67,1)))</f>
        <v>9</v>
      </c>
      <c r="AH597" s="19">
        <f>IF($A597="","",IF($P597="","",IF($P597=0,0,$O597/$P597)))</f>
        <v>1</v>
      </c>
      <c r="AI597" s="5" t="str">
        <f>IF($A597="","",IF($P597="","",IF($P597&gt;=Lookups!$K$7,"High",IF($P597&lt;=Lookups!$K$8,"Low","Medium"))))</f>
        <v>Low</v>
      </c>
      <c r="AJ597" s="5" t="str">
        <f>IF($A597="","",IF($AD597="","",IF($AD597&lt;5,"Under 5 C",IF($AD597&lt;10,"5-10 C",IF($AD597&lt;15,"10-15 C","15 C and above")))))</f>
        <v>5-10 C</v>
      </c>
      <c r="AK597" s="5">
        <f>IF($A597="","",IF($P597="","",$P597^2))</f>
        <v>81</v>
      </c>
      <c r="AL597" s="18">
        <f>IF($V597&lt;&gt;1,"",AVERAGEIFS(Clean_Data!$P$2:$P$1001,Clean_Data!$F$2:$F$1001,$F597,Clean_Data!$W$2:$W$1001,$W597,Clean_Data!$V$2:$V$1001,1))</f>
        <v>10.6896551724138</v>
      </c>
      <c r="AM597" s="16">
        <f>IF($V597&lt;&gt;1,"",IFERROR(($P597-$AL597)/SQRT(MAX(0,(SUMIFS(Clean_Data!$AK$2:$AK$1001,Clean_Data!$F$2:$F$1001,$F597,Clean_Data!$W$2:$W$1001,$W597,Clean_Data!$V$2:$V$1001,1)-COUNTIFS(Clean_Data!$F$2:$F$1001,$F597,Clean_Data!$W$2:$W$1001,$W597,Clean_Data!$V$2:$V$1001,1)*$AL597^2)/(COUNTIFS(Clean_Data!$F$2:$F$1001,$F597,Clean_Data!$W$2:$W$1001,$W597,Clean_Data!$V$2:$V$1001,1)-1))),""))</f>
        <v>-0.34536048978196</v>
      </c>
      <c r="AN597" s="5" t="str">
        <f>IF($AM597="","",IF($AM597&gt;=Lookups!$K$6,"High spike",IF($AM597&lt;=-Lookups!$K$6,"Unusual low","Normal")))</f>
        <v>Normal</v>
      </c>
      <c r="AO597" s="20">
        <f>IF($V597&lt;&gt;1,"",$P597+ROW()/100000)</f>
        <v>9.00597</v>
      </c>
      <c r="AP597" s="5">
        <f>IF($A597="","",IFERROR(MATCH($A597,Raw_D1!$A$2:$A$1001,0),""))</f>
        <v>596</v>
      </c>
      <c r="AQ597" s="5">
        <f>IF($A597="","",IFERROR(MATCH($A597,Raw_D2!$B$2:$B$1001,0),""))</f>
        <v>596</v>
      </c>
      <c r="AR597" s="5">
        <f>IF($A597="","",IFERROR(MATCH($A597,Raw_D3!$A$2:$A$1001,0),""))</f>
        <v/>
      </c>
    </row>
    <row r="598" spans="1:44" x14ac:dyDescent="0.25">
      <c r="A598" s="5">
        <v>597</v>
      </c>
      <c r="B598" s="11">
        <f>IF($A598="","",IF($AP598&lt;&gt;"",INDEX(Raw_D1!$B$2:$B$1001,$AP598),IF($AR598&lt;&gt;"",INDEX(Raw_D3!$B$2:$B$1001,$AR598),"")))</f>
        <v>40571.0</v>
      </c>
      <c r="C598" s="5">
        <f>IF($A598="","",IF($AP598&lt;&gt;"",INDEX(Raw_D1!$C$2:$C$1001,$AP598),IF($AR598&lt;&gt;"",INDEX(Raw_D3!$C$2:$C$1001,$AR598),"")))</f>
        <v>1</v>
      </c>
      <c r="D598" s="5">
        <f>IF($A598="","",IF($AP598&lt;&gt;"",INDEX(Raw_D1!$D$2:$D$1001,$AP598),IF($AR598&lt;&gt;"",INDEX(Raw_D3!$D$2:$D$1001,$AR598),"")))</f>
        <v>0</v>
      </c>
      <c r="E598" s="5">
        <f>IF($A598="","",IF($AP598&lt;&gt;"",INDEX(Raw_D1!$E$2:$E$1001,$AP598),IF($AR598&lt;&gt;"",INDEX(Raw_D3!$E$2:$E$1001,$AR598),"")))</f>
        <v>1</v>
      </c>
      <c r="F598" s="5">
        <f>IF($A598="","",IF($AP598&lt;&gt;"",INDEX(Raw_D1!$F$2:$F$1001,$AP598),IF($AR598&lt;&gt;"",INDEX(Raw_D3!$F$2:$F$1001,$AR598),"")))</f>
        <v>1</v>
      </c>
      <c r="G598" s="5">
        <f>IF($A598="","",IF($AP598&lt;&gt;"",IF(INDEX(Raw_D1!$G$2:$G$1001,$AP598),1,0),IF($AR598&lt;&gt;"",IF(INDEX(Raw_D3!$G$2:$G$1001,$AR598),1,0),"")))</f>
        <v>0</v>
      </c>
      <c r="H598" s="5">
        <f>IF($A598="","",IF($AP598&lt;&gt;"",INDEX(Raw_D1!$H$2:$H$1001,$AP598),IF($AR598&lt;&gt;"",INDEX(Raw_D3!$H$2:$H$1001,$AR598),"")))</f>
        <v>5</v>
      </c>
      <c r="I598" s="5">
        <f>IF($A598="","",IF($AP598&lt;&gt;"",INDEX(Raw_D1!$I$2:$I$1001,$AP598),IF($AR598&lt;&gt;"",INDEX(Raw_D3!$I$2:$I$1001,$AR598),"")))</f>
        <v>2</v>
      </c>
      <c r="J598" s="16">
        <f>IF($A598="","",IF($AP598&lt;&gt;"",INDEX(Raw_D1!$J$2:$J$1001,$AP598),IF($AR598&lt;&gt;"",INDEX(Raw_D3!$J$2:$J$1001,$AR598),"")))</f>
        <v>0.2</v>
      </c>
      <c r="K598" s="17">
        <f>IF($A598="","",IF($AQ598&lt;&gt;"",IF(INDEX(Raw_D2!$C$2:$C$1001,$AQ598)="","",INDEX(Raw_D2!$C$2:$C$1001,$AQ598)),IF($AR598&lt;&gt;"",IF(INDEX(Raw_D3!$K$2:$K$1001,$AR598)="","",INDEX(Raw_D3!$K$2:$K$1001,$AR598)),"")))</f>
        <v>0.2121</v>
      </c>
      <c r="L598" s="16">
        <f>IF($A598="","",IF($AQ598&lt;&gt;"",IF(INDEX(Raw_D2!$D$2:$D$1001,$AQ598)="","",INDEX(Raw_D2!$D$2:$D$1001,$AQ598)),IF($AR598&lt;&gt;"",IF(INDEX(Raw_D3!$L$2:$L$1001,$AR598)="","",INDEX(Raw_D3!$L$2:$L$1001,$AR598)),"")))</f>
        <v>0.75</v>
      </c>
      <c r="M598" s="17">
        <f>IF($A598="","",IF($AQ598&lt;&gt;"",IF(INDEX(Raw_D2!$E$2:$E$1001,$AQ598)="","",INDEX(Raw_D2!$E$2:$E$1001,$AQ598)),IF($AR598&lt;&gt;"",IF(INDEX(Raw_D3!$M$2:$M$1001,$AR598)="","",INDEX(Raw_D3!$M$2:$M$1001,$AR598)),"")))</f>
        <v>0.1343</v>
      </c>
      <c r="N598" s="5">
        <f>IF($A598="","",IF($AQ598&lt;&gt;"",IF(INDEX(Raw_D2!$F$2:$F$1001,$AQ598)="","",INDEX(Raw_D2!$F$2:$F$1001,$AQ598)),IF($AR598&lt;&gt;"",IF(INDEX(Raw_D3!$N$2:$N$1001,$AR598)="","",INDEX(Raw_D3!$N$2:$N$1001,$AR598)),"")))</f>
        <v>1</v>
      </c>
      <c r="O598" s="5">
        <f>IF($A598="","",IF($AQ598&lt;&gt;"",IF(INDEX(Raw_D2!$G$2:$G$1001,$AQ598)="","",INDEX(Raw_D2!$G$2:$G$1001,$AQ598)),IF($AR598&lt;&gt;"",IF(INDEX(Raw_D3!$O$2:$O$1001,$AR598)="","",INDEX(Raw_D3!$O$2:$O$1001,$AR598)),"")))</f>
        <v>2</v>
      </c>
      <c r="P598" s="5">
        <f>IF($A598="","",IF($AQ598&lt;&gt;"",IF(INDEX(Raw_D2!$H$2:$H$1001,$AQ598)="","",INDEX(Raw_D2!$H$2:$H$1001,$AQ598)),IF($AR598&lt;&gt;"",IF(INDEX(Raw_D3!$P$2:$P$1001,$AR598)="","",INDEX(Raw_D3!$P$2:$P$1001,$AR598)),"")))</f>
        <v>3</v>
      </c>
      <c r="Q598" s="5" t="str">
        <f>IF($A598="","",IF(AND($AP598&lt;&gt;"",$AQ598&lt;&gt;""),"D1+D2",IF($AR598&lt;&gt;"","D3","Incomplete")))</f>
        <v>D1+D2</v>
      </c>
      <c r="R598" s="17">
        <f>IF($A598="","",IF($K598="",IF($J598="","",ROUND(Lookups!$K$5+Lookups!$K$4*$J598,4)),$K598))</f>
        <v>0.2121</v>
      </c>
      <c r="S598" s="5" t="str">
        <f>IF($A598="","",IF($K598="","Imputed","Original"))</f>
        <v>Original</v>
      </c>
      <c r="T598" s="5" t="str">
        <f>IF($A598="","",IF($P598="","Missing",IF($P598=$N598+$O598,"OK","Mismatch")))</f>
        <v>OK</v>
      </c>
      <c r="U598" s="5" t="str">
        <f>IF($A598="","",IF(COUNTIF($A$2:$A598,$A598)&gt;1,"Duplicate","Unique"))</f>
        <v>Unique</v>
      </c>
      <c r="V598" s="5">
        <f>IF($A598="","",IF(AND($U598="Unique",ISNUMBER($P598)),1,0))</f>
        <v>1</v>
      </c>
      <c r="W598" s="5" t="str">
        <f>IF($A598="","",IF(OR($H598=0,$H598=6),"Weekend","Weekday"))</f>
        <v>Weekday</v>
      </c>
      <c r="X598" s="5" t="str">
        <f>IF($A598="","",TEXT($B598,"ddd"))</f>
        <v>Fri</v>
      </c>
      <c r="Y598" s="5" t="str">
        <f>IF($A598="","",TEXT($B598,"mmm"))</f>
        <v>Jan</v>
      </c>
      <c r="Z598" s="5" t="str">
        <f>IF($A598="","",IFERROR(VLOOKUP($C598,Lookups!$D$4:$E$7,2,FALSE),"Unknown"))</f>
        <v>Winter</v>
      </c>
      <c r="AA598" s="5" t="str">
        <f>IF($A598="","",IFERROR(VLOOKUP($I598,Lookups!$A$4:$B$7,2,FALSE),"Unknown"))</f>
        <v>Mist/Cloudy</v>
      </c>
      <c r="AB598" s="5" t="str">
        <f>IF($A598="","",TEXT($F598,"00")&amp;":00")</f>
        <v>01:00</v>
      </c>
      <c r="AC598" s="5" t="str">
        <f>IF($A598="","",VLOOKUP($F598,Lookups!$G$4:$H$8,2,TRUE))</f>
        <v>Night (00-05)</v>
      </c>
      <c r="AD598" s="18">
        <f>IF($A598="","",IF($J598="","",ROUND($J598*41,1)))</f>
        <v>8.2</v>
      </c>
      <c r="AE598" s="18">
        <f>IF($A598="","",IF($R598="","",ROUND($R598*50,1)))</f>
        <v>10.6</v>
      </c>
      <c r="AF598" s="5">
        <f>IF($A598="","",IF($L598="","",ROUND($L598*100,0)))</f>
        <v>75</v>
      </c>
      <c r="AG598" s="18">
        <f>IF($A598="","",IF($M598="","",ROUND($M598*67,1)))</f>
        <v>9</v>
      </c>
      <c r="AH598" s="19">
        <f>IF($A598="","",IF($P598="","",IF($P598=0,0,$O598/$P598)))</f>
        <v>0.666666666666667</v>
      </c>
      <c r="AI598" s="5" t="str">
        <f>IF($A598="","",IF($P598="","",IF($P598&gt;=Lookups!$K$7,"High",IF($P598&lt;=Lookups!$K$8,"Low","Medium"))))</f>
        <v>Low</v>
      </c>
      <c r="AJ598" s="5" t="str">
        <f>IF($A598="","",IF($AD598="","",IF($AD598&lt;5,"Under 5 C",IF($AD598&lt;10,"5-10 C",IF($AD598&lt;15,"10-15 C","15 C and above")))))</f>
        <v>5-10 C</v>
      </c>
      <c r="AK598" s="5">
        <f>IF($A598="","",IF($P598="","",$P598^2))</f>
        <v>9</v>
      </c>
      <c r="AL598" s="18">
        <f>IF($V598&lt;&gt;1,"",AVERAGEIFS(Clean_Data!$P$2:$P$1001,Clean_Data!$F$2:$F$1001,$F598,Clean_Data!$W$2:$W$1001,$W598,Clean_Data!$V$2:$V$1001,1))</f>
        <v>5.10344827586207</v>
      </c>
      <c r="AM598" s="16">
        <f>IF($V598&lt;&gt;1,"",IFERROR(($P598-$AL598)/SQRT(MAX(0,(SUMIFS(Clean_Data!$AK$2:$AK$1001,Clean_Data!$F$2:$F$1001,$F598,Clean_Data!$W$2:$W$1001,$W598,Clean_Data!$V$2:$V$1001,1)-COUNTIFS(Clean_Data!$F$2:$F$1001,$F598,Clean_Data!$W$2:$W$1001,$W598,Clean_Data!$V$2:$V$1001,1)*$AL598^2)/(COUNTIFS(Clean_Data!$F$2:$F$1001,$F598,Clean_Data!$W$2:$W$1001,$W598,Clean_Data!$V$2:$V$1001,1)-1))),""))</f>
        <v>-0.729662983728796</v>
      </c>
      <c r="AN598" s="5" t="str">
        <f>IF($AM598="","",IF($AM598&gt;=Lookups!$K$6,"High spike",IF($AM598&lt;=-Lookups!$K$6,"Unusual low","Normal")))</f>
        <v>Normal</v>
      </c>
      <c r="AO598" s="20">
        <f>IF($V598&lt;&gt;1,"",$P598+ROW()/100000)</f>
        <v>3.00598</v>
      </c>
      <c r="AP598" s="5">
        <f>IF($A598="","",IFERROR(MATCH($A598,Raw_D1!$A$2:$A$1001,0),""))</f>
        <v>597</v>
      </c>
      <c r="AQ598" s="5">
        <f>IF($A598="","",IFERROR(MATCH($A598,Raw_D2!$B$2:$B$1001,0),""))</f>
        <v>597</v>
      </c>
      <c r="AR598" s="5">
        <f>IF($A598="","",IFERROR(MATCH($A598,Raw_D3!$A$2:$A$1001,0),""))</f>
        <v/>
      </c>
    </row>
    <row r="599" spans="1:44" x14ac:dyDescent="0.25">
      <c r="A599" s="5">
        <v>598</v>
      </c>
      <c r="B599" s="11">
        <f>IF($A599="","",IF($AP599&lt;&gt;"",INDEX(Raw_D1!$B$2:$B$1001,$AP599),IF($AR599&lt;&gt;"",INDEX(Raw_D3!$B$2:$B$1001,$AR599),"")))</f>
        <v>40571.0</v>
      </c>
      <c r="C599" s="5">
        <f>IF($A599="","",IF($AP599&lt;&gt;"",INDEX(Raw_D1!$C$2:$C$1001,$AP599),IF($AR599&lt;&gt;"",INDEX(Raw_D3!$C$2:$C$1001,$AR599),"")))</f>
        <v>1</v>
      </c>
      <c r="D599" s="5">
        <f>IF($A599="","",IF($AP599&lt;&gt;"",INDEX(Raw_D1!$D$2:$D$1001,$AP599),IF($AR599&lt;&gt;"",INDEX(Raw_D3!$D$2:$D$1001,$AR599),"")))</f>
        <v>0</v>
      </c>
      <c r="E599" s="5">
        <f>IF($A599="","",IF($AP599&lt;&gt;"",INDEX(Raw_D1!$E$2:$E$1001,$AP599),IF($AR599&lt;&gt;"",INDEX(Raw_D3!$E$2:$E$1001,$AR599),"")))</f>
        <v>1</v>
      </c>
      <c r="F599" s="5">
        <f>IF($A599="","",IF($AP599&lt;&gt;"",INDEX(Raw_D1!$F$2:$F$1001,$AP599),IF($AR599&lt;&gt;"",INDEX(Raw_D3!$F$2:$F$1001,$AR599),"")))</f>
        <v>2</v>
      </c>
      <c r="G599" s="5">
        <f>IF($A599="","",IF($AP599&lt;&gt;"",IF(INDEX(Raw_D1!$G$2:$G$1001,$AP599),1,0),IF($AR599&lt;&gt;"",IF(INDEX(Raw_D3!$G$2:$G$1001,$AR599),1,0),"")))</f>
        <v>0</v>
      </c>
      <c r="H599" s="5">
        <f>IF($A599="","",IF($AP599&lt;&gt;"",INDEX(Raw_D1!$H$2:$H$1001,$AP599),IF($AR599&lt;&gt;"",INDEX(Raw_D3!$H$2:$H$1001,$AR599),"")))</f>
        <v>5</v>
      </c>
      <c r="I599" s="5">
        <f>IF($A599="","",IF($AP599&lt;&gt;"",INDEX(Raw_D1!$I$2:$I$1001,$AP599),IF($AR599&lt;&gt;"",INDEX(Raw_D3!$I$2:$I$1001,$AR599),"")))</f>
        <v>2</v>
      </c>
      <c r="J599" s="16">
        <f>IF($A599="","",IF($AP599&lt;&gt;"",INDEX(Raw_D1!$J$2:$J$1001,$AP599),IF($AR599&lt;&gt;"",INDEX(Raw_D3!$J$2:$J$1001,$AR599),"")))</f>
        <v>0.2</v>
      </c>
      <c r="K599" s="17">
        <f>IF($A599="","",IF($AQ599&lt;&gt;"",IF(INDEX(Raw_D2!$C$2:$C$1001,$AQ599)="","",INDEX(Raw_D2!$C$2:$C$1001,$AQ599)),IF($AR599&lt;&gt;"",IF(INDEX(Raw_D3!$K$2:$K$1001,$AR599)="","",INDEX(Raw_D3!$K$2:$K$1001,$AR599)),"")))</f>
        <v>0.2121</v>
      </c>
      <c r="L599" s="16">
        <f>IF($A599="","",IF($AQ599&lt;&gt;"",IF(INDEX(Raw_D2!$D$2:$D$1001,$AQ599)="","",INDEX(Raw_D2!$D$2:$D$1001,$AQ599)),IF($AR599&lt;&gt;"",IF(INDEX(Raw_D3!$L$2:$L$1001,$AR599)="","",INDEX(Raw_D3!$L$2:$L$1001,$AR599)),"")))</f>
        <v>0.75</v>
      </c>
      <c r="M599" s="17">
        <f>IF($A599="","",IF($AQ599&lt;&gt;"",IF(INDEX(Raw_D2!$E$2:$E$1001,$AQ599)="","",INDEX(Raw_D2!$E$2:$E$1001,$AQ599)),IF($AR599&lt;&gt;"",IF(INDEX(Raw_D3!$M$2:$M$1001,$AR599)="","",INDEX(Raw_D3!$M$2:$M$1001,$AR599)),"")))</f>
        <v>0.1642</v>
      </c>
      <c r="N599" s="5">
        <f>IF($A599="","",IF($AQ599&lt;&gt;"",IF(INDEX(Raw_D2!$F$2:$F$1001,$AQ599)="","",INDEX(Raw_D2!$F$2:$F$1001,$AQ599)),IF($AR599&lt;&gt;"",IF(INDEX(Raw_D3!$N$2:$N$1001,$AR599)="","",INDEX(Raw_D3!$N$2:$N$1001,$AR599)),"")))</f>
        <v>0</v>
      </c>
      <c r="O599" s="5">
        <f>IF($A599="","",IF($AQ599&lt;&gt;"",IF(INDEX(Raw_D2!$G$2:$G$1001,$AQ599)="","",INDEX(Raw_D2!$G$2:$G$1001,$AQ599)),IF($AR599&lt;&gt;"",IF(INDEX(Raw_D3!$O$2:$O$1001,$AR599)="","",INDEX(Raw_D3!$O$2:$O$1001,$AR599)),"")))</f>
        <v>2</v>
      </c>
      <c r="P599" s="5">
        <f>IF($A599="","",IF($AQ599&lt;&gt;"",IF(INDEX(Raw_D2!$H$2:$H$1001,$AQ599)="","",INDEX(Raw_D2!$H$2:$H$1001,$AQ599)),IF($AR599&lt;&gt;"",IF(INDEX(Raw_D3!$P$2:$P$1001,$AR599)="","",INDEX(Raw_D3!$P$2:$P$1001,$AR599)),"")))</f>
        <v>2</v>
      </c>
      <c r="Q599" s="5" t="str">
        <f>IF($A599="","",IF(AND($AP599&lt;&gt;"",$AQ599&lt;&gt;""),"D1+D2",IF($AR599&lt;&gt;"","D3","Incomplete")))</f>
        <v>D1+D2</v>
      </c>
      <c r="R599" s="17">
        <f>IF($A599="","",IF($K599="",IF($J599="","",ROUND(Lookups!$K$5+Lookups!$K$4*$J599,4)),$K599))</f>
        <v>0.2121</v>
      </c>
      <c r="S599" s="5" t="str">
        <f>IF($A599="","",IF($K599="","Imputed","Original"))</f>
        <v>Original</v>
      </c>
      <c r="T599" s="5" t="str">
        <f>IF($A599="","",IF($P599="","Missing",IF($P599=$N599+$O599,"OK","Mismatch")))</f>
        <v>OK</v>
      </c>
      <c r="U599" s="5" t="str">
        <f>IF($A599="","",IF(COUNTIF($A$2:$A599,$A599)&gt;1,"Duplicate","Unique"))</f>
        <v>Unique</v>
      </c>
      <c r="V599" s="5">
        <f>IF($A599="","",IF(AND($U599="Unique",ISNUMBER($P599)),1,0))</f>
        <v>1</v>
      </c>
      <c r="W599" s="5" t="str">
        <f>IF($A599="","",IF(OR($H599=0,$H599=6),"Weekend","Weekday"))</f>
        <v>Weekday</v>
      </c>
      <c r="X599" s="5" t="str">
        <f>IF($A599="","",TEXT($B599,"ddd"))</f>
        <v>Fri</v>
      </c>
      <c r="Y599" s="5" t="str">
        <f>IF($A599="","",TEXT($B599,"mmm"))</f>
        <v>Jan</v>
      </c>
      <c r="Z599" s="5" t="str">
        <f>IF($A599="","",IFERROR(VLOOKUP($C599,Lookups!$D$4:$E$7,2,FALSE),"Unknown"))</f>
        <v>Winter</v>
      </c>
      <c r="AA599" s="5" t="str">
        <f>IF($A599="","",IFERROR(VLOOKUP($I599,Lookups!$A$4:$B$7,2,FALSE),"Unknown"))</f>
        <v>Mist/Cloudy</v>
      </c>
      <c r="AB599" s="5" t="str">
        <f>IF($A599="","",TEXT($F599,"00")&amp;":00")</f>
        <v>02:00</v>
      </c>
      <c r="AC599" s="5" t="str">
        <f>IF($A599="","",VLOOKUP($F599,Lookups!$G$4:$H$8,2,TRUE))</f>
        <v>Night (00-05)</v>
      </c>
      <c r="AD599" s="18">
        <f>IF($A599="","",IF($J599="","",ROUND($J599*41,1)))</f>
        <v>8.2</v>
      </c>
      <c r="AE599" s="18">
        <f>IF($A599="","",IF($R599="","",ROUND($R599*50,1)))</f>
        <v>10.6</v>
      </c>
      <c r="AF599" s="5">
        <f>IF($A599="","",IF($L599="","",ROUND($L599*100,0)))</f>
        <v>75</v>
      </c>
      <c r="AG599" s="18">
        <f>IF($A599="","",IF($M599="","",ROUND($M599*67,1)))</f>
        <v>11</v>
      </c>
      <c r="AH599" s="19">
        <f>IF($A599="","",IF($P599="","",IF($P599=0,0,$O599/$P599)))</f>
        <v>1</v>
      </c>
      <c r="AI599" s="5" t="str">
        <f>IF($A599="","",IF($P599="","",IF($P599&gt;=Lookups!$K$7,"High",IF($P599&lt;=Lookups!$K$8,"Low","Medium"))))</f>
        <v>Low</v>
      </c>
      <c r="AJ599" s="5" t="str">
        <f>IF($A599="","",IF($AD599="","",IF($AD599&lt;5,"Under 5 C",IF($AD599&lt;10,"5-10 C",IF($AD599&lt;15,"10-15 C","15 C and above")))))</f>
        <v>5-10 C</v>
      </c>
      <c r="AK599" s="5">
        <f>IF($A599="","",IF($P599="","",$P599^2))</f>
        <v>4</v>
      </c>
      <c r="AL599" s="18">
        <f>IF($V599&lt;&gt;1,"",AVERAGEIFS(Clean_Data!$P$2:$P$1001,Clean_Data!$F$2:$F$1001,$F599,Clean_Data!$W$2:$W$1001,$W599,Clean_Data!$V$2:$V$1001,1))</f>
        <v>2.62962962962963</v>
      </c>
      <c r="AM599" s="16">
        <f>IF($V599&lt;&gt;1,"",IFERROR(($P599-$AL599)/SQRT(MAX(0,(SUMIFS(Clean_Data!$AK$2:$AK$1001,Clean_Data!$F$2:$F$1001,$F599,Clean_Data!$W$2:$W$1001,$W599,Clean_Data!$V$2:$V$1001,1)-COUNTIFS(Clean_Data!$F$2:$F$1001,$F599,Clean_Data!$W$2:$W$1001,$W599,Clean_Data!$V$2:$V$1001,1)*$AL599^2)/(COUNTIFS(Clean_Data!$F$2:$F$1001,$F599,Clean_Data!$W$2:$W$1001,$W599,Clean_Data!$V$2:$V$1001,1)-1))),""))</f>
        <v>-0.311395810225326</v>
      </c>
      <c r="AN599" s="5" t="str">
        <f>IF($AM599="","",IF($AM599&gt;=Lookups!$K$6,"High spike",IF($AM599&lt;=-Lookups!$K$6,"Unusual low","Normal")))</f>
        <v>Normal</v>
      </c>
      <c r="AO599" s="20">
        <f>IF($V599&lt;&gt;1,"",$P599+ROW()/100000)</f>
        <v>2.00599</v>
      </c>
      <c r="AP599" s="5">
        <f>IF($A599="","",IFERROR(MATCH($A599,Raw_D1!$A$2:$A$1001,0),""))</f>
        <v>598</v>
      </c>
      <c r="AQ599" s="5">
        <f>IF($A599="","",IFERROR(MATCH($A599,Raw_D2!$B$2:$B$1001,0),""))</f>
        <v>598</v>
      </c>
      <c r="AR599" s="5">
        <f>IF($A599="","",IFERROR(MATCH($A599,Raw_D3!$A$2:$A$1001,0),""))</f>
        <v/>
      </c>
    </row>
    <row r="600" spans="1:44" x14ac:dyDescent="0.25">
      <c r="A600" s="5">
        <v>599</v>
      </c>
      <c r="B600" s="11">
        <f>IF($A600="","",IF($AP600&lt;&gt;"",INDEX(Raw_D1!$B$2:$B$1001,$AP600),IF($AR600&lt;&gt;"",INDEX(Raw_D3!$B$2:$B$1001,$AR600),"")))</f>
        <v>40571.0</v>
      </c>
      <c r="C600" s="5">
        <f>IF($A600="","",IF($AP600&lt;&gt;"",INDEX(Raw_D1!$C$2:$C$1001,$AP600),IF($AR600&lt;&gt;"",INDEX(Raw_D3!$C$2:$C$1001,$AR600),"")))</f>
        <v>1</v>
      </c>
      <c r="D600" s="5">
        <f>IF($A600="","",IF($AP600&lt;&gt;"",INDEX(Raw_D1!$D$2:$D$1001,$AP600),IF($AR600&lt;&gt;"",INDEX(Raw_D3!$D$2:$D$1001,$AR600),"")))</f>
        <v>0</v>
      </c>
      <c r="E600" s="5">
        <f>IF($A600="","",IF($AP600&lt;&gt;"",INDEX(Raw_D1!$E$2:$E$1001,$AP600),IF($AR600&lt;&gt;"",INDEX(Raw_D3!$E$2:$E$1001,$AR600),"")))</f>
        <v>1</v>
      </c>
      <c r="F600" s="5">
        <f>IF($A600="","",IF($AP600&lt;&gt;"",INDEX(Raw_D1!$F$2:$F$1001,$AP600),IF($AR600&lt;&gt;"",INDEX(Raw_D3!$F$2:$F$1001,$AR600),"")))</f>
        <v>3</v>
      </c>
      <c r="G600" s="5">
        <f>IF($A600="","",IF($AP600&lt;&gt;"",IF(INDEX(Raw_D1!$G$2:$G$1001,$AP600),1,0),IF($AR600&lt;&gt;"",IF(INDEX(Raw_D3!$G$2:$G$1001,$AR600),1,0),"")))</f>
        <v>0</v>
      </c>
      <c r="H600" s="5">
        <f>IF($A600="","",IF($AP600&lt;&gt;"",INDEX(Raw_D1!$H$2:$H$1001,$AP600),IF($AR600&lt;&gt;"",INDEX(Raw_D3!$H$2:$H$1001,$AR600),"")))</f>
        <v>5</v>
      </c>
      <c r="I600" s="5">
        <f>IF($A600="","",IF($AP600&lt;&gt;"",INDEX(Raw_D1!$I$2:$I$1001,$AP600),IF($AR600&lt;&gt;"",INDEX(Raw_D3!$I$2:$I$1001,$AR600),"")))</f>
        <v>2</v>
      </c>
      <c r="J600" s="16">
        <f>IF($A600="","",IF($AP600&lt;&gt;"",INDEX(Raw_D1!$J$2:$J$1001,$AP600),IF($AR600&lt;&gt;"",INDEX(Raw_D3!$J$2:$J$1001,$AR600),"")))</f>
        <v>0.2</v>
      </c>
      <c r="K600" s="17">
        <f>IF($A600="","",IF($AQ600&lt;&gt;"",IF(INDEX(Raw_D2!$C$2:$C$1001,$AQ600)="","",INDEX(Raw_D2!$C$2:$C$1001,$AQ600)),IF($AR600&lt;&gt;"",IF(INDEX(Raw_D3!$K$2:$K$1001,$AR600)="","",INDEX(Raw_D3!$K$2:$K$1001,$AR600)),"")))</f>
        <v>0.2273</v>
      </c>
      <c r="L600" s="16">
        <f>IF($A600="","",IF($AQ600&lt;&gt;"",IF(INDEX(Raw_D2!$D$2:$D$1001,$AQ600)="","",INDEX(Raw_D2!$D$2:$D$1001,$AQ600)),IF($AR600&lt;&gt;"",IF(INDEX(Raw_D3!$L$2:$L$1001,$AR600)="","",INDEX(Raw_D3!$L$2:$L$1001,$AR600)),"")))</f>
        <v>0.75</v>
      </c>
      <c r="M600" s="17">
        <f>IF($A600="","",IF($AQ600&lt;&gt;"",IF(INDEX(Raw_D2!$E$2:$E$1001,$AQ600)="","",INDEX(Raw_D2!$E$2:$E$1001,$AQ600)),IF($AR600&lt;&gt;"",IF(INDEX(Raw_D3!$M$2:$M$1001,$AR600)="","",INDEX(Raw_D3!$M$2:$M$1001,$AR600)),"")))</f>
        <v>0.1045</v>
      </c>
      <c r="N600" s="5">
        <f>IF($A600="","",IF($AQ600&lt;&gt;"",IF(INDEX(Raw_D2!$F$2:$F$1001,$AQ600)="","",INDEX(Raw_D2!$F$2:$F$1001,$AQ600)),IF($AR600&lt;&gt;"",IF(INDEX(Raw_D3!$N$2:$N$1001,$AR600)="","",INDEX(Raw_D3!$N$2:$N$1001,$AR600)),"")))</f>
        <v>1</v>
      </c>
      <c r="O600" s="5">
        <f>IF($A600="","",IF($AQ600&lt;&gt;"",IF(INDEX(Raw_D2!$G$2:$G$1001,$AQ600)="","",INDEX(Raw_D2!$G$2:$G$1001,$AQ600)),IF($AR600&lt;&gt;"",IF(INDEX(Raw_D3!$O$2:$O$1001,$AR600)="","",INDEX(Raw_D3!$O$2:$O$1001,$AR600)),"")))</f>
        <v>0</v>
      </c>
      <c r="P600" s="5">
        <f>IF($A600="","",IF($AQ600&lt;&gt;"",IF(INDEX(Raw_D2!$H$2:$H$1001,$AQ600)="","",INDEX(Raw_D2!$H$2:$H$1001,$AQ600)),IF($AR600&lt;&gt;"",IF(INDEX(Raw_D3!$P$2:$P$1001,$AR600)="","",INDEX(Raw_D3!$P$2:$P$1001,$AR600)),"")))</f>
        <v>1</v>
      </c>
      <c r="Q600" s="5" t="str">
        <f>IF($A600="","",IF(AND($AP600&lt;&gt;"",$AQ600&lt;&gt;""),"D1+D2",IF($AR600&lt;&gt;"","D3","Incomplete")))</f>
        <v>D1+D2</v>
      </c>
      <c r="R600" s="17">
        <f>IF($A600="","",IF($K600="",IF($J600="","",ROUND(Lookups!$K$5+Lookups!$K$4*$J600,4)),$K600))</f>
        <v>0.2273</v>
      </c>
      <c r="S600" s="5" t="str">
        <f>IF($A600="","",IF($K600="","Imputed","Original"))</f>
        <v>Original</v>
      </c>
      <c r="T600" s="5" t="str">
        <f>IF($A600="","",IF($P600="","Missing",IF($P600=$N600+$O600,"OK","Mismatch")))</f>
        <v>OK</v>
      </c>
      <c r="U600" s="5" t="str">
        <f>IF($A600="","",IF(COUNTIF($A$2:$A600,$A600)&gt;1,"Duplicate","Unique"))</f>
        <v>Unique</v>
      </c>
      <c r="V600" s="5">
        <f>IF($A600="","",IF(AND($U600="Unique",ISNUMBER($P600)),1,0))</f>
        <v>1</v>
      </c>
      <c r="W600" s="5" t="str">
        <f>IF($A600="","",IF(OR($H600=0,$H600=6),"Weekend","Weekday"))</f>
        <v>Weekday</v>
      </c>
      <c r="X600" s="5" t="str">
        <f>IF($A600="","",TEXT($B600,"ddd"))</f>
        <v>Fri</v>
      </c>
      <c r="Y600" s="5" t="str">
        <f>IF($A600="","",TEXT($B600,"mmm"))</f>
        <v>Jan</v>
      </c>
      <c r="Z600" s="5" t="str">
        <f>IF($A600="","",IFERROR(VLOOKUP($C600,Lookups!$D$4:$E$7,2,FALSE),"Unknown"))</f>
        <v>Winter</v>
      </c>
      <c r="AA600" s="5" t="str">
        <f>IF($A600="","",IFERROR(VLOOKUP($I600,Lookups!$A$4:$B$7,2,FALSE),"Unknown"))</f>
        <v>Mist/Cloudy</v>
      </c>
      <c r="AB600" s="5" t="str">
        <f>IF($A600="","",TEXT($F600,"00")&amp;":00")</f>
        <v>03:00</v>
      </c>
      <c r="AC600" s="5" t="str">
        <f>IF($A600="","",VLOOKUP($F600,Lookups!$G$4:$H$8,2,TRUE))</f>
        <v>Night (00-05)</v>
      </c>
      <c r="AD600" s="18">
        <f>IF($A600="","",IF($J600="","",ROUND($J600*41,1)))</f>
        <v>8.2</v>
      </c>
      <c r="AE600" s="18">
        <f>IF($A600="","",IF($R600="","",ROUND($R600*50,1)))</f>
        <v>11.4</v>
      </c>
      <c r="AF600" s="5">
        <f>IF($A600="","",IF($L600="","",ROUND($L600*100,0)))</f>
        <v>75</v>
      </c>
      <c r="AG600" s="18">
        <f>IF($A600="","",IF($M600="","",ROUND($M600*67,1)))</f>
        <v>7</v>
      </c>
      <c r="AH600" s="19">
        <f>IF($A600="","",IF($P600="","",IF($P600=0,0,$O600/$P600)))</f>
        <v>0</v>
      </c>
      <c r="AI600" s="5" t="str">
        <f>IF($A600="","",IF($P600="","",IF($P600&gt;=Lookups!$K$7,"High",IF($P600&lt;=Lookups!$K$8,"Low","Medium"))))</f>
        <v>Low</v>
      </c>
      <c r="AJ600" s="5" t="str">
        <f>IF($A600="","",IF($AD600="","",IF($AD600&lt;5,"Under 5 C",IF($AD600&lt;10,"5-10 C",IF($AD600&lt;15,"10-15 C","15 C and above")))))</f>
        <v>5-10 C</v>
      </c>
      <c r="AK600" s="5">
        <f>IF($A600="","",IF($P600="","",$P600^2))</f>
        <v>1</v>
      </c>
      <c r="AL600" s="18">
        <f>IF($V600&lt;&gt;1,"",AVERAGEIFS(Clean_Data!$P$2:$P$1001,Clean_Data!$F$2:$F$1001,$F600,Clean_Data!$W$2:$W$1001,$W600,Clean_Data!$V$2:$V$1001,1))</f>
        <v>1.41176470588235</v>
      </c>
      <c r="AM600" s="16">
        <f>IF($V600&lt;&gt;1,"",IFERROR(($P600-$AL600)/SQRT(MAX(0,(SUMIFS(Clean_Data!$AK$2:$AK$1001,Clean_Data!$F$2:$F$1001,$F600,Clean_Data!$W$2:$W$1001,$W600,Clean_Data!$V$2:$V$1001,1)-COUNTIFS(Clean_Data!$F$2:$F$1001,$F600,Clean_Data!$W$2:$W$1001,$W600,Clean_Data!$V$2:$V$1001,1)*$AL600^2)/(COUNTIFS(Clean_Data!$F$2:$F$1001,$F600,Clean_Data!$W$2:$W$1001,$W600,Clean_Data!$V$2:$V$1001,1)-1))),""))</f>
        <v>-0.665912091816292</v>
      </c>
      <c r="AN600" s="5" t="str">
        <f>IF($AM600="","",IF($AM600&gt;=Lookups!$K$6,"High spike",IF($AM600&lt;=-Lookups!$K$6,"Unusual low","Normal")))</f>
        <v>Normal</v>
      </c>
      <c r="AO600" s="20">
        <f>IF($V600&lt;&gt;1,"",$P600+ROW()/100000)</f>
        <v>1.006</v>
      </c>
      <c r="AP600" s="5">
        <f>IF($A600="","",IFERROR(MATCH($A600,Raw_D1!$A$2:$A$1001,0),""))</f>
        <v>599</v>
      </c>
      <c r="AQ600" s="5">
        <f>IF($A600="","",IFERROR(MATCH($A600,Raw_D2!$B$2:$B$1001,0),""))</f>
        <v>599</v>
      </c>
      <c r="AR600" s="5">
        <f>IF($A600="","",IFERROR(MATCH($A600,Raw_D3!$A$2:$A$1001,0),""))</f>
        <v/>
      </c>
    </row>
    <row r="601" spans="1:44" x14ac:dyDescent="0.25">
      <c r="A601" s="5">
        <v>600</v>
      </c>
      <c r="B601" s="11">
        <f>IF($A601="","",IF($AP601&lt;&gt;"",INDEX(Raw_D1!$B$2:$B$1001,$AP601),IF($AR601&lt;&gt;"",INDEX(Raw_D3!$B$2:$B$1001,$AR601),"")))</f>
        <v>40571.0</v>
      </c>
      <c r="C601" s="5">
        <f>IF($A601="","",IF($AP601&lt;&gt;"",INDEX(Raw_D1!$C$2:$C$1001,$AP601),IF($AR601&lt;&gt;"",INDEX(Raw_D3!$C$2:$C$1001,$AR601),"")))</f>
        <v>1</v>
      </c>
      <c r="D601" s="5">
        <f>IF($A601="","",IF($AP601&lt;&gt;"",INDEX(Raw_D1!$D$2:$D$1001,$AP601),IF($AR601&lt;&gt;"",INDEX(Raw_D3!$D$2:$D$1001,$AR601),"")))</f>
        <v>0</v>
      </c>
      <c r="E601" s="5">
        <f>IF($A601="","",IF($AP601&lt;&gt;"",INDEX(Raw_D1!$E$2:$E$1001,$AP601),IF($AR601&lt;&gt;"",INDEX(Raw_D3!$E$2:$E$1001,$AR601),"")))</f>
        <v>1</v>
      </c>
      <c r="F601" s="5">
        <f>IF($A601="","",IF($AP601&lt;&gt;"",INDEX(Raw_D1!$F$2:$F$1001,$AP601),IF($AR601&lt;&gt;"",INDEX(Raw_D3!$F$2:$F$1001,$AR601),"")))</f>
        <v>5</v>
      </c>
      <c r="G601" s="5">
        <f>IF($A601="","",IF($AP601&lt;&gt;"",IF(INDEX(Raw_D1!$G$2:$G$1001,$AP601),1,0),IF($AR601&lt;&gt;"",IF(INDEX(Raw_D3!$G$2:$G$1001,$AR601),1,0),"")))</f>
        <v>0</v>
      </c>
      <c r="H601" s="5">
        <f>IF($A601="","",IF($AP601&lt;&gt;"",INDEX(Raw_D1!$H$2:$H$1001,$AP601),IF($AR601&lt;&gt;"",INDEX(Raw_D3!$H$2:$H$1001,$AR601),"")))</f>
        <v>5</v>
      </c>
      <c r="I601" s="5">
        <f>IF($A601="","",IF($AP601&lt;&gt;"",INDEX(Raw_D1!$I$2:$I$1001,$AP601),IF($AR601&lt;&gt;"",INDEX(Raw_D3!$I$2:$I$1001,$AR601),"")))</f>
        <v>2</v>
      </c>
      <c r="J601" s="16">
        <f>IF($A601="","",IF($AP601&lt;&gt;"",INDEX(Raw_D1!$J$2:$J$1001,$AP601),IF($AR601&lt;&gt;"",INDEX(Raw_D3!$J$2:$J$1001,$AR601),"")))</f>
        <v>0.18</v>
      </c>
      <c r="K601" s="17">
        <f>IF($A601="","",IF($AQ601&lt;&gt;"",IF(INDEX(Raw_D2!$C$2:$C$1001,$AQ601)="","",INDEX(Raw_D2!$C$2:$C$1001,$AQ601)),IF($AR601&lt;&gt;"",IF(INDEX(Raw_D3!$K$2:$K$1001,$AR601)="","",INDEX(Raw_D3!$K$2:$K$1001,$AR601)),"")))</f>
        <v>0.2121</v>
      </c>
      <c r="L601" s="16">
        <f>IF($A601="","",IF($AQ601&lt;&gt;"",IF(INDEX(Raw_D2!$D$2:$D$1001,$AQ601)="","",INDEX(Raw_D2!$D$2:$D$1001,$AQ601)),IF($AR601&lt;&gt;"",IF(INDEX(Raw_D3!$L$2:$L$1001,$AR601)="","",INDEX(Raw_D3!$L$2:$L$1001,$AR601)),"")))</f>
        <v>0.8</v>
      </c>
      <c r="M601" s="17">
        <f>IF($A601="","",IF($AQ601&lt;&gt;"",IF(INDEX(Raw_D2!$E$2:$E$1001,$AQ601)="","",INDEX(Raw_D2!$E$2:$E$1001,$AQ601)),IF($AR601&lt;&gt;"",IF(INDEX(Raw_D3!$M$2:$M$1001,$AR601)="","",INDEX(Raw_D3!$M$2:$M$1001,$AR601)),"")))</f>
        <v>0.1045</v>
      </c>
      <c r="N601" s="5">
        <f>IF($A601="","",IF($AQ601&lt;&gt;"",IF(INDEX(Raw_D2!$F$2:$F$1001,$AQ601)="","",INDEX(Raw_D2!$F$2:$F$1001,$AQ601)),IF($AR601&lt;&gt;"",IF(INDEX(Raw_D3!$N$2:$N$1001,$AR601)="","",INDEX(Raw_D3!$N$2:$N$1001,$AR601)),"")))</f>
        <v>0</v>
      </c>
      <c r="O601" s="5">
        <f>IF($A601="","",IF($AQ601&lt;&gt;"",IF(INDEX(Raw_D2!$G$2:$G$1001,$AQ601)="","",INDEX(Raw_D2!$G$2:$G$1001,$AQ601)),IF($AR601&lt;&gt;"",IF(INDEX(Raw_D3!$O$2:$O$1001,$AR601)="","",INDEX(Raw_D3!$O$2:$O$1001,$AR601)),"")))</f>
        <v>4</v>
      </c>
      <c r="P601" s="5">
        <f>IF($A601="","",IF($AQ601&lt;&gt;"",IF(INDEX(Raw_D2!$H$2:$H$1001,$AQ601)="","",INDEX(Raw_D2!$H$2:$H$1001,$AQ601)),IF($AR601&lt;&gt;"",IF(INDEX(Raw_D3!$P$2:$P$1001,$AR601)="","",INDEX(Raw_D3!$P$2:$P$1001,$AR601)),"")))</f>
        <v>4</v>
      </c>
      <c r="Q601" s="5" t="str">
        <f>IF($A601="","",IF(AND($AP601&lt;&gt;"",$AQ601&lt;&gt;""),"D1+D2",IF($AR601&lt;&gt;"","D3","Incomplete")))</f>
        <v>D1+D2</v>
      </c>
      <c r="R601" s="17">
        <f>IF($A601="","",IF($K601="",IF($J601="","",ROUND(Lookups!$K$5+Lookups!$K$4*$J601,4)),$K601))</f>
        <v>0.2121</v>
      </c>
      <c r="S601" s="5" t="str">
        <f>IF($A601="","",IF($K601="","Imputed","Original"))</f>
        <v>Original</v>
      </c>
      <c r="T601" s="5" t="str">
        <f>IF($A601="","",IF($P601="","Missing",IF($P601=$N601+$O601,"OK","Mismatch")))</f>
        <v>OK</v>
      </c>
      <c r="U601" s="5" t="str">
        <f>IF($A601="","",IF(COUNTIF($A$2:$A601,$A601)&gt;1,"Duplicate","Unique"))</f>
        <v>Unique</v>
      </c>
      <c r="V601" s="5">
        <f>IF($A601="","",IF(AND($U601="Unique",ISNUMBER($P601)),1,0))</f>
        <v>1</v>
      </c>
      <c r="W601" s="5" t="str">
        <f>IF($A601="","",IF(OR($H601=0,$H601=6),"Weekend","Weekday"))</f>
        <v>Weekday</v>
      </c>
      <c r="X601" s="5" t="str">
        <f>IF($A601="","",TEXT($B601,"ddd"))</f>
        <v>Fri</v>
      </c>
      <c r="Y601" s="5" t="str">
        <f>IF($A601="","",TEXT($B601,"mmm"))</f>
        <v>Jan</v>
      </c>
      <c r="Z601" s="5" t="str">
        <f>IF($A601="","",IFERROR(VLOOKUP($C601,Lookups!$D$4:$E$7,2,FALSE),"Unknown"))</f>
        <v>Winter</v>
      </c>
      <c r="AA601" s="5" t="str">
        <f>IF($A601="","",IFERROR(VLOOKUP($I601,Lookups!$A$4:$B$7,2,FALSE),"Unknown"))</f>
        <v>Mist/Cloudy</v>
      </c>
      <c r="AB601" s="5" t="str">
        <f>IF($A601="","",TEXT($F601,"00")&amp;":00")</f>
        <v>05:00</v>
      </c>
      <c r="AC601" s="5" t="str">
        <f>IF($A601="","",VLOOKUP($F601,Lookups!$G$4:$H$8,2,TRUE))</f>
        <v>Night (00-05)</v>
      </c>
      <c r="AD601" s="18">
        <f>IF($A601="","",IF($J601="","",ROUND($J601*41,1)))</f>
        <v>7.4</v>
      </c>
      <c r="AE601" s="18">
        <f>IF($A601="","",IF($R601="","",ROUND($R601*50,1)))</f>
        <v>10.6</v>
      </c>
      <c r="AF601" s="5">
        <f>IF($A601="","",IF($L601="","",ROUND($L601*100,0)))</f>
        <v>80</v>
      </c>
      <c r="AG601" s="18">
        <f>IF($A601="","",IF($M601="","",ROUND($M601*67,1)))</f>
        <v>7</v>
      </c>
      <c r="AH601" s="19">
        <f>IF($A601="","",IF($P601="","",IF($P601=0,0,$O601/$P601)))</f>
        <v>1</v>
      </c>
      <c r="AI601" s="5" t="str">
        <f>IF($A601="","",IF($P601="","",IF($P601&gt;=Lookups!$K$7,"High",IF($P601&lt;=Lookups!$K$8,"Low","Medium"))))</f>
        <v>Low</v>
      </c>
      <c r="AJ601" s="5" t="str">
        <f>IF($A601="","",IF($AD601="","",IF($AD601&lt;5,"Under 5 C",IF($AD601&lt;10,"5-10 C",IF($AD601&lt;15,"10-15 C","15 C and above")))))</f>
        <v>5-10 C</v>
      </c>
      <c r="AK601" s="5">
        <f>IF($A601="","",IF($P601="","",$P601^2))</f>
        <v>16</v>
      </c>
      <c r="AL601" s="18">
        <f>IF($V601&lt;&gt;1,"",AVERAGEIFS(Clean_Data!$P$2:$P$1001,Clean_Data!$F$2:$F$1001,$F601,Clean_Data!$W$2:$W$1001,$W601,Clean_Data!$V$2:$V$1001,1))</f>
        <v>4.72413793103448</v>
      </c>
      <c r="AM601" s="16">
        <f>IF($V601&lt;&gt;1,"",IFERROR(($P601-$AL601)/SQRT(MAX(0,(SUMIFS(Clean_Data!$AK$2:$AK$1001,Clean_Data!$F$2:$F$1001,$F601,Clean_Data!$W$2:$W$1001,$W601,Clean_Data!$V$2:$V$1001,1)-COUNTIFS(Clean_Data!$F$2:$F$1001,$F601,Clean_Data!$W$2:$W$1001,$W601,Clean_Data!$V$2:$V$1001,1)*$AL601^2)/(COUNTIFS(Clean_Data!$F$2:$F$1001,$F601,Clean_Data!$W$2:$W$1001,$W601,Clean_Data!$V$2:$V$1001,1)-1))),""))</f>
        <v>-0.308981076614558</v>
      </c>
      <c r="AN601" s="5" t="str">
        <f>IF($AM601="","",IF($AM601&gt;=Lookups!$K$6,"High spike",IF($AM601&lt;=-Lookups!$K$6,"Unusual low","Normal")))</f>
        <v>Normal</v>
      </c>
      <c r="AO601" s="20">
        <f>IF($V601&lt;&gt;1,"",$P601+ROW()/100000)</f>
        <v>4.00601</v>
      </c>
      <c r="AP601" s="5">
        <f>IF($A601="","",IFERROR(MATCH($A601,Raw_D1!$A$2:$A$1001,0),""))</f>
        <v>600</v>
      </c>
      <c r="AQ601" s="5">
        <f>IF($A601="","",IFERROR(MATCH($A601,Raw_D2!$B$2:$B$1001,0),""))</f>
        <v>600</v>
      </c>
      <c r="AR601" s="5">
        <f>IF($A601="","",IFERROR(MATCH($A601,Raw_D3!$A$2:$A$1001,0),""))</f>
        <v/>
      </c>
    </row>
    <row r="602" spans="1:44" x14ac:dyDescent="0.25">
      <c r="A602" s="5">
        <v>601</v>
      </c>
      <c r="B602" s="11">
        <f>IF($A602="","",IF($AP602&lt;&gt;"",INDEX(Raw_D1!$B$2:$B$1001,$AP602),IF($AR602&lt;&gt;"",INDEX(Raw_D3!$B$2:$B$1001,$AR602),"")))</f>
        <v>40571.0</v>
      </c>
      <c r="C602" s="5">
        <f>IF($A602="","",IF($AP602&lt;&gt;"",INDEX(Raw_D1!$C$2:$C$1001,$AP602),IF($AR602&lt;&gt;"",INDEX(Raw_D3!$C$2:$C$1001,$AR602),"")))</f>
        <v>1</v>
      </c>
      <c r="D602" s="5">
        <f>IF($A602="","",IF($AP602&lt;&gt;"",INDEX(Raw_D1!$D$2:$D$1001,$AP602),IF($AR602&lt;&gt;"",INDEX(Raw_D3!$D$2:$D$1001,$AR602),"")))</f>
        <v>0</v>
      </c>
      <c r="E602" s="5">
        <f>IF($A602="","",IF($AP602&lt;&gt;"",INDEX(Raw_D1!$E$2:$E$1001,$AP602),IF($AR602&lt;&gt;"",INDEX(Raw_D3!$E$2:$E$1001,$AR602),"")))</f>
        <v>1</v>
      </c>
      <c r="F602" s="5">
        <f>IF($A602="","",IF($AP602&lt;&gt;"",INDEX(Raw_D1!$F$2:$F$1001,$AP602),IF($AR602&lt;&gt;"",INDEX(Raw_D3!$F$2:$F$1001,$AR602),"")))</f>
        <v>6</v>
      </c>
      <c r="G602" s="5">
        <f>IF($A602="","",IF($AP602&lt;&gt;"",IF(INDEX(Raw_D1!$G$2:$G$1001,$AP602),1,0),IF($AR602&lt;&gt;"",IF(INDEX(Raw_D3!$G$2:$G$1001,$AR602),1,0),"")))</f>
        <v>0</v>
      </c>
      <c r="H602" s="5">
        <f>IF($A602="","",IF($AP602&lt;&gt;"",INDEX(Raw_D1!$H$2:$H$1001,$AP602),IF($AR602&lt;&gt;"",INDEX(Raw_D3!$H$2:$H$1001,$AR602),"")))</f>
        <v>5</v>
      </c>
      <c r="I602" s="5">
        <f>IF($A602="","",IF($AP602&lt;&gt;"",INDEX(Raw_D1!$I$2:$I$1001,$AP602),IF($AR602&lt;&gt;"",INDEX(Raw_D3!$I$2:$I$1001,$AR602),"")))</f>
        <v>2</v>
      </c>
      <c r="J602" s="16">
        <f>IF($A602="","",IF($AP602&lt;&gt;"",INDEX(Raw_D1!$J$2:$J$1001,$AP602),IF($AR602&lt;&gt;"",INDEX(Raw_D3!$J$2:$J$1001,$AR602),"")))</f>
        <v>0.18</v>
      </c>
      <c r="K602" s="17">
        <f>IF($A602="","",IF($AQ602&lt;&gt;"",IF(INDEX(Raw_D2!$C$2:$C$1001,$AQ602)="","",INDEX(Raw_D2!$C$2:$C$1001,$AQ602)),IF($AR602&lt;&gt;"",IF(INDEX(Raw_D3!$K$2:$K$1001,$AR602)="","",INDEX(Raw_D3!$K$2:$K$1001,$AR602)),"")))</f>
        <v>0.197</v>
      </c>
      <c r="L602" s="16">
        <f>IF($A602="","",IF($AQ602&lt;&gt;"",IF(INDEX(Raw_D2!$D$2:$D$1001,$AQ602)="","",INDEX(Raw_D2!$D$2:$D$1001,$AQ602)),IF($AR602&lt;&gt;"",IF(INDEX(Raw_D3!$L$2:$L$1001,$AR602)="","",INDEX(Raw_D3!$L$2:$L$1001,$AR602)),"")))</f>
        <v>0.8</v>
      </c>
      <c r="M602" s="17">
        <f>IF($A602="","",IF($AQ602&lt;&gt;"",IF(INDEX(Raw_D2!$E$2:$E$1001,$AQ602)="","",INDEX(Raw_D2!$E$2:$E$1001,$AQ602)),IF($AR602&lt;&gt;"",IF(INDEX(Raw_D3!$M$2:$M$1001,$AR602)="","",INDEX(Raw_D3!$M$2:$M$1001,$AR602)),"")))</f>
        <v>0.1343</v>
      </c>
      <c r="N602" s="5">
        <f>IF($A602="","",IF($AQ602&lt;&gt;"",IF(INDEX(Raw_D2!$F$2:$F$1001,$AQ602)="","",INDEX(Raw_D2!$F$2:$F$1001,$AQ602)),IF($AR602&lt;&gt;"",IF(INDEX(Raw_D3!$N$2:$N$1001,$AR602)="","",INDEX(Raw_D3!$N$2:$N$1001,$AR602)),"")))</f>
        <v>0</v>
      </c>
      <c r="O602" s="5">
        <f>IF($A602="","",IF($AQ602&lt;&gt;"",IF(INDEX(Raw_D2!$G$2:$G$1001,$AQ602)="","",INDEX(Raw_D2!$G$2:$G$1001,$AQ602)),IF($AR602&lt;&gt;"",IF(INDEX(Raw_D3!$O$2:$O$1001,$AR602)="","",INDEX(Raw_D3!$O$2:$O$1001,$AR602)),"")))</f>
        <v>16</v>
      </c>
      <c r="P602" s="5">
        <f>IF($A602="","",IF($AQ602&lt;&gt;"",IF(INDEX(Raw_D2!$H$2:$H$1001,$AQ602)="","",INDEX(Raw_D2!$H$2:$H$1001,$AQ602)),IF($AR602&lt;&gt;"",IF(INDEX(Raw_D3!$P$2:$P$1001,$AR602)="","",INDEX(Raw_D3!$P$2:$P$1001,$AR602)),"")))</f>
        <v>16</v>
      </c>
      <c r="Q602" s="5" t="str">
        <f>IF($A602="","",IF(AND($AP602&lt;&gt;"",$AQ602&lt;&gt;""),"D1+D2",IF($AR602&lt;&gt;"","D3","Incomplete")))</f>
        <v>D1+D2</v>
      </c>
      <c r="R602" s="17">
        <f>IF($A602="","",IF($K602="",IF($J602="","",ROUND(Lookups!$K$5+Lookups!$K$4*$J602,4)),$K602))</f>
        <v>0.197</v>
      </c>
      <c r="S602" s="5" t="str">
        <f>IF($A602="","",IF($K602="","Imputed","Original"))</f>
        <v>Original</v>
      </c>
      <c r="T602" s="5" t="str">
        <f>IF($A602="","",IF($P602="","Missing",IF($P602=$N602+$O602,"OK","Mismatch")))</f>
        <v>OK</v>
      </c>
      <c r="U602" s="5" t="str">
        <f>IF($A602="","",IF(COUNTIF($A$2:$A602,$A602)&gt;1,"Duplicate","Unique"))</f>
        <v>Unique</v>
      </c>
      <c r="V602" s="5">
        <f>IF($A602="","",IF(AND($U602="Unique",ISNUMBER($P602)),1,0))</f>
        <v>1</v>
      </c>
      <c r="W602" s="5" t="str">
        <f>IF($A602="","",IF(OR($H602=0,$H602=6),"Weekend","Weekday"))</f>
        <v>Weekday</v>
      </c>
      <c r="X602" s="5" t="str">
        <f>IF($A602="","",TEXT($B602,"ddd"))</f>
        <v>Fri</v>
      </c>
      <c r="Y602" s="5" t="str">
        <f>IF($A602="","",TEXT($B602,"mmm"))</f>
        <v>Jan</v>
      </c>
      <c r="Z602" s="5" t="str">
        <f>IF($A602="","",IFERROR(VLOOKUP($C602,Lookups!$D$4:$E$7,2,FALSE),"Unknown"))</f>
        <v>Winter</v>
      </c>
      <c r="AA602" s="5" t="str">
        <f>IF($A602="","",IFERROR(VLOOKUP($I602,Lookups!$A$4:$B$7,2,FALSE),"Unknown"))</f>
        <v>Mist/Cloudy</v>
      </c>
      <c r="AB602" s="5" t="str">
        <f>IF($A602="","",TEXT($F602,"00")&amp;":00")</f>
        <v>06:00</v>
      </c>
      <c r="AC602" s="5" t="str">
        <f>IF($A602="","",VLOOKUP($F602,Lookups!$G$4:$H$8,2,TRUE))</f>
        <v>Morning Peak (06-09)</v>
      </c>
      <c r="AD602" s="18">
        <f>IF($A602="","",IF($J602="","",ROUND($J602*41,1)))</f>
        <v>7.4</v>
      </c>
      <c r="AE602" s="18">
        <f>IF($A602="","",IF($R602="","",ROUND($R602*50,1)))</f>
        <v>9.9</v>
      </c>
      <c r="AF602" s="5">
        <f>IF($A602="","",IF($L602="","",ROUND($L602*100,0)))</f>
        <v>80</v>
      </c>
      <c r="AG602" s="18">
        <f>IF($A602="","",IF($M602="","",ROUND($M602*67,1)))</f>
        <v>9</v>
      </c>
      <c r="AH602" s="19">
        <f>IF($A602="","",IF($P602="","",IF($P602=0,0,$O602/$P602)))</f>
        <v>1</v>
      </c>
      <c r="AI602" s="5" t="str">
        <f>IF($A602="","",IF($P602="","",IF($P602&gt;=Lookups!$K$7,"High",IF($P602&lt;=Lookups!$K$8,"Low","Medium"))))</f>
        <v>Low</v>
      </c>
      <c r="AJ602" s="5" t="str">
        <f>IF($A602="","",IF($AD602="","",IF($AD602&lt;5,"Under 5 C",IF($AD602&lt;10,"5-10 C",IF($AD602&lt;15,"10-15 C","15 C and above")))))</f>
        <v>5-10 C</v>
      </c>
      <c r="AK602" s="5">
        <f>IF($A602="","",IF($P602="","",$P602^2))</f>
        <v>256</v>
      </c>
      <c r="AL602" s="18">
        <f>IF($V602&lt;&gt;1,"",AVERAGEIFS(Clean_Data!$P$2:$P$1001,Clean_Data!$F$2:$F$1001,$F602,Clean_Data!$W$2:$W$1001,$W602,Clean_Data!$V$2:$V$1001,1))</f>
        <v>27.3793103448276</v>
      </c>
      <c r="AM602" s="16">
        <f>IF($V602&lt;&gt;1,"",IFERROR(($P602-$AL602)/SQRT(MAX(0,(SUMIFS(Clean_Data!$AK$2:$AK$1001,Clean_Data!$F$2:$F$1001,$F602,Clean_Data!$W$2:$W$1001,$W602,Clean_Data!$V$2:$V$1001,1)-COUNTIFS(Clean_Data!$F$2:$F$1001,$F602,Clean_Data!$W$2:$W$1001,$W602,Clean_Data!$V$2:$V$1001,1)*$AL602^2)/(COUNTIFS(Clean_Data!$F$2:$F$1001,$F602,Clean_Data!$W$2:$W$1001,$W602,Clean_Data!$V$2:$V$1001,1)-1))),""))</f>
        <v>-1.19455832603409</v>
      </c>
      <c r="AN602" s="5" t="str">
        <f>IF($AM602="","",IF($AM602&gt;=Lookups!$K$6,"High spike",IF($AM602&lt;=-Lookups!$K$6,"Unusual low","Normal")))</f>
        <v>Normal</v>
      </c>
      <c r="AO602" s="20">
        <f>IF($V602&lt;&gt;1,"",$P602+ROW()/100000)</f>
        <v>16.00602</v>
      </c>
      <c r="AP602" s="5">
        <f>IF($A602="","",IFERROR(MATCH($A602,Raw_D1!$A$2:$A$1001,0),""))</f>
        <v>601</v>
      </c>
      <c r="AQ602" s="5">
        <f>IF($A602="","",IFERROR(MATCH($A602,Raw_D2!$B$2:$B$1001,0),""))</f>
        <v>601</v>
      </c>
      <c r="AR602" s="5">
        <f>IF($A602="","",IFERROR(MATCH($A602,Raw_D3!$A$2:$A$1001,0),""))</f>
        <v/>
      </c>
    </row>
    <row r="603" spans="1:44" x14ac:dyDescent="0.25">
      <c r="A603" s="5">
        <v>602</v>
      </c>
      <c r="B603" s="11">
        <f>IF($A603="","",IF($AP603&lt;&gt;"",INDEX(Raw_D1!$B$2:$B$1001,$AP603),IF($AR603&lt;&gt;"",INDEX(Raw_D3!$B$2:$B$1001,$AR603),"")))</f>
        <v>40571.0</v>
      </c>
      <c r="C603" s="5">
        <f>IF($A603="","",IF($AP603&lt;&gt;"",INDEX(Raw_D1!$C$2:$C$1001,$AP603),IF($AR603&lt;&gt;"",INDEX(Raw_D3!$C$2:$C$1001,$AR603),"")))</f>
        <v>1</v>
      </c>
      <c r="D603" s="5">
        <f>IF($A603="","",IF($AP603&lt;&gt;"",INDEX(Raw_D1!$D$2:$D$1001,$AP603),IF($AR603&lt;&gt;"",INDEX(Raw_D3!$D$2:$D$1001,$AR603),"")))</f>
        <v>0</v>
      </c>
      <c r="E603" s="5">
        <f>IF($A603="","",IF($AP603&lt;&gt;"",INDEX(Raw_D1!$E$2:$E$1001,$AP603),IF($AR603&lt;&gt;"",INDEX(Raw_D3!$E$2:$E$1001,$AR603),"")))</f>
        <v>1</v>
      </c>
      <c r="F603" s="5">
        <f>IF($A603="","",IF($AP603&lt;&gt;"",INDEX(Raw_D1!$F$2:$F$1001,$AP603),IF($AR603&lt;&gt;"",INDEX(Raw_D3!$F$2:$F$1001,$AR603),"")))</f>
        <v>7</v>
      </c>
      <c r="G603" s="5">
        <f>IF($A603="","",IF($AP603&lt;&gt;"",IF(INDEX(Raw_D1!$G$2:$G$1001,$AP603),1,0),IF($AR603&lt;&gt;"",IF(INDEX(Raw_D3!$G$2:$G$1001,$AR603),1,0),"")))</f>
        <v>0</v>
      </c>
      <c r="H603" s="5">
        <f>IF($A603="","",IF($AP603&lt;&gt;"",INDEX(Raw_D1!$H$2:$H$1001,$AP603),IF($AR603&lt;&gt;"",INDEX(Raw_D3!$H$2:$H$1001,$AR603),"")))</f>
        <v>5</v>
      </c>
      <c r="I603" s="5">
        <f>IF($A603="","",IF($AP603&lt;&gt;"",INDEX(Raw_D1!$I$2:$I$1001,$AP603),IF($AR603&lt;&gt;"",INDEX(Raw_D3!$I$2:$I$1001,$AR603),"")))</f>
        <v>2</v>
      </c>
      <c r="J603" s="16">
        <f>IF($A603="","",IF($AP603&lt;&gt;"",INDEX(Raw_D1!$J$2:$J$1001,$AP603),IF($AR603&lt;&gt;"",INDEX(Raw_D3!$J$2:$J$1001,$AR603),"")))</f>
        <v>0.16</v>
      </c>
      <c r="K603" s="17">
        <f>IF($A603="","",IF($AQ603&lt;&gt;"",IF(INDEX(Raw_D2!$C$2:$C$1001,$AQ603)="","",INDEX(Raw_D2!$C$2:$C$1001,$AQ603)),IF($AR603&lt;&gt;"",IF(INDEX(Raw_D3!$K$2:$K$1001,$AR603)="","",INDEX(Raw_D3!$K$2:$K$1001,$AR603)),"")))</f>
        <v>0.197</v>
      </c>
      <c r="L603" s="16">
        <f>IF($A603="","",IF($AQ603&lt;&gt;"",IF(INDEX(Raw_D2!$D$2:$D$1001,$AQ603)="","",INDEX(Raw_D2!$D$2:$D$1001,$AQ603)),IF($AR603&lt;&gt;"",IF(INDEX(Raw_D3!$L$2:$L$1001,$AR603)="","",INDEX(Raw_D3!$L$2:$L$1001,$AR603)),"")))</f>
        <v>0.86</v>
      </c>
      <c r="M603" s="17">
        <f>IF($A603="","",IF($AQ603&lt;&gt;"",IF(INDEX(Raw_D2!$E$2:$E$1001,$AQ603)="","",INDEX(Raw_D2!$E$2:$E$1001,$AQ603)),IF($AR603&lt;&gt;"",IF(INDEX(Raw_D3!$M$2:$M$1001,$AR603)="","",INDEX(Raw_D3!$M$2:$M$1001,$AR603)),"")))</f>
        <v>0.0896</v>
      </c>
      <c r="N603" s="5">
        <f>IF($A603="","",IF($AQ603&lt;&gt;"",IF(INDEX(Raw_D2!$F$2:$F$1001,$AQ603)="","",INDEX(Raw_D2!$F$2:$F$1001,$AQ603)),IF($AR603&lt;&gt;"",IF(INDEX(Raw_D3!$N$2:$N$1001,$AR603)="","",INDEX(Raw_D3!$N$2:$N$1001,$AR603)),"")))</f>
        <v>2</v>
      </c>
      <c r="O603" s="5">
        <f>IF($A603="","",IF($AQ603&lt;&gt;"",IF(INDEX(Raw_D2!$G$2:$G$1001,$AQ603)="","",INDEX(Raw_D2!$G$2:$G$1001,$AQ603)),IF($AR603&lt;&gt;"",IF(INDEX(Raw_D3!$O$2:$O$1001,$AR603)="","",INDEX(Raw_D3!$O$2:$O$1001,$AR603)),"")))</f>
        <v>58</v>
      </c>
      <c r="P603" s="5">
        <f>IF($A603="","",IF($AQ603&lt;&gt;"",IF(INDEX(Raw_D2!$H$2:$H$1001,$AQ603)="","",INDEX(Raw_D2!$H$2:$H$1001,$AQ603)),IF($AR603&lt;&gt;"",IF(INDEX(Raw_D3!$P$2:$P$1001,$AR603)="","",INDEX(Raw_D3!$P$2:$P$1001,$AR603)),"")))</f>
        <v>60</v>
      </c>
      <c r="Q603" s="5" t="str">
        <f>IF($A603="","",IF(AND($AP603&lt;&gt;"",$AQ603&lt;&gt;""),"D1+D2",IF($AR603&lt;&gt;"","D3","Incomplete")))</f>
        <v>D1+D2</v>
      </c>
      <c r="R603" s="17">
        <f>IF($A603="","",IF($K603="",IF($J603="","",ROUND(Lookups!$K$5+Lookups!$K$4*$J603,4)),$K603))</f>
        <v>0.197</v>
      </c>
      <c r="S603" s="5" t="str">
        <f>IF($A603="","",IF($K603="","Imputed","Original"))</f>
        <v>Original</v>
      </c>
      <c r="T603" s="5" t="str">
        <f>IF($A603="","",IF($P603="","Missing",IF($P603=$N603+$O603,"OK","Mismatch")))</f>
        <v>OK</v>
      </c>
      <c r="U603" s="5" t="str">
        <f>IF($A603="","",IF(COUNTIF($A$2:$A603,$A603)&gt;1,"Duplicate","Unique"))</f>
        <v>Unique</v>
      </c>
      <c r="V603" s="5">
        <f>IF($A603="","",IF(AND($U603="Unique",ISNUMBER($P603)),1,0))</f>
        <v>1</v>
      </c>
      <c r="W603" s="5" t="str">
        <f>IF($A603="","",IF(OR($H603=0,$H603=6),"Weekend","Weekday"))</f>
        <v>Weekday</v>
      </c>
      <c r="X603" s="5" t="str">
        <f>IF($A603="","",TEXT($B603,"ddd"))</f>
        <v>Fri</v>
      </c>
      <c r="Y603" s="5" t="str">
        <f>IF($A603="","",TEXT($B603,"mmm"))</f>
        <v>Jan</v>
      </c>
      <c r="Z603" s="5" t="str">
        <f>IF($A603="","",IFERROR(VLOOKUP($C603,Lookups!$D$4:$E$7,2,FALSE),"Unknown"))</f>
        <v>Winter</v>
      </c>
      <c r="AA603" s="5" t="str">
        <f>IF($A603="","",IFERROR(VLOOKUP($I603,Lookups!$A$4:$B$7,2,FALSE),"Unknown"))</f>
        <v>Mist/Cloudy</v>
      </c>
      <c r="AB603" s="5" t="str">
        <f>IF($A603="","",TEXT($F603,"00")&amp;":00")</f>
        <v>07:00</v>
      </c>
      <c r="AC603" s="5" t="str">
        <f>IF($A603="","",VLOOKUP($F603,Lookups!$G$4:$H$8,2,TRUE))</f>
        <v>Morning Peak (06-09)</v>
      </c>
      <c r="AD603" s="18">
        <f>IF($A603="","",IF($J603="","",ROUND($J603*41,1)))</f>
        <v>6.6</v>
      </c>
      <c r="AE603" s="18">
        <f>IF($A603="","",IF($R603="","",ROUND($R603*50,1)))</f>
        <v>9.9</v>
      </c>
      <c r="AF603" s="5">
        <f>IF($A603="","",IF($L603="","",ROUND($L603*100,0)))</f>
        <v>86</v>
      </c>
      <c r="AG603" s="18">
        <f>IF($A603="","",IF($M603="","",ROUND($M603*67,1)))</f>
        <v>6</v>
      </c>
      <c r="AH603" s="19">
        <f>IF($A603="","",IF($P603="","",IF($P603=0,0,$O603/$P603)))</f>
        <v>0.966666666666667</v>
      </c>
      <c r="AI603" s="5" t="str">
        <f>IF($A603="","",IF($P603="","",IF($P603&gt;=Lookups!$K$7,"High",IF($P603&lt;=Lookups!$K$8,"Low","Medium"))))</f>
        <v>Medium</v>
      </c>
      <c r="AJ603" s="5" t="str">
        <f>IF($A603="","",IF($AD603="","",IF($AD603&lt;5,"Under 5 C",IF($AD603&lt;10,"5-10 C",IF($AD603&lt;15,"10-15 C","15 C and above")))))</f>
        <v>5-10 C</v>
      </c>
      <c r="AK603" s="5">
        <f>IF($A603="","",IF($P603="","",$P603^2))</f>
        <v>3600</v>
      </c>
      <c r="AL603" s="18">
        <f>IF($V603&lt;&gt;1,"",AVERAGEIFS(Clean_Data!$P$2:$P$1001,Clean_Data!$F$2:$F$1001,$F603,Clean_Data!$W$2:$W$1001,$W603,Clean_Data!$V$2:$V$1001,1))</f>
        <v>78.0344827586207</v>
      </c>
      <c r="AM603" s="16">
        <f>IF($V603&lt;&gt;1,"",IFERROR(($P603-$AL603)/SQRT(MAX(0,(SUMIFS(Clean_Data!$AK$2:$AK$1001,Clean_Data!$F$2:$F$1001,$F603,Clean_Data!$W$2:$W$1001,$W603,Clean_Data!$V$2:$V$1001,1)-COUNTIFS(Clean_Data!$F$2:$F$1001,$F603,Clean_Data!$W$2:$W$1001,$W603,Clean_Data!$V$2:$V$1001,1)*$AL603^2)/(COUNTIFS(Clean_Data!$F$2:$F$1001,$F603,Clean_Data!$W$2:$W$1001,$W603,Clean_Data!$V$2:$V$1001,1)-1))),""))</f>
        <v>-0.79682551020606</v>
      </c>
      <c r="AN603" s="5" t="str">
        <f>IF($AM603="","",IF($AM603&gt;=Lookups!$K$6,"High spike",IF($AM603&lt;=-Lookups!$K$6,"Unusual low","Normal")))</f>
        <v>Normal</v>
      </c>
      <c r="AO603" s="20">
        <f>IF($V603&lt;&gt;1,"",$P603+ROW()/100000)</f>
        <v>60.00603</v>
      </c>
      <c r="AP603" s="5">
        <f>IF($A603="","",IFERROR(MATCH($A603,Raw_D1!$A$2:$A$1001,0),""))</f>
        <v>602</v>
      </c>
      <c r="AQ603" s="5">
        <f>IF($A603="","",IFERROR(MATCH($A603,Raw_D2!$B$2:$B$1001,0),""))</f>
        <v>602</v>
      </c>
      <c r="AR603" s="5">
        <f>IF($A603="","",IFERROR(MATCH($A603,Raw_D3!$A$2:$A$1001,0),""))</f>
        <v/>
      </c>
    </row>
    <row r="604" spans="1:44" x14ac:dyDescent="0.25">
      <c r="A604" s="5">
        <v>603</v>
      </c>
      <c r="B604" s="11">
        <f>IF($A604="","",IF($AP604&lt;&gt;"",INDEX(Raw_D1!$B$2:$B$1001,$AP604),IF($AR604&lt;&gt;"",INDEX(Raw_D3!$B$2:$B$1001,$AR604),"")))</f>
        <v>40571.0</v>
      </c>
      <c r="C604" s="5">
        <f>IF($A604="","",IF($AP604&lt;&gt;"",INDEX(Raw_D1!$C$2:$C$1001,$AP604),IF($AR604&lt;&gt;"",INDEX(Raw_D3!$C$2:$C$1001,$AR604),"")))</f>
        <v>1</v>
      </c>
      <c r="D604" s="5">
        <f>IF($A604="","",IF($AP604&lt;&gt;"",INDEX(Raw_D1!$D$2:$D$1001,$AP604),IF($AR604&lt;&gt;"",INDEX(Raw_D3!$D$2:$D$1001,$AR604),"")))</f>
        <v>0</v>
      </c>
      <c r="E604" s="5">
        <f>IF($A604="","",IF($AP604&lt;&gt;"",INDEX(Raw_D1!$E$2:$E$1001,$AP604),IF($AR604&lt;&gt;"",INDEX(Raw_D3!$E$2:$E$1001,$AR604),"")))</f>
        <v>1</v>
      </c>
      <c r="F604" s="5">
        <f>IF($A604="","",IF($AP604&lt;&gt;"",INDEX(Raw_D1!$F$2:$F$1001,$AP604),IF($AR604&lt;&gt;"",INDEX(Raw_D3!$F$2:$F$1001,$AR604),"")))</f>
        <v>8</v>
      </c>
      <c r="G604" s="5">
        <f>IF($A604="","",IF($AP604&lt;&gt;"",IF(INDEX(Raw_D1!$G$2:$G$1001,$AP604),1,0),IF($AR604&lt;&gt;"",IF(INDEX(Raw_D3!$G$2:$G$1001,$AR604),1,0),"")))</f>
        <v>0</v>
      </c>
      <c r="H604" s="5">
        <f>IF($A604="","",IF($AP604&lt;&gt;"",INDEX(Raw_D1!$H$2:$H$1001,$AP604),IF($AR604&lt;&gt;"",INDEX(Raw_D3!$H$2:$H$1001,$AR604),"")))</f>
        <v>5</v>
      </c>
      <c r="I604" s="5">
        <f>IF($A604="","",IF($AP604&lt;&gt;"",INDEX(Raw_D1!$I$2:$I$1001,$AP604),IF($AR604&lt;&gt;"",INDEX(Raw_D3!$I$2:$I$1001,$AR604),"")))</f>
        <v>2</v>
      </c>
      <c r="J604" s="16">
        <f>IF($A604="","",IF($AP604&lt;&gt;"",INDEX(Raw_D1!$J$2:$J$1001,$AP604),IF($AR604&lt;&gt;"",INDEX(Raw_D3!$J$2:$J$1001,$AR604),"")))</f>
        <v>0.16</v>
      </c>
      <c r="K604" s="17">
        <f>IF($A604="","",IF($AQ604&lt;&gt;"",IF(INDEX(Raw_D2!$C$2:$C$1001,$AQ604)="","",INDEX(Raw_D2!$C$2:$C$1001,$AQ604)),IF($AR604&lt;&gt;"",IF(INDEX(Raw_D3!$K$2:$K$1001,$AR604)="","",INDEX(Raw_D3!$K$2:$K$1001,$AR604)),"")))</f>
        <v>0.197</v>
      </c>
      <c r="L604" s="16">
        <f>IF($A604="","",IF($AQ604&lt;&gt;"",IF(INDEX(Raw_D2!$D$2:$D$1001,$AQ604)="","",INDEX(Raw_D2!$D$2:$D$1001,$AQ604)),IF($AR604&lt;&gt;"",IF(INDEX(Raw_D3!$L$2:$L$1001,$AR604)="","",INDEX(Raw_D3!$L$2:$L$1001,$AR604)),"")))</f>
        <v>0.86</v>
      </c>
      <c r="M604" s="17">
        <f>IF($A604="","",IF($AQ604&lt;&gt;"",IF(INDEX(Raw_D2!$E$2:$E$1001,$AQ604)="","",INDEX(Raw_D2!$E$2:$E$1001,$AQ604)),IF($AR604&lt;&gt;"",IF(INDEX(Raw_D3!$M$2:$M$1001,$AR604)="","",INDEX(Raw_D3!$M$2:$M$1001,$AR604)),"")))</f>
        <v>0.0896</v>
      </c>
      <c r="N604" s="5">
        <f>IF($A604="","",IF($AQ604&lt;&gt;"",IF(INDEX(Raw_D2!$F$2:$F$1001,$AQ604)="","",INDEX(Raw_D2!$F$2:$F$1001,$AQ604)),IF($AR604&lt;&gt;"",IF(INDEX(Raw_D3!$N$2:$N$1001,$AR604)="","",INDEX(Raw_D3!$N$2:$N$1001,$AR604)),"")))</f>
        <v>2</v>
      </c>
      <c r="O604" s="5">
        <f>IF($A604="","",IF($AQ604&lt;&gt;"",IF(INDEX(Raw_D2!$G$2:$G$1001,$AQ604)="","",INDEX(Raw_D2!$G$2:$G$1001,$AQ604)),IF($AR604&lt;&gt;"",IF(INDEX(Raw_D3!$O$2:$O$1001,$AR604)="","",INDEX(Raw_D3!$O$2:$O$1001,$AR604)),"")))</f>
        <v>155</v>
      </c>
      <c r="P604" s="5">
        <f>IF($A604="","",IF($AQ604&lt;&gt;"",IF(INDEX(Raw_D2!$H$2:$H$1001,$AQ604)="","",INDEX(Raw_D2!$H$2:$H$1001,$AQ604)),IF($AR604&lt;&gt;"",IF(INDEX(Raw_D3!$P$2:$P$1001,$AR604)="","",INDEX(Raw_D3!$P$2:$P$1001,$AR604)),"")))</f>
        <v>157</v>
      </c>
      <c r="Q604" s="5" t="str">
        <f>IF($A604="","",IF(AND($AP604&lt;&gt;"",$AQ604&lt;&gt;""),"D1+D2",IF($AR604&lt;&gt;"","D3","Incomplete")))</f>
        <v>D1+D2</v>
      </c>
      <c r="R604" s="17">
        <f>IF($A604="","",IF($K604="",IF($J604="","",ROUND(Lookups!$K$5+Lookups!$K$4*$J604,4)),$K604))</f>
        <v>0.197</v>
      </c>
      <c r="S604" s="5" t="str">
        <f>IF($A604="","",IF($K604="","Imputed","Original"))</f>
        <v>Original</v>
      </c>
      <c r="T604" s="5" t="str">
        <f>IF($A604="","",IF($P604="","Missing",IF($P604=$N604+$O604,"OK","Mismatch")))</f>
        <v>OK</v>
      </c>
      <c r="U604" s="5" t="str">
        <f>IF($A604="","",IF(COUNTIF($A$2:$A604,$A604)&gt;1,"Duplicate","Unique"))</f>
        <v>Unique</v>
      </c>
      <c r="V604" s="5">
        <f>IF($A604="","",IF(AND($U604="Unique",ISNUMBER($P604)),1,0))</f>
        <v>1</v>
      </c>
      <c r="W604" s="5" t="str">
        <f>IF($A604="","",IF(OR($H604=0,$H604=6),"Weekend","Weekday"))</f>
        <v>Weekday</v>
      </c>
      <c r="X604" s="5" t="str">
        <f>IF($A604="","",TEXT($B604,"ddd"))</f>
        <v>Fri</v>
      </c>
      <c r="Y604" s="5" t="str">
        <f>IF($A604="","",TEXT($B604,"mmm"))</f>
        <v>Jan</v>
      </c>
      <c r="Z604" s="5" t="str">
        <f>IF($A604="","",IFERROR(VLOOKUP($C604,Lookups!$D$4:$E$7,2,FALSE),"Unknown"))</f>
        <v>Winter</v>
      </c>
      <c r="AA604" s="5" t="str">
        <f>IF($A604="","",IFERROR(VLOOKUP($I604,Lookups!$A$4:$B$7,2,FALSE),"Unknown"))</f>
        <v>Mist/Cloudy</v>
      </c>
      <c r="AB604" s="5" t="str">
        <f>IF($A604="","",TEXT($F604,"00")&amp;":00")</f>
        <v>08:00</v>
      </c>
      <c r="AC604" s="5" t="str">
        <f>IF($A604="","",VLOOKUP($F604,Lookups!$G$4:$H$8,2,TRUE))</f>
        <v>Morning Peak (06-09)</v>
      </c>
      <c r="AD604" s="18">
        <f>IF($A604="","",IF($J604="","",ROUND($J604*41,1)))</f>
        <v>6.6</v>
      </c>
      <c r="AE604" s="18">
        <f>IF($A604="","",IF($R604="","",ROUND($R604*50,1)))</f>
        <v>9.9</v>
      </c>
      <c r="AF604" s="5">
        <f>IF($A604="","",IF($L604="","",ROUND($L604*100,0)))</f>
        <v>86</v>
      </c>
      <c r="AG604" s="18">
        <f>IF($A604="","",IF($M604="","",ROUND($M604*67,1)))</f>
        <v>6</v>
      </c>
      <c r="AH604" s="19">
        <f>IF($A604="","",IF($P604="","",IF($P604=0,0,$O604/$P604)))</f>
        <v>0.987261146496815</v>
      </c>
      <c r="AI604" s="5" t="str">
        <f>IF($A604="","",IF($P604="","",IF($P604&gt;=Lookups!$K$7,"High",IF($P604&lt;=Lookups!$K$8,"Low","Medium"))))</f>
        <v>High</v>
      </c>
      <c r="AJ604" s="5" t="str">
        <f>IF($A604="","",IF($AD604="","",IF($AD604&lt;5,"Under 5 C",IF($AD604&lt;10,"5-10 C",IF($AD604&lt;15,"10-15 C","15 C and above")))))</f>
        <v>5-10 C</v>
      </c>
      <c r="AK604" s="5">
        <f>IF($A604="","",IF($P604="","",$P604^2))</f>
        <v>24649</v>
      </c>
      <c r="AL604" s="18">
        <f>IF($V604&lt;&gt;1,"",AVERAGEIFS(Clean_Data!$P$2:$P$1001,Clean_Data!$F$2:$F$1001,$F604,Clean_Data!$W$2:$W$1001,$W604,Clean_Data!$V$2:$V$1001,1))</f>
        <v>183.535714285714</v>
      </c>
      <c r="AM604" s="16">
        <f>IF($V604&lt;&gt;1,"",IFERROR(($P604-$AL604)/SQRT(MAX(0,(SUMIFS(Clean_Data!$AK$2:$AK$1001,Clean_Data!$F$2:$F$1001,$F604,Clean_Data!$W$2:$W$1001,$W604,Clean_Data!$V$2:$V$1001,1)-COUNTIFS(Clean_Data!$F$2:$F$1001,$F604,Clean_Data!$W$2:$W$1001,$W604,Clean_Data!$V$2:$V$1001,1)*$AL604^2)/(COUNTIFS(Clean_Data!$F$2:$F$1001,$F604,Clean_Data!$W$2:$W$1001,$W604,Clean_Data!$V$2:$V$1001,1)-1))),""))</f>
        <v>-0.544433602572116</v>
      </c>
      <c r="AN604" s="5" t="str">
        <f>IF($AM604="","",IF($AM604&gt;=Lookups!$K$6,"High spike",IF($AM604&lt;=-Lookups!$K$6,"Unusual low","Normal")))</f>
        <v>Normal</v>
      </c>
      <c r="AO604" s="20">
        <f>IF($V604&lt;&gt;1,"",$P604+ROW()/100000)</f>
        <v>157.00604</v>
      </c>
      <c r="AP604" s="5">
        <f>IF($A604="","",IFERROR(MATCH($A604,Raw_D1!$A$2:$A$1001,0),""))</f>
        <v>603</v>
      </c>
      <c r="AQ604" s="5">
        <f>IF($A604="","",IFERROR(MATCH($A604,Raw_D2!$B$2:$B$1001,0),""))</f>
        <v>603</v>
      </c>
      <c r="AR604" s="5">
        <f>IF($A604="","",IFERROR(MATCH($A604,Raw_D3!$A$2:$A$1001,0),""))</f>
        <v/>
      </c>
    </row>
    <row r="605" spans="1:44" x14ac:dyDescent="0.25">
      <c r="A605" s="5">
        <v>604</v>
      </c>
      <c r="B605" s="11">
        <f>IF($A605="","",IF($AP605&lt;&gt;"",INDEX(Raw_D1!$B$2:$B$1001,$AP605),IF($AR605&lt;&gt;"",INDEX(Raw_D3!$B$2:$B$1001,$AR605),"")))</f>
        <v>40571.0</v>
      </c>
      <c r="C605" s="5">
        <f>IF($A605="","",IF($AP605&lt;&gt;"",INDEX(Raw_D1!$C$2:$C$1001,$AP605),IF($AR605&lt;&gt;"",INDEX(Raw_D3!$C$2:$C$1001,$AR605),"")))</f>
        <v>1</v>
      </c>
      <c r="D605" s="5">
        <f>IF($A605="","",IF($AP605&lt;&gt;"",INDEX(Raw_D1!$D$2:$D$1001,$AP605),IF($AR605&lt;&gt;"",INDEX(Raw_D3!$D$2:$D$1001,$AR605),"")))</f>
        <v>0</v>
      </c>
      <c r="E605" s="5">
        <f>IF($A605="","",IF($AP605&lt;&gt;"",INDEX(Raw_D1!$E$2:$E$1001,$AP605),IF($AR605&lt;&gt;"",INDEX(Raw_D3!$E$2:$E$1001,$AR605),"")))</f>
        <v>1</v>
      </c>
      <c r="F605" s="5">
        <f>IF($A605="","",IF($AP605&lt;&gt;"",INDEX(Raw_D1!$F$2:$F$1001,$AP605),IF($AR605&lt;&gt;"",INDEX(Raw_D3!$F$2:$F$1001,$AR605),"")))</f>
        <v>9</v>
      </c>
      <c r="G605" s="5">
        <f>IF($A605="","",IF($AP605&lt;&gt;"",IF(INDEX(Raw_D1!$G$2:$G$1001,$AP605),1,0),IF($AR605&lt;&gt;"",IF(INDEX(Raw_D3!$G$2:$G$1001,$AR605),1,0),"")))</f>
        <v>0</v>
      </c>
      <c r="H605" s="5">
        <f>IF($A605="","",IF($AP605&lt;&gt;"",INDEX(Raw_D1!$H$2:$H$1001,$AP605),IF($AR605&lt;&gt;"",INDEX(Raw_D3!$H$2:$H$1001,$AR605),"")))</f>
        <v>5</v>
      </c>
      <c r="I605" s="5">
        <f>IF($A605="","",IF($AP605&lt;&gt;"",INDEX(Raw_D1!$I$2:$I$1001,$AP605),IF($AR605&lt;&gt;"",INDEX(Raw_D3!$I$2:$I$1001,$AR605),"")))</f>
        <v>3</v>
      </c>
      <c r="J605" s="16">
        <f>IF($A605="","",IF($AP605&lt;&gt;"",INDEX(Raw_D1!$J$2:$J$1001,$AP605),IF($AR605&lt;&gt;"",INDEX(Raw_D3!$J$2:$J$1001,$AR605),"")))</f>
        <v>0.18</v>
      </c>
      <c r="K605" s="17">
        <f>IF($A605="","",IF($AQ605&lt;&gt;"",IF(INDEX(Raw_D2!$C$2:$C$1001,$AQ605)="","",INDEX(Raw_D2!$C$2:$C$1001,$AQ605)),IF($AR605&lt;&gt;"",IF(INDEX(Raw_D3!$K$2:$K$1001,$AR605)="","",INDEX(Raw_D3!$K$2:$K$1001,$AR605)),"")))</f>
        <v>0.2121</v>
      </c>
      <c r="L605" s="16">
        <f>IF($A605="","",IF($AQ605&lt;&gt;"",IF(INDEX(Raw_D2!$D$2:$D$1001,$AQ605)="","",INDEX(Raw_D2!$D$2:$D$1001,$AQ605)),IF($AR605&lt;&gt;"",IF(INDEX(Raw_D3!$L$2:$L$1001,$AR605)="","",INDEX(Raw_D3!$L$2:$L$1001,$AR605)),"")))</f>
        <v>0.86</v>
      </c>
      <c r="M605" s="17">
        <f>IF($A605="","",IF($AQ605&lt;&gt;"",IF(INDEX(Raw_D2!$E$2:$E$1001,$AQ605)="","",INDEX(Raw_D2!$E$2:$E$1001,$AQ605)),IF($AR605&lt;&gt;"",IF(INDEX(Raw_D3!$M$2:$M$1001,$AR605)="","",INDEX(Raw_D3!$M$2:$M$1001,$AR605)),"")))</f>
        <v>0.0896</v>
      </c>
      <c r="N605" s="5">
        <f>IF($A605="","",IF($AQ605&lt;&gt;"",IF(INDEX(Raw_D2!$F$2:$F$1001,$AQ605)="","",INDEX(Raw_D2!$F$2:$F$1001,$AQ605)),IF($AR605&lt;&gt;"",IF(INDEX(Raw_D3!$N$2:$N$1001,$AR605)="","",INDEX(Raw_D3!$N$2:$N$1001,$AR605)),"")))</f>
        <v>6</v>
      </c>
      <c r="O605" s="5">
        <f>IF($A605="","",IF($AQ605&lt;&gt;"",IF(INDEX(Raw_D2!$G$2:$G$1001,$AQ605)="","",INDEX(Raw_D2!$G$2:$G$1001,$AQ605)),IF($AR605&lt;&gt;"",IF(INDEX(Raw_D3!$O$2:$O$1001,$AR605)="","",INDEX(Raw_D3!$O$2:$O$1001,$AR605)),"")))</f>
        <v>95</v>
      </c>
      <c r="P605" s="5">
        <f>IF($A605="","",IF($AQ605&lt;&gt;"",IF(INDEX(Raw_D2!$H$2:$H$1001,$AQ605)="","",INDEX(Raw_D2!$H$2:$H$1001,$AQ605)),IF($AR605&lt;&gt;"",IF(INDEX(Raw_D3!$P$2:$P$1001,$AR605)="","",INDEX(Raw_D3!$P$2:$P$1001,$AR605)),"")))</f>
        <v>101</v>
      </c>
      <c r="Q605" s="5" t="str">
        <f>IF($A605="","",IF(AND($AP605&lt;&gt;"",$AQ605&lt;&gt;""),"D1+D2",IF($AR605&lt;&gt;"","D3","Incomplete")))</f>
        <v>D1+D2</v>
      </c>
      <c r="R605" s="17">
        <f>IF($A605="","",IF($K605="",IF($J605="","",ROUND(Lookups!$K$5+Lookups!$K$4*$J605,4)),$K605))</f>
        <v>0.2121</v>
      </c>
      <c r="S605" s="5" t="str">
        <f>IF($A605="","",IF($K605="","Imputed","Original"))</f>
        <v>Original</v>
      </c>
      <c r="T605" s="5" t="str">
        <f>IF($A605="","",IF($P605="","Missing",IF($P605=$N605+$O605,"OK","Mismatch")))</f>
        <v>OK</v>
      </c>
      <c r="U605" s="5" t="str">
        <f>IF($A605="","",IF(COUNTIF($A$2:$A605,$A605)&gt;1,"Duplicate","Unique"))</f>
        <v>Unique</v>
      </c>
      <c r="V605" s="5">
        <f>IF($A605="","",IF(AND($U605="Unique",ISNUMBER($P605)),1,0))</f>
        <v>1</v>
      </c>
      <c r="W605" s="5" t="str">
        <f>IF($A605="","",IF(OR($H605=0,$H605=6),"Weekend","Weekday"))</f>
        <v>Weekday</v>
      </c>
      <c r="X605" s="5" t="str">
        <f>IF($A605="","",TEXT($B605,"ddd"))</f>
        <v>Fri</v>
      </c>
      <c r="Y605" s="5" t="str">
        <f>IF($A605="","",TEXT($B605,"mmm"))</f>
        <v>Jan</v>
      </c>
      <c r="Z605" s="5" t="str">
        <f>IF($A605="","",IFERROR(VLOOKUP($C605,Lookups!$D$4:$E$7,2,FALSE),"Unknown"))</f>
        <v>Winter</v>
      </c>
      <c r="AA605" s="5" t="str">
        <f>IF($A605="","",IFERROR(VLOOKUP($I605,Lookups!$A$4:$B$7,2,FALSE),"Unknown"))</f>
        <v>Light Rain/Snow</v>
      </c>
      <c r="AB605" s="5" t="str">
        <f>IF($A605="","",TEXT($F605,"00")&amp;":00")</f>
        <v>09:00</v>
      </c>
      <c r="AC605" s="5" t="str">
        <f>IF($A605="","",VLOOKUP($F605,Lookups!$G$4:$H$8,2,TRUE))</f>
        <v>Morning Peak (06-09)</v>
      </c>
      <c r="AD605" s="18">
        <f>IF($A605="","",IF($J605="","",ROUND($J605*41,1)))</f>
        <v>7.4</v>
      </c>
      <c r="AE605" s="18">
        <f>IF($A605="","",IF($R605="","",ROUND($R605*50,1)))</f>
        <v>10.6</v>
      </c>
      <c r="AF605" s="5">
        <f>IF($A605="","",IF($L605="","",ROUND($L605*100,0)))</f>
        <v>86</v>
      </c>
      <c r="AG605" s="18">
        <f>IF($A605="","",IF($M605="","",ROUND($M605*67,1)))</f>
        <v>6</v>
      </c>
      <c r="AH605" s="19">
        <f>IF($A605="","",IF($P605="","",IF($P605=0,0,$O605/$P605)))</f>
        <v>0.940594059405941</v>
      </c>
      <c r="AI605" s="5" t="str">
        <f>IF($A605="","",IF($P605="","",IF($P605&gt;=Lookups!$K$7,"High",IF($P605&lt;=Lookups!$K$8,"Low","Medium"))))</f>
        <v>High</v>
      </c>
      <c r="AJ605" s="5" t="str">
        <f>IF($A605="","",IF($AD605="","",IF($AD605&lt;5,"Under 5 C",IF($AD605&lt;10,"5-10 C",IF($AD605&lt;15,"10-15 C","15 C and above")))))</f>
        <v>5-10 C</v>
      </c>
      <c r="AK605" s="5">
        <f>IF($A605="","",IF($P605="","",$P605^2))</f>
        <v>10201</v>
      </c>
      <c r="AL605" s="18">
        <f>IF($V605&lt;&gt;1,"",AVERAGEIFS(Clean_Data!$P$2:$P$1001,Clean_Data!$F$2:$F$1001,$F605,Clean_Data!$W$2:$W$1001,$W605,Clean_Data!$V$2:$V$1001,1))</f>
        <v>115.678571428571</v>
      </c>
      <c r="AM605" s="16">
        <f>IF($V605&lt;&gt;1,"",IFERROR(($P605-$AL605)/SQRT(MAX(0,(SUMIFS(Clean_Data!$AK$2:$AK$1001,Clean_Data!$F$2:$F$1001,$F605,Clean_Data!$W$2:$W$1001,$W605,Clean_Data!$V$2:$V$1001,1)-COUNTIFS(Clean_Data!$F$2:$F$1001,$F605,Clean_Data!$W$2:$W$1001,$W605,Clean_Data!$V$2:$V$1001,1)*$AL605^2)/(COUNTIFS(Clean_Data!$F$2:$F$1001,$F605,Clean_Data!$W$2:$W$1001,$W605,Clean_Data!$V$2:$V$1001,1)-1))),""))</f>
        <v>-0.569415060600998</v>
      </c>
      <c r="AN605" s="5" t="str">
        <f>IF($AM605="","",IF($AM605&gt;=Lookups!$K$6,"High spike",IF($AM605&lt;=-Lookups!$K$6,"Unusual low","Normal")))</f>
        <v>Normal</v>
      </c>
      <c r="AO605" s="20">
        <f>IF($V605&lt;&gt;1,"",$P605+ROW()/100000)</f>
        <v>101.00605</v>
      </c>
      <c r="AP605" s="5">
        <f>IF($A605="","",IFERROR(MATCH($A605,Raw_D1!$A$2:$A$1001,0),""))</f>
        <v>604</v>
      </c>
      <c r="AQ605" s="5">
        <f>IF($A605="","",IFERROR(MATCH($A605,Raw_D2!$B$2:$B$1001,0),""))</f>
        <v>604</v>
      </c>
      <c r="AR605" s="5">
        <f>IF($A605="","",IFERROR(MATCH($A605,Raw_D3!$A$2:$A$1001,0),""))</f>
        <v/>
      </c>
    </row>
    <row r="606" spans="1:44" x14ac:dyDescent="0.25">
      <c r="A606" s="5">
        <v>605</v>
      </c>
      <c r="B606" s="11">
        <f>IF($A606="","",IF($AP606&lt;&gt;"",INDEX(Raw_D1!$B$2:$B$1001,$AP606),IF($AR606&lt;&gt;"",INDEX(Raw_D3!$B$2:$B$1001,$AR606),"")))</f>
        <v>40571.0</v>
      </c>
      <c r="C606" s="5">
        <f>IF($A606="","",IF($AP606&lt;&gt;"",INDEX(Raw_D1!$C$2:$C$1001,$AP606),IF($AR606&lt;&gt;"",INDEX(Raw_D3!$C$2:$C$1001,$AR606),"")))</f>
        <v>1</v>
      </c>
      <c r="D606" s="5">
        <f>IF($A606="","",IF($AP606&lt;&gt;"",INDEX(Raw_D1!$D$2:$D$1001,$AP606),IF($AR606&lt;&gt;"",INDEX(Raw_D3!$D$2:$D$1001,$AR606),"")))</f>
        <v>0</v>
      </c>
      <c r="E606" s="5">
        <f>IF($A606="","",IF($AP606&lt;&gt;"",INDEX(Raw_D1!$E$2:$E$1001,$AP606),IF($AR606&lt;&gt;"",INDEX(Raw_D3!$E$2:$E$1001,$AR606),"")))</f>
        <v>1</v>
      </c>
      <c r="F606" s="5">
        <f>IF($A606="","",IF($AP606&lt;&gt;"",INDEX(Raw_D1!$F$2:$F$1001,$AP606),IF($AR606&lt;&gt;"",INDEX(Raw_D3!$F$2:$F$1001,$AR606),"")))</f>
        <v>10</v>
      </c>
      <c r="G606" s="5">
        <f>IF($A606="","",IF($AP606&lt;&gt;"",IF(INDEX(Raw_D1!$G$2:$G$1001,$AP606),1,0),IF($AR606&lt;&gt;"",IF(INDEX(Raw_D3!$G$2:$G$1001,$AR606),1,0),"")))</f>
        <v>0</v>
      </c>
      <c r="H606" s="5">
        <f>IF($A606="","",IF($AP606&lt;&gt;"",INDEX(Raw_D1!$H$2:$H$1001,$AP606),IF($AR606&lt;&gt;"",INDEX(Raw_D3!$H$2:$H$1001,$AR606),"")))</f>
        <v>5</v>
      </c>
      <c r="I606" s="5">
        <f>IF($A606="","",IF($AP606&lt;&gt;"",INDEX(Raw_D1!$I$2:$I$1001,$AP606),IF($AR606&lt;&gt;"",INDEX(Raw_D3!$I$2:$I$1001,$AR606),"")))</f>
        <v>3</v>
      </c>
      <c r="J606" s="16">
        <f>IF($A606="","",IF($AP606&lt;&gt;"",INDEX(Raw_D1!$J$2:$J$1001,$AP606),IF($AR606&lt;&gt;"",INDEX(Raw_D3!$J$2:$J$1001,$AR606),"")))</f>
        <v>0.18</v>
      </c>
      <c r="K606" s="17">
        <f>IF($A606="","",IF($AQ606&lt;&gt;"",IF(INDEX(Raw_D2!$C$2:$C$1001,$AQ606)="","",INDEX(Raw_D2!$C$2:$C$1001,$AQ606)),IF($AR606&lt;&gt;"",IF(INDEX(Raw_D3!$K$2:$K$1001,$AR606)="","",INDEX(Raw_D3!$K$2:$K$1001,$AR606)),"")))</f>
        <v>0.2121</v>
      </c>
      <c r="L606" s="16">
        <f>IF($A606="","",IF($AQ606&lt;&gt;"",IF(INDEX(Raw_D2!$D$2:$D$1001,$AQ606)="","",INDEX(Raw_D2!$D$2:$D$1001,$AQ606)),IF($AR606&lt;&gt;"",IF(INDEX(Raw_D3!$L$2:$L$1001,$AR606)="","",INDEX(Raw_D3!$L$2:$L$1001,$AR606)),"")))</f>
        <v>0.86</v>
      </c>
      <c r="M606" s="17">
        <f>IF($A606="","",IF($AQ606&lt;&gt;"",IF(INDEX(Raw_D2!$E$2:$E$1001,$AQ606)="","",INDEX(Raw_D2!$E$2:$E$1001,$AQ606)),IF($AR606&lt;&gt;"",IF(INDEX(Raw_D3!$M$2:$M$1001,$AR606)="","",INDEX(Raw_D3!$M$2:$M$1001,$AR606)),"")))</f>
        <v>0.1045</v>
      </c>
      <c r="N606" s="5">
        <f>IF($A606="","",IF($AQ606&lt;&gt;"",IF(INDEX(Raw_D2!$F$2:$F$1001,$AQ606)="","",INDEX(Raw_D2!$F$2:$F$1001,$AQ606)),IF($AR606&lt;&gt;"",IF(INDEX(Raw_D3!$N$2:$N$1001,$AR606)="","",INDEX(Raw_D3!$N$2:$N$1001,$AR606)),"")))</f>
        <v>0</v>
      </c>
      <c r="O606" s="5">
        <f>IF($A606="","",IF($AQ606&lt;&gt;"",IF(INDEX(Raw_D2!$G$2:$G$1001,$AQ606)="","",INDEX(Raw_D2!$G$2:$G$1001,$AQ606)),IF($AR606&lt;&gt;"",IF(INDEX(Raw_D3!$O$2:$O$1001,$AR606)="","",INDEX(Raw_D3!$O$2:$O$1001,$AR606)),"")))</f>
        <v>49</v>
      </c>
      <c r="P606" s="5">
        <f>IF($A606="","",IF($AQ606&lt;&gt;"",IF(INDEX(Raw_D2!$H$2:$H$1001,$AQ606)="","",INDEX(Raw_D2!$H$2:$H$1001,$AQ606)),IF($AR606&lt;&gt;"",IF(INDEX(Raw_D3!$P$2:$P$1001,$AR606)="","",INDEX(Raw_D3!$P$2:$P$1001,$AR606)),"")))</f>
        <v>49</v>
      </c>
      <c r="Q606" s="5" t="str">
        <f>IF($A606="","",IF(AND($AP606&lt;&gt;"",$AQ606&lt;&gt;""),"D1+D2",IF($AR606&lt;&gt;"","D3","Incomplete")))</f>
        <v>D1+D2</v>
      </c>
      <c r="R606" s="17">
        <f>IF($A606="","",IF($K606="",IF($J606="","",ROUND(Lookups!$K$5+Lookups!$K$4*$J606,4)),$K606))</f>
        <v>0.2121</v>
      </c>
      <c r="S606" s="5" t="str">
        <f>IF($A606="","",IF($K606="","Imputed","Original"))</f>
        <v>Original</v>
      </c>
      <c r="T606" s="5" t="str">
        <f>IF($A606="","",IF($P606="","Missing",IF($P606=$N606+$O606,"OK","Mismatch")))</f>
        <v>OK</v>
      </c>
      <c r="U606" s="5" t="str">
        <f>IF($A606="","",IF(COUNTIF($A$2:$A606,$A606)&gt;1,"Duplicate","Unique"))</f>
        <v>Unique</v>
      </c>
      <c r="V606" s="5">
        <f>IF($A606="","",IF(AND($U606="Unique",ISNUMBER($P606)),1,0))</f>
        <v>1</v>
      </c>
      <c r="W606" s="5" t="str">
        <f>IF($A606="","",IF(OR($H606=0,$H606=6),"Weekend","Weekday"))</f>
        <v>Weekday</v>
      </c>
      <c r="X606" s="5" t="str">
        <f>IF($A606="","",TEXT($B606,"ddd"))</f>
        <v>Fri</v>
      </c>
      <c r="Y606" s="5" t="str">
        <f>IF($A606="","",TEXT($B606,"mmm"))</f>
        <v>Jan</v>
      </c>
      <c r="Z606" s="5" t="str">
        <f>IF($A606="","",IFERROR(VLOOKUP($C606,Lookups!$D$4:$E$7,2,FALSE),"Unknown"))</f>
        <v>Winter</v>
      </c>
      <c r="AA606" s="5" t="str">
        <f>IF($A606="","",IFERROR(VLOOKUP($I606,Lookups!$A$4:$B$7,2,FALSE),"Unknown"))</f>
        <v>Light Rain/Snow</v>
      </c>
      <c r="AB606" s="5" t="str">
        <f>IF($A606="","",TEXT($F606,"00")&amp;":00")</f>
        <v>10:00</v>
      </c>
      <c r="AC606" s="5" t="str">
        <f>IF($A606="","",VLOOKUP($F606,Lookups!$G$4:$H$8,2,TRUE))</f>
        <v>Midday (10-15)</v>
      </c>
      <c r="AD606" s="18">
        <f>IF($A606="","",IF($J606="","",ROUND($J606*41,1)))</f>
        <v>7.4</v>
      </c>
      <c r="AE606" s="18">
        <f>IF($A606="","",IF($R606="","",ROUND($R606*50,1)))</f>
        <v>10.6</v>
      </c>
      <c r="AF606" s="5">
        <f>IF($A606="","",IF($L606="","",ROUND($L606*100,0)))</f>
        <v>86</v>
      </c>
      <c r="AG606" s="18">
        <f>IF($A606="","",IF($M606="","",ROUND($M606*67,1)))</f>
        <v>7</v>
      </c>
      <c r="AH606" s="19">
        <f>IF($A606="","",IF($P606="","",IF($P606=0,0,$O606/$P606)))</f>
        <v>1</v>
      </c>
      <c r="AI606" s="5" t="str">
        <f>IF($A606="","",IF($P606="","",IF($P606&gt;=Lookups!$K$7,"High",IF($P606&lt;=Lookups!$K$8,"Low","Medium"))))</f>
        <v>Medium</v>
      </c>
      <c r="AJ606" s="5" t="str">
        <f>IF($A606="","",IF($AD606="","",IF($AD606&lt;5,"Under 5 C",IF($AD606&lt;10,"5-10 C",IF($AD606&lt;15,"10-15 C","15 C and above")))))</f>
        <v>5-10 C</v>
      </c>
      <c r="AK606" s="5">
        <f>IF($A606="","",IF($P606="","",$P606^2))</f>
        <v>2401</v>
      </c>
      <c r="AL606" s="18">
        <f>IF($V606&lt;&gt;1,"",AVERAGEIFS(Clean_Data!$P$2:$P$1001,Clean_Data!$F$2:$F$1001,$F606,Clean_Data!$W$2:$W$1001,$W606,Clean_Data!$V$2:$V$1001,1))</f>
        <v>49.0714285714286</v>
      </c>
      <c r="AM606" s="16">
        <f>IF($V606&lt;&gt;1,"",IFERROR(($P606-$AL606)/SQRT(MAX(0,(SUMIFS(Clean_Data!$AK$2:$AK$1001,Clean_Data!$F$2:$F$1001,$F606,Clean_Data!$W$2:$W$1001,$W606,Clean_Data!$V$2:$V$1001,1)-COUNTIFS(Clean_Data!$F$2:$F$1001,$F606,Clean_Data!$W$2:$W$1001,$W606,Clean_Data!$V$2:$V$1001,1)*$AL606^2)/(COUNTIFS(Clean_Data!$F$2:$F$1001,$F606,Clean_Data!$W$2:$W$1001,$W606,Clean_Data!$V$2:$V$1001,1)-1))),""))</f>
        <v>-0.00707780804594113</v>
      </c>
      <c r="AN606" s="5" t="str">
        <f>IF($AM606="","",IF($AM606&gt;=Lookups!$K$6,"High spike",IF($AM606&lt;=-Lookups!$K$6,"Unusual low","Normal")))</f>
        <v>Normal</v>
      </c>
      <c r="AO606" s="20">
        <f>IF($V606&lt;&gt;1,"",$P606+ROW()/100000)</f>
        <v>49.00606</v>
      </c>
      <c r="AP606" s="5">
        <f>IF($A606="","",IFERROR(MATCH($A606,Raw_D1!$A$2:$A$1001,0),""))</f>
        <v>605</v>
      </c>
      <c r="AQ606" s="5">
        <f>IF($A606="","",IFERROR(MATCH($A606,Raw_D2!$B$2:$B$1001,0),""))</f>
        <v>605</v>
      </c>
      <c r="AR606" s="5">
        <f>IF($A606="","",IFERROR(MATCH($A606,Raw_D3!$A$2:$A$1001,0),""))</f>
        <v/>
      </c>
    </row>
    <row r="607" spans="1:44" x14ac:dyDescent="0.25">
      <c r="A607" s="5">
        <v>606</v>
      </c>
      <c r="B607" s="11">
        <f>IF($A607="","",IF($AP607&lt;&gt;"",INDEX(Raw_D1!$B$2:$B$1001,$AP607),IF($AR607&lt;&gt;"",INDEX(Raw_D3!$B$2:$B$1001,$AR607),"")))</f>
        <v>40571.0</v>
      </c>
      <c r="C607" s="5">
        <f>IF($A607="","",IF($AP607&lt;&gt;"",INDEX(Raw_D1!$C$2:$C$1001,$AP607),IF($AR607&lt;&gt;"",INDEX(Raw_D3!$C$2:$C$1001,$AR607),"")))</f>
        <v>1</v>
      </c>
      <c r="D607" s="5">
        <f>IF($A607="","",IF($AP607&lt;&gt;"",INDEX(Raw_D1!$D$2:$D$1001,$AP607),IF($AR607&lt;&gt;"",INDEX(Raw_D3!$D$2:$D$1001,$AR607),"")))</f>
        <v>0</v>
      </c>
      <c r="E607" s="5">
        <f>IF($A607="","",IF($AP607&lt;&gt;"",INDEX(Raw_D1!$E$2:$E$1001,$AP607),IF($AR607&lt;&gt;"",INDEX(Raw_D3!$E$2:$E$1001,$AR607),"")))</f>
        <v>1</v>
      </c>
      <c r="F607" s="5">
        <f>IF($A607="","",IF($AP607&lt;&gt;"",INDEX(Raw_D1!$F$2:$F$1001,$AP607),IF($AR607&lt;&gt;"",INDEX(Raw_D3!$F$2:$F$1001,$AR607),"")))</f>
        <v>11</v>
      </c>
      <c r="G607" s="5">
        <f>IF($A607="","",IF($AP607&lt;&gt;"",IF(INDEX(Raw_D1!$G$2:$G$1001,$AP607),1,0),IF($AR607&lt;&gt;"",IF(INDEX(Raw_D3!$G$2:$G$1001,$AR607),1,0),"")))</f>
        <v>0</v>
      </c>
      <c r="H607" s="5">
        <f>IF($A607="","",IF($AP607&lt;&gt;"",INDEX(Raw_D1!$H$2:$H$1001,$AP607),IF($AR607&lt;&gt;"",INDEX(Raw_D3!$H$2:$H$1001,$AR607),"")))</f>
        <v>5</v>
      </c>
      <c r="I607" s="5">
        <f>IF($A607="","",IF($AP607&lt;&gt;"",INDEX(Raw_D1!$I$2:$I$1001,$AP607),IF($AR607&lt;&gt;"",INDEX(Raw_D3!$I$2:$I$1001,$AR607),"")))</f>
        <v>3</v>
      </c>
      <c r="J607" s="16">
        <f>IF($A607="","",IF($AP607&lt;&gt;"",INDEX(Raw_D1!$J$2:$J$1001,$AP607),IF($AR607&lt;&gt;"",INDEX(Raw_D3!$J$2:$J$1001,$AR607),"")))</f>
        <v>0.18</v>
      </c>
      <c r="K607" s="17">
        <f>IF($A607="","",IF($AQ607&lt;&gt;"",IF(INDEX(Raw_D2!$C$2:$C$1001,$AQ607)="","",INDEX(Raw_D2!$C$2:$C$1001,$AQ607)),IF($AR607&lt;&gt;"",IF(INDEX(Raw_D3!$K$2:$K$1001,$AR607)="","",INDEX(Raw_D3!$K$2:$K$1001,$AR607)),"")))</f>
        <v>0.2121</v>
      </c>
      <c r="L607" s="16">
        <f>IF($A607="","",IF($AQ607&lt;&gt;"",IF(INDEX(Raw_D2!$D$2:$D$1001,$AQ607)="","",INDEX(Raw_D2!$D$2:$D$1001,$AQ607)),IF($AR607&lt;&gt;"",IF(INDEX(Raw_D3!$L$2:$L$1001,$AR607)="","",INDEX(Raw_D3!$L$2:$L$1001,$AR607)),"")))</f>
        <v>0.93</v>
      </c>
      <c r="M607" s="17">
        <f>IF($A607="","",IF($AQ607&lt;&gt;"",IF(INDEX(Raw_D2!$E$2:$E$1001,$AQ607)="","",INDEX(Raw_D2!$E$2:$E$1001,$AQ607)),IF($AR607&lt;&gt;"",IF(INDEX(Raw_D3!$M$2:$M$1001,$AR607)="","",INDEX(Raw_D3!$M$2:$M$1001,$AR607)),"")))</f>
        <v>0.1045</v>
      </c>
      <c r="N607" s="5">
        <f>IF($A607="","",IF($AQ607&lt;&gt;"",IF(INDEX(Raw_D2!$F$2:$F$1001,$AQ607)="","",INDEX(Raw_D2!$F$2:$F$1001,$AQ607)),IF($AR607&lt;&gt;"",IF(INDEX(Raw_D3!$N$2:$N$1001,$AR607)="","",INDEX(Raw_D3!$N$2:$N$1001,$AR607)),"")))</f>
        <v>0</v>
      </c>
      <c r="O607" s="5">
        <f>IF($A607="","",IF($AQ607&lt;&gt;"",IF(INDEX(Raw_D2!$G$2:$G$1001,$AQ607)="","",INDEX(Raw_D2!$G$2:$G$1001,$AQ607)),IF($AR607&lt;&gt;"",IF(INDEX(Raw_D3!$O$2:$O$1001,$AR607)="","",INDEX(Raw_D3!$O$2:$O$1001,$AR607)),"")))</f>
        <v>30</v>
      </c>
      <c r="P607" s="5">
        <f>IF($A607="","",IF($AQ607&lt;&gt;"",IF(INDEX(Raw_D2!$H$2:$H$1001,$AQ607)="","",INDEX(Raw_D2!$H$2:$H$1001,$AQ607)),IF($AR607&lt;&gt;"",IF(INDEX(Raw_D3!$P$2:$P$1001,$AR607)="","",INDEX(Raw_D3!$P$2:$P$1001,$AR607)),"")))</f>
        <v>30</v>
      </c>
      <c r="Q607" s="5" t="str">
        <f>IF($A607="","",IF(AND($AP607&lt;&gt;"",$AQ607&lt;&gt;""),"D1+D2",IF($AR607&lt;&gt;"","D3","Incomplete")))</f>
        <v>D1+D2</v>
      </c>
      <c r="R607" s="17">
        <f>IF($A607="","",IF($K607="",IF($J607="","",ROUND(Lookups!$K$5+Lookups!$K$4*$J607,4)),$K607))</f>
        <v>0.2121</v>
      </c>
      <c r="S607" s="5" t="str">
        <f>IF($A607="","",IF($K607="","Imputed","Original"))</f>
        <v>Original</v>
      </c>
      <c r="T607" s="5" t="str">
        <f>IF($A607="","",IF($P607="","Missing",IF($P607=$N607+$O607,"OK","Mismatch")))</f>
        <v>OK</v>
      </c>
      <c r="U607" s="5" t="str">
        <f>IF($A607="","",IF(COUNTIF($A$2:$A607,$A607)&gt;1,"Duplicate","Unique"))</f>
        <v>Unique</v>
      </c>
      <c r="V607" s="5">
        <f>IF($A607="","",IF(AND($U607="Unique",ISNUMBER($P607)),1,0))</f>
        <v>1</v>
      </c>
      <c r="W607" s="5" t="str">
        <f>IF($A607="","",IF(OR($H607=0,$H607=6),"Weekend","Weekday"))</f>
        <v>Weekday</v>
      </c>
      <c r="X607" s="5" t="str">
        <f>IF($A607="","",TEXT($B607,"ddd"))</f>
        <v>Fri</v>
      </c>
      <c r="Y607" s="5" t="str">
        <f>IF($A607="","",TEXT($B607,"mmm"))</f>
        <v>Jan</v>
      </c>
      <c r="Z607" s="5" t="str">
        <f>IF($A607="","",IFERROR(VLOOKUP($C607,Lookups!$D$4:$E$7,2,FALSE),"Unknown"))</f>
        <v>Winter</v>
      </c>
      <c r="AA607" s="5" t="str">
        <f>IF($A607="","",IFERROR(VLOOKUP($I607,Lookups!$A$4:$B$7,2,FALSE),"Unknown"))</f>
        <v>Light Rain/Snow</v>
      </c>
      <c r="AB607" s="5" t="str">
        <f>IF($A607="","",TEXT($F607,"00")&amp;":00")</f>
        <v>11:00</v>
      </c>
      <c r="AC607" s="5" t="str">
        <f>IF($A607="","",VLOOKUP($F607,Lookups!$G$4:$H$8,2,TRUE))</f>
        <v>Midday (10-15)</v>
      </c>
      <c r="AD607" s="18">
        <f>IF($A607="","",IF($J607="","",ROUND($J607*41,1)))</f>
        <v>7.4</v>
      </c>
      <c r="AE607" s="18">
        <f>IF($A607="","",IF($R607="","",ROUND($R607*50,1)))</f>
        <v>10.6</v>
      </c>
      <c r="AF607" s="5">
        <f>IF($A607="","",IF($L607="","",ROUND($L607*100,0)))</f>
        <v>93</v>
      </c>
      <c r="AG607" s="18">
        <f>IF($A607="","",IF($M607="","",ROUND($M607*67,1)))</f>
        <v>7</v>
      </c>
      <c r="AH607" s="19">
        <f>IF($A607="","",IF($P607="","",IF($P607=0,0,$O607/$P607)))</f>
        <v>1</v>
      </c>
      <c r="AI607" s="5" t="str">
        <f>IF($A607="","",IF($P607="","",IF($P607&gt;=Lookups!$K$7,"High",IF($P607&lt;=Lookups!$K$8,"Low","Medium"))))</f>
        <v>Medium</v>
      </c>
      <c r="AJ607" s="5" t="str">
        <f>IF($A607="","",IF($AD607="","",IF($AD607&lt;5,"Under 5 C",IF($AD607&lt;10,"5-10 C",IF($AD607&lt;15,"10-15 C","15 C and above")))))</f>
        <v>5-10 C</v>
      </c>
      <c r="AK607" s="5">
        <f>IF($A607="","",IF($P607="","",$P607^2))</f>
        <v>900</v>
      </c>
      <c r="AL607" s="18">
        <f>IF($V607&lt;&gt;1,"",AVERAGEIFS(Clean_Data!$P$2:$P$1001,Clean_Data!$F$2:$F$1001,$F607,Clean_Data!$W$2:$W$1001,$W607,Clean_Data!$V$2:$V$1001,1))</f>
        <v>50.6071428571429</v>
      </c>
      <c r="AM607" s="16">
        <f>IF($V607&lt;&gt;1,"",IFERROR(($P607-$AL607)/SQRT(MAX(0,(SUMIFS(Clean_Data!$AK$2:$AK$1001,Clean_Data!$F$2:$F$1001,$F607,Clean_Data!$W$2:$W$1001,$W607,Clean_Data!$V$2:$V$1001,1)-COUNTIFS(Clean_Data!$F$2:$F$1001,$F607,Clean_Data!$W$2:$W$1001,$W607,Clean_Data!$V$2:$V$1001,1)*$AL607^2)/(COUNTIFS(Clean_Data!$F$2:$F$1001,$F607,Clean_Data!$W$2:$W$1001,$W607,Clean_Data!$V$2:$V$1001,1)-1))),""))</f>
        <v>-1.83943512667083</v>
      </c>
      <c r="AN607" s="5" t="str">
        <f>IF($AM607="","",IF($AM607&gt;=Lookups!$K$6,"High spike",IF($AM607&lt;=-Lookups!$K$6,"Unusual low","Normal")))</f>
        <v>Normal</v>
      </c>
      <c r="AO607" s="20">
        <f>IF($V607&lt;&gt;1,"",$P607+ROW()/100000)</f>
        <v>30.00607</v>
      </c>
      <c r="AP607" s="5">
        <f>IF($A607="","",IFERROR(MATCH($A607,Raw_D1!$A$2:$A$1001,0),""))</f>
        <v>606</v>
      </c>
      <c r="AQ607" s="5">
        <f>IF($A607="","",IFERROR(MATCH($A607,Raw_D2!$B$2:$B$1001,0),""))</f>
        <v>606</v>
      </c>
      <c r="AR607" s="5">
        <f>IF($A607="","",IFERROR(MATCH($A607,Raw_D3!$A$2:$A$1001,0),""))</f>
        <v/>
      </c>
    </row>
    <row r="608" spans="1:44" x14ac:dyDescent="0.25">
      <c r="A608" s="5">
        <v>607</v>
      </c>
      <c r="B608" s="11">
        <f>IF($A608="","",IF($AP608&lt;&gt;"",INDEX(Raw_D1!$B$2:$B$1001,$AP608),IF($AR608&lt;&gt;"",INDEX(Raw_D3!$B$2:$B$1001,$AR608),"")))</f>
        <v>40571.0</v>
      </c>
      <c r="C608" s="5">
        <f>IF($A608="","",IF($AP608&lt;&gt;"",INDEX(Raw_D1!$C$2:$C$1001,$AP608),IF($AR608&lt;&gt;"",INDEX(Raw_D3!$C$2:$C$1001,$AR608),"")))</f>
        <v>1</v>
      </c>
      <c r="D608" s="5">
        <f>IF($A608="","",IF($AP608&lt;&gt;"",INDEX(Raw_D1!$D$2:$D$1001,$AP608),IF($AR608&lt;&gt;"",INDEX(Raw_D3!$D$2:$D$1001,$AR608),"")))</f>
        <v>0</v>
      </c>
      <c r="E608" s="5">
        <f>IF($A608="","",IF($AP608&lt;&gt;"",INDEX(Raw_D1!$E$2:$E$1001,$AP608),IF($AR608&lt;&gt;"",INDEX(Raw_D3!$E$2:$E$1001,$AR608),"")))</f>
        <v>1</v>
      </c>
      <c r="F608" s="5">
        <f>IF($A608="","",IF($AP608&lt;&gt;"",INDEX(Raw_D1!$F$2:$F$1001,$AP608),IF($AR608&lt;&gt;"",INDEX(Raw_D3!$F$2:$F$1001,$AR608),"")))</f>
        <v>12</v>
      </c>
      <c r="G608" s="5">
        <f>IF($A608="","",IF($AP608&lt;&gt;"",IF(INDEX(Raw_D1!$G$2:$G$1001,$AP608),1,0),IF($AR608&lt;&gt;"",IF(INDEX(Raw_D3!$G$2:$G$1001,$AR608),1,0),"")))</f>
        <v>0</v>
      </c>
      <c r="H608" s="5">
        <f>IF($A608="","",IF($AP608&lt;&gt;"",INDEX(Raw_D1!$H$2:$H$1001,$AP608),IF($AR608&lt;&gt;"",INDEX(Raw_D3!$H$2:$H$1001,$AR608),"")))</f>
        <v>5</v>
      </c>
      <c r="I608" s="5">
        <f>IF($A608="","",IF($AP608&lt;&gt;"",INDEX(Raw_D1!$I$2:$I$1001,$AP608),IF($AR608&lt;&gt;"",INDEX(Raw_D3!$I$2:$I$1001,$AR608),"")))</f>
        <v>3</v>
      </c>
      <c r="J608" s="16">
        <f>IF($A608="","",IF($AP608&lt;&gt;"",INDEX(Raw_D1!$J$2:$J$1001,$AP608),IF($AR608&lt;&gt;"",INDEX(Raw_D3!$J$2:$J$1001,$AR608),"")))</f>
        <v>0.18</v>
      </c>
      <c r="K608" s="17">
        <f>IF($A608="","",IF($AQ608&lt;&gt;"",IF(INDEX(Raw_D2!$C$2:$C$1001,$AQ608)="","",INDEX(Raw_D2!$C$2:$C$1001,$AQ608)),IF($AR608&lt;&gt;"",IF(INDEX(Raw_D3!$K$2:$K$1001,$AR608)="","",INDEX(Raw_D3!$K$2:$K$1001,$AR608)),"")))</f>
        <v>0.2121</v>
      </c>
      <c r="L608" s="16">
        <f>IF($A608="","",IF($AQ608&lt;&gt;"",IF(INDEX(Raw_D2!$D$2:$D$1001,$AQ608)="","",INDEX(Raw_D2!$D$2:$D$1001,$AQ608)),IF($AR608&lt;&gt;"",IF(INDEX(Raw_D3!$L$2:$L$1001,$AR608)="","",INDEX(Raw_D3!$L$2:$L$1001,$AR608)),"")))</f>
        <v>0.93</v>
      </c>
      <c r="M608" s="17">
        <f>IF($A608="","",IF($AQ608&lt;&gt;"",IF(INDEX(Raw_D2!$E$2:$E$1001,$AQ608)="","",INDEX(Raw_D2!$E$2:$E$1001,$AQ608)),IF($AR608&lt;&gt;"",IF(INDEX(Raw_D3!$M$2:$M$1001,$AR608)="","",INDEX(Raw_D3!$M$2:$M$1001,$AR608)),"")))</f>
        <v>0.1045</v>
      </c>
      <c r="N608" s="5">
        <f>IF($A608="","",IF($AQ608&lt;&gt;"",IF(INDEX(Raw_D2!$F$2:$F$1001,$AQ608)="","",INDEX(Raw_D2!$F$2:$F$1001,$AQ608)),IF($AR608&lt;&gt;"",IF(INDEX(Raw_D3!$N$2:$N$1001,$AR608)="","",INDEX(Raw_D3!$N$2:$N$1001,$AR608)),"")))</f>
        <v>1</v>
      </c>
      <c r="O608" s="5">
        <f>IF($A608="","",IF($AQ608&lt;&gt;"",IF(INDEX(Raw_D2!$G$2:$G$1001,$AQ608)="","",INDEX(Raw_D2!$G$2:$G$1001,$AQ608)),IF($AR608&lt;&gt;"",IF(INDEX(Raw_D3!$O$2:$O$1001,$AR608)="","",INDEX(Raw_D3!$O$2:$O$1001,$AR608)),"")))</f>
        <v>28</v>
      </c>
      <c r="P608" s="5">
        <f>IF($A608="","",IF($AQ608&lt;&gt;"",IF(INDEX(Raw_D2!$H$2:$H$1001,$AQ608)="","",INDEX(Raw_D2!$H$2:$H$1001,$AQ608)),IF($AR608&lt;&gt;"",IF(INDEX(Raw_D3!$P$2:$P$1001,$AR608)="","",INDEX(Raw_D3!$P$2:$P$1001,$AR608)),"")))</f>
        <v>29</v>
      </c>
      <c r="Q608" s="5" t="str">
        <f>IF($A608="","",IF(AND($AP608&lt;&gt;"",$AQ608&lt;&gt;""),"D1+D2",IF($AR608&lt;&gt;"","D3","Incomplete")))</f>
        <v>D1+D2</v>
      </c>
      <c r="R608" s="17">
        <f>IF($A608="","",IF($K608="",IF($J608="","",ROUND(Lookups!$K$5+Lookups!$K$4*$J608,4)),$K608))</f>
        <v>0.2121</v>
      </c>
      <c r="S608" s="5" t="str">
        <f>IF($A608="","",IF($K608="","Imputed","Original"))</f>
        <v>Original</v>
      </c>
      <c r="T608" s="5" t="str">
        <f>IF($A608="","",IF($P608="","Missing",IF($P608=$N608+$O608,"OK","Mismatch")))</f>
        <v>OK</v>
      </c>
      <c r="U608" s="5" t="str">
        <f>IF($A608="","",IF(COUNTIF($A$2:$A608,$A608)&gt;1,"Duplicate","Unique"))</f>
        <v>Unique</v>
      </c>
      <c r="V608" s="5">
        <f>IF($A608="","",IF(AND($U608="Unique",ISNUMBER($P608)),1,0))</f>
        <v>1</v>
      </c>
      <c r="W608" s="5" t="str">
        <f>IF($A608="","",IF(OR($H608=0,$H608=6),"Weekend","Weekday"))</f>
        <v>Weekday</v>
      </c>
      <c r="X608" s="5" t="str">
        <f>IF($A608="","",TEXT($B608,"ddd"))</f>
        <v>Fri</v>
      </c>
      <c r="Y608" s="5" t="str">
        <f>IF($A608="","",TEXT($B608,"mmm"))</f>
        <v>Jan</v>
      </c>
      <c r="Z608" s="5" t="str">
        <f>IF($A608="","",IFERROR(VLOOKUP($C608,Lookups!$D$4:$E$7,2,FALSE),"Unknown"))</f>
        <v>Winter</v>
      </c>
      <c r="AA608" s="5" t="str">
        <f>IF($A608="","",IFERROR(VLOOKUP($I608,Lookups!$A$4:$B$7,2,FALSE),"Unknown"))</f>
        <v>Light Rain/Snow</v>
      </c>
      <c r="AB608" s="5" t="str">
        <f>IF($A608="","",TEXT($F608,"00")&amp;":00")</f>
        <v>12:00</v>
      </c>
      <c r="AC608" s="5" t="str">
        <f>IF($A608="","",VLOOKUP($F608,Lookups!$G$4:$H$8,2,TRUE))</f>
        <v>Midday (10-15)</v>
      </c>
      <c r="AD608" s="18">
        <f>IF($A608="","",IF($J608="","",ROUND($J608*41,1)))</f>
        <v>7.4</v>
      </c>
      <c r="AE608" s="18">
        <f>IF($A608="","",IF($R608="","",ROUND($R608*50,1)))</f>
        <v>10.6</v>
      </c>
      <c r="AF608" s="5">
        <f>IF($A608="","",IF($L608="","",ROUND($L608*100,0)))</f>
        <v>93</v>
      </c>
      <c r="AG608" s="18">
        <f>IF($A608="","",IF($M608="","",ROUND($M608*67,1)))</f>
        <v>7</v>
      </c>
      <c r="AH608" s="19">
        <f>IF($A608="","",IF($P608="","",IF($P608=0,0,$O608/$P608)))</f>
        <v>0.96551724137931</v>
      </c>
      <c r="AI608" s="5" t="str">
        <f>IF($A608="","",IF($P608="","",IF($P608&gt;=Lookups!$K$7,"High",IF($P608&lt;=Lookups!$K$8,"Low","Medium"))))</f>
        <v>Medium</v>
      </c>
      <c r="AJ608" s="5" t="str">
        <f>IF($A608="","",IF($AD608="","",IF($AD608&lt;5,"Under 5 C",IF($AD608&lt;10,"5-10 C",IF($AD608&lt;15,"10-15 C","15 C and above")))))</f>
        <v>5-10 C</v>
      </c>
      <c r="AK608" s="5">
        <f>IF($A608="","",IF($P608="","",$P608^2))</f>
        <v>841</v>
      </c>
      <c r="AL608" s="18">
        <f>IF($V608&lt;&gt;1,"",AVERAGEIFS(Clean_Data!$P$2:$P$1001,Clean_Data!$F$2:$F$1001,$F608,Clean_Data!$W$2:$W$1001,$W608,Clean_Data!$V$2:$V$1001,1))</f>
        <v>64.5862068965517</v>
      </c>
      <c r="AM608" s="16">
        <f>IF($V608&lt;&gt;1,"",IFERROR(($P608-$AL608)/SQRT(MAX(0,(SUMIFS(Clean_Data!$AK$2:$AK$1001,Clean_Data!$F$2:$F$1001,$F608,Clean_Data!$W$2:$W$1001,$W608,Clean_Data!$V$2:$V$1001,1)-COUNTIFS(Clean_Data!$F$2:$F$1001,$F608,Clean_Data!$W$2:$W$1001,$W608,Clean_Data!$V$2:$V$1001,1)*$AL608^2)/(COUNTIFS(Clean_Data!$F$2:$F$1001,$F608,Clean_Data!$W$2:$W$1001,$W608,Clean_Data!$V$2:$V$1001,1)-1))),""))</f>
        <v>-1.90012467227081</v>
      </c>
      <c r="AN608" s="5" t="str">
        <f>IF($AM608="","",IF($AM608&gt;=Lookups!$K$6,"High spike",IF($AM608&lt;=-Lookups!$K$6,"Unusual low","Normal")))</f>
        <v>Normal</v>
      </c>
      <c r="AO608" s="20">
        <f>IF($V608&lt;&gt;1,"",$P608+ROW()/100000)</f>
        <v>29.00608</v>
      </c>
      <c r="AP608" s="5">
        <f>IF($A608="","",IFERROR(MATCH($A608,Raw_D1!$A$2:$A$1001,0),""))</f>
        <v>607</v>
      </c>
      <c r="AQ608" s="5">
        <f>IF($A608="","",IFERROR(MATCH($A608,Raw_D2!$B$2:$B$1001,0),""))</f>
        <v>607</v>
      </c>
      <c r="AR608" s="5">
        <f>IF($A608="","",IFERROR(MATCH($A608,Raw_D3!$A$2:$A$1001,0),""))</f>
        <v/>
      </c>
    </row>
    <row r="609" spans="1:44" x14ac:dyDescent="0.25">
      <c r="A609" s="5">
        <v>608</v>
      </c>
      <c r="B609" s="11">
        <f>IF($A609="","",IF($AP609&lt;&gt;"",INDEX(Raw_D1!$B$2:$B$1001,$AP609),IF($AR609&lt;&gt;"",INDEX(Raw_D3!$B$2:$B$1001,$AR609),"")))</f>
        <v>40571.0</v>
      </c>
      <c r="C609" s="5">
        <f>IF($A609="","",IF($AP609&lt;&gt;"",INDEX(Raw_D1!$C$2:$C$1001,$AP609),IF($AR609&lt;&gt;"",INDEX(Raw_D3!$C$2:$C$1001,$AR609),"")))</f>
        <v>1</v>
      </c>
      <c r="D609" s="5">
        <f>IF($A609="","",IF($AP609&lt;&gt;"",INDEX(Raw_D1!$D$2:$D$1001,$AP609),IF($AR609&lt;&gt;"",INDEX(Raw_D3!$D$2:$D$1001,$AR609),"")))</f>
        <v>0</v>
      </c>
      <c r="E609" s="5">
        <f>IF($A609="","",IF($AP609&lt;&gt;"",INDEX(Raw_D1!$E$2:$E$1001,$AP609),IF($AR609&lt;&gt;"",INDEX(Raw_D3!$E$2:$E$1001,$AR609),"")))</f>
        <v>1</v>
      </c>
      <c r="F609" s="5">
        <f>IF($A609="","",IF($AP609&lt;&gt;"",INDEX(Raw_D1!$F$2:$F$1001,$AP609),IF($AR609&lt;&gt;"",INDEX(Raw_D3!$F$2:$F$1001,$AR609),"")))</f>
        <v>13</v>
      </c>
      <c r="G609" s="5">
        <f>IF($A609="","",IF($AP609&lt;&gt;"",IF(INDEX(Raw_D1!$G$2:$G$1001,$AP609),1,0),IF($AR609&lt;&gt;"",IF(INDEX(Raw_D3!$G$2:$G$1001,$AR609),1,0),"")))</f>
        <v>0</v>
      </c>
      <c r="H609" s="5">
        <f>IF($A609="","",IF($AP609&lt;&gt;"",INDEX(Raw_D1!$H$2:$H$1001,$AP609),IF($AR609&lt;&gt;"",INDEX(Raw_D3!$H$2:$H$1001,$AR609),"")))</f>
        <v>5</v>
      </c>
      <c r="I609" s="5">
        <f>IF($A609="","",IF($AP609&lt;&gt;"",INDEX(Raw_D1!$I$2:$I$1001,$AP609),IF($AR609&lt;&gt;"",INDEX(Raw_D3!$I$2:$I$1001,$AR609),"")))</f>
        <v>3</v>
      </c>
      <c r="J609" s="16">
        <f>IF($A609="","",IF($AP609&lt;&gt;"",INDEX(Raw_D1!$J$2:$J$1001,$AP609),IF($AR609&lt;&gt;"",INDEX(Raw_D3!$J$2:$J$1001,$AR609),"")))</f>
        <v>0.18</v>
      </c>
      <c r="K609" s="17">
        <f>IF($A609="","",IF($AQ609&lt;&gt;"",IF(INDEX(Raw_D2!$C$2:$C$1001,$AQ609)="","",INDEX(Raw_D2!$C$2:$C$1001,$AQ609)),IF($AR609&lt;&gt;"",IF(INDEX(Raw_D3!$K$2:$K$1001,$AR609)="","",INDEX(Raw_D3!$K$2:$K$1001,$AR609)),"")))</f>
        <v>0.2121</v>
      </c>
      <c r="L609" s="16">
        <f>IF($A609="","",IF($AQ609&lt;&gt;"",IF(INDEX(Raw_D2!$D$2:$D$1001,$AQ609)="","",INDEX(Raw_D2!$D$2:$D$1001,$AQ609)),IF($AR609&lt;&gt;"",IF(INDEX(Raw_D3!$L$2:$L$1001,$AR609)="","",INDEX(Raw_D3!$L$2:$L$1001,$AR609)),"")))</f>
        <v>0.93</v>
      </c>
      <c r="M609" s="17">
        <f>IF($A609="","",IF($AQ609&lt;&gt;"",IF(INDEX(Raw_D2!$E$2:$E$1001,$AQ609)="","",INDEX(Raw_D2!$E$2:$E$1001,$AQ609)),IF($AR609&lt;&gt;"",IF(INDEX(Raw_D3!$M$2:$M$1001,$AR609)="","",INDEX(Raw_D3!$M$2:$M$1001,$AR609)),"")))</f>
        <v>0.1045</v>
      </c>
      <c r="N609" s="5">
        <f>IF($A609="","",IF($AQ609&lt;&gt;"",IF(INDEX(Raw_D2!$F$2:$F$1001,$AQ609)="","",INDEX(Raw_D2!$F$2:$F$1001,$AQ609)),IF($AR609&lt;&gt;"",IF(INDEX(Raw_D3!$N$2:$N$1001,$AR609)="","",INDEX(Raw_D3!$N$2:$N$1001,$AR609)),"")))</f>
        <v>0</v>
      </c>
      <c r="O609" s="5">
        <f>IF($A609="","",IF($AQ609&lt;&gt;"",IF(INDEX(Raw_D2!$G$2:$G$1001,$AQ609)="","",INDEX(Raw_D2!$G$2:$G$1001,$AQ609)),IF($AR609&lt;&gt;"",IF(INDEX(Raw_D3!$O$2:$O$1001,$AR609)="","",INDEX(Raw_D3!$O$2:$O$1001,$AR609)),"")))</f>
        <v>31</v>
      </c>
      <c r="P609" s="5">
        <f>IF($A609="","",IF($AQ609&lt;&gt;"",IF(INDEX(Raw_D2!$H$2:$H$1001,$AQ609)="","",INDEX(Raw_D2!$H$2:$H$1001,$AQ609)),IF($AR609&lt;&gt;"",IF(INDEX(Raw_D3!$P$2:$P$1001,$AR609)="","",INDEX(Raw_D3!$P$2:$P$1001,$AR609)),"")))</f>
        <v>31</v>
      </c>
      <c r="Q609" s="5" t="str">
        <f>IF($A609="","",IF(AND($AP609&lt;&gt;"",$AQ609&lt;&gt;""),"D1+D2",IF($AR609&lt;&gt;"","D3","Incomplete")))</f>
        <v>D1+D2</v>
      </c>
      <c r="R609" s="17">
        <f>IF($A609="","",IF($K609="",IF($J609="","",ROUND(Lookups!$K$5+Lookups!$K$4*$J609,4)),$K609))</f>
        <v>0.2121</v>
      </c>
      <c r="S609" s="5" t="str">
        <f>IF($A609="","",IF($K609="","Imputed","Original"))</f>
        <v>Original</v>
      </c>
      <c r="T609" s="5" t="str">
        <f>IF($A609="","",IF($P609="","Missing",IF($P609=$N609+$O609,"OK","Mismatch")))</f>
        <v>OK</v>
      </c>
      <c r="U609" s="5" t="str">
        <f>IF($A609="","",IF(COUNTIF($A$2:$A609,$A609)&gt;1,"Duplicate","Unique"))</f>
        <v>Unique</v>
      </c>
      <c r="V609" s="5">
        <f>IF($A609="","",IF(AND($U609="Unique",ISNUMBER($P609)),1,0))</f>
        <v>1</v>
      </c>
      <c r="W609" s="5" t="str">
        <f>IF($A609="","",IF(OR($H609=0,$H609=6),"Weekend","Weekday"))</f>
        <v>Weekday</v>
      </c>
      <c r="X609" s="5" t="str">
        <f>IF($A609="","",TEXT($B609,"ddd"))</f>
        <v>Fri</v>
      </c>
      <c r="Y609" s="5" t="str">
        <f>IF($A609="","",TEXT($B609,"mmm"))</f>
        <v>Jan</v>
      </c>
      <c r="Z609" s="5" t="str">
        <f>IF($A609="","",IFERROR(VLOOKUP($C609,Lookups!$D$4:$E$7,2,FALSE),"Unknown"))</f>
        <v>Winter</v>
      </c>
      <c r="AA609" s="5" t="str">
        <f>IF($A609="","",IFERROR(VLOOKUP($I609,Lookups!$A$4:$B$7,2,FALSE),"Unknown"))</f>
        <v>Light Rain/Snow</v>
      </c>
      <c r="AB609" s="5" t="str">
        <f>IF($A609="","",TEXT($F609,"00")&amp;":00")</f>
        <v>13:00</v>
      </c>
      <c r="AC609" s="5" t="str">
        <f>IF($A609="","",VLOOKUP($F609,Lookups!$G$4:$H$8,2,TRUE))</f>
        <v>Midday (10-15)</v>
      </c>
      <c r="AD609" s="18">
        <f>IF($A609="","",IF($J609="","",ROUND($J609*41,1)))</f>
        <v>7.4</v>
      </c>
      <c r="AE609" s="18">
        <f>IF($A609="","",IF($R609="","",ROUND($R609*50,1)))</f>
        <v>10.6</v>
      </c>
      <c r="AF609" s="5">
        <f>IF($A609="","",IF($L609="","",ROUND($L609*100,0)))</f>
        <v>93</v>
      </c>
      <c r="AG609" s="18">
        <f>IF($A609="","",IF($M609="","",ROUND($M609*67,1)))</f>
        <v>7</v>
      </c>
      <c r="AH609" s="19">
        <f>IF($A609="","",IF($P609="","",IF($P609=0,0,$O609/$P609)))</f>
        <v>1</v>
      </c>
      <c r="AI609" s="5" t="str">
        <f>IF($A609="","",IF($P609="","",IF($P609&gt;=Lookups!$K$7,"High",IF($P609&lt;=Lookups!$K$8,"Low","Medium"))))</f>
        <v>Medium</v>
      </c>
      <c r="AJ609" s="5" t="str">
        <f>IF($A609="","",IF($AD609="","",IF($AD609&lt;5,"Under 5 C",IF($AD609&lt;10,"5-10 C",IF($AD609&lt;15,"10-15 C","15 C and above")))))</f>
        <v>5-10 C</v>
      </c>
      <c r="AK609" s="5">
        <f>IF($A609="","",IF($P609="","",$P609^2))</f>
        <v>961</v>
      </c>
      <c r="AL609" s="18">
        <f>IF($V609&lt;&gt;1,"",AVERAGEIFS(Clean_Data!$P$2:$P$1001,Clean_Data!$F$2:$F$1001,$F609,Clean_Data!$W$2:$W$1001,$W609,Clean_Data!$V$2:$V$1001,1))</f>
        <v>67.1724137931034</v>
      </c>
      <c r="AM609" s="16">
        <f>IF($V609&lt;&gt;1,"",IFERROR(($P609-$AL609)/SQRT(MAX(0,(SUMIFS(Clean_Data!$AK$2:$AK$1001,Clean_Data!$F$2:$F$1001,$F609,Clean_Data!$W$2:$W$1001,$W609,Clean_Data!$V$2:$V$1001,1)-COUNTIFS(Clean_Data!$F$2:$F$1001,$F609,Clean_Data!$W$2:$W$1001,$W609,Clean_Data!$V$2:$V$1001,1)*$AL609^2)/(COUNTIFS(Clean_Data!$F$2:$F$1001,$F609,Clean_Data!$W$2:$W$1001,$W609,Clean_Data!$V$2:$V$1001,1)-1))),""))</f>
        <v>-1.79141787068105</v>
      </c>
      <c r="AN609" s="5" t="str">
        <f>IF($AM609="","",IF($AM609&gt;=Lookups!$K$6,"High spike",IF($AM609&lt;=-Lookups!$K$6,"Unusual low","Normal")))</f>
        <v>Normal</v>
      </c>
      <c r="AO609" s="20">
        <f>IF($V609&lt;&gt;1,"",$P609+ROW()/100000)</f>
        <v>31.00609</v>
      </c>
      <c r="AP609" s="5">
        <f>IF($A609="","",IFERROR(MATCH($A609,Raw_D1!$A$2:$A$1001,0),""))</f>
        <v>608</v>
      </c>
      <c r="AQ609" s="5">
        <f>IF($A609="","",IFERROR(MATCH($A609,Raw_D2!$B$2:$B$1001,0),""))</f>
        <v>608</v>
      </c>
      <c r="AR609" s="5">
        <f>IF($A609="","",IFERROR(MATCH($A609,Raw_D3!$A$2:$A$1001,0),""))</f>
        <v/>
      </c>
    </row>
    <row r="610" spans="1:44" x14ac:dyDescent="0.25">
      <c r="A610" s="5">
        <v>609</v>
      </c>
      <c r="B610" s="11">
        <f>IF($A610="","",IF($AP610&lt;&gt;"",INDEX(Raw_D1!$B$2:$B$1001,$AP610),IF($AR610&lt;&gt;"",INDEX(Raw_D3!$B$2:$B$1001,$AR610),"")))</f>
        <v>40571.0</v>
      </c>
      <c r="C610" s="5">
        <f>IF($A610="","",IF($AP610&lt;&gt;"",INDEX(Raw_D1!$C$2:$C$1001,$AP610),IF($AR610&lt;&gt;"",INDEX(Raw_D3!$C$2:$C$1001,$AR610),"")))</f>
        <v>1</v>
      </c>
      <c r="D610" s="5">
        <f>IF($A610="","",IF($AP610&lt;&gt;"",INDEX(Raw_D1!$D$2:$D$1001,$AP610),IF($AR610&lt;&gt;"",INDEX(Raw_D3!$D$2:$D$1001,$AR610),"")))</f>
        <v>0</v>
      </c>
      <c r="E610" s="5">
        <f>IF($A610="","",IF($AP610&lt;&gt;"",INDEX(Raw_D1!$E$2:$E$1001,$AP610),IF($AR610&lt;&gt;"",INDEX(Raw_D3!$E$2:$E$1001,$AR610),"")))</f>
        <v>1</v>
      </c>
      <c r="F610" s="5">
        <f>IF($A610="","",IF($AP610&lt;&gt;"",INDEX(Raw_D1!$F$2:$F$1001,$AP610),IF($AR610&lt;&gt;"",INDEX(Raw_D3!$F$2:$F$1001,$AR610),"")))</f>
        <v>14</v>
      </c>
      <c r="G610" s="5">
        <f>IF($A610="","",IF($AP610&lt;&gt;"",IF(INDEX(Raw_D1!$G$2:$G$1001,$AP610),1,0),IF($AR610&lt;&gt;"",IF(INDEX(Raw_D3!$G$2:$G$1001,$AR610),1,0),"")))</f>
        <v>0</v>
      </c>
      <c r="H610" s="5">
        <f>IF($A610="","",IF($AP610&lt;&gt;"",INDEX(Raw_D1!$H$2:$H$1001,$AP610),IF($AR610&lt;&gt;"",INDEX(Raw_D3!$H$2:$H$1001,$AR610),"")))</f>
        <v>5</v>
      </c>
      <c r="I610" s="5">
        <f>IF($A610="","",IF($AP610&lt;&gt;"",INDEX(Raw_D1!$I$2:$I$1001,$AP610),IF($AR610&lt;&gt;"",INDEX(Raw_D3!$I$2:$I$1001,$AR610),"")))</f>
        <v>3</v>
      </c>
      <c r="J610" s="16">
        <f>IF($A610="","",IF($AP610&lt;&gt;"",INDEX(Raw_D1!$J$2:$J$1001,$AP610),IF($AR610&lt;&gt;"",INDEX(Raw_D3!$J$2:$J$1001,$AR610),"")))</f>
        <v>0.22</v>
      </c>
      <c r="K610" s="17">
        <f>IF($A610="","",IF($AQ610&lt;&gt;"",IF(INDEX(Raw_D2!$C$2:$C$1001,$AQ610)="","",INDEX(Raw_D2!$C$2:$C$1001,$AQ610)),IF($AR610&lt;&gt;"",IF(INDEX(Raw_D3!$K$2:$K$1001,$AR610)="","",INDEX(Raw_D3!$K$2:$K$1001,$AR610)),"")))</f>
        <v>0.2727</v>
      </c>
      <c r="L610" s="16">
        <f>IF($A610="","",IF($AQ610&lt;&gt;"",IF(INDEX(Raw_D2!$D$2:$D$1001,$AQ610)="","",INDEX(Raw_D2!$D$2:$D$1001,$AQ610)),IF($AR610&lt;&gt;"",IF(INDEX(Raw_D3!$L$2:$L$1001,$AR610)="","",INDEX(Raw_D3!$L$2:$L$1001,$AR610)),"")))</f>
        <v>0.8</v>
      </c>
      <c r="M610" s="17">
        <f>IF($A610="","",IF($AQ610&lt;&gt;"",IF(INDEX(Raw_D2!$E$2:$E$1001,$AQ610)="","",INDEX(Raw_D2!$E$2:$E$1001,$AQ610)),IF($AR610&lt;&gt;"",IF(INDEX(Raw_D3!$M$2:$M$1001,$AR610)="","",INDEX(Raw_D3!$M$2:$M$1001,$AR610)),"")))</f>
        <v>0</v>
      </c>
      <c r="N610" s="5">
        <f>IF($A610="","",IF($AQ610&lt;&gt;"",IF(INDEX(Raw_D2!$F$2:$F$1001,$AQ610)="","",INDEX(Raw_D2!$F$2:$F$1001,$AQ610)),IF($AR610&lt;&gt;"",IF(INDEX(Raw_D3!$N$2:$N$1001,$AR610)="","",INDEX(Raw_D3!$N$2:$N$1001,$AR610)),"")))</f>
        <v>2</v>
      </c>
      <c r="O610" s="5">
        <f>IF($A610="","",IF($AQ610&lt;&gt;"",IF(INDEX(Raw_D2!$G$2:$G$1001,$AQ610)="","",INDEX(Raw_D2!$G$2:$G$1001,$AQ610)),IF($AR610&lt;&gt;"",IF(INDEX(Raw_D3!$O$2:$O$1001,$AR610)="","",INDEX(Raw_D3!$O$2:$O$1001,$AR610)),"")))</f>
        <v>36</v>
      </c>
      <c r="P610" s="5">
        <f>IF($A610="","",IF($AQ610&lt;&gt;"",IF(INDEX(Raw_D2!$H$2:$H$1001,$AQ610)="","",INDEX(Raw_D2!$H$2:$H$1001,$AQ610)),IF($AR610&lt;&gt;"",IF(INDEX(Raw_D3!$P$2:$P$1001,$AR610)="","",INDEX(Raw_D3!$P$2:$P$1001,$AR610)),"")))</f>
        <v>38</v>
      </c>
      <c r="Q610" s="5" t="str">
        <f>IF($A610="","",IF(AND($AP610&lt;&gt;"",$AQ610&lt;&gt;""),"D1+D2",IF($AR610&lt;&gt;"","D3","Incomplete")))</f>
        <v>D1+D2</v>
      </c>
      <c r="R610" s="17">
        <f>IF($A610="","",IF($K610="",IF($J610="","",ROUND(Lookups!$K$5+Lookups!$K$4*$J610,4)),$K610))</f>
        <v>0.2727</v>
      </c>
      <c r="S610" s="5" t="str">
        <f>IF($A610="","",IF($K610="","Imputed","Original"))</f>
        <v>Original</v>
      </c>
      <c r="T610" s="5" t="str">
        <f>IF($A610="","",IF($P610="","Missing",IF($P610=$N610+$O610,"OK","Mismatch")))</f>
        <v>OK</v>
      </c>
      <c r="U610" s="5" t="str">
        <f>IF($A610="","",IF(COUNTIF($A$2:$A610,$A610)&gt;1,"Duplicate","Unique"))</f>
        <v>Unique</v>
      </c>
      <c r="V610" s="5">
        <f>IF($A610="","",IF(AND($U610="Unique",ISNUMBER($P610)),1,0))</f>
        <v>1</v>
      </c>
      <c r="W610" s="5" t="str">
        <f>IF($A610="","",IF(OR($H610=0,$H610=6),"Weekend","Weekday"))</f>
        <v>Weekday</v>
      </c>
      <c r="X610" s="5" t="str">
        <f>IF($A610="","",TEXT($B610,"ddd"))</f>
        <v>Fri</v>
      </c>
      <c r="Y610" s="5" t="str">
        <f>IF($A610="","",TEXT($B610,"mmm"))</f>
        <v>Jan</v>
      </c>
      <c r="Z610" s="5" t="str">
        <f>IF($A610="","",IFERROR(VLOOKUP($C610,Lookups!$D$4:$E$7,2,FALSE),"Unknown"))</f>
        <v>Winter</v>
      </c>
      <c r="AA610" s="5" t="str">
        <f>IF($A610="","",IFERROR(VLOOKUP($I610,Lookups!$A$4:$B$7,2,FALSE),"Unknown"))</f>
        <v>Light Rain/Snow</v>
      </c>
      <c r="AB610" s="5" t="str">
        <f>IF($A610="","",TEXT($F610,"00")&amp;":00")</f>
        <v>14:00</v>
      </c>
      <c r="AC610" s="5" t="str">
        <f>IF($A610="","",VLOOKUP($F610,Lookups!$G$4:$H$8,2,TRUE))</f>
        <v>Midday (10-15)</v>
      </c>
      <c r="AD610" s="18">
        <f>IF($A610="","",IF($J610="","",ROUND($J610*41,1)))</f>
        <v>9</v>
      </c>
      <c r="AE610" s="18">
        <f>IF($A610="","",IF($R610="","",ROUND($R610*50,1)))</f>
        <v>13.6</v>
      </c>
      <c r="AF610" s="5">
        <f>IF($A610="","",IF($L610="","",ROUND($L610*100,0)))</f>
        <v>80</v>
      </c>
      <c r="AG610" s="18">
        <f>IF($A610="","",IF($M610="","",ROUND($M610*67,1)))</f>
        <v>0</v>
      </c>
      <c r="AH610" s="19">
        <f>IF($A610="","",IF($P610="","",IF($P610=0,0,$O610/$P610)))</f>
        <v>0.947368421052632</v>
      </c>
      <c r="AI610" s="5" t="str">
        <f>IF($A610="","",IF($P610="","",IF($P610&gt;=Lookups!$K$7,"High",IF($P610&lt;=Lookups!$K$8,"Low","Medium"))))</f>
        <v>Medium</v>
      </c>
      <c r="AJ610" s="5" t="str">
        <f>IF($A610="","",IF($AD610="","",IF($AD610&lt;5,"Under 5 C",IF($AD610&lt;10,"5-10 C",IF($AD610&lt;15,"10-15 C","15 C and above")))))</f>
        <v>5-10 C</v>
      </c>
      <c r="AK610" s="5">
        <f>IF($A610="","",IF($P610="","",$P610^2))</f>
        <v>1444</v>
      </c>
      <c r="AL610" s="18">
        <f>IF($V610&lt;&gt;1,"",AVERAGEIFS(Clean_Data!$P$2:$P$1001,Clean_Data!$F$2:$F$1001,$F610,Clean_Data!$W$2:$W$1001,$W610,Clean_Data!$V$2:$V$1001,1))</f>
        <v>60.551724137931</v>
      </c>
      <c r="AM610" s="16">
        <f>IF($V610&lt;&gt;1,"",IFERROR(($P610-$AL610)/SQRT(MAX(0,(SUMIFS(Clean_Data!$AK$2:$AK$1001,Clean_Data!$F$2:$F$1001,$F610,Clean_Data!$W$2:$W$1001,$W610,Clean_Data!$V$2:$V$1001,1)-COUNTIFS(Clean_Data!$F$2:$F$1001,$F610,Clean_Data!$W$2:$W$1001,$W610,Clean_Data!$V$2:$V$1001,1)*$AL610^2)/(COUNTIFS(Clean_Data!$F$2:$F$1001,$F610,Clean_Data!$W$2:$W$1001,$W610,Clean_Data!$V$2:$V$1001,1)-1))),""))</f>
        <v>-1.37089812161868</v>
      </c>
      <c r="AN610" s="5" t="str">
        <f>IF($AM610="","",IF($AM610&gt;=Lookups!$K$6,"High spike",IF($AM610&lt;=-Lookups!$K$6,"Unusual low","Normal")))</f>
        <v>Normal</v>
      </c>
      <c r="AO610" s="20">
        <f>IF($V610&lt;&gt;1,"",$P610+ROW()/100000)</f>
        <v>38.0061</v>
      </c>
      <c r="AP610" s="5">
        <f>IF($A610="","",IFERROR(MATCH($A610,Raw_D1!$A$2:$A$1001,0),""))</f>
        <v>609</v>
      </c>
      <c r="AQ610" s="5">
        <f>IF($A610="","",IFERROR(MATCH($A610,Raw_D2!$B$2:$B$1001,0),""))</f>
        <v>609</v>
      </c>
      <c r="AR610" s="5">
        <f>IF($A610="","",IFERROR(MATCH($A610,Raw_D3!$A$2:$A$1001,0),""))</f>
        <v/>
      </c>
    </row>
    <row r="611" spans="1:44" x14ac:dyDescent="0.25">
      <c r="A611" s="5">
        <v>610</v>
      </c>
      <c r="B611" s="11">
        <f>IF($A611="","",IF($AP611&lt;&gt;"",INDEX(Raw_D1!$B$2:$B$1001,$AP611),IF($AR611&lt;&gt;"",INDEX(Raw_D3!$B$2:$B$1001,$AR611),"")))</f>
        <v>40571.0</v>
      </c>
      <c r="C611" s="5">
        <f>IF($A611="","",IF($AP611&lt;&gt;"",INDEX(Raw_D1!$C$2:$C$1001,$AP611),IF($AR611&lt;&gt;"",INDEX(Raw_D3!$C$2:$C$1001,$AR611),"")))</f>
        <v>1</v>
      </c>
      <c r="D611" s="5">
        <f>IF($A611="","",IF($AP611&lt;&gt;"",INDEX(Raw_D1!$D$2:$D$1001,$AP611),IF($AR611&lt;&gt;"",INDEX(Raw_D3!$D$2:$D$1001,$AR611),"")))</f>
        <v>0</v>
      </c>
      <c r="E611" s="5">
        <f>IF($A611="","",IF($AP611&lt;&gt;"",INDEX(Raw_D1!$E$2:$E$1001,$AP611),IF($AR611&lt;&gt;"",INDEX(Raw_D3!$E$2:$E$1001,$AR611),"")))</f>
        <v>1</v>
      </c>
      <c r="F611" s="5">
        <f>IF($A611="","",IF($AP611&lt;&gt;"",INDEX(Raw_D1!$F$2:$F$1001,$AP611),IF($AR611&lt;&gt;"",INDEX(Raw_D3!$F$2:$F$1001,$AR611),"")))</f>
        <v>15</v>
      </c>
      <c r="G611" s="5">
        <f>IF($A611="","",IF($AP611&lt;&gt;"",IF(INDEX(Raw_D1!$G$2:$G$1001,$AP611),1,0),IF($AR611&lt;&gt;"",IF(INDEX(Raw_D3!$G$2:$G$1001,$AR611),1,0),"")))</f>
        <v>0</v>
      </c>
      <c r="H611" s="5">
        <f>IF($A611="","",IF($AP611&lt;&gt;"",INDEX(Raw_D1!$H$2:$H$1001,$AP611),IF($AR611&lt;&gt;"",INDEX(Raw_D3!$H$2:$H$1001,$AR611),"")))</f>
        <v>5</v>
      </c>
      <c r="I611" s="5">
        <f>IF($A611="","",IF($AP611&lt;&gt;"",INDEX(Raw_D1!$I$2:$I$1001,$AP611),IF($AR611&lt;&gt;"",INDEX(Raw_D3!$I$2:$I$1001,$AR611),"")))</f>
        <v>2</v>
      </c>
      <c r="J611" s="16">
        <f>IF($A611="","",IF($AP611&lt;&gt;"",INDEX(Raw_D1!$J$2:$J$1001,$AP611),IF($AR611&lt;&gt;"",INDEX(Raw_D3!$J$2:$J$1001,$AR611),"")))</f>
        <v>0.2</v>
      </c>
      <c r="K611" s="17">
        <f>IF($A611="","",IF($AQ611&lt;&gt;"",IF(INDEX(Raw_D2!$C$2:$C$1001,$AQ611)="","",INDEX(Raw_D2!$C$2:$C$1001,$AQ611)),IF($AR611&lt;&gt;"",IF(INDEX(Raw_D3!$K$2:$K$1001,$AR611)="","",INDEX(Raw_D3!$K$2:$K$1001,$AR611)),"")))</f>
        <v>0.2576</v>
      </c>
      <c r="L611" s="16">
        <f>IF($A611="","",IF($AQ611&lt;&gt;"",IF(INDEX(Raw_D2!$D$2:$D$1001,$AQ611)="","",INDEX(Raw_D2!$D$2:$D$1001,$AQ611)),IF($AR611&lt;&gt;"",IF(INDEX(Raw_D3!$L$2:$L$1001,$AR611)="","",INDEX(Raw_D3!$L$2:$L$1001,$AR611)),"")))</f>
        <v>0.86</v>
      </c>
      <c r="M611" s="17">
        <f>IF($A611="","",IF($AQ611&lt;&gt;"",IF(INDEX(Raw_D2!$E$2:$E$1001,$AQ611)="","",INDEX(Raw_D2!$E$2:$E$1001,$AQ611)),IF($AR611&lt;&gt;"",IF(INDEX(Raw_D3!$M$2:$M$1001,$AR611)="","",INDEX(Raw_D3!$M$2:$M$1001,$AR611)),"")))</f>
        <v>0</v>
      </c>
      <c r="N611" s="5">
        <f>IF($A611="","",IF($AQ611&lt;&gt;"",IF(INDEX(Raw_D2!$F$2:$F$1001,$AQ611)="","",INDEX(Raw_D2!$F$2:$F$1001,$AQ611)),IF($AR611&lt;&gt;"",IF(INDEX(Raw_D3!$N$2:$N$1001,$AR611)="","",INDEX(Raw_D3!$N$2:$N$1001,$AR611)),"")))</f>
        <v>1</v>
      </c>
      <c r="O611" s="5">
        <f>IF($A611="","",IF($AQ611&lt;&gt;"",IF(INDEX(Raw_D2!$G$2:$G$1001,$AQ611)="","",INDEX(Raw_D2!$G$2:$G$1001,$AQ611)),IF($AR611&lt;&gt;"",IF(INDEX(Raw_D3!$O$2:$O$1001,$AR611)="","",INDEX(Raw_D3!$O$2:$O$1001,$AR611)),"")))</f>
        <v>40</v>
      </c>
      <c r="P611" s="5">
        <f>IF($A611="","",IF($AQ611&lt;&gt;"",IF(INDEX(Raw_D2!$H$2:$H$1001,$AQ611)="","",INDEX(Raw_D2!$H$2:$H$1001,$AQ611)),IF($AR611&lt;&gt;"",IF(INDEX(Raw_D3!$P$2:$P$1001,$AR611)="","",INDEX(Raw_D3!$P$2:$P$1001,$AR611)),"")))</f>
        <v>41</v>
      </c>
      <c r="Q611" s="5" t="str">
        <f>IF($A611="","",IF(AND($AP611&lt;&gt;"",$AQ611&lt;&gt;""),"D1+D2",IF($AR611&lt;&gt;"","D3","Incomplete")))</f>
        <v>D1+D2</v>
      </c>
      <c r="R611" s="17">
        <f>IF($A611="","",IF($K611="",IF($J611="","",ROUND(Lookups!$K$5+Lookups!$K$4*$J611,4)),$K611))</f>
        <v>0.2576</v>
      </c>
      <c r="S611" s="5" t="str">
        <f>IF($A611="","",IF($K611="","Imputed","Original"))</f>
        <v>Original</v>
      </c>
      <c r="T611" s="5" t="str">
        <f>IF($A611="","",IF($P611="","Missing",IF($P611=$N611+$O611,"OK","Mismatch")))</f>
        <v>OK</v>
      </c>
      <c r="U611" s="5" t="str">
        <f>IF($A611="","",IF(COUNTIF($A$2:$A611,$A611)&gt;1,"Duplicate","Unique"))</f>
        <v>Unique</v>
      </c>
      <c r="V611" s="5">
        <f>IF($A611="","",IF(AND($U611="Unique",ISNUMBER($P611)),1,0))</f>
        <v>1</v>
      </c>
      <c r="W611" s="5" t="str">
        <f>IF($A611="","",IF(OR($H611=0,$H611=6),"Weekend","Weekday"))</f>
        <v>Weekday</v>
      </c>
      <c r="X611" s="5" t="str">
        <f>IF($A611="","",TEXT($B611,"ddd"))</f>
        <v>Fri</v>
      </c>
      <c r="Y611" s="5" t="str">
        <f>IF($A611="","",TEXT($B611,"mmm"))</f>
        <v>Jan</v>
      </c>
      <c r="Z611" s="5" t="str">
        <f>IF($A611="","",IFERROR(VLOOKUP($C611,Lookups!$D$4:$E$7,2,FALSE),"Unknown"))</f>
        <v>Winter</v>
      </c>
      <c r="AA611" s="5" t="str">
        <f>IF($A611="","",IFERROR(VLOOKUP($I611,Lookups!$A$4:$B$7,2,FALSE),"Unknown"))</f>
        <v>Mist/Cloudy</v>
      </c>
      <c r="AB611" s="5" t="str">
        <f>IF($A611="","",TEXT($F611,"00")&amp;":00")</f>
        <v>15:00</v>
      </c>
      <c r="AC611" s="5" t="str">
        <f>IF($A611="","",VLOOKUP($F611,Lookups!$G$4:$H$8,2,TRUE))</f>
        <v>Midday (10-15)</v>
      </c>
      <c r="AD611" s="18">
        <f>IF($A611="","",IF($J611="","",ROUND($J611*41,1)))</f>
        <v>8.2</v>
      </c>
      <c r="AE611" s="18">
        <f>IF($A611="","",IF($R611="","",ROUND($R611*50,1)))</f>
        <v>12.9</v>
      </c>
      <c r="AF611" s="5">
        <f>IF($A611="","",IF($L611="","",ROUND($L611*100,0)))</f>
        <v>86</v>
      </c>
      <c r="AG611" s="18">
        <f>IF($A611="","",IF($M611="","",ROUND($M611*67,1)))</f>
        <v>0</v>
      </c>
      <c r="AH611" s="19">
        <f>IF($A611="","",IF($P611="","",IF($P611=0,0,$O611/$P611)))</f>
        <v>0.975609756097561</v>
      </c>
      <c r="AI611" s="5" t="str">
        <f>IF($A611="","",IF($P611="","",IF($P611&gt;=Lookups!$K$7,"High",IF($P611&lt;=Lookups!$K$8,"Low","Medium"))))</f>
        <v>Medium</v>
      </c>
      <c r="AJ611" s="5" t="str">
        <f>IF($A611="","",IF($AD611="","",IF($AD611&lt;5,"Under 5 C",IF($AD611&lt;10,"5-10 C",IF($AD611&lt;15,"10-15 C","15 C and above")))))</f>
        <v>5-10 C</v>
      </c>
      <c r="AK611" s="5">
        <f>IF($A611="","",IF($P611="","",$P611^2))</f>
        <v>1681</v>
      </c>
      <c r="AL611" s="18">
        <f>IF($V611&lt;&gt;1,"",AVERAGEIFS(Clean_Data!$P$2:$P$1001,Clean_Data!$F$2:$F$1001,$F611,Clean_Data!$W$2:$W$1001,$W611,Clean_Data!$V$2:$V$1001,1))</f>
        <v>61.4827586206897</v>
      </c>
      <c r="AM611" s="16">
        <f>IF($V611&lt;&gt;1,"",IFERROR(($P611-$AL611)/SQRT(MAX(0,(SUMIFS(Clean_Data!$AK$2:$AK$1001,Clean_Data!$F$2:$F$1001,$F611,Clean_Data!$W$2:$W$1001,$W611,Clean_Data!$V$2:$V$1001,1)-COUNTIFS(Clean_Data!$F$2:$F$1001,$F611,Clean_Data!$W$2:$W$1001,$W611,Clean_Data!$V$2:$V$1001,1)*$AL611^2)/(COUNTIFS(Clean_Data!$F$2:$F$1001,$F611,Clean_Data!$W$2:$W$1001,$W611,Clean_Data!$V$2:$V$1001,1)-1))),""))</f>
        <v>-1.35871466798618</v>
      </c>
      <c r="AN611" s="5" t="str">
        <f>IF($AM611="","",IF($AM611&gt;=Lookups!$K$6,"High spike",IF($AM611&lt;=-Lookups!$K$6,"Unusual low","Normal")))</f>
        <v>Normal</v>
      </c>
      <c r="AO611" s="20">
        <f>IF($V611&lt;&gt;1,"",$P611+ROW()/100000)</f>
        <v>41.00611</v>
      </c>
      <c r="AP611" s="5">
        <f>IF($A611="","",IFERROR(MATCH($A611,Raw_D1!$A$2:$A$1001,0),""))</f>
        <v>610</v>
      </c>
      <c r="AQ611" s="5">
        <f>IF($A611="","",IFERROR(MATCH($A611,Raw_D2!$B$2:$B$1001,0),""))</f>
        <v>610</v>
      </c>
      <c r="AR611" s="5">
        <f>IF($A611="","",IFERROR(MATCH($A611,Raw_D3!$A$2:$A$1001,0),""))</f>
        <v/>
      </c>
    </row>
    <row r="612" spans="1:44" x14ac:dyDescent="0.25">
      <c r="A612" s="5">
        <v>611</v>
      </c>
      <c r="B612" s="11">
        <f>IF($A612="","",IF($AP612&lt;&gt;"",INDEX(Raw_D1!$B$2:$B$1001,$AP612),IF($AR612&lt;&gt;"",INDEX(Raw_D3!$B$2:$B$1001,$AR612),"")))</f>
        <v>40571.0</v>
      </c>
      <c r="C612" s="5">
        <f>IF($A612="","",IF($AP612&lt;&gt;"",INDEX(Raw_D1!$C$2:$C$1001,$AP612),IF($AR612&lt;&gt;"",INDEX(Raw_D3!$C$2:$C$1001,$AR612),"")))</f>
        <v>1</v>
      </c>
      <c r="D612" s="5">
        <f>IF($A612="","",IF($AP612&lt;&gt;"",INDEX(Raw_D1!$D$2:$D$1001,$AP612),IF($AR612&lt;&gt;"",INDEX(Raw_D3!$D$2:$D$1001,$AR612),"")))</f>
        <v>0</v>
      </c>
      <c r="E612" s="5">
        <f>IF($A612="","",IF($AP612&lt;&gt;"",INDEX(Raw_D1!$E$2:$E$1001,$AP612),IF($AR612&lt;&gt;"",INDEX(Raw_D3!$E$2:$E$1001,$AR612),"")))</f>
        <v>1</v>
      </c>
      <c r="F612" s="5">
        <f>IF($A612="","",IF($AP612&lt;&gt;"",INDEX(Raw_D1!$F$2:$F$1001,$AP612),IF($AR612&lt;&gt;"",INDEX(Raw_D3!$F$2:$F$1001,$AR612),"")))</f>
        <v>16</v>
      </c>
      <c r="G612" s="5">
        <f>IF($A612="","",IF($AP612&lt;&gt;"",IF(INDEX(Raw_D1!$G$2:$G$1001,$AP612),1,0),IF($AR612&lt;&gt;"",IF(INDEX(Raw_D3!$G$2:$G$1001,$AR612),1,0),"")))</f>
        <v>0</v>
      </c>
      <c r="H612" s="5">
        <f>IF($A612="","",IF($AP612&lt;&gt;"",INDEX(Raw_D1!$H$2:$H$1001,$AP612),IF($AR612&lt;&gt;"",INDEX(Raw_D3!$H$2:$H$1001,$AR612),"")))</f>
        <v>5</v>
      </c>
      <c r="I612" s="5">
        <f>IF($A612="","",IF($AP612&lt;&gt;"",INDEX(Raw_D1!$I$2:$I$1001,$AP612),IF($AR612&lt;&gt;"",INDEX(Raw_D3!$I$2:$I$1001,$AR612),"")))</f>
        <v>1</v>
      </c>
      <c r="J612" s="16">
        <f>IF($A612="","",IF($AP612&lt;&gt;"",INDEX(Raw_D1!$J$2:$J$1001,$AP612),IF($AR612&lt;&gt;"",INDEX(Raw_D3!$J$2:$J$1001,$AR612),"")))</f>
        <v>0.22</v>
      </c>
      <c r="K612" s="17">
        <f>IF($A612="","",IF($AQ612&lt;&gt;"",IF(INDEX(Raw_D2!$C$2:$C$1001,$AQ612)="","",INDEX(Raw_D2!$C$2:$C$1001,$AQ612)),IF($AR612&lt;&gt;"",IF(INDEX(Raw_D3!$K$2:$K$1001,$AR612)="","",INDEX(Raw_D3!$K$2:$K$1001,$AR612)),"")))</f>
        <v>0.2727</v>
      </c>
      <c r="L612" s="16">
        <f>IF($A612="","",IF($AQ612&lt;&gt;"",IF(INDEX(Raw_D2!$D$2:$D$1001,$AQ612)="","",INDEX(Raw_D2!$D$2:$D$1001,$AQ612)),IF($AR612&lt;&gt;"",IF(INDEX(Raw_D3!$L$2:$L$1001,$AR612)="","",INDEX(Raw_D3!$L$2:$L$1001,$AR612)),"")))</f>
        <v>0.8</v>
      </c>
      <c r="M612" s="17">
        <f>IF($A612="","",IF($AQ612&lt;&gt;"",IF(INDEX(Raw_D2!$E$2:$E$1001,$AQ612)="","",INDEX(Raw_D2!$E$2:$E$1001,$AQ612)),IF($AR612&lt;&gt;"",IF(INDEX(Raw_D3!$M$2:$M$1001,$AR612)="","",INDEX(Raw_D3!$M$2:$M$1001,$AR612)),"")))</f>
        <v>0</v>
      </c>
      <c r="N612" s="5">
        <f>IF($A612="","",IF($AQ612&lt;&gt;"",IF(INDEX(Raw_D2!$F$2:$F$1001,$AQ612)="","",INDEX(Raw_D2!$F$2:$F$1001,$AQ612)),IF($AR612&lt;&gt;"",IF(INDEX(Raw_D3!$N$2:$N$1001,$AR612)="","",INDEX(Raw_D3!$N$2:$N$1001,$AR612)),"")))</f>
        <v>10</v>
      </c>
      <c r="O612" s="5">
        <f>IF($A612="","",IF($AQ612&lt;&gt;"",IF(INDEX(Raw_D2!$G$2:$G$1001,$AQ612)="","",INDEX(Raw_D2!$G$2:$G$1001,$AQ612)),IF($AR612&lt;&gt;"",IF(INDEX(Raw_D3!$O$2:$O$1001,$AR612)="","",INDEX(Raw_D3!$O$2:$O$1001,$AR612)),"")))</f>
        <v>70</v>
      </c>
      <c r="P612" s="5">
        <f>IF($A612="","",IF($AQ612&lt;&gt;"",IF(INDEX(Raw_D2!$H$2:$H$1001,$AQ612)="","",INDEX(Raw_D2!$H$2:$H$1001,$AQ612)),IF($AR612&lt;&gt;"",IF(INDEX(Raw_D3!$P$2:$P$1001,$AR612)="","",INDEX(Raw_D3!$P$2:$P$1001,$AR612)),"")))</f>
        <v>80</v>
      </c>
      <c r="Q612" s="5" t="str">
        <f>IF($A612="","",IF(AND($AP612&lt;&gt;"",$AQ612&lt;&gt;""),"D1+D2",IF($AR612&lt;&gt;"","D3","Incomplete")))</f>
        <v>D3</v>
      </c>
      <c r="R612" s="17">
        <f>IF($A612="","",IF($K612="",IF($J612="","",ROUND(Lookups!$K$5+Lookups!$K$4*$J612,4)),$K612))</f>
        <v>0.2727</v>
      </c>
      <c r="S612" s="5" t="str">
        <f>IF($A612="","",IF($K612="","Imputed","Original"))</f>
        <v>Original</v>
      </c>
      <c r="T612" s="5" t="str">
        <f>IF($A612="","",IF($P612="","Missing",IF($P612=$N612+$O612,"OK","Mismatch")))</f>
        <v>OK</v>
      </c>
      <c r="U612" s="5" t="str">
        <f>IF($A612="","",IF(COUNTIF($A$2:$A612,$A612)&gt;1,"Duplicate","Unique"))</f>
        <v>Unique</v>
      </c>
      <c r="V612" s="5">
        <f>IF($A612="","",IF(AND($U612="Unique",ISNUMBER($P612)),1,0))</f>
        <v>1</v>
      </c>
      <c r="W612" s="5" t="str">
        <f>IF($A612="","",IF(OR($H612=0,$H612=6),"Weekend","Weekday"))</f>
        <v>Weekday</v>
      </c>
      <c r="X612" s="5" t="str">
        <f>IF($A612="","",TEXT($B612,"ddd"))</f>
        <v>Fri</v>
      </c>
      <c r="Y612" s="5" t="str">
        <f>IF($A612="","",TEXT($B612,"mmm"))</f>
        <v>Jan</v>
      </c>
      <c r="Z612" s="5" t="str">
        <f>IF($A612="","",IFERROR(VLOOKUP($C612,Lookups!$D$4:$E$7,2,FALSE),"Unknown"))</f>
        <v>Winter</v>
      </c>
      <c r="AA612" s="5" t="str">
        <f>IF($A612="","",IFERROR(VLOOKUP($I612,Lookups!$A$4:$B$7,2,FALSE),"Unknown"))</f>
        <v>Clear</v>
      </c>
      <c r="AB612" s="5" t="str">
        <f>IF($A612="","",TEXT($F612,"00")&amp;":00")</f>
        <v>16:00</v>
      </c>
      <c r="AC612" s="5" t="str">
        <f>IF($A612="","",VLOOKUP($F612,Lookups!$G$4:$H$8,2,TRUE))</f>
        <v>Evening Peak (16-19)</v>
      </c>
      <c r="AD612" s="18">
        <f>IF($A612="","",IF($J612="","",ROUND($J612*41,1)))</f>
        <v>9</v>
      </c>
      <c r="AE612" s="18">
        <f>IF($A612="","",IF($R612="","",ROUND($R612*50,1)))</f>
        <v>13.6</v>
      </c>
      <c r="AF612" s="5">
        <f>IF($A612="","",IF($L612="","",ROUND($L612*100,0)))</f>
        <v>80</v>
      </c>
      <c r="AG612" s="18">
        <f>IF($A612="","",IF($M612="","",ROUND($M612*67,1)))</f>
        <v>0</v>
      </c>
      <c r="AH612" s="19">
        <f>IF($A612="","",IF($P612="","",IF($P612=0,0,$O612/$P612)))</f>
        <v>0.875</v>
      </c>
      <c r="AI612" s="5" t="str">
        <f>IF($A612="","",IF($P612="","",IF($P612&gt;=Lookups!$K$7,"High",IF($P612&lt;=Lookups!$K$8,"Low","Medium"))))</f>
        <v>Medium</v>
      </c>
      <c r="AJ612" s="5" t="str">
        <f>IF($A612="","",IF($AD612="","",IF($AD612&lt;5,"Under 5 C",IF($AD612&lt;10,"5-10 C",IF($AD612&lt;15,"10-15 C","15 C and above")))))</f>
        <v>5-10 C</v>
      </c>
      <c r="AK612" s="5">
        <f>IF($A612="","",IF($P612="","",$P612^2))</f>
        <v>6400</v>
      </c>
      <c r="AL612" s="18">
        <f>IF($V612&lt;&gt;1,"",AVERAGEIFS(Clean_Data!$P$2:$P$1001,Clean_Data!$F$2:$F$1001,$F612,Clean_Data!$W$2:$W$1001,$W612,Clean_Data!$V$2:$V$1001,1))</f>
        <v>82.6333333333333</v>
      </c>
      <c r="AM612" s="16">
        <f>IF($V612&lt;&gt;1,"",IFERROR(($P612-$AL612)/SQRT(MAX(0,(SUMIFS(Clean_Data!$AK$2:$AK$1001,Clean_Data!$F$2:$F$1001,$F612,Clean_Data!$W$2:$W$1001,$W612,Clean_Data!$V$2:$V$1001,1)-COUNTIFS(Clean_Data!$F$2:$F$1001,$F612,Clean_Data!$W$2:$W$1001,$W612,Clean_Data!$V$2:$V$1001,1)*$AL612^2)/(COUNTIFS(Clean_Data!$F$2:$F$1001,$F612,Clean_Data!$W$2:$W$1001,$W612,Clean_Data!$V$2:$V$1001,1)-1))),""))</f>
        <v>-0.126944977570728</v>
      </c>
      <c r="AN612" s="5" t="str">
        <f>IF($AM612="","",IF($AM612&gt;=Lookups!$K$6,"High spike",IF($AM612&lt;=-Lookups!$K$6,"Unusual low","Normal")))</f>
        <v>Normal</v>
      </c>
      <c r="AO612" s="20">
        <f>IF($V612&lt;&gt;1,"",$P612+ROW()/100000)</f>
        <v>80.00612</v>
      </c>
      <c r="AP612" s="5">
        <f>IF($A612="","",IFERROR(MATCH($A612,Raw_D1!$A$2:$A$1001,0),""))</f>
        <v/>
      </c>
      <c r="AQ612" s="5">
        <f>IF($A612="","",IFERROR(MATCH($A612,Raw_D2!$B$2:$B$1001,0),""))</f>
        <v/>
      </c>
      <c r="AR612" s="5">
        <f>IF($A612="","",IFERROR(MATCH($A612,Raw_D3!$A$2:$A$1001,0),""))</f>
        <v>382</v>
      </c>
    </row>
    <row r="613" spans="1:44" x14ac:dyDescent="0.25">
      <c r="A613" s="5">
        <v>612</v>
      </c>
      <c r="B613" s="11">
        <f>IF($A613="","",IF($AP613&lt;&gt;"",INDEX(Raw_D1!$B$2:$B$1001,$AP613),IF($AR613&lt;&gt;"",INDEX(Raw_D3!$B$2:$B$1001,$AR613),"")))</f>
        <v>40571.0</v>
      </c>
      <c r="C613" s="5">
        <f>IF($A613="","",IF($AP613&lt;&gt;"",INDEX(Raw_D1!$C$2:$C$1001,$AP613),IF($AR613&lt;&gt;"",INDEX(Raw_D3!$C$2:$C$1001,$AR613),"")))</f>
        <v>1</v>
      </c>
      <c r="D613" s="5">
        <f>IF($A613="","",IF($AP613&lt;&gt;"",INDEX(Raw_D1!$D$2:$D$1001,$AP613),IF($AR613&lt;&gt;"",INDEX(Raw_D3!$D$2:$D$1001,$AR613),"")))</f>
        <v>0</v>
      </c>
      <c r="E613" s="5">
        <f>IF($A613="","",IF($AP613&lt;&gt;"",INDEX(Raw_D1!$E$2:$E$1001,$AP613),IF($AR613&lt;&gt;"",INDEX(Raw_D3!$E$2:$E$1001,$AR613),"")))</f>
        <v>1</v>
      </c>
      <c r="F613" s="5">
        <f>IF($A613="","",IF($AP613&lt;&gt;"",INDEX(Raw_D1!$F$2:$F$1001,$AP613),IF($AR613&lt;&gt;"",INDEX(Raw_D3!$F$2:$F$1001,$AR613),"")))</f>
        <v>17</v>
      </c>
      <c r="G613" s="5">
        <f>IF($A613="","",IF($AP613&lt;&gt;"",IF(INDEX(Raw_D1!$G$2:$G$1001,$AP613),1,0),IF($AR613&lt;&gt;"",IF(INDEX(Raw_D3!$G$2:$G$1001,$AR613),1,0),"")))</f>
        <v>0</v>
      </c>
      <c r="H613" s="5">
        <f>IF($A613="","",IF($AP613&lt;&gt;"",INDEX(Raw_D1!$H$2:$H$1001,$AP613),IF($AR613&lt;&gt;"",INDEX(Raw_D3!$H$2:$H$1001,$AR613),"")))</f>
        <v>5</v>
      </c>
      <c r="I613" s="5">
        <f>IF($A613="","",IF($AP613&lt;&gt;"",INDEX(Raw_D1!$I$2:$I$1001,$AP613),IF($AR613&lt;&gt;"",INDEX(Raw_D3!$I$2:$I$1001,$AR613),"")))</f>
        <v>1</v>
      </c>
      <c r="J613" s="16">
        <f>IF($A613="","",IF($AP613&lt;&gt;"",INDEX(Raw_D1!$J$2:$J$1001,$AP613),IF($AR613&lt;&gt;"",INDEX(Raw_D3!$J$2:$J$1001,$AR613),"")))</f>
        <v>0.24</v>
      </c>
      <c r="K613" s="17">
        <f>IF($A613="","",IF($AQ613&lt;&gt;"",IF(INDEX(Raw_D2!$C$2:$C$1001,$AQ613)="","",INDEX(Raw_D2!$C$2:$C$1001,$AQ613)),IF($AR613&lt;&gt;"",IF(INDEX(Raw_D3!$K$2:$K$1001,$AR613)="","",INDEX(Raw_D3!$K$2:$K$1001,$AR613)),"")))</f>
        <v>0.2424</v>
      </c>
      <c r="L613" s="16">
        <f>IF($A613="","",IF($AQ613&lt;&gt;"",IF(INDEX(Raw_D2!$D$2:$D$1001,$AQ613)="","",INDEX(Raw_D2!$D$2:$D$1001,$AQ613)),IF($AR613&lt;&gt;"",IF(INDEX(Raw_D3!$L$2:$L$1001,$AR613)="","",INDEX(Raw_D3!$L$2:$L$1001,$AR613)),"")))</f>
        <v>0.75</v>
      </c>
      <c r="M613" s="17">
        <f>IF($A613="","",IF($AQ613&lt;&gt;"",IF(INDEX(Raw_D2!$E$2:$E$1001,$AQ613)="","",INDEX(Raw_D2!$E$2:$E$1001,$AQ613)),IF($AR613&lt;&gt;"",IF(INDEX(Raw_D3!$M$2:$M$1001,$AR613)="","",INDEX(Raw_D3!$M$2:$M$1001,$AR613)),"")))</f>
        <v>0.1343</v>
      </c>
      <c r="N613" s="5">
        <f>IF($A613="","",IF($AQ613&lt;&gt;"",IF(INDEX(Raw_D2!$F$2:$F$1001,$AQ613)="","",INDEX(Raw_D2!$F$2:$F$1001,$AQ613)),IF($AR613&lt;&gt;"",IF(INDEX(Raw_D3!$N$2:$N$1001,$AR613)="","",INDEX(Raw_D3!$N$2:$N$1001,$AR613)),"")))</f>
        <v>2</v>
      </c>
      <c r="O613" s="5">
        <f>IF($A613="","",IF($AQ613&lt;&gt;"",IF(INDEX(Raw_D2!$G$2:$G$1001,$AQ613)="","",INDEX(Raw_D2!$G$2:$G$1001,$AQ613)),IF($AR613&lt;&gt;"",IF(INDEX(Raw_D3!$O$2:$O$1001,$AR613)="","",INDEX(Raw_D3!$O$2:$O$1001,$AR613)),"")))</f>
        <v>147</v>
      </c>
      <c r="P613" s="5">
        <f>IF($A613="","",IF($AQ613&lt;&gt;"",IF(INDEX(Raw_D2!$H$2:$H$1001,$AQ613)="","",INDEX(Raw_D2!$H$2:$H$1001,$AQ613)),IF($AR613&lt;&gt;"",IF(INDEX(Raw_D3!$P$2:$P$1001,$AR613)="","",INDEX(Raw_D3!$P$2:$P$1001,$AR613)),"")))</f>
        <v>149</v>
      </c>
      <c r="Q613" s="5" t="str">
        <f>IF($A613="","",IF(AND($AP613&lt;&gt;"",$AQ613&lt;&gt;""),"D1+D2",IF($AR613&lt;&gt;"","D3","Incomplete")))</f>
        <v>D3</v>
      </c>
      <c r="R613" s="17">
        <f>IF($A613="","",IF($K613="",IF($J613="","",ROUND(Lookups!$K$5+Lookups!$K$4*$J613,4)),$K613))</f>
        <v>0.2424</v>
      </c>
      <c r="S613" s="5" t="str">
        <f>IF($A613="","",IF($K613="","Imputed","Original"))</f>
        <v>Original</v>
      </c>
      <c r="T613" s="5" t="str">
        <f>IF($A613="","",IF($P613="","Missing",IF($P613=$N613+$O613,"OK","Mismatch")))</f>
        <v>OK</v>
      </c>
      <c r="U613" s="5" t="str">
        <f>IF($A613="","",IF(COUNTIF($A$2:$A613,$A613)&gt;1,"Duplicate","Unique"))</f>
        <v>Unique</v>
      </c>
      <c r="V613" s="5">
        <f>IF($A613="","",IF(AND($U613="Unique",ISNUMBER($P613)),1,0))</f>
        <v>1</v>
      </c>
      <c r="W613" s="5" t="str">
        <f>IF($A613="","",IF(OR($H613=0,$H613=6),"Weekend","Weekday"))</f>
        <v>Weekday</v>
      </c>
      <c r="X613" s="5" t="str">
        <f>IF($A613="","",TEXT($B613,"ddd"))</f>
        <v>Fri</v>
      </c>
      <c r="Y613" s="5" t="str">
        <f>IF($A613="","",TEXT($B613,"mmm"))</f>
        <v>Jan</v>
      </c>
      <c r="Z613" s="5" t="str">
        <f>IF($A613="","",IFERROR(VLOOKUP($C613,Lookups!$D$4:$E$7,2,FALSE),"Unknown"))</f>
        <v>Winter</v>
      </c>
      <c r="AA613" s="5" t="str">
        <f>IF($A613="","",IFERROR(VLOOKUP($I613,Lookups!$A$4:$B$7,2,FALSE),"Unknown"))</f>
        <v>Clear</v>
      </c>
      <c r="AB613" s="5" t="str">
        <f>IF($A613="","",TEXT($F613,"00")&amp;":00")</f>
        <v>17:00</v>
      </c>
      <c r="AC613" s="5" t="str">
        <f>IF($A613="","",VLOOKUP($F613,Lookups!$G$4:$H$8,2,TRUE))</f>
        <v>Evening Peak (16-19)</v>
      </c>
      <c r="AD613" s="18">
        <f>IF($A613="","",IF($J613="","",ROUND($J613*41,1)))</f>
        <v>9.8</v>
      </c>
      <c r="AE613" s="18">
        <f>IF($A613="","",IF($R613="","",ROUND($R613*50,1)))</f>
        <v>12.1</v>
      </c>
      <c r="AF613" s="5">
        <f>IF($A613="","",IF($L613="","",ROUND($L613*100,0)))</f>
        <v>75</v>
      </c>
      <c r="AG613" s="18">
        <f>IF($A613="","",IF($M613="","",ROUND($M613*67,1)))</f>
        <v>9</v>
      </c>
      <c r="AH613" s="19">
        <f>IF($A613="","",IF($P613="","",IF($P613=0,0,$O613/$P613)))</f>
        <v>0.986577181208054</v>
      </c>
      <c r="AI613" s="5" t="str">
        <f>IF($A613="","",IF($P613="","",IF($P613&gt;=Lookups!$K$7,"High",IF($P613&lt;=Lookups!$K$8,"Low","Medium"))))</f>
        <v>High</v>
      </c>
      <c r="AJ613" s="5" t="str">
        <f>IF($A613="","",IF($AD613="","",IF($AD613&lt;5,"Under 5 C",IF($AD613&lt;10,"5-10 C",IF($AD613&lt;15,"10-15 C","15 C and above")))))</f>
        <v>5-10 C</v>
      </c>
      <c r="AK613" s="5">
        <f>IF($A613="","",IF($P613="","",$P613^2))</f>
        <v>22201</v>
      </c>
      <c r="AL613" s="18">
        <f>IF($V613&lt;&gt;1,"",AVERAGEIFS(Clean_Data!$P$2:$P$1001,Clean_Data!$F$2:$F$1001,$F613,Clean_Data!$W$2:$W$1001,$W613,Clean_Data!$V$2:$V$1001,1))</f>
        <v>165.566666666667</v>
      </c>
      <c r="AM613" s="16">
        <f>IF($V613&lt;&gt;1,"",IFERROR(($P613-$AL613)/SQRT(MAX(0,(SUMIFS(Clean_Data!$AK$2:$AK$1001,Clean_Data!$F$2:$F$1001,$F613,Clean_Data!$W$2:$W$1001,$W613,Clean_Data!$V$2:$V$1001,1)-COUNTIFS(Clean_Data!$F$2:$F$1001,$F613,Clean_Data!$W$2:$W$1001,$W613,Clean_Data!$V$2:$V$1001,1)*$AL613^2)/(COUNTIFS(Clean_Data!$F$2:$F$1001,$F613,Clean_Data!$W$2:$W$1001,$W613,Clean_Data!$V$2:$V$1001,1)-1))),""))</f>
        <v>-0.376403318918514</v>
      </c>
      <c r="AN613" s="5" t="str">
        <f>IF($AM613="","",IF($AM613&gt;=Lookups!$K$6,"High spike",IF($AM613&lt;=-Lookups!$K$6,"Unusual low","Normal")))</f>
        <v>Normal</v>
      </c>
      <c r="AO613" s="20">
        <f>IF($V613&lt;&gt;1,"",$P613+ROW()/100000)</f>
        <v>149.00613</v>
      </c>
      <c r="AP613" s="5">
        <f>IF($A613="","",IFERROR(MATCH($A613,Raw_D1!$A$2:$A$1001,0),""))</f>
        <v/>
      </c>
      <c r="AQ613" s="5">
        <f>IF($A613="","",IFERROR(MATCH($A613,Raw_D2!$B$2:$B$1001,0),""))</f>
        <v/>
      </c>
      <c r="AR613" s="5">
        <f>IF($A613="","",IFERROR(MATCH($A613,Raw_D3!$A$2:$A$1001,0),""))</f>
        <v>383</v>
      </c>
    </row>
    <row r="614" spans="1:44" x14ac:dyDescent="0.25">
      <c r="A614" s="5">
        <v>613</v>
      </c>
      <c r="B614" s="11">
        <f>IF($A614="","",IF($AP614&lt;&gt;"",INDEX(Raw_D1!$B$2:$B$1001,$AP614),IF($AR614&lt;&gt;"",INDEX(Raw_D3!$B$2:$B$1001,$AR614),"")))</f>
        <v>40571.0</v>
      </c>
      <c r="C614" s="5">
        <f>IF($A614="","",IF($AP614&lt;&gt;"",INDEX(Raw_D1!$C$2:$C$1001,$AP614),IF($AR614&lt;&gt;"",INDEX(Raw_D3!$C$2:$C$1001,$AR614),"")))</f>
        <v>1</v>
      </c>
      <c r="D614" s="5">
        <f>IF($A614="","",IF($AP614&lt;&gt;"",INDEX(Raw_D1!$D$2:$D$1001,$AP614),IF($AR614&lt;&gt;"",INDEX(Raw_D3!$D$2:$D$1001,$AR614),"")))</f>
        <v>0</v>
      </c>
      <c r="E614" s="5">
        <f>IF($A614="","",IF($AP614&lt;&gt;"",INDEX(Raw_D1!$E$2:$E$1001,$AP614),IF($AR614&lt;&gt;"",INDEX(Raw_D3!$E$2:$E$1001,$AR614),"")))</f>
        <v>1</v>
      </c>
      <c r="F614" s="5">
        <f>IF($A614="","",IF($AP614&lt;&gt;"",INDEX(Raw_D1!$F$2:$F$1001,$AP614),IF($AR614&lt;&gt;"",INDEX(Raw_D3!$F$2:$F$1001,$AR614),"")))</f>
        <v>18</v>
      </c>
      <c r="G614" s="5">
        <f>IF($A614="","",IF($AP614&lt;&gt;"",IF(INDEX(Raw_D1!$G$2:$G$1001,$AP614),1,0),IF($AR614&lt;&gt;"",IF(INDEX(Raw_D3!$G$2:$G$1001,$AR614),1,0),"")))</f>
        <v>0</v>
      </c>
      <c r="H614" s="5">
        <f>IF($A614="","",IF($AP614&lt;&gt;"",INDEX(Raw_D1!$H$2:$H$1001,$AP614),IF($AR614&lt;&gt;"",INDEX(Raw_D3!$H$2:$H$1001,$AR614),"")))</f>
        <v>5</v>
      </c>
      <c r="I614" s="5">
        <f>IF($A614="","",IF($AP614&lt;&gt;"",INDEX(Raw_D1!$I$2:$I$1001,$AP614),IF($AR614&lt;&gt;"",INDEX(Raw_D3!$I$2:$I$1001,$AR614),"")))</f>
        <v>1</v>
      </c>
      <c r="J614" s="16">
        <f>IF($A614="","",IF($AP614&lt;&gt;"",INDEX(Raw_D1!$J$2:$J$1001,$AP614),IF($AR614&lt;&gt;"",INDEX(Raw_D3!$J$2:$J$1001,$AR614),"")))</f>
        <v>0.24</v>
      </c>
      <c r="K614" s="17">
        <f>IF($A614="","",IF($AQ614&lt;&gt;"",IF(INDEX(Raw_D2!$C$2:$C$1001,$AQ614)="","",INDEX(Raw_D2!$C$2:$C$1001,$AQ614)),IF($AR614&lt;&gt;"",IF(INDEX(Raw_D3!$K$2:$K$1001,$AR614)="","",INDEX(Raw_D3!$K$2:$K$1001,$AR614)),"")))</f>
        <v>0.2273</v>
      </c>
      <c r="L614" s="16">
        <f>IF($A614="","",IF($AQ614&lt;&gt;"",IF(INDEX(Raw_D2!$D$2:$D$1001,$AQ614)="","",INDEX(Raw_D2!$D$2:$D$1001,$AQ614)),IF($AR614&lt;&gt;"",IF(INDEX(Raw_D3!$L$2:$L$1001,$AR614)="","",INDEX(Raw_D3!$L$2:$L$1001,$AR614)),"")))</f>
        <v>0.75</v>
      </c>
      <c r="M614" s="17">
        <f>IF($A614="","",IF($AQ614&lt;&gt;"",IF(INDEX(Raw_D2!$E$2:$E$1001,$AQ614)="","",INDEX(Raw_D2!$E$2:$E$1001,$AQ614)),IF($AR614&lt;&gt;"",IF(INDEX(Raw_D3!$M$2:$M$1001,$AR614)="","",INDEX(Raw_D3!$M$2:$M$1001,$AR614)),"")))</f>
        <v>0.194</v>
      </c>
      <c r="N614" s="5">
        <f>IF($A614="","",IF($AQ614&lt;&gt;"",IF(INDEX(Raw_D2!$F$2:$F$1001,$AQ614)="","",INDEX(Raw_D2!$F$2:$F$1001,$AQ614)),IF($AR614&lt;&gt;"",IF(INDEX(Raw_D3!$N$2:$N$1001,$AR614)="","",INDEX(Raw_D3!$N$2:$N$1001,$AR614)),"")))</f>
        <v>2</v>
      </c>
      <c r="O614" s="5">
        <f>IF($A614="","",IF($AQ614&lt;&gt;"",IF(INDEX(Raw_D2!$G$2:$G$1001,$AQ614)="","",INDEX(Raw_D2!$G$2:$G$1001,$AQ614)),IF($AR614&lt;&gt;"",IF(INDEX(Raw_D3!$O$2:$O$1001,$AR614)="","",INDEX(Raw_D3!$O$2:$O$1001,$AR614)),"")))</f>
        <v>107</v>
      </c>
      <c r="P614" s="5">
        <f>IF($A614="","",IF($AQ614&lt;&gt;"",IF(INDEX(Raw_D2!$H$2:$H$1001,$AQ614)="","",INDEX(Raw_D2!$H$2:$H$1001,$AQ614)),IF($AR614&lt;&gt;"",IF(INDEX(Raw_D3!$P$2:$P$1001,$AR614)="","",INDEX(Raw_D3!$P$2:$P$1001,$AR614)),"")))</f>
        <v>109</v>
      </c>
      <c r="Q614" s="5" t="str">
        <f>IF($A614="","",IF(AND($AP614&lt;&gt;"",$AQ614&lt;&gt;""),"D1+D2",IF($AR614&lt;&gt;"","D3","Incomplete")))</f>
        <v>D3</v>
      </c>
      <c r="R614" s="17">
        <f>IF($A614="","",IF($K614="",IF($J614="","",ROUND(Lookups!$K$5+Lookups!$K$4*$J614,4)),$K614))</f>
        <v>0.2273</v>
      </c>
      <c r="S614" s="5" t="str">
        <f>IF($A614="","",IF($K614="","Imputed","Original"))</f>
        <v>Original</v>
      </c>
      <c r="T614" s="5" t="str">
        <f>IF($A614="","",IF($P614="","Missing",IF($P614=$N614+$O614,"OK","Mismatch")))</f>
        <v>OK</v>
      </c>
      <c r="U614" s="5" t="str">
        <f>IF($A614="","",IF(COUNTIF($A$2:$A614,$A614)&gt;1,"Duplicate","Unique"))</f>
        <v>Unique</v>
      </c>
      <c r="V614" s="5">
        <f>IF($A614="","",IF(AND($U614="Unique",ISNUMBER($P614)),1,0))</f>
        <v>1</v>
      </c>
      <c r="W614" s="5" t="str">
        <f>IF($A614="","",IF(OR($H614=0,$H614=6),"Weekend","Weekday"))</f>
        <v>Weekday</v>
      </c>
      <c r="X614" s="5" t="str">
        <f>IF($A614="","",TEXT($B614,"ddd"))</f>
        <v>Fri</v>
      </c>
      <c r="Y614" s="5" t="str">
        <f>IF($A614="","",TEXT($B614,"mmm"))</f>
        <v>Jan</v>
      </c>
      <c r="Z614" s="5" t="str">
        <f>IF($A614="","",IFERROR(VLOOKUP($C614,Lookups!$D$4:$E$7,2,FALSE),"Unknown"))</f>
        <v>Winter</v>
      </c>
      <c r="AA614" s="5" t="str">
        <f>IF($A614="","",IFERROR(VLOOKUP($I614,Lookups!$A$4:$B$7,2,FALSE),"Unknown"))</f>
        <v>Clear</v>
      </c>
      <c r="AB614" s="5" t="str">
        <f>IF($A614="","",TEXT($F614,"00")&amp;":00")</f>
        <v>18:00</v>
      </c>
      <c r="AC614" s="5" t="str">
        <f>IF($A614="","",VLOOKUP($F614,Lookups!$G$4:$H$8,2,TRUE))</f>
        <v>Evening Peak (16-19)</v>
      </c>
      <c r="AD614" s="18">
        <f>IF($A614="","",IF($J614="","",ROUND($J614*41,1)))</f>
        <v>9.8</v>
      </c>
      <c r="AE614" s="18">
        <f>IF($A614="","",IF($R614="","",ROUND($R614*50,1)))</f>
        <v>11.4</v>
      </c>
      <c r="AF614" s="5">
        <f>IF($A614="","",IF($L614="","",ROUND($L614*100,0)))</f>
        <v>75</v>
      </c>
      <c r="AG614" s="18">
        <f>IF($A614="","",IF($M614="","",ROUND($M614*67,1)))</f>
        <v>13</v>
      </c>
      <c r="AH614" s="19">
        <f>IF($A614="","",IF($P614="","",IF($P614=0,0,$O614/$P614)))</f>
        <v>0.981651376146789</v>
      </c>
      <c r="AI614" s="5" t="str">
        <f>IF($A614="","",IF($P614="","",IF($P614&gt;=Lookups!$K$7,"High",IF($P614&lt;=Lookups!$K$8,"Low","Medium"))))</f>
        <v>High</v>
      </c>
      <c r="AJ614" s="5" t="str">
        <f>IF($A614="","",IF($AD614="","",IF($AD614&lt;5,"Under 5 C",IF($AD614&lt;10,"5-10 C",IF($AD614&lt;15,"10-15 C","15 C and above")))))</f>
        <v>5-10 C</v>
      </c>
      <c r="AK614" s="5">
        <f>IF($A614="","",IF($P614="","",$P614^2))</f>
        <v>11881</v>
      </c>
      <c r="AL614" s="18">
        <f>IF($V614&lt;&gt;1,"",AVERAGEIFS(Clean_Data!$P$2:$P$1001,Clean_Data!$F$2:$F$1001,$F614,Clean_Data!$W$2:$W$1001,$W614,Clean_Data!$V$2:$V$1001,1))</f>
        <v>151.206896551724</v>
      </c>
      <c r="AM614" s="16">
        <f>IF($V614&lt;&gt;1,"",IFERROR(($P614-$AL614)/SQRT(MAX(0,(SUMIFS(Clean_Data!$AK$2:$AK$1001,Clean_Data!$F$2:$F$1001,$F614,Clean_Data!$W$2:$W$1001,$W614,Clean_Data!$V$2:$V$1001,1)-COUNTIFS(Clean_Data!$F$2:$F$1001,$F614,Clean_Data!$W$2:$W$1001,$W614,Clean_Data!$V$2:$V$1001,1)*$AL614^2)/(COUNTIFS(Clean_Data!$F$2:$F$1001,$F614,Clean_Data!$W$2:$W$1001,$W614,Clean_Data!$V$2:$V$1001,1)-1))),""))</f>
        <v>-1.43808633654282</v>
      </c>
      <c r="AN614" s="5" t="str">
        <f>IF($AM614="","",IF($AM614&gt;=Lookups!$K$6,"High spike",IF($AM614&lt;=-Lookups!$K$6,"Unusual low","Normal")))</f>
        <v>Normal</v>
      </c>
      <c r="AO614" s="20">
        <f>IF($V614&lt;&gt;1,"",$P614+ROW()/100000)</f>
        <v>109.00614</v>
      </c>
      <c r="AP614" s="5">
        <f>IF($A614="","",IFERROR(MATCH($A614,Raw_D1!$A$2:$A$1001,0),""))</f>
        <v/>
      </c>
      <c r="AQ614" s="5">
        <f>IF($A614="","",IFERROR(MATCH($A614,Raw_D2!$B$2:$B$1001,0),""))</f>
        <v/>
      </c>
      <c r="AR614" s="5">
        <f>IF($A614="","",IFERROR(MATCH($A614,Raw_D3!$A$2:$A$1001,0),""))</f>
        <v>384</v>
      </c>
    </row>
    <row r="615" spans="1:44" x14ac:dyDescent="0.25">
      <c r="A615" s="5">
        <v>614</v>
      </c>
      <c r="B615" s="11">
        <f>IF($A615="","",IF($AP615&lt;&gt;"",INDEX(Raw_D1!$B$2:$B$1001,$AP615),IF($AR615&lt;&gt;"",INDEX(Raw_D3!$B$2:$B$1001,$AR615),"")))</f>
        <v>40571.0</v>
      </c>
      <c r="C615" s="5">
        <f>IF($A615="","",IF($AP615&lt;&gt;"",INDEX(Raw_D1!$C$2:$C$1001,$AP615),IF($AR615&lt;&gt;"",INDEX(Raw_D3!$C$2:$C$1001,$AR615),"")))</f>
        <v>1</v>
      </c>
      <c r="D615" s="5">
        <f>IF($A615="","",IF($AP615&lt;&gt;"",INDEX(Raw_D1!$D$2:$D$1001,$AP615),IF($AR615&lt;&gt;"",INDEX(Raw_D3!$D$2:$D$1001,$AR615),"")))</f>
        <v>0</v>
      </c>
      <c r="E615" s="5">
        <f>IF($A615="","",IF($AP615&lt;&gt;"",INDEX(Raw_D1!$E$2:$E$1001,$AP615),IF($AR615&lt;&gt;"",INDEX(Raw_D3!$E$2:$E$1001,$AR615),"")))</f>
        <v>1</v>
      </c>
      <c r="F615" s="5">
        <f>IF($A615="","",IF($AP615&lt;&gt;"",INDEX(Raw_D1!$F$2:$F$1001,$AP615),IF($AR615&lt;&gt;"",INDEX(Raw_D3!$F$2:$F$1001,$AR615),"")))</f>
        <v>19</v>
      </c>
      <c r="G615" s="5">
        <f>IF($A615="","",IF($AP615&lt;&gt;"",IF(INDEX(Raw_D1!$G$2:$G$1001,$AP615),1,0),IF($AR615&lt;&gt;"",IF(INDEX(Raw_D3!$G$2:$G$1001,$AR615),1,0),"")))</f>
        <v>0</v>
      </c>
      <c r="H615" s="5">
        <f>IF($A615="","",IF($AP615&lt;&gt;"",INDEX(Raw_D1!$H$2:$H$1001,$AP615),IF($AR615&lt;&gt;"",INDEX(Raw_D3!$H$2:$H$1001,$AR615),"")))</f>
        <v>5</v>
      </c>
      <c r="I615" s="5">
        <f>IF($A615="","",IF($AP615&lt;&gt;"",INDEX(Raw_D1!$I$2:$I$1001,$AP615),IF($AR615&lt;&gt;"",INDEX(Raw_D3!$I$2:$I$1001,$AR615),"")))</f>
        <v>2</v>
      </c>
      <c r="J615" s="16">
        <f>IF($A615="","",IF($AP615&lt;&gt;"",INDEX(Raw_D1!$J$2:$J$1001,$AP615),IF($AR615&lt;&gt;"",INDEX(Raw_D3!$J$2:$J$1001,$AR615),"")))</f>
        <v>0.24</v>
      </c>
      <c r="K615" s="17">
        <f>IF($A615="","",IF($AQ615&lt;&gt;"",IF(INDEX(Raw_D2!$C$2:$C$1001,$AQ615)="","",INDEX(Raw_D2!$C$2:$C$1001,$AQ615)),IF($AR615&lt;&gt;"",IF(INDEX(Raw_D3!$K$2:$K$1001,$AR615)="","",INDEX(Raw_D3!$K$2:$K$1001,$AR615)),"")))</f>
        <v>0.2424</v>
      </c>
      <c r="L615" s="16">
        <f>IF($A615="","",IF($AQ615&lt;&gt;"",IF(INDEX(Raw_D2!$D$2:$D$1001,$AQ615)="","",INDEX(Raw_D2!$D$2:$D$1001,$AQ615)),IF($AR615&lt;&gt;"",IF(INDEX(Raw_D3!$L$2:$L$1001,$AR615)="","",INDEX(Raw_D3!$L$2:$L$1001,$AR615)),"")))</f>
        <v>0.75</v>
      </c>
      <c r="M615" s="17">
        <f>IF($A615="","",IF($AQ615&lt;&gt;"",IF(INDEX(Raw_D2!$E$2:$E$1001,$AQ615)="","",INDEX(Raw_D2!$E$2:$E$1001,$AQ615)),IF($AR615&lt;&gt;"",IF(INDEX(Raw_D3!$M$2:$M$1001,$AR615)="","",INDEX(Raw_D3!$M$2:$M$1001,$AR615)),"")))</f>
        <v>0.1343</v>
      </c>
      <c r="N615" s="5">
        <f>IF($A615="","",IF($AQ615&lt;&gt;"",IF(INDEX(Raw_D2!$F$2:$F$1001,$AQ615)="","",INDEX(Raw_D2!$F$2:$F$1001,$AQ615)),IF($AR615&lt;&gt;"",IF(INDEX(Raw_D3!$N$2:$N$1001,$AR615)="","",INDEX(Raw_D3!$N$2:$N$1001,$AR615)),"")))</f>
        <v>5</v>
      </c>
      <c r="O615" s="5">
        <f>IF($A615="","",IF($AQ615&lt;&gt;"",IF(INDEX(Raw_D2!$G$2:$G$1001,$AQ615)="","",INDEX(Raw_D2!$G$2:$G$1001,$AQ615)),IF($AR615&lt;&gt;"",IF(INDEX(Raw_D3!$O$2:$O$1001,$AR615)="","",INDEX(Raw_D3!$O$2:$O$1001,$AR615)),"")))</f>
        <v>84</v>
      </c>
      <c r="P615" s="5">
        <f>IF($A615="","",IF($AQ615&lt;&gt;"",IF(INDEX(Raw_D2!$H$2:$H$1001,$AQ615)="","",INDEX(Raw_D2!$H$2:$H$1001,$AQ615)),IF($AR615&lt;&gt;"",IF(INDEX(Raw_D3!$P$2:$P$1001,$AR615)="","",INDEX(Raw_D3!$P$2:$P$1001,$AR615)),"")))</f>
        <v>89</v>
      </c>
      <c r="Q615" s="5" t="str">
        <f>IF($A615="","",IF(AND($AP615&lt;&gt;"",$AQ615&lt;&gt;""),"D1+D2",IF($AR615&lt;&gt;"","D3","Incomplete")))</f>
        <v>D3</v>
      </c>
      <c r="R615" s="17">
        <f>IF($A615="","",IF($K615="",IF($J615="","",ROUND(Lookups!$K$5+Lookups!$K$4*$J615,4)),$K615))</f>
        <v>0.2424</v>
      </c>
      <c r="S615" s="5" t="str">
        <f>IF($A615="","",IF($K615="","Imputed","Original"))</f>
        <v>Original</v>
      </c>
      <c r="T615" s="5" t="str">
        <f>IF($A615="","",IF($P615="","Missing",IF($P615=$N615+$O615,"OK","Mismatch")))</f>
        <v>OK</v>
      </c>
      <c r="U615" s="5" t="str">
        <f>IF($A615="","",IF(COUNTIF($A$2:$A615,$A615)&gt;1,"Duplicate","Unique"))</f>
        <v>Unique</v>
      </c>
      <c r="V615" s="5">
        <f>IF($A615="","",IF(AND($U615="Unique",ISNUMBER($P615)),1,0))</f>
        <v>1</v>
      </c>
      <c r="W615" s="5" t="str">
        <f>IF($A615="","",IF(OR($H615=0,$H615=6),"Weekend","Weekday"))</f>
        <v>Weekday</v>
      </c>
      <c r="X615" s="5" t="str">
        <f>IF($A615="","",TEXT($B615,"ddd"))</f>
        <v>Fri</v>
      </c>
      <c r="Y615" s="5" t="str">
        <f>IF($A615="","",TEXT($B615,"mmm"))</f>
        <v>Jan</v>
      </c>
      <c r="Z615" s="5" t="str">
        <f>IF($A615="","",IFERROR(VLOOKUP($C615,Lookups!$D$4:$E$7,2,FALSE),"Unknown"))</f>
        <v>Winter</v>
      </c>
      <c r="AA615" s="5" t="str">
        <f>IF($A615="","",IFERROR(VLOOKUP($I615,Lookups!$A$4:$B$7,2,FALSE),"Unknown"))</f>
        <v>Mist/Cloudy</v>
      </c>
      <c r="AB615" s="5" t="str">
        <f>IF($A615="","",TEXT($F615,"00")&amp;":00")</f>
        <v>19:00</v>
      </c>
      <c r="AC615" s="5" t="str">
        <f>IF($A615="","",VLOOKUP($F615,Lookups!$G$4:$H$8,2,TRUE))</f>
        <v>Evening Peak (16-19)</v>
      </c>
      <c r="AD615" s="18">
        <f>IF($A615="","",IF($J615="","",ROUND($J615*41,1)))</f>
        <v>9.8</v>
      </c>
      <c r="AE615" s="18">
        <f>IF($A615="","",IF($R615="","",ROUND($R615*50,1)))</f>
        <v>12.1</v>
      </c>
      <c r="AF615" s="5">
        <f>IF($A615="","",IF($L615="","",ROUND($L615*100,0)))</f>
        <v>75</v>
      </c>
      <c r="AG615" s="18">
        <f>IF($A615="","",IF($M615="","",ROUND($M615*67,1)))</f>
        <v>9</v>
      </c>
      <c r="AH615" s="19">
        <f>IF($A615="","",IF($P615="","",IF($P615=0,0,$O615/$P615)))</f>
        <v>0.943820224719101</v>
      </c>
      <c r="AI615" s="5" t="str">
        <f>IF($A615="","",IF($P615="","",IF($P615&gt;=Lookups!$K$7,"High",IF($P615&lt;=Lookups!$K$8,"Low","Medium"))))</f>
        <v>High</v>
      </c>
      <c r="AJ615" s="5" t="str">
        <f>IF($A615="","",IF($AD615="","",IF($AD615&lt;5,"Under 5 C",IF($AD615&lt;10,"5-10 C",IF($AD615&lt;15,"10-15 C","15 C and above")))))</f>
        <v>5-10 C</v>
      </c>
      <c r="AK615" s="5">
        <f>IF($A615="","",IF($P615="","",$P615^2))</f>
        <v>7921</v>
      </c>
      <c r="AL615" s="18">
        <f>IF($V615&lt;&gt;1,"",AVERAGEIFS(Clean_Data!$P$2:$P$1001,Clean_Data!$F$2:$F$1001,$F615,Clean_Data!$W$2:$W$1001,$W615,Clean_Data!$V$2:$V$1001,1))</f>
        <v>102.034482758621</v>
      </c>
      <c r="AM615" s="16">
        <f>IF($V615&lt;&gt;1,"",IFERROR(($P615-$AL615)/SQRT(MAX(0,(SUMIFS(Clean_Data!$AK$2:$AK$1001,Clean_Data!$F$2:$F$1001,$F615,Clean_Data!$W$2:$W$1001,$W615,Clean_Data!$V$2:$V$1001,1)-COUNTIFS(Clean_Data!$F$2:$F$1001,$F615,Clean_Data!$W$2:$W$1001,$W615,Clean_Data!$V$2:$V$1001,1)*$AL615^2)/(COUNTIFS(Clean_Data!$F$2:$F$1001,$F615,Clean_Data!$W$2:$W$1001,$W615,Clean_Data!$V$2:$V$1001,1)-1))),""))</f>
        <v>-0.613454977028996</v>
      </c>
      <c r="AN615" s="5" t="str">
        <f>IF($AM615="","",IF($AM615&gt;=Lookups!$K$6,"High spike",IF($AM615&lt;=-Lookups!$K$6,"Unusual low","Normal")))</f>
        <v>Normal</v>
      </c>
      <c r="AO615" s="20">
        <f>IF($V615&lt;&gt;1,"",$P615+ROW()/100000)</f>
        <v>89.00615</v>
      </c>
      <c r="AP615" s="5">
        <f>IF($A615="","",IFERROR(MATCH($A615,Raw_D1!$A$2:$A$1001,0),""))</f>
        <v/>
      </c>
      <c r="AQ615" s="5">
        <f>IF($A615="","",IFERROR(MATCH($A615,Raw_D2!$B$2:$B$1001,0),""))</f>
        <v/>
      </c>
      <c r="AR615" s="5">
        <f>IF($A615="","",IFERROR(MATCH($A615,Raw_D3!$A$2:$A$1001,0),""))</f>
        <v>385</v>
      </c>
    </row>
    <row r="616" spans="1:44" x14ac:dyDescent="0.25">
      <c r="A616" s="5">
        <v>615</v>
      </c>
      <c r="B616" s="11">
        <f>IF($A616="","",IF($AP616&lt;&gt;"",INDEX(Raw_D1!$B$2:$B$1001,$AP616),IF($AR616&lt;&gt;"",INDEX(Raw_D3!$B$2:$B$1001,$AR616),"")))</f>
        <v>40571.0</v>
      </c>
      <c r="C616" s="5">
        <f>IF($A616="","",IF($AP616&lt;&gt;"",INDEX(Raw_D1!$C$2:$C$1001,$AP616),IF($AR616&lt;&gt;"",INDEX(Raw_D3!$C$2:$C$1001,$AR616),"")))</f>
        <v>1</v>
      </c>
      <c r="D616" s="5">
        <f>IF($A616="","",IF($AP616&lt;&gt;"",INDEX(Raw_D1!$D$2:$D$1001,$AP616),IF($AR616&lt;&gt;"",INDEX(Raw_D3!$D$2:$D$1001,$AR616),"")))</f>
        <v>0</v>
      </c>
      <c r="E616" s="5">
        <f>IF($A616="","",IF($AP616&lt;&gt;"",INDEX(Raw_D1!$E$2:$E$1001,$AP616),IF($AR616&lt;&gt;"",INDEX(Raw_D3!$E$2:$E$1001,$AR616),"")))</f>
        <v>1</v>
      </c>
      <c r="F616" s="5">
        <f>IF($A616="","",IF($AP616&lt;&gt;"",INDEX(Raw_D1!$F$2:$F$1001,$AP616),IF($AR616&lt;&gt;"",INDEX(Raw_D3!$F$2:$F$1001,$AR616),"")))</f>
        <v>20</v>
      </c>
      <c r="G616" s="5">
        <f>IF($A616="","",IF($AP616&lt;&gt;"",IF(INDEX(Raw_D1!$G$2:$G$1001,$AP616),1,0),IF($AR616&lt;&gt;"",IF(INDEX(Raw_D3!$G$2:$G$1001,$AR616),1,0),"")))</f>
        <v>0</v>
      </c>
      <c r="H616" s="5">
        <f>IF($A616="","",IF($AP616&lt;&gt;"",INDEX(Raw_D1!$H$2:$H$1001,$AP616),IF($AR616&lt;&gt;"",INDEX(Raw_D3!$H$2:$H$1001,$AR616),"")))</f>
        <v>5</v>
      </c>
      <c r="I616" s="5">
        <f>IF($A616="","",IF($AP616&lt;&gt;"",INDEX(Raw_D1!$I$2:$I$1001,$AP616),IF($AR616&lt;&gt;"",INDEX(Raw_D3!$I$2:$I$1001,$AR616),"")))</f>
        <v>2</v>
      </c>
      <c r="J616" s="16">
        <f>IF($A616="","",IF($AP616&lt;&gt;"",INDEX(Raw_D1!$J$2:$J$1001,$AP616),IF($AR616&lt;&gt;"",INDEX(Raw_D3!$J$2:$J$1001,$AR616),"")))</f>
        <v>0.24</v>
      </c>
      <c r="K616" s="17">
        <f>IF($A616="","",IF($AQ616&lt;&gt;"",IF(INDEX(Raw_D2!$C$2:$C$1001,$AQ616)="","",INDEX(Raw_D2!$C$2:$C$1001,$AQ616)),IF($AR616&lt;&gt;"",IF(INDEX(Raw_D3!$K$2:$K$1001,$AR616)="","",INDEX(Raw_D3!$K$2:$K$1001,$AR616)),"")))</f>
        <v>0.2273</v>
      </c>
      <c r="L616" s="16">
        <f>IF($A616="","",IF($AQ616&lt;&gt;"",IF(INDEX(Raw_D2!$D$2:$D$1001,$AQ616)="","",INDEX(Raw_D2!$D$2:$D$1001,$AQ616)),IF($AR616&lt;&gt;"",IF(INDEX(Raw_D3!$L$2:$L$1001,$AR616)="","",INDEX(Raw_D3!$L$2:$L$1001,$AR616)),"")))</f>
        <v>0.7</v>
      </c>
      <c r="M616" s="17">
        <f>IF($A616="","",IF($AQ616&lt;&gt;"",IF(INDEX(Raw_D2!$E$2:$E$1001,$AQ616)="","",INDEX(Raw_D2!$E$2:$E$1001,$AQ616)),IF($AR616&lt;&gt;"",IF(INDEX(Raw_D3!$M$2:$M$1001,$AR616)="","",INDEX(Raw_D3!$M$2:$M$1001,$AR616)),"")))</f>
        <v>0.194</v>
      </c>
      <c r="N616" s="5">
        <f>IF($A616="","",IF($AQ616&lt;&gt;"",IF(INDEX(Raw_D2!$F$2:$F$1001,$AQ616)="","",INDEX(Raw_D2!$F$2:$F$1001,$AQ616)),IF($AR616&lt;&gt;"",IF(INDEX(Raw_D3!$N$2:$N$1001,$AR616)="","",INDEX(Raw_D3!$N$2:$N$1001,$AR616)),"")))</f>
        <v>1</v>
      </c>
      <c r="O616" s="5">
        <f>IF($A616="","",IF($AQ616&lt;&gt;"",IF(INDEX(Raw_D2!$G$2:$G$1001,$AQ616)="","",INDEX(Raw_D2!$G$2:$G$1001,$AQ616)),IF($AR616&lt;&gt;"",IF(INDEX(Raw_D3!$O$2:$O$1001,$AR616)="","",INDEX(Raw_D3!$O$2:$O$1001,$AR616)),"")))</f>
        <v>61</v>
      </c>
      <c r="P616" s="5">
        <f>IF($A616="","",IF($AQ616&lt;&gt;"",IF(INDEX(Raw_D2!$H$2:$H$1001,$AQ616)="","",INDEX(Raw_D2!$H$2:$H$1001,$AQ616)),IF($AR616&lt;&gt;"",IF(INDEX(Raw_D3!$P$2:$P$1001,$AR616)="","",INDEX(Raw_D3!$P$2:$P$1001,$AR616)),"")))</f>
        <v>62</v>
      </c>
      <c r="Q616" s="5" t="str">
        <f>IF($A616="","",IF(AND($AP616&lt;&gt;"",$AQ616&lt;&gt;""),"D1+D2",IF($AR616&lt;&gt;"","D3","Incomplete")))</f>
        <v>D3</v>
      </c>
      <c r="R616" s="17">
        <f>IF($A616="","",IF($K616="",IF($J616="","",ROUND(Lookups!$K$5+Lookups!$K$4*$J616,4)),$K616))</f>
        <v>0.2273</v>
      </c>
      <c r="S616" s="5" t="str">
        <f>IF($A616="","",IF($K616="","Imputed","Original"))</f>
        <v>Original</v>
      </c>
      <c r="T616" s="5" t="str">
        <f>IF($A616="","",IF($P616="","Missing",IF($P616=$N616+$O616,"OK","Mismatch")))</f>
        <v>OK</v>
      </c>
      <c r="U616" s="5" t="str">
        <f>IF($A616="","",IF(COUNTIF($A$2:$A616,$A616)&gt;1,"Duplicate","Unique"))</f>
        <v>Unique</v>
      </c>
      <c r="V616" s="5">
        <f>IF($A616="","",IF(AND($U616="Unique",ISNUMBER($P616)),1,0))</f>
        <v>1</v>
      </c>
      <c r="W616" s="5" t="str">
        <f>IF($A616="","",IF(OR($H616=0,$H616=6),"Weekend","Weekday"))</f>
        <v>Weekday</v>
      </c>
      <c r="X616" s="5" t="str">
        <f>IF($A616="","",TEXT($B616,"ddd"))</f>
        <v>Fri</v>
      </c>
      <c r="Y616" s="5" t="str">
        <f>IF($A616="","",TEXT($B616,"mmm"))</f>
        <v>Jan</v>
      </c>
      <c r="Z616" s="5" t="str">
        <f>IF($A616="","",IFERROR(VLOOKUP($C616,Lookups!$D$4:$E$7,2,FALSE),"Unknown"))</f>
        <v>Winter</v>
      </c>
      <c r="AA616" s="5" t="str">
        <f>IF($A616="","",IFERROR(VLOOKUP($I616,Lookups!$A$4:$B$7,2,FALSE),"Unknown"))</f>
        <v>Mist/Cloudy</v>
      </c>
      <c r="AB616" s="5" t="str">
        <f>IF($A616="","",TEXT($F616,"00")&amp;":00")</f>
        <v>20:00</v>
      </c>
      <c r="AC616" s="5" t="str">
        <f>IF($A616="","",VLOOKUP($F616,Lookups!$G$4:$H$8,2,TRUE))</f>
        <v>Late Evening (20-23)</v>
      </c>
      <c r="AD616" s="18">
        <f>IF($A616="","",IF($J616="","",ROUND($J616*41,1)))</f>
        <v>9.8</v>
      </c>
      <c r="AE616" s="18">
        <f>IF($A616="","",IF($R616="","",ROUND($R616*50,1)))</f>
        <v>11.4</v>
      </c>
      <c r="AF616" s="5">
        <f>IF($A616="","",IF($L616="","",ROUND($L616*100,0)))</f>
        <v>70</v>
      </c>
      <c r="AG616" s="18">
        <f>IF($A616="","",IF($M616="","",ROUND($M616*67,1)))</f>
        <v>13</v>
      </c>
      <c r="AH616" s="19">
        <f>IF($A616="","",IF($P616="","",IF($P616=0,0,$O616/$P616)))</f>
        <v>0.983870967741936</v>
      </c>
      <c r="AI616" s="5" t="str">
        <f>IF($A616="","",IF($P616="","",IF($P616&gt;=Lookups!$K$7,"High",IF($P616&lt;=Lookups!$K$8,"Low","Medium"))))</f>
        <v>Medium</v>
      </c>
      <c r="AJ616" s="5" t="str">
        <f>IF($A616="","",IF($AD616="","",IF($AD616&lt;5,"Under 5 C",IF($AD616&lt;10,"5-10 C",IF($AD616&lt;15,"10-15 C","15 C and above")))))</f>
        <v>5-10 C</v>
      </c>
      <c r="AK616" s="5">
        <f>IF($A616="","",IF($P616="","",$P616^2))</f>
        <v>3844</v>
      </c>
      <c r="AL616" s="18">
        <f>IF($V616&lt;&gt;1,"",AVERAGEIFS(Clean_Data!$P$2:$P$1001,Clean_Data!$F$2:$F$1001,$F616,Clean_Data!$W$2:$W$1001,$W616,Clean_Data!$V$2:$V$1001,1))</f>
        <v>72.2758620689655</v>
      </c>
      <c r="AM616" s="16">
        <f>IF($V616&lt;&gt;1,"",IFERROR(($P616-$AL616)/SQRT(MAX(0,(SUMIFS(Clean_Data!$AK$2:$AK$1001,Clean_Data!$F$2:$F$1001,$F616,Clean_Data!$W$2:$W$1001,$W616,Clean_Data!$V$2:$V$1001,1)-COUNTIFS(Clean_Data!$F$2:$F$1001,$F616,Clean_Data!$W$2:$W$1001,$W616,Clean_Data!$V$2:$V$1001,1)*$AL616^2)/(COUNTIFS(Clean_Data!$F$2:$F$1001,$F616,Clean_Data!$W$2:$W$1001,$W616,Clean_Data!$V$2:$V$1001,1)-1))),""))</f>
        <v>-0.464965811619997</v>
      </c>
      <c r="AN616" s="5" t="str">
        <f>IF($AM616="","",IF($AM616&gt;=Lookups!$K$6,"High spike",IF($AM616&lt;=-Lookups!$K$6,"Unusual low","Normal")))</f>
        <v>Normal</v>
      </c>
      <c r="AO616" s="20">
        <f>IF($V616&lt;&gt;1,"",$P616+ROW()/100000)</f>
        <v>62.00616</v>
      </c>
      <c r="AP616" s="5">
        <f>IF($A616="","",IFERROR(MATCH($A616,Raw_D1!$A$2:$A$1001,0),""))</f>
        <v/>
      </c>
      <c r="AQ616" s="5">
        <f>IF($A616="","",IFERROR(MATCH($A616,Raw_D2!$B$2:$B$1001,0),""))</f>
        <v/>
      </c>
      <c r="AR616" s="5">
        <f>IF($A616="","",IFERROR(MATCH($A616,Raw_D3!$A$2:$A$1001,0),""))</f>
        <v>386</v>
      </c>
    </row>
    <row r="617" spans="1:44" x14ac:dyDescent="0.25">
      <c r="A617" s="5">
        <v>616</v>
      </c>
      <c r="B617" s="11">
        <f>IF($A617="","",IF($AP617&lt;&gt;"",INDEX(Raw_D1!$B$2:$B$1001,$AP617),IF($AR617&lt;&gt;"",INDEX(Raw_D3!$B$2:$B$1001,$AR617),"")))</f>
        <v>40571.0</v>
      </c>
      <c r="C617" s="5">
        <f>IF($A617="","",IF($AP617&lt;&gt;"",INDEX(Raw_D1!$C$2:$C$1001,$AP617),IF($AR617&lt;&gt;"",INDEX(Raw_D3!$C$2:$C$1001,$AR617),"")))</f>
        <v>1</v>
      </c>
      <c r="D617" s="5">
        <f>IF($A617="","",IF($AP617&lt;&gt;"",INDEX(Raw_D1!$D$2:$D$1001,$AP617),IF($AR617&lt;&gt;"",INDEX(Raw_D3!$D$2:$D$1001,$AR617),"")))</f>
        <v>0</v>
      </c>
      <c r="E617" s="5">
        <f>IF($A617="","",IF($AP617&lt;&gt;"",INDEX(Raw_D1!$E$2:$E$1001,$AP617),IF($AR617&lt;&gt;"",INDEX(Raw_D3!$E$2:$E$1001,$AR617),"")))</f>
        <v>1</v>
      </c>
      <c r="F617" s="5">
        <f>IF($A617="","",IF($AP617&lt;&gt;"",INDEX(Raw_D1!$F$2:$F$1001,$AP617),IF($AR617&lt;&gt;"",INDEX(Raw_D3!$F$2:$F$1001,$AR617),"")))</f>
        <v>21</v>
      </c>
      <c r="G617" s="5">
        <f>IF($A617="","",IF($AP617&lt;&gt;"",IF(INDEX(Raw_D1!$G$2:$G$1001,$AP617),1,0),IF($AR617&lt;&gt;"",IF(INDEX(Raw_D3!$G$2:$G$1001,$AR617),1,0),"")))</f>
        <v>0</v>
      </c>
      <c r="H617" s="5">
        <f>IF($A617="","",IF($AP617&lt;&gt;"",INDEX(Raw_D1!$H$2:$H$1001,$AP617),IF($AR617&lt;&gt;"",INDEX(Raw_D3!$H$2:$H$1001,$AR617),"")))</f>
        <v>5</v>
      </c>
      <c r="I617" s="5">
        <f>IF($A617="","",IF($AP617&lt;&gt;"",INDEX(Raw_D1!$I$2:$I$1001,$AP617),IF($AR617&lt;&gt;"",INDEX(Raw_D3!$I$2:$I$1001,$AR617),"")))</f>
        <v>2</v>
      </c>
      <c r="J617" s="16">
        <f>IF($A617="","",IF($AP617&lt;&gt;"",INDEX(Raw_D1!$J$2:$J$1001,$AP617),IF($AR617&lt;&gt;"",INDEX(Raw_D3!$J$2:$J$1001,$AR617),"")))</f>
        <v>0.22</v>
      </c>
      <c r="K617" s="17">
        <f>IF($A617="","",IF($AQ617&lt;&gt;"",IF(INDEX(Raw_D2!$C$2:$C$1001,$AQ617)="","",INDEX(Raw_D2!$C$2:$C$1001,$AQ617)),IF($AR617&lt;&gt;"",IF(INDEX(Raw_D3!$K$2:$K$1001,$AR617)="","",INDEX(Raw_D3!$K$2:$K$1001,$AR617)),"")))</f>
        <v>0.2273</v>
      </c>
      <c r="L617" s="16">
        <f>IF($A617="","",IF($AQ617&lt;&gt;"",IF(INDEX(Raw_D2!$D$2:$D$1001,$AQ617)="","",INDEX(Raw_D2!$D$2:$D$1001,$AQ617)),IF($AR617&lt;&gt;"",IF(INDEX(Raw_D3!$L$2:$L$1001,$AR617)="","",INDEX(Raw_D3!$L$2:$L$1001,$AR617)),"")))</f>
        <v>0.75</v>
      </c>
      <c r="M617" s="17">
        <f>IF($A617="","",IF($AQ617&lt;&gt;"",IF(INDEX(Raw_D2!$E$2:$E$1001,$AQ617)="","",INDEX(Raw_D2!$E$2:$E$1001,$AQ617)),IF($AR617&lt;&gt;"",IF(INDEX(Raw_D3!$M$2:$M$1001,$AR617)="","",INDEX(Raw_D3!$M$2:$M$1001,$AR617)),"")))</f>
        <v>0.1343</v>
      </c>
      <c r="N617" s="5">
        <f>IF($A617="","",IF($AQ617&lt;&gt;"",IF(INDEX(Raw_D2!$F$2:$F$1001,$AQ617)="","",INDEX(Raw_D2!$F$2:$F$1001,$AQ617)),IF($AR617&lt;&gt;"",IF(INDEX(Raw_D3!$N$2:$N$1001,$AR617)="","",INDEX(Raw_D3!$N$2:$N$1001,$AR617)),"")))</f>
        <v>1</v>
      </c>
      <c r="O617" s="5">
        <f>IF($A617="","",IF($AQ617&lt;&gt;"",IF(INDEX(Raw_D2!$G$2:$G$1001,$AQ617)="","",INDEX(Raw_D2!$G$2:$G$1001,$AQ617)),IF($AR617&lt;&gt;"",IF(INDEX(Raw_D3!$O$2:$O$1001,$AR617)="","",INDEX(Raw_D3!$O$2:$O$1001,$AR617)),"")))</f>
        <v>57</v>
      </c>
      <c r="P617" s="5">
        <f>IF($A617="","",IF($AQ617&lt;&gt;"",IF(INDEX(Raw_D2!$H$2:$H$1001,$AQ617)="","",INDEX(Raw_D2!$H$2:$H$1001,$AQ617)),IF($AR617&lt;&gt;"",IF(INDEX(Raw_D3!$P$2:$P$1001,$AR617)="","",INDEX(Raw_D3!$P$2:$P$1001,$AR617)),"")))</f>
        <v>58</v>
      </c>
      <c r="Q617" s="5" t="str">
        <f>IF($A617="","",IF(AND($AP617&lt;&gt;"",$AQ617&lt;&gt;""),"D1+D2",IF($AR617&lt;&gt;"","D3","Incomplete")))</f>
        <v>D3</v>
      </c>
      <c r="R617" s="17">
        <f>IF($A617="","",IF($K617="",IF($J617="","",ROUND(Lookups!$K$5+Lookups!$K$4*$J617,4)),$K617))</f>
        <v>0.2273</v>
      </c>
      <c r="S617" s="5" t="str">
        <f>IF($A617="","",IF($K617="","Imputed","Original"))</f>
        <v>Original</v>
      </c>
      <c r="T617" s="5" t="str">
        <f>IF($A617="","",IF($P617="","Missing",IF($P617=$N617+$O617,"OK","Mismatch")))</f>
        <v>OK</v>
      </c>
      <c r="U617" s="5" t="str">
        <f>IF($A617="","",IF(COUNTIF($A$2:$A617,$A617)&gt;1,"Duplicate","Unique"))</f>
        <v>Unique</v>
      </c>
      <c r="V617" s="5">
        <f>IF($A617="","",IF(AND($U617="Unique",ISNUMBER($P617)),1,0))</f>
        <v>1</v>
      </c>
      <c r="W617" s="5" t="str">
        <f>IF($A617="","",IF(OR($H617=0,$H617=6),"Weekend","Weekday"))</f>
        <v>Weekday</v>
      </c>
      <c r="X617" s="5" t="str">
        <f>IF($A617="","",TEXT($B617,"ddd"))</f>
        <v>Fri</v>
      </c>
      <c r="Y617" s="5" t="str">
        <f>IF($A617="","",TEXT($B617,"mmm"))</f>
        <v>Jan</v>
      </c>
      <c r="Z617" s="5" t="str">
        <f>IF($A617="","",IFERROR(VLOOKUP($C617,Lookups!$D$4:$E$7,2,FALSE),"Unknown"))</f>
        <v>Winter</v>
      </c>
      <c r="AA617" s="5" t="str">
        <f>IF($A617="","",IFERROR(VLOOKUP($I617,Lookups!$A$4:$B$7,2,FALSE),"Unknown"))</f>
        <v>Mist/Cloudy</v>
      </c>
      <c r="AB617" s="5" t="str">
        <f>IF($A617="","",TEXT($F617,"00")&amp;":00")</f>
        <v>21:00</v>
      </c>
      <c r="AC617" s="5" t="str">
        <f>IF($A617="","",VLOOKUP($F617,Lookups!$G$4:$H$8,2,TRUE))</f>
        <v>Late Evening (20-23)</v>
      </c>
      <c r="AD617" s="18">
        <f>IF($A617="","",IF($J617="","",ROUND($J617*41,1)))</f>
        <v>9</v>
      </c>
      <c r="AE617" s="18">
        <f>IF($A617="","",IF($R617="","",ROUND($R617*50,1)))</f>
        <v>11.4</v>
      </c>
      <c r="AF617" s="5">
        <f>IF($A617="","",IF($L617="","",ROUND($L617*100,0)))</f>
        <v>75</v>
      </c>
      <c r="AG617" s="18">
        <f>IF($A617="","",IF($M617="","",ROUND($M617*67,1)))</f>
        <v>9</v>
      </c>
      <c r="AH617" s="19">
        <f>IF($A617="","",IF($P617="","",IF($P617=0,0,$O617/$P617)))</f>
        <v>0.982758620689655</v>
      </c>
      <c r="AI617" s="5" t="str">
        <f>IF($A617="","",IF($P617="","",IF($P617&gt;=Lookups!$K$7,"High",IF($P617&lt;=Lookups!$K$8,"Low","Medium"))))</f>
        <v>Medium</v>
      </c>
      <c r="AJ617" s="5" t="str">
        <f>IF($A617="","",IF($AD617="","",IF($AD617&lt;5,"Under 5 C",IF($AD617&lt;10,"5-10 C",IF($AD617&lt;15,"10-15 C","15 C and above")))))</f>
        <v>5-10 C</v>
      </c>
      <c r="AK617" s="5">
        <f>IF($A617="","",IF($P617="","",$P617^2))</f>
        <v>3364</v>
      </c>
      <c r="AL617" s="18">
        <f>IF($V617&lt;&gt;1,"",AVERAGEIFS(Clean_Data!$P$2:$P$1001,Clean_Data!$F$2:$F$1001,$F617,Clean_Data!$W$2:$W$1001,$W617,Clean_Data!$V$2:$V$1001,1))</f>
        <v>50.8965517241379</v>
      </c>
      <c r="AM617" s="16">
        <f>IF($V617&lt;&gt;1,"",IFERROR(($P617-$AL617)/SQRT(MAX(0,(SUMIFS(Clean_Data!$AK$2:$AK$1001,Clean_Data!$F$2:$F$1001,$F617,Clean_Data!$W$2:$W$1001,$W617,Clean_Data!$V$2:$V$1001,1)-COUNTIFS(Clean_Data!$F$2:$F$1001,$F617,Clean_Data!$W$2:$W$1001,$W617,Clean_Data!$V$2:$V$1001,1)*$AL617^2)/(COUNTIFS(Clean_Data!$F$2:$F$1001,$F617,Clean_Data!$W$2:$W$1001,$W617,Clean_Data!$V$2:$V$1001,1)-1))),""))</f>
        <v>0.514435464211135</v>
      </c>
      <c r="AN617" s="5" t="str">
        <f>IF($AM617="","",IF($AM617&gt;=Lookups!$K$6,"High spike",IF($AM617&lt;=-Lookups!$K$6,"Unusual low","Normal")))</f>
        <v>Normal</v>
      </c>
      <c r="AO617" s="20">
        <f>IF($V617&lt;&gt;1,"",$P617+ROW()/100000)</f>
        <v>58.00617</v>
      </c>
      <c r="AP617" s="5">
        <f>IF($A617="","",IFERROR(MATCH($A617,Raw_D1!$A$2:$A$1001,0),""))</f>
        <v/>
      </c>
      <c r="AQ617" s="5">
        <f>IF($A617="","",IFERROR(MATCH($A617,Raw_D2!$B$2:$B$1001,0),""))</f>
        <v/>
      </c>
      <c r="AR617" s="5">
        <f>IF($A617="","",IFERROR(MATCH($A617,Raw_D3!$A$2:$A$1001,0),""))</f>
        <v>387</v>
      </c>
    </row>
    <row r="618" spans="1:44" x14ac:dyDescent="0.25">
      <c r="A618" s="5">
        <v>617</v>
      </c>
      <c r="B618" s="11">
        <f>IF($A618="","",IF($AP618&lt;&gt;"",INDEX(Raw_D1!$B$2:$B$1001,$AP618),IF($AR618&lt;&gt;"",INDEX(Raw_D3!$B$2:$B$1001,$AR618),"")))</f>
        <v>40571.0</v>
      </c>
      <c r="C618" s="5">
        <f>IF($A618="","",IF($AP618&lt;&gt;"",INDEX(Raw_D1!$C$2:$C$1001,$AP618),IF($AR618&lt;&gt;"",INDEX(Raw_D3!$C$2:$C$1001,$AR618),"")))</f>
        <v>1</v>
      </c>
      <c r="D618" s="5">
        <f>IF($A618="","",IF($AP618&lt;&gt;"",INDEX(Raw_D1!$D$2:$D$1001,$AP618),IF($AR618&lt;&gt;"",INDEX(Raw_D3!$D$2:$D$1001,$AR618),"")))</f>
        <v>0</v>
      </c>
      <c r="E618" s="5">
        <f>IF($A618="","",IF($AP618&lt;&gt;"",INDEX(Raw_D1!$E$2:$E$1001,$AP618),IF($AR618&lt;&gt;"",INDEX(Raw_D3!$E$2:$E$1001,$AR618),"")))</f>
        <v>1</v>
      </c>
      <c r="F618" s="5">
        <f>IF($A618="","",IF($AP618&lt;&gt;"",INDEX(Raw_D1!$F$2:$F$1001,$AP618),IF($AR618&lt;&gt;"",INDEX(Raw_D3!$F$2:$F$1001,$AR618),"")))</f>
        <v>22</v>
      </c>
      <c r="G618" s="5">
        <f>IF($A618="","",IF($AP618&lt;&gt;"",IF(INDEX(Raw_D1!$G$2:$G$1001,$AP618),1,0),IF($AR618&lt;&gt;"",IF(INDEX(Raw_D3!$G$2:$G$1001,$AR618),1,0),"")))</f>
        <v>0</v>
      </c>
      <c r="H618" s="5">
        <f>IF($A618="","",IF($AP618&lt;&gt;"",INDEX(Raw_D1!$H$2:$H$1001,$AP618),IF($AR618&lt;&gt;"",INDEX(Raw_D3!$H$2:$H$1001,$AR618),"")))</f>
        <v>5</v>
      </c>
      <c r="I618" s="5">
        <f>IF($A618="","",IF($AP618&lt;&gt;"",INDEX(Raw_D1!$I$2:$I$1001,$AP618),IF($AR618&lt;&gt;"",INDEX(Raw_D3!$I$2:$I$1001,$AR618),"")))</f>
        <v>1</v>
      </c>
      <c r="J618" s="16">
        <f>IF($A618="","",IF($AP618&lt;&gt;"",INDEX(Raw_D1!$J$2:$J$1001,$AP618),IF($AR618&lt;&gt;"",INDEX(Raw_D3!$J$2:$J$1001,$AR618),"")))</f>
        <v>0.24</v>
      </c>
      <c r="K618" s="17">
        <f>IF($A618="","",IF($AQ618&lt;&gt;"",IF(INDEX(Raw_D2!$C$2:$C$1001,$AQ618)="","",INDEX(Raw_D2!$C$2:$C$1001,$AQ618)),IF($AR618&lt;&gt;"",IF(INDEX(Raw_D3!$K$2:$K$1001,$AR618)="","",INDEX(Raw_D3!$K$2:$K$1001,$AR618)),"")))</f>
        <v>0.2121</v>
      </c>
      <c r="L618" s="16">
        <f>IF($A618="","",IF($AQ618&lt;&gt;"",IF(INDEX(Raw_D2!$D$2:$D$1001,$AQ618)="","",INDEX(Raw_D2!$D$2:$D$1001,$AQ618)),IF($AR618&lt;&gt;"",IF(INDEX(Raw_D3!$L$2:$L$1001,$AR618)="","",INDEX(Raw_D3!$L$2:$L$1001,$AR618)),"")))</f>
        <v>0.65</v>
      </c>
      <c r="M618" s="17">
        <f>IF($A618="","",IF($AQ618&lt;&gt;"",IF(INDEX(Raw_D2!$E$2:$E$1001,$AQ618)="","",INDEX(Raw_D2!$E$2:$E$1001,$AQ618)),IF($AR618&lt;&gt;"",IF(INDEX(Raw_D3!$M$2:$M$1001,$AR618)="","",INDEX(Raw_D3!$M$2:$M$1001,$AR618)),"")))</f>
        <v>0.3582</v>
      </c>
      <c r="N618" s="5">
        <f>IF($A618="","",IF($AQ618&lt;&gt;"",IF(INDEX(Raw_D2!$F$2:$F$1001,$AQ618)="","",INDEX(Raw_D2!$F$2:$F$1001,$AQ618)),IF($AR618&lt;&gt;"",IF(INDEX(Raw_D3!$N$2:$N$1001,$AR618)="","",INDEX(Raw_D3!$N$2:$N$1001,$AR618)),"")))</f>
        <v>0</v>
      </c>
      <c r="O618" s="5">
        <f>IF($A618="","",IF($AQ618&lt;&gt;"",IF(INDEX(Raw_D2!$G$2:$G$1001,$AQ618)="","",INDEX(Raw_D2!$G$2:$G$1001,$AQ618)),IF($AR618&lt;&gt;"",IF(INDEX(Raw_D3!$O$2:$O$1001,$AR618)="","",INDEX(Raw_D3!$O$2:$O$1001,$AR618)),"")))</f>
        <v>26</v>
      </c>
      <c r="P618" s="5">
        <f>IF($A618="","",IF($AQ618&lt;&gt;"",IF(INDEX(Raw_D2!$H$2:$H$1001,$AQ618)="","",INDEX(Raw_D2!$H$2:$H$1001,$AQ618)),IF($AR618&lt;&gt;"",IF(INDEX(Raw_D3!$P$2:$P$1001,$AR618)="","",INDEX(Raw_D3!$P$2:$P$1001,$AR618)),"")))</f>
        <v>26</v>
      </c>
      <c r="Q618" s="5" t="str">
        <f>IF($A618="","",IF(AND($AP618&lt;&gt;"",$AQ618&lt;&gt;""),"D1+D2",IF($AR618&lt;&gt;"","D3","Incomplete")))</f>
        <v>D3</v>
      </c>
      <c r="R618" s="17">
        <f>IF($A618="","",IF($K618="",IF($J618="","",ROUND(Lookups!$K$5+Lookups!$K$4*$J618,4)),$K618))</f>
        <v>0.2121</v>
      </c>
      <c r="S618" s="5" t="str">
        <f>IF($A618="","",IF($K618="","Imputed","Original"))</f>
        <v>Original</v>
      </c>
      <c r="T618" s="5" t="str">
        <f>IF($A618="","",IF($P618="","Missing",IF($P618=$N618+$O618,"OK","Mismatch")))</f>
        <v>OK</v>
      </c>
      <c r="U618" s="5" t="str">
        <f>IF($A618="","",IF(COUNTIF($A$2:$A618,$A618)&gt;1,"Duplicate","Unique"))</f>
        <v>Unique</v>
      </c>
      <c r="V618" s="5">
        <f>IF($A618="","",IF(AND($U618="Unique",ISNUMBER($P618)),1,0))</f>
        <v>1</v>
      </c>
      <c r="W618" s="5" t="str">
        <f>IF($A618="","",IF(OR($H618=0,$H618=6),"Weekend","Weekday"))</f>
        <v>Weekday</v>
      </c>
      <c r="X618" s="5" t="str">
        <f>IF($A618="","",TEXT($B618,"ddd"))</f>
        <v>Fri</v>
      </c>
      <c r="Y618" s="5" t="str">
        <f>IF($A618="","",TEXT($B618,"mmm"))</f>
        <v>Jan</v>
      </c>
      <c r="Z618" s="5" t="str">
        <f>IF($A618="","",IFERROR(VLOOKUP($C618,Lookups!$D$4:$E$7,2,FALSE),"Unknown"))</f>
        <v>Winter</v>
      </c>
      <c r="AA618" s="5" t="str">
        <f>IF($A618="","",IFERROR(VLOOKUP($I618,Lookups!$A$4:$B$7,2,FALSE),"Unknown"))</f>
        <v>Clear</v>
      </c>
      <c r="AB618" s="5" t="str">
        <f>IF($A618="","",TEXT($F618,"00")&amp;":00")</f>
        <v>22:00</v>
      </c>
      <c r="AC618" s="5" t="str">
        <f>IF($A618="","",VLOOKUP($F618,Lookups!$G$4:$H$8,2,TRUE))</f>
        <v>Late Evening (20-23)</v>
      </c>
      <c r="AD618" s="18">
        <f>IF($A618="","",IF($J618="","",ROUND($J618*41,1)))</f>
        <v>9.8</v>
      </c>
      <c r="AE618" s="18">
        <f>IF($A618="","",IF($R618="","",ROUND($R618*50,1)))</f>
        <v>10.6</v>
      </c>
      <c r="AF618" s="5">
        <f>IF($A618="","",IF($L618="","",ROUND($L618*100,0)))</f>
        <v>65</v>
      </c>
      <c r="AG618" s="18">
        <f>IF($A618="","",IF($M618="","",ROUND($M618*67,1)))</f>
        <v>24</v>
      </c>
      <c r="AH618" s="19">
        <f>IF($A618="","",IF($P618="","",IF($P618=0,0,$O618/$P618)))</f>
        <v>1</v>
      </c>
      <c r="AI618" s="5" t="str">
        <f>IF($A618="","",IF($P618="","",IF($P618&gt;=Lookups!$K$7,"High",IF($P618&lt;=Lookups!$K$8,"Low","Medium"))))</f>
        <v>Medium</v>
      </c>
      <c r="AJ618" s="5" t="str">
        <f>IF($A618="","",IF($AD618="","",IF($AD618&lt;5,"Under 5 C",IF($AD618&lt;10,"5-10 C",IF($AD618&lt;15,"10-15 C","15 C and above")))))</f>
        <v>5-10 C</v>
      </c>
      <c r="AK618" s="5">
        <f>IF($A618="","",IF($P618="","",$P618^2))</f>
        <v>676</v>
      </c>
      <c r="AL618" s="18">
        <f>IF($V618&lt;&gt;1,"",AVERAGEIFS(Clean_Data!$P$2:$P$1001,Clean_Data!$F$2:$F$1001,$F618,Clean_Data!$W$2:$W$1001,$W618,Clean_Data!$V$2:$V$1001,1))</f>
        <v>37.1034482758621</v>
      </c>
      <c r="AM618" s="16">
        <f>IF($V618&lt;&gt;1,"",IFERROR(($P618-$AL618)/SQRT(MAX(0,(SUMIFS(Clean_Data!$AK$2:$AK$1001,Clean_Data!$F$2:$F$1001,$F618,Clean_Data!$W$2:$W$1001,$W618,Clean_Data!$V$2:$V$1001,1)-COUNTIFS(Clean_Data!$F$2:$F$1001,$F618,Clean_Data!$W$2:$W$1001,$W618,Clean_Data!$V$2:$V$1001,1)*$AL618^2)/(COUNTIFS(Clean_Data!$F$2:$F$1001,$F618,Clean_Data!$W$2:$W$1001,$W618,Clean_Data!$V$2:$V$1001,1)-1))),""))</f>
        <v>-1.02860588915237</v>
      </c>
      <c r="AN618" s="5" t="str">
        <f>IF($AM618="","",IF($AM618&gt;=Lookups!$K$6,"High spike",IF($AM618&lt;=-Lookups!$K$6,"Unusual low","Normal")))</f>
        <v>Normal</v>
      </c>
      <c r="AO618" s="20">
        <f>IF($V618&lt;&gt;1,"",$P618+ROW()/100000)</f>
        <v>26.00618</v>
      </c>
      <c r="AP618" s="5">
        <f>IF($A618="","",IFERROR(MATCH($A618,Raw_D1!$A$2:$A$1001,0),""))</f>
        <v/>
      </c>
      <c r="AQ618" s="5">
        <f>IF($A618="","",IFERROR(MATCH($A618,Raw_D2!$B$2:$B$1001,0),""))</f>
        <v/>
      </c>
      <c r="AR618" s="5">
        <f>IF($A618="","",IFERROR(MATCH($A618,Raw_D3!$A$2:$A$1001,0),""))</f>
        <v>388</v>
      </c>
    </row>
    <row r="619" spans="1:44" x14ac:dyDescent="0.25">
      <c r="A619" s="5">
        <v>618</v>
      </c>
      <c r="B619" s="11">
        <f>IF($A619="","",IF($AP619&lt;&gt;"",INDEX(Raw_D1!$B$2:$B$1001,$AP619),IF($AR619&lt;&gt;"",INDEX(Raw_D3!$B$2:$B$1001,$AR619),"")))</f>
        <v>40571.0</v>
      </c>
      <c r="C619" s="5">
        <f>IF($A619="","",IF($AP619&lt;&gt;"",INDEX(Raw_D1!$C$2:$C$1001,$AP619),IF($AR619&lt;&gt;"",INDEX(Raw_D3!$C$2:$C$1001,$AR619),"")))</f>
        <v>1</v>
      </c>
      <c r="D619" s="5">
        <f>IF($A619="","",IF($AP619&lt;&gt;"",INDEX(Raw_D1!$D$2:$D$1001,$AP619),IF($AR619&lt;&gt;"",INDEX(Raw_D3!$D$2:$D$1001,$AR619),"")))</f>
        <v>0</v>
      </c>
      <c r="E619" s="5">
        <f>IF($A619="","",IF($AP619&lt;&gt;"",INDEX(Raw_D1!$E$2:$E$1001,$AP619),IF($AR619&lt;&gt;"",INDEX(Raw_D3!$E$2:$E$1001,$AR619),"")))</f>
        <v>1</v>
      </c>
      <c r="F619" s="5">
        <f>IF($A619="","",IF($AP619&lt;&gt;"",INDEX(Raw_D1!$F$2:$F$1001,$AP619),IF($AR619&lt;&gt;"",INDEX(Raw_D3!$F$2:$F$1001,$AR619),"")))</f>
        <v>23</v>
      </c>
      <c r="G619" s="5">
        <f>IF($A619="","",IF($AP619&lt;&gt;"",IF(INDEX(Raw_D1!$G$2:$G$1001,$AP619),1,0),IF($AR619&lt;&gt;"",IF(INDEX(Raw_D3!$G$2:$G$1001,$AR619),1,0),"")))</f>
        <v>0</v>
      </c>
      <c r="H619" s="5">
        <f>IF($A619="","",IF($AP619&lt;&gt;"",INDEX(Raw_D1!$H$2:$H$1001,$AP619),IF($AR619&lt;&gt;"",INDEX(Raw_D3!$H$2:$H$1001,$AR619),"")))</f>
        <v>5</v>
      </c>
      <c r="I619" s="5">
        <f>IF($A619="","",IF($AP619&lt;&gt;"",INDEX(Raw_D1!$I$2:$I$1001,$AP619),IF($AR619&lt;&gt;"",INDEX(Raw_D3!$I$2:$I$1001,$AR619),"")))</f>
        <v>1</v>
      </c>
      <c r="J619" s="16">
        <f>IF($A619="","",IF($AP619&lt;&gt;"",INDEX(Raw_D1!$J$2:$J$1001,$AP619),IF($AR619&lt;&gt;"",INDEX(Raw_D3!$J$2:$J$1001,$AR619),"")))</f>
        <v>0.24</v>
      </c>
      <c r="K619" s="17">
        <f>IF($A619="","",IF($AQ619&lt;&gt;"",IF(INDEX(Raw_D2!$C$2:$C$1001,$AQ619)="","",INDEX(Raw_D2!$C$2:$C$1001,$AQ619)),IF($AR619&lt;&gt;"",IF(INDEX(Raw_D3!$K$2:$K$1001,$AR619)="","",INDEX(Raw_D3!$K$2:$K$1001,$AR619)),"")))</f>
        <v>0.2273</v>
      </c>
      <c r="L619" s="16">
        <f>IF($A619="","",IF($AQ619&lt;&gt;"",IF(INDEX(Raw_D2!$D$2:$D$1001,$AQ619)="","",INDEX(Raw_D2!$D$2:$D$1001,$AQ619)),IF($AR619&lt;&gt;"",IF(INDEX(Raw_D3!$L$2:$L$1001,$AR619)="","",INDEX(Raw_D3!$L$2:$L$1001,$AR619)),"")))</f>
        <v>0.6</v>
      </c>
      <c r="M619" s="17">
        <f>IF($A619="","",IF($AQ619&lt;&gt;"",IF(INDEX(Raw_D2!$E$2:$E$1001,$AQ619)="","",INDEX(Raw_D2!$E$2:$E$1001,$AQ619)),IF($AR619&lt;&gt;"",IF(INDEX(Raw_D3!$M$2:$M$1001,$AR619)="","",INDEX(Raw_D3!$M$2:$M$1001,$AR619)),"")))</f>
        <v>0.2239</v>
      </c>
      <c r="N619" s="5">
        <f>IF($A619="","",IF($AQ619&lt;&gt;"",IF(INDEX(Raw_D2!$F$2:$F$1001,$AQ619)="","",INDEX(Raw_D2!$F$2:$F$1001,$AQ619)),IF($AR619&lt;&gt;"",IF(INDEX(Raw_D3!$N$2:$N$1001,$AR619)="","",INDEX(Raw_D3!$N$2:$N$1001,$AR619)),"")))</f>
        <v>1</v>
      </c>
      <c r="O619" s="5">
        <f>IF($A619="","",IF($AQ619&lt;&gt;"",IF(INDEX(Raw_D2!$G$2:$G$1001,$AQ619)="","",INDEX(Raw_D2!$G$2:$G$1001,$AQ619)),IF($AR619&lt;&gt;"",IF(INDEX(Raw_D3!$O$2:$O$1001,$AR619)="","",INDEX(Raw_D3!$O$2:$O$1001,$AR619)),"")))</f>
        <v>22</v>
      </c>
      <c r="P619" s="5">
        <f>IF($A619="","",IF($AQ619&lt;&gt;"",IF(INDEX(Raw_D2!$H$2:$H$1001,$AQ619)="","",INDEX(Raw_D2!$H$2:$H$1001,$AQ619)),IF($AR619&lt;&gt;"",IF(INDEX(Raw_D3!$P$2:$P$1001,$AR619)="","",INDEX(Raw_D3!$P$2:$P$1001,$AR619)),"")))</f>
        <v>23</v>
      </c>
      <c r="Q619" s="5" t="str">
        <f>IF($A619="","",IF(AND($AP619&lt;&gt;"",$AQ619&lt;&gt;""),"D1+D2",IF($AR619&lt;&gt;"","D3","Incomplete")))</f>
        <v>D3</v>
      </c>
      <c r="R619" s="17">
        <f>IF($A619="","",IF($K619="",IF($J619="","",ROUND(Lookups!$K$5+Lookups!$K$4*$J619,4)),$K619))</f>
        <v>0.2273</v>
      </c>
      <c r="S619" s="5" t="str">
        <f>IF($A619="","",IF($K619="","Imputed","Original"))</f>
        <v>Original</v>
      </c>
      <c r="T619" s="5" t="str">
        <f>IF($A619="","",IF($P619="","Missing",IF($P619=$N619+$O619,"OK","Mismatch")))</f>
        <v>OK</v>
      </c>
      <c r="U619" s="5" t="str">
        <f>IF($A619="","",IF(COUNTIF($A$2:$A619,$A619)&gt;1,"Duplicate","Unique"))</f>
        <v>Unique</v>
      </c>
      <c r="V619" s="5">
        <f>IF($A619="","",IF(AND($U619="Unique",ISNUMBER($P619)),1,0))</f>
        <v>1</v>
      </c>
      <c r="W619" s="5" t="str">
        <f>IF($A619="","",IF(OR($H619=0,$H619=6),"Weekend","Weekday"))</f>
        <v>Weekday</v>
      </c>
      <c r="X619" s="5" t="str">
        <f>IF($A619="","",TEXT($B619,"ddd"))</f>
        <v>Fri</v>
      </c>
      <c r="Y619" s="5" t="str">
        <f>IF($A619="","",TEXT($B619,"mmm"))</f>
        <v>Jan</v>
      </c>
      <c r="Z619" s="5" t="str">
        <f>IF($A619="","",IFERROR(VLOOKUP($C619,Lookups!$D$4:$E$7,2,FALSE),"Unknown"))</f>
        <v>Winter</v>
      </c>
      <c r="AA619" s="5" t="str">
        <f>IF($A619="","",IFERROR(VLOOKUP($I619,Lookups!$A$4:$B$7,2,FALSE),"Unknown"))</f>
        <v>Clear</v>
      </c>
      <c r="AB619" s="5" t="str">
        <f>IF($A619="","",TEXT($F619,"00")&amp;":00")</f>
        <v>23:00</v>
      </c>
      <c r="AC619" s="5" t="str">
        <f>IF($A619="","",VLOOKUP($F619,Lookups!$G$4:$H$8,2,TRUE))</f>
        <v>Late Evening (20-23)</v>
      </c>
      <c r="AD619" s="18">
        <f>IF($A619="","",IF($J619="","",ROUND($J619*41,1)))</f>
        <v>9.8</v>
      </c>
      <c r="AE619" s="18">
        <f>IF($A619="","",IF($R619="","",ROUND($R619*50,1)))</f>
        <v>11.4</v>
      </c>
      <c r="AF619" s="5">
        <f>IF($A619="","",IF($L619="","",ROUND($L619*100,0)))</f>
        <v>60</v>
      </c>
      <c r="AG619" s="18">
        <f>IF($A619="","",IF($M619="","",ROUND($M619*67,1)))</f>
        <v>15</v>
      </c>
      <c r="AH619" s="19">
        <f>IF($A619="","",IF($P619="","",IF($P619=0,0,$O619/$P619)))</f>
        <v>0.956521739130435</v>
      </c>
      <c r="AI619" s="5" t="str">
        <f>IF($A619="","",IF($P619="","",IF($P619&gt;=Lookups!$K$7,"High",IF($P619&lt;=Lookups!$K$8,"Low","Medium"))))</f>
        <v>Medium</v>
      </c>
      <c r="AJ619" s="5" t="str">
        <f>IF($A619="","",IF($AD619="","",IF($AD619&lt;5,"Under 5 C",IF($AD619&lt;10,"5-10 C",IF($AD619&lt;15,"10-15 C","15 C and above")))))</f>
        <v>5-10 C</v>
      </c>
      <c r="AK619" s="5">
        <f>IF($A619="","",IF($P619="","",$P619^2))</f>
        <v>529</v>
      </c>
      <c r="AL619" s="18">
        <f>IF($V619&lt;&gt;1,"",AVERAGEIFS(Clean_Data!$P$2:$P$1001,Clean_Data!$F$2:$F$1001,$F619,Clean_Data!$W$2:$W$1001,$W619,Clean_Data!$V$2:$V$1001,1))</f>
        <v>23.6896551724138</v>
      </c>
      <c r="AM619" s="16">
        <f>IF($V619&lt;&gt;1,"",IFERROR(($P619-$AL619)/SQRT(MAX(0,(SUMIFS(Clean_Data!$AK$2:$AK$1001,Clean_Data!$F$2:$F$1001,$F619,Clean_Data!$W$2:$W$1001,$W619,Clean_Data!$V$2:$V$1001,1)-COUNTIFS(Clean_Data!$F$2:$F$1001,$F619,Clean_Data!$W$2:$W$1001,$W619,Clean_Data!$V$2:$V$1001,1)*$AL619^2)/(COUNTIFS(Clean_Data!$F$2:$F$1001,$F619,Clean_Data!$W$2:$W$1001,$W619,Clean_Data!$V$2:$V$1001,1)-1))),""))</f>
        <v>-0.0658393877369099</v>
      </c>
      <c r="AN619" s="5" t="str">
        <f>IF($AM619="","",IF($AM619&gt;=Lookups!$K$6,"High spike",IF($AM619&lt;=-Lookups!$K$6,"Unusual low","Normal")))</f>
        <v>Normal</v>
      </c>
      <c r="AO619" s="20">
        <f>IF($V619&lt;&gt;1,"",$P619+ROW()/100000)</f>
        <v>23.00619</v>
      </c>
      <c r="AP619" s="5">
        <f>IF($A619="","",IFERROR(MATCH($A619,Raw_D1!$A$2:$A$1001,0),""))</f>
        <v/>
      </c>
      <c r="AQ619" s="5">
        <f>IF($A619="","",IFERROR(MATCH($A619,Raw_D2!$B$2:$B$1001,0),""))</f>
        <v/>
      </c>
      <c r="AR619" s="5">
        <f>IF($A619="","",IFERROR(MATCH($A619,Raw_D3!$A$2:$A$1001,0),""))</f>
        <v>389</v>
      </c>
    </row>
    <row r="620" spans="1:44" x14ac:dyDescent="0.25">
      <c r="A620" s="5">
        <v>619</v>
      </c>
      <c r="B620" s="11">
        <f>IF($A620="","",IF($AP620&lt;&gt;"",INDEX(Raw_D1!$B$2:$B$1001,$AP620),IF($AR620&lt;&gt;"",INDEX(Raw_D3!$B$2:$B$1001,$AR620),"")))</f>
        <v>40572.0</v>
      </c>
      <c r="C620" s="5">
        <f>IF($A620="","",IF($AP620&lt;&gt;"",INDEX(Raw_D1!$C$2:$C$1001,$AP620),IF($AR620&lt;&gt;"",INDEX(Raw_D3!$C$2:$C$1001,$AR620),"")))</f>
        <v>1</v>
      </c>
      <c r="D620" s="5">
        <f>IF($A620="","",IF($AP620&lt;&gt;"",INDEX(Raw_D1!$D$2:$D$1001,$AP620),IF($AR620&lt;&gt;"",INDEX(Raw_D3!$D$2:$D$1001,$AR620),"")))</f>
        <v>0</v>
      </c>
      <c r="E620" s="5">
        <f>IF($A620="","",IF($AP620&lt;&gt;"",INDEX(Raw_D1!$E$2:$E$1001,$AP620),IF($AR620&lt;&gt;"",INDEX(Raw_D3!$E$2:$E$1001,$AR620),"")))</f>
        <v>1</v>
      </c>
      <c r="F620" s="5">
        <f>IF($A620="","",IF($AP620&lt;&gt;"",INDEX(Raw_D1!$F$2:$F$1001,$AP620),IF($AR620&lt;&gt;"",INDEX(Raw_D3!$F$2:$F$1001,$AR620),"")))</f>
        <v>0</v>
      </c>
      <c r="G620" s="5">
        <f>IF($A620="","",IF($AP620&lt;&gt;"",IF(INDEX(Raw_D1!$G$2:$G$1001,$AP620),1,0),IF($AR620&lt;&gt;"",IF(INDEX(Raw_D3!$G$2:$G$1001,$AR620),1,0),"")))</f>
        <v>0</v>
      </c>
      <c r="H620" s="5">
        <f>IF($A620="","",IF($AP620&lt;&gt;"",INDEX(Raw_D1!$H$2:$H$1001,$AP620),IF($AR620&lt;&gt;"",INDEX(Raw_D3!$H$2:$H$1001,$AR620),"")))</f>
        <v>6</v>
      </c>
      <c r="I620" s="5">
        <f>IF($A620="","",IF($AP620&lt;&gt;"",INDEX(Raw_D1!$I$2:$I$1001,$AP620),IF($AR620&lt;&gt;"",INDEX(Raw_D3!$I$2:$I$1001,$AR620),"")))</f>
        <v>1</v>
      </c>
      <c r="J620" s="16">
        <f>IF($A620="","",IF($AP620&lt;&gt;"",INDEX(Raw_D1!$J$2:$J$1001,$AP620),IF($AR620&lt;&gt;"",INDEX(Raw_D3!$J$2:$J$1001,$AR620),"")))</f>
        <v>0.22</v>
      </c>
      <c r="K620" s="17">
        <f>IF($A620="","",IF($AQ620&lt;&gt;"",IF(INDEX(Raw_D2!$C$2:$C$1001,$AQ620)="","",INDEX(Raw_D2!$C$2:$C$1001,$AQ620)),IF($AR620&lt;&gt;"",IF(INDEX(Raw_D3!$K$2:$K$1001,$AR620)="","",INDEX(Raw_D3!$K$2:$K$1001,$AR620)),"")))</f>
        <v>0.197</v>
      </c>
      <c r="L620" s="16">
        <f>IF($A620="","",IF($AQ620&lt;&gt;"",IF(INDEX(Raw_D2!$D$2:$D$1001,$AQ620)="","",INDEX(Raw_D2!$D$2:$D$1001,$AQ620)),IF($AR620&lt;&gt;"",IF(INDEX(Raw_D3!$L$2:$L$1001,$AR620)="","",INDEX(Raw_D3!$L$2:$L$1001,$AR620)),"")))</f>
        <v>0.64</v>
      </c>
      <c r="M620" s="17">
        <f>IF($A620="","",IF($AQ620&lt;&gt;"",IF(INDEX(Raw_D2!$E$2:$E$1001,$AQ620)="","",INDEX(Raw_D2!$E$2:$E$1001,$AQ620)),IF($AR620&lt;&gt;"",IF(INDEX(Raw_D3!$M$2:$M$1001,$AR620)="","",INDEX(Raw_D3!$M$2:$M$1001,$AR620)),"")))</f>
        <v>0.3582</v>
      </c>
      <c r="N620" s="5">
        <f>IF($A620="","",IF($AQ620&lt;&gt;"",IF(INDEX(Raw_D2!$F$2:$F$1001,$AQ620)="","",INDEX(Raw_D2!$F$2:$F$1001,$AQ620)),IF($AR620&lt;&gt;"",IF(INDEX(Raw_D3!$N$2:$N$1001,$AR620)="","",INDEX(Raw_D3!$N$2:$N$1001,$AR620)),"")))</f>
        <v>2</v>
      </c>
      <c r="O620" s="5">
        <f>IF($A620="","",IF($AQ620&lt;&gt;"",IF(INDEX(Raw_D2!$G$2:$G$1001,$AQ620)="","",INDEX(Raw_D2!$G$2:$G$1001,$AQ620)),IF($AR620&lt;&gt;"",IF(INDEX(Raw_D3!$O$2:$O$1001,$AR620)="","",INDEX(Raw_D3!$O$2:$O$1001,$AR620)),"")))</f>
        <v>26</v>
      </c>
      <c r="P620" s="5">
        <f>IF($A620="","",IF($AQ620&lt;&gt;"",IF(INDEX(Raw_D2!$H$2:$H$1001,$AQ620)="","",INDEX(Raw_D2!$H$2:$H$1001,$AQ620)),IF($AR620&lt;&gt;"",IF(INDEX(Raw_D3!$P$2:$P$1001,$AR620)="","",INDEX(Raw_D3!$P$2:$P$1001,$AR620)),"")))</f>
        <v>28</v>
      </c>
      <c r="Q620" s="5" t="str">
        <f>IF($A620="","",IF(AND($AP620&lt;&gt;"",$AQ620&lt;&gt;""),"D1+D2",IF($AR620&lt;&gt;"","D3","Incomplete")))</f>
        <v>D3</v>
      </c>
      <c r="R620" s="17">
        <f>IF($A620="","",IF($K620="",IF($J620="","",ROUND(Lookups!$K$5+Lookups!$K$4*$J620,4)),$K620))</f>
        <v>0.197</v>
      </c>
      <c r="S620" s="5" t="str">
        <f>IF($A620="","",IF($K620="","Imputed","Original"))</f>
        <v>Original</v>
      </c>
      <c r="T620" s="5" t="str">
        <f>IF($A620="","",IF($P620="","Missing",IF($P620=$N620+$O620,"OK","Mismatch")))</f>
        <v>OK</v>
      </c>
      <c r="U620" s="5" t="str">
        <f>IF($A620="","",IF(COUNTIF($A$2:$A620,$A620)&gt;1,"Duplicate","Unique"))</f>
        <v>Unique</v>
      </c>
      <c r="V620" s="5">
        <f>IF($A620="","",IF(AND($U620="Unique",ISNUMBER($P620)),1,0))</f>
        <v>1</v>
      </c>
      <c r="W620" s="5" t="str">
        <f>IF($A620="","",IF(OR($H620=0,$H620=6),"Weekend","Weekday"))</f>
        <v>Weekend</v>
      </c>
      <c r="X620" s="5" t="str">
        <f>IF($A620="","",TEXT($B620,"ddd"))</f>
        <v>Sat</v>
      </c>
      <c r="Y620" s="5" t="str">
        <f>IF($A620="","",TEXT($B620,"mmm"))</f>
        <v>Jan</v>
      </c>
      <c r="Z620" s="5" t="str">
        <f>IF($A620="","",IFERROR(VLOOKUP($C620,Lookups!$D$4:$E$7,2,FALSE),"Unknown"))</f>
        <v>Winter</v>
      </c>
      <c r="AA620" s="5" t="str">
        <f>IF($A620="","",IFERROR(VLOOKUP($I620,Lookups!$A$4:$B$7,2,FALSE),"Unknown"))</f>
        <v>Clear</v>
      </c>
      <c r="AB620" s="5" t="str">
        <f>IF($A620="","",TEXT($F620,"00")&amp;":00")</f>
        <v>00:00</v>
      </c>
      <c r="AC620" s="5" t="str">
        <f>IF($A620="","",VLOOKUP($F620,Lookups!$G$4:$H$8,2,TRUE))</f>
        <v>Night (00-05)</v>
      </c>
      <c r="AD620" s="18">
        <f>IF($A620="","",IF($J620="","",ROUND($J620*41,1)))</f>
        <v>9</v>
      </c>
      <c r="AE620" s="18">
        <f>IF($A620="","",IF($R620="","",ROUND($R620*50,1)))</f>
        <v>9.9</v>
      </c>
      <c r="AF620" s="5">
        <f>IF($A620="","",IF($L620="","",ROUND($L620*100,0)))</f>
        <v>64</v>
      </c>
      <c r="AG620" s="18">
        <f>IF($A620="","",IF($M620="","",ROUND($M620*67,1)))</f>
        <v>24</v>
      </c>
      <c r="AH620" s="19">
        <f>IF($A620="","",IF($P620="","",IF($P620=0,0,$O620/$P620)))</f>
        <v>0.928571428571429</v>
      </c>
      <c r="AI620" s="5" t="str">
        <f>IF($A620="","",IF($P620="","",IF($P620&gt;=Lookups!$K$7,"High",IF($P620&lt;=Lookups!$K$8,"Low","Medium"))))</f>
        <v>Medium</v>
      </c>
      <c r="AJ620" s="5" t="str">
        <f>IF($A620="","",IF($AD620="","",IF($AD620&lt;5,"Under 5 C",IF($AD620&lt;10,"5-10 C",IF($AD620&lt;15,"10-15 C","15 C and above")))))</f>
        <v>5-10 C</v>
      </c>
      <c r="AK620" s="5">
        <f>IF($A620="","",IF($P620="","",$P620^2))</f>
        <v>784</v>
      </c>
      <c r="AL620" s="18">
        <f>IF($V620&lt;&gt;1,"",AVERAGEIFS(Clean_Data!$P$2:$P$1001,Clean_Data!$F$2:$F$1001,$F620,Clean_Data!$W$2:$W$1001,$W620,Clean_Data!$V$2:$V$1001,1))</f>
        <v>28.0714285714286</v>
      </c>
      <c r="AM620" s="16">
        <f>IF($V620&lt;&gt;1,"",IFERROR(($P620-$AL620)/SQRT(MAX(0,(SUMIFS(Clean_Data!$AK$2:$AK$1001,Clean_Data!$F$2:$F$1001,$F620,Clean_Data!$W$2:$W$1001,$W620,Clean_Data!$V$2:$V$1001,1)-COUNTIFS(Clean_Data!$F$2:$F$1001,$F620,Clean_Data!$W$2:$W$1001,$W620,Clean_Data!$V$2:$V$1001,1)*$AL620^2)/(COUNTIFS(Clean_Data!$F$2:$F$1001,$F620,Clean_Data!$W$2:$W$1001,$W620,Clean_Data!$V$2:$V$1001,1)-1))),""))</f>
        <v>-0.00792174432517493</v>
      </c>
      <c r="AN620" s="5" t="str">
        <f>IF($AM620="","",IF($AM620&gt;=Lookups!$K$6,"High spike",IF($AM620&lt;=-Lookups!$K$6,"Unusual low","Normal")))</f>
        <v>Normal</v>
      </c>
      <c r="AO620" s="20">
        <f>IF($V620&lt;&gt;1,"",$P620+ROW()/100000)</f>
        <v>28.0062</v>
      </c>
      <c r="AP620" s="5">
        <f>IF($A620="","",IFERROR(MATCH($A620,Raw_D1!$A$2:$A$1001,0),""))</f>
        <v/>
      </c>
      <c r="AQ620" s="5">
        <f>IF($A620="","",IFERROR(MATCH($A620,Raw_D2!$B$2:$B$1001,0),""))</f>
        <v/>
      </c>
      <c r="AR620" s="5">
        <f>IF($A620="","",IFERROR(MATCH($A620,Raw_D3!$A$2:$A$1001,0),""))</f>
        <v>390</v>
      </c>
    </row>
    <row r="621" spans="1:44" x14ac:dyDescent="0.25">
      <c r="A621" s="5">
        <v>620</v>
      </c>
      <c r="B621" s="11">
        <f>IF($A621="","",IF($AP621&lt;&gt;"",INDEX(Raw_D1!$B$2:$B$1001,$AP621),IF($AR621&lt;&gt;"",INDEX(Raw_D3!$B$2:$B$1001,$AR621),"")))</f>
        <v>40572.0</v>
      </c>
      <c r="C621" s="5">
        <f>IF($A621="","",IF($AP621&lt;&gt;"",INDEX(Raw_D1!$C$2:$C$1001,$AP621),IF($AR621&lt;&gt;"",INDEX(Raw_D3!$C$2:$C$1001,$AR621),"")))</f>
        <v>1</v>
      </c>
      <c r="D621" s="5">
        <f>IF($A621="","",IF($AP621&lt;&gt;"",INDEX(Raw_D1!$D$2:$D$1001,$AP621),IF($AR621&lt;&gt;"",INDEX(Raw_D3!$D$2:$D$1001,$AR621),"")))</f>
        <v>0</v>
      </c>
      <c r="E621" s="5">
        <f>IF($A621="","",IF($AP621&lt;&gt;"",INDEX(Raw_D1!$E$2:$E$1001,$AP621),IF($AR621&lt;&gt;"",INDEX(Raw_D3!$E$2:$E$1001,$AR621),"")))</f>
        <v>1</v>
      </c>
      <c r="F621" s="5">
        <f>IF($A621="","",IF($AP621&lt;&gt;"",INDEX(Raw_D1!$F$2:$F$1001,$AP621),IF($AR621&lt;&gt;"",INDEX(Raw_D3!$F$2:$F$1001,$AR621),"")))</f>
        <v>1</v>
      </c>
      <c r="G621" s="5">
        <f>IF($A621="","",IF($AP621&lt;&gt;"",IF(INDEX(Raw_D1!$G$2:$G$1001,$AP621),1,0),IF($AR621&lt;&gt;"",IF(INDEX(Raw_D3!$G$2:$G$1001,$AR621),1,0),"")))</f>
        <v>0</v>
      </c>
      <c r="H621" s="5">
        <f>IF($A621="","",IF($AP621&lt;&gt;"",INDEX(Raw_D1!$H$2:$H$1001,$AP621),IF($AR621&lt;&gt;"",INDEX(Raw_D3!$H$2:$H$1001,$AR621),"")))</f>
        <v>6</v>
      </c>
      <c r="I621" s="5">
        <f>IF($A621="","",IF($AP621&lt;&gt;"",INDEX(Raw_D1!$I$2:$I$1001,$AP621),IF($AR621&lt;&gt;"",INDEX(Raw_D3!$I$2:$I$1001,$AR621),"")))</f>
        <v>1</v>
      </c>
      <c r="J621" s="16">
        <f>IF($A621="","",IF($AP621&lt;&gt;"",INDEX(Raw_D1!$J$2:$J$1001,$AP621),IF($AR621&lt;&gt;"",INDEX(Raw_D3!$J$2:$J$1001,$AR621),"")))</f>
        <v>0.22</v>
      </c>
      <c r="K621" s="17">
        <f>IF($A621="","",IF($AQ621&lt;&gt;"",IF(INDEX(Raw_D2!$C$2:$C$1001,$AQ621)="","",INDEX(Raw_D2!$C$2:$C$1001,$AQ621)),IF($AR621&lt;&gt;"",IF(INDEX(Raw_D3!$K$2:$K$1001,$AR621)="","",INDEX(Raw_D3!$K$2:$K$1001,$AR621)),"")))</f>
        <v>0.2273</v>
      </c>
      <c r="L621" s="16">
        <f>IF($A621="","",IF($AQ621&lt;&gt;"",IF(INDEX(Raw_D2!$D$2:$D$1001,$AQ621)="","",INDEX(Raw_D2!$D$2:$D$1001,$AQ621)),IF($AR621&lt;&gt;"",IF(INDEX(Raw_D3!$L$2:$L$1001,$AR621)="","",INDEX(Raw_D3!$L$2:$L$1001,$AR621)),"")))</f>
        <v>0.64</v>
      </c>
      <c r="M621" s="17">
        <f>IF($A621="","",IF($AQ621&lt;&gt;"",IF(INDEX(Raw_D2!$E$2:$E$1001,$AQ621)="","",INDEX(Raw_D2!$E$2:$E$1001,$AQ621)),IF($AR621&lt;&gt;"",IF(INDEX(Raw_D3!$M$2:$M$1001,$AR621)="","",INDEX(Raw_D3!$M$2:$M$1001,$AR621)),"")))</f>
        <v>0.194</v>
      </c>
      <c r="N621" s="5">
        <f>IF($A621="","",IF($AQ621&lt;&gt;"",IF(INDEX(Raw_D2!$F$2:$F$1001,$AQ621)="","",INDEX(Raw_D2!$F$2:$F$1001,$AQ621)),IF($AR621&lt;&gt;"",IF(INDEX(Raw_D3!$N$2:$N$1001,$AR621)="","",INDEX(Raw_D3!$N$2:$N$1001,$AR621)),"")))</f>
        <v>0</v>
      </c>
      <c r="O621" s="5">
        <f>IF($A621="","",IF($AQ621&lt;&gt;"",IF(INDEX(Raw_D2!$G$2:$G$1001,$AQ621)="","",INDEX(Raw_D2!$G$2:$G$1001,$AQ621)),IF($AR621&lt;&gt;"",IF(INDEX(Raw_D3!$O$2:$O$1001,$AR621)="","",INDEX(Raw_D3!$O$2:$O$1001,$AR621)),"")))</f>
        <v>20</v>
      </c>
      <c r="P621" s="5">
        <f>IF($A621="","",IF($AQ621&lt;&gt;"",IF(INDEX(Raw_D2!$H$2:$H$1001,$AQ621)="","",INDEX(Raw_D2!$H$2:$H$1001,$AQ621)),IF($AR621&lt;&gt;"",IF(INDEX(Raw_D3!$P$2:$P$1001,$AR621)="","",INDEX(Raw_D3!$P$2:$P$1001,$AR621)),"")))</f>
        <v>20</v>
      </c>
      <c r="Q621" s="5" t="str">
        <f>IF($A621="","",IF(AND($AP621&lt;&gt;"",$AQ621&lt;&gt;""),"D1+D2",IF($AR621&lt;&gt;"","D3","Incomplete")))</f>
        <v>D3</v>
      </c>
      <c r="R621" s="17">
        <f>IF($A621="","",IF($K621="",IF($J621="","",ROUND(Lookups!$K$5+Lookups!$K$4*$J621,4)),$K621))</f>
        <v>0.2273</v>
      </c>
      <c r="S621" s="5" t="str">
        <f>IF($A621="","",IF($K621="","Imputed","Original"))</f>
        <v>Original</v>
      </c>
      <c r="T621" s="5" t="str">
        <f>IF($A621="","",IF($P621="","Missing",IF($P621=$N621+$O621,"OK","Mismatch")))</f>
        <v>OK</v>
      </c>
      <c r="U621" s="5" t="str">
        <f>IF($A621="","",IF(COUNTIF($A$2:$A621,$A621)&gt;1,"Duplicate","Unique"))</f>
        <v>Unique</v>
      </c>
      <c r="V621" s="5">
        <f>IF($A621="","",IF(AND($U621="Unique",ISNUMBER($P621)),1,0))</f>
        <v>1</v>
      </c>
      <c r="W621" s="5" t="str">
        <f>IF($A621="","",IF(OR($H621=0,$H621=6),"Weekend","Weekday"))</f>
        <v>Weekend</v>
      </c>
      <c r="X621" s="5" t="str">
        <f>IF($A621="","",TEXT($B621,"ddd"))</f>
        <v>Sat</v>
      </c>
      <c r="Y621" s="5" t="str">
        <f>IF($A621="","",TEXT($B621,"mmm"))</f>
        <v>Jan</v>
      </c>
      <c r="Z621" s="5" t="str">
        <f>IF($A621="","",IFERROR(VLOOKUP($C621,Lookups!$D$4:$E$7,2,FALSE),"Unknown"))</f>
        <v>Winter</v>
      </c>
      <c r="AA621" s="5" t="str">
        <f>IF($A621="","",IFERROR(VLOOKUP($I621,Lookups!$A$4:$B$7,2,FALSE),"Unknown"))</f>
        <v>Clear</v>
      </c>
      <c r="AB621" s="5" t="str">
        <f>IF($A621="","",TEXT($F621,"00")&amp;":00")</f>
        <v>01:00</v>
      </c>
      <c r="AC621" s="5" t="str">
        <f>IF($A621="","",VLOOKUP($F621,Lookups!$G$4:$H$8,2,TRUE))</f>
        <v>Night (00-05)</v>
      </c>
      <c r="AD621" s="18">
        <f>IF($A621="","",IF($J621="","",ROUND($J621*41,1)))</f>
        <v>9</v>
      </c>
      <c r="AE621" s="18">
        <f>IF($A621="","",IF($R621="","",ROUND($R621*50,1)))</f>
        <v>11.4</v>
      </c>
      <c r="AF621" s="5">
        <f>IF($A621="","",IF($L621="","",ROUND($L621*100,0)))</f>
        <v>64</v>
      </c>
      <c r="AG621" s="18">
        <f>IF($A621="","",IF($M621="","",ROUND($M621*67,1)))</f>
        <v>13</v>
      </c>
      <c r="AH621" s="19">
        <f>IF($A621="","",IF($P621="","",IF($P621=0,0,$O621/$P621)))</f>
        <v>1</v>
      </c>
      <c r="AI621" s="5" t="str">
        <f>IF($A621="","",IF($P621="","",IF($P621&gt;=Lookups!$K$7,"High",IF($P621&lt;=Lookups!$K$8,"Low","Medium"))))</f>
        <v>Medium</v>
      </c>
      <c r="AJ621" s="5" t="str">
        <f>IF($A621="","",IF($AD621="","",IF($AD621&lt;5,"Under 5 C",IF($AD621&lt;10,"5-10 C",IF($AD621&lt;15,"10-15 C","15 C and above")))))</f>
        <v>5-10 C</v>
      </c>
      <c r="AK621" s="5">
        <f>IF($A621="","",IF($P621="","",$P621^2))</f>
        <v>400</v>
      </c>
      <c r="AL621" s="18">
        <f>IF($V621&lt;&gt;1,"",AVERAGEIFS(Clean_Data!$P$2:$P$1001,Clean_Data!$F$2:$F$1001,$F621,Clean_Data!$W$2:$W$1001,$W621,Clean_Data!$V$2:$V$1001,1))</f>
        <v>22.2857142857143</v>
      </c>
      <c r="AM621" s="16">
        <f>IF($V621&lt;&gt;1,"",IFERROR(($P621-$AL621)/SQRT(MAX(0,(SUMIFS(Clean_Data!$AK$2:$AK$1001,Clean_Data!$F$2:$F$1001,$F621,Clean_Data!$W$2:$W$1001,$W621,Clean_Data!$V$2:$V$1001,1)-COUNTIFS(Clean_Data!$F$2:$F$1001,$F621,Clean_Data!$W$2:$W$1001,$W621,Clean_Data!$V$2:$V$1001,1)*$AL621^2)/(COUNTIFS(Clean_Data!$F$2:$F$1001,$F621,Clean_Data!$W$2:$W$1001,$W621,Clean_Data!$V$2:$V$1001,1)-1))),""))</f>
        <v>-0.234903665488546</v>
      </c>
      <c r="AN621" s="5" t="str">
        <f>IF($AM621="","",IF($AM621&gt;=Lookups!$K$6,"High spike",IF($AM621&lt;=-Lookups!$K$6,"Unusual low","Normal")))</f>
        <v>Normal</v>
      </c>
      <c r="AO621" s="20">
        <f>IF($V621&lt;&gt;1,"",$P621+ROW()/100000)</f>
        <v>20.00621</v>
      </c>
      <c r="AP621" s="5">
        <f>IF($A621="","",IFERROR(MATCH($A621,Raw_D1!$A$2:$A$1001,0),""))</f>
        <v/>
      </c>
      <c r="AQ621" s="5">
        <f>IF($A621="","",IFERROR(MATCH($A621,Raw_D2!$B$2:$B$1001,0),""))</f>
        <v/>
      </c>
      <c r="AR621" s="5">
        <f>IF($A621="","",IFERROR(MATCH($A621,Raw_D3!$A$2:$A$1001,0),""))</f>
        <v>1</v>
      </c>
    </row>
    <row r="622" spans="1:44" x14ac:dyDescent="0.25">
      <c r="A622" s="5">
        <v>621</v>
      </c>
      <c r="B622" s="11">
        <f>IF($A622="","",IF($AP622&lt;&gt;"",INDEX(Raw_D1!$B$2:$B$1001,$AP622),IF($AR622&lt;&gt;"",INDEX(Raw_D3!$B$2:$B$1001,$AR622),"")))</f>
        <v>40572.0</v>
      </c>
      <c r="C622" s="5">
        <f>IF($A622="","",IF($AP622&lt;&gt;"",INDEX(Raw_D1!$C$2:$C$1001,$AP622),IF($AR622&lt;&gt;"",INDEX(Raw_D3!$C$2:$C$1001,$AR622),"")))</f>
        <v>1</v>
      </c>
      <c r="D622" s="5">
        <f>IF($A622="","",IF($AP622&lt;&gt;"",INDEX(Raw_D1!$D$2:$D$1001,$AP622),IF($AR622&lt;&gt;"",INDEX(Raw_D3!$D$2:$D$1001,$AR622),"")))</f>
        <v>0</v>
      </c>
      <c r="E622" s="5">
        <f>IF($A622="","",IF($AP622&lt;&gt;"",INDEX(Raw_D1!$E$2:$E$1001,$AP622),IF($AR622&lt;&gt;"",INDEX(Raw_D3!$E$2:$E$1001,$AR622),"")))</f>
        <v>1</v>
      </c>
      <c r="F622" s="5">
        <f>IF($A622="","",IF($AP622&lt;&gt;"",INDEX(Raw_D1!$F$2:$F$1001,$AP622),IF($AR622&lt;&gt;"",INDEX(Raw_D3!$F$2:$F$1001,$AR622),"")))</f>
        <v>2</v>
      </c>
      <c r="G622" s="5">
        <f>IF($A622="","",IF($AP622&lt;&gt;"",IF(INDEX(Raw_D1!$G$2:$G$1001,$AP622),1,0),IF($AR622&lt;&gt;"",IF(INDEX(Raw_D3!$G$2:$G$1001,$AR622),1,0),"")))</f>
        <v>0</v>
      </c>
      <c r="H622" s="5">
        <f>IF($A622="","",IF($AP622&lt;&gt;"",INDEX(Raw_D1!$H$2:$H$1001,$AP622),IF($AR622&lt;&gt;"",INDEX(Raw_D3!$H$2:$H$1001,$AR622),"")))</f>
        <v>6</v>
      </c>
      <c r="I622" s="5">
        <f>IF($A622="","",IF($AP622&lt;&gt;"",INDEX(Raw_D1!$I$2:$I$1001,$AP622),IF($AR622&lt;&gt;"",INDEX(Raw_D3!$I$2:$I$1001,$AR622),"")))</f>
        <v>1</v>
      </c>
      <c r="J622" s="16">
        <f>IF($A622="","",IF($AP622&lt;&gt;"",INDEX(Raw_D1!$J$2:$J$1001,$AP622),IF($AR622&lt;&gt;"",INDEX(Raw_D3!$J$2:$J$1001,$AR622),"")))</f>
        <v>0.22</v>
      </c>
      <c r="K622" s="17">
        <f>IF($A622="","",IF($AQ622&lt;&gt;"",IF(INDEX(Raw_D2!$C$2:$C$1001,$AQ622)="","",INDEX(Raw_D2!$C$2:$C$1001,$AQ622)),IF($AR622&lt;&gt;"",IF(INDEX(Raw_D3!$K$2:$K$1001,$AR622)="","",INDEX(Raw_D3!$K$2:$K$1001,$AR622)),"")))</f>
        <v>0.2273</v>
      </c>
      <c r="L622" s="16">
        <f>IF($A622="","",IF($AQ622&lt;&gt;"",IF(INDEX(Raw_D2!$D$2:$D$1001,$AQ622)="","",INDEX(Raw_D2!$D$2:$D$1001,$AQ622)),IF($AR622&lt;&gt;"",IF(INDEX(Raw_D3!$L$2:$L$1001,$AR622)="","",INDEX(Raw_D3!$L$2:$L$1001,$AR622)),"")))</f>
        <v>0.64</v>
      </c>
      <c r="M622" s="17">
        <f>IF($A622="","",IF($AQ622&lt;&gt;"",IF(INDEX(Raw_D2!$E$2:$E$1001,$AQ622)="","",INDEX(Raw_D2!$E$2:$E$1001,$AQ622)),IF($AR622&lt;&gt;"",IF(INDEX(Raw_D3!$M$2:$M$1001,$AR622)="","",INDEX(Raw_D3!$M$2:$M$1001,$AR622)),"")))</f>
        <v>0.1642</v>
      </c>
      <c r="N622" s="5">
        <f>IF($A622="","",IF($AQ622&lt;&gt;"",IF(INDEX(Raw_D2!$F$2:$F$1001,$AQ622)="","",INDEX(Raw_D2!$F$2:$F$1001,$AQ622)),IF($AR622&lt;&gt;"",IF(INDEX(Raw_D3!$N$2:$N$1001,$AR622)="","",INDEX(Raw_D3!$N$2:$N$1001,$AR622)),"")))</f>
        <v>0</v>
      </c>
      <c r="O622" s="5">
        <f>IF($A622="","",IF($AQ622&lt;&gt;"",IF(INDEX(Raw_D2!$G$2:$G$1001,$AQ622)="","",INDEX(Raw_D2!$G$2:$G$1001,$AQ622)),IF($AR622&lt;&gt;"",IF(INDEX(Raw_D3!$O$2:$O$1001,$AR622)="","",INDEX(Raw_D3!$O$2:$O$1001,$AR622)),"")))</f>
        <v>15</v>
      </c>
      <c r="P622" s="5">
        <f>IF($A622="","",IF($AQ622&lt;&gt;"",IF(INDEX(Raw_D2!$H$2:$H$1001,$AQ622)="","",INDEX(Raw_D2!$H$2:$H$1001,$AQ622)),IF($AR622&lt;&gt;"",IF(INDEX(Raw_D3!$P$2:$P$1001,$AR622)="","",INDEX(Raw_D3!$P$2:$P$1001,$AR622)),"")))</f>
        <v>15</v>
      </c>
      <c r="Q622" s="5" t="str">
        <f>IF($A622="","",IF(AND($AP622&lt;&gt;"",$AQ622&lt;&gt;""),"D1+D2",IF($AR622&lt;&gt;"","D3","Incomplete")))</f>
        <v>D3</v>
      </c>
      <c r="R622" s="17">
        <f>IF($A622="","",IF($K622="",IF($J622="","",ROUND(Lookups!$K$5+Lookups!$K$4*$J622,4)),$K622))</f>
        <v>0.2273</v>
      </c>
      <c r="S622" s="5" t="str">
        <f>IF($A622="","",IF($K622="","Imputed","Original"))</f>
        <v>Original</v>
      </c>
      <c r="T622" s="5" t="str">
        <f>IF($A622="","",IF($P622="","Missing",IF($P622=$N622+$O622,"OK","Mismatch")))</f>
        <v>OK</v>
      </c>
      <c r="U622" s="5" t="str">
        <f>IF($A622="","",IF(COUNTIF($A$2:$A622,$A622)&gt;1,"Duplicate","Unique"))</f>
        <v>Unique</v>
      </c>
      <c r="V622" s="5">
        <f>IF($A622="","",IF(AND($U622="Unique",ISNUMBER($P622)),1,0))</f>
        <v>1</v>
      </c>
      <c r="W622" s="5" t="str">
        <f>IF($A622="","",IF(OR($H622=0,$H622=6),"Weekend","Weekday"))</f>
        <v>Weekend</v>
      </c>
      <c r="X622" s="5" t="str">
        <f>IF($A622="","",TEXT($B622,"ddd"))</f>
        <v>Sat</v>
      </c>
      <c r="Y622" s="5" t="str">
        <f>IF($A622="","",TEXT($B622,"mmm"))</f>
        <v>Jan</v>
      </c>
      <c r="Z622" s="5" t="str">
        <f>IF($A622="","",IFERROR(VLOOKUP($C622,Lookups!$D$4:$E$7,2,FALSE),"Unknown"))</f>
        <v>Winter</v>
      </c>
      <c r="AA622" s="5" t="str">
        <f>IF($A622="","",IFERROR(VLOOKUP($I622,Lookups!$A$4:$B$7,2,FALSE),"Unknown"))</f>
        <v>Clear</v>
      </c>
      <c r="AB622" s="5" t="str">
        <f>IF($A622="","",TEXT($F622,"00")&amp;":00")</f>
        <v>02:00</v>
      </c>
      <c r="AC622" s="5" t="str">
        <f>IF($A622="","",VLOOKUP($F622,Lookups!$G$4:$H$8,2,TRUE))</f>
        <v>Night (00-05)</v>
      </c>
      <c r="AD622" s="18">
        <f>IF($A622="","",IF($J622="","",ROUND($J622*41,1)))</f>
        <v>9</v>
      </c>
      <c r="AE622" s="18">
        <f>IF($A622="","",IF($R622="","",ROUND($R622*50,1)))</f>
        <v>11.4</v>
      </c>
      <c r="AF622" s="5">
        <f>IF($A622="","",IF($L622="","",ROUND($L622*100,0)))</f>
        <v>64</v>
      </c>
      <c r="AG622" s="18">
        <f>IF($A622="","",IF($M622="","",ROUND($M622*67,1)))</f>
        <v>11</v>
      </c>
      <c r="AH622" s="19">
        <f>IF($A622="","",IF($P622="","",IF($P622=0,0,$O622/$P622)))</f>
        <v>1</v>
      </c>
      <c r="AI622" s="5" t="str">
        <f>IF($A622="","",IF($P622="","",IF($P622&gt;=Lookups!$K$7,"High",IF($P622&lt;=Lookups!$K$8,"Low","Medium"))))</f>
        <v>Low</v>
      </c>
      <c r="AJ622" s="5" t="str">
        <f>IF($A622="","",IF($AD622="","",IF($AD622&lt;5,"Under 5 C",IF($AD622&lt;10,"5-10 C",IF($AD622&lt;15,"10-15 C","15 C and above")))))</f>
        <v>5-10 C</v>
      </c>
      <c r="AK622" s="5">
        <f>IF($A622="","",IF($P622="","",$P622^2))</f>
        <v>225</v>
      </c>
      <c r="AL622" s="18">
        <f>IF($V622&lt;&gt;1,"",AVERAGEIFS(Clean_Data!$P$2:$P$1001,Clean_Data!$F$2:$F$1001,$F622,Clean_Data!$W$2:$W$1001,$W622,Clean_Data!$V$2:$V$1001,1))</f>
        <v>15.9285714285714</v>
      </c>
      <c r="AM622" s="16">
        <f>IF($V622&lt;&gt;1,"",IFERROR(($P622-$AL622)/SQRT(MAX(0,(SUMIFS(Clean_Data!$AK$2:$AK$1001,Clean_Data!$F$2:$F$1001,$F622,Clean_Data!$W$2:$W$1001,$W622,Clean_Data!$V$2:$V$1001,1)-COUNTIFS(Clean_Data!$F$2:$F$1001,$F622,Clean_Data!$W$2:$W$1001,$W622,Clean_Data!$V$2:$V$1001,1)*$AL622^2)/(COUNTIFS(Clean_Data!$F$2:$F$1001,$F622,Clean_Data!$W$2:$W$1001,$W622,Clean_Data!$V$2:$V$1001,1)-1))),""))</f>
        <v>-0.160538064839883</v>
      </c>
      <c r="AN622" s="5" t="str">
        <f>IF($AM622="","",IF($AM622&gt;=Lookups!$K$6,"High spike",IF($AM622&lt;=-Lookups!$K$6,"Unusual low","Normal")))</f>
        <v>Normal</v>
      </c>
      <c r="AO622" s="20">
        <f>IF($V622&lt;&gt;1,"",$P622+ROW()/100000)</f>
        <v>15.00622</v>
      </c>
      <c r="AP622" s="5">
        <f>IF($A622="","",IFERROR(MATCH($A622,Raw_D1!$A$2:$A$1001,0),""))</f>
        <v/>
      </c>
      <c r="AQ622" s="5">
        <f>IF($A622="","",IFERROR(MATCH($A622,Raw_D2!$B$2:$B$1001,0),""))</f>
        <v/>
      </c>
      <c r="AR622" s="5">
        <f>IF($A622="","",IFERROR(MATCH($A622,Raw_D3!$A$2:$A$1001,0),""))</f>
        <v>2</v>
      </c>
    </row>
    <row r="623" spans="1:44" x14ac:dyDescent="0.25">
      <c r="A623" s="5">
        <v>622</v>
      </c>
      <c r="B623" s="11">
        <f>IF($A623="","",IF($AP623&lt;&gt;"",INDEX(Raw_D1!$B$2:$B$1001,$AP623),IF($AR623&lt;&gt;"",INDEX(Raw_D3!$B$2:$B$1001,$AR623),"")))</f>
        <v>40572.0</v>
      </c>
      <c r="C623" s="5">
        <f>IF($A623="","",IF($AP623&lt;&gt;"",INDEX(Raw_D1!$C$2:$C$1001,$AP623),IF($AR623&lt;&gt;"",INDEX(Raw_D3!$C$2:$C$1001,$AR623),"")))</f>
        <v>1</v>
      </c>
      <c r="D623" s="5">
        <f>IF($A623="","",IF($AP623&lt;&gt;"",INDEX(Raw_D1!$D$2:$D$1001,$AP623),IF($AR623&lt;&gt;"",INDEX(Raw_D3!$D$2:$D$1001,$AR623),"")))</f>
        <v>0</v>
      </c>
      <c r="E623" s="5">
        <f>IF($A623="","",IF($AP623&lt;&gt;"",INDEX(Raw_D1!$E$2:$E$1001,$AP623),IF($AR623&lt;&gt;"",INDEX(Raw_D3!$E$2:$E$1001,$AR623),"")))</f>
        <v>1</v>
      </c>
      <c r="F623" s="5">
        <f>IF($A623="","",IF($AP623&lt;&gt;"",INDEX(Raw_D1!$F$2:$F$1001,$AP623),IF($AR623&lt;&gt;"",INDEX(Raw_D3!$F$2:$F$1001,$AR623),"")))</f>
        <v>3</v>
      </c>
      <c r="G623" s="5">
        <f>IF($A623="","",IF($AP623&lt;&gt;"",IF(INDEX(Raw_D1!$G$2:$G$1001,$AP623),1,0),IF($AR623&lt;&gt;"",IF(INDEX(Raw_D3!$G$2:$G$1001,$AR623),1,0),"")))</f>
        <v>0</v>
      </c>
      <c r="H623" s="5">
        <f>IF($A623="","",IF($AP623&lt;&gt;"",INDEX(Raw_D1!$H$2:$H$1001,$AP623),IF($AR623&lt;&gt;"",INDEX(Raw_D3!$H$2:$H$1001,$AR623),"")))</f>
        <v>6</v>
      </c>
      <c r="I623" s="5">
        <f>IF($A623="","",IF($AP623&lt;&gt;"",INDEX(Raw_D1!$I$2:$I$1001,$AP623),IF($AR623&lt;&gt;"",INDEX(Raw_D3!$I$2:$I$1001,$AR623),"")))</f>
        <v>1</v>
      </c>
      <c r="J623" s="16">
        <f>IF($A623="","",IF($AP623&lt;&gt;"",INDEX(Raw_D1!$J$2:$J$1001,$AP623),IF($AR623&lt;&gt;"",INDEX(Raw_D3!$J$2:$J$1001,$AR623),"")))</f>
        <v>0.2</v>
      </c>
      <c r="K623" s="17">
        <f>IF($A623="","",IF($AQ623&lt;&gt;"",IF(INDEX(Raw_D2!$C$2:$C$1001,$AQ623)="","",INDEX(Raw_D2!$C$2:$C$1001,$AQ623)),IF($AR623&lt;&gt;"",IF(INDEX(Raw_D3!$K$2:$K$1001,$AR623)="","",INDEX(Raw_D3!$K$2:$K$1001,$AR623)),"")))</f>
        <v>0.2121</v>
      </c>
      <c r="L623" s="16">
        <f>IF($A623="","",IF($AQ623&lt;&gt;"",IF(INDEX(Raw_D2!$D$2:$D$1001,$AQ623)="","",INDEX(Raw_D2!$D$2:$D$1001,$AQ623)),IF($AR623&lt;&gt;"",IF(INDEX(Raw_D3!$L$2:$L$1001,$AR623)="","",INDEX(Raw_D3!$L$2:$L$1001,$AR623)),"")))</f>
        <v>0.64</v>
      </c>
      <c r="M623" s="17">
        <f>IF($A623="","",IF($AQ623&lt;&gt;"",IF(INDEX(Raw_D2!$E$2:$E$1001,$AQ623)="","",INDEX(Raw_D2!$E$2:$E$1001,$AQ623)),IF($AR623&lt;&gt;"",IF(INDEX(Raw_D3!$M$2:$M$1001,$AR623)="","",INDEX(Raw_D3!$M$2:$M$1001,$AR623)),"")))</f>
        <v>0.1343</v>
      </c>
      <c r="N623" s="5">
        <f>IF($A623="","",IF($AQ623&lt;&gt;"",IF(INDEX(Raw_D2!$F$2:$F$1001,$AQ623)="","",INDEX(Raw_D2!$F$2:$F$1001,$AQ623)),IF($AR623&lt;&gt;"",IF(INDEX(Raw_D3!$N$2:$N$1001,$AR623)="","",INDEX(Raw_D3!$N$2:$N$1001,$AR623)),"")))</f>
        <v>3</v>
      </c>
      <c r="O623" s="5">
        <f>IF($A623="","",IF($AQ623&lt;&gt;"",IF(INDEX(Raw_D2!$G$2:$G$1001,$AQ623)="","",INDEX(Raw_D2!$G$2:$G$1001,$AQ623)),IF($AR623&lt;&gt;"",IF(INDEX(Raw_D3!$O$2:$O$1001,$AR623)="","",INDEX(Raw_D3!$O$2:$O$1001,$AR623)),"")))</f>
        <v>5</v>
      </c>
      <c r="P623" s="5">
        <f>IF($A623="","",IF($AQ623&lt;&gt;"",IF(INDEX(Raw_D2!$H$2:$H$1001,$AQ623)="","",INDEX(Raw_D2!$H$2:$H$1001,$AQ623)),IF($AR623&lt;&gt;"",IF(INDEX(Raw_D3!$P$2:$P$1001,$AR623)="","",INDEX(Raw_D3!$P$2:$P$1001,$AR623)),"")))</f>
        <v>8</v>
      </c>
      <c r="Q623" s="5" t="str">
        <f>IF($A623="","",IF(AND($AP623&lt;&gt;"",$AQ623&lt;&gt;""),"D1+D2",IF($AR623&lt;&gt;"","D3","Incomplete")))</f>
        <v>D3</v>
      </c>
      <c r="R623" s="17">
        <f>IF($A623="","",IF($K623="",IF($J623="","",ROUND(Lookups!$K$5+Lookups!$K$4*$J623,4)),$K623))</f>
        <v>0.2121</v>
      </c>
      <c r="S623" s="5" t="str">
        <f>IF($A623="","",IF($K623="","Imputed","Original"))</f>
        <v>Original</v>
      </c>
      <c r="T623" s="5" t="str">
        <f>IF($A623="","",IF($P623="","Missing",IF($P623=$N623+$O623,"OK","Mismatch")))</f>
        <v>OK</v>
      </c>
      <c r="U623" s="5" t="str">
        <f>IF($A623="","",IF(COUNTIF($A$2:$A623,$A623)&gt;1,"Duplicate","Unique"))</f>
        <v>Unique</v>
      </c>
      <c r="V623" s="5">
        <f>IF($A623="","",IF(AND($U623="Unique",ISNUMBER($P623)),1,0))</f>
        <v>1</v>
      </c>
      <c r="W623" s="5" t="str">
        <f>IF($A623="","",IF(OR($H623=0,$H623=6),"Weekend","Weekday"))</f>
        <v>Weekend</v>
      </c>
      <c r="X623" s="5" t="str">
        <f>IF($A623="","",TEXT($B623,"ddd"))</f>
        <v>Sat</v>
      </c>
      <c r="Y623" s="5" t="str">
        <f>IF($A623="","",TEXT($B623,"mmm"))</f>
        <v>Jan</v>
      </c>
      <c r="Z623" s="5" t="str">
        <f>IF($A623="","",IFERROR(VLOOKUP($C623,Lookups!$D$4:$E$7,2,FALSE),"Unknown"))</f>
        <v>Winter</v>
      </c>
      <c r="AA623" s="5" t="str">
        <f>IF($A623="","",IFERROR(VLOOKUP($I623,Lookups!$A$4:$B$7,2,FALSE),"Unknown"))</f>
        <v>Clear</v>
      </c>
      <c r="AB623" s="5" t="str">
        <f>IF($A623="","",TEXT($F623,"00")&amp;":00")</f>
        <v>03:00</v>
      </c>
      <c r="AC623" s="5" t="str">
        <f>IF($A623="","",VLOOKUP($F623,Lookups!$G$4:$H$8,2,TRUE))</f>
        <v>Night (00-05)</v>
      </c>
      <c r="AD623" s="18">
        <f>IF($A623="","",IF($J623="","",ROUND($J623*41,1)))</f>
        <v>8.2</v>
      </c>
      <c r="AE623" s="18">
        <f>IF($A623="","",IF($R623="","",ROUND($R623*50,1)))</f>
        <v>10.6</v>
      </c>
      <c r="AF623" s="5">
        <f>IF($A623="","",IF($L623="","",ROUND($L623*100,0)))</f>
        <v>64</v>
      </c>
      <c r="AG623" s="18">
        <f>IF($A623="","",IF($M623="","",ROUND($M623*67,1)))</f>
        <v>9</v>
      </c>
      <c r="AH623" s="19">
        <f>IF($A623="","",IF($P623="","",IF($P623=0,0,$O623/$P623)))</f>
        <v>0.625</v>
      </c>
      <c r="AI623" s="5" t="str">
        <f>IF($A623="","",IF($P623="","",IF($P623&gt;=Lookups!$K$7,"High",IF($P623&lt;=Lookups!$K$8,"Low","Medium"))))</f>
        <v>Low</v>
      </c>
      <c r="AJ623" s="5" t="str">
        <f>IF($A623="","",IF($AD623="","",IF($AD623&lt;5,"Under 5 C",IF($AD623&lt;10,"5-10 C",IF($AD623&lt;15,"10-15 C","15 C and above")))))</f>
        <v>5-10 C</v>
      </c>
      <c r="AK623" s="5">
        <f>IF($A623="","",IF($P623="","",$P623^2))</f>
        <v>64</v>
      </c>
      <c r="AL623" s="18">
        <f>IF($V623&lt;&gt;1,"",AVERAGEIFS(Clean_Data!$P$2:$P$1001,Clean_Data!$F$2:$F$1001,$F623,Clean_Data!$W$2:$W$1001,$W623,Clean_Data!$V$2:$V$1001,1))</f>
        <v>9.07142857142857</v>
      </c>
      <c r="AM623" s="16">
        <f>IF($V623&lt;&gt;1,"",IFERROR(($P623-$AL623)/SQRT(MAX(0,(SUMIFS(Clean_Data!$AK$2:$AK$1001,Clean_Data!$F$2:$F$1001,$F623,Clean_Data!$W$2:$W$1001,$W623,Clean_Data!$V$2:$V$1001,1)-COUNTIFS(Clean_Data!$F$2:$F$1001,$F623,Clean_Data!$W$2:$W$1001,$W623,Clean_Data!$V$2:$V$1001,1)*$AL623^2)/(COUNTIFS(Clean_Data!$F$2:$F$1001,$F623,Clean_Data!$W$2:$W$1001,$W623,Clean_Data!$V$2:$V$1001,1)-1))),""))</f>
        <v>-0.323128580714316</v>
      </c>
      <c r="AN623" s="5" t="str">
        <f>IF($AM623="","",IF($AM623&gt;=Lookups!$K$6,"High spike",IF($AM623&lt;=-Lookups!$K$6,"Unusual low","Normal")))</f>
        <v>Normal</v>
      </c>
      <c r="AO623" s="20">
        <f>IF($V623&lt;&gt;1,"",$P623+ROW()/100000)</f>
        <v>8.00623</v>
      </c>
      <c r="AP623" s="5">
        <f>IF($A623="","",IFERROR(MATCH($A623,Raw_D1!$A$2:$A$1001,0),""))</f>
        <v/>
      </c>
      <c r="AQ623" s="5">
        <f>IF($A623="","",IFERROR(MATCH($A623,Raw_D2!$B$2:$B$1001,0),""))</f>
        <v/>
      </c>
      <c r="AR623" s="5">
        <f>IF($A623="","",IFERROR(MATCH($A623,Raw_D3!$A$2:$A$1001,0),""))</f>
        <v>3</v>
      </c>
    </row>
    <row r="624" spans="1:44" x14ac:dyDescent="0.25">
      <c r="A624" s="5">
        <v>623</v>
      </c>
      <c r="B624" s="11">
        <f>IF($A624="","",IF($AP624&lt;&gt;"",INDEX(Raw_D1!$B$2:$B$1001,$AP624),IF($AR624&lt;&gt;"",INDEX(Raw_D3!$B$2:$B$1001,$AR624),"")))</f>
        <v>40572.0</v>
      </c>
      <c r="C624" s="5">
        <f>IF($A624="","",IF($AP624&lt;&gt;"",INDEX(Raw_D1!$C$2:$C$1001,$AP624),IF($AR624&lt;&gt;"",INDEX(Raw_D3!$C$2:$C$1001,$AR624),"")))</f>
        <v>1</v>
      </c>
      <c r="D624" s="5">
        <f>IF($A624="","",IF($AP624&lt;&gt;"",INDEX(Raw_D1!$D$2:$D$1001,$AP624),IF($AR624&lt;&gt;"",INDEX(Raw_D3!$D$2:$D$1001,$AR624),"")))</f>
        <v>0</v>
      </c>
      <c r="E624" s="5">
        <f>IF($A624="","",IF($AP624&lt;&gt;"",INDEX(Raw_D1!$E$2:$E$1001,$AP624),IF($AR624&lt;&gt;"",INDEX(Raw_D3!$E$2:$E$1001,$AR624),"")))</f>
        <v>1</v>
      </c>
      <c r="F624" s="5">
        <f>IF($A624="","",IF($AP624&lt;&gt;"",INDEX(Raw_D1!$F$2:$F$1001,$AP624),IF($AR624&lt;&gt;"",INDEX(Raw_D3!$F$2:$F$1001,$AR624),"")))</f>
        <v>4</v>
      </c>
      <c r="G624" s="5">
        <f>IF($A624="","",IF($AP624&lt;&gt;"",IF(INDEX(Raw_D1!$G$2:$G$1001,$AP624),1,0),IF($AR624&lt;&gt;"",IF(INDEX(Raw_D3!$G$2:$G$1001,$AR624),1,0),"")))</f>
        <v>0</v>
      </c>
      <c r="H624" s="5">
        <f>IF($A624="","",IF($AP624&lt;&gt;"",INDEX(Raw_D1!$H$2:$H$1001,$AP624),IF($AR624&lt;&gt;"",INDEX(Raw_D3!$H$2:$H$1001,$AR624),"")))</f>
        <v>6</v>
      </c>
      <c r="I624" s="5">
        <f>IF($A624="","",IF($AP624&lt;&gt;"",INDEX(Raw_D1!$I$2:$I$1001,$AP624),IF($AR624&lt;&gt;"",INDEX(Raw_D3!$I$2:$I$1001,$AR624),"")))</f>
        <v>1</v>
      </c>
      <c r="J624" s="16">
        <f>IF($A624="","",IF($AP624&lt;&gt;"",INDEX(Raw_D1!$J$2:$J$1001,$AP624),IF($AR624&lt;&gt;"",INDEX(Raw_D3!$J$2:$J$1001,$AR624),"")))</f>
        <v>0.16</v>
      </c>
      <c r="K624" s="17">
        <f>IF($A624="","",IF($AQ624&lt;&gt;"",IF(INDEX(Raw_D2!$C$2:$C$1001,$AQ624)="","",INDEX(Raw_D2!$C$2:$C$1001,$AQ624)),IF($AR624&lt;&gt;"",IF(INDEX(Raw_D3!$K$2:$K$1001,$AR624)="","",INDEX(Raw_D3!$K$2:$K$1001,$AR624)),"")))</f>
        <v>0.1818</v>
      </c>
      <c r="L624" s="16">
        <f>IF($A624="","",IF($AQ624&lt;&gt;"",IF(INDEX(Raw_D2!$D$2:$D$1001,$AQ624)="","",INDEX(Raw_D2!$D$2:$D$1001,$AQ624)),IF($AR624&lt;&gt;"",IF(INDEX(Raw_D3!$L$2:$L$1001,$AR624)="","",INDEX(Raw_D3!$L$2:$L$1001,$AR624)),"")))</f>
        <v>0.69</v>
      </c>
      <c r="M624" s="17">
        <f>IF($A624="","",IF($AQ624&lt;&gt;"",IF(INDEX(Raw_D2!$E$2:$E$1001,$AQ624)="","",INDEX(Raw_D2!$E$2:$E$1001,$AQ624)),IF($AR624&lt;&gt;"",IF(INDEX(Raw_D3!$M$2:$M$1001,$AR624)="","",INDEX(Raw_D3!$M$2:$M$1001,$AR624)),"")))</f>
        <v>0.1045</v>
      </c>
      <c r="N624" s="5">
        <f>IF($A624="","",IF($AQ624&lt;&gt;"",IF(INDEX(Raw_D2!$F$2:$F$1001,$AQ624)="","",INDEX(Raw_D2!$F$2:$F$1001,$AQ624)),IF($AR624&lt;&gt;"",IF(INDEX(Raw_D3!$N$2:$N$1001,$AR624)="","",INDEX(Raw_D3!$N$2:$N$1001,$AR624)),"")))</f>
        <v>1</v>
      </c>
      <c r="O624" s="5">
        <f>IF($A624="","",IF($AQ624&lt;&gt;"",IF(INDEX(Raw_D2!$G$2:$G$1001,$AQ624)="","",INDEX(Raw_D2!$G$2:$G$1001,$AQ624)),IF($AR624&lt;&gt;"",IF(INDEX(Raw_D3!$O$2:$O$1001,$AR624)="","",INDEX(Raw_D3!$O$2:$O$1001,$AR624)),"")))</f>
        <v>2</v>
      </c>
      <c r="P624" s="5">
        <f>IF($A624="","",IF($AQ624&lt;&gt;"",IF(INDEX(Raw_D2!$H$2:$H$1001,$AQ624)="","",INDEX(Raw_D2!$H$2:$H$1001,$AQ624)),IF($AR624&lt;&gt;"",IF(INDEX(Raw_D3!$P$2:$P$1001,$AR624)="","",INDEX(Raw_D3!$P$2:$P$1001,$AR624)),"")))</f>
        <v>3</v>
      </c>
      <c r="Q624" s="5" t="str">
        <f>IF($A624="","",IF(AND($AP624&lt;&gt;"",$AQ624&lt;&gt;""),"D1+D2",IF($AR624&lt;&gt;"","D3","Incomplete")))</f>
        <v>D3</v>
      </c>
      <c r="R624" s="17">
        <f>IF($A624="","",IF($K624="",IF($J624="","",ROUND(Lookups!$K$5+Lookups!$K$4*$J624,4)),$K624))</f>
        <v>0.1818</v>
      </c>
      <c r="S624" s="5" t="str">
        <f>IF($A624="","",IF($K624="","Imputed","Original"))</f>
        <v>Original</v>
      </c>
      <c r="T624" s="5" t="str">
        <f>IF($A624="","",IF($P624="","Missing",IF($P624=$N624+$O624,"OK","Mismatch")))</f>
        <v>OK</v>
      </c>
      <c r="U624" s="5" t="str">
        <f>IF($A624="","",IF(COUNTIF($A$2:$A624,$A624)&gt;1,"Duplicate","Unique"))</f>
        <v>Unique</v>
      </c>
      <c r="V624" s="5">
        <f>IF($A624="","",IF(AND($U624="Unique",ISNUMBER($P624)),1,0))</f>
        <v>1</v>
      </c>
      <c r="W624" s="5" t="str">
        <f>IF($A624="","",IF(OR($H624=0,$H624=6),"Weekend","Weekday"))</f>
        <v>Weekend</v>
      </c>
      <c r="X624" s="5" t="str">
        <f>IF($A624="","",TEXT($B624,"ddd"))</f>
        <v>Sat</v>
      </c>
      <c r="Y624" s="5" t="str">
        <f>IF($A624="","",TEXT($B624,"mmm"))</f>
        <v>Jan</v>
      </c>
      <c r="Z624" s="5" t="str">
        <f>IF($A624="","",IFERROR(VLOOKUP($C624,Lookups!$D$4:$E$7,2,FALSE),"Unknown"))</f>
        <v>Winter</v>
      </c>
      <c r="AA624" s="5" t="str">
        <f>IF($A624="","",IFERROR(VLOOKUP($I624,Lookups!$A$4:$B$7,2,FALSE),"Unknown"))</f>
        <v>Clear</v>
      </c>
      <c r="AB624" s="5" t="str">
        <f>IF($A624="","",TEXT($F624,"00")&amp;":00")</f>
        <v>04:00</v>
      </c>
      <c r="AC624" s="5" t="str">
        <f>IF($A624="","",VLOOKUP($F624,Lookups!$G$4:$H$8,2,TRUE))</f>
        <v>Night (00-05)</v>
      </c>
      <c r="AD624" s="18">
        <f>IF($A624="","",IF($J624="","",ROUND($J624*41,1)))</f>
        <v>6.6</v>
      </c>
      <c r="AE624" s="18">
        <f>IF($A624="","",IF($R624="","",ROUND($R624*50,1)))</f>
        <v>9.1</v>
      </c>
      <c r="AF624" s="5">
        <f>IF($A624="","",IF($L624="","",ROUND($L624*100,0)))</f>
        <v>69</v>
      </c>
      <c r="AG624" s="18">
        <f>IF($A624="","",IF($M624="","",ROUND($M624*67,1)))</f>
        <v>7</v>
      </c>
      <c r="AH624" s="19">
        <f>IF($A624="","",IF($P624="","",IF($P624=0,0,$O624/$P624)))</f>
        <v>0.666666666666667</v>
      </c>
      <c r="AI624" s="5" t="str">
        <f>IF($A624="","",IF($P624="","",IF($P624&gt;=Lookups!$K$7,"High",IF($P624&lt;=Lookups!$K$8,"Low","Medium"))))</f>
        <v>Low</v>
      </c>
      <c r="AJ624" s="5" t="str">
        <f>IF($A624="","",IF($AD624="","",IF($AD624&lt;5,"Under 5 C",IF($AD624&lt;10,"5-10 C",IF($AD624&lt;15,"10-15 C","15 C and above")))))</f>
        <v>5-10 C</v>
      </c>
      <c r="AK624" s="5">
        <f>IF($A624="","",IF($P624="","",$P624^2))</f>
        <v>9</v>
      </c>
      <c r="AL624" s="18">
        <f>IF($V624&lt;&gt;1,"",AVERAGEIFS(Clean_Data!$P$2:$P$1001,Clean_Data!$F$2:$F$1001,$F624,Clean_Data!$W$2:$W$1001,$W624,Clean_Data!$V$2:$V$1001,1))</f>
        <v>2.69230769230769</v>
      </c>
      <c r="AM624" s="16">
        <f>IF($V624&lt;&gt;1,"",IFERROR(($P624-$AL624)/SQRT(MAX(0,(SUMIFS(Clean_Data!$AK$2:$AK$1001,Clean_Data!$F$2:$F$1001,$F624,Clean_Data!$W$2:$W$1001,$W624,Clean_Data!$V$2:$V$1001,1)-COUNTIFS(Clean_Data!$F$2:$F$1001,$F624,Clean_Data!$W$2:$W$1001,$W624,Clean_Data!$V$2:$V$1001,1)*$AL624^2)/(COUNTIFS(Clean_Data!$F$2:$F$1001,$F624,Clean_Data!$W$2:$W$1001,$W624,Clean_Data!$V$2:$V$1001,1)-1))),""))</f>
        <v>0.149591518401353</v>
      </c>
      <c r="AN624" s="5" t="str">
        <f>IF($AM624="","",IF($AM624&gt;=Lookups!$K$6,"High spike",IF($AM624&lt;=-Lookups!$K$6,"Unusual low","Normal")))</f>
        <v>Normal</v>
      </c>
      <c r="AO624" s="20">
        <f>IF($V624&lt;&gt;1,"",$P624+ROW()/100000)</f>
        <v>3.00624</v>
      </c>
      <c r="AP624" s="5">
        <f>IF($A624="","",IFERROR(MATCH($A624,Raw_D1!$A$2:$A$1001,0),""))</f>
        <v/>
      </c>
      <c r="AQ624" s="5">
        <f>IF($A624="","",IFERROR(MATCH($A624,Raw_D2!$B$2:$B$1001,0),""))</f>
        <v/>
      </c>
      <c r="AR624" s="5">
        <f>IF($A624="","",IFERROR(MATCH($A624,Raw_D3!$A$2:$A$1001,0),""))</f>
        <v>4</v>
      </c>
    </row>
    <row r="625" spans="1:44" x14ac:dyDescent="0.25">
      <c r="A625" s="5">
        <v>624</v>
      </c>
      <c r="B625" s="11">
        <f>IF($A625="","",IF($AP625&lt;&gt;"",INDEX(Raw_D1!$B$2:$B$1001,$AP625),IF($AR625&lt;&gt;"",INDEX(Raw_D3!$B$2:$B$1001,$AR625),"")))</f>
        <v>40572.0</v>
      </c>
      <c r="C625" s="5">
        <f>IF($A625="","",IF($AP625&lt;&gt;"",INDEX(Raw_D1!$C$2:$C$1001,$AP625),IF($AR625&lt;&gt;"",INDEX(Raw_D3!$C$2:$C$1001,$AR625),"")))</f>
        <v>1</v>
      </c>
      <c r="D625" s="5">
        <f>IF($A625="","",IF($AP625&lt;&gt;"",INDEX(Raw_D1!$D$2:$D$1001,$AP625),IF($AR625&lt;&gt;"",INDEX(Raw_D3!$D$2:$D$1001,$AR625),"")))</f>
        <v>0</v>
      </c>
      <c r="E625" s="5">
        <f>IF($A625="","",IF($AP625&lt;&gt;"",INDEX(Raw_D1!$E$2:$E$1001,$AP625),IF($AR625&lt;&gt;"",INDEX(Raw_D3!$E$2:$E$1001,$AR625),"")))</f>
        <v>1</v>
      </c>
      <c r="F625" s="5">
        <f>IF($A625="","",IF($AP625&lt;&gt;"",INDEX(Raw_D1!$F$2:$F$1001,$AP625),IF($AR625&lt;&gt;"",INDEX(Raw_D3!$F$2:$F$1001,$AR625),"")))</f>
        <v>6</v>
      </c>
      <c r="G625" s="5">
        <f>IF($A625="","",IF($AP625&lt;&gt;"",IF(INDEX(Raw_D1!$G$2:$G$1001,$AP625),1,0),IF($AR625&lt;&gt;"",IF(INDEX(Raw_D3!$G$2:$G$1001,$AR625),1,0),"")))</f>
        <v>0</v>
      </c>
      <c r="H625" s="5">
        <f>IF($A625="","",IF($AP625&lt;&gt;"",INDEX(Raw_D1!$H$2:$H$1001,$AP625),IF($AR625&lt;&gt;"",INDEX(Raw_D3!$H$2:$H$1001,$AR625),"")))</f>
        <v>6</v>
      </c>
      <c r="I625" s="5">
        <f>IF($A625="","",IF($AP625&lt;&gt;"",INDEX(Raw_D1!$I$2:$I$1001,$AP625),IF($AR625&lt;&gt;"",INDEX(Raw_D3!$I$2:$I$1001,$AR625),"")))</f>
        <v>1</v>
      </c>
      <c r="J625" s="16">
        <f>IF($A625="","",IF($AP625&lt;&gt;"",INDEX(Raw_D1!$J$2:$J$1001,$AP625),IF($AR625&lt;&gt;"",INDEX(Raw_D3!$J$2:$J$1001,$AR625),"")))</f>
        <v>0.16</v>
      </c>
      <c r="K625" s="17">
        <f>IF($A625="","",IF($AQ625&lt;&gt;"",IF(INDEX(Raw_D2!$C$2:$C$1001,$AQ625)="","",INDEX(Raw_D2!$C$2:$C$1001,$AQ625)),IF($AR625&lt;&gt;"",IF(INDEX(Raw_D3!$K$2:$K$1001,$AR625)="","",INDEX(Raw_D3!$K$2:$K$1001,$AR625)),"")))</f>
        <v>0.1818</v>
      </c>
      <c r="L625" s="16">
        <f>IF($A625="","",IF($AQ625&lt;&gt;"",IF(INDEX(Raw_D2!$D$2:$D$1001,$AQ625)="","",INDEX(Raw_D2!$D$2:$D$1001,$AQ625)),IF($AR625&lt;&gt;"",IF(INDEX(Raw_D3!$L$2:$L$1001,$AR625)="","",INDEX(Raw_D3!$L$2:$L$1001,$AR625)),"")))</f>
        <v>0.64</v>
      </c>
      <c r="M625" s="17">
        <f>IF($A625="","",IF($AQ625&lt;&gt;"",IF(INDEX(Raw_D2!$E$2:$E$1001,$AQ625)="","",INDEX(Raw_D2!$E$2:$E$1001,$AQ625)),IF($AR625&lt;&gt;"",IF(INDEX(Raw_D3!$M$2:$M$1001,$AR625)="","",INDEX(Raw_D3!$M$2:$M$1001,$AR625)),"")))</f>
        <v>0.1343</v>
      </c>
      <c r="N625" s="5">
        <f>IF($A625="","",IF($AQ625&lt;&gt;"",IF(INDEX(Raw_D2!$F$2:$F$1001,$AQ625)="","",INDEX(Raw_D2!$F$2:$F$1001,$AQ625)),IF($AR625&lt;&gt;"",IF(INDEX(Raw_D3!$N$2:$N$1001,$AR625)="","",INDEX(Raw_D3!$N$2:$N$1001,$AR625)),"")))</f>
        <v>0</v>
      </c>
      <c r="O625" s="5">
        <f>IF($A625="","",IF($AQ625&lt;&gt;"",IF(INDEX(Raw_D2!$G$2:$G$1001,$AQ625)="","",INDEX(Raw_D2!$G$2:$G$1001,$AQ625)),IF($AR625&lt;&gt;"",IF(INDEX(Raw_D3!$O$2:$O$1001,$AR625)="","",INDEX(Raw_D3!$O$2:$O$1001,$AR625)),"")))</f>
        <v>2</v>
      </c>
      <c r="P625" s="5">
        <f>IF($A625="","",IF($AQ625&lt;&gt;"",IF(INDEX(Raw_D2!$H$2:$H$1001,$AQ625)="","",INDEX(Raw_D2!$H$2:$H$1001,$AQ625)),IF($AR625&lt;&gt;"",IF(INDEX(Raw_D3!$P$2:$P$1001,$AR625)="","",INDEX(Raw_D3!$P$2:$P$1001,$AR625)),"")))</f>
        <v>2</v>
      </c>
      <c r="Q625" s="5" t="str">
        <f>IF($A625="","",IF(AND($AP625&lt;&gt;"",$AQ625&lt;&gt;""),"D1+D2",IF($AR625&lt;&gt;"","D3","Incomplete")))</f>
        <v>D3</v>
      </c>
      <c r="R625" s="17">
        <f>IF($A625="","",IF($K625="",IF($J625="","",ROUND(Lookups!$K$5+Lookups!$K$4*$J625,4)),$K625))</f>
        <v>0.1818</v>
      </c>
      <c r="S625" s="5" t="str">
        <f>IF($A625="","",IF($K625="","Imputed","Original"))</f>
        <v>Original</v>
      </c>
      <c r="T625" s="5" t="str">
        <f>IF($A625="","",IF($P625="","Missing",IF($P625=$N625+$O625,"OK","Mismatch")))</f>
        <v>OK</v>
      </c>
      <c r="U625" s="5" t="str">
        <f>IF($A625="","",IF(COUNTIF($A$2:$A625,$A625)&gt;1,"Duplicate","Unique"))</f>
        <v>Unique</v>
      </c>
      <c r="V625" s="5">
        <f>IF($A625="","",IF(AND($U625="Unique",ISNUMBER($P625)),1,0))</f>
        <v>1</v>
      </c>
      <c r="W625" s="5" t="str">
        <f>IF($A625="","",IF(OR($H625=0,$H625=6),"Weekend","Weekday"))</f>
        <v>Weekend</v>
      </c>
      <c r="X625" s="5" t="str">
        <f>IF($A625="","",TEXT($B625,"ddd"))</f>
        <v>Sat</v>
      </c>
      <c r="Y625" s="5" t="str">
        <f>IF($A625="","",TEXT($B625,"mmm"))</f>
        <v>Jan</v>
      </c>
      <c r="Z625" s="5" t="str">
        <f>IF($A625="","",IFERROR(VLOOKUP($C625,Lookups!$D$4:$E$7,2,FALSE),"Unknown"))</f>
        <v>Winter</v>
      </c>
      <c r="AA625" s="5" t="str">
        <f>IF($A625="","",IFERROR(VLOOKUP($I625,Lookups!$A$4:$B$7,2,FALSE),"Unknown"))</f>
        <v>Clear</v>
      </c>
      <c r="AB625" s="5" t="str">
        <f>IF($A625="","",TEXT($F625,"00")&amp;":00")</f>
        <v>06:00</v>
      </c>
      <c r="AC625" s="5" t="str">
        <f>IF($A625="","",VLOOKUP($F625,Lookups!$G$4:$H$8,2,TRUE))</f>
        <v>Morning Peak (06-09)</v>
      </c>
      <c r="AD625" s="18">
        <f>IF($A625="","",IF($J625="","",ROUND($J625*41,1)))</f>
        <v>6.6</v>
      </c>
      <c r="AE625" s="18">
        <f>IF($A625="","",IF($R625="","",ROUND($R625*50,1)))</f>
        <v>9.1</v>
      </c>
      <c r="AF625" s="5">
        <f>IF($A625="","",IF($L625="","",ROUND($L625*100,0)))</f>
        <v>64</v>
      </c>
      <c r="AG625" s="18">
        <f>IF($A625="","",IF($M625="","",ROUND($M625*67,1)))</f>
        <v>9</v>
      </c>
      <c r="AH625" s="19">
        <f>IF($A625="","",IF($P625="","",IF($P625=0,0,$O625/$P625)))</f>
        <v>1</v>
      </c>
      <c r="AI625" s="5" t="str">
        <f>IF($A625="","",IF($P625="","",IF($P625&gt;=Lookups!$K$7,"High",IF($P625&lt;=Lookups!$K$8,"Low","Medium"))))</f>
        <v>Low</v>
      </c>
      <c r="AJ625" s="5" t="str">
        <f>IF($A625="","",IF($AD625="","",IF($AD625&lt;5,"Under 5 C",IF($AD625&lt;10,"5-10 C",IF($AD625&lt;15,"10-15 C","15 C and above")))))</f>
        <v>5-10 C</v>
      </c>
      <c r="AK625" s="5">
        <f>IF($A625="","",IF($P625="","",$P625^2))</f>
        <v>4</v>
      </c>
      <c r="AL625" s="18">
        <f>IF($V625&lt;&gt;1,"",AVERAGEIFS(Clean_Data!$P$2:$P$1001,Clean_Data!$F$2:$F$1001,$F625,Clean_Data!$W$2:$W$1001,$W625,Clean_Data!$V$2:$V$1001,1))</f>
        <v>2.15384615384615</v>
      </c>
      <c r="AM625" s="16">
        <f>IF($V625&lt;&gt;1,"",IFERROR(($P625-$AL625)/SQRT(MAX(0,(SUMIFS(Clean_Data!$AK$2:$AK$1001,Clean_Data!$F$2:$F$1001,$F625,Clean_Data!$W$2:$W$1001,$W625,Clean_Data!$V$2:$V$1001,1)-COUNTIFS(Clean_Data!$F$2:$F$1001,$F625,Clean_Data!$W$2:$W$1001,$W625,Clean_Data!$V$2:$V$1001,1)*$AL625^2)/(COUNTIFS(Clean_Data!$F$2:$F$1001,$F625,Clean_Data!$W$2:$W$1001,$W625,Clean_Data!$V$2:$V$1001,1)-1))),""))</f>
        <v>-0.12670245343199</v>
      </c>
      <c r="AN625" s="5" t="str">
        <f>IF($AM625="","",IF($AM625&gt;=Lookups!$K$6,"High spike",IF($AM625&lt;=-Lookups!$K$6,"Unusual low","Normal")))</f>
        <v>Normal</v>
      </c>
      <c r="AO625" s="20">
        <f>IF($V625&lt;&gt;1,"",$P625+ROW()/100000)</f>
        <v>2.00625</v>
      </c>
      <c r="AP625" s="5">
        <f>IF($A625="","",IFERROR(MATCH($A625,Raw_D1!$A$2:$A$1001,0),""))</f>
        <v/>
      </c>
      <c r="AQ625" s="5">
        <f>IF($A625="","",IFERROR(MATCH($A625,Raw_D2!$B$2:$B$1001,0),""))</f>
        <v/>
      </c>
      <c r="AR625" s="5">
        <f>IF($A625="","",IFERROR(MATCH($A625,Raw_D3!$A$2:$A$1001,0),""))</f>
        <v>5</v>
      </c>
    </row>
    <row r="626" spans="1:44" x14ac:dyDescent="0.25">
      <c r="A626" s="5">
        <v>625</v>
      </c>
      <c r="B626" s="11">
        <f>IF($A626="","",IF($AP626&lt;&gt;"",INDEX(Raw_D1!$B$2:$B$1001,$AP626),IF($AR626&lt;&gt;"",INDEX(Raw_D3!$B$2:$B$1001,$AR626),"")))</f>
        <v>40572.0</v>
      </c>
      <c r="C626" s="5">
        <f>IF($A626="","",IF($AP626&lt;&gt;"",INDEX(Raw_D1!$C$2:$C$1001,$AP626),IF($AR626&lt;&gt;"",INDEX(Raw_D3!$C$2:$C$1001,$AR626),"")))</f>
        <v>1</v>
      </c>
      <c r="D626" s="5">
        <f>IF($A626="","",IF($AP626&lt;&gt;"",INDEX(Raw_D1!$D$2:$D$1001,$AP626),IF($AR626&lt;&gt;"",INDEX(Raw_D3!$D$2:$D$1001,$AR626),"")))</f>
        <v>0</v>
      </c>
      <c r="E626" s="5">
        <f>IF($A626="","",IF($AP626&lt;&gt;"",INDEX(Raw_D1!$E$2:$E$1001,$AP626),IF($AR626&lt;&gt;"",INDEX(Raw_D3!$E$2:$E$1001,$AR626),"")))</f>
        <v>1</v>
      </c>
      <c r="F626" s="5">
        <f>IF($A626="","",IF($AP626&lt;&gt;"",INDEX(Raw_D1!$F$2:$F$1001,$AP626),IF($AR626&lt;&gt;"",INDEX(Raw_D3!$F$2:$F$1001,$AR626),"")))</f>
        <v>7</v>
      </c>
      <c r="G626" s="5">
        <f>IF($A626="","",IF($AP626&lt;&gt;"",IF(INDEX(Raw_D1!$G$2:$G$1001,$AP626),1,0),IF($AR626&lt;&gt;"",IF(INDEX(Raw_D3!$G$2:$G$1001,$AR626),1,0),"")))</f>
        <v>0</v>
      </c>
      <c r="H626" s="5">
        <f>IF($A626="","",IF($AP626&lt;&gt;"",INDEX(Raw_D1!$H$2:$H$1001,$AP626),IF($AR626&lt;&gt;"",INDEX(Raw_D3!$H$2:$H$1001,$AR626),"")))</f>
        <v>6</v>
      </c>
      <c r="I626" s="5">
        <f>IF($A626="","",IF($AP626&lt;&gt;"",INDEX(Raw_D1!$I$2:$I$1001,$AP626),IF($AR626&lt;&gt;"",INDEX(Raw_D3!$I$2:$I$1001,$AR626),"")))</f>
        <v>1</v>
      </c>
      <c r="J626" s="16">
        <f>IF($A626="","",IF($AP626&lt;&gt;"",INDEX(Raw_D1!$J$2:$J$1001,$AP626),IF($AR626&lt;&gt;"",INDEX(Raw_D3!$J$2:$J$1001,$AR626),"")))</f>
        <v>0.16</v>
      </c>
      <c r="K626" s="17">
        <f>IF($A626="","",IF($AQ626&lt;&gt;"",IF(INDEX(Raw_D2!$C$2:$C$1001,$AQ626)="","",INDEX(Raw_D2!$C$2:$C$1001,$AQ626)),IF($AR626&lt;&gt;"",IF(INDEX(Raw_D3!$K$2:$K$1001,$AR626)="","",INDEX(Raw_D3!$K$2:$K$1001,$AR626)),"")))</f>
        <v>0.1818</v>
      </c>
      <c r="L626" s="16">
        <f>IF($A626="","",IF($AQ626&lt;&gt;"",IF(INDEX(Raw_D2!$D$2:$D$1001,$AQ626)="","",INDEX(Raw_D2!$D$2:$D$1001,$AQ626)),IF($AR626&lt;&gt;"",IF(INDEX(Raw_D3!$L$2:$L$1001,$AR626)="","",INDEX(Raw_D3!$L$2:$L$1001,$AR626)),"")))</f>
        <v>0.59</v>
      </c>
      <c r="M626" s="17">
        <f>IF($A626="","",IF($AQ626&lt;&gt;"",IF(INDEX(Raw_D2!$E$2:$E$1001,$AQ626)="","",INDEX(Raw_D2!$E$2:$E$1001,$AQ626)),IF($AR626&lt;&gt;"",IF(INDEX(Raw_D3!$M$2:$M$1001,$AR626)="","",INDEX(Raw_D3!$M$2:$M$1001,$AR626)),"")))</f>
        <v>0.1045</v>
      </c>
      <c r="N626" s="5">
        <f>IF($A626="","",IF($AQ626&lt;&gt;"",IF(INDEX(Raw_D2!$F$2:$F$1001,$AQ626)="","",INDEX(Raw_D2!$F$2:$F$1001,$AQ626)),IF($AR626&lt;&gt;"",IF(INDEX(Raw_D3!$N$2:$N$1001,$AR626)="","",INDEX(Raw_D3!$N$2:$N$1001,$AR626)),"")))</f>
        <v>1</v>
      </c>
      <c r="O626" s="5">
        <f>IF($A626="","",IF($AQ626&lt;&gt;"",IF(INDEX(Raw_D2!$G$2:$G$1001,$AQ626)="","",INDEX(Raw_D2!$G$2:$G$1001,$AQ626)),IF($AR626&lt;&gt;"",IF(INDEX(Raw_D3!$O$2:$O$1001,$AR626)="","",INDEX(Raw_D3!$O$2:$O$1001,$AR626)),"")))</f>
        <v>4</v>
      </c>
      <c r="P626" s="5">
        <f>IF($A626="","",IF($AQ626&lt;&gt;"",IF(INDEX(Raw_D2!$H$2:$H$1001,$AQ626)="","",INDEX(Raw_D2!$H$2:$H$1001,$AQ626)),IF($AR626&lt;&gt;"",IF(INDEX(Raw_D3!$P$2:$P$1001,$AR626)="","",INDEX(Raw_D3!$P$2:$P$1001,$AR626)),"")))</f>
        <v>5</v>
      </c>
      <c r="Q626" s="5" t="str">
        <f>IF($A626="","",IF(AND($AP626&lt;&gt;"",$AQ626&lt;&gt;""),"D1+D2",IF($AR626&lt;&gt;"","D3","Incomplete")))</f>
        <v>D3</v>
      </c>
      <c r="R626" s="17">
        <f>IF($A626="","",IF($K626="",IF($J626="","",ROUND(Lookups!$K$5+Lookups!$K$4*$J626,4)),$K626))</f>
        <v>0.1818</v>
      </c>
      <c r="S626" s="5" t="str">
        <f>IF($A626="","",IF($K626="","Imputed","Original"))</f>
        <v>Original</v>
      </c>
      <c r="T626" s="5" t="str">
        <f>IF($A626="","",IF($P626="","Missing",IF($P626=$N626+$O626,"OK","Mismatch")))</f>
        <v>OK</v>
      </c>
      <c r="U626" s="5" t="str">
        <f>IF($A626="","",IF(COUNTIF($A$2:$A626,$A626)&gt;1,"Duplicate","Unique"))</f>
        <v>Unique</v>
      </c>
      <c r="V626" s="5">
        <f>IF($A626="","",IF(AND($U626="Unique",ISNUMBER($P626)),1,0))</f>
        <v>1</v>
      </c>
      <c r="W626" s="5" t="str">
        <f>IF($A626="","",IF(OR($H626=0,$H626=6),"Weekend","Weekday"))</f>
        <v>Weekend</v>
      </c>
      <c r="X626" s="5" t="str">
        <f>IF($A626="","",TEXT($B626,"ddd"))</f>
        <v>Sat</v>
      </c>
      <c r="Y626" s="5" t="str">
        <f>IF($A626="","",TEXT($B626,"mmm"))</f>
        <v>Jan</v>
      </c>
      <c r="Z626" s="5" t="str">
        <f>IF($A626="","",IFERROR(VLOOKUP($C626,Lookups!$D$4:$E$7,2,FALSE),"Unknown"))</f>
        <v>Winter</v>
      </c>
      <c r="AA626" s="5" t="str">
        <f>IF($A626="","",IFERROR(VLOOKUP($I626,Lookups!$A$4:$B$7,2,FALSE),"Unknown"))</f>
        <v>Clear</v>
      </c>
      <c r="AB626" s="5" t="str">
        <f>IF($A626="","",TEXT($F626,"00")&amp;":00")</f>
        <v>07:00</v>
      </c>
      <c r="AC626" s="5" t="str">
        <f>IF($A626="","",VLOOKUP($F626,Lookups!$G$4:$H$8,2,TRUE))</f>
        <v>Morning Peak (06-09)</v>
      </c>
      <c r="AD626" s="18">
        <f>IF($A626="","",IF($J626="","",ROUND($J626*41,1)))</f>
        <v>6.6</v>
      </c>
      <c r="AE626" s="18">
        <f>IF($A626="","",IF($R626="","",ROUND($R626*50,1)))</f>
        <v>9.1</v>
      </c>
      <c r="AF626" s="5">
        <f>IF($A626="","",IF($L626="","",ROUND($L626*100,0)))</f>
        <v>59</v>
      </c>
      <c r="AG626" s="18">
        <f>IF($A626="","",IF($M626="","",ROUND($M626*67,1)))</f>
        <v>7</v>
      </c>
      <c r="AH626" s="19">
        <f>IF($A626="","",IF($P626="","",IF($P626=0,0,$O626/$P626)))</f>
        <v>0.8</v>
      </c>
      <c r="AI626" s="5" t="str">
        <f>IF($A626="","",IF($P626="","",IF($P626&gt;=Lookups!$K$7,"High",IF($P626&lt;=Lookups!$K$8,"Low","Medium"))))</f>
        <v>Low</v>
      </c>
      <c r="AJ626" s="5" t="str">
        <f>IF($A626="","",IF($AD626="","",IF($AD626&lt;5,"Under 5 C",IF($AD626&lt;10,"5-10 C",IF($AD626&lt;15,"10-15 C","15 C and above")))))</f>
        <v>5-10 C</v>
      </c>
      <c r="AK626" s="5">
        <f>IF($A626="","",IF($P626="","",$P626^2))</f>
        <v>25</v>
      </c>
      <c r="AL626" s="18">
        <f>IF($V626&lt;&gt;1,"",AVERAGEIFS(Clean_Data!$P$2:$P$1001,Clean_Data!$F$2:$F$1001,$F626,Clean_Data!$W$2:$W$1001,$W626,Clean_Data!$V$2:$V$1001,1))</f>
        <v>5.42857142857143</v>
      </c>
      <c r="AM626" s="16">
        <f>IF($V626&lt;&gt;1,"",IFERROR(($P626-$AL626)/SQRT(MAX(0,(SUMIFS(Clean_Data!$AK$2:$AK$1001,Clean_Data!$F$2:$F$1001,$F626,Clean_Data!$W$2:$W$1001,$W626,Clean_Data!$V$2:$V$1001,1)-COUNTIFS(Clean_Data!$F$2:$F$1001,$F626,Clean_Data!$W$2:$W$1001,$W626,Clean_Data!$V$2:$V$1001,1)*$AL626^2)/(COUNTIFS(Clean_Data!$F$2:$F$1001,$F626,Clean_Data!$W$2:$W$1001,$W626,Clean_Data!$V$2:$V$1001,1)-1))),""))</f>
        <v>-0.132782163991031</v>
      </c>
      <c r="AN626" s="5" t="str">
        <f>IF($AM626="","",IF($AM626&gt;=Lookups!$K$6,"High spike",IF($AM626&lt;=-Lookups!$K$6,"Unusual low","Normal")))</f>
        <v>Normal</v>
      </c>
      <c r="AO626" s="20">
        <f>IF($V626&lt;&gt;1,"",$P626+ROW()/100000)</f>
        <v>5.00626</v>
      </c>
      <c r="AP626" s="5">
        <f>IF($A626="","",IFERROR(MATCH($A626,Raw_D1!$A$2:$A$1001,0),""))</f>
        <v/>
      </c>
      <c r="AQ626" s="5">
        <f>IF($A626="","",IFERROR(MATCH($A626,Raw_D2!$B$2:$B$1001,0),""))</f>
        <v/>
      </c>
      <c r="AR626" s="5">
        <f>IF($A626="","",IFERROR(MATCH($A626,Raw_D3!$A$2:$A$1001,0),""))</f>
        <v>6</v>
      </c>
    </row>
    <row r="627" spans="1:44" x14ac:dyDescent="0.25">
      <c r="A627" s="5">
        <v>626</v>
      </c>
      <c r="B627" s="11">
        <f>IF($A627="","",IF($AP627&lt;&gt;"",INDEX(Raw_D1!$B$2:$B$1001,$AP627),IF($AR627&lt;&gt;"",INDEX(Raw_D3!$B$2:$B$1001,$AR627),"")))</f>
        <v>40572.0</v>
      </c>
      <c r="C627" s="5">
        <f>IF($A627="","",IF($AP627&lt;&gt;"",INDEX(Raw_D1!$C$2:$C$1001,$AP627),IF($AR627&lt;&gt;"",INDEX(Raw_D3!$C$2:$C$1001,$AR627),"")))</f>
        <v>1</v>
      </c>
      <c r="D627" s="5">
        <f>IF($A627="","",IF($AP627&lt;&gt;"",INDEX(Raw_D1!$D$2:$D$1001,$AP627),IF($AR627&lt;&gt;"",INDEX(Raw_D3!$D$2:$D$1001,$AR627),"")))</f>
        <v>0</v>
      </c>
      <c r="E627" s="5">
        <f>IF($A627="","",IF($AP627&lt;&gt;"",INDEX(Raw_D1!$E$2:$E$1001,$AP627),IF($AR627&lt;&gt;"",INDEX(Raw_D3!$E$2:$E$1001,$AR627),"")))</f>
        <v>1</v>
      </c>
      <c r="F627" s="5">
        <f>IF($A627="","",IF($AP627&lt;&gt;"",INDEX(Raw_D1!$F$2:$F$1001,$AP627),IF($AR627&lt;&gt;"",INDEX(Raw_D3!$F$2:$F$1001,$AR627),"")))</f>
        <v>8</v>
      </c>
      <c r="G627" s="5">
        <f>IF($A627="","",IF($AP627&lt;&gt;"",IF(INDEX(Raw_D1!$G$2:$G$1001,$AP627),1,0),IF($AR627&lt;&gt;"",IF(INDEX(Raw_D3!$G$2:$G$1001,$AR627),1,0),"")))</f>
        <v>0</v>
      </c>
      <c r="H627" s="5">
        <f>IF($A627="","",IF($AP627&lt;&gt;"",INDEX(Raw_D1!$H$2:$H$1001,$AP627),IF($AR627&lt;&gt;"",INDEX(Raw_D3!$H$2:$H$1001,$AR627),"")))</f>
        <v>6</v>
      </c>
      <c r="I627" s="5">
        <f>IF($A627="","",IF($AP627&lt;&gt;"",INDEX(Raw_D1!$I$2:$I$1001,$AP627),IF($AR627&lt;&gt;"",INDEX(Raw_D3!$I$2:$I$1001,$AR627),"")))</f>
        <v>1</v>
      </c>
      <c r="J627" s="16">
        <f>IF($A627="","",IF($AP627&lt;&gt;"",INDEX(Raw_D1!$J$2:$J$1001,$AP627),IF($AR627&lt;&gt;"",INDEX(Raw_D3!$J$2:$J$1001,$AR627),"")))</f>
        <v>0.18</v>
      </c>
      <c r="K627" s="17">
        <f>IF($A627="","",IF($AQ627&lt;&gt;"",IF(INDEX(Raw_D2!$C$2:$C$1001,$AQ627)="","",INDEX(Raw_D2!$C$2:$C$1001,$AQ627)),IF($AR627&lt;&gt;"",IF(INDEX(Raw_D3!$K$2:$K$1001,$AR627)="","",INDEX(Raw_D3!$K$2:$K$1001,$AR627)),"")))</f>
        <v>0.197</v>
      </c>
      <c r="L627" s="16">
        <f>IF($A627="","",IF($AQ627&lt;&gt;"",IF(INDEX(Raw_D2!$D$2:$D$1001,$AQ627)="","",INDEX(Raw_D2!$D$2:$D$1001,$AQ627)),IF($AR627&lt;&gt;"",IF(INDEX(Raw_D3!$L$2:$L$1001,$AR627)="","",INDEX(Raw_D3!$L$2:$L$1001,$AR627)),"")))</f>
        <v>0.55</v>
      </c>
      <c r="M627" s="17">
        <f>IF($A627="","",IF($AQ627&lt;&gt;"",IF(INDEX(Raw_D2!$E$2:$E$1001,$AQ627)="","",INDEX(Raw_D2!$E$2:$E$1001,$AQ627)),IF($AR627&lt;&gt;"",IF(INDEX(Raw_D3!$M$2:$M$1001,$AR627)="","",INDEX(Raw_D3!$M$2:$M$1001,$AR627)),"")))</f>
        <v>0.1642</v>
      </c>
      <c r="N627" s="5">
        <f>IF($A627="","",IF($AQ627&lt;&gt;"",IF(INDEX(Raw_D2!$F$2:$F$1001,$AQ627)="","",INDEX(Raw_D2!$F$2:$F$1001,$AQ627)),IF($AR627&lt;&gt;"",IF(INDEX(Raw_D3!$N$2:$N$1001,$AR627)="","",INDEX(Raw_D3!$N$2:$N$1001,$AR627)),"")))</f>
        <v>3</v>
      </c>
      <c r="O627" s="5">
        <f>IF($A627="","",IF($AQ627&lt;&gt;"",IF(INDEX(Raw_D2!$G$2:$G$1001,$AQ627)="","",INDEX(Raw_D2!$G$2:$G$1001,$AQ627)),IF($AR627&lt;&gt;"",IF(INDEX(Raw_D3!$O$2:$O$1001,$AR627)="","",INDEX(Raw_D3!$O$2:$O$1001,$AR627)),"")))</f>
        <v>31</v>
      </c>
      <c r="P627" s="5">
        <f>IF($A627="","",IF($AQ627&lt;&gt;"",IF(INDEX(Raw_D2!$H$2:$H$1001,$AQ627)="","",INDEX(Raw_D2!$H$2:$H$1001,$AQ627)),IF($AR627&lt;&gt;"",IF(INDEX(Raw_D3!$P$2:$P$1001,$AR627)="","",INDEX(Raw_D3!$P$2:$P$1001,$AR627)),"")))</f>
        <v>34</v>
      </c>
      <c r="Q627" s="5" t="str">
        <f>IF($A627="","",IF(AND($AP627&lt;&gt;"",$AQ627&lt;&gt;""),"D1+D2",IF($AR627&lt;&gt;"","D3","Incomplete")))</f>
        <v>D3</v>
      </c>
      <c r="R627" s="17">
        <f>IF($A627="","",IF($K627="",IF($J627="","",ROUND(Lookups!$K$5+Lookups!$K$4*$J627,4)),$K627))</f>
        <v>0.197</v>
      </c>
      <c r="S627" s="5" t="str">
        <f>IF($A627="","",IF($K627="","Imputed","Original"))</f>
        <v>Original</v>
      </c>
      <c r="T627" s="5" t="str">
        <f>IF($A627="","",IF($P627="","Missing",IF($P627=$N627+$O627,"OK","Mismatch")))</f>
        <v>OK</v>
      </c>
      <c r="U627" s="5" t="str">
        <f>IF($A627="","",IF(COUNTIF($A$2:$A627,$A627)&gt;1,"Duplicate","Unique"))</f>
        <v>Unique</v>
      </c>
      <c r="V627" s="5">
        <f>IF($A627="","",IF(AND($U627="Unique",ISNUMBER($P627)),1,0))</f>
        <v>1</v>
      </c>
      <c r="W627" s="5" t="str">
        <f>IF($A627="","",IF(OR($H627=0,$H627=6),"Weekend","Weekday"))</f>
        <v>Weekend</v>
      </c>
      <c r="X627" s="5" t="str">
        <f>IF($A627="","",TEXT($B627,"ddd"))</f>
        <v>Sat</v>
      </c>
      <c r="Y627" s="5" t="str">
        <f>IF($A627="","",TEXT($B627,"mmm"))</f>
        <v>Jan</v>
      </c>
      <c r="Z627" s="5" t="str">
        <f>IF($A627="","",IFERROR(VLOOKUP($C627,Lookups!$D$4:$E$7,2,FALSE),"Unknown"))</f>
        <v>Winter</v>
      </c>
      <c r="AA627" s="5" t="str">
        <f>IF($A627="","",IFERROR(VLOOKUP($I627,Lookups!$A$4:$B$7,2,FALSE),"Unknown"))</f>
        <v>Clear</v>
      </c>
      <c r="AB627" s="5" t="str">
        <f>IF($A627="","",TEXT($F627,"00")&amp;":00")</f>
        <v>08:00</v>
      </c>
      <c r="AC627" s="5" t="str">
        <f>IF($A627="","",VLOOKUP($F627,Lookups!$G$4:$H$8,2,TRUE))</f>
        <v>Morning Peak (06-09)</v>
      </c>
      <c r="AD627" s="18">
        <f>IF($A627="","",IF($J627="","",ROUND($J627*41,1)))</f>
        <v>7.4</v>
      </c>
      <c r="AE627" s="18">
        <f>IF($A627="","",IF($R627="","",ROUND($R627*50,1)))</f>
        <v>9.9</v>
      </c>
      <c r="AF627" s="5">
        <f>IF($A627="","",IF($L627="","",ROUND($L627*100,0)))</f>
        <v>55</v>
      </c>
      <c r="AG627" s="18">
        <f>IF($A627="","",IF($M627="","",ROUND($M627*67,1)))</f>
        <v>11</v>
      </c>
      <c r="AH627" s="19">
        <f>IF($A627="","",IF($P627="","",IF($P627=0,0,$O627/$P627)))</f>
        <v>0.911764705882353</v>
      </c>
      <c r="AI627" s="5" t="str">
        <f>IF($A627="","",IF($P627="","",IF($P627&gt;=Lookups!$K$7,"High",IF($P627&lt;=Lookups!$K$8,"Low","Medium"))))</f>
        <v>Medium</v>
      </c>
      <c r="AJ627" s="5" t="str">
        <f>IF($A627="","",IF($AD627="","",IF($AD627&lt;5,"Under 5 C",IF($AD627&lt;10,"5-10 C",IF($AD627&lt;15,"10-15 C","15 C and above")))))</f>
        <v>5-10 C</v>
      </c>
      <c r="AK627" s="5">
        <f>IF($A627="","",IF($P627="","",$P627^2))</f>
        <v>1156</v>
      </c>
      <c r="AL627" s="18">
        <f>IF($V627&lt;&gt;1,"",AVERAGEIFS(Clean_Data!$P$2:$P$1001,Clean_Data!$F$2:$F$1001,$F627,Clean_Data!$W$2:$W$1001,$W627,Clean_Data!$V$2:$V$1001,1))</f>
        <v>17.7857142857143</v>
      </c>
      <c r="AM627" s="16">
        <f>IF($V627&lt;&gt;1,"",IFERROR(($P627-$AL627)/SQRT(MAX(0,(SUMIFS(Clean_Data!$AK$2:$AK$1001,Clean_Data!$F$2:$F$1001,$F627,Clean_Data!$W$2:$W$1001,$W627,Clean_Data!$V$2:$V$1001,1)-COUNTIFS(Clean_Data!$F$2:$F$1001,$F627,Clean_Data!$W$2:$W$1001,$W627,Clean_Data!$V$2:$V$1001,1)*$AL627^2)/(COUNTIFS(Clean_Data!$F$2:$F$1001,$F627,Clean_Data!$W$2:$W$1001,$W627,Clean_Data!$V$2:$V$1001,1)-1))),""))</f>
        <v>1.90643974625579</v>
      </c>
      <c r="AN627" s="5" t="str">
        <f>IF($AM627="","",IF($AM627&gt;=Lookups!$K$6,"High spike",IF($AM627&lt;=-Lookups!$K$6,"Unusual low","Normal")))</f>
        <v>Normal</v>
      </c>
      <c r="AO627" s="20">
        <f>IF($V627&lt;&gt;1,"",$P627+ROW()/100000)</f>
        <v>34.00627</v>
      </c>
      <c r="AP627" s="5">
        <f>IF($A627="","",IFERROR(MATCH($A627,Raw_D1!$A$2:$A$1001,0),""))</f>
        <v/>
      </c>
      <c r="AQ627" s="5">
        <f>IF($A627="","",IFERROR(MATCH($A627,Raw_D2!$B$2:$B$1001,0),""))</f>
        <v/>
      </c>
      <c r="AR627" s="5">
        <f>IF($A627="","",IFERROR(MATCH($A627,Raw_D3!$A$2:$A$1001,0),""))</f>
        <v>7</v>
      </c>
    </row>
    <row r="628" spans="1:44" x14ac:dyDescent="0.25">
      <c r="A628" s="5">
        <v>627</v>
      </c>
      <c r="B628" s="11">
        <f>IF($A628="","",IF($AP628&lt;&gt;"",INDEX(Raw_D1!$B$2:$B$1001,$AP628),IF($AR628&lt;&gt;"",INDEX(Raw_D3!$B$2:$B$1001,$AR628),"")))</f>
        <v>40572.0</v>
      </c>
      <c r="C628" s="5">
        <f>IF($A628="","",IF($AP628&lt;&gt;"",INDEX(Raw_D1!$C$2:$C$1001,$AP628),IF($AR628&lt;&gt;"",INDEX(Raw_D3!$C$2:$C$1001,$AR628),"")))</f>
        <v>1</v>
      </c>
      <c r="D628" s="5">
        <f>IF($A628="","",IF($AP628&lt;&gt;"",INDEX(Raw_D1!$D$2:$D$1001,$AP628),IF($AR628&lt;&gt;"",INDEX(Raw_D3!$D$2:$D$1001,$AR628),"")))</f>
        <v>0</v>
      </c>
      <c r="E628" s="5">
        <f>IF($A628="","",IF($AP628&lt;&gt;"",INDEX(Raw_D1!$E$2:$E$1001,$AP628),IF($AR628&lt;&gt;"",INDEX(Raw_D3!$E$2:$E$1001,$AR628),"")))</f>
        <v>1</v>
      </c>
      <c r="F628" s="5">
        <f>IF($A628="","",IF($AP628&lt;&gt;"",INDEX(Raw_D1!$F$2:$F$1001,$AP628),IF($AR628&lt;&gt;"",INDEX(Raw_D3!$F$2:$F$1001,$AR628),"")))</f>
        <v>9</v>
      </c>
      <c r="G628" s="5">
        <f>IF($A628="","",IF($AP628&lt;&gt;"",IF(INDEX(Raw_D1!$G$2:$G$1001,$AP628),1,0),IF($AR628&lt;&gt;"",IF(INDEX(Raw_D3!$G$2:$G$1001,$AR628),1,0),"")))</f>
        <v>0</v>
      </c>
      <c r="H628" s="5">
        <f>IF($A628="","",IF($AP628&lt;&gt;"",INDEX(Raw_D1!$H$2:$H$1001,$AP628),IF($AR628&lt;&gt;"",INDEX(Raw_D3!$H$2:$H$1001,$AR628),"")))</f>
        <v>6</v>
      </c>
      <c r="I628" s="5">
        <f>IF($A628="","",IF($AP628&lt;&gt;"",INDEX(Raw_D1!$I$2:$I$1001,$AP628),IF($AR628&lt;&gt;"",INDEX(Raw_D3!$I$2:$I$1001,$AR628),"")))</f>
        <v>1</v>
      </c>
      <c r="J628" s="16">
        <f>IF($A628="","",IF($AP628&lt;&gt;"",INDEX(Raw_D1!$J$2:$J$1001,$AP628),IF($AR628&lt;&gt;"",INDEX(Raw_D3!$J$2:$J$1001,$AR628),"")))</f>
        <v>0.18</v>
      </c>
      <c r="K628" s="17">
        <f>IF($A628="","",IF($AQ628&lt;&gt;"",IF(INDEX(Raw_D2!$C$2:$C$1001,$AQ628)="","",INDEX(Raw_D2!$C$2:$C$1001,$AQ628)),IF($AR628&lt;&gt;"",IF(INDEX(Raw_D3!$K$2:$K$1001,$AR628)="","",INDEX(Raw_D3!$K$2:$K$1001,$AR628)),"")))</f>
        <v>0.2121</v>
      </c>
      <c r="L628" s="16">
        <f>IF($A628="","",IF($AQ628&lt;&gt;"",IF(INDEX(Raw_D2!$D$2:$D$1001,$AQ628)="","",INDEX(Raw_D2!$D$2:$D$1001,$AQ628)),IF($AR628&lt;&gt;"",IF(INDEX(Raw_D3!$L$2:$L$1001,$AR628)="","",INDEX(Raw_D3!$L$2:$L$1001,$AR628)),"")))</f>
        <v>0.59</v>
      </c>
      <c r="M628" s="17">
        <f>IF($A628="","",IF($AQ628&lt;&gt;"",IF(INDEX(Raw_D2!$E$2:$E$1001,$AQ628)="","",INDEX(Raw_D2!$E$2:$E$1001,$AQ628)),IF($AR628&lt;&gt;"",IF(INDEX(Raw_D3!$M$2:$M$1001,$AR628)="","",INDEX(Raw_D3!$M$2:$M$1001,$AR628)),"")))</f>
        <v>0.0896</v>
      </c>
      <c r="N628" s="5">
        <f>IF($A628="","",IF($AQ628&lt;&gt;"",IF(INDEX(Raw_D2!$F$2:$F$1001,$AQ628)="","",INDEX(Raw_D2!$F$2:$F$1001,$AQ628)),IF($AR628&lt;&gt;"",IF(INDEX(Raw_D3!$N$2:$N$1001,$AR628)="","",INDEX(Raw_D3!$N$2:$N$1001,$AR628)),"")))</f>
        <v>0</v>
      </c>
      <c r="O628" s="5">
        <f>IF($A628="","",IF($AQ628&lt;&gt;"",IF(INDEX(Raw_D2!$G$2:$G$1001,$AQ628)="","",INDEX(Raw_D2!$G$2:$G$1001,$AQ628)),IF($AR628&lt;&gt;"",IF(INDEX(Raw_D3!$O$2:$O$1001,$AR628)="","",INDEX(Raw_D3!$O$2:$O$1001,$AR628)),"")))</f>
        <v>34</v>
      </c>
      <c r="P628" s="5">
        <f>IF($A628="","",IF($AQ628&lt;&gt;"",IF(INDEX(Raw_D2!$H$2:$H$1001,$AQ628)="","",INDEX(Raw_D2!$H$2:$H$1001,$AQ628)),IF($AR628&lt;&gt;"",IF(INDEX(Raw_D3!$P$2:$P$1001,$AR628)="","",INDEX(Raw_D3!$P$2:$P$1001,$AR628)),"")))</f>
        <v>34</v>
      </c>
      <c r="Q628" s="5" t="str">
        <f>IF($A628="","",IF(AND($AP628&lt;&gt;"",$AQ628&lt;&gt;""),"D1+D2",IF($AR628&lt;&gt;"","D3","Incomplete")))</f>
        <v>D3</v>
      </c>
      <c r="R628" s="17">
        <f>IF($A628="","",IF($K628="",IF($J628="","",ROUND(Lookups!$K$5+Lookups!$K$4*$J628,4)),$K628))</f>
        <v>0.2121</v>
      </c>
      <c r="S628" s="5" t="str">
        <f>IF($A628="","",IF($K628="","Imputed","Original"))</f>
        <v>Original</v>
      </c>
      <c r="T628" s="5" t="str">
        <f>IF($A628="","",IF($P628="","Missing",IF($P628=$N628+$O628,"OK","Mismatch")))</f>
        <v>OK</v>
      </c>
      <c r="U628" s="5" t="str">
        <f>IF($A628="","",IF(COUNTIF($A$2:$A628,$A628)&gt;1,"Duplicate","Unique"))</f>
        <v>Unique</v>
      </c>
      <c r="V628" s="5">
        <f>IF($A628="","",IF(AND($U628="Unique",ISNUMBER($P628)),1,0))</f>
        <v>1</v>
      </c>
      <c r="W628" s="5" t="str">
        <f>IF($A628="","",IF(OR($H628=0,$H628=6),"Weekend","Weekday"))</f>
        <v>Weekend</v>
      </c>
      <c r="X628" s="5" t="str">
        <f>IF($A628="","",TEXT($B628,"ddd"))</f>
        <v>Sat</v>
      </c>
      <c r="Y628" s="5" t="str">
        <f>IF($A628="","",TEXT($B628,"mmm"))</f>
        <v>Jan</v>
      </c>
      <c r="Z628" s="5" t="str">
        <f>IF($A628="","",IFERROR(VLOOKUP($C628,Lookups!$D$4:$E$7,2,FALSE),"Unknown"))</f>
        <v>Winter</v>
      </c>
      <c r="AA628" s="5" t="str">
        <f>IF($A628="","",IFERROR(VLOOKUP($I628,Lookups!$A$4:$B$7,2,FALSE),"Unknown"))</f>
        <v>Clear</v>
      </c>
      <c r="AB628" s="5" t="str">
        <f>IF($A628="","",TEXT($F628,"00")&amp;":00")</f>
        <v>09:00</v>
      </c>
      <c r="AC628" s="5" t="str">
        <f>IF($A628="","",VLOOKUP($F628,Lookups!$G$4:$H$8,2,TRUE))</f>
        <v>Morning Peak (06-09)</v>
      </c>
      <c r="AD628" s="18">
        <f>IF($A628="","",IF($J628="","",ROUND($J628*41,1)))</f>
        <v>7.4</v>
      </c>
      <c r="AE628" s="18">
        <f>IF($A628="","",IF($R628="","",ROUND($R628*50,1)))</f>
        <v>10.6</v>
      </c>
      <c r="AF628" s="5">
        <f>IF($A628="","",IF($L628="","",ROUND($L628*100,0)))</f>
        <v>59</v>
      </c>
      <c r="AG628" s="18">
        <f>IF($A628="","",IF($M628="","",ROUND($M628*67,1)))</f>
        <v>6</v>
      </c>
      <c r="AH628" s="19">
        <f>IF($A628="","",IF($P628="","",IF($P628=0,0,$O628/$P628)))</f>
        <v>1</v>
      </c>
      <c r="AI628" s="5" t="str">
        <f>IF($A628="","",IF($P628="","",IF($P628&gt;=Lookups!$K$7,"High",IF($P628&lt;=Lookups!$K$8,"Low","Medium"))))</f>
        <v>Medium</v>
      </c>
      <c r="AJ628" s="5" t="str">
        <f>IF($A628="","",IF($AD628="","",IF($AD628&lt;5,"Under 5 C",IF($AD628&lt;10,"5-10 C",IF($AD628&lt;15,"10-15 C","15 C and above")))))</f>
        <v>5-10 C</v>
      </c>
      <c r="AK628" s="5">
        <f>IF($A628="","",IF($P628="","",$P628^2))</f>
        <v>1156</v>
      </c>
      <c r="AL628" s="18">
        <f>IF($V628&lt;&gt;1,"",AVERAGEIFS(Clean_Data!$P$2:$P$1001,Clean_Data!$F$2:$F$1001,$F628,Clean_Data!$W$2:$W$1001,$W628,Clean_Data!$V$2:$V$1001,1))</f>
        <v>30.9285714285714</v>
      </c>
      <c r="AM628" s="16">
        <f>IF($V628&lt;&gt;1,"",IFERROR(($P628-$AL628)/SQRT(MAX(0,(SUMIFS(Clean_Data!$AK$2:$AK$1001,Clean_Data!$F$2:$F$1001,$F628,Clean_Data!$W$2:$W$1001,$W628,Clean_Data!$V$2:$V$1001,1)-COUNTIFS(Clean_Data!$F$2:$F$1001,$F628,Clean_Data!$W$2:$W$1001,$W628,Clean_Data!$V$2:$V$1001,1)*$AL628^2)/(COUNTIFS(Clean_Data!$F$2:$F$1001,$F628,Clean_Data!$W$2:$W$1001,$W628,Clean_Data!$V$2:$V$1001,1)-1))),""))</f>
        <v>0.281746087303582</v>
      </c>
      <c r="AN628" s="5" t="str">
        <f>IF($AM628="","",IF($AM628&gt;=Lookups!$K$6,"High spike",IF($AM628&lt;=-Lookups!$K$6,"Unusual low","Normal")))</f>
        <v>Normal</v>
      </c>
      <c r="AO628" s="20">
        <f>IF($V628&lt;&gt;1,"",$P628+ROW()/100000)</f>
        <v>34.00628</v>
      </c>
      <c r="AP628" s="5">
        <f>IF($A628="","",IFERROR(MATCH($A628,Raw_D1!$A$2:$A$1001,0),""))</f>
        <v/>
      </c>
      <c r="AQ628" s="5">
        <f>IF($A628="","",IFERROR(MATCH($A628,Raw_D2!$B$2:$B$1001,0),""))</f>
        <v/>
      </c>
      <c r="AR628" s="5">
        <f>IF($A628="","",IFERROR(MATCH($A628,Raw_D3!$A$2:$A$1001,0),""))</f>
        <v>8</v>
      </c>
    </row>
    <row r="629" spans="1:44" x14ac:dyDescent="0.25">
      <c r="A629" s="5">
        <v>628</v>
      </c>
      <c r="B629" s="11">
        <f>IF($A629="","",IF($AP629&lt;&gt;"",INDEX(Raw_D1!$B$2:$B$1001,$AP629),IF($AR629&lt;&gt;"",INDEX(Raw_D3!$B$2:$B$1001,$AR629),"")))</f>
        <v>40572.0</v>
      </c>
      <c r="C629" s="5">
        <f>IF($A629="","",IF($AP629&lt;&gt;"",INDEX(Raw_D1!$C$2:$C$1001,$AP629),IF($AR629&lt;&gt;"",INDEX(Raw_D3!$C$2:$C$1001,$AR629),"")))</f>
        <v>1</v>
      </c>
      <c r="D629" s="5">
        <f>IF($A629="","",IF($AP629&lt;&gt;"",INDEX(Raw_D1!$D$2:$D$1001,$AP629),IF($AR629&lt;&gt;"",INDEX(Raw_D3!$D$2:$D$1001,$AR629),"")))</f>
        <v>0</v>
      </c>
      <c r="E629" s="5">
        <f>IF($A629="","",IF($AP629&lt;&gt;"",INDEX(Raw_D1!$E$2:$E$1001,$AP629),IF($AR629&lt;&gt;"",INDEX(Raw_D3!$E$2:$E$1001,$AR629),"")))</f>
        <v>1</v>
      </c>
      <c r="F629" s="5">
        <f>IF($A629="","",IF($AP629&lt;&gt;"",INDEX(Raw_D1!$F$2:$F$1001,$AP629),IF($AR629&lt;&gt;"",INDEX(Raw_D3!$F$2:$F$1001,$AR629),"")))</f>
        <v>10</v>
      </c>
      <c r="G629" s="5">
        <f>IF($A629="","",IF($AP629&lt;&gt;"",IF(INDEX(Raw_D1!$G$2:$G$1001,$AP629),1,0),IF($AR629&lt;&gt;"",IF(INDEX(Raw_D3!$G$2:$G$1001,$AR629),1,0),"")))</f>
        <v>0</v>
      </c>
      <c r="H629" s="5">
        <f>IF($A629="","",IF($AP629&lt;&gt;"",INDEX(Raw_D1!$H$2:$H$1001,$AP629),IF($AR629&lt;&gt;"",INDEX(Raw_D3!$H$2:$H$1001,$AR629),"")))</f>
        <v>6</v>
      </c>
      <c r="I629" s="5">
        <f>IF($A629="","",IF($AP629&lt;&gt;"",INDEX(Raw_D1!$I$2:$I$1001,$AP629),IF($AR629&lt;&gt;"",INDEX(Raw_D3!$I$2:$I$1001,$AR629),"")))</f>
        <v>2</v>
      </c>
      <c r="J629" s="16">
        <f>IF($A629="","",IF($AP629&lt;&gt;"",INDEX(Raw_D1!$J$2:$J$1001,$AP629),IF($AR629&lt;&gt;"",INDEX(Raw_D3!$J$2:$J$1001,$AR629),"")))</f>
        <v>0.18</v>
      </c>
      <c r="K629" s="17">
        <f>IF($A629="","",IF($AQ629&lt;&gt;"",IF(INDEX(Raw_D2!$C$2:$C$1001,$AQ629)="","",INDEX(Raw_D2!$C$2:$C$1001,$AQ629)),IF($AR629&lt;&gt;"",IF(INDEX(Raw_D3!$K$2:$K$1001,$AR629)="","",INDEX(Raw_D3!$K$2:$K$1001,$AR629)),"")))</f>
        <v>0.2121</v>
      </c>
      <c r="L629" s="16">
        <f>IF($A629="","",IF($AQ629&lt;&gt;"",IF(INDEX(Raw_D2!$D$2:$D$1001,$AQ629)="","",INDEX(Raw_D2!$D$2:$D$1001,$AQ629)),IF($AR629&lt;&gt;"",IF(INDEX(Raw_D3!$L$2:$L$1001,$AR629)="","",INDEX(Raw_D3!$L$2:$L$1001,$AR629)),"")))</f>
        <v>0.64</v>
      </c>
      <c r="M629" s="17">
        <f>IF($A629="","",IF($AQ629&lt;&gt;"",IF(INDEX(Raw_D2!$E$2:$E$1001,$AQ629)="","",INDEX(Raw_D2!$E$2:$E$1001,$AQ629)),IF($AR629&lt;&gt;"",IF(INDEX(Raw_D3!$M$2:$M$1001,$AR629)="","",INDEX(Raw_D3!$M$2:$M$1001,$AR629)),"")))</f>
        <v>0.1045</v>
      </c>
      <c r="N629" s="5">
        <f>IF($A629="","",IF($AQ629&lt;&gt;"",IF(INDEX(Raw_D2!$F$2:$F$1001,$AQ629)="","",INDEX(Raw_D2!$F$2:$F$1001,$AQ629)),IF($AR629&lt;&gt;"",IF(INDEX(Raw_D3!$N$2:$N$1001,$AR629)="","",INDEX(Raw_D3!$N$2:$N$1001,$AR629)),"")))</f>
        <v>4</v>
      </c>
      <c r="O629" s="5">
        <f>IF($A629="","",IF($AQ629&lt;&gt;"",IF(INDEX(Raw_D2!$G$2:$G$1001,$AQ629)="","",INDEX(Raw_D2!$G$2:$G$1001,$AQ629)),IF($AR629&lt;&gt;"",IF(INDEX(Raw_D3!$O$2:$O$1001,$AR629)="","",INDEX(Raw_D3!$O$2:$O$1001,$AR629)),"")))</f>
        <v>51</v>
      </c>
      <c r="P629" s="5">
        <f>IF($A629="","",IF($AQ629&lt;&gt;"",IF(INDEX(Raw_D2!$H$2:$H$1001,$AQ629)="","",INDEX(Raw_D2!$H$2:$H$1001,$AQ629)),IF($AR629&lt;&gt;"",IF(INDEX(Raw_D3!$P$2:$P$1001,$AR629)="","",INDEX(Raw_D3!$P$2:$P$1001,$AR629)),"")))</f>
        <v>55</v>
      </c>
      <c r="Q629" s="5" t="str">
        <f>IF($A629="","",IF(AND($AP629&lt;&gt;"",$AQ629&lt;&gt;""),"D1+D2",IF($AR629&lt;&gt;"","D3","Incomplete")))</f>
        <v>D3</v>
      </c>
      <c r="R629" s="17">
        <f>IF($A629="","",IF($K629="",IF($J629="","",ROUND(Lookups!$K$5+Lookups!$K$4*$J629,4)),$K629))</f>
        <v>0.2121</v>
      </c>
      <c r="S629" s="5" t="str">
        <f>IF($A629="","",IF($K629="","Imputed","Original"))</f>
        <v>Original</v>
      </c>
      <c r="T629" s="5" t="str">
        <f>IF($A629="","",IF($P629="","Missing",IF($P629=$N629+$O629,"OK","Mismatch")))</f>
        <v>OK</v>
      </c>
      <c r="U629" s="5" t="str">
        <f>IF($A629="","",IF(COUNTIF($A$2:$A629,$A629)&gt;1,"Duplicate","Unique"))</f>
        <v>Unique</v>
      </c>
      <c r="V629" s="5">
        <f>IF($A629="","",IF(AND($U629="Unique",ISNUMBER($P629)),1,0))</f>
        <v>1</v>
      </c>
      <c r="W629" s="5" t="str">
        <f>IF($A629="","",IF(OR($H629=0,$H629=6),"Weekend","Weekday"))</f>
        <v>Weekend</v>
      </c>
      <c r="X629" s="5" t="str">
        <f>IF($A629="","",TEXT($B629,"ddd"))</f>
        <v>Sat</v>
      </c>
      <c r="Y629" s="5" t="str">
        <f>IF($A629="","",TEXT($B629,"mmm"))</f>
        <v>Jan</v>
      </c>
      <c r="Z629" s="5" t="str">
        <f>IF($A629="","",IFERROR(VLOOKUP($C629,Lookups!$D$4:$E$7,2,FALSE),"Unknown"))</f>
        <v>Winter</v>
      </c>
      <c r="AA629" s="5" t="str">
        <f>IF($A629="","",IFERROR(VLOOKUP($I629,Lookups!$A$4:$B$7,2,FALSE),"Unknown"))</f>
        <v>Mist/Cloudy</v>
      </c>
      <c r="AB629" s="5" t="str">
        <f>IF($A629="","",TEXT($F629,"00")&amp;":00")</f>
        <v>10:00</v>
      </c>
      <c r="AC629" s="5" t="str">
        <f>IF($A629="","",VLOOKUP($F629,Lookups!$G$4:$H$8,2,TRUE))</f>
        <v>Midday (10-15)</v>
      </c>
      <c r="AD629" s="18">
        <f>IF($A629="","",IF($J629="","",ROUND($J629*41,1)))</f>
        <v>7.4</v>
      </c>
      <c r="AE629" s="18">
        <f>IF($A629="","",IF($R629="","",ROUND($R629*50,1)))</f>
        <v>10.6</v>
      </c>
      <c r="AF629" s="5">
        <f>IF($A629="","",IF($L629="","",ROUND($L629*100,0)))</f>
        <v>64</v>
      </c>
      <c r="AG629" s="18">
        <f>IF($A629="","",IF($M629="","",ROUND($M629*67,1)))</f>
        <v>7</v>
      </c>
      <c r="AH629" s="19">
        <f>IF($A629="","",IF($P629="","",IF($P629=0,0,$O629/$P629)))</f>
        <v>0.927272727272727</v>
      </c>
      <c r="AI629" s="5" t="str">
        <f>IF($A629="","",IF($P629="","",IF($P629&gt;=Lookups!$K$7,"High",IF($P629&lt;=Lookups!$K$8,"Low","Medium"))))</f>
        <v>Medium</v>
      </c>
      <c r="AJ629" s="5" t="str">
        <f>IF($A629="","",IF($AD629="","",IF($AD629&lt;5,"Under 5 C",IF($AD629&lt;10,"5-10 C",IF($AD629&lt;15,"10-15 C","15 C and above")))))</f>
        <v>5-10 C</v>
      </c>
      <c r="AK629" s="5">
        <f>IF($A629="","",IF($P629="","",$P629^2))</f>
        <v>3025</v>
      </c>
      <c r="AL629" s="18">
        <f>IF($V629&lt;&gt;1,"",AVERAGEIFS(Clean_Data!$P$2:$P$1001,Clean_Data!$F$2:$F$1001,$F629,Clean_Data!$W$2:$W$1001,$W629,Clean_Data!$V$2:$V$1001,1))</f>
        <v>62.7857142857143</v>
      </c>
      <c r="AM629" s="16">
        <f>IF($V629&lt;&gt;1,"",IFERROR(($P629-$AL629)/SQRT(MAX(0,(SUMIFS(Clean_Data!$AK$2:$AK$1001,Clean_Data!$F$2:$F$1001,$F629,Clean_Data!$W$2:$W$1001,$W629,Clean_Data!$V$2:$V$1001,1)-COUNTIFS(Clean_Data!$F$2:$F$1001,$F629,Clean_Data!$W$2:$W$1001,$W629,Clean_Data!$V$2:$V$1001,1)*$AL629^2)/(COUNTIFS(Clean_Data!$F$2:$F$1001,$F629,Clean_Data!$W$2:$W$1001,$W629,Clean_Data!$V$2:$V$1001,1)-1))),""))</f>
        <v>-0.388823992887583</v>
      </c>
      <c r="AN629" s="5" t="str">
        <f>IF($AM629="","",IF($AM629&gt;=Lookups!$K$6,"High spike",IF($AM629&lt;=-Lookups!$K$6,"Unusual low","Normal")))</f>
        <v>Normal</v>
      </c>
      <c r="AO629" s="20">
        <f>IF($V629&lt;&gt;1,"",$P629+ROW()/100000)</f>
        <v>55.00629</v>
      </c>
      <c r="AP629" s="5">
        <f>IF($A629="","",IFERROR(MATCH($A629,Raw_D1!$A$2:$A$1001,0),""))</f>
        <v/>
      </c>
      <c r="AQ629" s="5">
        <f>IF($A629="","",IFERROR(MATCH($A629,Raw_D2!$B$2:$B$1001,0),""))</f>
        <v/>
      </c>
      <c r="AR629" s="5">
        <f>IF($A629="","",IFERROR(MATCH($A629,Raw_D3!$A$2:$A$1001,0),""))</f>
        <v>9</v>
      </c>
    </row>
    <row r="630" spans="1:44" x14ac:dyDescent="0.25">
      <c r="A630" s="5">
        <v>629</v>
      </c>
      <c r="B630" s="11">
        <f>IF($A630="","",IF($AP630&lt;&gt;"",INDEX(Raw_D1!$B$2:$B$1001,$AP630),IF($AR630&lt;&gt;"",INDEX(Raw_D3!$B$2:$B$1001,$AR630),"")))</f>
        <v>40572.0</v>
      </c>
      <c r="C630" s="5">
        <f>IF($A630="","",IF($AP630&lt;&gt;"",INDEX(Raw_D1!$C$2:$C$1001,$AP630),IF($AR630&lt;&gt;"",INDEX(Raw_D3!$C$2:$C$1001,$AR630),"")))</f>
        <v>1</v>
      </c>
      <c r="D630" s="5">
        <f>IF($A630="","",IF($AP630&lt;&gt;"",INDEX(Raw_D1!$D$2:$D$1001,$AP630),IF($AR630&lt;&gt;"",INDEX(Raw_D3!$D$2:$D$1001,$AR630),"")))</f>
        <v>0</v>
      </c>
      <c r="E630" s="5">
        <f>IF($A630="","",IF($AP630&lt;&gt;"",INDEX(Raw_D1!$E$2:$E$1001,$AP630),IF($AR630&lt;&gt;"",INDEX(Raw_D3!$E$2:$E$1001,$AR630),"")))</f>
        <v>1</v>
      </c>
      <c r="F630" s="5">
        <f>IF($A630="","",IF($AP630&lt;&gt;"",INDEX(Raw_D1!$F$2:$F$1001,$AP630),IF($AR630&lt;&gt;"",INDEX(Raw_D3!$F$2:$F$1001,$AR630),"")))</f>
        <v>11</v>
      </c>
      <c r="G630" s="5">
        <f>IF($A630="","",IF($AP630&lt;&gt;"",IF(INDEX(Raw_D1!$G$2:$G$1001,$AP630),1,0),IF($AR630&lt;&gt;"",IF(INDEX(Raw_D3!$G$2:$G$1001,$AR630),1,0),"")))</f>
        <v>0</v>
      </c>
      <c r="H630" s="5">
        <f>IF($A630="","",IF($AP630&lt;&gt;"",INDEX(Raw_D1!$H$2:$H$1001,$AP630),IF($AR630&lt;&gt;"",INDEX(Raw_D3!$H$2:$H$1001,$AR630),"")))</f>
        <v>6</v>
      </c>
      <c r="I630" s="5">
        <f>IF($A630="","",IF($AP630&lt;&gt;"",INDEX(Raw_D1!$I$2:$I$1001,$AP630),IF($AR630&lt;&gt;"",INDEX(Raw_D3!$I$2:$I$1001,$AR630),"")))</f>
        <v>2</v>
      </c>
      <c r="J630" s="16">
        <f>IF($A630="","",IF($AP630&lt;&gt;"",INDEX(Raw_D1!$J$2:$J$1001,$AP630),IF($AR630&lt;&gt;"",INDEX(Raw_D3!$J$2:$J$1001,$AR630),"")))</f>
        <v>0.18</v>
      </c>
      <c r="K630" s="17">
        <f>IF($A630="","",IF($AQ630&lt;&gt;"",IF(INDEX(Raw_D2!$C$2:$C$1001,$AQ630)="","",INDEX(Raw_D2!$C$2:$C$1001,$AQ630)),IF($AR630&lt;&gt;"",IF(INDEX(Raw_D3!$K$2:$K$1001,$AR630)="","",INDEX(Raw_D3!$K$2:$K$1001,$AR630)),"")))</f>
        <v>0.197</v>
      </c>
      <c r="L630" s="16">
        <f>IF($A630="","",IF($AQ630&lt;&gt;"",IF(INDEX(Raw_D2!$D$2:$D$1001,$AQ630)="","",INDEX(Raw_D2!$D$2:$D$1001,$AQ630)),IF($AR630&lt;&gt;"",IF(INDEX(Raw_D3!$L$2:$L$1001,$AR630)="","",INDEX(Raw_D3!$L$2:$L$1001,$AR630)),"")))</f>
        <v>0.64</v>
      </c>
      <c r="M630" s="17">
        <f>IF($A630="","",IF($AQ630&lt;&gt;"",IF(INDEX(Raw_D2!$E$2:$E$1001,$AQ630)="","",INDEX(Raw_D2!$E$2:$E$1001,$AQ630)),IF($AR630&lt;&gt;"",IF(INDEX(Raw_D3!$M$2:$M$1001,$AR630)="","",INDEX(Raw_D3!$M$2:$M$1001,$AR630)),"")))</f>
        <v>0.1343</v>
      </c>
      <c r="N630" s="5">
        <f>IF($A630="","",IF($AQ630&lt;&gt;"",IF(INDEX(Raw_D2!$F$2:$F$1001,$AQ630)="","",INDEX(Raw_D2!$F$2:$F$1001,$AQ630)),IF($AR630&lt;&gt;"",IF(INDEX(Raw_D3!$N$2:$N$1001,$AR630)="","",INDEX(Raw_D3!$N$2:$N$1001,$AR630)),"")))</f>
        <v>4</v>
      </c>
      <c r="O630" s="5">
        <f>IF($A630="","",IF($AQ630&lt;&gt;"",IF(INDEX(Raw_D2!$G$2:$G$1001,$AQ630)="","",INDEX(Raw_D2!$G$2:$G$1001,$AQ630)),IF($AR630&lt;&gt;"",IF(INDEX(Raw_D3!$O$2:$O$1001,$AR630)="","",INDEX(Raw_D3!$O$2:$O$1001,$AR630)),"")))</f>
        <v>60</v>
      </c>
      <c r="P630" s="5">
        <f>IF($A630="","",IF($AQ630&lt;&gt;"",IF(INDEX(Raw_D2!$H$2:$H$1001,$AQ630)="","",INDEX(Raw_D2!$H$2:$H$1001,$AQ630)),IF($AR630&lt;&gt;"",IF(INDEX(Raw_D3!$P$2:$P$1001,$AR630)="","",INDEX(Raw_D3!$P$2:$P$1001,$AR630)),"")))</f>
        <v>64</v>
      </c>
      <c r="Q630" s="5" t="str">
        <f>IF($A630="","",IF(AND($AP630&lt;&gt;"",$AQ630&lt;&gt;""),"D1+D2",IF($AR630&lt;&gt;"","D3","Incomplete")))</f>
        <v>D3</v>
      </c>
      <c r="R630" s="17">
        <f>IF($A630="","",IF($K630="",IF($J630="","",ROUND(Lookups!$K$5+Lookups!$K$4*$J630,4)),$K630))</f>
        <v>0.197</v>
      </c>
      <c r="S630" s="5" t="str">
        <f>IF($A630="","",IF($K630="","Imputed","Original"))</f>
        <v>Original</v>
      </c>
      <c r="T630" s="5" t="str">
        <f>IF($A630="","",IF($P630="","Missing",IF($P630=$N630+$O630,"OK","Mismatch")))</f>
        <v>OK</v>
      </c>
      <c r="U630" s="5" t="str">
        <f>IF($A630="","",IF(COUNTIF($A$2:$A630,$A630)&gt;1,"Duplicate","Unique"))</f>
        <v>Unique</v>
      </c>
      <c r="V630" s="5">
        <f>IF($A630="","",IF(AND($U630="Unique",ISNUMBER($P630)),1,0))</f>
        <v>1</v>
      </c>
      <c r="W630" s="5" t="str">
        <f>IF($A630="","",IF(OR($H630=0,$H630=6),"Weekend","Weekday"))</f>
        <v>Weekend</v>
      </c>
      <c r="X630" s="5" t="str">
        <f>IF($A630="","",TEXT($B630,"ddd"))</f>
        <v>Sat</v>
      </c>
      <c r="Y630" s="5" t="str">
        <f>IF($A630="","",TEXT($B630,"mmm"))</f>
        <v>Jan</v>
      </c>
      <c r="Z630" s="5" t="str">
        <f>IF($A630="","",IFERROR(VLOOKUP($C630,Lookups!$D$4:$E$7,2,FALSE),"Unknown"))</f>
        <v>Winter</v>
      </c>
      <c r="AA630" s="5" t="str">
        <f>IF($A630="","",IFERROR(VLOOKUP($I630,Lookups!$A$4:$B$7,2,FALSE),"Unknown"))</f>
        <v>Mist/Cloudy</v>
      </c>
      <c r="AB630" s="5" t="str">
        <f>IF($A630="","",TEXT($F630,"00")&amp;":00")</f>
        <v>11:00</v>
      </c>
      <c r="AC630" s="5" t="str">
        <f>IF($A630="","",VLOOKUP($F630,Lookups!$G$4:$H$8,2,TRUE))</f>
        <v>Midday (10-15)</v>
      </c>
      <c r="AD630" s="18">
        <f>IF($A630="","",IF($J630="","",ROUND($J630*41,1)))</f>
        <v>7.4</v>
      </c>
      <c r="AE630" s="18">
        <f>IF($A630="","",IF($R630="","",ROUND($R630*50,1)))</f>
        <v>9.9</v>
      </c>
      <c r="AF630" s="5">
        <f>IF($A630="","",IF($L630="","",ROUND($L630*100,0)))</f>
        <v>64</v>
      </c>
      <c r="AG630" s="18">
        <f>IF($A630="","",IF($M630="","",ROUND($M630*67,1)))</f>
        <v>9</v>
      </c>
      <c r="AH630" s="19">
        <f>IF($A630="","",IF($P630="","",IF($P630=0,0,$O630/$P630)))</f>
        <v>0.9375</v>
      </c>
      <c r="AI630" s="5" t="str">
        <f>IF($A630="","",IF($P630="","",IF($P630&gt;=Lookups!$K$7,"High",IF($P630&lt;=Lookups!$K$8,"Low","Medium"))))</f>
        <v>Medium</v>
      </c>
      <c r="AJ630" s="5" t="str">
        <f>IF($A630="","",IF($AD630="","",IF($AD630&lt;5,"Under 5 C",IF($AD630&lt;10,"5-10 C",IF($AD630&lt;15,"10-15 C","15 C and above")))))</f>
        <v>5-10 C</v>
      </c>
      <c r="AK630" s="5">
        <f>IF($A630="","",IF($P630="","",$P630^2))</f>
        <v>4096</v>
      </c>
      <c r="AL630" s="18">
        <f>IF($V630&lt;&gt;1,"",AVERAGEIFS(Clean_Data!$P$2:$P$1001,Clean_Data!$F$2:$F$1001,$F630,Clean_Data!$W$2:$W$1001,$W630,Clean_Data!$V$2:$V$1001,1))</f>
        <v>76.9285714285714</v>
      </c>
      <c r="AM630" s="16">
        <f>IF($V630&lt;&gt;1,"",IFERROR(($P630-$AL630)/SQRT(MAX(0,(SUMIFS(Clean_Data!$AK$2:$AK$1001,Clean_Data!$F$2:$F$1001,$F630,Clean_Data!$W$2:$W$1001,$W630,Clean_Data!$V$2:$V$1001,1)-COUNTIFS(Clean_Data!$F$2:$F$1001,$F630,Clean_Data!$W$2:$W$1001,$W630,Clean_Data!$V$2:$V$1001,1)*$AL630^2)/(COUNTIFS(Clean_Data!$F$2:$F$1001,$F630,Clean_Data!$W$2:$W$1001,$W630,Clean_Data!$V$2:$V$1001,1)-1))),""))</f>
        <v>-0.519645465806898</v>
      </c>
      <c r="AN630" s="5" t="str">
        <f>IF($AM630="","",IF($AM630&gt;=Lookups!$K$6,"High spike",IF($AM630&lt;=-Lookups!$K$6,"Unusual low","Normal")))</f>
        <v>Normal</v>
      </c>
      <c r="AO630" s="20">
        <f>IF($V630&lt;&gt;1,"",$P630+ROW()/100000)</f>
        <v>64.0063</v>
      </c>
      <c r="AP630" s="5">
        <f>IF($A630="","",IFERROR(MATCH($A630,Raw_D1!$A$2:$A$1001,0),""))</f>
        <v/>
      </c>
      <c r="AQ630" s="5">
        <f>IF($A630="","",IFERROR(MATCH($A630,Raw_D2!$B$2:$B$1001,0),""))</f>
        <v/>
      </c>
      <c r="AR630" s="5">
        <f>IF($A630="","",IFERROR(MATCH($A630,Raw_D3!$A$2:$A$1001,0),""))</f>
        <v>10</v>
      </c>
    </row>
    <row r="631" spans="1:44" x14ac:dyDescent="0.25">
      <c r="A631" s="5">
        <v>630</v>
      </c>
      <c r="B631" s="11">
        <f>IF($A631="","",IF($AP631&lt;&gt;"",INDEX(Raw_D1!$B$2:$B$1001,$AP631),IF($AR631&lt;&gt;"",INDEX(Raw_D3!$B$2:$B$1001,$AR631),"")))</f>
        <v>40572.0</v>
      </c>
      <c r="C631" s="5">
        <f>IF($A631="","",IF($AP631&lt;&gt;"",INDEX(Raw_D1!$C$2:$C$1001,$AP631),IF($AR631&lt;&gt;"",INDEX(Raw_D3!$C$2:$C$1001,$AR631),"")))</f>
        <v>1</v>
      </c>
      <c r="D631" s="5">
        <f>IF($A631="","",IF($AP631&lt;&gt;"",INDEX(Raw_D1!$D$2:$D$1001,$AP631),IF($AR631&lt;&gt;"",INDEX(Raw_D3!$D$2:$D$1001,$AR631),"")))</f>
        <v>0</v>
      </c>
      <c r="E631" s="5">
        <f>IF($A631="","",IF($AP631&lt;&gt;"",INDEX(Raw_D1!$E$2:$E$1001,$AP631),IF($AR631&lt;&gt;"",INDEX(Raw_D3!$E$2:$E$1001,$AR631),"")))</f>
        <v>1</v>
      </c>
      <c r="F631" s="5">
        <f>IF($A631="","",IF($AP631&lt;&gt;"",INDEX(Raw_D1!$F$2:$F$1001,$AP631),IF($AR631&lt;&gt;"",INDEX(Raw_D3!$F$2:$F$1001,$AR631),"")))</f>
        <v>12</v>
      </c>
      <c r="G631" s="5">
        <f>IF($A631="","",IF($AP631&lt;&gt;"",IF(INDEX(Raw_D1!$G$2:$G$1001,$AP631),1,0),IF($AR631&lt;&gt;"",IF(INDEX(Raw_D3!$G$2:$G$1001,$AR631),1,0),"")))</f>
        <v>0</v>
      </c>
      <c r="H631" s="5">
        <f>IF($A631="","",IF($AP631&lt;&gt;"",INDEX(Raw_D1!$H$2:$H$1001,$AP631),IF($AR631&lt;&gt;"",INDEX(Raw_D3!$H$2:$H$1001,$AR631),"")))</f>
        <v>6</v>
      </c>
      <c r="I631" s="5">
        <f>IF($A631="","",IF($AP631&lt;&gt;"",INDEX(Raw_D1!$I$2:$I$1001,$AP631),IF($AR631&lt;&gt;"",INDEX(Raw_D3!$I$2:$I$1001,$AR631),"")))</f>
        <v>2</v>
      </c>
      <c r="J631" s="16">
        <f>IF($A631="","",IF($AP631&lt;&gt;"",INDEX(Raw_D1!$J$2:$J$1001,$AP631),IF($AR631&lt;&gt;"",INDEX(Raw_D3!$J$2:$J$1001,$AR631),"")))</f>
        <v>0.2</v>
      </c>
      <c r="K631" s="17">
        <f>IF($A631="","",IF($AQ631&lt;&gt;"",IF(INDEX(Raw_D2!$C$2:$C$1001,$AQ631)="","",INDEX(Raw_D2!$C$2:$C$1001,$AQ631)),IF($AR631&lt;&gt;"",IF(INDEX(Raw_D3!$K$2:$K$1001,$AR631)="","",INDEX(Raw_D3!$K$2:$K$1001,$AR631)),"")))</f>
        <v>0.197</v>
      </c>
      <c r="L631" s="16">
        <f>IF($A631="","",IF($AQ631&lt;&gt;"",IF(INDEX(Raw_D2!$D$2:$D$1001,$AQ631)="","",INDEX(Raw_D2!$D$2:$D$1001,$AQ631)),IF($AR631&lt;&gt;"",IF(INDEX(Raw_D3!$L$2:$L$1001,$AR631)="","",INDEX(Raw_D3!$L$2:$L$1001,$AR631)),"")))</f>
        <v>0.59</v>
      </c>
      <c r="M631" s="17">
        <f>IF($A631="","",IF($AQ631&lt;&gt;"",IF(INDEX(Raw_D2!$E$2:$E$1001,$AQ631)="","",INDEX(Raw_D2!$E$2:$E$1001,$AQ631)),IF($AR631&lt;&gt;"",IF(INDEX(Raw_D3!$M$2:$M$1001,$AR631)="","",INDEX(Raw_D3!$M$2:$M$1001,$AR631)),"")))</f>
        <v>0.194</v>
      </c>
      <c r="N631" s="5">
        <f>IF($A631="","",IF($AQ631&lt;&gt;"",IF(INDEX(Raw_D2!$F$2:$F$1001,$AQ631)="","",INDEX(Raw_D2!$F$2:$F$1001,$AQ631)),IF($AR631&lt;&gt;"",IF(INDEX(Raw_D3!$N$2:$N$1001,$AR631)="","",INDEX(Raw_D3!$N$2:$N$1001,$AR631)),"")))</f>
        <v>12</v>
      </c>
      <c r="O631" s="5">
        <f>IF($A631="","",IF($AQ631&lt;&gt;"",IF(INDEX(Raw_D2!$G$2:$G$1001,$AQ631)="","",INDEX(Raw_D2!$G$2:$G$1001,$AQ631)),IF($AR631&lt;&gt;"",IF(INDEX(Raw_D3!$O$2:$O$1001,$AR631)="","",INDEX(Raw_D3!$O$2:$O$1001,$AR631)),"")))</f>
        <v>66</v>
      </c>
      <c r="P631" s="5">
        <f>IF($A631="","",IF($AQ631&lt;&gt;"",IF(INDEX(Raw_D2!$H$2:$H$1001,$AQ631)="","",INDEX(Raw_D2!$H$2:$H$1001,$AQ631)),IF($AR631&lt;&gt;"",IF(INDEX(Raw_D3!$P$2:$P$1001,$AR631)="","",INDEX(Raw_D3!$P$2:$P$1001,$AR631)),"")))</f>
        <v>78</v>
      </c>
      <c r="Q631" s="5" t="str">
        <f>IF($A631="","",IF(AND($AP631&lt;&gt;"",$AQ631&lt;&gt;""),"D1+D2",IF($AR631&lt;&gt;"","D3","Incomplete")))</f>
        <v>D3</v>
      </c>
      <c r="R631" s="17">
        <f>IF($A631="","",IF($K631="",IF($J631="","",ROUND(Lookups!$K$5+Lookups!$K$4*$J631,4)),$K631))</f>
        <v>0.197</v>
      </c>
      <c r="S631" s="5" t="str">
        <f>IF($A631="","",IF($K631="","Imputed","Original"))</f>
        <v>Original</v>
      </c>
      <c r="T631" s="5" t="str">
        <f>IF($A631="","",IF($P631="","Missing",IF($P631=$N631+$O631,"OK","Mismatch")))</f>
        <v>OK</v>
      </c>
      <c r="U631" s="5" t="str">
        <f>IF($A631="","",IF(COUNTIF($A$2:$A631,$A631)&gt;1,"Duplicate","Unique"))</f>
        <v>Unique</v>
      </c>
      <c r="V631" s="5">
        <f>IF($A631="","",IF(AND($U631="Unique",ISNUMBER($P631)),1,0))</f>
        <v>1</v>
      </c>
      <c r="W631" s="5" t="str">
        <f>IF($A631="","",IF(OR($H631=0,$H631=6),"Weekend","Weekday"))</f>
        <v>Weekend</v>
      </c>
      <c r="X631" s="5" t="str">
        <f>IF($A631="","",TEXT($B631,"ddd"))</f>
        <v>Sat</v>
      </c>
      <c r="Y631" s="5" t="str">
        <f>IF($A631="","",TEXT($B631,"mmm"))</f>
        <v>Jan</v>
      </c>
      <c r="Z631" s="5" t="str">
        <f>IF($A631="","",IFERROR(VLOOKUP($C631,Lookups!$D$4:$E$7,2,FALSE),"Unknown"))</f>
        <v>Winter</v>
      </c>
      <c r="AA631" s="5" t="str">
        <f>IF($A631="","",IFERROR(VLOOKUP($I631,Lookups!$A$4:$B$7,2,FALSE),"Unknown"))</f>
        <v>Mist/Cloudy</v>
      </c>
      <c r="AB631" s="5" t="str">
        <f>IF($A631="","",TEXT($F631,"00")&amp;":00")</f>
        <v>12:00</v>
      </c>
      <c r="AC631" s="5" t="str">
        <f>IF($A631="","",VLOOKUP($F631,Lookups!$G$4:$H$8,2,TRUE))</f>
        <v>Midday (10-15)</v>
      </c>
      <c r="AD631" s="18">
        <f>IF($A631="","",IF($J631="","",ROUND($J631*41,1)))</f>
        <v>8.2</v>
      </c>
      <c r="AE631" s="18">
        <f>IF($A631="","",IF($R631="","",ROUND($R631*50,1)))</f>
        <v>9.9</v>
      </c>
      <c r="AF631" s="5">
        <f>IF($A631="","",IF($L631="","",ROUND($L631*100,0)))</f>
        <v>59</v>
      </c>
      <c r="AG631" s="18">
        <f>IF($A631="","",IF($M631="","",ROUND($M631*67,1)))</f>
        <v>13</v>
      </c>
      <c r="AH631" s="19">
        <f>IF($A631="","",IF($P631="","",IF($P631=0,0,$O631/$P631)))</f>
        <v>0.846153846153846</v>
      </c>
      <c r="AI631" s="5" t="str">
        <f>IF($A631="","",IF($P631="","",IF($P631&gt;=Lookups!$K$7,"High",IF($P631&lt;=Lookups!$K$8,"Low","Medium"))))</f>
        <v>Medium</v>
      </c>
      <c r="AJ631" s="5" t="str">
        <f>IF($A631="","",IF($AD631="","",IF($AD631&lt;5,"Under 5 C",IF($AD631&lt;10,"5-10 C",IF($AD631&lt;15,"10-15 C","15 C and above")))))</f>
        <v>5-10 C</v>
      </c>
      <c r="AK631" s="5">
        <f>IF($A631="","",IF($P631="","",$P631^2))</f>
        <v>6084</v>
      </c>
      <c r="AL631" s="18">
        <f>IF($V631&lt;&gt;1,"",AVERAGEIFS(Clean_Data!$P$2:$P$1001,Clean_Data!$F$2:$F$1001,$F631,Clean_Data!$W$2:$W$1001,$W631,Clean_Data!$V$2:$V$1001,1))</f>
        <v>100.714285714286</v>
      </c>
      <c r="AM631" s="16">
        <f>IF($V631&lt;&gt;1,"",IFERROR(($P631-$AL631)/SQRT(MAX(0,(SUMIFS(Clean_Data!$AK$2:$AK$1001,Clean_Data!$F$2:$F$1001,$F631,Clean_Data!$W$2:$W$1001,$W631,Clean_Data!$V$2:$V$1001,1)-COUNTIFS(Clean_Data!$F$2:$F$1001,$F631,Clean_Data!$W$2:$W$1001,$W631,Clean_Data!$V$2:$V$1001,1)*$AL631^2)/(COUNTIFS(Clean_Data!$F$2:$F$1001,$F631,Clean_Data!$W$2:$W$1001,$W631,Clean_Data!$V$2:$V$1001,1)-1))),""))</f>
        <v>-0.71118888775197</v>
      </c>
      <c r="AN631" s="5" t="str">
        <f>IF($AM631="","",IF($AM631&gt;=Lookups!$K$6,"High spike",IF($AM631&lt;=-Lookups!$K$6,"Unusual low","Normal")))</f>
        <v>Normal</v>
      </c>
      <c r="AO631" s="20">
        <f>IF($V631&lt;&gt;1,"",$P631+ROW()/100000)</f>
        <v>78.00631</v>
      </c>
      <c r="AP631" s="5">
        <f>IF($A631="","",IFERROR(MATCH($A631,Raw_D1!$A$2:$A$1001,0),""))</f>
        <v/>
      </c>
      <c r="AQ631" s="5">
        <f>IF($A631="","",IFERROR(MATCH($A631,Raw_D2!$B$2:$B$1001,0),""))</f>
        <v/>
      </c>
      <c r="AR631" s="5">
        <f>IF($A631="","",IFERROR(MATCH($A631,Raw_D3!$A$2:$A$1001,0),""))</f>
        <v>11</v>
      </c>
    </row>
    <row r="632" spans="1:44" x14ac:dyDescent="0.25">
      <c r="A632" s="5">
        <v>631</v>
      </c>
      <c r="B632" s="11">
        <f>IF($A632="","",IF($AP632&lt;&gt;"",INDEX(Raw_D1!$B$2:$B$1001,$AP632),IF($AR632&lt;&gt;"",INDEX(Raw_D3!$B$2:$B$1001,$AR632),"")))</f>
        <v>40572.0</v>
      </c>
      <c r="C632" s="5">
        <f>IF($A632="","",IF($AP632&lt;&gt;"",INDEX(Raw_D1!$C$2:$C$1001,$AP632),IF($AR632&lt;&gt;"",INDEX(Raw_D3!$C$2:$C$1001,$AR632),"")))</f>
        <v>1</v>
      </c>
      <c r="D632" s="5">
        <f>IF($A632="","",IF($AP632&lt;&gt;"",INDEX(Raw_D1!$D$2:$D$1001,$AP632),IF($AR632&lt;&gt;"",INDEX(Raw_D3!$D$2:$D$1001,$AR632),"")))</f>
        <v>0</v>
      </c>
      <c r="E632" s="5">
        <f>IF($A632="","",IF($AP632&lt;&gt;"",INDEX(Raw_D1!$E$2:$E$1001,$AP632),IF($AR632&lt;&gt;"",INDEX(Raw_D3!$E$2:$E$1001,$AR632),"")))</f>
        <v>1</v>
      </c>
      <c r="F632" s="5">
        <f>IF($A632="","",IF($AP632&lt;&gt;"",INDEX(Raw_D1!$F$2:$F$1001,$AP632),IF($AR632&lt;&gt;"",INDEX(Raw_D3!$F$2:$F$1001,$AR632),"")))</f>
        <v>13</v>
      </c>
      <c r="G632" s="5">
        <f>IF($A632="","",IF($AP632&lt;&gt;"",IF(INDEX(Raw_D1!$G$2:$G$1001,$AP632),1,0),IF($AR632&lt;&gt;"",IF(INDEX(Raw_D3!$G$2:$G$1001,$AR632),1,0),"")))</f>
        <v>0</v>
      </c>
      <c r="H632" s="5">
        <f>IF($A632="","",IF($AP632&lt;&gt;"",INDEX(Raw_D1!$H$2:$H$1001,$AP632),IF($AR632&lt;&gt;"",INDEX(Raw_D3!$H$2:$H$1001,$AR632),"")))</f>
        <v>6</v>
      </c>
      <c r="I632" s="5">
        <f>IF($A632="","",IF($AP632&lt;&gt;"",INDEX(Raw_D1!$I$2:$I$1001,$AP632),IF($AR632&lt;&gt;"",INDEX(Raw_D3!$I$2:$I$1001,$AR632),"")))</f>
        <v>2</v>
      </c>
      <c r="J632" s="16">
        <f>IF($A632="","",IF($AP632&lt;&gt;"",INDEX(Raw_D1!$J$2:$J$1001,$AP632),IF($AR632&lt;&gt;"",INDEX(Raw_D3!$J$2:$J$1001,$AR632),"")))</f>
        <v>0.22</v>
      </c>
      <c r="K632" s="17">
        <f>IF($A632="","",IF($AQ632&lt;&gt;"",IF(INDEX(Raw_D2!$C$2:$C$1001,$AQ632)="","",INDEX(Raw_D2!$C$2:$C$1001,$AQ632)),IF($AR632&lt;&gt;"",IF(INDEX(Raw_D3!$K$2:$K$1001,$AR632)="","",INDEX(Raw_D3!$K$2:$K$1001,$AR632)),"")))</f>
        <v>0.2273</v>
      </c>
      <c r="L632" s="16">
        <f>IF($A632="","",IF($AQ632&lt;&gt;"",IF(INDEX(Raw_D2!$D$2:$D$1001,$AQ632)="","",INDEX(Raw_D2!$D$2:$D$1001,$AQ632)),IF($AR632&lt;&gt;"",IF(INDEX(Raw_D3!$L$2:$L$1001,$AR632)="","",INDEX(Raw_D3!$L$2:$L$1001,$AR632)),"")))</f>
        <v>0.55</v>
      </c>
      <c r="M632" s="17">
        <f>IF($A632="","",IF($AQ632&lt;&gt;"",IF(INDEX(Raw_D2!$E$2:$E$1001,$AQ632)="","",INDEX(Raw_D2!$E$2:$E$1001,$AQ632)),IF($AR632&lt;&gt;"",IF(INDEX(Raw_D3!$M$2:$M$1001,$AR632)="","",INDEX(Raw_D3!$M$2:$M$1001,$AR632)),"")))</f>
        <v>0.1642</v>
      </c>
      <c r="N632" s="5">
        <f>IF($A632="","",IF($AQ632&lt;&gt;"",IF(INDEX(Raw_D2!$F$2:$F$1001,$AQ632)="","",INDEX(Raw_D2!$F$2:$F$1001,$AQ632)),IF($AR632&lt;&gt;"",IF(INDEX(Raw_D3!$N$2:$N$1001,$AR632)="","",INDEX(Raw_D3!$N$2:$N$1001,$AR632)),"")))</f>
        <v>9</v>
      </c>
      <c r="O632" s="5">
        <f>IF($A632="","",IF($AQ632&lt;&gt;"",IF(INDEX(Raw_D2!$G$2:$G$1001,$AQ632)="","",INDEX(Raw_D2!$G$2:$G$1001,$AQ632)),IF($AR632&lt;&gt;"",IF(INDEX(Raw_D3!$O$2:$O$1001,$AR632)="","",INDEX(Raw_D3!$O$2:$O$1001,$AR632)),"")))</f>
        <v>56</v>
      </c>
      <c r="P632" s="5">
        <f>IF($A632="","",IF($AQ632&lt;&gt;"",IF(INDEX(Raw_D2!$H$2:$H$1001,$AQ632)="","",INDEX(Raw_D2!$H$2:$H$1001,$AQ632)),IF($AR632&lt;&gt;"",IF(INDEX(Raw_D3!$P$2:$P$1001,$AR632)="","",INDEX(Raw_D3!$P$2:$P$1001,$AR632)),"")))</f>
        <v>65</v>
      </c>
      <c r="Q632" s="5" t="str">
        <f>IF($A632="","",IF(AND($AP632&lt;&gt;"",$AQ632&lt;&gt;""),"D1+D2",IF($AR632&lt;&gt;"","D3","Incomplete")))</f>
        <v>D3</v>
      </c>
      <c r="R632" s="17">
        <f>IF($A632="","",IF($K632="",IF($J632="","",ROUND(Lookups!$K$5+Lookups!$K$4*$J632,4)),$K632))</f>
        <v>0.2273</v>
      </c>
      <c r="S632" s="5" t="str">
        <f>IF($A632="","",IF($K632="","Imputed","Original"))</f>
        <v>Original</v>
      </c>
      <c r="T632" s="5" t="str">
        <f>IF($A632="","",IF($P632="","Missing",IF($P632=$N632+$O632,"OK","Mismatch")))</f>
        <v>OK</v>
      </c>
      <c r="U632" s="5" t="str">
        <f>IF($A632="","",IF(COUNTIF($A$2:$A632,$A632)&gt;1,"Duplicate","Unique"))</f>
        <v>Unique</v>
      </c>
      <c r="V632" s="5">
        <f>IF($A632="","",IF(AND($U632="Unique",ISNUMBER($P632)),1,0))</f>
        <v>1</v>
      </c>
      <c r="W632" s="5" t="str">
        <f>IF($A632="","",IF(OR($H632=0,$H632=6),"Weekend","Weekday"))</f>
        <v>Weekend</v>
      </c>
      <c r="X632" s="5" t="str">
        <f>IF($A632="","",TEXT($B632,"ddd"))</f>
        <v>Sat</v>
      </c>
      <c r="Y632" s="5" t="str">
        <f>IF($A632="","",TEXT($B632,"mmm"))</f>
        <v>Jan</v>
      </c>
      <c r="Z632" s="5" t="str">
        <f>IF($A632="","",IFERROR(VLOOKUP($C632,Lookups!$D$4:$E$7,2,FALSE),"Unknown"))</f>
        <v>Winter</v>
      </c>
      <c r="AA632" s="5" t="str">
        <f>IF($A632="","",IFERROR(VLOOKUP($I632,Lookups!$A$4:$B$7,2,FALSE),"Unknown"))</f>
        <v>Mist/Cloudy</v>
      </c>
      <c r="AB632" s="5" t="str">
        <f>IF($A632="","",TEXT($F632,"00")&amp;":00")</f>
        <v>13:00</v>
      </c>
      <c r="AC632" s="5" t="str">
        <f>IF($A632="","",VLOOKUP($F632,Lookups!$G$4:$H$8,2,TRUE))</f>
        <v>Midday (10-15)</v>
      </c>
      <c r="AD632" s="18">
        <f>IF($A632="","",IF($J632="","",ROUND($J632*41,1)))</f>
        <v>9</v>
      </c>
      <c r="AE632" s="18">
        <f>IF($A632="","",IF($R632="","",ROUND($R632*50,1)))</f>
        <v>11.4</v>
      </c>
      <c r="AF632" s="5">
        <f>IF($A632="","",IF($L632="","",ROUND($L632*100,0)))</f>
        <v>55</v>
      </c>
      <c r="AG632" s="18">
        <f>IF($A632="","",IF($M632="","",ROUND($M632*67,1)))</f>
        <v>11</v>
      </c>
      <c r="AH632" s="19">
        <f>IF($A632="","",IF($P632="","",IF($P632=0,0,$O632/$P632)))</f>
        <v>0.861538461538462</v>
      </c>
      <c r="AI632" s="5" t="str">
        <f>IF($A632="","",IF($P632="","",IF($P632&gt;=Lookups!$K$7,"High",IF($P632&lt;=Lookups!$K$8,"Low","Medium"))))</f>
        <v>Medium</v>
      </c>
      <c r="AJ632" s="5" t="str">
        <f>IF($A632="","",IF($AD632="","",IF($AD632&lt;5,"Under 5 C",IF($AD632&lt;10,"5-10 C",IF($AD632&lt;15,"10-15 C","15 C and above")))))</f>
        <v>5-10 C</v>
      </c>
      <c r="AK632" s="5">
        <f>IF($A632="","",IF($P632="","",$P632^2))</f>
        <v>4225</v>
      </c>
      <c r="AL632" s="18">
        <f>IF($V632&lt;&gt;1,"",AVERAGEIFS(Clean_Data!$P$2:$P$1001,Clean_Data!$F$2:$F$1001,$F632,Clean_Data!$W$2:$W$1001,$W632,Clean_Data!$V$2:$V$1001,1))</f>
        <v>102</v>
      </c>
      <c r="AM632" s="16">
        <f>IF($V632&lt;&gt;1,"",IFERROR(($P632-$AL632)/SQRT(MAX(0,(SUMIFS(Clean_Data!$AK$2:$AK$1001,Clean_Data!$F$2:$F$1001,$F632,Clean_Data!$W$2:$W$1001,$W632,Clean_Data!$V$2:$V$1001,1)-COUNTIFS(Clean_Data!$F$2:$F$1001,$F632,Clean_Data!$W$2:$W$1001,$W632,Clean_Data!$V$2:$V$1001,1)*$AL632^2)/(COUNTIFS(Clean_Data!$F$2:$F$1001,$F632,Clean_Data!$W$2:$W$1001,$W632,Clean_Data!$V$2:$V$1001,1)-1))),""))</f>
        <v>-1.08513479965059</v>
      </c>
      <c r="AN632" s="5" t="str">
        <f>IF($AM632="","",IF($AM632&gt;=Lookups!$K$6,"High spike",IF($AM632&lt;=-Lookups!$K$6,"Unusual low","Normal")))</f>
        <v>Normal</v>
      </c>
      <c r="AO632" s="20">
        <f>IF($V632&lt;&gt;1,"",$P632+ROW()/100000)</f>
        <v>65.00632</v>
      </c>
      <c r="AP632" s="5">
        <f>IF($A632="","",IFERROR(MATCH($A632,Raw_D1!$A$2:$A$1001,0),""))</f>
        <v/>
      </c>
      <c r="AQ632" s="5">
        <f>IF($A632="","",IFERROR(MATCH($A632,Raw_D2!$B$2:$B$1001,0),""))</f>
        <v/>
      </c>
      <c r="AR632" s="5">
        <f>IF($A632="","",IFERROR(MATCH($A632,Raw_D3!$A$2:$A$1001,0),""))</f>
        <v>12</v>
      </c>
    </row>
    <row r="633" spans="1:44" x14ac:dyDescent="0.25">
      <c r="A633" s="5">
        <v>632</v>
      </c>
      <c r="B633" s="11">
        <f>IF($A633="","",IF($AP633&lt;&gt;"",INDEX(Raw_D1!$B$2:$B$1001,$AP633),IF($AR633&lt;&gt;"",INDEX(Raw_D3!$B$2:$B$1001,$AR633),"")))</f>
        <v>40572.0</v>
      </c>
      <c r="C633" s="5">
        <f>IF($A633="","",IF($AP633&lt;&gt;"",INDEX(Raw_D1!$C$2:$C$1001,$AP633),IF($AR633&lt;&gt;"",INDEX(Raw_D3!$C$2:$C$1001,$AR633),"")))</f>
        <v>1</v>
      </c>
      <c r="D633" s="5">
        <f>IF($A633="","",IF($AP633&lt;&gt;"",INDEX(Raw_D1!$D$2:$D$1001,$AP633),IF($AR633&lt;&gt;"",INDEX(Raw_D3!$D$2:$D$1001,$AR633),"")))</f>
        <v>0</v>
      </c>
      <c r="E633" s="5">
        <f>IF($A633="","",IF($AP633&lt;&gt;"",INDEX(Raw_D1!$E$2:$E$1001,$AP633),IF($AR633&lt;&gt;"",INDEX(Raw_D3!$E$2:$E$1001,$AR633),"")))</f>
        <v>1</v>
      </c>
      <c r="F633" s="5">
        <f>IF($A633="","",IF($AP633&lt;&gt;"",INDEX(Raw_D1!$F$2:$F$1001,$AP633),IF($AR633&lt;&gt;"",INDEX(Raw_D3!$F$2:$F$1001,$AR633),"")))</f>
        <v>14</v>
      </c>
      <c r="G633" s="5">
        <f>IF($A633="","",IF($AP633&lt;&gt;"",IF(INDEX(Raw_D1!$G$2:$G$1001,$AP633),1,0),IF($AR633&lt;&gt;"",IF(INDEX(Raw_D3!$G$2:$G$1001,$AR633),1,0),"")))</f>
        <v>0</v>
      </c>
      <c r="H633" s="5">
        <f>IF($A633="","",IF($AP633&lt;&gt;"",INDEX(Raw_D1!$H$2:$H$1001,$AP633),IF($AR633&lt;&gt;"",INDEX(Raw_D3!$H$2:$H$1001,$AR633),"")))</f>
        <v>6</v>
      </c>
      <c r="I633" s="5">
        <f>IF($A633="","",IF($AP633&lt;&gt;"",INDEX(Raw_D1!$I$2:$I$1001,$AP633),IF($AR633&lt;&gt;"",INDEX(Raw_D3!$I$2:$I$1001,$AR633),"")))</f>
        <v>2</v>
      </c>
      <c r="J633" s="16">
        <f>IF($A633="","",IF($AP633&lt;&gt;"",INDEX(Raw_D1!$J$2:$J$1001,$AP633),IF($AR633&lt;&gt;"",INDEX(Raw_D3!$J$2:$J$1001,$AR633),"")))</f>
        <v>0.22</v>
      </c>
      <c r="K633" s="17">
        <f>IF($A633="","",IF($AQ633&lt;&gt;"",IF(INDEX(Raw_D2!$C$2:$C$1001,$AQ633)="","",INDEX(Raw_D2!$C$2:$C$1001,$AQ633)),IF($AR633&lt;&gt;"",IF(INDEX(Raw_D3!$K$2:$K$1001,$AR633)="","",INDEX(Raw_D3!$K$2:$K$1001,$AR633)),"")))</f>
        <v>0.2273</v>
      </c>
      <c r="L633" s="16">
        <f>IF($A633="","",IF($AQ633&lt;&gt;"",IF(INDEX(Raw_D2!$D$2:$D$1001,$AQ633)="","",INDEX(Raw_D2!$D$2:$D$1001,$AQ633)),IF($AR633&lt;&gt;"",IF(INDEX(Raw_D3!$L$2:$L$1001,$AR633)="","",INDEX(Raw_D3!$L$2:$L$1001,$AR633)),"")))</f>
        <v>0.6</v>
      </c>
      <c r="M633" s="17">
        <f>IF($A633="","",IF($AQ633&lt;&gt;"",IF(INDEX(Raw_D2!$E$2:$E$1001,$AQ633)="","",INDEX(Raw_D2!$E$2:$E$1001,$AQ633)),IF($AR633&lt;&gt;"",IF(INDEX(Raw_D3!$M$2:$M$1001,$AR633)="","",INDEX(Raw_D3!$M$2:$M$1001,$AR633)),"")))</f>
        <v>0.1343</v>
      </c>
      <c r="N633" s="5">
        <f>IF($A633="","",IF($AQ633&lt;&gt;"",IF(INDEX(Raw_D2!$F$2:$F$1001,$AQ633)="","",INDEX(Raw_D2!$F$2:$F$1001,$AQ633)),IF($AR633&lt;&gt;"",IF(INDEX(Raw_D3!$N$2:$N$1001,$AR633)="","",INDEX(Raw_D3!$N$2:$N$1001,$AR633)),"")))</f>
        <v>10</v>
      </c>
      <c r="O633" s="5">
        <f>IF($A633="","",IF($AQ633&lt;&gt;"",IF(INDEX(Raw_D2!$G$2:$G$1001,$AQ633)="","",INDEX(Raw_D2!$G$2:$G$1001,$AQ633)),IF($AR633&lt;&gt;"",IF(INDEX(Raw_D3!$O$2:$O$1001,$AR633)="","",INDEX(Raw_D3!$O$2:$O$1001,$AR633)),"")))</f>
        <v>89</v>
      </c>
      <c r="P633" s="5">
        <f>IF($A633="","",IF($AQ633&lt;&gt;"",IF(INDEX(Raw_D2!$H$2:$H$1001,$AQ633)="","",INDEX(Raw_D2!$H$2:$H$1001,$AQ633)),IF($AR633&lt;&gt;"",IF(INDEX(Raw_D3!$P$2:$P$1001,$AR633)="","",INDEX(Raw_D3!$P$2:$P$1001,$AR633)),"")))</f>
        <v>99</v>
      </c>
      <c r="Q633" s="5" t="str">
        <f>IF($A633="","",IF(AND($AP633&lt;&gt;"",$AQ633&lt;&gt;""),"D1+D2",IF($AR633&lt;&gt;"","D3","Incomplete")))</f>
        <v>D3</v>
      </c>
      <c r="R633" s="17">
        <f>IF($A633="","",IF($K633="",IF($J633="","",ROUND(Lookups!$K$5+Lookups!$K$4*$J633,4)),$K633))</f>
        <v>0.2273</v>
      </c>
      <c r="S633" s="5" t="str">
        <f>IF($A633="","",IF($K633="","Imputed","Original"))</f>
        <v>Original</v>
      </c>
      <c r="T633" s="5" t="str">
        <f>IF($A633="","",IF($P633="","Missing",IF($P633=$N633+$O633,"OK","Mismatch")))</f>
        <v>OK</v>
      </c>
      <c r="U633" s="5" t="str">
        <f>IF($A633="","",IF(COUNTIF($A$2:$A633,$A633)&gt;1,"Duplicate","Unique"))</f>
        <v>Unique</v>
      </c>
      <c r="V633" s="5">
        <f>IF($A633="","",IF(AND($U633="Unique",ISNUMBER($P633)),1,0))</f>
        <v>1</v>
      </c>
      <c r="W633" s="5" t="str">
        <f>IF($A633="","",IF(OR($H633=0,$H633=6),"Weekend","Weekday"))</f>
        <v>Weekend</v>
      </c>
      <c r="X633" s="5" t="str">
        <f>IF($A633="","",TEXT($B633,"ddd"))</f>
        <v>Sat</v>
      </c>
      <c r="Y633" s="5" t="str">
        <f>IF($A633="","",TEXT($B633,"mmm"))</f>
        <v>Jan</v>
      </c>
      <c r="Z633" s="5" t="str">
        <f>IF($A633="","",IFERROR(VLOOKUP($C633,Lookups!$D$4:$E$7,2,FALSE),"Unknown"))</f>
        <v>Winter</v>
      </c>
      <c r="AA633" s="5" t="str">
        <f>IF($A633="","",IFERROR(VLOOKUP($I633,Lookups!$A$4:$B$7,2,FALSE),"Unknown"))</f>
        <v>Mist/Cloudy</v>
      </c>
      <c r="AB633" s="5" t="str">
        <f>IF($A633="","",TEXT($F633,"00")&amp;":00")</f>
        <v>14:00</v>
      </c>
      <c r="AC633" s="5" t="str">
        <f>IF($A633="","",VLOOKUP($F633,Lookups!$G$4:$H$8,2,TRUE))</f>
        <v>Midday (10-15)</v>
      </c>
      <c r="AD633" s="18">
        <f>IF($A633="","",IF($J633="","",ROUND($J633*41,1)))</f>
        <v>9</v>
      </c>
      <c r="AE633" s="18">
        <f>IF($A633="","",IF($R633="","",ROUND($R633*50,1)))</f>
        <v>11.4</v>
      </c>
      <c r="AF633" s="5">
        <f>IF($A633="","",IF($L633="","",ROUND($L633*100,0)))</f>
        <v>60</v>
      </c>
      <c r="AG633" s="18">
        <f>IF($A633="","",IF($M633="","",ROUND($M633*67,1)))</f>
        <v>9</v>
      </c>
      <c r="AH633" s="19">
        <f>IF($A633="","",IF($P633="","",IF($P633=0,0,$O633/$P633)))</f>
        <v>0.898989898989899</v>
      </c>
      <c r="AI633" s="5" t="str">
        <f>IF($A633="","",IF($P633="","",IF($P633&gt;=Lookups!$K$7,"High",IF($P633&lt;=Lookups!$K$8,"Low","Medium"))))</f>
        <v>High</v>
      </c>
      <c r="AJ633" s="5" t="str">
        <f>IF($A633="","",IF($AD633="","",IF($AD633&lt;5,"Under 5 C",IF($AD633&lt;10,"5-10 C",IF($AD633&lt;15,"10-15 C","15 C and above")))))</f>
        <v>5-10 C</v>
      </c>
      <c r="AK633" s="5">
        <f>IF($A633="","",IF($P633="","",$P633^2))</f>
        <v>9801</v>
      </c>
      <c r="AL633" s="18">
        <f>IF($V633&lt;&gt;1,"",AVERAGEIFS(Clean_Data!$P$2:$P$1001,Clean_Data!$F$2:$F$1001,$F633,Clean_Data!$W$2:$W$1001,$W633,Clean_Data!$V$2:$V$1001,1))</f>
        <v>103.142857142857</v>
      </c>
      <c r="AM633" s="16">
        <f>IF($V633&lt;&gt;1,"",IFERROR(($P633-$AL633)/SQRT(MAX(0,(SUMIFS(Clean_Data!$AK$2:$AK$1001,Clean_Data!$F$2:$F$1001,$F633,Clean_Data!$W$2:$W$1001,$W633,Clean_Data!$V$2:$V$1001,1)-COUNTIFS(Clean_Data!$F$2:$F$1001,$F633,Clean_Data!$W$2:$W$1001,$W633,Clean_Data!$V$2:$V$1001,1)*$AL633^2)/(COUNTIFS(Clean_Data!$F$2:$F$1001,$F633,Clean_Data!$W$2:$W$1001,$W633,Clean_Data!$V$2:$V$1001,1)-1))),""))</f>
        <v>-0.126834638858888</v>
      </c>
      <c r="AN633" s="5" t="str">
        <f>IF($AM633="","",IF($AM633&gt;=Lookups!$K$6,"High spike",IF($AM633&lt;=-Lookups!$K$6,"Unusual low","Normal")))</f>
        <v>Normal</v>
      </c>
      <c r="AO633" s="20">
        <f>IF($V633&lt;&gt;1,"",$P633+ROW()/100000)</f>
        <v>99.00633</v>
      </c>
      <c r="AP633" s="5">
        <f>IF($A633="","",IFERROR(MATCH($A633,Raw_D1!$A$2:$A$1001,0),""))</f>
        <v/>
      </c>
      <c r="AQ633" s="5">
        <f>IF($A633="","",IFERROR(MATCH($A633,Raw_D2!$B$2:$B$1001,0),""))</f>
        <v/>
      </c>
      <c r="AR633" s="5">
        <f>IF($A633="","",IFERROR(MATCH($A633,Raw_D3!$A$2:$A$1001,0),""))</f>
        <v>13</v>
      </c>
    </row>
    <row r="634" spans="1:44" x14ac:dyDescent="0.25">
      <c r="A634" s="5">
        <v>633</v>
      </c>
      <c r="B634" s="11">
        <f>IF($A634="","",IF($AP634&lt;&gt;"",INDEX(Raw_D1!$B$2:$B$1001,$AP634),IF($AR634&lt;&gt;"",INDEX(Raw_D3!$B$2:$B$1001,$AR634),"")))</f>
        <v>40572.0</v>
      </c>
      <c r="C634" s="5">
        <f>IF($A634="","",IF($AP634&lt;&gt;"",INDEX(Raw_D1!$C$2:$C$1001,$AP634),IF($AR634&lt;&gt;"",INDEX(Raw_D3!$C$2:$C$1001,$AR634),"")))</f>
        <v>1</v>
      </c>
      <c r="D634" s="5">
        <f>IF($A634="","",IF($AP634&lt;&gt;"",INDEX(Raw_D1!$D$2:$D$1001,$AP634),IF($AR634&lt;&gt;"",INDEX(Raw_D3!$D$2:$D$1001,$AR634),"")))</f>
        <v>0</v>
      </c>
      <c r="E634" s="5">
        <f>IF($A634="","",IF($AP634&lt;&gt;"",INDEX(Raw_D1!$E$2:$E$1001,$AP634),IF($AR634&lt;&gt;"",INDEX(Raw_D3!$E$2:$E$1001,$AR634),"")))</f>
        <v>1</v>
      </c>
      <c r="F634" s="5">
        <f>IF($A634="","",IF($AP634&lt;&gt;"",INDEX(Raw_D1!$F$2:$F$1001,$AP634),IF($AR634&lt;&gt;"",INDEX(Raw_D3!$F$2:$F$1001,$AR634),"")))</f>
        <v>15</v>
      </c>
      <c r="G634" s="5">
        <f>IF($A634="","",IF($AP634&lt;&gt;"",IF(INDEX(Raw_D1!$G$2:$G$1001,$AP634),1,0),IF($AR634&lt;&gt;"",IF(INDEX(Raw_D3!$G$2:$G$1001,$AR634),1,0),"")))</f>
        <v>0</v>
      </c>
      <c r="H634" s="5">
        <f>IF($A634="","",IF($AP634&lt;&gt;"",INDEX(Raw_D1!$H$2:$H$1001,$AP634),IF($AR634&lt;&gt;"",INDEX(Raw_D3!$H$2:$H$1001,$AR634),"")))</f>
        <v>6</v>
      </c>
      <c r="I634" s="5">
        <f>IF($A634="","",IF($AP634&lt;&gt;"",INDEX(Raw_D1!$I$2:$I$1001,$AP634),IF($AR634&lt;&gt;"",INDEX(Raw_D3!$I$2:$I$1001,$AR634),"")))</f>
        <v>1</v>
      </c>
      <c r="J634" s="16">
        <f>IF($A634="","",IF($AP634&lt;&gt;"",INDEX(Raw_D1!$J$2:$J$1001,$AP634),IF($AR634&lt;&gt;"",INDEX(Raw_D3!$J$2:$J$1001,$AR634),"")))</f>
        <v>0.22</v>
      </c>
      <c r="K634" s="17">
        <f>IF($A634="","",IF($AQ634&lt;&gt;"",IF(INDEX(Raw_D2!$C$2:$C$1001,$AQ634)="","",INDEX(Raw_D2!$C$2:$C$1001,$AQ634)),IF($AR634&lt;&gt;"",IF(INDEX(Raw_D3!$K$2:$K$1001,$AR634)="","",INDEX(Raw_D3!$K$2:$K$1001,$AR634)),"")))</f>
        <v>0.2121</v>
      </c>
      <c r="L634" s="16">
        <f>IF($A634="","",IF($AQ634&lt;&gt;"",IF(INDEX(Raw_D2!$D$2:$D$1001,$AQ634)="","",INDEX(Raw_D2!$D$2:$D$1001,$AQ634)),IF($AR634&lt;&gt;"",IF(INDEX(Raw_D3!$L$2:$L$1001,$AR634)="","",INDEX(Raw_D3!$L$2:$L$1001,$AR634)),"")))</f>
        <v>0.69</v>
      </c>
      <c r="M634" s="17">
        <f>IF($A634="","",IF($AQ634&lt;&gt;"",IF(INDEX(Raw_D2!$E$2:$E$1001,$AQ634)="","",INDEX(Raw_D2!$E$2:$E$1001,$AQ634)),IF($AR634&lt;&gt;"",IF(INDEX(Raw_D3!$M$2:$M$1001,$AR634)="","",INDEX(Raw_D3!$M$2:$M$1001,$AR634)),"")))</f>
        <v>0.2537</v>
      </c>
      <c r="N634" s="5">
        <f>IF($A634="","",IF($AQ634&lt;&gt;"",IF(INDEX(Raw_D2!$F$2:$F$1001,$AQ634)="","",INDEX(Raw_D2!$F$2:$F$1001,$AQ634)),IF($AR634&lt;&gt;"",IF(INDEX(Raw_D3!$N$2:$N$1001,$AR634)="","",INDEX(Raw_D3!$N$2:$N$1001,$AR634)),"")))</f>
        <v>22</v>
      </c>
      <c r="O634" s="5">
        <f>IF($A634="","",IF($AQ634&lt;&gt;"",IF(INDEX(Raw_D2!$G$2:$G$1001,$AQ634)="","",INDEX(Raw_D2!$G$2:$G$1001,$AQ634)),IF($AR634&lt;&gt;"",IF(INDEX(Raw_D3!$O$2:$O$1001,$AR634)="","",INDEX(Raw_D3!$O$2:$O$1001,$AR634)),"")))</f>
        <v>98</v>
      </c>
      <c r="P634" s="5">
        <f>IF($A634="","",IF($AQ634&lt;&gt;"",IF(INDEX(Raw_D2!$H$2:$H$1001,$AQ634)="","",INDEX(Raw_D2!$H$2:$H$1001,$AQ634)),IF($AR634&lt;&gt;"",IF(INDEX(Raw_D3!$P$2:$P$1001,$AR634)="","",INDEX(Raw_D3!$P$2:$P$1001,$AR634)),"")))</f>
        <v>120</v>
      </c>
      <c r="Q634" s="5" t="str">
        <f>IF($A634="","",IF(AND($AP634&lt;&gt;"",$AQ634&lt;&gt;""),"D1+D2",IF($AR634&lt;&gt;"","D3","Incomplete")))</f>
        <v>D3</v>
      </c>
      <c r="R634" s="17">
        <f>IF($A634="","",IF($K634="",IF($J634="","",ROUND(Lookups!$K$5+Lookups!$K$4*$J634,4)),$K634))</f>
        <v>0.2121</v>
      </c>
      <c r="S634" s="5" t="str">
        <f>IF($A634="","",IF($K634="","Imputed","Original"))</f>
        <v>Original</v>
      </c>
      <c r="T634" s="5" t="str">
        <f>IF($A634="","",IF($P634="","Missing",IF($P634=$N634+$O634,"OK","Mismatch")))</f>
        <v>OK</v>
      </c>
      <c r="U634" s="5" t="str">
        <f>IF($A634="","",IF(COUNTIF($A$2:$A634,$A634)&gt;1,"Duplicate","Unique"))</f>
        <v>Unique</v>
      </c>
      <c r="V634" s="5">
        <f>IF($A634="","",IF(AND($U634="Unique",ISNUMBER($P634)),1,0))</f>
        <v>1</v>
      </c>
      <c r="W634" s="5" t="str">
        <f>IF($A634="","",IF(OR($H634=0,$H634=6),"Weekend","Weekday"))</f>
        <v>Weekend</v>
      </c>
      <c r="X634" s="5" t="str">
        <f>IF($A634="","",TEXT($B634,"ddd"))</f>
        <v>Sat</v>
      </c>
      <c r="Y634" s="5" t="str">
        <f>IF($A634="","",TEXT($B634,"mmm"))</f>
        <v>Jan</v>
      </c>
      <c r="Z634" s="5" t="str">
        <f>IF($A634="","",IFERROR(VLOOKUP($C634,Lookups!$D$4:$E$7,2,FALSE),"Unknown"))</f>
        <v>Winter</v>
      </c>
      <c r="AA634" s="5" t="str">
        <f>IF($A634="","",IFERROR(VLOOKUP($I634,Lookups!$A$4:$B$7,2,FALSE),"Unknown"))</f>
        <v>Clear</v>
      </c>
      <c r="AB634" s="5" t="str">
        <f>IF($A634="","",TEXT($F634,"00")&amp;":00")</f>
        <v>15:00</v>
      </c>
      <c r="AC634" s="5" t="str">
        <f>IF($A634="","",VLOOKUP($F634,Lookups!$G$4:$H$8,2,TRUE))</f>
        <v>Midday (10-15)</v>
      </c>
      <c r="AD634" s="18">
        <f>IF($A634="","",IF($J634="","",ROUND($J634*41,1)))</f>
        <v>9</v>
      </c>
      <c r="AE634" s="18">
        <f>IF($A634="","",IF($R634="","",ROUND($R634*50,1)))</f>
        <v>10.6</v>
      </c>
      <c r="AF634" s="5">
        <f>IF($A634="","",IF($L634="","",ROUND($L634*100,0)))</f>
        <v>69</v>
      </c>
      <c r="AG634" s="18">
        <f>IF($A634="","",IF($M634="","",ROUND($M634*67,1)))</f>
        <v>17</v>
      </c>
      <c r="AH634" s="19">
        <f>IF($A634="","",IF($P634="","",IF($P634=0,0,$O634/$P634)))</f>
        <v>0.816666666666667</v>
      </c>
      <c r="AI634" s="5" t="str">
        <f>IF($A634="","",IF($P634="","",IF($P634&gt;=Lookups!$K$7,"High",IF($P634&lt;=Lookups!$K$8,"Low","Medium"))))</f>
        <v>High</v>
      </c>
      <c r="AJ634" s="5" t="str">
        <f>IF($A634="","",IF($AD634="","",IF($AD634&lt;5,"Under 5 C",IF($AD634&lt;10,"5-10 C",IF($AD634&lt;15,"10-15 C","15 C and above")))))</f>
        <v>5-10 C</v>
      </c>
      <c r="AK634" s="5">
        <f>IF($A634="","",IF($P634="","",$P634^2))</f>
        <v>14400</v>
      </c>
      <c r="AL634" s="18">
        <f>IF($V634&lt;&gt;1,"",AVERAGEIFS(Clean_Data!$P$2:$P$1001,Clean_Data!$F$2:$F$1001,$F634,Clean_Data!$W$2:$W$1001,$W634,Clean_Data!$V$2:$V$1001,1))</f>
        <v>112.071428571429</v>
      </c>
      <c r="AM634" s="16">
        <f>IF($V634&lt;&gt;1,"",IFERROR(($P634-$AL634)/SQRT(MAX(0,(SUMIFS(Clean_Data!$AK$2:$AK$1001,Clean_Data!$F$2:$F$1001,$F634,Clean_Data!$W$2:$W$1001,$W634,Clean_Data!$V$2:$V$1001,1)-COUNTIFS(Clean_Data!$F$2:$F$1001,$F634,Clean_Data!$W$2:$W$1001,$W634,Clean_Data!$V$2:$V$1001,1)*$AL634^2)/(COUNTIFS(Clean_Data!$F$2:$F$1001,$F634,Clean_Data!$W$2:$W$1001,$W634,Clean_Data!$V$2:$V$1001,1)-1))),""))</f>
        <v>0.205194557902494</v>
      </c>
      <c r="AN634" s="5" t="str">
        <f>IF($AM634="","",IF($AM634&gt;=Lookups!$K$6,"High spike",IF($AM634&lt;=-Lookups!$K$6,"Unusual low","Normal")))</f>
        <v>Normal</v>
      </c>
      <c r="AO634" s="20">
        <f>IF($V634&lt;&gt;1,"",$P634+ROW()/100000)</f>
        <v>120.00634</v>
      </c>
      <c r="AP634" s="5">
        <f>IF($A634="","",IFERROR(MATCH($A634,Raw_D1!$A$2:$A$1001,0),""))</f>
        <v/>
      </c>
      <c r="AQ634" s="5">
        <f>IF($A634="","",IFERROR(MATCH($A634,Raw_D2!$B$2:$B$1001,0),""))</f>
        <v/>
      </c>
      <c r="AR634" s="5">
        <f>IF($A634="","",IFERROR(MATCH($A634,Raw_D3!$A$2:$A$1001,0),""))</f>
        <v>14</v>
      </c>
    </row>
    <row r="635" spans="1:44" x14ac:dyDescent="0.25">
      <c r="A635" s="5">
        <v>634</v>
      </c>
      <c r="B635" s="11">
        <f>IF($A635="","",IF($AP635&lt;&gt;"",INDEX(Raw_D1!$B$2:$B$1001,$AP635),IF($AR635&lt;&gt;"",INDEX(Raw_D3!$B$2:$B$1001,$AR635),"")))</f>
        <v>40572.0</v>
      </c>
      <c r="C635" s="5">
        <f>IF($A635="","",IF($AP635&lt;&gt;"",INDEX(Raw_D1!$C$2:$C$1001,$AP635),IF($AR635&lt;&gt;"",INDEX(Raw_D3!$C$2:$C$1001,$AR635),"")))</f>
        <v>1</v>
      </c>
      <c r="D635" s="5">
        <f>IF($A635="","",IF($AP635&lt;&gt;"",INDEX(Raw_D1!$D$2:$D$1001,$AP635),IF($AR635&lt;&gt;"",INDEX(Raw_D3!$D$2:$D$1001,$AR635),"")))</f>
        <v>0</v>
      </c>
      <c r="E635" s="5">
        <f>IF($A635="","",IF($AP635&lt;&gt;"",INDEX(Raw_D1!$E$2:$E$1001,$AP635),IF($AR635&lt;&gt;"",INDEX(Raw_D3!$E$2:$E$1001,$AR635),"")))</f>
        <v>1</v>
      </c>
      <c r="F635" s="5">
        <f>IF($A635="","",IF($AP635&lt;&gt;"",INDEX(Raw_D1!$F$2:$F$1001,$AP635),IF($AR635&lt;&gt;"",INDEX(Raw_D3!$F$2:$F$1001,$AR635),"")))</f>
        <v>16</v>
      </c>
      <c r="G635" s="5">
        <f>IF($A635="","",IF($AP635&lt;&gt;"",IF(INDEX(Raw_D1!$G$2:$G$1001,$AP635),1,0),IF($AR635&lt;&gt;"",IF(INDEX(Raw_D3!$G$2:$G$1001,$AR635),1,0),"")))</f>
        <v>0</v>
      </c>
      <c r="H635" s="5">
        <f>IF($A635="","",IF($AP635&lt;&gt;"",INDEX(Raw_D1!$H$2:$H$1001,$AP635),IF($AR635&lt;&gt;"",INDEX(Raw_D3!$H$2:$H$1001,$AR635),"")))</f>
        <v>6</v>
      </c>
      <c r="I635" s="5">
        <f>IF($A635="","",IF($AP635&lt;&gt;"",INDEX(Raw_D1!$I$2:$I$1001,$AP635),IF($AR635&lt;&gt;"",INDEX(Raw_D3!$I$2:$I$1001,$AR635),"")))</f>
        <v>1</v>
      </c>
      <c r="J635" s="16">
        <f>IF($A635="","",IF($AP635&lt;&gt;"",INDEX(Raw_D1!$J$2:$J$1001,$AP635),IF($AR635&lt;&gt;"",INDEX(Raw_D3!$J$2:$J$1001,$AR635),"")))</f>
        <v>0.24</v>
      </c>
      <c r="K635" s="17">
        <f>IF($A635="","",IF($AQ635&lt;&gt;"",IF(INDEX(Raw_D2!$C$2:$C$1001,$AQ635)="","",INDEX(Raw_D2!$C$2:$C$1001,$AQ635)),IF($AR635&lt;&gt;"",IF(INDEX(Raw_D3!$K$2:$K$1001,$AR635)="","",INDEX(Raw_D3!$K$2:$K$1001,$AR635)),"")))</f>
        <v>0.2424</v>
      </c>
      <c r="L635" s="16">
        <f>IF($A635="","",IF($AQ635&lt;&gt;"",IF(INDEX(Raw_D2!$D$2:$D$1001,$AQ635)="","",INDEX(Raw_D2!$D$2:$D$1001,$AQ635)),IF($AR635&lt;&gt;"",IF(INDEX(Raw_D3!$L$2:$L$1001,$AR635)="","",INDEX(Raw_D3!$L$2:$L$1001,$AR635)),"")))</f>
        <v>0.6</v>
      </c>
      <c r="M635" s="17">
        <f>IF($A635="","",IF($AQ635&lt;&gt;"",IF(INDEX(Raw_D2!$E$2:$E$1001,$AQ635)="","",INDEX(Raw_D2!$E$2:$E$1001,$AQ635)),IF($AR635&lt;&gt;"",IF(INDEX(Raw_D3!$M$2:$M$1001,$AR635)="","",INDEX(Raw_D3!$M$2:$M$1001,$AR635)),"")))</f>
        <v>0.1642</v>
      </c>
      <c r="N635" s="5">
        <f>IF($A635="","",IF($AQ635&lt;&gt;"",IF(INDEX(Raw_D2!$F$2:$F$1001,$AQ635)="","",INDEX(Raw_D2!$F$2:$F$1001,$AQ635)),IF($AR635&lt;&gt;"",IF(INDEX(Raw_D3!$N$2:$N$1001,$AR635)="","",INDEX(Raw_D3!$N$2:$N$1001,$AR635)),"")))</f>
        <v>19</v>
      </c>
      <c r="O635" s="5">
        <f>IF($A635="","",IF($AQ635&lt;&gt;"",IF(INDEX(Raw_D2!$G$2:$G$1001,$AQ635)="","",INDEX(Raw_D2!$G$2:$G$1001,$AQ635)),IF($AR635&lt;&gt;"",IF(INDEX(Raw_D3!$O$2:$O$1001,$AR635)="","",INDEX(Raw_D3!$O$2:$O$1001,$AR635)),"")))</f>
        <v>88</v>
      </c>
      <c r="P635" s="5">
        <f>IF($A635="","",IF($AQ635&lt;&gt;"",IF(INDEX(Raw_D2!$H$2:$H$1001,$AQ635)="","",INDEX(Raw_D2!$H$2:$H$1001,$AQ635)),IF($AR635&lt;&gt;"",IF(INDEX(Raw_D3!$P$2:$P$1001,$AR635)="","",INDEX(Raw_D3!$P$2:$P$1001,$AR635)),"")))</f>
        <v>107</v>
      </c>
      <c r="Q635" s="5" t="str">
        <f>IF($A635="","",IF(AND($AP635&lt;&gt;"",$AQ635&lt;&gt;""),"D1+D2",IF($AR635&lt;&gt;"","D3","Incomplete")))</f>
        <v>D3</v>
      </c>
      <c r="R635" s="17">
        <f>IF($A635="","",IF($K635="",IF($J635="","",ROUND(Lookups!$K$5+Lookups!$K$4*$J635,4)),$K635))</f>
        <v>0.2424</v>
      </c>
      <c r="S635" s="5" t="str">
        <f>IF($A635="","",IF($K635="","Imputed","Original"))</f>
        <v>Original</v>
      </c>
      <c r="T635" s="5" t="str">
        <f>IF($A635="","",IF($P635="","Missing",IF($P635=$N635+$O635,"OK","Mismatch")))</f>
        <v>OK</v>
      </c>
      <c r="U635" s="5" t="str">
        <f>IF($A635="","",IF(COUNTIF($A$2:$A635,$A635)&gt;1,"Duplicate","Unique"))</f>
        <v>Unique</v>
      </c>
      <c r="V635" s="5">
        <f>IF($A635="","",IF(AND($U635="Unique",ISNUMBER($P635)),1,0))</f>
        <v>1</v>
      </c>
      <c r="W635" s="5" t="str">
        <f>IF($A635="","",IF(OR($H635=0,$H635=6),"Weekend","Weekday"))</f>
        <v>Weekend</v>
      </c>
      <c r="X635" s="5" t="str">
        <f>IF($A635="","",TEXT($B635,"ddd"))</f>
        <v>Sat</v>
      </c>
      <c r="Y635" s="5" t="str">
        <f>IF($A635="","",TEXT($B635,"mmm"))</f>
        <v>Jan</v>
      </c>
      <c r="Z635" s="5" t="str">
        <f>IF($A635="","",IFERROR(VLOOKUP($C635,Lookups!$D$4:$E$7,2,FALSE),"Unknown"))</f>
        <v>Winter</v>
      </c>
      <c r="AA635" s="5" t="str">
        <f>IF($A635="","",IFERROR(VLOOKUP($I635,Lookups!$A$4:$B$7,2,FALSE),"Unknown"))</f>
        <v>Clear</v>
      </c>
      <c r="AB635" s="5" t="str">
        <f>IF($A635="","",TEXT($F635,"00")&amp;":00")</f>
        <v>16:00</v>
      </c>
      <c r="AC635" s="5" t="str">
        <f>IF($A635="","",VLOOKUP($F635,Lookups!$G$4:$H$8,2,TRUE))</f>
        <v>Evening Peak (16-19)</v>
      </c>
      <c r="AD635" s="18">
        <f>IF($A635="","",IF($J635="","",ROUND($J635*41,1)))</f>
        <v>9.8</v>
      </c>
      <c r="AE635" s="18">
        <f>IF($A635="","",IF($R635="","",ROUND($R635*50,1)))</f>
        <v>12.1</v>
      </c>
      <c r="AF635" s="5">
        <f>IF($A635="","",IF($L635="","",ROUND($L635*100,0)))</f>
        <v>60</v>
      </c>
      <c r="AG635" s="18">
        <f>IF($A635="","",IF($M635="","",ROUND($M635*67,1)))</f>
        <v>11</v>
      </c>
      <c r="AH635" s="19">
        <f>IF($A635="","",IF($P635="","",IF($P635=0,0,$O635/$P635)))</f>
        <v>0.822429906542056</v>
      </c>
      <c r="AI635" s="5" t="str">
        <f>IF($A635="","",IF($P635="","",IF($P635&gt;=Lookups!$K$7,"High",IF($P635&lt;=Lookups!$K$8,"Low","Medium"))))</f>
        <v>High</v>
      </c>
      <c r="AJ635" s="5" t="str">
        <f>IF($A635="","",IF($AD635="","",IF($AD635&lt;5,"Under 5 C",IF($AD635&lt;10,"5-10 C",IF($AD635&lt;15,"10-15 C","15 C and above")))))</f>
        <v>5-10 C</v>
      </c>
      <c r="AK635" s="5">
        <f>IF($A635="","",IF($P635="","",$P635^2))</f>
        <v>11449</v>
      </c>
      <c r="AL635" s="18">
        <f>IF($V635&lt;&gt;1,"",AVERAGEIFS(Clean_Data!$P$2:$P$1001,Clean_Data!$F$2:$F$1001,$F635,Clean_Data!$W$2:$W$1001,$W635,Clean_Data!$V$2:$V$1001,1))</f>
        <v>103.5</v>
      </c>
      <c r="AM635" s="16">
        <f>IF($V635&lt;&gt;1,"",IFERROR(($P635-$AL635)/SQRT(MAX(0,(SUMIFS(Clean_Data!$AK$2:$AK$1001,Clean_Data!$F$2:$F$1001,$F635,Clean_Data!$W$2:$W$1001,$W635,Clean_Data!$V$2:$V$1001,1)-COUNTIFS(Clean_Data!$F$2:$F$1001,$F635,Clean_Data!$W$2:$W$1001,$W635,Clean_Data!$V$2:$V$1001,1)*$AL635^2)/(COUNTIFS(Clean_Data!$F$2:$F$1001,$F635,Clean_Data!$W$2:$W$1001,$W635,Clean_Data!$V$2:$V$1001,1)-1))),""))</f>
        <v>0.119022094382546</v>
      </c>
      <c r="AN635" s="5" t="str">
        <f>IF($AM635="","",IF($AM635&gt;=Lookups!$K$6,"High spike",IF($AM635&lt;=-Lookups!$K$6,"Unusual low","Normal")))</f>
        <v>Normal</v>
      </c>
      <c r="AO635" s="20">
        <f>IF($V635&lt;&gt;1,"",$P635+ROW()/100000)</f>
        <v>107.00635</v>
      </c>
      <c r="AP635" s="5">
        <f>IF($A635="","",IFERROR(MATCH($A635,Raw_D1!$A$2:$A$1001,0),""))</f>
        <v/>
      </c>
      <c r="AQ635" s="5">
        <f>IF($A635="","",IFERROR(MATCH($A635,Raw_D2!$B$2:$B$1001,0),""))</f>
        <v/>
      </c>
      <c r="AR635" s="5">
        <f>IF($A635="","",IFERROR(MATCH($A635,Raw_D3!$A$2:$A$1001,0),""))</f>
        <v>15</v>
      </c>
    </row>
    <row r="636" spans="1:44" x14ac:dyDescent="0.25">
      <c r="A636" s="5">
        <v>635</v>
      </c>
      <c r="B636" s="11">
        <f>IF($A636="","",IF($AP636&lt;&gt;"",INDEX(Raw_D1!$B$2:$B$1001,$AP636),IF($AR636&lt;&gt;"",INDEX(Raw_D3!$B$2:$B$1001,$AR636),"")))</f>
        <v>40572.0</v>
      </c>
      <c r="C636" s="5">
        <f>IF($A636="","",IF($AP636&lt;&gt;"",INDEX(Raw_D1!$C$2:$C$1001,$AP636),IF($AR636&lt;&gt;"",INDEX(Raw_D3!$C$2:$C$1001,$AR636),"")))</f>
        <v>1</v>
      </c>
      <c r="D636" s="5">
        <f>IF($A636="","",IF($AP636&lt;&gt;"",INDEX(Raw_D1!$D$2:$D$1001,$AP636),IF($AR636&lt;&gt;"",INDEX(Raw_D3!$D$2:$D$1001,$AR636),"")))</f>
        <v>0</v>
      </c>
      <c r="E636" s="5">
        <f>IF($A636="","",IF($AP636&lt;&gt;"",INDEX(Raw_D1!$E$2:$E$1001,$AP636),IF($AR636&lt;&gt;"",INDEX(Raw_D3!$E$2:$E$1001,$AR636),"")))</f>
        <v>1</v>
      </c>
      <c r="F636" s="5">
        <f>IF($A636="","",IF($AP636&lt;&gt;"",INDEX(Raw_D1!$F$2:$F$1001,$AP636),IF($AR636&lt;&gt;"",INDEX(Raw_D3!$F$2:$F$1001,$AR636),"")))</f>
        <v>17</v>
      </c>
      <c r="G636" s="5">
        <f>IF($A636="","",IF($AP636&lt;&gt;"",IF(INDEX(Raw_D1!$G$2:$G$1001,$AP636),1,0),IF($AR636&lt;&gt;"",IF(INDEX(Raw_D3!$G$2:$G$1001,$AR636),1,0),"")))</f>
        <v>0</v>
      </c>
      <c r="H636" s="5">
        <f>IF($A636="","",IF($AP636&lt;&gt;"",INDEX(Raw_D1!$H$2:$H$1001,$AP636),IF($AR636&lt;&gt;"",INDEX(Raw_D3!$H$2:$H$1001,$AR636),"")))</f>
        <v>6</v>
      </c>
      <c r="I636" s="5">
        <f>IF($A636="","",IF($AP636&lt;&gt;"",INDEX(Raw_D1!$I$2:$I$1001,$AP636),IF($AR636&lt;&gt;"",INDEX(Raw_D3!$I$2:$I$1001,$AR636),"")))</f>
        <v>1</v>
      </c>
      <c r="J636" s="16">
        <f>IF($A636="","",IF($AP636&lt;&gt;"",INDEX(Raw_D1!$J$2:$J$1001,$AP636),IF($AR636&lt;&gt;"",INDEX(Raw_D3!$J$2:$J$1001,$AR636),"")))</f>
        <v>0.24</v>
      </c>
      <c r="K636" s="17">
        <f>IF($A636="","",IF($AQ636&lt;&gt;"",IF(INDEX(Raw_D2!$C$2:$C$1001,$AQ636)="","",INDEX(Raw_D2!$C$2:$C$1001,$AQ636)),IF($AR636&lt;&gt;"",IF(INDEX(Raw_D3!$K$2:$K$1001,$AR636)="","",INDEX(Raw_D3!$K$2:$K$1001,$AR636)),"")))</f>
        <v>0.2879</v>
      </c>
      <c r="L636" s="16">
        <f>IF($A636="","",IF($AQ636&lt;&gt;"",IF(INDEX(Raw_D2!$D$2:$D$1001,$AQ636)="","",INDEX(Raw_D2!$D$2:$D$1001,$AQ636)),IF($AR636&lt;&gt;"",IF(INDEX(Raw_D3!$L$2:$L$1001,$AR636)="","",INDEX(Raw_D3!$L$2:$L$1001,$AR636)),"")))</f>
        <v>0.6</v>
      </c>
      <c r="M636" s="17">
        <f>IF($A636="","",IF($AQ636&lt;&gt;"",IF(INDEX(Raw_D2!$E$2:$E$1001,$AQ636)="","",INDEX(Raw_D2!$E$2:$E$1001,$AQ636)),IF($AR636&lt;&gt;"",IF(INDEX(Raw_D3!$M$2:$M$1001,$AR636)="","",INDEX(Raw_D3!$M$2:$M$1001,$AR636)),"")))</f>
        <v>0</v>
      </c>
      <c r="N636" s="5">
        <f>IF($A636="","",IF($AQ636&lt;&gt;"",IF(INDEX(Raw_D2!$F$2:$F$1001,$AQ636)="","",INDEX(Raw_D2!$F$2:$F$1001,$AQ636)),IF($AR636&lt;&gt;"",IF(INDEX(Raw_D3!$N$2:$N$1001,$AR636)="","",INDEX(Raw_D3!$N$2:$N$1001,$AR636)),"")))</f>
        <v>9</v>
      </c>
      <c r="O636" s="5">
        <f>IF($A636="","",IF($AQ636&lt;&gt;"",IF(INDEX(Raw_D2!$G$2:$G$1001,$AQ636)="","",INDEX(Raw_D2!$G$2:$G$1001,$AQ636)),IF($AR636&lt;&gt;"",IF(INDEX(Raw_D3!$O$2:$O$1001,$AR636)="","",INDEX(Raw_D3!$O$2:$O$1001,$AR636)),"")))</f>
        <v>82</v>
      </c>
      <c r="P636" s="5">
        <f>IF($A636="","",IF($AQ636&lt;&gt;"",IF(INDEX(Raw_D2!$H$2:$H$1001,$AQ636)="","",INDEX(Raw_D2!$H$2:$H$1001,$AQ636)),IF($AR636&lt;&gt;"",IF(INDEX(Raw_D3!$P$2:$P$1001,$AR636)="","",INDEX(Raw_D3!$P$2:$P$1001,$AR636)),"")))</f>
        <v>91</v>
      </c>
      <c r="Q636" s="5" t="str">
        <f>IF($A636="","",IF(AND($AP636&lt;&gt;"",$AQ636&lt;&gt;""),"D1+D2",IF($AR636&lt;&gt;"","D3","Incomplete")))</f>
        <v>D3</v>
      </c>
      <c r="R636" s="17">
        <f>IF($A636="","",IF($K636="",IF($J636="","",ROUND(Lookups!$K$5+Lookups!$K$4*$J636,4)),$K636))</f>
        <v>0.2879</v>
      </c>
      <c r="S636" s="5" t="str">
        <f>IF($A636="","",IF($K636="","Imputed","Original"))</f>
        <v>Original</v>
      </c>
      <c r="T636" s="5" t="str">
        <f>IF($A636="","",IF($P636="","Missing",IF($P636=$N636+$O636,"OK","Mismatch")))</f>
        <v>OK</v>
      </c>
      <c r="U636" s="5" t="str">
        <f>IF($A636="","",IF(COUNTIF($A$2:$A636,$A636)&gt;1,"Duplicate","Unique"))</f>
        <v>Unique</v>
      </c>
      <c r="V636" s="5">
        <f>IF($A636="","",IF(AND($U636="Unique",ISNUMBER($P636)),1,0))</f>
        <v>1</v>
      </c>
      <c r="W636" s="5" t="str">
        <f>IF($A636="","",IF(OR($H636=0,$H636=6),"Weekend","Weekday"))</f>
        <v>Weekend</v>
      </c>
      <c r="X636" s="5" t="str">
        <f>IF($A636="","",TEXT($B636,"ddd"))</f>
        <v>Sat</v>
      </c>
      <c r="Y636" s="5" t="str">
        <f>IF($A636="","",TEXT($B636,"mmm"))</f>
        <v>Jan</v>
      </c>
      <c r="Z636" s="5" t="str">
        <f>IF($A636="","",IFERROR(VLOOKUP($C636,Lookups!$D$4:$E$7,2,FALSE),"Unknown"))</f>
        <v>Winter</v>
      </c>
      <c r="AA636" s="5" t="str">
        <f>IF($A636="","",IFERROR(VLOOKUP($I636,Lookups!$A$4:$B$7,2,FALSE),"Unknown"))</f>
        <v>Clear</v>
      </c>
      <c r="AB636" s="5" t="str">
        <f>IF($A636="","",TEXT($F636,"00")&amp;":00")</f>
        <v>17:00</v>
      </c>
      <c r="AC636" s="5" t="str">
        <f>IF($A636="","",VLOOKUP($F636,Lookups!$G$4:$H$8,2,TRUE))</f>
        <v>Evening Peak (16-19)</v>
      </c>
      <c r="AD636" s="18">
        <f>IF($A636="","",IF($J636="","",ROUND($J636*41,1)))</f>
        <v>9.8</v>
      </c>
      <c r="AE636" s="18">
        <f>IF($A636="","",IF($R636="","",ROUND($R636*50,1)))</f>
        <v>14.4</v>
      </c>
      <c r="AF636" s="5">
        <f>IF($A636="","",IF($L636="","",ROUND($L636*100,0)))</f>
        <v>60</v>
      </c>
      <c r="AG636" s="18">
        <f>IF($A636="","",IF($M636="","",ROUND($M636*67,1)))</f>
        <v>0</v>
      </c>
      <c r="AH636" s="19">
        <f>IF($A636="","",IF($P636="","",IF($P636=0,0,$O636/$P636)))</f>
        <v>0.901098901098901</v>
      </c>
      <c r="AI636" s="5" t="str">
        <f>IF($A636="","",IF($P636="","",IF($P636&gt;=Lookups!$K$7,"High",IF($P636&lt;=Lookups!$K$8,"Low","Medium"))))</f>
        <v>High</v>
      </c>
      <c r="AJ636" s="5" t="str">
        <f>IF($A636="","",IF($AD636="","",IF($AD636&lt;5,"Under 5 C",IF($AD636&lt;10,"5-10 C",IF($AD636&lt;15,"10-15 C","15 C and above")))))</f>
        <v>5-10 C</v>
      </c>
      <c r="AK636" s="5">
        <f>IF($A636="","",IF($P636="","",$P636^2))</f>
        <v>8281</v>
      </c>
      <c r="AL636" s="18">
        <f>IF($V636&lt;&gt;1,"",AVERAGEIFS(Clean_Data!$P$2:$P$1001,Clean_Data!$F$2:$F$1001,$F636,Clean_Data!$W$2:$W$1001,$W636,Clean_Data!$V$2:$V$1001,1))</f>
        <v>85.8571428571429</v>
      </c>
      <c r="AM636" s="16">
        <f>IF($V636&lt;&gt;1,"",IFERROR(($P636-$AL636)/SQRT(MAX(0,(SUMIFS(Clean_Data!$AK$2:$AK$1001,Clean_Data!$F$2:$F$1001,$F636,Clean_Data!$W$2:$W$1001,$W636,Clean_Data!$V$2:$V$1001,1)-COUNTIFS(Clean_Data!$F$2:$F$1001,$F636,Clean_Data!$W$2:$W$1001,$W636,Clean_Data!$V$2:$V$1001,1)*$AL636^2)/(COUNTIFS(Clean_Data!$F$2:$F$1001,$F636,Clean_Data!$W$2:$W$1001,$W636,Clean_Data!$V$2:$V$1001,1)-1))),""))</f>
        <v>0.196822380481765</v>
      </c>
      <c r="AN636" s="5" t="str">
        <f>IF($AM636="","",IF($AM636&gt;=Lookups!$K$6,"High spike",IF($AM636&lt;=-Lookups!$K$6,"Unusual low","Normal")))</f>
        <v>Normal</v>
      </c>
      <c r="AO636" s="20">
        <f>IF($V636&lt;&gt;1,"",$P636+ROW()/100000)</f>
        <v>91.00636</v>
      </c>
      <c r="AP636" s="5">
        <f>IF($A636="","",IFERROR(MATCH($A636,Raw_D1!$A$2:$A$1001,0),""))</f>
        <v/>
      </c>
      <c r="AQ636" s="5">
        <f>IF($A636="","",IFERROR(MATCH($A636,Raw_D2!$B$2:$B$1001,0),""))</f>
        <v/>
      </c>
      <c r="AR636" s="5">
        <f>IF($A636="","",IFERROR(MATCH($A636,Raw_D3!$A$2:$A$1001,0),""))</f>
        <v>16</v>
      </c>
    </row>
    <row r="637" spans="1:44" x14ac:dyDescent="0.25">
      <c r="A637" s="5">
        <v>636</v>
      </c>
      <c r="B637" s="11">
        <f>IF($A637="","",IF($AP637&lt;&gt;"",INDEX(Raw_D1!$B$2:$B$1001,$AP637),IF($AR637&lt;&gt;"",INDEX(Raw_D3!$B$2:$B$1001,$AR637),"")))</f>
        <v>40572.0</v>
      </c>
      <c r="C637" s="5">
        <f>IF($A637="","",IF($AP637&lt;&gt;"",INDEX(Raw_D1!$C$2:$C$1001,$AP637),IF($AR637&lt;&gt;"",INDEX(Raw_D3!$C$2:$C$1001,$AR637),"")))</f>
        <v>1</v>
      </c>
      <c r="D637" s="5">
        <f>IF($A637="","",IF($AP637&lt;&gt;"",INDEX(Raw_D1!$D$2:$D$1001,$AP637),IF($AR637&lt;&gt;"",INDEX(Raw_D3!$D$2:$D$1001,$AR637),"")))</f>
        <v>0</v>
      </c>
      <c r="E637" s="5">
        <f>IF($A637="","",IF($AP637&lt;&gt;"",INDEX(Raw_D1!$E$2:$E$1001,$AP637),IF($AR637&lt;&gt;"",INDEX(Raw_D3!$E$2:$E$1001,$AR637),"")))</f>
        <v>1</v>
      </c>
      <c r="F637" s="5">
        <f>IF($A637="","",IF($AP637&lt;&gt;"",INDEX(Raw_D1!$F$2:$F$1001,$AP637),IF($AR637&lt;&gt;"",INDEX(Raw_D3!$F$2:$F$1001,$AR637),"")))</f>
        <v>18</v>
      </c>
      <c r="G637" s="5">
        <f>IF($A637="","",IF($AP637&lt;&gt;"",IF(INDEX(Raw_D1!$G$2:$G$1001,$AP637),1,0),IF($AR637&lt;&gt;"",IF(INDEX(Raw_D3!$G$2:$G$1001,$AR637),1,0),"")))</f>
        <v>0</v>
      </c>
      <c r="H637" s="5">
        <f>IF($A637="","",IF($AP637&lt;&gt;"",INDEX(Raw_D1!$H$2:$H$1001,$AP637),IF($AR637&lt;&gt;"",INDEX(Raw_D3!$H$2:$H$1001,$AR637),"")))</f>
        <v>6</v>
      </c>
      <c r="I637" s="5">
        <f>IF($A637="","",IF($AP637&lt;&gt;"",INDEX(Raw_D1!$I$2:$I$1001,$AP637),IF($AR637&lt;&gt;"",INDEX(Raw_D3!$I$2:$I$1001,$AR637),"")))</f>
        <v>1</v>
      </c>
      <c r="J637" s="16">
        <f>IF($A637="","",IF($AP637&lt;&gt;"",INDEX(Raw_D1!$J$2:$J$1001,$AP637),IF($AR637&lt;&gt;"",INDEX(Raw_D3!$J$2:$J$1001,$AR637),"")))</f>
        <v>0.22</v>
      </c>
      <c r="K637" s="17">
        <f>IF($A637="","",IF($AQ637&lt;&gt;"",IF(INDEX(Raw_D2!$C$2:$C$1001,$AQ637)="","",INDEX(Raw_D2!$C$2:$C$1001,$AQ637)),IF($AR637&lt;&gt;"",IF(INDEX(Raw_D3!$K$2:$K$1001,$AR637)="","",INDEX(Raw_D3!$K$2:$K$1001,$AR637)),"")))</f>
        <v>0.2273</v>
      </c>
      <c r="L637" s="16">
        <f>IF($A637="","",IF($AQ637&lt;&gt;"",IF(INDEX(Raw_D2!$D$2:$D$1001,$AQ637)="","",INDEX(Raw_D2!$D$2:$D$1001,$AQ637)),IF($AR637&lt;&gt;"",IF(INDEX(Raw_D3!$L$2:$L$1001,$AR637)="","",INDEX(Raw_D3!$L$2:$L$1001,$AR637)),"")))</f>
        <v>0.69</v>
      </c>
      <c r="M637" s="17">
        <f>IF($A637="","",IF($AQ637&lt;&gt;"",IF(INDEX(Raw_D2!$E$2:$E$1001,$AQ637)="","",INDEX(Raw_D2!$E$2:$E$1001,$AQ637)),IF($AR637&lt;&gt;"",IF(INDEX(Raw_D3!$M$2:$M$1001,$AR637)="","",INDEX(Raw_D3!$M$2:$M$1001,$AR637)),"")))</f>
        <v>0.1343</v>
      </c>
      <c r="N637" s="5">
        <f>IF($A637="","",IF($AQ637&lt;&gt;"",IF(INDEX(Raw_D2!$F$2:$F$1001,$AQ637)="","",INDEX(Raw_D2!$F$2:$F$1001,$AQ637)),IF($AR637&lt;&gt;"",IF(INDEX(Raw_D3!$N$2:$N$1001,$AR637)="","",INDEX(Raw_D3!$N$2:$N$1001,$AR637)),"")))</f>
        <v>9</v>
      </c>
      <c r="O637" s="5">
        <f>IF($A637="","",IF($AQ637&lt;&gt;"",IF(INDEX(Raw_D2!$G$2:$G$1001,$AQ637)="","",INDEX(Raw_D2!$G$2:$G$1001,$AQ637)),IF($AR637&lt;&gt;"",IF(INDEX(Raw_D3!$O$2:$O$1001,$AR637)="","",INDEX(Raw_D3!$O$2:$O$1001,$AR637)),"")))</f>
        <v>59</v>
      </c>
      <c r="P637" s="5">
        <f>IF($A637="","",IF($AQ637&lt;&gt;"",IF(INDEX(Raw_D2!$H$2:$H$1001,$AQ637)="","",INDEX(Raw_D2!$H$2:$H$1001,$AQ637)),IF($AR637&lt;&gt;"",IF(INDEX(Raw_D3!$P$2:$P$1001,$AR637)="","",INDEX(Raw_D3!$P$2:$P$1001,$AR637)),"")))</f>
        <v>68</v>
      </c>
      <c r="Q637" s="5" t="str">
        <f>IF($A637="","",IF(AND($AP637&lt;&gt;"",$AQ637&lt;&gt;""),"D1+D2",IF($AR637&lt;&gt;"","D3","Incomplete")))</f>
        <v>D3</v>
      </c>
      <c r="R637" s="17">
        <f>IF($A637="","",IF($K637="",IF($J637="","",ROUND(Lookups!$K$5+Lookups!$K$4*$J637,4)),$K637))</f>
        <v>0.2273</v>
      </c>
      <c r="S637" s="5" t="str">
        <f>IF($A637="","",IF($K637="","Imputed","Original"))</f>
        <v>Original</v>
      </c>
      <c r="T637" s="5" t="str">
        <f>IF($A637="","",IF($P637="","Missing",IF($P637=$N637+$O637,"OK","Mismatch")))</f>
        <v>OK</v>
      </c>
      <c r="U637" s="5" t="str">
        <f>IF($A637="","",IF(COUNTIF($A$2:$A637,$A637)&gt;1,"Duplicate","Unique"))</f>
        <v>Unique</v>
      </c>
      <c r="V637" s="5">
        <f>IF($A637="","",IF(AND($U637="Unique",ISNUMBER($P637)),1,0))</f>
        <v>1</v>
      </c>
      <c r="W637" s="5" t="str">
        <f>IF($A637="","",IF(OR($H637=0,$H637=6),"Weekend","Weekday"))</f>
        <v>Weekend</v>
      </c>
      <c r="X637" s="5" t="str">
        <f>IF($A637="","",TEXT($B637,"ddd"))</f>
        <v>Sat</v>
      </c>
      <c r="Y637" s="5" t="str">
        <f>IF($A637="","",TEXT($B637,"mmm"))</f>
        <v>Jan</v>
      </c>
      <c r="Z637" s="5" t="str">
        <f>IF($A637="","",IFERROR(VLOOKUP($C637,Lookups!$D$4:$E$7,2,FALSE),"Unknown"))</f>
        <v>Winter</v>
      </c>
      <c r="AA637" s="5" t="str">
        <f>IF($A637="","",IFERROR(VLOOKUP($I637,Lookups!$A$4:$B$7,2,FALSE),"Unknown"))</f>
        <v>Clear</v>
      </c>
      <c r="AB637" s="5" t="str">
        <f>IF($A637="","",TEXT($F637,"00")&amp;":00")</f>
        <v>18:00</v>
      </c>
      <c r="AC637" s="5" t="str">
        <f>IF($A637="","",VLOOKUP($F637,Lookups!$G$4:$H$8,2,TRUE))</f>
        <v>Evening Peak (16-19)</v>
      </c>
      <c r="AD637" s="18">
        <f>IF($A637="","",IF($J637="","",ROUND($J637*41,1)))</f>
        <v>9</v>
      </c>
      <c r="AE637" s="18">
        <f>IF($A637="","",IF($R637="","",ROUND($R637*50,1)))</f>
        <v>11.4</v>
      </c>
      <c r="AF637" s="5">
        <f>IF($A637="","",IF($L637="","",ROUND($L637*100,0)))</f>
        <v>69</v>
      </c>
      <c r="AG637" s="18">
        <f>IF($A637="","",IF($M637="","",ROUND($M637*67,1)))</f>
        <v>9</v>
      </c>
      <c r="AH637" s="19">
        <f>IF($A637="","",IF($P637="","",IF($P637=0,0,$O637/$P637)))</f>
        <v>0.867647058823529</v>
      </c>
      <c r="AI637" s="5" t="str">
        <f>IF($A637="","",IF($P637="","",IF($P637&gt;=Lookups!$K$7,"High",IF($P637&lt;=Lookups!$K$8,"Low","Medium"))))</f>
        <v>Medium</v>
      </c>
      <c r="AJ637" s="5" t="str">
        <f>IF($A637="","",IF($AD637="","",IF($AD637&lt;5,"Under 5 C",IF($AD637&lt;10,"5-10 C",IF($AD637&lt;15,"10-15 C","15 C and above")))))</f>
        <v>5-10 C</v>
      </c>
      <c r="AK637" s="5">
        <f>IF($A637="","",IF($P637="","",$P637^2))</f>
        <v>4624</v>
      </c>
      <c r="AL637" s="18">
        <f>IF($V637&lt;&gt;1,"",AVERAGEIFS(Clean_Data!$P$2:$P$1001,Clean_Data!$F$2:$F$1001,$F637,Clean_Data!$W$2:$W$1001,$W637,Clean_Data!$V$2:$V$1001,1))</f>
        <v>64.1428571428571</v>
      </c>
      <c r="AM637" s="16">
        <f>IF($V637&lt;&gt;1,"",IFERROR(($P637-$AL637)/SQRT(MAX(0,(SUMIFS(Clean_Data!$AK$2:$AK$1001,Clean_Data!$F$2:$F$1001,$F637,Clean_Data!$W$2:$W$1001,$W637,Clean_Data!$V$2:$V$1001,1)-COUNTIFS(Clean_Data!$F$2:$F$1001,$F637,Clean_Data!$W$2:$W$1001,$W637,Clean_Data!$V$2:$V$1001,1)*$AL637^2)/(COUNTIFS(Clean_Data!$F$2:$F$1001,$F637,Clean_Data!$W$2:$W$1001,$W637,Clean_Data!$V$2:$V$1001,1)-1))),""))</f>
        <v>0.232831838041286</v>
      </c>
      <c r="AN637" s="5" t="str">
        <f>IF($AM637="","",IF($AM637&gt;=Lookups!$K$6,"High spike",IF($AM637&lt;=-Lookups!$K$6,"Unusual low","Normal")))</f>
        <v>Normal</v>
      </c>
      <c r="AO637" s="20">
        <f>IF($V637&lt;&gt;1,"",$P637+ROW()/100000)</f>
        <v>68.00637</v>
      </c>
      <c r="AP637" s="5">
        <f>IF($A637="","",IFERROR(MATCH($A637,Raw_D1!$A$2:$A$1001,0),""))</f>
        <v/>
      </c>
      <c r="AQ637" s="5">
        <f>IF($A637="","",IFERROR(MATCH($A637,Raw_D2!$B$2:$B$1001,0),""))</f>
        <v/>
      </c>
      <c r="AR637" s="5">
        <f>IF($A637="","",IFERROR(MATCH($A637,Raw_D3!$A$2:$A$1001,0),""))</f>
        <v>17</v>
      </c>
    </row>
    <row r="638" spans="1:44" x14ac:dyDescent="0.25">
      <c r="A638" s="5">
        <v>637</v>
      </c>
      <c r="B638" s="11">
        <f>IF($A638="","",IF($AP638&lt;&gt;"",INDEX(Raw_D1!$B$2:$B$1001,$AP638),IF($AR638&lt;&gt;"",INDEX(Raw_D3!$B$2:$B$1001,$AR638),"")))</f>
        <v>40572.0</v>
      </c>
      <c r="C638" s="5">
        <f>IF($A638="","",IF($AP638&lt;&gt;"",INDEX(Raw_D1!$C$2:$C$1001,$AP638),IF($AR638&lt;&gt;"",INDEX(Raw_D3!$C$2:$C$1001,$AR638),"")))</f>
        <v>1</v>
      </c>
      <c r="D638" s="5">
        <f>IF($A638="","",IF($AP638&lt;&gt;"",INDEX(Raw_D1!$D$2:$D$1001,$AP638),IF($AR638&lt;&gt;"",INDEX(Raw_D3!$D$2:$D$1001,$AR638),"")))</f>
        <v>0</v>
      </c>
      <c r="E638" s="5">
        <f>IF($A638="","",IF($AP638&lt;&gt;"",INDEX(Raw_D1!$E$2:$E$1001,$AP638),IF($AR638&lt;&gt;"",INDEX(Raw_D3!$E$2:$E$1001,$AR638),"")))</f>
        <v>1</v>
      </c>
      <c r="F638" s="5">
        <f>IF($A638="","",IF($AP638&lt;&gt;"",INDEX(Raw_D1!$F$2:$F$1001,$AP638),IF($AR638&lt;&gt;"",INDEX(Raw_D3!$F$2:$F$1001,$AR638),"")))</f>
        <v>19</v>
      </c>
      <c r="G638" s="5">
        <f>IF($A638="","",IF($AP638&lt;&gt;"",IF(INDEX(Raw_D1!$G$2:$G$1001,$AP638),1,0),IF($AR638&lt;&gt;"",IF(INDEX(Raw_D3!$G$2:$G$1001,$AR638),1,0),"")))</f>
        <v>0</v>
      </c>
      <c r="H638" s="5">
        <f>IF($A638="","",IF($AP638&lt;&gt;"",INDEX(Raw_D1!$H$2:$H$1001,$AP638),IF($AR638&lt;&gt;"",INDEX(Raw_D3!$H$2:$H$1001,$AR638),"")))</f>
        <v>6</v>
      </c>
      <c r="I638" s="5">
        <f>IF($A638="","",IF($AP638&lt;&gt;"",INDEX(Raw_D1!$I$2:$I$1001,$AP638),IF($AR638&lt;&gt;"",INDEX(Raw_D3!$I$2:$I$1001,$AR638),"")))</f>
        <v>2</v>
      </c>
      <c r="J638" s="16">
        <f>IF($A638="","",IF($AP638&lt;&gt;"",INDEX(Raw_D1!$J$2:$J$1001,$AP638),IF($AR638&lt;&gt;"",INDEX(Raw_D3!$J$2:$J$1001,$AR638),"")))</f>
        <v>0.22</v>
      </c>
      <c r="K638" s="17">
        <f>IF($A638="","",IF($AQ638&lt;&gt;"",IF(INDEX(Raw_D2!$C$2:$C$1001,$AQ638)="","",INDEX(Raw_D2!$C$2:$C$1001,$AQ638)),IF($AR638&lt;&gt;"",IF(INDEX(Raw_D3!$K$2:$K$1001,$AR638)="","",INDEX(Raw_D3!$K$2:$K$1001,$AR638)),"")))</f>
        <v>0.2121</v>
      </c>
      <c r="L638" s="16">
        <f>IF($A638="","",IF($AQ638&lt;&gt;"",IF(INDEX(Raw_D2!$D$2:$D$1001,$AQ638)="","",INDEX(Raw_D2!$D$2:$D$1001,$AQ638)),IF($AR638&lt;&gt;"",IF(INDEX(Raw_D3!$L$2:$L$1001,$AR638)="","",INDEX(Raw_D3!$L$2:$L$1001,$AR638)),"")))</f>
        <v>0.69</v>
      </c>
      <c r="M638" s="17">
        <f>IF($A638="","",IF($AQ638&lt;&gt;"",IF(INDEX(Raw_D2!$E$2:$E$1001,$AQ638)="","",INDEX(Raw_D2!$E$2:$E$1001,$AQ638)),IF($AR638&lt;&gt;"",IF(INDEX(Raw_D3!$M$2:$M$1001,$AR638)="","",INDEX(Raw_D3!$M$2:$M$1001,$AR638)),"")))</f>
        <v>0.2537</v>
      </c>
      <c r="N638" s="5">
        <f>IF($A638="","",IF($AQ638&lt;&gt;"",IF(INDEX(Raw_D2!$F$2:$F$1001,$AQ638)="","",INDEX(Raw_D2!$F$2:$F$1001,$AQ638)),IF($AR638&lt;&gt;"",IF(INDEX(Raw_D3!$N$2:$N$1001,$AR638)="","",INDEX(Raw_D3!$N$2:$N$1001,$AR638)),"")))</f>
        <v>6</v>
      </c>
      <c r="O638" s="5">
        <f>IF($A638="","",IF($AQ638&lt;&gt;"",IF(INDEX(Raw_D2!$G$2:$G$1001,$AQ638)="","",INDEX(Raw_D2!$G$2:$G$1001,$AQ638)),IF($AR638&lt;&gt;"",IF(INDEX(Raw_D3!$O$2:$O$1001,$AR638)="","",INDEX(Raw_D3!$O$2:$O$1001,$AR638)),"")))</f>
        <v>52</v>
      </c>
      <c r="P638" s="5">
        <f>IF($A638="","",IF($AQ638&lt;&gt;"",IF(INDEX(Raw_D2!$H$2:$H$1001,$AQ638)="","",INDEX(Raw_D2!$H$2:$H$1001,$AQ638)),IF($AR638&lt;&gt;"",IF(INDEX(Raw_D3!$P$2:$P$1001,$AR638)="","",INDEX(Raw_D3!$P$2:$P$1001,$AR638)),"")))</f>
        <v>58</v>
      </c>
      <c r="Q638" s="5" t="str">
        <f>IF($A638="","",IF(AND($AP638&lt;&gt;"",$AQ638&lt;&gt;""),"D1+D2",IF($AR638&lt;&gt;"","D3","Incomplete")))</f>
        <v>D3</v>
      </c>
      <c r="R638" s="17">
        <f>IF($A638="","",IF($K638="",IF($J638="","",ROUND(Lookups!$K$5+Lookups!$K$4*$J638,4)),$K638))</f>
        <v>0.2121</v>
      </c>
      <c r="S638" s="5" t="str">
        <f>IF($A638="","",IF($K638="","Imputed","Original"))</f>
        <v>Original</v>
      </c>
      <c r="T638" s="5" t="str">
        <f>IF($A638="","",IF($P638="","Missing",IF($P638=$N638+$O638,"OK","Mismatch")))</f>
        <v>OK</v>
      </c>
      <c r="U638" s="5" t="str">
        <f>IF($A638="","",IF(COUNTIF($A$2:$A638,$A638)&gt;1,"Duplicate","Unique"))</f>
        <v>Unique</v>
      </c>
      <c r="V638" s="5">
        <f>IF($A638="","",IF(AND($U638="Unique",ISNUMBER($P638)),1,0))</f>
        <v>1</v>
      </c>
      <c r="W638" s="5" t="str">
        <f>IF($A638="","",IF(OR($H638=0,$H638=6),"Weekend","Weekday"))</f>
        <v>Weekend</v>
      </c>
      <c r="X638" s="5" t="str">
        <f>IF($A638="","",TEXT($B638,"ddd"))</f>
        <v>Sat</v>
      </c>
      <c r="Y638" s="5" t="str">
        <f>IF($A638="","",TEXT($B638,"mmm"))</f>
        <v>Jan</v>
      </c>
      <c r="Z638" s="5" t="str">
        <f>IF($A638="","",IFERROR(VLOOKUP($C638,Lookups!$D$4:$E$7,2,FALSE),"Unknown"))</f>
        <v>Winter</v>
      </c>
      <c r="AA638" s="5" t="str">
        <f>IF($A638="","",IFERROR(VLOOKUP($I638,Lookups!$A$4:$B$7,2,FALSE),"Unknown"))</f>
        <v>Mist/Cloudy</v>
      </c>
      <c r="AB638" s="5" t="str">
        <f>IF($A638="","",TEXT($F638,"00")&amp;":00")</f>
        <v>19:00</v>
      </c>
      <c r="AC638" s="5" t="str">
        <f>IF($A638="","",VLOOKUP($F638,Lookups!$G$4:$H$8,2,TRUE))</f>
        <v>Evening Peak (16-19)</v>
      </c>
      <c r="AD638" s="18">
        <f>IF($A638="","",IF($J638="","",ROUND($J638*41,1)))</f>
        <v>9</v>
      </c>
      <c r="AE638" s="18">
        <f>IF($A638="","",IF($R638="","",ROUND($R638*50,1)))</f>
        <v>10.6</v>
      </c>
      <c r="AF638" s="5">
        <f>IF($A638="","",IF($L638="","",ROUND($L638*100,0)))</f>
        <v>69</v>
      </c>
      <c r="AG638" s="18">
        <f>IF($A638="","",IF($M638="","",ROUND($M638*67,1)))</f>
        <v>17</v>
      </c>
      <c r="AH638" s="19">
        <f>IF($A638="","",IF($P638="","",IF($P638=0,0,$O638/$P638)))</f>
        <v>0.896551724137931</v>
      </c>
      <c r="AI638" s="5" t="str">
        <f>IF($A638="","",IF($P638="","",IF($P638&gt;=Lookups!$K$7,"High",IF($P638&lt;=Lookups!$K$8,"Low","Medium"))))</f>
        <v>Medium</v>
      </c>
      <c r="AJ638" s="5" t="str">
        <f>IF($A638="","",IF($AD638="","",IF($AD638&lt;5,"Under 5 C",IF($AD638&lt;10,"5-10 C",IF($AD638&lt;15,"10-15 C","15 C and above")))))</f>
        <v>5-10 C</v>
      </c>
      <c r="AK638" s="5">
        <f>IF($A638="","",IF($P638="","",$P638^2))</f>
        <v>3364</v>
      </c>
      <c r="AL638" s="18">
        <f>IF($V638&lt;&gt;1,"",AVERAGEIFS(Clean_Data!$P$2:$P$1001,Clean_Data!$F$2:$F$1001,$F638,Clean_Data!$W$2:$W$1001,$W638,Clean_Data!$V$2:$V$1001,1))</f>
        <v>50.1428571428571</v>
      </c>
      <c r="AM638" s="16">
        <f>IF($V638&lt;&gt;1,"",IFERROR(($P638-$AL638)/SQRT(MAX(0,(SUMIFS(Clean_Data!$AK$2:$AK$1001,Clean_Data!$F$2:$F$1001,$F638,Clean_Data!$W$2:$W$1001,$W638,Clean_Data!$V$2:$V$1001,1)-COUNTIFS(Clean_Data!$F$2:$F$1001,$F638,Clean_Data!$W$2:$W$1001,$W638,Clean_Data!$V$2:$V$1001,1)*$AL638^2)/(COUNTIFS(Clean_Data!$F$2:$F$1001,$F638,Clean_Data!$W$2:$W$1001,$W638,Clean_Data!$V$2:$V$1001,1)-1))),""))</f>
        <v>0.441584393873672</v>
      </c>
      <c r="AN638" s="5" t="str">
        <f>IF($AM638="","",IF($AM638&gt;=Lookups!$K$6,"High spike",IF($AM638&lt;=-Lookups!$K$6,"Unusual low","Normal")))</f>
        <v>Normal</v>
      </c>
      <c r="AO638" s="20">
        <f>IF($V638&lt;&gt;1,"",$P638+ROW()/100000)</f>
        <v>58.00638</v>
      </c>
      <c r="AP638" s="5">
        <f>IF($A638="","",IFERROR(MATCH($A638,Raw_D1!$A$2:$A$1001,0),""))</f>
        <v/>
      </c>
      <c r="AQ638" s="5">
        <f>IF($A638="","",IFERROR(MATCH($A638,Raw_D2!$B$2:$B$1001,0),""))</f>
        <v/>
      </c>
      <c r="AR638" s="5">
        <f>IF($A638="","",IFERROR(MATCH($A638,Raw_D3!$A$2:$A$1001,0),""))</f>
        <v>18</v>
      </c>
    </row>
    <row r="639" spans="1:44" x14ac:dyDescent="0.25">
      <c r="A639" s="5">
        <v>638</v>
      </c>
      <c r="B639" s="11">
        <f>IF($A639="","",IF($AP639&lt;&gt;"",INDEX(Raw_D1!$B$2:$B$1001,$AP639),IF($AR639&lt;&gt;"",INDEX(Raw_D3!$B$2:$B$1001,$AR639),"")))</f>
        <v>40572.0</v>
      </c>
      <c r="C639" s="5">
        <f>IF($A639="","",IF($AP639&lt;&gt;"",INDEX(Raw_D1!$C$2:$C$1001,$AP639),IF($AR639&lt;&gt;"",INDEX(Raw_D3!$C$2:$C$1001,$AR639),"")))</f>
        <v>1</v>
      </c>
      <c r="D639" s="5">
        <f>IF($A639="","",IF($AP639&lt;&gt;"",INDEX(Raw_D1!$D$2:$D$1001,$AP639),IF($AR639&lt;&gt;"",INDEX(Raw_D3!$D$2:$D$1001,$AR639),"")))</f>
        <v>0</v>
      </c>
      <c r="E639" s="5">
        <f>IF($A639="","",IF($AP639&lt;&gt;"",INDEX(Raw_D1!$E$2:$E$1001,$AP639),IF($AR639&lt;&gt;"",INDEX(Raw_D3!$E$2:$E$1001,$AR639),"")))</f>
        <v>1</v>
      </c>
      <c r="F639" s="5">
        <f>IF($A639="","",IF($AP639&lt;&gt;"",INDEX(Raw_D1!$F$2:$F$1001,$AP639),IF($AR639&lt;&gt;"",INDEX(Raw_D3!$F$2:$F$1001,$AR639),"")))</f>
        <v>20</v>
      </c>
      <c r="G639" s="5">
        <f>IF($A639="","",IF($AP639&lt;&gt;"",IF(INDEX(Raw_D1!$G$2:$G$1001,$AP639),1,0),IF($AR639&lt;&gt;"",IF(INDEX(Raw_D3!$G$2:$G$1001,$AR639),1,0),"")))</f>
        <v>0</v>
      </c>
      <c r="H639" s="5">
        <f>IF($A639="","",IF($AP639&lt;&gt;"",INDEX(Raw_D1!$H$2:$H$1001,$AP639),IF($AR639&lt;&gt;"",INDEX(Raw_D3!$H$2:$H$1001,$AR639),"")))</f>
        <v>6</v>
      </c>
      <c r="I639" s="5">
        <f>IF($A639="","",IF($AP639&lt;&gt;"",INDEX(Raw_D1!$I$2:$I$1001,$AP639),IF($AR639&lt;&gt;"",INDEX(Raw_D3!$I$2:$I$1001,$AR639),"")))</f>
        <v>1</v>
      </c>
      <c r="J639" s="16">
        <f>IF($A639="","",IF($AP639&lt;&gt;"",INDEX(Raw_D1!$J$2:$J$1001,$AP639),IF($AR639&lt;&gt;"",INDEX(Raw_D3!$J$2:$J$1001,$AR639),"")))</f>
        <v>0.18</v>
      </c>
      <c r="K639" s="17">
        <f>IF($A639="","",IF($AQ639&lt;&gt;"",IF(INDEX(Raw_D2!$C$2:$C$1001,$AQ639)="","",INDEX(Raw_D2!$C$2:$C$1001,$AQ639)),IF($AR639&lt;&gt;"",IF(INDEX(Raw_D3!$K$2:$K$1001,$AR639)="","",INDEX(Raw_D3!$K$2:$K$1001,$AR639)),"")))</f>
        <v>0.2121</v>
      </c>
      <c r="L639" s="16">
        <f>IF($A639="","",IF($AQ639&lt;&gt;"",IF(INDEX(Raw_D2!$D$2:$D$1001,$AQ639)="","",INDEX(Raw_D2!$D$2:$D$1001,$AQ639)),IF($AR639&lt;&gt;"",IF(INDEX(Raw_D3!$L$2:$L$1001,$AR639)="","",INDEX(Raw_D3!$L$2:$L$1001,$AR639)),"")))</f>
        <v>0.74</v>
      </c>
      <c r="M639" s="17">
        <f>IF($A639="","",IF($AQ639&lt;&gt;"",IF(INDEX(Raw_D2!$E$2:$E$1001,$AQ639)="","",INDEX(Raw_D2!$E$2:$E$1001,$AQ639)),IF($AR639&lt;&gt;"",IF(INDEX(Raw_D3!$M$2:$M$1001,$AR639)="","",INDEX(Raw_D3!$M$2:$M$1001,$AR639)),"")))</f>
        <v>0.0896</v>
      </c>
      <c r="N639" s="5">
        <f>IF($A639="","",IF($AQ639&lt;&gt;"",IF(INDEX(Raw_D2!$F$2:$F$1001,$AQ639)="","",INDEX(Raw_D2!$F$2:$F$1001,$AQ639)),IF($AR639&lt;&gt;"",IF(INDEX(Raw_D3!$N$2:$N$1001,$AR639)="","",INDEX(Raw_D3!$N$2:$N$1001,$AR639)),"")))</f>
        <v>1</v>
      </c>
      <c r="O639" s="5">
        <f>IF($A639="","",IF($AQ639&lt;&gt;"",IF(INDEX(Raw_D2!$G$2:$G$1001,$AQ639)="","",INDEX(Raw_D2!$G$2:$G$1001,$AQ639)),IF($AR639&lt;&gt;"",IF(INDEX(Raw_D3!$O$2:$O$1001,$AR639)="","",INDEX(Raw_D3!$O$2:$O$1001,$AR639)),"")))</f>
        <v>42</v>
      </c>
      <c r="P639" s="5">
        <f>IF($A639="","",IF($AQ639&lt;&gt;"",IF(INDEX(Raw_D2!$H$2:$H$1001,$AQ639)="","",INDEX(Raw_D2!$H$2:$H$1001,$AQ639)),IF($AR639&lt;&gt;"",IF(INDEX(Raw_D3!$P$2:$P$1001,$AR639)="","",INDEX(Raw_D3!$P$2:$P$1001,$AR639)),"")))</f>
        <v>43</v>
      </c>
      <c r="Q639" s="5" t="str">
        <f>IF($A639="","",IF(AND($AP639&lt;&gt;"",$AQ639&lt;&gt;""),"D1+D2",IF($AR639&lt;&gt;"","D3","Incomplete")))</f>
        <v>D3</v>
      </c>
      <c r="R639" s="17">
        <f>IF($A639="","",IF($K639="",IF($J639="","",ROUND(Lookups!$K$5+Lookups!$K$4*$J639,4)),$K639))</f>
        <v>0.2121</v>
      </c>
      <c r="S639" s="5" t="str">
        <f>IF($A639="","",IF($K639="","Imputed","Original"))</f>
        <v>Original</v>
      </c>
      <c r="T639" s="5" t="str">
        <f>IF($A639="","",IF($P639="","Missing",IF($P639=$N639+$O639,"OK","Mismatch")))</f>
        <v>OK</v>
      </c>
      <c r="U639" s="5" t="str">
        <f>IF($A639="","",IF(COUNTIF($A$2:$A639,$A639)&gt;1,"Duplicate","Unique"))</f>
        <v>Unique</v>
      </c>
      <c r="V639" s="5">
        <f>IF($A639="","",IF(AND($U639="Unique",ISNUMBER($P639)),1,0))</f>
        <v>1</v>
      </c>
      <c r="W639" s="5" t="str">
        <f>IF($A639="","",IF(OR($H639=0,$H639=6),"Weekend","Weekday"))</f>
        <v>Weekend</v>
      </c>
      <c r="X639" s="5" t="str">
        <f>IF($A639="","",TEXT($B639,"ddd"))</f>
        <v>Sat</v>
      </c>
      <c r="Y639" s="5" t="str">
        <f>IF($A639="","",TEXT($B639,"mmm"))</f>
        <v>Jan</v>
      </c>
      <c r="Z639" s="5" t="str">
        <f>IF($A639="","",IFERROR(VLOOKUP($C639,Lookups!$D$4:$E$7,2,FALSE),"Unknown"))</f>
        <v>Winter</v>
      </c>
      <c r="AA639" s="5" t="str">
        <f>IF($A639="","",IFERROR(VLOOKUP($I639,Lookups!$A$4:$B$7,2,FALSE),"Unknown"))</f>
        <v>Clear</v>
      </c>
      <c r="AB639" s="5" t="str">
        <f>IF($A639="","",TEXT($F639,"00")&amp;":00")</f>
        <v>20:00</v>
      </c>
      <c r="AC639" s="5" t="str">
        <f>IF($A639="","",VLOOKUP($F639,Lookups!$G$4:$H$8,2,TRUE))</f>
        <v>Late Evening (20-23)</v>
      </c>
      <c r="AD639" s="18">
        <f>IF($A639="","",IF($J639="","",ROUND($J639*41,1)))</f>
        <v>7.4</v>
      </c>
      <c r="AE639" s="18">
        <f>IF($A639="","",IF($R639="","",ROUND($R639*50,1)))</f>
        <v>10.6</v>
      </c>
      <c r="AF639" s="5">
        <f>IF($A639="","",IF($L639="","",ROUND($L639*100,0)))</f>
        <v>74</v>
      </c>
      <c r="AG639" s="18">
        <f>IF($A639="","",IF($M639="","",ROUND($M639*67,1)))</f>
        <v>6</v>
      </c>
      <c r="AH639" s="19">
        <f>IF($A639="","",IF($P639="","",IF($P639=0,0,$O639/$P639)))</f>
        <v>0.976744186046512</v>
      </c>
      <c r="AI639" s="5" t="str">
        <f>IF($A639="","",IF($P639="","",IF($P639&gt;=Lookups!$K$7,"High",IF($P639&lt;=Lookups!$K$8,"Low","Medium"))))</f>
        <v>Medium</v>
      </c>
      <c r="AJ639" s="5" t="str">
        <f>IF($A639="","",IF($AD639="","",IF($AD639&lt;5,"Under 5 C",IF($AD639&lt;10,"5-10 C",IF($AD639&lt;15,"10-15 C","15 C and above")))))</f>
        <v>5-10 C</v>
      </c>
      <c r="AK639" s="5">
        <f>IF($A639="","",IF($P639="","",$P639^2))</f>
        <v>1849</v>
      </c>
      <c r="AL639" s="18">
        <f>IF($V639&lt;&gt;1,"",AVERAGEIFS(Clean_Data!$P$2:$P$1001,Clean_Data!$F$2:$F$1001,$F639,Clean_Data!$W$2:$W$1001,$W639,Clean_Data!$V$2:$V$1001,1))</f>
        <v>40</v>
      </c>
      <c r="AM639" s="16">
        <f>IF($V639&lt;&gt;1,"",IFERROR(($P639-$AL639)/SQRT(MAX(0,(SUMIFS(Clean_Data!$AK$2:$AK$1001,Clean_Data!$F$2:$F$1001,$F639,Clean_Data!$W$2:$W$1001,$W639,Clean_Data!$V$2:$V$1001,1)-COUNTIFS(Clean_Data!$F$2:$F$1001,$F639,Clean_Data!$W$2:$W$1001,$W639,Clean_Data!$V$2:$V$1001,1)*$AL639^2)/(COUNTIFS(Clean_Data!$F$2:$F$1001,$F639,Clean_Data!$W$2:$W$1001,$W639,Clean_Data!$V$2:$V$1001,1)-1))),""))</f>
        <v>0.243578793829113</v>
      </c>
      <c r="AN639" s="5" t="str">
        <f>IF($AM639="","",IF($AM639&gt;=Lookups!$K$6,"High spike",IF($AM639&lt;=-Lookups!$K$6,"Unusual low","Normal")))</f>
        <v>Normal</v>
      </c>
      <c r="AO639" s="20">
        <f>IF($V639&lt;&gt;1,"",$P639+ROW()/100000)</f>
        <v>43.00639</v>
      </c>
      <c r="AP639" s="5">
        <f>IF($A639="","",IFERROR(MATCH($A639,Raw_D1!$A$2:$A$1001,0),""))</f>
        <v/>
      </c>
      <c r="AQ639" s="5">
        <f>IF($A639="","",IFERROR(MATCH($A639,Raw_D2!$B$2:$B$1001,0),""))</f>
        <v/>
      </c>
      <c r="AR639" s="5">
        <f>IF($A639="","",IFERROR(MATCH($A639,Raw_D3!$A$2:$A$1001,0),""))</f>
        <v>19</v>
      </c>
    </row>
    <row r="640" spans="1:44" x14ac:dyDescent="0.25">
      <c r="A640" s="5">
        <v>639</v>
      </c>
      <c r="B640" s="11">
        <f>IF($A640="","",IF($AP640&lt;&gt;"",INDEX(Raw_D1!$B$2:$B$1001,$AP640),IF($AR640&lt;&gt;"",INDEX(Raw_D3!$B$2:$B$1001,$AR640),"")))</f>
        <v>40572.0</v>
      </c>
      <c r="C640" s="5">
        <f>IF($A640="","",IF($AP640&lt;&gt;"",INDEX(Raw_D1!$C$2:$C$1001,$AP640),IF($AR640&lt;&gt;"",INDEX(Raw_D3!$C$2:$C$1001,$AR640),"")))</f>
        <v>1</v>
      </c>
      <c r="D640" s="5">
        <f>IF($A640="","",IF($AP640&lt;&gt;"",INDEX(Raw_D1!$D$2:$D$1001,$AP640),IF($AR640&lt;&gt;"",INDEX(Raw_D3!$D$2:$D$1001,$AR640),"")))</f>
        <v>0</v>
      </c>
      <c r="E640" s="5">
        <f>IF($A640="","",IF($AP640&lt;&gt;"",INDEX(Raw_D1!$E$2:$E$1001,$AP640),IF($AR640&lt;&gt;"",INDEX(Raw_D3!$E$2:$E$1001,$AR640),"")))</f>
        <v>1</v>
      </c>
      <c r="F640" s="5">
        <f>IF($A640="","",IF($AP640&lt;&gt;"",INDEX(Raw_D1!$F$2:$F$1001,$AP640),IF($AR640&lt;&gt;"",INDEX(Raw_D3!$F$2:$F$1001,$AR640),"")))</f>
        <v>21</v>
      </c>
      <c r="G640" s="5">
        <f>IF($A640="","",IF($AP640&lt;&gt;"",IF(INDEX(Raw_D1!$G$2:$G$1001,$AP640),1,0),IF($AR640&lt;&gt;"",IF(INDEX(Raw_D3!$G$2:$G$1001,$AR640),1,0),"")))</f>
        <v>0</v>
      </c>
      <c r="H640" s="5">
        <f>IF($A640="","",IF($AP640&lt;&gt;"",INDEX(Raw_D1!$H$2:$H$1001,$AP640),IF($AR640&lt;&gt;"",INDEX(Raw_D3!$H$2:$H$1001,$AR640),"")))</f>
        <v>6</v>
      </c>
      <c r="I640" s="5">
        <f>IF($A640="","",IF($AP640&lt;&gt;"",INDEX(Raw_D1!$I$2:$I$1001,$AP640),IF($AR640&lt;&gt;"",INDEX(Raw_D3!$I$2:$I$1001,$AR640),"")))</f>
        <v>1</v>
      </c>
      <c r="J640" s="16">
        <f>IF($A640="","",IF($AP640&lt;&gt;"",INDEX(Raw_D1!$J$2:$J$1001,$AP640),IF($AR640&lt;&gt;"",INDEX(Raw_D3!$J$2:$J$1001,$AR640),"")))</f>
        <v>0.18</v>
      </c>
      <c r="K640" s="17">
        <f>IF($A640="","",IF($AQ640&lt;&gt;"",IF(INDEX(Raw_D2!$C$2:$C$1001,$AQ640)="","",INDEX(Raw_D2!$C$2:$C$1001,$AQ640)),IF($AR640&lt;&gt;"",IF(INDEX(Raw_D3!$K$2:$K$1001,$AR640)="","",INDEX(Raw_D3!$K$2:$K$1001,$AR640)),"")))</f>
        <v>0.2121</v>
      </c>
      <c r="L640" s="16">
        <f>IF($A640="","",IF($AQ640&lt;&gt;"",IF(INDEX(Raw_D2!$D$2:$D$1001,$AQ640)="","",INDEX(Raw_D2!$D$2:$D$1001,$AQ640)),IF($AR640&lt;&gt;"",IF(INDEX(Raw_D3!$L$2:$L$1001,$AR640)="","",INDEX(Raw_D3!$L$2:$L$1001,$AR640)),"")))</f>
        <v>0.74</v>
      </c>
      <c r="M640" s="17">
        <f>IF($A640="","",IF($AQ640&lt;&gt;"",IF(INDEX(Raw_D2!$E$2:$E$1001,$AQ640)="","",INDEX(Raw_D2!$E$2:$E$1001,$AQ640)),IF($AR640&lt;&gt;"",IF(INDEX(Raw_D3!$M$2:$M$1001,$AR640)="","",INDEX(Raw_D3!$M$2:$M$1001,$AR640)),"")))</f>
        <v>0.0896</v>
      </c>
      <c r="N640" s="5">
        <f>IF($A640="","",IF($AQ640&lt;&gt;"",IF(INDEX(Raw_D2!$F$2:$F$1001,$AQ640)="","",INDEX(Raw_D2!$F$2:$F$1001,$AQ640)),IF($AR640&lt;&gt;"",IF(INDEX(Raw_D3!$N$2:$N$1001,$AR640)="","",INDEX(Raw_D3!$N$2:$N$1001,$AR640)),"")))</f>
        <v>1</v>
      </c>
      <c r="O640" s="5">
        <f>IF($A640="","",IF($AQ640&lt;&gt;"",IF(INDEX(Raw_D2!$G$2:$G$1001,$AQ640)="","",INDEX(Raw_D2!$G$2:$G$1001,$AQ640)),IF($AR640&lt;&gt;"",IF(INDEX(Raw_D3!$O$2:$O$1001,$AR640)="","",INDEX(Raw_D3!$O$2:$O$1001,$AR640)),"")))</f>
        <v>35</v>
      </c>
      <c r="P640" s="5">
        <f>IF($A640="","",IF($AQ640&lt;&gt;"",IF(INDEX(Raw_D2!$H$2:$H$1001,$AQ640)="","",INDEX(Raw_D2!$H$2:$H$1001,$AQ640)),IF($AR640&lt;&gt;"",IF(INDEX(Raw_D3!$P$2:$P$1001,$AR640)="","",INDEX(Raw_D3!$P$2:$P$1001,$AR640)),"")))</f>
        <v>36</v>
      </c>
      <c r="Q640" s="5" t="str">
        <f>IF($A640="","",IF(AND($AP640&lt;&gt;"",$AQ640&lt;&gt;""),"D1+D2",IF($AR640&lt;&gt;"","D3","Incomplete")))</f>
        <v>D3</v>
      </c>
      <c r="R640" s="17">
        <f>IF($A640="","",IF($K640="",IF($J640="","",ROUND(Lookups!$K$5+Lookups!$K$4*$J640,4)),$K640))</f>
        <v>0.2121</v>
      </c>
      <c r="S640" s="5" t="str">
        <f>IF($A640="","",IF($K640="","Imputed","Original"))</f>
        <v>Original</v>
      </c>
      <c r="T640" s="5" t="str">
        <f>IF($A640="","",IF($P640="","Missing",IF($P640=$N640+$O640,"OK","Mismatch")))</f>
        <v>OK</v>
      </c>
      <c r="U640" s="5" t="str">
        <f>IF($A640="","",IF(COUNTIF($A$2:$A640,$A640)&gt;1,"Duplicate","Unique"))</f>
        <v>Unique</v>
      </c>
      <c r="V640" s="5">
        <f>IF($A640="","",IF(AND($U640="Unique",ISNUMBER($P640)),1,0))</f>
        <v>1</v>
      </c>
      <c r="W640" s="5" t="str">
        <f>IF($A640="","",IF(OR($H640=0,$H640=6),"Weekend","Weekday"))</f>
        <v>Weekend</v>
      </c>
      <c r="X640" s="5" t="str">
        <f>IF($A640="","",TEXT($B640,"ddd"))</f>
        <v>Sat</v>
      </c>
      <c r="Y640" s="5" t="str">
        <f>IF($A640="","",TEXT($B640,"mmm"))</f>
        <v>Jan</v>
      </c>
      <c r="Z640" s="5" t="str">
        <f>IF($A640="","",IFERROR(VLOOKUP($C640,Lookups!$D$4:$E$7,2,FALSE),"Unknown"))</f>
        <v>Winter</v>
      </c>
      <c r="AA640" s="5" t="str">
        <f>IF($A640="","",IFERROR(VLOOKUP($I640,Lookups!$A$4:$B$7,2,FALSE),"Unknown"))</f>
        <v>Clear</v>
      </c>
      <c r="AB640" s="5" t="str">
        <f>IF($A640="","",TEXT($F640,"00")&amp;":00")</f>
        <v>21:00</v>
      </c>
      <c r="AC640" s="5" t="str">
        <f>IF($A640="","",VLOOKUP($F640,Lookups!$G$4:$H$8,2,TRUE))</f>
        <v>Late Evening (20-23)</v>
      </c>
      <c r="AD640" s="18">
        <f>IF($A640="","",IF($J640="","",ROUND($J640*41,1)))</f>
        <v>7.4</v>
      </c>
      <c r="AE640" s="18">
        <f>IF($A640="","",IF($R640="","",ROUND($R640*50,1)))</f>
        <v>10.6</v>
      </c>
      <c r="AF640" s="5">
        <f>IF($A640="","",IF($L640="","",ROUND($L640*100,0)))</f>
        <v>74</v>
      </c>
      <c r="AG640" s="18">
        <f>IF($A640="","",IF($M640="","",ROUND($M640*67,1)))</f>
        <v>6</v>
      </c>
      <c r="AH640" s="19">
        <f>IF($A640="","",IF($P640="","",IF($P640=0,0,$O640/$P640)))</f>
        <v>0.972222222222222</v>
      </c>
      <c r="AI640" s="5" t="str">
        <f>IF($A640="","",IF($P640="","",IF($P640&gt;=Lookups!$K$7,"High",IF($P640&lt;=Lookups!$K$8,"Low","Medium"))))</f>
        <v>Medium</v>
      </c>
      <c r="AJ640" s="5" t="str">
        <f>IF($A640="","",IF($AD640="","",IF($AD640&lt;5,"Under 5 C",IF($AD640&lt;10,"5-10 C",IF($AD640&lt;15,"10-15 C","15 C and above")))))</f>
        <v>5-10 C</v>
      </c>
      <c r="AK640" s="5">
        <f>IF($A640="","",IF($P640="","",$P640^2))</f>
        <v>1296</v>
      </c>
      <c r="AL640" s="18">
        <f>IF($V640&lt;&gt;1,"",AVERAGEIFS(Clean_Data!$P$2:$P$1001,Clean_Data!$F$2:$F$1001,$F640,Clean_Data!$W$2:$W$1001,$W640,Clean_Data!$V$2:$V$1001,1))</f>
        <v>37.1428571428571</v>
      </c>
      <c r="AM640" s="16">
        <f>IF($V640&lt;&gt;1,"",IFERROR(($P640-$AL640)/SQRT(MAX(0,(SUMIFS(Clean_Data!$AK$2:$AK$1001,Clean_Data!$F$2:$F$1001,$F640,Clean_Data!$W$2:$W$1001,$W640,Clean_Data!$V$2:$V$1001,1)-COUNTIFS(Clean_Data!$F$2:$F$1001,$F640,Clean_Data!$W$2:$W$1001,$W640,Clean_Data!$V$2:$V$1001,1)*$AL640^2)/(COUNTIFS(Clean_Data!$F$2:$F$1001,$F640,Clean_Data!$W$2:$W$1001,$W640,Clean_Data!$V$2:$V$1001,1)-1))),""))</f>
        <v>-0.0945906499671731</v>
      </c>
      <c r="AN640" s="5" t="str">
        <f>IF($AM640="","",IF($AM640&gt;=Lookups!$K$6,"High spike",IF($AM640&lt;=-Lookups!$K$6,"Unusual low","Normal")))</f>
        <v>Normal</v>
      </c>
      <c r="AO640" s="20">
        <f>IF($V640&lt;&gt;1,"",$P640+ROW()/100000)</f>
        <v>36.0064</v>
      </c>
      <c r="AP640" s="5">
        <f>IF($A640="","",IFERROR(MATCH($A640,Raw_D1!$A$2:$A$1001,0),""))</f>
        <v/>
      </c>
      <c r="AQ640" s="5">
        <f>IF($A640="","",IFERROR(MATCH($A640,Raw_D2!$B$2:$B$1001,0),""))</f>
        <v/>
      </c>
      <c r="AR640" s="5">
        <f>IF($A640="","",IFERROR(MATCH($A640,Raw_D3!$A$2:$A$1001,0),""))</f>
        <v>20</v>
      </c>
    </row>
    <row r="641" spans="1:44" x14ac:dyDescent="0.25">
      <c r="A641" s="5">
        <v>640</v>
      </c>
      <c r="B641" s="11">
        <f>IF($A641="","",IF($AP641&lt;&gt;"",INDEX(Raw_D1!$B$2:$B$1001,$AP641),IF($AR641&lt;&gt;"",INDEX(Raw_D3!$B$2:$B$1001,$AR641),"")))</f>
        <v>40572.0</v>
      </c>
      <c r="C641" s="5">
        <f>IF($A641="","",IF($AP641&lt;&gt;"",INDEX(Raw_D1!$C$2:$C$1001,$AP641),IF($AR641&lt;&gt;"",INDEX(Raw_D3!$C$2:$C$1001,$AR641),"")))</f>
        <v>1</v>
      </c>
      <c r="D641" s="5">
        <f>IF($A641="","",IF($AP641&lt;&gt;"",INDEX(Raw_D1!$D$2:$D$1001,$AP641),IF($AR641&lt;&gt;"",INDEX(Raw_D3!$D$2:$D$1001,$AR641),"")))</f>
        <v>0</v>
      </c>
      <c r="E641" s="5">
        <f>IF($A641="","",IF($AP641&lt;&gt;"",INDEX(Raw_D1!$E$2:$E$1001,$AP641),IF($AR641&lt;&gt;"",INDEX(Raw_D3!$E$2:$E$1001,$AR641),"")))</f>
        <v>1</v>
      </c>
      <c r="F641" s="5">
        <f>IF($A641="","",IF($AP641&lt;&gt;"",INDEX(Raw_D1!$F$2:$F$1001,$AP641),IF($AR641&lt;&gt;"",INDEX(Raw_D3!$F$2:$F$1001,$AR641),"")))</f>
        <v>22</v>
      </c>
      <c r="G641" s="5">
        <f>IF($A641="","",IF($AP641&lt;&gt;"",IF(INDEX(Raw_D1!$G$2:$G$1001,$AP641),1,0),IF($AR641&lt;&gt;"",IF(INDEX(Raw_D3!$G$2:$G$1001,$AR641),1,0),"")))</f>
        <v>0</v>
      </c>
      <c r="H641" s="5">
        <f>IF($A641="","",IF($AP641&lt;&gt;"",INDEX(Raw_D1!$H$2:$H$1001,$AP641),IF($AR641&lt;&gt;"",INDEX(Raw_D3!$H$2:$H$1001,$AR641),"")))</f>
        <v>6</v>
      </c>
      <c r="I641" s="5">
        <f>IF($A641="","",IF($AP641&lt;&gt;"",INDEX(Raw_D1!$I$2:$I$1001,$AP641),IF($AR641&lt;&gt;"",INDEX(Raw_D3!$I$2:$I$1001,$AR641),"")))</f>
        <v>1</v>
      </c>
      <c r="J641" s="16">
        <f>IF($A641="","",IF($AP641&lt;&gt;"",INDEX(Raw_D1!$J$2:$J$1001,$AP641),IF($AR641&lt;&gt;"",INDEX(Raw_D3!$J$2:$J$1001,$AR641),"")))</f>
        <v>0.16</v>
      </c>
      <c r="K641" s="17">
        <f>IF($A641="","",IF($AQ641&lt;&gt;"",IF(INDEX(Raw_D2!$C$2:$C$1001,$AQ641)="","",INDEX(Raw_D2!$C$2:$C$1001,$AQ641)),IF($AR641&lt;&gt;"",IF(INDEX(Raw_D3!$K$2:$K$1001,$AR641)="","",INDEX(Raw_D3!$K$2:$K$1001,$AR641)),"")))</f>
        <v>0.197</v>
      </c>
      <c r="L641" s="16">
        <f>IF($A641="","",IF($AQ641&lt;&gt;"",IF(INDEX(Raw_D2!$D$2:$D$1001,$AQ641)="","",INDEX(Raw_D2!$D$2:$D$1001,$AQ641)),IF($AR641&lt;&gt;"",IF(INDEX(Raw_D3!$L$2:$L$1001,$AR641)="","",INDEX(Raw_D3!$L$2:$L$1001,$AR641)),"")))</f>
        <v>0.8</v>
      </c>
      <c r="M641" s="17">
        <f>IF($A641="","",IF($AQ641&lt;&gt;"",IF(INDEX(Raw_D2!$E$2:$E$1001,$AQ641)="","",INDEX(Raw_D2!$E$2:$E$1001,$AQ641)),IF($AR641&lt;&gt;"",IF(INDEX(Raw_D3!$M$2:$M$1001,$AR641)="","",INDEX(Raw_D3!$M$2:$M$1001,$AR641)),"")))</f>
        <v>0.0896</v>
      </c>
      <c r="N641" s="5">
        <f>IF($A641="","",IF($AQ641&lt;&gt;"",IF(INDEX(Raw_D2!$F$2:$F$1001,$AQ641)="","",INDEX(Raw_D2!$F$2:$F$1001,$AQ641)),IF($AR641&lt;&gt;"",IF(INDEX(Raw_D3!$N$2:$N$1001,$AR641)="","",INDEX(Raw_D3!$N$2:$N$1001,$AR641)),"")))</f>
        <v>4</v>
      </c>
      <c r="O641" s="5">
        <f>IF($A641="","",IF($AQ641&lt;&gt;"",IF(INDEX(Raw_D2!$G$2:$G$1001,$AQ641)="","",INDEX(Raw_D2!$G$2:$G$1001,$AQ641)),IF($AR641&lt;&gt;"",IF(INDEX(Raw_D3!$O$2:$O$1001,$AR641)="","",INDEX(Raw_D3!$O$2:$O$1001,$AR641)),"")))</f>
        <v>28</v>
      </c>
      <c r="P641" s="5">
        <f>IF($A641="","",IF($AQ641&lt;&gt;"",IF(INDEX(Raw_D2!$H$2:$H$1001,$AQ641)="","",INDEX(Raw_D2!$H$2:$H$1001,$AQ641)),IF($AR641&lt;&gt;"",IF(INDEX(Raw_D3!$P$2:$P$1001,$AR641)="","",INDEX(Raw_D3!$P$2:$P$1001,$AR641)),"")))</f>
        <v>32</v>
      </c>
      <c r="Q641" s="5" t="str">
        <f>IF($A641="","",IF(AND($AP641&lt;&gt;"",$AQ641&lt;&gt;""),"D1+D2",IF($AR641&lt;&gt;"","D3","Incomplete")))</f>
        <v>D3</v>
      </c>
      <c r="R641" s="17">
        <f>IF($A641="","",IF($K641="",IF($J641="","",ROUND(Lookups!$K$5+Lookups!$K$4*$J641,4)),$K641))</f>
        <v>0.197</v>
      </c>
      <c r="S641" s="5" t="str">
        <f>IF($A641="","",IF($K641="","Imputed","Original"))</f>
        <v>Original</v>
      </c>
      <c r="T641" s="5" t="str">
        <f>IF($A641="","",IF($P641="","Missing",IF($P641=$N641+$O641,"OK","Mismatch")))</f>
        <v>OK</v>
      </c>
      <c r="U641" s="5" t="str">
        <f>IF($A641="","",IF(COUNTIF($A$2:$A641,$A641)&gt;1,"Duplicate","Unique"))</f>
        <v>Unique</v>
      </c>
      <c r="V641" s="5">
        <f>IF($A641="","",IF(AND($U641="Unique",ISNUMBER($P641)),1,0))</f>
        <v>1</v>
      </c>
      <c r="W641" s="5" t="str">
        <f>IF($A641="","",IF(OR($H641=0,$H641=6),"Weekend","Weekday"))</f>
        <v>Weekend</v>
      </c>
      <c r="X641" s="5" t="str">
        <f>IF($A641="","",TEXT($B641,"ddd"))</f>
        <v>Sat</v>
      </c>
      <c r="Y641" s="5" t="str">
        <f>IF($A641="","",TEXT($B641,"mmm"))</f>
        <v>Jan</v>
      </c>
      <c r="Z641" s="5" t="str">
        <f>IF($A641="","",IFERROR(VLOOKUP($C641,Lookups!$D$4:$E$7,2,FALSE),"Unknown"))</f>
        <v>Winter</v>
      </c>
      <c r="AA641" s="5" t="str">
        <f>IF($A641="","",IFERROR(VLOOKUP($I641,Lookups!$A$4:$B$7,2,FALSE),"Unknown"))</f>
        <v>Clear</v>
      </c>
      <c r="AB641" s="5" t="str">
        <f>IF($A641="","",TEXT($F641,"00")&amp;":00")</f>
        <v>22:00</v>
      </c>
      <c r="AC641" s="5" t="str">
        <f>IF($A641="","",VLOOKUP($F641,Lookups!$G$4:$H$8,2,TRUE))</f>
        <v>Late Evening (20-23)</v>
      </c>
      <c r="AD641" s="18">
        <f>IF($A641="","",IF($J641="","",ROUND($J641*41,1)))</f>
        <v>6.6</v>
      </c>
      <c r="AE641" s="18">
        <f>IF($A641="","",IF($R641="","",ROUND($R641*50,1)))</f>
        <v>9.9</v>
      </c>
      <c r="AF641" s="5">
        <f>IF($A641="","",IF($L641="","",ROUND($L641*100,0)))</f>
        <v>80</v>
      </c>
      <c r="AG641" s="18">
        <f>IF($A641="","",IF($M641="","",ROUND($M641*67,1)))</f>
        <v>6</v>
      </c>
      <c r="AH641" s="19">
        <f>IF($A641="","",IF($P641="","",IF($P641=0,0,$O641/$P641)))</f>
        <v>0.875</v>
      </c>
      <c r="AI641" s="5" t="str">
        <f>IF($A641="","",IF($P641="","",IF($P641&gt;=Lookups!$K$7,"High",IF($P641&lt;=Lookups!$K$8,"Low","Medium"))))</f>
        <v>Medium</v>
      </c>
      <c r="AJ641" s="5" t="str">
        <f>IF($A641="","",IF($AD641="","",IF($AD641&lt;5,"Under 5 C",IF($AD641&lt;10,"5-10 C",IF($AD641&lt;15,"10-15 C","15 C and above")))))</f>
        <v>5-10 C</v>
      </c>
      <c r="AK641" s="5">
        <f>IF($A641="","",IF($P641="","",$P641^2))</f>
        <v>1024</v>
      </c>
      <c r="AL641" s="18">
        <f>IF($V641&lt;&gt;1,"",AVERAGEIFS(Clean_Data!$P$2:$P$1001,Clean_Data!$F$2:$F$1001,$F641,Clean_Data!$W$2:$W$1001,$W641,Clean_Data!$V$2:$V$1001,1))</f>
        <v>30.8571428571429</v>
      </c>
      <c r="AM641" s="16">
        <f>IF($V641&lt;&gt;1,"",IFERROR(($P641-$AL641)/SQRT(MAX(0,(SUMIFS(Clean_Data!$AK$2:$AK$1001,Clean_Data!$F$2:$F$1001,$F641,Clean_Data!$W$2:$W$1001,$W641,Clean_Data!$V$2:$V$1001,1)-COUNTIFS(Clean_Data!$F$2:$F$1001,$F641,Clean_Data!$W$2:$W$1001,$W641,Clean_Data!$V$2:$V$1001,1)*$AL641^2)/(COUNTIFS(Clean_Data!$F$2:$F$1001,$F641,Clean_Data!$W$2:$W$1001,$W641,Clean_Data!$V$2:$V$1001,1)-1))),""))</f>
        <v>0.0846120930590948</v>
      </c>
      <c r="AN641" s="5" t="str">
        <f>IF($AM641="","",IF($AM641&gt;=Lookups!$K$6,"High spike",IF($AM641&lt;=-Lookups!$K$6,"Unusual low","Normal")))</f>
        <v>Normal</v>
      </c>
      <c r="AO641" s="20">
        <f>IF($V641&lt;&gt;1,"",$P641+ROW()/100000)</f>
        <v>32.00641</v>
      </c>
      <c r="AP641" s="5">
        <f>IF($A641="","",IFERROR(MATCH($A641,Raw_D1!$A$2:$A$1001,0),""))</f>
        <v/>
      </c>
      <c r="AQ641" s="5">
        <f>IF($A641="","",IFERROR(MATCH($A641,Raw_D2!$B$2:$B$1001,0),""))</f>
        <v/>
      </c>
      <c r="AR641" s="5">
        <f>IF($A641="","",IFERROR(MATCH($A641,Raw_D3!$A$2:$A$1001,0),""))</f>
        <v>21</v>
      </c>
    </row>
    <row r="642" spans="1:44" x14ac:dyDescent="0.25">
      <c r="A642" s="5">
        <v>641</v>
      </c>
      <c r="B642" s="11">
        <f>IF($A642="","",IF($AP642&lt;&gt;"",INDEX(Raw_D1!$B$2:$B$1001,$AP642),IF($AR642&lt;&gt;"",INDEX(Raw_D3!$B$2:$B$1001,$AR642),"")))</f>
        <v>40572.0</v>
      </c>
      <c r="C642" s="5">
        <f>IF($A642="","",IF($AP642&lt;&gt;"",INDEX(Raw_D1!$C$2:$C$1001,$AP642),IF($AR642&lt;&gt;"",INDEX(Raw_D3!$C$2:$C$1001,$AR642),"")))</f>
        <v>1</v>
      </c>
      <c r="D642" s="5">
        <f>IF($A642="","",IF($AP642&lt;&gt;"",INDEX(Raw_D1!$D$2:$D$1001,$AP642),IF($AR642&lt;&gt;"",INDEX(Raw_D3!$D$2:$D$1001,$AR642),"")))</f>
        <v>0</v>
      </c>
      <c r="E642" s="5">
        <f>IF($A642="","",IF($AP642&lt;&gt;"",INDEX(Raw_D1!$E$2:$E$1001,$AP642),IF($AR642&lt;&gt;"",INDEX(Raw_D3!$E$2:$E$1001,$AR642),"")))</f>
        <v>1</v>
      </c>
      <c r="F642" s="5">
        <f>IF($A642="","",IF($AP642&lt;&gt;"",INDEX(Raw_D1!$F$2:$F$1001,$AP642),IF($AR642&lt;&gt;"",INDEX(Raw_D3!$F$2:$F$1001,$AR642),"")))</f>
        <v>23</v>
      </c>
      <c r="G642" s="5">
        <f>IF($A642="","",IF($AP642&lt;&gt;"",IF(INDEX(Raw_D1!$G$2:$G$1001,$AP642),1,0),IF($AR642&lt;&gt;"",IF(INDEX(Raw_D3!$G$2:$G$1001,$AR642),1,0),"")))</f>
        <v>0</v>
      </c>
      <c r="H642" s="5">
        <f>IF($A642="","",IF($AP642&lt;&gt;"",INDEX(Raw_D1!$H$2:$H$1001,$AP642),IF($AR642&lt;&gt;"",INDEX(Raw_D3!$H$2:$H$1001,$AR642),"")))</f>
        <v>6</v>
      </c>
      <c r="I642" s="5">
        <f>IF($A642="","",IF($AP642&lt;&gt;"",INDEX(Raw_D1!$I$2:$I$1001,$AP642),IF($AR642&lt;&gt;"",INDEX(Raw_D3!$I$2:$I$1001,$AR642),"")))</f>
        <v>1</v>
      </c>
      <c r="J642" s="16">
        <f>IF($A642="","",IF($AP642&lt;&gt;"",INDEX(Raw_D1!$J$2:$J$1001,$AP642),IF($AR642&lt;&gt;"",INDEX(Raw_D3!$J$2:$J$1001,$AR642),"")))</f>
        <v>0.16</v>
      </c>
      <c r="K642" s="17">
        <f>IF($A642="","",IF($AQ642&lt;&gt;"",IF(INDEX(Raw_D2!$C$2:$C$1001,$AQ642)="","",INDEX(Raw_D2!$C$2:$C$1001,$AQ642)),IF($AR642&lt;&gt;"",IF(INDEX(Raw_D3!$K$2:$K$1001,$AR642)="","",INDEX(Raw_D3!$K$2:$K$1001,$AR642)),"")))</f>
        <v>0.197</v>
      </c>
      <c r="L642" s="16">
        <f>IF($A642="","",IF($AQ642&lt;&gt;"",IF(INDEX(Raw_D2!$D$2:$D$1001,$AQ642)="","",INDEX(Raw_D2!$D$2:$D$1001,$AQ642)),IF($AR642&lt;&gt;"",IF(INDEX(Raw_D3!$L$2:$L$1001,$AR642)="","",INDEX(Raw_D3!$L$2:$L$1001,$AR642)),"")))</f>
        <v>0.8</v>
      </c>
      <c r="M642" s="17">
        <f>IF($A642="","",IF($AQ642&lt;&gt;"",IF(INDEX(Raw_D2!$E$2:$E$1001,$AQ642)="","",INDEX(Raw_D2!$E$2:$E$1001,$AQ642)),IF($AR642&lt;&gt;"",IF(INDEX(Raw_D3!$M$2:$M$1001,$AR642)="","",INDEX(Raw_D3!$M$2:$M$1001,$AR642)),"")))</f>
        <v>0.0896</v>
      </c>
      <c r="N642" s="5">
        <f>IF($A642="","",IF($AQ642&lt;&gt;"",IF(INDEX(Raw_D2!$F$2:$F$1001,$AQ642)="","",INDEX(Raw_D2!$F$2:$F$1001,$AQ642)),IF($AR642&lt;&gt;"",IF(INDEX(Raw_D3!$N$2:$N$1001,$AR642)="","",INDEX(Raw_D3!$N$2:$N$1001,$AR642)),"")))</f>
        <v>3</v>
      </c>
      <c r="O642" s="5">
        <f>IF($A642="","",IF($AQ642&lt;&gt;"",IF(INDEX(Raw_D2!$G$2:$G$1001,$AQ642)="","",INDEX(Raw_D2!$G$2:$G$1001,$AQ642)),IF($AR642&lt;&gt;"",IF(INDEX(Raw_D3!$O$2:$O$1001,$AR642)="","",INDEX(Raw_D3!$O$2:$O$1001,$AR642)),"")))</f>
        <v>30</v>
      </c>
      <c r="P642" s="5">
        <f>IF($A642="","",IF($AQ642&lt;&gt;"",IF(INDEX(Raw_D2!$H$2:$H$1001,$AQ642)="","",INDEX(Raw_D2!$H$2:$H$1001,$AQ642)),IF($AR642&lt;&gt;"",IF(INDEX(Raw_D3!$P$2:$P$1001,$AR642)="","",INDEX(Raw_D3!$P$2:$P$1001,$AR642)),"")))</f>
        <v>33</v>
      </c>
      <c r="Q642" s="5" t="str">
        <f>IF($A642="","",IF(AND($AP642&lt;&gt;"",$AQ642&lt;&gt;""),"D1+D2",IF($AR642&lt;&gt;"","D3","Incomplete")))</f>
        <v>D3</v>
      </c>
      <c r="R642" s="17">
        <f>IF($A642="","",IF($K642="",IF($J642="","",ROUND(Lookups!$K$5+Lookups!$K$4*$J642,4)),$K642))</f>
        <v>0.197</v>
      </c>
      <c r="S642" s="5" t="str">
        <f>IF($A642="","",IF($K642="","Imputed","Original"))</f>
        <v>Original</v>
      </c>
      <c r="T642" s="5" t="str">
        <f>IF($A642="","",IF($P642="","Missing",IF($P642=$N642+$O642,"OK","Mismatch")))</f>
        <v>OK</v>
      </c>
      <c r="U642" s="5" t="str">
        <f>IF($A642="","",IF(COUNTIF($A$2:$A642,$A642)&gt;1,"Duplicate","Unique"))</f>
        <v>Unique</v>
      </c>
      <c r="V642" s="5">
        <f>IF($A642="","",IF(AND($U642="Unique",ISNUMBER($P642)),1,0))</f>
        <v>1</v>
      </c>
      <c r="W642" s="5" t="str">
        <f>IF($A642="","",IF(OR($H642=0,$H642=6),"Weekend","Weekday"))</f>
        <v>Weekend</v>
      </c>
      <c r="X642" s="5" t="str">
        <f>IF($A642="","",TEXT($B642,"ddd"))</f>
        <v>Sat</v>
      </c>
      <c r="Y642" s="5" t="str">
        <f>IF($A642="","",TEXT($B642,"mmm"))</f>
        <v>Jan</v>
      </c>
      <c r="Z642" s="5" t="str">
        <f>IF($A642="","",IFERROR(VLOOKUP($C642,Lookups!$D$4:$E$7,2,FALSE),"Unknown"))</f>
        <v>Winter</v>
      </c>
      <c r="AA642" s="5" t="str">
        <f>IF($A642="","",IFERROR(VLOOKUP($I642,Lookups!$A$4:$B$7,2,FALSE),"Unknown"))</f>
        <v>Clear</v>
      </c>
      <c r="AB642" s="5" t="str">
        <f>IF($A642="","",TEXT($F642,"00")&amp;":00")</f>
        <v>23:00</v>
      </c>
      <c r="AC642" s="5" t="str">
        <f>IF($A642="","",VLOOKUP($F642,Lookups!$G$4:$H$8,2,TRUE))</f>
        <v>Late Evening (20-23)</v>
      </c>
      <c r="AD642" s="18">
        <f>IF($A642="","",IF($J642="","",ROUND($J642*41,1)))</f>
        <v>6.6</v>
      </c>
      <c r="AE642" s="18">
        <f>IF($A642="","",IF($R642="","",ROUND($R642*50,1)))</f>
        <v>9.9</v>
      </c>
      <c r="AF642" s="5">
        <f>IF($A642="","",IF($L642="","",ROUND($L642*100,0)))</f>
        <v>80</v>
      </c>
      <c r="AG642" s="18">
        <f>IF($A642="","",IF($M642="","",ROUND($M642*67,1)))</f>
        <v>6</v>
      </c>
      <c r="AH642" s="19">
        <f>IF($A642="","",IF($P642="","",IF($P642=0,0,$O642/$P642)))</f>
        <v>0.909090909090909</v>
      </c>
      <c r="AI642" s="5" t="str">
        <f>IF($A642="","",IF($P642="","",IF($P642&gt;=Lookups!$K$7,"High",IF($P642&lt;=Lookups!$K$8,"Low","Medium"))))</f>
        <v>Medium</v>
      </c>
      <c r="AJ642" s="5" t="str">
        <f>IF($A642="","",IF($AD642="","",IF($AD642&lt;5,"Under 5 C",IF($AD642&lt;10,"5-10 C",IF($AD642&lt;15,"10-15 C","15 C and above")))))</f>
        <v>5-10 C</v>
      </c>
      <c r="AK642" s="5">
        <f>IF($A642="","",IF($P642="","",$P642^2))</f>
        <v>1089</v>
      </c>
      <c r="AL642" s="18">
        <f>IF($V642&lt;&gt;1,"",AVERAGEIFS(Clean_Data!$P$2:$P$1001,Clean_Data!$F$2:$F$1001,$F642,Clean_Data!$W$2:$W$1001,$W642,Clean_Data!$V$2:$V$1001,1))</f>
        <v>28.2857142857143</v>
      </c>
      <c r="AM642" s="16">
        <f>IF($V642&lt;&gt;1,"",IFERROR(($P642-$AL642)/SQRT(MAX(0,(SUMIFS(Clean_Data!$AK$2:$AK$1001,Clean_Data!$F$2:$F$1001,$F642,Clean_Data!$W$2:$W$1001,$W642,Clean_Data!$V$2:$V$1001,1)-COUNTIFS(Clean_Data!$F$2:$F$1001,$F642,Clean_Data!$W$2:$W$1001,$W642,Clean_Data!$V$2:$V$1001,1)*$AL642^2)/(COUNTIFS(Clean_Data!$F$2:$F$1001,$F642,Clean_Data!$W$2:$W$1001,$W642,Clean_Data!$V$2:$V$1001,1)-1))),""))</f>
        <v>0.338006792483904</v>
      </c>
      <c r="AN642" s="5" t="str">
        <f>IF($AM642="","",IF($AM642&gt;=Lookups!$K$6,"High spike",IF($AM642&lt;=-Lookups!$K$6,"Unusual low","Normal")))</f>
        <v>Normal</v>
      </c>
      <c r="AO642" s="20">
        <f>IF($V642&lt;&gt;1,"",$P642+ROW()/100000)</f>
        <v>33.00642</v>
      </c>
      <c r="AP642" s="5">
        <f>IF($A642="","",IFERROR(MATCH($A642,Raw_D1!$A$2:$A$1001,0),""))</f>
        <v/>
      </c>
      <c r="AQ642" s="5">
        <f>IF($A642="","",IFERROR(MATCH($A642,Raw_D2!$B$2:$B$1001,0),""))</f>
        <v/>
      </c>
      <c r="AR642" s="5">
        <f>IF($A642="","",IFERROR(MATCH($A642,Raw_D3!$A$2:$A$1001,0),""))</f>
        <v>22</v>
      </c>
    </row>
    <row r="643" spans="1:44" x14ac:dyDescent="0.25">
      <c r="A643" s="5">
        <v>642</v>
      </c>
      <c r="B643" s="11">
        <f>IF($A643="","",IF($AP643&lt;&gt;"",INDEX(Raw_D1!$B$2:$B$1001,$AP643),IF($AR643&lt;&gt;"",INDEX(Raw_D3!$B$2:$B$1001,$AR643),"")))</f>
        <v>40573.0</v>
      </c>
      <c r="C643" s="5">
        <f>IF($A643="","",IF($AP643&lt;&gt;"",INDEX(Raw_D1!$C$2:$C$1001,$AP643),IF($AR643&lt;&gt;"",INDEX(Raw_D3!$C$2:$C$1001,$AR643),"")))</f>
        <v>1</v>
      </c>
      <c r="D643" s="5">
        <f>IF($A643="","",IF($AP643&lt;&gt;"",INDEX(Raw_D1!$D$2:$D$1001,$AP643),IF($AR643&lt;&gt;"",INDEX(Raw_D3!$D$2:$D$1001,$AR643),"")))</f>
        <v>0</v>
      </c>
      <c r="E643" s="5">
        <f>IF($A643="","",IF($AP643&lt;&gt;"",INDEX(Raw_D1!$E$2:$E$1001,$AP643),IF($AR643&lt;&gt;"",INDEX(Raw_D3!$E$2:$E$1001,$AR643),"")))</f>
        <v>1</v>
      </c>
      <c r="F643" s="5">
        <f>IF($A643="","",IF($AP643&lt;&gt;"",INDEX(Raw_D1!$F$2:$F$1001,$AP643),IF($AR643&lt;&gt;"",INDEX(Raw_D3!$F$2:$F$1001,$AR643),"")))</f>
        <v>0</v>
      </c>
      <c r="G643" s="5">
        <f>IF($A643="","",IF($AP643&lt;&gt;"",IF(INDEX(Raw_D1!$G$2:$G$1001,$AP643),1,0),IF($AR643&lt;&gt;"",IF(INDEX(Raw_D3!$G$2:$G$1001,$AR643),1,0),"")))</f>
        <v>0</v>
      </c>
      <c r="H643" s="5">
        <f>IF($A643="","",IF($AP643&lt;&gt;"",INDEX(Raw_D1!$H$2:$H$1001,$AP643),IF($AR643&lt;&gt;"",INDEX(Raw_D3!$H$2:$H$1001,$AR643),"")))</f>
        <v>0</v>
      </c>
      <c r="I643" s="5">
        <f>IF($A643="","",IF($AP643&lt;&gt;"",INDEX(Raw_D1!$I$2:$I$1001,$AP643),IF($AR643&lt;&gt;"",INDEX(Raw_D3!$I$2:$I$1001,$AR643),"")))</f>
        <v>1</v>
      </c>
      <c r="J643" s="16">
        <f>IF($A643="","",IF($AP643&lt;&gt;"",INDEX(Raw_D1!$J$2:$J$1001,$AP643),IF($AR643&lt;&gt;"",INDEX(Raw_D3!$J$2:$J$1001,$AR643),"")))</f>
        <v>0.16</v>
      </c>
      <c r="K643" s="17">
        <f>IF($A643="","",IF($AQ643&lt;&gt;"",IF(INDEX(Raw_D2!$C$2:$C$1001,$AQ643)="","",INDEX(Raw_D2!$C$2:$C$1001,$AQ643)),IF($AR643&lt;&gt;"",IF(INDEX(Raw_D3!$K$2:$K$1001,$AR643)="","",INDEX(Raw_D3!$K$2:$K$1001,$AR643)),"")))</f>
        <v>0.1818</v>
      </c>
      <c r="L643" s="16">
        <f>IF($A643="","",IF($AQ643&lt;&gt;"",IF(INDEX(Raw_D2!$D$2:$D$1001,$AQ643)="","",INDEX(Raw_D2!$D$2:$D$1001,$AQ643)),IF($AR643&lt;&gt;"",IF(INDEX(Raw_D3!$L$2:$L$1001,$AR643)="","",INDEX(Raw_D3!$L$2:$L$1001,$AR643)),"")))</f>
        <v>0.8</v>
      </c>
      <c r="M643" s="17">
        <f>IF($A643="","",IF($AQ643&lt;&gt;"",IF(INDEX(Raw_D2!$E$2:$E$1001,$AQ643)="","",INDEX(Raw_D2!$E$2:$E$1001,$AQ643)),IF($AR643&lt;&gt;"",IF(INDEX(Raw_D3!$M$2:$M$1001,$AR643)="","",INDEX(Raw_D3!$M$2:$M$1001,$AR643)),"")))</f>
        <v>0.1045</v>
      </c>
      <c r="N643" s="5">
        <f>IF($A643="","",IF($AQ643&lt;&gt;"",IF(INDEX(Raw_D2!$F$2:$F$1001,$AQ643)="","",INDEX(Raw_D2!$F$2:$F$1001,$AQ643)),IF($AR643&lt;&gt;"",IF(INDEX(Raw_D3!$N$2:$N$1001,$AR643)="","",INDEX(Raw_D3!$N$2:$N$1001,$AR643)),"")))</f>
        <v>0</v>
      </c>
      <c r="O643" s="5">
        <f>IF($A643="","",IF($AQ643&lt;&gt;"",IF(INDEX(Raw_D2!$G$2:$G$1001,$AQ643)="","",INDEX(Raw_D2!$G$2:$G$1001,$AQ643)),IF($AR643&lt;&gt;"",IF(INDEX(Raw_D3!$O$2:$O$1001,$AR643)="","",INDEX(Raw_D3!$O$2:$O$1001,$AR643)),"")))</f>
        <v>33</v>
      </c>
      <c r="P643" s="5">
        <f>IF($A643="","",IF($AQ643&lt;&gt;"",IF(INDEX(Raw_D2!$H$2:$H$1001,$AQ643)="","",INDEX(Raw_D2!$H$2:$H$1001,$AQ643)),IF($AR643&lt;&gt;"",IF(INDEX(Raw_D3!$P$2:$P$1001,$AR643)="","",INDEX(Raw_D3!$P$2:$P$1001,$AR643)),"")))</f>
        <v>33</v>
      </c>
      <c r="Q643" s="5" t="str">
        <f>IF($A643="","",IF(AND($AP643&lt;&gt;"",$AQ643&lt;&gt;""),"D1+D2",IF($AR643&lt;&gt;"","D3","Incomplete")))</f>
        <v>D3</v>
      </c>
      <c r="R643" s="17">
        <f>IF($A643="","",IF($K643="",IF($J643="","",ROUND(Lookups!$K$5+Lookups!$K$4*$J643,4)),$K643))</f>
        <v>0.1818</v>
      </c>
      <c r="S643" s="5" t="str">
        <f>IF($A643="","",IF($K643="","Imputed","Original"))</f>
        <v>Original</v>
      </c>
      <c r="T643" s="5" t="str">
        <f>IF($A643="","",IF($P643="","Missing",IF($P643=$N643+$O643,"OK","Mismatch")))</f>
        <v>OK</v>
      </c>
      <c r="U643" s="5" t="str">
        <f>IF($A643="","",IF(COUNTIF($A$2:$A643,$A643)&gt;1,"Duplicate","Unique"))</f>
        <v>Unique</v>
      </c>
      <c r="V643" s="5">
        <f>IF($A643="","",IF(AND($U643="Unique",ISNUMBER($P643)),1,0))</f>
        <v>1</v>
      </c>
      <c r="W643" s="5" t="str">
        <f>IF($A643="","",IF(OR($H643=0,$H643=6),"Weekend","Weekday"))</f>
        <v>Weekend</v>
      </c>
      <c r="X643" s="5" t="str">
        <f>IF($A643="","",TEXT($B643,"ddd"))</f>
        <v>Sun</v>
      </c>
      <c r="Y643" s="5" t="str">
        <f>IF($A643="","",TEXT($B643,"mmm"))</f>
        <v>Jan</v>
      </c>
      <c r="Z643" s="5" t="str">
        <f>IF($A643="","",IFERROR(VLOOKUP($C643,Lookups!$D$4:$E$7,2,FALSE),"Unknown"))</f>
        <v>Winter</v>
      </c>
      <c r="AA643" s="5" t="str">
        <f>IF($A643="","",IFERROR(VLOOKUP($I643,Lookups!$A$4:$B$7,2,FALSE),"Unknown"))</f>
        <v>Clear</v>
      </c>
      <c r="AB643" s="5" t="str">
        <f>IF($A643="","",TEXT($F643,"00")&amp;":00")</f>
        <v>00:00</v>
      </c>
      <c r="AC643" s="5" t="str">
        <f>IF($A643="","",VLOOKUP($F643,Lookups!$G$4:$H$8,2,TRUE))</f>
        <v>Night (00-05)</v>
      </c>
      <c r="AD643" s="18">
        <f>IF($A643="","",IF($J643="","",ROUND($J643*41,1)))</f>
        <v>6.6</v>
      </c>
      <c r="AE643" s="18">
        <f>IF($A643="","",IF($R643="","",ROUND($R643*50,1)))</f>
        <v>9.1</v>
      </c>
      <c r="AF643" s="5">
        <f>IF($A643="","",IF($L643="","",ROUND($L643*100,0)))</f>
        <v>80</v>
      </c>
      <c r="AG643" s="18">
        <f>IF($A643="","",IF($M643="","",ROUND($M643*67,1)))</f>
        <v>7</v>
      </c>
      <c r="AH643" s="19">
        <f>IF($A643="","",IF($P643="","",IF($P643=0,0,$O643/$P643)))</f>
        <v>1</v>
      </c>
      <c r="AI643" s="5" t="str">
        <f>IF($A643="","",IF($P643="","",IF($P643&gt;=Lookups!$K$7,"High",IF($P643&lt;=Lookups!$K$8,"Low","Medium"))))</f>
        <v>Medium</v>
      </c>
      <c r="AJ643" s="5" t="str">
        <f>IF($A643="","",IF($AD643="","",IF($AD643&lt;5,"Under 5 C",IF($AD643&lt;10,"5-10 C",IF($AD643&lt;15,"10-15 C","15 C and above")))))</f>
        <v>5-10 C</v>
      </c>
      <c r="AK643" s="5">
        <f>IF($A643="","",IF($P643="","",$P643^2))</f>
        <v>1089</v>
      </c>
      <c r="AL643" s="18">
        <f>IF($V643&lt;&gt;1,"",AVERAGEIFS(Clean_Data!$P$2:$P$1001,Clean_Data!$F$2:$F$1001,$F643,Clean_Data!$W$2:$W$1001,$W643,Clean_Data!$V$2:$V$1001,1))</f>
        <v>28.0714285714286</v>
      </c>
      <c r="AM643" s="16">
        <f>IF($V643&lt;&gt;1,"",IFERROR(($P643-$AL643)/SQRT(MAX(0,(SUMIFS(Clean_Data!$AK$2:$AK$1001,Clean_Data!$F$2:$F$1001,$F643,Clean_Data!$W$2:$W$1001,$W643,Clean_Data!$V$2:$V$1001,1)-COUNTIFS(Clean_Data!$F$2:$F$1001,$F643,Clean_Data!$W$2:$W$1001,$W643,Clean_Data!$V$2:$V$1001,1)*$AL643^2)/(COUNTIFS(Clean_Data!$F$2:$F$1001,$F643,Clean_Data!$W$2:$W$1001,$W643,Clean_Data!$V$2:$V$1001,1)-1))),""))</f>
        <v>0.546600358437058</v>
      </c>
      <c r="AN643" s="5" t="str">
        <f>IF($AM643="","",IF($AM643&gt;=Lookups!$K$6,"High spike",IF($AM643&lt;=-Lookups!$K$6,"Unusual low","Normal")))</f>
        <v>Normal</v>
      </c>
      <c r="AO643" s="20">
        <f>IF($V643&lt;&gt;1,"",$P643+ROW()/100000)</f>
        <v>33.00643</v>
      </c>
      <c r="AP643" s="5">
        <f>IF($A643="","",IFERROR(MATCH($A643,Raw_D1!$A$2:$A$1001,0),""))</f>
        <v/>
      </c>
      <c r="AQ643" s="5">
        <f>IF($A643="","",IFERROR(MATCH($A643,Raw_D2!$B$2:$B$1001,0),""))</f>
        <v/>
      </c>
      <c r="AR643" s="5">
        <f>IF($A643="","",IFERROR(MATCH($A643,Raw_D3!$A$2:$A$1001,0),""))</f>
        <v>23</v>
      </c>
    </row>
    <row r="644" spans="1:44" x14ac:dyDescent="0.25">
      <c r="A644" s="5">
        <v>643</v>
      </c>
      <c r="B644" s="11">
        <f>IF($A644="","",IF($AP644&lt;&gt;"",INDEX(Raw_D1!$B$2:$B$1001,$AP644),IF($AR644&lt;&gt;"",INDEX(Raw_D3!$B$2:$B$1001,$AR644),"")))</f>
        <v>40573.0</v>
      </c>
      <c r="C644" s="5">
        <f>IF($A644="","",IF($AP644&lt;&gt;"",INDEX(Raw_D1!$C$2:$C$1001,$AP644),IF($AR644&lt;&gt;"",INDEX(Raw_D3!$C$2:$C$1001,$AR644),"")))</f>
        <v>1</v>
      </c>
      <c r="D644" s="5">
        <f>IF($A644="","",IF($AP644&lt;&gt;"",INDEX(Raw_D1!$D$2:$D$1001,$AP644),IF($AR644&lt;&gt;"",INDEX(Raw_D3!$D$2:$D$1001,$AR644),"")))</f>
        <v>0</v>
      </c>
      <c r="E644" s="5">
        <f>IF($A644="","",IF($AP644&lt;&gt;"",INDEX(Raw_D1!$E$2:$E$1001,$AP644),IF($AR644&lt;&gt;"",INDEX(Raw_D3!$E$2:$E$1001,$AR644),"")))</f>
        <v>1</v>
      </c>
      <c r="F644" s="5">
        <f>IF($A644="","",IF($AP644&lt;&gt;"",INDEX(Raw_D1!$F$2:$F$1001,$AP644),IF($AR644&lt;&gt;"",INDEX(Raw_D3!$F$2:$F$1001,$AR644),"")))</f>
        <v>1</v>
      </c>
      <c r="G644" s="5">
        <f>IF($A644="","",IF($AP644&lt;&gt;"",IF(INDEX(Raw_D1!$G$2:$G$1001,$AP644),1,0),IF($AR644&lt;&gt;"",IF(INDEX(Raw_D3!$G$2:$G$1001,$AR644),1,0),"")))</f>
        <v>0</v>
      </c>
      <c r="H644" s="5">
        <f>IF($A644="","",IF($AP644&lt;&gt;"",INDEX(Raw_D1!$H$2:$H$1001,$AP644),IF($AR644&lt;&gt;"",INDEX(Raw_D3!$H$2:$H$1001,$AR644),"")))</f>
        <v>0</v>
      </c>
      <c r="I644" s="5">
        <f>IF($A644="","",IF($AP644&lt;&gt;"",INDEX(Raw_D1!$I$2:$I$1001,$AP644),IF($AR644&lt;&gt;"",INDEX(Raw_D3!$I$2:$I$1001,$AR644),"")))</f>
        <v>1</v>
      </c>
      <c r="J644" s="16">
        <f>IF($A644="","",IF($AP644&lt;&gt;"",INDEX(Raw_D1!$J$2:$J$1001,$AP644),IF($AR644&lt;&gt;"",INDEX(Raw_D3!$J$2:$J$1001,$AR644),"")))</f>
        <v>0.14</v>
      </c>
      <c r="K644" s="17">
        <f>IF($A644="","",IF($AQ644&lt;&gt;"",IF(INDEX(Raw_D2!$C$2:$C$1001,$AQ644)="","",INDEX(Raw_D2!$C$2:$C$1001,$AQ644)),IF($AR644&lt;&gt;"",IF(INDEX(Raw_D3!$K$2:$K$1001,$AR644)="","",INDEX(Raw_D3!$K$2:$K$1001,$AR644)),"")))</f>
        <v>0.2121</v>
      </c>
      <c r="L644" s="16">
        <f>IF($A644="","",IF($AQ644&lt;&gt;"",IF(INDEX(Raw_D2!$D$2:$D$1001,$AQ644)="","",INDEX(Raw_D2!$D$2:$D$1001,$AQ644)),IF($AR644&lt;&gt;"",IF(INDEX(Raw_D3!$L$2:$L$1001,$AR644)="","",INDEX(Raw_D3!$L$2:$L$1001,$AR644)),"")))</f>
        <v>0.8</v>
      </c>
      <c r="M644" s="17">
        <f>IF($A644="","",IF($AQ644&lt;&gt;"",IF(INDEX(Raw_D2!$E$2:$E$1001,$AQ644)="","",INDEX(Raw_D2!$E$2:$E$1001,$AQ644)),IF($AR644&lt;&gt;"",IF(INDEX(Raw_D3!$M$2:$M$1001,$AR644)="","",INDEX(Raw_D3!$M$2:$M$1001,$AR644)),"")))</f>
        <v>0</v>
      </c>
      <c r="N644" s="5">
        <f>IF($A644="","",IF($AQ644&lt;&gt;"",IF(INDEX(Raw_D2!$F$2:$F$1001,$AQ644)="","",INDEX(Raw_D2!$F$2:$F$1001,$AQ644)),IF($AR644&lt;&gt;"",IF(INDEX(Raw_D3!$N$2:$N$1001,$AR644)="","",INDEX(Raw_D3!$N$2:$N$1001,$AR644)),"")))</f>
        <v>7</v>
      </c>
      <c r="O644" s="5">
        <f>IF($A644="","",IF($AQ644&lt;&gt;"",IF(INDEX(Raw_D2!$G$2:$G$1001,$AQ644)="","",INDEX(Raw_D2!$G$2:$G$1001,$AQ644)),IF($AR644&lt;&gt;"",IF(INDEX(Raw_D3!$O$2:$O$1001,$AR644)="","",INDEX(Raw_D3!$O$2:$O$1001,$AR644)),"")))</f>
        <v>22</v>
      </c>
      <c r="P644" s="5">
        <f>IF($A644="","",IF($AQ644&lt;&gt;"",IF(INDEX(Raw_D2!$H$2:$H$1001,$AQ644)="","",INDEX(Raw_D2!$H$2:$H$1001,$AQ644)),IF($AR644&lt;&gt;"",IF(INDEX(Raw_D3!$P$2:$P$1001,$AR644)="","",INDEX(Raw_D3!$P$2:$P$1001,$AR644)),"")))</f>
        <v>29</v>
      </c>
      <c r="Q644" s="5" t="str">
        <f>IF($A644="","",IF(AND($AP644&lt;&gt;"",$AQ644&lt;&gt;""),"D1+D2",IF($AR644&lt;&gt;"","D3","Incomplete")))</f>
        <v>D3</v>
      </c>
      <c r="R644" s="17">
        <f>IF($A644="","",IF($K644="",IF($J644="","",ROUND(Lookups!$K$5+Lookups!$K$4*$J644,4)),$K644))</f>
        <v>0.2121</v>
      </c>
      <c r="S644" s="5" t="str">
        <f>IF($A644="","",IF($K644="","Imputed","Original"))</f>
        <v>Original</v>
      </c>
      <c r="T644" s="5" t="str">
        <f>IF($A644="","",IF($P644="","Missing",IF($P644=$N644+$O644,"OK","Mismatch")))</f>
        <v>OK</v>
      </c>
      <c r="U644" s="5" t="str">
        <f>IF($A644="","",IF(COUNTIF($A$2:$A644,$A644)&gt;1,"Duplicate","Unique"))</f>
        <v>Unique</v>
      </c>
      <c r="V644" s="5">
        <f>IF($A644="","",IF(AND($U644="Unique",ISNUMBER($P644)),1,0))</f>
        <v>1</v>
      </c>
      <c r="W644" s="5" t="str">
        <f>IF($A644="","",IF(OR($H644=0,$H644=6),"Weekend","Weekday"))</f>
        <v>Weekend</v>
      </c>
      <c r="X644" s="5" t="str">
        <f>IF($A644="","",TEXT($B644,"ddd"))</f>
        <v>Sun</v>
      </c>
      <c r="Y644" s="5" t="str">
        <f>IF($A644="","",TEXT($B644,"mmm"))</f>
        <v>Jan</v>
      </c>
      <c r="Z644" s="5" t="str">
        <f>IF($A644="","",IFERROR(VLOOKUP($C644,Lookups!$D$4:$E$7,2,FALSE),"Unknown"))</f>
        <v>Winter</v>
      </c>
      <c r="AA644" s="5" t="str">
        <f>IF($A644="","",IFERROR(VLOOKUP($I644,Lookups!$A$4:$B$7,2,FALSE),"Unknown"))</f>
        <v>Clear</v>
      </c>
      <c r="AB644" s="5" t="str">
        <f>IF($A644="","",TEXT($F644,"00")&amp;":00")</f>
        <v>01:00</v>
      </c>
      <c r="AC644" s="5" t="str">
        <f>IF($A644="","",VLOOKUP($F644,Lookups!$G$4:$H$8,2,TRUE))</f>
        <v>Night (00-05)</v>
      </c>
      <c r="AD644" s="18">
        <f>IF($A644="","",IF($J644="","",ROUND($J644*41,1)))</f>
        <v>5.7</v>
      </c>
      <c r="AE644" s="18">
        <f>IF($A644="","",IF($R644="","",ROUND($R644*50,1)))</f>
        <v>10.6</v>
      </c>
      <c r="AF644" s="5">
        <f>IF($A644="","",IF($L644="","",ROUND($L644*100,0)))</f>
        <v>80</v>
      </c>
      <c r="AG644" s="18">
        <f>IF($A644="","",IF($M644="","",ROUND($M644*67,1)))</f>
        <v>0</v>
      </c>
      <c r="AH644" s="19">
        <f>IF($A644="","",IF($P644="","",IF($P644=0,0,$O644/$P644)))</f>
        <v>0.758620689655172</v>
      </c>
      <c r="AI644" s="5" t="str">
        <f>IF($A644="","",IF($P644="","",IF($P644&gt;=Lookups!$K$7,"High",IF($P644&lt;=Lookups!$K$8,"Low","Medium"))))</f>
        <v>Medium</v>
      </c>
      <c r="AJ644" s="5" t="str">
        <f>IF($A644="","",IF($AD644="","",IF($AD644&lt;5,"Under 5 C",IF($AD644&lt;10,"5-10 C",IF($AD644&lt;15,"10-15 C","15 C and above")))))</f>
        <v>5-10 C</v>
      </c>
      <c r="AK644" s="5">
        <f>IF($A644="","",IF($P644="","",$P644^2))</f>
        <v>841</v>
      </c>
      <c r="AL644" s="18">
        <f>IF($V644&lt;&gt;1,"",AVERAGEIFS(Clean_Data!$P$2:$P$1001,Clean_Data!$F$2:$F$1001,$F644,Clean_Data!$W$2:$W$1001,$W644,Clean_Data!$V$2:$V$1001,1))</f>
        <v>22.2857142857143</v>
      </c>
      <c r="AM644" s="16">
        <f>IF($V644&lt;&gt;1,"",IFERROR(($P644-$AL644)/SQRT(MAX(0,(SUMIFS(Clean_Data!$AK$2:$AK$1001,Clean_Data!$F$2:$F$1001,$F644,Clean_Data!$W$2:$W$1001,$W644,Clean_Data!$V$2:$V$1001,1)-COUNTIFS(Clean_Data!$F$2:$F$1001,$F644,Clean_Data!$W$2:$W$1001,$W644,Clean_Data!$V$2:$V$1001,1)*$AL644^2)/(COUNTIFS(Clean_Data!$F$2:$F$1001,$F644,Clean_Data!$W$2:$W$1001,$W644,Clean_Data!$V$2:$V$1001,1)-1))),""))</f>
        <v>0.690029517372605</v>
      </c>
      <c r="AN644" s="5" t="str">
        <f>IF($AM644="","",IF($AM644&gt;=Lookups!$K$6,"High spike",IF($AM644&lt;=-Lookups!$K$6,"Unusual low","Normal")))</f>
        <v>Normal</v>
      </c>
      <c r="AO644" s="20">
        <f>IF($V644&lt;&gt;1,"",$P644+ROW()/100000)</f>
        <v>29.00644</v>
      </c>
      <c r="AP644" s="5">
        <f>IF($A644="","",IFERROR(MATCH($A644,Raw_D1!$A$2:$A$1001,0),""))</f>
        <v/>
      </c>
      <c r="AQ644" s="5">
        <f>IF($A644="","",IFERROR(MATCH($A644,Raw_D2!$B$2:$B$1001,0),""))</f>
        <v/>
      </c>
      <c r="AR644" s="5">
        <f>IF($A644="","",IFERROR(MATCH($A644,Raw_D3!$A$2:$A$1001,0),""))</f>
        <v>24</v>
      </c>
    </row>
    <row r="645" spans="1:44" x14ac:dyDescent="0.25">
      <c r="A645" s="5">
        <v>644</v>
      </c>
      <c r="B645" s="11">
        <f>IF($A645="","",IF($AP645&lt;&gt;"",INDEX(Raw_D1!$B$2:$B$1001,$AP645),IF($AR645&lt;&gt;"",INDEX(Raw_D3!$B$2:$B$1001,$AR645),"")))</f>
        <v>40573.0</v>
      </c>
      <c r="C645" s="5">
        <f>IF($A645="","",IF($AP645&lt;&gt;"",INDEX(Raw_D1!$C$2:$C$1001,$AP645),IF($AR645&lt;&gt;"",INDEX(Raw_D3!$C$2:$C$1001,$AR645),"")))</f>
        <v>1</v>
      </c>
      <c r="D645" s="5">
        <f>IF($A645="","",IF($AP645&lt;&gt;"",INDEX(Raw_D1!$D$2:$D$1001,$AP645),IF($AR645&lt;&gt;"",INDEX(Raw_D3!$D$2:$D$1001,$AR645),"")))</f>
        <v>0</v>
      </c>
      <c r="E645" s="5">
        <f>IF($A645="","",IF($AP645&lt;&gt;"",INDEX(Raw_D1!$E$2:$E$1001,$AP645),IF($AR645&lt;&gt;"",INDEX(Raw_D3!$E$2:$E$1001,$AR645),"")))</f>
        <v>1</v>
      </c>
      <c r="F645" s="5">
        <f>IF($A645="","",IF($AP645&lt;&gt;"",INDEX(Raw_D1!$F$2:$F$1001,$AP645),IF($AR645&lt;&gt;"",INDEX(Raw_D3!$F$2:$F$1001,$AR645),"")))</f>
        <v>2</v>
      </c>
      <c r="G645" s="5">
        <f>IF($A645="","",IF($AP645&lt;&gt;"",IF(INDEX(Raw_D1!$G$2:$G$1001,$AP645),1,0),IF($AR645&lt;&gt;"",IF(INDEX(Raw_D3!$G$2:$G$1001,$AR645),1,0),"")))</f>
        <v>0</v>
      </c>
      <c r="H645" s="5">
        <f>IF($A645="","",IF($AP645&lt;&gt;"",INDEX(Raw_D1!$H$2:$H$1001,$AP645),IF($AR645&lt;&gt;"",INDEX(Raw_D3!$H$2:$H$1001,$AR645),"")))</f>
        <v>0</v>
      </c>
      <c r="I645" s="5">
        <f>IF($A645="","",IF($AP645&lt;&gt;"",INDEX(Raw_D1!$I$2:$I$1001,$AP645),IF($AR645&lt;&gt;"",INDEX(Raw_D3!$I$2:$I$1001,$AR645),"")))</f>
        <v>1</v>
      </c>
      <c r="J645" s="16">
        <f>IF($A645="","",IF($AP645&lt;&gt;"",INDEX(Raw_D1!$J$2:$J$1001,$AP645),IF($AR645&lt;&gt;"",INDEX(Raw_D3!$J$2:$J$1001,$AR645),"")))</f>
        <v>0.16</v>
      </c>
      <c r="K645" s="17">
        <f>IF($A645="","",IF($AQ645&lt;&gt;"",IF(INDEX(Raw_D2!$C$2:$C$1001,$AQ645)="","",INDEX(Raw_D2!$C$2:$C$1001,$AQ645)),IF($AR645&lt;&gt;"",IF(INDEX(Raw_D3!$K$2:$K$1001,$AR645)="","",INDEX(Raw_D3!$K$2:$K$1001,$AR645)),"")))</f>
        <v>0.2273</v>
      </c>
      <c r="L645" s="16">
        <f>IF($A645="","",IF($AQ645&lt;&gt;"",IF(INDEX(Raw_D2!$D$2:$D$1001,$AQ645)="","",INDEX(Raw_D2!$D$2:$D$1001,$AQ645)),IF($AR645&lt;&gt;"",IF(INDEX(Raw_D3!$L$2:$L$1001,$AR645)="","",INDEX(Raw_D3!$L$2:$L$1001,$AR645)),"")))</f>
        <v>0.8</v>
      </c>
      <c r="M645" s="17">
        <f>IF($A645="","",IF($AQ645&lt;&gt;"",IF(INDEX(Raw_D2!$E$2:$E$1001,$AQ645)="","",INDEX(Raw_D2!$E$2:$E$1001,$AQ645)),IF($AR645&lt;&gt;"",IF(INDEX(Raw_D3!$M$2:$M$1001,$AR645)="","",INDEX(Raw_D3!$M$2:$M$1001,$AR645)),"")))</f>
        <v>0</v>
      </c>
      <c r="N645" s="5">
        <f>IF($A645="","",IF($AQ645&lt;&gt;"",IF(INDEX(Raw_D2!$F$2:$F$1001,$AQ645)="","",INDEX(Raw_D2!$F$2:$F$1001,$AQ645)),IF($AR645&lt;&gt;"",IF(INDEX(Raw_D3!$N$2:$N$1001,$AR645)="","",INDEX(Raw_D3!$N$2:$N$1001,$AR645)),"")))</f>
        <v>1</v>
      </c>
      <c r="O645" s="5">
        <f>IF($A645="","",IF($AQ645&lt;&gt;"",IF(INDEX(Raw_D2!$G$2:$G$1001,$AQ645)="","",INDEX(Raw_D2!$G$2:$G$1001,$AQ645)),IF($AR645&lt;&gt;"",IF(INDEX(Raw_D3!$O$2:$O$1001,$AR645)="","",INDEX(Raw_D3!$O$2:$O$1001,$AR645)),"")))</f>
        <v>10</v>
      </c>
      <c r="P645" s="5">
        <f>IF($A645="","",IF($AQ645&lt;&gt;"",IF(INDEX(Raw_D2!$H$2:$H$1001,$AQ645)="","",INDEX(Raw_D2!$H$2:$H$1001,$AQ645)),IF($AR645&lt;&gt;"",IF(INDEX(Raw_D3!$P$2:$P$1001,$AR645)="","",INDEX(Raw_D3!$P$2:$P$1001,$AR645)),"")))</f>
        <v>11</v>
      </c>
      <c r="Q645" s="5" t="str">
        <f>IF($A645="","",IF(AND($AP645&lt;&gt;"",$AQ645&lt;&gt;""),"D1+D2",IF($AR645&lt;&gt;"","D3","Incomplete")))</f>
        <v>D3</v>
      </c>
      <c r="R645" s="17">
        <f>IF($A645="","",IF($K645="",IF($J645="","",ROUND(Lookups!$K$5+Lookups!$K$4*$J645,4)),$K645))</f>
        <v>0.2273</v>
      </c>
      <c r="S645" s="5" t="str">
        <f>IF($A645="","",IF($K645="","Imputed","Original"))</f>
        <v>Original</v>
      </c>
      <c r="T645" s="5" t="str">
        <f>IF($A645="","",IF($P645="","Missing",IF($P645=$N645+$O645,"OK","Mismatch")))</f>
        <v>OK</v>
      </c>
      <c r="U645" s="5" t="str">
        <f>IF($A645="","",IF(COUNTIF($A$2:$A645,$A645)&gt;1,"Duplicate","Unique"))</f>
        <v>Unique</v>
      </c>
      <c r="V645" s="5">
        <f>IF($A645="","",IF(AND($U645="Unique",ISNUMBER($P645)),1,0))</f>
        <v>1</v>
      </c>
      <c r="W645" s="5" t="str">
        <f>IF($A645="","",IF(OR($H645=0,$H645=6),"Weekend","Weekday"))</f>
        <v>Weekend</v>
      </c>
      <c r="X645" s="5" t="str">
        <f>IF($A645="","",TEXT($B645,"ddd"))</f>
        <v>Sun</v>
      </c>
      <c r="Y645" s="5" t="str">
        <f>IF($A645="","",TEXT($B645,"mmm"))</f>
        <v>Jan</v>
      </c>
      <c r="Z645" s="5" t="str">
        <f>IF($A645="","",IFERROR(VLOOKUP($C645,Lookups!$D$4:$E$7,2,FALSE),"Unknown"))</f>
        <v>Winter</v>
      </c>
      <c r="AA645" s="5" t="str">
        <f>IF($A645="","",IFERROR(VLOOKUP($I645,Lookups!$A$4:$B$7,2,FALSE),"Unknown"))</f>
        <v>Clear</v>
      </c>
      <c r="AB645" s="5" t="str">
        <f>IF($A645="","",TEXT($F645,"00")&amp;":00")</f>
        <v>02:00</v>
      </c>
      <c r="AC645" s="5" t="str">
        <f>IF($A645="","",VLOOKUP($F645,Lookups!$G$4:$H$8,2,TRUE))</f>
        <v>Night (00-05)</v>
      </c>
      <c r="AD645" s="18">
        <f>IF($A645="","",IF($J645="","",ROUND($J645*41,1)))</f>
        <v>6.6</v>
      </c>
      <c r="AE645" s="18">
        <f>IF($A645="","",IF($R645="","",ROUND($R645*50,1)))</f>
        <v>11.4</v>
      </c>
      <c r="AF645" s="5">
        <f>IF($A645="","",IF($L645="","",ROUND($L645*100,0)))</f>
        <v>80</v>
      </c>
      <c r="AG645" s="18">
        <f>IF($A645="","",IF($M645="","",ROUND($M645*67,1)))</f>
        <v>0</v>
      </c>
      <c r="AH645" s="19">
        <f>IF($A645="","",IF($P645="","",IF($P645=0,0,$O645/$P645)))</f>
        <v>0.909090909090909</v>
      </c>
      <c r="AI645" s="5" t="str">
        <f>IF($A645="","",IF($P645="","",IF($P645&gt;=Lookups!$K$7,"High",IF($P645&lt;=Lookups!$K$8,"Low","Medium"))))</f>
        <v>Low</v>
      </c>
      <c r="AJ645" s="5" t="str">
        <f>IF($A645="","",IF($AD645="","",IF($AD645&lt;5,"Under 5 C",IF($AD645&lt;10,"5-10 C",IF($AD645&lt;15,"10-15 C","15 C and above")))))</f>
        <v>5-10 C</v>
      </c>
      <c r="AK645" s="5">
        <f>IF($A645="","",IF($P645="","",$P645^2))</f>
        <v>121</v>
      </c>
      <c r="AL645" s="18">
        <f>IF($V645&lt;&gt;1,"",AVERAGEIFS(Clean_Data!$P$2:$P$1001,Clean_Data!$F$2:$F$1001,$F645,Clean_Data!$W$2:$W$1001,$W645,Clean_Data!$V$2:$V$1001,1))</f>
        <v>15.9285714285714</v>
      </c>
      <c r="AM645" s="16">
        <f>IF($V645&lt;&gt;1,"",IFERROR(($P645-$AL645)/SQRT(MAX(0,(SUMIFS(Clean_Data!$AK$2:$AK$1001,Clean_Data!$F$2:$F$1001,$F645,Clean_Data!$W$2:$W$1001,$W645,Clean_Data!$V$2:$V$1001,1)-COUNTIFS(Clean_Data!$F$2:$F$1001,$F645,Clean_Data!$W$2:$W$1001,$W645,Clean_Data!$V$2:$V$1001,1)*$AL645^2)/(COUNTIFS(Clean_Data!$F$2:$F$1001,$F645,Clean_Data!$W$2:$W$1001,$W645,Clean_Data!$V$2:$V$1001,1)-1))),""))</f>
        <v>-0.852086651842453</v>
      </c>
      <c r="AN645" s="5" t="str">
        <f>IF($AM645="","",IF($AM645&gt;=Lookups!$K$6,"High spike",IF($AM645&lt;=-Lookups!$K$6,"Unusual low","Normal")))</f>
        <v>Normal</v>
      </c>
      <c r="AO645" s="20">
        <f>IF($V645&lt;&gt;1,"",$P645+ROW()/100000)</f>
        <v>11.00645</v>
      </c>
      <c r="AP645" s="5">
        <f>IF($A645="","",IFERROR(MATCH($A645,Raw_D1!$A$2:$A$1001,0),""))</f>
        <v/>
      </c>
      <c r="AQ645" s="5">
        <f>IF($A645="","",IFERROR(MATCH($A645,Raw_D2!$B$2:$B$1001,0),""))</f>
        <v/>
      </c>
      <c r="AR645" s="5">
        <f>IF($A645="","",IFERROR(MATCH($A645,Raw_D3!$A$2:$A$1001,0),""))</f>
        <v>25</v>
      </c>
    </row>
    <row r="646" spans="1:44" x14ac:dyDescent="0.25">
      <c r="A646" s="5">
        <v>645</v>
      </c>
      <c r="B646" s="11">
        <f>IF($A646="","",IF($AP646&lt;&gt;"",INDEX(Raw_D1!$B$2:$B$1001,$AP646),IF($AR646&lt;&gt;"",INDEX(Raw_D3!$B$2:$B$1001,$AR646),"")))</f>
        <v>40573.0</v>
      </c>
      <c r="C646" s="5">
        <f>IF($A646="","",IF($AP646&lt;&gt;"",INDEX(Raw_D1!$C$2:$C$1001,$AP646),IF($AR646&lt;&gt;"",INDEX(Raw_D3!$C$2:$C$1001,$AR646),"")))</f>
        <v>1</v>
      </c>
      <c r="D646" s="5">
        <f>IF($A646="","",IF($AP646&lt;&gt;"",INDEX(Raw_D1!$D$2:$D$1001,$AP646),IF($AR646&lt;&gt;"",INDEX(Raw_D3!$D$2:$D$1001,$AR646),"")))</f>
        <v>0</v>
      </c>
      <c r="E646" s="5">
        <f>IF($A646="","",IF($AP646&lt;&gt;"",INDEX(Raw_D1!$E$2:$E$1001,$AP646),IF($AR646&lt;&gt;"",INDEX(Raw_D3!$E$2:$E$1001,$AR646),"")))</f>
        <v>1</v>
      </c>
      <c r="F646" s="5">
        <f>IF($A646="","",IF($AP646&lt;&gt;"",INDEX(Raw_D1!$F$2:$F$1001,$AP646),IF($AR646&lt;&gt;"",INDEX(Raw_D3!$F$2:$F$1001,$AR646),"")))</f>
        <v>3</v>
      </c>
      <c r="G646" s="5">
        <f>IF($A646="","",IF($AP646&lt;&gt;"",IF(INDEX(Raw_D1!$G$2:$G$1001,$AP646),1,0),IF($AR646&lt;&gt;"",IF(INDEX(Raw_D3!$G$2:$G$1001,$AR646),1,0),"")))</f>
        <v>0</v>
      </c>
      <c r="H646" s="5">
        <f>IF($A646="","",IF($AP646&lt;&gt;"",INDEX(Raw_D1!$H$2:$H$1001,$AP646),IF($AR646&lt;&gt;"",INDEX(Raw_D3!$H$2:$H$1001,$AR646),"")))</f>
        <v>0</v>
      </c>
      <c r="I646" s="5">
        <f>IF($A646="","",IF($AP646&lt;&gt;"",INDEX(Raw_D1!$I$2:$I$1001,$AP646),IF($AR646&lt;&gt;"",INDEX(Raw_D3!$I$2:$I$1001,$AR646),"")))</f>
        <v>1</v>
      </c>
      <c r="J646" s="16">
        <f>IF($A646="","",IF($AP646&lt;&gt;"",INDEX(Raw_D1!$J$2:$J$1001,$AP646),IF($AR646&lt;&gt;"",INDEX(Raw_D3!$J$2:$J$1001,$AR646),"")))</f>
        <v>0.14</v>
      </c>
      <c r="K646" s="17">
        <f>IF($A646="","",IF($AQ646&lt;&gt;"",IF(INDEX(Raw_D2!$C$2:$C$1001,$AQ646)="","",INDEX(Raw_D2!$C$2:$C$1001,$AQ646)),IF($AR646&lt;&gt;"",IF(INDEX(Raw_D3!$K$2:$K$1001,$AR646)="","",INDEX(Raw_D3!$K$2:$K$1001,$AR646)),"")))</f>
        <v>0.2121</v>
      </c>
      <c r="L646" s="16">
        <f>IF($A646="","",IF($AQ646&lt;&gt;"",IF(INDEX(Raw_D2!$D$2:$D$1001,$AQ646)="","",INDEX(Raw_D2!$D$2:$D$1001,$AQ646)),IF($AR646&lt;&gt;"",IF(INDEX(Raw_D3!$L$2:$L$1001,$AR646)="","",INDEX(Raw_D3!$L$2:$L$1001,$AR646)),"")))</f>
        <v>0.93</v>
      </c>
      <c r="M646" s="17">
        <f>IF($A646="","",IF($AQ646&lt;&gt;"",IF(INDEX(Raw_D2!$E$2:$E$1001,$AQ646)="","",INDEX(Raw_D2!$E$2:$E$1001,$AQ646)),IF($AR646&lt;&gt;"",IF(INDEX(Raw_D3!$M$2:$M$1001,$AR646)="","",INDEX(Raw_D3!$M$2:$M$1001,$AR646)),"")))</f>
        <v>0</v>
      </c>
      <c r="N646" s="5">
        <f>IF($A646="","",IF($AQ646&lt;&gt;"",IF(INDEX(Raw_D2!$F$2:$F$1001,$AQ646)="","",INDEX(Raw_D2!$F$2:$F$1001,$AQ646)),IF($AR646&lt;&gt;"",IF(INDEX(Raw_D3!$N$2:$N$1001,$AR646)="","",INDEX(Raw_D3!$N$2:$N$1001,$AR646)),"")))</f>
        <v>1</v>
      </c>
      <c r="O646" s="5">
        <f>IF($A646="","",IF($AQ646&lt;&gt;"",IF(INDEX(Raw_D2!$G$2:$G$1001,$AQ646)="","",INDEX(Raw_D2!$G$2:$G$1001,$AQ646)),IF($AR646&lt;&gt;"",IF(INDEX(Raw_D3!$O$2:$O$1001,$AR646)="","",INDEX(Raw_D3!$O$2:$O$1001,$AR646)),"")))</f>
        <v>7</v>
      </c>
      <c r="P646" s="5">
        <f>IF($A646="","",IF($AQ646&lt;&gt;"",IF(INDEX(Raw_D2!$H$2:$H$1001,$AQ646)="","",INDEX(Raw_D2!$H$2:$H$1001,$AQ646)),IF($AR646&lt;&gt;"",IF(INDEX(Raw_D3!$P$2:$P$1001,$AR646)="","",INDEX(Raw_D3!$P$2:$P$1001,$AR646)),"")))</f>
        <v>8</v>
      </c>
      <c r="Q646" s="5" t="str">
        <f>IF($A646="","",IF(AND($AP646&lt;&gt;"",$AQ646&lt;&gt;""),"D1+D2",IF($AR646&lt;&gt;"","D3","Incomplete")))</f>
        <v>D3</v>
      </c>
      <c r="R646" s="17">
        <f>IF($A646="","",IF($K646="",IF($J646="","",ROUND(Lookups!$K$5+Lookups!$K$4*$J646,4)),$K646))</f>
        <v>0.2121</v>
      </c>
      <c r="S646" s="5" t="str">
        <f>IF($A646="","",IF($K646="","Imputed","Original"))</f>
        <v>Original</v>
      </c>
      <c r="T646" s="5" t="str">
        <f>IF($A646="","",IF($P646="","Missing",IF($P646=$N646+$O646,"OK","Mismatch")))</f>
        <v>OK</v>
      </c>
      <c r="U646" s="5" t="str">
        <f>IF($A646="","",IF(COUNTIF($A$2:$A646,$A646)&gt;1,"Duplicate","Unique"))</f>
        <v>Unique</v>
      </c>
      <c r="V646" s="5">
        <f>IF($A646="","",IF(AND($U646="Unique",ISNUMBER($P646)),1,0))</f>
        <v>1</v>
      </c>
      <c r="W646" s="5" t="str">
        <f>IF($A646="","",IF(OR($H646=0,$H646=6),"Weekend","Weekday"))</f>
        <v>Weekend</v>
      </c>
      <c r="X646" s="5" t="str">
        <f>IF($A646="","",TEXT($B646,"ddd"))</f>
        <v>Sun</v>
      </c>
      <c r="Y646" s="5" t="str">
        <f>IF($A646="","",TEXT($B646,"mmm"))</f>
        <v>Jan</v>
      </c>
      <c r="Z646" s="5" t="str">
        <f>IF($A646="","",IFERROR(VLOOKUP($C646,Lookups!$D$4:$E$7,2,FALSE),"Unknown"))</f>
        <v>Winter</v>
      </c>
      <c r="AA646" s="5" t="str">
        <f>IF($A646="","",IFERROR(VLOOKUP($I646,Lookups!$A$4:$B$7,2,FALSE),"Unknown"))</f>
        <v>Clear</v>
      </c>
      <c r="AB646" s="5" t="str">
        <f>IF($A646="","",TEXT($F646,"00")&amp;":00")</f>
        <v>03:00</v>
      </c>
      <c r="AC646" s="5" t="str">
        <f>IF($A646="","",VLOOKUP($F646,Lookups!$G$4:$H$8,2,TRUE))</f>
        <v>Night (00-05)</v>
      </c>
      <c r="AD646" s="18">
        <f>IF($A646="","",IF($J646="","",ROUND($J646*41,1)))</f>
        <v>5.7</v>
      </c>
      <c r="AE646" s="18">
        <f>IF($A646="","",IF($R646="","",ROUND($R646*50,1)))</f>
        <v>10.6</v>
      </c>
      <c r="AF646" s="5">
        <f>IF($A646="","",IF($L646="","",ROUND($L646*100,0)))</f>
        <v>93</v>
      </c>
      <c r="AG646" s="18">
        <f>IF($A646="","",IF($M646="","",ROUND($M646*67,1)))</f>
        <v>0</v>
      </c>
      <c r="AH646" s="19">
        <f>IF($A646="","",IF($P646="","",IF($P646=0,0,$O646/$P646)))</f>
        <v>0.875</v>
      </c>
      <c r="AI646" s="5" t="str">
        <f>IF($A646="","",IF($P646="","",IF($P646&gt;=Lookups!$K$7,"High",IF($P646&lt;=Lookups!$K$8,"Low","Medium"))))</f>
        <v>Low</v>
      </c>
      <c r="AJ646" s="5" t="str">
        <f>IF($A646="","",IF($AD646="","",IF($AD646&lt;5,"Under 5 C",IF($AD646&lt;10,"5-10 C",IF($AD646&lt;15,"10-15 C","15 C and above")))))</f>
        <v>5-10 C</v>
      </c>
      <c r="AK646" s="5">
        <f>IF($A646="","",IF($P646="","",$P646^2))</f>
        <v>64</v>
      </c>
      <c r="AL646" s="18">
        <f>IF($V646&lt;&gt;1,"",AVERAGEIFS(Clean_Data!$P$2:$P$1001,Clean_Data!$F$2:$F$1001,$F646,Clean_Data!$W$2:$W$1001,$W646,Clean_Data!$V$2:$V$1001,1))</f>
        <v>9.07142857142857</v>
      </c>
      <c r="AM646" s="16">
        <f>IF($V646&lt;&gt;1,"",IFERROR(($P646-$AL646)/SQRT(MAX(0,(SUMIFS(Clean_Data!$AK$2:$AK$1001,Clean_Data!$F$2:$F$1001,$F646,Clean_Data!$W$2:$W$1001,$W646,Clean_Data!$V$2:$V$1001,1)-COUNTIFS(Clean_Data!$F$2:$F$1001,$F646,Clean_Data!$W$2:$W$1001,$W646,Clean_Data!$V$2:$V$1001,1)*$AL646^2)/(COUNTIFS(Clean_Data!$F$2:$F$1001,$F646,Clean_Data!$W$2:$W$1001,$W646,Clean_Data!$V$2:$V$1001,1)-1))),""))</f>
        <v>-0.323128580714316</v>
      </c>
      <c r="AN646" s="5" t="str">
        <f>IF($AM646="","",IF($AM646&gt;=Lookups!$K$6,"High spike",IF($AM646&lt;=-Lookups!$K$6,"Unusual low","Normal")))</f>
        <v>Normal</v>
      </c>
      <c r="AO646" s="20">
        <f>IF($V646&lt;&gt;1,"",$P646+ROW()/100000)</f>
        <v>8.00646</v>
      </c>
      <c r="AP646" s="5">
        <f>IF($A646="","",IFERROR(MATCH($A646,Raw_D1!$A$2:$A$1001,0),""))</f>
        <v/>
      </c>
      <c r="AQ646" s="5">
        <f>IF($A646="","",IFERROR(MATCH($A646,Raw_D2!$B$2:$B$1001,0),""))</f>
        <v/>
      </c>
      <c r="AR646" s="5">
        <f>IF($A646="","",IFERROR(MATCH($A646,Raw_D3!$A$2:$A$1001,0),""))</f>
        <v>26</v>
      </c>
    </row>
    <row r="647" spans="1:44" x14ac:dyDescent="0.25">
      <c r="A647" s="5">
        <v>646</v>
      </c>
      <c r="B647" s="11">
        <f>IF($A647="","",IF($AP647&lt;&gt;"",INDEX(Raw_D1!$B$2:$B$1001,$AP647),IF($AR647&lt;&gt;"",INDEX(Raw_D3!$B$2:$B$1001,$AR647),"")))</f>
        <v>40573.0</v>
      </c>
      <c r="C647" s="5">
        <f>IF($A647="","",IF($AP647&lt;&gt;"",INDEX(Raw_D1!$C$2:$C$1001,$AP647),IF($AR647&lt;&gt;"",INDEX(Raw_D3!$C$2:$C$1001,$AR647),"")))</f>
        <v>1</v>
      </c>
      <c r="D647" s="5">
        <f>IF($A647="","",IF($AP647&lt;&gt;"",INDEX(Raw_D1!$D$2:$D$1001,$AP647),IF($AR647&lt;&gt;"",INDEX(Raw_D3!$D$2:$D$1001,$AR647),"")))</f>
        <v>0</v>
      </c>
      <c r="E647" s="5">
        <f>IF($A647="","",IF($AP647&lt;&gt;"",INDEX(Raw_D1!$E$2:$E$1001,$AP647),IF($AR647&lt;&gt;"",INDEX(Raw_D3!$E$2:$E$1001,$AR647),"")))</f>
        <v>1</v>
      </c>
      <c r="F647" s="5">
        <f>IF($A647="","",IF($AP647&lt;&gt;"",INDEX(Raw_D1!$F$2:$F$1001,$AP647),IF($AR647&lt;&gt;"",INDEX(Raw_D3!$F$2:$F$1001,$AR647),"")))</f>
        <v>4</v>
      </c>
      <c r="G647" s="5">
        <f>IF($A647="","",IF($AP647&lt;&gt;"",IF(INDEX(Raw_D1!$G$2:$G$1001,$AP647),1,0),IF($AR647&lt;&gt;"",IF(INDEX(Raw_D3!$G$2:$G$1001,$AR647),1,0),"")))</f>
        <v>0</v>
      </c>
      <c r="H647" s="5">
        <f>IF($A647="","",IF($AP647&lt;&gt;"",INDEX(Raw_D1!$H$2:$H$1001,$AP647),IF($AR647&lt;&gt;"",INDEX(Raw_D3!$H$2:$H$1001,$AR647),"")))</f>
        <v>0</v>
      </c>
      <c r="I647" s="5">
        <f>IF($A647="","",IF($AP647&lt;&gt;"",INDEX(Raw_D1!$I$2:$I$1001,$AP647),IF($AR647&lt;&gt;"",INDEX(Raw_D3!$I$2:$I$1001,$AR647),"")))</f>
        <v>1</v>
      </c>
      <c r="J647" s="16">
        <f>IF($A647="","",IF($AP647&lt;&gt;"",INDEX(Raw_D1!$J$2:$J$1001,$AP647),IF($AR647&lt;&gt;"",INDEX(Raw_D3!$J$2:$J$1001,$AR647),"")))</f>
        <v>0.14</v>
      </c>
      <c r="K647" s="17">
        <f>IF($A647="","",IF($AQ647&lt;&gt;"",IF(INDEX(Raw_D2!$C$2:$C$1001,$AQ647)="","",INDEX(Raw_D2!$C$2:$C$1001,$AQ647)),IF($AR647&lt;&gt;"",IF(INDEX(Raw_D3!$K$2:$K$1001,$AR647)="","",INDEX(Raw_D3!$K$2:$K$1001,$AR647)),"")))</f>
        <v>0.2121</v>
      </c>
      <c r="L647" s="16">
        <f>IF($A647="","",IF($AQ647&lt;&gt;"",IF(INDEX(Raw_D2!$D$2:$D$1001,$AQ647)="","",INDEX(Raw_D2!$D$2:$D$1001,$AQ647)),IF($AR647&lt;&gt;"",IF(INDEX(Raw_D3!$L$2:$L$1001,$AR647)="","",INDEX(Raw_D3!$L$2:$L$1001,$AR647)),"")))</f>
        <v>0.93</v>
      </c>
      <c r="M647" s="17">
        <f>IF($A647="","",IF($AQ647&lt;&gt;"",IF(INDEX(Raw_D2!$E$2:$E$1001,$AQ647)="","",INDEX(Raw_D2!$E$2:$E$1001,$AQ647)),IF($AR647&lt;&gt;"",IF(INDEX(Raw_D3!$M$2:$M$1001,$AR647)="","",INDEX(Raw_D3!$M$2:$M$1001,$AR647)),"")))</f>
        <v>0</v>
      </c>
      <c r="N647" s="5">
        <f>IF($A647="","",IF($AQ647&lt;&gt;"",IF(INDEX(Raw_D2!$F$2:$F$1001,$AQ647)="","",INDEX(Raw_D2!$F$2:$F$1001,$AQ647)),IF($AR647&lt;&gt;"",IF(INDEX(Raw_D3!$N$2:$N$1001,$AR647)="","",INDEX(Raw_D3!$N$2:$N$1001,$AR647)),"")))</f>
        <v>0</v>
      </c>
      <c r="O647" s="5">
        <f>IF($A647="","",IF($AQ647&lt;&gt;"",IF(INDEX(Raw_D2!$G$2:$G$1001,$AQ647)="","",INDEX(Raw_D2!$G$2:$G$1001,$AQ647)),IF($AR647&lt;&gt;"",IF(INDEX(Raw_D3!$O$2:$O$1001,$AR647)="","",INDEX(Raw_D3!$O$2:$O$1001,$AR647)),"")))</f>
        <v>1</v>
      </c>
      <c r="P647" s="5">
        <f>IF($A647="","",IF($AQ647&lt;&gt;"",IF(INDEX(Raw_D2!$H$2:$H$1001,$AQ647)="","",INDEX(Raw_D2!$H$2:$H$1001,$AQ647)),IF($AR647&lt;&gt;"",IF(INDEX(Raw_D3!$P$2:$P$1001,$AR647)="","",INDEX(Raw_D3!$P$2:$P$1001,$AR647)),"")))</f>
        <v>1</v>
      </c>
      <c r="Q647" s="5" t="str">
        <f>IF($A647="","",IF(AND($AP647&lt;&gt;"",$AQ647&lt;&gt;""),"D1+D2",IF($AR647&lt;&gt;"","D3","Incomplete")))</f>
        <v>D3</v>
      </c>
      <c r="R647" s="17">
        <f>IF($A647="","",IF($K647="",IF($J647="","",ROUND(Lookups!$K$5+Lookups!$K$4*$J647,4)),$K647))</f>
        <v>0.2121</v>
      </c>
      <c r="S647" s="5" t="str">
        <f>IF($A647="","",IF($K647="","Imputed","Original"))</f>
        <v>Original</v>
      </c>
      <c r="T647" s="5" t="str">
        <f>IF($A647="","",IF($P647="","Missing",IF($P647=$N647+$O647,"OK","Mismatch")))</f>
        <v>OK</v>
      </c>
      <c r="U647" s="5" t="str">
        <f>IF($A647="","",IF(COUNTIF($A$2:$A647,$A647)&gt;1,"Duplicate","Unique"))</f>
        <v>Unique</v>
      </c>
      <c r="V647" s="5">
        <f>IF($A647="","",IF(AND($U647="Unique",ISNUMBER($P647)),1,0))</f>
        <v>1</v>
      </c>
      <c r="W647" s="5" t="str">
        <f>IF($A647="","",IF(OR($H647=0,$H647=6),"Weekend","Weekday"))</f>
        <v>Weekend</v>
      </c>
      <c r="X647" s="5" t="str">
        <f>IF($A647="","",TEXT($B647,"ddd"))</f>
        <v>Sun</v>
      </c>
      <c r="Y647" s="5" t="str">
        <f>IF($A647="","",TEXT($B647,"mmm"))</f>
        <v>Jan</v>
      </c>
      <c r="Z647" s="5" t="str">
        <f>IF($A647="","",IFERROR(VLOOKUP($C647,Lookups!$D$4:$E$7,2,FALSE),"Unknown"))</f>
        <v>Winter</v>
      </c>
      <c r="AA647" s="5" t="str">
        <f>IF($A647="","",IFERROR(VLOOKUP($I647,Lookups!$A$4:$B$7,2,FALSE),"Unknown"))</f>
        <v>Clear</v>
      </c>
      <c r="AB647" s="5" t="str">
        <f>IF($A647="","",TEXT($F647,"00")&amp;":00")</f>
        <v>04:00</v>
      </c>
      <c r="AC647" s="5" t="str">
        <f>IF($A647="","",VLOOKUP($F647,Lookups!$G$4:$H$8,2,TRUE))</f>
        <v>Night (00-05)</v>
      </c>
      <c r="AD647" s="18">
        <f>IF($A647="","",IF($J647="","",ROUND($J647*41,1)))</f>
        <v>5.7</v>
      </c>
      <c r="AE647" s="18">
        <f>IF($A647="","",IF($R647="","",ROUND($R647*50,1)))</f>
        <v>10.6</v>
      </c>
      <c r="AF647" s="5">
        <f>IF($A647="","",IF($L647="","",ROUND($L647*100,0)))</f>
        <v>93</v>
      </c>
      <c r="AG647" s="18">
        <f>IF($A647="","",IF($M647="","",ROUND($M647*67,1)))</f>
        <v>0</v>
      </c>
      <c r="AH647" s="19">
        <f>IF($A647="","",IF($P647="","",IF($P647=0,0,$O647/$P647)))</f>
        <v>1</v>
      </c>
      <c r="AI647" s="5" t="str">
        <f>IF($A647="","",IF($P647="","",IF($P647&gt;=Lookups!$K$7,"High",IF($P647&lt;=Lookups!$K$8,"Low","Medium"))))</f>
        <v>Low</v>
      </c>
      <c r="AJ647" s="5" t="str">
        <f>IF($A647="","",IF($AD647="","",IF($AD647&lt;5,"Under 5 C",IF($AD647&lt;10,"5-10 C",IF($AD647&lt;15,"10-15 C","15 C and above")))))</f>
        <v>5-10 C</v>
      </c>
      <c r="AK647" s="5">
        <f>IF($A647="","",IF($P647="","",$P647^2))</f>
        <v>1</v>
      </c>
      <c r="AL647" s="18">
        <f>IF($V647&lt;&gt;1,"",AVERAGEIFS(Clean_Data!$P$2:$P$1001,Clean_Data!$F$2:$F$1001,$F647,Clean_Data!$W$2:$W$1001,$W647,Clean_Data!$V$2:$V$1001,1))</f>
        <v>2.69230769230769</v>
      </c>
      <c r="AM647" s="16">
        <f>IF($V647&lt;&gt;1,"",IFERROR(($P647-$AL647)/SQRT(MAX(0,(SUMIFS(Clean_Data!$AK$2:$AK$1001,Clean_Data!$F$2:$F$1001,$F647,Clean_Data!$W$2:$W$1001,$W647,Clean_Data!$V$2:$V$1001,1)-COUNTIFS(Clean_Data!$F$2:$F$1001,$F647,Clean_Data!$W$2:$W$1001,$W647,Clean_Data!$V$2:$V$1001,1)*$AL647^2)/(COUNTIFS(Clean_Data!$F$2:$F$1001,$F647,Clean_Data!$W$2:$W$1001,$W647,Clean_Data!$V$2:$V$1001,1)-1))),""))</f>
        <v>-0.822753351207442</v>
      </c>
      <c r="AN647" s="5" t="str">
        <f>IF($AM647="","",IF($AM647&gt;=Lookups!$K$6,"High spike",IF($AM647&lt;=-Lookups!$K$6,"Unusual low","Normal")))</f>
        <v>Normal</v>
      </c>
      <c r="AO647" s="20">
        <f>IF($V647&lt;&gt;1,"",$P647+ROW()/100000)</f>
        <v>1.00647</v>
      </c>
      <c r="AP647" s="5">
        <f>IF($A647="","",IFERROR(MATCH($A647,Raw_D1!$A$2:$A$1001,0),""))</f>
        <v/>
      </c>
      <c r="AQ647" s="5">
        <f>IF($A647="","",IFERROR(MATCH($A647,Raw_D2!$B$2:$B$1001,0),""))</f>
        <v/>
      </c>
      <c r="AR647" s="5">
        <f>IF($A647="","",IFERROR(MATCH($A647,Raw_D3!$A$2:$A$1001,0),""))</f>
        <v>27</v>
      </c>
    </row>
    <row r="648" spans="1:44" x14ac:dyDescent="0.25">
      <c r="A648" s="5">
        <v>647</v>
      </c>
      <c r="B648" s="11">
        <f>IF($A648="","",IF($AP648&lt;&gt;"",INDEX(Raw_D1!$B$2:$B$1001,$AP648),IF($AR648&lt;&gt;"",INDEX(Raw_D3!$B$2:$B$1001,$AR648),"")))</f>
        <v>40573.0</v>
      </c>
      <c r="C648" s="5">
        <f>IF($A648="","",IF($AP648&lt;&gt;"",INDEX(Raw_D1!$C$2:$C$1001,$AP648),IF($AR648&lt;&gt;"",INDEX(Raw_D3!$C$2:$C$1001,$AR648),"")))</f>
        <v>1</v>
      </c>
      <c r="D648" s="5">
        <f>IF($A648="","",IF($AP648&lt;&gt;"",INDEX(Raw_D1!$D$2:$D$1001,$AP648),IF($AR648&lt;&gt;"",INDEX(Raw_D3!$D$2:$D$1001,$AR648),"")))</f>
        <v>0</v>
      </c>
      <c r="E648" s="5">
        <f>IF($A648="","",IF($AP648&lt;&gt;"",INDEX(Raw_D1!$E$2:$E$1001,$AP648),IF($AR648&lt;&gt;"",INDEX(Raw_D3!$E$2:$E$1001,$AR648),"")))</f>
        <v>1</v>
      </c>
      <c r="F648" s="5">
        <f>IF($A648="","",IF($AP648&lt;&gt;"",INDEX(Raw_D1!$F$2:$F$1001,$AP648),IF($AR648&lt;&gt;"",INDEX(Raw_D3!$F$2:$F$1001,$AR648),"")))</f>
        <v>5</v>
      </c>
      <c r="G648" s="5">
        <f>IF($A648="","",IF($AP648&lt;&gt;"",IF(INDEX(Raw_D1!$G$2:$G$1001,$AP648),1,0),IF($AR648&lt;&gt;"",IF(INDEX(Raw_D3!$G$2:$G$1001,$AR648),1,0),"")))</f>
        <v>0</v>
      </c>
      <c r="H648" s="5">
        <f>IF($A648="","",IF($AP648&lt;&gt;"",INDEX(Raw_D1!$H$2:$H$1001,$AP648),IF($AR648&lt;&gt;"",INDEX(Raw_D3!$H$2:$H$1001,$AR648),"")))</f>
        <v>0</v>
      </c>
      <c r="I648" s="5">
        <f>IF($A648="","",IF($AP648&lt;&gt;"",INDEX(Raw_D1!$I$2:$I$1001,$AP648),IF($AR648&lt;&gt;"",INDEX(Raw_D3!$I$2:$I$1001,$AR648),"")))</f>
        <v>1</v>
      </c>
      <c r="J648" s="16">
        <f>IF($A648="","",IF($AP648&lt;&gt;"",INDEX(Raw_D1!$J$2:$J$1001,$AP648),IF($AR648&lt;&gt;"",INDEX(Raw_D3!$J$2:$J$1001,$AR648),"")))</f>
        <v>0.14</v>
      </c>
      <c r="K648" s="17">
        <f>IF($A648="","",IF($AQ648&lt;&gt;"",IF(INDEX(Raw_D2!$C$2:$C$1001,$AQ648)="","",INDEX(Raw_D2!$C$2:$C$1001,$AQ648)),IF($AR648&lt;&gt;"",IF(INDEX(Raw_D3!$K$2:$K$1001,$AR648)="","",INDEX(Raw_D3!$K$2:$K$1001,$AR648)),"")))</f>
        <v>0.2121</v>
      </c>
      <c r="L648" s="16">
        <f>IF($A648="","",IF($AQ648&lt;&gt;"",IF(INDEX(Raw_D2!$D$2:$D$1001,$AQ648)="","",INDEX(Raw_D2!$D$2:$D$1001,$AQ648)),IF($AR648&lt;&gt;"",IF(INDEX(Raw_D3!$L$2:$L$1001,$AR648)="","",INDEX(Raw_D3!$L$2:$L$1001,$AR648)),"")))</f>
        <v>0.86</v>
      </c>
      <c r="M648" s="17">
        <f>IF($A648="","",IF($AQ648&lt;&gt;"",IF(INDEX(Raw_D2!$E$2:$E$1001,$AQ648)="","",INDEX(Raw_D2!$E$2:$E$1001,$AQ648)),IF($AR648&lt;&gt;"",IF(INDEX(Raw_D3!$M$2:$M$1001,$AR648)="","",INDEX(Raw_D3!$M$2:$M$1001,$AR648)),"")))</f>
        <v>0</v>
      </c>
      <c r="N648" s="5">
        <f>IF($A648="","",IF($AQ648&lt;&gt;"",IF(INDEX(Raw_D2!$F$2:$F$1001,$AQ648)="","",INDEX(Raw_D2!$F$2:$F$1001,$AQ648)),IF($AR648&lt;&gt;"",IF(INDEX(Raw_D3!$N$2:$N$1001,$AR648)="","",INDEX(Raw_D3!$N$2:$N$1001,$AR648)),"")))</f>
        <v>0</v>
      </c>
      <c r="O648" s="5">
        <f>IF($A648="","",IF($AQ648&lt;&gt;"",IF(INDEX(Raw_D2!$G$2:$G$1001,$AQ648)="","",INDEX(Raw_D2!$G$2:$G$1001,$AQ648)),IF($AR648&lt;&gt;"",IF(INDEX(Raw_D3!$O$2:$O$1001,$AR648)="","",INDEX(Raw_D3!$O$2:$O$1001,$AR648)),"")))</f>
        <v>3</v>
      </c>
      <c r="P648" s="5">
        <f>IF($A648="","",IF($AQ648&lt;&gt;"",IF(INDEX(Raw_D2!$H$2:$H$1001,$AQ648)="","",INDEX(Raw_D2!$H$2:$H$1001,$AQ648)),IF($AR648&lt;&gt;"",IF(INDEX(Raw_D3!$P$2:$P$1001,$AR648)="","",INDEX(Raw_D3!$P$2:$P$1001,$AR648)),"")))</f>
        <v>3</v>
      </c>
      <c r="Q648" s="5" t="str">
        <f>IF($A648="","",IF(AND($AP648&lt;&gt;"",$AQ648&lt;&gt;""),"D1+D2",IF($AR648&lt;&gt;"","D3","Incomplete")))</f>
        <v>D3</v>
      </c>
      <c r="R648" s="17">
        <f>IF($A648="","",IF($K648="",IF($J648="","",ROUND(Lookups!$K$5+Lookups!$K$4*$J648,4)),$K648))</f>
        <v>0.2121</v>
      </c>
      <c r="S648" s="5" t="str">
        <f>IF($A648="","",IF($K648="","Imputed","Original"))</f>
        <v>Original</v>
      </c>
      <c r="T648" s="5" t="str">
        <f>IF($A648="","",IF($P648="","Missing",IF($P648=$N648+$O648,"OK","Mismatch")))</f>
        <v>OK</v>
      </c>
      <c r="U648" s="5" t="str">
        <f>IF($A648="","",IF(COUNTIF($A$2:$A648,$A648)&gt;1,"Duplicate","Unique"))</f>
        <v>Unique</v>
      </c>
      <c r="V648" s="5">
        <f>IF($A648="","",IF(AND($U648="Unique",ISNUMBER($P648)),1,0))</f>
        <v>1</v>
      </c>
      <c r="W648" s="5" t="str">
        <f>IF($A648="","",IF(OR($H648=0,$H648=6),"Weekend","Weekday"))</f>
        <v>Weekend</v>
      </c>
      <c r="X648" s="5" t="str">
        <f>IF($A648="","",TEXT($B648,"ddd"))</f>
        <v>Sun</v>
      </c>
      <c r="Y648" s="5" t="str">
        <f>IF($A648="","",TEXT($B648,"mmm"))</f>
        <v>Jan</v>
      </c>
      <c r="Z648" s="5" t="str">
        <f>IF($A648="","",IFERROR(VLOOKUP($C648,Lookups!$D$4:$E$7,2,FALSE),"Unknown"))</f>
        <v>Winter</v>
      </c>
      <c r="AA648" s="5" t="str">
        <f>IF($A648="","",IFERROR(VLOOKUP($I648,Lookups!$A$4:$B$7,2,FALSE),"Unknown"))</f>
        <v>Clear</v>
      </c>
      <c r="AB648" s="5" t="str">
        <f>IF($A648="","",TEXT($F648,"00")&amp;":00")</f>
        <v>05:00</v>
      </c>
      <c r="AC648" s="5" t="str">
        <f>IF($A648="","",VLOOKUP($F648,Lookups!$G$4:$H$8,2,TRUE))</f>
        <v>Night (00-05)</v>
      </c>
      <c r="AD648" s="18">
        <f>IF($A648="","",IF($J648="","",ROUND($J648*41,1)))</f>
        <v>5.7</v>
      </c>
      <c r="AE648" s="18">
        <f>IF($A648="","",IF($R648="","",ROUND($R648*50,1)))</f>
        <v>10.6</v>
      </c>
      <c r="AF648" s="5">
        <f>IF($A648="","",IF($L648="","",ROUND($L648*100,0)))</f>
        <v>86</v>
      </c>
      <c r="AG648" s="18">
        <f>IF($A648="","",IF($M648="","",ROUND($M648*67,1)))</f>
        <v>0</v>
      </c>
      <c r="AH648" s="19">
        <f>IF($A648="","",IF($P648="","",IF($P648=0,0,$O648/$P648)))</f>
        <v>1</v>
      </c>
      <c r="AI648" s="5" t="str">
        <f>IF($A648="","",IF($P648="","",IF($P648&gt;=Lookups!$K$7,"High",IF($P648&lt;=Lookups!$K$8,"Low","Medium"))))</f>
        <v>Low</v>
      </c>
      <c r="AJ648" s="5" t="str">
        <f>IF($A648="","",IF($AD648="","",IF($AD648&lt;5,"Under 5 C",IF($AD648&lt;10,"5-10 C",IF($AD648&lt;15,"10-15 C","15 C and above")))))</f>
        <v>5-10 C</v>
      </c>
      <c r="AK648" s="5">
        <f>IF($A648="","",IF($P648="","",$P648^2))</f>
        <v>9</v>
      </c>
      <c r="AL648" s="18">
        <f>IF($V648&lt;&gt;1,"",AVERAGEIFS(Clean_Data!$P$2:$P$1001,Clean_Data!$F$2:$F$1001,$F648,Clean_Data!$W$2:$W$1001,$W648,Clean_Data!$V$2:$V$1001,1))</f>
        <v>2.7</v>
      </c>
      <c r="AM648" s="16">
        <f>IF($V648&lt;&gt;1,"",IFERROR(($P648-$AL648)/SQRT(MAX(0,(SUMIFS(Clean_Data!$AK$2:$AK$1001,Clean_Data!$F$2:$F$1001,$F648,Clean_Data!$W$2:$W$1001,$W648,Clean_Data!$V$2:$V$1001,1)-COUNTIFS(Clean_Data!$F$2:$F$1001,$F648,Clean_Data!$W$2:$W$1001,$W648,Clean_Data!$V$2:$V$1001,1)*$AL648^2)/(COUNTIFS(Clean_Data!$F$2:$F$1001,$F648,Clean_Data!$W$2:$W$1001,$W648,Clean_Data!$V$2:$V$1001,1)-1))),""))</f>
        <v>0.116092796665443</v>
      </c>
      <c r="AN648" s="5" t="str">
        <f>IF($AM648="","",IF($AM648&gt;=Lookups!$K$6,"High spike",IF($AM648&lt;=-Lookups!$K$6,"Unusual low","Normal")))</f>
        <v>Normal</v>
      </c>
      <c r="AO648" s="20">
        <f>IF($V648&lt;&gt;1,"",$P648+ROW()/100000)</f>
        <v>3.00648</v>
      </c>
      <c r="AP648" s="5">
        <f>IF($A648="","",IFERROR(MATCH($A648,Raw_D1!$A$2:$A$1001,0),""))</f>
        <v/>
      </c>
      <c r="AQ648" s="5">
        <f>IF($A648="","",IFERROR(MATCH($A648,Raw_D2!$B$2:$B$1001,0),""))</f>
        <v/>
      </c>
      <c r="AR648" s="5">
        <f>IF($A648="","",IFERROR(MATCH($A648,Raw_D3!$A$2:$A$1001,0),""))</f>
        <v>28</v>
      </c>
    </row>
    <row r="649" spans="1:44" x14ac:dyDescent="0.25">
      <c r="A649" s="5">
        <v>648</v>
      </c>
      <c r="B649" s="11">
        <f>IF($A649="","",IF($AP649&lt;&gt;"",INDEX(Raw_D1!$B$2:$B$1001,$AP649),IF($AR649&lt;&gt;"",INDEX(Raw_D3!$B$2:$B$1001,$AR649),"")))</f>
        <v>40573.0</v>
      </c>
      <c r="C649" s="5">
        <f>IF($A649="","",IF($AP649&lt;&gt;"",INDEX(Raw_D1!$C$2:$C$1001,$AP649),IF($AR649&lt;&gt;"",INDEX(Raw_D3!$C$2:$C$1001,$AR649),"")))</f>
        <v>1</v>
      </c>
      <c r="D649" s="5">
        <f>IF($A649="","",IF($AP649&lt;&gt;"",INDEX(Raw_D1!$D$2:$D$1001,$AP649),IF($AR649&lt;&gt;"",INDEX(Raw_D3!$D$2:$D$1001,$AR649),"")))</f>
        <v>0</v>
      </c>
      <c r="E649" s="5">
        <f>IF($A649="","",IF($AP649&lt;&gt;"",INDEX(Raw_D1!$E$2:$E$1001,$AP649),IF($AR649&lt;&gt;"",INDEX(Raw_D3!$E$2:$E$1001,$AR649),"")))</f>
        <v>1</v>
      </c>
      <c r="F649" s="5">
        <f>IF($A649="","",IF($AP649&lt;&gt;"",INDEX(Raw_D1!$F$2:$F$1001,$AP649),IF($AR649&lt;&gt;"",INDEX(Raw_D3!$F$2:$F$1001,$AR649),"")))</f>
        <v>7</v>
      </c>
      <c r="G649" s="5">
        <f>IF($A649="","",IF($AP649&lt;&gt;"",IF(INDEX(Raw_D1!$G$2:$G$1001,$AP649),1,0),IF($AR649&lt;&gt;"",IF(INDEX(Raw_D3!$G$2:$G$1001,$AR649),1,0),"")))</f>
        <v>0</v>
      </c>
      <c r="H649" s="5">
        <f>IF($A649="","",IF($AP649&lt;&gt;"",INDEX(Raw_D1!$H$2:$H$1001,$AP649),IF($AR649&lt;&gt;"",INDEX(Raw_D3!$H$2:$H$1001,$AR649),"")))</f>
        <v>0</v>
      </c>
      <c r="I649" s="5">
        <f>IF($A649="","",IF($AP649&lt;&gt;"",INDEX(Raw_D1!$I$2:$I$1001,$AP649),IF($AR649&lt;&gt;"",INDEX(Raw_D3!$I$2:$I$1001,$AR649),"")))</f>
        <v>1</v>
      </c>
      <c r="J649" s="16">
        <f>IF($A649="","",IF($AP649&lt;&gt;"",INDEX(Raw_D1!$J$2:$J$1001,$AP649),IF($AR649&lt;&gt;"",INDEX(Raw_D3!$J$2:$J$1001,$AR649),"")))</f>
        <v>0.14</v>
      </c>
      <c r="K649" s="17">
        <f>IF($A649="","",IF($AQ649&lt;&gt;"",IF(INDEX(Raw_D2!$C$2:$C$1001,$AQ649)="","",INDEX(Raw_D2!$C$2:$C$1001,$AQ649)),IF($AR649&lt;&gt;"",IF(INDEX(Raw_D3!$K$2:$K$1001,$AR649)="","",INDEX(Raw_D3!$K$2:$K$1001,$AR649)),"")))</f>
        <v>0.2121</v>
      </c>
      <c r="L649" s="16">
        <f>IF($A649="","",IF($AQ649&lt;&gt;"",IF(INDEX(Raw_D2!$D$2:$D$1001,$AQ649)="","",INDEX(Raw_D2!$D$2:$D$1001,$AQ649)),IF($AR649&lt;&gt;"",IF(INDEX(Raw_D3!$L$2:$L$1001,$AR649)="","",INDEX(Raw_D3!$L$2:$L$1001,$AR649)),"")))</f>
        <v>0.86</v>
      </c>
      <c r="M649" s="17">
        <f>IF($A649="","",IF($AQ649&lt;&gt;"",IF(INDEX(Raw_D2!$E$2:$E$1001,$AQ649)="","",INDEX(Raw_D2!$E$2:$E$1001,$AQ649)),IF($AR649&lt;&gt;"",IF(INDEX(Raw_D3!$M$2:$M$1001,$AR649)="","",INDEX(Raw_D3!$M$2:$M$1001,$AR649)),"")))</f>
        <v>0</v>
      </c>
      <c r="N649" s="5">
        <f>IF($A649="","",IF($AQ649&lt;&gt;"",IF(INDEX(Raw_D2!$F$2:$F$1001,$AQ649)="","",INDEX(Raw_D2!$F$2:$F$1001,$AQ649)),IF($AR649&lt;&gt;"",IF(INDEX(Raw_D3!$N$2:$N$1001,$AR649)="","",INDEX(Raw_D3!$N$2:$N$1001,$AR649)),"")))</f>
        <v>0</v>
      </c>
      <c r="O649" s="5">
        <f>IF($A649="","",IF($AQ649&lt;&gt;"",IF(INDEX(Raw_D2!$G$2:$G$1001,$AQ649)="","",INDEX(Raw_D2!$G$2:$G$1001,$AQ649)),IF($AR649&lt;&gt;"",IF(INDEX(Raw_D3!$O$2:$O$1001,$AR649)="","",INDEX(Raw_D3!$O$2:$O$1001,$AR649)),"")))</f>
        <v>3</v>
      </c>
      <c r="P649" s="5">
        <f>IF($A649="","",IF($AQ649&lt;&gt;"",IF(INDEX(Raw_D2!$H$2:$H$1001,$AQ649)="","",INDEX(Raw_D2!$H$2:$H$1001,$AQ649)),IF($AR649&lt;&gt;"",IF(INDEX(Raw_D3!$P$2:$P$1001,$AR649)="","",INDEX(Raw_D3!$P$2:$P$1001,$AR649)),"")))</f>
        <v>3</v>
      </c>
      <c r="Q649" s="5" t="str">
        <f>IF($A649="","",IF(AND($AP649&lt;&gt;"",$AQ649&lt;&gt;""),"D1+D2",IF($AR649&lt;&gt;"","D3","Incomplete")))</f>
        <v>D3</v>
      </c>
      <c r="R649" s="17">
        <f>IF($A649="","",IF($K649="",IF($J649="","",ROUND(Lookups!$K$5+Lookups!$K$4*$J649,4)),$K649))</f>
        <v>0.2121</v>
      </c>
      <c r="S649" s="5" t="str">
        <f>IF($A649="","",IF($K649="","Imputed","Original"))</f>
        <v>Original</v>
      </c>
      <c r="T649" s="5" t="str">
        <f>IF($A649="","",IF($P649="","Missing",IF($P649=$N649+$O649,"OK","Mismatch")))</f>
        <v>OK</v>
      </c>
      <c r="U649" s="5" t="str">
        <f>IF($A649="","",IF(COUNTIF($A$2:$A649,$A649)&gt;1,"Duplicate","Unique"))</f>
        <v>Unique</v>
      </c>
      <c r="V649" s="5">
        <f>IF($A649="","",IF(AND($U649="Unique",ISNUMBER($P649)),1,0))</f>
        <v>1</v>
      </c>
      <c r="W649" s="5" t="str">
        <f>IF($A649="","",IF(OR($H649=0,$H649=6),"Weekend","Weekday"))</f>
        <v>Weekend</v>
      </c>
      <c r="X649" s="5" t="str">
        <f>IF($A649="","",TEXT($B649,"ddd"))</f>
        <v>Sun</v>
      </c>
      <c r="Y649" s="5" t="str">
        <f>IF($A649="","",TEXT($B649,"mmm"))</f>
        <v>Jan</v>
      </c>
      <c r="Z649" s="5" t="str">
        <f>IF($A649="","",IFERROR(VLOOKUP($C649,Lookups!$D$4:$E$7,2,FALSE),"Unknown"))</f>
        <v>Winter</v>
      </c>
      <c r="AA649" s="5" t="str">
        <f>IF($A649="","",IFERROR(VLOOKUP($I649,Lookups!$A$4:$B$7,2,FALSE),"Unknown"))</f>
        <v>Clear</v>
      </c>
      <c r="AB649" s="5" t="str">
        <f>IF($A649="","",TEXT($F649,"00")&amp;":00")</f>
        <v>07:00</v>
      </c>
      <c r="AC649" s="5" t="str">
        <f>IF($A649="","",VLOOKUP($F649,Lookups!$G$4:$H$8,2,TRUE))</f>
        <v>Morning Peak (06-09)</v>
      </c>
      <c r="AD649" s="18">
        <f>IF($A649="","",IF($J649="","",ROUND($J649*41,1)))</f>
        <v>5.7</v>
      </c>
      <c r="AE649" s="18">
        <f>IF($A649="","",IF($R649="","",ROUND($R649*50,1)))</f>
        <v>10.6</v>
      </c>
      <c r="AF649" s="5">
        <f>IF($A649="","",IF($L649="","",ROUND($L649*100,0)))</f>
        <v>86</v>
      </c>
      <c r="AG649" s="18">
        <f>IF($A649="","",IF($M649="","",ROUND($M649*67,1)))</f>
        <v>0</v>
      </c>
      <c r="AH649" s="19">
        <f>IF($A649="","",IF($P649="","",IF($P649=0,0,$O649/$P649)))</f>
        <v>1</v>
      </c>
      <c r="AI649" s="5" t="str">
        <f>IF($A649="","",IF($P649="","",IF($P649&gt;=Lookups!$K$7,"High",IF($P649&lt;=Lookups!$K$8,"Low","Medium"))))</f>
        <v>Low</v>
      </c>
      <c r="AJ649" s="5" t="str">
        <f>IF($A649="","",IF($AD649="","",IF($AD649&lt;5,"Under 5 C",IF($AD649&lt;10,"5-10 C",IF($AD649&lt;15,"10-15 C","15 C and above")))))</f>
        <v>5-10 C</v>
      </c>
      <c r="AK649" s="5">
        <f>IF($A649="","",IF($P649="","",$P649^2))</f>
        <v>9</v>
      </c>
      <c r="AL649" s="18">
        <f>IF($V649&lt;&gt;1,"",AVERAGEIFS(Clean_Data!$P$2:$P$1001,Clean_Data!$F$2:$F$1001,$F649,Clean_Data!$W$2:$W$1001,$W649,Clean_Data!$V$2:$V$1001,1))</f>
        <v>5.42857142857143</v>
      </c>
      <c r="AM649" s="16">
        <f>IF($V649&lt;&gt;1,"",IFERROR(($P649-$AL649)/SQRT(MAX(0,(SUMIFS(Clean_Data!$AK$2:$AK$1001,Clean_Data!$F$2:$F$1001,$F649,Clean_Data!$W$2:$W$1001,$W649,Clean_Data!$V$2:$V$1001,1)-COUNTIFS(Clean_Data!$F$2:$F$1001,$F649,Clean_Data!$W$2:$W$1001,$W649,Clean_Data!$V$2:$V$1001,1)*$AL649^2)/(COUNTIFS(Clean_Data!$F$2:$F$1001,$F649,Clean_Data!$W$2:$W$1001,$W649,Clean_Data!$V$2:$V$1001,1)-1))),""))</f>
        <v>-0.752432262615843</v>
      </c>
      <c r="AN649" s="5" t="str">
        <f>IF($AM649="","",IF($AM649&gt;=Lookups!$K$6,"High spike",IF($AM649&lt;=-Lookups!$K$6,"Unusual low","Normal")))</f>
        <v>Normal</v>
      </c>
      <c r="AO649" s="20">
        <f>IF($V649&lt;&gt;1,"",$P649+ROW()/100000)</f>
        <v>3.00649</v>
      </c>
      <c r="AP649" s="5">
        <f>IF($A649="","",IFERROR(MATCH($A649,Raw_D1!$A$2:$A$1001,0),""))</f>
        <v/>
      </c>
      <c r="AQ649" s="5">
        <f>IF($A649="","",IFERROR(MATCH($A649,Raw_D2!$B$2:$B$1001,0),""))</f>
        <v/>
      </c>
      <c r="AR649" s="5">
        <f>IF($A649="","",IFERROR(MATCH($A649,Raw_D3!$A$2:$A$1001,0),""))</f>
        <v>29</v>
      </c>
    </row>
    <row r="650" spans="1:44" x14ac:dyDescent="0.25">
      <c r="A650" s="5">
        <v>649</v>
      </c>
      <c r="B650" s="11">
        <f>IF($A650="","",IF($AP650&lt;&gt;"",INDEX(Raw_D1!$B$2:$B$1001,$AP650),IF($AR650&lt;&gt;"",INDEX(Raw_D3!$B$2:$B$1001,$AR650),"")))</f>
        <v>40573.0</v>
      </c>
      <c r="C650" s="5">
        <f>IF($A650="","",IF($AP650&lt;&gt;"",INDEX(Raw_D1!$C$2:$C$1001,$AP650),IF($AR650&lt;&gt;"",INDEX(Raw_D3!$C$2:$C$1001,$AR650),"")))</f>
        <v>1</v>
      </c>
      <c r="D650" s="5">
        <f>IF($A650="","",IF($AP650&lt;&gt;"",INDEX(Raw_D1!$D$2:$D$1001,$AP650),IF($AR650&lt;&gt;"",INDEX(Raw_D3!$D$2:$D$1001,$AR650),"")))</f>
        <v>0</v>
      </c>
      <c r="E650" s="5">
        <f>IF($A650="","",IF($AP650&lt;&gt;"",INDEX(Raw_D1!$E$2:$E$1001,$AP650),IF($AR650&lt;&gt;"",INDEX(Raw_D3!$E$2:$E$1001,$AR650),"")))</f>
        <v>1</v>
      </c>
      <c r="F650" s="5">
        <f>IF($A650="","",IF($AP650&lt;&gt;"",INDEX(Raw_D1!$F$2:$F$1001,$AP650),IF($AR650&lt;&gt;"",INDEX(Raw_D3!$F$2:$F$1001,$AR650),"")))</f>
        <v>8</v>
      </c>
      <c r="G650" s="5">
        <f>IF($A650="","",IF($AP650&lt;&gt;"",IF(INDEX(Raw_D1!$G$2:$G$1001,$AP650),1,0),IF($AR650&lt;&gt;"",IF(INDEX(Raw_D3!$G$2:$G$1001,$AR650),1,0),"")))</f>
        <v>0</v>
      </c>
      <c r="H650" s="5">
        <f>IF($A650="","",IF($AP650&lt;&gt;"",INDEX(Raw_D1!$H$2:$H$1001,$AP650),IF($AR650&lt;&gt;"",INDEX(Raw_D3!$H$2:$H$1001,$AR650),"")))</f>
        <v>0</v>
      </c>
      <c r="I650" s="5">
        <f>IF($A650="","",IF($AP650&lt;&gt;"",INDEX(Raw_D1!$I$2:$I$1001,$AP650),IF($AR650&lt;&gt;"",INDEX(Raw_D3!$I$2:$I$1001,$AR650),"")))</f>
        <v>2</v>
      </c>
      <c r="J650" s="16">
        <f>IF($A650="","",IF($AP650&lt;&gt;"",INDEX(Raw_D1!$J$2:$J$1001,$AP650),IF($AR650&lt;&gt;"",INDEX(Raw_D3!$J$2:$J$1001,$AR650),"")))</f>
        <v>0.14</v>
      </c>
      <c r="K650" s="17">
        <f>IF($A650="","",IF($AQ650&lt;&gt;"",IF(INDEX(Raw_D2!$C$2:$C$1001,$AQ650)="","",INDEX(Raw_D2!$C$2:$C$1001,$AQ650)),IF($AR650&lt;&gt;"",IF(INDEX(Raw_D3!$K$2:$K$1001,$AR650)="","",INDEX(Raw_D3!$K$2:$K$1001,$AR650)),"")))</f>
        <v>0.2121</v>
      </c>
      <c r="L650" s="16">
        <f>IF($A650="","",IF($AQ650&lt;&gt;"",IF(INDEX(Raw_D2!$D$2:$D$1001,$AQ650)="","",INDEX(Raw_D2!$D$2:$D$1001,$AQ650)),IF($AR650&lt;&gt;"",IF(INDEX(Raw_D3!$L$2:$L$1001,$AR650)="","",INDEX(Raw_D3!$L$2:$L$1001,$AR650)),"")))</f>
        <v>0.86</v>
      </c>
      <c r="M650" s="17">
        <f>IF($A650="","",IF($AQ650&lt;&gt;"",IF(INDEX(Raw_D2!$E$2:$E$1001,$AQ650)="","",INDEX(Raw_D2!$E$2:$E$1001,$AQ650)),IF($AR650&lt;&gt;"",IF(INDEX(Raw_D3!$M$2:$M$1001,$AR650)="","",INDEX(Raw_D3!$M$2:$M$1001,$AR650)),"")))</f>
        <v>0</v>
      </c>
      <c r="N650" s="5">
        <f>IF($A650="","",IF($AQ650&lt;&gt;"",IF(INDEX(Raw_D2!$F$2:$F$1001,$AQ650)="","",INDEX(Raw_D2!$F$2:$F$1001,$AQ650)),IF($AR650&lt;&gt;"",IF(INDEX(Raw_D3!$N$2:$N$1001,$AR650)="","",INDEX(Raw_D3!$N$2:$N$1001,$AR650)),"")))</f>
        <v>1</v>
      </c>
      <c r="O650" s="5">
        <f>IF($A650="","",IF($AQ650&lt;&gt;"",IF(INDEX(Raw_D2!$G$2:$G$1001,$AQ650)="","",INDEX(Raw_D2!$G$2:$G$1001,$AQ650)),IF($AR650&lt;&gt;"",IF(INDEX(Raw_D3!$O$2:$O$1001,$AR650)="","",INDEX(Raw_D3!$O$2:$O$1001,$AR650)),"")))</f>
        <v>11</v>
      </c>
      <c r="P650" s="5">
        <f>IF($A650="","",IF($AQ650&lt;&gt;"",IF(INDEX(Raw_D2!$H$2:$H$1001,$AQ650)="","",INDEX(Raw_D2!$H$2:$H$1001,$AQ650)),IF($AR650&lt;&gt;"",IF(INDEX(Raw_D3!$P$2:$P$1001,$AR650)="","",INDEX(Raw_D3!$P$2:$P$1001,$AR650)),"")))</f>
        <v>12</v>
      </c>
      <c r="Q650" s="5" t="str">
        <f>IF($A650="","",IF(AND($AP650&lt;&gt;"",$AQ650&lt;&gt;""),"D1+D2",IF($AR650&lt;&gt;"","D3","Incomplete")))</f>
        <v>D3</v>
      </c>
      <c r="R650" s="17">
        <f>IF($A650="","",IF($K650="",IF($J650="","",ROUND(Lookups!$K$5+Lookups!$K$4*$J650,4)),$K650))</f>
        <v>0.2121</v>
      </c>
      <c r="S650" s="5" t="str">
        <f>IF($A650="","",IF($K650="","Imputed","Original"))</f>
        <v>Original</v>
      </c>
      <c r="T650" s="5" t="str">
        <f>IF($A650="","",IF($P650="","Missing",IF($P650=$N650+$O650,"OK","Mismatch")))</f>
        <v>OK</v>
      </c>
      <c r="U650" s="5" t="str">
        <f>IF($A650="","",IF(COUNTIF($A$2:$A650,$A650)&gt;1,"Duplicate","Unique"))</f>
        <v>Unique</v>
      </c>
      <c r="V650" s="5">
        <f>IF($A650="","",IF(AND($U650="Unique",ISNUMBER($P650)),1,0))</f>
        <v>1</v>
      </c>
      <c r="W650" s="5" t="str">
        <f>IF($A650="","",IF(OR($H650=0,$H650=6),"Weekend","Weekday"))</f>
        <v>Weekend</v>
      </c>
      <c r="X650" s="5" t="str">
        <f>IF($A650="","",TEXT($B650,"ddd"))</f>
        <v>Sun</v>
      </c>
      <c r="Y650" s="5" t="str">
        <f>IF($A650="","",TEXT($B650,"mmm"))</f>
        <v>Jan</v>
      </c>
      <c r="Z650" s="5" t="str">
        <f>IF($A650="","",IFERROR(VLOOKUP($C650,Lookups!$D$4:$E$7,2,FALSE),"Unknown"))</f>
        <v>Winter</v>
      </c>
      <c r="AA650" s="5" t="str">
        <f>IF($A650="","",IFERROR(VLOOKUP($I650,Lookups!$A$4:$B$7,2,FALSE),"Unknown"))</f>
        <v>Mist/Cloudy</v>
      </c>
      <c r="AB650" s="5" t="str">
        <f>IF($A650="","",TEXT($F650,"00")&amp;":00")</f>
        <v>08:00</v>
      </c>
      <c r="AC650" s="5" t="str">
        <f>IF($A650="","",VLOOKUP($F650,Lookups!$G$4:$H$8,2,TRUE))</f>
        <v>Morning Peak (06-09)</v>
      </c>
      <c r="AD650" s="18">
        <f>IF($A650="","",IF($J650="","",ROUND($J650*41,1)))</f>
        <v>5.7</v>
      </c>
      <c r="AE650" s="18">
        <f>IF($A650="","",IF($R650="","",ROUND($R650*50,1)))</f>
        <v>10.6</v>
      </c>
      <c r="AF650" s="5">
        <f>IF($A650="","",IF($L650="","",ROUND($L650*100,0)))</f>
        <v>86</v>
      </c>
      <c r="AG650" s="18">
        <f>IF($A650="","",IF($M650="","",ROUND($M650*67,1)))</f>
        <v>0</v>
      </c>
      <c r="AH650" s="19">
        <f>IF($A650="","",IF($P650="","",IF($P650=0,0,$O650/$P650)))</f>
        <v>0.916666666666667</v>
      </c>
      <c r="AI650" s="5" t="str">
        <f>IF($A650="","",IF($P650="","",IF($P650&gt;=Lookups!$K$7,"High",IF($P650&lt;=Lookups!$K$8,"Low","Medium"))))</f>
        <v>Low</v>
      </c>
      <c r="AJ650" s="5" t="str">
        <f>IF($A650="","",IF($AD650="","",IF($AD650&lt;5,"Under 5 C",IF($AD650&lt;10,"5-10 C",IF($AD650&lt;15,"10-15 C","15 C and above")))))</f>
        <v>5-10 C</v>
      </c>
      <c r="AK650" s="5">
        <f>IF($A650="","",IF($P650="","",$P650^2))</f>
        <v>144</v>
      </c>
      <c r="AL650" s="18">
        <f>IF($V650&lt;&gt;1,"",AVERAGEIFS(Clean_Data!$P$2:$P$1001,Clean_Data!$F$2:$F$1001,$F650,Clean_Data!$W$2:$W$1001,$W650,Clean_Data!$V$2:$V$1001,1))</f>
        <v>17.7857142857143</v>
      </c>
      <c r="AM650" s="16">
        <f>IF($V650&lt;&gt;1,"",IFERROR(($P650-$AL650)/SQRT(MAX(0,(SUMIFS(Clean_Data!$AK$2:$AK$1001,Clean_Data!$F$2:$F$1001,$F650,Clean_Data!$W$2:$W$1001,$W650,Clean_Data!$V$2:$V$1001,1)-COUNTIFS(Clean_Data!$F$2:$F$1001,$F650,Clean_Data!$W$2:$W$1001,$W650,Clean_Data!$V$2:$V$1001,1)*$AL650^2)/(COUNTIFS(Clean_Data!$F$2:$F$1001,$F650,Clean_Data!$W$2:$W$1001,$W650,Clean_Data!$V$2:$V$1001,1)-1))),""))</f>
        <v>-0.680271451307132</v>
      </c>
      <c r="AN650" s="5" t="str">
        <f>IF($AM650="","",IF($AM650&gt;=Lookups!$K$6,"High spike",IF($AM650&lt;=-Lookups!$K$6,"Unusual low","Normal")))</f>
        <v>Normal</v>
      </c>
      <c r="AO650" s="20">
        <f>IF($V650&lt;&gt;1,"",$P650+ROW()/100000)</f>
        <v>12.0065</v>
      </c>
      <c r="AP650" s="5">
        <f>IF($A650="","",IFERROR(MATCH($A650,Raw_D1!$A$2:$A$1001,0),""))</f>
        <v/>
      </c>
      <c r="AQ650" s="5">
        <f>IF($A650="","",IFERROR(MATCH($A650,Raw_D2!$B$2:$B$1001,0),""))</f>
        <v/>
      </c>
      <c r="AR650" s="5">
        <f>IF($A650="","",IFERROR(MATCH($A650,Raw_D3!$A$2:$A$1001,0),""))</f>
        <v>30</v>
      </c>
    </row>
    <row r="651" spans="1:44" x14ac:dyDescent="0.25">
      <c r="A651" s="5">
        <v>650</v>
      </c>
      <c r="B651" s="11">
        <f>IF($A651="","",IF($AP651&lt;&gt;"",INDEX(Raw_D1!$B$2:$B$1001,$AP651),IF($AR651&lt;&gt;"",INDEX(Raw_D3!$B$2:$B$1001,$AR651),"")))</f>
        <v>40573.0</v>
      </c>
      <c r="C651" s="5">
        <f>IF($A651="","",IF($AP651&lt;&gt;"",INDEX(Raw_D1!$C$2:$C$1001,$AP651),IF($AR651&lt;&gt;"",INDEX(Raw_D3!$C$2:$C$1001,$AR651),"")))</f>
        <v>1</v>
      </c>
      <c r="D651" s="5">
        <f>IF($A651="","",IF($AP651&lt;&gt;"",INDEX(Raw_D1!$D$2:$D$1001,$AP651),IF($AR651&lt;&gt;"",INDEX(Raw_D3!$D$2:$D$1001,$AR651),"")))</f>
        <v>0</v>
      </c>
      <c r="E651" s="5">
        <f>IF($A651="","",IF($AP651&lt;&gt;"",INDEX(Raw_D1!$E$2:$E$1001,$AP651),IF($AR651&lt;&gt;"",INDEX(Raw_D3!$E$2:$E$1001,$AR651),"")))</f>
        <v>1</v>
      </c>
      <c r="F651" s="5">
        <f>IF($A651="","",IF($AP651&lt;&gt;"",INDEX(Raw_D1!$F$2:$F$1001,$AP651),IF($AR651&lt;&gt;"",INDEX(Raw_D3!$F$2:$F$1001,$AR651),"")))</f>
        <v>9</v>
      </c>
      <c r="G651" s="5">
        <f>IF($A651="","",IF($AP651&lt;&gt;"",IF(INDEX(Raw_D1!$G$2:$G$1001,$AP651),1,0),IF($AR651&lt;&gt;"",IF(INDEX(Raw_D3!$G$2:$G$1001,$AR651),1,0),"")))</f>
        <v>0</v>
      </c>
      <c r="H651" s="5">
        <f>IF($A651="","",IF($AP651&lt;&gt;"",INDEX(Raw_D1!$H$2:$H$1001,$AP651),IF($AR651&lt;&gt;"",INDEX(Raw_D3!$H$2:$H$1001,$AR651),"")))</f>
        <v>0</v>
      </c>
      <c r="I651" s="5">
        <f>IF($A651="","",IF($AP651&lt;&gt;"",INDEX(Raw_D1!$I$2:$I$1001,$AP651),IF($AR651&lt;&gt;"",INDEX(Raw_D3!$I$2:$I$1001,$AR651),"")))</f>
        <v>2</v>
      </c>
      <c r="J651" s="16">
        <f>IF($A651="","",IF($AP651&lt;&gt;"",INDEX(Raw_D1!$J$2:$J$1001,$AP651),IF($AR651&lt;&gt;"",INDEX(Raw_D3!$J$2:$J$1001,$AR651),"")))</f>
        <v>0.16</v>
      </c>
      <c r="K651" s="17">
        <f>IF($A651="","",IF($AQ651&lt;&gt;"",IF(INDEX(Raw_D2!$C$2:$C$1001,$AQ651)="","",INDEX(Raw_D2!$C$2:$C$1001,$AQ651)),IF($AR651&lt;&gt;"",IF(INDEX(Raw_D3!$K$2:$K$1001,$AR651)="","",INDEX(Raw_D3!$K$2:$K$1001,$AR651)),"")))</f>
        <v>0.2273</v>
      </c>
      <c r="L651" s="16">
        <f>IF($A651="","",IF($AQ651&lt;&gt;"",IF(INDEX(Raw_D2!$D$2:$D$1001,$AQ651)="","",INDEX(Raw_D2!$D$2:$D$1001,$AQ651)),IF($AR651&lt;&gt;"",IF(INDEX(Raw_D3!$L$2:$L$1001,$AR651)="","",INDEX(Raw_D3!$L$2:$L$1001,$AR651)),"")))</f>
        <v>0.8</v>
      </c>
      <c r="M651" s="17">
        <f>IF($A651="","",IF($AQ651&lt;&gt;"",IF(INDEX(Raw_D2!$E$2:$E$1001,$AQ651)="","",INDEX(Raw_D2!$E$2:$E$1001,$AQ651)),IF($AR651&lt;&gt;"",IF(INDEX(Raw_D3!$M$2:$M$1001,$AR651)="","",INDEX(Raw_D3!$M$2:$M$1001,$AR651)),"")))</f>
        <v>0</v>
      </c>
      <c r="N651" s="5">
        <f>IF($A651="","",IF($AQ651&lt;&gt;"",IF(INDEX(Raw_D2!$F$2:$F$1001,$AQ651)="","",INDEX(Raw_D2!$F$2:$F$1001,$AQ651)),IF($AR651&lt;&gt;"",IF(INDEX(Raw_D3!$N$2:$N$1001,$AR651)="","",INDEX(Raw_D3!$N$2:$N$1001,$AR651)),"")))</f>
        <v>4</v>
      </c>
      <c r="O651" s="5">
        <f>IF($A651="","",IF($AQ651&lt;&gt;"",IF(INDEX(Raw_D2!$G$2:$G$1001,$AQ651)="","",INDEX(Raw_D2!$G$2:$G$1001,$AQ651)),IF($AR651&lt;&gt;"",IF(INDEX(Raw_D3!$O$2:$O$1001,$AR651)="","",INDEX(Raw_D3!$O$2:$O$1001,$AR651)),"")))</f>
        <v>34</v>
      </c>
      <c r="P651" s="5">
        <f>IF($A651="","",IF($AQ651&lt;&gt;"",IF(INDEX(Raw_D2!$H$2:$H$1001,$AQ651)="","",INDEX(Raw_D2!$H$2:$H$1001,$AQ651)),IF($AR651&lt;&gt;"",IF(INDEX(Raw_D3!$P$2:$P$1001,$AR651)="","",INDEX(Raw_D3!$P$2:$P$1001,$AR651)),"")))</f>
        <v>38</v>
      </c>
      <c r="Q651" s="5" t="str">
        <f>IF($A651="","",IF(AND($AP651&lt;&gt;"",$AQ651&lt;&gt;""),"D1+D2",IF($AR651&lt;&gt;"","D3","Incomplete")))</f>
        <v>D3</v>
      </c>
      <c r="R651" s="17">
        <f>IF($A651="","",IF($K651="",IF($J651="","",ROUND(Lookups!$K$5+Lookups!$K$4*$J651,4)),$K651))</f>
        <v>0.2273</v>
      </c>
      <c r="S651" s="5" t="str">
        <f>IF($A651="","",IF($K651="","Imputed","Original"))</f>
        <v>Original</v>
      </c>
      <c r="T651" s="5" t="str">
        <f>IF($A651="","",IF($P651="","Missing",IF($P651=$N651+$O651,"OK","Mismatch")))</f>
        <v>OK</v>
      </c>
      <c r="U651" s="5" t="str">
        <f>IF($A651="","",IF(COUNTIF($A$2:$A651,$A651)&gt;1,"Duplicate","Unique"))</f>
        <v>Unique</v>
      </c>
      <c r="V651" s="5">
        <f>IF($A651="","",IF(AND($U651="Unique",ISNUMBER($P651)),1,0))</f>
        <v>1</v>
      </c>
      <c r="W651" s="5" t="str">
        <f>IF($A651="","",IF(OR($H651=0,$H651=6),"Weekend","Weekday"))</f>
        <v>Weekend</v>
      </c>
      <c r="X651" s="5" t="str">
        <f>IF($A651="","",TEXT($B651,"ddd"))</f>
        <v>Sun</v>
      </c>
      <c r="Y651" s="5" t="str">
        <f>IF($A651="","",TEXT($B651,"mmm"))</f>
        <v>Jan</v>
      </c>
      <c r="Z651" s="5" t="str">
        <f>IF($A651="","",IFERROR(VLOOKUP($C651,Lookups!$D$4:$E$7,2,FALSE),"Unknown"))</f>
        <v>Winter</v>
      </c>
      <c r="AA651" s="5" t="str">
        <f>IF($A651="","",IFERROR(VLOOKUP($I651,Lookups!$A$4:$B$7,2,FALSE),"Unknown"))</f>
        <v>Mist/Cloudy</v>
      </c>
      <c r="AB651" s="5" t="str">
        <f>IF($A651="","",TEXT($F651,"00")&amp;":00")</f>
        <v>09:00</v>
      </c>
      <c r="AC651" s="5" t="str">
        <f>IF($A651="","",VLOOKUP($F651,Lookups!$G$4:$H$8,2,TRUE))</f>
        <v>Morning Peak (06-09)</v>
      </c>
      <c r="AD651" s="18">
        <f>IF($A651="","",IF($J651="","",ROUND($J651*41,1)))</f>
        <v>6.6</v>
      </c>
      <c r="AE651" s="18">
        <f>IF($A651="","",IF($R651="","",ROUND($R651*50,1)))</f>
        <v>11.4</v>
      </c>
      <c r="AF651" s="5">
        <f>IF($A651="","",IF($L651="","",ROUND($L651*100,0)))</f>
        <v>80</v>
      </c>
      <c r="AG651" s="18">
        <f>IF($A651="","",IF($M651="","",ROUND($M651*67,1)))</f>
        <v>0</v>
      </c>
      <c r="AH651" s="19">
        <f>IF($A651="","",IF($P651="","",IF($P651=0,0,$O651/$P651)))</f>
        <v>0.894736842105263</v>
      </c>
      <c r="AI651" s="5" t="str">
        <f>IF($A651="","",IF($P651="","",IF($P651&gt;=Lookups!$K$7,"High",IF($P651&lt;=Lookups!$K$8,"Low","Medium"))))</f>
        <v>Medium</v>
      </c>
      <c r="AJ651" s="5" t="str">
        <f>IF($A651="","",IF($AD651="","",IF($AD651&lt;5,"Under 5 C",IF($AD651&lt;10,"5-10 C",IF($AD651&lt;15,"10-15 C","15 C and above")))))</f>
        <v>5-10 C</v>
      </c>
      <c r="AK651" s="5">
        <f>IF($A651="","",IF($P651="","",$P651^2))</f>
        <v>1444</v>
      </c>
      <c r="AL651" s="18">
        <f>IF($V651&lt;&gt;1,"",AVERAGEIFS(Clean_Data!$P$2:$P$1001,Clean_Data!$F$2:$F$1001,$F651,Clean_Data!$W$2:$W$1001,$W651,Clean_Data!$V$2:$V$1001,1))</f>
        <v>30.9285714285714</v>
      </c>
      <c r="AM651" s="16">
        <f>IF($V651&lt;&gt;1,"",IFERROR(($P651-$AL651)/SQRT(MAX(0,(SUMIFS(Clean_Data!$AK$2:$AK$1001,Clean_Data!$F$2:$F$1001,$F651,Clean_Data!$W$2:$W$1001,$W651,Clean_Data!$V$2:$V$1001,1)-COUNTIFS(Clean_Data!$F$2:$F$1001,$F651,Clean_Data!$W$2:$W$1001,$W651,Clean_Data!$V$2:$V$1001,1)*$AL651^2)/(COUNTIFS(Clean_Data!$F$2:$F$1001,$F651,Clean_Data!$W$2:$W$1001,$W651,Clean_Data!$V$2:$V$1001,1)-1))),""))</f>
        <v>0.648671224257084</v>
      </c>
      <c r="AN651" s="5" t="str">
        <f>IF($AM651="","",IF($AM651&gt;=Lookups!$K$6,"High spike",IF($AM651&lt;=-Lookups!$K$6,"Unusual low","Normal")))</f>
        <v>Normal</v>
      </c>
      <c r="AO651" s="20">
        <f>IF($V651&lt;&gt;1,"",$P651+ROW()/100000)</f>
        <v>38.00651</v>
      </c>
      <c r="AP651" s="5">
        <f>IF($A651="","",IFERROR(MATCH($A651,Raw_D1!$A$2:$A$1001,0),""))</f>
        <v/>
      </c>
      <c r="AQ651" s="5">
        <f>IF($A651="","",IFERROR(MATCH($A651,Raw_D2!$B$2:$B$1001,0),""))</f>
        <v/>
      </c>
      <c r="AR651" s="5">
        <f>IF($A651="","",IFERROR(MATCH($A651,Raw_D3!$A$2:$A$1001,0),""))</f>
        <v>31</v>
      </c>
    </row>
    <row r="652" spans="1:44" x14ac:dyDescent="0.25">
      <c r="A652" s="5">
        <v>651</v>
      </c>
      <c r="B652" s="11">
        <f>IF($A652="","",IF($AP652&lt;&gt;"",INDEX(Raw_D1!$B$2:$B$1001,$AP652),IF($AR652&lt;&gt;"",INDEX(Raw_D3!$B$2:$B$1001,$AR652),"")))</f>
        <v>40573.0</v>
      </c>
      <c r="C652" s="5">
        <f>IF($A652="","",IF($AP652&lt;&gt;"",INDEX(Raw_D1!$C$2:$C$1001,$AP652),IF($AR652&lt;&gt;"",INDEX(Raw_D3!$C$2:$C$1001,$AR652),"")))</f>
        <v>1</v>
      </c>
      <c r="D652" s="5">
        <f>IF($A652="","",IF($AP652&lt;&gt;"",INDEX(Raw_D1!$D$2:$D$1001,$AP652),IF($AR652&lt;&gt;"",INDEX(Raw_D3!$D$2:$D$1001,$AR652),"")))</f>
        <v>0</v>
      </c>
      <c r="E652" s="5">
        <f>IF($A652="","",IF($AP652&lt;&gt;"",INDEX(Raw_D1!$E$2:$E$1001,$AP652),IF($AR652&lt;&gt;"",INDEX(Raw_D3!$E$2:$E$1001,$AR652),"")))</f>
        <v>1</v>
      </c>
      <c r="F652" s="5">
        <f>IF($A652="","",IF($AP652&lt;&gt;"",INDEX(Raw_D1!$F$2:$F$1001,$AP652),IF($AR652&lt;&gt;"",INDEX(Raw_D3!$F$2:$F$1001,$AR652),"")))</f>
        <v>10</v>
      </c>
      <c r="G652" s="5">
        <f>IF($A652="","",IF($AP652&lt;&gt;"",IF(INDEX(Raw_D1!$G$2:$G$1001,$AP652),1,0),IF($AR652&lt;&gt;"",IF(INDEX(Raw_D3!$G$2:$G$1001,$AR652),1,0),"")))</f>
        <v>0</v>
      </c>
      <c r="H652" s="5">
        <f>IF($A652="","",IF($AP652&lt;&gt;"",INDEX(Raw_D1!$H$2:$H$1001,$AP652),IF($AR652&lt;&gt;"",INDEX(Raw_D3!$H$2:$H$1001,$AR652),"")))</f>
        <v>0</v>
      </c>
      <c r="I652" s="5">
        <f>IF($A652="","",IF($AP652&lt;&gt;"",INDEX(Raw_D1!$I$2:$I$1001,$AP652),IF($AR652&lt;&gt;"",INDEX(Raw_D3!$I$2:$I$1001,$AR652),"")))</f>
        <v>2</v>
      </c>
      <c r="J652" s="16">
        <f>IF($A652="","",IF($AP652&lt;&gt;"",INDEX(Raw_D1!$J$2:$J$1001,$AP652),IF($AR652&lt;&gt;"",INDEX(Raw_D3!$J$2:$J$1001,$AR652),"")))</f>
        <v>0.18</v>
      </c>
      <c r="K652" s="17">
        <f>IF($A652="","",IF($AQ652&lt;&gt;"",IF(INDEX(Raw_D2!$C$2:$C$1001,$AQ652)="","",INDEX(Raw_D2!$C$2:$C$1001,$AQ652)),IF($AR652&lt;&gt;"",IF(INDEX(Raw_D3!$K$2:$K$1001,$AR652)="","",INDEX(Raw_D3!$K$2:$K$1001,$AR652)),"")))</f>
        <v>0.2424</v>
      </c>
      <c r="L652" s="16">
        <f>IF($A652="","",IF($AQ652&lt;&gt;"",IF(INDEX(Raw_D2!$D$2:$D$1001,$AQ652)="","",INDEX(Raw_D2!$D$2:$D$1001,$AQ652)),IF($AR652&lt;&gt;"",IF(INDEX(Raw_D3!$L$2:$L$1001,$AR652)="","",INDEX(Raw_D3!$L$2:$L$1001,$AR652)),"")))</f>
        <v>0.8</v>
      </c>
      <c r="M652" s="17">
        <f>IF($A652="","",IF($AQ652&lt;&gt;"",IF(INDEX(Raw_D2!$E$2:$E$1001,$AQ652)="","",INDEX(Raw_D2!$E$2:$E$1001,$AQ652)),IF($AR652&lt;&gt;"",IF(INDEX(Raw_D3!$M$2:$M$1001,$AR652)="","",INDEX(Raw_D3!$M$2:$M$1001,$AR652)),"")))</f>
        <v>0</v>
      </c>
      <c r="N652" s="5">
        <f>IF($A652="","",IF($AQ652&lt;&gt;"",IF(INDEX(Raw_D2!$F$2:$F$1001,$AQ652)="","",INDEX(Raw_D2!$F$2:$F$1001,$AQ652)),IF($AR652&lt;&gt;"",IF(INDEX(Raw_D3!$N$2:$N$1001,$AR652)="","",INDEX(Raw_D3!$N$2:$N$1001,$AR652)),"")))</f>
        <v>7</v>
      </c>
      <c r="O652" s="5">
        <f>IF($A652="","",IF($AQ652&lt;&gt;"",IF(INDEX(Raw_D2!$G$2:$G$1001,$AQ652)="","",INDEX(Raw_D2!$G$2:$G$1001,$AQ652)),IF($AR652&lt;&gt;"",IF(INDEX(Raw_D3!$O$2:$O$1001,$AR652)="","",INDEX(Raw_D3!$O$2:$O$1001,$AR652)),"")))</f>
        <v>57</v>
      </c>
      <c r="P652" s="5">
        <f>IF($A652="","",IF($AQ652&lt;&gt;"",IF(INDEX(Raw_D2!$H$2:$H$1001,$AQ652)="","",INDEX(Raw_D2!$H$2:$H$1001,$AQ652)),IF($AR652&lt;&gt;"",IF(INDEX(Raw_D3!$P$2:$P$1001,$AR652)="","",INDEX(Raw_D3!$P$2:$P$1001,$AR652)),"")))</f>
        <v>64</v>
      </c>
      <c r="Q652" s="5" t="str">
        <f>IF($A652="","",IF(AND($AP652&lt;&gt;"",$AQ652&lt;&gt;""),"D1+D2",IF($AR652&lt;&gt;"","D3","Incomplete")))</f>
        <v>D3</v>
      </c>
      <c r="R652" s="17">
        <f>IF($A652="","",IF($K652="",IF($J652="","",ROUND(Lookups!$K$5+Lookups!$K$4*$J652,4)),$K652))</f>
        <v>0.2424</v>
      </c>
      <c r="S652" s="5" t="str">
        <f>IF($A652="","",IF($K652="","Imputed","Original"))</f>
        <v>Original</v>
      </c>
      <c r="T652" s="5" t="str">
        <f>IF($A652="","",IF($P652="","Missing",IF($P652=$N652+$O652,"OK","Mismatch")))</f>
        <v>OK</v>
      </c>
      <c r="U652" s="5" t="str">
        <f>IF($A652="","",IF(COUNTIF($A$2:$A652,$A652)&gt;1,"Duplicate","Unique"))</f>
        <v>Unique</v>
      </c>
      <c r="V652" s="5">
        <f>IF($A652="","",IF(AND($U652="Unique",ISNUMBER($P652)),1,0))</f>
        <v>1</v>
      </c>
      <c r="W652" s="5" t="str">
        <f>IF($A652="","",IF(OR($H652=0,$H652=6),"Weekend","Weekday"))</f>
        <v>Weekend</v>
      </c>
      <c r="X652" s="5" t="str">
        <f>IF($A652="","",TEXT($B652,"ddd"))</f>
        <v>Sun</v>
      </c>
      <c r="Y652" s="5" t="str">
        <f>IF($A652="","",TEXT($B652,"mmm"))</f>
        <v>Jan</v>
      </c>
      <c r="Z652" s="5" t="str">
        <f>IF($A652="","",IFERROR(VLOOKUP($C652,Lookups!$D$4:$E$7,2,FALSE),"Unknown"))</f>
        <v>Winter</v>
      </c>
      <c r="AA652" s="5" t="str">
        <f>IF($A652="","",IFERROR(VLOOKUP($I652,Lookups!$A$4:$B$7,2,FALSE),"Unknown"))</f>
        <v>Mist/Cloudy</v>
      </c>
      <c r="AB652" s="5" t="str">
        <f>IF($A652="","",TEXT($F652,"00")&amp;":00")</f>
        <v>10:00</v>
      </c>
      <c r="AC652" s="5" t="str">
        <f>IF($A652="","",VLOOKUP($F652,Lookups!$G$4:$H$8,2,TRUE))</f>
        <v>Midday (10-15)</v>
      </c>
      <c r="AD652" s="18">
        <f>IF($A652="","",IF($J652="","",ROUND($J652*41,1)))</f>
        <v>7.4</v>
      </c>
      <c r="AE652" s="18">
        <f>IF($A652="","",IF($R652="","",ROUND($R652*50,1)))</f>
        <v>12.1</v>
      </c>
      <c r="AF652" s="5">
        <f>IF($A652="","",IF($L652="","",ROUND($L652*100,0)))</f>
        <v>80</v>
      </c>
      <c r="AG652" s="18">
        <f>IF($A652="","",IF($M652="","",ROUND($M652*67,1)))</f>
        <v>0</v>
      </c>
      <c r="AH652" s="19">
        <f>IF($A652="","",IF($P652="","",IF($P652=0,0,$O652/$P652)))</f>
        <v>0.890625</v>
      </c>
      <c r="AI652" s="5" t="str">
        <f>IF($A652="","",IF($P652="","",IF($P652&gt;=Lookups!$K$7,"High",IF($P652&lt;=Lookups!$K$8,"Low","Medium"))))</f>
        <v>Medium</v>
      </c>
      <c r="AJ652" s="5" t="str">
        <f>IF($A652="","",IF($AD652="","",IF($AD652&lt;5,"Under 5 C",IF($AD652&lt;10,"5-10 C",IF($AD652&lt;15,"10-15 C","15 C and above")))))</f>
        <v>5-10 C</v>
      </c>
      <c r="AK652" s="5">
        <f>IF($A652="","",IF($P652="","",$P652^2))</f>
        <v>4096</v>
      </c>
      <c r="AL652" s="18">
        <f>IF($V652&lt;&gt;1,"",AVERAGEIFS(Clean_Data!$P$2:$P$1001,Clean_Data!$F$2:$F$1001,$F652,Clean_Data!$W$2:$W$1001,$W652,Clean_Data!$V$2:$V$1001,1))</f>
        <v>62.7857142857143</v>
      </c>
      <c r="AM652" s="16">
        <f>IF($V652&lt;&gt;1,"",IFERROR(($P652-$AL652)/SQRT(MAX(0,(SUMIFS(Clean_Data!$AK$2:$AK$1001,Clean_Data!$F$2:$F$1001,$F652,Clean_Data!$W$2:$W$1001,$W652,Clean_Data!$V$2:$V$1001,1)-COUNTIFS(Clean_Data!$F$2:$F$1001,$F652,Clean_Data!$W$2:$W$1001,$W652,Clean_Data!$V$2:$V$1001,1)*$AL652^2)/(COUNTIFS(Clean_Data!$F$2:$F$1001,$F652,Clean_Data!$W$2:$W$1001,$W652,Clean_Data!$V$2:$V$1001,1)-1))),""))</f>
        <v>0.0606422741200818</v>
      </c>
      <c r="AN652" s="5" t="str">
        <f>IF($AM652="","",IF($AM652&gt;=Lookups!$K$6,"High spike",IF($AM652&lt;=-Lookups!$K$6,"Unusual low","Normal")))</f>
        <v>Normal</v>
      </c>
      <c r="AO652" s="20">
        <f>IF($V652&lt;&gt;1,"",$P652+ROW()/100000)</f>
        <v>64.00652</v>
      </c>
      <c r="AP652" s="5">
        <f>IF($A652="","",IFERROR(MATCH($A652,Raw_D1!$A$2:$A$1001,0),""))</f>
        <v/>
      </c>
      <c r="AQ652" s="5">
        <f>IF($A652="","",IFERROR(MATCH($A652,Raw_D2!$B$2:$B$1001,0),""))</f>
        <v/>
      </c>
      <c r="AR652" s="5">
        <f>IF($A652="","",IFERROR(MATCH($A652,Raw_D3!$A$2:$A$1001,0),""))</f>
        <v>32</v>
      </c>
    </row>
    <row r="653" spans="1:44" x14ac:dyDescent="0.25">
      <c r="A653" s="5">
        <v>652</v>
      </c>
      <c r="B653" s="11">
        <f>IF($A653="","",IF($AP653&lt;&gt;"",INDEX(Raw_D1!$B$2:$B$1001,$AP653),IF($AR653&lt;&gt;"",INDEX(Raw_D3!$B$2:$B$1001,$AR653),"")))</f>
        <v>40573.0</v>
      </c>
      <c r="C653" s="5">
        <f>IF($A653="","",IF($AP653&lt;&gt;"",INDEX(Raw_D1!$C$2:$C$1001,$AP653),IF($AR653&lt;&gt;"",INDEX(Raw_D3!$C$2:$C$1001,$AR653),"")))</f>
        <v>1</v>
      </c>
      <c r="D653" s="5">
        <f>IF($A653="","",IF($AP653&lt;&gt;"",INDEX(Raw_D1!$D$2:$D$1001,$AP653),IF($AR653&lt;&gt;"",INDEX(Raw_D3!$D$2:$D$1001,$AR653),"")))</f>
        <v>0</v>
      </c>
      <c r="E653" s="5">
        <f>IF($A653="","",IF($AP653&lt;&gt;"",INDEX(Raw_D1!$E$2:$E$1001,$AP653),IF($AR653&lt;&gt;"",INDEX(Raw_D3!$E$2:$E$1001,$AR653),"")))</f>
        <v>1</v>
      </c>
      <c r="F653" s="5">
        <f>IF($A653="","",IF($AP653&lt;&gt;"",INDEX(Raw_D1!$F$2:$F$1001,$AP653),IF($AR653&lt;&gt;"",INDEX(Raw_D3!$F$2:$F$1001,$AR653),"")))</f>
        <v>11</v>
      </c>
      <c r="G653" s="5">
        <f>IF($A653="","",IF($AP653&lt;&gt;"",IF(INDEX(Raw_D1!$G$2:$G$1001,$AP653),1,0),IF($AR653&lt;&gt;"",IF(INDEX(Raw_D3!$G$2:$G$1001,$AR653),1,0),"")))</f>
        <v>0</v>
      </c>
      <c r="H653" s="5">
        <f>IF($A653="","",IF($AP653&lt;&gt;"",INDEX(Raw_D1!$H$2:$H$1001,$AP653),IF($AR653&lt;&gt;"",INDEX(Raw_D3!$H$2:$H$1001,$AR653),"")))</f>
        <v>0</v>
      </c>
      <c r="I653" s="5">
        <f>IF($A653="","",IF($AP653&lt;&gt;"",INDEX(Raw_D1!$I$2:$I$1001,$AP653),IF($AR653&lt;&gt;"",INDEX(Raw_D3!$I$2:$I$1001,$AR653),"")))</f>
        <v>1</v>
      </c>
      <c r="J653" s="16">
        <f>IF($A653="","",IF($AP653&lt;&gt;"",INDEX(Raw_D1!$J$2:$J$1001,$AP653),IF($AR653&lt;&gt;"",INDEX(Raw_D3!$J$2:$J$1001,$AR653),"")))</f>
        <v>0.22</v>
      </c>
      <c r="K653" s="17">
        <f>IF($A653="","",IF($AQ653&lt;&gt;"",IF(INDEX(Raw_D2!$C$2:$C$1001,$AQ653)="","",INDEX(Raw_D2!$C$2:$C$1001,$AQ653)),IF($AR653&lt;&gt;"",IF(INDEX(Raw_D3!$K$2:$K$1001,$AR653)="","",INDEX(Raw_D3!$K$2:$K$1001,$AR653)),"")))</f>
        <v>0.2727</v>
      </c>
      <c r="L653" s="16">
        <f>IF($A653="","",IF($AQ653&lt;&gt;"",IF(INDEX(Raw_D2!$D$2:$D$1001,$AQ653)="","",INDEX(Raw_D2!$D$2:$D$1001,$AQ653)),IF($AR653&lt;&gt;"",IF(INDEX(Raw_D3!$L$2:$L$1001,$AR653)="","",INDEX(Raw_D3!$L$2:$L$1001,$AR653)),"")))</f>
        <v>0.75</v>
      </c>
      <c r="M653" s="17">
        <f>IF($A653="","",IF($AQ653&lt;&gt;"",IF(INDEX(Raw_D2!$E$2:$E$1001,$AQ653)="","",INDEX(Raw_D2!$E$2:$E$1001,$AQ653)),IF($AR653&lt;&gt;"",IF(INDEX(Raw_D3!$M$2:$M$1001,$AR653)="","",INDEX(Raw_D3!$M$2:$M$1001,$AR653)),"")))</f>
        <v>0</v>
      </c>
      <c r="N653" s="5">
        <f>IF($A653="","",IF($AQ653&lt;&gt;"",IF(INDEX(Raw_D2!$F$2:$F$1001,$AQ653)="","",INDEX(Raw_D2!$F$2:$F$1001,$AQ653)),IF($AR653&lt;&gt;"",IF(INDEX(Raw_D3!$N$2:$N$1001,$AR653)="","",INDEX(Raw_D3!$N$2:$N$1001,$AR653)),"")))</f>
        <v>9</v>
      </c>
      <c r="O653" s="5">
        <f>IF($A653="","",IF($AQ653&lt;&gt;"",IF(INDEX(Raw_D2!$G$2:$G$1001,$AQ653)="","",INDEX(Raw_D2!$G$2:$G$1001,$AQ653)),IF($AR653&lt;&gt;"",IF(INDEX(Raw_D3!$O$2:$O$1001,$AR653)="","",INDEX(Raw_D3!$O$2:$O$1001,$AR653)),"")))</f>
        <v>50</v>
      </c>
      <c r="P653" s="5">
        <f>IF($A653="","",IF($AQ653&lt;&gt;"",IF(INDEX(Raw_D2!$H$2:$H$1001,$AQ653)="","",INDEX(Raw_D2!$H$2:$H$1001,$AQ653)),IF($AR653&lt;&gt;"",IF(INDEX(Raw_D3!$P$2:$P$1001,$AR653)="","",INDEX(Raw_D3!$P$2:$P$1001,$AR653)),"")))</f>
        <v>59</v>
      </c>
      <c r="Q653" s="5" t="str">
        <f>IF($A653="","",IF(AND($AP653&lt;&gt;"",$AQ653&lt;&gt;""),"D1+D2",IF($AR653&lt;&gt;"","D3","Incomplete")))</f>
        <v>D3</v>
      </c>
      <c r="R653" s="17">
        <f>IF($A653="","",IF($K653="",IF($J653="","",ROUND(Lookups!$K$5+Lookups!$K$4*$J653,4)),$K653))</f>
        <v>0.2727</v>
      </c>
      <c r="S653" s="5" t="str">
        <f>IF($A653="","",IF($K653="","Imputed","Original"))</f>
        <v>Original</v>
      </c>
      <c r="T653" s="5" t="str">
        <f>IF($A653="","",IF($P653="","Missing",IF($P653=$N653+$O653,"OK","Mismatch")))</f>
        <v>OK</v>
      </c>
      <c r="U653" s="5" t="str">
        <f>IF($A653="","",IF(COUNTIF($A$2:$A653,$A653)&gt;1,"Duplicate","Unique"))</f>
        <v>Unique</v>
      </c>
      <c r="V653" s="5">
        <f>IF($A653="","",IF(AND($U653="Unique",ISNUMBER($P653)),1,0))</f>
        <v>1</v>
      </c>
      <c r="W653" s="5" t="str">
        <f>IF($A653="","",IF(OR($H653=0,$H653=6),"Weekend","Weekday"))</f>
        <v>Weekend</v>
      </c>
      <c r="X653" s="5" t="str">
        <f>IF($A653="","",TEXT($B653,"ddd"))</f>
        <v>Sun</v>
      </c>
      <c r="Y653" s="5" t="str">
        <f>IF($A653="","",TEXT($B653,"mmm"))</f>
        <v>Jan</v>
      </c>
      <c r="Z653" s="5" t="str">
        <f>IF($A653="","",IFERROR(VLOOKUP($C653,Lookups!$D$4:$E$7,2,FALSE),"Unknown"))</f>
        <v>Winter</v>
      </c>
      <c r="AA653" s="5" t="str">
        <f>IF($A653="","",IFERROR(VLOOKUP($I653,Lookups!$A$4:$B$7,2,FALSE),"Unknown"))</f>
        <v>Clear</v>
      </c>
      <c r="AB653" s="5" t="str">
        <f>IF($A653="","",TEXT($F653,"00")&amp;":00")</f>
        <v>11:00</v>
      </c>
      <c r="AC653" s="5" t="str">
        <f>IF($A653="","",VLOOKUP($F653,Lookups!$G$4:$H$8,2,TRUE))</f>
        <v>Midday (10-15)</v>
      </c>
      <c r="AD653" s="18">
        <f>IF($A653="","",IF($J653="","",ROUND($J653*41,1)))</f>
        <v>9</v>
      </c>
      <c r="AE653" s="18">
        <f>IF($A653="","",IF($R653="","",ROUND($R653*50,1)))</f>
        <v>13.6</v>
      </c>
      <c r="AF653" s="5">
        <f>IF($A653="","",IF($L653="","",ROUND($L653*100,0)))</f>
        <v>75</v>
      </c>
      <c r="AG653" s="18">
        <f>IF($A653="","",IF($M653="","",ROUND($M653*67,1)))</f>
        <v>0</v>
      </c>
      <c r="AH653" s="19">
        <f>IF($A653="","",IF($P653="","",IF($P653=0,0,$O653/$P653)))</f>
        <v>0.847457627118644</v>
      </c>
      <c r="AI653" s="5" t="str">
        <f>IF($A653="","",IF($P653="","",IF($P653&gt;=Lookups!$K$7,"High",IF($P653&lt;=Lookups!$K$8,"Low","Medium"))))</f>
        <v>Medium</v>
      </c>
      <c r="AJ653" s="5" t="str">
        <f>IF($A653="","",IF($AD653="","",IF($AD653&lt;5,"Under 5 C",IF($AD653&lt;10,"5-10 C",IF($AD653&lt;15,"10-15 C","15 C and above")))))</f>
        <v>5-10 C</v>
      </c>
      <c r="AK653" s="5">
        <f>IF($A653="","",IF($P653="","",$P653^2))</f>
        <v>3481</v>
      </c>
      <c r="AL653" s="18">
        <f>IF($V653&lt;&gt;1,"",AVERAGEIFS(Clean_Data!$P$2:$P$1001,Clean_Data!$F$2:$F$1001,$F653,Clean_Data!$W$2:$W$1001,$W653,Clean_Data!$V$2:$V$1001,1))</f>
        <v>76.9285714285714</v>
      </c>
      <c r="AM653" s="16">
        <f>IF($V653&lt;&gt;1,"",IFERROR(($P653-$AL653)/SQRT(MAX(0,(SUMIFS(Clean_Data!$AK$2:$AK$1001,Clean_Data!$F$2:$F$1001,$F653,Clean_Data!$W$2:$W$1001,$W653,Clean_Data!$V$2:$V$1001,1)-COUNTIFS(Clean_Data!$F$2:$F$1001,$F653,Clean_Data!$W$2:$W$1001,$W653,Clean_Data!$V$2:$V$1001,1)*$AL653^2)/(COUNTIFS(Clean_Data!$F$2:$F$1001,$F653,Clean_Data!$W$2:$W$1001,$W653,Clean_Data!$V$2:$V$1001,1)-1))),""))</f>
        <v>-0.720613325511223</v>
      </c>
      <c r="AN653" s="5" t="str">
        <f>IF($AM653="","",IF($AM653&gt;=Lookups!$K$6,"High spike",IF($AM653&lt;=-Lookups!$K$6,"Unusual low","Normal")))</f>
        <v>Normal</v>
      </c>
      <c r="AO653" s="20">
        <f>IF($V653&lt;&gt;1,"",$P653+ROW()/100000)</f>
        <v>59.00653</v>
      </c>
      <c r="AP653" s="5">
        <f>IF($A653="","",IFERROR(MATCH($A653,Raw_D1!$A$2:$A$1001,0),""))</f>
        <v/>
      </c>
      <c r="AQ653" s="5">
        <f>IF($A653="","",IFERROR(MATCH($A653,Raw_D2!$B$2:$B$1001,0),""))</f>
        <v/>
      </c>
      <c r="AR653" s="5">
        <f>IF($A653="","",IFERROR(MATCH($A653,Raw_D3!$A$2:$A$1001,0),""))</f>
        <v>33</v>
      </c>
    </row>
    <row r="654" spans="1:44" x14ac:dyDescent="0.25">
      <c r="A654" s="5">
        <v>653</v>
      </c>
      <c r="B654" s="11">
        <f>IF($A654="","",IF($AP654&lt;&gt;"",INDEX(Raw_D1!$B$2:$B$1001,$AP654),IF($AR654&lt;&gt;"",INDEX(Raw_D3!$B$2:$B$1001,$AR654),"")))</f>
        <v>40573.0</v>
      </c>
      <c r="C654" s="5">
        <f>IF($A654="","",IF($AP654&lt;&gt;"",INDEX(Raw_D1!$C$2:$C$1001,$AP654),IF($AR654&lt;&gt;"",INDEX(Raw_D3!$C$2:$C$1001,$AR654),"")))</f>
        <v>1</v>
      </c>
      <c r="D654" s="5">
        <f>IF($A654="","",IF($AP654&lt;&gt;"",INDEX(Raw_D1!$D$2:$D$1001,$AP654),IF($AR654&lt;&gt;"",INDEX(Raw_D3!$D$2:$D$1001,$AR654),"")))</f>
        <v>0</v>
      </c>
      <c r="E654" s="5">
        <f>IF($A654="","",IF($AP654&lt;&gt;"",INDEX(Raw_D1!$E$2:$E$1001,$AP654),IF($AR654&lt;&gt;"",INDEX(Raw_D3!$E$2:$E$1001,$AR654),"")))</f>
        <v>1</v>
      </c>
      <c r="F654" s="5">
        <f>IF($A654="","",IF($AP654&lt;&gt;"",INDEX(Raw_D1!$F$2:$F$1001,$AP654),IF($AR654&lt;&gt;"",INDEX(Raw_D3!$F$2:$F$1001,$AR654),"")))</f>
        <v>12</v>
      </c>
      <c r="G654" s="5">
        <f>IF($A654="","",IF($AP654&lt;&gt;"",IF(INDEX(Raw_D1!$G$2:$G$1001,$AP654),1,0),IF($AR654&lt;&gt;"",IF(INDEX(Raw_D3!$G$2:$G$1001,$AR654),1,0),"")))</f>
        <v>0</v>
      </c>
      <c r="H654" s="5">
        <f>IF($A654="","",IF($AP654&lt;&gt;"",INDEX(Raw_D1!$H$2:$H$1001,$AP654),IF($AR654&lt;&gt;"",INDEX(Raw_D3!$H$2:$H$1001,$AR654),"")))</f>
        <v>0</v>
      </c>
      <c r="I654" s="5">
        <f>IF($A654="","",IF($AP654&lt;&gt;"",INDEX(Raw_D1!$I$2:$I$1001,$AP654),IF($AR654&lt;&gt;"",INDEX(Raw_D3!$I$2:$I$1001,$AR654),"")))</f>
        <v>1</v>
      </c>
      <c r="J654" s="16">
        <f>IF($A654="","",IF($AP654&lt;&gt;"",INDEX(Raw_D1!$J$2:$J$1001,$AP654),IF($AR654&lt;&gt;"",INDEX(Raw_D3!$J$2:$J$1001,$AR654),"")))</f>
        <v>0.3</v>
      </c>
      <c r="K654" s="17">
        <f>IF($A654="","",IF($AQ654&lt;&gt;"",IF(INDEX(Raw_D2!$C$2:$C$1001,$AQ654)="","",INDEX(Raw_D2!$C$2:$C$1001,$AQ654)),IF($AR654&lt;&gt;"",IF(INDEX(Raw_D3!$K$2:$K$1001,$AR654)="","",INDEX(Raw_D3!$K$2:$K$1001,$AR654)),"")))</f>
        <v>0.3182</v>
      </c>
      <c r="L654" s="16">
        <f>IF($A654="","",IF($AQ654&lt;&gt;"",IF(INDEX(Raw_D2!$D$2:$D$1001,$AQ654)="","",INDEX(Raw_D2!$D$2:$D$1001,$AQ654)),IF($AR654&lt;&gt;"",IF(INDEX(Raw_D3!$L$2:$L$1001,$AR654)="","",INDEX(Raw_D3!$L$2:$L$1001,$AR654)),"")))</f>
        <v>0.52</v>
      </c>
      <c r="M654" s="17">
        <f>IF($A654="","",IF($AQ654&lt;&gt;"",IF(INDEX(Raw_D2!$E$2:$E$1001,$AQ654)="","",INDEX(Raw_D2!$E$2:$E$1001,$AQ654)),IF($AR654&lt;&gt;"",IF(INDEX(Raw_D3!$M$2:$M$1001,$AR654)="","",INDEX(Raw_D3!$M$2:$M$1001,$AR654)),"")))</f>
        <v>0.1045</v>
      </c>
      <c r="N654" s="5">
        <f>IF($A654="","",IF($AQ654&lt;&gt;"",IF(INDEX(Raw_D2!$F$2:$F$1001,$AQ654)="","",INDEX(Raw_D2!$F$2:$F$1001,$AQ654)),IF($AR654&lt;&gt;"",IF(INDEX(Raw_D3!$N$2:$N$1001,$AR654)="","",INDEX(Raw_D3!$N$2:$N$1001,$AR654)),"")))</f>
        <v>10</v>
      </c>
      <c r="O654" s="5">
        <f>IF($A654="","",IF($AQ654&lt;&gt;"",IF(INDEX(Raw_D2!$G$2:$G$1001,$AQ654)="","",INDEX(Raw_D2!$G$2:$G$1001,$AQ654)),IF($AR654&lt;&gt;"",IF(INDEX(Raw_D3!$O$2:$O$1001,$AR654)="","",INDEX(Raw_D3!$O$2:$O$1001,$AR654)),"")))</f>
        <v>87</v>
      </c>
      <c r="P654" s="5">
        <f>IF($A654="","",IF($AQ654&lt;&gt;"",IF(INDEX(Raw_D2!$H$2:$H$1001,$AQ654)="","",INDEX(Raw_D2!$H$2:$H$1001,$AQ654)),IF($AR654&lt;&gt;"",IF(INDEX(Raw_D3!$P$2:$P$1001,$AR654)="","",INDEX(Raw_D3!$P$2:$P$1001,$AR654)),"")))</f>
        <v>97</v>
      </c>
      <c r="Q654" s="5" t="str">
        <f>IF($A654="","",IF(AND($AP654&lt;&gt;"",$AQ654&lt;&gt;""),"D1+D2",IF($AR654&lt;&gt;"","D3","Incomplete")))</f>
        <v>D3</v>
      </c>
      <c r="R654" s="17">
        <f>IF($A654="","",IF($K654="",IF($J654="","",ROUND(Lookups!$K$5+Lookups!$K$4*$J654,4)),$K654))</f>
        <v>0.3182</v>
      </c>
      <c r="S654" s="5" t="str">
        <f>IF($A654="","",IF($K654="","Imputed","Original"))</f>
        <v>Original</v>
      </c>
      <c r="T654" s="5" t="str">
        <f>IF($A654="","",IF($P654="","Missing",IF($P654=$N654+$O654,"OK","Mismatch")))</f>
        <v>OK</v>
      </c>
      <c r="U654" s="5" t="str">
        <f>IF($A654="","",IF(COUNTIF($A$2:$A654,$A654)&gt;1,"Duplicate","Unique"))</f>
        <v>Unique</v>
      </c>
      <c r="V654" s="5">
        <f>IF($A654="","",IF(AND($U654="Unique",ISNUMBER($P654)),1,0))</f>
        <v>1</v>
      </c>
      <c r="W654" s="5" t="str">
        <f>IF($A654="","",IF(OR($H654=0,$H654=6),"Weekend","Weekday"))</f>
        <v>Weekend</v>
      </c>
      <c r="X654" s="5" t="str">
        <f>IF($A654="","",TEXT($B654,"ddd"))</f>
        <v>Sun</v>
      </c>
      <c r="Y654" s="5" t="str">
        <f>IF($A654="","",TEXT($B654,"mmm"))</f>
        <v>Jan</v>
      </c>
      <c r="Z654" s="5" t="str">
        <f>IF($A654="","",IFERROR(VLOOKUP($C654,Lookups!$D$4:$E$7,2,FALSE),"Unknown"))</f>
        <v>Winter</v>
      </c>
      <c r="AA654" s="5" t="str">
        <f>IF($A654="","",IFERROR(VLOOKUP($I654,Lookups!$A$4:$B$7,2,FALSE),"Unknown"))</f>
        <v>Clear</v>
      </c>
      <c r="AB654" s="5" t="str">
        <f>IF($A654="","",TEXT($F654,"00")&amp;":00")</f>
        <v>12:00</v>
      </c>
      <c r="AC654" s="5" t="str">
        <f>IF($A654="","",VLOOKUP($F654,Lookups!$G$4:$H$8,2,TRUE))</f>
        <v>Midday (10-15)</v>
      </c>
      <c r="AD654" s="18">
        <f>IF($A654="","",IF($J654="","",ROUND($J654*41,1)))</f>
        <v>12.3</v>
      </c>
      <c r="AE654" s="18">
        <f>IF($A654="","",IF($R654="","",ROUND($R654*50,1)))</f>
        <v>15.9</v>
      </c>
      <c r="AF654" s="5">
        <f>IF($A654="","",IF($L654="","",ROUND($L654*100,0)))</f>
        <v>52</v>
      </c>
      <c r="AG654" s="18">
        <f>IF($A654="","",IF($M654="","",ROUND($M654*67,1)))</f>
        <v>7</v>
      </c>
      <c r="AH654" s="19">
        <f>IF($A654="","",IF($P654="","",IF($P654=0,0,$O654/$P654)))</f>
        <v>0.896907216494845</v>
      </c>
      <c r="AI654" s="5" t="str">
        <f>IF($A654="","",IF($P654="","",IF($P654&gt;=Lookups!$K$7,"High",IF($P654&lt;=Lookups!$K$8,"Low","Medium"))))</f>
        <v>High</v>
      </c>
      <c r="AJ654" s="5" t="str">
        <f>IF($A654="","",IF($AD654="","",IF($AD654&lt;5,"Under 5 C",IF($AD654&lt;10,"5-10 C",IF($AD654&lt;15,"10-15 C","15 C and above")))))</f>
        <v>10-15 C</v>
      </c>
      <c r="AK654" s="5">
        <f>IF($A654="","",IF($P654="","",$P654^2))</f>
        <v>9409</v>
      </c>
      <c r="AL654" s="18">
        <f>IF($V654&lt;&gt;1,"",AVERAGEIFS(Clean_Data!$P$2:$P$1001,Clean_Data!$F$2:$F$1001,$F654,Clean_Data!$W$2:$W$1001,$W654,Clean_Data!$V$2:$V$1001,1))</f>
        <v>100.714285714286</v>
      </c>
      <c r="AM654" s="16">
        <f>IF($V654&lt;&gt;1,"",IFERROR(($P654-$AL654)/SQRT(MAX(0,(SUMIFS(Clean_Data!$AK$2:$AK$1001,Clean_Data!$F$2:$F$1001,$F654,Clean_Data!$W$2:$W$1001,$W654,Clean_Data!$V$2:$V$1001,1)-COUNTIFS(Clean_Data!$F$2:$F$1001,$F654,Clean_Data!$W$2:$W$1001,$W654,Clean_Data!$V$2:$V$1001,1)*$AL654^2)/(COUNTIFS(Clean_Data!$F$2:$F$1001,$F654,Clean_Data!$W$2:$W$1001,$W654,Clean_Data!$V$2:$V$1001,1)-1))),""))</f>
        <v>-0.11629503824875</v>
      </c>
      <c r="AN654" s="5" t="str">
        <f>IF($AM654="","",IF($AM654&gt;=Lookups!$K$6,"High spike",IF($AM654&lt;=-Lookups!$K$6,"Unusual low","Normal")))</f>
        <v>Normal</v>
      </c>
      <c r="AO654" s="20">
        <f>IF($V654&lt;&gt;1,"",$P654+ROW()/100000)</f>
        <v>97.00654</v>
      </c>
      <c r="AP654" s="5">
        <f>IF($A654="","",IFERROR(MATCH($A654,Raw_D1!$A$2:$A$1001,0),""))</f>
        <v/>
      </c>
      <c r="AQ654" s="5">
        <f>IF($A654="","",IFERROR(MATCH($A654,Raw_D2!$B$2:$B$1001,0),""))</f>
        <v/>
      </c>
      <c r="AR654" s="5">
        <f>IF($A654="","",IFERROR(MATCH($A654,Raw_D3!$A$2:$A$1001,0),""))</f>
        <v>34</v>
      </c>
    </row>
    <row r="655" spans="1:44" x14ac:dyDescent="0.25">
      <c r="A655" s="5">
        <v>654</v>
      </c>
      <c r="B655" s="11">
        <f>IF($A655="","",IF($AP655&lt;&gt;"",INDEX(Raw_D1!$B$2:$B$1001,$AP655),IF($AR655&lt;&gt;"",INDEX(Raw_D3!$B$2:$B$1001,$AR655),"")))</f>
        <v>40573.0</v>
      </c>
      <c r="C655" s="5">
        <f>IF($A655="","",IF($AP655&lt;&gt;"",INDEX(Raw_D1!$C$2:$C$1001,$AP655),IF($AR655&lt;&gt;"",INDEX(Raw_D3!$C$2:$C$1001,$AR655),"")))</f>
        <v>1</v>
      </c>
      <c r="D655" s="5">
        <f>IF($A655="","",IF($AP655&lt;&gt;"",INDEX(Raw_D1!$D$2:$D$1001,$AP655),IF($AR655&lt;&gt;"",INDEX(Raw_D3!$D$2:$D$1001,$AR655),"")))</f>
        <v>0</v>
      </c>
      <c r="E655" s="5">
        <f>IF($A655="","",IF($AP655&lt;&gt;"",INDEX(Raw_D1!$E$2:$E$1001,$AP655),IF($AR655&lt;&gt;"",INDEX(Raw_D3!$E$2:$E$1001,$AR655),"")))</f>
        <v>1</v>
      </c>
      <c r="F655" s="5">
        <f>IF($A655="","",IF($AP655&lt;&gt;"",INDEX(Raw_D1!$F$2:$F$1001,$AP655),IF($AR655&lt;&gt;"",INDEX(Raw_D3!$F$2:$F$1001,$AR655),"")))</f>
        <v>13</v>
      </c>
      <c r="G655" s="5">
        <f>IF($A655="","",IF($AP655&lt;&gt;"",IF(INDEX(Raw_D1!$G$2:$G$1001,$AP655),1,0),IF($AR655&lt;&gt;"",IF(INDEX(Raw_D3!$G$2:$G$1001,$AR655),1,0),"")))</f>
        <v>0</v>
      </c>
      <c r="H655" s="5">
        <f>IF($A655="","",IF($AP655&lt;&gt;"",INDEX(Raw_D1!$H$2:$H$1001,$AP655),IF($AR655&lt;&gt;"",INDEX(Raw_D3!$H$2:$H$1001,$AR655),"")))</f>
        <v>0</v>
      </c>
      <c r="I655" s="5">
        <f>IF($A655="","",IF($AP655&lt;&gt;"",INDEX(Raw_D1!$I$2:$I$1001,$AP655),IF($AR655&lt;&gt;"",INDEX(Raw_D3!$I$2:$I$1001,$AR655),"")))</f>
        <v>1</v>
      </c>
      <c r="J655" s="16">
        <f>IF($A655="","",IF($AP655&lt;&gt;"",INDEX(Raw_D1!$J$2:$J$1001,$AP655),IF($AR655&lt;&gt;"",INDEX(Raw_D3!$J$2:$J$1001,$AR655),"")))</f>
        <v>0.28</v>
      </c>
      <c r="K655" s="17">
        <f>IF($A655="","",IF($AQ655&lt;&gt;"",IF(INDEX(Raw_D2!$C$2:$C$1001,$AQ655)="","",INDEX(Raw_D2!$C$2:$C$1001,$AQ655)),IF($AR655&lt;&gt;"",IF(INDEX(Raw_D3!$K$2:$K$1001,$AR655)="","",INDEX(Raw_D3!$K$2:$K$1001,$AR655)),"")))</f>
        <v>0.2879</v>
      </c>
      <c r="L655" s="16">
        <f>IF($A655="","",IF($AQ655&lt;&gt;"",IF(INDEX(Raw_D2!$D$2:$D$1001,$AQ655)="","",INDEX(Raw_D2!$D$2:$D$1001,$AQ655)),IF($AR655&lt;&gt;"",IF(INDEX(Raw_D3!$L$2:$L$1001,$AR655)="","",INDEX(Raw_D3!$L$2:$L$1001,$AR655)),"")))</f>
        <v>0.61</v>
      </c>
      <c r="M655" s="17">
        <f>IF($A655="","",IF($AQ655&lt;&gt;"",IF(INDEX(Raw_D2!$E$2:$E$1001,$AQ655)="","",INDEX(Raw_D2!$E$2:$E$1001,$AQ655)),IF($AR655&lt;&gt;"",IF(INDEX(Raw_D3!$M$2:$M$1001,$AR655)="","",INDEX(Raw_D3!$M$2:$M$1001,$AR655)),"")))</f>
        <v>0.1045</v>
      </c>
      <c r="N655" s="5">
        <f>IF($A655="","",IF($AQ655&lt;&gt;"",IF(INDEX(Raw_D2!$F$2:$F$1001,$AQ655)="","",INDEX(Raw_D2!$F$2:$F$1001,$AQ655)),IF($AR655&lt;&gt;"",IF(INDEX(Raw_D3!$N$2:$N$1001,$AR655)="","",INDEX(Raw_D3!$N$2:$N$1001,$AR655)),"")))</f>
        <v>13</v>
      </c>
      <c r="O655" s="5">
        <f>IF($A655="","",IF($AQ655&lt;&gt;"",IF(INDEX(Raw_D2!$G$2:$G$1001,$AQ655)="","",INDEX(Raw_D2!$G$2:$G$1001,$AQ655)),IF($AR655&lt;&gt;"",IF(INDEX(Raw_D3!$O$2:$O$1001,$AR655)="","",INDEX(Raw_D3!$O$2:$O$1001,$AR655)),"")))</f>
        <v>71</v>
      </c>
      <c r="P655" s="5">
        <f>IF($A655="","",IF($AQ655&lt;&gt;"",IF(INDEX(Raw_D2!$H$2:$H$1001,$AQ655)="","",INDEX(Raw_D2!$H$2:$H$1001,$AQ655)),IF($AR655&lt;&gt;"",IF(INDEX(Raw_D3!$P$2:$P$1001,$AR655)="","",INDEX(Raw_D3!$P$2:$P$1001,$AR655)),"")))</f>
        <v>84</v>
      </c>
      <c r="Q655" s="5" t="str">
        <f>IF($A655="","",IF(AND($AP655&lt;&gt;"",$AQ655&lt;&gt;""),"D1+D2",IF($AR655&lt;&gt;"","D3","Incomplete")))</f>
        <v>D3</v>
      </c>
      <c r="R655" s="17">
        <f>IF($A655="","",IF($K655="",IF($J655="","",ROUND(Lookups!$K$5+Lookups!$K$4*$J655,4)),$K655))</f>
        <v>0.2879</v>
      </c>
      <c r="S655" s="5" t="str">
        <f>IF($A655="","",IF($K655="","Imputed","Original"))</f>
        <v>Original</v>
      </c>
      <c r="T655" s="5" t="str">
        <f>IF($A655="","",IF($P655="","Missing",IF($P655=$N655+$O655,"OK","Mismatch")))</f>
        <v>OK</v>
      </c>
      <c r="U655" s="5" t="str">
        <f>IF($A655="","",IF(COUNTIF($A$2:$A655,$A655)&gt;1,"Duplicate","Unique"))</f>
        <v>Unique</v>
      </c>
      <c r="V655" s="5">
        <f>IF($A655="","",IF(AND($U655="Unique",ISNUMBER($P655)),1,0))</f>
        <v>1</v>
      </c>
      <c r="W655" s="5" t="str">
        <f>IF($A655="","",IF(OR($H655=0,$H655=6),"Weekend","Weekday"))</f>
        <v>Weekend</v>
      </c>
      <c r="X655" s="5" t="str">
        <f>IF($A655="","",TEXT($B655,"ddd"))</f>
        <v>Sun</v>
      </c>
      <c r="Y655" s="5" t="str">
        <f>IF($A655="","",TEXT($B655,"mmm"))</f>
        <v>Jan</v>
      </c>
      <c r="Z655" s="5" t="str">
        <f>IF($A655="","",IFERROR(VLOOKUP($C655,Lookups!$D$4:$E$7,2,FALSE),"Unknown"))</f>
        <v>Winter</v>
      </c>
      <c r="AA655" s="5" t="str">
        <f>IF($A655="","",IFERROR(VLOOKUP($I655,Lookups!$A$4:$B$7,2,FALSE),"Unknown"))</f>
        <v>Clear</v>
      </c>
      <c r="AB655" s="5" t="str">
        <f>IF($A655="","",TEXT($F655,"00")&amp;":00")</f>
        <v>13:00</v>
      </c>
      <c r="AC655" s="5" t="str">
        <f>IF($A655="","",VLOOKUP($F655,Lookups!$G$4:$H$8,2,TRUE))</f>
        <v>Midday (10-15)</v>
      </c>
      <c r="AD655" s="18">
        <f>IF($A655="","",IF($J655="","",ROUND($J655*41,1)))</f>
        <v>11.5</v>
      </c>
      <c r="AE655" s="18">
        <f>IF($A655="","",IF($R655="","",ROUND($R655*50,1)))</f>
        <v>14.4</v>
      </c>
      <c r="AF655" s="5">
        <f>IF($A655="","",IF($L655="","",ROUND($L655*100,0)))</f>
        <v>61</v>
      </c>
      <c r="AG655" s="18">
        <f>IF($A655="","",IF($M655="","",ROUND($M655*67,1)))</f>
        <v>7</v>
      </c>
      <c r="AH655" s="19">
        <f>IF($A655="","",IF($P655="","",IF($P655=0,0,$O655/$P655)))</f>
        <v>0.845238095238095</v>
      </c>
      <c r="AI655" s="5" t="str">
        <f>IF($A655="","",IF($P655="","",IF($P655&gt;=Lookups!$K$7,"High",IF($P655&lt;=Lookups!$K$8,"Low","Medium"))))</f>
        <v>High</v>
      </c>
      <c r="AJ655" s="5" t="str">
        <f>IF($A655="","",IF($AD655="","",IF($AD655&lt;5,"Under 5 C",IF($AD655&lt;10,"5-10 C",IF($AD655&lt;15,"10-15 C","15 C and above")))))</f>
        <v>10-15 C</v>
      </c>
      <c r="AK655" s="5">
        <f>IF($A655="","",IF($P655="","",$P655^2))</f>
        <v>7056</v>
      </c>
      <c r="AL655" s="18">
        <f>IF($V655&lt;&gt;1,"",AVERAGEIFS(Clean_Data!$P$2:$P$1001,Clean_Data!$F$2:$F$1001,$F655,Clean_Data!$W$2:$W$1001,$W655,Clean_Data!$V$2:$V$1001,1))</f>
        <v>102</v>
      </c>
      <c r="AM655" s="16">
        <f>IF($V655&lt;&gt;1,"",IFERROR(($P655-$AL655)/SQRT(MAX(0,(SUMIFS(Clean_Data!$AK$2:$AK$1001,Clean_Data!$F$2:$F$1001,$F655,Clean_Data!$W$2:$W$1001,$W655,Clean_Data!$V$2:$V$1001,1)-COUNTIFS(Clean_Data!$F$2:$F$1001,$F655,Clean_Data!$W$2:$W$1001,$W655,Clean_Data!$V$2:$V$1001,1)*$AL655^2)/(COUNTIFS(Clean_Data!$F$2:$F$1001,$F655,Clean_Data!$W$2:$W$1001,$W655,Clean_Data!$V$2:$V$1001,1)-1))),""))</f>
        <v>-0.527903416046234</v>
      </c>
      <c r="AN655" s="5" t="str">
        <f>IF($AM655="","",IF($AM655&gt;=Lookups!$K$6,"High spike",IF($AM655&lt;=-Lookups!$K$6,"Unusual low","Normal")))</f>
        <v>Normal</v>
      </c>
      <c r="AO655" s="20">
        <f>IF($V655&lt;&gt;1,"",$P655+ROW()/100000)</f>
        <v>84.00655</v>
      </c>
      <c r="AP655" s="5">
        <f>IF($A655="","",IFERROR(MATCH($A655,Raw_D1!$A$2:$A$1001,0),""))</f>
        <v/>
      </c>
      <c r="AQ655" s="5">
        <f>IF($A655="","",IFERROR(MATCH($A655,Raw_D2!$B$2:$B$1001,0),""))</f>
        <v/>
      </c>
      <c r="AR655" s="5">
        <f>IF($A655="","",IFERROR(MATCH($A655,Raw_D3!$A$2:$A$1001,0),""))</f>
        <v>35</v>
      </c>
    </row>
    <row r="656" spans="1:44" x14ac:dyDescent="0.25">
      <c r="A656" s="5">
        <v>655</v>
      </c>
      <c r="B656" s="11">
        <f>IF($A656="","",IF($AP656&lt;&gt;"",INDEX(Raw_D1!$B$2:$B$1001,$AP656),IF($AR656&lt;&gt;"",INDEX(Raw_D3!$B$2:$B$1001,$AR656),"")))</f>
        <v>40573.0</v>
      </c>
      <c r="C656" s="5">
        <f>IF($A656="","",IF($AP656&lt;&gt;"",INDEX(Raw_D1!$C$2:$C$1001,$AP656),IF($AR656&lt;&gt;"",INDEX(Raw_D3!$C$2:$C$1001,$AR656),"")))</f>
        <v>1</v>
      </c>
      <c r="D656" s="5">
        <f>IF($A656="","",IF($AP656&lt;&gt;"",INDEX(Raw_D1!$D$2:$D$1001,$AP656),IF($AR656&lt;&gt;"",INDEX(Raw_D3!$D$2:$D$1001,$AR656),"")))</f>
        <v>0</v>
      </c>
      <c r="E656" s="5">
        <f>IF($A656="","",IF($AP656&lt;&gt;"",INDEX(Raw_D1!$E$2:$E$1001,$AP656),IF($AR656&lt;&gt;"",INDEX(Raw_D3!$E$2:$E$1001,$AR656),"")))</f>
        <v>1</v>
      </c>
      <c r="F656" s="5">
        <f>IF($A656="","",IF($AP656&lt;&gt;"",INDEX(Raw_D1!$F$2:$F$1001,$AP656),IF($AR656&lt;&gt;"",INDEX(Raw_D3!$F$2:$F$1001,$AR656),"")))</f>
        <v>14</v>
      </c>
      <c r="G656" s="5">
        <f>IF($A656="","",IF($AP656&lt;&gt;"",IF(INDEX(Raw_D1!$G$2:$G$1001,$AP656),1,0),IF($AR656&lt;&gt;"",IF(INDEX(Raw_D3!$G$2:$G$1001,$AR656),1,0),"")))</f>
        <v>0</v>
      </c>
      <c r="H656" s="5">
        <f>IF($A656="","",IF($AP656&lt;&gt;"",INDEX(Raw_D1!$H$2:$H$1001,$AP656),IF($AR656&lt;&gt;"",INDEX(Raw_D3!$H$2:$H$1001,$AR656),"")))</f>
        <v>0</v>
      </c>
      <c r="I656" s="5">
        <f>IF($A656="","",IF($AP656&lt;&gt;"",INDEX(Raw_D1!$I$2:$I$1001,$AP656),IF($AR656&lt;&gt;"",INDEX(Raw_D3!$I$2:$I$1001,$AR656),"")))</f>
        <v>1</v>
      </c>
      <c r="J656" s="16">
        <f>IF($A656="","",IF($AP656&lt;&gt;"",INDEX(Raw_D1!$J$2:$J$1001,$AP656),IF($AR656&lt;&gt;"",INDEX(Raw_D3!$J$2:$J$1001,$AR656),"")))</f>
        <v>0.28</v>
      </c>
      <c r="K656" s="17">
        <f>IF($A656="","",IF($AQ656&lt;&gt;"",IF(INDEX(Raw_D2!$C$2:$C$1001,$AQ656)="","",INDEX(Raw_D2!$C$2:$C$1001,$AQ656)),IF($AR656&lt;&gt;"",IF(INDEX(Raw_D3!$K$2:$K$1001,$AR656)="","",INDEX(Raw_D3!$K$2:$K$1001,$AR656)),"")))</f>
        <v>0.303</v>
      </c>
      <c r="L656" s="16">
        <f>IF($A656="","",IF($AQ656&lt;&gt;"",IF(INDEX(Raw_D2!$D$2:$D$1001,$AQ656)="","",INDEX(Raw_D2!$D$2:$D$1001,$AQ656)),IF($AR656&lt;&gt;"",IF(INDEX(Raw_D3!$L$2:$L$1001,$AR656)="","",INDEX(Raw_D3!$L$2:$L$1001,$AR656)),"")))</f>
        <v>0.61</v>
      </c>
      <c r="M656" s="17">
        <f>IF($A656="","",IF($AQ656&lt;&gt;"",IF(INDEX(Raw_D2!$E$2:$E$1001,$AQ656)="","",INDEX(Raw_D2!$E$2:$E$1001,$AQ656)),IF($AR656&lt;&gt;"",IF(INDEX(Raw_D3!$M$2:$M$1001,$AR656)="","",INDEX(Raw_D3!$M$2:$M$1001,$AR656)),"")))</f>
        <v>0.0896</v>
      </c>
      <c r="N656" s="5">
        <f>IF($A656="","",IF($AQ656&lt;&gt;"",IF(INDEX(Raw_D2!$F$2:$F$1001,$AQ656)="","",INDEX(Raw_D2!$F$2:$F$1001,$AQ656)),IF($AR656&lt;&gt;"",IF(INDEX(Raw_D3!$N$2:$N$1001,$AR656)="","",INDEX(Raw_D3!$N$2:$N$1001,$AR656)),"")))</f>
        <v>18</v>
      </c>
      <c r="O656" s="5">
        <f>IF($A656="","",IF($AQ656&lt;&gt;"",IF(INDEX(Raw_D2!$G$2:$G$1001,$AQ656)="","",INDEX(Raw_D2!$G$2:$G$1001,$AQ656)),IF($AR656&lt;&gt;"",IF(INDEX(Raw_D3!$O$2:$O$1001,$AR656)="","",INDEX(Raw_D3!$O$2:$O$1001,$AR656)),"")))</f>
        <v>104</v>
      </c>
      <c r="P656" s="5">
        <f>IF($A656="","",IF($AQ656&lt;&gt;"",IF(INDEX(Raw_D2!$H$2:$H$1001,$AQ656)="","",INDEX(Raw_D2!$H$2:$H$1001,$AQ656)),IF($AR656&lt;&gt;"",IF(INDEX(Raw_D3!$P$2:$P$1001,$AR656)="","",INDEX(Raw_D3!$P$2:$P$1001,$AR656)),"")))</f>
        <v>122</v>
      </c>
      <c r="Q656" s="5" t="str">
        <f>IF($A656="","",IF(AND($AP656&lt;&gt;"",$AQ656&lt;&gt;""),"D1+D2",IF($AR656&lt;&gt;"","D3","Incomplete")))</f>
        <v>D3</v>
      </c>
      <c r="R656" s="17">
        <f>IF($A656="","",IF($K656="",IF($J656="","",ROUND(Lookups!$K$5+Lookups!$K$4*$J656,4)),$K656))</f>
        <v>0.303</v>
      </c>
      <c r="S656" s="5" t="str">
        <f>IF($A656="","",IF($K656="","Imputed","Original"))</f>
        <v>Original</v>
      </c>
      <c r="T656" s="5" t="str">
        <f>IF($A656="","",IF($P656="","Missing",IF($P656=$N656+$O656,"OK","Mismatch")))</f>
        <v>OK</v>
      </c>
      <c r="U656" s="5" t="str">
        <f>IF($A656="","",IF(COUNTIF($A$2:$A656,$A656)&gt;1,"Duplicate","Unique"))</f>
        <v>Unique</v>
      </c>
      <c r="V656" s="5">
        <f>IF($A656="","",IF(AND($U656="Unique",ISNUMBER($P656)),1,0))</f>
        <v>1</v>
      </c>
      <c r="W656" s="5" t="str">
        <f>IF($A656="","",IF(OR($H656=0,$H656=6),"Weekend","Weekday"))</f>
        <v>Weekend</v>
      </c>
      <c r="X656" s="5" t="str">
        <f>IF($A656="","",TEXT($B656,"ddd"))</f>
        <v>Sun</v>
      </c>
      <c r="Y656" s="5" t="str">
        <f>IF($A656="","",TEXT($B656,"mmm"))</f>
        <v>Jan</v>
      </c>
      <c r="Z656" s="5" t="str">
        <f>IF($A656="","",IFERROR(VLOOKUP($C656,Lookups!$D$4:$E$7,2,FALSE),"Unknown"))</f>
        <v>Winter</v>
      </c>
      <c r="AA656" s="5" t="str">
        <f>IF($A656="","",IFERROR(VLOOKUP($I656,Lookups!$A$4:$B$7,2,FALSE),"Unknown"))</f>
        <v>Clear</v>
      </c>
      <c r="AB656" s="5" t="str">
        <f>IF($A656="","",TEXT($F656,"00")&amp;":00")</f>
        <v>14:00</v>
      </c>
      <c r="AC656" s="5" t="str">
        <f>IF($A656="","",VLOOKUP($F656,Lookups!$G$4:$H$8,2,TRUE))</f>
        <v>Midday (10-15)</v>
      </c>
      <c r="AD656" s="18">
        <f>IF($A656="","",IF($J656="","",ROUND($J656*41,1)))</f>
        <v>11.5</v>
      </c>
      <c r="AE656" s="18">
        <f>IF($A656="","",IF($R656="","",ROUND($R656*50,1)))</f>
        <v>15.2</v>
      </c>
      <c r="AF656" s="5">
        <f>IF($A656="","",IF($L656="","",ROUND($L656*100,0)))</f>
        <v>61</v>
      </c>
      <c r="AG656" s="18">
        <f>IF($A656="","",IF($M656="","",ROUND($M656*67,1)))</f>
        <v>6</v>
      </c>
      <c r="AH656" s="19">
        <f>IF($A656="","",IF($P656="","",IF($P656=0,0,$O656/$P656)))</f>
        <v>0.852459016393443</v>
      </c>
      <c r="AI656" s="5" t="str">
        <f>IF($A656="","",IF($P656="","",IF($P656&gt;=Lookups!$K$7,"High",IF($P656&lt;=Lookups!$K$8,"Low","Medium"))))</f>
        <v>High</v>
      </c>
      <c r="AJ656" s="5" t="str">
        <f>IF($A656="","",IF($AD656="","",IF($AD656&lt;5,"Under 5 C",IF($AD656&lt;10,"5-10 C",IF($AD656&lt;15,"10-15 C","15 C and above")))))</f>
        <v>10-15 C</v>
      </c>
      <c r="AK656" s="5">
        <f>IF($A656="","",IF($P656="","",$P656^2))</f>
        <v>14884</v>
      </c>
      <c r="AL656" s="18">
        <f>IF($V656&lt;&gt;1,"",AVERAGEIFS(Clean_Data!$P$2:$P$1001,Clean_Data!$F$2:$F$1001,$F656,Clean_Data!$W$2:$W$1001,$W656,Clean_Data!$V$2:$V$1001,1))</f>
        <v>103.142857142857</v>
      </c>
      <c r="AM656" s="16">
        <f>IF($V656&lt;&gt;1,"",IFERROR(($P656-$AL656)/SQRT(MAX(0,(SUMIFS(Clean_Data!$AK$2:$AK$1001,Clean_Data!$F$2:$F$1001,$F656,Clean_Data!$W$2:$W$1001,$W656,Clean_Data!$V$2:$V$1001,1)-COUNTIFS(Clean_Data!$F$2:$F$1001,$F656,Clean_Data!$W$2:$W$1001,$W656,Clean_Data!$V$2:$V$1001,1)*$AL656^2)/(COUNTIFS(Clean_Data!$F$2:$F$1001,$F656,Clean_Data!$W$2:$W$1001,$W656,Clean_Data!$V$2:$V$1001,1)-1))),""))</f>
        <v>0.577316287219768</v>
      </c>
      <c r="AN656" s="5" t="str">
        <f>IF($AM656="","",IF($AM656&gt;=Lookups!$K$6,"High spike",IF($AM656&lt;=-Lookups!$K$6,"Unusual low","Normal")))</f>
        <v>Normal</v>
      </c>
      <c r="AO656" s="20">
        <f>IF($V656&lt;&gt;1,"",$P656+ROW()/100000)</f>
        <v>122.00656</v>
      </c>
      <c r="AP656" s="5">
        <f>IF($A656="","",IFERROR(MATCH($A656,Raw_D1!$A$2:$A$1001,0),""))</f>
        <v/>
      </c>
      <c r="AQ656" s="5">
        <f>IF($A656="","",IFERROR(MATCH($A656,Raw_D2!$B$2:$B$1001,0),""))</f>
        <v/>
      </c>
      <c r="AR656" s="5">
        <f>IF($A656="","",IFERROR(MATCH($A656,Raw_D3!$A$2:$A$1001,0),""))</f>
        <v>36</v>
      </c>
    </row>
    <row r="657" spans="1:44" x14ac:dyDescent="0.25">
      <c r="A657" s="5">
        <v>656</v>
      </c>
      <c r="B657" s="11">
        <f>IF($A657="","",IF($AP657&lt;&gt;"",INDEX(Raw_D1!$B$2:$B$1001,$AP657),IF($AR657&lt;&gt;"",INDEX(Raw_D3!$B$2:$B$1001,$AR657),"")))</f>
        <v>40573.0</v>
      </c>
      <c r="C657" s="5">
        <f>IF($A657="","",IF($AP657&lt;&gt;"",INDEX(Raw_D1!$C$2:$C$1001,$AP657),IF($AR657&lt;&gt;"",INDEX(Raw_D3!$C$2:$C$1001,$AR657),"")))</f>
        <v>1</v>
      </c>
      <c r="D657" s="5">
        <f>IF($A657="","",IF($AP657&lt;&gt;"",INDEX(Raw_D1!$D$2:$D$1001,$AP657),IF($AR657&lt;&gt;"",INDEX(Raw_D3!$D$2:$D$1001,$AR657),"")))</f>
        <v>0</v>
      </c>
      <c r="E657" s="5">
        <f>IF($A657="","",IF($AP657&lt;&gt;"",INDEX(Raw_D1!$E$2:$E$1001,$AP657),IF($AR657&lt;&gt;"",INDEX(Raw_D3!$E$2:$E$1001,$AR657),"")))</f>
        <v>1</v>
      </c>
      <c r="F657" s="5">
        <f>IF($A657="","",IF($AP657&lt;&gt;"",INDEX(Raw_D1!$F$2:$F$1001,$AP657),IF($AR657&lt;&gt;"",INDEX(Raw_D3!$F$2:$F$1001,$AR657),"")))</f>
        <v>15</v>
      </c>
      <c r="G657" s="5">
        <f>IF($A657="","",IF($AP657&lt;&gt;"",IF(INDEX(Raw_D1!$G$2:$G$1001,$AP657),1,0),IF($AR657&lt;&gt;"",IF(INDEX(Raw_D3!$G$2:$G$1001,$AR657),1,0),"")))</f>
        <v>0</v>
      </c>
      <c r="H657" s="5">
        <f>IF($A657="","",IF($AP657&lt;&gt;"",INDEX(Raw_D1!$H$2:$H$1001,$AP657),IF($AR657&lt;&gt;"",INDEX(Raw_D3!$H$2:$H$1001,$AR657),"")))</f>
        <v>0</v>
      </c>
      <c r="I657" s="5">
        <f>IF($A657="","",IF($AP657&lt;&gt;"",INDEX(Raw_D1!$I$2:$I$1001,$AP657),IF($AR657&lt;&gt;"",INDEX(Raw_D3!$I$2:$I$1001,$AR657),"")))</f>
        <v>1</v>
      </c>
      <c r="J657" s="16">
        <f>IF($A657="","",IF($AP657&lt;&gt;"",INDEX(Raw_D1!$J$2:$J$1001,$AP657),IF($AR657&lt;&gt;"",INDEX(Raw_D3!$J$2:$J$1001,$AR657),"")))</f>
        <v>0.3</v>
      </c>
      <c r="K657" s="17">
        <f>IF($A657="","",IF($AQ657&lt;&gt;"",IF(INDEX(Raw_D2!$C$2:$C$1001,$AQ657)="","",INDEX(Raw_D2!$C$2:$C$1001,$AQ657)),IF($AR657&lt;&gt;"",IF(INDEX(Raw_D3!$K$2:$K$1001,$AR657)="","",INDEX(Raw_D3!$K$2:$K$1001,$AR657)),"")))</f>
        <v>0.3333</v>
      </c>
      <c r="L657" s="16">
        <f>IF($A657="","",IF($AQ657&lt;&gt;"",IF(INDEX(Raw_D2!$D$2:$D$1001,$AQ657)="","",INDEX(Raw_D2!$D$2:$D$1001,$AQ657)),IF($AR657&lt;&gt;"",IF(INDEX(Raw_D3!$L$2:$L$1001,$AR657)="","",INDEX(Raw_D3!$L$2:$L$1001,$AR657)),"")))</f>
        <v>0.56</v>
      </c>
      <c r="M657" s="17">
        <f>IF($A657="","",IF($AQ657&lt;&gt;"",IF(INDEX(Raw_D2!$E$2:$E$1001,$AQ657)="","",INDEX(Raw_D2!$E$2:$E$1001,$AQ657)),IF($AR657&lt;&gt;"",IF(INDEX(Raw_D3!$M$2:$M$1001,$AR657)="","",INDEX(Raw_D3!$M$2:$M$1001,$AR657)),"")))</f>
        <v>0</v>
      </c>
      <c r="N657" s="5">
        <f>IF($A657="","",IF($AQ657&lt;&gt;"",IF(INDEX(Raw_D2!$F$2:$F$1001,$AQ657)="","",INDEX(Raw_D2!$F$2:$F$1001,$AQ657)),IF($AR657&lt;&gt;"",IF(INDEX(Raw_D3!$N$2:$N$1001,$AR657)="","",INDEX(Raw_D3!$N$2:$N$1001,$AR657)),"")))</f>
        <v>14</v>
      </c>
      <c r="O657" s="5">
        <f>IF($A657="","",IF($AQ657&lt;&gt;"",IF(INDEX(Raw_D2!$G$2:$G$1001,$AQ657)="","",INDEX(Raw_D2!$G$2:$G$1001,$AQ657)),IF($AR657&lt;&gt;"",IF(INDEX(Raw_D3!$O$2:$O$1001,$AR657)="","",INDEX(Raw_D3!$O$2:$O$1001,$AR657)),"")))</f>
        <v>95</v>
      </c>
      <c r="P657" s="5">
        <f>IF($A657="","",IF($AQ657&lt;&gt;"",IF(INDEX(Raw_D2!$H$2:$H$1001,$AQ657)="","",INDEX(Raw_D2!$H$2:$H$1001,$AQ657)),IF($AR657&lt;&gt;"",IF(INDEX(Raw_D3!$P$2:$P$1001,$AR657)="","",INDEX(Raw_D3!$P$2:$P$1001,$AR657)),"")))</f>
        <v>109</v>
      </c>
      <c r="Q657" s="5" t="str">
        <f>IF($A657="","",IF(AND($AP657&lt;&gt;"",$AQ657&lt;&gt;""),"D1+D2",IF($AR657&lt;&gt;"","D3","Incomplete")))</f>
        <v>D3</v>
      </c>
      <c r="R657" s="17">
        <f>IF($A657="","",IF($K657="",IF($J657="","",ROUND(Lookups!$K$5+Lookups!$K$4*$J657,4)),$K657))</f>
        <v>0.3333</v>
      </c>
      <c r="S657" s="5" t="str">
        <f>IF($A657="","",IF($K657="","Imputed","Original"))</f>
        <v>Original</v>
      </c>
      <c r="T657" s="5" t="str">
        <f>IF($A657="","",IF($P657="","Missing",IF($P657=$N657+$O657,"OK","Mismatch")))</f>
        <v>OK</v>
      </c>
      <c r="U657" s="5" t="str">
        <f>IF($A657="","",IF(COUNTIF($A$2:$A657,$A657)&gt;1,"Duplicate","Unique"))</f>
        <v>Unique</v>
      </c>
      <c r="V657" s="5">
        <f>IF($A657="","",IF(AND($U657="Unique",ISNUMBER($P657)),1,0))</f>
        <v>1</v>
      </c>
      <c r="W657" s="5" t="str">
        <f>IF($A657="","",IF(OR($H657=0,$H657=6),"Weekend","Weekday"))</f>
        <v>Weekend</v>
      </c>
      <c r="X657" s="5" t="str">
        <f>IF($A657="","",TEXT($B657,"ddd"))</f>
        <v>Sun</v>
      </c>
      <c r="Y657" s="5" t="str">
        <f>IF($A657="","",TEXT($B657,"mmm"))</f>
        <v>Jan</v>
      </c>
      <c r="Z657" s="5" t="str">
        <f>IF($A657="","",IFERROR(VLOOKUP($C657,Lookups!$D$4:$E$7,2,FALSE),"Unknown"))</f>
        <v>Winter</v>
      </c>
      <c r="AA657" s="5" t="str">
        <f>IF($A657="","",IFERROR(VLOOKUP($I657,Lookups!$A$4:$B$7,2,FALSE),"Unknown"))</f>
        <v>Clear</v>
      </c>
      <c r="AB657" s="5" t="str">
        <f>IF($A657="","",TEXT($F657,"00")&amp;":00")</f>
        <v>15:00</v>
      </c>
      <c r="AC657" s="5" t="str">
        <f>IF($A657="","",VLOOKUP($F657,Lookups!$G$4:$H$8,2,TRUE))</f>
        <v>Midday (10-15)</v>
      </c>
      <c r="AD657" s="18">
        <f>IF($A657="","",IF($J657="","",ROUND($J657*41,1)))</f>
        <v>12.3</v>
      </c>
      <c r="AE657" s="18">
        <f>IF($A657="","",IF($R657="","",ROUND($R657*50,1)))</f>
        <v>16.7</v>
      </c>
      <c r="AF657" s="5">
        <f>IF($A657="","",IF($L657="","",ROUND($L657*100,0)))</f>
        <v>56</v>
      </c>
      <c r="AG657" s="18">
        <f>IF($A657="","",IF($M657="","",ROUND($M657*67,1)))</f>
        <v>0</v>
      </c>
      <c r="AH657" s="19">
        <f>IF($A657="","",IF($P657="","",IF($P657=0,0,$O657/$P657)))</f>
        <v>0.871559633027523</v>
      </c>
      <c r="AI657" s="5" t="str">
        <f>IF($A657="","",IF($P657="","",IF($P657&gt;=Lookups!$K$7,"High",IF($P657&lt;=Lookups!$K$8,"Low","Medium"))))</f>
        <v>High</v>
      </c>
      <c r="AJ657" s="5" t="str">
        <f>IF($A657="","",IF($AD657="","",IF($AD657&lt;5,"Under 5 C",IF($AD657&lt;10,"5-10 C",IF($AD657&lt;15,"10-15 C","15 C and above")))))</f>
        <v>10-15 C</v>
      </c>
      <c r="AK657" s="5">
        <f>IF($A657="","",IF($P657="","",$P657^2))</f>
        <v>11881</v>
      </c>
      <c r="AL657" s="18">
        <f>IF($V657&lt;&gt;1,"",AVERAGEIFS(Clean_Data!$P$2:$P$1001,Clean_Data!$F$2:$F$1001,$F657,Clean_Data!$W$2:$W$1001,$W657,Clean_Data!$V$2:$V$1001,1))</f>
        <v>112.071428571429</v>
      </c>
      <c r="AM657" s="16">
        <f>IF($V657&lt;&gt;1,"",IFERROR(($P657-$AL657)/SQRT(MAX(0,(SUMIFS(Clean_Data!$AK$2:$AK$1001,Clean_Data!$F$2:$F$1001,$F657,Clean_Data!$W$2:$W$1001,$W657,Clean_Data!$V$2:$V$1001,1)-COUNTIFS(Clean_Data!$F$2:$F$1001,$F657,Clean_Data!$W$2:$W$1001,$W657,Clean_Data!$V$2:$V$1001,1)*$AL657^2)/(COUNTIFS(Clean_Data!$F$2:$F$1001,$F657,Clean_Data!$W$2:$W$1001,$W657,Clean_Data!$V$2:$V$1001,1)-1))),""))</f>
        <v>-0.0794897836919571</v>
      </c>
      <c r="AN657" s="5" t="str">
        <f>IF($AM657="","",IF($AM657&gt;=Lookups!$K$6,"High spike",IF($AM657&lt;=-Lookups!$K$6,"Unusual low","Normal")))</f>
        <v>Normal</v>
      </c>
      <c r="AO657" s="20">
        <f>IF($V657&lt;&gt;1,"",$P657+ROW()/100000)</f>
        <v>109.00657</v>
      </c>
      <c r="AP657" s="5">
        <f>IF($A657="","",IFERROR(MATCH($A657,Raw_D1!$A$2:$A$1001,0),""))</f>
        <v/>
      </c>
      <c r="AQ657" s="5">
        <f>IF($A657="","",IFERROR(MATCH($A657,Raw_D2!$B$2:$B$1001,0),""))</f>
        <v/>
      </c>
      <c r="AR657" s="5">
        <f>IF($A657="","",IFERROR(MATCH($A657,Raw_D3!$A$2:$A$1001,0),""))</f>
        <v>37</v>
      </c>
    </row>
    <row r="658" spans="1:44" x14ac:dyDescent="0.25">
      <c r="A658" s="5">
        <v>657</v>
      </c>
      <c r="B658" s="11">
        <f>IF($A658="","",IF($AP658&lt;&gt;"",INDEX(Raw_D1!$B$2:$B$1001,$AP658),IF($AR658&lt;&gt;"",INDEX(Raw_D3!$B$2:$B$1001,$AR658),"")))</f>
        <v>40573.0</v>
      </c>
      <c r="C658" s="5">
        <f>IF($A658="","",IF($AP658&lt;&gt;"",INDEX(Raw_D1!$C$2:$C$1001,$AP658),IF($AR658&lt;&gt;"",INDEX(Raw_D3!$C$2:$C$1001,$AR658),"")))</f>
        <v>1</v>
      </c>
      <c r="D658" s="5">
        <f>IF($A658="","",IF($AP658&lt;&gt;"",INDEX(Raw_D1!$D$2:$D$1001,$AP658),IF($AR658&lt;&gt;"",INDEX(Raw_D3!$D$2:$D$1001,$AR658),"")))</f>
        <v>0</v>
      </c>
      <c r="E658" s="5">
        <f>IF($A658="","",IF($AP658&lt;&gt;"",INDEX(Raw_D1!$E$2:$E$1001,$AP658),IF($AR658&lt;&gt;"",INDEX(Raw_D3!$E$2:$E$1001,$AR658),"")))</f>
        <v>1</v>
      </c>
      <c r="F658" s="5">
        <f>IF($A658="","",IF($AP658&lt;&gt;"",INDEX(Raw_D1!$F$2:$F$1001,$AP658),IF($AR658&lt;&gt;"",INDEX(Raw_D3!$F$2:$F$1001,$AR658),"")))</f>
        <v>16</v>
      </c>
      <c r="G658" s="5">
        <f>IF($A658="","",IF($AP658&lt;&gt;"",IF(INDEX(Raw_D1!$G$2:$G$1001,$AP658),1,0),IF($AR658&lt;&gt;"",IF(INDEX(Raw_D3!$G$2:$G$1001,$AR658),1,0),"")))</f>
        <v>0</v>
      </c>
      <c r="H658" s="5">
        <f>IF($A658="","",IF($AP658&lt;&gt;"",INDEX(Raw_D1!$H$2:$H$1001,$AP658),IF($AR658&lt;&gt;"",INDEX(Raw_D3!$H$2:$H$1001,$AR658),"")))</f>
        <v>0</v>
      </c>
      <c r="I658" s="5">
        <f>IF($A658="","",IF($AP658&lt;&gt;"",INDEX(Raw_D1!$I$2:$I$1001,$AP658),IF($AR658&lt;&gt;"",INDEX(Raw_D3!$I$2:$I$1001,$AR658),"")))</f>
        <v>1</v>
      </c>
      <c r="J658" s="16">
        <f>IF($A658="","",IF($AP658&lt;&gt;"",INDEX(Raw_D1!$J$2:$J$1001,$AP658),IF($AR658&lt;&gt;"",INDEX(Raw_D3!$J$2:$J$1001,$AR658),"")))</f>
        <v>0.3</v>
      </c>
      <c r="K658" s="17">
        <f>IF($A658="","",IF($AQ658&lt;&gt;"",IF(INDEX(Raw_D2!$C$2:$C$1001,$AQ658)="","",INDEX(Raw_D2!$C$2:$C$1001,$AQ658)),IF($AR658&lt;&gt;"",IF(INDEX(Raw_D3!$K$2:$K$1001,$AR658)="","",INDEX(Raw_D3!$K$2:$K$1001,$AR658)),"")))</f>
        <v>0.3333</v>
      </c>
      <c r="L658" s="16">
        <f>IF($A658="","",IF($AQ658&lt;&gt;"",IF(INDEX(Raw_D2!$D$2:$D$1001,$AQ658)="","",INDEX(Raw_D2!$D$2:$D$1001,$AQ658)),IF($AR658&lt;&gt;"",IF(INDEX(Raw_D3!$L$2:$L$1001,$AR658)="","",INDEX(Raw_D3!$L$2:$L$1001,$AR658)),"")))</f>
        <v>0.56</v>
      </c>
      <c r="M658" s="17">
        <f>IF($A658="","",IF($AQ658&lt;&gt;"",IF(INDEX(Raw_D2!$E$2:$E$1001,$AQ658)="","",INDEX(Raw_D2!$E$2:$E$1001,$AQ658)),IF($AR658&lt;&gt;"",IF(INDEX(Raw_D3!$M$2:$M$1001,$AR658)="","",INDEX(Raw_D3!$M$2:$M$1001,$AR658)),"")))</f>
        <v>0</v>
      </c>
      <c r="N658" s="5">
        <f>IF($A658="","",IF($AQ658&lt;&gt;"",IF(INDEX(Raw_D2!$F$2:$F$1001,$AQ658)="","",INDEX(Raw_D2!$F$2:$F$1001,$AQ658)),IF($AR658&lt;&gt;"",IF(INDEX(Raw_D3!$N$2:$N$1001,$AR658)="","",INDEX(Raw_D3!$N$2:$N$1001,$AR658)),"")))</f>
        <v>19</v>
      </c>
      <c r="O658" s="5">
        <f>IF($A658="","",IF($AQ658&lt;&gt;"",IF(INDEX(Raw_D2!$G$2:$G$1001,$AQ658)="","",INDEX(Raw_D2!$G$2:$G$1001,$AQ658)),IF($AR658&lt;&gt;"",IF(INDEX(Raw_D3!$O$2:$O$1001,$AR658)="","",INDEX(Raw_D3!$O$2:$O$1001,$AR658)),"")))</f>
        <v>104</v>
      </c>
      <c r="P658" s="5">
        <f>IF($A658="","",IF($AQ658&lt;&gt;"",IF(INDEX(Raw_D2!$H$2:$H$1001,$AQ658)="","",INDEX(Raw_D2!$H$2:$H$1001,$AQ658)),IF($AR658&lt;&gt;"",IF(INDEX(Raw_D3!$P$2:$P$1001,$AR658)="","",INDEX(Raw_D3!$P$2:$P$1001,$AR658)),"")))</f>
        <v>123</v>
      </c>
      <c r="Q658" s="5" t="str">
        <f>IF($A658="","",IF(AND($AP658&lt;&gt;"",$AQ658&lt;&gt;""),"D1+D2",IF($AR658&lt;&gt;"","D3","Incomplete")))</f>
        <v>D3</v>
      </c>
      <c r="R658" s="17">
        <f>IF($A658="","",IF($K658="",IF($J658="","",ROUND(Lookups!$K$5+Lookups!$K$4*$J658,4)),$K658))</f>
        <v>0.3333</v>
      </c>
      <c r="S658" s="5" t="str">
        <f>IF($A658="","",IF($K658="","Imputed","Original"))</f>
        <v>Original</v>
      </c>
      <c r="T658" s="5" t="str">
        <f>IF($A658="","",IF($P658="","Missing",IF($P658=$N658+$O658,"OK","Mismatch")))</f>
        <v>OK</v>
      </c>
      <c r="U658" s="5" t="str">
        <f>IF($A658="","",IF(COUNTIF($A$2:$A658,$A658)&gt;1,"Duplicate","Unique"))</f>
        <v>Unique</v>
      </c>
      <c r="V658" s="5">
        <f>IF($A658="","",IF(AND($U658="Unique",ISNUMBER($P658)),1,0))</f>
        <v>1</v>
      </c>
      <c r="W658" s="5" t="str">
        <f>IF($A658="","",IF(OR($H658=0,$H658=6),"Weekend","Weekday"))</f>
        <v>Weekend</v>
      </c>
      <c r="X658" s="5" t="str">
        <f>IF($A658="","",TEXT($B658,"ddd"))</f>
        <v>Sun</v>
      </c>
      <c r="Y658" s="5" t="str">
        <f>IF($A658="","",TEXT($B658,"mmm"))</f>
        <v>Jan</v>
      </c>
      <c r="Z658" s="5" t="str">
        <f>IF($A658="","",IFERROR(VLOOKUP($C658,Lookups!$D$4:$E$7,2,FALSE),"Unknown"))</f>
        <v>Winter</v>
      </c>
      <c r="AA658" s="5" t="str">
        <f>IF($A658="","",IFERROR(VLOOKUP($I658,Lookups!$A$4:$B$7,2,FALSE),"Unknown"))</f>
        <v>Clear</v>
      </c>
      <c r="AB658" s="5" t="str">
        <f>IF($A658="","",TEXT($F658,"00")&amp;":00")</f>
        <v>16:00</v>
      </c>
      <c r="AC658" s="5" t="str">
        <f>IF($A658="","",VLOOKUP($F658,Lookups!$G$4:$H$8,2,TRUE))</f>
        <v>Evening Peak (16-19)</v>
      </c>
      <c r="AD658" s="18">
        <f>IF($A658="","",IF($J658="","",ROUND($J658*41,1)))</f>
        <v>12.3</v>
      </c>
      <c r="AE658" s="18">
        <f>IF($A658="","",IF($R658="","",ROUND($R658*50,1)))</f>
        <v>16.7</v>
      </c>
      <c r="AF658" s="5">
        <f>IF($A658="","",IF($L658="","",ROUND($L658*100,0)))</f>
        <v>56</v>
      </c>
      <c r="AG658" s="18">
        <f>IF($A658="","",IF($M658="","",ROUND($M658*67,1)))</f>
        <v>0</v>
      </c>
      <c r="AH658" s="19">
        <f>IF($A658="","",IF($P658="","",IF($P658=0,0,$O658/$P658)))</f>
        <v>0.845528455284553</v>
      </c>
      <c r="AI658" s="5" t="str">
        <f>IF($A658="","",IF($P658="","",IF($P658&gt;=Lookups!$K$7,"High",IF($P658&lt;=Lookups!$K$8,"Low","Medium"))))</f>
        <v>High</v>
      </c>
      <c r="AJ658" s="5" t="str">
        <f>IF($A658="","",IF($AD658="","",IF($AD658&lt;5,"Under 5 C",IF($AD658&lt;10,"5-10 C",IF($AD658&lt;15,"10-15 C","15 C and above")))))</f>
        <v>10-15 C</v>
      </c>
      <c r="AK658" s="5">
        <f>IF($A658="","",IF($P658="","",$P658^2))</f>
        <v>15129</v>
      </c>
      <c r="AL658" s="18">
        <f>IF($V658&lt;&gt;1,"",AVERAGEIFS(Clean_Data!$P$2:$P$1001,Clean_Data!$F$2:$F$1001,$F658,Clean_Data!$W$2:$W$1001,$W658,Clean_Data!$V$2:$V$1001,1))</f>
        <v>103.5</v>
      </c>
      <c r="AM658" s="16">
        <f>IF($V658&lt;&gt;1,"",IFERROR(($P658-$AL658)/SQRT(MAX(0,(SUMIFS(Clean_Data!$AK$2:$AK$1001,Clean_Data!$F$2:$F$1001,$F658,Clean_Data!$W$2:$W$1001,$W658,Clean_Data!$V$2:$V$1001,1)-COUNTIFS(Clean_Data!$F$2:$F$1001,$F658,Clean_Data!$W$2:$W$1001,$W658,Clean_Data!$V$2:$V$1001,1)*$AL658^2)/(COUNTIFS(Clean_Data!$F$2:$F$1001,$F658,Clean_Data!$W$2:$W$1001,$W658,Clean_Data!$V$2:$V$1001,1)-1))),""))</f>
        <v>0.663123097274182</v>
      </c>
      <c r="AN658" s="5" t="str">
        <f>IF($AM658="","",IF($AM658&gt;=Lookups!$K$6,"High spike",IF($AM658&lt;=-Lookups!$K$6,"Unusual low","Normal")))</f>
        <v>Normal</v>
      </c>
      <c r="AO658" s="20">
        <f>IF($V658&lt;&gt;1,"",$P658+ROW()/100000)</f>
        <v>123.00658</v>
      </c>
      <c r="AP658" s="5">
        <f>IF($A658="","",IFERROR(MATCH($A658,Raw_D1!$A$2:$A$1001,0),""))</f>
        <v/>
      </c>
      <c r="AQ658" s="5">
        <f>IF($A658="","",IFERROR(MATCH($A658,Raw_D2!$B$2:$B$1001,0),""))</f>
        <v/>
      </c>
      <c r="AR658" s="5">
        <f>IF($A658="","",IFERROR(MATCH($A658,Raw_D3!$A$2:$A$1001,0),""))</f>
        <v>38</v>
      </c>
    </row>
    <row r="659" spans="1:44" x14ac:dyDescent="0.25">
      <c r="A659" s="5">
        <v>658</v>
      </c>
      <c r="B659" s="11">
        <f>IF($A659="","",IF($AP659&lt;&gt;"",INDEX(Raw_D1!$B$2:$B$1001,$AP659),IF($AR659&lt;&gt;"",INDEX(Raw_D3!$B$2:$B$1001,$AR659),"")))</f>
        <v>40573.0</v>
      </c>
      <c r="C659" s="5">
        <f>IF($A659="","",IF($AP659&lt;&gt;"",INDEX(Raw_D1!$C$2:$C$1001,$AP659),IF($AR659&lt;&gt;"",INDEX(Raw_D3!$C$2:$C$1001,$AR659),"")))</f>
        <v>1</v>
      </c>
      <c r="D659" s="5">
        <f>IF($A659="","",IF($AP659&lt;&gt;"",INDEX(Raw_D1!$D$2:$D$1001,$AP659),IF($AR659&lt;&gt;"",INDEX(Raw_D3!$D$2:$D$1001,$AR659),"")))</f>
        <v>0</v>
      </c>
      <c r="E659" s="5">
        <f>IF($A659="","",IF($AP659&lt;&gt;"",INDEX(Raw_D1!$E$2:$E$1001,$AP659),IF($AR659&lt;&gt;"",INDEX(Raw_D3!$E$2:$E$1001,$AR659),"")))</f>
        <v>1</v>
      </c>
      <c r="F659" s="5">
        <f>IF($A659="","",IF($AP659&lt;&gt;"",INDEX(Raw_D1!$F$2:$F$1001,$AP659),IF($AR659&lt;&gt;"",INDEX(Raw_D3!$F$2:$F$1001,$AR659),"")))</f>
        <v>17</v>
      </c>
      <c r="G659" s="5">
        <f>IF($A659="","",IF($AP659&lt;&gt;"",IF(INDEX(Raw_D1!$G$2:$G$1001,$AP659),1,0),IF($AR659&lt;&gt;"",IF(INDEX(Raw_D3!$G$2:$G$1001,$AR659),1,0),"")))</f>
        <v>0</v>
      </c>
      <c r="H659" s="5">
        <f>IF($A659="","",IF($AP659&lt;&gt;"",INDEX(Raw_D1!$H$2:$H$1001,$AP659),IF($AR659&lt;&gt;"",INDEX(Raw_D3!$H$2:$H$1001,$AR659),"")))</f>
        <v>0</v>
      </c>
      <c r="I659" s="5">
        <f>IF($A659="","",IF($AP659&lt;&gt;"",INDEX(Raw_D1!$I$2:$I$1001,$AP659),IF($AR659&lt;&gt;"",INDEX(Raw_D3!$I$2:$I$1001,$AR659),"")))</f>
        <v>1</v>
      </c>
      <c r="J659" s="16">
        <f>IF($A659="","",IF($AP659&lt;&gt;"",INDEX(Raw_D1!$J$2:$J$1001,$AP659),IF($AR659&lt;&gt;"",INDEX(Raw_D3!$J$2:$J$1001,$AR659),"")))</f>
        <v>0.3</v>
      </c>
      <c r="K659" s="17">
        <f>IF($A659="","",IF($AQ659&lt;&gt;"",IF(INDEX(Raw_D2!$C$2:$C$1001,$AQ659)="","",INDEX(Raw_D2!$C$2:$C$1001,$AQ659)),IF($AR659&lt;&gt;"",IF(INDEX(Raw_D3!$K$2:$K$1001,$AR659)="","",INDEX(Raw_D3!$K$2:$K$1001,$AR659)),"")))</f>
        <v>0.2879</v>
      </c>
      <c r="L659" s="16">
        <f>IF($A659="","",IF($AQ659&lt;&gt;"",IF(INDEX(Raw_D2!$D$2:$D$1001,$AQ659)="","",INDEX(Raw_D2!$D$2:$D$1001,$AQ659)),IF($AR659&lt;&gt;"",IF(INDEX(Raw_D3!$L$2:$L$1001,$AR659)="","",INDEX(Raw_D3!$L$2:$L$1001,$AR659)),"")))</f>
        <v>0.56</v>
      </c>
      <c r="M659" s="17">
        <f>IF($A659="","",IF($AQ659&lt;&gt;"",IF(INDEX(Raw_D2!$E$2:$E$1001,$AQ659)="","",INDEX(Raw_D2!$E$2:$E$1001,$AQ659)),IF($AR659&lt;&gt;"",IF(INDEX(Raw_D3!$M$2:$M$1001,$AR659)="","",INDEX(Raw_D3!$M$2:$M$1001,$AR659)),"")))</f>
        <v>0.194</v>
      </c>
      <c r="N659" s="5">
        <f>IF($A659="","",IF($AQ659&lt;&gt;"",IF(INDEX(Raw_D2!$F$2:$F$1001,$AQ659)="","",INDEX(Raw_D2!$F$2:$F$1001,$AQ659)),IF($AR659&lt;&gt;"",IF(INDEX(Raw_D3!$N$2:$N$1001,$AR659)="","",INDEX(Raw_D3!$N$2:$N$1001,$AR659)),"")))</f>
        <v>6</v>
      </c>
      <c r="O659" s="5">
        <f>IF($A659="","",IF($AQ659&lt;&gt;"",IF(INDEX(Raw_D2!$G$2:$G$1001,$AQ659)="","",INDEX(Raw_D2!$G$2:$G$1001,$AQ659)),IF($AR659&lt;&gt;"",IF(INDEX(Raw_D3!$O$2:$O$1001,$AR659)="","",INDEX(Raw_D3!$O$2:$O$1001,$AR659)),"")))</f>
        <v>71</v>
      </c>
      <c r="P659" s="5">
        <f>IF($A659="","",IF($AQ659&lt;&gt;"",IF(INDEX(Raw_D2!$H$2:$H$1001,$AQ659)="","",INDEX(Raw_D2!$H$2:$H$1001,$AQ659)),IF($AR659&lt;&gt;"",IF(INDEX(Raw_D3!$P$2:$P$1001,$AR659)="","",INDEX(Raw_D3!$P$2:$P$1001,$AR659)),"")))</f>
        <v>77</v>
      </c>
      <c r="Q659" s="5" t="str">
        <f>IF($A659="","",IF(AND($AP659&lt;&gt;"",$AQ659&lt;&gt;""),"D1+D2",IF($AR659&lt;&gt;"","D3","Incomplete")))</f>
        <v>D3</v>
      </c>
      <c r="R659" s="17">
        <f>IF($A659="","",IF($K659="",IF($J659="","",ROUND(Lookups!$K$5+Lookups!$K$4*$J659,4)),$K659))</f>
        <v>0.2879</v>
      </c>
      <c r="S659" s="5" t="str">
        <f>IF($A659="","",IF($K659="","Imputed","Original"))</f>
        <v>Original</v>
      </c>
      <c r="T659" s="5" t="str">
        <f>IF($A659="","",IF($P659="","Missing",IF($P659=$N659+$O659,"OK","Mismatch")))</f>
        <v>OK</v>
      </c>
      <c r="U659" s="5" t="str">
        <f>IF($A659="","",IF(COUNTIF($A$2:$A659,$A659)&gt;1,"Duplicate","Unique"))</f>
        <v>Unique</v>
      </c>
      <c r="V659" s="5">
        <f>IF($A659="","",IF(AND($U659="Unique",ISNUMBER($P659)),1,0))</f>
        <v>1</v>
      </c>
      <c r="W659" s="5" t="str">
        <f>IF($A659="","",IF(OR($H659=0,$H659=6),"Weekend","Weekday"))</f>
        <v>Weekend</v>
      </c>
      <c r="X659" s="5" t="str">
        <f>IF($A659="","",TEXT($B659,"ddd"))</f>
        <v>Sun</v>
      </c>
      <c r="Y659" s="5" t="str">
        <f>IF($A659="","",TEXT($B659,"mmm"))</f>
        <v>Jan</v>
      </c>
      <c r="Z659" s="5" t="str">
        <f>IF($A659="","",IFERROR(VLOOKUP($C659,Lookups!$D$4:$E$7,2,FALSE),"Unknown"))</f>
        <v>Winter</v>
      </c>
      <c r="AA659" s="5" t="str">
        <f>IF($A659="","",IFERROR(VLOOKUP($I659,Lookups!$A$4:$B$7,2,FALSE),"Unknown"))</f>
        <v>Clear</v>
      </c>
      <c r="AB659" s="5" t="str">
        <f>IF($A659="","",TEXT($F659,"00")&amp;":00")</f>
        <v>17:00</v>
      </c>
      <c r="AC659" s="5" t="str">
        <f>IF($A659="","",VLOOKUP($F659,Lookups!$G$4:$H$8,2,TRUE))</f>
        <v>Evening Peak (16-19)</v>
      </c>
      <c r="AD659" s="18">
        <f>IF($A659="","",IF($J659="","",ROUND($J659*41,1)))</f>
        <v>12.3</v>
      </c>
      <c r="AE659" s="18">
        <f>IF($A659="","",IF($R659="","",ROUND($R659*50,1)))</f>
        <v>14.4</v>
      </c>
      <c r="AF659" s="5">
        <f>IF($A659="","",IF($L659="","",ROUND($L659*100,0)))</f>
        <v>56</v>
      </c>
      <c r="AG659" s="18">
        <f>IF($A659="","",IF($M659="","",ROUND($M659*67,1)))</f>
        <v>13</v>
      </c>
      <c r="AH659" s="19">
        <f>IF($A659="","",IF($P659="","",IF($P659=0,0,$O659/$P659)))</f>
        <v>0.922077922077922</v>
      </c>
      <c r="AI659" s="5" t="str">
        <f>IF($A659="","",IF($P659="","",IF($P659&gt;=Lookups!$K$7,"High",IF($P659&lt;=Lookups!$K$8,"Low","Medium"))))</f>
        <v>Medium</v>
      </c>
      <c r="AJ659" s="5" t="str">
        <f>IF($A659="","",IF($AD659="","",IF($AD659&lt;5,"Under 5 C",IF($AD659&lt;10,"5-10 C",IF($AD659&lt;15,"10-15 C","15 C and above")))))</f>
        <v>10-15 C</v>
      </c>
      <c r="AK659" s="5">
        <f>IF($A659="","",IF($P659="","",$P659^2))</f>
        <v>5929</v>
      </c>
      <c r="AL659" s="18">
        <f>IF($V659&lt;&gt;1,"",AVERAGEIFS(Clean_Data!$P$2:$P$1001,Clean_Data!$F$2:$F$1001,$F659,Clean_Data!$W$2:$W$1001,$W659,Clean_Data!$V$2:$V$1001,1))</f>
        <v>85.8571428571429</v>
      </c>
      <c r="AM659" s="16">
        <f>IF($V659&lt;&gt;1,"",IFERROR(($P659-$AL659)/SQRT(MAX(0,(SUMIFS(Clean_Data!$AK$2:$AK$1001,Clean_Data!$F$2:$F$1001,$F659,Clean_Data!$W$2:$W$1001,$W659,Clean_Data!$V$2:$V$1001,1)-COUNTIFS(Clean_Data!$F$2:$F$1001,$F659,Clean_Data!$W$2:$W$1001,$W659,Clean_Data!$V$2:$V$1001,1)*$AL659^2)/(COUNTIFS(Clean_Data!$F$2:$F$1001,$F659,Clean_Data!$W$2:$W$1001,$W659,Clean_Data!$V$2:$V$1001,1)-1))),""))</f>
        <v>-0.338971877496373</v>
      </c>
      <c r="AN659" s="5" t="str">
        <f>IF($AM659="","",IF($AM659&gt;=Lookups!$K$6,"High spike",IF($AM659&lt;=-Lookups!$K$6,"Unusual low","Normal")))</f>
        <v>Normal</v>
      </c>
      <c r="AO659" s="20">
        <f>IF($V659&lt;&gt;1,"",$P659+ROW()/100000)</f>
        <v>77.00659</v>
      </c>
      <c r="AP659" s="5">
        <f>IF($A659="","",IFERROR(MATCH($A659,Raw_D1!$A$2:$A$1001,0),""))</f>
        <v/>
      </c>
      <c r="AQ659" s="5">
        <f>IF($A659="","",IFERROR(MATCH($A659,Raw_D2!$B$2:$B$1001,0),""))</f>
        <v/>
      </c>
      <c r="AR659" s="5">
        <f>IF($A659="","",IFERROR(MATCH($A659,Raw_D3!$A$2:$A$1001,0),""))</f>
        <v>39</v>
      </c>
    </row>
    <row r="660" spans="1:44" x14ac:dyDescent="0.25">
      <c r="A660" s="5">
        <v>659</v>
      </c>
      <c r="B660" s="11">
        <f>IF($A660="","",IF($AP660&lt;&gt;"",INDEX(Raw_D1!$B$2:$B$1001,$AP660),IF($AR660&lt;&gt;"",INDEX(Raw_D3!$B$2:$B$1001,$AR660),"")))</f>
        <v>40573.0</v>
      </c>
      <c r="C660" s="5">
        <f>IF($A660="","",IF($AP660&lt;&gt;"",INDEX(Raw_D1!$C$2:$C$1001,$AP660),IF($AR660&lt;&gt;"",INDEX(Raw_D3!$C$2:$C$1001,$AR660),"")))</f>
        <v>1</v>
      </c>
      <c r="D660" s="5">
        <f>IF($A660="","",IF($AP660&lt;&gt;"",INDEX(Raw_D1!$D$2:$D$1001,$AP660),IF($AR660&lt;&gt;"",INDEX(Raw_D3!$D$2:$D$1001,$AR660),"")))</f>
        <v>0</v>
      </c>
      <c r="E660" s="5">
        <f>IF($A660="","",IF($AP660&lt;&gt;"",INDEX(Raw_D1!$E$2:$E$1001,$AP660),IF($AR660&lt;&gt;"",INDEX(Raw_D3!$E$2:$E$1001,$AR660),"")))</f>
        <v>1</v>
      </c>
      <c r="F660" s="5">
        <f>IF($A660="","",IF($AP660&lt;&gt;"",INDEX(Raw_D1!$F$2:$F$1001,$AP660),IF($AR660&lt;&gt;"",INDEX(Raw_D3!$F$2:$F$1001,$AR660),"")))</f>
        <v>18</v>
      </c>
      <c r="G660" s="5">
        <f>IF($A660="","",IF($AP660&lt;&gt;"",IF(INDEX(Raw_D1!$G$2:$G$1001,$AP660),1,0),IF($AR660&lt;&gt;"",IF(INDEX(Raw_D3!$G$2:$G$1001,$AR660),1,0),"")))</f>
        <v>0</v>
      </c>
      <c r="H660" s="5">
        <f>IF($A660="","",IF($AP660&lt;&gt;"",INDEX(Raw_D1!$H$2:$H$1001,$AP660),IF($AR660&lt;&gt;"",INDEX(Raw_D3!$H$2:$H$1001,$AR660),"")))</f>
        <v>0</v>
      </c>
      <c r="I660" s="5">
        <f>IF($A660="","",IF($AP660&lt;&gt;"",INDEX(Raw_D1!$I$2:$I$1001,$AP660),IF($AR660&lt;&gt;"",INDEX(Raw_D3!$I$2:$I$1001,$AR660),"")))</f>
        <v>1</v>
      </c>
      <c r="J660" s="16">
        <f>IF($A660="","",IF($AP660&lt;&gt;"",INDEX(Raw_D1!$J$2:$J$1001,$AP660),IF($AR660&lt;&gt;"",INDEX(Raw_D3!$J$2:$J$1001,$AR660),"")))</f>
        <v>0.26</v>
      </c>
      <c r="K660" s="17">
        <f>IF($A660="","",IF($AQ660&lt;&gt;"",IF(INDEX(Raw_D2!$C$2:$C$1001,$AQ660)="","",INDEX(Raw_D2!$C$2:$C$1001,$AQ660)),IF($AR660&lt;&gt;"",IF(INDEX(Raw_D3!$K$2:$K$1001,$AR660)="","",INDEX(Raw_D3!$K$2:$K$1001,$AR660)),"")))</f>
        <v>0.2576</v>
      </c>
      <c r="L660" s="16">
        <f>IF($A660="","",IF($AQ660&lt;&gt;"",IF(INDEX(Raw_D2!$D$2:$D$1001,$AQ660)="","",INDEX(Raw_D2!$D$2:$D$1001,$AQ660)),IF($AR660&lt;&gt;"",IF(INDEX(Raw_D3!$L$2:$L$1001,$AR660)="","",INDEX(Raw_D3!$L$2:$L$1001,$AR660)),"")))</f>
        <v>0.65</v>
      </c>
      <c r="M660" s="17">
        <f>IF($A660="","",IF($AQ660&lt;&gt;"",IF(INDEX(Raw_D2!$E$2:$E$1001,$AQ660)="","",INDEX(Raw_D2!$E$2:$E$1001,$AQ660)),IF($AR660&lt;&gt;"",IF(INDEX(Raw_D3!$M$2:$M$1001,$AR660)="","",INDEX(Raw_D3!$M$2:$M$1001,$AR660)),"")))</f>
        <v>0.1642</v>
      </c>
      <c r="N660" s="5">
        <f>IF($A660="","",IF($AQ660&lt;&gt;"",IF(INDEX(Raw_D2!$F$2:$F$1001,$AQ660)="","",INDEX(Raw_D2!$F$2:$F$1001,$AQ660)),IF($AR660&lt;&gt;"",IF(INDEX(Raw_D3!$N$2:$N$1001,$AR660)="","",INDEX(Raw_D3!$N$2:$N$1001,$AR660)),"")))</f>
        <v>8</v>
      </c>
      <c r="O660" s="5">
        <f>IF($A660="","",IF($AQ660&lt;&gt;"",IF(INDEX(Raw_D2!$G$2:$G$1001,$AQ660)="","",INDEX(Raw_D2!$G$2:$G$1001,$AQ660)),IF($AR660&lt;&gt;"",IF(INDEX(Raw_D3!$O$2:$O$1001,$AR660)="","",INDEX(Raw_D3!$O$2:$O$1001,$AR660)),"")))</f>
        <v>57</v>
      </c>
      <c r="P660" s="5">
        <f>IF($A660="","",IF($AQ660&lt;&gt;"",IF(INDEX(Raw_D2!$H$2:$H$1001,$AQ660)="","",INDEX(Raw_D2!$H$2:$H$1001,$AQ660)),IF($AR660&lt;&gt;"",IF(INDEX(Raw_D3!$P$2:$P$1001,$AR660)="","",INDEX(Raw_D3!$P$2:$P$1001,$AR660)),"")))</f>
        <v>65</v>
      </c>
      <c r="Q660" s="5" t="str">
        <f>IF($A660="","",IF(AND($AP660&lt;&gt;"",$AQ660&lt;&gt;""),"D1+D2",IF($AR660&lt;&gt;"","D3","Incomplete")))</f>
        <v>D3</v>
      </c>
      <c r="R660" s="17">
        <f>IF($A660="","",IF($K660="",IF($J660="","",ROUND(Lookups!$K$5+Lookups!$K$4*$J660,4)),$K660))</f>
        <v>0.2576</v>
      </c>
      <c r="S660" s="5" t="str">
        <f>IF($A660="","",IF($K660="","Imputed","Original"))</f>
        <v>Original</v>
      </c>
      <c r="T660" s="5" t="str">
        <f>IF($A660="","",IF($P660="","Missing",IF($P660=$N660+$O660,"OK","Mismatch")))</f>
        <v>OK</v>
      </c>
      <c r="U660" s="5" t="str">
        <f>IF($A660="","",IF(COUNTIF($A$2:$A660,$A660)&gt;1,"Duplicate","Unique"))</f>
        <v>Unique</v>
      </c>
      <c r="V660" s="5">
        <f>IF($A660="","",IF(AND($U660="Unique",ISNUMBER($P660)),1,0))</f>
        <v>1</v>
      </c>
      <c r="W660" s="5" t="str">
        <f>IF($A660="","",IF(OR($H660=0,$H660=6),"Weekend","Weekday"))</f>
        <v>Weekend</v>
      </c>
      <c r="X660" s="5" t="str">
        <f>IF($A660="","",TEXT($B660,"ddd"))</f>
        <v>Sun</v>
      </c>
      <c r="Y660" s="5" t="str">
        <f>IF($A660="","",TEXT($B660,"mmm"))</f>
        <v>Jan</v>
      </c>
      <c r="Z660" s="5" t="str">
        <f>IF($A660="","",IFERROR(VLOOKUP($C660,Lookups!$D$4:$E$7,2,FALSE),"Unknown"))</f>
        <v>Winter</v>
      </c>
      <c r="AA660" s="5" t="str">
        <f>IF($A660="","",IFERROR(VLOOKUP($I660,Lookups!$A$4:$B$7,2,FALSE),"Unknown"))</f>
        <v>Clear</v>
      </c>
      <c r="AB660" s="5" t="str">
        <f>IF($A660="","",TEXT($F660,"00")&amp;":00")</f>
        <v>18:00</v>
      </c>
      <c r="AC660" s="5" t="str">
        <f>IF($A660="","",VLOOKUP($F660,Lookups!$G$4:$H$8,2,TRUE))</f>
        <v>Evening Peak (16-19)</v>
      </c>
      <c r="AD660" s="18">
        <f>IF($A660="","",IF($J660="","",ROUND($J660*41,1)))</f>
        <v>10.7</v>
      </c>
      <c r="AE660" s="18">
        <f>IF($A660="","",IF($R660="","",ROUND($R660*50,1)))</f>
        <v>12.9</v>
      </c>
      <c r="AF660" s="5">
        <f>IF($A660="","",IF($L660="","",ROUND($L660*100,0)))</f>
        <v>65</v>
      </c>
      <c r="AG660" s="18">
        <f>IF($A660="","",IF($M660="","",ROUND($M660*67,1)))</f>
        <v>11</v>
      </c>
      <c r="AH660" s="19">
        <f>IF($A660="","",IF($P660="","",IF($P660=0,0,$O660/$P660)))</f>
        <v>0.876923076923077</v>
      </c>
      <c r="AI660" s="5" t="str">
        <f>IF($A660="","",IF($P660="","",IF($P660&gt;=Lookups!$K$7,"High",IF($P660&lt;=Lookups!$K$8,"Low","Medium"))))</f>
        <v>Medium</v>
      </c>
      <c r="AJ660" s="5" t="str">
        <f>IF($A660="","",IF($AD660="","",IF($AD660&lt;5,"Under 5 C",IF($AD660&lt;10,"5-10 C",IF($AD660&lt;15,"10-15 C","15 C and above")))))</f>
        <v>10-15 C</v>
      </c>
      <c r="AK660" s="5">
        <f>IF($A660="","",IF($P660="","",$P660^2))</f>
        <v>4225</v>
      </c>
      <c r="AL660" s="18">
        <f>IF($V660&lt;&gt;1,"",AVERAGEIFS(Clean_Data!$P$2:$P$1001,Clean_Data!$F$2:$F$1001,$F660,Clean_Data!$W$2:$W$1001,$W660,Clean_Data!$V$2:$V$1001,1))</f>
        <v>64.1428571428571</v>
      </c>
      <c r="AM660" s="16">
        <f>IF($V660&lt;&gt;1,"",IFERROR(($P660-$AL660)/SQRT(MAX(0,(SUMIFS(Clean_Data!$AK$2:$AK$1001,Clean_Data!$F$2:$F$1001,$F660,Clean_Data!$W$2:$W$1001,$W660,Clean_Data!$V$2:$V$1001,1)-COUNTIFS(Clean_Data!$F$2:$F$1001,$F660,Clean_Data!$W$2:$W$1001,$W660,Clean_Data!$V$2:$V$1001,1)*$AL660^2)/(COUNTIFS(Clean_Data!$F$2:$F$1001,$F660,Clean_Data!$W$2:$W$1001,$W660,Clean_Data!$V$2:$V$1001,1)-1))),""))</f>
        <v>0.0517404084536193</v>
      </c>
      <c r="AN660" s="5" t="str">
        <f>IF($AM660="","",IF($AM660&gt;=Lookups!$K$6,"High spike",IF($AM660&lt;=-Lookups!$K$6,"Unusual low","Normal")))</f>
        <v>Normal</v>
      </c>
      <c r="AO660" s="20">
        <f>IF($V660&lt;&gt;1,"",$P660+ROW()/100000)</f>
        <v>65.0066</v>
      </c>
      <c r="AP660" s="5">
        <f>IF($A660="","",IFERROR(MATCH($A660,Raw_D1!$A$2:$A$1001,0),""))</f>
        <v/>
      </c>
      <c r="AQ660" s="5">
        <f>IF($A660="","",IFERROR(MATCH($A660,Raw_D2!$B$2:$B$1001,0),""))</f>
        <v/>
      </c>
      <c r="AR660" s="5">
        <f>IF($A660="","",IFERROR(MATCH($A660,Raw_D3!$A$2:$A$1001,0),""))</f>
        <v>40</v>
      </c>
    </row>
    <row r="661" spans="1:44" x14ac:dyDescent="0.25">
      <c r="A661" s="5">
        <v>660</v>
      </c>
      <c r="B661" s="11">
        <f>IF($A661="","",IF($AP661&lt;&gt;"",INDEX(Raw_D1!$B$2:$B$1001,$AP661),IF($AR661&lt;&gt;"",INDEX(Raw_D3!$B$2:$B$1001,$AR661),"")))</f>
        <v>40573.0</v>
      </c>
      <c r="C661" s="5">
        <f>IF($A661="","",IF($AP661&lt;&gt;"",INDEX(Raw_D1!$C$2:$C$1001,$AP661),IF($AR661&lt;&gt;"",INDEX(Raw_D3!$C$2:$C$1001,$AR661),"")))</f>
        <v>1</v>
      </c>
      <c r="D661" s="5">
        <f>IF($A661="","",IF($AP661&lt;&gt;"",INDEX(Raw_D1!$D$2:$D$1001,$AP661),IF($AR661&lt;&gt;"",INDEX(Raw_D3!$D$2:$D$1001,$AR661),"")))</f>
        <v>0</v>
      </c>
      <c r="E661" s="5">
        <f>IF($A661="","",IF($AP661&lt;&gt;"",INDEX(Raw_D1!$E$2:$E$1001,$AP661),IF($AR661&lt;&gt;"",INDEX(Raw_D3!$E$2:$E$1001,$AR661),"")))</f>
        <v>1</v>
      </c>
      <c r="F661" s="5">
        <f>IF($A661="","",IF($AP661&lt;&gt;"",INDEX(Raw_D1!$F$2:$F$1001,$AP661),IF($AR661&lt;&gt;"",INDEX(Raw_D3!$F$2:$F$1001,$AR661),"")))</f>
        <v>19</v>
      </c>
      <c r="G661" s="5">
        <f>IF($A661="","",IF($AP661&lt;&gt;"",IF(INDEX(Raw_D1!$G$2:$G$1001,$AP661),1,0),IF($AR661&lt;&gt;"",IF(INDEX(Raw_D3!$G$2:$G$1001,$AR661),1,0),"")))</f>
        <v>0</v>
      </c>
      <c r="H661" s="5">
        <f>IF($A661="","",IF($AP661&lt;&gt;"",INDEX(Raw_D1!$H$2:$H$1001,$AP661),IF($AR661&lt;&gt;"",INDEX(Raw_D3!$H$2:$H$1001,$AR661),"")))</f>
        <v>0</v>
      </c>
      <c r="I661" s="5">
        <f>IF($A661="","",IF($AP661&lt;&gt;"",INDEX(Raw_D1!$I$2:$I$1001,$AP661),IF($AR661&lt;&gt;"",INDEX(Raw_D3!$I$2:$I$1001,$AR661),"")))</f>
        <v>1</v>
      </c>
      <c r="J661" s="16">
        <f>IF($A661="","",IF($AP661&lt;&gt;"",INDEX(Raw_D1!$J$2:$J$1001,$AP661),IF($AR661&lt;&gt;"",INDEX(Raw_D3!$J$2:$J$1001,$AR661),"")))</f>
        <v>0.26</v>
      </c>
      <c r="K661" s="17">
        <f>IF($A661="","",IF($AQ661&lt;&gt;"",IF(INDEX(Raw_D2!$C$2:$C$1001,$AQ661)="","",INDEX(Raw_D2!$C$2:$C$1001,$AQ661)),IF($AR661&lt;&gt;"",IF(INDEX(Raw_D3!$K$2:$K$1001,$AR661)="","",INDEX(Raw_D3!$K$2:$K$1001,$AR661)),"")))</f>
        <v>0.2576</v>
      </c>
      <c r="L661" s="16">
        <f>IF($A661="","",IF($AQ661&lt;&gt;"",IF(INDEX(Raw_D2!$D$2:$D$1001,$AQ661)="","",INDEX(Raw_D2!$D$2:$D$1001,$AQ661)),IF($AR661&lt;&gt;"",IF(INDEX(Raw_D3!$L$2:$L$1001,$AR661)="","",INDEX(Raw_D3!$L$2:$L$1001,$AR661)),"")))</f>
        <v>0.65</v>
      </c>
      <c r="M661" s="17">
        <f>IF($A661="","",IF($AQ661&lt;&gt;"",IF(INDEX(Raw_D2!$E$2:$E$1001,$AQ661)="","",INDEX(Raw_D2!$E$2:$E$1001,$AQ661)),IF($AR661&lt;&gt;"",IF(INDEX(Raw_D3!$M$2:$M$1001,$AR661)="","",INDEX(Raw_D3!$M$2:$M$1001,$AR661)),"")))</f>
        <v>0.194</v>
      </c>
      <c r="N661" s="5">
        <f>IF($A661="","",IF($AQ661&lt;&gt;"",IF(INDEX(Raw_D2!$F$2:$F$1001,$AQ661)="","",INDEX(Raw_D2!$F$2:$F$1001,$AQ661)),IF($AR661&lt;&gt;"",IF(INDEX(Raw_D3!$N$2:$N$1001,$AR661)="","",INDEX(Raw_D3!$N$2:$N$1001,$AR661)),"")))</f>
        <v>9</v>
      </c>
      <c r="O661" s="5">
        <f>IF($A661="","",IF($AQ661&lt;&gt;"",IF(INDEX(Raw_D2!$G$2:$G$1001,$AQ661)="","",INDEX(Raw_D2!$G$2:$G$1001,$AQ661)),IF($AR661&lt;&gt;"",IF(INDEX(Raw_D3!$O$2:$O$1001,$AR661)="","",INDEX(Raw_D3!$O$2:$O$1001,$AR661)),"")))</f>
        <v>46</v>
      </c>
      <c r="P661" s="5">
        <f>IF($A661="","",IF($AQ661&lt;&gt;"",IF(INDEX(Raw_D2!$H$2:$H$1001,$AQ661)="","",INDEX(Raw_D2!$H$2:$H$1001,$AQ661)),IF($AR661&lt;&gt;"",IF(INDEX(Raw_D3!$P$2:$P$1001,$AR661)="","",INDEX(Raw_D3!$P$2:$P$1001,$AR661)),"")))</f>
        <v>55</v>
      </c>
      <c r="Q661" s="5" t="str">
        <f>IF($A661="","",IF(AND($AP661&lt;&gt;"",$AQ661&lt;&gt;""),"D1+D2",IF($AR661&lt;&gt;"","D3","Incomplete")))</f>
        <v>D3</v>
      </c>
      <c r="R661" s="17">
        <f>IF($A661="","",IF($K661="",IF($J661="","",ROUND(Lookups!$K$5+Lookups!$K$4*$J661,4)),$K661))</f>
        <v>0.2576</v>
      </c>
      <c r="S661" s="5" t="str">
        <f>IF($A661="","",IF($K661="","Imputed","Original"))</f>
        <v>Original</v>
      </c>
      <c r="T661" s="5" t="str">
        <f>IF($A661="","",IF($P661="","Missing",IF($P661=$N661+$O661,"OK","Mismatch")))</f>
        <v>OK</v>
      </c>
      <c r="U661" s="5" t="str">
        <f>IF($A661="","",IF(COUNTIF($A$2:$A661,$A661)&gt;1,"Duplicate","Unique"))</f>
        <v>Unique</v>
      </c>
      <c r="V661" s="5">
        <f>IF($A661="","",IF(AND($U661="Unique",ISNUMBER($P661)),1,0))</f>
        <v>1</v>
      </c>
      <c r="W661" s="5" t="str">
        <f>IF($A661="","",IF(OR($H661=0,$H661=6),"Weekend","Weekday"))</f>
        <v>Weekend</v>
      </c>
      <c r="X661" s="5" t="str">
        <f>IF($A661="","",TEXT($B661,"ddd"))</f>
        <v>Sun</v>
      </c>
      <c r="Y661" s="5" t="str">
        <f>IF($A661="","",TEXT($B661,"mmm"))</f>
        <v>Jan</v>
      </c>
      <c r="Z661" s="5" t="str">
        <f>IF($A661="","",IFERROR(VLOOKUP($C661,Lookups!$D$4:$E$7,2,FALSE),"Unknown"))</f>
        <v>Winter</v>
      </c>
      <c r="AA661" s="5" t="str">
        <f>IF($A661="","",IFERROR(VLOOKUP($I661,Lookups!$A$4:$B$7,2,FALSE),"Unknown"))</f>
        <v>Clear</v>
      </c>
      <c r="AB661" s="5" t="str">
        <f>IF($A661="","",TEXT($F661,"00")&amp;":00")</f>
        <v>19:00</v>
      </c>
      <c r="AC661" s="5" t="str">
        <f>IF($A661="","",VLOOKUP($F661,Lookups!$G$4:$H$8,2,TRUE))</f>
        <v>Evening Peak (16-19)</v>
      </c>
      <c r="AD661" s="18">
        <f>IF($A661="","",IF($J661="","",ROUND($J661*41,1)))</f>
        <v>10.7</v>
      </c>
      <c r="AE661" s="18">
        <f>IF($A661="","",IF($R661="","",ROUND($R661*50,1)))</f>
        <v>12.9</v>
      </c>
      <c r="AF661" s="5">
        <f>IF($A661="","",IF($L661="","",ROUND($L661*100,0)))</f>
        <v>65</v>
      </c>
      <c r="AG661" s="18">
        <f>IF($A661="","",IF($M661="","",ROUND($M661*67,1)))</f>
        <v>13</v>
      </c>
      <c r="AH661" s="19">
        <f>IF($A661="","",IF($P661="","",IF($P661=0,0,$O661/$P661)))</f>
        <v>0.836363636363636</v>
      </c>
      <c r="AI661" s="5" t="str">
        <f>IF($A661="","",IF($P661="","",IF($P661&gt;=Lookups!$K$7,"High",IF($P661&lt;=Lookups!$K$8,"Low","Medium"))))</f>
        <v>Medium</v>
      </c>
      <c r="AJ661" s="5" t="str">
        <f>IF($A661="","",IF($AD661="","",IF($AD661&lt;5,"Under 5 C",IF($AD661&lt;10,"5-10 C",IF($AD661&lt;15,"10-15 C","15 C and above")))))</f>
        <v>10-15 C</v>
      </c>
      <c r="AK661" s="5">
        <f>IF($A661="","",IF($P661="","",$P661^2))</f>
        <v>3025</v>
      </c>
      <c r="AL661" s="18">
        <f>IF($V661&lt;&gt;1,"",AVERAGEIFS(Clean_Data!$P$2:$P$1001,Clean_Data!$F$2:$F$1001,$F661,Clean_Data!$W$2:$W$1001,$W661,Clean_Data!$V$2:$V$1001,1))</f>
        <v>50.1428571428571</v>
      </c>
      <c r="AM661" s="16">
        <f>IF($V661&lt;&gt;1,"",IFERROR(($P661-$AL661)/SQRT(MAX(0,(SUMIFS(Clean_Data!$AK$2:$AK$1001,Clean_Data!$F$2:$F$1001,$F661,Clean_Data!$W$2:$W$1001,$W661,Clean_Data!$V$2:$V$1001,1)-COUNTIFS(Clean_Data!$F$2:$F$1001,$F661,Clean_Data!$W$2:$W$1001,$W661,Clean_Data!$V$2:$V$1001,1)*$AL661^2)/(COUNTIFS(Clean_Data!$F$2:$F$1001,$F661,Clean_Data!$W$2:$W$1001,$W661,Clean_Data!$V$2:$V$1001,1)-1))),""))</f>
        <v>0.272979443485543</v>
      </c>
      <c r="AN661" s="5" t="str">
        <f>IF($AM661="","",IF($AM661&gt;=Lookups!$K$6,"High spike",IF($AM661&lt;=-Lookups!$K$6,"Unusual low","Normal")))</f>
        <v>Normal</v>
      </c>
      <c r="AO661" s="20">
        <f>IF($V661&lt;&gt;1,"",$P661+ROW()/100000)</f>
        <v>55.00661</v>
      </c>
      <c r="AP661" s="5">
        <f>IF($A661="","",IFERROR(MATCH($A661,Raw_D1!$A$2:$A$1001,0),""))</f>
        <v/>
      </c>
      <c r="AQ661" s="5">
        <f>IF($A661="","",IFERROR(MATCH($A661,Raw_D2!$B$2:$B$1001,0),""))</f>
        <v/>
      </c>
      <c r="AR661" s="5">
        <f>IF($A661="","",IFERROR(MATCH($A661,Raw_D3!$A$2:$A$1001,0),""))</f>
        <v>41</v>
      </c>
    </row>
    <row r="662" spans="1:44" x14ac:dyDescent="0.25">
      <c r="A662" s="5">
        <v>661</v>
      </c>
      <c r="B662" s="11">
        <f>IF($A662="","",IF($AP662&lt;&gt;"",INDEX(Raw_D1!$B$2:$B$1001,$AP662),IF($AR662&lt;&gt;"",INDEX(Raw_D3!$B$2:$B$1001,$AR662),"")))</f>
        <v>40573.0</v>
      </c>
      <c r="C662" s="5">
        <f>IF($A662="","",IF($AP662&lt;&gt;"",INDEX(Raw_D1!$C$2:$C$1001,$AP662),IF($AR662&lt;&gt;"",INDEX(Raw_D3!$C$2:$C$1001,$AR662),"")))</f>
        <v>1</v>
      </c>
      <c r="D662" s="5">
        <f>IF($A662="","",IF($AP662&lt;&gt;"",INDEX(Raw_D1!$D$2:$D$1001,$AP662),IF($AR662&lt;&gt;"",INDEX(Raw_D3!$D$2:$D$1001,$AR662),"")))</f>
        <v>0</v>
      </c>
      <c r="E662" s="5">
        <f>IF($A662="","",IF($AP662&lt;&gt;"",INDEX(Raw_D1!$E$2:$E$1001,$AP662),IF($AR662&lt;&gt;"",INDEX(Raw_D3!$E$2:$E$1001,$AR662),"")))</f>
        <v>1</v>
      </c>
      <c r="F662" s="5">
        <f>IF($A662="","",IF($AP662&lt;&gt;"",INDEX(Raw_D1!$F$2:$F$1001,$AP662),IF($AR662&lt;&gt;"",INDEX(Raw_D3!$F$2:$F$1001,$AR662),"")))</f>
        <v>20</v>
      </c>
      <c r="G662" s="5">
        <f>IF($A662="","",IF($AP662&lt;&gt;"",IF(INDEX(Raw_D1!$G$2:$G$1001,$AP662),1,0),IF($AR662&lt;&gt;"",IF(INDEX(Raw_D3!$G$2:$G$1001,$AR662),1,0),"")))</f>
        <v>0</v>
      </c>
      <c r="H662" s="5">
        <f>IF($A662="","",IF($AP662&lt;&gt;"",INDEX(Raw_D1!$H$2:$H$1001,$AP662),IF($AR662&lt;&gt;"",INDEX(Raw_D3!$H$2:$H$1001,$AR662),"")))</f>
        <v>0</v>
      </c>
      <c r="I662" s="5">
        <f>IF($A662="","",IF($AP662&lt;&gt;"",INDEX(Raw_D1!$I$2:$I$1001,$AP662),IF($AR662&lt;&gt;"",INDEX(Raw_D3!$I$2:$I$1001,$AR662),"")))</f>
        <v>2</v>
      </c>
      <c r="J662" s="16">
        <f>IF($A662="","",IF($AP662&lt;&gt;"",INDEX(Raw_D1!$J$2:$J$1001,$AP662),IF($AR662&lt;&gt;"",INDEX(Raw_D3!$J$2:$J$1001,$AR662),"")))</f>
        <v>0.26</v>
      </c>
      <c r="K662" s="17">
        <f>IF($A662="","",IF($AQ662&lt;&gt;"",IF(INDEX(Raw_D2!$C$2:$C$1001,$AQ662)="","",INDEX(Raw_D2!$C$2:$C$1001,$AQ662)),IF($AR662&lt;&gt;"",IF(INDEX(Raw_D3!$K$2:$K$1001,$AR662)="","",INDEX(Raw_D3!$K$2:$K$1001,$AR662)),"")))</f>
        <v>0.2727</v>
      </c>
      <c r="L662" s="16">
        <f>IF($A662="","",IF($AQ662&lt;&gt;"",IF(INDEX(Raw_D2!$D$2:$D$1001,$AQ662)="","",INDEX(Raw_D2!$D$2:$D$1001,$AQ662)),IF($AR662&lt;&gt;"",IF(INDEX(Raw_D3!$L$2:$L$1001,$AR662)="","",INDEX(Raw_D3!$L$2:$L$1001,$AR662)),"")))</f>
        <v>0.65</v>
      </c>
      <c r="M662" s="17">
        <f>IF($A662="","",IF($AQ662&lt;&gt;"",IF(INDEX(Raw_D2!$E$2:$E$1001,$AQ662)="","",INDEX(Raw_D2!$E$2:$E$1001,$AQ662)),IF($AR662&lt;&gt;"",IF(INDEX(Raw_D3!$M$2:$M$1001,$AR662)="","",INDEX(Raw_D3!$M$2:$M$1001,$AR662)),"")))</f>
        <v>0.1045</v>
      </c>
      <c r="N662" s="5">
        <f>IF($A662="","",IF($AQ662&lt;&gt;"",IF(INDEX(Raw_D2!$F$2:$F$1001,$AQ662)="","",INDEX(Raw_D2!$F$2:$F$1001,$AQ662)),IF($AR662&lt;&gt;"",IF(INDEX(Raw_D3!$N$2:$N$1001,$AR662)="","",INDEX(Raw_D3!$N$2:$N$1001,$AR662)),"")))</f>
        <v>3</v>
      </c>
      <c r="O662" s="5">
        <f>IF($A662="","",IF($AQ662&lt;&gt;"",IF(INDEX(Raw_D2!$G$2:$G$1001,$AQ662)="","",INDEX(Raw_D2!$G$2:$G$1001,$AQ662)),IF($AR662&lt;&gt;"",IF(INDEX(Raw_D3!$O$2:$O$1001,$AR662)="","",INDEX(Raw_D3!$O$2:$O$1001,$AR662)),"")))</f>
        <v>30</v>
      </c>
      <c r="P662" s="5">
        <f>IF($A662="","",IF($AQ662&lt;&gt;"",IF(INDEX(Raw_D2!$H$2:$H$1001,$AQ662)="","",INDEX(Raw_D2!$H$2:$H$1001,$AQ662)),IF($AR662&lt;&gt;"",IF(INDEX(Raw_D3!$P$2:$P$1001,$AR662)="","",INDEX(Raw_D3!$P$2:$P$1001,$AR662)),"")))</f>
        <v>33</v>
      </c>
      <c r="Q662" s="5" t="str">
        <f>IF($A662="","",IF(AND($AP662&lt;&gt;"",$AQ662&lt;&gt;""),"D1+D2",IF($AR662&lt;&gt;"","D3","Incomplete")))</f>
        <v>D3</v>
      </c>
      <c r="R662" s="17">
        <f>IF($A662="","",IF($K662="",IF($J662="","",ROUND(Lookups!$K$5+Lookups!$K$4*$J662,4)),$K662))</f>
        <v>0.2727</v>
      </c>
      <c r="S662" s="5" t="str">
        <f>IF($A662="","",IF($K662="","Imputed","Original"))</f>
        <v>Original</v>
      </c>
      <c r="T662" s="5" t="str">
        <f>IF($A662="","",IF($P662="","Missing",IF($P662=$N662+$O662,"OK","Mismatch")))</f>
        <v>OK</v>
      </c>
      <c r="U662" s="5" t="str">
        <f>IF($A662="","",IF(COUNTIF($A$2:$A662,$A662)&gt;1,"Duplicate","Unique"))</f>
        <v>Unique</v>
      </c>
      <c r="V662" s="5">
        <f>IF($A662="","",IF(AND($U662="Unique",ISNUMBER($P662)),1,0))</f>
        <v>1</v>
      </c>
      <c r="W662" s="5" t="str">
        <f>IF($A662="","",IF(OR($H662=0,$H662=6),"Weekend","Weekday"))</f>
        <v>Weekend</v>
      </c>
      <c r="X662" s="5" t="str">
        <f>IF($A662="","",TEXT($B662,"ddd"))</f>
        <v>Sun</v>
      </c>
      <c r="Y662" s="5" t="str">
        <f>IF($A662="","",TEXT($B662,"mmm"))</f>
        <v>Jan</v>
      </c>
      <c r="Z662" s="5" t="str">
        <f>IF($A662="","",IFERROR(VLOOKUP($C662,Lookups!$D$4:$E$7,2,FALSE),"Unknown"))</f>
        <v>Winter</v>
      </c>
      <c r="AA662" s="5" t="str">
        <f>IF($A662="","",IFERROR(VLOOKUP($I662,Lookups!$A$4:$B$7,2,FALSE),"Unknown"))</f>
        <v>Mist/Cloudy</v>
      </c>
      <c r="AB662" s="5" t="str">
        <f>IF($A662="","",TEXT($F662,"00")&amp;":00")</f>
        <v>20:00</v>
      </c>
      <c r="AC662" s="5" t="str">
        <f>IF($A662="","",VLOOKUP($F662,Lookups!$G$4:$H$8,2,TRUE))</f>
        <v>Late Evening (20-23)</v>
      </c>
      <c r="AD662" s="18">
        <f>IF($A662="","",IF($J662="","",ROUND($J662*41,1)))</f>
        <v>10.7</v>
      </c>
      <c r="AE662" s="18">
        <f>IF($A662="","",IF($R662="","",ROUND($R662*50,1)))</f>
        <v>13.6</v>
      </c>
      <c r="AF662" s="5">
        <f>IF($A662="","",IF($L662="","",ROUND($L662*100,0)))</f>
        <v>65</v>
      </c>
      <c r="AG662" s="18">
        <f>IF($A662="","",IF($M662="","",ROUND($M662*67,1)))</f>
        <v>7</v>
      </c>
      <c r="AH662" s="19">
        <f>IF($A662="","",IF($P662="","",IF($P662=0,0,$O662/$P662)))</f>
        <v>0.909090909090909</v>
      </c>
      <c r="AI662" s="5" t="str">
        <f>IF($A662="","",IF($P662="","",IF($P662&gt;=Lookups!$K$7,"High",IF($P662&lt;=Lookups!$K$8,"Low","Medium"))))</f>
        <v>Medium</v>
      </c>
      <c r="AJ662" s="5" t="str">
        <f>IF($A662="","",IF($AD662="","",IF($AD662&lt;5,"Under 5 C",IF($AD662&lt;10,"5-10 C",IF($AD662&lt;15,"10-15 C","15 C and above")))))</f>
        <v>10-15 C</v>
      </c>
      <c r="AK662" s="5">
        <f>IF($A662="","",IF($P662="","",$P662^2))</f>
        <v>1089</v>
      </c>
      <c r="AL662" s="18">
        <f>IF($V662&lt;&gt;1,"",AVERAGEIFS(Clean_Data!$P$2:$P$1001,Clean_Data!$F$2:$F$1001,$F662,Clean_Data!$W$2:$W$1001,$W662,Clean_Data!$V$2:$V$1001,1))</f>
        <v>40</v>
      </c>
      <c r="AM662" s="16">
        <f>IF($V662&lt;&gt;1,"",IFERROR(($P662-$AL662)/SQRT(MAX(0,(SUMIFS(Clean_Data!$AK$2:$AK$1001,Clean_Data!$F$2:$F$1001,$F662,Clean_Data!$W$2:$W$1001,$W662,Clean_Data!$V$2:$V$1001,1)-COUNTIFS(Clean_Data!$F$2:$F$1001,$F662,Clean_Data!$W$2:$W$1001,$W662,Clean_Data!$V$2:$V$1001,1)*$AL662^2)/(COUNTIFS(Clean_Data!$F$2:$F$1001,$F662,Clean_Data!$W$2:$W$1001,$W662,Clean_Data!$V$2:$V$1001,1)-1))),""))</f>
        <v>-0.568350518934597</v>
      </c>
      <c r="AN662" s="5" t="str">
        <f>IF($AM662="","",IF($AM662&gt;=Lookups!$K$6,"High spike",IF($AM662&lt;=-Lookups!$K$6,"Unusual low","Normal")))</f>
        <v>Normal</v>
      </c>
      <c r="AO662" s="20">
        <f>IF($V662&lt;&gt;1,"",$P662+ROW()/100000)</f>
        <v>33.00662</v>
      </c>
      <c r="AP662" s="5">
        <f>IF($A662="","",IFERROR(MATCH($A662,Raw_D1!$A$2:$A$1001,0),""))</f>
        <v/>
      </c>
      <c r="AQ662" s="5">
        <f>IF($A662="","",IFERROR(MATCH($A662,Raw_D2!$B$2:$B$1001,0),""))</f>
        <v/>
      </c>
      <c r="AR662" s="5">
        <f>IF($A662="","",IFERROR(MATCH($A662,Raw_D3!$A$2:$A$1001,0),""))</f>
        <v>42</v>
      </c>
    </row>
    <row r="663" spans="1:44" x14ac:dyDescent="0.25">
      <c r="A663" s="5">
        <v>662</v>
      </c>
      <c r="B663" s="11">
        <f>IF($A663="","",IF($AP663&lt;&gt;"",INDEX(Raw_D1!$B$2:$B$1001,$AP663),IF($AR663&lt;&gt;"",INDEX(Raw_D3!$B$2:$B$1001,$AR663),"")))</f>
        <v>40573.0</v>
      </c>
      <c r="C663" s="5">
        <f>IF($A663="","",IF($AP663&lt;&gt;"",INDEX(Raw_D1!$C$2:$C$1001,$AP663),IF($AR663&lt;&gt;"",INDEX(Raw_D3!$C$2:$C$1001,$AR663),"")))</f>
        <v>1</v>
      </c>
      <c r="D663" s="5">
        <f>IF($A663="","",IF($AP663&lt;&gt;"",INDEX(Raw_D1!$D$2:$D$1001,$AP663),IF($AR663&lt;&gt;"",INDEX(Raw_D3!$D$2:$D$1001,$AR663),"")))</f>
        <v>0</v>
      </c>
      <c r="E663" s="5">
        <f>IF($A663="","",IF($AP663&lt;&gt;"",INDEX(Raw_D1!$E$2:$E$1001,$AP663),IF($AR663&lt;&gt;"",INDEX(Raw_D3!$E$2:$E$1001,$AR663),"")))</f>
        <v>1</v>
      </c>
      <c r="F663" s="5">
        <f>IF($A663="","",IF($AP663&lt;&gt;"",INDEX(Raw_D1!$F$2:$F$1001,$AP663),IF($AR663&lt;&gt;"",INDEX(Raw_D3!$F$2:$F$1001,$AR663),"")))</f>
        <v>21</v>
      </c>
      <c r="G663" s="5">
        <f>IF($A663="","",IF($AP663&lt;&gt;"",IF(INDEX(Raw_D1!$G$2:$G$1001,$AP663),1,0),IF($AR663&lt;&gt;"",IF(INDEX(Raw_D3!$G$2:$G$1001,$AR663),1,0),"")))</f>
        <v>0</v>
      </c>
      <c r="H663" s="5">
        <f>IF($A663="","",IF($AP663&lt;&gt;"",INDEX(Raw_D1!$H$2:$H$1001,$AP663),IF($AR663&lt;&gt;"",INDEX(Raw_D3!$H$2:$H$1001,$AR663),"")))</f>
        <v>0</v>
      </c>
      <c r="I663" s="5">
        <f>IF($A663="","",IF($AP663&lt;&gt;"",INDEX(Raw_D1!$I$2:$I$1001,$AP663),IF($AR663&lt;&gt;"",INDEX(Raw_D3!$I$2:$I$1001,$AR663),"")))</f>
        <v>2</v>
      </c>
      <c r="J663" s="16">
        <f>IF($A663="","",IF($AP663&lt;&gt;"",INDEX(Raw_D1!$J$2:$J$1001,$AP663),IF($AR663&lt;&gt;"",INDEX(Raw_D3!$J$2:$J$1001,$AR663),"")))</f>
        <v>0.24</v>
      </c>
      <c r="K663" s="17">
        <f>IF($A663="","",IF($AQ663&lt;&gt;"",IF(INDEX(Raw_D2!$C$2:$C$1001,$AQ663)="","",INDEX(Raw_D2!$C$2:$C$1001,$AQ663)),IF($AR663&lt;&gt;"",IF(INDEX(Raw_D3!$K$2:$K$1001,$AR663)="","",INDEX(Raw_D3!$K$2:$K$1001,$AR663)),"")))</f>
        <v>0.2424</v>
      </c>
      <c r="L663" s="16">
        <f>IF($A663="","",IF($AQ663&lt;&gt;"",IF(INDEX(Raw_D2!$D$2:$D$1001,$AQ663)="","",INDEX(Raw_D2!$D$2:$D$1001,$AQ663)),IF($AR663&lt;&gt;"",IF(INDEX(Raw_D3!$L$2:$L$1001,$AR663)="","",INDEX(Raw_D3!$L$2:$L$1001,$AR663)),"")))</f>
        <v>0.7</v>
      </c>
      <c r="M663" s="17">
        <f>IF($A663="","",IF($AQ663&lt;&gt;"",IF(INDEX(Raw_D2!$E$2:$E$1001,$AQ663)="","",INDEX(Raw_D2!$E$2:$E$1001,$AQ663)),IF($AR663&lt;&gt;"",IF(INDEX(Raw_D3!$M$2:$M$1001,$AR663)="","",INDEX(Raw_D3!$M$2:$M$1001,$AR663)),"")))</f>
        <v>0.1642</v>
      </c>
      <c r="N663" s="5">
        <f>IF($A663="","",IF($AQ663&lt;&gt;"",IF(INDEX(Raw_D2!$F$2:$F$1001,$AQ663)="","",INDEX(Raw_D2!$F$2:$F$1001,$AQ663)),IF($AR663&lt;&gt;"",IF(INDEX(Raw_D3!$N$2:$N$1001,$AR663)="","",INDEX(Raw_D3!$N$2:$N$1001,$AR663)),"")))</f>
        <v>3</v>
      </c>
      <c r="O663" s="5">
        <f>IF($A663="","",IF($AQ663&lt;&gt;"",IF(INDEX(Raw_D2!$G$2:$G$1001,$AQ663)="","",INDEX(Raw_D2!$G$2:$G$1001,$AQ663)),IF($AR663&lt;&gt;"",IF(INDEX(Raw_D3!$O$2:$O$1001,$AR663)="","",INDEX(Raw_D3!$O$2:$O$1001,$AR663)),"")))</f>
        <v>25</v>
      </c>
      <c r="P663" s="5">
        <f>IF($A663="","",IF($AQ663&lt;&gt;"",IF(INDEX(Raw_D2!$H$2:$H$1001,$AQ663)="","",INDEX(Raw_D2!$H$2:$H$1001,$AQ663)),IF($AR663&lt;&gt;"",IF(INDEX(Raw_D3!$P$2:$P$1001,$AR663)="","",INDEX(Raw_D3!$P$2:$P$1001,$AR663)),"")))</f>
        <v>28</v>
      </c>
      <c r="Q663" s="5" t="str">
        <f>IF($A663="","",IF(AND($AP663&lt;&gt;"",$AQ663&lt;&gt;""),"D1+D2",IF($AR663&lt;&gt;"","D3","Incomplete")))</f>
        <v>D3</v>
      </c>
      <c r="R663" s="17">
        <f>IF($A663="","",IF($K663="",IF($J663="","",ROUND(Lookups!$K$5+Lookups!$K$4*$J663,4)),$K663))</f>
        <v>0.2424</v>
      </c>
      <c r="S663" s="5" t="str">
        <f>IF($A663="","",IF($K663="","Imputed","Original"))</f>
        <v>Original</v>
      </c>
      <c r="T663" s="5" t="str">
        <f>IF($A663="","",IF($P663="","Missing",IF($P663=$N663+$O663,"OK","Mismatch")))</f>
        <v>OK</v>
      </c>
      <c r="U663" s="5" t="str">
        <f>IF($A663="","",IF(COUNTIF($A$2:$A663,$A663)&gt;1,"Duplicate","Unique"))</f>
        <v>Unique</v>
      </c>
      <c r="V663" s="5">
        <f>IF($A663="","",IF(AND($U663="Unique",ISNUMBER($P663)),1,0))</f>
        <v>1</v>
      </c>
      <c r="W663" s="5" t="str">
        <f>IF($A663="","",IF(OR($H663=0,$H663=6),"Weekend","Weekday"))</f>
        <v>Weekend</v>
      </c>
      <c r="X663" s="5" t="str">
        <f>IF($A663="","",TEXT($B663,"ddd"))</f>
        <v>Sun</v>
      </c>
      <c r="Y663" s="5" t="str">
        <f>IF($A663="","",TEXT($B663,"mmm"))</f>
        <v>Jan</v>
      </c>
      <c r="Z663" s="5" t="str">
        <f>IF($A663="","",IFERROR(VLOOKUP($C663,Lookups!$D$4:$E$7,2,FALSE),"Unknown"))</f>
        <v>Winter</v>
      </c>
      <c r="AA663" s="5" t="str">
        <f>IF($A663="","",IFERROR(VLOOKUP($I663,Lookups!$A$4:$B$7,2,FALSE),"Unknown"))</f>
        <v>Mist/Cloudy</v>
      </c>
      <c r="AB663" s="5" t="str">
        <f>IF($A663="","",TEXT($F663,"00")&amp;":00")</f>
        <v>21:00</v>
      </c>
      <c r="AC663" s="5" t="str">
        <f>IF($A663="","",VLOOKUP($F663,Lookups!$G$4:$H$8,2,TRUE))</f>
        <v>Late Evening (20-23)</v>
      </c>
      <c r="AD663" s="18">
        <f>IF($A663="","",IF($J663="","",ROUND($J663*41,1)))</f>
        <v>9.8</v>
      </c>
      <c r="AE663" s="18">
        <f>IF($A663="","",IF($R663="","",ROUND($R663*50,1)))</f>
        <v>12.1</v>
      </c>
      <c r="AF663" s="5">
        <f>IF($A663="","",IF($L663="","",ROUND($L663*100,0)))</f>
        <v>70</v>
      </c>
      <c r="AG663" s="18">
        <f>IF($A663="","",IF($M663="","",ROUND($M663*67,1)))</f>
        <v>11</v>
      </c>
      <c r="AH663" s="19">
        <f>IF($A663="","",IF($P663="","",IF($P663=0,0,$O663/$P663)))</f>
        <v>0.892857142857143</v>
      </c>
      <c r="AI663" s="5" t="str">
        <f>IF($A663="","",IF($P663="","",IF($P663&gt;=Lookups!$K$7,"High",IF($P663&lt;=Lookups!$K$8,"Low","Medium"))))</f>
        <v>Medium</v>
      </c>
      <c r="AJ663" s="5" t="str">
        <f>IF($A663="","",IF($AD663="","",IF($AD663&lt;5,"Under 5 C",IF($AD663&lt;10,"5-10 C",IF($AD663&lt;15,"10-15 C","15 C and above")))))</f>
        <v>5-10 C</v>
      </c>
      <c r="AK663" s="5">
        <f>IF($A663="","",IF($P663="","",$P663^2))</f>
        <v>784</v>
      </c>
      <c r="AL663" s="18">
        <f>IF($V663&lt;&gt;1,"",AVERAGEIFS(Clean_Data!$P$2:$P$1001,Clean_Data!$F$2:$F$1001,$F663,Clean_Data!$W$2:$W$1001,$W663,Clean_Data!$V$2:$V$1001,1))</f>
        <v>37.1428571428571</v>
      </c>
      <c r="AM663" s="16">
        <f>IF($V663&lt;&gt;1,"",IFERROR(($P663-$AL663)/SQRT(MAX(0,(SUMIFS(Clean_Data!$AK$2:$AK$1001,Clean_Data!$F$2:$F$1001,$F663,Clean_Data!$W$2:$W$1001,$W663,Clean_Data!$V$2:$V$1001,1)-COUNTIFS(Clean_Data!$F$2:$F$1001,$F663,Clean_Data!$W$2:$W$1001,$W663,Clean_Data!$V$2:$V$1001,1)*$AL663^2)/(COUNTIFS(Clean_Data!$F$2:$F$1001,$F663,Clean_Data!$W$2:$W$1001,$W663,Clean_Data!$V$2:$V$1001,1)-1))),""))</f>
        <v>-0.756725199737383</v>
      </c>
      <c r="AN663" s="5" t="str">
        <f>IF($AM663="","",IF($AM663&gt;=Lookups!$K$6,"High spike",IF($AM663&lt;=-Lookups!$K$6,"Unusual low","Normal")))</f>
        <v>Normal</v>
      </c>
      <c r="AO663" s="20">
        <f>IF($V663&lt;&gt;1,"",$P663+ROW()/100000)</f>
        <v>28.00663</v>
      </c>
      <c r="AP663" s="5">
        <f>IF($A663="","",IFERROR(MATCH($A663,Raw_D1!$A$2:$A$1001,0),""))</f>
        <v/>
      </c>
      <c r="AQ663" s="5">
        <f>IF($A663="","",IFERROR(MATCH($A663,Raw_D2!$B$2:$B$1001,0),""))</f>
        <v/>
      </c>
      <c r="AR663" s="5">
        <f>IF($A663="","",IFERROR(MATCH($A663,Raw_D3!$A$2:$A$1001,0),""))</f>
        <v>43</v>
      </c>
    </row>
    <row r="664" spans="1:44" x14ac:dyDescent="0.25">
      <c r="A664" s="5">
        <v>663</v>
      </c>
      <c r="B664" s="11">
        <f>IF($A664="","",IF($AP664&lt;&gt;"",INDEX(Raw_D1!$B$2:$B$1001,$AP664),IF($AR664&lt;&gt;"",INDEX(Raw_D3!$B$2:$B$1001,$AR664),"")))</f>
        <v>40573.0</v>
      </c>
      <c r="C664" s="5">
        <f>IF($A664="","",IF($AP664&lt;&gt;"",INDEX(Raw_D1!$C$2:$C$1001,$AP664),IF($AR664&lt;&gt;"",INDEX(Raw_D3!$C$2:$C$1001,$AR664),"")))</f>
        <v>1</v>
      </c>
      <c r="D664" s="5">
        <f>IF($A664="","",IF($AP664&lt;&gt;"",INDEX(Raw_D1!$D$2:$D$1001,$AP664),IF($AR664&lt;&gt;"",INDEX(Raw_D3!$D$2:$D$1001,$AR664),"")))</f>
        <v>0</v>
      </c>
      <c r="E664" s="5">
        <f>IF($A664="","",IF($AP664&lt;&gt;"",INDEX(Raw_D1!$E$2:$E$1001,$AP664),IF($AR664&lt;&gt;"",INDEX(Raw_D3!$E$2:$E$1001,$AR664),"")))</f>
        <v>1</v>
      </c>
      <c r="F664" s="5">
        <f>IF($A664="","",IF($AP664&lt;&gt;"",INDEX(Raw_D1!$F$2:$F$1001,$AP664),IF($AR664&lt;&gt;"",INDEX(Raw_D3!$F$2:$F$1001,$AR664),"")))</f>
        <v>22</v>
      </c>
      <c r="G664" s="5">
        <f>IF($A664="","",IF($AP664&lt;&gt;"",IF(INDEX(Raw_D1!$G$2:$G$1001,$AP664),1,0),IF($AR664&lt;&gt;"",IF(INDEX(Raw_D3!$G$2:$G$1001,$AR664),1,0),"")))</f>
        <v>0</v>
      </c>
      <c r="H664" s="5">
        <f>IF($A664="","",IF($AP664&lt;&gt;"",INDEX(Raw_D1!$H$2:$H$1001,$AP664),IF($AR664&lt;&gt;"",INDEX(Raw_D3!$H$2:$H$1001,$AR664),"")))</f>
        <v>0</v>
      </c>
      <c r="I664" s="5">
        <f>IF($A664="","",IF($AP664&lt;&gt;"",INDEX(Raw_D1!$I$2:$I$1001,$AP664),IF($AR664&lt;&gt;"",INDEX(Raw_D3!$I$2:$I$1001,$AR664),"")))</f>
        <v>2</v>
      </c>
      <c r="J664" s="16">
        <f>IF($A664="","",IF($AP664&lt;&gt;"",INDEX(Raw_D1!$J$2:$J$1001,$AP664),IF($AR664&lt;&gt;"",INDEX(Raw_D3!$J$2:$J$1001,$AR664),"")))</f>
        <v>0.24</v>
      </c>
      <c r="K664" s="17">
        <f>IF($A664="","",IF($AQ664&lt;&gt;"",IF(INDEX(Raw_D2!$C$2:$C$1001,$AQ664)="","",INDEX(Raw_D2!$C$2:$C$1001,$AQ664)),IF($AR664&lt;&gt;"",IF(INDEX(Raw_D3!$K$2:$K$1001,$AR664)="","",INDEX(Raw_D3!$K$2:$K$1001,$AR664)),"")))</f>
        <v>0.2273</v>
      </c>
      <c r="L664" s="16">
        <f>IF($A664="","",IF($AQ664&lt;&gt;"",IF(INDEX(Raw_D2!$D$2:$D$1001,$AQ664)="","",INDEX(Raw_D2!$D$2:$D$1001,$AQ664)),IF($AR664&lt;&gt;"",IF(INDEX(Raw_D3!$L$2:$L$1001,$AR664)="","",INDEX(Raw_D3!$L$2:$L$1001,$AR664)),"")))</f>
        <v>0.7</v>
      </c>
      <c r="M664" s="17">
        <f>IF($A664="","",IF($AQ664&lt;&gt;"",IF(INDEX(Raw_D2!$E$2:$E$1001,$AQ664)="","",INDEX(Raw_D2!$E$2:$E$1001,$AQ664)),IF($AR664&lt;&gt;"",IF(INDEX(Raw_D3!$M$2:$M$1001,$AR664)="","",INDEX(Raw_D3!$M$2:$M$1001,$AR664)),"")))</f>
        <v>0.194</v>
      </c>
      <c r="N664" s="5">
        <f>IF($A664="","",IF($AQ664&lt;&gt;"",IF(INDEX(Raw_D2!$F$2:$F$1001,$AQ664)="","",INDEX(Raw_D2!$F$2:$F$1001,$AQ664)),IF($AR664&lt;&gt;"",IF(INDEX(Raw_D3!$N$2:$N$1001,$AR664)="","",INDEX(Raw_D3!$N$2:$N$1001,$AR664)),"")))</f>
        <v>2</v>
      </c>
      <c r="O664" s="5">
        <f>IF($A664="","",IF($AQ664&lt;&gt;"",IF(INDEX(Raw_D2!$G$2:$G$1001,$AQ664)="","",INDEX(Raw_D2!$G$2:$G$1001,$AQ664)),IF($AR664&lt;&gt;"",IF(INDEX(Raw_D3!$O$2:$O$1001,$AR664)="","",INDEX(Raw_D3!$O$2:$O$1001,$AR664)),"")))</f>
        <v>19</v>
      </c>
      <c r="P664" s="5">
        <f>IF($A664="","",IF($AQ664&lt;&gt;"",IF(INDEX(Raw_D2!$H$2:$H$1001,$AQ664)="","",INDEX(Raw_D2!$H$2:$H$1001,$AQ664)),IF($AR664&lt;&gt;"",IF(INDEX(Raw_D3!$P$2:$P$1001,$AR664)="","",INDEX(Raw_D3!$P$2:$P$1001,$AR664)),"")))</f>
        <v>21</v>
      </c>
      <c r="Q664" s="5" t="str">
        <f>IF($A664="","",IF(AND($AP664&lt;&gt;"",$AQ664&lt;&gt;""),"D1+D2",IF($AR664&lt;&gt;"","D3","Incomplete")))</f>
        <v>D3</v>
      </c>
      <c r="R664" s="17">
        <f>IF($A664="","",IF($K664="",IF($J664="","",ROUND(Lookups!$K$5+Lookups!$K$4*$J664,4)),$K664))</f>
        <v>0.2273</v>
      </c>
      <c r="S664" s="5" t="str">
        <f>IF($A664="","",IF($K664="","Imputed","Original"))</f>
        <v>Original</v>
      </c>
      <c r="T664" s="5" t="str">
        <f>IF($A664="","",IF($P664="","Missing",IF($P664=$N664+$O664,"OK","Mismatch")))</f>
        <v>OK</v>
      </c>
      <c r="U664" s="5" t="str">
        <f>IF($A664="","",IF(COUNTIF($A$2:$A664,$A664)&gt;1,"Duplicate","Unique"))</f>
        <v>Unique</v>
      </c>
      <c r="V664" s="5">
        <f>IF($A664="","",IF(AND($U664="Unique",ISNUMBER($P664)),1,0))</f>
        <v>1</v>
      </c>
      <c r="W664" s="5" t="str">
        <f>IF($A664="","",IF(OR($H664=0,$H664=6),"Weekend","Weekday"))</f>
        <v>Weekend</v>
      </c>
      <c r="X664" s="5" t="str">
        <f>IF($A664="","",TEXT($B664,"ddd"))</f>
        <v>Sun</v>
      </c>
      <c r="Y664" s="5" t="str">
        <f>IF($A664="","",TEXT($B664,"mmm"))</f>
        <v>Jan</v>
      </c>
      <c r="Z664" s="5" t="str">
        <f>IF($A664="","",IFERROR(VLOOKUP($C664,Lookups!$D$4:$E$7,2,FALSE),"Unknown"))</f>
        <v>Winter</v>
      </c>
      <c r="AA664" s="5" t="str">
        <f>IF($A664="","",IFERROR(VLOOKUP($I664,Lookups!$A$4:$B$7,2,FALSE),"Unknown"))</f>
        <v>Mist/Cloudy</v>
      </c>
      <c r="AB664" s="5" t="str">
        <f>IF($A664="","",TEXT($F664,"00")&amp;":00")</f>
        <v>22:00</v>
      </c>
      <c r="AC664" s="5" t="str">
        <f>IF($A664="","",VLOOKUP($F664,Lookups!$G$4:$H$8,2,TRUE))</f>
        <v>Late Evening (20-23)</v>
      </c>
      <c r="AD664" s="18">
        <f>IF($A664="","",IF($J664="","",ROUND($J664*41,1)))</f>
        <v>9.8</v>
      </c>
      <c r="AE664" s="18">
        <f>IF($A664="","",IF($R664="","",ROUND($R664*50,1)))</f>
        <v>11.4</v>
      </c>
      <c r="AF664" s="5">
        <f>IF($A664="","",IF($L664="","",ROUND($L664*100,0)))</f>
        <v>70</v>
      </c>
      <c r="AG664" s="18">
        <f>IF($A664="","",IF($M664="","",ROUND($M664*67,1)))</f>
        <v>13</v>
      </c>
      <c r="AH664" s="19">
        <f>IF($A664="","",IF($P664="","",IF($P664=0,0,$O664/$P664)))</f>
        <v>0.904761904761905</v>
      </c>
      <c r="AI664" s="5" t="str">
        <f>IF($A664="","",IF($P664="","",IF($P664&gt;=Lookups!$K$7,"High",IF($P664&lt;=Lookups!$K$8,"Low","Medium"))))</f>
        <v>Medium</v>
      </c>
      <c r="AJ664" s="5" t="str">
        <f>IF($A664="","",IF($AD664="","",IF($AD664&lt;5,"Under 5 C",IF($AD664&lt;10,"5-10 C",IF($AD664&lt;15,"10-15 C","15 C and above")))))</f>
        <v>5-10 C</v>
      </c>
      <c r="AK664" s="5">
        <f>IF($A664="","",IF($P664="","",$P664^2))</f>
        <v>441</v>
      </c>
      <c r="AL664" s="18">
        <f>IF($V664&lt;&gt;1,"",AVERAGEIFS(Clean_Data!$P$2:$P$1001,Clean_Data!$F$2:$F$1001,$F664,Clean_Data!$W$2:$W$1001,$W664,Clean_Data!$V$2:$V$1001,1))</f>
        <v>30.8571428571429</v>
      </c>
      <c r="AM664" s="16">
        <f>IF($V664&lt;&gt;1,"",IFERROR(($P664-$AL664)/SQRT(MAX(0,(SUMIFS(Clean_Data!$AK$2:$AK$1001,Clean_Data!$F$2:$F$1001,$F664,Clean_Data!$W$2:$W$1001,$W664,Clean_Data!$V$2:$V$1001,1)-COUNTIFS(Clean_Data!$F$2:$F$1001,$F664,Clean_Data!$W$2:$W$1001,$W664,Clean_Data!$V$2:$V$1001,1)*$AL664^2)/(COUNTIFS(Clean_Data!$F$2:$F$1001,$F664,Clean_Data!$W$2:$W$1001,$W664,Clean_Data!$V$2:$V$1001,1)-1))),""))</f>
        <v>-0.729779302634693</v>
      </c>
      <c r="AN664" s="5" t="str">
        <f>IF($AM664="","",IF($AM664&gt;=Lookups!$K$6,"High spike",IF($AM664&lt;=-Lookups!$K$6,"Unusual low","Normal")))</f>
        <v>Normal</v>
      </c>
      <c r="AO664" s="20">
        <f>IF($V664&lt;&gt;1,"",$P664+ROW()/100000)</f>
        <v>21.00664</v>
      </c>
      <c r="AP664" s="5">
        <f>IF($A664="","",IFERROR(MATCH($A664,Raw_D1!$A$2:$A$1001,0),""))</f>
        <v/>
      </c>
      <c r="AQ664" s="5">
        <f>IF($A664="","",IFERROR(MATCH($A664,Raw_D2!$B$2:$B$1001,0),""))</f>
        <v/>
      </c>
      <c r="AR664" s="5">
        <f>IF($A664="","",IFERROR(MATCH($A664,Raw_D3!$A$2:$A$1001,0),""))</f>
        <v>44</v>
      </c>
    </row>
    <row r="665" spans="1:44" x14ac:dyDescent="0.25">
      <c r="A665" s="5">
        <v>664</v>
      </c>
      <c r="B665" s="11">
        <f>IF($A665="","",IF($AP665&lt;&gt;"",INDEX(Raw_D1!$B$2:$B$1001,$AP665),IF($AR665&lt;&gt;"",INDEX(Raw_D3!$B$2:$B$1001,$AR665),"")))</f>
        <v>40573.0</v>
      </c>
      <c r="C665" s="5">
        <f>IF($A665="","",IF($AP665&lt;&gt;"",INDEX(Raw_D1!$C$2:$C$1001,$AP665),IF($AR665&lt;&gt;"",INDEX(Raw_D3!$C$2:$C$1001,$AR665),"")))</f>
        <v>1</v>
      </c>
      <c r="D665" s="5">
        <f>IF($A665="","",IF($AP665&lt;&gt;"",INDEX(Raw_D1!$D$2:$D$1001,$AP665),IF($AR665&lt;&gt;"",INDEX(Raw_D3!$D$2:$D$1001,$AR665),"")))</f>
        <v>0</v>
      </c>
      <c r="E665" s="5">
        <f>IF($A665="","",IF($AP665&lt;&gt;"",INDEX(Raw_D1!$E$2:$E$1001,$AP665),IF($AR665&lt;&gt;"",INDEX(Raw_D3!$E$2:$E$1001,$AR665),"")))</f>
        <v>1</v>
      </c>
      <c r="F665" s="5">
        <f>IF($A665="","",IF($AP665&lt;&gt;"",INDEX(Raw_D1!$F$2:$F$1001,$AP665),IF($AR665&lt;&gt;"",INDEX(Raw_D3!$F$2:$F$1001,$AR665),"")))</f>
        <v>23</v>
      </c>
      <c r="G665" s="5">
        <f>IF($A665="","",IF($AP665&lt;&gt;"",IF(INDEX(Raw_D1!$G$2:$G$1001,$AP665),1,0),IF($AR665&lt;&gt;"",IF(INDEX(Raw_D3!$G$2:$G$1001,$AR665),1,0),"")))</f>
        <v>0</v>
      </c>
      <c r="H665" s="5">
        <f>IF($A665="","",IF($AP665&lt;&gt;"",INDEX(Raw_D1!$H$2:$H$1001,$AP665),IF($AR665&lt;&gt;"",INDEX(Raw_D3!$H$2:$H$1001,$AR665),"")))</f>
        <v>0</v>
      </c>
      <c r="I665" s="5">
        <f>IF($A665="","",IF($AP665&lt;&gt;"",INDEX(Raw_D1!$I$2:$I$1001,$AP665),IF($AR665&lt;&gt;"",INDEX(Raw_D3!$I$2:$I$1001,$AR665),"")))</f>
        <v>2</v>
      </c>
      <c r="J665" s="16">
        <f>IF($A665="","",IF($AP665&lt;&gt;"",INDEX(Raw_D1!$J$2:$J$1001,$AP665),IF($AR665&lt;&gt;"",INDEX(Raw_D3!$J$2:$J$1001,$AR665),"")))</f>
        <v>0.24</v>
      </c>
      <c r="K665" s="17">
        <f>IF($A665="","",IF($AQ665&lt;&gt;"",IF(INDEX(Raw_D2!$C$2:$C$1001,$AQ665)="","",INDEX(Raw_D2!$C$2:$C$1001,$AQ665)),IF($AR665&lt;&gt;"",IF(INDEX(Raw_D3!$K$2:$K$1001,$AR665)="","",INDEX(Raw_D3!$K$2:$K$1001,$AR665)),"")))</f>
        <v>0.2121</v>
      </c>
      <c r="L665" s="16">
        <f>IF($A665="","",IF($AQ665&lt;&gt;"",IF(INDEX(Raw_D2!$D$2:$D$1001,$AQ665)="","",INDEX(Raw_D2!$D$2:$D$1001,$AQ665)),IF($AR665&lt;&gt;"",IF(INDEX(Raw_D3!$L$2:$L$1001,$AR665)="","",INDEX(Raw_D3!$L$2:$L$1001,$AR665)),"")))</f>
        <v>0.65</v>
      </c>
      <c r="M665" s="17">
        <f>IF($A665="","",IF($AQ665&lt;&gt;"",IF(INDEX(Raw_D2!$E$2:$E$1001,$AQ665)="","",INDEX(Raw_D2!$E$2:$E$1001,$AQ665)),IF($AR665&lt;&gt;"",IF(INDEX(Raw_D3!$M$2:$M$1001,$AR665)="","",INDEX(Raw_D3!$M$2:$M$1001,$AR665)),"")))</f>
        <v>0.2836</v>
      </c>
      <c r="N665" s="5">
        <f>IF($A665="","",IF($AQ665&lt;&gt;"",IF(INDEX(Raw_D2!$F$2:$F$1001,$AQ665)="","",INDEX(Raw_D2!$F$2:$F$1001,$AQ665)),IF($AR665&lt;&gt;"",IF(INDEX(Raw_D3!$N$2:$N$1001,$AR665)="","",INDEX(Raw_D3!$N$2:$N$1001,$AR665)),"")))</f>
        <v>5</v>
      </c>
      <c r="O665" s="5">
        <f>IF($A665="","",IF($AQ665&lt;&gt;"",IF(INDEX(Raw_D2!$G$2:$G$1001,$AQ665)="","",INDEX(Raw_D2!$G$2:$G$1001,$AQ665)),IF($AR665&lt;&gt;"",IF(INDEX(Raw_D3!$O$2:$O$1001,$AR665)="","",INDEX(Raw_D3!$O$2:$O$1001,$AR665)),"")))</f>
        <v>16</v>
      </c>
      <c r="P665" s="5">
        <f>IF($A665="","",IF($AQ665&lt;&gt;"",IF(INDEX(Raw_D2!$H$2:$H$1001,$AQ665)="","",INDEX(Raw_D2!$H$2:$H$1001,$AQ665)),IF($AR665&lt;&gt;"",IF(INDEX(Raw_D3!$P$2:$P$1001,$AR665)="","",INDEX(Raw_D3!$P$2:$P$1001,$AR665)),"")))</f>
        <v>21</v>
      </c>
      <c r="Q665" s="5" t="str">
        <f>IF($A665="","",IF(AND($AP665&lt;&gt;"",$AQ665&lt;&gt;""),"D1+D2",IF($AR665&lt;&gt;"","D3","Incomplete")))</f>
        <v>D3</v>
      </c>
      <c r="R665" s="17">
        <f>IF($A665="","",IF($K665="",IF($J665="","",ROUND(Lookups!$K$5+Lookups!$K$4*$J665,4)),$K665))</f>
        <v>0.2121</v>
      </c>
      <c r="S665" s="5" t="str">
        <f>IF($A665="","",IF($K665="","Imputed","Original"))</f>
        <v>Original</v>
      </c>
      <c r="T665" s="5" t="str">
        <f>IF($A665="","",IF($P665="","Missing",IF($P665=$N665+$O665,"OK","Mismatch")))</f>
        <v>OK</v>
      </c>
      <c r="U665" s="5" t="str">
        <f>IF($A665="","",IF(COUNTIF($A$2:$A665,$A665)&gt;1,"Duplicate","Unique"))</f>
        <v>Unique</v>
      </c>
      <c r="V665" s="5">
        <f>IF($A665="","",IF(AND($U665="Unique",ISNUMBER($P665)),1,0))</f>
        <v>1</v>
      </c>
      <c r="W665" s="5" t="str">
        <f>IF($A665="","",IF(OR($H665=0,$H665=6),"Weekend","Weekday"))</f>
        <v>Weekend</v>
      </c>
      <c r="X665" s="5" t="str">
        <f>IF($A665="","",TEXT($B665,"ddd"))</f>
        <v>Sun</v>
      </c>
      <c r="Y665" s="5" t="str">
        <f>IF($A665="","",TEXT($B665,"mmm"))</f>
        <v>Jan</v>
      </c>
      <c r="Z665" s="5" t="str">
        <f>IF($A665="","",IFERROR(VLOOKUP($C665,Lookups!$D$4:$E$7,2,FALSE),"Unknown"))</f>
        <v>Winter</v>
      </c>
      <c r="AA665" s="5" t="str">
        <f>IF($A665="","",IFERROR(VLOOKUP($I665,Lookups!$A$4:$B$7,2,FALSE),"Unknown"))</f>
        <v>Mist/Cloudy</v>
      </c>
      <c r="AB665" s="5" t="str">
        <f>IF($A665="","",TEXT($F665,"00")&amp;":00")</f>
        <v>23:00</v>
      </c>
      <c r="AC665" s="5" t="str">
        <f>IF($A665="","",VLOOKUP($F665,Lookups!$G$4:$H$8,2,TRUE))</f>
        <v>Late Evening (20-23)</v>
      </c>
      <c r="AD665" s="18">
        <f>IF($A665="","",IF($J665="","",ROUND($J665*41,1)))</f>
        <v>9.8</v>
      </c>
      <c r="AE665" s="18">
        <f>IF($A665="","",IF($R665="","",ROUND($R665*50,1)))</f>
        <v>10.6</v>
      </c>
      <c r="AF665" s="5">
        <f>IF($A665="","",IF($L665="","",ROUND($L665*100,0)))</f>
        <v>65</v>
      </c>
      <c r="AG665" s="18">
        <f>IF($A665="","",IF($M665="","",ROUND($M665*67,1)))</f>
        <v>19</v>
      </c>
      <c r="AH665" s="19">
        <f>IF($A665="","",IF($P665="","",IF($P665=0,0,$O665/$P665)))</f>
        <v>0.761904761904762</v>
      </c>
      <c r="AI665" s="5" t="str">
        <f>IF($A665="","",IF($P665="","",IF($P665&gt;=Lookups!$K$7,"High",IF($P665&lt;=Lookups!$K$8,"Low","Medium"))))</f>
        <v>Medium</v>
      </c>
      <c r="AJ665" s="5" t="str">
        <f>IF($A665="","",IF($AD665="","",IF($AD665&lt;5,"Under 5 C",IF($AD665&lt;10,"5-10 C",IF($AD665&lt;15,"10-15 C","15 C and above")))))</f>
        <v>5-10 C</v>
      </c>
      <c r="AK665" s="5">
        <f>IF($A665="","",IF($P665="","",$P665^2))</f>
        <v>441</v>
      </c>
      <c r="AL665" s="18">
        <f>IF($V665&lt;&gt;1,"",AVERAGEIFS(Clean_Data!$P$2:$P$1001,Clean_Data!$F$2:$F$1001,$F665,Clean_Data!$W$2:$W$1001,$W665,Clean_Data!$V$2:$V$1001,1))</f>
        <v>28.2857142857143</v>
      </c>
      <c r="AM665" s="16">
        <f>IF($V665&lt;&gt;1,"",IFERROR(($P665-$AL665)/SQRT(MAX(0,(SUMIFS(Clean_Data!$AK$2:$AK$1001,Clean_Data!$F$2:$F$1001,$F665,Clean_Data!$W$2:$W$1001,$W665,Clean_Data!$V$2:$V$1001,1)-COUNTIFS(Clean_Data!$F$2:$F$1001,$F665,Clean_Data!$W$2:$W$1001,$W665,Clean_Data!$V$2:$V$1001,1)*$AL665^2)/(COUNTIFS(Clean_Data!$F$2:$F$1001,$F665,Clean_Data!$W$2:$W$1001,$W665,Clean_Data!$V$2:$V$1001,1)-1))),""))</f>
        <v>-0.52237413383876</v>
      </c>
      <c r="AN665" s="5" t="str">
        <f>IF($AM665="","",IF($AM665&gt;=Lookups!$K$6,"High spike",IF($AM665&lt;=-Lookups!$K$6,"Unusual low","Normal")))</f>
        <v>Normal</v>
      </c>
      <c r="AO665" s="20">
        <f>IF($V665&lt;&gt;1,"",$P665+ROW()/100000)</f>
        <v>21.00665</v>
      </c>
      <c r="AP665" s="5">
        <f>IF($A665="","",IFERROR(MATCH($A665,Raw_D1!$A$2:$A$1001,0),""))</f>
        <v/>
      </c>
      <c r="AQ665" s="5">
        <f>IF($A665="","",IFERROR(MATCH($A665,Raw_D2!$B$2:$B$1001,0),""))</f>
        <v/>
      </c>
      <c r="AR665" s="5">
        <f>IF($A665="","",IFERROR(MATCH($A665,Raw_D3!$A$2:$A$1001,0),""))</f>
        <v>45</v>
      </c>
    </row>
    <row r="666" spans="1:44" x14ac:dyDescent="0.25">
      <c r="A666" s="5">
        <v>665</v>
      </c>
      <c r="B666" s="11">
        <f>IF($A666="","",IF($AP666&lt;&gt;"",INDEX(Raw_D1!$B$2:$B$1001,$AP666),IF($AR666&lt;&gt;"",INDEX(Raw_D3!$B$2:$B$1001,$AR666),"")))</f>
        <v>40574.0</v>
      </c>
      <c r="C666" s="5">
        <f>IF($A666="","",IF($AP666&lt;&gt;"",INDEX(Raw_D1!$C$2:$C$1001,$AP666),IF($AR666&lt;&gt;"",INDEX(Raw_D3!$C$2:$C$1001,$AR666),"")))</f>
        <v>1</v>
      </c>
      <c r="D666" s="5">
        <f>IF($A666="","",IF($AP666&lt;&gt;"",INDEX(Raw_D1!$D$2:$D$1001,$AP666),IF($AR666&lt;&gt;"",INDEX(Raw_D3!$D$2:$D$1001,$AR666),"")))</f>
        <v>0</v>
      </c>
      <c r="E666" s="5">
        <f>IF($A666="","",IF($AP666&lt;&gt;"",INDEX(Raw_D1!$E$2:$E$1001,$AP666),IF($AR666&lt;&gt;"",INDEX(Raw_D3!$E$2:$E$1001,$AR666),"")))</f>
        <v>1</v>
      </c>
      <c r="F666" s="5">
        <f>IF($A666="","",IF($AP666&lt;&gt;"",INDEX(Raw_D1!$F$2:$F$1001,$AP666),IF($AR666&lt;&gt;"",INDEX(Raw_D3!$F$2:$F$1001,$AR666),"")))</f>
        <v>0</v>
      </c>
      <c r="G666" s="5">
        <f>IF($A666="","",IF($AP666&lt;&gt;"",IF(INDEX(Raw_D1!$G$2:$G$1001,$AP666),1,0),IF($AR666&lt;&gt;"",IF(INDEX(Raw_D3!$G$2:$G$1001,$AR666),1,0),"")))</f>
        <v>0</v>
      </c>
      <c r="H666" s="5">
        <f>IF($A666="","",IF($AP666&lt;&gt;"",INDEX(Raw_D1!$H$2:$H$1001,$AP666),IF($AR666&lt;&gt;"",INDEX(Raw_D3!$H$2:$H$1001,$AR666),"")))</f>
        <v>1</v>
      </c>
      <c r="I666" s="5">
        <f>IF($A666="","",IF($AP666&lt;&gt;"",INDEX(Raw_D1!$I$2:$I$1001,$AP666),IF($AR666&lt;&gt;"",INDEX(Raw_D3!$I$2:$I$1001,$AR666),"")))</f>
        <v>2</v>
      </c>
      <c r="J666" s="16">
        <f>IF($A666="","",IF($AP666&lt;&gt;"",INDEX(Raw_D1!$J$2:$J$1001,$AP666),IF($AR666&lt;&gt;"",INDEX(Raw_D3!$J$2:$J$1001,$AR666),"")))</f>
        <v>0.24</v>
      </c>
      <c r="K666" s="17">
        <f>IF($A666="","",IF($AQ666&lt;&gt;"",IF(INDEX(Raw_D2!$C$2:$C$1001,$AQ666)="","",INDEX(Raw_D2!$C$2:$C$1001,$AQ666)),IF($AR666&lt;&gt;"",IF(INDEX(Raw_D3!$K$2:$K$1001,$AR666)="","",INDEX(Raw_D3!$K$2:$K$1001,$AR666)),"")))</f>
        <v>0.2273</v>
      </c>
      <c r="L666" s="16">
        <f>IF($A666="","",IF($AQ666&lt;&gt;"",IF(INDEX(Raw_D2!$D$2:$D$1001,$AQ666)="","",INDEX(Raw_D2!$D$2:$D$1001,$AQ666)),IF($AR666&lt;&gt;"",IF(INDEX(Raw_D3!$L$2:$L$1001,$AR666)="","",INDEX(Raw_D3!$L$2:$L$1001,$AR666)),"")))</f>
        <v>0.65</v>
      </c>
      <c r="M666" s="17">
        <f>IF($A666="","",IF($AQ666&lt;&gt;"",IF(INDEX(Raw_D2!$E$2:$E$1001,$AQ666)="","",INDEX(Raw_D2!$E$2:$E$1001,$AQ666)),IF($AR666&lt;&gt;"",IF(INDEX(Raw_D3!$M$2:$M$1001,$AR666)="","",INDEX(Raw_D3!$M$2:$M$1001,$AR666)),"")))</f>
        <v>0.2239</v>
      </c>
      <c r="N666" s="5">
        <f>IF($A666="","",IF($AQ666&lt;&gt;"",IF(INDEX(Raw_D2!$F$2:$F$1001,$AQ666)="","",INDEX(Raw_D2!$F$2:$F$1001,$AQ666)),IF($AR666&lt;&gt;"",IF(INDEX(Raw_D3!$N$2:$N$1001,$AR666)="","",INDEX(Raw_D3!$N$2:$N$1001,$AR666)),"")))</f>
        <v>1</v>
      </c>
      <c r="O666" s="5">
        <f>IF($A666="","",IF($AQ666&lt;&gt;"",IF(INDEX(Raw_D2!$G$2:$G$1001,$AQ666)="","",INDEX(Raw_D2!$G$2:$G$1001,$AQ666)),IF($AR666&lt;&gt;"",IF(INDEX(Raw_D3!$O$2:$O$1001,$AR666)="","",INDEX(Raw_D3!$O$2:$O$1001,$AR666)),"")))</f>
        <v>6</v>
      </c>
      <c r="P666" s="5">
        <f>IF($A666="","",IF($AQ666&lt;&gt;"",IF(INDEX(Raw_D2!$H$2:$H$1001,$AQ666)="","",INDEX(Raw_D2!$H$2:$H$1001,$AQ666)),IF($AR666&lt;&gt;"",IF(INDEX(Raw_D3!$P$2:$P$1001,$AR666)="","",INDEX(Raw_D3!$P$2:$P$1001,$AR666)),"")))</f>
        <v>7</v>
      </c>
      <c r="Q666" s="5" t="str">
        <f>IF($A666="","",IF(AND($AP666&lt;&gt;"",$AQ666&lt;&gt;""),"D1+D2",IF($AR666&lt;&gt;"","D3","Incomplete")))</f>
        <v>D3</v>
      </c>
      <c r="R666" s="17">
        <f>IF($A666="","",IF($K666="",IF($J666="","",ROUND(Lookups!$K$5+Lookups!$K$4*$J666,4)),$K666))</f>
        <v>0.2273</v>
      </c>
      <c r="S666" s="5" t="str">
        <f>IF($A666="","",IF($K666="","Imputed","Original"))</f>
        <v>Original</v>
      </c>
      <c r="T666" s="5" t="str">
        <f>IF($A666="","",IF($P666="","Missing",IF($P666=$N666+$O666,"OK","Mismatch")))</f>
        <v>OK</v>
      </c>
      <c r="U666" s="5" t="str">
        <f>IF($A666="","",IF(COUNTIF($A$2:$A666,$A666)&gt;1,"Duplicate","Unique"))</f>
        <v>Unique</v>
      </c>
      <c r="V666" s="5">
        <f>IF($A666="","",IF(AND($U666="Unique",ISNUMBER($P666)),1,0))</f>
        <v>1</v>
      </c>
      <c r="W666" s="5" t="str">
        <f>IF($A666="","",IF(OR($H666=0,$H666=6),"Weekend","Weekday"))</f>
        <v>Weekday</v>
      </c>
      <c r="X666" s="5" t="str">
        <f>IF($A666="","",TEXT($B666,"ddd"))</f>
        <v>Mon</v>
      </c>
      <c r="Y666" s="5" t="str">
        <f>IF($A666="","",TEXT($B666,"mmm"))</f>
        <v>Jan</v>
      </c>
      <c r="Z666" s="5" t="str">
        <f>IF($A666="","",IFERROR(VLOOKUP($C666,Lookups!$D$4:$E$7,2,FALSE),"Unknown"))</f>
        <v>Winter</v>
      </c>
      <c r="AA666" s="5" t="str">
        <f>IF($A666="","",IFERROR(VLOOKUP($I666,Lookups!$A$4:$B$7,2,FALSE),"Unknown"))</f>
        <v>Mist/Cloudy</v>
      </c>
      <c r="AB666" s="5" t="str">
        <f>IF($A666="","",TEXT($F666,"00")&amp;":00")</f>
        <v>00:00</v>
      </c>
      <c r="AC666" s="5" t="str">
        <f>IF($A666="","",VLOOKUP($F666,Lookups!$G$4:$H$8,2,TRUE))</f>
        <v>Night (00-05)</v>
      </c>
      <c r="AD666" s="18">
        <f>IF($A666="","",IF($J666="","",ROUND($J666*41,1)))</f>
        <v>9.8</v>
      </c>
      <c r="AE666" s="18">
        <f>IF($A666="","",IF($R666="","",ROUND($R666*50,1)))</f>
        <v>11.4</v>
      </c>
      <c r="AF666" s="5">
        <f>IF($A666="","",IF($L666="","",ROUND($L666*100,0)))</f>
        <v>65</v>
      </c>
      <c r="AG666" s="18">
        <f>IF($A666="","",IF($M666="","",ROUND($M666*67,1)))</f>
        <v>15</v>
      </c>
      <c r="AH666" s="19">
        <f>IF($A666="","",IF($P666="","",IF($P666=0,0,$O666/$P666)))</f>
        <v>0.857142857142857</v>
      </c>
      <c r="AI666" s="5" t="str">
        <f>IF($A666="","",IF($P666="","",IF($P666&gt;=Lookups!$K$7,"High",IF($P666&lt;=Lookups!$K$8,"Low","Medium"))))</f>
        <v>Low</v>
      </c>
      <c r="AJ666" s="5" t="str">
        <f>IF($A666="","",IF($AD666="","",IF($AD666&lt;5,"Under 5 C",IF($AD666&lt;10,"5-10 C",IF($AD666&lt;15,"10-15 C","15 C and above")))))</f>
        <v>5-10 C</v>
      </c>
      <c r="AK666" s="5">
        <f>IF($A666="","",IF($P666="","",$P666^2))</f>
        <v>49</v>
      </c>
      <c r="AL666" s="18">
        <f>IF($V666&lt;&gt;1,"",AVERAGEIFS(Clean_Data!$P$2:$P$1001,Clean_Data!$F$2:$F$1001,$F666,Clean_Data!$W$2:$W$1001,$W666,Clean_Data!$V$2:$V$1001,1))</f>
        <v>10.6896551724138</v>
      </c>
      <c r="AM666" s="16">
        <f>IF($V666&lt;&gt;1,"",IFERROR(($P666-$AL666)/SQRT(MAX(0,(SUMIFS(Clean_Data!$AK$2:$AK$1001,Clean_Data!$F$2:$F$1001,$F666,Clean_Data!$W$2:$W$1001,$W666,Clean_Data!$V$2:$V$1001,1)-COUNTIFS(Clean_Data!$F$2:$F$1001,$F666,Clean_Data!$W$2:$W$1001,$W666,Clean_Data!$V$2:$V$1001,1)*$AL666^2)/(COUNTIFS(Clean_Data!$F$2:$F$1001,$F666,Clean_Data!$W$2:$W$1001,$W666,Clean_Data!$V$2:$V$1001,1)-1))),""))</f>
        <v>-0.754154538911626</v>
      </c>
      <c r="AN666" s="5" t="str">
        <f>IF($AM666="","",IF($AM666&gt;=Lookups!$K$6,"High spike",IF($AM666&lt;=-Lookups!$K$6,"Unusual low","Normal")))</f>
        <v>Normal</v>
      </c>
      <c r="AO666" s="20">
        <f>IF($V666&lt;&gt;1,"",$P666+ROW()/100000)</f>
        <v>7.00666</v>
      </c>
      <c r="AP666" s="5">
        <f>IF($A666="","",IFERROR(MATCH($A666,Raw_D1!$A$2:$A$1001,0),""))</f>
        <v/>
      </c>
      <c r="AQ666" s="5">
        <f>IF($A666="","",IFERROR(MATCH($A666,Raw_D2!$B$2:$B$1001,0),""))</f>
        <v/>
      </c>
      <c r="AR666" s="5">
        <f>IF($A666="","",IFERROR(MATCH($A666,Raw_D3!$A$2:$A$1001,0),""))</f>
        <v>46</v>
      </c>
    </row>
    <row r="667" spans="1:44" x14ac:dyDescent="0.25">
      <c r="A667" s="5">
        <v>666</v>
      </c>
      <c r="B667" s="11">
        <f>IF($A667="","",IF($AP667&lt;&gt;"",INDEX(Raw_D1!$B$2:$B$1001,$AP667),IF($AR667&lt;&gt;"",INDEX(Raw_D3!$B$2:$B$1001,$AR667),"")))</f>
        <v>40574.0</v>
      </c>
      <c r="C667" s="5">
        <f>IF($A667="","",IF($AP667&lt;&gt;"",INDEX(Raw_D1!$C$2:$C$1001,$AP667),IF($AR667&lt;&gt;"",INDEX(Raw_D3!$C$2:$C$1001,$AR667),"")))</f>
        <v>1</v>
      </c>
      <c r="D667" s="5">
        <f>IF($A667="","",IF($AP667&lt;&gt;"",INDEX(Raw_D1!$D$2:$D$1001,$AP667),IF($AR667&lt;&gt;"",INDEX(Raw_D3!$D$2:$D$1001,$AR667),"")))</f>
        <v>0</v>
      </c>
      <c r="E667" s="5">
        <f>IF($A667="","",IF($AP667&lt;&gt;"",INDEX(Raw_D1!$E$2:$E$1001,$AP667),IF($AR667&lt;&gt;"",INDEX(Raw_D3!$E$2:$E$1001,$AR667),"")))</f>
        <v>1</v>
      </c>
      <c r="F667" s="5">
        <f>IF($A667="","",IF($AP667&lt;&gt;"",INDEX(Raw_D1!$F$2:$F$1001,$AP667),IF($AR667&lt;&gt;"",INDEX(Raw_D3!$F$2:$F$1001,$AR667),"")))</f>
        <v>1</v>
      </c>
      <c r="G667" s="5">
        <f>IF($A667="","",IF($AP667&lt;&gt;"",IF(INDEX(Raw_D1!$G$2:$G$1001,$AP667),1,0),IF($AR667&lt;&gt;"",IF(INDEX(Raw_D3!$G$2:$G$1001,$AR667),1,0),"")))</f>
        <v>0</v>
      </c>
      <c r="H667" s="5">
        <f>IF($A667="","",IF($AP667&lt;&gt;"",INDEX(Raw_D1!$H$2:$H$1001,$AP667),IF($AR667&lt;&gt;"",INDEX(Raw_D3!$H$2:$H$1001,$AR667),"")))</f>
        <v>1</v>
      </c>
      <c r="I667" s="5">
        <f>IF($A667="","",IF($AP667&lt;&gt;"",INDEX(Raw_D1!$I$2:$I$1001,$AP667),IF($AR667&lt;&gt;"",INDEX(Raw_D3!$I$2:$I$1001,$AR667),"")))</f>
        <v>1</v>
      </c>
      <c r="J667" s="16">
        <f>IF($A667="","",IF($AP667&lt;&gt;"",INDEX(Raw_D1!$J$2:$J$1001,$AP667),IF($AR667&lt;&gt;"",INDEX(Raw_D3!$J$2:$J$1001,$AR667),"")))</f>
        <v>0.22</v>
      </c>
      <c r="K667" s="17">
        <f>IF($A667="","",IF($AQ667&lt;&gt;"",IF(INDEX(Raw_D2!$C$2:$C$1001,$AQ667)="","",INDEX(Raw_D2!$C$2:$C$1001,$AQ667)),IF($AR667&lt;&gt;"",IF(INDEX(Raw_D3!$K$2:$K$1001,$AR667)="","",INDEX(Raw_D3!$K$2:$K$1001,$AR667)),"")))</f>
        <v>0.2121</v>
      </c>
      <c r="L667" s="16">
        <f>IF($A667="","",IF($AQ667&lt;&gt;"",IF(INDEX(Raw_D2!$D$2:$D$1001,$AQ667)="","",INDEX(Raw_D2!$D$2:$D$1001,$AQ667)),IF($AR667&lt;&gt;"",IF(INDEX(Raw_D3!$L$2:$L$1001,$AR667)="","",INDEX(Raw_D3!$L$2:$L$1001,$AR667)),"")))</f>
        <v>0.64</v>
      </c>
      <c r="M667" s="17">
        <f>IF($A667="","",IF($AQ667&lt;&gt;"",IF(INDEX(Raw_D2!$E$2:$E$1001,$AQ667)="","",INDEX(Raw_D2!$E$2:$E$1001,$AQ667)),IF($AR667&lt;&gt;"",IF(INDEX(Raw_D3!$M$2:$M$1001,$AR667)="","",INDEX(Raw_D3!$M$2:$M$1001,$AR667)),"")))</f>
        <v>0.2537</v>
      </c>
      <c r="N667" s="5">
        <f>IF($A667="","",IF($AQ667&lt;&gt;"",IF(INDEX(Raw_D2!$F$2:$F$1001,$AQ667)="","",INDEX(Raw_D2!$F$2:$F$1001,$AQ667)),IF($AR667&lt;&gt;"",IF(INDEX(Raw_D3!$N$2:$N$1001,$AR667)="","",INDEX(Raw_D3!$N$2:$N$1001,$AR667)),"")))</f>
        <v>2</v>
      </c>
      <c r="O667" s="5">
        <f>IF($A667="","",IF($AQ667&lt;&gt;"",IF(INDEX(Raw_D2!$G$2:$G$1001,$AQ667)="","",INDEX(Raw_D2!$G$2:$G$1001,$AQ667)),IF($AR667&lt;&gt;"",IF(INDEX(Raw_D3!$O$2:$O$1001,$AR667)="","",INDEX(Raw_D3!$O$2:$O$1001,$AR667)),"")))</f>
        <v>5</v>
      </c>
      <c r="P667" s="5">
        <f>IF($A667="","",IF($AQ667&lt;&gt;"",IF(INDEX(Raw_D2!$H$2:$H$1001,$AQ667)="","",INDEX(Raw_D2!$H$2:$H$1001,$AQ667)),IF($AR667&lt;&gt;"",IF(INDEX(Raw_D3!$P$2:$P$1001,$AR667)="","",INDEX(Raw_D3!$P$2:$P$1001,$AR667)),"")))</f>
        <v>7</v>
      </c>
      <c r="Q667" s="5" t="str">
        <f>IF($A667="","",IF(AND($AP667&lt;&gt;"",$AQ667&lt;&gt;""),"D1+D2",IF($AR667&lt;&gt;"","D3","Incomplete")))</f>
        <v>D3</v>
      </c>
      <c r="R667" s="17">
        <f>IF($A667="","",IF($K667="",IF($J667="","",ROUND(Lookups!$K$5+Lookups!$K$4*$J667,4)),$K667))</f>
        <v>0.2121</v>
      </c>
      <c r="S667" s="5" t="str">
        <f>IF($A667="","",IF($K667="","Imputed","Original"))</f>
        <v>Original</v>
      </c>
      <c r="T667" s="5" t="str">
        <f>IF($A667="","",IF($P667="","Missing",IF($P667=$N667+$O667,"OK","Mismatch")))</f>
        <v>OK</v>
      </c>
      <c r="U667" s="5" t="str">
        <f>IF($A667="","",IF(COUNTIF($A$2:$A667,$A667)&gt;1,"Duplicate","Unique"))</f>
        <v>Unique</v>
      </c>
      <c r="V667" s="5">
        <f>IF($A667="","",IF(AND($U667="Unique",ISNUMBER($P667)),1,0))</f>
        <v>1</v>
      </c>
      <c r="W667" s="5" t="str">
        <f>IF($A667="","",IF(OR($H667=0,$H667=6),"Weekend","Weekday"))</f>
        <v>Weekday</v>
      </c>
      <c r="X667" s="5" t="str">
        <f>IF($A667="","",TEXT($B667,"ddd"))</f>
        <v>Mon</v>
      </c>
      <c r="Y667" s="5" t="str">
        <f>IF($A667="","",TEXT($B667,"mmm"))</f>
        <v>Jan</v>
      </c>
      <c r="Z667" s="5" t="str">
        <f>IF($A667="","",IFERROR(VLOOKUP($C667,Lookups!$D$4:$E$7,2,FALSE),"Unknown"))</f>
        <v>Winter</v>
      </c>
      <c r="AA667" s="5" t="str">
        <f>IF($A667="","",IFERROR(VLOOKUP($I667,Lookups!$A$4:$B$7,2,FALSE),"Unknown"))</f>
        <v>Clear</v>
      </c>
      <c r="AB667" s="5" t="str">
        <f>IF($A667="","",TEXT($F667,"00")&amp;":00")</f>
        <v>01:00</v>
      </c>
      <c r="AC667" s="5" t="str">
        <f>IF($A667="","",VLOOKUP($F667,Lookups!$G$4:$H$8,2,TRUE))</f>
        <v>Night (00-05)</v>
      </c>
      <c r="AD667" s="18">
        <f>IF($A667="","",IF($J667="","",ROUND($J667*41,1)))</f>
        <v>9</v>
      </c>
      <c r="AE667" s="18">
        <f>IF($A667="","",IF($R667="","",ROUND($R667*50,1)))</f>
        <v>10.6</v>
      </c>
      <c r="AF667" s="5">
        <f>IF($A667="","",IF($L667="","",ROUND($L667*100,0)))</f>
        <v>64</v>
      </c>
      <c r="AG667" s="18">
        <f>IF($A667="","",IF($M667="","",ROUND($M667*67,1)))</f>
        <v>17</v>
      </c>
      <c r="AH667" s="19">
        <f>IF($A667="","",IF($P667="","",IF($P667=0,0,$O667/$P667)))</f>
        <v>0.714285714285714</v>
      </c>
      <c r="AI667" s="5" t="str">
        <f>IF($A667="","",IF($P667="","",IF($P667&gt;=Lookups!$K$7,"High",IF($P667&lt;=Lookups!$K$8,"Low","Medium"))))</f>
        <v>Low</v>
      </c>
      <c r="AJ667" s="5" t="str">
        <f>IF($A667="","",IF($AD667="","",IF($AD667&lt;5,"Under 5 C",IF($AD667&lt;10,"5-10 C",IF($AD667&lt;15,"10-15 C","15 C and above")))))</f>
        <v>5-10 C</v>
      </c>
      <c r="AK667" s="5">
        <f>IF($A667="","",IF($P667="","",$P667^2))</f>
        <v>49</v>
      </c>
      <c r="AL667" s="18">
        <f>IF($V667&lt;&gt;1,"",AVERAGEIFS(Clean_Data!$P$2:$P$1001,Clean_Data!$F$2:$F$1001,$F667,Clean_Data!$W$2:$W$1001,$W667,Clean_Data!$V$2:$V$1001,1))</f>
        <v>5.10344827586207</v>
      </c>
      <c r="AM667" s="16">
        <f>IF($V667&lt;&gt;1,"",IFERROR(($P667-$AL667)/SQRT(MAX(0,(SUMIFS(Clean_Data!$AK$2:$AK$1001,Clean_Data!$F$2:$F$1001,$F667,Clean_Data!$W$2:$W$1001,$W667,Clean_Data!$V$2:$V$1001,1)-COUNTIFS(Clean_Data!$F$2:$F$1001,$F667,Clean_Data!$W$2:$W$1001,$W667,Clean_Data!$V$2:$V$1001,1)*$AL667^2)/(COUNTIFS(Clean_Data!$F$2:$F$1001,$F667,Clean_Data!$W$2:$W$1001,$W667,Clean_Data!$V$2:$V$1001,1)-1))),""))</f>
        <v>0.657892854181701</v>
      </c>
      <c r="AN667" s="5" t="str">
        <f>IF($AM667="","",IF($AM667&gt;=Lookups!$K$6,"High spike",IF($AM667&lt;=-Lookups!$K$6,"Unusual low","Normal")))</f>
        <v>Normal</v>
      </c>
      <c r="AO667" s="20">
        <f>IF($V667&lt;&gt;1,"",$P667+ROW()/100000)</f>
        <v>7.00667</v>
      </c>
      <c r="AP667" s="5">
        <f>IF($A667="","",IFERROR(MATCH($A667,Raw_D1!$A$2:$A$1001,0),""))</f>
        <v/>
      </c>
      <c r="AQ667" s="5">
        <f>IF($A667="","",IFERROR(MATCH($A667,Raw_D2!$B$2:$B$1001,0),""))</f>
        <v/>
      </c>
      <c r="AR667" s="5">
        <f>IF($A667="","",IFERROR(MATCH($A667,Raw_D3!$A$2:$A$1001,0),""))</f>
        <v>47</v>
      </c>
    </row>
    <row r="668" spans="1:44" x14ac:dyDescent="0.25">
      <c r="A668" s="5">
        <v>667</v>
      </c>
      <c r="B668" s="11">
        <f>IF($A668="","",IF($AP668&lt;&gt;"",INDEX(Raw_D1!$B$2:$B$1001,$AP668),IF($AR668&lt;&gt;"",INDEX(Raw_D3!$B$2:$B$1001,$AR668),"")))</f>
        <v>40574.0</v>
      </c>
      <c r="C668" s="5">
        <f>IF($A668="","",IF($AP668&lt;&gt;"",INDEX(Raw_D1!$C$2:$C$1001,$AP668),IF($AR668&lt;&gt;"",INDEX(Raw_D3!$C$2:$C$1001,$AR668),"")))</f>
        <v>1</v>
      </c>
      <c r="D668" s="5">
        <f>IF($A668="","",IF($AP668&lt;&gt;"",INDEX(Raw_D1!$D$2:$D$1001,$AP668),IF($AR668&lt;&gt;"",INDEX(Raw_D3!$D$2:$D$1001,$AR668),"")))</f>
        <v>0</v>
      </c>
      <c r="E668" s="5">
        <f>IF($A668="","",IF($AP668&lt;&gt;"",INDEX(Raw_D1!$E$2:$E$1001,$AP668),IF($AR668&lt;&gt;"",INDEX(Raw_D3!$E$2:$E$1001,$AR668),"")))</f>
        <v>1</v>
      </c>
      <c r="F668" s="5">
        <f>IF($A668="","",IF($AP668&lt;&gt;"",INDEX(Raw_D1!$F$2:$F$1001,$AP668),IF($AR668&lt;&gt;"",INDEX(Raw_D3!$F$2:$F$1001,$AR668),"")))</f>
        <v>2</v>
      </c>
      <c r="G668" s="5">
        <f>IF($A668="","",IF($AP668&lt;&gt;"",IF(INDEX(Raw_D1!$G$2:$G$1001,$AP668),1,0),IF($AR668&lt;&gt;"",IF(INDEX(Raw_D3!$G$2:$G$1001,$AR668),1,0),"")))</f>
        <v>0</v>
      </c>
      <c r="H668" s="5">
        <f>IF($A668="","",IF($AP668&lt;&gt;"",INDEX(Raw_D1!$H$2:$H$1001,$AP668),IF($AR668&lt;&gt;"",INDEX(Raw_D3!$H$2:$H$1001,$AR668),"")))</f>
        <v>1</v>
      </c>
      <c r="I668" s="5">
        <f>IF($A668="","",IF($AP668&lt;&gt;"",INDEX(Raw_D1!$I$2:$I$1001,$AP668),IF($AR668&lt;&gt;"",INDEX(Raw_D3!$I$2:$I$1001,$AR668),"")))</f>
        <v>1</v>
      </c>
      <c r="J668" s="16">
        <f>IF($A668="","",IF($AP668&lt;&gt;"",INDEX(Raw_D1!$J$2:$J$1001,$AP668),IF($AR668&lt;&gt;"",INDEX(Raw_D3!$J$2:$J$1001,$AR668),"")))</f>
        <v>0.22</v>
      </c>
      <c r="K668" s="17">
        <f>IF($A668="","",IF($AQ668&lt;&gt;"",IF(INDEX(Raw_D2!$C$2:$C$1001,$AQ668)="","",INDEX(Raw_D2!$C$2:$C$1001,$AQ668)),IF($AR668&lt;&gt;"",IF(INDEX(Raw_D3!$K$2:$K$1001,$AR668)="","",INDEX(Raw_D3!$K$2:$K$1001,$AR668)),"")))</f>
        <v>0.2273</v>
      </c>
      <c r="L668" s="16">
        <f>IF($A668="","",IF($AQ668&lt;&gt;"",IF(INDEX(Raw_D2!$D$2:$D$1001,$AQ668)="","",INDEX(Raw_D2!$D$2:$D$1001,$AQ668)),IF($AR668&lt;&gt;"",IF(INDEX(Raw_D3!$L$2:$L$1001,$AR668)="","",INDEX(Raw_D3!$L$2:$L$1001,$AR668)),"")))</f>
        <v>0.64</v>
      </c>
      <c r="M668" s="17">
        <f>IF($A668="","",IF($AQ668&lt;&gt;"",IF(INDEX(Raw_D2!$E$2:$E$1001,$AQ668)="","",INDEX(Raw_D2!$E$2:$E$1001,$AQ668)),IF($AR668&lt;&gt;"",IF(INDEX(Raw_D3!$M$2:$M$1001,$AR668)="","",INDEX(Raw_D3!$M$2:$M$1001,$AR668)),"")))</f>
        <v>0.194</v>
      </c>
      <c r="N668" s="5">
        <f>IF($A668="","",IF($AQ668&lt;&gt;"",IF(INDEX(Raw_D2!$F$2:$F$1001,$AQ668)="","",INDEX(Raw_D2!$F$2:$F$1001,$AQ668)),IF($AR668&lt;&gt;"",IF(INDEX(Raw_D3!$N$2:$N$1001,$AR668)="","",INDEX(Raw_D3!$N$2:$N$1001,$AR668)),"")))</f>
        <v>0</v>
      </c>
      <c r="O668" s="5">
        <f>IF($A668="","",IF($AQ668&lt;&gt;"",IF(INDEX(Raw_D2!$G$2:$G$1001,$AQ668)="","",INDEX(Raw_D2!$G$2:$G$1001,$AQ668)),IF($AR668&lt;&gt;"",IF(INDEX(Raw_D3!$O$2:$O$1001,$AR668)="","",INDEX(Raw_D3!$O$2:$O$1001,$AR668)),"")))</f>
        <v>1</v>
      </c>
      <c r="P668" s="5">
        <f>IF($A668="","",IF($AQ668&lt;&gt;"",IF(INDEX(Raw_D2!$H$2:$H$1001,$AQ668)="","",INDEX(Raw_D2!$H$2:$H$1001,$AQ668)),IF($AR668&lt;&gt;"",IF(INDEX(Raw_D3!$P$2:$P$1001,$AR668)="","",INDEX(Raw_D3!$P$2:$P$1001,$AR668)),"")))</f>
        <v>1</v>
      </c>
      <c r="Q668" s="5" t="str">
        <f>IF($A668="","",IF(AND($AP668&lt;&gt;"",$AQ668&lt;&gt;""),"D1+D2",IF($AR668&lt;&gt;"","D3","Incomplete")))</f>
        <v>D3</v>
      </c>
      <c r="R668" s="17">
        <f>IF($A668="","",IF($K668="",IF($J668="","",ROUND(Lookups!$K$5+Lookups!$K$4*$J668,4)),$K668))</f>
        <v>0.2273</v>
      </c>
      <c r="S668" s="5" t="str">
        <f>IF($A668="","",IF($K668="","Imputed","Original"))</f>
        <v>Original</v>
      </c>
      <c r="T668" s="5" t="str">
        <f>IF($A668="","",IF($P668="","Missing",IF($P668=$N668+$O668,"OK","Mismatch")))</f>
        <v>OK</v>
      </c>
      <c r="U668" s="5" t="str">
        <f>IF($A668="","",IF(COUNTIF($A$2:$A668,$A668)&gt;1,"Duplicate","Unique"))</f>
        <v>Unique</v>
      </c>
      <c r="V668" s="5">
        <f>IF($A668="","",IF(AND($U668="Unique",ISNUMBER($P668)),1,0))</f>
        <v>1</v>
      </c>
      <c r="W668" s="5" t="str">
        <f>IF($A668="","",IF(OR($H668=0,$H668=6),"Weekend","Weekday"))</f>
        <v>Weekday</v>
      </c>
      <c r="X668" s="5" t="str">
        <f>IF($A668="","",TEXT($B668,"ddd"))</f>
        <v>Mon</v>
      </c>
      <c r="Y668" s="5" t="str">
        <f>IF($A668="","",TEXT($B668,"mmm"))</f>
        <v>Jan</v>
      </c>
      <c r="Z668" s="5" t="str">
        <f>IF($A668="","",IFERROR(VLOOKUP($C668,Lookups!$D$4:$E$7,2,FALSE),"Unknown"))</f>
        <v>Winter</v>
      </c>
      <c r="AA668" s="5" t="str">
        <f>IF($A668="","",IFERROR(VLOOKUP($I668,Lookups!$A$4:$B$7,2,FALSE),"Unknown"))</f>
        <v>Clear</v>
      </c>
      <c r="AB668" s="5" t="str">
        <f>IF($A668="","",TEXT($F668,"00")&amp;":00")</f>
        <v>02:00</v>
      </c>
      <c r="AC668" s="5" t="str">
        <f>IF($A668="","",VLOOKUP($F668,Lookups!$G$4:$H$8,2,TRUE))</f>
        <v>Night (00-05)</v>
      </c>
      <c r="AD668" s="18">
        <f>IF($A668="","",IF($J668="","",ROUND($J668*41,1)))</f>
        <v>9</v>
      </c>
      <c r="AE668" s="18">
        <f>IF($A668="","",IF($R668="","",ROUND($R668*50,1)))</f>
        <v>11.4</v>
      </c>
      <c r="AF668" s="5">
        <f>IF($A668="","",IF($L668="","",ROUND($L668*100,0)))</f>
        <v>64</v>
      </c>
      <c r="AG668" s="18">
        <f>IF($A668="","",IF($M668="","",ROUND($M668*67,1)))</f>
        <v>13</v>
      </c>
      <c r="AH668" s="19">
        <f>IF($A668="","",IF($P668="","",IF($P668=0,0,$O668/$P668)))</f>
        <v>1</v>
      </c>
      <c r="AI668" s="5" t="str">
        <f>IF($A668="","",IF($P668="","",IF($P668&gt;=Lookups!$K$7,"High",IF($P668&lt;=Lookups!$K$8,"Low","Medium"))))</f>
        <v>Low</v>
      </c>
      <c r="AJ668" s="5" t="str">
        <f>IF($A668="","",IF($AD668="","",IF($AD668&lt;5,"Under 5 C",IF($AD668&lt;10,"5-10 C",IF($AD668&lt;15,"10-15 C","15 C and above")))))</f>
        <v>5-10 C</v>
      </c>
      <c r="AK668" s="5">
        <f>IF($A668="","",IF($P668="","",$P668^2))</f>
        <v>1</v>
      </c>
      <c r="AL668" s="18">
        <f>IF($V668&lt;&gt;1,"",AVERAGEIFS(Clean_Data!$P$2:$P$1001,Clean_Data!$F$2:$F$1001,$F668,Clean_Data!$W$2:$W$1001,$W668,Clean_Data!$V$2:$V$1001,1))</f>
        <v>2.62962962962963</v>
      </c>
      <c r="AM668" s="16">
        <f>IF($V668&lt;&gt;1,"",IFERROR(($P668-$AL668)/SQRT(MAX(0,(SUMIFS(Clean_Data!$AK$2:$AK$1001,Clean_Data!$F$2:$F$1001,$F668,Clean_Data!$W$2:$W$1001,$W668,Clean_Data!$V$2:$V$1001,1)-COUNTIFS(Clean_Data!$F$2:$F$1001,$F668,Clean_Data!$W$2:$W$1001,$W668,Clean_Data!$V$2:$V$1001,1)*$AL668^2)/(COUNTIFS(Clean_Data!$F$2:$F$1001,$F668,Clean_Data!$W$2:$W$1001,$W668,Clean_Data!$V$2:$V$1001,1)-1))),""))</f>
        <v>-0.80596562646555</v>
      </c>
      <c r="AN668" s="5" t="str">
        <f>IF($AM668="","",IF($AM668&gt;=Lookups!$K$6,"High spike",IF($AM668&lt;=-Lookups!$K$6,"Unusual low","Normal")))</f>
        <v>Normal</v>
      </c>
      <c r="AO668" s="20">
        <f>IF($V668&lt;&gt;1,"",$P668+ROW()/100000)</f>
        <v>1.00668</v>
      </c>
      <c r="AP668" s="5">
        <f>IF($A668="","",IFERROR(MATCH($A668,Raw_D1!$A$2:$A$1001,0),""))</f>
        <v/>
      </c>
      <c r="AQ668" s="5">
        <f>IF($A668="","",IFERROR(MATCH($A668,Raw_D2!$B$2:$B$1001,0),""))</f>
        <v/>
      </c>
      <c r="AR668" s="5">
        <f>IF($A668="","",IFERROR(MATCH($A668,Raw_D3!$A$2:$A$1001,0),""))</f>
        <v>48</v>
      </c>
    </row>
    <row r="669" spans="1:44" x14ac:dyDescent="0.25">
      <c r="A669" s="5">
        <v>668</v>
      </c>
      <c r="B669" s="11">
        <f>IF($A669="","",IF($AP669&lt;&gt;"",INDEX(Raw_D1!$B$2:$B$1001,$AP669),IF($AR669&lt;&gt;"",INDEX(Raw_D3!$B$2:$B$1001,$AR669),"")))</f>
        <v>40574.0</v>
      </c>
      <c r="C669" s="5">
        <f>IF($A669="","",IF($AP669&lt;&gt;"",INDEX(Raw_D1!$C$2:$C$1001,$AP669),IF($AR669&lt;&gt;"",INDEX(Raw_D3!$C$2:$C$1001,$AR669),"")))</f>
        <v>1</v>
      </c>
      <c r="D669" s="5">
        <f>IF($A669="","",IF($AP669&lt;&gt;"",INDEX(Raw_D1!$D$2:$D$1001,$AP669),IF($AR669&lt;&gt;"",INDEX(Raw_D3!$D$2:$D$1001,$AR669),"")))</f>
        <v>0</v>
      </c>
      <c r="E669" s="5">
        <f>IF($A669="","",IF($AP669&lt;&gt;"",INDEX(Raw_D1!$E$2:$E$1001,$AP669),IF($AR669&lt;&gt;"",INDEX(Raw_D3!$E$2:$E$1001,$AR669),"")))</f>
        <v>1</v>
      </c>
      <c r="F669" s="5">
        <f>IF($A669="","",IF($AP669&lt;&gt;"",INDEX(Raw_D1!$F$2:$F$1001,$AP669),IF($AR669&lt;&gt;"",INDEX(Raw_D3!$F$2:$F$1001,$AR669),"")))</f>
        <v>3</v>
      </c>
      <c r="G669" s="5">
        <f>IF($A669="","",IF($AP669&lt;&gt;"",IF(INDEX(Raw_D1!$G$2:$G$1001,$AP669),1,0),IF($AR669&lt;&gt;"",IF(INDEX(Raw_D3!$G$2:$G$1001,$AR669),1,0),"")))</f>
        <v>0</v>
      </c>
      <c r="H669" s="5">
        <f>IF($A669="","",IF($AP669&lt;&gt;"",INDEX(Raw_D1!$H$2:$H$1001,$AP669),IF($AR669&lt;&gt;"",INDEX(Raw_D3!$H$2:$H$1001,$AR669),"")))</f>
        <v>1</v>
      </c>
      <c r="I669" s="5">
        <f>IF($A669="","",IF($AP669&lt;&gt;"",INDEX(Raw_D1!$I$2:$I$1001,$AP669),IF($AR669&lt;&gt;"",INDEX(Raw_D3!$I$2:$I$1001,$AR669),"")))</f>
        <v>1</v>
      </c>
      <c r="J669" s="16">
        <f>IF($A669="","",IF($AP669&lt;&gt;"",INDEX(Raw_D1!$J$2:$J$1001,$AP669),IF($AR669&lt;&gt;"",INDEX(Raw_D3!$J$2:$J$1001,$AR669),"")))</f>
        <v>0.22</v>
      </c>
      <c r="K669" s="17">
        <f>IF($A669="","",IF($AQ669&lt;&gt;"",IF(INDEX(Raw_D2!$C$2:$C$1001,$AQ669)="","",INDEX(Raw_D2!$C$2:$C$1001,$AQ669)),IF($AR669&lt;&gt;"",IF(INDEX(Raw_D3!$K$2:$K$1001,$AR669)="","",INDEX(Raw_D3!$K$2:$K$1001,$AR669)),"")))</f>
        <v>0.2273</v>
      </c>
      <c r="L669" s="16">
        <f>IF($A669="","",IF($AQ669&lt;&gt;"",IF(INDEX(Raw_D2!$D$2:$D$1001,$AQ669)="","",INDEX(Raw_D2!$D$2:$D$1001,$AQ669)),IF($AR669&lt;&gt;"",IF(INDEX(Raw_D3!$L$2:$L$1001,$AR669)="","",INDEX(Raw_D3!$L$2:$L$1001,$AR669)),"")))</f>
        <v>0.64</v>
      </c>
      <c r="M669" s="17">
        <f>IF($A669="","",IF($AQ669&lt;&gt;"",IF(INDEX(Raw_D2!$E$2:$E$1001,$AQ669)="","",INDEX(Raw_D2!$E$2:$E$1001,$AQ669)),IF($AR669&lt;&gt;"",IF(INDEX(Raw_D3!$M$2:$M$1001,$AR669)="","",INDEX(Raw_D3!$M$2:$M$1001,$AR669)),"")))</f>
        <v>0.194</v>
      </c>
      <c r="N669" s="5">
        <f>IF($A669="","",IF($AQ669&lt;&gt;"",IF(INDEX(Raw_D2!$F$2:$F$1001,$AQ669)="","",INDEX(Raw_D2!$F$2:$F$1001,$AQ669)),IF($AR669&lt;&gt;"",IF(INDEX(Raw_D3!$N$2:$N$1001,$AR669)="","",INDEX(Raw_D3!$N$2:$N$1001,$AR669)),"")))</f>
        <v>0</v>
      </c>
      <c r="O669" s="5">
        <f>IF($A669="","",IF($AQ669&lt;&gt;"",IF(INDEX(Raw_D2!$G$2:$G$1001,$AQ669)="","",INDEX(Raw_D2!$G$2:$G$1001,$AQ669)),IF($AR669&lt;&gt;"",IF(INDEX(Raw_D3!$O$2:$O$1001,$AR669)="","",INDEX(Raw_D3!$O$2:$O$1001,$AR669)),"")))</f>
        <v>2</v>
      </c>
      <c r="P669" s="5">
        <f>IF($A669="","",IF($AQ669&lt;&gt;"",IF(INDEX(Raw_D2!$H$2:$H$1001,$AQ669)="","",INDEX(Raw_D2!$H$2:$H$1001,$AQ669)),IF($AR669&lt;&gt;"",IF(INDEX(Raw_D3!$P$2:$P$1001,$AR669)="","",INDEX(Raw_D3!$P$2:$P$1001,$AR669)),"")))</f>
        <v>2</v>
      </c>
      <c r="Q669" s="5" t="str">
        <f>IF($A669="","",IF(AND($AP669&lt;&gt;"",$AQ669&lt;&gt;""),"D1+D2",IF($AR669&lt;&gt;"","D3","Incomplete")))</f>
        <v>D3</v>
      </c>
      <c r="R669" s="17">
        <f>IF($A669="","",IF($K669="",IF($J669="","",ROUND(Lookups!$K$5+Lookups!$K$4*$J669,4)),$K669))</f>
        <v>0.2273</v>
      </c>
      <c r="S669" s="5" t="str">
        <f>IF($A669="","",IF($K669="","Imputed","Original"))</f>
        <v>Original</v>
      </c>
      <c r="T669" s="5" t="str">
        <f>IF($A669="","",IF($P669="","Missing",IF($P669=$N669+$O669,"OK","Mismatch")))</f>
        <v>OK</v>
      </c>
      <c r="U669" s="5" t="str">
        <f>IF($A669="","",IF(COUNTIF($A$2:$A669,$A669)&gt;1,"Duplicate","Unique"))</f>
        <v>Unique</v>
      </c>
      <c r="V669" s="5">
        <f>IF($A669="","",IF(AND($U669="Unique",ISNUMBER($P669)),1,0))</f>
        <v>1</v>
      </c>
      <c r="W669" s="5" t="str">
        <f>IF($A669="","",IF(OR($H669=0,$H669=6),"Weekend","Weekday"))</f>
        <v>Weekday</v>
      </c>
      <c r="X669" s="5" t="str">
        <f>IF($A669="","",TEXT($B669,"ddd"))</f>
        <v>Mon</v>
      </c>
      <c r="Y669" s="5" t="str">
        <f>IF($A669="","",TEXT($B669,"mmm"))</f>
        <v>Jan</v>
      </c>
      <c r="Z669" s="5" t="str">
        <f>IF($A669="","",IFERROR(VLOOKUP($C669,Lookups!$D$4:$E$7,2,FALSE),"Unknown"))</f>
        <v>Winter</v>
      </c>
      <c r="AA669" s="5" t="str">
        <f>IF($A669="","",IFERROR(VLOOKUP($I669,Lookups!$A$4:$B$7,2,FALSE),"Unknown"))</f>
        <v>Clear</v>
      </c>
      <c r="AB669" s="5" t="str">
        <f>IF($A669="","",TEXT($F669,"00")&amp;":00")</f>
        <v>03:00</v>
      </c>
      <c r="AC669" s="5" t="str">
        <f>IF($A669="","",VLOOKUP($F669,Lookups!$G$4:$H$8,2,TRUE))</f>
        <v>Night (00-05)</v>
      </c>
      <c r="AD669" s="18">
        <f>IF($A669="","",IF($J669="","",ROUND($J669*41,1)))</f>
        <v>9</v>
      </c>
      <c r="AE669" s="18">
        <f>IF($A669="","",IF($R669="","",ROUND($R669*50,1)))</f>
        <v>11.4</v>
      </c>
      <c r="AF669" s="5">
        <f>IF($A669="","",IF($L669="","",ROUND($L669*100,0)))</f>
        <v>64</v>
      </c>
      <c r="AG669" s="18">
        <f>IF($A669="","",IF($M669="","",ROUND($M669*67,1)))</f>
        <v>13</v>
      </c>
      <c r="AH669" s="19">
        <f>IF($A669="","",IF($P669="","",IF($P669=0,0,$O669/$P669)))</f>
        <v>1</v>
      </c>
      <c r="AI669" s="5" t="str">
        <f>IF($A669="","",IF($P669="","",IF($P669&gt;=Lookups!$K$7,"High",IF($P669&lt;=Lookups!$K$8,"Low","Medium"))))</f>
        <v>Low</v>
      </c>
      <c r="AJ669" s="5" t="str">
        <f>IF($A669="","",IF($AD669="","",IF($AD669&lt;5,"Under 5 C",IF($AD669&lt;10,"5-10 C",IF($AD669&lt;15,"10-15 C","15 C and above")))))</f>
        <v>5-10 C</v>
      </c>
      <c r="AK669" s="5">
        <f>IF($A669="","",IF($P669="","",$P669^2))</f>
        <v>4</v>
      </c>
      <c r="AL669" s="18">
        <f>IF($V669&lt;&gt;1,"",AVERAGEIFS(Clean_Data!$P$2:$P$1001,Clean_Data!$F$2:$F$1001,$F669,Clean_Data!$W$2:$W$1001,$W669,Clean_Data!$V$2:$V$1001,1))</f>
        <v>1.41176470588235</v>
      </c>
      <c r="AM669" s="16">
        <f>IF($V669&lt;&gt;1,"",IFERROR(($P669-$AL669)/SQRT(MAX(0,(SUMIFS(Clean_Data!$AK$2:$AK$1001,Clean_Data!$F$2:$F$1001,$F669,Clean_Data!$W$2:$W$1001,$W669,Clean_Data!$V$2:$V$1001,1)-COUNTIFS(Clean_Data!$F$2:$F$1001,$F669,Clean_Data!$W$2:$W$1001,$W669,Clean_Data!$V$2:$V$1001,1)*$AL669^2)/(COUNTIFS(Clean_Data!$F$2:$F$1001,$F669,Clean_Data!$W$2:$W$1001,$W669,Clean_Data!$V$2:$V$1001,1)-1))),""))</f>
        <v>0.951302988308989</v>
      </c>
      <c r="AN669" s="5" t="str">
        <f>IF($AM669="","",IF($AM669&gt;=Lookups!$K$6,"High spike",IF($AM669&lt;=-Lookups!$K$6,"Unusual low","Normal")))</f>
        <v>Normal</v>
      </c>
      <c r="AO669" s="20">
        <f>IF($V669&lt;&gt;1,"",$P669+ROW()/100000)</f>
        <v>2.00669</v>
      </c>
      <c r="AP669" s="5">
        <f>IF($A669="","",IFERROR(MATCH($A669,Raw_D1!$A$2:$A$1001,0),""))</f>
        <v/>
      </c>
      <c r="AQ669" s="5">
        <f>IF($A669="","",IFERROR(MATCH($A669,Raw_D2!$B$2:$B$1001,0),""))</f>
        <v/>
      </c>
      <c r="AR669" s="5">
        <f>IF($A669="","",IFERROR(MATCH($A669,Raw_D3!$A$2:$A$1001,0),""))</f>
        <v>49</v>
      </c>
    </row>
    <row r="670" spans="1:44" x14ac:dyDescent="0.25">
      <c r="A670" s="5">
        <v>669</v>
      </c>
      <c r="B670" s="11">
        <f>IF($A670="","",IF($AP670&lt;&gt;"",INDEX(Raw_D1!$B$2:$B$1001,$AP670),IF($AR670&lt;&gt;"",INDEX(Raw_D3!$B$2:$B$1001,$AR670),"")))</f>
        <v>40574.0</v>
      </c>
      <c r="C670" s="5">
        <f>IF($A670="","",IF($AP670&lt;&gt;"",INDEX(Raw_D1!$C$2:$C$1001,$AP670),IF($AR670&lt;&gt;"",INDEX(Raw_D3!$C$2:$C$1001,$AR670),"")))</f>
        <v>1</v>
      </c>
      <c r="D670" s="5">
        <f>IF($A670="","",IF($AP670&lt;&gt;"",INDEX(Raw_D1!$D$2:$D$1001,$AP670),IF($AR670&lt;&gt;"",INDEX(Raw_D3!$D$2:$D$1001,$AR670),"")))</f>
        <v>0</v>
      </c>
      <c r="E670" s="5">
        <f>IF($A670="","",IF($AP670&lt;&gt;"",INDEX(Raw_D1!$E$2:$E$1001,$AP670),IF($AR670&lt;&gt;"",INDEX(Raw_D3!$E$2:$E$1001,$AR670),"")))</f>
        <v>1</v>
      </c>
      <c r="F670" s="5">
        <f>IF($A670="","",IF($AP670&lt;&gt;"",INDEX(Raw_D1!$F$2:$F$1001,$AP670),IF($AR670&lt;&gt;"",INDEX(Raw_D3!$F$2:$F$1001,$AR670),"")))</f>
        <v>4</v>
      </c>
      <c r="G670" s="5">
        <f>IF($A670="","",IF($AP670&lt;&gt;"",IF(INDEX(Raw_D1!$G$2:$G$1001,$AP670),1,0),IF($AR670&lt;&gt;"",IF(INDEX(Raw_D3!$G$2:$G$1001,$AR670),1,0),"")))</f>
        <v>0</v>
      </c>
      <c r="H670" s="5">
        <f>IF($A670="","",IF($AP670&lt;&gt;"",INDEX(Raw_D1!$H$2:$H$1001,$AP670),IF($AR670&lt;&gt;"",INDEX(Raw_D3!$H$2:$H$1001,$AR670),"")))</f>
        <v>1</v>
      </c>
      <c r="I670" s="5">
        <f>IF($A670="","",IF($AP670&lt;&gt;"",INDEX(Raw_D1!$I$2:$I$1001,$AP670),IF($AR670&lt;&gt;"",INDEX(Raw_D3!$I$2:$I$1001,$AR670),"")))</f>
        <v>1</v>
      </c>
      <c r="J670" s="16">
        <f>IF($A670="","",IF($AP670&lt;&gt;"",INDEX(Raw_D1!$J$2:$J$1001,$AP670),IF($AR670&lt;&gt;"",INDEX(Raw_D3!$J$2:$J$1001,$AR670),"")))</f>
        <v>0.2</v>
      </c>
      <c r="K670" s="17">
        <f>IF($A670="","",IF($AQ670&lt;&gt;"",IF(INDEX(Raw_D2!$C$2:$C$1001,$AQ670)="","",INDEX(Raw_D2!$C$2:$C$1001,$AQ670)),IF($AR670&lt;&gt;"",IF(INDEX(Raw_D3!$K$2:$K$1001,$AR670)="","",INDEX(Raw_D3!$K$2:$K$1001,$AR670)),"")))</f>
        <v>0.197</v>
      </c>
      <c r="L670" s="16">
        <f>IF($A670="","",IF($AQ670&lt;&gt;"",IF(INDEX(Raw_D2!$D$2:$D$1001,$AQ670)="","",INDEX(Raw_D2!$D$2:$D$1001,$AQ670)),IF($AR670&lt;&gt;"",IF(INDEX(Raw_D3!$L$2:$L$1001,$AR670)="","",INDEX(Raw_D3!$L$2:$L$1001,$AR670)),"")))</f>
        <v>0.59</v>
      </c>
      <c r="M670" s="17">
        <f>IF($A670="","",IF($AQ670&lt;&gt;"",IF(INDEX(Raw_D2!$E$2:$E$1001,$AQ670)="","",INDEX(Raw_D2!$E$2:$E$1001,$AQ670)),IF($AR670&lt;&gt;"",IF(INDEX(Raw_D3!$M$2:$M$1001,$AR670)="","",INDEX(Raw_D3!$M$2:$M$1001,$AR670)),"")))</f>
        <v>0.2239</v>
      </c>
      <c r="N670" s="5">
        <f>IF($A670="","",IF($AQ670&lt;&gt;"",IF(INDEX(Raw_D2!$F$2:$F$1001,$AQ670)="","",INDEX(Raw_D2!$F$2:$F$1001,$AQ670)),IF($AR670&lt;&gt;"",IF(INDEX(Raw_D3!$N$2:$N$1001,$AR670)="","",INDEX(Raw_D3!$N$2:$N$1001,$AR670)),"")))</f>
        <v>0</v>
      </c>
      <c r="O670" s="5">
        <f>IF($A670="","",IF($AQ670&lt;&gt;"",IF(INDEX(Raw_D2!$G$2:$G$1001,$AQ670)="","",INDEX(Raw_D2!$G$2:$G$1001,$AQ670)),IF($AR670&lt;&gt;"",IF(INDEX(Raw_D3!$O$2:$O$1001,$AR670)="","",INDEX(Raw_D3!$O$2:$O$1001,$AR670)),"")))</f>
        <v>2</v>
      </c>
      <c r="P670" s="5">
        <f>IF($A670="","",IF($AQ670&lt;&gt;"",IF(INDEX(Raw_D2!$H$2:$H$1001,$AQ670)="","",INDEX(Raw_D2!$H$2:$H$1001,$AQ670)),IF($AR670&lt;&gt;"",IF(INDEX(Raw_D3!$P$2:$P$1001,$AR670)="","",INDEX(Raw_D3!$P$2:$P$1001,$AR670)),"")))</f>
        <v>2</v>
      </c>
      <c r="Q670" s="5" t="str">
        <f>IF($A670="","",IF(AND($AP670&lt;&gt;"",$AQ670&lt;&gt;""),"D1+D2",IF($AR670&lt;&gt;"","D3","Incomplete")))</f>
        <v>D3</v>
      </c>
      <c r="R670" s="17">
        <f>IF($A670="","",IF($K670="",IF($J670="","",ROUND(Lookups!$K$5+Lookups!$K$4*$J670,4)),$K670))</f>
        <v>0.197</v>
      </c>
      <c r="S670" s="5" t="str">
        <f>IF($A670="","",IF($K670="","Imputed","Original"))</f>
        <v>Original</v>
      </c>
      <c r="T670" s="5" t="str">
        <f>IF($A670="","",IF($P670="","Missing",IF($P670=$N670+$O670,"OK","Mismatch")))</f>
        <v>OK</v>
      </c>
      <c r="U670" s="5" t="str">
        <f>IF($A670="","",IF(COUNTIF($A$2:$A670,$A670)&gt;1,"Duplicate","Unique"))</f>
        <v>Unique</v>
      </c>
      <c r="V670" s="5">
        <f>IF($A670="","",IF(AND($U670="Unique",ISNUMBER($P670)),1,0))</f>
        <v>1</v>
      </c>
      <c r="W670" s="5" t="str">
        <f>IF($A670="","",IF(OR($H670=0,$H670=6),"Weekend","Weekday"))</f>
        <v>Weekday</v>
      </c>
      <c r="X670" s="5" t="str">
        <f>IF($A670="","",TEXT($B670,"ddd"))</f>
        <v>Mon</v>
      </c>
      <c r="Y670" s="5" t="str">
        <f>IF($A670="","",TEXT($B670,"mmm"))</f>
        <v>Jan</v>
      </c>
      <c r="Z670" s="5" t="str">
        <f>IF($A670="","",IFERROR(VLOOKUP($C670,Lookups!$D$4:$E$7,2,FALSE),"Unknown"))</f>
        <v>Winter</v>
      </c>
      <c r="AA670" s="5" t="str">
        <f>IF($A670="","",IFERROR(VLOOKUP($I670,Lookups!$A$4:$B$7,2,FALSE),"Unknown"))</f>
        <v>Clear</v>
      </c>
      <c r="AB670" s="5" t="str">
        <f>IF($A670="","",TEXT($F670,"00")&amp;":00")</f>
        <v>04:00</v>
      </c>
      <c r="AC670" s="5" t="str">
        <f>IF($A670="","",VLOOKUP($F670,Lookups!$G$4:$H$8,2,TRUE))</f>
        <v>Night (00-05)</v>
      </c>
      <c r="AD670" s="18">
        <f>IF($A670="","",IF($J670="","",ROUND($J670*41,1)))</f>
        <v>8.2</v>
      </c>
      <c r="AE670" s="18">
        <f>IF($A670="","",IF($R670="","",ROUND($R670*50,1)))</f>
        <v>9.9</v>
      </c>
      <c r="AF670" s="5">
        <f>IF($A670="","",IF($L670="","",ROUND($L670*100,0)))</f>
        <v>59</v>
      </c>
      <c r="AG670" s="18">
        <f>IF($A670="","",IF($M670="","",ROUND($M670*67,1)))</f>
        <v>15</v>
      </c>
      <c r="AH670" s="19">
        <f>IF($A670="","",IF($P670="","",IF($P670=0,0,$O670/$P670)))</f>
        <v>1</v>
      </c>
      <c r="AI670" s="5" t="str">
        <f>IF($A670="","",IF($P670="","",IF($P670&gt;=Lookups!$K$7,"High",IF($P670&lt;=Lookups!$K$8,"Low","Medium"))))</f>
        <v>Low</v>
      </c>
      <c r="AJ670" s="5" t="str">
        <f>IF($A670="","",IF($AD670="","",IF($AD670&lt;5,"Under 5 C",IF($AD670&lt;10,"5-10 C",IF($AD670&lt;15,"10-15 C","15 C and above")))))</f>
        <v>5-10 C</v>
      </c>
      <c r="AK670" s="5">
        <f>IF($A670="","",IF($P670="","",$P670^2))</f>
        <v>4</v>
      </c>
      <c r="AL670" s="18">
        <f>IF($V670&lt;&gt;1,"",AVERAGEIFS(Clean_Data!$P$2:$P$1001,Clean_Data!$F$2:$F$1001,$F670,Clean_Data!$W$2:$W$1001,$W670,Clean_Data!$V$2:$V$1001,1))</f>
        <v>1.78947368421053</v>
      </c>
      <c r="AM670" s="16">
        <f>IF($V670&lt;&gt;1,"",IFERROR(($P670-$AL670)/SQRT(MAX(0,(SUMIFS(Clean_Data!$AK$2:$AK$1001,Clean_Data!$F$2:$F$1001,$F670,Clean_Data!$W$2:$W$1001,$W670,Clean_Data!$V$2:$V$1001,1)-COUNTIFS(Clean_Data!$F$2:$F$1001,$F670,Clean_Data!$W$2:$W$1001,$W670,Clean_Data!$V$2:$V$1001,1)*$AL670^2)/(COUNTIFS(Clean_Data!$F$2:$F$1001,$F670,Clean_Data!$W$2:$W$1001,$W670,Clean_Data!$V$2:$V$1001,1)-1))),""))</f>
        <v>0.229415733870562</v>
      </c>
      <c r="AN670" s="5" t="str">
        <f>IF($AM670="","",IF($AM670&gt;=Lookups!$K$6,"High spike",IF($AM670&lt;=-Lookups!$K$6,"Unusual low","Normal")))</f>
        <v>Normal</v>
      </c>
      <c r="AO670" s="20">
        <f>IF($V670&lt;&gt;1,"",$P670+ROW()/100000)</f>
        <v>2.0067</v>
      </c>
      <c r="AP670" s="5">
        <f>IF($A670="","",IFERROR(MATCH($A670,Raw_D1!$A$2:$A$1001,0),""))</f>
        <v/>
      </c>
      <c r="AQ670" s="5">
        <f>IF($A670="","",IFERROR(MATCH($A670,Raw_D2!$B$2:$B$1001,0),""))</f>
        <v/>
      </c>
      <c r="AR670" s="5">
        <f>IF($A670="","",IFERROR(MATCH($A670,Raw_D3!$A$2:$A$1001,0),""))</f>
        <v>50</v>
      </c>
    </row>
    <row r="671" spans="1:44" x14ac:dyDescent="0.25">
      <c r="A671" s="5">
        <v>670</v>
      </c>
      <c r="B671" s="11">
        <f>IF($A671="","",IF($AP671&lt;&gt;"",INDEX(Raw_D1!$B$2:$B$1001,$AP671),IF($AR671&lt;&gt;"",INDEX(Raw_D3!$B$2:$B$1001,$AR671),"")))</f>
        <v>40574.0</v>
      </c>
      <c r="C671" s="5">
        <f>IF($A671="","",IF($AP671&lt;&gt;"",INDEX(Raw_D1!$C$2:$C$1001,$AP671),IF($AR671&lt;&gt;"",INDEX(Raw_D3!$C$2:$C$1001,$AR671),"")))</f>
        <v>1</v>
      </c>
      <c r="D671" s="5">
        <f>IF($A671="","",IF($AP671&lt;&gt;"",INDEX(Raw_D1!$D$2:$D$1001,$AP671),IF($AR671&lt;&gt;"",INDEX(Raw_D3!$D$2:$D$1001,$AR671),"")))</f>
        <v>0</v>
      </c>
      <c r="E671" s="5">
        <f>IF($A671="","",IF($AP671&lt;&gt;"",INDEX(Raw_D1!$E$2:$E$1001,$AP671),IF($AR671&lt;&gt;"",INDEX(Raw_D3!$E$2:$E$1001,$AR671),"")))</f>
        <v>1</v>
      </c>
      <c r="F671" s="5">
        <f>IF($A671="","",IF($AP671&lt;&gt;"",INDEX(Raw_D1!$F$2:$F$1001,$AP671),IF($AR671&lt;&gt;"",INDEX(Raw_D3!$F$2:$F$1001,$AR671),"")))</f>
        <v>5</v>
      </c>
      <c r="G671" s="5">
        <f>IF($A671="","",IF($AP671&lt;&gt;"",IF(INDEX(Raw_D1!$G$2:$G$1001,$AP671),1,0),IF($AR671&lt;&gt;"",IF(INDEX(Raw_D3!$G$2:$G$1001,$AR671),1,0),"")))</f>
        <v>0</v>
      </c>
      <c r="H671" s="5">
        <f>IF($A671="","",IF($AP671&lt;&gt;"",INDEX(Raw_D1!$H$2:$H$1001,$AP671),IF($AR671&lt;&gt;"",INDEX(Raw_D3!$H$2:$H$1001,$AR671),"")))</f>
        <v>1</v>
      </c>
      <c r="I671" s="5">
        <f>IF($A671="","",IF($AP671&lt;&gt;"",INDEX(Raw_D1!$I$2:$I$1001,$AP671),IF($AR671&lt;&gt;"",INDEX(Raw_D3!$I$2:$I$1001,$AR671),"")))</f>
        <v>1</v>
      </c>
      <c r="J671" s="16">
        <f>IF($A671="","",IF($AP671&lt;&gt;"",INDEX(Raw_D1!$J$2:$J$1001,$AP671),IF($AR671&lt;&gt;"",INDEX(Raw_D3!$J$2:$J$1001,$AR671),"")))</f>
        <v>0.18</v>
      </c>
      <c r="K671" s="17">
        <f>IF($A671="","",IF($AQ671&lt;&gt;"",IF(INDEX(Raw_D2!$C$2:$C$1001,$AQ671)="","",INDEX(Raw_D2!$C$2:$C$1001,$AQ671)),IF($AR671&lt;&gt;"",IF(INDEX(Raw_D3!$K$2:$K$1001,$AR671)="","",INDEX(Raw_D3!$K$2:$K$1001,$AR671)),"")))</f>
        <v>0.1667</v>
      </c>
      <c r="L671" s="16">
        <f>IF($A671="","",IF($AQ671&lt;&gt;"",IF(INDEX(Raw_D2!$D$2:$D$1001,$AQ671)="","",INDEX(Raw_D2!$D$2:$D$1001,$AQ671)),IF($AR671&lt;&gt;"",IF(INDEX(Raw_D3!$L$2:$L$1001,$AR671)="","",INDEX(Raw_D3!$L$2:$L$1001,$AR671)),"")))</f>
        <v>0.64</v>
      </c>
      <c r="M671" s="17">
        <f>IF($A671="","",IF($AQ671&lt;&gt;"",IF(INDEX(Raw_D2!$E$2:$E$1001,$AQ671)="","",INDEX(Raw_D2!$E$2:$E$1001,$AQ671)),IF($AR671&lt;&gt;"",IF(INDEX(Raw_D3!$M$2:$M$1001,$AR671)="","",INDEX(Raw_D3!$M$2:$M$1001,$AR671)),"")))</f>
        <v>0.2836</v>
      </c>
      <c r="N671" s="5">
        <f>IF($A671="","",IF($AQ671&lt;&gt;"",IF(INDEX(Raw_D2!$F$2:$F$1001,$AQ671)="","",INDEX(Raw_D2!$F$2:$F$1001,$AQ671)),IF($AR671&lt;&gt;"",IF(INDEX(Raw_D3!$N$2:$N$1001,$AR671)="","",INDEX(Raw_D3!$N$2:$N$1001,$AR671)),"")))</f>
        <v>0</v>
      </c>
      <c r="O671" s="5">
        <f>IF($A671="","",IF($AQ671&lt;&gt;"",IF(INDEX(Raw_D2!$G$2:$G$1001,$AQ671)="","",INDEX(Raw_D2!$G$2:$G$1001,$AQ671)),IF($AR671&lt;&gt;"",IF(INDEX(Raw_D3!$O$2:$O$1001,$AR671)="","",INDEX(Raw_D3!$O$2:$O$1001,$AR671)),"")))</f>
        <v>8</v>
      </c>
      <c r="P671" s="5">
        <f>IF($A671="","",IF($AQ671&lt;&gt;"",IF(INDEX(Raw_D2!$H$2:$H$1001,$AQ671)="","",INDEX(Raw_D2!$H$2:$H$1001,$AQ671)),IF($AR671&lt;&gt;"",IF(INDEX(Raw_D3!$P$2:$P$1001,$AR671)="","",INDEX(Raw_D3!$P$2:$P$1001,$AR671)),"")))</f>
        <v>8</v>
      </c>
      <c r="Q671" s="5" t="str">
        <f>IF($A671="","",IF(AND($AP671&lt;&gt;"",$AQ671&lt;&gt;""),"D1+D2",IF($AR671&lt;&gt;"","D3","Incomplete")))</f>
        <v>D3</v>
      </c>
      <c r="R671" s="17">
        <f>IF($A671="","",IF($K671="",IF($J671="","",ROUND(Lookups!$K$5+Lookups!$K$4*$J671,4)),$K671))</f>
        <v>0.1667</v>
      </c>
      <c r="S671" s="5" t="str">
        <f>IF($A671="","",IF($K671="","Imputed","Original"))</f>
        <v>Original</v>
      </c>
      <c r="T671" s="5" t="str">
        <f>IF($A671="","",IF($P671="","Missing",IF($P671=$N671+$O671,"OK","Mismatch")))</f>
        <v>OK</v>
      </c>
      <c r="U671" s="5" t="str">
        <f>IF($A671="","",IF(COUNTIF($A$2:$A671,$A671)&gt;1,"Duplicate","Unique"))</f>
        <v>Unique</v>
      </c>
      <c r="V671" s="5">
        <f>IF($A671="","",IF(AND($U671="Unique",ISNUMBER($P671)),1,0))</f>
        <v>1</v>
      </c>
      <c r="W671" s="5" t="str">
        <f>IF($A671="","",IF(OR($H671=0,$H671=6),"Weekend","Weekday"))</f>
        <v>Weekday</v>
      </c>
      <c r="X671" s="5" t="str">
        <f>IF($A671="","",TEXT($B671,"ddd"))</f>
        <v>Mon</v>
      </c>
      <c r="Y671" s="5" t="str">
        <f>IF($A671="","",TEXT($B671,"mmm"))</f>
        <v>Jan</v>
      </c>
      <c r="Z671" s="5" t="str">
        <f>IF($A671="","",IFERROR(VLOOKUP($C671,Lookups!$D$4:$E$7,2,FALSE),"Unknown"))</f>
        <v>Winter</v>
      </c>
      <c r="AA671" s="5" t="str">
        <f>IF($A671="","",IFERROR(VLOOKUP($I671,Lookups!$A$4:$B$7,2,FALSE),"Unknown"))</f>
        <v>Clear</v>
      </c>
      <c r="AB671" s="5" t="str">
        <f>IF($A671="","",TEXT($F671,"00")&amp;":00")</f>
        <v>05:00</v>
      </c>
      <c r="AC671" s="5" t="str">
        <f>IF($A671="","",VLOOKUP($F671,Lookups!$G$4:$H$8,2,TRUE))</f>
        <v>Night (00-05)</v>
      </c>
      <c r="AD671" s="18">
        <f>IF($A671="","",IF($J671="","",ROUND($J671*41,1)))</f>
        <v>7.4</v>
      </c>
      <c r="AE671" s="18">
        <f>IF($A671="","",IF($R671="","",ROUND($R671*50,1)))</f>
        <v>8.3</v>
      </c>
      <c r="AF671" s="5">
        <f>IF($A671="","",IF($L671="","",ROUND($L671*100,0)))</f>
        <v>64</v>
      </c>
      <c r="AG671" s="18">
        <f>IF($A671="","",IF($M671="","",ROUND($M671*67,1)))</f>
        <v>19</v>
      </c>
      <c r="AH671" s="19">
        <f>IF($A671="","",IF($P671="","",IF($P671=0,0,$O671/$P671)))</f>
        <v>1</v>
      </c>
      <c r="AI671" s="5" t="str">
        <f>IF($A671="","",IF($P671="","",IF($P671&gt;=Lookups!$K$7,"High",IF($P671&lt;=Lookups!$K$8,"Low","Medium"))))</f>
        <v>Low</v>
      </c>
      <c r="AJ671" s="5" t="str">
        <f>IF($A671="","",IF($AD671="","",IF($AD671&lt;5,"Under 5 C",IF($AD671&lt;10,"5-10 C",IF($AD671&lt;15,"10-15 C","15 C and above")))))</f>
        <v>5-10 C</v>
      </c>
      <c r="AK671" s="5">
        <f>IF($A671="","",IF($P671="","",$P671^2))</f>
        <v>64</v>
      </c>
      <c r="AL671" s="18">
        <f>IF($V671&lt;&gt;1,"",AVERAGEIFS(Clean_Data!$P$2:$P$1001,Clean_Data!$F$2:$F$1001,$F671,Clean_Data!$W$2:$W$1001,$W671,Clean_Data!$V$2:$V$1001,1))</f>
        <v>4.72413793103448</v>
      </c>
      <c r="AM671" s="16">
        <f>IF($V671&lt;&gt;1,"",IFERROR(($P671-$AL671)/SQRT(MAX(0,(SUMIFS(Clean_Data!$AK$2:$AK$1001,Clean_Data!$F$2:$F$1001,$F671,Clean_Data!$W$2:$W$1001,$W671,Clean_Data!$V$2:$V$1001,1)-COUNTIFS(Clean_Data!$F$2:$F$1001,$F671,Clean_Data!$W$2:$W$1001,$W671,Clean_Data!$V$2:$V$1001,1)*$AL671^2)/(COUNTIFS(Clean_Data!$F$2:$F$1001,$F671,Clean_Data!$W$2:$W$1001,$W671,Clean_Data!$V$2:$V$1001,1)-1))),""))</f>
        <v>1.39777153706586</v>
      </c>
      <c r="AN671" s="5" t="str">
        <f>IF($AM671="","",IF($AM671&gt;=Lookups!$K$6,"High spike",IF($AM671&lt;=-Lookups!$K$6,"Unusual low","Normal")))</f>
        <v>Normal</v>
      </c>
      <c r="AO671" s="20">
        <f>IF($V671&lt;&gt;1,"",$P671+ROW()/100000)</f>
        <v>8.00671</v>
      </c>
      <c r="AP671" s="5">
        <f>IF($A671="","",IFERROR(MATCH($A671,Raw_D1!$A$2:$A$1001,0),""))</f>
        <v/>
      </c>
      <c r="AQ671" s="5">
        <f>IF($A671="","",IFERROR(MATCH($A671,Raw_D2!$B$2:$B$1001,0),""))</f>
        <v/>
      </c>
      <c r="AR671" s="5">
        <f>IF($A671="","",IFERROR(MATCH($A671,Raw_D3!$A$2:$A$1001,0),""))</f>
        <v>51</v>
      </c>
    </row>
    <row r="672" spans="1:44" x14ac:dyDescent="0.25">
      <c r="A672" s="5">
        <v>671</v>
      </c>
      <c r="B672" s="11">
        <f>IF($A672="","",IF($AP672&lt;&gt;"",INDEX(Raw_D1!$B$2:$B$1001,$AP672),IF($AR672&lt;&gt;"",INDEX(Raw_D3!$B$2:$B$1001,$AR672),"")))</f>
        <v>40574.0</v>
      </c>
      <c r="C672" s="5">
        <f>IF($A672="","",IF($AP672&lt;&gt;"",INDEX(Raw_D1!$C$2:$C$1001,$AP672),IF($AR672&lt;&gt;"",INDEX(Raw_D3!$C$2:$C$1001,$AR672),"")))</f>
        <v>1</v>
      </c>
      <c r="D672" s="5">
        <f>IF($A672="","",IF($AP672&lt;&gt;"",INDEX(Raw_D1!$D$2:$D$1001,$AP672),IF($AR672&lt;&gt;"",INDEX(Raw_D3!$D$2:$D$1001,$AR672),"")))</f>
        <v>0</v>
      </c>
      <c r="E672" s="5">
        <f>IF($A672="","",IF($AP672&lt;&gt;"",INDEX(Raw_D1!$E$2:$E$1001,$AP672),IF($AR672&lt;&gt;"",INDEX(Raw_D3!$E$2:$E$1001,$AR672),"")))</f>
        <v>1</v>
      </c>
      <c r="F672" s="5">
        <f>IF($A672="","",IF($AP672&lt;&gt;"",INDEX(Raw_D1!$F$2:$F$1001,$AP672),IF($AR672&lt;&gt;"",INDEX(Raw_D3!$F$2:$F$1001,$AR672),"")))</f>
        <v>6</v>
      </c>
      <c r="G672" s="5">
        <f>IF($A672="","",IF($AP672&lt;&gt;"",IF(INDEX(Raw_D1!$G$2:$G$1001,$AP672),1,0),IF($AR672&lt;&gt;"",IF(INDEX(Raw_D3!$G$2:$G$1001,$AR672),1,0),"")))</f>
        <v>0</v>
      </c>
      <c r="H672" s="5">
        <f>IF($A672="","",IF($AP672&lt;&gt;"",INDEX(Raw_D1!$H$2:$H$1001,$AP672),IF($AR672&lt;&gt;"",INDEX(Raw_D3!$H$2:$H$1001,$AR672),"")))</f>
        <v>1</v>
      </c>
      <c r="I672" s="5">
        <f>IF($A672="","",IF($AP672&lt;&gt;"",INDEX(Raw_D1!$I$2:$I$1001,$AP672),IF($AR672&lt;&gt;"",INDEX(Raw_D3!$I$2:$I$1001,$AR672),"")))</f>
        <v>1</v>
      </c>
      <c r="J672" s="16">
        <f>IF($A672="","",IF($AP672&lt;&gt;"",INDEX(Raw_D1!$J$2:$J$1001,$AP672),IF($AR672&lt;&gt;"",INDEX(Raw_D3!$J$2:$J$1001,$AR672),"")))</f>
        <v>0.16</v>
      </c>
      <c r="K672" s="17">
        <f>IF($A672="","",IF($AQ672&lt;&gt;"",IF(INDEX(Raw_D2!$C$2:$C$1001,$AQ672)="","",INDEX(Raw_D2!$C$2:$C$1001,$AQ672)),IF($AR672&lt;&gt;"",IF(INDEX(Raw_D3!$K$2:$K$1001,$AR672)="","",INDEX(Raw_D3!$K$2:$K$1001,$AR672)),"")))</f>
        <v>0.1364</v>
      </c>
      <c r="L672" s="16">
        <f>IF($A672="","",IF($AQ672&lt;&gt;"",IF(INDEX(Raw_D2!$D$2:$D$1001,$AQ672)="","",INDEX(Raw_D2!$D$2:$D$1001,$AQ672)),IF($AR672&lt;&gt;"",IF(INDEX(Raw_D3!$L$2:$L$1001,$AR672)="","",INDEX(Raw_D3!$L$2:$L$1001,$AR672)),"")))</f>
        <v>0.69</v>
      </c>
      <c r="M672" s="17">
        <f>IF($A672="","",IF($AQ672&lt;&gt;"",IF(INDEX(Raw_D2!$E$2:$E$1001,$AQ672)="","",INDEX(Raw_D2!$E$2:$E$1001,$AQ672)),IF($AR672&lt;&gt;"",IF(INDEX(Raw_D3!$M$2:$M$1001,$AR672)="","",INDEX(Raw_D3!$M$2:$M$1001,$AR672)),"")))</f>
        <v>0.3284</v>
      </c>
      <c r="N672" s="5">
        <f>IF($A672="","",IF($AQ672&lt;&gt;"",IF(INDEX(Raw_D2!$F$2:$F$1001,$AQ672)="","",INDEX(Raw_D2!$F$2:$F$1001,$AQ672)),IF($AR672&lt;&gt;"",IF(INDEX(Raw_D3!$N$2:$N$1001,$AR672)="","",INDEX(Raw_D3!$N$2:$N$1001,$AR672)),"")))</f>
        <v>0</v>
      </c>
      <c r="O672" s="5">
        <f>IF($A672="","",IF($AQ672&lt;&gt;"",IF(INDEX(Raw_D2!$G$2:$G$1001,$AQ672)="","",INDEX(Raw_D2!$G$2:$G$1001,$AQ672)),IF($AR672&lt;&gt;"",IF(INDEX(Raw_D3!$O$2:$O$1001,$AR672)="","",INDEX(Raw_D3!$O$2:$O$1001,$AR672)),"")))</f>
        <v>37</v>
      </c>
      <c r="P672" s="5">
        <f>IF($A672="","",IF($AQ672&lt;&gt;"",IF(INDEX(Raw_D2!$H$2:$H$1001,$AQ672)="","",INDEX(Raw_D2!$H$2:$H$1001,$AQ672)),IF($AR672&lt;&gt;"",IF(INDEX(Raw_D3!$P$2:$P$1001,$AR672)="","",INDEX(Raw_D3!$P$2:$P$1001,$AR672)),"")))</f>
        <v>37</v>
      </c>
      <c r="Q672" s="5" t="str">
        <f>IF($A672="","",IF(AND($AP672&lt;&gt;"",$AQ672&lt;&gt;""),"D1+D2",IF($AR672&lt;&gt;"","D3","Incomplete")))</f>
        <v>D3</v>
      </c>
      <c r="R672" s="17">
        <f>IF($A672="","",IF($K672="",IF($J672="","",ROUND(Lookups!$K$5+Lookups!$K$4*$J672,4)),$K672))</f>
        <v>0.1364</v>
      </c>
      <c r="S672" s="5" t="str">
        <f>IF($A672="","",IF($K672="","Imputed","Original"))</f>
        <v>Original</v>
      </c>
      <c r="T672" s="5" t="str">
        <f>IF($A672="","",IF($P672="","Missing",IF($P672=$N672+$O672,"OK","Mismatch")))</f>
        <v>OK</v>
      </c>
      <c r="U672" s="5" t="str">
        <f>IF($A672="","",IF(COUNTIF($A$2:$A672,$A672)&gt;1,"Duplicate","Unique"))</f>
        <v>Unique</v>
      </c>
      <c r="V672" s="5">
        <f>IF($A672="","",IF(AND($U672="Unique",ISNUMBER($P672)),1,0))</f>
        <v>1</v>
      </c>
      <c r="W672" s="5" t="str">
        <f>IF($A672="","",IF(OR($H672=0,$H672=6),"Weekend","Weekday"))</f>
        <v>Weekday</v>
      </c>
      <c r="X672" s="5" t="str">
        <f>IF($A672="","",TEXT($B672,"ddd"))</f>
        <v>Mon</v>
      </c>
      <c r="Y672" s="5" t="str">
        <f>IF($A672="","",TEXT($B672,"mmm"))</f>
        <v>Jan</v>
      </c>
      <c r="Z672" s="5" t="str">
        <f>IF($A672="","",IFERROR(VLOOKUP($C672,Lookups!$D$4:$E$7,2,FALSE),"Unknown"))</f>
        <v>Winter</v>
      </c>
      <c r="AA672" s="5" t="str">
        <f>IF($A672="","",IFERROR(VLOOKUP($I672,Lookups!$A$4:$B$7,2,FALSE),"Unknown"))</f>
        <v>Clear</v>
      </c>
      <c r="AB672" s="5" t="str">
        <f>IF($A672="","",TEXT($F672,"00")&amp;":00")</f>
        <v>06:00</v>
      </c>
      <c r="AC672" s="5" t="str">
        <f>IF($A672="","",VLOOKUP($F672,Lookups!$G$4:$H$8,2,TRUE))</f>
        <v>Morning Peak (06-09)</v>
      </c>
      <c r="AD672" s="18">
        <f>IF($A672="","",IF($J672="","",ROUND($J672*41,1)))</f>
        <v>6.6</v>
      </c>
      <c r="AE672" s="18">
        <f>IF($A672="","",IF($R672="","",ROUND($R672*50,1)))</f>
        <v>6.8</v>
      </c>
      <c r="AF672" s="5">
        <f>IF($A672="","",IF($L672="","",ROUND($L672*100,0)))</f>
        <v>69</v>
      </c>
      <c r="AG672" s="18">
        <f>IF($A672="","",IF($M672="","",ROUND($M672*67,1)))</f>
        <v>22</v>
      </c>
      <c r="AH672" s="19">
        <f>IF($A672="","",IF($P672="","",IF($P672=0,0,$O672/$P672)))</f>
        <v>1</v>
      </c>
      <c r="AI672" s="5" t="str">
        <f>IF($A672="","",IF($P672="","",IF($P672&gt;=Lookups!$K$7,"High",IF($P672&lt;=Lookups!$K$8,"Low","Medium"))))</f>
        <v>Medium</v>
      </c>
      <c r="AJ672" s="5" t="str">
        <f>IF($A672="","",IF($AD672="","",IF($AD672&lt;5,"Under 5 C",IF($AD672&lt;10,"5-10 C",IF($AD672&lt;15,"10-15 C","15 C and above")))))</f>
        <v>5-10 C</v>
      </c>
      <c r="AK672" s="5">
        <f>IF($A672="","",IF($P672="","",$P672^2))</f>
        <v>1369</v>
      </c>
      <c r="AL672" s="18">
        <f>IF($V672&lt;&gt;1,"",AVERAGEIFS(Clean_Data!$P$2:$P$1001,Clean_Data!$F$2:$F$1001,$F672,Clean_Data!$W$2:$W$1001,$W672,Clean_Data!$V$2:$V$1001,1))</f>
        <v>27.3793103448276</v>
      </c>
      <c r="AM672" s="16">
        <f>IF($V672&lt;&gt;1,"",IFERROR(($P672-$AL672)/SQRT(MAX(0,(SUMIFS(Clean_Data!$AK$2:$AK$1001,Clean_Data!$F$2:$F$1001,$F672,Clean_Data!$W$2:$W$1001,$W672,Clean_Data!$V$2:$V$1001,1)-COUNTIFS(Clean_Data!$F$2:$F$1001,$F672,Clean_Data!$W$2:$W$1001,$W672,Clean_Data!$V$2:$V$1001,1)*$AL672^2)/(COUNTIFS(Clean_Data!$F$2:$F$1001,$F672,Clean_Data!$W$2:$W$1001,$W672,Clean_Data!$V$2:$V$1001,1)-1))),""))</f>
        <v>1.00994476655609</v>
      </c>
      <c r="AN672" s="5" t="str">
        <f>IF($AM672="","",IF($AM672&gt;=Lookups!$K$6,"High spike",IF($AM672&lt;=-Lookups!$K$6,"Unusual low","Normal")))</f>
        <v>Normal</v>
      </c>
      <c r="AO672" s="20">
        <f>IF($V672&lt;&gt;1,"",$P672+ROW()/100000)</f>
        <v>37.00672</v>
      </c>
      <c r="AP672" s="5">
        <f>IF($A672="","",IFERROR(MATCH($A672,Raw_D1!$A$2:$A$1001,0),""))</f>
        <v/>
      </c>
      <c r="AQ672" s="5">
        <f>IF($A672="","",IFERROR(MATCH($A672,Raw_D2!$B$2:$B$1001,0),""))</f>
        <v/>
      </c>
      <c r="AR672" s="5">
        <f>IF($A672="","",IFERROR(MATCH($A672,Raw_D3!$A$2:$A$1001,0),""))</f>
        <v>52</v>
      </c>
    </row>
    <row r="673" spans="1:44" x14ac:dyDescent="0.25">
      <c r="A673" s="5">
        <v>672</v>
      </c>
      <c r="B673" s="11">
        <f>IF($A673="","",IF($AP673&lt;&gt;"",INDEX(Raw_D1!$B$2:$B$1001,$AP673),IF($AR673&lt;&gt;"",INDEX(Raw_D3!$B$2:$B$1001,$AR673),"")))</f>
        <v>40574.0</v>
      </c>
      <c r="C673" s="5">
        <f>IF($A673="","",IF($AP673&lt;&gt;"",INDEX(Raw_D1!$C$2:$C$1001,$AP673),IF($AR673&lt;&gt;"",INDEX(Raw_D3!$C$2:$C$1001,$AR673),"")))</f>
        <v>1</v>
      </c>
      <c r="D673" s="5">
        <f>IF($A673="","",IF($AP673&lt;&gt;"",INDEX(Raw_D1!$D$2:$D$1001,$AP673),IF($AR673&lt;&gt;"",INDEX(Raw_D3!$D$2:$D$1001,$AR673),"")))</f>
        <v>0</v>
      </c>
      <c r="E673" s="5">
        <f>IF($A673="","",IF($AP673&lt;&gt;"",INDEX(Raw_D1!$E$2:$E$1001,$AP673),IF($AR673&lt;&gt;"",INDEX(Raw_D3!$E$2:$E$1001,$AR673),"")))</f>
        <v>1</v>
      </c>
      <c r="F673" s="5">
        <f>IF($A673="","",IF($AP673&lt;&gt;"",INDEX(Raw_D1!$F$2:$F$1001,$AP673),IF($AR673&lt;&gt;"",INDEX(Raw_D3!$F$2:$F$1001,$AR673),"")))</f>
        <v>7</v>
      </c>
      <c r="G673" s="5">
        <f>IF($A673="","",IF($AP673&lt;&gt;"",IF(INDEX(Raw_D1!$G$2:$G$1001,$AP673),1,0),IF($AR673&lt;&gt;"",IF(INDEX(Raw_D3!$G$2:$G$1001,$AR673),1,0),"")))</f>
        <v>0</v>
      </c>
      <c r="H673" s="5">
        <f>IF($A673="","",IF($AP673&lt;&gt;"",INDEX(Raw_D1!$H$2:$H$1001,$AP673),IF($AR673&lt;&gt;"",INDEX(Raw_D3!$H$2:$H$1001,$AR673),"")))</f>
        <v>1</v>
      </c>
      <c r="I673" s="5">
        <f>IF($A673="","",IF($AP673&lt;&gt;"",INDEX(Raw_D1!$I$2:$I$1001,$AP673),IF($AR673&lt;&gt;"",INDEX(Raw_D3!$I$2:$I$1001,$AR673),"")))</f>
        <v>2</v>
      </c>
      <c r="J673" s="16">
        <f>IF($A673="","",IF($AP673&lt;&gt;"",INDEX(Raw_D1!$J$2:$J$1001,$AP673),IF($AR673&lt;&gt;"",INDEX(Raw_D3!$J$2:$J$1001,$AR673),"")))</f>
        <v>0.16</v>
      </c>
      <c r="K673" s="17">
        <f>IF($A673="","",IF($AQ673&lt;&gt;"",IF(INDEX(Raw_D2!$C$2:$C$1001,$AQ673)="","",INDEX(Raw_D2!$C$2:$C$1001,$AQ673)),IF($AR673&lt;&gt;"",IF(INDEX(Raw_D3!$K$2:$K$1001,$AR673)="","",INDEX(Raw_D3!$K$2:$K$1001,$AR673)),"")))</f>
        <v>0.1364</v>
      </c>
      <c r="L673" s="16">
        <f>IF($A673="","",IF($AQ673&lt;&gt;"",IF(INDEX(Raw_D2!$D$2:$D$1001,$AQ673)="","",INDEX(Raw_D2!$D$2:$D$1001,$AQ673)),IF($AR673&lt;&gt;"",IF(INDEX(Raw_D3!$L$2:$L$1001,$AR673)="","",INDEX(Raw_D3!$L$2:$L$1001,$AR673)),"")))</f>
        <v>0.64</v>
      </c>
      <c r="M673" s="17">
        <f>IF($A673="","",IF($AQ673&lt;&gt;"",IF(INDEX(Raw_D2!$E$2:$E$1001,$AQ673)="","",INDEX(Raw_D2!$E$2:$E$1001,$AQ673)),IF($AR673&lt;&gt;"",IF(INDEX(Raw_D3!$M$2:$M$1001,$AR673)="","",INDEX(Raw_D3!$M$2:$M$1001,$AR673)),"")))</f>
        <v>0.2836</v>
      </c>
      <c r="N673" s="5">
        <f>IF($A673="","",IF($AQ673&lt;&gt;"",IF(INDEX(Raw_D2!$F$2:$F$1001,$AQ673)="","",INDEX(Raw_D2!$F$2:$F$1001,$AQ673)),IF($AR673&lt;&gt;"",IF(INDEX(Raw_D3!$N$2:$N$1001,$AR673)="","",INDEX(Raw_D3!$N$2:$N$1001,$AR673)),"")))</f>
        <v>1</v>
      </c>
      <c r="O673" s="5">
        <f>IF($A673="","",IF($AQ673&lt;&gt;"",IF(INDEX(Raw_D2!$G$2:$G$1001,$AQ673)="","",INDEX(Raw_D2!$G$2:$G$1001,$AQ673)),IF($AR673&lt;&gt;"",IF(INDEX(Raw_D3!$O$2:$O$1001,$AR673)="","",INDEX(Raw_D3!$O$2:$O$1001,$AR673)),"")))</f>
        <v>71</v>
      </c>
      <c r="P673" s="5">
        <f>IF($A673="","",IF($AQ673&lt;&gt;"",IF(INDEX(Raw_D2!$H$2:$H$1001,$AQ673)="","",INDEX(Raw_D2!$H$2:$H$1001,$AQ673)),IF($AR673&lt;&gt;"",IF(INDEX(Raw_D3!$P$2:$P$1001,$AR673)="","",INDEX(Raw_D3!$P$2:$P$1001,$AR673)),"")))</f>
        <v>72</v>
      </c>
      <c r="Q673" s="5" t="str">
        <f>IF($A673="","",IF(AND($AP673&lt;&gt;"",$AQ673&lt;&gt;""),"D1+D2",IF($AR673&lt;&gt;"","D3","Incomplete")))</f>
        <v>D3</v>
      </c>
      <c r="R673" s="17">
        <f>IF($A673="","",IF($K673="",IF($J673="","",ROUND(Lookups!$K$5+Lookups!$K$4*$J673,4)),$K673))</f>
        <v>0.1364</v>
      </c>
      <c r="S673" s="5" t="str">
        <f>IF($A673="","",IF($K673="","Imputed","Original"))</f>
        <v>Original</v>
      </c>
      <c r="T673" s="5" t="str">
        <f>IF($A673="","",IF($P673="","Missing",IF($P673=$N673+$O673,"OK","Mismatch")))</f>
        <v>OK</v>
      </c>
      <c r="U673" s="5" t="str">
        <f>IF($A673="","",IF(COUNTIF($A$2:$A673,$A673)&gt;1,"Duplicate","Unique"))</f>
        <v>Unique</v>
      </c>
      <c r="V673" s="5">
        <f>IF($A673="","",IF(AND($U673="Unique",ISNUMBER($P673)),1,0))</f>
        <v>1</v>
      </c>
      <c r="W673" s="5" t="str">
        <f>IF($A673="","",IF(OR($H673=0,$H673=6),"Weekend","Weekday"))</f>
        <v>Weekday</v>
      </c>
      <c r="X673" s="5" t="str">
        <f>IF($A673="","",TEXT($B673,"ddd"))</f>
        <v>Mon</v>
      </c>
      <c r="Y673" s="5" t="str">
        <f>IF($A673="","",TEXT($B673,"mmm"))</f>
        <v>Jan</v>
      </c>
      <c r="Z673" s="5" t="str">
        <f>IF($A673="","",IFERROR(VLOOKUP($C673,Lookups!$D$4:$E$7,2,FALSE),"Unknown"))</f>
        <v>Winter</v>
      </c>
      <c r="AA673" s="5" t="str">
        <f>IF($A673="","",IFERROR(VLOOKUP($I673,Lookups!$A$4:$B$7,2,FALSE),"Unknown"))</f>
        <v>Mist/Cloudy</v>
      </c>
      <c r="AB673" s="5" t="str">
        <f>IF($A673="","",TEXT($F673,"00")&amp;":00")</f>
        <v>07:00</v>
      </c>
      <c r="AC673" s="5" t="str">
        <f>IF($A673="","",VLOOKUP($F673,Lookups!$G$4:$H$8,2,TRUE))</f>
        <v>Morning Peak (06-09)</v>
      </c>
      <c r="AD673" s="18">
        <f>IF($A673="","",IF($J673="","",ROUND($J673*41,1)))</f>
        <v>6.6</v>
      </c>
      <c r="AE673" s="18">
        <f>IF($A673="","",IF($R673="","",ROUND($R673*50,1)))</f>
        <v>6.8</v>
      </c>
      <c r="AF673" s="5">
        <f>IF($A673="","",IF($L673="","",ROUND($L673*100,0)))</f>
        <v>64</v>
      </c>
      <c r="AG673" s="18">
        <f>IF($A673="","",IF($M673="","",ROUND($M673*67,1)))</f>
        <v>19</v>
      </c>
      <c r="AH673" s="19">
        <f>IF($A673="","",IF($P673="","",IF($P673=0,0,$O673/$P673)))</f>
        <v>0.986111111111111</v>
      </c>
      <c r="AI673" s="5" t="str">
        <f>IF($A673="","",IF($P673="","",IF($P673&gt;=Lookups!$K$7,"High",IF($P673&lt;=Lookups!$K$8,"Low","Medium"))))</f>
        <v>Medium</v>
      </c>
      <c r="AJ673" s="5" t="str">
        <f>IF($A673="","",IF($AD673="","",IF($AD673&lt;5,"Under 5 C",IF($AD673&lt;10,"5-10 C",IF($AD673&lt;15,"10-15 C","15 C and above")))))</f>
        <v>5-10 C</v>
      </c>
      <c r="AK673" s="5">
        <f>IF($A673="","",IF($P673="","",$P673^2))</f>
        <v>5184</v>
      </c>
      <c r="AL673" s="18">
        <f>IF($V673&lt;&gt;1,"",AVERAGEIFS(Clean_Data!$P$2:$P$1001,Clean_Data!$F$2:$F$1001,$F673,Clean_Data!$W$2:$W$1001,$W673,Clean_Data!$V$2:$V$1001,1))</f>
        <v>78.0344827586207</v>
      </c>
      <c r="AM673" s="16">
        <f>IF($V673&lt;&gt;1,"",IFERROR(($P673-$AL673)/SQRT(MAX(0,(SUMIFS(Clean_Data!$AK$2:$AK$1001,Clean_Data!$F$2:$F$1001,$F673,Clean_Data!$W$2:$W$1001,$W673,Clean_Data!$V$2:$V$1001,1)-COUNTIFS(Clean_Data!$F$2:$F$1001,$F673,Clean_Data!$W$2:$W$1001,$W673,Clean_Data!$V$2:$V$1001,1)*$AL673^2)/(COUNTIFS(Clean_Data!$F$2:$F$1001,$F673,Clean_Data!$W$2:$W$1001,$W673,Clean_Data!$V$2:$V$1001,1)-1))),""))</f>
        <v>-0.2666242146961</v>
      </c>
      <c r="AN673" s="5" t="str">
        <f>IF($AM673="","",IF($AM673&gt;=Lookups!$K$6,"High spike",IF($AM673&lt;=-Lookups!$K$6,"Unusual low","Normal")))</f>
        <v>Normal</v>
      </c>
      <c r="AO673" s="20">
        <f>IF($V673&lt;&gt;1,"",$P673+ROW()/100000)</f>
        <v>72.00673</v>
      </c>
      <c r="AP673" s="5">
        <f>IF($A673="","",IFERROR(MATCH($A673,Raw_D1!$A$2:$A$1001,0),""))</f>
        <v/>
      </c>
      <c r="AQ673" s="5">
        <f>IF($A673="","",IFERROR(MATCH($A673,Raw_D2!$B$2:$B$1001,0),""))</f>
        <v/>
      </c>
      <c r="AR673" s="5">
        <f>IF($A673="","",IFERROR(MATCH($A673,Raw_D3!$A$2:$A$1001,0),""))</f>
        <v>53</v>
      </c>
    </row>
    <row r="674" spans="1:44" x14ac:dyDescent="0.25">
      <c r="A674" s="5">
        <v>673</v>
      </c>
      <c r="B674" s="11">
        <f>IF($A674="","",IF($AP674&lt;&gt;"",INDEX(Raw_D1!$B$2:$B$1001,$AP674),IF($AR674&lt;&gt;"",INDEX(Raw_D3!$B$2:$B$1001,$AR674),"")))</f>
        <v>40574.0</v>
      </c>
      <c r="C674" s="5">
        <f>IF($A674="","",IF($AP674&lt;&gt;"",INDEX(Raw_D1!$C$2:$C$1001,$AP674),IF($AR674&lt;&gt;"",INDEX(Raw_D3!$C$2:$C$1001,$AR674),"")))</f>
        <v>1</v>
      </c>
      <c r="D674" s="5">
        <f>IF($A674="","",IF($AP674&lt;&gt;"",INDEX(Raw_D1!$D$2:$D$1001,$AP674),IF($AR674&lt;&gt;"",INDEX(Raw_D3!$D$2:$D$1001,$AR674),"")))</f>
        <v>0</v>
      </c>
      <c r="E674" s="5">
        <f>IF($A674="","",IF($AP674&lt;&gt;"",INDEX(Raw_D1!$E$2:$E$1001,$AP674),IF($AR674&lt;&gt;"",INDEX(Raw_D3!$E$2:$E$1001,$AR674),"")))</f>
        <v>1</v>
      </c>
      <c r="F674" s="5">
        <f>IF($A674="","",IF($AP674&lt;&gt;"",INDEX(Raw_D1!$F$2:$F$1001,$AP674),IF($AR674&lt;&gt;"",INDEX(Raw_D3!$F$2:$F$1001,$AR674),"")))</f>
        <v>8</v>
      </c>
      <c r="G674" s="5">
        <f>IF($A674="","",IF($AP674&lt;&gt;"",IF(INDEX(Raw_D1!$G$2:$G$1001,$AP674),1,0),IF($AR674&lt;&gt;"",IF(INDEX(Raw_D3!$G$2:$G$1001,$AR674),1,0),"")))</f>
        <v>0</v>
      </c>
      <c r="H674" s="5">
        <f>IF($A674="","",IF($AP674&lt;&gt;"",INDEX(Raw_D1!$H$2:$H$1001,$AP674),IF($AR674&lt;&gt;"",INDEX(Raw_D3!$H$2:$H$1001,$AR674),"")))</f>
        <v>1</v>
      </c>
      <c r="I674" s="5">
        <f>IF($A674="","",IF($AP674&lt;&gt;"",INDEX(Raw_D1!$I$2:$I$1001,$AP674),IF($AR674&lt;&gt;"",INDEX(Raw_D3!$I$2:$I$1001,$AR674),"")))</f>
        <v>2</v>
      </c>
      <c r="J674" s="16">
        <f>IF($A674="","",IF($AP674&lt;&gt;"",INDEX(Raw_D1!$J$2:$J$1001,$AP674),IF($AR674&lt;&gt;"",INDEX(Raw_D3!$J$2:$J$1001,$AR674),"")))</f>
        <v>0.16</v>
      </c>
      <c r="K674" s="17">
        <f>IF($A674="","",IF($AQ674&lt;&gt;"",IF(INDEX(Raw_D2!$C$2:$C$1001,$AQ674)="","",INDEX(Raw_D2!$C$2:$C$1001,$AQ674)),IF($AR674&lt;&gt;"",IF(INDEX(Raw_D3!$K$2:$K$1001,$AR674)="","",INDEX(Raw_D3!$K$2:$K$1001,$AR674)),"")))</f>
        <v>0.1364</v>
      </c>
      <c r="L674" s="16">
        <f>IF($A674="","",IF($AQ674&lt;&gt;"",IF(INDEX(Raw_D2!$D$2:$D$1001,$AQ674)="","",INDEX(Raw_D2!$D$2:$D$1001,$AQ674)),IF($AR674&lt;&gt;"",IF(INDEX(Raw_D3!$L$2:$L$1001,$AR674)="","",INDEX(Raw_D3!$L$2:$L$1001,$AR674)),"")))</f>
        <v>0.59</v>
      </c>
      <c r="M674" s="17">
        <f>IF($A674="","",IF($AQ674&lt;&gt;"",IF(INDEX(Raw_D2!$E$2:$E$1001,$AQ674)="","",INDEX(Raw_D2!$E$2:$E$1001,$AQ674)),IF($AR674&lt;&gt;"",IF(INDEX(Raw_D3!$M$2:$M$1001,$AR674)="","",INDEX(Raw_D3!$M$2:$M$1001,$AR674)),"")))</f>
        <v>0.2836</v>
      </c>
      <c r="N674" s="5">
        <f>IF($A674="","",IF($AQ674&lt;&gt;"",IF(INDEX(Raw_D2!$F$2:$F$1001,$AQ674)="","",INDEX(Raw_D2!$F$2:$F$1001,$AQ674)),IF($AR674&lt;&gt;"",IF(INDEX(Raw_D3!$N$2:$N$1001,$AR674)="","",INDEX(Raw_D3!$N$2:$N$1001,$AR674)),"")))</f>
        <v>3</v>
      </c>
      <c r="O674" s="5">
        <f>IF($A674="","",IF($AQ674&lt;&gt;"",IF(INDEX(Raw_D2!$G$2:$G$1001,$AQ674)="","",INDEX(Raw_D2!$G$2:$G$1001,$AQ674)),IF($AR674&lt;&gt;"",IF(INDEX(Raw_D3!$O$2:$O$1001,$AR674)="","",INDEX(Raw_D3!$O$2:$O$1001,$AR674)),"")))</f>
        <v>182</v>
      </c>
      <c r="P674" s="5">
        <f>IF($A674="","",IF($AQ674&lt;&gt;"",IF(INDEX(Raw_D2!$H$2:$H$1001,$AQ674)="","",INDEX(Raw_D2!$H$2:$H$1001,$AQ674)),IF($AR674&lt;&gt;"",IF(INDEX(Raw_D3!$P$2:$P$1001,$AR674)="","",INDEX(Raw_D3!$P$2:$P$1001,$AR674)),"")))</f>
        <v>185</v>
      </c>
      <c r="Q674" s="5" t="str">
        <f>IF($A674="","",IF(AND($AP674&lt;&gt;"",$AQ674&lt;&gt;""),"D1+D2",IF($AR674&lt;&gt;"","D3","Incomplete")))</f>
        <v>D3</v>
      </c>
      <c r="R674" s="17">
        <f>IF($A674="","",IF($K674="",IF($J674="","",ROUND(Lookups!$K$5+Lookups!$K$4*$J674,4)),$K674))</f>
        <v>0.1364</v>
      </c>
      <c r="S674" s="5" t="str">
        <f>IF($A674="","",IF($K674="","Imputed","Original"))</f>
        <v>Original</v>
      </c>
      <c r="T674" s="5" t="str">
        <f>IF($A674="","",IF($P674="","Missing",IF($P674=$N674+$O674,"OK","Mismatch")))</f>
        <v>OK</v>
      </c>
      <c r="U674" s="5" t="str">
        <f>IF($A674="","",IF(COUNTIF($A$2:$A674,$A674)&gt;1,"Duplicate","Unique"))</f>
        <v>Unique</v>
      </c>
      <c r="V674" s="5">
        <f>IF($A674="","",IF(AND($U674="Unique",ISNUMBER($P674)),1,0))</f>
        <v>1</v>
      </c>
      <c r="W674" s="5" t="str">
        <f>IF($A674="","",IF(OR($H674=0,$H674=6),"Weekend","Weekday"))</f>
        <v>Weekday</v>
      </c>
      <c r="X674" s="5" t="str">
        <f>IF($A674="","",TEXT($B674,"ddd"))</f>
        <v>Mon</v>
      </c>
      <c r="Y674" s="5" t="str">
        <f>IF($A674="","",TEXT($B674,"mmm"))</f>
        <v>Jan</v>
      </c>
      <c r="Z674" s="5" t="str">
        <f>IF($A674="","",IFERROR(VLOOKUP($C674,Lookups!$D$4:$E$7,2,FALSE),"Unknown"))</f>
        <v>Winter</v>
      </c>
      <c r="AA674" s="5" t="str">
        <f>IF($A674="","",IFERROR(VLOOKUP($I674,Lookups!$A$4:$B$7,2,FALSE),"Unknown"))</f>
        <v>Mist/Cloudy</v>
      </c>
      <c r="AB674" s="5" t="str">
        <f>IF($A674="","",TEXT($F674,"00")&amp;":00")</f>
        <v>08:00</v>
      </c>
      <c r="AC674" s="5" t="str">
        <f>IF($A674="","",VLOOKUP($F674,Lookups!$G$4:$H$8,2,TRUE))</f>
        <v>Morning Peak (06-09)</v>
      </c>
      <c r="AD674" s="18">
        <f>IF($A674="","",IF($J674="","",ROUND($J674*41,1)))</f>
        <v>6.6</v>
      </c>
      <c r="AE674" s="18">
        <f>IF($A674="","",IF($R674="","",ROUND($R674*50,1)))</f>
        <v>6.8</v>
      </c>
      <c r="AF674" s="5">
        <f>IF($A674="","",IF($L674="","",ROUND($L674*100,0)))</f>
        <v>59</v>
      </c>
      <c r="AG674" s="18">
        <f>IF($A674="","",IF($M674="","",ROUND($M674*67,1)))</f>
        <v>19</v>
      </c>
      <c r="AH674" s="19">
        <f>IF($A674="","",IF($P674="","",IF($P674=0,0,$O674/$P674)))</f>
        <v>0.983783783783784</v>
      </c>
      <c r="AI674" s="5" t="str">
        <f>IF($A674="","",IF($P674="","",IF($P674&gt;=Lookups!$K$7,"High",IF($P674&lt;=Lookups!$K$8,"Low","Medium"))))</f>
        <v>High</v>
      </c>
      <c r="AJ674" s="5" t="str">
        <f>IF($A674="","",IF($AD674="","",IF($AD674&lt;5,"Under 5 C",IF($AD674&lt;10,"5-10 C",IF($AD674&lt;15,"10-15 C","15 C and above")))))</f>
        <v>5-10 C</v>
      </c>
      <c r="AK674" s="5">
        <f>IF($A674="","",IF($P674="","",$P674^2))</f>
        <v>34225</v>
      </c>
      <c r="AL674" s="18">
        <f>IF($V674&lt;&gt;1,"",AVERAGEIFS(Clean_Data!$P$2:$P$1001,Clean_Data!$F$2:$F$1001,$F674,Clean_Data!$W$2:$W$1001,$W674,Clean_Data!$V$2:$V$1001,1))</f>
        <v>183.535714285714</v>
      </c>
      <c r="AM674" s="16">
        <f>IF($V674&lt;&gt;1,"",IFERROR(($P674-$AL674)/SQRT(MAX(0,(SUMIFS(Clean_Data!$AK$2:$AK$1001,Clean_Data!$F$2:$F$1001,$F674,Clean_Data!$W$2:$W$1001,$W674,Clean_Data!$V$2:$V$1001,1)-COUNTIFS(Clean_Data!$F$2:$F$1001,$F674,Clean_Data!$W$2:$W$1001,$W674,Clean_Data!$V$2:$V$1001,1)*$AL674^2)/(COUNTIFS(Clean_Data!$F$2:$F$1001,$F674,Clean_Data!$W$2:$W$1001,$W674,Clean_Data!$V$2:$V$1001,1)-1))),""))</f>
        <v>0.0300427694555275</v>
      </c>
      <c r="AN674" s="5" t="str">
        <f>IF($AM674="","",IF($AM674&gt;=Lookups!$K$6,"High spike",IF($AM674&lt;=-Lookups!$K$6,"Unusual low","Normal")))</f>
        <v>Normal</v>
      </c>
      <c r="AO674" s="20">
        <f>IF($V674&lt;&gt;1,"",$P674+ROW()/100000)</f>
        <v>185.00674</v>
      </c>
      <c r="AP674" s="5">
        <f>IF($A674="","",IFERROR(MATCH($A674,Raw_D1!$A$2:$A$1001,0),""))</f>
        <v/>
      </c>
      <c r="AQ674" s="5">
        <f>IF($A674="","",IFERROR(MATCH($A674,Raw_D2!$B$2:$B$1001,0),""))</f>
        <v/>
      </c>
      <c r="AR674" s="5">
        <f>IF($A674="","",IFERROR(MATCH($A674,Raw_D3!$A$2:$A$1001,0),""))</f>
        <v>54</v>
      </c>
    </row>
    <row r="675" spans="1:44" x14ac:dyDescent="0.25">
      <c r="A675" s="5">
        <v>674</v>
      </c>
      <c r="B675" s="11">
        <f>IF($A675="","",IF($AP675&lt;&gt;"",INDEX(Raw_D1!$B$2:$B$1001,$AP675),IF($AR675&lt;&gt;"",INDEX(Raw_D3!$B$2:$B$1001,$AR675),"")))</f>
        <v>40574.0</v>
      </c>
      <c r="C675" s="5">
        <f>IF($A675="","",IF($AP675&lt;&gt;"",INDEX(Raw_D1!$C$2:$C$1001,$AP675),IF($AR675&lt;&gt;"",INDEX(Raw_D3!$C$2:$C$1001,$AR675),"")))</f>
        <v>1</v>
      </c>
      <c r="D675" s="5">
        <f>IF($A675="","",IF($AP675&lt;&gt;"",INDEX(Raw_D1!$D$2:$D$1001,$AP675),IF($AR675&lt;&gt;"",INDEX(Raw_D3!$D$2:$D$1001,$AR675),"")))</f>
        <v>0</v>
      </c>
      <c r="E675" s="5">
        <f>IF($A675="","",IF($AP675&lt;&gt;"",INDEX(Raw_D1!$E$2:$E$1001,$AP675),IF($AR675&lt;&gt;"",INDEX(Raw_D3!$E$2:$E$1001,$AR675),"")))</f>
        <v>1</v>
      </c>
      <c r="F675" s="5">
        <f>IF($A675="","",IF($AP675&lt;&gt;"",INDEX(Raw_D1!$F$2:$F$1001,$AP675),IF($AR675&lt;&gt;"",INDEX(Raw_D3!$F$2:$F$1001,$AR675),"")))</f>
        <v>9</v>
      </c>
      <c r="G675" s="5">
        <f>IF($A675="","",IF($AP675&lt;&gt;"",IF(INDEX(Raw_D1!$G$2:$G$1001,$AP675),1,0),IF($AR675&lt;&gt;"",IF(INDEX(Raw_D3!$G$2:$G$1001,$AR675),1,0),"")))</f>
        <v>0</v>
      </c>
      <c r="H675" s="5">
        <f>IF($A675="","",IF($AP675&lt;&gt;"",INDEX(Raw_D1!$H$2:$H$1001,$AP675),IF($AR675&lt;&gt;"",INDEX(Raw_D3!$H$2:$H$1001,$AR675),"")))</f>
        <v>1</v>
      </c>
      <c r="I675" s="5">
        <f>IF($A675="","",IF($AP675&lt;&gt;"",INDEX(Raw_D1!$I$2:$I$1001,$AP675),IF($AR675&lt;&gt;"",INDEX(Raw_D3!$I$2:$I$1001,$AR675),"")))</f>
        <v>2</v>
      </c>
      <c r="J675" s="16">
        <f>IF($A675="","",IF($AP675&lt;&gt;"",INDEX(Raw_D1!$J$2:$J$1001,$AP675),IF($AR675&lt;&gt;"",INDEX(Raw_D3!$J$2:$J$1001,$AR675),"")))</f>
        <v>0.16</v>
      </c>
      <c r="K675" s="17">
        <f>IF($A675="","",IF($AQ675&lt;&gt;"",IF(INDEX(Raw_D2!$C$2:$C$1001,$AQ675)="","",INDEX(Raw_D2!$C$2:$C$1001,$AQ675)),IF($AR675&lt;&gt;"",IF(INDEX(Raw_D3!$K$2:$K$1001,$AR675)="","",INDEX(Raw_D3!$K$2:$K$1001,$AR675)),"")))</f>
        <v>0.1364</v>
      </c>
      <c r="L675" s="16">
        <f>IF($A675="","",IF($AQ675&lt;&gt;"",IF(INDEX(Raw_D2!$D$2:$D$1001,$AQ675)="","",INDEX(Raw_D2!$D$2:$D$1001,$AQ675)),IF($AR675&lt;&gt;"",IF(INDEX(Raw_D3!$L$2:$L$1001,$AR675)="","",INDEX(Raw_D3!$L$2:$L$1001,$AR675)),"")))</f>
        <v>0.59</v>
      </c>
      <c r="M675" s="17">
        <f>IF($A675="","",IF($AQ675&lt;&gt;"",IF(INDEX(Raw_D2!$E$2:$E$1001,$AQ675)="","",INDEX(Raw_D2!$E$2:$E$1001,$AQ675)),IF($AR675&lt;&gt;"",IF(INDEX(Raw_D3!$M$2:$M$1001,$AR675)="","",INDEX(Raw_D3!$M$2:$M$1001,$AR675)),"")))</f>
        <v>0.2985</v>
      </c>
      <c r="N675" s="5">
        <f>IF($A675="","",IF($AQ675&lt;&gt;"",IF(INDEX(Raw_D2!$F$2:$F$1001,$AQ675)="","",INDEX(Raw_D2!$F$2:$F$1001,$AQ675)),IF($AR675&lt;&gt;"",IF(INDEX(Raw_D3!$N$2:$N$1001,$AR675)="","",INDEX(Raw_D3!$N$2:$N$1001,$AR675)),"")))</f>
        <v>0</v>
      </c>
      <c r="O675" s="5">
        <f>IF($A675="","",IF($AQ675&lt;&gt;"",IF(INDEX(Raw_D2!$G$2:$G$1001,$AQ675)="","",INDEX(Raw_D2!$G$2:$G$1001,$AQ675)),IF($AR675&lt;&gt;"",IF(INDEX(Raw_D3!$O$2:$O$1001,$AR675)="","",INDEX(Raw_D3!$O$2:$O$1001,$AR675)),"")))</f>
        <v>112</v>
      </c>
      <c r="P675" s="5">
        <f>IF($A675="","",IF($AQ675&lt;&gt;"",IF(INDEX(Raw_D2!$H$2:$H$1001,$AQ675)="","",INDEX(Raw_D2!$H$2:$H$1001,$AQ675)),IF($AR675&lt;&gt;"",IF(INDEX(Raw_D3!$P$2:$P$1001,$AR675)="","",INDEX(Raw_D3!$P$2:$P$1001,$AR675)),"")))</f>
        <v>112</v>
      </c>
      <c r="Q675" s="5" t="str">
        <f>IF($A675="","",IF(AND($AP675&lt;&gt;"",$AQ675&lt;&gt;""),"D1+D2",IF($AR675&lt;&gt;"","D3","Incomplete")))</f>
        <v>D3</v>
      </c>
      <c r="R675" s="17">
        <f>IF($A675="","",IF($K675="",IF($J675="","",ROUND(Lookups!$K$5+Lookups!$K$4*$J675,4)),$K675))</f>
        <v>0.1364</v>
      </c>
      <c r="S675" s="5" t="str">
        <f>IF($A675="","",IF($K675="","Imputed","Original"))</f>
        <v>Original</v>
      </c>
      <c r="T675" s="5" t="str">
        <f>IF($A675="","",IF($P675="","Missing",IF($P675=$N675+$O675,"OK","Mismatch")))</f>
        <v>OK</v>
      </c>
      <c r="U675" s="5" t="str">
        <f>IF($A675="","",IF(COUNTIF($A$2:$A675,$A675)&gt;1,"Duplicate","Unique"))</f>
        <v>Unique</v>
      </c>
      <c r="V675" s="5">
        <f>IF($A675="","",IF(AND($U675="Unique",ISNUMBER($P675)),1,0))</f>
        <v>1</v>
      </c>
      <c r="W675" s="5" t="str">
        <f>IF($A675="","",IF(OR($H675=0,$H675=6),"Weekend","Weekday"))</f>
        <v>Weekday</v>
      </c>
      <c r="X675" s="5" t="str">
        <f>IF($A675="","",TEXT($B675,"ddd"))</f>
        <v>Mon</v>
      </c>
      <c r="Y675" s="5" t="str">
        <f>IF($A675="","",TEXT($B675,"mmm"))</f>
        <v>Jan</v>
      </c>
      <c r="Z675" s="5" t="str">
        <f>IF($A675="","",IFERROR(VLOOKUP($C675,Lookups!$D$4:$E$7,2,FALSE),"Unknown"))</f>
        <v>Winter</v>
      </c>
      <c r="AA675" s="5" t="str">
        <f>IF($A675="","",IFERROR(VLOOKUP($I675,Lookups!$A$4:$B$7,2,FALSE),"Unknown"))</f>
        <v>Mist/Cloudy</v>
      </c>
      <c r="AB675" s="5" t="str">
        <f>IF($A675="","",TEXT($F675,"00")&amp;":00")</f>
        <v>09:00</v>
      </c>
      <c r="AC675" s="5" t="str">
        <f>IF($A675="","",VLOOKUP($F675,Lookups!$G$4:$H$8,2,TRUE))</f>
        <v>Morning Peak (06-09)</v>
      </c>
      <c r="AD675" s="18">
        <f>IF($A675="","",IF($J675="","",ROUND($J675*41,1)))</f>
        <v>6.6</v>
      </c>
      <c r="AE675" s="18">
        <f>IF($A675="","",IF($R675="","",ROUND($R675*50,1)))</f>
        <v>6.8</v>
      </c>
      <c r="AF675" s="5">
        <f>IF($A675="","",IF($L675="","",ROUND($L675*100,0)))</f>
        <v>59</v>
      </c>
      <c r="AG675" s="18">
        <f>IF($A675="","",IF($M675="","",ROUND($M675*67,1)))</f>
        <v>20</v>
      </c>
      <c r="AH675" s="19">
        <f>IF($A675="","",IF($P675="","",IF($P675=0,0,$O675/$P675)))</f>
        <v>1</v>
      </c>
      <c r="AI675" s="5" t="str">
        <f>IF($A675="","",IF($P675="","",IF($P675&gt;=Lookups!$K$7,"High",IF($P675&lt;=Lookups!$K$8,"Low","Medium"))))</f>
        <v>High</v>
      </c>
      <c r="AJ675" s="5" t="str">
        <f>IF($A675="","",IF($AD675="","",IF($AD675&lt;5,"Under 5 C",IF($AD675&lt;10,"5-10 C",IF($AD675&lt;15,"10-15 C","15 C and above")))))</f>
        <v>5-10 C</v>
      </c>
      <c r="AK675" s="5">
        <f>IF($A675="","",IF($P675="","",$P675^2))</f>
        <v>12544</v>
      </c>
      <c r="AL675" s="18">
        <f>IF($V675&lt;&gt;1,"",AVERAGEIFS(Clean_Data!$P$2:$P$1001,Clean_Data!$F$2:$F$1001,$F675,Clean_Data!$W$2:$W$1001,$W675,Clean_Data!$V$2:$V$1001,1))</f>
        <v>115.678571428571</v>
      </c>
      <c r="AM675" s="16">
        <f>IF($V675&lt;&gt;1,"",IFERROR(($P675-$AL675)/SQRT(MAX(0,(SUMIFS(Clean_Data!$AK$2:$AK$1001,Clean_Data!$F$2:$F$1001,$F675,Clean_Data!$W$2:$W$1001,$W675,Clean_Data!$V$2:$V$1001,1)-COUNTIFS(Clean_Data!$F$2:$F$1001,$F675,Clean_Data!$W$2:$W$1001,$W675,Clean_Data!$V$2:$V$1001,1)*$AL675^2)/(COUNTIFS(Clean_Data!$F$2:$F$1001,$F675,Clean_Data!$W$2:$W$1001,$W675,Clean_Data!$V$2:$V$1001,1)-1))),""))</f>
        <v>-0.142700124676163</v>
      </c>
      <c r="AN675" s="5" t="str">
        <f>IF($AM675="","",IF($AM675&gt;=Lookups!$K$6,"High spike",IF($AM675&lt;=-Lookups!$K$6,"Unusual low","Normal")))</f>
        <v>Normal</v>
      </c>
      <c r="AO675" s="20">
        <f>IF($V675&lt;&gt;1,"",$P675+ROW()/100000)</f>
        <v>112.00675</v>
      </c>
      <c r="AP675" s="5">
        <f>IF($A675="","",IFERROR(MATCH($A675,Raw_D1!$A$2:$A$1001,0),""))</f>
        <v/>
      </c>
      <c r="AQ675" s="5">
        <f>IF($A675="","",IFERROR(MATCH($A675,Raw_D2!$B$2:$B$1001,0),""))</f>
        <v/>
      </c>
      <c r="AR675" s="5">
        <f>IF($A675="","",IFERROR(MATCH($A675,Raw_D3!$A$2:$A$1001,0),""))</f>
        <v>55</v>
      </c>
    </row>
    <row r="676" spans="1:44" x14ac:dyDescent="0.25">
      <c r="A676" s="5">
        <v>675</v>
      </c>
      <c r="B676" s="11">
        <f>IF($A676="","",IF($AP676&lt;&gt;"",INDEX(Raw_D1!$B$2:$B$1001,$AP676),IF($AR676&lt;&gt;"",INDEX(Raw_D3!$B$2:$B$1001,$AR676),"")))</f>
        <v>40574.0</v>
      </c>
      <c r="C676" s="5">
        <f>IF($A676="","",IF($AP676&lt;&gt;"",INDEX(Raw_D1!$C$2:$C$1001,$AP676),IF($AR676&lt;&gt;"",INDEX(Raw_D3!$C$2:$C$1001,$AR676),"")))</f>
        <v>1</v>
      </c>
      <c r="D676" s="5">
        <f>IF($A676="","",IF($AP676&lt;&gt;"",INDEX(Raw_D1!$D$2:$D$1001,$AP676),IF($AR676&lt;&gt;"",INDEX(Raw_D3!$D$2:$D$1001,$AR676),"")))</f>
        <v>0</v>
      </c>
      <c r="E676" s="5">
        <f>IF($A676="","",IF($AP676&lt;&gt;"",INDEX(Raw_D1!$E$2:$E$1001,$AP676),IF($AR676&lt;&gt;"",INDEX(Raw_D3!$E$2:$E$1001,$AR676),"")))</f>
        <v>1</v>
      </c>
      <c r="F676" s="5">
        <f>IF($A676="","",IF($AP676&lt;&gt;"",INDEX(Raw_D1!$F$2:$F$1001,$AP676),IF($AR676&lt;&gt;"",INDEX(Raw_D3!$F$2:$F$1001,$AR676),"")))</f>
        <v>10</v>
      </c>
      <c r="G676" s="5">
        <f>IF($A676="","",IF($AP676&lt;&gt;"",IF(INDEX(Raw_D1!$G$2:$G$1001,$AP676),1,0),IF($AR676&lt;&gt;"",IF(INDEX(Raw_D3!$G$2:$G$1001,$AR676),1,0),"")))</f>
        <v>0</v>
      </c>
      <c r="H676" s="5">
        <f>IF($A676="","",IF($AP676&lt;&gt;"",INDEX(Raw_D1!$H$2:$H$1001,$AP676),IF($AR676&lt;&gt;"",INDEX(Raw_D3!$H$2:$H$1001,$AR676),"")))</f>
        <v>1</v>
      </c>
      <c r="I676" s="5">
        <f>IF($A676="","",IF($AP676&lt;&gt;"",INDEX(Raw_D1!$I$2:$I$1001,$AP676),IF($AR676&lt;&gt;"",INDEX(Raw_D3!$I$2:$I$1001,$AR676),"")))</f>
        <v>2</v>
      </c>
      <c r="J676" s="16">
        <f>IF($A676="","",IF($AP676&lt;&gt;"",INDEX(Raw_D1!$J$2:$J$1001,$AP676),IF($AR676&lt;&gt;"",INDEX(Raw_D3!$J$2:$J$1001,$AR676),"")))</f>
        <v>0.16</v>
      </c>
      <c r="K676" s="17">
        <f>IF($A676="","",IF($AQ676&lt;&gt;"",IF(INDEX(Raw_D2!$C$2:$C$1001,$AQ676)="","",INDEX(Raw_D2!$C$2:$C$1001,$AQ676)),IF($AR676&lt;&gt;"",IF(INDEX(Raw_D3!$K$2:$K$1001,$AR676)="","",INDEX(Raw_D3!$K$2:$K$1001,$AR676)),"")))</f>
        <v>0.1515</v>
      </c>
      <c r="L676" s="16">
        <f>IF($A676="","",IF($AQ676&lt;&gt;"",IF(INDEX(Raw_D2!$D$2:$D$1001,$AQ676)="","",INDEX(Raw_D2!$D$2:$D$1001,$AQ676)),IF($AR676&lt;&gt;"",IF(INDEX(Raw_D3!$L$2:$L$1001,$AR676)="","",INDEX(Raw_D3!$L$2:$L$1001,$AR676)),"")))</f>
        <v>0.59</v>
      </c>
      <c r="M676" s="17">
        <f>IF($A676="","",IF($AQ676&lt;&gt;"",IF(INDEX(Raw_D2!$E$2:$E$1001,$AQ676)="","",INDEX(Raw_D2!$E$2:$E$1001,$AQ676)),IF($AR676&lt;&gt;"",IF(INDEX(Raw_D3!$M$2:$M$1001,$AR676)="","",INDEX(Raw_D3!$M$2:$M$1001,$AR676)),"")))</f>
        <v>0.194</v>
      </c>
      <c r="N676" s="5">
        <f>IF($A676="","",IF($AQ676&lt;&gt;"",IF(INDEX(Raw_D2!$F$2:$F$1001,$AQ676)="","",INDEX(Raw_D2!$F$2:$F$1001,$AQ676)),IF($AR676&lt;&gt;"",IF(INDEX(Raw_D3!$N$2:$N$1001,$AR676)="","",INDEX(Raw_D3!$N$2:$N$1001,$AR676)),"")))</f>
        <v>1</v>
      </c>
      <c r="O676" s="5">
        <f>IF($A676="","",IF($AQ676&lt;&gt;"",IF(INDEX(Raw_D2!$G$2:$G$1001,$AQ676)="","",INDEX(Raw_D2!$G$2:$G$1001,$AQ676)),IF($AR676&lt;&gt;"",IF(INDEX(Raw_D3!$O$2:$O$1001,$AR676)="","",INDEX(Raw_D3!$O$2:$O$1001,$AR676)),"")))</f>
        <v>68</v>
      </c>
      <c r="P676" s="5">
        <f>IF($A676="","",IF($AQ676&lt;&gt;"",IF(INDEX(Raw_D2!$H$2:$H$1001,$AQ676)="","",INDEX(Raw_D2!$H$2:$H$1001,$AQ676)),IF($AR676&lt;&gt;"",IF(INDEX(Raw_D3!$P$2:$P$1001,$AR676)="","",INDEX(Raw_D3!$P$2:$P$1001,$AR676)),"")))</f>
        <v>69</v>
      </c>
      <c r="Q676" s="5" t="str">
        <f>IF($A676="","",IF(AND($AP676&lt;&gt;"",$AQ676&lt;&gt;""),"D1+D2",IF($AR676&lt;&gt;"","D3","Incomplete")))</f>
        <v>D3</v>
      </c>
      <c r="R676" s="17">
        <f>IF($A676="","",IF($K676="",IF($J676="","",ROUND(Lookups!$K$5+Lookups!$K$4*$J676,4)),$K676))</f>
        <v>0.1515</v>
      </c>
      <c r="S676" s="5" t="str">
        <f>IF($A676="","",IF($K676="","Imputed","Original"))</f>
        <v>Original</v>
      </c>
      <c r="T676" s="5" t="str">
        <f>IF($A676="","",IF($P676="","Missing",IF($P676=$N676+$O676,"OK","Mismatch")))</f>
        <v>OK</v>
      </c>
      <c r="U676" s="5" t="str">
        <f>IF($A676="","",IF(COUNTIF($A$2:$A676,$A676)&gt;1,"Duplicate","Unique"))</f>
        <v>Unique</v>
      </c>
      <c r="V676" s="5">
        <f>IF($A676="","",IF(AND($U676="Unique",ISNUMBER($P676)),1,0))</f>
        <v>1</v>
      </c>
      <c r="W676" s="5" t="str">
        <f>IF($A676="","",IF(OR($H676=0,$H676=6),"Weekend","Weekday"))</f>
        <v>Weekday</v>
      </c>
      <c r="X676" s="5" t="str">
        <f>IF($A676="","",TEXT($B676,"ddd"))</f>
        <v>Mon</v>
      </c>
      <c r="Y676" s="5" t="str">
        <f>IF($A676="","",TEXT($B676,"mmm"))</f>
        <v>Jan</v>
      </c>
      <c r="Z676" s="5" t="str">
        <f>IF($A676="","",IFERROR(VLOOKUP($C676,Lookups!$D$4:$E$7,2,FALSE),"Unknown"))</f>
        <v>Winter</v>
      </c>
      <c r="AA676" s="5" t="str">
        <f>IF($A676="","",IFERROR(VLOOKUP($I676,Lookups!$A$4:$B$7,2,FALSE),"Unknown"))</f>
        <v>Mist/Cloudy</v>
      </c>
      <c r="AB676" s="5" t="str">
        <f>IF($A676="","",TEXT($F676,"00")&amp;":00")</f>
        <v>10:00</v>
      </c>
      <c r="AC676" s="5" t="str">
        <f>IF($A676="","",VLOOKUP($F676,Lookups!$G$4:$H$8,2,TRUE))</f>
        <v>Midday (10-15)</v>
      </c>
      <c r="AD676" s="18">
        <f>IF($A676="","",IF($J676="","",ROUND($J676*41,1)))</f>
        <v>6.6</v>
      </c>
      <c r="AE676" s="18">
        <f>IF($A676="","",IF($R676="","",ROUND($R676*50,1)))</f>
        <v>7.6</v>
      </c>
      <c r="AF676" s="5">
        <f>IF($A676="","",IF($L676="","",ROUND($L676*100,0)))</f>
        <v>59</v>
      </c>
      <c r="AG676" s="18">
        <f>IF($A676="","",IF($M676="","",ROUND($M676*67,1)))</f>
        <v>13</v>
      </c>
      <c r="AH676" s="19">
        <f>IF($A676="","",IF($P676="","",IF($P676=0,0,$O676/$P676)))</f>
        <v>0.985507246376812</v>
      </c>
      <c r="AI676" s="5" t="str">
        <f>IF($A676="","",IF($P676="","",IF($P676&gt;=Lookups!$K$7,"High",IF($P676&lt;=Lookups!$K$8,"Low","Medium"))))</f>
        <v>Medium</v>
      </c>
      <c r="AJ676" s="5" t="str">
        <f>IF($A676="","",IF($AD676="","",IF($AD676&lt;5,"Under 5 C",IF($AD676&lt;10,"5-10 C",IF($AD676&lt;15,"10-15 C","15 C and above")))))</f>
        <v>5-10 C</v>
      </c>
      <c r="AK676" s="5">
        <f>IF($A676="","",IF($P676="","",$P676^2))</f>
        <v>4761</v>
      </c>
      <c r="AL676" s="18">
        <f>IF($V676&lt;&gt;1,"",AVERAGEIFS(Clean_Data!$P$2:$P$1001,Clean_Data!$F$2:$F$1001,$F676,Clean_Data!$W$2:$W$1001,$W676,Clean_Data!$V$2:$V$1001,1))</f>
        <v>49.0714285714286</v>
      </c>
      <c r="AM676" s="16">
        <f>IF($V676&lt;&gt;1,"",IFERROR(($P676-$AL676)/SQRT(MAX(0,(SUMIFS(Clean_Data!$AK$2:$AK$1001,Clean_Data!$F$2:$F$1001,$F676,Clean_Data!$W$2:$W$1001,$W676,Clean_Data!$V$2:$V$1001,1)-COUNTIFS(Clean_Data!$F$2:$F$1001,$F676,Clean_Data!$W$2:$W$1001,$W676,Clean_Data!$V$2:$V$1001,1)*$AL676^2)/(COUNTIFS(Clean_Data!$F$2:$F$1001,$F676,Clean_Data!$W$2:$W$1001,$W676,Clean_Data!$V$2:$V$1001,1)-1))),""))</f>
        <v>1.97470844481763</v>
      </c>
      <c r="AN676" s="5" t="str">
        <f>IF($AM676="","",IF($AM676&gt;=Lookups!$K$6,"High spike",IF($AM676&lt;=-Lookups!$K$6,"Unusual low","Normal")))</f>
        <v>Normal</v>
      </c>
      <c r="AO676" s="20">
        <f>IF($V676&lt;&gt;1,"",$P676+ROW()/100000)</f>
        <v>69.00676</v>
      </c>
      <c r="AP676" s="5">
        <f>IF($A676="","",IFERROR(MATCH($A676,Raw_D1!$A$2:$A$1001,0),""))</f>
        <v/>
      </c>
      <c r="AQ676" s="5">
        <f>IF($A676="","",IFERROR(MATCH($A676,Raw_D2!$B$2:$B$1001,0),""))</f>
        <v/>
      </c>
      <c r="AR676" s="5">
        <f>IF($A676="","",IFERROR(MATCH($A676,Raw_D3!$A$2:$A$1001,0),""))</f>
        <v>56</v>
      </c>
    </row>
    <row r="677" spans="1:44" x14ac:dyDescent="0.25">
      <c r="A677" s="5">
        <v>676</v>
      </c>
      <c r="B677" s="11">
        <f>IF($A677="","",IF($AP677&lt;&gt;"",INDEX(Raw_D1!$B$2:$B$1001,$AP677),IF($AR677&lt;&gt;"",INDEX(Raw_D3!$B$2:$B$1001,$AR677),"")))</f>
        <v>40574.0</v>
      </c>
      <c r="C677" s="5">
        <f>IF($A677="","",IF($AP677&lt;&gt;"",INDEX(Raw_D1!$C$2:$C$1001,$AP677),IF($AR677&lt;&gt;"",INDEX(Raw_D3!$C$2:$C$1001,$AR677),"")))</f>
        <v>1</v>
      </c>
      <c r="D677" s="5">
        <f>IF($A677="","",IF($AP677&lt;&gt;"",INDEX(Raw_D1!$D$2:$D$1001,$AP677),IF($AR677&lt;&gt;"",INDEX(Raw_D3!$D$2:$D$1001,$AR677),"")))</f>
        <v>0</v>
      </c>
      <c r="E677" s="5">
        <f>IF($A677="","",IF($AP677&lt;&gt;"",INDEX(Raw_D1!$E$2:$E$1001,$AP677),IF($AR677&lt;&gt;"",INDEX(Raw_D3!$E$2:$E$1001,$AR677),"")))</f>
        <v>1</v>
      </c>
      <c r="F677" s="5">
        <f>IF($A677="","",IF($AP677&lt;&gt;"",INDEX(Raw_D1!$F$2:$F$1001,$AP677),IF($AR677&lt;&gt;"",INDEX(Raw_D3!$F$2:$F$1001,$AR677),"")))</f>
        <v>11</v>
      </c>
      <c r="G677" s="5">
        <f>IF($A677="","",IF($AP677&lt;&gt;"",IF(INDEX(Raw_D1!$G$2:$G$1001,$AP677),1,0),IF($AR677&lt;&gt;"",IF(INDEX(Raw_D3!$G$2:$G$1001,$AR677),1,0),"")))</f>
        <v>0</v>
      </c>
      <c r="H677" s="5">
        <f>IF($A677="","",IF($AP677&lt;&gt;"",INDEX(Raw_D1!$H$2:$H$1001,$AP677),IF($AR677&lt;&gt;"",INDEX(Raw_D3!$H$2:$H$1001,$AR677),"")))</f>
        <v>1</v>
      </c>
      <c r="I677" s="5">
        <f>IF($A677="","",IF($AP677&lt;&gt;"",INDEX(Raw_D1!$I$2:$I$1001,$AP677),IF($AR677&lt;&gt;"",INDEX(Raw_D3!$I$2:$I$1001,$AR677),"")))</f>
        <v>2</v>
      </c>
      <c r="J677" s="16">
        <f>IF($A677="","",IF($AP677&lt;&gt;"",INDEX(Raw_D1!$J$2:$J$1001,$AP677),IF($AR677&lt;&gt;"",INDEX(Raw_D3!$J$2:$J$1001,$AR677),"")))</f>
        <v>0.16</v>
      </c>
      <c r="K677" s="17">
        <f>IF($A677="","",IF($AQ677&lt;&gt;"",IF(INDEX(Raw_D2!$C$2:$C$1001,$AQ677)="","",INDEX(Raw_D2!$C$2:$C$1001,$AQ677)),IF($AR677&lt;&gt;"",IF(INDEX(Raw_D3!$K$2:$K$1001,$AR677)="","",INDEX(Raw_D3!$K$2:$K$1001,$AR677)),"")))</f>
        <v>0.1515</v>
      </c>
      <c r="L677" s="16">
        <f>IF($A677="","",IF($AQ677&lt;&gt;"",IF(INDEX(Raw_D2!$D$2:$D$1001,$AQ677)="","",INDEX(Raw_D2!$D$2:$D$1001,$AQ677)),IF($AR677&lt;&gt;"",IF(INDEX(Raw_D3!$L$2:$L$1001,$AR677)="","",INDEX(Raw_D3!$L$2:$L$1001,$AR677)),"")))</f>
        <v>0.59</v>
      </c>
      <c r="M677" s="17">
        <f>IF($A677="","",IF($AQ677&lt;&gt;"",IF(INDEX(Raw_D2!$E$2:$E$1001,$AQ677)="","",INDEX(Raw_D2!$E$2:$E$1001,$AQ677)),IF($AR677&lt;&gt;"",IF(INDEX(Raw_D3!$M$2:$M$1001,$AR677)="","",INDEX(Raw_D3!$M$2:$M$1001,$AR677)),"")))</f>
        <v>0.194</v>
      </c>
      <c r="N677" s="5">
        <f>IF($A677="","",IF($AQ677&lt;&gt;"",IF(INDEX(Raw_D2!$F$2:$F$1001,$AQ677)="","",INDEX(Raw_D2!$F$2:$F$1001,$AQ677)),IF($AR677&lt;&gt;"",IF(INDEX(Raw_D3!$N$2:$N$1001,$AR677)="","",INDEX(Raw_D3!$N$2:$N$1001,$AR677)),"")))</f>
        <v>2</v>
      </c>
      <c r="O677" s="5">
        <f>IF($A677="","",IF($AQ677&lt;&gt;"",IF(INDEX(Raw_D2!$G$2:$G$1001,$AQ677)="","",INDEX(Raw_D2!$G$2:$G$1001,$AQ677)),IF($AR677&lt;&gt;"",IF(INDEX(Raw_D3!$O$2:$O$1001,$AR677)="","",INDEX(Raw_D3!$O$2:$O$1001,$AR677)),"")))</f>
        <v>46</v>
      </c>
      <c r="P677" s="5">
        <f>IF($A677="","",IF($AQ677&lt;&gt;"",IF(INDEX(Raw_D2!$H$2:$H$1001,$AQ677)="","",INDEX(Raw_D2!$H$2:$H$1001,$AQ677)),IF($AR677&lt;&gt;"",IF(INDEX(Raw_D3!$P$2:$P$1001,$AR677)="","",INDEX(Raw_D3!$P$2:$P$1001,$AR677)),"")))</f>
        <v>48</v>
      </c>
      <c r="Q677" s="5" t="str">
        <f>IF($A677="","",IF(AND($AP677&lt;&gt;"",$AQ677&lt;&gt;""),"D1+D2",IF($AR677&lt;&gt;"","D3","Incomplete")))</f>
        <v>D3</v>
      </c>
      <c r="R677" s="17">
        <f>IF($A677="","",IF($K677="",IF($J677="","",ROUND(Lookups!$K$5+Lookups!$K$4*$J677,4)),$K677))</f>
        <v>0.1515</v>
      </c>
      <c r="S677" s="5" t="str">
        <f>IF($A677="","",IF($K677="","Imputed","Original"))</f>
        <v>Original</v>
      </c>
      <c r="T677" s="5" t="str">
        <f>IF($A677="","",IF($P677="","Missing",IF($P677=$N677+$O677,"OK","Mismatch")))</f>
        <v>OK</v>
      </c>
      <c r="U677" s="5" t="str">
        <f>IF($A677="","",IF(COUNTIF($A$2:$A677,$A677)&gt;1,"Duplicate","Unique"))</f>
        <v>Unique</v>
      </c>
      <c r="V677" s="5">
        <f>IF($A677="","",IF(AND($U677="Unique",ISNUMBER($P677)),1,0))</f>
        <v>1</v>
      </c>
      <c r="W677" s="5" t="str">
        <f>IF($A677="","",IF(OR($H677=0,$H677=6),"Weekend","Weekday"))</f>
        <v>Weekday</v>
      </c>
      <c r="X677" s="5" t="str">
        <f>IF($A677="","",TEXT($B677,"ddd"))</f>
        <v>Mon</v>
      </c>
      <c r="Y677" s="5" t="str">
        <f>IF($A677="","",TEXT($B677,"mmm"))</f>
        <v>Jan</v>
      </c>
      <c r="Z677" s="5" t="str">
        <f>IF($A677="","",IFERROR(VLOOKUP($C677,Lookups!$D$4:$E$7,2,FALSE),"Unknown"))</f>
        <v>Winter</v>
      </c>
      <c r="AA677" s="5" t="str">
        <f>IF($A677="","",IFERROR(VLOOKUP($I677,Lookups!$A$4:$B$7,2,FALSE),"Unknown"))</f>
        <v>Mist/Cloudy</v>
      </c>
      <c r="AB677" s="5" t="str">
        <f>IF($A677="","",TEXT($F677,"00")&amp;":00")</f>
        <v>11:00</v>
      </c>
      <c r="AC677" s="5" t="str">
        <f>IF($A677="","",VLOOKUP($F677,Lookups!$G$4:$H$8,2,TRUE))</f>
        <v>Midday (10-15)</v>
      </c>
      <c r="AD677" s="18">
        <f>IF($A677="","",IF($J677="","",ROUND($J677*41,1)))</f>
        <v>6.6</v>
      </c>
      <c r="AE677" s="18">
        <f>IF($A677="","",IF($R677="","",ROUND($R677*50,1)))</f>
        <v>7.6</v>
      </c>
      <c r="AF677" s="5">
        <f>IF($A677="","",IF($L677="","",ROUND($L677*100,0)))</f>
        <v>59</v>
      </c>
      <c r="AG677" s="18">
        <f>IF($A677="","",IF($M677="","",ROUND($M677*67,1)))</f>
        <v>13</v>
      </c>
      <c r="AH677" s="19">
        <f>IF($A677="","",IF($P677="","",IF($P677=0,0,$O677/$P677)))</f>
        <v>0.958333333333333</v>
      </c>
      <c r="AI677" s="5" t="str">
        <f>IF($A677="","",IF($P677="","",IF($P677&gt;=Lookups!$K$7,"High",IF($P677&lt;=Lookups!$K$8,"Low","Medium"))))</f>
        <v>Medium</v>
      </c>
      <c r="AJ677" s="5" t="str">
        <f>IF($A677="","",IF($AD677="","",IF($AD677&lt;5,"Under 5 C",IF($AD677&lt;10,"5-10 C",IF($AD677&lt;15,"10-15 C","15 C and above")))))</f>
        <v>5-10 C</v>
      </c>
      <c r="AK677" s="5">
        <f>IF($A677="","",IF($P677="","",$P677^2))</f>
        <v>2304</v>
      </c>
      <c r="AL677" s="18">
        <f>IF($V677&lt;&gt;1,"",AVERAGEIFS(Clean_Data!$P$2:$P$1001,Clean_Data!$F$2:$F$1001,$F677,Clean_Data!$W$2:$W$1001,$W677,Clean_Data!$V$2:$V$1001,1))</f>
        <v>50.6071428571429</v>
      </c>
      <c r="AM677" s="16">
        <f>IF($V677&lt;&gt;1,"",IFERROR(($P677-$AL677)/SQRT(MAX(0,(SUMIFS(Clean_Data!$AK$2:$AK$1001,Clean_Data!$F$2:$F$1001,$F677,Clean_Data!$W$2:$W$1001,$W677,Clean_Data!$V$2:$V$1001,1)-COUNTIFS(Clean_Data!$F$2:$F$1001,$F677,Clean_Data!$W$2:$W$1001,$W677,Clean_Data!$V$2:$V$1001,1)*$AL677^2)/(COUNTIFS(Clean_Data!$F$2:$F$1001,$F677,Clean_Data!$W$2:$W$1001,$W677,Clean_Data!$V$2:$V$1001,1)-1))),""))</f>
        <v>-0.232718828850902</v>
      </c>
      <c r="AN677" s="5" t="str">
        <f>IF($AM677="","",IF($AM677&gt;=Lookups!$K$6,"High spike",IF($AM677&lt;=-Lookups!$K$6,"Unusual low","Normal")))</f>
        <v>Normal</v>
      </c>
      <c r="AO677" s="20">
        <f>IF($V677&lt;&gt;1,"",$P677+ROW()/100000)</f>
        <v>48.00677</v>
      </c>
      <c r="AP677" s="5">
        <f>IF($A677="","",IFERROR(MATCH($A677,Raw_D1!$A$2:$A$1001,0),""))</f>
        <v/>
      </c>
      <c r="AQ677" s="5">
        <f>IF($A677="","",IFERROR(MATCH($A677,Raw_D2!$B$2:$B$1001,0),""))</f>
        <v/>
      </c>
      <c r="AR677" s="5">
        <f>IF($A677="","",IFERROR(MATCH($A677,Raw_D3!$A$2:$A$1001,0),""))</f>
        <v>57</v>
      </c>
    </row>
    <row r="678" spans="1:44" x14ac:dyDescent="0.25">
      <c r="A678" s="5">
        <v>677</v>
      </c>
      <c r="B678" s="11">
        <f>IF($A678="","",IF($AP678&lt;&gt;"",INDEX(Raw_D1!$B$2:$B$1001,$AP678),IF($AR678&lt;&gt;"",INDEX(Raw_D3!$B$2:$B$1001,$AR678),"")))</f>
        <v>40574.0</v>
      </c>
      <c r="C678" s="5">
        <f>IF($A678="","",IF($AP678&lt;&gt;"",INDEX(Raw_D1!$C$2:$C$1001,$AP678),IF($AR678&lt;&gt;"",INDEX(Raw_D3!$C$2:$C$1001,$AR678),"")))</f>
        <v>1</v>
      </c>
      <c r="D678" s="5">
        <f>IF($A678="","",IF($AP678&lt;&gt;"",INDEX(Raw_D1!$D$2:$D$1001,$AP678),IF($AR678&lt;&gt;"",INDEX(Raw_D3!$D$2:$D$1001,$AR678),"")))</f>
        <v>0</v>
      </c>
      <c r="E678" s="5">
        <f>IF($A678="","",IF($AP678&lt;&gt;"",INDEX(Raw_D1!$E$2:$E$1001,$AP678),IF($AR678&lt;&gt;"",INDEX(Raw_D3!$E$2:$E$1001,$AR678),"")))</f>
        <v>1</v>
      </c>
      <c r="F678" s="5">
        <f>IF($A678="","",IF($AP678&lt;&gt;"",INDEX(Raw_D1!$F$2:$F$1001,$AP678),IF($AR678&lt;&gt;"",INDEX(Raw_D3!$F$2:$F$1001,$AR678),"")))</f>
        <v>12</v>
      </c>
      <c r="G678" s="5">
        <f>IF($A678="","",IF($AP678&lt;&gt;"",IF(INDEX(Raw_D1!$G$2:$G$1001,$AP678),1,0),IF($AR678&lt;&gt;"",IF(INDEX(Raw_D3!$G$2:$G$1001,$AR678),1,0),"")))</f>
        <v>0</v>
      </c>
      <c r="H678" s="5">
        <f>IF($A678="","",IF($AP678&lt;&gt;"",INDEX(Raw_D1!$H$2:$H$1001,$AP678),IF($AR678&lt;&gt;"",INDEX(Raw_D3!$H$2:$H$1001,$AR678),"")))</f>
        <v>1</v>
      </c>
      <c r="I678" s="5">
        <f>IF($A678="","",IF($AP678&lt;&gt;"",INDEX(Raw_D1!$I$2:$I$1001,$AP678),IF($AR678&lt;&gt;"",INDEX(Raw_D3!$I$2:$I$1001,$AR678),"")))</f>
        <v>2</v>
      </c>
      <c r="J678" s="16">
        <f>IF($A678="","",IF($AP678&lt;&gt;"",INDEX(Raw_D1!$J$2:$J$1001,$AP678),IF($AR678&lt;&gt;"",INDEX(Raw_D3!$J$2:$J$1001,$AR678),"")))</f>
        <v>0.18</v>
      </c>
      <c r="K678" s="17">
        <f>IF($A678="","",IF($AQ678&lt;&gt;"",IF(INDEX(Raw_D2!$C$2:$C$1001,$AQ678)="","",INDEX(Raw_D2!$C$2:$C$1001,$AQ678)),IF($AR678&lt;&gt;"",IF(INDEX(Raw_D3!$K$2:$K$1001,$AR678)="","",INDEX(Raw_D3!$K$2:$K$1001,$AR678)),"")))</f>
        <v>0.2121</v>
      </c>
      <c r="L678" s="16">
        <f>IF($A678="","",IF($AQ678&lt;&gt;"",IF(INDEX(Raw_D2!$D$2:$D$1001,$AQ678)="","",INDEX(Raw_D2!$D$2:$D$1001,$AQ678)),IF($AR678&lt;&gt;"",IF(INDEX(Raw_D3!$L$2:$L$1001,$AR678)="","",INDEX(Raw_D3!$L$2:$L$1001,$AR678)),"")))</f>
        <v>0.55</v>
      </c>
      <c r="M678" s="17">
        <f>IF($A678="","",IF($AQ678&lt;&gt;"",IF(INDEX(Raw_D2!$E$2:$E$1001,$AQ678)="","",INDEX(Raw_D2!$E$2:$E$1001,$AQ678)),IF($AR678&lt;&gt;"",IF(INDEX(Raw_D3!$M$2:$M$1001,$AR678)="","",INDEX(Raw_D3!$M$2:$M$1001,$AR678)),"")))</f>
        <v>0.1045</v>
      </c>
      <c r="N678" s="5">
        <f>IF($A678="","",IF($AQ678&lt;&gt;"",IF(INDEX(Raw_D2!$F$2:$F$1001,$AQ678)="","",INDEX(Raw_D2!$F$2:$F$1001,$AQ678)),IF($AR678&lt;&gt;"",IF(INDEX(Raw_D3!$N$2:$N$1001,$AR678)="","",INDEX(Raw_D3!$N$2:$N$1001,$AR678)),"")))</f>
        <v>6</v>
      </c>
      <c r="O678" s="5">
        <f>IF($A678="","",IF($AQ678&lt;&gt;"",IF(INDEX(Raw_D2!$G$2:$G$1001,$AQ678)="","",INDEX(Raw_D2!$G$2:$G$1001,$AQ678)),IF($AR678&lt;&gt;"",IF(INDEX(Raw_D3!$O$2:$O$1001,$AR678)="","",INDEX(Raw_D3!$O$2:$O$1001,$AR678)),"")))</f>
        <v>62</v>
      </c>
      <c r="P678" s="5">
        <f>IF($A678="","",IF($AQ678&lt;&gt;"",IF(INDEX(Raw_D2!$H$2:$H$1001,$AQ678)="","",INDEX(Raw_D2!$H$2:$H$1001,$AQ678)),IF($AR678&lt;&gt;"",IF(INDEX(Raw_D3!$P$2:$P$1001,$AR678)="","",INDEX(Raw_D3!$P$2:$P$1001,$AR678)),"")))</f>
        <v>68</v>
      </c>
      <c r="Q678" s="5" t="str">
        <f>IF($A678="","",IF(AND($AP678&lt;&gt;"",$AQ678&lt;&gt;""),"D1+D2",IF($AR678&lt;&gt;"","D3","Incomplete")))</f>
        <v>D3</v>
      </c>
      <c r="R678" s="17">
        <f>IF($A678="","",IF($K678="",IF($J678="","",ROUND(Lookups!$K$5+Lookups!$K$4*$J678,4)),$K678))</f>
        <v>0.2121</v>
      </c>
      <c r="S678" s="5" t="str">
        <f>IF($A678="","",IF($K678="","Imputed","Original"))</f>
        <v>Original</v>
      </c>
      <c r="T678" s="5" t="str">
        <f>IF($A678="","",IF($P678="","Missing",IF($P678=$N678+$O678,"OK","Mismatch")))</f>
        <v>OK</v>
      </c>
      <c r="U678" s="5" t="str">
        <f>IF($A678="","",IF(COUNTIF($A$2:$A678,$A678)&gt;1,"Duplicate","Unique"))</f>
        <v>Unique</v>
      </c>
      <c r="V678" s="5">
        <f>IF($A678="","",IF(AND($U678="Unique",ISNUMBER($P678)),1,0))</f>
        <v>1</v>
      </c>
      <c r="W678" s="5" t="str">
        <f>IF($A678="","",IF(OR($H678=0,$H678=6),"Weekend","Weekday"))</f>
        <v>Weekday</v>
      </c>
      <c r="X678" s="5" t="str">
        <f>IF($A678="","",TEXT($B678,"ddd"))</f>
        <v>Mon</v>
      </c>
      <c r="Y678" s="5" t="str">
        <f>IF($A678="","",TEXT($B678,"mmm"))</f>
        <v>Jan</v>
      </c>
      <c r="Z678" s="5" t="str">
        <f>IF($A678="","",IFERROR(VLOOKUP($C678,Lookups!$D$4:$E$7,2,FALSE),"Unknown"))</f>
        <v>Winter</v>
      </c>
      <c r="AA678" s="5" t="str">
        <f>IF($A678="","",IFERROR(VLOOKUP($I678,Lookups!$A$4:$B$7,2,FALSE),"Unknown"))</f>
        <v>Mist/Cloudy</v>
      </c>
      <c r="AB678" s="5" t="str">
        <f>IF($A678="","",TEXT($F678,"00")&amp;":00")</f>
        <v>12:00</v>
      </c>
      <c r="AC678" s="5" t="str">
        <f>IF($A678="","",VLOOKUP($F678,Lookups!$G$4:$H$8,2,TRUE))</f>
        <v>Midday (10-15)</v>
      </c>
      <c r="AD678" s="18">
        <f>IF($A678="","",IF($J678="","",ROUND($J678*41,1)))</f>
        <v>7.4</v>
      </c>
      <c r="AE678" s="18">
        <f>IF($A678="","",IF($R678="","",ROUND($R678*50,1)))</f>
        <v>10.6</v>
      </c>
      <c r="AF678" s="5">
        <f>IF($A678="","",IF($L678="","",ROUND($L678*100,0)))</f>
        <v>55</v>
      </c>
      <c r="AG678" s="18">
        <f>IF($A678="","",IF($M678="","",ROUND($M678*67,1)))</f>
        <v>7</v>
      </c>
      <c r="AH678" s="19">
        <f>IF($A678="","",IF($P678="","",IF($P678=0,0,$O678/$P678)))</f>
        <v>0.911764705882353</v>
      </c>
      <c r="AI678" s="5" t="str">
        <f>IF($A678="","",IF($P678="","",IF($P678&gt;=Lookups!$K$7,"High",IF($P678&lt;=Lookups!$K$8,"Low","Medium"))))</f>
        <v>Medium</v>
      </c>
      <c r="AJ678" s="5" t="str">
        <f>IF($A678="","",IF($AD678="","",IF($AD678&lt;5,"Under 5 C",IF($AD678&lt;10,"5-10 C",IF($AD678&lt;15,"10-15 C","15 C and above")))))</f>
        <v>5-10 C</v>
      </c>
      <c r="AK678" s="5">
        <f>IF($A678="","",IF($P678="","",$P678^2))</f>
        <v>4624</v>
      </c>
      <c r="AL678" s="18">
        <f>IF($V678&lt;&gt;1,"",AVERAGEIFS(Clean_Data!$P$2:$P$1001,Clean_Data!$F$2:$F$1001,$F678,Clean_Data!$W$2:$W$1001,$W678,Clean_Data!$V$2:$V$1001,1))</f>
        <v>64.5862068965517</v>
      </c>
      <c r="AM678" s="16">
        <f>IF($V678&lt;&gt;1,"",IFERROR(($P678-$AL678)/SQRT(MAX(0,(SUMIFS(Clean_Data!$AK$2:$AK$1001,Clean_Data!$F$2:$F$1001,$F678,Clean_Data!$W$2:$W$1001,$W678,Clean_Data!$V$2:$V$1001,1)-COUNTIFS(Clean_Data!$F$2:$F$1001,$F678,Clean_Data!$W$2:$W$1001,$W678,Clean_Data!$V$2:$V$1001,1)*$AL678^2)/(COUNTIFS(Clean_Data!$F$2:$F$1001,$F678,Clean_Data!$W$2:$W$1001,$W678,Clean_Data!$V$2:$V$1001,1)-1))),""))</f>
        <v>0.182279401700397</v>
      </c>
      <c r="AN678" s="5" t="str">
        <f>IF($AM678="","",IF($AM678&gt;=Lookups!$K$6,"High spike",IF($AM678&lt;=-Lookups!$K$6,"Unusual low","Normal")))</f>
        <v>Normal</v>
      </c>
      <c r="AO678" s="20">
        <f>IF($V678&lt;&gt;1,"",$P678+ROW()/100000)</f>
        <v>68.00678</v>
      </c>
      <c r="AP678" s="5">
        <f>IF($A678="","",IFERROR(MATCH($A678,Raw_D1!$A$2:$A$1001,0),""))</f>
        <v/>
      </c>
      <c r="AQ678" s="5">
        <f>IF($A678="","",IFERROR(MATCH($A678,Raw_D2!$B$2:$B$1001,0),""))</f>
        <v/>
      </c>
      <c r="AR678" s="5">
        <f>IF($A678="","",IFERROR(MATCH($A678,Raw_D3!$A$2:$A$1001,0),""))</f>
        <v>58</v>
      </c>
    </row>
    <row r="679" spans="1:44" x14ac:dyDescent="0.25">
      <c r="A679" s="5">
        <v>678</v>
      </c>
      <c r="B679" s="11">
        <f>IF($A679="","",IF($AP679&lt;&gt;"",INDEX(Raw_D1!$B$2:$B$1001,$AP679),IF($AR679&lt;&gt;"",INDEX(Raw_D3!$B$2:$B$1001,$AR679),"")))</f>
        <v>40574.0</v>
      </c>
      <c r="C679" s="5">
        <f>IF($A679="","",IF($AP679&lt;&gt;"",INDEX(Raw_D1!$C$2:$C$1001,$AP679),IF($AR679&lt;&gt;"",INDEX(Raw_D3!$C$2:$C$1001,$AR679),"")))</f>
        <v>1</v>
      </c>
      <c r="D679" s="5">
        <f>IF($A679="","",IF($AP679&lt;&gt;"",INDEX(Raw_D1!$D$2:$D$1001,$AP679),IF($AR679&lt;&gt;"",INDEX(Raw_D3!$D$2:$D$1001,$AR679),"")))</f>
        <v>0</v>
      </c>
      <c r="E679" s="5">
        <f>IF($A679="","",IF($AP679&lt;&gt;"",INDEX(Raw_D1!$E$2:$E$1001,$AP679),IF($AR679&lt;&gt;"",INDEX(Raw_D3!$E$2:$E$1001,$AR679),"")))</f>
        <v>1</v>
      </c>
      <c r="F679" s="5">
        <f>IF($A679="","",IF($AP679&lt;&gt;"",INDEX(Raw_D1!$F$2:$F$1001,$AP679),IF($AR679&lt;&gt;"",INDEX(Raw_D3!$F$2:$F$1001,$AR679),"")))</f>
        <v>13</v>
      </c>
      <c r="G679" s="5">
        <f>IF($A679="","",IF($AP679&lt;&gt;"",IF(INDEX(Raw_D1!$G$2:$G$1001,$AP679),1,0),IF($AR679&lt;&gt;"",IF(INDEX(Raw_D3!$G$2:$G$1001,$AR679),1,0),"")))</f>
        <v>0</v>
      </c>
      <c r="H679" s="5">
        <f>IF($A679="","",IF($AP679&lt;&gt;"",INDEX(Raw_D1!$H$2:$H$1001,$AP679),IF($AR679&lt;&gt;"",INDEX(Raw_D3!$H$2:$H$1001,$AR679),"")))</f>
        <v>1</v>
      </c>
      <c r="I679" s="5">
        <f>IF($A679="","",IF($AP679&lt;&gt;"",INDEX(Raw_D1!$I$2:$I$1001,$AP679),IF($AR679&lt;&gt;"",INDEX(Raw_D3!$I$2:$I$1001,$AR679),"")))</f>
        <v>2</v>
      </c>
      <c r="J679" s="16">
        <f>IF($A679="","",IF($AP679&lt;&gt;"",INDEX(Raw_D1!$J$2:$J$1001,$AP679),IF($AR679&lt;&gt;"",INDEX(Raw_D3!$J$2:$J$1001,$AR679),"")))</f>
        <v>0.16</v>
      </c>
      <c r="K679" s="17">
        <f>IF($A679="","",IF($AQ679&lt;&gt;"",IF(INDEX(Raw_D2!$C$2:$C$1001,$AQ679)="","",INDEX(Raw_D2!$C$2:$C$1001,$AQ679)),IF($AR679&lt;&gt;"",IF(INDEX(Raw_D3!$K$2:$K$1001,$AR679)="","",INDEX(Raw_D3!$K$2:$K$1001,$AR679)),"")))</f>
        <v>0.2273</v>
      </c>
      <c r="L679" s="16">
        <f>IF($A679="","",IF($AQ679&lt;&gt;"",IF(INDEX(Raw_D2!$D$2:$D$1001,$AQ679)="","",INDEX(Raw_D2!$D$2:$D$1001,$AQ679)),IF($AR679&lt;&gt;"",IF(INDEX(Raw_D3!$L$2:$L$1001,$AR679)="","",INDEX(Raw_D3!$L$2:$L$1001,$AR679)),"")))</f>
        <v>0.59</v>
      </c>
      <c r="M679" s="17">
        <f>IF($A679="","",IF($AQ679&lt;&gt;"",IF(INDEX(Raw_D2!$E$2:$E$1001,$AQ679)="","",INDEX(Raw_D2!$E$2:$E$1001,$AQ679)),IF($AR679&lt;&gt;"",IF(INDEX(Raw_D3!$M$2:$M$1001,$AR679)="","",INDEX(Raw_D3!$M$2:$M$1001,$AR679)),"")))</f>
        <v>0</v>
      </c>
      <c r="N679" s="5">
        <f>IF($A679="","",IF($AQ679&lt;&gt;"",IF(INDEX(Raw_D2!$F$2:$F$1001,$AQ679)="","",INDEX(Raw_D2!$F$2:$F$1001,$AQ679)),IF($AR679&lt;&gt;"",IF(INDEX(Raw_D3!$N$2:$N$1001,$AR679)="","",INDEX(Raw_D3!$N$2:$N$1001,$AR679)),"")))</f>
        <v>2</v>
      </c>
      <c r="O679" s="5">
        <f>IF($A679="","",IF($AQ679&lt;&gt;"",IF(INDEX(Raw_D2!$G$2:$G$1001,$AQ679)="","",INDEX(Raw_D2!$G$2:$G$1001,$AQ679)),IF($AR679&lt;&gt;"",IF(INDEX(Raw_D3!$O$2:$O$1001,$AR679)="","",INDEX(Raw_D3!$O$2:$O$1001,$AR679)),"")))</f>
        <v>52</v>
      </c>
      <c r="P679" s="5">
        <f>IF($A679="","",IF($AQ679&lt;&gt;"",IF(INDEX(Raw_D2!$H$2:$H$1001,$AQ679)="","",INDEX(Raw_D2!$H$2:$H$1001,$AQ679)),IF($AR679&lt;&gt;"",IF(INDEX(Raw_D3!$P$2:$P$1001,$AR679)="","",INDEX(Raw_D3!$P$2:$P$1001,$AR679)),"")))</f>
        <v>54</v>
      </c>
      <c r="Q679" s="5" t="str">
        <f>IF($A679="","",IF(AND($AP679&lt;&gt;"",$AQ679&lt;&gt;""),"D1+D2",IF($AR679&lt;&gt;"","D3","Incomplete")))</f>
        <v>D3</v>
      </c>
      <c r="R679" s="17">
        <f>IF($A679="","",IF($K679="",IF($J679="","",ROUND(Lookups!$K$5+Lookups!$K$4*$J679,4)),$K679))</f>
        <v>0.2273</v>
      </c>
      <c r="S679" s="5" t="str">
        <f>IF($A679="","",IF($K679="","Imputed","Original"))</f>
        <v>Original</v>
      </c>
      <c r="T679" s="5" t="str">
        <f>IF($A679="","",IF($P679="","Missing",IF($P679=$N679+$O679,"OK","Mismatch")))</f>
        <v>OK</v>
      </c>
      <c r="U679" s="5" t="str">
        <f>IF($A679="","",IF(COUNTIF($A$2:$A679,$A679)&gt;1,"Duplicate","Unique"))</f>
        <v>Unique</v>
      </c>
      <c r="V679" s="5">
        <f>IF($A679="","",IF(AND($U679="Unique",ISNUMBER($P679)),1,0))</f>
        <v>1</v>
      </c>
      <c r="W679" s="5" t="str">
        <f>IF($A679="","",IF(OR($H679=0,$H679=6),"Weekend","Weekday"))</f>
        <v>Weekday</v>
      </c>
      <c r="X679" s="5" t="str">
        <f>IF($A679="","",TEXT($B679,"ddd"))</f>
        <v>Mon</v>
      </c>
      <c r="Y679" s="5" t="str">
        <f>IF($A679="","",TEXT($B679,"mmm"))</f>
        <v>Jan</v>
      </c>
      <c r="Z679" s="5" t="str">
        <f>IF($A679="","",IFERROR(VLOOKUP($C679,Lookups!$D$4:$E$7,2,FALSE),"Unknown"))</f>
        <v>Winter</v>
      </c>
      <c r="AA679" s="5" t="str">
        <f>IF($A679="","",IFERROR(VLOOKUP($I679,Lookups!$A$4:$B$7,2,FALSE),"Unknown"))</f>
        <v>Mist/Cloudy</v>
      </c>
      <c r="AB679" s="5" t="str">
        <f>IF($A679="","",TEXT($F679,"00")&amp;":00")</f>
        <v>13:00</v>
      </c>
      <c r="AC679" s="5" t="str">
        <f>IF($A679="","",VLOOKUP($F679,Lookups!$G$4:$H$8,2,TRUE))</f>
        <v>Midday (10-15)</v>
      </c>
      <c r="AD679" s="18">
        <f>IF($A679="","",IF($J679="","",ROUND($J679*41,1)))</f>
        <v>6.6</v>
      </c>
      <c r="AE679" s="18">
        <f>IF($A679="","",IF($R679="","",ROUND($R679*50,1)))</f>
        <v>11.4</v>
      </c>
      <c r="AF679" s="5">
        <f>IF($A679="","",IF($L679="","",ROUND($L679*100,0)))</f>
        <v>59</v>
      </c>
      <c r="AG679" s="18">
        <f>IF($A679="","",IF($M679="","",ROUND($M679*67,1)))</f>
        <v>0</v>
      </c>
      <c r="AH679" s="19">
        <f>IF($A679="","",IF($P679="","",IF($P679=0,0,$O679/$P679)))</f>
        <v>0.962962962962963</v>
      </c>
      <c r="AI679" s="5" t="str">
        <f>IF($A679="","",IF($P679="","",IF($P679&gt;=Lookups!$K$7,"High",IF($P679&lt;=Lookups!$K$8,"Low","Medium"))))</f>
        <v>Medium</v>
      </c>
      <c r="AJ679" s="5" t="str">
        <f>IF($A679="","",IF($AD679="","",IF($AD679&lt;5,"Under 5 C",IF($AD679&lt;10,"5-10 C",IF($AD679&lt;15,"10-15 C","15 C and above")))))</f>
        <v>5-10 C</v>
      </c>
      <c r="AK679" s="5">
        <f>IF($A679="","",IF($P679="","",$P679^2))</f>
        <v>2916</v>
      </c>
      <c r="AL679" s="18">
        <f>IF($V679&lt;&gt;1,"",AVERAGEIFS(Clean_Data!$P$2:$P$1001,Clean_Data!$F$2:$F$1001,$F679,Clean_Data!$W$2:$W$1001,$W679,Clean_Data!$V$2:$V$1001,1))</f>
        <v>67.1724137931034</v>
      </c>
      <c r="AM679" s="16">
        <f>IF($V679&lt;&gt;1,"",IFERROR(($P679-$AL679)/SQRT(MAX(0,(SUMIFS(Clean_Data!$AK$2:$AK$1001,Clean_Data!$F$2:$F$1001,$F679,Clean_Data!$W$2:$W$1001,$W679,Clean_Data!$V$2:$V$1001,1)-COUNTIFS(Clean_Data!$F$2:$F$1001,$F679,Clean_Data!$W$2:$W$1001,$W679,Clean_Data!$V$2:$V$1001,1)*$AL679^2)/(COUNTIFS(Clean_Data!$F$2:$F$1001,$F679,Clean_Data!$W$2:$W$1001,$W679,Clean_Data!$V$2:$V$1001,1)-1))),""))</f>
        <v>-0.652356174070698</v>
      </c>
      <c r="AN679" s="5" t="str">
        <f>IF($AM679="","",IF($AM679&gt;=Lookups!$K$6,"High spike",IF($AM679&lt;=-Lookups!$K$6,"Unusual low","Normal")))</f>
        <v>Normal</v>
      </c>
      <c r="AO679" s="20">
        <f>IF($V679&lt;&gt;1,"",$P679+ROW()/100000)</f>
        <v>54.00679</v>
      </c>
      <c r="AP679" s="5">
        <f>IF($A679="","",IFERROR(MATCH($A679,Raw_D1!$A$2:$A$1001,0),""))</f>
        <v/>
      </c>
      <c r="AQ679" s="5">
        <f>IF($A679="","",IFERROR(MATCH($A679,Raw_D2!$B$2:$B$1001,0),""))</f>
        <v/>
      </c>
      <c r="AR679" s="5">
        <f>IF($A679="","",IFERROR(MATCH($A679,Raw_D3!$A$2:$A$1001,0),""))</f>
        <v>59</v>
      </c>
    </row>
    <row r="680" spans="1:44" x14ac:dyDescent="0.25">
      <c r="A680" s="5">
        <v>679</v>
      </c>
      <c r="B680" s="11">
        <f>IF($A680="","",IF($AP680&lt;&gt;"",INDEX(Raw_D1!$B$2:$B$1001,$AP680),IF($AR680&lt;&gt;"",INDEX(Raw_D3!$B$2:$B$1001,$AR680),"")))</f>
        <v>40574.0</v>
      </c>
      <c r="C680" s="5">
        <f>IF($A680="","",IF($AP680&lt;&gt;"",INDEX(Raw_D1!$C$2:$C$1001,$AP680),IF($AR680&lt;&gt;"",INDEX(Raw_D3!$C$2:$C$1001,$AR680),"")))</f>
        <v>1</v>
      </c>
      <c r="D680" s="5">
        <f>IF($A680="","",IF($AP680&lt;&gt;"",INDEX(Raw_D1!$D$2:$D$1001,$AP680),IF($AR680&lt;&gt;"",INDEX(Raw_D3!$D$2:$D$1001,$AR680),"")))</f>
        <v>0</v>
      </c>
      <c r="E680" s="5">
        <f>IF($A680="","",IF($AP680&lt;&gt;"",INDEX(Raw_D1!$E$2:$E$1001,$AP680),IF($AR680&lt;&gt;"",INDEX(Raw_D3!$E$2:$E$1001,$AR680),"")))</f>
        <v>1</v>
      </c>
      <c r="F680" s="5">
        <f>IF($A680="","",IF($AP680&lt;&gt;"",INDEX(Raw_D1!$F$2:$F$1001,$AP680),IF($AR680&lt;&gt;"",INDEX(Raw_D3!$F$2:$F$1001,$AR680),"")))</f>
        <v>14</v>
      </c>
      <c r="G680" s="5">
        <f>IF($A680="","",IF($AP680&lt;&gt;"",IF(INDEX(Raw_D1!$G$2:$G$1001,$AP680),1,0),IF($AR680&lt;&gt;"",IF(INDEX(Raw_D3!$G$2:$G$1001,$AR680),1,0),"")))</f>
        <v>0</v>
      </c>
      <c r="H680" s="5">
        <f>IF($A680="","",IF($AP680&lt;&gt;"",INDEX(Raw_D1!$H$2:$H$1001,$AP680),IF($AR680&lt;&gt;"",INDEX(Raw_D3!$H$2:$H$1001,$AR680),"")))</f>
        <v>1</v>
      </c>
      <c r="I680" s="5">
        <f>IF($A680="","",IF($AP680&lt;&gt;"",INDEX(Raw_D1!$I$2:$I$1001,$AP680),IF($AR680&lt;&gt;"",INDEX(Raw_D3!$I$2:$I$1001,$AR680),"")))</f>
        <v>2</v>
      </c>
      <c r="J680" s="16">
        <f>IF($A680="","",IF($AP680&lt;&gt;"",INDEX(Raw_D1!$J$2:$J$1001,$AP680),IF($AR680&lt;&gt;"",INDEX(Raw_D3!$J$2:$J$1001,$AR680),"")))</f>
        <v>0.18</v>
      </c>
      <c r="K680" s="17">
        <f>IF($A680="","",IF($AQ680&lt;&gt;"",IF(INDEX(Raw_D2!$C$2:$C$1001,$AQ680)="","",INDEX(Raw_D2!$C$2:$C$1001,$AQ680)),IF($AR680&lt;&gt;"",IF(INDEX(Raw_D3!$K$2:$K$1001,$AR680)="","",INDEX(Raw_D3!$K$2:$K$1001,$AR680)),"")))</f>
        <v>0.197</v>
      </c>
      <c r="L680" s="16">
        <f>IF($A680="","",IF($AQ680&lt;&gt;"",IF(INDEX(Raw_D2!$D$2:$D$1001,$AQ680)="","",INDEX(Raw_D2!$D$2:$D$1001,$AQ680)),IF($AR680&lt;&gt;"",IF(INDEX(Raw_D3!$L$2:$L$1001,$AR680)="","",INDEX(Raw_D3!$L$2:$L$1001,$AR680)),"")))</f>
        <v>0.55</v>
      </c>
      <c r="M680" s="17">
        <f>IF($A680="","",IF($AQ680&lt;&gt;"",IF(INDEX(Raw_D2!$E$2:$E$1001,$AQ680)="","",INDEX(Raw_D2!$E$2:$E$1001,$AQ680)),IF($AR680&lt;&gt;"",IF(INDEX(Raw_D3!$M$2:$M$1001,$AR680)="","",INDEX(Raw_D3!$M$2:$M$1001,$AR680)),"")))</f>
        <v>0.1343</v>
      </c>
      <c r="N680" s="5">
        <f>IF($A680="","",IF($AQ680&lt;&gt;"",IF(INDEX(Raw_D2!$F$2:$F$1001,$AQ680)="","",INDEX(Raw_D2!$F$2:$F$1001,$AQ680)),IF($AR680&lt;&gt;"",IF(INDEX(Raw_D3!$N$2:$N$1001,$AR680)="","",INDEX(Raw_D3!$N$2:$N$1001,$AR680)),"")))</f>
        <v>1</v>
      </c>
      <c r="O680" s="5">
        <f>IF($A680="","",IF($AQ680&lt;&gt;"",IF(INDEX(Raw_D2!$G$2:$G$1001,$AQ680)="","",INDEX(Raw_D2!$G$2:$G$1001,$AQ680)),IF($AR680&lt;&gt;"",IF(INDEX(Raw_D3!$O$2:$O$1001,$AR680)="","",INDEX(Raw_D3!$O$2:$O$1001,$AR680)),"")))</f>
        <v>85</v>
      </c>
      <c r="P680" s="5">
        <f>IF($A680="","",IF($AQ680&lt;&gt;"",IF(INDEX(Raw_D2!$H$2:$H$1001,$AQ680)="","",INDEX(Raw_D2!$H$2:$H$1001,$AQ680)),IF($AR680&lt;&gt;"",IF(INDEX(Raw_D3!$P$2:$P$1001,$AR680)="","",INDEX(Raw_D3!$P$2:$P$1001,$AR680)),"")))</f>
        <v>86</v>
      </c>
      <c r="Q680" s="5" t="str">
        <f>IF($A680="","",IF(AND($AP680&lt;&gt;"",$AQ680&lt;&gt;""),"D1+D2",IF($AR680&lt;&gt;"","D3","Incomplete")))</f>
        <v>D3</v>
      </c>
      <c r="R680" s="17">
        <f>IF($A680="","",IF($K680="",IF($J680="","",ROUND(Lookups!$K$5+Lookups!$K$4*$J680,4)),$K680))</f>
        <v>0.197</v>
      </c>
      <c r="S680" s="5" t="str">
        <f>IF($A680="","",IF($K680="","Imputed","Original"))</f>
        <v>Original</v>
      </c>
      <c r="T680" s="5" t="str">
        <f>IF($A680="","",IF($P680="","Missing",IF($P680=$N680+$O680,"OK","Mismatch")))</f>
        <v>OK</v>
      </c>
      <c r="U680" s="5" t="str">
        <f>IF($A680="","",IF(COUNTIF($A$2:$A680,$A680)&gt;1,"Duplicate","Unique"))</f>
        <v>Unique</v>
      </c>
      <c r="V680" s="5">
        <f>IF($A680="","",IF(AND($U680="Unique",ISNUMBER($P680)),1,0))</f>
        <v>1</v>
      </c>
      <c r="W680" s="5" t="str">
        <f>IF($A680="","",IF(OR($H680=0,$H680=6),"Weekend","Weekday"))</f>
        <v>Weekday</v>
      </c>
      <c r="X680" s="5" t="str">
        <f>IF($A680="","",TEXT($B680,"ddd"))</f>
        <v>Mon</v>
      </c>
      <c r="Y680" s="5" t="str">
        <f>IF($A680="","",TEXT($B680,"mmm"))</f>
        <v>Jan</v>
      </c>
      <c r="Z680" s="5" t="str">
        <f>IF($A680="","",IFERROR(VLOOKUP($C680,Lookups!$D$4:$E$7,2,FALSE),"Unknown"))</f>
        <v>Winter</v>
      </c>
      <c r="AA680" s="5" t="str">
        <f>IF($A680="","",IFERROR(VLOOKUP($I680,Lookups!$A$4:$B$7,2,FALSE),"Unknown"))</f>
        <v>Mist/Cloudy</v>
      </c>
      <c r="AB680" s="5" t="str">
        <f>IF($A680="","",TEXT($F680,"00")&amp;":00")</f>
        <v>14:00</v>
      </c>
      <c r="AC680" s="5" t="str">
        <f>IF($A680="","",VLOOKUP($F680,Lookups!$G$4:$H$8,2,TRUE))</f>
        <v>Midday (10-15)</v>
      </c>
      <c r="AD680" s="18">
        <f>IF($A680="","",IF($J680="","",ROUND($J680*41,1)))</f>
        <v>7.4</v>
      </c>
      <c r="AE680" s="18">
        <f>IF($A680="","",IF($R680="","",ROUND($R680*50,1)))</f>
        <v>9.9</v>
      </c>
      <c r="AF680" s="5">
        <f>IF($A680="","",IF($L680="","",ROUND($L680*100,0)))</f>
        <v>55</v>
      </c>
      <c r="AG680" s="18">
        <f>IF($A680="","",IF($M680="","",ROUND($M680*67,1)))</f>
        <v>9</v>
      </c>
      <c r="AH680" s="19">
        <f>IF($A680="","",IF($P680="","",IF($P680=0,0,$O680/$P680)))</f>
        <v>0.988372093023256</v>
      </c>
      <c r="AI680" s="5" t="str">
        <f>IF($A680="","",IF($P680="","",IF($P680&gt;=Lookups!$K$7,"High",IF($P680&lt;=Lookups!$K$8,"Low","Medium"))))</f>
        <v>High</v>
      </c>
      <c r="AJ680" s="5" t="str">
        <f>IF($A680="","",IF($AD680="","",IF($AD680&lt;5,"Under 5 C",IF($AD680&lt;10,"5-10 C",IF($AD680&lt;15,"10-15 C","15 C and above")))))</f>
        <v>5-10 C</v>
      </c>
      <c r="AK680" s="5">
        <f>IF($A680="","",IF($P680="","",$P680^2))</f>
        <v>7396</v>
      </c>
      <c r="AL680" s="18">
        <f>IF($V680&lt;&gt;1,"",AVERAGEIFS(Clean_Data!$P$2:$P$1001,Clean_Data!$F$2:$F$1001,$F680,Clean_Data!$W$2:$W$1001,$W680,Clean_Data!$V$2:$V$1001,1))</f>
        <v>60.551724137931</v>
      </c>
      <c r="AM680" s="16">
        <f>IF($V680&lt;&gt;1,"",IFERROR(($P680-$AL680)/SQRT(MAX(0,(SUMIFS(Clean_Data!$AK$2:$AK$1001,Clean_Data!$F$2:$F$1001,$F680,Clean_Data!$W$2:$W$1001,$W680,Clean_Data!$V$2:$V$1001,1)-COUNTIFS(Clean_Data!$F$2:$F$1001,$F680,Clean_Data!$W$2:$W$1001,$W680,Clean_Data!$V$2:$V$1001,1)*$AL680^2)/(COUNTIFS(Clean_Data!$F$2:$F$1001,$F680,Clean_Data!$W$2:$W$1001,$W680,Clean_Data!$V$2:$V$1001,1)-1))),""))</f>
        <v>1.54697677944126</v>
      </c>
      <c r="AN680" s="5" t="str">
        <f>IF($AM680="","",IF($AM680&gt;=Lookups!$K$6,"High spike",IF($AM680&lt;=-Lookups!$K$6,"Unusual low","Normal")))</f>
        <v>Normal</v>
      </c>
      <c r="AO680" s="20">
        <f>IF($V680&lt;&gt;1,"",$P680+ROW()/100000)</f>
        <v>86.0068</v>
      </c>
      <c r="AP680" s="5">
        <f>IF($A680="","",IFERROR(MATCH($A680,Raw_D1!$A$2:$A$1001,0),""))</f>
        <v/>
      </c>
      <c r="AQ680" s="5">
        <f>IF($A680="","",IFERROR(MATCH($A680,Raw_D2!$B$2:$B$1001,0),""))</f>
        <v/>
      </c>
      <c r="AR680" s="5">
        <f>IF($A680="","",IFERROR(MATCH($A680,Raw_D3!$A$2:$A$1001,0),""))</f>
        <v>60</v>
      </c>
    </row>
    <row r="681" spans="1:44" x14ac:dyDescent="0.25">
      <c r="A681" s="5">
        <v>680</v>
      </c>
      <c r="B681" s="11">
        <f>IF($A681="","",IF($AP681&lt;&gt;"",INDEX(Raw_D1!$B$2:$B$1001,$AP681),IF($AR681&lt;&gt;"",INDEX(Raw_D3!$B$2:$B$1001,$AR681),"")))</f>
        <v>40574.0</v>
      </c>
      <c r="C681" s="5">
        <f>IF($A681="","",IF($AP681&lt;&gt;"",INDEX(Raw_D1!$C$2:$C$1001,$AP681),IF($AR681&lt;&gt;"",INDEX(Raw_D3!$C$2:$C$1001,$AR681),"")))</f>
        <v>1</v>
      </c>
      <c r="D681" s="5">
        <f>IF($A681="","",IF($AP681&lt;&gt;"",INDEX(Raw_D1!$D$2:$D$1001,$AP681),IF($AR681&lt;&gt;"",INDEX(Raw_D3!$D$2:$D$1001,$AR681),"")))</f>
        <v>0</v>
      </c>
      <c r="E681" s="5">
        <f>IF($A681="","",IF($AP681&lt;&gt;"",INDEX(Raw_D1!$E$2:$E$1001,$AP681),IF($AR681&lt;&gt;"",INDEX(Raw_D3!$E$2:$E$1001,$AR681),"")))</f>
        <v>1</v>
      </c>
      <c r="F681" s="5">
        <f>IF($A681="","",IF($AP681&lt;&gt;"",INDEX(Raw_D1!$F$2:$F$1001,$AP681),IF($AR681&lt;&gt;"",INDEX(Raw_D3!$F$2:$F$1001,$AR681),"")))</f>
        <v>15</v>
      </c>
      <c r="G681" s="5">
        <f>IF($A681="","",IF($AP681&lt;&gt;"",IF(INDEX(Raw_D1!$G$2:$G$1001,$AP681),1,0),IF($AR681&lt;&gt;"",IF(INDEX(Raw_D3!$G$2:$G$1001,$AR681),1,0),"")))</f>
        <v>0</v>
      </c>
      <c r="H681" s="5">
        <f>IF($A681="","",IF($AP681&lt;&gt;"",INDEX(Raw_D1!$H$2:$H$1001,$AP681),IF($AR681&lt;&gt;"",INDEX(Raw_D3!$H$2:$H$1001,$AR681),"")))</f>
        <v>1</v>
      </c>
      <c r="I681" s="5">
        <f>IF($A681="","",IF($AP681&lt;&gt;"",INDEX(Raw_D1!$I$2:$I$1001,$AP681),IF($AR681&lt;&gt;"",INDEX(Raw_D3!$I$2:$I$1001,$AR681),"")))</f>
        <v>2</v>
      </c>
      <c r="J681" s="16">
        <f>IF($A681="","",IF($AP681&lt;&gt;"",INDEX(Raw_D1!$J$2:$J$1001,$AP681),IF($AR681&lt;&gt;"",INDEX(Raw_D3!$J$2:$J$1001,$AR681),"")))</f>
        <v>0.16</v>
      </c>
      <c r="K681" s="17">
        <f>IF($A681="","",IF($AQ681&lt;&gt;"",IF(INDEX(Raw_D2!$C$2:$C$1001,$AQ681)="","",INDEX(Raw_D2!$C$2:$C$1001,$AQ681)),IF($AR681&lt;&gt;"",IF(INDEX(Raw_D3!$K$2:$K$1001,$AR681)="","",INDEX(Raw_D3!$K$2:$K$1001,$AR681)),"")))</f>
        <v>0.1818</v>
      </c>
      <c r="L681" s="16">
        <f>IF($A681="","",IF($AQ681&lt;&gt;"",IF(INDEX(Raw_D2!$D$2:$D$1001,$AQ681)="","",INDEX(Raw_D2!$D$2:$D$1001,$AQ681)),IF($AR681&lt;&gt;"",IF(INDEX(Raw_D3!$L$2:$L$1001,$AR681)="","",INDEX(Raw_D3!$L$2:$L$1001,$AR681)),"")))</f>
        <v>0.59</v>
      </c>
      <c r="M681" s="17">
        <f>IF($A681="","",IF($AQ681&lt;&gt;"",IF(INDEX(Raw_D2!$E$2:$E$1001,$AQ681)="","",INDEX(Raw_D2!$E$2:$E$1001,$AQ681)),IF($AR681&lt;&gt;"",IF(INDEX(Raw_D3!$M$2:$M$1001,$AR681)="","",INDEX(Raw_D3!$M$2:$M$1001,$AR681)),"")))</f>
        <v>0.1343</v>
      </c>
      <c r="N681" s="5">
        <f>IF($A681="","",IF($AQ681&lt;&gt;"",IF(INDEX(Raw_D2!$F$2:$F$1001,$AQ681)="","",INDEX(Raw_D2!$F$2:$F$1001,$AQ681)),IF($AR681&lt;&gt;"",IF(INDEX(Raw_D3!$N$2:$N$1001,$AR681)="","",INDEX(Raw_D3!$N$2:$N$1001,$AR681)),"")))</f>
        <v>3</v>
      </c>
      <c r="O681" s="5">
        <f>IF($A681="","",IF($AQ681&lt;&gt;"",IF(INDEX(Raw_D2!$G$2:$G$1001,$AQ681)="","",INDEX(Raw_D2!$G$2:$G$1001,$AQ681)),IF($AR681&lt;&gt;"",IF(INDEX(Raw_D3!$O$2:$O$1001,$AR681)="","",INDEX(Raw_D3!$O$2:$O$1001,$AR681)),"")))</f>
        <v>41</v>
      </c>
      <c r="P681" s="5">
        <f>IF($A681="","",IF($AQ681&lt;&gt;"",IF(INDEX(Raw_D2!$H$2:$H$1001,$AQ681)="","",INDEX(Raw_D2!$H$2:$H$1001,$AQ681)),IF($AR681&lt;&gt;"",IF(INDEX(Raw_D3!$P$2:$P$1001,$AR681)="","",INDEX(Raw_D3!$P$2:$P$1001,$AR681)),"")))</f>
        <v>44</v>
      </c>
      <c r="Q681" s="5" t="str">
        <f>IF($A681="","",IF(AND($AP681&lt;&gt;"",$AQ681&lt;&gt;""),"D1+D2",IF($AR681&lt;&gt;"","D3","Incomplete")))</f>
        <v>D3</v>
      </c>
      <c r="R681" s="17">
        <f>IF($A681="","",IF($K681="",IF($J681="","",ROUND(Lookups!$K$5+Lookups!$K$4*$J681,4)),$K681))</f>
        <v>0.1818</v>
      </c>
      <c r="S681" s="5" t="str">
        <f>IF($A681="","",IF($K681="","Imputed","Original"))</f>
        <v>Original</v>
      </c>
      <c r="T681" s="5" t="str">
        <f>IF($A681="","",IF($P681="","Missing",IF($P681=$N681+$O681,"OK","Mismatch")))</f>
        <v>OK</v>
      </c>
      <c r="U681" s="5" t="str">
        <f>IF($A681="","",IF(COUNTIF($A$2:$A681,$A681)&gt;1,"Duplicate","Unique"))</f>
        <v>Unique</v>
      </c>
      <c r="V681" s="5">
        <f>IF($A681="","",IF(AND($U681="Unique",ISNUMBER($P681)),1,0))</f>
        <v>1</v>
      </c>
      <c r="W681" s="5" t="str">
        <f>IF($A681="","",IF(OR($H681=0,$H681=6),"Weekend","Weekday"))</f>
        <v>Weekday</v>
      </c>
      <c r="X681" s="5" t="str">
        <f>IF($A681="","",TEXT($B681,"ddd"))</f>
        <v>Mon</v>
      </c>
      <c r="Y681" s="5" t="str">
        <f>IF($A681="","",TEXT($B681,"mmm"))</f>
        <v>Jan</v>
      </c>
      <c r="Z681" s="5" t="str">
        <f>IF($A681="","",IFERROR(VLOOKUP($C681,Lookups!$D$4:$E$7,2,FALSE),"Unknown"))</f>
        <v>Winter</v>
      </c>
      <c r="AA681" s="5" t="str">
        <f>IF($A681="","",IFERROR(VLOOKUP($I681,Lookups!$A$4:$B$7,2,FALSE),"Unknown"))</f>
        <v>Mist/Cloudy</v>
      </c>
      <c r="AB681" s="5" t="str">
        <f>IF($A681="","",TEXT($F681,"00")&amp;":00")</f>
        <v>15:00</v>
      </c>
      <c r="AC681" s="5" t="str">
        <f>IF($A681="","",VLOOKUP($F681,Lookups!$G$4:$H$8,2,TRUE))</f>
        <v>Midday (10-15)</v>
      </c>
      <c r="AD681" s="18">
        <f>IF($A681="","",IF($J681="","",ROUND($J681*41,1)))</f>
        <v>6.6</v>
      </c>
      <c r="AE681" s="18">
        <f>IF($A681="","",IF($R681="","",ROUND($R681*50,1)))</f>
        <v>9.1</v>
      </c>
      <c r="AF681" s="5">
        <f>IF($A681="","",IF($L681="","",ROUND($L681*100,0)))</f>
        <v>59</v>
      </c>
      <c r="AG681" s="18">
        <f>IF($A681="","",IF($M681="","",ROUND($M681*67,1)))</f>
        <v>9</v>
      </c>
      <c r="AH681" s="19">
        <f>IF($A681="","",IF($P681="","",IF($P681=0,0,$O681/$P681)))</f>
        <v>0.931818181818182</v>
      </c>
      <c r="AI681" s="5" t="str">
        <f>IF($A681="","",IF($P681="","",IF($P681&gt;=Lookups!$K$7,"High",IF($P681&lt;=Lookups!$K$8,"Low","Medium"))))</f>
        <v>Medium</v>
      </c>
      <c r="AJ681" s="5" t="str">
        <f>IF($A681="","",IF($AD681="","",IF($AD681&lt;5,"Under 5 C",IF($AD681&lt;10,"5-10 C",IF($AD681&lt;15,"10-15 C","15 C and above")))))</f>
        <v>5-10 C</v>
      </c>
      <c r="AK681" s="5">
        <f>IF($A681="","",IF($P681="","",$P681^2))</f>
        <v>1936</v>
      </c>
      <c r="AL681" s="18">
        <f>IF($V681&lt;&gt;1,"",AVERAGEIFS(Clean_Data!$P$2:$P$1001,Clean_Data!$F$2:$F$1001,$F681,Clean_Data!$W$2:$W$1001,$W681,Clean_Data!$V$2:$V$1001,1))</f>
        <v>61.4827586206897</v>
      </c>
      <c r="AM681" s="16">
        <f>IF($V681&lt;&gt;1,"",IFERROR(($P681-$AL681)/SQRT(MAX(0,(SUMIFS(Clean_Data!$AK$2:$AK$1001,Clean_Data!$F$2:$F$1001,$F681,Clean_Data!$W$2:$W$1001,$W681,Clean_Data!$V$2:$V$1001,1)-COUNTIFS(Clean_Data!$F$2:$F$1001,$F681,Clean_Data!$W$2:$W$1001,$W681,Clean_Data!$V$2:$V$1001,1)*$AL681^2)/(COUNTIFS(Clean_Data!$F$2:$F$1001,$F681,Clean_Data!$W$2:$W$1001,$W681,Clean_Data!$V$2:$V$1001,1)-1))),""))</f>
        <v>-1.15971100449325</v>
      </c>
      <c r="AN681" s="5" t="str">
        <f>IF($AM681="","",IF($AM681&gt;=Lookups!$K$6,"High spike",IF($AM681&lt;=-Lookups!$K$6,"Unusual low","Normal")))</f>
        <v>Normal</v>
      </c>
      <c r="AO681" s="20">
        <f>IF($V681&lt;&gt;1,"",$P681+ROW()/100000)</f>
        <v>44.00681</v>
      </c>
      <c r="AP681" s="5">
        <f>IF($A681="","",IFERROR(MATCH($A681,Raw_D1!$A$2:$A$1001,0),""))</f>
        <v/>
      </c>
      <c r="AQ681" s="5">
        <f>IF($A681="","",IFERROR(MATCH($A681,Raw_D2!$B$2:$B$1001,0),""))</f>
        <v/>
      </c>
      <c r="AR681" s="5">
        <f>IF($A681="","",IFERROR(MATCH($A681,Raw_D3!$A$2:$A$1001,0),""))</f>
        <v>61</v>
      </c>
    </row>
    <row r="682" spans="1:44" x14ac:dyDescent="0.25">
      <c r="A682" s="5">
        <v>681</v>
      </c>
      <c r="B682" s="11">
        <f>IF($A682="","",IF($AP682&lt;&gt;"",INDEX(Raw_D1!$B$2:$B$1001,$AP682),IF($AR682&lt;&gt;"",INDEX(Raw_D3!$B$2:$B$1001,$AR682),"")))</f>
        <v>40574.0</v>
      </c>
      <c r="C682" s="5">
        <f>IF($A682="","",IF($AP682&lt;&gt;"",INDEX(Raw_D1!$C$2:$C$1001,$AP682),IF($AR682&lt;&gt;"",INDEX(Raw_D3!$C$2:$C$1001,$AR682),"")))</f>
        <v>1</v>
      </c>
      <c r="D682" s="5">
        <f>IF($A682="","",IF($AP682&lt;&gt;"",INDEX(Raw_D1!$D$2:$D$1001,$AP682),IF($AR682&lt;&gt;"",INDEX(Raw_D3!$D$2:$D$1001,$AR682),"")))</f>
        <v>0</v>
      </c>
      <c r="E682" s="5">
        <f>IF($A682="","",IF($AP682&lt;&gt;"",INDEX(Raw_D1!$E$2:$E$1001,$AP682),IF($AR682&lt;&gt;"",INDEX(Raw_D3!$E$2:$E$1001,$AR682),"")))</f>
        <v>1</v>
      </c>
      <c r="F682" s="5">
        <f>IF($A682="","",IF($AP682&lt;&gt;"",INDEX(Raw_D1!$F$2:$F$1001,$AP682),IF($AR682&lt;&gt;"",INDEX(Raw_D3!$F$2:$F$1001,$AR682),"")))</f>
        <v>16</v>
      </c>
      <c r="G682" s="5">
        <f>IF($A682="","",IF($AP682&lt;&gt;"",IF(INDEX(Raw_D1!$G$2:$G$1001,$AP682),1,0),IF($AR682&lt;&gt;"",IF(INDEX(Raw_D3!$G$2:$G$1001,$AR682),1,0),"")))</f>
        <v>0</v>
      </c>
      <c r="H682" s="5">
        <f>IF($A682="","",IF($AP682&lt;&gt;"",INDEX(Raw_D1!$H$2:$H$1001,$AP682),IF($AR682&lt;&gt;"",INDEX(Raw_D3!$H$2:$H$1001,$AR682),"")))</f>
        <v>1</v>
      </c>
      <c r="I682" s="5">
        <f>IF($A682="","",IF($AP682&lt;&gt;"",INDEX(Raw_D1!$I$2:$I$1001,$AP682),IF($AR682&lt;&gt;"",INDEX(Raw_D3!$I$2:$I$1001,$AR682),"")))</f>
        <v>2</v>
      </c>
      <c r="J682" s="16">
        <f>IF($A682="","",IF($AP682&lt;&gt;"",INDEX(Raw_D1!$J$2:$J$1001,$AP682),IF($AR682&lt;&gt;"",INDEX(Raw_D3!$J$2:$J$1001,$AR682),"")))</f>
        <v>0.16</v>
      </c>
      <c r="K682" s="17">
        <f>IF($A682="","",IF($AQ682&lt;&gt;"",IF(INDEX(Raw_D2!$C$2:$C$1001,$AQ682)="","",INDEX(Raw_D2!$C$2:$C$1001,$AQ682)),IF($AR682&lt;&gt;"",IF(INDEX(Raw_D3!$K$2:$K$1001,$AR682)="","",INDEX(Raw_D3!$K$2:$K$1001,$AR682)),"")))</f>
        <v>0.1818</v>
      </c>
      <c r="L682" s="16">
        <f>IF($A682="","",IF($AQ682&lt;&gt;"",IF(INDEX(Raw_D2!$D$2:$D$1001,$AQ682)="","",INDEX(Raw_D2!$D$2:$D$1001,$AQ682)),IF($AR682&lt;&gt;"",IF(INDEX(Raw_D3!$L$2:$L$1001,$AR682)="","",INDEX(Raw_D3!$L$2:$L$1001,$AR682)),"")))</f>
        <v>0.56</v>
      </c>
      <c r="M682" s="17">
        <f>IF($A682="","",IF($AQ682&lt;&gt;"",IF(INDEX(Raw_D2!$E$2:$E$1001,$AQ682)="","",INDEX(Raw_D2!$E$2:$E$1001,$AQ682)),IF($AR682&lt;&gt;"",IF(INDEX(Raw_D3!$M$2:$M$1001,$AR682)="","",INDEX(Raw_D3!$M$2:$M$1001,$AR682)),"")))</f>
        <v>0.194</v>
      </c>
      <c r="N682" s="5">
        <f>IF($A682="","",IF($AQ682&lt;&gt;"",IF(INDEX(Raw_D2!$F$2:$F$1001,$AQ682)="","",INDEX(Raw_D2!$F$2:$F$1001,$AQ682)),IF($AR682&lt;&gt;"",IF(INDEX(Raw_D3!$N$2:$N$1001,$AR682)="","",INDEX(Raw_D3!$N$2:$N$1001,$AR682)),"")))</f>
        <v>3</v>
      </c>
      <c r="O682" s="5">
        <f>IF($A682="","",IF($AQ682&lt;&gt;"",IF(INDEX(Raw_D2!$G$2:$G$1001,$AQ682)="","",INDEX(Raw_D2!$G$2:$G$1001,$AQ682)),IF($AR682&lt;&gt;"",IF(INDEX(Raw_D3!$O$2:$O$1001,$AR682)="","",INDEX(Raw_D3!$O$2:$O$1001,$AR682)),"")))</f>
        <v>83</v>
      </c>
      <c r="P682" s="5">
        <f>IF($A682="","",IF($AQ682&lt;&gt;"",IF(INDEX(Raw_D2!$H$2:$H$1001,$AQ682)="","",INDEX(Raw_D2!$H$2:$H$1001,$AQ682)),IF($AR682&lt;&gt;"",IF(INDEX(Raw_D3!$P$2:$P$1001,$AR682)="","",INDEX(Raw_D3!$P$2:$P$1001,$AR682)),"")))</f>
        <v>86</v>
      </c>
      <c r="Q682" s="5" t="str">
        <f>IF($A682="","",IF(AND($AP682&lt;&gt;"",$AQ682&lt;&gt;""),"D1+D2",IF($AR682&lt;&gt;"","D3","Incomplete")))</f>
        <v>D3</v>
      </c>
      <c r="R682" s="17">
        <f>IF($A682="","",IF($K682="",IF($J682="","",ROUND(Lookups!$K$5+Lookups!$K$4*$J682,4)),$K682))</f>
        <v>0.1818</v>
      </c>
      <c r="S682" s="5" t="str">
        <f>IF($A682="","",IF($K682="","Imputed","Original"))</f>
        <v>Original</v>
      </c>
      <c r="T682" s="5" t="str">
        <f>IF($A682="","",IF($P682="","Missing",IF($P682=$N682+$O682,"OK","Mismatch")))</f>
        <v>OK</v>
      </c>
      <c r="U682" s="5" t="str">
        <f>IF($A682="","",IF(COUNTIF($A$2:$A682,$A682)&gt;1,"Duplicate","Unique"))</f>
        <v>Unique</v>
      </c>
      <c r="V682" s="5">
        <f>IF($A682="","",IF(AND($U682="Unique",ISNUMBER($P682)),1,0))</f>
        <v>1</v>
      </c>
      <c r="W682" s="5" t="str">
        <f>IF($A682="","",IF(OR($H682=0,$H682=6),"Weekend","Weekday"))</f>
        <v>Weekday</v>
      </c>
      <c r="X682" s="5" t="str">
        <f>IF($A682="","",TEXT($B682,"ddd"))</f>
        <v>Mon</v>
      </c>
      <c r="Y682" s="5" t="str">
        <f>IF($A682="","",TEXT($B682,"mmm"))</f>
        <v>Jan</v>
      </c>
      <c r="Z682" s="5" t="str">
        <f>IF($A682="","",IFERROR(VLOOKUP($C682,Lookups!$D$4:$E$7,2,FALSE),"Unknown"))</f>
        <v>Winter</v>
      </c>
      <c r="AA682" s="5" t="str">
        <f>IF($A682="","",IFERROR(VLOOKUP($I682,Lookups!$A$4:$B$7,2,FALSE),"Unknown"))</f>
        <v>Mist/Cloudy</v>
      </c>
      <c r="AB682" s="5" t="str">
        <f>IF($A682="","",TEXT($F682,"00")&amp;":00")</f>
        <v>16:00</v>
      </c>
      <c r="AC682" s="5" t="str">
        <f>IF($A682="","",VLOOKUP($F682,Lookups!$G$4:$H$8,2,TRUE))</f>
        <v>Evening Peak (16-19)</v>
      </c>
      <c r="AD682" s="18">
        <f>IF($A682="","",IF($J682="","",ROUND($J682*41,1)))</f>
        <v>6.6</v>
      </c>
      <c r="AE682" s="18">
        <f>IF($A682="","",IF($R682="","",ROUND($R682*50,1)))</f>
        <v>9.1</v>
      </c>
      <c r="AF682" s="5">
        <f>IF($A682="","",IF($L682="","",ROUND($L682*100,0)))</f>
        <v>56</v>
      </c>
      <c r="AG682" s="18">
        <f>IF($A682="","",IF($M682="","",ROUND($M682*67,1)))</f>
        <v>13</v>
      </c>
      <c r="AH682" s="19">
        <f>IF($A682="","",IF($P682="","",IF($P682=0,0,$O682/$P682)))</f>
        <v>0.965116279069768</v>
      </c>
      <c r="AI682" s="5" t="str">
        <f>IF($A682="","",IF($P682="","",IF($P682&gt;=Lookups!$K$7,"High",IF($P682&lt;=Lookups!$K$8,"Low","Medium"))))</f>
        <v>High</v>
      </c>
      <c r="AJ682" s="5" t="str">
        <f>IF($A682="","",IF($AD682="","",IF($AD682&lt;5,"Under 5 C",IF($AD682&lt;10,"5-10 C",IF($AD682&lt;15,"10-15 C","15 C and above")))))</f>
        <v>5-10 C</v>
      </c>
      <c r="AK682" s="5">
        <f>IF($A682="","",IF($P682="","",$P682^2))</f>
        <v>7396</v>
      </c>
      <c r="AL682" s="18">
        <f>IF($V682&lt;&gt;1,"",AVERAGEIFS(Clean_Data!$P$2:$P$1001,Clean_Data!$F$2:$F$1001,$F682,Clean_Data!$W$2:$W$1001,$W682,Clean_Data!$V$2:$V$1001,1))</f>
        <v>82.6333333333333</v>
      </c>
      <c r="AM682" s="16">
        <f>IF($V682&lt;&gt;1,"",IFERROR(($P682-$AL682)/SQRT(MAX(0,(SUMIFS(Clean_Data!$AK$2:$AK$1001,Clean_Data!$F$2:$F$1001,$F682,Clean_Data!$W$2:$W$1001,$W682,Clean_Data!$V$2:$V$1001,1)-COUNTIFS(Clean_Data!$F$2:$F$1001,$F682,Clean_Data!$W$2:$W$1001,$W682,Clean_Data!$V$2:$V$1001,1)*$AL682^2)/(COUNTIFS(Clean_Data!$F$2:$F$1001,$F682,Clean_Data!$W$2:$W$1001,$W682,Clean_Data!$V$2:$V$1001,1)-1))),""))</f>
        <v>0.162296743476499</v>
      </c>
      <c r="AN682" s="5" t="str">
        <f>IF($AM682="","",IF($AM682&gt;=Lookups!$K$6,"High spike",IF($AM682&lt;=-Lookups!$K$6,"Unusual low","Normal")))</f>
        <v>Normal</v>
      </c>
      <c r="AO682" s="20">
        <f>IF($V682&lt;&gt;1,"",$P682+ROW()/100000)</f>
        <v>86.00682</v>
      </c>
      <c r="AP682" s="5">
        <f>IF($A682="","",IFERROR(MATCH($A682,Raw_D1!$A$2:$A$1001,0),""))</f>
        <v/>
      </c>
      <c r="AQ682" s="5">
        <f>IF($A682="","",IFERROR(MATCH($A682,Raw_D2!$B$2:$B$1001,0),""))</f>
        <v/>
      </c>
      <c r="AR682" s="5">
        <f>IF($A682="","",IFERROR(MATCH($A682,Raw_D3!$A$2:$A$1001,0),""))</f>
        <v>62</v>
      </c>
    </row>
    <row r="683" spans="1:44" x14ac:dyDescent="0.25">
      <c r="A683" s="5">
        <v>682</v>
      </c>
      <c r="B683" s="11">
        <f>IF($A683="","",IF($AP683&lt;&gt;"",INDEX(Raw_D1!$B$2:$B$1001,$AP683),IF($AR683&lt;&gt;"",INDEX(Raw_D3!$B$2:$B$1001,$AR683),"")))</f>
        <v>40574.0</v>
      </c>
      <c r="C683" s="5">
        <f>IF($A683="","",IF($AP683&lt;&gt;"",INDEX(Raw_D1!$C$2:$C$1001,$AP683),IF($AR683&lt;&gt;"",INDEX(Raw_D3!$C$2:$C$1001,$AR683),"")))</f>
        <v>1</v>
      </c>
      <c r="D683" s="5">
        <f>IF($A683="","",IF($AP683&lt;&gt;"",INDEX(Raw_D1!$D$2:$D$1001,$AP683),IF($AR683&lt;&gt;"",INDEX(Raw_D3!$D$2:$D$1001,$AR683),"")))</f>
        <v>0</v>
      </c>
      <c r="E683" s="5">
        <f>IF($A683="","",IF($AP683&lt;&gt;"",INDEX(Raw_D1!$E$2:$E$1001,$AP683),IF($AR683&lt;&gt;"",INDEX(Raw_D3!$E$2:$E$1001,$AR683),"")))</f>
        <v>1</v>
      </c>
      <c r="F683" s="5">
        <f>IF($A683="","",IF($AP683&lt;&gt;"",INDEX(Raw_D1!$F$2:$F$1001,$AP683),IF($AR683&lt;&gt;"",INDEX(Raw_D3!$F$2:$F$1001,$AR683),"")))</f>
        <v>17</v>
      </c>
      <c r="G683" s="5">
        <f>IF($A683="","",IF($AP683&lt;&gt;"",IF(INDEX(Raw_D1!$G$2:$G$1001,$AP683),1,0),IF($AR683&lt;&gt;"",IF(INDEX(Raw_D3!$G$2:$G$1001,$AR683),1,0),"")))</f>
        <v>0</v>
      </c>
      <c r="H683" s="5">
        <f>IF($A683="","",IF($AP683&lt;&gt;"",INDEX(Raw_D1!$H$2:$H$1001,$AP683),IF($AR683&lt;&gt;"",INDEX(Raw_D3!$H$2:$H$1001,$AR683),"")))</f>
        <v>1</v>
      </c>
      <c r="I683" s="5">
        <f>IF($A683="","",IF($AP683&lt;&gt;"",INDEX(Raw_D1!$I$2:$I$1001,$AP683),IF($AR683&lt;&gt;"",INDEX(Raw_D3!$I$2:$I$1001,$AR683),"")))</f>
        <v>2</v>
      </c>
      <c r="J683" s="16">
        <f>IF($A683="","",IF($AP683&lt;&gt;"",INDEX(Raw_D1!$J$2:$J$1001,$AP683),IF($AR683&lt;&gt;"",INDEX(Raw_D3!$J$2:$J$1001,$AR683),"")))</f>
        <v>0.16</v>
      </c>
      <c r="K683" s="17">
        <f>IF($A683="","",IF($AQ683&lt;&gt;"",IF(INDEX(Raw_D2!$C$2:$C$1001,$AQ683)="","",INDEX(Raw_D2!$C$2:$C$1001,$AQ683)),IF($AR683&lt;&gt;"",IF(INDEX(Raw_D3!$K$2:$K$1001,$AR683)="","",INDEX(Raw_D3!$K$2:$K$1001,$AR683)),"")))</f>
        <v>0.1515</v>
      </c>
      <c r="L683" s="16">
        <f>IF($A683="","",IF($AQ683&lt;&gt;"",IF(INDEX(Raw_D2!$D$2:$D$1001,$AQ683)="","",INDEX(Raw_D2!$D$2:$D$1001,$AQ683)),IF($AR683&lt;&gt;"",IF(INDEX(Raw_D3!$L$2:$L$1001,$AR683)="","",INDEX(Raw_D3!$L$2:$L$1001,$AR683)),"")))</f>
        <v>0.59</v>
      </c>
      <c r="M683" s="17">
        <f>IF($A683="","",IF($AQ683&lt;&gt;"",IF(INDEX(Raw_D2!$E$2:$E$1001,$AQ683)="","",INDEX(Raw_D2!$E$2:$E$1001,$AQ683)),IF($AR683&lt;&gt;"",IF(INDEX(Raw_D3!$M$2:$M$1001,$AR683)="","",INDEX(Raw_D3!$M$2:$M$1001,$AR683)),"")))</f>
        <v>0.194</v>
      </c>
      <c r="N683" s="5">
        <f>IF($A683="","",IF($AQ683&lt;&gt;"",IF(INDEX(Raw_D2!$F$2:$F$1001,$AQ683)="","",INDEX(Raw_D2!$F$2:$F$1001,$AQ683)),IF($AR683&lt;&gt;"",IF(INDEX(Raw_D3!$N$2:$N$1001,$AR683)="","",INDEX(Raw_D3!$N$2:$N$1001,$AR683)),"")))</f>
        <v>6</v>
      </c>
      <c r="O683" s="5">
        <f>IF($A683="","",IF($AQ683&lt;&gt;"",IF(INDEX(Raw_D2!$G$2:$G$1001,$AQ683)="","",INDEX(Raw_D2!$G$2:$G$1001,$AQ683)),IF($AR683&lt;&gt;"",IF(INDEX(Raw_D3!$O$2:$O$1001,$AR683)="","",INDEX(Raw_D3!$O$2:$O$1001,$AR683)),"")))</f>
        <v>155</v>
      </c>
      <c r="P683" s="5">
        <f>IF($A683="","",IF($AQ683&lt;&gt;"",IF(INDEX(Raw_D2!$H$2:$H$1001,$AQ683)="","",INDEX(Raw_D2!$H$2:$H$1001,$AQ683)),IF($AR683&lt;&gt;"",IF(INDEX(Raw_D3!$P$2:$P$1001,$AR683)="","",INDEX(Raw_D3!$P$2:$P$1001,$AR683)),"")))</f>
        <v>161</v>
      </c>
      <c r="Q683" s="5" t="str">
        <f>IF($A683="","",IF(AND($AP683&lt;&gt;"",$AQ683&lt;&gt;""),"D1+D2",IF($AR683&lt;&gt;"","D3","Incomplete")))</f>
        <v>D3</v>
      </c>
      <c r="R683" s="17">
        <f>IF($A683="","",IF($K683="",IF($J683="","",ROUND(Lookups!$K$5+Lookups!$K$4*$J683,4)),$K683))</f>
        <v>0.1515</v>
      </c>
      <c r="S683" s="5" t="str">
        <f>IF($A683="","",IF($K683="","Imputed","Original"))</f>
        <v>Original</v>
      </c>
      <c r="T683" s="5" t="str">
        <f>IF($A683="","",IF($P683="","Missing",IF($P683=$N683+$O683,"OK","Mismatch")))</f>
        <v>OK</v>
      </c>
      <c r="U683" s="5" t="str">
        <f>IF($A683="","",IF(COUNTIF($A$2:$A683,$A683)&gt;1,"Duplicate","Unique"))</f>
        <v>Unique</v>
      </c>
      <c r="V683" s="5">
        <f>IF($A683="","",IF(AND($U683="Unique",ISNUMBER($P683)),1,0))</f>
        <v>1</v>
      </c>
      <c r="W683" s="5" t="str">
        <f>IF($A683="","",IF(OR($H683=0,$H683=6),"Weekend","Weekday"))</f>
        <v>Weekday</v>
      </c>
      <c r="X683" s="5" t="str">
        <f>IF($A683="","",TEXT($B683,"ddd"))</f>
        <v>Mon</v>
      </c>
      <c r="Y683" s="5" t="str">
        <f>IF($A683="","",TEXT($B683,"mmm"))</f>
        <v>Jan</v>
      </c>
      <c r="Z683" s="5" t="str">
        <f>IF($A683="","",IFERROR(VLOOKUP($C683,Lookups!$D$4:$E$7,2,FALSE),"Unknown"))</f>
        <v>Winter</v>
      </c>
      <c r="AA683" s="5" t="str">
        <f>IF($A683="","",IFERROR(VLOOKUP($I683,Lookups!$A$4:$B$7,2,FALSE),"Unknown"))</f>
        <v>Mist/Cloudy</v>
      </c>
      <c r="AB683" s="5" t="str">
        <f>IF($A683="","",TEXT($F683,"00")&amp;":00")</f>
        <v>17:00</v>
      </c>
      <c r="AC683" s="5" t="str">
        <f>IF($A683="","",VLOOKUP($F683,Lookups!$G$4:$H$8,2,TRUE))</f>
        <v>Evening Peak (16-19)</v>
      </c>
      <c r="AD683" s="18">
        <f>IF($A683="","",IF($J683="","",ROUND($J683*41,1)))</f>
        <v>6.6</v>
      </c>
      <c r="AE683" s="18">
        <f>IF($A683="","",IF($R683="","",ROUND($R683*50,1)))</f>
        <v>7.6</v>
      </c>
      <c r="AF683" s="5">
        <f>IF($A683="","",IF($L683="","",ROUND($L683*100,0)))</f>
        <v>59</v>
      </c>
      <c r="AG683" s="18">
        <f>IF($A683="","",IF($M683="","",ROUND($M683*67,1)))</f>
        <v>13</v>
      </c>
      <c r="AH683" s="19">
        <f>IF($A683="","",IF($P683="","",IF($P683=0,0,$O683/$P683)))</f>
        <v>0.962732919254658</v>
      </c>
      <c r="AI683" s="5" t="str">
        <f>IF($A683="","",IF($P683="","",IF($P683&gt;=Lookups!$K$7,"High",IF($P683&lt;=Lookups!$K$8,"Low","Medium"))))</f>
        <v>High</v>
      </c>
      <c r="AJ683" s="5" t="str">
        <f>IF($A683="","",IF($AD683="","",IF($AD683&lt;5,"Under 5 C",IF($AD683&lt;10,"5-10 C",IF($AD683&lt;15,"10-15 C","15 C and above")))))</f>
        <v>5-10 C</v>
      </c>
      <c r="AK683" s="5">
        <f>IF($A683="","",IF($P683="","",$P683^2))</f>
        <v>25921</v>
      </c>
      <c r="AL683" s="18">
        <f>IF($V683&lt;&gt;1,"",AVERAGEIFS(Clean_Data!$P$2:$P$1001,Clean_Data!$F$2:$F$1001,$F683,Clean_Data!$W$2:$W$1001,$W683,Clean_Data!$V$2:$V$1001,1))</f>
        <v>165.566666666667</v>
      </c>
      <c r="AM683" s="16">
        <f>IF($V683&lt;&gt;1,"",IFERROR(($P683-$AL683)/SQRT(MAX(0,(SUMIFS(Clean_Data!$AK$2:$AK$1001,Clean_Data!$F$2:$F$1001,$F683,Clean_Data!$W$2:$W$1001,$W683,Clean_Data!$V$2:$V$1001,1)-COUNTIFS(Clean_Data!$F$2:$F$1001,$F683,Clean_Data!$W$2:$W$1001,$W683,Clean_Data!$V$2:$V$1001,1)*$AL683^2)/(COUNTIFS(Clean_Data!$F$2:$F$1001,$F683,Clean_Data!$W$2:$W$1001,$W683,Clean_Data!$V$2:$V$1001,1)-1))),""))</f>
        <v>-0.103757051693836</v>
      </c>
      <c r="AN683" s="5" t="str">
        <f>IF($AM683="","",IF($AM683&gt;=Lookups!$K$6,"High spike",IF($AM683&lt;=-Lookups!$K$6,"Unusual low","Normal")))</f>
        <v>Normal</v>
      </c>
      <c r="AO683" s="20">
        <f>IF($V683&lt;&gt;1,"",$P683+ROW()/100000)</f>
        <v>161.00683</v>
      </c>
      <c r="AP683" s="5">
        <f>IF($A683="","",IFERROR(MATCH($A683,Raw_D1!$A$2:$A$1001,0),""))</f>
        <v/>
      </c>
      <c r="AQ683" s="5">
        <f>IF($A683="","",IFERROR(MATCH($A683,Raw_D2!$B$2:$B$1001,0),""))</f>
        <v/>
      </c>
      <c r="AR683" s="5">
        <f>IF($A683="","",IFERROR(MATCH($A683,Raw_D3!$A$2:$A$1001,0),""))</f>
        <v>63</v>
      </c>
    </row>
    <row r="684" spans="1:44" x14ac:dyDescent="0.25">
      <c r="A684" s="5">
        <v>683</v>
      </c>
      <c r="B684" s="11">
        <f>IF($A684="","",IF($AP684&lt;&gt;"",INDEX(Raw_D1!$B$2:$B$1001,$AP684),IF($AR684&lt;&gt;"",INDEX(Raw_D3!$B$2:$B$1001,$AR684),"")))</f>
        <v>40574.0</v>
      </c>
      <c r="C684" s="5">
        <f>IF($A684="","",IF($AP684&lt;&gt;"",INDEX(Raw_D1!$C$2:$C$1001,$AP684),IF($AR684&lt;&gt;"",INDEX(Raw_D3!$C$2:$C$1001,$AR684),"")))</f>
        <v>1</v>
      </c>
      <c r="D684" s="5">
        <f>IF($A684="","",IF($AP684&lt;&gt;"",INDEX(Raw_D1!$D$2:$D$1001,$AP684),IF($AR684&lt;&gt;"",INDEX(Raw_D3!$D$2:$D$1001,$AR684),"")))</f>
        <v>0</v>
      </c>
      <c r="E684" s="5">
        <f>IF($A684="","",IF($AP684&lt;&gt;"",INDEX(Raw_D1!$E$2:$E$1001,$AP684),IF($AR684&lt;&gt;"",INDEX(Raw_D3!$E$2:$E$1001,$AR684),"")))</f>
        <v>1</v>
      </c>
      <c r="F684" s="5">
        <f>IF($A684="","",IF($AP684&lt;&gt;"",INDEX(Raw_D1!$F$2:$F$1001,$AP684),IF($AR684&lt;&gt;"",INDEX(Raw_D3!$F$2:$F$1001,$AR684),"")))</f>
        <v>18</v>
      </c>
      <c r="G684" s="5">
        <f>IF($A684="","",IF($AP684&lt;&gt;"",IF(INDEX(Raw_D1!$G$2:$G$1001,$AP684),1,0),IF($AR684&lt;&gt;"",IF(INDEX(Raw_D3!$G$2:$G$1001,$AR684),1,0),"")))</f>
        <v>0</v>
      </c>
      <c r="H684" s="5">
        <f>IF($A684="","",IF($AP684&lt;&gt;"",INDEX(Raw_D1!$H$2:$H$1001,$AP684),IF($AR684&lt;&gt;"",INDEX(Raw_D3!$H$2:$H$1001,$AR684),"")))</f>
        <v>1</v>
      </c>
      <c r="I684" s="5">
        <f>IF($A684="","",IF($AP684&lt;&gt;"",INDEX(Raw_D1!$I$2:$I$1001,$AP684),IF($AR684&lt;&gt;"",INDEX(Raw_D3!$I$2:$I$1001,$AR684),"")))</f>
        <v>2</v>
      </c>
      <c r="J684" s="16">
        <f>IF($A684="","",IF($AP684&lt;&gt;"",INDEX(Raw_D1!$J$2:$J$1001,$AP684),IF($AR684&lt;&gt;"",INDEX(Raw_D3!$J$2:$J$1001,$AR684),"")))</f>
        <v>0.16</v>
      </c>
      <c r="K684" s="17">
        <f>IF($A684="","",IF($AQ684&lt;&gt;"",IF(INDEX(Raw_D2!$C$2:$C$1001,$AQ684)="","",INDEX(Raw_D2!$C$2:$C$1001,$AQ684)),IF($AR684&lt;&gt;"",IF(INDEX(Raw_D3!$K$2:$K$1001,$AR684)="","",INDEX(Raw_D3!$K$2:$K$1001,$AR684)),"")))</f>
        <v>0.1515</v>
      </c>
      <c r="L684" s="16">
        <f>IF($A684="","",IF($AQ684&lt;&gt;"",IF(INDEX(Raw_D2!$D$2:$D$1001,$AQ684)="","",INDEX(Raw_D2!$D$2:$D$1001,$AQ684)),IF($AR684&lt;&gt;"",IF(INDEX(Raw_D3!$L$2:$L$1001,$AR684)="","",INDEX(Raw_D3!$L$2:$L$1001,$AR684)),"")))</f>
        <v>0.55</v>
      </c>
      <c r="M684" s="17">
        <f>IF($A684="","",IF($AQ684&lt;&gt;"",IF(INDEX(Raw_D2!$E$2:$E$1001,$AQ684)="","",INDEX(Raw_D2!$E$2:$E$1001,$AQ684)),IF($AR684&lt;&gt;"",IF(INDEX(Raw_D3!$M$2:$M$1001,$AR684)="","",INDEX(Raw_D3!$M$2:$M$1001,$AR684)),"")))</f>
        <v>0.2239</v>
      </c>
      <c r="N684" s="5">
        <f>IF($A684="","",IF($AQ684&lt;&gt;"",IF(INDEX(Raw_D2!$F$2:$F$1001,$AQ684)="","",INDEX(Raw_D2!$F$2:$F$1001,$AQ684)),IF($AR684&lt;&gt;"",IF(INDEX(Raw_D3!$N$2:$N$1001,$AR684)="","",INDEX(Raw_D3!$N$2:$N$1001,$AR684)),"")))</f>
        <v>3</v>
      </c>
      <c r="O684" s="5">
        <f>IF($A684="","",IF($AQ684&lt;&gt;"",IF(INDEX(Raw_D2!$G$2:$G$1001,$AQ684)="","",INDEX(Raw_D2!$G$2:$G$1001,$AQ684)),IF($AR684&lt;&gt;"",IF(INDEX(Raw_D3!$O$2:$O$1001,$AR684)="","",INDEX(Raw_D3!$O$2:$O$1001,$AR684)),"")))</f>
        <v>153</v>
      </c>
      <c r="P684" s="5">
        <f>IF($A684="","",IF($AQ684&lt;&gt;"",IF(INDEX(Raw_D2!$H$2:$H$1001,$AQ684)="","",INDEX(Raw_D2!$H$2:$H$1001,$AQ684)),IF($AR684&lt;&gt;"",IF(INDEX(Raw_D3!$P$2:$P$1001,$AR684)="","",INDEX(Raw_D3!$P$2:$P$1001,$AR684)),"")))</f>
        <v>156</v>
      </c>
      <c r="Q684" s="5" t="str">
        <f>IF($A684="","",IF(AND($AP684&lt;&gt;"",$AQ684&lt;&gt;""),"D1+D2",IF($AR684&lt;&gt;"","D3","Incomplete")))</f>
        <v>D3</v>
      </c>
      <c r="R684" s="17">
        <f>IF($A684="","",IF($K684="",IF($J684="","",ROUND(Lookups!$K$5+Lookups!$K$4*$J684,4)),$K684))</f>
        <v>0.1515</v>
      </c>
      <c r="S684" s="5" t="str">
        <f>IF($A684="","",IF($K684="","Imputed","Original"))</f>
        <v>Original</v>
      </c>
      <c r="T684" s="5" t="str">
        <f>IF($A684="","",IF($P684="","Missing",IF($P684=$N684+$O684,"OK","Mismatch")))</f>
        <v>OK</v>
      </c>
      <c r="U684" s="5" t="str">
        <f>IF($A684="","",IF(COUNTIF($A$2:$A684,$A684)&gt;1,"Duplicate","Unique"))</f>
        <v>Unique</v>
      </c>
      <c r="V684" s="5">
        <f>IF($A684="","",IF(AND($U684="Unique",ISNUMBER($P684)),1,0))</f>
        <v>1</v>
      </c>
      <c r="W684" s="5" t="str">
        <f>IF($A684="","",IF(OR($H684=0,$H684=6),"Weekend","Weekday"))</f>
        <v>Weekday</v>
      </c>
      <c r="X684" s="5" t="str">
        <f>IF($A684="","",TEXT($B684,"ddd"))</f>
        <v>Mon</v>
      </c>
      <c r="Y684" s="5" t="str">
        <f>IF($A684="","",TEXT($B684,"mmm"))</f>
        <v>Jan</v>
      </c>
      <c r="Z684" s="5" t="str">
        <f>IF($A684="","",IFERROR(VLOOKUP($C684,Lookups!$D$4:$E$7,2,FALSE),"Unknown"))</f>
        <v>Winter</v>
      </c>
      <c r="AA684" s="5" t="str">
        <f>IF($A684="","",IFERROR(VLOOKUP($I684,Lookups!$A$4:$B$7,2,FALSE),"Unknown"))</f>
        <v>Mist/Cloudy</v>
      </c>
      <c r="AB684" s="5" t="str">
        <f>IF($A684="","",TEXT($F684,"00")&amp;":00")</f>
        <v>18:00</v>
      </c>
      <c r="AC684" s="5" t="str">
        <f>IF($A684="","",VLOOKUP($F684,Lookups!$G$4:$H$8,2,TRUE))</f>
        <v>Evening Peak (16-19)</v>
      </c>
      <c r="AD684" s="18">
        <f>IF($A684="","",IF($J684="","",ROUND($J684*41,1)))</f>
        <v>6.6</v>
      </c>
      <c r="AE684" s="18">
        <f>IF($A684="","",IF($R684="","",ROUND($R684*50,1)))</f>
        <v>7.6</v>
      </c>
      <c r="AF684" s="5">
        <f>IF($A684="","",IF($L684="","",ROUND($L684*100,0)))</f>
        <v>55</v>
      </c>
      <c r="AG684" s="18">
        <f>IF($A684="","",IF($M684="","",ROUND($M684*67,1)))</f>
        <v>15</v>
      </c>
      <c r="AH684" s="19">
        <f>IF($A684="","",IF($P684="","",IF($P684=0,0,$O684/$P684)))</f>
        <v>0.980769230769231</v>
      </c>
      <c r="AI684" s="5" t="str">
        <f>IF($A684="","",IF($P684="","",IF($P684&gt;=Lookups!$K$7,"High",IF($P684&lt;=Lookups!$K$8,"Low","Medium"))))</f>
        <v>High</v>
      </c>
      <c r="AJ684" s="5" t="str">
        <f>IF($A684="","",IF($AD684="","",IF($AD684&lt;5,"Under 5 C",IF($AD684&lt;10,"5-10 C",IF($AD684&lt;15,"10-15 C","15 C and above")))))</f>
        <v>5-10 C</v>
      </c>
      <c r="AK684" s="5">
        <f>IF($A684="","",IF($P684="","",$P684^2))</f>
        <v>24336</v>
      </c>
      <c r="AL684" s="18">
        <f>IF($V684&lt;&gt;1,"",AVERAGEIFS(Clean_Data!$P$2:$P$1001,Clean_Data!$F$2:$F$1001,$F684,Clean_Data!$W$2:$W$1001,$W684,Clean_Data!$V$2:$V$1001,1))</f>
        <v>151.206896551724</v>
      </c>
      <c r="AM684" s="16">
        <f>IF($V684&lt;&gt;1,"",IFERROR(($P684-$AL684)/SQRT(MAX(0,(SUMIFS(Clean_Data!$AK$2:$AK$1001,Clean_Data!$F$2:$F$1001,$F684,Clean_Data!$W$2:$W$1001,$W684,Clean_Data!$V$2:$V$1001,1)-COUNTIFS(Clean_Data!$F$2:$F$1001,$F684,Clean_Data!$W$2:$W$1001,$W684,Clean_Data!$V$2:$V$1001,1)*$AL684^2)/(COUNTIFS(Clean_Data!$F$2:$F$1001,$F684,Clean_Data!$W$2:$W$1001,$W684,Clean_Data!$V$2:$V$1001,1)-1))),""))</f>
        <v>0.163312092140075</v>
      </c>
      <c r="AN684" s="5" t="str">
        <f>IF($AM684="","",IF($AM684&gt;=Lookups!$K$6,"High spike",IF($AM684&lt;=-Lookups!$K$6,"Unusual low","Normal")))</f>
        <v>Normal</v>
      </c>
      <c r="AO684" s="20">
        <f>IF($V684&lt;&gt;1,"",$P684+ROW()/100000)</f>
        <v>156.00684</v>
      </c>
      <c r="AP684" s="5">
        <f>IF($A684="","",IFERROR(MATCH($A684,Raw_D1!$A$2:$A$1001,0),""))</f>
        <v/>
      </c>
      <c r="AQ684" s="5">
        <f>IF($A684="","",IFERROR(MATCH($A684,Raw_D2!$B$2:$B$1001,0),""))</f>
        <v/>
      </c>
      <c r="AR684" s="5">
        <f>IF($A684="","",IFERROR(MATCH($A684,Raw_D3!$A$2:$A$1001,0),""))</f>
        <v>64</v>
      </c>
    </row>
    <row r="685" spans="1:44" x14ac:dyDescent="0.25">
      <c r="A685" s="5">
        <v>684</v>
      </c>
      <c r="B685" s="11">
        <f>IF($A685="","",IF($AP685&lt;&gt;"",INDEX(Raw_D1!$B$2:$B$1001,$AP685),IF($AR685&lt;&gt;"",INDEX(Raw_D3!$B$2:$B$1001,$AR685),"")))</f>
        <v>40574.0</v>
      </c>
      <c r="C685" s="5">
        <f>IF($A685="","",IF($AP685&lt;&gt;"",INDEX(Raw_D1!$C$2:$C$1001,$AP685),IF($AR685&lt;&gt;"",INDEX(Raw_D3!$C$2:$C$1001,$AR685),"")))</f>
        <v>1</v>
      </c>
      <c r="D685" s="5">
        <f>IF($A685="","",IF($AP685&lt;&gt;"",INDEX(Raw_D1!$D$2:$D$1001,$AP685),IF($AR685&lt;&gt;"",INDEX(Raw_D3!$D$2:$D$1001,$AR685),"")))</f>
        <v>0</v>
      </c>
      <c r="E685" s="5">
        <f>IF($A685="","",IF($AP685&lt;&gt;"",INDEX(Raw_D1!$E$2:$E$1001,$AP685),IF($AR685&lt;&gt;"",INDEX(Raw_D3!$E$2:$E$1001,$AR685),"")))</f>
        <v>1</v>
      </c>
      <c r="F685" s="5">
        <f>IF($A685="","",IF($AP685&lt;&gt;"",INDEX(Raw_D1!$F$2:$F$1001,$AP685),IF($AR685&lt;&gt;"",INDEX(Raw_D3!$F$2:$F$1001,$AR685),"")))</f>
        <v>19</v>
      </c>
      <c r="G685" s="5">
        <f>IF($A685="","",IF($AP685&lt;&gt;"",IF(INDEX(Raw_D1!$G$2:$G$1001,$AP685),1,0),IF($AR685&lt;&gt;"",IF(INDEX(Raw_D3!$G$2:$G$1001,$AR685),1,0),"")))</f>
        <v>0</v>
      </c>
      <c r="H685" s="5">
        <f>IF($A685="","",IF($AP685&lt;&gt;"",INDEX(Raw_D1!$H$2:$H$1001,$AP685),IF($AR685&lt;&gt;"",INDEX(Raw_D3!$H$2:$H$1001,$AR685),"")))</f>
        <v>1</v>
      </c>
      <c r="I685" s="5">
        <f>IF($A685="","",IF($AP685&lt;&gt;"",INDEX(Raw_D1!$I$2:$I$1001,$AP685),IF($AR685&lt;&gt;"",INDEX(Raw_D3!$I$2:$I$1001,$AR685),"")))</f>
        <v>1</v>
      </c>
      <c r="J685" s="16">
        <f>IF($A685="","",IF($AP685&lt;&gt;"",INDEX(Raw_D1!$J$2:$J$1001,$AP685),IF($AR685&lt;&gt;"",INDEX(Raw_D3!$J$2:$J$1001,$AR685),"")))</f>
        <v>0.3</v>
      </c>
      <c r="K685" s="17">
        <f>IF($A685="","",IF($AQ685&lt;&gt;"",IF(INDEX(Raw_D2!$C$2:$C$1001,$AQ685)="","",INDEX(Raw_D2!$C$2:$C$1001,$AQ685)),IF($AR685&lt;&gt;"",IF(INDEX(Raw_D3!$K$2:$K$1001,$AR685)="","",INDEX(Raw_D3!$K$2:$K$1001,$AR685)),"")))</f>
        <v>0.3182</v>
      </c>
      <c r="L685" s="16">
        <f>IF($A685="","",IF($AQ685&lt;&gt;"",IF(INDEX(Raw_D2!$D$2:$D$1001,$AQ685)="","",INDEX(Raw_D2!$D$2:$D$1001,$AQ685)),IF($AR685&lt;&gt;"",IF(INDEX(Raw_D3!$L$2:$L$1001,$AR685)="","",INDEX(Raw_D3!$L$2:$L$1001,$AR685)),"")))</f>
        <v>0.61</v>
      </c>
      <c r="M685" s="17">
        <f>IF($A685="","",IF($AQ685&lt;&gt;"",IF(INDEX(Raw_D2!$E$2:$E$1001,$AQ685)="","",INDEX(Raw_D2!$E$2:$E$1001,$AQ685)),IF($AR685&lt;&gt;"",IF(INDEX(Raw_D3!$M$2:$M$1001,$AR685)="","",INDEX(Raw_D3!$M$2:$M$1001,$AR685)),"")))</f>
        <v>0.1045</v>
      </c>
      <c r="N685" s="5">
        <f>IF($A685="","",IF($AQ685&lt;&gt;"",IF(INDEX(Raw_D2!$F$2:$F$1001,$AQ685)="","",INDEX(Raw_D2!$F$2:$F$1001,$AQ685)),IF($AR685&lt;&gt;"",IF(INDEX(Raw_D3!$N$2:$N$1001,$AR685)="","",INDEX(Raw_D3!$N$2:$N$1001,$AR685)),"")))</f>
        <v>3</v>
      </c>
      <c r="O685" s="5">
        <f>IF($A685="","",IF($AQ685&lt;&gt;"",IF(INDEX(Raw_D2!$G$2:$G$1001,$AQ685)="","",INDEX(Raw_D2!$G$2:$G$1001,$AQ685)),IF($AR685&lt;&gt;"",IF(INDEX(Raw_D3!$O$2:$O$1001,$AR685)="","",INDEX(Raw_D3!$O$2:$O$1001,$AR685)),"")))</f>
        <v>108</v>
      </c>
      <c r="P685" s="5">
        <f>IF($A685="","",IF($AQ685&lt;&gt;"",IF(INDEX(Raw_D2!$H$2:$H$1001,$AQ685)="","",INDEX(Raw_D2!$H$2:$H$1001,$AQ685)),IF($AR685&lt;&gt;"",IF(INDEX(Raw_D3!$P$2:$P$1001,$AR685)="","",INDEX(Raw_D3!$P$2:$P$1001,$AR685)),"")))</f>
        <v>111</v>
      </c>
      <c r="Q685" s="5" t="str">
        <f>IF($A685="","",IF(AND($AP685&lt;&gt;"",$AQ685&lt;&gt;""),"D1+D2",IF($AR685&lt;&gt;"","D3","Incomplete")))</f>
        <v>D3</v>
      </c>
      <c r="R685" s="17">
        <f>IF($A685="","",IF($K685="",IF($J685="","",ROUND(Lookups!$K$5+Lookups!$K$4*$J685,4)),$K685))</f>
        <v>0.3182</v>
      </c>
      <c r="S685" s="5" t="str">
        <f>IF($A685="","",IF($K685="","Imputed","Original"))</f>
        <v>Original</v>
      </c>
      <c r="T685" s="5" t="str">
        <f>IF($A685="","",IF($P685="","Missing",IF($P685=$N685+$O685,"OK","Mismatch")))</f>
        <v>OK</v>
      </c>
      <c r="U685" s="5" t="str">
        <f>IF($A685="","",IF(COUNTIF($A$2:$A685,$A685)&gt;1,"Duplicate","Unique"))</f>
        <v>Unique</v>
      </c>
      <c r="V685" s="5">
        <f>IF($A685="","",IF(AND($U685="Unique",ISNUMBER($P685)),1,0))</f>
        <v>1</v>
      </c>
      <c r="W685" s="5" t="str">
        <f>IF($A685="","",IF(OR($H685=0,$H685=6),"Weekend","Weekday"))</f>
        <v>Weekday</v>
      </c>
      <c r="X685" s="5" t="str">
        <f>IF($A685="","",TEXT($B685,"ddd"))</f>
        <v>Mon</v>
      </c>
      <c r="Y685" s="5" t="str">
        <f>IF($A685="","",TEXT($B685,"mmm"))</f>
        <v>Jan</v>
      </c>
      <c r="Z685" s="5" t="str">
        <f>IF($A685="","",IFERROR(VLOOKUP($C685,Lookups!$D$4:$E$7,2,FALSE),"Unknown"))</f>
        <v>Winter</v>
      </c>
      <c r="AA685" s="5" t="str">
        <f>IF($A685="","",IFERROR(VLOOKUP($I685,Lookups!$A$4:$B$7,2,FALSE),"Unknown"))</f>
        <v>Clear</v>
      </c>
      <c r="AB685" s="5" t="str">
        <f>IF($A685="","",TEXT($F685,"00")&amp;":00")</f>
        <v>19:00</v>
      </c>
      <c r="AC685" s="5" t="str">
        <f>IF($A685="","",VLOOKUP($F685,Lookups!$G$4:$H$8,2,TRUE))</f>
        <v>Evening Peak (16-19)</v>
      </c>
      <c r="AD685" s="18">
        <f>IF($A685="","",IF($J685="","",ROUND($J685*41,1)))</f>
        <v>12.3</v>
      </c>
      <c r="AE685" s="18">
        <f>IF($A685="","",IF($R685="","",ROUND($R685*50,1)))</f>
        <v>15.9</v>
      </c>
      <c r="AF685" s="5">
        <f>IF($A685="","",IF($L685="","",ROUND($L685*100,0)))</f>
        <v>61</v>
      </c>
      <c r="AG685" s="18">
        <f>IF($A685="","",IF($M685="","",ROUND($M685*67,1)))</f>
        <v>7</v>
      </c>
      <c r="AH685" s="19">
        <f>IF($A685="","",IF($P685="","",IF($P685=0,0,$O685/$P685)))</f>
        <v>0.972972972972973</v>
      </c>
      <c r="AI685" s="5" t="str">
        <f>IF($A685="","",IF($P685="","",IF($P685&gt;=Lookups!$K$7,"High",IF($P685&lt;=Lookups!$K$8,"Low","Medium"))))</f>
        <v>High</v>
      </c>
      <c r="AJ685" s="5" t="str">
        <f>IF($A685="","",IF($AD685="","",IF($AD685&lt;5,"Under 5 C",IF($AD685&lt;10,"5-10 C",IF($AD685&lt;15,"10-15 C","15 C and above")))))</f>
        <v>10-15 C</v>
      </c>
      <c r="AK685" s="5">
        <f>IF($A685="","",IF($P685="","",$P685^2))</f>
        <v>12321</v>
      </c>
      <c r="AL685" s="18">
        <f>IF($V685&lt;&gt;1,"",AVERAGEIFS(Clean_Data!$P$2:$P$1001,Clean_Data!$F$2:$F$1001,$F685,Clean_Data!$W$2:$W$1001,$W685,Clean_Data!$V$2:$V$1001,1))</f>
        <v>102.034482758621</v>
      </c>
      <c r="AM685" s="16">
        <f>IF($V685&lt;&gt;1,"",IFERROR(($P685-$AL685)/SQRT(MAX(0,(SUMIFS(Clean_Data!$AK$2:$AK$1001,Clean_Data!$F$2:$F$1001,$F685,Clean_Data!$W$2:$W$1001,$W685,Clean_Data!$V$2:$V$1001,1)-COUNTIFS(Clean_Data!$F$2:$F$1001,$F685,Clean_Data!$W$2:$W$1001,$W685,Clean_Data!$V$2:$V$1001,1)*$AL685^2)/(COUNTIFS(Clean_Data!$F$2:$F$1001,$F685,Clean_Data!$W$2:$W$1001,$W685,Clean_Data!$V$2:$V$1001,1)-1))),""))</f>
        <v>0.421953158803013</v>
      </c>
      <c r="AN685" s="5" t="str">
        <f>IF($AM685="","",IF($AM685&gt;=Lookups!$K$6,"High spike",IF($AM685&lt;=-Lookups!$K$6,"Unusual low","Normal")))</f>
        <v>Normal</v>
      </c>
      <c r="AO685" s="20">
        <f>IF($V685&lt;&gt;1,"",$P685+ROW()/100000)</f>
        <v>111.00685</v>
      </c>
      <c r="AP685" s="5">
        <f>IF($A685="","",IFERROR(MATCH($A685,Raw_D1!$A$2:$A$1001,0),""))</f>
        <v/>
      </c>
      <c r="AQ685" s="5">
        <f>IF($A685="","",IFERROR(MATCH($A685,Raw_D2!$B$2:$B$1001,0),""))</f>
        <v/>
      </c>
      <c r="AR685" s="5">
        <f>IF($A685="","",IFERROR(MATCH($A685,Raw_D3!$A$2:$A$1001,0),""))</f>
        <v>65</v>
      </c>
    </row>
    <row r="686" spans="1:44" x14ac:dyDescent="0.25">
      <c r="A686" s="5">
        <v>685</v>
      </c>
      <c r="B686" s="11">
        <f>IF($A686="","",IF($AP686&lt;&gt;"",INDEX(Raw_D1!$B$2:$B$1001,$AP686),IF($AR686&lt;&gt;"",INDEX(Raw_D3!$B$2:$B$1001,$AR686),"")))</f>
        <v>40574.0</v>
      </c>
      <c r="C686" s="5">
        <f>IF($A686="","",IF($AP686&lt;&gt;"",INDEX(Raw_D1!$C$2:$C$1001,$AP686),IF($AR686&lt;&gt;"",INDEX(Raw_D3!$C$2:$C$1001,$AR686),"")))</f>
        <v>1</v>
      </c>
      <c r="D686" s="5">
        <f>IF($A686="","",IF($AP686&lt;&gt;"",INDEX(Raw_D1!$D$2:$D$1001,$AP686),IF($AR686&lt;&gt;"",INDEX(Raw_D3!$D$2:$D$1001,$AR686),"")))</f>
        <v>0</v>
      </c>
      <c r="E686" s="5">
        <f>IF($A686="","",IF($AP686&lt;&gt;"",INDEX(Raw_D1!$E$2:$E$1001,$AP686),IF($AR686&lt;&gt;"",INDEX(Raw_D3!$E$2:$E$1001,$AR686),"")))</f>
        <v>1</v>
      </c>
      <c r="F686" s="5">
        <f>IF($A686="","",IF($AP686&lt;&gt;"",INDEX(Raw_D1!$F$2:$F$1001,$AP686),IF($AR686&lt;&gt;"",INDEX(Raw_D3!$F$2:$F$1001,$AR686),"")))</f>
        <v>20</v>
      </c>
      <c r="G686" s="5">
        <f>IF($A686="","",IF($AP686&lt;&gt;"",IF(INDEX(Raw_D1!$G$2:$G$1001,$AP686),1,0),IF($AR686&lt;&gt;"",IF(INDEX(Raw_D3!$G$2:$G$1001,$AR686),1,0),"")))</f>
        <v>0</v>
      </c>
      <c r="H686" s="5">
        <f>IF($A686="","",IF($AP686&lt;&gt;"",INDEX(Raw_D1!$H$2:$H$1001,$AP686),IF($AR686&lt;&gt;"",INDEX(Raw_D3!$H$2:$H$1001,$AR686),"")))</f>
        <v>1</v>
      </c>
      <c r="I686" s="5">
        <f>IF($A686="","",IF($AP686&lt;&gt;"",INDEX(Raw_D1!$I$2:$I$1001,$AP686),IF($AR686&lt;&gt;"",INDEX(Raw_D3!$I$2:$I$1001,$AR686),"")))</f>
        <v>3</v>
      </c>
      <c r="J686" s="16">
        <f>IF($A686="","",IF($AP686&lt;&gt;"",INDEX(Raw_D1!$J$2:$J$1001,$AP686),IF($AR686&lt;&gt;"",INDEX(Raw_D3!$J$2:$J$1001,$AR686),"")))</f>
        <v>0.16</v>
      </c>
      <c r="K686" s="17">
        <f>IF($A686="","",IF($AQ686&lt;&gt;"",IF(INDEX(Raw_D2!$C$2:$C$1001,$AQ686)="","",INDEX(Raw_D2!$C$2:$C$1001,$AQ686)),IF($AR686&lt;&gt;"",IF(INDEX(Raw_D3!$K$2:$K$1001,$AR686)="","",INDEX(Raw_D3!$K$2:$K$1001,$AR686)),"")))</f>
        <v>0.1667</v>
      </c>
      <c r="L686" s="16">
        <f>IF($A686="","",IF($AQ686&lt;&gt;"",IF(INDEX(Raw_D2!$D$2:$D$1001,$AQ686)="","",INDEX(Raw_D2!$D$2:$D$1001,$AQ686)),IF($AR686&lt;&gt;"",IF(INDEX(Raw_D3!$L$2:$L$1001,$AR686)="","",INDEX(Raw_D3!$L$2:$L$1001,$AR686)),"")))</f>
        <v>0.59</v>
      </c>
      <c r="M686" s="17">
        <f>IF($A686="","",IF($AQ686&lt;&gt;"",IF(INDEX(Raw_D2!$E$2:$E$1001,$AQ686)="","",INDEX(Raw_D2!$E$2:$E$1001,$AQ686)),IF($AR686&lt;&gt;"",IF(INDEX(Raw_D3!$M$2:$M$1001,$AR686)="","",INDEX(Raw_D3!$M$2:$M$1001,$AR686)),"")))</f>
        <v>0.1642</v>
      </c>
      <c r="N686" s="5">
        <f>IF($A686="","",IF($AQ686&lt;&gt;"",IF(INDEX(Raw_D2!$F$2:$F$1001,$AQ686)="","",INDEX(Raw_D2!$F$2:$F$1001,$AQ686)),IF($AR686&lt;&gt;"",IF(INDEX(Raw_D3!$N$2:$N$1001,$AR686)="","",INDEX(Raw_D3!$N$2:$N$1001,$AR686)),"")))</f>
        <v>0</v>
      </c>
      <c r="O686" s="5">
        <f>IF($A686="","",IF($AQ686&lt;&gt;"",IF(INDEX(Raw_D2!$G$2:$G$1001,$AQ686)="","",INDEX(Raw_D2!$G$2:$G$1001,$AQ686)),IF($AR686&lt;&gt;"",IF(INDEX(Raw_D3!$O$2:$O$1001,$AR686)="","",INDEX(Raw_D3!$O$2:$O$1001,$AR686)),"")))</f>
        <v>78</v>
      </c>
      <c r="P686" s="5">
        <f>IF($A686="","",IF($AQ686&lt;&gt;"",IF(INDEX(Raw_D2!$H$2:$H$1001,$AQ686)="","",INDEX(Raw_D2!$H$2:$H$1001,$AQ686)),IF($AR686&lt;&gt;"",IF(INDEX(Raw_D3!$P$2:$P$1001,$AR686)="","",INDEX(Raw_D3!$P$2:$P$1001,$AR686)),"")))</f>
        <v>78</v>
      </c>
      <c r="Q686" s="5" t="str">
        <f>IF($A686="","",IF(AND($AP686&lt;&gt;"",$AQ686&lt;&gt;""),"D1+D2",IF($AR686&lt;&gt;"","D3","Incomplete")))</f>
        <v>D3</v>
      </c>
      <c r="R686" s="17">
        <f>IF($A686="","",IF($K686="",IF($J686="","",ROUND(Lookups!$K$5+Lookups!$K$4*$J686,4)),$K686))</f>
        <v>0.1667</v>
      </c>
      <c r="S686" s="5" t="str">
        <f>IF($A686="","",IF($K686="","Imputed","Original"))</f>
        <v>Original</v>
      </c>
      <c r="T686" s="5" t="str">
        <f>IF($A686="","",IF($P686="","Missing",IF($P686=$N686+$O686,"OK","Mismatch")))</f>
        <v>OK</v>
      </c>
      <c r="U686" s="5" t="str">
        <f>IF($A686="","",IF(COUNTIF($A$2:$A686,$A686)&gt;1,"Duplicate","Unique"))</f>
        <v>Unique</v>
      </c>
      <c r="V686" s="5">
        <f>IF($A686="","",IF(AND($U686="Unique",ISNUMBER($P686)),1,0))</f>
        <v>1</v>
      </c>
      <c r="W686" s="5" t="str">
        <f>IF($A686="","",IF(OR($H686=0,$H686=6),"Weekend","Weekday"))</f>
        <v>Weekday</v>
      </c>
      <c r="X686" s="5" t="str">
        <f>IF($A686="","",TEXT($B686,"ddd"))</f>
        <v>Mon</v>
      </c>
      <c r="Y686" s="5" t="str">
        <f>IF($A686="","",TEXT($B686,"mmm"))</f>
        <v>Jan</v>
      </c>
      <c r="Z686" s="5" t="str">
        <f>IF($A686="","",IFERROR(VLOOKUP($C686,Lookups!$D$4:$E$7,2,FALSE),"Unknown"))</f>
        <v>Winter</v>
      </c>
      <c r="AA686" s="5" t="str">
        <f>IF($A686="","",IFERROR(VLOOKUP($I686,Lookups!$A$4:$B$7,2,FALSE),"Unknown"))</f>
        <v>Light Rain/Snow</v>
      </c>
      <c r="AB686" s="5" t="str">
        <f>IF($A686="","",TEXT($F686,"00")&amp;":00")</f>
        <v>20:00</v>
      </c>
      <c r="AC686" s="5" t="str">
        <f>IF($A686="","",VLOOKUP($F686,Lookups!$G$4:$H$8,2,TRUE))</f>
        <v>Late Evening (20-23)</v>
      </c>
      <c r="AD686" s="18">
        <f>IF($A686="","",IF($J686="","",ROUND($J686*41,1)))</f>
        <v>6.6</v>
      </c>
      <c r="AE686" s="18">
        <f>IF($A686="","",IF($R686="","",ROUND($R686*50,1)))</f>
        <v>8.3</v>
      </c>
      <c r="AF686" s="5">
        <f>IF($A686="","",IF($L686="","",ROUND($L686*100,0)))</f>
        <v>59</v>
      </c>
      <c r="AG686" s="18">
        <f>IF($A686="","",IF($M686="","",ROUND($M686*67,1)))</f>
        <v>11</v>
      </c>
      <c r="AH686" s="19">
        <f>IF($A686="","",IF($P686="","",IF($P686=0,0,$O686/$P686)))</f>
        <v>1</v>
      </c>
      <c r="AI686" s="5" t="str">
        <f>IF($A686="","",IF($P686="","",IF($P686&gt;=Lookups!$K$7,"High",IF($P686&lt;=Lookups!$K$8,"Low","Medium"))))</f>
        <v>Medium</v>
      </c>
      <c r="AJ686" s="5" t="str">
        <f>IF($A686="","",IF($AD686="","",IF($AD686&lt;5,"Under 5 C",IF($AD686&lt;10,"5-10 C",IF($AD686&lt;15,"10-15 C","15 C and above")))))</f>
        <v>5-10 C</v>
      </c>
      <c r="AK686" s="5">
        <f>IF($A686="","",IF($P686="","",$P686^2))</f>
        <v>6084</v>
      </c>
      <c r="AL686" s="18">
        <f>IF($V686&lt;&gt;1,"",AVERAGEIFS(Clean_Data!$P$2:$P$1001,Clean_Data!$F$2:$F$1001,$F686,Clean_Data!$W$2:$W$1001,$W686,Clean_Data!$V$2:$V$1001,1))</f>
        <v>72.2758620689655</v>
      </c>
      <c r="AM686" s="16">
        <f>IF($V686&lt;&gt;1,"",IFERROR(($P686-$AL686)/SQRT(MAX(0,(SUMIFS(Clean_Data!$AK$2:$AK$1001,Clean_Data!$F$2:$F$1001,$F686,Clean_Data!$W$2:$W$1001,$W686,Clean_Data!$V$2:$V$1001,1)-COUNTIFS(Clean_Data!$F$2:$F$1001,$F686,Clean_Data!$W$2:$W$1001,$W686,Clean_Data!$V$2:$V$1001,1)*$AL686^2)/(COUNTIFS(Clean_Data!$F$2:$F$1001,$F686,Clean_Data!$W$2:$W$1001,$W686,Clean_Data!$V$2:$V$1001,1)-1))),""))</f>
        <v>0.259007801103756</v>
      </c>
      <c r="AN686" s="5" t="str">
        <f>IF($AM686="","",IF($AM686&gt;=Lookups!$K$6,"High spike",IF($AM686&lt;=-Lookups!$K$6,"Unusual low","Normal")))</f>
        <v>Normal</v>
      </c>
      <c r="AO686" s="20">
        <f>IF($V686&lt;&gt;1,"",$P686+ROW()/100000)</f>
        <v>78.00686</v>
      </c>
      <c r="AP686" s="5">
        <f>IF($A686="","",IFERROR(MATCH($A686,Raw_D1!$A$2:$A$1001,0),""))</f>
        <v/>
      </c>
      <c r="AQ686" s="5">
        <f>IF($A686="","",IFERROR(MATCH($A686,Raw_D2!$B$2:$B$1001,0),""))</f>
        <v/>
      </c>
      <c r="AR686" s="5">
        <f>IF($A686="","",IFERROR(MATCH($A686,Raw_D3!$A$2:$A$1001,0),""))</f>
        <v>66</v>
      </c>
    </row>
    <row r="687" spans="1:44" x14ac:dyDescent="0.25">
      <c r="A687" s="5">
        <v>686</v>
      </c>
      <c r="B687" s="11">
        <f>IF($A687="","",IF($AP687&lt;&gt;"",INDEX(Raw_D1!$B$2:$B$1001,$AP687),IF($AR687&lt;&gt;"",INDEX(Raw_D3!$B$2:$B$1001,$AR687),"")))</f>
        <v>40574.0</v>
      </c>
      <c r="C687" s="5">
        <f>IF($A687="","",IF($AP687&lt;&gt;"",INDEX(Raw_D1!$C$2:$C$1001,$AP687),IF($AR687&lt;&gt;"",INDEX(Raw_D3!$C$2:$C$1001,$AR687),"")))</f>
        <v>1</v>
      </c>
      <c r="D687" s="5">
        <f>IF($A687="","",IF($AP687&lt;&gt;"",INDEX(Raw_D1!$D$2:$D$1001,$AP687),IF($AR687&lt;&gt;"",INDEX(Raw_D3!$D$2:$D$1001,$AR687),"")))</f>
        <v>0</v>
      </c>
      <c r="E687" s="5">
        <f>IF($A687="","",IF($AP687&lt;&gt;"",INDEX(Raw_D1!$E$2:$E$1001,$AP687),IF($AR687&lt;&gt;"",INDEX(Raw_D3!$E$2:$E$1001,$AR687),"")))</f>
        <v>1</v>
      </c>
      <c r="F687" s="5">
        <f>IF($A687="","",IF($AP687&lt;&gt;"",INDEX(Raw_D1!$F$2:$F$1001,$AP687),IF($AR687&lt;&gt;"",INDEX(Raw_D3!$F$2:$F$1001,$AR687),"")))</f>
        <v>21</v>
      </c>
      <c r="G687" s="5">
        <f>IF($A687="","",IF($AP687&lt;&gt;"",IF(INDEX(Raw_D1!$G$2:$G$1001,$AP687),1,0),IF($AR687&lt;&gt;"",IF(INDEX(Raw_D3!$G$2:$G$1001,$AR687),1,0),"")))</f>
        <v>0</v>
      </c>
      <c r="H687" s="5">
        <f>IF($A687="","",IF($AP687&lt;&gt;"",INDEX(Raw_D1!$H$2:$H$1001,$AP687),IF($AR687&lt;&gt;"",INDEX(Raw_D3!$H$2:$H$1001,$AR687),"")))</f>
        <v>1</v>
      </c>
      <c r="I687" s="5">
        <f>IF($A687="","",IF($AP687&lt;&gt;"",INDEX(Raw_D1!$I$2:$I$1001,$AP687),IF($AR687&lt;&gt;"",INDEX(Raw_D3!$I$2:$I$1001,$AR687),"")))</f>
        <v>3</v>
      </c>
      <c r="J687" s="16">
        <f>IF($A687="","",IF($AP687&lt;&gt;"",INDEX(Raw_D1!$J$2:$J$1001,$AP687),IF($AR687&lt;&gt;"",INDEX(Raw_D3!$J$2:$J$1001,$AR687),"")))</f>
        <v>0.16</v>
      </c>
      <c r="K687" s="17">
        <f>IF($A687="","",IF($AQ687&lt;&gt;"",IF(INDEX(Raw_D2!$C$2:$C$1001,$AQ687)="","",INDEX(Raw_D2!$C$2:$C$1001,$AQ687)),IF($AR687&lt;&gt;"",IF(INDEX(Raw_D3!$K$2:$K$1001,$AR687)="","",INDEX(Raw_D3!$K$2:$K$1001,$AR687)),"")))</f>
        <v>0.197</v>
      </c>
      <c r="L687" s="16">
        <f>IF($A687="","",IF($AQ687&lt;&gt;"",IF(INDEX(Raw_D2!$D$2:$D$1001,$AQ687)="","",INDEX(Raw_D2!$D$2:$D$1001,$AQ687)),IF($AR687&lt;&gt;"",IF(INDEX(Raw_D3!$L$2:$L$1001,$AR687)="","",INDEX(Raw_D3!$L$2:$L$1001,$AR687)),"")))</f>
        <v>0.59</v>
      </c>
      <c r="M687" s="17">
        <f>IF($A687="","",IF($AQ687&lt;&gt;"",IF(INDEX(Raw_D2!$E$2:$E$1001,$AQ687)="","",INDEX(Raw_D2!$E$2:$E$1001,$AQ687)),IF($AR687&lt;&gt;"",IF(INDEX(Raw_D3!$M$2:$M$1001,$AR687)="","",INDEX(Raw_D3!$M$2:$M$1001,$AR687)),"")))</f>
        <v>0.0896</v>
      </c>
      <c r="N687" s="5">
        <f>IF($A687="","",IF($AQ687&lt;&gt;"",IF(INDEX(Raw_D2!$F$2:$F$1001,$AQ687)="","",INDEX(Raw_D2!$F$2:$F$1001,$AQ687)),IF($AR687&lt;&gt;"",IF(INDEX(Raw_D3!$N$2:$N$1001,$AR687)="","",INDEX(Raw_D3!$N$2:$N$1001,$AR687)),"")))</f>
        <v>3</v>
      </c>
      <c r="O687" s="5">
        <f>IF($A687="","",IF($AQ687&lt;&gt;"",IF(INDEX(Raw_D2!$G$2:$G$1001,$AQ687)="","",INDEX(Raw_D2!$G$2:$G$1001,$AQ687)),IF($AR687&lt;&gt;"",IF(INDEX(Raw_D3!$O$2:$O$1001,$AR687)="","",INDEX(Raw_D3!$O$2:$O$1001,$AR687)),"")))</f>
        <v>53</v>
      </c>
      <c r="P687" s="5">
        <f>IF($A687="","",IF($AQ687&lt;&gt;"",IF(INDEX(Raw_D2!$H$2:$H$1001,$AQ687)="","",INDEX(Raw_D2!$H$2:$H$1001,$AQ687)),IF($AR687&lt;&gt;"",IF(INDEX(Raw_D3!$P$2:$P$1001,$AR687)="","",INDEX(Raw_D3!$P$2:$P$1001,$AR687)),"")))</f>
        <v>56</v>
      </c>
      <c r="Q687" s="5" t="str">
        <f>IF($A687="","",IF(AND($AP687&lt;&gt;"",$AQ687&lt;&gt;""),"D1+D2",IF($AR687&lt;&gt;"","D3","Incomplete")))</f>
        <v>D3</v>
      </c>
      <c r="R687" s="17">
        <f>IF($A687="","",IF($K687="",IF($J687="","",ROUND(Lookups!$K$5+Lookups!$K$4*$J687,4)),$K687))</f>
        <v>0.197</v>
      </c>
      <c r="S687" s="5" t="str">
        <f>IF($A687="","",IF($K687="","Imputed","Original"))</f>
        <v>Original</v>
      </c>
      <c r="T687" s="5" t="str">
        <f>IF($A687="","",IF($P687="","Missing",IF($P687=$N687+$O687,"OK","Mismatch")))</f>
        <v>OK</v>
      </c>
      <c r="U687" s="5" t="str">
        <f>IF($A687="","",IF(COUNTIF($A$2:$A687,$A687)&gt;1,"Duplicate","Unique"))</f>
        <v>Unique</v>
      </c>
      <c r="V687" s="5">
        <f>IF($A687="","",IF(AND($U687="Unique",ISNUMBER($P687)),1,0))</f>
        <v>1</v>
      </c>
      <c r="W687" s="5" t="str">
        <f>IF($A687="","",IF(OR($H687=0,$H687=6),"Weekend","Weekday"))</f>
        <v>Weekday</v>
      </c>
      <c r="X687" s="5" t="str">
        <f>IF($A687="","",TEXT($B687,"ddd"))</f>
        <v>Mon</v>
      </c>
      <c r="Y687" s="5" t="str">
        <f>IF($A687="","",TEXT($B687,"mmm"))</f>
        <v>Jan</v>
      </c>
      <c r="Z687" s="5" t="str">
        <f>IF($A687="","",IFERROR(VLOOKUP($C687,Lookups!$D$4:$E$7,2,FALSE),"Unknown"))</f>
        <v>Winter</v>
      </c>
      <c r="AA687" s="5" t="str">
        <f>IF($A687="","",IFERROR(VLOOKUP($I687,Lookups!$A$4:$B$7,2,FALSE),"Unknown"))</f>
        <v>Light Rain/Snow</v>
      </c>
      <c r="AB687" s="5" t="str">
        <f>IF($A687="","",TEXT($F687,"00")&amp;":00")</f>
        <v>21:00</v>
      </c>
      <c r="AC687" s="5" t="str">
        <f>IF($A687="","",VLOOKUP($F687,Lookups!$G$4:$H$8,2,TRUE))</f>
        <v>Late Evening (20-23)</v>
      </c>
      <c r="AD687" s="18">
        <f>IF($A687="","",IF($J687="","",ROUND($J687*41,1)))</f>
        <v>6.6</v>
      </c>
      <c r="AE687" s="18">
        <f>IF($A687="","",IF($R687="","",ROUND($R687*50,1)))</f>
        <v>9.9</v>
      </c>
      <c r="AF687" s="5">
        <f>IF($A687="","",IF($L687="","",ROUND($L687*100,0)))</f>
        <v>59</v>
      </c>
      <c r="AG687" s="18">
        <f>IF($A687="","",IF($M687="","",ROUND($M687*67,1)))</f>
        <v>6</v>
      </c>
      <c r="AH687" s="19">
        <f>IF($A687="","",IF($P687="","",IF($P687=0,0,$O687/$P687)))</f>
        <v>0.946428571428571</v>
      </c>
      <c r="AI687" s="5" t="str">
        <f>IF($A687="","",IF($P687="","",IF($P687&gt;=Lookups!$K$7,"High",IF($P687&lt;=Lookups!$K$8,"Low","Medium"))))</f>
        <v>Medium</v>
      </c>
      <c r="AJ687" s="5" t="str">
        <f>IF($A687="","",IF($AD687="","",IF($AD687&lt;5,"Under 5 C",IF($AD687&lt;10,"5-10 C",IF($AD687&lt;15,"10-15 C","15 C and above")))))</f>
        <v>5-10 C</v>
      </c>
      <c r="AK687" s="5">
        <f>IF($A687="","",IF($P687="","",$P687^2))</f>
        <v>3136</v>
      </c>
      <c r="AL687" s="18">
        <f>IF($V687&lt;&gt;1,"",AVERAGEIFS(Clean_Data!$P$2:$P$1001,Clean_Data!$F$2:$F$1001,$F687,Clean_Data!$W$2:$W$1001,$W687,Clean_Data!$V$2:$V$1001,1))</f>
        <v>50.8965517241379</v>
      </c>
      <c r="AM687" s="16">
        <f>IF($V687&lt;&gt;1,"",IFERROR(($P687-$AL687)/SQRT(MAX(0,(SUMIFS(Clean_Data!$AK$2:$AK$1001,Clean_Data!$F$2:$F$1001,$F687,Clean_Data!$W$2:$W$1001,$W687,Clean_Data!$V$2:$V$1001,1)-COUNTIFS(Clean_Data!$F$2:$F$1001,$F687,Clean_Data!$W$2:$W$1001,$W687,Clean_Data!$V$2:$V$1001,1)*$AL687^2)/(COUNTIFS(Clean_Data!$F$2:$F$1001,$F687,Clean_Data!$W$2:$W$1001,$W687,Clean_Data!$V$2:$V$1001,1)-1))),""))</f>
        <v>0.369594411180816</v>
      </c>
      <c r="AN687" s="5" t="str">
        <f>IF($AM687="","",IF($AM687&gt;=Lookups!$K$6,"High spike",IF($AM687&lt;=-Lookups!$K$6,"Unusual low","Normal")))</f>
        <v>Normal</v>
      </c>
      <c r="AO687" s="20">
        <f>IF($V687&lt;&gt;1,"",$P687+ROW()/100000)</f>
        <v>56.00687</v>
      </c>
      <c r="AP687" s="5">
        <f>IF($A687="","",IFERROR(MATCH($A687,Raw_D1!$A$2:$A$1001,0),""))</f>
        <v/>
      </c>
      <c r="AQ687" s="5">
        <f>IF($A687="","",IFERROR(MATCH($A687,Raw_D2!$B$2:$B$1001,0),""))</f>
        <v/>
      </c>
      <c r="AR687" s="5">
        <f>IF($A687="","",IFERROR(MATCH($A687,Raw_D3!$A$2:$A$1001,0),""))</f>
        <v>67</v>
      </c>
    </row>
    <row r="688" spans="1:44" x14ac:dyDescent="0.25">
      <c r="A688" s="5">
        <v>687</v>
      </c>
      <c r="B688" s="11">
        <f>IF($A688="","",IF($AP688&lt;&gt;"",INDEX(Raw_D1!$B$2:$B$1001,$AP688),IF($AR688&lt;&gt;"",INDEX(Raw_D3!$B$2:$B$1001,$AR688),"")))</f>
        <v>40574.0</v>
      </c>
      <c r="C688" s="5">
        <f>IF($A688="","",IF($AP688&lt;&gt;"",INDEX(Raw_D1!$C$2:$C$1001,$AP688),IF($AR688&lt;&gt;"",INDEX(Raw_D3!$C$2:$C$1001,$AR688),"")))</f>
        <v>1</v>
      </c>
      <c r="D688" s="5">
        <f>IF($A688="","",IF($AP688&lt;&gt;"",INDEX(Raw_D1!$D$2:$D$1001,$AP688),IF($AR688&lt;&gt;"",INDEX(Raw_D3!$D$2:$D$1001,$AR688),"")))</f>
        <v>0</v>
      </c>
      <c r="E688" s="5">
        <f>IF($A688="","",IF($AP688&lt;&gt;"",INDEX(Raw_D1!$E$2:$E$1001,$AP688),IF($AR688&lt;&gt;"",INDEX(Raw_D3!$E$2:$E$1001,$AR688),"")))</f>
        <v>1</v>
      </c>
      <c r="F688" s="5">
        <f>IF($A688="","",IF($AP688&lt;&gt;"",INDEX(Raw_D1!$F$2:$F$1001,$AP688),IF($AR688&lt;&gt;"",INDEX(Raw_D3!$F$2:$F$1001,$AR688),"")))</f>
        <v>22</v>
      </c>
      <c r="G688" s="5">
        <f>IF($A688="","",IF($AP688&lt;&gt;"",IF(INDEX(Raw_D1!$G$2:$G$1001,$AP688),1,0),IF($AR688&lt;&gt;"",IF(INDEX(Raw_D3!$G$2:$G$1001,$AR688),1,0),"")))</f>
        <v>0</v>
      </c>
      <c r="H688" s="5">
        <f>IF($A688="","",IF($AP688&lt;&gt;"",INDEX(Raw_D1!$H$2:$H$1001,$AP688),IF($AR688&lt;&gt;"",INDEX(Raw_D3!$H$2:$H$1001,$AR688),"")))</f>
        <v>1</v>
      </c>
      <c r="I688" s="5">
        <f>IF($A688="","",IF($AP688&lt;&gt;"",INDEX(Raw_D1!$I$2:$I$1001,$AP688),IF($AR688&lt;&gt;"",INDEX(Raw_D3!$I$2:$I$1001,$AR688),"")))</f>
        <v>2</v>
      </c>
      <c r="J688" s="16">
        <f>IF($A688="","",IF($AP688&lt;&gt;"",INDEX(Raw_D1!$J$2:$J$1001,$AP688),IF($AR688&lt;&gt;"",INDEX(Raw_D3!$J$2:$J$1001,$AR688),"")))</f>
        <v>0.16</v>
      </c>
      <c r="K688" s="17">
        <f>IF($A688="","",IF($AQ688&lt;&gt;"",IF(INDEX(Raw_D2!$C$2:$C$1001,$AQ688)="","",INDEX(Raw_D2!$C$2:$C$1001,$AQ688)),IF($AR688&lt;&gt;"",IF(INDEX(Raw_D3!$K$2:$K$1001,$AR688)="","",INDEX(Raw_D3!$K$2:$K$1001,$AR688)),"")))</f>
        <v>0.1818</v>
      </c>
      <c r="L688" s="16">
        <f>IF($A688="","",IF($AQ688&lt;&gt;"",IF(INDEX(Raw_D2!$D$2:$D$1001,$AQ688)="","",INDEX(Raw_D2!$D$2:$D$1001,$AQ688)),IF($AR688&lt;&gt;"",IF(INDEX(Raw_D3!$L$2:$L$1001,$AR688)="","",INDEX(Raw_D3!$L$2:$L$1001,$AR688)),"")))</f>
        <v>0.59</v>
      </c>
      <c r="M688" s="17">
        <f>IF($A688="","",IF($AQ688&lt;&gt;"",IF(INDEX(Raw_D2!$E$2:$E$1001,$AQ688)="","",INDEX(Raw_D2!$E$2:$E$1001,$AQ688)),IF($AR688&lt;&gt;"",IF(INDEX(Raw_D3!$M$2:$M$1001,$AR688)="","",INDEX(Raw_D3!$M$2:$M$1001,$AR688)),"")))</f>
        <v>0.1045</v>
      </c>
      <c r="N688" s="5">
        <f>IF($A688="","",IF($AQ688&lt;&gt;"",IF(INDEX(Raw_D2!$F$2:$F$1001,$AQ688)="","",INDEX(Raw_D2!$F$2:$F$1001,$AQ688)),IF($AR688&lt;&gt;"",IF(INDEX(Raw_D3!$N$2:$N$1001,$AR688)="","",INDEX(Raw_D3!$N$2:$N$1001,$AR688)),"")))</f>
        <v>0</v>
      </c>
      <c r="O688" s="5">
        <f>IF($A688="","",IF($AQ688&lt;&gt;"",IF(INDEX(Raw_D2!$G$2:$G$1001,$AQ688)="","",INDEX(Raw_D2!$G$2:$G$1001,$AQ688)),IF($AR688&lt;&gt;"",IF(INDEX(Raw_D3!$O$2:$O$1001,$AR688)="","",INDEX(Raw_D3!$O$2:$O$1001,$AR688)),"")))</f>
        <v>34</v>
      </c>
      <c r="P688" s="5">
        <f>IF($A688="","",IF($AQ688&lt;&gt;"",IF(INDEX(Raw_D2!$H$2:$H$1001,$AQ688)="","",INDEX(Raw_D2!$H$2:$H$1001,$AQ688)),IF($AR688&lt;&gt;"",IF(INDEX(Raw_D3!$P$2:$P$1001,$AR688)="","",INDEX(Raw_D3!$P$2:$P$1001,$AR688)),"")))</f>
        <v>34</v>
      </c>
      <c r="Q688" s="5" t="str">
        <f>IF($A688="","",IF(AND($AP688&lt;&gt;"",$AQ688&lt;&gt;""),"D1+D2",IF($AR688&lt;&gt;"","D3","Incomplete")))</f>
        <v>D3</v>
      </c>
      <c r="R688" s="17">
        <f>IF($A688="","",IF($K688="",IF($J688="","",ROUND(Lookups!$K$5+Lookups!$K$4*$J688,4)),$K688))</f>
        <v>0.1818</v>
      </c>
      <c r="S688" s="5" t="str">
        <f>IF($A688="","",IF($K688="","Imputed","Original"))</f>
        <v>Original</v>
      </c>
      <c r="T688" s="5" t="str">
        <f>IF($A688="","",IF($P688="","Missing",IF($P688=$N688+$O688,"OK","Mismatch")))</f>
        <v>OK</v>
      </c>
      <c r="U688" s="5" t="str">
        <f>IF($A688="","",IF(COUNTIF($A$2:$A688,$A688)&gt;1,"Duplicate","Unique"))</f>
        <v>Unique</v>
      </c>
      <c r="V688" s="5">
        <f>IF($A688="","",IF(AND($U688="Unique",ISNUMBER($P688)),1,0))</f>
        <v>1</v>
      </c>
      <c r="W688" s="5" t="str">
        <f>IF($A688="","",IF(OR($H688=0,$H688=6),"Weekend","Weekday"))</f>
        <v>Weekday</v>
      </c>
      <c r="X688" s="5" t="str">
        <f>IF($A688="","",TEXT($B688,"ddd"))</f>
        <v>Mon</v>
      </c>
      <c r="Y688" s="5" t="str">
        <f>IF($A688="","",TEXT($B688,"mmm"))</f>
        <v>Jan</v>
      </c>
      <c r="Z688" s="5" t="str">
        <f>IF($A688="","",IFERROR(VLOOKUP($C688,Lookups!$D$4:$E$7,2,FALSE),"Unknown"))</f>
        <v>Winter</v>
      </c>
      <c r="AA688" s="5" t="str">
        <f>IF($A688="","",IFERROR(VLOOKUP($I688,Lookups!$A$4:$B$7,2,FALSE),"Unknown"))</f>
        <v>Mist/Cloudy</v>
      </c>
      <c r="AB688" s="5" t="str">
        <f>IF($A688="","",TEXT($F688,"00")&amp;":00")</f>
        <v>22:00</v>
      </c>
      <c r="AC688" s="5" t="str">
        <f>IF($A688="","",VLOOKUP($F688,Lookups!$G$4:$H$8,2,TRUE))</f>
        <v>Late Evening (20-23)</v>
      </c>
      <c r="AD688" s="18">
        <f>IF($A688="","",IF($J688="","",ROUND($J688*41,1)))</f>
        <v>6.6</v>
      </c>
      <c r="AE688" s="18">
        <f>IF($A688="","",IF($R688="","",ROUND($R688*50,1)))</f>
        <v>9.1</v>
      </c>
      <c r="AF688" s="5">
        <f>IF($A688="","",IF($L688="","",ROUND($L688*100,0)))</f>
        <v>59</v>
      </c>
      <c r="AG688" s="18">
        <f>IF($A688="","",IF($M688="","",ROUND($M688*67,1)))</f>
        <v>7</v>
      </c>
      <c r="AH688" s="19">
        <f>IF($A688="","",IF($P688="","",IF($P688=0,0,$O688/$P688)))</f>
        <v>1</v>
      </c>
      <c r="AI688" s="5" t="str">
        <f>IF($A688="","",IF($P688="","",IF($P688&gt;=Lookups!$K$7,"High",IF($P688&lt;=Lookups!$K$8,"Low","Medium"))))</f>
        <v>Medium</v>
      </c>
      <c r="AJ688" s="5" t="str">
        <f>IF($A688="","",IF($AD688="","",IF($AD688&lt;5,"Under 5 C",IF($AD688&lt;10,"5-10 C",IF($AD688&lt;15,"10-15 C","15 C and above")))))</f>
        <v>5-10 C</v>
      </c>
      <c r="AK688" s="5">
        <f>IF($A688="","",IF($P688="","",$P688^2))</f>
        <v>1156</v>
      </c>
      <c r="AL688" s="18">
        <f>IF($V688&lt;&gt;1,"",AVERAGEIFS(Clean_Data!$P$2:$P$1001,Clean_Data!$F$2:$F$1001,$F688,Clean_Data!$W$2:$W$1001,$W688,Clean_Data!$V$2:$V$1001,1))</f>
        <v>37.1034482758621</v>
      </c>
      <c r="AM688" s="16">
        <f>IF($V688&lt;&gt;1,"",IFERROR(($P688-$AL688)/SQRT(MAX(0,(SUMIFS(Clean_Data!$AK$2:$AK$1001,Clean_Data!$F$2:$F$1001,$F688,Clean_Data!$W$2:$W$1001,$W688,Clean_Data!$V$2:$V$1001,1)-COUNTIFS(Clean_Data!$F$2:$F$1001,$F688,Clean_Data!$W$2:$W$1001,$W688,Clean_Data!$V$2:$V$1001,1)*$AL688^2)/(COUNTIFS(Clean_Data!$F$2:$F$1001,$F688,Clean_Data!$W$2:$W$1001,$W688,Clean_Data!$V$2:$V$1001,1)-1))),""))</f>
        <v>-0.287498540446314</v>
      </c>
      <c r="AN688" s="5" t="str">
        <f>IF($AM688="","",IF($AM688&gt;=Lookups!$K$6,"High spike",IF($AM688&lt;=-Lookups!$K$6,"Unusual low","Normal")))</f>
        <v>Normal</v>
      </c>
      <c r="AO688" s="20">
        <f>IF($V688&lt;&gt;1,"",$P688+ROW()/100000)</f>
        <v>34.00688</v>
      </c>
      <c r="AP688" s="5">
        <f>IF($A688="","",IFERROR(MATCH($A688,Raw_D1!$A$2:$A$1001,0),""))</f>
        <v/>
      </c>
      <c r="AQ688" s="5">
        <f>IF($A688="","",IFERROR(MATCH($A688,Raw_D2!$B$2:$B$1001,0),""))</f>
        <v/>
      </c>
      <c r="AR688" s="5">
        <f>IF($A688="","",IFERROR(MATCH($A688,Raw_D3!$A$2:$A$1001,0),""))</f>
        <v>68</v>
      </c>
    </row>
    <row r="689" spans="1:44" x14ac:dyDescent="0.25">
      <c r="A689" s="5">
        <v>688</v>
      </c>
      <c r="B689" s="11">
        <f>IF($A689="","",IF($AP689&lt;&gt;"",INDEX(Raw_D1!$B$2:$B$1001,$AP689),IF($AR689&lt;&gt;"",INDEX(Raw_D3!$B$2:$B$1001,$AR689),"")))</f>
        <v>40574.0</v>
      </c>
      <c r="C689" s="5">
        <f>IF($A689="","",IF($AP689&lt;&gt;"",INDEX(Raw_D1!$C$2:$C$1001,$AP689),IF($AR689&lt;&gt;"",INDEX(Raw_D3!$C$2:$C$1001,$AR689),"")))</f>
        <v>1</v>
      </c>
      <c r="D689" s="5">
        <f>IF($A689="","",IF($AP689&lt;&gt;"",INDEX(Raw_D1!$D$2:$D$1001,$AP689),IF($AR689&lt;&gt;"",INDEX(Raw_D3!$D$2:$D$1001,$AR689),"")))</f>
        <v>0</v>
      </c>
      <c r="E689" s="5">
        <f>IF($A689="","",IF($AP689&lt;&gt;"",INDEX(Raw_D1!$E$2:$E$1001,$AP689),IF($AR689&lt;&gt;"",INDEX(Raw_D3!$E$2:$E$1001,$AR689),"")))</f>
        <v>1</v>
      </c>
      <c r="F689" s="5">
        <f>IF($A689="","",IF($AP689&lt;&gt;"",INDEX(Raw_D1!$F$2:$F$1001,$AP689),IF($AR689&lt;&gt;"",INDEX(Raw_D3!$F$2:$F$1001,$AR689),"")))</f>
        <v>23</v>
      </c>
      <c r="G689" s="5">
        <f>IF($A689="","",IF($AP689&lt;&gt;"",IF(INDEX(Raw_D1!$G$2:$G$1001,$AP689),1,0),IF($AR689&lt;&gt;"",IF(INDEX(Raw_D3!$G$2:$G$1001,$AR689),1,0),"")))</f>
        <v>0</v>
      </c>
      <c r="H689" s="5">
        <f>IF($A689="","",IF($AP689&lt;&gt;"",INDEX(Raw_D1!$H$2:$H$1001,$AP689),IF($AR689&lt;&gt;"",INDEX(Raw_D3!$H$2:$H$1001,$AR689),"")))</f>
        <v>1</v>
      </c>
      <c r="I689" s="5">
        <f>IF($A689="","",IF($AP689&lt;&gt;"",INDEX(Raw_D1!$I$2:$I$1001,$AP689),IF($AR689&lt;&gt;"",INDEX(Raw_D3!$I$2:$I$1001,$AR689),"")))</f>
        <v>2</v>
      </c>
      <c r="J689" s="16">
        <f>IF($A689="","",IF($AP689&lt;&gt;"",INDEX(Raw_D1!$J$2:$J$1001,$AP689),IF($AR689&lt;&gt;"",INDEX(Raw_D3!$J$2:$J$1001,$AR689),"")))</f>
        <v>0.16</v>
      </c>
      <c r="K689" s="17">
        <f>IF($A689="","",IF($AQ689&lt;&gt;"",IF(INDEX(Raw_D2!$C$2:$C$1001,$AQ689)="","",INDEX(Raw_D2!$C$2:$C$1001,$AQ689)),IF($AR689&lt;&gt;"",IF(INDEX(Raw_D3!$K$2:$K$1001,$AR689)="","",INDEX(Raw_D3!$K$2:$K$1001,$AR689)),"")))</f>
        <v>0.197</v>
      </c>
      <c r="L689" s="16">
        <f>IF($A689="","",IF($AQ689&lt;&gt;"",IF(INDEX(Raw_D2!$D$2:$D$1001,$AQ689)="","",INDEX(Raw_D2!$D$2:$D$1001,$AQ689)),IF($AR689&lt;&gt;"",IF(INDEX(Raw_D3!$L$2:$L$1001,$AR689)="","",INDEX(Raw_D3!$L$2:$L$1001,$AR689)),"")))</f>
        <v>0.64</v>
      </c>
      <c r="M689" s="17">
        <f>IF($A689="","",IF($AQ689&lt;&gt;"",IF(INDEX(Raw_D2!$E$2:$E$1001,$AQ689)="","",INDEX(Raw_D2!$E$2:$E$1001,$AQ689)),IF($AR689&lt;&gt;"",IF(INDEX(Raw_D3!$M$2:$M$1001,$AR689)="","",INDEX(Raw_D3!$M$2:$M$1001,$AR689)),"")))</f>
        <v>0.0896</v>
      </c>
      <c r="N689" s="5">
        <f>IF($A689="","",IF($AQ689&lt;&gt;"",IF(INDEX(Raw_D2!$F$2:$F$1001,$AQ689)="","",INDEX(Raw_D2!$F$2:$F$1001,$AQ689)),IF($AR689&lt;&gt;"",IF(INDEX(Raw_D3!$N$2:$N$1001,$AR689)="","",INDEX(Raw_D3!$N$2:$N$1001,$AR689)),"")))</f>
        <v>2</v>
      </c>
      <c r="O689" s="5">
        <f>IF($A689="","",IF($AQ689&lt;&gt;"",IF(INDEX(Raw_D2!$G$2:$G$1001,$AQ689)="","",INDEX(Raw_D2!$G$2:$G$1001,$AQ689)),IF($AR689&lt;&gt;"",IF(INDEX(Raw_D3!$O$2:$O$1001,$AR689)="","",INDEX(Raw_D3!$O$2:$O$1001,$AR689)),"")))</f>
        <v>15</v>
      </c>
      <c r="P689" s="5">
        <f>IF($A689="","",IF($AQ689&lt;&gt;"",IF(INDEX(Raw_D2!$H$2:$H$1001,$AQ689)="","",INDEX(Raw_D2!$H$2:$H$1001,$AQ689)),IF($AR689&lt;&gt;"",IF(INDEX(Raw_D3!$P$2:$P$1001,$AR689)="","",INDEX(Raw_D3!$P$2:$P$1001,$AR689)),"")))</f>
        <v>17</v>
      </c>
      <c r="Q689" s="5" t="str">
        <f>IF($A689="","",IF(AND($AP689&lt;&gt;"",$AQ689&lt;&gt;""),"D1+D2",IF($AR689&lt;&gt;"","D3","Incomplete")))</f>
        <v>D3</v>
      </c>
      <c r="R689" s="17">
        <f>IF($A689="","",IF($K689="",IF($J689="","",ROUND(Lookups!$K$5+Lookups!$K$4*$J689,4)),$K689))</f>
        <v>0.197</v>
      </c>
      <c r="S689" s="5" t="str">
        <f>IF($A689="","",IF($K689="","Imputed","Original"))</f>
        <v>Original</v>
      </c>
      <c r="T689" s="5" t="str">
        <f>IF($A689="","",IF($P689="","Missing",IF($P689=$N689+$O689,"OK","Mismatch")))</f>
        <v>OK</v>
      </c>
      <c r="U689" s="5" t="str">
        <f>IF($A689="","",IF(COUNTIF($A$2:$A689,$A689)&gt;1,"Duplicate","Unique"))</f>
        <v>Unique</v>
      </c>
      <c r="V689" s="5">
        <f>IF($A689="","",IF(AND($U689="Unique",ISNUMBER($P689)),1,0))</f>
        <v>1</v>
      </c>
      <c r="W689" s="5" t="str">
        <f>IF($A689="","",IF(OR($H689=0,$H689=6),"Weekend","Weekday"))</f>
        <v>Weekday</v>
      </c>
      <c r="X689" s="5" t="str">
        <f>IF($A689="","",TEXT($B689,"ddd"))</f>
        <v>Mon</v>
      </c>
      <c r="Y689" s="5" t="str">
        <f>IF($A689="","",TEXT($B689,"mmm"))</f>
        <v>Jan</v>
      </c>
      <c r="Z689" s="5" t="str">
        <f>IF($A689="","",IFERROR(VLOOKUP($C689,Lookups!$D$4:$E$7,2,FALSE),"Unknown"))</f>
        <v>Winter</v>
      </c>
      <c r="AA689" s="5" t="str">
        <f>IF($A689="","",IFERROR(VLOOKUP($I689,Lookups!$A$4:$B$7,2,FALSE),"Unknown"))</f>
        <v>Mist/Cloudy</v>
      </c>
      <c r="AB689" s="5" t="str">
        <f>IF($A689="","",TEXT($F689,"00")&amp;":00")</f>
        <v>23:00</v>
      </c>
      <c r="AC689" s="5" t="str">
        <f>IF($A689="","",VLOOKUP($F689,Lookups!$G$4:$H$8,2,TRUE))</f>
        <v>Late Evening (20-23)</v>
      </c>
      <c r="AD689" s="18">
        <f>IF($A689="","",IF($J689="","",ROUND($J689*41,1)))</f>
        <v>6.6</v>
      </c>
      <c r="AE689" s="18">
        <f>IF($A689="","",IF($R689="","",ROUND($R689*50,1)))</f>
        <v>9.9</v>
      </c>
      <c r="AF689" s="5">
        <f>IF($A689="","",IF($L689="","",ROUND($L689*100,0)))</f>
        <v>64</v>
      </c>
      <c r="AG689" s="18">
        <f>IF($A689="","",IF($M689="","",ROUND($M689*67,1)))</f>
        <v>6</v>
      </c>
      <c r="AH689" s="19">
        <f>IF($A689="","",IF($P689="","",IF($P689=0,0,$O689/$P689)))</f>
        <v>0.882352941176471</v>
      </c>
      <c r="AI689" s="5" t="str">
        <f>IF($A689="","",IF($P689="","",IF($P689&gt;=Lookups!$K$7,"High",IF($P689&lt;=Lookups!$K$8,"Low","Medium"))))</f>
        <v>Medium</v>
      </c>
      <c r="AJ689" s="5" t="str">
        <f>IF($A689="","",IF($AD689="","",IF($AD689&lt;5,"Under 5 C",IF($AD689&lt;10,"5-10 C",IF($AD689&lt;15,"10-15 C","15 C and above")))))</f>
        <v>5-10 C</v>
      </c>
      <c r="AK689" s="5">
        <f>IF($A689="","",IF($P689="","",$P689^2))</f>
        <v>289</v>
      </c>
      <c r="AL689" s="18">
        <f>IF($V689&lt;&gt;1,"",AVERAGEIFS(Clean_Data!$P$2:$P$1001,Clean_Data!$F$2:$F$1001,$F689,Clean_Data!$W$2:$W$1001,$W689,Clean_Data!$V$2:$V$1001,1))</f>
        <v>23.6896551724138</v>
      </c>
      <c r="AM689" s="16">
        <f>IF($V689&lt;&gt;1,"",IFERROR(($P689-$AL689)/SQRT(MAX(0,(SUMIFS(Clean_Data!$AK$2:$AK$1001,Clean_Data!$F$2:$F$1001,$F689,Clean_Data!$W$2:$W$1001,$W689,Clean_Data!$V$2:$V$1001,1)-COUNTIFS(Clean_Data!$F$2:$F$1001,$F689,Clean_Data!$W$2:$W$1001,$W689,Clean_Data!$V$2:$V$1001,1)*$AL689^2)/(COUNTIFS(Clean_Data!$F$2:$F$1001,$F689,Clean_Data!$W$2:$W$1001,$W689,Clean_Data!$V$2:$V$1001,1)-1))),""))</f>
        <v>-0.638642061048025</v>
      </c>
      <c r="AN689" s="5" t="str">
        <f>IF($AM689="","",IF($AM689&gt;=Lookups!$K$6,"High spike",IF($AM689&lt;=-Lookups!$K$6,"Unusual low","Normal")))</f>
        <v>Normal</v>
      </c>
      <c r="AO689" s="20">
        <f>IF($V689&lt;&gt;1,"",$P689+ROW()/100000)</f>
        <v>17.00689</v>
      </c>
      <c r="AP689" s="5">
        <f>IF($A689="","",IFERROR(MATCH($A689,Raw_D1!$A$2:$A$1001,0),""))</f>
        <v/>
      </c>
      <c r="AQ689" s="5">
        <f>IF($A689="","",IFERROR(MATCH($A689,Raw_D2!$B$2:$B$1001,0),""))</f>
        <v/>
      </c>
      <c r="AR689" s="5">
        <f>IF($A689="","",IFERROR(MATCH($A689,Raw_D3!$A$2:$A$1001,0),""))</f>
        <v>69</v>
      </c>
    </row>
    <row r="690" spans="1:44" x14ac:dyDescent="0.25">
      <c r="A690" s="5">
        <v>689</v>
      </c>
      <c r="B690" s="11">
        <f>IF($A690="","",IF($AP690&lt;&gt;"",INDEX(Raw_D1!$B$2:$B$1001,$AP690),IF($AR690&lt;&gt;"",INDEX(Raw_D3!$B$2:$B$1001,$AR690),"")))</f>
        <v>40575.0</v>
      </c>
      <c r="C690" s="5">
        <f>IF($A690="","",IF($AP690&lt;&gt;"",INDEX(Raw_D1!$C$2:$C$1001,$AP690),IF($AR690&lt;&gt;"",INDEX(Raw_D3!$C$2:$C$1001,$AR690),"")))</f>
        <v>1</v>
      </c>
      <c r="D690" s="5">
        <f>IF($A690="","",IF($AP690&lt;&gt;"",INDEX(Raw_D1!$D$2:$D$1001,$AP690),IF($AR690&lt;&gt;"",INDEX(Raw_D3!$D$2:$D$1001,$AR690),"")))</f>
        <v>0</v>
      </c>
      <c r="E690" s="5">
        <f>IF($A690="","",IF($AP690&lt;&gt;"",INDEX(Raw_D1!$E$2:$E$1001,$AP690),IF($AR690&lt;&gt;"",INDEX(Raw_D3!$E$2:$E$1001,$AR690),"")))</f>
        <v>2</v>
      </c>
      <c r="F690" s="5">
        <f>IF($A690="","",IF($AP690&lt;&gt;"",INDEX(Raw_D1!$F$2:$F$1001,$AP690),IF($AR690&lt;&gt;"",INDEX(Raw_D3!$F$2:$F$1001,$AR690),"")))</f>
        <v>0</v>
      </c>
      <c r="G690" s="5">
        <f>IF($A690="","",IF($AP690&lt;&gt;"",IF(INDEX(Raw_D1!$G$2:$G$1001,$AP690),1,0),IF($AR690&lt;&gt;"",IF(INDEX(Raw_D3!$G$2:$G$1001,$AR690),1,0),"")))</f>
        <v>0</v>
      </c>
      <c r="H690" s="5">
        <f>IF($A690="","",IF($AP690&lt;&gt;"",INDEX(Raw_D1!$H$2:$H$1001,$AP690),IF($AR690&lt;&gt;"",INDEX(Raw_D3!$H$2:$H$1001,$AR690),"")))</f>
        <v>2</v>
      </c>
      <c r="I690" s="5">
        <f>IF($A690="","",IF($AP690&lt;&gt;"",INDEX(Raw_D1!$I$2:$I$1001,$AP690),IF($AR690&lt;&gt;"",INDEX(Raw_D3!$I$2:$I$1001,$AR690),"")))</f>
        <v>2</v>
      </c>
      <c r="J690" s="16">
        <f>IF($A690="","",IF($AP690&lt;&gt;"",INDEX(Raw_D1!$J$2:$J$1001,$AP690),IF($AR690&lt;&gt;"",INDEX(Raw_D3!$J$2:$J$1001,$AR690),"")))</f>
        <v>0.16</v>
      </c>
      <c r="K690" s="17">
        <f>IF($A690="","",IF($AQ690&lt;&gt;"",IF(INDEX(Raw_D2!$C$2:$C$1001,$AQ690)="","",INDEX(Raw_D2!$C$2:$C$1001,$AQ690)),IF($AR690&lt;&gt;"",IF(INDEX(Raw_D3!$K$2:$K$1001,$AR690)="","",INDEX(Raw_D3!$K$2:$K$1001,$AR690)),"")))</f>
        <v>0.1818</v>
      </c>
      <c r="L690" s="16">
        <f>IF($A690="","",IF($AQ690&lt;&gt;"",IF(INDEX(Raw_D2!$D$2:$D$1001,$AQ690)="","",INDEX(Raw_D2!$D$2:$D$1001,$AQ690)),IF($AR690&lt;&gt;"",IF(INDEX(Raw_D3!$L$2:$L$1001,$AR690)="","",INDEX(Raw_D3!$L$2:$L$1001,$AR690)),"")))</f>
        <v>0.64</v>
      </c>
      <c r="M690" s="17">
        <f>IF($A690="","",IF($AQ690&lt;&gt;"",IF(INDEX(Raw_D2!$E$2:$E$1001,$AQ690)="","",INDEX(Raw_D2!$E$2:$E$1001,$AQ690)),IF($AR690&lt;&gt;"",IF(INDEX(Raw_D3!$M$2:$M$1001,$AR690)="","",INDEX(Raw_D3!$M$2:$M$1001,$AR690)),"")))</f>
        <v>0.1045</v>
      </c>
      <c r="N690" s="5">
        <f>IF($A690="","",IF($AQ690&lt;&gt;"",IF(INDEX(Raw_D2!$F$2:$F$1001,$AQ690)="","",INDEX(Raw_D2!$F$2:$F$1001,$AQ690)),IF($AR690&lt;&gt;"",IF(INDEX(Raw_D3!$N$2:$N$1001,$AR690)="","",INDEX(Raw_D3!$N$2:$N$1001,$AR690)),"")))</f>
        <v>2</v>
      </c>
      <c r="O690" s="5">
        <f>IF($A690="","",IF($AQ690&lt;&gt;"",IF(INDEX(Raw_D2!$G$2:$G$1001,$AQ690)="","",INDEX(Raw_D2!$G$2:$G$1001,$AQ690)),IF($AR690&lt;&gt;"",IF(INDEX(Raw_D3!$O$2:$O$1001,$AR690)="","",INDEX(Raw_D3!$O$2:$O$1001,$AR690)),"")))</f>
        <v>6</v>
      </c>
      <c r="P690" s="5">
        <f>IF($A690="","",IF($AQ690&lt;&gt;"",IF(INDEX(Raw_D2!$H$2:$H$1001,$AQ690)="","",INDEX(Raw_D2!$H$2:$H$1001,$AQ690)),IF($AR690&lt;&gt;"",IF(INDEX(Raw_D3!$P$2:$P$1001,$AR690)="","",INDEX(Raw_D3!$P$2:$P$1001,$AR690)),"")))</f>
        <v>8</v>
      </c>
      <c r="Q690" s="5" t="str">
        <f>IF($A690="","",IF(AND($AP690&lt;&gt;"",$AQ690&lt;&gt;""),"D1+D2",IF($AR690&lt;&gt;"","D3","Incomplete")))</f>
        <v>D3</v>
      </c>
      <c r="R690" s="17">
        <f>IF($A690="","",IF($K690="",IF($J690="","",ROUND(Lookups!$K$5+Lookups!$K$4*$J690,4)),$K690))</f>
        <v>0.1818</v>
      </c>
      <c r="S690" s="5" t="str">
        <f>IF($A690="","",IF($K690="","Imputed","Original"))</f>
        <v>Original</v>
      </c>
      <c r="T690" s="5" t="str">
        <f>IF($A690="","",IF($P690="","Missing",IF($P690=$N690+$O690,"OK","Mismatch")))</f>
        <v>OK</v>
      </c>
      <c r="U690" s="5" t="str">
        <f>IF($A690="","",IF(COUNTIF($A$2:$A690,$A690)&gt;1,"Duplicate","Unique"))</f>
        <v>Unique</v>
      </c>
      <c r="V690" s="5">
        <f>IF($A690="","",IF(AND($U690="Unique",ISNUMBER($P690)),1,0))</f>
        <v>1</v>
      </c>
      <c r="W690" s="5" t="str">
        <f>IF($A690="","",IF(OR($H690=0,$H690=6),"Weekend","Weekday"))</f>
        <v>Weekday</v>
      </c>
      <c r="X690" s="5" t="str">
        <f>IF($A690="","",TEXT($B690,"ddd"))</f>
        <v>Tue</v>
      </c>
      <c r="Y690" s="5" t="str">
        <f>IF($A690="","",TEXT($B690,"mmm"))</f>
        <v>Feb</v>
      </c>
      <c r="Z690" s="5" t="str">
        <f>IF($A690="","",IFERROR(VLOOKUP($C690,Lookups!$D$4:$E$7,2,FALSE),"Unknown"))</f>
        <v>Winter</v>
      </c>
      <c r="AA690" s="5" t="str">
        <f>IF($A690="","",IFERROR(VLOOKUP($I690,Lookups!$A$4:$B$7,2,FALSE),"Unknown"))</f>
        <v>Mist/Cloudy</v>
      </c>
      <c r="AB690" s="5" t="str">
        <f>IF($A690="","",TEXT($F690,"00")&amp;":00")</f>
        <v>00:00</v>
      </c>
      <c r="AC690" s="5" t="str">
        <f>IF($A690="","",VLOOKUP($F690,Lookups!$G$4:$H$8,2,TRUE))</f>
        <v>Night (00-05)</v>
      </c>
      <c r="AD690" s="18">
        <f>IF($A690="","",IF($J690="","",ROUND($J690*41,1)))</f>
        <v>6.6</v>
      </c>
      <c r="AE690" s="18">
        <f>IF($A690="","",IF($R690="","",ROUND($R690*50,1)))</f>
        <v>9.1</v>
      </c>
      <c r="AF690" s="5">
        <f>IF($A690="","",IF($L690="","",ROUND($L690*100,0)))</f>
        <v>64</v>
      </c>
      <c r="AG690" s="18">
        <f>IF($A690="","",IF($M690="","",ROUND($M690*67,1)))</f>
        <v>7</v>
      </c>
      <c r="AH690" s="19">
        <f>IF($A690="","",IF($P690="","",IF($P690=0,0,$O690/$P690)))</f>
        <v>0.75</v>
      </c>
      <c r="AI690" s="5" t="str">
        <f>IF($A690="","",IF($P690="","",IF($P690&gt;=Lookups!$K$7,"High",IF($P690&lt;=Lookups!$K$8,"Low","Medium"))))</f>
        <v>Low</v>
      </c>
      <c r="AJ690" s="5" t="str">
        <f>IF($A690="","",IF($AD690="","",IF($AD690&lt;5,"Under 5 C",IF($AD690&lt;10,"5-10 C",IF($AD690&lt;15,"10-15 C","15 C and above")))))</f>
        <v>5-10 C</v>
      </c>
      <c r="AK690" s="5">
        <f>IF($A690="","",IF($P690="","",$P690^2))</f>
        <v>64</v>
      </c>
      <c r="AL690" s="18">
        <f>IF($V690&lt;&gt;1,"",AVERAGEIFS(Clean_Data!$P$2:$P$1001,Clean_Data!$F$2:$F$1001,$F690,Clean_Data!$W$2:$W$1001,$W690,Clean_Data!$V$2:$V$1001,1))</f>
        <v>10.6896551724138</v>
      </c>
      <c r="AM690" s="16">
        <f>IF($V690&lt;&gt;1,"",IFERROR(($P690-$AL690)/SQRT(MAX(0,(SUMIFS(Clean_Data!$AK$2:$AK$1001,Clean_Data!$F$2:$F$1001,$F690,Clean_Data!$W$2:$W$1001,$W690,Clean_Data!$V$2:$V$1001,1)-COUNTIFS(Clean_Data!$F$2:$F$1001,$F690,Clean_Data!$W$2:$W$1001,$W690,Clean_Data!$V$2:$V$1001,1)*$AL690^2)/(COUNTIFS(Clean_Data!$F$2:$F$1001,$F690,Clean_Data!$W$2:$W$1001,$W690,Clean_Data!$V$2:$V$1001,1)-1))),""))</f>
        <v>-0.549757514346793</v>
      </c>
      <c r="AN690" s="5" t="str">
        <f>IF($AM690="","",IF($AM690&gt;=Lookups!$K$6,"High spike",IF($AM690&lt;=-Lookups!$K$6,"Unusual low","Normal")))</f>
        <v>Normal</v>
      </c>
      <c r="AO690" s="20">
        <f>IF($V690&lt;&gt;1,"",$P690+ROW()/100000)</f>
        <v>8.0069</v>
      </c>
      <c r="AP690" s="5">
        <f>IF($A690="","",IFERROR(MATCH($A690,Raw_D1!$A$2:$A$1001,0),""))</f>
        <v/>
      </c>
      <c r="AQ690" s="5">
        <f>IF($A690="","",IFERROR(MATCH($A690,Raw_D2!$B$2:$B$1001,0),""))</f>
        <v/>
      </c>
      <c r="AR690" s="5">
        <f>IF($A690="","",IFERROR(MATCH($A690,Raw_D3!$A$2:$A$1001,0),""))</f>
        <v>70</v>
      </c>
    </row>
    <row r="691" spans="1:44" x14ac:dyDescent="0.25">
      <c r="A691" s="5">
        <v>690</v>
      </c>
      <c r="B691" s="11">
        <f>IF($A691="","",IF($AP691&lt;&gt;"",INDEX(Raw_D1!$B$2:$B$1001,$AP691),IF($AR691&lt;&gt;"",INDEX(Raw_D3!$B$2:$B$1001,$AR691),"")))</f>
        <v>40575.0</v>
      </c>
      <c r="C691" s="5">
        <f>IF($A691="","",IF($AP691&lt;&gt;"",INDEX(Raw_D1!$C$2:$C$1001,$AP691),IF($AR691&lt;&gt;"",INDEX(Raw_D3!$C$2:$C$1001,$AR691),"")))</f>
        <v>1</v>
      </c>
      <c r="D691" s="5">
        <f>IF($A691="","",IF($AP691&lt;&gt;"",INDEX(Raw_D1!$D$2:$D$1001,$AP691),IF($AR691&lt;&gt;"",INDEX(Raw_D3!$D$2:$D$1001,$AR691),"")))</f>
        <v>0</v>
      </c>
      <c r="E691" s="5">
        <f>IF($A691="","",IF($AP691&lt;&gt;"",INDEX(Raw_D1!$E$2:$E$1001,$AP691),IF($AR691&lt;&gt;"",INDEX(Raw_D3!$E$2:$E$1001,$AR691),"")))</f>
        <v>2</v>
      </c>
      <c r="F691" s="5">
        <f>IF($A691="","",IF($AP691&lt;&gt;"",INDEX(Raw_D1!$F$2:$F$1001,$AP691),IF($AR691&lt;&gt;"",INDEX(Raw_D3!$F$2:$F$1001,$AR691),"")))</f>
        <v>1</v>
      </c>
      <c r="G691" s="5">
        <f>IF($A691="","",IF($AP691&lt;&gt;"",IF(INDEX(Raw_D1!$G$2:$G$1001,$AP691),1,0),IF($AR691&lt;&gt;"",IF(INDEX(Raw_D3!$G$2:$G$1001,$AR691),1,0),"")))</f>
        <v>0</v>
      </c>
      <c r="H691" s="5">
        <f>IF($A691="","",IF($AP691&lt;&gt;"",INDEX(Raw_D1!$H$2:$H$1001,$AP691),IF($AR691&lt;&gt;"",INDEX(Raw_D3!$H$2:$H$1001,$AR691),"")))</f>
        <v>2</v>
      </c>
      <c r="I691" s="5">
        <f>IF($A691="","",IF($AP691&lt;&gt;"",INDEX(Raw_D1!$I$2:$I$1001,$AP691),IF($AR691&lt;&gt;"",INDEX(Raw_D3!$I$2:$I$1001,$AR691),"")))</f>
        <v>2</v>
      </c>
      <c r="J691" s="16">
        <f>IF($A691="","",IF($AP691&lt;&gt;"",INDEX(Raw_D1!$J$2:$J$1001,$AP691),IF($AR691&lt;&gt;"",INDEX(Raw_D3!$J$2:$J$1001,$AR691),"")))</f>
        <v>0.16</v>
      </c>
      <c r="K691" s="17">
        <f>IF($A691="","",IF($AQ691&lt;&gt;"",IF(INDEX(Raw_D2!$C$2:$C$1001,$AQ691)="","",INDEX(Raw_D2!$C$2:$C$1001,$AQ691)),IF($AR691&lt;&gt;"",IF(INDEX(Raw_D3!$K$2:$K$1001,$AR691)="","",INDEX(Raw_D3!$K$2:$K$1001,$AR691)),"")))</f>
        <v>0.1818</v>
      </c>
      <c r="L691" s="16">
        <f>IF($A691="","",IF($AQ691&lt;&gt;"",IF(INDEX(Raw_D2!$D$2:$D$1001,$AQ691)="","",INDEX(Raw_D2!$D$2:$D$1001,$AQ691)),IF($AR691&lt;&gt;"",IF(INDEX(Raw_D3!$L$2:$L$1001,$AR691)="","",INDEX(Raw_D3!$L$2:$L$1001,$AR691)),"")))</f>
        <v>0.69</v>
      </c>
      <c r="M691" s="17">
        <f>IF($A691="","",IF($AQ691&lt;&gt;"",IF(INDEX(Raw_D2!$E$2:$E$1001,$AQ691)="","",INDEX(Raw_D2!$E$2:$E$1001,$AQ691)),IF($AR691&lt;&gt;"",IF(INDEX(Raw_D3!$M$2:$M$1001,$AR691)="","",INDEX(Raw_D3!$M$2:$M$1001,$AR691)),"")))</f>
        <v>0.1045</v>
      </c>
      <c r="N691" s="5">
        <f>IF($A691="","",IF($AQ691&lt;&gt;"",IF(INDEX(Raw_D2!$F$2:$F$1001,$AQ691)="","",INDEX(Raw_D2!$F$2:$F$1001,$AQ691)),IF($AR691&lt;&gt;"",IF(INDEX(Raw_D3!$N$2:$N$1001,$AR691)="","",INDEX(Raw_D3!$N$2:$N$1001,$AR691)),"")))</f>
        <v>0</v>
      </c>
      <c r="O691" s="5">
        <f>IF($A691="","",IF($AQ691&lt;&gt;"",IF(INDEX(Raw_D2!$G$2:$G$1001,$AQ691)="","",INDEX(Raw_D2!$G$2:$G$1001,$AQ691)),IF($AR691&lt;&gt;"",IF(INDEX(Raw_D3!$O$2:$O$1001,$AR691)="","",INDEX(Raw_D3!$O$2:$O$1001,$AR691)),"")))</f>
        <v>3</v>
      </c>
      <c r="P691" s="5">
        <f>IF($A691="","",IF($AQ691&lt;&gt;"",IF(INDEX(Raw_D2!$H$2:$H$1001,$AQ691)="","",INDEX(Raw_D2!$H$2:$H$1001,$AQ691)),IF($AR691&lt;&gt;"",IF(INDEX(Raw_D3!$P$2:$P$1001,$AR691)="","",INDEX(Raw_D3!$P$2:$P$1001,$AR691)),"")))</f>
        <v>3</v>
      </c>
      <c r="Q691" s="5" t="str">
        <f>IF($A691="","",IF(AND($AP691&lt;&gt;"",$AQ691&lt;&gt;""),"D1+D2",IF($AR691&lt;&gt;"","D3","Incomplete")))</f>
        <v>D3</v>
      </c>
      <c r="R691" s="17">
        <f>IF($A691="","",IF($K691="",IF($J691="","",ROUND(Lookups!$K$5+Lookups!$K$4*$J691,4)),$K691))</f>
        <v>0.1818</v>
      </c>
      <c r="S691" s="5" t="str">
        <f>IF($A691="","",IF($K691="","Imputed","Original"))</f>
        <v>Original</v>
      </c>
      <c r="T691" s="5" t="str">
        <f>IF($A691="","",IF($P691="","Missing",IF($P691=$N691+$O691,"OK","Mismatch")))</f>
        <v>OK</v>
      </c>
      <c r="U691" s="5" t="str">
        <f>IF($A691="","",IF(COUNTIF($A$2:$A691,$A691)&gt;1,"Duplicate","Unique"))</f>
        <v>Unique</v>
      </c>
      <c r="V691" s="5">
        <f>IF($A691="","",IF(AND($U691="Unique",ISNUMBER($P691)),1,0))</f>
        <v>1</v>
      </c>
      <c r="W691" s="5" t="str">
        <f>IF($A691="","",IF(OR($H691=0,$H691=6),"Weekend","Weekday"))</f>
        <v>Weekday</v>
      </c>
      <c r="X691" s="5" t="str">
        <f>IF($A691="","",TEXT($B691,"ddd"))</f>
        <v>Tue</v>
      </c>
      <c r="Y691" s="5" t="str">
        <f>IF($A691="","",TEXT($B691,"mmm"))</f>
        <v>Feb</v>
      </c>
      <c r="Z691" s="5" t="str">
        <f>IF($A691="","",IFERROR(VLOOKUP($C691,Lookups!$D$4:$E$7,2,FALSE),"Unknown"))</f>
        <v>Winter</v>
      </c>
      <c r="AA691" s="5" t="str">
        <f>IF($A691="","",IFERROR(VLOOKUP($I691,Lookups!$A$4:$B$7,2,FALSE),"Unknown"))</f>
        <v>Mist/Cloudy</v>
      </c>
      <c r="AB691" s="5" t="str">
        <f>IF($A691="","",TEXT($F691,"00")&amp;":00")</f>
        <v>01:00</v>
      </c>
      <c r="AC691" s="5" t="str">
        <f>IF($A691="","",VLOOKUP($F691,Lookups!$G$4:$H$8,2,TRUE))</f>
        <v>Night (00-05)</v>
      </c>
      <c r="AD691" s="18">
        <f>IF($A691="","",IF($J691="","",ROUND($J691*41,1)))</f>
        <v>6.6</v>
      </c>
      <c r="AE691" s="18">
        <f>IF($A691="","",IF($R691="","",ROUND($R691*50,1)))</f>
        <v>9.1</v>
      </c>
      <c r="AF691" s="5">
        <f>IF($A691="","",IF($L691="","",ROUND($L691*100,0)))</f>
        <v>69</v>
      </c>
      <c r="AG691" s="18">
        <f>IF($A691="","",IF($M691="","",ROUND($M691*67,1)))</f>
        <v>7</v>
      </c>
      <c r="AH691" s="19">
        <f>IF($A691="","",IF($P691="","",IF($P691=0,0,$O691/$P691)))</f>
        <v>1</v>
      </c>
      <c r="AI691" s="5" t="str">
        <f>IF($A691="","",IF($P691="","",IF($P691&gt;=Lookups!$K$7,"High",IF($P691&lt;=Lookups!$K$8,"Low","Medium"))))</f>
        <v>Low</v>
      </c>
      <c r="AJ691" s="5" t="str">
        <f>IF($A691="","",IF($AD691="","",IF($AD691&lt;5,"Under 5 C",IF($AD691&lt;10,"5-10 C",IF($AD691&lt;15,"10-15 C","15 C and above")))))</f>
        <v>5-10 C</v>
      </c>
      <c r="AK691" s="5">
        <f>IF($A691="","",IF($P691="","",$P691^2))</f>
        <v>9</v>
      </c>
      <c r="AL691" s="18">
        <f>IF($V691&lt;&gt;1,"",AVERAGEIFS(Clean_Data!$P$2:$P$1001,Clean_Data!$F$2:$F$1001,$F691,Clean_Data!$W$2:$W$1001,$W691,Clean_Data!$V$2:$V$1001,1))</f>
        <v>5.10344827586207</v>
      </c>
      <c r="AM691" s="16">
        <f>IF($V691&lt;&gt;1,"",IFERROR(($P691-$AL691)/SQRT(MAX(0,(SUMIFS(Clean_Data!$AK$2:$AK$1001,Clean_Data!$F$2:$F$1001,$F691,Clean_Data!$W$2:$W$1001,$W691,Clean_Data!$V$2:$V$1001,1)-COUNTIFS(Clean_Data!$F$2:$F$1001,$F691,Clean_Data!$W$2:$W$1001,$W691,Clean_Data!$V$2:$V$1001,1)*$AL691^2)/(COUNTIFS(Clean_Data!$F$2:$F$1001,$F691,Clean_Data!$W$2:$W$1001,$W691,Clean_Data!$V$2:$V$1001,1)-1))),""))</f>
        <v>-0.729662983728796</v>
      </c>
      <c r="AN691" s="5" t="str">
        <f>IF($AM691="","",IF($AM691&gt;=Lookups!$K$6,"High spike",IF($AM691&lt;=-Lookups!$K$6,"Unusual low","Normal")))</f>
        <v>Normal</v>
      </c>
      <c r="AO691" s="20">
        <f>IF($V691&lt;&gt;1,"",$P691+ROW()/100000)</f>
        <v>3.00691</v>
      </c>
      <c r="AP691" s="5">
        <f>IF($A691="","",IFERROR(MATCH($A691,Raw_D1!$A$2:$A$1001,0),""))</f>
        <v/>
      </c>
      <c r="AQ691" s="5">
        <f>IF($A691="","",IFERROR(MATCH($A691,Raw_D2!$B$2:$B$1001,0),""))</f>
        <v/>
      </c>
      <c r="AR691" s="5">
        <f>IF($A691="","",IFERROR(MATCH($A691,Raw_D3!$A$2:$A$1001,0),""))</f>
        <v>71</v>
      </c>
    </row>
    <row r="692" spans="1:44" x14ac:dyDescent="0.25">
      <c r="A692" s="5">
        <v>691</v>
      </c>
      <c r="B692" s="11">
        <f>IF($A692="","",IF($AP692&lt;&gt;"",INDEX(Raw_D1!$B$2:$B$1001,$AP692),IF($AR692&lt;&gt;"",INDEX(Raw_D3!$B$2:$B$1001,$AR692),"")))</f>
        <v>40575.0</v>
      </c>
      <c r="C692" s="5">
        <f>IF($A692="","",IF($AP692&lt;&gt;"",INDEX(Raw_D1!$C$2:$C$1001,$AP692),IF($AR692&lt;&gt;"",INDEX(Raw_D3!$C$2:$C$1001,$AR692),"")))</f>
        <v>1</v>
      </c>
      <c r="D692" s="5">
        <f>IF($A692="","",IF($AP692&lt;&gt;"",INDEX(Raw_D1!$D$2:$D$1001,$AP692),IF($AR692&lt;&gt;"",INDEX(Raw_D3!$D$2:$D$1001,$AR692),"")))</f>
        <v>0</v>
      </c>
      <c r="E692" s="5">
        <f>IF($A692="","",IF($AP692&lt;&gt;"",INDEX(Raw_D1!$E$2:$E$1001,$AP692),IF($AR692&lt;&gt;"",INDEX(Raw_D3!$E$2:$E$1001,$AR692),"")))</f>
        <v>2</v>
      </c>
      <c r="F692" s="5">
        <f>IF($A692="","",IF($AP692&lt;&gt;"",INDEX(Raw_D1!$F$2:$F$1001,$AP692),IF($AR692&lt;&gt;"",INDEX(Raw_D3!$F$2:$F$1001,$AR692),"")))</f>
        <v>2</v>
      </c>
      <c r="G692" s="5">
        <f>IF($A692="","",IF($AP692&lt;&gt;"",IF(INDEX(Raw_D1!$G$2:$G$1001,$AP692),1,0),IF($AR692&lt;&gt;"",IF(INDEX(Raw_D3!$G$2:$G$1001,$AR692),1,0),"")))</f>
        <v>0</v>
      </c>
      <c r="H692" s="5">
        <f>IF($A692="","",IF($AP692&lt;&gt;"",INDEX(Raw_D1!$H$2:$H$1001,$AP692),IF($AR692&lt;&gt;"",INDEX(Raw_D3!$H$2:$H$1001,$AR692),"")))</f>
        <v>2</v>
      </c>
      <c r="I692" s="5">
        <f>IF($A692="","",IF($AP692&lt;&gt;"",INDEX(Raw_D1!$I$2:$I$1001,$AP692),IF($AR692&lt;&gt;"",INDEX(Raw_D3!$I$2:$I$1001,$AR692),"")))</f>
        <v>2</v>
      </c>
      <c r="J692" s="16">
        <f>IF($A692="","",IF($AP692&lt;&gt;"",INDEX(Raw_D1!$J$2:$J$1001,$AP692),IF($AR692&lt;&gt;"",INDEX(Raw_D3!$J$2:$J$1001,$AR692),"")))</f>
        <v>0.16</v>
      </c>
      <c r="K692" s="17">
        <f>IF($A692="","",IF($AQ692&lt;&gt;"",IF(INDEX(Raw_D2!$C$2:$C$1001,$AQ692)="","",INDEX(Raw_D2!$C$2:$C$1001,$AQ692)),IF($AR692&lt;&gt;"",IF(INDEX(Raw_D3!$K$2:$K$1001,$AR692)="","",INDEX(Raw_D3!$K$2:$K$1001,$AR692)),"")))</f>
        <v>0.2273</v>
      </c>
      <c r="L692" s="16">
        <f>IF($A692="","",IF($AQ692&lt;&gt;"",IF(INDEX(Raw_D2!$D$2:$D$1001,$AQ692)="","",INDEX(Raw_D2!$D$2:$D$1001,$AQ692)),IF($AR692&lt;&gt;"",IF(INDEX(Raw_D3!$L$2:$L$1001,$AR692)="","",INDEX(Raw_D3!$L$2:$L$1001,$AR692)),"")))</f>
        <v>0.69</v>
      </c>
      <c r="M692" s="17">
        <f>IF($A692="","",IF($AQ692&lt;&gt;"",IF(INDEX(Raw_D2!$E$2:$E$1001,$AQ692)="","",INDEX(Raw_D2!$E$2:$E$1001,$AQ692)),IF($AR692&lt;&gt;"",IF(INDEX(Raw_D3!$M$2:$M$1001,$AR692)="","",INDEX(Raw_D3!$M$2:$M$1001,$AR692)),"")))</f>
        <v>0</v>
      </c>
      <c r="N692" s="5">
        <f>IF($A692="","",IF($AQ692&lt;&gt;"",IF(INDEX(Raw_D2!$F$2:$F$1001,$AQ692)="","",INDEX(Raw_D2!$F$2:$F$1001,$AQ692)),IF($AR692&lt;&gt;"",IF(INDEX(Raw_D3!$N$2:$N$1001,$AR692)="","",INDEX(Raw_D3!$N$2:$N$1001,$AR692)),"")))</f>
        <v>0</v>
      </c>
      <c r="O692" s="5">
        <f>IF($A692="","",IF($AQ692&lt;&gt;"",IF(INDEX(Raw_D2!$G$2:$G$1001,$AQ692)="","",INDEX(Raw_D2!$G$2:$G$1001,$AQ692)),IF($AR692&lt;&gt;"",IF(INDEX(Raw_D3!$O$2:$O$1001,$AR692)="","",INDEX(Raw_D3!$O$2:$O$1001,$AR692)),"")))</f>
        <v>2</v>
      </c>
      <c r="P692" s="5">
        <f>IF($A692="","",IF($AQ692&lt;&gt;"",IF(INDEX(Raw_D2!$H$2:$H$1001,$AQ692)="","",INDEX(Raw_D2!$H$2:$H$1001,$AQ692)),IF($AR692&lt;&gt;"",IF(INDEX(Raw_D3!$P$2:$P$1001,$AR692)="","",INDEX(Raw_D3!$P$2:$P$1001,$AR692)),"")))</f>
        <v>2</v>
      </c>
      <c r="Q692" s="5" t="str">
        <f>IF($A692="","",IF(AND($AP692&lt;&gt;"",$AQ692&lt;&gt;""),"D1+D2",IF($AR692&lt;&gt;"","D3","Incomplete")))</f>
        <v>D3</v>
      </c>
      <c r="R692" s="17">
        <f>IF($A692="","",IF($K692="",IF($J692="","",ROUND(Lookups!$K$5+Lookups!$K$4*$J692,4)),$K692))</f>
        <v>0.2273</v>
      </c>
      <c r="S692" s="5" t="str">
        <f>IF($A692="","",IF($K692="","Imputed","Original"))</f>
        <v>Original</v>
      </c>
      <c r="T692" s="5" t="str">
        <f>IF($A692="","",IF($P692="","Missing",IF($P692=$N692+$O692,"OK","Mismatch")))</f>
        <v>OK</v>
      </c>
      <c r="U692" s="5" t="str">
        <f>IF($A692="","",IF(COUNTIF($A$2:$A692,$A692)&gt;1,"Duplicate","Unique"))</f>
        <v>Unique</v>
      </c>
      <c r="V692" s="5">
        <f>IF($A692="","",IF(AND($U692="Unique",ISNUMBER($P692)),1,0))</f>
        <v>1</v>
      </c>
      <c r="W692" s="5" t="str">
        <f>IF($A692="","",IF(OR($H692=0,$H692=6),"Weekend","Weekday"))</f>
        <v>Weekday</v>
      </c>
      <c r="X692" s="5" t="str">
        <f>IF($A692="","",TEXT($B692,"ddd"))</f>
        <v>Tue</v>
      </c>
      <c r="Y692" s="5" t="str">
        <f>IF($A692="","",TEXT($B692,"mmm"))</f>
        <v>Feb</v>
      </c>
      <c r="Z692" s="5" t="str">
        <f>IF($A692="","",IFERROR(VLOOKUP($C692,Lookups!$D$4:$E$7,2,FALSE),"Unknown"))</f>
        <v>Winter</v>
      </c>
      <c r="AA692" s="5" t="str">
        <f>IF($A692="","",IFERROR(VLOOKUP($I692,Lookups!$A$4:$B$7,2,FALSE),"Unknown"))</f>
        <v>Mist/Cloudy</v>
      </c>
      <c r="AB692" s="5" t="str">
        <f>IF($A692="","",TEXT($F692,"00")&amp;":00")</f>
        <v>02:00</v>
      </c>
      <c r="AC692" s="5" t="str">
        <f>IF($A692="","",VLOOKUP($F692,Lookups!$G$4:$H$8,2,TRUE))</f>
        <v>Night (00-05)</v>
      </c>
      <c r="AD692" s="18">
        <f>IF($A692="","",IF($J692="","",ROUND($J692*41,1)))</f>
        <v>6.6</v>
      </c>
      <c r="AE692" s="18">
        <f>IF($A692="","",IF($R692="","",ROUND($R692*50,1)))</f>
        <v>11.4</v>
      </c>
      <c r="AF692" s="5">
        <f>IF($A692="","",IF($L692="","",ROUND($L692*100,0)))</f>
        <v>69</v>
      </c>
      <c r="AG692" s="18">
        <f>IF($A692="","",IF($M692="","",ROUND($M692*67,1)))</f>
        <v>0</v>
      </c>
      <c r="AH692" s="19">
        <f>IF($A692="","",IF($P692="","",IF($P692=0,0,$O692/$P692)))</f>
        <v>1</v>
      </c>
      <c r="AI692" s="5" t="str">
        <f>IF($A692="","",IF($P692="","",IF($P692&gt;=Lookups!$K$7,"High",IF($P692&lt;=Lookups!$K$8,"Low","Medium"))))</f>
        <v>Low</v>
      </c>
      <c r="AJ692" s="5" t="str">
        <f>IF($A692="","",IF($AD692="","",IF($AD692&lt;5,"Under 5 C",IF($AD692&lt;10,"5-10 C",IF($AD692&lt;15,"10-15 C","15 C and above")))))</f>
        <v>5-10 C</v>
      </c>
      <c r="AK692" s="5">
        <f>IF($A692="","",IF($P692="","",$P692^2))</f>
        <v>4</v>
      </c>
      <c r="AL692" s="18">
        <f>IF($V692&lt;&gt;1,"",AVERAGEIFS(Clean_Data!$P$2:$P$1001,Clean_Data!$F$2:$F$1001,$F692,Clean_Data!$W$2:$W$1001,$W692,Clean_Data!$V$2:$V$1001,1))</f>
        <v>2.62962962962963</v>
      </c>
      <c r="AM692" s="16">
        <f>IF($V692&lt;&gt;1,"",IFERROR(($P692-$AL692)/SQRT(MAX(0,(SUMIFS(Clean_Data!$AK$2:$AK$1001,Clean_Data!$F$2:$F$1001,$F692,Clean_Data!$W$2:$W$1001,$W692,Clean_Data!$V$2:$V$1001,1)-COUNTIFS(Clean_Data!$F$2:$F$1001,$F692,Clean_Data!$W$2:$W$1001,$W692,Clean_Data!$V$2:$V$1001,1)*$AL692^2)/(COUNTIFS(Clean_Data!$F$2:$F$1001,$F692,Clean_Data!$W$2:$W$1001,$W692,Clean_Data!$V$2:$V$1001,1)-1))),""))</f>
        <v>-0.311395810225326</v>
      </c>
      <c r="AN692" s="5" t="str">
        <f>IF($AM692="","",IF($AM692&gt;=Lookups!$K$6,"High spike",IF($AM692&lt;=-Lookups!$K$6,"Unusual low","Normal")))</f>
        <v>Normal</v>
      </c>
      <c r="AO692" s="20">
        <f>IF($V692&lt;&gt;1,"",$P692+ROW()/100000)</f>
        <v>2.00692</v>
      </c>
      <c r="AP692" s="5">
        <f>IF($A692="","",IFERROR(MATCH($A692,Raw_D1!$A$2:$A$1001,0),""))</f>
        <v/>
      </c>
      <c r="AQ692" s="5">
        <f>IF($A692="","",IFERROR(MATCH($A692,Raw_D2!$B$2:$B$1001,0),""))</f>
        <v/>
      </c>
      <c r="AR692" s="5">
        <f>IF($A692="","",IFERROR(MATCH($A692,Raw_D3!$A$2:$A$1001,0),""))</f>
        <v>72</v>
      </c>
    </row>
    <row r="693" spans="1:44" x14ac:dyDescent="0.25">
      <c r="A693" s="5">
        <v>692</v>
      </c>
      <c r="B693" s="11">
        <f>IF($A693="","",IF($AP693&lt;&gt;"",INDEX(Raw_D1!$B$2:$B$1001,$AP693),IF($AR693&lt;&gt;"",INDEX(Raw_D3!$B$2:$B$1001,$AR693),"")))</f>
        <v>40575.0</v>
      </c>
      <c r="C693" s="5">
        <f>IF($A693="","",IF($AP693&lt;&gt;"",INDEX(Raw_D1!$C$2:$C$1001,$AP693),IF($AR693&lt;&gt;"",INDEX(Raw_D3!$C$2:$C$1001,$AR693),"")))</f>
        <v>1</v>
      </c>
      <c r="D693" s="5">
        <f>IF($A693="","",IF($AP693&lt;&gt;"",INDEX(Raw_D1!$D$2:$D$1001,$AP693),IF($AR693&lt;&gt;"",INDEX(Raw_D3!$D$2:$D$1001,$AR693),"")))</f>
        <v>0</v>
      </c>
      <c r="E693" s="5">
        <f>IF($A693="","",IF($AP693&lt;&gt;"",INDEX(Raw_D1!$E$2:$E$1001,$AP693),IF($AR693&lt;&gt;"",INDEX(Raw_D3!$E$2:$E$1001,$AR693),"")))</f>
        <v>2</v>
      </c>
      <c r="F693" s="5">
        <f>IF($A693="","",IF($AP693&lt;&gt;"",INDEX(Raw_D1!$F$2:$F$1001,$AP693),IF($AR693&lt;&gt;"",INDEX(Raw_D3!$F$2:$F$1001,$AR693),"")))</f>
        <v>3</v>
      </c>
      <c r="G693" s="5">
        <f>IF($A693="","",IF($AP693&lt;&gt;"",IF(INDEX(Raw_D1!$G$2:$G$1001,$AP693),1,0),IF($AR693&lt;&gt;"",IF(INDEX(Raw_D3!$G$2:$G$1001,$AR693),1,0),"")))</f>
        <v>0</v>
      </c>
      <c r="H693" s="5">
        <f>IF($A693="","",IF($AP693&lt;&gt;"",INDEX(Raw_D1!$H$2:$H$1001,$AP693),IF($AR693&lt;&gt;"",INDEX(Raw_D3!$H$2:$H$1001,$AR693),"")))</f>
        <v>2</v>
      </c>
      <c r="I693" s="5">
        <f>IF($A693="","",IF($AP693&lt;&gt;"",INDEX(Raw_D1!$I$2:$I$1001,$AP693),IF($AR693&lt;&gt;"",INDEX(Raw_D3!$I$2:$I$1001,$AR693),"")))</f>
        <v>2</v>
      </c>
      <c r="J693" s="16">
        <f>IF($A693="","",IF($AP693&lt;&gt;"",INDEX(Raw_D1!$J$2:$J$1001,$AP693),IF($AR693&lt;&gt;"",INDEX(Raw_D3!$J$2:$J$1001,$AR693),"")))</f>
        <v>0.16</v>
      </c>
      <c r="K693" s="17">
        <f>IF($A693="","",IF($AQ693&lt;&gt;"",IF(INDEX(Raw_D2!$C$2:$C$1001,$AQ693)="","",INDEX(Raw_D2!$C$2:$C$1001,$AQ693)),IF($AR693&lt;&gt;"",IF(INDEX(Raw_D3!$K$2:$K$1001,$AR693)="","",INDEX(Raw_D3!$K$2:$K$1001,$AR693)),"")))</f>
        <v>0.2273</v>
      </c>
      <c r="L693" s="16">
        <f>IF($A693="","",IF($AQ693&lt;&gt;"",IF(INDEX(Raw_D2!$D$2:$D$1001,$AQ693)="","",INDEX(Raw_D2!$D$2:$D$1001,$AQ693)),IF($AR693&lt;&gt;"",IF(INDEX(Raw_D3!$L$2:$L$1001,$AR693)="","",INDEX(Raw_D3!$L$2:$L$1001,$AR693)),"")))</f>
        <v>0.69</v>
      </c>
      <c r="M693" s="17">
        <f>IF($A693="","",IF($AQ693&lt;&gt;"",IF(INDEX(Raw_D2!$E$2:$E$1001,$AQ693)="","",INDEX(Raw_D2!$E$2:$E$1001,$AQ693)),IF($AR693&lt;&gt;"",IF(INDEX(Raw_D3!$M$2:$M$1001,$AR693)="","",INDEX(Raw_D3!$M$2:$M$1001,$AR693)),"")))</f>
        <v>0</v>
      </c>
      <c r="N693" s="5">
        <f>IF($A693="","",IF($AQ693&lt;&gt;"",IF(INDEX(Raw_D2!$F$2:$F$1001,$AQ693)="","",INDEX(Raw_D2!$F$2:$F$1001,$AQ693)),IF($AR693&lt;&gt;"",IF(INDEX(Raw_D3!$N$2:$N$1001,$AR693)="","",INDEX(Raw_D3!$N$2:$N$1001,$AR693)),"")))</f>
        <v>0</v>
      </c>
      <c r="O693" s="5">
        <f>IF($A693="","",IF($AQ693&lt;&gt;"",IF(INDEX(Raw_D2!$G$2:$G$1001,$AQ693)="","",INDEX(Raw_D2!$G$2:$G$1001,$AQ693)),IF($AR693&lt;&gt;"",IF(INDEX(Raw_D3!$O$2:$O$1001,$AR693)="","",INDEX(Raw_D3!$O$2:$O$1001,$AR693)),"")))</f>
        <v>2</v>
      </c>
      <c r="P693" s="5">
        <f>IF($A693="","",IF($AQ693&lt;&gt;"",IF(INDEX(Raw_D2!$H$2:$H$1001,$AQ693)="","",INDEX(Raw_D2!$H$2:$H$1001,$AQ693)),IF($AR693&lt;&gt;"",IF(INDEX(Raw_D3!$P$2:$P$1001,$AR693)="","",INDEX(Raw_D3!$P$2:$P$1001,$AR693)),"")))</f>
        <v>2</v>
      </c>
      <c r="Q693" s="5" t="str">
        <f>IF($A693="","",IF(AND($AP693&lt;&gt;"",$AQ693&lt;&gt;""),"D1+D2",IF($AR693&lt;&gt;"","D3","Incomplete")))</f>
        <v>D3</v>
      </c>
      <c r="R693" s="17">
        <f>IF($A693="","",IF($K693="",IF($J693="","",ROUND(Lookups!$K$5+Lookups!$K$4*$J693,4)),$K693))</f>
        <v>0.2273</v>
      </c>
      <c r="S693" s="5" t="str">
        <f>IF($A693="","",IF($K693="","Imputed","Original"))</f>
        <v>Original</v>
      </c>
      <c r="T693" s="5" t="str">
        <f>IF($A693="","",IF($P693="","Missing",IF($P693=$N693+$O693,"OK","Mismatch")))</f>
        <v>OK</v>
      </c>
      <c r="U693" s="5" t="str">
        <f>IF($A693="","",IF(COUNTIF($A$2:$A693,$A693)&gt;1,"Duplicate","Unique"))</f>
        <v>Unique</v>
      </c>
      <c r="V693" s="5">
        <f>IF($A693="","",IF(AND($U693="Unique",ISNUMBER($P693)),1,0))</f>
        <v>1</v>
      </c>
      <c r="W693" s="5" t="str">
        <f>IF($A693="","",IF(OR($H693=0,$H693=6),"Weekend","Weekday"))</f>
        <v>Weekday</v>
      </c>
      <c r="X693" s="5" t="str">
        <f>IF($A693="","",TEXT($B693,"ddd"))</f>
        <v>Tue</v>
      </c>
      <c r="Y693" s="5" t="str">
        <f>IF($A693="","",TEXT($B693,"mmm"))</f>
        <v>Feb</v>
      </c>
      <c r="Z693" s="5" t="str">
        <f>IF($A693="","",IFERROR(VLOOKUP($C693,Lookups!$D$4:$E$7,2,FALSE),"Unknown"))</f>
        <v>Winter</v>
      </c>
      <c r="AA693" s="5" t="str">
        <f>IF($A693="","",IFERROR(VLOOKUP($I693,Lookups!$A$4:$B$7,2,FALSE),"Unknown"))</f>
        <v>Mist/Cloudy</v>
      </c>
      <c r="AB693" s="5" t="str">
        <f>IF($A693="","",TEXT($F693,"00")&amp;":00")</f>
        <v>03:00</v>
      </c>
      <c r="AC693" s="5" t="str">
        <f>IF($A693="","",VLOOKUP($F693,Lookups!$G$4:$H$8,2,TRUE))</f>
        <v>Night (00-05)</v>
      </c>
      <c r="AD693" s="18">
        <f>IF($A693="","",IF($J693="","",ROUND($J693*41,1)))</f>
        <v>6.6</v>
      </c>
      <c r="AE693" s="18">
        <f>IF($A693="","",IF($R693="","",ROUND($R693*50,1)))</f>
        <v>11.4</v>
      </c>
      <c r="AF693" s="5">
        <f>IF($A693="","",IF($L693="","",ROUND($L693*100,0)))</f>
        <v>69</v>
      </c>
      <c r="AG693" s="18">
        <f>IF($A693="","",IF($M693="","",ROUND($M693*67,1)))</f>
        <v>0</v>
      </c>
      <c r="AH693" s="19">
        <f>IF($A693="","",IF($P693="","",IF($P693=0,0,$O693/$P693)))</f>
        <v>1</v>
      </c>
      <c r="AI693" s="5" t="str">
        <f>IF($A693="","",IF($P693="","",IF($P693&gt;=Lookups!$K$7,"High",IF($P693&lt;=Lookups!$K$8,"Low","Medium"))))</f>
        <v>Low</v>
      </c>
      <c r="AJ693" s="5" t="str">
        <f>IF($A693="","",IF($AD693="","",IF($AD693&lt;5,"Under 5 C",IF($AD693&lt;10,"5-10 C",IF($AD693&lt;15,"10-15 C","15 C and above")))))</f>
        <v>5-10 C</v>
      </c>
      <c r="AK693" s="5">
        <f>IF($A693="","",IF($P693="","",$P693^2))</f>
        <v>4</v>
      </c>
      <c r="AL693" s="18">
        <f>IF($V693&lt;&gt;1,"",AVERAGEIFS(Clean_Data!$P$2:$P$1001,Clean_Data!$F$2:$F$1001,$F693,Clean_Data!$W$2:$W$1001,$W693,Clean_Data!$V$2:$V$1001,1))</f>
        <v>1.41176470588235</v>
      </c>
      <c r="AM693" s="16">
        <f>IF($V693&lt;&gt;1,"",IFERROR(($P693-$AL693)/SQRT(MAX(0,(SUMIFS(Clean_Data!$AK$2:$AK$1001,Clean_Data!$F$2:$F$1001,$F693,Clean_Data!$W$2:$W$1001,$W693,Clean_Data!$V$2:$V$1001,1)-COUNTIFS(Clean_Data!$F$2:$F$1001,$F693,Clean_Data!$W$2:$W$1001,$W693,Clean_Data!$V$2:$V$1001,1)*$AL693^2)/(COUNTIFS(Clean_Data!$F$2:$F$1001,$F693,Clean_Data!$W$2:$W$1001,$W693,Clean_Data!$V$2:$V$1001,1)-1))),""))</f>
        <v>0.951302988308989</v>
      </c>
      <c r="AN693" s="5" t="str">
        <f>IF($AM693="","",IF($AM693&gt;=Lookups!$K$6,"High spike",IF($AM693&lt;=-Lookups!$K$6,"Unusual low","Normal")))</f>
        <v>Normal</v>
      </c>
      <c r="AO693" s="20">
        <f>IF($V693&lt;&gt;1,"",$P693+ROW()/100000)</f>
        <v>2.00693</v>
      </c>
      <c r="AP693" s="5">
        <f>IF($A693="","",IFERROR(MATCH($A693,Raw_D1!$A$2:$A$1001,0),""))</f>
        <v/>
      </c>
      <c r="AQ693" s="5">
        <f>IF($A693="","",IFERROR(MATCH($A693,Raw_D2!$B$2:$B$1001,0),""))</f>
        <v/>
      </c>
      <c r="AR693" s="5">
        <f>IF($A693="","",IFERROR(MATCH($A693,Raw_D3!$A$2:$A$1001,0),""))</f>
        <v>73</v>
      </c>
    </row>
    <row r="694" spans="1:44" x14ac:dyDescent="0.25">
      <c r="A694" s="5">
        <v>693</v>
      </c>
      <c r="B694" s="11">
        <f>IF($A694="","",IF($AP694&lt;&gt;"",INDEX(Raw_D1!$B$2:$B$1001,$AP694),IF($AR694&lt;&gt;"",INDEX(Raw_D3!$B$2:$B$1001,$AR694),"")))</f>
        <v>40575.0</v>
      </c>
      <c r="C694" s="5">
        <f>IF($A694="","",IF($AP694&lt;&gt;"",INDEX(Raw_D1!$C$2:$C$1001,$AP694),IF($AR694&lt;&gt;"",INDEX(Raw_D3!$C$2:$C$1001,$AR694),"")))</f>
        <v>1</v>
      </c>
      <c r="D694" s="5">
        <f>IF($A694="","",IF($AP694&lt;&gt;"",INDEX(Raw_D1!$D$2:$D$1001,$AP694),IF($AR694&lt;&gt;"",INDEX(Raw_D3!$D$2:$D$1001,$AR694),"")))</f>
        <v>0</v>
      </c>
      <c r="E694" s="5">
        <f>IF($A694="","",IF($AP694&lt;&gt;"",INDEX(Raw_D1!$E$2:$E$1001,$AP694),IF($AR694&lt;&gt;"",INDEX(Raw_D3!$E$2:$E$1001,$AR694),"")))</f>
        <v>2</v>
      </c>
      <c r="F694" s="5">
        <f>IF($A694="","",IF($AP694&lt;&gt;"",INDEX(Raw_D1!$F$2:$F$1001,$AP694),IF($AR694&lt;&gt;"",INDEX(Raw_D3!$F$2:$F$1001,$AR694),"")))</f>
        <v>5</v>
      </c>
      <c r="G694" s="5">
        <f>IF($A694="","",IF($AP694&lt;&gt;"",IF(INDEX(Raw_D1!$G$2:$G$1001,$AP694),1,0),IF($AR694&lt;&gt;"",IF(INDEX(Raw_D3!$G$2:$G$1001,$AR694),1,0),"")))</f>
        <v>0</v>
      </c>
      <c r="H694" s="5">
        <f>IF($A694="","",IF($AP694&lt;&gt;"",INDEX(Raw_D1!$H$2:$H$1001,$AP694),IF($AR694&lt;&gt;"",INDEX(Raw_D3!$H$2:$H$1001,$AR694),"")))</f>
        <v>2</v>
      </c>
      <c r="I694" s="5">
        <f>IF($A694="","",IF($AP694&lt;&gt;"",INDEX(Raw_D1!$I$2:$I$1001,$AP694),IF($AR694&lt;&gt;"",INDEX(Raw_D3!$I$2:$I$1001,$AR694),"")))</f>
        <v>3</v>
      </c>
      <c r="J694" s="16">
        <f>IF($A694="","",IF($AP694&lt;&gt;"",INDEX(Raw_D1!$J$2:$J$1001,$AP694),IF($AR694&lt;&gt;"",INDEX(Raw_D3!$J$2:$J$1001,$AR694),"")))</f>
        <v>0.14</v>
      </c>
      <c r="K694" s="17">
        <f>IF($A694="","",IF($AQ694&lt;&gt;"",IF(INDEX(Raw_D2!$C$2:$C$1001,$AQ694)="","",INDEX(Raw_D2!$C$2:$C$1001,$AQ694)),IF($AR694&lt;&gt;"",IF(INDEX(Raw_D3!$K$2:$K$1001,$AR694)="","",INDEX(Raw_D3!$K$2:$K$1001,$AR694)),"")))</f>
        <v>0.2121</v>
      </c>
      <c r="L694" s="16">
        <f>IF($A694="","",IF($AQ694&lt;&gt;"",IF(INDEX(Raw_D2!$D$2:$D$1001,$AQ694)="","",INDEX(Raw_D2!$D$2:$D$1001,$AQ694)),IF($AR694&lt;&gt;"",IF(INDEX(Raw_D3!$L$2:$L$1001,$AR694)="","",INDEX(Raw_D3!$L$2:$L$1001,$AR694)),"")))</f>
        <v>0.93</v>
      </c>
      <c r="M694" s="17">
        <f>IF($A694="","",IF($AQ694&lt;&gt;"",IF(INDEX(Raw_D2!$E$2:$E$1001,$AQ694)="","",INDEX(Raw_D2!$E$2:$E$1001,$AQ694)),IF($AR694&lt;&gt;"",IF(INDEX(Raw_D3!$M$2:$M$1001,$AR694)="","",INDEX(Raw_D3!$M$2:$M$1001,$AR694)),"")))</f>
        <v>0</v>
      </c>
      <c r="N694" s="5">
        <f>IF($A694="","",IF($AQ694&lt;&gt;"",IF(INDEX(Raw_D2!$F$2:$F$1001,$AQ694)="","",INDEX(Raw_D2!$F$2:$F$1001,$AQ694)),IF($AR694&lt;&gt;"",IF(INDEX(Raw_D3!$N$2:$N$1001,$AR694)="","",INDEX(Raw_D3!$N$2:$N$1001,$AR694)),"")))</f>
        <v>0</v>
      </c>
      <c r="O694" s="5">
        <f>IF($A694="","",IF($AQ694&lt;&gt;"",IF(INDEX(Raw_D2!$G$2:$G$1001,$AQ694)="","",INDEX(Raw_D2!$G$2:$G$1001,$AQ694)),IF($AR694&lt;&gt;"",IF(INDEX(Raw_D3!$O$2:$O$1001,$AR694)="","",INDEX(Raw_D3!$O$2:$O$1001,$AR694)),"")))</f>
        <v>3</v>
      </c>
      <c r="P694" s="5">
        <f>IF($A694="","",IF($AQ694&lt;&gt;"",IF(INDEX(Raw_D2!$H$2:$H$1001,$AQ694)="","",INDEX(Raw_D2!$H$2:$H$1001,$AQ694)),IF($AR694&lt;&gt;"",IF(INDEX(Raw_D3!$P$2:$P$1001,$AR694)="","",INDEX(Raw_D3!$P$2:$P$1001,$AR694)),"")))</f>
        <v>3</v>
      </c>
      <c r="Q694" s="5" t="str">
        <f>IF($A694="","",IF(AND($AP694&lt;&gt;"",$AQ694&lt;&gt;""),"D1+D2",IF($AR694&lt;&gt;"","D3","Incomplete")))</f>
        <v>D3</v>
      </c>
      <c r="R694" s="17">
        <f>IF($A694="","",IF($K694="",IF($J694="","",ROUND(Lookups!$K$5+Lookups!$K$4*$J694,4)),$K694))</f>
        <v>0.2121</v>
      </c>
      <c r="S694" s="5" t="str">
        <f>IF($A694="","",IF($K694="","Imputed","Original"))</f>
        <v>Original</v>
      </c>
      <c r="T694" s="5" t="str">
        <f>IF($A694="","",IF($P694="","Missing",IF($P694=$N694+$O694,"OK","Mismatch")))</f>
        <v>OK</v>
      </c>
      <c r="U694" s="5" t="str">
        <f>IF($A694="","",IF(COUNTIF($A$2:$A694,$A694)&gt;1,"Duplicate","Unique"))</f>
        <v>Unique</v>
      </c>
      <c r="V694" s="5">
        <f>IF($A694="","",IF(AND($U694="Unique",ISNUMBER($P694)),1,0))</f>
        <v>1</v>
      </c>
      <c r="W694" s="5" t="str">
        <f>IF($A694="","",IF(OR($H694=0,$H694=6),"Weekend","Weekday"))</f>
        <v>Weekday</v>
      </c>
      <c r="X694" s="5" t="str">
        <f>IF($A694="","",TEXT($B694,"ddd"))</f>
        <v>Tue</v>
      </c>
      <c r="Y694" s="5" t="str">
        <f>IF($A694="","",TEXT($B694,"mmm"))</f>
        <v>Feb</v>
      </c>
      <c r="Z694" s="5" t="str">
        <f>IF($A694="","",IFERROR(VLOOKUP($C694,Lookups!$D$4:$E$7,2,FALSE),"Unknown"))</f>
        <v>Winter</v>
      </c>
      <c r="AA694" s="5" t="str">
        <f>IF($A694="","",IFERROR(VLOOKUP($I694,Lookups!$A$4:$B$7,2,FALSE),"Unknown"))</f>
        <v>Light Rain/Snow</v>
      </c>
      <c r="AB694" s="5" t="str">
        <f>IF($A694="","",TEXT($F694,"00")&amp;":00")</f>
        <v>05:00</v>
      </c>
      <c r="AC694" s="5" t="str">
        <f>IF($A694="","",VLOOKUP($F694,Lookups!$G$4:$H$8,2,TRUE))</f>
        <v>Night (00-05)</v>
      </c>
      <c r="AD694" s="18">
        <f>IF($A694="","",IF($J694="","",ROUND($J694*41,1)))</f>
        <v>5.7</v>
      </c>
      <c r="AE694" s="18">
        <f>IF($A694="","",IF($R694="","",ROUND($R694*50,1)))</f>
        <v>10.6</v>
      </c>
      <c r="AF694" s="5">
        <f>IF($A694="","",IF($L694="","",ROUND($L694*100,0)))</f>
        <v>93</v>
      </c>
      <c r="AG694" s="18">
        <f>IF($A694="","",IF($M694="","",ROUND($M694*67,1)))</f>
        <v>0</v>
      </c>
      <c r="AH694" s="19">
        <f>IF($A694="","",IF($P694="","",IF($P694=0,0,$O694/$P694)))</f>
        <v>1</v>
      </c>
      <c r="AI694" s="5" t="str">
        <f>IF($A694="","",IF($P694="","",IF($P694&gt;=Lookups!$K$7,"High",IF($P694&lt;=Lookups!$K$8,"Low","Medium"))))</f>
        <v>Low</v>
      </c>
      <c r="AJ694" s="5" t="str">
        <f>IF($A694="","",IF($AD694="","",IF($AD694&lt;5,"Under 5 C",IF($AD694&lt;10,"5-10 C",IF($AD694&lt;15,"10-15 C","15 C and above")))))</f>
        <v>5-10 C</v>
      </c>
      <c r="AK694" s="5">
        <f>IF($A694="","",IF($P694="","",$P694^2))</f>
        <v>9</v>
      </c>
      <c r="AL694" s="18">
        <f>IF($V694&lt;&gt;1,"",AVERAGEIFS(Clean_Data!$P$2:$P$1001,Clean_Data!$F$2:$F$1001,$F694,Clean_Data!$W$2:$W$1001,$W694,Clean_Data!$V$2:$V$1001,1))</f>
        <v>4.72413793103448</v>
      </c>
      <c r="AM694" s="16">
        <f>IF($V694&lt;&gt;1,"",IFERROR(($P694-$AL694)/SQRT(MAX(0,(SUMIFS(Clean_Data!$AK$2:$AK$1001,Clean_Data!$F$2:$F$1001,$F694,Clean_Data!$W$2:$W$1001,$W694,Clean_Data!$V$2:$V$1001,1)-COUNTIFS(Clean_Data!$F$2:$F$1001,$F694,Clean_Data!$W$2:$W$1001,$W694,Clean_Data!$V$2:$V$1001,1)*$AL694^2)/(COUNTIFS(Clean_Data!$F$2:$F$1001,$F694,Clean_Data!$W$2:$W$1001,$W694,Clean_Data!$V$2:$V$1001,1)-1))),""))</f>
        <v>-0.735669230034663</v>
      </c>
      <c r="AN694" s="5" t="str">
        <f>IF($AM694="","",IF($AM694&gt;=Lookups!$K$6,"High spike",IF($AM694&lt;=-Lookups!$K$6,"Unusual low","Normal")))</f>
        <v>Normal</v>
      </c>
      <c r="AO694" s="20">
        <f>IF($V694&lt;&gt;1,"",$P694+ROW()/100000)</f>
        <v>3.00694</v>
      </c>
      <c r="AP694" s="5">
        <f>IF($A694="","",IFERROR(MATCH($A694,Raw_D1!$A$2:$A$1001,0),""))</f>
        <v/>
      </c>
      <c r="AQ694" s="5">
        <f>IF($A694="","",IFERROR(MATCH($A694,Raw_D2!$B$2:$B$1001,0),""))</f>
        <v/>
      </c>
      <c r="AR694" s="5">
        <f>IF($A694="","",IFERROR(MATCH($A694,Raw_D3!$A$2:$A$1001,0),""))</f>
        <v>74</v>
      </c>
    </row>
    <row r="695" spans="1:44" x14ac:dyDescent="0.25">
      <c r="A695" s="5">
        <v>694</v>
      </c>
      <c r="B695" s="11">
        <f>IF($A695="","",IF($AP695&lt;&gt;"",INDEX(Raw_D1!$B$2:$B$1001,$AP695),IF($AR695&lt;&gt;"",INDEX(Raw_D3!$B$2:$B$1001,$AR695),"")))</f>
        <v>40575.0</v>
      </c>
      <c r="C695" s="5">
        <f>IF($A695="","",IF($AP695&lt;&gt;"",INDEX(Raw_D1!$C$2:$C$1001,$AP695),IF($AR695&lt;&gt;"",INDEX(Raw_D3!$C$2:$C$1001,$AR695),"")))</f>
        <v>1</v>
      </c>
      <c r="D695" s="5">
        <f>IF($A695="","",IF($AP695&lt;&gt;"",INDEX(Raw_D1!$D$2:$D$1001,$AP695),IF($AR695&lt;&gt;"",INDEX(Raw_D3!$D$2:$D$1001,$AR695),"")))</f>
        <v>0</v>
      </c>
      <c r="E695" s="5">
        <f>IF($A695="","",IF($AP695&lt;&gt;"",INDEX(Raw_D1!$E$2:$E$1001,$AP695),IF($AR695&lt;&gt;"",INDEX(Raw_D3!$E$2:$E$1001,$AR695),"")))</f>
        <v>2</v>
      </c>
      <c r="F695" s="5">
        <f>IF($A695="","",IF($AP695&lt;&gt;"",INDEX(Raw_D1!$F$2:$F$1001,$AP695),IF($AR695&lt;&gt;"",INDEX(Raw_D3!$F$2:$F$1001,$AR695),"")))</f>
        <v>6</v>
      </c>
      <c r="G695" s="5">
        <f>IF($A695="","",IF($AP695&lt;&gt;"",IF(INDEX(Raw_D1!$G$2:$G$1001,$AP695),1,0),IF($AR695&lt;&gt;"",IF(INDEX(Raw_D3!$G$2:$G$1001,$AR695),1,0),"")))</f>
        <v>0</v>
      </c>
      <c r="H695" s="5">
        <f>IF($A695="","",IF($AP695&lt;&gt;"",INDEX(Raw_D1!$H$2:$H$1001,$AP695),IF($AR695&lt;&gt;"",INDEX(Raw_D3!$H$2:$H$1001,$AR695),"")))</f>
        <v>2</v>
      </c>
      <c r="I695" s="5">
        <f>IF($A695="","",IF($AP695&lt;&gt;"",INDEX(Raw_D1!$I$2:$I$1001,$AP695),IF($AR695&lt;&gt;"",INDEX(Raw_D3!$I$2:$I$1001,$AR695),"")))</f>
        <v>3</v>
      </c>
      <c r="J695" s="16">
        <f>IF($A695="","",IF($AP695&lt;&gt;"",INDEX(Raw_D1!$J$2:$J$1001,$AP695),IF($AR695&lt;&gt;"",INDEX(Raw_D3!$J$2:$J$1001,$AR695),"")))</f>
        <v>0.14</v>
      </c>
      <c r="K695" s="17">
        <f>IF($A695="","",IF($AQ695&lt;&gt;"",IF(INDEX(Raw_D2!$C$2:$C$1001,$AQ695)="","",INDEX(Raw_D2!$C$2:$C$1001,$AQ695)),IF($AR695&lt;&gt;"",IF(INDEX(Raw_D3!$K$2:$K$1001,$AR695)="","",INDEX(Raw_D3!$K$2:$K$1001,$AR695)),"")))</f>
        <v>0.2121</v>
      </c>
      <c r="L695" s="16">
        <f>IF($A695="","",IF($AQ695&lt;&gt;"",IF(INDEX(Raw_D2!$D$2:$D$1001,$AQ695)="","",INDEX(Raw_D2!$D$2:$D$1001,$AQ695)),IF($AR695&lt;&gt;"",IF(INDEX(Raw_D3!$L$2:$L$1001,$AR695)="","",INDEX(Raw_D3!$L$2:$L$1001,$AR695)),"")))</f>
        <v>0.93</v>
      </c>
      <c r="M695" s="17">
        <f>IF($A695="","",IF($AQ695&lt;&gt;"",IF(INDEX(Raw_D2!$E$2:$E$1001,$AQ695)="","",INDEX(Raw_D2!$E$2:$E$1001,$AQ695)),IF($AR695&lt;&gt;"",IF(INDEX(Raw_D3!$M$2:$M$1001,$AR695)="","",INDEX(Raw_D3!$M$2:$M$1001,$AR695)),"")))</f>
        <v>0</v>
      </c>
      <c r="N695" s="5">
        <f>IF($A695="","",IF($AQ695&lt;&gt;"",IF(INDEX(Raw_D2!$F$2:$F$1001,$AQ695)="","",INDEX(Raw_D2!$F$2:$F$1001,$AQ695)),IF($AR695&lt;&gt;"",IF(INDEX(Raw_D3!$N$2:$N$1001,$AR695)="","",INDEX(Raw_D3!$N$2:$N$1001,$AR695)),"")))</f>
        <v>0</v>
      </c>
      <c r="O695" s="5">
        <f>IF($A695="","",IF($AQ695&lt;&gt;"",IF(INDEX(Raw_D2!$G$2:$G$1001,$AQ695)="","",INDEX(Raw_D2!$G$2:$G$1001,$AQ695)),IF($AR695&lt;&gt;"",IF(INDEX(Raw_D3!$O$2:$O$1001,$AR695)="","",INDEX(Raw_D3!$O$2:$O$1001,$AR695)),"")))</f>
        <v>22</v>
      </c>
      <c r="P695" s="5">
        <f>IF($A695="","",IF($AQ695&lt;&gt;"",IF(INDEX(Raw_D2!$H$2:$H$1001,$AQ695)="","",INDEX(Raw_D2!$H$2:$H$1001,$AQ695)),IF($AR695&lt;&gt;"",IF(INDEX(Raw_D3!$P$2:$P$1001,$AR695)="","",INDEX(Raw_D3!$P$2:$P$1001,$AR695)),"")))</f>
        <v>22</v>
      </c>
      <c r="Q695" s="5" t="str">
        <f>IF($A695="","",IF(AND($AP695&lt;&gt;"",$AQ695&lt;&gt;""),"D1+D2",IF($AR695&lt;&gt;"","D3","Incomplete")))</f>
        <v>D3</v>
      </c>
      <c r="R695" s="17">
        <f>IF($A695="","",IF($K695="",IF($J695="","",ROUND(Lookups!$K$5+Lookups!$K$4*$J695,4)),$K695))</f>
        <v>0.2121</v>
      </c>
      <c r="S695" s="5" t="str">
        <f>IF($A695="","",IF($K695="","Imputed","Original"))</f>
        <v>Original</v>
      </c>
      <c r="T695" s="5" t="str">
        <f>IF($A695="","",IF($P695="","Missing",IF($P695=$N695+$O695,"OK","Mismatch")))</f>
        <v>OK</v>
      </c>
      <c r="U695" s="5" t="str">
        <f>IF($A695="","",IF(COUNTIF($A$2:$A695,$A695)&gt;1,"Duplicate","Unique"))</f>
        <v>Unique</v>
      </c>
      <c r="V695" s="5">
        <f>IF($A695="","",IF(AND($U695="Unique",ISNUMBER($P695)),1,0))</f>
        <v>1</v>
      </c>
      <c r="W695" s="5" t="str">
        <f>IF($A695="","",IF(OR($H695=0,$H695=6),"Weekend","Weekday"))</f>
        <v>Weekday</v>
      </c>
      <c r="X695" s="5" t="str">
        <f>IF($A695="","",TEXT($B695,"ddd"))</f>
        <v>Tue</v>
      </c>
      <c r="Y695" s="5" t="str">
        <f>IF($A695="","",TEXT($B695,"mmm"))</f>
        <v>Feb</v>
      </c>
      <c r="Z695" s="5" t="str">
        <f>IF($A695="","",IFERROR(VLOOKUP($C695,Lookups!$D$4:$E$7,2,FALSE),"Unknown"))</f>
        <v>Winter</v>
      </c>
      <c r="AA695" s="5" t="str">
        <f>IF($A695="","",IFERROR(VLOOKUP($I695,Lookups!$A$4:$B$7,2,FALSE),"Unknown"))</f>
        <v>Light Rain/Snow</v>
      </c>
      <c r="AB695" s="5" t="str">
        <f>IF($A695="","",TEXT($F695,"00")&amp;":00")</f>
        <v>06:00</v>
      </c>
      <c r="AC695" s="5" t="str">
        <f>IF($A695="","",VLOOKUP($F695,Lookups!$G$4:$H$8,2,TRUE))</f>
        <v>Morning Peak (06-09)</v>
      </c>
      <c r="AD695" s="18">
        <f>IF($A695="","",IF($J695="","",ROUND($J695*41,1)))</f>
        <v>5.7</v>
      </c>
      <c r="AE695" s="18">
        <f>IF($A695="","",IF($R695="","",ROUND($R695*50,1)))</f>
        <v>10.6</v>
      </c>
      <c r="AF695" s="5">
        <f>IF($A695="","",IF($L695="","",ROUND($L695*100,0)))</f>
        <v>93</v>
      </c>
      <c r="AG695" s="18">
        <f>IF($A695="","",IF($M695="","",ROUND($M695*67,1)))</f>
        <v>0</v>
      </c>
      <c r="AH695" s="19">
        <f>IF($A695="","",IF($P695="","",IF($P695=0,0,$O695/$P695)))</f>
        <v>1</v>
      </c>
      <c r="AI695" s="5" t="str">
        <f>IF($A695="","",IF($P695="","",IF($P695&gt;=Lookups!$K$7,"High",IF($P695&lt;=Lookups!$K$8,"Low","Medium"))))</f>
        <v>Medium</v>
      </c>
      <c r="AJ695" s="5" t="str">
        <f>IF($A695="","",IF($AD695="","",IF($AD695&lt;5,"Under 5 C",IF($AD695&lt;10,"5-10 C",IF($AD695&lt;15,"10-15 C","15 C and above")))))</f>
        <v>5-10 C</v>
      </c>
      <c r="AK695" s="5">
        <f>IF($A695="","",IF($P695="","",$P695^2))</f>
        <v>484</v>
      </c>
      <c r="AL695" s="18">
        <f>IF($V695&lt;&gt;1,"",AVERAGEIFS(Clean_Data!$P$2:$P$1001,Clean_Data!$F$2:$F$1001,$F695,Clean_Data!$W$2:$W$1001,$W695,Clean_Data!$V$2:$V$1001,1))</f>
        <v>27.3793103448276</v>
      </c>
      <c r="AM695" s="16">
        <f>IF($V695&lt;&gt;1,"",IFERROR(($P695-$AL695)/SQRT(MAX(0,(SUMIFS(Clean_Data!$AK$2:$AK$1001,Clean_Data!$F$2:$F$1001,$F695,Clean_Data!$W$2:$W$1001,$W695,Clean_Data!$V$2:$V$1001,1)-COUNTIFS(Clean_Data!$F$2:$F$1001,$F695,Clean_Data!$W$2:$W$1001,$W695,Clean_Data!$V$2:$V$1001,1)*$AL695^2)/(COUNTIFS(Clean_Data!$F$2:$F$1001,$F695,Clean_Data!$W$2:$W$1001,$W695,Clean_Data!$V$2:$V$1001,1)-1))),""))</f>
        <v>-0.564700299579751</v>
      </c>
      <c r="AN695" s="5" t="str">
        <f>IF($AM695="","",IF($AM695&gt;=Lookups!$K$6,"High spike",IF($AM695&lt;=-Lookups!$K$6,"Unusual low","Normal")))</f>
        <v>Normal</v>
      </c>
      <c r="AO695" s="20">
        <f>IF($V695&lt;&gt;1,"",$P695+ROW()/100000)</f>
        <v>22.00695</v>
      </c>
      <c r="AP695" s="5">
        <f>IF($A695="","",IFERROR(MATCH($A695,Raw_D1!$A$2:$A$1001,0),""))</f>
        <v/>
      </c>
      <c r="AQ695" s="5">
        <f>IF($A695="","",IFERROR(MATCH($A695,Raw_D2!$B$2:$B$1001,0),""))</f>
        <v/>
      </c>
      <c r="AR695" s="5">
        <f>IF($A695="","",IFERROR(MATCH($A695,Raw_D3!$A$2:$A$1001,0),""))</f>
        <v>75</v>
      </c>
    </row>
    <row r="696" spans="1:44" x14ac:dyDescent="0.25">
      <c r="A696" s="5">
        <v>695</v>
      </c>
      <c r="B696" s="11">
        <f>IF($A696="","",IF($AP696&lt;&gt;"",INDEX(Raw_D1!$B$2:$B$1001,$AP696),IF($AR696&lt;&gt;"",INDEX(Raw_D3!$B$2:$B$1001,$AR696),"")))</f>
        <v>40575.0</v>
      </c>
      <c r="C696" s="5">
        <f>IF($A696="","",IF($AP696&lt;&gt;"",INDEX(Raw_D1!$C$2:$C$1001,$AP696),IF($AR696&lt;&gt;"",INDEX(Raw_D3!$C$2:$C$1001,$AR696),"")))</f>
        <v>1</v>
      </c>
      <c r="D696" s="5">
        <f>IF($A696="","",IF($AP696&lt;&gt;"",INDEX(Raw_D1!$D$2:$D$1001,$AP696),IF($AR696&lt;&gt;"",INDEX(Raw_D3!$D$2:$D$1001,$AR696),"")))</f>
        <v>0</v>
      </c>
      <c r="E696" s="5">
        <f>IF($A696="","",IF($AP696&lt;&gt;"",INDEX(Raw_D1!$E$2:$E$1001,$AP696),IF($AR696&lt;&gt;"",INDEX(Raw_D3!$E$2:$E$1001,$AR696),"")))</f>
        <v>2</v>
      </c>
      <c r="F696" s="5">
        <f>IF($A696="","",IF($AP696&lt;&gt;"",INDEX(Raw_D1!$F$2:$F$1001,$AP696),IF($AR696&lt;&gt;"",INDEX(Raw_D3!$F$2:$F$1001,$AR696),"")))</f>
        <v>7</v>
      </c>
      <c r="G696" s="5">
        <f>IF($A696="","",IF($AP696&lt;&gt;"",IF(INDEX(Raw_D1!$G$2:$G$1001,$AP696),1,0),IF($AR696&lt;&gt;"",IF(INDEX(Raw_D3!$G$2:$G$1001,$AR696),1,0),"")))</f>
        <v>0</v>
      </c>
      <c r="H696" s="5">
        <f>IF($A696="","",IF($AP696&lt;&gt;"",INDEX(Raw_D1!$H$2:$H$1001,$AP696),IF($AR696&lt;&gt;"",INDEX(Raw_D3!$H$2:$H$1001,$AR696),"")))</f>
        <v>2</v>
      </c>
      <c r="I696" s="5">
        <f>IF($A696="","",IF($AP696&lt;&gt;"",INDEX(Raw_D1!$I$2:$I$1001,$AP696),IF($AR696&lt;&gt;"",INDEX(Raw_D3!$I$2:$I$1001,$AR696),"")))</f>
        <v>3</v>
      </c>
      <c r="J696" s="16">
        <f>IF($A696="","",IF($AP696&lt;&gt;"",INDEX(Raw_D1!$J$2:$J$1001,$AP696),IF($AR696&lt;&gt;"",INDEX(Raw_D3!$J$2:$J$1001,$AR696),"")))</f>
        <v>0.16</v>
      </c>
      <c r="K696" s="17">
        <f>IF($A696="","",IF($AQ696&lt;&gt;"",IF(INDEX(Raw_D2!$C$2:$C$1001,$AQ696)="","",INDEX(Raw_D2!$C$2:$C$1001,$AQ696)),IF($AR696&lt;&gt;"",IF(INDEX(Raw_D3!$K$2:$K$1001,$AR696)="","",INDEX(Raw_D3!$K$2:$K$1001,$AR696)),"")))</f>
        <v>0.2273</v>
      </c>
      <c r="L696" s="16">
        <f>IF($A696="","",IF($AQ696&lt;&gt;"",IF(INDEX(Raw_D2!$D$2:$D$1001,$AQ696)="","",INDEX(Raw_D2!$D$2:$D$1001,$AQ696)),IF($AR696&lt;&gt;"",IF(INDEX(Raw_D3!$L$2:$L$1001,$AR696)="","",INDEX(Raw_D3!$L$2:$L$1001,$AR696)),"")))</f>
        <v>0.93</v>
      </c>
      <c r="M696" s="17">
        <f>IF($A696="","",IF($AQ696&lt;&gt;"",IF(INDEX(Raw_D2!$E$2:$E$1001,$AQ696)="","",INDEX(Raw_D2!$E$2:$E$1001,$AQ696)),IF($AR696&lt;&gt;"",IF(INDEX(Raw_D3!$M$2:$M$1001,$AR696)="","",INDEX(Raw_D3!$M$2:$M$1001,$AR696)),"")))</f>
        <v>0</v>
      </c>
      <c r="N696" s="5">
        <f>IF($A696="","",IF($AQ696&lt;&gt;"",IF(INDEX(Raw_D2!$F$2:$F$1001,$AQ696)="","",INDEX(Raw_D2!$F$2:$F$1001,$AQ696)),IF($AR696&lt;&gt;"",IF(INDEX(Raw_D3!$N$2:$N$1001,$AR696)="","",INDEX(Raw_D3!$N$2:$N$1001,$AR696)),"")))</f>
        <v>0</v>
      </c>
      <c r="O696" s="5">
        <f>IF($A696="","",IF($AQ696&lt;&gt;"",IF(INDEX(Raw_D2!$G$2:$G$1001,$AQ696)="","",INDEX(Raw_D2!$G$2:$G$1001,$AQ696)),IF($AR696&lt;&gt;"",IF(INDEX(Raw_D3!$O$2:$O$1001,$AR696)="","",INDEX(Raw_D3!$O$2:$O$1001,$AR696)),"")))</f>
        <v>52</v>
      </c>
      <c r="P696" s="5">
        <f>IF($A696="","",IF($AQ696&lt;&gt;"",IF(INDEX(Raw_D2!$H$2:$H$1001,$AQ696)="","",INDEX(Raw_D2!$H$2:$H$1001,$AQ696)),IF($AR696&lt;&gt;"",IF(INDEX(Raw_D3!$P$2:$P$1001,$AR696)="","",INDEX(Raw_D3!$P$2:$P$1001,$AR696)),"")))</f>
        <v>52</v>
      </c>
      <c r="Q696" s="5" t="str">
        <f>IF($A696="","",IF(AND($AP696&lt;&gt;"",$AQ696&lt;&gt;""),"D1+D2",IF($AR696&lt;&gt;"","D3","Incomplete")))</f>
        <v>D3</v>
      </c>
      <c r="R696" s="17">
        <f>IF($A696="","",IF($K696="",IF($J696="","",ROUND(Lookups!$K$5+Lookups!$K$4*$J696,4)),$K696))</f>
        <v>0.2273</v>
      </c>
      <c r="S696" s="5" t="str">
        <f>IF($A696="","",IF($K696="","Imputed","Original"))</f>
        <v>Original</v>
      </c>
      <c r="T696" s="5" t="str">
        <f>IF($A696="","",IF($P696="","Missing",IF($P696=$N696+$O696,"OK","Mismatch")))</f>
        <v>OK</v>
      </c>
      <c r="U696" s="5" t="str">
        <f>IF($A696="","",IF(COUNTIF($A$2:$A696,$A696)&gt;1,"Duplicate","Unique"))</f>
        <v>Unique</v>
      </c>
      <c r="V696" s="5">
        <f>IF($A696="","",IF(AND($U696="Unique",ISNUMBER($P696)),1,0))</f>
        <v>1</v>
      </c>
      <c r="W696" s="5" t="str">
        <f>IF($A696="","",IF(OR($H696=0,$H696=6),"Weekend","Weekday"))</f>
        <v>Weekday</v>
      </c>
      <c r="X696" s="5" t="str">
        <f>IF($A696="","",TEXT($B696,"ddd"))</f>
        <v>Tue</v>
      </c>
      <c r="Y696" s="5" t="str">
        <f>IF($A696="","",TEXT($B696,"mmm"))</f>
        <v>Feb</v>
      </c>
      <c r="Z696" s="5" t="str">
        <f>IF($A696="","",IFERROR(VLOOKUP($C696,Lookups!$D$4:$E$7,2,FALSE),"Unknown"))</f>
        <v>Winter</v>
      </c>
      <c r="AA696" s="5" t="str">
        <f>IF($A696="","",IFERROR(VLOOKUP($I696,Lookups!$A$4:$B$7,2,FALSE),"Unknown"))</f>
        <v>Light Rain/Snow</v>
      </c>
      <c r="AB696" s="5" t="str">
        <f>IF($A696="","",TEXT($F696,"00")&amp;":00")</f>
        <v>07:00</v>
      </c>
      <c r="AC696" s="5" t="str">
        <f>IF($A696="","",VLOOKUP($F696,Lookups!$G$4:$H$8,2,TRUE))</f>
        <v>Morning Peak (06-09)</v>
      </c>
      <c r="AD696" s="18">
        <f>IF($A696="","",IF($J696="","",ROUND($J696*41,1)))</f>
        <v>6.6</v>
      </c>
      <c r="AE696" s="18">
        <f>IF($A696="","",IF($R696="","",ROUND($R696*50,1)))</f>
        <v>11.4</v>
      </c>
      <c r="AF696" s="5">
        <f>IF($A696="","",IF($L696="","",ROUND($L696*100,0)))</f>
        <v>93</v>
      </c>
      <c r="AG696" s="18">
        <f>IF($A696="","",IF($M696="","",ROUND($M696*67,1)))</f>
        <v>0</v>
      </c>
      <c r="AH696" s="19">
        <f>IF($A696="","",IF($P696="","",IF($P696=0,0,$O696/$P696)))</f>
        <v>1</v>
      </c>
      <c r="AI696" s="5" t="str">
        <f>IF($A696="","",IF($P696="","",IF($P696&gt;=Lookups!$K$7,"High",IF($P696&lt;=Lookups!$K$8,"Low","Medium"))))</f>
        <v>Medium</v>
      </c>
      <c r="AJ696" s="5" t="str">
        <f>IF($A696="","",IF($AD696="","",IF($AD696&lt;5,"Under 5 C",IF($AD696&lt;10,"5-10 C",IF($AD696&lt;15,"10-15 C","15 C and above")))))</f>
        <v>5-10 C</v>
      </c>
      <c r="AK696" s="5">
        <f>IF($A696="","",IF($P696="","",$P696^2))</f>
        <v>2704</v>
      </c>
      <c r="AL696" s="18">
        <f>IF($V696&lt;&gt;1,"",AVERAGEIFS(Clean_Data!$P$2:$P$1001,Clean_Data!$F$2:$F$1001,$F696,Clean_Data!$W$2:$W$1001,$W696,Clean_Data!$V$2:$V$1001,1))</f>
        <v>78.0344827586207</v>
      </c>
      <c r="AM696" s="16">
        <f>IF($V696&lt;&gt;1,"",IFERROR(($P696-$AL696)/SQRT(MAX(0,(SUMIFS(Clean_Data!$AK$2:$AK$1001,Clean_Data!$F$2:$F$1001,$F696,Clean_Data!$W$2:$W$1001,$W696,Clean_Data!$V$2:$V$1001,1)-COUNTIFS(Clean_Data!$F$2:$F$1001,$F696,Clean_Data!$W$2:$W$1001,$W696,Clean_Data!$V$2:$V$1001,1)*$AL696^2)/(COUNTIFS(Clean_Data!$F$2:$F$1001,$F696,Clean_Data!$W$2:$W$1001,$W696,Clean_Data!$V$2:$V$1001,1)-1))),""))</f>
        <v>-1.15029304054603</v>
      </c>
      <c r="AN696" s="5" t="str">
        <f>IF($AM696="","",IF($AM696&gt;=Lookups!$K$6,"High spike",IF($AM696&lt;=-Lookups!$K$6,"Unusual low","Normal")))</f>
        <v>Normal</v>
      </c>
      <c r="AO696" s="20">
        <f>IF($V696&lt;&gt;1,"",$P696+ROW()/100000)</f>
        <v>52.00696</v>
      </c>
      <c r="AP696" s="5">
        <f>IF($A696="","",IFERROR(MATCH($A696,Raw_D1!$A$2:$A$1001,0),""))</f>
        <v/>
      </c>
      <c r="AQ696" s="5">
        <f>IF($A696="","",IFERROR(MATCH($A696,Raw_D2!$B$2:$B$1001,0),""))</f>
        <v/>
      </c>
      <c r="AR696" s="5">
        <f>IF($A696="","",IFERROR(MATCH($A696,Raw_D3!$A$2:$A$1001,0),""))</f>
        <v>76</v>
      </c>
    </row>
    <row r="697" spans="1:44" x14ac:dyDescent="0.25">
      <c r="A697" s="5">
        <v>696</v>
      </c>
      <c r="B697" s="11">
        <f>IF($A697="","",IF($AP697&lt;&gt;"",INDEX(Raw_D1!$B$2:$B$1001,$AP697),IF($AR697&lt;&gt;"",INDEX(Raw_D3!$B$2:$B$1001,$AR697),"")))</f>
        <v>40575.0</v>
      </c>
      <c r="C697" s="5">
        <f>IF($A697="","",IF($AP697&lt;&gt;"",INDEX(Raw_D1!$C$2:$C$1001,$AP697),IF($AR697&lt;&gt;"",INDEX(Raw_D3!$C$2:$C$1001,$AR697),"")))</f>
        <v>1</v>
      </c>
      <c r="D697" s="5">
        <f>IF($A697="","",IF($AP697&lt;&gt;"",INDEX(Raw_D1!$D$2:$D$1001,$AP697),IF($AR697&lt;&gt;"",INDEX(Raw_D3!$D$2:$D$1001,$AR697),"")))</f>
        <v>0</v>
      </c>
      <c r="E697" s="5">
        <f>IF($A697="","",IF($AP697&lt;&gt;"",INDEX(Raw_D1!$E$2:$E$1001,$AP697),IF($AR697&lt;&gt;"",INDEX(Raw_D3!$E$2:$E$1001,$AR697),"")))</f>
        <v>2</v>
      </c>
      <c r="F697" s="5">
        <f>IF($A697="","",IF($AP697&lt;&gt;"",INDEX(Raw_D1!$F$2:$F$1001,$AP697),IF($AR697&lt;&gt;"",INDEX(Raw_D3!$F$2:$F$1001,$AR697),"")))</f>
        <v>8</v>
      </c>
      <c r="G697" s="5">
        <f>IF($A697="","",IF($AP697&lt;&gt;"",IF(INDEX(Raw_D1!$G$2:$G$1001,$AP697),1,0),IF($AR697&lt;&gt;"",IF(INDEX(Raw_D3!$G$2:$G$1001,$AR697),1,0),"")))</f>
        <v>0</v>
      </c>
      <c r="H697" s="5">
        <f>IF($A697="","",IF($AP697&lt;&gt;"",INDEX(Raw_D1!$H$2:$H$1001,$AP697),IF($AR697&lt;&gt;"",INDEX(Raw_D3!$H$2:$H$1001,$AR697),"")))</f>
        <v>2</v>
      </c>
      <c r="I697" s="5">
        <f>IF($A697="","",IF($AP697&lt;&gt;"",INDEX(Raw_D1!$I$2:$I$1001,$AP697),IF($AR697&lt;&gt;"",INDEX(Raw_D3!$I$2:$I$1001,$AR697),"")))</f>
        <v>3</v>
      </c>
      <c r="J697" s="16">
        <f>IF($A697="","",IF($AP697&lt;&gt;"",INDEX(Raw_D1!$J$2:$J$1001,$AP697),IF($AR697&lt;&gt;"",INDEX(Raw_D3!$J$2:$J$1001,$AR697),"")))</f>
        <v>0.16</v>
      </c>
      <c r="K697" s="17">
        <f>IF($A697="","",IF($AQ697&lt;&gt;"",IF(INDEX(Raw_D2!$C$2:$C$1001,$AQ697)="","",INDEX(Raw_D2!$C$2:$C$1001,$AQ697)),IF($AR697&lt;&gt;"",IF(INDEX(Raw_D3!$K$2:$K$1001,$AR697)="","",INDEX(Raw_D3!$K$2:$K$1001,$AR697)),"")))</f>
        <v>0.2273</v>
      </c>
      <c r="L697" s="16">
        <f>IF($A697="","",IF($AQ697&lt;&gt;"",IF(INDEX(Raw_D2!$D$2:$D$1001,$AQ697)="","",INDEX(Raw_D2!$D$2:$D$1001,$AQ697)),IF($AR697&lt;&gt;"",IF(INDEX(Raw_D3!$L$2:$L$1001,$AR697)="","",INDEX(Raw_D3!$L$2:$L$1001,$AR697)),"")))</f>
        <v>0.93</v>
      </c>
      <c r="M697" s="17">
        <f>IF($A697="","",IF($AQ697&lt;&gt;"",IF(INDEX(Raw_D2!$E$2:$E$1001,$AQ697)="","",INDEX(Raw_D2!$E$2:$E$1001,$AQ697)),IF($AR697&lt;&gt;"",IF(INDEX(Raw_D3!$M$2:$M$1001,$AR697)="","",INDEX(Raw_D3!$M$2:$M$1001,$AR697)),"")))</f>
        <v>0</v>
      </c>
      <c r="N697" s="5">
        <f>IF($A697="","",IF($AQ697&lt;&gt;"",IF(INDEX(Raw_D2!$F$2:$F$1001,$AQ697)="","",INDEX(Raw_D2!$F$2:$F$1001,$AQ697)),IF($AR697&lt;&gt;"",IF(INDEX(Raw_D3!$N$2:$N$1001,$AR697)="","",INDEX(Raw_D3!$N$2:$N$1001,$AR697)),"")))</f>
        <v>3</v>
      </c>
      <c r="O697" s="5">
        <f>IF($A697="","",IF($AQ697&lt;&gt;"",IF(INDEX(Raw_D2!$G$2:$G$1001,$AQ697)="","",INDEX(Raw_D2!$G$2:$G$1001,$AQ697)),IF($AR697&lt;&gt;"",IF(INDEX(Raw_D3!$O$2:$O$1001,$AR697)="","",INDEX(Raw_D3!$O$2:$O$1001,$AR697)),"")))</f>
        <v>132</v>
      </c>
      <c r="P697" s="5">
        <f>IF($A697="","",IF($AQ697&lt;&gt;"",IF(INDEX(Raw_D2!$H$2:$H$1001,$AQ697)="","",INDEX(Raw_D2!$H$2:$H$1001,$AQ697)),IF($AR697&lt;&gt;"",IF(INDEX(Raw_D3!$P$2:$P$1001,$AR697)="","",INDEX(Raw_D3!$P$2:$P$1001,$AR697)),"")))</f>
        <v>135</v>
      </c>
      <c r="Q697" s="5" t="str">
        <f>IF($A697="","",IF(AND($AP697&lt;&gt;"",$AQ697&lt;&gt;""),"D1+D2",IF($AR697&lt;&gt;"","D3","Incomplete")))</f>
        <v>D3</v>
      </c>
      <c r="R697" s="17">
        <f>IF($A697="","",IF($K697="",IF($J697="","",ROUND(Lookups!$K$5+Lookups!$K$4*$J697,4)),$K697))</f>
        <v>0.2273</v>
      </c>
      <c r="S697" s="5" t="str">
        <f>IF($A697="","",IF($K697="","Imputed","Original"))</f>
        <v>Original</v>
      </c>
      <c r="T697" s="5" t="str">
        <f>IF($A697="","",IF($P697="","Missing",IF($P697=$N697+$O697,"OK","Mismatch")))</f>
        <v>OK</v>
      </c>
      <c r="U697" s="5" t="str">
        <f>IF($A697="","",IF(COUNTIF($A$2:$A697,$A697)&gt;1,"Duplicate","Unique"))</f>
        <v>Unique</v>
      </c>
      <c r="V697" s="5">
        <f>IF($A697="","",IF(AND($U697="Unique",ISNUMBER($P697)),1,0))</f>
        <v>1</v>
      </c>
      <c r="W697" s="5" t="str">
        <f>IF($A697="","",IF(OR($H697=0,$H697=6),"Weekend","Weekday"))</f>
        <v>Weekday</v>
      </c>
      <c r="X697" s="5" t="str">
        <f>IF($A697="","",TEXT($B697,"ddd"))</f>
        <v>Tue</v>
      </c>
      <c r="Y697" s="5" t="str">
        <f>IF($A697="","",TEXT($B697,"mmm"))</f>
        <v>Feb</v>
      </c>
      <c r="Z697" s="5" t="str">
        <f>IF($A697="","",IFERROR(VLOOKUP($C697,Lookups!$D$4:$E$7,2,FALSE),"Unknown"))</f>
        <v>Winter</v>
      </c>
      <c r="AA697" s="5" t="str">
        <f>IF($A697="","",IFERROR(VLOOKUP($I697,Lookups!$A$4:$B$7,2,FALSE),"Unknown"))</f>
        <v>Light Rain/Snow</v>
      </c>
      <c r="AB697" s="5" t="str">
        <f>IF($A697="","",TEXT($F697,"00")&amp;":00")</f>
        <v>08:00</v>
      </c>
      <c r="AC697" s="5" t="str">
        <f>IF($A697="","",VLOOKUP($F697,Lookups!$G$4:$H$8,2,TRUE))</f>
        <v>Morning Peak (06-09)</v>
      </c>
      <c r="AD697" s="18">
        <f>IF($A697="","",IF($J697="","",ROUND($J697*41,1)))</f>
        <v>6.6</v>
      </c>
      <c r="AE697" s="18">
        <f>IF($A697="","",IF($R697="","",ROUND($R697*50,1)))</f>
        <v>11.4</v>
      </c>
      <c r="AF697" s="5">
        <f>IF($A697="","",IF($L697="","",ROUND($L697*100,0)))</f>
        <v>93</v>
      </c>
      <c r="AG697" s="18">
        <f>IF($A697="","",IF($M697="","",ROUND($M697*67,1)))</f>
        <v>0</v>
      </c>
      <c r="AH697" s="19">
        <f>IF($A697="","",IF($P697="","",IF($P697=0,0,$O697/$P697)))</f>
        <v>0.977777777777778</v>
      </c>
      <c r="AI697" s="5" t="str">
        <f>IF($A697="","",IF($P697="","",IF($P697&gt;=Lookups!$K$7,"High",IF($P697&lt;=Lookups!$K$8,"Low","Medium"))))</f>
        <v>High</v>
      </c>
      <c r="AJ697" s="5" t="str">
        <f>IF($A697="","",IF($AD697="","",IF($AD697&lt;5,"Under 5 C",IF($AD697&lt;10,"5-10 C",IF($AD697&lt;15,"10-15 C","15 C and above")))))</f>
        <v>5-10 C</v>
      </c>
      <c r="AK697" s="5">
        <f>IF($A697="","",IF($P697="","",$P697^2))</f>
        <v>18225</v>
      </c>
      <c r="AL697" s="18">
        <f>IF($V697&lt;&gt;1,"",AVERAGEIFS(Clean_Data!$P$2:$P$1001,Clean_Data!$F$2:$F$1001,$F697,Clean_Data!$W$2:$W$1001,$W697,Clean_Data!$V$2:$V$1001,1))</f>
        <v>183.535714285714</v>
      </c>
      <c r="AM697" s="16">
        <f>IF($V697&lt;&gt;1,"",IFERROR(($P697-$AL697)/SQRT(MAX(0,(SUMIFS(Clean_Data!$AK$2:$AK$1001,Clean_Data!$F$2:$F$1001,$F697,Clean_Data!$W$2:$W$1001,$W697,Clean_Data!$V$2:$V$1001,1)-COUNTIFS(Clean_Data!$F$2:$F$1001,$F697,Clean_Data!$W$2:$W$1001,$W697,Clean_Data!$V$2:$V$1001,1)*$AL697^2)/(COUNTIFS(Clean_Data!$F$2:$F$1001,$F697,Clean_Data!$W$2:$W$1001,$W697,Clean_Data!$V$2:$V$1001,1)-1))),""))</f>
        <v>-0.995807894879551</v>
      </c>
      <c r="AN697" s="5" t="str">
        <f>IF($AM697="","",IF($AM697&gt;=Lookups!$K$6,"High spike",IF($AM697&lt;=-Lookups!$K$6,"Unusual low","Normal")))</f>
        <v>Normal</v>
      </c>
      <c r="AO697" s="20">
        <f>IF($V697&lt;&gt;1,"",$P697+ROW()/100000)</f>
        <v>135.00697</v>
      </c>
      <c r="AP697" s="5">
        <f>IF($A697="","",IFERROR(MATCH($A697,Raw_D1!$A$2:$A$1001,0),""))</f>
        <v/>
      </c>
      <c r="AQ697" s="5">
        <f>IF($A697="","",IFERROR(MATCH($A697,Raw_D2!$B$2:$B$1001,0),""))</f>
        <v/>
      </c>
      <c r="AR697" s="5">
        <f>IF($A697="","",IFERROR(MATCH($A697,Raw_D3!$A$2:$A$1001,0),""))</f>
        <v>77</v>
      </c>
    </row>
    <row r="698" spans="1:44" x14ac:dyDescent="0.25">
      <c r="A698" s="5">
        <v>697</v>
      </c>
      <c r="B698" s="11">
        <f>IF($A698="","",IF($AP698&lt;&gt;"",INDEX(Raw_D1!$B$2:$B$1001,$AP698),IF($AR698&lt;&gt;"",INDEX(Raw_D3!$B$2:$B$1001,$AR698),"")))</f>
        <v>40575.0</v>
      </c>
      <c r="C698" s="5">
        <f>IF($A698="","",IF($AP698&lt;&gt;"",INDEX(Raw_D1!$C$2:$C$1001,$AP698),IF($AR698&lt;&gt;"",INDEX(Raw_D3!$C$2:$C$1001,$AR698),"")))</f>
        <v>1</v>
      </c>
      <c r="D698" s="5">
        <f>IF($A698="","",IF($AP698&lt;&gt;"",INDEX(Raw_D1!$D$2:$D$1001,$AP698),IF($AR698&lt;&gt;"",INDEX(Raw_D3!$D$2:$D$1001,$AR698),"")))</f>
        <v>0</v>
      </c>
      <c r="E698" s="5">
        <f>IF($A698="","",IF($AP698&lt;&gt;"",INDEX(Raw_D1!$E$2:$E$1001,$AP698),IF($AR698&lt;&gt;"",INDEX(Raw_D3!$E$2:$E$1001,$AR698),"")))</f>
        <v>2</v>
      </c>
      <c r="F698" s="5">
        <f>IF($A698="","",IF($AP698&lt;&gt;"",INDEX(Raw_D1!$F$2:$F$1001,$AP698),IF($AR698&lt;&gt;"",INDEX(Raw_D3!$F$2:$F$1001,$AR698),"")))</f>
        <v>9</v>
      </c>
      <c r="G698" s="5">
        <f>IF($A698="","",IF($AP698&lt;&gt;"",IF(INDEX(Raw_D1!$G$2:$G$1001,$AP698),1,0),IF($AR698&lt;&gt;"",IF(INDEX(Raw_D3!$G$2:$G$1001,$AR698),1,0),"")))</f>
        <v>0</v>
      </c>
      <c r="H698" s="5">
        <f>IF($A698="","",IF($AP698&lt;&gt;"",INDEX(Raw_D1!$H$2:$H$1001,$AP698),IF($AR698&lt;&gt;"",INDEX(Raw_D3!$H$2:$H$1001,$AR698),"")))</f>
        <v>2</v>
      </c>
      <c r="I698" s="5">
        <f>IF($A698="","",IF($AP698&lt;&gt;"",INDEX(Raw_D1!$I$2:$I$1001,$AP698),IF($AR698&lt;&gt;"",INDEX(Raw_D3!$I$2:$I$1001,$AR698),"")))</f>
        <v>2</v>
      </c>
      <c r="J698" s="16">
        <f>IF($A698="","",IF($AP698&lt;&gt;"",INDEX(Raw_D1!$J$2:$J$1001,$AP698),IF($AR698&lt;&gt;"",INDEX(Raw_D3!$J$2:$J$1001,$AR698),"")))</f>
        <v>0.16</v>
      </c>
      <c r="K698" s="17">
        <f>IF($A698="","",IF($AQ698&lt;&gt;"",IF(INDEX(Raw_D2!$C$2:$C$1001,$AQ698)="","",INDEX(Raw_D2!$C$2:$C$1001,$AQ698)),IF($AR698&lt;&gt;"",IF(INDEX(Raw_D3!$K$2:$K$1001,$AR698)="","",INDEX(Raw_D3!$K$2:$K$1001,$AR698)),"")))</f>
        <v>0.2273</v>
      </c>
      <c r="L698" s="16">
        <f>IF($A698="","",IF($AQ698&lt;&gt;"",IF(INDEX(Raw_D2!$D$2:$D$1001,$AQ698)="","",INDEX(Raw_D2!$D$2:$D$1001,$AQ698)),IF($AR698&lt;&gt;"",IF(INDEX(Raw_D3!$L$2:$L$1001,$AR698)="","",INDEX(Raw_D3!$L$2:$L$1001,$AR698)),"")))</f>
        <v>0.93</v>
      </c>
      <c r="M698" s="17">
        <f>IF($A698="","",IF($AQ698&lt;&gt;"",IF(INDEX(Raw_D2!$E$2:$E$1001,$AQ698)="","",INDEX(Raw_D2!$E$2:$E$1001,$AQ698)),IF($AR698&lt;&gt;"",IF(INDEX(Raw_D3!$M$2:$M$1001,$AR698)="","",INDEX(Raw_D3!$M$2:$M$1001,$AR698)),"")))</f>
        <v>0</v>
      </c>
      <c r="N698" s="5">
        <f>IF($A698="","",IF($AQ698&lt;&gt;"",IF(INDEX(Raw_D2!$F$2:$F$1001,$AQ698)="","",INDEX(Raw_D2!$F$2:$F$1001,$AQ698)),IF($AR698&lt;&gt;"",IF(INDEX(Raw_D3!$N$2:$N$1001,$AR698)="","",INDEX(Raw_D3!$N$2:$N$1001,$AR698)),"")))</f>
        <v>2</v>
      </c>
      <c r="O698" s="5">
        <f>IF($A698="","",IF($AQ698&lt;&gt;"",IF(INDEX(Raw_D2!$G$2:$G$1001,$AQ698)="","",INDEX(Raw_D2!$G$2:$G$1001,$AQ698)),IF($AR698&lt;&gt;"",IF(INDEX(Raw_D3!$O$2:$O$1001,$AR698)="","",INDEX(Raw_D3!$O$2:$O$1001,$AR698)),"")))</f>
        <v>114</v>
      </c>
      <c r="P698" s="5">
        <f>IF($A698="","",IF($AQ698&lt;&gt;"",IF(INDEX(Raw_D2!$H$2:$H$1001,$AQ698)="","",INDEX(Raw_D2!$H$2:$H$1001,$AQ698)),IF($AR698&lt;&gt;"",IF(INDEX(Raw_D3!$P$2:$P$1001,$AR698)="","",INDEX(Raw_D3!$P$2:$P$1001,$AR698)),"")))</f>
        <v>116</v>
      </c>
      <c r="Q698" s="5" t="str">
        <f>IF($A698="","",IF(AND($AP698&lt;&gt;"",$AQ698&lt;&gt;""),"D1+D2",IF($AR698&lt;&gt;"","D3","Incomplete")))</f>
        <v>D3</v>
      </c>
      <c r="R698" s="17">
        <f>IF($A698="","",IF($K698="",IF($J698="","",ROUND(Lookups!$K$5+Lookups!$K$4*$J698,4)),$K698))</f>
        <v>0.2273</v>
      </c>
      <c r="S698" s="5" t="str">
        <f>IF($A698="","",IF($K698="","Imputed","Original"))</f>
        <v>Original</v>
      </c>
      <c r="T698" s="5" t="str">
        <f>IF($A698="","",IF($P698="","Missing",IF($P698=$N698+$O698,"OK","Mismatch")))</f>
        <v>OK</v>
      </c>
      <c r="U698" s="5" t="str">
        <f>IF($A698="","",IF(COUNTIF($A$2:$A698,$A698)&gt;1,"Duplicate","Unique"))</f>
        <v>Unique</v>
      </c>
      <c r="V698" s="5">
        <f>IF($A698="","",IF(AND($U698="Unique",ISNUMBER($P698)),1,0))</f>
        <v>1</v>
      </c>
      <c r="W698" s="5" t="str">
        <f>IF($A698="","",IF(OR($H698=0,$H698=6),"Weekend","Weekday"))</f>
        <v>Weekday</v>
      </c>
      <c r="X698" s="5" t="str">
        <f>IF($A698="","",TEXT($B698,"ddd"))</f>
        <v>Tue</v>
      </c>
      <c r="Y698" s="5" t="str">
        <f>IF($A698="","",TEXT($B698,"mmm"))</f>
        <v>Feb</v>
      </c>
      <c r="Z698" s="5" t="str">
        <f>IF($A698="","",IFERROR(VLOOKUP($C698,Lookups!$D$4:$E$7,2,FALSE),"Unknown"))</f>
        <v>Winter</v>
      </c>
      <c r="AA698" s="5" t="str">
        <f>IF($A698="","",IFERROR(VLOOKUP($I698,Lookups!$A$4:$B$7,2,FALSE),"Unknown"))</f>
        <v>Mist/Cloudy</v>
      </c>
      <c r="AB698" s="5" t="str">
        <f>IF($A698="","",TEXT($F698,"00")&amp;":00")</f>
        <v>09:00</v>
      </c>
      <c r="AC698" s="5" t="str">
        <f>IF($A698="","",VLOOKUP($F698,Lookups!$G$4:$H$8,2,TRUE))</f>
        <v>Morning Peak (06-09)</v>
      </c>
      <c r="AD698" s="18">
        <f>IF($A698="","",IF($J698="","",ROUND($J698*41,1)))</f>
        <v>6.6</v>
      </c>
      <c r="AE698" s="18">
        <f>IF($A698="","",IF($R698="","",ROUND($R698*50,1)))</f>
        <v>11.4</v>
      </c>
      <c r="AF698" s="5">
        <f>IF($A698="","",IF($L698="","",ROUND($L698*100,0)))</f>
        <v>93</v>
      </c>
      <c r="AG698" s="18">
        <f>IF($A698="","",IF($M698="","",ROUND($M698*67,1)))</f>
        <v>0</v>
      </c>
      <c r="AH698" s="19">
        <f>IF($A698="","",IF($P698="","",IF($P698=0,0,$O698/$P698)))</f>
        <v>0.982758620689655</v>
      </c>
      <c r="AI698" s="5" t="str">
        <f>IF($A698="","",IF($P698="","",IF($P698&gt;=Lookups!$K$7,"High",IF($P698&lt;=Lookups!$K$8,"Low","Medium"))))</f>
        <v>High</v>
      </c>
      <c r="AJ698" s="5" t="str">
        <f>IF($A698="","",IF($AD698="","",IF($AD698&lt;5,"Under 5 C",IF($AD698&lt;10,"5-10 C",IF($AD698&lt;15,"10-15 C","15 C and above")))))</f>
        <v>5-10 C</v>
      </c>
      <c r="AK698" s="5">
        <f>IF($A698="","",IF($P698="","",$P698^2))</f>
        <v>13456</v>
      </c>
      <c r="AL698" s="18">
        <f>IF($V698&lt;&gt;1,"",AVERAGEIFS(Clean_Data!$P$2:$P$1001,Clean_Data!$F$2:$F$1001,$F698,Clean_Data!$W$2:$W$1001,$W698,Clean_Data!$V$2:$V$1001,1))</f>
        <v>115.678571428571</v>
      </c>
      <c r="AM698" s="16">
        <f>IF($V698&lt;&gt;1,"",IFERROR(($P698-$AL698)/SQRT(MAX(0,(SUMIFS(Clean_Data!$AK$2:$AK$1001,Clean_Data!$F$2:$F$1001,$F698,Clean_Data!$W$2:$W$1001,$W698,Clean_Data!$V$2:$V$1001,1)-COUNTIFS(Clean_Data!$F$2:$F$1001,$F698,Clean_Data!$W$2:$W$1001,$W698,Clean_Data!$V$2:$V$1001,1)*$AL698^2)/(COUNTIFS(Clean_Data!$F$2:$F$1001,$F698,Clean_Data!$W$2:$W$1001,$W698,Clean_Data!$V$2:$V$1001,1)-1))),""))</f>
        <v>0.0124689429328685</v>
      </c>
      <c r="AN698" s="5" t="str">
        <f>IF($AM698="","",IF($AM698&gt;=Lookups!$K$6,"High spike",IF($AM698&lt;=-Lookups!$K$6,"Unusual low","Normal")))</f>
        <v>Normal</v>
      </c>
      <c r="AO698" s="20">
        <f>IF($V698&lt;&gt;1,"",$P698+ROW()/100000)</f>
        <v>116.00698</v>
      </c>
      <c r="AP698" s="5">
        <f>IF($A698="","",IFERROR(MATCH($A698,Raw_D1!$A$2:$A$1001,0),""))</f>
        <v/>
      </c>
      <c r="AQ698" s="5">
        <f>IF($A698="","",IFERROR(MATCH($A698,Raw_D2!$B$2:$B$1001,0),""))</f>
        <v/>
      </c>
      <c r="AR698" s="5">
        <f>IF($A698="","",IFERROR(MATCH($A698,Raw_D3!$A$2:$A$1001,0),""))</f>
        <v>78</v>
      </c>
    </row>
    <row r="699" spans="1:44" x14ac:dyDescent="0.25">
      <c r="A699" s="5">
        <v>698</v>
      </c>
      <c r="B699" s="11">
        <f>IF($A699="","",IF($AP699&lt;&gt;"",INDEX(Raw_D1!$B$2:$B$1001,$AP699),IF($AR699&lt;&gt;"",INDEX(Raw_D3!$B$2:$B$1001,$AR699),"")))</f>
        <v>40575.0</v>
      </c>
      <c r="C699" s="5">
        <f>IF($A699="","",IF($AP699&lt;&gt;"",INDEX(Raw_D1!$C$2:$C$1001,$AP699),IF($AR699&lt;&gt;"",INDEX(Raw_D3!$C$2:$C$1001,$AR699),"")))</f>
        <v>1</v>
      </c>
      <c r="D699" s="5">
        <f>IF($A699="","",IF($AP699&lt;&gt;"",INDEX(Raw_D1!$D$2:$D$1001,$AP699),IF($AR699&lt;&gt;"",INDEX(Raw_D3!$D$2:$D$1001,$AR699),"")))</f>
        <v>0</v>
      </c>
      <c r="E699" s="5">
        <f>IF($A699="","",IF($AP699&lt;&gt;"",INDEX(Raw_D1!$E$2:$E$1001,$AP699),IF($AR699&lt;&gt;"",INDEX(Raw_D3!$E$2:$E$1001,$AR699),"")))</f>
        <v>2</v>
      </c>
      <c r="F699" s="5">
        <f>IF($A699="","",IF($AP699&lt;&gt;"",INDEX(Raw_D1!$F$2:$F$1001,$AP699),IF($AR699&lt;&gt;"",INDEX(Raw_D3!$F$2:$F$1001,$AR699),"")))</f>
        <v>10</v>
      </c>
      <c r="G699" s="5">
        <f>IF($A699="","",IF($AP699&lt;&gt;"",IF(INDEX(Raw_D1!$G$2:$G$1001,$AP699),1,0),IF($AR699&lt;&gt;"",IF(INDEX(Raw_D3!$G$2:$G$1001,$AR699),1,0),"")))</f>
        <v>0</v>
      </c>
      <c r="H699" s="5">
        <f>IF($A699="","",IF($AP699&lt;&gt;"",INDEX(Raw_D1!$H$2:$H$1001,$AP699),IF($AR699&lt;&gt;"",INDEX(Raw_D3!$H$2:$H$1001,$AR699),"")))</f>
        <v>2</v>
      </c>
      <c r="I699" s="5">
        <f>IF($A699="","",IF($AP699&lt;&gt;"",INDEX(Raw_D1!$I$2:$I$1001,$AP699),IF($AR699&lt;&gt;"",INDEX(Raw_D3!$I$2:$I$1001,$AR699),"")))</f>
        <v>2</v>
      </c>
      <c r="J699" s="16">
        <f>IF($A699="","",IF($AP699&lt;&gt;"",INDEX(Raw_D1!$J$2:$J$1001,$AP699),IF($AR699&lt;&gt;"",INDEX(Raw_D3!$J$2:$J$1001,$AR699),"")))</f>
        <v>0.16</v>
      </c>
      <c r="K699" s="17">
        <f>IF($A699="","",IF($AQ699&lt;&gt;"",IF(INDEX(Raw_D2!$C$2:$C$1001,$AQ699)="","",INDEX(Raw_D2!$C$2:$C$1001,$AQ699)),IF($AR699&lt;&gt;"",IF(INDEX(Raw_D3!$K$2:$K$1001,$AR699)="","",INDEX(Raw_D3!$K$2:$K$1001,$AR699)),"")))</f>
        <v>0.2273</v>
      </c>
      <c r="L699" s="16">
        <f>IF($A699="","",IF($AQ699&lt;&gt;"",IF(INDEX(Raw_D2!$D$2:$D$1001,$AQ699)="","",INDEX(Raw_D2!$D$2:$D$1001,$AQ699)),IF($AR699&lt;&gt;"",IF(INDEX(Raw_D3!$L$2:$L$1001,$AR699)="","",INDEX(Raw_D3!$L$2:$L$1001,$AR699)),"")))</f>
        <v>0.93</v>
      </c>
      <c r="M699" s="17">
        <f>IF($A699="","",IF($AQ699&lt;&gt;"",IF(INDEX(Raw_D2!$E$2:$E$1001,$AQ699)="","",INDEX(Raw_D2!$E$2:$E$1001,$AQ699)),IF($AR699&lt;&gt;"",IF(INDEX(Raw_D3!$M$2:$M$1001,$AR699)="","",INDEX(Raw_D3!$M$2:$M$1001,$AR699)),"")))</f>
        <v>0</v>
      </c>
      <c r="N699" s="5">
        <f>IF($A699="","",IF($AQ699&lt;&gt;"",IF(INDEX(Raw_D2!$F$2:$F$1001,$AQ699)="","",INDEX(Raw_D2!$F$2:$F$1001,$AQ699)),IF($AR699&lt;&gt;"",IF(INDEX(Raw_D3!$N$2:$N$1001,$AR699)="","",INDEX(Raw_D3!$N$2:$N$1001,$AR699)),"")))</f>
        <v>0</v>
      </c>
      <c r="O699" s="5">
        <f>IF($A699="","",IF($AQ699&lt;&gt;"",IF(INDEX(Raw_D2!$G$2:$G$1001,$AQ699)="","",INDEX(Raw_D2!$G$2:$G$1001,$AQ699)),IF($AR699&lt;&gt;"",IF(INDEX(Raw_D3!$O$2:$O$1001,$AR699)="","",INDEX(Raw_D3!$O$2:$O$1001,$AR699)),"")))</f>
        <v>47</v>
      </c>
      <c r="P699" s="5">
        <f>IF($A699="","",IF($AQ699&lt;&gt;"",IF(INDEX(Raw_D2!$H$2:$H$1001,$AQ699)="","",INDEX(Raw_D2!$H$2:$H$1001,$AQ699)),IF($AR699&lt;&gt;"",IF(INDEX(Raw_D3!$P$2:$P$1001,$AR699)="","",INDEX(Raw_D3!$P$2:$P$1001,$AR699)),"")))</f>
        <v>47</v>
      </c>
      <c r="Q699" s="5" t="str">
        <f>IF($A699="","",IF(AND($AP699&lt;&gt;"",$AQ699&lt;&gt;""),"D1+D2",IF($AR699&lt;&gt;"","D3","Incomplete")))</f>
        <v>D3</v>
      </c>
      <c r="R699" s="17">
        <f>IF($A699="","",IF($K699="",IF($J699="","",ROUND(Lookups!$K$5+Lookups!$K$4*$J699,4)),$K699))</f>
        <v>0.2273</v>
      </c>
      <c r="S699" s="5" t="str">
        <f>IF($A699="","",IF($K699="","Imputed","Original"))</f>
        <v>Original</v>
      </c>
      <c r="T699" s="5" t="str">
        <f>IF($A699="","",IF($P699="","Missing",IF($P699=$N699+$O699,"OK","Mismatch")))</f>
        <v>OK</v>
      </c>
      <c r="U699" s="5" t="str">
        <f>IF($A699="","",IF(COUNTIF($A$2:$A699,$A699)&gt;1,"Duplicate","Unique"))</f>
        <v>Unique</v>
      </c>
      <c r="V699" s="5">
        <f>IF($A699="","",IF(AND($U699="Unique",ISNUMBER($P699)),1,0))</f>
        <v>1</v>
      </c>
      <c r="W699" s="5" t="str">
        <f>IF($A699="","",IF(OR($H699=0,$H699=6),"Weekend","Weekday"))</f>
        <v>Weekday</v>
      </c>
      <c r="X699" s="5" t="str">
        <f>IF($A699="","",TEXT($B699,"ddd"))</f>
        <v>Tue</v>
      </c>
      <c r="Y699" s="5" t="str">
        <f>IF($A699="","",TEXT($B699,"mmm"))</f>
        <v>Feb</v>
      </c>
      <c r="Z699" s="5" t="str">
        <f>IF($A699="","",IFERROR(VLOOKUP($C699,Lookups!$D$4:$E$7,2,FALSE),"Unknown"))</f>
        <v>Winter</v>
      </c>
      <c r="AA699" s="5" t="str">
        <f>IF($A699="","",IFERROR(VLOOKUP($I699,Lookups!$A$4:$B$7,2,FALSE),"Unknown"))</f>
        <v>Mist/Cloudy</v>
      </c>
      <c r="AB699" s="5" t="str">
        <f>IF($A699="","",TEXT($F699,"00")&amp;":00")</f>
        <v>10:00</v>
      </c>
      <c r="AC699" s="5" t="str">
        <f>IF($A699="","",VLOOKUP($F699,Lookups!$G$4:$H$8,2,TRUE))</f>
        <v>Midday (10-15)</v>
      </c>
      <c r="AD699" s="18">
        <f>IF($A699="","",IF($J699="","",ROUND($J699*41,1)))</f>
        <v>6.6</v>
      </c>
      <c r="AE699" s="18">
        <f>IF($A699="","",IF($R699="","",ROUND($R699*50,1)))</f>
        <v>11.4</v>
      </c>
      <c r="AF699" s="5">
        <f>IF($A699="","",IF($L699="","",ROUND($L699*100,0)))</f>
        <v>93</v>
      </c>
      <c r="AG699" s="18">
        <f>IF($A699="","",IF($M699="","",ROUND($M699*67,1)))</f>
        <v>0</v>
      </c>
      <c r="AH699" s="19">
        <f>IF($A699="","",IF($P699="","",IF($P699=0,0,$O699/$P699)))</f>
        <v>1</v>
      </c>
      <c r="AI699" s="5" t="str">
        <f>IF($A699="","",IF($P699="","",IF($P699&gt;=Lookups!$K$7,"High",IF($P699&lt;=Lookups!$K$8,"Low","Medium"))))</f>
        <v>Medium</v>
      </c>
      <c r="AJ699" s="5" t="str">
        <f>IF($A699="","",IF($AD699="","",IF($AD699&lt;5,"Under 5 C",IF($AD699&lt;10,"5-10 C",IF($AD699&lt;15,"10-15 C","15 C and above")))))</f>
        <v>5-10 C</v>
      </c>
      <c r="AK699" s="5">
        <f>IF($A699="","",IF($P699="","",$P699^2))</f>
        <v>2209</v>
      </c>
      <c r="AL699" s="18">
        <f>IF($V699&lt;&gt;1,"",AVERAGEIFS(Clean_Data!$P$2:$P$1001,Clean_Data!$F$2:$F$1001,$F699,Clean_Data!$W$2:$W$1001,$W699,Clean_Data!$V$2:$V$1001,1))</f>
        <v>49.0714285714286</v>
      </c>
      <c r="AM699" s="16">
        <f>IF($V699&lt;&gt;1,"",IFERROR(($P699-$AL699)/SQRT(MAX(0,(SUMIFS(Clean_Data!$AK$2:$AK$1001,Clean_Data!$F$2:$F$1001,$F699,Clean_Data!$W$2:$W$1001,$W699,Clean_Data!$V$2:$V$1001,1)-COUNTIFS(Clean_Data!$F$2:$F$1001,$F699,Clean_Data!$W$2:$W$1001,$W699,Clean_Data!$V$2:$V$1001,1)*$AL699^2)/(COUNTIFS(Clean_Data!$F$2:$F$1001,$F699,Clean_Data!$W$2:$W$1001,$W699,Clean_Data!$V$2:$V$1001,1)-1))),""))</f>
        <v>-0.205256433332298</v>
      </c>
      <c r="AN699" s="5" t="str">
        <f>IF($AM699="","",IF($AM699&gt;=Lookups!$K$6,"High spike",IF($AM699&lt;=-Lookups!$K$6,"Unusual low","Normal")))</f>
        <v>Normal</v>
      </c>
      <c r="AO699" s="20">
        <f>IF($V699&lt;&gt;1,"",$P699+ROW()/100000)</f>
        <v>47.00699</v>
      </c>
      <c r="AP699" s="5">
        <f>IF($A699="","",IFERROR(MATCH($A699,Raw_D1!$A$2:$A$1001,0),""))</f>
        <v/>
      </c>
      <c r="AQ699" s="5">
        <f>IF($A699="","",IFERROR(MATCH($A699,Raw_D2!$B$2:$B$1001,0),""))</f>
        <v/>
      </c>
      <c r="AR699" s="5">
        <f>IF($A699="","",IFERROR(MATCH($A699,Raw_D3!$A$2:$A$1001,0),""))</f>
        <v>79</v>
      </c>
    </row>
    <row r="700" spans="1:44" x14ac:dyDescent="0.25">
      <c r="A700" s="5">
        <v>699</v>
      </c>
      <c r="B700" s="11">
        <f>IF($A700="","",IF($AP700&lt;&gt;"",INDEX(Raw_D1!$B$2:$B$1001,$AP700),IF($AR700&lt;&gt;"",INDEX(Raw_D3!$B$2:$B$1001,$AR700),"")))</f>
        <v>40575.0</v>
      </c>
      <c r="C700" s="5">
        <f>IF($A700="","",IF($AP700&lt;&gt;"",INDEX(Raw_D1!$C$2:$C$1001,$AP700),IF($AR700&lt;&gt;"",INDEX(Raw_D3!$C$2:$C$1001,$AR700),"")))</f>
        <v>1</v>
      </c>
      <c r="D700" s="5">
        <f>IF($A700="","",IF($AP700&lt;&gt;"",INDEX(Raw_D1!$D$2:$D$1001,$AP700),IF($AR700&lt;&gt;"",INDEX(Raw_D3!$D$2:$D$1001,$AR700),"")))</f>
        <v>0</v>
      </c>
      <c r="E700" s="5">
        <f>IF($A700="","",IF($AP700&lt;&gt;"",INDEX(Raw_D1!$E$2:$E$1001,$AP700),IF($AR700&lt;&gt;"",INDEX(Raw_D3!$E$2:$E$1001,$AR700),"")))</f>
        <v>2</v>
      </c>
      <c r="F700" s="5">
        <f>IF($A700="","",IF($AP700&lt;&gt;"",INDEX(Raw_D1!$F$2:$F$1001,$AP700),IF($AR700&lt;&gt;"",INDEX(Raw_D3!$F$2:$F$1001,$AR700),"")))</f>
        <v>11</v>
      </c>
      <c r="G700" s="5">
        <f>IF($A700="","",IF($AP700&lt;&gt;"",IF(INDEX(Raw_D1!$G$2:$G$1001,$AP700),1,0),IF($AR700&lt;&gt;"",IF(INDEX(Raw_D3!$G$2:$G$1001,$AR700),1,0),"")))</f>
        <v>0</v>
      </c>
      <c r="H700" s="5">
        <f>IF($A700="","",IF($AP700&lt;&gt;"",INDEX(Raw_D1!$H$2:$H$1001,$AP700),IF($AR700&lt;&gt;"",INDEX(Raw_D3!$H$2:$H$1001,$AR700),"")))</f>
        <v>2</v>
      </c>
      <c r="I700" s="5">
        <f>IF($A700="","",IF($AP700&lt;&gt;"",INDEX(Raw_D1!$I$2:$I$1001,$AP700),IF($AR700&lt;&gt;"",INDEX(Raw_D3!$I$2:$I$1001,$AR700),"")))</f>
        <v>2</v>
      </c>
      <c r="J700" s="16">
        <f>IF($A700="","",IF($AP700&lt;&gt;"",INDEX(Raw_D1!$J$2:$J$1001,$AP700),IF($AR700&lt;&gt;"",INDEX(Raw_D3!$J$2:$J$1001,$AR700),"")))</f>
        <v>0.18</v>
      </c>
      <c r="K700" s="17">
        <f>IF($A700="","",IF($AQ700&lt;&gt;"",IF(INDEX(Raw_D2!$C$2:$C$1001,$AQ700)="","",INDEX(Raw_D2!$C$2:$C$1001,$AQ700)),IF($AR700&lt;&gt;"",IF(INDEX(Raw_D3!$K$2:$K$1001,$AR700)="","",INDEX(Raw_D3!$K$2:$K$1001,$AR700)),"")))</f>
        <v>0.2424</v>
      </c>
      <c r="L700" s="16">
        <f>IF($A700="","",IF($AQ700&lt;&gt;"",IF(INDEX(Raw_D2!$D$2:$D$1001,$AQ700)="","",INDEX(Raw_D2!$D$2:$D$1001,$AQ700)),IF($AR700&lt;&gt;"",IF(INDEX(Raw_D3!$L$2:$L$1001,$AR700)="","",INDEX(Raw_D3!$L$2:$L$1001,$AR700)),"")))</f>
        <v>0.86</v>
      </c>
      <c r="M700" s="17">
        <f>IF($A700="","",IF($AQ700&lt;&gt;"",IF(INDEX(Raw_D2!$E$2:$E$1001,$AQ700)="","",INDEX(Raw_D2!$E$2:$E$1001,$AQ700)),IF($AR700&lt;&gt;"",IF(INDEX(Raw_D3!$M$2:$M$1001,$AR700)="","",INDEX(Raw_D3!$M$2:$M$1001,$AR700)),"")))</f>
        <v>0</v>
      </c>
      <c r="N700" s="5">
        <f>IF($A700="","",IF($AQ700&lt;&gt;"",IF(INDEX(Raw_D2!$F$2:$F$1001,$AQ700)="","",INDEX(Raw_D2!$F$2:$F$1001,$AQ700)),IF($AR700&lt;&gt;"",IF(INDEX(Raw_D3!$N$2:$N$1001,$AR700)="","",INDEX(Raw_D3!$N$2:$N$1001,$AR700)),"")))</f>
        <v>2</v>
      </c>
      <c r="O700" s="5">
        <f>IF($A700="","",IF($AQ700&lt;&gt;"",IF(INDEX(Raw_D2!$G$2:$G$1001,$AQ700)="","",INDEX(Raw_D2!$G$2:$G$1001,$AQ700)),IF($AR700&lt;&gt;"",IF(INDEX(Raw_D3!$O$2:$O$1001,$AR700)="","",INDEX(Raw_D3!$O$2:$O$1001,$AR700)),"")))</f>
        <v>49</v>
      </c>
      <c r="P700" s="5">
        <f>IF($A700="","",IF($AQ700&lt;&gt;"",IF(INDEX(Raw_D2!$H$2:$H$1001,$AQ700)="","",INDEX(Raw_D2!$H$2:$H$1001,$AQ700)),IF($AR700&lt;&gt;"",IF(INDEX(Raw_D3!$P$2:$P$1001,$AR700)="","",INDEX(Raw_D3!$P$2:$P$1001,$AR700)),"")))</f>
        <v>51</v>
      </c>
      <c r="Q700" s="5" t="str">
        <f>IF($A700="","",IF(AND($AP700&lt;&gt;"",$AQ700&lt;&gt;""),"D1+D2",IF($AR700&lt;&gt;"","D3","Incomplete")))</f>
        <v>D3</v>
      </c>
      <c r="R700" s="17">
        <f>IF($A700="","",IF($K700="",IF($J700="","",ROUND(Lookups!$K$5+Lookups!$K$4*$J700,4)),$K700))</f>
        <v>0.2424</v>
      </c>
      <c r="S700" s="5" t="str">
        <f>IF($A700="","",IF($K700="","Imputed","Original"))</f>
        <v>Original</v>
      </c>
      <c r="T700" s="5" t="str">
        <f>IF($A700="","",IF($P700="","Missing",IF($P700=$N700+$O700,"OK","Mismatch")))</f>
        <v>OK</v>
      </c>
      <c r="U700" s="5" t="str">
        <f>IF($A700="","",IF(COUNTIF($A$2:$A700,$A700)&gt;1,"Duplicate","Unique"))</f>
        <v>Unique</v>
      </c>
      <c r="V700" s="5">
        <f>IF($A700="","",IF(AND($U700="Unique",ISNUMBER($P700)),1,0))</f>
        <v>1</v>
      </c>
      <c r="W700" s="5" t="str">
        <f>IF($A700="","",IF(OR($H700=0,$H700=6),"Weekend","Weekday"))</f>
        <v>Weekday</v>
      </c>
      <c r="X700" s="5" t="str">
        <f>IF($A700="","",TEXT($B700,"ddd"))</f>
        <v>Tue</v>
      </c>
      <c r="Y700" s="5" t="str">
        <f>IF($A700="","",TEXT($B700,"mmm"))</f>
        <v>Feb</v>
      </c>
      <c r="Z700" s="5" t="str">
        <f>IF($A700="","",IFERROR(VLOOKUP($C700,Lookups!$D$4:$E$7,2,FALSE),"Unknown"))</f>
        <v>Winter</v>
      </c>
      <c r="AA700" s="5" t="str">
        <f>IF($A700="","",IFERROR(VLOOKUP($I700,Lookups!$A$4:$B$7,2,FALSE),"Unknown"))</f>
        <v>Mist/Cloudy</v>
      </c>
      <c r="AB700" s="5" t="str">
        <f>IF($A700="","",TEXT($F700,"00")&amp;":00")</f>
        <v>11:00</v>
      </c>
      <c r="AC700" s="5" t="str">
        <f>IF($A700="","",VLOOKUP($F700,Lookups!$G$4:$H$8,2,TRUE))</f>
        <v>Midday (10-15)</v>
      </c>
      <c r="AD700" s="18">
        <f>IF($A700="","",IF($J700="","",ROUND($J700*41,1)))</f>
        <v>7.4</v>
      </c>
      <c r="AE700" s="18">
        <f>IF($A700="","",IF($R700="","",ROUND($R700*50,1)))</f>
        <v>12.1</v>
      </c>
      <c r="AF700" s="5">
        <f>IF($A700="","",IF($L700="","",ROUND($L700*100,0)))</f>
        <v>86</v>
      </c>
      <c r="AG700" s="18">
        <f>IF($A700="","",IF($M700="","",ROUND($M700*67,1)))</f>
        <v>0</v>
      </c>
      <c r="AH700" s="19">
        <f>IF($A700="","",IF($P700="","",IF($P700=0,0,$O700/$P700)))</f>
        <v>0.96078431372549</v>
      </c>
      <c r="AI700" s="5" t="str">
        <f>IF($A700="","",IF($P700="","",IF($P700&gt;=Lookups!$K$7,"High",IF($P700&lt;=Lookups!$K$8,"Low","Medium"))))</f>
        <v>Medium</v>
      </c>
      <c r="AJ700" s="5" t="str">
        <f>IF($A700="","",IF($AD700="","",IF($AD700&lt;5,"Under 5 C",IF($AD700&lt;10,"5-10 C",IF($AD700&lt;15,"10-15 C","15 C and above")))))</f>
        <v>5-10 C</v>
      </c>
      <c r="AK700" s="5">
        <f>IF($A700="","",IF($P700="","",$P700^2))</f>
        <v>2601</v>
      </c>
      <c r="AL700" s="18">
        <f>IF($V700&lt;&gt;1,"",AVERAGEIFS(Clean_Data!$P$2:$P$1001,Clean_Data!$F$2:$F$1001,$F700,Clean_Data!$W$2:$W$1001,$W700,Clean_Data!$V$2:$V$1001,1))</f>
        <v>50.6071428571429</v>
      </c>
      <c r="AM700" s="16">
        <f>IF($V700&lt;&gt;1,"",IFERROR(($P700-$AL700)/SQRT(MAX(0,(SUMIFS(Clean_Data!$AK$2:$AK$1001,Clean_Data!$F$2:$F$1001,$F700,Clean_Data!$W$2:$W$1001,$W700,Clean_Data!$V$2:$V$1001,1)-COUNTIFS(Clean_Data!$F$2:$F$1001,$F700,Clean_Data!$W$2:$W$1001,$W700,Clean_Data!$V$2:$V$1001,1)*$AL700^2)/(COUNTIFS(Clean_Data!$F$2:$F$1001,$F700,Clean_Data!$W$2:$W$1001,$W700,Clean_Data!$V$2:$V$1001,1)-1))),""))</f>
        <v>0.0350672207857526</v>
      </c>
      <c r="AN700" s="5" t="str">
        <f>IF($AM700="","",IF($AM700&gt;=Lookups!$K$6,"High spike",IF($AM700&lt;=-Lookups!$K$6,"Unusual low","Normal")))</f>
        <v>Normal</v>
      </c>
      <c r="AO700" s="20">
        <f>IF($V700&lt;&gt;1,"",$P700+ROW()/100000)</f>
        <v>51.007</v>
      </c>
      <c r="AP700" s="5">
        <f>IF($A700="","",IFERROR(MATCH($A700,Raw_D1!$A$2:$A$1001,0),""))</f>
        <v/>
      </c>
      <c r="AQ700" s="5">
        <f>IF($A700="","",IFERROR(MATCH($A700,Raw_D2!$B$2:$B$1001,0),""))</f>
        <v/>
      </c>
      <c r="AR700" s="5">
        <f>IF($A700="","",IFERROR(MATCH($A700,Raw_D3!$A$2:$A$1001,0),""))</f>
        <v>80</v>
      </c>
    </row>
    <row r="701" spans="1:44" x14ac:dyDescent="0.25">
      <c r="A701" s="5">
        <v>700</v>
      </c>
      <c r="B701" s="11">
        <f>IF($A701="","",IF($AP701&lt;&gt;"",INDEX(Raw_D1!$B$2:$B$1001,$AP701),IF($AR701&lt;&gt;"",INDEX(Raw_D3!$B$2:$B$1001,$AR701),"")))</f>
        <v>40575.0</v>
      </c>
      <c r="C701" s="5">
        <f>IF($A701="","",IF($AP701&lt;&gt;"",INDEX(Raw_D1!$C$2:$C$1001,$AP701),IF($AR701&lt;&gt;"",INDEX(Raw_D3!$C$2:$C$1001,$AR701),"")))</f>
        <v>1</v>
      </c>
      <c r="D701" s="5">
        <f>IF($A701="","",IF($AP701&lt;&gt;"",INDEX(Raw_D1!$D$2:$D$1001,$AP701),IF($AR701&lt;&gt;"",INDEX(Raw_D3!$D$2:$D$1001,$AR701),"")))</f>
        <v>0</v>
      </c>
      <c r="E701" s="5">
        <f>IF($A701="","",IF($AP701&lt;&gt;"",INDEX(Raw_D1!$E$2:$E$1001,$AP701),IF($AR701&lt;&gt;"",INDEX(Raw_D3!$E$2:$E$1001,$AR701),"")))</f>
        <v>2</v>
      </c>
      <c r="F701" s="5">
        <f>IF($A701="","",IF($AP701&lt;&gt;"",INDEX(Raw_D1!$F$2:$F$1001,$AP701),IF($AR701&lt;&gt;"",INDEX(Raw_D3!$F$2:$F$1001,$AR701),"")))</f>
        <v>12</v>
      </c>
      <c r="G701" s="5">
        <f>IF($A701="","",IF($AP701&lt;&gt;"",IF(INDEX(Raw_D1!$G$2:$G$1001,$AP701),1,0),IF($AR701&lt;&gt;"",IF(INDEX(Raw_D3!$G$2:$G$1001,$AR701),1,0),"")))</f>
        <v>0</v>
      </c>
      <c r="H701" s="5">
        <f>IF($A701="","",IF($AP701&lt;&gt;"",INDEX(Raw_D1!$H$2:$H$1001,$AP701),IF($AR701&lt;&gt;"",INDEX(Raw_D3!$H$2:$H$1001,$AR701),"")))</f>
        <v>2</v>
      </c>
      <c r="I701" s="5">
        <f>IF($A701="","",IF($AP701&lt;&gt;"",INDEX(Raw_D1!$I$2:$I$1001,$AP701),IF($AR701&lt;&gt;"",INDEX(Raw_D3!$I$2:$I$1001,$AR701),"")))</f>
        <v>2</v>
      </c>
      <c r="J701" s="16">
        <f>IF($A701="","",IF($AP701&lt;&gt;"",INDEX(Raw_D1!$J$2:$J$1001,$AP701),IF($AR701&lt;&gt;"",INDEX(Raw_D3!$J$2:$J$1001,$AR701),"")))</f>
        <v>0.2</v>
      </c>
      <c r="K701" s="17">
        <f>IF($A701="","",IF($AQ701&lt;&gt;"",IF(INDEX(Raw_D2!$C$2:$C$1001,$AQ701)="","",INDEX(Raw_D2!$C$2:$C$1001,$AQ701)),IF($AR701&lt;&gt;"",IF(INDEX(Raw_D3!$K$2:$K$1001,$AR701)="","",INDEX(Raw_D3!$K$2:$K$1001,$AR701)),"")))</f>
        <v>0.2576</v>
      </c>
      <c r="L701" s="16">
        <f>IF($A701="","",IF($AQ701&lt;&gt;"",IF(INDEX(Raw_D2!$D$2:$D$1001,$AQ701)="","",INDEX(Raw_D2!$D$2:$D$1001,$AQ701)),IF($AR701&lt;&gt;"",IF(INDEX(Raw_D3!$L$2:$L$1001,$AR701)="","",INDEX(Raw_D3!$L$2:$L$1001,$AR701)),"")))</f>
        <v>0.86</v>
      </c>
      <c r="M701" s="17">
        <f>IF($A701="","",IF($AQ701&lt;&gt;"",IF(INDEX(Raw_D2!$E$2:$E$1001,$AQ701)="","",INDEX(Raw_D2!$E$2:$E$1001,$AQ701)),IF($AR701&lt;&gt;"",IF(INDEX(Raw_D3!$M$2:$M$1001,$AR701)="","",INDEX(Raw_D3!$M$2:$M$1001,$AR701)),"")))</f>
        <v>0</v>
      </c>
      <c r="N701" s="5">
        <f>IF($A701="","",IF($AQ701&lt;&gt;"",IF(INDEX(Raw_D2!$F$2:$F$1001,$AQ701)="","",INDEX(Raw_D2!$F$2:$F$1001,$AQ701)),IF($AR701&lt;&gt;"",IF(INDEX(Raw_D3!$N$2:$N$1001,$AR701)="","",INDEX(Raw_D3!$N$2:$N$1001,$AR701)),"")))</f>
        <v>2</v>
      </c>
      <c r="O701" s="5">
        <f>IF($A701="","",IF($AQ701&lt;&gt;"",IF(INDEX(Raw_D2!$G$2:$G$1001,$AQ701)="","",INDEX(Raw_D2!$G$2:$G$1001,$AQ701)),IF($AR701&lt;&gt;"",IF(INDEX(Raw_D3!$O$2:$O$1001,$AR701)="","",INDEX(Raw_D3!$O$2:$O$1001,$AR701)),"")))</f>
        <v>53</v>
      </c>
      <c r="P701" s="5">
        <f>IF($A701="","",IF($AQ701&lt;&gt;"",IF(INDEX(Raw_D2!$H$2:$H$1001,$AQ701)="","",INDEX(Raw_D2!$H$2:$H$1001,$AQ701)),IF($AR701&lt;&gt;"",IF(INDEX(Raw_D3!$P$2:$P$1001,$AR701)="","",INDEX(Raw_D3!$P$2:$P$1001,$AR701)),"")))</f>
        <v>55</v>
      </c>
      <c r="Q701" s="5" t="str">
        <f>IF($A701="","",IF(AND($AP701&lt;&gt;"",$AQ701&lt;&gt;""),"D1+D2",IF($AR701&lt;&gt;"","D3","Incomplete")))</f>
        <v>D3</v>
      </c>
      <c r="R701" s="17">
        <f>IF($A701="","",IF($K701="",IF($J701="","",ROUND(Lookups!$K$5+Lookups!$K$4*$J701,4)),$K701))</f>
        <v>0.2576</v>
      </c>
      <c r="S701" s="5" t="str">
        <f>IF($A701="","",IF($K701="","Imputed","Original"))</f>
        <v>Original</v>
      </c>
      <c r="T701" s="5" t="str">
        <f>IF($A701="","",IF($P701="","Missing",IF($P701=$N701+$O701,"OK","Mismatch")))</f>
        <v>OK</v>
      </c>
      <c r="U701" s="5" t="str">
        <f>IF($A701="","",IF(COUNTIF($A$2:$A701,$A701)&gt;1,"Duplicate","Unique"))</f>
        <v>Unique</v>
      </c>
      <c r="V701" s="5">
        <f>IF($A701="","",IF(AND($U701="Unique",ISNUMBER($P701)),1,0))</f>
        <v>1</v>
      </c>
      <c r="W701" s="5" t="str">
        <f>IF($A701="","",IF(OR($H701=0,$H701=6),"Weekend","Weekday"))</f>
        <v>Weekday</v>
      </c>
      <c r="X701" s="5" t="str">
        <f>IF($A701="","",TEXT($B701,"ddd"))</f>
        <v>Tue</v>
      </c>
      <c r="Y701" s="5" t="str">
        <f>IF($A701="","",TEXT($B701,"mmm"))</f>
        <v>Feb</v>
      </c>
      <c r="Z701" s="5" t="str">
        <f>IF($A701="","",IFERROR(VLOOKUP($C701,Lookups!$D$4:$E$7,2,FALSE),"Unknown"))</f>
        <v>Winter</v>
      </c>
      <c r="AA701" s="5" t="str">
        <f>IF($A701="","",IFERROR(VLOOKUP($I701,Lookups!$A$4:$B$7,2,FALSE),"Unknown"))</f>
        <v>Mist/Cloudy</v>
      </c>
      <c r="AB701" s="5" t="str">
        <f>IF($A701="","",TEXT($F701,"00")&amp;":00")</f>
        <v>12:00</v>
      </c>
      <c r="AC701" s="5" t="str">
        <f>IF($A701="","",VLOOKUP($F701,Lookups!$G$4:$H$8,2,TRUE))</f>
        <v>Midday (10-15)</v>
      </c>
      <c r="AD701" s="18">
        <f>IF($A701="","",IF($J701="","",ROUND($J701*41,1)))</f>
        <v>8.2</v>
      </c>
      <c r="AE701" s="18">
        <f>IF($A701="","",IF($R701="","",ROUND($R701*50,1)))</f>
        <v>12.9</v>
      </c>
      <c r="AF701" s="5">
        <f>IF($A701="","",IF($L701="","",ROUND($L701*100,0)))</f>
        <v>86</v>
      </c>
      <c r="AG701" s="18">
        <f>IF($A701="","",IF($M701="","",ROUND($M701*67,1)))</f>
        <v>0</v>
      </c>
      <c r="AH701" s="19">
        <f>IF($A701="","",IF($P701="","",IF($P701=0,0,$O701/$P701)))</f>
        <v>0.963636363636364</v>
      </c>
      <c r="AI701" s="5" t="str">
        <f>IF($A701="","",IF($P701="","",IF($P701&gt;=Lookups!$K$7,"High",IF($P701&lt;=Lookups!$K$8,"Low","Medium"))))</f>
        <v>Medium</v>
      </c>
      <c r="AJ701" s="5" t="str">
        <f>IF($A701="","",IF($AD701="","",IF($AD701&lt;5,"Under 5 C",IF($AD701&lt;10,"5-10 C",IF($AD701&lt;15,"10-15 C","15 C and above")))))</f>
        <v>5-10 C</v>
      </c>
      <c r="AK701" s="5">
        <f>IF($A701="","",IF($P701="","",$P701^2))</f>
        <v>3025</v>
      </c>
      <c r="AL701" s="18">
        <f>IF($V701&lt;&gt;1,"",AVERAGEIFS(Clean_Data!$P$2:$P$1001,Clean_Data!$F$2:$F$1001,$F701,Clean_Data!$W$2:$W$1001,$W701,Clean_Data!$V$2:$V$1001,1))</f>
        <v>64.5862068965517</v>
      </c>
      <c r="AM701" s="16">
        <f>IF($V701&lt;&gt;1,"",IFERROR(($P701-$AL701)/SQRT(MAX(0,(SUMIFS(Clean_Data!$AK$2:$AK$1001,Clean_Data!$F$2:$F$1001,$F701,Clean_Data!$W$2:$W$1001,$W701,Clean_Data!$V$2:$V$1001,1)-COUNTIFS(Clean_Data!$F$2:$F$1001,$F701,Clean_Data!$W$2:$W$1001,$W701,Clean_Data!$V$2:$V$1001,1)*$AL701^2)/(COUNTIFS(Clean_Data!$F$2:$F$1001,$F701,Clean_Data!$W$2:$W$1001,$W701,Clean_Data!$V$2:$V$1001,1)-1))),""))</f>
        <v>-0.511855289623339</v>
      </c>
      <c r="AN701" s="5" t="str">
        <f>IF($AM701="","",IF($AM701&gt;=Lookups!$K$6,"High spike",IF($AM701&lt;=-Lookups!$K$6,"Unusual low","Normal")))</f>
        <v>Normal</v>
      </c>
      <c r="AO701" s="20">
        <f>IF($V701&lt;&gt;1,"",$P701+ROW()/100000)</f>
        <v>55.00701</v>
      </c>
      <c r="AP701" s="5">
        <f>IF($A701="","",IFERROR(MATCH($A701,Raw_D1!$A$2:$A$1001,0),""))</f>
        <v/>
      </c>
      <c r="AQ701" s="5">
        <f>IF($A701="","",IFERROR(MATCH($A701,Raw_D2!$B$2:$B$1001,0),""))</f>
        <v/>
      </c>
      <c r="AR701" s="5">
        <f>IF($A701="","",IFERROR(MATCH($A701,Raw_D3!$A$2:$A$1001,0),""))</f>
        <v>81</v>
      </c>
    </row>
    <row r="702" spans="1:44" x14ac:dyDescent="0.25">
      <c r="A702" s="5">
        <v>701</v>
      </c>
      <c r="B702" s="11">
        <f>IF($A702="","",IF($AP702&lt;&gt;"",INDEX(Raw_D1!$B$2:$B$1001,$AP702),IF($AR702&lt;&gt;"",INDEX(Raw_D3!$B$2:$B$1001,$AR702),"")))</f>
        <v>40575.0</v>
      </c>
      <c r="C702" s="5">
        <f>IF($A702="","",IF($AP702&lt;&gt;"",INDEX(Raw_D1!$C$2:$C$1001,$AP702),IF($AR702&lt;&gt;"",INDEX(Raw_D3!$C$2:$C$1001,$AR702),"")))</f>
        <v>1</v>
      </c>
      <c r="D702" s="5">
        <f>IF($A702="","",IF($AP702&lt;&gt;"",INDEX(Raw_D1!$D$2:$D$1001,$AP702),IF($AR702&lt;&gt;"",INDEX(Raw_D3!$D$2:$D$1001,$AR702),"")))</f>
        <v>0</v>
      </c>
      <c r="E702" s="5">
        <f>IF($A702="","",IF($AP702&lt;&gt;"",INDEX(Raw_D1!$E$2:$E$1001,$AP702),IF($AR702&lt;&gt;"",INDEX(Raw_D3!$E$2:$E$1001,$AR702),"")))</f>
        <v>2</v>
      </c>
      <c r="F702" s="5">
        <f>IF($A702="","",IF($AP702&lt;&gt;"",INDEX(Raw_D1!$F$2:$F$1001,$AP702),IF($AR702&lt;&gt;"",INDEX(Raw_D3!$F$2:$F$1001,$AR702),"")))</f>
        <v>13</v>
      </c>
      <c r="G702" s="5">
        <f>IF($A702="","",IF($AP702&lt;&gt;"",IF(INDEX(Raw_D1!$G$2:$G$1001,$AP702),1,0),IF($AR702&lt;&gt;"",IF(INDEX(Raw_D3!$G$2:$G$1001,$AR702),1,0),"")))</f>
        <v>0</v>
      </c>
      <c r="H702" s="5">
        <f>IF($A702="","",IF($AP702&lt;&gt;"",INDEX(Raw_D1!$H$2:$H$1001,$AP702),IF($AR702&lt;&gt;"",INDEX(Raw_D3!$H$2:$H$1001,$AR702),"")))</f>
        <v>2</v>
      </c>
      <c r="I702" s="5">
        <f>IF($A702="","",IF($AP702&lt;&gt;"",INDEX(Raw_D1!$I$2:$I$1001,$AP702),IF($AR702&lt;&gt;"",INDEX(Raw_D3!$I$2:$I$1001,$AR702),"")))</f>
        <v>2</v>
      </c>
      <c r="J702" s="16">
        <f>IF($A702="","",IF($AP702&lt;&gt;"",INDEX(Raw_D1!$J$2:$J$1001,$AP702),IF($AR702&lt;&gt;"",INDEX(Raw_D3!$J$2:$J$1001,$AR702),"")))</f>
        <v>0.2</v>
      </c>
      <c r="K702" s="17">
        <f>IF($A702="","",IF($AQ702&lt;&gt;"",IF(INDEX(Raw_D2!$C$2:$C$1001,$AQ702)="","",INDEX(Raw_D2!$C$2:$C$1001,$AQ702)),IF($AR702&lt;&gt;"",IF(INDEX(Raw_D3!$K$2:$K$1001,$AR702)="","",INDEX(Raw_D3!$K$2:$K$1001,$AR702)),"")))</f>
        <v>0.2576</v>
      </c>
      <c r="L702" s="16">
        <f>IF($A702="","",IF($AQ702&lt;&gt;"",IF(INDEX(Raw_D2!$D$2:$D$1001,$AQ702)="","",INDEX(Raw_D2!$D$2:$D$1001,$AQ702)),IF($AR702&lt;&gt;"",IF(INDEX(Raw_D3!$L$2:$L$1001,$AR702)="","",INDEX(Raw_D3!$L$2:$L$1001,$AR702)),"")))</f>
        <v>0.86</v>
      </c>
      <c r="M702" s="17">
        <f>IF($A702="","",IF($AQ702&lt;&gt;"",IF(INDEX(Raw_D2!$E$2:$E$1001,$AQ702)="","",INDEX(Raw_D2!$E$2:$E$1001,$AQ702)),IF($AR702&lt;&gt;"",IF(INDEX(Raw_D3!$M$2:$M$1001,$AR702)="","",INDEX(Raw_D3!$M$2:$M$1001,$AR702)),"")))</f>
        <v>0</v>
      </c>
      <c r="N702" s="5">
        <f>IF($A702="","",IF($AQ702&lt;&gt;"",IF(INDEX(Raw_D2!$F$2:$F$1001,$AQ702)="","",INDEX(Raw_D2!$F$2:$F$1001,$AQ702)),IF($AR702&lt;&gt;"",IF(INDEX(Raw_D3!$N$2:$N$1001,$AR702)="","",INDEX(Raw_D3!$N$2:$N$1001,$AR702)),"")))</f>
        <v>3</v>
      </c>
      <c r="O702" s="5">
        <f>IF($A702="","",IF($AQ702&lt;&gt;"",IF(INDEX(Raw_D2!$G$2:$G$1001,$AQ702)="","",INDEX(Raw_D2!$G$2:$G$1001,$AQ702)),IF($AR702&lt;&gt;"",IF(INDEX(Raw_D3!$O$2:$O$1001,$AR702)="","",INDEX(Raw_D3!$O$2:$O$1001,$AR702)),"")))</f>
        <v>49</v>
      </c>
      <c r="P702" s="5">
        <f>IF($A702="","",IF($AQ702&lt;&gt;"",IF(INDEX(Raw_D2!$H$2:$H$1001,$AQ702)="","",INDEX(Raw_D2!$H$2:$H$1001,$AQ702)),IF($AR702&lt;&gt;"",IF(INDEX(Raw_D3!$P$2:$P$1001,$AR702)="","",INDEX(Raw_D3!$P$2:$P$1001,$AR702)),"")))</f>
        <v>52</v>
      </c>
      <c r="Q702" s="5" t="str">
        <f>IF($A702="","",IF(AND($AP702&lt;&gt;"",$AQ702&lt;&gt;""),"D1+D2",IF($AR702&lt;&gt;"","D3","Incomplete")))</f>
        <v>D3</v>
      </c>
      <c r="R702" s="17">
        <f>IF($A702="","",IF($K702="",IF($J702="","",ROUND(Lookups!$K$5+Lookups!$K$4*$J702,4)),$K702))</f>
        <v>0.2576</v>
      </c>
      <c r="S702" s="5" t="str">
        <f>IF($A702="","",IF($K702="","Imputed","Original"))</f>
        <v>Original</v>
      </c>
      <c r="T702" s="5" t="str">
        <f>IF($A702="","",IF($P702="","Missing",IF($P702=$N702+$O702,"OK","Mismatch")))</f>
        <v>OK</v>
      </c>
      <c r="U702" s="5" t="str">
        <f>IF($A702="","",IF(COUNTIF($A$2:$A702,$A702)&gt;1,"Duplicate","Unique"))</f>
        <v>Unique</v>
      </c>
      <c r="V702" s="5">
        <f>IF($A702="","",IF(AND($U702="Unique",ISNUMBER($P702)),1,0))</f>
        <v>1</v>
      </c>
      <c r="W702" s="5" t="str">
        <f>IF($A702="","",IF(OR($H702=0,$H702=6),"Weekend","Weekday"))</f>
        <v>Weekday</v>
      </c>
      <c r="X702" s="5" t="str">
        <f>IF($A702="","",TEXT($B702,"ddd"))</f>
        <v>Tue</v>
      </c>
      <c r="Y702" s="5" t="str">
        <f>IF($A702="","",TEXT($B702,"mmm"))</f>
        <v>Feb</v>
      </c>
      <c r="Z702" s="5" t="str">
        <f>IF($A702="","",IFERROR(VLOOKUP($C702,Lookups!$D$4:$E$7,2,FALSE),"Unknown"))</f>
        <v>Winter</v>
      </c>
      <c r="AA702" s="5" t="str">
        <f>IF($A702="","",IFERROR(VLOOKUP($I702,Lookups!$A$4:$B$7,2,FALSE),"Unknown"))</f>
        <v>Mist/Cloudy</v>
      </c>
      <c r="AB702" s="5" t="str">
        <f>IF($A702="","",TEXT($F702,"00")&amp;":00")</f>
        <v>13:00</v>
      </c>
      <c r="AC702" s="5" t="str">
        <f>IF($A702="","",VLOOKUP($F702,Lookups!$G$4:$H$8,2,TRUE))</f>
        <v>Midday (10-15)</v>
      </c>
      <c r="AD702" s="18">
        <f>IF($A702="","",IF($J702="","",ROUND($J702*41,1)))</f>
        <v>8.2</v>
      </c>
      <c r="AE702" s="18">
        <f>IF($A702="","",IF($R702="","",ROUND($R702*50,1)))</f>
        <v>12.9</v>
      </c>
      <c r="AF702" s="5">
        <f>IF($A702="","",IF($L702="","",ROUND($L702*100,0)))</f>
        <v>86</v>
      </c>
      <c r="AG702" s="18">
        <f>IF($A702="","",IF($M702="","",ROUND($M702*67,1)))</f>
        <v>0</v>
      </c>
      <c r="AH702" s="19">
        <f>IF($A702="","",IF($P702="","",IF($P702=0,0,$O702/$P702)))</f>
        <v>0.942307692307692</v>
      </c>
      <c r="AI702" s="5" t="str">
        <f>IF($A702="","",IF($P702="","",IF($P702&gt;=Lookups!$K$7,"High",IF($P702&lt;=Lookups!$K$8,"Low","Medium"))))</f>
        <v>Medium</v>
      </c>
      <c r="AJ702" s="5" t="str">
        <f>IF($A702="","",IF($AD702="","",IF($AD702&lt;5,"Under 5 C",IF($AD702&lt;10,"5-10 C",IF($AD702&lt;15,"10-15 C","15 C and above")))))</f>
        <v>5-10 C</v>
      </c>
      <c r="AK702" s="5">
        <f>IF($A702="","",IF($P702="","",$P702^2))</f>
        <v>2704</v>
      </c>
      <c r="AL702" s="18">
        <f>IF($V702&lt;&gt;1,"",AVERAGEIFS(Clean_Data!$P$2:$P$1001,Clean_Data!$F$2:$F$1001,$F702,Clean_Data!$W$2:$W$1001,$W702,Clean_Data!$V$2:$V$1001,1))</f>
        <v>67.1724137931034</v>
      </c>
      <c r="AM702" s="16">
        <f>IF($V702&lt;&gt;1,"",IFERROR(($P702-$AL702)/SQRT(MAX(0,(SUMIFS(Clean_Data!$AK$2:$AK$1001,Clean_Data!$F$2:$F$1001,$F702,Clean_Data!$W$2:$W$1001,$W702,Clean_Data!$V$2:$V$1001,1)-COUNTIFS(Clean_Data!$F$2:$F$1001,$F702,Clean_Data!$W$2:$W$1001,$W702,Clean_Data!$V$2:$V$1001,1)*$AL702^2)/(COUNTIFS(Clean_Data!$F$2:$F$1001,$F702,Clean_Data!$W$2:$W$1001,$W702,Clean_Data!$V$2:$V$1001,1)-1))),""))</f>
        <v>-0.751405017254207</v>
      </c>
      <c r="AN702" s="5" t="str">
        <f>IF($AM702="","",IF($AM702&gt;=Lookups!$K$6,"High spike",IF($AM702&lt;=-Lookups!$K$6,"Unusual low","Normal")))</f>
        <v>Normal</v>
      </c>
      <c r="AO702" s="20">
        <f>IF($V702&lt;&gt;1,"",$P702+ROW()/100000)</f>
        <v>52.00702</v>
      </c>
      <c r="AP702" s="5">
        <f>IF($A702="","",IFERROR(MATCH($A702,Raw_D1!$A$2:$A$1001,0),""))</f>
        <v/>
      </c>
      <c r="AQ702" s="5">
        <f>IF($A702="","",IFERROR(MATCH($A702,Raw_D2!$B$2:$B$1001,0),""))</f>
        <v/>
      </c>
      <c r="AR702" s="5">
        <f>IF($A702="","",IFERROR(MATCH($A702,Raw_D3!$A$2:$A$1001,0),""))</f>
        <v>82</v>
      </c>
    </row>
    <row r="703" spans="1:44" x14ac:dyDescent="0.25">
      <c r="A703" s="5">
        <v>702</v>
      </c>
      <c r="B703" s="11">
        <f>IF($A703="","",IF($AP703&lt;&gt;"",INDEX(Raw_D1!$B$2:$B$1001,$AP703),IF($AR703&lt;&gt;"",INDEX(Raw_D3!$B$2:$B$1001,$AR703),"")))</f>
        <v>40575.0</v>
      </c>
      <c r="C703" s="5">
        <f>IF($A703="","",IF($AP703&lt;&gt;"",INDEX(Raw_D1!$C$2:$C$1001,$AP703),IF($AR703&lt;&gt;"",INDEX(Raw_D3!$C$2:$C$1001,$AR703),"")))</f>
        <v>1</v>
      </c>
      <c r="D703" s="5">
        <f>IF($A703="","",IF($AP703&lt;&gt;"",INDEX(Raw_D1!$D$2:$D$1001,$AP703),IF($AR703&lt;&gt;"",INDEX(Raw_D3!$D$2:$D$1001,$AR703),"")))</f>
        <v>0</v>
      </c>
      <c r="E703" s="5">
        <f>IF($A703="","",IF($AP703&lt;&gt;"",INDEX(Raw_D1!$E$2:$E$1001,$AP703),IF($AR703&lt;&gt;"",INDEX(Raw_D3!$E$2:$E$1001,$AR703),"")))</f>
        <v>2</v>
      </c>
      <c r="F703" s="5">
        <f>IF($A703="","",IF($AP703&lt;&gt;"",INDEX(Raw_D1!$F$2:$F$1001,$AP703),IF($AR703&lt;&gt;"",INDEX(Raw_D3!$F$2:$F$1001,$AR703),"")))</f>
        <v>14</v>
      </c>
      <c r="G703" s="5">
        <f>IF($A703="","",IF($AP703&lt;&gt;"",IF(INDEX(Raw_D1!$G$2:$G$1001,$AP703),1,0),IF($AR703&lt;&gt;"",IF(INDEX(Raw_D3!$G$2:$G$1001,$AR703),1,0),"")))</f>
        <v>0</v>
      </c>
      <c r="H703" s="5">
        <f>IF($A703="","",IF($AP703&lt;&gt;"",INDEX(Raw_D1!$H$2:$H$1001,$AP703),IF($AR703&lt;&gt;"",INDEX(Raw_D3!$H$2:$H$1001,$AR703),"")))</f>
        <v>2</v>
      </c>
      <c r="I703" s="5">
        <f>IF($A703="","",IF($AP703&lt;&gt;"",INDEX(Raw_D1!$I$2:$I$1001,$AP703),IF($AR703&lt;&gt;"",INDEX(Raw_D3!$I$2:$I$1001,$AR703),"")))</f>
        <v>2</v>
      </c>
      <c r="J703" s="16">
        <f>IF($A703="","",IF($AP703&lt;&gt;"",INDEX(Raw_D1!$J$2:$J$1001,$AP703),IF($AR703&lt;&gt;"",INDEX(Raw_D3!$J$2:$J$1001,$AR703),"")))</f>
        <v>0.22</v>
      </c>
      <c r="K703" s="17">
        <f>IF($A703="","",IF($AQ703&lt;&gt;"",IF(INDEX(Raw_D2!$C$2:$C$1001,$AQ703)="","",INDEX(Raw_D2!$C$2:$C$1001,$AQ703)),IF($AR703&lt;&gt;"",IF(INDEX(Raw_D3!$K$2:$K$1001,$AR703)="","",INDEX(Raw_D3!$K$2:$K$1001,$AR703)),"")))</f>
        <v>0.2576</v>
      </c>
      <c r="L703" s="16">
        <f>IF($A703="","",IF($AQ703&lt;&gt;"",IF(INDEX(Raw_D2!$D$2:$D$1001,$AQ703)="","",INDEX(Raw_D2!$D$2:$D$1001,$AQ703)),IF($AR703&lt;&gt;"",IF(INDEX(Raw_D3!$L$2:$L$1001,$AR703)="","",INDEX(Raw_D3!$L$2:$L$1001,$AR703)),"")))</f>
        <v>0.8</v>
      </c>
      <c r="M703" s="17">
        <f>IF($A703="","",IF($AQ703&lt;&gt;"",IF(INDEX(Raw_D2!$E$2:$E$1001,$AQ703)="","",INDEX(Raw_D2!$E$2:$E$1001,$AQ703)),IF($AR703&lt;&gt;"",IF(INDEX(Raw_D3!$M$2:$M$1001,$AR703)="","",INDEX(Raw_D3!$M$2:$M$1001,$AR703)),"")))</f>
        <v>0.0896</v>
      </c>
      <c r="N703" s="5">
        <f>IF($A703="","",IF($AQ703&lt;&gt;"",IF(INDEX(Raw_D2!$F$2:$F$1001,$AQ703)="","",INDEX(Raw_D2!$F$2:$F$1001,$AQ703)),IF($AR703&lt;&gt;"",IF(INDEX(Raw_D3!$N$2:$N$1001,$AR703)="","",INDEX(Raw_D3!$N$2:$N$1001,$AR703)),"")))</f>
        <v>5</v>
      </c>
      <c r="O703" s="5">
        <f>IF($A703="","",IF($AQ703&lt;&gt;"",IF(INDEX(Raw_D2!$G$2:$G$1001,$AQ703)="","",INDEX(Raw_D2!$G$2:$G$1001,$AQ703)),IF($AR703&lt;&gt;"",IF(INDEX(Raw_D3!$O$2:$O$1001,$AR703)="","",INDEX(Raw_D3!$O$2:$O$1001,$AR703)),"")))</f>
        <v>49</v>
      </c>
      <c r="P703" s="5">
        <f>IF($A703="","",IF($AQ703&lt;&gt;"",IF(INDEX(Raw_D2!$H$2:$H$1001,$AQ703)="","",INDEX(Raw_D2!$H$2:$H$1001,$AQ703)),IF($AR703&lt;&gt;"",IF(INDEX(Raw_D3!$P$2:$P$1001,$AR703)="","",INDEX(Raw_D3!$P$2:$P$1001,$AR703)),"")))</f>
        <v>54</v>
      </c>
      <c r="Q703" s="5" t="str">
        <f>IF($A703="","",IF(AND($AP703&lt;&gt;"",$AQ703&lt;&gt;""),"D1+D2",IF($AR703&lt;&gt;"","D3","Incomplete")))</f>
        <v>D3</v>
      </c>
      <c r="R703" s="17">
        <f>IF($A703="","",IF($K703="",IF($J703="","",ROUND(Lookups!$K$5+Lookups!$K$4*$J703,4)),$K703))</f>
        <v>0.2576</v>
      </c>
      <c r="S703" s="5" t="str">
        <f>IF($A703="","",IF($K703="","Imputed","Original"))</f>
        <v>Original</v>
      </c>
      <c r="T703" s="5" t="str">
        <f>IF($A703="","",IF($P703="","Missing",IF($P703=$N703+$O703,"OK","Mismatch")))</f>
        <v>OK</v>
      </c>
      <c r="U703" s="5" t="str">
        <f>IF($A703="","",IF(COUNTIF($A$2:$A703,$A703)&gt;1,"Duplicate","Unique"))</f>
        <v>Unique</v>
      </c>
      <c r="V703" s="5">
        <f>IF($A703="","",IF(AND($U703="Unique",ISNUMBER($P703)),1,0))</f>
        <v>1</v>
      </c>
      <c r="W703" s="5" t="str">
        <f>IF($A703="","",IF(OR($H703=0,$H703=6),"Weekend","Weekday"))</f>
        <v>Weekday</v>
      </c>
      <c r="X703" s="5" t="str">
        <f>IF($A703="","",TEXT($B703,"ddd"))</f>
        <v>Tue</v>
      </c>
      <c r="Y703" s="5" t="str">
        <f>IF($A703="","",TEXT($B703,"mmm"))</f>
        <v>Feb</v>
      </c>
      <c r="Z703" s="5" t="str">
        <f>IF($A703="","",IFERROR(VLOOKUP($C703,Lookups!$D$4:$E$7,2,FALSE),"Unknown"))</f>
        <v>Winter</v>
      </c>
      <c r="AA703" s="5" t="str">
        <f>IF($A703="","",IFERROR(VLOOKUP($I703,Lookups!$A$4:$B$7,2,FALSE),"Unknown"))</f>
        <v>Mist/Cloudy</v>
      </c>
      <c r="AB703" s="5" t="str">
        <f>IF($A703="","",TEXT($F703,"00")&amp;":00")</f>
        <v>14:00</v>
      </c>
      <c r="AC703" s="5" t="str">
        <f>IF($A703="","",VLOOKUP($F703,Lookups!$G$4:$H$8,2,TRUE))</f>
        <v>Midday (10-15)</v>
      </c>
      <c r="AD703" s="18">
        <f>IF($A703="","",IF($J703="","",ROUND($J703*41,1)))</f>
        <v>9</v>
      </c>
      <c r="AE703" s="18">
        <f>IF($A703="","",IF($R703="","",ROUND($R703*50,1)))</f>
        <v>12.9</v>
      </c>
      <c r="AF703" s="5">
        <f>IF($A703="","",IF($L703="","",ROUND($L703*100,0)))</f>
        <v>80</v>
      </c>
      <c r="AG703" s="18">
        <f>IF($A703="","",IF($M703="","",ROUND($M703*67,1)))</f>
        <v>6</v>
      </c>
      <c r="AH703" s="19">
        <f>IF($A703="","",IF($P703="","",IF($P703=0,0,$O703/$P703)))</f>
        <v>0.907407407407407</v>
      </c>
      <c r="AI703" s="5" t="str">
        <f>IF($A703="","",IF($P703="","",IF($P703&gt;=Lookups!$K$7,"High",IF($P703&lt;=Lookups!$K$8,"Low","Medium"))))</f>
        <v>Medium</v>
      </c>
      <c r="AJ703" s="5" t="str">
        <f>IF($A703="","",IF($AD703="","",IF($AD703&lt;5,"Under 5 C",IF($AD703&lt;10,"5-10 C",IF($AD703&lt;15,"10-15 C","15 C and above")))))</f>
        <v>5-10 C</v>
      </c>
      <c r="AK703" s="5">
        <f>IF($A703="","",IF($P703="","",$P703^2))</f>
        <v>2916</v>
      </c>
      <c r="AL703" s="18">
        <f>IF($V703&lt;&gt;1,"",AVERAGEIFS(Clean_Data!$P$2:$P$1001,Clean_Data!$F$2:$F$1001,$F703,Clean_Data!$W$2:$W$1001,$W703,Clean_Data!$V$2:$V$1001,1))</f>
        <v>60.551724137931</v>
      </c>
      <c r="AM703" s="16">
        <f>IF($V703&lt;&gt;1,"",IFERROR(($P703-$AL703)/SQRT(MAX(0,(SUMIFS(Clean_Data!$AK$2:$AK$1001,Clean_Data!$F$2:$F$1001,$F703,Clean_Data!$W$2:$W$1001,$W703,Clean_Data!$V$2:$V$1001,1)-COUNTIFS(Clean_Data!$F$2:$F$1001,$F703,Clean_Data!$W$2:$W$1001,$W703,Clean_Data!$V$2:$V$1001,1)*$AL703^2)/(COUNTIFS(Clean_Data!$F$2:$F$1001,$F703,Clean_Data!$W$2:$W$1001,$W703,Clean_Data!$V$2:$V$1001,1)-1))),""))</f>
        <v>-0.398273154598698</v>
      </c>
      <c r="AN703" s="5" t="str">
        <f>IF($AM703="","",IF($AM703&gt;=Lookups!$K$6,"High spike",IF($AM703&lt;=-Lookups!$K$6,"Unusual low","Normal")))</f>
        <v>Normal</v>
      </c>
      <c r="AO703" s="20">
        <f>IF($V703&lt;&gt;1,"",$P703+ROW()/100000)</f>
        <v>54.00703</v>
      </c>
      <c r="AP703" s="5">
        <f>IF($A703="","",IFERROR(MATCH($A703,Raw_D1!$A$2:$A$1001,0),""))</f>
        <v/>
      </c>
      <c r="AQ703" s="5">
        <f>IF($A703="","",IFERROR(MATCH($A703,Raw_D2!$B$2:$B$1001,0),""))</f>
        <v/>
      </c>
      <c r="AR703" s="5">
        <f>IF($A703="","",IFERROR(MATCH($A703,Raw_D3!$A$2:$A$1001,0),""))</f>
        <v>83</v>
      </c>
    </row>
    <row r="704" spans="1:44" x14ac:dyDescent="0.25">
      <c r="A704" s="5">
        <v>703</v>
      </c>
      <c r="B704" s="11">
        <f>IF($A704="","",IF($AP704&lt;&gt;"",INDEX(Raw_D1!$B$2:$B$1001,$AP704),IF($AR704&lt;&gt;"",INDEX(Raw_D3!$B$2:$B$1001,$AR704),"")))</f>
        <v>40575.0</v>
      </c>
      <c r="C704" s="5">
        <f>IF($A704="","",IF($AP704&lt;&gt;"",INDEX(Raw_D1!$C$2:$C$1001,$AP704),IF($AR704&lt;&gt;"",INDEX(Raw_D3!$C$2:$C$1001,$AR704),"")))</f>
        <v>1</v>
      </c>
      <c r="D704" s="5">
        <f>IF($A704="","",IF($AP704&lt;&gt;"",INDEX(Raw_D1!$D$2:$D$1001,$AP704),IF($AR704&lt;&gt;"",INDEX(Raw_D3!$D$2:$D$1001,$AR704),"")))</f>
        <v>0</v>
      </c>
      <c r="E704" s="5">
        <f>IF($A704="","",IF($AP704&lt;&gt;"",INDEX(Raw_D1!$E$2:$E$1001,$AP704),IF($AR704&lt;&gt;"",INDEX(Raw_D3!$E$2:$E$1001,$AR704),"")))</f>
        <v>2</v>
      </c>
      <c r="F704" s="5">
        <f>IF($A704="","",IF($AP704&lt;&gt;"",INDEX(Raw_D1!$F$2:$F$1001,$AP704),IF($AR704&lt;&gt;"",INDEX(Raw_D3!$F$2:$F$1001,$AR704),"")))</f>
        <v>15</v>
      </c>
      <c r="G704" s="5">
        <f>IF($A704="","",IF($AP704&lt;&gt;"",IF(INDEX(Raw_D1!$G$2:$G$1001,$AP704),1,0),IF($AR704&lt;&gt;"",IF(INDEX(Raw_D3!$G$2:$G$1001,$AR704),1,0),"")))</f>
        <v>0</v>
      </c>
      <c r="H704" s="5">
        <f>IF($A704="","",IF($AP704&lt;&gt;"",INDEX(Raw_D1!$H$2:$H$1001,$AP704),IF($AR704&lt;&gt;"",INDEX(Raw_D3!$H$2:$H$1001,$AR704),"")))</f>
        <v>2</v>
      </c>
      <c r="I704" s="5">
        <f>IF($A704="","",IF($AP704&lt;&gt;"",INDEX(Raw_D1!$I$2:$I$1001,$AP704),IF($AR704&lt;&gt;"",INDEX(Raw_D3!$I$2:$I$1001,$AR704),"")))</f>
        <v>2</v>
      </c>
      <c r="J704" s="16">
        <f>IF($A704="","",IF($AP704&lt;&gt;"",INDEX(Raw_D1!$J$2:$J$1001,$AP704),IF($AR704&lt;&gt;"",INDEX(Raw_D3!$J$2:$J$1001,$AR704),"")))</f>
        <v>0.24</v>
      </c>
      <c r="K704" s="17">
        <f>IF($A704="","",IF($AQ704&lt;&gt;"",IF(INDEX(Raw_D2!$C$2:$C$1001,$AQ704)="","",INDEX(Raw_D2!$C$2:$C$1001,$AQ704)),IF($AR704&lt;&gt;"",IF(INDEX(Raw_D3!$K$2:$K$1001,$AR704)="","",INDEX(Raw_D3!$K$2:$K$1001,$AR704)),"")))</f>
        <v>0.2879</v>
      </c>
      <c r="L704" s="16">
        <f>IF($A704="","",IF($AQ704&lt;&gt;"",IF(INDEX(Raw_D2!$D$2:$D$1001,$AQ704)="","",INDEX(Raw_D2!$D$2:$D$1001,$AQ704)),IF($AR704&lt;&gt;"",IF(INDEX(Raw_D3!$L$2:$L$1001,$AR704)="","",INDEX(Raw_D3!$L$2:$L$1001,$AR704)),"")))</f>
        <v>0.75</v>
      </c>
      <c r="M704" s="17">
        <f>IF($A704="","",IF($AQ704&lt;&gt;"",IF(INDEX(Raw_D2!$E$2:$E$1001,$AQ704)="","",INDEX(Raw_D2!$E$2:$E$1001,$AQ704)),IF($AR704&lt;&gt;"",IF(INDEX(Raw_D3!$M$2:$M$1001,$AR704)="","",INDEX(Raw_D3!$M$2:$M$1001,$AR704)),"")))</f>
        <v>0</v>
      </c>
      <c r="N704" s="5">
        <f>IF($A704="","",IF($AQ704&lt;&gt;"",IF(INDEX(Raw_D2!$F$2:$F$1001,$AQ704)="","",INDEX(Raw_D2!$F$2:$F$1001,$AQ704)),IF($AR704&lt;&gt;"",IF(INDEX(Raw_D3!$N$2:$N$1001,$AR704)="","",INDEX(Raw_D3!$N$2:$N$1001,$AR704)),"")))</f>
        <v>7</v>
      </c>
      <c r="O704" s="5">
        <f>IF($A704="","",IF($AQ704&lt;&gt;"",IF(INDEX(Raw_D2!$G$2:$G$1001,$AQ704)="","",INDEX(Raw_D2!$G$2:$G$1001,$AQ704)),IF($AR704&lt;&gt;"",IF(INDEX(Raw_D3!$O$2:$O$1001,$AR704)="","",INDEX(Raw_D3!$O$2:$O$1001,$AR704)),"")))</f>
        <v>45</v>
      </c>
      <c r="P704" s="5">
        <f>IF($A704="","",IF($AQ704&lt;&gt;"",IF(INDEX(Raw_D2!$H$2:$H$1001,$AQ704)="","",INDEX(Raw_D2!$H$2:$H$1001,$AQ704)),IF($AR704&lt;&gt;"",IF(INDEX(Raw_D3!$P$2:$P$1001,$AR704)="","",INDEX(Raw_D3!$P$2:$P$1001,$AR704)),"")))</f>
        <v>52</v>
      </c>
      <c r="Q704" s="5" t="str">
        <f>IF($A704="","",IF(AND($AP704&lt;&gt;"",$AQ704&lt;&gt;""),"D1+D2",IF($AR704&lt;&gt;"","D3","Incomplete")))</f>
        <v>D3</v>
      </c>
      <c r="R704" s="17">
        <f>IF($A704="","",IF($K704="",IF($J704="","",ROUND(Lookups!$K$5+Lookups!$K$4*$J704,4)),$K704))</f>
        <v>0.2879</v>
      </c>
      <c r="S704" s="5" t="str">
        <f>IF($A704="","",IF($K704="","Imputed","Original"))</f>
        <v>Original</v>
      </c>
      <c r="T704" s="5" t="str">
        <f>IF($A704="","",IF($P704="","Missing",IF($P704=$N704+$O704,"OK","Mismatch")))</f>
        <v>OK</v>
      </c>
      <c r="U704" s="5" t="str">
        <f>IF($A704="","",IF(COUNTIF($A$2:$A704,$A704)&gt;1,"Duplicate","Unique"))</f>
        <v>Unique</v>
      </c>
      <c r="V704" s="5">
        <f>IF($A704="","",IF(AND($U704="Unique",ISNUMBER($P704)),1,0))</f>
        <v>1</v>
      </c>
      <c r="W704" s="5" t="str">
        <f>IF($A704="","",IF(OR($H704=0,$H704=6),"Weekend","Weekday"))</f>
        <v>Weekday</v>
      </c>
      <c r="X704" s="5" t="str">
        <f>IF($A704="","",TEXT($B704,"ddd"))</f>
        <v>Tue</v>
      </c>
      <c r="Y704" s="5" t="str">
        <f>IF($A704="","",TEXT($B704,"mmm"))</f>
        <v>Feb</v>
      </c>
      <c r="Z704" s="5" t="str">
        <f>IF($A704="","",IFERROR(VLOOKUP($C704,Lookups!$D$4:$E$7,2,FALSE),"Unknown"))</f>
        <v>Winter</v>
      </c>
      <c r="AA704" s="5" t="str">
        <f>IF($A704="","",IFERROR(VLOOKUP($I704,Lookups!$A$4:$B$7,2,FALSE),"Unknown"))</f>
        <v>Mist/Cloudy</v>
      </c>
      <c r="AB704" s="5" t="str">
        <f>IF($A704="","",TEXT($F704,"00")&amp;":00")</f>
        <v>15:00</v>
      </c>
      <c r="AC704" s="5" t="str">
        <f>IF($A704="","",VLOOKUP($F704,Lookups!$G$4:$H$8,2,TRUE))</f>
        <v>Midday (10-15)</v>
      </c>
      <c r="AD704" s="18">
        <f>IF($A704="","",IF($J704="","",ROUND($J704*41,1)))</f>
        <v>9.8</v>
      </c>
      <c r="AE704" s="18">
        <f>IF($A704="","",IF($R704="","",ROUND($R704*50,1)))</f>
        <v>14.4</v>
      </c>
      <c r="AF704" s="5">
        <f>IF($A704="","",IF($L704="","",ROUND($L704*100,0)))</f>
        <v>75</v>
      </c>
      <c r="AG704" s="18">
        <f>IF($A704="","",IF($M704="","",ROUND($M704*67,1)))</f>
        <v>0</v>
      </c>
      <c r="AH704" s="19">
        <f>IF($A704="","",IF($P704="","",IF($P704=0,0,$O704/$P704)))</f>
        <v>0.865384615384615</v>
      </c>
      <c r="AI704" s="5" t="str">
        <f>IF($A704="","",IF($P704="","",IF($P704&gt;=Lookups!$K$7,"High",IF($P704&lt;=Lookups!$K$8,"Low","Medium"))))</f>
        <v>Medium</v>
      </c>
      <c r="AJ704" s="5" t="str">
        <f>IF($A704="","",IF($AD704="","",IF($AD704&lt;5,"Under 5 C",IF($AD704&lt;10,"5-10 C",IF($AD704&lt;15,"10-15 C","15 C and above")))))</f>
        <v>5-10 C</v>
      </c>
      <c r="AK704" s="5">
        <f>IF($A704="","",IF($P704="","",$P704^2))</f>
        <v>2704</v>
      </c>
      <c r="AL704" s="18">
        <f>IF($V704&lt;&gt;1,"",AVERAGEIFS(Clean_Data!$P$2:$P$1001,Clean_Data!$F$2:$F$1001,$F704,Clean_Data!$W$2:$W$1001,$W704,Clean_Data!$V$2:$V$1001,1))</f>
        <v>61.4827586206897</v>
      </c>
      <c r="AM704" s="16">
        <f>IF($V704&lt;&gt;1,"",IFERROR(($P704-$AL704)/SQRT(MAX(0,(SUMIFS(Clean_Data!$AK$2:$AK$1001,Clean_Data!$F$2:$F$1001,$F704,Clean_Data!$W$2:$W$1001,$W704,Clean_Data!$V$2:$V$1001,1)-COUNTIFS(Clean_Data!$F$2:$F$1001,$F704,Clean_Data!$W$2:$W$1001,$W704,Clean_Data!$V$2:$V$1001,1)*$AL704^2)/(COUNTIFS(Clean_Data!$F$2:$F$1001,$F704,Clean_Data!$W$2:$W$1001,$W704,Clean_Data!$V$2:$V$1001,1)-1))),""))</f>
        <v>-0.629034568512119</v>
      </c>
      <c r="AN704" s="5" t="str">
        <f>IF($AM704="","",IF($AM704&gt;=Lookups!$K$6,"High spike",IF($AM704&lt;=-Lookups!$K$6,"Unusual low","Normal")))</f>
        <v>Normal</v>
      </c>
      <c r="AO704" s="20">
        <f>IF($V704&lt;&gt;1,"",$P704+ROW()/100000)</f>
        <v>52.00704</v>
      </c>
      <c r="AP704" s="5">
        <f>IF($A704="","",IFERROR(MATCH($A704,Raw_D1!$A$2:$A$1001,0),""))</f>
        <v/>
      </c>
      <c r="AQ704" s="5">
        <f>IF($A704="","",IFERROR(MATCH($A704,Raw_D2!$B$2:$B$1001,0),""))</f>
        <v/>
      </c>
      <c r="AR704" s="5">
        <f>IF($A704="","",IFERROR(MATCH($A704,Raw_D3!$A$2:$A$1001,0),""))</f>
        <v>84</v>
      </c>
    </row>
    <row r="705" spans="1:44" x14ac:dyDescent="0.25">
      <c r="A705" s="5">
        <v>704</v>
      </c>
      <c r="B705" s="11">
        <f>IF($A705="","",IF($AP705&lt;&gt;"",INDEX(Raw_D1!$B$2:$B$1001,$AP705),IF($AR705&lt;&gt;"",INDEX(Raw_D3!$B$2:$B$1001,$AR705),"")))</f>
        <v>40575.0</v>
      </c>
      <c r="C705" s="5">
        <f>IF($A705="","",IF($AP705&lt;&gt;"",INDEX(Raw_D1!$C$2:$C$1001,$AP705),IF($AR705&lt;&gt;"",INDEX(Raw_D3!$C$2:$C$1001,$AR705),"")))</f>
        <v>1</v>
      </c>
      <c r="D705" s="5">
        <f>IF($A705="","",IF($AP705&lt;&gt;"",INDEX(Raw_D1!$D$2:$D$1001,$AP705),IF($AR705&lt;&gt;"",INDEX(Raw_D3!$D$2:$D$1001,$AR705),"")))</f>
        <v>0</v>
      </c>
      <c r="E705" s="5">
        <f>IF($A705="","",IF($AP705&lt;&gt;"",INDEX(Raw_D1!$E$2:$E$1001,$AP705),IF($AR705&lt;&gt;"",INDEX(Raw_D3!$E$2:$E$1001,$AR705),"")))</f>
        <v>2</v>
      </c>
      <c r="F705" s="5">
        <f>IF($A705="","",IF($AP705&lt;&gt;"",INDEX(Raw_D1!$F$2:$F$1001,$AP705),IF($AR705&lt;&gt;"",INDEX(Raw_D3!$F$2:$F$1001,$AR705),"")))</f>
        <v>16</v>
      </c>
      <c r="G705" s="5">
        <f>IF($A705="","",IF($AP705&lt;&gt;"",IF(INDEX(Raw_D1!$G$2:$G$1001,$AP705),1,0),IF($AR705&lt;&gt;"",IF(INDEX(Raw_D3!$G$2:$G$1001,$AR705),1,0),"")))</f>
        <v>0</v>
      </c>
      <c r="H705" s="5">
        <f>IF($A705="","",IF($AP705&lt;&gt;"",INDEX(Raw_D1!$H$2:$H$1001,$AP705),IF($AR705&lt;&gt;"",INDEX(Raw_D3!$H$2:$H$1001,$AR705),"")))</f>
        <v>2</v>
      </c>
      <c r="I705" s="5">
        <f>IF($A705="","",IF($AP705&lt;&gt;"",INDEX(Raw_D1!$I$2:$I$1001,$AP705),IF($AR705&lt;&gt;"",INDEX(Raw_D3!$I$2:$I$1001,$AR705),"")))</f>
        <v>2</v>
      </c>
      <c r="J705" s="16">
        <f>IF($A705="","",IF($AP705&lt;&gt;"",INDEX(Raw_D1!$J$2:$J$1001,$AP705),IF($AR705&lt;&gt;"",INDEX(Raw_D3!$J$2:$J$1001,$AR705),"")))</f>
        <v>0.24</v>
      </c>
      <c r="K705" s="17">
        <f>IF($A705="","",IF($AQ705&lt;&gt;"",IF(INDEX(Raw_D2!$C$2:$C$1001,$AQ705)="","",INDEX(Raw_D2!$C$2:$C$1001,$AQ705)),IF($AR705&lt;&gt;"",IF(INDEX(Raw_D3!$K$2:$K$1001,$AR705)="","",INDEX(Raw_D3!$K$2:$K$1001,$AR705)),"")))</f>
        <v>0.2424</v>
      </c>
      <c r="L705" s="16">
        <f>IF($A705="","",IF($AQ705&lt;&gt;"",IF(INDEX(Raw_D2!$D$2:$D$1001,$AQ705)="","",INDEX(Raw_D2!$D$2:$D$1001,$AQ705)),IF($AR705&lt;&gt;"",IF(INDEX(Raw_D3!$L$2:$L$1001,$AR705)="","",INDEX(Raw_D3!$L$2:$L$1001,$AR705)),"")))</f>
        <v>0.75</v>
      </c>
      <c r="M705" s="17">
        <f>IF($A705="","",IF($AQ705&lt;&gt;"",IF(INDEX(Raw_D2!$E$2:$E$1001,$AQ705)="","",INDEX(Raw_D2!$E$2:$E$1001,$AQ705)),IF($AR705&lt;&gt;"",IF(INDEX(Raw_D3!$M$2:$M$1001,$AR705)="","",INDEX(Raw_D3!$M$2:$M$1001,$AR705)),"")))</f>
        <v>0.1343</v>
      </c>
      <c r="N705" s="5">
        <f>IF($A705="","",IF($AQ705&lt;&gt;"",IF(INDEX(Raw_D2!$F$2:$F$1001,$AQ705)="","",INDEX(Raw_D2!$F$2:$F$1001,$AQ705)),IF($AR705&lt;&gt;"",IF(INDEX(Raw_D3!$N$2:$N$1001,$AR705)="","",INDEX(Raw_D3!$N$2:$N$1001,$AR705)),"")))</f>
        <v>3</v>
      </c>
      <c r="O705" s="5">
        <f>IF($A705="","",IF($AQ705&lt;&gt;"",IF(INDEX(Raw_D2!$G$2:$G$1001,$AQ705)="","",INDEX(Raw_D2!$G$2:$G$1001,$AQ705)),IF($AR705&lt;&gt;"",IF(INDEX(Raw_D3!$O$2:$O$1001,$AR705)="","",INDEX(Raw_D3!$O$2:$O$1001,$AR705)),"")))</f>
        <v>61</v>
      </c>
      <c r="P705" s="5">
        <f>IF($A705="","",IF($AQ705&lt;&gt;"",IF(INDEX(Raw_D2!$H$2:$H$1001,$AQ705)="","",INDEX(Raw_D2!$H$2:$H$1001,$AQ705)),IF($AR705&lt;&gt;"",IF(INDEX(Raw_D3!$P$2:$P$1001,$AR705)="","",INDEX(Raw_D3!$P$2:$P$1001,$AR705)),"")))</f>
        <v>64</v>
      </c>
      <c r="Q705" s="5" t="str">
        <f>IF($A705="","",IF(AND($AP705&lt;&gt;"",$AQ705&lt;&gt;""),"D1+D2",IF($AR705&lt;&gt;"","D3","Incomplete")))</f>
        <v>D3</v>
      </c>
      <c r="R705" s="17">
        <f>IF($A705="","",IF($K705="",IF($J705="","",ROUND(Lookups!$K$5+Lookups!$K$4*$J705,4)),$K705))</f>
        <v>0.2424</v>
      </c>
      <c r="S705" s="5" t="str">
        <f>IF($A705="","",IF($K705="","Imputed","Original"))</f>
        <v>Original</v>
      </c>
      <c r="T705" s="5" t="str">
        <f>IF($A705="","",IF($P705="","Missing",IF($P705=$N705+$O705,"OK","Mismatch")))</f>
        <v>OK</v>
      </c>
      <c r="U705" s="5" t="str">
        <f>IF($A705="","",IF(COUNTIF($A$2:$A705,$A705)&gt;1,"Duplicate","Unique"))</f>
        <v>Unique</v>
      </c>
      <c r="V705" s="5">
        <f>IF($A705="","",IF(AND($U705="Unique",ISNUMBER($P705)),1,0))</f>
        <v>1</v>
      </c>
      <c r="W705" s="5" t="str">
        <f>IF($A705="","",IF(OR($H705=0,$H705=6),"Weekend","Weekday"))</f>
        <v>Weekday</v>
      </c>
      <c r="X705" s="5" t="str">
        <f>IF($A705="","",TEXT($B705,"ddd"))</f>
        <v>Tue</v>
      </c>
      <c r="Y705" s="5" t="str">
        <f>IF($A705="","",TEXT($B705,"mmm"))</f>
        <v>Feb</v>
      </c>
      <c r="Z705" s="5" t="str">
        <f>IF($A705="","",IFERROR(VLOOKUP($C705,Lookups!$D$4:$E$7,2,FALSE),"Unknown"))</f>
        <v>Winter</v>
      </c>
      <c r="AA705" s="5" t="str">
        <f>IF($A705="","",IFERROR(VLOOKUP($I705,Lookups!$A$4:$B$7,2,FALSE),"Unknown"))</f>
        <v>Mist/Cloudy</v>
      </c>
      <c r="AB705" s="5" t="str">
        <f>IF($A705="","",TEXT($F705,"00")&amp;":00")</f>
        <v>16:00</v>
      </c>
      <c r="AC705" s="5" t="str">
        <f>IF($A705="","",VLOOKUP($F705,Lookups!$G$4:$H$8,2,TRUE))</f>
        <v>Evening Peak (16-19)</v>
      </c>
      <c r="AD705" s="18">
        <f>IF($A705="","",IF($J705="","",ROUND($J705*41,1)))</f>
        <v>9.8</v>
      </c>
      <c r="AE705" s="18">
        <f>IF($A705="","",IF($R705="","",ROUND($R705*50,1)))</f>
        <v>12.1</v>
      </c>
      <c r="AF705" s="5">
        <f>IF($A705="","",IF($L705="","",ROUND($L705*100,0)))</f>
        <v>75</v>
      </c>
      <c r="AG705" s="18">
        <f>IF($A705="","",IF($M705="","",ROUND($M705*67,1)))</f>
        <v>9</v>
      </c>
      <c r="AH705" s="19">
        <f>IF($A705="","",IF($P705="","",IF($P705=0,0,$O705/$P705)))</f>
        <v>0.953125</v>
      </c>
      <c r="AI705" s="5" t="str">
        <f>IF($A705="","",IF($P705="","",IF($P705&gt;=Lookups!$K$7,"High",IF($P705&lt;=Lookups!$K$8,"Low","Medium"))))</f>
        <v>Medium</v>
      </c>
      <c r="AJ705" s="5" t="str">
        <f>IF($A705="","",IF($AD705="","",IF($AD705&lt;5,"Under 5 C",IF($AD705&lt;10,"5-10 C",IF($AD705&lt;15,"10-15 C","15 C and above")))))</f>
        <v>5-10 C</v>
      </c>
      <c r="AK705" s="5">
        <f>IF($A705="","",IF($P705="","",$P705^2))</f>
        <v>4096</v>
      </c>
      <c r="AL705" s="18">
        <f>IF($V705&lt;&gt;1,"",AVERAGEIFS(Clean_Data!$P$2:$P$1001,Clean_Data!$F$2:$F$1001,$F705,Clean_Data!$W$2:$W$1001,$W705,Clean_Data!$V$2:$V$1001,1))</f>
        <v>82.6333333333333</v>
      </c>
      <c r="AM705" s="16">
        <f>IF($V705&lt;&gt;1,"",IFERROR(($P705-$AL705)/SQRT(MAX(0,(SUMIFS(Clean_Data!$AK$2:$AK$1001,Clean_Data!$F$2:$F$1001,$F705,Clean_Data!$W$2:$W$1001,$W705,Clean_Data!$V$2:$V$1001,1)-COUNTIFS(Clean_Data!$F$2:$F$1001,$F705,Clean_Data!$W$2:$W$1001,$W705,Clean_Data!$V$2:$V$1001,1)*$AL705^2)/(COUNTIFS(Clean_Data!$F$2:$F$1001,$F705,Clean_Data!$W$2:$W$1001,$W705,Clean_Data!$V$2:$V$1001,1)-1))),""))</f>
        <v>-0.898256233696667</v>
      </c>
      <c r="AN705" s="5" t="str">
        <f>IF($AM705="","",IF($AM705&gt;=Lookups!$K$6,"High spike",IF($AM705&lt;=-Lookups!$K$6,"Unusual low","Normal")))</f>
        <v>Normal</v>
      </c>
      <c r="AO705" s="20">
        <f>IF($V705&lt;&gt;1,"",$P705+ROW()/100000)</f>
        <v>64.00705</v>
      </c>
      <c r="AP705" s="5">
        <f>IF($A705="","",IFERROR(MATCH($A705,Raw_D1!$A$2:$A$1001,0),""))</f>
        <v/>
      </c>
      <c r="AQ705" s="5">
        <f>IF($A705="","",IFERROR(MATCH($A705,Raw_D2!$B$2:$B$1001,0),""))</f>
        <v/>
      </c>
      <c r="AR705" s="5">
        <f>IF($A705="","",IFERROR(MATCH($A705,Raw_D3!$A$2:$A$1001,0),""))</f>
        <v>85</v>
      </c>
    </row>
    <row r="706" spans="1:44" x14ac:dyDescent="0.25">
      <c r="A706" s="5">
        <v>705</v>
      </c>
      <c r="B706" s="11">
        <f>IF($A706="","",IF($AP706&lt;&gt;"",INDEX(Raw_D1!$B$2:$B$1001,$AP706),IF($AR706&lt;&gt;"",INDEX(Raw_D3!$B$2:$B$1001,$AR706),"")))</f>
        <v>40575.0</v>
      </c>
      <c r="C706" s="5">
        <f>IF($A706="","",IF($AP706&lt;&gt;"",INDEX(Raw_D1!$C$2:$C$1001,$AP706),IF($AR706&lt;&gt;"",INDEX(Raw_D3!$C$2:$C$1001,$AR706),"")))</f>
        <v>1</v>
      </c>
      <c r="D706" s="5">
        <f>IF($A706="","",IF($AP706&lt;&gt;"",INDEX(Raw_D1!$D$2:$D$1001,$AP706),IF($AR706&lt;&gt;"",INDEX(Raw_D3!$D$2:$D$1001,$AR706),"")))</f>
        <v>0</v>
      </c>
      <c r="E706" s="5">
        <f>IF($A706="","",IF($AP706&lt;&gt;"",INDEX(Raw_D1!$E$2:$E$1001,$AP706),IF($AR706&lt;&gt;"",INDEX(Raw_D3!$E$2:$E$1001,$AR706),"")))</f>
        <v>2</v>
      </c>
      <c r="F706" s="5">
        <f>IF($A706="","",IF($AP706&lt;&gt;"",INDEX(Raw_D1!$F$2:$F$1001,$AP706),IF($AR706&lt;&gt;"",INDEX(Raw_D3!$F$2:$F$1001,$AR706),"")))</f>
        <v>17</v>
      </c>
      <c r="G706" s="5">
        <f>IF($A706="","",IF($AP706&lt;&gt;"",IF(INDEX(Raw_D1!$G$2:$G$1001,$AP706),1,0),IF($AR706&lt;&gt;"",IF(INDEX(Raw_D3!$G$2:$G$1001,$AR706),1,0),"")))</f>
        <v>0</v>
      </c>
      <c r="H706" s="5">
        <f>IF($A706="","",IF($AP706&lt;&gt;"",INDEX(Raw_D1!$H$2:$H$1001,$AP706),IF($AR706&lt;&gt;"",INDEX(Raw_D3!$H$2:$H$1001,$AR706),"")))</f>
        <v>2</v>
      </c>
      <c r="I706" s="5">
        <f>IF($A706="","",IF($AP706&lt;&gt;"",INDEX(Raw_D1!$I$2:$I$1001,$AP706),IF($AR706&lt;&gt;"",INDEX(Raw_D3!$I$2:$I$1001,$AR706),"")))</f>
        <v>2</v>
      </c>
      <c r="J706" s="16">
        <f>IF($A706="","",IF($AP706&lt;&gt;"",INDEX(Raw_D1!$J$2:$J$1001,$AP706),IF($AR706&lt;&gt;"",INDEX(Raw_D3!$J$2:$J$1001,$AR706),"")))</f>
        <v>0.24</v>
      </c>
      <c r="K706" s="17">
        <f>IF($A706="","",IF($AQ706&lt;&gt;"",IF(INDEX(Raw_D2!$C$2:$C$1001,$AQ706)="","",INDEX(Raw_D2!$C$2:$C$1001,$AQ706)),IF($AR706&lt;&gt;"",IF(INDEX(Raw_D3!$K$2:$K$1001,$AR706)="","",INDEX(Raw_D3!$K$2:$K$1001,$AR706)),"")))</f>
        <v>0.2879</v>
      </c>
      <c r="L706" s="16">
        <f>IF($A706="","",IF($AQ706&lt;&gt;"",IF(INDEX(Raw_D2!$D$2:$D$1001,$AQ706)="","",INDEX(Raw_D2!$D$2:$D$1001,$AQ706)),IF($AR706&lt;&gt;"",IF(INDEX(Raw_D3!$L$2:$L$1001,$AR706)="","",INDEX(Raw_D3!$L$2:$L$1001,$AR706)),"")))</f>
        <v>0.75</v>
      </c>
      <c r="M706" s="17">
        <f>IF($A706="","",IF($AQ706&lt;&gt;"",IF(INDEX(Raw_D2!$E$2:$E$1001,$AQ706)="","",INDEX(Raw_D2!$E$2:$E$1001,$AQ706)),IF($AR706&lt;&gt;"",IF(INDEX(Raw_D3!$M$2:$M$1001,$AR706)="","",INDEX(Raw_D3!$M$2:$M$1001,$AR706)),"")))</f>
        <v>0</v>
      </c>
      <c r="N706" s="5">
        <f>IF($A706="","",IF($AQ706&lt;&gt;"",IF(INDEX(Raw_D2!$F$2:$F$1001,$AQ706)="","",INDEX(Raw_D2!$F$2:$F$1001,$AQ706)),IF($AR706&lt;&gt;"",IF(INDEX(Raw_D3!$N$2:$N$1001,$AR706)="","",INDEX(Raw_D3!$N$2:$N$1001,$AR706)),"")))</f>
        <v>4</v>
      </c>
      <c r="O706" s="5">
        <f>IF($A706="","",IF($AQ706&lt;&gt;"",IF(INDEX(Raw_D2!$G$2:$G$1001,$AQ706)="","",INDEX(Raw_D2!$G$2:$G$1001,$AQ706)),IF($AR706&lt;&gt;"",IF(INDEX(Raw_D3!$O$2:$O$1001,$AR706)="","",INDEX(Raw_D3!$O$2:$O$1001,$AR706)),"")))</f>
        <v>172</v>
      </c>
      <c r="P706" s="5">
        <f>IF($A706="","",IF($AQ706&lt;&gt;"",IF(INDEX(Raw_D2!$H$2:$H$1001,$AQ706)="","",INDEX(Raw_D2!$H$2:$H$1001,$AQ706)),IF($AR706&lt;&gt;"",IF(INDEX(Raw_D3!$P$2:$P$1001,$AR706)="","",INDEX(Raw_D3!$P$2:$P$1001,$AR706)),"")))</f>
        <v>176</v>
      </c>
      <c r="Q706" s="5" t="str">
        <f>IF($A706="","",IF(AND($AP706&lt;&gt;"",$AQ706&lt;&gt;""),"D1+D2",IF($AR706&lt;&gt;"","D3","Incomplete")))</f>
        <v>D3</v>
      </c>
      <c r="R706" s="17">
        <f>IF($A706="","",IF($K706="",IF($J706="","",ROUND(Lookups!$K$5+Lookups!$K$4*$J706,4)),$K706))</f>
        <v>0.2879</v>
      </c>
      <c r="S706" s="5" t="str">
        <f>IF($A706="","",IF($K706="","Imputed","Original"))</f>
        <v>Original</v>
      </c>
      <c r="T706" s="5" t="str">
        <f>IF($A706="","",IF($P706="","Missing",IF($P706=$N706+$O706,"OK","Mismatch")))</f>
        <v>OK</v>
      </c>
      <c r="U706" s="5" t="str">
        <f>IF($A706="","",IF(COUNTIF($A$2:$A706,$A706)&gt;1,"Duplicate","Unique"))</f>
        <v>Unique</v>
      </c>
      <c r="V706" s="5">
        <f>IF($A706="","",IF(AND($U706="Unique",ISNUMBER($P706)),1,0))</f>
        <v>1</v>
      </c>
      <c r="W706" s="5" t="str">
        <f>IF($A706="","",IF(OR($H706=0,$H706=6),"Weekend","Weekday"))</f>
        <v>Weekday</v>
      </c>
      <c r="X706" s="5" t="str">
        <f>IF($A706="","",TEXT($B706,"ddd"))</f>
        <v>Tue</v>
      </c>
      <c r="Y706" s="5" t="str">
        <f>IF($A706="","",TEXT($B706,"mmm"))</f>
        <v>Feb</v>
      </c>
      <c r="Z706" s="5" t="str">
        <f>IF($A706="","",IFERROR(VLOOKUP($C706,Lookups!$D$4:$E$7,2,FALSE),"Unknown"))</f>
        <v>Winter</v>
      </c>
      <c r="AA706" s="5" t="str">
        <f>IF($A706="","",IFERROR(VLOOKUP($I706,Lookups!$A$4:$B$7,2,FALSE),"Unknown"))</f>
        <v>Mist/Cloudy</v>
      </c>
      <c r="AB706" s="5" t="str">
        <f>IF($A706="","",TEXT($F706,"00")&amp;":00")</f>
        <v>17:00</v>
      </c>
      <c r="AC706" s="5" t="str">
        <f>IF($A706="","",VLOOKUP($F706,Lookups!$G$4:$H$8,2,TRUE))</f>
        <v>Evening Peak (16-19)</v>
      </c>
      <c r="AD706" s="18">
        <f>IF($A706="","",IF($J706="","",ROUND($J706*41,1)))</f>
        <v>9.8</v>
      </c>
      <c r="AE706" s="18">
        <f>IF($A706="","",IF($R706="","",ROUND($R706*50,1)))</f>
        <v>14.4</v>
      </c>
      <c r="AF706" s="5">
        <f>IF($A706="","",IF($L706="","",ROUND($L706*100,0)))</f>
        <v>75</v>
      </c>
      <c r="AG706" s="18">
        <f>IF($A706="","",IF($M706="","",ROUND($M706*67,1)))</f>
        <v>0</v>
      </c>
      <c r="AH706" s="19">
        <f>IF($A706="","",IF($P706="","",IF($P706=0,0,$O706/$P706)))</f>
        <v>0.977272727272727</v>
      </c>
      <c r="AI706" s="5" t="str">
        <f>IF($A706="","",IF($P706="","",IF($P706&gt;=Lookups!$K$7,"High",IF($P706&lt;=Lookups!$K$8,"Low","Medium"))))</f>
        <v>High</v>
      </c>
      <c r="AJ706" s="5" t="str">
        <f>IF($A706="","",IF($AD706="","",IF($AD706&lt;5,"Under 5 C",IF($AD706&lt;10,"5-10 C",IF($AD706&lt;15,"10-15 C","15 C and above")))))</f>
        <v>5-10 C</v>
      </c>
      <c r="AK706" s="5">
        <f>IF($A706="","",IF($P706="","",$P706^2))</f>
        <v>30976</v>
      </c>
      <c r="AL706" s="18">
        <f>IF($V706&lt;&gt;1,"",AVERAGEIFS(Clean_Data!$P$2:$P$1001,Clean_Data!$F$2:$F$1001,$F706,Clean_Data!$W$2:$W$1001,$W706,Clean_Data!$V$2:$V$1001,1))</f>
        <v>165.566666666667</v>
      </c>
      <c r="AM706" s="16">
        <f>IF($V706&lt;&gt;1,"",IFERROR(($P706-$AL706)/SQRT(MAX(0,(SUMIFS(Clean_Data!$AK$2:$AK$1001,Clean_Data!$F$2:$F$1001,$F706,Clean_Data!$W$2:$W$1001,$W706,Clean_Data!$V$2:$V$1001,1)-COUNTIFS(Clean_Data!$F$2:$F$1001,$F706,Clean_Data!$W$2:$W$1001,$W706,Clean_Data!$V$2:$V$1001,1)*$AL706^2)/(COUNTIFS(Clean_Data!$F$2:$F$1001,$F706,Clean_Data!$W$2:$W$1001,$W706,Clean_Data!$V$2:$V$1001,1)-1))),""))</f>
        <v>0.237050782337012</v>
      </c>
      <c r="AN706" s="5" t="str">
        <f>IF($AM706="","",IF($AM706&gt;=Lookups!$K$6,"High spike",IF($AM706&lt;=-Lookups!$K$6,"Unusual low","Normal")))</f>
        <v>Normal</v>
      </c>
      <c r="AO706" s="20">
        <f>IF($V706&lt;&gt;1,"",$P706+ROW()/100000)</f>
        <v>176.00706</v>
      </c>
      <c r="AP706" s="5">
        <f>IF($A706="","",IFERROR(MATCH($A706,Raw_D1!$A$2:$A$1001,0),""))</f>
        <v/>
      </c>
      <c r="AQ706" s="5">
        <f>IF($A706="","",IFERROR(MATCH($A706,Raw_D2!$B$2:$B$1001,0),""))</f>
        <v/>
      </c>
      <c r="AR706" s="5">
        <f>IF($A706="","",IFERROR(MATCH($A706,Raw_D3!$A$2:$A$1001,0),""))</f>
        <v>86</v>
      </c>
    </row>
    <row r="707" spans="1:44" x14ac:dyDescent="0.25">
      <c r="A707" s="5">
        <v>706</v>
      </c>
      <c r="B707" s="11">
        <f>IF($A707="","",IF($AP707&lt;&gt;"",INDEX(Raw_D1!$B$2:$B$1001,$AP707),IF($AR707&lt;&gt;"",INDEX(Raw_D3!$B$2:$B$1001,$AR707),"")))</f>
        <v>40575.0</v>
      </c>
      <c r="C707" s="5">
        <f>IF($A707="","",IF($AP707&lt;&gt;"",INDEX(Raw_D1!$C$2:$C$1001,$AP707),IF($AR707&lt;&gt;"",INDEX(Raw_D3!$C$2:$C$1001,$AR707),"")))</f>
        <v>1</v>
      </c>
      <c r="D707" s="5">
        <f>IF($A707="","",IF($AP707&lt;&gt;"",INDEX(Raw_D1!$D$2:$D$1001,$AP707),IF($AR707&lt;&gt;"",INDEX(Raw_D3!$D$2:$D$1001,$AR707),"")))</f>
        <v>0</v>
      </c>
      <c r="E707" s="5">
        <f>IF($A707="","",IF($AP707&lt;&gt;"",INDEX(Raw_D1!$E$2:$E$1001,$AP707),IF($AR707&lt;&gt;"",INDEX(Raw_D3!$E$2:$E$1001,$AR707),"")))</f>
        <v>2</v>
      </c>
      <c r="F707" s="5">
        <f>IF($A707="","",IF($AP707&lt;&gt;"",INDEX(Raw_D1!$F$2:$F$1001,$AP707),IF($AR707&lt;&gt;"",INDEX(Raw_D3!$F$2:$F$1001,$AR707),"")))</f>
        <v>18</v>
      </c>
      <c r="G707" s="5">
        <f>IF($A707="","",IF($AP707&lt;&gt;"",IF(INDEX(Raw_D1!$G$2:$G$1001,$AP707),1,0),IF($AR707&lt;&gt;"",IF(INDEX(Raw_D3!$G$2:$G$1001,$AR707),1,0),"")))</f>
        <v>0</v>
      </c>
      <c r="H707" s="5">
        <f>IF($A707="","",IF($AP707&lt;&gt;"",INDEX(Raw_D1!$H$2:$H$1001,$AP707),IF($AR707&lt;&gt;"",INDEX(Raw_D3!$H$2:$H$1001,$AR707),"")))</f>
        <v>2</v>
      </c>
      <c r="I707" s="5">
        <f>IF($A707="","",IF($AP707&lt;&gt;"",INDEX(Raw_D1!$I$2:$I$1001,$AP707),IF($AR707&lt;&gt;"",INDEX(Raw_D3!$I$2:$I$1001,$AR707),"")))</f>
        <v>2</v>
      </c>
      <c r="J707" s="16">
        <f>IF($A707="","",IF($AP707&lt;&gt;"",INDEX(Raw_D1!$J$2:$J$1001,$AP707),IF($AR707&lt;&gt;"",INDEX(Raw_D3!$J$2:$J$1001,$AR707),"")))</f>
        <v>0.24</v>
      </c>
      <c r="K707" s="17">
        <f>IF($A707="","",IF($AQ707&lt;&gt;"",IF(INDEX(Raw_D2!$C$2:$C$1001,$AQ707)="","",INDEX(Raw_D2!$C$2:$C$1001,$AQ707)),IF($AR707&lt;&gt;"",IF(INDEX(Raw_D3!$K$2:$K$1001,$AR707)="","",INDEX(Raw_D3!$K$2:$K$1001,$AR707)),"")))</f>
        <v>0.2576</v>
      </c>
      <c r="L707" s="16">
        <f>IF($A707="","",IF($AQ707&lt;&gt;"",IF(INDEX(Raw_D2!$D$2:$D$1001,$AQ707)="","",INDEX(Raw_D2!$D$2:$D$1001,$AQ707)),IF($AR707&lt;&gt;"",IF(INDEX(Raw_D3!$L$2:$L$1001,$AR707)="","",INDEX(Raw_D3!$L$2:$L$1001,$AR707)),"")))</f>
        <v>0.81</v>
      </c>
      <c r="M707" s="17">
        <f>IF($A707="","",IF($AQ707&lt;&gt;"",IF(INDEX(Raw_D2!$E$2:$E$1001,$AQ707)="","",INDEX(Raw_D2!$E$2:$E$1001,$AQ707)),IF($AR707&lt;&gt;"",IF(INDEX(Raw_D3!$M$2:$M$1001,$AR707)="","",INDEX(Raw_D3!$M$2:$M$1001,$AR707)),"")))</f>
        <v>0.1045</v>
      </c>
      <c r="N707" s="5">
        <f>IF($A707="","",IF($AQ707&lt;&gt;"",IF(INDEX(Raw_D2!$F$2:$F$1001,$AQ707)="","",INDEX(Raw_D2!$F$2:$F$1001,$AQ707)),IF($AR707&lt;&gt;"",IF(INDEX(Raw_D3!$N$2:$N$1001,$AR707)="","",INDEX(Raw_D3!$N$2:$N$1001,$AR707)),"")))</f>
        <v>3</v>
      </c>
      <c r="O707" s="5">
        <f>IF($A707="","",IF($AQ707&lt;&gt;"",IF(INDEX(Raw_D2!$G$2:$G$1001,$AQ707)="","",INDEX(Raw_D2!$G$2:$G$1001,$AQ707)),IF($AR707&lt;&gt;"",IF(INDEX(Raw_D3!$O$2:$O$1001,$AR707)="","",INDEX(Raw_D3!$O$2:$O$1001,$AR707)),"")))</f>
        <v>165</v>
      </c>
      <c r="P707" s="5">
        <f>IF($A707="","",IF($AQ707&lt;&gt;"",IF(INDEX(Raw_D2!$H$2:$H$1001,$AQ707)="","",INDEX(Raw_D2!$H$2:$H$1001,$AQ707)),IF($AR707&lt;&gt;"",IF(INDEX(Raw_D3!$P$2:$P$1001,$AR707)="","",INDEX(Raw_D3!$P$2:$P$1001,$AR707)),"")))</f>
        <v>168</v>
      </c>
      <c r="Q707" s="5" t="str">
        <f>IF($A707="","",IF(AND($AP707&lt;&gt;"",$AQ707&lt;&gt;""),"D1+D2",IF($AR707&lt;&gt;"","D3","Incomplete")))</f>
        <v>D3</v>
      </c>
      <c r="R707" s="17">
        <f>IF($A707="","",IF($K707="",IF($J707="","",ROUND(Lookups!$K$5+Lookups!$K$4*$J707,4)),$K707))</f>
        <v>0.2576</v>
      </c>
      <c r="S707" s="5" t="str">
        <f>IF($A707="","",IF($K707="","Imputed","Original"))</f>
        <v>Original</v>
      </c>
      <c r="T707" s="5" t="str">
        <f>IF($A707="","",IF($P707="","Missing",IF($P707=$N707+$O707,"OK","Mismatch")))</f>
        <v>OK</v>
      </c>
      <c r="U707" s="5" t="str">
        <f>IF($A707="","",IF(COUNTIF($A$2:$A707,$A707)&gt;1,"Duplicate","Unique"))</f>
        <v>Unique</v>
      </c>
      <c r="V707" s="5">
        <f>IF($A707="","",IF(AND($U707="Unique",ISNUMBER($P707)),1,0))</f>
        <v>1</v>
      </c>
      <c r="W707" s="5" t="str">
        <f>IF($A707="","",IF(OR($H707=0,$H707=6),"Weekend","Weekday"))</f>
        <v>Weekday</v>
      </c>
      <c r="X707" s="5" t="str">
        <f>IF($A707="","",TEXT($B707,"ddd"))</f>
        <v>Tue</v>
      </c>
      <c r="Y707" s="5" t="str">
        <f>IF($A707="","",TEXT($B707,"mmm"))</f>
        <v>Feb</v>
      </c>
      <c r="Z707" s="5" t="str">
        <f>IF($A707="","",IFERROR(VLOOKUP($C707,Lookups!$D$4:$E$7,2,FALSE),"Unknown"))</f>
        <v>Winter</v>
      </c>
      <c r="AA707" s="5" t="str">
        <f>IF($A707="","",IFERROR(VLOOKUP($I707,Lookups!$A$4:$B$7,2,FALSE),"Unknown"))</f>
        <v>Mist/Cloudy</v>
      </c>
      <c r="AB707" s="5" t="str">
        <f>IF($A707="","",TEXT($F707,"00")&amp;":00")</f>
        <v>18:00</v>
      </c>
      <c r="AC707" s="5" t="str">
        <f>IF($A707="","",VLOOKUP($F707,Lookups!$G$4:$H$8,2,TRUE))</f>
        <v>Evening Peak (16-19)</v>
      </c>
      <c r="AD707" s="18">
        <f>IF($A707="","",IF($J707="","",ROUND($J707*41,1)))</f>
        <v>9.8</v>
      </c>
      <c r="AE707" s="18">
        <f>IF($A707="","",IF($R707="","",ROUND($R707*50,1)))</f>
        <v>12.9</v>
      </c>
      <c r="AF707" s="5">
        <f>IF($A707="","",IF($L707="","",ROUND($L707*100,0)))</f>
        <v>81</v>
      </c>
      <c r="AG707" s="18">
        <f>IF($A707="","",IF($M707="","",ROUND($M707*67,1)))</f>
        <v>7</v>
      </c>
      <c r="AH707" s="19">
        <f>IF($A707="","",IF($P707="","",IF($P707=0,0,$O707/$P707)))</f>
        <v>0.982142857142857</v>
      </c>
      <c r="AI707" s="5" t="str">
        <f>IF($A707="","",IF($P707="","",IF($P707&gt;=Lookups!$K$7,"High",IF($P707&lt;=Lookups!$K$8,"Low","Medium"))))</f>
        <v>High</v>
      </c>
      <c r="AJ707" s="5" t="str">
        <f>IF($A707="","",IF($AD707="","",IF($AD707&lt;5,"Under 5 C",IF($AD707&lt;10,"5-10 C",IF($AD707&lt;15,"10-15 C","15 C and above")))))</f>
        <v>5-10 C</v>
      </c>
      <c r="AK707" s="5">
        <f>IF($A707="","",IF($P707="","",$P707^2))</f>
        <v>28224</v>
      </c>
      <c r="AL707" s="18">
        <f>IF($V707&lt;&gt;1,"",AVERAGEIFS(Clean_Data!$P$2:$P$1001,Clean_Data!$F$2:$F$1001,$F707,Clean_Data!$W$2:$W$1001,$W707,Clean_Data!$V$2:$V$1001,1))</f>
        <v>151.206896551724</v>
      </c>
      <c r="AM707" s="16">
        <f>IF($V707&lt;&gt;1,"",IFERROR(($P707-$AL707)/SQRT(MAX(0,(SUMIFS(Clean_Data!$AK$2:$AK$1001,Clean_Data!$F$2:$F$1001,$F707,Clean_Data!$W$2:$W$1001,$W707,Clean_Data!$V$2:$V$1001,1)-COUNTIFS(Clean_Data!$F$2:$F$1001,$F707,Clean_Data!$W$2:$W$1001,$W707,Clean_Data!$V$2:$V$1001,1)*$AL707^2)/(COUNTIFS(Clean_Data!$F$2:$F$1001,$F707,Clean_Data!$W$2:$W$1001,$W707,Clean_Data!$V$2:$V$1001,1)-1))),""))</f>
        <v>0.572179776059111</v>
      </c>
      <c r="AN707" s="5" t="str">
        <f>IF($AM707="","",IF($AM707&gt;=Lookups!$K$6,"High spike",IF($AM707&lt;=-Lookups!$K$6,"Unusual low","Normal")))</f>
        <v>Normal</v>
      </c>
      <c r="AO707" s="20">
        <f>IF($V707&lt;&gt;1,"",$P707+ROW()/100000)</f>
        <v>168.00707</v>
      </c>
      <c r="AP707" s="5">
        <f>IF($A707="","",IFERROR(MATCH($A707,Raw_D1!$A$2:$A$1001,0),""))</f>
        <v/>
      </c>
      <c r="AQ707" s="5">
        <f>IF($A707="","",IFERROR(MATCH($A707,Raw_D2!$B$2:$B$1001,0),""))</f>
        <v/>
      </c>
      <c r="AR707" s="5">
        <f>IF($A707="","",IFERROR(MATCH($A707,Raw_D3!$A$2:$A$1001,0),""))</f>
        <v>87</v>
      </c>
    </row>
    <row r="708" spans="1:44" x14ac:dyDescent="0.25">
      <c r="A708" s="5">
        <v>707</v>
      </c>
      <c r="B708" s="11">
        <f>IF($A708="","",IF($AP708&lt;&gt;"",INDEX(Raw_D1!$B$2:$B$1001,$AP708),IF($AR708&lt;&gt;"",INDEX(Raw_D3!$B$2:$B$1001,$AR708),"")))</f>
        <v>40575.0</v>
      </c>
      <c r="C708" s="5">
        <f>IF($A708="","",IF($AP708&lt;&gt;"",INDEX(Raw_D1!$C$2:$C$1001,$AP708),IF($AR708&lt;&gt;"",INDEX(Raw_D3!$C$2:$C$1001,$AR708),"")))</f>
        <v>1</v>
      </c>
      <c r="D708" s="5">
        <f>IF($A708="","",IF($AP708&lt;&gt;"",INDEX(Raw_D1!$D$2:$D$1001,$AP708),IF($AR708&lt;&gt;"",INDEX(Raw_D3!$D$2:$D$1001,$AR708),"")))</f>
        <v>0</v>
      </c>
      <c r="E708" s="5">
        <f>IF($A708="","",IF($AP708&lt;&gt;"",INDEX(Raw_D1!$E$2:$E$1001,$AP708),IF($AR708&lt;&gt;"",INDEX(Raw_D3!$E$2:$E$1001,$AR708),"")))</f>
        <v>2</v>
      </c>
      <c r="F708" s="5">
        <f>IF($A708="","",IF($AP708&lt;&gt;"",INDEX(Raw_D1!$F$2:$F$1001,$AP708),IF($AR708&lt;&gt;"",INDEX(Raw_D3!$F$2:$F$1001,$AR708),"")))</f>
        <v>19</v>
      </c>
      <c r="G708" s="5">
        <f>IF($A708="","",IF($AP708&lt;&gt;"",IF(INDEX(Raw_D1!$G$2:$G$1001,$AP708),1,0),IF($AR708&lt;&gt;"",IF(INDEX(Raw_D3!$G$2:$G$1001,$AR708),1,0),"")))</f>
        <v>0</v>
      </c>
      <c r="H708" s="5">
        <f>IF($A708="","",IF($AP708&lt;&gt;"",INDEX(Raw_D1!$H$2:$H$1001,$AP708),IF($AR708&lt;&gt;"",INDEX(Raw_D3!$H$2:$H$1001,$AR708),"")))</f>
        <v>2</v>
      </c>
      <c r="I708" s="5">
        <f>IF($A708="","",IF($AP708&lt;&gt;"",INDEX(Raw_D1!$I$2:$I$1001,$AP708),IF($AR708&lt;&gt;"",INDEX(Raw_D3!$I$2:$I$1001,$AR708),"")))</f>
        <v>2</v>
      </c>
      <c r="J708" s="16">
        <f>IF($A708="","",IF($AP708&lt;&gt;"",INDEX(Raw_D1!$J$2:$J$1001,$AP708),IF($AR708&lt;&gt;"",INDEX(Raw_D3!$J$2:$J$1001,$AR708),"")))</f>
        <v>0.24</v>
      </c>
      <c r="K708" s="17">
        <f>IF($A708="","",IF($AQ708&lt;&gt;"",IF(INDEX(Raw_D2!$C$2:$C$1001,$AQ708)="","",INDEX(Raw_D2!$C$2:$C$1001,$AQ708)),IF($AR708&lt;&gt;"",IF(INDEX(Raw_D3!$K$2:$K$1001,$AR708)="","",INDEX(Raw_D3!$K$2:$K$1001,$AR708)),"")))</f>
        <v>0.2424</v>
      </c>
      <c r="L708" s="16">
        <f>IF($A708="","",IF($AQ708&lt;&gt;"",IF(INDEX(Raw_D2!$D$2:$D$1001,$AQ708)="","",INDEX(Raw_D2!$D$2:$D$1001,$AQ708)),IF($AR708&lt;&gt;"",IF(INDEX(Raw_D3!$L$2:$L$1001,$AR708)="","",INDEX(Raw_D3!$L$2:$L$1001,$AR708)),"")))</f>
        <v>0.81</v>
      </c>
      <c r="M708" s="17">
        <f>IF($A708="","",IF($AQ708&lt;&gt;"",IF(INDEX(Raw_D2!$E$2:$E$1001,$AQ708)="","",INDEX(Raw_D2!$E$2:$E$1001,$AQ708)),IF($AR708&lt;&gt;"",IF(INDEX(Raw_D3!$M$2:$M$1001,$AR708)="","",INDEX(Raw_D3!$M$2:$M$1001,$AR708)),"")))</f>
        <v>0.1343</v>
      </c>
      <c r="N708" s="5">
        <f>IF($A708="","",IF($AQ708&lt;&gt;"",IF(INDEX(Raw_D2!$F$2:$F$1001,$AQ708)="","",INDEX(Raw_D2!$F$2:$F$1001,$AQ708)),IF($AR708&lt;&gt;"",IF(INDEX(Raw_D3!$N$2:$N$1001,$AR708)="","",INDEX(Raw_D3!$N$2:$N$1001,$AR708)),"")))</f>
        <v>3</v>
      </c>
      <c r="O708" s="5">
        <f>IF($A708="","",IF($AQ708&lt;&gt;"",IF(INDEX(Raw_D2!$G$2:$G$1001,$AQ708)="","",INDEX(Raw_D2!$G$2:$G$1001,$AQ708)),IF($AR708&lt;&gt;"",IF(INDEX(Raw_D3!$O$2:$O$1001,$AR708)="","",INDEX(Raw_D3!$O$2:$O$1001,$AR708)),"")))</f>
        <v>105</v>
      </c>
      <c r="P708" s="5">
        <f>IF($A708="","",IF($AQ708&lt;&gt;"",IF(INDEX(Raw_D2!$H$2:$H$1001,$AQ708)="","",INDEX(Raw_D2!$H$2:$H$1001,$AQ708)),IF($AR708&lt;&gt;"",IF(INDEX(Raw_D3!$P$2:$P$1001,$AR708)="","",INDEX(Raw_D3!$P$2:$P$1001,$AR708)),"")))</f>
        <v>108</v>
      </c>
      <c r="Q708" s="5" t="str">
        <f>IF($A708="","",IF(AND($AP708&lt;&gt;"",$AQ708&lt;&gt;""),"D1+D2",IF($AR708&lt;&gt;"","D3","Incomplete")))</f>
        <v>D3</v>
      </c>
      <c r="R708" s="17">
        <f>IF($A708="","",IF($K708="",IF($J708="","",ROUND(Lookups!$K$5+Lookups!$K$4*$J708,4)),$K708))</f>
        <v>0.2424</v>
      </c>
      <c r="S708" s="5" t="str">
        <f>IF($A708="","",IF($K708="","Imputed","Original"))</f>
        <v>Original</v>
      </c>
      <c r="T708" s="5" t="str">
        <f>IF($A708="","",IF($P708="","Missing",IF($P708=$N708+$O708,"OK","Mismatch")))</f>
        <v>OK</v>
      </c>
      <c r="U708" s="5" t="str">
        <f>IF($A708="","",IF(COUNTIF($A$2:$A708,$A708)&gt;1,"Duplicate","Unique"))</f>
        <v>Unique</v>
      </c>
      <c r="V708" s="5">
        <f>IF($A708="","",IF(AND($U708="Unique",ISNUMBER($P708)),1,0))</f>
        <v>1</v>
      </c>
      <c r="W708" s="5" t="str">
        <f>IF($A708="","",IF(OR($H708=0,$H708=6),"Weekend","Weekday"))</f>
        <v>Weekday</v>
      </c>
      <c r="X708" s="5" t="str">
        <f>IF($A708="","",TEXT($B708,"ddd"))</f>
        <v>Tue</v>
      </c>
      <c r="Y708" s="5" t="str">
        <f>IF($A708="","",TEXT($B708,"mmm"))</f>
        <v>Feb</v>
      </c>
      <c r="Z708" s="5" t="str">
        <f>IF($A708="","",IFERROR(VLOOKUP($C708,Lookups!$D$4:$E$7,2,FALSE),"Unknown"))</f>
        <v>Winter</v>
      </c>
      <c r="AA708" s="5" t="str">
        <f>IF($A708="","",IFERROR(VLOOKUP($I708,Lookups!$A$4:$B$7,2,FALSE),"Unknown"))</f>
        <v>Mist/Cloudy</v>
      </c>
      <c r="AB708" s="5" t="str">
        <f>IF($A708="","",TEXT($F708,"00")&amp;":00")</f>
        <v>19:00</v>
      </c>
      <c r="AC708" s="5" t="str">
        <f>IF($A708="","",VLOOKUP($F708,Lookups!$G$4:$H$8,2,TRUE))</f>
        <v>Evening Peak (16-19)</v>
      </c>
      <c r="AD708" s="18">
        <f>IF($A708="","",IF($J708="","",ROUND($J708*41,1)))</f>
        <v>9.8</v>
      </c>
      <c r="AE708" s="18">
        <f>IF($A708="","",IF($R708="","",ROUND($R708*50,1)))</f>
        <v>12.1</v>
      </c>
      <c r="AF708" s="5">
        <f>IF($A708="","",IF($L708="","",ROUND($L708*100,0)))</f>
        <v>81</v>
      </c>
      <c r="AG708" s="18">
        <f>IF($A708="","",IF($M708="","",ROUND($M708*67,1)))</f>
        <v>9</v>
      </c>
      <c r="AH708" s="19">
        <f>IF($A708="","",IF($P708="","",IF($P708=0,0,$O708/$P708)))</f>
        <v>0.972222222222222</v>
      </c>
      <c r="AI708" s="5" t="str">
        <f>IF($A708="","",IF($P708="","",IF($P708&gt;=Lookups!$K$7,"High",IF($P708&lt;=Lookups!$K$8,"Low","Medium"))))</f>
        <v>High</v>
      </c>
      <c r="AJ708" s="5" t="str">
        <f>IF($A708="","",IF($AD708="","",IF($AD708&lt;5,"Under 5 C",IF($AD708&lt;10,"5-10 C",IF($AD708&lt;15,"10-15 C","15 C and above")))))</f>
        <v>5-10 C</v>
      </c>
      <c r="AK708" s="5">
        <f>IF($A708="","",IF($P708="","",$P708^2))</f>
        <v>11664</v>
      </c>
      <c r="AL708" s="18">
        <f>IF($V708&lt;&gt;1,"",AVERAGEIFS(Clean_Data!$P$2:$P$1001,Clean_Data!$F$2:$F$1001,$F708,Clean_Data!$W$2:$W$1001,$W708,Clean_Data!$V$2:$V$1001,1))</f>
        <v>102.034482758621</v>
      </c>
      <c r="AM708" s="16">
        <f>IF($V708&lt;&gt;1,"",IFERROR(($P708-$AL708)/SQRT(MAX(0,(SUMIFS(Clean_Data!$AK$2:$AK$1001,Clean_Data!$F$2:$F$1001,$F708,Clean_Data!$W$2:$W$1001,$W708,Clean_Data!$V$2:$V$1001,1)-COUNTIFS(Clean_Data!$F$2:$F$1001,$F708,Clean_Data!$W$2:$W$1001,$W708,Clean_Data!$V$2:$V$1001,1)*$AL708^2)/(COUNTIFS(Clean_Data!$F$2:$F$1001,$F708,Clean_Data!$W$2:$W$1001,$W708,Clean_Data!$V$2:$V$1001,1)-1))),""))</f>
        <v>0.280761140280467</v>
      </c>
      <c r="AN708" s="5" t="str">
        <f>IF($AM708="","",IF($AM708&gt;=Lookups!$K$6,"High spike",IF($AM708&lt;=-Lookups!$K$6,"Unusual low","Normal")))</f>
        <v>Normal</v>
      </c>
      <c r="AO708" s="20">
        <f>IF($V708&lt;&gt;1,"",$P708+ROW()/100000)</f>
        <v>108.00708</v>
      </c>
      <c r="AP708" s="5">
        <f>IF($A708="","",IFERROR(MATCH($A708,Raw_D1!$A$2:$A$1001,0),""))</f>
        <v/>
      </c>
      <c r="AQ708" s="5">
        <f>IF($A708="","",IFERROR(MATCH($A708,Raw_D2!$B$2:$B$1001,0),""))</f>
        <v/>
      </c>
      <c r="AR708" s="5">
        <f>IF($A708="","",IFERROR(MATCH($A708,Raw_D3!$A$2:$A$1001,0),""))</f>
        <v>88</v>
      </c>
    </row>
    <row r="709" spans="1:44" x14ac:dyDescent="0.25">
      <c r="A709" s="5">
        <v>708</v>
      </c>
      <c r="B709" s="11">
        <f>IF($A709="","",IF($AP709&lt;&gt;"",INDEX(Raw_D1!$B$2:$B$1001,$AP709),IF($AR709&lt;&gt;"",INDEX(Raw_D3!$B$2:$B$1001,$AR709),"")))</f>
        <v>40575.0</v>
      </c>
      <c r="C709" s="5">
        <f>IF($A709="","",IF($AP709&lt;&gt;"",INDEX(Raw_D1!$C$2:$C$1001,$AP709),IF($AR709&lt;&gt;"",INDEX(Raw_D3!$C$2:$C$1001,$AR709),"")))</f>
        <v>1</v>
      </c>
      <c r="D709" s="5">
        <f>IF($A709="","",IF($AP709&lt;&gt;"",INDEX(Raw_D1!$D$2:$D$1001,$AP709),IF($AR709&lt;&gt;"",INDEX(Raw_D3!$D$2:$D$1001,$AR709),"")))</f>
        <v>0</v>
      </c>
      <c r="E709" s="5">
        <f>IF($A709="","",IF($AP709&lt;&gt;"",INDEX(Raw_D1!$E$2:$E$1001,$AP709),IF($AR709&lt;&gt;"",INDEX(Raw_D3!$E$2:$E$1001,$AR709),"")))</f>
        <v>2</v>
      </c>
      <c r="F709" s="5">
        <f>IF($A709="","",IF($AP709&lt;&gt;"",INDEX(Raw_D1!$F$2:$F$1001,$AP709),IF($AR709&lt;&gt;"",INDEX(Raw_D3!$F$2:$F$1001,$AR709),"")))</f>
        <v>20</v>
      </c>
      <c r="G709" s="5">
        <f>IF($A709="","",IF($AP709&lt;&gt;"",IF(INDEX(Raw_D1!$G$2:$G$1001,$AP709),1,0),IF($AR709&lt;&gt;"",IF(INDEX(Raw_D3!$G$2:$G$1001,$AR709),1,0),"")))</f>
        <v>0</v>
      </c>
      <c r="H709" s="5">
        <f>IF($A709="","",IF($AP709&lt;&gt;"",INDEX(Raw_D1!$H$2:$H$1001,$AP709),IF($AR709&lt;&gt;"",INDEX(Raw_D3!$H$2:$H$1001,$AR709),"")))</f>
        <v>2</v>
      </c>
      <c r="I709" s="5">
        <f>IF($A709="","",IF($AP709&lt;&gt;"",INDEX(Raw_D1!$I$2:$I$1001,$AP709),IF($AR709&lt;&gt;"",INDEX(Raw_D3!$I$2:$I$1001,$AR709),"")))</f>
        <v>2</v>
      </c>
      <c r="J709" s="16">
        <f>IF($A709="","",IF($AP709&lt;&gt;"",INDEX(Raw_D1!$J$2:$J$1001,$AP709),IF($AR709&lt;&gt;"",INDEX(Raw_D3!$J$2:$J$1001,$AR709),"")))</f>
        <v>0.22</v>
      </c>
      <c r="K709" s="17">
        <f>IF($A709="","",IF($AQ709&lt;&gt;"",IF(INDEX(Raw_D2!$C$2:$C$1001,$AQ709)="","",INDEX(Raw_D2!$C$2:$C$1001,$AQ709)),IF($AR709&lt;&gt;"",IF(INDEX(Raw_D3!$K$2:$K$1001,$AR709)="","",INDEX(Raw_D3!$K$2:$K$1001,$AR709)),"")))</f>
        <v>0.2273</v>
      </c>
      <c r="L709" s="16">
        <f>IF($A709="","",IF($AQ709&lt;&gt;"",IF(INDEX(Raw_D2!$D$2:$D$1001,$AQ709)="","",INDEX(Raw_D2!$D$2:$D$1001,$AQ709)),IF($AR709&lt;&gt;"",IF(INDEX(Raw_D3!$L$2:$L$1001,$AR709)="","",INDEX(Raw_D3!$L$2:$L$1001,$AR709)),"")))</f>
        <v>0.87</v>
      </c>
      <c r="M709" s="17">
        <f>IF($A709="","",IF($AQ709&lt;&gt;"",IF(INDEX(Raw_D2!$E$2:$E$1001,$AQ709)="","",INDEX(Raw_D2!$E$2:$E$1001,$AQ709)),IF($AR709&lt;&gt;"",IF(INDEX(Raw_D3!$M$2:$M$1001,$AR709)="","",INDEX(Raw_D3!$M$2:$M$1001,$AR709)),"")))</f>
        <v>0.1343</v>
      </c>
      <c r="N709" s="5">
        <f>IF($A709="","",IF($AQ709&lt;&gt;"",IF(INDEX(Raw_D2!$F$2:$F$1001,$AQ709)="","",INDEX(Raw_D2!$F$2:$F$1001,$AQ709)),IF($AR709&lt;&gt;"",IF(INDEX(Raw_D3!$N$2:$N$1001,$AR709)="","",INDEX(Raw_D3!$N$2:$N$1001,$AR709)),"")))</f>
        <v>5</v>
      </c>
      <c r="O709" s="5">
        <f>IF($A709="","",IF($AQ709&lt;&gt;"",IF(INDEX(Raw_D2!$G$2:$G$1001,$AQ709)="","",INDEX(Raw_D2!$G$2:$G$1001,$AQ709)),IF($AR709&lt;&gt;"",IF(INDEX(Raw_D3!$O$2:$O$1001,$AR709)="","",INDEX(Raw_D3!$O$2:$O$1001,$AR709)),"")))</f>
        <v>69</v>
      </c>
      <c r="P709" s="5">
        <f>IF($A709="","",IF($AQ709&lt;&gt;"",IF(INDEX(Raw_D2!$H$2:$H$1001,$AQ709)="","",INDEX(Raw_D2!$H$2:$H$1001,$AQ709)),IF($AR709&lt;&gt;"",IF(INDEX(Raw_D3!$P$2:$P$1001,$AR709)="","",INDEX(Raw_D3!$P$2:$P$1001,$AR709)),"")))</f>
        <v>74</v>
      </c>
      <c r="Q709" s="5" t="str">
        <f>IF($A709="","",IF(AND($AP709&lt;&gt;"",$AQ709&lt;&gt;""),"D1+D2",IF($AR709&lt;&gt;"","D3","Incomplete")))</f>
        <v>D3</v>
      </c>
      <c r="R709" s="17">
        <f>IF($A709="","",IF($K709="",IF($J709="","",ROUND(Lookups!$K$5+Lookups!$K$4*$J709,4)),$K709))</f>
        <v>0.2273</v>
      </c>
      <c r="S709" s="5" t="str">
        <f>IF($A709="","",IF($K709="","Imputed","Original"))</f>
        <v>Original</v>
      </c>
      <c r="T709" s="5" t="str">
        <f>IF($A709="","",IF($P709="","Missing",IF($P709=$N709+$O709,"OK","Mismatch")))</f>
        <v>OK</v>
      </c>
      <c r="U709" s="5" t="str">
        <f>IF($A709="","",IF(COUNTIF($A$2:$A709,$A709)&gt;1,"Duplicate","Unique"))</f>
        <v>Unique</v>
      </c>
      <c r="V709" s="5">
        <f>IF($A709="","",IF(AND($U709="Unique",ISNUMBER($P709)),1,0))</f>
        <v>1</v>
      </c>
      <c r="W709" s="5" t="str">
        <f>IF($A709="","",IF(OR($H709=0,$H709=6),"Weekend","Weekday"))</f>
        <v>Weekday</v>
      </c>
      <c r="X709" s="5" t="str">
        <f>IF($A709="","",TEXT($B709,"ddd"))</f>
        <v>Tue</v>
      </c>
      <c r="Y709" s="5" t="str">
        <f>IF($A709="","",TEXT($B709,"mmm"))</f>
        <v>Feb</v>
      </c>
      <c r="Z709" s="5" t="str">
        <f>IF($A709="","",IFERROR(VLOOKUP($C709,Lookups!$D$4:$E$7,2,FALSE),"Unknown"))</f>
        <v>Winter</v>
      </c>
      <c r="AA709" s="5" t="str">
        <f>IF($A709="","",IFERROR(VLOOKUP($I709,Lookups!$A$4:$B$7,2,FALSE),"Unknown"))</f>
        <v>Mist/Cloudy</v>
      </c>
      <c r="AB709" s="5" t="str">
        <f>IF($A709="","",TEXT($F709,"00")&amp;":00")</f>
        <v>20:00</v>
      </c>
      <c r="AC709" s="5" t="str">
        <f>IF($A709="","",VLOOKUP($F709,Lookups!$G$4:$H$8,2,TRUE))</f>
        <v>Late Evening (20-23)</v>
      </c>
      <c r="AD709" s="18">
        <f>IF($A709="","",IF($J709="","",ROUND($J709*41,1)))</f>
        <v>9</v>
      </c>
      <c r="AE709" s="18">
        <f>IF($A709="","",IF($R709="","",ROUND($R709*50,1)))</f>
        <v>11.4</v>
      </c>
      <c r="AF709" s="5">
        <f>IF($A709="","",IF($L709="","",ROUND($L709*100,0)))</f>
        <v>87</v>
      </c>
      <c r="AG709" s="18">
        <f>IF($A709="","",IF($M709="","",ROUND($M709*67,1)))</f>
        <v>9</v>
      </c>
      <c r="AH709" s="19">
        <f>IF($A709="","",IF($P709="","",IF($P709=0,0,$O709/$P709)))</f>
        <v>0.932432432432433</v>
      </c>
      <c r="AI709" s="5" t="str">
        <f>IF($A709="","",IF($P709="","",IF($P709&gt;=Lookups!$K$7,"High",IF($P709&lt;=Lookups!$K$8,"Low","Medium"))))</f>
        <v>Medium</v>
      </c>
      <c r="AJ709" s="5" t="str">
        <f>IF($A709="","",IF($AD709="","",IF($AD709&lt;5,"Under 5 C",IF($AD709&lt;10,"5-10 C",IF($AD709&lt;15,"10-15 C","15 C and above")))))</f>
        <v>5-10 C</v>
      </c>
      <c r="AK709" s="5">
        <f>IF($A709="","",IF($P709="","",$P709^2))</f>
        <v>5476</v>
      </c>
      <c r="AL709" s="18">
        <f>IF($V709&lt;&gt;1,"",AVERAGEIFS(Clean_Data!$P$2:$P$1001,Clean_Data!$F$2:$F$1001,$F709,Clean_Data!$W$2:$W$1001,$W709,Clean_Data!$V$2:$V$1001,1))</f>
        <v>72.2758620689655</v>
      </c>
      <c r="AM709" s="16">
        <f>IF($V709&lt;&gt;1,"",IFERROR(($P709-$AL709)/SQRT(MAX(0,(SUMIFS(Clean_Data!$AK$2:$AK$1001,Clean_Data!$F$2:$F$1001,$F709,Clean_Data!$W$2:$W$1001,$W709,Clean_Data!$V$2:$V$1001,1)-COUNTIFS(Clean_Data!$F$2:$F$1001,$F709,Clean_Data!$W$2:$W$1001,$W709,Clean_Data!$V$2:$V$1001,1)*$AL709^2)/(COUNTIFS(Clean_Data!$F$2:$F$1001,$F709,Clean_Data!$W$2:$W$1001,$W709,Clean_Data!$V$2:$V$1001,1)-1))),""))</f>
        <v>0.0780143979228179</v>
      </c>
      <c r="AN709" s="5" t="str">
        <f>IF($AM709="","",IF($AM709&gt;=Lookups!$K$6,"High spike",IF($AM709&lt;=-Lookups!$K$6,"Unusual low","Normal")))</f>
        <v>Normal</v>
      </c>
      <c r="AO709" s="20">
        <f>IF($V709&lt;&gt;1,"",$P709+ROW()/100000)</f>
        <v>74.00709</v>
      </c>
      <c r="AP709" s="5">
        <f>IF($A709="","",IFERROR(MATCH($A709,Raw_D1!$A$2:$A$1001,0),""))</f>
        <v/>
      </c>
      <c r="AQ709" s="5">
        <f>IF($A709="","",IFERROR(MATCH($A709,Raw_D2!$B$2:$B$1001,0),""))</f>
        <v/>
      </c>
      <c r="AR709" s="5">
        <f>IF($A709="","",IFERROR(MATCH($A709,Raw_D3!$A$2:$A$1001,0),""))</f>
        <v>89</v>
      </c>
    </row>
    <row r="710" spans="1:44" x14ac:dyDescent="0.25">
      <c r="A710" s="5">
        <v>709</v>
      </c>
      <c r="B710" s="11">
        <f>IF($A710="","",IF($AP710&lt;&gt;"",INDEX(Raw_D1!$B$2:$B$1001,$AP710),IF($AR710&lt;&gt;"",INDEX(Raw_D3!$B$2:$B$1001,$AR710),"")))</f>
        <v>40575.0</v>
      </c>
      <c r="C710" s="5">
        <f>IF($A710="","",IF($AP710&lt;&gt;"",INDEX(Raw_D1!$C$2:$C$1001,$AP710),IF($AR710&lt;&gt;"",INDEX(Raw_D3!$C$2:$C$1001,$AR710),"")))</f>
        <v>1</v>
      </c>
      <c r="D710" s="5">
        <f>IF($A710="","",IF($AP710&lt;&gt;"",INDEX(Raw_D1!$D$2:$D$1001,$AP710),IF($AR710&lt;&gt;"",INDEX(Raw_D3!$D$2:$D$1001,$AR710),"")))</f>
        <v>0</v>
      </c>
      <c r="E710" s="5">
        <f>IF($A710="","",IF($AP710&lt;&gt;"",INDEX(Raw_D1!$E$2:$E$1001,$AP710),IF($AR710&lt;&gt;"",INDEX(Raw_D3!$E$2:$E$1001,$AR710),"")))</f>
        <v>2</v>
      </c>
      <c r="F710" s="5">
        <f>IF($A710="","",IF($AP710&lt;&gt;"",INDEX(Raw_D1!$F$2:$F$1001,$AP710),IF($AR710&lt;&gt;"",INDEX(Raw_D3!$F$2:$F$1001,$AR710),"")))</f>
        <v>21</v>
      </c>
      <c r="G710" s="5">
        <f>IF($A710="","",IF($AP710&lt;&gt;"",IF(INDEX(Raw_D1!$G$2:$G$1001,$AP710),1,0),IF($AR710&lt;&gt;"",IF(INDEX(Raw_D3!$G$2:$G$1001,$AR710),1,0),"")))</f>
        <v>0</v>
      </c>
      <c r="H710" s="5">
        <f>IF($A710="","",IF($AP710&lt;&gt;"",INDEX(Raw_D1!$H$2:$H$1001,$AP710),IF($AR710&lt;&gt;"",INDEX(Raw_D3!$H$2:$H$1001,$AR710),"")))</f>
        <v>2</v>
      </c>
      <c r="I710" s="5">
        <f>IF($A710="","",IF($AP710&lt;&gt;"",INDEX(Raw_D1!$I$2:$I$1001,$AP710),IF($AR710&lt;&gt;"",INDEX(Raw_D3!$I$2:$I$1001,$AR710),"")))</f>
        <v>2</v>
      </c>
      <c r="J710" s="16">
        <f>IF($A710="","",IF($AP710&lt;&gt;"",INDEX(Raw_D1!$J$2:$J$1001,$AP710),IF($AR710&lt;&gt;"",INDEX(Raw_D3!$J$2:$J$1001,$AR710),"")))</f>
        <v>0.22</v>
      </c>
      <c r="K710" s="17">
        <f>IF($A710="","",IF($AQ710&lt;&gt;"",IF(INDEX(Raw_D2!$C$2:$C$1001,$AQ710)="","",INDEX(Raw_D2!$C$2:$C$1001,$AQ710)),IF($AR710&lt;&gt;"",IF(INDEX(Raw_D3!$K$2:$K$1001,$AR710)="","",INDEX(Raw_D3!$K$2:$K$1001,$AR710)),"")))</f>
        <v>0.2273</v>
      </c>
      <c r="L710" s="16">
        <f>IF($A710="","",IF($AQ710&lt;&gt;"",IF(INDEX(Raw_D2!$D$2:$D$1001,$AQ710)="","",INDEX(Raw_D2!$D$2:$D$1001,$AQ710)),IF($AR710&lt;&gt;"",IF(INDEX(Raw_D3!$L$2:$L$1001,$AR710)="","",INDEX(Raw_D3!$L$2:$L$1001,$AR710)),"")))</f>
        <v>0.87</v>
      </c>
      <c r="M710" s="17">
        <f>IF($A710="","",IF($AQ710&lt;&gt;"",IF(INDEX(Raw_D2!$E$2:$E$1001,$AQ710)="","",INDEX(Raw_D2!$E$2:$E$1001,$AQ710)),IF($AR710&lt;&gt;"",IF(INDEX(Raw_D3!$M$2:$M$1001,$AR710)="","",INDEX(Raw_D3!$M$2:$M$1001,$AR710)),"")))</f>
        <v>0.1343</v>
      </c>
      <c r="N710" s="5">
        <f>IF($A710="","",IF($AQ710&lt;&gt;"",IF(INDEX(Raw_D2!$F$2:$F$1001,$AQ710)="","",INDEX(Raw_D2!$F$2:$F$1001,$AQ710)),IF($AR710&lt;&gt;"",IF(INDEX(Raw_D3!$N$2:$N$1001,$AR710)="","",INDEX(Raw_D3!$N$2:$N$1001,$AR710)),"")))</f>
        <v>0</v>
      </c>
      <c r="O710" s="5">
        <f>IF($A710="","",IF($AQ710&lt;&gt;"",IF(INDEX(Raw_D2!$G$2:$G$1001,$AQ710)="","",INDEX(Raw_D2!$G$2:$G$1001,$AQ710)),IF($AR710&lt;&gt;"",IF(INDEX(Raw_D3!$O$2:$O$1001,$AR710)="","",INDEX(Raw_D3!$O$2:$O$1001,$AR710)),"")))</f>
        <v>64</v>
      </c>
      <c r="P710" s="5">
        <f>IF($A710="","",IF($AQ710&lt;&gt;"",IF(INDEX(Raw_D2!$H$2:$H$1001,$AQ710)="","",INDEX(Raw_D2!$H$2:$H$1001,$AQ710)),IF($AR710&lt;&gt;"",IF(INDEX(Raw_D3!$P$2:$P$1001,$AR710)="","",INDEX(Raw_D3!$P$2:$P$1001,$AR710)),"")))</f>
        <v>64</v>
      </c>
      <c r="Q710" s="5" t="str">
        <f>IF($A710="","",IF(AND($AP710&lt;&gt;"",$AQ710&lt;&gt;""),"D1+D2",IF($AR710&lt;&gt;"","D3","Incomplete")))</f>
        <v>D3</v>
      </c>
      <c r="R710" s="17">
        <f>IF($A710="","",IF($K710="",IF($J710="","",ROUND(Lookups!$K$5+Lookups!$K$4*$J710,4)),$K710))</f>
        <v>0.2273</v>
      </c>
      <c r="S710" s="5" t="str">
        <f>IF($A710="","",IF($K710="","Imputed","Original"))</f>
        <v>Original</v>
      </c>
      <c r="T710" s="5" t="str">
        <f>IF($A710="","",IF($P710="","Missing",IF($P710=$N710+$O710,"OK","Mismatch")))</f>
        <v>OK</v>
      </c>
      <c r="U710" s="5" t="str">
        <f>IF($A710="","",IF(COUNTIF($A$2:$A710,$A710)&gt;1,"Duplicate","Unique"))</f>
        <v>Unique</v>
      </c>
      <c r="V710" s="5">
        <f>IF($A710="","",IF(AND($U710="Unique",ISNUMBER($P710)),1,0))</f>
        <v>1</v>
      </c>
      <c r="W710" s="5" t="str">
        <f>IF($A710="","",IF(OR($H710=0,$H710=6),"Weekend","Weekday"))</f>
        <v>Weekday</v>
      </c>
      <c r="X710" s="5" t="str">
        <f>IF($A710="","",TEXT($B710,"ddd"))</f>
        <v>Tue</v>
      </c>
      <c r="Y710" s="5" t="str">
        <f>IF($A710="","",TEXT($B710,"mmm"))</f>
        <v>Feb</v>
      </c>
      <c r="Z710" s="5" t="str">
        <f>IF($A710="","",IFERROR(VLOOKUP($C710,Lookups!$D$4:$E$7,2,FALSE),"Unknown"))</f>
        <v>Winter</v>
      </c>
      <c r="AA710" s="5" t="str">
        <f>IF($A710="","",IFERROR(VLOOKUP($I710,Lookups!$A$4:$B$7,2,FALSE),"Unknown"))</f>
        <v>Mist/Cloudy</v>
      </c>
      <c r="AB710" s="5" t="str">
        <f>IF($A710="","",TEXT($F710,"00")&amp;":00")</f>
        <v>21:00</v>
      </c>
      <c r="AC710" s="5" t="str">
        <f>IF($A710="","",VLOOKUP($F710,Lookups!$G$4:$H$8,2,TRUE))</f>
        <v>Late Evening (20-23)</v>
      </c>
      <c r="AD710" s="18">
        <f>IF($A710="","",IF($J710="","",ROUND($J710*41,1)))</f>
        <v>9</v>
      </c>
      <c r="AE710" s="18">
        <f>IF($A710="","",IF($R710="","",ROUND($R710*50,1)))</f>
        <v>11.4</v>
      </c>
      <c r="AF710" s="5">
        <f>IF($A710="","",IF($L710="","",ROUND($L710*100,0)))</f>
        <v>87</v>
      </c>
      <c r="AG710" s="18">
        <f>IF($A710="","",IF($M710="","",ROUND($M710*67,1)))</f>
        <v>9</v>
      </c>
      <c r="AH710" s="19">
        <f>IF($A710="","",IF($P710="","",IF($P710=0,0,$O710/$P710)))</f>
        <v>1</v>
      </c>
      <c r="AI710" s="5" t="str">
        <f>IF($A710="","",IF($P710="","",IF($P710&gt;=Lookups!$K$7,"High",IF($P710&lt;=Lookups!$K$8,"Low","Medium"))))</f>
        <v>Medium</v>
      </c>
      <c r="AJ710" s="5" t="str">
        <f>IF($A710="","",IF($AD710="","",IF($AD710&lt;5,"Under 5 C",IF($AD710&lt;10,"5-10 C",IF($AD710&lt;15,"10-15 C","15 C and above")))))</f>
        <v>5-10 C</v>
      </c>
      <c r="AK710" s="5">
        <f>IF($A710="","",IF($P710="","",$P710^2))</f>
        <v>4096</v>
      </c>
      <c r="AL710" s="18">
        <f>IF($V710&lt;&gt;1,"",AVERAGEIFS(Clean_Data!$P$2:$P$1001,Clean_Data!$F$2:$F$1001,$F710,Clean_Data!$W$2:$W$1001,$W710,Clean_Data!$V$2:$V$1001,1))</f>
        <v>50.8965517241379</v>
      </c>
      <c r="AM710" s="16">
        <f>IF($V710&lt;&gt;1,"",IFERROR(($P710-$AL710)/SQRT(MAX(0,(SUMIFS(Clean_Data!$AK$2:$AK$1001,Clean_Data!$F$2:$F$1001,$F710,Clean_Data!$W$2:$W$1001,$W710,Clean_Data!$V$2:$V$1001,1)-COUNTIFS(Clean_Data!$F$2:$F$1001,$F710,Clean_Data!$W$2:$W$1001,$W710,Clean_Data!$V$2:$V$1001,1)*$AL710^2)/(COUNTIFS(Clean_Data!$F$2:$F$1001,$F710,Clean_Data!$W$2:$W$1001,$W710,Clean_Data!$V$2:$V$1001,1)-1))),""))</f>
        <v>0.948958623302094</v>
      </c>
      <c r="AN710" s="5" t="str">
        <f>IF($AM710="","",IF($AM710&gt;=Lookups!$K$6,"High spike",IF($AM710&lt;=-Lookups!$K$6,"Unusual low","Normal")))</f>
        <v>Normal</v>
      </c>
      <c r="AO710" s="20">
        <f>IF($V710&lt;&gt;1,"",$P710+ROW()/100000)</f>
        <v>64.0071</v>
      </c>
      <c r="AP710" s="5">
        <f>IF($A710="","",IFERROR(MATCH($A710,Raw_D1!$A$2:$A$1001,0),""))</f>
        <v/>
      </c>
      <c r="AQ710" s="5">
        <f>IF($A710="","",IFERROR(MATCH($A710,Raw_D2!$B$2:$B$1001,0),""))</f>
        <v/>
      </c>
      <c r="AR710" s="5">
        <f>IF($A710="","",IFERROR(MATCH($A710,Raw_D3!$A$2:$A$1001,0),""))</f>
        <v>90</v>
      </c>
    </row>
    <row r="711" spans="1:44" x14ac:dyDescent="0.25">
      <c r="A711" s="5">
        <v>710</v>
      </c>
      <c r="B711" s="11">
        <f>IF($A711="","",IF($AP711&lt;&gt;"",INDEX(Raw_D1!$B$2:$B$1001,$AP711),IF($AR711&lt;&gt;"",INDEX(Raw_D3!$B$2:$B$1001,$AR711),"")))</f>
        <v>40575.0</v>
      </c>
      <c r="C711" s="5">
        <f>IF($A711="","",IF($AP711&lt;&gt;"",INDEX(Raw_D1!$C$2:$C$1001,$AP711),IF($AR711&lt;&gt;"",INDEX(Raw_D3!$C$2:$C$1001,$AR711),"")))</f>
        <v>1</v>
      </c>
      <c r="D711" s="5">
        <f>IF($A711="","",IF($AP711&lt;&gt;"",INDEX(Raw_D1!$D$2:$D$1001,$AP711),IF($AR711&lt;&gt;"",INDEX(Raw_D3!$D$2:$D$1001,$AR711),"")))</f>
        <v>0</v>
      </c>
      <c r="E711" s="5">
        <f>IF($A711="","",IF($AP711&lt;&gt;"",INDEX(Raw_D1!$E$2:$E$1001,$AP711),IF($AR711&lt;&gt;"",INDEX(Raw_D3!$E$2:$E$1001,$AR711),"")))</f>
        <v>2</v>
      </c>
      <c r="F711" s="5">
        <f>IF($A711="","",IF($AP711&lt;&gt;"",INDEX(Raw_D1!$F$2:$F$1001,$AP711),IF($AR711&lt;&gt;"",INDEX(Raw_D3!$F$2:$F$1001,$AR711),"")))</f>
        <v>22</v>
      </c>
      <c r="G711" s="5">
        <f>IF($A711="","",IF($AP711&lt;&gt;"",IF(INDEX(Raw_D1!$G$2:$G$1001,$AP711),1,0),IF($AR711&lt;&gt;"",IF(INDEX(Raw_D3!$G$2:$G$1001,$AR711),1,0),"")))</f>
        <v>0</v>
      </c>
      <c r="H711" s="5">
        <f>IF($A711="","",IF($AP711&lt;&gt;"",INDEX(Raw_D1!$H$2:$H$1001,$AP711),IF($AR711&lt;&gt;"",INDEX(Raw_D3!$H$2:$H$1001,$AR711),"")))</f>
        <v>2</v>
      </c>
      <c r="I711" s="5">
        <f>IF($A711="","",IF($AP711&lt;&gt;"",INDEX(Raw_D1!$I$2:$I$1001,$AP711),IF($AR711&lt;&gt;"",INDEX(Raw_D3!$I$2:$I$1001,$AR711),"")))</f>
        <v>2</v>
      </c>
      <c r="J711" s="16">
        <f>IF($A711="","",IF($AP711&lt;&gt;"",INDEX(Raw_D1!$J$2:$J$1001,$AP711),IF($AR711&lt;&gt;"",INDEX(Raw_D3!$J$2:$J$1001,$AR711),"")))</f>
        <v>0.22</v>
      </c>
      <c r="K711" s="17">
        <f>IF($A711="","",IF($AQ711&lt;&gt;"",IF(INDEX(Raw_D2!$C$2:$C$1001,$AQ711)="","",INDEX(Raw_D2!$C$2:$C$1001,$AQ711)),IF($AR711&lt;&gt;"",IF(INDEX(Raw_D3!$K$2:$K$1001,$AR711)="","",INDEX(Raw_D3!$K$2:$K$1001,$AR711)),"")))</f>
        <v>0.2576</v>
      </c>
      <c r="L711" s="16">
        <f>IF($A711="","",IF($AQ711&lt;&gt;"",IF(INDEX(Raw_D2!$D$2:$D$1001,$AQ711)="","",INDEX(Raw_D2!$D$2:$D$1001,$AQ711)),IF($AR711&lt;&gt;"",IF(INDEX(Raw_D3!$L$2:$L$1001,$AR711)="","",INDEX(Raw_D3!$L$2:$L$1001,$AR711)),"")))</f>
        <v>0.87</v>
      </c>
      <c r="M711" s="17">
        <f>IF($A711="","",IF($AQ711&lt;&gt;"",IF(INDEX(Raw_D2!$E$2:$E$1001,$AQ711)="","",INDEX(Raw_D2!$E$2:$E$1001,$AQ711)),IF($AR711&lt;&gt;"",IF(INDEX(Raw_D3!$M$2:$M$1001,$AR711)="","",INDEX(Raw_D3!$M$2:$M$1001,$AR711)),"")))</f>
        <v>0.0896</v>
      </c>
      <c r="N711" s="5">
        <f>IF($A711="","",IF($AQ711&lt;&gt;"",IF(INDEX(Raw_D2!$F$2:$F$1001,$AQ711)="","",INDEX(Raw_D2!$F$2:$F$1001,$AQ711)),IF($AR711&lt;&gt;"",IF(INDEX(Raw_D3!$N$2:$N$1001,$AR711)="","",INDEX(Raw_D3!$N$2:$N$1001,$AR711)),"")))</f>
        <v>2</v>
      </c>
      <c r="O711" s="5">
        <f>IF($A711="","",IF($AQ711&lt;&gt;"",IF(INDEX(Raw_D2!$G$2:$G$1001,$AQ711)="","",INDEX(Raw_D2!$G$2:$G$1001,$AQ711)),IF($AR711&lt;&gt;"",IF(INDEX(Raw_D3!$O$2:$O$1001,$AR711)="","",INDEX(Raw_D3!$O$2:$O$1001,$AR711)),"")))</f>
        <v>34</v>
      </c>
      <c r="P711" s="5">
        <f>IF($A711="","",IF($AQ711&lt;&gt;"",IF(INDEX(Raw_D2!$H$2:$H$1001,$AQ711)="","",INDEX(Raw_D2!$H$2:$H$1001,$AQ711)),IF($AR711&lt;&gt;"",IF(INDEX(Raw_D3!$P$2:$P$1001,$AR711)="","",INDEX(Raw_D3!$P$2:$P$1001,$AR711)),"")))</f>
        <v>36</v>
      </c>
      <c r="Q711" s="5" t="str">
        <f>IF($A711="","",IF(AND($AP711&lt;&gt;"",$AQ711&lt;&gt;""),"D1+D2",IF($AR711&lt;&gt;"","D3","Incomplete")))</f>
        <v>D3</v>
      </c>
      <c r="R711" s="17">
        <f>IF($A711="","",IF($K711="",IF($J711="","",ROUND(Lookups!$K$5+Lookups!$K$4*$J711,4)),$K711))</f>
        <v>0.2576</v>
      </c>
      <c r="S711" s="5" t="str">
        <f>IF($A711="","",IF($K711="","Imputed","Original"))</f>
        <v>Original</v>
      </c>
      <c r="T711" s="5" t="str">
        <f>IF($A711="","",IF($P711="","Missing",IF($P711=$N711+$O711,"OK","Mismatch")))</f>
        <v>OK</v>
      </c>
      <c r="U711" s="5" t="str">
        <f>IF($A711="","",IF(COUNTIF($A$2:$A711,$A711)&gt;1,"Duplicate","Unique"))</f>
        <v>Unique</v>
      </c>
      <c r="V711" s="5">
        <f>IF($A711="","",IF(AND($U711="Unique",ISNUMBER($P711)),1,0))</f>
        <v>1</v>
      </c>
      <c r="W711" s="5" t="str">
        <f>IF($A711="","",IF(OR($H711=0,$H711=6),"Weekend","Weekday"))</f>
        <v>Weekday</v>
      </c>
      <c r="X711" s="5" t="str">
        <f>IF($A711="","",TEXT($B711,"ddd"))</f>
        <v>Tue</v>
      </c>
      <c r="Y711" s="5" t="str">
        <f>IF($A711="","",TEXT($B711,"mmm"))</f>
        <v>Feb</v>
      </c>
      <c r="Z711" s="5" t="str">
        <f>IF($A711="","",IFERROR(VLOOKUP($C711,Lookups!$D$4:$E$7,2,FALSE),"Unknown"))</f>
        <v>Winter</v>
      </c>
      <c r="AA711" s="5" t="str">
        <f>IF($A711="","",IFERROR(VLOOKUP($I711,Lookups!$A$4:$B$7,2,FALSE),"Unknown"))</f>
        <v>Mist/Cloudy</v>
      </c>
      <c r="AB711" s="5" t="str">
        <f>IF($A711="","",TEXT($F711,"00")&amp;":00")</f>
        <v>22:00</v>
      </c>
      <c r="AC711" s="5" t="str">
        <f>IF($A711="","",VLOOKUP($F711,Lookups!$G$4:$H$8,2,TRUE))</f>
        <v>Late Evening (20-23)</v>
      </c>
      <c r="AD711" s="18">
        <f>IF($A711="","",IF($J711="","",ROUND($J711*41,1)))</f>
        <v>9</v>
      </c>
      <c r="AE711" s="18">
        <f>IF($A711="","",IF($R711="","",ROUND($R711*50,1)))</f>
        <v>12.9</v>
      </c>
      <c r="AF711" s="5">
        <f>IF($A711="","",IF($L711="","",ROUND($L711*100,0)))</f>
        <v>87</v>
      </c>
      <c r="AG711" s="18">
        <f>IF($A711="","",IF($M711="","",ROUND($M711*67,1)))</f>
        <v>6</v>
      </c>
      <c r="AH711" s="19">
        <f>IF($A711="","",IF($P711="","",IF($P711=0,0,$O711/$P711)))</f>
        <v>0.944444444444444</v>
      </c>
      <c r="AI711" s="5" t="str">
        <f>IF($A711="","",IF($P711="","",IF($P711&gt;=Lookups!$K$7,"High",IF($P711&lt;=Lookups!$K$8,"Low","Medium"))))</f>
        <v>Medium</v>
      </c>
      <c r="AJ711" s="5" t="str">
        <f>IF($A711="","",IF($AD711="","",IF($AD711&lt;5,"Under 5 C",IF($AD711&lt;10,"5-10 C",IF($AD711&lt;15,"10-15 C","15 C and above")))))</f>
        <v>5-10 C</v>
      </c>
      <c r="AK711" s="5">
        <f>IF($A711="","",IF($P711="","",$P711^2))</f>
        <v>1296</v>
      </c>
      <c r="AL711" s="18">
        <f>IF($V711&lt;&gt;1,"",AVERAGEIFS(Clean_Data!$P$2:$P$1001,Clean_Data!$F$2:$F$1001,$F711,Clean_Data!$W$2:$W$1001,$W711,Clean_Data!$V$2:$V$1001,1))</f>
        <v>37.1034482758621</v>
      </c>
      <c r="AM711" s="16">
        <f>IF($V711&lt;&gt;1,"",IFERROR(($P711-$AL711)/SQRT(MAX(0,(SUMIFS(Clean_Data!$AK$2:$AK$1001,Clean_Data!$F$2:$F$1001,$F711,Clean_Data!$W$2:$W$1001,$W711,Clean_Data!$V$2:$V$1001,1)-COUNTIFS(Clean_Data!$F$2:$F$1001,$F711,Clean_Data!$W$2:$W$1001,$W711,Clean_Data!$V$2:$V$1001,1)*$AL711^2)/(COUNTIFS(Clean_Data!$F$2:$F$1001,$F711,Clean_Data!$W$2:$W$1001,$W711,Clean_Data!$V$2:$V$1001,1)-1))),""))</f>
        <v>-0.102221703269801</v>
      </c>
      <c r="AN711" s="5" t="str">
        <f>IF($AM711="","",IF($AM711&gt;=Lookups!$K$6,"High spike",IF($AM711&lt;=-Lookups!$K$6,"Unusual low","Normal")))</f>
        <v>Normal</v>
      </c>
      <c r="AO711" s="20">
        <f>IF($V711&lt;&gt;1,"",$P711+ROW()/100000)</f>
        <v>36.00711</v>
      </c>
      <c r="AP711" s="5">
        <f>IF($A711="","",IFERROR(MATCH($A711,Raw_D1!$A$2:$A$1001,0),""))</f>
        <v/>
      </c>
      <c r="AQ711" s="5">
        <f>IF($A711="","",IFERROR(MATCH($A711,Raw_D2!$B$2:$B$1001,0),""))</f>
        <v/>
      </c>
      <c r="AR711" s="5">
        <f>IF($A711="","",IFERROR(MATCH($A711,Raw_D3!$A$2:$A$1001,0),""))</f>
        <v>91</v>
      </c>
    </row>
    <row r="712" spans="1:44" x14ac:dyDescent="0.25">
      <c r="A712" s="5">
        <v>711</v>
      </c>
      <c r="B712" s="11">
        <f>IF($A712="","",IF($AP712&lt;&gt;"",INDEX(Raw_D1!$B$2:$B$1001,$AP712),IF($AR712&lt;&gt;"",INDEX(Raw_D3!$B$2:$B$1001,$AR712),"")))</f>
        <v>40575.0</v>
      </c>
      <c r="C712" s="5">
        <f>IF($A712="","",IF($AP712&lt;&gt;"",INDEX(Raw_D1!$C$2:$C$1001,$AP712),IF($AR712&lt;&gt;"",INDEX(Raw_D3!$C$2:$C$1001,$AR712),"")))</f>
        <v>1</v>
      </c>
      <c r="D712" s="5">
        <f>IF($A712="","",IF($AP712&lt;&gt;"",INDEX(Raw_D1!$D$2:$D$1001,$AP712),IF($AR712&lt;&gt;"",INDEX(Raw_D3!$D$2:$D$1001,$AR712),"")))</f>
        <v>0</v>
      </c>
      <c r="E712" s="5">
        <f>IF($A712="","",IF($AP712&lt;&gt;"",INDEX(Raw_D1!$E$2:$E$1001,$AP712),IF($AR712&lt;&gt;"",INDEX(Raw_D3!$E$2:$E$1001,$AR712),"")))</f>
        <v>2</v>
      </c>
      <c r="F712" s="5">
        <f>IF($A712="","",IF($AP712&lt;&gt;"",INDEX(Raw_D1!$F$2:$F$1001,$AP712),IF($AR712&lt;&gt;"",INDEX(Raw_D3!$F$2:$F$1001,$AR712),"")))</f>
        <v>23</v>
      </c>
      <c r="G712" s="5">
        <f>IF($A712="","",IF($AP712&lt;&gt;"",IF(INDEX(Raw_D1!$G$2:$G$1001,$AP712),1,0),IF($AR712&lt;&gt;"",IF(INDEX(Raw_D3!$G$2:$G$1001,$AR712),1,0),"")))</f>
        <v>0</v>
      </c>
      <c r="H712" s="5">
        <f>IF($A712="","",IF($AP712&lt;&gt;"",INDEX(Raw_D1!$H$2:$H$1001,$AP712),IF($AR712&lt;&gt;"",INDEX(Raw_D3!$H$2:$H$1001,$AR712),"")))</f>
        <v>2</v>
      </c>
      <c r="I712" s="5">
        <f>IF($A712="","",IF($AP712&lt;&gt;"",INDEX(Raw_D1!$I$2:$I$1001,$AP712),IF($AR712&lt;&gt;"",INDEX(Raw_D3!$I$2:$I$1001,$AR712),"")))</f>
        <v>3</v>
      </c>
      <c r="J712" s="16">
        <f>IF($A712="","",IF($AP712&lt;&gt;"",INDEX(Raw_D1!$J$2:$J$1001,$AP712),IF($AR712&lt;&gt;"",INDEX(Raw_D3!$J$2:$J$1001,$AR712),"")))</f>
        <v>0.2</v>
      </c>
      <c r="K712" s="17">
        <f>IF($A712="","",IF($AQ712&lt;&gt;"",IF(INDEX(Raw_D2!$C$2:$C$1001,$AQ712)="","",INDEX(Raw_D2!$C$2:$C$1001,$AQ712)),IF($AR712&lt;&gt;"",IF(INDEX(Raw_D3!$K$2:$K$1001,$AR712)="","",INDEX(Raw_D3!$K$2:$K$1001,$AR712)),"")))</f>
        <v>0.197</v>
      </c>
      <c r="L712" s="16">
        <f>IF($A712="","",IF($AQ712&lt;&gt;"",IF(INDEX(Raw_D2!$D$2:$D$1001,$AQ712)="","",INDEX(Raw_D2!$D$2:$D$1001,$AQ712)),IF($AR712&lt;&gt;"",IF(INDEX(Raw_D3!$L$2:$L$1001,$AR712)="","",INDEX(Raw_D3!$L$2:$L$1001,$AR712)),"")))</f>
        <v>0.93</v>
      </c>
      <c r="M712" s="17">
        <f>IF($A712="","",IF($AQ712&lt;&gt;"",IF(INDEX(Raw_D2!$E$2:$E$1001,$AQ712)="","",INDEX(Raw_D2!$E$2:$E$1001,$AQ712)),IF($AR712&lt;&gt;"",IF(INDEX(Raw_D3!$M$2:$M$1001,$AR712)="","",INDEX(Raw_D3!$M$2:$M$1001,$AR712)),"")))</f>
        <v>0.194</v>
      </c>
      <c r="N712" s="5">
        <f>IF($A712="","",IF($AQ712&lt;&gt;"",IF(INDEX(Raw_D2!$F$2:$F$1001,$AQ712)="","",INDEX(Raw_D2!$F$2:$F$1001,$AQ712)),IF($AR712&lt;&gt;"",IF(INDEX(Raw_D3!$N$2:$N$1001,$AR712)="","",INDEX(Raw_D3!$N$2:$N$1001,$AR712)),"")))</f>
        <v>1</v>
      </c>
      <c r="O712" s="5">
        <f>IF($A712="","",IF($AQ712&lt;&gt;"",IF(INDEX(Raw_D2!$G$2:$G$1001,$AQ712)="","",INDEX(Raw_D2!$G$2:$G$1001,$AQ712)),IF($AR712&lt;&gt;"",IF(INDEX(Raw_D3!$O$2:$O$1001,$AR712)="","",INDEX(Raw_D3!$O$2:$O$1001,$AR712)),"")))</f>
        <v>15</v>
      </c>
      <c r="P712" s="5">
        <f>IF($A712="","",IF($AQ712&lt;&gt;"",IF(INDEX(Raw_D2!$H$2:$H$1001,$AQ712)="","",INDEX(Raw_D2!$H$2:$H$1001,$AQ712)),IF($AR712&lt;&gt;"",IF(INDEX(Raw_D3!$P$2:$P$1001,$AR712)="","",INDEX(Raw_D3!$P$2:$P$1001,$AR712)),"")))</f>
        <v>16</v>
      </c>
      <c r="Q712" s="5" t="str">
        <f>IF($A712="","",IF(AND($AP712&lt;&gt;"",$AQ712&lt;&gt;""),"D1+D2",IF($AR712&lt;&gt;"","D3","Incomplete")))</f>
        <v>D3</v>
      </c>
      <c r="R712" s="17">
        <f>IF($A712="","",IF($K712="",IF($J712="","",ROUND(Lookups!$K$5+Lookups!$K$4*$J712,4)),$K712))</f>
        <v>0.197</v>
      </c>
      <c r="S712" s="5" t="str">
        <f>IF($A712="","",IF($K712="","Imputed","Original"))</f>
        <v>Original</v>
      </c>
      <c r="T712" s="5" t="str">
        <f>IF($A712="","",IF($P712="","Missing",IF($P712=$N712+$O712,"OK","Mismatch")))</f>
        <v>OK</v>
      </c>
      <c r="U712" s="5" t="str">
        <f>IF($A712="","",IF(COUNTIF($A$2:$A712,$A712)&gt;1,"Duplicate","Unique"))</f>
        <v>Unique</v>
      </c>
      <c r="V712" s="5">
        <f>IF($A712="","",IF(AND($U712="Unique",ISNUMBER($P712)),1,0))</f>
        <v>1</v>
      </c>
      <c r="W712" s="5" t="str">
        <f>IF($A712="","",IF(OR($H712=0,$H712=6),"Weekend","Weekday"))</f>
        <v>Weekday</v>
      </c>
      <c r="X712" s="5" t="str">
        <f>IF($A712="","",TEXT($B712,"ddd"))</f>
        <v>Tue</v>
      </c>
      <c r="Y712" s="5" t="str">
        <f>IF($A712="","",TEXT($B712,"mmm"))</f>
        <v>Feb</v>
      </c>
      <c r="Z712" s="5" t="str">
        <f>IF($A712="","",IFERROR(VLOOKUP($C712,Lookups!$D$4:$E$7,2,FALSE),"Unknown"))</f>
        <v>Winter</v>
      </c>
      <c r="AA712" s="5" t="str">
        <f>IF($A712="","",IFERROR(VLOOKUP($I712,Lookups!$A$4:$B$7,2,FALSE),"Unknown"))</f>
        <v>Light Rain/Snow</v>
      </c>
      <c r="AB712" s="5" t="str">
        <f>IF($A712="","",TEXT($F712,"00")&amp;":00")</f>
        <v>23:00</v>
      </c>
      <c r="AC712" s="5" t="str">
        <f>IF($A712="","",VLOOKUP($F712,Lookups!$G$4:$H$8,2,TRUE))</f>
        <v>Late Evening (20-23)</v>
      </c>
      <c r="AD712" s="18">
        <f>IF($A712="","",IF($J712="","",ROUND($J712*41,1)))</f>
        <v>8.2</v>
      </c>
      <c r="AE712" s="18">
        <f>IF($A712="","",IF($R712="","",ROUND($R712*50,1)))</f>
        <v>9.9</v>
      </c>
      <c r="AF712" s="5">
        <f>IF($A712="","",IF($L712="","",ROUND($L712*100,0)))</f>
        <v>93</v>
      </c>
      <c r="AG712" s="18">
        <f>IF($A712="","",IF($M712="","",ROUND($M712*67,1)))</f>
        <v>13</v>
      </c>
      <c r="AH712" s="19">
        <f>IF($A712="","",IF($P712="","",IF($P712=0,0,$O712/$P712)))</f>
        <v>0.9375</v>
      </c>
      <c r="AI712" s="5" t="str">
        <f>IF($A712="","",IF($P712="","",IF($P712&gt;=Lookups!$K$7,"High",IF($P712&lt;=Lookups!$K$8,"Low","Medium"))))</f>
        <v>Low</v>
      </c>
      <c r="AJ712" s="5" t="str">
        <f>IF($A712="","",IF($AD712="","",IF($AD712&lt;5,"Under 5 C",IF($AD712&lt;10,"5-10 C",IF($AD712&lt;15,"10-15 C","15 C and above")))))</f>
        <v>5-10 C</v>
      </c>
      <c r="AK712" s="5">
        <f>IF($A712="","",IF($P712="","",$P712^2))</f>
        <v>256</v>
      </c>
      <c r="AL712" s="18">
        <f>IF($V712&lt;&gt;1,"",AVERAGEIFS(Clean_Data!$P$2:$P$1001,Clean_Data!$F$2:$F$1001,$F712,Clean_Data!$W$2:$W$1001,$W712,Clean_Data!$V$2:$V$1001,1))</f>
        <v>23.6896551724138</v>
      </c>
      <c r="AM712" s="16">
        <f>IF($V712&lt;&gt;1,"",IFERROR(($P712-$AL712)/SQRT(MAX(0,(SUMIFS(Clean_Data!$AK$2:$AK$1001,Clean_Data!$F$2:$F$1001,$F712,Clean_Data!$W$2:$W$1001,$W712,Clean_Data!$V$2:$V$1001,1)-COUNTIFS(Clean_Data!$F$2:$F$1001,$F712,Clean_Data!$W$2:$W$1001,$W712,Clean_Data!$V$2:$V$1001,1)*$AL712^2)/(COUNTIFS(Clean_Data!$F$2:$F$1001,$F712,Clean_Data!$W$2:$W$1001,$W712,Clean_Data!$V$2:$V$1001,1)-1))),""))</f>
        <v>-0.734109173266545</v>
      </c>
      <c r="AN712" s="5" t="str">
        <f>IF($AM712="","",IF($AM712&gt;=Lookups!$K$6,"High spike",IF($AM712&lt;=-Lookups!$K$6,"Unusual low","Normal")))</f>
        <v>Normal</v>
      </c>
      <c r="AO712" s="20">
        <f>IF($V712&lt;&gt;1,"",$P712+ROW()/100000)</f>
        <v>16.00712</v>
      </c>
      <c r="AP712" s="5">
        <f>IF($A712="","",IFERROR(MATCH($A712,Raw_D1!$A$2:$A$1001,0),""))</f>
        <v/>
      </c>
      <c r="AQ712" s="5">
        <f>IF($A712="","",IFERROR(MATCH($A712,Raw_D2!$B$2:$B$1001,0),""))</f>
        <v/>
      </c>
      <c r="AR712" s="5">
        <f>IF($A712="","",IFERROR(MATCH($A712,Raw_D3!$A$2:$A$1001,0),""))</f>
        <v>92</v>
      </c>
    </row>
    <row r="713" spans="1:44" x14ac:dyDescent="0.25">
      <c r="A713" s="5">
        <v>712</v>
      </c>
      <c r="B713" s="11">
        <f>IF($A713="","",IF($AP713&lt;&gt;"",INDEX(Raw_D1!$B$2:$B$1001,$AP713),IF($AR713&lt;&gt;"",INDEX(Raw_D3!$B$2:$B$1001,$AR713),"")))</f>
        <v>40576.0</v>
      </c>
      <c r="C713" s="5">
        <f>IF($A713="","",IF($AP713&lt;&gt;"",INDEX(Raw_D1!$C$2:$C$1001,$AP713),IF($AR713&lt;&gt;"",INDEX(Raw_D3!$C$2:$C$1001,$AR713),"")))</f>
        <v>1</v>
      </c>
      <c r="D713" s="5">
        <f>IF($A713="","",IF($AP713&lt;&gt;"",INDEX(Raw_D1!$D$2:$D$1001,$AP713),IF($AR713&lt;&gt;"",INDEX(Raw_D3!$D$2:$D$1001,$AR713),"")))</f>
        <v>0</v>
      </c>
      <c r="E713" s="5">
        <f>IF($A713="","",IF($AP713&lt;&gt;"",INDEX(Raw_D1!$E$2:$E$1001,$AP713),IF($AR713&lt;&gt;"",INDEX(Raw_D3!$E$2:$E$1001,$AR713),"")))</f>
        <v>2</v>
      </c>
      <c r="F713" s="5">
        <f>IF($A713="","",IF($AP713&lt;&gt;"",INDEX(Raw_D1!$F$2:$F$1001,$AP713),IF($AR713&lt;&gt;"",INDEX(Raw_D3!$F$2:$F$1001,$AR713),"")))</f>
        <v>0</v>
      </c>
      <c r="G713" s="5">
        <f>IF($A713="","",IF($AP713&lt;&gt;"",IF(INDEX(Raw_D1!$G$2:$G$1001,$AP713),1,0),IF($AR713&lt;&gt;"",IF(INDEX(Raw_D3!$G$2:$G$1001,$AR713),1,0),"")))</f>
        <v>0</v>
      </c>
      <c r="H713" s="5">
        <f>IF($A713="","",IF($AP713&lt;&gt;"",INDEX(Raw_D1!$H$2:$H$1001,$AP713),IF($AR713&lt;&gt;"",INDEX(Raw_D3!$H$2:$H$1001,$AR713),"")))</f>
        <v>3</v>
      </c>
      <c r="I713" s="5">
        <f>IF($A713="","",IF($AP713&lt;&gt;"",INDEX(Raw_D1!$I$2:$I$1001,$AP713),IF($AR713&lt;&gt;"",INDEX(Raw_D3!$I$2:$I$1001,$AR713),"")))</f>
        <v>3</v>
      </c>
      <c r="J713" s="16">
        <f>IF($A713="","",IF($AP713&lt;&gt;"",INDEX(Raw_D1!$J$2:$J$1001,$AP713),IF($AR713&lt;&gt;"",INDEX(Raw_D3!$J$2:$J$1001,$AR713),"")))</f>
        <v>0.22</v>
      </c>
      <c r="K713" s="17">
        <f>IF($A713="","",IF($AQ713&lt;&gt;"",IF(INDEX(Raw_D2!$C$2:$C$1001,$AQ713)="","",INDEX(Raw_D2!$C$2:$C$1001,$AQ713)),IF($AR713&lt;&gt;"",IF(INDEX(Raw_D3!$K$2:$K$1001,$AR713)="","",INDEX(Raw_D3!$K$2:$K$1001,$AR713)),"")))</f>
        <v>0.2424</v>
      </c>
      <c r="L713" s="16">
        <f>IF($A713="","",IF($AQ713&lt;&gt;"",IF(INDEX(Raw_D2!$D$2:$D$1001,$AQ713)="","",INDEX(Raw_D2!$D$2:$D$1001,$AQ713)),IF($AR713&lt;&gt;"",IF(INDEX(Raw_D3!$L$2:$L$1001,$AR713)="","",INDEX(Raw_D3!$L$2:$L$1001,$AR713)),"")))</f>
        <v>0.93</v>
      </c>
      <c r="M713" s="17">
        <f>IF($A713="","",IF($AQ713&lt;&gt;"",IF(INDEX(Raw_D2!$E$2:$E$1001,$AQ713)="","",INDEX(Raw_D2!$E$2:$E$1001,$AQ713)),IF($AR713&lt;&gt;"",IF(INDEX(Raw_D3!$M$2:$M$1001,$AR713)="","",INDEX(Raw_D3!$M$2:$M$1001,$AR713)),"")))</f>
        <v>0.1045</v>
      </c>
      <c r="N713" s="5">
        <f>IF($A713="","",IF($AQ713&lt;&gt;"",IF(INDEX(Raw_D2!$F$2:$F$1001,$AQ713)="","",INDEX(Raw_D2!$F$2:$F$1001,$AQ713)),IF($AR713&lt;&gt;"",IF(INDEX(Raw_D3!$N$2:$N$1001,$AR713)="","",INDEX(Raw_D3!$N$2:$N$1001,$AR713)),"")))</f>
        <v>0</v>
      </c>
      <c r="O713" s="5">
        <f>IF($A713="","",IF($AQ713&lt;&gt;"",IF(INDEX(Raw_D2!$G$2:$G$1001,$AQ713)="","",INDEX(Raw_D2!$G$2:$G$1001,$AQ713)),IF($AR713&lt;&gt;"",IF(INDEX(Raw_D3!$O$2:$O$1001,$AR713)="","",INDEX(Raw_D3!$O$2:$O$1001,$AR713)),"")))</f>
        <v>2</v>
      </c>
      <c r="P713" s="5">
        <f>IF($A713="","",IF($AQ713&lt;&gt;"",IF(INDEX(Raw_D2!$H$2:$H$1001,$AQ713)="","",INDEX(Raw_D2!$H$2:$H$1001,$AQ713)),IF($AR713&lt;&gt;"",IF(INDEX(Raw_D3!$P$2:$P$1001,$AR713)="","",INDEX(Raw_D3!$P$2:$P$1001,$AR713)),"")))</f>
        <v>2</v>
      </c>
      <c r="Q713" s="5" t="str">
        <f>IF($A713="","",IF(AND($AP713&lt;&gt;"",$AQ713&lt;&gt;""),"D1+D2",IF($AR713&lt;&gt;"","D3","Incomplete")))</f>
        <v>D3</v>
      </c>
      <c r="R713" s="17">
        <f>IF($A713="","",IF($K713="",IF($J713="","",ROUND(Lookups!$K$5+Lookups!$K$4*$J713,4)),$K713))</f>
        <v>0.2424</v>
      </c>
      <c r="S713" s="5" t="str">
        <f>IF($A713="","",IF($K713="","Imputed","Original"))</f>
        <v>Original</v>
      </c>
      <c r="T713" s="5" t="str">
        <f>IF($A713="","",IF($P713="","Missing",IF($P713=$N713+$O713,"OK","Mismatch")))</f>
        <v>OK</v>
      </c>
      <c r="U713" s="5" t="str">
        <f>IF($A713="","",IF(COUNTIF($A$2:$A713,$A713)&gt;1,"Duplicate","Unique"))</f>
        <v>Unique</v>
      </c>
      <c r="V713" s="5">
        <f>IF($A713="","",IF(AND($U713="Unique",ISNUMBER($P713)),1,0))</f>
        <v>1</v>
      </c>
      <c r="W713" s="5" t="str">
        <f>IF($A713="","",IF(OR($H713=0,$H713=6),"Weekend","Weekday"))</f>
        <v>Weekday</v>
      </c>
      <c r="X713" s="5" t="str">
        <f>IF($A713="","",TEXT($B713,"ddd"))</f>
        <v>Wed</v>
      </c>
      <c r="Y713" s="5" t="str">
        <f>IF($A713="","",TEXT($B713,"mmm"))</f>
        <v>Feb</v>
      </c>
      <c r="Z713" s="5" t="str">
        <f>IF($A713="","",IFERROR(VLOOKUP($C713,Lookups!$D$4:$E$7,2,FALSE),"Unknown"))</f>
        <v>Winter</v>
      </c>
      <c r="AA713" s="5" t="str">
        <f>IF($A713="","",IFERROR(VLOOKUP($I713,Lookups!$A$4:$B$7,2,FALSE),"Unknown"))</f>
        <v>Light Rain/Snow</v>
      </c>
      <c r="AB713" s="5" t="str">
        <f>IF($A713="","",TEXT($F713,"00")&amp;":00")</f>
        <v>00:00</v>
      </c>
      <c r="AC713" s="5" t="str">
        <f>IF($A713="","",VLOOKUP($F713,Lookups!$G$4:$H$8,2,TRUE))</f>
        <v>Night (00-05)</v>
      </c>
      <c r="AD713" s="18">
        <f>IF($A713="","",IF($J713="","",ROUND($J713*41,1)))</f>
        <v>9</v>
      </c>
      <c r="AE713" s="18">
        <f>IF($A713="","",IF($R713="","",ROUND($R713*50,1)))</f>
        <v>12.1</v>
      </c>
      <c r="AF713" s="5">
        <f>IF($A713="","",IF($L713="","",ROUND($L713*100,0)))</f>
        <v>93</v>
      </c>
      <c r="AG713" s="18">
        <f>IF($A713="","",IF($M713="","",ROUND($M713*67,1)))</f>
        <v>7</v>
      </c>
      <c r="AH713" s="19">
        <f>IF($A713="","",IF($P713="","",IF($P713=0,0,$O713/$P713)))</f>
        <v>1</v>
      </c>
      <c r="AI713" s="5" t="str">
        <f>IF($A713="","",IF($P713="","",IF($P713&gt;=Lookups!$K$7,"High",IF($P713&lt;=Lookups!$K$8,"Low","Medium"))))</f>
        <v>Low</v>
      </c>
      <c r="AJ713" s="5" t="str">
        <f>IF($A713="","",IF($AD713="","",IF($AD713&lt;5,"Under 5 C",IF($AD713&lt;10,"5-10 C",IF($AD713&lt;15,"10-15 C","15 C and above")))))</f>
        <v>5-10 C</v>
      </c>
      <c r="AK713" s="5">
        <f>IF($A713="","",IF($P713="","",$P713^2))</f>
        <v>4</v>
      </c>
      <c r="AL713" s="18">
        <f>IF($V713&lt;&gt;1,"",AVERAGEIFS(Clean_Data!$P$2:$P$1001,Clean_Data!$F$2:$F$1001,$F713,Clean_Data!$W$2:$W$1001,$W713,Clean_Data!$V$2:$V$1001,1))</f>
        <v>10.6896551724138</v>
      </c>
      <c r="AM713" s="16">
        <f>IF($V713&lt;&gt;1,"",IFERROR(($P713-$AL713)/SQRT(MAX(0,(SUMIFS(Clean_Data!$AK$2:$AK$1001,Clean_Data!$F$2:$F$1001,$F713,Clean_Data!$W$2:$W$1001,$W713,Clean_Data!$V$2:$V$1001,1)-COUNTIFS(Clean_Data!$F$2:$F$1001,$F713,Clean_Data!$W$2:$W$1001,$W713,Clean_Data!$V$2:$V$1001,1)*$AL713^2)/(COUNTIFS(Clean_Data!$F$2:$F$1001,$F713,Clean_Data!$W$2:$W$1001,$W713,Clean_Data!$V$2:$V$1001,1)-1))),""))</f>
        <v>-1.77613966173579</v>
      </c>
      <c r="AN713" s="5" t="str">
        <f>IF($AM713="","",IF($AM713&gt;=Lookups!$K$6,"High spike",IF($AM713&lt;=-Lookups!$K$6,"Unusual low","Normal")))</f>
        <v>Normal</v>
      </c>
      <c r="AO713" s="20">
        <f>IF($V713&lt;&gt;1,"",$P713+ROW()/100000)</f>
        <v>2.00713</v>
      </c>
      <c r="AP713" s="5">
        <f>IF($A713="","",IFERROR(MATCH($A713,Raw_D1!$A$2:$A$1001,0),""))</f>
        <v/>
      </c>
      <c r="AQ713" s="5">
        <f>IF($A713="","",IFERROR(MATCH($A713,Raw_D2!$B$2:$B$1001,0),""))</f>
        <v/>
      </c>
      <c r="AR713" s="5">
        <f>IF($A713="","",IFERROR(MATCH($A713,Raw_D3!$A$2:$A$1001,0),""))</f>
        <v>93</v>
      </c>
    </row>
    <row r="714" spans="1:44" x14ac:dyDescent="0.25">
      <c r="A714" s="5">
        <v>713</v>
      </c>
      <c r="B714" s="11">
        <f>IF($A714="","",IF($AP714&lt;&gt;"",INDEX(Raw_D1!$B$2:$B$1001,$AP714),IF($AR714&lt;&gt;"",INDEX(Raw_D3!$B$2:$B$1001,$AR714),"")))</f>
        <v>40576.0</v>
      </c>
      <c r="C714" s="5">
        <f>IF($A714="","",IF($AP714&lt;&gt;"",INDEX(Raw_D1!$C$2:$C$1001,$AP714),IF($AR714&lt;&gt;"",INDEX(Raw_D3!$C$2:$C$1001,$AR714),"")))</f>
        <v>1</v>
      </c>
      <c r="D714" s="5">
        <f>IF($A714="","",IF($AP714&lt;&gt;"",INDEX(Raw_D1!$D$2:$D$1001,$AP714),IF($AR714&lt;&gt;"",INDEX(Raw_D3!$D$2:$D$1001,$AR714),"")))</f>
        <v>0</v>
      </c>
      <c r="E714" s="5">
        <f>IF($A714="","",IF($AP714&lt;&gt;"",INDEX(Raw_D1!$E$2:$E$1001,$AP714),IF($AR714&lt;&gt;"",INDEX(Raw_D3!$E$2:$E$1001,$AR714),"")))</f>
        <v>2</v>
      </c>
      <c r="F714" s="5">
        <f>IF($A714="","",IF($AP714&lt;&gt;"",INDEX(Raw_D1!$F$2:$F$1001,$AP714),IF($AR714&lt;&gt;"",INDEX(Raw_D3!$F$2:$F$1001,$AR714),"")))</f>
        <v>1</v>
      </c>
      <c r="G714" s="5">
        <f>IF($A714="","",IF($AP714&lt;&gt;"",IF(INDEX(Raw_D1!$G$2:$G$1001,$AP714),1,0),IF($AR714&lt;&gt;"",IF(INDEX(Raw_D3!$G$2:$G$1001,$AR714),1,0),"")))</f>
        <v>0</v>
      </c>
      <c r="H714" s="5">
        <f>IF($A714="","",IF($AP714&lt;&gt;"",INDEX(Raw_D1!$H$2:$H$1001,$AP714),IF($AR714&lt;&gt;"",INDEX(Raw_D3!$H$2:$H$1001,$AR714),"")))</f>
        <v>3</v>
      </c>
      <c r="I714" s="5">
        <f>IF($A714="","",IF($AP714&lt;&gt;"",INDEX(Raw_D1!$I$2:$I$1001,$AP714),IF($AR714&lt;&gt;"",INDEX(Raw_D3!$I$2:$I$1001,$AR714),"")))</f>
        <v>3</v>
      </c>
      <c r="J714" s="16">
        <f>IF($A714="","",IF($AP714&lt;&gt;"",INDEX(Raw_D1!$J$2:$J$1001,$AP714),IF($AR714&lt;&gt;"",INDEX(Raw_D3!$J$2:$J$1001,$AR714),"")))</f>
        <v>0.22</v>
      </c>
      <c r="K714" s="17">
        <f>IF($A714="","",IF($AQ714&lt;&gt;"",IF(INDEX(Raw_D2!$C$2:$C$1001,$AQ714)="","",INDEX(Raw_D2!$C$2:$C$1001,$AQ714)),IF($AR714&lt;&gt;"",IF(INDEX(Raw_D3!$K$2:$K$1001,$AR714)="","",INDEX(Raw_D3!$K$2:$K$1001,$AR714)),"")))</f>
        <v>0.2273</v>
      </c>
      <c r="L714" s="16">
        <f>IF($A714="","",IF($AQ714&lt;&gt;"",IF(INDEX(Raw_D2!$D$2:$D$1001,$AQ714)="","",INDEX(Raw_D2!$D$2:$D$1001,$AQ714)),IF($AR714&lt;&gt;"",IF(INDEX(Raw_D3!$L$2:$L$1001,$AR714)="","",INDEX(Raw_D3!$L$2:$L$1001,$AR714)),"")))</f>
        <v>0.93</v>
      </c>
      <c r="M714" s="17">
        <f>IF($A714="","",IF($AQ714&lt;&gt;"",IF(INDEX(Raw_D2!$E$2:$E$1001,$AQ714)="","",INDEX(Raw_D2!$E$2:$E$1001,$AQ714)),IF($AR714&lt;&gt;"",IF(INDEX(Raw_D3!$M$2:$M$1001,$AR714)="","",INDEX(Raw_D3!$M$2:$M$1001,$AR714)),"")))</f>
        <v>0.194</v>
      </c>
      <c r="N714" s="5">
        <f>IF($A714="","",IF($AQ714&lt;&gt;"",IF(INDEX(Raw_D2!$F$2:$F$1001,$AQ714)="","",INDEX(Raw_D2!$F$2:$F$1001,$AQ714)),IF($AR714&lt;&gt;"",IF(INDEX(Raw_D3!$N$2:$N$1001,$AR714)="","",INDEX(Raw_D3!$N$2:$N$1001,$AR714)),"")))</f>
        <v>0</v>
      </c>
      <c r="O714" s="5">
        <f>IF($A714="","",IF($AQ714&lt;&gt;"",IF(INDEX(Raw_D2!$G$2:$G$1001,$AQ714)="","",INDEX(Raw_D2!$G$2:$G$1001,$AQ714)),IF($AR714&lt;&gt;"",IF(INDEX(Raw_D3!$O$2:$O$1001,$AR714)="","",INDEX(Raw_D3!$O$2:$O$1001,$AR714)),"")))</f>
        <v>3</v>
      </c>
      <c r="P714" s="5">
        <f>IF($A714="","",IF($AQ714&lt;&gt;"",IF(INDEX(Raw_D2!$H$2:$H$1001,$AQ714)="","",INDEX(Raw_D2!$H$2:$H$1001,$AQ714)),IF($AR714&lt;&gt;"",IF(INDEX(Raw_D3!$P$2:$P$1001,$AR714)="","",INDEX(Raw_D3!$P$2:$P$1001,$AR714)),"")))</f>
        <v>3</v>
      </c>
      <c r="Q714" s="5" t="str">
        <f>IF($A714="","",IF(AND($AP714&lt;&gt;"",$AQ714&lt;&gt;""),"D1+D2",IF($AR714&lt;&gt;"","D3","Incomplete")))</f>
        <v>D3</v>
      </c>
      <c r="R714" s="17">
        <f>IF($A714="","",IF($K714="",IF($J714="","",ROUND(Lookups!$K$5+Lookups!$K$4*$J714,4)),$K714))</f>
        <v>0.2273</v>
      </c>
      <c r="S714" s="5" t="str">
        <f>IF($A714="","",IF($K714="","Imputed","Original"))</f>
        <v>Original</v>
      </c>
      <c r="T714" s="5" t="str">
        <f>IF($A714="","",IF($P714="","Missing",IF($P714=$N714+$O714,"OK","Mismatch")))</f>
        <v>OK</v>
      </c>
      <c r="U714" s="5" t="str">
        <f>IF($A714="","",IF(COUNTIF($A$2:$A714,$A714)&gt;1,"Duplicate","Unique"))</f>
        <v>Unique</v>
      </c>
      <c r="V714" s="5">
        <f>IF($A714="","",IF(AND($U714="Unique",ISNUMBER($P714)),1,0))</f>
        <v>1</v>
      </c>
      <c r="W714" s="5" t="str">
        <f>IF($A714="","",IF(OR($H714=0,$H714=6),"Weekend","Weekday"))</f>
        <v>Weekday</v>
      </c>
      <c r="X714" s="5" t="str">
        <f>IF($A714="","",TEXT($B714,"ddd"))</f>
        <v>Wed</v>
      </c>
      <c r="Y714" s="5" t="str">
        <f>IF($A714="","",TEXT($B714,"mmm"))</f>
        <v>Feb</v>
      </c>
      <c r="Z714" s="5" t="str">
        <f>IF($A714="","",IFERROR(VLOOKUP($C714,Lookups!$D$4:$E$7,2,FALSE),"Unknown"))</f>
        <v>Winter</v>
      </c>
      <c r="AA714" s="5" t="str">
        <f>IF($A714="","",IFERROR(VLOOKUP($I714,Lookups!$A$4:$B$7,2,FALSE),"Unknown"))</f>
        <v>Light Rain/Snow</v>
      </c>
      <c r="AB714" s="5" t="str">
        <f>IF($A714="","",TEXT($F714,"00")&amp;":00")</f>
        <v>01:00</v>
      </c>
      <c r="AC714" s="5" t="str">
        <f>IF($A714="","",VLOOKUP($F714,Lookups!$G$4:$H$8,2,TRUE))</f>
        <v>Night (00-05)</v>
      </c>
      <c r="AD714" s="18">
        <f>IF($A714="","",IF($J714="","",ROUND($J714*41,1)))</f>
        <v>9</v>
      </c>
      <c r="AE714" s="18">
        <f>IF($A714="","",IF($R714="","",ROUND($R714*50,1)))</f>
        <v>11.4</v>
      </c>
      <c r="AF714" s="5">
        <f>IF($A714="","",IF($L714="","",ROUND($L714*100,0)))</f>
        <v>93</v>
      </c>
      <c r="AG714" s="18">
        <f>IF($A714="","",IF($M714="","",ROUND($M714*67,1)))</f>
        <v>13</v>
      </c>
      <c r="AH714" s="19">
        <f>IF($A714="","",IF($P714="","",IF($P714=0,0,$O714/$P714)))</f>
        <v>1</v>
      </c>
      <c r="AI714" s="5" t="str">
        <f>IF($A714="","",IF($P714="","",IF($P714&gt;=Lookups!$K$7,"High",IF($P714&lt;=Lookups!$K$8,"Low","Medium"))))</f>
        <v>Low</v>
      </c>
      <c r="AJ714" s="5" t="str">
        <f>IF($A714="","",IF($AD714="","",IF($AD714&lt;5,"Under 5 C",IF($AD714&lt;10,"5-10 C",IF($AD714&lt;15,"10-15 C","15 C and above")))))</f>
        <v>5-10 C</v>
      </c>
      <c r="AK714" s="5">
        <f>IF($A714="","",IF($P714="","",$P714^2))</f>
        <v>9</v>
      </c>
      <c r="AL714" s="18">
        <f>IF($V714&lt;&gt;1,"",AVERAGEIFS(Clean_Data!$P$2:$P$1001,Clean_Data!$F$2:$F$1001,$F714,Clean_Data!$W$2:$W$1001,$W714,Clean_Data!$V$2:$V$1001,1))</f>
        <v>5.10344827586207</v>
      </c>
      <c r="AM714" s="16">
        <f>IF($V714&lt;&gt;1,"",IFERROR(($P714-$AL714)/SQRT(MAX(0,(SUMIFS(Clean_Data!$AK$2:$AK$1001,Clean_Data!$F$2:$F$1001,$F714,Clean_Data!$W$2:$W$1001,$W714,Clean_Data!$V$2:$V$1001,1)-COUNTIFS(Clean_Data!$F$2:$F$1001,$F714,Clean_Data!$W$2:$W$1001,$W714,Clean_Data!$V$2:$V$1001,1)*$AL714^2)/(COUNTIFS(Clean_Data!$F$2:$F$1001,$F714,Clean_Data!$W$2:$W$1001,$W714,Clean_Data!$V$2:$V$1001,1)-1))),""))</f>
        <v>-0.729662983728796</v>
      </c>
      <c r="AN714" s="5" t="str">
        <f>IF($AM714="","",IF($AM714&gt;=Lookups!$K$6,"High spike",IF($AM714&lt;=-Lookups!$K$6,"Unusual low","Normal")))</f>
        <v>Normal</v>
      </c>
      <c r="AO714" s="20">
        <f>IF($V714&lt;&gt;1,"",$P714+ROW()/100000)</f>
        <v>3.00714</v>
      </c>
      <c r="AP714" s="5">
        <f>IF($A714="","",IFERROR(MATCH($A714,Raw_D1!$A$2:$A$1001,0),""))</f>
        <v/>
      </c>
      <c r="AQ714" s="5">
        <f>IF($A714="","",IFERROR(MATCH($A714,Raw_D2!$B$2:$B$1001,0),""))</f>
        <v/>
      </c>
      <c r="AR714" s="5">
        <f>IF($A714="","",IFERROR(MATCH($A714,Raw_D3!$A$2:$A$1001,0),""))</f>
        <v>94</v>
      </c>
    </row>
    <row r="715" spans="1:44" x14ac:dyDescent="0.25">
      <c r="A715" s="5">
        <v>714</v>
      </c>
      <c r="B715" s="11">
        <f>IF($A715="","",IF($AP715&lt;&gt;"",INDEX(Raw_D1!$B$2:$B$1001,$AP715),IF($AR715&lt;&gt;"",INDEX(Raw_D3!$B$2:$B$1001,$AR715),"")))</f>
        <v>40576.0</v>
      </c>
      <c r="C715" s="5">
        <f>IF($A715="","",IF($AP715&lt;&gt;"",INDEX(Raw_D1!$C$2:$C$1001,$AP715),IF($AR715&lt;&gt;"",INDEX(Raw_D3!$C$2:$C$1001,$AR715),"")))</f>
        <v>1</v>
      </c>
      <c r="D715" s="5">
        <f>IF($A715="","",IF($AP715&lt;&gt;"",INDEX(Raw_D1!$D$2:$D$1001,$AP715),IF($AR715&lt;&gt;"",INDEX(Raw_D3!$D$2:$D$1001,$AR715),"")))</f>
        <v>0</v>
      </c>
      <c r="E715" s="5">
        <f>IF($A715="","",IF($AP715&lt;&gt;"",INDEX(Raw_D1!$E$2:$E$1001,$AP715),IF($AR715&lt;&gt;"",INDEX(Raw_D3!$E$2:$E$1001,$AR715),"")))</f>
        <v>2</v>
      </c>
      <c r="F715" s="5">
        <f>IF($A715="","",IF($AP715&lt;&gt;"",INDEX(Raw_D1!$F$2:$F$1001,$AP715),IF($AR715&lt;&gt;"",INDEX(Raw_D3!$F$2:$F$1001,$AR715),"")))</f>
        <v>2</v>
      </c>
      <c r="G715" s="5">
        <f>IF($A715="","",IF($AP715&lt;&gt;"",IF(INDEX(Raw_D1!$G$2:$G$1001,$AP715),1,0),IF($AR715&lt;&gt;"",IF(INDEX(Raw_D3!$G$2:$G$1001,$AR715),1,0),"")))</f>
        <v>0</v>
      </c>
      <c r="H715" s="5">
        <f>IF($A715="","",IF($AP715&lt;&gt;"",INDEX(Raw_D1!$H$2:$H$1001,$AP715),IF($AR715&lt;&gt;"",INDEX(Raw_D3!$H$2:$H$1001,$AR715),"")))</f>
        <v>3</v>
      </c>
      <c r="I715" s="5">
        <f>IF($A715="","",IF($AP715&lt;&gt;"",INDEX(Raw_D1!$I$2:$I$1001,$AP715),IF($AR715&lt;&gt;"",INDEX(Raw_D3!$I$2:$I$1001,$AR715),"")))</f>
        <v>3</v>
      </c>
      <c r="J715" s="16">
        <f>IF($A715="","",IF($AP715&lt;&gt;"",INDEX(Raw_D1!$J$2:$J$1001,$AP715),IF($AR715&lt;&gt;"",INDEX(Raw_D3!$J$2:$J$1001,$AR715),"")))</f>
        <v>0.22</v>
      </c>
      <c r="K715" s="17">
        <f>IF($A715="","",IF($AQ715&lt;&gt;"",IF(INDEX(Raw_D2!$C$2:$C$1001,$AQ715)="","",INDEX(Raw_D2!$C$2:$C$1001,$AQ715)),IF($AR715&lt;&gt;"",IF(INDEX(Raw_D3!$K$2:$K$1001,$AR715)="","",INDEX(Raw_D3!$K$2:$K$1001,$AR715)),"")))</f>
        <v>0.2273</v>
      </c>
      <c r="L715" s="16">
        <f>IF($A715="","",IF($AQ715&lt;&gt;"",IF(INDEX(Raw_D2!$D$2:$D$1001,$AQ715)="","",INDEX(Raw_D2!$D$2:$D$1001,$AQ715)),IF($AR715&lt;&gt;"",IF(INDEX(Raw_D3!$L$2:$L$1001,$AR715)="","",INDEX(Raw_D3!$L$2:$L$1001,$AR715)),"")))</f>
        <v>0.93</v>
      </c>
      <c r="M715" s="17">
        <f>IF($A715="","",IF($AQ715&lt;&gt;"",IF(INDEX(Raw_D2!$E$2:$E$1001,$AQ715)="","",INDEX(Raw_D2!$E$2:$E$1001,$AQ715)),IF($AR715&lt;&gt;"",IF(INDEX(Raw_D3!$M$2:$M$1001,$AR715)="","",INDEX(Raw_D3!$M$2:$M$1001,$AR715)),"")))</f>
        <v>0.1343</v>
      </c>
      <c r="N715" s="5">
        <f>IF($A715="","",IF($AQ715&lt;&gt;"",IF(INDEX(Raw_D2!$F$2:$F$1001,$AQ715)="","",INDEX(Raw_D2!$F$2:$F$1001,$AQ715)),IF($AR715&lt;&gt;"",IF(INDEX(Raw_D3!$N$2:$N$1001,$AR715)="","",INDEX(Raw_D3!$N$2:$N$1001,$AR715)),"")))</f>
        <v>4</v>
      </c>
      <c r="O715" s="5">
        <f>IF($A715="","",IF($AQ715&lt;&gt;"",IF(INDEX(Raw_D2!$G$2:$G$1001,$AQ715)="","",INDEX(Raw_D2!$G$2:$G$1001,$AQ715)),IF($AR715&lt;&gt;"",IF(INDEX(Raw_D3!$O$2:$O$1001,$AR715)="","",INDEX(Raw_D3!$O$2:$O$1001,$AR715)),"")))</f>
        <v>0</v>
      </c>
      <c r="P715" s="5">
        <f>IF($A715="","",IF($AQ715&lt;&gt;"",IF(INDEX(Raw_D2!$H$2:$H$1001,$AQ715)="","",INDEX(Raw_D2!$H$2:$H$1001,$AQ715)),IF($AR715&lt;&gt;"",IF(INDEX(Raw_D3!$P$2:$P$1001,$AR715)="","",INDEX(Raw_D3!$P$2:$P$1001,$AR715)),"")))</f>
        <v>4</v>
      </c>
      <c r="Q715" s="5" t="str">
        <f>IF($A715="","",IF(AND($AP715&lt;&gt;"",$AQ715&lt;&gt;""),"D1+D2",IF($AR715&lt;&gt;"","D3","Incomplete")))</f>
        <v>D3</v>
      </c>
      <c r="R715" s="17">
        <f>IF($A715="","",IF($K715="",IF($J715="","",ROUND(Lookups!$K$5+Lookups!$K$4*$J715,4)),$K715))</f>
        <v>0.2273</v>
      </c>
      <c r="S715" s="5" t="str">
        <f>IF($A715="","",IF($K715="","Imputed","Original"))</f>
        <v>Original</v>
      </c>
      <c r="T715" s="5" t="str">
        <f>IF($A715="","",IF($P715="","Missing",IF($P715=$N715+$O715,"OK","Mismatch")))</f>
        <v>OK</v>
      </c>
      <c r="U715" s="5" t="str">
        <f>IF($A715="","",IF(COUNTIF($A$2:$A715,$A715)&gt;1,"Duplicate","Unique"))</f>
        <v>Unique</v>
      </c>
      <c r="V715" s="5">
        <f>IF($A715="","",IF(AND($U715="Unique",ISNUMBER($P715)),1,0))</f>
        <v>1</v>
      </c>
      <c r="W715" s="5" t="str">
        <f>IF($A715="","",IF(OR($H715=0,$H715=6),"Weekend","Weekday"))</f>
        <v>Weekday</v>
      </c>
      <c r="X715" s="5" t="str">
        <f>IF($A715="","",TEXT($B715,"ddd"))</f>
        <v>Wed</v>
      </c>
      <c r="Y715" s="5" t="str">
        <f>IF($A715="","",TEXT($B715,"mmm"))</f>
        <v>Feb</v>
      </c>
      <c r="Z715" s="5" t="str">
        <f>IF($A715="","",IFERROR(VLOOKUP($C715,Lookups!$D$4:$E$7,2,FALSE),"Unknown"))</f>
        <v>Winter</v>
      </c>
      <c r="AA715" s="5" t="str">
        <f>IF($A715="","",IFERROR(VLOOKUP($I715,Lookups!$A$4:$B$7,2,FALSE),"Unknown"))</f>
        <v>Light Rain/Snow</v>
      </c>
      <c r="AB715" s="5" t="str">
        <f>IF($A715="","",TEXT($F715,"00")&amp;":00")</f>
        <v>02:00</v>
      </c>
      <c r="AC715" s="5" t="str">
        <f>IF($A715="","",VLOOKUP($F715,Lookups!$G$4:$H$8,2,TRUE))</f>
        <v>Night (00-05)</v>
      </c>
      <c r="AD715" s="18">
        <f>IF($A715="","",IF($J715="","",ROUND($J715*41,1)))</f>
        <v>9</v>
      </c>
      <c r="AE715" s="18">
        <f>IF($A715="","",IF($R715="","",ROUND($R715*50,1)))</f>
        <v>11.4</v>
      </c>
      <c r="AF715" s="5">
        <f>IF($A715="","",IF($L715="","",ROUND($L715*100,0)))</f>
        <v>93</v>
      </c>
      <c r="AG715" s="18">
        <f>IF($A715="","",IF($M715="","",ROUND($M715*67,1)))</f>
        <v>9</v>
      </c>
      <c r="AH715" s="19">
        <f>IF($A715="","",IF($P715="","",IF($P715=0,0,$O715/$P715)))</f>
        <v>0</v>
      </c>
      <c r="AI715" s="5" t="str">
        <f>IF($A715="","",IF($P715="","",IF($P715&gt;=Lookups!$K$7,"High",IF($P715&lt;=Lookups!$K$8,"Low","Medium"))))</f>
        <v>Low</v>
      </c>
      <c r="AJ715" s="5" t="str">
        <f>IF($A715="","",IF($AD715="","",IF($AD715&lt;5,"Under 5 C",IF($AD715&lt;10,"5-10 C",IF($AD715&lt;15,"10-15 C","15 C and above")))))</f>
        <v>5-10 C</v>
      </c>
      <c r="AK715" s="5">
        <f>IF($A715="","",IF($P715="","",$P715^2))</f>
        <v>16</v>
      </c>
      <c r="AL715" s="18">
        <f>IF($V715&lt;&gt;1,"",AVERAGEIFS(Clean_Data!$P$2:$P$1001,Clean_Data!$F$2:$F$1001,$F715,Clean_Data!$W$2:$W$1001,$W715,Clean_Data!$V$2:$V$1001,1))</f>
        <v>2.62962962962963</v>
      </c>
      <c r="AM715" s="16">
        <f>IF($V715&lt;&gt;1,"",IFERROR(($P715-$AL715)/SQRT(MAX(0,(SUMIFS(Clean_Data!$AK$2:$AK$1001,Clean_Data!$F$2:$F$1001,$F715,Clean_Data!$W$2:$W$1001,$W715,Clean_Data!$V$2:$V$1001,1)-COUNTIFS(Clean_Data!$F$2:$F$1001,$F715,Clean_Data!$W$2:$W$1001,$W715,Clean_Data!$V$2:$V$1001,1)*$AL715^2)/(COUNTIFS(Clean_Data!$F$2:$F$1001,$F715,Clean_Data!$W$2:$W$1001,$W715,Clean_Data!$V$2:$V$1001,1)-1))),""))</f>
        <v>0.677743822255121</v>
      </c>
      <c r="AN715" s="5" t="str">
        <f>IF($AM715="","",IF($AM715&gt;=Lookups!$K$6,"High spike",IF($AM715&lt;=-Lookups!$K$6,"Unusual low","Normal")))</f>
        <v>Normal</v>
      </c>
      <c r="AO715" s="20">
        <f>IF($V715&lt;&gt;1,"",$P715+ROW()/100000)</f>
        <v>4.00715</v>
      </c>
      <c r="AP715" s="5">
        <f>IF($A715="","",IFERROR(MATCH($A715,Raw_D1!$A$2:$A$1001,0),""))</f>
        <v/>
      </c>
      <c r="AQ715" s="5">
        <f>IF($A715="","",IFERROR(MATCH($A715,Raw_D2!$B$2:$B$1001,0),""))</f>
        <v/>
      </c>
      <c r="AR715" s="5">
        <f>IF($A715="","",IFERROR(MATCH($A715,Raw_D3!$A$2:$A$1001,0),""))</f>
        <v>95</v>
      </c>
    </row>
    <row r="716" spans="1:44" x14ac:dyDescent="0.25">
      <c r="A716" s="5">
        <v>715</v>
      </c>
      <c r="B716" s="11">
        <f>IF($A716="","",IF($AP716&lt;&gt;"",INDEX(Raw_D1!$B$2:$B$1001,$AP716),IF($AR716&lt;&gt;"",INDEX(Raw_D3!$B$2:$B$1001,$AR716),"")))</f>
        <v>40576.0</v>
      </c>
      <c r="C716" s="5">
        <f>IF($A716="","",IF($AP716&lt;&gt;"",INDEX(Raw_D1!$C$2:$C$1001,$AP716),IF($AR716&lt;&gt;"",INDEX(Raw_D3!$C$2:$C$1001,$AR716),"")))</f>
        <v>1</v>
      </c>
      <c r="D716" s="5">
        <f>IF($A716="","",IF($AP716&lt;&gt;"",INDEX(Raw_D1!$D$2:$D$1001,$AP716),IF($AR716&lt;&gt;"",INDEX(Raw_D3!$D$2:$D$1001,$AR716),"")))</f>
        <v>0</v>
      </c>
      <c r="E716" s="5">
        <f>IF($A716="","",IF($AP716&lt;&gt;"",INDEX(Raw_D1!$E$2:$E$1001,$AP716),IF($AR716&lt;&gt;"",INDEX(Raw_D3!$E$2:$E$1001,$AR716),"")))</f>
        <v>2</v>
      </c>
      <c r="F716" s="5">
        <f>IF($A716="","",IF($AP716&lt;&gt;"",INDEX(Raw_D1!$F$2:$F$1001,$AP716),IF($AR716&lt;&gt;"",INDEX(Raw_D3!$F$2:$F$1001,$AR716),"")))</f>
        <v>3</v>
      </c>
      <c r="G716" s="5">
        <f>IF($A716="","",IF($AP716&lt;&gt;"",IF(INDEX(Raw_D1!$G$2:$G$1001,$AP716),1,0),IF($AR716&lt;&gt;"",IF(INDEX(Raw_D3!$G$2:$G$1001,$AR716),1,0),"")))</f>
        <v>0</v>
      </c>
      <c r="H716" s="5">
        <f>IF($A716="","",IF($AP716&lt;&gt;"",INDEX(Raw_D1!$H$2:$H$1001,$AP716),IF($AR716&lt;&gt;"",INDEX(Raw_D3!$H$2:$H$1001,$AR716),"")))</f>
        <v>3</v>
      </c>
      <c r="I716" s="5">
        <f>IF($A716="","",IF($AP716&lt;&gt;"",INDEX(Raw_D1!$I$2:$I$1001,$AP716),IF($AR716&lt;&gt;"",INDEX(Raw_D3!$I$2:$I$1001,$AR716),"")))</f>
        <v>3</v>
      </c>
      <c r="J716" s="16">
        <f>IF($A716="","",IF($AP716&lt;&gt;"",INDEX(Raw_D1!$J$2:$J$1001,$AP716),IF($AR716&lt;&gt;"",INDEX(Raw_D3!$J$2:$J$1001,$AR716),"")))</f>
        <v>0.22</v>
      </c>
      <c r="K716" s="17">
        <f>IF($A716="","",IF($AQ716&lt;&gt;"",IF(INDEX(Raw_D2!$C$2:$C$1001,$AQ716)="","",INDEX(Raw_D2!$C$2:$C$1001,$AQ716)),IF($AR716&lt;&gt;"",IF(INDEX(Raw_D3!$K$2:$K$1001,$AR716)="","",INDEX(Raw_D3!$K$2:$K$1001,$AR716)),"")))</f>
        <v>0.2273</v>
      </c>
      <c r="L716" s="16">
        <f>IF($A716="","",IF($AQ716&lt;&gt;"",IF(INDEX(Raw_D2!$D$2:$D$1001,$AQ716)="","",INDEX(Raw_D2!$D$2:$D$1001,$AQ716)),IF($AR716&lt;&gt;"",IF(INDEX(Raw_D3!$L$2:$L$1001,$AR716)="","",INDEX(Raw_D3!$L$2:$L$1001,$AR716)),"")))</f>
        <v>0.93</v>
      </c>
      <c r="M716" s="17">
        <f>IF($A716="","",IF($AQ716&lt;&gt;"",IF(INDEX(Raw_D2!$E$2:$E$1001,$AQ716)="","",INDEX(Raw_D2!$E$2:$E$1001,$AQ716)),IF($AR716&lt;&gt;"",IF(INDEX(Raw_D3!$M$2:$M$1001,$AR716)="","",INDEX(Raw_D3!$M$2:$M$1001,$AR716)),"")))</f>
        <v>0.1343</v>
      </c>
      <c r="N716" s="5">
        <f>IF($A716="","",IF($AQ716&lt;&gt;"",IF(INDEX(Raw_D2!$F$2:$F$1001,$AQ716)="","",INDEX(Raw_D2!$F$2:$F$1001,$AQ716)),IF($AR716&lt;&gt;"",IF(INDEX(Raw_D3!$N$2:$N$1001,$AR716)="","",INDEX(Raw_D3!$N$2:$N$1001,$AR716)),"")))</f>
        <v>0</v>
      </c>
      <c r="O716" s="5">
        <f>IF($A716="","",IF($AQ716&lt;&gt;"",IF(INDEX(Raw_D2!$G$2:$G$1001,$AQ716)="","",INDEX(Raw_D2!$G$2:$G$1001,$AQ716)),IF($AR716&lt;&gt;"",IF(INDEX(Raw_D3!$O$2:$O$1001,$AR716)="","",INDEX(Raw_D3!$O$2:$O$1001,$AR716)),"")))</f>
        <v>1</v>
      </c>
      <c r="P716" s="5">
        <f>IF($A716="","",IF($AQ716&lt;&gt;"",IF(INDEX(Raw_D2!$H$2:$H$1001,$AQ716)="","",INDEX(Raw_D2!$H$2:$H$1001,$AQ716)),IF($AR716&lt;&gt;"",IF(INDEX(Raw_D3!$P$2:$P$1001,$AR716)="","",INDEX(Raw_D3!$P$2:$P$1001,$AR716)),"")))</f>
        <v>1</v>
      </c>
      <c r="Q716" s="5" t="str">
        <f>IF($A716="","",IF(AND($AP716&lt;&gt;"",$AQ716&lt;&gt;""),"D1+D2",IF($AR716&lt;&gt;"","D3","Incomplete")))</f>
        <v>D3</v>
      </c>
      <c r="R716" s="17">
        <f>IF($A716="","",IF($K716="",IF($J716="","",ROUND(Lookups!$K$5+Lookups!$K$4*$J716,4)),$K716))</f>
        <v>0.2273</v>
      </c>
      <c r="S716" s="5" t="str">
        <f>IF($A716="","",IF($K716="","Imputed","Original"))</f>
        <v>Original</v>
      </c>
      <c r="T716" s="5" t="str">
        <f>IF($A716="","",IF($P716="","Missing",IF($P716=$N716+$O716,"OK","Mismatch")))</f>
        <v>OK</v>
      </c>
      <c r="U716" s="5" t="str">
        <f>IF($A716="","",IF(COUNTIF($A$2:$A716,$A716)&gt;1,"Duplicate","Unique"))</f>
        <v>Unique</v>
      </c>
      <c r="V716" s="5">
        <f>IF($A716="","",IF(AND($U716="Unique",ISNUMBER($P716)),1,0))</f>
        <v>1</v>
      </c>
      <c r="W716" s="5" t="str">
        <f>IF($A716="","",IF(OR($H716=0,$H716=6),"Weekend","Weekday"))</f>
        <v>Weekday</v>
      </c>
      <c r="X716" s="5" t="str">
        <f>IF($A716="","",TEXT($B716,"ddd"))</f>
        <v>Wed</v>
      </c>
      <c r="Y716" s="5" t="str">
        <f>IF($A716="","",TEXT($B716,"mmm"))</f>
        <v>Feb</v>
      </c>
      <c r="Z716" s="5" t="str">
        <f>IF($A716="","",IFERROR(VLOOKUP($C716,Lookups!$D$4:$E$7,2,FALSE),"Unknown"))</f>
        <v>Winter</v>
      </c>
      <c r="AA716" s="5" t="str">
        <f>IF($A716="","",IFERROR(VLOOKUP($I716,Lookups!$A$4:$B$7,2,FALSE),"Unknown"))</f>
        <v>Light Rain/Snow</v>
      </c>
      <c r="AB716" s="5" t="str">
        <f>IF($A716="","",TEXT($F716,"00")&amp;":00")</f>
        <v>03:00</v>
      </c>
      <c r="AC716" s="5" t="str">
        <f>IF($A716="","",VLOOKUP($F716,Lookups!$G$4:$H$8,2,TRUE))</f>
        <v>Night (00-05)</v>
      </c>
      <c r="AD716" s="18">
        <f>IF($A716="","",IF($J716="","",ROUND($J716*41,1)))</f>
        <v>9</v>
      </c>
      <c r="AE716" s="18">
        <f>IF($A716="","",IF($R716="","",ROUND($R716*50,1)))</f>
        <v>11.4</v>
      </c>
      <c r="AF716" s="5">
        <f>IF($A716="","",IF($L716="","",ROUND($L716*100,0)))</f>
        <v>93</v>
      </c>
      <c r="AG716" s="18">
        <f>IF($A716="","",IF($M716="","",ROUND($M716*67,1)))</f>
        <v>9</v>
      </c>
      <c r="AH716" s="19">
        <f>IF($A716="","",IF($P716="","",IF($P716=0,0,$O716/$P716)))</f>
        <v>1</v>
      </c>
      <c r="AI716" s="5" t="str">
        <f>IF($A716="","",IF($P716="","",IF($P716&gt;=Lookups!$K$7,"High",IF($P716&lt;=Lookups!$K$8,"Low","Medium"))))</f>
        <v>Low</v>
      </c>
      <c r="AJ716" s="5" t="str">
        <f>IF($A716="","",IF($AD716="","",IF($AD716&lt;5,"Under 5 C",IF($AD716&lt;10,"5-10 C",IF($AD716&lt;15,"10-15 C","15 C and above")))))</f>
        <v>5-10 C</v>
      </c>
      <c r="AK716" s="5">
        <f>IF($A716="","",IF($P716="","",$P716^2))</f>
        <v>1</v>
      </c>
      <c r="AL716" s="18">
        <f>IF($V716&lt;&gt;1,"",AVERAGEIFS(Clean_Data!$P$2:$P$1001,Clean_Data!$F$2:$F$1001,$F716,Clean_Data!$W$2:$W$1001,$W716,Clean_Data!$V$2:$V$1001,1))</f>
        <v>1.41176470588235</v>
      </c>
      <c r="AM716" s="16">
        <f>IF($V716&lt;&gt;1,"",IFERROR(($P716-$AL716)/SQRT(MAX(0,(SUMIFS(Clean_Data!$AK$2:$AK$1001,Clean_Data!$F$2:$F$1001,$F716,Clean_Data!$W$2:$W$1001,$W716,Clean_Data!$V$2:$V$1001,1)-COUNTIFS(Clean_Data!$F$2:$F$1001,$F716,Clean_Data!$W$2:$W$1001,$W716,Clean_Data!$V$2:$V$1001,1)*$AL716^2)/(COUNTIFS(Clean_Data!$F$2:$F$1001,$F716,Clean_Data!$W$2:$W$1001,$W716,Clean_Data!$V$2:$V$1001,1)-1))),""))</f>
        <v>-0.665912091816292</v>
      </c>
      <c r="AN716" s="5" t="str">
        <f>IF($AM716="","",IF($AM716&gt;=Lookups!$K$6,"High spike",IF($AM716&lt;=-Lookups!$K$6,"Unusual low","Normal")))</f>
        <v>Normal</v>
      </c>
      <c r="AO716" s="20">
        <f>IF($V716&lt;&gt;1,"",$P716+ROW()/100000)</f>
        <v>1.00716</v>
      </c>
      <c r="AP716" s="5">
        <f>IF($A716="","",IFERROR(MATCH($A716,Raw_D1!$A$2:$A$1001,0),""))</f>
        <v/>
      </c>
      <c r="AQ716" s="5">
        <f>IF($A716="","",IFERROR(MATCH($A716,Raw_D2!$B$2:$B$1001,0),""))</f>
        <v/>
      </c>
      <c r="AR716" s="5">
        <f>IF($A716="","",IFERROR(MATCH($A716,Raw_D3!$A$2:$A$1001,0),""))</f>
        <v>96</v>
      </c>
    </row>
    <row r="717" spans="1:44" x14ac:dyDescent="0.25">
      <c r="A717" s="5">
        <v>716</v>
      </c>
      <c r="B717" s="11">
        <f>IF($A717="","",IF($AP717&lt;&gt;"",INDEX(Raw_D1!$B$2:$B$1001,$AP717),IF($AR717&lt;&gt;"",INDEX(Raw_D3!$B$2:$B$1001,$AR717),"")))</f>
        <v>40576.0</v>
      </c>
      <c r="C717" s="5">
        <f>IF($A717="","",IF($AP717&lt;&gt;"",INDEX(Raw_D1!$C$2:$C$1001,$AP717),IF($AR717&lt;&gt;"",INDEX(Raw_D3!$C$2:$C$1001,$AR717),"")))</f>
        <v>1</v>
      </c>
      <c r="D717" s="5">
        <f>IF($A717="","",IF($AP717&lt;&gt;"",INDEX(Raw_D1!$D$2:$D$1001,$AP717),IF($AR717&lt;&gt;"",INDEX(Raw_D3!$D$2:$D$1001,$AR717),"")))</f>
        <v>0</v>
      </c>
      <c r="E717" s="5">
        <f>IF($A717="","",IF($AP717&lt;&gt;"",INDEX(Raw_D1!$E$2:$E$1001,$AP717),IF($AR717&lt;&gt;"",INDEX(Raw_D3!$E$2:$E$1001,$AR717),"")))</f>
        <v>2</v>
      </c>
      <c r="F717" s="5">
        <f>IF($A717="","",IF($AP717&lt;&gt;"",INDEX(Raw_D1!$F$2:$F$1001,$AP717),IF($AR717&lt;&gt;"",INDEX(Raw_D3!$F$2:$F$1001,$AR717),"")))</f>
        <v>4</v>
      </c>
      <c r="G717" s="5">
        <f>IF($A717="","",IF($AP717&lt;&gt;"",IF(INDEX(Raw_D1!$G$2:$G$1001,$AP717),1,0),IF($AR717&lt;&gt;"",IF(INDEX(Raw_D3!$G$2:$G$1001,$AR717),1,0),"")))</f>
        <v>0</v>
      </c>
      <c r="H717" s="5">
        <f>IF($A717="","",IF($AP717&lt;&gt;"",INDEX(Raw_D1!$H$2:$H$1001,$AP717),IF($AR717&lt;&gt;"",INDEX(Raw_D3!$H$2:$H$1001,$AR717),"")))</f>
        <v>3</v>
      </c>
      <c r="I717" s="5">
        <f>IF($A717="","",IF($AP717&lt;&gt;"",INDEX(Raw_D1!$I$2:$I$1001,$AP717),IF($AR717&lt;&gt;"",INDEX(Raw_D3!$I$2:$I$1001,$AR717),"")))</f>
        <v>3</v>
      </c>
      <c r="J717" s="16">
        <f>IF($A717="","",IF($AP717&lt;&gt;"",INDEX(Raw_D1!$J$2:$J$1001,$AP717),IF($AR717&lt;&gt;"",INDEX(Raw_D3!$J$2:$J$1001,$AR717),"")))</f>
        <v>0.22</v>
      </c>
      <c r="K717" s="17">
        <f>IF($A717="","",IF($AQ717&lt;&gt;"",IF(INDEX(Raw_D2!$C$2:$C$1001,$AQ717)="","",INDEX(Raw_D2!$C$2:$C$1001,$AQ717)),IF($AR717&lt;&gt;"",IF(INDEX(Raw_D3!$K$2:$K$1001,$AR717)="","",INDEX(Raw_D3!$K$2:$K$1001,$AR717)),"")))</f>
        <v>0.2121</v>
      </c>
      <c r="L717" s="16">
        <f>IF($A717="","",IF($AQ717&lt;&gt;"",IF(INDEX(Raw_D2!$D$2:$D$1001,$AQ717)="","",INDEX(Raw_D2!$D$2:$D$1001,$AQ717)),IF($AR717&lt;&gt;"",IF(INDEX(Raw_D3!$L$2:$L$1001,$AR717)="","",INDEX(Raw_D3!$L$2:$L$1001,$AR717)),"")))</f>
        <v>0.93</v>
      </c>
      <c r="M717" s="17">
        <f>IF($A717="","",IF($AQ717&lt;&gt;"",IF(INDEX(Raw_D2!$E$2:$E$1001,$AQ717)="","",INDEX(Raw_D2!$E$2:$E$1001,$AQ717)),IF($AR717&lt;&gt;"",IF(INDEX(Raw_D3!$M$2:$M$1001,$AR717)="","",INDEX(Raw_D3!$M$2:$M$1001,$AR717)),"")))</f>
        <v>0.2836</v>
      </c>
      <c r="N717" s="5">
        <f>IF($A717="","",IF($AQ717&lt;&gt;"",IF(INDEX(Raw_D2!$F$2:$F$1001,$AQ717)="","",INDEX(Raw_D2!$F$2:$F$1001,$AQ717)),IF($AR717&lt;&gt;"",IF(INDEX(Raw_D3!$N$2:$N$1001,$AR717)="","",INDEX(Raw_D3!$N$2:$N$1001,$AR717)),"")))</f>
        <v>0</v>
      </c>
      <c r="O717" s="5">
        <f>IF($A717="","",IF($AQ717&lt;&gt;"",IF(INDEX(Raw_D2!$G$2:$G$1001,$AQ717)="","",INDEX(Raw_D2!$G$2:$G$1001,$AQ717)),IF($AR717&lt;&gt;"",IF(INDEX(Raw_D3!$O$2:$O$1001,$AR717)="","",INDEX(Raw_D3!$O$2:$O$1001,$AR717)),"")))</f>
        <v>1</v>
      </c>
      <c r="P717" s="5">
        <f>IF($A717="","",IF($AQ717&lt;&gt;"",IF(INDEX(Raw_D2!$H$2:$H$1001,$AQ717)="","",INDEX(Raw_D2!$H$2:$H$1001,$AQ717)),IF($AR717&lt;&gt;"",IF(INDEX(Raw_D3!$P$2:$P$1001,$AR717)="","",INDEX(Raw_D3!$P$2:$P$1001,$AR717)),"")))</f>
        <v>1</v>
      </c>
      <c r="Q717" s="5" t="str">
        <f>IF($A717="","",IF(AND($AP717&lt;&gt;"",$AQ717&lt;&gt;""),"D1+D2",IF($AR717&lt;&gt;"","D3","Incomplete")))</f>
        <v>D3</v>
      </c>
      <c r="R717" s="17">
        <f>IF($A717="","",IF($K717="",IF($J717="","",ROUND(Lookups!$K$5+Lookups!$K$4*$J717,4)),$K717))</f>
        <v>0.2121</v>
      </c>
      <c r="S717" s="5" t="str">
        <f>IF($A717="","",IF($K717="","Imputed","Original"))</f>
        <v>Original</v>
      </c>
      <c r="T717" s="5" t="str">
        <f>IF($A717="","",IF($P717="","Missing",IF($P717=$N717+$O717,"OK","Mismatch")))</f>
        <v>OK</v>
      </c>
      <c r="U717" s="5" t="str">
        <f>IF($A717="","",IF(COUNTIF($A$2:$A717,$A717)&gt;1,"Duplicate","Unique"))</f>
        <v>Unique</v>
      </c>
      <c r="V717" s="5">
        <f>IF($A717="","",IF(AND($U717="Unique",ISNUMBER($P717)),1,0))</f>
        <v>1</v>
      </c>
      <c r="W717" s="5" t="str">
        <f>IF($A717="","",IF(OR($H717=0,$H717=6),"Weekend","Weekday"))</f>
        <v>Weekday</v>
      </c>
      <c r="X717" s="5" t="str">
        <f>IF($A717="","",TEXT($B717,"ddd"))</f>
        <v>Wed</v>
      </c>
      <c r="Y717" s="5" t="str">
        <f>IF($A717="","",TEXT($B717,"mmm"))</f>
        <v>Feb</v>
      </c>
      <c r="Z717" s="5" t="str">
        <f>IF($A717="","",IFERROR(VLOOKUP($C717,Lookups!$D$4:$E$7,2,FALSE),"Unknown"))</f>
        <v>Winter</v>
      </c>
      <c r="AA717" s="5" t="str">
        <f>IF($A717="","",IFERROR(VLOOKUP($I717,Lookups!$A$4:$B$7,2,FALSE),"Unknown"))</f>
        <v>Light Rain/Snow</v>
      </c>
      <c r="AB717" s="5" t="str">
        <f>IF($A717="","",TEXT($F717,"00")&amp;":00")</f>
        <v>04:00</v>
      </c>
      <c r="AC717" s="5" t="str">
        <f>IF($A717="","",VLOOKUP($F717,Lookups!$G$4:$H$8,2,TRUE))</f>
        <v>Night (00-05)</v>
      </c>
      <c r="AD717" s="18">
        <f>IF($A717="","",IF($J717="","",ROUND($J717*41,1)))</f>
        <v>9</v>
      </c>
      <c r="AE717" s="18">
        <f>IF($A717="","",IF($R717="","",ROUND($R717*50,1)))</f>
        <v>10.6</v>
      </c>
      <c r="AF717" s="5">
        <f>IF($A717="","",IF($L717="","",ROUND($L717*100,0)))</f>
        <v>93</v>
      </c>
      <c r="AG717" s="18">
        <f>IF($A717="","",IF($M717="","",ROUND($M717*67,1)))</f>
        <v>19</v>
      </c>
      <c r="AH717" s="19">
        <f>IF($A717="","",IF($P717="","",IF($P717=0,0,$O717/$P717)))</f>
        <v>1</v>
      </c>
      <c r="AI717" s="5" t="str">
        <f>IF($A717="","",IF($P717="","",IF($P717&gt;=Lookups!$K$7,"High",IF($P717&lt;=Lookups!$K$8,"Low","Medium"))))</f>
        <v>Low</v>
      </c>
      <c r="AJ717" s="5" t="str">
        <f>IF($A717="","",IF($AD717="","",IF($AD717&lt;5,"Under 5 C",IF($AD717&lt;10,"5-10 C",IF($AD717&lt;15,"10-15 C","15 C and above")))))</f>
        <v>5-10 C</v>
      </c>
      <c r="AK717" s="5">
        <f>IF($A717="","",IF($P717="","",$P717^2))</f>
        <v>1</v>
      </c>
      <c r="AL717" s="18">
        <f>IF($V717&lt;&gt;1,"",AVERAGEIFS(Clean_Data!$P$2:$P$1001,Clean_Data!$F$2:$F$1001,$F717,Clean_Data!$W$2:$W$1001,$W717,Clean_Data!$V$2:$V$1001,1))</f>
        <v>1.78947368421053</v>
      </c>
      <c r="AM717" s="16">
        <f>IF($V717&lt;&gt;1,"",IFERROR(($P717-$AL717)/SQRT(MAX(0,(SUMIFS(Clean_Data!$AK$2:$AK$1001,Clean_Data!$F$2:$F$1001,$F717,Clean_Data!$W$2:$W$1001,$W717,Clean_Data!$V$2:$V$1001,1)-COUNTIFS(Clean_Data!$F$2:$F$1001,$F717,Clean_Data!$W$2:$W$1001,$W717,Clean_Data!$V$2:$V$1001,1)*$AL717^2)/(COUNTIFS(Clean_Data!$F$2:$F$1001,$F717,Clean_Data!$W$2:$W$1001,$W717,Clean_Data!$V$2:$V$1001,1)-1))),""))</f>
        <v>-0.860309002014607</v>
      </c>
      <c r="AN717" s="5" t="str">
        <f>IF($AM717="","",IF($AM717&gt;=Lookups!$K$6,"High spike",IF($AM717&lt;=-Lookups!$K$6,"Unusual low","Normal")))</f>
        <v>Normal</v>
      </c>
      <c r="AO717" s="20">
        <f>IF($V717&lt;&gt;1,"",$P717+ROW()/100000)</f>
        <v>1.00717</v>
      </c>
      <c r="AP717" s="5">
        <f>IF($A717="","",IFERROR(MATCH($A717,Raw_D1!$A$2:$A$1001,0),""))</f>
        <v/>
      </c>
      <c r="AQ717" s="5">
        <f>IF($A717="","",IFERROR(MATCH($A717,Raw_D2!$B$2:$B$1001,0),""))</f>
        <v/>
      </c>
      <c r="AR717" s="5">
        <f>IF($A717="","",IFERROR(MATCH($A717,Raw_D3!$A$2:$A$1001,0),""))</f>
        <v>97</v>
      </c>
    </row>
    <row r="718" spans="1:44" x14ac:dyDescent="0.25">
      <c r="A718" s="5">
        <v>717</v>
      </c>
      <c r="B718" s="11">
        <f>IF($A718="","",IF($AP718&lt;&gt;"",INDEX(Raw_D1!$B$2:$B$1001,$AP718),IF($AR718&lt;&gt;"",INDEX(Raw_D3!$B$2:$B$1001,$AR718),"")))</f>
        <v>40576.0</v>
      </c>
      <c r="C718" s="5">
        <f>IF($A718="","",IF($AP718&lt;&gt;"",INDEX(Raw_D1!$C$2:$C$1001,$AP718),IF($AR718&lt;&gt;"",INDEX(Raw_D3!$C$2:$C$1001,$AR718),"")))</f>
        <v>1</v>
      </c>
      <c r="D718" s="5">
        <f>IF($A718="","",IF($AP718&lt;&gt;"",INDEX(Raw_D1!$D$2:$D$1001,$AP718),IF($AR718&lt;&gt;"",INDEX(Raw_D3!$D$2:$D$1001,$AR718),"")))</f>
        <v>0</v>
      </c>
      <c r="E718" s="5">
        <f>IF($A718="","",IF($AP718&lt;&gt;"",INDEX(Raw_D1!$E$2:$E$1001,$AP718),IF($AR718&lt;&gt;"",INDEX(Raw_D3!$E$2:$E$1001,$AR718),"")))</f>
        <v>2</v>
      </c>
      <c r="F718" s="5">
        <f>IF($A718="","",IF($AP718&lt;&gt;"",INDEX(Raw_D1!$F$2:$F$1001,$AP718),IF($AR718&lt;&gt;"",INDEX(Raw_D3!$F$2:$F$1001,$AR718),"")))</f>
        <v>5</v>
      </c>
      <c r="G718" s="5">
        <f>IF($A718="","",IF($AP718&lt;&gt;"",IF(INDEX(Raw_D1!$G$2:$G$1001,$AP718),1,0),IF($AR718&lt;&gt;"",IF(INDEX(Raw_D3!$G$2:$G$1001,$AR718),1,0),"")))</f>
        <v>0</v>
      </c>
      <c r="H718" s="5">
        <f>IF($A718="","",IF($AP718&lt;&gt;"",INDEX(Raw_D1!$H$2:$H$1001,$AP718),IF($AR718&lt;&gt;"",INDEX(Raw_D3!$H$2:$H$1001,$AR718),"")))</f>
        <v>3</v>
      </c>
      <c r="I718" s="5">
        <f>IF($A718="","",IF($AP718&lt;&gt;"",INDEX(Raw_D1!$I$2:$I$1001,$AP718),IF($AR718&lt;&gt;"",INDEX(Raw_D3!$I$2:$I$1001,$AR718),"")))</f>
        <v>3</v>
      </c>
      <c r="J718" s="16">
        <f>IF($A718="","",IF($AP718&lt;&gt;"",INDEX(Raw_D1!$J$2:$J$1001,$AP718),IF($AR718&lt;&gt;"",INDEX(Raw_D3!$J$2:$J$1001,$AR718),"")))</f>
        <v>0.22</v>
      </c>
      <c r="K718" s="17">
        <f>IF($A718="","",IF($AQ718&lt;&gt;"",IF(INDEX(Raw_D2!$C$2:$C$1001,$AQ718)="","",INDEX(Raw_D2!$C$2:$C$1001,$AQ718)),IF($AR718&lt;&gt;"",IF(INDEX(Raw_D3!$K$2:$K$1001,$AR718)="","",INDEX(Raw_D3!$K$2:$K$1001,$AR718)),"")))</f>
        <v>0.2424</v>
      </c>
      <c r="L718" s="16">
        <f>IF($A718="","",IF($AQ718&lt;&gt;"",IF(INDEX(Raw_D2!$D$2:$D$1001,$AQ718)="","",INDEX(Raw_D2!$D$2:$D$1001,$AQ718)),IF($AR718&lt;&gt;"",IF(INDEX(Raw_D3!$L$2:$L$1001,$AR718)="","",INDEX(Raw_D3!$L$2:$L$1001,$AR718)),"")))</f>
        <v>0.93</v>
      </c>
      <c r="M718" s="17">
        <f>IF($A718="","",IF($AQ718&lt;&gt;"",IF(INDEX(Raw_D2!$E$2:$E$1001,$AQ718)="","",INDEX(Raw_D2!$E$2:$E$1001,$AQ718)),IF($AR718&lt;&gt;"",IF(INDEX(Raw_D3!$M$2:$M$1001,$AR718)="","",INDEX(Raw_D3!$M$2:$M$1001,$AR718)),"")))</f>
        <v>0.1045</v>
      </c>
      <c r="N718" s="5">
        <f>IF($A718="","",IF($AQ718&lt;&gt;"",IF(INDEX(Raw_D2!$F$2:$F$1001,$AQ718)="","",INDEX(Raw_D2!$F$2:$F$1001,$AQ718)),IF($AR718&lt;&gt;"",IF(INDEX(Raw_D3!$N$2:$N$1001,$AR718)="","",INDEX(Raw_D3!$N$2:$N$1001,$AR718)),"")))</f>
        <v>0</v>
      </c>
      <c r="O718" s="5">
        <f>IF($A718="","",IF($AQ718&lt;&gt;"",IF(INDEX(Raw_D2!$G$2:$G$1001,$AQ718)="","",INDEX(Raw_D2!$G$2:$G$1001,$AQ718)),IF($AR718&lt;&gt;"",IF(INDEX(Raw_D3!$O$2:$O$1001,$AR718)="","",INDEX(Raw_D3!$O$2:$O$1001,$AR718)),"")))</f>
        <v>3</v>
      </c>
      <c r="P718" s="5">
        <f>IF($A718="","",IF($AQ718&lt;&gt;"",IF(INDEX(Raw_D2!$H$2:$H$1001,$AQ718)="","",INDEX(Raw_D2!$H$2:$H$1001,$AQ718)),IF($AR718&lt;&gt;"",IF(INDEX(Raw_D3!$P$2:$P$1001,$AR718)="","",INDEX(Raw_D3!$P$2:$P$1001,$AR718)),"")))</f>
        <v>3</v>
      </c>
      <c r="Q718" s="5" t="str">
        <f>IF($A718="","",IF(AND($AP718&lt;&gt;"",$AQ718&lt;&gt;""),"D1+D2",IF($AR718&lt;&gt;"","D3","Incomplete")))</f>
        <v>D3</v>
      </c>
      <c r="R718" s="17">
        <f>IF($A718="","",IF($K718="",IF($J718="","",ROUND(Lookups!$K$5+Lookups!$K$4*$J718,4)),$K718))</f>
        <v>0.2424</v>
      </c>
      <c r="S718" s="5" t="str">
        <f>IF($A718="","",IF($K718="","Imputed","Original"))</f>
        <v>Original</v>
      </c>
      <c r="T718" s="5" t="str">
        <f>IF($A718="","",IF($P718="","Missing",IF($P718=$N718+$O718,"OK","Mismatch")))</f>
        <v>OK</v>
      </c>
      <c r="U718" s="5" t="str">
        <f>IF($A718="","",IF(COUNTIF($A$2:$A718,$A718)&gt;1,"Duplicate","Unique"))</f>
        <v>Unique</v>
      </c>
      <c r="V718" s="5">
        <f>IF($A718="","",IF(AND($U718="Unique",ISNUMBER($P718)),1,0))</f>
        <v>1</v>
      </c>
      <c r="W718" s="5" t="str">
        <f>IF($A718="","",IF(OR($H718=0,$H718=6),"Weekend","Weekday"))</f>
        <v>Weekday</v>
      </c>
      <c r="X718" s="5" t="str">
        <f>IF($A718="","",TEXT($B718,"ddd"))</f>
        <v>Wed</v>
      </c>
      <c r="Y718" s="5" t="str">
        <f>IF($A718="","",TEXT($B718,"mmm"))</f>
        <v>Feb</v>
      </c>
      <c r="Z718" s="5" t="str">
        <f>IF($A718="","",IFERROR(VLOOKUP($C718,Lookups!$D$4:$E$7,2,FALSE),"Unknown"))</f>
        <v>Winter</v>
      </c>
      <c r="AA718" s="5" t="str">
        <f>IF($A718="","",IFERROR(VLOOKUP($I718,Lookups!$A$4:$B$7,2,FALSE),"Unknown"))</f>
        <v>Light Rain/Snow</v>
      </c>
      <c r="AB718" s="5" t="str">
        <f>IF($A718="","",TEXT($F718,"00")&amp;":00")</f>
        <v>05:00</v>
      </c>
      <c r="AC718" s="5" t="str">
        <f>IF($A718="","",VLOOKUP($F718,Lookups!$G$4:$H$8,2,TRUE))</f>
        <v>Night (00-05)</v>
      </c>
      <c r="AD718" s="18">
        <f>IF($A718="","",IF($J718="","",ROUND($J718*41,1)))</f>
        <v>9</v>
      </c>
      <c r="AE718" s="18">
        <f>IF($A718="","",IF($R718="","",ROUND($R718*50,1)))</f>
        <v>12.1</v>
      </c>
      <c r="AF718" s="5">
        <f>IF($A718="","",IF($L718="","",ROUND($L718*100,0)))</f>
        <v>93</v>
      </c>
      <c r="AG718" s="18">
        <f>IF($A718="","",IF($M718="","",ROUND($M718*67,1)))</f>
        <v>7</v>
      </c>
      <c r="AH718" s="19">
        <f>IF($A718="","",IF($P718="","",IF($P718=0,0,$O718/$P718)))</f>
        <v>1</v>
      </c>
      <c r="AI718" s="5" t="str">
        <f>IF($A718="","",IF($P718="","",IF($P718&gt;=Lookups!$K$7,"High",IF($P718&lt;=Lookups!$K$8,"Low","Medium"))))</f>
        <v>Low</v>
      </c>
      <c r="AJ718" s="5" t="str">
        <f>IF($A718="","",IF($AD718="","",IF($AD718&lt;5,"Under 5 C",IF($AD718&lt;10,"5-10 C",IF($AD718&lt;15,"10-15 C","15 C and above")))))</f>
        <v>5-10 C</v>
      </c>
      <c r="AK718" s="5">
        <f>IF($A718="","",IF($P718="","",$P718^2))</f>
        <v>9</v>
      </c>
      <c r="AL718" s="18">
        <f>IF($V718&lt;&gt;1,"",AVERAGEIFS(Clean_Data!$P$2:$P$1001,Clean_Data!$F$2:$F$1001,$F718,Clean_Data!$W$2:$W$1001,$W718,Clean_Data!$V$2:$V$1001,1))</f>
        <v>4.72413793103448</v>
      </c>
      <c r="AM718" s="16">
        <f>IF($V718&lt;&gt;1,"",IFERROR(($P718-$AL718)/SQRT(MAX(0,(SUMIFS(Clean_Data!$AK$2:$AK$1001,Clean_Data!$F$2:$F$1001,$F718,Clean_Data!$W$2:$W$1001,$W718,Clean_Data!$V$2:$V$1001,1)-COUNTIFS(Clean_Data!$F$2:$F$1001,$F718,Clean_Data!$W$2:$W$1001,$W718,Clean_Data!$V$2:$V$1001,1)*$AL718^2)/(COUNTIFS(Clean_Data!$F$2:$F$1001,$F718,Clean_Data!$W$2:$W$1001,$W718,Clean_Data!$V$2:$V$1001,1)-1))),""))</f>
        <v>-0.735669230034663</v>
      </c>
      <c r="AN718" s="5" t="str">
        <f>IF($AM718="","",IF($AM718&gt;=Lookups!$K$6,"High spike",IF($AM718&lt;=-Lookups!$K$6,"Unusual low","Normal")))</f>
        <v>Normal</v>
      </c>
      <c r="AO718" s="20">
        <f>IF($V718&lt;&gt;1,"",$P718+ROW()/100000)</f>
        <v>3.00718</v>
      </c>
      <c r="AP718" s="5">
        <f>IF($A718="","",IFERROR(MATCH($A718,Raw_D1!$A$2:$A$1001,0),""))</f>
        <v/>
      </c>
      <c r="AQ718" s="5">
        <f>IF($A718="","",IFERROR(MATCH($A718,Raw_D2!$B$2:$B$1001,0),""))</f>
        <v/>
      </c>
      <c r="AR718" s="5">
        <f>IF($A718="","",IFERROR(MATCH($A718,Raw_D3!$A$2:$A$1001,0),""))</f>
        <v>98</v>
      </c>
    </row>
    <row r="719" spans="1:44" x14ac:dyDescent="0.25">
      <c r="A719" s="5">
        <v>718</v>
      </c>
      <c r="B719" s="11">
        <f>IF($A719="","",IF($AP719&lt;&gt;"",INDEX(Raw_D1!$B$2:$B$1001,$AP719),IF($AR719&lt;&gt;"",INDEX(Raw_D3!$B$2:$B$1001,$AR719),"")))</f>
        <v>40576.0</v>
      </c>
      <c r="C719" s="5">
        <f>IF($A719="","",IF($AP719&lt;&gt;"",INDEX(Raw_D1!$C$2:$C$1001,$AP719),IF($AR719&lt;&gt;"",INDEX(Raw_D3!$C$2:$C$1001,$AR719),"")))</f>
        <v>1</v>
      </c>
      <c r="D719" s="5">
        <f>IF($A719="","",IF($AP719&lt;&gt;"",INDEX(Raw_D1!$D$2:$D$1001,$AP719),IF($AR719&lt;&gt;"",INDEX(Raw_D3!$D$2:$D$1001,$AR719),"")))</f>
        <v>0</v>
      </c>
      <c r="E719" s="5">
        <f>IF($A719="","",IF($AP719&lt;&gt;"",INDEX(Raw_D1!$E$2:$E$1001,$AP719),IF($AR719&lt;&gt;"",INDEX(Raw_D3!$E$2:$E$1001,$AR719),"")))</f>
        <v>2</v>
      </c>
      <c r="F719" s="5">
        <f>IF($A719="","",IF($AP719&lt;&gt;"",INDEX(Raw_D1!$F$2:$F$1001,$AP719),IF($AR719&lt;&gt;"",INDEX(Raw_D3!$F$2:$F$1001,$AR719),"")))</f>
        <v>6</v>
      </c>
      <c r="G719" s="5">
        <f>IF($A719="","",IF($AP719&lt;&gt;"",IF(INDEX(Raw_D1!$G$2:$G$1001,$AP719),1,0),IF($AR719&lt;&gt;"",IF(INDEX(Raw_D3!$G$2:$G$1001,$AR719),1,0),"")))</f>
        <v>0</v>
      </c>
      <c r="H719" s="5">
        <f>IF($A719="","",IF($AP719&lt;&gt;"",INDEX(Raw_D1!$H$2:$H$1001,$AP719),IF($AR719&lt;&gt;"",INDEX(Raw_D3!$H$2:$H$1001,$AR719),"")))</f>
        <v>3</v>
      </c>
      <c r="I719" s="5">
        <f>IF($A719="","",IF($AP719&lt;&gt;"",INDEX(Raw_D1!$I$2:$I$1001,$AP719),IF($AR719&lt;&gt;"",INDEX(Raw_D3!$I$2:$I$1001,$AR719),"")))</f>
        <v>3</v>
      </c>
      <c r="J719" s="16">
        <f>IF($A719="","",IF($AP719&lt;&gt;"",INDEX(Raw_D1!$J$2:$J$1001,$AP719),IF($AR719&lt;&gt;"",INDEX(Raw_D3!$J$2:$J$1001,$AR719),"")))</f>
        <v>0.22</v>
      </c>
      <c r="K719" s="17">
        <f>IF($A719="","",IF($AQ719&lt;&gt;"",IF(INDEX(Raw_D2!$C$2:$C$1001,$AQ719)="","",INDEX(Raw_D2!$C$2:$C$1001,$AQ719)),IF($AR719&lt;&gt;"",IF(INDEX(Raw_D3!$K$2:$K$1001,$AR719)="","",INDEX(Raw_D3!$K$2:$K$1001,$AR719)),"")))</f>
        <v>0.2424</v>
      </c>
      <c r="L719" s="16">
        <f>IF($A719="","",IF($AQ719&lt;&gt;"",IF(INDEX(Raw_D2!$D$2:$D$1001,$AQ719)="","",INDEX(Raw_D2!$D$2:$D$1001,$AQ719)),IF($AR719&lt;&gt;"",IF(INDEX(Raw_D3!$L$2:$L$1001,$AR719)="","",INDEX(Raw_D3!$L$2:$L$1001,$AR719)),"")))</f>
        <v>0.93</v>
      </c>
      <c r="M719" s="17">
        <f>IF($A719="","",IF($AQ719&lt;&gt;"",IF(INDEX(Raw_D2!$E$2:$E$1001,$AQ719)="","",INDEX(Raw_D2!$E$2:$E$1001,$AQ719)),IF($AR719&lt;&gt;"",IF(INDEX(Raw_D3!$M$2:$M$1001,$AR719)="","",INDEX(Raw_D3!$M$2:$M$1001,$AR719)),"")))</f>
        <v>0.1045</v>
      </c>
      <c r="N719" s="5">
        <f>IF($A719="","",IF($AQ719&lt;&gt;"",IF(INDEX(Raw_D2!$F$2:$F$1001,$AQ719)="","",INDEX(Raw_D2!$F$2:$F$1001,$AQ719)),IF($AR719&lt;&gt;"",IF(INDEX(Raw_D3!$N$2:$N$1001,$AR719)="","",INDEX(Raw_D3!$N$2:$N$1001,$AR719)),"")))</f>
        <v>1</v>
      </c>
      <c r="O719" s="5">
        <f>IF($A719="","",IF($AQ719&lt;&gt;"",IF(INDEX(Raw_D2!$G$2:$G$1001,$AQ719)="","",INDEX(Raw_D2!$G$2:$G$1001,$AQ719)),IF($AR719&lt;&gt;"",IF(INDEX(Raw_D3!$O$2:$O$1001,$AR719)="","",INDEX(Raw_D3!$O$2:$O$1001,$AR719)),"")))</f>
        <v>17</v>
      </c>
      <c r="P719" s="5">
        <f>IF($A719="","",IF($AQ719&lt;&gt;"",IF(INDEX(Raw_D2!$H$2:$H$1001,$AQ719)="","",INDEX(Raw_D2!$H$2:$H$1001,$AQ719)),IF($AR719&lt;&gt;"",IF(INDEX(Raw_D3!$P$2:$P$1001,$AR719)="","",INDEX(Raw_D3!$P$2:$P$1001,$AR719)),"")))</f>
        <v>18</v>
      </c>
      <c r="Q719" s="5" t="str">
        <f>IF($A719="","",IF(AND($AP719&lt;&gt;"",$AQ719&lt;&gt;""),"D1+D2",IF($AR719&lt;&gt;"","D3","Incomplete")))</f>
        <v>D3</v>
      </c>
      <c r="R719" s="17">
        <f>IF($A719="","",IF($K719="",IF($J719="","",ROUND(Lookups!$K$5+Lookups!$K$4*$J719,4)),$K719))</f>
        <v>0.2424</v>
      </c>
      <c r="S719" s="5" t="str">
        <f>IF($A719="","",IF($K719="","Imputed","Original"))</f>
        <v>Original</v>
      </c>
      <c r="T719" s="5" t="str">
        <f>IF($A719="","",IF($P719="","Missing",IF($P719=$N719+$O719,"OK","Mismatch")))</f>
        <v>OK</v>
      </c>
      <c r="U719" s="5" t="str">
        <f>IF($A719="","",IF(COUNTIF($A$2:$A719,$A719)&gt;1,"Duplicate","Unique"))</f>
        <v>Unique</v>
      </c>
      <c r="V719" s="5">
        <f>IF($A719="","",IF(AND($U719="Unique",ISNUMBER($P719)),1,0))</f>
        <v>1</v>
      </c>
      <c r="W719" s="5" t="str">
        <f>IF($A719="","",IF(OR($H719=0,$H719=6),"Weekend","Weekday"))</f>
        <v>Weekday</v>
      </c>
      <c r="X719" s="5" t="str">
        <f>IF($A719="","",TEXT($B719,"ddd"))</f>
        <v>Wed</v>
      </c>
      <c r="Y719" s="5" t="str">
        <f>IF($A719="","",TEXT($B719,"mmm"))</f>
        <v>Feb</v>
      </c>
      <c r="Z719" s="5" t="str">
        <f>IF($A719="","",IFERROR(VLOOKUP($C719,Lookups!$D$4:$E$7,2,FALSE),"Unknown"))</f>
        <v>Winter</v>
      </c>
      <c r="AA719" s="5" t="str">
        <f>IF($A719="","",IFERROR(VLOOKUP($I719,Lookups!$A$4:$B$7,2,FALSE),"Unknown"))</f>
        <v>Light Rain/Snow</v>
      </c>
      <c r="AB719" s="5" t="str">
        <f>IF($A719="","",TEXT($F719,"00")&amp;":00")</f>
        <v>06:00</v>
      </c>
      <c r="AC719" s="5" t="str">
        <f>IF($A719="","",VLOOKUP($F719,Lookups!$G$4:$H$8,2,TRUE))</f>
        <v>Morning Peak (06-09)</v>
      </c>
      <c r="AD719" s="18">
        <f>IF($A719="","",IF($J719="","",ROUND($J719*41,1)))</f>
        <v>9</v>
      </c>
      <c r="AE719" s="18">
        <f>IF($A719="","",IF($R719="","",ROUND($R719*50,1)))</f>
        <v>12.1</v>
      </c>
      <c r="AF719" s="5">
        <f>IF($A719="","",IF($L719="","",ROUND($L719*100,0)))</f>
        <v>93</v>
      </c>
      <c r="AG719" s="18">
        <f>IF($A719="","",IF($M719="","",ROUND($M719*67,1)))</f>
        <v>7</v>
      </c>
      <c r="AH719" s="19">
        <f>IF($A719="","",IF($P719="","",IF($P719=0,0,$O719/$P719)))</f>
        <v>0.944444444444444</v>
      </c>
      <c r="AI719" s="5" t="str">
        <f>IF($A719="","",IF($P719="","",IF($P719&gt;=Lookups!$K$7,"High",IF($P719&lt;=Lookups!$K$8,"Low","Medium"))))</f>
        <v>Medium</v>
      </c>
      <c r="AJ719" s="5" t="str">
        <f>IF($A719="","",IF($AD719="","",IF($AD719&lt;5,"Under 5 C",IF($AD719&lt;10,"5-10 C",IF($AD719&lt;15,"10-15 C","15 C and above")))))</f>
        <v>5-10 C</v>
      </c>
      <c r="AK719" s="5">
        <f>IF($A719="","",IF($P719="","",$P719^2))</f>
        <v>324</v>
      </c>
      <c r="AL719" s="18">
        <f>IF($V719&lt;&gt;1,"",AVERAGEIFS(Clean_Data!$P$2:$P$1001,Clean_Data!$F$2:$F$1001,$F719,Clean_Data!$W$2:$W$1001,$W719,Clean_Data!$V$2:$V$1001,1))</f>
        <v>27.3793103448276</v>
      </c>
      <c r="AM719" s="16">
        <f>IF($V719&lt;&gt;1,"",IFERROR(($P719-$AL719)/SQRT(MAX(0,(SUMIFS(Clean_Data!$AK$2:$AK$1001,Clean_Data!$F$2:$F$1001,$F719,Clean_Data!$W$2:$W$1001,$W719,Clean_Data!$V$2:$V$1001,1)-COUNTIFS(Clean_Data!$F$2:$F$1001,$F719,Clean_Data!$W$2:$W$1001,$W719,Clean_Data!$V$2:$V$1001,1)*$AL719^2)/(COUNTIFS(Clean_Data!$F$2:$F$1001,$F719,Clean_Data!$W$2:$W$1001,$W719,Clean_Data!$V$2:$V$1001,1)-1))),""))</f>
        <v>-0.98460565054931</v>
      </c>
      <c r="AN719" s="5" t="str">
        <f>IF($AM719="","",IF($AM719&gt;=Lookups!$K$6,"High spike",IF($AM719&lt;=-Lookups!$K$6,"Unusual low","Normal")))</f>
        <v>Normal</v>
      </c>
      <c r="AO719" s="20">
        <f>IF($V719&lt;&gt;1,"",$P719+ROW()/100000)</f>
        <v>18.00719</v>
      </c>
      <c r="AP719" s="5">
        <f>IF($A719="","",IFERROR(MATCH($A719,Raw_D1!$A$2:$A$1001,0),""))</f>
        <v/>
      </c>
      <c r="AQ719" s="5">
        <f>IF($A719="","",IFERROR(MATCH($A719,Raw_D2!$B$2:$B$1001,0),""))</f>
        <v/>
      </c>
      <c r="AR719" s="5">
        <f>IF($A719="","",IFERROR(MATCH($A719,Raw_D3!$A$2:$A$1001,0),""))</f>
        <v>99</v>
      </c>
    </row>
    <row r="720" spans="1:44" x14ac:dyDescent="0.25">
      <c r="A720" s="5">
        <v>719</v>
      </c>
      <c r="B720" s="11">
        <f>IF($A720="","",IF($AP720&lt;&gt;"",INDEX(Raw_D1!$B$2:$B$1001,$AP720),IF($AR720&lt;&gt;"",INDEX(Raw_D3!$B$2:$B$1001,$AR720),"")))</f>
        <v>40576.0</v>
      </c>
      <c r="C720" s="5">
        <f>IF($A720="","",IF($AP720&lt;&gt;"",INDEX(Raw_D1!$C$2:$C$1001,$AP720),IF($AR720&lt;&gt;"",INDEX(Raw_D3!$C$2:$C$1001,$AR720),"")))</f>
        <v>1</v>
      </c>
      <c r="D720" s="5">
        <f>IF($A720="","",IF($AP720&lt;&gt;"",INDEX(Raw_D1!$D$2:$D$1001,$AP720),IF($AR720&lt;&gt;"",INDEX(Raw_D3!$D$2:$D$1001,$AR720),"")))</f>
        <v>0</v>
      </c>
      <c r="E720" s="5">
        <f>IF($A720="","",IF($AP720&lt;&gt;"",INDEX(Raw_D1!$E$2:$E$1001,$AP720),IF($AR720&lt;&gt;"",INDEX(Raw_D3!$E$2:$E$1001,$AR720),"")))</f>
        <v>2</v>
      </c>
      <c r="F720" s="5">
        <f>IF($A720="","",IF($AP720&lt;&gt;"",INDEX(Raw_D1!$F$2:$F$1001,$AP720),IF($AR720&lt;&gt;"",INDEX(Raw_D3!$F$2:$F$1001,$AR720),"")))</f>
        <v>7</v>
      </c>
      <c r="G720" s="5">
        <f>IF($A720="","",IF($AP720&lt;&gt;"",IF(INDEX(Raw_D1!$G$2:$G$1001,$AP720),1,0),IF($AR720&lt;&gt;"",IF(INDEX(Raw_D3!$G$2:$G$1001,$AR720),1,0),"")))</f>
        <v>0</v>
      </c>
      <c r="H720" s="5">
        <f>IF($A720="","",IF($AP720&lt;&gt;"",INDEX(Raw_D1!$H$2:$H$1001,$AP720),IF($AR720&lt;&gt;"",INDEX(Raw_D3!$H$2:$H$1001,$AR720),"")))</f>
        <v>3</v>
      </c>
      <c r="I720" s="5">
        <f>IF($A720="","",IF($AP720&lt;&gt;"",INDEX(Raw_D1!$I$2:$I$1001,$AP720),IF($AR720&lt;&gt;"",INDEX(Raw_D3!$I$2:$I$1001,$AR720),"")))</f>
        <v>3</v>
      </c>
      <c r="J720" s="16">
        <f>IF($A720="","",IF($AP720&lt;&gt;"",INDEX(Raw_D1!$J$2:$J$1001,$AP720),IF($AR720&lt;&gt;"",INDEX(Raw_D3!$J$2:$J$1001,$AR720),"")))</f>
        <v>0.22</v>
      </c>
      <c r="K720" s="17">
        <f>IF($A720="","",IF($AQ720&lt;&gt;"",IF(INDEX(Raw_D2!$C$2:$C$1001,$AQ720)="","",INDEX(Raw_D2!$C$2:$C$1001,$AQ720)),IF($AR720&lt;&gt;"",IF(INDEX(Raw_D3!$K$2:$K$1001,$AR720)="","",INDEX(Raw_D3!$K$2:$K$1001,$AR720)),"")))</f>
        <v>0.2121</v>
      </c>
      <c r="L720" s="16">
        <f>IF($A720="","",IF($AQ720&lt;&gt;"",IF(INDEX(Raw_D2!$D$2:$D$1001,$AQ720)="","",INDEX(Raw_D2!$D$2:$D$1001,$AQ720)),IF($AR720&lt;&gt;"",IF(INDEX(Raw_D3!$L$2:$L$1001,$AR720)="","",INDEX(Raw_D3!$L$2:$L$1001,$AR720)),"")))</f>
        <v>0.93</v>
      </c>
      <c r="M720" s="17">
        <f>IF($A720="","",IF($AQ720&lt;&gt;"",IF(INDEX(Raw_D2!$E$2:$E$1001,$AQ720)="","",INDEX(Raw_D2!$E$2:$E$1001,$AQ720)),IF($AR720&lt;&gt;"",IF(INDEX(Raw_D3!$M$2:$M$1001,$AR720)="","",INDEX(Raw_D3!$M$2:$M$1001,$AR720)),"")))</f>
        <v>0.2239</v>
      </c>
      <c r="N720" s="5">
        <f>IF($A720="","",IF($AQ720&lt;&gt;"",IF(INDEX(Raw_D2!$F$2:$F$1001,$AQ720)="","",INDEX(Raw_D2!$F$2:$F$1001,$AQ720)),IF($AR720&lt;&gt;"",IF(INDEX(Raw_D3!$N$2:$N$1001,$AR720)="","",INDEX(Raw_D3!$N$2:$N$1001,$AR720)),"")))</f>
        <v>1</v>
      </c>
      <c r="O720" s="5">
        <f>IF($A720="","",IF($AQ720&lt;&gt;"",IF(INDEX(Raw_D2!$G$2:$G$1001,$AQ720)="","",INDEX(Raw_D2!$G$2:$G$1001,$AQ720)),IF($AR720&lt;&gt;"",IF(INDEX(Raw_D3!$O$2:$O$1001,$AR720)="","",INDEX(Raw_D3!$O$2:$O$1001,$AR720)),"")))</f>
        <v>48</v>
      </c>
      <c r="P720" s="5">
        <f>IF($A720="","",IF($AQ720&lt;&gt;"",IF(INDEX(Raw_D2!$H$2:$H$1001,$AQ720)="","",INDEX(Raw_D2!$H$2:$H$1001,$AQ720)),IF($AR720&lt;&gt;"",IF(INDEX(Raw_D3!$P$2:$P$1001,$AR720)="","",INDEX(Raw_D3!$P$2:$P$1001,$AR720)),"")))</f>
        <v>49</v>
      </c>
      <c r="Q720" s="5" t="str">
        <f>IF($A720="","",IF(AND($AP720&lt;&gt;"",$AQ720&lt;&gt;""),"D1+D2",IF($AR720&lt;&gt;"","D3","Incomplete")))</f>
        <v>D3</v>
      </c>
      <c r="R720" s="17">
        <f>IF($A720="","",IF($K720="",IF($J720="","",ROUND(Lookups!$K$5+Lookups!$K$4*$J720,4)),$K720))</f>
        <v>0.2121</v>
      </c>
      <c r="S720" s="5" t="str">
        <f>IF($A720="","",IF($K720="","Imputed","Original"))</f>
        <v>Original</v>
      </c>
      <c r="T720" s="5" t="str">
        <f>IF($A720="","",IF($P720="","Missing",IF($P720=$N720+$O720,"OK","Mismatch")))</f>
        <v>OK</v>
      </c>
      <c r="U720" s="5" t="str">
        <f>IF($A720="","",IF(COUNTIF($A$2:$A720,$A720)&gt;1,"Duplicate","Unique"))</f>
        <v>Unique</v>
      </c>
      <c r="V720" s="5">
        <f>IF($A720="","",IF(AND($U720="Unique",ISNUMBER($P720)),1,0))</f>
        <v>1</v>
      </c>
      <c r="W720" s="5" t="str">
        <f>IF($A720="","",IF(OR($H720=0,$H720=6),"Weekend","Weekday"))</f>
        <v>Weekday</v>
      </c>
      <c r="X720" s="5" t="str">
        <f>IF($A720="","",TEXT($B720,"ddd"))</f>
        <v>Wed</v>
      </c>
      <c r="Y720" s="5" t="str">
        <f>IF($A720="","",TEXT($B720,"mmm"))</f>
        <v>Feb</v>
      </c>
      <c r="Z720" s="5" t="str">
        <f>IF($A720="","",IFERROR(VLOOKUP($C720,Lookups!$D$4:$E$7,2,FALSE),"Unknown"))</f>
        <v>Winter</v>
      </c>
      <c r="AA720" s="5" t="str">
        <f>IF($A720="","",IFERROR(VLOOKUP($I720,Lookups!$A$4:$B$7,2,FALSE),"Unknown"))</f>
        <v>Light Rain/Snow</v>
      </c>
      <c r="AB720" s="5" t="str">
        <f>IF($A720="","",TEXT($F720,"00")&amp;":00")</f>
        <v>07:00</v>
      </c>
      <c r="AC720" s="5" t="str">
        <f>IF($A720="","",VLOOKUP($F720,Lookups!$G$4:$H$8,2,TRUE))</f>
        <v>Morning Peak (06-09)</v>
      </c>
      <c r="AD720" s="18">
        <f>IF($A720="","",IF($J720="","",ROUND($J720*41,1)))</f>
        <v>9</v>
      </c>
      <c r="AE720" s="18">
        <f>IF($A720="","",IF($R720="","",ROUND($R720*50,1)))</f>
        <v>10.6</v>
      </c>
      <c r="AF720" s="5">
        <f>IF($A720="","",IF($L720="","",ROUND($L720*100,0)))</f>
        <v>93</v>
      </c>
      <c r="AG720" s="18">
        <f>IF($A720="","",IF($M720="","",ROUND($M720*67,1)))</f>
        <v>15</v>
      </c>
      <c r="AH720" s="19">
        <f>IF($A720="","",IF($P720="","",IF($P720=0,0,$O720/$P720)))</f>
        <v>0.979591836734694</v>
      </c>
      <c r="AI720" s="5" t="str">
        <f>IF($A720="","",IF($P720="","",IF($P720&gt;=Lookups!$K$7,"High",IF($P720&lt;=Lookups!$K$8,"Low","Medium"))))</f>
        <v>Medium</v>
      </c>
      <c r="AJ720" s="5" t="str">
        <f>IF($A720="","",IF($AD720="","",IF($AD720&lt;5,"Under 5 C",IF($AD720&lt;10,"5-10 C",IF($AD720&lt;15,"10-15 C","15 C and above")))))</f>
        <v>5-10 C</v>
      </c>
      <c r="AK720" s="5">
        <f>IF($A720="","",IF($P720="","",$P720^2))</f>
        <v>2401</v>
      </c>
      <c r="AL720" s="18">
        <f>IF($V720&lt;&gt;1,"",AVERAGEIFS(Clean_Data!$P$2:$P$1001,Clean_Data!$F$2:$F$1001,$F720,Clean_Data!$W$2:$W$1001,$W720,Clean_Data!$V$2:$V$1001,1))</f>
        <v>78.0344827586207</v>
      </c>
      <c r="AM720" s="16">
        <f>IF($V720&lt;&gt;1,"",IFERROR(($P720-$AL720)/SQRT(MAX(0,(SUMIFS(Clean_Data!$AK$2:$AK$1001,Clean_Data!$F$2:$F$1001,$F720,Clean_Data!$W$2:$W$1001,$W720,Clean_Data!$V$2:$V$1001,1)-COUNTIFS(Clean_Data!$F$2:$F$1001,$F720,Clean_Data!$W$2:$W$1001,$W720,Clean_Data!$V$2:$V$1001,1)*$AL720^2)/(COUNTIFS(Clean_Data!$F$2:$F$1001,$F720,Clean_Data!$W$2:$W$1001,$W720,Clean_Data!$V$2:$V$1001,1)-1))),""))</f>
        <v>-1.28284336442352</v>
      </c>
      <c r="AN720" s="5" t="str">
        <f>IF($AM720="","",IF($AM720&gt;=Lookups!$K$6,"High spike",IF($AM720&lt;=-Lookups!$K$6,"Unusual low","Normal")))</f>
        <v>Normal</v>
      </c>
      <c r="AO720" s="20">
        <f>IF($V720&lt;&gt;1,"",$P720+ROW()/100000)</f>
        <v>49.0072</v>
      </c>
      <c r="AP720" s="5">
        <f>IF($A720="","",IFERROR(MATCH($A720,Raw_D1!$A$2:$A$1001,0),""))</f>
        <v/>
      </c>
      <c r="AQ720" s="5">
        <f>IF($A720="","",IFERROR(MATCH($A720,Raw_D2!$B$2:$B$1001,0),""))</f>
        <v/>
      </c>
      <c r="AR720" s="5">
        <f>IF($A720="","",IFERROR(MATCH($A720,Raw_D3!$A$2:$A$1001,0),""))</f>
        <v>100</v>
      </c>
    </row>
    <row r="721" spans="1:44" x14ac:dyDescent="0.25">
      <c r="A721" s="5">
        <v>720</v>
      </c>
      <c r="B721" s="11">
        <f>IF($A721="","",IF($AP721&lt;&gt;"",INDEX(Raw_D1!$B$2:$B$1001,$AP721),IF($AR721&lt;&gt;"",INDEX(Raw_D3!$B$2:$B$1001,$AR721),"")))</f>
        <v>40576.0</v>
      </c>
      <c r="C721" s="5">
        <f>IF($A721="","",IF($AP721&lt;&gt;"",INDEX(Raw_D1!$C$2:$C$1001,$AP721),IF($AR721&lt;&gt;"",INDEX(Raw_D3!$C$2:$C$1001,$AR721),"")))</f>
        <v>1</v>
      </c>
      <c r="D721" s="5">
        <f>IF($A721="","",IF($AP721&lt;&gt;"",INDEX(Raw_D1!$D$2:$D$1001,$AP721),IF($AR721&lt;&gt;"",INDEX(Raw_D3!$D$2:$D$1001,$AR721),"")))</f>
        <v>0</v>
      </c>
      <c r="E721" s="5">
        <f>IF($A721="","",IF($AP721&lt;&gt;"",INDEX(Raw_D1!$E$2:$E$1001,$AP721),IF($AR721&lt;&gt;"",INDEX(Raw_D3!$E$2:$E$1001,$AR721),"")))</f>
        <v>2</v>
      </c>
      <c r="F721" s="5">
        <f>IF($A721="","",IF($AP721&lt;&gt;"",INDEX(Raw_D1!$F$2:$F$1001,$AP721),IF($AR721&lt;&gt;"",INDEX(Raw_D3!$F$2:$F$1001,$AR721),"")))</f>
        <v>8</v>
      </c>
      <c r="G721" s="5">
        <f>IF($A721="","",IF($AP721&lt;&gt;"",IF(INDEX(Raw_D1!$G$2:$G$1001,$AP721),1,0),IF($AR721&lt;&gt;"",IF(INDEX(Raw_D3!$G$2:$G$1001,$AR721),1,0),"")))</f>
        <v>0</v>
      </c>
      <c r="H721" s="5">
        <f>IF($A721="","",IF($AP721&lt;&gt;"",INDEX(Raw_D1!$H$2:$H$1001,$AP721),IF($AR721&lt;&gt;"",INDEX(Raw_D3!$H$2:$H$1001,$AR721),"")))</f>
        <v>3</v>
      </c>
      <c r="I721" s="5">
        <f>IF($A721="","",IF($AP721&lt;&gt;"",INDEX(Raw_D1!$I$2:$I$1001,$AP721),IF($AR721&lt;&gt;"",INDEX(Raw_D3!$I$2:$I$1001,$AR721),"")))</f>
        <v>3</v>
      </c>
      <c r="J721" s="16">
        <f>IF($A721="","",IF($AP721&lt;&gt;"",INDEX(Raw_D1!$J$2:$J$1001,$AP721),IF($AR721&lt;&gt;"",INDEX(Raw_D3!$J$2:$J$1001,$AR721),"")))</f>
        <v>0.22</v>
      </c>
      <c r="K721" s="17">
        <f>IF($A721="","",IF($AQ721&lt;&gt;"",IF(INDEX(Raw_D2!$C$2:$C$1001,$AQ721)="","",INDEX(Raw_D2!$C$2:$C$1001,$AQ721)),IF($AR721&lt;&gt;"",IF(INDEX(Raw_D3!$K$2:$K$1001,$AR721)="","",INDEX(Raw_D3!$K$2:$K$1001,$AR721)),"")))</f>
        <v>0.2121</v>
      </c>
      <c r="L721" s="16">
        <f>IF($A721="","",IF($AQ721&lt;&gt;"",IF(INDEX(Raw_D2!$D$2:$D$1001,$AQ721)="","",INDEX(Raw_D2!$D$2:$D$1001,$AQ721)),IF($AR721&lt;&gt;"",IF(INDEX(Raw_D3!$L$2:$L$1001,$AR721)="","",INDEX(Raw_D3!$L$2:$L$1001,$AR721)),"")))</f>
        <v>0.93</v>
      </c>
      <c r="M721" s="17">
        <f>IF($A721="","",IF($AQ721&lt;&gt;"",IF(INDEX(Raw_D2!$E$2:$E$1001,$AQ721)="","",INDEX(Raw_D2!$E$2:$E$1001,$AQ721)),IF($AR721&lt;&gt;"",IF(INDEX(Raw_D3!$M$2:$M$1001,$AR721)="","",INDEX(Raw_D3!$M$2:$M$1001,$AR721)),"")))</f>
        <v>0.2239</v>
      </c>
      <c r="N721" s="5">
        <f>IF($A721="","",IF($AQ721&lt;&gt;"",IF(INDEX(Raw_D2!$F$2:$F$1001,$AQ721)="","",INDEX(Raw_D2!$F$2:$F$1001,$AQ721)),IF($AR721&lt;&gt;"",IF(INDEX(Raw_D3!$N$2:$N$1001,$AR721)="","",INDEX(Raw_D3!$N$2:$N$1001,$AR721)),"")))</f>
        <v>1</v>
      </c>
      <c r="O721" s="5">
        <f>IF($A721="","",IF($AQ721&lt;&gt;"",IF(INDEX(Raw_D2!$G$2:$G$1001,$AQ721)="","",INDEX(Raw_D2!$G$2:$G$1001,$AQ721)),IF($AR721&lt;&gt;"",IF(INDEX(Raw_D3!$O$2:$O$1001,$AR721)="","",INDEX(Raw_D3!$O$2:$O$1001,$AR721)),"")))</f>
        <v>154</v>
      </c>
      <c r="P721" s="5">
        <f>IF($A721="","",IF($AQ721&lt;&gt;"",IF(INDEX(Raw_D2!$H$2:$H$1001,$AQ721)="","",INDEX(Raw_D2!$H$2:$H$1001,$AQ721)),IF($AR721&lt;&gt;"",IF(INDEX(Raw_D3!$P$2:$P$1001,$AR721)="","",INDEX(Raw_D3!$P$2:$P$1001,$AR721)),"")))</f>
        <v>155</v>
      </c>
      <c r="Q721" s="5" t="str">
        <f>IF($A721="","",IF(AND($AP721&lt;&gt;"",$AQ721&lt;&gt;""),"D1+D2",IF($AR721&lt;&gt;"","D3","Incomplete")))</f>
        <v>D3</v>
      </c>
      <c r="R721" s="17">
        <f>IF($A721="","",IF($K721="",IF($J721="","",ROUND(Lookups!$K$5+Lookups!$K$4*$J721,4)),$K721))</f>
        <v>0.2121</v>
      </c>
      <c r="S721" s="5" t="str">
        <f>IF($A721="","",IF($K721="","Imputed","Original"))</f>
        <v>Original</v>
      </c>
      <c r="T721" s="5" t="str">
        <f>IF($A721="","",IF($P721="","Missing",IF($P721=$N721+$O721,"OK","Mismatch")))</f>
        <v>OK</v>
      </c>
      <c r="U721" s="5" t="str">
        <f>IF($A721="","",IF(COUNTIF($A$2:$A721,$A721)&gt;1,"Duplicate","Unique"))</f>
        <v>Unique</v>
      </c>
      <c r="V721" s="5">
        <f>IF($A721="","",IF(AND($U721="Unique",ISNUMBER($P721)),1,0))</f>
        <v>1</v>
      </c>
      <c r="W721" s="5" t="str">
        <f>IF($A721="","",IF(OR($H721=0,$H721=6),"Weekend","Weekday"))</f>
        <v>Weekday</v>
      </c>
      <c r="X721" s="5" t="str">
        <f>IF($A721="","",TEXT($B721,"ddd"))</f>
        <v>Wed</v>
      </c>
      <c r="Y721" s="5" t="str">
        <f>IF($A721="","",TEXT($B721,"mmm"))</f>
        <v>Feb</v>
      </c>
      <c r="Z721" s="5" t="str">
        <f>IF($A721="","",IFERROR(VLOOKUP($C721,Lookups!$D$4:$E$7,2,FALSE),"Unknown"))</f>
        <v>Winter</v>
      </c>
      <c r="AA721" s="5" t="str">
        <f>IF($A721="","",IFERROR(VLOOKUP($I721,Lookups!$A$4:$B$7,2,FALSE),"Unknown"))</f>
        <v>Light Rain/Snow</v>
      </c>
      <c r="AB721" s="5" t="str">
        <f>IF($A721="","",TEXT($F721,"00")&amp;":00")</f>
        <v>08:00</v>
      </c>
      <c r="AC721" s="5" t="str">
        <f>IF($A721="","",VLOOKUP($F721,Lookups!$G$4:$H$8,2,TRUE))</f>
        <v>Morning Peak (06-09)</v>
      </c>
      <c r="AD721" s="18">
        <f>IF($A721="","",IF($J721="","",ROUND($J721*41,1)))</f>
        <v>9</v>
      </c>
      <c r="AE721" s="18">
        <f>IF($A721="","",IF($R721="","",ROUND($R721*50,1)))</f>
        <v>10.6</v>
      </c>
      <c r="AF721" s="5">
        <f>IF($A721="","",IF($L721="","",ROUND($L721*100,0)))</f>
        <v>93</v>
      </c>
      <c r="AG721" s="18">
        <f>IF($A721="","",IF($M721="","",ROUND($M721*67,1)))</f>
        <v>15</v>
      </c>
      <c r="AH721" s="19">
        <f>IF($A721="","",IF($P721="","",IF($P721=0,0,$O721/$P721)))</f>
        <v>0.993548387096774</v>
      </c>
      <c r="AI721" s="5" t="str">
        <f>IF($A721="","",IF($P721="","",IF($P721&gt;=Lookups!$K$7,"High",IF($P721&lt;=Lookups!$K$8,"Low","Medium"))))</f>
        <v>High</v>
      </c>
      <c r="AJ721" s="5" t="str">
        <f>IF($A721="","",IF($AD721="","",IF($AD721&lt;5,"Under 5 C",IF($AD721&lt;10,"5-10 C",IF($AD721&lt;15,"10-15 C","15 C and above")))))</f>
        <v>5-10 C</v>
      </c>
      <c r="AK721" s="5">
        <f>IF($A721="","",IF($P721="","",$P721^2))</f>
        <v>24025</v>
      </c>
      <c r="AL721" s="18">
        <f>IF($V721&lt;&gt;1,"",AVERAGEIFS(Clean_Data!$P$2:$P$1001,Clean_Data!$F$2:$F$1001,$F721,Clean_Data!$W$2:$W$1001,$W721,Clean_Data!$V$2:$V$1001,1))</f>
        <v>183.535714285714</v>
      </c>
      <c r="AM721" s="16">
        <f>IF($V721&lt;&gt;1,"",IFERROR(($P721-$AL721)/SQRT(MAX(0,(SUMIFS(Clean_Data!$AK$2:$AK$1001,Clean_Data!$F$2:$F$1001,$F721,Clean_Data!$W$2:$W$1001,$W721,Clean_Data!$V$2:$V$1001,1)-COUNTIFS(Clean_Data!$F$2:$F$1001,$F721,Clean_Data!$W$2:$W$1001,$W721,Clean_Data!$V$2:$V$1001,1)*$AL721^2)/(COUNTIFS(Clean_Data!$F$2:$F$1001,$F721,Clean_Data!$W$2:$W$1001,$W721,Clean_Data!$V$2:$V$1001,1)-1))),""))</f>
        <v>-0.585467629145519</v>
      </c>
      <c r="AN721" s="5" t="str">
        <f>IF($AM721="","",IF($AM721&gt;=Lookups!$K$6,"High spike",IF($AM721&lt;=-Lookups!$K$6,"Unusual low","Normal")))</f>
        <v>Normal</v>
      </c>
      <c r="AO721" s="20">
        <f>IF($V721&lt;&gt;1,"",$P721+ROW()/100000)</f>
        <v>155.00721</v>
      </c>
      <c r="AP721" s="5">
        <f>IF($A721="","",IFERROR(MATCH($A721,Raw_D1!$A$2:$A$1001,0),""))</f>
        <v/>
      </c>
      <c r="AQ721" s="5">
        <f>IF($A721="","",IFERROR(MATCH($A721,Raw_D2!$B$2:$B$1001,0),""))</f>
        <v/>
      </c>
      <c r="AR721" s="5">
        <f>IF($A721="","",IFERROR(MATCH($A721,Raw_D3!$A$2:$A$1001,0),""))</f>
        <v>101</v>
      </c>
    </row>
    <row r="722" spans="1:44" x14ac:dyDescent="0.25">
      <c r="A722" s="5">
        <v>721</v>
      </c>
      <c r="B722" s="11">
        <f>IF($A722="","",IF($AP722&lt;&gt;"",INDEX(Raw_D1!$B$2:$B$1001,$AP722),IF($AR722&lt;&gt;"",INDEX(Raw_D3!$B$2:$B$1001,$AR722),"")))</f>
        <v>40576.0</v>
      </c>
      <c r="C722" s="5">
        <f>IF($A722="","",IF($AP722&lt;&gt;"",INDEX(Raw_D1!$C$2:$C$1001,$AP722),IF($AR722&lt;&gt;"",INDEX(Raw_D3!$C$2:$C$1001,$AR722),"")))</f>
        <v>1</v>
      </c>
      <c r="D722" s="5">
        <f>IF($A722="","",IF($AP722&lt;&gt;"",INDEX(Raw_D1!$D$2:$D$1001,$AP722),IF($AR722&lt;&gt;"",INDEX(Raw_D3!$D$2:$D$1001,$AR722),"")))</f>
        <v>0</v>
      </c>
      <c r="E722" s="5">
        <f>IF($A722="","",IF($AP722&lt;&gt;"",INDEX(Raw_D1!$E$2:$E$1001,$AP722),IF($AR722&lt;&gt;"",INDEX(Raw_D3!$E$2:$E$1001,$AR722),"")))</f>
        <v>2</v>
      </c>
      <c r="F722" s="5">
        <f>IF($A722="","",IF($AP722&lt;&gt;"",INDEX(Raw_D1!$F$2:$F$1001,$AP722),IF($AR722&lt;&gt;"",INDEX(Raw_D3!$F$2:$F$1001,$AR722),"")))</f>
        <v>9</v>
      </c>
      <c r="G722" s="5">
        <f>IF($A722="","",IF($AP722&lt;&gt;"",IF(INDEX(Raw_D1!$G$2:$G$1001,$AP722),1,0),IF($AR722&lt;&gt;"",IF(INDEX(Raw_D3!$G$2:$G$1001,$AR722),1,0),"")))</f>
        <v>0</v>
      </c>
      <c r="H722" s="5">
        <f>IF($A722="","",IF($AP722&lt;&gt;"",INDEX(Raw_D1!$H$2:$H$1001,$AP722),IF($AR722&lt;&gt;"",INDEX(Raw_D3!$H$2:$H$1001,$AR722),"")))</f>
        <v>3</v>
      </c>
      <c r="I722" s="5">
        <f>IF($A722="","",IF($AP722&lt;&gt;"",INDEX(Raw_D1!$I$2:$I$1001,$AP722),IF($AR722&lt;&gt;"",INDEX(Raw_D3!$I$2:$I$1001,$AR722),"")))</f>
        <v>2</v>
      </c>
      <c r="J722" s="16">
        <f>IF($A722="","",IF($AP722&lt;&gt;"",INDEX(Raw_D1!$J$2:$J$1001,$AP722),IF($AR722&lt;&gt;"",INDEX(Raw_D3!$J$2:$J$1001,$AR722),"")))</f>
        <v>0.24</v>
      </c>
      <c r="K722" s="17">
        <f>IF($A722="","",IF($AQ722&lt;&gt;"",IF(INDEX(Raw_D2!$C$2:$C$1001,$AQ722)="","",INDEX(Raw_D2!$C$2:$C$1001,$AQ722)),IF($AR722&lt;&gt;"",IF(INDEX(Raw_D3!$K$2:$K$1001,$AR722)="","",INDEX(Raw_D3!$K$2:$K$1001,$AR722)),"")))</f>
        <v>0.2576</v>
      </c>
      <c r="L722" s="16">
        <f>IF($A722="","",IF($AQ722&lt;&gt;"",IF(INDEX(Raw_D2!$D$2:$D$1001,$AQ722)="","",INDEX(Raw_D2!$D$2:$D$1001,$AQ722)),IF($AR722&lt;&gt;"",IF(INDEX(Raw_D3!$L$2:$L$1001,$AR722)="","",INDEX(Raw_D3!$L$2:$L$1001,$AR722)),"")))</f>
        <v>0.93</v>
      </c>
      <c r="M722" s="17">
        <f>IF($A722="","",IF($AQ722&lt;&gt;"",IF(INDEX(Raw_D2!$E$2:$E$1001,$AQ722)="","",INDEX(Raw_D2!$E$2:$E$1001,$AQ722)),IF($AR722&lt;&gt;"",IF(INDEX(Raw_D3!$M$2:$M$1001,$AR722)="","",INDEX(Raw_D3!$M$2:$M$1001,$AR722)),"")))</f>
        <v>0.0896</v>
      </c>
      <c r="N722" s="5">
        <f>IF($A722="","",IF($AQ722&lt;&gt;"",IF(INDEX(Raw_D2!$F$2:$F$1001,$AQ722)="","",INDEX(Raw_D2!$F$2:$F$1001,$AQ722)),IF($AR722&lt;&gt;"",IF(INDEX(Raw_D3!$N$2:$N$1001,$AR722)="","",INDEX(Raw_D3!$N$2:$N$1001,$AR722)),"")))</f>
        <v>4</v>
      </c>
      <c r="O722" s="5">
        <f>IF($A722="","",IF($AQ722&lt;&gt;"",IF(INDEX(Raw_D2!$G$2:$G$1001,$AQ722)="","",INDEX(Raw_D2!$G$2:$G$1001,$AQ722)),IF($AR722&lt;&gt;"",IF(INDEX(Raw_D3!$O$2:$O$1001,$AR722)="","",INDEX(Raw_D3!$O$2:$O$1001,$AR722)),"")))</f>
        <v>119</v>
      </c>
      <c r="P722" s="5">
        <f>IF($A722="","",IF($AQ722&lt;&gt;"",IF(INDEX(Raw_D2!$H$2:$H$1001,$AQ722)="","",INDEX(Raw_D2!$H$2:$H$1001,$AQ722)),IF($AR722&lt;&gt;"",IF(INDEX(Raw_D3!$P$2:$P$1001,$AR722)="","",INDEX(Raw_D3!$P$2:$P$1001,$AR722)),"")))</f>
        <v>123</v>
      </c>
      <c r="Q722" s="5" t="str">
        <f>IF($A722="","",IF(AND($AP722&lt;&gt;"",$AQ722&lt;&gt;""),"D1+D2",IF($AR722&lt;&gt;"","D3","Incomplete")))</f>
        <v>D3</v>
      </c>
      <c r="R722" s="17">
        <f>IF($A722="","",IF($K722="",IF($J722="","",ROUND(Lookups!$K$5+Lookups!$K$4*$J722,4)),$K722))</f>
        <v>0.2576</v>
      </c>
      <c r="S722" s="5" t="str">
        <f>IF($A722="","",IF($K722="","Imputed","Original"))</f>
        <v>Original</v>
      </c>
      <c r="T722" s="5" t="str">
        <f>IF($A722="","",IF($P722="","Missing",IF($P722=$N722+$O722,"OK","Mismatch")))</f>
        <v>OK</v>
      </c>
      <c r="U722" s="5" t="str">
        <f>IF($A722="","",IF(COUNTIF($A$2:$A722,$A722)&gt;1,"Duplicate","Unique"))</f>
        <v>Unique</v>
      </c>
      <c r="V722" s="5">
        <f>IF($A722="","",IF(AND($U722="Unique",ISNUMBER($P722)),1,0))</f>
        <v>1</v>
      </c>
      <c r="W722" s="5" t="str">
        <f>IF($A722="","",IF(OR($H722=0,$H722=6),"Weekend","Weekday"))</f>
        <v>Weekday</v>
      </c>
      <c r="X722" s="5" t="str">
        <f>IF($A722="","",TEXT($B722,"ddd"))</f>
        <v>Wed</v>
      </c>
      <c r="Y722" s="5" t="str">
        <f>IF($A722="","",TEXT($B722,"mmm"))</f>
        <v>Feb</v>
      </c>
      <c r="Z722" s="5" t="str">
        <f>IF($A722="","",IFERROR(VLOOKUP($C722,Lookups!$D$4:$E$7,2,FALSE),"Unknown"))</f>
        <v>Winter</v>
      </c>
      <c r="AA722" s="5" t="str">
        <f>IF($A722="","",IFERROR(VLOOKUP($I722,Lookups!$A$4:$B$7,2,FALSE),"Unknown"))</f>
        <v>Mist/Cloudy</v>
      </c>
      <c r="AB722" s="5" t="str">
        <f>IF($A722="","",TEXT($F722,"00")&amp;":00")</f>
        <v>09:00</v>
      </c>
      <c r="AC722" s="5" t="str">
        <f>IF($A722="","",VLOOKUP($F722,Lookups!$G$4:$H$8,2,TRUE))</f>
        <v>Morning Peak (06-09)</v>
      </c>
      <c r="AD722" s="18">
        <f>IF($A722="","",IF($J722="","",ROUND($J722*41,1)))</f>
        <v>9.8</v>
      </c>
      <c r="AE722" s="18">
        <f>IF($A722="","",IF($R722="","",ROUND($R722*50,1)))</f>
        <v>12.9</v>
      </c>
      <c r="AF722" s="5">
        <f>IF($A722="","",IF($L722="","",ROUND($L722*100,0)))</f>
        <v>93</v>
      </c>
      <c r="AG722" s="18">
        <f>IF($A722="","",IF($M722="","",ROUND($M722*67,1)))</f>
        <v>6</v>
      </c>
      <c r="AH722" s="19">
        <f>IF($A722="","",IF($P722="","",IF($P722=0,0,$O722/$P722)))</f>
        <v>0.967479674796748</v>
      </c>
      <c r="AI722" s="5" t="str">
        <f>IF($A722="","",IF($P722="","",IF($P722&gt;=Lookups!$K$7,"High",IF($P722&lt;=Lookups!$K$8,"Low","Medium"))))</f>
        <v>High</v>
      </c>
      <c r="AJ722" s="5" t="str">
        <f>IF($A722="","",IF($AD722="","",IF($AD722&lt;5,"Under 5 C",IF($AD722&lt;10,"5-10 C",IF($AD722&lt;15,"10-15 C","15 C and above")))))</f>
        <v>5-10 C</v>
      </c>
      <c r="AK722" s="5">
        <f>IF($A722="","",IF($P722="","",$P722^2))</f>
        <v>15129</v>
      </c>
      <c r="AL722" s="18">
        <f>IF($V722&lt;&gt;1,"",AVERAGEIFS(Clean_Data!$P$2:$P$1001,Clean_Data!$F$2:$F$1001,$F722,Clean_Data!$W$2:$W$1001,$W722,Clean_Data!$V$2:$V$1001,1))</f>
        <v>115.678571428571</v>
      </c>
      <c r="AM722" s="16">
        <f>IF($V722&lt;&gt;1,"",IFERROR(($P722-$AL722)/SQRT(MAX(0,(SUMIFS(Clean_Data!$AK$2:$AK$1001,Clean_Data!$F$2:$F$1001,$F722,Clean_Data!$W$2:$W$1001,$W722,Clean_Data!$V$2:$V$1001,1)-COUNTIFS(Clean_Data!$F$2:$F$1001,$F722,Clean_Data!$W$2:$W$1001,$W722,Clean_Data!$V$2:$V$1001,1)*$AL722^2)/(COUNTIFS(Clean_Data!$F$2:$F$1001,$F722,Clean_Data!$W$2:$W$1001,$W722,Clean_Data!$V$2:$V$1001,1)-1))),""))</f>
        <v>0.284014811248673</v>
      </c>
      <c r="AN722" s="5" t="str">
        <f>IF($AM722="","",IF($AM722&gt;=Lookups!$K$6,"High spike",IF($AM722&lt;=-Lookups!$K$6,"Unusual low","Normal")))</f>
        <v>Normal</v>
      </c>
      <c r="AO722" s="20">
        <f>IF($V722&lt;&gt;1,"",$P722+ROW()/100000)</f>
        <v>123.00722</v>
      </c>
      <c r="AP722" s="5">
        <f>IF($A722="","",IFERROR(MATCH($A722,Raw_D1!$A$2:$A$1001,0),""))</f>
        <v/>
      </c>
      <c r="AQ722" s="5">
        <f>IF($A722="","",IFERROR(MATCH($A722,Raw_D2!$B$2:$B$1001,0),""))</f>
        <v/>
      </c>
      <c r="AR722" s="5">
        <f>IF($A722="","",IFERROR(MATCH($A722,Raw_D3!$A$2:$A$1001,0),""))</f>
        <v>102</v>
      </c>
    </row>
    <row r="723" spans="1:44" x14ac:dyDescent="0.25">
      <c r="A723" s="5">
        <v>722</v>
      </c>
      <c r="B723" s="11">
        <f>IF($A723="","",IF($AP723&lt;&gt;"",INDEX(Raw_D1!$B$2:$B$1001,$AP723),IF($AR723&lt;&gt;"",INDEX(Raw_D3!$B$2:$B$1001,$AR723),"")))</f>
        <v>40576.0</v>
      </c>
      <c r="C723" s="5">
        <f>IF($A723="","",IF($AP723&lt;&gt;"",INDEX(Raw_D1!$C$2:$C$1001,$AP723),IF($AR723&lt;&gt;"",INDEX(Raw_D3!$C$2:$C$1001,$AR723),"")))</f>
        <v>1</v>
      </c>
      <c r="D723" s="5">
        <f>IF($A723="","",IF($AP723&lt;&gt;"",INDEX(Raw_D1!$D$2:$D$1001,$AP723),IF($AR723&lt;&gt;"",INDEX(Raw_D3!$D$2:$D$1001,$AR723),"")))</f>
        <v>0</v>
      </c>
      <c r="E723" s="5">
        <f>IF($A723="","",IF($AP723&lt;&gt;"",INDEX(Raw_D1!$E$2:$E$1001,$AP723),IF($AR723&lt;&gt;"",INDEX(Raw_D3!$E$2:$E$1001,$AR723),"")))</f>
        <v>2</v>
      </c>
      <c r="F723" s="5">
        <f>IF($A723="","",IF($AP723&lt;&gt;"",INDEX(Raw_D1!$F$2:$F$1001,$AP723),IF($AR723&lt;&gt;"",INDEX(Raw_D3!$F$2:$F$1001,$AR723),"")))</f>
        <v>10</v>
      </c>
      <c r="G723" s="5">
        <f>IF($A723="","",IF($AP723&lt;&gt;"",IF(INDEX(Raw_D1!$G$2:$G$1001,$AP723),1,0),IF($AR723&lt;&gt;"",IF(INDEX(Raw_D3!$G$2:$G$1001,$AR723),1,0),"")))</f>
        <v>0</v>
      </c>
      <c r="H723" s="5">
        <f>IF($A723="","",IF($AP723&lt;&gt;"",INDEX(Raw_D1!$H$2:$H$1001,$AP723),IF($AR723&lt;&gt;"",INDEX(Raw_D3!$H$2:$H$1001,$AR723),"")))</f>
        <v>3</v>
      </c>
      <c r="I723" s="5">
        <f>IF($A723="","",IF($AP723&lt;&gt;"",INDEX(Raw_D1!$I$2:$I$1001,$AP723),IF($AR723&lt;&gt;"",INDEX(Raw_D3!$I$2:$I$1001,$AR723),"")))</f>
        <v>2</v>
      </c>
      <c r="J723" s="16">
        <f>IF($A723="","",IF($AP723&lt;&gt;"",INDEX(Raw_D1!$J$2:$J$1001,$AP723),IF($AR723&lt;&gt;"",INDEX(Raw_D3!$J$2:$J$1001,$AR723),"")))</f>
        <v>0.22</v>
      </c>
      <c r="K723" s="17">
        <f>IF($A723="","",IF($AQ723&lt;&gt;"",IF(INDEX(Raw_D2!$C$2:$C$1001,$AQ723)="","",INDEX(Raw_D2!$C$2:$C$1001,$AQ723)),IF($AR723&lt;&gt;"",IF(INDEX(Raw_D3!$K$2:$K$1001,$AR723)="","",INDEX(Raw_D3!$K$2:$K$1001,$AR723)),"")))</f>
        <v>0.2727</v>
      </c>
      <c r="L723" s="16">
        <f>IF($A723="","",IF($AQ723&lt;&gt;"",IF(INDEX(Raw_D2!$D$2:$D$1001,$AQ723)="","",INDEX(Raw_D2!$D$2:$D$1001,$AQ723)),IF($AR723&lt;&gt;"",IF(INDEX(Raw_D3!$L$2:$L$1001,$AR723)="","",INDEX(Raw_D3!$L$2:$L$1001,$AR723)),"")))</f>
        <v>1</v>
      </c>
      <c r="M723" s="17">
        <f>IF($A723="","",IF($AQ723&lt;&gt;"",IF(INDEX(Raw_D2!$E$2:$E$1001,$AQ723)="","",INDEX(Raw_D2!$E$2:$E$1001,$AQ723)),IF($AR723&lt;&gt;"",IF(INDEX(Raw_D3!$M$2:$M$1001,$AR723)="","",INDEX(Raw_D3!$M$2:$M$1001,$AR723)),"")))</f>
        <v>0</v>
      </c>
      <c r="N723" s="5">
        <f>IF($A723="","",IF($AQ723&lt;&gt;"",IF(INDEX(Raw_D2!$F$2:$F$1001,$AQ723)="","",INDEX(Raw_D2!$F$2:$F$1001,$AQ723)),IF($AR723&lt;&gt;"",IF(INDEX(Raw_D3!$N$2:$N$1001,$AR723)="","",INDEX(Raw_D3!$N$2:$N$1001,$AR723)),"")))</f>
        <v>2</v>
      </c>
      <c r="O723" s="5">
        <f>IF($A723="","",IF($AQ723&lt;&gt;"",IF(INDEX(Raw_D2!$G$2:$G$1001,$AQ723)="","",INDEX(Raw_D2!$G$2:$G$1001,$AQ723)),IF($AR723&lt;&gt;"",IF(INDEX(Raw_D3!$O$2:$O$1001,$AR723)="","",INDEX(Raw_D3!$O$2:$O$1001,$AR723)),"")))</f>
        <v>59</v>
      </c>
      <c r="P723" s="5">
        <f>IF($A723="","",IF($AQ723&lt;&gt;"",IF(INDEX(Raw_D2!$H$2:$H$1001,$AQ723)="","",INDEX(Raw_D2!$H$2:$H$1001,$AQ723)),IF($AR723&lt;&gt;"",IF(INDEX(Raw_D3!$P$2:$P$1001,$AR723)="","",INDEX(Raw_D3!$P$2:$P$1001,$AR723)),"")))</f>
        <v>61</v>
      </c>
      <c r="Q723" s="5" t="str">
        <f>IF($A723="","",IF(AND($AP723&lt;&gt;"",$AQ723&lt;&gt;""),"D1+D2",IF($AR723&lt;&gt;"","D3","Incomplete")))</f>
        <v>D3</v>
      </c>
      <c r="R723" s="17">
        <f>IF($A723="","",IF($K723="",IF($J723="","",ROUND(Lookups!$K$5+Lookups!$K$4*$J723,4)),$K723))</f>
        <v>0.2727</v>
      </c>
      <c r="S723" s="5" t="str">
        <f>IF($A723="","",IF($K723="","Imputed","Original"))</f>
        <v>Original</v>
      </c>
      <c r="T723" s="5" t="str">
        <f>IF($A723="","",IF($P723="","Missing",IF($P723=$N723+$O723,"OK","Mismatch")))</f>
        <v>OK</v>
      </c>
      <c r="U723" s="5" t="str">
        <f>IF($A723="","",IF(COUNTIF($A$2:$A723,$A723)&gt;1,"Duplicate","Unique"))</f>
        <v>Unique</v>
      </c>
      <c r="V723" s="5">
        <f>IF($A723="","",IF(AND($U723="Unique",ISNUMBER($P723)),1,0))</f>
        <v>1</v>
      </c>
      <c r="W723" s="5" t="str">
        <f>IF($A723="","",IF(OR($H723=0,$H723=6),"Weekend","Weekday"))</f>
        <v>Weekday</v>
      </c>
      <c r="X723" s="5" t="str">
        <f>IF($A723="","",TEXT($B723,"ddd"))</f>
        <v>Wed</v>
      </c>
      <c r="Y723" s="5" t="str">
        <f>IF($A723="","",TEXT($B723,"mmm"))</f>
        <v>Feb</v>
      </c>
      <c r="Z723" s="5" t="str">
        <f>IF($A723="","",IFERROR(VLOOKUP($C723,Lookups!$D$4:$E$7,2,FALSE),"Unknown"))</f>
        <v>Winter</v>
      </c>
      <c r="AA723" s="5" t="str">
        <f>IF($A723="","",IFERROR(VLOOKUP($I723,Lookups!$A$4:$B$7,2,FALSE),"Unknown"))</f>
        <v>Mist/Cloudy</v>
      </c>
      <c r="AB723" s="5" t="str">
        <f>IF($A723="","",TEXT($F723,"00")&amp;":00")</f>
        <v>10:00</v>
      </c>
      <c r="AC723" s="5" t="str">
        <f>IF($A723="","",VLOOKUP($F723,Lookups!$G$4:$H$8,2,TRUE))</f>
        <v>Midday (10-15)</v>
      </c>
      <c r="AD723" s="18">
        <f>IF($A723="","",IF($J723="","",ROUND($J723*41,1)))</f>
        <v>9</v>
      </c>
      <c r="AE723" s="18">
        <f>IF($A723="","",IF($R723="","",ROUND($R723*50,1)))</f>
        <v>13.6</v>
      </c>
      <c r="AF723" s="5">
        <f>IF($A723="","",IF($L723="","",ROUND($L723*100,0)))</f>
        <v>100</v>
      </c>
      <c r="AG723" s="18">
        <f>IF($A723="","",IF($M723="","",ROUND($M723*67,1)))</f>
        <v>0</v>
      </c>
      <c r="AH723" s="19">
        <f>IF($A723="","",IF($P723="","",IF($P723=0,0,$O723/$P723)))</f>
        <v>0.967213114754098</v>
      </c>
      <c r="AI723" s="5" t="str">
        <f>IF($A723="","",IF($P723="","",IF($P723&gt;=Lookups!$K$7,"High",IF($P723&lt;=Lookups!$K$8,"Low","Medium"))))</f>
        <v>Medium</v>
      </c>
      <c r="AJ723" s="5" t="str">
        <f>IF($A723="","",IF($AD723="","",IF($AD723&lt;5,"Under 5 C",IF($AD723&lt;10,"5-10 C",IF($AD723&lt;15,"10-15 C","15 C and above")))))</f>
        <v>5-10 C</v>
      </c>
      <c r="AK723" s="5">
        <f>IF($A723="","",IF($P723="","",$P723^2))</f>
        <v>3721</v>
      </c>
      <c r="AL723" s="18">
        <f>IF($V723&lt;&gt;1,"",AVERAGEIFS(Clean_Data!$P$2:$P$1001,Clean_Data!$F$2:$F$1001,$F723,Clean_Data!$W$2:$W$1001,$W723,Clean_Data!$V$2:$V$1001,1))</f>
        <v>49.0714285714286</v>
      </c>
      <c r="AM723" s="16">
        <f>IF($V723&lt;&gt;1,"",IFERROR(($P723-$AL723)/SQRT(MAX(0,(SUMIFS(Clean_Data!$AK$2:$AK$1001,Clean_Data!$F$2:$F$1001,$F723,Clean_Data!$W$2:$W$1001,$W723,Clean_Data!$V$2:$V$1001,1)-COUNTIFS(Clean_Data!$F$2:$F$1001,$F723,Clean_Data!$W$2:$W$1001,$W723,Clean_Data!$V$2:$V$1001,1)*$AL723^2)/(COUNTIFS(Clean_Data!$F$2:$F$1001,$F723,Clean_Data!$W$2:$W$1001,$W723,Clean_Data!$V$2:$V$1001,1)-1))),""))</f>
        <v>1.1819939436722</v>
      </c>
      <c r="AN723" s="5" t="str">
        <f>IF($AM723="","",IF($AM723&gt;=Lookups!$K$6,"High spike",IF($AM723&lt;=-Lookups!$K$6,"Unusual low","Normal")))</f>
        <v>Normal</v>
      </c>
      <c r="AO723" s="20">
        <f>IF($V723&lt;&gt;1,"",$P723+ROW()/100000)</f>
        <v>61.00723</v>
      </c>
      <c r="AP723" s="5">
        <f>IF($A723="","",IFERROR(MATCH($A723,Raw_D1!$A$2:$A$1001,0),""))</f>
        <v/>
      </c>
      <c r="AQ723" s="5">
        <f>IF($A723="","",IFERROR(MATCH($A723,Raw_D2!$B$2:$B$1001,0),""))</f>
        <v/>
      </c>
      <c r="AR723" s="5">
        <f>IF($A723="","",IFERROR(MATCH($A723,Raw_D3!$A$2:$A$1001,0),""))</f>
        <v>103</v>
      </c>
    </row>
    <row r="724" spans="1:44" x14ac:dyDescent="0.25">
      <c r="A724" s="5">
        <v>723</v>
      </c>
      <c r="B724" s="11">
        <f>IF($A724="","",IF($AP724&lt;&gt;"",INDEX(Raw_D1!$B$2:$B$1001,$AP724),IF($AR724&lt;&gt;"",INDEX(Raw_D3!$B$2:$B$1001,$AR724),"")))</f>
        <v>40576.0</v>
      </c>
      <c r="C724" s="5">
        <f>IF($A724="","",IF($AP724&lt;&gt;"",INDEX(Raw_D1!$C$2:$C$1001,$AP724),IF($AR724&lt;&gt;"",INDEX(Raw_D3!$C$2:$C$1001,$AR724),"")))</f>
        <v>1</v>
      </c>
      <c r="D724" s="5">
        <f>IF($A724="","",IF($AP724&lt;&gt;"",INDEX(Raw_D1!$D$2:$D$1001,$AP724),IF($AR724&lt;&gt;"",INDEX(Raw_D3!$D$2:$D$1001,$AR724),"")))</f>
        <v>0</v>
      </c>
      <c r="E724" s="5">
        <f>IF($A724="","",IF($AP724&lt;&gt;"",INDEX(Raw_D1!$E$2:$E$1001,$AP724),IF($AR724&lt;&gt;"",INDEX(Raw_D3!$E$2:$E$1001,$AR724),"")))</f>
        <v>2</v>
      </c>
      <c r="F724" s="5">
        <f>IF($A724="","",IF($AP724&lt;&gt;"",INDEX(Raw_D1!$F$2:$F$1001,$AP724),IF($AR724&lt;&gt;"",INDEX(Raw_D3!$F$2:$F$1001,$AR724),"")))</f>
        <v>11</v>
      </c>
      <c r="G724" s="5">
        <f>IF($A724="","",IF($AP724&lt;&gt;"",IF(INDEX(Raw_D1!$G$2:$G$1001,$AP724),1,0),IF($AR724&lt;&gt;"",IF(INDEX(Raw_D3!$G$2:$G$1001,$AR724),1,0),"")))</f>
        <v>0</v>
      </c>
      <c r="H724" s="5">
        <f>IF($A724="","",IF($AP724&lt;&gt;"",INDEX(Raw_D1!$H$2:$H$1001,$AP724),IF($AR724&lt;&gt;"",INDEX(Raw_D3!$H$2:$H$1001,$AR724),"")))</f>
        <v>3</v>
      </c>
      <c r="I724" s="5">
        <f>IF($A724="","",IF($AP724&lt;&gt;"",INDEX(Raw_D1!$I$2:$I$1001,$AP724),IF($AR724&lt;&gt;"",INDEX(Raw_D3!$I$2:$I$1001,$AR724),"")))</f>
        <v>2</v>
      </c>
      <c r="J724" s="16">
        <f>IF($A724="","",IF($AP724&lt;&gt;"",INDEX(Raw_D1!$J$2:$J$1001,$AP724),IF($AR724&lt;&gt;"",INDEX(Raw_D3!$J$2:$J$1001,$AR724),"")))</f>
        <v>0.24</v>
      </c>
      <c r="K724" s="17">
        <f>IF($A724="","",IF($AQ724&lt;&gt;"",IF(INDEX(Raw_D2!$C$2:$C$1001,$AQ724)="","",INDEX(Raw_D2!$C$2:$C$1001,$AQ724)),IF($AR724&lt;&gt;"",IF(INDEX(Raw_D3!$K$2:$K$1001,$AR724)="","",INDEX(Raw_D3!$K$2:$K$1001,$AR724)),"")))</f>
        <v>0.2273</v>
      </c>
      <c r="L724" s="16">
        <f>IF($A724="","",IF($AQ724&lt;&gt;"",IF(INDEX(Raw_D2!$D$2:$D$1001,$AQ724)="","",INDEX(Raw_D2!$D$2:$D$1001,$AQ724)),IF($AR724&lt;&gt;"",IF(INDEX(Raw_D3!$L$2:$L$1001,$AR724)="","",INDEX(Raw_D3!$L$2:$L$1001,$AR724)),"")))</f>
        <v>0.93</v>
      </c>
      <c r="M724" s="17">
        <f>IF($A724="","",IF($AQ724&lt;&gt;"",IF(INDEX(Raw_D2!$E$2:$E$1001,$AQ724)="","",INDEX(Raw_D2!$E$2:$E$1001,$AQ724)),IF($AR724&lt;&gt;"",IF(INDEX(Raw_D3!$M$2:$M$1001,$AR724)="","",INDEX(Raw_D3!$M$2:$M$1001,$AR724)),"")))</f>
        <v>0.194</v>
      </c>
      <c r="N724" s="5">
        <f>IF($A724="","",IF($AQ724&lt;&gt;"",IF(INDEX(Raw_D2!$F$2:$F$1001,$AQ724)="","",INDEX(Raw_D2!$F$2:$F$1001,$AQ724)),IF($AR724&lt;&gt;"",IF(INDEX(Raw_D3!$N$2:$N$1001,$AR724)="","",INDEX(Raw_D3!$N$2:$N$1001,$AR724)),"")))</f>
        <v>5</v>
      </c>
      <c r="O724" s="5">
        <f>IF($A724="","",IF($AQ724&lt;&gt;"",IF(INDEX(Raw_D2!$G$2:$G$1001,$AQ724)="","",INDEX(Raw_D2!$G$2:$G$1001,$AQ724)),IF($AR724&lt;&gt;"",IF(INDEX(Raw_D3!$O$2:$O$1001,$AR724)="","",INDEX(Raw_D3!$O$2:$O$1001,$AR724)),"")))</f>
        <v>47</v>
      </c>
      <c r="P724" s="5">
        <f>IF($A724="","",IF($AQ724&lt;&gt;"",IF(INDEX(Raw_D2!$H$2:$H$1001,$AQ724)="","",INDEX(Raw_D2!$H$2:$H$1001,$AQ724)),IF($AR724&lt;&gt;"",IF(INDEX(Raw_D3!$P$2:$P$1001,$AR724)="","",INDEX(Raw_D3!$P$2:$P$1001,$AR724)),"")))</f>
        <v>52</v>
      </c>
      <c r="Q724" s="5" t="str">
        <f>IF($A724="","",IF(AND($AP724&lt;&gt;"",$AQ724&lt;&gt;""),"D1+D2",IF($AR724&lt;&gt;"","D3","Incomplete")))</f>
        <v>D3</v>
      </c>
      <c r="R724" s="17">
        <f>IF($A724="","",IF($K724="",IF($J724="","",ROUND(Lookups!$K$5+Lookups!$K$4*$J724,4)),$K724))</f>
        <v>0.2273</v>
      </c>
      <c r="S724" s="5" t="str">
        <f>IF($A724="","",IF($K724="","Imputed","Original"))</f>
        <v>Original</v>
      </c>
      <c r="T724" s="5" t="str">
        <f>IF($A724="","",IF($P724="","Missing",IF($P724=$N724+$O724,"OK","Mismatch")))</f>
        <v>OK</v>
      </c>
      <c r="U724" s="5" t="str">
        <f>IF($A724="","",IF(COUNTIF($A$2:$A724,$A724)&gt;1,"Duplicate","Unique"))</f>
        <v>Unique</v>
      </c>
      <c r="V724" s="5">
        <f>IF($A724="","",IF(AND($U724="Unique",ISNUMBER($P724)),1,0))</f>
        <v>1</v>
      </c>
      <c r="W724" s="5" t="str">
        <f>IF($A724="","",IF(OR($H724=0,$H724=6),"Weekend","Weekday"))</f>
        <v>Weekday</v>
      </c>
      <c r="X724" s="5" t="str">
        <f>IF($A724="","",TEXT($B724,"ddd"))</f>
        <v>Wed</v>
      </c>
      <c r="Y724" s="5" t="str">
        <f>IF($A724="","",TEXT($B724,"mmm"))</f>
        <v>Feb</v>
      </c>
      <c r="Z724" s="5" t="str">
        <f>IF($A724="","",IFERROR(VLOOKUP($C724,Lookups!$D$4:$E$7,2,FALSE),"Unknown"))</f>
        <v>Winter</v>
      </c>
      <c r="AA724" s="5" t="str">
        <f>IF($A724="","",IFERROR(VLOOKUP($I724,Lookups!$A$4:$B$7,2,FALSE),"Unknown"))</f>
        <v>Mist/Cloudy</v>
      </c>
      <c r="AB724" s="5" t="str">
        <f>IF($A724="","",TEXT($F724,"00")&amp;":00")</f>
        <v>11:00</v>
      </c>
      <c r="AC724" s="5" t="str">
        <f>IF($A724="","",VLOOKUP($F724,Lookups!$G$4:$H$8,2,TRUE))</f>
        <v>Midday (10-15)</v>
      </c>
      <c r="AD724" s="18">
        <f>IF($A724="","",IF($J724="","",ROUND($J724*41,1)))</f>
        <v>9.8</v>
      </c>
      <c r="AE724" s="18">
        <f>IF($A724="","",IF($R724="","",ROUND($R724*50,1)))</f>
        <v>11.4</v>
      </c>
      <c r="AF724" s="5">
        <f>IF($A724="","",IF($L724="","",ROUND($L724*100,0)))</f>
        <v>93</v>
      </c>
      <c r="AG724" s="18">
        <f>IF($A724="","",IF($M724="","",ROUND($M724*67,1)))</f>
        <v>13</v>
      </c>
      <c r="AH724" s="19">
        <f>IF($A724="","",IF($P724="","",IF($P724=0,0,$O724/$P724)))</f>
        <v>0.903846153846154</v>
      </c>
      <c r="AI724" s="5" t="str">
        <f>IF($A724="","",IF($P724="","",IF($P724&gt;=Lookups!$K$7,"High",IF($P724&lt;=Lookups!$K$8,"Low","Medium"))))</f>
        <v>Medium</v>
      </c>
      <c r="AJ724" s="5" t="str">
        <f>IF($A724="","",IF($AD724="","",IF($AD724&lt;5,"Under 5 C",IF($AD724&lt;10,"5-10 C",IF($AD724&lt;15,"10-15 C","15 C and above")))))</f>
        <v>5-10 C</v>
      </c>
      <c r="AK724" s="5">
        <f>IF($A724="","",IF($P724="","",$P724^2))</f>
        <v>2704</v>
      </c>
      <c r="AL724" s="18">
        <f>IF($V724&lt;&gt;1,"",AVERAGEIFS(Clean_Data!$P$2:$P$1001,Clean_Data!$F$2:$F$1001,$F724,Clean_Data!$W$2:$W$1001,$W724,Clean_Data!$V$2:$V$1001,1))</f>
        <v>50.6071428571429</v>
      </c>
      <c r="AM724" s="16">
        <f>IF($V724&lt;&gt;1,"",IFERROR(($P724-$AL724)/SQRT(MAX(0,(SUMIFS(Clean_Data!$AK$2:$AK$1001,Clean_Data!$F$2:$F$1001,$F724,Clean_Data!$W$2:$W$1001,$W724,Clean_Data!$V$2:$V$1001,1)-COUNTIFS(Clean_Data!$F$2:$F$1001,$F724,Clean_Data!$W$2:$W$1001,$W724,Clean_Data!$V$2:$V$1001,1)*$AL724^2)/(COUNTIFS(Clean_Data!$F$2:$F$1001,$F724,Clean_Data!$W$2:$W$1001,$W724,Clean_Data!$V$2:$V$1001,1)-1))),""))</f>
        <v>0.124329237331304</v>
      </c>
      <c r="AN724" s="5" t="str">
        <f>IF($AM724="","",IF($AM724&gt;=Lookups!$K$6,"High spike",IF($AM724&lt;=-Lookups!$K$6,"Unusual low","Normal")))</f>
        <v>Normal</v>
      </c>
      <c r="AO724" s="20">
        <f>IF($V724&lt;&gt;1,"",$P724+ROW()/100000)</f>
        <v>52.00724</v>
      </c>
      <c r="AP724" s="5">
        <f>IF($A724="","",IFERROR(MATCH($A724,Raw_D1!$A$2:$A$1001,0),""))</f>
        <v/>
      </c>
      <c r="AQ724" s="5">
        <f>IF($A724="","",IFERROR(MATCH($A724,Raw_D2!$B$2:$B$1001,0),""))</f>
        <v/>
      </c>
      <c r="AR724" s="5">
        <f>IF($A724="","",IFERROR(MATCH($A724,Raw_D3!$A$2:$A$1001,0),""))</f>
        <v>104</v>
      </c>
    </row>
    <row r="725" spans="1:44" x14ac:dyDescent="0.25">
      <c r="A725" s="5">
        <v>724</v>
      </c>
      <c r="B725" s="11">
        <f>IF($A725="","",IF($AP725&lt;&gt;"",INDEX(Raw_D1!$B$2:$B$1001,$AP725),IF($AR725&lt;&gt;"",INDEX(Raw_D3!$B$2:$B$1001,$AR725),"")))</f>
        <v>40576.0</v>
      </c>
      <c r="C725" s="5">
        <f>IF($A725="","",IF($AP725&lt;&gt;"",INDEX(Raw_D1!$C$2:$C$1001,$AP725),IF($AR725&lt;&gt;"",INDEX(Raw_D3!$C$2:$C$1001,$AR725),"")))</f>
        <v>1</v>
      </c>
      <c r="D725" s="5">
        <f>IF($A725="","",IF($AP725&lt;&gt;"",INDEX(Raw_D1!$D$2:$D$1001,$AP725),IF($AR725&lt;&gt;"",INDEX(Raw_D3!$D$2:$D$1001,$AR725),"")))</f>
        <v>0</v>
      </c>
      <c r="E725" s="5">
        <f>IF($A725="","",IF($AP725&lt;&gt;"",INDEX(Raw_D1!$E$2:$E$1001,$AP725),IF($AR725&lt;&gt;"",INDEX(Raw_D3!$E$2:$E$1001,$AR725),"")))</f>
        <v>2</v>
      </c>
      <c r="F725" s="5">
        <f>IF($A725="","",IF($AP725&lt;&gt;"",INDEX(Raw_D1!$F$2:$F$1001,$AP725),IF($AR725&lt;&gt;"",INDEX(Raw_D3!$F$2:$F$1001,$AR725),"")))</f>
        <v>12</v>
      </c>
      <c r="G725" s="5">
        <f>IF($A725="","",IF($AP725&lt;&gt;"",IF(INDEX(Raw_D1!$G$2:$G$1001,$AP725),1,0),IF($AR725&lt;&gt;"",IF(INDEX(Raw_D3!$G$2:$G$1001,$AR725),1,0),"")))</f>
        <v>0</v>
      </c>
      <c r="H725" s="5">
        <f>IF($A725="","",IF($AP725&lt;&gt;"",INDEX(Raw_D1!$H$2:$H$1001,$AP725),IF($AR725&lt;&gt;"",INDEX(Raw_D3!$H$2:$H$1001,$AR725),"")))</f>
        <v>3</v>
      </c>
      <c r="I725" s="5">
        <f>IF($A725="","",IF($AP725&lt;&gt;"",INDEX(Raw_D1!$I$2:$I$1001,$AP725),IF($AR725&lt;&gt;"",INDEX(Raw_D3!$I$2:$I$1001,$AR725),"")))</f>
        <v>2</v>
      </c>
      <c r="J725" s="16">
        <f>IF($A725="","",IF($AP725&lt;&gt;"",INDEX(Raw_D1!$J$2:$J$1001,$AP725),IF($AR725&lt;&gt;"",INDEX(Raw_D3!$J$2:$J$1001,$AR725),"")))</f>
        <v>0.24</v>
      </c>
      <c r="K725" s="17">
        <f>IF($A725="","",IF($AQ725&lt;&gt;"",IF(INDEX(Raw_D2!$C$2:$C$1001,$AQ725)="","",INDEX(Raw_D2!$C$2:$C$1001,$AQ725)),IF($AR725&lt;&gt;"",IF(INDEX(Raw_D3!$K$2:$K$1001,$AR725)="","",INDEX(Raw_D3!$K$2:$K$1001,$AR725)),"")))</f>
        <v>0.2273</v>
      </c>
      <c r="L725" s="16">
        <f>IF($A725="","",IF($AQ725&lt;&gt;"",IF(INDEX(Raw_D2!$D$2:$D$1001,$AQ725)="","",INDEX(Raw_D2!$D$2:$D$1001,$AQ725)),IF($AR725&lt;&gt;"",IF(INDEX(Raw_D3!$L$2:$L$1001,$AR725)="","",INDEX(Raw_D3!$L$2:$L$1001,$AR725)),"")))</f>
        <v>0.93</v>
      </c>
      <c r="M725" s="17">
        <f>IF($A725="","",IF($AQ725&lt;&gt;"",IF(INDEX(Raw_D2!$E$2:$E$1001,$AQ725)="","",INDEX(Raw_D2!$E$2:$E$1001,$AQ725)),IF($AR725&lt;&gt;"",IF(INDEX(Raw_D3!$M$2:$M$1001,$AR725)="","",INDEX(Raw_D3!$M$2:$M$1001,$AR725)),"")))</f>
        <v>0.2239</v>
      </c>
      <c r="N725" s="5">
        <f>IF($A725="","",IF($AQ725&lt;&gt;"",IF(INDEX(Raw_D2!$F$2:$F$1001,$AQ725)="","",INDEX(Raw_D2!$F$2:$F$1001,$AQ725)),IF($AR725&lt;&gt;"",IF(INDEX(Raw_D3!$N$2:$N$1001,$AR725)="","",INDEX(Raw_D3!$N$2:$N$1001,$AR725)),"")))</f>
        <v>3</v>
      </c>
      <c r="O725" s="5">
        <f>IF($A725="","",IF($AQ725&lt;&gt;"",IF(INDEX(Raw_D2!$G$2:$G$1001,$AQ725)="","",INDEX(Raw_D2!$G$2:$G$1001,$AQ725)),IF($AR725&lt;&gt;"",IF(INDEX(Raw_D3!$O$2:$O$1001,$AR725)="","",INDEX(Raw_D3!$O$2:$O$1001,$AR725)),"")))</f>
        <v>61</v>
      </c>
      <c r="P725" s="5">
        <f>IF($A725="","",IF($AQ725&lt;&gt;"",IF(INDEX(Raw_D2!$H$2:$H$1001,$AQ725)="","",INDEX(Raw_D2!$H$2:$H$1001,$AQ725)),IF($AR725&lt;&gt;"",IF(INDEX(Raw_D3!$P$2:$P$1001,$AR725)="","",INDEX(Raw_D3!$P$2:$P$1001,$AR725)),"")))</f>
        <v>64</v>
      </c>
      <c r="Q725" s="5" t="str">
        <f>IF($A725="","",IF(AND($AP725&lt;&gt;"",$AQ725&lt;&gt;""),"D1+D2",IF($AR725&lt;&gt;"","D3","Incomplete")))</f>
        <v>D3</v>
      </c>
      <c r="R725" s="17">
        <f>IF($A725="","",IF($K725="",IF($J725="","",ROUND(Lookups!$K$5+Lookups!$K$4*$J725,4)),$K725))</f>
        <v>0.2273</v>
      </c>
      <c r="S725" s="5" t="str">
        <f>IF($A725="","",IF($K725="","Imputed","Original"))</f>
        <v>Original</v>
      </c>
      <c r="T725" s="5" t="str">
        <f>IF($A725="","",IF($P725="","Missing",IF($P725=$N725+$O725,"OK","Mismatch")))</f>
        <v>OK</v>
      </c>
      <c r="U725" s="5" t="str">
        <f>IF($A725="","",IF(COUNTIF($A$2:$A725,$A725)&gt;1,"Duplicate","Unique"))</f>
        <v>Unique</v>
      </c>
      <c r="V725" s="5">
        <f>IF($A725="","",IF(AND($U725="Unique",ISNUMBER($P725)),1,0))</f>
        <v>1</v>
      </c>
      <c r="W725" s="5" t="str">
        <f>IF($A725="","",IF(OR($H725=0,$H725=6),"Weekend","Weekday"))</f>
        <v>Weekday</v>
      </c>
      <c r="X725" s="5" t="str">
        <f>IF($A725="","",TEXT($B725,"ddd"))</f>
        <v>Wed</v>
      </c>
      <c r="Y725" s="5" t="str">
        <f>IF($A725="","",TEXT($B725,"mmm"))</f>
        <v>Feb</v>
      </c>
      <c r="Z725" s="5" t="str">
        <f>IF($A725="","",IFERROR(VLOOKUP($C725,Lookups!$D$4:$E$7,2,FALSE),"Unknown"))</f>
        <v>Winter</v>
      </c>
      <c r="AA725" s="5" t="str">
        <f>IF($A725="","",IFERROR(VLOOKUP($I725,Lookups!$A$4:$B$7,2,FALSE),"Unknown"))</f>
        <v>Mist/Cloudy</v>
      </c>
      <c r="AB725" s="5" t="str">
        <f>IF($A725="","",TEXT($F725,"00")&amp;":00")</f>
        <v>12:00</v>
      </c>
      <c r="AC725" s="5" t="str">
        <f>IF($A725="","",VLOOKUP($F725,Lookups!$G$4:$H$8,2,TRUE))</f>
        <v>Midday (10-15)</v>
      </c>
      <c r="AD725" s="18">
        <f>IF($A725="","",IF($J725="","",ROUND($J725*41,1)))</f>
        <v>9.8</v>
      </c>
      <c r="AE725" s="18">
        <f>IF($A725="","",IF($R725="","",ROUND($R725*50,1)))</f>
        <v>11.4</v>
      </c>
      <c r="AF725" s="5">
        <f>IF($A725="","",IF($L725="","",ROUND($L725*100,0)))</f>
        <v>93</v>
      </c>
      <c r="AG725" s="18">
        <f>IF($A725="","",IF($M725="","",ROUND($M725*67,1)))</f>
        <v>15</v>
      </c>
      <c r="AH725" s="19">
        <f>IF($A725="","",IF($P725="","",IF($P725=0,0,$O725/$P725)))</f>
        <v>0.953125</v>
      </c>
      <c r="AI725" s="5" t="str">
        <f>IF($A725="","",IF($P725="","",IF($P725&gt;=Lookups!$K$7,"High",IF($P725&lt;=Lookups!$K$8,"Low","Medium"))))</f>
        <v>Medium</v>
      </c>
      <c r="AJ725" s="5" t="str">
        <f>IF($A725="","",IF($AD725="","",IF($AD725&lt;5,"Under 5 C",IF($AD725&lt;10,"5-10 C",IF($AD725&lt;15,"10-15 C","15 C and above")))))</f>
        <v>5-10 C</v>
      </c>
      <c r="AK725" s="5">
        <f>IF($A725="","",IF($P725="","",$P725^2))</f>
        <v>4096</v>
      </c>
      <c r="AL725" s="18">
        <f>IF($V725&lt;&gt;1,"",AVERAGEIFS(Clean_Data!$P$2:$P$1001,Clean_Data!$F$2:$F$1001,$F725,Clean_Data!$W$2:$W$1001,$W725,Clean_Data!$V$2:$V$1001,1))</f>
        <v>64.5862068965517</v>
      </c>
      <c r="AM725" s="16">
        <f>IF($V725&lt;&gt;1,"",IFERROR(($P725-$AL725)/SQRT(MAX(0,(SUMIFS(Clean_Data!$AK$2:$AK$1001,Clean_Data!$F$2:$F$1001,$F725,Clean_Data!$W$2:$W$1001,$W725,Clean_Data!$V$2:$V$1001,1)-COUNTIFS(Clean_Data!$F$2:$F$1001,$F725,Clean_Data!$W$2:$W$1001,$W725,Clean_Data!$V$2:$V$1001,1)*$AL725^2)/(COUNTIFS(Clean_Data!$F$2:$F$1001,$F725,Clean_Data!$W$2:$W$1001,$W725,Clean_Data!$V$2:$V$1001,1)-1))),""))</f>
        <v>-0.0313005033222908</v>
      </c>
      <c r="AN725" s="5" t="str">
        <f>IF($AM725="","",IF($AM725&gt;=Lookups!$K$6,"High spike",IF($AM725&lt;=-Lookups!$K$6,"Unusual low","Normal")))</f>
        <v>Normal</v>
      </c>
      <c r="AO725" s="20">
        <f>IF($V725&lt;&gt;1,"",$P725+ROW()/100000)</f>
        <v>64.00725</v>
      </c>
      <c r="AP725" s="5">
        <f>IF($A725="","",IFERROR(MATCH($A725,Raw_D1!$A$2:$A$1001,0),""))</f>
        <v/>
      </c>
      <c r="AQ725" s="5">
        <f>IF($A725="","",IFERROR(MATCH($A725,Raw_D2!$B$2:$B$1001,0),""))</f>
        <v/>
      </c>
      <c r="AR725" s="5">
        <f>IF($A725="","",IFERROR(MATCH($A725,Raw_D3!$A$2:$A$1001,0),""))</f>
        <v>105</v>
      </c>
    </row>
    <row r="726" spans="1:44" x14ac:dyDescent="0.25">
      <c r="A726" s="5">
        <v>725</v>
      </c>
      <c r="B726" s="11">
        <f>IF($A726="","",IF($AP726&lt;&gt;"",INDEX(Raw_D1!$B$2:$B$1001,$AP726),IF($AR726&lt;&gt;"",INDEX(Raw_D3!$B$2:$B$1001,$AR726),"")))</f>
        <v>40576.0</v>
      </c>
      <c r="C726" s="5">
        <f>IF($A726="","",IF($AP726&lt;&gt;"",INDEX(Raw_D1!$C$2:$C$1001,$AP726),IF($AR726&lt;&gt;"",INDEX(Raw_D3!$C$2:$C$1001,$AR726),"")))</f>
        <v>1</v>
      </c>
      <c r="D726" s="5">
        <f>IF($A726="","",IF($AP726&lt;&gt;"",INDEX(Raw_D1!$D$2:$D$1001,$AP726),IF($AR726&lt;&gt;"",INDEX(Raw_D3!$D$2:$D$1001,$AR726),"")))</f>
        <v>0</v>
      </c>
      <c r="E726" s="5">
        <f>IF($A726="","",IF($AP726&lt;&gt;"",INDEX(Raw_D1!$E$2:$E$1001,$AP726),IF($AR726&lt;&gt;"",INDEX(Raw_D3!$E$2:$E$1001,$AR726),"")))</f>
        <v>2</v>
      </c>
      <c r="F726" s="5">
        <f>IF($A726="","",IF($AP726&lt;&gt;"",INDEX(Raw_D1!$F$2:$F$1001,$AP726),IF($AR726&lt;&gt;"",INDEX(Raw_D3!$F$2:$F$1001,$AR726),"")))</f>
        <v>13</v>
      </c>
      <c r="G726" s="5">
        <f>IF($A726="","",IF($AP726&lt;&gt;"",IF(INDEX(Raw_D1!$G$2:$G$1001,$AP726),1,0),IF($AR726&lt;&gt;"",IF(INDEX(Raw_D3!$G$2:$G$1001,$AR726),1,0),"")))</f>
        <v>0</v>
      </c>
      <c r="H726" s="5">
        <f>IF($A726="","",IF($AP726&lt;&gt;"",INDEX(Raw_D1!$H$2:$H$1001,$AP726),IF($AR726&lt;&gt;"",INDEX(Raw_D3!$H$2:$H$1001,$AR726),"")))</f>
        <v>3</v>
      </c>
      <c r="I726" s="5">
        <f>IF($A726="","",IF($AP726&lt;&gt;"",INDEX(Raw_D1!$I$2:$I$1001,$AP726),IF($AR726&lt;&gt;"",INDEX(Raw_D3!$I$2:$I$1001,$AR726),"")))</f>
        <v>1</v>
      </c>
      <c r="J726" s="16">
        <f>IF($A726="","",IF($AP726&lt;&gt;"",INDEX(Raw_D1!$J$2:$J$1001,$AP726),IF($AR726&lt;&gt;"",INDEX(Raw_D3!$J$2:$J$1001,$AR726),"")))</f>
        <v>0.34</v>
      </c>
      <c r="K726" s="17">
        <f>IF($A726="","",IF($AQ726&lt;&gt;"",IF(INDEX(Raw_D2!$C$2:$C$1001,$AQ726)="","",INDEX(Raw_D2!$C$2:$C$1001,$AQ726)),IF($AR726&lt;&gt;"",IF(INDEX(Raw_D3!$K$2:$K$1001,$AR726)="","",INDEX(Raw_D3!$K$2:$K$1001,$AR726)),"")))</f>
        <v>0.3333</v>
      </c>
      <c r="L726" s="16">
        <f>IF($A726="","",IF($AQ726&lt;&gt;"",IF(INDEX(Raw_D2!$D$2:$D$1001,$AQ726)="","",INDEX(Raw_D2!$D$2:$D$1001,$AQ726)),IF($AR726&lt;&gt;"",IF(INDEX(Raw_D3!$L$2:$L$1001,$AR726)="","",INDEX(Raw_D3!$L$2:$L$1001,$AR726)),"")))</f>
        <v>0.93</v>
      </c>
      <c r="M726" s="17">
        <f>IF($A726="","",IF($AQ726&lt;&gt;"",IF(INDEX(Raw_D2!$E$2:$E$1001,$AQ726)="","",INDEX(Raw_D2!$E$2:$E$1001,$AQ726)),IF($AR726&lt;&gt;"",IF(INDEX(Raw_D3!$M$2:$M$1001,$AR726)="","",INDEX(Raw_D3!$M$2:$M$1001,$AR726)),"")))</f>
        <v>0.1642</v>
      </c>
      <c r="N726" s="5">
        <f>IF($A726="","",IF($AQ726&lt;&gt;"",IF(INDEX(Raw_D2!$F$2:$F$1001,$AQ726)="","",INDEX(Raw_D2!$F$2:$F$1001,$AQ726)),IF($AR726&lt;&gt;"",IF(INDEX(Raw_D3!$N$2:$N$1001,$AR726)="","",INDEX(Raw_D3!$N$2:$N$1001,$AR726)),"")))</f>
        <v>1</v>
      </c>
      <c r="O726" s="5">
        <f>IF($A726="","",IF($AQ726&lt;&gt;"",IF(INDEX(Raw_D2!$G$2:$G$1001,$AQ726)="","",INDEX(Raw_D2!$G$2:$G$1001,$AQ726)),IF($AR726&lt;&gt;"",IF(INDEX(Raw_D3!$O$2:$O$1001,$AR726)="","",INDEX(Raw_D3!$O$2:$O$1001,$AR726)),"")))</f>
        <v>74</v>
      </c>
      <c r="P726" s="5">
        <f>IF($A726="","",IF($AQ726&lt;&gt;"",IF(INDEX(Raw_D2!$H$2:$H$1001,$AQ726)="","",INDEX(Raw_D2!$H$2:$H$1001,$AQ726)),IF($AR726&lt;&gt;"",IF(INDEX(Raw_D3!$P$2:$P$1001,$AR726)="","",INDEX(Raw_D3!$P$2:$P$1001,$AR726)),"")))</f>
        <v>75</v>
      </c>
      <c r="Q726" s="5" t="str">
        <f>IF($A726="","",IF(AND($AP726&lt;&gt;"",$AQ726&lt;&gt;""),"D1+D2",IF($AR726&lt;&gt;"","D3","Incomplete")))</f>
        <v>D3</v>
      </c>
      <c r="R726" s="17">
        <f>IF($A726="","",IF($K726="",IF($J726="","",ROUND(Lookups!$K$5+Lookups!$K$4*$J726,4)),$K726))</f>
        <v>0.3333</v>
      </c>
      <c r="S726" s="5" t="str">
        <f>IF($A726="","",IF($K726="","Imputed","Original"))</f>
        <v>Original</v>
      </c>
      <c r="T726" s="5" t="str">
        <f>IF($A726="","",IF($P726="","Missing",IF($P726=$N726+$O726,"OK","Mismatch")))</f>
        <v>OK</v>
      </c>
      <c r="U726" s="5" t="str">
        <f>IF($A726="","",IF(COUNTIF($A$2:$A726,$A726)&gt;1,"Duplicate","Unique"))</f>
        <v>Unique</v>
      </c>
      <c r="V726" s="5">
        <f>IF($A726="","",IF(AND($U726="Unique",ISNUMBER($P726)),1,0))</f>
        <v>1</v>
      </c>
      <c r="W726" s="5" t="str">
        <f>IF($A726="","",IF(OR($H726=0,$H726=6),"Weekend","Weekday"))</f>
        <v>Weekday</v>
      </c>
      <c r="X726" s="5" t="str">
        <f>IF($A726="","",TEXT($B726,"ddd"))</f>
        <v>Wed</v>
      </c>
      <c r="Y726" s="5" t="str">
        <f>IF($A726="","",TEXT($B726,"mmm"))</f>
        <v>Feb</v>
      </c>
      <c r="Z726" s="5" t="str">
        <f>IF($A726="","",IFERROR(VLOOKUP($C726,Lookups!$D$4:$E$7,2,FALSE),"Unknown"))</f>
        <v>Winter</v>
      </c>
      <c r="AA726" s="5" t="str">
        <f>IF($A726="","",IFERROR(VLOOKUP($I726,Lookups!$A$4:$B$7,2,FALSE),"Unknown"))</f>
        <v>Clear</v>
      </c>
      <c r="AB726" s="5" t="str">
        <f>IF($A726="","",TEXT($F726,"00")&amp;":00")</f>
        <v>13:00</v>
      </c>
      <c r="AC726" s="5" t="str">
        <f>IF($A726="","",VLOOKUP($F726,Lookups!$G$4:$H$8,2,TRUE))</f>
        <v>Midday (10-15)</v>
      </c>
      <c r="AD726" s="18">
        <f>IF($A726="","",IF($J726="","",ROUND($J726*41,1)))</f>
        <v>13.9</v>
      </c>
      <c r="AE726" s="18">
        <f>IF($A726="","",IF($R726="","",ROUND($R726*50,1)))</f>
        <v>16.7</v>
      </c>
      <c r="AF726" s="5">
        <f>IF($A726="","",IF($L726="","",ROUND($L726*100,0)))</f>
        <v>93</v>
      </c>
      <c r="AG726" s="18">
        <f>IF($A726="","",IF($M726="","",ROUND($M726*67,1)))</f>
        <v>11</v>
      </c>
      <c r="AH726" s="19">
        <f>IF($A726="","",IF($P726="","",IF($P726=0,0,$O726/$P726)))</f>
        <v>0.986666666666667</v>
      </c>
      <c r="AI726" s="5" t="str">
        <f>IF($A726="","",IF($P726="","",IF($P726&gt;=Lookups!$K$7,"High",IF($P726&lt;=Lookups!$K$8,"Low","Medium"))))</f>
        <v>Medium</v>
      </c>
      <c r="AJ726" s="5" t="str">
        <f>IF($A726="","",IF($AD726="","",IF($AD726&lt;5,"Under 5 C",IF($AD726&lt;10,"5-10 C",IF($AD726&lt;15,"10-15 C","15 C and above")))))</f>
        <v>10-15 C</v>
      </c>
      <c r="AK726" s="5">
        <f>IF($A726="","",IF($P726="","",$P726^2))</f>
        <v>5625</v>
      </c>
      <c r="AL726" s="18">
        <f>IF($V726&lt;&gt;1,"",AVERAGEIFS(Clean_Data!$P$2:$P$1001,Clean_Data!$F$2:$F$1001,$F726,Clean_Data!$W$2:$W$1001,$W726,Clean_Data!$V$2:$V$1001,1))</f>
        <v>67.1724137931034</v>
      </c>
      <c r="AM726" s="16">
        <f>IF($V726&lt;&gt;1,"",IFERROR(($P726-$AL726)/SQRT(MAX(0,(SUMIFS(Clean_Data!$AK$2:$AK$1001,Clean_Data!$F$2:$F$1001,$F726,Clean_Data!$W$2:$W$1001,$W726,Clean_Data!$V$2:$V$1001,1)-COUNTIFS(Clean_Data!$F$2:$F$1001,$F726,Clean_Data!$W$2:$W$1001,$W726,Clean_Data!$V$2:$V$1001,1)*$AL726^2)/(COUNTIFS(Clean_Data!$F$2:$F$1001,$F726,Clean_Data!$W$2:$W$1001,$W726,Clean_Data!$V$2:$V$1001,1)-1))),""))</f>
        <v>0.387656679356148</v>
      </c>
      <c r="AN726" s="5" t="str">
        <f>IF($AM726="","",IF($AM726&gt;=Lookups!$K$6,"High spike",IF($AM726&lt;=-Lookups!$K$6,"Unusual low","Normal")))</f>
        <v>Normal</v>
      </c>
      <c r="AO726" s="20">
        <f>IF($V726&lt;&gt;1,"",$P726+ROW()/100000)</f>
        <v>75.00726</v>
      </c>
      <c r="AP726" s="5">
        <f>IF($A726="","",IFERROR(MATCH($A726,Raw_D1!$A$2:$A$1001,0),""))</f>
        <v/>
      </c>
      <c r="AQ726" s="5">
        <f>IF($A726="","",IFERROR(MATCH($A726,Raw_D2!$B$2:$B$1001,0),""))</f>
        <v/>
      </c>
      <c r="AR726" s="5">
        <f>IF($A726="","",IFERROR(MATCH($A726,Raw_D3!$A$2:$A$1001,0),""))</f>
        <v>106</v>
      </c>
    </row>
    <row r="727" spans="1:44" x14ac:dyDescent="0.25">
      <c r="A727" s="5">
        <v>726</v>
      </c>
      <c r="B727" s="11">
        <f>IF($A727="","",IF($AP727&lt;&gt;"",INDEX(Raw_D1!$B$2:$B$1001,$AP727),IF($AR727&lt;&gt;"",INDEX(Raw_D3!$B$2:$B$1001,$AR727),"")))</f>
        <v>40576.0</v>
      </c>
      <c r="C727" s="5">
        <f>IF($A727="","",IF($AP727&lt;&gt;"",INDEX(Raw_D1!$C$2:$C$1001,$AP727),IF($AR727&lt;&gt;"",INDEX(Raw_D3!$C$2:$C$1001,$AR727),"")))</f>
        <v>1</v>
      </c>
      <c r="D727" s="5">
        <f>IF($A727="","",IF($AP727&lt;&gt;"",INDEX(Raw_D1!$D$2:$D$1001,$AP727),IF($AR727&lt;&gt;"",INDEX(Raw_D3!$D$2:$D$1001,$AR727),"")))</f>
        <v>0</v>
      </c>
      <c r="E727" s="5">
        <f>IF($A727="","",IF($AP727&lt;&gt;"",INDEX(Raw_D1!$E$2:$E$1001,$AP727),IF($AR727&lt;&gt;"",INDEX(Raw_D3!$E$2:$E$1001,$AR727),"")))</f>
        <v>2</v>
      </c>
      <c r="F727" s="5">
        <f>IF($A727="","",IF($AP727&lt;&gt;"",INDEX(Raw_D1!$F$2:$F$1001,$AP727),IF($AR727&lt;&gt;"",INDEX(Raw_D3!$F$2:$F$1001,$AR727),"")))</f>
        <v>14</v>
      </c>
      <c r="G727" s="5">
        <f>IF($A727="","",IF($AP727&lt;&gt;"",IF(INDEX(Raw_D1!$G$2:$G$1001,$AP727),1,0),IF($AR727&lt;&gt;"",IF(INDEX(Raw_D3!$G$2:$G$1001,$AR727),1,0),"")))</f>
        <v>0</v>
      </c>
      <c r="H727" s="5">
        <f>IF($A727="","",IF($AP727&lt;&gt;"",INDEX(Raw_D1!$H$2:$H$1001,$AP727),IF($AR727&lt;&gt;"",INDEX(Raw_D3!$H$2:$H$1001,$AR727),"")))</f>
        <v>3</v>
      </c>
      <c r="I727" s="5">
        <f>IF($A727="","",IF($AP727&lt;&gt;"",INDEX(Raw_D1!$I$2:$I$1001,$AP727),IF($AR727&lt;&gt;"",INDEX(Raw_D3!$I$2:$I$1001,$AR727),"")))</f>
        <v>1</v>
      </c>
      <c r="J727" s="16">
        <f>IF($A727="","",IF($AP727&lt;&gt;"",INDEX(Raw_D1!$J$2:$J$1001,$AP727),IF($AR727&lt;&gt;"",INDEX(Raw_D3!$J$2:$J$1001,$AR727),"")))</f>
        <v>0.38</v>
      </c>
      <c r="K727" s="17">
        <f>IF($A727="","",IF($AQ727&lt;&gt;"",IF(INDEX(Raw_D2!$C$2:$C$1001,$AQ727)="","",INDEX(Raw_D2!$C$2:$C$1001,$AQ727)),IF($AR727&lt;&gt;"",IF(INDEX(Raw_D3!$K$2:$K$1001,$AR727)="","",INDEX(Raw_D3!$K$2:$K$1001,$AR727)),"")))</f>
        <v>0.3939</v>
      </c>
      <c r="L727" s="16">
        <f>IF($A727="","",IF($AQ727&lt;&gt;"",IF(INDEX(Raw_D2!$D$2:$D$1001,$AQ727)="","",INDEX(Raw_D2!$D$2:$D$1001,$AQ727)),IF($AR727&lt;&gt;"",IF(INDEX(Raw_D3!$L$2:$L$1001,$AR727)="","",INDEX(Raw_D3!$L$2:$L$1001,$AR727)),"")))</f>
        <v>0.82</v>
      </c>
      <c r="M727" s="17">
        <f>IF($A727="","",IF($AQ727&lt;&gt;"",IF(INDEX(Raw_D2!$E$2:$E$1001,$AQ727)="","",INDEX(Raw_D2!$E$2:$E$1001,$AQ727)),IF($AR727&lt;&gt;"",IF(INDEX(Raw_D3!$M$2:$M$1001,$AR727)="","",INDEX(Raw_D3!$M$2:$M$1001,$AR727)),"")))</f>
        <v>0.3881</v>
      </c>
      <c r="N727" s="5">
        <f>IF($A727="","",IF($AQ727&lt;&gt;"",IF(INDEX(Raw_D2!$F$2:$F$1001,$AQ727)="","",INDEX(Raw_D2!$F$2:$F$1001,$AQ727)),IF($AR727&lt;&gt;"",IF(INDEX(Raw_D3!$N$2:$N$1001,$AR727)="","",INDEX(Raw_D3!$N$2:$N$1001,$AR727)),"")))</f>
        <v>2</v>
      </c>
      <c r="O727" s="5">
        <f>IF($A727="","",IF($AQ727&lt;&gt;"",IF(INDEX(Raw_D2!$G$2:$G$1001,$AQ727)="","",INDEX(Raw_D2!$G$2:$G$1001,$AQ727)),IF($AR727&lt;&gt;"",IF(INDEX(Raw_D3!$O$2:$O$1001,$AR727)="","",INDEX(Raw_D3!$O$2:$O$1001,$AR727)),"")))</f>
        <v>61</v>
      </c>
      <c r="P727" s="5">
        <f>IF($A727="","",IF($AQ727&lt;&gt;"",IF(INDEX(Raw_D2!$H$2:$H$1001,$AQ727)="","",INDEX(Raw_D2!$H$2:$H$1001,$AQ727)),IF($AR727&lt;&gt;"",IF(INDEX(Raw_D3!$P$2:$P$1001,$AR727)="","",INDEX(Raw_D3!$P$2:$P$1001,$AR727)),"")))</f>
        <v>63</v>
      </c>
      <c r="Q727" s="5" t="str">
        <f>IF($A727="","",IF(AND($AP727&lt;&gt;"",$AQ727&lt;&gt;""),"D1+D2",IF($AR727&lt;&gt;"","D3","Incomplete")))</f>
        <v>D3</v>
      </c>
      <c r="R727" s="17">
        <f>IF($A727="","",IF($K727="",IF($J727="","",ROUND(Lookups!$K$5+Lookups!$K$4*$J727,4)),$K727))</f>
        <v>0.3939</v>
      </c>
      <c r="S727" s="5" t="str">
        <f>IF($A727="","",IF($K727="","Imputed","Original"))</f>
        <v>Original</v>
      </c>
      <c r="T727" s="5" t="str">
        <f>IF($A727="","",IF($P727="","Missing",IF($P727=$N727+$O727,"OK","Mismatch")))</f>
        <v>OK</v>
      </c>
      <c r="U727" s="5" t="str">
        <f>IF($A727="","",IF(COUNTIF($A$2:$A727,$A727)&gt;1,"Duplicate","Unique"))</f>
        <v>Unique</v>
      </c>
      <c r="V727" s="5">
        <f>IF($A727="","",IF(AND($U727="Unique",ISNUMBER($P727)),1,0))</f>
        <v>1</v>
      </c>
      <c r="W727" s="5" t="str">
        <f>IF($A727="","",IF(OR($H727=0,$H727=6),"Weekend","Weekday"))</f>
        <v>Weekday</v>
      </c>
      <c r="X727" s="5" t="str">
        <f>IF($A727="","",TEXT($B727,"ddd"))</f>
        <v>Wed</v>
      </c>
      <c r="Y727" s="5" t="str">
        <f>IF($A727="","",TEXT($B727,"mmm"))</f>
        <v>Feb</v>
      </c>
      <c r="Z727" s="5" t="str">
        <f>IF($A727="","",IFERROR(VLOOKUP($C727,Lookups!$D$4:$E$7,2,FALSE),"Unknown"))</f>
        <v>Winter</v>
      </c>
      <c r="AA727" s="5" t="str">
        <f>IF($A727="","",IFERROR(VLOOKUP($I727,Lookups!$A$4:$B$7,2,FALSE),"Unknown"))</f>
        <v>Clear</v>
      </c>
      <c r="AB727" s="5" t="str">
        <f>IF($A727="","",TEXT($F727,"00")&amp;":00")</f>
        <v>14:00</v>
      </c>
      <c r="AC727" s="5" t="str">
        <f>IF($A727="","",VLOOKUP($F727,Lookups!$G$4:$H$8,2,TRUE))</f>
        <v>Midday (10-15)</v>
      </c>
      <c r="AD727" s="18">
        <f>IF($A727="","",IF($J727="","",ROUND($J727*41,1)))</f>
        <v>15.6</v>
      </c>
      <c r="AE727" s="18">
        <f>IF($A727="","",IF($R727="","",ROUND($R727*50,1)))</f>
        <v>19.7</v>
      </c>
      <c r="AF727" s="5">
        <f>IF($A727="","",IF($L727="","",ROUND($L727*100,0)))</f>
        <v>82</v>
      </c>
      <c r="AG727" s="18">
        <f>IF($A727="","",IF($M727="","",ROUND($M727*67,1)))</f>
        <v>26</v>
      </c>
      <c r="AH727" s="19">
        <f>IF($A727="","",IF($P727="","",IF($P727=0,0,$O727/$P727)))</f>
        <v>0.968253968253968</v>
      </c>
      <c r="AI727" s="5" t="str">
        <f>IF($A727="","",IF($P727="","",IF($P727&gt;=Lookups!$K$7,"High",IF($P727&lt;=Lookups!$K$8,"Low","Medium"))))</f>
        <v>Medium</v>
      </c>
      <c r="AJ727" s="5" t="str">
        <f>IF($A727="","",IF($AD727="","",IF($AD727&lt;5,"Under 5 C",IF($AD727&lt;10,"5-10 C",IF($AD727&lt;15,"10-15 C","15 C and above")))))</f>
        <v>15 C and above</v>
      </c>
      <c r="AK727" s="5">
        <f>IF($A727="","",IF($P727="","",$P727^2))</f>
        <v>3969</v>
      </c>
      <c r="AL727" s="18">
        <f>IF($V727&lt;&gt;1,"",AVERAGEIFS(Clean_Data!$P$2:$P$1001,Clean_Data!$F$2:$F$1001,$F727,Clean_Data!$W$2:$W$1001,$W727,Clean_Data!$V$2:$V$1001,1))</f>
        <v>60.551724137931</v>
      </c>
      <c r="AM727" s="16">
        <f>IF($V727&lt;&gt;1,"",IFERROR(($P727-$AL727)/SQRT(MAX(0,(SUMIFS(Clean_Data!$AK$2:$AK$1001,Clean_Data!$F$2:$F$1001,$F727,Clean_Data!$W$2:$W$1001,$W727,Clean_Data!$V$2:$V$1001,1)-COUNTIFS(Clean_Data!$F$2:$F$1001,$F727,Clean_Data!$W$2:$W$1001,$W727,Clean_Data!$V$2:$V$1001,1)*$AL727^2)/(COUNTIFS(Clean_Data!$F$2:$F$1001,$F727,Clean_Data!$W$2:$W$1001,$W727,Clean_Data!$V$2:$V$1001,1)-1))),""))</f>
        <v>0.14882838935004</v>
      </c>
      <c r="AN727" s="5" t="str">
        <f>IF($AM727="","",IF($AM727&gt;=Lookups!$K$6,"High spike",IF($AM727&lt;=-Lookups!$K$6,"Unusual low","Normal")))</f>
        <v>Normal</v>
      </c>
      <c r="AO727" s="20">
        <f>IF($V727&lt;&gt;1,"",$P727+ROW()/100000)</f>
        <v>63.00727</v>
      </c>
      <c r="AP727" s="5">
        <f>IF($A727="","",IFERROR(MATCH($A727,Raw_D1!$A$2:$A$1001,0),""))</f>
        <v/>
      </c>
      <c r="AQ727" s="5">
        <f>IF($A727="","",IFERROR(MATCH($A727,Raw_D2!$B$2:$B$1001,0),""))</f>
        <v/>
      </c>
      <c r="AR727" s="5">
        <f>IF($A727="","",IFERROR(MATCH($A727,Raw_D3!$A$2:$A$1001,0),""))</f>
        <v>107</v>
      </c>
    </row>
    <row r="728" spans="1:44" x14ac:dyDescent="0.25">
      <c r="A728" s="5">
        <v>727</v>
      </c>
      <c r="B728" s="11">
        <f>IF($A728="","",IF($AP728&lt;&gt;"",INDEX(Raw_D1!$B$2:$B$1001,$AP728),IF($AR728&lt;&gt;"",INDEX(Raw_D3!$B$2:$B$1001,$AR728),"")))</f>
        <v>40576.0</v>
      </c>
      <c r="C728" s="5">
        <f>IF($A728="","",IF($AP728&lt;&gt;"",INDEX(Raw_D1!$C$2:$C$1001,$AP728),IF($AR728&lt;&gt;"",INDEX(Raw_D3!$C$2:$C$1001,$AR728),"")))</f>
        <v>1</v>
      </c>
      <c r="D728" s="5">
        <f>IF($A728="","",IF($AP728&lt;&gt;"",INDEX(Raw_D1!$D$2:$D$1001,$AP728),IF($AR728&lt;&gt;"",INDEX(Raw_D3!$D$2:$D$1001,$AR728),"")))</f>
        <v>0</v>
      </c>
      <c r="E728" s="5">
        <f>IF($A728="","",IF($AP728&lt;&gt;"",INDEX(Raw_D1!$E$2:$E$1001,$AP728),IF($AR728&lt;&gt;"",INDEX(Raw_D3!$E$2:$E$1001,$AR728),"")))</f>
        <v>2</v>
      </c>
      <c r="F728" s="5">
        <f>IF($A728="","",IF($AP728&lt;&gt;"",INDEX(Raw_D1!$F$2:$F$1001,$AP728),IF($AR728&lt;&gt;"",INDEX(Raw_D3!$F$2:$F$1001,$AR728),"")))</f>
        <v>15</v>
      </c>
      <c r="G728" s="5">
        <f>IF($A728="","",IF($AP728&lt;&gt;"",IF(INDEX(Raw_D1!$G$2:$G$1001,$AP728),1,0),IF($AR728&lt;&gt;"",IF(INDEX(Raw_D3!$G$2:$G$1001,$AR728),1,0),"")))</f>
        <v>0</v>
      </c>
      <c r="H728" s="5">
        <f>IF($A728="","",IF($AP728&lt;&gt;"",INDEX(Raw_D1!$H$2:$H$1001,$AP728),IF($AR728&lt;&gt;"",INDEX(Raw_D3!$H$2:$H$1001,$AR728),"")))</f>
        <v>3</v>
      </c>
      <c r="I728" s="5">
        <f>IF($A728="","",IF($AP728&lt;&gt;"",INDEX(Raw_D1!$I$2:$I$1001,$AP728),IF($AR728&lt;&gt;"",INDEX(Raw_D3!$I$2:$I$1001,$AR728),"")))</f>
        <v>1</v>
      </c>
      <c r="J728" s="16">
        <f>IF($A728="","",IF($AP728&lt;&gt;"",INDEX(Raw_D1!$J$2:$J$1001,$AP728),IF($AR728&lt;&gt;"",INDEX(Raw_D3!$J$2:$J$1001,$AR728),"")))</f>
        <v>0.38</v>
      </c>
      <c r="K728" s="17">
        <f>IF($A728="","",IF($AQ728&lt;&gt;"",IF(INDEX(Raw_D2!$C$2:$C$1001,$AQ728)="","",INDEX(Raw_D2!$C$2:$C$1001,$AQ728)),IF($AR728&lt;&gt;"",IF(INDEX(Raw_D3!$K$2:$K$1001,$AR728)="","",INDEX(Raw_D3!$K$2:$K$1001,$AR728)),"")))</f>
        <v>0.3939</v>
      </c>
      <c r="L728" s="16">
        <f>IF($A728="","",IF($AQ728&lt;&gt;"",IF(INDEX(Raw_D2!$D$2:$D$1001,$AQ728)="","",INDEX(Raw_D2!$D$2:$D$1001,$AQ728)),IF($AR728&lt;&gt;"",IF(INDEX(Raw_D3!$L$2:$L$1001,$AR728)="","",INDEX(Raw_D3!$L$2:$L$1001,$AR728)),"")))</f>
        <v>0.76</v>
      </c>
      <c r="M728" s="17">
        <f>IF($A728="","",IF($AQ728&lt;&gt;"",IF(INDEX(Raw_D2!$E$2:$E$1001,$AQ728)="","",INDEX(Raw_D2!$E$2:$E$1001,$AQ728)),IF($AR728&lt;&gt;"",IF(INDEX(Raw_D3!$M$2:$M$1001,$AR728)="","",INDEX(Raw_D3!$M$2:$M$1001,$AR728)),"")))</f>
        <v>0.3284</v>
      </c>
      <c r="N728" s="5">
        <f>IF($A728="","",IF($AQ728&lt;&gt;"",IF(INDEX(Raw_D2!$F$2:$F$1001,$AQ728)="","",INDEX(Raw_D2!$F$2:$F$1001,$AQ728)),IF($AR728&lt;&gt;"",IF(INDEX(Raw_D3!$N$2:$N$1001,$AR728)="","",INDEX(Raw_D3!$N$2:$N$1001,$AR728)),"")))</f>
        <v>10</v>
      </c>
      <c r="O728" s="5">
        <f>IF($A728="","",IF($AQ728&lt;&gt;"",IF(INDEX(Raw_D2!$G$2:$G$1001,$AQ728)="","",INDEX(Raw_D2!$G$2:$G$1001,$AQ728)),IF($AR728&lt;&gt;"",IF(INDEX(Raw_D3!$O$2:$O$1001,$AR728)="","",INDEX(Raw_D3!$O$2:$O$1001,$AR728)),"")))</f>
        <v>66</v>
      </c>
      <c r="P728" s="5">
        <f>IF($A728="","",IF($AQ728&lt;&gt;"",IF(INDEX(Raw_D2!$H$2:$H$1001,$AQ728)="","",INDEX(Raw_D2!$H$2:$H$1001,$AQ728)),IF($AR728&lt;&gt;"",IF(INDEX(Raw_D3!$P$2:$P$1001,$AR728)="","",INDEX(Raw_D3!$P$2:$P$1001,$AR728)),"")))</f>
        <v>76</v>
      </c>
      <c r="Q728" s="5" t="str">
        <f>IF($A728="","",IF(AND($AP728&lt;&gt;"",$AQ728&lt;&gt;""),"D1+D2",IF($AR728&lt;&gt;"","D3","Incomplete")))</f>
        <v>D3</v>
      </c>
      <c r="R728" s="17">
        <f>IF($A728="","",IF($K728="",IF($J728="","",ROUND(Lookups!$K$5+Lookups!$K$4*$J728,4)),$K728))</f>
        <v>0.3939</v>
      </c>
      <c r="S728" s="5" t="str">
        <f>IF($A728="","",IF($K728="","Imputed","Original"))</f>
        <v>Original</v>
      </c>
      <c r="T728" s="5" t="str">
        <f>IF($A728="","",IF($P728="","Missing",IF($P728=$N728+$O728,"OK","Mismatch")))</f>
        <v>OK</v>
      </c>
      <c r="U728" s="5" t="str">
        <f>IF($A728="","",IF(COUNTIF($A$2:$A728,$A728)&gt;1,"Duplicate","Unique"))</f>
        <v>Unique</v>
      </c>
      <c r="V728" s="5">
        <f>IF($A728="","",IF(AND($U728="Unique",ISNUMBER($P728)),1,0))</f>
        <v>1</v>
      </c>
      <c r="W728" s="5" t="str">
        <f>IF($A728="","",IF(OR($H728=0,$H728=6),"Weekend","Weekday"))</f>
        <v>Weekday</v>
      </c>
      <c r="X728" s="5" t="str">
        <f>IF($A728="","",TEXT($B728,"ddd"))</f>
        <v>Wed</v>
      </c>
      <c r="Y728" s="5" t="str">
        <f>IF($A728="","",TEXT($B728,"mmm"))</f>
        <v>Feb</v>
      </c>
      <c r="Z728" s="5" t="str">
        <f>IF($A728="","",IFERROR(VLOOKUP($C728,Lookups!$D$4:$E$7,2,FALSE),"Unknown"))</f>
        <v>Winter</v>
      </c>
      <c r="AA728" s="5" t="str">
        <f>IF($A728="","",IFERROR(VLOOKUP($I728,Lookups!$A$4:$B$7,2,FALSE),"Unknown"))</f>
        <v>Clear</v>
      </c>
      <c r="AB728" s="5" t="str">
        <f>IF($A728="","",TEXT($F728,"00")&amp;":00")</f>
        <v>15:00</v>
      </c>
      <c r="AC728" s="5" t="str">
        <f>IF($A728="","",VLOOKUP($F728,Lookups!$G$4:$H$8,2,TRUE))</f>
        <v>Midday (10-15)</v>
      </c>
      <c r="AD728" s="18">
        <f>IF($A728="","",IF($J728="","",ROUND($J728*41,1)))</f>
        <v>15.6</v>
      </c>
      <c r="AE728" s="18">
        <f>IF($A728="","",IF($R728="","",ROUND($R728*50,1)))</f>
        <v>19.7</v>
      </c>
      <c r="AF728" s="5">
        <f>IF($A728="","",IF($L728="","",ROUND($L728*100,0)))</f>
        <v>76</v>
      </c>
      <c r="AG728" s="18">
        <f>IF($A728="","",IF($M728="","",ROUND($M728*67,1)))</f>
        <v>22</v>
      </c>
      <c r="AH728" s="19">
        <f>IF($A728="","",IF($P728="","",IF($P728=0,0,$O728/$P728)))</f>
        <v>0.868421052631579</v>
      </c>
      <c r="AI728" s="5" t="str">
        <f>IF($A728="","",IF($P728="","",IF($P728&gt;=Lookups!$K$7,"High",IF($P728&lt;=Lookups!$K$8,"Low","Medium"))))</f>
        <v>Medium</v>
      </c>
      <c r="AJ728" s="5" t="str">
        <f>IF($A728="","",IF($AD728="","",IF($AD728&lt;5,"Under 5 C",IF($AD728&lt;10,"5-10 C",IF($AD728&lt;15,"10-15 C","15 C and above")))))</f>
        <v>15 C and above</v>
      </c>
      <c r="AK728" s="5">
        <f>IF($A728="","",IF($P728="","",$P728^2))</f>
        <v>5776</v>
      </c>
      <c r="AL728" s="18">
        <f>IF($V728&lt;&gt;1,"",AVERAGEIFS(Clean_Data!$P$2:$P$1001,Clean_Data!$F$2:$F$1001,$F728,Clean_Data!$W$2:$W$1001,$W728,Clean_Data!$V$2:$V$1001,1))</f>
        <v>61.4827586206897</v>
      </c>
      <c r="AM728" s="16">
        <f>IF($V728&lt;&gt;1,"",IFERROR(($P728-$AL728)/SQRT(MAX(0,(SUMIFS(Clean_Data!$AK$2:$AK$1001,Clean_Data!$F$2:$F$1001,$F728,Clean_Data!$W$2:$W$1001,$W728,Clean_Data!$V$2:$V$1001,1)-COUNTIFS(Clean_Data!$F$2:$F$1001,$F728,Clean_Data!$W$2:$W$1001,$W728,Clean_Data!$V$2:$V$1001,1)*$AL728^2)/(COUNTIFS(Clean_Data!$F$2:$F$1001,$F728,Clean_Data!$W$2:$W$1001,$W728,Clean_Data!$V$2:$V$1001,1)-1))),""))</f>
        <v>0.96299473943128</v>
      </c>
      <c r="AN728" s="5" t="str">
        <f>IF($AM728="","",IF($AM728&gt;=Lookups!$K$6,"High spike",IF($AM728&lt;=-Lookups!$K$6,"Unusual low","Normal")))</f>
        <v>Normal</v>
      </c>
      <c r="AO728" s="20">
        <f>IF($V728&lt;&gt;1,"",$P728+ROW()/100000)</f>
        <v>76.00728</v>
      </c>
      <c r="AP728" s="5">
        <f>IF($A728="","",IFERROR(MATCH($A728,Raw_D1!$A$2:$A$1001,0),""))</f>
        <v/>
      </c>
      <c r="AQ728" s="5">
        <f>IF($A728="","",IFERROR(MATCH($A728,Raw_D2!$B$2:$B$1001,0),""))</f>
        <v/>
      </c>
      <c r="AR728" s="5">
        <f>IF($A728="","",IFERROR(MATCH($A728,Raw_D3!$A$2:$A$1001,0),""))</f>
        <v>108</v>
      </c>
    </row>
    <row r="729" spans="1:44" x14ac:dyDescent="0.25">
      <c r="A729" s="5">
        <v>728</v>
      </c>
      <c r="B729" s="11">
        <f>IF($A729="","",IF($AP729&lt;&gt;"",INDEX(Raw_D1!$B$2:$B$1001,$AP729),IF($AR729&lt;&gt;"",INDEX(Raw_D3!$B$2:$B$1001,$AR729),"")))</f>
        <v>40576.0</v>
      </c>
      <c r="C729" s="5">
        <f>IF($A729="","",IF($AP729&lt;&gt;"",INDEX(Raw_D1!$C$2:$C$1001,$AP729),IF($AR729&lt;&gt;"",INDEX(Raw_D3!$C$2:$C$1001,$AR729),"")))</f>
        <v>1</v>
      </c>
      <c r="D729" s="5">
        <f>IF($A729="","",IF($AP729&lt;&gt;"",INDEX(Raw_D1!$D$2:$D$1001,$AP729),IF($AR729&lt;&gt;"",INDEX(Raw_D3!$D$2:$D$1001,$AR729),"")))</f>
        <v>0</v>
      </c>
      <c r="E729" s="5">
        <f>IF($A729="","",IF($AP729&lt;&gt;"",INDEX(Raw_D1!$E$2:$E$1001,$AP729),IF($AR729&lt;&gt;"",INDEX(Raw_D3!$E$2:$E$1001,$AR729),"")))</f>
        <v>2</v>
      </c>
      <c r="F729" s="5">
        <f>IF($A729="","",IF($AP729&lt;&gt;"",INDEX(Raw_D1!$F$2:$F$1001,$AP729),IF($AR729&lt;&gt;"",INDEX(Raw_D3!$F$2:$F$1001,$AR729),"")))</f>
        <v>16</v>
      </c>
      <c r="G729" s="5">
        <f>IF($A729="","",IF($AP729&lt;&gt;"",IF(INDEX(Raw_D1!$G$2:$G$1001,$AP729),1,0),IF($AR729&lt;&gt;"",IF(INDEX(Raw_D3!$G$2:$G$1001,$AR729),1,0),"")))</f>
        <v>0</v>
      </c>
      <c r="H729" s="5">
        <f>IF($A729="","",IF($AP729&lt;&gt;"",INDEX(Raw_D1!$H$2:$H$1001,$AP729),IF($AR729&lt;&gt;"",INDEX(Raw_D3!$H$2:$H$1001,$AR729),"")))</f>
        <v>3</v>
      </c>
      <c r="I729" s="5">
        <f>IF($A729="","",IF($AP729&lt;&gt;"",INDEX(Raw_D1!$I$2:$I$1001,$AP729),IF($AR729&lt;&gt;"",INDEX(Raw_D3!$I$2:$I$1001,$AR729),"")))</f>
        <v>1</v>
      </c>
      <c r="J729" s="16">
        <f>IF($A729="","",IF($AP729&lt;&gt;"",INDEX(Raw_D1!$J$2:$J$1001,$AP729),IF($AR729&lt;&gt;"",INDEX(Raw_D3!$J$2:$J$1001,$AR729),"")))</f>
        <v>0.36</v>
      </c>
      <c r="K729" s="17">
        <f>IF($A729="","",IF($AQ729&lt;&gt;"",IF(INDEX(Raw_D2!$C$2:$C$1001,$AQ729)="","",INDEX(Raw_D2!$C$2:$C$1001,$AQ729)),IF($AR729&lt;&gt;"",IF(INDEX(Raw_D3!$K$2:$K$1001,$AR729)="","",INDEX(Raw_D3!$K$2:$K$1001,$AR729)),"")))</f>
        <v>0.3333</v>
      </c>
      <c r="L729" s="16">
        <f>IF($A729="","",IF($AQ729&lt;&gt;"",IF(INDEX(Raw_D2!$D$2:$D$1001,$AQ729)="","",INDEX(Raw_D2!$D$2:$D$1001,$AQ729)),IF($AR729&lt;&gt;"",IF(INDEX(Raw_D3!$L$2:$L$1001,$AR729)="","",INDEX(Raw_D3!$L$2:$L$1001,$AR729)),"")))</f>
        <v>0.71</v>
      </c>
      <c r="M729" s="17">
        <f>IF($A729="","",IF($AQ729&lt;&gt;"",IF(INDEX(Raw_D2!$E$2:$E$1001,$AQ729)="","",INDEX(Raw_D2!$E$2:$E$1001,$AQ729)),IF($AR729&lt;&gt;"",IF(INDEX(Raw_D3!$M$2:$M$1001,$AR729)="","",INDEX(Raw_D3!$M$2:$M$1001,$AR729)),"")))</f>
        <v>0.2985</v>
      </c>
      <c r="N729" s="5">
        <f>IF($A729="","",IF($AQ729&lt;&gt;"",IF(INDEX(Raw_D2!$F$2:$F$1001,$AQ729)="","",INDEX(Raw_D2!$F$2:$F$1001,$AQ729)),IF($AR729&lt;&gt;"",IF(INDEX(Raw_D3!$N$2:$N$1001,$AR729)="","",INDEX(Raw_D3!$N$2:$N$1001,$AR729)),"")))</f>
        <v>8</v>
      </c>
      <c r="O729" s="5">
        <f>IF($A729="","",IF($AQ729&lt;&gt;"",IF(INDEX(Raw_D2!$G$2:$G$1001,$AQ729)="","",INDEX(Raw_D2!$G$2:$G$1001,$AQ729)),IF($AR729&lt;&gt;"",IF(INDEX(Raw_D3!$O$2:$O$1001,$AR729)="","",INDEX(Raw_D3!$O$2:$O$1001,$AR729)),"")))</f>
        <v>95</v>
      </c>
      <c r="P729" s="5">
        <f>IF($A729="","",IF($AQ729&lt;&gt;"",IF(INDEX(Raw_D2!$H$2:$H$1001,$AQ729)="","",INDEX(Raw_D2!$H$2:$H$1001,$AQ729)),IF($AR729&lt;&gt;"",IF(INDEX(Raw_D3!$P$2:$P$1001,$AR729)="","",INDEX(Raw_D3!$P$2:$P$1001,$AR729)),"")))</f>
        <v>103</v>
      </c>
      <c r="Q729" s="5" t="str">
        <f>IF($A729="","",IF(AND($AP729&lt;&gt;"",$AQ729&lt;&gt;""),"D1+D2",IF($AR729&lt;&gt;"","D3","Incomplete")))</f>
        <v>D3</v>
      </c>
      <c r="R729" s="17">
        <f>IF($A729="","",IF($K729="",IF($J729="","",ROUND(Lookups!$K$5+Lookups!$K$4*$J729,4)),$K729))</f>
        <v>0.3333</v>
      </c>
      <c r="S729" s="5" t="str">
        <f>IF($A729="","",IF($K729="","Imputed","Original"))</f>
        <v>Original</v>
      </c>
      <c r="T729" s="5" t="str">
        <f>IF($A729="","",IF($P729="","Missing",IF($P729=$N729+$O729,"OK","Mismatch")))</f>
        <v>OK</v>
      </c>
      <c r="U729" s="5" t="str">
        <f>IF($A729="","",IF(COUNTIF($A$2:$A729,$A729)&gt;1,"Duplicate","Unique"))</f>
        <v>Unique</v>
      </c>
      <c r="V729" s="5">
        <f>IF($A729="","",IF(AND($U729="Unique",ISNUMBER($P729)),1,0))</f>
        <v>1</v>
      </c>
      <c r="W729" s="5" t="str">
        <f>IF($A729="","",IF(OR($H729=0,$H729=6),"Weekend","Weekday"))</f>
        <v>Weekday</v>
      </c>
      <c r="X729" s="5" t="str">
        <f>IF($A729="","",TEXT($B729,"ddd"))</f>
        <v>Wed</v>
      </c>
      <c r="Y729" s="5" t="str">
        <f>IF($A729="","",TEXT($B729,"mmm"))</f>
        <v>Feb</v>
      </c>
      <c r="Z729" s="5" t="str">
        <f>IF($A729="","",IFERROR(VLOOKUP($C729,Lookups!$D$4:$E$7,2,FALSE),"Unknown"))</f>
        <v>Winter</v>
      </c>
      <c r="AA729" s="5" t="str">
        <f>IF($A729="","",IFERROR(VLOOKUP($I729,Lookups!$A$4:$B$7,2,FALSE),"Unknown"))</f>
        <v>Clear</v>
      </c>
      <c r="AB729" s="5" t="str">
        <f>IF($A729="","",TEXT($F729,"00")&amp;":00")</f>
        <v>16:00</v>
      </c>
      <c r="AC729" s="5" t="str">
        <f>IF($A729="","",VLOOKUP($F729,Lookups!$G$4:$H$8,2,TRUE))</f>
        <v>Evening Peak (16-19)</v>
      </c>
      <c r="AD729" s="18">
        <f>IF($A729="","",IF($J729="","",ROUND($J729*41,1)))</f>
        <v>14.8</v>
      </c>
      <c r="AE729" s="18">
        <f>IF($A729="","",IF($R729="","",ROUND($R729*50,1)))</f>
        <v>16.7</v>
      </c>
      <c r="AF729" s="5">
        <f>IF($A729="","",IF($L729="","",ROUND($L729*100,0)))</f>
        <v>71</v>
      </c>
      <c r="AG729" s="18">
        <f>IF($A729="","",IF($M729="","",ROUND($M729*67,1)))</f>
        <v>20</v>
      </c>
      <c r="AH729" s="19">
        <f>IF($A729="","",IF($P729="","",IF($P729=0,0,$O729/$P729)))</f>
        <v>0.922330097087379</v>
      </c>
      <c r="AI729" s="5" t="str">
        <f>IF($A729="","",IF($P729="","",IF($P729&gt;=Lookups!$K$7,"High",IF($P729&lt;=Lookups!$K$8,"Low","Medium"))))</f>
        <v>High</v>
      </c>
      <c r="AJ729" s="5" t="str">
        <f>IF($A729="","",IF($AD729="","",IF($AD729&lt;5,"Under 5 C",IF($AD729&lt;10,"5-10 C",IF($AD729&lt;15,"10-15 C","15 C and above")))))</f>
        <v>10-15 C</v>
      </c>
      <c r="AK729" s="5">
        <f>IF($A729="","",IF($P729="","",$P729^2))</f>
        <v>10609</v>
      </c>
      <c r="AL729" s="18">
        <f>IF($V729&lt;&gt;1,"",AVERAGEIFS(Clean_Data!$P$2:$P$1001,Clean_Data!$F$2:$F$1001,$F729,Clean_Data!$W$2:$W$1001,$W729,Clean_Data!$V$2:$V$1001,1))</f>
        <v>82.6333333333333</v>
      </c>
      <c r="AM729" s="16">
        <f>IF($V729&lt;&gt;1,"",IFERROR(($P729-$AL729)/SQRT(MAX(0,(SUMIFS(Clean_Data!$AK$2:$AK$1001,Clean_Data!$F$2:$F$1001,$F729,Clean_Data!$W$2:$W$1001,$W729,Clean_Data!$V$2:$V$1001,1)-COUNTIFS(Clean_Data!$F$2:$F$1001,$F729,Clean_Data!$W$2:$W$1001,$W729,Clean_Data!$V$2:$V$1001,1)*$AL729^2)/(COUNTIFS(Clean_Data!$F$2:$F$1001,$F729,Clean_Data!$W$2:$W$1001,$W729,Clean_Data!$V$2:$V$1001,1)-1))),""))</f>
        <v>0.98181495311031</v>
      </c>
      <c r="AN729" s="5" t="str">
        <f>IF($AM729="","",IF($AM729&gt;=Lookups!$K$6,"High spike",IF($AM729&lt;=-Lookups!$K$6,"Unusual low","Normal")))</f>
        <v>Normal</v>
      </c>
      <c r="AO729" s="20">
        <f>IF($V729&lt;&gt;1,"",$P729+ROW()/100000)</f>
        <v>103.00729</v>
      </c>
      <c r="AP729" s="5">
        <f>IF($A729="","",IFERROR(MATCH($A729,Raw_D1!$A$2:$A$1001,0),""))</f>
        <v/>
      </c>
      <c r="AQ729" s="5">
        <f>IF($A729="","",IFERROR(MATCH($A729,Raw_D2!$B$2:$B$1001,0),""))</f>
        <v/>
      </c>
      <c r="AR729" s="5">
        <f>IF($A729="","",IFERROR(MATCH($A729,Raw_D3!$A$2:$A$1001,0),""))</f>
        <v>109</v>
      </c>
    </row>
    <row r="730" spans="1:44" x14ac:dyDescent="0.25">
      <c r="A730" s="5">
        <v>729</v>
      </c>
      <c r="B730" s="11">
        <f>IF($A730="","",IF($AP730&lt;&gt;"",INDEX(Raw_D1!$B$2:$B$1001,$AP730),IF($AR730&lt;&gt;"",INDEX(Raw_D3!$B$2:$B$1001,$AR730),"")))</f>
        <v>40576.0</v>
      </c>
      <c r="C730" s="5">
        <f>IF($A730="","",IF($AP730&lt;&gt;"",INDEX(Raw_D1!$C$2:$C$1001,$AP730),IF($AR730&lt;&gt;"",INDEX(Raw_D3!$C$2:$C$1001,$AR730),"")))</f>
        <v>1</v>
      </c>
      <c r="D730" s="5">
        <f>IF($A730="","",IF($AP730&lt;&gt;"",INDEX(Raw_D1!$D$2:$D$1001,$AP730),IF($AR730&lt;&gt;"",INDEX(Raw_D3!$D$2:$D$1001,$AR730),"")))</f>
        <v>0</v>
      </c>
      <c r="E730" s="5">
        <f>IF($A730="","",IF($AP730&lt;&gt;"",INDEX(Raw_D1!$E$2:$E$1001,$AP730),IF($AR730&lt;&gt;"",INDEX(Raw_D3!$E$2:$E$1001,$AR730),"")))</f>
        <v>2</v>
      </c>
      <c r="F730" s="5">
        <f>IF($A730="","",IF($AP730&lt;&gt;"",INDEX(Raw_D1!$F$2:$F$1001,$AP730),IF($AR730&lt;&gt;"",INDEX(Raw_D3!$F$2:$F$1001,$AR730),"")))</f>
        <v>17</v>
      </c>
      <c r="G730" s="5">
        <f>IF($A730="","",IF($AP730&lt;&gt;"",IF(INDEX(Raw_D1!$G$2:$G$1001,$AP730),1,0),IF($AR730&lt;&gt;"",IF(INDEX(Raw_D3!$G$2:$G$1001,$AR730),1,0),"")))</f>
        <v>0</v>
      </c>
      <c r="H730" s="5">
        <f>IF($A730="","",IF($AP730&lt;&gt;"",INDEX(Raw_D1!$H$2:$H$1001,$AP730),IF($AR730&lt;&gt;"",INDEX(Raw_D3!$H$2:$H$1001,$AR730),"")))</f>
        <v>3</v>
      </c>
      <c r="I730" s="5">
        <f>IF($A730="","",IF($AP730&lt;&gt;"",INDEX(Raw_D1!$I$2:$I$1001,$AP730),IF($AR730&lt;&gt;"",INDEX(Raw_D3!$I$2:$I$1001,$AR730),"")))</f>
        <v>1</v>
      </c>
      <c r="J730" s="16">
        <f>IF($A730="","",IF($AP730&lt;&gt;"",INDEX(Raw_D1!$J$2:$J$1001,$AP730),IF($AR730&lt;&gt;"",INDEX(Raw_D3!$J$2:$J$1001,$AR730),"")))</f>
        <v>0.36</v>
      </c>
      <c r="K730" s="17">
        <f>IF($A730="","",IF($AQ730&lt;&gt;"",IF(INDEX(Raw_D2!$C$2:$C$1001,$AQ730)="","",INDEX(Raw_D2!$C$2:$C$1001,$AQ730)),IF($AR730&lt;&gt;"",IF(INDEX(Raw_D3!$K$2:$K$1001,$AR730)="","",INDEX(Raw_D3!$K$2:$K$1001,$AR730)),"")))</f>
        <v>0.3182</v>
      </c>
      <c r="L730" s="16">
        <f>IF($A730="","",IF($AQ730&lt;&gt;"",IF(INDEX(Raw_D2!$D$2:$D$1001,$AQ730)="","",INDEX(Raw_D2!$D$2:$D$1001,$AQ730)),IF($AR730&lt;&gt;"",IF(INDEX(Raw_D3!$L$2:$L$1001,$AR730)="","",INDEX(Raw_D3!$L$2:$L$1001,$AR730)),"")))</f>
        <v>0.53</v>
      </c>
      <c r="M730" s="17">
        <f>IF($A730="","",IF($AQ730&lt;&gt;"",IF(INDEX(Raw_D2!$E$2:$E$1001,$AQ730)="","",INDEX(Raw_D2!$E$2:$E$1001,$AQ730)),IF($AR730&lt;&gt;"",IF(INDEX(Raw_D3!$M$2:$M$1001,$AR730)="","",INDEX(Raw_D3!$M$2:$M$1001,$AR730)),"")))</f>
        <v>0.5224</v>
      </c>
      <c r="N730" s="5">
        <f>IF($A730="","",IF($AQ730&lt;&gt;"",IF(INDEX(Raw_D2!$F$2:$F$1001,$AQ730)="","",INDEX(Raw_D2!$F$2:$F$1001,$AQ730)),IF($AR730&lt;&gt;"",IF(INDEX(Raw_D3!$N$2:$N$1001,$AR730)="","",INDEX(Raw_D3!$N$2:$N$1001,$AR730)),"")))</f>
        <v>7</v>
      </c>
      <c r="O730" s="5">
        <f>IF($A730="","",IF($AQ730&lt;&gt;"",IF(INDEX(Raw_D2!$G$2:$G$1001,$AQ730)="","",INDEX(Raw_D2!$G$2:$G$1001,$AQ730)),IF($AR730&lt;&gt;"",IF(INDEX(Raw_D3!$O$2:$O$1001,$AR730)="","",INDEX(Raw_D3!$O$2:$O$1001,$AR730)),"")))</f>
        <v>183</v>
      </c>
      <c r="P730" s="5">
        <f>IF($A730="","",IF($AQ730&lt;&gt;"",IF(INDEX(Raw_D2!$H$2:$H$1001,$AQ730)="","",INDEX(Raw_D2!$H$2:$H$1001,$AQ730)),IF($AR730&lt;&gt;"",IF(INDEX(Raw_D3!$P$2:$P$1001,$AR730)="","",INDEX(Raw_D3!$P$2:$P$1001,$AR730)),"")))</f>
        <v>190</v>
      </c>
      <c r="Q730" s="5" t="str">
        <f>IF($A730="","",IF(AND($AP730&lt;&gt;"",$AQ730&lt;&gt;""),"D1+D2",IF($AR730&lt;&gt;"","D3","Incomplete")))</f>
        <v>D3</v>
      </c>
      <c r="R730" s="17">
        <f>IF($A730="","",IF($K730="",IF($J730="","",ROUND(Lookups!$K$5+Lookups!$K$4*$J730,4)),$K730))</f>
        <v>0.3182</v>
      </c>
      <c r="S730" s="5" t="str">
        <f>IF($A730="","",IF($K730="","Imputed","Original"))</f>
        <v>Original</v>
      </c>
      <c r="T730" s="5" t="str">
        <f>IF($A730="","",IF($P730="","Missing",IF($P730=$N730+$O730,"OK","Mismatch")))</f>
        <v>OK</v>
      </c>
      <c r="U730" s="5" t="str">
        <f>IF($A730="","",IF(COUNTIF($A$2:$A730,$A730)&gt;1,"Duplicate","Unique"))</f>
        <v>Unique</v>
      </c>
      <c r="V730" s="5">
        <f>IF($A730="","",IF(AND($U730="Unique",ISNUMBER($P730)),1,0))</f>
        <v>1</v>
      </c>
      <c r="W730" s="5" t="str">
        <f>IF($A730="","",IF(OR($H730=0,$H730=6),"Weekend","Weekday"))</f>
        <v>Weekday</v>
      </c>
      <c r="X730" s="5" t="str">
        <f>IF($A730="","",TEXT($B730,"ddd"))</f>
        <v>Wed</v>
      </c>
      <c r="Y730" s="5" t="str">
        <f>IF($A730="","",TEXT($B730,"mmm"))</f>
        <v>Feb</v>
      </c>
      <c r="Z730" s="5" t="str">
        <f>IF($A730="","",IFERROR(VLOOKUP($C730,Lookups!$D$4:$E$7,2,FALSE),"Unknown"))</f>
        <v>Winter</v>
      </c>
      <c r="AA730" s="5" t="str">
        <f>IF($A730="","",IFERROR(VLOOKUP($I730,Lookups!$A$4:$B$7,2,FALSE),"Unknown"))</f>
        <v>Clear</v>
      </c>
      <c r="AB730" s="5" t="str">
        <f>IF($A730="","",TEXT($F730,"00")&amp;":00")</f>
        <v>17:00</v>
      </c>
      <c r="AC730" s="5" t="str">
        <f>IF($A730="","",VLOOKUP($F730,Lookups!$G$4:$H$8,2,TRUE))</f>
        <v>Evening Peak (16-19)</v>
      </c>
      <c r="AD730" s="18">
        <f>IF($A730="","",IF($J730="","",ROUND($J730*41,1)))</f>
        <v>14.8</v>
      </c>
      <c r="AE730" s="18">
        <f>IF($A730="","",IF($R730="","",ROUND($R730*50,1)))</f>
        <v>15.9</v>
      </c>
      <c r="AF730" s="5">
        <f>IF($A730="","",IF($L730="","",ROUND($L730*100,0)))</f>
        <v>53</v>
      </c>
      <c r="AG730" s="18">
        <f>IF($A730="","",IF($M730="","",ROUND($M730*67,1)))</f>
        <v>35</v>
      </c>
      <c r="AH730" s="19">
        <f>IF($A730="","",IF($P730="","",IF($P730=0,0,$O730/$P730)))</f>
        <v>0.963157894736842</v>
      </c>
      <c r="AI730" s="5" t="str">
        <f>IF($A730="","",IF($P730="","",IF($P730&gt;=Lookups!$K$7,"High",IF($P730&lt;=Lookups!$K$8,"Low","Medium"))))</f>
        <v>High</v>
      </c>
      <c r="AJ730" s="5" t="str">
        <f>IF($A730="","",IF($AD730="","",IF($AD730&lt;5,"Under 5 C",IF($AD730&lt;10,"5-10 C",IF($AD730&lt;15,"10-15 C","15 C and above")))))</f>
        <v>10-15 C</v>
      </c>
      <c r="AK730" s="5">
        <f>IF($A730="","",IF($P730="","",$P730^2))</f>
        <v>36100</v>
      </c>
      <c r="AL730" s="18">
        <f>IF($V730&lt;&gt;1,"",AVERAGEIFS(Clean_Data!$P$2:$P$1001,Clean_Data!$F$2:$F$1001,$F730,Clean_Data!$W$2:$W$1001,$W730,Clean_Data!$V$2:$V$1001,1))</f>
        <v>165.566666666667</v>
      </c>
      <c r="AM730" s="16">
        <f>IF($V730&lt;&gt;1,"",IFERROR(($P730-$AL730)/SQRT(MAX(0,(SUMIFS(Clean_Data!$AK$2:$AK$1001,Clean_Data!$F$2:$F$1001,$F730,Clean_Data!$W$2:$W$1001,$W730,Clean_Data!$V$2:$V$1001,1)-COUNTIFS(Clean_Data!$F$2:$F$1001,$F730,Clean_Data!$W$2:$W$1001,$W730,Clean_Data!$V$2:$V$1001,1)*$AL730^2)/(COUNTIFS(Clean_Data!$F$2:$F$1001,$F730,Clean_Data!$W$2:$W$1001,$W730,Clean_Data!$V$2:$V$1001,1)-1))),""))</f>
        <v>0.555138094099137</v>
      </c>
      <c r="AN730" s="5" t="str">
        <f>IF($AM730="","",IF($AM730&gt;=Lookups!$K$6,"High spike",IF($AM730&lt;=-Lookups!$K$6,"Unusual low","Normal")))</f>
        <v>Normal</v>
      </c>
      <c r="AO730" s="20">
        <f>IF($V730&lt;&gt;1,"",$P730+ROW()/100000)</f>
        <v>190.0073</v>
      </c>
      <c r="AP730" s="5">
        <f>IF($A730="","",IFERROR(MATCH($A730,Raw_D1!$A$2:$A$1001,0),""))</f>
        <v/>
      </c>
      <c r="AQ730" s="5">
        <f>IF($A730="","",IFERROR(MATCH($A730,Raw_D2!$B$2:$B$1001,0),""))</f>
        <v/>
      </c>
      <c r="AR730" s="5">
        <f>IF($A730="","",IFERROR(MATCH($A730,Raw_D3!$A$2:$A$1001,0),""))</f>
        <v>110</v>
      </c>
    </row>
    <row r="731" spans="1:44" x14ac:dyDescent="0.25">
      <c r="A731" s="5">
        <v>730</v>
      </c>
      <c r="B731" s="11">
        <f>IF($A731="","",IF($AP731&lt;&gt;"",INDEX(Raw_D1!$B$2:$B$1001,$AP731),IF($AR731&lt;&gt;"",INDEX(Raw_D3!$B$2:$B$1001,$AR731),"")))</f>
        <v>40576.0</v>
      </c>
      <c r="C731" s="5">
        <f>IF($A731="","",IF($AP731&lt;&gt;"",INDEX(Raw_D1!$C$2:$C$1001,$AP731),IF($AR731&lt;&gt;"",INDEX(Raw_D3!$C$2:$C$1001,$AR731),"")))</f>
        <v>1</v>
      </c>
      <c r="D731" s="5">
        <f>IF($A731="","",IF($AP731&lt;&gt;"",INDEX(Raw_D1!$D$2:$D$1001,$AP731),IF($AR731&lt;&gt;"",INDEX(Raw_D3!$D$2:$D$1001,$AR731),"")))</f>
        <v>0</v>
      </c>
      <c r="E731" s="5">
        <f>IF($A731="","",IF($AP731&lt;&gt;"",INDEX(Raw_D1!$E$2:$E$1001,$AP731),IF($AR731&lt;&gt;"",INDEX(Raw_D3!$E$2:$E$1001,$AR731),"")))</f>
        <v>2</v>
      </c>
      <c r="F731" s="5">
        <f>IF($A731="","",IF($AP731&lt;&gt;"",INDEX(Raw_D1!$F$2:$F$1001,$AP731),IF($AR731&lt;&gt;"",INDEX(Raw_D3!$F$2:$F$1001,$AR731),"")))</f>
        <v>18</v>
      </c>
      <c r="G731" s="5">
        <f>IF($A731="","",IF($AP731&lt;&gt;"",IF(INDEX(Raw_D1!$G$2:$G$1001,$AP731),1,0),IF($AR731&lt;&gt;"",IF(INDEX(Raw_D3!$G$2:$G$1001,$AR731),1,0),"")))</f>
        <v>0</v>
      </c>
      <c r="H731" s="5">
        <f>IF($A731="","",IF($AP731&lt;&gt;"",INDEX(Raw_D1!$H$2:$H$1001,$AP731),IF($AR731&lt;&gt;"",INDEX(Raw_D3!$H$2:$H$1001,$AR731),"")))</f>
        <v>3</v>
      </c>
      <c r="I731" s="5">
        <f>IF($A731="","",IF($AP731&lt;&gt;"",INDEX(Raw_D1!$I$2:$I$1001,$AP731),IF($AR731&lt;&gt;"",INDEX(Raw_D3!$I$2:$I$1001,$AR731),"")))</f>
        <v>1</v>
      </c>
      <c r="J731" s="16">
        <f>IF($A731="","",IF($AP731&lt;&gt;"",INDEX(Raw_D1!$J$2:$J$1001,$AP731),IF($AR731&lt;&gt;"",INDEX(Raw_D3!$J$2:$J$1001,$AR731),"")))</f>
        <v>0.34</v>
      </c>
      <c r="K731" s="17">
        <f>IF($A731="","",IF($AQ731&lt;&gt;"",IF(INDEX(Raw_D2!$C$2:$C$1001,$AQ731)="","",INDEX(Raw_D2!$C$2:$C$1001,$AQ731)),IF($AR731&lt;&gt;"",IF(INDEX(Raw_D3!$K$2:$K$1001,$AR731)="","",INDEX(Raw_D3!$K$2:$K$1001,$AR731)),"")))</f>
        <v>0.2879</v>
      </c>
      <c r="L731" s="16">
        <f>IF($A731="","",IF($AQ731&lt;&gt;"",IF(INDEX(Raw_D2!$D$2:$D$1001,$AQ731)="","",INDEX(Raw_D2!$D$2:$D$1001,$AQ731)),IF($AR731&lt;&gt;"",IF(INDEX(Raw_D3!$L$2:$L$1001,$AR731)="","",INDEX(Raw_D3!$L$2:$L$1001,$AR731)),"")))</f>
        <v>0.42</v>
      </c>
      <c r="M731" s="17">
        <f>IF($A731="","",IF($AQ731&lt;&gt;"",IF(INDEX(Raw_D2!$E$2:$E$1001,$AQ731)="","",INDEX(Raw_D2!$E$2:$E$1001,$AQ731)),IF($AR731&lt;&gt;"",IF(INDEX(Raw_D3!$M$2:$M$1001,$AR731)="","",INDEX(Raw_D3!$M$2:$M$1001,$AR731)),"")))</f>
        <v>0.5522</v>
      </c>
      <c r="N731" s="5">
        <f>IF($A731="","",IF($AQ731&lt;&gt;"",IF(INDEX(Raw_D2!$F$2:$F$1001,$AQ731)="","",INDEX(Raw_D2!$F$2:$F$1001,$AQ731)),IF($AR731&lt;&gt;"",IF(INDEX(Raw_D3!$N$2:$N$1001,$AR731)="","",INDEX(Raw_D3!$N$2:$N$1001,$AR731)),"")))</f>
        <v>7</v>
      </c>
      <c r="O731" s="5">
        <f>IF($A731="","",IF($AQ731&lt;&gt;"",IF(INDEX(Raw_D2!$G$2:$G$1001,$AQ731)="","",INDEX(Raw_D2!$G$2:$G$1001,$AQ731)),IF($AR731&lt;&gt;"",IF(INDEX(Raw_D3!$O$2:$O$1001,$AR731)="","",INDEX(Raw_D3!$O$2:$O$1001,$AR731)),"")))</f>
        <v>175</v>
      </c>
      <c r="P731" s="5">
        <f>IF($A731="","",IF($AQ731&lt;&gt;"",IF(INDEX(Raw_D2!$H$2:$H$1001,$AQ731)="","",INDEX(Raw_D2!$H$2:$H$1001,$AQ731)),IF($AR731&lt;&gt;"",IF(INDEX(Raw_D3!$P$2:$P$1001,$AR731)="","",INDEX(Raw_D3!$P$2:$P$1001,$AR731)),"")))</f>
        <v>182</v>
      </c>
      <c r="Q731" s="5" t="str">
        <f>IF($A731="","",IF(AND($AP731&lt;&gt;"",$AQ731&lt;&gt;""),"D1+D2",IF($AR731&lt;&gt;"","D3","Incomplete")))</f>
        <v>D3</v>
      </c>
      <c r="R731" s="17">
        <f>IF($A731="","",IF($K731="",IF($J731="","",ROUND(Lookups!$K$5+Lookups!$K$4*$J731,4)),$K731))</f>
        <v>0.2879</v>
      </c>
      <c r="S731" s="5" t="str">
        <f>IF($A731="","",IF($K731="","Imputed","Original"))</f>
        <v>Original</v>
      </c>
      <c r="T731" s="5" t="str">
        <f>IF($A731="","",IF($P731="","Missing",IF($P731=$N731+$O731,"OK","Mismatch")))</f>
        <v>OK</v>
      </c>
      <c r="U731" s="5" t="str">
        <f>IF($A731="","",IF(COUNTIF($A$2:$A731,$A731)&gt;1,"Duplicate","Unique"))</f>
        <v>Unique</v>
      </c>
      <c r="V731" s="5">
        <f>IF($A731="","",IF(AND($U731="Unique",ISNUMBER($P731)),1,0))</f>
        <v>1</v>
      </c>
      <c r="W731" s="5" t="str">
        <f>IF($A731="","",IF(OR($H731=0,$H731=6),"Weekend","Weekday"))</f>
        <v>Weekday</v>
      </c>
      <c r="X731" s="5" t="str">
        <f>IF($A731="","",TEXT($B731,"ddd"))</f>
        <v>Wed</v>
      </c>
      <c r="Y731" s="5" t="str">
        <f>IF($A731="","",TEXT($B731,"mmm"))</f>
        <v>Feb</v>
      </c>
      <c r="Z731" s="5" t="str">
        <f>IF($A731="","",IFERROR(VLOOKUP($C731,Lookups!$D$4:$E$7,2,FALSE),"Unknown"))</f>
        <v>Winter</v>
      </c>
      <c r="AA731" s="5" t="str">
        <f>IF($A731="","",IFERROR(VLOOKUP($I731,Lookups!$A$4:$B$7,2,FALSE),"Unknown"))</f>
        <v>Clear</v>
      </c>
      <c r="AB731" s="5" t="str">
        <f>IF($A731="","",TEXT($F731,"00")&amp;":00")</f>
        <v>18:00</v>
      </c>
      <c r="AC731" s="5" t="str">
        <f>IF($A731="","",VLOOKUP($F731,Lookups!$G$4:$H$8,2,TRUE))</f>
        <v>Evening Peak (16-19)</v>
      </c>
      <c r="AD731" s="18">
        <f>IF($A731="","",IF($J731="","",ROUND($J731*41,1)))</f>
        <v>13.9</v>
      </c>
      <c r="AE731" s="18">
        <f>IF($A731="","",IF($R731="","",ROUND($R731*50,1)))</f>
        <v>14.4</v>
      </c>
      <c r="AF731" s="5">
        <f>IF($A731="","",IF($L731="","",ROUND($L731*100,0)))</f>
        <v>42</v>
      </c>
      <c r="AG731" s="18">
        <f>IF($A731="","",IF($M731="","",ROUND($M731*67,1)))</f>
        <v>37</v>
      </c>
      <c r="AH731" s="19">
        <f>IF($A731="","",IF($P731="","",IF($P731=0,0,$O731/$P731)))</f>
        <v>0.961538461538462</v>
      </c>
      <c r="AI731" s="5" t="str">
        <f>IF($A731="","",IF($P731="","",IF($P731&gt;=Lookups!$K$7,"High",IF($P731&lt;=Lookups!$K$8,"Low","Medium"))))</f>
        <v>High</v>
      </c>
      <c r="AJ731" s="5" t="str">
        <f>IF($A731="","",IF($AD731="","",IF($AD731&lt;5,"Under 5 C",IF($AD731&lt;10,"5-10 C",IF($AD731&lt;15,"10-15 C","15 C and above")))))</f>
        <v>10-15 C</v>
      </c>
      <c r="AK731" s="5">
        <f>IF($A731="","",IF($P731="","",$P731^2))</f>
        <v>33124</v>
      </c>
      <c r="AL731" s="18">
        <f>IF($V731&lt;&gt;1,"",AVERAGEIFS(Clean_Data!$P$2:$P$1001,Clean_Data!$F$2:$F$1001,$F731,Clean_Data!$W$2:$W$1001,$W731,Clean_Data!$V$2:$V$1001,1))</f>
        <v>151.206896551724</v>
      </c>
      <c r="AM731" s="16">
        <f>IF($V731&lt;&gt;1,"",IFERROR(($P731-$AL731)/SQRT(MAX(0,(SUMIFS(Clean_Data!$AK$2:$AK$1001,Clean_Data!$F$2:$F$1001,$F731,Clean_Data!$W$2:$W$1001,$W731,Clean_Data!$V$2:$V$1001,1)-COUNTIFS(Clean_Data!$F$2:$F$1001,$F731,Clean_Data!$W$2:$W$1001,$W731,Clean_Data!$V$2:$V$1001,1)*$AL731^2)/(COUNTIFS(Clean_Data!$F$2:$F$1001,$F731,Clean_Data!$W$2:$W$1001,$W731,Clean_Data!$V$2:$V$1001,1)-1))),""))</f>
        <v>1.04919207396465</v>
      </c>
      <c r="AN731" s="5" t="str">
        <f>IF($AM731="","",IF($AM731&gt;=Lookups!$K$6,"High spike",IF($AM731&lt;=-Lookups!$K$6,"Unusual low","Normal")))</f>
        <v>Normal</v>
      </c>
      <c r="AO731" s="20">
        <f>IF($V731&lt;&gt;1,"",$P731+ROW()/100000)</f>
        <v>182.00731</v>
      </c>
      <c r="AP731" s="5">
        <f>IF($A731="","",IFERROR(MATCH($A731,Raw_D1!$A$2:$A$1001,0),""))</f>
        <v/>
      </c>
      <c r="AQ731" s="5">
        <f>IF($A731="","",IFERROR(MATCH($A731,Raw_D2!$B$2:$B$1001,0),""))</f>
        <v/>
      </c>
      <c r="AR731" s="5">
        <f>IF($A731="","",IFERROR(MATCH($A731,Raw_D3!$A$2:$A$1001,0),""))</f>
        <v>111</v>
      </c>
    </row>
    <row r="732" spans="1:44" x14ac:dyDescent="0.25">
      <c r="A732" s="5">
        <v>731</v>
      </c>
      <c r="B732" s="11">
        <f>IF($A732="","",IF($AP732&lt;&gt;"",INDEX(Raw_D1!$B$2:$B$1001,$AP732),IF($AR732&lt;&gt;"",INDEX(Raw_D3!$B$2:$B$1001,$AR732),"")))</f>
        <v>40576.0</v>
      </c>
      <c r="C732" s="5">
        <f>IF($A732="","",IF($AP732&lt;&gt;"",INDEX(Raw_D1!$C$2:$C$1001,$AP732),IF($AR732&lt;&gt;"",INDEX(Raw_D3!$C$2:$C$1001,$AR732),"")))</f>
        <v>1</v>
      </c>
      <c r="D732" s="5">
        <f>IF($A732="","",IF($AP732&lt;&gt;"",INDEX(Raw_D1!$D$2:$D$1001,$AP732),IF($AR732&lt;&gt;"",INDEX(Raw_D3!$D$2:$D$1001,$AR732),"")))</f>
        <v>0</v>
      </c>
      <c r="E732" s="5">
        <f>IF($A732="","",IF($AP732&lt;&gt;"",INDEX(Raw_D1!$E$2:$E$1001,$AP732),IF($AR732&lt;&gt;"",INDEX(Raw_D3!$E$2:$E$1001,$AR732),"")))</f>
        <v>2</v>
      </c>
      <c r="F732" s="5">
        <f>IF($A732="","",IF($AP732&lt;&gt;"",INDEX(Raw_D1!$F$2:$F$1001,$AP732),IF($AR732&lt;&gt;"",INDEX(Raw_D3!$F$2:$F$1001,$AR732),"")))</f>
        <v>19</v>
      </c>
      <c r="G732" s="5">
        <f>IF($A732="","",IF($AP732&lt;&gt;"",IF(INDEX(Raw_D1!$G$2:$G$1001,$AP732),1,0),IF($AR732&lt;&gt;"",IF(INDEX(Raw_D3!$G$2:$G$1001,$AR732),1,0),"")))</f>
        <v>0</v>
      </c>
      <c r="H732" s="5">
        <f>IF($A732="","",IF($AP732&lt;&gt;"",INDEX(Raw_D1!$H$2:$H$1001,$AP732),IF($AR732&lt;&gt;"",INDEX(Raw_D3!$H$2:$H$1001,$AR732),"")))</f>
        <v>3</v>
      </c>
      <c r="I732" s="5">
        <f>IF($A732="","",IF($AP732&lt;&gt;"",INDEX(Raw_D1!$I$2:$I$1001,$AP732),IF($AR732&lt;&gt;"",INDEX(Raw_D3!$I$2:$I$1001,$AR732),"")))</f>
        <v>1</v>
      </c>
      <c r="J732" s="16">
        <f>IF($A732="","",IF($AP732&lt;&gt;"",INDEX(Raw_D1!$J$2:$J$1001,$AP732),IF($AR732&lt;&gt;"",INDEX(Raw_D3!$J$2:$J$1001,$AR732),"")))</f>
        <v>0.28</v>
      </c>
      <c r="K732" s="17">
        <f>IF($A732="","",IF($AQ732&lt;&gt;"",IF(INDEX(Raw_D2!$C$2:$C$1001,$AQ732)="","",INDEX(Raw_D2!$C$2:$C$1001,$AQ732)),IF($AR732&lt;&gt;"",IF(INDEX(Raw_D3!$K$2:$K$1001,$AR732)="","",INDEX(Raw_D3!$K$2:$K$1001,$AR732)),"")))</f>
        <v>0.2424</v>
      </c>
      <c r="L732" s="16">
        <f>IF($A732="","",IF($AQ732&lt;&gt;"",IF(INDEX(Raw_D2!$D$2:$D$1001,$AQ732)="","",INDEX(Raw_D2!$D$2:$D$1001,$AQ732)),IF($AR732&lt;&gt;"",IF(INDEX(Raw_D3!$L$2:$L$1001,$AR732)="","",INDEX(Raw_D3!$L$2:$L$1001,$AR732)),"")))</f>
        <v>0.45</v>
      </c>
      <c r="M732" s="17">
        <f>IF($A732="","",IF($AQ732&lt;&gt;"",IF(INDEX(Raw_D2!$E$2:$E$1001,$AQ732)="","",INDEX(Raw_D2!$E$2:$E$1001,$AQ732)),IF($AR732&lt;&gt;"",IF(INDEX(Raw_D3!$M$2:$M$1001,$AR732)="","",INDEX(Raw_D3!$M$2:$M$1001,$AR732)),"")))</f>
        <v>0.4925</v>
      </c>
      <c r="N732" s="5">
        <f>IF($A732="","",IF($AQ732&lt;&gt;"",IF(INDEX(Raw_D2!$F$2:$F$1001,$AQ732)="","",INDEX(Raw_D2!$F$2:$F$1001,$AQ732)),IF($AR732&lt;&gt;"",IF(INDEX(Raw_D3!$N$2:$N$1001,$AR732)="","",INDEX(Raw_D3!$N$2:$N$1001,$AR732)),"")))</f>
        <v>3</v>
      </c>
      <c r="O732" s="5">
        <f>IF($A732="","",IF($AQ732&lt;&gt;"",IF(INDEX(Raw_D2!$G$2:$G$1001,$AQ732)="","",INDEX(Raw_D2!$G$2:$G$1001,$AQ732)),IF($AR732&lt;&gt;"",IF(INDEX(Raw_D3!$O$2:$O$1001,$AR732)="","",INDEX(Raw_D3!$O$2:$O$1001,$AR732)),"")))</f>
        <v>88</v>
      </c>
      <c r="P732" s="5">
        <f>IF($A732="","",IF($AQ732&lt;&gt;"",IF(INDEX(Raw_D2!$H$2:$H$1001,$AQ732)="","",INDEX(Raw_D2!$H$2:$H$1001,$AQ732)),IF($AR732&lt;&gt;"",IF(INDEX(Raw_D3!$P$2:$P$1001,$AR732)="","",INDEX(Raw_D3!$P$2:$P$1001,$AR732)),"")))</f>
        <v>91</v>
      </c>
      <c r="Q732" s="5" t="str">
        <f>IF($A732="","",IF(AND($AP732&lt;&gt;"",$AQ732&lt;&gt;""),"D1+D2",IF($AR732&lt;&gt;"","D3","Incomplete")))</f>
        <v>D3</v>
      </c>
      <c r="R732" s="17">
        <f>IF($A732="","",IF($K732="",IF($J732="","",ROUND(Lookups!$K$5+Lookups!$K$4*$J732,4)),$K732))</f>
        <v>0.2424</v>
      </c>
      <c r="S732" s="5" t="str">
        <f>IF($A732="","",IF($K732="","Imputed","Original"))</f>
        <v>Original</v>
      </c>
      <c r="T732" s="5" t="str">
        <f>IF($A732="","",IF($P732="","Missing",IF($P732=$N732+$O732,"OK","Mismatch")))</f>
        <v>OK</v>
      </c>
      <c r="U732" s="5" t="str">
        <f>IF($A732="","",IF(COUNTIF($A$2:$A732,$A732)&gt;1,"Duplicate","Unique"))</f>
        <v>Unique</v>
      </c>
      <c r="V732" s="5">
        <f>IF($A732="","",IF(AND($U732="Unique",ISNUMBER($P732)),1,0))</f>
        <v>1</v>
      </c>
      <c r="W732" s="5" t="str">
        <f>IF($A732="","",IF(OR($H732=0,$H732=6),"Weekend","Weekday"))</f>
        <v>Weekday</v>
      </c>
      <c r="X732" s="5" t="str">
        <f>IF($A732="","",TEXT($B732,"ddd"))</f>
        <v>Wed</v>
      </c>
      <c r="Y732" s="5" t="str">
        <f>IF($A732="","",TEXT($B732,"mmm"))</f>
        <v>Feb</v>
      </c>
      <c r="Z732" s="5" t="str">
        <f>IF($A732="","",IFERROR(VLOOKUP($C732,Lookups!$D$4:$E$7,2,FALSE),"Unknown"))</f>
        <v>Winter</v>
      </c>
      <c r="AA732" s="5" t="str">
        <f>IF($A732="","",IFERROR(VLOOKUP($I732,Lookups!$A$4:$B$7,2,FALSE),"Unknown"))</f>
        <v>Clear</v>
      </c>
      <c r="AB732" s="5" t="str">
        <f>IF($A732="","",TEXT($F732,"00")&amp;":00")</f>
        <v>19:00</v>
      </c>
      <c r="AC732" s="5" t="str">
        <f>IF($A732="","",VLOOKUP($F732,Lookups!$G$4:$H$8,2,TRUE))</f>
        <v>Evening Peak (16-19)</v>
      </c>
      <c r="AD732" s="18">
        <f>IF($A732="","",IF($J732="","",ROUND($J732*41,1)))</f>
        <v>11.5</v>
      </c>
      <c r="AE732" s="18">
        <f>IF($A732="","",IF($R732="","",ROUND($R732*50,1)))</f>
        <v>12.1</v>
      </c>
      <c r="AF732" s="5">
        <f>IF($A732="","",IF($L732="","",ROUND($L732*100,0)))</f>
        <v>45</v>
      </c>
      <c r="AG732" s="18">
        <f>IF($A732="","",IF($M732="","",ROUND($M732*67,1)))</f>
        <v>33</v>
      </c>
      <c r="AH732" s="19">
        <f>IF($A732="","",IF($P732="","",IF($P732=0,0,$O732/$P732)))</f>
        <v>0.967032967032967</v>
      </c>
      <c r="AI732" s="5" t="str">
        <f>IF($A732="","",IF($P732="","",IF($P732&gt;=Lookups!$K$7,"High",IF($P732&lt;=Lookups!$K$8,"Low","Medium"))))</f>
        <v>High</v>
      </c>
      <c r="AJ732" s="5" t="str">
        <f>IF($A732="","",IF($AD732="","",IF($AD732&lt;5,"Under 5 C",IF($AD732&lt;10,"5-10 C",IF($AD732&lt;15,"10-15 C","15 C and above")))))</f>
        <v>10-15 C</v>
      </c>
      <c r="AK732" s="5">
        <f>IF($A732="","",IF($P732="","",$P732^2))</f>
        <v>8281</v>
      </c>
      <c r="AL732" s="18">
        <f>IF($V732&lt;&gt;1,"",AVERAGEIFS(Clean_Data!$P$2:$P$1001,Clean_Data!$F$2:$F$1001,$F732,Clean_Data!$W$2:$W$1001,$W732,Clean_Data!$V$2:$V$1001,1))</f>
        <v>102.034482758621</v>
      </c>
      <c r="AM732" s="16">
        <f>IF($V732&lt;&gt;1,"",IFERROR(($P732-$AL732)/SQRT(MAX(0,(SUMIFS(Clean_Data!$AK$2:$AK$1001,Clean_Data!$F$2:$F$1001,$F732,Clean_Data!$W$2:$W$1001,$W732,Clean_Data!$V$2:$V$1001,1)-COUNTIFS(Clean_Data!$F$2:$F$1001,$F732,Clean_Data!$W$2:$W$1001,$W732,Clean_Data!$V$2:$V$1001,1)*$AL732^2)/(COUNTIFS(Clean_Data!$F$2:$F$1001,$F732,Clean_Data!$W$2:$W$1001,$W732,Clean_Data!$V$2:$V$1001,1)-1))),""))</f>
        <v>-0.519326964680631</v>
      </c>
      <c r="AN732" s="5" t="str">
        <f>IF($AM732="","",IF($AM732&gt;=Lookups!$K$6,"High spike",IF($AM732&lt;=-Lookups!$K$6,"Unusual low","Normal")))</f>
        <v>Normal</v>
      </c>
      <c r="AO732" s="20">
        <f>IF($V732&lt;&gt;1,"",$P732+ROW()/100000)</f>
        <v>91.00732</v>
      </c>
      <c r="AP732" s="5">
        <f>IF($A732="","",IFERROR(MATCH($A732,Raw_D1!$A$2:$A$1001,0),""))</f>
        <v/>
      </c>
      <c r="AQ732" s="5">
        <f>IF($A732="","",IFERROR(MATCH($A732,Raw_D2!$B$2:$B$1001,0),""))</f>
        <v/>
      </c>
      <c r="AR732" s="5">
        <f>IF($A732="","",IFERROR(MATCH($A732,Raw_D3!$A$2:$A$1001,0),""))</f>
        <v>112</v>
      </c>
    </row>
    <row r="733" spans="1:44" x14ac:dyDescent="0.25">
      <c r="A733" s="5">
        <v>732</v>
      </c>
      <c r="B733" s="11">
        <f>IF($A733="","",IF($AP733&lt;&gt;"",INDEX(Raw_D1!$B$2:$B$1001,$AP733),IF($AR733&lt;&gt;"",INDEX(Raw_D3!$B$2:$B$1001,$AR733),"")))</f>
        <v>40576.0</v>
      </c>
      <c r="C733" s="5">
        <f>IF($A733="","",IF($AP733&lt;&gt;"",INDEX(Raw_D1!$C$2:$C$1001,$AP733),IF($AR733&lt;&gt;"",INDEX(Raw_D3!$C$2:$C$1001,$AR733),"")))</f>
        <v>1</v>
      </c>
      <c r="D733" s="5">
        <f>IF($A733="","",IF($AP733&lt;&gt;"",INDEX(Raw_D1!$D$2:$D$1001,$AP733),IF($AR733&lt;&gt;"",INDEX(Raw_D3!$D$2:$D$1001,$AR733),"")))</f>
        <v>0</v>
      </c>
      <c r="E733" s="5">
        <f>IF($A733="","",IF($AP733&lt;&gt;"",INDEX(Raw_D1!$E$2:$E$1001,$AP733),IF($AR733&lt;&gt;"",INDEX(Raw_D3!$E$2:$E$1001,$AR733),"")))</f>
        <v>2</v>
      </c>
      <c r="F733" s="5">
        <f>IF($A733="","",IF($AP733&lt;&gt;"",INDEX(Raw_D1!$F$2:$F$1001,$AP733),IF($AR733&lt;&gt;"",INDEX(Raw_D3!$F$2:$F$1001,$AR733),"")))</f>
        <v>20</v>
      </c>
      <c r="G733" s="5">
        <f>IF($A733="","",IF($AP733&lt;&gt;"",IF(INDEX(Raw_D1!$G$2:$G$1001,$AP733),1,0),IF($AR733&lt;&gt;"",IF(INDEX(Raw_D3!$G$2:$G$1001,$AR733),1,0),"")))</f>
        <v>0</v>
      </c>
      <c r="H733" s="5">
        <f>IF($A733="","",IF($AP733&lt;&gt;"",INDEX(Raw_D1!$H$2:$H$1001,$AP733),IF($AR733&lt;&gt;"",INDEX(Raw_D3!$H$2:$H$1001,$AR733),"")))</f>
        <v>3</v>
      </c>
      <c r="I733" s="5">
        <f>IF($A733="","",IF($AP733&lt;&gt;"",INDEX(Raw_D1!$I$2:$I$1001,$AP733),IF($AR733&lt;&gt;"",INDEX(Raw_D3!$I$2:$I$1001,$AR733),"")))</f>
        <v>1</v>
      </c>
      <c r="J733" s="16">
        <f>IF($A733="","",IF($AP733&lt;&gt;"",INDEX(Raw_D1!$J$2:$J$1001,$AP733),IF($AR733&lt;&gt;"",INDEX(Raw_D3!$J$2:$J$1001,$AR733),"")))</f>
        <v>0.24</v>
      </c>
      <c r="K733" s="17">
        <f>IF($A733="","",IF($AQ733&lt;&gt;"",IF(INDEX(Raw_D2!$C$2:$C$1001,$AQ733)="","",INDEX(Raw_D2!$C$2:$C$1001,$AQ733)),IF($AR733&lt;&gt;"",IF(INDEX(Raw_D3!$K$2:$K$1001,$AR733)="","",INDEX(Raw_D3!$K$2:$K$1001,$AR733)),"")))</f>
        <v>0.197</v>
      </c>
      <c r="L733" s="16">
        <f>IF($A733="","",IF($AQ733&lt;&gt;"",IF(INDEX(Raw_D2!$D$2:$D$1001,$AQ733)="","",INDEX(Raw_D2!$D$2:$D$1001,$AQ733)),IF($AR733&lt;&gt;"",IF(INDEX(Raw_D3!$L$2:$L$1001,$AR733)="","",INDEX(Raw_D3!$L$2:$L$1001,$AR733)),"")))</f>
        <v>0.48</v>
      </c>
      <c r="M733" s="17">
        <f>IF($A733="","",IF($AQ733&lt;&gt;"",IF(INDEX(Raw_D2!$E$2:$E$1001,$AQ733)="","",INDEX(Raw_D2!$E$2:$E$1001,$AQ733)),IF($AR733&lt;&gt;"",IF(INDEX(Raw_D3!$M$2:$M$1001,$AR733)="","",INDEX(Raw_D3!$M$2:$M$1001,$AR733)),"")))</f>
        <v>0.5522</v>
      </c>
      <c r="N733" s="5">
        <f>IF($A733="","",IF($AQ733&lt;&gt;"",IF(INDEX(Raw_D2!$F$2:$F$1001,$AQ733)="","",INDEX(Raw_D2!$F$2:$F$1001,$AQ733)),IF($AR733&lt;&gt;"",IF(INDEX(Raw_D3!$N$2:$N$1001,$AR733)="","",INDEX(Raw_D3!$N$2:$N$1001,$AR733)),"")))</f>
        <v>4</v>
      </c>
      <c r="O733" s="5">
        <f>IF($A733="","",IF($AQ733&lt;&gt;"",IF(INDEX(Raw_D2!$G$2:$G$1001,$AQ733)="","",INDEX(Raw_D2!$G$2:$G$1001,$AQ733)),IF($AR733&lt;&gt;"",IF(INDEX(Raw_D3!$O$2:$O$1001,$AR733)="","",INDEX(Raw_D3!$O$2:$O$1001,$AR733)),"")))</f>
        <v>71</v>
      </c>
      <c r="P733" s="5">
        <f>IF($A733="","",IF($AQ733&lt;&gt;"",IF(INDEX(Raw_D2!$H$2:$H$1001,$AQ733)="","",INDEX(Raw_D2!$H$2:$H$1001,$AQ733)),IF($AR733&lt;&gt;"",IF(INDEX(Raw_D3!$P$2:$P$1001,$AR733)="","",INDEX(Raw_D3!$P$2:$P$1001,$AR733)),"")))</f>
        <v>75</v>
      </c>
      <c r="Q733" s="5" t="str">
        <f>IF($A733="","",IF(AND($AP733&lt;&gt;"",$AQ733&lt;&gt;""),"D1+D2",IF($AR733&lt;&gt;"","D3","Incomplete")))</f>
        <v>D3</v>
      </c>
      <c r="R733" s="17">
        <f>IF($A733="","",IF($K733="",IF($J733="","",ROUND(Lookups!$K$5+Lookups!$K$4*$J733,4)),$K733))</f>
        <v>0.197</v>
      </c>
      <c r="S733" s="5" t="str">
        <f>IF($A733="","",IF($K733="","Imputed","Original"))</f>
        <v>Original</v>
      </c>
      <c r="T733" s="5" t="str">
        <f>IF($A733="","",IF($P733="","Missing",IF($P733=$N733+$O733,"OK","Mismatch")))</f>
        <v>OK</v>
      </c>
      <c r="U733" s="5" t="str">
        <f>IF($A733="","",IF(COUNTIF($A$2:$A733,$A733)&gt;1,"Duplicate","Unique"))</f>
        <v>Unique</v>
      </c>
      <c r="V733" s="5">
        <f>IF($A733="","",IF(AND($U733="Unique",ISNUMBER($P733)),1,0))</f>
        <v>1</v>
      </c>
      <c r="W733" s="5" t="str">
        <f>IF($A733="","",IF(OR($H733=0,$H733=6),"Weekend","Weekday"))</f>
        <v>Weekday</v>
      </c>
      <c r="X733" s="5" t="str">
        <f>IF($A733="","",TEXT($B733,"ddd"))</f>
        <v>Wed</v>
      </c>
      <c r="Y733" s="5" t="str">
        <f>IF($A733="","",TEXT($B733,"mmm"))</f>
        <v>Feb</v>
      </c>
      <c r="Z733" s="5" t="str">
        <f>IF($A733="","",IFERROR(VLOOKUP($C733,Lookups!$D$4:$E$7,2,FALSE),"Unknown"))</f>
        <v>Winter</v>
      </c>
      <c r="AA733" s="5" t="str">
        <f>IF($A733="","",IFERROR(VLOOKUP($I733,Lookups!$A$4:$B$7,2,FALSE),"Unknown"))</f>
        <v>Clear</v>
      </c>
      <c r="AB733" s="5" t="str">
        <f>IF($A733="","",TEXT($F733,"00")&amp;":00")</f>
        <v>20:00</v>
      </c>
      <c r="AC733" s="5" t="str">
        <f>IF($A733="","",VLOOKUP($F733,Lookups!$G$4:$H$8,2,TRUE))</f>
        <v>Late Evening (20-23)</v>
      </c>
      <c r="AD733" s="18">
        <f>IF($A733="","",IF($J733="","",ROUND($J733*41,1)))</f>
        <v>9.8</v>
      </c>
      <c r="AE733" s="18">
        <f>IF($A733="","",IF($R733="","",ROUND($R733*50,1)))</f>
        <v>9.9</v>
      </c>
      <c r="AF733" s="5">
        <f>IF($A733="","",IF($L733="","",ROUND($L733*100,0)))</f>
        <v>48</v>
      </c>
      <c r="AG733" s="18">
        <f>IF($A733="","",IF($M733="","",ROUND($M733*67,1)))</f>
        <v>37</v>
      </c>
      <c r="AH733" s="19">
        <f>IF($A733="","",IF($P733="","",IF($P733=0,0,$O733/$P733)))</f>
        <v>0.946666666666667</v>
      </c>
      <c r="AI733" s="5" t="str">
        <f>IF($A733="","",IF($P733="","",IF($P733&gt;=Lookups!$K$7,"High",IF($P733&lt;=Lookups!$K$8,"Low","Medium"))))</f>
        <v>Medium</v>
      </c>
      <c r="AJ733" s="5" t="str">
        <f>IF($A733="","",IF($AD733="","",IF($AD733&lt;5,"Under 5 C",IF($AD733&lt;10,"5-10 C",IF($AD733&lt;15,"10-15 C","15 C and above")))))</f>
        <v>5-10 C</v>
      </c>
      <c r="AK733" s="5">
        <f>IF($A733="","",IF($P733="","",$P733^2))</f>
        <v>5625</v>
      </c>
      <c r="AL733" s="18">
        <f>IF($V733&lt;&gt;1,"",AVERAGEIFS(Clean_Data!$P$2:$P$1001,Clean_Data!$F$2:$F$1001,$F733,Clean_Data!$W$2:$W$1001,$W733,Clean_Data!$V$2:$V$1001,1))</f>
        <v>72.2758620689655</v>
      </c>
      <c r="AM733" s="16">
        <f>IF($V733&lt;&gt;1,"",IFERROR(($P733-$AL733)/SQRT(MAX(0,(SUMIFS(Clean_Data!$AK$2:$AK$1001,Clean_Data!$F$2:$F$1001,$F733,Clean_Data!$W$2:$W$1001,$W733,Clean_Data!$V$2:$V$1001,1)-COUNTIFS(Clean_Data!$F$2:$F$1001,$F733,Clean_Data!$W$2:$W$1001,$W733,Clean_Data!$V$2:$V$1001,1)*$AL733^2)/(COUNTIFS(Clean_Data!$F$2:$F$1001,$F733,Clean_Data!$W$2:$W$1001,$W733,Clean_Data!$V$2:$V$1001,1)-1))),""))</f>
        <v>0.123262748718053</v>
      </c>
      <c r="AN733" s="5" t="str">
        <f>IF($AM733="","",IF($AM733&gt;=Lookups!$K$6,"High spike",IF($AM733&lt;=-Lookups!$K$6,"Unusual low","Normal")))</f>
        <v>Normal</v>
      </c>
      <c r="AO733" s="20">
        <f>IF($V733&lt;&gt;1,"",$P733+ROW()/100000)</f>
        <v>75.00733</v>
      </c>
      <c r="AP733" s="5">
        <f>IF($A733="","",IFERROR(MATCH($A733,Raw_D1!$A$2:$A$1001,0),""))</f>
        <v/>
      </c>
      <c r="AQ733" s="5">
        <f>IF($A733="","",IFERROR(MATCH($A733,Raw_D2!$B$2:$B$1001,0),""))</f>
        <v/>
      </c>
      <c r="AR733" s="5">
        <f>IF($A733="","",IFERROR(MATCH($A733,Raw_D3!$A$2:$A$1001,0),""))</f>
        <v>113</v>
      </c>
    </row>
    <row r="734" spans="1:44" x14ac:dyDescent="0.25">
      <c r="A734" s="5">
        <v>733</v>
      </c>
      <c r="B734" s="11">
        <f>IF($A734="","",IF($AP734&lt;&gt;"",INDEX(Raw_D1!$B$2:$B$1001,$AP734),IF($AR734&lt;&gt;"",INDEX(Raw_D3!$B$2:$B$1001,$AR734),"")))</f>
        <v>40576.0</v>
      </c>
      <c r="C734" s="5">
        <f>IF($A734="","",IF($AP734&lt;&gt;"",INDEX(Raw_D1!$C$2:$C$1001,$AP734),IF($AR734&lt;&gt;"",INDEX(Raw_D3!$C$2:$C$1001,$AR734),"")))</f>
        <v>1</v>
      </c>
      <c r="D734" s="5">
        <f>IF($A734="","",IF($AP734&lt;&gt;"",INDEX(Raw_D1!$D$2:$D$1001,$AP734),IF($AR734&lt;&gt;"",INDEX(Raw_D3!$D$2:$D$1001,$AR734),"")))</f>
        <v>0</v>
      </c>
      <c r="E734" s="5">
        <f>IF($A734="","",IF($AP734&lt;&gt;"",INDEX(Raw_D1!$E$2:$E$1001,$AP734),IF($AR734&lt;&gt;"",INDEX(Raw_D3!$E$2:$E$1001,$AR734),"")))</f>
        <v>2</v>
      </c>
      <c r="F734" s="5">
        <f>IF($A734="","",IF($AP734&lt;&gt;"",INDEX(Raw_D1!$F$2:$F$1001,$AP734),IF($AR734&lt;&gt;"",INDEX(Raw_D3!$F$2:$F$1001,$AR734),"")))</f>
        <v>21</v>
      </c>
      <c r="G734" s="5">
        <f>IF($A734="","",IF($AP734&lt;&gt;"",IF(INDEX(Raw_D1!$G$2:$G$1001,$AP734),1,0),IF($AR734&lt;&gt;"",IF(INDEX(Raw_D3!$G$2:$G$1001,$AR734),1,0),"")))</f>
        <v>0</v>
      </c>
      <c r="H734" s="5">
        <f>IF($A734="","",IF($AP734&lt;&gt;"",INDEX(Raw_D1!$H$2:$H$1001,$AP734),IF($AR734&lt;&gt;"",INDEX(Raw_D3!$H$2:$H$1001,$AR734),"")))</f>
        <v>3</v>
      </c>
      <c r="I734" s="5">
        <f>IF($A734="","",IF($AP734&lt;&gt;"",INDEX(Raw_D1!$I$2:$I$1001,$AP734),IF($AR734&lt;&gt;"",INDEX(Raw_D3!$I$2:$I$1001,$AR734),"")))</f>
        <v>1</v>
      </c>
      <c r="J734" s="16">
        <f>IF($A734="","",IF($AP734&lt;&gt;"",INDEX(Raw_D1!$J$2:$J$1001,$AP734),IF($AR734&lt;&gt;"",INDEX(Raw_D3!$J$2:$J$1001,$AR734),"")))</f>
        <v>0.22</v>
      </c>
      <c r="K734" s="17">
        <f>IF($A734="","",IF($AQ734&lt;&gt;"",IF(INDEX(Raw_D2!$C$2:$C$1001,$AQ734)="","",INDEX(Raw_D2!$C$2:$C$1001,$AQ734)),IF($AR734&lt;&gt;"",IF(INDEX(Raw_D3!$K$2:$K$1001,$AR734)="","",INDEX(Raw_D3!$K$2:$K$1001,$AR734)),"")))</f>
        <v>0.197</v>
      </c>
      <c r="L734" s="16">
        <f>IF($A734="","",IF($AQ734&lt;&gt;"",IF(INDEX(Raw_D2!$D$2:$D$1001,$AQ734)="","",INDEX(Raw_D2!$D$2:$D$1001,$AQ734)),IF($AR734&lt;&gt;"",IF(INDEX(Raw_D3!$L$2:$L$1001,$AR734)="","",INDEX(Raw_D3!$L$2:$L$1001,$AR734)),"")))</f>
        <v>0.47</v>
      </c>
      <c r="M734" s="17">
        <f>IF($A734="","",IF($AQ734&lt;&gt;"",IF(INDEX(Raw_D2!$E$2:$E$1001,$AQ734)="","",INDEX(Raw_D2!$E$2:$E$1001,$AQ734)),IF($AR734&lt;&gt;"",IF(INDEX(Raw_D3!$M$2:$M$1001,$AR734)="","",INDEX(Raw_D3!$M$2:$M$1001,$AR734)),"")))</f>
        <v>0.3284</v>
      </c>
      <c r="N734" s="5">
        <f>IF($A734="","",IF($AQ734&lt;&gt;"",IF(INDEX(Raw_D2!$F$2:$F$1001,$AQ734)="","",INDEX(Raw_D2!$F$2:$F$1001,$AQ734)),IF($AR734&lt;&gt;"",IF(INDEX(Raw_D3!$N$2:$N$1001,$AR734)="","",INDEX(Raw_D3!$N$2:$N$1001,$AR734)),"")))</f>
        <v>1</v>
      </c>
      <c r="O734" s="5">
        <f>IF($A734="","",IF($AQ734&lt;&gt;"",IF(INDEX(Raw_D2!$G$2:$G$1001,$AQ734)="","",INDEX(Raw_D2!$G$2:$G$1001,$AQ734)),IF($AR734&lt;&gt;"",IF(INDEX(Raw_D3!$O$2:$O$1001,$AR734)="","",INDEX(Raw_D3!$O$2:$O$1001,$AR734)),"")))</f>
        <v>62</v>
      </c>
      <c r="P734" s="5">
        <f>IF($A734="","",IF($AQ734&lt;&gt;"",IF(INDEX(Raw_D2!$H$2:$H$1001,$AQ734)="","",INDEX(Raw_D2!$H$2:$H$1001,$AQ734)),IF($AR734&lt;&gt;"",IF(INDEX(Raw_D3!$P$2:$P$1001,$AR734)="","",INDEX(Raw_D3!$P$2:$P$1001,$AR734)),"")))</f>
        <v>63</v>
      </c>
      <c r="Q734" s="5" t="str">
        <f>IF($A734="","",IF(AND($AP734&lt;&gt;"",$AQ734&lt;&gt;""),"D1+D2",IF($AR734&lt;&gt;"","D3","Incomplete")))</f>
        <v>D3</v>
      </c>
      <c r="R734" s="17">
        <f>IF($A734="","",IF($K734="",IF($J734="","",ROUND(Lookups!$K$5+Lookups!$K$4*$J734,4)),$K734))</f>
        <v>0.197</v>
      </c>
      <c r="S734" s="5" t="str">
        <f>IF($A734="","",IF($K734="","Imputed","Original"))</f>
        <v>Original</v>
      </c>
      <c r="T734" s="5" t="str">
        <f>IF($A734="","",IF($P734="","Missing",IF($P734=$N734+$O734,"OK","Mismatch")))</f>
        <v>OK</v>
      </c>
      <c r="U734" s="5" t="str">
        <f>IF($A734="","",IF(COUNTIF($A$2:$A734,$A734)&gt;1,"Duplicate","Unique"))</f>
        <v>Unique</v>
      </c>
      <c r="V734" s="5">
        <f>IF($A734="","",IF(AND($U734="Unique",ISNUMBER($P734)),1,0))</f>
        <v>1</v>
      </c>
      <c r="W734" s="5" t="str">
        <f>IF($A734="","",IF(OR($H734=0,$H734=6),"Weekend","Weekday"))</f>
        <v>Weekday</v>
      </c>
      <c r="X734" s="5" t="str">
        <f>IF($A734="","",TEXT($B734,"ddd"))</f>
        <v>Wed</v>
      </c>
      <c r="Y734" s="5" t="str">
        <f>IF($A734="","",TEXT($B734,"mmm"))</f>
        <v>Feb</v>
      </c>
      <c r="Z734" s="5" t="str">
        <f>IF($A734="","",IFERROR(VLOOKUP($C734,Lookups!$D$4:$E$7,2,FALSE),"Unknown"))</f>
        <v>Winter</v>
      </c>
      <c r="AA734" s="5" t="str">
        <f>IF($A734="","",IFERROR(VLOOKUP($I734,Lookups!$A$4:$B$7,2,FALSE),"Unknown"))</f>
        <v>Clear</v>
      </c>
      <c r="AB734" s="5" t="str">
        <f>IF($A734="","",TEXT($F734,"00")&amp;":00")</f>
        <v>21:00</v>
      </c>
      <c r="AC734" s="5" t="str">
        <f>IF($A734="","",VLOOKUP($F734,Lookups!$G$4:$H$8,2,TRUE))</f>
        <v>Late Evening (20-23)</v>
      </c>
      <c r="AD734" s="18">
        <f>IF($A734="","",IF($J734="","",ROUND($J734*41,1)))</f>
        <v>9</v>
      </c>
      <c r="AE734" s="18">
        <f>IF($A734="","",IF($R734="","",ROUND($R734*50,1)))</f>
        <v>9.9</v>
      </c>
      <c r="AF734" s="5">
        <f>IF($A734="","",IF($L734="","",ROUND($L734*100,0)))</f>
        <v>47</v>
      </c>
      <c r="AG734" s="18">
        <f>IF($A734="","",IF($M734="","",ROUND($M734*67,1)))</f>
        <v>22</v>
      </c>
      <c r="AH734" s="19">
        <f>IF($A734="","",IF($P734="","",IF($P734=0,0,$O734/$P734)))</f>
        <v>0.984126984126984</v>
      </c>
      <c r="AI734" s="5" t="str">
        <f>IF($A734="","",IF($P734="","",IF($P734&gt;=Lookups!$K$7,"High",IF($P734&lt;=Lookups!$K$8,"Low","Medium"))))</f>
        <v>Medium</v>
      </c>
      <c r="AJ734" s="5" t="str">
        <f>IF($A734="","",IF($AD734="","",IF($AD734&lt;5,"Under 5 C",IF($AD734&lt;10,"5-10 C",IF($AD734&lt;15,"10-15 C","15 C and above")))))</f>
        <v>5-10 C</v>
      </c>
      <c r="AK734" s="5">
        <f>IF($A734="","",IF($P734="","",$P734^2))</f>
        <v>3969</v>
      </c>
      <c r="AL734" s="18">
        <f>IF($V734&lt;&gt;1,"",AVERAGEIFS(Clean_Data!$P$2:$P$1001,Clean_Data!$F$2:$F$1001,$F734,Clean_Data!$W$2:$W$1001,$W734,Clean_Data!$V$2:$V$1001,1))</f>
        <v>50.8965517241379</v>
      </c>
      <c r="AM734" s="16">
        <f>IF($V734&lt;&gt;1,"",IFERROR(($P734-$AL734)/SQRT(MAX(0,(SUMIFS(Clean_Data!$AK$2:$AK$1001,Clean_Data!$F$2:$F$1001,$F734,Clean_Data!$W$2:$W$1001,$W734,Clean_Data!$V$2:$V$1001,1)-COUNTIFS(Clean_Data!$F$2:$F$1001,$F734,Clean_Data!$W$2:$W$1001,$W734,Clean_Data!$V$2:$V$1001,1)*$AL734^2)/(COUNTIFS(Clean_Data!$F$2:$F$1001,$F734,Clean_Data!$W$2:$W$1001,$W734,Clean_Data!$V$2:$V$1001,1)-1))),""))</f>
        <v>0.876538096786934</v>
      </c>
      <c r="AN734" s="5" t="str">
        <f>IF($AM734="","",IF($AM734&gt;=Lookups!$K$6,"High spike",IF($AM734&lt;=-Lookups!$K$6,"Unusual low","Normal")))</f>
        <v>Normal</v>
      </c>
      <c r="AO734" s="20">
        <f>IF($V734&lt;&gt;1,"",$P734+ROW()/100000)</f>
        <v>63.00734</v>
      </c>
      <c r="AP734" s="5">
        <f>IF($A734="","",IFERROR(MATCH($A734,Raw_D1!$A$2:$A$1001,0),""))</f>
        <v/>
      </c>
      <c r="AQ734" s="5">
        <f>IF($A734="","",IFERROR(MATCH($A734,Raw_D2!$B$2:$B$1001,0),""))</f>
        <v/>
      </c>
      <c r="AR734" s="5">
        <f>IF($A734="","",IFERROR(MATCH($A734,Raw_D3!$A$2:$A$1001,0),""))</f>
        <v>114</v>
      </c>
    </row>
    <row r="735" spans="1:44" x14ac:dyDescent="0.25">
      <c r="A735" s="5">
        <v>734</v>
      </c>
      <c r="B735" s="11">
        <f>IF($A735="","",IF($AP735&lt;&gt;"",INDEX(Raw_D1!$B$2:$B$1001,$AP735),IF($AR735&lt;&gt;"",INDEX(Raw_D3!$B$2:$B$1001,$AR735),"")))</f>
        <v>40576.0</v>
      </c>
      <c r="C735" s="5">
        <f>IF($A735="","",IF($AP735&lt;&gt;"",INDEX(Raw_D1!$C$2:$C$1001,$AP735),IF($AR735&lt;&gt;"",INDEX(Raw_D3!$C$2:$C$1001,$AR735),"")))</f>
        <v>1</v>
      </c>
      <c r="D735" s="5">
        <f>IF($A735="","",IF($AP735&lt;&gt;"",INDEX(Raw_D1!$D$2:$D$1001,$AP735),IF($AR735&lt;&gt;"",INDEX(Raw_D3!$D$2:$D$1001,$AR735),"")))</f>
        <v>0</v>
      </c>
      <c r="E735" s="5">
        <f>IF($A735="","",IF($AP735&lt;&gt;"",INDEX(Raw_D1!$E$2:$E$1001,$AP735),IF($AR735&lt;&gt;"",INDEX(Raw_D3!$E$2:$E$1001,$AR735),"")))</f>
        <v>2</v>
      </c>
      <c r="F735" s="5">
        <f>IF($A735="","",IF($AP735&lt;&gt;"",INDEX(Raw_D1!$F$2:$F$1001,$AP735),IF($AR735&lt;&gt;"",INDEX(Raw_D3!$F$2:$F$1001,$AR735),"")))</f>
        <v>22</v>
      </c>
      <c r="G735" s="5">
        <f>IF($A735="","",IF($AP735&lt;&gt;"",IF(INDEX(Raw_D1!$G$2:$G$1001,$AP735),1,0),IF($AR735&lt;&gt;"",IF(INDEX(Raw_D3!$G$2:$G$1001,$AR735),1,0),"")))</f>
        <v>0</v>
      </c>
      <c r="H735" s="5">
        <f>IF($A735="","",IF($AP735&lt;&gt;"",INDEX(Raw_D1!$H$2:$H$1001,$AP735),IF($AR735&lt;&gt;"",INDEX(Raw_D3!$H$2:$H$1001,$AR735),"")))</f>
        <v>3</v>
      </c>
      <c r="I735" s="5">
        <f>IF($A735="","",IF($AP735&lt;&gt;"",INDEX(Raw_D1!$I$2:$I$1001,$AP735),IF($AR735&lt;&gt;"",INDEX(Raw_D3!$I$2:$I$1001,$AR735),"")))</f>
        <v>1</v>
      </c>
      <c r="J735" s="16">
        <f>IF($A735="","",IF($AP735&lt;&gt;"",INDEX(Raw_D1!$J$2:$J$1001,$AP735),IF($AR735&lt;&gt;"",INDEX(Raw_D3!$J$2:$J$1001,$AR735),"")))</f>
        <v>0.22</v>
      </c>
      <c r="K735" s="17">
        <f>IF($A735="","",IF($AQ735&lt;&gt;"",IF(INDEX(Raw_D2!$C$2:$C$1001,$AQ735)="","",INDEX(Raw_D2!$C$2:$C$1001,$AQ735)),IF($AR735&lt;&gt;"",IF(INDEX(Raw_D3!$K$2:$K$1001,$AR735)="","",INDEX(Raw_D3!$K$2:$K$1001,$AR735)),"")))</f>
        <v>0.2121</v>
      </c>
      <c r="L735" s="16">
        <f>IF($A735="","",IF($AQ735&lt;&gt;"",IF(INDEX(Raw_D2!$D$2:$D$1001,$AQ735)="","",INDEX(Raw_D2!$D$2:$D$1001,$AQ735)),IF($AR735&lt;&gt;"",IF(INDEX(Raw_D3!$L$2:$L$1001,$AR735)="","",INDEX(Raw_D3!$L$2:$L$1001,$AR735)),"")))</f>
        <v>0.44</v>
      </c>
      <c r="M735" s="17">
        <f>IF($A735="","",IF($AQ735&lt;&gt;"",IF(INDEX(Raw_D2!$E$2:$E$1001,$AQ735)="","",INDEX(Raw_D2!$E$2:$E$1001,$AQ735)),IF($AR735&lt;&gt;"",IF(INDEX(Raw_D3!$M$2:$M$1001,$AR735)="","",INDEX(Raw_D3!$M$2:$M$1001,$AR735)),"")))</f>
        <v>0.2537</v>
      </c>
      <c r="N735" s="5">
        <f>IF($A735="","",IF($AQ735&lt;&gt;"",IF(INDEX(Raw_D2!$F$2:$F$1001,$AQ735)="","",INDEX(Raw_D2!$F$2:$F$1001,$AQ735)),IF($AR735&lt;&gt;"",IF(INDEX(Raw_D3!$N$2:$N$1001,$AR735)="","",INDEX(Raw_D3!$N$2:$N$1001,$AR735)),"")))</f>
        <v>5</v>
      </c>
      <c r="O735" s="5">
        <f>IF($A735="","",IF($AQ735&lt;&gt;"",IF(INDEX(Raw_D2!$G$2:$G$1001,$AQ735)="","",INDEX(Raw_D2!$G$2:$G$1001,$AQ735)),IF($AR735&lt;&gt;"",IF(INDEX(Raw_D3!$O$2:$O$1001,$AR735)="","",INDEX(Raw_D3!$O$2:$O$1001,$AR735)),"")))</f>
        <v>35</v>
      </c>
      <c r="P735" s="5">
        <f>IF($A735="","",IF($AQ735&lt;&gt;"",IF(INDEX(Raw_D2!$H$2:$H$1001,$AQ735)="","",INDEX(Raw_D2!$H$2:$H$1001,$AQ735)),IF($AR735&lt;&gt;"",IF(INDEX(Raw_D3!$P$2:$P$1001,$AR735)="","",INDEX(Raw_D3!$P$2:$P$1001,$AR735)),"")))</f>
        <v>40</v>
      </c>
      <c r="Q735" s="5" t="str">
        <f>IF($A735="","",IF(AND($AP735&lt;&gt;"",$AQ735&lt;&gt;""),"D1+D2",IF($AR735&lt;&gt;"","D3","Incomplete")))</f>
        <v>D3</v>
      </c>
      <c r="R735" s="17">
        <f>IF($A735="","",IF($K735="",IF($J735="","",ROUND(Lookups!$K$5+Lookups!$K$4*$J735,4)),$K735))</f>
        <v>0.2121</v>
      </c>
      <c r="S735" s="5" t="str">
        <f>IF($A735="","",IF($K735="","Imputed","Original"))</f>
        <v>Original</v>
      </c>
      <c r="T735" s="5" t="str">
        <f>IF($A735="","",IF($P735="","Missing",IF($P735=$N735+$O735,"OK","Mismatch")))</f>
        <v>OK</v>
      </c>
      <c r="U735" s="5" t="str">
        <f>IF($A735="","",IF(COUNTIF($A$2:$A735,$A735)&gt;1,"Duplicate","Unique"))</f>
        <v>Unique</v>
      </c>
      <c r="V735" s="5">
        <f>IF($A735="","",IF(AND($U735="Unique",ISNUMBER($P735)),1,0))</f>
        <v>1</v>
      </c>
      <c r="W735" s="5" t="str">
        <f>IF($A735="","",IF(OR($H735=0,$H735=6),"Weekend","Weekday"))</f>
        <v>Weekday</v>
      </c>
      <c r="X735" s="5" t="str">
        <f>IF($A735="","",TEXT($B735,"ddd"))</f>
        <v>Wed</v>
      </c>
      <c r="Y735" s="5" t="str">
        <f>IF($A735="","",TEXT($B735,"mmm"))</f>
        <v>Feb</v>
      </c>
      <c r="Z735" s="5" t="str">
        <f>IF($A735="","",IFERROR(VLOOKUP($C735,Lookups!$D$4:$E$7,2,FALSE),"Unknown"))</f>
        <v>Winter</v>
      </c>
      <c r="AA735" s="5" t="str">
        <f>IF($A735="","",IFERROR(VLOOKUP($I735,Lookups!$A$4:$B$7,2,FALSE),"Unknown"))</f>
        <v>Clear</v>
      </c>
      <c r="AB735" s="5" t="str">
        <f>IF($A735="","",TEXT($F735,"00")&amp;":00")</f>
        <v>22:00</v>
      </c>
      <c r="AC735" s="5" t="str">
        <f>IF($A735="","",VLOOKUP($F735,Lookups!$G$4:$H$8,2,TRUE))</f>
        <v>Late Evening (20-23)</v>
      </c>
      <c r="AD735" s="18">
        <f>IF($A735="","",IF($J735="","",ROUND($J735*41,1)))</f>
        <v>9</v>
      </c>
      <c r="AE735" s="18">
        <f>IF($A735="","",IF($R735="","",ROUND($R735*50,1)))</f>
        <v>10.6</v>
      </c>
      <c r="AF735" s="5">
        <f>IF($A735="","",IF($L735="","",ROUND($L735*100,0)))</f>
        <v>44</v>
      </c>
      <c r="AG735" s="18">
        <f>IF($A735="","",IF($M735="","",ROUND($M735*67,1)))</f>
        <v>17</v>
      </c>
      <c r="AH735" s="19">
        <f>IF($A735="","",IF($P735="","",IF($P735=0,0,$O735/$P735)))</f>
        <v>0.875</v>
      </c>
      <c r="AI735" s="5" t="str">
        <f>IF($A735="","",IF($P735="","",IF($P735&gt;=Lookups!$K$7,"High",IF($P735&lt;=Lookups!$K$8,"Low","Medium"))))</f>
        <v>Medium</v>
      </c>
      <c r="AJ735" s="5" t="str">
        <f>IF($A735="","",IF($AD735="","",IF($AD735&lt;5,"Under 5 C",IF($AD735&lt;10,"5-10 C",IF($AD735&lt;15,"10-15 C","15 C and above")))))</f>
        <v>5-10 C</v>
      </c>
      <c r="AK735" s="5">
        <f>IF($A735="","",IF($P735="","",$P735^2))</f>
        <v>1600</v>
      </c>
      <c r="AL735" s="18">
        <f>IF($V735&lt;&gt;1,"",AVERAGEIFS(Clean_Data!$P$2:$P$1001,Clean_Data!$F$2:$F$1001,$F735,Clean_Data!$W$2:$W$1001,$W735,Clean_Data!$V$2:$V$1001,1))</f>
        <v>37.1034482758621</v>
      </c>
      <c r="AM735" s="16">
        <f>IF($V735&lt;&gt;1,"",IFERROR(($P735-$AL735)/SQRT(MAX(0,(SUMIFS(Clean_Data!$AK$2:$AK$1001,Clean_Data!$F$2:$F$1001,$F735,Clean_Data!$W$2:$W$1001,$W735,Clean_Data!$V$2:$V$1001,1)-COUNTIFS(Clean_Data!$F$2:$F$1001,$F735,Clean_Data!$W$2:$W$1001,$W735,Clean_Data!$V$2:$V$1001,1)*$AL735^2)/(COUNTIFS(Clean_Data!$F$2:$F$1001,$F735,Clean_Data!$W$2:$W$1001,$W735,Clean_Data!$V$2:$V$1001,1)-1))),""))</f>
        <v>0.268331971083226</v>
      </c>
      <c r="AN735" s="5" t="str">
        <f>IF($AM735="","",IF($AM735&gt;=Lookups!$K$6,"High spike",IF($AM735&lt;=-Lookups!$K$6,"Unusual low","Normal")))</f>
        <v>Normal</v>
      </c>
      <c r="AO735" s="20">
        <f>IF($V735&lt;&gt;1,"",$P735+ROW()/100000)</f>
        <v>40.00735</v>
      </c>
      <c r="AP735" s="5">
        <f>IF($A735="","",IFERROR(MATCH($A735,Raw_D1!$A$2:$A$1001,0),""))</f>
        <v/>
      </c>
      <c r="AQ735" s="5">
        <f>IF($A735="","",IFERROR(MATCH($A735,Raw_D2!$B$2:$B$1001,0),""))</f>
        <v/>
      </c>
      <c r="AR735" s="5">
        <f>IF($A735="","",IFERROR(MATCH($A735,Raw_D3!$A$2:$A$1001,0),""))</f>
        <v>115</v>
      </c>
    </row>
    <row r="736" spans="1:44" x14ac:dyDescent="0.25">
      <c r="A736" s="5">
        <v>735</v>
      </c>
      <c r="B736" s="11">
        <f>IF($A736="","",IF($AP736&lt;&gt;"",INDEX(Raw_D1!$B$2:$B$1001,$AP736),IF($AR736&lt;&gt;"",INDEX(Raw_D3!$B$2:$B$1001,$AR736),"")))</f>
        <v>40576.0</v>
      </c>
      <c r="C736" s="5">
        <f>IF($A736="","",IF($AP736&lt;&gt;"",INDEX(Raw_D1!$C$2:$C$1001,$AP736),IF($AR736&lt;&gt;"",INDEX(Raw_D3!$C$2:$C$1001,$AR736),"")))</f>
        <v>1</v>
      </c>
      <c r="D736" s="5">
        <f>IF($A736="","",IF($AP736&lt;&gt;"",INDEX(Raw_D1!$D$2:$D$1001,$AP736),IF($AR736&lt;&gt;"",INDEX(Raw_D3!$D$2:$D$1001,$AR736),"")))</f>
        <v>0</v>
      </c>
      <c r="E736" s="5">
        <f>IF($A736="","",IF($AP736&lt;&gt;"",INDEX(Raw_D1!$E$2:$E$1001,$AP736),IF($AR736&lt;&gt;"",INDEX(Raw_D3!$E$2:$E$1001,$AR736),"")))</f>
        <v>2</v>
      </c>
      <c r="F736" s="5">
        <f>IF($A736="","",IF($AP736&lt;&gt;"",INDEX(Raw_D1!$F$2:$F$1001,$AP736),IF($AR736&lt;&gt;"",INDEX(Raw_D3!$F$2:$F$1001,$AR736),"")))</f>
        <v>23</v>
      </c>
      <c r="G736" s="5">
        <f>IF($A736="","",IF($AP736&lt;&gt;"",IF(INDEX(Raw_D1!$G$2:$G$1001,$AP736),1,0),IF($AR736&lt;&gt;"",IF(INDEX(Raw_D3!$G$2:$G$1001,$AR736),1,0),"")))</f>
        <v>0</v>
      </c>
      <c r="H736" s="5">
        <f>IF($A736="","",IF($AP736&lt;&gt;"",INDEX(Raw_D1!$H$2:$H$1001,$AP736),IF($AR736&lt;&gt;"",INDEX(Raw_D3!$H$2:$H$1001,$AR736),"")))</f>
        <v>3</v>
      </c>
      <c r="I736" s="5">
        <f>IF($A736="","",IF($AP736&lt;&gt;"",INDEX(Raw_D1!$I$2:$I$1001,$AP736),IF($AR736&lt;&gt;"",INDEX(Raw_D3!$I$2:$I$1001,$AR736),"")))</f>
        <v>1</v>
      </c>
      <c r="J736" s="16">
        <f>IF($A736="","",IF($AP736&lt;&gt;"",INDEX(Raw_D1!$J$2:$J$1001,$AP736),IF($AR736&lt;&gt;"",INDEX(Raw_D3!$J$2:$J$1001,$AR736),"")))</f>
        <v>0.2</v>
      </c>
      <c r="K736" s="17">
        <f>IF($A736="","",IF($AQ736&lt;&gt;"",IF(INDEX(Raw_D2!$C$2:$C$1001,$AQ736)="","",INDEX(Raw_D2!$C$2:$C$1001,$AQ736)),IF($AR736&lt;&gt;"",IF(INDEX(Raw_D3!$K$2:$K$1001,$AR736)="","",INDEX(Raw_D3!$K$2:$K$1001,$AR736)),"")))</f>
        <v>0.1667</v>
      </c>
      <c r="L736" s="16">
        <f>IF($A736="","",IF($AQ736&lt;&gt;"",IF(INDEX(Raw_D2!$D$2:$D$1001,$AQ736)="","",INDEX(Raw_D2!$D$2:$D$1001,$AQ736)),IF($AR736&lt;&gt;"",IF(INDEX(Raw_D3!$L$2:$L$1001,$AR736)="","",INDEX(Raw_D3!$L$2:$L$1001,$AR736)),"")))</f>
        <v>0.44</v>
      </c>
      <c r="M736" s="17">
        <f>IF($A736="","",IF($AQ736&lt;&gt;"",IF(INDEX(Raw_D2!$E$2:$E$1001,$AQ736)="","",INDEX(Raw_D2!$E$2:$E$1001,$AQ736)),IF($AR736&lt;&gt;"",IF(INDEX(Raw_D3!$M$2:$M$1001,$AR736)="","",INDEX(Raw_D3!$M$2:$M$1001,$AR736)),"")))</f>
        <v>0.4478</v>
      </c>
      <c r="N736" s="5">
        <f>IF($A736="","",IF($AQ736&lt;&gt;"",IF(INDEX(Raw_D2!$F$2:$F$1001,$AQ736)="","",INDEX(Raw_D2!$F$2:$F$1001,$AQ736)),IF($AR736&lt;&gt;"",IF(INDEX(Raw_D3!$N$2:$N$1001,$AR736)="","",INDEX(Raw_D3!$N$2:$N$1001,$AR736)),"")))</f>
        <v>3</v>
      </c>
      <c r="O736" s="5">
        <f>IF($A736="","",IF($AQ736&lt;&gt;"",IF(INDEX(Raw_D2!$G$2:$G$1001,$AQ736)="","",INDEX(Raw_D2!$G$2:$G$1001,$AQ736)),IF($AR736&lt;&gt;"",IF(INDEX(Raw_D3!$O$2:$O$1001,$AR736)="","",INDEX(Raw_D3!$O$2:$O$1001,$AR736)),"")))</f>
        <v>29</v>
      </c>
      <c r="P736" s="5">
        <f>IF($A736="","",IF($AQ736&lt;&gt;"",IF(INDEX(Raw_D2!$H$2:$H$1001,$AQ736)="","",INDEX(Raw_D2!$H$2:$H$1001,$AQ736)),IF($AR736&lt;&gt;"",IF(INDEX(Raw_D3!$P$2:$P$1001,$AR736)="","",INDEX(Raw_D3!$P$2:$P$1001,$AR736)),"")))</f>
        <v>32</v>
      </c>
      <c r="Q736" s="5" t="str">
        <f>IF($A736="","",IF(AND($AP736&lt;&gt;"",$AQ736&lt;&gt;""),"D1+D2",IF($AR736&lt;&gt;"","D3","Incomplete")))</f>
        <v>D3</v>
      </c>
      <c r="R736" s="17">
        <f>IF($A736="","",IF($K736="",IF($J736="","",ROUND(Lookups!$K$5+Lookups!$K$4*$J736,4)),$K736))</f>
        <v>0.1667</v>
      </c>
      <c r="S736" s="5" t="str">
        <f>IF($A736="","",IF($K736="","Imputed","Original"))</f>
        <v>Original</v>
      </c>
      <c r="T736" s="5" t="str">
        <f>IF($A736="","",IF($P736="","Missing",IF($P736=$N736+$O736,"OK","Mismatch")))</f>
        <v>OK</v>
      </c>
      <c r="U736" s="5" t="str">
        <f>IF($A736="","",IF(COUNTIF($A$2:$A736,$A736)&gt;1,"Duplicate","Unique"))</f>
        <v>Unique</v>
      </c>
      <c r="V736" s="5">
        <f>IF($A736="","",IF(AND($U736="Unique",ISNUMBER($P736)),1,0))</f>
        <v>1</v>
      </c>
      <c r="W736" s="5" t="str">
        <f>IF($A736="","",IF(OR($H736=0,$H736=6),"Weekend","Weekday"))</f>
        <v>Weekday</v>
      </c>
      <c r="X736" s="5" t="str">
        <f>IF($A736="","",TEXT($B736,"ddd"))</f>
        <v>Wed</v>
      </c>
      <c r="Y736" s="5" t="str">
        <f>IF($A736="","",TEXT($B736,"mmm"))</f>
        <v>Feb</v>
      </c>
      <c r="Z736" s="5" t="str">
        <f>IF($A736="","",IFERROR(VLOOKUP($C736,Lookups!$D$4:$E$7,2,FALSE),"Unknown"))</f>
        <v>Winter</v>
      </c>
      <c r="AA736" s="5" t="str">
        <f>IF($A736="","",IFERROR(VLOOKUP($I736,Lookups!$A$4:$B$7,2,FALSE),"Unknown"))</f>
        <v>Clear</v>
      </c>
      <c r="AB736" s="5" t="str">
        <f>IF($A736="","",TEXT($F736,"00")&amp;":00")</f>
        <v>23:00</v>
      </c>
      <c r="AC736" s="5" t="str">
        <f>IF($A736="","",VLOOKUP($F736,Lookups!$G$4:$H$8,2,TRUE))</f>
        <v>Late Evening (20-23)</v>
      </c>
      <c r="AD736" s="18">
        <f>IF($A736="","",IF($J736="","",ROUND($J736*41,1)))</f>
        <v>8.2</v>
      </c>
      <c r="AE736" s="18">
        <f>IF($A736="","",IF($R736="","",ROUND($R736*50,1)))</f>
        <v>8.3</v>
      </c>
      <c r="AF736" s="5">
        <f>IF($A736="","",IF($L736="","",ROUND($L736*100,0)))</f>
        <v>44</v>
      </c>
      <c r="AG736" s="18">
        <f>IF($A736="","",IF($M736="","",ROUND($M736*67,1)))</f>
        <v>30</v>
      </c>
      <c r="AH736" s="19">
        <f>IF($A736="","",IF($P736="","",IF($P736=0,0,$O736/$P736)))</f>
        <v>0.90625</v>
      </c>
      <c r="AI736" s="5" t="str">
        <f>IF($A736="","",IF($P736="","",IF($P736&gt;=Lookups!$K$7,"High",IF($P736&lt;=Lookups!$K$8,"Low","Medium"))))</f>
        <v>Medium</v>
      </c>
      <c r="AJ736" s="5" t="str">
        <f>IF($A736="","",IF($AD736="","",IF($AD736&lt;5,"Under 5 C",IF($AD736&lt;10,"5-10 C",IF($AD736&lt;15,"10-15 C","15 C and above")))))</f>
        <v>5-10 C</v>
      </c>
      <c r="AK736" s="5">
        <f>IF($A736="","",IF($P736="","",$P736^2))</f>
        <v>1024</v>
      </c>
      <c r="AL736" s="18">
        <f>IF($V736&lt;&gt;1,"",AVERAGEIFS(Clean_Data!$P$2:$P$1001,Clean_Data!$F$2:$F$1001,$F736,Clean_Data!$W$2:$W$1001,$W736,Clean_Data!$V$2:$V$1001,1))</f>
        <v>23.6896551724138</v>
      </c>
      <c r="AM736" s="16">
        <f>IF($V736&lt;&gt;1,"",IFERROR(($P736-$AL736)/SQRT(MAX(0,(SUMIFS(Clean_Data!$AK$2:$AK$1001,Clean_Data!$F$2:$F$1001,$F736,Clean_Data!$W$2:$W$1001,$W736,Clean_Data!$V$2:$V$1001,1)-COUNTIFS(Clean_Data!$F$2:$F$1001,$F736,Clean_Data!$W$2:$W$1001,$W736,Clean_Data!$V$2:$V$1001,1)*$AL736^2)/(COUNTIFS(Clean_Data!$F$2:$F$1001,$F736,Clean_Data!$W$2:$W$1001,$W736,Clean_Data!$V$2:$V$1001,1)-1))),""))</f>
        <v>0.793364622229763</v>
      </c>
      <c r="AN736" s="5" t="str">
        <f>IF($AM736="","",IF($AM736&gt;=Lookups!$K$6,"High spike",IF($AM736&lt;=-Lookups!$K$6,"Unusual low","Normal")))</f>
        <v>Normal</v>
      </c>
      <c r="AO736" s="20">
        <f>IF($V736&lt;&gt;1,"",$P736+ROW()/100000)</f>
        <v>32.00736</v>
      </c>
      <c r="AP736" s="5">
        <f>IF($A736="","",IFERROR(MATCH($A736,Raw_D1!$A$2:$A$1001,0),""))</f>
        <v/>
      </c>
      <c r="AQ736" s="5">
        <f>IF($A736="","",IFERROR(MATCH($A736,Raw_D2!$B$2:$B$1001,0),""))</f>
        <v/>
      </c>
      <c r="AR736" s="5">
        <f>IF($A736="","",IFERROR(MATCH($A736,Raw_D3!$A$2:$A$1001,0),""))</f>
        <v>116</v>
      </c>
    </row>
    <row r="737" spans="1:44" x14ac:dyDescent="0.25">
      <c r="A737" s="5">
        <v>736</v>
      </c>
      <c r="B737" s="11">
        <f>IF($A737="","",IF($AP737&lt;&gt;"",INDEX(Raw_D1!$B$2:$B$1001,$AP737),IF($AR737&lt;&gt;"",INDEX(Raw_D3!$B$2:$B$1001,$AR737),"")))</f>
        <v>40577.0</v>
      </c>
      <c r="C737" s="5">
        <f>IF($A737="","",IF($AP737&lt;&gt;"",INDEX(Raw_D1!$C$2:$C$1001,$AP737),IF($AR737&lt;&gt;"",INDEX(Raw_D3!$C$2:$C$1001,$AR737),"")))</f>
        <v>1</v>
      </c>
      <c r="D737" s="5">
        <f>IF($A737="","",IF($AP737&lt;&gt;"",INDEX(Raw_D1!$D$2:$D$1001,$AP737),IF($AR737&lt;&gt;"",INDEX(Raw_D3!$D$2:$D$1001,$AR737),"")))</f>
        <v>0</v>
      </c>
      <c r="E737" s="5">
        <f>IF($A737="","",IF($AP737&lt;&gt;"",INDEX(Raw_D1!$E$2:$E$1001,$AP737),IF($AR737&lt;&gt;"",INDEX(Raw_D3!$E$2:$E$1001,$AR737),"")))</f>
        <v>2</v>
      </c>
      <c r="F737" s="5">
        <f>IF($A737="","",IF($AP737&lt;&gt;"",INDEX(Raw_D1!$F$2:$F$1001,$AP737),IF($AR737&lt;&gt;"",INDEX(Raw_D3!$F$2:$F$1001,$AR737),"")))</f>
        <v>0</v>
      </c>
      <c r="G737" s="5">
        <f>IF($A737="","",IF($AP737&lt;&gt;"",IF(INDEX(Raw_D1!$G$2:$G$1001,$AP737),1,0),IF($AR737&lt;&gt;"",IF(INDEX(Raw_D3!$G$2:$G$1001,$AR737),1,0),"")))</f>
        <v>0</v>
      </c>
      <c r="H737" s="5">
        <f>IF($A737="","",IF($AP737&lt;&gt;"",INDEX(Raw_D1!$H$2:$H$1001,$AP737),IF($AR737&lt;&gt;"",INDEX(Raw_D3!$H$2:$H$1001,$AR737),"")))</f>
        <v>4</v>
      </c>
      <c r="I737" s="5">
        <f>IF($A737="","",IF($AP737&lt;&gt;"",INDEX(Raw_D1!$I$2:$I$1001,$AP737),IF($AR737&lt;&gt;"",INDEX(Raw_D3!$I$2:$I$1001,$AR737),"")))</f>
        <v>1</v>
      </c>
      <c r="J737" s="16">
        <f>IF($A737="","",IF($AP737&lt;&gt;"",INDEX(Raw_D1!$J$2:$J$1001,$AP737),IF($AR737&lt;&gt;"",INDEX(Raw_D3!$J$2:$J$1001,$AR737),"")))</f>
        <v>0.2</v>
      </c>
      <c r="K737" s="17">
        <f>IF($A737="","",IF($AQ737&lt;&gt;"",IF(INDEX(Raw_D2!$C$2:$C$1001,$AQ737)="","",INDEX(Raw_D2!$C$2:$C$1001,$AQ737)),IF($AR737&lt;&gt;"",IF(INDEX(Raw_D3!$K$2:$K$1001,$AR737)="","",INDEX(Raw_D3!$K$2:$K$1001,$AR737)),"")))</f>
        <v>0.1667</v>
      </c>
      <c r="L737" s="16">
        <f>IF($A737="","",IF($AQ737&lt;&gt;"",IF(INDEX(Raw_D2!$D$2:$D$1001,$AQ737)="","",INDEX(Raw_D2!$D$2:$D$1001,$AQ737)),IF($AR737&lt;&gt;"",IF(INDEX(Raw_D3!$L$2:$L$1001,$AR737)="","",INDEX(Raw_D3!$L$2:$L$1001,$AR737)),"")))</f>
        <v>0.4</v>
      </c>
      <c r="M737" s="17">
        <f>IF($A737="","",IF($AQ737&lt;&gt;"",IF(INDEX(Raw_D2!$E$2:$E$1001,$AQ737)="","",INDEX(Raw_D2!$E$2:$E$1001,$AQ737)),IF($AR737&lt;&gt;"",IF(INDEX(Raw_D3!$M$2:$M$1001,$AR737)="","",INDEX(Raw_D3!$M$2:$M$1001,$AR737)),"")))</f>
        <v>0.4478</v>
      </c>
      <c r="N737" s="5">
        <f>IF($A737="","",IF($AQ737&lt;&gt;"",IF(INDEX(Raw_D2!$F$2:$F$1001,$AQ737)="","",INDEX(Raw_D2!$F$2:$F$1001,$AQ737)),IF($AR737&lt;&gt;"",IF(INDEX(Raw_D3!$N$2:$N$1001,$AR737)="","",INDEX(Raw_D3!$N$2:$N$1001,$AR737)),"")))</f>
        <v>1</v>
      </c>
      <c r="O737" s="5">
        <f>IF($A737="","",IF($AQ737&lt;&gt;"",IF(INDEX(Raw_D2!$G$2:$G$1001,$AQ737)="","",INDEX(Raw_D2!$G$2:$G$1001,$AQ737)),IF($AR737&lt;&gt;"",IF(INDEX(Raw_D3!$O$2:$O$1001,$AR737)="","",INDEX(Raw_D3!$O$2:$O$1001,$AR737)),"")))</f>
        <v>11</v>
      </c>
      <c r="P737" s="5">
        <f>IF($A737="","",IF($AQ737&lt;&gt;"",IF(INDEX(Raw_D2!$H$2:$H$1001,$AQ737)="","",INDEX(Raw_D2!$H$2:$H$1001,$AQ737)),IF($AR737&lt;&gt;"",IF(INDEX(Raw_D3!$P$2:$P$1001,$AR737)="","",INDEX(Raw_D3!$P$2:$P$1001,$AR737)),"")))</f>
        <v>12</v>
      </c>
      <c r="Q737" s="5" t="str">
        <f>IF($A737="","",IF(AND($AP737&lt;&gt;"",$AQ737&lt;&gt;""),"D1+D2",IF($AR737&lt;&gt;"","D3","Incomplete")))</f>
        <v>D3</v>
      </c>
      <c r="R737" s="17">
        <f>IF($A737="","",IF($K737="",IF($J737="","",ROUND(Lookups!$K$5+Lookups!$K$4*$J737,4)),$K737))</f>
        <v>0.1667</v>
      </c>
      <c r="S737" s="5" t="str">
        <f>IF($A737="","",IF($K737="","Imputed","Original"))</f>
        <v>Original</v>
      </c>
      <c r="T737" s="5" t="str">
        <f>IF($A737="","",IF($P737="","Missing",IF($P737=$N737+$O737,"OK","Mismatch")))</f>
        <v>OK</v>
      </c>
      <c r="U737" s="5" t="str">
        <f>IF($A737="","",IF(COUNTIF($A$2:$A737,$A737)&gt;1,"Duplicate","Unique"))</f>
        <v>Unique</v>
      </c>
      <c r="V737" s="5">
        <f>IF($A737="","",IF(AND($U737="Unique",ISNUMBER($P737)),1,0))</f>
        <v>1</v>
      </c>
      <c r="W737" s="5" t="str">
        <f>IF($A737="","",IF(OR($H737=0,$H737=6),"Weekend","Weekday"))</f>
        <v>Weekday</v>
      </c>
      <c r="X737" s="5" t="str">
        <f>IF($A737="","",TEXT($B737,"ddd"))</f>
        <v>Thu</v>
      </c>
      <c r="Y737" s="5" t="str">
        <f>IF($A737="","",TEXT($B737,"mmm"))</f>
        <v>Feb</v>
      </c>
      <c r="Z737" s="5" t="str">
        <f>IF($A737="","",IFERROR(VLOOKUP($C737,Lookups!$D$4:$E$7,2,FALSE),"Unknown"))</f>
        <v>Winter</v>
      </c>
      <c r="AA737" s="5" t="str">
        <f>IF($A737="","",IFERROR(VLOOKUP($I737,Lookups!$A$4:$B$7,2,FALSE),"Unknown"))</f>
        <v>Clear</v>
      </c>
      <c r="AB737" s="5" t="str">
        <f>IF($A737="","",TEXT($F737,"00")&amp;":00")</f>
        <v>00:00</v>
      </c>
      <c r="AC737" s="5" t="str">
        <f>IF($A737="","",VLOOKUP($F737,Lookups!$G$4:$H$8,2,TRUE))</f>
        <v>Night (00-05)</v>
      </c>
      <c r="AD737" s="18">
        <f>IF($A737="","",IF($J737="","",ROUND($J737*41,1)))</f>
        <v>8.2</v>
      </c>
      <c r="AE737" s="18">
        <f>IF($A737="","",IF($R737="","",ROUND($R737*50,1)))</f>
        <v>8.3</v>
      </c>
      <c r="AF737" s="5">
        <f>IF($A737="","",IF($L737="","",ROUND($L737*100,0)))</f>
        <v>40</v>
      </c>
      <c r="AG737" s="18">
        <f>IF($A737="","",IF($M737="","",ROUND($M737*67,1)))</f>
        <v>30</v>
      </c>
      <c r="AH737" s="19">
        <f>IF($A737="","",IF($P737="","",IF($P737=0,0,$O737/$P737)))</f>
        <v>0.916666666666667</v>
      </c>
      <c r="AI737" s="5" t="str">
        <f>IF($A737="","",IF($P737="","",IF($P737&gt;=Lookups!$K$7,"High",IF($P737&lt;=Lookups!$K$8,"Low","Medium"))))</f>
        <v>Low</v>
      </c>
      <c r="AJ737" s="5" t="str">
        <f>IF($A737="","",IF($AD737="","",IF($AD737&lt;5,"Under 5 C",IF($AD737&lt;10,"5-10 C",IF($AD737&lt;15,"10-15 C","15 C and above")))))</f>
        <v>5-10 C</v>
      </c>
      <c r="AK737" s="5">
        <f>IF($A737="","",IF($P737="","",$P737^2))</f>
        <v>144</v>
      </c>
      <c r="AL737" s="18">
        <f>IF($V737&lt;&gt;1,"",AVERAGEIFS(Clean_Data!$P$2:$P$1001,Clean_Data!$F$2:$F$1001,$F737,Clean_Data!$W$2:$W$1001,$W737,Clean_Data!$V$2:$V$1001,1))</f>
        <v>10.6896551724138</v>
      </c>
      <c r="AM737" s="16">
        <f>IF($V737&lt;&gt;1,"",IFERROR(($P737-$AL737)/SQRT(MAX(0,(SUMIFS(Clean_Data!$AK$2:$AK$1001,Clean_Data!$F$2:$F$1001,$F737,Clean_Data!$W$2:$W$1001,$W737,Clean_Data!$V$2:$V$1001,1)-COUNTIFS(Clean_Data!$F$2:$F$1001,$F737,Clean_Data!$W$2:$W$1001,$W737,Clean_Data!$V$2:$V$1001,1)*$AL737^2)/(COUNTIFS(Clean_Data!$F$2:$F$1001,$F737,Clean_Data!$W$2:$W$1001,$W737,Clean_Data!$V$2:$V$1001,1)-1))),""))</f>
        <v>0.26783058391254</v>
      </c>
      <c r="AN737" s="5" t="str">
        <f>IF($AM737="","",IF($AM737&gt;=Lookups!$K$6,"High spike",IF($AM737&lt;=-Lookups!$K$6,"Unusual low","Normal")))</f>
        <v>Normal</v>
      </c>
      <c r="AO737" s="20">
        <f>IF($V737&lt;&gt;1,"",$P737+ROW()/100000)</f>
        <v>12.00737</v>
      </c>
      <c r="AP737" s="5">
        <f>IF($A737="","",IFERROR(MATCH($A737,Raw_D1!$A$2:$A$1001,0),""))</f>
        <v/>
      </c>
      <c r="AQ737" s="5">
        <f>IF($A737="","",IFERROR(MATCH($A737,Raw_D2!$B$2:$B$1001,0),""))</f>
        <v/>
      </c>
      <c r="AR737" s="5">
        <f>IF($A737="","",IFERROR(MATCH($A737,Raw_D3!$A$2:$A$1001,0),""))</f>
        <v>117</v>
      </c>
    </row>
    <row r="738" spans="1:44" x14ac:dyDescent="0.25">
      <c r="A738" s="5">
        <v>737</v>
      </c>
      <c r="B738" s="11">
        <f>IF($A738="","",IF($AP738&lt;&gt;"",INDEX(Raw_D1!$B$2:$B$1001,$AP738),IF($AR738&lt;&gt;"",INDEX(Raw_D3!$B$2:$B$1001,$AR738),"")))</f>
        <v>40577.0</v>
      </c>
      <c r="C738" s="5">
        <f>IF($A738="","",IF($AP738&lt;&gt;"",INDEX(Raw_D1!$C$2:$C$1001,$AP738),IF($AR738&lt;&gt;"",INDEX(Raw_D3!$C$2:$C$1001,$AR738),"")))</f>
        <v>1</v>
      </c>
      <c r="D738" s="5">
        <f>IF($A738="","",IF($AP738&lt;&gt;"",INDEX(Raw_D1!$D$2:$D$1001,$AP738),IF($AR738&lt;&gt;"",INDEX(Raw_D3!$D$2:$D$1001,$AR738),"")))</f>
        <v>0</v>
      </c>
      <c r="E738" s="5">
        <f>IF($A738="","",IF($AP738&lt;&gt;"",INDEX(Raw_D1!$E$2:$E$1001,$AP738),IF($AR738&lt;&gt;"",INDEX(Raw_D3!$E$2:$E$1001,$AR738),"")))</f>
        <v>2</v>
      </c>
      <c r="F738" s="5">
        <f>IF($A738="","",IF($AP738&lt;&gt;"",INDEX(Raw_D1!$F$2:$F$1001,$AP738),IF($AR738&lt;&gt;"",INDEX(Raw_D3!$F$2:$F$1001,$AR738),"")))</f>
        <v>1</v>
      </c>
      <c r="G738" s="5">
        <f>IF($A738="","",IF($AP738&lt;&gt;"",IF(INDEX(Raw_D1!$G$2:$G$1001,$AP738),1,0),IF($AR738&lt;&gt;"",IF(INDEX(Raw_D3!$G$2:$G$1001,$AR738),1,0),"")))</f>
        <v>0</v>
      </c>
      <c r="H738" s="5">
        <f>IF($A738="","",IF($AP738&lt;&gt;"",INDEX(Raw_D1!$H$2:$H$1001,$AP738),IF($AR738&lt;&gt;"",INDEX(Raw_D3!$H$2:$H$1001,$AR738),"")))</f>
        <v>4</v>
      </c>
      <c r="I738" s="5">
        <f>IF($A738="","",IF($AP738&lt;&gt;"",INDEX(Raw_D1!$I$2:$I$1001,$AP738),IF($AR738&lt;&gt;"",INDEX(Raw_D3!$I$2:$I$1001,$AR738),"")))</f>
        <v>1</v>
      </c>
      <c r="J738" s="16">
        <f>IF($A738="","",IF($AP738&lt;&gt;"",INDEX(Raw_D1!$J$2:$J$1001,$AP738),IF($AR738&lt;&gt;"",INDEX(Raw_D3!$J$2:$J$1001,$AR738),"")))</f>
        <v>0.2</v>
      </c>
      <c r="K738" s="17">
        <f>IF($A738="","",IF($AQ738&lt;&gt;"",IF(INDEX(Raw_D2!$C$2:$C$1001,$AQ738)="","",INDEX(Raw_D2!$C$2:$C$1001,$AQ738)),IF($AR738&lt;&gt;"",IF(INDEX(Raw_D3!$K$2:$K$1001,$AR738)="","",INDEX(Raw_D3!$K$2:$K$1001,$AR738)),"")))</f>
        <v>0.1515</v>
      </c>
      <c r="L738" s="16">
        <f>IF($A738="","",IF($AQ738&lt;&gt;"",IF(INDEX(Raw_D2!$D$2:$D$1001,$AQ738)="","",INDEX(Raw_D2!$D$2:$D$1001,$AQ738)),IF($AR738&lt;&gt;"",IF(INDEX(Raw_D3!$L$2:$L$1001,$AR738)="","",INDEX(Raw_D3!$L$2:$L$1001,$AR738)),"")))</f>
        <v>0.44</v>
      </c>
      <c r="M738" s="17">
        <f>IF($A738="","",IF($AQ738&lt;&gt;"",IF(INDEX(Raw_D2!$E$2:$E$1001,$AQ738)="","",INDEX(Raw_D2!$E$2:$E$1001,$AQ738)),IF($AR738&lt;&gt;"",IF(INDEX(Raw_D3!$M$2:$M$1001,$AR738)="","",INDEX(Raw_D3!$M$2:$M$1001,$AR738)),"")))</f>
        <v>0.5224</v>
      </c>
      <c r="N738" s="5">
        <f>IF($A738="","",IF($AQ738&lt;&gt;"",IF(INDEX(Raw_D2!$F$2:$F$1001,$AQ738)="","",INDEX(Raw_D2!$F$2:$F$1001,$AQ738)),IF($AR738&lt;&gt;"",IF(INDEX(Raw_D3!$N$2:$N$1001,$AR738)="","",INDEX(Raw_D3!$N$2:$N$1001,$AR738)),"")))</f>
        <v>0</v>
      </c>
      <c r="O738" s="5">
        <f>IF($A738="","",IF($AQ738&lt;&gt;"",IF(INDEX(Raw_D2!$G$2:$G$1001,$AQ738)="","",INDEX(Raw_D2!$G$2:$G$1001,$AQ738)),IF($AR738&lt;&gt;"",IF(INDEX(Raw_D3!$O$2:$O$1001,$AR738)="","",INDEX(Raw_D3!$O$2:$O$1001,$AR738)),"")))</f>
        <v>5</v>
      </c>
      <c r="P738" s="5">
        <f>IF($A738="","",IF($AQ738&lt;&gt;"",IF(INDEX(Raw_D2!$H$2:$H$1001,$AQ738)="","",INDEX(Raw_D2!$H$2:$H$1001,$AQ738)),IF($AR738&lt;&gt;"",IF(INDEX(Raw_D3!$P$2:$P$1001,$AR738)="","",INDEX(Raw_D3!$P$2:$P$1001,$AR738)),"")))</f>
        <v>5</v>
      </c>
      <c r="Q738" s="5" t="str">
        <f>IF($A738="","",IF(AND($AP738&lt;&gt;"",$AQ738&lt;&gt;""),"D1+D2",IF($AR738&lt;&gt;"","D3","Incomplete")))</f>
        <v>D3</v>
      </c>
      <c r="R738" s="17">
        <f>IF($A738="","",IF($K738="",IF($J738="","",ROUND(Lookups!$K$5+Lookups!$K$4*$J738,4)),$K738))</f>
        <v>0.1515</v>
      </c>
      <c r="S738" s="5" t="str">
        <f>IF($A738="","",IF($K738="","Imputed","Original"))</f>
        <v>Original</v>
      </c>
      <c r="T738" s="5" t="str">
        <f>IF($A738="","",IF($P738="","Missing",IF($P738=$N738+$O738,"OK","Mismatch")))</f>
        <v>OK</v>
      </c>
      <c r="U738" s="5" t="str">
        <f>IF($A738="","",IF(COUNTIF($A$2:$A738,$A738)&gt;1,"Duplicate","Unique"))</f>
        <v>Unique</v>
      </c>
      <c r="V738" s="5">
        <f>IF($A738="","",IF(AND($U738="Unique",ISNUMBER($P738)),1,0))</f>
        <v>1</v>
      </c>
      <c r="W738" s="5" t="str">
        <f>IF($A738="","",IF(OR($H738=0,$H738=6),"Weekend","Weekday"))</f>
        <v>Weekday</v>
      </c>
      <c r="X738" s="5" t="str">
        <f>IF($A738="","",TEXT($B738,"ddd"))</f>
        <v>Thu</v>
      </c>
      <c r="Y738" s="5" t="str">
        <f>IF($A738="","",TEXT($B738,"mmm"))</f>
        <v>Feb</v>
      </c>
      <c r="Z738" s="5" t="str">
        <f>IF($A738="","",IFERROR(VLOOKUP($C738,Lookups!$D$4:$E$7,2,FALSE),"Unknown"))</f>
        <v>Winter</v>
      </c>
      <c r="AA738" s="5" t="str">
        <f>IF($A738="","",IFERROR(VLOOKUP($I738,Lookups!$A$4:$B$7,2,FALSE),"Unknown"))</f>
        <v>Clear</v>
      </c>
      <c r="AB738" s="5" t="str">
        <f>IF($A738="","",TEXT($F738,"00")&amp;":00")</f>
        <v>01:00</v>
      </c>
      <c r="AC738" s="5" t="str">
        <f>IF($A738="","",VLOOKUP($F738,Lookups!$G$4:$H$8,2,TRUE))</f>
        <v>Night (00-05)</v>
      </c>
      <c r="AD738" s="18">
        <f>IF($A738="","",IF($J738="","",ROUND($J738*41,1)))</f>
        <v>8.2</v>
      </c>
      <c r="AE738" s="18">
        <f>IF($A738="","",IF($R738="","",ROUND($R738*50,1)))</f>
        <v>7.6</v>
      </c>
      <c r="AF738" s="5">
        <f>IF($A738="","",IF($L738="","",ROUND($L738*100,0)))</f>
        <v>44</v>
      </c>
      <c r="AG738" s="18">
        <f>IF($A738="","",IF($M738="","",ROUND($M738*67,1)))</f>
        <v>35</v>
      </c>
      <c r="AH738" s="19">
        <f>IF($A738="","",IF($P738="","",IF($P738=0,0,$O738/$P738)))</f>
        <v>1</v>
      </c>
      <c r="AI738" s="5" t="str">
        <f>IF($A738="","",IF($P738="","",IF($P738&gt;=Lookups!$K$7,"High",IF($P738&lt;=Lookups!$K$8,"Low","Medium"))))</f>
        <v>Low</v>
      </c>
      <c r="AJ738" s="5" t="str">
        <f>IF($A738="","",IF($AD738="","",IF($AD738&lt;5,"Under 5 C",IF($AD738&lt;10,"5-10 C",IF($AD738&lt;15,"10-15 C","15 C and above")))))</f>
        <v>5-10 C</v>
      </c>
      <c r="AK738" s="5">
        <f>IF($A738="","",IF($P738="","",$P738^2))</f>
        <v>25</v>
      </c>
      <c r="AL738" s="18">
        <f>IF($V738&lt;&gt;1,"",AVERAGEIFS(Clean_Data!$P$2:$P$1001,Clean_Data!$F$2:$F$1001,$F738,Clean_Data!$W$2:$W$1001,$W738,Clean_Data!$V$2:$V$1001,1))</f>
        <v>5.10344827586207</v>
      </c>
      <c r="AM738" s="16">
        <f>IF($V738&lt;&gt;1,"",IFERROR(($P738-$AL738)/SQRT(MAX(0,(SUMIFS(Clean_Data!$AK$2:$AK$1001,Clean_Data!$F$2:$F$1001,$F738,Clean_Data!$W$2:$W$1001,$W738,Clean_Data!$V$2:$V$1001,1)-COUNTIFS(Clean_Data!$F$2:$F$1001,$F738,Clean_Data!$W$2:$W$1001,$W738,Clean_Data!$V$2:$V$1001,1)*$AL738^2)/(COUNTIFS(Clean_Data!$F$2:$F$1001,$F738,Clean_Data!$W$2:$W$1001,$W738,Clean_Data!$V$2:$V$1001,1)-1))),""))</f>
        <v>-0.0358850647735475</v>
      </c>
      <c r="AN738" s="5" t="str">
        <f>IF($AM738="","",IF($AM738&gt;=Lookups!$K$6,"High spike",IF($AM738&lt;=-Lookups!$K$6,"Unusual low","Normal")))</f>
        <v>Normal</v>
      </c>
      <c r="AO738" s="20">
        <f>IF($V738&lt;&gt;1,"",$P738+ROW()/100000)</f>
        <v>5.00738</v>
      </c>
      <c r="AP738" s="5">
        <f>IF($A738="","",IFERROR(MATCH($A738,Raw_D1!$A$2:$A$1001,0),""))</f>
        <v/>
      </c>
      <c r="AQ738" s="5">
        <f>IF($A738="","",IFERROR(MATCH($A738,Raw_D2!$B$2:$B$1001,0),""))</f>
        <v/>
      </c>
      <c r="AR738" s="5">
        <f>IF($A738="","",IFERROR(MATCH($A738,Raw_D3!$A$2:$A$1001,0),""))</f>
        <v>118</v>
      </c>
    </row>
    <row r="739" spans="1:44" x14ac:dyDescent="0.25">
      <c r="A739" s="5">
        <v>738</v>
      </c>
      <c r="B739" s="11">
        <f>IF($A739="","",IF($AP739&lt;&gt;"",INDEX(Raw_D1!$B$2:$B$1001,$AP739),IF($AR739&lt;&gt;"",INDEX(Raw_D3!$B$2:$B$1001,$AR739),"")))</f>
        <v>40577.0</v>
      </c>
      <c r="C739" s="5">
        <f>IF($A739="","",IF($AP739&lt;&gt;"",INDEX(Raw_D1!$C$2:$C$1001,$AP739),IF($AR739&lt;&gt;"",INDEX(Raw_D3!$C$2:$C$1001,$AR739),"")))</f>
        <v>1</v>
      </c>
      <c r="D739" s="5">
        <f>IF($A739="","",IF($AP739&lt;&gt;"",INDEX(Raw_D1!$D$2:$D$1001,$AP739),IF($AR739&lt;&gt;"",INDEX(Raw_D3!$D$2:$D$1001,$AR739),"")))</f>
        <v>0</v>
      </c>
      <c r="E739" s="5">
        <f>IF($A739="","",IF($AP739&lt;&gt;"",INDEX(Raw_D1!$E$2:$E$1001,$AP739),IF($AR739&lt;&gt;"",INDEX(Raw_D3!$E$2:$E$1001,$AR739),"")))</f>
        <v>2</v>
      </c>
      <c r="F739" s="5">
        <f>IF($A739="","",IF($AP739&lt;&gt;"",INDEX(Raw_D1!$F$2:$F$1001,$AP739),IF($AR739&lt;&gt;"",INDEX(Raw_D3!$F$2:$F$1001,$AR739),"")))</f>
        <v>2</v>
      </c>
      <c r="G739" s="5">
        <f>IF($A739="","",IF($AP739&lt;&gt;"",IF(INDEX(Raw_D1!$G$2:$G$1001,$AP739),1,0),IF($AR739&lt;&gt;"",IF(INDEX(Raw_D3!$G$2:$G$1001,$AR739),1,0),"")))</f>
        <v>0</v>
      </c>
      <c r="H739" s="5">
        <f>IF($A739="","",IF($AP739&lt;&gt;"",INDEX(Raw_D1!$H$2:$H$1001,$AP739),IF($AR739&lt;&gt;"",INDEX(Raw_D3!$H$2:$H$1001,$AR739),"")))</f>
        <v>4</v>
      </c>
      <c r="I739" s="5">
        <f>IF($A739="","",IF($AP739&lt;&gt;"",INDEX(Raw_D1!$I$2:$I$1001,$AP739),IF($AR739&lt;&gt;"",INDEX(Raw_D3!$I$2:$I$1001,$AR739),"")))</f>
        <v>1</v>
      </c>
      <c r="J739" s="16">
        <f>IF($A739="","",IF($AP739&lt;&gt;"",INDEX(Raw_D1!$J$2:$J$1001,$AP739),IF($AR739&lt;&gt;"",INDEX(Raw_D3!$J$2:$J$1001,$AR739),"")))</f>
        <v>0.18</v>
      </c>
      <c r="K739" s="17">
        <f>IF($A739="","",IF($AQ739&lt;&gt;"",IF(INDEX(Raw_D2!$C$2:$C$1001,$AQ739)="","",INDEX(Raw_D2!$C$2:$C$1001,$AQ739)),IF($AR739&lt;&gt;"",IF(INDEX(Raw_D3!$K$2:$K$1001,$AR739)="","",INDEX(Raw_D3!$K$2:$K$1001,$AR739)),"")))</f>
        <v>0.1667</v>
      </c>
      <c r="L739" s="16">
        <f>IF($A739="","",IF($AQ739&lt;&gt;"",IF(INDEX(Raw_D2!$D$2:$D$1001,$AQ739)="","",INDEX(Raw_D2!$D$2:$D$1001,$AQ739)),IF($AR739&lt;&gt;"",IF(INDEX(Raw_D3!$L$2:$L$1001,$AR739)="","",INDEX(Raw_D3!$L$2:$L$1001,$AR739)),"")))</f>
        <v>0.43</v>
      </c>
      <c r="M739" s="17">
        <f>IF($A739="","",IF($AQ739&lt;&gt;"",IF(INDEX(Raw_D2!$E$2:$E$1001,$AQ739)="","",INDEX(Raw_D2!$E$2:$E$1001,$AQ739)),IF($AR739&lt;&gt;"",IF(INDEX(Raw_D3!$M$2:$M$1001,$AR739)="","",INDEX(Raw_D3!$M$2:$M$1001,$AR739)),"")))</f>
        <v>0.2537</v>
      </c>
      <c r="N739" s="5">
        <f>IF($A739="","",IF($AQ739&lt;&gt;"",IF(INDEX(Raw_D2!$F$2:$F$1001,$AQ739)="","",INDEX(Raw_D2!$F$2:$F$1001,$AQ739)),IF($AR739&lt;&gt;"",IF(INDEX(Raw_D3!$N$2:$N$1001,$AR739)="","",INDEX(Raw_D3!$N$2:$N$1001,$AR739)),"")))</f>
        <v>0</v>
      </c>
      <c r="O739" s="5">
        <f>IF($A739="","",IF($AQ739&lt;&gt;"",IF(INDEX(Raw_D2!$G$2:$G$1001,$AQ739)="","",INDEX(Raw_D2!$G$2:$G$1001,$AQ739)),IF($AR739&lt;&gt;"",IF(INDEX(Raw_D3!$O$2:$O$1001,$AR739)="","",INDEX(Raw_D3!$O$2:$O$1001,$AR739)),"")))</f>
        <v>2</v>
      </c>
      <c r="P739" s="5">
        <f>IF($A739="","",IF($AQ739&lt;&gt;"",IF(INDEX(Raw_D2!$H$2:$H$1001,$AQ739)="","",INDEX(Raw_D2!$H$2:$H$1001,$AQ739)),IF($AR739&lt;&gt;"",IF(INDEX(Raw_D3!$P$2:$P$1001,$AR739)="","",INDEX(Raw_D3!$P$2:$P$1001,$AR739)),"")))</f>
        <v>2</v>
      </c>
      <c r="Q739" s="5" t="str">
        <f>IF($A739="","",IF(AND($AP739&lt;&gt;"",$AQ739&lt;&gt;""),"D1+D2",IF($AR739&lt;&gt;"","D3","Incomplete")))</f>
        <v>D3</v>
      </c>
      <c r="R739" s="17">
        <f>IF($A739="","",IF($K739="",IF($J739="","",ROUND(Lookups!$K$5+Lookups!$K$4*$J739,4)),$K739))</f>
        <v>0.1667</v>
      </c>
      <c r="S739" s="5" t="str">
        <f>IF($A739="","",IF($K739="","Imputed","Original"))</f>
        <v>Original</v>
      </c>
      <c r="T739" s="5" t="str">
        <f>IF($A739="","",IF($P739="","Missing",IF($P739=$N739+$O739,"OK","Mismatch")))</f>
        <v>OK</v>
      </c>
      <c r="U739" s="5" t="str">
        <f>IF($A739="","",IF(COUNTIF($A$2:$A739,$A739)&gt;1,"Duplicate","Unique"))</f>
        <v>Unique</v>
      </c>
      <c r="V739" s="5">
        <f>IF($A739="","",IF(AND($U739="Unique",ISNUMBER($P739)),1,0))</f>
        <v>1</v>
      </c>
      <c r="W739" s="5" t="str">
        <f>IF($A739="","",IF(OR($H739=0,$H739=6),"Weekend","Weekday"))</f>
        <v>Weekday</v>
      </c>
      <c r="X739" s="5" t="str">
        <f>IF($A739="","",TEXT($B739,"ddd"))</f>
        <v>Thu</v>
      </c>
      <c r="Y739" s="5" t="str">
        <f>IF($A739="","",TEXT($B739,"mmm"))</f>
        <v>Feb</v>
      </c>
      <c r="Z739" s="5" t="str">
        <f>IF($A739="","",IFERROR(VLOOKUP($C739,Lookups!$D$4:$E$7,2,FALSE),"Unknown"))</f>
        <v>Winter</v>
      </c>
      <c r="AA739" s="5" t="str">
        <f>IF($A739="","",IFERROR(VLOOKUP($I739,Lookups!$A$4:$B$7,2,FALSE),"Unknown"))</f>
        <v>Clear</v>
      </c>
      <c r="AB739" s="5" t="str">
        <f>IF($A739="","",TEXT($F739,"00")&amp;":00")</f>
        <v>02:00</v>
      </c>
      <c r="AC739" s="5" t="str">
        <f>IF($A739="","",VLOOKUP($F739,Lookups!$G$4:$H$8,2,TRUE))</f>
        <v>Night (00-05)</v>
      </c>
      <c r="AD739" s="18">
        <f>IF($A739="","",IF($J739="","",ROUND($J739*41,1)))</f>
        <v>7.4</v>
      </c>
      <c r="AE739" s="18">
        <f>IF($A739="","",IF($R739="","",ROUND($R739*50,1)))</f>
        <v>8.3</v>
      </c>
      <c r="AF739" s="5">
        <f>IF($A739="","",IF($L739="","",ROUND($L739*100,0)))</f>
        <v>43</v>
      </c>
      <c r="AG739" s="18">
        <f>IF($A739="","",IF($M739="","",ROUND($M739*67,1)))</f>
        <v>17</v>
      </c>
      <c r="AH739" s="19">
        <f>IF($A739="","",IF($P739="","",IF($P739=0,0,$O739/$P739)))</f>
        <v>1</v>
      </c>
      <c r="AI739" s="5" t="str">
        <f>IF($A739="","",IF($P739="","",IF($P739&gt;=Lookups!$K$7,"High",IF($P739&lt;=Lookups!$K$8,"Low","Medium"))))</f>
        <v>Low</v>
      </c>
      <c r="AJ739" s="5" t="str">
        <f>IF($A739="","",IF($AD739="","",IF($AD739&lt;5,"Under 5 C",IF($AD739&lt;10,"5-10 C",IF($AD739&lt;15,"10-15 C","15 C and above")))))</f>
        <v>5-10 C</v>
      </c>
      <c r="AK739" s="5">
        <f>IF($A739="","",IF($P739="","",$P739^2))</f>
        <v>4</v>
      </c>
      <c r="AL739" s="18">
        <f>IF($V739&lt;&gt;1,"",AVERAGEIFS(Clean_Data!$P$2:$P$1001,Clean_Data!$F$2:$F$1001,$F739,Clean_Data!$W$2:$W$1001,$W739,Clean_Data!$V$2:$V$1001,1))</f>
        <v>2.62962962962963</v>
      </c>
      <c r="AM739" s="16">
        <f>IF($V739&lt;&gt;1,"",IFERROR(($P739-$AL739)/SQRT(MAX(0,(SUMIFS(Clean_Data!$AK$2:$AK$1001,Clean_Data!$F$2:$F$1001,$F739,Clean_Data!$W$2:$W$1001,$W739,Clean_Data!$V$2:$V$1001,1)-COUNTIFS(Clean_Data!$F$2:$F$1001,$F739,Clean_Data!$W$2:$W$1001,$W739,Clean_Data!$V$2:$V$1001,1)*$AL739^2)/(COUNTIFS(Clean_Data!$F$2:$F$1001,$F739,Clean_Data!$W$2:$W$1001,$W739,Clean_Data!$V$2:$V$1001,1)-1))),""))</f>
        <v>-0.311395810225326</v>
      </c>
      <c r="AN739" s="5" t="str">
        <f>IF($AM739="","",IF($AM739&gt;=Lookups!$K$6,"High spike",IF($AM739&lt;=-Lookups!$K$6,"Unusual low","Normal")))</f>
        <v>Normal</v>
      </c>
      <c r="AO739" s="20">
        <f>IF($V739&lt;&gt;1,"",$P739+ROW()/100000)</f>
        <v>2.00739</v>
      </c>
      <c r="AP739" s="5">
        <f>IF($A739="","",IFERROR(MATCH($A739,Raw_D1!$A$2:$A$1001,0),""))</f>
        <v/>
      </c>
      <c r="AQ739" s="5">
        <f>IF($A739="","",IFERROR(MATCH($A739,Raw_D2!$B$2:$B$1001,0),""))</f>
        <v/>
      </c>
      <c r="AR739" s="5">
        <f>IF($A739="","",IFERROR(MATCH($A739,Raw_D3!$A$2:$A$1001,0),""))</f>
        <v>119</v>
      </c>
    </row>
    <row r="740" spans="1:44" x14ac:dyDescent="0.25">
      <c r="A740" s="5">
        <v>739</v>
      </c>
      <c r="B740" s="11">
        <f>IF($A740="","",IF($AP740&lt;&gt;"",INDEX(Raw_D1!$B$2:$B$1001,$AP740),IF($AR740&lt;&gt;"",INDEX(Raw_D3!$B$2:$B$1001,$AR740),"")))</f>
        <v>40577.0</v>
      </c>
      <c r="C740" s="5">
        <f>IF($A740="","",IF($AP740&lt;&gt;"",INDEX(Raw_D1!$C$2:$C$1001,$AP740),IF($AR740&lt;&gt;"",INDEX(Raw_D3!$C$2:$C$1001,$AR740),"")))</f>
        <v>1</v>
      </c>
      <c r="D740" s="5">
        <f>IF($A740="","",IF($AP740&lt;&gt;"",INDEX(Raw_D1!$D$2:$D$1001,$AP740),IF($AR740&lt;&gt;"",INDEX(Raw_D3!$D$2:$D$1001,$AR740),"")))</f>
        <v>0</v>
      </c>
      <c r="E740" s="5">
        <f>IF($A740="","",IF($AP740&lt;&gt;"",INDEX(Raw_D1!$E$2:$E$1001,$AP740),IF($AR740&lt;&gt;"",INDEX(Raw_D3!$E$2:$E$1001,$AR740),"")))</f>
        <v>2</v>
      </c>
      <c r="F740" s="5">
        <f>IF($A740="","",IF($AP740&lt;&gt;"",INDEX(Raw_D1!$F$2:$F$1001,$AP740),IF($AR740&lt;&gt;"",INDEX(Raw_D3!$F$2:$F$1001,$AR740),"")))</f>
        <v>3</v>
      </c>
      <c r="G740" s="5">
        <f>IF($A740="","",IF($AP740&lt;&gt;"",IF(INDEX(Raw_D1!$G$2:$G$1001,$AP740),1,0),IF($AR740&lt;&gt;"",IF(INDEX(Raw_D3!$G$2:$G$1001,$AR740),1,0),"")))</f>
        <v>0</v>
      </c>
      <c r="H740" s="5">
        <f>IF($A740="","",IF($AP740&lt;&gt;"",INDEX(Raw_D1!$H$2:$H$1001,$AP740),IF($AR740&lt;&gt;"",INDEX(Raw_D3!$H$2:$H$1001,$AR740),"")))</f>
        <v>4</v>
      </c>
      <c r="I740" s="5">
        <f>IF($A740="","",IF($AP740&lt;&gt;"",INDEX(Raw_D1!$I$2:$I$1001,$AP740),IF($AR740&lt;&gt;"",INDEX(Raw_D3!$I$2:$I$1001,$AR740),"")))</f>
        <v>1</v>
      </c>
      <c r="J740" s="16">
        <f>IF($A740="","",IF($AP740&lt;&gt;"",INDEX(Raw_D1!$J$2:$J$1001,$AP740),IF($AR740&lt;&gt;"",INDEX(Raw_D3!$J$2:$J$1001,$AR740),"")))</f>
        <v>0.18</v>
      </c>
      <c r="K740" s="17">
        <f>IF($A740="","",IF($AQ740&lt;&gt;"",IF(INDEX(Raw_D2!$C$2:$C$1001,$AQ740)="","",INDEX(Raw_D2!$C$2:$C$1001,$AQ740)),IF($AR740&lt;&gt;"",IF(INDEX(Raw_D3!$K$2:$K$1001,$AR740)="","",INDEX(Raw_D3!$K$2:$K$1001,$AR740)),"")))</f>
        <v>0.1667</v>
      </c>
      <c r="L740" s="16">
        <f>IF($A740="","",IF($AQ740&lt;&gt;"",IF(INDEX(Raw_D2!$D$2:$D$1001,$AQ740)="","",INDEX(Raw_D2!$D$2:$D$1001,$AQ740)),IF($AR740&lt;&gt;"",IF(INDEX(Raw_D3!$L$2:$L$1001,$AR740)="","",INDEX(Raw_D3!$L$2:$L$1001,$AR740)),"")))</f>
        <v>0.43</v>
      </c>
      <c r="M740" s="17">
        <f>IF($A740="","",IF($AQ740&lt;&gt;"",IF(INDEX(Raw_D2!$E$2:$E$1001,$AQ740)="","",INDEX(Raw_D2!$E$2:$E$1001,$AQ740)),IF($AR740&lt;&gt;"",IF(INDEX(Raw_D3!$M$2:$M$1001,$AR740)="","",INDEX(Raw_D3!$M$2:$M$1001,$AR740)),"")))</f>
        <v>0.2537</v>
      </c>
      <c r="N740" s="5">
        <f>IF($A740="","",IF($AQ740&lt;&gt;"",IF(INDEX(Raw_D2!$F$2:$F$1001,$AQ740)="","",INDEX(Raw_D2!$F$2:$F$1001,$AQ740)),IF($AR740&lt;&gt;"",IF(INDEX(Raw_D3!$N$2:$N$1001,$AR740)="","",INDEX(Raw_D3!$N$2:$N$1001,$AR740)),"")))</f>
        <v>0</v>
      </c>
      <c r="O740" s="5">
        <f>IF($A740="","",IF($AQ740&lt;&gt;"",IF(INDEX(Raw_D2!$G$2:$G$1001,$AQ740)="","",INDEX(Raw_D2!$G$2:$G$1001,$AQ740)),IF($AR740&lt;&gt;"",IF(INDEX(Raw_D3!$O$2:$O$1001,$AR740)="","",INDEX(Raw_D3!$O$2:$O$1001,$AR740)),"")))</f>
        <v>1</v>
      </c>
      <c r="P740" s="5">
        <f>IF($A740="","",IF($AQ740&lt;&gt;"",IF(INDEX(Raw_D2!$H$2:$H$1001,$AQ740)="","",INDEX(Raw_D2!$H$2:$H$1001,$AQ740)),IF($AR740&lt;&gt;"",IF(INDEX(Raw_D3!$P$2:$P$1001,$AR740)="","",INDEX(Raw_D3!$P$2:$P$1001,$AR740)),"")))</f>
        <v>1</v>
      </c>
      <c r="Q740" s="5" t="str">
        <f>IF($A740="","",IF(AND($AP740&lt;&gt;"",$AQ740&lt;&gt;""),"D1+D2",IF($AR740&lt;&gt;"","D3","Incomplete")))</f>
        <v>D3</v>
      </c>
      <c r="R740" s="17">
        <f>IF($A740="","",IF($K740="",IF($J740="","",ROUND(Lookups!$K$5+Lookups!$K$4*$J740,4)),$K740))</f>
        <v>0.1667</v>
      </c>
      <c r="S740" s="5" t="str">
        <f>IF($A740="","",IF($K740="","Imputed","Original"))</f>
        <v>Original</v>
      </c>
      <c r="T740" s="5" t="str">
        <f>IF($A740="","",IF($P740="","Missing",IF($P740=$N740+$O740,"OK","Mismatch")))</f>
        <v>OK</v>
      </c>
      <c r="U740" s="5" t="str">
        <f>IF($A740="","",IF(COUNTIF($A$2:$A740,$A740)&gt;1,"Duplicate","Unique"))</f>
        <v>Unique</v>
      </c>
      <c r="V740" s="5">
        <f>IF($A740="","",IF(AND($U740="Unique",ISNUMBER($P740)),1,0))</f>
        <v>1</v>
      </c>
      <c r="W740" s="5" t="str">
        <f>IF($A740="","",IF(OR($H740=0,$H740=6),"Weekend","Weekday"))</f>
        <v>Weekday</v>
      </c>
      <c r="X740" s="5" t="str">
        <f>IF($A740="","",TEXT($B740,"ddd"))</f>
        <v>Thu</v>
      </c>
      <c r="Y740" s="5" t="str">
        <f>IF($A740="","",TEXT($B740,"mmm"))</f>
        <v>Feb</v>
      </c>
      <c r="Z740" s="5" t="str">
        <f>IF($A740="","",IFERROR(VLOOKUP($C740,Lookups!$D$4:$E$7,2,FALSE),"Unknown"))</f>
        <v>Winter</v>
      </c>
      <c r="AA740" s="5" t="str">
        <f>IF($A740="","",IFERROR(VLOOKUP($I740,Lookups!$A$4:$B$7,2,FALSE),"Unknown"))</f>
        <v>Clear</v>
      </c>
      <c r="AB740" s="5" t="str">
        <f>IF($A740="","",TEXT($F740,"00")&amp;":00")</f>
        <v>03:00</v>
      </c>
      <c r="AC740" s="5" t="str">
        <f>IF($A740="","",VLOOKUP($F740,Lookups!$G$4:$H$8,2,TRUE))</f>
        <v>Night (00-05)</v>
      </c>
      <c r="AD740" s="18">
        <f>IF($A740="","",IF($J740="","",ROUND($J740*41,1)))</f>
        <v>7.4</v>
      </c>
      <c r="AE740" s="18">
        <f>IF($A740="","",IF($R740="","",ROUND($R740*50,1)))</f>
        <v>8.3</v>
      </c>
      <c r="AF740" s="5">
        <f>IF($A740="","",IF($L740="","",ROUND($L740*100,0)))</f>
        <v>43</v>
      </c>
      <c r="AG740" s="18">
        <f>IF($A740="","",IF($M740="","",ROUND($M740*67,1)))</f>
        <v>17</v>
      </c>
      <c r="AH740" s="19">
        <f>IF($A740="","",IF($P740="","",IF($P740=0,0,$O740/$P740)))</f>
        <v>1</v>
      </c>
      <c r="AI740" s="5" t="str">
        <f>IF($A740="","",IF($P740="","",IF($P740&gt;=Lookups!$K$7,"High",IF($P740&lt;=Lookups!$K$8,"Low","Medium"))))</f>
        <v>Low</v>
      </c>
      <c r="AJ740" s="5" t="str">
        <f>IF($A740="","",IF($AD740="","",IF($AD740&lt;5,"Under 5 C",IF($AD740&lt;10,"5-10 C",IF($AD740&lt;15,"10-15 C","15 C and above")))))</f>
        <v>5-10 C</v>
      </c>
      <c r="AK740" s="5">
        <f>IF($A740="","",IF($P740="","",$P740^2))</f>
        <v>1</v>
      </c>
      <c r="AL740" s="18">
        <f>IF($V740&lt;&gt;1,"",AVERAGEIFS(Clean_Data!$P$2:$P$1001,Clean_Data!$F$2:$F$1001,$F740,Clean_Data!$W$2:$W$1001,$W740,Clean_Data!$V$2:$V$1001,1))</f>
        <v>1.41176470588235</v>
      </c>
      <c r="AM740" s="16">
        <f>IF($V740&lt;&gt;1,"",IFERROR(($P740-$AL740)/SQRT(MAX(0,(SUMIFS(Clean_Data!$AK$2:$AK$1001,Clean_Data!$F$2:$F$1001,$F740,Clean_Data!$W$2:$W$1001,$W740,Clean_Data!$V$2:$V$1001,1)-COUNTIFS(Clean_Data!$F$2:$F$1001,$F740,Clean_Data!$W$2:$W$1001,$W740,Clean_Data!$V$2:$V$1001,1)*$AL740^2)/(COUNTIFS(Clean_Data!$F$2:$F$1001,$F740,Clean_Data!$W$2:$W$1001,$W740,Clean_Data!$V$2:$V$1001,1)-1))),""))</f>
        <v>-0.665912091816292</v>
      </c>
      <c r="AN740" s="5" t="str">
        <f>IF($AM740="","",IF($AM740&gt;=Lookups!$K$6,"High spike",IF($AM740&lt;=-Lookups!$K$6,"Unusual low","Normal")))</f>
        <v>Normal</v>
      </c>
      <c r="AO740" s="20">
        <f>IF($V740&lt;&gt;1,"",$P740+ROW()/100000)</f>
        <v>1.0074</v>
      </c>
      <c r="AP740" s="5">
        <f>IF($A740="","",IFERROR(MATCH($A740,Raw_D1!$A$2:$A$1001,0),""))</f>
        <v/>
      </c>
      <c r="AQ740" s="5">
        <f>IF($A740="","",IFERROR(MATCH($A740,Raw_D2!$B$2:$B$1001,0),""))</f>
        <v/>
      </c>
      <c r="AR740" s="5">
        <f>IF($A740="","",IFERROR(MATCH($A740,Raw_D3!$A$2:$A$1001,0),""))</f>
        <v>120</v>
      </c>
    </row>
    <row r="741" spans="1:44" x14ac:dyDescent="0.25">
      <c r="A741" s="5">
        <v>740</v>
      </c>
      <c r="B741" s="11">
        <f>IF($A741="","",IF($AP741&lt;&gt;"",INDEX(Raw_D1!$B$2:$B$1001,$AP741),IF($AR741&lt;&gt;"",INDEX(Raw_D3!$B$2:$B$1001,$AR741),"")))</f>
        <v>40577.0</v>
      </c>
      <c r="C741" s="5">
        <f>IF($A741="","",IF($AP741&lt;&gt;"",INDEX(Raw_D1!$C$2:$C$1001,$AP741),IF($AR741&lt;&gt;"",INDEX(Raw_D3!$C$2:$C$1001,$AR741),"")))</f>
        <v>1</v>
      </c>
      <c r="D741" s="5">
        <f>IF($A741="","",IF($AP741&lt;&gt;"",INDEX(Raw_D1!$D$2:$D$1001,$AP741),IF($AR741&lt;&gt;"",INDEX(Raw_D3!$D$2:$D$1001,$AR741),"")))</f>
        <v>0</v>
      </c>
      <c r="E741" s="5">
        <f>IF($A741="","",IF($AP741&lt;&gt;"",INDEX(Raw_D1!$E$2:$E$1001,$AP741),IF($AR741&lt;&gt;"",INDEX(Raw_D3!$E$2:$E$1001,$AR741),"")))</f>
        <v>2</v>
      </c>
      <c r="F741" s="5">
        <f>IF($A741="","",IF($AP741&lt;&gt;"",INDEX(Raw_D1!$F$2:$F$1001,$AP741),IF($AR741&lt;&gt;"",INDEX(Raw_D3!$F$2:$F$1001,$AR741),"")))</f>
        <v>5</v>
      </c>
      <c r="G741" s="5">
        <f>IF($A741="","",IF($AP741&lt;&gt;"",IF(INDEX(Raw_D1!$G$2:$G$1001,$AP741),1,0),IF($AR741&lt;&gt;"",IF(INDEX(Raw_D3!$G$2:$G$1001,$AR741),1,0),"")))</f>
        <v>0</v>
      </c>
      <c r="H741" s="5">
        <f>IF($A741="","",IF($AP741&lt;&gt;"",INDEX(Raw_D1!$H$2:$H$1001,$AP741),IF($AR741&lt;&gt;"",INDEX(Raw_D3!$H$2:$H$1001,$AR741),"")))</f>
        <v>4</v>
      </c>
      <c r="I741" s="5">
        <f>IF($A741="","",IF($AP741&lt;&gt;"",INDEX(Raw_D1!$I$2:$I$1001,$AP741),IF($AR741&lt;&gt;"",INDEX(Raw_D3!$I$2:$I$1001,$AR741),"")))</f>
        <v>1</v>
      </c>
      <c r="J741" s="16">
        <f>IF($A741="","",IF($AP741&lt;&gt;"",INDEX(Raw_D1!$J$2:$J$1001,$AP741),IF($AR741&lt;&gt;"",INDEX(Raw_D3!$J$2:$J$1001,$AR741),"")))</f>
        <v>0.16</v>
      </c>
      <c r="K741" s="17">
        <f>IF($A741="","",IF($AQ741&lt;&gt;"",IF(INDEX(Raw_D2!$C$2:$C$1001,$AQ741)="","",INDEX(Raw_D2!$C$2:$C$1001,$AQ741)),IF($AR741&lt;&gt;"",IF(INDEX(Raw_D3!$K$2:$K$1001,$AR741)="","",INDEX(Raw_D3!$K$2:$K$1001,$AR741)),"")))</f>
        <v>0.1364</v>
      </c>
      <c r="L741" s="16">
        <f>IF($A741="","",IF($AQ741&lt;&gt;"",IF(INDEX(Raw_D2!$D$2:$D$1001,$AQ741)="","",INDEX(Raw_D2!$D$2:$D$1001,$AQ741)),IF($AR741&lt;&gt;"",IF(INDEX(Raw_D3!$L$2:$L$1001,$AR741)="","",INDEX(Raw_D3!$L$2:$L$1001,$AR741)),"")))</f>
        <v>0.5</v>
      </c>
      <c r="M741" s="17">
        <f>IF($A741="","",IF($AQ741&lt;&gt;"",IF(INDEX(Raw_D2!$E$2:$E$1001,$AQ741)="","",INDEX(Raw_D2!$E$2:$E$1001,$AQ741)),IF($AR741&lt;&gt;"",IF(INDEX(Raw_D3!$M$2:$M$1001,$AR741)="","",INDEX(Raw_D3!$M$2:$M$1001,$AR741)),"")))</f>
        <v>0.2985</v>
      </c>
      <c r="N741" s="5">
        <f>IF($A741="","",IF($AQ741&lt;&gt;"",IF(INDEX(Raw_D2!$F$2:$F$1001,$AQ741)="","",INDEX(Raw_D2!$F$2:$F$1001,$AQ741)),IF($AR741&lt;&gt;"",IF(INDEX(Raw_D3!$N$2:$N$1001,$AR741)="","",INDEX(Raw_D3!$N$2:$N$1001,$AR741)),"")))</f>
        <v>0</v>
      </c>
      <c r="O741" s="5">
        <f>IF($A741="","",IF($AQ741&lt;&gt;"",IF(INDEX(Raw_D2!$G$2:$G$1001,$AQ741)="","",INDEX(Raw_D2!$G$2:$G$1001,$AQ741)),IF($AR741&lt;&gt;"",IF(INDEX(Raw_D3!$O$2:$O$1001,$AR741)="","",INDEX(Raw_D3!$O$2:$O$1001,$AR741)),"")))</f>
        <v>2</v>
      </c>
      <c r="P741" s="5">
        <f>IF($A741="","",IF($AQ741&lt;&gt;"",IF(INDEX(Raw_D2!$H$2:$H$1001,$AQ741)="","",INDEX(Raw_D2!$H$2:$H$1001,$AQ741)),IF($AR741&lt;&gt;"",IF(INDEX(Raw_D3!$P$2:$P$1001,$AR741)="","",INDEX(Raw_D3!$P$2:$P$1001,$AR741)),"")))</f>
        <v>2</v>
      </c>
      <c r="Q741" s="5" t="str">
        <f>IF($A741="","",IF(AND($AP741&lt;&gt;"",$AQ741&lt;&gt;""),"D1+D2",IF($AR741&lt;&gt;"","D3","Incomplete")))</f>
        <v>D3</v>
      </c>
      <c r="R741" s="17">
        <f>IF($A741="","",IF($K741="",IF($J741="","",ROUND(Lookups!$K$5+Lookups!$K$4*$J741,4)),$K741))</f>
        <v>0.1364</v>
      </c>
      <c r="S741" s="5" t="str">
        <f>IF($A741="","",IF($K741="","Imputed","Original"))</f>
        <v>Original</v>
      </c>
      <c r="T741" s="5" t="str">
        <f>IF($A741="","",IF($P741="","Missing",IF($P741=$N741+$O741,"OK","Mismatch")))</f>
        <v>OK</v>
      </c>
      <c r="U741" s="5" t="str">
        <f>IF($A741="","",IF(COUNTIF($A$2:$A741,$A741)&gt;1,"Duplicate","Unique"))</f>
        <v>Unique</v>
      </c>
      <c r="V741" s="5">
        <f>IF($A741="","",IF(AND($U741="Unique",ISNUMBER($P741)),1,0))</f>
        <v>1</v>
      </c>
      <c r="W741" s="5" t="str">
        <f>IF($A741="","",IF(OR($H741=0,$H741=6),"Weekend","Weekday"))</f>
        <v>Weekday</v>
      </c>
      <c r="X741" s="5" t="str">
        <f>IF($A741="","",TEXT($B741,"ddd"))</f>
        <v>Thu</v>
      </c>
      <c r="Y741" s="5" t="str">
        <f>IF($A741="","",TEXT($B741,"mmm"))</f>
        <v>Feb</v>
      </c>
      <c r="Z741" s="5" t="str">
        <f>IF($A741="","",IFERROR(VLOOKUP($C741,Lookups!$D$4:$E$7,2,FALSE),"Unknown"))</f>
        <v>Winter</v>
      </c>
      <c r="AA741" s="5" t="str">
        <f>IF($A741="","",IFERROR(VLOOKUP($I741,Lookups!$A$4:$B$7,2,FALSE),"Unknown"))</f>
        <v>Clear</v>
      </c>
      <c r="AB741" s="5" t="str">
        <f>IF($A741="","",TEXT($F741,"00")&amp;":00")</f>
        <v>05:00</v>
      </c>
      <c r="AC741" s="5" t="str">
        <f>IF($A741="","",VLOOKUP($F741,Lookups!$G$4:$H$8,2,TRUE))</f>
        <v>Night (00-05)</v>
      </c>
      <c r="AD741" s="18">
        <f>IF($A741="","",IF($J741="","",ROUND($J741*41,1)))</f>
        <v>6.6</v>
      </c>
      <c r="AE741" s="18">
        <f>IF($A741="","",IF($R741="","",ROUND($R741*50,1)))</f>
        <v>6.8</v>
      </c>
      <c r="AF741" s="5">
        <f>IF($A741="","",IF($L741="","",ROUND($L741*100,0)))</f>
        <v>50</v>
      </c>
      <c r="AG741" s="18">
        <f>IF($A741="","",IF($M741="","",ROUND($M741*67,1)))</f>
        <v>20</v>
      </c>
      <c r="AH741" s="19">
        <f>IF($A741="","",IF($P741="","",IF($P741=0,0,$O741/$P741)))</f>
        <v>1</v>
      </c>
      <c r="AI741" s="5" t="str">
        <f>IF($A741="","",IF($P741="","",IF($P741&gt;=Lookups!$K$7,"High",IF($P741&lt;=Lookups!$K$8,"Low","Medium"))))</f>
        <v>Low</v>
      </c>
      <c r="AJ741" s="5" t="str">
        <f>IF($A741="","",IF($AD741="","",IF($AD741&lt;5,"Under 5 C",IF($AD741&lt;10,"5-10 C",IF($AD741&lt;15,"10-15 C","15 C and above")))))</f>
        <v>5-10 C</v>
      </c>
      <c r="AK741" s="5">
        <f>IF($A741="","",IF($P741="","",$P741^2))</f>
        <v>4</v>
      </c>
      <c r="AL741" s="18">
        <f>IF($V741&lt;&gt;1,"",AVERAGEIFS(Clean_Data!$P$2:$P$1001,Clean_Data!$F$2:$F$1001,$F741,Clean_Data!$W$2:$W$1001,$W741,Clean_Data!$V$2:$V$1001,1))</f>
        <v>4.72413793103448</v>
      </c>
      <c r="AM741" s="16">
        <f>IF($V741&lt;&gt;1,"",IFERROR(($P741-$AL741)/SQRT(MAX(0,(SUMIFS(Clean_Data!$AK$2:$AK$1001,Clean_Data!$F$2:$F$1001,$F741,Clean_Data!$W$2:$W$1001,$W741,Clean_Data!$V$2:$V$1001,1)-COUNTIFS(Clean_Data!$F$2:$F$1001,$F741,Clean_Data!$W$2:$W$1001,$W741,Clean_Data!$V$2:$V$1001,1)*$AL741^2)/(COUNTIFS(Clean_Data!$F$2:$F$1001,$F741,Clean_Data!$W$2:$W$1001,$W741,Clean_Data!$V$2:$V$1001,1)-1))),""))</f>
        <v>-1.16235738345477</v>
      </c>
      <c r="AN741" s="5" t="str">
        <f>IF($AM741="","",IF($AM741&gt;=Lookups!$K$6,"High spike",IF($AM741&lt;=-Lookups!$K$6,"Unusual low","Normal")))</f>
        <v>Normal</v>
      </c>
      <c r="AO741" s="20">
        <f>IF($V741&lt;&gt;1,"",$P741+ROW()/100000)</f>
        <v>2.00741</v>
      </c>
      <c r="AP741" s="5">
        <f>IF($A741="","",IFERROR(MATCH($A741,Raw_D1!$A$2:$A$1001,0),""))</f>
        <v/>
      </c>
      <c r="AQ741" s="5">
        <f>IF($A741="","",IFERROR(MATCH($A741,Raw_D2!$B$2:$B$1001,0),""))</f>
        <v/>
      </c>
      <c r="AR741" s="5">
        <f>IF($A741="","",IFERROR(MATCH($A741,Raw_D3!$A$2:$A$1001,0),""))</f>
        <v>121</v>
      </c>
    </row>
    <row r="742" spans="1:44" x14ac:dyDescent="0.25">
      <c r="A742" s="5">
        <v>741</v>
      </c>
      <c r="B742" s="11">
        <f>IF($A742="","",IF($AP742&lt;&gt;"",INDEX(Raw_D1!$B$2:$B$1001,$AP742),IF($AR742&lt;&gt;"",INDEX(Raw_D3!$B$2:$B$1001,$AR742),"")))</f>
        <v>40577.0</v>
      </c>
      <c r="C742" s="5">
        <f>IF($A742="","",IF($AP742&lt;&gt;"",INDEX(Raw_D1!$C$2:$C$1001,$AP742),IF($AR742&lt;&gt;"",INDEX(Raw_D3!$C$2:$C$1001,$AR742),"")))</f>
        <v>1</v>
      </c>
      <c r="D742" s="5">
        <f>IF($A742="","",IF($AP742&lt;&gt;"",INDEX(Raw_D1!$D$2:$D$1001,$AP742),IF($AR742&lt;&gt;"",INDEX(Raw_D3!$D$2:$D$1001,$AR742),"")))</f>
        <v>0</v>
      </c>
      <c r="E742" s="5">
        <f>IF($A742="","",IF($AP742&lt;&gt;"",INDEX(Raw_D1!$E$2:$E$1001,$AP742),IF($AR742&lt;&gt;"",INDEX(Raw_D3!$E$2:$E$1001,$AR742),"")))</f>
        <v>2</v>
      </c>
      <c r="F742" s="5">
        <f>IF($A742="","",IF($AP742&lt;&gt;"",INDEX(Raw_D1!$F$2:$F$1001,$AP742),IF($AR742&lt;&gt;"",INDEX(Raw_D3!$F$2:$F$1001,$AR742),"")))</f>
        <v>6</v>
      </c>
      <c r="G742" s="5">
        <f>IF($A742="","",IF($AP742&lt;&gt;"",IF(INDEX(Raw_D1!$G$2:$G$1001,$AP742),1,0),IF($AR742&lt;&gt;"",IF(INDEX(Raw_D3!$G$2:$G$1001,$AR742),1,0),"")))</f>
        <v>0</v>
      </c>
      <c r="H742" s="5">
        <f>IF($A742="","",IF($AP742&lt;&gt;"",INDEX(Raw_D1!$H$2:$H$1001,$AP742),IF($AR742&lt;&gt;"",INDEX(Raw_D3!$H$2:$H$1001,$AR742),"")))</f>
        <v>4</v>
      </c>
      <c r="I742" s="5">
        <f>IF($A742="","",IF($AP742&lt;&gt;"",INDEX(Raw_D1!$I$2:$I$1001,$AP742),IF($AR742&lt;&gt;"",INDEX(Raw_D3!$I$2:$I$1001,$AR742),"")))</f>
        <v>1</v>
      </c>
      <c r="J742" s="16">
        <f>IF($A742="","",IF($AP742&lt;&gt;"",INDEX(Raw_D1!$J$2:$J$1001,$AP742),IF($AR742&lt;&gt;"",INDEX(Raw_D3!$J$2:$J$1001,$AR742),"")))</f>
        <v>0.16</v>
      </c>
      <c r="K742" s="17">
        <f>IF($A742="","",IF($AQ742&lt;&gt;"",IF(INDEX(Raw_D2!$C$2:$C$1001,$AQ742)="","",INDEX(Raw_D2!$C$2:$C$1001,$AQ742)),IF($AR742&lt;&gt;"",IF(INDEX(Raw_D3!$K$2:$K$1001,$AR742)="","",INDEX(Raw_D3!$K$2:$K$1001,$AR742)),"")))</f>
        <v>0.1364</v>
      </c>
      <c r="L742" s="16">
        <f>IF($A742="","",IF($AQ742&lt;&gt;"",IF(INDEX(Raw_D2!$D$2:$D$1001,$AQ742)="","",INDEX(Raw_D2!$D$2:$D$1001,$AQ742)),IF($AR742&lt;&gt;"",IF(INDEX(Raw_D3!$L$2:$L$1001,$AR742)="","",INDEX(Raw_D3!$L$2:$L$1001,$AR742)),"")))</f>
        <v>0.43</v>
      </c>
      <c r="M742" s="17">
        <f>IF($A742="","",IF($AQ742&lt;&gt;"",IF(INDEX(Raw_D2!$E$2:$E$1001,$AQ742)="","",INDEX(Raw_D2!$E$2:$E$1001,$AQ742)),IF($AR742&lt;&gt;"",IF(INDEX(Raw_D3!$M$2:$M$1001,$AR742)="","",INDEX(Raw_D3!$M$2:$M$1001,$AR742)),"")))</f>
        <v>0.3582</v>
      </c>
      <c r="N742" s="5">
        <f>IF($A742="","",IF($AQ742&lt;&gt;"",IF(INDEX(Raw_D2!$F$2:$F$1001,$AQ742)="","",INDEX(Raw_D2!$F$2:$F$1001,$AQ742)),IF($AR742&lt;&gt;"",IF(INDEX(Raw_D3!$N$2:$N$1001,$AR742)="","",INDEX(Raw_D3!$N$2:$N$1001,$AR742)),"")))</f>
        <v>0</v>
      </c>
      <c r="O742" s="5">
        <f>IF($A742="","",IF($AQ742&lt;&gt;"",IF(INDEX(Raw_D2!$G$2:$G$1001,$AQ742)="","",INDEX(Raw_D2!$G$2:$G$1001,$AQ742)),IF($AR742&lt;&gt;"",IF(INDEX(Raw_D3!$O$2:$O$1001,$AR742)="","",INDEX(Raw_D3!$O$2:$O$1001,$AR742)),"")))</f>
        <v>39</v>
      </c>
      <c r="P742" s="5">
        <f>IF($A742="","",IF($AQ742&lt;&gt;"",IF(INDEX(Raw_D2!$H$2:$H$1001,$AQ742)="","",INDEX(Raw_D2!$H$2:$H$1001,$AQ742)),IF($AR742&lt;&gt;"",IF(INDEX(Raw_D3!$P$2:$P$1001,$AR742)="","",INDEX(Raw_D3!$P$2:$P$1001,$AR742)),"")))</f>
        <v>39</v>
      </c>
      <c r="Q742" s="5" t="str">
        <f>IF($A742="","",IF(AND($AP742&lt;&gt;"",$AQ742&lt;&gt;""),"D1+D2",IF($AR742&lt;&gt;"","D3","Incomplete")))</f>
        <v>D3</v>
      </c>
      <c r="R742" s="17">
        <f>IF($A742="","",IF($K742="",IF($J742="","",ROUND(Lookups!$K$5+Lookups!$K$4*$J742,4)),$K742))</f>
        <v>0.1364</v>
      </c>
      <c r="S742" s="5" t="str">
        <f>IF($A742="","",IF($K742="","Imputed","Original"))</f>
        <v>Original</v>
      </c>
      <c r="T742" s="5" t="str">
        <f>IF($A742="","",IF($P742="","Missing",IF($P742=$N742+$O742,"OK","Mismatch")))</f>
        <v>OK</v>
      </c>
      <c r="U742" s="5" t="str">
        <f>IF($A742="","",IF(COUNTIF($A$2:$A742,$A742)&gt;1,"Duplicate","Unique"))</f>
        <v>Unique</v>
      </c>
      <c r="V742" s="5">
        <f>IF($A742="","",IF(AND($U742="Unique",ISNUMBER($P742)),1,0))</f>
        <v>1</v>
      </c>
      <c r="W742" s="5" t="str">
        <f>IF($A742="","",IF(OR($H742=0,$H742=6),"Weekend","Weekday"))</f>
        <v>Weekday</v>
      </c>
      <c r="X742" s="5" t="str">
        <f>IF($A742="","",TEXT($B742,"ddd"))</f>
        <v>Thu</v>
      </c>
      <c r="Y742" s="5" t="str">
        <f>IF($A742="","",TEXT($B742,"mmm"))</f>
        <v>Feb</v>
      </c>
      <c r="Z742" s="5" t="str">
        <f>IF($A742="","",IFERROR(VLOOKUP($C742,Lookups!$D$4:$E$7,2,FALSE),"Unknown"))</f>
        <v>Winter</v>
      </c>
      <c r="AA742" s="5" t="str">
        <f>IF($A742="","",IFERROR(VLOOKUP($I742,Lookups!$A$4:$B$7,2,FALSE),"Unknown"))</f>
        <v>Clear</v>
      </c>
      <c r="AB742" s="5" t="str">
        <f>IF($A742="","",TEXT($F742,"00")&amp;":00")</f>
        <v>06:00</v>
      </c>
      <c r="AC742" s="5" t="str">
        <f>IF($A742="","",VLOOKUP($F742,Lookups!$G$4:$H$8,2,TRUE))</f>
        <v>Morning Peak (06-09)</v>
      </c>
      <c r="AD742" s="18">
        <f>IF($A742="","",IF($J742="","",ROUND($J742*41,1)))</f>
        <v>6.6</v>
      </c>
      <c r="AE742" s="18">
        <f>IF($A742="","",IF($R742="","",ROUND($R742*50,1)))</f>
        <v>6.8</v>
      </c>
      <c r="AF742" s="5">
        <f>IF($A742="","",IF($L742="","",ROUND($L742*100,0)))</f>
        <v>43</v>
      </c>
      <c r="AG742" s="18">
        <f>IF($A742="","",IF($M742="","",ROUND($M742*67,1)))</f>
        <v>24</v>
      </c>
      <c r="AH742" s="19">
        <f>IF($A742="","",IF($P742="","",IF($P742=0,0,$O742/$P742)))</f>
        <v>1</v>
      </c>
      <c r="AI742" s="5" t="str">
        <f>IF($A742="","",IF($P742="","",IF($P742&gt;=Lookups!$K$7,"High",IF($P742&lt;=Lookups!$K$8,"Low","Medium"))))</f>
        <v>Medium</v>
      </c>
      <c r="AJ742" s="5" t="str">
        <f>IF($A742="","",IF($AD742="","",IF($AD742&lt;5,"Under 5 C",IF($AD742&lt;10,"5-10 C",IF($AD742&lt;15,"10-15 C","15 C and above")))))</f>
        <v>5-10 C</v>
      </c>
      <c r="AK742" s="5">
        <f>IF($A742="","",IF($P742="","",$P742^2))</f>
        <v>1521</v>
      </c>
      <c r="AL742" s="18">
        <f>IF($V742&lt;&gt;1,"",AVERAGEIFS(Clean_Data!$P$2:$P$1001,Clean_Data!$F$2:$F$1001,$F742,Clean_Data!$W$2:$W$1001,$W742,Clean_Data!$V$2:$V$1001,1))</f>
        <v>27.3793103448276</v>
      </c>
      <c r="AM742" s="16">
        <f>IF($V742&lt;&gt;1,"",IFERROR(($P742-$AL742)/SQRT(MAX(0,(SUMIFS(Clean_Data!$AK$2:$AK$1001,Clean_Data!$F$2:$F$1001,$F742,Clean_Data!$W$2:$W$1001,$W742,Clean_Data!$V$2:$V$1001,1)-COUNTIFS(Clean_Data!$F$2:$F$1001,$F742,Clean_Data!$W$2:$W$1001,$W742,Clean_Data!$V$2:$V$1001,1)*$AL742^2)/(COUNTIFS(Clean_Data!$F$2:$F$1001,$F742,Clean_Data!$W$2:$W$1001,$W742,Clean_Data!$V$2:$V$1001,1)-1))),""))</f>
        <v>1.21989744204087</v>
      </c>
      <c r="AN742" s="5" t="str">
        <f>IF($AM742="","",IF($AM742&gt;=Lookups!$K$6,"High spike",IF($AM742&lt;=-Lookups!$K$6,"Unusual low","Normal")))</f>
        <v>Normal</v>
      </c>
      <c r="AO742" s="20">
        <f>IF($V742&lt;&gt;1,"",$P742+ROW()/100000)</f>
        <v>39.00742</v>
      </c>
      <c r="AP742" s="5">
        <f>IF($A742="","",IFERROR(MATCH($A742,Raw_D1!$A$2:$A$1001,0),""))</f>
        <v/>
      </c>
      <c r="AQ742" s="5">
        <f>IF($A742="","",IFERROR(MATCH($A742,Raw_D2!$B$2:$B$1001,0),""))</f>
        <v/>
      </c>
      <c r="AR742" s="5">
        <f>IF($A742="","",IFERROR(MATCH($A742,Raw_D3!$A$2:$A$1001,0),""))</f>
        <v>122</v>
      </c>
    </row>
    <row r="743" spans="1:44" x14ac:dyDescent="0.25">
      <c r="A743" s="5">
        <v>742</v>
      </c>
      <c r="B743" s="11">
        <f>IF($A743="","",IF($AP743&lt;&gt;"",INDEX(Raw_D1!$B$2:$B$1001,$AP743),IF($AR743&lt;&gt;"",INDEX(Raw_D3!$B$2:$B$1001,$AR743),"")))</f>
        <v>40577.0</v>
      </c>
      <c r="C743" s="5">
        <f>IF($A743="","",IF($AP743&lt;&gt;"",INDEX(Raw_D1!$C$2:$C$1001,$AP743),IF($AR743&lt;&gt;"",INDEX(Raw_D3!$C$2:$C$1001,$AR743),"")))</f>
        <v>1</v>
      </c>
      <c r="D743" s="5">
        <f>IF($A743="","",IF($AP743&lt;&gt;"",INDEX(Raw_D1!$D$2:$D$1001,$AP743),IF($AR743&lt;&gt;"",INDEX(Raw_D3!$D$2:$D$1001,$AR743),"")))</f>
        <v>0</v>
      </c>
      <c r="E743" s="5">
        <f>IF($A743="","",IF($AP743&lt;&gt;"",INDEX(Raw_D1!$E$2:$E$1001,$AP743),IF($AR743&lt;&gt;"",INDEX(Raw_D3!$E$2:$E$1001,$AR743),"")))</f>
        <v>2</v>
      </c>
      <c r="F743" s="5">
        <f>IF($A743="","",IF($AP743&lt;&gt;"",INDEX(Raw_D1!$F$2:$F$1001,$AP743),IF($AR743&lt;&gt;"",INDEX(Raw_D3!$F$2:$F$1001,$AR743),"")))</f>
        <v>7</v>
      </c>
      <c r="G743" s="5">
        <f>IF($A743="","",IF($AP743&lt;&gt;"",IF(INDEX(Raw_D1!$G$2:$G$1001,$AP743),1,0),IF($AR743&lt;&gt;"",IF(INDEX(Raw_D3!$G$2:$G$1001,$AR743),1,0),"")))</f>
        <v>0</v>
      </c>
      <c r="H743" s="5">
        <f>IF($A743="","",IF($AP743&lt;&gt;"",INDEX(Raw_D1!$H$2:$H$1001,$AP743),IF($AR743&lt;&gt;"",INDEX(Raw_D3!$H$2:$H$1001,$AR743),"")))</f>
        <v>4</v>
      </c>
      <c r="I743" s="5">
        <f>IF($A743="","",IF($AP743&lt;&gt;"",INDEX(Raw_D1!$I$2:$I$1001,$AP743),IF($AR743&lt;&gt;"",INDEX(Raw_D3!$I$2:$I$1001,$AR743),"")))</f>
        <v>1</v>
      </c>
      <c r="J743" s="16">
        <f>IF($A743="","",IF($AP743&lt;&gt;"",INDEX(Raw_D1!$J$2:$J$1001,$AP743),IF($AR743&lt;&gt;"",INDEX(Raw_D3!$J$2:$J$1001,$AR743),"")))</f>
        <v>0.14</v>
      </c>
      <c r="K743" s="17">
        <f>IF($A743="","",IF($AQ743&lt;&gt;"",IF(INDEX(Raw_D2!$C$2:$C$1001,$AQ743)="","",INDEX(Raw_D2!$C$2:$C$1001,$AQ743)),IF($AR743&lt;&gt;"",IF(INDEX(Raw_D3!$K$2:$K$1001,$AR743)="","",INDEX(Raw_D3!$K$2:$K$1001,$AR743)),"")))</f>
        <v>0.1212</v>
      </c>
      <c r="L743" s="16">
        <f>IF($A743="","",IF($AQ743&lt;&gt;"",IF(INDEX(Raw_D2!$D$2:$D$1001,$AQ743)="","",INDEX(Raw_D2!$D$2:$D$1001,$AQ743)),IF($AR743&lt;&gt;"",IF(INDEX(Raw_D3!$L$2:$L$1001,$AR743)="","",INDEX(Raw_D3!$L$2:$L$1001,$AR743)),"")))</f>
        <v>0.5</v>
      </c>
      <c r="M743" s="17">
        <f>IF($A743="","",IF($AQ743&lt;&gt;"",IF(INDEX(Raw_D2!$E$2:$E$1001,$AQ743)="","",INDEX(Raw_D2!$E$2:$E$1001,$AQ743)),IF($AR743&lt;&gt;"",IF(INDEX(Raw_D3!$M$2:$M$1001,$AR743)="","",INDEX(Raw_D3!$M$2:$M$1001,$AR743)),"")))</f>
        <v>0.3284</v>
      </c>
      <c r="N743" s="5">
        <f>IF($A743="","",IF($AQ743&lt;&gt;"",IF(INDEX(Raw_D2!$F$2:$F$1001,$AQ743)="","",INDEX(Raw_D2!$F$2:$F$1001,$AQ743)),IF($AR743&lt;&gt;"",IF(INDEX(Raw_D3!$N$2:$N$1001,$AR743)="","",INDEX(Raw_D3!$N$2:$N$1001,$AR743)),"")))</f>
        <v>1</v>
      </c>
      <c r="O743" s="5">
        <f>IF($A743="","",IF($AQ743&lt;&gt;"",IF(INDEX(Raw_D2!$G$2:$G$1001,$AQ743)="","",INDEX(Raw_D2!$G$2:$G$1001,$AQ743)),IF($AR743&lt;&gt;"",IF(INDEX(Raw_D3!$O$2:$O$1001,$AR743)="","",INDEX(Raw_D3!$O$2:$O$1001,$AR743)),"")))</f>
        <v>86</v>
      </c>
      <c r="P743" s="5">
        <f>IF($A743="","",IF($AQ743&lt;&gt;"",IF(INDEX(Raw_D2!$H$2:$H$1001,$AQ743)="","",INDEX(Raw_D2!$H$2:$H$1001,$AQ743)),IF($AR743&lt;&gt;"",IF(INDEX(Raw_D3!$P$2:$P$1001,$AR743)="","",INDEX(Raw_D3!$P$2:$P$1001,$AR743)),"")))</f>
        <v>87</v>
      </c>
      <c r="Q743" s="5" t="str">
        <f>IF($A743="","",IF(AND($AP743&lt;&gt;"",$AQ743&lt;&gt;""),"D1+D2",IF($AR743&lt;&gt;"","D3","Incomplete")))</f>
        <v>D3</v>
      </c>
      <c r="R743" s="17">
        <f>IF($A743="","",IF($K743="",IF($J743="","",ROUND(Lookups!$K$5+Lookups!$K$4*$J743,4)),$K743))</f>
        <v>0.1212</v>
      </c>
      <c r="S743" s="5" t="str">
        <f>IF($A743="","",IF($K743="","Imputed","Original"))</f>
        <v>Original</v>
      </c>
      <c r="T743" s="5" t="str">
        <f>IF($A743="","",IF($P743="","Missing",IF($P743=$N743+$O743,"OK","Mismatch")))</f>
        <v>OK</v>
      </c>
      <c r="U743" s="5" t="str">
        <f>IF($A743="","",IF(COUNTIF($A$2:$A743,$A743)&gt;1,"Duplicate","Unique"))</f>
        <v>Unique</v>
      </c>
      <c r="V743" s="5">
        <f>IF($A743="","",IF(AND($U743="Unique",ISNUMBER($P743)),1,0))</f>
        <v>1</v>
      </c>
      <c r="W743" s="5" t="str">
        <f>IF($A743="","",IF(OR($H743=0,$H743=6),"Weekend","Weekday"))</f>
        <v>Weekday</v>
      </c>
      <c r="X743" s="5" t="str">
        <f>IF($A743="","",TEXT($B743,"ddd"))</f>
        <v>Thu</v>
      </c>
      <c r="Y743" s="5" t="str">
        <f>IF($A743="","",TEXT($B743,"mmm"))</f>
        <v>Feb</v>
      </c>
      <c r="Z743" s="5" t="str">
        <f>IF($A743="","",IFERROR(VLOOKUP($C743,Lookups!$D$4:$E$7,2,FALSE),"Unknown"))</f>
        <v>Winter</v>
      </c>
      <c r="AA743" s="5" t="str">
        <f>IF($A743="","",IFERROR(VLOOKUP($I743,Lookups!$A$4:$B$7,2,FALSE),"Unknown"))</f>
        <v>Clear</v>
      </c>
      <c r="AB743" s="5" t="str">
        <f>IF($A743="","",TEXT($F743,"00")&amp;":00")</f>
        <v>07:00</v>
      </c>
      <c r="AC743" s="5" t="str">
        <f>IF($A743="","",VLOOKUP($F743,Lookups!$G$4:$H$8,2,TRUE))</f>
        <v>Morning Peak (06-09)</v>
      </c>
      <c r="AD743" s="18">
        <f>IF($A743="","",IF($J743="","",ROUND($J743*41,1)))</f>
        <v>5.7</v>
      </c>
      <c r="AE743" s="18">
        <f>IF($A743="","",IF($R743="","",ROUND($R743*50,1)))</f>
        <v>6.1</v>
      </c>
      <c r="AF743" s="5">
        <f>IF($A743="","",IF($L743="","",ROUND($L743*100,0)))</f>
        <v>50</v>
      </c>
      <c r="AG743" s="18">
        <f>IF($A743="","",IF($M743="","",ROUND($M743*67,1)))</f>
        <v>22</v>
      </c>
      <c r="AH743" s="19">
        <f>IF($A743="","",IF($P743="","",IF($P743=0,0,$O743/$P743)))</f>
        <v>0.988505747126437</v>
      </c>
      <c r="AI743" s="5" t="str">
        <f>IF($A743="","",IF($P743="","",IF($P743&gt;=Lookups!$K$7,"High",IF($P743&lt;=Lookups!$K$8,"Low","Medium"))))</f>
        <v>High</v>
      </c>
      <c r="AJ743" s="5" t="str">
        <f>IF($A743="","",IF($AD743="","",IF($AD743&lt;5,"Under 5 C",IF($AD743&lt;10,"5-10 C",IF($AD743&lt;15,"10-15 C","15 C and above")))))</f>
        <v>5-10 C</v>
      </c>
      <c r="AK743" s="5">
        <f>IF($A743="","",IF($P743="","",$P743^2))</f>
        <v>7569</v>
      </c>
      <c r="AL743" s="18">
        <f>IF($V743&lt;&gt;1,"",AVERAGEIFS(Clean_Data!$P$2:$P$1001,Clean_Data!$F$2:$F$1001,$F743,Clean_Data!$W$2:$W$1001,$W743,Clean_Data!$V$2:$V$1001,1))</f>
        <v>78.0344827586207</v>
      </c>
      <c r="AM743" s="16">
        <f>IF($V743&lt;&gt;1,"",IFERROR(($P743-$AL743)/SQRT(MAX(0,(SUMIFS(Clean_Data!$AK$2:$AK$1001,Clean_Data!$F$2:$F$1001,$F743,Clean_Data!$W$2:$W$1001,$W743,Clean_Data!$V$2:$V$1001,1)-COUNTIFS(Clean_Data!$F$2:$F$1001,$F743,Clean_Data!$W$2:$W$1001,$W743,Clean_Data!$V$2:$V$1001,1)*$AL743^2)/(COUNTIFS(Clean_Data!$F$2:$F$1001,$F743,Clean_Data!$W$2:$W$1001,$W743,Clean_Data!$V$2:$V$1001,1)-1))),""))</f>
        <v>0.39612740469135</v>
      </c>
      <c r="AN743" s="5" t="str">
        <f>IF($AM743="","",IF($AM743&gt;=Lookups!$K$6,"High spike",IF($AM743&lt;=-Lookups!$K$6,"Unusual low","Normal")))</f>
        <v>Normal</v>
      </c>
      <c r="AO743" s="20">
        <f>IF($V743&lt;&gt;1,"",$P743+ROW()/100000)</f>
        <v>87.00743</v>
      </c>
      <c r="AP743" s="5">
        <f>IF($A743="","",IFERROR(MATCH($A743,Raw_D1!$A$2:$A$1001,0),""))</f>
        <v/>
      </c>
      <c r="AQ743" s="5">
        <f>IF($A743="","",IFERROR(MATCH($A743,Raw_D2!$B$2:$B$1001,0),""))</f>
        <v/>
      </c>
      <c r="AR743" s="5">
        <f>IF($A743="","",IFERROR(MATCH($A743,Raw_D3!$A$2:$A$1001,0),""))</f>
        <v>123</v>
      </c>
    </row>
    <row r="744" spans="1:44" x14ac:dyDescent="0.25">
      <c r="A744" s="5">
        <v>743</v>
      </c>
      <c r="B744" s="11">
        <f>IF($A744="","",IF($AP744&lt;&gt;"",INDEX(Raw_D1!$B$2:$B$1001,$AP744),IF($AR744&lt;&gt;"",INDEX(Raw_D3!$B$2:$B$1001,$AR744),"")))</f>
        <v>40577.0</v>
      </c>
      <c r="C744" s="5">
        <f>IF($A744="","",IF($AP744&lt;&gt;"",INDEX(Raw_D1!$C$2:$C$1001,$AP744),IF($AR744&lt;&gt;"",INDEX(Raw_D3!$C$2:$C$1001,$AR744),"")))</f>
        <v>1</v>
      </c>
      <c r="D744" s="5">
        <f>IF($A744="","",IF($AP744&lt;&gt;"",INDEX(Raw_D1!$D$2:$D$1001,$AP744),IF($AR744&lt;&gt;"",INDEX(Raw_D3!$D$2:$D$1001,$AR744),"")))</f>
        <v>0</v>
      </c>
      <c r="E744" s="5">
        <f>IF($A744="","",IF($AP744&lt;&gt;"",INDEX(Raw_D1!$E$2:$E$1001,$AP744),IF($AR744&lt;&gt;"",INDEX(Raw_D3!$E$2:$E$1001,$AR744),"")))</f>
        <v>2</v>
      </c>
      <c r="F744" s="5">
        <f>IF($A744="","",IF($AP744&lt;&gt;"",INDEX(Raw_D1!$F$2:$F$1001,$AP744),IF($AR744&lt;&gt;"",INDEX(Raw_D3!$F$2:$F$1001,$AR744),"")))</f>
        <v>8</v>
      </c>
      <c r="G744" s="5">
        <f>IF($A744="","",IF($AP744&lt;&gt;"",IF(INDEX(Raw_D1!$G$2:$G$1001,$AP744),1,0),IF($AR744&lt;&gt;"",IF(INDEX(Raw_D3!$G$2:$G$1001,$AR744),1,0),"")))</f>
        <v>0</v>
      </c>
      <c r="H744" s="5">
        <f>IF($A744="","",IF($AP744&lt;&gt;"",INDEX(Raw_D1!$H$2:$H$1001,$AP744),IF($AR744&lt;&gt;"",INDEX(Raw_D3!$H$2:$H$1001,$AR744),"")))</f>
        <v>4</v>
      </c>
      <c r="I744" s="5">
        <f>IF($A744="","",IF($AP744&lt;&gt;"",INDEX(Raw_D1!$I$2:$I$1001,$AP744),IF($AR744&lt;&gt;"",INDEX(Raw_D3!$I$2:$I$1001,$AR744),"")))</f>
        <v>1</v>
      </c>
      <c r="J744" s="16">
        <f>IF($A744="","",IF($AP744&lt;&gt;"",INDEX(Raw_D1!$J$2:$J$1001,$AP744),IF($AR744&lt;&gt;"",INDEX(Raw_D3!$J$2:$J$1001,$AR744),"")))</f>
        <v>0.14</v>
      </c>
      <c r="K744" s="17">
        <f>IF($A744="","",IF($AQ744&lt;&gt;"",IF(INDEX(Raw_D2!$C$2:$C$1001,$AQ744)="","",INDEX(Raw_D2!$C$2:$C$1001,$AQ744)),IF($AR744&lt;&gt;"",IF(INDEX(Raw_D3!$K$2:$K$1001,$AR744)="","",INDEX(Raw_D3!$K$2:$K$1001,$AR744)),"")))</f>
        <v>0.1212</v>
      </c>
      <c r="L744" s="16">
        <f>IF($A744="","",IF($AQ744&lt;&gt;"",IF(INDEX(Raw_D2!$D$2:$D$1001,$AQ744)="","",INDEX(Raw_D2!$D$2:$D$1001,$AQ744)),IF($AR744&lt;&gt;"",IF(INDEX(Raw_D3!$L$2:$L$1001,$AR744)="","",INDEX(Raw_D3!$L$2:$L$1001,$AR744)),"")))</f>
        <v>0.5</v>
      </c>
      <c r="M744" s="17">
        <f>IF($A744="","",IF($AQ744&lt;&gt;"",IF(INDEX(Raw_D2!$E$2:$E$1001,$AQ744)="","",INDEX(Raw_D2!$E$2:$E$1001,$AQ744)),IF($AR744&lt;&gt;"",IF(INDEX(Raw_D3!$M$2:$M$1001,$AR744)="","",INDEX(Raw_D3!$M$2:$M$1001,$AR744)),"")))</f>
        <v>0.3582</v>
      </c>
      <c r="N744" s="5">
        <f>IF($A744="","",IF($AQ744&lt;&gt;"",IF(INDEX(Raw_D2!$F$2:$F$1001,$AQ744)="","",INDEX(Raw_D2!$F$2:$F$1001,$AQ744)),IF($AR744&lt;&gt;"",IF(INDEX(Raw_D3!$N$2:$N$1001,$AR744)="","",INDEX(Raw_D3!$N$2:$N$1001,$AR744)),"")))</f>
        <v>4</v>
      </c>
      <c r="O744" s="5">
        <f>IF($A744="","",IF($AQ744&lt;&gt;"",IF(INDEX(Raw_D2!$G$2:$G$1001,$AQ744)="","",INDEX(Raw_D2!$G$2:$G$1001,$AQ744)),IF($AR744&lt;&gt;"",IF(INDEX(Raw_D3!$O$2:$O$1001,$AR744)="","",INDEX(Raw_D3!$O$2:$O$1001,$AR744)),"")))</f>
        <v>184</v>
      </c>
      <c r="P744" s="5">
        <f>IF($A744="","",IF($AQ744&lt;&gt;"",IF(INDEX(Raw_D2!$H$2:$H$1001,$AQ744)="","",INDEX(Raw_D2!$H$2:$H$1001,$AQ744)),IF($AR744&lt;&gt;"",IF(INDEX(Raw_D3!$P$2:$P$1001,$AR744)="","",INDEX(Raw_D3!$P$2:$P$1001,$AR744)),"")))</f>
        <v>188</v>
      </c>
      <c r="Q744" s="5" t="str">
        <f>IF($A744="","",IF(AND($AP744&lt;&gt;"",$AQ744&lt;&gt;""),"D1+D2",IF($AR744&lt;&gt;"","D3","Incomplete")))</f>
        <v>D3</v>
      </c>
      <c r="R744" s="17">
        <f>IF($A744="","",IF($K744="",IF($J744="","",ROUND(Lookups!$K$5+Lookups!$K$4*$J744,4)),$K744))</f>
        <v>0.1212</v>
      </c>
      <c r="S744" s="5" t="str">
        <f>IF($A744="","",IF($K744="","Imputed","Original"))</f>
        <v>Original</v>
      </c>
      <c r="T744" s="5" t="str">
        <f>IF($A744="","",IF($P744="","Missing",IF($P744=$N744+$O744,"OK","Mismatch")))</f>
        <v>OK</v>
      </c>
      <c r="U744" s="5" t="str">
        <f>IF($A744="","",IF(COUNTIF($A$2:$A744,$A744)&gt;1,"Duplicate","Unique"))</f>
        <v>Unique</v>
      </c>
      <c r="V744" s="5">
        <f>IF($A744="","",IF(AND($U744="Unique",ISNUMBER($P744)),1,0))</f>
        <v>1</v>
      </c>
      <c r="W744" s="5" t="str">
        <f>IF($A744="","",IF(OR($H744=0,$H744=6),"Weekend","Weekday"))</f>
        <v>Weekday</v>
      </c>
      <c r="X744" s="5" t="str">
        <f>IF($A744="","",TEXT($B744,"ddd"))</f>
        <v>Thu</v>
      </c>
      <c r="Y744" s="5" t="str">
        <f>IF($A744="","",TEXT($B744,"mmm"))</f>
        <v>Feb</v>
      </c>
      <c r="Z744" s="5" t="str">
        <f>IF($A744="","",IFERROR(VLOOKUP($C744,Lookups!$D$4:$E$7,2,FALSE),"Unknown"))</f>
        <v>Winter</v>
      </c>
      <c r="AA744" s="5" t="str">
        <f>IF($A744="","",IFERROR(VLOOKUP($I744,Lookups!$A$4:$B$7,2,FALSE),"Unknown"))</f>
        <v>Clear</v>
      </c>
      <c r="AB744" s="5" t="str">
        <f>IF($A744="","",TEXT($F744,"00")&amp;":00")</f>
        <v>08:00</v>
      </c>
      <c r="AC744" s="5" t="str">
        <f>IF($A744="","",VLOOKUP($F744,Lookups!$G$4:$H$8,2,TRUE))</f>
        <v>Morning Peak (06-09)</v>
      </c>
      <c r="AD744" s="18">
        <f>IF($A744="","",IF($J744="","",ROUND($J744*41,1)))</f>
        <v>5.7</v>
      </c>
      <c r="AE744" s="18">
        <f>IF($A744="","",IF($R744="","",ROUND($R744*50,1)))</f>
        <v>6.1</v>
      </c>
      <c r="AF744" s="5">
        <f>IF($A744="","",IF($L744="","",ROUND($L744*100,0)))</f>
        <v>50</v>
      </c>
      <c r="AG744" s="18">
        <f>IF($A744="","",IF($M744="","",ROUND($M744*67,1)))</f>
        <v>24</v>
      </c>
      <c r="AH744" s="19">
        <f>IF($A744="","",IF($P744="","",IF($P744=0,0,$O744/$P744)))</f>
        <v>0.978723404255319</v>
      </c>
      <c r="AI744" s="5" t="str">
        <f>IF($A744="","",IF($P744="","",IF($P744&gt;=Lookups!$K$7,"High",IF($P744&lt;=Lookups!$K$8,"Low","Medium"))))</f>
        <v>High</v>
      </c>
      <c r="AJ744" s="5" t="str">
        <f>IF($A744="","",IF($AD744="","",IF($AD744&lt;5,"Under 5 C",IF($AD744&lt;10,"5-10 C",IF($AD744&lt;15,"10-15 C","15 C and above")))))</f>
        <v>5-10 C</v>
      </c>
      <c r="AK744" s="5">
        <f>IF($A744="","",IF($P744="","",$P744^2))</f>
        <v>35344</v>
      </c>
      <c r="AL744" s="18">
        <f>IF($V744&lt;&gt;1,"",AVERAGEIFS(Clean_Data!$P$2:$P$1001,Clean_Data!$F$2:$F$1001,$F744,Clean_Data!$W$2:$W$1001,$W744,Clean_Data!$V$2:$V$1001,1))</f>
        <v>183.535714285714</v>
      </c>
      <c r="AM744" s="16">
        <f>IF($V744&lt;&gt;1,"",IFERROR(($P744-$AL744)/SQRT(MAX(0,(SUMIFS(Clean_Data!$AK$2:$AK$1001,Clean_Data!$F$2:$F$1001,$F744,Clean_Data!$W$2:$W$1001,$W744,Clean_Data!$V$2:$V$1001,1)-COUNTIFS(Clean_Data!$F$2:$F$1001,$F744,Clean_Data!$W$2:$W$1001,$W744,Clean_Data!$V$2:$V$1001,1)*$AL744^2)/(COUNTIFS(Clean_Data!$F$2:$F$1001,$F744,Clean_Data!$W$2:$W$1001,$W744,Clean_Data!$V$2:$V$1001,1)-1))),""))</f>
        <v>0.0915938093156321</v>
      </c>
      <c r="AN744" s="5" t="str">
        <f>IF($AM744="","",IF($AM744&gt;=Lookups!$K$6,"High spike",IF($AM744&lt;=-Lookups!$K$6,"Unusual low","Normal")))</f>
        <v>Normal</v>
      </c>
      <c r="AO744" s="20">
        <f>IF($V744&lt;&gt;1,"",$P744+ROW()/100000)</f>
        <v>188.00744</v>
      </c>
      <c r="AP744" s="5">
        <f>IF($A744="","",IFERROR(MATCH($A744,Raw_D1!$A$2:$A$1001,0),""))</f>
        <v/>
      </c>
      <c r="AQ744" s="5">
        <f>IF($A744="","",IFERROR(MATCH($A744,Raw_D2!$B$2:$B$1001,0),""))</f>
        <v/>
      </c>
      <c r="AR744" s="5">
        <f>IF($A744="","",IFERROR(MATCH($A744,Raw_D3!$A$2:$A$1001,0),""))</f>
        <v>124</v>
      </c>
    </row>
    <row r="745" spans="1:44" x14ac:dyDescent="0.25">
      <c r="A745" s="5">
        <v>744</v>
      </c>
      <c r="B745" s="11">
        <f>IF($A745="","",IF($AP745&lt;&gt;"",INDEX(Raw_D1!$B$2:$B$1001,$AP745),IF($AR745&lt;&gt;"",INDEX(Raw_D3!$B$2:$B$1001,$AR745),"")))</f>
        <v>40577.0</v>
      </c>
      <c r="C745" s="5">
        <f>IF($A745="","",IF($AP745&lt;&gt;"",INDEX(Raw_D1!$C$2:$C$1001,$AP745),IF($AR745&lt;&gt;"",INDEX(Raw_D3!$C$2:$C$1001,$AR745),"")))</f>
        <v>1</v>
      </c>
      <c r="D745" s="5">
        <f>IF($A745="","",IF($AP745&lt;&gt;"",INDEX(Raw_D1!$D$2:$D$1001,$AP745),IF($AR745&lt;&gt;"",INDEX(Raw_D3!$D$2:$D$1001,$AR745),"")))</f>
        <v>0</v>
      </c>
      <c r="E745" s="5">
        <f>IF($A745="","",IF($AP745&lt;&gt;"",INDEX(Raw_D1!$E$2:$E$1001,$AP745),IF($AR745&lt;&gt;"",INDEX(Raw_D3!$E$2:$E$1001,$AR745),"")))</f>
        <v>2</v>
      </c>
      <c r="F745" s="5">
        <f>IF($A745="","",IF($AP745&lt;&gt;"",INDEX(Raw_D1!$F$2:$F$1001,$AP745),IF($AR745&lt;&gt;"",INDEX(Raw_D3!$F$2:$F$1001,$AR745),"")))</f>
        <v>9</v>
      </c>
      <c r="G745" s="5">
        <f>IF($A745="","",IF($AP745&lt;&gt;"",IF(INDEX(Raw_D1!$G$2:$G$1001,$AP745),1,0),IF($AR745&lt;&gt;"",IF(INDEX(Raw_D3!$G$2:$G$1001,$AR745),1,0),"")))</f>
        <v>0</v>
      </c>
      <c r="H745" s="5">
        <f>IF($A745="","",IF($AP745&lt;&gt;"",INDEX(Raw_D1!$H$2:$H$1001,$AP745),IF($AR745&lt;&gt;"",INDEX(Raw_D3!$H$2:$H$1001,$AR745),"")))</f>
        <v>4</v>
      </c>
      <c r="I745" s="5">
        <f>IF($A745="","",IF($AP745&lt;&gt;"",INDEX(Raw_D1!$I$2:$I$1001,$AP745),IF($AR745&lt;&gt;"",INDEX(Raw_D3!$I$2:$I$1001,$AR745),"")))</f>
        <v>1</v>
      </c>
      <c r="J745" s="16">
        <f>IF($A745="","",IF($AP745&lt;&gt;"",INDEX(Raw_D1!$J$2:$J$1001,$AP745),IF($AR745&lt;&gt;"",INDEX(Raw_D3!$J$2:$J$1001,$AR745),"")))</f>
        <v>0.16</v>
      </c>
      <c r="K745" s="17">
        <f>IF($A745="","",IF($AQ745&lt;&gt;"",IF(INDEX(Raw_D2!$C$2:$C$1001,$AQ745)="","",INDEX(Raw_D2!$C$2:$C$1001,$AQ745)),IF($AR745&lt;&gt;"",IF(INDEX(Raw_D3!$K$2:$K$1001,$AR745)="","",INDEX(Raw_D3!$K$2:$K$1001,$AR745)),"")))</f>
        <v>0.1364</v>
      </c>
      <c r="L745" s="16">
        <f>IF($A745="","",IF($AQ745&lt;&gt;"",IF(INDEX(Raw_D2!$D$2:$D$1001,$AQ745)="","",INDEX(Raw_D2!$D$2:$D$1001,$AQ745)),IF($AR745&lt;&gt;"",IF(INDEX(Raw_D3!$L$2:$L$1001,$AR745)="","",INDEX(Raw_D3!$L$2:$L$1001,$AR745)),"")))</f>
        <v>0.47</v>
      </c>
      <c r="M745" s="17">
        <f>IF($A745="","",IF($AQ745&lt;&gt;"",IF(INDEX(Raw_D2!$E$2:$E$1001,$AQ745)="","",INDEX(Raw_D2!$E$2:$E$1001,$AQ745)),IF($AR745&lt;&gt;"",IF(INDEX(Raw_D3!$M$2:$M$1001,$AR745)="","",INDEX(Raw_D3!$M$2:$M$1001,$AR745)),"")))</f>
        <v>0.2985</v>
      </c>
      <c r="N745" s="5">
        <f>IF($A745="","",IF($AQ745&lt;&gt;"",IF(INDEX(Raw_D2!$F$2:$F$1001,$AQ745)="","",INDEX(Raw_D2!$F$2:$F$1001,$AQ745)),IF($AR745&lt;&gt;"",IF(INDEX(Raw_D3!$N$2:$N$1001,$AR745)="","",INDEX(Raw_D3!$N$2:$N$1001,$AR745)),"")))</f>
        <v>6</v>
      </c>
      <c r="O745" s="5">
        <f>IF($A745="","",IF($AQ745&lt;&gt;"",IF(INDEX(Raw_D2!$G$2:$G$1001,$AQ745)="","",INDEX(Raw_D2!$G$2:$G$1001,$AQ745)),IF($AR745&lt;&gt;"",IF(INDEX(Raw_D3!$O$2:$O$1001,$AR745)="","",INDEX(Raw_D3!$O$2:$O$1001,$AR745)),"")))</f>
        <v>127</v>
      </c>
      <c r="P745" s="5">
        <f>IF($A745="","",IF($AQ745&lt;&gt;"",IF(INDEX(Raw_D2!$H$2:$H$1001,$AQ745)="","",INDEX(Raw_D2!$H$2:$H$1001,$AQ745)),IF($AR745&lt;&gt;"",IF(INDEX(Raw_D3!$P$2:$P$1001,$AR745)="","",INDEX(Raw_D3!$P$2:$P$1001,$AR745)),"")))</f>
        <v>133</v>
      </c>
      <c r="Q745" s="5" t="str">
        <f>IF($A745="","",IF(AND($AP745&lt;&gt;"",$AQ745&lt;&gt;""),"D1+D2",IF($AR745&lt;&gt;"","D3","Incomplete")))</f>
        <v>D3</v>
      </c>
      <c r="R745" s="17">
        <f>IF($A745="","",IF($K745="",IF($J745="","",ROUND(Lookups!$K$5+Lookups!$K$4*$J745,4)),$K745))</f>
        <v>0.1364</v>
      </c>
      <c r="S745" s="5" t="str">
        <f>IF($A745="","",IF($K745="","Imputed","Original"))</f>
        <v>Original</v>
      </c>
      <c r="T745" s="5" t="str">
        <f>IF($A745="","",IF($P745="","Missing",IF($P745=$N745+$O745,"OK","Mismatch")))</f>
        <v>OK</v>
      </c>
      <c r="U745" s="5" t="str">
        <f>IF($A745="","",IF(COUNTIF($A$2:$A745,$A745)&gt;1,"Duplicate","Unique"))</f>
        <v>Unique</v>
      </c>
      <c r="V745" s="5">
        <f>IF($A745="","",IF(AND($U745="Unique",ISNUMBER($P745)),1,0))</f>
        <v>1</v>
      </c>
      <c r="W745" s="5" t="str">
        <f>IF($A745="","",IF(OR($H745=0,$H745=6),"Weekend","Weekday"))</f>
        <v>Weekday</v>
      </c>
      <c r="X745" s="5" t="str">
        <f>IF($A745="","",TEXT($B745,"ddd"))</f>
        <v>Thu</v>
      </c>
      <c r="Y745" s="5" t="str">
        <f>IF($A745="","",TEXT($B745,"mmm"))</f>
        <v>Feb</v>
      </c>
      <c r="Z745" s="5" t="str">
        <f>IF($A745="","",IFERROR(VLOOKUP($C745,Lookups!$D$4:$E$7,2,FALSE),"Unknown"))</f>
        <v>Winter</v>
      </c>
      <c r="AA745" s="5" t="str">
        <f>IF($A745="","",IFERROR(VLOOKUP($I745,Lookups!$A$4:$B$7,2,FALSE),"Unknown"))</f>
        <v>Clear</v>
      </c>
      <c r="AB745" s="5" t="str">
        <f>IF($A745="","",TEXT($F745,"00")&amp;":00")</f>
        <v>09:00</v>
      </c>
      <c r="AC745" s="5" t="str">
        <f>IF($A745="","",VLOOKUP($F745,Lookups!$G$4:$H$8,2,TRUE))</f>
        <v>Morning Peak (06-09)</v>
      </c>
      <c r="AD745" s="18">
        <f>IF($A745="","",IF($J745="","",ROUND($J745*41,1)))</f>
        <v>6.6</v>
      </c>
      <c r="AE745" s="18">
        <f>IF($A745="","",IF($R745="","",ROUND($R745*50,1)))</f>
        <v>6.8</v>
      </c>
      <c r="AF745" s="5">
        <f>IF($A745="","",IF($L745="","",ROUND($L745*100,0)))</f>
        <v>47</v>
      </c>
      <c r="AG745" s="18">
        <f>IF($A745="","",IF($M745="","",ROUND($M745*67,1)))</f>
        <v>20</v>
      </c>
      <c r="AH745" s="19">
        <f>IF($A745="","",IF($P745="","",IF($P745=0,0,$O745/$P745)))</f>
        <v>0.954887218045113</v>
      </c>
      <c r="AI745" s="5" t="str">
        <f>IF($A745="","",IF($P745="","",IF($P745&gt;=Lookups!$K$7,"High",IF($P745&lt;=Lookups!$K$8,"Low","Medium"))))</f>
        <v>High</v>
      </c>
      <c r="AJ745" s="5" t="str">
        <f>IF($A745="","",IF($AD745="","",IF($AD745&lt;5,"Under 5 C",IF($AD745&lt;10,"5-10 C",IF($AD745&lt;15,"10-15 C","15 C and above")))))</f>
        <v>5-10 C</v>
      </c>
      <c r="AK745" s="5">
        <f>IF($A745="","",IF($P745="","",$P745^2))</f>
        <v>17689</v>
      </c>
      <c r="AL745" s="18">
        <f>IF($V745&lt;&gt;1,"",AVERAGEIFS(Clean_Data!$P$2:$P$1001,Clean_Data!$F$2:$F$1001,$F745,Clean_Data!$W$2:$W$1001,$W745,Clean_Data!$V$2:$V$1001,1))</f>
        <v>115.678571428571</v>
      </c>
      <c r="AM745" s="16">
        <f>IF($V745&lt;&gt;1,"",IFERROR(($P745-$AL745)/SQRT(MAX(0,(SUMIFS(Clean_Data!$AK$2:$AK$1001,Clean_Data!$F$2:$F$1001,$F745,Clean_Data!$W$2:$W$1001,$W745,Clean_Data!$V$2:$V$1001,1)-COUNTIFS(Clean_Data!$F$2:$F$1001,$F745,Clean_Data!$W$2:$W$1001,$W745,Clean_Data!$V$2:$V$1001,1)*$AL745^2)/(COUNTIFS(Clean_Data!$F$2:$F$1001,$F745,Clean_Data!$W$2:$W$1001,$W745,Clean_Data!$V$2:$V$1001,1)-1))),""))</f>
        <v>0.67193748027125</v>
      </c>
      <c r="AN745" s="5" t="str">
        <f>IF($AM745="","",IF($AM745&gt;=Lookups!$K$6,"High spike",IF($AM745&lt;=-Lookups!$K$6,"Unusual low","Normal")))</f>
        <v>Normal</v>
      </c>
      <c r="AO745" s="20">
        <f>IF($V745&lt;&gt;1,"",$P745+ROW()/100000)</f>
        <v>133.00745</v>
      </c>
      <c r="AP745" s="5">
        <f>IF($A745="","",IFERROR(MATCH($A745,Raw_D1!$A$2:$A$1001,0),""))</f>
        <v/>
      </c>
      <c r="AQ745" s="5">
        <f>IF($A745="","",IFERROR(MATCH($A745,Raw_D2!$B$2:$B$1001,0),""))</f>
        <v/>
      </c>
      <c r="AR745" s="5">
        <f>IF($A745="","",IFERROR(MATCH($A745,Raw_D3!$A$2:$A$1001,0),""))</f>
        <v>125</v>
      </c>
    </row>
    <row r="746" spans="1:44" x14ac:dyDescent="0.25">
      <c r="A746" s="5">
        <v>745</v>
      </c>
      <c r="B746" s="11">
        <f>IF($A746="","",IF($AP746&lt;&gt;"",INDEX(Raw_D1!$B$2:$B$1001,$AP746),IF($AR746&lt;&gt;"",INDEX(Raw_D3!$B$2:$B$1001,$AR746),"")))</f>
        <v>40577.0</v>
      </c>
      <c r="C746" s="5">
        <f>IF($A746="","",IF($AP746&lt;&gt;"",INDEX(Raw_D1!$C$2:$C$1001,$AP746),IF($AR746&lt;&gt;"",INDEX(Raw_D3!$C$2:$C$1001,$AR746),"")))</f>
        <v>1</v>
      </c>
      <c r="D746" s="5">
        <f>IF($A746="","",IF($AP746&lt;&gt;"",INDEX(Raw_D1!$D$2:$D$1001,$AP746),IF($AR746&lt;&gt;"",INDEX(Raw_D3!$D$2:$D$1001,$AR746),"")))</f>
        <v>0</v>
      </c>
      <c r="E746" s="5">
        <f>IF($A746="","",IF($AP746&lt;&gt;"",INDEX(Raw_D1!$E$2:$E$1001,$AP746),IF($AR746&lt;&gt;"",INDEX(Raw_D3!$E$2:$E$1001,$AR746),"")))</f>
        <v>2</v>
      </c>
      <c r="F746" s="5">
        <f>IF($A746="","",IF($AP746&lt;&gt;"",INDEX(Raw_D1!$F$2:$F$1001,$AP746),IF($AR746&lt;&gt;"",INDEX(Raw_D3!$F$2:$F$1001,$AR746),"")))</f>
        <v>10</v>
      </c>
      <c r="G746" s="5">
        <f>IF($A746="","",IF($AP746&lt;&gt;"",IF(INDEX(Raw_D1!$G$2:$G$1001,$AP746),1,0),IF($AR746&lt;&gt;"",IF(INDEX(Raw_D3!$G$2:$G$1001,$AR746),1,0),"")))</f>
        <v>0</v>
      </c>
      <c r="H746" s="5">
        <f>IF($A746="","",IF($AP746&lt;&gt;"",INDEX(Raw_D1!$H$2:$H$1001,$AP746),IF($AR746&lt;&gt;"",INDEX(Raw_D3!$H$2:$H$1001,$AR746),"")))</f>
        <v>4</v>
      </c>
      <c r="I746" s="5">
        <f>IF($A746="","",IF($AP746&lt;&gt;"",INDEX(Raw_D1!$I$2:$I$1001,$AP746),IF($AR746&lt;&gt;"",INDEX(Raw_D3!$I$2:$I$1001,$AR746),"")))</f>
        <v>1</v>
      </c>
      <c r="J746" s="16">
        <f>IF($A746="","",IF($AP746&lt;&gt;"",INDEX(Raw_D1!$J$2:$J$1001,$AP746),IF($AR746&lt;&gt;"",INDEX(Raw_D3!$J$2:$J$1001,$AR746),"")))</f>
        <v>0.18</v>
      </c>
      <c r="K746" s="17">
        <f>IF($A746="","",IF($AQ746&lt;&gt;"",IF(INDEX(Raw_D2!$C$2:$C$1001,$AQ746)="","",INDEX(Raw_D2!$C$2:$C$1001,$AQ746)),IF($AR746&lt;&gt;"",IF(INDEX(Raw_D3!$K$2:$K$1001,$AR746)="","",INDEX(Raw_D3!$K$2:$K$1001,$AR746)),"")))</f>
        <v>0.1515</v>
      </c>
      <c r="L746" s="16">
        <f>IF($A746="","",IF($AQ746&lt;&gt;"",IF(INDEX(Raw_D2!$D$2:$D$1001,$AQ746)="","",INDEX(Raw_D2!$D$2:$D$1001,$AQ746)),IF($AR746&lt;&gt;"",IF(INDEX(Raw_D3!$L$2:$L$1001,$AR746)="","",INDEX(Raw_D3!$L$2:$L$1001,$AR746)),"")))</f>
        <v>0.43</v>
      </c>
      <c r="M746" s="17">
        <f>IF($A746="","",IF($AQ746&lt;&gt;"",IF(INDEX(Raw_D2!$E$2:$E$1001,$AQ746)="","",INDEX(Raw_D2!$E$2:$E$1001,$AQ746)),IF($AR746&lt;&gt;"",IF(INDEX(Raw_D3!$M$2:$M$1001,$AR746)="","",INDEX(Raw_D3!$M$2:$M$1001,$AR746)),"")))</f>
        <v>0.3284</v>
      </c>
      <c r="N746" s="5">
        <f>IF($A746="","",IF($AQ746&lt;&gt;"",IF(INDEX(Raw_D2!$F$2:$F$1001,$AQ746)="","",INDEX(Raw_D2!$F$2:$F$1001,$AQ746)),IF($AR746&lt;&gt;"",IF(INDEX(Raw_D3!$N$2:$N$1001,$AR746)="","",INDEX(Raw_D3!$N$2:$N$1001,$AR746)),"")))</f>
        <v>2</v>
      </c>
      <c r="O746" s="5">
        <f>IF($A746="","",IF($AQ746&lt;&gt;"",IF(INDEX(Raw_D2!$G$2:$G$1001,$AQ746)="","",INDEX(Raw_D2!$G$2:$G$1001,$AQ746)),IF($AR746&lt;&gt;"",IF(INDEX(Raw_D3!$O$2:$O$1001,$AR746)="","",INDEX(Raw_D3!$O$2:$O$1001,$AR746)),"")))</f>
        <v>50</v>
      </c>
      <c r="P746" s="5">
        <f>IF($A746="","",IF($AQ746&lt;&gt;"",IF(INDEX(Raw_D2!$H$2:$H$1001,$AQ746)="","",INDEX(Raw_D2!$H$2:$H$1001,$AQ746)),IF($AR746&lt;&gt;"",IF(INDEX(Raw_D3!$P$2:$P$1001,$AR746)="","",INDEX(Raw_D3!$P$2:$P$1001,$AR746)),"")))</f>
        <v>52</v>
      </c>
      <c r="Q746" s="5" t="str">
        <f>IF($A746="","",IF(AND($AP746&lt;&gt;"",$AQ746&lt;&gt;""),"D1+D2",IF($AR746&lt;&gt;"","D3","Incomplete")))</f>
        <v>D3</v>
      </c>
      <c r="R746" s="17">
        <f>IF($A746="","",IF($K746="",IF($J746="","",ROUND(Lookups!$K$5+Lookups!$K$4*$J746,4)),$K746))</f>
        <v>0.1515</v>
      </c>
      <c r="S746" s="5" t="str">
        <f>IF($A746="","",IF($K746="","Imputed","Original"))</f>
        <v>Original</v>
      </c>
      <c r="T746" s="5" t="str">
        <f>IF($A746="","",IF($P746="","Missing",IF($P746=$N746+$O746,"OK","Mismatch")))</f>
        <v>OK</v>
      </c>
      <c r="U746" s="5" t="str">
        <f>IF($A746="","",IF(COUNTIF($A$2:$A746,$A746)&gt;1,"Duplicate","Unique"))</f>
        <v>Unique</v>
      </c>
      <c r="V746" s="5">
        <f>IF($A746="","",IF(AND($U746="Unique",ISNUMBER($P746)),1,0))</f>
        <v>1</v>
      </c>
      <c r="W746" s="5" t="str">
        <f>IF($A746="","",IF(OR($H746=0,$H746=6),"Weekend","Weekday"))</f>
        <v>Weekday</v>
      </c>
      <c r="X746" s="5" t="str">
        <f>IF($A746="","",TEXT($B746,"ddd"))</f>
        <v>Thu</v>
      </c>
      <c r="Y746" s="5" t="str">
        <f>IF($A746="","",TEXT($B746,"mmm"))</f>
        <v>Feb</v>
      </c>
      <c r="Z746" s="5" t="str">
        <f>IF($A746="","",IFERROR(VLOOKUP($C746,Lookups!$D$4:$E$7,2,FALSE),"Unknown"))</f>
        <v>Winter</v>
      </c>
      <c r="AA746" s="5" t="str">
        <f>IF($A746="","",IFERROR(VLOOKUP($I746,Lookups!$A$4:$B$7,2,FALSE),"Unknown"))</f>
        <v>Clear</v>
      </c>
      <c r="AB746" s="5" t="str">
        <f>IF($A746="","",TEXT($F746,"00")&amp;":00")</f>
        <v>10:00</v>
      </c>
      <c r="AC746" s="5" t="str">
        <f>IF($A746="","",VLOOKUP($F746,Lookups!$G$4:$H$8,2,TRUE))</f>
        <v>Midday (10-15)</v>
      </c>
      <c r="AD746" s="18">
        <f>IF($A746="","",IF($J746="","",ROUND($J746*41,1)))</f>
        <v>7.4</v>
      </c>
      <c r="AE746" s="18">
        <f>IF($A746="","",IF($R746="","",ROUND($R746*50,1)))</f>
        <v>7.6</v>
      </c>
      <c r="AF746" s="5">
        <f>IF($A746="","",IF($L746="","",ROUND($L746*100,0)))</f>
        <v>43</v>
      </c>
      <c r="AG746" s="18">
        <f>IF($A746="","",IF($M746="","",ROUND($M746*67,1)))</f>
        <v>22</v>
      </c>
      <c r="AH746" s="19">
        <f>IF($A746="","",IF($P746="","",IF($P746=0,0,$O746/$P746)))</f>
        <v>0.961538461538462</v>
      </c>
      <c r="AI746" s="5" t="str">
        <f>IF($A746="","",IF($P746="","",IF($P746&gt;=Lookups!$K$7,"High",IF($P746&lt;=Lookups!$K$8,"Low","Medium"))))</f>
        <v>Medium</v>
      </c>
      <c r="AJ746" s="5" t="str">
        <f>IF($A746="","",IF($AD746="","",IF($AD746&lt;5,"Under 5 C",IF($AD746&lt;10,"5-10 C",IF($AD746&lt;15,"10-15 C","15 C and above")))))</f>
        <v>5-10 C</v>
      </c>
      <c r="AK746" s="5">
        <f>IF($A746="","",IF($P746="","",$P746^2))</f>
        <v>2704</v>
      </c>
      <c r="AL746" s="18">
        <f>IF($V746&lt;&gt;1,"",AVERAGEIFS(Clean_Data!$P$2:$P$1001,Clean_Data!$F$2:$F$1001,$F746,Clean_Data!$W$2:$W$1001,$W746,Clean_Data!$V$2:$V$1001,1))</f>
        <v>49.0714285714286</v>
      </c>
      <c r="AM746" s="16">
        <f>IF($V746&lt;&gt;1,"",IFERROR(($P746-$AL746)/SQRT(MAX(0,(SUMIFS(Clean_Data!$AK$2:$AK$1001,Clean_Data!$F$2:$F$1001,$F746,Clean_Data!$W$2:$W$1001,$W746,Clean_Data!$V$2:$V$1001,1)-COUNTIFS(Clean_Data!$F$2:$F$1001,$F746,Clean_Data!$W$2:$W$1001,$W746,Clean_Data!$V$2:$V$1001,1)*$AL746^2)/(COUNTIFS(Clean_Data!$F$2:$F$1001,$F746,Clean_Data!$W$2:$W$1001,$W746,Clean_Data!$V$2:$V$1001,1)-1))),""))</f>
        <v>0.290190129883595</v>
      </c>
      <c r="AN746" s="5" t="str">
        <f>IF($AM746="","",IF($AM746&gt;=Lookups!$K$6,"High spike",IF($AM746&lt;=-Lookups!$K$6,"Unusual low","Normal")))</f>
        <v>Normal</v>
      </c>
      <c r="AO746" s="20">
        <f>IF($V746&lt;&gt;1,"",$P746+ROW()/100000)</f>
        <v>52.00746</v>
      </c>
      <c r="AP746" s="5">
        <f>IF($A746="","",IFERROR(MATCH($A746,Raw_D1!$A$2:$A$1001,0),""))</f>
        <v/>
      </c>
      <c r="AQ746" s="5">
        <f>IF($A746="","",IFERROR(MATCH($A746,Raw_D2!$B$2:$B$1001,0),""))</f>
        <v/>
      </c>
      <c r="AR746" s="5">
        <f>IF($A746="","",IFERROR(MATCH($A746,Raw_D3!$A$2:$A$1001,0),""))</f>
        <v>126</v>
      </c>
    </row>
    <row r="747" spans="1:44" x14ac:dyDescent="0.25">
      <c r="A747" s="5">
        <v>746</v>
      </c>
      <c r="B747" s="11">
        <f>IF($A747="","",IF($AP747&lt;&gt;"",INDEX(Raw_D1!$B$2:$B$1001,$AP747),IF($AR747&lt;&gt;"",INDEX(Raw_D3!$B$2:$B$1001,$AR747),"")))</f>
        <v>40577.0</v>
      </c>
      <c r="C747" s="5">
        <f>IF($A747="","",IF($AP747&lt;&gt;"",INDEX(Raw_D1!$C$2:$C$1001,$AP747),IF($AR747&lt;&gt;"",INDEX(Raw_D3!$C$2:$C$1001,$AR747),"")))</f>
        <v>1</v>
      </c>
      <c r="D747" s="5">
        <f>IF($A747="","",IF($AP747&lt;&gt;"",INDEX(Raw_D1!$D$2:$D$1001,$AP747),IF($AR747&lt;&gt;"",INDEX(Raw_D3!$D$2:$D$1001,$AR747),"")))</f>
        <v>0</v>
      </c>
      <c r="E747" s="5">
        <f>IF($A747="","",IF($AP747&lt;&gt;"",INDEX(Raw_D1!$E$2:$E$1001,$AP747),IF($AR747&lt;&gt;"",INDEX(Raw_D3!$E$2:$E$1001,$AR747),"")))</f>
        <v>2</v>
      </c>
      <c r="F747" s="5">
        <f>IF($A747="","",IF($AP747&lt;&gt;"",INDEX(Raw_D1!$F$2:$F$1001,$AP747),IF($AR747&lt;&gt;"",INDEX(Raw_D3!$F$2:$F$1001,$AR747),"")))</f>
        <v>11</v>
      </c>
      <c r="G747" s="5">
        <f>IF($A747="","",IF($AP747&lt;&gt;"",IF(INDEX(Raw_D1!$G$2:$G$1001,$AP747),1,0),IF($AR747&lt;&gt;"",IF(INDEX(Raw_D3!$G$2:$G$1001,$AR747),1,0),"")))</f>
        <v>0</v>
      </c>
      <c r="H747" s="5">
        <f>IF($A747="","",IF($AP747&lt;&gt;"",INDEX(Raw_D1!$H$2:$H$1001,$AP747),IF($AR747&lt;&gt;"",INDEX(Raw_D3!$H$2:$H$1001,$AR747),"")))</f>
        <v>4</v>
      </c>
      <c r="I747" s="5">
        <f>IF($A747="","",IF($AP747&lt;&gt;"",INDEX(Raw_D1!$I$2:$I$1001,$AP747),IF($AR747&lt;&gt;"",INDEX(Raw_D3!$I$2:$I$1001,$AR747),"")))</f>
        <v>1</v>
      </c>
      <c r="J747" s="16">
        <f>IF($A747="","",IF($AP747&lt;&gt;"",INDEX(Raw_D1!$J$2:$J$1001,$AP747),IF($AR747&lt;&gt;"",INDEX(Raw_D3!$J$2:$J$1001,$AR747),"")))</f>
        <v>0.18</v>
      </c>
      <c r="K747" s="17">
        <f>IF($A747="","",IF($AQ747&lt;&gt;"",IF(INDEX(Raw_D2!$C$2:$C$1001,$AQ747)="","",INDEX(Raw_D2!$C$2:$C$1001,$AQ747)),IF($AR747&lt;&gt;"",IF(INDEX(Raw_D3!$K$2:$K$1001,$AR747)="","",INDEX(Raw_D3!$K$2:$K$1001,$AR747)),"")))</f>
        <v>0.1364</v>
      </c>
      <c r="L747" s="16">
        <f>IF($A747="","",IF($AQ747&lt;&gt;"",IF(INDEX(Raw_D2!$D$2:$D$1001,$AQ747)="","",INDEX(Raw_D2!$D$2:$D$1001,$AQ747)),IF($AR747&lt;&gt;"",IF(INDEX(Raw_D3!$L$2:$L$1001,$AR747)="","",INDEX(Raw_D3!$L$2:$L$1001,$AR747)),"")))</f>
        <v>0.43</v>
      </c>
      <c r="M747" s="17">
        <f>IF($A747="","",IF($AQ747&lt;&gt;"",IF(INDEX(Raw_D2!$E$2:$E$1001,$AQ747)="","",INDEX(Raw_D2!$E$2:$E$1001,$AQ747)),IF($AR747&lt;&gt;"",IF(INDEX(Raw_D3!$M$2:$M$1001,$AR747)="","",INDEX(Raw_D3!$M$2:$M$1001,$AR747)),"")))</f>
        <v>0.4478</v>
      </c>
      <c r="N747" s="5">
        <f>IF($A747="","",IF($AQ747&lt;&gt;"",IF(INDEX(Raw_D2!$F$2:$F$1001,$AQ747)="","",INDEX(Raw_D2!$F$2:$F$1001,$AQ747)),IF($AR747&lt;&gt;"",IF(INDEX(Raw_D3!$N$2:$N$1001,$AR747)="","",INDEX(Raw_D3!$N$2:$N$1001,$AR747)),"")))</f>
        <v>9</v>
      </c>
      <c r="O747" s="5">
        <f>IF($A747="","",IF($AQ747&lt;&gt;"",IF(INDEX(Raw_D2!$G$2:$G$1001,$AQ747)="","",INDEX(Raw_D2!$G$2:$G$1001,$AQ747)),IF($AR747&lt;&gt;"",IF(INDEX(Raw_D3!$O$2:$O$1001,$AR747)="","",INDEX(Raw_D3!$O$2:$O$1001,$AR747)),"")))</f>
        <v>55</v>
      </c>
      <c r="P747" s="5">
        <f>IF($A747="","",IF($AQ747&lt;&gt;"",IF(INDEX(Raw_D2!$H$2:$H$1001,$AQ747)="","",INDEX(Raw_D2!$H$2:$H$1001,$AQ747)),IF($AR747&lt;&gt;"",IF(INDEX(Raw_D3!$P$2:$P$1001,$AR747)="","",INDEX(Raw_D3!$P$2:$P$1001,$AR747)),"")))</f>
        <v>64</v>
      </c>
      <c r="Q747" s="5" t="str">
        <f>IF($A747="","",IF(AND($AP747&lt;&gt;"",$AQ747&lt;&gt;""),"D1+D2",IF($AR747&lt;&gt;"","D3","Incomplete")))</f>
        <v>D3</v>
      </c>
      <c r="R747" s="17">
        <f>IF($A747="","",IF($K747="",IF($J747="","",ROUND(Lookups!$K$5+Lookups!$K$4*$J747,4)),$K747))</f>
        <v>0.1364</v>
      </c>
      <c r="S747" s="5" t="str">
        <f>IF($A747="","",IF($K747="","Imputed","Original"))</f>
        <v>Original</v>
      </c>
      <c r="T747" s="5" t="str">
        <f>IF($A747="","",IF($P747="","Missing",IF($P747=$N747+$O747,"OK","Mismatch")))</f>
        <v>OK</v>
      </c>
      <c r="U747" s="5" t="str">
        <f>IF($A747="","",IF(COUNTIF($A$2:$A747,$A747)&gt;1,"Duplicate","Unique"))</f>
        <v>Unique</v>
      </c>
      <c r="V747" s="5">
        <f>IF($A747="","",IF(AND($U747="Unique",ISNUMBER($P747)),1,0))</f>
        <v>1</v>
      </c>
      <c r="W747" s="5" t="str">
        <f>IF($A747="","",IF(OR($H747=0,$H747=6),"Weekend","Weekday"))</f>
        <v>Weekday</v>
      </c>
      <c r="X747" s="5" t="str">
        <f>IF($A747="","",TEXT($B747,"ddd"))</f>
        <v>Thu</v>
      </c>
      <c r="Y747" s="5" t="str">
        <f>IF($A747="","",TEXT($B747,"mmm"))</f>
        <v>Feb</v>
      </c>
      <c r="Z747" s="5" t="str">
        <f>IF($A747="","",IFERROR(VLOOKUP($C747,Lookups!$D$4:$E$7,2,FALSE),"Unknown"))</f>
        <v>Winter</v>
      </c>
      <c r="AA747" s="5" t="str">
        <f>IF($A747="","",IFERROR(VLOOKUP($I747,Lookups!$A$4:$B$7,2,FALSE),"Unknown"))</f>
        <v>Clear</v>
      </c>
      <c r="AB747" s="5" t="str">
        <f>IF($A747="","",TEXT($F747,"00")&amp;":00")</f>
        <v>11:00</v>
      </c>
      <c r="AC747" s="5" t="str">
        <f>IF($A747="","",VLOOKUP($F747,Lookups!$G$4:$H$8,2,TRUE))</f>
        <v>Midday (10-15)</v>
      </c>
      <c r="AD747" s="18">
        <f>IF($A747="","",IF($J747="","",ROUND($J747*41,1)))</f>
        <v>7.4</v>
      </c>
      <c r="AE747" s="18">
        <f>IF($A747="","",IF($R747="","",ROUND($R747*50,1)))</f>
        <v>6.8</v>
      </c>
      <c r="AF747" s="5">
        <f>IF($A747="","",IF($L747="","",ROUND($L747*100,0)))</f>
        <v>43</v>
      </c>
      <c r="AG747" s="18">
        <f>IF($A747="","",IF($M747="","",ROUND($M747*67,1)))</f>
        <v>30</v>
      </c>
      <c r="AH747" s="19">
        <f>IF($A747="","",IF($P747="","",IF($P747=0,0,$O747/$P747)))</f>
        <v>0.859375</v>
      </c>
      <c r="AI747" s="5" t="str">
        <f>IF($A747="","",IF($P747="","",IF($P747&gt;=Lookups!$K$7,"High",IF($P747&lt;=Lookups!$K$8,"Low","Medium"))))</f>
        <v>Medium</v>
      </c>
      <c r="AJ747" s="5" t="str">
        <f>IF($A747="","",IF($AD747="","",IF($AD747&lt;5,"Under 5 C",IF($AD747&lt;10,"5-10 C",IF($AD747&lt;15,"10-15 C","15 C and above")))))</f>
        <v>5-10 C</v>
      </c>
      <c r="AK747" s="5">
        <f>IF($A747="","",IF($P747="","",$P747^2))</f>
        <v>4096</v>
      </c>
      <c r="AL747" s="18">
        <f>IF($V747&lt;&gt;1,"",AVERAGEIFS(Clean_Data!$P$2:$P$1001,Clean_Data!$F$2:$F$1001,$F747,Clean_Data!$W$2:$W$1001,$W747,Clean_Data!$V$2:$V$1001,1))</f>
        <v>50.6071428571429</v>
      </c>
      <c r="AM747" s="16">
        <f>IF($V747&lt;&gt;1,"",IFERROR(($P747-$AL747)/SQRT(MAX(0,(SUMIFS(Clean_Data!$AK$2:$AK$1001,Clean_Data!$F$2:$F$1001,$F747,Clean_Data!$W$2:$W$1001,$W747,Clean_Data!$V$2:$V$1001,1)-COUNTIFS(Clean_Data!$F$2:$F$1001,$F747,Clean_Data!$W$2:$W$1001,$W747,Clean_Data!$V$2:$V$1001,1)*$AL747^2)/(COUNTIFS(Clean_Data!$F$2:$F$1001,$F747,Clean_Data!$W$2:$W$1001,$W747,Clean_Data!$V$2:$V$1001,1)-1))),""))</f>
        <v>1.19547343587792</v>
      </c>
      <c r="AN747" s="5" t="str">
        <f>IF($AM747="","",IF($AM747&gt;=Lookups!$K$6,"High spike",IF($AM747&lt;=-Lookups!$K$6,"Unusual low","Normal")))</f>
        <v>Normal</v>
      </c>
      <c r="AO747" s="20">
        <f>IF($V747&lt;&gt;1,"",$P747+ROW()/100000)</f>
        <v>64.00747</v>
      </c>
      <c r="AP747" s="5">
        <f>IF($A747="","",IFERROR(MATCH($A747,Raw_D1!$A$2:$A$1001,0),""))</f>
        <v/>
      </c>
      <c r="AQ747" s="5">
        <f>IF($A747="","",IFERROR(MATCH($A747,Raw_D2!$B$2:$B$1001,0),""))</f>
        <v/>
      </c>
      <c r="AR747" s="5">
        <f>IF($A747="","",IFERROR(MATCH($A747,Raw_D3!$A$2:$A$1001,0),""))</f>
        <v>127</v>
      </c>
    </row>
    <row r="748" spans="1:44" x14ac:dyDescent="0.25">
      <c r="A748" s="5">
        <v>747</v>
      </c>
      <c r="B748" s="11">
        <f>IF($A748="","",IF($AP748&lt;&gt;"",INDEX(Raw_D1!$B$2:$B$1001,$AP748),IF($AR748&lt;&gt;"",INDEX(Raw_D3!$B$2:$B$1001,$AR748),"")))</f>
        <v>40577.0</v>
      </c>
      <c r="C748" s="5">
        <f>IF($A748="","",IF($AP748&lt;&gt;"",INDEX(Raw_D1!$C$2:$C$1001,$AP748),IF($AR748&lt;&gt;"",INDEX(Raw_D3!$C$2:$C$1001,$AR748),"")))</f>
        <v>1</v>
      </c>
      <c r="D748" s="5">
        <f>IF($A748="","",IF($AP748&lt;&gt;"",INDEX(Raw_D1!$D$2:$D$1001,$AP748),IF($AR748&lt;&gt;"",INDEX(Raw_D3!$D$2:$D$1001,$AR748),"")))</f>
        <v>0</v>
      </c>
      <c r="E748" s="5">
        <f>IF($A748="","",IF($AP748&lt;&gt;"",INDEX(Raw_D1!$E$2:$E$1001,$AP748),IF($AR748&lt;&gt;"",INDEX(Raw_D3!$E$2:$E$1001,$AR748),"")))</f>
        <v>2</v>
      </c>
      <c r="F748" s="5">
        <f>IF($A748="","",IF($AP748&lt;&gt;"",INDEX(Raw_D1!$F$2:$F$1001,$AP748),IF($AR748&lt;&gt;"",INDEX(Raw_D3!$F$2:$F$1001,$AR748),"")))</f>
        <v>12</v>
      </c>
      <c r="G748" s="5">
        <f>IF($A748="","",IF($AP748&lt;&gt;"",IF(INDEX(Raw_D1!$G$2:$G$1001,$AP748),1,0),IF($AR748&lt;&gt;"",IF(INDEX(Raw_D3!$G$2:$G$1001,$AR748),1,0),"")))</f>
        <v>0</v>
      </c>
      <c r="H748" s="5">
        <f>IF($A748="","",IF($AP748&lt;&gt;"",INDEX(Raw_D1!$H$2:$H$1001,$AP748),IF($AR748&lt;&gt;"",INDEX(Raw_D3!$H$2:$H$1001,$AR748),"")))</f>
        <v>4</v>
      </c>
      <c r="I748" s="5">
        <f>IF($A748="","",IF($AP748&lt;&gt;"",INDEX(Raw_D1!$I$2:$I$1001,$AP748),IF($AR748&lt;&gt;"",INDEX(Raw_D3!$I$2:$I$1001,$AR748),"")))</f>
        <v>1</v>
      </c>
      <c r="J748" s="16">
        <f>IF($A748="","",IF($AP748&lt;&gt;"",INDEX(Raw_D1!$J$2:$J$1001,$AP748),IF($AR748&lt;&gt;"",INDEX(Raw_D3!$J$2:$J$1001,$AR748),"")))</f>
        <v>0.2</v>
      </c>
      <c r="K748" s="17">
        <f>IF($A748="","",IF($AQ748&lt;&gt;"",IF(INDEX(Raw_D2!$C$2:$C$1001,$AQ748)="","",INDEX(Raw_D2!$C$2:$C$1001,$AQ748)),IF($AR748&lt;&gt;"",IF(INDEX(Raw_D3!$K$2:$K$1001,$AR748)="","",INDEX(Raw_D3!$K$2:$K$1001,$AR748)),"")))</f>
        <v>0.1818</v>
      </c>
      <c r="L748" s="16">
        <f>IF($A748="","",IF($AQ748&lt;&gt;"",IF(INDEX(Raw_D2!$D$2:$D$1001,$AQ748)="","",INDEX(Raw_D2!$D$2:$D$1001,$AQ748)),IF($AR748&lt;&gt;"",IF(INDEX(Raw_D3!$L$2:$L$1001,$AR748)="","",INDEX(Raw_D3!$L$2:$L$1001,$AR748)),"")))</f>
        <v>0.4</v>
      </c>
      <c r="M748" s="17">
        <f>IF($A748="","",IF($AQ748&lt;&gt;"",IF(INDEX(Raw_D2!$E$2:$E$1001,$AQ748)="","",INDEX(Raw_D2!$E$2:$E$1001,$AQ748)),IF($AR748&lt;&gt;"",IF(INDEX(Raw_D3!$M$2:$M$1001,$AR748)="","",INDEX(Raw_D3!$M$2:$M$1001,$AR748)),"")))</f>
        <v>0.3582</v>
      </c>
      <c r="N748" s="5">
        <f>IF($A748="","",IF($AQ748&lt;&gt;"",IF(INDEX(Raw_D2!$F$2:$F$1001,$AQ748)="","",INDEX(Raw_D2!$F$2:$F$1001,$AQ748)),IF($AR748&lt;&gt;"",IF(INDEX(Raw_D3!$N$2:$N$1001,$AR748)="","",INDEX(Raw_D3!$N$2:$N$1001,$AR748)),"")))</f>
        <v>2</v>
      </c>
      <c r="O748" s="5">
        <f>IF($A748="","",IF($AQ748&lt;&gt;"",IF(INDEX(Raw_D2!$G$2:$G$1001,$AQ748)="","",INDEX(Raw_D2!$G$2:$G$1001,$AQ748)),IF($AR748&lt;&gt;"",IF(INDEX(Raw_D3!$O$2:$O$1001,$AR748)="","",INDEX(Raw_D3!$O$2:$O$1001,$AR748)),"")))</f>
        <v>67</v>
      </c>
      <c r="P748" s="5">
        <f>IF($A748="","",IF($AQ748&lt;&gt;"",IF(INDEX(Raw_D2!$H$2:$H$1001,$AQ748)="","",INDEX(Raw_D2!$H$2:$H$1001,$AQ748)),IF($AR748&lt;&gt;"",IF(INDEX(Raw_D3!$P$2:$P$1001,$AR748)="","",INDEX(Raw_D3!$P$2:$P$1001,$AR748)),"")))</f>
        <v>69</v>
      </c>
      <c r="Q748" s="5" t="str">
        <f>IF($A748="","",IF(AND($AP748&lt;&gt;"",$AQ748&lt;&gt;""),"D1+D2",IF($AR748&lt;&gt;"","D3","Incomplete")))</f>
        <v>D3</v>
      </c>
      <c r="R748" s="17">
        <f>IF($A748="","",IF($K748="",IF($J748="","",ROUND(Lookups!$K$5+Lookups!$K$4*$J748,4)),$K748))</f>
        <v>0.1818</v>
      </c>
      <c r="S748" s="5" t="str">
        <f>IF($A748="","",IF($K748="","Imputed","Original"))</f>
        <v>Original</v>
      </c>
      <c r="T748" s="5" t="str">
        <f>IF($A748="","",IF($P748="","Missing",IF($P748=$N748+$O748,"OK","Mismatch")))</f>
        <v>OK</v>
      </c>
      <c r="U748" s="5" t="str">
        <f>IF($A748="","",IF(COUNTIF($A$2:$A748,$A748)&gt;1,"Duplicate","Unique"))</f>
        <v>Unique</v>
      </c>
      <c r="V748" s="5">
        <f>IF($A748="","",IF(AND($U748="Unique",ISNUMBER($P748)),1,0))</f>
        <v>1</v>
      </c>
      <c r="W748" s="5" t="str">
        <f>IF($A748="","",IF(OR($H748=0,$H748=6),"Weekend","Weekday"))</f>
        <v>Weekday</v>
      </c>
      <c r="X748" s="5" t="str">
        <f>IF($A748="","",TEXT($B748,"ddd"))</f>
        <v>Thu</v>
      </c>
      <c r="Y748" s="5" t="str">
        <f>IF($A748="","",TEXT($B748,"mmm"))</f>
        <v>Feb</v>
      </c>
      <c r="Z748" s="5" t="str">
        <f>IF($A748="","",IFERROR(VLOOKUP($C748,Lookups!$D$4:$E$7,2,FALSE),"Unknown"))</f>
        <v>Winter</v>
      </c>
      <c r="AA748" s="5" t="str">
        <f>IF($A748="","",IFERROR(VLOOKUP($I748,Lookups!$A$4:$B$7,2,FALSE),"Unknown"))</f>
        <v>Clear</v>
      </c>
      <c r="AB748" s="5" t="str">
        <f>IF($A748="","",TEXT($F748,"00")&amp;":00")</f>
        <v>12:00</v>
      </c>
      <c r="AC748" s="5" t="str">
        <f>IF($A748="","",VLOOKUP($F748,Lookups!$G$4:$H$8,2,TRUE))</f>
        <v>Midday (10-15)</v>
      </c>
      <c r="AD748" s="18">
        <f>IF($A748="","",IF($J748="","",ROUND($J748*41,1)))</f>
        <v>8.2</v>
      </c>
      <c r="AE748" s="18">
        <f>IF($A748="","",IF($R748="","",ROUND($R748*50,1)))</f>
        <v>9.1</v>
      </c>
      <c r="AF748" s="5">
        <f>IF($A748="","",IF($L748="","",ROUND($L748*100,0)))</f>
        <v>40</v>
      </c>
      <c r="AG748" s="18">
        <f>IF($A748="","",IF($M748="","",ROUND($M748*67,1)))</f>
        <v>24</v>
      </c>
      <c r="AH748" s="19">
        <f>IF($A748="","",IF($P748="","",IF($P748=0,0,$O748/$P748)))</f>
        <v>0.971014492753623</v>
      </c>
      <c r="AI748" s="5" t="str">
        <f>IF($A748="","",IF($P748="","",IF($P748&gt;=Lookups!$K$7,"High",IF($P748&lt;=Lookups!$K$8,"Low","Medium"))))</f>
        <v>Medium</v>
      </c>
      <c r="AJ748" s="5" t="str">
        <f>IF($A748="","",IF($AD748="","",IF($AD748&lt;5,"Under 5 C",IF($AD748&lt;10,"5-10 C",IF($AD748&lt;15,"10-15 C","15 C and above")))))</f>
        <v>5-10 C</v>
      </c>
      <c r="AK748" s="5">
        <f>IF($A748="","",IF($P748="","",$P748^2))</f>
        <v>4761</v>
      </c>
      <c r="AL748" s="18">
        <f>IF($V748&lt;&gt;1,"",AVERAGEIFS(Clean_Data!$P$2:$P$1001,Clean_Data!$F$2:$F$1001,$F748,Clean_Data!$W$2:$W$1001,$W748,Clean_Data!$V$2:$V$1001,1))</f>
        <v>64.5862068965517</v>
      </c>
      <c r="AM748" s="16">
        <f>IF($V748&lt;&gt;1,"",IFERROR(($P748-$AL748)/SQRT(MAX(0,(SUMIFS(Clean_Data!$AK$2:$AK$1001,Clean_Data!$F$2:$F$1001,$F748,Clean_Data!$W$2:$W$1001,$W748,Clean_Data!$V$2:$V$1001,1)-COUNTIFS(Clean_Data!$F$2:$F$1001,$F748,Clean_Data!$W$2:$W$1001,$W748,Clean_Data!$V$2:$V$1001,1)*$AL748^2)/(COUNTIFS(Clean_Data!$F$2:$F$1001,$F748,Clean_Data!$W$2:$W$1001,$W748,Clean_Data!$V$2:$V$1001,1)-1))),""))</f>
        <v>0.235674377956069</v>
      </c>
      <c r="AN748" s="5" t="str">
        <f>IF($AM748="","",IF($AM748&gt;=Lookups!$K$6,"High spike",IF($AM748&lt;=-Lookups!$K$6,"Unusual low","Normal")))</f>
        <v>Normal</v>
      </c>
      <c r="AO748" s="20">
        <f>IF($V748&lt;&gt;1,"",$P748+ROW()/100000)</f>
        <v>69.00748</v>
      </c>
      <c r="AP748" s="5">
        <f>IF($A748="","",IFERROR(MATCH($A748,Raw_D1!$A$2:$A$1001,0),""))</f>
        <v/>
      </c>
      <c r="AQ748" s="5">
        <f>IF($A748="","",IFERROR(MATCH($A748,Raw_D2!$B$2:$B$1001,0),""))</f>
        <v/>
      </c>
      <c r="AR748" s="5">
        <f>IF($A748="","",IFERROR(MATCH($A748,Raw_D3!$A$2:$A$1001,0),""))</f>
        <v>128</v>
      </c>
    </row>
    <row r="749" spans="1:44" x14ac:dyDescent="0.25">
      <c r="A749" s="5">
        <v>748</v>
      </c>
      <c r="B749" s="11">
        <f>IF($A749="","",IF($AP749&lt;&gt;"",INDEX(Raw_D1!$B$2:$B$1001,$AP749),IF($AR749&lt;&gt;"",INDEX(Raw_D3!$B$2:$B$1001,$AR749),"")))</f>
        <v>40577.0</v>
      </c>
      <c r="C749" s="5">
        <f>IF($A749="","",IF($AP749&lt;&gt;"",INDEX(Raw_D1!$C$2:$C$1001,$AP749),IF($AR749&lt;&gt;"",INDEX(Raw_D3!$C$2:$C$1001,$AR749),"")))</f>
        <v>1</v>
      </c>
      <c r="D749" s="5">
        <f>IF($A749="","",IF($AP749&lt;&gt;"",INDEX(Raw_D1!$D$2:$D$1001,$AP749),IF($AR749&lt;&gt;"",INDEX(Raw_D3!$D$2:$D$1001,$AR749),"")))</f>
        <v>0</v>
      </c>
      <c r="E749" s="5">
        <f>IF($A749="","",IF($AP749&lt;&gt;"",INDEX(Raw_D1!$E$2:$E$1001,$AP749),IF($AR749&lt;&gt;"",INDEX(Raw_D3!$E$2:$E$1001,$AR749),"")))</f>
        <v>2</v>
      </c>
      <c r="F749" s="5">
        <f>IF($A749="","",IF($AP749&lt;&gt;"",INDEX(Raw_D1!$F$2:$F$1001,$AP749),IF($AR749&lt;&gt;"",INDEX(Raw_D3!$F$2:$F$1001,$AR749),"")))</f>
        <v>13</v>
      </c>
      <c r="G749" s="5">
        <f>IF($A749="","",IF($AP749&lt;&gt;"",IF(INDEX(Raw_D1!$G$2:$G$1001,$AP749),1,0),IF($AR749&lt;&gt;"",IF(INDEX(Raw_D3!$G$2:$G$1001,$AR749),1,0),"")))</f>
        <v>0</v>
      </c>
      <c r="H749" s="5">
        <f>IF($A749="","",IF($AP749&lt;&gt;"",INDEX(Raw_D1!$H$2:$H$1001,$AP749),IF($AR749&lt;&gt;"",INDEX(Raw_D3!$H$2:$H$1001,$AR749),"")))</f>
        <v>4</v>
      </c>
      <c r="I749" s="5">
        <f>IF($A749="","",IF($AP749&lt;&gt;"",INDEX(Raw_D1!$I$2:$I$1001,$AP749),IF($AR749&lt;&gt;"",INDEX(Raw_D3!$I$2:$I$1001,$AR749),"")))</f>
        <v>1</v>
      </c>
      <c r="J749" s="16">
        <f>IF($A749="","",IF($AP749&lt;&gt;"",INDEX(Raw_D1!$J$2:$J$1001,$AP749),IF($AR749&lt;&gt;"",INDEX(Raw_D3!$J$2:$J$1001,$AR749),"")))</f>
        <v>0.2</v>
      </c>
      <c r="K749" s="17">
        <f>IF($A749="","",IF($AQ749&lt;&gt;"",IF(INDEX(Raw_D2!$C$2:$C$1001,$AQ749)="","",INDEX(Raw_D2!$C$2:$C$1001,$AQ749)),IF($AR749&lt;&gt;"",IF(INDEX(Raw_D3!$K$2:$K$1001,$AR749)="","",INDEX(Raw_D3!$K$2:$K$1001,$AR749)),"")))</f>
        <v>0.1667</v>
      </c>
      <c r="L749" s="16">
        <f>IF($A749="","",IF($AQ749&lt;&gt;"",IF(INDEX(Raw_D2!$D$2:$D$1001,$AQ749)="","",INDEX(Raw_D2!$D$2:$D$1001,$AQ749)),IF($AR749&lt;&gt;"",IF(INDEX(Raw_D3!$L$2:$L$1001,$AR749)="","",INDEX(Raw_D3!$L$2:$L$1001,$AR749)),"")))</f>
        <v>0.4</v>
      </c>
      <c r="M749" s="17">
        <f>IF($A749="","",IF($AQ749&lt;&gt;"",IF(INDEX(Raw_D2!$E$2:$E$1001,$AQ749)="","",INDEX(Raw_D2!$E$2:$E$1001,$AQ749)),IF($AR749&lt;&gt;"",IF(INDEX(Raw_D3!$M$2:$M$1001,$AR749)="","",INDEX(Raw_D3!$M$2:$M$1001,$AR749)),"")))</f>
        <v>0.4179</v>
      </c>
      <c r="N749" s="5">
        <f>IF($A749="","",IF($AQ749&lt;&gt;"",IF(INDEX(Raw_D2!$F$2:$F$1001,$AQ749)="","",INDEX(Raw_D2!$F$2:$F$1001,$AQ749)),IF($AR749&lt;&gt;"",IF(INDEX(Raw_D3!$N$2:$N$1001,$AR749)="","",INDEX(Raw_D3!$N$2:$N$1001,$AR749)),"")))</f>
        <v>4</v>
      </c>
      <c r="O749" s="5">
        <f>IF($A749="","",IF($AQ749&lt;&gt;"",IF(INDEX(Raw_D2!$G$2:$G$1001,$AQ749)="","",INDEX(Raw_D2!$G$2:$G$1001,$AQ749)),IF($AR749&lt;&gt;"",IF(INDEX(Raw_D3!$O$2:$O$1001,$AR749)="","",INDEX(Raw_D3!$O$2:$O$1001,$AR749)),"")))</f>
        <v>47</v>
      </c>
      <c r="P749" s="5">
        <f>IF($A749="","",IF($AQ749&lt;&gt;"",IF(INDEX(Raw_D2!$H$2:$H$1001,$AQ749)="","",INDEX(Raw_D2!$H$2:$H$1001,$AQ749)),IF($AR749&lt;&gt;"",IF(INDEX(Raw_D3!$P$2:$P$1001,$AR749)="","",INDEX(Raw_D3!$P$2:$P$1001,$AR749)),"")))</f>
        <v>51</v>
      </c>
      <c r="Q749" s="5" t="str">
        <f>IF($A749="","",IF(AND($AP749&lt;&gt;"",$AQ749&lt;&gt;""),"D1+D2",IF($AR749&lt;&gt;"","D3","Incomplete")))</f>
        <v>D3</v>
      </c>
      <c r="R749" s="17">
        <f>IF($A749="","",IF($K749="",IF($J749="","",ROUND(Lookups!$K$5+Lookups!$K$4*$J749,4)),$K749))</f>
        <v>0.1667</v>
      </c>
      <c r="S749" s="5" t="str">
        <f>IF($A749="","",IF($K749="","Imputed","Original"))</f>
        <v>Original</v>
      </c>
      <c r="T749" s="5" t="str">
        <f>IF($A749="","",IF($P749="","Missing",IF($P749=$N749+$O749,"OK","Mismatch")))</f>
        <v>OK</v>
      </c>
      <c r="U749" s="5" t="str">
        <f>IF($A749="","",IF(COUNTIF($A$2:$A749,$A749)&gt;1,"Duplicate","Unique"))</f>
        <v>Unique</v>
      </c>
      <c r="V749" s="5">
        <f>IF($A749="","",IF(AND($U749="Unique",ISNUMBER($P749)),1,0))</f>
        <v>1</v>
      </c>
      <c r="W749" s="5" t="str">
        <f>IF($A749="","",IF(OR($H749=0,$H749=6),"Weekend","Weekday"))</f>
        <v>Weekday</v>
      </c>
      <c r="X749" s="5" t="str">
        <f>IF($A749="","",TEXT($B749,"ddd"))</f>
        <v>Thu</v>
      </c>
      <c r="Y749" s="5" t="str">
        <f>IF($A749="","",TEXT($B749,"mmm"))</f>
        <v>Feb</v>
      </c>
      <c r="Z749" s="5" t="str">
        <f>IF($A749="","",IFERROR(VLOOKUP($C749,Lookups!$D$4:$E$7,2,FALSE),"Unknown"))</f>
        <v>Winter</v>
      </c>
      <c r="AA749" s="5" t="str">
        <f>IF($A749="","",IFERROR(VLOOKUP($I749,Lookups!$A$4:$B$7,2,FALSE),"Unknown"))</f>
        <v>Clear</v>
      </c>
      <c r="AB749" s="5" t="str">
        <f>IF($A749="","",TEXT($F749,"00")&amp;":00")</f>
        <v>13:00</v>
      </c>
      <c r="AC749" s="5" t="str">
        <f>IF($A749="","",VLOOKUP($F749,Lookups!$G$4:$H$8,2,TRUE))</f>
        <v>Midday (10-15)</v>
      </c>
      <c r="AD749" s="18">
        <f>IF($A749="","",IF($J749="","",ROUND($J749*41,1)))</f>
        <v>8.2</v>
      </c>
      <c r="AE749" s="18">
        <f>IF($A749="","",IF($R749="","",ROUND($R749*50,1)))</f>
        <v>8.3</v>
      </c>
      <c r="AF749" s="5">
        <f>IF($A749="","",IF($L749="","",ROUND($L749*100,0)))</f>
        <v>40</v>
      </c>
      <c r="AG749" s="18">
        <f>IF($A749="","",IF($M749="","",ROUND($M749*67,1)))</f>
        <v>28</v>
      </c>
      <c r="AH749" s="19">
        <f>IF($A749="","",IF($P749="","",IF($P749=0,0,$O749/$P749)))</f>
        <v>0.92156862745098</v>
      </c>
      <c r="AI749" s="5" t="str">
        <f>IF($A749="","",IF($P749="","",IF($P749&gt;=Lookups!$K$7,"High",IF($P749&lt;=Lookups!$K$8,"Low","Medium"))))</f>
        <v>Medium</v>
      </c>
      <c r="AJ749" s="5" t="str">
        <f>IF($A749="","",IF($AD749="","",IF($AD749&lt;5,"Under 5 C",IF($AD749&lt;10,"5-10 C",IF($AD749&lt;15,"10-15 C","15 C and above")))))</f>
        <v>5-10 C</v>
      </c>
      <c r="AK749" s="5">
        <f>IF($A749="","",IF($P749="","",$P749^2))</f>
        <v>2601</v>
      </c>
      <c r="AL749" s="18">
        <f>IF($V749&lt;&gt;1,"",AVERAGEIFS(Clean_Data!$P$2:$P$1001,Clean_Data!$F$2:$F$1001,$F749,Clean_Data!$W$2:$W$1001,$W749,Clean_Data!$V$2:$V$1001,1))</f>
        <v>67.1724137931034</v>
      </c>
      <c r="AM749" s="16">
        <f>IF($V749&lt;&gt;1,"",IFERROR(($P749-$AL749)/SQRT(MAX(0,(SUMIFS(Clean_Data!$AK$2:$AK$1001,Clean_Data!$F$2:$F$1001,$F749,Clean_Data!$W$2:$W$1001,$W749,Clean_Data!$V$2:$V$1001,1)-COUNTIFS(Clean_Data!$F$2:$F$1001,$F749,Clean_Data!$W$2:$W$1001,$W749,Clean_Data!$V$2:$V$1001,1)*$AL749^2)/(COUNTIFS(Clean_Data!$F$2:$F$1001,$F749,Clean_Data!$W$2:$W$1001,$W749,Clean_Data!$V$2:$V$1001,1)-1))),""))</f>
        <v>-0.800929438845962</v>
      </c>
      <c r="AN749" s="5" t="str">
        <f>IF($AM749="","",IF($AM749&gt;=Lookups!$K$6,"High spike",IF($AM749&lt;=-Lookups!$K$6,"Unusual low","Normal")))</f>
        <v>Normal</v>
      </c>
      <c r="AO749" s="20">
        <f>IF($V749&lt;&gt;1,"",$P749+ROW()/100000)</f>
        <v>51.00749</v>
      </c>
      <c r="AP749" s="5">
        <f>IF($A749="","",IFERROR(MATCH($A749,Raw_D1!$A$2:$A$1001,0),""))</f>
        <v/>
      </c>
      <c r="AQ749" s="5">
        <f>IF($A749="","",IFERROR(MATCH($A749,Raw_D2!$B$2:$B$1001,0),""))</f>
        <v/>
      </c>
      <c r="AR749" s="5">
        <f>IF($A749="","",IFERROR(MATCH($A749,Raw_D3!$A$2:$A$1001,0),""))</f>
        <v>129</v>
      </c>
    </row>
    <row r="750" spans="1:44" x14ac:dyDescent="0.25">
      <c r="A750" s="5">
        <v>749</v>
      </c>
      <c r="B750" s="11">
        <f>IF($A750="","",IF($AP750&lt;&gt;"",INDEX(Raw_D1!$B$2:$B$1001,$AP750),IF($AR750&lt;&gt;"",INDEX(Raw_D3!$B$2:$B$1001,$AR750),"")))</f>
        <v>40577.0</v>
      </c>
      <c r="C750" s="5">
        <f>IF($A750="","",IF($AP750&lt;&gt;"",INDEX(Raw_D1!$C$2:$C$1001,$AP750),IF($AR750&lt;&gt;"",INDEX(Raw_D3!$C$2:$C$1001,$AR750),"")))</f>
        <v>1</v>
      </c>
      <c r="D750" s="5">
        <f>IF($A750="","",IF($AP750&lt;&gt;"",INDEX(Raw_D1!$D$2:$D$1001,$AP750),IF($AR750&lt;&gt;"",INDEX(Raw_D3!$D$2:$D$1001,$AR750),"")))</f>
        <v>0</v>
      </c>
      <c r="E750" s="5">
        <f>IF($A750="","",IF($AP750&lt;&gt;"",INDEX(Raw_D1!$E$2:$E$1001,$AP750),IF($AR750&lt;&gt;"",INDEX(Raw_D3!$E$2:$E$1001,$AR750),"")))</f>
        <v>2</v>
      </c>
      <c r="F750" s="5">
        <f>IF($A750="","",IF($AP750&lt;&gt;"",INDEX(Raw_D1!$F$2:$F$1001,$AP750),IF($AR750&lt;&gt;"",INDEX(Raw_D3!$F$2:$F$1001,$AR750),"")))</f>
        <v>14</v>
      </c>
      <c r="G750" s="5">
        <f>IF($A750="","",IF($AP750&lt;&gt;"",IF(INDEX(Raw_D1!$G$2:$G$1001,$AP750),1,0),IF($AR750&lt;&gt;"",IF(INDEX(Raw_D3!$G$2:$G$1001,$AR750),1,0),"")))</f>
        <v>0</v>
      </c>
      <c r="H750" s="5">
        <f>IF($A750="","",IF($AP750&lt;&gt;"",INDEX(Raw_D1!$H$2:$H$1001,$AP750),IF($AR750&lt;&gt;"",INDEX(Raw_D3!$H$2:$H$1001,$AR750),"")))</f>
        <v>4</v>
      </c>
      <c r="I750" s="5">
        <f>IF($A750="","",IF($AP750&lt;&gt;"",INDEX(Raw_D1!$I$2:$I$1001,$AP750),IF($AR750&lt;&gt;"",INDEX(Raw_D3!$I$2:$I$1001,$AR750),"")))</f>
        <v>1</v>
      </c>
      <c r="J750" s="16">
        <f>IF($A750="","",IF($AP750&lt;&gt;"",INDEX(Raw_D1!$J$2:$J$1001,$AP750),IF($AR750&lt;&gt;"",INDEX(Raw_D3!$J$2:$J$1001,$AR750),"")))</f>
        <v>0.22</v>
      </c>
      <c r="K750" s="17">
        <f>IF($A750="","",IF($AQ750&lt;&gt;"",IF(INDEX(Raw_D2!$C$2:$C$1001,$AQ750)="","",INDEX(Raw_D2!$C$2:$C$1001,$AQ750)),IF($AR750&lt;&gt;"",IF(INDEX(Raw_D3!$K$2:$K$1001,$AR750)="","",INDEX(Raw_D3!$K$2:$K$1001,$AR750)),"")))</f>
        <v>0.197</v>
      </c>
      <c r="L750" s="16">
        <f>IF($A750="","",IF($AQ750&lt;&gt;"",IF(INDEX(Raw_D2!$D$2:$D$1001,$AQ750)="","",INDEX(Raw_D2!$D$2:$D$1001,$AQ750)),IF($AR750&lt;&gt;"",IF(INDEX(Raw_D3!$L$2:$L$1001,$AR750)="","",INDEX(Raw_D3!$L$2:$L$1001,$AR750)),"")))</f>
        <v>0.37</v>
      </c>
      <c r="M750" s="17">
        <f>IF($A750="","",IF($AQ750&lt;&gt;"",IF(INDEX(Raw_D2!$E$2:$E$1001,$AQ750)="","",INDEX(Raw_D2!$E$2:$E$1001,$AQ750)),IF($AR750&lt;&gt;"",IF(INDEX(Raw_D3!$M$2:$M$1001,$AR750)="","",INDEX(Raw_D3!$M$2:$M$1001,$AR750)),"")))</f>
        <v>0.3881</v>
      </c>
      <c r="N750" s="5">
        <f>IF($A750="","",IF($AQ750&lt;&gt;"",IF(INDEX(Raw_D2!$F$2:$F$1001,$AQ750)="","",INDEX(Raw_D2!$F$2:$F$1001,$AQ750)),IF($AR750&lt;&gt;"",IF(INDEX(Raw_D3!$N$2:$N$1001,$AR750)="","",INDEX(Raw_D3!$N$2:$N$1001,$AR750)),"")))</f>
        <v>4</v>
      </c>
      <c r="O750" s="5">
        <f>IF($A750="","",IF($AQ750&lt;&gt;"",IF(INDEX(Raw_D2!$G$2:$G$1001,$AQ750)="","",INDEX(Raw_D2!$G$2:$G$1001,$AQ750)),IF($AR750&lt;&gt;"",IF(INDEX(Raw_D3!$O$2:$O$1001,$AR750)="","",INDEX(Raw_D3!$O$2:$O$1001,$AR750)),"")))</f>
        <v>43</v>
      </c>
      <c r="P750" s="5">
        <f>IF($A750="","",IF($AQ750&lt;&gt;"",IF(INDEX(Raw_D2!$H$2:$H$1001,$AQ750)="","",INDEX(Raw_D2!$H$2:$H$1001,$AQ750)),IF($AR750&lt;&gt;"",IF(INDEX(Raw_D3!$P$2:$P$1001,$AR750)="","",INDEX(Raw_D3!$P$2:$P$1001,$AR750)),"")))</f>
        <v>47</v>
      </c>
      <c r="Q750" s="5" t="str">
        <f>IF($A750="","",IF(AND($AP750&lt;&gt;"",$AQ750&lt;&gt;""),"D1+D2",IF($AR750&lt;&gt;"","D3","Incomplete")))</f>
        <v>D3</v>
      </c>
      <c r="R750" s="17">
        <f>IF($A750="","",IF($K750="",IF($J750="","",ROUND(Lookups!$K$5+Lookups!$K$4*$J750,4)),$K750))</f>
        <v>0.197</v>
      </c>
      <c r="S750" s="5" t="str">
        <f>IF($A750="","",IF($K750="","Imputed","Original"))</f>
        <v>Original</v>
      </c>
      <c r="T750" s="5" t="str">
        <f>IF($A750="","",IF($P750="","Missing",IF($P750=$N750+$O750,"OK","Mismatch")))</f>
        <v>OK</v>
      </c>
      <c r="U750" s="5" t="str">
        <f>IF($A750="","",IF(COUNTIF($A$2:$A750,$A750)&gt;1,"Duplicate","Unique"))</f>
        <v>Unique</v>
      </c>
      <c r="V750" s="5">
        <f>IF($A750="","",IF(AND($U750="Unique",ISNUMBER($P750)),1,0))</f>
        <v>1</v>
      </c>
      <c r="W750" s="5" t="str">
        <f>IF($A750="","",IF(OR($H750=0,$H750=6),"Weekend","Weekday"))</f>
        <v>Weekday</v>
      </c>
      <c r="X750" s="5" t="str">
        <f>IF($A750="","",TEXT($B750,"ddd"))</f>
        <v>Thu</v>
      </c>
      <c r="Y750" s="5" t="str">
        <f>IF($A750="","",TEXT($B750,"mmm"))</f>
        <v>Feb</v>
      </c>
      <c r="Z750" s="5" t="str">
        <f>IF($A750="","",IFERROR(VLOOKUP($C750,Lookups!$D$4:$E$7,2,FALSE),"Unknown"))</f>
        <v>Winter</v>
      </c>
      <c r="AA750" s="5" t="str">
        <f>IF($A750="","",IFERROR(VLOOKUP($I750,Lookups!$A$4:$B$7,2,FALSE),"Unknown"))</f>
        <v>Clear</v>
      </c>
      <c r="AB750" s="5" t="str">
        <f>IF($A750="","",TEXT($F750,"00")&amp;":00")</f>
        <v>14:00</v>
      </c>
      <c r="AC750" s="5" t="str">
        <f>IF($A750="","",VLOOKUP($F750,Lookups!$G$4:$H$8,2,TRUE))</f>
        <v>Midday (10-15)</v>
      </c>
      <c r="AD750" s="18">
        <f>IF($A750="","",IF($J750="","",ROUND($J750*41,1)))</f>
        <v>9</v>
      </c>
      <c r="AE750" s="18">
        <f>IF($A750="","",IF($R750="","",ROUND($R750*50,1)))</f>
        <v>9.9</v>
      </c>
      <c r="AF750" s="5">
        <f>IF($A750="","",IF($L750="","",ROUND($L750*100,0)))</f>
        <v>37</v>
      </c>
      <c r="AG750" s="18">
        <f>IF($A750="","",IF($M750="","",ROUND($M750*67,1)))</f>
        <v>26</v>
      </c>
      <c r="AH750" s="19">
        <f>IF($A750="","",IF($P750="","",IF($P750=0,0,$O750/$P750)))</f>
        <v>0.914893617021277</v>
      </c>
      <c r="AI750" s="5" t="str">
        <f>IF($A750="","",IF($P750="","",IF($P750&gt;=Lookups!$K$7,"High",IF($P750&lt;=Lookups!$K$8,"Low","Medium"))))</f>
        <v>Medium</v>
      </c>
      <c r="AJ750" s="5" t="str">
        <f>IF($A750="","",IF($AD750="","",IF($AD750&lt;5,"Under 5 C",IF($AD750&lt;10,"5-10 C",IF($AD750&lt;15,"10-15 C","15 C and above")))))</f>
        <v>5-10 C</v>
      </c>
      <c r="AK750" s="5">
        <f>IF($A750="","",IF($P750="","",$P750^2))</f>
        <v>2209</v>
      </c>
      <c r="AL750" s="18">
        <f>IF($V750&lt;&gt;1,"",AVERAGEIFS(Clean_Data!$P$2:$P$1001,Clean_Data!$F$2:$F$1001,$F750,Clean_Data!$W$2:$W$1001,$W750,Clean_Data!$V$2:$V$1001,1))</f>
        <v>60.551724137931</v>
      </c>
      <c r="AM750" s="16">
        <f>IF($V750&lt;&gt;1,"",IFERROR(($P750-$AL750)/SQRT(MAX(0,(SUMIFS(Clean_Data!$AK$2:$AK$1001,Clean_Data!$F$2:$F$1001,$F750,Clean_Data!$W$2:$W$1001,$W750,Clean_Data!$V$2:$V$1001,1)-COUNTIFS(Clean_Data!$F$2:$F$1001,$F750,Clean_Data!$W$2:$W$1001,$W750,Clean_Data!$V$2:$V$1001,1)*$AL750^2)/(COUNTIFS(Clean_Data!$F$2:$F$1001,$F750,Clean_Data!$W$2:$W$1001,$W750,Clean_Data!$V$2:$V$1001,1)-1))),""))</f>
        <v>-0.823796577669938</v>
      </c>
      <c r="AN750" s="5" t="str">
        <f>IF($AM750="","",IF($AM750&gt;=Lookups!$K$6,"High spike",IF($AM750&lt;=-Lookups!$K$6,"Unusual low","Normal")))</f>
        <v>Normal</v>
      </c>
      <c r="AO750" s="20">
        <f>IF($V750&lt;&gt;1,"",$P750+ROW()/100000)</f>
        <v>47.0075</v>
      </c>
      <c r="AP750" s="5">
        <f>IF($A750="","",IFERROR(MATCH($A750,Raw_D1!$A$2:$A$1001,0),""))</f>
        <v/>
      </c>
      <c r="AQ750" s="5">
        <f>IF($A750="","",IFERROR(MATCH($A750,Raw_D2!$B$2:$B$1001,0),""))</f>
        <v/>
      </c>
      <c r="AR750" s="5">
        <f>IF($A750="","",IFERROR(MATCH($A750,Raw_D3!$A$2:$A$1001,0),""))</f>
        <v>130</v>
      </c>
    </row>
    <row r="751" spans="1:44" x14ac:dyDescent="0.25">
      <c r="A751" s="5">
        <v>750</v>
      </c>
      <c r="B751" s="11">
        <f>IF($A751="","",IF($AP751&lt;&gt;"",INDEX(Raw_D1!$B$2:$B$1001,$AP751),IF($AR751&lt;&gt;"",INDEX(Raw_D3!$B$2:$B$1001,$AR751),"")))</f>
        <v>40577.0</v>
      </c>
      <c r="C751" s="5">
        <f>IF($A751="","",IF($AP751&lt;&gt;"",INDEX(Raw_D1!$C$2:$C$1001,$AP751),IF($AR751&lt;&gt;"",INDEX(Raw_D3!$C$2:$C$1001,$AR751),"")))</f>
        <v>1</v>
      </c>
      <c r="D751" s="5">
        <f>IF($A751="","",IF($AP751&lt;&gt;"",INDEX(Raw_D1!$D$2:$D$1001,$AP751),IF($AR751&lt;&gt;"",INDEX(Raw_D3!$D$2:$D$1001,$AR751),"")))</f>
        <v>0</v>
      </c>
      <c r="E751" s="5">
        <f>IF($A751="","",IF($AP751&lt;&gt;"",INDEX(Raw_D1!$E$2:$E$1001,$AP751),IF($AR751&lt;&gt;"",INDEX(Raw_D3!$E$2:$E$1001,$AR751),"")))</f>
        <v>2</v>
      </c>
      <c r="F751" s="5">
        <f>IF($A751="","",IF($AP751&lt;&gt;"",INDEX(Raw_D1!$F$2:$F$1001,$AP751),IF($AR751&lt;&gt;"",INDEX(Raw_D3!$F$2:$F$1001,$AR751),"")))</f>
        <v>15</v>
      </c>
      <c r="G751" s="5">
        <f>IF($A751="","",IF($AP751&lt;&gt;"",IF(INDEX(Raw_D1!$G$2:$G$1001,$AP751),1,0),IF($AR751&lt;&gt;"",IF(INDEX(Raw_D3!$G$2:$G$1001,$AR751),1,0),"")))</f>
        <v>0</v>
      </c>
      <c r="H751" s="5">
        <f>IF($A751="","",IF($AP751&lt;&gt;"",INDEX(Raw_D1!$H$2:$H$1001,$AP751),IF($AR751&lt;&gt;"",INDEX(Raw_D3!$H$2:$H$1001,$AR751),"")))</f>
        <v>4</v>
      </c>
      <c r="I751" s="5">
        <f>IF($A751="","",IF($AP751&lt;&gt;"",INDEX(Raw_D1!$I$2:$I$1001,$AP751),IF($AR751&lt;&gt;"",INDEX(Raw_D3!$I$2:$I$1001,$AR751),"")))</f>
        <v>1</v>
      </c>
      <c r="J751" s="16">
        <f>IF($A751="","",IF($AP751&lt;&gt;"",INDEX(Raw_D1!$J$2:$J$1001,$AP751),IF($AR751&lt;&gt;"",INDEX(Raw_D3!$J$2:$J$1001,$AR751),"")))</f>
        <v>0.22</v>
      </c>
      <c r="K751" s="17">
        <f>IF($A751="","",IF($AQ751&lt;&gt;"",IF(INDEX(Raw_D2!$C$2:$C$1001,$AQ751)="","",INDEX(Raw_D2!$C$2:$C$1001,$AQ751)),IF($AR751&lt;&gt;"",IF(INDEX(Raw_D3!$K$2:$K$1001,$AR751)="","",INDEX(Raw_D3!$K$2:$K$1001,$AR751)),"")))</f>
        <v>0.197</v>
      </c>
      <c r="L751" s="16">
        <f>IF($A751="","",IF($AQ751&lt;&gt;"",IF(INDEX(Raw_D2!$D$2:$D$1001,$AQ751)="","",INDEX(Raw_D2!$D$2:$D$1001,$AQ751)),IF($AR751&lt;&gt;"",IF(INDEX(Raw_D3!$L$2:$L$1001,$AR751)="","",INDEX(Raw_D3!$L$2:$L$1001,$AR751)),"")))</f>
        <v>0.37</v>
      </c>
      <c r="M751" s="17">
        <f>IF($A751="","",IF($AQ751&lt;&gt;"",IF(INDEX(Raw_D2!$E$2:$E$1001,$AQ751)="","",INDEX(Raw_D2!$E$2:$E$1001,$AQ751)),IF($AR751&lt;&gt;"",IF(INDEX(Raw_D3!$M$2:$M$1001,$AR751)="","",INDEX(Raw_D3!$M$2:$M$1001,$AR751)),"")))</f>
        <v>0.3284</v>
      </c>
      <c r="N751" s="5">
        <f>IF($A751="","",IF($AQ751&lt;&gt;"",IF(INDEX(Raw_D2!$F$2:$F$1001,$AQ751)="","",INDEX(Raw_D2!$F$2:$F$1001,$AQ751)),IF($AR751&lt;&gt;"",IF(INDEX(Raw_D3!$N$2:$N$1001,$AR751)="","",INDEX(Raw_D3!$N$2:$N$1001,$AR751)),"")))</f>
        <v>4</v>
      </c>
      <c r="O751" s="5">
        <f>IF($A751="","",IF($AQ751&lt;&gt;"",IF(INDEX(Raw_D2!$G$2:$G$1001,$AQ751)="","",INDEX(Raw_D2!$G$2:$G$1001,$AQ751)),IF($AR751&lt;&gt;"",IF(INDEX(Raw_D3!$O$2:$O$1001,$AR751)="","",INDEX(Raw_D3!$O$2:$O$1001,$AR751)),"")))</f>
        <v>56</v>
      </c>
      <c r="P751" s="5">
        <f>IF($A751="","",IF($AQ751&lt;&gt;"",IF(INDEX(Raw_D2!$H$2:$H$1001,$AQ751)="","",INDEX(Raw_D2!$H$2:$H$1001,$AQ751)),IF($AR751&lt;&gt;"",IF(INDEX(Raw_D3!$P$2:$P$1001,$AR751)="","",INDEX(Raw_D3!$P$2:$P$1001,$AR751)),"")))</f>
        <v>60</v>
      </c>
      <c r="Q751" s="5" t="str">
        <f>IF($A751="","",IF(AND($AP751&lt;&gt;"",$AQ751&lt;&gt;""),"D1+D2",IF($AR751&lt;&gt;"","D3","Incomplete")))</f>
        <v>D3</v>
      </c>
      <c r="R751" s="17">
        <f>IF($A751="","",IF($K751="",IF($J751="","",ROUND(Lookups!$K$5+Lookups!$K$4*$J751,4)),$K751))</f>
        <v>0.197</v>
      </c>
      <c r="S751" s="5" t="str">
        <f>IF($A751="","",IF($K751="","Imputed","Original"))</f>
        <v>Original</v>
      </c>
      <c r="T751" s="5" t="str">
        <f>IF($A751="","",IF($P751="","Missing",IF($P751=$N751+$O751,"OK","Mismatch")))</f>
        <v>OK</v>
      </c>
      <c r="U751" s="5" t="str">
        <f>IF($A751="","",IF(COUNTIF($A$2:$A751,$A751)&gt;1,"Duplicate","Unique"))</f>
        <v>Unique</v>
      </c>
      <c r="V751" s="5">
        <f>IF($A751="","",IF(AND($U751="Unique",ISNUMBER($P751)),1,0))</f>
        <v>1</v>
      </c>
      <c r="W751" s="5" t="str">
        <f>IF($A751="","",IF(OR($H751=0,$H751=6),"Weekend","Weekday"))</f>
        <v>Weekday</v>
      </c>
      <c r="X751" s="5" t="str">
        <f>IF($A751="","",TEXT($B751,"ddd"))</f>
        <v>Thu</v>
      </c>
      <c r="Y751" s="5" t="str">
        <f>IF($A751="","",TEXT($B751,"mmm"))</f>
        <v>Feb</v>
      </c>
      <c r="Z751" s="5" t="str">
        <f>IF($A751="","",IFERROR(VLOOKUP($C751,Lookups!$D$4:$E$7,2,FALSE),"Unknown"))</f>
        <v>Winter</v>
      </c>
      <c r="AA751" s="5" t="str">
        <f>IF($A751="","",IFERROR(VLOOKUP($I751,Lookups!$A$4:$B$7,2,FALSE),"Unknown"))</f>
        <v>Clear</v>
      </c>
      <c r="AB751" s="5" t="str">
        <f>IF($A751="","",TEXT($F751,"00")&amp;":00")</f>
        <v>15:00</v>
      </c>
      <c r="AC751" s="5" t="str">
        <f>IF($A751="","",VLOOKUP($F751,Lookups!$G$4:$H$8,2,TRUE))</f>
        <v>Midday (10-15)</v>
      </c>
      <c r="AD751" s="18">
        <f>IF($A751="","",IF($J751="","",ROUND($J751*41,1)))</f>
        <v>9</v>
      </c>
      <c r="AE751" s="18">
        <f>IF($A751="","",IF($R751="","",ROUND($R751*50,1)))</f>
        <v>9.9</v>
      </c>
      <c r="AF751" s="5">
        <f>IF($A751="","",IF($L751="","",ROUND($L751*100,0)))</f>
        <v>37</v>
      </c>
      <c r="AG751" s="18">
        <f>IF($A751="","",IF($M751="","",ROUND($M751*67,1)))</f>
        <v>22</v>
      </c>
      <c r="AH751" s="19">
        <f>IF($A751="","",IF($P751="","",IF($P751=0,0,$O751/$P751)))</f>
        <v>0.933333333333333</v>
      </c>
      <c r="AI751" s="5" t="str">
        <f>IF($A751="","",IF($P751="","",IF($P751&gt;=Lookups!$K$7,"High",IF($P751&lt;=Lookups!$K$8,"Low","Medium"))))</f>
        <v>Medium</v>
      </c>
      <c r="AJ751" s="5" t="str">
        <f>IF($A751="","",IF($AD751="","",IF($AD751&lt;5,"Under 5 C",IF($AD751&lt;10,"5-10 C",IF($AD751&lt;15,"10-15 C","15 C and above")))))</f>
        <v>5-10 C</v>
      </c>
      <c r="AK751" s="5">
        <f>IF($A751="","",IF($P751="","",$P751^2))</f>
        <v>3600</v>
      </c>
      <c r="AL751" s="18">
        <f>IF($V751&lt;&gt;1,"",AVERAGEIFS(Clean_Data!$P$2:$P$1001,Clean_Data!$F$2:$F$1001,$F751,Clean_Data!$W$2:$W$1001,$W751,Clean_Data!$V$2:$V$1001,1))</f>
        <v>61.4827586206897</v>
      </c>
      <c r="AM751" s="16">
        <f>IF($V751&lt;&gt;1,"",IFERROR(($P751-$AL751)/SQRT(MAX(0,(SUMIFS(Clean_Data!$AK$2:$AK$1001,Clean_Data!$F$2:$F$1001,$F751,Clean_Data!$W$2:$W$1001,$W751,Clean_Data!$V$2:$V$1001,1)-COUNTIFS(Clean_Data!$F$2:$F$1001,$F751,Clean_Data!$W$2:$W$1001,$W751,Clean_Data!$V$2:$V$1001,1)*$AL751^2)/(COUNTIFS(Clean_Data!$F$2:$F$1001,$F751,Clean_Data!$W$2:$W$1001,$W751,Clean_Data!$V$2:$V$1001,1)-1))),""))</f>
        <v>-0.0983581325309861</v>
      </c>
      <c r="AN751" s="5" t="str">
        <f>IF($AM751="","",IF($AM751&gt;=Lookups!$K$6,"High spike",IF($AM751&lt;=-Lookups!$K$6,"Unusual low","Normal")))</f>
        <v>Normal</v>
      </c>
      <c r="AO751" s="20">
        <f>IF($V751&lt;&gt;1,"",$P751+ROW()/100000)</f>
        <v>60.00751</v>
      </c>
      <c r="AP751" s="5">
        <f>IF($A751="","",IFERROR(MATCH($A751,Raw_D1!$A$2:$A$1001,0),""))</f>
        <v/>
      </c>
      <c r="AQ751" s="5">
        <f>IF($A751="","",IFERROR(MATCH($A751,Raw_D2!$B$2:$B$1001,0),""))</f>
        <v/>
      </c>
      <c r="AR751" s="5">
        <f>IF($A751="","",IFERROR(MATCH($A751,Raw_D3!$A$2:$A$1001,0),""))</f>
        <v>131</v>
      </c>
    </row>
    <row r="752" spans="1:44" x14ac:dyDescent="0.25">
      <c r="A752" s="5">
        <v>751</v>
      </c>
      <c r="B752" s="11">
        <f>IF($A752="","",IF($AP752&lt;&gt;"",INDEX(Raw_D1!$B$2:$B$1001,$AP752),IF($AR752&lt;&gt;"",INDEX(Raw_D3!$B$2:$B$1001,$AR752),"")))</f>
        <v>40577.0</v>
      </c>
      <c r="C752" s="5">
        <f>IF($A752="","",IF($AP752&lt;&gt;"",INDEX(Raw_D1!$C$2:$C$1001,$AP752),IF($AR752&lt;&gt;"",INDEX(Raw_D3!$C$2:$C$1001,$AR752),"")))</f>
        <v>1</v>
      </c>
      <c r="D752" s="5">
        <f>IF($A752="","",IF($AP752&lt;&gt;"",INDEX(Raw_D1!$D$2:$D$1001,$AP752),IF($AR752&lt;&gt;"",INDEX(Raw_D3!$D$2:$D$1001,$AR752),"")))</f>
        <v>0</v>
      </c>
      <c r="E752" s="5">
        <f>IF($A752="","",IF($AP752&lt;&gt;"",INDEX(Raw_D1!$E$2:$E$1001,$AP752),IF($AR752&lt;&gt;"",INDEX(Raw_D3!$E$2:$E$1001,$AR752),"")))</f>
        <v>2</v>
      </c>
      <c r="F752" s="5">
        <f>IF($A752="","",IF($AP752&lt;&gt;"",INDEX(Raw_D1!$F$2:$F$1001,$AP752),IF($AR752&lt;&gt;"",INDEX(Raw_D3!$F$2:$F$1001,$AR752),"")))</f>
        <v>16</v>
      </c>
      <c r="G752" s="5">
        <f>IF($A752="","",IF($AP752&lt;&gt;"",IF(INDEX(Raw_D1!$G$2:$G$1001,$AP752),1,0),IF($AR752&lt;&gt;"",IF(INDEX(Raw_D3!$G$2:$G$1001,$AR752),1,0),"")))</f>
        <v>0</v>
      </c>
      <c r="H752" s="5">
        <f>IF($A752="","",IF($AP752&lt;&gt;"",INDEX(Raw_D1!$H$2:$H$1001,$AP752),IF($AR752&lt;&gt;"",INDEX(Raw_D3!$H$2:$H$1001,$AR752),"")))</f>
        <v>4</v>
      </c>
      <c r="I752" s="5">
        <f>IF($A752="","",IF($AP752&lt;&gt;"",INDEX(Raw_D1!$I$2:$I$1001,$AP752),IF($AR752&lt;&gt;"",INDEX(Raw_D3!$I$2:$I$1001,$AR752),"")))</f>
        <v>1</v>
      </c>
      <c r="J752" s="16">
        <f>IF($A752="","",IF($AP752&lt;&gt;"",INDEX(Raw_D1!$J$2:$J$1001,$AP752),IF($AR752&lt;&gt;"",INDEX(Raw_D3!$J$2:$J$1001,$AR752),"")))</f>
        <v>0.22</v>
      </c>
      <c r="K752" s="17">
        <f>IF($A752="","",IF($AQ752&lt;&gt;"",IF(INDEX(Raw_D2!$C$2:$C$1001,$AQ752)="","",INDEX(Raw_D2!$C$2:$C$1001,$AQ752)),IF($AR752&lt;&gt;"",IF(INDEX(Raw_D3!$K$2:$K$1001,$AR752)="","",INDEX(Raw_D3!$K$2:$K$1001,$AR752)),"")))</f>
        <v>0.2121</v>
      </c>
      <c r="L752" s="16">
        <f>IF($A752="","",IF($AQ752&lt;&gt;"",IF(INDEX(Raw_D2!$D$2:$D$1001,$AQ752)="","",INDEX(Raw_D2!$D$2:$D$1001,$AQ752)),IF($AR752&lt;&gt;"",IF(INDEX(Raw_D3!$L$2:$L$1001,$AR752)="","",INDEX(Raw_D3!$L$2:$L$1001,$AR752)),"")))</f>
        <v>0.37</v>
      </c>
      <c r="M752" s="17">
        <f>IF($A752="","",IF($AQ752&lt;&gt;"",IF(INDEX(Raw_D2!$E$2:$E$1001,$AQ752)="","",INDEX(Raw_D2!$E$2:$E$1001,$AQ752)),IF($AR752&lt;&gt;"",IF(INDEX(Raw_D3!$M$2:$M$1001,$AR752)="","",INDEX(Raw_D3!$M$2:$M$1001,$AR752)),"")))</f>
        <v>0.2537</v>
      </c>
      <c r="N752" s="5">
        <f>IF($A752="","",IF($AQ752&lt;&gt;"",IF(INDEX(Raw_D2!$F$2:$F$1001,$AQ752)="","",INDEX(Raw_D2!$F$2:$F$1001,$AQ752)),IF($AR752&lt;&gt;"",IF(INDEX(Raw_D3!$N$2:$N$1001,$AR752)="","",INDEX(Raw_D3!$N$2:$N$1001,$AR752)),"")))</f>
        <v>5</v>
      </c>
      <c r="O752" s="5">
        <f>IF($A752="","",IF($AQ752&lt;&gt;"",IF(INDEX(Raw_D2!$G$2:$G$1001,$AQ752)="","",INDEX(Raw_D2!$G$2:$G$1001,$AQ752)),IF($AR752&lt;&gt;"",IF(INDEX(Raw_D3!$O$2:$O$1001,$AR752)="","",INDEX(Raw_D3!$O$2:$O$1001,$AR752)),"")))</f>
        <v>73</v>
      </c>
      <c r="P752" s="5">
        <f>IF($A752="","",IF($AQ752&lt;&gt;"",IF(INDEX(Raw_D2!$H$2:$H$1001,$AQ752)="","",INDEX(Raw_D2!$H$2:$H$1001,$AQ752)),IF($AR752&lt;&gt;"",IF(INDEX(Raw_D3!$P$2:$P$1001,$AR752)="","",INDEX(Raw_D3!$P$2:$P$1001,$AR752)),"")))</f>
        <v>78</v>
      </c>
      <c r="Q752" s="5" t="str">
        <f>IF($A752="","",IF(AND($AP752&lt;&gt;"",$AQ752&lt;&gt;""),"D1+D2",IF($AR752&lt;&gt;"","D3","Incomplete")))</f>
        <v>D3</v>
      </c>
      <c r="R752" s="17">
        <f>IF($A752="","",IF($K752="",IF($J752="","",ROUND(Lookups!$K$5+Lookups!$K$4*$J752,4)),$K752))</f>
        <v>0.2121</v>
      </c>
      <c r="S752" s="5" t="str">
        <f>IF($A752="","",IF($K752="","Imputed","Original"))</f>
        <v>Original</v>
      </c>
      <c r="T752" s="5" t="str">
        <f>IF($A752="","",IF($P752="","Missing",IF($P752=$N752+$O752,"OK","Mismatch")))</f>
        <v>OK</v>
      </c>
      <c r="U752" s="5" t="str">
        <f>IF($A752="","",IF(COUNTIF($A$2:$A752,$A752)&gt;1,"Duplicate","Unique"))</f>
        <v>Unique</v>
      </c>
      <c r="V752" s="5">
        <f>IF($A752="","",IF(AND($U752="Unique",ISNUMBER($P752)),1,0))</f>
        <v>1</v>
      </c>
      <c r="W752" s="5" t="str">
        <f>IF($A752="","",IF(OR($H752=0,$H752=6),"Weekend","Weekday"))</f>
        <v>Weekday</v>
      </c>
      <c r="X752" s="5" t="str">
        <f>IF($A752="","",TEXT($B752,"ddd"))</f>
        <v>Thu</v>
      </c>
      <c r="Y752" s="5" t="str">
        <f>IF($A752="","",TEXT($B752,"mmm"))</f>
        <v>Feb</v>
      </c>
      <c r="Z752" s="5" t="str">
        <f>IF($A752="","",IFERROR(VLOOKUP($C752,Lookups!$D$4:$E$7,2,FALSE),"Unknown"))</f>
        <v>Winter</v>
      </c>
      <c r="AA752" s="5" t="str">
        <f>IF($A752="","",IFERROR(VLOOKUP($I752,Lookups!$A$4:$B$7,2,FALSE),"Unknown"))</f>
        <v>Clear</v>
      </c>
      <c r="AB752" s="5" t="str">
        <f>IF($A752="","",TEXT($F752,"00")&amp;":00")</f>
        <v>16:00</v>
      </c>
      <c r="AC752" s="5" t="str">
        <f>IF($A752="","",VLOOKUP($F752,Lookups!$G$4:$H$8,2,TRUE))</f>
        <v>Evening Peak (16-19)</v>
      </c>
      <c r="AD752" s="18">
        <f>IF($A752="","",IF($J752="","",ROUND($J752*41,1)))</f>
        <v>9</v>
      </c>
      <c r="AE752" s="18">
        <f>IF($A752="","",IF($R752="","",ROUND($R752*50,1)))</f>
        <v>10.6</v>
      </c>
      <c r="AF752" s="5">
        <f>IF($A752="","",IF($L752="","",ROUND($L752*100,0)))</f>
        <v>37</v>
      </c>
      <c r="AG752" s="18">
        <f>IF($A752="","",IF($M752="","",ROUND($M752*67,1)))</f>
        <v>17</v>
      </c>
      <c r="AH752" s="19">
        <f>IF($A752="","",IF($P752="","",IF($P752=0,0,$O752/$P752)))</f>
        <v>0.935897435897436</v>
      </c>
      <c r="AI752" s="5" t="str">
        <f>IF($A752="","",IF($P752="","",IF($P752&gt;=Lookups!$K$7,"High",IF($P752&lt;=Lookups!$K$8,"Low","Medium"))))</f>
        <v>Medium</v>
      </c>
      <c r="AJ752" s="5" t="str">
        <f>IF($A752="","",IF($AD752="","",IF($AD752&lt;5,"Under 5 C",IF($AD752&lt;10,"5-10 C",IF($AD752&lt;15,"10-15 C","15 C and above")))))</f>
        <v>5-10 C</v>
      </c>
      <c r="AK752" s="5">
        <f>IF($A752="","",IF($P752="","",$P752^2))</f>
        <v>6084</v>
      </c>
      <c r="AL752" s="18">
        <f>IF($V752&lt;&gt;1,"",AVERAGEIFS(Clean_Data!$P$2:$P$1001,Clean_Data!$F$2:$F$1001,$F752,Clean_Data!$W$2:$W$1001,$W752,Clean_Data!$V$2:$V$1001,1))</f>
        <v>82.6333333333333</v>
      </c>
      <c r="AM752" s="16">
        <f>IF($V752&lt;&gt;1,"",IFERROR(($P752-$AL752)/SQRT(MAX(0,(SUMIFS(Clean_Data!$AK$2:$AK$1001,Clean_Data!$F$2:$F$1001,$F752,Clean_Data!$W$2:$W$1001,$W752,Clean_Data!$V$2:$V$1001,1)-COUNTIFS(Clean_Data!$F$2:$F$1001,$F752,Clean_Data!$W$2:$W$1001,$W752,Clean_Data!$V$2:$V$1001,1)*$AL752^2)/(COUNTIFS(Clean_Data!$F$2:$F$1001,$F752,Clean_Data!$W$2:$W$1001,$W752,Clean_Data!$V$2:$V$1001,1)-1))),""))</f>
        <v>-0.22335888458647</v>
      </c>
      <c r="AN752" s="5" t="str">
        <f>IF($AM752="","",IF($AM752&gt;=Lookups!$K$6,"High spike",IF($AM752&lt;=-Lookups!$K$6,"Unusual low","Normal")))</f>
        <v>Normal</v>
      </c>
      <c r="AO752" s="20">
        <f>IF($V752&lt;&gt;1,"",$P752+ROW()/100000)</f>
        <v>78.00752</v>
      </c>
      <c r="AP752" s="5">
        <f>IF($A752="","",IFERROR(MATCH($A752,Raw_D1!$A$2:$A$1001,0),""))</f>
        <v/>
      </c>
      <c r="AQ752" s="5">
        <f>IF($A752="","",IFERROR(MATCH($A752,Raw_D2!$B$2:$B$1001,0),""))</f>
        <v/>
      </c>
      <c r="AR752" s="5">
        <f>IF($A752="","",IFERROR(MATCH($A752,Raw_D3!$A$2:$A$1001,0),""))</f>
        <v>132</v>
      </c>
    </row>
    <row r="753" spans="1:44" x14ac:dyDescent="0.25">
      <c r="A753" s="5">
        <v>752</v>
      </c>
      <c r="B753" s="11">
        <f>IF($A753="","",IF($AP753&lt;&gt;"",INDEX(Raw_D1!$B$2:$B$1001,$AP753),IF($AR753&lt;&gt;"",INDEX(Raw_D3!$B$2:$B$1001,$AR753),"")))</f>
        <v>40577.0</v>
      </c>
      <c r="C753" s="5">
        <f>IF($A753="","",IF($AP753&lt;&gt;"",INDEX(Raw_D1!$C$2:$C$1001,$AP753),IF($AR753&lt;&gt;"",INDEX(Raw_D3!$C$2:$C$1001,$AR753),"")))</f>
        <v>1</v>
      </c>
      <c r="D753" s="5">
        <f>IF($A753="","",IF($AP753&lt;&gt;"",INDEX(Raw_D1!$D$2:$D$1001,$AP753),IF($AR753&lt;&gt;"",INDEX(Raw_D3!$D$2:$D$1001,$AR753),"")))</f>
        <v>0</v>
      </c>
      <c r="E753" s="5">
        <f>IF($A753="","",IF($AP753&lt;&gt;"",INDEX(Raw_D1!$E$2:$E$1001,$AP753),IF($AR753&lt;&gt;"",INDEX(Raw_D3!$E$2:$E$1001,$AR753),"")))</f>
        <v>2</v>
      </c>
      <c r="F753" s="5">
        <f>IF($A753="","",IF($AP753&lt;&gt;"",INDEX(Raw_D1!$F$2:$F$1001,$AP753),IF($AR753&lt;&gt;"",INDEX(Raw_D3!$F$2:$F$1001,$AR753),"")))</f>
        <v>17</v>
      </c>
      <c r="G753" s="5">
        <f>IF($A753="","",IF($AP753&lt;&gt;"",IF(INDEX(Raw_D1!$G$2:$G$1001,$AP753),1,0),IF($AR753&lt;&gt;"",IF(INDEX(Raw_D3!$G$2:$G$1001,$AR753),1,0),"")))</f>
        <v>0</v>
      </c>
      <c r="H753" s="5">
        <f>IF($A753="","",IF($AP753&lt;&gt;"",INDEX(Raw_D1!$H$2:$H$1001,$AP753),IF($AR753&lt;&gt;"",INDEX(Raw_D3!$H$2:$H$1001,$AR753),"")))</f>
        <v>4</v>
      </c>
      <c r="I753" s="5">
        <f>IF($A753="","",IF($AP753&lt;&gt;"",INDEX(Raw_D1!$I$2:$I$1001,$AP753),IF($AR753&lt;&gt;"",INDEX(Raw_D3!$I$2:$I$1001,$AR753),"")))</f>
        <v>1</v>
      </c>
      <c r="J753" s="16">
        <f>IF($A753="","",IF($AP753&lt;&gt;"",INDEX(Raw_D1!$J$2:$J$1001,$AP753),IF($AR753&lt;&gt;"",INDEX(Raw_D3!$J$2:$J$1001,$AR753),"")))</f>
        <v>0.2</v>
      </c>
      <c r="K753" s="17">
        <f>IF($A753="","",IF($AQ753&lt;&gt;"",IF(INDEX(Raw_D2!$C$2:$C$1001,$AQ753)="","",INDEX(Raw_D2!$C$2:$C$1001,$AQ753)),IF($AR753&lt;&gt;"",IF(INDEX(Raw_D3!$K$2:$K$1001,$AR753)="","",INDEX(Raw_D3!$K$2:$K$1001,$AR753)),"")))</f>
        <v>0.197</v>
      </c>
      <c r="L753" s="16">
        <f>IF($A753="","",IF($AQ753&lt;&gt;"",IF(INDEX(Raw_D2!$D$2:$D$1001,$AQ753)="","",INDEX(Raw_D2!$D$2:$D$1001,$AQ753)),IF($AR753&lt;&gt;"",IF(INDEX(Raw_D3!$L$2:$L$1001,$AR753)="","",INDEX(Raw_D3!$L$2:$L$1001,$AR753)),"")))</f>
        <v>0.4</v>
      </c>
      <c r="M753" s="17">
        <f>IF($A753="","",IF($AQ753&lt;&gt;"",IF(INDEX(Raw_D2!$E$2:$E$1001,$AQ753)="","",INDEX(Raw_D2!$E$2:$E$1001,$AQ753)),IF($AR753&lt;&gt;"",IF(INDEX(Raw_D3!$M$2:$M$1001,$AR753)="","",INDEX(Raw_D3!$M$2:$M$1001,$AR753)),"")))</f>
        <v>0.194</v>
      </c>
      <c r="N753" s="5">
        <f>IF($A753="","",IF($AQ753&lt;&gt;"",IF(INDEX(Raw_D2!$F$2:$F$1001,$AQ753)="","",INDEX(Raw_D2!$F$2:$F$1001,$AQ753)),IF($AR753&lt;&gt;"",IF(INDEX(Raw_D3!$N$2:$N$1001,$AR753)="","",INDEX(Raw_D3!$N$2:$N$1001,$AR753)),"")))</f>
        <v>5</v>
      </c>
      <c r="O753" s="5">
        <f>IF($A753="","",IF($AQ753&lt;&gt;"",IF(INDEX(Raw_D2!$G$2:$G$1001,$AQ753)="","",INDEX(Raw_D2!$G$2:$G$1001,$AQ753)),IF($AR753&lt;&gt;"",IF(INDEX(Raw_D3!$O$2:$O$1001,$AR753)="","",INDEX(Raw_D3!$O$2:$O$1001,$AR753)),"")))</f>
        <v>170</v>
      </c>
      <c r="P753" s="5">
        <f>IF($A753="","",IF($AQ753&lt;&gt;"",IF(INDEX(Raw_D2!$H$2:$H$1001,$AQ753)="","",INDEX(Raw_D2!$H$2:$H$1001,$AQ753)),IF($AR753&lt;&gt;"",IF(INDEX(Raw_D3!$P$2:$P$1001,$AR753)="","",INDEX(Raw_D3!$P$2:$P$1001,$AR753)),"")))</f>
        <v>175</v>
      </c>
      <c r="Q753" s="5" t="str">
        <f>IF($A753="","",IF(AND($AP753&lt;&gt;"",$AQ753&lt;&gt;""),"D1+D2",IF($AR753&lt;&gt;"","D3","Incomplete")))</f>
        <v>D3</v>
      </c>
      <c r="R753" s="17">
        <f>IF($A753="","",IF($K753="",IF($J753="","",ROUND(Lookups!$K$5+Lookups!$K$4*$J753,4)),$K753))</f>
        <v>0.197</v>
      </c>
      <c r="S753" s="5" t="str">
        <f>IF($A753="","",IF($K753="","Imputed","Original"))</f>
        <v>Original</v>
      </c>
      <c r="T753" s="5" t="str">
        <f>IF($A753="","",IF($P753="","Missing",IF($P753=$N753+$O753,"OK","Mismatch")))</f>
        <v>OK</v>
      </c>
      <c r="U753" s="5" t="str">
        <f>IF($A753="","",IF(COUNTIF($A$2:$A753,$A753)&gt;1,"Duplicate","Unique"))</f>
        <v>Unique</v>
      </c>
      <c r="V753" s="5">
        <f>IF($A753="","",IF(AND($U753="Unique",ISNUMBER($P753)),1,0))</f>
        <v>1</v>
      </c>
      <c r="W753" s="5" t="str">
        <f>IF($A753="","",IF(OR($H753=0,$H753=6),"Weekend","Weekday"))</f>
        <v>Weekday</v>
      </c>
      <c r="X753" s="5" t="str">
        <f>IF($A753="","",TEXT($B753,"ddd"))</f>
        <v>Thu</v>
      </c>
      <c r="Y753" s="5" t="str">
        <f>IF($A753="","",TEXT($B753,"mmm"))</f>
        <v>Feb</v>
      </c>
      <c r="Z753" s="5" t="str">
        <f>IF($A753="","",IFERROR(VLOOKUP($C753,Lookups!$D$4:$E$7,2,FALSE),"Unknown"))</f>
        <v>Winter</v>
      </c>
      <c r="AA753" s="5" t="str">
        <f>IF($A753="","",IFERROR(VLOOKUP($I753,Lookups!$A$4:$B$7,2,FALSE),"Unknown"))</f>
        <v>Clear</v>
      </c>
      <c r="AB753" s="5" t="str">
        <f>IF($A753="","",TEXT($F753,"00")&amp;":00")</f>
        <v>17:00</v>
      </c>
      <c r="AC753" s="5" t="str">
        <f>IF($A753="","",VLOOKUP($F753,Lookups!$G$4:$H$8,2,TRUE))</f>
        <v>Evening Peak (16-19)</v>
      </c>
      <c r="AD753" s="18">
        <f>IF($A753="","",IF($J753="","",ROUND($J753*41,1)))</f>
        <v>8.2</v>
      </c>
      <c r="AE753" s="18">
        <f>IF($A753="","",IF($R753="","",ROUND($R753*50,1)))</f>
        <v>9.9</v>
      </c>
      <c r="AF753" s="5">
        <f>IF($A753="","",IF($L753="","",ROUND($L753*100,0)))</f>
        <v>40</v>
      </c>
      <c r="AG753" s="18">
        <f>IF($A753="","",IF($M753="","",ROUND($M753*67,1)))</f>
        <v>13</v>
      </c>
      <c r="AH753" s="19">
        <f>IF($A753="","",IF($P753="","",IF($P753=0,0,$O753/$P753)))</f>
        <v>0.971428571428571</v>
      </c>
      <c r="AI753" s="5" t="str">
        <f>IF($A753="","",IF($P753="","",IF($P753&gt;=Lookups!$K$7,"High",IF($P753&lt;=Lookups!$K$8,"Low","Medium"))))</f>
        <v>High</v>
      </c>
      <c r="AJ753" s="5" t="str">
        <f>IF($A753="","",IF($AD753="","",IF($AD753&lt;5,"Under 5 C",IF($AD753&lt;10,"5-10 C",IF($AD753&lt;15,"10-15 C","15 C and above")))))</f>
        <v>5-10 C</v>
      </c>
      <c r="AK753" s="5">
        <f>IF($A753="","",IF($P753="","",$P753^2))</f>
        <v>30625</v>
      </c>
      <c r="AL753" s="18">
        <f>IF($V753&lt;&gt;1,"",AVERAGEIFS(Clean_Data!$P$2:$P$1001,Clean_Data!$F$2:$F$1001,$F753,Clean_Data!$W$2:$W$1001,$W753,Clean_Data!$V$2:$V$1001,1))</f>
        <v>165.566666666667</v>
      </c>
      <c r="AM753" s="16">
        <f>IF($V753&lt;&gt;1,"",IFERROR(($P753-$AL753)/SQRT(MAX(0,(SUMIFS(Clean_Data!$AK$2:$AK$1001,Clean_Data!$F$2:$F$1001,$F753,Clean_Data!$W$2:$W$1001,$W753,Clean_Data!$V$2:$V$1001,1)-COUNTIFS(Clean_Data!$F$2:$F$1001,$F753,Clean_Data!$W$2:$W$1001,$W753,Clean_Data!$V$2:$V$1001,1)*$AL753^2)/(COUNTIFS(Clean_Data!$F$2:$F$1001,$F753,Clean_Data!$W$2:$W$1001,$W753,Clean_Data!$V$2:$V$1001,1)-1))),""))</f>
        <v>0.214330260068289</v>
      </c>
      <c r="AN753" s="5" t="str">
        <f>IF($AM753="","",IF($AM753&gt;=Lookups!$K$6,"High spike",IF($AM753&lt;=-Lookups!$K$6,"Unusual low","Normal")))</f>
        <v>Normal</v>
      </c>
      <c r="AO753" s="20">
        <f>IF($V753&lt;&gt;1,"",$P753+ROW()/100000)</f>
        <v>175.00753</v>
      </c>
      <c r="AP753" s="5">
        <f>IF($A753="","",IFERROR(MATCH($A753,Raw_D1!$A$2:$A$1001,0),""))</f>
        <v/>
      </c>
      <c r="AQ753" s="5">
        <f>IF($A753="","",IFERROR(MATCH($A753,Raw_D2!$B$2:$B$1001,0),""))</f>
        <v/>
      </c>
      <c r="AR753" s="5">
        <f>IF($A753="","",IFERROR(MATCH($A753,Raw_D3!$A$2:$A$1001,0),""))</f>
        <v>133</v>
      </c>
    </row>
    <row r="754" spans="1:44" x14ac:dyDescent="0.25">
      <c r="A754" s="5">
        <v>753</v>
      </c>
      <c r="B754" s="11">
        <f>IF($A754="","",IF($AP754&lt;&gt;"",INDEX(Raw_D1!$B$2:$B$1001,$AP754),IF($AR754&lt;&gt;"",INDEX(Raw_D3!$B$2:$B$1001,$AR754),"")))</f>
        <v>40577.0</v>
      </c>
      <c r="C754" s="5">
        <f>IF($A754="","",IF($AP754&lt;&gt;"",INDEX(Raw_D1!$C$2:$C$1001,$AP754),IF($AR754&lt;&gt;"",INDEX(Raw_D3!$C$2:$C$1001,$AR754),"")))</f>
        <v>1</v>
      </c>
      <c r="D754" s="5">
        <f>IF($A754="","",IF($AP754&lt;&gt;"",INDEX(Raw_D1!$D$2:$D$1001,$AP754),IF($AR754&lt;&gt;"",INDEX(Raw_D3!$D$2:$D$1001,$AR754),"")))</f>
        <v>0</v>
      </c>
      <c r="E754" s="5">
        <f>IF($A754="","",IF($AP754&lt;&gt;"",INDEX(Raw_D1!$E$2:$E$1001,$AP754),IF($AR754&lt;&gt;"",INDEX(Raw_D3!$E$2:$E$1001,$AR754),"")))</f>
        <v>2</v>
      </c>
      <c r="F754" s="5">
        <f>IF($A754="","",IF($AP754&lt;&gt;"",INDEX(Raw_D1!$F$2:$F$1001,$AP754),IF($AR754&lt;&gt;"",INDEX(Raw_D3!$F$2:$F$1001,$AR754),"")))</f>
        <v>18</v>
      </c>
      <c r="G754" s="5">
        <f>IF($A754="","",IF($AP754&lt;&gt;"",IF(INDEX(Raw_D1!$G$2:$G$1001,$AP754),1,0),IF($AR754&lt;&gt;"",IF(INDEX(Raw_D3!$G$2:$G$1001,$AR754),1,0),"")))</f>
        <v>0</v>
      </c>
      <c r="H754" s="5">
        <f>IF($A754="","",IF($AP754&lt;&gt;"",INDEX(Raw_D1!$H$2:$H$1001,$AP754),IF($AR754&lt;&gt;"",INDEX(Raw_D3!$H$2:$H$1001,$AR754),"")))</f>
        <v>4</v>
      </c>
      <c r="I754" s="5">
        <f>IF($A754="","",IF($AP754&lt;&gt;"",INDEX(Raw_D1!$I$2:$I$1001,$AP754),IF($AR754&lt;&gt;"",INDEX(Raw_D3!$I$2:$I$1001,$AR754),"")))</f>
        <v>1</v>
      </c>
      <c r="J754" s="16">
        <f>IF($A754="","",IF($AP754&lt;&gt;"",INDEX(Raw_D1!$J$2:$J$1001,$AP754),IF($AR754&lt;&gt;"",INDEX(Raw_D3!$J$2:$J$1001,$AR754),"")))</f>
        <v>0.2</v>
      </c>
      <c r="K754" s="17">
        <f>IF($A754="","",IF($AQ754&lt;&gt;"",IF(INDEX(Raw_D2!$C$2:$C$1001,$AQ754)="","",INDEX(Raw_D2!$C$2:$C$1001,$AQ754)),IF($AR754&lt;&gt;"",IF(INDEX(Raw_D3!$K$2:$K$1001,$AR754)="","",INDEX(Raw_D3!$K$2:$K$1001,$AR754)),"")))</f>
        <v>0.2121</v>
      </c>
      <c r="L754" s="16">
        <f>IF($A754="","",IF($AQ754&lt;&gt;"",IF(INDEX(Raw_D2!$D$2:$D$1001,$AQ754)="","",INDEX(Raw_D2!$D$2:$D$1001,$AQ754)),IF($AR754&lt;&gt;"",IF(INDEX(Raw_D3!$L$2:$L$1001,$AR754)="","",INDEX(Raw_D3!$L$2:$L$1001,$AR754)),"")))</f>
        <v>0.4</v>
      </c>
      <c r="M754" s="17">
        <f>IF($A754="","",IF($AQ754&lt;&gt;"",IF(INDEX(Raw_D2!$E$2:$E$1001,$AQ754)="","",INDEX(Raw_D2!$E$2:$E$1001,$AQ754)),IF($AR754&lt;&gt;"",IF(INDEX(Raw_D3!$M$2:$M$1001,$AR754)="","",INDEX(Raw_D3!$M$2:$M$1001,$AR754)),"")))</f>
        <v>0.1642</v>
      </c>
      <c r="N754" s="5">
        <f>IF($A754="","",IF($AQ754&lt;&gt;"",IF(INDEX(Raw_D2!$F$2:$F$1001,$AQ754)="","",INDEX(Raw_D2!$F$2:$F$1001,$AQ754)),IF($AR754&lt;&gt;"",IF(INDEX(Raw_D3!$N$2:$N$1001,$AR754)="","",INDEX(Raw_D3!$N$2:$N$1001,$AR754)),"")))</f>
        <v>2</v>
      </c>
      <c r="O754" s="5">
        <f>IF($A754="","",IF($AQ754&lt;&gt;"",IF(INDEX(Raw_D2!$G$2:$G$1001,$AQ754)="","",INDEX(Raw_D2!$G$2:$G$1001,$AQ754)),IF($AR754&lt;&gt;"",IF(INDEX(Raw_D3!$O$2:$O$1001,$AR754)="","",INDEX(Raw_D3!$O$2:$O$1001,$AR754)),"")))</f>
        <v>145</v>
      </c>
      <c r="P754" s="5">
        <f>IF($A754="","",IF($AQ754&lt;&gt;"",IF(INDEX(Raw_D2!$H$2:$H$1001,$AQ754)="","",INDEX(Raw_D2!$H$2:$H$1001,$AQ754)),IF($AR754&lt;&gt;"",IF(INDEX(Raw_D3!$P$2:$P$1001,$AR754)="","",INDEX(Raw_D3!$P$2:$P$1001,$AR754)),"")))</f>
        <v>147</v>
      </c>
      <c r="Q754" s="5" t="str">
        <f>IF($A754="","",IF(AND($AP754&lt;&gt;"",$AQ754&lt;&gt;""),"D1+D2",IF($AR754&lt;&gt;"","D3","Incomplete")))</f>
        <v>D3</v>
      </c>
      <c r="R754" s="17">
        <f>IF($A754="","",IF($K754="",IF($J754="","",ROUND(Lookups!$K$5+Lookups!$K$4*$J754,4)),$K754))</f>
        <v>0.2121</v>
      </c>
      <c r="S754" s="5" t="str">
        <f>IF($A754="","",IF($K754="","Imputed","Original"))</f>
        <v>Original</v>
      </c>
      <c r="T754" s="5" t="str">
        <f>IF($A754="","",IF($P754="","Missing",IF($P754=$N754+$O754,"OK","Mismatch")))</f>
        <v>OK</v>
      </c>
      <c r="U754" s="5" t="str">
        <f>IF($A754="","",IF(COUNTIF($A$2:$A754,$A754)&gt;1,"Duplicate","Unique"))</f>
        <v>Unique</v>
      </c>
      <c r="V754" s="5">
        <f>IF($A754="","",IF(AND($U754="Unique",ISNUMBER($P754)),1,0))</f>
        <v>1</v>
      </c>
      <c r="W754" s="5" t="str">
        <f>IF($A754="","",IF(OR($H754=0,$H754=6),"Weekend","Weekday"))</f>
        <v>Weekday</v>
      </c>
      <c r="X754" s="5" t="str">
        <f>IF($A754="","",TEXT($B754,"ddd"))</f>
        <v>Thu</v>
      </c>
      <c r="Y754" s="5" t="str">
        <f>IF($A754="","",TEXT($B754,"mmm"))</f>
        <v>Feb</v>
      </c>
      <c r="Z754" s="5" t="str">
        <f>IF($A754="","",IFERROR(VLOOKUP($C754,Lookups!$D$4:$E$7,2,FALSE),"Unknown"))</f>
        <v>Winter</v>
      </c>
      <c r="AA754" s="5" t="str">
        <f>IF($A754="","",IFERROR(VLOOKUP($I754,Lookups!$A$4:$B$7,2,FALSE),"Unknown"))</f>
        <v>Clear</v>
      </c>
      <c r="AB754" s="5" t="str">
        <f>IF($A754="","",TEXT($F754,"00")&amp;":00")</f>
        <v>18:00</v>
      </c>
      <c r="AC754" s="5" t="str">
        <f>IF($A754="","",VLOOKUP($F754,Lookups!$G$4:$H$8,2,TRUE))</f>
        <v>Evening Peak (16-19)</v>
      </c>
      <c r="AD754" s="18">
        <f>IF($A754="","",IF($J754="","",ROUND($J754*41,1)))</f>
        <v>8.2</v>
      </c>
      <c r="AE754" s="18">
        <f>IF($A754="","",IF($R754="","",ROUND($R754*50,1)))</f>
        <v>10.6</v>
      </c>
      <c r="AF754" s="5">
        <f>IF($A754="","",IF($L754="","",ROUND($L754*100,0)))</f>
        <v>40</v>
      </c>
      <c r="AG754" s="18">
        <f>IF($A754="","",IF($M754="","",ROUND($M754*67,1)))</f>
        <v>11</v>
      </c>
      <c r="AH754" s="19">
        <f>IF($A754="","",IF($P754="","",IF($P754=0,0,$O754/$P754)))</f>
        <v>0.986394557823129</v>
      </c>
      <c r="AI754" s="5" t="str">
        <f>IF($A754="","",IF($P754="","",IF($P754&gt;=Lookups!$K$7,"High",IF($P754&lt;=Lookups!$K$8,"Low","Medium"))))</f>
        <v>High</v>
      </c>
      <c r="AJ754" s="5" t="str">
        <f>IF($A754="","",IF($AD754="","",IF($AD754&lt;5,"Under 5 C",IF($AD754&lt;10,"5-10 C",IF($AD754&lt;15,"10-15 C","15 C and above")))))</f>
        <v>5-10 C</v>
      </c>
      <c r="AK754" s="5">
        <f>IF($A754="","",IF($P754="","",$P754^2))</f>
        <v>21609</v>
      </c>
      <c r="AL754" s="18">
        <f>IF($V754&lt;&gt;1,"",AVERAGEIFS(Clean_Data!$P$2:$P$1001,Clean_Data!$F$2:$F$1001,$F754,Clean_Data!$W$2:$W$1001,$W754,Clean_Data!$V$2:$V$1001,1))</f>
        <v>151.206896551724</v>
      </c>
      <c r="AM754" s="16">
        <f>IF($V754&lt;&gt;1,"",IFERROR(($P754-$AL754)/SQRT(MAX(0,(SUMIFS(Clean_Data!$AK$2:$AK$1001,Clean_Data!$F$2:$F$1001,$F754,Clean_Data!$W$2:$W$1001,$W754,Clean_Data!$V$2:$V$1001,1)-COUNTIFS(Clean_Data!$F$2:$F$1001,$F754,Clean_Data!$W$2:$W$1001,$W754,Clean_Data!$V$2:$V$1001,1)*$AL754^2)/(COUNTIFS(Clean_Data!$F$2:$F$1001,$F754,Clean_Data!$W$2:$W$1001,$W754,Clean_Data!$V$2:$V$1001,1)-1))),""))</f>
        <v>-0.143338670799202</v>
      </c>
      <c r="AN754" s="5" t="str">
        <f>IF($AM754="","",IF($AM754&gt;=Lookups!$K$6,"High spike",IF($AM754&lt;=-Lookups!$K$6,"Unusual low","Normal")))</f>
        <v>Normal</v>
      </c>
      <c r="AO754" s="20">
        <f>IF($V754&lt;&gt;1,"",$P754+ROW()/100000)</f>
        <v>147.00754</v>
      </c>
      <c r="AP754" s="5">
        <f>IF($A754="","",IFERROR(MATCH($A754,Raw_D1!$A$2:$A$1001,0),""))</f>
        <v/>
      </c>
      <c r="AQ754" s="5">
        <f>IF($A754="","",IFERROR(MATCH($A754,Raw_D2!$B$2:$B$1001,0),""))</f>
        <v/>
      </c>
      <c r="AR754" s="5">
        <f>IF($A754="","",IFERROR(MATCH($A754,Raw_D3!$A$2:$A$1001,0),""))</f>
        <v>134</v>
      </c>
    </row>
    <row r="755" spans="1:44" x14ac:dyDescent="0.25">
      <c r="A755" s="5">
        <v>754</v>
      </c>
      <c r="B755" s="11">
        <f>IF($A755="","",IF($AP755&lt;&gt;"",INDEX(Raw_D1!$B$2:$B$1001,$AP755),IF($AR755&lt;&gt;"",INDEX(Raw_D3!$B$2:$B$1001,$AR755),"")))</f>
        <v>40577.0</v>
      </c>
      <c r="C755" s="5">
        <f>IF($A755="","",IF($AP755&lt;&gt;"",INDEX(Raw_D1!$C$2:$C$1001,$AP755),IF($AR755&lt;&gt;"",INDEX(Raw_D3!$C$2:$C$1001,$AR755),"")))</f>
        <v>1</v>
      </c>
      <c r="D755" s="5">
        <f>IF($A755="","",IF($AP755&lt;&gt;"",INDEX(Raw_D1!$D$2:$D$1001,$AP755),IF($AR755&lt;&gt;"",INDEX(Raw_D3!$D$2:$D$1001,$AR755),"")))</f>
        <v>0</v>
      </c>
      <c r="E755" s="5">
        <f>IF($A755="","",IF($AP755&lt;&gt;"",INDEX(Raw_D1!$E$2:$E$1001,$AP755),IF($AR755&lt;&gt;"",INDEX(Raw_D3!$E$2:$E$1001,$AR755),"")))</f>
        <v>2</v>
      </c>
      <c r="F755" s="5">
        <f>IF($A755="","",IF($AP755&lt;&gt;"",INDEX(Raw_D1!$F$2:$F$1001,$AP755),IF($AR755&lt;&gt;"",INDEX(Raw_D3!$F$2:$F$1001,$AR755),"")))</f>
        <v>19</v>
      </c>
      <c r="G755" s="5">
        <f>IF($A755="","",IF($AP755&lt;&gt;"",IF(INDEX(Raw_D1!$G$2:$G$1001,$AP755),1,0),IF($AR755&lt;&gt;"",IF(INDEX(Raw_D3!$G$2:$G$1001,$AR755),1,0),"")))</f>
        <v>0</v>
      </c>
      <c r="H755" s="5">
        <f>IF($A755="","",IF($AP755&lt;&gt;"",INDEX(Raw_D1!$H$2:$H$1001,$AP755),IF($AR755&lt;&gt;"",INDEX(Raw_D3!$H$2:$H$1001,$AR755),"")))</f>
        <v>4</v>
      </c>
      <c r="I755" s="5">
        <f>IF($A755="","",IF($AP755&lt;&gt;"",INDEX(Raw_D1!$I$2:$I$1001,$AP755),IF($AR755&lt;&gt;"",INDEX(Raw_D3!$I$2:$I$1001,$AR755),"")))</f>
        <v>1</v>
      </c>
      <c r="J755" s="16">
        <f>IF($A755="","",IF($AP755&lt;&gt;"",INDEX(Raw_D1!$J$2:$J$1001,$AP755),IF($AR755&lt;&gt;"",INDEX(Raw_D3!$J$2:$J$1001,$AR755),"")))</f>
        <v>0.2</v>
      </c>
      <c r="K755" s="17">
        <f>IF($A755="","",IF($AQ755&lt;&gt;"",IF(INDEX(Raw_D2!$C$2:$C$1001,$AQ755)="","",INDEX(Raw_D2!$C$2:$C$1001,$AQ755)),IF($AR755&lt;&gt;"",IF(INDEX(Raw_D3!$K$2:$K$1001,$AR755)="","",INDEX(Raw_D3!$K$2:$K$1001,$AR755)),"")))</f>
        <v>0.2576</v>
      </c>
      <c r="L755" s="16">
        <f>IF($A755="","",IF($AQ755&lt;&gt;"",IF(INDEX(Raw_D2!$D$2:$D$1001,$AQ755)="","",INDEX(Raw_D2!$D$2:$D$1001,$AQ755)),IF($AR755&lt;&gt;"",IF(INDEX(Raw_D3!$L$2:$L$1001,$AR755)="","",INDEX(Raw_D3!$L$2:$L$1001,$AR755)),"")))</f>
        <v>0.4</v>
      </c>
      <c r="M755" s="17">
        <f>IF($A755="","",IF($AQ755&lt;&gt;"",IF(INDEX(Raw_D2!$E$2:$E$1001,$AQ755)="","",INDEX(Raw_D2!$E$2:$E$1001,$AQ755)),IF($AR755&lt;&gt;"",IF(INDEX(Raw_D3!$M$2:$M$1001,$AR755)="","",INDEX(Raw_D3!$M$2:$M$1001,$AR755)),"")))</f>
        <v>0</v>
      </c>
      <c r="N755" s="5">
        <f>IF($A755="","",IF($AQ755&lt;&gt;"",IF(INDEX(Raw_D2!$F$2:$F$1001,$AQ755)="","",INDEX(Raw_D2!$F$2:$F$1001,$AQ755)),IF($AR755&lt;&gt;"",IF(INDEX(Raw_D3!$N$2:$N$1001,$AR755)="","",INDEX(Raw_D3!$N$2:$N$1001,$AR755)),"")))</f>
        <v>4</v>
      </c>
      <c r="O755" s="5">
        <f>IF($A755="","",IF($AQ755&lt;&gt;"",IF(INDEX(Raw_D2!$G$2:$G$1001,$AQ755)="","",INDEX(Raw_D2!$G$2:$G$1001,$AQ755)),IF($AR755&lt;&gt;"",IF(INDEX(Raw_D3!$O$2:$O$1001,$AR755)="","",INDEX(Raw_D3!$O$2:$O$1001,$AR755)),"")))</f>
        <v>92</v>
      </c>
      <c r="P755" s="5">
        <f>IF($A755="","",IF($AQ755&lt;&gt;"",IF(INDEX(Raw_D2!$H$2:$H$1001,$AQ755)="","",INDEX(Raw_D2!$H$2:$H$1001,$AQ755)),IF($AR755&lt;&gt;"",IF(INDEX(Raw_D3!$P$2:$P$1001,$AR755)="","",INDEX(Raw_D3!$P$2:$P$1001,$AR755)),"")))</f>
        <v>96</v>
      </c>
      <c r="Q755" s="5" t="str">
        <f>IF($A755="","",IF(AND($AP755&lt;&gt;"",$AQ755&lt;&gt;""),"D1+D2",IF($AR755&lt;&gt;"","D3","Incomplete")))</f>
        <v>D3</v>
      </c>
      <c r="R755" s="17">
        <f>IF($A755="","",IF($K755="",IF($J755="","",ROUND(Lookups!$K$5+Lookups!$K$4*$J755,4)),$K755))</f>
        <v>0.2576</v>
      </c>
      <c r="S755" s="5" t="str">
        <f>IF($A755="","",IF($K755="","Imputed","Original"))</f>
        <v>Original</v>
      </c>
      <c r="T755" s="5" t="str">
        <f>IF($A755="","",IF($P755="","Missing",IF($P755=$N755+$O755,"OK","Mismatch")))</f>
        <v>OK</v>
      </c>
      <c r="U755" s="5" t="str">
        <f>IF($A755="","",IF(COUNTIF($A$2:$A755,$A755)&gt;1,"Duplicate","Unique"))</f>
        <v>Unique</v>
      </c>
      <c r="V755" s="5">
        <f>IF($A755="","",IF(AND($U755="Unique",ISNUMBER($P755)),1,0))</f>
        <v>1</v>
      </c>
      <c r="W755" s="5" t="str">
        <f>IF($A755="","",IF(OR($H755=0,$H755=6),"Weekend","Weekday"))</f>
        <v>Weekday</v>
      </c>
      <c r="X755" s="5" t="str">
        <f>IF($A755="","",TEXT($B755,"ddd"))</f>
        <v>Thu</v>
      </c>
      <c r="Y755" s="5" t="str">
        <f>IF($A755="","",TEXT($B755,"mmm"))</f>
        <v>Feb</v>
      </c>
      <c r="Z755" s="5" t="str">
        <f>IF($A755="","",IFERROR(VLOOKUP($C755,Lookups!$D$4:$E$7,2,FALSE),"Unknown"))</f>
        <v>Winter</v>
      </c>
      <c r="AA755" s="5" t="str">
        <f>IF($A755="","",IFERROR(VLOOKUP($I755,Lookups!$A$4:$B$7,2,FALSE),"Unknown"))</f>
        <v>Clear</v>
      </c>
      <c r="AB755" s="5" t="str">
        <f>IF($A755="","",TEXT($F755,"00")&amp;":00")</f>
        <v>19:00</v>
      </c>
      <c r="AC755" s="5" t="str">
        <f>IF($A755="","",VLOOKUP($F755,Lookups!$G$4:$H$8,2,TRUE))</f>
        <v>Evening Peak (16-19)</v>
      </c>
      <c r="AD755" s="18">
        <f>IF($A755="","",IF($J755="","",ROUND($J755*41,1)))</f>
        <v>8.2</v>
      </c>
      <c r="AE755" s="18">
        <f>IF($A755="","",IF($R755="","",ROUND($R755*50,1)))</f>
        <v>12.9</v>
      </c>
      <c r="AF755" s="5">
        <f>IF($A755="","",IF($L755="","",ROUND($L755*100,0)))</f>
        <v>40</v>
      </c>
      <c r="AG755" s="18">
        <f>IF($A755="","",IF($M755="","",ROUND($M755*67,1)))</f>
        <v>0</v>
      </c>
      <c r="AH755" s="19">
        <f>IF($A755="","",IF($P755="","",IF($P755=0,0,$O755/$P755)))</f>
        <v>0.958333333333333</v>
      </c>
      <c r="AI755" s="5" t="str">
        <f>IF($A755="","",IF($P755="","",IF($P755&gt;=Lookups!$K$7,"High",IF($P755&lt;=Lookups!$K$8,"Low","Medium"))))</f>
        <v>High</v>
      </c>
      <c r="AJ755" s="5" t="str">
        <f>IF($A755="","",IF($AD755="","",IF($AD755&lt;5,"Under 5 C",IF($AD755&lt;10,"5-10 C",IF($AD755&lt;15,"10-15 C","15 C and above")))))</f>
        <v>5-10 C</v>
      </c>
      <c r="AK755" s="5">
        <f>IF($A755="","",IF($P755="","",$P755^2))</f>
        <v>9216</v>
      </c>
      <c r="AL755" s="18">
        <f>IF($V755&lt;&gt;1,"",AVERAGEIFS(Clean_Data!$P$2:$P$1001,Clean_Data!$F$2:$F$1001,$F755,Clean_Data!$W$2:$W$1001,$W755,Clean_Data!$V$2:$V$1001,1))</f>
        <v>102.034482758621</v>
      </c>
      <c r="AM755" s="16">
        <f>IF($V755&lt;&gt;1,"",IFERROR(($P755-$AL755)/SQRT(MAX(0,(SUMIFS(Clean_Data!$AK$2:$AK$1001,Clean_Data!$F$2:$F$1001,$F755,Clean_Data!$W$2:$W$1001,$W755,Clean_Data!$V$2:$V$1001,1)-COUNTIFS(Clean_Data!$F$2:$F$1001,$F755,Clean_Data!$W$2:$W$1001,$W755,Clean_Data!$V$2:$V$1001,1)*$AL755^2)/(COUNTIFS(Clean_Data!$F$2:$F$1001,$F755,Clean_Data!$W$2:$W$1001,$W755,Clean_Data!$V$2:$V$1001,1)-1))),""))</f>
        <v>-0.28400693380972</v>
      </c>
      <c r="AN755" s="5" t="str">
        <f>IF($AM755="","",IF($AM755&gt;=Lookups!$K$6,"High spike",IF($AM755&lt;=-Lookups!$K$6,"Unusual low","Normal")))</f>
        <v>Normal</v>
      </c>
      <c r="AO755" s="20">
        <f>IF($V755&lt;&gt;1,"",$P755+ROW()/100000)</f>
        <v>96.00755</v>
      </c>
      <c r="AP755" s="5">
        <f>IF($A755="","",IFERROR(MATCH($A755,Raw_D1!$A$2:$A$1001,0),""))</f>
        <v/>
      </c>
      <c r="AQ755" s="5">
        <f>IF($A755="","",IFERROR(MATCH($A755,Raw_D2!$B$2:$B$1001,0),""))</f>
        <v/>
      </c>
      <c r="AR755" s="5">
        <f>IF($A755="","",IFERROR(MATCH($A755,Raw_D3!$A$2:$A$1001,0),""))</f>
        <v>135</v>
      </c>
    </row>
    <row r="756" spans="1:44" x14ac:dyDescent="0.25">
      <c r="A756" s="5">
        <v>755</v>
      </c>
      <c r="B756" s="11">
        <f>IF($A756="","",IF($AP756&lt;&gt;"",INDEX(Raw_D1!$B$2:$B$1001,$AP756),IF($AR756&lt;&gt;"",INDEX(Raw_D3!$B$2:$B$1001,$AR756),"")))</f>
        <v>40577.0</v>
      </c>
      <c r="C756" s="5">
        <f>IF($A756="","",IF($AP756&lt;&gt;"",INDEX(Raw_D1!$C$2:$C$1001,$AP756),IF($AR756&lt;&gt;"",INDEX(Raw_D3!$C$2:$C$1001,$AR756),"")))</f>
        <v>1</v>
      </c>
      <c r="D756" s="5">
        <f>IF($A756="","",IF($AP756&lt;&gt;"",INDEX(Raw_D1!$D$2:$D$1001,$AP756),IF($AR756&lt;&gt;"",INDEX(Raw_D3!$D$2:$D$1001,$AR756),"")))</f>
        <v>0</v>
      </c>
      <c r="E756" s="5">
        <f>IF($A756="","",IF($AP756&lt;&gt;"",INDEX(Raw_D1!$E$2:$E$1001,$AP756),IF($AR756&lt;&gt;"",INDEX(Raw_D3!$E$2:$E$1001,$AR756),"")))</f>
        <v>2</v>
      </c>
      <c r="F756" s="5">
        <f>IF($A756="","",IF($AP756&lt;&gt;"",INDEX(Raw_D1!$F$2:$F$1001,$AP756),IF($AR756&lt;&gt;"",INDEX(Raw_D3!$F$2:$F$1001,$AR756),"")))</f>
        <v>20</v>
      </c>
      <c r="G756" s="5">
        <f>IF($A756="","",IF($AP756&lt;&gt;"",IF(INDEX(Raw_D1!$G$2:$G$1001,$AP756),1,0),IF($AR756&lt;&gt;"",IF(INDEX(Raw_D3!$G$2:$G$1001,$AR756),1,0),"")))</f>
        <v>0</v>
      </c>
      <c r="H756" s="5">
        <f>IF($A756="","",IF($AP756&lt;&gt;"",INDEX(Raw_D1!$H$2:$H$1001,$AP756),IF($AR756&lt;&gt;"",INDEX(Raw_D3!$H$2:$H$1001,$AR756),"")))</f>
        <v>4</v>
      </c>
      <c r="I756" s="5">
        <f>IF($A756="","",IF($AP756&lt;&gt;"",INDEX(Raw_D1!$I$2:$I$1001,$AP756),IF($AR756&lt;&gt;"",INDEX(Raw_D3!$I$2:$I$1001,$AR756),"")))</f>
        <v>1</v>
      </c>
      <c r="J756" s="16">
        <f>IF($A756="","",IF($AP756&lt;&gt;"",INDEX(Raw_D1!$J$2:$J$1001,$AP756),IF($AR756&lt;&gt;"",INDEX(Raw_D3!$J$2:$J$1001,$AR756),"")))</f>
        <v>0.2</v>
      </c>
      <c r="K756" s="17">
        <f>IF($A756="","",IF($AQ756&lt;&gt;"",IF(INDEX(Raw_D2!$C$2:$C$1001,$AQ756)="","",INDEX(Raw_D2!$C$2:$C$1001,$AQ756)),IF($AR756&lt;&gt;"",IF(INDEX(Raw_D3!$K$2:$K$1001,$AR756)="","",INDEX(Raw_D3!$K$2:$K$1001,$AR756)),"")))</f>
        <v>0.2273</v>
      </c>
      <c r="L756" s="16">
        <f>IF($A756="","",IF($AQ756&lt;&gt;"",IF(INDEX(Raw_D2!$D$2:$D$1001,$AQ756)="","",INDEX(Raw_D2!$D$2:$D$1001,$AQ756)),IF($AR756&lt;&gt;"",IF(INDEX(Raw_D3!$L$2:$L$1001,$AR756)="","",INDEX(Raw_D3!$L$2:$L$1001,$AR756)),"")))</f>
        <v>0.47</v>
      </c>
      <c r="M756" s="17">
        <f>IF($A756="","",IF($AQ756&lt;&gt;"",IF(INDEX(Raw_D2!$E$2:$E$1001,$AQ756)="","",INDEX(Raw_D2!$E$2:$E$1001,$AQ756)),IF($AR756&lt;&gt;"",IF(INDEX(Raw_D3!$M$2:$M$1001,$AR756)="","",INDEX(Raw_D3!$M$2:$M$1001,$AR756)),"")))</f>
        <v>0.0896</v>
      </c>
      <c r="N756" s="5">
        <f>IF($A756="","",IF($AQ756&lt;&gt;"",IF(INDEX(Raw_D2!$F$2:$F$1001,$AQ756)="","",INDEX(Raw_D2!$F$2:$F$1001,$AQ756)),IF($AR756&lt;&gt;"",IF(INDEX(Raw_D3!$N$2:$N$1001,$AR756)="","",INDEX(Raw_D3!$N$2:$N$1001,$AR756)),"")))</f>
        <v>1</v>
      </c>
      <c r="O756" s="5">
        <f>IF($A756="","",IF($AQ756&lt;&gt;"",IF(INDEX(Raw_D2!$G$2:$G$1001,$AQ756)="","",INDEX(Raw_D2!$G$2:$G$1001,$AQ756)),IF($AR756&lt;&gt;"",IF(INDEX(Raw_D3!$O$2:$O$1001,$AR756)="","",INDEX(Raw_D3!$O$2:$O$1001,$AR756)),"")))</f>
        <v>108</v>
      </c>
      <c r="P756" s="5">
        <f>IF($A756="","",IF($AQ756&lt;&gt;"",IF(INDEX(Raw_D2!$H$2:$H$1001,$AQ756)="","",INDEX(Raw_D2!$H$2:$H$1001,$AQ756)),IF($AR756&lt;&gt;"",IF(INDEX(Raw_D3!$P$2:$P$1001,$AR756)="","",INDEX(Raw_D3!$P$2:$P$1001,$AR756)),"")))</f>
        <v>109</v>
      </c>
      <c r="Q756" s="5" t="str">
        <f>IF($A756="","",IF(AND($AP756&lt;&gt;"",$AQ756&lt;&gt;""),"D1+D2",IF($AR756&lt;&gt;"","D3","Incomplete")))</f>
        <v>D3</v>
      </c>
      <c r="R756" s="17">
        <f>IF($A756="","",IF($K756="",IF($J756="","",ROUND(Lookups!$K$5+Lookups!$K$4*$J756,4)),$K756))</f>
        <v>0.2273</v>
      </c>
      <c r="S756" s="5" t="str">
        <f>IF($A756="","",IF($K756="","Imputed","Original"))</f>
        <v>Original</v>
      </c>
      <c r="T756" s="5" t="str">
        <f>IF($A756="","",IF($P756="","Missing",IF($P756=$N756+$O756,"OK","Mismatch")))</f>
        <v>OK</v>
      </c>
      <c r="U756" s="5" t="str">
        <f>IF($A756="","",IF(COUNTIF($A$2:$A756,$A756)&gt;1,"Duplicate","Unique"))</f>
        <v>Unique</v>
      </c>
      <c r="V756" s="5">
        <f>IF($A756="","",IF(AND($U756="Unique",ISNUMBER($P756)),1,0))</f>
        <v>1</v>
      </c>
      <c r="W756" s="5" t="str">
        <f>IF($A756="","",IF(OR($H756=0,$H756=6),"Weekend","Weekday"))</f>
        <v>Weekday</v>
      </c>
      <c r="X756" s="5" t="str">
        <f>IF($A756="","",TEXT($B756,"ddd"))</f>
        <v>Thu</v>
      </c>
      <c r="Y756" s="5" t="str">
        <f>IF($A756="","",TEXT($B756,"mmm"))</f>
        <v>Feb</v>
      </c>
      <c r="Z756" s="5" t="str">
        <f>IF($A756="","",IFERROR(VLOOKUP($C756,Lookups!$D$4:$E$7,2,FALSE),"Unknown"))</f>
        <v>Winter</v>
      </c>
      <c r="AA756" s="5" t="str">
        <f>IF($A756="","",IFERROR(VLOOKUP($I756,Lookups!$A$4:$B$7,2,FALSE),"Unknown"))</f>
        <v>Clear</v>
      </c>
      <c r="AB756" s="5" t="str">
        <f>IF($A756="","",TEXT($F756,"00")&amp;":00")</f>
        <v>20:00</v>
      </c>
      <c r="AC756" s="5" t="str">
        <f>IF($A756="","",VLOOKUP($F756,Lookups!$G$4:$H$8,2,TRUE))</f>
        <v>Late Evening (20-23)</v>
      </c>
      <c r="AD756" s="18">
        <f>IF($A756="","",IF($J756="","",ROUND($J756*41,1)))</f>
        <v>8.2</v>
      </c>
      <c r="AE756" s="18">
        <f>IF($A756="","",IF($R756="","",ROUND($R756*50,1)))</f>
        <v>11.4</v>
      </c>
      <c r="AF756" s="5">
        <f>IF($A756="","",IF($L756="","",ROUND($L756*100,0)))</f>
        <v>47</v>
      </c>
      <c r="AG756" s="18">
        <f>IF($A756="","",IF($M756="","",ROUND($M756*67,1)))</f>
        <v>6</v>
      </c>
      <c r="AH756" s="19">
        <f>IF($A756="","",IF($P756="","",IF($P756=0,0,$O756/$P756)))</f>
        <v>0.990825688073395</v>
      </c>
      <c r="AI756" s="5" t="str">
        <f>IF($A756="","",IF($P756="","",IF($P756&gt;=Lookups!$K$7,"High",IF($P756&lt;=Lookups!$K$8,"Low","Medium"))))</f>
        <v>High</v>
      </c>
      <c r="AJ756" s="5" t="str">
        <f>IF($A756="","",IF($AD756="","",IF($AD756&lt;5,"Under 5 C",IF($AD756&lt;10,"5-10 C",IF($AD756&lt;15,"10-15 C","15 C and above")))))</f>
        <v>5-10 C</v>
      </c>
      <c r="AK756" s="5">
        <f>IF($A756="","",IF($P756="","",$P756^2))</f>
        <v>11881</v>
      </c>
      <c r="AL756" s="18">
        <f>IF($V756&lt;&gt;1,"",AVERAGEIFS(Clean_Data!$P$2:$P$1001,Clean_Data!$F$2:$F$1001,$F756,Clean_Data!$W$2:$W$1001,$W756,Clean_Data!$V$2:$V$1001,1))</f>
        <v>72.2758620689655</v>
      </c>
      <c r="AM756" s="16">
        <f>IF($V756&lt;&gt;1,"",IFERROR(($P756-$AL756)/SQRT(MAX(0,(SUMIFS(Clean_Data!$AK$2:$AK$1001,Clean_Data!$F$2:$F$1001,$F756,Clean_Data!$W$2:$W$1001,$W756,Clean_Data!$V$2:$V$1001,1)-COUNTIFS(Clean_Data!$F$2:$F$1001,$F756,Clean_Data!$W$2:$W$1001,$W756,Clean_Data!$V$2:$V$1001,1)*$AL756^2)/(COUNTIFS(Clean_Data!$F$2:$F$1001,$F756,Clean_Data!$W$2:$W$1001,$W756,Clean_Data!$V$2:$V$1001,1)-1))),""))</f>
        <v>1.66170667575603</v>
      </c>
      <c r="AN756" s="5" t="str">
        <f>IF($AM756="","",IF($AM756&gt;=Lookups!$K$6,"High spike",IF($AM756&lt;=-Lookups!$K$6,"Unusual low","Normal")))</f>
        <v>Normal</v>
      </c>
      <c r="AO756" s="20">
        <f>IF($V756&lt;&gt;1,"",$P756+ROW()/100000)</f>
        <v>109.00756</v>
      </c>
      <c r="AP756" s="5">
        <f>IF($A756="","",IFERROR(MATCH($A756,Raw_D1!$A$2:$A$1001,0),""))</f>
        <v/>
      </c>
      <c r="AQ756" s="5">
        <f>IF($A756="","",IFERROR(MATCH($A756,Raw_D2!$B$2:$B$1001,0),""))</f>
        <v/>
      </c>
      <c r="AR756" s="5">
        <f>IF($A756="","",IFERROR(MATCH($A756,Raw_D3!$A$2:$A$1001,0),""))</f>
        <v>136</v>
      </c>
    </row>
    <row r="757" spans="1:44" x14ac:dyDescent="0.25">
      <c r="A757" s="5">
        <v>756</v>
      </c>
      <c r="B757" s="11">
        <f>IF($A757="","",IF($AP757&lt;&gt;"",INDEX(Raw_D1!$B$2:$B$1001,$AP757),IF($AR757&lt;&gt;"",INDEX(Raw_D3!$B$2:$B$1001,$AR757),"")))</f>
        <v>40577.0</v>
      </c>
      <c r="C757" s="5">
        <f>IF($A757="","",IF($AP757&lt;&gt;"",INDEX(Raw_D1!$C$2:$C$1001,$AP757),IF($AR757&lt;&gt;"",INDEX(Raw_D3!$C$2:$C$1001,$AR757),"")))</f>
        <v>1</v>
      </c>
      <c r="D757" s="5">
        <f>IF($A757="","",IF($AP757&lt;&gt;"",INDEX(Raw_D1!$D$2:$D$1001,$AP757),IF($AR757&lt;&gt;"",INDEX(Raw_D3!$D$2:$D$1001,$AR757),"")))</f>
        <v>0</v>
      </c>
      <c r="E757" s="5">
        <f>IF($A757="","",IF($AP757&lt;&gt;"",INDEX(Raw_D1!$E$2:$E$1001,$AP757),IF($AR757&lt;&gt;"",INDEX(Raw_D3!$E$2:$E$1001,$AR757),"")))</f>
        <v>2</v>
      </c>
      <c r="F757" s="5">
        <f>IF($A757="","",IF($AP757&lt;&gt;"",INDEX(Raw_D1!$F$2:$F$1001,$AP757),IF($AR757&lt;&gt;"",INDEX(Raw_D3!$F$2:$F$1001,$AR757),"")))</f>
        <v>21</v>
      </c>
      <c r="G757" s="5">
        <f>IF($A757="","",IF($AP757&lt;&gt;"",IF(INDEX(Raw_D1!$G$2:$G$1001,$AP757),1,0),IF($AR757&lt;&gt;"",IF(INDEX(Raw_D3!$G$2:$G$1001,$AR757),1,0),"")))</f>
        <v>0</v>
      </c>
      <c r="H757" s="5">
        <f>IF($A757="","",IF($AP757&lt;&gt;"",INDEX(Raw_D1!$H$2:$H$1001,$AP757),IF($AR757&lt;&gt;"",INDEX(Raw_D3!$H$2:$H$1001,$AR757),"")))</f>
        <v>4</v>
      </c>
      <c r="I757" s="5">
        <f>IF($A757="","",IF($AP757&lt;&gt;"",INDEX(Raw_D1!$I$2:$I$1001,$AP757),IF($AR757&lt;&gt;"",INDEX(Raw_D3!$I$2:$I$1001,$AR757),"")))</f>
        <v>1</v>
      </c>
      <c r="J757" s="16">
        <f>IF($A757="","",IF($AP757&lt;&gt;"",INDEX(Raw_D1!$J$2:$J$1001,$AP757),IF($AR757&lt;&gt;"",INDEX(Raw_D3!$J$2:$J$1001,$AR757),"")))</f>
        <v>0.18</v>
      </c>
      <c r="K757" s="17">
        <f>IF($A757="","",IF($AQ757&lt;&gt;"",IF(INDEX(Raw_D2!$C$2:$C$1001,$AQ757)="","",INDEX(Raw_D2!$C$2:$C$1001,$AQ757)),IF($AR757&lt;&gt;"",IF(INDEX(Raw_D3!$K$2:$K$1001,$AR757)="","",INDEX(Raw_D3!$K$2:$K$1001,$AR757)),"")))</f>
        <v>0.2121</v>
      </c>
      <c r="L757" s="16">
        <f>IF($A757="","",IF($AQ757&lt;&gt;"",IF(INDEX(Raw_D2!$D$2:$D$1001,$AQ757)="","",INDEX(Raw_D2!$D$2:$D$1001,$AQ757)),IF($AR757&lt;&gt;"",IF(INDEX(Raw_D3!$L$2:$L$1001,$AR757)="","",INDEX(Raw_D3!$L$2:$L$1001,$AR757)),"")))</f>
        <v>0.55</v>
      </c>
      <c r="M757" s="17">
        <f>IF($A757="","",IF($AQ757&lt;&gt;"",IF(INDEX(Raw_D2!$E$2:$E$1001,$AQ757)="","",INDEX(Raw_D2!$E$2:$E$1001,$AQ757)),IF($AR757&lt;&gt;"",IF(INDEX(Raw_D3!$M$2:$M$1001,$AR757)="","",INDEX(Raw_D3!$M$2:$M$1001,$AR757)),"")))</f>
        <v>0.1045</v>
      </c>
      <c r="N757" s="5">
        <f>IF($A757="","",IF($AQ757&lt;&gt;"",IF(INDEX(Raw_D2!$F$2:$F$1001,$AQ757)="","",INDEX(Raw_D2!$F$2:$F$1001,$AQ757)),IF($AR757&lt;&gt;"",IF(INDEX(Raw_D3!$N$2:$N$1001,$AR757)="","",INDEX(Raw_D3!$N$2:$N$1001,$AR757)),"")))</f>
        <v>1</v>
      </c>
      <c r="O757" s="5">
        <f>IF($A757="","",IF($AQ757&lt;&gt;"",IF(INDEX(Raw_D2!$G$2:$G$1001,$AQ757)="","",INDEX(Raw_D2!$G$2:$G$1001,$AQ757)),IF($AR757&lt;&gt;"",IF(INDEX(Raw_D3!$O$2:$O$1001,$AR757)="","",INDEX(Raw_D3!$O$2:$O$1001,$AR757)),"")))</f>
        <v>53</v>
      </c>
      <c r="P757" s="5">
        <f>IF($A757="","",IF($AQ757&lt;&gt;"",IF(INDEX(Raw_D2!$H$2:$H$1001,$AQ757)="","",INDEX(Raw_D2!$H$2:$H$1001,$AQ757)),IF($AR757&lt;&gt;"",IF(INDEX(Raw_D3!$P$2:$P$1001,$AR757)="","",INDEX(Raw_D3!$P$2:$P$1001,$AR757)),"")))</f>
        <v>54</v>
      </c>
      <c r="Q757" s="5" t="str">
        <f>IF($A757="","",IF(AND($AP757&lt;&gt;"",$AQ757&lt;&gt;""),"D1+D2",IF($AR757&lt;&gt;"","D3","Incomplete")))</f>
        <v>D3</v>
      </c>
      <c r="R757" s="17">
        <f>IF($A757="","",IF($K757="",IF($J757="","",ROUND(Lookups!$K$5+Lookups!$K$4*$J757,4)),$K757))</f>
        <v>0.2121</v>
      </c>
      <c r="S757" s="5" t="str">
        <f>IF($A757="","",IF($K757="","Imputed","Original"))</f>
        <v>Original</v>
      </c>
      <c r="T757" s="5" t="str">
        <f>IF($A757="","",IF($P757="","Missing",IF($P757=$N757+$O757,"OK","Mismatch")))</f>
        <v>OK</v>
      </c>
      <c r="U757" s="5" t="str">
        <f>IF($A757="","",IF(COUNTIF($A$2:$A757,$A757)&gt;1,"Duplicate","Unique"))</f>
        <v>Unique</v>
      </c>
      <c r="V757" s="5">
        <f>IF($A757="","",IF(AND($U757="Unique",ISNUMBER($P757)),1,0))</f>
        <v>1</v>
      </c>
      <c r="W757" s="5" t="str">
        <f>IF($A757="","",IF(OR($H757=0,$H757=6),"Weekend","Weekday"))</f>
        <v>Weekday</v>
      </c>
      <c r="X757" s="5" t="str">
        <f>IF($A757="","",TEXT($B757,"ddd"))</f>
        <v>Thu</v>
      </c>
      <c r="Y757" s="5" t="str">
        <f>IF($A757="","",TEXT($B757,"mmm"))</f>
        <v>Feb</v>
      </c>
      <c r="Z757" s="5" t="str">
        <f>IF($A757="","",IFERROR(VLOOKUP($C757,Lookups!$D$4:$E$7,2,FALSE),"Unknown"))</f>
        <v>Winter</v>
      </c>
      <c r="AA757" s="5" t="str">
        <f>IF($A757="","",IFERROR(VLOOKUP($I757,Lookups!$A$4:$B$7,2,FALSE),"Unknown"))</f>
        <v>Clear</v>
      </c>
      <c r="AB757" s="5" t="str">
        <f>IF($A757="","",TEXT($F757,"00")&amp;":00")</f>
        <v>21:00</v>
      </c>
      <c r="AC757" s="5" t="str">
        <f>IF($A757="","",VLOOKUP($F757,Lookups!$G$4:$H$8,2,TRUE))</f>
        <v>Late Evening (20-23)</v>
      </c>
      <c r="AD757" s="18">
        <f>IF($A757="","",IF($J757="","",ROUND($J757*41,1)))</f>
        <v>7.4</v>
      </c>
      <c r="AE757" s="18">
        <f>IF($A757="","",IF($R757="","",ROUND($R757*50,1)))</f>
        <v>10.6</v>
      </c>
      <c r="AF757" s="5">
        <f>IF($A757="","",IF($L757="","",ROUND($L757*100,0)))</f>
        <v>55</v>
      </c>
      <c r="AG757" s="18">
        <f>IF($A757="","",IF($M757="","",ROUND($M757*67,1)))</f>
        <v>7</v>
      </c>
      <c r="AH757" s="19">
        <f>IF($A757="","",IF($P757="","",IF($P757=0,0,$O757/$P757)))</f>
        <v>0.981481481481482</v>
      </c>
      <c r="AI757" s="5" t="str">
        <f>IF($A757="","",IF($P757="","",IF($P757&gt;=Lookups!$K$7,"High",IF($P757&lt;=Lookups!$K$8,"Low","Medium"))))</f>
        <v>Medium</v>
      </c>
      <c r="AJ757" s="5" t="str">
        <f>IF($A757="","",IF($AD757="","",IF($AD757&lt;5,"Under 5 C",IF($AD757&lt;10,"5-10 C",IF($AD757&lt;15,"10-15 C","15 C and above")))))</f>
        <v>5-10 C</v>
      </c>
      <c r="AK757" s="5">
        <f>IF($A757="","",IF($P757="","",$P757^2))</f>
        <v>2916</v>
      </c>
      <c r="AL757" s="18">
        <f>IF($V757&lt;&gt;1,"",AVERAGEIFS(Clean_Data!$P$2:$P$1001,Clean_Data!$F$2:$F$1001,$F757,Clean_Data!$W$2:$W$1001,$W757,Clean_Data!$V$2:$V$1001,1))</f>
        <v>50.8965517241379</v>
      </c>
      <c r="AM757" s="16">
        <f>IF($V757&lt;&gt;1,"",IFERROR(($P757-$AL757)/SQRT(MAX(0,(SUMIFS(Clean_Data!$AK$2:$AK$1001,Clean_Data!$F$2:$F$1001,$F757,Clean_Data!$W$2:$W$1001,$W757,Clean_Data!$V$2:$V$1001,1)-COUNTIFS(Clean_Data!$F$2:$F$1001,$F757,Clean_Data!$W$2:$W$1001,$W757,Clean_Data!$V$2:$V$1001,1)*$AL757^2)/(COUNTIFS(Clean_Data!$F$2:$F$1001,$F757,Clean_Data!$W$2:$W$1001,$W757,Clean_Data!$V$2:$V$1001,1)-1))),""))</f>
        <v>0.224753358150496</v>
      </c>
      <c r="AN757" s="5" t="str">
        <f>IF($AM757="","",IF($AM757&gt;=Lookups!$K$6,"High spike",IF($AM757&lt;=-Lookups!$K$6,"Unusual low","Normal")))</f>
        <v>Normal</v>
      </c>
      <c r="AO757" s="20">
        <f>IF($V757&lt;&gt;1,"",$P757+ROW()/100000)</f>
        <v>54.00757</v>
      </c>
      <c r="AP757" s="5">
        <f>IF($A757="","",IFERROR(MATCH($A757,Raw_D1!$A$2:$A$1001,0),""))</f>
        <v/>
      </c>
      <c r="AQ757" s="5">
        <f>IF($A757="","",IFERROR(MATCH($A757,Raw_D2!$B$2:$B$1001,0),""))</f>
        <v/>
      </c>
      <c r="AR757" s="5">
        <f>IF($A757="","",IFERROR(MATCH($A757,Raw_D3!$A$2:$A$1001,0),""))</f>
        <v>137</v>
      </c>
    </row>
    <row r="758" spans="1:44" x14ac:dyDescent="0.25">
      <c r="A758" s="5">
        <v>757</v>
      </c>
      <c r="B758" s="11">
        <f>IF($A758="","",IF($AP758&lt;&gt;"",INDEX(Raw_D1!$B$2:$B$1001,$AP758),IF($AR758&lt;&gt;"",INDEX(Raw_D3!$B$2:$B$1001,$AR758),"")))</f>
        <v>40577.0</v>
      </c>
      <c r="C758" s="5">
        <f>IF($A758="","",IF($AP758&lt;&gt;"",INDEX(Raw_D1!$C$2:$C$1001,$AP758),IF($AR758&lt;&gt;"",INDEX(Raw_D3!$C$2:$C$1001,$AR758),"")))</f>
        <v>1</v>
      </c>
      <c r="D758" s="5">
        <f>IF($A758="","",IF($AP758&lt;&gt;"",INDEX(Raw_D1!$D$2:$D$1001,$AP758),IF($AR758&lt;&gt;"",INDEX(Raw_D3!$D$2:$D$1001,$AR758),"")))</f>
        <v>0</v>
      </c>
      <c r="E758" s="5">
        <f>IF($A758="","",IF($AP758&lt;&gt;"",INDEX(Raw_D1!$E$2:$E$1001,$AP758),IF($AR758&lt;&gt;"",INDEX(Raw_D3!$E$2:$E$1001,$AR758),"")))</f>
        <v>2</v>
      </c>
      <c r="F758" s="5">
        <f>IF($A758="","",IF($AP758&lt;&gt;"",INDEX(Raw_D1!$F$2:$F$1001,$AP758),IF($AR758&lt;&gt;"",INDEX(Raw_D3!$F$2:$F$1001,$AR758),"")))</f>
        <v>22</v>
      </c>
      <c r="G758" s="5">
        <f>IF($A758="","",IF($AP758&lt;&gt;"",IF(INDEX(Raw_D1!$G$2:$G$1001,$AP758),1,0),IF($AR758&lt;&gt;"",IF(INDEX(Raw_D3!$G$2:$G$1001,$AR758),1,0),"")))</f>
        <v>0</v>
      </c>
      <c r="H758" s="5">
        <f>IF($A758="","",IF($AP758&lt;&gt;"",INDEX(Raw_D1!$H$2:$H$1001,$AP758),IF($AR758&lt;&gt;"",INDEX(Raw_D3!$H$2:$H$1001,$AR758),"")))</f>
        <v>4</v>
      </c>
      <c r="I758" s="5">
        <f>IF($A758="","",IF($AP758&lt;&gt;"",INDEX(Raw_D1!$I$2:$I$1001,$AP758),IF($AR758&lt;&gt;"",INDEX(Raw_D3!$I$2:$I$1001,$AR758),"")))</f>
        <v>1</v>
      </c>
      <c r="J758" s="16">
        <f>IF($A758="","",IF($AP758&lt;&gt;"",INDEX(Raw_D1!$J$2:$J$1001,$AP758),IF($AR758&lt;&gt;"",INDEX(Raw_D3!$J$2:$J$1001,$AR758),"")))</f>
        <v>0.18</v>
      </c>
      <c r="K758" s="17">
        <f>IF($A758="","",IF($AQ758&lt;&gt;"",IF(INDEX(Raw_D2!$C$2:$C$1001,$AQ758)="","",INDEX(Raw_D2!$C$2:$C$1001,$AQ758)),IF($AR758&lt;&gt;"",IF(INDEX(Raw_D3!$K$2:$K$1001,$AR758)="","",INDEX(Raw_D3!$K$2:$K$1001,$AR758)),"")))</f>
        <v>0.2121</v>
      </c>
      <c r="L758" s="16">
        <f>IF($A758="","",IF($AQ758&lt;&gt;"",IF(INDEX(Raw_D2!$D$2:$D$1001,$AQ758)="","",INDEX(Raw_D2!$D$2:$D$1001,$AQ758)),IF($AR758&lt;&gt;"",IF(INDEX(Raw_D3!$L$2:$L$1001,$AR758)="","",INDEX(Raw_D3!$L$2:$L$1001,$AR758)),"")))</f>
        <v>0.51</v>
      </c>
      <c r="M758" s="17">
        <f>IF($A758="","",IF($AQ758&lt;&gt;"",IF(INDEX(Raw_D2!$E$2:$E$1001,$AQ758)="","",INDEX(Raw_D2!$E$2:$E$1001,$AQ758)),IF($AR758&lt;&gt;"",IF(INDEX(Raw_D3!$M$2:$M$1001,$AR758)="","",INDEX(Raw_D3!$M$2:$M$1001,$AR758)),"")))</f>
        <v>0.0896</v>
      </c>
      <c r="N758" s="5">
        <f>IF($A758="","",IF($AQ758&lt;&gt;"",IF(INDEX(Raw_D2!$F$2:$F$1001,$AQ758)="","",INDEX(Raw_D2!$F$2:$F$1001,$AQ758)),IF($AR758&lt;&gt;"",IF(INDEX(Raw_D3!$N$2:$N$1001,$AR758)="","",INDEX(Raw_D3!$N$2:$N$1001,$AR758)),"")))</f>
        <v>2</v>
      </c>
      <c r="O758" s="5">
        <f>IF($A758="","",IF($AQ758&lt;&gt;"",IF(INDEX(Raw_D2!$G$2:$G$1001,$AQ758)="","",INDEX(Raw_D2!$G$2:$G$1001,$AQ758)),IF($AR758&lt;&gt;"",IF(INDEX(Raw_D3!$O$2:$O$1001,$AR758)="","",INDEX(Raw_D3!$O$2:$O$1001,$AR758)),"")))</f>
        <v>39</v>
      </c>
      <c r="P758" s="5">
        <f>IF($A758="","",IF($AQ758&lt;&gt;"",IF(INDEX(Raw_D2!$H$2:$H$1001,$AQ758)="","",INDEX(Raw_D2!$H$2:$H$1001,$AQ758)),IF($AR758&lt;&gt;"",IF(INDEX(Raw_D3!$P$2:$P$1001,$AR758)="","",INDEX(Raw_D3!$P$2:$P$1001,$AR758)),"")))</f>
        <v>41</v>
      </c>
      <c r="Q758" s="5" t="str">
        <f>IF($A758="","",IF(AND($AP758&lt;&gt;"",$AQ758&lt;&gt;""),"D1+D2",IF($AR758&lt;&gt;"","D3","Incomplete")))</f>
        <v>D3</v>
      </c>
      <c r="R758" s="17">
        <f>IF($A758="","",IF($K758="",IF($J758="","",ROUND(Lookups!$K$5+Lookups!$K$4*$J758,4)),$K758))</f>
        <v>0.2121</v>
      </c>
      <c r="S758" s="5" t="str">
        <f>IF($A758="","",IF($K758="","Imputed","Original"))</f>
        <v>Original</v>
      </c>
      <c r="T758" s="5" t="str">
        <f>IF($A758="","",IF($P758="","Missing",IF($P758=$N758+$O758,"OK","Mismatch")))</f>
        <v>OK</v>
      </c>
      <c r="U758" s="5" t="str">
        <f>IF($A758="","",IF(COUNTIF($A$2:$A758,$A758)&gt;1,"Duplicate","Unique"))</f>
        <v>Unique</v>
      </c>
      <c r="V758" s="5">
        <f>IF($A758="","",IF(AND($U758="Unique",ISNUMBER($P758)),1,0))</f>
        <v>1</v>
      </c>
      <c r="W758" s="5" t="str">
        <f>IF($A758="","",IF(OR($H758=0,$H758=6),"Weekend","Weekday"))</f>
        <v>Weekday</v>
      </c>
      <c r="X758" s="5" t="str">
        <f>IF($A758="","",TEXT($B758,"ddd"))</f>
        <v>Thu</v>
      </c>
      <c r="Y758" s="5" t="str">
        <f>IF($A758="","",TEXT($B758,"mmm"))</f>
        <v>Feb</v>
      </c>
      <c r="Z758" s="5" t="str">
        <f>IF($A758="","",IFERROR(VLOOKUP($C758,Lookups!$D$4:$E$7,2,FALSE),"Unknown"))</f>
        <v>Winter</v>
      </c>
      <c r="AA758" s="5" t="str">
        <f>IF($A758="","",IFERROR(VLOOKUP($I758,Lookups!$A$4:$B$7,2,FALSE),"Unknown"))</f>
        <v>Clear</v>
      </c>
      <c r="AB758" s="5" t="str">
        <f>IF($A758="","",TEXT($F758,"00")&amp;":00")</f>
        <v>22:00</v>
      </c>
      <c r="AC758" s="5" t="str">
        <f>IF($A758="","",VLOOKUP($F758,Lookups!$G$4:$H$8,2,TRUE))</f>
        <v>Late Evening (20-23)</v>
      </c>
      <c r="AD758" s="18">
        <f>IF($A758="","",IF($J758="","",ROUND($J758*41,1)))</f>
        <v>7.4</v>
      </c>
      <c r="AE758" s="18">
        <f>IF($A758="","",IF($R758="","",ROUND($R758*50,1)))</f>
        <v>10.6</v>
      </c>
      <c r="AF758" s="5">
        <f>IF($A758="","",IF($L758="","",ROUND($L758*100,0)))</f>
        <v>51</v>
      </c>
      <c r="AG758" s="18">
        <f>IF($A758="","",IF($M758="","",ROUND($M758*67,1)))</f>
        <v>6</v>
      </c>
      <c r="AH758" s="19">
        <f>IF($A758="","",IF($P758="","",IF($P758=0,0,$O758/$P758)))</f>
        <v>0.951219512195122</v>
      </c>
      <c r="AI758" s="5" t="str">
        <f>IF($A758="","",IF($P758="","",IF($P758&gt;=Lookups!$K$7,"High",IF($P758&lt;=Lookups!$K$8,"Low","Medium"))))</f>
        <v>Medium</v>
      </c>
      <c r="AJ758" s="5" t="str">
        <f>IF($A758="","",IF($AD758="","",IF($AD758&lt;5,"Under 5 C",IF($AD758&lt;10,"5-10 C",IF($AD758&lt;15,"10-15 C","15 C and above")))))</f>
        <v>5-10 C</v>
      </c>
      <c r="AK758" s="5">
        <f>IF($A758="","",IF($P758="","",$P758^2))</f>
        <v>1681</v>
      </c>
      <c r="AL758" s="18">
        <f>IF($V758&lt;&gt;1,"",AVERAGEIFS(Clean_Data!$P$2:$P$1001,Clean_Data!$F$2:$F$1001,$F758,Clean_Data!$W$2:$W$1001,$W758,Clean_Data!$V$2:$V$1001,1))</f>
        <v>37.1034482758621</v>
      </c>
      <c r="AM758" s="16">
        <f>IF($V758&lt;&gt;1,"",IFERROR(($P758-$AL758)/SQRT(MAX(0,(SUMIFS(Clean_Data!$AK$2:$AK$1001,Clean_Data!$F$2:$F$1001,$F758,Clean_Data!$W$2:$W$1001,$W758,Clean_Data!$V$2:$V$1001,1)-COUNTIFS(Clean_Data!$F$2:$F$1001,$F758,Clean_Data!$W$2:$W$1001,$W758,Clean_Data!$V$2:$V$1001,1)*$AL758^2)/(COUNTIFS(Clean_Data!$F$2:$F$1001,$F758,Clean_Data!$W$2:$W$1001,$W758,Clean_Data!$V$2:$V$1001,1)-1))),""))</f>
        <v>0.360970389671483</v>
      </c>
      <c r="AN758" s="5" t="str">
        <f>IF($AM758="","",IF($AM758&gt;=Lookups!$K$6,"High spike",IF($AM758&lt;=-Lookups!$K$6,"Unusual low","Normal")))</f>
        <v>Normal</v>
      </c>
      <c r="AO758" s="20">
        <f>IF($V758&lt;&gt;1,"",$P758+ROW()/100000)</f>
        <v>41.00758</v>
      </c>
      <c r="AP758" s="5">
        <f>IF($A758="","",IFERROR(MATCH($A758,Raw_D1!$A$2:$A$1001,0),""))</f>
        <v/>
      </c>
      <c r="AQ758" s="5">
        <f>IF($A758="","",IFERROR(MATCH($A758,Raw_D2!$B$2:$B$1001,0),""))</f>
        <v/>
      </c>
      <c r="AR758" s="5">
        <f>IF($A758="","",IFERROR(MATCH($A758,Raw_D3!$A$2:$A$1001,0),""))</f>
        <v>138</v>
      </c>
    </row>
    <row r="759" spans="1:44" x14ac:dyDescent="0.25">
      <c r="A759" s="5">
        <v>758</v>
      </c>
      <c r="B759" s="11">
        <f>IF($A759="","",IF($AP759&lt;&gt;"",INDEX(Raw_D1!$B$2:$B$1001,$AP759),IF($AR759&lt;&gt;"",INDEX(Raw_D3!$B$2:$B$1001,$AR759),"")))</f>
        <v>40577.0</v>
      </c>
      <c r="C759" s="5">
        <f>IF($A759="","",IF($AP759&lt;&gt;"",INDEX(Raw_D1!$C$2:$C$1001,$AP759),IF($AR759&lt;&gt;"",INDEX(Raw_D3!$C$2:$C$1001,$AR759),"")))</f>
        <v>1</v>
      </c>
      <c r="D759" s="5">
        <f>IF($A759="","",IF($AP759&lt;&gt;"",INDEX(Raw_D1!$D$2:$D$1001,$AP759),IF($AR759&lt;&gt;"",INDEX(Raw_D3!$D$2:$D$1001,$AR759),"")))</f>
        <v>0</v>
      </c>
      <c r="E759" s="5">
        <f>IF($A759="","",IF($AP759&lt;&gt;"",INDEX(Raw_D1!$E$2:$E$1001,$AP759),IF($AR759&lt;&gt;"",INDEX(Raw_D3!$E$2:$E$1001,$AR759),"")))</f>
        <v>2</v>
      </c>
      <c r="F759" s="5">
        <f>IF($A759="","",IF($AP759&lt;&gt;"",INDEX(Raw_D1!$F$2:$F$1001,$AP759),IF($AR759&lt;&gt;"",INDEX(Raw_D3!$F$2:$F$1001,$AR759),"")))</f>
        <v>23</v>
      </c>
      <c r="G759" s="5">
        <f>IF($A759="","",IF($AP759&lt;&gt;"",IF(INDEX(Raw_D1!$G$2:$G$1001,$AP759),1,0),IF($AR759&lt;&gt;"",IF(INDEX(Raw_D3!$G$2:$G$1001,$AR759),1,0),"")))</f>
        <v>0</v>
      </c>
      <c r="H759" s="5">
        <f>IF($A759="","",IF($AP759&lt;&gt;"",INDEX(Raw_D1!$H$2:$H$1001,$AP759),IF($AR759&lt;&gt;"",INDEX(Raw_D3!$H$2:$H$1001,$AR759),"")))</f>
        <v>4</v>
      </c>
      <c r="I759" s="5">
        <f>IF($A759="","",IF($AP759&lt;&gt;"",INDEX(Raw_D1!$I$2:$I$1001,$AP759),IF($AR759&lt;&gt;"",INDEX(Raw_D3!$I$2:$I$1001,$AR759),"")))</f>
        <v>1</v>
      </c>
      <c r="J759" s="16">
        <f>IF($A759="","",IF($AP759&lt;&gt;"",INDEX(Raw_D1!$J$2:$J$1001,$AP759),IF($AR759&lt;&gt;"",INDEX(Raw_D3!$J$2:$J$1001,$AR759),"")))</f>
        <v>0.2</v>
      </c>
      <c r="K759" s="17">
        <f>IF($A759="","",IF($AQ759&lt;&gt;"",IF(INDEX(Raw_D2!$C$2:$C$1001,$AQ759)="","",INDEX(Raw_D2!$C$2:$C$1001,$AQ759)),IF($AR759&lt;&gt;"",IF(INDEX(Raw_D3!$K$2:$K$1001,$AR759)="","",INDEX(Raw_D3!$K$2:$K$1001,$AR759)),"")))</f>
        <v>0.2273</v>
      </c>
      <c r="L759" s="16">
        <f>IF($A759="","",IF($AQ759&lt;&gt;"",IF(INDEX(Raw_D2!$D$2:$D$1001,$AQ759)="","",INDEX(Raw_D2!$D$2:$D$1001,$AQ759)),IF($AR759&lt;&gt;"",IF(INDEX(Raw_D3!$L$2:$L$1001,$AR759)="","",INDEX(Raw_D3!$L$2:$L$1001,$AR759)),"")))</f>
        <v>0.47</v>
      </c>
      <c r="M759" s="17">
        <f>IF($A759="","",IF($AQ759&lt;&gt;"",IF(INDEX(Raw_D2!$E$2:$E$1001,$AQ759)="","",INDEX(Raw_D2!$E$2:$E$1001,$AQ759)),IF($AR759&lt;&gt;"",IF(INDEX(Raw_D3!$M$2:$M$1001,$AR759)="","",INDEX(Raw_D3!$M$2:$M$1001,$AR759)),"")))</f>
        <v>0.1045</v>
      </c>
      <c r="N759" s="5">
        <f>IF($A759="","",IF($AQ759&lt;&gt;"",IF(INDEX(Raw_D2!$F$2:$F$1001,$AQ759)="","",INDEX(Raw_D2!$F$2:$F$1001,$AQ759)),IF($AR759&lt;&gt;"",IF(INDEX(Raw_D3!$N$2:$N$1001,$AR759)="","",INDEX(Raw_D3!$N$2:$N$1001,$AR759)),"")))</f>
        <v>4</v>
      </c>
      <c r="O759" s="5">
        <f>IF($A759="","",IF($AQ759&lt;&gt;"",IF(INDEX(Raw_D2!$G$2:$G$1001,$AQ759)="","",INDEX(Raw_D2!$G$2:$G$1001,$AQ759)),IF($AR759&lt;&gt;"",IF(INDEX(Raw_D3!$O$2:$O$1001,$AR759)="","",INDEX(Raw_D3!$O$2:$O$1001,$AR759)),"")))</f>
        <v>34</v>
      </c>
      <c r="P759" s="5">
        <f>IF($A759="","",IF($AQ759&lt;&gt;"",IF(INDEX(Raw_D2!$H$2:$H$1001,$AQ759)="","",INDEX(Raw_D2!$H$2:$H$1001,$AQ759)),IF($AR759&lt;&gt;"",IF(INDEX(Raw_D3!$P$2:$P$1001,$AR759)="","",INDEX(Raw_D3!$P$2:$P$1001,$AR759)),"")))</f>
        <v>38</v>
      </c>
      <c r="Q759" s="5" t="str">
        <f>IF($A759="","",IF(AND($AP759&lt;&gt;"",$AQ759&lt;&gt;""),"D1+D2",IF($AR759&lt;&gt;"","D3","Incomplete")))</f>
        <v>D3</v>
      </c>
      <c r="R759" s="17">
        <f>IF($A759="","",IF($K759="",IF($J759="","",ROUND(Lookups!$K$5+Lookups!$K$4*$J759,4)),$K759))</f>
        <v>0.2273</v>
      </c>
      <c r="S759" s="5" t="str">
        <f>IF($A759="","",IF($K759="","Imputed","Original"))</f>
        <v>Original</v>
      </c>
      <c r="T759" s="5" t="str">
        <f>IF($A759="","",IF($P759="","Missing",IF($P759=$N759+$O759,"OK","Mismatch")))</f>
        <v>OK</v>
      </c>
      <c r="U759" s="5" t="str">
        <f>IF($A759="","",IF(COUNTIF($A$2:$A759,$A759)&gt;1,"Duplicate","Unique"))</f>
        <v>Unique</v>
      </c>
      <c r="V759" s="5">
        <f>IF($A759="","",IF(AND($U759="Unique",ISNUMBER($P759)),1,0))</f>
        <v>1</v>
      </c>
      <c r="W759" s="5" t="str">
        <f>IF($A759="","",IF(OR($H759=0,$H759=6),"Weekend","Weekday"))</f>
        <v>Weekday</v>
      </c>
      <c r="X759" s="5" t="str">
        <f>IF($A759="","",TEXT($B759,"ddd"))</f>
        <v>Thu</v>
      </c>
      <c r="Y759" s="5" t="str">
        <f>IF($A759="","",TEXT($B759,"mmm"))</f>
        <v>Feb</v>
      </c>
      <c r="Z759" s="5" t="str">
        <f>IF($A759="","",IFERROR(VLOOKUP($C759,Lookups!$D$4:$E$7,2,FALSE),"Unknown"))</f>
        <v>Winter</v>
      </c>
      <c r="AA759" s="5" t="str">
        <f>IF($A759="","",IFERROR(VLOOKUP($I759,Lookups!$A$4:$B$7,2,FALSE),"Unknown"))</f>
        <v>Clear</v>
      </c>
      <c r="AB759" s="5" t="str">
        <f>IF($A759="","",TEXT($F759,"00")&amp;":00")</f>
        <v>23:00</v>
      </c>
      <c r="AC759" s="5" t="str">
        <f>IF($A759="","",VLOOKUP($F759,Lookups!$G$4:$H$8,2,TRUE))</f>
        <v>Late Evening (20-23)</v>
      </c>
      <c r="AD759" s="18">
        <f>IF($A759="","",IF($J759="","",ROUND($J759*41,1)))</f>
        <v>8.2</v>
      </c>
      <c r="AE759" s="18">
        <f>IF($A759="","",IF($R759="","",ROUND($R759*50,1)))</f>
        <v>11.4</v>
      </c>
      <c r="AF759" s="5">
        <f>IF($A759="","",IF($L759="","",ROUND($L759*100,0)))</f>
        <v>47</v>
      </c>
      <c r="AG759" s="18">
        <f>IF($A759="","",IF($M759="","",ROUND($M759*67,1)))</f>
        <v>7</v>
      </c>
      <c r="AH759" s="19">
        <f>IF($A759="","",IF($P759="","",IF($P759=0,0,$O759/$P759)))</f>
        <v>0.894736842105263</v>
      </c>
      <c r="AI759" s="5" t="str">
        <f>IF($A759="","",IF($P759="","",IF($P759&gt;=Lookups!$K$7,"High",IF($P759&lt;=Lookups!$K$8,"Low","Medium"))))</f>
        <v>Medium</v>
      </c>
      <c r="AJ759" s="5" t="str">
        <f>IF($A759="","",IF($AD759="","",IF($AD759&lt;5,"Under 5 C",IF($AD759&lt;10,"5-10 C",IF($AD759&lt;15,"10-15 C","15 C and above")))))</f>
        <v>5-10 C</v>
      </c>
      <c r="AK759" s="5">
        <f>IF($A759="","",IF($P759="","",$P759^2))</f>
        <v>1444</v>
      </c>
      <c r="AL759" s="18">
        <f>IF($V759&lt;&gt;1,"",AVERAGEIFS(Clean_Data!$P$2:$P$1001,Clean_Data!$F$2:$F$1001,$F759,Clean_Data!$W$2:$W$1001,$W759,Clean_Data!$V$2:$V$1001,1))</f>
        <v>23.6896551724138</v>
      </c>
      <c r="AM759" s="16">
        <f>IF($V759&lt;&gt;1,"",IFERROR(($P759-$AL759)/SQRT(MAX(0,(SUMIFS(Clean_Data!$AK$2:$AK$1001,Clean_Data!$F$2:$F$1001,$F759,Clean_Data!$W$2:$W$1001,$W759,Clean_Data!$V$2:$V$1001,1)-COUNTIFS(Clean_Data!$F$2:$F$1001,$F759,Clean_Data!$W$2:$W$1001,$W759,Clean_Data!$V$2:$V$1001,1)*$AL759^2)/(COUNTIFS(Clean_Data!$F$2:$F$1001,$F759,Clean_Data!$W$2:$W$1001,$W759,Clean_Data!$V$2:$V$1001,1)-1))),""))</f>
        <v>1.36616729554088</v>
      </c>
      <c r="AN759" s="5" t="str">
        <f>IF($AM759="","",IF($AM759&gt;=Lookups!$K$6,"High spike",IF($AM759&lt;=-Lookups!$K$6,"Unusual low","Normal")))</f>
        <v>Normal</v>
      </c>
      <c r="AO759" s="20">
        <f>IF($V759&lt;&gt;1,"",$P759+ROW()/100000)</f>
        <v>38.00759</v>
      </c>
      <c r="AP759" s="5">
        <f>IF($A759="","",IFERROR(MATCH($A759,Raw_D1!$A$2:$A$1001,0),""))</f>
        <v/>
      </c>
      <c r="AQ759" s="5">
        <f>IF($A759="","",IFERROR(MATCH($A759,Raw_D2!$B$2:$B$1001,0),""))</f>
        <v/>
      </c>
      <c r="AR759" s="5">
        <f>IF($A759="","",IFERROR(MATCH($A759,Raw_D3!$A$2:$A$1001,0),""))</f>
        <v>139</v>
      </c>
    </row>
    <row r="760" spans="1:44" x14ac:dyDescent="0.25">
      <c r="A760" s="5">
        <v>759</v>
      </c>
      <c r="B760" s="11">
        <f>IF($A760="","",IF($AP760&lt;&gt;"",INDEX(Raw_D1!$B$2:$B$1001,$AP760),IF($AR760&lt;&gt;"",INDEX(Raw_D3!$B$2:$B$1001,$AR760),"")))</f>
        <v>40578.0</v>
      </c>
      <c r="C760" s="5">
        <f>IF($A760="","",IF($AP760&lt;&gt;"",INDEX(Raw_D1!$C$2:$C$1001,$AP760),IF($AR760&lt;&gt;"",INDEX(Raw_D3!$C$2:$C$1001,$AR760),"")))</f>
        <v>1</v>
      </c>
      <c r="D760" s="5">
        <f>IF($A760="","",IF($AP760&lt;&gt;"",INDEX(Raw_D1!$D$2:$D$1001,$AP760),IF($AR760&lt;&gt;"",INDEX(Raw_D3!$D$2:$D$1001,$AR760),"")))</f>
        <v>0</v>
      </c>
      <c r="E760" s="5">
        <f>IF($A760="","",IF($AP760&lt;&gt;"",INDEX(Raw_D1!$E$2:$E$1001,$AP760),IF($AR760&lt;&gt;"",INDEX(Raw_D3!$E$2:$E$1001,$AR760),"")))</f>
        <v>2</v>
      </c>
      <c r="F760" s="5">
        <f>IF($A760="","",IF($AP760&lt;&gt;"",INDEX(Raw_D1!$F$2:$F$1001,$AP760),IF($AR760&lt;&gt;"",INDEX(Raw_D3!$F$2:$F$1001,$AR760),"")))</f>
        <v>0</v>
      </c>
      <c r="G760" s="5">
        <f>IF($A760="","",IF($AP760&lt;&gt;"",IF(INDEX(Raw_D1!$G$2:$G$1001,$AP760),1,0),IF($AR760&lt;&gt;"",IF(INDEX(Raw_D3!$G$2:$G$1001,$AR760),1,0),"")))</f>
        <v>0</v>
      </c>
      <c r="H760" s="5">
        <f>IF($A760="","",IF($AP760&lt;&gt;"",INDEX(Raw_D1!$H$2:$H$1001,$AP760),IF($AR760&lt;&gt;"",INDEX(Raw_D3!$H$2:$H$1001,$AR760),"")))</f>
        <v>5</v>
      </c>
      <c r="I760" s="5">
        <f>IF($A760="","",IF($AP760&lt;&gt;"",INDEX(Raw_D1!$I$2:$I$1001,$AP760),IF($AR760&lt;&gt;"",INDEX(Raw_D3!$I$2:$I$1001,$AR760),"")))</f>
        <v>2</v>
      </c>
      <c r="J760" s="16">
        <f>IF($A760="","",IF($AP760&lt;&gt;"",INDEX(Raw_D1!$J$2:$J$1001,$AP760),IF($AR760&lt;&gt;"",INDEX(Raw_D3!$J$2:$J$1001,$AR760),"")))</f>
        <v>0.2</v>
      </c>
      <c r="K760" s="17">
        <f>IF($A760="","",IF($AQ760&lt;&gt;"",IF(INDEX(Raw_D2!$C$2:$C$1001,$AQ760)="","",INDEX(Raw_D2!$C$2:$C$1001,$AQ760)),IF($AR760&lt;&gt;"",IF(INDEX(Raw_D3!$K$2:$K$1001,$AR760)="","",INDEX(Raw_D3!$K$2:$K$1001,$AR760)),"")))</f>
        <v>0.2576</v>
      </c>
      <c r="L760" s="16">
        <f>IF($A760="","",IF($AQ760&lt;&gt;"",IF(INDEX(Raw_D2!$D$2:$D$1001,$AQ760)="","",INDEX(Raw_D2!$D$2:$D$1001,$AQ760)),IF($AR760&lt;&gt;"",IF(INDEX(Raw_D3!$L$2:$L$1001,$AR760)="","",INDEX(Raw_D3!$L$2:$L$1001,$AR760)),"")))</f>
        <v>0.44</v>
      </c>
      <c r="M760" s="17">
        <f>IF($A760="","",IF($AQ760&lt;&gt;"",IF(INDEX(Raw_D2!$E$2:$E$1001,$AQ760)="","",INDEX(Raw_D2!$E$2:$E$1001,$AQ760)),IF($AR760&lt;&gt;"",IF(INDEX(Raw_D3!$M$2:$M$1001,$AR760)="","",INDEX(Raw_D3!$M$2:$M$1001,$AR760)),"")))</f>
        <v>0</v>
      </c>
      <c r="N760" s="5">
        <f>IF($A760="","",IF($AQ760&lt;&gt;"",IF(INDEX(Raw_D2!$F$2:$F$1001,$AQ760)="","",INDEX(Raw_D2!$F$2:$F$1001,$AQ760)),IF($AR760&lt;&gt;"",IF(INDEX(Raw_D3!$N$2:$N$1001,$AR760)="","",INDEX(Raw_D3!$N$2:$N$1001,$AR760)),"")))</f>
        <v>3</v>
      </c>
      <c r="O760" s="5">
        <f>IF($A760="","",IF($AQ760&lt;&gt;"",IF(INDEX(Raw_D2!$G$2:$G$1001,$AQ760)="","",INDEX(Raw_D2!$G$2:$G$1001,$AQ760)),IF($AR760&lt;&gt;"",IF(INDEX(Raw_D3!$O$2:$O$1001,$AR760)="","",INDEX(Raw_D3!$O$2:$O$1001,$AR760)),"")))</f>
        <v>10</v>
      </c>
      <c r="P760" s="5">
        <f>IF($A760="","",IF($AQ760&lt;&gt;"",IF(INDEX(Raw_D2!$H$2:$H$1001,$AQ760)="","",INDEX(Raw_D2!$H$2:$H$1001,$AQ760)),IF($AR760&lt;&gt;"",IF(INDEX(Raw_D3!$P$2:$P$1001,$AR760)="","",INDEX(Raw_D3!$P$2:$P$1001,$AR760)),"")))</f>
        <v>13</v>
      </c>
      <c r="Q760" s="5" t="str">
        <f>IF($A760="","",IF(AND($AP760&lt;&gt;"",$AQ760&lt;&gt;""),"D1+D2",IF($AR760&lt;&gt;"","D3","Incomplete")))</f>
        <v>D3</v>
      </c>
      <c r="R760" s="17">
        <f>IF($A760="","",IF($K760="",IF($J760="","",ROUND(Lookups!$K$5+Lookups!$K$4*$J760,4)),$K760))</f>
        <v>0.2576</v>
      </c>
      <c r="S760" s="5" t="str">
        <f>IF($A760="","",IF($K760="","Imputed","Original"))</f>
        <v>Original</v>
      </c>
      <c r="T760" s="5" t="str">
        <f>IF($A760="","",IF($P760="","Missing",IF($P760=$N760+$O760,"OK","Mismatch")))</f>
        <v>OK</v>
      </c>
      <c r="U760" s="5" t="str">
        <f>IF($A760="","",IF(COUNTIF($A$2:$A760,$A760)&gt;1,"Duplicate","Unique"))</f>
        <v>Unique</v>
      </c>
      <c r="V760" s="5">
        <f>IF($A760="","",IF(AND($U760="Unique",ISNUMBER($P760)),1,0))</f>
        <v>1</v>
      </c>
      <c r="W760" s="5" t="str">
        <f>IF($A760="","",IF(OR($H760=0,$H760=6),"Weekend","Weekday"))</f>
        <v>Weekday</v>
      </c>
      <c r="X760" s="5" t="str">
        <f>IF($A760="","",TEXT($B760,"ddd"))</f>
        <v>Fri</v>
      </c>
      <c r="Y760" s="5" t="str">
        <f>IF($A760="","",TEXT($B760,"mmm"))</f>
        <v>Feb</v>
      </c>
      <c r="Z760" s="5" t="str">
        <f>IF($A760="","",IFERROR(VLOOKUP($C760,Lookups!$D$4:$E$7,2,FALSE),"Unknown"))</f>
        <v>Winter</v>
      </c>
      <c r="AA760" s="5" t="str">
        <f>IF($A760="","",IFERROR(VLOOKUP($I760,Lookups!$A$4:$B$7,2,FALSE),"Unknown"))</f>
        <v>Mist/Cloudy</v>
      </c>
      <c r="AB760" s="5" t="str">
        <f>IF($A760="","",TEXT($F760,"00")&amp;":00")</f>
        <v>00:00</v>
      </c>
      <c r="AC760" s="5" t="str">
        <f>IF($A760="","",VLOOKUP($F760,Lookups!$G$4:$H$8,2,TRUE))</f>
        <v>Night (00-05)</v>
      </c>
      <c r="AD760" s="18">
        <f>IF($A760="","",IF($J760="","",ROUND($J760*41,1)))</f>
        <v>8.2</v>
      </c>
      <c r="AE760" s="18">
        <f>IF($A760="","",IF($R760="","",ROUND($R760*50,1)))</f>
        <v>12.9</v>
      </c>
      <c r="AF760" s="5">
        <f>IF($A760="","",IF($L760="","",ROUND($L760*100,0)))</f>
        <v>44</v>
      </c>
      <c r="AG760" s="18">
        <f>IF($A760="","",IF($M760="","",ROUND($M760*67,1)))</f>
        <v>0</v>
      </c>
      <c r="AH760" s="19">
        <f>IF($A760="","",IF($P760="","",IF($P760=0,0,$O760/$P760)))</f>
        <v>0.769230769230769</v>
      </c>
      <c r="AI760" s="5" t="str">
        <f>IF($A760="","",IF($P760="","",IF($P760&gt;=Lookups!$K$7,"High",IF($P760&lt;=Lookups!$K$8,"Low","Medium"))))</f>
        <v>Low</v>
      </c>
      <c r="AJ760" s="5" t="str">
        <f>IF($A760="","",IF($AD760="","",IF($AD760&lt;5,"Under 5 C",IF($AD760&lt;10,"5-10 C",IF($AD760&lt;15,"10-15 C","15 C and above")))))</f>
        <v>5-10 C</v>
      </c>
      <c r="AK760" s="5">
        <f>IF($A760="","",IF($P760="","",$P760^2))</f>
        <v>169</v>
      </c>
      <c r="AL760" s="18">
        <f>IF($V760&lt;&gt;1,"",AVERAGEIFS(Clean_Data!$P$2:$P$1001,Clean_Data!$F$2:$F$1001,$F760,Clean_Data!$W$2:$W$1001,$W760,Clean_Data!$V$2:$V$1001,1))</f>
        <v>10.6896551724138</v>
      </c>
      <c r="AM760" s="16">
        <f>IF($V760&lt;&gt;1,"",IFERROR(($P760-$AL760)/SQRT(MAX(0,(SUMIFS(Clean_Data!$AK$2:$AK$1001,Clean_Data!$F$2:$F$1001,$F760,Clean_Data!$W$2:$W$1001,$W760,Clean_Data!$V$2:$V$1001,1)-COUNTIFS(Clean_Data!$F$2:$F$1001,$F760,Clean_Data!$W$2:$W$1001,$W760,Clean_Data!$V$2:$V$1001,1)*$AL760^2)/(COUNTIFS(Clean_Data!$F$2:$F$1001,$F760,Clean_Data!$W$2:$W$1001,$W760,Clean_Data!$V$2:$V$1001,1)-1))),""))</f>
        <v>0.472227608477373</v>
      </c>
      <c r="AN760" s="5" t="str">
        <f>IF($AM760="","",IF($AM760&gt;=Lookups!$K$6,"High spike",IF($AM760&lt;=-Lookups!$K$6,"Unusual low","Normal")))</f>
        <v>Normal</v>
      </c>
      <c r="AO760" s="20">
        <f>IF($V760&lt;&gt;1,"",$P760+ROW()/100000)</f>
        <v>13.0076</v>
      </c>
      <c r="AP760" s="5">
        <f>IF($A760="","",IFERROR(MATCH($A760,Raw_D1!$A$2:$A$1001,0),""))</f>
        <v/>
      </c>
      <c r="AQ760" s="5">
        <f>IF($A760="","",IFERROR(MATCH($A760,Raw_D2!$B$2:$B$1001,0),""))</f>
        <v/>
      </c>
      <c r="AR760" s="5">
        <f>IF($A760="","",IFERROR(MATCH($A760,Raw_D3!$A$2:$A$1001,0),""))</f>
        <v>140</v>
      </c>
    </row>
    <row r="761" spans="1:44" x14ac:dyDescent="0.25">
      <c r="A761" s="5">
        <v>760</v>
      </c>
      <c r="B761" s="11">
        <f>IF($A761="","",IF($AP761&lt;&gt;"",INDEX(Raw_D1!$B$2:$B$1001,$AP761),IF($AR761&lt;&gt;"",INDEX(Raw_D3!$B$2:$B$1001,$AR761),"")))</f>
        <v>40578.0</v>
      </c>
      <c r="C761" s="5">
        <f>IF($A761="","",IF($AP761&lt;&gt;"",INDEX(Raw_D1!$C$2:$C$1001,$AP761),IF($AR761&lt;&gt;"",INDEX(Raw_D3!$C$2:$C$1001,$AR761),"")))</f>
        <v>1</v>
      </c>
      <c r="D761" s="5">
        <f>IF($A761="","",IF($AP761&lt;&gt;"",INDEX(Raw_D1!$D$2:$D$1001,$AP761),IF($AR761&lt;&gt;"",INDEX(Raw_D3!$D$2:$D$1001,$AR761),"")))</f>
        <v>0</v>
      </c>
      <c r="E761" s="5">
        <f>IF($A761="","",IF($AP761&lt;&gt;"",INDEX(Raw_D1!$E$2:$E$1001,$AP761),IF($AR761&lt;&gt;"",INDEX(Raw_D3!$E$2:$E$1001,$AR761),"")))</f>
        <v>2</v>
      </c>
      <c r="F761" s="5">
        <f>IF($A761="","",IF($AP761&lt;&gt;"",INDEX(Raw_D1!$F$2:$F$1001,$AP761),IF($AR761&lt;&gt;"",INDEX(Raw_D3!$F$2:$F$1001,$AR761),"")))</f>
        <v>1</v>
      </c>
      <c r="G761" s="5">
        <f>IF($A761="","",IF($AP761&lt;&gt;"",IF(INDEX(Raw_D1!$G$2:$G$1001,$AP761),1,0),IF($AR761&lt;&gt;"",IF(INDEX(Raw_D3!$G$2:$G$1001,$AR761),1,0),"")))</f>
        <v>0</v>
      </c>
      <c r="H761" s="5">
        <f>IF($A761="","",IF($AP761&lt;&gt;"",INDEX(Raw_D1!$H$2:$H$1001,$AP761),IF($AR761&lt;&gt;"",INDEX(Raw_D3!$H$2:$H$1001,$AR761),"")))</f>
        <v>5</v>
      </c>
      <c r="I761" s="5">
        <f>IF($A761="","",IF($AP761&lt;&gt;"",INDEX(Raw_D1!$I$2:$I$1001,$AP761),IF($AR761&lt;&gt;"",INDEX(Raw_D3!$I$2:$I$1001,$AR761),"")))</f>
        <v>2</v>
      </c>
      <c r="J761" s="16">
        <f>IF($A761="","",IF($AP761&lt;&gt;"",INDEX(Raw_D1!$J$2:$J$1001,$AP761),IF($AR761&lt;&gt;"",INDEX(Raw_D3!$J$2:$J$1001,$AR761),"")))</f>
        <v>0.16</v>
      </c>
      <c r="K761" s="17">
        <f>IF($A761="","",IF($AQ761&lt;&gt;"",IF(INDEX(Raw_D2!$C$2:$C$1001,$AQ761)="","",INDEX(Raw_D2!$C$2:$C$1001,$AQ761)),IF($AR761&lt;&gt;"",IF(INDEX(Raw_D3!$K$2:$K$1001,$AR761)="","",INDEX(Raw_D3!$K$2:$K$1001,$AR761)),"")))</f>
        <v>0.2273</v>
      </c>
      <c r="L761" s="16">
        <f>IF($A761="","",IF($AQ761&lt;&gt;"",IF(INDEX(Raw_D2!$D$2:$D$1001,$AQ761)="","",INDEX(Raw_D2!$D$2:$D$1001,$AQ761)),IF($AR761&lt;&gt;"",IF(INDEX(Raw_D3!$L$2:$L$1001,$AR761)="","",INDEX(Raw_D3!$L$2:$L$1001,$AR761)),"")))</f>
        <v>0.59</v>
      </c>
      <c r="M761" s="17">
        <f>IF($A761="","",IF($AQ761&lt;&gt;"",IF(INDEX(Raw_D2!$E$2:$E$1001,$AQ761)="","",INDEX(Raw_D2!$E$2:$E$1001,$AQ761)),IF($AR761&lt;&gt;"",IF(INDEX(Raw_D3!$M$2:$M$1001,$AR761)="","",INDEX(Raw_D3!$M$2:$M$1001,$AR761)),"")))</f>
        <v>0</v>
      </c>
      <c r="N761" s="5">
        <f>IF($A761="","",IF($AQ761&lt;&gt;"",IF(INDEX(Raw_D2!$F$2:$F$1001,$AQ761)="","",INDEX(Raw_D2!$F$2:$F$1001,$AQ761)),IF($AR761&lt;&gt;"",IF(INDEX(Raw_D3!$N$2:$N$1001,$AR761)="","",INDEX(Raw_D3!$N$2:$N$1001,$AR761)),"")))</f>
        <v>0</v>
      </c>
      <c r="O761" s="5">
        <f>IF($A761="","",IF($AQ761&lt;&gt;"",IF(INDEX(Raw_D2!$G$2:$G$1001,$AQ761)="","",INDEX(Raw_D2!$G$2:$G$1001,$AQ761)),IF($AR761&lt;&gt;"",IF(INDEX(Raw_D3!$O$2:$O$1001,$AR761)="","",INDEX(Raw_D3!$O$2:$O$1001,$AR761)),"")))</f>
        <v>7</v>
      </c>
      <c r="P761" s="5">
        <f>IF($A761="","",IF($AQ761&lt;&gt;"",IF(INDEX(Raw_D2!$H$2:$H$1001,$AQ761)="","",INDEX(Raw_D2!$H$2:$H$1001,$AQ761)),IF($AR761&lt;&gt;"",IF(INDEX(Raw_D3!$P$2:$P$1001,$AR761)="","",INDEX(Raw_D3!$P$2:$P$1001,$AR761)),"")))</f>
        <v>7</v>
      </c>
      <c r="Q761" s="5" t="str">
        <f>IF($A761="","",IF(AND($AP761&lt;&gt;"",$AQ761&lt;&gt;""),"D1+D2",IF($AR761&lt;&gt;"","D3","Incomplete")))</f>
        <v>D3</v>
      </c>
      <c r="R761" s="17">
        <f>IF($A761="","",IF($K761="",IF($J761="","",ROUND(Lookups!$K$5+Lookups!$K$4*$J761,4)),$K761))</f>
        <v>0.2273</v>
      </c>
      <c r="S761" s="5" t="str">
        <f>IF($A761="","",IF($K761="","Imputed","Original"))</f>
        <v>Original</v>
      </c>
      <c r="T761" s="5" t="str">
        <f>IF($A761="","",IF($P761="","Missing",IF($P761=$N761+$O761,"OK","Mismatch")))</f>
        <v>OK</v>
      </c>
      <c r="U761" s="5" t="str">
        <f>IF($A761="","",IF(COUNTIF($A$2:$A761,$A761)&gt;1,"Duplicate","Unique"))</f>
        <v>Unique</v>
      </c>
      <c r="V761" s="5">
        <f>IF($A761="","",IF(AND($U761="Unique",ISNUMBER($P761)),1,0))</f>
        <v>1</v>
      </c>
      <c r="W761" s="5" t="str">
        <f>IF($A761="","",IF(OR($H761=0,$H761=6),"Weekend","Weekday"))</f>
        <v>Weekday</v>
      </c>
      <c r="X761" s="5" t="str">
        <f>IF($A761="","",TEXT($B761,"ddd"))</f>
        <v>Fri</v>
      </c>
      <c r="Y761" s="5" t="str">
        <f>IF($A761="","",TEXT($B761,"mmm"))</f>
        <v>Feb</v>
      </c>
      <c r="Z761" s="5" t="str">
        <f>IF($A761="","",IFERROR(VLOOKUP($C761,Lookups!$D$4:$E$7,2,FALSE),"Unknown"))</f>
        <v>Winter</v>
      </c>
      <c r="AA761" s="5" t="str">
        <f>IF($A761="","",IFERROR(VLOOKUP($I761,Lookups!$A$4:$B$7,2,FALSE),"Unknown"))</f>
        <v>Mist/Cloudy</v>
      </c>
      <c r="AB761" s="5" t="str">
        <f>IF($A761="","",TEXT($F761,"00")&amp;":00")</f>
        <v>01:00</v>
      </c>
      <c r="AC761" s="5" t="str">
        <f>IF($A761="","",VLOOKUP($F761,Lookups!$G$4:$H$8,2,TRUE))</f>
        <v>Night (00-05)</v>
      </c>
      <c r="AD761" s="18">
        <f>IF($A761="","",IF($J761="","",ROUND($J761*41,1)))</f>
        <v>6.6</v>
      </c>
      <c r="AE761" s="18">
        <f>IF($A761="","",IF($R761="","",ROUND($R761*50,1)))</f>
        <v>11.4</v>
      </c>
      <c r="AF761" s="5">
        <f>IF($A761="","",IF($L761="","",ROUND($L761*100,0)))</f>
        <v>59</v>
      </c>
      <c r="AG761" s="18">
        <f>IF($A761="","",IF($M761="","",ROUND($M761*67,1)))</f>
        <v>0</v>
      </c>
      <c r="AH761" s="19">
        <f>IF($A761="","",IF($P761="","",IF($P761=0,0,$O761/$P761)))</f>
        <v>1</v>
      </c>
      <c r="AI761" s="5" t="str">
        <f>IF($A761="","",IF($P761="","",IF($P761&gt;=Lookups!$K$7,"High",IF($P761&lt;=Lookups!$K$8,"Low","Medium"))))</f>
        <v>Low</v>
      </c>
      <c r="AJ761" s="5" t="str">
        <f>IF($A761="","",IF($AD761="","",IF($AD761&lt;5,"Under 5 C",IF($AD761&lt;10,"5-10 C",IF($AD761&lt;15,"10-15 C","15 C and above")))))</f>
        <v>5-10 C</v>
      </c>
      <c r="AK761" s="5">
        <f>IF($A761="","",IF($P761="","",$P761^2))</f>
        <v>49</v>
      </c>
      <c r="AL761" s="18">
        <f>IF($V761&lt;&gt;1,"",AVERAGEIFS(Clean_Data!$P$2:$P$1001,Clean_Data!$F$2:$F$1001,$F761,Clean_Data!$W$2:$W$1001,$W761,Clean_Data!$V$2:$V$1001,1))</f>
        <v>5.10344827586207</v>
      </c>
      <c r="AM761" s="16">
        <f>IF($V761&lt;&gt;1,"",IFERROR(($P761-$AL761)/SQRT(MAX(0,(SUMIFS(Clean_Data!$AK$2:$AK$1001,Clean_Data!$F$2:$F$1001,$F761,Clean_Data!$W$2:$W$1001,$W761,Clean_Data!$V$2:$V$1001,1)-COUNTIFS(Clean_Data!$F$2:$F$1001,$F761,Clean_Data!$W$2:$W$1001,$W761,Clean_Data!$V$2:$V$1001,1)*$AL761^2)/(COUNTIFS(Clean_Data!$F$2:$F$1001,$F761,Clean_Data!$W$2:$W$1001,$W761,Clean_Data!$V$2:$V$1001,1)-1))),""))</f>
        <v>0.657892854181701</v>
      </c>
      <c r="AN761" s="5" t="str">
        <f>IF($AM761="","",IF($AM761&gt;=Lookups!$K$6,"High spike",IF($AM761&lt;=-Lookups!$K$6,"Unusual low","Normal")))</f>
        <v>Normal</v>
      </c>
      <c r="AO761" s="20">
        <f>IF($V761&lt;&gt;1,"",$P761+ROW()/100000)</f>
        <v>7.00761</v>
      </c>
      <c r="AP761" s="5">
        <f>IF($A761="","",IFERROR(MATCH($A761,Raw_D1!$A$2:$A$1001,0),""))</f>
        <v/>
      </c>
      <c r="AQ761" s="5">
        <f>IF($A761="","",IFERROR(MATCH($A761,Raw_D2!$B$2:$B$1001,0),""))</f>
        <v/>
      </c>
      <c r="AR761" s="5">
        <f>IF($A761="","",IFERROR(MATCH($A761,Raw_D3!$A$2:$A$1001,0),""))</f>
        <v>141</v>
      </c>
    </row>
    <row r="762" spans="1:44" x14ac:dyDescent="0.25">
      <c r="A762" s="5">
        <v>761</v>
      </c>
      <c r="B762" s="11">
        <f>IF($A762="","",IF($AP762&lt;&gt;"",INDEX(Raw_D1!$B$2:$B$1001,$AP762),IF($AR762&lt;&gt;"",INDEX(Raw_D3!$B$2:$B$1001,$AR762),"")))</f>
        <v>40578.0</v>
      </c>
      <c r="C762" s="5">
        <f>IF($A762="","",IF($AP762&lt;&gt;"",INDEX(Raw_D1!$C$2:$C$1001,$AP762),IF($AR762&lt;&gt;"",INDEX(Raw_D3!$C$2:$C$1001,$AR762),"")))</f>
        <v>1</v>
      </c>
      <c r="D762" s="5">
        <f>IF($A762="","",IF($AP762&lt;&gt;"",INDEX(Raw_D1!$D$2:$D$1001,$AP762),IF($AR762&lt;&gt;"",INDEX(Raw_D3!$D$2:$D$1001,$AR762),"")))</f>
        <v>0</v>
      </c>
      <c r="E762" s="5">
        <f>IF($A762="","",IF($AP762&lt;&gt;"",INDEX(Raw_D1!$E$2:$E$1001,$AP762),IF($AR762&lt;&gt;"",INDEX(Raw_D3!$E$2:$E$1001,$AR762),"")))</f>
        <v>2</v>
      </c>
      <c r="F762" s="5">
        <f>IF($A762="","",IF($AP762&lt;&gt;"",INDEX(Raw_D1!$F$2:$F$1001,$AP762),IF($AR762&lt;&gt;"",INDEX(Raw_D3!$F$2:$F$1001,$AR762),"")))</f>
        <v>2</v>
      </c>
      <c r="G762" s="5">
        <f>IF($A762="","",IF($AP762&lt;&gt;"",IF(INDEX(Raw_D1!$G$2:$G$1001,$AP762),1,0),IF($AR762&lt;&gt;"",IF(INDEX(Raw_D3!$G$2:$G$1001,$AR762),1,0),"")))</f>
        <v>0</v>
      </c>
      <c r="H762" s="5">
        <f>IF($A762="","",IF($AP762&lt;&gt;"",INDEX(Raw_D1!$H$2:$H$1001,$AP762),IF($AR762&lt;&gt;"",INDEX(Raw_D3!$H$2:$H$1001,$AR762),"")))</f>
        <v>5</v>
      </c>
      <c r="I762" s="5">
        <f>IF($A762="","",IF($AP762&lt;&gt;"",INDEX(Raw_D1!$I$2:$I$1001,$AP762),IF($AR762&lt;&gt;"",INDEX(Raw_D3!$I$2:$I$1001,$AR762),"")))</f>
        <v>2</v>
      </c>
      <c r="J762" s="16">
        <f>IF($A762="","",IF($AP762&lt;&gt;"",INDEX(Raw_D1!$J$2:$J$1001,$AP762),IF($AR762&lt;&gt;"",INDEX(Raw_D3!$J$2:$J$1001,$AR762),"")))</f>
        <v>0.14</v>
      </c>
      <c r="K762" s="17">
        <f>IF($A762="","",IF($AQ762&lt;&gt;"",IF(INDEX(Raw_D2!$C$2:$C$1001,$AQ762)="","",INDEX(Raw_D2!$C$2:$C$1001,$AQ762)),IF($AR762&lt;&gt;"",IF(INDEX(Raw_D3!$K$2:$K$1001,$AR762)="","",INDEX(Raw_D3!$K$2:$K$1001,$AR762)),"")))</f>
        <v>0.1667</v>
      </c>
      <c r="L762" s="16">
        <f>IF($A762="","",IF($AQ762&lt;&gt;"",IF(INDEX(Raw_D2!$D$2:$D$1001,$AQ762)="","",INDEX(Raw_D2!$D$2:$D$1001,$AQ762)),IF($AR762&lt;&gt;"",IF(INDEX(Raw_D3!$L$2:$L$1001,$AR762)="","",INDEX(Raw_D3!$L$2:$L$1001,$AR762)),"")))</f>
        <v>0.63</v>
      </c>
      <c r="M762" s="17">
        <f>IF($A762="","",IF($AQ762&lt;&gt;"",IF(INDEX(Raw_D2!$E$2:$E$1001,$AQ762)="","",INDEX(Raw_D2!$E$2:$E$1001,$AQ762)),IF($AR762&lt;&gt;"",IF(INDEX(Raw_D3!$M$2:$M$1001,$AR762)="","",INDEX(Raw_D3!$M$2:$M$1001,$AR762)),"")))</f>
        <v>0.1045</v>
      </c>
      <c r="N762" s="5">
        <f>IF($A762="","",IF($AQ762&lt;&gt;"",IF(INDEX(Raw_D2!$F$2:$F$1001,$AQ762)="","",INDEX(Raw_D2!$F$2:$F$1001,$AQ762)),IF($AR762&lt;&gt;"",IF(INDEX(Raw_D3!$N$2:$N$1001,$AR762)="","",INDEX(Raw_D3!$N$2:$N$1001,$AR762)),"")))</f>
        <v>0</v>
      </c>
      <c r="O762" s="5">
        <f>IF($A762="","",IF($AQ762&lt;&gt;"",IF(INDEX(Raw_D2!$G$2:$G$1001,$AQ762)="","",INDEX(Raw_D2!$G$2:$G$1001,$AQ762)),IF($AR762&lt;&gt;"",IF(INDEX(Raw_D3!$O$2:$O$1001,$AR762)="","",INDEX(Raw_D3!$O$2:$O$1001,$AR762)),"")))</f>
        <v>1</v>
      </c>
      <c r="P762" s="5">
        <f>IF($A762="","",IF($AQ762&lt;&gt;"",IF(INDEX(Raw_D2!$H$2:$H$1001,$AQ762)="","",INDEX(Raw_D2!$H$2:$H$1001,$AQ762)),IF($AR762&lt;&gt;"",IF(INDEX(Raw_D3!$P$2:$P$1001,$AR762)="","",INDEX(Raw_D3!$P$2:$P$1001,$AR762)),"")))</f>
        <v>1</v>
      </c>
      <c r="Q762" s="5" t="str">
        <f>IF($A762="","",IF(AND($AP762&lt;&gt;"",$AQ762&lt;&gt;""),"D1+D2",IF($AR762&lt;&gt;"","D3","Incomplete")))</f>
        <v>D3</v>
      </c>
      <c r="R762" s="17">
        <f>IF($A762="","",IF($K762="",IF($J762="","",ROUND(Lookups!$K$5+Lookups!$K$4*$J762,4)),$K762))</f>
        <v>0.1667</v>
      </c>
      <c r="S762" s="5" t="str">
        <f>IF($A762="","",IF($K762="","Imputed","Original"))</f>
        <v>Original</v>
      </c>
      <c r="T762" s="5" t="str">
        <f>IF($A762="","",IF($P762="","Missing",IF($P762=$N762+$O762,"OK","Mismatch")))</f>
        <v>OK</v>
      </c>
      <c r="U762" s="5" t="str">
        <f>IF($A762="","",IF(COUNTIF($A$2:$A762,$A762)&gt;1,"Duplicate","Unique"))</f>
        <v>Unique</v>
      </c>
      <c r="V762" s="5">
        <f>IF($A762="","",IF(AND($U762="Unique",ISNUMBER($P762)),1,0))</f>
        <v>1</v>
      </c>
      <c r="W762" s="5" t="str">
        <f>IF($A762="","",IF(OR($H762=0,$H762=6),"Weekend","Weekday"))</f>
        <v>Weekday</v>
      </c>
      <c r="X762" s="5" t="str">
        <f>IF($A762="","",TEXT($B762,"ddd"))</f>
        <v>Fri</v>
      </c>
      <c r="Y762" s="5" t="str">
        <f>IF($A762="","",TEXT($B762,"mmm"))</f>
        <v>Feb</v>
      </c>
      <c r="Z762" s="5" t="str">
        <f>IF($A762="","",IFERROR(VLOOKUP($C762,Lookups!$D$4:$E$7,2,FALSE),"Unknown"))</f>
        <v>Winter</v>
      </c>
      <c r="AA762" s="5" t="str">
        <f>IF($A762="","",IFERROR(VLOOKUP($I762,Lookups!$A$4:$B$7,2,FALSE),"Unknown"))</f>
        <v>Mist/Cloudy</v>
      </c>
      <c r="AB762" s="5" t="str">
        <f>IF($A762="","",TEXT($F762,"00")&amp;":00")</f>
        <v>02:00</v>
      </c>
      <c r="AC762" s="5" t="str">
        <f>IF($A762="","",VLOOKUP($F762,Lookups!$G$4:$H$8,2,TRUE))</f>
        <v>Night (00-05)</v>
      </c>
      <c r="AD762" s="18">
        <f>IF($A762="","",IF($J762="","",ROUND($J762*41,1)))</f>
        <v>5.7</v>
      </c>
      <c r="AE762" s="18">
        <f>IF($A762="","",IF($R762="","",ROUND($R762*50,1)))</f>
        <v>8.3</v>
      </c>
      <c r="AF762" s="5">
        <f>IF($A762="","",IF($L762="","",ROUND($L762*100,0)))</f>
        <v>63</v>
      </c>
      <c r="AG762" s="18">
        <f>IF($A762="","",IF($M762="","",ROUND($M762*67,1)))</f>
        <v>7</v>
      </c>
      <c r="AH762" s="19">
        <f>IF($A762="","",IF($P762="","",IF($P762=0,0,$O762/$P762)))</f>
        <v>1</v>
      </c>
      <c r="AI762" s="5" t="str">
        <f>IF($A762="","",IF($P762="","",IF($P762&gt;=Lookups!$K$7,"High",IF($P762&lt;=Lookups!$K$8,"Low","Medium"))))</f>
        <v>Low</v>
      </c>
      <c r="AJ762" s="5" t="str">
        <f>IF($A762="","",IF($AD762="","",IF($AD762&lt;5,"Under 5 C",IF($AD762&lt;10,"5-10 C",IF($AD762&lt;15,"10-15 C","15 C and above")))))</f>
        <v>5-10 C</v>
      </c>
      <c r="AK762" s="5">
        <f>IF($A762="","",IF($P762="","",$P762^2))</f>
        <v>1</v>
      </c>
      <c r="AL762" s="18">
        <f>IF($V762&lt;&gt;1,"",AVERAGEIFS(Clean_Data!$P$2:$P$1001,Clean_Data!$F$2:$F$1001,$F762,Clean_Data!$W$2:$W$1001,$W762,Clean_Data!$V$2:$V$1001,1))</f>
        <v>2.62962962962963</v>
      </c>
      <c r="AM762" s="16">
        <f>IF($V762&lt;&gt;1,"",IFERROR(($P762-$AL762)/SQRT(MAX(0,(SUMIFS(Clean_Data!$AK$2:$AK$1001,Clean_Data!$F$2:$F$1001,$F762,Clean_Data!$W$2:$W$1001,$W762,Clean_Data!$V$2:$V$1001,1)-COUNTIFS(Clean_Data!$F$2:$F$1001,$F762,Clean_Data!$W$2:$W$1001,$W762,Clean_Data!$V$2:$V$1001,1)*$AL762^2)/(COUNTIFS(Clean_Data!$F$2:$F$1001,$F762,Clean_Data!$W$2:$W$1001,$W762,Clean_Data!$V$2:$V$1001,1)-1))),""))</f>
        <v>-0.80596562646555</v>
      </c>
      <c r="AN762" s="5" t="str">
        <f>IF($AM762="","",IF($AM762&gt;=Lookups!$K$6,"High spike",IF($AM762&lt;=-Lookups!$K$6,"Unusual low","Normal")))</f>
        <v>Normal</v>
      </c>
      <c r="AO762" s="20">
        <f>IF($V762&lt;&gt;1,"",$P762+ROW()/100000)</f>
        <v>1.00762</v>
      </c>
      <c r="AP762" s="5">
        <f>IF($A762="","",IFERROR(MATCH($A762,Raw_D1!$A$2:$A$1001,0),""))</f>
        <v/>
      </c>
      <c r="AQ762" s="5">
        <f>IF($A762="","",IFERROR(MATCH($A762,Raw_D2!$B$2:$B$1001,0),""))</f>
        <v/>
      </c>
      <c r="AR762" s="5">
        <f>IF($A762="","",IFERROR(MATCH($A762,Raw_D3!$A$2:$A$1001,0),""))</f>
        <v>142</v>
      </c>
    </row>
    <row r="763" spans="1:44" x14ac:dyDescent="0.25">
      <c r="A763" s="5">
        <v>762</v>
      </c>
      <c r="B763" s="11">
        <f>IF($A763="","",IF($AP763&lt;&gt;"",INDEX(Raw_D1!$B$2:$B$1001,$AP763),IF($AR763&lt;&gt;"",INDEX(Raw_D3!$B$2:$B$1001,$AR763),"")))</f>
        <v>40578.0</v>
      </c>
      <c r="C763" s="5">
        <f>IF($A763="","",IF($AP763&lt;&gt;"",INDEX(Raw_D1!$C$2:$C$1001,$AP763),IF($AR763&lt;&gt;"",INDEX(Raw_D3!$C$2:$C$1001,$AR763),"")))</f>
        <v>1</v>
      </c>
      <c r="D763" s="5">
        <f>IF($A763="","",IF($AP763&lt;&gt;"",INDEX(Raw_D1!$D$2:$D$1001,$AP763),IF($AR763&lt;&gt;"",INDEX(Raw_D3!$D$2:$D$1001,$AR763),"")))</f>
        <v>0</v>
      </c>
      <c r="E763" s="5">
        <f>IF($A763="","",IF($AP763&lt;&gt;"",INDEX(Raw_D1!$E$2:$E$1001,$AP763),IF($AR763&lt;&gt;"",INDEX(Raw_D3!$E$2:$E$1001,$AR763),"")))</f>
        <v>2</v>
      </c>
      <c r="F763" s="5">
        <f>IF($A763="","",IF($AP763&lt;&gt;"",INDEX(Raw_D1!$F$2:$F$1001,$AP763),IF($AR763&lt;&gt;"",INDEX(Raw_D3!$F$2:$F$1001,$AR763),"")))</f>
        <v>3</v>
      </c>
      <c r="G763" s="5">
        <f>IF($A763="","",IF($AP763&lt;&gt;"",IF(INDEX(Raw_D1!$G$2:$G$1001,$AP763),1,0),IF($AR763&lt;&gt;"",IF(INDEX(Raw_D3!$G$2:$G$1001,$AR763),1,0),"")))</f>
        <v>0</v>
      </c>
      <c r="H763" s="5">
        <f>IF($A763="","",IF($AP763&lt;&gt;"",INDEX(Raw_D1!$H$2:$H$1001,$AP763),IF($AR763&lt;&gt;"",INDEX(Raw_D3!$H$2:$H$1001,$AR763),"")))</f>
        <v>5</v>
      </c>
      <c r="I763" s="5">
        <f>IF($A763="","",IF($AP763&lt;&gt;"",INDEX(Raw_D1!$I$2:$I$1001,$AP763),IF($AR763&lt;&gt;"",INDEX(Raw_D3!$I$2:$I$1001,$AR763),"")))</f>
        <v>2</v>
      </c>
      <c r="J763" s="16">
        <f>IF($A763="","",IF($AP763&lt;&gt;"",INDEX(Raw_D1!$J$2:$J$1001,$AP763),IF($AR763&lt;&gt;"",INDEX(Raw_D3!$J$2:$J$1001,$AR763),"")))</f>
        <v>0.14</v>
      </c>
      <c r="K763" s="17">
        <f>IF($A763="","",IF($AQ763&lt;&gt;"",IF(INDEX(Raw_D2!$C$2:$C$1001,$AQ763)="","",INDEX(Raw_D2!$C$2:$C$1001,$AQ763)),IF($AR763&lt;&gt;"",IF(INDEX(Raw_D3!$K$2:$K$1001,$AR763)="","",INDEX(Raw_D3!$K$2:$K$1001,$AR763)),"")))</f>
        <v>0.1667</v>
      </c>
      <c r="L763" s="16">
        <f>IF($A763="","",IF($AQ763&lt;&gt;"",IF(INDEX(Raw_D2!$D$2:$D$1001,$AQ763)="","",INDEX(Raw_D2!$D$2:$D$1001,$AQ763)),IF($AR763&lt;&gt;"",IF(INDEX(Raw_D3!$L$2:$L$1001,$AR763)="","",INDEX(Raw_D3!$L$2:$L$1001,$AR763)),"")))</f>
        <v>0.63</v>
      </c>
      <c r="M763" s="17">
        <f>IF($A763="","",IF($AQ763&lt;&gt;"",IF(INDEX(Raw_D2!$E$2:$E$1001,$AQ763)="","",INDEX(Raw_D2!$E$2:$E$1001,$AQ763)),IF($AR763&lt;&gt;"",IF(INDEX(Raw_D3!$M$2:$M$1001,$AR763)="","",INDEX(Raw_D3!$M$2:$M$1001,$AR763)),"")))</f>
        <v>0.1045</v>
      </c>
      <c r="N763" s="5">
        <f>IF($A763="","",IF($AQ763&lt;&gt;"",IF(INDEX(Raw_D2!$F$2:$F$1001,$AQ763)="","",INDEX(Raw_D2!$F$2:$F$1001,$AQ763)),IF($AR763&lt;&gt;"",IF(INDEX(Raw_D3!$N$2:$N$1001,$AR763)="","",INDEX(Raw_D3!$N$2:$N$1001,$AR763)),"")))</f>
        <v>0</v>
      </c>
      <c r="O763" s="5">
        <f>IF($A763="","",IF($AQ763&lt;&gt;"",IF(INDEX(Raw_D2!$G$2:$G$1001,$AQ763)="","",INDEX(Raw_D2!$G$2:$G$1001,$AQ763)),IF($AR763&lt;&gt;"",IF(INDEX(Raw_D3!$O$2:$O$1001,$AR763)="","",INDEX(Raw_D3!$O$2:$O$1001,$AR763)),"")))</f>
        <v>1</v>
      </c>
      <c r="P763" s="5">
        <f>IF($A763="","",IF($AQ763&lt;&gt;"",IF(INDEX(Raw_D2!$H$2:$H$1001,$AQ763)="","",INDEX(Raw_D2!$H$2:$H$1001,$AQ763)),IF($AR763&lt;&gt;"",IF(INDEX(Raw_D3!$P$2:$P$1001,$AR763)="","",INDEX(Raw_D3!$P$2:$P$1001,$AR763)),"")))</f>
        <v>1</v>
      </c>
      <c r="Q763" s="5" t="str">
        <f>IF($A763="","",IF(AND($AP763&lt;&gt;"",$AQ763&lt;&gt;""),"D1+D2",IF($AR763&lt;&gt;"","D3","Incomplete")))</f>
        <v>D3</v>
      </c>
      <c r="R763" s="17">
        <f>IF($A763="","",IF($K763="",IF($J763="","",ROUND(Lookups!$K$5+Lookups!$K$4*$J763,4)),$K763))</f>
        <v>0.1667</v>
      </c>
      <c r="S763" s="5" t="str">
        <f>IF($A763="","",IF($K763="","Imputed","Original"))</f>
        <v>Original</v>
      </c>
      <c r="T763" s="5" t="str">
        <f>IF($A763="","",IF($P763="","Missing",IF($P763=$N763+$O763,"OK","Mismatch")))</f>
        <v>OK</v>
      </c>
      <c r="U763" s="5" t="str">
        <f>IF($A763="","",IF(COUNTIF($A$2:$A763,$A763)&gt;1,"Duplicate","Unique"))</f>
        <v>Unique</v>
      </c>
      <c r="V763" s="5">
        <f>IF($A763="","",IF(AND($U763="Unique",ISNUMBER($P763)),1,0))</f>
        <v>1</v>
      </c>
      <c r="W763" s="5" t="str">
        <f>IF($A763="","",IF(OR($H763=0,$H763=6),"Weekend","Weekday"))</f>
        <v>Weekday</v>
      </c>
      <c r="X763" s="5" t="str">
        <f>IF($A763="","",TEXT($B763,"ddd"))</f>
        <v>Fri</v>
      </c>
      <c r="Y763" s="5" t="str">
        <f>IF($A763="","",TEXT($B763,"mmm"))</f>
        <v>Feb</v>
      </c>
      <c r="Z763" s="5" t="str">
        <f>IF($A763="","",IFERROR(VLOOKUP($C763,Lookups!$D$4:$E$7,2,FALSE),"Unknown"))</f>
        <v>Winter</v>
      </c>
      <c r="AA763" s="5" t="str">
        <f>IF($A763="","",IFERROR(VLOOKUP($I763,Lookups!$A$4:$B$7,2,FALSE),"Unknown"))</f>
        <v>Mist/Cloudy</v>
      </c>
      <c r="AB763" s="5" t="str">
        <f>IF($A763="","",TEXT($F763,"00")&amp;":00")</f>
        <v>03:00</v>
      </c>
      <c r="AC763" s="5" t="str">
        <f>IF($A763="","",VLOOKUP($F763,Lookups!$G$4:$H$8,2,TRUE))</f>
        <v>Night (00-05)</v>
      </c>
      <c r="AD763" s="18">
        <f>IF($A763="","",IF($J763="","",ROUND($J763*41,1)))</f>
        <v>5.7</v>
      </c>
      <c r="AE763" s="18">
        <f>IF($A763="","",IF($R763="","",ROUND($R763*50,1)))</f>
        <v>8.3</v>
      </c>
      <c r="AF763" s="5">
        <f>IF($A763="","",IF($L763="","",ROUND($L763*100,0)))</f>
        <v>63</v>
      </c>
      <c r="AG763" s="18">
        <f>IF($A763="","",IF($M763="","",ROUND($M763*67,1)))</f>
        <v>7</v>
      </c>
      <c r="AH763" s="19">
        <f>IF($A763="","",IF($P763="","",IF($P763=0,0,$O763/$P763)))</f>
        <v>1</v>
      </c>
      <c r="AI763" s="5" t="str">
        <f>IF($A763="","",IF($P763="","",IF($P763&gt;=Lookups!$K$7,"High",IF($P763&lt;=Lookups!$K$8,"Low","Medium"))))</f>
        <v>Low</v>
      </c>
      <c r="AJ763" s="5" t="str">
        <f>IF($A763="","",IF($AD763="","",IF($AD763&lt;5,"Under 5 C",IF($AD763&lt;10,"5-10 C",IF($AD763&lt;15,"10-15 C","15 C and above")))))</f>
        <v>5-10 C</v>
      </c>
      <c r="AK763" s="5">
        <f>IF($A763="","",IF($P763="","",$P763^2))</f>
        <v>1</v>
      </c>
      <c r="AL763" s="18">
        <f>IF($V763&lt;&gt;1,"",AVERAGEIFS(Clean_Data!$P$2:$P$1001,Clean_Data!$F$2:$F$1001,$F763,Clean_Data!$W$2:$W$1001,$W763,Clean_Data!$V$2:$V$1001,1))</f>
        <v>1.41176470588235</v>
      </c>
      <c r="AM763" s="16">
        <f>IF($V763&lt;&gt;1,"",IFERROR(($P763-$AL763)/SQRT(MAX(0,(SUMIFS(Clean_Data!$AK$2:$AK$1001,Clean_Data!$F$2:$F$1001,$F763,Clean_Data!$W$2:$W$1001,$W763,Clean_Data!$V$2:$V$1001,1)-COUNTIFS(Clean_Data!$F$2:$F$1001,$F763,Clean_Data!$W$2:$W$1001,$W763,Clean_Data!$V$2:$V$1001,1)*$AL763^2)/(COUNTIFS(Clean_Data!$F$2:$F$1001,$F763,Clean_Data!$W$2:$W$1001,$W763,Clean_Data!$V$2:$V$1001,1)-1))),""))</f>
        <v>-0.665912091816292</v>
      </c>
      <c r="AN763" s="5" t="str">
        <f>IF($AM763="","",IF($AM763&gt;=Lookups!$K$6,"High spike",IF($AM763&lt;=-Lookups!$K$6,"Unusual low","Normal")))</f>
        <v>Normal</v>
      </c>
      <c r="AO763" s="20">
        <f>IF($V763&lt;&gt;1,"",$P763+ROW()/100000)</f>
        <v>1.00763</v>
      </c>
      <c r="AP763" s="5">
        <f>IF($A763="","",IFERROR(MATCH($A763,Raw_D1!$A$2:$A$1001,0),""))</f>
        <v/>
      </c>
      <c r="AQ763" s="5">
        <f>IF($A763="","",IFERROR(MATCH($A763,Raw_D2!$B$2:$B$1001,0),""))</f>
        <v/>
      </c>
      <c r="AR763" s="5">
        <f>IF($A763="","",IFERROR(MATCH($A763,Raw_D3!$A$2:$A$1001,0),""))</f>
        <v>143</v>
      </c>
    </row>
    <row r="764" spans="1:44" x14ac:dyDescent="0.25">
      <c r="A764" s="5">
        <v>763</v>
      </c>
      <c r="B764" s="11">
        <f>IF($A764="","",IF($AP764&lt;&gt;"",INDEX(Raw_D1!$B$2:$B$1001,$AP764),IF($AR764&lt;&gt;"",INDEX(Raw_D3!$B$2:$B$1001,$AR764),"")))</f>
        <v>40578.0</v>
      </c>
      <c r="C764" s="5">
        <f>IF($A764="","",IF($AP764&lt;&gt;"",INDEX(Raw_D1!$C$2:$C$1001,$AP764),IF($AR764&lt;&gt;"",INDEX(Raw_D3!$C$2:$C$1001,$AR764),"")))</f>
        <v>1</v>
      </c>
      <c r="D764" s="5">
        <f>IF($A764="","",IF($AP764&lt;&gt;"",INDEX(Raw_D1!$D$2:$D$1001,$AP764),IF($AR764&lt;&gt;"",INDEX(Raw_D3!$D$2:$D$1001,$AR764),"")))</f>
        <v>0</v>
      </c>
      <c r="E764" s="5">
        <f>IF($A764="","",IF($AP764&lt;&gt;"",INDEX(Raw_D1!$E$2:$E$1001,$AP764),IF($AR764&lt;&gt;"",INDEX(Raw_D3!$E$2:$E$1001,$AR764),"")))</f>
        <v>2</v>
      </c>
      <c r="F764" s="5">
        <f>IF($A764="","",IF($AP764&lt;&gt;"",INDEX(Raw_D1!$F$2:$F$1001,$AP764),IF($AR764&lt;&gt;"",INDEX(Raw_D3!$F$2:$F$1001,$AR764),"")))</f>
        <v>5</v>
      </c>
      <c r="G764" s="5">
        <f>IF($A764="","",IF($AP764&lt;&gt;"",IF(INDEX(Raw_D1!$G$2:$G$1001,$AP764),1,0),IF($AR764&lt;&gt;"",IF(INDEX(Raw_D3!$G$2:$G$1001,$AR764),1,0),"")))</f>
        <v>0</v>
      </c>
      <c r="H764" s="5">
        <f>IF($A764="","",IF($AP764&lt;&gt;"",INDEX(Raw_D1!$H$2:$H$1001,$AP764),IF($AR764&lt;&gt;"",INDEX(Raw_D3!$H$2:$H$1001,$AR764),"")))</f>
        <v>5</v>
      </c>
      <c r="I764" s="5">
        <f>IF($A764="","",IF($AP764&lt;&gt;"",INDEX(Raw_D1!$I$2:$I$1001,$AP764),IF($AR764&lt;&gt;"",INDEX(Raw_D3!$I$2:$I$1001,$AR764),"")))</f>
        <v>2</v>
      </c>
      <c r="J764" s="16">
        <f>IF($A764="","",IF($AP764&lt;&gt;"",INDEX(Raw_D1!$J$2:$J$1001,$AP764),IF($AR764&lt;&gt;"",INDEX(Raw_D3!$J$2:$J$1001,$AR764),"")))</f>
        <v>0.14</v>
      </c>
      <c r="K764" s="17">
        <f>IF($A764="","",IF($AQ764&lt;&gt;"",IF(INDEX(Raw_D2!$C$2:$C$1001,$AQ764)="","",INDEX(Raw_D2!$C$2:$C$1001,$AQ764)),IF($AR764&lt;&gt;"",IF(INDEX(Raw_D3!$K$2:$K$1001,$AR764)="","",INDEX(Raw_D3!$K$2:$K$1001,$AR764)),"")))</f>
        <v>0.1515</v>
      </c>
      <c r="L764" s="16">
        <f>IF($A764="","",IF($AQ764&lt;&gt;"",IF(INDEX(Raw_D2!$D$2:$D$1001,$AQ764)="","",INDEX(Raw_D2!$D$2:$D$1001,$AQ764)),IF($AR764&lt;&gt;"",IF(INDEX(Raw_D3!$L$2:$L$1001,$AR764)="","",INDEX(Raw_D3!$L$2:$L$1001,$AR764)),"")))</f>
        <v>0.63</v>
      </c>
      <c r="M764" s="17">
        <f>IF($A764="","",IF($AQ764&lt;&gt;"",IF(INDEX(Raw_D2!$E$2:$E$1001,$AQ764)="","",INDEX(Raw_D2!$E$2:$E$1001,$AQ764)),IF($AR764&lt;&gt;"",IF(INDEX(Raw_D3!$M$2:$M$1001,$AR764)="","",INDEX(Raw_D3!$M$2:$M$1001,$AR764)),"")))</f>
        <v>0.1343</v>
      </c>
      <c r="N764" s="5">
        <f>IF($A764="","",IF($AQ764&lt;&gt;"",IF(INDEX(Raw_D2!$F$2:$F$1001,$AQ764)="","",INDEX(Raw_D2!$F$2:$F$1001,$AQ764)),IF($AR764&lt;&gt;"",IF(INDEX(Raw_D3!$N$2:$N$1001,$AR764)="","",INDEX(Raw_D3!$N$2:$N$1001,$AR764)),"")))</f>
        <v>0</v>
      </c>
      <c r="O764" s="5">
        <f>IF($A764="","",IF($AQ764&lt;&gt;"",IF(INDEX(Raw_D2!$G$2:$G$1001,$AQ764)="","",INDEX(Raw_D2!$G$2:$G$1001,$AQ764)),IF($AR764&lt;&gt;"",IF(INDEX(Raw_D3!$O$2:$O$1001,$AR764)="","",INDEX(Raw_D3!$O$2:$O$1001,$AR764)),"")))</f>
        <v>7</v>
      </c>
      <c r="P764" s="5">
        <f>IF($A764="","",IF($AQ764&lt;&gt;"",IF(INDEX(Raw_D2!$H$2:$H$1001,$AQ764)="","",INDEX(Raw_D2!$H$2:$H$1001,$AQ764)),IF($AR764&lt;&gt;"",IF(INDEX(Raw_D3!$P$2:$P$1001,$AR764)="","",INDEX(Raw_D3!$P$2:$P$1001,$AR764)),"")))</f>
        <v>7</v>
      </c>
      <c r="Q764" s="5" t="str">
        <f>IF($A764="","",IF(AND($AP764&lt;&gt;"",$AQ764&lt;&gt;""),"D1+D2",IF($AR764&lt;&gt;"","D3","Incomplete")))</f>
        <v>D3</v>
      </c>
      <c r="R764" s="17">
        <f>IF($A764="","",IF($K764="",IF($J764="","",ROUND(Lookups!$K$5+Lookups!$K$4*$J764,4)),$K764))</f>
        <v>0.1515</v>
      </c>
      <c r="S764" s="5" t="str">
        <f>IF($A764="","",IF($K764="","Imputed","Original"))</f>
        <v>Original</v>
      </c>
      <c r="T764" s="5" t="str">
        <f>IF($A764="","",IF($P764="","Missing",IF($P764=$N764+$O764,"OK","Mismatch")))</f>
        <v>OK</v>
      </c>
      <c r="U764" s="5" t="str">
        <f>IF($A764="","",IF(COUNTIF($A$2:$A764,$A764)&gt;1,"Duplicate","Unique"))</f>
        <v>Unique</v>
      </c>
      <c r="V764" s="5">
        <f>IF($A764="","",IF(AND($U764="Unique",ISNUMBER($P764)),1,0))</f>
        <v>1</v>
      </c>
      <c r="W764" s="5" t="str">
        <f>IF($A764="","",IF(OR($H764=0,$H764=6),"Weekend","Weekday"))</f>
        <v>Weekday</v>
      </c>
      <c r="X764" s="5" t="str">
        <f>IF($A764="","",TEXT($B764,"ddd"))</f>
        <v>Fri</v>
      </c>
      <c r="Y764" s="5" t="str">
        <f>IF($A764="","",TEXT($B764,"mmm"))</f>
        <v>Feb</v>
      </c>
      <c r="Z764" s="5" t="str">
        <f>IF($A764="","",IFERROR(VLOOKUP($C764,Lookups!$D$4:$E$7,2,FALSE),"Unknown"))</f>
        <v>Winter</v>
      </c>
      <c r="AA764" s="5" t="str">
        <f>IF($A764="","",IFERROR(VLOOKUP($I764,Lookups!$A$4:$B$7,2,FALSE),"Unknown"))</f>
        <v>Mist/Cloudy</v>
      </c>
      <c r="AB764" s="5" t="str">
        <f>IF($A764="","",TEXT($F764,"00")&amp;":00")</f>
        <v>05:00</v>
      </c>
      <c r="AC764" s="5" t="str">
        <f>IF($A764="","",VLOOKUP($F764,Lookups!$G$4:$H$8,2,TRUE))</f>
        <v>Night (00-05)</v>
      </c>
      <c r="AD764" s="18">
        <f>IF($A764="","",IF($J764="","",ROUND($J764*41,1)))</f>
        <v>5.7</v>
      </c>
      <c r="AE764" s="18">
        <f>IF($A764="","",IF($R764="","",ROUND($R764*50,1)))</f>
        <v>7.6</v>
      </c>
      <c r="AF764" s="5">
        <f>IF($A764="","",IF($L764="","",ROUND($L764*100,0)))</f>
        <v>63</v>
      </c>
      <c r="AG764" s="18">
        <f>IF($A764="","",IF($M764="","",ROUND($M764*67,1)))</f>
        <v>9</v>
      </c>
      <c r="AH764" s="19">
        <f>IF($A764="","",IF($P764="","",IF($P764=0,0,$O764/$P764)))</f>
        <v>1</v>
      </c>
      <c r="AI764" s="5" t="str">
        <f>IF($A764="","",IF($P764="","",IF($P764&gt;=Lookups!$K$7,"High",IF($P764&lt;=Lookups!$K$8,"Low","Medium"))))</f>
        <v>Low</v>
      </c>
      <c r="AJ764" s="5" t="str">
        <f>IF($A764="","",IF($AD764="","",IF($AD764&lt;5,"Under 5 C",IF($AD764&lt;10,"5-10 C",IF($AD764&lt;15,"10-15 C","15 C and above")))))</f>
        <v>5-10 C</v>
      </c>
      <c r="AK764" s="5">
        <f>IF($A764="","",IF($P764="","",$P764^2))</f>
        <v>49</v>
      </c>
      <c r="AL764" s="18">
        <f>IF($V764&lt;&gt;1,"",AVERAGEIFS(Clean_Data!$P$2:$P$1001,Clean_Data!$F$2:$F$1001,$F764,Clean_Data!$W$2:$W$1001,$W764,Clean_Data!$V$2:$V$1001,1))</f>
        <v>4.72413793103448</v>
      </c>
      <c r="AM764" s="16">
        <f>IF($V764&lt;&gt;1,"",IFERROR(($P764-$AL764)/SQRT(MAX(0,(SUMIFS(Clean_Data!$AK$2:$AK$1001,Clean_Data!$F$2:$F$1001,$F764,Clean_Data!$W$2:$W$1001,$W764,Clean_Data!$V$2:$V$1001,1)-COUNTIFS(Clean_Data!$F$2:$F$1001,$F764,Clean_Data!$W$2:$W$1001,$W764,Clean_Data!$V$2:$V$1001,1)*$AL764^2)/(COUNTIFS(Clean_Data!$F$2:$F$1001,$F764,Clean_Data!$W$2:$W$1001,$W764,Clean_Data!$V$2:$V$1001,1)-1))),""))</f>
        <v>0.971083383645754</v>
      </c>
      <c r="AN764" s="5" t="str">
        <f>IF($AM764="","",IF($AM764&gt;=Lookups!$K$6,"High spike",IF($AM764&lt;=-Lookups!$K$6,"Unusual low","Normal")))</f>
        <v>Normal</v>
      </c>
      <c r="AO764" s="20">
        <f>IF($V764&lt;&gt;1,"",$P764+ROW()/100000)</f>
        <v>7.00764</v>
      </c>
      <c r="AP764" s="5">
        <f>IF($A764="","",IFERROR(MATCH($A764,Raw_D1!$A$2:$A$1001,0),""))</f>
        <v/>
      </c>
      <c r="AQ764" s="5">
        <f>IF($A764="","",IFERROR(MATCH($A764,Raw_D2!$B$2:$B$1001,0),""))</f>
        <v/>
      </c>
      <c r="AR764" s="5">
        <f>IF($A764="","",IFERROR(MATCH($A764,Raw_D3!$A$2:$A$1001,0),""))</f>
        <v>144</v>
      </c>
    </row>
    <row r="765" spans="1:44" x14ac:dyDescent="0.25">
      <c r="A765" s="5">
        <v>764</v>
      </c>
      <c r="B765" s="11">
        <f>IF($A765="","",IF($AP765&lt;&gt;"",INDEX(Raw_D1!$B$2:$B$1001,$AP765),IF($AR765&lt;&gt;"",INDEX(Raw_D3!$B$2:$B$1001,$AR765),"")))</f>
        <v>40578.0</v>
      </c>
      <c r="C765" s="5">
        <f>IF($A765="","",IF($AP765&lt;&gt;"",INDEX(Raw_D1!$C$2:$C$1001,$AP765),IF($AR765&lt;&gt;"",INDEX(Raw_D3!$C$2:$C$1001,$AR765),"")))</f>
        <v>1</v>
      </c>
      <c r="D765" s="5">
        <f>IF($A765="","",IF($AP765&lt;&gt;"",INDEX(Raw_D1!$D$2:$D$1001,$AP765),IF($AR765&lt;&gt;"",INDEX(Raw_D3!$D$2:$D$1001,$AR765),"")))</f>
        <v>0</v>
      </c>
      <c r="E765" s="5">
        <f>IF($A765="","",IF($AP765&lt;&gt;"",INDEX(Raw_D1!$E$2:$E$1001,$AP765),IF($AR765&lt;&gt;"",INDEX(Raw_D3!$E$2:$E$1001,$AR765),"")))</f>
        <v>2</v>
      </c>
      <c r="F765" s="5">
        <f>IF($A765="","",IF($AP765&lt;&gt;"",INDEX(Raw_D1!$F$2:$F$1001,$AP765),IF($AR765&lt;&gt;"",INDEX(Raw_D3!$F$2:$F$1001,$AR765),"")))</f>
        <v>6</v>
      </c>
      <c r="G765" s="5">
        <f>IF($A765="","",IF($AP765&lt;&gt;"",IF(INDEX(Raw_D1!$G$2:$G$1001,$AP765),1,0),IF($AR765&lt;&gt;"",IF(INDEX(Raw_D3!$G$2:$G$1001,$AR765),1,0),"")))</f>
        <v>0</v>
      </c>
      <c r="H765" s="5">
        <f>IF($A765="","",IF($AP765&lt;&gt;"",INDEX(Raw_D1!$H$2:$H$1001,$AP765),IF($AR765&lt;&gt;"",INDEX(Raw_D3!$H$2:$H$1001,$AR765),"")))</f>
        <v>5</v>
      </c>
      <c r="I765" s="5">
        <f>IF($A765="","",IF($AP765&lt;&gt;"",INDEX(Raw_D1!$I$2:$I$1001,$AP765),IF($AR765&lt;&gt;"",INDEX(Raw_D3!$I$2:$I$1001,$AR765),"")))</f>
        <v>2</v>
      </c>
      <c r="J765" s="16">
        <f>IF($A765="","",IF($AP765&lt;&gt;"",INDEX(Raw_D1!$J$2:$J$1001,$AP765),IF($AR765&lt;&gt;"",INDEX(Raw_D3!$J$2:$J$1001,$AR765),"")))</f>
        <v>0.16</v>
      </c>
      <c r="K765" s="17">
        <f>IF($A765="","",IF($AQ765&lt;&gt;"",IF(INDEX(Raw_D2!$C$2:$C$1001,$AQ765)="","",INDEX(Raw_D2!$C$2:$C$1001,$AQ765)),IF($AR765&lt;&gt;"",IF(INDEX(Raw_D3!$K$2:$K$1001,$AR765)="","",INDEX(Raw_D3!$K$2:$K$1001,$AR765)),"")))</f>
        <v>0.2273</v>
      </c>
      <c r="L765" s="16">
        <f>IF($A765="","",IF($AQ765&lt;&gt;"",IF(INDEX(Raw_D2!$D$2:$D$1001,$AQ765)="","",INDEX(Raw_D2!$D$2:$D$1001,$AQ765)),IF($AR765&lt;&gt;"",IF(INDEX(Raw_D3!$L$2:$L$1001,$AR765)="","",INDEX(Raw_D3!$L$2:$L$1001,$AR765)),"")))</f>
        <v>0.55</v>
      </c>
      <c r="M765" s="17">
        <f>IF($A765="","",IF($AQ765&lt;&gt;"",IF(INDEX(Raw_D2!$E$2:$E$1001,$AQ765)="","",INDEX(Raw_D2!$E$2:$E$1001,$AQ765)),IF($AR765&lt;&gt;"",IF(INDEX(Raw_D3!$M$2:$M$1001,$AR765)="","",INDEX(Raw_D3!$M$2:$M$1001,$AR765)),"")))</f>
        <v>0</v>
      </c>
      <c r="N765" s="5">
        <f>IF($A765="","",IF($AQ765&lt;&gt;"",IF(INDEX(Raw_D2!$F$2:$F$1001,$AQ765)="","",INDEX(Raw_D2!$F$2:$F$1001,$AQ765)),IF($AR765&lt;&gt;"",IF(INDEX(Raw_D3!$N$2:$N$1001,$AR765)="","",INDEX(Raw_D3!$N$2:$N$1001,$AR765)),"")))</f>
        <v>2</v>
      </c>
      <c r="O765" s="5">
        <f>IF($A765="","",IF($AQ765&lt;&gt;"",IF(INDEX(Raw_D2!$G$2:$G$1001,$AQ765)="","",INDEX(Raw_D2!$G$2:$G$1001,$AQ765)),IF($AR765&lt;&gt;"",IF(INDEX(Raw_D3!$O$2:$O$1001,$AR765)="","",INDEX(Raw_D3!$O$2:$O$1001,$AR765)),"")))</f>
        <v>26</v>
      </c>
      <c r="P765" s="5">
        <f>IF($A765="","",IF($AQ765&lt;&gt;"",IF(INDEX(Raw_D2!$H$2:$H$1001,$AQ765)="","",INDEX(Raw_D2!$H$2:$H$1001,$AQ765)),IF($AR765&lt;&gt;"",IF(INDEX(Raw_D3!$P$2:$P$1001,$AR765)="","",INDEX(Raw_D3!$P$2:$P$1001,$AR765)),"")))</f>
        <v>28</v>
      </c>
      <c r="Q765" s="5" t="str">
        <f>IF($A765="","",IF(AND($AP765&lt;&gt;"",$AQ765&lt;&gt;""),"D1+D2",IF($AR765&lt;&gt;"","D3","Incomplete")))</f>
        <v>D3</v>
      </c>
      <c r="R765" s="17">
        <f>IF($A765="","",IF($K765="",IF($J765="","",ROUND(Lookups!$K$5+Lookups!$K$4*$J765,4)),$K765))</f>
        <v>0.2273</v>
      </c>
      <c r="S765" s="5" t="str">
        <f>IF($A765="","",IF($K765="","Imputed","Original"))</f>
        <v>Original</v>
      </c>
      <c r="T765" s="5" t="str">
        <f>IF($A765="","",IF($P765="","Missing",IF($P765=$N765+$O765,"OK","Mismatch")))</f>
        <v>OK</v>
      </c>
      <c r="U765" s="5" t="str">
        <f>IF($A765="","",IF(COUNTIF($A$2:$A765,$A765)&gt;1,"Duplicate","Unique"))</f>
        <v>Unique</v>
      </c>
      <c r="V765" s="5">
        <f>IF($A765="","",IF(AND($U765="Unique",ISNUMBER($P765)),1,0))</f>
        <v>1</v>
      </c>
      <c r="W765" s="5" t="str">
        <f>IF($A765="","",IF(OR($H765=0,$H765=6),"Weekend","Weekday"))</f>
        <v>Weekday</v>
      </c>
      <c r="X765" s="5" t="str">
        <f>IF($A765="","",TEXT($B765,"ddd"))</f>
        <v>Fri</v>
      </c>
      <c r="Y765" s="5" t="str">
        <f>IF($A765="","",TEXT($B765,"mmm"))</f>
        <v>Feb</v>
      </c>
      <c r="Z765" s="5" t="str">
        <f>IF($A765="","",IFERROR(VLOOKUP($C765,Lookups!$D$4:$E$7,2,FALSE),"Unknown"))</f>
        <v>Winter</v>
      </c>
      <c r="AA765" s="5" t="str">
        <f>IF($A765="","",IFERROR(VLOOKUP($I765,Lookups!$A$4:$B$7,2,FALSE),"Unknown"))</f>
        <v>Mist/Cloudy</v>
      </c>
      <c r="AB765" s="5" t="str">
        <f>IF($A765="","",TEXT($F765,"00")&amp;":00")</f>
        <v>06:00</v>
      </c>
      <c r="AC765" s="5" t="str">
        <f>IF($A765="","",VLOOKUP($F765,Lookups!$G$4:$H$8,2,TRUE))</f>
        <v>Morning Peak (06-09)</v>
      </c>
      <c r="AD765" s="18">
        <f>IF($A765="","",IF($J765="","",ROUND($J765*41,1)))</f>
        <v>6.6</v>
      </c>
      <c r="AE765" s="18">
        <f>IF($A765="","",IF($R765="","",ROUND($R765*50,1)))</f>
        <v>11.4</v>
      </c>
      <c r="AF765" s="5">
        <f>IF($A765="","",IF($L765="","",ROUND($L765*100,0)))</f>
        <v>55</v>
      </c>
      <c r="AG765" s="18">
        <f>IF($A765="","",IF($M765="","",ROUND($M765*67,1)))</f>
        <v>0</v>
      </c>
      <c r="AH765" s="19">
        <f>IF($A765="","",IF($P765="","",IF($P765=0,0,$O765/$P765)))</f>
        <v>0.928571428571429</v>
      </c>
      <c r="AI765" s="5" t="str">
        <f>IF($A765="","",IF($P765="","",IF($P765&gt;=Lookups!$K$7,"High",IF($P765&lt;=Lookups!$K$8,"Low","Medium"))))</f>
        <v>Medium</v>
      </c>
      <c r="AJ765" s="5" t="str">
        <f>IF($A765="","",IF($AD765="","",IF($AD765&lt;5,"Under 5 C",IF($AD765&lt;10,"5-10 C",IF($AD765&lt;15,"10-15 C","15 C and above")))))</f>
        <v>5-10 C</v>
      </c>
      <c r="AK765" s="5">
        <f>IF($A765="","",IF($P765="","",$P765^2))</f>
        <v>784</v>
      </c>
      <c r="AL765" s="18">
        <f>IF($V765&lt;&gt;1,"",AVERAGEIFS(Clean_Data!$P$2:$P$1001,Clean_Data!$F$2:$F$1001,$F765,Clean_Data!$W$2:$W$1001,$W765,Clean_Data!$V$2:$V$1001,1))</f>
        <v>27.3793103448276</v>
      </c>
      <c r="AM765" s="16">
        <f>IF($V765&lt;&gt;1,"",IFERROR(($P765-$AL765)/SQRT(MAX(0,(SUMIFS(Clean_Data!$AK$2:$AK$1001,Clean_Data!$F$2:$F$1001,$F765,Clean_Data!$W$2:$W$1001,$W765,Clean_Data!$V$2:$V$1001,1)-COUNTIFS(Clean_Data!$F$2:$F$1001,$F765,Clean_Data!$W$2:$W$1001,$W765,Clean_Data!$V$2:$V$1001,1)*$AL765^2)/(COUNTIFS(Clean_Data!$F$2:$F$1001,$F765,Clean_Data!$W$2:$W$1001,$W765,Clean_Data!$V$2:$V$1001,1)-1))),""))</f>
        <v>0.0651577268745865</v>
      </c>
      <c r="AN765" s="5" t="str">
        <f>IF($AM765="","",IF($AM765&gt;=Lookups!$K$6,"High spike",IF($AM765&lt;=-Lookups!$K$6,"Unusual low","Normal")))</f>
        <v>Normal</v>
      </c>
      <c r="AO765" s="20">
        <f>IF($V765&lt;&gt;1,"",$P765+ROW()/100000)</f>
        <v>28.00765</v>
      </c>
      <c r="AP765" s="5">
        <f>IF($A765="","",IFERROR(MATCH($A765,Raw_D1!$A$2:$A$1001,0),""))</f>
        <v/>
      </c>
      <c r="AQ765" s="5">
        <f>IF($A765="","",IFERROR(MATCH($A765,Raw_D2!$B$2:$B$1001,0),""))</f>
        <v/>
      </c>
      <c r="AR765" s="5">
        <f>IF($A765="","",IFERROR(MATCH($A765,Raw_D3!$A$2:$A$1001,0),""))</f>
        <v>145</v>
      </c>
    </row>
    <row r="766" spans="1:44" x14ac:dyDescent="0.25">
      <c r="A766" s="5">
        <v>765</v>
      </c>
      <c r="B766" s="11">
        <f>IF($A766="","",IF($AP766&lt;&gt;"",INDEX(Raw_D1!$B$2:$B$1001,$AP766),IF($AR766&lt;&gt;"",INDEX(Raw_D3!$B$2:$B$1001,$AR766),"")))</f>
        <v>40578.0</v>
      </c>
      <c r="C766" s="5">
        <f>IF($A766="","",IF($AP766&lt;&gt;"",INDEX(Raw_D1!$C$2:$C$1001,$AP766),IF($AR766&lt;&gt;"",INDEX(Raw_D3!$C$2:$C$1001,$AR766),"")))</f>
        <v>1</v>
      </c>
      <c r="D766" s="5">
        <f>IF($A766="","",IF($AP766&lt;&gt;"",INDEX(Raw_D1!$D$2:$D$1001,$AP766),IF($AR766&lt;&gt;"",INDEX(Raw_D3!$D$2:$D$1001,$AR766),"")))</f>
        <v>0</v>
      </c>
      <c r="E766" s="5">
        <f>IF($A766="","",IF($AP766&lt;&gt;"",INDEX(Raw_D1!$E$2:$E$1001,$AP766),IF($AR766&lt;&gt;"",INDEX(Raw_D3!$E$2:$E$1001,$AR766),"")))</f>
        <v>2</v>
      </c>
      <c r="F766" s="5">
        <f>IF($A766="","",IF($AP766&lt;&gt;"",INDEX(Raw_D1!$F$2:$F$1001,$AP766),IF($AR766&lt;&gt;"",INDEX(Raw_D3!$F$2:$F$1001,$AR766),"")))</f>
        <v>7</v>
      </c>
      <c r="G766" s="5">
        <f>IF($A766="","",IF($AP766&lt;&gt;"",IF(INDEX(Raw_D1!$G$2:$G$1001,$AP766),1,0),IF($AR766&lt;&gt;"",IF(INDEX(Raw_D3!$G$2:$G$1001,$AR766),1,0),"")))</f>
        <v>0</v>
      </c>
      <c r="H766" s="5">
        <f>IF($A766="","",IF($AP766&lt;&gt;"",INDEX(Raw_D1!$H$2:$H$1001,$AP766),IF($AR766&lt;&gt;"",INDEX(Raw_D3!$H$2:$H$1001,$AR766),"")))</f>
        <v>5</v>
      </c>
      <c r="I766" s="5">
        <f>IF($A766="","",IF($AP766&lt;&gt;"",INDEX(Raw_D1!$I$2:$I$1001,$AP766),IF($AR766&lt;&gt;"",INDEX(Raw_D3!$I$2:$I$1001,$AR766),"")))</f>
        <v>1</v>
      </c>
      <c r="J766" s="16">
        <f>IF($A766="","",IF($AP766&lt;&gt;"",INDEX(Raw_D1!$J$2:$J$1001,$AP766),IF($AR766&lt;&gt;"",INDEX(Raw_D3!$J$2:$J$1001,$AR766),"")))</f>
        <v>0.14</v>
      </c>
      <c r="K766" s="17">
        <f>IF($A766="","",IF($AQ766&lt;&gt;"",IF(INDEX(Raw_D2!$C$2:$C$1001,$AQ766)="","",INDEX(Raw_D2!$C$2:$C$1001,$AQ766)),IF($AR766&lt;&gt;"",IF(INDEX(Raw_D3!$K$2:$K$1001,$AR766)="","",INDEX(Raw_D3!$K$2:$K$1001,$AR766)),"")))</f>
        <v>0.2121</v>
      </c>
      <c r="L766" s="16">
        <f>IF($A766="","",IF($AQ766&lt;&gt;"",IF(INDEX(Raw_D2!$D$2:$D$1001,$AQ766)="","",INDEX(Raw_D2!$D$2:$D$1001,$AQ766)),IF($AR766&lt;&gt;"",IF(INDEX(Raw_D3!$L$2:$L$1001,$AR766)="","",INDEX(Raw_D3!$L$2:$L$1001,$AR766)),"")))</f>
        <v>0.59</v>
      </c>
      <c r="M766" s="17">
        <f>IF($A766="","",IF($AQ766&lt;&gt;"",IF(INDEX(Raw_D2!$E$2:$E$1001,$AQ766)="","",INDEX(Raw_D2!$E$2:$E$1001,$AQ766)),IF($AR766&lt;&gt;"",IF(INDEX(Raw_D3!$M$2:$M$1001,$AR766)="","",INDEX(Raw_D3!$M$2:$M$1001,$AR766)),"")))</f>
        <v>0</v>
      </c>
      <c r="N766" s="5">
        <f>IF($A766="","",IF($AQ766&lt;&gt;"",IF(INDEX(Raw_D2!$F$2:$F$1001,$AQ766)="","",INDEX(Raw_D2!$F$2:$F$1001,$AQ766)),IF($AR766&lt;&gt;"",IF(INDEX(Raw_D3!$N$2:$N$1001,$AR766)="","",INDEX(Raw_D3!$N$2:$N$1001,$AR766)),"")))</f>
        <v>0</v>
      </c>
      <c r="O766" s="5">
        <f>IF($A766="","",IF($AQ766&lt;&gt;"",IF(INDEX(Raw_D2!$G$2:$G$1001,$AQ766)="","",INDEX(Raw_D2!$G$2:$G$1001,$AQ766)),IF($AR766&lt;&gt;"",IF(INDEX(Raw_D3!$O$2:$O$1001,$AR766)="","",INDEX(Raw_D3!$O$2:$O$1001,$AR766)),"")))</f>
        <v>87</v>
      </c>
      <c r="P766" s="5">
        <f>IF($A766="","",IF($AQ766&lt;&gt;"",IF(INDEX(Raw_D2!$H$2:$H$1001,$AQ766)="","",INDEX(Raw_D2!$H$2:$H$1001,$AQ766)),IF($AR766&lt;&gt;"",IF(INDEX(Raw_D3!$P$2:$P$1001,$AR766)="","",INDEX(Raw_D3!$P$2:$P$1001,$AR766)),"")))</f>
        <v>87</v>
      </c>
      <c r="Q766" s="5" t="str">
        <f>IF($A766="","",IF(AND($AP766&lt;&gt;"",$AQ766&lt;&gt;""),"D1+D2",IF($AR766&lt;&gt;"","D3","Incomplete")))</f>
        <v>D3</v>
      </c>
      <c r="R766" s="17">
        <f>IF($A766="","",IF($K766="",IF($J766="","",ROUND(Lookups!$K$5+Lookups!$K$4*$J766,4)),$K766))</f>
        <v>0.2121</v>
      </c>
      <c r="S766" s="5" t="str">
        <f>IF($A766="","",IF($K766="","Imputed","Original"))</f>
        <v>Original</v>
      </c>
      <c r="T766" s="5" t="str">
        <f>IF($A766="","",IF($P766="","Missing",IF($P766=$N766+$O766,"OK","Mismatch")))</f>
        <v>OK</v>
      </c>
      <c r="U766" s="5" t="str">
        <f>IF($A766="","",IF(COUNTIF($A$2:$A766,$A766)&gt;1,"Duplicate","Unique"))</f>
        <v>Unique</v>
      </c>
      <c r="V766" s="5">
        <f>IF($A766="","",IF(AND($U766="Unique",ISNUMBER($P766)),1,0))</f>
        <v>1</v>
      </c>
      <c r="W766" s="5" t="str">
        <f>IF($A766="","",IF(OR($H766=0,$H766=6),"Weekend","Weekday"))</f>
        <v>Weekday</v>
      </c>
      <c r="X766" s="5" t="str">
        <f>IF($A766="","",TEXT($B766,"ddd"))</f>
        <v>Fri</v>
      </c>
      <c r="Y766" s="5" t="str">
        <f>IF($A766="","",TEXT($B766,"mmm"))</f>
        <v>Feb</v>
      </c>
      <c r="Z766" s="5" t="str">
        <f>IF($A766="","",IFERROR(VLOOKUP($C766,Lookups!$D$4:$E$7,2,FALSE),"Unknown"))</f>
        <v>Winter</v>
      </c>
      <c r="AA766" s="5" t="str">
        <f>IF($A766="","",IFERROR(VLOOKUP($I766,Lookups!$A$4:$B$7,2,FALSE),"Unknown"))</f>
        <v>Clear</v>
      </c>
      <c r="AB766" s="5" t="str">
        <f>IF($A766="","",TEXT($F766,"00")&amp;":00")</f>
        <v>07:00</v>
      </c>
      <c r="AC766" s="5" t="str">
        <f>IF($A766="","",VLOOKUP($F766,Lookups!$G$4:$H$8,2,TRUE))</f>
        <v>Morning Peak (06-09)</v>
      </c>
      <c r="AD766" s="18">
        <f>IF($A766="","",IF($J766="","",ROUND($J766*41,1)))</f>
        <v>5.7</v>
      </c>
      <c r="AE766" s="18">
        <f>IF($A766="","",IF($R766="","",ROUND($R766*50,1)))</f>
        <v>10.6</v>
      </c>
      <c r="AF766" s="5">
        <f>IF($A766="","",IF($L766="","",ROUND($L766*100,0)))</f>
        <v>59</v>
      </c>
      <c r="AG766" s="18">
        <f>IF($A766="","",IF($M766="","",ROUND($M766*67,1)))</f>
        <v>0</v>
      </c>
      <c r="AH766" s="19">
        <f>IF($A766="","",IF($P766="","",IF($P766=0,0,$O766/$P766)))</f>
        <v>1</v>
      </c>
      <c r="AI766" s="5" t="str">
        <f>IF($A766="","",IF($P766="","",IF($P766&gt;=Lookups!$K$7,"High",IF($P766&lt;=Lookups!$K$8,"Low","Medium"))))</f>
        <v>High</v>
      </c>
      <c r="AJ766" s="5" t="str">
        <f>IF($A766="","",IF($AD766="","",IF($AD766&lt;5,"Under 5 C",IF($AD766&lt;10,"5-10 C",IF($AD766&lt;15,"10-15 C","15 C and above")))))</f>
        <v>5-10 C</v>
      </c>
      <c r="AK766" s="5">
        <f>IF($A766="","",IF($P766="","",$P766^2))</f>
        <v>7569</v>
      </c>
      <c r="AL766" s="18">
        <f>IF($V766&lt;&gt;1,"",AVERAGEIFS(Clean_Data!$P$2:$P$1001,Clean_Data!$F$2:$F$1001,$F766,Clean_Data!$W$2:$W$1001,$W766,Clean_Data!$V$2:$V$1001,1))</f>
        <v>78.0344827586207</v>
      </c>
      <c r="AM766" s="16">
        <f>IF($V766&lt;&gt;1,"",IFERROR(($P766-$AL766)/SQRT(MAX(0,(SUMIFS(Clean_Data!$AK$2:$AK$1001,Clean_Data!$F$2:$F$1001,$F766,Clean_Data!$W$2:$W$1001,$W766,Clean_Data!$V$2:$V$1001,1)-COUNTIFS(Clean_Data!$F$2:$F$1001,$F766,Clean_Data!$W$2:$W$1001,$W766,Clean_Data!$V$2:$V$1001,1)*$AL766^2)/(COUNTIFS(Clean_Data!$F$2:$F$1001,$F766,Clean_Data!$W$2:$W$1001,$W766,Clean_Data!$V$2:$V$1001,1)-1))),""))</f>
        <v>0.39612740469135</v>
      </c>
      <c r="AN766" s="5" t="str">
        <f>IF($AM766="","",IF($AM766&gt;=Lookups!$K$6,"High spike",IF($AM766&lt;=-Lookups!$K$6,"Unusual low","Normal")))</f>
        <v>Normal</v>
      </c>
      <c r="AO766" s="20">
        <f>IF($V766&lt;&gt;1,"",$P766+ROW()/100000)</f>
        <v>87.00766</v>
      </c>
      <c r="AP766" s="5">
        <f>IF($A766="","",IFERROR(MATCH($A766,Raw_D1!$A$2:$A$1001,0),""))</f>
        <v/>
      </c>
      <c r="AQ766" s="5">
        <f>IF($A766="","",IFERROR(MATCH($A766,Raw_D2!$B$2:$B$1001,0),""))</f>
        <v/>
      </c>
      <c r="AR766" s="5">
        <f>IF($A766="","",IFERROR(MATCH($A766,Raw_D3!$A$2:$A$1001,0),""))</f>
        <v>146</v>
      </c>
    </row>
    <row r="767" spans="1:44" x14ac:dyDescent="0.25">
      <c r="A767" s="5">
        <v>766</v>
      </c>
      <c r="B767" s="11">
        <f>IF($A767="","",IF($AP767&lt;&gt;"",INDEX(Raw_D1!$B$2:$B$1001,$AP767),IF($AR767&lt;&gt;"",INDEX(Raw_D3!$B$2:$B$1001,$AR767),"")))</f>
        <v>40578.0</v>
      </c>
      <c r="C767" s="5">
        <f>IF($A767="","",IF($AP767&lt;&gt;"",INDEX(Raw_D1!$C$2:$C$1001,$AP767),IF($AR767&lt;&gt;"",INDEX(Raw_D3!$C$2:$C$1001,$AR767),"")))</f>
        <v>1</v>
      </c>
      <c r="D767" s="5">
        <f>IF($A767="","",IF($AP767&lt;&gt;"",INDEX(Raw_D1!$D$2:$D$1001,$AP767),IF($AR767&lt;&gt;"",INDEX(Raw_D3!$D$2:$D$1001,$AR767),"")))</f>
        <v>0</v>
      </c>
      <c r="E767" s="5">
        <f>IF($A767="","",IF($AP767&lt;&gt;"",INDEX(Raw_D1!$E$2:$E$1001,$AP767),IF($AR767&lt;&gt;"",INDEX(Raw_D3!$E$2:$E$1001,$AR767),"")))</f>
        <v>2</v>
      </c>
      <c r="F767" s="5">
        <f>IF($A767="","",IF($AP767&lt;&gt;"",INDEX(Raw_D1!$F$2:$F$1001,$AP767),IF($AR767&lt;&gt;"",INDEX(Raw_D3!$F$2:$F$1001,$AR767),"")))</f>
        <v>8</v>
      </c>
      <c r="G767" s="5">
        <f>IF($A767="","",IF($AP767&lt;&gt;"",IF(INDEX(Raw_D1!$G$2:$G$1001,$AP767),1,0),IF($AR767&lt;&gt;"",IF(INDEX(Raw_D3!$G$2:$G$1001,$AR767),1,0),"")))</f>
        <v>0</v>
      </c>
      <c r="H767" s="5">
        <f>IF($A767="","",IF($AP767&lt;&gt;"",INDEX(Raw_D1!$H$2:$H$1001,$AP767),IF($AR767&lt;&gt;"",INDEX(Raw_D3!$H$2:$H$1001,$AR767),"")))</f>
        <v>5</v>
      </c>
      <c r="I767" s="5">
        <f>IF($A767="","",IF($AP767&lt;&gt;"",INDEX(Raw_D1!$I$2:$I$1001,$AP767),IF($AR767&lt;&gt;"",INDEX(Raw_D3!$I$2:$I$1001,$AR767),"")))</f>
        <v>1</v>
      </c>
      <c r="J767" s="16">
        <f>IF($A767="","",IF($AP767&lt;&gt;"",INDEX(Raw_D1!$J$2:$J$1001,$AP767),IF($AR767&lt;&gt;"",INDEX(Raw_D3!$J$2:$J$1001,$AR767),"")))</f>
        <v>0.14</v>
      </c>
      <c r="K767" s="17">
        <f>IF($A767="","",IF($AQ767&lt;&gt;"",IF(INDEX(Raw_D2!$C$2:$C$1001,$AQ767)="","",INDEX(Raw_D2!$C$2:$C$1001,$AQ767)),IF($AR767&lt;&gt;"",IF(INDEX(Raw_D3!$K$2:$K$1001,$AR767)="","",INDEX(Raw_D3!$K$2:$K$1001,$AR767)),"")))</f>
        <v>0.1515</v>
      </c>
      <c r="L767" s="16">
        <f>IF($A767="","",IF($AQ767&lt;&gt;"",IF(INDEX(Raw_D2!$D$2:$D$1001,$AQ767)="","",INDEX(Raw_D2!$D$2:$D$1001,$AQ767)),IF($AR767&lt;&gt;"",IF(INDEX(Raw_D3!$L$2:$L$1001,$AR767)="","",INDEX(Raw_D3!$L$2:$L$1001,$AR767)),"")))</f>
        <v>0.74</v>
      </c>
      <c r="M767" s="17">
        <f>IF($A767="","",IF($AQ767&lt;&gt;"",IF(INDEX(Raw_D2!$E$2:$E$1001,$AQ767)="","",INDEX(Raw_D2!$E$2:$E$1001,$AQ767)),IF($AR767&lt;&gt;"",IF(INDEX(Raw_D3!$M$2:$M$1001,$AR767)="","",INDEX(Raw_D3!$M$2:$M$1001,$AR767)),"")))</f>
        <v>0.1343</v>
      </c>
      <c r="N767" s="5">
        <f>IF($A767="","",IF($AQ767&lt;&gt;"",IF(INDEX(Raw_D2!$F$2:$F$1001,$AQ767)="","",INDEX(Raw_D2!$F$2:$F$1001,$AQ767)),IF($AR767&lt;&gt;"",IF(INDEX(Raw_D3!$N$2:$N$1001,$AR767)="","",INDEX(Raw_D3!$N$2:$N$1001,$AR767)),"")))</f>
        <v>3</v>
      </c>
      <c r="O767" s="5">
        <f>IF($A767="","",IF($AQ767&lt;&gt;"",IF(INDEX(Raw_D2!$G$2:$G$1001,$AQ767)="","",INDEX(Raw_D2!$G$2:$G$1001,$AQ767)),IF($AR767&lt;&gt;"",IF(INDEX(Raw_D3!$O$2:$O$1001,$AR767)="","",INDEX(Raw_D3!$O$2:$O$1001,$AR767)),"")))</f>
        <v>217</v>
      </c>
      <c r="P767" s="5">
        <f>IF($A767="","",IF($AQ767&lt;&gt;"",IF(INDEX(Raw_D2!$H$2:$H$1001,$AQ767)="","",INDEX(Raw_D2!$H$2:$H$1001,$AQ767)),IF($AR767&lt;&gt;"",IF(INDEX(Raw_D3!$P$2:$P$1001,$AR767)="","",INDEX(Raw_D3!$P$2:$P$1001,$AR767)),"")))</f>
        <v>220</v>
      </c>
      <c r="Q767" s="5" t="str">
        <f>IF($A767="","",IF(AND($AP767&lt;&gt;"",$AQ767&lt;&gt;""),"D1+D2",IF($AR767&lt;&gt;"","D3","Incomplete")))</f>
        <v>D3</v>
      </c>
      <c r="R767" s="17">
        <f>IF($A767="","",IF($K767="",IF($J767="","",ROUND(Lookups!$K$5+Lookups!$K$4*$J767,4)),$K767))</f>
        <v>0.1515</v>
      </c>
      <c r="S767" s="5" t="str">
        <f>IF($A767="","",IF($K767="","Imputed","Original"))</f>
        <v>Original</v>
      </c>
      <c r="T767" s="5" t="str">
        <f>IF($A767="","",IF($P767="","Missing",IF($P767=$N767+$O767,"OK","Mismatch")))</f>
        <v>OK</v>
      </c>
      <c r="U767" s="5" t="str">
        <f>IF($A767="","",IF(COUNTIF($A$2:$A767,$A767)&gt;1,"Duplicate","Unique"))</f>
        <v>Unique</v>
      </c>
      <c r="V767" s="5">
        <f>IF($A767="","",IF(AND($U767="Unique",ISNUMBER($P767)),1,0))</f>
        <v>1</v>
      </c>
      <c r="W767" s="5" t="str">
        <f>IF($A767="","",IF(OR($H767=0,$H767=6),"Weekend","Weekday"))</f>
        <v>Weekday</v>
      </c>
      <c r="X767" s="5" t="str">
        <f>IF($A767="","",TEXT($B767,"ddd"))</f>
        <v>Fri</v>
      </c>
      <c r="Y767" s="5" t="str">
        <f>IF($A767="","",TEXT($B767,"mmm"))</f>
        <v>Feb</v>
      </c>
      <c r="Z767" s="5" t="str">
        <f>IF($A767="","",IFERROR(VLOOKUP($C767,Lookups!$D$4:$E$7,2,FALSE),"Unknown"))</f>
        <v>Winter</v>
      </c>
      <c r="AA767" s="5" t="str">
        <f>IF($A767="","",IFERROR(VLOOKUP($I767,Lookups!$A$4:$B$7,2,FALSE),"Unknown"))</f>
        <v>Clear</v>
      </c>
      <c r="AB767" s="5" t="str">
        <f>IF($A767="","",TEXT($F767,"00")&amp;":00")</f>
        <v>08:00</v>
      </c>
      <c r="AC767" s="5" t="str">
        <f>IF($A767="","",VLOOKUP($F767,Lookups!$G$4:$H$8,2,TRUE))</f>
        <v>Morning Peak (06-09)</v>
      </c>
      <c r="AD767" s="18">
        <f>IF($A767="","",IF($J767="","",ROUND($J767*41,1)))</f>
        <v>5.7</v>
      </c>
      <c r="AE767" s="18">
        <f>IF($A767="","",IF($R767="","",ROUND($R767*50,1)))</f>
        <v>7.6</v>
      </c>
      <c r="AF767" s="5">
        <f>IF($A767="","",IF($L767="","",ROUND($L767*100,0)))</f>
        <v>74</v>
      </c>
      <c r="AG767" s="18">
        <f>IF($A767="","",IF($M767="","",ROUND($M767*67,1)))</f>
        <v>9</v>
      </c>
      <c r="AH767" s="19">
        <f>IF($A767="","",IF($P767="","",IF($P767=0,0,$O767/$P767)))</f>
        <v>0.986363636363636</v>
      </c>
      <c r="AI767" s="5" t="str">
        <f>IF($A767="","",IF($P767="","",IF($P767&gt;=Lookups!$K$7,"High",IF($P767&lt;=Lookups!$K$8,"Low","Medium"))))</f>
        <v>High</v>
      </c>
      <c r="AJ767" s="5" t="str">
        <f>IF($A767="","",IF($AD767="","",IF($AD767&lt;5,"Under 5 C",IF($AD767&lt;10,"5-10 C",IF($AD767&lt;15,"10-15 C","15 C and above")))))</f>
        <v>5-10 C</v>
      </c>
      <c r="AK767" s="5">
        <f>IF($A767="","",IF($P767="","",$P767^2))</f>
        <v>48400</v>
      </c>
      <c r="AL767" s="18">
        <f>IF($V767&lt;&gt;1,"",AVERAGEIFS(Clean_Data!$P$2:$P$1001,Clean_Data!$F$2:$F$1001,$F767,Clean_Data!$W$2:$W$1001,$W767,Clean_Data!$V$2:$V$1001,1))</f>
        <v>183.535714285714</v>
      </c>
      <c r="AM767" s="16">
        <f>IF($V767&lt;&gt;1,"",IFERROR(($P767-$AL767)/SQRT(MAX(0,(SUMIFS(Clean_Data!$AK$2:$AK$1001,Clean_Data!$F$2:$F$1001,$F767,Clean_Data!$W$2:$W$1001,$W767,Clean_Data!$V$2:$V$1001,1)-COUNTIFS(Clean_Data!$F$2:$F$1001,$F767,Clean_Data!$W$2:$W$1001,$W767,Clean_Data!$V$2:$V$1001,1)*$AL767^2)/(COUNTIFS(Clean_Data!$F$2:$F$1001,$F767,Clean_Data!$W$2:$W$1001,$W767,Clean_Data!$V$2:$V$1001,1)-1))),""))</f>
        <v>0.748138234490082</v>
      </c>
      <c r="AN767" s="5" t="str">
        <f>IF($AM767="","",IF($AM767&gt;=Lookups!$K$6,"High spike",IF($AM767&lt;=-Lookups!$K$6,"Unusual low","Normal")))</f>
        <v>Normal</v>
      </c>
      <c r="AO767" s="20">
        <f>IF($V767&lt;&gt;1,"",$P767+ROW()/100000)</f>
        <v>220.00767</v>
      </c>
      <c r="AP767" s="5">
        <f>IF($A767="","",IFERROR(MATCH($A767,Raw_D1!$A$2:$A$1001,0),""))</f>
        <v/>
      </c>
      <c r="AQ767" s="5">
        <f>IF($A767="","",IFERROR(MATCH($A767,Raw_D2!$B$2:$B$1001,0),""))</f>
        <v/>
      </c>
      <c r="AR767" s="5">
        <f>IF($A767="","",IFERROR(MATCH($A767,Raw_D3!$A$2:$A$1001,0),""))</f>
        <v>147</v>
      </c>
    </row>
    <row r="768" spans="1:44" x14ac:dyDescent="0.25">
      <c r="A768" s="5">
        <v>767</v>
      </c>
      <c r="B768" s="11">
        <f>IF($A768="","",IF($AP768&lt;&gt;"",INDEX(Raw_D1!$B$2:$B$1001,$AP768),IF($AR768&lt;&gt;"",INDEX(Raw_D3!$B$2:$B$1001,$AR768),"")))</f>
        <v>40578.0</v>
      </c>
      <c r="C768" s="5">
        <f>IF($A768="","",IF($AP768&lt;&gt;"",INDEX(Raw_D1!$C$2:$C$1001,$AP768),IF($AR768&lt;&gt;"",INDEX(Raw_D3!$C$2:$C$1001,$AR768),"")))</f>
        <v>1</v>
      </c>
      <c r="D768" s="5">
        <f>IF($A768="","",IF($AP768&lt;&gt;"",INDEX(Raw_D1!$D$2:$D$1001,$AP768),IF($AR768&lt;&gt;"",INDEX(Raw_D3!$D$2:$D$1001,$AR768),"")))</f>
        <v>0</v>
      </c>
      <c r="E768" s="5">
        <f>IF($A768="","",IF($AP768&lt;&gt;"",INDEX(Raw_D1!$E$2:$E$1001,$AP768),IF($AR768&lt;&gt;"",INDEX(Raw_D3!$E$2:$E$1001,$AR768),"")))</f>
        <v>2</v>
      </c>
      <c r="F768" s="5">
        <f>IF($A768="","",IF($AP768&lt;&gt;"",INDEX(Raw_D1!$F$2:$F$1001,$AP768),IF($AR768&lt;&gt;"",INDEX(Raw_D3!$F$2:$F$1001,$AR768),"")))</f>
        <v>9</v>
      </c>
      <c r="G768" s="5">
        <f>IF($A768="","",IF($AP768&lt;&gt;"",IF(INDEX(Raw_D1!$G$2:$G$1001,$AP768),1,0),IF($AR768&lt;&gt;"",IF(INDEX(Raw_D3!$G$2:$G$1001,$AR768),1,0),"")))</f>
        <v>0</v>
      </c>
      <c r="H768" s="5">
        <f>IF($A768="","",IF($AP768&lt;&gt;"",INDEX(Raw_D1!$H$2:$H$1001,$AP768),IF($AR768&lt;&gt;"",INDEX(Raw_D3!$H$2:$H$1001,$AR768),"")))</f>
        <v>5</v>
      </c>
      <c r="I768" s="5">
        <f>IF($A768="","",IF($AP768&lt;&gt;"",INDEX(Raw_D1!$I$2:$I$1001,$AP768),IF($AR768&lt;&gt;"",INDEX(Raw_D3!$I$2:$I$1001,$AR768),"")))</f>
        <v>2</v>
      </c>
      <c r="J768" s="16">
        <f>IF($A768="","",IF($AP768&lt;&gt;"",INDEX(Raw_D1!$J$2:$J$1001,$AP768),IF($AR768&lt;&gt;"",INDEX(Raw_D3!$J$2:$J$1001,$AR768),"")))</f>
        <v>0.16</v>
      </c>
      <c r="K768" s="17">
        <f>IF($A768="","",IF($AQ768&lt;&gt;"",IF(INDEX(Raw_D2!$C$2:$C$1001,$AQ768)="","",INDEX(Raw_D2!$C$2:$C$1001,$AQ768)),IF($AR768&lt;&gt;"",IF(INDEX(Raw_D3!$K$2:$K$1001,$AR768)="","",INDEX(Raw_D3!$K$2:$K$1001,$AR768)),"")))</f>
        <v>0.1818</v>
      </c>
      <c r="L768" s="16">
        <f>IF($A768="","",IF($AQ768&lt;&gt;"",IF(INDEX(Raw_D2!$D$2:$D$1001,$AQ768)="","",INDEX(Raw_D2!$D$2:$D$1001,$AQ768)),IF($AR768&lt;&gt;"",IF(INDEX(Raw_D3!$L$2:$L$1001,$AR768)="","",INDEX(Raw_D3!$L$2:$L$1001,$AR768)),"")))</f>
        <v>0.8</v>
      </c>
      <c r="M768" s="17">
        <f>IF($A768="","",IF($AQ768&lt;&gt;"",IF(INDEX(Raw_D2!$E$2:$E$1001,$AQ768)="","",INDEX(Raw_D2!$E$2:$E$1001,$AQ768)),IF($AR768&lt;&gt;"",IF(INDEX(Raw_D3!$M$2:$M$1001,$AR768)="","",INDEX(Raw_D3!$M$2:$M$1001,$AR768)),"")))</f>
        <v>0.1343</v>
      </c>
      <c r="N768" s="5">
        <f>IF($A768="","",IF($AQ768&lt;&gt;"",IF(INDEX(Raw_D2!$F$2:$F$1001,$AQ768)="","",INDEX(Raw_D2!$F$2:$F$1001,$AQ768)),IF($AR768&lt;&gt;"",IF(INDEX(Raw_D3!$N$2:$N$1001,$AR768)="","",INDEX(Raw_D3!$N$2:$N$1001,$AR768)),"")))</f>
        <v>3</v>
      </c>
      <c r="O768" s="5">
        <f>IF($A768="","",IF($AQ768&lt;&gt;"",IF(INDEX(Raw_D2!$G$2:$G$1001,$AQ768)="","",INDEX(Raw_D2!$G$2:$G$1001,$AQ768)),IF($AR768&lt;&gt;"",IF(INDEX(Raw_D3!$O$2:$O$1001,$AR768)="","",INDEX(Raw_D3!$O$2:$O$1001,$AR768)),"")))</f>
        <v>124</v>
      </c>
      <c r="P768" s="5">
        <f>IF($A768="","",IF($AQ768&lt;&gt;"",IF(INDEX(Raw_D2!$H$2:$H$1001,$AQ768)="","",INDEX(Raw_D2!$H$2:$H$1001,$AQ768)),IF($AR768&lt;&gt;"",IF(INDEX(Raw_D3!$P$2:$P$1001,$AR768)="","",INDEX(Raw_D3!$P$2:$P$1001,$AR768)),"")))</f>
        <v>127</v>
      </c>
      <c r="Q768" s="5" t="str">
        <f>IF($A768="","",IF(AND($AP768&lt;&gt;"",$AQ768&lt;&gt;""),"D1+D2",IF($AR768&lt;&gt;"","D3","Incomplete")))</f>
        <v>D3</v>
      </c>
      <c r="R768" s="17">
        <f>IF($A768="","",IF($K768="",IF($J768="","",ROUND(Lookups!$K$5+Lookups!$K$4*$J768,4)),$K768))</f>
        <v>0.1818</v>
      </c>
      <c r="S768" s="5" t="str">
        <f>IF($A768="","",IF($K768="","Imputed","Original"))</f>
        <v>Original</v>
      </c>
      <c r="T768" s="5" t="str">
        <f>IF($A768="","",IF($P768="","Missing",IF($P768=$N768+$O768,"OK","Mismatch")))</f>
        <v>OK</v>
      </c>
      <c r="U768" s="5" t="str">
        <f>IF($A768="","",IF(COUNTIF($A$2:$A768,$A768)&gt;1,"Duplicate","Unique"))</f>
        <v>Unique</v>
      </c>
      <c r="V768" s="5">
        <f>IF($A768="","",IF(AND($U768="Unique",ISNUMBER($P768)),1,0))</f>
        <v>1</v>
      </c>
      <c r="W768" s="5" t="str">
        <f>IF($A768="","",IF(OR($H768=0,$H768=6),"Weekend","Weekday"))</f>
        <v>Weekday</v>
      </c>
      <c r="X768" s="5" t="str">
        <f>IF($A768="","",TEXT($B768,"ddd"))</f>
        <v>Fri</v>
      </c>
      <c r="Y768" s="5" t="str">
        <f>IF($A768="","",TEXT($B768,"mmm"))</f>
        <v>Feb</v>
      </c>
      <c r="Z768" s="5" t="str">
        <f>IF($A768="","",IFERROR(VLOOKUP($C768,Lookups!$D$4:$E$7,2,FALSE),"Unknown"))</f>
        <v>Winter</v>
      </c>
      <c r="AA768" s="5" t="str">
        <f>IF($A768="","",IFERROR(VLOOKUP($I768,Lookups!$A$4:$B$7,2,FALSE),"Unknown"))</f>
        <v>Mist/Cloudy</v>
      </c>
      <c r="AB768" s="5" t="str">
        <f>IF($A768="","",TEXT($F768,"00")&amp;":00")</f>
        <v>09:00</v>
      </c>
      <c r="AC768" s="5" t="str">
        <f>IF($A768="","",VLOOKUP($F768,Lookups!$G$4:$H$8,2,TRUE))</f>
        <v>Morning Peak (06-09)</v>
      </c>
      <c r="AD768" s="18">
        <f>IF($A768="","",IF($J768="","",ROUND($J768*41,1)))</f>
        <v>6.6</v>
      </c>
      <c r="AE768" s="18">
        <f>IF($A768="","",IF($R768="","",ROUND($R768*50,1)))</f>
        <v>9.1</v>
      </c>
      <c r="AF768" s="5">
        <f>IF($A768="","",IF($L768="","",ROUND($L768*100,0)))</f>
        <v>80</v>
      </c>
      <c r="AG768" s="18">
        <f>IF($A768="","",IF($M768="","",ROUND($M768*67,1)))</f>
        <v>9</v>
      </c>
      <c r="AH768" s="19">
        <f>IF($A768="","",IF($P768="","",IF($P768=0,0,$O768/$P768)))</f>
        <v>0.976377952755906</v>
      </c>
      <c r="AI768" s="5" t="str">
        <f>IF($A768="","",IF($P768="","",IF($P768&gt;=Lookups!$K$7,"High",IF($P768&lt;=Lookups!$K$8,"Low","Medium"))))</f>
        <v>High</v>
      </c>
      <c r="AJ768" s="5" t="str">
        <f>IF($A768="","",IF($AD768="","",IF($AD768&lt;5,"Under 5 C",IF($AD768&lt;10,"5-10 C",IF($AD768&lt;15,"10-15 C","15 C and above")))))</f>
        <v>5-10 C</v>
      </c>
      <c r="AK768" s="5">
        <f>IF($A768="","",IF($P768="","",$P768^2))</f>
        <v>16129</v>
      </c>
      <c r="AL768" s="18">
        <f>IF($V768&lt;&gt;1,"",AVERAGEIFS(Clean_Data!$P$2:$P$1001,Clean_Data!$F$2:$F$1001,$F768,Clean_Data!$W$2:$W$1001,$W768,Clean_Data!$V$2:$V$1001,1))</f>
        <v>115.678571428571</v>
      </c>
      <c r="AM768" s="16">
        <f>IF($V768&lt;&gt;1,"",IFERROR(($P768-$AL768)/SQRT(MAX(0,(SUMIFS(Clean_Data!$AK$2:$AK$1001,Clean_Data!$F$2:$F$1001,$F768,Clean_Data!$W$2:$W$1001,$W768,Clean_Data!$V$2:$V$1001,1)-COUNTIFS(Clean_Data!$F$2:$F$1001,$F768,Clean_Data!$W$2:$W$1001,$W768,Clean_Data!$V$2:$V$1001,1)*$AL768^2)/(COUNTIFS(Clean_Data!$F$2:$F$1001,$F768,Clean_Data!$W$2:$W$1001,$W768,Clean_Data!$V$2:$V$1001,1)-1))),""))</f>
        <v>0.439183878857704</v>
      </c>
      <c r="AN768" s="5" t="str">
        <f>IF($AM768="","",IF($AM768&gt;=Lookups!$K$6,"High spike",IF($AM768&lt;=-Lookups!$K$6,"Unusual low","Normal")))</f>
        <v>Normal</v>
      </c>
      <c r="AO768" s="20">
        <f>IF($V768&lt;&gt;1,"",$P768+ROW()/100000)</f>
        <v>127.00768</v>
      </c>
      <c r="AP768" s="5">
        <f>IF($A768="","",IFERROR(MATCH($A768,Raw_D1!$A$2:$A$1001,0),""))</f>
        <v/>
      </c>
      <c r="AQ768" s="5">
        <f>IF($A768="","",IFERROR(MATCH($A768,Raw_D2!$B$2:$B$1001,0),""))</f>
        <v/>
      </c>
      <c r="AR768" s="5">
        <f>IF($A768="","",IFERROR(MATCH($A768,Raw_D3!$A$2:$A$1001,0),""))</f>
        <v>148</v>
      </c>
    </row>
    <row r="769" spans="1:44" x14ac:dyDescent="0.25">
      <c r="A769" s="5">
        <v>768</v>
      </c>
      <c r="B769" s="11">
        <f>IF($A769="","",IF($AP769&lt;&gt;"",INDEX(Raw_D1!$B$2:$B$1001,$AP769),IF($AR769&lt;&gt;"",INDEX(Raw_D3!$B$2:$B$1001,$AR769),"")))</f>
        <v>40578.0</v>
      </c>
      <c r="C769" s="5">
        <f>IF($A769="","",IF($AP769&lt;&gt;"",INDEX(Raw_D1!$C$2:$C$1001,$AP769),IF($AR769&lt;&gt;"",INDEX(Raw_D3!$C$2:$C$1001,$AR769),"")))</f>
        <v>1</v>
      </c>
      <c r="D769" s="5">
        <f>IF($A769="","",IF($AP769&lt;&gt;"",INDEX(Raw_D1!$D$2:$D$1001,$AP769),IF($AR769&lt;&gt;"",INDEX(Raw_D3!$D$2:$D$1001,$AR769),"")))</f>
        <v>0</v>
      </c>
      <c r="E769" s="5">
        <f>IF($A769="","",IF($AP769&lt;&gt;"",INDEX(Raw_D1!$E$2:$E$1001,$AP769),IF($AR769&lt;&gt;"",INDEX(Raw_D3!$E$2:$E$1001,$AR769),"")))</f>
        <v>2</v>
      </c>
      <c r="F769" s="5">
        <f>IF($A769="","",IF($AP769&lt;&gt;"",INDEX(Raw_D1!$F$2:$F$1001,$AP769),IF($AR769&lt;&gt;"",INDEX(Raw_D3!$F$2:$F$1001,$AR769),"")))</f>
        <v>10</v>
      </c>
      <c r="G769" s="5">
        <f>IF($A769="","",IF($AP769&lt;&gt;"",IF(INDEX(Raw_D1!$G$2:$G$1001,$AP769),1,0),IF($AR769&lt;&gt;"",IF(INDEX(Raw_D3!$G$2:$G$1001,$AR769),1,0),"")))</f>
        <v>0</v>
      </c>
      <c r="H769" s="5">
        <f>IF($A769="","",IF($AP769&lt;&gt;"",INDEX(Raw_D1!$H$2:$H$1001,$AP769),IF($AR769&lt;&gt;"",INDEX(Raw_D3!$H$2:$H$1001,$AR769),"")))</f>
        <v>5</v>
      </c>
      <c r="I769" s="5">
        <f>IF($A769="","",IF($AP769&lt;&gt;"",INDEX(Raw_D1!$I$2:$I$1001,$AP769),IF($AR769&lt;&gt;"",INDEX(Raw_D3!$I$2:$I$1001,$AR769),"")))</f>
        <v>2</v>
      </c>
      <c r="J769" s="16">
        <f>IF($A769="","",IF($AP769&lt;&gt;"",INDEX(Raw_D1!$J$2:$J$1001,$AP769),IF($AR769&lt;&gt;"",INDEX(Raw_D3!$J$2:$J$1001,$AR769),"")))</f>
        <v>0.2</v>
      </c>
      <c r="K769" s="17">
        <f>IF($A769="","",IF($AQ769&lt;&gt;"",IF(INDEX(Raw_D2!$C$2:$C$1001,$AQ769)="","",INDEX(Raw_D2!$C$2:$C$1001,$AQ769)),IF($AR769&lt;&gt;"",IF(INDEX(Raw_D3!$K$2:$K$1001,$AR769)="","",INDEX(Raw_D3!$K$2:$K$1001,$AR769)),"")))</f>
        <v>0.2121</v>
      </c>
      <c r="L769" s="16">
        <f>IF($A769="","",IF($AQ769&lt;&gt;"",IF(INDEX(Raw_D2!$D$2:$D$1001,$AQ769)="","",INDEX(Raw_D2!$D$2:$D$1001,$AQ769)),IF($AR769&lt;&gt;"",IF(INDEX(Raw_D3!$L$2:$L$1001,$AR769)="","",INDEX(Raw_D3!$L$2:$L$1001,$AR769)),"")))</f>
        <v>0.51</v>
      </c>
      <c r="M769" s="17">
        <f>IF($A769="","",IF($AQ769&lt;&gt;"",IF(INDEX(Raw_D2!$E$2:$E$1001,$AQ769)="","",INDEX(Raw_D2!$E$2:$E$1001,$AQ769)),IF($AR769&lt;&gt;"",IF(INDEX(Raw_D3!$M$2:$M$1001,$AR769)="","",INDEX(Raw_D3!$M$2:$M$1001,$AR769)),"")))</f>
        <v>0.1343</v>
      </c>
      <c r="N769" s="5">
        <f>IF($A769="","",IF($AQ769&lt;&gt;"",IF(INDEX(Raw_D2!$F$2:$F$1001,$AQ769)="","",INDEX(Raw_D2!$F$2:$F$1001,$AQ769)),IF($AR769&lt;&gt;"",IF(INDEX(Raw_D3!$N$2:$N$1001,$AR769)="","",INDEX(Raw_D3!$N$2:$N$1001,$AR769)),"")))</f>
        <v>5</v>
      </c>
      <c r="O769" s="5">
        <f>IF($A769="","",IF($AQ769&lt;&gt;"",IF(INDEX(Raw_D2!$G$2:$G$1001,$AQ769)="","",INDEX(Raw_D2!$G$2:$G$1001,$AQ769)),IF($AR769&lt;&gt;"",IF(INDEX(Raw_D3!$O$2:$O$1001,$AR769)="","",INDEX(Raw_D3!$O$2:$O$1001,$AR769)),"")))</f>
        <v>46</v>
      </c>
      <c r="P769" s="5">
        <f>IF($A769="","",IF($AQ769&lt;&gt;"",IF(INDEX(Raw_D2!$H$2:$H$1001,$AQ769)="","",INDEX(Raw_D2!$H$2:$H$1001,$AQ769)),IF($AR769&lt;&gt;"",IF(INDEX(Raw_D3!$P$2:$P$1001,$AR769)="","",INDEX(Raw_D3!$P$2:$P$1001,$AR769)),"")))</f>
        <v>51</v>
      </c>
      <c r="Q769" s="5" t="str">
        <f>IF($A769="","",IF(AND($AP769&lt;&gt;"",$AQ769&lt;&gt;""),"D1+D2",IF($AR769&lt;&gt;"","D3","Incomplete")))</f>
        <v>D3</v>
      </c>
      <c r="R769" s="17">
        <f>IF($A769="","",IF($K769="",IF($J769="","",ROUND(Lookups!$K$5+Lookups!$K$4*$J769,4)),$K769))</f>
        <v>0.2121</v>
      </c>
      <c r="S769" s="5" t="str">
        <f>IF($A769="","",IF($K769="","Imputed","Original"))</f>
        <v>Original</v>
      </c>
      <c r="T769" s="5" t="str">
        <f>IF($A769="","",IF($P769="","Missing",IF($P769=$N769+$O769,"OK","Mismatch")))</f>
        <v>OK</v>
      </c>
      <c r="U769" s="5" t="str">
        <f>IF($A769="","",IF(COUNTIF($A$2:$A769,$A769)&gt;1,"Duplicate","Unique"))</f>
        <v>Unique</v>
      </c>
      <c r="V769" s="5">
        <f>IF($A769="","",IF(AND($U769="Unique",ISNUMBER($P769)),1,0))</f>
        <v>1</v>
      </c>
      <c r="W769" s="5" t="str">
        <f>IF($A769="","",IF(OR($H769=0,$H769=6),"Weekend","Weekday"))</f>
        <v>Weekday</v>
      </c>
      <c r="X769" s="5" t="str">
        <f>IF($A769="","",TEXT($B769,"ddd"))</f>
        <v>Fri</v>
      </c>
      <c r="Y769" s="5" t="str">
        <f>IF($A769="","",TEXT($B769,"mmm"))</f>
        <v>Feb</v>
      </c>
      <c r="Z769" s="5" t="str">
        <f>IF($A769="","",IFERROR(VLOOKUP($C769,Lookups!$D$4:$E$7,2,FALSE),"Unknown"))</f>
        <v>Winter</v>
      </c>
      <c r="AA769" s="5" t="str">
        <f>IF($A769="","",IFERROR(VLOOKUP($I769,Lookups!$A$4:$B$7,2,FALSE),"Unknown"))</f>
        <v>Mist/Cloudy</v>
      </c>
      <c r="AB769" s="5" t="str">
        <f>IF($A769="","",TEXT($F769,"00")&amp;":00")</f>
        <v>10:00</v>
      </c>
      <c r="AC769" s="5" t="str">
        <f>IF($A769="","",VLOOKUP($F769,Lookups!$G$4:$H$8,2,TRUE))</f>
        <v>Midday (10-15)</v>
      </c>
      <c r="AD769" s="18">
        <f>IF($A769="","",IF($J769="","",ROUND($J769*41,1)))</f>
        <v>8.2</v>
      </c>
      <c r="AE769" s="18">
        <f>IF($A769="","",IF($R769="","",ROUND($R769*50,1)))</f>
        <v>10.6</v>
      </c>
      <c r="AF769" s="5">
        <f>IF($A769="","",IF($L769="","",ROUND($L769*100,0)))</f>
        <v>51</v>
      </c>
      <c r="AG769" s="18">
        <f>IF($A769="","",IF($M769="","",ROUND($M769*67,1)))</f>
        <v>9</v>
      </c>
      <c r="AH769" s="19">
        <f>IF($A769="","",IF($P769="","",IF($P769=0,0,$O769/$P769)))</f>
        <v>0.901960784313726</v>
      </c>
      <c r="AI769" s="5" t="str">
        <f>IF($A769="","",IF($P769="","",IF($P769&gt;=Lookups!$K$7,"High",IF($P769&lt;=Lookups!$K$8,"Low","Medium"))))</f>
        <v>Medium</v>
      </c>
      <c r="AJ769" s="5" t="str">
        <f>IF($A769="","",IF($AD769="","",IF($AD769&lt;5,"Under 5 C",IF($AD769&lt;10,"5-10 C",IF($AD769&lt;15,"10-15 C","15 C and above")))))</f>
        <v>5-10 C</v>
      </c>
      <c r="AK769" s="5">
        <f>IF($A769="","",IF($P769="","",$P769^2))</f>
        <v>2601</v>
      </c>
      <c r="AL769" s="18">
        <f>IF($V769&lt;&gt;1,"",AVERAGEIFS(Clean_Data!$P$2:$P$1001,Clean_Data!$F$2:$F$1001,$F769,Clean_Data!$W$2:$W$1001,$W769,Clean_Data!$V$2:$V$1001,1))</f>
        <v>49.0714285714286</v>
      </c>
      <c r="AM769" s="16">
        <f>IF($V769&lt;&gt;1,"",IFERROR(($P769-$AL769)/SQRT(MAX(0,(SUMIFS(Clean_Data!$AK$2:$AK$1001,Clean_Data!$F$2:$F$1001,$F769,Clean_Data!$W$2:$W$1001,$W769,Clean_Data!$V$2:$V$1001,1)-COUNTIFS(Clean_Data!$F$2:$F$1001,$F769,Clean_Data!$W$2:$W$1001,$W769,Clean_Data!$V$2:$V$1001,1)*$AL769^2)/(COUNTIFS(Clean_Data!$F$2:$F$1001,$F769,Clean_Data!$W$2:$W$1001,$W769,Clean_Data!$V$2:$V$1001,1)-1))),""))</f>
        <v>0.191100817240416</v>
      </c>
      <c r="AN769" s="5" t="str">
        <f>IF($AM769="","",IF($AM769&gt;=Lookups!$K$6,"High spike",IF($AM769&lt;=-Lookups!$K$6,"Unusual low","Normal")))</f>
        <v>Normal</v>
      </c>
      <c r="AO769" s="20">
        <f>IF($V769&lt;&gt;1,"",$P769+ROW()/100000)</f>
        <v>51.00769</v>
      </c>
      <c r="AP769" s="5">
        <f>IF($A769="","",IFERROR(MATCH($A769,Raw_D1!$A$2:$A$1001,0),""))</f>
        <v/>
      </c>
      <c r="AQ769" s="5">
        <f>IF($A769="","",IFERROR(MATCH($A769,Raw_D2!$B$2:$B$1001,0),""))</f>
        <v/>
      </c>
      <c r="AR769" s="5">
        <f>IF($A769="","",IFERROR(MATCH($A769,Raw_D3!$A$2:$A$1001,0),""))</f>
        <v>149</v>
      </c>
    </row>
    <row r="770" spans="1:44" x14ac:dyDescent="0.25">
      <c r="A770" s="5">
        <v>769</v>
      </c>
      <c r="B770" s="11">
        <f>IF($A770="","",IF($AP770&lt;&gt;"",INDEX(Raw_D1!$B$2:$B$1001,$AP770),IF($AR770&lt;&gt;"",INDEX(Raw_D3!$B$2:$B$1001,$AR770),"")))</f>
        <v>40578.0</v>
      </c>
      <c r="C770" s="5">
        <f>IF($A770="","",IF($AP770&lt;&gt;"",INDEX(Raw_D1!$C$2:$C$1001,$AP770),IF($AR770&lt;&gt;"",INDEX(Raw_D3!$C$2:$C$1001,$AR770),"")))</f>
        <v>1</v>
      </c>
      <c r="D770" s="5">
        <f>IF($A770="","",IF($AP770&lt;&gt;"",INDEX(Raw_D1!$D$2:$D$1001,$AP770),IF($AR770&lt;&gt;"",INDEX(Raw_D3!$D$2:$D$1001,$AR770),"")))</f>
        <v>0</v>
      </c>
      <c r="E770" s="5">
        <f>IF($A770="","",IF($AP770&lt;&gt;"",INDEX(Raw_D1!$E$2:$E$1001,$AP770),IF($AR770&lt;&gt;"",INDEX(Raw_D3!$E$2:$E$1001,$AR770),"")))</f>
        <v>2</v>
      </c>
      <c r="F770" s="5">
        <f>IF($A770="","",IF($AP770&lt;&gt;"",INDEX(Raw_D1!$F$2:$F$1001,$AP770),IF($AR770&lt;&gt;"",INDEX(Raw_D3!$F$2:$F$1001,$AR770),"")))</f>
        <v>11</v>
      </c>
      <c r="G770" s="5">
        <f>IF($A770="","",IF($AP770&lt;&gt;"",IF(INDEX(Raw_D1!$G$2:$G$1001,$AP770),1,0),IF($AR770&lt;&gt;"",IF(INDEX(Raw_D3!$G$2:$G$1001,$AR770),1,0),"")))</f>
        <v>0</v>
      </c>
      <c r="H770" s="5">
        <f>IF($A770="","",IF($AP770&lt;&gt;"",INDEX(Raw_D1!$H$2:$H$1001,$AP770),IF($AR770&lt;&gt;"",INDEX(Raw_D3!$H$2:$H$1001,$AR770),"")))</f>
        <v>5</v>
      </c>
      <c r="I770" s="5">
        <f>IF($A770="","",IF($AP770&lt;&gt;"",INDEX(Raw_D1!$I$2:$I$1001,$AP770),IF($AR770&lt;&gt;"",INDEX(Raw_D3!$I$2:$I$1001,$AR770),"")))</f>
        <v>1</v>
      </c>
      <c r="J770" s="16">
        <f>IF($A770="","",IF($AP770&lt;&gt;"",INDEX(Raw_D1!$J$2:$J$1001,$AP770),IF($AR770&lt;&gt;"",INDEX(Raw_D3!$J$2:$J$1001,$AR770),"")))</f>
        <v>0.22</v>
      </c>
      <c r="K770" s="17">
        <f>IF($A770="","",IF($AQ770&lt;&gt;"",IF(INDEX(Raw_D2!$C$2:$C$1001,$AQ770)="","",INDEX(Raw_D2!$C$2:$C$1001,$AQ770)),IF($AR770&lt;&gt;"",IF(INDEX(Raw_D3!$K$2:$K$1001,$AR770)="","",INDEX(Raw_D3!$K$2:$K$1001,$AR770)),"")))</f>
        <v>0.2273</v>
      </c>
      <c r="L770" s="16">
        <f>IF($A770="","",IF($AQ770&lt;&gt;"",IF(INDEX(Raw_D2!$D$2:$D$1001,$AQ770)="","",INDEX(Raw_D2!$D$2:$D$1001,$AQ770)),IF($AR770&lt;&gt;"",IF(INDEX(Raw_D3!$L$2:$L$1001,$AR770)="","",INDEX(Raw_D3!$L$2:$L$1001,$AR770)),"")))</f>
        <v>0.51</v>
      </c>
      <c r="M770" s="17">
        <f>IF($A770="","",IF($AQ770&lt;&gt;"",IF(INDEX(Raw_D2!$E$2:$E$1001,$AQ770)="","",INDEX(Raw_D2!$E$2:$E$1001,$AQ770)),IF($AR770&lt;&gt;"",IF(INDEX(Raw_D3!$M$2:$M$1001,$AR770)="","",INDEX(Raw_D3!$M$2:$M$1001,$AR770)),"")))</f>
        <v>0.1642</v>
      </c>
      <c r="N770" s="5">
        <f>IF($A770="","",IF($AQ770&lt;&gt;"",IF(INDEX(Raw_D2!$F$2:$F$1001,$AQ770)="","",INDEX(Raw_D2!$F$2:$F$1001,$AQ770)),IF($AR770&lt;&gt;"",IF(INDEX(Raw_D3!$N$2:$N$1001,$AR770)="","",INDEX(Raw_D3!$N$2:$N$1001,$AR770)),"")))</f>
        <v>3</v>
      </c>
      <c r="O770" s="5">
        <f>IF($A770="","",IF($AQ770&lt;&gt;"",IF(INDEX(Raw_D2!$G$2:$G$1001,$AQ770)="","",INDEX(Raw_D2!$G$2:$G$1001,$AQ770)),IF($AR770&lt;&gt;"",IF(INDEX(Raw_D3!$O$2:$O$1001,$AR770)="","",INDEX(Raw_D3!$O$2:$O$1001,$AR770)),"")))</f>
        <v>61</v>
      </c>
      <c r="P770" s="5">
        <f>IF($A770="","",IF($AQ770&lt;&gt;"",IF(INDEX(Raw_D2!$H$2:$H$1001,$AQ770)="","",INDEX(Raw_D2!$H$2:$H$1001,$AQ770)),IF($AR770&lt;&gt;"",IF(INDEX(Raw_D3!$P$2:$P$1001,$AR770)="","",INDEX(Raw_D3!$P$2:$P$1001,$AR770)),"")))</f>
        <v>64</v>
      </c>
      <c r="Q770" s="5" t="str">
        <f>IF($A770="","",IF(AND($AP770&lt;&gt;"",$AQ770&lt;&gt;""),"D1+D2",IF($AR770&lt;&gt;"","D3","Incomplete")))</f>
        <v>D3</v>
      </c>
      <c r="R770" s="17">
        <f>IF($A770="","",IF($K770="",IF($J770="","",ROUND(Lookups!$K$5+Lookups!$K$4*$J770,4)),$K770))</f>
        <v>0.2273</v>
      </c>
      <c r="S770" s="5" t="str">
        <f>IF($A770="","",IF($K770="","Imputed","Original"))</f>
        <v>Original</v>
      </c>
      <c r="T770" s="5" t="str">
        <f>IF($A770="","",IF($P770="","Missing",IF($P770=$N770+$O770,"OK","Mismatch")))</f>
        <v>OK</v>
      </c>
      <c r="U770" s="5" t="str">
        <f>IF($A770="","",IF(COUNTIF($A$2:$A770,$A770)&gt;1,"Duplicate","Unique"))</f>
        <v>Unique</v>
      </c>
      <c r="V770" s="5">
        <f>IF($A770="","",IF(AND($U770="Unique",ISNUMBER($P770)),1,0))</f>
        <v>1</v>
      </c>
      <c r="W770" s="5" t="str">
        <f>IF($A770="","",IF(OR($H770=0,$H770=6),"Weekend","Weekday"))</f>
        <v>Weekday</v>
      </c>
      <c r="X770" s="5" t="str">
        <f>IF($A770="","",TEXT($B770,"ddd"))</f>
        <v>Fri</v>
      </c>
      <c r="Y770" s="5" t="str">
        <f>IF($A770="","",TEXT($B770,"mmm"))</f>
        <v>Feb</v>
      </c>
      <c r="Z770" s="5" t="str">
        <f>IF($A770="","",IFERROR(VLOOKUP($C770,Lookups!$D$4:$E$7,2,FALSE),"Unknown"))</f>
        <v>Winter</v>
      </c>
      <c r="AA770" s="5" t="str">
        <f>IF($A770="","",IFERROR(VLOOKUP($I770,Lookups!$A$4:$B$7,2,FALSE),"Unknown"))</f>
        <v>Clear</v>
      </c>
      <c r="AB770" s="5" t="str">
        <f>IF($A770="","",TEXT($F770,"00")&amp;":00")</f>
        <v>11:00</v>
      </c>
      <c r="AC770" s="5" t="str">
        <f>IF($A770="","",VLOOKUP($F770,Lookups!$G$4:$H$8,2,TRUE))</f>
        <v>Midday (10-15)</v>
      </c>
      <c r="AD770" s="18">
        <f>IF($A770="","",IF($J770="","",ROUND($J770*41,1)))</f>
        <v>9</v>
      </c>
      <c r="AE770" s="18">
        <f>IF($A770="","",IF($R770="","",ROUND($R770*50,1)))</f>
        <v>11.4</v>
      </c>
      <c r="AF770" s="5">
        <f>IF($A770="","",IF($L770="","",ROUND($L770*100,0)))</f>
        <v>51</v>
      </c>
      <c r="AG770" s="18">
        <f>IF($A770="","",IF($M770="","",ROUND($M770*67,1)))</f>
        <v>11</v>
      </c>
      <c r="AH770" s="19">
        <f>IF($A770="","",IF($P770="","",IF($P770=0,0,$O770/$P770)))</f>
        <v>0.953125</v>
      </c>
      <c r="AI770" s="5" t="str">
        <f>IF($A770="","",IF($P770="","",IF($P770&gt;=Lookups!$K$7,"High",IF($P770&lt;=Lookups!$K$8,"Low","Medium"))))</f>
        <v>Medium</v>
      </c>
      <c r="AJ770" s="5" t="str">
        <f>IF($A770="","",IF($AD770="","",IF($AD770&lt;5,"Under 5 C",IF($AD770&lt;10,"5-10 C",IF($AD770&lt;15,"10-15 C","15 C and above")))))</f>
        <v>5-10 C</v>
      </c>
      <c r="AK770" s="5">
        <f>IF($A770="","",IF($P770="","",$P770^2))</f>
        <v>4096</v>
      </c>
      <c r="AL770" s="18">
        <f>IF($V770&lt;&gt;1,"",AVERAGEIFS(Clean_Data!$P$2:$P$1001,Clean_Data!$F$2:$F$1001,$F770,Clean_Data!$W$2:$W$1001,$W770,Clean_Data!$V$2:$V$1001,1))</f>
        <v>50.6071428571429</v>
      </c>
      <c r="AM770" s="16">
        <f>IF($V770&lt;&gt;1,"",IFERROR(($P770-$AL770)/SQRT(MAX(0,(SUMIFS(Clean_Data!$AK$2:$AK$1001,Clean_Data!$F$2:$F$1001,$F770,Clean_Data!$W$2:$W$1001,$W770,Clean_Data!$V$2:$V$1001,1)-COUNTIFS(Clean_Data!$F$2:$F$1001,$F770,Clean_Data!$W$2:$W$1001,$W770,Clean_Data!$V$2:$V$1001,1)*$AL770^2)/(COUNTIFS(Clean_Data!$F$2:$F$1001,$F770,Clean_Data!$W$2:$W$1001,$W770,Clean_Data!$V$2:$V$1001,1)-1))),""))</f>
        <v>1.19547343587792</v>
      </c>
      <c r="AN770" s="5" t="str">
        <f>IF($AM770="","",IF($AM770&gt;=Lookups!$K$6,"High spike",IF($AM770&lt;=-Lookups!$K$6,"Unusual low","Normal")))</f>
        <v>Normal</v>
      </c>
      <c r="AO770" s="20">
        <f>IF($V770&lt;&gt;1,"",$P770+ROW()/100000)</f>
        <v>64.0077</v>
      </c>
      <c r="AP770" s="5">
        <f>IF($A770="","",IFERROR(MATCH($A770,Raw_D1!$A$2:$A$1001,0),""))</f>
        <v/>
      </c>
      <c r="AQ770" s="5">
        <f>IF($A770="","",IFERROR(MATCH($A770,Raw_D2!$B$2:$B$1001,0),""))</f>
        <v/>
      </c>
      <c r="AR770" s="5">
        <f>IF($A770="","",IFERROR(MATCH($A770,Raw_D3!$A$2:$A$1001,0),""))</f>
        <v>150</v>
      </c>
    </row>
    <row r="771" spans="1:44" x14ac:dyDescent="0.25">
      <c r="A771" s="5">
        <v>770</v>
      </c>
      <c r="B771" s="11">
        <f>IF($A771="","",IF($AP771&lt;&gt;"",INDEX(Raw_D1!$B$2:$B$1001,$AP771),IF($AR771&lt;&gt;"",INDEX(Raw_D3!$B$2:$B$1001,$AR771),"")))</f>
        <v>40578.0</v>
      </c>
      <c r="C771" s="5">
        <f>IF($A771="","",IF($AP771&lt;&gt;"",INDEX(Raw_D1!$C$2:$C$1001,$AP771),IF($AR771&lt;&gt;"",INDEX(Raw_D3!$C$2:$C$1001,$AR771),"")))</f>
        <v>1</v>
      </c>
      <c r="D771" s="5">
        <f>IF($A771="","",IF($AP771&lt;&gt;"",INDEX(Raw_D1!$D$2:$D$1001,$AP771),IF($AR771&lt;&gt;"",INDEX(Raw_D3!$D$2:$D$1001,$AR771),"")))</f>
        <v>0</v>
      </c>
      <c r="E771" s="5">
        <f>IF($A771="","",IF($AP771&lt;&gt;"",INDEX(Raw_D1!$E$2:$E$1001,$AP771),IF($AR771&lt;&gt;"",INDEX(Raw_D3!$E$2:$E$1001,$AR771),"")))</f>
        <v>2</v>
      </c>
      <c r="F771" s="5">
        <f>IF($A771="","",IF($AP771&lt;&gt;"",INDEX(Raw_D1!$F$2:$F$1001,$AP771),IF($AR771&lt;&gt;"",INDEX(Raw_D3!$F$2:$F$1001,$AR771),"")))</f>
        <v>12</v>
      </c>
      <c r="G771" s="5">
        <f>IF($A771="","",IF($AP771&lt;&gt;"",IF(INDEX(Raw_D1!$G$2:$G$1001,$AP771),1,0),IF($AR771&lt;&gt;"",IF(INDEX(Raw_D3!$G$2:$G$1001,$AR771),1,0),"")))</f>
        <v>0</v>
      </c>
      <c r="H771" s="5">
        <f>IF($A771="","",IF($AP771&lt;&gt;"",INDEX(Raw_D1!$H$2:$H$1001,$AP771),IF($AR771&lt;&gt;"",INDEX(Raw_D3!$H$2:$H$1001,$AR771),"")))</f>
        <v>5</v>
      </c>
      <c r="I771" s="5">
        <f>IF($A771="","",IF($AP771&lt;&gt;"",INDEX(Raw_D1!$I$2:$I$1001,$AP771),IF($AR771&lt;&gt;"",INDEX(Raw_D3!$I$2:$I$1001,$AR771),"")))</f>
        <v>2</v>
      </c>
      <c r="J771" s="16">
        <f>IF($A771="","",IF($AP771&lt;&gt;"",INDEX(Raw_D1!$J$2:$J$1001,$AP771),IF($AR771&lt;&gt;"",INDEX(Raw_D3!$J$2:$J$1001,$AR771),"")))</f>
        <v>0.24</v>
      </c>
      <c r="K771" s="17">
        <f>IF($A771="","",IF($AQ771&lt;&gt;"",IF(INDEX(Raw_D2!$C$2:$C$1001,$AQ771)="","",INDEX(Raw_D2!$C$2:$C$1001,$AQ771)),IF($AR771&lt;&gt;"",IF(INDEX(Raw_D3!$K$2:$K$1001,$AR771)="","",INDEX(Raw_D3!$K$2:$K$1001,$AR771)),"")))</f>
        <v>0.2424</v>
      </c>
      <c r="L771" s="16">
        <f>IF($A771="","",IF($AQ771&lt;&gt;"",IF(INDEX(Raw_D2!$D$2:$D$1001,$AQ771)="","",INDEX(Raw_D2!$D$2:$D$1001,$AQ771)),IF($AR771&lt;&gt;"",IF(INDEX(Raw_D3!$L$2:$L$1001,$AR771)="","",INDEX(Raw_D3!$L$2:$L$1001,$AR771)),"")))</f>
        <v>0.48</v>
      </c>
      <c r="M771" s="17">
        <f>IF($A771="","",IF($AQ771&lt;&gt;"",IF(INDEX(Raw_D2!$E$2:$E$1001,$AQ771)="","",INDEX(Raw_D2!$E$2:$E$1001,$AQ771)),IF($AR771&lt;&gt;"",IF(INDEX(Raw_D3!$M$2:$M$1001,$AR771)="","",INDEX(Raw_D3!$M$2:$M$1001,$AR771)),"")))</f>
        <v>0.1642</v>
      </c>
      <c r="N771" s="5">
        <f>IF($A771="","",IF($AQ771&lt;&gt;"",IF(INDEX(Raw_D2!$F$2:$F$1001,$AQ771)="","",INDEX(Raw_D2!$F$2:$F$1001,$AQ771)),IF($AR771&lt;&gt;"",IF(INDEX(Raw_D3!$N$2:$N$1001,$AR771)="","",INDEX(Raw_D3!$N$2:$N$1001,$AR771)),"")))</f>
        <v>8</v>
      </c>
      <c r="O771" s="5">
        <f>IF($A771="","",IF($AQ771&lt;&gt;"",IF(INDEX(Raw_D2!$G$2:$G$1001,$AQ771)="","",INDEX(Raw_D2!$G$2:$G$1001,$AQ771)),IF($AR771&lt;&gt;"",IF(INDEX(Raw_D3!$O$2:$O$1001,$AR771)="","",INDEX(Raw_D3!$O$2:$O$1001,$AR771)),"")))</f>
        <v>78</v>
      </c>
      <c r="P771" s="5">
        <f>IF($A771="","",IF($AQ771&lt;&gt;"",IF(INDEX(Raw_D2!$H$2:$H$1001,$AQ771)="","",INDEX(Raw_D2!$H$2:$H$1001,$AQ771)),IF($AR771&lt;&gt;"",IF(INDEX(Raw_D3!$P$2:$P$1001,$AR771)="","",INDEX(Raw_D3!$P$2:$P$1001,$AR771)),"")))</f>
        <v>86</v>
      </c>
      <c r="Q771" s="5" t="str">
        <f>IF($A771="","",IF(AND($AP771&lt;&gt;"",$AQ771&lt;&gt;""),"D1+D2",IF($AR771&lt;&gt;"","D3","Incomplete")))</f>
        <v>D3</v>
      </c>
      <c r="R771" s="17">
        <f>IF($A771="","",IF($K771="",IF($J771="","",ROUND(Lookups!$K$5+Lookups!$K$4*$J771,4)),$K771))</f>
        <v>0.2424</v>
      </c>
      <c r="S771" s="5" t="str">
        <f>IF($A771="","",IF($K771="","Imputed","Original"))</f>
        <v>Original</v>
      </c>
      <c r="T771" s="5" t="str">
        <f>IF($A771="","",IF($P771="","Missing",IF($P771=$N771+$O771,"OK","Mismatch")))</f>
        <v>OK</v>
      </c>
      <c r="U771" s="5" t="str">
        <f>IF($A771="","",IF(COUNTIF($A$2:$A771,$A771)&gt;1,"Duplicate","Unique"))</f>
        <v>Unique</v>
      </c>
      <c r="V771" s="5">
        <f>IF($A771="","",IF(AND($U771="Unique",ISNUMBER($P771)),1,0))</f>
        <v>1</v>
      </c>
      <c r="W771" s="5" t="str">
        <f>IF($A771="","",IF(OR($H771=0,$H771=6),"Weekend","Weekday"))</f>
        <v>Weekday</v>
      </c>
      <c r="X771" s="5" t="str">
        <f>IF($A771="","",TEXT($B771,"ddd"))</f>
        <v>Fri</v>
      </c>
      <c r="Y771" s="5" t="str">
        <f>IF($A771="","",TEXT($B771,"mmm"))</f>
        <v>Feb</v>
      </c>
      <c r="Z771" s="5" t="str">
        <f>IF($A771="","",IFERROR(VLOOKUP($C771,Lookups!$D$4:$E$7,2,FALSE),"Unknown"))</f>
        <v>Winter</v>
      </c>
      <c r="AA771" s="5" t="str">
        <f>IF($A771="","",IFERROR(VLOOKUP($I771,Lookups!$A$4:$B$7,2,FALSE),"Unknown"))</f>
        <v>Mist/Cloudy</v>
      </c>
      <c r="AB771" s="5" t="str">
        <f>IF($A771="","",TEXT($F771,"00")&amp;":00")</f>
        <v>12:00</v>
      </c>
      <c r="AC771" s="5" t="str">
        <f>IF($A771="","",VLOOKUP($F771,Lookups!$G$4:$H$8,2,TRUE))</f>
        <v>Midday (10-15)</v>
      </c>
      <c r="AD771" s="18">
        <f>IF($A771="","",IF($J771="","",ROUND($J771*41,1)))</f>
        <v>9.8</v>
      </c>
      <c r="AE771" s="18">
        <f>IF($A771="","",IF($R771="","",ROUND($R771*50,1)))</f>
        <v>12.1</v>
      </c>
      <c r="AF771" s="5">
        <f>IF($A771="","",IF($L771="","",ROUND($L771*100,0)))</f>
        <v>48</v>
      </c>
      <c r="AG771" s="18">
        <f>IF($A771="","",IF($M771="","",ROUND($M771*67,1)))</f>
        <v>11</v>
      </c>
      <c r="AH771" s="19">
        <f>IF($A771="","",IF($P771="","",IF($P771=0,0,$O771/$P771)))</f>
        <v>0.906976744186047</v>
      </c>
      <c r="AI771" s="5" t="str">
        <f>IF($A771="","",IF($P771="","",IF($P771&gt;=Lookups!$K$7,"High",IF($P771&lt;=Lookups!$K$8,"Low","Medium"))))</f>
        <v>High</v>
      </c>
      <c r="AJ771" s="5" t="str">
        <f>IF($A771="","",IF($AD771="","",IF($AD771&lt;5,"Under 5 C",IF($AD771&lt;10,"5-10 C",IF($AD771&lt;15,"10-15 C","15 C and above")))))</f>
        <v>5-10 C</v>
      </c>
      <c r="AK771" s="5">
        <f>IF($A771="","",IF($P771="","",$P771^2))</f>
        <v>7396</v>
      </c>
      <c r="AL771" s="18">
        <f>IF($V771&lt;&gt;1,"",AVERAGEIFS(Clean_Data!$P$2:$P$1001,Clean_Data!$F$2:$F$1001,$F771,Clean_Data!$W$2:$W$1001,$W771,Clean_Data!$V$2:$V$1001,1))</f>
        <v>64.5862068965517</v>
      </c>
      <c r="AM771" s="16">
        <f>IF($V771&lt;&gt;1,"",IFERROR(($P771-$AL771)/SQRT(MAX(0,(SUMIFS(Clean_Data!$AK$2:$AK$1001,Clean_Data!$F$2:$F$1001,$F771,Clean_Data!$W$2:$W$1001,$W771,Clean_Data!$V$2:$V$1001,1)-COUNTIFS(Clean_Data!$F$2:$F$1001,$F771,Clean_Data!$W$2:$W$1001,$W771,Clean_Data!$V$2:$V$1001,1)*$AL771^2)/(COUNTIFS(Clean_Data!$F$2:$F$1001,$F771,Clean_Data!$W$2:$W$1001,$W771,Clean_Data!$V$2:$V$1001,1)-1))),""))</f>
        <v>1.14338897430249</v>
      </c>
      <c r="AN771" s="5" t="str">
        <f>IF($AM771="","",IF($AM771&gt;=Lookups!$K$6,"High spike",IF($AM771&lt;=-Lookups!$K$6,"Unusual low","Normal")))</f>
        <v>Normal</v>
      </c>
      <c r="AO771" s="20">
        <f>IF($V771&lt;&gt;1,"",$P771+ROW()/100000)</f>
        <v>86.00771</v>
      </c>
      <c r="AP771" s="5">
        <f>IF($A771="","",IFERROR(MATCH($A771,Raw_D1!$A$2:$A$1001,0),""))</f>
        <v/>
      </c>
      <c r="AQ771" s="5">
        <f>IF($A771="","",IFERROR(MATCH($A771,Raw_D2!$B$2:$B$1001,0),""))</f>
        <v/>
      </c>
      <c r="AR771" s="5">
        <f>IF($A771="","",IFERROR(MATCH($A771,Raw_D3!$A$2:$A$1001,0),""))</f>
        <v>151</v>
      </c>
    </row>
    <row r="772" spans="1:44" x14ac:dyDescent="0.25">
      <c r="A772" s="5">
        <v>771</v>
      </c>
      <c r="B772" s="11">
        <f>IF($A772="","",IF($AP772&lt;&gt;"",INDEX(Raw_D1!$B$2:$B$1001,$AP772),IF($AR772&lt;&gt;"",INDEX(Raw_D3!$B$2:$B$1001,$AR772),"")))</f>
        <v>40578.0</v>
      </c>
      <c r="C772" s="5">
        <f>IF($A772="","",IF($AP772&lt;&gt;"",INDEX(Raw_D1!$C$2:$C$1001,$AP772),IF($AR772&lt;&gt;"",INDEX(Raw_D3!$C$2:$C$1001,$AR772),"")))</f>
        <v>1</v>
      </c>
      <c r="D772" s="5">
        <f>IF($A772="","",IF($AP772&lt;&gt;"",INDEX(Raw_D1!$D$2:$D$1001,$AP772),IF($AR772&lt;&gt;"",INDEX(Raw_D3!$D$2:$D$1001,$AR772),"")))</f>
        <v>0</v>
      </c>
      <c r="E772" s="5">
        <f>IF($A772="","",IF($AP772&lt;&gt;"",INDEX(Raw_D1!$E$2:$E$1001,$AP772),IF($AR772&lt;&gt;"",INDEX(Raw_D3!$E$2:$E$1001,$AR772),"")))</f>
        <v>2</v>
      </c>
      <c r="F772" s="5">
        <f>IF($A772="","",IF($AP772&lt;&gt;"",INDEX(Raw_D1!$F$2:$F$1001,$AP772),IF($AR772&lt;&gt;"",INDEX(Raw_D3!$F$2:$F$1001,$AR772),"")))</f>
        <v>13</v>
      </c>
      <c r="G772" s="5">
        <f>IF($A772="","",IF($AP772&lt;&gt;"",IF(INDEX(Raw_D1!$G$2:$G$1001,$AP772),1,0),IF($AR772&lt;&gt;"",IF(INDEX(Raw_D3!$G$2:$G$1001,$AR772),1,0),"")))</f>
        <v>0</v>
      </c>
      <c r="H772" s="5">
        <f>IF($A772="","",IF($AP772&lt;&gt;"",INDEX(Raw_D1!$H$2:$H$1001,$AP772),IF($AR772&lt;&gt;"",INDEX(Raw_D3!$H$2:$H$1001,$AR772),"")))</f>
        <v>5</v>
      </c>
      <c r="I772" s="5">
        <f>IF($A772="","",IF($AP772&lt;&gt;"",INDEX(Raw_D1!$I$2:$I$1001,$AP772),IF($AR772&lt;&gt;"",INDEX(Raw_D3!$I$2:$I$1001,$AR772),"")))</f>
        <v>2</v>
      </c>
      <c r="J772" s="16">
        <f>IF($A772="","",IF($AP772&lt;&gt;"",INDEX(Raw_D1!$J$2:$J$1001,$AP772),IF($AR772&lt;&gt;"",INDEX(Raw_D3!$J$2:$J$1001,$AR772),"")))</f>
        <v>0.26</v>
      </c>
      <c r="K772" s="17">
        <f>IF($A772="","",IF($AQ772&lt;&gt;"",IF(INDEX(Raw_D2!$C$2:$C$1001,$AQ772)="","",INDEX(Raw_D2!$C$2:$C$1001,$AQ772)),IF($AR772&lt;&gt;"",IF(INDEX(Raw_D3!$K$2:$K$1001,$AR772)="","",INDEX(Raw_D3!$K$2:$K$1001,$AR772)),"")))</f>
        <v>0.2576</v>
      </c>
      <c r="L772" s="16">
        <f>IF($A772="","",IF($AQ772&lt;&gt;"",IF(INDEX(Raw_D2!$D$2:$D$1001,$AQ772)="","",INDEX(Raw_D2!$D$2:$D$1001,$AQ772)),IF($AR772&lt;&gt;"",IF(INDEX(Raw_D3!$L$2:$L$1001,$AR772)="","",INDEX(Raw_D3!$L$2:$L$1001,$AR772)),"")))</f>
        <v>0.5</v>
      </c>
      <c r="M772" s="17">
        <f>IF($A772="","",IF($AQ772&lt;&gt;"",IF(INDEX(Raw_D2!$E$2:$E$1001,$AQ772)="","",INDEX(Raw_D2!$E$2:$E$1001,$AQ772)),IF($AR772&lt;&gt;"",IF(INDEX(Raw_D3!$M$2:$M$1001,$AR772)="","",INDEX(Raw_D3!$M$2:$M$1001,$AR772)),"")))</f>
        <v>0.2239</v>
      </c>
      <c r="N772" s="5">
        <f>IF($A772="","",IF($AQ772&lt;&gt;"",IF(INDEX(Raw_D2!$F$2:$F$1001,$AQ772)="","",INDEX(Raw_D2!$F$2:$F$1001,$AQ772)),IF($AR772&lt;&gt;"",IF(INDEX(Raw_D3!$N$2:$N$1001,$AR772)="","",INDEX(Raw_D3!$N$2:$N$1001,$AR772)),"")))</f>
        <v>9</v>
      </c>
      <c r="O772" s="5">
        <f>IF($A772="","",IF($AQ772&lt;&gt;"",IF(INDEX(Raw_D2!$G$2:$G$1001,$AQ772)="","",INDEX(Raw_D2!$G$2:$G$1001,$AQ772)),IF($AR772&lt;&gt;"",IF(INDEX(Raw_D3!$O$2:$O$1001,$AR772)="","",INDEX(Raw_D3!$O$2:$O$1001,$AR772)),"")))</f>
        <v>73</v>
      </c>
      <c r="P772" s="5">
        <f>IF($A772="","",IF($AQ772&lt;&gt;"",IF(INDEX(Raw_D2!$H$2:$H$1001,$AQ772)="","",INDEX(Raw_D2!$H$2:$H$1001,$AQ772)),IF($AR772&lt;&gt;"",IF(INDEX(Raw_D3!$P$2:$P$1001,$AR772)="","",INDEX(Raw_D3!$P$2:$P$1001,$AR772)),"")))</f>
        <v>82</v>
      </c>
      <c r="Q772" s="5" t="str">
        <f>IF($A772="","",IF(AND($AP772&lt;&gt;"",$AQ772&lt;&gt;""),"D1+D2",IF($AR772&lt;&gt;"","D3","Incomplete")))</f>
        <v>D3</v>
      </c>
      <c r="R772" s="17">
        <f>IF($A772="","",IF($K772="",IF($J772="","",ROUND(Lookups!$K$5+Lookups!$K$4*$J772,4)),$K772))</f>
        <v>0.2576</v>
      </c>
      <c r="S772" s="5" t="str">
        <f>IF($A772="","",IF($K772="","Imputed","Original"))</f>
        <v>Original</v>
      </c>
      <c r="T772" s="5" t="str">
        <f>IF($A772="","",IF($P772="","Missing",IF($P772=$N772+$O772,"OK","Mismatch")))</f>
        <v>OK</v>
      </c>
      <c r="U772" s="5" t="str">
        <f>IF($A772="","",IF(COUNTIF($A$2:$A772,$A772)&gt;1,"Duplicate","Unique"))</f>
        <v>Unique</v>
      </c>
      <c r="V772" s="5">
        <f>IF($A772="","",IF(AND($U772="Unique",ISNUMBER($P772)),1,0))</f>
        <v>1</v>
      </c>
      <c r="W772" s="5" t="str">
        <f>IF($A772="","",IF(OR($H772=0,$H772=6),"Weekend","Weekday"))</f>
        <v>Weekday</v>
      </c>
      <c r="X772" s="5" t="str">
        <f>IF($A772="","",TEXT($B772,"ddd"))</f>
        <v>Fri</v>
      </c>
      <c r="Y772" s="5" t="str">
        <f>IF($A772="","",TEXT($B772,"mmm"))</f>
        <v>Feb</v>
      </c>
      <c r="Z772" s="5" t="str">
        <f>IF($A772="","",IFERROR(VLOOKUP($C772,Lookups!$D$4:$E$7,2,FALSE),"Unknown"))</f>
        <v>Winter</v>
      </c>
      <c r="AA772" s="5" t="str">
        <f>IF($A772="","",IFERROR(VLOOKUP($I772,Lookups!$A$4:$B$7,2,FALSE),"Unknown"))</f>
        <v>Mist/Cloudy</v>
      </c>
      <c r="AB772" s="5" t="str">
        <f>IF($A772="","",TEXT($F772,"00")&amp;":00")</f>
        <v>13:00</v>
      </c>
      <c r="AC772" s="5" t="str">
        <f>IF($A772="","",VLOOKUP($F772,Lookups!$G$4:$H$8,2,TRUE))</f>
        <v>Midday (10-15)</v>
      </c>
      <c r="AD772" s="18">
        <f>IF($A772="","",IF($J772="","",ROUND($J772*41,1)))</f>
        <v>10.7</v>
      </c>
      <c r="AE772" s="18">
        <f>IF($A772="","",IF($R772="","",ROUND($R772*50,1)))</f>
        <v>12.9</v>
      </c>
      <c r="AF772" s="5">
        <f>IF($A772="","",IF($L772="","",ROUND($L772*100,0)))</f>
        <v>50</v>
      </c>
      <c r="AG772" s="18">
        <f>IF($A772="","",IF($M772="","",ROUND($M772*67,1)))</f>
        <v>15</v>
      </c>
      <c r="AH772" s="19">
        <f>IF($A772="","",IF($P772="","",IF($P772=0,0,$O772/$P772)))</f>
        <v>0.890243902439024</v>
      </c>
      <c r="AI772" s="5" t="str">
        <f>IF($A772="","",IF($P772="","",IF($P772&gt;=Lookups!$K$7,"High",IF($P772&lt;=Lookups!$K$8,"Low","Medium"))))</f>
        <v>Medium</v>
      </c>
      <c r="AJ772" s="5" t="str">
        <f>IF($A772="","",IF($AD772="","",IF($AD772&lt;5,"Under 5 C",IF($AD772&lt;10,"5-10 C",IF($AD772&lt;15,"10-15 C","15 C and above")))))</f>
        <v>10-15 C</v>
      </c>
      <c r="AK772" s="5">
        <f>IF($A772="","",IF($P772="","",$P772^2))</f>
        <v>6724</v>
      </c>
      <c r="AL772" s="18">
        <f>IF($V772&lt;&gt;1,"",AVERAGEIFS(Clean_Data!$P$2:$P$1001,Clean_Data!$F$2:$F$1001,$F772,Clean_Data!$W$2:$W$1001,$W772,Clean_Data!$V$2:$V$1001,1))</f>
        <v>67.1724137931034</v>
      </c>
      <c r="AM772" s="16">
        <f>IF($V772&lt;&gt;1,"",IFERROR(($P772-$AL772)/SQRT(MAX(0,(SUMIFS(Clean_Data!$AK$2:$AK$1001,Clean_Data!$F$2:$F$1001,$F772,Clean_Data!$W$2:$W$1001,$W772,Clean_Data!$V$2:$V$1001,1)-COUNTIFS(Clean_Data!$F$2:$F$1001,$F772,Clean_Data!$W$2:$W$1001,$W772,Clean_Data!$V$2:$V$1001,1)*$AL772^2)/(COUNTIFS(Clean_Data!$F$2:$F$1001,$F772,Clean_Data!$W$2:$W$1001,$W772,Clean_Data!$V$2:$V$1001,1)-1))),""))</f>
        <v>0.73432763049843</v>
      </c>
      <c r="AN772" s="5" t="str">
        <f>IF($AM772="","",IF($AM772&gt;=Lookups!$K$6,"High spike",IF($AM772&lt;=-Lookups!$K$6,"Unusual low","Normal")))</f>
        <v>Normal</v>
      </c>
      <c r="AO772" s="20">
        <f>IF($V772&lt;&gt;1,"",$P772+ROW()/100000)</f>
        <v>82.00772</v>
      </c>
      <c r="AP772" s="5">
        <f>IF($A772="","",IFERROR(MATCH($A772,Raw_D1!$A$2:$A$1001,0),""))</f>
        <v/>
      </c>
      <c r="AQ772" s="5">
        <f>IF($A772="","",IFERROR(MATCH($A772,Raw_D2!$B$2:$B$1001,0),""))</f>
        <v/>
      </c>
      <c r="AR772" s="5">
        <f>IF($A772="","",IFERROR(MATCH($A772,Raw_D3!$A$2:$A$1001,0),""))</f>
        <v>152</v>
      </c>
    </row>
    <row r="773" spans="1:44" x14ac:dyDescent="0.25">
      <c r="A773" s="5">
        <v>772</v>
      </c>
      <c r="B773" s="11">
        <f>IF($A773="","",IF($AP773&lt;&gt;"",INDEX(Raw_D1!$B$2:$B$1001,$AP773),IF($AR773&lt;&gt;"",INDEX(Raw_D3!$B$2:$B$1001,$AR773),"")))</f>
        <v>40578.0</v>
      </c>
      <c r="C773" s="5">
        <f>IF($A773="","",IF($AP773&lt;&gt;"",INDEX(Raw_D1!$C$2:$C$1001,$AP773),IF($AR773&lt;&gt;"",INDEX(Raw_D3!$C$2:$C$1001,$AR773),"")))</f>
        <v>1</v>
      </c>
      <c r="D773" s="5">
        <f>IF($A773="","",IF($AP773&lt;&gt;"",INDEX(Raw_D1!$D$2:$D$1001,$AP773),IF($AR773&lt;&gt;"",INDEX(Raw_D3!$D$2:$D$1001,$AR773),"")))</f>
        <v>0</v>
      </c>
      <c r="E773" s="5">
        <f>IF($A773="","",IF($AP773&lt;&gt;"",INDEX(Raw_D1!$E$2:$E$1001,$AP773),IF($AR773&lt;&gt;"",INDEX(Raw_D3!$E$2:$E$1001,$AR773),"")))</f>
        <v>2</v>
      </c>
      <c r="F773" s="5">
        <f>IF($A773="","",IF($AP773&lt;&gt;"",INDEX(Raw_D1!$F$2:$F$1001,$AP773),IF($AR773&lt;&gt;"",INDEX(Raw_D3!$F$2:$F$1001,$AR773),"")))</f>
        <v>14</v>
      </c>
      <c r="G773" s="5">
        <f>IF($A773="","",IF($AP773&lt;&gt;"",IF(INDEX(Raw_D1!$G$2:$G$1001,$AP773),1,0),IF($AR773&lt;&gt;"",IF(INDEX(Raw_D3!$G$2:$G$1001,$AR773),1,0),"")))</f>
        <v>0</v>
      </c>
      <c r="H773" s="5">
        <f>IF($A773="","",IF($AP773&lt;&gt;"",INDEX(Raw_D1!$H$2:$H$1001,$AP773),IF($AR773&lt;&gt;"",INDEX(Raw_D3!$H$2:$H$1001,$AR773),"")))</f>
        <v>5</v>
      </c>
      <c r="I773" s="5">
        <f>IF($A773="","",IF($AP773&lt;&gt;"",INDEX(Raw_D1!$I$2:$I$1001,$AP773),IF($AR773&lt;&gt;"",INDEX(Raw_D3!$I$2:$I$1001,$AR773),"")))</f>
        <v>2</v>
      </c>
      <c r="J773" s="16">
        <f>IF($A773="","",IF($AP773&lt;&gt;"",INDEX(Raw_D1!$J$2:$J$1001,$AP773),IF($AR773&lt;&gt;"",INDEX(Raw_D3!$J$2:$J$1001,$AR773),"")))</f>
        <v>0.28</v>
      </c>
      <c r="K773" s="17">
        <f>IF($A773="","",IF($AQ773&lt;&gt;"",IF(INDEX(Raw_D2!$C$2:$C$1001,$AQ773)="","",INDEX(Raw_D2!$C$2:$C$1001,$AQ773)),IF($AR773&lt;&gt;"",IF(INDEX(Raw_D3!$K$2:$K$1001,$AR773)="","",INDEX(Raw_D3!$K$2:$K$1001,$AR773)),"")))</f>
        <v>0.2727</v>
      </c>
      <c r="L773" s="16">
        <f>IF($A773="","",IF($AQ773&lt;&gt;"",IF(INDEX(Raw_D2!$D$2:$D$1001,$AQ773)="","",INDEX(Raw_D2!$D$2:$D$1001,$AQ773)),IF($AR773&lt;&gt;"",IF(INDEX(Raw_D3!$L$2:$L$1001,$AR773)="","",INDEX(Raw_D3!$L$2:$L$1001,$AR773)),"")))</f>
        <v>0.45</v>
      </c>
      <c r="M773" s="17">
        <f>IF($A773="","",IF($AQ773&lt;&gt;"",IF(INDEX(Raw_D2!$E$2:$E$1001,$AQ773)="","",INDEX(Raw_D2!$E$2:$E$1001,$AQ773)),IF($AR773&lt;&gt;"",IF(INDEX(Raw_D3!$M$2:$M$1001,$AR773)="","",INDEX(Raw_D3!$M$2:$M$1001,$AR773)),"")))</f>
        <v>0.1642</v>
      </c>
      <c r="N773" s="5">
        <f>IF($A773="","",IF($AQ773&lt;&gt;"",IF(INDEX(Raw_D2!$F$2:$F$1001,$AQ773)="","",INDEX(Raw_D2!$F$2:$F$1001,$AQ773)),IF($AR773&lt;&gt;"",IF(INDEX(Raw_D3!$N$2:$N$1001,$AR773)="","",INDEX(Raw_D3!$N$2:$N$1001,$AR773)),"")))</f>
        <v>15</v>
      </c>
      <c r="O773" s="5">
        <f>IF($A773="","",IF($AQ773&lt;&gt;"",IF(INDEX(Raw_D2!$G$2:$G$1001,$AQ773)="","",INDEX(Raw_D2!$G$2:$G$1001,$AQ773)),IF($AR773&lt;&gt;"",IF(INDEX(Raw_D3!$O$2:$O$1001,$AR773)="","",INDEX(Raw_D3!$O$2:$O$1001,$AR773)),"")))</f>
        <v>76</v>
      </c>
      <c r="P773" s="5">
        <f>IF($A773="","",IF($AQ773&lt;&gt;"",IF(INDEX(Raw_D2!$H$2:$H$1001,$AQ773)="","",INDEX(Raw_D2!$H$2:$H$1001,$AQ773)),IF($AR773&lt;&gt;"",IF(INDEX(Raw_D3!$P$2:$P$1001,$AR773)="","",INDEX(Raw_D3!$P$2:$P$1001,$AR773)),"")))</f>
        <v>91</v>
      </c>
      <c r="Q773" s="5" t="str">
        <f>IF($A773="","",IF(AND($AP773&lt;&gt;"",$AQ773&lt;&gt;""),"D1+D2",IF($AR773&lt;&gt;"","D3","Incomplete")))</f>
        <v>D3</v>
      </c>
      <c r="R773" s="17">
        <f>IF($A773="","",IF($K773="",IF($J773="","",ROUND(Lookups!$K$5+Lookups!$K$4*$J773,4)),$K773))</f>
        <v>0.2727</v>
      </c>
      <c r="S773" s="5" t="str">
        <f>IF($A773="","",IF($K773="","Imputed","Original"))</f>
        <v>Original</v>
      </c>
      <c r="T773" s="5" t="str">
        <f>IF($A773="","",IF($P773="","Missing",IF($P773=$N773+$O773,"OK","Mismatch")))</f>
        <v>OK</v>
      </c>
      <c r="U773" s="5" t="str">
        <f>IF($A773="","",IF(COUNTIF($A$2:$A773,$A773)&gt;1,"Duplicate","Unique"))</f>
        <v>Unique</v>
      </c>
      <c r="V773" s="5">
        <f>IF($A773="","",IF(AND($U773="Unique",ISNUMBER($P773)),1,0))</f>
        <v>1</v>
      </c>
      <c r="W773" s="5" t="str">
        <f>IF($A773="","",IF(OR($H773=0,$H773=6),"Weekend","Weekday"))</f>
        <v>Weekday</v>
      </c>
      <c r="X773" s="5" t="str">
        <f>IF($A773="","",TEXT($B773,"ddd"))</f>
        <v>Fri</v>
      </c>
      <c r="Y773" s="5" t="str">
        <f>IF($A773="","",TEXT($B773,"mmm"))</f>
        <v>Feb</v>
      </c>
      <c r="Z773" s="5" t="str">
        <f>IF($A773="","",IFERROR(VLOOKUP($C773,Lookups!$D$4:$E$7,2,FALSE),"Unknown"))</f>
        <v>Winter</v>
      </c>
      <c r="AA773" s="5" t="str">
        <f>IF($A773="","",IFERROR(VLOOKUP($I773,Lookups!$A$4:$B$7,2,FALSE),"Unknown"))</f>
        <v>Mist/Cloudy</v>
      </c>
      <c r="AB773" s="5" t="str">
        <f>IF($A773="","",TEXT($F773,"00")&amp;":00")</f>
        <v>14:00</v>
      </c>
      <c r="AC773" s="5" t="str">
        <f>IF($A773="","",VLOOKUP($F773,Lookups!$G$4:$H$8,2,TRUE))</f>
        <v>Midday (10-15)</v>
      </c>
      <c r="AD773" s="18">
        <f>IF($A773="","",IF($J773="","",ROUND($J773*41,1)))</f>
        <v>11.5</v>
      </c>
      <c r="AE773" s="18">
        <f>IF($A773="","",IF($R773="","",ROUND($R773*50,1)))</f>
        <v>13.6</v>
      </c>
      <c r="AF773" s="5">
        <f>IF($A773="","",IF($L773="","",ROUND($L773*100,0)))</f>
        <v>45</v>
      </c>
      <c r="AG773" s="18">
        <f>IF($A773="","",IF($M773="","",ROUND($M773*67,1)))</f>
        <v>11</v>
      </c>
      <c r="AH773" s="19">
        <f>IF($A773="","",IF($P773="","",IF($P773=0,0,$O773/$P773)))</f>
        <v>0.835164835164835</v>
      </c>
      <c r="AI773" s="5" t="str">
        <f>IF($A773="","",IF($P773="","",IF($P773&gt;=Lookups!$K$7,"High",IF($P773&lt;=Lookups!$K$8,"Low","Medium"))))</f>
        <v>High</v>
      </c>
      <c r="AJ773" s="5" t="str">
        <f>IF($A773="","",IF($AD773="","",IF($AD773&lt;5,"Under 5 C",IF($AD773&lt;10,"5-10 C",IF($AD773&lt;15,"10-15 C","15 C and above")))))</f>
        <v>10-15 C</v>
      </c>
      <c r="AK773" s="5">
        <f>IF($A773="","",IF($P773="","",$P773^2))</f>
        <v>8281</v>
      </c>
      <c r="AL773" s="18">
        <f>IF($V773&lt;&gt;1,"",AVERAGEIFS(Clean_Data!$P$2:$P$1001,Clean_Data!$F$2:$F$1001,$F773,Clean_Data!$W$2:$W$1001,$W773,Clean_Data!$V$2:$V$1001,1))</f>
        <v>60.551724137931</v>
      </c>
      <c r="AM773" s="16">
        <f>IF($V773&lt;&gt;1,"",IFERROR(($P773-$AL773)/SQRT(MAX(0,(SUMIFS(Clean_Data!$AK$2:$AK$1001,Clean_Data!$F$2:$F$1001,$F773,Clean_Data!$W$2:$W$1001,$W773,Clean_Data!$V$2:$V$1001,1)-COUNTIFS(Clean_Data!$F$2:$F$1001,$F773,Clean_Data!$W$2:$W$1001,$W773,Clean_Data!$V$2:$V$1001,1)*$AL773^2)/(COUNTIFS(Clean_Data!$F$2:$F$1001,$F773,Clean_Data!$W$2:$W$1001,$W773,Clean_Data!$V$2:$V$1001,1)-1))),""))</f>
        <v>1.850922081635</v>
      </c>
      <c r="AN773" s="5" t="str">
        <f>IF($AM773="","",IF($AM773&gt;=Lookups!$K$6,"High spike",IF($AM773&lt;=-Lookups!$K$6,"Unusual low","Normal")))</f>
        <v>Normal</v>
      </c>
      <c r="AO773" s="20">
        <f>IF($V773&lt;&gt;1,"",$P773+ROW()/100000)</f>
        <v>91.00773</v>
      </c>
      <c r="AP773" s="5">
        <f>IF($A773="","",IFERROR(MATCH($A773,Raw_D1!$A$2:$A$1001,0),""))</f>
        <v/>
      </c>
      <c r="AQ773" s="5">
        <f>IF($A773="","",IFERROR(MATCH($A773,Raw_D2!$B$2:$B$1001,0),""))</f>
        <v/>
      </c>
      <c r="AR773" s="5">
        <f>IF($A773="","",IFERROR(MATCH($A773,Raw_D3!$A$2:$A$1001,0),""))</f>
        <v>153</v>
      </c>
    </row>
    <row r="774" spans="1:44" x14ac:dyDescent="0.25">
      <c r="A774" s="5">
        <v>773</v>
      </c>
      <c r="B774" s="11">
        <f>IF($A774="","",IF($AP774&lt;&gt;"",INDEX(Raw_D1!$B$2:$B$1001,$AP774),IF($AR774&lt;&gt;"",INDEX(Raw_D3!$B$2:$B$1001,$AR774),"")))</f>
        <v>40578.0</v>
      </c>
      <c r="C774" s="5">
        <f>IF($A774="","",IF($AP774&lt;&gt;"",INDEX(Raw_D1!$C$2:$C$1001,$AP774),IF($AR774&lt;&gt;"",INDEX(Raw_D3!$C$2:$C$1001,$AR774),"")))</f>
        <v>1</v>
      </c>
      <c r="D774" s="5">
        <f>IF($A774="","",IF($AP774&lt;&gt;"",INDEX(Raw_D1!$D$2:$D$1001,$AP774),IF($AR774&lt;&gt;"",INDEX(Raw_D3!$D$2:$D$1001,$AR774),"")))</f>
        <v>0</v>
      </c>
      <c r="E774" s="5">
        <f>IF($A774="","",IF($AP774&lt;&gt;"",INDEX(Raw_D1!$E$2:$E$1001,$AP774),IF($AR774&lt;&gt;"",INDEX(Raw_D3!$E$2:$E$1001,$AR774),"")))</f>
        <v>2</v>
      </c>
      <c r="F774" s="5">
        <f>IF($A774="","",IF($AP774&lt;&gt;"",INDEX(Raw_D1!$F$2:$F$1001,$AP774),IF($AR774&lt;&gt;"",INDEX(Raw_D3!$F$2:$F$1001,$AR774),"")))</f>
        <v>15</v>
      </c>
      <c r="G774" s="5">
        <f>IF($A774="","",IF($AP774&lt;&gt;"",IF(INDEX(Raw_D1!$G$2:$G$1001,$AP774),1,0),IF($AR774&lt;&gt;"",IF(INDEX(Raw_D3!$G$2:$G$1001,$AR774),1,0),"")))</f>
        <v>0</v>
      </c>
      <c r="H774" s="5">
        <f>IF($A774="","",IF($AP774&lt;&gt;"",INDEX(Raw_D1!$H$2:$H$1001,$AP774),IF($AR774&lt;&gt;"",INDEX(Raw_D3!$H$2:$H$1001,$AR774),"")))</f>
        <v>5</v>
      </c>
      <c r="I774" s="5">
        <f>IF($A774="","",IF($AP774&lt;&gt;"",INDEX(Raw_D1!$I$2:$I$1001,$AP774),IF($AR774&lt;&gt;"",INDEX(Raw_D3!$I$2:$I$1001,$AR774),"")))</f>
        <v>2</v>
      </c>
      <c r="J774" s="16">
        <f>IF($A774="","",IF($AP774&lt;&gt;"",INDEX(Raw_D1!$J$2:$J$1001,$AP774),IF($AR774&lt;&gt;"",INDEX(Raw_D3!$J$2:$J$1001,$AR774),"")))</f>
        <v>0.28</v>
      </c>
      <c r="K774" s="17">
        <f>IF($A774="","",IF($AQ774&lt;&gt;"",IF(INDEX(Raw_D2!$C$2:$C$1001,$AQ774)="","",INDEX(Raw_D2!$C$2:$C$1001,$AQ774)),IF($AR774&lt;&gt;"",IF(INDEX(Raw_D3!$K$2:$K$1001,$AR774)="","",INDEX(Raw_D3!$K$2:$K$1001,$AR774)),"")))</f>
        <v>0.2727</v>
      </c>
      <c r="L774" s="16">
        <f>IF($A774="","",IF($AQ774&lt;&gt;"",IF(INDEX(Raw_D2!$D$2:$D$1001,$AQ774)="","",INDEX(Raw_D2!$D$2:$D$1001,$AQ774)),IF($AR774&lt;&gt;"",IF(INDEX(Raw_D3!$L$2:$L$1001,$AR774)="","",INDEX(Raw_D3!$L$2:$L$1001,$AR774)),"")))</f>
        <v>0.48</v>
      </c>
      <c r="M774" s="17">
        <f>IF($A774="","",IF($AQ774&lt;&gt;"",IF(INDEX(Raw_D2!$E$2:$E$1001,$AQ774)="","",INDEX(Raw_D2!$E$2:$E$1001,$AQ774)),IF($AR774&lt;&gt;"",IF(INDEX(Raw_D3!$M$2:$M$1001,$AR774)="","",INDEX(Raw_D3!$M$2:$M$1001,$AR774)),"")))</f>
        <v>0.2537</v>
      </c>
      <c r="N774" s="5">
        <f>IF($A774="","",IF($AQ774&lt;&gt;"",IF(INDEX(Raw_D2!$F$2:$F$1001,$AQ774)="","",INDEX(Raw_D2!$F$2:$F$1001,$AQ774)),IF($AR774&lt;&gt;"",IF(INDEX(Raw_D3!$N$2:$N$1001,$AR774)="","",INDEX(Raw_D3!$N$2:$N$1001,$AR774)),"")))</f>
        <v>9</v>
      </c>
      <c r="O774" s="5">
        <f>IF($A774="","",IF($AQ774&lt;&gt;"",IF(INDEX(Raw_D2!$G$2:$G$1001,$AQ774)="","",INDEX(Raw_D2!$G$2:$G$1001,$AQ774)),IF($AR774&lt;&gt;"",IF(INDEX(Raw_D3!$O$2:$O$1001,$AR774)="","",INDEX(Raw_D3!$O$2:$O$1001,$AR774)),"")))</f>
        <v>81</v>
      </c>
      <c r="P774" s="5">
        <f>IF($A774="","",IF($AQ774&lt;&gt;"",IF(INDEX(Raw_D2!$H$2:$H$1001,$AQ774)="","",INDEX(Raw_D2!$H$2:$H$1001,$AQ774)),IF($AR774&lt;&gt;"",IF(INDEX(Raw_D3!$P$2:$P$1001,$AR774)="","",INDEX(Raw_D3!$P$2:$P$1001,$AR774)),"")))</f>
        <v>90</v>
      </c>
      <c r="Q774" s="5" t="str">
        <f>IF($A774="","",IF(AND($AP774&lt;&gt;"",$AQ774&lt;&gt;""),"D1+D2",IF($AR774&lt;&gt;"","D3","Incomplete")))</f>
        <v>D3</v>
      </c>
      <c r="R774" s="17">
        <f>IF($A774="","",IF($K774="",IF($J774="","",ROUND(Lookups!$K$5+Lookups!$K$4*$J774,4)),$K774))</f>
        <v>0.2727</v>
      </c>
      <c r="S774" s="5" t="str">
        <f>IF($A774="","",IF($K774="","Imputed","Original"))</f>
        <v>Original</v>
      </c>
      <c r="T774" s="5" t="str">
        <f>IF($A774="","",IF($P774="","Missing",IF($P774=$N774+$O774,"OK","Mismatch")))</f>
        <v>OK</v>
      </c>
      <c r="U774" s="5" t="str">
        <f>IF($A774="","",IF(COUNTIF($A$2:$A774,$A774)&gt;1,"Duplicate","Unique"))</f>
        <v>Unique</v>
      </c>
      <c r="V774" s="5">
        <f>IF($A774="","",IF(AND($U774="Unique",ISNUMBER($P774)),1,0))</f>
        <v>1</v>
      </c>
      <c r="W774" s="5" t="str">
        <f>IF($A774="","",IF(OR($H774=0,$H774=6),"Weekend","Weekday"))</f>
        <v>Weekday</v>
      </c>
      <c r="X774" s="5" t="str">
        <f>IF($A774="","",TEXT($B774,"ddd"))</f>
        <v>Fri</v>
      </c>
      <c r="Y774" s="5" t="str">
        <f>IF($A774="","",TEXT($B774,"mmm"))</f>
        <v>Feb</v>
      </c>
      <c r="Z774" s="5" t="str">
        <f>IF($A774="","",IFERROR(VLOOKUP($C774,Lookups!$D$4:$E$7,2,FALSE),"Unknown"))</f>
        <v>Winter</v>
      </c>
      <c r="AA774" s="5" t="str">
        <f>IF($A774="","",IFERROR(VLOOKUP($I774,Lookups!$A$4:$B$7,2,FALSE),"Unknown"))</f>
        <v>Mist/Cloudy</v>
      </c>
      <c r="AB774" s="5" t="str">
        <f>IF($A774="","",TEXT($F774,"00")&amp;":00")</f>
        <v>15:00</v>
      </c>
      <c r="AC774" s="5" t="str">
        <f>IF($A774="","",VLOOKUP($F774,Lookups!$G$4:$H$8,2,TRUE))</f>
        <v>Midday (10-15)</v>
      </c>
      <c r="AD774" s="18">
        <f>IF($A774="","",IF($J774="","",ROUND($J774*41,1)))</f>
        <v>11.5</v>
      </c>
      <c r="AE774" s="18">
        <f>IF($A774="","",IF($R774="","",ROUND($R774*50,1)))</f>
        <v>13.6</v>
      </c>
      <c r="AF774" s="5">
        <f>IF($A774="","",IF($L774="","",ROUND($L774*100,0)))</f>
        <v>48</v>
      </c>
      <c r="AG774" s="18">
        <f>IF($A774="","",IF($M774="","",ROUND($M774*67,1)))</f>
        <v>17</v>
      </c>
      <c r="AH774" s="19">
        <f>IF($A774="","",IF($P774="","",IF($P774=0,0,$O774/$P774)))</f>
        <v>0.9</v>
      </c>
      <c r="AI774" s="5" t="str">
        <f>IF($A774="","",IF($P774="","",IF($P774&gt;=Lookups!$K$7,"High",IF($P774&lt;=Lookups!$K$8,"Low","Medium"))))</f>
        <v>High</v>
      </c>
      <c r="AJ774" s="5" t="str">
        <f>IF($A774="","",IF($AD774="","",IF($AD774&lt;5,"Under 5 C",IF($AD774&lt;10,"5-10 C",IF($AD774&lt;15,"10-15 C","15 C and above")))))</f>
        <v>10-15 C</v>
      </c>
      <c r="AK774" s="5">
        <f>IF($A774="","",IF($P774="","",$P774^2))</f>
        <v>8100</v>
      </c>
      <c r="AL774" s="18">
        <f>IF($V774&lt;&gt;1,"",AVERAGEIFS(Clean_Data!$P$2:$P$1001,Clean_Data!$F$2:$F$1001,$F774,Clean_Data!$W$2:$W$1001,$W774,Clean_Data!$V$2:$V$1001,1))</f>
        <v>61.4827586206897</v>
      </c>
      <c r="AM774" s="16">
        <f>IF($V774&lt;&gt;1,"",IFERROR(($P774-$AL774)/SQRT(MAX(0,(SUMIFS(Clean_Data!$AK$2:$AK$1001,Clean_Data!$F$2:$F$1001,$F774,Clean_Data!$W$2:$W$1001,$W774,Clean_Data!$V$2:$V$1001,1)-COUNTIFS(Clean_Data!$F$2:$F$1001,$F774,Clean_Data!$W$2:$W$1001,$W774,Clean_Data!$V$2:$V$1001,1)*$AL774^2)/(COUNTIFS(Clean_Data!$F$2:$F$1001,$F774,Clean_Data!$W$2:$W$1001,$W774,Clean_Data!$V$2:$V$1001,1)-1))),""))</f>
        <v>1.89167850239826</v>
      </c>
      <c r="AN774" s="5" t="str">
        <f>IF($AM774="","",IF($AM774&gt;=Lookups!$K$6,"High spike",IF($AM774&lt;=-Lookups!$K$6,"Unusual low","Normal")))</f>
        <v>Normal</v>
      </c>
      <c r="AO774" s="20">
        <f>IF($V774&lt;&gt;1,"",$P774+ROW()/100000)</f>
        <v>90.00774</v>
      </c>
      <c r="AP774" s="5">
        <f>IF($A774="","",IFERROR(MATCH($A774,Raw_D1!$A$2:$A$1001,0),""))</f>
        <v/>
      </c>
      <c r="AQ774" s="5">
        <f>IF($A774="","",IFERROR(MATCH($A774,Raw_D2!$B$2:$B$1001,0),""))</f>
        <v/>
      </c>
      <c r="AR774" s="5">
        <f>IF($A774="","",IFERROR(MATCH($A774,Raw_D3!$A$2:$A$1001,0),""))</f>
        <v>154</v>
      </c>
    </row>
    <row r="775" spans="1:44" x14ac:dyDescent="0.25">
      <c r="A775" s="5">
        <v>774</v>
      </c>
      <c r="B775" s="11">
        <f>IF($A775="","",IF($AP775&lt;&gt;"",INDEX(Raw_D1!$B$2:$B$1001,$AP775),IF($AR775&lt;&gt;"",INDEX(Raw_D3!$B$2:$B$1001,$AR775),"")))</f>
        <v>40578.0</v>
      </c>
      <c r="C775" s="5">
        <f>IF($A775="","",IF($AP775&lt;&gt;"",INDEX(Raw_D1!$C$2:$C$1001,$AP775),IF($AR775&lt;&gt;"",INDEX(Raw_D3!$C$2:$C$1001,$AR775),"")))</f>
        <v>1</v>
      </c>
      <c r="D775" s="5">
        <f>IF($A775="","",IF($AP775&lt;&gt;"",INDEX(Raw_D1!$D$2:$D$1001,$AP775),IF($AR775&lt;&gt;"",INDEX(Raw_D3!$D$2:$D$1001,$AR775),"")))</f>
        <v>0</v>
      </c>
      <c r="E775" s="5">
        <f>IF($A775="","",IF($AP775&lt;&gt;"",INDEX(Raw_D1!$E$2:$E$1001,$AP775),IF($AR775&lt;&gt;"",INDEX(Raw_D3!$E$2:$E$1001,$AR775),"")))</f>
        <v>2</v>
      </c>
      <c r="F775" s="5">
        <f>IF($A775="","",IF($AP775&lt;&gt;"",INDEX(Raw_D1!$F$2:$F$1001,$AP775),IF($AR775&lt;&gt;"",INDEX(Raw_D3!$F$2:$F$1001,$AR775),"")))</f>
        <v>16</v>
      </c>
      <c r="G775" s="5">
        <f>IF($A775="","",IF($AP775&lt;&gt;"",IF(INDEX(Raw_D1!$G$2:$G$1001,$AP775),1,0),IF($AR775&lt;&gt;"",IF(INDEX(Raw_D3!$G$2:$G$1001,$AR775),1,0),"")))</f>
        <v>0</v>
      </c>
      <c r="H775" s="5">
        <f>IF($A775="","",IF($AP775&lt;&gt;"",INDEX(Raw_D1!$H$2:$H$1001,$AP775),IF($AR775&lt;&gt;"",INDEX(Raw_D3!$H$2:$H$1001,$AR775),"")))</f>
        <v>5</v>
      </c>
      <c r="I775" s="5">
        <f>IF($A775="","",IF($AP775&lt;&gt;"",INDEX(Raw_D1!$I$2:$I$1001,$AP775),IF($AR775&lt;&gt;"",INDEX(Raw_D3!$I$2:$I$1001,$AR775),"")))</f>
        <v>2</v>
      </c>
      <c r="J775" s="16">
        <f>IF($A775="","",IF($AP775&lt;&gt;"",INDEX(Raw_D1!$J$2:$J$1001,$AP775),IF($AR775&lt;&gt;"",INDEX(Raw_D3!$J$2:$J$1001,$AR775),"")))</f>
        <v>0.3</v>
      </c>
      <c r="K775" s="17">
        <f>IF($A775="","",IF($AQ775&lt;&gt;"",IF(INDEX(Raw_D2!$C$2:$C$1001,$AQ775)="","",INDEX(Raw_D2!$C$2:$C$1001,$AQ775)),IF($AR775&lt;&gt;"",IF(INDEX(Raw_D3!$K$2:$K$1001,$AR775)="","",INDEX(Raw_D3!$K$2:$K$1001,$AR775)),"")))</f>
        <v>0.2879</v>
      </c>
      <c r="L775" s="16">
        <f>IF($A775="","",IF($AQ775&lt;&gt;"",IF(INDEX(Raw_D2!$D$2:$D$1001,$AQ775)="","",INDEX(Raw_D2!$D$2:$D$1001,$AQ775)),IF($AR775&lt;&gt;"",IF(INDEX(Raw_D3!$L$2:$L$1001,$AR775)="","",INDEX(Raw_D3!$L$2:$L$1001,$AR775)),"")))</f>
        <v>0.42</v>
      </c>
      <c r="M775" s="17">
        <f>IF($A775="","",IF($AQ775&lt;&gt;"",IF(INDEX(Raw_D2!$E$2:$E$1001,$AQ775)="","",INDEX(Raw_D2!$E$2:$E$1001,$AQ775)),IF($AR775&lt;&gt;"",IF(INDEX(Raw_D3!$M$2:$M$1001,$AR775)="","",INDEX(Raw_D3!$M$2:$M$1001,$AR775)),"")))</f>
        <v>0.2239</v>
      </c>
      <c r="N775" s="5">
        <f>IF($A775="","",IF($AQ775&lt;&gt;"",IF(INDEX(Raw_D2!$F$2:$F$1001,$AQ775)="","",INDEX(Raw_D2!$F$2:$F$1001,$AQ775)),IF($AR775&lt;&gt;"",IF(INDEX(Raw_D3!$N$2:$N$1001,$AR775)="","",INDEX(Raw_D3!$N$2:$N$1001,$AR775)),"")))</f>
        <v>8</v>
      </c>
      <c r="O775" s="5">
        <f>IF($A775="","",IF($AQ775&lt;&gt;"",IF(INDEX(Raw_D2!$G$2:$G$1001,$AQ775)="","",INDEX(Raw_D2!$G$2:$G$1001,$AQ775)),IF($AR775&lt;&gt;"",IF(INDEX(Raw_D3!$O$2:$O$1001,$AR775)="","",INDEX(Raw_D3!$O$2:$O$1001,$AR775)),"")))</f>
        <v>91</v>
      </c>
      <c r="P775" s="5">
        <f>IF($A775="","",IF($AQ775&lt;&gt;"",IF(INDEX(Raw_D2!$H$2:$H$1001,$AQ775)="","",INDEX(Raw_D2!$H$2:$H$1001,$AQ775)),IF($AR775&lt;&gt;"",IF(INDEX(Raw_D3!$P$2:$P$1001,$AR775)="","",INDEX(Raw_D3!$P$2:$P$1001,$AR775)),"")))</f>
        <v>99</v>
      </c>
      <c r="Q775" s="5" t="str">
        <f>IF($A775="","",IF(AND($AP775&lt;&gt;"",$AQ775&lt;&gt;""),"D1+D2",IF($AR775&lt;&gt;"","D3","Incomplete")))</f>
        <v>D3</v>
      </c>
      <c r="R775" s="17">
        <f>IF($A775="","",IF($K775="",IF($J775="","",ROUND(Lookups!$K$5+Lookups!$K$4*$J775,4)),$K775))</f>
        <v>0.2879</v>
      </c>
      <c r="S775" s="5" t="str">
        <f>IF($A775="","",IF($K775="","Imputed","Original"))</f>
        <v>Original</v>
      </c>
      <c r="T775" s="5" t="str">
        <f>IF($A775="","",IF($P775="","Missing",IF($P775=$N775+$O775,"OK","Mismatch")))</f>
        <v>OK</v>
      </c>
      <c r="U775" s="5" t="str">
        <f>IF($A775="","",IF(COUNTIF($A$2:$A775,$A775)&gt;1,"Duplicate","Unique"))</f>
        <v>Unique</v>
      </c>
      <c r="V775" s="5">
        <f>IF($A775="","",IF(AND($U775="Unique",ISNUMBER($P775)),1,0))</f>
        <v>1</v>
      </c>
      <c r="W775" s="5" t="str">
        <f>IF($A775="","",IF(OR($H775=0,$H775=6),"Weekend","Weekday"))</f>
        <v>Weekday</v>
      </c>
      <c r="X775" s="5" t="str">
        <f>IF($A775="","",TEXT($B775,"ddd"))</f>
        <v>Fri</v>
      </c>
      <c r="Y775" s="5" t="str">
        <f>IF($A775="","",TEXT($B775,"mmm"))</f>
        <v>Feb</v>
      </c>
      <c r="Z775" s="5" t="str">
        <f>IF($A775="","",IFERROR(VLOOKUP($C775,Lookups!$D$4:$E$7,2,FALSE),"Unknown"))</f>
        <v>Winter</v>
      </c>
      <c r="AA775" s="5" t="str">
        <f>IF($A775="","",IFERROR(VLOOKUP($I775,Lookups!$A$4:$B$7,2,FALSE),"Unknown"))</f>
        <v>Mist/Cloudy</v>
      </c>
      <c r="AB775" s="5" t="str">
        <f>IF($A775="","",TEXT($F775,"00")&amp;":00")</f>
        <v>16:00</v>
      </c>
      <c r="AC775" s="5" t="str">
        <f>IF($A775="","",VLOOKUP($F775,Lookups!$G$4:$H$8,2,TRUE))</f>
        <v>Evening Peak (16-19)</v>
      </c>
      <c r="AD775" s="18">
        <f>IF($A775="","",IF($J775="","",ROUND($J775*41,1)))</f>
        <v>12.3</v>
      </c>
      <c r="AE775" s="18">
        <f>IF($A775="","",IF($R775="","",ROUND($R775*50,1)))</f>
        <v>14.4</v>
      </c>
      <c r="AF775" s="5">
        <f>IF($A775="","",IF($L775="","",ROUND($L775*100,0)))</f>
        <v>42</v>
      </c>
      <c r="AG775" s="18">
        <f>IF($A775="","",IF($M775="","",ROUND($M775*67,1)))</f>
        <v>15</v>
      </c>
      <c r="AH775" s="19">
        <f>IF($A775="","",IF($P775="","",IF($P775=0,0,$O775/$P775)))</f>
        <v>0.919191919191919</v>
      </c>
      <c r="AI775" s="5" t="str">
        <f>IF($A775="","",IF($P775="","",IF($P775&gt;=Lookups!$K$7,"High",IF($P775&lt;=Lookups!$K$8,"Low","Medium"))))</f>
        <v>High</v>
      </c>
      <c r="AJ775" s="5" t="str">
        <f>IF($A775="","",IF($AD775="","",IF($AD775&lt;5,"Under 5 C",IF($AD775&lt;10,"5-10 C",IF($AD775&lt;15,"10-15 C","15 C and above")))))</f>
        <v>10-15 C</v>
      </c>
      <c r="AK775" s="5">
        <f>IF($A775="","",IF($P775="","",$P775^2))</f>
        <v>9801</v>
      </c>
      <c r="AL775" s="18">
        <f>IF($V775&lt;&gt;1,"",AVERAGEIFS(Clean_Data!$P$2:$P$1001,Clean_Data!$F$2:$F$1001,$F775,Clean_Data!$W$2:$W$1001,$W775,Clean_Data!$V$2:$V$1001,1))</f>
        <v>82.6333333333333</v>
      </c>
      <c r="AM775" s="16">
        <f>IF($V775&lt;&gt;1,"",IFERROR(($P775-$AL775)/SQRT(MAX(0,(SUMIFS(Clean_Data!$AK$2:$AK$1001,Clean_Data!$F$2:$F$1001,$F775,Clean_Data!$W$2:$W$1001,$W775,Clean_Data!$V$2:$V$1001,1)-COUNTIFS(Clean_Data!$F$2:$F$1001,$F775,Clean_Data!$W$2:$W$1001,$W775,Clean_Data!$V$2:$V$1001,1)*$AL775^2)/(COUNTIFS(Clean_Data!$F$2:$F$1001,$F775,Clean_Data!$W$2:$W$1001,$W775,Clean_Data!$V$2:$V$1001,1)-1))),""))</f>
        <v>0.788987139078825</v>
      </c>
      <c r="AN775" s="5" t="str">
        <f>IF($AM775="","",IF($AM775&gt;=Lookups!$K$6,"High spike",IF($AM775&lt;=-Lookups!$K$6,"Unusual low","Normal")))</f>
        <v>Normal</v>
      </c>
      <c r="AO775" s="20">
        <f>IF($V775&lt;&gt;1,"",$P775+ROW()/100000)</f>
        <v>99.00775</v>
      </c>
      <c r="AP775" s="5">
        <f>IF($A775="","",IFERROR(MATCH($A775,Raw_D1!$A$2:$A$1001,0),""))</f>
        <v/>
      </c>
      <c r="AQ775" s="5">
        <f>IF($A775="","",IFERROR(MATCH($A775,Raw_D2!$B$2:$B$1001,0),""))</f>
        <v/>
      </c>
      <c r="AR775" s="5">
        <f>IF($A775="","",IFERROR(MATCH($A775,Raw_D3!$A$2:$A$1001,0),""))</f>
        <v>155</v>
      </c>
    </row>
    <row r="776" spans="1:44" x14ac:dyDescent="0.25">
      <c r="A776" s="5">
        <v>775</v>
      </c>
      <c r="B776" s="11">
        <f>IF($A776="","",IF($AP776&lt;&gt;"",INDEX(Raw_D1!$B$2:$B$1001,$AP776),IF($AR776&lt;&gt;"",INDEX(Raw_D3!$B$2:$B$1001,$AR776),"")))</f>
        <v>40578.0</v>
      </c>
      <c r="C776" s="5">
        <f>IF($A776="","",IF($AP776&lt;&gt;"",INDEX(Raw_D1!$C$2:$C$1001,$AP776),IF($AR776&lt;&gt;"",INDEX(Raw_D3!$C$2:$C$1001,$AR776),"")))</f>
        <v>1</v>
      </c>
      <c r="D776" s="5">
        <f>IF($A776="","",IF($AP776&lt;&gt;"",INDEX(Raw_D1!$D$2:$D$1001,$AP776),IF($AR776&lt;&gt;"",INDEX(Raw_D3!$D$2:$D$1001,$AR776),"")))</f>
        <v>0</v>
      </c>
      <c r="E776" s="5">
        <f>IF($A776="","",IF($AP776&lt;&gt;"",INDEX(Raw_D1!$E$2:$E$1001,$AP776),IF($AR776&lt;&gt;"",INDEX(Raw_D3!$E$2:$E$1001,$AR776),"")))</f>
        <v>2</v>
      </c>
      <c r="F776" s="5">
        <f>IF($A776="","",IF($AP776&lt;&gt;"",INDEX(Raw_D1!$F$2:$F$1001,$AP776),IF($AR776&lt;&gt;"",INDEX(Raw_D3!$F$2:$F$1001,$AR776),"")))</f>
        <v>17</v>
      </c>
      <c r="G776" s="5">
        <f>IF($A776="","",IF($AP776&lt;&gt;"",IF(INDEX(Raw_D1!$G$2:$G$1001,$AP776),1,0),IF($AR776&lt;&gt;"",IF(INDEX(Raw_D3!$G$2:$G$1001,$AR776),1,0),"")))</f>
        <v>0</v>
      </c>
      <c r="H776" s="5">
        <f>IF($A776="","",IF($AP776&lt;&gt;"",INDEX(Raw_D1!$H$2:$H$1001,$AP776),IF($AR776&lt;&gt;"",INDEX(Raw_D3!$H$2:$H$1001,$AR776),"")))</f>
        <v>5</v>
      </c>
      <c r="I776" s="5">
        <f>IF($A776="","",IF($AP776&lt;&gt;"",INDEX(Raw_D1!$I$2:$I$1001,$AP776),IF($AR776&lt;&gt;"",INDEX(Raw_D3!$I$2:$I$1001,$AR776),"")))</f>
        <v>2</v>
      </c>
      <c r="J776" s="16">
        <f>IF($A776="","",IF($AP776&lt;&gt;"",INDEX(Raw_D1!$J$2:$J$1001,$AP776),IF($AR776&lt;&gt;"",INDEX(Raw_D3!$J$2:$J$1001,$AR776),"")))</f>
        <v>0.26</v>
      </c>
      <c r="K776" s="17">
        <f>IF($A776="","",IF($AQ776&lt;&gt;"",IF(INDEX(Raw_D2!$C$2:$C$1001,$AQ776)="","",INDEX(Raw_D2!$C$2:$C$1001,$AQ776)),IF($AR776&lt;&gt;"",IF(INDEX(Raw_D3!$K$2:$K$1001,$AR776)="","",INDEX(Raw_D3!$K$2:$K$1001,$AR776)),"")))</f>
        <v>0.2727</v>
      </c>
      <c r="L776" s="16">
        <f>IF($A776="","",IF($AQ776&lt;&gt;"",IF(INDEX(Raw_D2!$D$2:$D$1001,$AQ776)="","",INDEX(Raw_D2!$D$2:$D$1001,$AQ776)),IF($AR776&lt;&gt;"",IF(INDEX(Raw_D3!$L$2:$L$1001,$AR776)="","",INDEX(Raw_D3!$L$2:$L$1001,$AR776)),"")))</f>
        <v>0.56</v>
      </c>
      <c r="M776" s="17">
        <f>IF($A776="","",IF($AQ776&lt;&gt;"",IF(INDEX(Raw_D2!$E$2:$E$1001,$AQ776)="","",INDEX(Raw_D2!$E$2:$E$1001,$AQ776)),IF($AR776&lt;&gt;"",IF(INDEX(Raw_D3!$M$2:$M$1001,$AR776)="","",INDEX(Raw_D3!$M$2:$M$1001,$AR776)),"")))</f>
        <v>0.1343</v>
      </c>
      <c r="N776" s="5">
        <f>IF($A776="","",IF($AQ776&lt;&gt;"",IF(INDEX(Raw_D2!$F$2:$F$1001,$AQ776)="","",INDEX(Raw_D2!$F$2:$F$1001,$AQ776)),IF($AR776&lt;&gt;"",IF(INDEX(Raw_D3!$N$2:$N$1001,$AR776)="","",INDEX(Raw_D3!$N$2:$N$1001,$AR776)),"")))</f>
        <v>10</v>
      </c>
      <c r="O776" s="5">
        <f>IF($A776="","",IF($AQ776&lt;&gt;"",IF(INDEX(Raw_D2!$G$2:$G$1001,$AQ776)="","",INDEX(Raw_D2!$G$2:$G$1001,$AQ776)),IF($AR776&lt;&gt;"",IF(INDEX(Raw_D3!$O$2:$O$1001,$AR776)="","",INDEX(Raw_D3!$O$2:$O$1001,$AR776)),"")))</f>
        <v>195</v>
      </c>
      <c r="P776" s="5">
        <f>IF($A776="","",IF($AQ776&lt;&gt;"",IF(INDEX(Raw_D2!$H$2:$H$1001,$AQ776)="","",INDEX(Raw_D2!$H$2:$H$1001,$AQ776)),IF($AR776&lt;&gt;"",IF(INDEX(Raw_D3!$P$2:$P$1001,$AR776)="","",INDEX(Raw_D3!$P$2:$P$1001,$AR776)),"")))</f>
        <v>205</v>
      </c>
      <c r="Q776" s="5" t="str">
        <f>IF($A776="","",IF(AND($AP776&lt;&gt;"",$AQ776&lt;&gt;""),"D1+D2",IF($AR776&lt;&gt;"","D3","Incomplete")))</f>
        <v>D3</v>
      </c>
      <c r="R776" s="17">
        <f>IF($A776="","",IF($K776="",IF($J776="","",ROUND(Lookups!$K$5+Lookups!$K$4*$J776,4)),$K776))</f>
        <v>0.2727</v>
      </c>
      <c r="S776" s="5" t="str">
        <f>IF($A776="","",IF($K776="","Imputed","Original"))</f>
        <v>Original</v>
      </c>
      <c r="T776" s="5" t="str">
        <f>IF($A776="","",IF($P776="","Missing",IF($P776=$N776+$O776,"OK","Mismatch")))</f>
        <v>OK</v>
      </c>
      <c r="U776" s="5" t="str">
        <f>IF($A776="","",IF(COUNTIF($A$2:$A776,$A776)&gt;1,"Duplicate","Unique"))</f>
        <v>Unique</v>
      </c>
      <c r="V776" s="5">
        <f>IF($A776="","",IF(AND($U776="Unique",ISNUMBER($P776)),1,0))</f>
        <v>1</v>
      </c>
      <c r="W776" s="5" t="str">
        <f>IF($A776="","",IF(OR($H776=0,$H776=6),"Weekend","Weekday"))</f>
        <v>Weekday</v>
      </c>
      <c r="X776" s="5" t="str">
        <f>IF($A776="","",TEXT($B776,"ddd"))</f>
        <v>Fri</v>
      </c>
      <c r="Y776" s="5" t="str">
        <f>IF($A776="","",TEXT($B776,"mmm"))</f>
        <v>Feb</v>
      </c>
      <c r="Z776" s="5" t="str">
        <f>IF($A776="","",IFERROR(VLOOKUP($C776,Lookups!$D$4:$E$7,2,FALSE),"Unknown"))</f>
        <v>Winter</v>
      </c>
      <c r="AA776" s="5" t="str">
        <f>IF($A776="","",IFERROR(VLOOKUP($I776,Lookups!$A$4:$B$7,2,FALSE),"Unknown"))</f>
        <v>Mist/Cloudy</v>
      </c>
      <c r="AB776" s="5" t="str">
        <f>IF($A776="","",TEXT($F776,"00")&amp;":00")</f>
        <v>17:00</v>
      </c>
      <c r="AC776" s="5" t="str">
        <f>IF($A776="","",VLOOKUP($F776,Lookups!$G$4:$H$8,2,TRUE))</f>
        <v>Evening Peak (16-19)</v>
      </c>
      <c r="AD776" s="18">
        <f>IF($A776="","",IF($J776="","",ROUND($J776*41,1)))</f>
        <v>10.7</v>
      </c>
      <c r="AE776" s="18">
        <f>IF($A776="","",IF($R776="","",ROUND($R776*50,1)))</f>
        <v>13.6</v>
      </c>
      <c r="AF776" s="5">
        <f>IF($A776="","",IF($L776="","",ROUND($L776*100,0)))</f>
        <v>56</v>
      </c>
      <c r="AG776" s="18">
        <f>IF($A776="","",IF($M776="","",ROUND($M776*67,1)))</f>
        <v>9</v>
      </c>
      <c r="AH776" s="19">
        <f>IF($A776="","",IF($P776="","",IF($P776=0,0,$O776/$P776)))</f>
        <v>0.951219512195122</v>
      </c>
      <c r="AI776" s="5" t="str">
        <f>IF($A776="","",IF($P776="","",IF($P776&gt;=Lookups!$K$7,"High",IF($P776&lt;=Lookups!$K$8,"Low","Medium"))))</f>
        <v>High</v>
      </c>
      <c r="AJ776" s="5" t="str">
        <f>IF($A776="","",IF($AD776="","",IF($AD776&lt;5,"Under 5 C",IF($AD776&lt;10,"5-10 C",IF($AD776&lt;15,"10-15 C","15 C and above")))))</f>
        <v>10-15 C</v>
      </c>
      <c r="AK776" s="5">
        <f>IF($A776="","",IF($P776="","",$P776^2))</f>
        <v>42025</v>
      </c>
      <c r="AL776" s="18">
        <f>IF($V776&lt;&gt;1,"",AVERAGEIFS(Clean_Data!$P$2:$P$1001,Clean_Data!$F$2:$F$1001,$F776,Clean_Data!$W$2:$W$1001,$W776,Clean_Data!$V$2:$V$1001,1))</f>
        <v>165.566666666667</v>
      </c>
      <c r="AM776" s="16">
        <f>IF($V776&lt;&gt;1,"",IFERROR(($P776-$AL776)/SQRT(MAX(0,(SUMIFS(Clean_Data!$AK$2:$AK$1001,Clean_Data!$F$2:$F$1001,$F776,Clean_Data!$W$2:$W$1001,$W776,Clean_Data!$V$2:$V$1001,1)-COUNTIFS(Clean_Data!$F$2:$F$1001,$F776,Clean_Data!$W$2:$W$1001,$W776,Clean_Data!$V$2:$V$1001,1)*$AL776^2)/(COUNTIFS(Clean_Data!$F$2:$F$1001,$F776,Clean_Data!$W$2:$W$1001,$W776,Clean_Data!$V$2:$V$1001,1)-1))),""))</f>
        <v>0.895945928129984</v>
      </c>
      <c r="AN776" s="5" t="str">
        <f>IF($AM776="","",IF($AM776&gt;=Lookups!$K$6,"High spike",IF($AM776&lt;=-Lookups!$K$6,"Unusual low","Normal")))</f>
        <v>Normal</v>
      </c>
      <c r="AO776" s="20">
        <f>IF($V776&lt;&gt;1,"",$P776+ROW()/100000)</f>
        <v>205.00776</v>
      </c>
      <c r="AP776" s="5">
        <f>IF($A776="","",IFERROR(MATCH($A776,Raw_D1!$A$2:$A$1001,0),""))</f>
        <v/>
      </c>
      <c r="AQ776" s="5">
        <f>IF($A776="","",IFERROR(MATCH($A776,Raw_D2!$B$2:$B$1001,0),""))</f>
        <v/>
      </c>
      <c r="AR776" s="5">
        <f>IF($A776="","",IFERROR(MATCH($A776,Raw_D3!$A$2:$A$1001,0),""))</f>
        <v>156</v>
      </c>
    </row>
    <row r="777" spans="1:44" x14ac:dyDescent="0.25">
      <c r="A777" s="5">
        <v>776</v>
      </c>
      <c r="B777" s="11">
        <f>IF($A777="","",IF($AP777&lt;&gt;"",INDEX(Raw_D1!$B$2:$B$1001,$AP777),IF($AR777&lt;&gt;"",INDEX(Raw_D3!$B$2:$B$1001,$AR777),"")))</f>
        <v>40578.0</v>
      </c>
      <c r="C777" s="5">
        <f>IF($A777="","",IF($AP777&lt;&gt;"",INDEX(Raw_D1!$C$2:$C$1001,$AP777),IF($AR777&lt;&gt;"",INDEX(Raw_D3!$C$2:$C$1001,$AR777),"")))</f>
        <v>1</v>
      </c>
      <c r="D777" s="5">
        <f>IF($A777="","",IF($AP777&lt;&gt;"",INDEX(Raw_D1!$D$2:$D$1001,$AP777),IF($AR777&lt;&gt;"",INDEX(Raw_D3!$D$2:$D$1001,$AR777),"")))</f>
        <v>0</v>
      </c>
      <c r="E777" s="5">
        <f>IF($A777="","",IF($AP777&lt;&gt;"",INDEX(Raw_D1!$E$2:$E$1001,$AP777),IF($AR777&lt;&gt;"",INDEX(Raw_D3!$E$2:$E$1001,$AR777),"")))</f>
        <v>2</v>
      </c>
      <c r="F777" s="5">
        <f>IF($A777="","",IF($AP777&lt;&gt;"",INDEX(Raw_D1!$F$2:$F$1001,$AP777),IF($AR777&lt;&gt;"",INDEX(Raw_D3!$F$2:$F$1001,$AR777),"")))</f>
        <v>18</v>
      </c>
      <c r="G777" s="5">
        <f>IF($A777="","",IF($AP777&lt;&gt;"",IF(INDEX(Raw_D1!$G$2:$G$1001,$AP777),1,0),IF($AR777&lt;&gt;"",IF(INDEX(Raw_D3!$G$2:$G$1001,$AR777),1,0),"")))</f>
        <v>0</v>
      </c>
      <c r="H777" s="5">
        <f>IF($A777="","",IF($AP777&lt;&gt;"",INDEX(Raw_D1!$H$2:$H$1001,$AP777),IF($AR777&lt;&gt;"",INDEX(Raw_D3!$H$2:$H$1001,$AR777),"")))</f>
        <v>5</v>
      </c>
      <c r="I777" s="5">
        <f>IF($A777="","",IF($AP777&lt;&gt;"",INDEX(Raw_D1!$I$2:$I$1001,$AP777),IF($AR777&lt;&gt;"",INDEX(Raw_D3!$I$2:$I$1001,$AR777),"")))</f>
        <v>2</v>
      </c>
      <c r="J777" s="16">
        <f>IF($A777="","",IF($AP777&lt;&gt;"",INDEX(Raw_D1!$J$2:$J$1001,$AP777),IF($AR777&lt;&gt;"",INDEX(Raw_D3!$J$2:$J$1001,$AR777),"")))</f>
        <v>0.24</v>
      </c>
      <c r="K777" s="17">
        <f>IF($A777="","",IF($AQ777&lt;&gt;"",IF(INDEX(Raw_D2!$C$2:$C$1001,$AQ777)="","",INDEX(Raw_D2!$C$2:$C$1001,$AQ777)),IF($AR777&lt;&gt;"",IF(INDEX(Raw_D3!$K$2:$K$1001,$AR777)="","",INDEX(Raw_D3!$K$2:$K$1001,$AR777)),"")))</f>
        <v>0.2576</v>
      </c>
      <c r="L777" s="16">
        <f>IF($A777="","",IF($AQ777&lt;&gt;"",IF(INDEX(Raw_D2!$D$2:$D$1001,$AQ777)="","",INDEX(Raw_D2!$D$2:$D$1001,$AQ777)),IF($AR777&lt;&gt;"",IF(INDEX(Raw_D3!$L$2:$L$1001,$AR777)="","",INDEX(Raw_D3!$L$2:$L$1001,$AR777)),"")))</f>
        <v>0.6</v>
      </c>
      <c r="M777" s="17">
        <f>IF($A777="","",IF($AQ777&lt;&gt;"",IF(INDEX(Raw_D2!$E$2:$E$1001,$AQ777)="","",INDEX(Raw_D2!$E$2:$E$1001,$AQ777)),IF($AR777&lt;&gt;"",IF(INDEX(Raw_D3!$M$2:$M$1001,$AR777)="","",INDEX(Raw_D3!$M$2:$M$1001,$AR777)),"")))</f>
        <v>0.1045</v>
      </c>
      <c r="N777" s="5">
        <f>IF($A777="","",IF($AQ777&lt;&gt;"",IF(INDEX(Raw_D2!$F$2:$F$1001,$AQ777)="","",INDEX(Raw_D2!$F$2:$F$1001,$AQ777)),IF($AR777&lt;&gt;"",IF(INDEX(Raw_D3!$N$2:$N$1001,$AR777)="","",INDEX(Raw_D3!$N$2:$N$1001,$AR777)),"")))</f>
        <v>3</v>
      </c>
      <c r="O777" s="5">
        <f>IF($A777="","",IF($AQ777&lt;&gt;"",IF(INDEX(Raw_D2!$G$2:$G$1001,$AQ777)="","",INDEX(Raw_D2!$G$2:$G$1001,$AQ777)),IF($AR777&lt;&gt;"",IF(INDEX(Raw_D3!$O$2:$O$1001,$AR777)="","",INDEX(Raw_D3!$O$2:$O$1001,$AR777)),"")))</f>
        <v>152</v>
      </c>
      <c r="P777" s="5">
        <f>IF($A777="","",IF($AQ777&lt;&gt;"",IF(INDEX(Raw_D2!$H$2:$H$1001,$AQ777)="","",INDEX(Raw_D2!$H$2:$H$1001,$AQ777)),IF($AR777&lt;&gt;"",IF(INDEX(Raw_D3!$P$2:$P$1001,$AR777)="","",INDEX(Raw_D3!$P$2:$P$1001,$AR777)),"")))</f>
        <v>155</v>
      </c>
      <c r="Q777" s="5" t="str">
        <f>IF($A777="","",IF(AND($AP777&lt;&gt;"",$AQ777&lt;&gt;""),"D1+D2",IF($AR777&lt;&gt;"","D3","Incomplete")))</f>
        <v>D3</v>
      </c>
      <c r="R777" s="17">
        <f>IF($A777="","",IF($K777="",IF($J777="","",ROUND(Lookups!$K$5+Lookups!$K$4*$J777,4)),$K777))</f>
        <v>0.2576</v>
      </c>
      <c r="S777" s="5" t="str">
        <f>IF($A777="","",IF($K777="","Imputed","Original"))</f>
        <v>Original</v>
      </c>
      <c r="T777" s="5" t="str">
        <f>IF($A777="","",IF($P777="","Missing",IF($P777=$N777+$O777,"OK","Mismatch")))</f>
        <v>OK</v>
      </c>
      <c r="U777" s="5" t="str">
        <f>IF($A777="","",IF(COUNTIF($A$2:$A777,$A777)&gt;1,"Duplicate","Unique"))</f>
        <v>Unique</v>
      </c>
      <c r="V777" s="5">
        <f>IF($A777="","",IF(AND($U777="Unique",ISNUMBER($P777)),1,0))</f>
        <v>1</v>
      </c>
      <c r="W777" s="5" t="str">
        <f>IF($A777="","",IF(OR($H777=0,$H777=6),"Weekend","Weekday"))</f>
        <v>Weekday</v>
      </c>
      <c r="X777" s="5" t="str">
        <f>IF($A777="","",TEXT($B777,"ddd"))</f>
        <v>Fri</v>
      </c>
      <c r="Y777" s="5" t="str">
        <f>IF($A777="","",TEXT($B777,"mmm"))</f>
        <v>Feb</v>
      </c>
      <c r="Z777" s="5" t="str">
        <f>IF($A777="","",IFERROR(VLOOKUP($C777,Lookups!$D$4:$E$7,2,FALSE),"Unknown"))</f>
        <v>Winter</v>
      </c>
      <c r="AA777" s="5" t="str">
        <f>IF($A777="","",IFERROR(VLOOKUP($I777,Lookups!$A$4:$B$7,2,FALSE),"Unknown"))</f>
        <v>Mist/Cloudy</v>
      </c>
      <c r="AB777" s="5" t="str">
        <f>IF($A777="","",TEXT($F777,"00")&amp;":00")</f>
        <v>18:00</v>
      </c>
      <c r="AC777" s="5" t="str">
        <f>IF($A777="","",VLOOKUP($F777,Lookups!$G$4:$H$8,2,TRUE))</f>
        <v>Evening Peak (16-19)</v>
      </c>
      <c r="AD777" s="18">
        <f>IF($A777="","",IF($J777="","",ROUND($J777*41,1)))</f>
        <v>9.8</v>
      </c>
      <c r="AE777" s="18">
        <f>IF($A777="","",IF($R777="","",ROUND($R777*50,1)))</f>
        <v>12.9</v>
      </c>
      <c r="AF777" s="5">
        <f>IF($A777="","",IF($L777="","",ROUND($L777*100,0)))</f>
        <v>60</v>
      </c>
      <c r="AG777" s="18">
        <f>IF($A777="","",IF($M777="","",ROUND($M777*67,1)))</f>
        <v>7</v>
      </c>
      <c r="AH777" s="19">
        <f>IF($A777="","",IF($P777="","",IF($P777=0,0,$O777/$P777)))</f>
        <v>0.980645161290323</v>
      </c>
      <c r="AI777" s="5" t="str">
        <f>IF($A777="","",IF($P777="","",IF($P777&gt;=Lookups!$K$7,"High",IF($P777&lt;=Lookups!$K$8,"Low","Medium"))))</f>
        <v>High</v>
      </c>
      <c r="AJ777" s="5" t="str">
        <f>IF($A777="","",IF($AD777="","",IF($AD777&lt;5,"Under 5 C",IF($AD777&lt;10,"5-10 C",IF($AD777&lt;15,"10-15 C","15 C and above")))))</f>
        <v>5-10 C</v>
      </c>
      <c r="AK777" s="5">
        <f>IF($A777="","",IF($P777="","",$P777^2))</f>
        <v>24025</v>
      </c>
      <c r="AL777" s="18">
        <f>IF($V777&lt;&gt;1,"",AVERAGEIFS(Clean_Data!$P$2:$P$1001,Clean_Data!$F$2:$F$1001,$F777,Clean_Data!$W$2:$W$1001,$W777,Clean_Data!$V$2:$V$1001,1))</f>
        <v>151.206896551724</v>
      </c>
      <c r="AM777" s="16">
        <f>IF($V777&lt;&gt;1,"",IFERROR(($P777-$AL777)/SQRT(MAX(0,(SUMIFS(Clean_Data!$AK$2:$AK$1001,Clean_Data!$F$2:$F$1001,$F777,Clean_Data!$W$2:$W$1001,$W777,Clean_Data!$V$2:$V$1001,1)-COUNTIFS(Clean_Data!$F$2:$F$1001,$F777,Clean_Data!$W$2:$W$1001,$W777,Clean_Data!$V$2:$V$1001,1)*$AL777^2)/(COUNTIFS(Clean_Data!$F$2:$F$1001,$F777,Clean_Data!$W$2:$W$1001,$W777,Clean_Data!$V$2:$V$1001,1)-1))),""))</f>
        <v>0.129239785146822</v>
      </c>
      <c r="AN777" s="5" t="str">
        <f>IF($AM777="","",IF($AM777&gt;=Lookups!$K$6,"High spike",IF($AM777&lt;=-Lookups!$K$6,"Unusual low","Normal")))</f>
        <v>Normal</v>
      </c>
      <c r="AO777" s="20">
        <f>IF($V777&lt;&gt;1,"",$P777+ROW()/100000)</f>
        <v>155.00777</v>
      </c>
      <c r="AP777" s="5">
        <f>IF($A777="","",IFERROR(MATCH($A777,Raw_D1!$A$2:$A$1001,0),""))</f>
        <v/>
      </c>
      <c r="AQ777" s="5">
        <f>IF($A777="","",IFERROR(MATCH($A777,Raw_D2!$B$2:$B$1001,0),""))</f>
        <v/>
      </c>
      <c r="AR777" s="5">
        <f>IF($A777="","",IFERROR(MATCH($A777,Raw_D3!$A$2:$A$1001,0),""))</f>
        <v>157</v>
      </c>
    </row>
    <row r="778" spans="1:44" x14ac:dyDescent="0.25">
      <c r="A778" s="5">
        <v>777</v>
      </c>
      <c r="B778" s="11">
        <f>IF($A778="","",IF($AP778&lt;&gt;"",INDEX(Raw_D1!$B$2:$B$1001,$AP778),IF($AR778&lt;&gt;"",INDEX(Raw_D3!$B$2:$B$1001,$AR778),"")))</f>
        <v>40578.0</v>
      </c>
      <c r="C778" s="5">
        <f>IF($A778="","",IF($AP778&lt;&gt;"",INDEX(Raw_D1!$C$2:$C$1001,$AP778),IF($AR778&lt;&gt;"",INDEX(Raw_D3!$C$2:$C$1001,$AR778),"")))</f>
        <v>1</v>
      </c>
      <c r="D778" s="5">
        <f>IF($A778="","",IF($AP778&lt;&gt;"",INDEX(Raw_D1!$D$2:$D$1001,$AP778),IF($AR778&lt;&gt;"",INDEX(Raw_D3!$D$2:$D$1001,$AR778),"")))</f>
        <v>0</v>
      </c>
      <c r="E778" s="5">
        <f>IF($A778="","",IF($AP778&lt;&gt;"",INDEX(Raw_D1!$E$2:$E$1001,$AP778),IF($AR778&lt;&gt;"",INDEX(Raw_D3!$E$2:$E$1001,$AR778),"")))</f>
        <v>2</v>
      </c>
      <c r="F778" s="5">
        <f>IF($A778="","",IF($AP778&lt;&gt;"",INDEX(Raw_D1!$F$2:$F$1001,$AP778),IF($AR778&lt;&gt;"",INDEX(Raw_D3!$F$2:$F$1001,$AR778),"")))</f>
        <v>19</v>
      </c>
      <c r="G778" s="5">
        <f>IF($A778="","",IF($AP778&lt;&gt;"",IF(INDEX(Raw_D1!$G$2:$G$1001,$AP778),1,0),IF($AR778&lt;&gt;"",IF(INDEX(Raw_D3!$G$2:$G$1001,$AR778),1,0),"")))</f>
        <v>0</v>
      </c>
      <c r="H778" s="5">
        <f>IF($A778="","",IF($AP778&lt;&gt;"",INDEX(Raw_D1!$H$2:$H$1001,$AP778),IF($AR778&lt;&gt;"",INDEX(Raw_D3!$H$2:$H$1001,$AR778),"")))</f>
        <v>5</v>
      </c>
      <c r="I778" s="5">
        <f>IF($A778="","",IF($AP778&lt;&gt;"",INDEX(Raw_D1!$I$2:$I$1001,$AP778),IF($AR778&lt;&gt;"",INDEX(Raw_D3!$I$2:$I$1001,$AR778),"")))</f>
        <v>2</v>
      </c>
      <c r="J778" s="16">
        <f>IF($A778="","",IF($AP778&lt;&gt;"",INDEX(Raw_D1!$J$2:$J$1001,$AP778),IF($AR778&lt;&gt;"",INDEX(Raw_D3!$J$2:$J$1001,$AR778),"")))</f>
        <v>0.24</v>
      </c>
      <c r="K778" s="17">
        <f>IF($A778="","",IF($AQ778&lt;&gt;"",IF(INDEX(Raw_D2!$C$2:$C$1001,$AQ778)="","",INDEX(Raw_D2!$C$2:$C$1001,$AQ778)),IF($AR778&lt;&gt;"",IF(INDEX(Raw_D3!$K$2:$K$1001,$AR778)="","",INDEX(Raw_D3!$K$2:$K$1001,$AR778)),"")))</f>
        <v>0.2424</v>
      </c>
      <c r="L778" s="16">
        <f>IF($A778="","",IF($AQ778&lt;&gt;"",IF(INDEX(Raw_D2!$D$2:$D$1001,$AQ778)="","",INDEX(Raw_D2!$D$2:$D$1001,$AQ778)),IF($AR778&lt;&gt;"",IF(INDEX(Raw_D3!$L$2:$L$1001,$AR778)="","",INDEX(Raw_D3!$L$2:$L$1001,$AR778)),"")))</f>
        <v>0.65</v>
      </c>
      <c r="M778" s="17">
        <f>IF($A778="","",IF($AQ778&lt;&gt;"",IF(INDEX(Raw_D2!$E$2:$E$1001,$AQ778)="","",INDEX(Raw_D2!$E$2:$E$1001,$AQ778)),IF($AR778&lt;&gt;"",IF(INDEX(Raw_D3!$M$2:$M$1001,$AR778)="","",INDEX(Raw_D3!$M$2:$M$1001,$AR778)),"")))</f>
        <v>0.1343</v>
      </c>
      <c r="N778" s="5">
        <f>IF($A778="","",IF($AQ778&lt;&gt;"",IF(INDEX(Raw_D2!$F$2:$F$1001,$AQ778)="","",INDEX(Raw_D2!$F$2:$F$1001,$AQ778)),IF($AR778&lt;&gt;"",IF(INDEX(Raw_D3!$N$2:$N$1001,$AR778)="","",INDEX(Raw_D3!$N$2:$N$1001,$AR778)),"")))</f>
        <v>1</v>
      </c>
      <c r="O778" s="5">
        <f>IF($A778="","",IF($AQ778&lt;&gt;"",IF(INDEX(Raw_D2!$G$2:$G$1001,$AQ778)="","",INDEX(Raw_D2!$G$2:$G$1001,$AQ778)),IF($AR778&lt;&gt;"",IF(INDEX(Raw_D3!$O$2:$O$1001,$AR778)="","",INDEX(Raw_D3!$O$2:$O$1001,$AR778)),"")))</f>
        <v>102</v>
      </c>
      <c r="P778" s="5">
        <f>IF($A778="","",IF($AQ778&lt;&gt;"",IF(INDEX(Raw_D2!$H$2:$H$1001,$AQ778)="","",INDEX(Raw_D2!$H$2:$H$1001,$AQ778)),IF($AR778&lt;&gt;"",IF(INDEX(Raw_D3!$P$2:$P$1001,$AR778)="","",INDEX(Raw_D3!$P$2:$P$1001,$AR778)),"")))</f>
        <v>103</v>
      </c>
      <c r="Q778" s="5" t="str">
        <f>IF($A778="","",IF(AND($AP778&lt;&gt;"",$AQ778&lt;&gt;""),"D1+D2",IF($AR778&lt;&gt;"","D3","Incomplete")))</f>
        <v>D3</v>
      </c>
      <c r="R778" s="17">
        <f>IF($A778="","",IF($K778="",IF($J778="","",ROUND(Lookups!$K$5+Lookups!$K$4*$J778,4)),$K778))</f>
        <v>0.2424</v>
      </c>
      <c r="S778" s="5" t="str">
        <f>IF($A778="","",IF($K778="","Imputed","Original"))</f>
        <v>Original</v>
      </c>
      <c r="T778" s="5" t="str">
        <f>IF($A778="","",IF($P778="","Missing",IF($P778=$N778+$O778,"OK","Mismatch")))</f>
        <v>OK</v>
      </c>
      <c r="U778" s="5" t="str">
        <f>IF($A778="","",IF(COUNTIF($A$2:$A778,$A778)&gt;1,"Duplicate","Unique"))</f>
        <v>Unique</v>
      </c>
      <c r="V778" s="5">
        <f>IF($A778="","",IF(AND($U778="Unique",ISNUMBER($P778)),1,0))</f>
        <v>1</v>
      </c>
      <c r="W778" s="5" t="str">
        <f>IF($A778="","",IF(OR($H778=0,$H778=6),"Weekend","Weekday"))</f>
        <v>Weekday</v>
      </c>
      <c r="X778" s="5" t="str">
        <f>IF($A778="","",TEXT($B778,"ddd"))</f>
        <v>Fri</v>
      </c>
      <c r="Y778" s="5" t="str">
        <f>IF($A778="","",TEXT($B778,"mmm"))</f>
        <v>Feb</v>
      </c>
      <c r="Z778" s="5" t="str">
        <f>IF($A778="","",IFERROR(VLOOKUP($C778,Lookups!$D$4:$E$7,2,FALSE),"Unknown"))</f>
        <v>Winter</v>
      </c>
      <c r="AA778" s="5" t="str">
        <f>IF($A778="","",IFERROR(VLOOKUP($I778,Lookups!$A$4:$B$7,2,FALSE),"Unknown"))</f>
        <v>Mist/Cloudy</v>
      </c>
      <c r="AB778" s="5" t="str">
        <f>IF($A778="","",TEXT($F778,"00")&amp;":00")</f>
        <v>19:00</v>
      </c>
      <c r="AC778" s="5" t="str">
        <f>IF($A778="","",VLOOKUP($F778,Lookups!$G$4:$H$8,2,TRUE))</f>
        <v>Evening Peak (16-19)</v>
      </c>
      <c r="AD778" s="18">
        <f>IF($A778="","",IF($J778="","",ROUND($J778*41,1)))</f>
        <v>9.8</v>
      </c>
      <c r="AE778" s="18">
        <f>IF($A778="","",IF($R778="","",ROUND($R778*50,1)))</f>
        <v>12.1</v>
      </c>
      <c r="AF778" s="5">
        <f>IF($A778="","",IF($L778="","",ROUND($L778*100,0)))</f>
        <v>65</v>
      </c>
      <c r="AG778" s="18">
        <f>IF($A778="","",IF($M778="","",ROUND($M778*67,1)))</f>
        <v>9</v>
      </c>
      <c r="AH778" s="19">
        <f>IF($A778="","",IF($P778="","",IF($P778=0,0,$O778/$P778)))</f>
        <v>0.990291262135922</v>
      </c>
      <c r="AI778" s="5" t="str">
        <f>IF($A778="","",IF($P778="","",IF($P778&gt;=Lookups!$K$7,"High",IF($P778&lt;=Lookups!$K$8,"Low","Medium"))))</f>
        <v>High</v>
      </c>
      <c r="AJ778" s="5" t="str">
        <f>IF($A778="","",IF($AD778="","",IF($AD778&lt;5,"Under 5 C",IF($AD778&lt;10,"5-10 C",IF($AD778&lt;15,"10-15 C","15 C and above")))))</f>
        <v>5-10 C</v>
      </c>
      <c r="AK778" s="5">
        <f>IF($A778="","",IF($P778="","",$P778^2))</f>
        <v>10609</v>
      </c>
      <c r="AL778" s="18">
        <f>IF($V778&lt;&gt;1,"",AVERAGEIFS(Clean_Data!$P$2:$P$1001,Clean_Data!$F$2:$F$1001,$F778,Clean_Data!$W$2:$W$1001,$W778,Clean_Data!$V$2:$V$1001,1))</f>
        <v>102.034482758621</v>
      </c>
      <c r="AM778" s="16">
        <f>IF($V778&lt;&gt;1,"",IFERROR(($P778-$AL778)/SQRT(MAX(0,(SUMIFS(Clean_Data!$AK$2:$AK$1001,Clean_Data!$F$2:$F$1001,$F778,Clean_Data!$W$2:$W$1001,$W778,Clean_Data!$V$2:$V$1001,1)-COUNTIFS(Clean_Data!$F$2:$F$1001,$F778,Clean_Data!$W$2:$W$1001,$W778,Clean_Data!$V$2:$V$1001,1)*$AL778^2)/(COUNTIFS(Clean_Data!$F$2:$F$1001,$F778,Clean_Data!$W$2:$W$1001,$W778,Clean_Data!$V$2:$V$1001,1)-1))),""))</f>
        <v>0.0454411094095556</v>
      </c>
      <c r="AN778" s="5" t="str">
        <f>IF($AM778="","",IF($AM778&gt;=Lookups!$K$6,"High spike",IF($AM778&lt;=-Lookups!$K$6,"Unusual low","Normal")))</f>
        <v>Normal</v>
      </c>
      <c r="AO778" s="20">
        <f>IF($V778&lt;&gt;1,"",$P778+ROW()/100000)</f>
        <v>103.00778</v>
      </c>
      <c r="AP778" s="5">
        <f>IF($A778="","",IFERROR(MATCH($A778,Raw_D1!$A$2:$A$1001,0),""))</f>
        <v/>
      </c>
      <c r="AQ778" s="5">
        <f>IF($A778="","",IFERROR(MATCH($A778,Raw_D2!$B$2:$B$1001,0),""))</f>
        <v/>
      </c>
      <c r="AR778" s="5">
        <f>IF($A778="","",IFERROR(MATCH($A778,Raw_D3!$A$2:$A$1001,0),""))</f>
        <v>158</v>
      </c>
    </row>
    <row r="779" spans="1:44" x14ac:dyDescent="0.25">
      <c r="A779" s="5">
        <v>778</v>
      </c>
      <c r="B779" s="11">
        <f>IF($A779="","",IF($AP779&lt;&gt;"",INDEX(Raw_D1!$B$2:$B$1001,$AP779),IF($AR779&lt;&gt;"",INDEX(Raw_D3!$B$2:$B$1001,$AR779),"")))</f>
        <v>40578.0</v>
      </c>
      <c r="C779" s="5">
        <f>IF($A779="","",IF($AP779&lt;&gt;"",INDEX(Raw_D1!$C$2:$C$1001,$AP779),IF($AR779&lt;&gt;"",INDEX(Raw_D3!$C$2:$C$1001,$AR779),"")))</f>
        <v>1</v>
      </c>
      <c r="D779" s="5">
        <f>IF($A779="","",IF($AP779&lt;&gt;"",INDEX(Raw_D1!$D$2:$D$1001,$AP779),IF($AR779&lt;&gt;"",INDEX(Raw_D3!$D$2:$D$1001,$AR779),"")))</f>
        <v>0</v>
      </c>
      <c r="E779" s="5">
        <f>IF($A779="","",IF($AP779&lt;&gt;"",INDEX(Raw_D1!$E$2:$E$1001,$AP779),IF($AR779&lt;&gt;"",INDEX(Raw_D3!$E$2:$E$1001,$AR779),"")))</f>
        <v>2</v>
      </c>
      <c r="F779" s="5">
        <f>IF($A779="","",IF($AP779&lt;&gt;"",INDEX(Raw_D1!$F$2:$F$1001,$AP779),IF($AR779&lt;&gt;"",INDEX(Raw_D3!$F$2:$F$1001,$AR779),"")))</f>
        <v>20</v>
      </c>
      <c r="G779" s="5">
        <f>IF($A779="","",IF($AP779&lt;&gt;"",IF(INDEX(Raw_D1!$G$2:$G$1001,$AP779),1,0),IF($AR779&lt;&gt;"",IF(INDEX(Raw_D3!$G$2:$G$1001,$AR779),1,0),"")))</f>
        <v>0</v>
      </c>
      <c r="H779" s="5">
        <f>IF($A779="","",IF($AP779&lt;&gt;"",INDEX(Raw_D1!$H$2:$H$1001,$AP779),IF($AR779&lt;&gt;"",INDEX(Raw_D3!$H$2:$H$1001,$AR779),"")))</f>
        <v>5</v>
      </c>
      <c r="I779" s="5">
        <f>IF($A779="","",IF($AP779&lt;&gt;"",INDEX(Raw_D1!$I$2:$I$1001,$AP779),IF($AR779&lt;&gt;"",INDEX(Raw_D3!$I$2:$I$1001,$AR779),"")))</f>
        <v>2</v>
      </c>
      <c r="J779" s="16">
        <f>IF($A779="","",IF($AP779&lt;&gt;"",INDEX(Raw_D1!$J$2:$J$1001,$AP779),IF($AR779&lt;&gt;"",INDEX(Raw_D3!$J$2:$J$1001,$AR779),"")))</f>
        <v>0.24</v>
      </c>
      <c r="K779" s="17">
        <f>IF($A779="","",IF($AQ779&lt;&gt;"",IF(INDEX(Raw_D2!$C$2:$C$1001,$AQ779)="","",INDEX(Raw_D2!$C$2:$C$1001,$AQ779)),IF($AR779&lt;&gt;"",IF(INDEX(Raw_D3!$K$2:$K$1001,$AR779)="","",INDEX(Raw_D3!$K$2:$K$1001,$AR779)),"")))</f>
        <v>0.2424</v>
      </c>
      <c r="L779" s="16">
        <f>IF($A779="","",IF($AQ779&lt;&gt;"",IF(INDEX(Raw_D2!$D$2:$D$1001,$AQ779)="","",INDEX(Raw_D2!$D$2:$D$1001,$AQ779)),IF($AR779&lt;&gt;"",IF(INDEX(Raw_D3!$L$2:$L$1001,$AR779)="","",INDEX(Raw_D3!$L$2:$L$1001,$AR779)),"")))</f>
        <v>0.65</v>
      </c>
      <c r="M779" s="17">
        <f>IF($A779="","",IF($AQ779&lt;&gt;"",IF(INDEX(Raw_D2!$E$2:$E$1001,$AQ779)="","",INDEX(Raw_D2!$E$2:$E$1001,$AQ779)),IF($AR779&lt;&gt;"",IF(INDEX(Raw_D3!$M$2:$M$1001,$AR779)="","",INDEX(Raw_D3!$M$2:$M$1001,$AR779)),"")))</f>
        <v>0.1642</v>
      </c>
      <c r="N779" s="5">
        <f>IF($A779="","",IF($AQ779&lt;&gt;"",IF(INDEX(Raw_D2!$F$2:$F$1001,$AQ779)="","",INDEX(Raw_D2!$F$2:$F$1001,$AQ779)),IF($AR779&lt;&gt;"",IF(INDEX(Raw_D3!$N$2:$N$1001,$AR779)="","",INDEX(Raw_D3!$N$2:$N$1001,$AR779)),"")))</f>
        <v>2</v>
      </c>
      <c r="O779" s="5">
        <f>IF($A779="","",IF($AQ779&lt;&gt;"",IF(INDEX(Raw_D2!$G$2:$G$1001,$AQ779)="","",INDEX(Raw_D2!$G$2:$G$1001,$AQ779)),IF($AR779&lt;&gt;"",IF(INDEX(Raw_D3!$O$2:$O$1001,$AR779)="","",INDEX(Raw_D3!$O$2:$O$1001,$AR779)),"")))</f>
        <v>69</v>
      </c>
      <c r="P779" s="5">
        <f>IF($A779="","",IF($AQ779&lt;&gt;"",IF(INDEX(Raw_D2!$H$2:$H$1001,$AQ779)="","",INDEX(Raw_D2!$H$2:$H$1001,$AQ779)),IF($AR779&lt;&gt;"",IF(INDEX(Raw_D3!$P$2:$P$1001,$AR779)="","",INDEX(Raw_D3!$P$2:$P$1001,$AR779)),"")))</f>
        <v>71</v>
      </c>
      <c r="Q779" s="5" t="str">
        <f>IF($A779="","",IF(AND($AP779&lt;&gt;"",$AQ779&lt;&gt;""),"D1+D2",IF($AR779&lt;&gt;"","D3","Incomplete")))</f>
        <v>D3</v>
      </c>
      <c r="R779" s="17">
        <f>IF($A779="","",IF($K779="",IF($J779="","",ROUND(Lookups!$K$5+Lookups!$K$4*$J779,4)),$K779))</f>
        <v>0.2424</v>
      </c>
      <c r="S779" s="5" t="str">
        <f>IF($A779="","",IF($K779="","Imputed","Original"))</f>
        <v>Original</v>
      </c>
      <c r="T779" s="5" t="str">
        <f>IF($A779="","",IF($P779="","Missing",IF($P779=$N779+$O779,"OK","Mismatch")))</f>
        <v>OK</v>
      </c>
      <c r="U779" s="5" t="str">
        <f>IF($A779="","",IF(COUNTIF($A$2:$A779,$A779)&gt;1,"Duplicate","Unique"))</f>
        <v>Unique</v>
      </c>
      <c r="V779" s="5">
        <f>IF($A779="","",IF(AND($U779="Unique",ISNUMBER($P779)),1,0))</f>
        <v>1</v>
      </c>
      <c r="W779" s="5" t="str">
        <f>IF($A779="","",IF(OR($H779=0,$H779=6),"Weekend","Weekday"))</f>
        <v>Weekday</v>
      </c>
      <c r="X779" s="5" t="str">
        <f>IF($A779="","",TEXT($B779,"ddd"))</f>
        <v>Fri</v>
      </c>
      <c r="Y779" s="5" t="str">
        <f>IF($A779="","",TEXT($B779,"mmm"))</f>
        <v>Feb</v>
      </c>
      <c r="Z779" s="5" t="str">
        <f>IF($A779="","",IFERROR(VLOOKUP($C779,Lookups!$D$4:$E$7,2,FALSE),"Unknown"))</f>
        <v>Winter</v>
      </c>
      <c r="AA779" s="5" t="str">
        <f>IF($A779="","",IFERROR(VLOOKUP($I779,Lookups!$A$4:$B$7,2,FALSE),"Unknown"))</f>
        <v>Mist/Cloudy</v>
      </c>
      <c r="AB779" s="5" t="str">
        <f>IF($A779="","",TEXT($F779,"00")&amp;":00")</f>
        <v>20:00</v>
      </c>
      <c r="AC779" s="5" t="str">
        <f>IF($A779="","",VLOOKUP($F779,Lookups!$G$4:$H$8,2,TRUE))</f>
        <v>Late Evening (20-23)</v>
      </c>
      <c r="AD779" s="18">
        <f>IF($A779="","",IF($J779="","",ROUND($J779*41,1)))</f>
        <v>9.8</v>
      </c>
      <c r="AE779" s="18">
        <f>IF($A779="","",IF($R779="","",ROUND($R779*50,1)))</f>
        <v>12.1</v>
      </c>
      <c r="AF779" s="5">
        <f>IF($A779="","",IF($L779="","",ROUND($L779*100,0)))</f>
        <v>65</v>
      </c>
      <c r="AG779" s="18">
        <f>IF($A779="","",IF($M779="","",ROUND($M779*67,1)))</f>
        <v>11</v>
      </c>
      <c r="AH779" s="19">
        <f>IF($A779="","",IF($P779="","",IF($P779=0,0,$O779/$P779)))</f>
        <v>0.971830985915493</v>
      </c>
      <c r="AI779" s="5" t="str">
        <f>IF($A779="","",IF($P779="","",IF($P779&gt;=Lookups!$K$7,"High",IF($P779&lt;=Lookups!$K$8,"Low","Medium"))))</f>
        <v>Medium</v>
      </c>
      <c r="AJ779" s="5" t="str">
        <f>IF($A779="","",IF($AD779="","",IF($AD779&lt;5,"Under 5 C",IF($AD779&lt;10,"5-10 C",IF($AD779&lt;15,"10-15 C","15 C and above")))))</f>
        <v>5-10 C</v>
      </c>
      <c r="AK779" s="5">
        <f>IF($A779="","",IF($P779="","",$P779^2))</f>
        <v>5041</v>
      </c>
      <c r="AL779" s="18">
        <f>IF($V779&lt;&gt;1,"",AVERAGEIFS(Clean_Data!$P$2:$P$1001,Clean_Data!$F$2:$F$1001,$F779,Clean_Data!$W$2:$W$1001,$W779,Clean_Data!$V$2:$V$1001,1))</f>
        <v>72.2758620689655</v>
      </c>
      <c r="AM779" s="16">
        <f>IF($V779&lt;&gt;1,"",IFERROR(($P779-$AL779)/SQRT(MAX(0,(SUMIFS(Clean_Data!$AK$2:$AK$1001,Clean_Data!$F$2:$F$1001,$F779,Clean_Data!$W$2:$W$1001,$W779,Clean_Data!$V$2:$V$1001,1)-COUNTIFS(Clean_Data!$F$2:$F$1001,$F779,Clean_Data!$W$2:$W$1001,$W779,Clean_Data!$V$2:$V$1001,1)*$AL779^2)/(COUNTIFS(Clean_Data!$F$2:$F$1001,$F779,Clean_Data!$W$2:$W$1001,$W779,Clean_Data!$V$2:$V$1001,1)-1))),""))</f>
        <v>-0.0577306544628857</v>
      </c>
      <c r="AN779" s="5" t="str">
        <f>IF($AM779="","",IF($AM779&gt;=Lookups!$K$6,"High spike",IF($AM779&lt;=-Lookups!$K$6,"Unusual low","Normal")))</f>
        <v>Normal</v>
      </c>
      <c r="AO779" s="20">
        <f>IF($V779&lt;&gt;1,"",$P779+ROW()/100000)</f>
        <v>71.00779</v>
      </c>
      <c r="AP779" s="5">
        <f>IF($A779="","",IFERROR(MATCH($A779,Raw_D1!$A$2:$A$1001,0),""))</f>
        <v/>
      </c>
      <c r="AQ779" s="5">
        <f>IF($A779="","",IFERROR(MATCH($A779,Raw_D2!$B$2:$B$1001,0),""))</f>
        <v/>
      </c>
      <c r="AR779" s="5">
        <f>IF($A779="","",IFERROR(MATCH($A779,Raw_D3!$A$2:$A$1001,0),""))</f>
        <v>159</v>
      </c>
    </row>
    <row r="780" spans="1:44" x14ac:dyDescent="0.25">
      <c r="A780" s="5">
        <v>779</v>
      </c>
      <c r="B780" s="11">
        <f>IF($A780="","",IF($AP780&lt;&gt;"",INDEX(Raw_D1!$B$2:$B$1001,$AP780),IF($AR780&lt;&gt;"",INDEX(Raw_D3!$B$2:$B$1001,$AR780),"")))</f>
        <v>40578.0</v>
      </c>
      <c r="C780" s="5">
        <f>IF($A780="","",IF($AP780&lt;&gt;"",INDEX(Raw_D1!$C$2:$C$1001,$AP780),IF($AR780&lt;&gt;"",INDEX(Raw_D3!$C$2:$C$1001,$AR780),"")))</f>
        <v>1</v>
      </c>
      <c r="D780" s="5">
        <f>IF($A780="","",IF($AP780&lt;&gt;"",INDEX(Raw_D1!$D$2:$D$1001,$AP780),IF($AR780&lt;&gt;"",INDEX(Raw_D3!$D$2:$D$1001,$AR780),"")))</f>
        <v>0</v>
      </c>
      <c r="E780" s="5">
        <f>IF($A780="","",IF($AP780&lt;&gt;"",INDEX(Raw_D1!$E$2:$E$1001,$AP780),IF($AR780&lt;&gt;"",INDEX(Raw_D3!$E$2:$E$1001,$AR780),"")))</f>
        <v>2</v>
      </c>
      <c r="F780" s="5">
        <f>IF($A780="","",IF($AP780&lt;&gt;"",INDEX(Raw_D1!$F$2:$F$1001,$AP780),IF($AR780&lt;&gt;"",INDEX(Raw_D3!$F$2:$F$1001,$AR780),"")))</f>
        <v>21</v>
      </c>
      <c r="G780" s="5">
        <f>IF($A780="","",IF($AP780&lt;&gt;"",IF(INDEX(Raw_D1!$G$2:$G$1001,$AP780),1,0),IF($AR780&lt;&gt;"",IF(INDEX(Raw_D3!$G$2:$G$1001,$AR780),1,0),"")))</f>
        <v>0</v>
      </c>
      <c r="H780" s="5">
        <f>IF($A780="","",IF($AP780&lt;&gt;"",INDEX(Raw_D1!$H$2:$H$1001,$AP780),IF($AR780&lt;&gt;"",INDEX(Raw_D3!$H$2:$H$1001,$AR780),"")))</f>
        <v>5</v>
      </c>
      <c r="I780" s="5">
        <f>IF($A780="","",IF($AP780&lt;&gt;"",INDEX(Raw_D1!$I$2:$I$1001,$AP780),IF($AR780&lt;&gt;"",INDEX(Raw_D3!$I$2:$I$1001,$AR780),"")))</f>
        <v>2</v>
      </c>
      <c r="J780" s="16">
        <f>IF($A780="","",IF($AP780&lt;&gt;"",INDEX(Raw_D1!$J$2:$J$1001,$AP780),IF($AR780&lt;&gt;"",INDEX(Raw_D3!$J$2:$J$1001,$AR780),"")))</f>
        <v>0.24</v>
      </c>
      <c r="K780" s="17">
        <f>IF($A780="","",IF($AQ780&lt;&gt;"",IF(INDEX(Raw_D2!$C$2:$C$1001,$AQ780)="","",INDEX(Raw_D2!$C$2:$C$1001,$AQ780)),IF($AR780&lt;&gt;"",IF(INDEX(Raw_D3!$K$2:$K$1001,$AR780)="","",INDEX(Raw_D3!$K$2:$K$1001,$AR780)),"")))</f>
        <v>0.2424</v>
      </c>
      <c r="L780" s="16">
        <f>IF($A780="","",IF($AQ780&lt;&gt;"",IF(INDEX(Raw_D2!$D$2:$D$1001,$AQ780)="","",INDEX(Raw_D2!$D$2:$D$1001,$AQ780)),IF($AR780&lt;&gt;"",IF(INDEX(Raw_D3!$L$2:$L$1001,$AR780)="","",INDEX(Raw_D3!$L$2:$L$1001,$AR780)),"")))</f>
        <v>0.7</v>
      </c>
      <c r="M780" s="17">
        <f>IF($A780="","",IF($AQ780&lt;&gt;"",IF(INDEX(Raw_D2!$E$2:$E$1001,$AQ780)="","",INDEX(Raw_D2!$E$2:$E$1001,$AQ780)),IF($AR780&lt;&gt;"",IF(INDEX(Raw_D3!$M$2:$M$1001,$AR780)="","",INDEX(Raw_D3!$M$2:$M$1001,$AR780)),"")))</f>
        <v>0.1642</v>
      </c>
      <c r="N780" s="5">
        <f>IF($A780="","",IF($AQ780&lt;&gt;"",IF(INDEX(Raw_D2!$F$2:$F$1001,$AQ780)="","",INDEX(Raw_D2!$F$2:$F$1001,$AQ780)),IF($AR780&lt;&gt;"",IF(INDEX(Raw_D3!$N$2:$N$1001,$AR780)="","",INDEX(Raw_D3!$N$2:$N$1001,$AR780)),"")))</f>
        <v>2</v>
      </c>
      <c r="O780" s="5">
        <f>IF($A780="","",IF($AQ780&lt;&gt;"",IF(INDEX(Raw_D2!$G$2:$G$1001,$AQ780)="","",INDEX(Raw_D2!$G$2:$G$1001,$AQ780)),IF($AR780&lt;&gt;"",IF(INDEX(Raw_D3!$O$2:$O$1001,$AR780)="","",INDEX(Raw_D3!$O$2:$O$1001,$AR780)),"")))</f>
        <v>41</v>
      </c>
      <c r="P780" s="5">
        <f>IF($A780="","",IF($AQ780&lt;&gt;"",IF(INDEX(Raw_D2!$H$2:$H$1001,$AQ780)="","",INDEX(Raw_D2!$H$2:$H$1001,$AQ780)),IF($AR780&lt;&gt;"",IF(INDEX(Raw_D3!$P$2:$P$1001,$AR780)="","",INDEX(Raw_D3!$P$2:$P$1001,$AR780)),"")))</f>
        <v>43</v>
      </c>
      <c r="Q780" s="5" t="str">
        <f>IF($A780="","",IF(AND($AP780&lt;&gt;"",$AQ780&lt;&gt;""),"D1+D2",IF($AR780&lt;&gt;"","D3","Incomplete")))</f>
        <v>D3</v>
      </c>
      <c r="R780" s="17">
        <f>IF($A780="","",IF($K780="",IF($J780="","",ROUND(Lookups!$K$5+Lookups!$K$4*$J780,4)),$K780))</f>
        <v>0.2424</v>
      </c>
      <c r="S780" s="5" t="str">
        <f>IF($A780="","",IF($K780="","Imputed","Original"))</f>
        <v>Original</v>
      </c>
      <c r="T780" s="5" t="str">
        <f>IF($A780="","",IF($P780="","Missing",IF($P780=$N780+$O780,"OK","Mismatch")))</f>
        <v>OK</v>
      </c>
      <c r="U780" s="5" t="str">
        <f>IF($A780="","",IF(COUNTIF($A$2:$A780,$A780)&gt;1,"Duplicate","Unique"))</f>
        <v>Unique</v>
      </c>
      <c r="V780" s="5">
        <f>IF($A780="","",IF(AND($U780="Unique",ISNUMBER($P780)),1,0))</f>
        <v>1</v>
      </c>
      <c r="W780" s="5" t="str">
        <f>IF($A780="","",IF(OR($H780=0,$H780=6),"Weekend","Weekday"))</f>
        <v>Weekday</v>
      </c>
      <c r="X780" s="5" t="str">
        <f>IF($A780="","",TEXT($B780,"ddd"))</f>
        <v>Fri</v>
      </c>
      <c r="Y780" s="5" t="str">
        <f>IF($A780="","",TEXT($B780,"mmm"))</f>
        <v>Feb</v>
      </c>
      <c r="Z780" s="5" t="str">
        <f>IF($A780="","",IFERROR(VLOOKUP($C780,Lookups!$D$4:$E$7,2,FALSE),"Unknown"))</f>
        <v>Winter</v>
      </c>
      <c r="AA780" s="5" t="str">
        <f>IF($A780="","",IFERROR(VLOOKUP($I780,Lookups!$A$4:$B$7,2,FALSE),"Unknown"))</f>
        <v>Mist/Cloudy</v>
      </c>
      <c r="AB780" s="5" t="str">
        <f>IF($A780="","",TEXT($F780,"00")&amp;":00")</f>
        <v>21:00</v>
      </c>
      <c r="AC780" s="5" t="str">
        <f>IF($A780="","",VLOOKUP($F780,Lookups!$G$4:$H$8,2,TRUE))</f>
        <v>Late Evening (20-23)</v>
      </c>
      <c r="AD780" s="18">
        <f>IF($A780="","",IF($J780="","",ROUND($J780*41,1)))</f>
        <v>9.8</v>
      </c>
      <c r="AE780" s="18">
        <f>IF($A780="","",IF($R780="","",ROUND($R780*50,1)))</f>
        <v>12.1</v>
      </c>
      <c r="AF780" s="5">
        <f>IF($A780="","",IF($L780="","",ROUND($L780*100,0)))</f>
        <v>70</v>
      </c>
      <c r="AG780" s="18">
        <f>IF($A780="","",IF($M780="","",ROUND($M780*67,1)))</f>
        <v>11</v>
      </c>
      <c r="AH780" s="19">
        <f>IF($A780="","",IF($P780="","",IF($P780=0,0,$O780/$P780)))</f>
        <v>0.953488372093023</v>
      </c>
      <c r="AI780" s="5" t="str">
        <f>IF($A780="","",IF($P780="","",IF($P780&gt;=Lookups!$K$7,"High",IF($P780&lt;=Lookups!$K$8,"Low","Medium"))))</f>
        <v>Medium</v>
      </c>
      <c r="AJ780" s="5" t="str">
        <f>IF($A780="","",IF($AD780="","",IF($AD780&lt;5,"Under 5 C",IF($AD780&lt;10,"5-10 C",IF($AD780&lt;15,"10-15 C","15 C and above")))))</f>
        <v>5-10 C</v>
      </c>
      <c r="AK780" s="5">
        <f>IF($A780="","",IF($P780="","",$P780^2))</f>
        <v>1849</v>
      </c>
      <c r="AL780" s="18">
        <f>IF($V780&lt;&gt;1,"",AVERAGEIFS(Clean_Data!$P$2:$P$1001,Clean_Data!$F$2:$F$1001,$F780,Clean_Data!$W$2:$W$1001,$W780,Clean_Data!$V$2:$V$1001,1))</f>
        <v>50.8965517241379</v>
      </c>
      <c r="AM780" s="16">
        <f>IF($V780&lt;&gt;1,"",IFERROR(($P780-$AL780)/SQRT(MAX(0,(SUMIFS(Clean_Data!$AK$2:$AK$1001,Clean_Data!$F$2:$F$1001,$F780,Clean_Data!$W$2:$W$1001,$W780,Clean_Data!$V$2:$V$1001,1)-COUNTIFS(Clean_Data!$F$2:$F$1001,$F780,Clean_Data!$W$2:$W$1001,$W780,Clean_Data!$V$2:$V$1001,1)*$AL780^2)/(COUNTIFS(Clean_Data!$F$2:$F$1001,$F780,Clean_Data!$W$2:$W$1001,$W780,Clean_Data!$V$2:$V$1001,1)-1))),""))</f>
        <v>-0.571872433516262</v>
      </c>
      <c r="AN780" s="5" t="str">
        <f>IF($AM780="","",IF($AM780&gt;=Lookups!$K$6,"High spike",IF($AM780&lt;=-Lookups!$K$6,"Unusual low","Normal")))</f>
        <v>Normal</v>
      </c>
      <c r="AO780" s="20">
        <f>IF($V780&lt;&gt;1,"",$P780+ROW()/100000)</f>
        <v>43.0078</v>
      </c>
      <c r="AP780" s="5">
        <f>IF($A780="","",IFERROR(MATCH($A780,Raw_D1!$A$2:$A$1001,0),""))</f>
        <v/>
      </c>
      <c r="AQ780" s="5">
        <f>IF($A780="","",IFERROR(MATCH($A780,Raw_D2!$B$2:$B$1001,0),""))</f>
        <v/>
      </c>
      <c r="AR780" s="5">
        <f>IF($A780="","",IFERROR(MATCH($A780,Raw_D3!$A$2:$A$1001,0),""))</f>
        <v>160</v>
      </c>
    </row>
    <row r="781" spans="1:44" x14ac:dyDescent="0.25">
      <c r="A781" s="5">
        <v>780</v>
      </c>
      <c r="B781" s="11">
        <f>IF($A781="","",IF($AP781&lt;&gt;"",INDEX(Raw_D1!$B$2:$B$1001,$AP781),IF($AR781&lt;&gt;"",INDEX(Raw_D3!$B$2:$B$1001,$AR781),"")))</f>
        <v>40578.0</v>
      </c>
      <c r="C781" s="5">
        <f>IF($A781="","",IF($AP781&lt;&gt;"",INDEX(Raw_D1!$C$2:$C$1001,$AP781),IF($AR781&lt;&gt;"",INDEX(Raw_D3!$C$2:$C$1001,$AR781),"")))</f>
        <v>1</v>
      </c>
      <c r="D781" s="5">
        <f>IF($A781="","",IF($AP781&lt;&gt;"",INDEX(Raw_D1!$D$2:$D$1001,$AP781),IF($AR781&lt;&gt;"",INDEX(Raw_D3!$D$2:$D$1001,$AR781),"")))</f>
        <v>0</v>
      </c>
      <c r="E781" s="5">
        <f>IF($A781="","",IF($AP781&lt;&gt;"",INDEX(Raw_D1!$E$2:$E$1001,$AP781),IF($AR781&lt;&gt;"",INDEX(Raw_D3!$E$2:$E$1001,$AR781),"")))</f>
        <v>2</v>
      </c>
      <c r="F781" s="5">
        <f>IF($A781="","",IF($AP781&lt;&gt;"",INDEX(Raw_D1!$F$2:$F$1001,$AP781),IF($AR781&lt;&gt;"",INDEX(Raw_D3!$F$2:$F$1001,$AR781),"")))</f>
        <v>22</v>
      </c>
      <c r="G781" s="5">
        <f>IF($A781="","",IF($AP781&lt;&gt;"",IF(INDEX(Raw_D1!$G$2:$G$1001,$AP781),1,0),IF($AR781&lt;&gt;"",IF(INDEX(Raw_D3!$G$2:$G$1001,$AR781),1,0),"")))</f>
        <v>0</v>
      </c>
      <c r="H781" s="5">
        <f>IF($A781="","",IF($AP781&lt;&gt;"",INDEX(Raw_D1!$H$2:$H$1001,$AP781),IF($AR781&lt;&gt;"",INDEX(Raw_D3!$H$2:$H$1001,$AR781),"")))</f>
        <v>5</v>
      </c>
      <c r="I781" s="5">
        <f>IF($A781="","",IF($AP781&lt;&gt;"",INDEX(Raw_D1!$I$2:$I$1001,$AP781),IF($AR781&lt;&gt;"",INDEX(Raw_D3!$I$2:$I$1001,$AR781),"")))</f>
        <v>2</v>
      </c>
      <c r="J781" s="16">
        <f>IF($A781="","",IF($AP781&lt;&gt;"",INDEX(Raw_D1!$J$2:$J$1001,$AP781),IF($AR781&lt;&gt;"",INDEX(Raw_D3!$J$2:$J$1001,$AR781),"")))</f>
        <v>0.24</v>
      </c>
      <c r="K781" s="17">
        <f>IF($A781="","",IF($AQ781&lt;&gt;"",IF(INDEX(Raw_D2!$C$2:$C$1001,$AQ781)="","",INDEX(Raw_D2!$C$2:$C$1001,$AQ781)),IF($AR781&lt;&gt;"",IF(INDEX(Raw_D3!$K$2:$K$1001,$AR781)="","",INDEX(Raw_D3!$K$2:$K$1001,$AR781)),"")))</f>
        <v>0.2424</v>
      </c>
      <c r="L781" s="16">
        <f>IF($A781="","",IF($AQ781&lt;&gt;"",IF(INDEX(Raw_D2!$D$2:$D$1001,$AQ781)="","",INDEX(Raw_D2!$D$2:$D$1001,$AQ781)),IF($AR781&lt;&gt;"",IF(INDEX(Raw_D3!$L$2:$L$1001,$AR781)="","",INDEX(Raw_D3!$L$2:$L$1001,$AR781)),"")))</f>
        <v>0.65</v>
      </c>
      <c r="M781" s="17">
        <f>IF($A781="","",IF($AQ781&lt;&gt;"",IF(INDEX(Raw_D2!$E$2:$E$1001,$AQ781)="","",INDEX(Raw_D2!$E$2:$E$1001,$AQ781)),IF($AR781&lt;&gt;"",IF(INDEX(Raw_D3!$M$2:$M$1001,$AR781)="","",INDEX(Raw_D3!$M$2:$M$1001,$AR781)),"")))</f>
        <v>0.1642</v>
      </c>
      <c r="N781" s="5">
        <f>IF($A781="","",IF($AQ781&lt;&gt;"",IF(INDEX(Raw_D2!$F$2:$F$1001,$AQ781)="","",INDEX(Raw_D2!$F$2:$F$1001,$AQ781)),IF($AR781&lt;&gt;"",IF(INDEX(Raw_D3!$N$2:$N$1001,$AR781)="","",INDEX(Raw_D3!$N$2:$N$1001,$AR781)),"")))</f>
        <v>1</v>
      </c>
      <c r="O781" s="5">
        <f>IF($A781="","",IF($AQ781&lt;&gt;"",IF(INDEX(Raw_D2!$G$2:$G$1001,$AQ781)="","",INDEX(Raw_D2!$G$2:$G$1001,$AQ781)),IF($AR781&lt;&gt;"",IF(INDEX(Raw_D3!$O$2:$O$1001,$AR781)="","",INDEX(Raw_D3!$O$2:$O$1001,$AR781)),"")))</f>
        <v>45</v>
      </c>
      <c r="P781" s="5">
        <f>IF($A781="","",IF($AQ781&lt;&gt;"",IF(INDEX(Raw_D2!$H$2:$H$1001,$AQ781)="","",INDEX(Raw_D2!$H$2:$H$1001,$AQ781)),IF($AR781&lt;&gt;"",IF(INDEX(Raw_D3!$P$2:$P$1001,$AR781)="","",INDEX(Raw_D3!$P$2:$P$1001,$AR781)),"")))</f>
        <v>46</v>
      </c>
      <c r="Q781" s="5" t="str">
        <f>IF($A781="","",IF(AND($AP781&lt;&gt;"",$AQ781&lt;&gt;""),"D1+D2",IF($AR781&lt;&gt;"","D3","Incomplete")))</f>
        <v>D3</v>
      </c>
      <c r="R781" s="17">
        <f>IF($A781="","",IF($K781="",IF($J781="","",ROUND(Lookups!$K$5+Lookups!$K$4*$J781,4)),$K781))</f>
        <v>0.2424</v>
      </c>
      <c r="S781" s="5" t="str">
        <f>IF($A781="","",IF($K781="","Imputed","Original"))</f>
        <v>Original</v>
      </c>
      <c r="T781" s="5" t="str">
        <f>IF($A781="","",IF($P781="","Missing",IF($P781=$N781+$O781,"OK","Mismatch")))</f>
        <v>OK</v>
      </c>
      <c r="U781" s="5" t="str">
        <f>IF($A781="","",IF(COUNTIF($A$2:$A781,$A781)&gt;1,"Duplicate","Unique"))</f>
        <v>Unique</v>
      </c>
      <c r="V781" s="5">
        <f>IF($A781="","",IF(AND($U781="Unique",ISNUMBER($P781)),1,0))</f>
        <v>1</v>
      </c>
      <c r="W781" s="5" t="str">
        <f>IF($A781="","",IF(OR($H781=0,$H781=6),"Weekend","Weekday"))</f>
        <v>Weekday</v>
      </c>
      <c r="X781" s="5" t="str">
        <f>IF($A781="","",TEXT($B781,"ddd"))</f>
        <v>Fri</v>
      </c>
      <c r="Y781" s="5" t="str">
        <f>IF($A781="","",TEXT($B781,"mmm"))</f>
        <v>Feb</v>
      </c>
      <c r="Z781" s="5" t="str">
        <f>IF($A781="","",IFERROR(VLOOKUP($C781,Lookups!$D$4:$E$7,2,FALSE),"Unknown"))</f>
        <v>Winter</v>
      </c>
      <c r="AA781" s="5" t="str">
        <f>IF($A781="","",IFERROR(VLOOKUP($I781,Lookups!$A$4:$B$7,2,FALSE),"Unknown"))</f>
        <v>Mist/Cloudy</v>
      </c>
      <c r="AB781" s="5" t="str">
        <f>IF($A781="","",TEXT($F781,"00")&amp;":00")</f>
        <v>22:00</v>
      </c>
      <c r="AC781" s="5" t="str">
        <f>IF($A781="","",VLOOKUP($F781,Lookups!$G$4:$H$8,2,TRUE))</f>
        <v>Late Evening (20-23)</v>
      </c>
      <c r="AD781" s="18">
        <f>IF($A781="","",IF($J781="","",ROUND($J781*41,1)))</f>
        <v>9.8</v>
      </c>
      <c r="AE781" s="18">
        <f>IF($A781="","",IF($R781="","",ROUND($R781*50,1)))</f>
        <v>12.1</v>
      </c>
      <c r="AF781" s="5">
        <f>IF($A781="","",IF($L781="","",ROUND($L781*100,0)))</f>
        <v>65</v>
      </c>
      <c r="AG781" s="18">
        <f>IF($A781="","",IF($M781="","",ROUND($M781*67,1)))</f>
        <v>11</v>
      </c>
      <c r="AH781" s="19">
        <f>IF($A781="","",IF($P781="","",IF($P781=0,0,$O781/$P781)))</f>
        <v>0.978260869565217</v>
      </c>
      <c r="AI781" s="5" t="str">
        <f>IF($A781="","",IF($P781="","",IF($P781&gt;=Lookups!$K$7,"High",IF($P781&lt;=Lookups!$K$8,"Low","Medium"))))</f>
        <v>Medium</v>
      </c>
      <c r="AJ781" s="5" t="str">
        <f>IF($A781="","",IF($AD781="","",IF($AD781&lt;5,"Under 5 C",IF($AD781&lt;10,"5-10 C",IF($AD781&lt;15,"10-15 C","15 C and above")))))</f>
        <v>5-10 C</v>
      </c>
      <c r="AK781" s="5">
        <f>IF($A781="","",IF($P781="","",$P781^2))</f>
        <v>2116</v>
      </c>
      <c r="AL781" s="18">
        <f>IF($V781&lt;&gt;1,"",AVERAGEIFS(Clean_Data!$P$2:$P$1001,Clean_Data!$F$2:$F$1001,$F781,Clean_Data!$W$2:$W$1001,$W781,Clean_Data!$V$2:$V$1001,1))</f>
        <v>37.1034482758621</v>
      </c>
      <c r="AM781" s="16">
        <f>IF($V781&lt;&gt;1,"",IFERROR(($P781-$AL781)/SQRT(MAX(0,(SUMIFS(Clean_Data!$AK$2:$AK$1001,Clean_Data!$F$2:$F$1001,$F781,Clean_Data!$W$2:$W$1001,$W781,Clean_Data!$V$2:$V$1001,1)-COUNTIFS(Clean_Data!$F$2:$F$1001,$F781,Clean_Data!$W$2:$W$1001,$W781,Clean_Data!$V$2:$V$1001,1)*$AL781^2)/(COUNTIFS(Clean_Data!$F$2:$F$1001,$F781,Clean_Data!$W$2:$W$1001,$W781,Clean_Data!$V$2:$V$1001,1)-1))),""))</f>
        <v>0.824162482612766</v>
      </c>
      <c r="AN781" s="5" t="str">
        <f>IF($AM781="","",IF($AM781&gt;=Lookups!$K$6,"High spike",IF($AM781&lt;=-Lookups!$K$6,"Unusual low","Normal")))</f>
        <v>Normal</v>
      </c>
      <c r="AO781" s="20">
        <f>IF($V781&lt;&gt;1,"",$P781+ROW()/100000)</f>
        <v>46.00781</v>
      </c>
      <c r="AP781" s="5">
        <f>IF($A781="","",IFERROR(MATCH($A781,Raw_D1!$A$2:$A$1001,0),""))</f>
        <v/>
      </c>
      <c r="AQ781" s="5">
        <f>IF($A781="","",IFERROR(MATCH($A781,Raw_D2!$B$2:$B$1001,0),""))</f>
        <v/>
      </c>
      <c r="AR781" s="5">
        <f>IF($A781="","",IFERROR(MATCH($A781,Raw_D3!$A$2:$A$1001,0),""))</f>
        <v>161</v>
      </c>
    </row>
    <row r="782" spans="1:44" x14ac:dyDescent="0.25">
      <c r="A782" s="5">
        <v>781</v>
      </c>
      <c r="B782" s="11">
        <f>IF($A782="","",IF($AP782&lt;&gt;"",INDEX(Raw_D1!$B$2:$B$1001,$AP782),IF($AR782&lt;&gt;"",INDEX(Raw_D3!$B$2:$B$1001,$AR782),"")))</f>
        <v>40578.0</v>
      </c>
      <c r="C782" s="5">
        <f>IF($A782="","",IF($AP782&lt;&gt;"",INDEX(Raw_D1!$C$2:$C$1001,$AP782),IF($AR782&lt;&gt;"",INDEX(Raw_D3!$C$2:$C$1001,$AR782),"")))</f>
        <v>1</v>
      </c>
      <c r="D782" s="5">
        <f>IF($A782="","",IF($AP782&lt;&gt;"",INDEX(Raw_D1!$D$2:$D$1001,$AP782),IF($AR782&lt;&gt;"",INDEX(Raw_D3!$D$2:$D$1001,$AR782),"")))</f>
        <v>0</v>
      </c>
      <c r="E782" s="5">
        <f>IF($A782="","",IF($AP782&lt;&gt;"",INDEX(Raw_D1!$E$2:$E$1001,$AP782),IF($AR782&lt;&gt;"",INDEX(Raw_D3!$E$2:$E$1001,$AR782),"")))</f>
        <v>2</v>
      </c>
      <c r="F782" s="5">
        <f>IF($A782="","",IF($AP782&lt;&gt;"",INDEX(Raw_D1!$F$2:$F$1001,$AP782),IF($AR782&lt;&gt;"",INDEX(Raw_D3!$F$2:$F$1001,$AR782),"")))</f>
        <v>23</v>
      </c>
      <c r="G782" s="5">
        <f>IF($A782="","",IF($AP782&lt;&gt;"",IF(INDEX(Raw_D1!$G$2:$G$1001,$AP782),1,0),IF($AR782&lt;&gt;"",IF(INDEX(Raw_D3!$G$2:$G$1001,$AR782),1,0),"")))</f>
        <v>0</v>
      </c>
      <c r="H782" s="5">
        <f>IF($A782="","",IF($AP782&lt;&gt;"",INDEX(Raw_D1!$H$2:$H$1001,$AP782),IF($AR782&lt;&gt;"",INDEX(Raw_D3!$H$2:$H$1001,$AR782),"")))</f>
        <v>5</v>
      </c>
      <c r="I782" s="5">
        <f>IF($A782="","",IF($AP782&lt;&gt;"",INDEX(Raw_D1!$I$2:$I$1001,$AP782),IF($AR782&lt;&gt;"",INDEX(Raw_D3!$I$2:$I$1001,$AR782),"")))</f>
        <v>2</v>
      </c>
      <c r="J782" s="16">
        <f>IF($A782="","",IF($AP782&lt;&gt;"",INDEX(Raw_D1!$J$2:$J$1001,$AP782),IF($AR782&lt;&gt;"",INDEX(Raw_D3!$J$2:$J$1001,$AR782),"")))</f>
        <v>0.24</v>
      </c>
      <c r="K782" s="17">
        <f>IF($A782="","",IF($AQ782&lt;&gt;"",IF(INDEX(Raw_D2!$C$2:$C$1001,$AQ782)="","",INDEX(Raw_D2!$C$2:$C$1001,$AQ782)),IF($AR782&lt;&gt;"",IF(INDEX(Raw_D3!$K$2:$K$1001,$AR782)="","",INDEX(Raw_D3!$K$2:$K$1001,$AR782)),"")))</f>
        <v>0.2424</v>
      </c>
      <c r="L782" s="16">
        <f>IF($A782="","",IF($AQ782&lt;&gt;"",IF(INDEX(Raw_D2!$D$2:$D$1001,$AQ782)="","",INDEX(Raw_D2!$D$2:$D$1001,$AQ782)),IF($AR782&lt;&gt;"",IF(INDEX(Raw_D3!$L$2:$L$1001,$AR782)="","",INDEX(Raw_D3!$L$2:$L$1001,$AR782)),"")))</f>
        <v>0.7</v>
      </c>
      <c r="M782" s="17">
        <f>IF($A782="","",IF($AQ782&lt;&gt;"",IF(INDEX(Raw_D2!$E$2:$E$1001,$AQ782)="","",INDEX(Raw_D2!$E$2:$E$1001,$AQ782)),IF($AR782&lt;&gt;"",IF(INDEX(Raw_D3!$M$2:$M$1001,$AR782)="","",INDEX(Raw_D3!$M$2:$M$1001,$AR782)),"")))</f>
        <v>0.1343</v>
      </c>
      <c r="N782" s="5">
        <f>IF($A782="","",IF($AQ782&lt;&gt;"",IF(INDEX(Raw_D2!$F$2:$F$1001,$AQ782)="","",INDEX(Raw_D2!$F$2:$F$1001,$AQ782)),IF($AR782&lt;&gt;"",IF(INDEX(Raw_D3!$N$2:$N$1001,$AR782)="","",INDEX(Raw_D3!$N$2:$N$1001,$AR782)),"")))</f>
        <v>1</v>
      </c>
      <c r="O782" s="5">
        <f>IF($A782="","",IF($AQ782&lt;&gt;"",IF(INDEX(Raw_D2!$G$2:$G$1001,$AQ782)="","",INDEX(Raw_D2!$G$2:$G$1001,$AQ782)),IF($AR782&lt;&gt;"",IF(INDEX(Raw_D3!$O$2:$O$1001,$AR782)="","",INDEX(Raw_D3!$O$2:$O$1001,$AR782)),"")))</f>
        <v>30</v>
      </c>
      <c r="P782" s="5">
        <f>IF($A782="","",IF($AQ782&lt;&gt;"",IF(INDEX(Raw_D2!$H$2:$H$1001,$AQ782)="","",INDEX(Raw_D2!$H$2:$H$1001,$AQ782)),IF($AR782&lt;&gt;"",IF(INDEX(Raw_D3!$P$2:$P$1001,$AR782)="","",INDEX(Raw_D3!$P$2:$P$1001,$AR782)),"")))</f>
        <v>31</v>
      </c>
      <c r="Q782" s="5" t="str">
        <f>IF($A782="","",IF(AND($AP782&lt;&gt;"",$AQ782&lt;&gt;""),"D1+D2",IF($AR782&lt;&gt;"","D3","Incomplete")))</f>
        <v>D3</v>
      </c>
      <c r="R782" s="17">
        <f>IF($A782="","",IF($K782="",IF($J782="","",ROUND(Lookups!$K$5+Lookups!$K$4*$J782,4)),$K782))</f>
        <v>0.2424</v>
      </c>
      <c r="S782" s="5" t="str">
        <f>IF($A782="","",IF($K782="","Imputed","Original"))</f>
        <v>Original</v>
      </c>
      <c r="T782" s="5" t="str">
        <f>IF($A782="","",IF($P782="","Missing",IF($P782=$N782+$O782,"OK","Mismatch")))</f>
        <v>OK</v>
      </c>
      <c r="U782" s="5" t="str">
        <f>IF($A782="","",IF(COUNTIF($A$2:$A782,$A782)&gt;1,"Duplicate","Unique"))</f>
        <v>Unique</v>
      </c>
      <c r="V782" s="5">
        <f>IF($A782="","",IF(AND($U782="Unique",ISNUMBER($P782)),1,0))</f>
        <v>1</v>
      </c>
      <c r="W782" s="5" t="str">
        <f>IF($A782="","",IF(OR($H782=0,$H782=6),"Weekend","Weekday"))</f>
        <v>Weekday</v>
      </c>
      <c r="X782" s="5" t="str">
        <f>IF($A782="","",TEXT($B782,"ddd"))</f>
        <v>Fri</v>
      </c>
      <c r="Y782" s="5" t="str">
        <f>IF($A782="","",TEXT($B782,"mmm"))</f>
        <v>Feb</v>
      </c>
      <c r="Z782" s="5" t="str">
        <f>IF($A782="","",IFERROR(VLOOKUP($C782,Lookups!$D$4:$E$7,2,FALSE),"Unknown"))</f>
        <v>Winter</v>
      </c>
      <c r="AA782" s="5" t="str">
        <f>IF($A782="","",IFERROR(VLOOKUP($I782,Lookups!$A$4:$B$7,2,FALSE),"Unknown"))</f>
        <v>Mist/Cloudy</v>
      </c>
      <c r="AB782" s="5" t="str">
        <f>IF($A782="","",TEXT($F782,"00")&amp;":00")</f>
        <v>23:00</v>
      </c>
      <c r="AC782" s="5" t="str">
        <f>IF($A782="","",VLOOKUP($F782,Lookups!$G$4:$H$8,2,TRUE))</f>
        <v>Late Evening (20-23)</v>
      </c>
      <c r="AD782" s="18">
        <f>IF($A782="","",IF($J782="","",ROUND($J782*41,1)))</f>
        <v>9.8</v>
      </c>
      <c r="AE782" s="18">
        <f>IF($A782="","",IF($R782="","",ROUND($R782*50,1)))</f>
        <v>12.1</v>
      </c>
      <c r="AF782" s="5">
        <f>IF($A782="","",IF($L782="","",ROUND($L782*100,0)))</f>
        <v>70</v>
      </c>
      <c r="AG782" s="18">
        <f>IF($A782="","",IF($M782="","",ROUND($M782*67,1)))</f>
        <v>9</v>
      </c>
      <c r="AH782" s="19">
        <f>IF($A782="","",IF($P782="","",IF($P782=0,0,$O782/$P782)))</f>
        <v>0.967741935483871</v>
      </c>
      <c r="AI782" s="5" t="str">
        <f>IF($A782="","",IF($P782="","",IF($P782&gt;=Lookups!$K$7,"High",IF($P782&lt;=Lookups!$K$8,"Low","Medium"))))</f>
        <v>Medium</v>
      </c>
      <c r="AJ782" s="5" t="str">
        <f>IF($A782="","",IF($AD782="","",IF($AD782&lt;5,"Under 5 C",IF($AD782&lt;10,"5-10 C",IF($AD782&lt;15,"10-15 C","15 C and above")))))</f>
        <v>5-10 C</v>
      </c>
      <c r="AK782" s="5">
        <f>IF($A782="","",IF($P782="","",$P782^2))</f>
        <v>961</v>
      </c>
      <c r="AL782" s="18">
        <f>IF($V782&lt;&gt;1,"",AVERAGEIFS(Clean_Data!$P$2:$P$1001,Clean_Data!$F$2:$F$1001,$F782,Clean_Data!$W$2:$W$1001,$W782,Clean_Data!$V$2:$V$1001,1))</f>
        <v>23.6896551724138</v>
      </c>
      <c r="AM782" s="16">
        <f>IF($V782&lt;&gt;1,"",IFERROR(($P782-$AL782)/SQRT(MAX(0,(SUMIFS(Clean_Data!$AK$2:$AK$1001,Clean_Data!$F$2:$F$1001,$F782,Clean_Data!$W$2:$W$1001,$W782,Clean_Data!$V$2:$V$1001,1)-COUNTIFS(Clean_Data!$F$2:$F$1001,$F782,Clean_Data!$W$2:$W$1001,$W782,Clean_Data!$V$2:$V$1001,1)*$AL782^2)/(COUNTIFS(Clean_Data!$F$2:$F$1001,$F782,Clean_Data!$W$2:$W$1001,$W782,Clean_Data!$V$2:$V$1001,1)-1))),""))</f>
        <v>0.697897510011244</v>
      </c>
      <c r="AN782" s="5" t="str">
        <f>IF($AM782="","",IF($AM782&gt;=Lookups!$K$6,"High spike",IF($AM782&lt;=-Lookups!$K$6,"Unusual low","Normal")))</f>
        <v>Normal</v>
      </c>
      <c r="AO782" s="20">
        <f>IF($V782&lt;&gt;1,"",$P782+ROW()/100000)</f>
        <v>31.00782</v>
      </c>
      <c r="AP782" s="5">
        <f>IF($A782="","",IFERROR(MATCH($A782,Raw_D1!$A$2:$A$1001,0),""))</f>
        <v/>
      </c>
      <c r="AQ782" s="5">
        <f>IF($A782="","",IFERROR(MATCH($A782,Raw_D2!$B$2:$B$1001,0),""))</f>
        <v/>
      </c>
      <c r="AR782" s="5">
        <f>IF($A782="","",IFERROR(MATCH($A782,Raw_D3!$A$2:$A$1001,0),""))</f>
        <v>162</v>
      </c>
    </row>
    <row r="783" spans="1:44" x14ac:dyDescent="0.25">
      <c r="A783" s="5">
        <v>782</v>
      </c>
      <c r="B783" s="11">
        <f>IF($A783="","",IF($AP783&lt;&gt;"",INDEX(Raw_D1!$B$2:$B$1001,$AP783),IF($AR783&lt;&gt;"",INDEX(Raw_D3!$B$2:$B$1001,$AR783),"")))</f>
        <v>40579.0</v>
      </c>
      <c r="C783" s="5">
        <f>IF($A783="","",IF($AP783&lt;&gt;"",INDEX(Raw_D1!$C$2:$C$1001,$AP783),IF($AR783&lt;&gt;"",INDEX(Raw_D3!$C$2:$C$1001,$AR783),"")))</f>
        <v>1</v>
      </c>
      <c r="D783" s="5">
        <f>IF($A783="","",IF($AP783&lt;&gt;"",INDEX(Raw_D1!$D$2:$D$1001,$AP783),IF($AR783&lt;&gt;"",INDEX(Raw_D3!$D$2:$D$1001,$AR783),"")))</f>
        <v>0</v>
      </c>
      <c r="E783" s="5">
        <f>IF($A783="","",IF($AP783&lt;&gt;"",INDEX(Raw_D1!$E$2:$E$1001,$AP783),IF($AR783&lt;&gt;"",INDEX(Raw_D3!$E$2:$E$1001,$AR783),"")))</f>
        <v>2</v>
      </c>
      <c r="F783" s="5">
        <f>IF($A783="","",IF($AP783&lt;&gt;"",INDEX(Raw_D1!$F$2:$F$1001,$AP783),IF($AR783&lt;&gt;"",INDEX(Raw_D3!$F$2:$F$1001,$AR783),"")))</f>
        <v>0</v>
      </c>
      <c r="G783" s="5">
        <f>IF($A783="","",IF($AP783&lt;&gt;"",IF(INDEX(Raw_D1!$G$2:$G$1001,$AP783),1,0),IF($AR783&lt;&gt;"",IF(INDEX(Raw_D3!$G$2:$G$1001,$AR783),1,0),"")))</f>
        <v>0</v>
      </c>
      <c r="H783" s="5">
        <f>IF($A783="","",IF($AP783&lt;&gt;"",INDEX(Raw_D1!$H$2:$H$1001,$AP783),IF($AR783&lt;&gt;"",INDEX(Raw_D3!$H$2:$H$1001,$AR783),"")))</f>
        <v>6</v>
      </c>
      <c r="I783" s="5">
        <f>IF($A783="","",IF($AP783&lt;&gt;"",INDEX(Raw_D1!$I$2:$I$1001,$AP783),IF($AR783&lt;&gt;"",INDEX(Raw_D3!$I$2:$I$1001,$AR783),"")))</f>
        <v>2</v>
      </c>
      <c r="J783" s="16">
        <f>IF($A783="","",IF($AP783&lt;&gt;"",INDEX(Raw_D1!$J$2:$J$1001,$AP783),IF($AR783&lt;&gt;"",INDEX(Raw_D3!$J$2:$J$1001,$AR783),"")))</f>
        <v>0.24</v>
      </c>
      <c r="K783" s="17">
        <f>IF($A783="","",IF($AQ783&lt;&gt;"",IF(INDEX(Raw_D2!$C$2:$C$1001,$AQ783)="","",INDEX(Raw_D2!$C$2:$C$1001,$AQ783)),IF($AR783&lt;&gt;"",IF(INDEX(Raw_D3!$K$2:$K$1001,$AR783)="","",INDEX(Raw_D3!$K$2:$K$1001,$AR783)),"")))</f>
        <v>0.2424</v>
      </c>
      <c r="L783" s="16">
        <f>IF($A783="","",IF($AQ783&lt;&gt;"",IF(INDEX(Raw_D2!$D$2:$D$1001,$AQ783)="","",INDEX(Raw_D2!$D$2:$D$1001,$AQ783)),IF($AR783&lt;&gt;"",IF(INDEX(Raw_D3!$L$2:$L$1001,$AR783)="","",INDEX(Raw_D3!$L$2:$L$1001,$AR783)),"")))</f>
        <v>0.7</v>
      </c>
      <c r="M783" s="17">
        <f>IF($A783="","",IF($AQ783&lt;&gt;"",IF(INDEX(Raw_D2!$E$2:$E$1001,$AQ783)="","",INDEX(Raw_D2!$E$2:$E$1001,$AQ783)),IF($AR783&lt;&gt;"",IF(INDEX(Raw_D3!$M$2:$M$1001,$AR783)="","",INDEX(Raw_D3!$M$2:$M$1001,$AR783)),"")))</f>
        <v>0.1642</v>
      </c>
      <c r="N783" s="5">
        <f>IF($A783="","",IF($AQ783&lt;&gt;"",IF(INDEX(Raw_D2!$F$2:$F$1001,$AQ783)="","",INDEX(Raw_D2!$F$2:$F$1001,$AQ783)),IF($AR783&lt;&gt;"",IF(INDEX(Raw_D3!$N$2:$N$1001,$AR783)="","",INDEX(Raw_D3!$N$2:$N$1001,$AR783)),"")))</f>
        <v>3</v>
      </c>
      <c r="O783" s="5">
        <f>IF($A783="","",IF($AQ783&lt;&gt;"",IF(INDEX(Raw_D2!$G$2:$G$1001,$AQ783)="","",INDEX(Raw_D2!$G$2:$G$1001,$AQ783)),IF($AR783&lt;&gt;"",IF(INDEX(Raw_D3!$O$2:$O$1001,$AR783)="","",INDEX(Raw_D3!$O$2:$O$1001,$AR783)),"")))</f>
        <v>36</v>
      </c>
      <c r="P783" s="5">
        <f>IF($A783="","",IF($AQ783&lt;&gt;"",IF(INDEX(Raw_D2!$H$2:$H$1001,$AQ783)="","",INDEX(Raw_D2!$H$2:$H$1001,$AQ783)),IF($AR783&lt;&gt;"",IF(INDEX(Raw_D3!$P$2:$P$1001,$AR783)="","",INDEX(Raw_D3!$P$2:$P$1001,$AR783)),"")))</f>
        <v>39</v>
      </c>
      <c r="Q783" s="5" t="str">
        <f>IF($A783="","",IF(AND($AP783&lt;&gt;"",$AQ783&lt;&gt;""),"D1+D2",IF($AR783&lt;&gt;"","D3","Incomplete")))</f>
        <v>D3</v>
      </c>
      <c r="R783" s="17">
        <f>IF($A783="","",IF($K783="",IF($J783="","",ROUND(Lookups!$K$5+Lookups!$K$4*$J783,4)),$K783))</f>
        <v>0.2424</v>
      </c>
      <c r="S783" s="5" t="str">
        <f>IF($A783="","",IF($K783="","Imputed","Original"))</f>
        <v>Original</v>
      </c>
      <c r="T783" s="5" t="str">
        <f>IF($A783="","",IF($P783="","Missing",IF($P783=$N783+$O783,"OK","Mismatch")))</f>
        <v>OK</v>
      </c>
      <c r="U783" s="5" t="str">
        <f>IF($A783="","",IF(COUNTIF($A$2:$A783,$A783)&gt;1,"Duplicate","Unique"))</f>
        <v>Unique</v>
      </c>
      <c r="V783" s="5">
        <f>IF($A783="","",IF(AND($U783="Unique",ISNUMBER($P783)),1,0))</f>
        <v>1</v>
      </c>
      <c r="W783" s="5" t="str">
        <f>IF($A783="","",IF(OR($H783=0,$H783=6),"Weekend","Weekday"))</f>
        <v>Weekend</v>
      </c>
      <c r="X783" s="5" t="str">
        <f>IF($A783="","",TEXT($B783,"ddd"))</f>
        <v>Sat</v>
      </c>
      <c r="Y783" s="5" t="str">
        <f>IF($A783="","",TEXT($B783,"mmm"))</f>
        <v>Feb</v>
      </c>
      <c r="Z783" s="5" t="str">
        <f>IF($A783="","",IFERROR(VLOOKUP($C783,Lookups!$D$4:$E$7,2,FALSE),"Unknown"))</f>
        <v>Winter</v>
      </c>
      <c r="AA783" s="5" t="str">
        <f>IF($A783="","",IFERROR(VLOOKUP($I783,Lookups!$A$4:$B$7,2,FALSE),"Unknown"))</f>
        <v>Mist/Cloudy</v>
      </c>
      <c r="AB783" s="5" t="str">
        <f>IF($A783="","",TEXT($F783,"00")&amp;":00")</f>
        <v>00:00</v>
      </c>
      <c r="AC783" s="5" t="str">
        <f>IF($A783="","",VLOOKUP($F783,Lookups!$G$4:$H$8,2,TRUE))</f>
        <v>Night (00-05)</v>
      </c>
      <c r="AD783" s="18">
        <f>IF($A783="","",IF($J783="","",ROUND($J783*41,1)))</f>
        <v>9.8</v>
      </c>
      <c r="AE783" s="18">
        <f>IF($A783="","",IF($R783="","",ROUND($R783*50,1)))</f>
        <v>12.1</v>
      </c>
      <c r="AF783" s="5">
        <f>IF($A783="","",IF($L783="","",ROUND($L783*100,0)))</f>
        <v>70</v>
      </c>
      <c r="AG783" s="18">
        <f>IF($A783="","",IF($M783="","",ROUND($M783*67,1)))</f>
        <v>11</v>
      </c>
      <c r="AH783" s="19">
        <f>IF($A783="","",IF($P783="","",IF($P783=0,0,$O783/$P783)))</f>
        <v>0.923076923076923</v>
      </c>
      <c r="AI783" s="5" t="str">
        <f>IF($A783="","",IF($P783="","",IF($P783&gt;=Lookups!$K$7,"High",IF($P783&lt;=Lookups!$K$8,"Low","Medium"))))</f>
        <v>Medium</v>
      </c>
      <c r="AJ783" s="5" t="str">
        <f>IF($A783="","",IF($AD783="","",IF($AD783&lt;5,"Under 5 C",IF($AD783&lt;10,"5-10 C",IF($AD783&lt;15,"10-15 C","15 C and above")))))</f>
        <v>5-10 C</v>
      </c>
      <c r="AK783" s="5">
        <f>IF($A783="","",IF($P783="","",$P783^2))</f>
        <v>1521</v>
      </c>
      <c r="AL783" s="18">
        <f>IF($V783&lt;&gt;1,"",AVERAGEIFS(Clean_Data!$P$2:$P$1001,Clean_Data!$F$2:$F$1001,$F783,Clean_Data!$W$2:$W$1001,$W783,Clean_Data!$V$2:$V$1001,1))</f>
        <v>28.0714285714286</v>
      </c>
      <c r="AM783" s="16">
        <f>IF($V783&lt;&gt;1,"",IFERROR(($P783-$AL783)/SQRT(MAX(0,(SUMIFS(Clean_Data!$AK$2:$AK$1001,Clean_Data!$F$2:$F$1001,$F783,Clean_Data!$W$2:$W$1001,$W783,Clean_Data!$V$2:$V$1001,1)-COUNTIFS(Clean_Data!$F$2:$F$1001,$F783,Clean_Data!$W$2:$W$1001,$W783,Clean_Data!$V$2:$V$1001,1)*$AL783^2)/(COUNTIFS(Clean_Data!$F$2:$F$1001,$F783,Clean_Data!$W$2:$W$1001,$W783,Clean_Data!$V$2:$V$1001,1)-1))),""))</f>
        <v>1.21202688175174</v>
      </c>
      <c r="AN783" s="5" t="str">
        <f>IF($AM783="","",IF($AM783&gt;=Lookups!$K$6,"High spike",IF($AM783&lt;=-Lookups!$K$6,"Unusual low","Normal")))</f>
        <v>Normal</v>
      </c>
      <c r="AO783" s="20">
        <f>IF($V783&lt;&gt;1,"",$P783+ROW()/100000)</f>
        <v>39.00783</v>
      </c>
      <c r="AP783" s="5">
        <f>IF($A783="","",IFERROR(MATCH($A783,Raw_D1!$A$2:$A$1001,0),""))</f>
        <v/>
      </c>
      <c r="AQ783" s="5">
        <f>IF($A783="","",IFERROR(MATCH($A783,Raw_D2!$B$2:$B$1001,0),""))</f>
        <v/>
      </c>
      <c r="AR783" s="5">
        <f>IF($A783="","",IFERROR(MATCH($A783,Raw_D3!$A$2:$A$1001,0),""))</f>
        <v>163</v>
      </c>
    </row>
    <row r="784" spans="1:44" x14ac:dyDescent="0.25">
      <c r="A784" s="5">
        <v>783</v>
      </c>
      <c r="B784" s="11">
        <f>IF($A784="","",IF($AP784&lt;&gt;"",INDEX(Raw_D1!$B$2:$B$1001,$AP784),IF($AR784&lt;&gt;"",INDEX(Raw_D3!$B$2:$B$1001,$AR784),"")))</f>
        <v>40579.0</v>
      </c>
      <c r="C784" s="5">
        <f>IF($A784="","",IF($AP784&lt;&gt;"",INDEX(Raw_D1!$C$2:$C$1001,$AP784),IF($AR784&lt;&gt;"",INDEX(Raw_D3!$C$2:$C$1001,$AR784),"")))</f>
        <v>1</v>
      </c>
      <c r="D784" s="5">
        <f>IF($A784="","",IF($AP784&lt;&gt;"",INDEX(Raw_D1!$D$2:$D$1001,$AP784),IF($AR784&lt;&gt;"",INDEX(Raw_D3!$D$2:$D$1001,$AR784),"")))</f>
        <v>0</v>
      </c>
      <c r="E784" s="5">
        <f>IF($A784="","",IF($AP784&lt;&gt;"",INDEX(Raw_D1!$E$2:$E$1001,$AP784),IF($AR784&lt;&gt;"",INDEX(Raw_D3!$E$2:$E$1001,$AR784),"")))</f>
        <v>2</v>
      </c>
      <c r="F784" s="5">
        <f>IF($A784="","",IF($AP784&lt;&gt;"",INDEX(Raw_D1!$F$2:$F$1001,$AP784),IF($AR784&lt;&gt;"",INDEX(Raw_D3!$F$2:$F$1001,$AR784),"")))</f>
        <v>1</v>
      </c>
      <c r="G784" s="5">
        <f>IF($A784="","",IF($AP784&lt;&gt;"",IF(INDEX(Raw_D1!$G$2:$G$1001,$AP784),1,0),IF($AR784&lt;&gt;"",IF(INDEX(Raw_D3!$G$2:$G$1001,$AR784),1,0),"")))</f>
        <v>0</v>
      </c>
      <c r="H784" s="5">
        <f>IF($A784="","",IF($AP784&lt;&gt;"",INDEX(Raw_D1!$H$2:$H$1001,$AP784),IF($AR784&lt;&gt;"",INDEX(Raw_D3!$H$2:$H$1001,$AR784),"")))</f>
        <v>6</v>
      </c>
      <c r="I784" s="5">
        <f>IF($A784="","",IF($AP784&lt;&gt;"",INDEX(Raw_D1!$I$2:$I$1001,$AP784),IF($AR784&lt;&gt;"",INDEX(Raw_D3!$I$2:$I$1001,$AR784),"")))</f>
        <v>2</v>
      </c>
      <c r="J784" s="16">
        <f>IF($A784="","",IF($AP784&lt;&gt;"",INDEX(Raw_D1!$J$2:$J$1001,$AP784),IF($AR784&lt;&gt;"",INDEX(Raw_D3!$J$2:$J$1001,$AR784),"")))</f>
        <v>0.24</v>
      </c>
      <c r="K784" s="17">
        <f>IF($A784="","",IF($AQ784&lt;&gt;"",IF(INDEX(Raw_D2!$C$2:$C$1001,$AQ784)="","",INDEX(Raw_D2!$C$2:$C$1001,$AQ784)),IF($AR784&lt;&gt;"",IF(INDEX(Raw_D3!$K$2:$K$1001,$AR784)="","",INDEX(Raw_D3!$K$2:$K$1001,$AR784)),"")))</f>
        <v>0.2424</v>
      </c>
      <c r="L784" s="16">
        <f>IF($A784="","",IF($AQ784&lt;&gt;"",IF(INDEX(Raw_D2!$D$2:$D$1001,$AQ784)="","",INDEX(Raw_D2!$D$2:$D$1001,$AQ784)),IF($AR784&lt;&gt;"",IF(INDEX(Raw_D3!$L$2:$L$1001,$AR784)="","",INDEX(Raw_D3!$L$2:$L$1001,$AR784)),"")))</f>
        <v>0.65</v>
      </c>
      <c r="M784" s="17">
        <f>IF($A784="","",IF($AQ784&lt;&gt;"",IF(INDEX(Raw_D2!$E$2:$E$1001,$AQ784)="","",INDEX(Raw_D2!$E$2:$E$1001,$AQ784)),IF($AR784&lt;&gt;"",IF(INDEX(Raw_D3!$M$2:$M$1001,$AR784)="","",INDEX(Raw_D3!$M$2:$M$1001,$AR784)),"")))</f>
        <v>0.1642</v>
      </c>
      <c r="N784" s="5">
        <f>IF($A784="","",IF($AQ784&lt;&gt;"",IF(INDEX(Raw_D2!$F$2:$F$1001,$AQ784)="","",INDEX(Raw_D2!$F$2:$F$1001,$AQ784)),IF($AR784&lt;&gt;"",IF(INDEX(Raw_D3!$N$2:$N$1001,$AR784)="","",INDEX(Raw_D3!$N$2:$N$1001,$AR784)),"")))</f>
        <v>1</v>
      </c>
      <c r="O784" s="5">
        <f>IF($A784="","",IF($AQ784&lt;&gt;"",IF(INDEX(Raw_D2!$G$2:$G$1001,$AQ784)="","",INDEX(Raw_D2!$G$2:$G$1001,$AQ784)),IF($AR784&lt;&gt;"",IF(INDEX(Raw_D3!$O$2:$O$1001,$AR784)="","",INDEX(Raw_D3!$O$2:$O$1001,$AR784)),"")))</f>
        <v>17</v>
      </c>
      <c r="P784" s="5">
        <f>IF($A784="","",IF($AQ784&lt;&gt;"",IF(INDEX(Raw_D2!$H$2:$H$1001,$AQ784)="","",INDEX(Raw_D2!$H$2:$H$1001,$AQ784)),IF($AR784&lt;&gt;"",IF(INDEX(Raw_D3!$P$2:$P$1001,$AR784)="","",INDEX(Raw_D3!$P$2:$P$1001,$AR784)),"")))</f>
        <v>18</v>
      </c>
      <c r="Q784" s="5" t="str">
        <f>IF($A784="","",IF(AND($AP784&lt;&gt;"",$AQ784&lt;&gt;""),"D1+D2",IF($AR784&lt;&gt;"","D3","Incomplete")))</f>
        <v>D3</v>
      </c>
      <c r="R784" s="17">
        <f>IF($A784="","",IF($K784="",IF($J784="","",ROUND(Lookups!$K$5+Lookups!$K$4*$J784,4)),$K784))</f>
        <v>0.2424</v>
      </c>
      <c r="S784" s="5" t="str">
        <f>IF($A784="","",IF($K784="","Imputed","Original"))</f>
        <v>Original</v>
      </c>
      <c r="T784" s="5" t="str">
        <f>IF($A784="","",IF($P784="","Missing",IF($P784=$N784+$O784,"OK","Mismatch")))</f>
        <v>OK</v>
      </c>
      <c r="U784" s="5" t="str">
        <f>IF($A784="","",IF(COUNTIF($A$2:$A784,$A784)&gt;1,"Duplicate","Unique"))</f>
        <v>Unique</v>
      </c>
      <c r="V784" s="5">
        <f>IF($A784="","",IF(AND($U784="Unique",ISNUMBER($P784)),1,0))</f>
        <v>1</v>
      </c>
      <c r="W784" s="5" t="str">
        <f>IF($A784="","",IF(OR($H784=0,$H784=6),"Weekend","Weekday"))</f>
        <v>Weekend</v>
      </c>
      <c r="X784" s="5" t="str">
        <f>IF($A784="","",TEXT($B784,"ddd"))</f>
        <v>Sat</v>
      </c>
      <c r="Y784" s="5" t="str">
        <f>IF($A784="","",TEXT($B784,"mmm"))</f>
        <v>Feb</v>
      </c>
      <c r="Z784" s="5" t="str">
        <f>IF($A784="","",IFERROR(VLOOKUP($C784,Lookups!$D$4:$E$7,2,FALSE),"Unknown"))</f>
        <v>Winter</v>
      </c>
      <c r="AA784" s="5" t="str">
        <f>IF($A784="","",IFERROR(VLOOKUP($I784,Lookups!$A$4:$B$7,2,FALSE),"Unknown"))</f>
        <v>Mist/Cloudy</v>
      </c>
      <c r="AB784" s="5" t="str">
        <f>IF($A784="","",TEXT($F784,"00")&amp;":00")</f>
        <v>01:00</v>
      </c>
      <c r="AC784" s="5" t="str">
        <f>IF($A784="","",VLOOKUP($F784,Lookups!$G$4:$H$8,2,TRUE))</f>
        <v>Night (00-05)</v>
      </c>
      <c r="AD784" s="18">
        <f>IF($A784="","",IF($J784="","",ROUND($J784*41,1)))</f>
        <v>9.8</v>
      </c>
      <c r="AE784" s="18">
        <f>IF($A784="","",IF($R784="","",ROUND($R784*50,1)))</f>
        <v>12.1</v>
      </c>
      <c r="AF784" s="5">
        <f>IF($A784="","",IF($L784="","",ROUND($L784*100,0)))</f>
        <v>65</v>
      </c>
      <c r="AG784" s="18">
        <f>IF($A784="","",IF($M784="","",ROUND($M784*67,1)))</f>
        <v>11</v>
      </c>
      <c r="AH784" s="19">
        <f>IF($A784="","",IF($P784="","",IF($P784=0,0,$O784/$P784)))</f>
        <v>0.944444444444444</v>
      </c>
      <c r="AI784" s="5" t="str">
        <f>IF($A784="","",IF($P784="","",IF($P784&gt;=Lookups!$K$7,"High",IF($P784&lt;=Lookups!$K$8,"Low","Medium"))))</f>
        <v>Medium</v>
      </c>
      <c r="AJ784" s="5" t="str">
        <f>IF($A784="","",IF($AD784="","",IF($AD784&lt;5,"Under 5 C",IF($AD784&lt;10,"5-10 C",IF($AD784&lt;15,"10-15 C","15 C and above")))))</f>
        <v>5-10 C</v>
      </c>
      <c r="AK784" s="5">
        <f>IF($A784="","",IF($P784="","",$P784^2))</f>
        <v>324</v>
      </c>
      <c r="AL784" s="18">
        <f>IF($V784&lt;&gt;1,"",AVERAGEIFS(Clean_Data!$P$2:$P$1001,Clean_Data!$F$2:$F$1001,$F784,Clean_Data!$W$2:$W$1001,$W784,Clean_Data!$V$2:$V$1001,1))</f>
        <v>22.2857142857143</v>
      </c>
      <c r="AM784" s="16">
        <f>IF($V784&lt;&gt;1,"",IFERROR(($P784-$AL784)/SQRT(MAX(0,(SUMIFS(Clean_Data!$AK$2:$AK$1001,Clean_Data!$F$2:$F$1001,$F784,Clean_Data!$W$2:$W$1001,$W784,Clean_Data!$V$2:$V$1001,1)-COUNTIFS(Clean_Data!$F$2:$F$1001,$F784,Clean_Data!$W$2:$W$1001,$W784,Clean_Data!$V$2:$V$1001,1)*$AL784^2)/(COUNTIFS(Clean_Data!$F$2:$F$1001,$F784,Clean_Data!$W$2:$W$1001,$W784,Clean_Data!$V$2:$V$1001,1)-1))),""))</f>
        <v>-0.440444372791024</v>
      </c>
      <c r="AN784" s="5" t="str">
        <f>IF($AM784="","",IF($AM784&gt;=Lookups!$K$6,"High spike",IF($AM784&lt;=-Lookups!$K$6,"Unusual low","Normal")))</f>
        <v>Normal</v>
      </c>
      <c r="AO784" s="20">
        <f>IF($V784&lt;&gt;1,"",$P784+ROW()/100000)</f>
        <v>18.00784</v>
      </c>
      <c r="AP784" s="5">
        <f>IF($A784="","",IFERROR(MATCH($A784,Raw_D1!$A$2:$A$1001,0),""))</f>
        <v/>
      </c>
      <c r="AQ784" s="5">
        <f>IF($A784="","",IFERROR(MATCH($A784,Raw_D2!$B$2:$B$1001,0),""))</f>
        <v/>
      </c>
      <c r="AR784" s="5">
        <f>IF($A784="","",IFERROR(MATCH($A784,Raw_D3!$A$2:$A$1001,0),""))</f>
        <v>164</v>
      </c>
    </row>
    <row r="785" spans="1:44" x14ac:dyDescent="0.25">
      <c r="A785" s="5">
        <v>784</v>
      </c>
      <c r="B785" s="11">
        <f>IF($A785="","",IF($AP785&lt;&gt;"",INDEX(Raw_D1!$B$2:$B$1001,$AP785),IF($AR785&lt;&gt;"",INDEX(Raw_D3!$B$2:$B$1001,$AR785),"")))</f>
        <v>40579.0</v>
      </c>
      <c r="C785" s="5">
        <f>IF($A785="","",IF($AP785&lt;&gt;"",INDEX(Raw_D1!$C$2:$C$1001,$AP785),IF($AR785&lt;&gt;"",INDEX(Raw_D3!$C$2:$C$1001,$AR785),"")))</f>
        <v>1</v>
      </c>
      <c r="D785" s="5">
        <f>IF($A785="","",IF($AP785&lt;&gt;"",INDEX(Raw_D1!$D$2:$D$1001,$AP785),IF($AR785&lt;&gt;"",INDEX(Raw_D3!$D$2:$D$1001,$AR785),"")))</f>
        <v>0</v>
      </c>
      <c r="E785" s="5">
        <f>IF($A785="","",IF($AP785&lt;&gt;"",INDEX(Raw_D1!$E$2:$E$1001,$AP785),IF($AR785&lt;&gt;"",INDEX(Raw_D3!$E$2:$E$1001,$AR785),"")))</f>
        <v>2</v>
      </c>
      <c r="F785" s="5">
        <f>IF($A785="","",IF($AP785&lt;&gt;"",INDEX(Raw_D1!$F$2:$F$1001,$AP785),IF($AR785&lt;&gt;"",INDEX(Raw_D3!$F$2:$F$1001,$AR785),"")))</f>
        <v>2</v>
      </c>
      <c r="G785" s="5">
        <f>IF($A785="","",IF($AP785&lt;&gt;"",IF(INDEX(Raw_D1!$G$2:$G$1001,$AP785),1,0),IF($AR785&lt;&gt;"",IF(INDEX(Raw_D3!$G$2:$G$1001,$AR785),1,0),"")))</f>
        <v>0</v>
      </c>
      <c r="H785" s="5">
        <f>IF($A785="","",IF($AP785&lt;&gt;"",INDEX(Raw_D1!$H$2:$H$1001,$AP785),IF($AR785&lt;&gt;"",INDEX(Raw_D3!$H$2:$H$1001,$AR785),"")))</f>
        <v>6</v>
      </c>
      <c r="I785" s="5">
        <f>IF($A785="","",IF($AP785&lt;&gt;"",INDEX(Raw_D1!$I$2:$I$1001,$AP785),IF($AR785&lt;&gt;"",INDEX(Raw_D3!$I$2:$I$1001,$AR785),"")))</f>
        <v>2</v>
      </c>
      <c r="J785" s="16">
        <f>IF($A785="","",IF($AP785&lt;&gt;"",INDEX(Raw_D1!$J$2:$J$1001,$AP785),IF($AR785&lt;&gt;"",INDEX(Raw_D3!$J$2:$J$1001,$AR785),"")))</f>
        <v>0.24</v>
      </c>
      <c r="K785" s="17">
        <f>IF($A785="","",IF($AQ785&lt;&gt;"",IF(INDEX(Raw_D2!$C$2:$C$1001,$AQ785)="","",INDEX(Raw_D2!$C$2:$C$1001,$AQ785)),IF($AR785&lt;&gt;"",IF(INDEX(Raw_D3!$K$2:$K$1001,$AR785)="","",INDEX(Raw_D3!$K$2:$K$1001,$AR785)),"")))</f>
        <v>0.2424</v>
      </c>
      <c r="L785" s="16">
        <f>IF($A785="","",IF($AQ785&lt;&gt;"",IF(INDEX(Raw_D2!$D$2:$D$1001,$AQ785)="","",INDEX(Raw_D2!$D$2:$D$1001,$AQ785)),IF($AR785&lt;&gt;"",IF(INDEX(Raw_D3!$L$2:$L$1001,$AR785)="","",INDEX(Raw_D3!$L$2:$L$1001,$AR785)),"")))</f>
        <v>0.75</v>
      </c>
      <c r="M785" s="17">
        <f>IF($A785="","",IF($AQ785&lt;&gt;"",IF(INDEX(Raw_D2!$E$2:$E$1001,$AQ785)="","",INDEX(Raw_D2!$E$2:$E$1001,$AQ785)),IF($AR785&lt;&gt;"",IF(INDEX(Raw_D3!$M$2:$M$1001,$AR785)="","",INDEX(Raw_D3!$M$2:$M$1001,$AR785)),"")))</f>
        <v>0.1642</v>
      </c>
      <c r="N785" s="5">
        <f>IF($A785="","",IF($AQ785&lt;&gt;"",IF(INDEX(Raw_D2!$F$2:$F$1001,$AQ785)="","",INDEX(Raw_D2!$F$2:$F$1001,$AQ785)),IF($AR785&lt;&gt;"",IF(INDEX(Raw_D3!$N$2:$N$1001,$AR785)="","",INDEX(Raw_D3!$N$2:$N$1001,$AR785)),"")))</f>
        <v>5</v>
      </c>
      <c r="O785" s="5">
        <f>IF($A785="","",IF($AQ785&lt;&gt;"",IF(INDEX(Raw_D2!$G$2:$G$1001,$AQ785)="","",INDEX(Raw_D2!$G$2:$G$1001,$AQ785)),IF($AR785&lt;&gt;"",IF(INDEX(Raw_D3!$O$2:$O$1001,$AR785)="","",INDEX(Raw_D3!$O$2:$O$1001,$AR785)),"")))</f>
        <v>12</v>
      </c>
      <c r="P785" s="5">
        <f>IF($A785="","",IF($AQ785&lt;&gt;"",IF(INDEX(Raw_D2!$H$2:$H$1001,$AQ785)="","",INDEX(Raw_D2!$H$2:$H$1001,$AQ785)),IF($AR785&lt;&gt;"",IF(INDEX(Raw_D3!$P$2:$P$1001,$AR785)="","",INDEX(Raw_D3!$P$2:$P$1001,$AR785)),"")))</f>
        <v>17</v>
      </c>
      <c r="Q785" s="5" t="str">
        <f>IF($A785="","",IF(AND($AP785&lt;&gt;"",$AQ785&lt;&gt;""),"D1+D2",IF($AR785&lt;&gt;"","D3","Incomplete")))</f>
        <v>D3</v>
      </c>
      <c r="R785" s="17">
        <f>IF($A785="","",IF($K785="",IF($J785="","",ROUND(Lookups!$K$5+Lookups!$K$4*$J785,4)),$K785))</f>
        <v>0.2424</v>
      </c>
      <c r="S785" s="5" t="str">
        <f>IF($A785="","",IF($K785="","Imputed","Original"))</f>
        <v>Original</v>
      </c>
      <c r="T785" s="5" t="str">
        <f>IF($A785="","",IF($P785="","Missing",IF($P785=$N785+$O785,"OK","Mismatch")))</f>
        <v>OK</v>
      </c>
      <c r="U785" s="5" t="str">
        <f>IF($A785="","",IF(COUNTIF($A$2:$A785,$A785)&gt;1,"Duplicate","Unique"))</f>
        <v>Unique</v>
      </c>
      <c r="V785" s="5">
        <f>IF($A785="","",IF(AND($U785="Unique",ISNUMBER($P785)),1,0))</f>
        <v>1</v>
      </c>
      <c r="W785" s="5" t="str">
        <f>IF($A785="","",IF(OR($H785=0,$H785=6),"Weekend","Weekday"))</f>
        <v>Weekend</v>
      </c>
      <c r="X785" s="5" t="str">
        <f>IF($A785="","",TEXT($B785,"ddd"))</f>
        <v>Sat</v>
      </c>
      <c r="Y785" s="5" t="str">
        <f>IF($A785="","",TEXT($B785,"mmm"))</f>
        <v>Feb</v>
      </c>
      <c r="Z785" s="5" t="str">
        <f>IF($A785="","",IFERROR(VLOOKUP($C785,Lookups!$D$4:$E$7,2,FALSE),"Unknown"))</f>
        <v>Winter</v>
      </c>
      <c r="AA785" s="5" t="str">
        <f>IF($A785="","",IFERROR(VLOOKUP($I785,Lookups!$A$4:$B$7,2,FALSE),"Unknown"))</f>
        <v>Mist/Cloudy</v>
      </c>
      <c r="AB785" s="5" t="str">
        <f>IF($A785="","",TEXT($F785,"00")&amp;":00")</f>
        <v>02:00</v>
      </c>
      <c r="AC785" s="5" t="str">
        <f>IF($A785="","",VLOOKUP($F785,Lookups!$G$4:$H$8,2,TRUE))</f>
        <v>Night (00-05)</v>
      </c>
      <c r="AD785" s="18">
        <f>IF($A785="","",IF($J785="","",ROUND($J785*41,1)))</f>
        <v>9.8</v>
      </c>
      <c r="AE785" s="18">
        <f>IF($A785="","",IF($R785="","",ROUND($R785*50,1)))</f>
        <v>12.1</v>
      </c>
      <c r="AF785" s="5">
        <f>IF($A785="","",IF($L785="","",ROUND($L785*100,0)))</f>
        <v>75</v>
      </c>
      <c r="AG785" s="18">
        <f>IF($A785="","",IF($M785="","",ROUND($M785*67,1)))</f>
        <v>11</v>
      </c>
      <c r="AH785" s="19">
        <f>IF($A785="","",IF($P785="","",IF($P785=0,0,$O785/$P785)))</f>
        <v>0.705882352941177</v>
      </c>
      <c r="AI785" s="5" t="str">
        <f>IF($A785="","",IF($P785="","",IF($P785&gt;=Lookups!$K$7,"High",IF($P785&lt;=Lookups!$K$8,"Low","Medium"))))</f>
        <v>Medium</v>
      </c>
      <c r="AJ785" s="5" t="str">
        <f>IF($A785="","",IF($AD785="","",IF($AD785&lt;5,"Under 5 C",IF($AD785&lt;10,"5-10 C",IF($AD785&lt;15,"10-15 C","15 C and above")))))</f>
        <v>5-10 C</v>
      </c>
      <c r="AK785" s="5">
        <f>IF($A785="","",IF($P785="","",$P785^2))</f>
        <v>289</v>
      </c>
      <c r="AL785" s="18">
        <f>IF($V785&lt;&gt;1,"",AVERAGEIFS(Clean_Data!$P$2:$P$1001,Clean_Data!$F$2:$F$1001,$F785,Clean_Data!$W$2:$W$1001,$W785,Clean_Data!$V$2:$V$1001,1))</f>
        <v>15.9285714285714</v>
      </c>
      <c r="AM785" s="16">
        <f>IF($V785&lt;&gt;1,"",IFERROR(($P785-$AL785)/SQRT(MAX(0,(SUMIFS(Clean_Data!$AK$2:$AK$1001,Clean_Data!$F$2:$F$1001,$F785,Clean_Data!$W$2:$W$1001,$W785,Clean_Data!$V$2:$V$1001,1)-COUNTIFS(Clean_Data!$F$2:$F$1001,$F785,Clean_Data!$W$2:$W$1001,$W785,Clean_Data!$V$2:$V$1001,1)*$AL785^2)/(COUNTIFS(Clean_Data!$F$2:$F$1001,$F785,Clean_Data!$W$2:$W$1001,$W785,Clean_Data!$V$2:$V$1001,1)-1))),""))</f>
        <v>0.185236228661403</v>
      </c>
      <c r="AN785" s="5" t="str">
        <f>IF($AM785="","",IF($AM785&gt;=Lookups!$K$6,"High spike",IF($AM785&lt;=-Lookups!$K$6,"Unusual low","Normal")))</f>
        <v>Normal</v>
      </c>
      <c r="AO785" s="20">
        <f>IF($V785&lt;&gt;1,"",$P785+ROW()/100000)</f>
        <v>17.00785</v>
      </c>
      <c r="AP785" s="5">
        <f>IF($A785="","",IFERROR(MATCH($A785,Raw_D1!$A$2:$A$1001,0),""))</f>
        <v/>
      </c>
      <c r="AQ785" s="5">
        <f>IF($A785="","",IFERROR(MATCH($A785,Raw_D2!$B$2:$B$1001,0),""))</f>
        <v/>
      </c>
      <c r="AR785" s="5">
        <f>IF($A785="","",IFERROR(MATCH($A785,Raw_D3!$A$2:$A$1001,0),""))</f>
        <v>165</v>
      </c>
    </row>
    <row r="786" spans="1:44" x14ac:dyDescent="0.25">
      <c r="A786" s="5">
        <v>785</v>
      </c>
      <c r="B786" s="11">
        <f>IF($A786="","",IF($AP786&lt;&gt;"",INDEX(Raw_D1!$B$2:$B$1001,$AP786),IF($AR786&lt;&gt;"",INDEX(Raw_D3!$B$2:$B$1001,$AR786),"")))</f>
        <v>40579.0</v>
      </c>
      <c r="C786" s="5">
        <f>IF($A786="","",IF($AP786&lt;&gt;"",INDEX(Raw_D1!$C$2:$C$1001,$AP786),IF($AR786&lt;&gt;"",INDEX(Raw_D3!$C$2:$C$1001,$AR786),"")))</f>
        <v>1</v>
      </c>
      <c r="D786" s="5">
        <f>IF($A786="","",IF($AP786&lt;&gt;"",INDEX(Raw_D1!$D$2:$D$1001,$AP786),IF($AR786&lt;&gt;"",INDEX(Raw_D3!$D$2:$D$1001,$AR786),"")))</f>
        <v>0</v>
      </c>
      <c r="E786" s="5">
        <f>IF($A786="","",IF($AP786&lt;&gt;"",INDEX(Raw_D1!$E$2:$E$1001,$AP786),IF($AR786&lt;&gt;"",INDEX(Raw_D3!$E$2:$E$1001,$AR786),"")))</f>
        <v>2</v>
      </c>
      <c r="F786" s="5">
        <f>IF($A786="","",IF($AP786&lt;&gt;"",INDEX(Raw_D1!$F$2:$F$1001,$AP786),IF($AR786&lt;&gt;"",INDEX(Raw_D3!$F$2:$F$1001,$AR786),"")))</f>
        <v>3</v>
      </c>
      <c r="G786" s="5">
        <f>IF($A786="","",IF($AP786&lt;&gt;"",IF(INDEX(Raw_D1!$G$2:$G$1001,$AP786),1,0),IF($AR786&lt;&gt;"",IF(INDEX(Raw_D3!$G$2:$G$1001,$AR786),1,0),"")))</f>
        <v>0</v>
      </c>
      <c r="H786" s="5">
        <f>IF($A786="","",IF($AP786&lt;&gt;"",INDEX(Raw_D1!$H$2:$H$1001,$AP786),IF($AR786&lt;&gt;"",INDEX(Raw_D3!$H$2:$H$1001,$AR786),"")))</f>
        <v>6</v>
      </c>
      <c r="I786" s="5">
        <f>IF($A786="","",IF($AP786&lt;&gt;"",INDEX(Raw_D1!$I$2:$I$1001,$AP786),IF($AR786&lt;&gt;"",INDEX(Raw_D3!$I$2:$I$1001,$AR786),"")))</f>
        <v>2</v>
      </c>
      <c r="J786" s="16">
        <f>IF($A786="","",IF($AP786&lt;&gt;"",INDEX(Raw_D1!$J$2:$J$1001,$AP786),IF($AR786&lt;&gt;"",INDEX(Raw_D3!$J$2:$J$1001,$AR786),"")))</f>
        <v>0.24</v>
      </c>
      <c r="K786" s="17">
        <f>IF($A786="","",IF($AQ786&lt;&gt;"",IF(INDEX(Raw_D2!$C$2:$C$1001,$AQ786)="","",INDEX(Raw_D2!$C$2:$C$1001,$AQ786)),IF($AR786&lt;&gt;"",IF(INDEX(Raw_D3!$K$2:$K$1001,$AR786)="","",INDEX(Raw_D3!$K$2:$K$1001,$AR786)),"")))</f>
        <v>0.2424</v>
      </c>
      <c r="L786" s="16">
        <f>IF($A786="","",IF($AQ786&lt;&gt;"",IF(INDEX(Raw_D2!$D$2:$D$1001,$AQ786)="","",INDEX(Raw_D2!$D$2:$D$1001,$AQ786)),IF($AR786&lt;&gt;"",IF(INDEX(Raw_D3!$L$2:$L$1001,$AR786)="","",INDEX(Raw_D3!$L$2:$L$1001,$AR786)),"")))</f>
        <v>0.75</v>
      </c>
      <c r="M786" s="17">
        <f>IF($A786="","",IF($AQ786&lt;&gt;"",IF(INDEX(Raw_D2!$E$2:$E$1001,$AQ786)="","",INDEX(Raw_D2!$E$2:$E$1001,$AQ786)),IF($AR786&lt;&gt;"",IF(INDEX(Raw_D3!$M$2:$M$1001,$AR786)="","",INDEX(Raw_D3!$M$2:$M$1001,$AR786)),"")))</f>
        <v>0.1642</v>
      </c>
      <c r="N786" s="5">
        <f>IF($A786="","",IF($AQ786&lt;&gt;"",IF(INDEX(Raw_D2!$F$2:$F$1001,$AQ786)="","",INDEX(Raw_D2!$F$2:$F$1001,$AQ786)),IF($AR786&lt;&gt;"",IF(INDEX(Raw_D3!$N$2:$N$1001,$AR786)="","",INDEX(Raw_D3!$N$2:$N$1001,$AR786)),"")))</f>
        <v>1</v>
      </c>
      <c r="O786" s="5">
        <f>IF($A786="","",IF($AQ786&lt;&gt;"",IF(INDEX(Raw_D2!$G$2:$G$1001,$AQ786)="","",INDEX(Raw_D2!$G$2:$G$1001,$AQ786)),IF($AR786&lt;&gt;"",IF(INDEX(Raw_D3!$O$2:$O$1001,$AR786)="","",INDEX(Raw_D3!$O$2:$O$1001,$AR786)),"")))</f>
        <v>10</v>
      </c>
      <c r="P786" s="5">
        <f>IF($A786="","",IF($AQ786&lt;&gt;"",IF(INDEX(Raw_D2!$H$2:$H$1001,$AQ786)="","",INDEX(Raw_D2!$H$2:$H$1001,$AQ786)),IF($AR786&lt;&gt;"",IF(INDEX(Raw_D3!$P$2:$P$1001,$AR786)="","",INDEX(Raw_D3!$P$2:$P$1001,$AR786)),"")))</f>
        <v>11</v>
      </c>
      <c r="Q786" s="5" t="str">
        <f>IF($A786="","",IF(AND($AP786&lt;&gt;"",$AQ786&lt;&gt;""),"D1+D2",IF($AR786&lt;&gt;"","D3","Incomplete")))</f>
        <v>D3</v>
      </c>
      <c r="R786" s="17">
        <f>IF($A786="","",IF($K786="",IF($J786="","",ROUND(Lookups!$K$5+Lookups!$K$4*$J786,4)),$K786))</f>
        <v>0.2424</v>
      </c>
      <c r="S786" s="5" t="str">
        <f>IF($A786="","",IF($K786="","Imputed","Original"))</f>
        <v>Original</v>
      </c>
      <c r="T786" s="5" t="str">
        <f>IF($A786="","",IF($P786="","Missing",IF($P786=$N786+$O786,"OK","Mismatch")))</f>
        <v>OK</v>
      </c>
      <c r="U786" s="5" t="str">
        <f>IF($A786="","",IF(COUNTIF($A$2:$A786,$A786)&gt;1,"Duplicate","Unique"))</f>
        <v>Unique</v>
      </c>
      <c r="V786" s="5">
        <f>IF($A786="","",IF(AND($U786="Unique",ISNUMBER($P786)),1,0))</f>
        <v>1</v>
      </c>
      <c r="W786" s="5" t="str">
        <f>IF($A786="","",IF(OR($H786=0,$H786=6),"Weekend","Weekday"))</f>
        <v>Weekend</v>
      </c>
      <c r="X786" s="5" t="str">
        <f>IF($A786="","",TEXT($B786,"ddd"))</f>
        <v>Sat</v>
      </c>
      <c r="Y786" s="5" t="str">
        <f>IF($A786="","",TEXT($B786,"mmm"))</f>
        <v>Feb</v>
      </c>
      <c r="Z786" s="5" t="str">
        <f>IF($A786="","",IFERROR(VLOOKUP($C786,Lookups!$D$4:$E$7,2,FALSE),"Unknown"))</f>
        <v>Winter</v>
      </c>
      <c r="AA786" s="5" t="str">
        <f>IF($A786="","",IFERROR(VLOOKUP($I786,Lookups!$A$4:$B$7,2,FALSE),"Unknown"))</f>
        <v>Mist/Cloudy</v>
      </c>
      <c r="AB786" s="5" t="str">
        <f>IF($A786="","",TEXT($F786,"00")&amp;":00")</f>
        <v>03:00</v>
      </c>
      <c r="AC786" s="5" t="str">
        <f>IF($A786="","",VLOOKUP($F786,Lookups!$G$4:$H$8,2,TRUE))</f>
        <v>Night (00-05)</v>
      </c>
      <c r="AD786" s="18">
        <f>IF($A786="","",IF($J786="","",ROUND($J786*41,1)))</f>
        <v>9.8</v>
      </c>
      <c r="AE786" s="18">
        <f>IF($A786="","",IF($R786="","",ROUND($R786*50,1)))</f>
        <v>12.1</v>
      </c>
      <c r="AF786" s="5">
        <f>IF($A786="","",IF($L786="","",ROUND($L786*100,0)))</f>
        <v>75</v>
      </c>
      <c r="AG786" s="18">
        <f>IF($A786="","",IF($M786="","",ROUND($M786*67,1)))</f>
        <v>11</v>
      </c>
      <c r="AH786" s="19">
        <f>IF($A786="","",IF($P786="","",IF($P786=0,0,$O786/$P786)))</f>
        <v>0.909090909090909</v>
      </c>
      <c r="AI786" s="5" t="str">
        <f>IF($A786="","",IF($P786="","",IF($P786&gt;=Lookups!$K$7,"High",IF($P786&lt;=Lookups!$K$8,"Low","Medium"))))</f>
        <v>Low</v>
      </c>
      <c r="AJ786" s="5" t="str">
        <f>IF($A786="","",IF($AD786="","",IF($AD786&lt;5,"Under 5 C",IF($AD786&lt;10,"5-10 C",IF($AD786&lt;15,"10-15 C","15 C and above")))))</f>
        <v>5-10 C</v>
      </c>
      <c r="AK786" s="5">
        <f>IF($A786="","",IF($P786="","",$P786^2))</f>
        <v>121</v>
      </c>
      <c r="AL786" s="18">
        <f>IF($V786&lt;&gt;1,"",AVERAGEIFS(Clean_Data!$P$2:$P$1001,Clean_Data!$F$2:$F$1001,$F786,Clean_Data!$W$2:$W$1001,$W786,Clean_Data!$V$2:$V$1001,1))</f>
        <v>9.07142857142857</v>
      </c>
      <c r="AM786" s="16">
        <f>IF($V786&lt;&gt;1,"",IFERROR(($P786-$AL786)/SQRT(MAX(0,(SUMIFS(Clean_Data!$AK$2:$AK$1001,Clean_Data!$F$2:$F$1001,$F786,Clean_Data!$W$2:$W$1001,$W786,Clean_Data!$V$2:$V$1001,1)-COUNTIFS(Clean_Data!$F$2:$F$1001,$F786,Clean_Data!$W$2:$W$1001,$W786,Clean_Data!$V$2:$V$1001,1)*$AL786^2)/(COUNTIFS(Clean_Data!$F$2:$F$1001,$F786,Clean_Data!$W$2:$W$1001,$W786,Clean_Data!$V$2:$V$1001,1)-1))),""))</f>
        <v>0.581631445285769</v>
      </c>
      <c r="AN786" s="5" t="str">
        <f>IF($AM786="","",IF($AM786&gt;=Lookups!$K$6,"High spike",IF($AM786&lt;=-Lookups!$K$6,"Unusual low","Normal")))</f>
        <v>Normal</v>
      </c>
      <c r="AO786" s="20">
        <f>IF($V786&lt;&gt;1,"",$P786+ROW()/100000)</f>
        <v>11.00786</v>
      </c>
      <c r="AP786" s="5">
        <f>IF($A786="","",IFERROR(MATCH($A786,Raw_D1!$A$2:$A$1001,0),""))</f>
        <v/>
      </c>
      <c r="AQ786" s="5">
        <f>IF($A786="","",IFERROR(MATCH($A786,Raw_D2!$B$2:$B$1001,0),""))</f>
        <v/>
      </c>
      <c r="AR786" s="5">
        <f>IF($A786="","",IFERROR(MATCH($A786,Raw_D3!$A$2:$A$1001,0),""))</f>
        <v>166</v>
      </c>
    </row>
    <row r="787" spans="1:44" x14ac:dyDescent="0.25">
      <c r="A787" s="5">
        <v>786</v>
      </c>
      <c r="B787" s="11">
        <f>IF($A787="","",IF($AP787&lt;&gt;"",INDEX(Raw_D1!$B$2:$B$1001,$AP787),IF($AR787&lt;&gt;"",INDEX(Raw_D3!$B$2:$B$1001,$AR787),"")))</f>
        <v>40579.0</v>
      </c>
      <c r="C787" s="5">
        <f>IF($A787="","",IF($AP787&lt;&gt;"",INDEX(Raw_D1!$C$2:$C$1001,$AP787),IF($AR787&lt;&gt;"",INDEX(Raw_D3!$C$2:$C$1001,$AR787),"")))</f>
        <v>1</v>
      </c>
      <c r="D787" s="5">
        <f>IF($A787="","",IF($AP787&lt;&gt;"",INDEX(Raw_D1!$D$2:$D$1001,$AP787),IF($AR787&lt;&gt;"",INDEX(Raw_D3!$D$2:$D$1001,$AR787),"")))</f>
        <v>0</v>
      </c>
      <c r="E787" s="5">
        <f>IF($A787="","",IF($AP787&lt;&gt;"",INDEX(Raw_D1!$E$2:$E$1001,$AP787),IF($AR787&lt;&gt;"",INDEX(Raw_D3!$E$2:$E$1001,$AR787),"")))</f>
        <v>2</v>
      </c>
      <c r="F787" s="5">
        <f>IF($A787="","",IF($AP787&lt;&gt;"",INDEX(Raw_D1!$F$2:$F$1001,$AP787),IF($AR787&lt;&gt;"",INDEX(Raw_D3!$F$2:$F$1001,$AR787),"")))</f>
        <v>4</v>
      </c>
      <c r="G787" s="5">
        <f>IF($A787="","",IF($AP787&lt;&gt;"",IF(INDEX(Raw_D1!$G$2:$G$1001,$AP787),1,0),IF($AR787&lt;&gt;"",IF(INDEX(Raw_D3!$G$2:$G$1001,$AR787),1,0),"")))</f>
        <v>0</v>
      </c>
      <c r="H787" s="5">
        <f>IF($A787="","",IF($AP787&lt;&gt;"",INDEX(Raw_D1!$H$2:$H$1001,$AP787),IF($AR787&lt;&gt;"",INDEX(Raw_D3!$H$2:$H$1001,$AR787),"")))</f>
        <v>6</v>
      </c>
      <c r="I787" s="5">
        <f>IF($A787="","",IF($AP787&lt;&gt;"",INDEX(Raw_D1!$I$2:$I$1001,$AP787),IF($AR787&lt;&gt;"",INDEX(Raw_D3!$I$2:$I$1001,$AR787),"")))</f>
        <v>3</v>
      </c>
      <c r="J787" s="16">
        <f>IF($A787="","",IF($AP787&lt;&gt;"",INDEX(Raw_D1!$J$2:$J$1001,$AP787),IF($AR787&lt;&gt;"",INDEX(Raw_D3!$J$2:$J$1001,$AR787),"")))</f>
        <v>0.22</v>
      </c>
      <c r="K787" s="17">
        <f>IF($A787="","",IF($AQ787&lt;&gt;"",IF(INDEX(Raw_D2!$C$2:$C$1001,$AQ787)="","",INDEX(Raw_D2!$C$2:$C$1001,$AQ787)),IF($AR787&lt;&gt;"",IF(INDEX(Raw_D3!$K$2:$K$1001,$AR787)="","",INDEX(Raw_D3!$K$2:$K$1001,$AR787)),"")))</f>
        <v>0.2273</v>
      </c>
      <c r="L787" s="16">
        <f>IF($A787="","",IF($AQ787&lt;&gt;"",IF(INDEX(Raw_D2!$D$2:$D$1001,$AQ787)="","",INDEX(Raw_D2!$D$2:$D$1001,$AQ787)),IF($AR787&lt;&gt;"",IF(INDEX(Raw_D3!$L$2:$L$1001,$AR787)="","",INDEX(Raw_D3!$L$2:$L$1001,$AR787)),"")))</f>
        <v>0.93</v>
      </c>
      <c r="M787" s="17">
        <f>IF($A787="","",IF($AQ787&lt;&gt;"",IF(INDEX(Raw_D2!$E$2:$E$1001,$AQ787)="","",INDEX(Raw_D2!$E$2:$E$1001,$AQ787)),IF($AR787&lt;&gt;"",IF(INDEX(Raw_D3!$M$2:$M$1001,$AR787)="","",INDEX(Raw_D3!$M$2:$M$1001,$AR787)),"")))</f>
        <v>0.1343</v>
      </c>
      <c r="N787" s="5">
        <f>IF($A787="","",IF($AQ787&lt;&gt;"",IF(INDEX(Raw_D2!$F$2:$F$1001,$AQ787)="","",INDEX(Raw_D2!$F$2:$F$1001,$AQ787)),IF($AR787&lt;&gt;"",IF(INDEX(Raw_D3!$N$2:$N$1001,$AR787)="","",INDEX(Raw_D3!$N$2:$N$1001,$AR787)),"")))</f>
        <v>0</v>
      </c>
      <c r="O787" s="5">
        <f>IF($A787="","",IF($AQ787&lt;&gt;"",IF(INDEX(Raw_D2!$G$2:$G$1001,$AQ787)="","",INDEX(Raw_D2!$G$2:$G$1001,$AQ787)),IF($AR787&lt;&gt;"",IF(INDEX(Raw_D3!$O$2:$O$1001,$AR787)="","",INDEX(Raw_D3!$O$2:$O$1001,$AR787)),"")))</f>
        <v>8</v>
      </c>
      <c r="P787" s="5">
        <f>IF($A787="","",IF($AQ787&lt;&gt;"",IF(INDEX(Raw_D2!$H$2:$H$1001,$AQ787)="","",INDEX(Raw_D2!$H$2:$H$1001,$AQ787)),IF($AR787&lt;&gt;"",IF(INDEX(Raw_D3!$P$2:$P$1001,$AR787)="","",INDEX(Raw_D3!$P$2:$P$1001,$AR787)),"")))</f>
        <v>8</v>
      </c>
      <c r="Q787" s="5" t="str">
        <f>IF($A787="","",IF(AND($AP787&lt;&gt;"",$AQ787&lt;&gt;""),"D1+D2",IF($AR787&lt;&gt;"","D3","Incomplete")))</f>
        <v>D3</v>
      </c>
      <c r="R787" s="17">
        <f>IF($A787="","",IF($K787="",IF($J787="","",ROUND(Lookups!$K$5+Lookups!$K$4*$J787,4)),$K787))</f>
        <v>0.2273</v>
      </c>
      <c r="S787" s="5" t="str">
        <f>IF($A787="","",IF($K787="","Imputed","Original"))</f>
        <v>Original</v>
      </c>
      <c r="T787" s="5" t="str">
        <f>IF($A787="","",IF($P787="","Missing",IF($P787=$N787+$O787,"OK","Mismatch")))</f>
        <v>OK</v>
      </c>
      <c r="U787" s="5" t="str">
        <f>IF($A787="","",IF(COUNTIF($A$2:$A787,$A787)&gt;1,"Duplicate","Unique"))</f>
        <v>Unique</v>
      </c>
      <c r="V787" s="5">
        <f>IF($A787="","",IF(AND($U787="Unique",ISNUMBER($P787)),1,0))</f>
        <v>1</v>
      </c>
      <c r="W787" s="5" t="str">
        <f>IF($A787="","",IF(OR($H787=0,$H787=6),"Weekend","Weekday"))</f>
        <v>Weekend</v>
      </c>
      <c r="X787" s="5" t="str">
        <f>IF($A787="","",TEXT($B787,"ddd"))</f>
        <v>Sat</v>
      </c>
      <c r="Y787" s="5" t="str">
        <f>IF($A787="","",TEXT($B787,"mmm"))</f>
        <v>Feb</v>
      </c>
      <c r="Z787" s="5" t="str">
        <f>IF($A787="","",IFERROR(VLOOKUP($C787,Lookups!$D$4:$E$7,2,FALSE),"Unknown"))</f>
        <v>Winter</v>
      </c>
      <c r="AA787" s="5" t="str">
        <f>IF($A787="","",IFERROR(VLOOKUP($I787,Lookups!$A$4:$B$7,2,FALSE),"Unknown"))</f>
        <v>Light Rain/Snow</v>
      </c>
      <c r="AB787" s="5" t="str">
        <f>IF($A787="","",TEXT($F787,"00")&amp;":00")</f>
        <v>04:00</v>
      </c>
      <c r="AC787" s="5" t="str">
        <f>IF($A787="","",VLOOKUP($F787,Lookups!$G$4:$H$8,2,TRUE))</f>
        <v>Night (00-05)</v>
      </c>
      <c r="AD787" s="18">
        <f>IF($A787="","",IF($J787="","",ROUND($J787*41,1)))</f>
        <v>9</v>
      </c>
      <c r="AE787" s="18">
        <f>IF($A787="","",IF($R787="","",ROUND($R787*50,1)))</f>
        <v>11.4</v>
      </c>
      <c r="AF787" s="5">
        <f>IF($A787="","",IF($L787="","",ROUND($L787*100,0)))</f>
        <v>93</v>
      </c>
      <c r="AG787" s="18">
        <f>IF($A787="","",IF($M787="","",ROUND($M787*67,1)))</f>
        <v>9</v>
      </c>
      <c r="AH787" s="19">
        <f>IF($A787="","",IF($P787="","",IF($P787=0,0,$O787/$P787)))</f>
        <v>1</v>
      </c>
      <c r="AI787" s="5" t="str">
        <f>IF($A787="","",IF($P787="","",IF($P787&gt;=Lookups!$K$7,"High",IF($P787&lt;=Lookups!$K$8,"Low","Medium"))))</f>
        <v>Low</v>
      </c>
      <c r="AJ787" s="5" t="str">
        <f>IF($A787="","",IF($AD787="","",IF($AD787&lt;5,"Under 5 C",IF($AD787&lt;10,"5-10 C",IF($AD787&lt;15,"10-15 C","15 C and above")))))</f>
        <v>5-10 C</v>
      </c>
      <c r="AK787" s="5">
        <f>IF($A787="","",IF($P787="","",$P787^2))</f>
        <v>64</v>
      </c>
      <c r="AL787" s="18">
        <f>IF($V787&lt;&gt;1,"",AVERAGEIFS(Clean_Data!$P$2:$P$1001,Clean_Data!$F$2:$F$1001,$F787,Clean_Data!$W$2:$W$1001,$W787,Clean_Data!$V$2:$V$1001,1))</f>
        <v>2.69230769230769</v>
      </c>
      <c r="AM787" s="16">
        <f>IF($V787&lt;&gt;1,"",IFERROR(($P787-$AL787)/SQRT(MAX(0,(SUMIFS(Clean_Data!$AK$2:$AK$1001,Clean_Data!$F$2:$F$1001,$F787,Clean_Data!$W$2:$W$1001,$W787,Clean_Data!$V$2:$V$1001,1)-COUNTIFS(Clean_Data!$F$2:$F$1001,$F787,Clean_Data!$W$2:$W$1001,$W787,Clean_Data!$V$2:$V$1001,1)*$AL787^2)/(COUNTIFS(Clean_Data!$F$2:$F$1001,$F787,Clean_Data!$W$2:$W$1001,$W787,Clean_Data!$V$2:$V$1001,1)-1))),""))</f>
        <v>2.58045369242334</v>
      </c>
      <c r="AN787" s="5" t="str">
        <f>IF($AM787="","",IF($AM787&gt;=Lookups!$K$6,"High spike",IF($AM787&lt;=-Lookups!$K$6,"Unusual low","Normal")))</f>
        <v>Normal</v>
      </c>
      <c r="AO787" s="20">
        <f>IF($V787&lt;&gt;1,"",$P787+ROW()/100000)</f>
        <v>8.00787</v>
      </c>
      <c r="AP787" s="5">
        <f>IF($A787="","",IFERROR(MATCH($A787,Raw_D1!$A$2:$A$1001,0),""))</f>
        <v/>
      </c>
      <c r="AQ787" s="5">
        <f>IF($A787="","",IFERROR(MATCH($A787,Raw_D2!$B$2:$B$1001,0),""))</f>
        <v/>
      </c>
      <c r="AR787" s="5">
        <f>IF($A787="","",IFERROR(MATCH($A787,Raw_D3!$A$2:$A$1001,0),""))</f>
        <v>167</v>
      </c>
    </row>
    <row r="788" spans="1:44" x14ac:dyDescent="0.25">
      <c r="A788" s="5">
        <v>787</v>
      </c>
      <c r="B788" s="11">
        <f>IF($A788="","",IF($AP788&lt;&gt;"",INDEX(Raw_D1!$B$2:$B$1001,$AP788),IF($AR788&lt;&gt;"",INDEX(Raw_D3!$B$2:$B$1001,$AR788),"")))</f>
        <v>40579.0</v>
      </c>
      <c r="C788" s="5">
        <f>IF($A788="","",IF($AP788&lt;&gt;"",INDEX(Raw_D1!$C$2:$C$1001,$AP788),IF($AR788&lt;&gt;"",INDEX(Raw_D3!$C$2:$C$1001,$AR788),"")))</f>
        <v>1</v>
      </c>
      <c r="D788" s="5">
        <f>IF($A788="","",IF($AP788&lt;&gt;"",INDEX(Raw_D1!$D$2:$D$1001,$AP788),IF($AR788&lt;&gt;"",INDEX(Raw_D3!$D$2:$D$1001,$AR788),"")))</f>
        <v>0</v>
      </c>
      <c r="E788" s="5">
        <f>IF($A788="","",IF($AP788&lt;&gt;"",INDEX(Raw_D1!$E$2:$E$1001,$AP788),IF($AR788&lt;&gt;"",INDEX(Raw_D3!$E$2:$E$1001,$AR788),"")))</f>
        <v>2</v>
      </c>
      <c r="F788" s="5">
        <f>IF($A788="","",IF($AP788&lt;&gt;"",INDEX(Raw_D1!$F$2:$F$1001,$AP788),IF($AR788&lt;&gt;"",INDEX(Raw_D3!$F$2:$F$1001,$AR788),"")))</f>
        <v>5</v>
      </c>
      <c r="G788" s="5">
        <f>IF($A788="","",IF($AP788&lt;&gt;"",IF(INDEX(Raw_D1!$G$2:$G$1001,$AP788),1,0),IF($AR788&lt;&gt;"",IF(INDEX(Raw_D3!$G$2:$G$1001,$AR788),1,0),"")))</f>
        <v>0</v>
      </c>
      <c r="H788" s="5">
        <f>IF($A788="","",IF($AP788&lt;&gt;"",INDEX(Raw_D1!$H$2:$H$1001,$AP788),IF($AR788&lt;&gt;"",INDEX(Raw_D3!$H$2:$H$1001,$AR788),"")))</f>
        <v>6</v>
      </c>
      <c r="I788" s="5">
        <f>IF($A788="","",IF($AP788&lt;&gt;"",INDEX(Raw_D1!$I$2:$I$1001,$AP788),IF($AR788&lt;&gt;"",INDEX(Raw_D3!$I$2:$I$1001,$AR788),"")))</f>
        <v>3</v>
      </c>
      <c r="J788" s="16">
        <f>IF($A788="","",IF($AP788&lt;&gt;"",INDEX(Raw_D1!$J$2:$J$1001,$AP788),IF($AR788&lt;&gt;"",INDEX(Raw_D3!$J$2:$J$1001,$AR788),"")))</f>
        <v>0.2</v>
      </c>
      <c r="K788" s="17">
        <f>IF($A788="","",IF($AQ788&lt;&gt;"",IF(INDEX(Raw_D2!$C$2:$C$1001,$AQ788)="","",INDEX(Raw_D2!$C$2:$C$1001,$AQ788)),IF($AR788&lt;&gt;"",IF(INDEX(Raw_D3!$K$2:$K$1001,$AR788)="","",INDEX(Raw_D3!$K$2:$K$1001,$AR788)),"")))</f>
        <v>0.2273</v>
      </c>
      <c r="L788" s="16">
        <f>IF($A788="","",IF($AQ788&lt;&gt;"",IF(INDEX(Raw_D2!$D$2:$D$1001,$AQ788)="","",INDEX(Raw_D2!$D$2:$D$1001,$AQ788)),IF($AR788&lt;&gt;"",IF(INDEX(Raw_D3!$L$2:$L$1001,$AR788)="","",INDEX(Raw_D3!$L$2:$L$1001,$AR788)),"")))</f>
        <v>1</v>
      </c>
      <c r="M788" s="17">
        <f>IF($A788="","",IF($AQ788&lt;&gt;"",IF(INDEX(Raw_D2!$E$2:$E$1001,$AQ788)="","",INDEX(Raw_D2!$E$2:$E$1001,$AQ788)),IF($AR788&lt;&gt;"",IF(INDEX(Raw_D3!$M$2:$M$1001,$AR788)="","",INDEX(Raw_D3!$M$2:$M$1001,$AR788)),"")))</f>
        <v>0.0896</v>
      </c>
      <c r="N788" s="5">
        <f>IF($A788="","",IF($AQ788&lt;&gt;"",IF(INDEX(Raw_D2!$F$2:$F$1001,$AQ788)="","",INDEX(Raw_D2!$F$2:$F$1001,$AQ788)),IF($AR788&lt;&gt;"",IF(INDEX(Raw_D3!$N$2:$N$1001,$AR788)="","",INDEX(Raw_D3!$N$2:$N$1001,$AR788)),"")))</f>
        <v>0</v>
      </c>
      <c r="O788" s="5">
        <f>IF($A788="","",IF($AQ788&lt;&gt;"",IF(INDEX(Raw_D2!$G$2:$G$1001,$AQ788)="","",INDEX(Raw_D2!$G$2:$G$1001,$AQ788)),IF($AR788&lt;&gt;"",IF(INDEX(Raw_D3!$O$2:$O$1001,$AR788)="","",INDEX(Raw_D3!$O$2:$O$1001,$AR788)),"")))</f>
        <v>9</v>
      </c>
      <c r="P788" s="5">
        <f>IF($A788="","",IF($AQ788&lt;&gt;"",IF(INDEX(Raw_D2!$H$2:$H$1001,$AQ788)="","",INDEX(Raw_D2!$H$2:$H$1001,$AQ788)),IF($AR788&lt;&gt;"",IF(INDEX(Raw_D3!$P$2:$P$1001,$AR788)="","",INDEX(Raw_D3!$P$2:$P$1001,$AR788)),"")))</f>
        <v>9</v>
      </c>
      <c r="Q788" s="5" t="str">
        <f>IF($A788="","",IF(AND($AP788&lt;&gt;"",$AQ788&lt;&gt;""),"D1+D2",IF($AR788&lt;&gt;"","D3","Incomplete")))</f>
        <v>D3</v>
      </c>
      <c r="R788" s="17">
        <f>IF($A788="","",IF($K788="",IF($J788="","",ROUND(Lookups!$K$5+Lookups!$K$4*$J788,4)),$K788))</f>
        <v>0.2273</v>
      </c>
      <c r="S788" s="5" t="str">
        <f>IF($A788="","",IF($K788="","Imputed","Original"))</f>
        <v>Original</v>
      </c>
      <c r="T788" s="5" t="str">
        <f>IF($A788="","",IF($P788="","Missing",IF($P788=$N788+$O788,"OK","Mismatch")))</f>
        <v>OK</v>
      </c>
      <c r="U788" s="5" t="str">
        <f>IF($A788="","",IF(COUNTIF($A$2:$A788,$A788)&gt;1,"Duplicate","Unique"))</f>
        <v>Unique</v>
      </c>
      <c r="V788" s="5">
        <f>IF($A788="","",IF(AND($U788="Unique",ISNUMBER($P788)),1,0))</f>
        <v>1</v>
      </c>
      <c r="W788" s="5" t="str">
        <f>IF($A788="","",IF(OR($H788=0,$H788=6),"Weekend","Weekday"))</f>
        <v>Weekend</v>
      </c>
      <c r="X788" s="5" t="str">
        <f>IF($A788="","",TEXT($B788,"ddd"))</f>
        <v>Sat</v>
      </c>
      <c r="Y788" s="5" t="str">
        <f>IF($A788="","",TEXT($B788,"mmm"))</f>
        <v>Feb</v>
      </c>
      <c r="Z788" s="5" t="str">
        <f>IF($A788="","",IFERROR(VLOOKUP($C788,Lookups!$D$4:$E$7,2,FALSE),"Unknown"))</f>
        <v>Winter</v>
      </c>
      <c r="AA788" s="5" t="str">
        <f>IF($A788="","",IFERROR(VLOOKUP($I788,Lookups!$A$4:$B$7,2,FALSE),"Unknown"))</f>
        <v>Light Rain/Snow</v>
      </c>
      <c r="AB788" s="5" t="str">
        <f>IF($A788="","",TEXT($F788,"00")&amp;":00")</f>
        <v>05:00</v>
      </c>
      <c r="AC788" s="5" t="str">
        <f>IF($A788="","",VLOOKUP($F788,Lookups!$G$4:$H$8,2,TRUE))</f>
        <v>Night (00-05)</v>
      </c>
      <c r="AD788" s="18">
        <f>IF($A788="","",IF($J788="","",ROUND($J788*41,1)))</f>
        <v>8.2</v>
      </c>
      <c r="AE788" s="18">
        <f>IF($A788="","",IF($R788="","",ROUND($R788*50,1)))</f>
        <v>11.4</v>
      </c>
      <c r="AF788" s="5">
        <f>IF($A788="","",IF($L788="","",ROUND($L788*100,0)))</f>
        <v>100</v>
      </c>
      <c r="AG788" s="18">
        <f>IF($A788="","",IF($M788="","",ROUND($M788*67,1)))</f>
        <v>6</v>
      </c>
      <c r="AH788" s="19">
        <f>IF($A788="","",IF($P788="","",IF($P788=0,0,$O788/$P788)))</f>
        <v>1</v>
      </c>
      <c r="AI788" s="5" t="str">
        <f>IF($A788="","",IF($P788="","",IF($P788&gt;=Lookups!$K$7,"High",IF($P788&lt;=Lookups!$K$8,"Low","Medium"))))</f>
        <v>Low</v>
      </c>
      <c r="AJ788" s="5" t="str">
        <f>IF($A788="","",IF($AD788="","",IF($AD788&lt;5,"Under 5 C",IF($AD788&lt;10,"5-10 C",IF($AD788&lt;15,"10-15 C","15 C and above")))))</f>
        <v>5-10 C</v>
      </c>
      <c r="AK788" s="5">
        <f>IF($A788="","",IF($P788="","",$P788^2))</f>
        <v>81</v>
      </c>
      <c r="AL788" s="18">
        <f>IF($V788&lt;&gt;1,"",AVERAGEIFS(Clean_Data!$P$2:$P$1001,Clean_Data!$F$2:$F$1001,$F788,Clean_Data!$W$2:$W$1001,$W788,Clean_Data!$V$2:$V$1001,1))</f>
        <v>2.7</v>
      </c>
      <c r="AM788" s="16">
        <f>IF($V788&lt;&gt;1,"",IFERROR(($P788-$AL788)/SQRT(MAX(0,(SUMIFS(Clean_Data!$AK$2:$AK$1001,Clean_Data!$F$2:$F$1001,$F788,Clean_Data!$W$2:$W$1001,$W788,Clean_Data!$V$2:$V$1001,1)-COUNTIFS(Clean_Data!$F$2:$F$1001,$F788,Clean_Data!$W$2:$W$1001,$W788,Clean_Data!$V$2:$V$1001,1)*$AL788^2)/(COUNTIFS(Clean_Data!$F$2:$F$1001,$F788,Clean_Data!$W$2:$W$1001,$W788,Clean_Data!$V$2:$V$1001,1)-1))),""))</f>
        <v>2.43794872997431</v>
      </c>
      <c r="AN788" s="5" t="str">
        <f>IF($AM788="","",IF($AM788&gt;=Lookups!$K$6,"High spike",IF($AM788&lt;=-Lookups!$K$6,"Unusual low","Normal")))</f>
        <v>Normal</v>
      </c>
      <c r="AO788" s="20">
        <f>IF($V788&lt;&gt;1,"",$P788+ROW()/100000)</f>
        <v>9.00788</v>
      </c>
      <c r="AP788" s="5">
        <f>IF($A788="","",IFERROR(MATCH($A788,Raw_D1!$A$2:$A$1001,0),""))</f>
        <v/>
      </c>
      <c r="AQ788" s="5">
        <f>IF($A788="","",IFERROR(MATCH($A788,Raw_D2!$B$2:$B$1001,0),""))</f>
        <v/>
      </c>
      <c r="AR788" s="5">
        <f>IF($A788="","",IFERROR(MATCH($A788,Raw_D3!$A$2:$A$1001,0),""))</f>
        <v>168</v>
      </c>
    </row>
    <row r="789" spans="1:44" x14ac:dyDescent="0.25">
      <c r="A789" s="5">
        <v>788</v>
      </c>
      <c r="B789" s="11">
        <f>IF($A789="","",IF($AP789&lt;&gt;"",INDEX(Raw_D1!$B$2:$B$1001,$AP789),IF($AR789&lt;&gt;"",INDEX(Raw_D3!$B$2:$B$1001,$AR789),"")))</f>
        <v>40579.0</v>
      </c>
      <c r="C789" s="5">
        <f>IF($A789="","",IF($AP789&lt;&gt;"",INDEX(Raw_D1!$C$2:$C$1001,$AP789),IF($AR789&lt;&gt;"",INDEX(Raw_D3!$C$2:$C$1001,$AR789),"")))</f>
        <v>1</v>
      </c>
      <c r="D789" s="5">
        <f>IF($A789="","",IF($AP789&lt;&gt;"",INDEX(Raw_D1!$D$2:$D$1001,$AP789),IF($AR789&lt;&gt;"",INDEX(Raw_D3!$D$2:$D$1001,$AR789),"")))</f>
        <v>0</v>
      </c>
      <c r="E789" s="5">
        <f>IF($A789="","",IF($AP789&lt;&gt;"",INDEX(Raw_D1!$E$2:$E$1001,$AP789),IF($AR789&lt;&gt;"",INDEX(Raw_D3!$E$2:$E$1001,$AR789),"")))</f>
        <v>2</v>
      </c>
      <c r="F789" s="5">
        <f>IF($A789="","",IF($AP789&lt;&gt;"",INDEX(Raw_D1!$F$2:$F$1001,$AP789),IF($AR789&lt;&gt;"",INDEX(Raw_D3!$F$2:$F$1001,$AR789),"")))</f>
        <v>6</v>
      </c>
      <c r="G789" s="5">
        <f>IF($A789="","",IF($AP789&lt;&gt;"",IF(INDEX(Raw_D1!$G$2:$G$1001,$AP789),1,0),IF($AR789&lt;&gt;"",IF(INDEX(Raw_D3!$G$2:$G$1001,$AR789),1,0),"")))</f>
        <v>0</v>
      </c>
      <c r="H789" s="5">
        <f>IF($A789="","",IF($AP789&lt;&gt;"",INDEX(Raw_D1!$H$2:$H$1001,$AP789),IF($AR789&lt;&gt;"",INDEX(Raw_D3!$H$2:$H$1001,$AR789),"")))</f>
        <v>6</v>
      </c>
      <c r="I789" s="5">
        <f>IF($A789="","",IF($AP789&lt;&gt;"",INDEX(Raw_D1!$I$2:$I$1001,$AP789),IF($AR789&lt;&gt;"",INDEX(Raw_D3!$I$2:$I$1001,$AR789),"")))</f>
        <v>3</v>
      </c>
      <c r="J789" s="16">
        <f>IF($A789="","",IF($AP789&lt;&gt;"",INDEX(Raw_D1!$J$2:$J$1001,$AP789),IF($AR789&lt;&gt;"",INDEX(Raw_D3!$J$2:$J$1001,$AR789),"")))</f>
        <v>0.2</v>
      </c>
      <c r="K789" s="17">
        <f>IF($A789="","",IF($AQ789&lt;&gt;"",IF(INDEX(Raw_D2!$C$2:$C$1001,$AQ789)="","",INDEX(Raw_D2!$C$2:$C$1001,$AQ789)),IF($AR789&lt;&gt;"",IF(INDEX(Raw_D3!$K$2:$K$1001,$AR789)="","",INDEX(Raw_D3!$K$2:$K$1001,$AR789)),"")))</f>
        <v>0.2576</v>
      </c>
      <c r="L789" s="16">
        <f>IF($A789="","",IF($AQ789&lt;&gt;"",IF(INDEX(Raw_D2!$D$2:$D$1001,$AQ789)="","",INDEX(Raw_D2!$D$2:$D$1001,$AQ789)),IF($AR789&lt;&gt;"",IF(INDEX(Raw_D3!$L$2:$L$1001,$AR789)="","",INDEX(Raw_D3!$L$2:$L$1001,$AR789)),"")))</f>
        <v>1</v>
      </c>
      <c r="M789" s="17">
        <f>IF($A789="","",IF($AQ789&lt;&gt;"",IF(INDEX(Raw_D2!$E$2:$E$1001,$AQ789)="","",INDEX(Raw_D2!$E$2:$E$1001,$AQ789)),IF($AR789&lt;&gt;"",IF(INDEX(Raw_D3!$M$2:$M$1001,$AR789)="","",INDEX(Raw_D3!$M$2:$M$1001,$AR789)),"")))</f>
        <v>0</v>
      </c>
      <c r="N789" s="5">
        <f>IF($A789="","",IF($AQ789&lt;&gt;"",IF(INDEX(Raw_D2!$F$2:$F$1001,$AQ789)="","",INDEX(Raw_D2!$F$2:$F$1001,$AQ789)),IF($AR789&lt;&gt;"",IF(INDEX(Raw_D3!$N$2:$N$1001,$AR789)="","",INDEX(Raw_D3!$N$2:$N$1001,$AR789)),"")))</f>
        <v>0</v>
      </c>
      <c r="O789" s="5">
        <f>IF($A789="","",IF($AQ789&lt;&gt;"",IF(INDEX(Raw_D2!$G$2:$G$1001,$AQ789)="","",INDEX(Raw_D2!$G$2:$G$1001,$AQ789)),IF($AR789&lt;&gt;"",IF(INDEX(Raw_D3!$O$2:$O$1001,$AR789)="","",INDEX(Raw_D3!$O$2:$O$1001,$AR789)),"")))</f>
        <v>4</v>
      </c>
      <c r="P789" s="5">
        <f>IF($A789="","",IF($AQ789&lt;&gt;"",IF(INDEX(Raw_D2!$H$2:$H$1001,$AQ789)="","",INDEX(Raw_D2!$H$2:$H$1001,$AQ789)),IF($AR789&lt;&gt;"",IF(INDEX(Raw_D3!$P$2:$P$1001,$AR789)="","",INDEX(Raw_D3!$P$2:$P$1001,$AR789)),"")))</f>
        <v>4</v>
      </c>
      <c r="Q789" s="5" t="str">
        <f>IF($A789="","",IF(AND($AP789&lt;&gt;"",$AQ789&lt;&gt;""),"D1+D2",IF($AR789&lt;&gt;"","D3","Incomplete")))</f>
        <v>D3</v>
      </c>
      <c r="R789" s="17">
        <f>IF($A789="","",IF($K789="",IF($J789="","",ROUND(Lookups!$K$5+Lookups!$K$4*$J789,4)),$K789))</f>
        <v>0.2576</v>
      </c>
      <c r="S789" s="5" t="str">
        <f>IF($A789="","",IF($K789="","Imputed","Original"))</f>
        <v>Original</v>
      </c>
      <c r="T789" s="5" t="str">
        <f>IF($A789="","",IF($P789="","Missing",IF($P789=$N789+$O789,"OK","Mismatch")))</f>
        <v>OK</v>
      </c>
      <c r="U789" s="5" t="str">
        <f>IF($A789="","",IF(COUNTIF($A$2:$A789,$A789)&gt;1,"Duplicate","Unique"))</f>
        <v>Unique</v>
      </c>
      <c r="V789" s="5">
        <f>IF($A789="","",IF(AND($U789="Unique",ISNUMBER($P789)),1,0))</f>
        <v>1</v>
      </c>
      <c r="W789" s="5" t="str">
        <f>IF($A789="","",IF(OR($H789=0,$H789=6),"Weekend","Weekday"))</f>
        <v>Weekend</v>
      </c>
      <c r="X789" s="5" t="str">
        <f>IF($A789="","",TEXT($B789,"ddd"))</f>
        <v>Sat</v>
      </c>
      <c r="Y789" s="5" t="str">
        <f>IF($A789="","",TEXT($B789,"mmm"))</f>
        <v>Feb</v>
      </c>
      <c r="Z789" s="5" t="str">
        <f>IF($A789="","",IFERROR(VLOOKUP($C789,Lookups!$D$4:$E$7,2,FALSE),"Unknown"))</f>
        <v>Winter</v>
      </c>
      <c r="AA789" s="5" t="str">
        <f>IF($A789="","",IFERROR(VLOOKUP($I789,Lookups!$A$4:$B$7,2,FALSE),"Unknown"))</f>
        <v>Light Rain/Snow</v>
      </c>
      <c r="AB789" s="5" t="str">
        <f>IF($A789="","",TEXT($F789,"00")&amp;":00")</f>
        <v>06:00</v>
      </c>
      <c r="AC789" s="5" t="str">
        <f>IF($A789="","",VLOOKUP($F789,Lookups!$G$4:$H$8,2,TRUE))</f>
        <v>Morning Peak (06-09)</v>
      </c>
      <c r="AD789" s="18">
        <f>IF($A789="","",IF($J789="","",ROUND($J789*41,1)))</f>
        <v>8.2</v>
      </c>
      <c r="AE789" s="18">
        <f>IF($A789="","",IF($R789="","",ROUND($R789*50,1)))</f>
        <v>12.9</v>
      </c>
      <c r="AF789" s="5">
        <f>IF($A789="","",IF($L789="","",ROUND($L789*100,0)))</f>
        <v>100</v>
      </c>
      <c r="AG789" s="18">
        <f>IF($A789="","",IF($M789="","",ROUND($M789*67,1)))</f>
        <v>0</v>
      </c>
      <c r="AH789" s="19">
        <f>IF($A789="","",IF($P789="","",IF($P789=0,0,$O789/$P789)))</f>
        <v>1</v>
      </c>
      <c r="AI789" s="5" t="str">
        <f>IF($A789="","",IF($P789="","",IF($P789&gt;=Lookups!$K$7,"High",IF($P789&lt;=Lookups!$K$8,"Low","Medium"))))</f>
        <v>Low</v>
      </c>
      <c r="AJ789" s="5" t="str">
        <f>IF($A789="","",IF($AD789="","",IF($AD789&lt;5,"Under 5 C",IF($AD789&lt;10,"5-10 C",IF($AD789&lt;15,"10-15 C","15 C and above")))))</f>
        <v>5-10 C</v>
      </c>
      <c r="AK789" s="5">
        <f>IF($A789="","",IF($P789="","",$P789^2))</f>
        <v>16</v>
      </c>
      <c r="AL789" s="18">
        <f>IF($V789&lt;&gt;1,"",AVERAGEIFS(Clean_Data!$P$2:$P$1001,Clean_Data!$F$2:$F$1001,$F789,Clean_Data!$W$2:$W$1001,$W789,Clean_Data!$V$2:$V$1001,1))</f>
        <v>2.15384615384615</v>
      </c>
      <c r="AM789" s="16">
        <f>IF($V789&lt;&gt;1,"",IFERROR(($P789-$AL789)/SQRT(MAX(0,(SUMIFS(Clean_Data!$AK$2:$AK$1001,Clean_Data!$F$2:$F$1001,$F789,Clean_Data!$W$2:$W$1001,$W789,Clean_Data!$V$2:$V$1001,1)-COUNTIFS(Clean_Data!$F$2:$F$1001,$F789,Clean_Data!$W$2:$W$1001,$W789,Clean_Data!$V$2:$V$1001,1)*$AL789^2)/(COUNTIFS(Clean_Data!$F$2:$F$1001,$F789,Clean_Data!$W$2:$W$1001,$W789,Clean_Data!$V$2:$V$1001,1)-1))),""))</f>
        <v>1.52042944118388</v>
      </c>
      <c r="AN789" s="5" t="str">
        <f>IF($AM789="","",IF($AM789&gt;=Lookups!$K$6,"High spike",IF($AM789&lt;=-Lookups!$K$6,"Unusual low","Normal")))</f>
        <v>Normal</v>
      </c>
      <c r="AO789" s="20">
        <f>IF($V789&lt;&gt;1,"",$P789+ROW()/100000)</f>
        <v>4.00789</v>
      </c>
      <c r="AP789" s="5">
        <f>IF($A789="","",IFERROR(MATCH($A789,Raw_D1!$A$2:$A$1001,0),""))</f>
        <v/>
      </c>
      <c r="AQ789" s="5">
        <f>IF($A789="","",IFERROR(MATCH($A789,Raw_D2!$B$2:$B$1001,0),""))</f>
        <v/>
      </c>
      <c r="AR789" s="5">
        <f>IF($A789="","",IFERROR(MATCH($A789,Raw_D3!$A$2:$A$1001,0),""))</f>
        <v>169</v>
      </c>
    </row>
    <row r="790" spans="1:44" x14ac:dyDescent="0.25">
      <c r="A790" s="5">
        <v>789</v>
      </c>
      <c r="B790" s="11">
        <f>IF($A790="","",IF($AP790&lt;&gt;"",INDEX(Raw_D1!$B$2:$B$1001,$AP790),IF($AR790&lt;&gt;"",INDEX(Raw_D3!$B$2:$B$1001,$AR790),"")))</f>
        <v>40579.0</v>
      </c>
      <c r="C790" s="5">
        <f>IF($A790="","",IF($AP790&lt;&gt;"",INDEX(Raw_D1!$C$2:$C$1001,$AP790),IF($AR790&lt;&gt;"",INDEX(Raw_D3!$C$2:$C$1001,$AR790),"")))</f>
        <v>1</v>
      </c>
      <c r="D790" s="5">
        <f>IF($A790="","",IF($AP790&lt;&gt;"",INDEX(Raw_D1!$D$2:$D$1001,$AP790),IF($AR790&lt;&gt;"",INDEX(Raw_D3!$D$2:$D$1001,$AR790),"")))</f>
        <v>0</v>
      </c>
      <c r="E790" s="5">
        <f>IF($A790="","",IF($AP790&lt;&gt;"",INDEX(Raw_D1!$E$2:$E$1001,$AP790),IF($AR790&lt;&gt;"",INDEX(Raw_D3!$E$2:$E$1001,$AR790),"")))</f>
        <v>2</v>
      </c>
      <c r="F790" s="5">
        <f>IF($A790="","",IF($AP790&lt;&gt;"",INDEX(Raw_D1!$F$2:$F$1001,$AP790),IF($AR790&lt;&gt;"",INDEX(Raw_D3!$F$2:$F$1001,$AR790),"")))</f>
        <v>7</v>
      </c>
      <c r="G790" s="5">
        <f>IF($A790="","",IF($AP790&lt;&gt;"",IF(INDEX(Raw_D1!$G$2:$G$1001,$AP790),1,0),IF($AR790&lt;&gt;"",IF(INDEX(Raw_D3!$G$2:$G$1001,$AR790),1,0),"")))</f>
        <v>0</v>
      </c>
      <c r="H790" s="5">
        <f>IF($A790="","",IF($AP790&lt;&gt;"",INDEX(Raw_D1!$H$2:$H$1001,$AP790),IF($AR790&lt;&gt;"",INDEX(Raw_D3!$H$2:$H$1001,$AR790),"")))</f>
        <v>6</v>
      </c>
      <c r="I790" s="5">
        <f>IF($A790="","",IF($AP790&lt;&gt;"",INDEX(Raw_D1!$I$2:$I$1001,$AP790),IF($AR790&lt;&gt;"",INDEX(Raw_D3!$I$2:$I$1001,$AR790),"")))</f>
        <v>3</v>
      </c>
      <c r="J790" s="16">
        <f>IF($A790="","",IF($AP790&lt;&gt;"",INDEX(Raw_D1!$J$2:$J$1001,$AP790),IF($AR790&lt;&gt;"",INDEX(Raw_D3!$J$2:$J$1001,$AR790),"")))</f>
        <v>0.22</v>
      </c>
      <c r="K790" s="17">
        <f>IF($A790="","",IF($AQ790&lt;&gt;"",IF(INDEX(Raw_D2!$C$2:$C$1001,$AQ790)="","",INDEX(Raw_D2!$C$2:$C$1001,$AQ790)),IF($AR790&lt;&gt;"",IF(INDEX(Raw_D3!$K$2:$K$1001,$AR790)="","",INDEX(Raw_D3!$K$2:$K$1001,$AR790)),"")))</f>
        <v>0.2576</v>
      </c>
      <c r="L790" s="16">
        <f>IF($A790="","",IF($AQ790&lt;&gt;"",IF(INDEX(Raw_D2!$D$2:$D$1001,$AQ790)="","",INDEX(Raw_D2!$D$2:$D$1001,$AQ790)),IF($AR790&lt;&gt;"",IF(INDEX(Raw_D3!$L$2:$L$1001,$AR790)="","",INDEX(Raw_D3!$L$2:$L$1001,$AR790)),"")))</f>
        <v>0.93</v>
      </c>
      <c r="M790" s="17">
        <f>IF($A790="","",IF($AQ790&lt;&gt;"",IF(INDEX(Raw_D2!$E$2:$E$1001,$AQ790)="","",INDEX(Raw_D2!$E$2:$E$1001,$AQ790)),IF($AR790&lt;&gt;"",IF(INDEX(Raw_D3!$M$2:$M$1001,$AR790)="","",INDEX(Raw_D3!$M$2:$M$1001,$AR790)),"")))</f>
        <v>0.0896</v>
      </c>
      <c r="N790" s="5">
        <f>IF($A790="","",IF($AQ790&lt;&gt;"",IF(INDEX(Raw_D2!$F$2:$F$1001,$AQ790)="","",INDEX(Raw_D2!$F$2:$F$1001,$AQ790)),IF($AR790&lt;&gt;"",IF(INDEX(Raw_D3!$N$2:$N$1001,$AR790)="","",INDEX(Raw_D3!$N$2:$N$1001,$AR790)),"")))</f>
        <v>0</v>
      </c>
      <c r="O790" s="5">
        <f>IF($A790="","",IF($AQ790&lt;&gt;"",IF(INDEX(Raw_D2!$G$2:$G$1001,$AQ790)="","",INDEX(Raw_D2!$G$2:$G$1001,$AQ790)),IF($AR790&lt;&gt;"",IF(INDEX(Raw_D3!$O$2:$O$1001,$AR790)="","",INDEX(Raw_D3!$O$2:$O$1001,$AR790)),"")))</f>
        <v>4</v>
      </c>
      <c r="P790" s="5">
        <f>IF($A790="","",IF($AQ790&lt;&gt;"",IF(INDEX(Raw_D2!$H$2:$H$1001,$AQ790)="","",INDEX(Raw_D2!$H$2:$H$1001,$AQ790)),IF($AR790&lt;&gt;"",IF(INDEX(Raw_D3!$P$2:$P$1001,$AR790)="","",INDEX(Raw_D3!$P$2:$P$1001,$AR790)),"")))</f>
        <v>4</v>
      </c>
      <c r="Q790" s="5" t="str">
        <f>IF($A790="","",IF(AND($AP790&lt;&gt;"",$AQ790&lt;&gt;""),"D1+D2",IF($AR790&lt;&gt;"","D3","Incomplete")))</f>
        <v>D3</v>
      </c>
      <c r="R790" s="17">
        <f>IF($A790="","",IF($K790="",IF($J790="","",ROUND(Lookups!$K$5+Lookups!$K$4*$J790,4)),$K790))</f>
        <v>0.2576</v>
      </c>
      <c r="S790" s="5" t="str">
        <f>IF($A790="","",IF($K790="","Imputed","Original"))</f>
        <v>Original</v>
      </c>
      <c r="T790" s="5" t="str">
        <f>IF($A790="","",IF($P790="","Missing",IF($P790=$N790+$O790,"OK","Mismatch")))</f>
        <v>OK</v>
      </c>
      <c r="U790" s="5" t="str">
        <f>IF($A790="","",IF(COUNTIF($A$2:$A790,$A790)&gt;1,"Duplicate","Unique"))</f>
        <v>Unique</v>
      </c>
      <c r="V790" s="5">
        <f>IF($A790="","",IF(AND($U790="Unique",ISNUMBER($P790)),1,0))</f>
        <v>1</v>
      </c>
      <c r="W790" s="5" t="str">
        <f>IF($A790="","",IF(OR($H790=0,$H790=6),"Weekend","Weekday"))</f>
        <v>Weekend</v>
      </c>
      <c r="X790" s="5" t="str">
        <f>IF($A790="","",TEXT($B790,"ddd"))</f>
        <v>Sat</v>
      </c>
      <c r="Y790" s="5" t="str">
        <f>IF($A790="","",TEXT($B790,"mmm"))</f>
        <v>Feb</v>
      </c>
      <c r="Z790" s="5" t="str">
        <f>IF($A790="","",IFERROR(VLOOKUP($C790,Lookups!$D$4:$E$7,2,FALSE),"Unknown"))</f>
        <v>Winter</v>
      </c>
      <c r="AA790" s="5" t="str">
        <f>IF($A790="","",IFERROR(VLOOKUP($I790,Lookups!$A$4:$B$7,2,FALSE),"Unknown"))</f>
        <v>Light Rain/Snow</v>
      </c>
      <c r="AB790" s="5" t="str">
        <f>IF($A790="","",TEXT($F790,"00")&amp;":00")</f>
        <v>07:00</v>
      </c>
      <c r="AC790" s="5" t="str">
        <f>IF($A790="","",VLOOKUP($F790,Lookups!$G$4:$H$8,2,TRUE))</f>
        <v>Morning Peak (06-09)</v>
      </c>
      <c r="AD790" s="18">
        <f>IF($A790="","",IF($J790="","",ROUND($J790*41,1)))</f>
        <v>9</v>
      </c>
      <c r="AE790" s="18">
        <f>IF($A790="","",IF($R790="","",ROUND($R790*50,1)))</f>
        <v>12.9</v>
      </c>
      <c r="AF790" s="5">
        <f>IF($A790="","",IF($L790="","",ROUND($L790*100,0)))</f>
        <v>93</v>
      </c>
      <c r="AG790" s="18">
        <f>IF($A790="","",IF($M790="","",ROUND($M790*67,1)))</f>
        <v>6</v>
      </c>
      <c r="AH790" s="19">
        <f>IF($A790="","",IF($P790="","",IF($P790=0,0,$O790/$P790)))</f>
        <v>1</v>
      </c>
      <c r="AI790" s="5" t="str">
        <f>IF($A790="","",IF($P790="","",IF($P790&gt;=Lookups!$K$7,"High",IF($P790&lt;=Lookups!$K$8,"Low","Medium"))))</f>
        <v>Low</v>
      </c>
      <c r="AJ790" s="5" t="str">
        <f>IF($A790="","",IF($AD790="","",IF($AD790&lt;5,"Under 5 C",IF($AD790&lt;10,"5-10 C",IF($AD790&lt;15,"10-15 C","15 C and above")))))</f>
        <v>5-10 C</v>
      </c>
      <c r="AK790" s="5">
        <f>IF($A790="","",IF($P790="","",$P790^2))</f>
        <v>16</v>
      </c>
      <c r="AL790" s="18">
        <f>IF($V790&lt;&gt;1,"",AVERAGEIFS(Clean_Data!$P$2:$P$1001,Clean_Data!$F$2:$F$1001,$F790,Clean_Data!$W$2:$W$1001,$W790,Clean_Data!$V$2:$V$1001,1))</f>
        <v>5.42857142857143</v>
      </c>
      <c r="AM790" s="16">
        <f>IF($V790&lt;&gt;1,"",IFERROR(($P790-$AL790)/SQRT(MAX(0,(SUMIFS(Clean_Data!$AK$2:$AK$1001,Clean_Data!$F$2:$F$1001,$F790,Clean_Data!$W$2:$W$1001,$W790,Clean_Data!$V$2:$V$1001,1)-COUNTIFS(Clean_Data!$F$2:$F$1001,$F790,Clean_Data!$W$2:$W$1001,$W790,Clean_Data!$V$2:$V$1001,1)*$AL790^2)/(COUNTIFS(Clean_Data!$F$2:$F$1001,$F790,Clean_Data!$W$2:$W$1001,$W790,Clean_Data!$V$2:$V$1001,1)-1))),""))</f>
        <v>-0.442607213303437</v>
      </c>
      <c r="AN790" s="5" t="str">
        <f>IF($AM790="","",IF($AM790&gt;=Lookups!$K$6,"High spike",IF($AM790&lt;=-Lookups!$K$6,"Unusual low","Normal")))</f>
        <v>Normal</v>
      </c>
      <c r="AO790" s="20">
        <f>IF($V790&lt;&gt;1,"",$P790+ROW()/100000)</f>
        <v>4.0079</v>
      </c>
      <c r="AP790" s="5">
        <f>IF($A790="","",IFERROR(MATCH($A790,Raw_D1!$A$2:$A$1001,0),""))</f>
        <v/>
      </c>
      <c r="AQ790" s="5">
        <f>IF($A790="","",IFERROR(MATCH($A790,Raw_D2!$B$2:$B$1001,0),""))</f>
        <v/>
      </c>
      <c r="AR790" s="5">
        <f>IF($A790="","",IFERROR(MATCH($A790,Raw_D3!$A$2:$A$1001,0),""))</f>
        <v>170</v>
      </c>
    </row>
    <row r="791" spans="1:44" x14ac:dyDescent="0.25">
      <c r="A791" s="5">
        <v>790</v>
      </c>
      <c r="B791" s="11">
        <f>IF($A791="","",IF($AP791&lt;&gt;"",INDEX(Raw_D1!$B$2:$B$1001,$AP791),IF($AR791&lt;&gt;"",INDEX(Raw_D3!$B$2:$B$1001,$AR791),"")))</f>
        <v>40579.0</v>
      </c>
      <c r="C791" s="5">
        <f>IF($A791="","",IF($AP791&lt;&gt;"",INDEX(Raw_D1!$C$2:$C$1001,$AP791),IF($AR791&lt;&gt;"",INDEX(Raw_D3!$C$2:$C$1001,$AR791),"")))</f>
        <v>1</v>
      </c>
      <c r="D791" s="5">
        <f>IF($A791="","",IF($AP791&lt;&gt;"",INDEX(Raw_D1!$D$2:$D$1001,$AP791),IF($AR791&lt;&gt;"",INDEX(Raw_D3!$D$2:$D$1001,$AR791),"")))</f>
        <v>0</v>
      </c>
      <c r="E791" s="5">
        <f>IF($A791="","",IF($AP791&lt;&gt;"",INDEX(Raw_D1!$E$2:$E$1001,$AP791),IF($AR791&lt;&gt;"",INDEX(Raw_D3!$E$2:$E$1001,$AR791),"")))</f>
        <v>2</v>
      </c>
      <c r="F791" s="5">
        <f>IF($A791="","",IF($AP791&lt;&gt;"",INDEX(Raw_D1!$F$2:$F$1001,$AP791),IF($AR791&lt;&gt;"",INDEX(Raw_D3!$F$2:$F$1001,$AR791),"")))</f>
        <v>8</v>
      </c>
      <c r="G791" s="5">
        <f>IF($A791="","",IF($AP791&lt;&gt;"",IF(INDEX(Raw_D1!$G$2:$G$1001,$AP791),1,0),IF($AR791&lt;&gt;"",IF(INDEX(Raw_D3!$G$2:$G$1001,$AR791),1,0),"")))</f>
        <v>0</v>
      </c>
      <c r="H791" s="5">
        <f>IF($A791="","",IF($AP791&lt;&gt;"",INDEX(Raw_D1!$H$2:$H$1001,$AP791),IF($AR791&lt;&gt;"",INDEX(Raw_D3!$H$2:$H$1001,$AR791),"")))</f>
        <v>6</v>
      </c>
      <c r="I791" s="5">
        <f>IF($A791="","",IF($AP791&lt;&gt;"",INDEX(Raw_D1!$I$2:$I$1001,$AP791),IF($AR791&lt;&gt;"",INDEX(Raw_D3!$I$2:$I$1001,$AR791),"")))</f>
        <v>3</v>
      </c>
      <c r="J791" s="16">
        <f>IF($A791="","",IF($AP791&lt;&gt;"",INDEX(Raw_D1!$J$2:$J$1001,$AP791),IF($AR791&lt;&gt;"",INDEX(Raw_D3!$J$2:$J$1001,$AR791),"")))</f>
        <v>0.2</v>
      </c>
      <c r="K791" s="17">
        <f>IF($A791="","",IF($AQ791&lt;&gt;"",IF(INDEX(Raw_D2!$C$2:$C$1001,$AQ791)="","",INDEX(Raw_D2!$C$2:$C$1001,$AQ791)),IF($AR791&lt;&gt;"",IF(INDEX(Raw_D3!$K$2:$K$1001,$AR791)="","",INDEX(Raw_D3!$K$2:$K$1001,$AR791)),"")))</f>
        <v>0.2273</v>
      </c>
      <c r="L791" s="16">
        <f>IF($A791="","",IF($AQ791&lt;&gt;"",IF(INDEX(Raw_D2!$D$2:$D$1001,$AQ791)="","",INDEX(Raw_D2!$D$2:$D$1001,$AQ791)),IF($AR791&lt;&gt;"",IF(INDEX(Raw_D3!$L$2:$L$1001,$AR791)="","",INDEX(Raw_D3!$L$2:$L$1001,$AR791)),"")))</f>
        <v>1</v>
      </c>
      <c r="M791" s="17">
        <f>IF($A791="","",IF($AQ791&lt;&gt;"",IF(INDEX(Raw_D2!$E$2:$E$1001,$AQ791)="","",INDEX(Raw_D2!$E$2:$E$1001,$AQ791)),IF($AR791&lt;&gt;"",IF(INDEX(Raw_D3!$M$2:$M$1001,$AR791)="","",INDEX(Raw_D3!$M$2:$M$1001,$AR791)),"")))</f>
        <v>0.0896</v>
      </c>
      <c r="N791" s="5">
        <f>IF($A791="","",IF($AQ791&lt;&gt;"",IF(INDEX(Raw_D2!$F$2:$F$1001,$AQ791)="","",INDEX(Raw_D2!$F$2:$F$1001,$AQ791)),IF($AR791&lt;&gt;"",IF(INDEX(Raw_D3!$N$2:$N$1001,$AR791)="","",INDEX(Raw_D3!$N$2:$N$1001,$AR791)),"")))</f>
        <v>0</v>
      </c>
      <c r="O791" s="5">
        <f>IF($A791="","",IF($AQ791&lt;&gt;"",IF(INDEX(Raw_D2!$G$2:$G$1001,$AQ791)="","",INDEX(Raw_D2!$G$2:$G$1001,$AQ791)),IF($AR791&lt;&gt;"",IF(INDEX(Raw_D3!$O$2:$O$1001,$AR791)="","",INDEX(Raw_D3!$O$2:$O$1001,$AR791)),"")))</f>
        <v>10</v>
      </c>
      <c r="P791" s="5">
        <f>IF($A791="","",IF($AQ791&lt;&gt;"",IF(INDEX(Raw_D2!$H$2:$H$1001,$AQ791)="","",INDEX(Raw_D2!$H$2:$H$1001,$AQ791)),IF($AR791&lt;&gt;"",IF(INDEX(Raw_D3!$P$2:$P$1001,$AR791)="","",INDEX(Raw_D3!$P$2:$P$1001,$AR791)),"")))</f>
        <v>10</v>
      </c>
      <c r="Q791" s="5" t="str">
        <f>IF($A791="","",IF(AND($AP791&lt;&gt;"",$AQ791&lt;&gt;""),"D1+D2",IF($AR791&lt;&gt;"","D3","Incomplete")))</f>
        <v>D3</v>
      </c>
      <c r="R791" s="17">
        <f>IF($A791="","",IF($K791="",IF($J791="","",ROUND(Lookups!$K$5+Lookups!$K$4*$J791,4)),$K791))</f>
        <v>0.2273</v>
      </c>
      <c r="S791" s="5" t="str">
        <f>IF($A791="","",IF($K791="","Imputed","Original"))</f>
        <v>Original</v>
      </c>
      <c r="T791" s="5" t="str">
        <f>IF($A791="","",IF($P791="","Missing",IF($P791=$N791+$O791,"OK","Mismatch")))</f>
        <v>OK</v>
      </c>
      <c r="U791" s="5" t="str">
        <f>IF($A791="","",IF(COUNTIF($A$2:$A791,$A791)&gt;1,"Duplicate","Unique"))</f>
        <v>Unique</v>
      </c>
      <c r="V791" s="5">
        <f>IF($A791="","",IF(AND($U791="Unique",ISNUMBER($P791)),1,0))</f>
        <v>1</v>
      </c>
      <c r="W791" s="5" t="str">
        <f>IF($A791="","",IF(OR($H791=0,$H791=6),"Weekend","Weekday"))</f>
        <v>Weekend</v>
      </c>
      <c r="X791" s="5" t="str">
        <f>IF($A791="","",TEXT($B791,"ddd"))</f>
        <v>Sat</v>
      </c>
      <c r="Y791" s="5" t="str">
        <f>IF($A791="","",TEXT($B791,"mmm"))</f>
        <v>Feb</v>
      </c>
      <c r="Z791" s="5" t="str">
        <f>IF($A791="","",IFERROR(VLOOKUP($C791,Lookups!$D$4:$E$7,2,FALSE),"Unknown"))</f>
        <v>Winter</v>
      </c>
      <c r="AA791" s="5" t="str">
        <f>IF($A791="","",IFERROR(VLOOKUP($I791,Lookups!$A$4:$B$7,2,FALSE),"Unknown"))</f>
        <v>Light Rain/Snow</v>
      </c>
      <c r="AB791" s="5" t="str">
        <f>IF($A791="","",TEXT($F791,"00")&amp;":00")</f>
        <v>08:00</v>
      </c>
      <c r="AC791" s="5" t="str">
        <f>IF($A791="","",VLOOKUP($F791,Lookups!$G$4:$H$8,2,TRUE))</f>
        <v>Morning Peak (06-09)</v>
      </c>
      <c r="AD791" s="18">
        <f>IF($A791="","",IF($J791="","",ROUND($J791*41,1)))</f>
        <v>8.2</v>
      </c>
      <c r="AE791" s="18">
        <f>IF($A791="","",IF($R791="","",ROUND($R791*50,1)))</f>
        <v>11.4</v>
      </c>
      <c r="AF791" s="5">
        <f>IF($A791="","",IF($L791="","",ROUND($L791*100,0)))</f>
        <v>100</v>
      </c>
      <c r="AG791" s="18">
        <f>IF($A791="","",IF($M791="","",ROUND($M791*67,1)))</f>
        <v>6</v>
      </c>
      <c r="AH791" s="19">
        <f>IF($A791="","",IF($P791="","",IF($P791=0,0,$O791/$P791)))</f>
        <v>1</v>
      </c>
      <c r="AI791" s="5" t="str">
        <f>IF($A791="","",IF($P791="","",IF($P791&gt;=Lookups!$K$7,"High",IF($P791&lt;=Lookups!$K$8,"Low","Medium"))))</f>
        <v>Low</v>
      </c>
      <c r="AJ791" s="5" t="str">
        <f>IF($A791="","",IF($AD791="","",IF($AD791&lt;5,"Under 5 C",IF($AD791&lt;10,"5-10 C",IF($AD791&lt;15,"10-15 C","15 C and above")))))</f>
        <v>5-10 C</v>
      </c>
      <c r="AK791" s="5">
        <f>IF($A791="","",IF($P791="","",$P791^2))</f>
        <v>100</v>
      </c>
      <c r="AL791" s="18">
        <f>IF($V791&lt;&gt;1,"",AVERAGEIFS(Clean_Data!$P$2:$P$1001,Clean_Data!$F$2:$F$1001,$F791,Clean_Data!$W$2:$W$1001,$W791,Clean_Data!$V$2:$V$1001,1))</f>
        <v>17.7857142857143</v>
      </c>
      <c r="AM791" s="16">
        <f>IF($V791&lt;&gt;1,"",IFERROR(($P791-$AL791)/SQRT(MAX(0,(SUMIFS(Clean_Data!$AK$2:$AK$1001,Clean_Data!$F$2:$F$1001,$F791,Clean_Data!$W$2:$W$1001,$W791,Clean_Data!$V$2:$V$1001,1)-COUNTIFS(Clean_Data!$F$2:$F$1001,$F791,Clean_Data!$W$2:$W$1001,$W791,Clean_Data!$V$2:$V$1001,1)*$AL791^2)/(COUNTIFS(Clean_Data!$F$2:$F$1001,$F791,Clean_Data!$W$2:$W$1001,$W791,Clean_Data!$V$2:$V$1001,1)-1))),""))</f>
        <v>-0.915427014721944</v>
      </c>
      <c r="AN791" s="5" t="str">
        <f>IF($AM791="","",IF($AM791&gt;=Lookups!$K$6,"High spike",IF($AM791&lt;=-Lookups!$K$6,"Unusual low","Normal")))</f>
        <v>Normal</v>
      </c>
      <c r="AO791" s="20">
        <f>IF($V791&lt;&gt;1,"",$P791+ROW()/100000)</f>
        <v>10.00791</v>
      </c>
      <c r="AP791" s="5">
        <f>IF($A791="","",IFERROR(MATCH($A791,Raw_D1!$A$2:$A$1001,0),""))</f>
        <v/>
      </c>
      <c r="AQ791" s="5">
        <f>IF($A791="","",IFERROR(MATCH($A791,Raw_D2!$B$2:$B$1001,0),""))</f>
        <v/>
      </c>
      <c r="AR791" s="5">
        <f>IF($A791="","",IFERROR(MATCH($A791,Raw_D3!$A$2:$A$1001,0),""))</f>
        <v>171</v>
      </c>
    </row>
    <row r="792" spans="1:44" x14ac:dyDescent="0.25">
      <c r="A792" s="5">
        <v>791</v>
      </c>
      <c r="B792" s="11">
        <f>IF($A792="","",IF($AP792&lt;&gt;"",INDEX(Raw_D1!$B$2:$B$1001,$AP792),IF($AR792&lt;&gt;"",INDEX(Raw_D3!$B$2:$B$1001,$AR792),"")))</f>
        <v>40579.0</v>
      </c>
      <c r="C792" s="5">
        <f>IF($A792="","",IF($AP792&lt;&gt;"",INDEX(Raw_D1!$C$2:$C$1001,$AP792),IF($AR792&lt;&gt;"",INDEX(Raw_D3!$C$2:$C$1001,$AR792),"")))</f>
        <v>1</v>
      </c>
      <c r="D792" s="5">
        <f>IF($A792="","",IF($AP792&lt;&gt;"",INDEX(Raw_D1!$D$2:$D$1001,$AP792),IF($AR792&lt;&gt;"",INDEX(Raw_D3!$D$2:$D$1001,$AR792),"")))</f>
        <v>0</v>
      </c>
      <c r="E792" s="5">
        <f>IF($A792="","",IF($AP792&lt;&gt;"",INDEX(Raw_D1!$E$2:$E$1001,$AP792),IF($AR792&lt;&gt;"",INDEX(Raw_D3!$E$2:$E$1001,$AR792),"")))</f>
        <v>2</v>
      </c>
      <c r="F792" s="5">
        <f>IF($A792="","",IF($AP792&lt;&gt;"",INDEX(Raw_D1!$F$2:$F$1001,$AP792),IF($AR792&lt;&gt;"",INDEX(Raw_D3!$F$2:$F$1001,$AR792),"")))</f>
        <v>9</v>
      </c>
      <c r="G792" s="5">
        <f>IF($A792="","",IF($AP792&lt;&gt;"",IF(INDEX(Raw_D1!$G$2:$G$1001,$AP792),1,0),IF($AR792&lt;&gt;"",IF(INDEX(Raw_D3!$G$2:$G$1001,$AR792),1,0),"")))</f>
        <v>0</v>
      </c>
      <c r="H792" s="5">
        <f>IF($A792="","",IF($AP792&lt;&gt;"",INDEX(Raw_D1!$H$2:$H$1001,$AP792),IF($AR792&lt;&gt;"",INDEX(Raw_D3!$H$2:$H$1001,$AR792),"")))</f>
        <v>6</v>
      </c>
      <c r="I792" s="5">
        <f>IF($A792="","",IF($AP792&lt;&gt;"",INDEX(Raw_D1!$I$2:$I$1001,$AP792),IF($AR792&lt;&gt;"",INDEX(Raw_D3!$I$2:$I$1001,$AR792),"")))</f>
        <v>3</v>
      </c>
      <c r="J792" s="16">
        <f>IF($A792="","",IF($AP792&lt;&gt;"",INDEX(Raw_D1!$J$2:$J$1001,$AP792),IF($AR792&lt;&gt;"",INDEX(Raw_D3!$J$2:$J$1001,$AR792),"")))</f>
        <v>0.2</v>
      </c>
      <c r="K792" s="17">
        <f>IF($A792="","",IF($AQ792&lt;&gt;"",IF(INDEX(Raw_D2!$C$2:$C$1001,$AQ792)="","",INDEX(Raw_D2!$C$2:$C$1001,$AQ792)),IF($AR792&lt;&gt;"",IF(INDEX(Raw_D3!$K$2:$K$1001,$AR792)="","",INDEX(Raw_D3!$K$2:$K$1001,$AR792)),"")))</f>
        <v>0.2273</v>
      </c>
      <c r="L792" s="16">
        <f>IF($A792="","",IF($AQ792&lt;&gt;"",IF(INDEX(Raw_D2!$D$2:$D$1001,$AQ792)="","",INDEX(Raw_D2!$D$2:$D$1001,$AQ792)),IF($AR792&lt;&gt;"",IF(INDEX(Raw_D3!$L$2:$L$1001,$AR792)="","",INDEX(Raw_D3!$L$2:$L$1001,$AR792)),"")))</f>
        <v>1</v>
      </c>
      <c r="M792" s="17">
        <f>IF($A792="","",IF($AQ792&lt;&gt;"",IF(INDEX(Raw_D2!$E$2:$E$1001,$AQ792)="","",INDEX(Raw_D2!$E$2:$E$1001,$AQ792)),IF($AR792&lt;&gt;"",IF(INDEX(Raw_D3!$M$2:$M$1001,$AR792)="","",INDEX(Raw_D3!$M$2:$M$1001,$AR792)),"")))</f>
        <v>0.0896</v>
      </c>
      <c r="N792" s="5">
        <f>IF($A792="","",IF($AQ792&lt;&gt;"",IF(INDEX(Raw_D2!$F$2:$F$1001,$AQ792)="","",INDEX(Raw_D2!$F$2:$F$1001,$AQ792)),IF($AR792&lt;&gt;"",IF(INDEX(Raw_D3!$N$2:$N$1001,$AR792)="","",INDEX(Raw_D3!$N$2:$N$1001,$AR792)),"")))</f>
        <v>3</v>
      </c>
      <c r="O792" s="5">
        <f>IF($A792="","",IF($AQ792&lt;&gt;"",IF(INDEX(Raw_D2!$G$2:$G$1001,$AQ792)="","",INDEX(Raw_D2!$G$2:$G$1001,$AQ792)),IF($AR792&lt;&gt;"",IF(INDEX(Raw_D3!$O$2:$O$1001,$AR792)="","",INDEX(Raw_D3!$O$2:$O$1001,$AR792)),"")))</f>
        <v>17</v>
      </c>
      <c r="P792" s="5">
        <f>IF($A792="","",IF($AQ792&lt;&gt;"",IF(INDEX(Raw_D2!$H$2:$H$1001,$AQ792)="","",INDEX(Raw_D2!$H$2:$H$1001,$AQ792)),IF($AR792&lt;&gt;"",IF(INDEX(Raw_D3!$P$2:$P$1001,$AR792)="","",INDEX(Raw_D3!$P$2:$P$1001,$AR792)),"")))</f>
        <v>20</v>
      </c>
      <c r="Q792" s="5" t="str">
        <f>IF($A792="","",IF(AND($AP792&lt;&gt;"",$AQ792&lt;&gt;""),"D1+D2",IF($AR792&lt;&gt;"","D3","Incomplete")))</f>
        <v>D3</v>
      </c>
      <c r="R792" s="17">
        <f>IF($A792="","",IF($K792="",IF($J792="","",ROUND(Lookups!$K$5+Lookups!$K$4*$J792,4)),$K792))</f>
        <v>0.2273</v>
      </c>
      <c r="S792" s="5" t="str">
        <f>IF($A792="","",IF($K792="","Imputed","Original"))</f>
        <v>Original</v>
      </c>
      <c r="T792" s="5" t="str">
        <f>IF($A792="","",IF($P792="","Missing",IF($P792=$N792+$O792,"OK","Mismatch")))</f>
        <v>OK</v>
      </c>
      <c r="U792" s="5" t="str">
        <f>IF($A792="","",IF(COUNTIF($A$2:$A792,$A792)&gt;1,"Duplicate","Unique"))</f>
        <v>Unique</v>
      </c>
      <c r="V792" s="5">
        <f>IF($A792="","",IF(AND($U792="Unique",ISNUMBER($P792)),1,0))</f>
        <v>1</v>
      </c>
      <c r="W792" s="5" t="str">
        <f>IF($A792="","",IF(OR($H792=0,$H792=6),"Weekend","Weekday"))</f>
        <v>Weekend</v>
      </c>
      <c r="X792" s="5" t="str">
        <f>IF($A792="","",TEXT($B792,"ddd"))</f>
        <v>Sat</v>
      </c>
      <c r="Y792" s="5" t="str">
        <f>IF($A792="","",TEXT($B792,"mmm"))</f>
        <v>Feb</v>
      </c>
      <c r="Z792" s="5" t="str">
        <f>IF($A792="","",IFERROR(VLOOKUP($C792,Lookups!$D$4:$E$7,2,FALSE),"Unknown"))</f>
        <v>Winter</v>
      </c>
      <c r="AA792" s="5" t="str">
        <f>IF($A792="","",IFERROR(VLOOKUP($I792,Lookups!$A$4:$B$7,2,FALSE),"Unknown"))</f>
        <v>Light Rain/Snow</v>
      </c>
      <c r="AB792" s="5" t="str">
        <f>IF($A792="","",TEXT($F792,"00")&amp;":00")</f>
        <v>09:00</v>
      </c>
      <c r="AC792" s="5" t="str">
        <f>IF($A792="","",VLOOKUP($F792,Lookups!$G$4:$H$8,2,TRUE))</f>
        <v>Morning Peak (06-09)</v>
      </c>
      <c r="AD792" s="18">
        <f>IF($A792="","",IF($J792="","",ROUND($J792*41,1)))</f>
        <v>8.2</v>
      </c>
      <c r="AE792" s="18">
        <f>IF($A792="","",IF($R792="","",ROUND($R792*50,1)))</f>
        <v>11.4</v>
      </c>
      <c r="AF792" s="5">
        <f>IF($A792="","",IF($L792="","",ROUND($L792*100,0)))</f>
        <v>100</v>
      </c>
      <c r="AG792" s="18">
        <f>IF($A792="","",IF($M792="","",ROUND($M792*67,1)))</f>
        <v>6</v>
      </c>
      <c r="AH792" s="19">
        <f>IF($A792="","",IF($P792="","",IF($P792=0,0,$O792/$P792)))</f>
        <v>0.85</v>
      </c>
      <c r="AI792" s="5" t="str">
        <f>IF($A792="","",IF($P792="","",IF($P792&gt;=Lookups!$K$7,"High",IF($P792&lt;=Lookups!$K$8,"Low","Medium"))))</f>
        <v>Medium</v>
      </c>
      <c r="AJ792" s="5" t="str">
        <f>IF($A792="","",IF($AD792="","",IF($AD792&lt;5,"Under 5 C",IF($AD792&lt;10,"5-10 C",IF($AD792&lt;15,"10-15 C","15 C and above")))))</f>
        <v>5-10 C</v>
      </c>
      <c r="AK792" s="5">
        <f>IF($A792="","",IF($P792="","",$P792^2))</f>
        <v>400</v>
      </c>
      <c r="AL792" s="18">
        <f>IF($V792&lt;&gt;1,"",AVERAGEIFS(Clean_Data!$P$2:$P$1001,Clean_Data!$F$2:$F$1001,$F792,Clean_Data!$W$2:$W$1001,$W792,Clean_Data!$V$2:$V$1001,1))</f>
        <v>30.9285714285714</v>
      </c>
      <c r="AM792" s="16">
        <f>IF($V792&lt;&gt;1,"",IFERROR(($P792-$AL792)/SQRT(MAX(0,(SUMIFS(Clean_Data!$AK$2:$AK$1001,Clean_Data!$F$2:$F$1001,$F792,Clean_Data!$W$2:$W$1001,$W792,Clean_Data!$V$2:$V$1001,1)-COUNTIFS(Clean_Data!$F$2:$F$1001,$F792,Clean_Data!$W$2:$W$1001,$W792,Clean_Data!$V$2:$V$1001,1)*$AL792^2)/(COUNTIFS(Clean_Data!$F$2:$F$1001,$F792,Clean_Data!$W$2:$W$1001,$W792,Clean_Data!$V$2:$V$1001,1)-1))),""))</f>
        <v>-1.00249189203367</v>
      </c>
      <c r="AN792" s="5" t="str">
        <f>IF($AM792="","",IF($AM792&gt;=Lookups!$K$6,"High spike",IF($AM792&lt;=-Lookups!$K$6,"Unusual low","Normal")))</f>
        <v>Normal</v>
      </c>
      <c r="AO792" s="20">
        <f>IF($V792&lt;&gt;1,"",$P792+ROW()/100000)</f>
        <v>20.00792</v>
      </c>
      <c r="AP792" s="5">
        <f>IF($A792="","",IFERROR(MATCH($A792,Raw_D1!$A$2:$A$1001,0),""))</f>
        <v/>
      </c>
      <c r="AQ792" s="5">
        <f>IF($A792="","",IFERROR(MATCH($A792,Raw_D2!$B$2:$B$1001,0),""))</f>
        <v/>
      </c>
      <c r="AR792" s="5">
        <f>IF($A792="","",IFERROR(MATCH($A792,Raw_D3!$A$2:$A$1001,0),""))</f>
        <v>172</v>
      </c>
    </row>
    <row r="793" spans="1:44" x14ac:dyDescent="0.25">
      <c r="A793" s="5">
        <v>792</v>
      </c>
      <c r="B793" s="11">
        <f>IF($A793="","",IF($AP793&lt;&gt;"",INDEX(Raw_D1!$B$2:$B$1001,$AP793),IF($AR793&lt;&gt;"",INDEX(Raw_D3!$B$2:$B$1001,$AR793),"")))</f>
        <v>40579.0</v>
      </c>
      <c r="C793" s="5">
        <f>IF($A793="","",IF($AP793&lt;&gt;"",INDEX(Raw_D1!$C$2:$C$1001,$AP793),IF($AR793&lt;&gt;"",INDEX(Raw_D3!$C$2:$C$1001,$AR793),"")))</f>
        <v>1</v>
      </c>
      <c r="D793" s="5">
        <f>IF($A793="","",IF($AP793&lt;&gt;"",INDEX(Raw_D1!$D$2:$D$1001,$AP793),IF($AR793&lt;&gt;"",INDEX(Raw_D3!$D$2:$D$1001,$AR793),"")))</f>
        <v>0</v>
      </c>
      <c r="E793" s="5">
        <f>IF($A793="","",IF($AP793&lt;&gt;"",INDEX(Raw_D1!$E$2:$E$1001,$AP793),IF($AR793&lt;&gt;"",INDEX(Raw_D3!$E$2:$E$1001,$AR793),"")))</f>
        <v>2</v>
      </c>
      <c r="F793" s="5">
        <f>IF($A793="","",IF($AP793&lt;&gt;"",INDEX(Raw_D1!$F$2:$F$1001,$AP793),IF($AR793&lt;&gt;"",INDEX(Raw_D3!$F$2:$F$1001,$AR793),"")))</f>
        <v>10</v>
      </c>
      <c r="G793" s="5">
        <f>IF($A793="","",IF($AP793&lt;&gt;"",IF(INDEX(Raw_D1!$G$2:$G$1001,$AP793),1,0),IF($AR793&lt;&gt;"",IF(INDEX(Raw_D3!$G$2:$G$1001,$AR793),1,0),"")))</f>
        <v>0</v>
      </c>
      <c r="H793" s="5">
        <f>IF($A793="","",IF($AP793&lt;&gt;"",INDEX(Raw_D1!$H$2:$H$1001,$AP793),IF($AR793&lt;&gt;"",INDEX(Raw_D3!$H$2:$H$1001,$AR793),"")))</f>
        <v>6</v>
      </c>
      <c r="I793" s="5">
        <f>IF($A793="","",IF($AP793&lt;&gt;"",INDEX(Raw_D1!$I$2:$I$1001,$AP793),IF($AR793&lt;&gt;"",INDEX(Raw_D3!$I$2:$I$1001,$AR793),"")))</f>
        <v>3</v>
      </c>
      <c r="J793" s="16">
        <f>IF($A793="","",IF($AP793&lt;&gt;"",INDEX(Raw_D1!$J$2:$J$1001,$AP793),IF($AR793&lt;&gt;"",INDEX(Raw_D3!$J$2:$J$1001,$AR793),"")))</f>
        <v>0.2</v>
      </c>
      <c r="K793" s="17">
        <f>IF($A793="","",IF($AQ793&lt;&gt;"",IF(INDEX(Raw_D2!$C$2:$C$1001,$AQ793)="","",INDEX(Raw_D2!$C$2:$C$1001,$AQ793)),IF($AR793&lt;&gt;"",IF(INDEX(Raw_D3!$K$2:$K$1001,$AR793)="","",INDEX(Raw_D3!$K$2:$K$1001,$AR793)),"")))</f>
        <v>0.2121</v>
      </c>
      <c r="L793" s="16">
        <f>IF($A793="","",IF($AQ793&lt;&gt;"",IF(INDEX(Raw_D2!$D$2:$D$1001,$AQ793)="","",INDEX(Raw_D2!$D$2:$D$1001,$AQ793)),IF($AR793&lt;&gt;"",IF(INDEX(Raw_D3!$L$2:$L$1001,$AR793)="","",INDEX(Raw_D3!$L$2:$L$1001,$AR793)),"")))</f>
        <v>1</v>
      </c>
      <c r="M793" s="17">
        <f>IF($A793="","",IF($AQ793&lt;&gt;"",IF(INDEX(Raw_D2!$E$2:$E$1001,$AQ793)="","",INDEX(Raw_D2!$E$2:$E$1001,$AQ793)),IF($AR793&lt;&gt;"",IF(INDEX(Raw_D3!$M$2:$M$1001,$AR793)="","",INDEX(Raw_D3!$M$2:$M$1001,$AR793)),"")))</f>
        <v>0.1343</v>
      </c>
      <c r="N793" s="5">
        <f>IF($A793="","",IF($AQ793&lt;&gt;"",IF(INDEX(Raw_D2!$F$2:$F$1001,$AQ793)="","",INDEX(Raw_D2!$F$2:$F$1001,$AQ793)),IF($AR793&lt;&gt;"",IF(INDEX(Raw_D3!$N$2:$N$1001,$AR793)="","",INDEX(Raw_D3!$N$2:$N$1001,$AR793)),"")))</f>
        <v>3</v>
      </c>
      <c r="O793" s="5">
        <f>IF($A793="","",IF($AQ793&lt;&gt;"",IF(INDEX(Raw_D2!$G$2:$G$1001,$AQ793)="","",INDEX(Raw_D2!$G$2:$G$1001,$AQ793)),IF($AR793&lt;&gt;"",IF(INDEX(Raw_D3!$O$2:$O$1001,$AR793)="","",INDEX(Raw_D3!$O$2:$O$1001,$AR793)),"")))</f>
        <v>31</v>
      </c>
      <c r="P793" s="5">
        <f>IF($A793="","",IF($AQ793&lt;&gt;"",IF(INDEX(Raw_D2!$H$2:$H$1001,$AQ793)="","",INDEX(Raw_D2!$H$2:$H$1001,$AQ793)),IF($AR793&lt;&gt;"",IF(INDEX(Raw_D3!$P$2:$P$1001,$AR793)="","",INDEX(Raw_D3!$P$2:$P$1001,$AR793)),"")))</f>
        <v>34</v>
      </c>
      <c r="Q793" s="5" t="str">
        <f>IF($A793="","",IF(AND($AP793&lt;&gt;"",$AQ793&lt;&gt;""),"D1+D2",IF($AR793&lt;&gt;"","D3","Incomplete")))</f>
        <v>D3</v>
      </c>
      <c r="R793" s="17">
        <f>IF($A793="","",IF($K793="",IF($J793="","",ROUND(Lookups!$K$5+Lookups!$K$4*$J793,4)),$K793))</f>
        <v>0.2121</v>
      </c>
      <c r="S793" s="5" t="str">
        <f>IF($A793="","",IF($K793="","Imputed","Original"))</f>
        <v>Original</v>
      </c>
      <c r="T793" s="5" t="str">
        <f>IF($A793="","",IF($P793="","Missing",IF($P793=$N793+$O793,"OK","Mismatch")))</f>
        <v>OK</v>
      </c>
      <c r="U793" s="5" t="str">
        <f>IF($A793="","",IF(COUNTIF($A$2:$A793,$A793)&gt;1,"Duplicate","Unique"))</f>
        <v>Unique</v>
      </c>
      <c r="V793" s="5">
        <f>IF($A793="","",IF(AND($U793="Unique",ISNUMBER($P793)),1,0))</f>
        <v>1</v>
      </c>
      <c r="W793" s="5" t="str">
        <f>IF($A793="","",IF(OR($H793=0,$H793=6),"Weekend","Weekday"))</f>
        <v>Weekend</v>
      </c>
      <c r="X793" s="5" t="str">
        <f>IF($A793="","",TEXT($B793,"ddd"))</f>
        <v>Sat</v>
      </c>
      <c r="Y793" s="5" t="str">
        <f>IF($A793="","",TEXT($B793,"mmm"))</f>
        <v>Feb</v>
      </c>
      <c r="Z793" s="5" t="str">
        <f>IF($A793="","",IFERROR(VLOOKUP($C793,Lookups!$D$4:$E$7,2,FALSE),"Unknown"))</f>
        <v>Winter</v>
      </c>
      <c r="AA793" s="5" t="str">
        <f>IF($A793="","",IFERROR(VLOOKUP($I793,Lookups!$A$4:$B$7,2,FALSE),"Unknown"))</f>
        <v>Light Rain/Snow</v>
      </c>
      <c r="AB793" s="5" t="str">
        <f>IF($A793="","",TEXT($F793,"00")&amp;":00")</f>
        <v>10:00</v>
      </c>
      <c r="AC793" s="5" t="str">
        <f>IF($A793="","",VLOOKUP($F793,Lookups!$G$4:$H$8,2,TRUE))</f>
        <v>Midday (10-15)</v>
      </c>
      <c r="AD793" s="18">
        <f>IF($A793="","",IF($J793="","",ROUND($J793*41,1)))</f>
        <v>8.2</v>
      </c>
      <c r="AE793" s="18">
        <f>IF($A793="","",IF($R793="","",ROUND($R793*50,1)))</f>
        <v>10.6</v>
      </c>
      <c r="AF793" s="5">
        <f>IF($A793="","",IF($L793="","",ROUND($L793*100,0)))</f>
        <v>100</v>
      </c>
      <c r="AG793" s="18">
        <f>IF($A793="","",IF($M793="","",ROUND($M793*67,1)))</f>
        <v>9</v>
      </c>
      <c r="AH793" s="19">
        <f>IF($A793="","",IF($P793="","",IF($P793=0,0,$O793/$P793)))</f>
        <v>0.911764705882353</v>
      </c>
      <c r="AI793" s="5" t="str">
        <f>IF($A793="","",IF($P793="","",IF($P793&gt;=Lookups!$K$7,"High",IF($P793&lt;=Lookups!$K$8,"Low","Medium"))))</f>
        <v>Medium</v>
      </c>
      <c r="AJ793" s="5" t="str">
        <f>IF($A793="","",IF($AD793="","",IF($AD793&lt;5,"Under 5 C",IF($AD793&lt;10,"5-10 C",IF($AD793&lt;15,"10-15 C","15 C and above")))))</f>
        <v>5-10 C</v>
      </c>
      <c r="AK793" s="5">
        <f>IF($A793="","",IF($P793="","",$P793^2))</f>
        <v>1156</v>
      </c>
      <c r="AL793" s="18">
        <f>IF($V793&lt;&gt;1,"",AVERAGEIFS(Clean_Data!$P$2:$P$1001,Clean_Data!$F$2:$F$1001,$F793,Clean_Data!$W$2:$W$1001,$W793,Clean_Data!$V$2:$V$1001,1))</f>
        <v>62.7857142857143</v>
      </c>
      <c r="AM793" s="16">
        <f>IF($V793&lt;&gt;1,"",IFERROR(($P793-$AL793)/SQRT(MAX(0,(SUMIFS(Clean_Data!$AK$2:$AK$1001,Clean_Data!$F$2:$F$1001,$F793,Clean_Data!$W$2:$W$1001,$W793,Clean_Data!$V$2:$V$1001,1)-COUNTIFS(Clean_Data!$F$2:$F$1001,$F793,Clean_Data!$W$2:$W$1001,$W793,Clean_Data!$V$2:$V$1001,1)*$AL793^2)/(COUNTIFS(Clean_Data!$F$2:$F$1001,$F793,Clean_Data!$W$2:$W$1001,$W793,Clean_Data!$V$2:$V$1001,1)-1))),""))</f>
        <v>-1.43757861590547</v>
      </c>
      <c r="AN793" s="5" t="str">
        <f>IF($AM793="","",IF($AM793&gt;=Lookups!$K$6,"High spike",IF($AM793&lt;=-Lookups!$K$6,"Unusual low","Normal")))</f>
        <v>Normal</v>
      </c>
      <c r="AO793" s="20">
        <f>IF($V793&lt;&gt;1,"",$P793+ROW()/100000)</f>
        <v>34.00793</v>
      </c>
      <c r="AP793" s="5">
        <f>IF($A793="","",IFERROR(MATCH($A793,Raw_D1!$A$2:$A$1001,0),""))</f>
        <v/>
      </c>
      <c r="AQ793" s="5">
        <f>IF($A793="","",IFERROR(MATCH($A793,Raw_D2!$B$2:$B$1001,0),""))</f>
        <v/>
      </c>
      <c r="AR793" s="5">
        <f>IF($A793="","",IFERROR(MATCH($A793,Raw_D3!$A$2:$A$1001,0),""))</f>
        <v>173</v>
      </c>
    </row>
    <row r="794" spans="1:44" x14ac:dyDescent="0.25">
      <c r="A794" s="5">
        <v>793</v>
      </c>
      <c r="B794" s="11">
        <f>IF($A794="","",IF($AP794&lt;&gt;"",INDEX(Raw_D1!$B$2:$B$1001,$AP794),IF($AR794&lt;&gt;"",INDEX(Raw_D3!$B$2:$B$1001,$AR794),"")))</f>
        <v>40579.0</v>
      </c>
      <c r="C794" s="5">
        <f>IF($A794="","",IF($AP794&lt;&gt;"",INDEX(Raw_D1!$C$2:$C$1001,$AP794),IF($AR794&lt;&gt;"",INDEX(Raw_D3!$C$2:$C$1001,$AR794),"")))</f>
        <v>1</v>
      </c>
      <c r="D794" s="5">
        <f>IF($A794="","",IF($AP794&lt;&gt;"",INDEX(Raw_D1!$D$2:$D$1001,$AP794),IF($AR794&lt;&gt;"",INDEX(Raw_D3!$D$2:$D$1001,$AR794),"")))</f>
        <v>0</v>
      </c>
      <c r="E794" s="5">
        <f>IF($A794="","",IF($AP794&lt;&gt;"",INDEX(Raw_D1!$E$2:$E$1001,$AP794),IF($AR794&lt;&gt;"",INDEX(Raw_D3!$E$2:$E$1001,$AR794),"")))</f>
        <v>2</v>
      </c>
      <c r="F794" s="5">
        <f>IF($A794="","",IF($AP794&lt;&gt;"",INDEX(Raw_D1!$F$2:$F$1001,$AP794),IF($AR794&lt;&gt;"",INDEX(Raw_D3!$F$2:$F$1001,$AR794),"")))</f>
        <v>11</v>
      </c>
      <c r="G794" s="5">
        <f>IF($A794="","",IF($AP794&lt;&gt;"",IF(INDEX(Raw_D1!$G$2:$G$1001,$AP794),1,0),IF($AR794&lt;&gt;"",IF(INDEX(Raw_D3!$G$2:$G$1001,$AR794),1,0),"")))</f>
        <v>0</v>
      </c>
      <c r="H794" s="5">
        <f>IF($A794="","",IF($AP794&lt;&gt;"",INDEX(Raw_D1!$H$2:$H$1001,$AP794),IF($AR794&lt;&gt;"",INDEX(Raw_D3!$H$2:$H$1001,$AR794),"")))</f>
        <v>6</v>
      </c>
      <c r="I794" s="5">
        <f>IF($A794="","",IF($AP794&lt;&gt;"",INDEX(Raw_D1!$I$2:$I$1001,$AP794),IF($AR794&lt;&gt;"",INDEX(Raw_D3!$I$2:$I$1001,$AR794),"")))</f>
        <v>3</v>
      </c>
      <c r="J794" s="16">
        <f>IF($A794="","",IF($AP794&lt;&gt;"",INDEX(Raw_D1!$J$2:$J$1001,$AP794),IF($AR794&lt;&gt;"",INDEX(Raw_D3!$J$2:$J$1001,$AR794),"")))</f>
        <v>0.22</v>
      </c>
      <c r="K794" s="17">
        <f>IF($A794="","",IF($AQ794&lt;&gt;"",IF(INDEX(Raw_D2!$C$2:$C$1001,$AQ794)="","",INDEX(Raw_D2!$C$2:$C$1001,$AQ794)),IF($AR794&lt;&gt;"",IF(INDEX(Raw_D3!$K$2:$K$1001,$AR794)="","",INDEX(Raw_D3!$K$2:$K$1001,$AR794)),"")))</f>
        <v>0.2273</v>
      </c>
      <c r="L794" s="16">
        <f>IF($A794="","",IF($AQ794&lt;&gt;"",IF(INDEX(Raw_D2!$D$2:$D$1001,$AQ794)="","",INDEX(Raw_D2!$D$2:$D$1001,$AQ794)),IF($AR794&lt;&gt;"",IF(INDEX(Raw_D3!$L$2:$L$1001,$AR794)="","",INDEX(Raw_D3!$L$2:$L$1001,$AR794)),"")))</f>
        <v>1</v>
      </c>
      <c r="M794" s="17">
        <f>IF($A794="","",IF($AQ794&lt;&gt;"",IF(INDEX(Raw_D2!$E$2:$E$1001,$AQ794)="","",INDEX(Raw_D2!$E$2:$E$1001,$AQ794)),IF($AR794&lt;&gt;"",IF(INDEX(Raw_D3!$M$2:$M$1001,$AR794)="","",INDEX(Raw_D3!$M$2:$M$1001,$AR794)),"")))</f>
        <v>0.1343</v>
      </c>
      <c r="N794" s="5">
        <f>IF($A794="","",IF($AQ794&lt;&gt;"",IF(INDEX(Raw_D2!$F$2:$F$1001,$AQ794)="","",INDEX(Raw_D2!$F$2:$F$1001,$AQ794)),IF($AR794&lt;&gt;"",IF(INDEX(Raw_D3!$N$2:$N$1001,$AR794)="","",INDEX(Raw_D3!$N$2:$N$1001,$AR794)),"")))</f>
        <v>1</v>
      </c>
      <c r="O794" s="5">
        <f>IF($A794="","",IF($AQ794&lt;&gt;"",IF(INDEX(Raw_D2!$G$2:$G$1001,$AQ794)="","",INDEX(Raw_D2!$G$2:$G$1001,$AQ794)),IF($AR794&lt;&gt;"",IF(INDEX(Raw_D3!$O$2:$O$1001,$AR794)="","",INDEX(Raw_D3!$O$2:$O$1001,$AR794)),"")))</f>
        <v>46</v>
      </c>
      <c r="P794" s="5">
        <f>IF($A794="","",IF($AQ794&lt;&gt;"",IF(INDEX(Raw_D2!$H$2:$H$1001,$AQ794)="","",INDEX(Raw_D2!$H$2:$H$1001,$AQ794)),IF($AR794&lt;&gt;"",IF(INDEX(Raw_D3!$P$2:$P$1001,$AR794)="","",INDEX(Raw_D3!$P$2:$P$1001,$AR794)),"")))</f>
        <v>47</v>
      </c>
      <c r="Q794" s="5" t="str">
        <f>IF($A794="","",IF(AND($AP794&lt;&gt;"",$AQ794&lt;&gt;""),"D1+D2",IF($AR794&lt;&gt;"","D3","Incomplete")))</f>
        <v>D3</v>
      </c>
      <c r="R794" s="17">
        <f>IF($A794="","",IF($K794="",IF($J794="","",ROUND(Lookups!$K$5+Lookups!$K$4*$J794,4)),$K794))</f>
        <v>0.2273</v>
      </c>
      <c r="S794" s="5" t="str">
        <f>IF($A794="","",IF($K794="","Imputed","Original"))</f>
        <v>Original</v>
      </c>
      <c r="T794" s="5" t="str">
        <f>IF($A794="","",IF($P794="","Missing",IF($P794=$N794+$O794,"OK","Mismatch")))</f>
        <v>OK</v>
      </c>
      <c r="U794" s="5" t="str">
        <f>IF($A794="","",IF(COUNTIF($A$2:$A794,$A794)&gt;1,"Duplicate","Unique"))</f>
        <v>Unique</v>
      </c>
      <c r="V794" s="5">
        <f>IF($A794="","",IF(AND($U794="Unique",ISNUMBER($P794)),1,0))</f>
        <v>1</v>
      </c>
      <c r="W794" s="5" t="str">
        <f>IF($A794="","",IF(OR($H794=0,$H794=6),"Weekend","Weekday"))</f>
        <v>Weekend</v>
      </c>
      <c r="X794" s="5" t="str">
        <f>IF($A794="","",TEXT($B794,"ddd"))</f>
        <v>Sat</v>
      </c>
      <c r="Y794" s="5" t="str">
        <f>IF($A794="","",TEXT($B794,"mmm"))</f>
        <v>Feb</v>
      </c>
      <c r="Z794" s="5" t="str">
        <f>IF($A794="","",IFERROR(VLOOKUP($C794,Lookups!$D$4:$E$7,2,FALSE),"Unknown"))</f>
        <v>Winter</v>
      </c>
      <c r="AA794" s="5" t="str">
        <f>IF($A794="","",IFERROR(VLOOKUP($I794,Lookups!$A$4:$B$7,2,FALSE),"Unknown"))</f>
        <v>Light Rain/Snow</v>
      </c>
      <c r="AB794" s="5" t="str">
        <f>IF($A794="","",TEXT($F794,"00")&amp;":00")</f>
        <v>11:00</v>
      </c>
      <c r="AC794" s="5" t="str">
        <f>IF($A794="","",VLOOKUP($F794,Lookups!$G$4:$H$8,2,TRUE))</f>
        <v>Midday (10-15)</v>
      </c>
      <c r="AD794" s="18">
        <f>IF($A794="","",IF($J794="","",ROUND($J794*41,1)))</f>
        <v>9</v>
      </c>
      <c r="AE794" s="18">
        <f>IF($A794="","",IF($R794="","",ROUND($R794*50,1)))</f>
        <v>11.4</v>
      </c>
      <c r="AF794" s="5">
        <f>IF($A794="","",IF($L794="","",ROUND($L794*100,0)))</f>
        <v>100</v>
      </c>
      <c r="AG794" s="18">
        <f>IF($A794="","",IF($M794="","",ROUND($M794*67,1)))</f>
        <v>9</v>
      </c>
      <c r="AH794" s="19">
        <f>IF($A794="","",IF($P794="","",IF($P794=0,0,$O794/$P794)))</f>
        <v>0.978723404255319</v>
      </c>
      <c r="AI794" s="5" t="str">
        <f>IF($A794="","",IF($P794="","",IF($P794&gt;=Lookups!$K$7,"High",IF($P794&lt;=Lookups!$K$8,"Low","Medium"))))</f>
        <v>Medium</v>
      </c>
      <c r="AJ794" s="5" t="str">
        <f>IF($A794="","",IF($AD794="","",IF($AD794&lt;5,"Under 5 C",IF($AD794&lt;10,"5-10 C",IF($AD794&lt;15,"10-15 C","15 C and above")))))</f>
        <v>5-10 C</v>
      </c>
      <c r="AK794" s="5">
        <f>IF($A794="","",IF($P794="","",$P794^2))</f>
        <v>2209</v>
      </c>
      <c r="AL794" s="18">
        <f>IF($V794&lt;&gt;1,"",AVERAGEIFS(Clean_Data!$P$2:$P$1001,Clean_Data!$F$2:$F$1001,$F794,Clean_Data!$W$2:$W$1001,$W794,Clean_Data!$V$2:$V$1001,1))</f>
        <v>76.9285714285714</v>
      </c>
      <c r="AM794" s="16">
        <f>IF($V794&lt;&gt;1,"",IFERROR(($P794-$AL794)/SQRT(MAX(0,(SUMIFS(Clean_Data!$AK$2:$AK$1001,Clean_Data!$F$2:$F$1001,$F794,Clean_Data!$W$2:$W$1001,$W794,Clean_Data!$V$2:$V$1001,1)-COUNTIFS(Clean_Data!$F$2:$F$1001,$F794,Clean_Data!$W$2:$W$1001,$W794,Clean_Data!$V$2:$V$1001,1)*$AL794^2)/(COUNTIFS(Clean_Data!$F$2:$F$1001,$F794,Clean_Data!$W$2:$W$1001,$W794,Clean_Data!$V$2:$V$1001,1)-1))),""))</f>
        <v>-1.2029361888016</v>
      </c>
      <c r="AN794" s="5" t="str">
        <f>IF($AM794="","",IF($AM794&gt;=Lookups!$K$6,"High spike",IF($AM794&lt;=-Lookups!$K$6,"Unusual low","Normal")))</f>
        <v>Normal</v>
      </c>
      <c r="AO794" s="20">
        <f>IF($V794&lt;&gt;1,"",$P794+ROW()/100000)</f>
        <v>47.00794</v>
      </c>
      <c r="AP794" s="5">
        <f>IF($A794="","",IFERROR(MATCH($A794,Raw_D1!$A$2:$A$1001,0),""))</f>
        <v/>
      </c>
      <c r="AQ794" s="5">
        <f>IF($A794="","",IFERROR(MATCH($A794,Raw_D2!$B$2:$B$1001,0),""))</f>
        <v/>
      </c>
      <c r="AR794" s="5">
        <f>IF($A794="","",IFERROR(MATCH($A794,Raw_D3!$A$2:$A$1001,0),""))</f>
        <v>174</v>
      </c>
    </row>
    <row r="795" spans="1:44" x14ac:dyDescent="0.25">
      <c r="A795" s="5">
        <v>794</v>
      </c>
      <c r="B795" s="11">
        <f>IF($A795="","",IF($AP795&lt;&gt;"",INDEX(Raw_D1!$B$2:$B$1001,$AP795),IF($AR795&lt;&gt;"",INDEX(Raw_D3!$B$2:$B$1001,$AR795),"")))</f>
        <v>40579.0</v>
      </c>
      <c r="C795" s="5">
        <f>IF($A795="","",IF($AP795&lt;&gt;"",INDEX(Raw_D1!$C$2:$C$1001,$AP795),IF($AR795&lt;&gt;"",INDEX(Raw_D3!$C$2:$C$1001,$AR795),"")))</f>
        <v>1</v>
      </c>
      <c r="D795" s="5">
        <f>IF($A795="","",IF($AP795&lt;&gt;"",INDEX(Raw_D1!$D$2:$D$1001,$AP795),IF($AR795&lt;&gt;"",INDEX(Raw_D3!$D$2:$D$1001,$AR795),"")))</f>
        <v>0</v>
      </c>
      <c r="E795" s="5">
        <f>IF($A795="","",IF($AP795&lt;&gt;"",INDEX(Raw_D1!$E$2:$E$1001,$AP795),IF($AR795&lt;&gt;"",INDEX(Raw_D3!$E$2:$E$1001,$AR795),"")))</f>
        <v>2</v>
      </c>
      <c r="F795" s="5">
        <f>IF($A795="","",IF($AP795&lt;&gt;"",INDEX(Raw_D1!$F$2:$F$1001,$AP795),IF($AR795&lt;&gt;"",INDEX(Raw_D3!$F$2:$F$1001,$AR795),"")))</f>
        <v>12</v>
      </c>
      <c r="G795" s="5">
        <f>IF($A795="","",IF($AP795&lt;&gt;"",IF(INDEX(Raw_D1!$G$2:$G$1001,$AP795),1,0),IF($AR795&lt;&gt;"",IF(INDEX(Raw_D3!$G$2:$G$1001,$AR795),1,0),"")))</f>
        <v>0</v>
      </c>
      <c r="H795" s="5">
        <f>IF($A795="","",IF($AP795&lt;&gt;"",INDEX(Raw_D1!$H$2:$H$1001,$AP795),IF($AR795&lt;&gt;"",INDEX(Raw_D3!$H$2:$H$1001,$AR795),"")))</f>
        <v>6</v>
      </c>
      <c r="I795" s="5">
        <f>IF($A795="","",IF($AP795&lt;&gt;"",INDEX(Raw_D1!$I$2:$I$1001,$AP795),IF($AR795&lt;&gt;"",INDEX(Raw_D3!$I$2:$I$1001,$AR795),"")))</f>
        <v>3</v>
      </c>
      <c r="J795" s="16">
        <f>IF($A795="","",IF($AP795&lt;&gt;"",INDEX(Raw_D1!$J$2:$J$1001,$AP795),IF($AR795&lt;&gt;"",INDEX(Raw_D3!$J$2:$J$1001,$AR795),"")))</f>
        <v>0.22</v>
      </c>
      <c r="K795" s="17">
        <f>IF($A795="","",IF($AQ795&lt;&gt;"",IF(INDEX(Raw_D2!$C$2:$C$1001,$AQ795)="","",INDEX(Raw_D2!$C$2:$C$1001,$AQ795)),IF($AR795&lt;&gt;"",IF(INDEX(Raw_D3!$K$2:$K$1001,$AR795)="","",INDEX(Raw_D3!$K$2:$K$1001,$AR795)),"")))</f>
        <v>0.2273</v>
      </c>
      <c r="L795" s="16">
        <f>IF($A795="","",IF($AQ795&lt;&gt;"",IF(INDEX(Raw_D2!$D$2:$D$1001,$AQ795)="","",INDEX(Raw_D2!$D$2:$D$1001,$AQ795)),IF($AR795&lt;&gt;"",IF(INDEX(Raw_D3!$L$2:$L$1001,$AR795)="","",INDEX(Raw_D3!$L$2:$L$1001,$AR795)),"")))</f>
        <v>1</v>
      </c>
      <c r="M795" s="17">
        <f>IF($A795="","",IF($AQ795&lt;&gt;"",IF(INDEX(Raw_D2!$E$2:$E$1001,$AQ795)="","",INDEX(Raw_D2!$E$2:$E$1001,$AQ795)),IF($AR795&lt;&gt;"",IF(INDEX(Raw_D3!$M$2:$M$1001,$AR795)="","",INDEX(Raw_D3!$M$2:$M$1001,$AR795)),"")))</f>
        <v>0.1642</v>
      </c>
      <c r="N795" s="5">
        <f>IF($A795="","",IF($AQ795&lt;&gt;"",IF(INDEX(Raw_D2!$F$2:$F$1001,$AQ795)="","",INDEX(Raw_D2!$F$2:$F$1001,$AQ795)),IF($AR795&lt;&gt;"",IF(INDEX(Raw_D3!$N$2:$N$1001,$AR795)="","",INDEX(Raw_D3!$N$2:$N$1001,$AR795)),"")))</f>
        <v>10</v>
      </c>
      <c r="O795" s="5">
        <f>IF($A795="","",IF($AQ795&lt;&gt;"",IF(INDEX(Raw_D2!$G$2:$G$1001,$AQ795)="","",INDEX(Raw_D2!$G$2:$G$1001,$AQ795)),IF($AR795&lt;&gt;"",IF(INDEX(Raw_D3!$O$2:$O$1001,$AR795)="","",INDEX(Raw_D3!$O$2:$O$1001,$AR795)),"")))</f>
        <v>42</v>
      </c>
      <c r="P795" s="5">
        <f>IF($A795="","",IF($AQ795&lt;&gt;"",IF(INDEX(Raw_D2!$H$2:$H$1001,$AQ795)="","",INDEX(Raw_D2!$H$2:$H$1001,$AQ795)),IF($AR795&lt;&gt;"",IF(INDEX(Raw_D3!$P$2:$P$1001,$AR795)="","",INDEX(Raw_D3!$P$2:$P$1001,$AR795)),"")))</f>
        <v>52</v>
      </c>
      <c r="Q795" s="5" t="str">
        <f>IF($A795="","",IF(AND($AP795&lt;&gt;"",$AQ795&lt;&gt;""),"D1+D2",IF($AR795&lt;&gt;"","D3","Incomplete")))</f>
        <v>D3</v>
      </c>
      <c r="R795" s="17">
        <f>IF($A795="","",IF($K795="",IF($J795="","",ROUND(Lookups!$K$5+Lookups!$K$4*$J795,4)),$K795))</f>
        <v>0.2273</v>
      </c>
      <c r="S795" s="5" t="str">
        <f>IF($A795="","",IF($K795="","Imputed","Original"))</f>
        <v>Original</v>
      </c>
      <c r="T795" s="5" t="str">
        <f>IF($A795="","",IF($P795="","Missing",IF($P795=$N795+$O795,"OK","Mismatch")))</f>
        <v>OK</v>
      </c>
      <c r="U795" s="5" t="str">
        <f>IF($A795="","",IF(COUNTIF($A$2:$A795,$A795)&gt;1,"Duplicate","Unique"))</f>
        <v>Unique</v>
      </c>
      <c r="V795" s="5">
        <f>IF($A795="","",IF(AND($U795="Unique",ISNUMBER($P795)),1,0))</f>
        <v>1</v>
      </c>
      <c r="W795" s="5" t="str">
        <f>IF($A795="","",IF(OR($H795=0,$H795=6),"Weekend","Weekday"))</f>
        <v>Weekend</v>
      </c>
      <c r="X795" s="5" t="str">
        <f>IF($A795="","",TEXT($B795,"ddd"))</f>
        <v>Sat</v>
      </c>
      <c r="Y795" s="5" t="str">
        <f>IF($A795="","",TEXT($B795,"mmm"))</f>
        <v>Feb</v>
      </c>
      <c r="Z795" s="5" t="str">
        <f>IF($A795="","",IFERROR(VLOOKUP($C795,Lookups!$D$4:$E$7,2,FALSE),"Unknown"))</f>
        <v>Winter</v>
      </c>
      <c r="AA795" s="5" t="str">
        <f>IF($A795="","",IFERROR(VLOOKUP($I795,Lookups!$A$4:$B$7,2,FALSE),"Unknown"))</f>
        <v>Light Rain/Snow</v>
      </c>
      <c r="AB795" s="5" t="str">
        <f>IF($A795="","",TEXT($F795,"00")&amp;":00")</f>
        <v>12:00</v>
      </c>
      <c r="AC795" s="5" t="str">
        <f>IF($A795="","",VLOOKUP($F795,Lookups!$G$4:$H$8,2,TRUE))</f>
        <v>Midday (10-15)</v>
      </c>
      <c r="AD795" s="18">
        <f>IF($A795="","",IF($J795="","",ROUND($J795*41,1)))</f>
        <v>9</v>
      </c>
      <c r="AE795" s="18">
        <f>IF($A795="","",IF($R795="","",ROUND($R795*50,1)))</f>
        <v>11.4</v>
      </c>
      <c r="AF795" s="5">
        <f>IF($A795="","",IF($L795="","",ROUND($L795*100,0)))</f>
        <v>100</v>
      </c>
      <c r="AG795" s="18">
        <f>IF($A795="","",IF($M795="","",ROUND($M795*67,1)))</f>
        <v>11</v>
      </c>
      <c r="AH795" s="19">
        <f>IF($A795="","",IF($P795="","",IF($P795=0,0,$O795/$P795)))</f>
        <v>0.807692307692308</v>
      </c>
      <c r="AI795" s="5" t="str">
        <f>IF($A795="","",IF($P795="","",IF($P795&gt;=Lookups!$K$7,"High",IF($P795&lt;=Lookups!$K$8,"Low","Medium"))))</f>
        <v>Medium</v>
      </c>
      <c r="AJ795" s="5" t="str">
        <f>IF($A795="","",IF($AD795="","",IF($AD795&lt;5,"Under 5 C",IF($AD795&lt;10,"5-10 C",IF($AD795&lt;15,"10-15 C","15 C and above")))))</f>
        <v>5-10 C</v>
      </c>
      <c r="AK795" s="5">
        <f>IF($A795="","",IF($P795="","",$P795^2))</f>
        <v>2704</v>
      </c>
      <c r="AL795" s="18">
        <f>IF($V795&lt;&gt;1,"",AVERAGEIFS(Clean_Data!$P$2:$P$1001,Clean_Data!$F$2:$F$1001,$F795,Clean_Data!$W$2:$W$1001,$W795,Clean_Data!$V$2:$V$1001,1))</f>
        <v>100.714285714286</v>
      </c>
      <c r="AM795" s="16">
        <f>IF($V795&lt;&gt;1,"",IFERROR(($P795-$AL795)/SQRT(MAX(0,(SUMIFS(Clean_Data!$AK$2:$AK$1001,Clean_Data!$F$2:$F$1001,$F795,Clean_Data!$W$2:$W$1001,$W795,Clean_Data!$V$2:$V$1001,1)-COUNTIFS(Clean_Data!$F$2:$F$1001,$F795,Clean_Data!$W$2:$W$1001,$W795,Clean_Data!$V$2:$V$1001,1)*$AL795^2)/(COUNTIFS(Clean_Data!$F$2:$F$1001,$F795,Clean_Data!$W$2:$W$1001,$W795,Clean_Data!$V$2:$V$1001,1)-1))),""))</f>
        <v>-1.52525415549322</v>
      </c>
      <c r="AN795" s="5" t="str">
        <f>IF($AM795="","",IF($AM795&gt;=Lookups!$K$6,"High spike",IF($AM795&lt;=-Lookups!$K$6,"Unusual low","Normal")))</f>
        <v>Normal</v>
      </c>
      <c r="AO795" s="20">
        <f>IF($V795&lt;&gt;1,"",$P795+ROW()/100000)</f>
        <v>52.00795</v>
      </c>
      <c r="AP795" s="5">
        <f>IF($A795="","",IFERROR(MATCH($A795,Raw_D1!$A$2:$A$1001,0),""))</f>
        <v/>
      </c>
      <c r="AQ795" s="5">
        <f>IF($A795="","",IFERROR(MATCH($A795,Raw_D2!$B$2:$B$1001,0),""))</f>
        <v/>
      </c>
      <c r="AR795" s="5">
        <f>IF($A795="","",IFERROR(MATCH($A795,Raw_D3!$A$2:$A$1001,0),""))</f>
        <v>175</v>
      </c>
    </row>
    <row r="796" spans="1:44" x14ac:dyDescent="0.25">
      <c r="A796" s="5">
        <v>795</v>
      </c>
      <c r="B796" s="11">
        <f>IF($A796="","",IF($AP796&lt;&gt;"",INDEX(Raw_D1!$B$2:$B$1001,$AP796),IF($AR796&lt;&gt;"",INDEX(Raw_D3!$B$2:$B$1001,$AR796),"")))</f>
        <v>40579.0</v>
      </c>
      <c r="C796" s="5">
        <f>IF($A796="","",IF($AP796&lt;&gt;"",INDEX(Raw_D1!$C$2:$C$1001,$AP796),IF($AR796&lt;&gt;"",INDEX(Raw_D3!$C$2:$C$1001,$AR796),"")))</f>
        <v>1</v>
      </c>
      <c r="D796" s="5">
        <f>IF($A796="","",IF($AP796&lt;&gt;"",INDEX(Raw_D1!$D$2:$D$1001,$AP796),IF($AR796&lt;&gt;"",INDEX(Raw_D3!$D$2:$D$1001,$AR796),"")))</f>
        <v>0</v>
      </c>
      <c r="E796" s="5">
        <f>IF($A796="","",IF($AP796&lt;&gt;"",INDEX(Raw_D1!$E$2:$E$1001,$AP796),IF($AR796&lt;&gt;"",INDEX(Raw_D3!$E$2:$E$1001,$AR796),"")))</f>
        <v>2</v>
      </c>
      <c r="F796" s="5">
        <f>IF($A796="","",IF($AP796&lt;&gt;"",INDEX(Raw_D1!$F$2:$F$1001,$AP796),IF($AR796&lt;&gt;"",INDEX(Raw_D3!$F$2:$F$1001,$AR796),"")))</f>
        <v>13</v>
      </c>
      <c r="G796" s="5">
        <f>IF($A796="","",IF($AP796&lt;&gt;"",IF(INDEX(Raw_D1!$G$2:$G$1001,$AP796),1,0),IF($AR796&lt;&gt;"",IF(INDEX(Raw_D3!$G$2:$G$1001,$AR796),1,0),"")))</f>
        <v>0</v>
      </c>
      <c r="H796" s="5">
        <f>IF($A796="","",IF($AP796&lt;&gt;"",INDEX(Raw_D1!$H$2:$H$1001,$AP796),IF($AR796&lt;&gt;"",INDEX(Raw_D3!$H$2:$H$1001,$AR796),"")))</f>
        <v>6</v>
      </c>
      <c r="I796" s="5">
        <f>IF($A796="","",IF($AP796&lt;&gt;"",INDEX(Raw_D1!$I$2:$I$1001,$AP796),IF($AR796&lt;&gt;"",INDEX(Raw_D3!$I$2:$I$1001,$AR796),"")))</f>
        <v>3</v>
      </c>
      <c r="J796" s="16">
        <f>IF($A796="","",IF($AP796&lt;&gt;"",INDEX(Raw_D1!$J$2:$J$1001,$AP796),IF($AR796&lt;&gt;"",INDEX(Raw_D3!$J$2:$J$1001,$AR796),"")))</f>
        <v>0.22</v>
      </c>
      <c r="K796" s="17">
        <f>IF($A796="","",IF($AQ796&lt;&gt;"",IF(INDEX(Raw_D2!$C$2:$C$1001,$AQ796)="","",INDEX(Raw_D2!$C$2:$C$1001,$AQ796)),IF($AR796&lt;&gt;"",IF(INDEX(Raw_D3!$K$2:$K$1001,$AR796)="","",INDEX(Raw_D3!$K$2:$K$1001,$AR796)),"")))</f>
        <v>0.2273</v>
      </c>
      <c r="L796" s="16">
        <f>IF($A796="","",IF($AQ796&lt;&gt;"",IF(INDEX(Raw_D2!$D$2:$D$1001,$AQ796)="","",INDEX(Raw_D2!$D$2:$D$1001,$AQ796)),IF($AR796&lt;&gt;"",IF(INDEX(Raw_D3!$L$2:$L$1001,$AR796)="","",INDEX(Raw_D3!$L$2:$L$1001,$AR796)),"")))</f>
        <v>1</v>
      </c>
      <c r="M796" s="17">
        <f>IF($A796="","",IF($AQ796&lt;&gt;"",IF(INDEX(Raw_D2!$E$2:$E$1001,$AQ796)="","",INDEX(Raw_D2!$E$2:$E$1001,$AQ796)),IF($AR796&lt;&gt;"",IF(INDEX(Raw_D3!$M$2:$M$1001,$AR796)="","",INDEX(Raw_D3!$M$2:$M$1001,$AR796)),"")))</f>
        <v>0.1642</v>
      </c>
      <c r="N796" s="5">
        <f>IF($A796="","",IF($AQ796&lt;&gt;"",IF(INDEX(Raw_D2!$F$2:$F$1001,$AQ796)="","",INDEX(Raw_D2!$F$2:$F$1001,$AQ796)),IF($AR796&lt;&gt;"",IF(INDEX(Raw_D3!$N$2:$N$1001,$AR796)="","",INDEX(Raw_D3!$N$2:$N$1001,$AR796)),"")))</f>
        <v>10</v>
      </c>
      <c r="O796" s="5">
        <f>IF($A796="","",IF($AQ796&lt;&gt;"",IF(INDEX(Raw_D2!$G$2:$G$1001,$AQ796)="","",INDEX(Raw_D2!$G$2:$G$1001,$AQ796)),IF($AR796&lt;&gt;"",IF(INDEX(Raw_D3!$O$2:$O$1001,$AR796)="","",INDEX(Raw_D3!$O$2:$O$1001,$AR796)),"")))</f>
        <v>62</v>
      </c>
      <c r="P796" s="5">
        <f>IF($A796="","",IF($AQ796&lt;&gt;"",IF(INDEX(Raw_D2!$H$2:$H$1001,$AQ796)="","",INDEX(Raw_D2!$H$2:$H$1001,$AQ796)),IF($AR796&lt;&gt;"",IF(INDEX(Raw_D3!$P$2:$P$1001,$AR796)="","",INDEX(Raw_D3!$P$2:$P$1001,$AR796)),"")))</f>
        <v>72</v>
      </c>
      <c r="Q796" s="5" t="str">
        <f>IF($A796="","",IF(AND($AP796&lt;&gt;"",$AQ796&lt;&gt;""),"D1+D2",IF($AR796&lt;&gt;"","D3","Incomplete")))</f>
        <v>D3</v>
      </c>
      <c r="R796" s="17">
        <f>IF($A796="","",IF($K796="",IF($J796="","",ROUND(Lookups!$K$5+Lookups!$K$4*$J796,4)),$K796))</f>
        <v>0.2273</v>
      </c>
      <c r="S796" s="5" t="str">
        <f>IF($A796="","",IF($K796="","Imputed","Original"))</f>
        <v>Original</v>
      </c>
      <c r="T796" s="5" t="str">
        <f>IF($A796="","",IF($P796="","Missing",IF($P796=$N796+$O796,"OK","Mismatch")))</f>
        <v>OK</v>
      </c>
      <c r="U796" s="5" t="str">
        <f>IF($A796="","",IF(COUNTIF($A$2:$A796,$A796)&gt;1,"Duplicate","Unique"))</f>
        <v>Unique</v>
      </c>
      <c r="V796" s="5">
        <f>IF($A796="","",IF(AND($U796="Unique",ISNUMBER($P796)),1,0))</f>
        <v>1</v>
      </c>
      <c r="W796" s="5" t="str">
        <f>IF($A796="","",IF(OR($H796=0,$H796=6),"Weekend","Weekday"))</f>
        <v>Weekend</v>
      </c>
      <c r="X796" s="5" t="str">
        <f>IF($A796="","",TEXT($B796,"ddd"))</f>
        <v>Sat</v>
      </c>
      <c r="Y796" s="5" t="str">
        <f>IF($A796="","",TEXT($B796,"mmm"))</f>
        <v>Feb</v>
      </c>
      <c r="Z796" s="5" t="str">
        <f>IF($A796="","",IFERROR(VLOOKUP($C796,Lookups!$D$4:$E$7,2,FALSE),"Unknown"))</f>
        <v>Winter</v>
      </c>
      <c r="AA796" s="5" t="str">
        <f>IF($A796="","",IFERROR(VLOOKUP($I796,Lookups!$A$4:$B$7,2,FALSE),"Unknown"))</f>
        <v>Light Rain/Snow</v>
      </c>
      <c r="AB796" s="5" t="str">
        <f>IF($A796="","",TEXT($F796,"00")&amp;":00")</f>
        <v>13:00</v>
      </c>
      <c r="AC796" s="5" t="str">
        <f>IF($A796="","",VLOOKUP($F796,Lookups!$G$4:$H$8,2,TRUE))</f>
        <v>Midday (10-15)</v>
      </c>
      <c r="AD796" s="18">
        <f>IF($A796="","",IF($J796="","",ROUND($J796*41,1)))</f>
        <v>9</v>
      </c>
      <c r="AE796" s="18">
        <f>IF($A796="","",IF($R796="","",ROUND($R796*50,1)))</f>
        <v>11.4</v>
      </c>
      <c r="AF796" s="5">
        <f>IF($A796="","",IF($L796="","",ROUND($L796*100,0)))</f>
        <v>100</v>
      </c>
      <c r="AG796" s="18">
        <f>IF($A796="","",IF($M796="","",ROUND($M796*67,1)))</f>
        <v>11</v>
      </c>
      <c r="AH796" s="19">
        <f>IF($A796="","",IF($P796="","",IF($P796=0,0,$O796/$P796)))</f>
        <v>0.861111111111111</v>
      </c>
      <c r="AI796" s="5" t="str">
        <f>IF($A796="","",IF($P796="","",IF($P796&gt;=Lookups!$K$7,"High",IF($P796&lt;=Lookups!$K$8,"Low","Medium"))))</f>
        <v>Medium</v>
      </c>
      <c r="AJ796" s="5" t="str">
        <f>IF($A796="","",IF($AD796="","",IF($AD796&lt;5,"Under 5 C",IF($AD796&lt;10,"5-10 C",IF($AD796&lt;15,"10-15 C","15 C and above")))))</f>
        <v>5-10 C</v>
      </c>
      <c r="AK796" s="5">
        <f>IF($A796="","",IF($P796="","",$P796^2))</f>
        <v>5184</v>
      </c>
      <c r="AL796" s="18">
        <f>IF($V796&lt;&gt;1,"",AVERAGEIFS(Clean_Data!$P$2:$P$1001,Clean_Data!$F$2:$F$1001,$F796,Clean_Data!$W$2:$W$1001,$W796,Clean_Data!$V$2:$V$1001,1))</f>
        <v>102</v>
      </c>
      <c r="AM796" s="16">
        <f>IF($V796&lt;&gt;1,"",IFERROR(($P796-$AL796)/SQRT(MAX(0,(SUMIFS(Clean_Data!$AK$2:$AK$1001,Clean_Data!$F$2:$F$1001,$F796,Clean_Data!$W$2:$W$1001,$W796,Clean_Data!$V$2:$V$1001,1)-COUNTIFS(Clean_Data!$F$2:$F$1001,$F796,Clean_Data!$W$2:$W$1001,$W796,Clean_Data!$V$2:$V$1001,1)*$AL796^2)/(COUNTIFS(Clean_Data!$F$2:$F$1001,$F796,Clean_Data!$W$2:$W$1001,$W796,Clean_Data!$V$2:$V$1001,1)-1))),""))</f>
        <v>-0.879839026743723</v>
      </c>
      <c r="AN796" s="5" t="str">
        <f>IF($AM796="","",IF($AM796&gt;=Lookups!$K$6,"High spike",IF($AM796&lt;=-Lookups!$K$6,"Unusual low","Normal")))</f>
        <v>Normal</v>
      </c>
      <c r="AO796" s="20">
        <f>IF($V796&lt;&gt;1,"",$P796+ROW()/100000)</f>
        <v>72.00796</v>
      </c>
      <c r="AP796" s="5">
        <f>IF($A796="","",IFERROR(MATCH($A796,Raw_D1!$A$2:$A$1001,0),""))</f>
        <v/>
      </c>
      <c r="AQ796" s="5">
        <f>IF($A796="","",IFERROR(MATCH($A796,Raw_D2!$B$2:$B$1001,0),""))</f>
        <v/>
      </c>
      <c r="AR796" s="5">
        <f>IF($A796="","",IFERROR(MATCH($A796,Raw_D3!$A$2:$A$1001,0),""))</f>
        <v>176</v>
      </c>
    </row>
    <row r="797" spans="1:44" x14ac:dyDescent="0.25">
      <c r="A797" s="5">
        <v>796</v>
      </c>
      <c r="B797" s="11">
        <f>IF($A797="","",IF($AP797&lt;&gt;"",INDEX(Raw_D1!$B$2:$B$1001,$AP797),IF($AR797&lt;&gt;"",INDEX(Raw_D3!$B$2:$B$1001,$AR797),"")))</f>
        <v>40579.0</v>
      </c>
      <c r="C797" s="5">
        <f>IF($A797="","",IF($AP797&lt;&gt;"",INDEX(Raw_D1!$C$2:$C$1001,$AP797),IF($AR797&lt;&gt;"",INDEX(Raw_D3!$C$2:$C$1001,$AR797),"")))</f>
        <v>1</v>
      </c>
      <c r="D797" s="5">
        <f>IF($A797="","",IF($AP797&lt;&gt;"",INDEX(Raw_D1!$D$2:$D$1001,$AP797),IF($AR797&lt;&gt;"",INDEX(Raw_D3!$D$2:$D$1001,$AR797),"")))</f>
        <v>0</v>
      </c>
      <c r="E797" s="5">
        <f>IF($A797="","",IF($AP797&lt;&gt;"",INDEX(Raw_D1!$E$2:$E$1001,$AP797),IF($AR797&lt;&gt;"",INDEX(Raw_D3!$E$2:$E$1001,$AR797),"")))</f>
        <v>2</v>
      </c>
      <c r="F797" s="5">
        <f>IF($A797="","",IF($AP797&lt;&gt;"",INDEX(Raw_D1!$F$2:$F$1001,$AP797),IF($AR797&lt;&gt;"",INDEX(Raw_D3!$F$2:$F$1001,$AR797),"")))</f>
        <v>14</v>
      </c>
      <c r="G797" s="5">
        <f>IF($A797="","",IF($AP797&lt;&gt;"",IF(INDEX(Raw_D1!$G$2:$G$1001,$AP797),1,0),IF($AR797&lt;&gt;"",IF(INDEX(Raw_D3!$G$2:$G$1001,$AR797),1,0),"")))</f>
        <v>0</v>
      </c>
      <c r="H797" s="5">
        <f>IF($A797="","",IF($AP797&lt;&gt;"",INDEX(Raw_D1!$H$2:$H$1001,$AP797),IF($AR797&lt;&gt;"",INDEX(Raw_D3!$H$2:$H$1001,$AR797),"")))</f>
        <v>6</v>
      </c>
      <c r="I797" s="5">
        <f>IF($A797="","",IF($AP797&lt;&gt;"",INDEX(Raw_D1!$I$2:$I$1001,$AP797),IF($AR797&lt;&gt;"",INDEX(Raw_D3!$I$2:$I$1001,$AR797),"")))</f>
        <v>3</v>
      </c>
      <c r="J797" s="16">
        <f>IF($A797="","",IF($AP797&lt;&gt;"",INDEX(Raw_D1!$J$2:$J$1001,$AP797),IF($AR797&lt;&gt;"",INDEX(Raw_D3!$J$2:$J$1001,$AR797),"")))</f>
        <v>0.22</v>
      </c>
      <c r="K797" s="17">
        <f>IF($A797="","",IF($AQ797&lt;&gt;"",IF(INDEX(Raw_D2!$C$2:$C$1001,$AQ797)="","",INDEX(Raw_D2!$C$2:$C$1001,$AQ797)),IF($AR797&lt;&gt;"",IF(INDEX(Raw_D3!$K$2:$K$1001,$AR797)="","",INDEX(Raw_D3!$K$2:$K$1001,$AR797)),"")))</f>
        <v>0.2727</v>
      </c>
      <c r="L797" s="16">
        <f>IF($A797="","",IF($AQ797&lt;&gt;"",IF(INDEX(Raw_D2!$D$2:$D$1001,$AQ797)="","",INDEX(Raw_D2!$D$2:$D$1001,$AQ797)),IF($AR797&lt;&gt;"",IF(INDEX(Raw_D3!$L$2:$L$1001,$AR797)="","",INDEX(Raw_D3!$L$2:$L$1001,$AR797)),"")))</f>
        <v>1</v>
      </c>
      <c r="M797" s="17">
        <f>IF($A797="","",IF($AQ797&lt;&gt;"",IF(INDEX(Raw_D2!$E$2:$E$1001,$AQ797)="","",INDEX(Raw_D2!$E$2:$E$1001,$AQ797)),IF($AR797&lt;&gt;"",IF(INDEX(Raw_D3!$M$2:$M$1001,$AR797)="","",INDEX(Raw_D3!$M$2:$M$1001,$AR797)),"")))</f>
        <v>0</v>
      </c>
      <c r="N797" s="5">
        <f>IF($A797="","",IF($AQ797&lt;&gt;"",IF(INDEX(Raw_D2!$F$2:$F$1001,$AQ797)="","",INDEX(Raw_D2!$F$2:$F$1001,$AQ797)),IF($AR797&lt;&gt;"",IF(INDEX(Raw_D3!$N$2:$N$1001,$AR797)="","",INDEX(Raw_D3!$N$2:$N$1001,$AR797)),"")))</f>
        <v>5</v>
      </c>
      <c r="O797" s="5">
        <f>IF($A797="","",IF($AQ797&lt;&gt;"",IF(INDEX(Raw_D2!$G$2:$G$1001,$AQ797)="","",INDEX(Raw_D2!$G$2:$G$1001,$AQ797)),IF($AR797&lt;&gt;"",IF(INDEX(Raw_D3!$O$2:$O$1001,$AR797)="","",INDEX(Raw_D3!$O$2:$O$1001,$AR797)),"")))</f>
        <v>50</v>
      </c>
      <c r="P797" s="5">
        <f>IF($A797="","",IF($AQ797&lt;&gt;"",IF(INDEX(Raw_D2!$H$2:$H$1001,$AQ797)="","",INDEX(Raw_D2!$H$2:$H$1001,$AQ797)),IF($AR797&lt;&gt;"",IF(INDEX(Raw_D3!$P$2:$P$1001,$AR797)="","",INDEX(Raw_D3!$P$2:$P$1001,$AR797)),"")))</f>
        <v>55</v>
      </c>
      <c r="Q797" s="5" t="str">
        <f>IF($A797="","",IF(AND($AP797&lt;&gt;"",$AQ797&lt;&gt;""),"D1+D2",IF($AR797&lt;&gt;"","D3","Incomplete")))</f>
        <v>D3</v>
      </c>
      <c r="R797" s="17">
        <f>IF($A797="","",IF($K797="",IF($J797="","",ROUND(Lookups!$K$5+Lookups!$K$4*$J797,4)),$K797))</f>
        <v>0.2727</v>
      </c>
      <c r="S797" s="5" t="str">
        <f>IF($A797="","",IF($K797="","Imputed","Original"))</f>
        <v>Original</v>
      </c>
      <c r="T797" s="5" t="str">
        <f>IF($A797="","",IF($P797="","Missing",IF($P797=$N797+$O797,"OK","Mismatch")))</f>
        <v>OK</v>
      </c>
      <c r="U797" s="5" t="str">
        <f>IF($A797="","",IF(COUNTIF($A$2:$A797,$A797)&gt;1,"Duplicate","Unique"))</f>
        <v>Unique</v>
      </c>
      <c r="V797" s="5">
        <f>IF($A797="","",IF(AND($U797="Unique",ISNUMBER($P797)),1,0))</f>
        <v>1</v>
      </c>
      <c r="W797" s="5" t="str">
        <f>IF($A797="","",IF(OR($H797=0,$H797=6),"Weekend","Weekday"))</f>
        <v>Weekend</v>
      </c>
      <c r="X797" s="5" t="str">
        <f>IF($A797="","",TEXT($B797,"ddd"))</f>
        <v>Sat</v>
      </c>
      <c r="Y797" s="5" t="str">
        <f>IF($A797="","",TEXT($B797,"mmm"))</f>
        <v>Feb</v>
      </c>
      <c r="Z797" s="5" t="str">
        <f>IF($A797="","",IFERROR(VLOOKUP($C797,Lookups!$D$4:$E$7,2,FALSE),"Unknown"))</f>
        <v>Winter</v>
      </c>
      <c r="AA797" s="5" t="str">
        <f>IF($A797="","",IFERROR(VLOOKUP($I797,Lookups!$A$4:$B$7,2,FALSE),"Unknown"))</f>
        <v>Light Rain/Snow</v>
      </c>
      <c r="AB797" s="5" t="str">
        <f>IF($A797="","",TEXT($F797,"00")&amp;":00")</f>
        <v>14:00</v>
      </c>
      <c r="AC797" s="5" t="str">
        <f>IF($A797="","",VLOOKUP($F797,Lookups!$G$4:$H$8,2,TRUE))</f>
        <v>Midday (10-15)</v>
      </c>
      <c r="AD797" s="18">
        <f>IF($A797="","",IF($J797="","",ROUND($J797*41,1)))</f>
        <v>9</v>
      </c>
      <c r="AE797" s="18">
        <f>IF($A797="","",IF($R797="","",ROUND($R797*50,1)))</f>
        <v>13.6</v>
      </c>
      <c r="AF797" s="5">
        <f>IF($A797="","",IF($L797="","",ROUND($L797*100,0)))</f>
        <v>100</v>
      </c>
      <c r="AG797" s="18">
        <f>IF($A797="","",IF($M797="","",ROUND($M797*67,1)))</f>
        <v>0</v>
      </c>
      <c r="AH797" s="19">
        <f>IF($A797="","",IF($P797="","",IF($P797=0,0,$O797/$P797)))</f>
        <v>0.909090909090909</v>
      </c>
      <c r="AI797" s="5" t="str">
        <f>IF($A797="","",IF($P797="","",IF($P797&gt;=Lookups!$K$7,"High",IF($P797&lt;=Lookups!$K$8,"Low","Medium"))))</f>
        <v>Medium</v>
      </c>
      <c r="AJ797" s="5" t="str">
        <f>IF($A797="","",IF($AD797="","",IF($AD797&lt;5,"Under 5 C",IF($AD797&lt;10,"5-10 C",IF($AD797&lt;15,"10-15 C","15 C and above")))))</f>
        <v>5-10 C</v>
      </c>
      <c r="AK797" s="5">
        <f>IF($A797="","",IF($P797="","",$P797^2))</f>
        <v>3025</v>
      </c>
      <c r="AL797" s="18">
        <f>IF($V797&lt;&gt;1,"",AVERAGEIFS(Clean_Data!$P$2:$P$1001,Clean_Data!$F$2:$F$1001,$F797,Clean_Data!$W$2:$W$1001,$W797,Clean_Data!$V$2:$V$1001,1))</f>
        <v>103.142857142857</v>
      </c>
      <c r="AM797" s="16">
        <f>IF($V797&lt;&gt;1,"",IFERROR(($P797-$AL797)/SQRT(MAX(0,(SUMIFS(Clean_Data!$AK$2:$AK$1001,Clean_Data!$F$2:$F$1001,$F797,Clean_Data!$W$2:$W$1001,$W797,Clean_Data!$V$2:$V$1001,1)-COUNTIFS(Clean_Data!$F$2:$F$1001,$F797,Clean_Data!$W$2:$W$1001,$W797,Clean_Data!$V$2:$V$1001,1)*$AL797^2)/(COUNTIFS(Clean_Data!$F$2:$F$1001,$F797,Clean_Data!$W$2:$W$1001,$W797,Clean_Data!$V$2:$V$1001,1)-1))),""))</f>
        <v>-1.47390597570501</v>
      </c>
      <c r="AN797" s="5" t="str">
        <f>IF($AM797="","",IF($AM797&gt;=Lookups!$K$6,"High spike",IF($AM797&lt;=-Lookups!$K$6,"Unusual low","Normal")))</f>
        <v>Normal</v>
      </c>
      <c r="AO797" s="20">
        <f>IF($V797&lt;&gt;1,"",$P797+ROW()/100000)</f>
        <v>55.00797</v>
      </c>
      <c r="AP797" s="5">
        <f>IF($A797="","",IFERROR(MATCH($A797,Raw_D1!$A$2:$A$1001,0),""))</f>
        <v/>
      </c>
      <c r="AQ797" s="5">
        <f>IF($A797="","",IFERROR(MATCH($A797,Raw_D2!$B$2:$B$1001,0),""))</f>
        <v/>
      </c>
      <c r="AR797" s="5">
        <f>IF($A797="","",IFERROR(MATCH($A797,Raw_D3!$A$2:$A$1001,0),""))</f>
        <v>177</v>
      </c>
    </row>
    <row r="798" spans="1:44" x14ac:dyDescent="0.25">
      <c r="A798" s="5">
        <v>797</v>
      </c>
      <c r="B798" s="11">
        <f>IF($A798="","",IF($AP798&lt;&gt;"",INDEX(Raw_D1!$B$2:$B$1001,$AP798),IF($AR798&lt;&gt;"",INDEX(Raw_D3!$B$2:$B$1001,$AR798),"")))</f>
        <v>40579.0</v>
      </c>
      <c r="C798" s="5">
        <f>IF($A798="","",IF($AP798&lt;&gt;"",INDEX(Raw_D1!$C$2:$C$1001,$AP798),IF($AR798&lt;&gt;"",INDEX(Raw_D3!$C$2:$C$1001,$AR798),"")))</f>
        <v>1</v>
      </c>
      <c r="D798" s="5">
        <f>IF($A798="","",IF($AP798&lt;&gt;"",INDEX(Raw_D1!$D$2:$D$1001,$AP798),IF($AR798&lt;&gt;"",INDEX(Raw_D3!$D$2:$D$1001,$AR798),"")))</f>
        <v>0</v>
      </c>
      <c r="E798" s="5">
        <f>IF($A798="","",IF($AP798&lt;&gt;"",INDEX(Raw_D1!$E$2:$E$1001,$AP798),IF($AR798&lt;&gt;"",INDEX(Raw_D3!$E$2:$E$1001,$AR798),"")))</f>
        <v>2</v>
      </c>
      <c r="F798" s="5">
        <f>IF($A798="","",IF($AP798&lt;&gt;"",INDEX(Raw_D1!$F$2:$F$1001,$AP798),IF($AR798&lt;&gt;"",INDEX(Raw_D3!$F$2:$F$1001,$AR798),"")))</f>
        <v>15</v>
      </c>
      <c r="G798" s="5">
        <f>IF($A798="","",IF($AP798&lt;&gt;"",IF(INDEX(Raw_D1!$G$2:$G$1001,$AP798),1,0),IF($AR798&lt;&gt;"",IF(INDEX(Raw_D3!$G$2:$G$1001,$AR798),1,0),"")))</f>
        <v>0</v>
      </c>
      <c r="H798" s="5">
        <f>IF($A798="","",IF($AP798&lt;&gt;"",INDEX(Raw_D1!$H$2:$H$1001,$AP798),IF($AR798&lt;&gt;"",INDEX(Raw_D3!$H$2:$H$1001,$AR798),"")))</f>
        <v>6</v>
      </c>
      <c r="I798" s="5">
        <f>IF($A798="","",IF($AP798&lt;&gt;"",INDEX(Raw_D1!$I$2:$I$1001,$AP798),IF($AR798&lt;&gt;"",INDEX(Raw_D3!$I$2:$I$1001,$AR798),"")))</f>
        <v>3</v>
      </c>
      <c r="J798" s="16">
        <f>IF($A798="","",IF($AP798&lt;&gt;"",INDEX(Raw_D1!$J$2:$J$1001,$AP798),IF($AR798&lt;&gt;"",INDEX(Raw_D3!$J$2:$J$1001,$AR798),"")))</f>
        <v>0.22</v>
      </c>
      <c r="K798" s="17">
        <f>IF($A798="","",IF($AQ798&lt;&gt;"",IF(INDEX(Raw_D2!$C$2:$C$1001,$AQ798)="","",INDEX(Raw_D2!$C$2:$C$1001,$AQ798)),IF($AR798&lt;&gt;"",IF(INDEX(Raw_D3!$K$2:$K$1001,$AR798)="","",INDEX(Raw_D3!$K$2:$K$1001,$AR798)),"")))</f>
        <v>0.2727</v>
      </c>
      <c r="L798" s="16">
        <f>IF($A798="","",IF($AQ798&lt;&gt;"",IF(INDEX(Raw_D2!$D$2:$D$1001,$AQ798)="","",INDEX(Raw_D2!$D$2:$D$1001,$AQ798)),IF($AR798&lt;&gt;"",IF(INDEX(Raw_D3!$L$2:$L$1001,$AR798)="","",INDEX(Raw_D3!$L$2:$L$1001,$AR798)),"")))</f>
        <v>1</v>
      </c>
      <c r="M798" s="17">
        <f>IF($A798="","",IF($AQ798&lt;&gt;"",IF(INDEX(Raw_D2!$E$2:$E$1001,$AQ798)="","",INDEX(Raw_D2!$E$2:$E$1001,$AQ798)),IF($AR798&lt;&gt;"",IF(INDEX(Raw_D3!$M$2:$M$1001,$AR798)="","",INDEX(Raw_D3!$M$2:$M$1001,$AR798)),"")))</f>
        <v>0</v>
      </c>
      <c r="N798" s="5">
        <f>IF($A798="","",IF($AQ798&lt;&gt;"",IF(INDEX(Raw_D2!$F$2:$F$1001,$AQ798)="","",INDEX(Raw_D2!$F$2:$F$1001,$AQ798)),IF($AR798&lt;&gt;"",IF(INDEX(Raw_D3!$N$2:$N$1001,$AR798)="","",INDEX(Raw_D3!$N$2:$N$1001,$AR798)),"")))</f>
        <v>11</v>
      </c>
      <c r="O798" s="5">
        <f>IF($A798="","",IF($AQ798&lt;&gt;"",IF(INDEX(Raw_D2!$G$2:$G$1001,$AQ798)="","",INDEX(Raw_D2!$G$2:$G$1001,$AQ798)),IF($AR798&lt;&gt;"",IF(INDEX(Raw_D3!$O$2:$O$1001,$AR798)="","",INDEX(Raw_D3!$O$2:$O$1001,$AR798)),"")))</f>
        <v>49</v>
      </c>
      <c r="P798" s="5">
        <f>IF($A798="","",IF($AQ798&lt;&gt;"",IF(INDEX(Raw_D2!$H$2:$H$1001,$AQ798)="","",INDEX(Raw_D2!$H$2:$H$1001,$AQ798)),IF($AR798&lt;&gt;"",IF(INDEX(Raw_D3!$P$2:$P$1001,$AR798)="","",INDEX(Raw_D3!$P$2:$P$1001,$AR798)),"")))</f>
        <v>60</v>
      </c>
      <c r="Q798" s="5" t="str">
        <f>IF($A798="","",IF(AND($AP798&lt;&gt;"",$AQ798&lt;&gt;""),"D1+D2",IF($AR798&lt;&gt;"","D3","Incomplete")))</f>
        <v>D3</v>
      </c>
      <c r="R798" s="17">
        <f>IF($A798="","",IF($K798="",IF($J798="","",ROUND(Lookups!$K$5+Lookups!$K$4*$J798,4)),$K798))</f>
        <v>0.2727</v>
      </c>
      <c r="S798" s="5" t="str">
        <f>IF($A798="","",IF($K798="","Imputed","Original"))</f>
        <v>Original</v>
      </c>
      <c r="T798" s="5" t="str">
        <f>IF($A798="","",IF($P798="","Missing",IF($P798=$N798+$O798,"OK","Mismatch")))</f>
        <v>OK</v>
      </c>
      <c r="U798" s="5" t="str">
        <f>IF($A798="","",IF(COUNTIF($A$2:$A798,$A798)&gt;1,"Duplicate","Unique"))</f>
        <v>Unique</v>
      </c>
      <c r="V798" s="5">
        <f>IF($A798="","",IF(AND($U798="Unique",ISNUMBER($P798)),1,0))</f>
        <v>1</v>
      </c>
      <c r="W798" s="5" t="str">
        <f>IF($A798="","",IF(OR($H798=0,$H798=6),"Weekend","Weekday"))</f>
        <v>Weekend</v>
      </c>
      <c r="X798" s="5" t="str">
        <f>IF($A798="","",TEXT($B798,"ddd"))</f>
        <v>Sat</v>
      </c>
      <c r="Y798" s="5" t="str">
        <f>IF($A798="","",TEXT($B798,"mmm"))</f>
        <v>Feb</v>
      </c>
      <c r="Z798" s="5" t="str">
        <f>IF($A798="","",IFERROR(VLOOKUP($C798,Lookups!$D$4:$E$7,2,FALSE),"Unknown"))</f>
        <v>Winter</v>
      </c>
      <c r="AA798" s="5" t="str">
        <f>IF($A798="","",IFERROR(VLOOKUP($I798,Lookups!$A$4:$B$7,2,FALSE),"Unknown"))</f>
        <v>Light Rain/Snow</v>
      </c>
      <c r="AB798" s="5" t="str">
        <f>IF($A798="","",TEXT($F798,"00")&amp;":00")</f>
        <v>15:00</v>
      </c>
      <c r="AC798" s="5" t="str">
        <f>IF($A798="","",VLOOKUP($F798,Lookups!$G$4:$H$8,2,TRUE))</f>
        <v>Midday (10-15)</v>
      </c>
      <c r="AD798" s="18">
        <f>IF($A798="","",IF($J798="","",ROUND($J798*41,1)))</f>
        <v>9</v>
      </c>
      <c r="AE798" s="18">
        <f>IF($A798="","",IF($R798="","",ROUND($R798*50,1)))</f>
        <v>13.6</v>
      </c>
      <c r="AF798" s="5">
        <f>IF($A798="","",IF($L798="","",ROUND($L798*100,0)))</f>
        <v>100</v>
      </c>
      <c r="AG798" s="18">
        <f>IF($A798="","",IF($M798="","",ROUND($M798*67,1)))</f>
        <v>0</v>
      </c>
      <c r="AH798" s="19">
        <f>IF($A798="","",IF($P798="","",IF($P798=0,0,$O798/$P798)))</f>
        <v>0.816666666666667</v>
      </c>
      <c r="AI798" s="5" t="str">
        <f>IF($A798="","",IF($P798="","",IF($P798&gt;=Lookups!$K$7,"High",IF($P798&lt;=Lookups!$K$8,"Low","Medium"))))</f>
        <v>Medium</v>
      </c>
      <c r="AJ798" s="5" t="str">
        <f>IF($A798="","",IF($AD798="","",IF($AD798&lt;5,"Under 5 C",IF($AD798&lt;10,"5-10 C",IF($AD798&lt;15,"10-15 C","15 C and above")))))</f>
        <v>5-10 C</v>
      </c>
      <c r="AK798" s="5">
        <f>IF($A798="","",IF($P798="","",$P798^2))</f>
        <v>3600</v>
      </c>
      <c r="AL798" s="18">
        <f>IF($V798&lt;&gt;1,"",AVERAGEIFS(Clean_Data!$P$2:$P$1001,Clean_Data!$F$2:$F$1001,$F798,Clean_Data!$W$2:$W$1001,$W798,Clean_Data!$V$2:$V$1001,1))</f>
        <v>112.071428571429</v>
      </c>
      <c r="AM798" s="16">
        <f>IF($V798&lt;&gt;1,"",IFERROR(($P798-$AL798)/SQRT(MAX(0,(SUMIFS(Clean_Data!$AK$2:$AK$1001,Clean_Data!$F$2:$F$1001,$F798,Clean_Data!$W$2:$W$1001,$W798,Clean_Data!$V$2:$V$1001,1)-COUNTIFS(Clean_Data!$F$2:$F$1001,$F798,Clean_Data!$W$2:$W$1001,$W798,Clean_Data!$V$2:$V$1001,1)*$AL798^2)/(COUNTIFS(Clean_Data!$F$2:$F$1001,$F798,Clean_Data!$W$2:$W$1001,$W798,Clean_Data!$V$2:$V$1001,1)-1))),""))</f>
        <v>-1.34762912352178</v>
      </c>
      <c r="AN798" s="5" t="str">
        <f>IF($AM798="","",IF($AM798&gt;=Lookups!$K$6,"High spike",IF($AM798&lt;=-Lookups!$K$6,"Unusual low","Normal")))</f>
        <v>Normal</v>
      </c>
      <c r="AO798" s="20">
        <f>IF($V798&lt;&gt;1,"",$P798+ROW()/100000)</f>
        <v>60.00798</v>
      </c>
      <c r="AP798" s="5">
        <f>IF($A798="","",IFERROR(MATCH($A798,Raw_D1!$A$2:$A$1001,0),""))</f>
        <v/>
      </c>
      <c r="AQ798" s="5">
        <f>IF($A798="","",IFERROR(MATCH($A798,Raw_D2!$B$2:$B$1001,0),""))</f>
        <v/>
      </c>
      <c r="AR798" s="5">
        <f>IF($A798="","",IFERROR(MATCH($A798,Raw_D3!$A$2:$A$1001,0),""))</f>
        <v>178</v>
      </c>
    </row>
    <row r="799" spans="1:44" x14ac:dyDescent="0.25">
      <c r="A799" s="5">
        <v>798</v>
      </c>
      <c r="B799" s="11">
        <f>IF($A799="","",IF($AP799&lt;&gt;"",INDEX(Raw_D1!$B$2:$B$1001,$AP799),IF($AR799&lt;&gt;"",INDEX(Raw_D3!$B$2:$B$1001,$AR799),"")))</f>
        <v>40579.0</v>
      </c>
      <c r="C799" s="5">
        <f>IF($A799="","",IF($AP799&lt;&gt;"",INDEX(Raw_D1!$C$2:$C$1001,$AP799),IF($AR799&lt;&gt;"",INDEX(Raw_D3!$C$2:$C$1001,$AR799),"")))</f>
        <v>1</v>
      </c>
      <c r="D799" s="5">
        <f>IF($A799="","",IF($AP799&lt;&gt;"",INDEX(Raw_D1!$D$2:$D$1001,$AP799),IF($AR799&lt;&gt;"",INDEX(Raw_D3!$D$2:$D$1001,$AR799),"")))</f>
        <v>0</v>
      </c>
      <c r="E799" s="5">
        <f>IF($A799="","",IF($AP799&lt;&gt;"",INDEX(Raw_D1!$E$2:$E$1001,$AP799),IF($AR799&lt;&gt;"",INDEX(Raw_D3!$E$2:$E$1001,$AR799),"")))</f>
        <v>2</v>
      </c>
      <c r="F799" s="5">
        <f>IF($A799="","",IF($AP799&lt;&gt;"",INDEX(Raw_D1!$F$2:$F$1001,$AP799),IF($AR799&lt;&gt;"",INDEX(Raw_D3!$F$2:$F$1001,$AR799),"")))</f>
        <v>16</v>
      </c>
      <c r="G799" s="5">
        <f>IF($A799="","",IF($AP799&lt;&gt;"",IF(INDEX(Raw_D1!$G$2:$G$1001,$AP799),1,0),IF($AR799&lt;&gt;"",IF(INDEX(Raw_D3!$G$2:$G$1001,$AR799),1,0),"")))</f>
        <v>0</v>
      </c>
      <c r="H799" s="5">
        <f>IF($A799="","",IF($AP799&lt;&gt;"",INDEX(Raw_D1!$H$2:$H$1001,$AP799),IF($AR799&lt;&gt;"",INDEX(Raw_D3!$H$2:$H$1001,$AR799),"")))</f>
        <v>6</v>
      </c>
      <c r="I799" s="5">
        <f>IF($A799="","",IF($AP799&lt;&gt;"",INDEX(Raw_D1!$I$2:$I$1001,$AP799),IF($AR799&lt;&gt;"",INDEX(Raw_D3!$I$2:$I$1001,$AR799),"")))</f>
        <v>3</v>
      </c>
      <c r="J799" s="16">
        <f>IF($A799="","",IF($AP799&lt;&gt;"",INDEX(Raw_D1!$J$2:$J$1001,$AP799),IF($AR799&lt;&gt;"",INDEX(Raw_D3!$J$2:$J$1001,$AR799),"")))</f>
        <v>0.22</v>
      </c>
      <c r="K799" s="17">
        <f>IF($A799="","",IF($AQ799&lt;&gt;"",IF(INDEX(Raw_D2!$C$2:$C$1001,$AQ799)="","",INDEX(Raw_D2!$C$2:$C$1001,$AQ799)),IF($AR799&lt;&gt;"",IF(INDEX(Raw_D3!$K$2:$K$1001,$AR799)="","",INDEX(Raw_D3!$K$2:$K$1001,$AR799)),"")))</f>
        <v>0.2273</v>
      </c>
      <c r="L799" s="16">
        <f>IF($A799="","",IF($AQ799&lt;&gt;"",IF(INDEX(Raw_D2!$D$2:$D$1001,$AQ799)="","",INDEX(Raw_D2!$D$2:$D$1001,$AQ799)),IF($AR799&lt;&gt;"",IF(INDEX(Raw_D3!$L$2:$L$1001,$AR799)="","",INDEX(Raw_D3!$L$2:$L$1001,$AR799)),"")))</f>
        <v>1</v>
      </c>
      <c r="M799" s="17">
        <f>IF($A799="","",IF($AQ799&lt;&gt;"",IF(INDEX(Raw_D2!$E$2:$E$1001,$AQ799)="","",INDEX(Raw_D2!$E$2:$E$1001,$AQ799)),IF($AR799&lt;&gt;"",IF(INDEX(Raw_D3!$M$2:$M$1001,$AR799)="","",INDEX(Raw_D3!$M$2:$M$1001,$AR799)),"")))</f>
        <v>0.1343</v>
      </c>
      <c r="N799" s="5">
        <f>IF($A799="","",IF($AQ799&lt;&gt;"",IF(INDEX(Raw_D2!$F$2:$F$1001,$AQ799)="","",INDEX(Raw_D2!$F$2:$F$1001,$AQ799)),IF($AR799&lt;&gt;"",IF(INDEX(Raw_D3!$N$2:$N$1001,$AR799)="","",INDEX(Raw_D3!$N$2:$N$1001,$AR799)),"")))</f>
        <v>8</v>
      </c>
      <c r="O799" s="5">
        <f>IF($A799="","",IF($AQ799&lt;&gt;"",IF(INDEX(Raw_D2!$G$2:$G$1001,$AQ799)="","",INDEX(Raw_D2!$G$2:$G$1001,$AQ799)),IF($AR799&lt;&gt;"",IF(INDEX(Raw_D3!$O$2:$O$1001,$AR799)="","",INDEX(Raw_D3!$O$2:$O$1001,$AR799)),"")))</f>
        <v>63</v>
      </c>
      <c r="P799" s="5">
        <f>IF($A799="","",IF($AQ799&lt;&gt;"",IF(INDEX(Raw_D2!$H$2:$H$1001,$AQ799)="","",INDEX(Raw_D2!$H$2:$H$1001,$AQ799)),IF($AR799&lt;&gt;"",IF(INDEX(Raw_D3!$P$2:$P$1001,$AR799)="","",INDEX(Raw_D3!$P$2:$P$1001,$AR799)),"")))</f>
        <v>71</v>
      </c>
      <c r="Q799" s="5" t="str">
        <f>IF($A799="","",IF(AND($AP799&lt;&gt;"",$AQ799&lt;&gt;""),"D1+D2",IF($AR799&lt;&gt;"","D3","Incomplete")))</f>
        <v>D3</v>
      </c>
      <c r="R799" s="17">
        <f>IF($A799="","",IF($K799="",IF($J799="","",ROUND(Lookups!$K$5+Lookups!$K$4*$J799,4)),$K799))</f>
        <v>0.2273</v>
      </c>
      <c r="S799" s="5" t="str">
        <f>IF($A799="","",IF($K799="","Imputed","Original"))</f>
        <v>Original</v>
      </c>
      <c r="T799" s="5" t="str">
        <f>IF($A799="","",IF($P799="","Missing",IF($P799=$N799+$O799,"OK","Mismatch")))</f>
        <v>OK</v>
      </c>
      <c r="U799" s="5" t="str">
        <f>IF($A799="","",IF(COUNTIF($A$2:$A799,$A799)&gt;1,"Duplicate","Unique"))</f>
        <v>Unique</v>
      </c>
      <c r="V799" s="5">
        <f>IF($A799="","",IF(AND($U799="Unique",ISNUMBER($P799)),1,0))</f>
        <v>1</v>
      </c>
      <c r="W799" s="5" t="str">
        <f>IF($A799="","",IF(OR($H799=0,$H799=6),"Weekend","Weekday"))</f>
        <v>Weekend</v>
      </c>
      <c r="X799" s="5" t="str">
        <f>IF($A799="","",TEXT($B799,"ddd"))</f>
        <v>Sat</v>
      </c>
      <c r="Y799" s="5" t="str">
        <f>IF($A799="","",TEXT($B799,"mmm"))</f>
        <v>Feb</v>
      </c>
      <c r="Z799" s="5" t="str">
        <f>IF($A799="","",IFERROR(VLOOKUP($C799,Lookups!$D$4:$E$7,2,FALSE),"Unknown"))</f>
        <v>Winter</v>
      </c>
      <c r="AA799" s="5" t="str">
        <f>IF($A799="","",IFERROR(VLOOKUP($I799,Lookups!$A$4:$B$7,2,FALSE),"Unknown"))</f>
        <v>Light Rain/Snow</v>
      </c>
      <c r="AB799" s="5" t="str">
        <f>IF($A799="","",TEXT($F799,"00")&amp;":00")</f>
        <v>16:00</v>
      </c>
      <c r="AC799" s="5" t="str">
        <f>IF($A799="","",VLOOKUP($F799,Lookups!$G$4:$H$8,2,TRUE))</f>
        <v>Evening Peak (16-19)</v>
      </c>
      <c r="AD799" s="18">
        <f>IF($A799="","",IF($J799="","",ROUND($J799*41,1)))</f>
        <v>9</v>
      </c>
      <c r="AE799" s="18">
        <f>IF($A799="","",IF($R799="","",ROUND($R799*50,1)))</f>
        <v>11.4</v>
      </c>
      <c r="AF799" s="5">
        <f>IF($A799="","",IF($L799="","",ROUND($L799*100,0)))</f>
        <v>100</v>
      </c>
      <c r="AG799" s="18">
        <f>IF($A799="","",IF($M799="","",ROUND($M799*67,1)))</f>
        <v>9</v>
      </c>
      <c r="AH799" s="19">
        <f>IF($A799="","",IF($P799="","",IF($P799=0,0,$O799/$P799)))</f>
        <v>0.887323943661972</v>
      </c>
      <c r="AI799" s="5" t="str">
        <f>IF($A799="","",IF($P799="","",IF($P799&gt;=Lookups!$K$7,"High",IF($P799&lt;=Lookups!$K$8,"Low","Medium"))))</f>
        <v>Medium</v>
      </c>
      <c r="AJ799" s="5" t="str">
        <f>IF($A799="","",IF($AD799="","",IF($AD799&lt;5,"Under 5 C",IF($AD799&lt;10,"5-10 C",IF($AD799&lt;15,"10-15 C","15 C and above")))))</f>
        <v>5-10 C</v>
      </c>
      <c r="AK799" s="5">
        <f>IF($A799="","",IF($P799="","",$P799^2))</f>
        <v>5041</v>
      </c>
      <c r="AL799" s="18">
        <f>IF($V799&lt;&gt;1,"",AVERAGEIFS(Clean_Data!$P$2:$P$1001,Clean_Data!$F$2:$F$1001,$F799,Clean_Data!$W$2:$W$1001,$W799,Clean_Data!$V$2:$V$1001,1))</f>
        <v>103.5</v>
      </c>
      <c r="AM799" s="16">
        <f>IF($V799&lt;&gt;1,"",IFERROR(($P799-$AL799)/SQRT(MAX(0,(SUMIFS(Clean_Data!$AK$2:$AK$1001,Clean_Data!$F$2:$F$1001,$F799,Clean_Data!$W$2:$W$1001,$W799,Clean_Data!$V$2:$V$1001,1)-COUNTIFS(Clean_Data!$F$2:$F$1001,$F799,Clean_Data!$W$2:$W$1001,$W799,Clean_Data!$V$2:$V$1001,1)*$AL799^2)/(COUNTIFS(Clean_Data!$F$2:$F$1001,$F799,Clean_Data!$W$2:$W$1001,$W799,Clean_Data!$V$2:$V$1001,1)-1))),""))</f>
        <v>-1.10520516212364</v>
      </c>
      <c r="AN799" s="5" t="str">
        <f>IF($AM799="","",IF($AM799&gt;=Lookups!$K$6,"High spike",IF($AM799&lt;=-Lookups!$K$6,"Unusual low","Normal")))</f>
        <v>Normal</v>
      </c>
      <c r="AO799" s="20">
        <f>IF($V799&lt;&gt;1,"",$P799+ROW()/100000)</f>
        <v>71.00799</v>
      </c>
      <c r="AP799" s="5">
        <f>IF($A799="","",IFERROR(MATCH($A799,Raw_D1!$A$2:$A$1001,0),""))</f>
        <v/>
      </c>
      <c r="AQ799" s="5">
        <f>IF($A799="","",IFERROR(MATCH($A799,Raw_D2!$B$2:$B$1001,0),""))</f>
        <v/>
      </c>
      <c r="AR799" s="5">
        <f>IF($A799="","",IFERROR(MATCH($A799,Raw_D3!$A$2:$A$1001,0),""))</f>
        <v>179</v>
      </c>
    </row>
    <row r="800" spans="1:44" x14ac:dyDescent="0.25">
      <c r="A800" s="5">
        <v>799</v>
      </c>
      <c r="B800" s="11">
        <f>IF($A800="","",IF($AP800&lt;&gt;"",INDEX(Raw_D1!$B$2:$B$1001,$AP800),IF($AR800&lt;&gt;"",INDEX(Raw_D3!$B$2:$B$1001,$AR800),"")))</f>
        <v>40579.0</v>
      </c>
      <c r="C800" s="5">
        <f>IF($A800="","",IF($AP800&lt;&gt;"",INDEX(Raw_D1!$C$2:$C$1001,$AP800),IF($AR800&lt;&gt;"",INDEX(Raw_D3!$C$2:$C$1001,$AR800),"")))</f>
        <v>1</v>
      </c>
      <c r="D800" s="5">
        <f>IF($A800="","",IF($AP800&lt;&gt;"",INDEX(Raw_D1!$D$2:$D$1001,$AP800),IF($AR800&lt;&gt;"",INDEX(Raw_D3!$D$2:$D$1001,$AR800),"")))</f>
        <v>0</v>
      </c>
      <c r="E800" s="5">
        <f>IF($A800="","",IF($AP800&lt;&gt;"",INDEX(Raw_D1!$E$2:$E$1001,$AP800),IF($AR800&lt;&gt;"",INDEX(Raw_D3!$E$2:$E$1001,$AR800),"")))</f>
        <v>2</v>
      </c>
      <c r="F800" s="5">
        <f>IF($A800="","",IF($AP800&lt;&gt;"",INDEX(Raw_D1!$F$2:$F$1001,$AP800),IF($AR800&lt;&gt;"",INDEX(Raw_D3!$F$2:$F$1001,$AR800),"")))</f>
        <v>17</v>
      </c>
      <c r="G800" s="5">
        <f>IF($A800="","",IF($AP800&lt;&gt;"",IF(INDEX(Raw_D1!$G$2:$G$1001,$AP800),1,0),IF($AR800&lt;&gt;"",IF(INDEX(Raw_D3!$G$2:$G$1001,$AR800),1,0),"")))</f>
        <v>0</v>
      </c>
      <c r="H800" s="5">
        <f>IF($A800="","",IF($AP800&lt;&gt;"",INDEX(Raw_D1!$H$2:$H$1001,$AP800),IF($AR800&lt;&gt;"",INDEX(Raw_D3!$H$2:$H$1001,$AR800),"")))</f>
        <v>6</v>
      </c>
      <c r="I800" s="5">
        <f>IF($A800="","",IF($AP800&lt;&gt;"",INDEX(Raw_D1!$I$2:$I$1001,$AP800),IF($AR800&lt;&gt;"",INDEX(Raw_D3!$I$2:$I$1001,$AR800),"")))</f>
        <v>2</v>
      </c>
      <c r="J800" s="16">
        <f>IF($A800="","",IF($AP800&lt;&gt;"",INDEX(Raw_D1!$J$2:$J$1001,$AP800),IF($AR800&lt;&gt;"",INDEX(Raw_D3!$J$2:$J$1001,$AR800),"")))</f>
        <v>0.24</v>
      </c>
      <c r="K800" s="17">
        <f>IF($A800="","",IF($AQ800&lt;&gt;"",IF(INDEX(Raw_D2!$C$2:$C$1001,$AQ800)="","",INDEX(Raw_D2!$C$2:$C$1001,$AQ800)),IF($AR800&lt;&gt;"",IF(INDEX(Raw_D3!$K$2:$K$1001,$AR800)="","",INDEX(Raw_D3!$K$2:$K$1001,$AR800)),"")))</f>
        <v>0.2121</v>
      </c>
      <c r="L800" s="16">
        <f>IF($A800="","",IF($AQ800&lt;&gt;"",IF(INDEX(Raw_D2!$D$2:$D$1001,$AQ800)="","",INDEX(Raw_D2!$D$2:$D$1001,$AQ800)),IF($AR800&lt;&gt;"",IF(INDEX(Raw_D3!$L$2:$L$1001,$AR800)="","",INDEX(Raw_D3!$L$2:$L$1001,$AR800)),"")))</f>
        <v>1</v>
      </c>
      <c r="M800" s="17">
        <f>IF($A800="","",IF($AQ800&lt;&gt;"",IF(INDEX(Raw_D2!$E$2:$E$1001,$AQ800)="","",INDEX(Raw_D2!$E$2:$E$1001,$AQ800)),IF($AR800&lt;&gt;"",IF(INDEX(Raw_D3!$M$2:$M$1001,$AR800)="","",INDEX(Raw_D3!$M$2:$M$1001,$AR800)),"")))</f>
        <v>0.2836</v>
      </c>
      <c r="N800" s="5">
        <f>IF($A800="","",IF($AQ800&lt;&gt;"",IF(INDEX(Raw_D2!$F$2:$F$1001,$AQ800)="","",INDEX(Raw_D2!$F$2:$F$1001,$AQ800)),IF($AR800&lt;&gt;"",IF(INDEX(Raw_D3!$N$2:$N$1001,$AR800)="","",INDEX(Raw_D3!$N$2:$N$1001,$AR800)),"")))</f>
        <v>14</v>
      </c>
      <c r="O800" s="5">
        <f>IF($A800="","",IF($AQ800&lt;&gt;"",IF(INDEX(Raw_D2!$G$2:$G$1001,$AQ800)="","",INDEX(Raw_D2!$G$2:$G$1001,$AQ800)),IF($AR800&lt;&gt;"",IF(INDEX(Raw_D3!$O$2:$O$1001,$AR800)="","",INDEX(Raw_D3!$O$2:$O$1001,$AR800)),"")))</f>
        <v>64</v>
      </c>
      <c r="P800" s="5">
        <f>IF($A800="","",IF($AQ800&lt;&gt;"",IF(INDEX(Raw_D2!$H$2:$H$1001,$AQ800)="","",INDEX(Raw_D2!$H$2:$H$1001,$AQ800)),IF($AR800&lt;&gt;"",IF(INDEX(Raw_D3!$P$2:$P$1001,$AR800)="","",INDEX(Raw_D3!$P$2:$P$1001,$AR800)),"")))</f>
        <v>78</v>
      </c>
      <c r="Q800" s="5" t="str">
        <f>IF($A800="","",IF(AND($AP800&lt;&gt;"",$AQ800&lt;&gt;""),"D1+D2",IF($AR800&lt;&gt;"","D3","Incomplete")))</f>
        <v>D3</v>
      </c>
      <c r="R800" s="17">
        <f>IF($A800="","",IF($K800="",IF($J800="","",ROUND(Lookups!$K$5+Lookups!$K$4*$J800,4)),$K800))</f>
        <v>0.2121</v>
      </c>
      <c r="S800" s="5" t="str">
        <f>IF($A800="","",IF($K800="","Imputed","Original"))</f>
        <v>Original</v>
      </c>
      <c r="T800" s="5" t="str">
        <f>IF($A800="","",IF($P800="","Missing",IF($P800=$N800+$O800,"OK","Mismatch")))</f>
        <v>OK</v>
      </c>
      <c r="U800" s="5" t="str">
        <f>IF($A800="","",IF(COUNTIF($A$2:$A800,$A800)&gt;1,"Duplicate","Unique"))</f>
        <v>Unique</v>
      </c>
      <c r="V800" s="5">
        <f>IF($A800="","",IF(AND($U800="Unique",ISNUMBER($P800)),1,0))</f>
        <v>1</v>
      </c>
      <c r="W800" s="5" t="str">
        <f>IF($A800="","",IF(OR($H800=0,$H800=6),"Weekend","Weekday"))</f>
        <v>Weekend</v>
      </c>
      <c r="X800" s="5" t="str">
        <f>IF($A800="","",TEXT($B800,"ddd"))</f>
        <v>Sat</v>
      </c>
      <c r="Y800" s="5" t="str">
        <f>IF($A800="","",TEXT($B800,"mmm"))</f>
        <v>Feb</v>
      </c>
      <c r="Z800" s="5" t="str">
        <f>IF($A800="","",IFERROR(VLOOKUP($C800,Lookups!$D$4:$E$7,2,FALSE),"Unknown"))</f>
        <v>Winter</v>
      </c>
      <c r="AA800" s="5" t="str">
        <f>IF($A800="","",IFERROR(VLOOKUP($I800,Lookups!$A$4:$B$7,2,FALSE),"Unknown"))</f>
        <v>Mist/Cloudy</v>
      </c>
      <c r="AB800" s="5" t="str">
        <f>IF($A800="","",TEXT($F800,"00")&amp;":00")</f>
        <v>17:00</v>
      </c>
      <c r="AC800" s="5" t="str">
        <f>IF($A800="","",VLOOKUP($F800,Lookups!$G$4:$H$8,2,TRUE))</f>
        <v>Evening Peak (16-19)</v>
      </c>
      <c r="AD800" s="18">
        <f>IF($A800="","",IF($J800="","",ROUND($J800*41,1)))</f>
        <v>9.8</v>
      </c>
      <c r="AE800" s="18">
        <f>IF($A800="","",IF($R800="","",ROUND($R800*50,1)))</f>
        <v>10.6</v>
      </c>
      <c r="AF800" s="5">
        <f>IF($A800="","",IF($L800="","",ROUND($L800*100,0)))</f>
        <v>100</v>
      </c>
      <c r="AG800" s="18">
        <f>IF($A800="","",IF($M800="","",ROUND($M800*67,1)))</f>
        <v>19</v>
      </c>
      <c r="AH800" s="19">
        <f>IF($A800="","",IF($P800="","",IF($P800=0,0,$O800/$P800)))</f>
        <v>0.820512820512821</v>
      </c>
      <c r="AI800" s="5" t="str">
        <f>IF($A800="","",IF($P800="","",IF($P800&gt;=Lookups!$K$7,"High",IF($P800&lt;=Lookups!$K$8,"Low","Medium"))))</f>
        <v>Medium</v>
      </c>
      <c r="AJ800" s="5" t="str">
        <f>IF($A800="","",IF($AD800="","",IF($AD800&lt;5,"Under 5 C",IF($AD800&lt;10,"5-10 C",IF($AD800&lt;15,"10-15 C","15 C and above")))))</f>
        <v>5-10 C</v>
      </c>
      <c r="AK800" s="5">
        <f>IF($A800="","",IF($P800="","",$P800^2))</f>
        <v>6084</v>
      </c>
      <c r="AL800" s="18">
        <f>IF($V800&lt;&gt;1,"",AVERAGEIFS(Clean_Data!$P$2:$P$1001,Clean_Data!$F$2:$F$1001,$F800,Clean_Data!$W$2:$W$1001,$W800,Clean_Data!$V$2:$V$1001,1))</f>
        <v>85.8571428571429</v>
      </c>
      <c r="AM800" s="16">
        <f>IF($V800&lt;&gt;1,"",IFERROR(($P800-$AL800)/SQRT(MAX(0,(SUMIFS(Clean_Data!$AK$2:$AK$1001,Clean_Data!$F$2:$F$1001,$F800,Clean_Data!$W$2:$W$1001,$W800,Clean_Data!$V$2:$V$1001,1)-COUNTIFS(Clean_Data!$F$2:$F$1001,$F800,Clean_Data!$W$2:$W$1001,$W800,Clean_Data!$V$2:$V$1001,1)*$AL800^2)/(COUNTIFS(Clean_Data!$F$2:$F$1001,$F800,Clean_Data!$W$2:$W$1001,$W800,Clean_Data!$V$2:$V$1001,1)-1))),""))</f>
        <v>-0.300700859069364</v>
      </c>
      <c r="AN800" s="5" t="str">
        <f>IF($AM800="","",IF($AM800&gt;=Lookups!$K$6,"High spike",IF($AM800&lt;=-Lookups!$K$6,"Unusual low","Normal")))</f>
        <v>Normal</v>
      </c>
      <c r="AO800" s="20">
        <f>IF($V800&lt;&gt;1,"",$P800+ROW()/100000)</f>
        <v>78.008</v>
      </c>
      <c r="AP800" s="5">
        <f>IF($A800="","",IFERROR(MATCH($A800,Raw_D1!$A$2:$A$1001,0),""))</f>
        <v/>
      </c>
      <c r="AQ800" s="5">
        <f>IF($A800="","",IFERROR(MATCH($A800,Raw_D2!$B$2:$B$1001,0),""))</f>
        <v/>
      </c>
      <c r="AR800" s="5">
        <f>IF($A800="","",IFERROR(MATCH($A800,Raw_D3!$A$2:$A$1001,0),""))</f>
        <v>180</v>
      </c>
    </row>
    <row r="801" spans="1:44" x14ac:dyDescent="0.25">
      <c r="A801" s="5">
        <v>800</v>
      </c>
      <c r="B801" s="11">
        <f>IF($A801="","",IF($AP801&lt;&gt;"",INDEX(Raw_D1!$B$2:$B$1001,$AP801),IF($AR801&lt;&gt;"",INDEX(Raw_D3!$B$2:$B$1001,$AR801),"")))</f>
        <v>40579.0</v>
      </c>
      <c r="C801" s="5">
        <f>IF($A801="","",IF($AP801&lt;&gt;"",INDEX(Raw_D1!$C$2:$C$1001,$AP801),IF($AR801&lt;&gt;"",INDEX(Raw_D3!$C$2:$C$1001,$AR801),"")))</f>
        <v>1</v>
      </c>
      <c r="D801" s="5">
        <f>IF($A801="","",IF($AP801&lt;&gt;"",INDEX(Raw_D1!$D$2:$D$1001,$AP801),IF($AR801&lt;&gt;"",INDEX(Raw_D3!$D$2:$D$1001,$AR801),"")))</f>
        <v>0</v>
      </c>
      <c r="E801" s="5">
        <f>IF($A801="","",IF($AP801&lt;&gt;"",INDEX(Raw_D1!$E$2:$E$1001,$AP801),IF($AR801&lt;&gt;"",INDEX(Raw_D3!$E$2:$E$1001,$AR801),"")))</f>
        <v>2</v>
      </c>
      <c r="F801" s="5">
        <f>IF($A801="","",IF($AP801&lt;&gt;"",INDEX(Raw_D1!$F$2:$F$1001,$AP801),IF($AR801&lt;&gt;"",INDEX(Raw_D3!$F$2:$F$1001,$AR801),"")))</f>
        <v>18</v>
      </c>
      <c r="G801" s="5">
        <f>IF($A801="","",IF($AP801&lt;&gt;"",IF(INDEX(Raw_D1!$G$2:$G$1001,$AP801),1,0),IF($AR801&lt;&gt;"",IF(INDEX(Raw_D3!$G$2:$G$1001,$AR801),1,0),"")))</f>
        <v>0</v>
      </c>
      <c r="H801" s="5">
        <f>IF($A801="","",IF($AP801&lt;&gt;"",INDEX(Raw_D1!$H$2:$H$1001,$AP801),IF($AR801&lt;&gt;"",INDEX(Raw_D3!$H$2:$H$1001,$AR801),"")))</f>
        <v>6</v>
      </c>
      <c r="I801" s="5">
        <f>IF($A801="","",IF($AP801&lt;&gt;"",INDEX(Raw_D1!$I$2:$I$1001,$AP801),IF($AR801&lt;&gt;"",INDEX(Raw_D3!$I$2:$I$1001,$AR801),"")))</f>
        <v>2</v>
      </c>
      <c r="J801" s="16">
        <f>IF($A801="","",IF($AP801&lt;&gt;"",INDEX(Raw_D1!$J$2:$J$1001,$AP801),IF($AR801&lt;&gt;"",INDEX(Raw_D3!$J$2:$J$1001,$AR801),"")))</f>
        <v>0.28</v>
      </c>
      <c r="K801" s="17">
        <f>IF($A801="","",IF($AQ801&lt;&gt;"",IF(INDEX(Raw_D2!$C$2:$C$1001,$AQ801)="","",INDEX(Raw_D2!$C$2:$C$1001,$AQ801)),IF($AR801&lt;&gt;"",IF(INDEX(Raw_D3!$K$2:$K$1001,$AR801)="","",INDEX(Raw_D3!$K$2:$K$1001,$AR801)),"")))</f>
        <v>0.2424</v>
      </c>
      <c r="L801" s="16">
        <f>IF($A801="","",IF($AQ801&lt;&gt;"",IF(INDEX(Raw_D2!$D$2:$D$1001,$AQ801)="","",INDEX(Raw_D2!$D$2:$D$1001,$AQ801)),IF($AR801&lt;&gt;"",IF(INDEX(Raw_D3!$L$2:$L$1001,$AR801)="","",INDEX(Raw_D3!$L$2:$L$1001,$AR801)),"")))</f>
        <v>0.93</v>
      </c>
      <c r="M801" s="17">
        <f>IF($A801="","",IF($AQ801&lt;&gt;"",IF(INDEX(Raw_D2!$E$2:$E$1001,$AQ801)="","",INDEX(Raw_D2!$E$2:$E$1001,$AQ801)),IF($AR801&lt;&gt;"",IF(INDEX(Raw_D3!$M$2:$M$1001,$AR801)="","",INDEX(Raw_D3!$M$2:$M$1001,$AR801)),"")))</f>
        <v>0.4478</v>
      </c>
      <c r="N801" s="5">
        <f>IF($A801="","",IF($AQ801&lt;&gt;"",IF(INDEX(Raw_D2!$F$2:$F$1001,$AQ801)="","",INDEX(Raw_D2!$F$2:$F$1001,$AQ801)),IF($AR801&lt;&gt;"",IF(INDEX(Raw_D3!$N$2:$N$1001,$AR801)="","",INDEX(Raw_D3!$N$2:$N$1001,$AR801)),"")))</f>
        <v>2</v>
      </c>
      <c r="O801" s="5">
        <f>IF($A801="","",IF($AQ801&lt;&gt;"",IF(INDEX(Raw_D2!$G$2:$G$1001,$AQ801)="","",INDEX(Raw_D2!$G$2:$G$1001,$AQ801)),IF($AR801&lt;&gt;"",IF(INDEX(Raw_D3!$O$2:$O$1001,$AR801)="","",INDEX(Raw_D3!$O$2:$O$1001,$AR801)),"")))</f>
        <v>81</v>
      </c>
      <c r="P801" s="5">
        <f>IF($A801="","",IF($AQ801&lt;&gt;"",IF(INDEX(Raw_D2!$H$2:$H$1001,$AQ801)="","",INDEX(Raw_D2!$H$2:$H$1001,$AQ801)),IF($AR801&lt;&gt;"",IF(INDEX(Raw_D3!$P$2:$P$1001,$AR801)="","",INDEX(Raw_D3!$P$2:$P$1001,$AR801)),"")))</f>
        <v>83</v>
      </c>
      <c r="Q801" s="5" t="str">
        <f>IF($A801="","",IF(AND($AP801&lt;&gt;"",$AQ801&lt;&gt;""),"D1+D2",IF($AR801&lt;&gt;"","D3","Incomplete")))</f>
        <v>D3</v>
      </c>
      <c r="R801" s="17">
        <f>IF($A801="","",IF($K801="",IF($J801="","",ROUND(Lookups!$K$5+Lookups!$K$4*$J801,4)),$K801))</f>
        <v>0.2424</v>
      </c>
      <c r="S801" s="5" t="str">
        <f>IF($A801="","",IF($K801="","Imputed","Original"))</f>
        <v>Original</v>
      </c>
      <c r="T801" s="5" t="str">
        <f>IF($A801="","",IF($P801="","Missing",IF($P801=$N801+$O801,"OK","Mismatch")))</f>
        <v>OK</v>
      </c>
      <c r="U801" s="5" t="str">
        <f>IF($A801="","",IF(COUNTIF($A$2:$A801,$A801)&gt;1,"Duplicate","Unique"))</f>
        <v>Unique</v>
      </c>
      <c r="V801" s="5">
        <f>IF($A801="","",IF(AND($U801="Unique",ISNUMBER($P801)),1,0))</f>
        <v>1</v>
      </c>
      <c r="W801" s="5" t="str">
        <f>IF($A801="","",IF(OR($H801=0,$H801=6),"Weekend","Weekday"))</f>
        <v>Weekend</v>
      </c>
      <c r="X801" s="5" t="str">
        <f>IF($A801="","",TEXT($B801,"ddd"))</f>
        <v>Sat</v>
      </c>
      <c r="Y801" s="5" t="str">
        <f>IF($A801="","",TEXT($B801,"mmm"))</f>
        <v>Feb</v>
      </c>
      <c r="Z801" s="5" t="str">
        <f>IF($A801="","",IFERROR(VLOOKUP($C801,Lookups!$D$4:$E$7,2,FALSE),"Unknown"))</f>
        <v>Winter</v>
      </c>
      <c r="AA801" s="5" t="str">
        <f>IF($A801="","",IFERROR(VLOOKUP($I801,Lookups!$A$4:$B$7,2,FALSE),"Unknown"))</f>
        <v>Mist/Cloudy</v>
      </c>
      <c r="AB801" s="5" t="str">
        <f>IF($A801="","",TEXT($F801,"00")&amp;":00")</f>
        <v>18:00</v>
      </c>
      <c r="AC801" s="5" t="str">
        <f>IF($A801="","",VLOOKUP($F801,Lookups!$G$4:$H$8,2,TRUE))</f>
        <v>Evening Peak (16-19)</v>
      </c>
      <c r="AD801" s="18">
        <f>IF($A801="","",IF($J801="","",ROUND($J801*41,1)))</f>
        <v>11.5</v>
      </c>
      <c r="AE801" s="18">
        <f>IF($A801="","",IF($R801="","",ROUND($R801*50,1)))</f>
        <v>12.1</v>
      </c>
      <c r="AF801" s="5">
        <f>IF($A801="","",IF($L801="","",ROUND($L801*100,0)))</f>
        <v>93</v>
      </c>
      <c r="AG801" s="18">
        <f>IF($A801="","",IF($M801="","",ROUND($M801*67,1)))</f>
        <v>30</v>
      </c>
      <c r="AH801" s="19">
        <f>IF($A801="","",IF($P801="","",IF($P801=0,0,$O801/$P801)))</f>
        <v>0.975903614457831</v>
      </c>
      <c r="AI801" s="5" t="str">
        <f>IF($A801="","",IF($P801="","",IF($P801&gt;=Lookups!$K$7,"High",IF($P801&lt;=Lookups!$K$8,"Low","Medium"))))</f>
        <v>High</v>
      </c>
      <c r="AJ801" s="5" t="str">
        <f>IF($A801="","",IF($AD801="","",IF($AD801&lt;5,"Under 5 C",IF($AD801&lt;10,"5-10 C",IF($AD801&lt;15,"10-15 C","15 C and above")))))</f>
        <v>10-15 C</v>
      </c>
      <c r="AK801" s="5">
        <f>IF($A801="","",IF($P801="","",$P801^2))</f>
        <v>6889</v>
      </c>
      <c r="AL801" s="18">
        <f>IF($V801&lt;&gt;1,"",AVERAGEIFS(Clean_Data!$P$2:$P$1001,Clean_Data!$F$2:$F$1001,$F801,Clean_Data!$W$2:$W$1001,$W801,Clean_Data!$V$2:$V$1001,1))</f>
        <v>64.1428571428571</v>
      </c>
      <c r="AM801" s="16">
        <f>IF($V801&lt;&gt;1,"",IFERROR(($P801-$AL801)/SQRT(MAX(0,(SUMIFS(Clean_Data!$AK$2:$AK$1001,Clean_Data!$F$2:$F$1001,$F801,Clean_Data!$W$2:$W$1001,$W801,Clean_Data!$V$2:$V$1001,1)-COUNTIFS(Clean_Data!$F$2:$F$1001,$F801,Clean_Data!$W$2:$W$1001,$W801,Clean_Data!$V$2:$V$1001,1)*$AL801^2)/(COUNTIFS(Clean_Data!$F$2:$F$1001,$F801,Clean_Data!$W$2:$W$1001,$W801,Clean_Data!$V$2:$V$1001,1)-1))),""))</f>
        <v>1.13828898597962</v>
      </c>
      <c r="AN801" s="5" t="str">
        <f>IF($AM801="","",IF($AM801&gt;=Lookups!$K$6,"High spike",IF($AM801&lt;=-Lookups!$K$6,"Unusual low","Normal")))</f>
        <v>Normal</v>
      </c>
      <c r="AO801" s="20">
        <f>IF($V801&lt;&gt;1,"",$P801+ROW()/100000)</f>
        <v>83.00801</v>
      </c>
      <c r="AP801" s="5">
        <f>IF($A801="","",IFERROR(MATCH($A801,Raw_D1!$A$2:$A$1001,0),""))</f>
        <v/>
      </c>
      <c r="AQ801" s="5">
        <f>IF($A801="","",IFERROR(MATCH($A801,Raw_D2!$B$2:$B$1001,0),""))</f>
        <v/>
      </c>
      <c r="AR801" s="5">
        <f>IF($A801="","",IFERROR(MATCH($A801,Raw_D3!$A$2:$A$1001,0),""))</f>
        <v>181</v>
      </c>
    </row>
    <row r="802" spans="1:44" x14ac:dyDescent="0.25">
      <c r="A802" s="5">
        <v>801</v>
      </c>
      <c r="B802" s="11">
        <f>IF($A802="","",IF($AP802&lt;&gt;"",INDEX(Raw_D1!$B$2:$B$1001,$AP802),IF($AR802&lt;&gt;"",INDEX(Raw_D3!$B$2:$B$1001,$AR802),"")))</f>
        <v>40579.0</v>
      </c>
      <c r="C802" s="5">
        <f>IF($A802="","",IF($AP802&lt;&gt;"",INDEX(Raw_D1!$C$2:$C$1001,$AP802),IF($AR802&lt;&gt;"",INDEX(Raw_D3!$C$2:$C$1001,$AR802),"")))</f>
        <v>1</v>
      </c>
      <c r="D802" s="5">
        <f>IF($A802="","",IF($AP802&lt;&gt;"",INDEX(Raw_D1!$D$2:$D$1001,$AP802),IF($AR802&lt;&gt;"",INDEX(Raw_D3!$D$2:$D$1001,$AR802),"")))</f>
        <v>0</v>
      </c>
      <c r="E802" s="5">
        <f>IF($A802="","",IF($AP802&lt;&gt;"",INDEX(Raw_D1!$E$2:$E$1001,$AP802),IF($AR802&lt;&gt;"",INDEX(Raw_D3!$E$2:$E$1001,$AR802),"")))</f>
        <v>2</v>
      </c>
      <c r="F802" s="5">
        <f>IF($A802="","",IF($AP802&lt;&gt;"",INDEX(Raw_D1!$F$2:$F$1001,$AP802),IF($AR802&lt;&gt;"",INDEX(Raw_D3!$F$2:$F$1001,$AR802),"")))</f>
        <v>19</v>
      </c>
      <c r="G802" s="5">
        <f>IF($A802="","",IF($AP802&lt;&gt;"",IF(INDEX(Raw_D1!$G$2:$G$1001,$AP802),1,0),IF($AR802&lt;&gt;"",IF(INDEX(Raw_D3!$G$2:$G$1001,$AR802),1,0),"")))</f>
        <v>0</v>
      </c>
      <c r="H802" s="5">
        <f>IF($A802="","",IF($AP802&lt;&gt;"",INDEX(Raw_D1!$H$2:$H$1001,$AP802),IF($AR802&lt;&gt;"",INDEX(Raw_D3!$H$2:$H$1001,$AR802),"")))</f>
        <v>6</v>
      </c>
      <c r="I802" s="5">
        <f>IF($A802="","",IF($AP802&lt;&gt;"",INDEX(Raw_D1!$I$2:$I$1001,$AP802),IF($AR802&lt;&gt;"",INDEX(Raw_D3!$I$2:$I$1001,$AR802),"")))</f>
        <v>2</v>
      </c>
      <c r="J802" s="16">
        <f>IF($A802="","",IF($AP802&lt;&gt;"",INDEX(Raw_D1!$J$2:$J$1001,$AP802),IF($AR802&lt;&gt;"",INDEX(Raw_D3!$J$2:$J$1001,$AR802),"")))</f>
        <v>0.28</v>
      </c>
      <c r="K802" s="17">
        <f>IF($A802="","",IF($AQ802&lt;&gt;"",IF(INDEX(Raw_D2!$C$2:$C$1001,$AQ802)="","",INDEX(Raw_D2!$C$2:$C$1001,$AQ802)),IF($AR802&lt;&gt;"",IF(INDEX(Raw_D3!$K$2:$K$1001,$AR802)="","",INDEX(Raw_D3!$K$2:$K$1001,$AR802)),"")))</f>
        <v>0.2424</v>
      </c>
      <c r="L802" s="16">
        <f>IF($A802="","",IF($AQ802&lt;&gt;"",IF(INDEX(Raw_D2!$D$2:$D$1001,$AQ802)="","",INDEX(Raw_D2!$D$2:$D$1001,$AQ802)),IF($AR802&lt;&gt;"",IF(INDEX(Raw_D3!$L$2:$L$1001,$AR802)="","",INDEX(Raw_D3!$L$2:$L$1001,$AR802)),"")))</f>
        <v>0.93</v>
      </c>
      <c r="M802" s="17">
        <f>IF($A802="","",IF($AQ802&lt;&gt;"",IF(INDEX(Raw_D2!$E$2:$E$1001,$AQ802)="","",INDEX(Raw_D2!$E$2:$E$1001,$AQ802)),IF($AR802&lt;&gt;"",IF(INDEX(Raw_D3!$M$2:$M$1001,$AR802)="","",INDEX(Raw_D3!$M$2:$M$1001,$AR802)),"")))</f>
        <v>0.4478</v>
      </c>
      <c r="N802" s="5">
        <f>IF($A802="","",IF($AQ802&lt;&gt;"",IF(INDEX(Raw_D2!$F$2:$F$1001,$AQ802)="","",INDEX(Raw_D2!$F$2:$F$1001,$AQ802)),IF($AR802&lt;&gt;"",IF(INDEX(Raw_D3!$N$2:$N$1001,$AR802)="","",INDEX(Raw_D3!$N$2:$N$1001,$AR802)),"")))</f>
        <v>6</v>
      </c>
      <c r="O802" s="5">
        <f>IF($A802="","",IF($AQ802&lt;&gt;"",IF(INDEX(Raw_D2!$G$2:$G$1001,$AQ802)="","",INDEX(Raw_D2!$G$2:$G$1001,$AQ802)),IF($AR802&lt;&gt;"",IF(INDEX(Raw_D3!$O$2:$O$1001,$AR802)="","",INDEX(Raw_D3!$O$2:$O$1001,$AR802)),"")))</f>
        <v>78</v>
      </c>
      <c r="P802" s="5">
        <f>IF($A802="","",IF($AQ802&lt;&gt;"",IF(INDEX(Raw_D2!$H$2:$H$1001,$AQ802)="","",INDEX(Raw_D2!$H$2:$H$1001,$AQ802)),IF($AR802&lt;&gt;"",IF(INDEX(Raw_D3!$P$2:$P$1001,$AR802)="","",INDEX(Raw_D3!$P$2:$P$1001,$AR802)),"")))</f>
        <v>84</v>
      </c>
      <c r="Q802" s="5" t="str">
        <f>IF($A802="","",IF(AND($AP802&lt;&gt;"",$AQ802&lt;&gt;""),"D1+D2",IF($AR802&lt;&gt;"","D3","Incomplete")))</f>
        <v>D3</v>
      </c>
      <c r="R802" s="17">
        <f>IF($A802="","",IF($K802="",IF($J802="","",ROUND(Lookups!$K$5+Lookups!$K$4*$J802,4)),$K802))</f>
        <v>0.2424</v>
      </c>
      <c r="S802" s="5" t="str">
        <f>IF($A802="","",IF($K802="","Imputed","Original"))</f>
        <v>Original</v>
      </c>
      <c r="T802" s="5" t="str">
        <f>IF($A802="","",IF($P802="","Missing",IF($P802=$N802+$O802,"OK","Mismatch")))</f>
        <v>OK</v>
      </c>
      <c r="U802" s="5" t="str">
        <f>IF($A802="","",IF(COUNTIF($A$2:$A802,$A802)&gt;1,"Duplicate","Unique"))</f>
        <v>Unique</v>
      </c>
      <c r="V802" s="5">
        <f>IF($A802="","",IF(AND($U802="Unique",ISNUMBER($P802)),1,0))</f>
        <v>1</v>
      </c>
      <c r="W802" s="5" t="str">
        <f>IF($A802="","",IF(OR($H802=0,$H802=6),"Weekend","Weekday"))</f>
        <v>Weekend</v>
      </c>
      <c r="X802" s="5" t="str">
        <f>IF($A802="","",TEXT($B802,"ddd"))</f>
        <v>Sat</v>
      </c>
      <c r="Y802" s="5" t="str">
        <f>IF($A802="","",TEXT($B802,"mmm"))</f>
        <v>Feb</v>
      </c>
      <c r="Z802" s="5" t="str">
        <f>IF($A802="","",IFERROR(VLOOKUP($C802,Lookups!$D$4:$E$7,2,FALSE),"Unknown"))</f>
        <v>Winter</v>
      </c>
      <c r="AA802" s="5" t="str">
        <f>IF($A802="","",IFERROR(VLOOKUP($I802,Lookups!$A$4:$B$7,2,FALSE),"Unknown"))</f>
        <v>Mist/Cloudy</v>
      </c>
      <c r="AB802" s="5" t="str">
        <f>IF($A802="","",TEXT($F802,"00")&amp;":00")</f>
        <v>19:00</v>
      </c>
      <c r="AC802" s="5" t="str">
        <f>IF($A802="","",VLOOKUP($F802,Lookups!$G$4:$H$8,2,TRUE))</f>
        <v>Evening Peak (16-19)</v>
      </c>
      <c r="AD802" s="18">
        <f>IF($A802="","",IF($J802="","",ROUND($J802*41,1)))</f>
        <v>11.5</v>
      </c>
      <c r="AE802" s="18">
        <f>IF($A802="","",IF($R802="","",ROUND($R802*50,1)))</f>
        <v>12.1</v>
      </c>
      <c r="AF802" s="5">
        <f>IF($A802="","",IF($L802="","",ROUND($L802*100,0)))</f>
        <v>93</v>
      </c>
      <c r="AG802" s="18">
        <f>IF($A802="","",IF($M802="","",ROUND($M802*67,1)))</f>
        <v>30</v>
      </c>
      <c r="AH802" s="19">
        <f>IF($A802="","",IF($P802="","",IF($P802=0,0,$O802/$P802)))</f>
        <v>0.928571428571429</v>
      </c>
      <c r="AI802" s="5" t="str">
        <f>IF($A802="","",IF($P802="","",IF($P802&gt;=Lookups!$K$7,"High",IF($P802&lt;=Lookups!$K$8,"Low","Medium"))))</f>
        <v>High</v>
      </c>
      <c r="AJ802" s="5" t="str">
        <f>IF($A802="","",IF($AD802="","",IF($AD802&lt;5,"Under 5 C",IF($AD802&lt;10,"5-10 C",IF($AD802&lt;15,"10-15 C","15 C and above")))))</f>
        <v>10-15 C</v>
      </c>
      <c r="AK802" s="5">
        <f>IF($A802="","",IF($P802="","",$P802^2))</f>
        <v>7056</v>
      </c>
      <c r="AL802" s="18">
        <f>IF($V802&lt;&gt;1,"",AVERAGEIFS(Clean_Data!$P$2:$P$1001,Clean_Data!$F$2:$F$1001,$F802,Clean_Data!$W$2:$W$1001,$W802,Clean_Data!$V$2:$V$1001,1))</f>
        <v>50.1428571428571</v>
      </c>
      <c r="AM802" s="16">
        <f>IF($V802&lt;&gt;1,"",IFERROR(($P802-$AL802)/SQRT(MAX(0,(SUMIFS(Clean_Data!$AK$2:$AK$1001,Clean_Data!$F$2:$F$1001,$F802,Clean_Data!$W$2:$W$1001,$W802,Clean_Data!$V$2:$V$1001,1)-COUNTIFS(Clean_Data!$F$2:$F$1001,$F802,Clean_Data!$W$2:$W$1001,$W802,Clean_Data!$V$2:$V$1001,1)*$AL802^2)/(COUNTIFS(Clean_Data!$F$2:$F$1001,$F802,Clean_Data!$W$2:$W$1001,$W802,Clean_Data!$V$2:$V$1001,1)-1))),""))</f>
        <v>1.90282729723746</v>
      </c>
      <c r="AN802" s="5" t="str">
        <f>IF($AM802="","",IF($AM802&gt;=Lookups!$K$6,"High spike",IF($AM802&lt;=-Lookups!$K$6,"Unusual low","Normal")))</f>
        <v>Normal</v>
      </c>
      <c r="AO802" s="20">
        <f>IF($V802&lt;&gt;1,"",$P802+ROW()/100000)</f>
        <v>84.00802</v>
      </c>
      <c r="AP802" s="5">
        <f>IF($A802="","",IFERROR(MATCH($A802,Raw_D1!$A$2:$A$1001,0),""))</f>
        <v/>
      </c>
      <c r="AQ802" s="5">
        <f>IF($A802="","",IFERROR(MATCH($A802,Raw_D2!$B$2:$B$1001,0),""))</f>
        <v/>
      </c>
      <c r="AR802" s="5">
        <f>IF($A802="","",IFERROR(MATCH($A802,Raw_D3!$A$2:$A$1001,0),""))</f>
        <v>182</v>
      </c>
    </row>
    <row r="803" spans="1:44" x14ac:dyDescent="0.25">
      <c r="A803" s="5">
        <v>802</v>
      </c>
      <c r="B803" s="11">
        <f>IF($A803="","",IF($AP803&lt;&gt;"",INDEX(Raw_D1!$B$2:$B$1001,$AP803),IF($AR803&lt;&gt;"",INDEX(Raw_D3!$B$2:$B$1001,$AR803),"")))</f>
        <v>40579.0</v>
      </c>
      <c r="C803" s="5">
        <f>IF($A803="","",IF($AP803&lt;&gt;"",INDEX(Raw_D1!$C$2:$C$1001,$AP803),IF($AR803&lt;&gt;"",INDEX(Raw_D3!$C$2:$C$1001,$AR803),"")))</f>
        <v>1</v>
      </c>
      <c r="D803" s="5">
        <f>IF($A803="","",IF($AP803&lt;&gt;"",INDEX(Raw_D1!$D$2:$D$1001,$AP803),IF($AR803&lt;&gt;"",INDEX(Raw_D3!$D$2:$D$1001,$AR803),"")))</f>
        <v>0</v>
      </c>
      <c r="E803" s="5">
        <f>IF($A803="","",IF($AP803&lt;&gt;"",INDEX(Raw_D1!$E$2:$E$1001,$AP803),IF($AR803&lt;&gt;"",INDEX(Raw_D3!$E$2:$E$1001,$AR803),"")))</f>
        <v>2</v>
      </c>
      <c r="F803" s="5">
        <f>IF($A803="","",IF($AP803&lt;&gt;"",INDEX(Raw_D1!$F$2:$F$1001,$AP803),IF($AR803&lt;&gt;"",INDEX(Raw_D3!$F$2:$F$1001,$AR803),"")))</f>
        <v>20</v>
      </c>
      <c r="G803" s="5">
        <f>IF($A803="","",IF($AP803&lt;&gt;"",IF(INDEX(Raw_D1!$G$2:$G$1001,$AP803),1,0),IF($AR803&lt;&gt;"",IF(INDEX(Raw_D3!$G$2:$G$1001,$AR803),1,0),"")))</f>
        <v>0</v>
      </c>
      <c r="H803" s="5">
        <f>IF($A803="","",IF($AP803&lt;&gt;"",INDEX(Raw_D1!$H$2:$H$1001,$AP803),IF($AR803&lt;&gt;"",INDEX(Raw_D3!$H$2:$H$1001,$AR803),"")))</f>
        <v>6</v>
      </c>
      <c r="I803" s="5">
        <f>IF($A803="","",IF($AP803&lt;&gt;"",INDEX(Raw_D1!$I$2:$I$1001,$AP803),IF($AR803&lt;&gt;"",INDEX(Raw_D3!$I$2:$I$1001,$AR803),"")))</f>
        <v>1</v>
      </c>
      <c r="J803" s="16">
        <f>IF($A803="","",IF($AP803&lt;&gt;"",INDEX(Raw_D1!$J$2:$J$1001,$AP803),IF($AR803&lt;&gt;"",INDEX(Raw_D3!$J$2:$J$1001,$AR803),"")))</f>
        <v>0.3</v>
      </c>
      <c r="K803" s="17">
        <f>IF($A803="","",IF($AQ803&lt;&gt;"",IF(INDEX(Raw_D2!$C$2:$C$1001,$AQ803)="","",INDEX(Raw_D2!$C$2:$C$1001,$AQ803)),IF($AR803&lt;&gt;"",IF(INDEX(Raw_D3!$K$2:$K$1001,$AR803)="","",INDEX(Raw_D3!$K$2:$K$1001,$AR803)),"")))</f>
        <v>0.2879</v>
      </c>
      <c r="L803" s="16">
        <f>IF($A803="","",IF($AQ803&lt;&gt;"",IF(INDEX(Raw_D2!$D$2:$D$1001,$AQ803)="","",INDEX(Raw_D2!$D$2:$D$1001,$AQ803)),IF($AR803&lt;&gt;"",IF(INDEX(Raw_D3!$L$2:$L$1001,$AR803)="","",INDEX(Raw_D3!$L$2:$L$1001,$AR803)),"")))</f>
        <v>0.87</v>
      </c>
      <c r="M803" s="17">
        <f>IF($A803="","",IF($AQ803&lt;&gt;"",IF(INDEX(Raw_D2!$E$2:$E$1001,$AQ803)="","",INDEX(Raw_D2!$E$2:$E$1001,$AQ803)),IF($AR803&lt;&gt;"",IF(INDEX(Raw_D3!$M$2:$M$1001,$AR803)="","",INDEX(Raw_D3!$M$2:$M$1001,$AR803)),"")))</f>
        <v>0.2537</v>
      </c>
      <c r="N803" s="5">
        <f>IF($A803="","",IF($AQ803&lt;&gt;"",IF(INDEX(Raw_D2!$F$2:$F$1001,$AQ803)="","",INDEX(Raw_D2!$F$2:$F$1001,$AQ803)),IF($AR803&lt;&gt;"",IF(INDEX(Raw_D3!$N$2:$N$1001,$AR803)="","",INDEX(Raw_D3!$N$2:$N$1001,$AR803)),"")))</f>
        <v>5</v>
      </c>
      <c r="O803" s="5">
        <f>IF($A803="","",IF($AQ803&lt;&gt;"",IF(INDEX(Raw_D2!$G$2:$G$1001,$AQ803)="","",INDEX(Raw_D2!$G$2:$G$1001,$AQ803)),IF($AR803&lt;&gt;"",IF(INDEX(Raw_D3!$O$2:$O$1001,$AR803)="","",INDEX(Raw_D3!$O$2:$O$1001,$AR803)),"")))</f>
        <v>64</v>
      </c>
      <c r="P803" s="5">
        <f>IF($A803="","",IF($AQ803&lt;&gt;"",IF(INDEX(Raw_D2!$H$2:$H$1001,$AQ803)="","",INDEX(Raw_D2!$H$2:$H$1001,$AQ803)),IF($AR803&lt;&gt;"",IF(INDEX(Raw_D3!$P$2:$P$1001,$AR803)="","",INDEX(Raw_D3!$P$2:$P$1001,$AR803)),"")))</f>
        <v>69</v>
      </c>
      <c r="Q803" s="5" t="str">
        <f>IF($A803="","",IF(AND($AP803&lt;&gt;"",$AQ803&lt;&gt;""),"D1+D2",IF($AR803&lt;&gt;"","D3","Incomplete")))</f>
        <v>D3</v>
      </c>
      <c r="R803" s="17">
        <f>IF($A803="","",IF($K803="",IF($J803="","",ROUND(Lookups!$K$5+Lookups!$K$4*$J803,4)),$K803))</f>
        <v>0.2879</v>
      </c>
      <c r="S803" s="5" t="str">
        <f>IF($A803="","",IF($K803="","Imputed","Original"))</f>
        <v>Original</v>
      </c>
      <c r="T803" s="5" t="str">
        <f>IF($A803="","",IF($P803="","Missing",IF($P803=$N803+$O803,"OK","Mismatch")))</f>
        <v>OK</v>
      </c>
      <c r="U803" s="5" t="str">
        <f>IF($A803="","",IF(COUNTIF($A$2:$A803,$A803)&gt;1,"Duplicate","Unique"))</f>
        <v>Unique</v>
      </c>
      <c r="V803" s="5">
        <f>IF($A803="","",IF(AND($U803="Unique",ISNUMBER($P803)),1,0))</f>
        <v>1</v>
      </c>
      <c r="W803" s="5" t="str">
        <f>IF($A803="","",IF(OR($H803=0,$H803=6),"Weekend","Weekday"))</f>
        <v>Weekend</v>
      </c>
      <c r="X803" s="5" t="str">
        <f>IF($A803="","",TEXT($B803,"ddd"))</f>
        <v>Sat</v>
      </c>
      <c r="Y803" s="5" t="str">
        <f>IF($A803="","",TEXT($B803,"mmm"))</f>
        <v>Feb</v>
      </c>
      <c r="Z803" s="5" t="str">
        <f>IF($A803="","",IFERROR(VLOOKUP($C803,Lookups!$D$4:$E$7,2,FALSE),"Unknown"))</f>
        <v>Winter</v>
      </c>
      <c r="AA803" s="5" t="str">
        <f>IF($A803="","",IFERROR(VLOOKUP($I803,Lookups!$A$4:$B$7,2,FALSE),"Unknown"))</f>
        <v>Clear</v>
      </c>
      <c r="AB803" s="5" t="str">
        <f>IF($A803="","",TEXT($F803,"00")&amp;":00")</f>
        <v>20:00</v>
      </c>
      <c r="AC803" s="5" t="str">
        <f>IF($A803="","",VLOOKUP($F803,Lookups!$G$4:$H$8,2,TRUE))</f>
        <v>Late Evening (20-23)</v>
      </c>
      <c r="AD803" s="18">
        <f>IF($A803="","",IF($J803="","",ROUND($J803*41,1)))</f>
        <v>12.3</v>
      </c>
      <c r="AE803" s="18">
        <f>IF($A803="","",IF($R803="","",ROUND($R803*50,1)))</f>
        <v>14.4</v>
      </c>
      <c r="AF803" s="5">
        <f>IF($A803="","",IF($L803="","",ROUND($L803*100,0)))</f>
        <v>87</v>
      </c>
      <c r="AG803" s="18">
        <f>IF($A803="","",IF($M803="","",ROUND($M803*67,1)))</f>
        <v>17</v>
      </c>
      <c r="AH803" s="19">
        <f>IF($A803="","",IF($P803="","",IF($P803=0,0,$O803/$P803)))</f>
        <v>0.927536231884058</v>
      </c>
      <c r="AI803" s="5" t="str">
        <f>IF($A803="","",IF($P803="","",IF($P803&gt;=Lookups!$K$7,"High",IF($P803&lt;=Lookups!$K$8,"Low","Medium"))))</f>
        <v>Medium</v>
      </c>
      <c r="AJ803" s="5" t="str">
        <f>IF($A803="","",IF($AD803="","",IF($AD803&lt;5,"Under 5 C",IF($AD803&lt;10,"5-10 C",IF($AD803&lt;15,"10-15 C","15 C and above")))))</f>
        <v>10-15 C</v>
      </c>
      <c r="AK803" s="5">
        <f>IF($A803="","",IF($P803="","",$P803^2))</f>
        <v>4761</v>
      </c>
      <c r="AL803" s="18">
        <f>IF($V803&lt;&gt;1,"",AVERAGEIFS(Clean_Data!$P$2:$P$1001,Clean_Data!$F$2:$F$1001,$F803,Clean_Data!$W$2:$W$1001,$W803,Clean_Data!$V$2:$V$1001,1))</f>
        <v>40</v>
      </c>
      <c r="AM803" s="16">
        <f>IF($V803&lt;&gt;1,"",IFERROR(($P803-$AL803)/SQRT(MAX(0,(SUMIFS(Clean_Data!$AK$2:$AK$1001,Clean_Data!$F$2:$F$1001,$F803,Clean_Data!$W$2:$W$1001,$W803,Clean_Data!$V$2:$V$1001,1)-COUNTIFS(Clean_Data!$F$2:$F$1001,$F803,Clean_Data!$W$2:$W$1001,$W803,Clean_Data!$V$2:$V$1001,1)*$AL803^2)/(COUNTIFS(Clean_Data!$F$2:$F$1001,$F803,Clean_Data!$W$2:$W$1001,$W803,Clean_Data!$V$2:$V$1001,1)-1))),""))</f>
        <v>2.35459500701476</v>
      </c>
      <c r="AN803" s="5" t="str">
        <f>IF($AM803="","",IF($AM803&gt;=Lookups!$K$6,"High spike",IF($AM803&lt;=-Lookups!$K$6,"Unusual low","Normal")))</f>
        <v>Normal</v>
      </c>
      <c r="AO803" s="20">
        <f>IF($V803&lt;&gt;1,"",$P803+ROW()/100000)</f>
        <v>69.00803</v>
      </c>
      <c r="AP803" s="5">
        <f>IF($A803="","",IFERROR(MATCH($A803,Raw_D1!$A$2:$A$1001,0),""))</f>
        <v/>
      </c>
      <c r="AQ803" s="5">
        <f>IF($A803="","",IFERROR(MATCH($A803,Raw_D2!$B$2:$B$1001,0),""))</f>
        <v/>
      </c>
      <c r="AR803" s="5">
        <f>IF($A803="","",IFERROR(MATCH($A803,Raw_D3!$A$2:$A$1001,0),""))</f>
        <v>183</v>
      </c>
    </row>
    <row r="804" spans="1:44" x14ac:dyDescent="0.25">
      <c r="A804" s="5">
        <v>803</v>
      </c>
      <c r="B804" s="11">
        <f>IF($A804="","",IF($AP804&lt;&gt;"",INDEX(Raw_D1!$B$2:$B$1001,$AP804),IF($AR804&lt;&gt;"",INDEX(Raw_D3!$B$2:$B$1001,$AR804),"")))</f>
        <v>40579.0</v>
      </c>
      <c r="C804" s="5">
        <f>IF($A804="","",IF($AP804&lt;&gt;"",INDEX(Raw_D1!$C$2:$C$1001,$AP804),IF($AR804&lt;&gt;"",INDEX(Raw_D3!$C$2:$C$1001,$AR804),"")))</f>
        <v>1</v>
      </c>
      <c r="D804" s="5">
        <f>IF($A804="","",IF($AP804&lt;&gt;"",INDEX(Raw_D1!$D$2:$D$1001,$AP804),IF($AR804&lt;&gt;"",INDEX(Raw_D3!$D$2:$D$1001,$AR804),"")))</f>
        <v>0</v>
      </c>
      <c r="E804" s="5">
        <f>IF($A804="","",IF($AP804&lt;&gt;"",INDEX(Raw_D1!$E$2:$E$1001,$AP804),IF($AR804&lt;&gt;"",INDEX(Raw_D3!$E$2:$E$1001,$AR804),"")))</f>
        <v>2</v>
      </c>
      <c r="F804" s="5">
        <f>IF($A804="","",IF($AP804&lt;&gt;"",INDEX(Raw_D1!$F$2:$F$1001,$AP804),IF($AR804&lt;&gt;"",INDEX(Raw_D3!$F$2:$F$1001,$AR804),"")))</f>
        <v>21</v>
      </c>
      <c r="G804" s="5">
        <f>IF($A804="","",IF($AP804&lt;&gt;"",IF(INDEX(Raw_D1!$G$2:$G$1001,$AP804),1,0),IF($AR804&lt;&gt;"",IF(INDEX(Raw_D3!$G$2:$G$1001,$AR804),1,0),"")))</f>
        <v>0</v>
      </c>
      <c r="H804" s="5">
        <f>IF($A804="","",IF($AP804&lt;&gt;"",INDEX(Raw_D1!$H$2:$H$1001,$AP804),IF($AR804&lt;&gt;"",INDEX(Raw_D3!$H$2:$H$1001,$AR804),"")))</f>
        <v>6</v>
      </c>
      <c r="I804" s="5">
        <f>IF($A804="","",IF($AP804&lt;&gt;"",INDEX(Raw_D1!$I$2:$I$1001,$AP804),IF($AR804&lt;&gt;"",INDEX(Raw_D3!$I$2:$I$1001,$AR804),"")))</f>
        <v>1</v>
      </c>
      <c r="J804" s="16">
        <f>IF($A804="","",IF($AP804&lt;&gt;"",INDEX(Raw_D1!$J$2:$J$1001,$AP804),IF($AR804&lt;&gt;"",INDEX(Raw_D3!$J$2:$J$1001,$AR804),"")))</f>
        <v>0.26</v>
      </c>
      <c r="K804" s="17">
        <f>IF($A804="","",IF($AQ804&lt;&gt;"",IF(INDEX(Raw_D2!$C$2:$C$1001,$AQ804)="","",INDEX(Raw_D2!$C$2:$C$1001,$AQ804)),IF($AR804&lt;&gt;"",IF(INDEX(Raw_D3!$K$2:$K$1001,$AR804)="","",INDEX(Raw_D3!$K$2:$K$1001,$AR804)),"")))</f>
        <v>0.2576</v>
      </c>
      <c r="L804" s="16">
        <f>IF($A804="","",IF($AQ804&lt;&gt;"",IF(INDEX(Raw_D2!$D$2:$D$1001,$AQ804)="","",INDEX(Raw_D2!$D$2:$D$1001,$AQ804)),IF($AR804&lt;&gt;"",IF(INDEX(Raw_D3!$L$2:$L$1001,$AR804)="","",INDEX(Raw_D3!$L$2:$L$1001,$AR804)),"")))</f>
        <v>1</v>
      </c>
      <c r="M804" s="17">
        <f>IF($A804="","",IF($AQ804&lt;&gt;"",IF(INDEX(Raw_D2!$E$2:$E$1001,$AQ804)="","",INDEX(Raw_D2!$E$2:$E$1001,$AQ804)),IF($AR804&lt;&gt;"",IF(INDEX(Raw_D3!$M$2:$M$1001,$AR804)="","",INDEX(Raw_D3!$M$2:$M$1001,$AR804)),"")))</f>
        <v>0.194</v>
      </c>
      <c r="N804" s="5">
        <f>IF($A804="","",IF($AQ804&lt;&gt;"",IF(INDEX(Raw_D2!$F$2:$F$1001,$AQ804)="","",INDEX(Raw_D2!$F$2:$F$1001,$AQ804)),IF($AR804&lt;&gt;"",IF(INDEX(Raw_D3!$N$2:$N$1001,$AR804)="","",INDEX(Raw_D3!$N$2:$N$1001,$AR804)),"")))</f>
        <v>3</v>
      </c>
      <c r="O804" s="5">
        <f>IF($A804="","",IF($AQ804&lt;&gt;"",IF(INDEX(Raw_D2!$G$2:$G$1001,$AQ804)="","",INDEX(Raw_D2!$G$2:$G$1001,$AQ804)),IF($AR804&lt;&gt;"",IF(INDEX(Raw_D3!$O$2:$O$1001,$AR804)="","",INDEX(Raw_D3!$O$2:$O$1001,$AR804)),"")))</f>
        <v>53</v>
      </c>
      <c r="P804" s="5">
        <f>IF($A804="","",IF($AQ804&lt;&gt;"",IF(INDEX(Raw_D2!$H$2:$H$1001,$AQ804)="","",INDEX(Raw_D2!$H$2:$H$1001,$AQ804)),IF($AR804&lt;&gt;"",IF(INDEX(Raw_D3!$P$2:$P$1001,$AR804)="","",INDEX(Raw_D3!$P$2:$P$1001,$AR804)),"")))</f>
        <v>56</v>
      </c>
      <c r="Q804" s="5" t="str">
        <f>IF($A804="","",IF(AND($AP804&lt;&gt;"",$AQ804&lt;&gt;""),"D1+D2",IF($AR804&lt;&gt;"","D3","Incomplete")))</f>
        <v>D3</v>
      </c>
      <c r="R804" s="17">
        <f>IF($A804="","",IF($K804="",IF($J804="","",ROUND(Lookups!$K$5+Lookups!$K$4*$J804,4)),$K804))</f>
        <v>0.2576</v>
      </c>
      <c r="S804" s="5" t="str">
        <f>IF($A804="","",IF($K804="","Imputed","Original"))</f>
        <v>Original</v>
      </c>
      <c r="T804" s="5" t="str">
        <f>IF($A804="","",IF($P804="","Missing",IF($P804=$N804+$O804,"OK","Mismatch")))</f>
        <v>OK</v>
      </c>
      <c r="U804" s="5" t="str">
        <f>IF($A804="","",IF(COUNTIF($A$2:$A804,$A804)&gt;1,"Duplicate","Unique"))</f>
        <v>Unique</v>
      </c>
      <c r="V804" s="5">
        <f>IF($A804="","",IF(AND($U804="Unique",ISNUMBER($P804)),1,0))</f>
        <v>1</v>
      </c>
      <c r="W804" s="5" t="str">
        <f>IF($A804="","",IF(OR($H804=0,$H804=6),"Weekend","Weekday"))</f>
        <v>Weekend</v>
      </c>
      <c r="X804" s="5" t="str">
        <f>IF($A804="","",TEXT($B804,"ddd"))</f>
        <v>Sat</v>
      </c>
      <c r="Y804" s="5" t="str">
        <f>IF($A804="","",TEXT($B804,"mmm"))</f>
        <v>Feb</v>
      </c>
      <c r="Z804" s="5" t="str">
        <f>IF($A804="","",IFERROR(VLOOKUP($C804,Lookups!$D$4:$E$7,2,FALSE),"Unknown"))</f>
        <v>Winter</v>
      </c>
      <c r="AA804" s="5" t="str">
        <f>IF($A804="","",IFERROR(VLOOKUP($I804,Lookups!$A$4:$B$7,2,FALSE),"Unknown"))</f>
        <v>Clear</v>
      </c>
      <c r="AB804" s="5" t="str">
        <f>IF($A804="","",TEXT($F804,"00")&amp;":00")</f>
        <v>21:00</v>
      </c>
      <c r="AC804" s="5" t="str">
        <f>IF($A804="","",VLOOKUP($F804,Lookups!$G$4:$H$8,2,TRUE))</f>
        <v>Late Evening (20-23)</v>
      </c>
      <c r="AD804" s="18">
        <f>IF($A804="","",IF($J804="","",ROUND($J804*41,1)))</f>
        <v>10.7</v>
      </c>
      <c r="AE804" s="18">
        <f>IF($A804="","",IF($R804="","",ROUND($R804*50,1)))</f>
        <v>12.9</v>
      </c>
      <c r="AF804" s="5">
        <f>IF($A804="","",IF($L804="","",ROUND($L804*100,0)))</f>
        <v>100</v>
      </c>
      <c r="AG804" s="18">
        <f>IF($A804="","",IF($M804="","",ROUND($M804*67,1)))</f>
        <v>13</v>
      </c>
      <c r="AH804" s="19">
        <f>IF($A804="","",IF($P804="","",IF($P804=0,0,$O804/$P804)))</f>
        <v>0.946428571428571</v>
      </c>
      <c r="AI804" s="5" t="str">
        <f>IF($A804="","",IF($P804="","",IF($P804&gt;=Lookups!$K$7,"High",IF($P804&lt;=Lookups!$K$8,"Low","Medium"))))</f>
        <v>Medium</v>
      </c>
      <c r="AJ804" s="5" t="str">
        <f>IF($A804="","",IF($AD804="","",IF($AD804&lt;5,"Under 5 C",IF($AD804&lt;10,"5-10 C",IF($AD804&lt;15,"10-15 C","15 C and above")))))</f>
        <v>10-15 C</v>
      </c>
      <c r="AK804" s="5">
        <f>IF($A804="","",IF($P804="","",$P804^2))</f>
        <v>3136</v>
      </c>
      <c r="AL804" s="18">
        <f>IF($V804&lt;&gt;1,"",AVERAGEIFS(Clean_Data!$P$2:$P$1001,Clean_Data!$F$2:$F$1001,$F804,Clean_Data!$W$2:$W$1001,$W804,Clean_Data!$V$2:$V$1001,1))</f>
        <v>37.1428571428571</v>
      </c>
      <c r="AM804" s="16">
        <f>IF($V804&lt;&gt;1,"",IFERROR(($P804-$AL804)/SQRT(MAX(0,(SUMIFS(Clean_Data!$AK$2:$AK$1001,Clean_Data!$F$2:$F$1001,$F804,Clean_Data!$W$2:$W$1001,$W804,Clean_Data!$V$2:$V$1001,1)-COUNTIFS(Clean_Data!$F$2:$F$1001,$F804,Clean_Data!$W$2:$W$1001,$W804,Clean_Data!$V$2:$V$1001,1)*$AL804^2)/(COUNTIFS(Clean_Data!$F$2:$F$1001,$F804,Clean_Data!$W$2:$W$1001,$W804,Clean_Data!$V$2:$V$1001,1)-1))),""))</f>
        <v>1.56074572445835</v>
      </c>
      <c r="AN804" s="5" t="str">
        <f>IF($AM804="","",IF($AM804&gt;=Lookups!$K$6,"High spike",IF($AM804&lt;=-Lookups!$K$6,"Unusual low","Normal")))</f>
        <v>Normal</v>
      </c>
      <c r="AO804" s="20">
        <f>IF($V804&lt;&gt;1,"",$P804+ROW()/100000)</f>
        <v>56.00804</v>
      </c>
      <c r="AP804" s="5">
        <f>IF($A804="","",IFERROR(MATCH($A804,Raw_D1!$A$2:$A$1001,0),""))</f>
        <v/>
      </c>
      <c r="AQ804" s="5">
        <f>IF($A804="","",IFERROR(MATCH($A804,Raw_D2!$B$2:$B$1001,0),""))</f>
        <v/>
      </c>
      <c r="AR804" s="5">
        <f>IF($A804="","",IFERROR(MATCH($A804,Raw_D3!$A$2:$A$1001,0),""))</f>
        <v>184</v>
      </c>
    </row>
    <row r="805" spans="1:44" x14ac:dyDescent="0.25">
      <c r="A805" s="5">
        <v>804</v>
      </c>
      <c r="B805" s="11">
        <f>IF($A805="","",IF($AP805&lt;&gt;"",INDEX(Raw_D1!$B$2:$B$1001,$AP805),IF($AR805&lt;&gt;"",INDEX(Raw_D3!$B$2:$B$1001,$AR805),"")))</f>
        <v>40579.0</v>
      </c>
      <c r="C805" s="5">
        <f>IF($A805="","",IF($AP805&lt;&gt;"",INDEX(Raw_D1!$C$2:$C$1001,$AP805),IF($AR805&lt;&gt;"",INDEX(Raw_D3!$C$2:$C$1001,$AR805),"")))</f>
        <v>1</v>
      </c>
      <c r="D805" s="5">
        <f>IF($A805="","",IF($AP805&lt;&gt;"",INDEX(Raw_D1!$D$2:$D$1001,$AP805),IF($AR805&lt;&gt;"",INDEX(Raw_D3!$D$2:$D$1001,$AR805),"")))</f>
        <v>0</v>
      </c>
      <c r="E805" s="5">
        <f>IF($A805="","",IF($AP805&lt;&gt;"",INDEX(Raw_D1!$E$2:$E$1001,$AP805),IF($AR805&lt;&gt;"",INDEX(Raw_D3!$E$2:$E$1001,$AR805),"")))</f>
        <v>2</v>
      </c>
      <c r="F805" s="5">
        <f>IF($A805="","",IF($AP805&lt;&gt;"",INDEX(Raw_D1!$F$2:$F$1001,$AP805),IF($AR805&lt;&gt;"",INDEX(Raw_D3!$F$2:$F$1001,$AR805),"")))</f>
        <v>22</v>
      </c>
      <c r="G805" s="5">
        <f>IF($A805="","",IF($AP805&lt;&gt;"",IF(INDEX(Raw_D1!$G$2:$G$1001,$AP805),1,0),IF($AR805&lt;&gt;"",IF(INDEX(Raw_D3!$G$2:$G$1001,$AR805),1,0),"")))</f>
        <v>0</v>
      </c>
      <c r="H805" s="5">
        <f>IF($A805="","",IF($AP805&lt;&gt;"",INDEX(Raw_D1!$H$2:$H$1001,$AP805),IF($AR805&lt;&gt;"",INDEX(Raw_D3!$H$2:$H$1001,$AR805),"")))</f>
        <v>6</v>
      </c>
      <c r="I805" s="5">
        <f>IF($A805="","",IF($AP805&lt;&gt;"",INDEX(Raw_D1!$I$2:$I$1001,$AP805),IF($AR805&lt;&gt;"",INDEX(Raw_D3!$I$2:$I$1001,$AR805),"")))</f>
        <v>1</v>
      </c>
      <c r="J805" s="16">
        <f>IF($A805="","",IF($AP805&lt;&gt;"",INDEX(Raw_D1!$J$2:$J$1001,$AP805),IF($AR805&lt;&gt;"",INDEX(Raw_D3!$J$2:$J$1001,$AR805),"")))</f>
        <v>0.26</v>
      </c>
      <c r="K805" s="17">
        <f>IF($A805="","",IF($AQ805&lt;&gt;"",IF(INDEX(Raw_D2!$C$2:$C$1001,$AQ805)="","",INDEX(Raw_D2!$C$2:$C$1001,$AQ805)),IF($AR805&lt;&gt;"",IF(INDEX(Raw_D3!$K$2:$K$1001,$AR805)="","",INDEX(Raw_D3!$K$2:$K$1001,$AR805)),"")))</f>
        <v>0.2727</v>
      </c>
      <c r="L805" s="16">
        <f>IF($A805="","",IF($AQ805&lt;&gt;"",IF(INDEX(Raw_D2!$D$2:$D$1001,$AQ805)="","",INDEX(Raw_D2!$D$2:$D$1001,$AQ805)),IF($AR805&lt;&gt;"",IF(INDEX(Raw_D3!$L$2:$L$1001,$AR805)="","",INDEX(Raw_D3!$L$2:$L$1001,$AR805)),"")))</f>
        <v>0.93</v>
      </c>
      <c r="M805" s="17">
        <f>IF($A805="","",IF($AQ805&lt;&gt;"",IF(INDEX(Raw_D2!$E$2:$E$1001,$AQ805)="","",INDEX(Raw_D2!$E$2:$E$1001,$AQ805)),IF($AR805&lt;&gt;"",IF(INDEX(Raw_D3!$M$2:$M$1001,$AR805)="","",INDEX(Raw_D3!$M$2:$M$1001,$AR805)),"")))</f>
        <v>0.1343</v>
      </c>
      <c r="N805" s="5">
        <f>IF($A805="","",IF($AQ805&lt;&gt;"",IF(INDEX(Raw_D2!$F$2:$F$1001,$AQ805)="","",INDEX(Raw_D2!$F$2:$F$1001,$AQ805)),IF($AR805&lt;&gt;"",IF(INDEX(Raw_D3!$N$2:$N$1001,$AR805)="","",INDEX(Raw_D3!$N$2:$N$1001,$AR805)),"")))</f>
        <v>2</v>
      </c>
      <c r="O805" s="5">
        <f>IF($A805="","",IF($AQ805&lt;&gt;"",IF(INDEX(Raw_D2!$G$2:$G$1001,$AQ805)="","",INDEX(Raw_D2!$G$2:$G$1001,$AQ805)),IF($AR805&lt;&gt;"",IF(INDEX(Raw_D3!$O$2:$O$1001,$AR805)="","",INDEX(Raw_D3!$O$2:$O$1001,$AR805)),"")))</f>
        <v>43</v>
      </c>
      <c r="P805" s="5">
        <f>IF($A805="","",IF($AQ805&lt;&gt;"",IF(INDEX(Raw_D2!$H$2:$H$1001,$AQ805)="","",INDEX(Raw_D2!$H$2:$H$1001,$AQ805)),IF($AR805&lt;&gt;"",IF(INDEX(Raw_D3!$P$2:$P$1001,$AR805)="","",INDEX(Raw_D3!$P$2:$P$1001,$AR805)),"")))</f>
        <v>45</v>
      </c>
      <c r="Q805" s="5" t="str">
        <f>IF($A805="","",IF(AND($AP805&lt;&gt;"",$AQ805&lt;&gt;""),"D1+D2",IF($AR805&lt;&gt;"","D3","Incomplete")))</f>
        <v>D3</v>
      </c>
      <c r="R805" s="17">
        <f>IF($A805="","",IF($K805="",IF($J805="","",ROUND(Lookups!$K$5+Lookups!$K$4*$J805,4)),$K805))</f>
        <v>0.2727</v>
      </c>
      <c r="S805" s="5" t="str">
        <f>IF($A805="","",IF($K805="","Imputed","Original"))</f>
        <v>Original</v>
      </c>
      <c r="T805" s="5" t="str">
        <f>IF($A805="","",IF($P805="","Missing",IF($P805=$N805+$O805,"OK","Mismatch")))</f>
        <v>OK</v>
      </c>
      <c r="U805" s="5" t="str">
        <f>IF($A805="","",IF(COUNTIF($A$2:$A805,$A805)&gt;1,"Duplicate","Unique"))</f>
        <v>Unique</v>
      </c>
      <c r="V805" s="5">
        <f>IF($A805="","",IF(AND($U805="Unique",ISNUMBER($P805)),1,0))</f>
        <v>1</v>
      </c>
      <c r="W805" s="5" t="str">
        <f>IF($A805="","",IF(OR($H805=0,$H805=6),"Weekend","Weekday"))</f>
        <v>Weekend</v>
      </c>
      <c r="X805" s="5" t="str">
        <f>IF($A805="","",TEXT($B805,"ddd"))</f>
        <v>Sat</v>
      </c>
      <c r="Y805" s="5" t="str">
        <f>IF($A805="","",TEXT($B805,"mmm"))</f>
        <v>Feb</v>
      </c>
      <c r="Z805" s="5" t="str">
        <f>IF($A805="","",IFERROR(VLOOKUP($C805,Lookups!$D$4:$E$7,2,FALSE),"Unknown"))</f>
        <v>Winter</v>
      </c>
      <c r="AA805" s="5" t="str">
        <f>IF($A805="","",IFERROR(VLOOKUP($I805,Lookups!$A$4:$B$7,2,FALSE),"Unknown"))</f>
        <v>Clear</v>
      </c>
      <c r="AB805" s="5" t="str">
        <f>IF($A805="","",TEXT($F805,"00")&amp;":00")</f>
        <v>22:00</v>
      </c>
      <c r="AC805" s="5" t="str">
        <f>IF($A805="","",VLOOKUP($F805,Lookups!$G$4:$H$8,2,TRUE))</f>
        <v>Late Evening (20-23)</v>
      </c>
      <c r="AD805" s="18">
        <f>IF($A805="","",IF($J805="","",ROUND($J805*41,1)))</f>
        <v>10.7</v>
      </c>
      <c r="AE805" s="18">
        <f>IF($A805="","",IF($R805="","",ROUND($R805*50,1)))</f>
        <v>13.6</v>
      </c>
      <c r="AF805" s="5">
        <f>IF($A805="","",IF($L805="","",ROUND($L805*100,0)))</f>
        <v>93</v>
      </c>
      <c r="AG805" s="18">
        <f>IF($A805="","",IF($M805="","",ROUND($M805*67,1)))</f>
        <v>9</v>
      </c>
      <c r="AH805" s="19">
        <f>IF($A805="","",IF($P805="","",IF($P805=0,0,$O805/$P805)))</f>
        <v>0.955555555555556</v>
      </c>
      <c r="AI805" s="5" t="str">
        <f>IF($A805="","",IF($P805="","",IF($P805&gt;=Lookups!$K$7,"High",IF($P805&lt;=Lookups!$K$8,"Low","Medium"))))</f>
        <v>Medium</v>
      </c>
      <c r="AJ805" s="5" t="str">
        <f>IF($A805="","",IF($AD805="","",IF($AD805&lt;5,"Under 5 C",IF($AD805&lt;10,"5-10 C",IF($AD805&lt;15,"10-15 C","15 C and above")))))</f>
        <v>10-15 C</v>
      </c>
      <c r="AK805" s="5">
        <f>IF($A805="","",IF($P805="","",$P805^2))</f>
        <v>2025</v>
      </c>
      <c r="AL805" s="18">
        <f>IF($V805&lt;&gt;1,"",AVERAGEIFS(Clean_Data!$P$2:$P$1001,Clean_Data!$F$2:$F$1001,$F805,Clean_Data!$W$2:$W$1001,$W805,Clean_Data!$V$2:$V$1001,1))</f>
        <v>30.8571428571429</v>
      </c>
      <c r="AM805" s="16">
        <f>IF($V805&lt;&gt;1,"",IFERROR(($P805-$AL805)/SQRT(MAX(0,(SUMIFS(Clean_Data!$AK$2:$AK$1001,Clean_Data!$F$2:$F$1001,$F805,Clean_Data!$W$2:$W$1001,$W805,Clean_Data!$V$2:$V$1001,1)-COUNTIFS(Clean_Data!$F$2:$F$1001,$F805,Clean_Data!$W$2:$W$1001,$W805,Clean_Data!$V$2:$V$1001,1)*$AL805^2)/(COUNTIFS(Clean_Data!$F$2:$F$1001,$F805,Clean_Data!$W$2:$W$1001,$W805,Clean_Data!$V$2:$V$1001,1)-1))),""))</f>
        <v>1.0470746516063</v>
      </c>
      <c r="AN805" s="5" t="str">
        <f>IF($AM805="","",IF($AM805&gt;=Lookups!$K$6,"High spike",IF($AM805&lt;=-Lookups!$K$6,"Unusual low","Normal")))</f>
        <v>Normal</v>
      </c>
      <c r="AO805" s="20">
        <f>IF($V805&lt;&gt;1,"",$P805+ROW()/100000)</f>
        <v>45.00805</v>
      </c>
      <c r="AP805" s="5">
        <f>IF($A805="","",IFERROR(MATCH($A805,Raw_D1!$A$2:$A$1001,0),""))</f>
        <v/>
      </c>
      <c r="AQ805" s="5">
        <f>IF($A805="","",IFERROR(MATCH($A805,Raw_D2!$B$2:$B$1001,0),""))</f>
        <v/>
      </c>
      <c r="AR805" s="5">
        <f>IF($A805="","",IFERROR(MATCH($A805,Raw_D3!$A$2:$A$1001,0),""))</f>
        <v>185</v>
      </c>
    </row>
    <row r="806" spans="1:44" x14ac:dyDescent="0.25">
      <c r="A806" s="5">
        <v>805</v>
      </c>
      <c r="B806" s="11">
        <f>IF($A806="","",IF($AP806&lt;&gt;"",INDEX(Raw_D1!$B$2:$B$1001,$AP806),IF($AR806&lt;&gt;"",INDEX(Raw_D3!$B$2:$B$1001,$AR806),"")))</f>
        <v>40579.0</v>
      </c>
      <c r="C806" s="5">
        <f>IF($A806="","",IF($AP806&lt;&gt;"",INDEX(Raw_D1!$C$2:$C$1001,$AP806),IF($AR806&lt;&gt;"",INDEX(Raw_D3!$C$2:$C$1001,$AR806),"")))</f>
        <v>1</v>
      </c>
      <c r="D806" s="5">
        <f>IF($A806="","",IF($AP806&lt;&gt;"",INDEX(Raw_D1!$D$2:$D$1001,$AP806),IF($AR806&lt;&gt;"",INDEX(Raw_D3!$D$2:$D$1001,$AR806),"")))</f>
        <v>0</v>
      </c>
      <c r="E806" s="5">
        <f>IF($A806="","",IF($AP806&lt;&gt;"",INDEX(Raw_D1!$E$2:$E$1001,$AP806),IF($AR806&lt;&gt;"",INDEX(Raw_D3!$E$2:$E$1001,$AR806),"")))</f>
        <v>2</v>
      </c>
      <c r="F806" s="5">
        <f>IF($A806="","",IF($AP806&lt;&gt;"",INDEX(Raw_D1!$F$2:$F$1001,$AP806),IF($AR806&lt;&gt;"",INDEX(Raw_D3!$F$2:$F$1001,$AR806),"")))</f>
        <v>23</v>
      </c>
      <c r="G806" s="5">
        <f>IF($A806="","",IF($AP806&lt;&gt;"",IF(INDEX(Raw_D1!$G$2:$G$1001,$AP806),1,0),IF($AR806&lt;&gt;"",IF(INDEX(Raw_D3!$G$2:$G$1001,$AR806),1,0),"")))</f>
        <v>0</v>
      </c>
      <c r="H806" s="5">
        <f>IF($A806="","",IF($AP806&lt;&gt;"",INDEX(Raw_D1!$H$2:$H$1001,$AP806),IF($AR806&lt;&gt;"",INDEX(Raw_D3!$H$2:$H$1001,$AR806),"")))</f>
        <v>6</v>
      </c>
      <c r="I806" s="5">
        <f>IF($A806="","",IF($AP806&lt;&gt;"",INDEX(Raw_D1!$I$2:$I$1001,$AP806),IF($AR806&lt;&gt;"",INDEX(Raw_D3!$I$2:$I$1001,$AR806),"")))</f>
        <v>1</v>
      </c>
      <c r="J806" s="16">
        <f>IF($A806="","",IF($AP806&lt;&gt;"",INDEX(Raw_D1!$J$2:$J$1001,$AP806),IF($AR806&lt;&gt;"",INDEX(Raw_D3!$J$2:$J$1001,$AR806),"")))</f>
        <v>0.26</v>
      </c>
      <c r="K806" s="17">
        <f>IF($A806="","",IF($AQ806&lt;&gt;"",IF(INDEX(Raw_D2!$C$2:$C$1001,$AQ806)="","",INDEX(Raw_D2!$C$2:$C$1001,$AQ806)),IF($AR806&lt;&gt;"",IF(INDEX(Raw_D3!$K$2:$K$1001,$AR806)="","",INDEX(Raw_D3!$K$2:$K$1001,$AR806)),"")))</f>
        <v>0.2576</v>
      </c>
      <c r="L806" s="16">
        <f>IF($A806="","",IF($AQ806&lt;&gt;"",IF(INDEX(Raw_D2!$D$2:$D$1001,$AQ806)="","",INDEX(Raw_D2!$D$2:$D$1001,$AQ806)),IF($AR806&lt;&gt;"",IF(INDEX(Raw_D3!$L$2:$L$1001,$AR806)="","",INDEX(Raw_D3!$L$2:$L$1001,$AR806)),"")))</f>
        <v>0.93</v>
      </c>
      <c r="M806" s="17">
        <f>IF($A806="","",IF($AQ806&lt;&gt;"",IF(INDEX(Raw_D2!$E$2:$E$1001,$AQ806)="","",INDEX(Raw_D2!$E$2:$E$1001,$AQ806)),IF($AR806&lt;&gt;"",IF(INDEX(Raw_D3!$M$2:$M$1001,$AR806)="","",INDEX(Raw_D3!$M$2:$M$1001,$AR806)),"")))</f>
        <v>0.2239</v>
      </c>
      <c r="N806" s="5">
        <f>IF($A806="","",IF($AQ806&lt;&gt;"",IF(INDEX(Raw_D2!$F$2:$F$1001,$AQ806)="","",INDEX(Raw_D2!$F$2:$F$1001,$AQ806)),IF($AR806&lt;&gt;"",IF(INDEX(Raw_D3!$N$2:$N$1001,$AR806)="","",INDEX(Raw_D3!$N$2:$N$1001,$AR806)),"")))</f>
        <v>7</v>
      </c>
      <c r="O806" s="5">
        <f>IF($A806="","",IF($AQ806&lt;&gt;"",IF(INDEX(Raw_D2!$G$2:$G$1001,$AQ806)="","",INDEX(Raw_D2!$G$2:$G$1001,$AQ806)),IF($AR806&lt;&gt;"",IF(INDEX(Raw_D3!$O$2:$O$1001,$AR806)="","",INDEX(Raw_D3!$O$2:$O$1001,$AR806)),"")))</f>
        <v>52</v>
      </c>
      <c r="P806" s="5">
        <f>IF($A806="","",IF($AQ806&lt;&gt;"",IF(INDEX(Raw_D2!$H$2:$H$1001,$AQ806)="","",INDEX(Raw_D2!$H$2:$H$1001,$AQ806)),IF($AR806&lt;&gt;"",IF(INDEX(Raw_D3!$P$2:$P$1001,$AR806)="","",INDEX(Raw_D3!$P$2:$P$1001,$AR806)),"")))</f>
        <v>59</v>
      </c>
      <c r="Q806" s="5" t="str">
        <f>IF($A806="","",IF(AND($AP806&lt;&gt;"",$AQ806&lt;&gt;""),"D1+D2",IF($AR806&lt;&gt;"","D3","Incomplete")))</f>
        <v>D3</v>
      </c>
      <c r="R806" s="17">
        <f>IF($A806="","",IF($K806="",IF($J806="","",ROUND(Lookups!$K$5+Lookups!$K$4*$J806,4)),$K806))</f>
        <v>0.2576</v>
      </c>
      <c r="S806" s="5" t="str">
        <f>IF($A806="","",IF($K806="","Imputed","Original"))</f>
        <v>Original</v>
      </c>
      <c r="T806" s="5" t="str">
        <f>IF($A806="","",IF($P806="","Missing",IF($P806=$N806+$O806,"OK","Mismatch")))</f>
        <v>OK</v>
      </c>
      <c r="U806" s="5" t="str">
        <f>IF($A806="","",IF(COUNTIF($A$2:$A806,$A806)&gt;1,"Duplicate","Unique"))</f>
        <v>Unique</v>
      </c>
      <c r="V806" s="5">
        <f>IF($A806="","",IF(AND($U806="Unique",ISNUMBER($P806)),1,0))</f>
        <v>1</v>
      </c>
      <c r="W806" s="5" t="str">
        <f>IF($A806="","",IF(OR($H806=0,$H806=6),"Weekend","Weekday"))</f>
        <v>Weekend</v>
      </c>
      <c r="X806" s="5" t="str">
        <f>IF($A806="","",TEXT($B806,"ddd"))</f>
        <v>Sat</v>
      </c>
      <c r="Y806" s="5" t="str">
        <f>IF($A806="","",TEXT($B806,"mmm"))</f>
        <v>Feb</v>
      </c>
      <c r="Z806" s="5" t="str">
        <f>IF($A806="","",IFERROR(VLOOKUP($C806,Lookups!$D$4:$E$7,2,FALSE),"Unknown"))</f>
        <v>Winter</v>
      </c>
      <c r="AA806" s="5" t="str">
        <f>IF($A806="","",IFERROR(VLOOKUP($I806,Lookups!$A$4:$B$7,2,FALSE),"Unknown"))</f>
        <v>Clear</v>
      </c>
      <c r="AB806" s="5" t="str">
        <f>IF($A806="","",TEXT($F806,"00")&amp;":00")</f>
        <v>23:00</v>
      </c>
      <c r="AC806" s="5" t="str">
        <f>IF($A806="","",VLOOKUP($F806,Lookups!$G$4:$H$8,2,TRUE))</f>
        <v>Late Evening (20-23)</v>
      </c>
      <c r="AD806" s="18">
        <f>IF($A806="","",IF($J806="","",ROUND($J806*41,1)))</f>
        <v>10.7</v>
      </c>
      <c r="AE806" s="18">
        <f>IF($A806="","",IF($R806="","",ROUND($R806*50,1)))</f>
        <v>12.9</v>
      </c>
      <c r="AF806" s="5">
        <f>IF($A806="","",IF($L806="","",ROUND($L806*100,0)))</f>
        <v>93</v>
      </c>
      <c r="AG806" s="18">
        <f>IF($A806="","",IF($M806="","",ROUND($M806*67,1)))</f>
        <v>15</v>
      </c>
      <c r="AH806" s="19">
        <f>IF($A806="","",IF($P806="","",IF($P806=0,0,$O806/$P806)))</f>
        <v>0.88135593220339</v>
      </c>
      <c r="AI806" s="5" t="str">
        <f>IF($A806="","",IF($P806="","",IF($P806&gt;=Lookups!$K$7,"High",IF($P806&lt;=Lookups!$K$8,"Low","Medium"))))</f>
        <v>Medium</v>
      </c>
      <c r="AJ806" s="5" t="str">
        <f>IF($A806="","",IF($AD806="","",IF($AD806&lt;5,"Under 5 C",IF($AD806&lt;10,"5-10 C",IF($AD806&lt;15,"10-15 C","15 C and above")))))</f>
        <v>10-15 C</v>
      </c>
      <c r="AK806" s="5">
        <f>IF($A806="","",IF($P806="","",$P806^2))</f>
        <v>3481</v>
      </c>
      <c r="AL806" s="18">
        <f>IF($V806&lt;&gt;1,"",AVERAGEIFS(Clean_Data!$P$2:$P$1001,Clean_Data!$F$2:$F$1001,$F806,Clean_Data!$W$2:$W$1001,$W806,Clean_Data!$V$2:$V$1001,1))</f>
        <v>28.2857142857143</v>
      </c>
      <c r="AM806" s="16">
        <f>IF($V806&lt;&gt;1,"",IFERROR(($P806-$AL806)/SQRT(MAX(0,(SUMIFS(Clean_Data!$AK$2:$AK$1001,Clean_Data!$F$2:$F$1001,$F806,Clean_Data!$W$2:$W$1001,$W806,Clean_Data!$V$2:$V$1001,1)-COUNTIFS(Clean_Data!$F$2:$F$1001,$F806,Clean_Data!$W$2:$W$1001,$W806,Clean_Data!$V$2:$V$1001,1)*$AL806^2)/(COUNTIFS(Clean_Data!$F$2:$F$1001,$F806,Clean_Data!$W$2:$W$1001,$W806,Clean_Data!$V$2:$V$1001,1)-1))),""))</f>
        <v>2.20216546618301</v>
      </c>
      <c r="AN806" s="5" t="str">
        <f>IF($AM806="","",IF($AM806&gt;=Lookups!$K$6,"High spike",IF($AM806&lt;=-Lookups!$K$6,"Unusual low","Normal")))</f>
        <v>Normal</v>
      </c>
      <c r="AO806" s="20">
        <f>IF($V806&lt;&gt;1,"",$P806+ROW()/100000)</f>
        <v>59.00806</v>
      </c>
      <c r="AP806" s="5">
        <f>IF($A806="","",IFERROR(MATCH($A806,Raw_D1!$A$2:$A$1001,0),""))</f>
        <v/>
      </c>
      <c r="AQ806" s="5">
        <f>IF($A806="","",IFERROR(MATCH($A806,Raw_D2!$B$2:$B$1001,0),""))</f>
        <v/>
      </c>
      <c r="AR806" s="5">
        <f>IF($A806="","",IFERROR(MATCH($A806,Raw_D3!$A$2:$A$1001,0),""))</f>
        <v>186</v>
      </c>
    </row>
    <row r="807" spans="1:44" x14ac:dyDescent="0.25">
      <c r="A807" s="5">
        <v>806</v>
      </c>
      <c r="B807" s="11">
        <f>IF($A807="","",IF($AP807&lt;&gt;"",INDEX(Raw_D1!$B$2:$B$1001,$AP807),IF($AR807&lt;&gt;"",INDEX(Raw_D3!$B$2:$B$1001,$AR807),"")))</f>
        <v>40580.0</v>
      </c>
      <c r="C807" s="5">
        <f>IF($A807="","",IF($AP807&lt;&gt;"",INDEX(Raw_D1!$C$2:$C$1001,$AP807),IF($AR807&lt;&gt;"",INDEX(Raw_D3!$C$2:$C$1001,$AR807),"")))</f>
        <v>1</v>
      </c>
      <c r="D807" s="5">
        <f>IF($A807="","",IF($AP807&lt;&gt;"",INDEX(Raw_D1!$D$2:$D$1001,$AP807),IF($AR807&lt;&gt;"",INDEX(Raw_D3!$D$2:$D$1001,$AR807),"")))</f>
        <v>0</v>
      </c>
      <c r="E807" s="5">
        <f>IF($A807="","",IF($AP807&lt;&gt;"",INDEX(Raw_D1!$E$2:$E$1001,$AP807),IF($AR807&lt;&gt;"",INDEX(Raw_D3!$E$2:$E$1001,$AR807),"")))</f>
        <v>2</v>
      </c>
      <c r="F807" s="5">
        <f>IF($A807="","",IF($AP807&lt;&gt;"",INDEX(Raw_D1!$F$2:$F$1001,$AP807),IF($AR807&lt;&gt;"",INDEX(Raw_D3!$F$2:$F$1001,$AR807),"")))</f>
        <v>0</v>
      </c>
      <c r="G807" s="5">
        <f>IF($A807="","",IF($AP807&lt;&gt;"",IF(INDEX(Raw_D1!$G$2:$G$1001,$AP807),1,0),IF($AR807&lt;&gt;"",IF(INDEX(Raw_D3!$G$2:$G$1001,$AR807),1,0),"")))</f>
        <v>0</v>
      </c>
      <c r="H807" s="5">
        <f>IF($A807="","",IF($AP807&lt;&gt;"",INDEX(Raw_D1!$H$2:$H$1001,$AP807),IF($AR807&lt;&gt;"",INDEX(Raw_D3!$H$2:$H$1001,$AR807),"")))</f>
        <v>0</v>
      </c>
      <c r="I807" s="5">
        <f>IF($A807="","",IF($AP807&lt;&gt;"",INDEX(Raw_D1!$I$2:$I$1001,$AP807),IF($AR807&lt;&gt;"",INDEX(Raw_D3!$I$2:$I$1001,$AR807),"")))</f>
        <v>1</v>
      </c>
      <c r="J807" s="16">
        <f>IF($A807="","",IF($AP807&lt;&gt;"",INDEX(Raw_D1!$J$2:$J$1001,$AP807),IF($AR807&lt;&gt;"",INDEX(Raw_D3!$J$2:$J$1001,$AR807),"")))</f>
        <v>0.26</v>
      </c>
      <c r="K807" s="17">
        <f>IF($A807="","",IF($AQ807&lt;&gt;"",IF(INDEX(Raw_D2!$C$2:$C$1001,$AQ807)="","",INDEX(Raw_D2!$C$2:$C$1001,$AQ807)),IF($AR807&lt;&gt;"",IF(INDEX(Raw_D3!$K$2:$K$1001,$AR807)="","",INDEX(Raw_D3!$K$2:$K$1001,$AR807)),"")))</f>
        <v>0.2576</v>
      </c>
      <c r="L807" s="16">
        <f>IF($A807="","",IF($AQ807&lt;&gt;"",IF(INDEX(Raw_D2!$D$2:$D$1001,$AQ807)="","",INDEX(Raw_D2!$D$2:$D$1001,$AQ807)),IF($AR807&lt;&gt;"",IF(INDEX(Raw_D3!$L$2:$L$1001,$AR807)="","",INDEX(Raw_D3!$L$2:$L$1001,$AR807)),"")))</f>
        <v>0.7</v>
      </c>
      <c r="M807" s="17">
        <f>IF($A807="","",IF($AQ807&lt;&gt;"",IF(INDEX(Raw_D2!$E$2:$E$1001,$AQ807)="","",INDEX(Raw_D2!$E$2:$E$1001,$AQ807)),IF($AR807&lt;&gt;"",IF(INDEX(Raw_D3!$M$2:$M$1001,$AR807)="","",INDEX(Raw_D3!$M$2:$M$1001,$AR807)),"")))</f>
        <v>0.194</v>
      </c>
      <c r="N807" s="5">
        <f>IF($A807="","",IF($AQ807&lt;&gt;"",IF(INDEX(Raw_D2!$F$2:$F$1001,$AQ807)="","",INDEX(Raw_D2!$F$2:$F$1001,$AQ807)),IF($AR807&lt;&gt;"",IF(INDEX(Raw_D3!$N$2:$N$1001,$AR807)="","",INDEX(Raw_D3!$N$2:$N$1001,$AR807)),"")))</f>
        <v>2</v>
      </c>
      <c r="O807" s="5">
        <f>IF($A807="","",IF($AQ807&lt;&gt;"",IF(INDEX(Raw_D2!$G$2:$G$1001,$AQ807)="","",INDEX(Raw_D2!$G$2:$G$1001,$AQ807)),IF($AR807&lt;&gt;"",IF(INDEX(Raw_D3!$O$2:$O$1001,$AR807)="","",INDEX(Raw_D3!$O$2:$O$1001,$AR807)),"")))</f>
        <v>37</v>
      </c>
      <c r="P807" s="5">
        <f>IF($A807="","",IF($AQ807&lt;&gt;"",IF(INDEX(Raw_D2!$H$2:$H$1001,$AQ807)="","",INDEX(Raw_D2!$H$2:$H$1001,$AQ807)),IF($AR807&lt;&gt;"",IF(INDEX(Raw_D3!$P$2:$P$1001,$AR807)="","",INDEX(Raw_D3!$P$2:$P$1001,$AR807)),"")))</f>
        <v>39</v>
      </c>
      <c r="Q807" s="5" t="str">
        <f>IF($A807="","",IF(AND($AP807&lt;&gt;"",$AQ807&lt;&gt;""),"D1+D2",IF($AR807&lt;&gt;"","D3","Incomplete")))</f>
        <v>D3</v>
      </c>
      <c r="R807" s="17">
        <f>IF($A807="","",IF($K807="",IF($J807="","",ROUND(Lookups!$K$5+Lookups!$K$4*$J807,4)),$K807))</f>
        <v>0.2576</v>
      </c>
      <c r="S807" s="5" t="str">
        <f>IF($A807="","",IF($K807="","Imputed","Original"))</f>
        <v>Original</v>
      </c>
      <c r="T807" s="5" t="str">
        <f>IF($A807="","",IF($P807="","Missing",IF($P807=$N807+$O807,"OK","Mismatch")))</f>
        <v>OK</v>
      </c>
      <c r="U807" s="5" t="str">
        <f>IF($A807="","",IF(COUNTIF($A$2:$A807,$A807)&gt;1,"Duplicate","Unique"))</f>
        <v>Unique</v>
      </c>
      <c r="V807" s="5">
        <f>IF($A807="","",IF(AND($U807="Unique",ISNUMBER($P807)),1,0))</f>
        <v>1</v>
      </c>
      <c r="W807" s="5" t="str">
        <f>IF($A807="","",IF(OR($H807=0,$H807=6),"Weekend","Weekday"))</f>
        <v>Weekend</v>
      </c>
      <c r="X807" s="5" t="str">
        <f>IF($A807="","",TEXT($B807,"ddd"))</f>
        <v>Sun</v>
      </c>
      <c r="Y807" s="5" t="str">
        <f>IF($A807="","",TEXT($B807,"mmm"))</f>
        <v>Feb</v>
      </c>
      <c r="Z807" s="5" t="str">
        <f>IF($A807="","",IFERROR(VLOOKUP($C807,Lookups!$D$4:$E$7,2,FALSE),"Unknown"))</f>
        <v>Winter</v>
      </c>
      <c r="AA807" s="5" t="str">
        <f>IF($A807="","",IFERROR(VLOOKUP($I807,Lookups!$A$4:$B$7,2,FALSE),"Unknown"))</f>
        <v>Clear</v>
      </c>
      <c r="AB807" s="5" t="str">
        <f>IF($A807="","",TEXT($F807,"00")&amp;":00")</f>
        <v>00:00</v>
      </c>
      <c r="AC807" s="5" t="str">
        <f>IF($A807="","",VLOOKUP($F807,Lookups!$G$4:$H$8,2,TRUE))</f>
        <v>Night (00-05)</v>
      </c>
      <c r="AD807" s="18">
        <f>IF($A807="","",IF($J807="","",ROUND($J807*41,1)))</f>
        <v>10.7</v>
      </c>
      <c r="AE807" s="18">
        <f>IF($A807="","",IF($R807="","",ROUND($R807*50,1)))</f>
        <v>12.9</v>
      </c>
      <c r="AF807" s="5">
        <f>IF($A807="","",IF($L807="","",ROUND($L807*100,0)))</f>
        <v>70</v>
      </c>
      <c r="AG807" s="18">
        <f>IF($A807="","",IF($M807="","",ROUND($M807*67,1)))</f>
        <v>13</v>
      </c>
      <c r="AH807" s="19">
        <f>IF($A807="","",IF($P807="","",IF($P807=0,0,$O807/$P807)))</f>
        <v>0.948717948717949</v>
      </c>
      <c r="AI807" s="5" t="str">
        <f>IF($A807="","",IF($P807="","",IF($P807&gt;=Lookups!$K$7,"High",IF($P807&lt;=Lookups!$K$8,"Low","Medium"))))</f>
        <v>Medium</v>
      </c>
      <c r="AJ807" s="5" t="str">
        <f>IF($A807="","",IF($AD807="","",IF($AD807&lt;5,"Under 5 C",IF($AD807&lt;10,"5-10 C",IF($AD807&lt;15,"10-15 C","15 C and above")))))</f>
        <v>10-15 C</v>
      </c>
      <c r="AK807" s="5">
        <f>IF($A807="","",IF($P807="","",$P807^2))</f>
        <v>1521</v>
      </c>
      <c r="AL807" s="18">
        <f>IF($V807&lt;&gt;1,"",AVERAGEIFS(Clean_Data!$P$2:$P$1001,Clean_Data!$F$2:$F$1001,$F807,Clean_Data!$W$2:$W$1001,$W807,Clean_Data!$V$2:$V$1001,1))</f>
        <v>28.0714285714286</v>
      </c>
      <c r="AM807" s="16">
        <f>IF($V807&lt;&gt;1,"",IFERROR(($P807-$AL807)/SQRT(MAX(0,(SUMIFS(Clean_Data!$AK$2:$AK$1001,Clean_Data!$F$2:$F$1001,$F807,Clean_Data!$W$2:$W$1001,$W807,Clean_Data!$V$2:$V$1001,1)-COUNTIFS(Clean_Data!$F$2:$F$1001,$F807,Clean_Data!$W$2:$W$1001,$W807,Clean_Data!$V$2:$V$1001,1)*$AL807^2)/(COUNTIFS(Clean_Data!$F$2:$F$1001,$F807,Clean_Data!$W$2:$W$1001,$W807,Clean_Data!$V$2:$V$1001,1)-1))),""))</f>
        <v>1.21202688175174</v>
      </c>
      <c r="AN807" s="5" t="str">
        <f>IF($AM807="","",IF($AM807&gt;=Lookups!$K$6,"High spike",IF($AM807&lt;=-Lookups!$K$6,"Unusual low","Normal")))</f>
        <v>Normal</v>
      </c>
      <c r="AO807" s="20">
        <f>IF($V807&lt;&gt;1,"",$P807+ROW()/100000)</f>
        <v>39.00807</v>
      </c>
      <c r="AP807" s="5">
        <f>IF($A807="","",IFERROR(MATCH($A807,Raw_D1!$A$2:$A$1001,0),""))</f>
        <v/>
      </c>
      <c r="AQ807" s="5">
        <f>IF($A807="","",IFERROR(MATCH($A807,Raw_D2!$B$2:$B$1001,0),""))</f>
        <v/>
      </c>
      <c r="AR807" s="5">
        <f>IF($A807="","",IFERROR(MATCH($A807,Raw_D3!$A$2:$A$1001,0),""))</f>
        <v>187</v>
      </c>
    </row>
    <row r="808" spans="1:44" x14ac:dyDescent="0.25">
      <c r="A808" s="5">
        <v>807</v>
      </c>
      <c r="B808" s="11">
        <f>IF($A808="","",IF($AP808&lt;&gt;"",INDEX(Raw_D1!$B$2:$B$1001,$AP808),IF($AR808&lt;&gt;"",INDEX(Raw_D3!$B$2:$B$1001,$AR808),"")))</f>
        <v>40580.0</v>
      </c>
      <c r="C808" s="5">
        <f>IF($A808="","",IF($AP808&lt;&gt;"",INDEX(Raw_D1!$C$2:$C$1001,$AP808),IF($AR808&lt;&gt;"",INDEX(Raw_D3!$C$2:$C$1001,$AR808),"")))</f>
        <v>1</v>
      </c>
      <c r="D808" s="5">
        <f>IF($A808="","",IF($AP808&lt;&gt;"",INDEX(Raw_D1!$D$2:$D$1001,$AP808),IF($AR808&lt;&gt;"",INDEX(Raw_D3!$D$2:$D$1001,$AR808),"")))</f>
        <v>0</v>
      </c>
      <c r="E808" s="5">
        <f>IF($A808="","",IF($AP808&lt;&gt;"",INDEX(Raw_D1!$E$2:$E$1001,$AP808),IF($AR808&lt;&gt;"",INDEX(Raw_D3!$E$2:$E$1001,$AR808),"")))</f>
        <v>2</v>
      </c>
      <c r="F808" s="5">
        <f>IF($A808="","",IF($AP808&lt;&gt;"",INDEX(Raw_D1!$F$2:$F$1001,$AP808),IF($AR808&lt;&gt;"",INDEX(Raw_D3!$F$2:$F$1001,$AR808),"")))</f>
        <v>1</v>
      </c>
      <c r="G808" s="5">
        <f>IF($A808="","",IF($AP808&lt;&gt;"",IF(INDEX(Raw_D1!$G$2:$G$1001,$AP808),1,0),IF($AR808&lt;&gt;"",IF(INDEX(Raw_D3!$G$2:$G$1001,$AR808),1,0),"")))</f>
        <v>0</v>
      </c>
      <c r="H808" s="5">
        <f>IF($A808="","",IF($AP808&lt;&gt;"",INDEX(Raw_D1!$H$2:$H$1001,$AP808),IF($AR808&lt;&gt;"",INDEX(Raw_D3!$H$2:$H$1001,$AR808),"")))</f>
        <v>0</v>
      </c>
      <c r="I808" s="5">
        <f>IF($A808="","",IF($AP808&lt;&gt;"",INDEX(Raw_D1!$I$2:$I$1001,$AP808),IF($AR808&lt;&gt;"",INDEX(Raw_D3!$I$2:$I$1001,$AR808),"")))</f>
        <v>1</v>
      </c>
      <c r="J808" s="16">
        <f>IF($A808="","",IF($AP808&lt;&gt;"",INDEX(Raw_D1!$J$2:$J$1001,$AP808),IF($AR808&lt;&gt;"",INDEX(Raw_D3!$J$2:$J$1001,$AR808),"")))</f>
        <v>0.26</v>
      </c>
      <c r="K808" s="17">
        <f>IF($A808="","",IF($AQ808&lt;&gt;"",IF(INDEX(Raw_D2!$C$2:$C$1001,$AQ808)="","",INDEX(Raw_D2!$C$2:$C$1001,$AQ808)),IF($AR808&lt;&gt;"",IF(INDEX(Raw_D3!$K$2:$K$1001,$AR808)="","",INDEX(Raw_D3!$K$2:$K$1001,$AR808)),"")))</f>
        <v>0.2273</v>
      </c>
      <c r="L808" s="16">
        <f>IF($A808="","",IF($AQ808&lt;&gt;"",IF(INDEX(Raw_D2!$D$2:$D$1001,$AQ808)="","",INDEX(Raw_D2!$D$2:$D$1001,$AQ808)),IF($AR808&lt;&gt;"",IF(INDEX(Raw_D3!$L$2:$L$1001,$AR808)="","",INDEX(Raw_D3!$L$2:$L$1001,$AR808)),"")))</f>
        <v>0.65</v>
      </c>
      <c r="M808" s="17">
        <f>IF($A808="","",IF($AQ808&lt;&gt;"",IF(INDEX(Raw_D2!$E$2:$E$1001,$AQ808)="","",INDEX(Raw_D2!$E$2:$E$1001,$AQ808)),IF($AR808&lt;&gt;"",IF(INDEX(Raw_D3!$M$2:$M$1001,$AR808)="","",INDEX(Raw_D3!$M$2:$M$1001,$AR808)),"")))</f>
        <v>0.4179</v>
      </c>
      <c r="N808" s="5">
        <f>IF($A808="","",IF($AQ808&lt;&gt;"",IF(INDEX(Raw_D2!$F$2:$F$1001,$AQ808)="","",INDEX(Raw_D2!$F$2:$F$1001,$AQ808)),IF($AR808&lt;&gt;"",IF(INDEX(Raw_D3!$N$2:$N$1001,$AR808)="","",INDEX(Raw_D3!$N$2:$N$1001,$AR808)),"")))</f>
        <v>4</v>
      </c>
      <c r="O808" s="5">
        <f>IF($A808="","",IF($AQ808&lt;&gt;"",IF(INDEX(Raw_D2!$G$2:$G$1001,$AQ808)="","",INDEX(Raw_D2!$G$2:$G$1001,$AQ808)),IF($AR808&lt;&gt;"",IF(INDEX(Raw_D3!$O$2:$O$1001,$AR808)="","",INDEX(Raw_D3!$O$2:$O$1001,$AR808)),"")))</f>
        <v>40</v>
      </c>
      <c r="P808" s="5">
        <f>IF($A808="","",IF($AQ808&lt;&gt;"",IF(INDEX(Raw_D2!$H$2:$H$1001,$AQ808)="","",INDEX(Raw_D2!$H$2:$H$1001,$AQ808)),IF($AR808&lt;&gt;"",IF(INDEX(Raw_D3!$P$2:$P$1001,$AR808)="","",INDEX(Raw_D3!$P$2:$P$1001,$AR808)),"")))</f>
        <v>44</v>
      </c>
      <c r="Q808" s="5" t="str">
        <f>IF($A808="","",IF(AND($AP808&lt;&gt;"",$AQ808&lt;&gt;""),"D1+D2",IF($AR808&lt;&gt;"","D3","Incomplete")))</f>
        <v>D3</v>
      </c>
      <c r="R808" s="17">
        <f>IF($A808="","",IF($K808="",IF($J808="","",ROUND(Lookups!$K$5+Lookups!$K$4*$J808,4)),$K808))</f>
        <v>0.2273</v>
      </c>
      <c r="S808" s="5" t="str">
        <f>IF($A808="","",IF($K808="","Imputed","Original"))</f>
        <v>Original</v>
      </c>
      <c r="T808" s="5" t="str">
        <f>IF($A808="","",IF($P808="","Missing",IF($P808=$N808+$O808,"OK","Mismatch")))</f>
        <v>OK</v>
      </c>
      <c r="U808" s="5" t="str">
        <f>IF($A808="","",IF(COUNTIF($A$2:$A808,$A808)&gt;1,"Duplicate","Unique"))</f>
        <v>Unique</v>
      </c>
      <c r="V808" s="5">
        <f>IF($A808="","",IF(AND($U808="Unique",ISNUMBER($P808)),1,0))</f>
        <v>1</v>
      </c>
      <c r="W808" s="5" t="str">
        <f>IF($A808="","",IF(OR($H808=0,$H808=6),"Weekend","Weekday"))</f>
        <v>Weekend</v>
      </c>
      <c r="X808" s="5" t="str">
        <f>IF($A808="","",TEXT($B808,"ddd"))</f>
        <v>Sun</v>
      </c>
      <c r="Y808" s="5" t="str">
        <f>IF($A808="","",TEXT($B808,"mmm"))</f>
        <v>Feb</v>
      </c>
      <c r="Z808" s="5" t="str">
        <f>IF($A808="","",IFERROR(VLOOKUP($C808,Lookups!$D$4:$E$7,2,FALSE),"Unknown"))</f>
        <v>Winter</v>
      </c>
      <c r="AA808" s="5" t="str">
        <f>IF($A808="","",IFERROR(VLOOKUP($I808,Lookups!$A$4:$B$7,2,FALSE),"Unknown"))</f>
        <v>Clear</v>
      </c>
      <c r="AB808" s="5" t="str">
        <f>IF($A808="","",TEXT($F808,"00")&amp;":00")</f>
        <v>01:00</v>
      </c>
      <c r="AC808" s="5" t="str">
        <f>IF($A808="","",VLOOKUP($F808,Lookups!$G$4:$H$8,2,TRUE))</f>
        <v>Night (00-05)</v>
      </c>
      <c r="AD808" s="18">
        <f>IF($A808="","",IF($J808="","",ROUND($J808*41,1)))</f>
        <v>10.7</v>
      </c>
      <c r="AE808" s="18">
        <f>IF($A808="","",IF($R808="","",ROUND($R808*50,1)))</f>
        <v>11.4</v>
      </c>
      <c r="AF808" s="5">
        <f>IF($A808="","",IF($L808="","",ROUND($L808*100,0)))</f>
        <v>65</v>
      </c>
      <c r="AG808" s="18">
        <f>IF($A808="","",IF($M808="","",ROUND($M808*67,1)))</f>
        <v>28</v>
      </c>
      <c r="AH808" s="19">
        <f>IF($A808="","",IF($P808="","",IF($P808=0,0,$O808/$P808)))</f>
        <v>0.909090909090909</v>
      </c>
      <c r="AI808" s="5" t="str">
        <f>IF($A808="","",IF($P808="","",IF($P808&gt;=Lookups!$K$7,"High",IF($P808&lt;=Lookups!$K$8,"Low","Medium"))))</f>
        <v>Medium</v>
      </c>
      <c r="AJ808" s="5" t="str">
        <f>IF($A808="","",IF($AD808="","",IF($AD808&lt;5,"Under 5 C",IF($AD808&lt;10,"5-10 C",IF($AD808&lt;15,"10-15 C","15 C and above")))))</f>
        <v>10-15 C</v>
      </c>
      <c r="AK808" s="5">
        <f>IF($A808="","",IF($P808="","",$P808^2))</f>
        <v>1936</v>
      </c>
      <c r="AL808" s="18">
        <f>IF($V808&lt;&gt;1,"",AVERAGEIFS(Clean_Data!$P$2:$P$1001,Clean_Data!$F$2:$F$1001,$F808,Clean_Data!$W$2:$W$1001,$W808,Clean_Data!$V$2:$V$1001,1))</f>
        <v>22.2857142857143</v>
      </c>
      <c r="AM808" s="16">
        <f>IF($V808&lt;&gt;1,"",IFERROR(($P808-$AL808)/SQRT(MAX(0,(SUMIFS(Clean_Data!$AK$2:$AK$1001,Clean_Data!$F$2:$F$1001,$F808,Clean_Data!$W$2:$W$1001,$W808,Clean_Data!$V$2:$V$1001,1)-COUNTIFS(Clean_Data!$F$2:$F$1001,$F808,Clean_Data!$W$2:$W$1001,$W808,Clean_Data!$V$2:$V$1001,1)*$AL808^2)/(COUNTIFS(Clean_Data!$F$2:$F$1001,$F808,Clean_Data!$W$2:$W$1001,$W808,Clean_Data!$V$2:$V$1001,1)-1))),""))</f>
        <v>2.23158482214119</v>
      </c>
      <c r="AN808" s="5" t="str">
        <f>IF($AM808="","",IF($AM808&gt;=Lookups!$K$6,"High spike",IF($AM808&lt;=-Lookups!$K$6,"Unusual low","Normal")))</f>
        <v>Normal</v>
      </c>
      <c r="AO808" s="20">
        <f>IF($V808&lt;&gt;1,"",$P808+ROW()/100000)</f>
        <v>44.00808</v>
      </c>
      <c r="AP808" s="5">
        <f>IF($A808="","",IFERROR(MATCH($A808,Raw_D1!$A$2:$A$1001,0),""))</f>
        <v/>
      </c>
      <c r="AQ808" s="5">
        <f>IF($A808="","",IFERROR(MATCH($A808,Raw_D2!$B$2:$B$1001,0),""))</f>
        <v/>
      </c>
      <c r="AR808" s="5">
        <f>IF($A808="","",IFERROR(MATCH($A808,Raw_D3!$A$2:$A$1001,0),""))</f>
        <v>188</v>
      </c>
    </row>
    <row r="809" spans="1:44" x14ac:dyDescent="0.25">
      <c r="A809" s="5">
        <v>808</v>
      </c>
      <c r="B809" s="11">
        <f>IF($A809="","",IF($AP809&lt;&gt;"",INDEX(Raw_D1!$B$2:$B$1001,$AP809),IF($AR809&lt;&gt;"",INDEX(Raw_D3!$B$2:$B$1001,$AR809),"")))</f>
        <v>40580.0</v>
      </c>
      <c r="C809" s="5">
        <f>IF($A809="","",IF($AP809&lt;&gt;"",INDEX(Raw_D1!$C$2:$C$1001,$AP809),IF($AR809&lt;&gt;"",INDEX(Raw_D3!$C$2:$C$1001,$AR809),"")))</f>
        <v>1</v>
      </c>
      <c r="D809" s="5">
        <f>IF($A809="","",IF($AP809&lt;&gt;"",INDEX(Raw_D1!$D$2:$D$1001,$AP809),IF($AR809&lt;&gt;"",INDEX(Raw_D3!$D$2:$D$1001,$AR809),"")))</f>
        <v>0</v>
      </c>
      <c r="E809" s="5">
        <f>IF($A809="","",IF($AP809&lt;&gt;"",INDEX(Raw_D1!$E$2:$E$1001,$AP809),IF($AR809&lt;&gt;"",INDEX(Raw_D3!$E$2:$E$1001,$AR809),"")))</f>
        <v>2</v>
      </c>
      <c r="F809" s="5">
        <f>IF($A809="","",IF($AP809&lt;&gt;"",INDEX(Raw_D1!$F$2:$F$1001,$AP809),IF($AR809&lt;&gt;"",INDEX(Raw_D3!$F$2:$F$1001,$AR809),"")))</f>
        <v>2</v>
      </c>
      <c r="G809" s="5">
        <f>IF($A809="","",IF($AP809&lt;&gt;"",IF(INDEX(Raw_D1!$G$2:$G$1001,$AP809),1,0),IF($AR809&lt;&gt;"",IF(INDEX(Raw_D3!$G$2:$G$1001,$AR809),1,0),"")))</f>
        <v>0</v>
      </c>
      <c r="H809" s="5">
        <f>IF($A809="","",IF($AP809&lt;&gt;"",INDEX(Raw_D1!$H$2:$H$1001,$AP809),IF($AR809&lt;&gt;"",INDEX(Raw_D3!$H$2:$H$1001,$AR809),"")))</f>
        <v>0</v>
      </c>
      <c r="I809" s="5">
        <f>IF($A809="","",IF($AP809&lt;&gt;"",INDEX(Raw_D1!$I$2:$I$1001,$AP809),IF($AR809&lt;&gt;"",INDEX(Raw_D3!$I$2:$I$1001,$AR809),"")))</f>
        <v>1</v>
      </c>
      <c r="J809" s="16">
        <f>IF($A809="","",IF($AP809&lt;&gt;"",INDEX(Raw_D1!$J$2:$J$1001,$AP809),IF($AR809&lt;&gt;"",INDEX(Raw_D3!$J$2:$J$1001,$AR809),"")))</f>
        <v>0.26</v>
      </c>
      <c r="K809" s="17">
        <f>IF($A809="","",IF($AQ809&lt;&gt;"",IF(INDEX(Raw_D2!$C$2:$C$1001,$AQ809)="","",INDEX(Raw_D2!$C$2:$C$1001,$AQ809)),IF($AR809&lt;&gt;"",IF(INDEX(Raw_D3!$K$2:$K$1001,$AR809)="","",INDEX(Raw_D3!$K$2:$K$1001,$AR809)),"")))</f>
        <v>0.2273</v>
      </c>
      <c r="L809" s="16">
        <f>IF($A809="","",IF($AQ809&lt;&gt;"",IF(INDEX(Raw_D2!$D$2:$D$1001,$AQ809)="","",INDEX(Raw_D2!$D$2:$D$1001,$AQ809)),IF($AR809&lt;&gt;"",IF(INDEX(Raw_D3!$L$2:$L$1001,$AR809)="","",INDEX(Raw_D3!$L$2:$L$1001,$AR809)),"")))</f>
        <v>0.6</v>
      </c>
      <c r="M809" s="17">
        <f>IF($A809="","",IF($AQ809&lt;&gt;"",IF(INDEX(Raw_D2!$E$2:$E$1001,$AQ809)="","",INDEX(Raw_D2!$E$2:$E$1001,$AQ809)),IF($AR809&lt;&gt;"",IF(INDEX(Raw_D3!$M$2:$M$1001,$AR809)="","",INDEX(Raw_D3!$M$2:$M$1001,$AR809)),"")))</f>
        <v>0.3284</v>
      </c>
      <c r="N809" s="5">
        <f>IF($A809="","",IF($AQ809&lt;&gt;"",IF(INDEX(Raw_D2!$F$2:$F$1001,$AQ809)="","",INDEX(Raw_D2!$F$2:$F$1001,$AQ809)),IF($AR809&lt;&gt;"",IF(INDEX(Raw_D3!$N$2:$N$1001,$AR809)="","",INDEX(Raw_D3!$N$2:$N$1001,$AR809)),"")))</f>
        <v>0</v>
      </c>
      <c r="O809" s="5">
        <f>IF($A809="","",IF($AQ809&lt;&gt;"",IF(INDEX(Raw_D2!$G$2:$G$1001,$AQ809)="","",INDEX(Raw_D2!$G$2:$G$1001,$AQ809)),IF($AR809&lt;&gt;"",IF(INDEX(Raw_D3!$O$2:$O$1001,$AR809)="","",INDEX(Raw_D3!$O$2:$O$1001,$AR809)),"")))</f>
        <v>20</v>
      </c>
      <c r="P809" s="5">
        <f>IF($A809="","",IF($AQ809&lt;&gt;"",IF(INDEX(Raw_D2!$H$2:$H$1001,$AQ809)="","",INDEX(Raw_D2!$H$2:$H$1001,$AQ809)),IF($AR809&lt;&gt;"",IF(INDEX(Raw_D3!$P$2:$P$1001,$AR809)="","",INDEX(Raw_D3!$P$2:$P$1001,$AR809)),"")))</f>
        <v>20</v>
      </c>
      <c r="Q809" s="5" t="str">
        <f>IF($A809="","",IF(AND($AP809&lt;&gt;"",$AQ809&lt;&gt;""),"D1+D2",IF($AR809&lt;&gt;"","D3","Incomplete")))</f>
        <v>D3</v>
      </c>
      <c r="R809" s="17">
        <f>IF($A809="","",IF($K809="",IF($J809="","",ROUND(Lookups!$K$5+Lookups!$K$4*$J809,4)),$K809))</f>
        <v>0.2273</v>
      </c>
      <c r="S809" s="5" t="str">
        <f>IF($A809="","",IF($K809="","Imputed","Original"))</f>
        <v>Original</v>
      </c>
      <c r="T809" s="5" t="str">
        <f>IF($A809="","",IF($P809="","Missing",IF($P809=$N809+$O809,"OK","Mismatch")))</f>
        <v>OK</v>
      </c>
      <c r="U809" s="5" t="str">
        <f>IF($A809="","",IF(COUNTIF($A$2:$A809,$A809)&gt;1,"Duplicate","Unique"))</f>
        <v>Unique</v>
      </c>
      <c r="V809" s="5">
        <f>IF($A809="","",IF(AND($U809="Unique",ISNUMBER($P809)),1,0))</f>
        <v>1</v>
      </c>
      <c r="W809" s="5" t="str">
        <f>IF($A809="","",IF(OR($H809=0,$H809=6),"Weekend","Weekday"))</f>
        <v>Weekend</v>
      </c>
      <c r="X809" s="5" t="str">
        <f>IF($A809="","",TEXT($B809,"ddd"))</f>
        <v>Sun</v>
      </c>
      <c r="Y809" s="5" t="str">
        <f>IF($A809="","",TEXT($B809,"mmm"))</f>
        <v>Feb</v>
      </c>
      <c r="Z809" s="5" t="str">
        <f>IF($A809="","",IFERROR(VLOOKUP($C809,Lookups!$D$4:$E$7,2,FALSE),"Unknown"))</f>
        <v>Winter</v>
      </c>
      <c r="AA809" s="5" t="str">
        <f>IF($A809="","",IFERROR(VLOOKUP($I809,Lookups!$A$4:$B$7,2,FALSE),"Unknown"))</f>
        <v>Clear</v>
      </c>
      <c r="AB809" s="5" t="str">
        <f>IF($A809="","",TEXT($F809,"00")&amp;":00")</f>
        <v>02:00</v>
      </c>
      <c r="AC809" s="5" t="str">
        <f>IF($A809="","",VLOOKUP($F809,Lookups!$G$4:$H$8,2,TRUE))</f>
        <v>Night (00-05)</v>
      </c>
      <c r="AD809" s="18">
        <f>IF($A809="","",IF($J809="","",ROUND($J809*41,1)))</f>
        <v>10.7</v>
      </c>
      <c r="AE809" s="18">
        <f>IF($A809="","",IF($R809="","",ROUND($R809*50,1)))</f>
        <v>11.4</v>
      </c>
      <c r="AF809" s="5">
        <f>IF($A809="","",IF($L809="","",ROUND($L809*100,0)))</f>
        <v>60</v>
      </c>
      <c r="AG809" s="18">
        <f>IF($A809="","",IF($M809="","",ROUND($M809*67,1)))</f>
        <v>22</v>
      </c>
      <c r="AH809" s="19">
        <f>IF($A809="","",IF($P809="","",IF($P809=0,0,$O809/$P809)))</f>
        <v>1</v>
      </c>
      <c r="AI809" s="5" t="str">
        <f>IF($A809="","",IF($P809="","",IF($P809&gt;=Lookups!$K$7,"High",IF($P809&lt;=Lookups!$K$8,"Low","Medium"))))</f>
        <v>Medium</v>
      </c>
      <c r="AJ809" s="5" t="str">
        <f>IF($A809="","",IF($AD809="","",IF($AD809&lt;5,"Under 5 C",IF($AD809&lt;10,"5-10 C",IF($AD809&lt;15,"10-15 C","15 C and above")))))</f>
        <v>10-15 C</v>
      </c>
      <c r="AK809" s="5">
        <f>IF($A809="","",IF($P809="","",$P809^2))</f>
        <v>400</v>
      </c>
      <c r="AL809" s="18">
        <f>IF($V809&lt;&gt;1,"",AVERAGEIFS(Clean_Data!$P$2:$P$1001,Clean_Data!$F$2:$F$1001,$F809,Clean_Data!$W$2:$W$1001,$W809,Clean_Data!$V$2:$V$1001,1))</f>
        <v>15.9285714285714</v>
      </c>
      <c r="AM809" s="16">
        <f>IF($V809&lt;&gt;1,"",IFERROR(($P809-$AL809)/SQRT(MAX(0,(SUMIFS(Clean_Data!$AK$2:$AK$1001,Clean_Data!$F$2:$F$1001,$F809,Clean_Data!$W$2:$W$1001,$W809,Clean_Data!$V$2:$V$1001,1)-COUNTIFS(Clean_Data!$F$2:$F$1001,$F809,Clean_Data!$W$2:$W$1001,$W809,Clean_Data!$V$2:$V$1001,1)*$AL809^2)/(COUNTIFS(Clean_Data!$F$2:$F$1001,$F809,Clean_Data!$W$2:$W$1001,$W809,Clean_Data!$V$2:$V$1001,1)-1))),""))</f>
        <v>0.703897668913331</v>
      </c>
      <c r="AN809" s="5" t="str">
        <f>IF($AM809="","",IF($AM809&gt;=Lookups!$K$6,"High spike",IF($AM809&lt;=-Lookups!$K$6,"Unusual low","Normal")))</f>
        <v>Normal</v>
      </c>
      <c r="AO809" s="20">
        <f>IF($V809&lt;&gt;1,"",$P809+ROW()/100000)</f>
        <v>20.00809</v>
      </c>
      <c r="AP809" s="5">
        <f>IF($A809="","",IFERROR(MATCH($A809,Raw_D1!$A$2:$A$1001,0),""))</f>
        <v/>
      </c>
      <c r="AQ809" s="5">
        <f>IF($A809="","",IFERROR(MATCH($A809,Raw_D2!$B$2:$B$1001,0),""))</f>
        <v/>
      </c>
      <c r="AR809" s="5">
        <f>IF($A809="","",IFERROR(MATCH($A809,Raw_D3!$A$2:$A$1001,0),""))</f>
        <v>189</v>
      </c>
    </row>
    <row r="810" spans="1:44" x14ac:dyDescent="0.25">
      <c r="A810" s="5">
        <v>809</v>
      </c>
      <c r="B810" s="11">
        <f>IF($A810="","",IF($AP810&lt;&gt;"",INDEX(Raw_D1!$B$2:$B$1001,$AP810),IF($AR810&lt;&gt;"",INDEX(Raw_D3!$B$2:$B$1001,$AR810),"")))</f>
        <v>40580.0</v>
      </c>
      <c r="C810" s="5">
        <f>IF($A810="","",IF($AP810&lt;&gt;"",INDEX(Raw_D1!$C$2:$C$1001,$AP810),IF($AR810&lt;&gt;"",INDEX(Raw_D3!$C$2:$C$1001,$AR810),"")))</f>
        <v>1</v>
      </c>
      <c r="D810" s="5">
        <f>IF($A810="","",IF($AP810&lt;&gt;"",INDEX(Raw_D1!$D$2:$D$1001,$AP810),IF($AR810&lt;&gt;"",INDEX(Raw_D3!$D$2:$D$1001,$AR810),"")))</f>
        <v>0</v>
      </c>
      <c r="E810" s="5">
        <f>IF($A810="","",IF($AP810&lt;&gt;"",INDEX(Raw_D1!$E$2:$E$1001,$AP810),IF($AR810&lt;&gt;"",INDEX(Raw_D3!$E$2:$E$1001,$AR810),"")))</f>
        <v>2</v>
      </c>
      <c r="F810" s="5">
        <f>IF($A810="","",IF($AP810&lt;&gt;"",INDEX(Raw_D1!$F$2:$F$1001,$AP810),IF($AR810&lt;&gt;"",INDEX(Raw_D3!$F$2:$F$1001,$AR810),"")))</f>
        <v>3</v>
      </c>
      <c r="G810" s="5">
        <f>IF($A810="","",IF($AP810&lt;&gt;"",IF(INDEX(Raw_D1!$G$2:$G$1001,$AP810),1,0),IF($AR810&lt;&gt;"",IF(INDEX(Raw_D3!$G$2:$G$1001,$AR810),1,0),"")))</f>
        <v>0</v>
      </c>
      <c r="H810" s="5">
        <f>IF($A810="","",IF($AP810&lt;&gt;"",INDEX(Raw_D1!$H$2:$H$1001,$AP810),IF($AR810&lt;&gt;"",INDEX(Raw_D3!$H$2:$H$1001,$AR810),"")))</f>
        <v>0</v>
      </c>
      <c r="I810" s="5">
        <f>IF($A810="","",IF($AP810&lt;&gt;"",INDEX(Raw_D1!$I$2:$I$1001,$AP810),IF($AR810&lt;&gt;"",INDEX(Raw_D3!$I$2:$I$1001,$AR810),"")))</f>
        <v>1</v>
      </c>
      <c r="J810" s="16">
        <f>IF($A810="","",IF($AP810&lt;&gt;"",INDEX(Raw_D1!$J$2:$J$1001,$AP810),IF($AR810&lt;&gt;"",INDEX(Raw_D3!$J$2:$J$1001,$AR810),"")))</f>
        <v>0.26</v>
      </c>
      <c r="K810" s="17">
        <f>IF($A810="","",IF($AQ810&lt;&gt;"",IF(INDEX(Raw_D2!$C$2:$C$1001,$AQ810)="","",INDEX(Raw_D2!$C$2:$C$1001,$AQ810)),IF($AR810&lt;&gt;"",IF(INDEX(Raw_D3!$K$2:$K$1001,$AR810)="","",INDEX(Raw_D3!$K$2:$K$1001,$AR810)),"")))</f>
        <v>0.2879</v>
      </c>
      <c r="L810" s="16">
        <f>IF($A810="","",IF($AQ810&lt;&gt;"",IF(INDEX(Raw_D2!$D$2:$D$1001,$AQ810)="","",INDEX(Raw_D2!$D$2:$D$1001,$AQ810)),IF($AR810&lt;&gt;"",IF(INDEX(Raw_D3!$L$2:$L$1001,$AR810)="","",INDEX(Raw_D3!$L$2:$L$1001,$AR810)),"")))</f>
        <v>0.6</v>
      </c>
      <c r="M810" s="17">
        <f>IF($A810="","",IF($AQ810&lt;&gt;"",IF(INDEX(Raw_D2!$E$2:$E$1001,$AQ810)="","",INDEX(Raw_D2!$E$2:$E$1001,$AQ810)),IF($AR810&lt;&gt;"",IF(INDEX(Raw_D3!$M$2:$M$1001,$AR810)="","",INDEX(Raw_D3!$M$2:$M$1001,$AR810)),"")))</f>
        <v>0.0896</v>
      </c>
      <c r="N810" s="5">
        <f>IF($A810="","",IF($AQ810&lt;&gt;"",IF(INDEX(Raw_D2!$F$2:$F$1001,$AQ810)="","",INDEX(Raw_D2!$F$2:$F$1001,$AQ810)),IF($AR810&lt;&gt;"",IF(INDEX(Raw_D3!$N$2:$N$1001,$AR810)="","",INDEX(Raw_D3!$N$2:$N$1001,$AR810)),"")))</f>
        <v>3</v>
      </c>
      <c r="O810" s="5">
        <f>IF($A810="","",IF($AQ810&lt;&gt;"",IF(INDEX(Raw_D2!$G$2:$G$1001,$AQ810)="","",INDEX(Raw_D2!$G$2:$G$1001,$AQ810)),IF($AR810&lt;&gt;"",IF(INDEX(Raw_D3!$O$2:$O$1001,$AR810)="","",INDEX(Raw_D3!$O$2:$O$1001,$AR810)),"")))</f>
        <v>10</v>
      </c>
      <c r="P810" s="5">
        <f>IF($A810="","",IF($AQ810&lt;&gt;"",IF(INDEX(Raw_D2!$H$2:$H$1001,$AQ810)="","",INDEX(Raw_D2!$H$2:$H$1001,$AQ810)),IF($AR810&lt;&gt;"",IF(INDEX(Raw_D3!$P$2:$P$1001,$AR810)="","",INDEX(Raw_D3!$P$2:$P$1001,$AR810)),"")))</f>
        <v>13</v>
      </c>
      <c r="Q810" s="5" t="str">
        <f>IF($A810="","",IF(AND($AP810&lt;&gt;"",$AQ810&lt;&gt;""),"D1+D2",IF($AR810&lt;&gt;"","D3","Incomplete")))</f>
        <v>D3</v>
      </c>
      <c r="R810" s="17">
        <f>IF($A810="","",IF($K810="",IF($J810="","",ROUND(Lookups!$K$5+Lookups!$K$4*$J810,4)),$K810))</f>
        <v>0.2879</v>
      </c>
      <c r="S810" s="5" t="str">
        <f>IF($A810="","",IF($K810="","Imputed","Original"))</f>
        <v>Original</v>
      </c>
      <c r="T810" s="5" t="str">
        <f>IF($A810="","",IF($P810="","Missing",IF($P810=$N810+$O810,"OK","Mismatch")))</f>
        <v>OK</v>
      </c>
      <c r="U810" s="5" t="str">
        <f>IF($A810="","",IF(COUNTIF($A$2:$A810,$A810)&gt;1,"Duplicate","Unique"))</f>
        <v>Unique</v>
      </c>
      <c r="V810" s="5">
        <f>IF($A810="","",IF(AND($U810="Unique",ISNUMBER($P810)),1,0))</f>
        <v>1</v>
      </c>
      <c r="W810" s="5" t="str">
        <f>IF($A810="","",IF(OR($H810=0,$H810=6),"Weekend","Weekday"))</f>
        <v>Weekend</v>
      </c>
      <c r="X810" s="5" t="str">
        <f>IF($A810="","",TEXT($B810,"ddd"))</f>
        <v>Sun</v>
      </c>
      <c r="Y810" s="5" t="str">
        <f>IF($A810="","",TEXT($B810,"mmm"))</f>
        <v>Feb</v>
      </c>
      <c r="Z810" s="5" t="str">
        <f>IF($A810="","",IFERROR(VLOOKUP($C810,Lookups!$D$4:$E$7,2,FALSE),"Unknown"))</f>
        <v>Winter</v>
      </c>
      <c r="AA810" s="5" t="str">
        <f>IF($A810="","",IFERROR(VLOOKUP($I810,Lookups!$A$4:$B$7,2,FALSE),"Unknown"))</f>
        <v>Clear</v>
      </c>
      <c r="AB810" s="5" t="str">
        <f>IF($A810="","",TEXT($F810,"00")&amp;":00")</f>
        <v>03:00</v>
      </c>
      <c r="AC810" s="5" t="str">
        <f>IF($A810="","",VLOOKUP($F810,Lookups!$G$4:$H$8,2,TRUE))</f>
        <v>Night (00-05)</v>
      </c>
      <c r="AD810" s="18">
        <f>IF($A810="","",IF($J810="","",ROUND($J810*41,1)))</f>
        <v>10.7</v>
      </c>
      <c r="AE810" s="18">
        <f>IF($A810="","",IF($R810="","",ROUND($R810*50,1)))</f>
        <v>14.4</v>
      </c>
      <c r="AF810" s="5">
        <f>IF($A810="","",IF($L810="","",ROUND($L810*100,0)))</f>
        <v>60</v>
      </c>
      <c r="AG810" s="18">
        <f>IF($A810="","",IF($M810="","",ROUND($M810*67,1)))</f>
        <v>6</v>
      </c>
      <c r="AH810" s="19">
        <f>IF($A810="","",IF($P810="","",IF($P810=0,0,$O810/$P810)))</f>
        <v>0.769230769230769</v>
      </c>
      <c r="AI810" s="5" t="str">
        <f>IF($A810="","",IF($P810="","",IF($P810&gt;=Lookups!$K$7,"High",IF($P810&lt;=Lookups!$K$8,"Low","Medium"))))</f>
        <v>Low</v>
      </c>
      <c r="AJ810" s="5" t="str">
        <f>IF($A810="","",IF($AD810="","",IF($AD810&lt;5,"Under 5 C",IF($AD810&lt;10,"5-10 C",IF($AD810&lt;15,"10-15 C","15 C and above")))))</f>
        <v>10-15 C</v>
      </c>
      <c r="AK810" s="5">
        <f>IF($A810="","",IF($P810="","",$P810^2))</f>
        <v>169</v>
      </c>
      <c r="AL810" s="18">
        <f>IF($V810&lt;&gt;1,"",AVERAGEIFS(Clean_Data!$P$2:$P$1001,Clean_Data!$F$2:$F$1001,$F810,Clean_Data!$W$2:$W$1001,$W810,Clean_Data!$V$2:$V$1001,1))</f>
        <v>9.07142857142857</v>
      </c>
      <c r="AM810" s="16">
        <f>IF($V810&lt;&gt;1,"",IFERROR(($P810-$AL810)/SQRT(MAX(0,(SUMIFS(Clean_Data!$AK$2:$AK$1001,Clean_Data!$F$2:$F$1001,$F810,Clean_Data!$W$2:$W$1001,$W810,Clean_Data!$V$2:$V$1001,1)-COUNTIFS(Clean_Data!$F$2:$F$1001,$F810,Clean_Data!$W$2:$W$1001,$W810,Clean_Data!$V$2:$V$1001,1)*$AL810^2)/(COUNTIFS(Clean_Data!$F$2:$F$1001,$F810,Clean_Data!$W$2:$W$1001,$W810,Clean_Data!$V$2:$V$1001,1)-1))),""))</f>
        <v>1.18480479595249</v>
      </c>
      <c r="AN810" s="5" t="str">
        <f>IF($AM810="","",IF($AM810&gt;=Lookups!$K$6,"High spike",IF($AM810&lt;=-Lookups!$K$6,"Unusual low","Normal")))</f>
        <v>Normal</v>
      </c>
      <c r="AO810" s="20">
        <f>IF($V810&lt;&gt;1,"",$P810+ROW()/100000)</f>
        <v>13.0081</v>
      </c>
      <c r="AP810" s="5">
        <f>IF($A810="","",IFERROR(MATCH($A810,Raw_D1!$A$2:$A$1001,0),""))</f>
        <v/>
      </c>
      <c r="AQ810" s="5">
        <f>IF($A810="","",IFERROR(MATCH($A810,Raw_D2!$B$2:$B$1001,0),""))</f>
        <v/>
      </c>
      <c r="AR810" s="5">
        <f>IF($A810="","",IFERROR(MATCH($A810,Raw_D3!$A$2:$A$1001,0),""))</f>
        <v>190</v>
      </c>
    </row>
    <row r="811" spans="1:44" x14ac:dyDescent="0.25">
      <c r="A811" s="5">
        <v>810</v>
      </c>
      <c r="B811" s="11">
        <f>IF($A811="","",IF($AP811&lt;&gt;"",INDEX(Raw_D1!$B$2:$B$1001,$AP811),IF($AR811&lt;&gt;"",INDEX(Raw_D3!$B$2:$B$1001,$AR811),"")))</f>
        <v>40580.0</v>
      </c>
      <c r="C811" s="5">
        <f>IF($A811="","",IF($AP811&lt;&gt;"",INDEX(Raw_D1!$C$2:$C$1001,$AP811),IF($AR811&lt;&gt;"",INDEX(Raw_D3!$C$2:$C$1001,$AR811),"")))</f>
        <v>1</v>
      </c>
      <c r="D811" s="5">
        <f>IF($A811="","",IF($AP811&lt;&gt;"",INDEX(Raw_D1!$D$2:$D$1001,$AP811),IF($AR811&lt;&gt;"",INDEX(Raw_D3!$D$2:$D$1001,$AR811),"")))</f>
        <v>0</v>
      </c>
      <c r="E811" s="5">
        <f>IF($A811="","",IF($AP811&lt;&gt;"",INDEX(Raw_D1!$E$2:$E$1001,$AP811),IF($AR811&lt;&gt;"",INDEX(Raw_D3!$E$2:$E$1001,$AR811),"")))</f>
        <v>2</v>
      </c>
      <c r="F811" s="5">
        <f>IF($A811="","",IF($AP811&lt;&gt;"",INDEX(Raw_D1!$F$2:$F$1001,$AP811),IF($AR811&lt;&gt;"",INDEX(Raw_D3!$F$2:$F$1001,$AR811),"")))</f>
        <v>4</v>
      </c>
      <c r="G811" s="5">
        <f>IF($A811="","",IF($AP811&lt;&gt;"",IF(INDEX(Raw_D1!$G$2:$G$1001,$AP811),1,0),IF($AR811&lt;&gt;"",IF(INDEX(Raw_D3!$G$2:$G$1001,$AR811),1,0),"")))</f>
        <v>0</v>
      </c>
      <c r="H811" s="5">
        <f>IF($A811="","",IF($AP811&lt;&gt;"",INDEX(Raw_D1!$H$2:$H$1001,$AP811),IF($AR811&lt;&gt;"",INDEX(Raw_D3!$H$2:$H$1001,$AR811),"")))</f>
        <v>0</v>
      </c>
      <c r="I811" s="5">
        <f>IF($A811="","",IF($AP811&lt;&gt;"",INDEX(Raw_D1!$I$2:$I$1001,$AP811),IF($AR811&lt;&gt;"",INDEX(Raw_D3!$I$2:$I$1001,$AR811),"")))</f>
        <v>1</v>
      </c>
      <c r="J811" s="16">
        <f>IF($A811="","",IF($AP811&lt;&gt;"",INDEX(Raw_D1!$J$2:$J$1001,$AP811),IF($AR811&lt;&gt;"",INDEX(Raw_D3!$J$2:$J$1001,$AR811),"")))</f>
        <v>0.26</v>
      </c>
      <c r="K811" s="17">
        <f>IF($A811="","",IF($AQ811&lt;&gt;"",IF(INDEX(Raw_D2!$C$2:$C$1001,$AQ811)="","",INDEX(Raw_D2!$C$2:$C$1001,$AQ811)),IF($AR811&lt;&gt;"",IF(INDEX(Raw_D3!$K$2:$K$1001,$AR811)="","",INDEX(Raw_D3!$K$2:$K$1001,$AR811)),"")))</f>
        <v>0.2273</v>
      </c>
      <c r="L811" s="16">
        <f>IF($A811="","",IF($AQ811&lt;&gt;"",IF(INDEX(Raw_D2!$D$2:$D$1001,$AQ811)="","",INDEX(Raw_D2!$D$2:$D$1001,$AQ811)),IF($AR811&lt;&gt;"",IF(INDEX(Raw_D3!$L$2:$L$1001,$AR811)="","",INDEX(Raw_D3!$L$2:$L$1001,$AR811)),"")))</f>
        <v>0.6</v>
      </c>
      <c r="M811" s="17">
        <f>IF($A811="","",IF($AQ811&lt;&gt;"",IF(INDEX(Raw_D2!$E$2:$E$1001,$AQ811)="","",INDEX(Raw_D2!$E$2:$E$1001,$AQ811)),IF($AR811&lt;&gt;"",IF(INDEX(Raw_D3!$M$2:$M$1001,$AR811)="","",INDEX(Raw_D3!$M$2:$M$1001,$AR811)),"")))</f>
        <v>0.3582</v>
      </c>
      <c r="N811" s="5">
        <f>IF($A811="","",IF($AQ811&lt;&gt;"",IF(INDEX(Raw_D2!$F$2:$F$1001,$AQ811)="","",INDEX(Raw_D2!$F$2:$F$1001,$AQ811)),IF($AR811&lt;&gt;"",IF(INDEX(Raw_D3!$N$2:$N$1001,$AR811)="","",INDEX(Raw_D3!$N$2:$N$1001,$AR811)),"")))</f>
        <v>0</v>
      </c>
      <c r="O811" s="5">
        <f>IF($A811="","",IF($AQ811&lt;&gt;"",IF(INDEX(Raw_D2!$G$2:$G$1001,$AQ811)="","",INDEX(Raw_D2!$G$2:$G$1001,$AQ811)),IF($AR811&lt;&gt;"",IF(INDEX(Raw_D3!$O$2:$O$1001,$AR811)="","",INDEX(Raw_D3!$O$2:$O$1001,$AR811)),"")))</f>
        <v>2</v>
      </c>
      <c r="P811" s="5">
        <f>IF($A811="","",IF($AQ811&lt;&gt;"",IF(INDEX(Raw_D2!$H$2:$H$1001,$AQ811)="","",INDEX(Raw_D2!$H$2:$H$1001,$AQ811)),IF($AR811&lt;&gt;"",IF(INDEX(Raw_D3!$P$2:$P$1001,$AR811)="","",INDEX(Raw_D3!$P$2:$P$1001,$AR811)),"")))</f>
        <v>2</v>
      </c>
      <c r="Q811" s="5" t="str">
        <f>IF($A811="","",IF(AND($AP811&lt;&gt;"",$AQ811&lt;&gt;""),"D1+D2",IF($AR811&lt;&gt;"","D3","Incomplete")))</f>
        <v>D3</v>
      </c>
      <c r="R811" s="17">
        <f>IF($A811="","",IF($K811="",IF($J811="","",ROUND(Lookups!$K$5+Lookups!$K$4*$J811,4)),$K811))</f>
        <v>0.2273</v>
      </c>
      <c r="S811" s="5" t="str">
        <f>IF($A811="","",IF($K811="","Imputed","Original"))</f>
        <v>Original</v>
      </c>
      <c r="T811" s="5" t="str">
        <f>IF($A811="","",IF($P811="","Missing",IF($P811=$N811+$O811,"OK","Mismatch")))</f>
        <v>OK</v>
      </c>
      <c r="U811" s="5" t="str">
        <f>IF($A811="","",IF(COUNTIF($A$2:$A811,$A811)&gt;1,"Duplicate","Unique"))</f>
        <v>Unique</v>
      </c>
      <c r="V811" s="5">
        <f>IF($A811="","",IF(AND($U811="Unique",ISNUMBER($P811)),1,0))</f>
        <v>1</v>
      </c>
      <c r="W811" s="5" t="str">
        <f>IF($A811="","",IF(OR($H811=0,$H811=6),"Weekend","Weekday"))</f>
        <v>Weekend</v>
      </c>
      <c r="X811" s="5" t="str">
        <f>IF($A811="","",TEXT($B811,"ddd"))</f>
        <v>Sun</v>
      </c>
      <c r="Y811" s="5" t="str">
        <f>IF($A811="","",TEXT($B811,"mmm"))</f>
        <v>Feb</v>
      </c>
      <c r="Z811" s="5" t="str">
        <f>IF($A811="","",IFERROR(VLOOKUP($C811,Lookups!$D$4:$E$7,2,FALSE),"Unknown"))</f>
        <v>Winter</v>
      </c>
      <c r="AA811" s="5" t="str">
        <f>IF($A811="","",IFERROR(VLOOKUP($I811,Lookups!$A$4:$B$7,2,FALSE),"Unknown"))</f>
        <v>Clear</v>
      </c>
      <c r="AB811" s="5" t="str">
        <f>IF($A811="","",TEXT($F811,"00")&amp;":00")</f>
        <v>04:00</v>
      </c>
      <c r="AC811" s="5" t="str">
        <f>IF($A811="","",VLOOKUP($F811,Lookups!$G$4:$H$8,2,TRUE))</f>
        <v>Night (00-05)</v>
      </c>
      <c r="AD811" s="18">
        <f>IF($A811="","",IF($J811="","",ROUND($J811*41,1)))</f>
        <v>10.7</v>
      </c>
      <c r="AE811" s="18">
        <f>IF($A811="","",IF($R811="","",ROUND($R811*50,1)))</f>
        <v>11.4</v>
      </c>
      <c r="AF811" s="5">
        <f>IF($A811="","",IF($L811="","",ROUND($L811*100,0)))</f>
        <v>60</v>
      </c>
      <c r="AG811" s="18">
        <f>IF($A811="","",IF($M811="","",ROUND($M811*67,1)))</f>
        <v>24</v>
      </c>
      <c r="AH811" s="19">
        <f>IF($A811="","",IF($P811="","",IF($P811=0,0,$O811/$P811)))</f>
        <v>1</v>
      </c>
      <c r="AI811" s="5" t="str">
        <f>IF($A811="","",IF($P811="","",IF($P811&gt;=Lookups!$K$7,"High",IF($P811&lt;=Lookups!$K$8,"Low","Medium"))))</f>
        <v>Low</v>
      </c>
      <c r="AJ811" s="5" t="str">
        <f>IF($A811="","",IF($AD811="","",IF($AD811&lt;5,"Under 5 C",IF($AD811&lt;10,"5-10 C",IF($AD811&lt;15,"10-15 C","15 C and above")))))</f>
        <v>10-15 C</v>
      </c>
      <c r="AK811" s="5">
        <f>IF($A811="","",IF($P811="","",$P811^2))</f>
        <v>4</v>
      </c>
      <c r="AL811" s="18">
        <f>IF($V811&lt;&gt;1,"",AVERAGEIFS(Clean_Data!$P$2:$P$1001,Clean_Data!$F$2:$F$1001,$F811,Clean_Data!$W$2:$W$1001,$W811,Clean_Data!$V$2:$V$1001,1))</f>
        <v>2.69230769230769</v>
      </c>
      <c r="AM811" s="16">
        <f>IF($V811&lt;&gt;1,"",IFERROR(($P811-$AL811)/SQRT(MAX(0,(SUMIFS(Clean_Data!$AK$2:$AK$1001,Clean_Data!$F$2:$F$1001,$F811,Clean_Data!$W$2:$W$1001,$W811,Clean_Data!$V$2:$V$1001,1)-COUNTIFS(Clean_Data!$F$2:$F$1001,$F811,Clean_Data!$W$2:$W$1001,$W811,Clean_Data!$V$2:$V$1001,1)*$AL811^2)/(COUNTIFS(Clean_Data!$F$2:$F$1001,$F811,Clean_Data!$W$2:$W$1001,$W811,Clean_Data!$V$2:$V$1001,1)-1))),""))</f>
        <v>-0.336580916403045</v>
      </c>
      <c r="AN811" s="5" t="str">
        <f>IF($AM811="","",IF($AM811&gt;=Lookups!$K$6,"High spike",IF($AM811&lt;=-Lookups!$K$6,"Unusual low","Normal")))</f>
        <v>Normal</v>
      </c>
      <c r="AO811" s="20">
        <f>IF($V811&lt;&gt;1,"",$P811+ROW()/100000)</f>
        <v>2.00811</v>
      </c>
      <c r="AP811" s="5">
        <f>IF($A811="","",IFERROR(MATCH($A811,Raw_D1!$A$2:$A$1001,0),""))</f>
        <v/>
      </c>
      <c r="AQ811" s="5">
        <f>IF($A811="","",IFERROR(MATCH($A811,Raw_D2!$B$2:$B$1001,0),""))</f>
        <v/>
      </c>
      <c r="AR811" s="5">
        <f>IF($A811="","",IFERROR(MATCH($A811,Raw_D3!$A$2:$A$1001,0),""))</f>
        <v>191</v>
      </c>
    </row>
    <row r="812" spans="1:44" x14ac:dyDescent="0.25">
      <c r="A812" s="5">
        <v>811</v>
      </c>
      <c r="B812" s="11">
        <f>IF($A812="","",IF($AP812&lt;&gt;"",INDEX(Raw_D1!$B$2:$B$1001,$AP812),IF($AR812&lt;&gt;"",INDEX(Raw_D3!$B$2:$B$1001,$AR812),"")))</f>
        <v>40580.0</v>
      </c>
      <c r="C812" s="5">
        <f>IF($A812="","",IF($AP812&lt;&gt;"",INDEX(Raw_D1!$C$2:$C$1001,$AP812),IF($AR812&lt;&gt;"",INDEX(Raw_D3!$C$2:$C$1001,$AR812),"")))</f>
        <v>1</v>
      </c>
      <c r="D812" s="5">
        <f>IF($A812="","",IF($AP812&lt;&gt;"",INDEX(Raw_D1!$D$2:$D$1001,$AP812),IF($AR812&lt;&gt;"",INDEX(Raw_D3!$D$2:$D$1001,$AR812),"")))</f>
        <v>0</v>
      </c>
      <c r="E812" s="5">
        <f>IF($A812="","",IF($AP812&lt;&gt;"",INDEX(Raw_D1!$E$2:$E$1001,$AP812),IF($AR812&lt;&gt;"",INDEX(Raw_D3!$E$2:$E$1001,$AR812),"")))</f>
        <v>2</v>
      </c>
      <c r="F812" s="5">
        <f>IF($A812="","",IF($AP812&lt;&gt;"",INDEX(Raw_D1!$F$2:$F$1001,$AP812),IF($AR812&lt;&gt;"",INDEX(Raw_D3!$F$2:$F$1001,$AR812),"")))</f>
        <v>5</v>
      </c>
      <c r="G812" s="5">
        <f>IF($A812="","",IF($AP812&lt;&gt;"",IF(INDEX(Raw_D1!$G$2:$G$1001,$AP812),1,0),IF($AR812&lt;&gt;"",IF(INDEX(Raw_D3!$G$2:$G$1001,$AR812),1,0),"")))</f>
        <v>0</v>
      </c>
      <c r="H812" s="5">
        <f>IF($A812="","",IF($AP812&lt;&gt;"",INDEX(Raw_D1!$H$2:$H$1001,$AP812),IF($AR812&lt;&gt;"",INDEX(Raw_D3!$H$2:$H$1001,$AR812),"")))</f>
        <v>0</v>
      </c>
      <c r="I812" s="5">
        <f>IF($A812="","",IF($AP812&lt;&gt;"",INDEX(Raw_D1!$I$2:$I$1001,$AP812),IF($AR812&lt;&gt;"",INDEX(Raw_D3!$I$2:$I$1001,$AR812),"")))</f>
        <v>1</v>
      </c>
      <c r="J812" s="16">
        <f>IF($A812="","",IF($AP812&lt;&gt;"",INDEX(Raw_D1!$J$2:$J$1001,$AP812),IF($AR812&lt;&gt;"",INDEX(Raw_D3!$J$2:$J$1001,$AR812),"")))</f>
        <v>0.26</v>
      </c>
      <c r="K812" s="17">
        <f>IF($A812="","",IF($AQ812&lt;&gt;"",IF(INDEX(Raw_D2!$C$2:$C$1001,$AQ812)="","",INDEX(Raw_D2!$C$2:$C$1001,$AQ812)),IF($AR812&lt;&gt;"",IF(INDEX(Raw_D3!$K$2:$K$1001,$AR812)="","",INDEX(Raw_D3!$K$2:$K$1001,$AR812)),"")))</f>
        <v>0.2576</v>
      </c>
      <c r="L812" s="16">
        <f>IF($A812="","",IF($AQ812&lt;&gt;"",IF(INDEX(Raw_D2!$D$2:$D$1001,$AQ812)="","",INDEX(Raw_D2!$D$2:$D$1001,$AQ812)),IF($AR812&lt;&gt;"",IF(INDEX(Raw_D3!$L$2:$L$1001,$AR812)="","",INDEX(Raw_D3!$L$2:$L$1001,$AR812)),"")))</f>
        <v>0.6</v>
      </c>
      <c r="M812" s="17">
        <f>IF($A812="","",IF($AQ812&lt;&gt;"",IF(INDEX(Raw_D2!$E$2:$E$1001,$AQ812)="","",INDEX(Raw_D2!$E$2:$E$1001,$AQ812)),IF($AR812&lt;&gt;"",IF(INDEX(Raw_D3!$M$2:$M$1001,$AR812)="","",INDEX(Raw_D3!$M$2:$M$1001,$AR812)),"")))</f>
        <v>0.2239</v>
      </c>
      <c r="N812" s="5">
        <f>IF($A812="","",IF($AQ812&lt;&gt;"",IF(INDEX(Raw_D2!$F$2:$F$1001,$AQ812)="","",INDEX(Raw_D2!$F$2:$F$1001,$AQ812)),IF($AR812&lt;&gt;"",IF(INDEX(Raw_D3!$N$2:$N$1001,$AR812)="","",INDEX(Raw_D3!$N$2:$N$1001,$AR812)),"")))</f>
        <v>0</v>
      </c>
      <c r="O812" s="5">
        <f>IF($A812="","",IF($AQ812&lt;&gt;"",IF(INDEX(Raw_D2!$G$2:$G$1001,$AQ812)="","",INDEX(Raw_D2!$G$2:$G$1001,$AQ812)),IF($AR812&lt;&gt;"",IF(INDEX(Raw_D3!$O$2:$O$1001,$AR812)="","",INDEX(Raw_D3!$O$2:$O$1001,$AR812)),"")))</f>
        <v>1</v>
      </c>
      <c r="P812" s="5">
        <f>IF($A812="","",IF($AQ812&lt;&gt;"",IF(INDEX(Raw_D2!$H$2:$H$1001,$AQ812)="","",INDEX(Raw_D2!$H$2:$H$1001,$AQ812)),IF($AR812&lt;&gt;"",IF(INDEX(Raw_D3!$P$2:$P$1001,$AR812)="","",INDEX(Raw_D3!$P$2:$P$1001,$AR812)),"")))</f>
        <v>1</v>
      </c>
      <c r="Q812" s="5" t="str">
        <f>IF($A812="","",IF(AND($AP812&lt;&gt;"",$AQ812&lt;&gt;""),"D1+D2",IF($AR812&lt;&gt;"","D3","Incomplete")))</f>
        <v>D3</v>
      </c>
      <c r="R812" s="17">
        <f>IF($A812="","",IF($K812="",IF($J812="","",ROUND(Lookups!$K$5+Lookups!$K$4*$J812,4)),$K812))</f>
        <v>0.2576</v>
      </c>
      <c r="S812" s="5" t="str">
        <f>IF($A812="","",IF($K812="","Imputed","Original"))</f>
        <v>Original</v>
      </c>
      <c r="T812" s="5" t="str">
        <f>IF($A812="","",IF($P812="","Missing",IF($P812=$N812+$O812,"OK","Mismatch")))</f>
        <v>OK</v>
      </c>
      <c r="U812" s="5" t="str">
        <f>IF($A812="","",IF(COUNTIF($A$2:$A812,$A812)&gt;1,"Duplicate","Unique"))</f>
        <v>Unique</v>
      </c>
      <c r="V812" s="5">
        <f>IF($A812="","",IF(AND($U812="Unique",ISNUMBER($P812)),1,0))</f>
        <v>1</v>
      </c>
      <c r="W812" s="5" t="str">
        <f>IF($A812="","",IF(OR($H812=0,$H812=6),"Weekend","Weekday"))</f>
        <v>Weekend</v>
      </c>
      <c r="X812" s="5" t="str">
        <f>IF($A812="","",TEXT($B812,"ddd"))</f>
        <v>Sun</v>
      </c>
      <c r="Y812" s="5" t="str">
        <f>IF($A812="","",TEXT($B812,"mmm"))</f>
        <v>Feb</v>
      </c>
      <c r="Z812" s="5" t="str">
        <f>IF($A812="","",IFERROR(VLOOKUP($C812,Lookups!$D$4:$E$7,2,FALSE),"Unknown"))</f>
        <v>Winter</v>
      </c>
      <c r="AA812" s="5" t="str">
        <f>IF($A812="","",IFERROR(VLOOKUP($I812,Lookups!$A$4:$B$7,2,FALSE),"Unknown"))</f>
        <v>Clear</v>
      </c>
      <c r="AB812" s="5" t="str">
        <f>IF($A812="","",TEXT($F812,"00")&amp;":00")</f>
        <v>05:00</v>
      </c>
      <c r="AC812" s="5" t="str">
        <f>IF($A812="","",VLOOKUP($F812,Lookups!$G$4:$H$8,2,TRUE))</f>
        <v>Night (00-05)</v>
      </c>
      <c r="AD812" s="18">
        <f>IF($A812="","",IF($J812="","",ROUND($J812*41,1)))</f>
        <v>10.7</v>
      </c>
      <c r="AE812" s="18">
        <f>IF($A812="","",IF($R812="","",ROUND($R812*50,1)))</f>
        <v>12.9</v>
      </c>
      <c r="AF812" s="5">
        <f>IF($A812="","",IF($L812="","",ROUND($L812*100,0)))</f>
        <v>60</v>
      </c>
      <c r="AG812" s="18">
        <f>IF($A812="","",IF($M812="","",ROUND($M812*67,1)))</f>
        <v>15</v>
      </c>
      <c r="AH812" s="19">
        <f>IF($A812="","",IF($P812="","",IF($P812=0,0,$O812/$P812)))</f>
        <v>1</v>
      </c>
      <c r="AI812" s="5" t="str">
        <f>IF($A812="","",IF($P812="","",IF($P812&gt;=Lookups!$K$7,"High",IF($P812&lt;=Lookups!$K$8,"Low","Medium"))))</f>
        <v>Low</v>
      </c>
      <c r="AJ812" s="5" t="str">
        <f>IF($A812="","",IF($AD812="","",IF($AD812&lt;5,"Under 5 C",IF($AD812&lt;10,"5-10 C",IF($AD812&lt;15,"10-15 C","15 C and above")))))</f>
        <v>10-15 C</v>
      </c>
      <c r="AK812" s="5">
        <f>IF($A812="","",IF($P812="","",$P812^2))</f>
        <v>1</v>
      </c>
      <c r="AL812" s="18">
        <f>IF($V812&lt;&gt;1,"",AVERAGEIFS(Clean_Data!$P$2:$P$1001,Clean_Data!$F$2:$F$1001,$F812,Clean_Data!$W$2:$W$1001,$W812,Clean_Data!$V$2:$V$1001,1))</f>
        <v>2.7</v>
      </c>
      <c r="AM812" s="16">
        <f>IF($V812&lt;&gt;1,"",IFERROR(($P812-$AL812)/SQRT(MAX(0,(SUMIFS(Clean_Data!$AK$2:$AK$1001,Clean_Data!$F$2:$F$1001,$F812,Clean_Data!$W$2:$W$1001,$W812,Clean_Data!$V$2:$V$1001,1)-COUNTIFS(Clean_Data!$F$2:$F$1001,$F812,Clean_Data!$W$2:$W$1001,$W812,Clean_Data!$V$2:$V$1001,1)*$AL812^2)/(COUNTIFS(Clean_Data!$F$2:$F$1001,$F812,Clean_Data!$W$2:$W$1001,$W812,Clean_Data!$V$2:$V$1001,1)-1))),""))</f>
        <v>-0.65785918110418</v>
      </c>
      <c r="AN812" s="5" t="str">
        <f>IF($AM812="","",IF($AM812&gt;=Lookups!$K$6,"High spike",IF($AM812&lt;=-Lookups!$K$6,"Unusual low","Normal")))</f>
        <v>Normal</v>
      </c>
      <c r="AO812" s="20">
        <f>IF($V812&lt;&gt;1,"",$P812+ROW()/100000)</f>
        <v>1.00812</v>
      </c>
      <c r="AP812" s="5">
        <f>IF($A812="","",IFERROR(MATCH($A812,Raw_D1!$A$2:$A$1001,0),""))</f>
        <v/>
      </c>
      <c r="AQ812" s="5">
        <f>IF($A812="","",IFERROR(MATCH($A812,Raw_D2!$B$2:$B$1001,0),""))</f>
        <v/>
      </c>
      <c r="AR812" s="5">
        <f>IF($A812="","",IFERROR(MATCH($A812,Raw_D3!$A$2:$A$1001,0),""))</f>
        <v>192</v>
      </c>
    </row>
    <row r="813" spans="1:44" x14ac:dyDescent="0.25">
      <c r="A813" s="5">
        <v>812</v>
      </c>
      <c r="B813" s="11">
        <f>IF($A813="","",IF($AP813&lt;&gt;"",INDEX(Raw_D1!$B$2:$B$1001,$AP813),IF($AR813&lt;&gt;"",INDEX(Raw_D3!$B$2:$B$1001,$AR813),"")))</f>
        <v>40580.0</v>
      </c>
      <c r="C813" s="5">
        <f>IF($A813="","",IF($AP813&lt;&gt;"",INDEX(Raw_D1!$C$2:$C$1001,$AP813),IF($AR813&lt;&gt;"",INDEX(Raw_D3!$C$2:$C$1001,$AR813),"")))</f>
        <v>1</v>
      </c>
      <c r="D813" s="5">
        <f>IF($A813="","",IF($AP813&lt;&gt;"",INDEX(Raw_D1!$D$2:$D$1001,$AP813),IF($AR813&lt;&gt;"",INDEX(Raw_D3!$D$2:$D$1001,$AR813),"")))</f>
        <v>0</v>
      </c>
      <c r="E813" s="5">
        <f>IF($A813="","",IF($AP813&lt;&gt;"",INDEX(Raw_D1!$E$2:$E$1001,$AP813),IF($AR813&lt;&gt;"",INDEX(Raw_D3!$E$2:$E$1001,$AR813),"")))</f>
        <v>2</v>
      </c>
      <c r="F813" s="5">
        <f>IF($A813="","",IF($AP813&lt;&gt;"",INDEX(Raw_D1!$F$2:$F$1001,$AP813),IF($AR813&lt;&gt;"",INDEX(Raw_D3!$F$2:$F$1001,$AR813),"")))</f>
        <v>6</v>
      </c>
      <c r="G813" s="5">
        <f>IF($A813="","",IF($AP813&lt;&gt;"",IF(INDEX(Raw_D1!$G$2:$G$1001,$AP813),1,0),IF($AR813&lt;&gt;"",IF(INDEX(Raw_D3!$G$2:$G$1001,$AR813),1,0),"")))</f>
        <v>0</v>
      </c>
      <c r="H813" s="5">
        <f>IF($A813="","",IF($AP813&lt;&gt;"",INDEX(Raw_D1!$H$2:$H$1001,$AP813),IF($AR813&lt;&gt;"",INDEX(Raw_D3!$H$2:$H$1001,$AR813),"")))</f>
        <v>0</v>
      </c>
      <c r="I813" s="5">
        <f>IF($A813="","",IF($AP813&lt;&gt;"",INDEX(Raw_D1!$I$2:$I$1001,$AP813),IF($AR813&lt;&gt;"",INDEX(Raw_D3!$I$2:$I$1001,$AR813),"")))</f>
        <v>1</v>
      </c>
      <c r="J813" s="16">
        <f>IF($A813="","",IF($AP813&lt;&gt;"",INDEX(Raw_D1!$J$2:$J$1001,$AP813),IF($AR813&lt;&gt;"",INDEX(Raw_D3!$J$2:$J$1001,$AR813),"")))</f>
        <v>0.26</v>
      </c>
      <c r="K813" s="17">
        <f>IF($A813="","",IF($AQ813&lt;&gt;"",IF(INDEX(Raw_D2!$C$2:$C$1001,$AQ813)="","",INDEX(Raw_D2!$C$2:$C$1001,$AQ813)),IF($AR813&lt;&gt;"",IF(INDEX(Raw_D3!$K$2:$K$1001,$AR813)="","",INDEX(Raw_D3!$K$2:$K$1001,$AR813)),"")))</f>
        <v>0.2576</v>
      </c>
      <c r="L813" s="16">
        <f>IF($A813="","",IF($AQ813&lt;&gt;"",IF(INDEX(Raw_D2!$D$2:$D$1001,$AQ813)="","",INDEX(Raw_D2!$D$2:$D$1001,$AQ813)),IF($AR813&lt;&gt;"",IF(INDEX(Raw_D3!$L$2:$L$1001,$AR813)="","",INDEX(Raw_D3!$L$2:$L$1001,$AR813)),"")))</f>
        <v>0.6</v>
      </c>
      <c r="M813" s="17">
        <f>IF($A813="","",IF($AQ813&lt;&gt;"",IF(INDEX(Raw_D2!$E$2:$E$1001,$AQ813)="","",INDEX(Raw_D2!$E$2:$E$1001,$AQ813)),IF($AR813&lt;&gt;"",IF(INDEX(Raw_D3!$M$2:$M$1001,$AR813)="","",INDEX(Raw_D3!$M$2:$M$1001,$AR813)),"")))</f>
        <v>0.2239</v>
      </c>
      <c r="N813" s="5">
        <f>IF($A813="","",IF($AQ813&lt;&gt;"",IF(INDEX(Raw_D2!$F$2:$F$1001,$AQ813)="","",INDEX(Raw_D2!$F$2:$F$1001,$AQ813)),IF($AR813&lt;&gt;"",IF(INDEX(Raw_D3!$N$2:$N$1001,$AR813)="","",INDEX(Raw_D3!$N$2:$N$1001,$AR813)),"")))</f>
        <v>0</v>
      </c>
      <c r="O813" s="5">
        <f>IF($A813="","",IF($AQ813&lt;&gt;"",IF(INDEX(Raw_D2!$G$2:$G$1001,$AQ813)="","",INDEX(Raw_D2!$G$2:$G$1001,$AQ813)),IF($AR813&lt;&gt;"",IF(INDEX(Raw_D3!$O$2:$O$1001,$AR813)="","",INDEX(Raw_D3!$O$2:$O$1001,$AR813)),"")))</f>
        <v>1</v>
      </c>
      <c r="P813" s="5">
        <f>IF($A813="","",IF($AQ813&lt;&gt;"",IF(INDEX(Raw_D2!$H$2:$H$1001,$AQ813)="","",INDEX(Raw_D2!$H$2:$H$1001,$AQ813)),IF($AR813&lt;&gt;"",IF(INDEX(Raw_D3!$P$2:$P$1001,$AR813)="","",INDEX(Raw_D3!$P$2:$P$1001,$AR813)),"")))</f>
        <v>1</v>
      </c>
      <c r="Q813" s="5" t="str">
        <f>IF($A813="","",IF(AND($AP813&lt;&gt;"",$AQ813&lt;&gt;""),"D1+D2",IF($AR813&lt;&gt;"","D3","Incomplete")))</f>
        <v>D3</v>
      </c>
      <c r="R813" s="17">
        <f>IF($A813="","",IF($K813="",IF($J813="","",ROUND(Lookups!$K$5+Lookups!$K$4*$J813,4)),$K813))</f>
        <v>0.2576</v>
      </c>
      <c r="S813" s="5" t="str">
        <f>IF($A813="","",IF($K813="","Imputed","Original"))</f>
        <v>Original</v>
      </c>
      <c r="T813" s="5" t="str">
        <f>IF($A813="","",IF($P813="","Missing",IF($P813=$N813+$O813,"OK","Mismatch")))</f>
        <v>OK</v>
      </c>
      <c r="U813" s="5" t="str">
        <f>IF($A813="","",IF(COUNTIF($A$2:$A813,$A813)&gt;1,"Duplicate","Unique"))</f>
        <v>Unique</v>
      </c>
      <c r="V813" s="5">
        <f>IF($A813="","",IF(AND($U813="Unique",ISNUMBER($P813)),1,0))</f>
        <v>1</v>
      </c>
      <c r="W813" s="5" t="str">
        <f>IF($A813="","",IF(OR($H813=0,$H813=6),"Weekend","Weekday"))</f>
        <v>Weekend</v>
      </c>
      <c r="X813" s="5" t="str">
        <f>IF($A813="","",TEXT($B813,"ddd"))</f>
        <v>Sun</v>
      </c>
      <c r="Y813" s="5" t="str">
        <f>IF($A813="","",TEXT($B813,"mmm"))</f>
        <v>Feb</v>
      </c>
      <c r="Z813" s="5" t="str">
        <f>IF($A813="","",IFERROR(VLOOKUP($C813,Lookups!$D$4:$E$7,2,FALSE),"Unknown"))</f>
        <v>Winter</v>
      </c>
      <c r="AA813" s="5" t="str">
        <f>IF($A813="","",IFERROR(VLOOKUP($I813,Lookups!$A$4:$B$7,2,FALSE),"Unknown"))</f>
        <v>Clear</v>
      </c>
      <c r="AB813" s="5" t="str">
        <f>IF($A813="","",TEXT($F813,"00")&amp;":00")</f>
        <v>06:00</v>
      </c>
      <c r="AC813" s="5" t="str">
        <f>IF($A813="","",VLOOKUP($F813,Lookups!$G$4:$H$8,2,TRUE))</f>
        <v>Morning Peak (06-09)</v>
      </c>
      <c r="AD813" s="18">
        <f>IF($A813="","",IF($J813="","",ROUND($J813*41,1)))</f>
        <v>10.7</v>
      </c>
      <c r="AE813" s="18">
        <f>IF($A813="","",IF($R813="","",ROUND($R813*50,1)))</f>
        <v>12.9</v>
      </c>
      <c r="AF813" s="5">
        <f>IF($A813="","",IF($L813="","",ROUND($L813*100,0)))</f>
        <v>60</v>
      </c>
      <c r="AG813" s="18">
        <f>IF($A813="","",IF($M813="","",ROUND($M813*67,1)))</f>
        <v>15</v>
      </c>
      <c r="AH813" s="19">
        <f>IF($A813="","",IF($P813="","",IF($P813=0,0,$O813/$P813)))</f>
        <v>1</v>
      </c>
      <c r="AI813" s="5" t="str">
        <f>IF($A813="","",IF($P813="","",IF($P813&gt;=Lookups!$K$7,"High",IF($P813&lt;=Lookups!$K$8,"Low","Medium"))))</f>
        <v>Low</v>
      </c>
      <c r="AJ813" s="5" t="str">
        <f>IF($A813="","",IF($AD813="","",IF($AD813&lt;5,"Under 5 C",IF($AD813&lt;10,"5-10 C",IF($AD813&lt;15,"10-15 C","15 C and above")))))</f>
        <v>10-15 C</v>
      </c>
      <c r="AK813" s="5">
        <f>IF($A813="","",IF($P813="","",$P813^2))</f>
        <v>1</v>
      </c>
      <c r="AL813" s="18">
        <f>IF($V813&lt;&gt;1,"",AVERAGEIFS(Clean_Data!$P$2:$P$1001,Clean_Data!$F$2:$F$1001,$F813,Clean_Data!$W$2:$W$1001,$W813,Clean_Data!$V$2:$V$1001,1))</f>
        <v>2.15384615384615</v>
      </c>
      <c r="AM813" s="16">
        <f>IF($V813&lt;&gt;1,"",IFERROR(($P813-$AL813)/SQRT(MAX(0,(SUMIFS(Clean_Data!$AK$2:$AK$1001,Clean_Data!$F$2:$F$1001,$F813,Clean_Data!$W$2:$W$1001,$W813,Clean_Data!$V$2:$V$1001,1)-COUNTIFS(Clean_Data!$F$2:$F$1001,$F813,Clean_Data!$W$2:$W$1001,$W813,Clean_Data!$V$2:$V$1001,1)*$AL813^2)/(COUNTIFS(Clean_Data!$F$2:$F$1001,$F813,Clean_Data!$W$2:$W$1001,$W813,Clean_Data!$V$2:$V$1001,1)-1))),""))</f>
        <v>-0.950268400739926</v>
      </c>
      <c r="AN813" s="5" t="str">
        <f>IF($AM813="","",IF($AM813&gt;=Lookups!$K$6,"High spike",IF($AM813&lt;=-Lookups!$K$6,"Unusual low","Normal")))</f>
        <v>Normal</v>
      </c>
      <c r="AO813" s="20">
        <f>IF($V813&lt;&gt;1,"",$P813+ROW()/100000)</f>
        <v>1.00813</v>
      </c>
      <c r="AP813" s="5">
        <f>IF($A813="","",IFERROR(MATCH($A813,Raw_D1!$A$2:$A$1001,0),""))</f>
        <v/>
      </c>
      <c r="AQ813" s="5">
        <f>IF($A813="","",IFERROR(MATCH($A813,Raw_D2!$B$2:$B$1001,0),""))</f>
        <v/>
      </c>
      <c r="AR813" s="5">
        <f>IF($A813="","",IFERROR(MATCH($A813,Raw_D3!$A$2:$A$1001,0),""))</f>
        <v>193</v>
      </c>
    </row>
    <row r="814" spans="1:44" x14ac:dyDescent="0.25">
      <c r="A814" s="5">
        <v>813</v>
      </c>
      <c r="B814" s="11">
        <f>IF($A814="","",IF($AP814&lt;&gt;"",INDEX(Raw_D1!$B$2:$B$1001,$AP814),IF($AR814&lt;&gt;"",INDEX(Raw_D3!$B$2:$B$1001,$AR814),"")))</f>
        <v>40580.0</v>
      </c>
      <c r="C814" s="5">
        <f>IF($A814="","",IF($AP814&lt;&gt;"",INDEX(Raw_D1!$C$2:$C$1001,$AP814),IF($AR814&lt;&gt;"",INDEX(Raw_D3!$C$2:$C$1001,$AR814),"")))</f>
        <v>1</v>
      </c>
      <c r="D814" s="5">
        <f>IF($A814="","",IF($AP814&lt;&gt;"",INDEX(Raw_D1!$D$2:$D$1001,$AP814),IF($AR814&lt;&gt;"",INDEX(Raw_D3!$D$2:$D$1001,$AR814),"")))</f>
        <v>0</v>
      </c>
      <c r="E814" s="5">
        <f>IF($A814="","",IF($AP814&lt;&gt;"",INDEX(Raw_D1!$E$2:$E$1001,$AP814),IF($AR814&lt;&gt;"",INDEX(Raw_D3!$E$2:$E$1001,$AR814),"")))</f>
        <v>2</v>
      </c>
      <c r="F814" s="5">
        <f>IF($A814="","",IF($AP814&lt;&gt;"",INDEX(Raw_D1!$F$2:$F$1001,$AP814),IF($AR814&lt;&gt;"",INDEX(Raw_D3!$F$2:$F$1001,$AR814),"")))</f>
        <v>7</v>
      </c>
      <c r="G814" s="5">
        <f>IF($A814="","",IF($AP814&lt;&gt;"",IF(INDEX(Raw_D1!$G$2:$G$1001,$AP814),1,0),IF($AR814&lt;&gt;"",IF(INDEX(Raw_D3!$G$2:$G$1001,$AR814),1,0),"")))</f>
        <v>0</v>
      </c>
      <c r="H814" s="5">
        <f>IF($A814="","",IF($AP814&lt;&gt;"",INDEX(Raw_D1!$H$2:$H$1001,$AP814),IF($AR814&lt;&gt;"",INDEX(Raw_D3!$H$2:$H$1001,$AR814),"")))</f>
        <v>0</v>
      </c>
      <c r="I814" s="5">
        <f>IF($A814="","",IF($AP814&lt;&gt;"",INDEX(Raw_D1!$I$2:$I$1001,$AP814),IF($AR814&lt;&gt;"",INDEX(Raw_D3!$I$2:$I$1001,$AR814),"")))</f>
        <v>1</v>
      </c>
      <c r="J814" s="16">
        <f>IF($A814="","",IF($AP814&lt;&gt;"",INDEX(Raw_D1!$J$2:$J$1001,$AP814),IF($AR814&lt;&gt;"",INDEX(Raw_D3!$J$2:$J$1001,$AR814),"")))</f>
        <v>0.24</v>
      </c>
      <c r="K814" s="17">
        <f>IF($A814="","",IF($AQ814&lt;&gt;"",IF(INDEX(Raw_D2!$C$2:$C$1001,$AQ814)="","",INDEX(Raw_D2!$C$2:$C$1001,$AQ814)),IF($AR814&lt;&gt;"",IF(INDEX(Raw_D3!$K$2:$K$1001,$AR814)="","",INDEX(Raw_D3!$K$2:$K$1001,$AR814)),"")))</f>
        <v>0.2424</v>
      </c>
      <c r="L814" s="16">
        <f>IF($A814="","",IF($AQ814&lt;&gt;"",IF(INDEX(Raw_D2!$D$2:$D$1001,$AQ814)="","",INDEX(Raw_D2!$D$2:$D$1001,$AQ814)),IF($AR814&lt;&gt;"",IF(INDEX(Raw_D3!$L$2:$L$1001,$AR814)="","",INDEX(Raw_D3!$L$2:$L$1001,$AR814)),"")))</f>
        <v>0.65</v>
      </c>
      <c r="M814" s="17">
        <f>IF($A814="","",IF($AQ814&lt;&gt;"",IF(INDEX(Raw_D2!$E$2:$E$1001,$AQ814)="","",INDEX(Raw_D2!$E$2:$E$1001,$AQ814)),IF($AR814&lt;&gt;"",IF(INDEX(Raw_D3!$M$2:$M$1001,$AR814)="","",INDEX(Raw_D3!$M$2:$M$1001,$AR814)),"")))</f>
        <v>0.1642</v>
      </c>
      <c r="N814" s="5">
        <f>IF($A814="","",IF($AQ814&lt;&gt;"",IF(INDEX(Raw_D2!$F$2:$F$1001,$AQ814)="","",INDEX(Raw_D2!$F$2:$F$1001,$AQ814)),IF($AR814&lt;&gt;"",IF(INDEX(Raw_D3!$N$2:$N$1001,$AR814)="","",INDEX(Raw_D3!$N$2:$N$1001,$AR814)),"")))</f>
        <v>0</v>
      </c>
      <c r="O814" s="5">
        <f>IF($A814="","",IF($AQ814&lt;&gt;"",IF(INDEX(Raw_D2!$G$2:$G$1001,$AQ814)="","",INDEX(Raw_D2!$G$2:$G$1001,$AQ814)),IF($AR814&lt;&gt;"",IF(INDEX(Raw_D3!$O$2:$O$1001,$AR814)="","",INDEX(Raw_D3!$O$2:$O$1001,$AR814)),"")))</f>
        <v>8</v>
      </c>
      <c r="P814" s="5">
        <f>IF($A814="","",IF($AQ814&lt;&gt;"",IF(INDEX(Raw_D2!$H$2:$H$1001,$AQ814)="","",INDEX(Raw_D2!$H$2:$H$1001,$AQ814)),IF($AR814&lt;&gt;"",IF(INDEX(Raw_D3!$P$2:$P$1001,$AR814)="","",INDEX(Raw_D3!$P$2:$P$1001,$AR814)),"")))</f>
        <v>8</v>
      </c>
      <c r="Q814" s="5" t="str">
        <f>IF($A814="","",IF(AND($AP814&lt;&gt;"",$AQ814&lt;&gt;""),"D1+D2",IF($AR814&lt;&gt;"","D3","Incomplete")))</f>
        <v>D3</v>
      </c>
      <c r="R814" s="17">
        <f>IF($A814="","",IF($K814="",IF($J814="","",ROUND(Lookups!$K$5+Lookups!$K$4*$J814,4)),$K814))</f>
        <v>0.2424</v>
      </c>
      <c r="S814" s="5" t="str">
        <f>IF($A814="","",IF($K814="","Imputed","Original"))</f>
        <v>Original</v>
      </c>
      <c r="T814" s="5" t="str">
        <f>IF($A814="","",IF($P814="","Missing",IF($P814=$N814+$O814,"OK","Mismatch")))</f>
        <v>OK</v>
      </c>
      <c r="U814" s="5" t="str">
        <f>IF($A814="","",IF(COUNTIF($A$2:$A814,$A814)&gt;1,"Duplicate","Unique"))</f>
        <v>Unique</v>
      </c>
      <c r="V814" s="5">
        <f>IF($A814="","",IF(AND($U814="Unique",ISNUMBER($P814)),1,0))</f>
        <v>1</v>
      </c>
      <c r="W814" s="5" t="str">
        <f>IF($A814="","",IF(OR($H814=0,$H814=6),"Weekend","Weekday"))</f>
        <v>Weekend</v>
      </c>
      <c r="X814" s="5" t="str">
        <f>IF($A814="","",TEXT($B814,"ddd"))</f>
        <v>Sun</v>
      </c>
      <c r="Y814" s="5" t="str">
        <f>IF($A814="","",TEXT($B814,"mmm"))</f>
        <v>Feb</v>
      </c>
      <c r="Z814" s="5" t="str">
        <f>IF($A814="","",IFERROR(VLOOKUP($C814,Lookups!$D$4:$E$7,2,FALSE),"Unknown"))</f>
        <v>Winter</v>
      </c>
      <c r="AA814" s="5" t="str">
        <f>IF($A814="","",IFERROR(VLOOKUP($I814,Lookups!$A$4:$B$7,2,FALSE),"Unknown"))</f>
        <v>Clear</v>
      </c>
      <c r="AB814" s="5" t="str">
        <f>IF($A814="","",TEXT($F814,"00")&amp;":00")</f>
        <v>07:00</v>
      </c>
      <c r="AC814" s="5" t="str">
        <f>IF($A814="","",VLOOKUP($F814,Lookups!$G$4:$H$8,2,TRUE))</f>
        <v>Morning Peak (06-09)</v>
      </c>
      <c r="AD814" s="18">
        <f>IF($A814="","",IF($J814="","",ROUND($J814*41,1)))</f>
        <v>9.8</v>
      </c>
      <c r="AE814" s="18">
        <f>IF($A814="","",IF($R814="","",ROUND($R814*50,1)))</f>
        <v>12.1</v>
      </c>
      <c r="AF814" s="5">
        <f>IF($A814="","",IF($L814="","",ROUND($L814*100,0)))</f>
        <v>65</v>
      </c>
      <c r="AG814" s="18">
        <f>IF($A814="","",IF($M814="","",ROUND($M814*67,1)))</f>
        <v>11</v>
      </c>
      <c r="AH814" s="19">
        <f>IF($A814="","",IF($P814="","",IF($P814=0,0,$O814/$P814)))</f>
        <v>1</v>
      </c>
      <c r="AI814" s="5" t="str">
        <f>IF($A814="","",IF($P814="","",IF($P814&gt;=Lookups!$K$7,"High",IF($P814&lt;=Lookups!$K$8,"Low","Medium"))))</f>
        <v>Low</v>
      </c>
      <c r="AJ814" s="5" t="str">
        <f>IF($A814="","",IF($AD814="","",IF($AD814&lt;5,"Under 5 C",IF($AD814&lt;10,"5-10 C",IF($AD814&lt;15,"10-15 C","15 C and above")))))</f>
        <v>5-10 C</v>
      </c>
      <c r="AK814" s="5">
        <f>IF($A814="","",IF($P814="","",$P814^2))</f>
        <v>64</v>
      </c>
      <c r="AL814" s="18">
        <f>IF($V814&lt;&gt;1,"",AVERAGEIFS(Clean_Data!$P$2:$P$1001,Clean_Data!$F$2:$F$1001,$F814,Clean_Data!$W$2:$W$1001,$W814,Clean_Data!$V$2:$V$1001,1))</f>
        <v>5.42857142857143</v>
      </c>
      <c r="AM814" s="16">
        <f>IF($V814&lt;&gt;1,"",IFERROR(($P814-$AL814)/SQRT(MAX(0,(SUMIFS(Clean_Data!$AK$2:$AK$1001,Clean_Data!$F$2:$F$1001,$F814,Clean_Data!$W$2:$W$1001,$W814,Clean_Data!$V$2:$V$1001,1)-COUNTIFS(Clean_Data!$F$2:$F$1001,$F814,Clean_Data!$W$2:$W$1001,$W814,Clean_Data!$V$2:$V$1001,1)*$AL814^2)/(COUNTIFS(Clean_Data!$F$2:$F$1001,$F814,Clean_Data!$W$2:$W$1001,$W814,Clean_Data!$V$2:$V$1001,1)-1))),""))</f>
        <v>0.796692983946186</v>
      </c>
      <c r="AN814" s="5" t="str">
        <f>IF($AM814="","",IF($AM814&gt;=Lookups!$K$6,"High spike",IF($AM814&lt;=-Lookups!$K$6,"Unusual low","Normal")))</f>
        <v>Normal</v>
      </c>
      <c r="AO814" s="20">
        <f>IF($V814&lt;&gt;1,"",$P814+ROW()/100000)</f>
        <v>8.00814</v>
      </c>
      <c r="AP814" s="5">
        <f>IF($A814="","",IFERROR(MATCH($A814,Raw_D1!$A$2:$A$1001,0),""))</f>
        <v/>
      </c>
      <c r="AQ814" s="5">
        <f>IF($A814="","",IFERROR(MATCH($A814,Raw_D2!$B$2:$B$1001,0),""))</f>
        <v/>
      </c>
      <c r="AR814" s="5">
        <f>IF($A814="","",IFERROR(MATCH($A814,Raw_D3!$A$2:$A$1001,0),""))</f>
        <v>194</v>
      </c>
    </row>
    <row r="815" spans="1:44" x14ac:dyDescent="0.25">
      <c r="A815" s="5">
        <v>814</v>
      </c>
      <c r="B815" s="11">
        <f>IF($A815="","",IF($AP815&lt;&gt;"",INDEX(Raw_D1!$B$2:$B$1001,$AP815),IF($AR815&lt;&gt;"",INDEX(Raw_D3!$B$2:$B$1001,$AR815),"")))</f>
        <v>40580.0</v>
      </c>
      <c r="C815" s="5">
        <f>IF($A815="","",IF($AP815&lt;&gt;"",INDEX(Raw_D1!$C$2:$C$1001,$AP815),IF($AR815&lt;&gt;"",INDEX(Raw_D3!$C$2:$C$1001,$AR815),"")))</f>
        <v>1</v>
      </c>
      <c r="D815" s="5">
        <f>IF($A815="","",IF($AP815&lt;&gt;"",INDEX(Raw_D1!$D$2:$D$1001,$AP815),IF($AR815&lt;&gt;"",INDEX(Raw_D3!$D$2:$D$1001,$AR815),"")))</f>
        <v>0</v>
      </c>
      <c r="E815" s="5">
        <f>IF($A815="","",IF($AP815&lt;&gt;"",INDEX(Raw_D1!$E$2:$E$1001,$AP815),IF($AR815&lt;&gt;"",INDEX(Raw_D3!$E$2:$E$1001,$AR815),"")))</f>
        <v>2</v>
      </c>
      <c r="F815" s="5">
        <f>IF($A815="","",IF($AP815&lt;&gt;"",INDEX(Raw_D1!$F$2:$F$1001,$AP815),IF($AR815&lt;&gt;"",INDEX(Raw_D3!$F$2:$F$1001,$AR815),"")))</f>
        <v>8</v>
      </c>
      <c r="G815" s="5">
        <f>IF($A815="","",IF($AP815&lt;&gt;"",IF(INDEX(Raw_D1!$G$2:$G$1001,$AP815),1,0),IF($AR815&lt;&gt;"",IF(INDEX(Raw_D3!$G$2:$G$1001,$AR815),1,0),"")))</f>
        <v>0</v>
      </c>
      <c r="H815" s="5">
        <f>IF($A815="","",IF($AP815&lt;&gt;"",INDEX(Raw_D1!$H$2:$H$1001,$AP815),IF($AR815&lt;&gt;"",INDEX(Raw_D3!$H$2:$H$1001,$AR815),"")))</f>
        <v>0</v>
      </c>
      <c r="I815" s="5">
        <f>IF($A815="","",IF($AP815&lt;&gt;"",INDEX(Raw_D1!$I$2:$I$1001,$AP815),IF($AR815&lt;&gt;"",INDEX(Raw_D3!$I$2:$I$1001,$AR815),"")))</f>
        <v>1</v>
      </c>
      <c r="J815" s="16">
        <f>IF($A815="","",IF($AP815&lt;&gt;"",INDEX(Raw_D1!$J$2:$J$1001,$AP815),IF($AR815&lt;&gt;"",INDEX(Raw_D3!$J$2:$J$1001,$AR815),"")))</f>
        <v>0.24</v>
      </c>
      <c r="K815" s="17">
        <f>IF($A815="","",IF($AQ815&lt;&gt;"",IF(INDEX(Raw_D2!$C$2:$C$1001,$AQ815)="","",INDEX(Raw_D2!$C$2:$C$1001,$AQ815)),IF($AR815&lt;&gt;"",IF(INDEX(Raw_D3!$K$2:$K$1001,$AR815)="","",INDEX(Raw_D3!$K$2:$K$1001,$AR815)),"")))</f>
        <v>0.2576</v>
      </c>
      <c r="L815" s="16">
        <f>IF($A815="","",IF($AQ815&lt;&gt;"",IF(INDEX(Raw_D2!$D$2:$D$1001,$AQ815)="","",INDEX(Raw_D2!$D$2:$D$1001,$AQ815)),IF($AR815&lt;&gt;"",IF(INDEX(Raw_D3!$L$2:$L$1001,$AR815)="","",INDEX(Raw_D3!$L$2:$L$1001,$AR815)),"")))</f>
        <v>0.65</v>
      </c>
      <c r="M815" s="17">
        <f>IF($A815="","",IF($AQ815&lt;&gt;"",IF(INDEX(Raw_D2!$E$2:$E$1001,$AQ815)="","",INDEX(Raw_D2!$E$2:$E$1001,$AQ815)),IF($AR815&lt;&gt;"",IF(INDEX(Raw_D3!$M$2:$M$1001,$AR815)="","",INDEX(Raw_D3!$M$2:$M$1001,$AR815)),"")))</f>
        <v>0.1045</v>
      </c>
      <c r="N815" s="5">
        <f>IF($A815="","",IF($AQ815&lt;&gt;"",IF(INDEX(Raw_D2!$F$2:$F$1001,$AQ815)="","",INDEX(Raw_D2!$F$2:$F$1001,$AQ815)),IF($AR815&lt;&gt;"",IF(INDEX(Raw_D3!$N$2:$N$1001,$AR815)="","",INDEX(Raw_D3!$N$2:$N$1001,$AR815)),"")))</f>
        <v>2</v>
      </c>
      <c r="O815" s="5">
        <f>IF($A815="","",IF($AQ815&lt;&gt;"",IF(INDEX(Raw_D2!$G$2:$G$1001,$AQ815)="","",INDEX(Raw_D2!$G$2:$G$1001,$AQ815)),IF($AR815&lt;&gt;"",IF(INDEX(Raw_D3!$O$2:$O$1001,$AR815)="","",INDEX(Raw_D3!$O$2:$O$1001,$AR815)),"")))</f>
        <v>21</v>
      </c>
      <c r="P815" s="5">
        <f>IF($A815="","",IF($AQ815&lt;&gt;"",IF(INDEX(Raw_D2!$H$2:$H$1001,$AQ815)="","",INDEX(Raw_D2!$H$2:$H$1001,$AQ815)),IF($AR815&lt;&gt;"",IF(INDEX(Raw_D3!$P$2:$P$1001,$AR815)="","",INDEX(Raw_D3!$P$2:$P$1001,$AR815)),"")))</f>
        <v>23</v>
      </c>
      <c r="Q815" s="5" t="str">
        <f>IF($A815="","",IF(AND($AP815&lt;&gt;"",$AQ815&lt;&gt;""),"D1+D2",IF($AR815&lt;&gt;"","D3","Incomplete")))</f>
        <v>D3</v>
      </c>
      <c r="R815" s="17">
        <f>IF($A815="","",IF($K815="",IF($J815="","",ROUND(Lookups!$K$5+Lookups!$K$4*$J815,4)),$K815))</f>
        <v>0.2576</v>
      </c>
      <c r="S815" s="5" t="str">
        <f>IF($A815="","",IF($K815="","Imputed","Original"))</f>
        <v>Original</v>
      </c>
      <c r="T815" s="5" t="str">
        <f>IF($A815="","",IF($P815="","Missing",IF($P815=$N815+$O815,"OK","Mismatch")))</f>
        <v>OK</v>
      </c>
      <c r="U815" s="5" t="str">
        <f>IF($A815="","",IF(COUNTIF($A$2:$A815,$A815)&gt;1,"Duplicate","Unique"))</f>
        <v>Unique</v>
      </c>
      <c r="V815" s="5">
        <f>IF($A815="","",IF(AND($U815="Unique",ISNUMBER($P815)),1,0))</f>
        <v>1</v>
      </c>
      <c r="W815" s="5" t="str">
        <f>IF($A815="","",IF(OR($H815=0,$H815=6),"Weekend","Weekday"))</f>
        <v>Weekend</v>
      </c>
      <c r="X815" s="5" t="str">
        <f>IF($A815="","",TEXT($B815,"ddd"))</f>
        <v>Sun</v>
      </c>
      <c r="Y815" s="5" t="str">
        <f>IF($A815="","",TEXT($B815,"mmm"))</f>
        <v>Feb</v>
      </c>
      <c r="Z815" s="5" t="str">
        <f>IF($A815="","",IFERROR(VLOOKUP($C815,Lookups!$D$4:$E$7,2,FALSE),"Unknown"))</f>
        <v>Winter</v>
      </c>
      <c r="AA815" s="5" t="str">
        <f>IF($A815="","",IFERROR(VLOOKUP($I815,Lookups!$A$4:$B$7,2,FALSE),"Unknown"))</f>
        <v>Clear</v>
      </c>
      <c r="AB815" s="5" t="str">
        <f>IF($A815="","",TEXT($F815,"00")&amp;":00")</f>
        <v>08:00</v>
      </c>
      <c r="AC815" s="5" t="str">
        <f>IF($A815="","",VLOOKUP($F815,Lookups!$G$4:$H$8,2,TRUE))</f>
        <v>Morning Peak (06-09)</v>
      </c>
      <c r="AD815" s="18">
        <f>IF($A815="","",IF($J815="","",ROUND($J815*41,1)))</f>
        <v>9.8</v>
      </c>
      <c r="AE815" s="18">
        <f>IF($A815="","",IF($R815="","",ROUND($R815*50,1)))</f>
        <v>12.9</v>
      </c>
      <c r="AF815" s="5">
        <f>IF($A815="","",IF($L815="","",ROUND($L815*100,0)))</f>
        <v>65</v>
      </c>
      <c r="AG815" s="18">
        <f>IF($A815="","",IF($M815="","",ROUND($M815*67,1)))</f>
        <v>7</v>
      </c>
      <c r="AH815" s="19">
        <f>IF($A815="","",IF($P815="","",IF($P815=0,0,$O815/$P815)))</f>
        <v>0.91304347826087</v>
      </c>
      <c r="AI815" s="5" t="str">
        <f>IF($A815="","",IF($P815="","",IF($P815&gt;=Lookups!$K$7,"High",IF($P815&lt;=Lookups!$K$8,"Low","Medium"))))</f>
        <v>Medium</v>
      </c>
      <c r="AJ815" s="5" t="str">
        <f>IF($A815="","",IF($AD815="","",IF($AD815&lt;5,"Under 5 C",IF($AD815&lt;10,"5-10 C",IF($AD815&lt;15,"10-15 C","15 C and above")))))</f>
        <v>5-10 C</v>
      </c>
      <c r="AK815" s="5">
        <f>IF($A815="","",IF($P815="","",$P815^2))</f>
        <v>529</v>
      </c>
      <c r="AL815" s="18">
        <f>IF($V815&lt;&gt;1,"",AVERAGEIFS(Clean_Data!$P$2:$P$1001,Clean_Data!$F$2:$F$1001,$F815,Clean_Data!$W$2:$W$1001,$W815,Clean_Data!$V$2:$V$1001,1))</f>
        <v>17.7857142857143</v>
      </c>
      <c r="AM815" s="16">
        <f>IF($V815&lt;&gt;1,"",IFERROR(($P815-$AL815)/SQRT(MAX(0,(SUMIFS(Clean_Data!$AK$2:$AK$1001,Clean_Data!$F$2:$F$1001,$F815,Clean_Data!$W$2:$W$1001,$W815,Clean_Data!$V$2:$V$1001,1)-COUNTIFS(Clean_Data!$F$2:$F$1001,$F815,Clean_Data!$W$2:$W$1001,$W815,Clean_Data!$V$2:$V$1001,1)*$AL815^2)/(COUNTIFS(Clean_Data!$F$2:$F$1001,$F815,Clean_Data!$W$2:$W$1001,$W815,Clean_Data!$V$2:$V$1001,1)-1))),""))</f>
        <v>0.61308414747433</v>
      </c>
      <c r="AN815" s="5" t="str">
        <f>IF($AM815="","",IF($AM815&gt;=Lookups!$K$6,"High spike",IF($AM815&lt;=-Lookups!$K$6,"Unusual low","Normal")))</f>
        <v>Normal</v>
      </c>
      <c r="AO815" s="20">
        <f>IF($V815&lt;&gt;1,"",$P815+ROW()/100000)</f>
        <v>23.00815</v>
      </c>
      <c r="AP815" s="5">
        <f>IF($A815="","",IFERROR(MATCH($A815,Raw_D1!$A$2:$A$1001,0),""))</f>
        <v/>
      </c>
      <c r="AQ815" s="5">
        <f>IF($A815="","",IFERROR(MATCH($A815,Raw_D2!$B$2:$B$1001,0),""))</f>
        <v/>
      </c>
      <c r="AR815" s="5">
        <f>IF($A815="","",IFERROR(MATCH($A815,Raw_D3!$A$2:$A$1001,0),""))</f>
        <v>195</v>
      </c>
    </row>
    <row r="816" spans="1:44" x14ac:dyDescent="0.25">
      <c r="A816" s="5">
        <v>815</v>
      </c>
      <c r="B816" s="11">
        <f>IF($A816="","",IF($AP816&lt;&gt;"",INDEX(Raw_D1!$B$2:$B$1001,$AP816),IF($AR816&lt;&gt;"",INDEX(Raw_D3!$B$2:$B$1001,$AR816),"")))</f>
        <v>40580.0</v>
      </c>
      <c r="C816" s="5">
        <f>IF($A816="","",IF($AP816&lt;&gt;"",INDEX(Raw_D1!$C$2:$C$1001,$AP816),IF($AR816&lt;&gt;"",INDEX(Raw_D3!$C$2:$C$1001,$AR816),"")))</f>
        <v>1</v>
      </c>
      <c r="D816" s="5">
        <f>IF($A816="","",IF($AP816&lt;&gt;"",INDEX(Raw_D1!$D$2:$D$1001,$AP816),IF($AR816&lt;&gt;"",INDEX(Raw_D3!$D$2:$D$1001,$AR816),"")))</f>
        <v>0</v>
      </c>
      <c r="E816" s="5">
        <f>IF($A816="","",IF($AP816&lt;&gt;"",INDEX(Raw_D1!$E$2:$E$1001,$AP816),IF($AR816&lt;&gt;"",INDEX(Raw_D3!$E$2:$E$1001,$AR816),"")))</f>
        <v>2</v>
      </c>
      <c r="F816" s="5">
        <f>IF($A816="","",IF($AP816&lt;&gt;"",INDEX(Raw_D1!$F$2:$F$1001,$AP816),IF($AR816&lt;&gt;"",INDEX(Raw_D3!$F$2:$F$1001,$AR816),"")))</f>
        <v>9</v>
      </c>
      <c r="G816" s="5">
        <f>IF($A816="","",IF($AP816&lt;&gt;"",IF(INDEX(Raw_D1!$G$2:$G$1001,$AP816),1,0),IF($AR816&lt;&gt;"",IF(INDEX(Raw_D3!$G$2:$G$1001,$AR816),1,0),"")))</f>
        <v>0</v>
      </c>
      <c r="H816" s="5">
        <f>IF($A816="","",IF($AP816&lt;&gt;"",INDEX(Raw_D1!$H$2:$H$1001,$AP816),IF($AR816&lt;&gt;"",INDEX(Raw_D3!$H$2:$H$1001,$AR816),"")))</f>
        <v>0</v>
      </c>
      <c r="I816" s="5">
        <f>IF($A816="","",IF($AP816&lt;&gt;"",INDEX(Raw_D1!$I$2:$I$1001,$AP816),IF($AR816&lt;&gt;"",INDEX(Raw_D3!$I$2:$I$1001,$AR816),"")))</f>
        <v>1</v>
      </c>
      <c r="J816" s="16">
        <f>IF($A816="","",IF($AP816&lt;&gt;"",INDEX(Raw_D1!$J$2:$J$1001,$AP816),IF($AR816&lt;&gt;"",INDEX(Raw_D3!$J$2:$J$1001,$AR816),"")))</f>
        <v>0.28</v>
      </c>
      <c r="K816" s="17">
        <f>IF($A816="","",IF($AQ816&lt;&gt;"",IF(INDEX(Raw_D2!$C$2:$C$1001,$AQ816)="","",INDEX(Raw_D2!$C$2:$C$1001,$AQ816)),IF($AR816&lt;&gt;"",IF(INDEX(Raw_D3!$K$2:$K$1001,$AR816)="","",INDEX(Raw_D3!$K$2:$K$1001,$AR816)),"")))</f>
        <v>0.2879</v>
      </c>
      <c r="L816" s="16">
        <f>IF($A816="","",IF($AQ816&lt;&gt;"",IF(INDEX(Raw_D2!$D$2:$D$1001,$AQ816)="","",INDEX(Raw_D2!$D$2:$D$1001,$AQ816)),IF($AR816&lt;&gt;"",IF(INDEX(Raw_D3!$L$2:$L$1001,$AR816)="","",INDEX(Raw_D3!$L$2:$L$1001,$AR816)),"")))</f>
        <v>0.56</v>
      </c>
      <c r="M816" s="17">
        <f>IF($A816="","",IF($AQ816&lt;&gt;"",IF(INDEX(Raw_D2!$E$2:$E$1001,$AQ816)="","",INDEX(Raw_D2!$E$2:$E$1001,$AQ816)),IF($AR816&lt;&gt;"",IF(INDEX(Raw_D3!$M$2:$M$1001,$AR816)="","",INDEX(Raw_D3!$M$2:$M$1001,$AR816)),"")))</f>
        <v>0.1045</v>
      </c>
      <c r="N816" s="5">
        <f>IF($A816="","",IF($AQ816&lt;&gt;"",IF(INDEX(Raw_D2!$F$2:$F$1001,$AQ816)="","",INDEX(Raw_D2!$F$2:$F$1001,$AQ816)),IF($AR816&lt;&gt;"",IF(INDEX(Raw_D3!$N$2:$N$1001,$AR816)="","",INDEX(Raw_D3!$N$2:$N$1001,$AR816)),"")))</f>
        <v>7</v>
      </c>
      <c r="O816" s="5">
        <f>IF($A816="","",IF($AQ816&lt;&gt;"",IF(INDEX(Raw_D2!$G$2:$G$1001,$AQ816)="","",INDEX(Raw_D2!$G$2:$G$1001,$AQ816)),IF($AR816&lt;&gt;"",IF(INDEX(Raw_D3!$O$2:$O$1001,$AR816)="","",INDEX(Raw_D3!$O$2:$O$1001,$AR816)),"")))</f>
        <v>38</v>
      </c>
      <c r="P816" s="5">
        <f>IF($A816="","",IF($AQ816&lt;&gt;"",IF(INDEX(Raw_D2!$H$2:$H$1001,$AQ816)="","",INDEX(Raw_D2!$H$2:$H$1001,$AQ816)),IF($AR816&lt;&gt;"",IF(INDEX(Raw_D3!$P$2:$P$1001,$AR816)="","",INDEX(Raw_D3!$P$2:$P$1001,$AR816)),"")))</f>
        <v>45</v>
      </c>
      <c r="Q816" s="5" t="str">
        <f>IF($A816="","",IF(AND($AP816&lt;&gt;"",$AQ816&lt;&gt;""),"D1+D2",IF($AR816&lt;&gt;"","D3","Incomplete")))</f>
        <v>D3</v>
      </c>
      <c r="R816" s="17">
        <f>IF($A816="","",IF($K816="",IF($J816="","",ROUND(Lookups!$K$5+Lookups!$K$4*$J816,4)),$K816))</f>
        <v>0.2879</v>
      </c>
      <c r="S816" s="5" t="str">
        <f>IF($A816="","",IF($K816="","Imputed","Original"))</f>
        <v>Original</v>
      </c>
      <c r="T816" s="5" t="str">
        <f>IF($A816="","",IF($P816="","Missing",IF($P816=$N816+$O816,"OK","Mismatch")))</f>
        <v>OK</v>
      </c>
      <c r="U816" s="5" t="str">
        <f>IF($A816="","",IF(COUNTIF($A$2:$A816,$A816)&gt;1,"Duplicate","Unique"))</f>
        <v>Unique</v>
      </c>
      <c r="V816" s="5">
        <f>IF($A816="","",IF(AND($U816="Unique",ISNUMBER($P816)),1,0))</f>
        <v>1</v>
      </c>
      <c r="W816" s="5" t="str">
        <f>IF($A816="","",IF(OR($H816=0,$H816=6),"Weekend","Weekday"))</f>
        <v>Weekend</v>
      </c>
      <c r="X816" s="5" t="str">
        <f>IF($A816="","",TEXT($B816,"ddd"))</f>
        <v>Sun</v>
      </c>
      <c r="Y816" s="5" t="str">
        <f>IF($A816="","",TEXT($B816,"mmm"))</f>
        <v>Feb</v>
      </c>
      <c r="Z816" s="5" t="str">
        <f>IF($A816="","",IFERROR(VLOOKUP($C816,Lookups!$D$4:$E$7,2,FALSE),"Unknown"))</f>
        <v>Winter</v>
      </c>
      <c r="AA816" s="5" t="str">
        <f>IF($A816="","",IFERROR(VLOOKUP($I816,Lookups!$A$4:$B$7,2,FALSE),"Unknown"))</f>
        <v>Clear</v>
      </c>
      <c r="AB816" s="5" t="str">
        <f>IF($A816="","",TEXT($F816,"00")&amp;":00")</f>
        <v>09:00</v>
      </c>
      <c r="AC816" s="5" t="str">
        <f>IF($A816="","",VLOOKUP($F816,Lookups!$G$4:$H$8,2,TRUE))</f>
        <v>Morning Peak (06-09)</v>
      </c>
      <c r="AD816" s="18">
        <f>IF($A816="","",IF($J816="","",ROUND($J816*41,1)))</f>
        <v>11.5</v>
      </c>
      <c r="AE816" s="18">
        <f>IF($A816="","",IF($R816="","",ROUND($R816*50,1)))</f>
        <v>14.4</v>
      </c>
      <c r="AF816" s="5">
        <f>IF($A816="","",IF($L816="","",ROUND($L816*100,0)))</f>
        <v>56</v>
      </c>
      <c r="AG816" s="18">
        <f>IF($A816="","",IF($M816="","",ROUND($M816*67,1)))</f>
        <v>7</v>
      </c>
      <c r="AH816" s="19">
        <f>IF($A816="","",IF($P816="","",IF($P816=0,0,$O816/$P816)))</f>
        <v>0.844444444444444</v>
      </c>
      <c r="AI816" s="5" t="str">
        <f>IF($A816="","",IF($P816="","",IF($P816&gt;=Lookups!$K$7,"High",IF($P816&lt;=Lookups!$K$8,"Low","Medium"))))</f>
        <v>Medium</v>
      </c>
      <c r="AJ816" s="5" t="str">
        <f>IF($A816="","",IF($AD816="","",IF($AD816&lt;5,"Under 5 C",IF($AD816&lt;10,"5-10 C",IF($AD816&lt;15,"10-15 C","15 C and above")))))</f>
        <v>10-15 C</v>
      </c>
      <c r="AK816" s="5">
        <f>IF($A816="","",IF($P816="","",$P816^2))</f>
        <v>2025</v>
      </c>
      <c r="AL816" s="18">
        <f>IF($V816&lt;&gt;1,"",AVERAGEIFS(Clean_Data!$P$2:$P$1001,Clean_Data!$F$2:$F$1001,$F816,Clean_Data!$W$2:$W$1001,$W816,Clean_Data!$V$2:$V$1001,1))</f>
        <v>30.9285714285714</v>
      </c>
      <c r="AM816" s="16">
        <f>IF($V816&lt;&gt;1,"",IFERROR(($P816-$AL816)/SQRT(MAX(0,(SUMIFS(Clean_Data!$AK$2:$AK$1001,Clean_Data!$F$2:$F$1001,$F816,Clean_Data!$W$2:$W$1001,$W816,Clean_Data!$V$2:$V$1001,1)-COUNTIFS(Clean_Data!$F$2:$F$1001,$F816,Clean_Data!$W$2:$W$1001,$W816,Clean_Data!$V$2:$V$1001,1)*$AL816^2)/(COUNTIFS(Clean_Data!$F$2:$F$1001,$F816,Clean_Data!$W$2:$W$1001,$W816,Clean_Data!$V$2:$V$1001,1)-1))),""))</f>
        <v>1.29079021392571</v>
      </c>
      <c r="AN816" s="5" t="str">
        <f>IF($AM816="","",IF($AM816&gt;=Lookups!$K$6,"High spike",IF($AM816&lt;=-Lookups!$K$6,"Unusual low","Normal")))</f>
        <v>Normal</v>
      </c>
      <c r="AO816" s="20">
        <f>IF($V816&lt;&gt;1,"",$P816+ROW()/100000)</f>
        <v>45.00816</v>
      </c>
      <c r="AP816" s="5">
        <f>IF($A816="","",IFERROR(MATCH($A816,Raw_D1!$A$2:$A$1001,0),""))</f>
        <v/>
      </c>
      <c r="AQ816" s="5">
        <f>IF($A816="","",IFERROR(MATCH($A816,Raw_D2!$B$2:$B$1001,0),""))</f>
        <v/>
      </c>
      <c r="AR816" s="5">
        <f>IF($A816="","",IFERROR(MATCH($A816,Raw_D3!$A$2:$A$1001,0),""))</f>
        <v>196</v>
      </c>
    </row>
    <row r="817" spans="1:44" x14ac:dyDescent="0.25">
      <c r="A817" s="5">
        <v>816</v>
      </c>
      <c r="B817" s="11">
        <f>IF($A817="","",IF($AP817&lt;&gt;"",INDEX(Raw_D1!$B$2:$B$1001,$AP817),IF($AR817&lt;&gt;"",INDEX(Raw_D3!$B$2:$B$1001,$AR817),"")))</f>
        <v>40580.0</v>
      </c>
      <c r="C817" s="5">
        <f>IF($A817="","",IF($AP817&lt;&gt;"",INDEX(Raw_D1!$C$2:$C$1001,$AP817),IF($AR817&lt;&gt;"",INDEX(Raw_D3!$C$2:$C$1001,$AR817),"")))</f>
        <v>1</v>
      </c>
      <c r="D817" s="5">
        <f>IF($A817="","",IF($AP817&lt;&gt;"",INDEX(Raw_D1!$D$2:$D$1001,$AP817),IF($AR817&lt;&gt;"",INDEX(Raw_D3!$D$2:$D$1001,$AR817),"")))</f>
        <v>0</v>
      </c>
      <c r="E817" s="5">
        <f>IF($A817="","",IF($AP817&lt;&gt;"",INDEX(Raw_D1!$E$2:$E$1001,$AP817),IF($AR817&lt;&gt;"",INDEX(Raw_D3!$E$2:$E$1001,$AR817),"")))</f>
        <v>2</v>
      </c>
      <c r="F817" s="5">
        <f>IF($A817="","",IF($AP817&lt;&gt;"",INDEX(Raw_D1!$F$2:$F$1001,$AP817),IF($AR817&lt;&gt;"",INDEX(Raw_D3!$F$2:$F$1001,$AR817),"")))</f>
        <v>10</v>
      </c>
      <c r="G817" s="5">
        <f>IF($A817="","",IF($AP817&lt;&gt;"",IF(INDEX(Raw_D1!$G$2:$G$1001,$AP817),1,0),IF($AR817&lt;&gt;"",IF(INDEX(Raw_D3!$G$2:$G$1001,$AR817),1,0),"")))</f>
        <v>0</v>
      </c>
      <c r="H817" s="5">
        <f>IF($A817="","",IF($AP817&lt;&gt;"",INDEX(Raw_D1!$H$2:$H$1001,$AP817),IF($AR817&lt;&gt;"",INDEX(Raw_D3!$H$2:$H$1001,$AR817),"")))</f>
        <v>0</v>
      </c>
      <c r="I817" s="5">
        <f>IF($A817="","",IF($AP817&lt;&gt;"",INDEX(Raw_D1!$I$2:$I$1001,$AP817),IF($AR817&lt;&gt;"",INDEX(Raw_D3!$I$2:$I$1001,$AR817),"")))</f>
        <v>1</v>
      </c>
      <c r="J817" s="16">
        <f>IF($A817="","",IF($AP817&lt;&gt;"",INDEX(Raw_D1!$J$2:$J$1001,$AP817),IF($AR817&lt;&gt;"",INDEX(Raw_D3!$J$2:$J$1001,$AR817),"")))</f>
        <v>0.3</v>
      </c>
      <c r="K817" s="17">
        <f>IF($A817="","",IF($AQ817&lt;&gt;"",IF(INDEX(Raw_D2!$C$2:$C$1001,$AQ817)="","",INDEX(Raw_D2!$C$2:$C$1001,$AQ817)),IF($AR817&lt;&gt;"",IF(INDEX(Raw_D3!$K$2:$K$1001,$AR817)="","",INDEX(Raw_D3!$K$2:$K$1001,$AR817)),"")))</f>
        <v>0.2879</v>
      </c>
      <c r="L817" s="16">
        <f>IF($A817="","",IF($AQ817&lt;&gt;"",IF(INDEX(Raw_D2!$D$2:$D$1001,$AQ817)="","",INDEX(Raw_D2!$D$2:$D$1001,$AQ817)),IF($AR817&lt;&gt;"",IF(INDEX(Raw_D3!$L$2:$L$1001,$AR817)="","",INDEX(Raw_D3!$L$2:$L$1001,$AR817)),"")))</f>
        <v>0.52</v>
      </c>
      <c r="M817" s="17">
        <f>IF($A817="","",IF($AQ817&lt;&gt;"",IF(INDEX(Raw_D2!$E$2:$E$1001,$AQ817)="","",INDEX(Raw_D2!$E$2:$E$1001,$AQ817)),IF($AR817&lt;&gt;"",IF(INDEX(Raw_D3!$M$2:$M$1001,$AR817)="","",INDEX(Raw_D3!$M$2:$M$1001,$AR817)),"")))</f>
        <v>0.2537</v>
      </c>
      <c r="N817" s="5">
        <f>IF($A817="","",IF($AQ817&lt;&gt;"",IF(INDEX(Raw_D2!$F$2:$F$1001,$AQ817)="","",INDEX(Raw_D2!$F$2:$F$1001,$AQ817)),IF($AR817&lt;&gt;"",IF(INDEX(Raw_D3!$N$2:$N$1001,$AR817)="","",INDEX(Raw_D3!$N$2:$N$1001,$AR817)),"")))</f>
        <v>15</v>
      </c>
      <c r="O817" s="5">
        <f>IF($A817="","",IF($AQ817&lt;&gt;"",IF(INDEX(Raw_D2!$G$2:$G$1001,$AQ817)="","",INDEX(Raw_D2!$G$2:$G$1001,$AQ817)),IF($AR817&lt;&gt;"",IF(INDEX(Raw_D3!$O$2:$O$1001,$AR817)="","",INDEX(Raw_D3!$O$2:$O$1001,$AR817)),"")))</f>
        <v>74</v>
      </c>
      <c r="P817" s="5">
        <f>IF($A817="","",IF($AQ817&lt;&gt;"",IF(INDEX(Raw_D2!$H$2:$H$1001,$AQ817)="","",INDEX(Raw_D2!$H$2:$H$1001,$AQ817)),IF($AR817&lt;&gt;"",IF(INDEX(Raw_D3!$P$2:$P$1001,$AR817)="","",INDEX(Raw_D3!$P$2:$P$1001,$AR817)),"")))</f>
        <v>89</v>
      </c>
      <c r="Q817" s="5" t="str">
        <f>IF($A817="","",IF(AND($AP817&lt;&gt;"",$AQ817&lt;&gt;""),"D1+D2",IF($AR817&lt;&gt;"","D3","Incomplete")))</f>
        <v>D3</v>
      </c>
      <c r="R817" s="17">
        <f>IF($A817="","",IF($K817="",IF($J817="","",ROUND(Lookups!$K$5+Lookups!$K$4*$J817,4)),$K817))</f>
        <v>0.2879</v>
      </c>
      <c r="S817" s="5" t="str">
        <f>IF($A817="","",IF($K817="","Imputed","Original"))</f>
        <v>Original</v>
      </c>
      <c r="T817" s="5" t="str">
        <f>IF($A817="","",IF($P817="","Missing",IF($P817=$N817+$O817,"OK","Mismatch")))</f>
        <v>OK</v>
      </c>
      <c r="U817" s="5" t="str">
        <f>IF($A817="","",IF(COUNTIF($A$2:$A817,$A817)&gt;1,"Duplicate","Unique"))</f>
        <v>Unique</v>
      </c>
      <c r="V817" s="5">
        <f>IF($A817="","",IF(AND($U817="Unique",ISNUMBER($P817)),1,0))</f>
        <v>1</v>
      </c>
      <c r="W817" s="5" t="str">
        <f>IF($A817="","",IF(OR($H817=0,$H817=6),"Weekend","Weekday"))</f>
        <v>Weekend</v>
      </c>
      <c r="X817" s="5" t="str">
        <f>IF($A817="","",TEXT($B817,"ddd"))</f>
        <v>Sun</v>
      </c>
      <c r="Y817" s="5" t="str">
        <f>IF($A817="","",TEXT($B817,"mmm"))</f>
        <v>Feb</v>
      </c>
      <c r="Z817" s="5" t="str">
        <f>IF($A817="","",IFERROR(VLOOKUP($C817,Lookups!$D$4:$E$7,2,FALSE),"Unknown"))</f>
        <v>Winter</v>
      </c>
      <c r="AA817" s="5" t="str">
        <f>IF($A817="","",IFERROR(VLOOKUP($I817,Lookups!$A$4:$B$7,2,FALSE),"Unknown"))</f>
        <v>Clear</v>
      </c>
      <c r="AB817" s="5" t="str">
        <f>IF($A817="","",TEXT($F817,"00")&amp;":00")</f>
        <v>10:00</v>
      </c>
      <c r="AC817" s="5" t="str">
        <f>IF($A817="","",VLOOKUP($F817,Lookups!$G$4:$H$8,2,TRUE))</f>
        <v>Midday (10-15)</v>
      </c>
      <c r="AD817" s="18">
        <f>IF($A817="","",IF($J817="","",ROUND($J817*41,1)))</f>
        <v>12.3</v>
      </c>
      <c r="AE817" s="18">
        <f>IF($A817="","",IF($R817="","",ROUND($R817*50,1)))</f>
        <v>14.4</v>
      </c>
      <c r="AF817" s="5">
        <f>IF($A817="","",IF($L817="","",ROUND($L817*100,0)))</f>
        <v>52</v>
      </c>
      <c r="AG817" s="18">
        <f>IF($A817="","",IF($M817="","",ROUND($M817*67,1)))</f>
        <v>17</v>
      </c>
      <c r="AH817" s="19">
        <f>IF($A817="","",IF($P817="","",IF($P817=0,0,$O817/$P817)))</f>
        <v>0.831460674157303</v>
      </c>
      <c r="AI817" s="5" t="str">
        <f>IF($A817="","",IF($P817="","",IF($P817&gt;=Lookups!$K$7,"High",IF($P817&lt;=Lookups!$K$8,"Low","Medium"))))</f>
        <v>High</v>
      </c>
      <c r="AJ817" s="5" t="str">
        <f>IF($A817="","",IF($AD817="","",IF($AD817&lt;5,"Under 5 C",IF($AD817&lt;10,"5-10 C",IF($AD817&lt;15,"10-15 C","15 C and above")))))</f>
        <v>10-15 C</v>
      </c>
      <c r="AK817" s="5">
        <f>IF($A817="","",IF($P817="","",$P817^2))</f>
        <v>7921</v>
      </c>
      <c r="AL817" s="18">
        <f>IF($V817&lt;&gt;1,"",AVERAGEIFS(Clean_Data!$P$2:$P$1001,Clean_Data!$F$2:$F$1001,$F817,Clean_Data!$W$2:$W$1001,$W817,Clean_Data!$V$2:$V$1001,1))</f>
        <v>62.7857142857143</v>
      </c>
      <c r="AM817" s="16">
        <f>IF($V817&lt;&gt;1,"",IFERROR(($P817-$AL817)/SQRT(MAX(0,(SUMIFS(Clean_Data!$AK$2:$AK$1001,Clean_Data!$F$2:$F$1001,$F817,Clean_Data!$W$2:$W$1001,$W817,Clean_Data!$V$2:$V$1001,1)-COUNTIFS(Clean_Data!$F$2:$F$1001,$F817,Clean_Data!$W$2:$W$1001,$W817,Clean_Data!$V$2:$V$1001,1)*$AL817^2)/(COUNTIFS(Clean_Data!$F$2:$F$1001,$F817,Clean_Data!$W$2:$W$1001,$W817,Clean_Data!$V$2:$V$1001,1)-1))),""))</f>
        <v>1.30915968247471</v>
      </c>
      <c r="AN817" s="5" t="str">
        <f>IF($AM817="","",IF($AM817&gt;=Lookups!$K$6,"High spike",IF($AM817&lt;=-Lookups!$K$6,"Unusual low","Normal")))</f>
        <v>Normal</v>
      </c>
      <c r="AO817" s="20">
        <f>IF($V817&lt;&gt;1,"",$P817+ROW()/100000)</f>
        <v>89.00817</v>
      </c>
      <c r="AP817" s="5">
        <f>IF($A817="","",IFERROR(MATCH($A817,Raw_D1!$A$2:$A$1001,0),""))</f>
        <v/>
      </c>
      <c r="AQ817" s="5">
        <f>IF($A817="","",IFERROR(MATCH($A817,Raw_D2!$B$2:$B$1001,0),""))</f>
        <v/>
      </c>
      <c r="AR817" s="5">
        <f>IF($A817="","",IFERROR(MATCH($A817,Raw_D3!$A$2:$A$1001,0),""))</f>
        <v>197</v>
      </c>
    </row>
    <row r="818" spans="1:44" x14ac:dyDescent="0.25">
      <c r="A818" s="5">
        <v>817</v>
      </c>
      <c r="B818" s="11">
        <f>IF($A818="","",IF($AP818&lt;&gt;"",INDEX(Raw_D1!$B$2:$B$1001,$AP818),IF($AR818&lt;&gt;"",INDEX(Raw_D3!$B$2:$B$1001,$AR818),"")))</f>
        <v>40580.0</v>
      </c>
      <c r="C818" s="5">
        <f>IF($A818="","",IF($AP818&lt;&gt;"",INDEX(Raw_D1!$C$2:$C$1001,$AP818),IF($AR818&lt;&gt;"",INDEX(Raw_D3!$C$2:$C$1001,$AR818),"")))</f>
        <v>1</v>
      </c>
      <c r="D818" s="5">
        <f>IF($A818="","",IF($AP818&lt;&gt;"",INDEX(Raw_D1!$D$2:$D$1001,$AP818),IF($AR818&lt;&gt;"",INDEX(Raw_D3!$D$2:$D$1001,$AR818),"")))</f>
        <v>0</v>
      </c>
      <c r="E818" s="5">
        <f>IF($A818="","",IF($AP818&lt;&gt;"",INDEX(Raw_D1!$E$2:$E$1001,$AP818),IF($AR818&lt;&gt;"",INDEX(Raw_D3!$E$2:$E$1001,$AR818),"")))</f>
        <v>2</v>
      </c>
      <c r="F818" s="5">
        <f>IF($A818="","",IF($AP818&lt;&gt;"",INDEX(Raw_D1!$F$2:$F$1001,$AP818),IF($AR818&lt;&gt;"",INDEX(Raw_D3!$F$2:$F$1001,$AR818),"")))</f>
        <v>11</v>
      </c>
      <c r="G818" s="5">
        <f>IF($A818="","",IF($AP818&lt;&gt;"",IF(INDEX(Raw_D1!$G$2:$G$1001,$AP818),1,0),IF($AR818&lt;&gt;"",IF(INDEX(Raw_D3!$G$2:$G$1001,$AR818),1,0),"")))</f>
        <v>0</v>
      </c>
      <c r="H818" s="5">
        <f>IF($A818="","",IF($AP818&lt;&gt;"",INDEX(Raw_D1!$H$2:$H$1001,$AP818),IF($AR818&lt;&gt;"",INDEX(Raw_D3!$H$2:$H$1001,$AR818),"")))</f>
        <v>0</v>
      </c>
      <c r="I818" s="5">
        <f>IF($A818="","",IF($AP818&lt;&gt;"",INDEX(Raw_D1!$I$2:$I$1001,$AP818),IF($AR818&lt;&gt;"",INDEX(Raw_D3!$I$2:$I$1001,$AR818),"")))</f>
        <v>1</v>
      </c>
      <c r="J818" s="16">
        <f>IF($A818="","",IF($AP818&lt;&gt;"",INDEX(Raw_D1!$J$2:$J$1001,$AP818),IF($AR818&lt;&gt;"",INDEX(Raw_D3!$J$2:$J$1001,$AR818),"")))</f>
        <v>0.32</v>
      </c>
      <c r="K818" s="17">
        <f>IF($A818="","",IF($AQ818&lt;&gt;"",IF(INDEX(Raw_D2!$C$2:$C$1001,$AQ818)="","",INDEX(Raw_D2!$C$2:$C$1001,$AQ818)),IF($AR818&lt;&gt;"",IF(INDEX(Raw_D3!$K$2:$K$1001,$AR818)="","",INDEX(Raw_D3!$K$2:$K$1001,$AR818)),"")))</f>
        <v>0.303</v>
      </c>
      <c r="L818" s="16">
        <f>IF($A818="","",IF($AQ818&lt;&gt;"",IF(INDEX(Raw_D2!$D$2:$D$1001,$AQ818)="","",INDEX(Raw_D2!$D$2:$D$1001,$AQ818)),IF($AR818&lt;&gt;"",IF(INDEX(Raw_D3!$L$2:$L$1001,$AR818)="","",INDEX(Raw_D3!$L$2:$L$1001,$AR818)),"")))</f>
        <v>0.49</v>
      </c>
      <c r="M818" s="17">
        <f>IF($A818="","",IF($AQ818&lt;&gt;"",IF(INDEX(Raw_D2!$E$2:$E$1001,$AQ818)="","",INDEX(Raw_D2!$E$2:$E$1001,$AQ818)),IF($AR818&lt;&gt;"",IF(INDEX(Raw_D3!$M$2:$M$1001,$AR818)="","",INDEX(Raw_D3!$M$2:$M$1001,$AR818)),"")))</f>
        <v>0.2537</v>
      </c>
      <c r="N818" s="5">
        <f>IF($A818="","",IF($AQ818&lt;&gt;"",IF(INDEX(Raw_D2!$F$2:$F$1001,$AQ818)="","",INDEX(Raw_D2!$F$2:$F$1001,$AQ818)),IF($AR818&lt;&gt;"",IF(INDEX(Raw_D3!$N$2:$N$1001,$AR818)="","",INDEX(Raw_D3!$N$2:$N$1001,$AR818)),"")))</f>
        <v>28</v>
      </c>
      <c r="O818" s="5">
        <f>IF($A818="","",IF($AQ818&lt;&gt;"",IF(INDEX(Raw_D2!$G$2:$G$1001,$AQ818)="","",INDEX(Raw_D2!$G$2:$G$1001,$AQ818)),IF($AR818&lt;&gt;"",IF(INDEX(Raw_D3!$O$2:$O$1001,$AR818)="","",INDEX(Raw_D3!$O$2:$O$1001,$AR818)),"")))</f>
        <v>89</v>
      </c>
      <c r="P818" s="5">
        <f>IF($A818="","",IF($AQ818&lt;&gt;"",IF(INDEX(Raw_D2!$H$2:$H$1001,$AQ818)="","",INDEX(Raw_D2!$H$2:$H$1001,$AQ818)),IF($AR818&lt;&gt;"",IF(INDEX(Raw_D3!$P$2:$P$1001,$AR818)="","",INDEX(Raw_D3!$P$2:$P$1001,$AR818)),"")))</f>
        <v>117</v>
      </c>
      <c r="Q818" s="5" t="str">
        <f>IF($A818="","",IF(AND($AP818&lt;&gt;"",$AQ818&lt;&gt;""),"D1+D2",IF($AR818&lt;&gt;"","D3","Incomplete")))</f>
        <v>D3</v>
      </c>
      <c r="R818" s="17">
        <f>IF($A818="","",IF($K818="",IF($J818="","",ROUND(Lookups!$K$5+Lookups!$K$4*$J818,4)),$K818))</f>
        <v>0.303</v>
      </c>
      <c r="S818" s="5" t="str">
        <f>IF($A818="","",IF($K818="","Imputed","Original"))</f>
        <v>Original</v>
      </c>
      <c r="T818" s="5" t="str">
        <f>IF($A818="","",IF($P818="","Missing",IF($P818=$N818+$O818,"OK","Mismatch")))</f>
        <v>OK</v>
      </c>
      <c r="U818" s="5" t="str">
        <f>IF($A818="","",IF(COUNTIF($A$2:$A818,$A818)&gt;1,"Duplicate","Unique"))</f>
        <v>Unique</v>
      </c>
      <c r="V818" s="5">
        <f>IF($A818="","",IF(AND($U818="Unique",ISNUMBER($P818)),1,0))</f>
        <v>1</v>
      </c>
      <c r="W818" s="5" t="str">
        <f>IF($A818="","",IF(OR($H818=0,$H818=6),"Weekend","Weekday"))</f>
        <v>Weekend</v>
      </c>
      <c r="X818" s="5" t="str">
        <f>IF($A818="","",TEXT($B818,"ddd"))</f>
        <v>Sun</v>
      </c>
      <c r="Y818" s="5" t="str">
        <f>IF($A818="","",TEXT($B818,"mmm"))</f>
        <v>Feb</v>
      </c>
      <c r="Z818" s="5" t="str">
        <f>IF($A818="","",IFERROR(VLOOKUP($C818,Lookups!$D$4:$E$7,2,FALSE),"Unknown"))</f>
        <v>Winter</v>
      </c>
      <c r="AA818" s="5" t="str">
        <f>IF($A818="","",IFERROR(VLOOKUP($I818,Lookups!$A$4:$B$7,2,FALSE),"Unknown"))</f>
        <v>Clear</v>
      </c>
      <c r="AB818" s="5" t="str">
        <f>IF($A818="","",TEXT($F818,"00")&amp;":00")</f>
        <v>11:00</v>
      </c>
      <c r="AC818" s="5" t="str">
        <f>IF($A818="","",VLOOKUP($F818,Lookups!$G$4:$H$8,2,TRUE))</f>
        <v>Midday (10-15)</v>
      </c>
      <c r="AD818" s="18">
        <f>IF($A818="","",IF($J818="","",ROUND($J818*41,1)))</f>
        <v>13.1</v>
      </c>
      <c r="AE818" s="18">
        <f>IF($A818="","",IF($R818="","",ROUND($R818*50,1)))</f>
        <v>15.2</v>
      </c>
      <c r="AF818" s="5">
        <f>IF($A818="","",IF($L818="","",ROUND($L818*100,0)))</f>
        <v>49</v>
      </c>
      <c r="AG818" s="18">
        <f>IF($A818="","",IF($M818="","",ROUND($M818*67,1)))</f>
        <v>17</v>
      </c>
      <c r="AH818" s="19">
        <f>IF($A818="","",IF($P818="","",IF($P818=0,0,$O818/$P818)))</f>
        <v>0.760683760683761</v>
      </c>
      <c r="AI818" s="5" t="str">
        <f>IF($A818="","",IF($P818="","",IF($P818&gt;=Lookups!$K$7,"High",IF($P818&lt;=Lookups!$K$8,"Low","Medium"))))</f>
        <v>High</v>
      </c>
      <c r="AJ818" s="5" t="str">
        <f>IF($A818="","",IF($AD818="","",IF($AD818&lt;5,"Under 5 C",IF($AD818&lt;10,"5-10 C",IF($AD818&lt;15,"10-15 C","15 C and above")))))</f>
        <v>10-15 C</v>
      </c>
      <c r="AK818" s="5">
        <f>IF($A818="","",IF($P818="","",$P818^2))</f>
        <v>13689</v>
      </c>
      <c r="AL818" s="18">
        <f>IF($V818&lt;&gt;1,"",AVERAGEIFS(Clean_Data!$P$2:$P$1001,Clean_Data!$F$2:$F$1001,$F818,Clean_Data!$W$2:$W$1001,$W818,Clean_Data!$V$2:$V$1001,1))</f>
        <v>76.9285714285714</v>
      </c>
      <c r="AM818" s="16">
        <f>IF($V818&lt;&gt;1,"",IFERROR(($P818-$AL818)/SQRT(MAX(0,(SUMIFS(Clean_Data!$AK$2:$AK$1001,Clean_Data!$F$2:$F$1001,$F818,Clean_Data!$W$2:$W$1001,$W818,Clean_Data!$V$2:$V$1001,1)-COUNTIFS(Clean_Data!$F$2:$F$1001,$F818,Clean_Data!$W$2:$W$1001,$W818,Clean_Data!$V$2:$V$1001,1)*$AL818^2)/(COUNTIFS(Clean_Data!$F$2:$F$1001,$F818,Clean_Data!$W$2:$W$1001,$W818,Clean_Data!$V$2:$V$1001,1)-1))),""))</f>
        <v>1.61061384705895</v>
      </c>
      <c r="AN818" s="5" t="str">
        <f>IF($AM818="","",IF($AM818&gt;=Lookups!$K$6,"High spike",IF($AM818&lt;=-Lookups!$K$6,"Unusual low","Normal")))</f>
        <v>Normal</v>
      </c>
      <c r="AO818" s="20">
        <f>IF($V818&lt;&gt;1,"",$P818+ROW()/100000)</f>
        <v>117.00818</v>
      </c>
      <c r="AP818" s="5">
        <f>IF($A818="","",IFERROR(MATCH($A818,Raw_D1!$A$2:$A$1001,0),""))</f>
        <v/>
      </c>
      <c r="AQ818" s="5">
        <f>IF($A818="","",IFERROR(MATCH($A818,Raw_D2!$B$2:$B$1001,0),""))</f>
        <v/>
      </c>
      <c r="AR818" s="5">
        <f>IF($A818="","",IFERROR(MATCH($A818,Raw_D3!$A$2:$A$1001,0),""))</f>
        <v>198</v>
      </c>
    </row>
    <row r="819" spans="1:44" x14ac:dyDescent="0.25">
      <c r="A819" s="5">
        <v>818</v>
      </c>
      <c r="B819" s="11">
        <f>IF($A819="","",IF($AP819&lt;&gt;"",INDEX(Raw_D1!$B$2:$B$1001,$AP819),IF($AR819&lt;&gt;"",INDEX(Raw_D3!$B$2:$B$1001,$AR819),"")))</f>
        <v>40580.0</v>
      </c>
      <c r="C819" s="5">
        <f>IF($A819="","",IF($AP819&lt;&gt;"",INDEX(Raw_D1!$C$2:$C$1001,$AP819),IF($AR819&lt;&gt;"",INDEX(Raw_D3!$C$2:$C$1001,$AR819),"")))</f>
        <v>1</v>
      </c>
      <c r="D819" s="5">
        <f>IF($A819="","",IF($AP819&lt;&gt;"",INDEX(Raw_D1!$D$2:$D$1001,$AP819),IF($AR819&lt;&gt;"",INDEX(Raw_D3!$D$2:$D$1001,$AR819),"")))</f>
        <v>0</v>
      </c>
      <c r="E819" s="5">
        <f>IF($A819="","",IF($AP819&lt;&gt;"",INDEX(Raw_D1!$E$2:$E$1001,$AP819),IF($AR819&lt;&gt;"",INDEX(Raw_D3!$E$2:$E$1001,$AR819),"")))</f>
        <v>2</v>
      </c>
      <c r="F819" s="5">
        <f>IF($A819="","",IF($AP819&lt;&gt;"",INDEX(Raw_D1!$F$2:$F$1001,$AP819),IF($AR819&lt;&gt;"",INDEX(Raw_D3!$F$2:$F$1001,$AR819),"")))</f>
        <v>12</v>
      </c>
      <c r="G819" s="5">
        <f>IF($A819="","",IF($AP819&lt;&gt;"",IF(INDEX(Raw_D1!$G$2:$G$1001,$AP819),1,0),IF($AR819&lt;&gt;"",IF(INDEX(Raw_D3!$G$2:$G$1001,$AR819),1,0),"")))</f>
        <v>0</v>
      </c>
      <c r="H819" s="5">
        <f>IF($A819="","",IF($AP819&lt;&gt;"",INDEX(Raw_D1!$H$2:$H$1001,$AP819),IF($AR819&lt;&gt;"",INDEX(Raw_D3!$H$2:$H$1001,$AR819),"")))</f>
        <v>0</v>
      </c>
      <c r="I819" s="5">
        <f>IF($A819="","",IF($AP819&lt;&gt;"",INDEX(Raw_D1!$I$2:$I$1001,$AP819),IF($AR819&lt;&gt;"",INDEX(Raw_D3!$I$2:$I$1001,$AR819),"")))</f>
        <v>1</v>
      </c>
      <c r="J819" s="16">
        <f>IF($A819="","",IF($AP819&lt;&gt;"",INDEX(Raw_D1!$J$2:$J$1001,$AP819),IF($AR819&lt;&gt;"",INDEX(Raw_D3!$J$2:$J$1001,$AR819),"")))</f>
        <v>0.34</v>
      </c>
      <c r="K819" s="17">
        <f>IF($A819="","",IF($AQ819&lt;&gt;"",IF(INDEX(Raw_D2!$C$2:$C$1001,$AQ819)="","",INDEX(Raw_D2!$C$2:$C$1001,$AQ819)),IF($AR819&lt;&gt;"",IF(INDEX(Raw_D3!$K$2:$K$1001,$AR819)="","",INDEX(Raw_D3!$K$2:$K$1001,$AR819)),"")))</f>
        <v>0.3333</v>
      </c>
      <c r="L819" s="16">
        <f>IF($A819="","",IF($AQ819&lt;&gt;"",IF(INDEX(Raw_D2!$D$2:$D$1001,$AQ819)="","",INDEX(Raw_D2!$D$2:$D$1001,$AQ819)),IF($AR819&lt;&gt;"",IF(INDEX(Raw_D3!$L$2:$L$1001,$AR819)="","",INDEX(Raw_D3!$L$2:$L$1001,$AR819)),"")))</f>
        <v>0.46</v>
      </c>
      <c r="M819" s="17">
        <f>IF($A819="","",IF($AQ819&lt;&gt;"",IF(INDEX(Raw_D2!$E$2:$E$1001,$AQ819)="","",INDEX(Raw_D2!$E$2:$E$1001,$AQ819)),IF($AR819&lt;&gt;"",IF(INDEX(Raw_D3!$M$2:$M$1001,$AR819)="","",INDEX(Raw_D3!$M$2:$M$1001,$AR819)),"")))</f>
        <v>0</v>
      </c>
      <c r="N819" s="5">
        <f>IF($A819="","",IF($AQ819&lt;&gt;"",IF(INDEX(Raw_D2!$F$2:$F$1001,$AQ819)="","",INDEX(Raw_D2!$F$2:$F$1001,$AQ819)),IF($AR819&lt;&gt;"",IF(INDEX(Raw_D3!$N$2:$N$1001,$AR819)="","",INDEX(Raw_D3!$N$2:$N$1001,$AR819)),"")))</f>
        <v>48</v>
      </c>
      <c r="O819" s="5">
        <f>IF($A819="","",IF($AQ819&lt;&gt;"",IF(INDEX(Raw_D2!$G$2:$G$1001,$AQ819)="","",INDEX(Raw_D2!$G$2:$G$1001,$AQ819)),IF($AR819&lt;&gt;"",IF(INDEX(Raw_D3!$O$2:$O$1001,$AR819)="","",INDEX(Raw_D3!$O$2:$O$1001,$AR819)),"")))</f>
        <v>126</v>
      </c>
      <c r="P819" s="5">
        <f>IF($A819="","",IF($AQ819&lt;&gt;"",IF(INDEX(Raw_D2!$H$2:$H$1001,$AQ819)="","",INDEX(Raw_D2!$H$2:$H$1001,$AQ819)),IF($AR819&lt;&gt;"",IF(INDEX(Raw_D3!$P$2:$P$1001,$AR819)="","",INDEX(Raw_D3!$P$2:$P$1001,$AR819)),"")))</f>
        <v>174</v>
      </c>
      <c r="Q819" s="5" t="str">
        <f>IF($A819="","",IF(AND($AP819&lt;&gt;"",$AQ819&lt;&gt;""),"D1+D2",IF($AR819&lt;&gt;"","D3","Incomplete")))</f>
        <v>D3</v>
      </c>
      <c r="R819" s="17">
        <f>IF($A819="","",IF($K819="",IF($J819="","",ROUND(Lookups!$K$5+Lookups!$K$4*$J819,4)),$K819))</f>
        <v>0.3333</v>
      </c>
      <c r="S819" s="5" t="str">
        <f>IF($A819="","",IF($K819="","Imputed","Original"))</f>
        <v>Original</v>
      </c>
      <c r="T819" s="5" t="str">
        <f>IF($A819="","",IF($P819="","Missing",IF($P819=$N819+$O819,"OK","Mismatch")))</f>
        <v>OK</v>
      </c>
      <c r="U819" s="5" t="str">
        <f>IF($A819="","",IF(COUNTIF($A$2:$A819,$A819)&gt;1,"Duplicate","Unique"))</f>
        <v>Unique</v>
      </c>
      <c r="V819" s="5">
        <f>IF($A819="","",IF(AND($U819="Unique",ISNUMBER($P819)),1,0))</f>
        <v>1</v>
      </c>
      <c r="W819" s="5" t="str">
        <f>IF($A819="","",IF(OR($H819=0,$H819=6),"Weekend","Weekday"))</f>
        <v>Weekend</v>
      </c>
      <c r="X819" s="5" t="str">
        <f>IF($A819="","",TEXT($B819,"ddd"))</f>
        <v>Sun</v>
      </c>
      <c r="Y819" s="5" t="str">
        <f>IF($A819="","",TEXT($B819,"mmm"))</f>
        <v>Feb</v>
      </c>
      <c r="Z819" s="5" t="str">
        <f>IF($A819="","",IFERROR(VLOOKUP($C819,Lookups!$D$4:$E$7,2,FALSE),"Unknown"))</f>
        <v>Winter</v>
      </c>
      <c r="AA819" s="5" t="str">
        <f>IF($A819="","",IFERROR(VLOOKUP($I819,Lookups!$A$4:$B$7,2,FALSE),"Unknown"))</f>
        <v>Clear</v>
      </c>
      <c r="AB819" s="5" t="str">
        <f>IF($A819="","",TEXT($F819,"00")&amp;":00")</f>
        <v>12:00</v>
      </c>
      <c r="AC819" s="5" t="str">
        <f>IF($A819="","",VLOOKUP($F819,Lookups!$G$4:$H$8,2,TRUE))</f>
        <v>Midday (10-15)</v>
      </c>
      <c r="AD819" s="18">
        <f>IF($A819="","",IF($J819="","",ROUND($J819*41,1)))</f>
        <v>13.9</v>
      </c>
      <c r="AE819" s="18">
        <f>IF($A819="","",IF($R819="","",ROUND($R819*50,1)))</f>
        <v>16.7</v>
      </c>
      <c r="AF819" s="5">
        <f>IF($A819="","",IF($L819="","",ROUND($L819*100,0)))</f>
        <v>46</v>
      </c>
      <c r="AG819" s="18">
        <f>IF($A819="","",IF($M819="","",ROUND($M819*67,1)))</f>
        <v>0</v>
      </c>
      <c r="AH819" s="19">
        <f>IF($A819="","",IF($P819="","",IF($P819=0,0,$O819/$P819)))</f>
        <v>0.724137931034483</v>
      </c>
      <c r="AI819" s="5" t="str">
        <f>IF($A819="","",IF($P819="","",IF($P819&gt;=Lookups!$K$7,"High",IF($P819&lt;=Lookups!$K$8,"Low","Medium"))))</f>
        <v>High</v>
      </c>
      <c r="AJ819" s="5" t="str">
        <f>IF($A819="","",IF($AD819="","",IF($AD819&lt;5,"Under 5 C",IF($AD819&lt;10,"5-10 C",IF($AD819&lt;15,"10-15 C","15 C and above")))))</f>
        <v>10-15 C</v>
      </c>
      <c r="AK819" s="5">
        <f>IF($A819="","",IF($P819="","",$P819^2))</f>
        <v>30276</v>
      </c>
      <c r="AL819" s="18">
        <f>IF($V819&lt;&gt;1,"",AVERAGEIFS(Clean_Data!$P$2:$P$1001,Clean_Data!$F$2:$F$1001,$F819,Clean_Data!$W$2:$W$1001,$W819,Clean_Data!$V$2:$V$1001,1))</f>
        <v>100.714285714286</v>
      </c>
      <c r="AM819" s="16">
        <f>IF($V819&lt;&gt;1,"",IFERROR(($P819-$AL819)/SQRT(MAX(0,(SUMIFS(Clean_Data!$AK$2:$AK$1001,Clean_Data!$F$2:$F$1001,$F819,Clean_Data!$W$2:$W$1001,$W819,Clean_Data!$V$2:$V$1001,1)-COUNTIFS(Clean_Data!$F$2:$F$1001,$F819,Clean_Data!$W$2:$W$1001,$W819,Clean_Data!$V$2:$V$1001,1)*$AL819^2)/(COUNTIFS(Clean_Data!$F$2:$F$1001,$F819,Clean_Data!$W$2:$W$1001,$W819,Clean_Data!$V$2:$V$1001,1)-1))),""))</f>
        <v>2.29459056236957</v>
      </c>
      <c r="AN819" s="5" t="str">
        <f>IF($AM819="","",IF($AM819&gt;=Lookups!$K$6,"High spike",IF($AM819&lt;=-Lookups!$K$6,"Unusual low","Normal")))</f>
        <v>Normal</v>
      </c>
      <c r="AO819" s="20">
        <f>IF($V819&lt;&gt;1,"",$P819+ROW()/100000)</f>
        <v>174.00819</v>
      </c>
      <c r="AP819" s="5">
        <f>IF($A819="","",IFERROR(MATCH($A819,Raw_D1!$A$2:$A$1001,0),""))</f>
        <v/>
      </c>
      <c r="AQ819" s="5">
        <f>IF($A819="","",IFERROR(MATCH($A819,Raw_D2!$B$2:$B$1001,0),""))</f>
        <v/>
      </c>
      <c r="AR819" s="5">
        <f>IF($A819="","",IFERROR(MATCH($A819,Raw_D3!$A$2:$A$1001,0),""))</f>
        <v>199</v>
      </c>
    </row>
    <row r="820" spans="1:44" x14ac:dyDescent="0.25">
      <c r="A820" s="5">
        <v>819</v>
      </c>
      <c r="B820" s="11">
        <f>IF($A820="","",IF($AP820&lt;&gt;"",INDEX(Raw_D1!$B$2:$B$1001,$AP820),IF($AR820&lt;&gt;"",INDEX(Raw_D3!$B$2:$B$1001,$AR820),"")))</f>
        <v>40580.0</v>
      </c>
      <c r="C820" s="5">
        <f>IF($A820="","",IF($AP820&lt;&gt;"",INDEX(Raw_D1!$C$2:$C$1001,$AP820),IF($AR820&lt;&gt;"",INDEX(Raw_D3!$C$2:$C$1001,$AR820),"")))</f>
        <v>1</v>
      </c>
      <c r="D820" s="5">
        <f>IF($A820="","",IF($AP820&lt;&gt;"",INDEX(Raw_D1!$D$2:$D$1001,$AP820),IF($AR820&lt;&gt;"",INDEX(Raw_D3!$D$2:$D$1001,$AR820),"")))</f>
        <v>0</v>
      </c>
      <c r="E820" s="5">
        <f>IF($A820="","",IF($AP820&lt;&gt;"",INDEX(Raw_D1!$E$2:$E$1001,$AP820),IF($AR820&lt;&gt;"",INDEX(Raw_D3!$E$2:$E$1001,$AR820),"")))</f>
        <v>2</v>
      </c>
      <c r="F820" s="5">
        <f>IF($A820="","",IF($AP820&lt;&gt;"",INDEX(Raw_D1!$F$2:$F$1001,$AP820),IF($AR820&lt;&gt;"",INDEX(Raw_D3!$F$2:$F$1001,$AR820),"")))</f>
        <v>13</v>
      </c>
      <c r="G820" s="5">
        <f>IF($A820="","",IF($AP820&lt;&gt;"",IF(INDEX(Raw_D1!$G$2:$G$1001,$AP820),1,0),IF($AR820&lt;&gt;"",IF(INDEX(Raw_D3!$G$2:$G$1001,$AR820),1,0),"")))</f>
        <v>0</v>
      </c>
      <c r="H820" s="5">
        <f>IF($A820="","",IF($AP820&lt;&gt;"",INDEX(Raw_D1!$H$2:$H$1001,$AP820),IF($AR820&lt;&gt;"",INDEX(Raw_D3!$H$2:$H$1001,$AR820),"")))</f>
        <v>0</v>
      </c>
      <c r="I820" s="5">
        <f>IF($A820="","",IF($AP820&lt;&gt;"",INDEX(Raw_D1!$I$2:$I$1001,$AP820),IF($AR820&lt;&gt;"",INDEX(Raw_D3!$I$2:$I$1001,$AR820),"")))</f>
        <v>1</v>
      </c>
      <c r="J820" s="16">
        <f>IF($A820="","",IF($AP820&lt;&gt;"",INDEX(Raw_D1!$J$2:$J$1001,$AP820),IF($AR820&lt;&gt;"",INDEX(Raw_D3!$J$2:$J$1001,$AR820),"")))</f>
        <v>0.34</v>
      </c>
      <c r="K820" s="17">
        <f>IF($A820="","",IF($AQ820&lt;&gt;"",IF(INDEX(Raw_D2!$C$2:$C$1001,$AQ820)="","",INDEX(Raw_D2!$C$2:$C$1001,$AQ820)),IF($AR820&lt;&gt;"",IF(INDEX(Raw_D3!$K$2:$K$1001,$AR820)="","",INDEX(Raw_D3!$K$2:$K$1001,$AR820)),"")))</f>
        <v>0.3636</v>
      </c>
      <c r="L820" s="16">
        <f>IF($A820="","",IF($AQ820&lt;&gt;"",IF(INDEX(Raw_D2!$D$2:$D$1001,$AQ820)="","",INDEX(Raw_D2!$D$2:$D$1001,$AQ820)),IF($AR820&lt;&gt;"",IF(INDEX(Raw_D3!$L$2:$L$1001,$AR820)="","",INDEX(Raw_D3!$L$2:$L$1001,$AR820)),"")))</f>
        <v>0.46</v>
      </c>
      <c r="M820" s="17">
        <f>IF($A820="","",IF($AQ820&lt;&gt;"",IF(INDEX(Raw_D2!$E$2:$E$1001,$AQ820)="","",INDEX(Raw_D2!$E$2:$E$1001,$AQ820)),IF($AR820&lt;&gt;"",IF(INDEX(Raw_D3!$M$2:$M$1001,$AR820)="","",INDEX(Raw_D3!$M$2:$M$1001,$AR820)),"")))</f>
        <v>0</v>
      </c>
      <c r="N820" s="5">
        <f>IF($A820="","",IF($AQ820&lt;&gt;"",IF(INDEX(Raw_D2!$F$2:$F$1001,$AQ820)="","",INDEX(Raw_D2!$F$2:$F$1001,$AQ820)),IF($AR820&lt;&gt;"",IF(INDEX(Raw_D3!$N$2:$N$1001,$AR820)="","",INDEX(Raw_D3!$N$2:$N$1001,$AR820)),"")))</f>
        <v>47</v>
      </c>
      <c r="O820" s="5">
        <f>IF($A820="","",IF($AQ820&lt;&gt;"",IF(INDEX(Raw_D2!$G$2:$G$1001,$AQ820)="","",INDEX(Raw_D2!$G$2:$G$1001,$AQ820)),IF($AR820&lt;&gt;"",IF(INDEX(Raw_D3!$O$2:$O$1001,$AR820)="","",INDEX(Raw_D3!$O$2:$O$1001,$AR820)),"")))</f>
        <v>135</v>
      </c>
      <c r="P820" s="5">
        <f>IF($A820="","",IF($AQ820&lt;&gt;"",IF(INDEX(Raw_D2!$H$2:$H$1001,$AQ820)="","",INDEX(Raw_D2!$H$2:$H$1001,$AQ820)),IF($AR820&lt;&gt;"",IF(INDEX(Raw_D3!$P$2:$P$1001,$AR820)="","",INDEX(Raw_D3!$P$2:$P$1001,$AR820)),"")))</f>
        <v>182</v>
      </c>
      <c r="Q820" s="5" t="str">
        <f>IF($A820="","",IF(AND($AP820&lt;&gt;"",$AQ820&lt;&gt;""),"D1+D2",IF($AR820&lt;&gt;"","D3","Incomplete")))</f>
        <v>D3</v>
      </c>
      <c r="R820" s="17">
        <f>IF($A820="","",IF($K820="",IF($J820="","",ROUND(Lookups!$K$5+Lookups!$K$4*$J820,4)),$K820))</f>
        <v>0.3636</v>
      </c>
      <c r="S820" s="5" t="str">
        <f>IF($A820="","",IF($K820="","Imputed","Original"))</f>
        <v>Original</v>
      </c>
      <c r="T820" s="5" t="str">
        <f>IF($A820="","",IF($P820="","Missing",IF($P820=$N820+$O820,"OK","Mismatch")))</f>
        <v>OK</v>
      </c>
      <c r="U820" s="5" t="str">
        <f>IF($A820="","",IF(COUNTIF($A$2:$A820,$A820)&gt;1,"Duplicate","Unique"))</f>
        <v>Unique</v>
      </c>
      <c r="V820" s="5">
        <f>IF($A820="","",IF(AND($U820="Unique",ISNUMBER($P820)),1,0))</f>
        <v>1</v>
      </c>
      <c r="W820" s="5" t="str">
        <f>IF($A820="","",IF(OR($H820=0,$H820=6),"Weekend","Weekday"))</f>
        <v>Weekend</v>
      </c>
      <c r="X820" s="5" t="str">
        <f>IF($A820="","",TEXT($B820,"ddd"))</f>
        <v>Sun</v>
      </c>
      <c r="Y820" s="5" t="str">
        <f>IF($A820="","",TEXT($B820,"mmm"))</f>
        <v>Feb</v>
      </c>
      <c r="Z820" s="5" t="str">
        <f>IF($A820="","",IFERROR(VLOOKUP($C820,Lookups!$D$4:$E$7,2,FALSE),"Unknown"))</f>
        <v>Winter</v>
      </c>
      <c r="AA820" s="5" t="str">
        <f>IF($A820="","",IFERROR(VLOOKUP($I820,Lookups!$A$4:$B$7,2,FALSE),"Unknown"))</f>
        <v>Clear</v>
      </c>
      <c r="AB820" s="5" t="str">
        <f>IF($A820="","",TEXT($F820,"00")&amp;":00")</f>
        <v>13:00</v>
      </c>
      <c r="AC820" s="5" t="str">
        <f>IF($A820="","",VLOOKUP($F820,Lookups!$G$4:$H$8,2,TRUE))</f>
        <v>Midday (10-15)</v>
      </c>
      <c r="AD820" s="18">
        <f>IF($A820="","",IF($J820="","",ROUND($J820*41,1)))</f>
        <v>13.9</v>
      </c>
      <c r="AE820" s="18">
        <f>IF($A820="","",IF($R820="","",ROUND($R820*50,1)))</f>
        <v>18.2</v>
      </c>
      <c r="AF820" s="5">
        <f>IF($A820="","",IF($L820="","",ROUND($L820*100,0)))</f>
        <v>46</v>
      </c>
      <c r="AG820" s="18">
        <f>IF($A820="","",IF($M820="","",ROUND($M820*67,1)))</f>
        <v>0</v>
      </c>
      <c r="AH820" s="19">
        <f>IF($A820="","",IF($P820="","",IF($P820=0,0,$O820/$P820)))</f>
        <v>0.741758241758242</v>
      </c>
      <c r="AI820" s="5" t="str">
        <f>IF($A820="","",IF($P820="","",IF($P820&gt;=Lookups!$K$7,"High",IF($P820&lt;=Lookups!$K$8,"Low","Medium"))))</f>
        <v>High</v>
      </c>
      <c r="AJ820" s="5" t="str">
        <f>IF($A820="","",IF($AD820="","",IF($AD820&lt;5,"Under 5 C",IF($AD820&lt;10,"5-10 C",IF($AD820&lt;15,"10-15 C","15 C and above")))))</f>
        <v>10-15 C</v>
      </c>
      <c r="AK820" s="5">
        <f>IF($A820="","",IF($P820="","",$P820^2))</f>
        <v>33124</v>
      </c>
      <c r="AL820" s="18">
        <f>IF($V820&lt;&gt;1,"",AVERAGEIFS(Clean_Data!$P$2:$P$1001,Clean_Data!$F$2:$F$1001,$F820,Clean_Data!$W$2:$W$1001,$W820,Clean_Data!$V$2:$V$1001,1))</f>
        <v>102</v>
      </c>
      <c r="AM820" s="16">
        <f>IF($V820&lt;&gt;1,"",IFERROR(($P820-$AL820)/SQRT(MAX(0,(SUMIFS(Clean_Data!$AK$2:$AK$1001,Clean_Data!$F$2:$F$1001,$F820,Clean_Data!$W$2:$W$1001,$W820,Clean_Data!$V$2:$V$1001,1)-COUNTIFS(Clean_Data!$F$2:$F$1001,$F820,Clean_Data!$W$2:$W$1001,$W820,Clean_Data!$V$2:$V$1001,1)*$AL820^2)/(COUNTIFS(Clean_Data!$F$2:$F$1001,$F820,Clean_Data!$W$2:$W$1001,$W820,Clean_Data!$V$2:$V$1001,1)-1))),""))</f>
        <v>2.34623740464993</v>
      </c>
      <c r="AN820" s="5" t="str">
        <f>IF($AM820="","",IF($AM820&gt;=Lookups!$K$6,"High spike",IF($AM820&lt;=-Lookups!$K$6,"Unusual low","Normal")))</f>
        <v>Normal</v>
      </c>
      <c r="AO820" s="20">
        <f>IF($V820&lt;&gt;1,"",$P820+ROW()/100000)</f>
        <v>182.0082</v>
      </c>
      <c r="AP820" s="5">
        <f>IF($A820="","",IFERROR(MATCH($A820,Raw_D1!$A$2:$A$1001,0),""))</f>
        <v/>
      </c>
      <c r="AQ820" s="5">
        <f>IF($A820="","",IFERROR(MATCH($A820,Raw_D2!$B$2:$B$1001,0),""))</f>
        <v/>
      </c>
      <c r="AR820" s="5">
        <f>IF($A820="","",IFERROR(MATCH($A820,Raw_D3!$A$2:$A$1001,0),""))</f>
        <v>200</v>
      </c>
    </row>
    <row r="821" spans="1:44" x14ac:dyDescent="0.25">
      <c r="A821" s="5">
        <v>820</v>
      </c>
      <c r="B821" s="11">
        <f>IF($A821="","",IF($AP821&lt;&gt;"",INDEX(Raw_D1!$B$2:$B$1001,$AP821),IF($AR821&lt;&gt;"",INDEX(Raw_D3!$B$2:$B$1001,$AR821),"")))</f>
        <v>40580.0</v>
      </c>
      <c r="C821" s="5">
        <f>IF($A821="","",IF($AP821&lt;&gt;"",INDEX(Raw_D1!$C$2:$C$1001,$AP821),IF($AR821&lt;&gt;"",INDEX(Raw_D3!$C$2:$C$1001,$AR821),"")))</f>
        <v>1</v>
      </c>
      <c r="D821" s="5">
        <f>IF($A821="","",IF($AP821&lt;&gt;"",INDEX(Raw_D1!$D$2:$D$1001,$AP821),IF($AR821&lt;&gt;"",INDEX(Raw_D3!$D$2:$D$1001,$AR821),"")))</f>
        <v>0</v>
      </c>
      <c r="E821" s="5">
        <f>IF($A821="","",IF($AP821&lt;&gt;"",INDEX(Raw_D1!$E$2:$E$1001,$AP821),IF($AR821&lt;&gt;"",INDEX(Raw_D3!$E$2:$E$1001,$AR821),"")))</f>
        <v>2</v>
      </c>
      <c r="F821" s="5">
        <f>IF($A821="","",IF($AP821&lt;&gt;"",INDEX(Raw_D1!$F$2:$F$1001,$AP821),IF($AR821&lt;&gt;"",INDEX(Raw_D3!$F$2:$F$1001,$AR821),"")))</f>
        <v>14</v>
      </c>
      <c r="G821" s="5">
        <f>IF($A821="","",IF($AP821&lt;&gt;"",IF(INDEX(Raw_D1!$G$2:$G$1001,$AP821),1,0),IF($AR821&lt;&gt;"",IF(INDEX(Raw_D3!$G$2:$G$1001,$AR821),1,0),"")))</f>
        <v>0</v>
      </c>
      <c r="H821" s="5">
        <f>IF($A821="","",IF($AP821&lt;&gt;"",INDEX(Raw_D1!$H$2:$H$1001,$AP821),IF($AR821&lt;&gt;"",INDEX(Raw_D3!$H$2:$H$1001,$AR821),"")))</f>
        <v>0</v>
      </c>
      <c r="I821" s="5">
        <f>IF($A821="","",IF($AP821&lt;&gt;"",INDEX(Raw_D1!$I$2:$I$1001,$AP821),IF($AR821&lt;&gt;"",INDEX(Raw_D3!$I$2:$I$1001,$AR821),"")))</f>
        <v>1</v>
      </c>
      <c r="J821" s="16">
        <f>IF($A821="","",IF($AP821&lt;&gt;"",INDEX(Raw_D1!$J$2:$J$1001,$AP821),IF($AR821&lt;&gt;"",INDEX(Raw_D3!$J$2:$J$1001,$AR821),"")))</f>
        <v>0.34</v>
      </c>
      <c r="K821" s="17">
        <f>IF($A821="","",IF($AQ821&lt;&gt;"",IF(INDEX(Raw_D2!$C$2:$C$1001,$AQ821)="","",INDEX(Raw_D2!$C$2:$C$1001,$AQ821)),IF($AR821&lt;&gt;"",IF(INDEX(Raw_D3!$K$2:$K$1001,$AR821)="","",INDEX(Raw_D3!$K$2:$K$1001,$AR821)),"")))</f>
        <v>0.3485</v>
      </c>
      <c r="L821" s="16">
        <f>IF($A821="","",IF($AQ821&lt;&gt;"",IF(INDEX(Raw_D2!$D$2:$D$1001,$AQ821)="","",INDEX(Raw_D2!$D$2:$D$1001,$AQ821)),IF($AR821&lt;&gt;"",IF(INDEX(Raw_D3!$L$2:$L$1001,$AR821)="","",INDEX(Raw_D3!$L$2:$L$1001,$AR821)),"")))</f>
        <v>0.46</v>
      </c>
      <c r="M821" s="17">
        <f>IF($A821="","",IF($AQ821&lt;&gt;"",IF(INDEX(Raw_D2!$E$2:$E$1001,$AQ821)="","",INDEX(Raw_D2!$E$2:$E$1001,$AQ821)),IF($AR821&lt;&gt;"",IF(INDEX(Raw_D3!$M$2:$M$1001,$AR821)="","",INDEX(Raw_D3!$M$2:$M$1001,$AR821)),"")))</f>
        <v>0.0896</v>
      </c>
      <c r="N821" s="5">
        <f>IF($A821="","",IF($AQ821&lt;&gt;"",IF(INDEX(Raw_D2!$F$2:$F$1001,$AQ821)="","",INDEX(Raw_D2!$F$2:$F$1001,$AQ821)),IF($AR821&lt;&gt;"",IF(INDEX(Raw_D3!$N$2:$N$1001,$AR821)="","",INDEX(Raw_D3!$N$2:$N$1001,$AR821)),"")))</f>
        <v>47</v>
      </c>
      <c r="O821" s="5">
        <f>IF($A821="","",IF($AQ821&lt;&gt;"",IF(INDEX(Raw_D2!$G$2:$G$1001,$AQ821)="","",INDEX(Raw_D2!$G$2:$G$1001,$AQ821)),IF($AR821&lt;&gt;"",IF(INDEX(Raw_D3!$O$2:$O$1001,$AR821)="","",INDEX(Raw_D3!$O$2:$O$1001,$AR821)),"")))</f>
        <v>114</v>
      </c>
      <c r="P821" s="5">
        <f>IF($A821="","",IF($AQ821&lt;&gt;"",IF(INDEX(Raw_D2!$H$2:$H$1001,$AQ821)="","",INDEX(Raw_D2!$H$2:$H$1001,$AQ821)),IF($AR821&lt;&gt;"",IF(INDEX(Raw_D3!$P$2:$P$1001,$AR821)="","",INDEX(Raw_D3!$P$2:$P$1001,$AR821)),"")))</f>
        <v>161</v>
      </c>
      <c r="Q821" s="5" t="str">
        <f>IF($A821="","",IF(AND($AP821&lt;&gt;"",$AQ821&lt;&gt;""),"D1+D2",IF($AR821&lt;&gt;"","D3","Incomplete")))</f>
        <v>D3</v>
      </c>
      <c r="R821" s="17">
        <f>IF($A821="","",IF($K821="",IF($J821="","",ROUND(Lookups!$K$5+Lookups!$K$4*$J821,4)),$K821))</f>
        <v>0.3485</v>
      </c>
      <c r="S821" s="5" t="str">
        <f>IF($A821="","",IF($K821="","Imputed","Original"))</f>
        <v>Original</v>
      </c>
      <c r="T821" s="5" t="str">
        <f>IF($A821="","",IF($P821="","Missing",IF($P821=$N821+$O821,"OK","Mismatch")))</f>
        <v>OK</v>
      </c>
      <c r="U821" s="5" t="str">
        <f>IF($A821="","",IF(COUNTIF($A$2:$A821,$A821)&gt;1,"Duplicate","Unique"))</f>
        <v>Unique</v>
      </c>
      <c r="V821" s="5">
        <f>IF($A821="","",IF(AND($U821="Unique",ISNUMBER($P821)),1,0))</f>
        <v>1</v>
      </c>
      <c r="W821" s="5" t="str">
        <f>IF($A821="","",IF(OR($H821=0,$H821=6),"Weekend","Weekday"))</f>
        <v>Weekend</v>
      </c>
      <c r="X821" s="5" t="str">
        <f>IF($A821="","",TEXT($B821,"ddd"))</f>
        <v>Sun</v>
      </c>
      <c r="Y821" s="5" t="str">
        <f>IF($A821="","",TEXT($B821,"mmm"))</f>
        <v>Feb</v>
      </c>
      <c r="Z821" s="5" t="str">
        <f>IF($A821="","",IFERROR(VLOOKUP($C821,Lookups!$D$4:$E$7,2,FALSE),"Unknown"))</f>
        <v>Winter</v>
      </c>
      <c r="AA821" s="5" t="str">
        <f>IF($A821="","",IFERROR(VLOOKUP($I821,Lookups!$A$4:$B$7,2,FALSE),"Unknown"))</f>
        <v>Clear</v>
      </c>
      <c r="AB821" s="5" t="str">
        <f>IF($A821="","",TEXT($F821,"00")&amp;":00")</f>
        <v>14:00</v>
      </c>
      <c r="AC821" s="5" t="str">
        <f>IF($A821="","",VLOOKUP($F821,Lookups!$G$4:$H$8,2,TRUE))</f>
        <v>Midday (10-15)</v>
      </c>
      <c r="AD821" s="18">
        <f>IF($A821="","",IF($J821="","",ROUND($J821*41,1)))</f>
        <v>13.9</v>
      </c>
      <c r="AE821" s="18">
        <f>IF($A821="","",IF($R821="","",ROUND($R821*50,1)))</f>
        <v>17.4</v>
      </c>
      <c r="AF821" s="5">
        <f>IF($A821="","",IF($L821="","",ROUND($L821*100,0)))</f>
        <v>46</v>
      </c>
      <c r="AG821" s="18">
        <f>IF($A821="","",IF($M821="","",ROUND($M821*67,1)))</f>
        <v>6</v>
      </c>
      <c r="AH821" s="19">
        <f>IF($A821="","",IF($P821="","",IF($P821=0,0,$O821/$P821)))</f>
        <v>0.708074534161491</v>
      </c>
      <c r="AI821" s="5" t="str">
        <f>IF($A821="","",IF($P821="","",IF($P821&gt;=Lookups!$K$7,"High",IF($P821&lt;=Lookups!$K$8,"Low","Medium"))))</f>
        <v>High</v>
      </c>
      <c r="AJ821" s="5" t="str">
        <f>IF($A821="","",IF($AD821="","",IF($AD821&lt;5,"Under 5 C",IF($AD821&lt;10,"5-10 C",IF($AD821&lt;15,"10-15 C","15 C and above")))))</f>
        <v>10-15 C</v>
      </c>
      <c r="AK821" s="5">
        <f>IF($A821="","",IF($P821="","",$P821^2))</f>
        <v>25921</v>
      </c>
      <c r="AL821" s="18">
        <f>IF($V821&lt;&gt;1,"",AVERAGEIFS(Clean_Data!$P$2:$P$1001,Clean_Data!$F$2:$F$1001,$F821,Clean_Data!$W$2:$W$1001,$W821,Clean_Data!$V$2:$V$1001,1))</f>
        <v>103.142857142857</v>
      </c>
      <c r="AM821" s="16">
        <f>IF($V821&lt;&gt;1,"",IFERROR(($P821-$AL821)/SQRT(MAX(0,(SUMIFS(Clean_Data!$AK$2:$AK$1001,Clean_Data!$F$2:$F$1001,$F821,Clean_Data!$W$2:$W$1001,$W821,Clean_Data!$V$2:$V$1001,1)-COUNTIFS(Clean_Data!$F$2:$F$1001,$F821,Clean_Data!$W$2:$W$1001,$W821,Clean_Data!$V$2:$V$1001,1)*$AL821^2)/(COUNTIFS(Clean_Data!$F$2:$F$1001,$F821,Clean_Data!$W$2:$W$1001,$W821,Clean_Data!$V$2:$V$1001,1)-1))),""))</f>
        <v>1.77131133578792</v>
      </c>
      <c r="AN821" s="5" t="str">
        <f>IF($AM821="","",IF($AM821&gt;=Lookups!$K$6,"High spike",IF($AM821&lt;=-Lookups!$K$6,"Unusual low","Normal")))</f>
        <v>Normal</v>
      </c>
      <c r="AO821" s="20">
        <f>IF($V821&lt;&gt;1,"",$P821+ROW()/100000)</f>
        <v>161.00821</v>
      </c>
      <c r="AP821" s="5">
        <f>IF($A821="","",IFERROR(MATCH($A821,Raw_D1!$A$2:$A$1001,0),""))</f>
        <v/>
      </c>
      <c r="AQ821" s="5">
        <f>IF($A821="","",IFERROR(MATCH($A821,Raw_D2!$B$2:$B$1001,0),""))</f>
        <v/>
      </c>
      <c r="AR821" s="5">
        <f>IF($A821="","",IFERROR(MATCH($A821,Raw_D3!$A$2:$A$1001,0),""))</f>
        <v>201</v>
      </c>
    </row>
    <row r="822" spans="1:44" x14ac:dyDescent="0.25">
      <c r="A822" s="5">
        <v>821</v>
      </c>
      <c r="B822" s="11">
        <f>IF($A822="","",IF($AP822&lt;&gt;"",INDEX(Raw_D1!$B$2:$B$1001,$AP822),IF($AR822&lt;&gt;"",INDEX(Raw_D3!$B$2:$B$1001,$AR822),"")))</f>
        <v>40580.0</v>
      </c>
      <c r="C822" s="5">
        <f>IF($A822="","",IF($AP822&lt;&gt;"",INDEX(Raw_D1!$C$2:$C$1001,$AP822),IF($AR822&lt;&gt;"",INDEX(Raw_D3!$C$2:$C$1001,$AR822),"")))</f>
        <v>1</v>
      </c>
      <c r="D822" s="5">
        <f>IF($A822="","",IF($AP822&lt;&gt;"",INDEX(Raw_D1!$D$2:$D$1001,$AP822),IF($AR822&lt;&gt;"",INDEX(Raw_D3!$D$2:$D$1001,$AR822),"")))</f>
        <v>0</v>
      </c>
      <c r="E822" s="5">
        <f>IF($A822="","",IF($AP822&lt;&gt;"",INDEX(Raw_D1!$E$2:$E$1001,$AP822),IF($AR822&lt;&gt;"",INDEX(Raw_D3!$E$2:$E$1001,$AR822),"")))</f>
        <v>2</v>
      </c>
      <c r="F822" s="5">
        <f>IF($A822="","",IF($AP822&lt;&gt;"",INDEX(Raw_D1!$F$2:$F$1001,$AP822),IF($AR822&lt;&gt;"",INDEX(Raw_D3!$F$2:$F$1001,$AR822),"")))</f>
        <v>15</v>
      </c>
      <c r="G822" s="5">
        <f>IF($A822="","",IF($AP822&lt;&gt;"",IF(INDEX(Raw_D1!$G$2:$G$1001,$AP822),1,0),IF($AR822&lt;&gt;"",IF(INDEX(Raw_D3!$G$2:$G$1001,$AR822),1,0),"")))</f>
        <v>0</v>
      </c>
      <c r="H822" s="5">
        <f>IF($A822="","",IF($AP822&lt;&gt;"",INDEX(Raw_D1!$H$2:$H$1001,$AP822),IF($AR822&lt;&gt;"",INDEX(Raw_D3!$H$2:$H$1001,$AR822),"")))</f>
        <v>0</v>
      </c>
      <c r="I822" s="5">
        <f>IF($A822="","",IF($AP822&lt;&gt;"",INDEX(Raw_D1!$I$2:$I$1001,$AP822),IF($AR822&lt;&gt;"",INDEX(Raw_D3!$I$2:$I$1001,$AR822),"")))</f>
        <v>1</v>
      </c>
      <c r="J822" s="16">
        <f>IF($A822="","",IF($AP822&lt;&gt;"",INDEX(Raw_D1!$J$2:$J$1001,$AP822),IF($AR822&lt;&gt;"",INDEX(Raw_D3!$J$2:$J$1001,$AR822),"")))</f>
        <v>0.34</v>
      </c>
      <c r="K822" s="17">
        <f>IF($A822="","",IF($AQ822&lt;&gt;"",IF(INDEX(Raw_D2!$C$2:$C$1001,$AQ822)="","",INDEX(Raw_D2!$C$2:$C$1001,$AQ822)),IF($AR822&lt;&gt;"",IF(INDEX(Raw_D3!$K$2:$K$1001,$AR822)="","",INDEX(Raw_D3!$K$2:$K$1001,$AR822)),"")))</f>
        <v>0.3485</v>
      </c>
      <c r="L822" s="16">
        <f>IF($A822="","",IF($AQ822&lt;&gt;"",IF(INDEX(Raw_D2!$D$2:$D$1001,$AQ822)="","",INDEX(Raw_D2!$D$2:$D$1001,$AQ822)),IF($AR822&lt;&gt;"",IF(INDEX(Raw_D3!$L$2:$L$1001,$AR822)="","",INDEX(Raw_D3!$L$2:$L$1001,$AR822)),"")))</f>
        <v>0.46</v>
      </c>
      <c r="M822" s="17">
        <f>IF($A822="","",IF($AQ822&lt;&gt;"",IF(INDEX(Raw_D2!$E$2:$E$1001,$AQ822)="","",INDEX(Raw_D2!$E$2:$E$1001,$AQ822)),IF($AR822&lt;&gt;"",IF(INDEX(Raw_D3!$M$2:$M$1001,$AR822)="","",INDEX(Raw_D3!$M$2:$M$1001,$AR822)),"")))</f>
        <v>0.0896</v>
      </c>
      <c r="N822" s="5">
        <f>IF($A822="","",IF($AQ822&lt;&gt;"",IF(INDEX(Raw_D2!$F$2:$F$1001,$AQ822)="","",INDEX(Raw_D2!$F$2:$F$1001,$AQ822)),IF($AR822&lt;&gt;"",IF(INDEX(Raw_D3!$N$2:$N$1001,$AR822)="","",INDEX(Raw_D3!$N$2:$N$1001,$AR822)),"")))</f>
        <v>52</v>
      </c>
      <c r="O822" s="5">
        <f>IF($A822="","",IF($AQ822&lt;&gt;"",IF(INDEX(Raw_D2!$G$2:$G$1001,$AQ822)="","",INDEX(Raw_D2!$G$2:$G$1001,$AQ822)),IF($AR822&lt;&gt;"",IF(INDEX(Raw_D3!$O$2:$O$1001,$AR822)="","",INDEX(Raw_D3!$O$2:$O$1001,$AR822)),"")))</f>
        <v>130</v>
      </c>
      <c r="P822" s="5">
        <f>IF($A822="","",IF($AQ822&lt;&gt;"",IF(INDEX(Raw_D2!$H$2:$H$1001,$AQ822)="","",INDEX(Raw_D2!$H$2:$H$1001,$AQ822)),IF($AR822&lt;&gt;"",IF(INDEX(Raw_D3!$P$2:$P$1001,$AR822)="","",INDEX(Raw_D3!$P$2:$P$1001,$AR822)),"")))</f>
        <v>182</v>
      </c>
      <c r="Q822" s="5" t="str">
        <f>IF($A822="","",IF(AND($AP822&lt;&gt;"",$AQ822&lt;&gt;""),"D1+D2",IF($AR822&lt;&gt;"","D3","Incomplete")))</f>
        <v>D3</v>
      </c>
      <c r="R822" s="17">
        <f>IF($A822="","",IF($K822="",IF($J822="","",ROUND(Lookups!$K$5+Lookups!$K$4*$J822,4)),$K822))</f>
        <v>0.3485</v>
      </c>
      <c r="S822" s="5" t="str">
        <f>IF($A822="","",IF($K822="","Imputed","Original"))</f>
        <v>Original</v>
      </c>
      <c r="T822" s="5" t="str">
        <f>IF($A822="","",IF($P822="","Missing",IF($P822=$N822+$O822,"OK","Mismatch")))</f>
        <v>OK</v>
      </c>
      <c r="U822" s="5" t="str">
        <f>IF($A822="","",IF(COUNTIF($A$2:$A822,$A822)&gt;1,"Duplicate","Unique"))</f>
        <v>Unique</v>
      </c>
      <c r="V822" s="5">
        <f>IF($A822="","",IF(AND($U822="Unique",ISNUMBER($P822)),1,0))</f>
        <v>1</v>
      </c>
      <c r="W822" s="5" t="str">
        <f>IF($A822="","",IF(OR($H822=0,$H822=6),"Weekend","Weekday"))</f>
        <v>Weekend</v>
      </c>
      <c r="X822" s="5" t="str">
        <f>IF($A822="","",TEXT($B822,"ddd"))</f>
        <v>Sun</v>
      </c>
      <c r="Y822" s="5" t="str">
        <f>IF($A822="","",TEXT($B822,"mmm"))</f>
        <v>Feb</v>
      </c>
      <c r="Z822" s="5" t="str">
        <f>IF($A822="","",IFERROR(VLOOKUP($C822,Lookups!$D$4:$E$7,2,FALSE),"Unknown"))</f>
        <v>Winter</v>
      </c>
      <c r="AA822" s="5" t="str">
        <f>IF($A822="","",IFERROR(VLOOKUP($I822,Lookups!$A$4:$B$7,2,FALSE),"Unknown"))</f>
        <v>Clear</v>
      </c>
      <c r="AB822" s="5" t="str">
        <f>IF($A822="","",TEXT($F822,"00")&amp;":00")</f>
        <v>15:00</v>
      </c>
      <c r="AC822" s="5" t="str">
        <f>IF($A822="","",VLOOKUP($F822,Lookups!$G$4:$H$8,2,TRUE))</f>
        <v>Midday (10-15)</v>
      </c>
      <c r="AD822" s="18">
        <f>IF($A822="","",IF($J822="","",ROUND($J822*41,1)))</f>
        <v>13.9</v>
      </c>
      <c r="AE822" s="18">
        <f>IF($A822="","",IF($R822="","",ROUND($R822*50,1)))</f>
        <v>17.4</v>
      </c>
      <c r="AF822" s="5">
        <f>IF($A822="","",IF($L822="","",ROUND($L822*100,0)))</f>
        <v>46</v>
      </c>
      <c r="AG822" s="18">
        <f>IF($A822="","",IF($M822="","",ROUND($M822*67,1)))</f>
        <v>6</v>
      </c>
      <c r="AH822" s="19">
        <f>IF($A822="","",IF($P822="","",IF($P822=0,0,$O822/$P822)))</f>
        <v>0.714285714285714</v>
      </c>
      <c r="AI822" s="5" t="str">
        <f>IF($A822="","",IF($P822="","",IF($P822&gt;=Lookups!$K$7,"High",IF($P822&lt;=Lookups!$K$8,"Low","Medium"))))</f>
        <v>High</v>
      </c>
      <c r="AJ822" s="5" t="str">
        <f>IF($A822="","",IF($AD822="","",IF($AD822&lt;5,"Under 5 C",IF($AD822&lt;10,"5-10 C",IF($AD822&lt;15,"10-15 C","15 C and above")))))</f>
        <v>10-15 C</v>
      </c>
      <c r="AK822" s="5">
        <f>IF($A822="","",IF($P822="","",$P822^2))</f>
        <v>33124</v>
      </c>
      <c r="AL822" s="18">
        <f>IF($V822&lt;&gt;1,"",AVERAGEIFS(Clean_Data!$P$2:$P$1001,Clean_Data!$F$2:$F$1001,$F822,Clean_Data!$W$2:$W$1001,$W822,Clean_Data!$V$2:$V$1001,1))</f>
        <v>112.071428571429</v>
      </c>
      <c r="AM822" s="16">
        <f>IF($V822&lt;&gt;1,"",IFERROR(($P822-$AL822)/SQRT(MAX(0,(SUMIFS(Clean_Data!$AK$2:$AK$1001,Clean_Data!$F$2:$F$1001,$F822,Clean_Data!$W$2:$W$1001,$W822,Clean_Data!$V$2:$V$1001,1)-COUNTIFS(Clean_Data!$F$2:$F$1001,$F822,Clean_Data!$W$2:$W$1001,$W822,Clean_Data!$V$2:$V$1001,1)*$AL822^2)/(COUNTIFS(Clean_Data!$F$2:$F$1001,$F822,Clean_Data!$W$2:$W$1001,$W822,Clean_Data!$V$2:$V$1001,1)-1))),""))</f>
        <v>1.80977902870758</v>
      </c>
      <c r="AN822" s="5" t="str">
        <f>IF($AM822="","",IF($AM822&gt;=Lookups!$K$6,"High spike",IF($AM822&lt;=-Lookups!$K$6,"Unusual low","Normal")))</f>
        <v>Normal</v>
      </c>
      <c r="AO822" s="20">
        <f>IF($V822&lt;&gt;1,"",$P822+ROW()/100000)</f>
        <v>182.00822</v>
      </c>
      <c r="AP822" s="5">
        <f>IF($A822="","",IFERROR(MATCH($A822,Raw_D1!$A$2:$A$1001,0),""))</f>
        <v/>
      </c>
      <c r="AQ822" s="5">
        <f>IF($A822="","",IFERROR(MATCH($A822,Raw_D2!$B$2:$B$1001,0),""))</f>
        <v/>
      </c>
      <c r="AR822" s="5">
        <f>IF($A822="","",IFERROR(MATCH($A822,Raw_D3!$A$2:$A$1001,0),""))</f>
        <v>202</v>
      </c>
    </row>
    <row r="823" spans="1:44" x14ac:dyDescent="0.25">
      <c r="A823" s="5">
        <v>822</v>
      </c>
      <c r="B823" s="11">
        <f>IF($A823="","",IF($AP823&lt;&gt;"",INDEX(Raw_D1!$B$2:$B$1001,$AP823),IF($AR823&lt;&gt;"",INDEX(Raw_D3!$B$2:$B$1001,$AR823),"")))</f>
        <v>40580.0</v>
      </c>
      <c r="C823" s="5">
        <f>IF($A823="","",IF($AP823&lt;&gt;"",INDEX(Raw_D1!$C$2:$C$1001,$AP823),IF($AR823&lt;&gt;"",INDEX(Raw_D3!$C$2:$C$1001,$AR823),"")))</f>
        <v>1</v>
      </c>
      <c r="D823" s="5">
        <f>IF($A823="","",IF($AP823&lt;&gt;"",INDEX(Raw_D1!$D$2:$D$1001,$AP823),IF($AR823&lt;&gt;"",INDEX(Raw_D3!$D$2:$D$1001,$AR823),"")))</f>
        <v>0</v>
      </c>
      <c r="E823" s="5">
        <f>IF($A823="","",IF($AP823&lt;&gt;"",INDEX(Raw_D1!$E$2:$E$1001,$AP823),IF($AR823&lt;&gt;"",INDEX(Raw_D3!$E$2:$E$1001,$AR823),"")))</f>
        <v>2</v>
      </c>
      <c r="F823" s="5">
        <f>IF($A823="","",IF($AP823&lt;&gt;"",INDEX(Raw_D1!$F$2:$F$1001,$AP823),IF($AR823&lt;&gt;"",INDEX(Raw_D3!$F$2:$F$1001,$AR823),"")))</f>
        <v>16</v>
      </c>
      <c r="G823" s="5">
        <f>IF($A823="","",IF($AP823&lt;&gt;"",IF(INDEX(Raw_D1!$G$2:$G$1001,$AP823),1,0),IF($AR823&lt;&gt;"",IF(INDEX(Raw_D3!$G$2:$G$1001,$AR823),1,0),"")))</f>
        <v>0</v>
      </c>
      <c r="H823" s="5">
        <f>IF($A823="","",IF($AP823&lt;&gt;"",INDEX(Raw_D1!$H$2:$H$1001,$AP823),IF($AR823&lt;&gt;"",INDEX(Raw_D3!$H$2:$H$1001,$AR823),"")))</f>
        <v>0</v>
      </c>
      <c r="I823" s="5">
        <f>IF($A823="","",IF($AP823&lt;&gt;"",INDEX(Raw_D1!$I$2:$I$1001,$AP823),IF($AR823&lt;&gt;"",INDEX(Raw_D3!$I$2:$I$1001,$AR823),"")))</f>
        <v>1</v>
      </c>
      <c r="J823" s="16">
        <f>IF($A823="","",IF($AP823&lt;&gt;"",INDEX(Raw_D1!$J$2:$J$1001,$AP823),IF($AR823&lt;&gt;"",INDEX(Raw_D3!$J$2:$J$1001,$AR823),"")))</f>
        <v>0.34</v>
      </c>
      <c r="K823" s="17">
        <f>IF($A823="","",IF($AQ823&lt;&gt;"",IF(INDEX(Raw_D2!$C$2:$C$1001,$AQ823)="","",INDEX(Raw_D2!$C$2:$C$1001,$AQ823)),IF($AR823&lt;&gt;"",IF(INDEX(Raw_D3!$K$2:$K$1001,$AR823)="","",INDEX(Raw_D3!$K$2:$K$1001,$AR823)),"")))</f>
        <v>0.3485</v>
      </c>
      <c r="L823" s="16">
        <f>IF($A823="","",IF($AQ823&lt;&gt;"",IF(INDEX(Raw_D2!$D$2:$D$1001,$AQ823)="","",INDEX(Raw_D2!$D$2:$D$1001,$AQ823)),IF($AR823&lt;&gt;"",IF(INDEX(Raw_D3!$L$2:$L$1001,$AR823)="","",INDEX(Raw_D3!$L$2:$L$1001,$AR823)),"")))</f>
        <v>0.49</v>
      </c>
      <c r="M823" s="17">
        <f>IF($A823="","",IF($AQ823&lt;&gt;"",IF(INDEX(Raw_D2!$E$2:$E$1001,$AQ823)="","",INDEX(Raw_D2!$E$2:$E$1001,$AQ823)),IF($AR823&lt;&gt;"",IF(INDEX(Raw_D3!$M$2:$M$1001,$AR823)="","",INDEX(Raw_D3!$M$2:$M$1001,$AR823)),"")))</f>
        <v>0.1045</v>
      </c>
      <c r="N823" s="5">
        <f>IF($A823="","",IF($AQ823&lt;&gt;"",IF(INDEX(Raw_D2!$F$2:$F$1001,$AQ823)="","",INDEX(Raw_D2!$F$2:$F$1001,$AQ823)),IF($AR823&lt;&gt;"",IF(INDEX(Raw_D3!$N$2:$N$1001,$AR823)="","",INDEX(Raw_D3!$N$2:$N$1001,$AR823)),"")))</f>
        <v>42</v>
      </c>
      <c r="O823" s="5">
        <f>IF($A823="","",IF($AQ823&lt;&gt;"",IF(INDEX(Raw_D2!$G$2:$G$1001,$AQ823)="","",INDEX(Raw_D2!$G$2:$G$1001,$AQ823)),IF($AR823&lt;&gt;"",IF(INDEX(Raw_D3!$O$2:$O$1001,$AR823)="","",INDEX(Raw_D3!$O$2:$O$1001,$AR823)),"")))</f>
        <v>115</v>
      </c>
      <c r="P823" s="5">
        <f>IF($A823="","",IF($AQ823&lt;&gt;"",IF(INDEX(Raw_D2!$H$2:$H$1001,$AQ823)="","",INDEX(Raw_D2!$H$2:$H$1001,$AQ823)),IF($AR823&lt;&gt;"",IF(INDEX(Raw_D3!$P$2:$P$1001,$AR823)="","",INDEX(Raw_D3!$P$2:$P$1001,$AR823)),"")))</f>
        <v>157</v>
      </c>
      <c r="Q823" s="5" t="str">
        <f>IF($A823="","",IF(AND($AP823&lt;&gt;"",$AQ823&lt;&gt;""),"D1+D2",IF($AR823&lt;&gt;"","D3","Incomplete")))</f>
        <v>D3</v>
      </c>
      <c r="R823" s="17">
        <f>IF($A823="","",IF($K823="",IF($J823="","",ROUND(Lookups!$K$5+Lookups!$K$4*$J823,4)),$K823))</f>
        <v>0.3485</v>
      </c>
      <c r="S823" s="5" t="str">
        <f>IF($A823="","",IF($K823="","Imputed","Original"))</f>
        <v>Original</v>
      </c>
      <c r="T823" s="5" t="str">
        <f>IF($A823="","",IF($P823="","Missing",IF($P823=$N823+$O823,"OK","Mismatch")))</f>
        <v>OK</v>
      </c>
      <c r="U823" s="5" t="str">
        <f>IF($A823="","",IF(COUNTIF($A$2:$A823,$A823)&gt;1,"Duplicate","Unique"))</f>
        <v>Unique</v>
      </c>
      <c r="V823" s="5">
        <f>IF($A823="","",IF(AND($U823="Unique",ISNUMBER($P823)),1,0))</f>
        <v>1</v>
      </c>
      <c r="W823" s="5" t="str">
        <f>IF($A823="","",IF(OR($H823=0,$H823=6),"Weekend","Weekday"))</f>
        <v>Weekend</v>
      </c>
      <c r="X823" s="5" t="str">
        <f>IF($A823="","",TEXT($B823,"ddd"))</f>
        <v>Sun</v>
      </c>
      <c r="Y823" s="5" t="str">
        <f>IF($A823="","",TEXT($B823,"mmm"))</f>
        <v>Feb</v>
      </c>
      <c r="Z823" s="5" t="str">
        <f>IF($A823="","",IFERROR(VLOOKUP($C823,Lookups!$D$4:$E$7,2,FALSE),"Unknown"))</f>
        <v>Winter</v>
      </c>
      <c r="AA823" s="5" t="str">
        <f>IF($A823="","",IFERROR(VLOOKUP($I823,Lookups!$A$4:$B$7,2,FALSE),"Unknown"))</f>
        <v>Clear</v>
      </c>
      <c r="AB823" s="5" t="str">
        <f>IF($A823="","",TEXT($F823,"00")&amp;":00")</f>
        <v>16:00</v>
      </c>
      <c r="AC823" s="5" t="str">
        <f>IF($A823="","",VLOOKUP($F823,Lookups!$G$4:$H$8,2,TRUE))</f>
        <v>Evening Peak (16-19)</v>
      </c>
      <c r="AD823" s="18">
        <f>IF($A823="","",IF($J823="","",ROUND($J823*41,1)))</f>
        <v>13.9</v>
      </c>
      <c r="AE823" s="18">
        <f>IF($A823="","",IF($R823="","",ROUND($R823*50,1)))</f>
        <v>17.4</v>
      </c>
      <c r="AF823" s="5">
        <f>IF($A823="","",IF($L823="","",ROUND($L823*100,0)))</f>
        <v>49</v>
      </c>
      <c r="AG823" s="18">
        <f>IF($A823="","",IF($M823="","",ROUND($M823*67,1)))</f>
        <v>7</v>
      </c>
      <c r="AH823" s="19">
        <f>IF($A823="","",IF($P823="","",IF($P823=0,0,$O823/$P823)))</f>
        <v>0.732484076433121</v>
      </c>
      <c r="AI823" s="5" t="str">
        <f>IF($A823="","",IF($P823="","",IF($P823&gt;=Lookups!$K$7,"High",IF($P823&lt;=Lookups!$K$8,"Low","Medium"))))</f>
        <v>High</v>
      </c>
      <c r="AJ823" s="5" t="str">
        <f>IF($A823="","",IF($AD823="","",IF($AD823&lt;5,"Under 5 C",IF($AD823&lt;10,"5-10 C",IF($AD823&lt;15,"10-15 C","15 C and above")))))</f>
        <v>10-15 C</v>
      </c>
      <c r="AK823" s="5">
        <f>IF($A823="","",IF($P823="","",$P823^2))</f>
        <v>24649</v>
      </c>
      <c r="AL823" s="18">
        <f>IF($V823&lt;&gt;1,"",AVERAGEIFS(Clean_Data!$P$2:$P$1001,Clean_Data!$F$2:$F$1001,$F823,Clean_Data!$W$2:$W$1001,$W823,Clean_Data!$V$2:$V$1001,1))</f>
        <v>103.5</v>
      </c>
      <c r="AM823" s="16">
        <f>IF($V823&lt;&gt;1,"",IFERROR(($P823-$AL823)/SQRT(MAX(0,(SUMIFS(Clean_Data!$AK$2:$AK$1001,Clean_Data!$F$2:$F$1001,$F823,Clean_Data!$W$2:$W$1001,$W823,Clean_Data!$V$2:$V$1001,1)-COUNTIFS(Clean_Data!$F$2:$F$1001,$F823,Clean_Data!$W$2:$W$1001,$W823,Clean_Data!$V$2:$V$1001,1)*$AL823^2)/(COUNTIFS(Clean_Data!$F$2:$F$1001,$F823,Clean_Data!$W$2:$W$1001,$W823,Clean_Data!$V$2:$V$1001,1)-1))),""))</f>
        <v>1.81933772841891</v>
      </c>
      <c r="AN823" s="5" t="str">
        <f>IF($AM823="","",IF($AM823&gt;=Lookups!$K$6,"High spike",IF($AM823&lt;=-Lookups!$K$6,"Unusual low","Normal")))</f>
        <v>Normal</v>
      </c>
      <c r="AO823" s="20">
        <f>IF($V823&lt;&gt;1,"",$P823+ROW()/100000)</f>
        <v>157.00823</v>
      </c>
      <c r="AP823" s="5">
        <f>IF($A823="","",IFERROR(MATCH($A823,Raw_D1!$A$2:$A$1001,0),""))</f>
        <v/>
      </c>
      <c r="AQ823" s="5">
        <f>IF($A823="","",IFERROR(MATCH($A823,Raw_D2!$B$2:$B$1001,0),""))</f>
        <v/>
      </c>
      <c r="AR823" s="5">
        <f>IF($A823="","",IFERROR(MATCH($A823,Raw_D3!$A$2:$A$1001,0),""))</f>
        <v>203</v>
      </c>
    </row>
    <row r="824" spans="1:44" x14ac:dyDescent="0.25">
      <c r="A824" s="5">
        <v>823</v>
      </c>
      <c r="B824" s="11">
        <f>IF($A824="","",IF($AP824&lt;&gt;"",INDEX(Raw_D1!$B$2:$B$1001,$AP824),IF($AR824&lt;&gt;"",INDEX(Raw_D3!$B$2:$B$1001,$AR824),"")))</f>
        <v>40580.0</v>
      </c>
      <c r="C824" s="5">
        <f>IF($A824="","",IF($AP824&lt;&gt;"",INDEX(Raw_D1!$C$2:$C$1001,$AP824),IF($AR824&lt;&gt;"",INDEX(Raw_D3!$C$2:$C$1001,$AR824),"")))</f>
        <v>1</v>
      </c>
      <c r="D824" s="5">
        <f>IF($A824="","",IF($AP824&lt;&gt;"",INDEX(Raw_D1!$D$2:$D$1001,$AP824),IF($AR824&lt;&gt;"",INDEX(Raw_D3!$D$2:$D$1001,$AR824),"")))</f>
        <v>0</v>
      </c>
      <c r="E824" s="5">
        <f>IF($A824="","",IF($AP824&lt;&gt;"",INDEX(Raw_D1!$E$2:$E$1001,$AP824),IF($AR824&lt;&gt;"",INDEX(Raw_D3!$E$2:$E$1001,$AR824),"")))</f>
        <v>2</v>
      </c>
      <c r="F824" s="5">
        <f>IF($A824="","",IF($AP824&lt;&gt;"",INDEX(Raw_D1!$F$2:$F$1001,$AP824),IF($AR824&lt;&gt;"",INDEX(Raw_D3!$F$2:$F$1001,$AR824),"")))</f>
        <v>17</v>
      </c>
      <c r="G824" s="5">
        <f>IF($A824="","",IF($AP824&lt;&gt;"",IF(INDEX(Raw_D1!$G$2:$G$1001,$AP824),1,0),IF($AR824&lt;&gt;"",IF(INDEX(Raw_D3!$G$2:$G$1001,$AR824),1,0),"")))</f>
        <v>0</v>
      </c>
      <c r="H824" s="5">
        <f>IF($A824="","",IF($AP824&lt;&gt;"",INDEX(Raw_D1!$H$2:$H$1001,$AP824),IF($AR824&lt;&gt;"",INDEX(Raw_D3!$H$2:$H$1001,$AR824),"")))</f>
        <v>0</v>
      </c>
      <c r="I824" s="5">
        <f>IF($A824="","",IF($AP824&lt;&gt;"",INDEX(Raw_D1!$I$2:$I$1001,$AP824),IF($AR824&lt;&gt;"",INDEX(Raw_D3!$I$2:$I$1001,$AR824),"")))</f>
        <v>1</v>
      </c>
      <c r="J824" s="16">
        <f>IF($A824="","",IF($AP824&lt;&gt;"",INDEX(Raw_D1!$J$2:$J$1001,$AP824),IF($AR824&lt;&gt;"",INDEX(Raw_D3!$J$2:$J$1001,$AR824),"")))</f>
        <v>0.34</v>
      </c>
      <c r="K824" s="17">
        <f>IF($A824="","",IF($AQ824&lt;&gt;"",IF(INDEX(Raw_D2!$C$2:$C$1001,$AQ824)="","",INDEX(Raw_D2!$C$2:$C$1001,$AQ824)),IF($AR824&lt;&gt;"",IF(INDEX(Raw_D3!$K$2:$K$1001,$AR824)="","",INDEX(Raw_D3!$K$2:$K$1001,$AR824)),"")))</f>
        <v>0.3636</v>
      </c>
      <c r="L824" s="16">
        <f>IF($A824="","",IF($AQ824&lt;&gt;"",IF(INDEX(Raw_D2!$D$2:$D$1001,$AQ824)="","",INDEX(Raw_D2!$D$2:$D$1001,$AQ824)),IF($AR824&lt;&gt;"",IF(INDEX(Raw_D3!$L$2:$L$1001,$AR824)="","",INDEX(Raw_D3!$L$2:$L$1001,$AR824)),"")))</f>
        <v>0.46</v>
      </c>
      <c r="M824" s="17">
        <f>IF($A824="","",IF($AQ824&lt;&gt;"",IF(INDEX(Raw_D2!$E$2:$E$1001,$AQ824)="","",INDEX(Raw_D2!$E$2:$E$1001,$AQ824)),IF($AR824&lt;&gt;"",IF(INDEX(Raw_D3!$M$2:$M$1001,$AR824)="","",INDEX(Raw_D3!$M$2:$M$1001,$AR824)),"")))</f>
        <v>0</v>
      </c>
      <c r="N824" s="5">
        <f>IF($A824="","",IF($AQ824&lt;&gt;"",IF(INDEX(Raw_D2!$F$2:$F$1001,$AQ824)="","",INDEX(Raw_D2!$F$2:$F$1001,$AQ824)),IF($AR824&lt;&gt;"",IF(INDEX(Raw_D3!$N$2:$N$1001,$AR824)="","",INDEX(Raw_D3!$N$2:$N$1001,$AR824)),"")))</f>
        <v>24</v>
      </c>
      <c r="O824" s="5">
        <f>IF($A824="","",IF($AQ824&lt;&gt;"",IF(INDEX(Raw_D2!$G$2:$G$1001,$AQ824)="","",INDEX(Raw_D2!$G$2:$G$1001,$AQ824)),IF($AR824&lt;&gt;"",IF(INDEX(Raw_D3!$O$2:$O$1001,$AR824)="","",INDEX(Raw_D3!$O$2:$O$1001,$AR824)),"")))</f>
        <v>97</v>
      </c>
      <c r="P824" s="5">
        <f>IF($A824="","",IF($AQ824&lt;&gt;"",IF(INDEX(Raw_D2!$H$2:$H$1001,$AQ824)="","",INDEX(Raw_D2!$H$2:$H$1001,$AQ824)),IF($AR824&lt;&gt;"",IF(INDEX(Raw_D3!$P$2:$P$1001,$AR824)="","",INDEX(Raw_D3!$P$2:$P$1001,$AR824)),"")))</f>
        <v>121</v>
      </c>
      <c r="Q824" s="5" t="str">
        <f>IF($A824="","",IF(AND($AP824&lt;&gt;"",$AQ824&lt;&gt;""),"D1+D2",IF($AR824&lt;&gt;"","D3","Incomplete")))</f>
        <v>D3</v>
      </c>
      <c r="R824" s="17">
        <f>IF($A824="","",IF($K824="",IF($J824="","",ROUND(Lookups!$K$5+Lookups!$K$4*$J824,4)),$K824))</f>
        <v>0.3636</v>
      </c>
      <c r="S824" s="5" t="str">
        <f>IF($A824="","",IF($K824="","Imputed","Original"))</f>
        <v>Original</v>
      </c>
      <c r="T824" s="5" t="str">
        <f>IF($A824="","",IF($P824="","Missing",IF($P824=$N824+$O824,"OK","Mismatch")))</f>
        <v>OK</v>
      </c>
      <c r="U824" s="5" t="str">
        <f>IF($A824="","",IF(COUNTIF($A$2:$A824,$A824)&gt;1,"Duplicate","Unique"))</f>
        <v>Unique</v>
      </c>
      <c r="V824" s="5">
        <f>IF($A824="","",IF(AND($U824="Unique",ISNUMBER($P824)),1,0))</f>
        <v>1</v>
      </c>
      <c r="W824" s="5" t="str">
        <f>IF($A824="","",IF(OR($H824=0,$H824=6),"Weekend","Weekday"))</f>
        <v>Weekend</v>
      </c>
      <c r="X824" s="5" t="str">
        <f>IF($A824="","",TEXT($B824,"ddd"))</f>
        <v>Sun</v>
      </c>
      <c r="Y824" s="5" t="str">
        <f>IF($A824="","",TEXT($B824,"mmm"))</f>
        <v>Feb</v>
      </c>
      <c r="Z824" s="5" t="str">
        <f>IF($A824="","",IFERROR(VLOOKUP($C824,Lookups!$D$4:$E$7,2,FALSE),"Unknown"))</f>
        <v>Winter</v>
      </c>
      <c r="AA824" s="5" t="str">
        <f>IF($A824="","",IFERROR(VLOOKUP($I824,Lookups!$A$4:$B$7,2,FALSE),"Unknown"))</f>
        <v>Clear</v>
      </c>
      <c r="AB824" s="5" t="str">
        <f>IF($A824="","",TEXT($F824,"00")&amp;":00")</f>
        <v>17:00</v>
      </c>
      <c r="AC824" s="5" t="str">
        <f>IF($A824="","",VLOOKUP($F824,Lookups!$G$4:$H$8,2,TRUE))</f>
        <v>Evening Peak (16-19)</v>
      </c>
      <c r="AD824" s="18">
        <f>IF($A824="","",IF($J824="","",ROUND($J824*41,1)))</f>
        <v>13.9</v>
      </c>
      <c r="AE824" s="18">
        <f>IF($A824="","",IF($R824="","",ROUND($R824*50,1)))</f>
        <v>18.2</v>
      </c>
      <c r="AF824" s="5">
        <f>IF($A824="","",IF($L824="","",ROUND($L824*100,0)))</f>
        <v>46</v>
      </c>
      <c r="AG824" s="18">
        <f>IF($A824="","",IF($M824="","",ROUND($M824*67,1)))</f>
        <v>0</v>
      </c>
      <c r="AH824" s="19">
        <f>IF($A824="","",IF($P824="","",IF($P824=0,0,$O824/$P824)))</f>
        <v>0.801652892561984</v>
      </c>
      <c r="AI824" s="5" t="str">
        <f>IF($A824="","",IF($P824="","",IF($P824&gt;=Lookups!$K$7,"High",IF($P824&lt;=Lookups!$K$8,"Low","Medium"))))</f>
        <v>High</v>
      </c>
      <c r="AJ824" s="5" t="str">
        <f>IF($A824="","",IF($AD824="","",IF($AD824&lt;5,"Under 5 C",IF($AD824&lt;10,"5-10 C",IF($AD824&lt;15,"10-15 C","15 C and above")))))</f>
        <v>10-15 C</v>
      </c>
      <c r="AK824" s="5">
        <f>IF($A824="","",IF($P824="","",$P824^2))</f>
        <v>14641</v>
      </c>
      <c r="AL824" s="18">
        <f>IF($V824&lt;&gt;1,"",AVERAGEIFS(Clean_Data!$P$2:$P$1001,Clean_Data!$F$2:$F$1001,$F824,Clean_Data!$W$2:$W$1001,$W824,Clean_Data!$V$2:$V$1001,1))</f>
        <v>85.8571428571429</v>
      </c>
      <c r="AM824" s="16">
        <f>IF($V824&lt;&gt;1,"",IFERROR(($P824-$AL824)/SQRT(MAX(0,(SUMIFS(Clean_Data!$AK$2:$AK$1001,Clean_Data!$F$2:$F$1001,$F824,Clean_Data!$W$2:$W$1001,$W824,Clean_Data!$V$2:$V$1001,1)-COUNTIFS(Clean_Data!$F$2:$F$1001,$F824,Clean_Data!$W$2:$W$1001,$W824,Clean_Data!$V$2:$V$1001,1)*$AL824^2)/(COUNTIFS(Clean_Data!$F$2:$F$1001,$F824,Clean_Data!$W$2:$W$1001,$W824,Clean_Data!$V$2:$V$1001,1)-1))),""))</f>
        <v>1.34495293329206</v>
      </c>
      <c r="AN824" s="5" t="str">
        <f>IF($AM824="","",IF($AM824&gt;=Lookups!$K$6,"High spike",IF($AM824&lt;=-Lookups!$K$6,"Unusual low","Normal")))</f>
        <v>Normal</v>
      </c>
      <c r="AO824" s="20">
        <f>IF($V824&lt;&gt;1,"",$P824+ROW()/100000)</f>
        <v>121.00824</v>
      </c>
      <c r="AP824" s="5">
        <f>IF($A824="","",IFERROR(MATCH($A824,Raw_D1!$A$2:$A$1001,0),""))</f>
        <v/>
      </c>
      <c r="AQ824" s="5">
        <f>IF($A824="","",IFERROR(MATCH($A824,Raw_D2!$B$2:$B$1001,0),""))</f>
        <v/>
      </c>
      <c r="AR824" s="5">
        <f>IF($A824="","",IFERROR(MATCH($A824,Raw_D3!$A$2:$A$1001,0),""))</f>
        <v>204</v>
      </c>
    </row>
    <row r="825" spans="1:44" x14ac:dyDescent="0.25">
      <c r="A825" s="5">
        <v>824</v>
      </c>
      <c r="B825" s="11">
        <f>IF($A825="","",IF($AP825&lt;&gt;"",INDEX(Raw_D1!$B$2:$B$1001,$AP825),IF($AR825&lt;&gt;"",INDEX(Raw_D3!$B$2:$B$1001,$AR825),"")))</f>
        <v>40580.0</v>
      </c>
      <c r="C825" s="5">
        <f>IF($A825="","",IF($AP825&lt;&gt;"",INDEX(Raw_D1!$C$2:$C$1001,$AP825),IF($AR825&lt;&gt;"",INDEX(Raw_D3!$C$2:$C$1001,$AR825),"")))</f>
        <v>1</v>
      </c>
      <c r="D825" s="5">
        <f>IF($A825="","",IF($AP825&lt;&gt;"",INDEX(Raw_D1!$D$2:$D$1001,$AP825),IF($AR825&lt;&gt;"",INDEX(Raw_D3!$D$2:$D$1001,$AR825),"")))</f>
        <v>0</v>
      </c>
      <c r="E825" s="5">
        <f>IF($A825="","",IF($AP825&lt;&gt;"",INDEX(Raw_D1!$E$2:$E$1001,$AP825),IF($AR825&lt;&gt;"",INDEX(Raw_D3!$E$2:$E$1001,$AR825),"")))</f>
        <v>2</v>
      </c>
      <c r="F825" s="5">
        <f>IF($A825="","",IF($AP825&lt;&gt;"",INDEX(Raw_D1!$F$2:$F$1001,$AP825),IF($AR825&lt;&gt;"",INDEX(Raw_D3!$F$2:$F$1001,$AR825),"")))</f>
        <v>18</v>
      </c>
      <c r="G825" s="5">
        <f>IF($A825="","",IF($AP825&lt;&gt;"",IF(INDEX(Raw_D1!$G$2:$G$1001,$AP825),1,0),IF($AR825&lt;&gt;"",IF(INDEX(Raw_D3!$G$2:$G$1001,$AR825),1,0),"")))</f>
        <v>0</v>
      </c>
      <c r="H825" s="5">
        <f>IF($A825="","",IF($AP825&lt;&gt;"",INDEX(Raw_D1!$H$2:$H$1001,$AP825),IF($AR825&lt;&gt;"",INDEX(Raw_D3!$H$2:$H$1001,$AR825),"")))</f>
        <v>0</v>
      </c>
      <c r="I825" s="5">
        <f>IF($A825="","",IF($AP825&lt;&gt;"",INDEX(Raw_D1!$I$2:$I$1001,$AP825),IF($AR825&lt;&gt;"",INDEX(Raw_D3!$I$2:$I$1001,$AR825),"")))</f>
        <v>1</v>
      </c>
      <c r="J825" s="16">
        <f>IF($A825="","",IF($AP825&lt;&gt;"",INDEX(Raw_D1!$J$2:$J$1001,$AP825),IF($AR825&lt;&gt;"",INDEX(Raw_D3!$J$2:$J$1001,$AR825),"")))</f>
        <v>0.3</v>
      </c>
      <c r="K825" s="17">
        <f>IF($A825="","",IF($AQ825&lt;&gt;"",IF(INDEX(Raw_D2!$C$2:$C$1001,$AQ825)="","",INDEX(Raw_D2!$C$2:$C$1001,$AQ825)),IF($AR825&lt;&gt;"",IF(INDEX(Raw_D3!$K$2:$K$1001,$AR825)="","",INDEX(Raw_D3!$K$2:$K$1001,$AR825)),"")))</f>
        <v>0.303</v>
      </c>
      <c r="L825" s="16">
        <f>IF($A825="","",IF($AQ825&lt;&gt;"",IF(INDEX(Raw_D2!$D$2:$D$1001,$AQ825)="","",INDEX(Raw_D2!$D$2:$D$1001,$AQ825)),IF($AR825&lt;&gt;"",IF(INDEX(Raw_D3!$L$2:$L$1001,$AR825)="","",INDEX(Raw_D3!$L$2:$L$1001,$AR825)),"")))</f>
        <v>0.56</v>
      </c>
      <c r="M825" s="17">
        <f>IF($A825="","",IF($AQ825&lt;&gt;"",IF(INDEX(Raw_D2!$E$2:$E$1001,$AQ825)="","",INDEX(Raw_D2!$E$2:$E$1001,$AQ825)),IF($AR825&lt;&gt;"",IF(INDEX(Raw_D3!$M$2:$M$1001,$AR825)="","",INDEX(Raw_D3!$M$2:$M$1001,$AR825)),"")))</f>
        <v>0.1642</v>
      </c>
      <c r="N825" s="5">
        <f>IF($A825="","",IF($AQ825&lt;&gt;"",IF(INDEX(Raw_D2!$F$2:$F$1001,$AQ825)="","",INDEX(Raw_D2!$F$2:$F$1001,$AQ825)),IF($AR825&lt;&gt;"",IF(INDEX(Raw_D3!$N$2:$N$1001,$AR825)="","",INDEX(Raw_D3!$N$2:$N$1001,$AR825)),"")))</f>
        <v>13</v>
      </c>
      <c r="O825" s="5">
        <f>IF($A825="","",IF($AQ825&lt;&gt;"",IF(INDEX(Raw_D2!$G$2:$G$1001,$AQ825)="","",INDEX(Raw_D2!$G$2:$G$1001,$AQ825)),IF($AR825&lt;&gt;"",IF(INDEX(Raw_D3!$O$2:$O$1001,$AR825)="","",INDEX(Raw_D3!$O$2:$O$1001,$AR825)),"")))</f>
        <v>65</v>
      </c>
      <c r="P825" s="5">
        <f>IF($A825="","",IF($AQ825&lt;&gt;"",IF(INDEX(Raw_D2!$H$2:$H$1001,$AQ825)="","",INDEX(Raw_D2!$H$2:$H$1001,$AQ825)),IF($AR825&lt;&gt;"",IF(INDEX(Raw_D3!$P$2:$P$1001,$AR825)="","",INDEX(Raw_D3!$P$2:$P$1001,$AR825)),"")))</f>
        <v>78</v>
      </c>
      <c r="Q825" s="5" t="str">
        <f>IF($A825="","",IF(AND($AP825&lt;&gt;"",$AQ825&lt;&gt;""),"D1+D2",IF($AR825&lt;&gt;"","D3","Incomplete")))</f>
        <v>D3</v>
      </c>
      <c r="R825" s="17">
        <f>IF($A825="","",IF($K825="",IF($J825="","",ROUND(Lookups!$K$5+Lookups!$K$4*$J825,4)),$K825))</f>
        <v>0.303</v>
      </c>
      <c r="S825" s="5" t="str">
        <f>IF($A825="","",IF($K825="","Imputed","Original"))</f>
        <v>Original</v>
      </c>
      <c r="T825" s="5" t="str">
        <f>IF($A825="","",IF($P825="","Missing",IF($P825=$N825+$O825,"OK","Mismatch")))</f>
        <v>OK</v>
      </c>
      <c r="U825" s="5" t="str">
        <f>IF($A825="","",IF(COUNTIF($A$2:$A825,$A825)&gt;1,"Duplicate","Unique"))</f>
        <v>Unique</v>
      </c>
      <c r="V825" s="5">
        <f>IF($A825="","",IF(AND($U825="Unique",ISNUMBER($P825)),1,0))</f>
        <v>1</v>
      </c>
      <c r="W825" s="5" t="str">
        <f>IF($A825="","",IF(OR($H825=0,$H825=6),"Weekend","Weekday"))</f>
        <v>Weekend</v>
      </c>
      <c r="X825" s="5" t="str">
        <f>IF($A825="","",TEXT($B825,"ddd"))</f>
        <v>Sun</v>
      </c>
      <c r="Y825" s="5" t="str">
        <f>IF($A825="","",TEXT($B825,"mmm"))</f>
        <v>Feb</v>
      </c>
      <c r="Z825" s="5" t="str">
        <f>IF($A825="","",IFERROR(VLOOKUP($C825,Lookups!$D$4:$E$7,2,FALSE),"Unknown"))</f>
        <v>Winter</v>
      </c>
      <c r="AA825" s="5" t="str">
        <f>IF($A825="","",IFERROR(VLOOKUP($I825,Lookups!$A$4:$B$7,2,FALSE),"Unknown"))</f>
        <v>Clear</v>
      </c>
      <c r="AB825" s="5" t="str">
        <f>IF($A825="","",TEXT($F825,"00")&amp;":00")</f>
        <v>18:00</v>
      </c>
      <c r="AC825" s="5" t="str">
        <f>IF($A825="","",VLOOKUP($F825,Lookups!$G$4:$H$8,2,TRUE))</f>
        <v>Evening Peak (16-19)</v>
      </c>
      <c r="AD825" s="18">
        <f>IF($A825="","",IF($J825="","",ROUND($J825*41,1)))</f>
        <v>12.3</v>
      </c>
      <c r="AE825" s="18">
        <f>IF($A825="","",IF($R825="","",ROUND($R825*50,1)))</f>
        <v>15.2</v>
      </c>
      <c r="AF825" s="5">
        <f>IF($A825="","",IF($L825="","",ROUND($L825*100,0)))</f>
        <v>56</v>
      </c>
      <c r="AG825" s="18">
        <f>IF($A825="","",IF($M825="","",ROUND($M825*67,1)))</f>
        <v>11</v>
      </c>
      <c r="AH825" s="19">
        <f>IF($A825="","",IF($P825="","",IF($P825=0,0,$O825/$P825)))</f>
        <v>0.833333333333333</v>
      </c>
      <c r="AI825" s="5" t="str">
        <f>IF($A825="","",IF($P825="","",IF($P825&gt;=Lookups!$K$7,"High",IF($P825&lt;=Lookups!$K$8,"Low","Medium"))))</f>
        <v>Medium</v>
      </c>
      <c r="AJ825" s="5" t="str">
        <f>IF($A825="","",IF($AD825="","",IF($AD825&lt;5,"Under 5 C",IF($AD825&lt;10,"5-10 C",IF($AD825&lt;15,"10-15 C","15 C and above")))))</f>
        <v>10-15 C</v>
      </c>
      <c r="AK825" s="5">
        <f>IF($A825="","",IF($P825="","",$P825^2))</f>
        <v>6084</v>
      </c>
      <c r="AL825" s="18">
        <f>IF($V825&lt;&gt;1,"",AVERAGEIFS(Clean_Data!$P$2:$P$1001,Clean_Data!$F$2:$F$1001,$F825,Clean_Data!$W$2:$W$1001,$W825,Clean_Data!$V$2:$V$1001,1))</f>
        <v>64.1428571428571</v>
      </c>
      <c r="AM825" s="16">
        <f>IF($V825&lt;&gt;1,"",IFERROR(($P825-$AL825)/SQRT(MAX(0,(SUMIFS(Clean_Data!$AK$2:$AK$1001,Clean_Data!$F$2:$F$1001,$F825,Clean_Data!$W$2:$W$1001,$W825,Clean_Data!$V$2:$V$1001,1)-COUNTIFS(Clean_Data!$F$2:$F$1001,$F825,Clean_Data!$W$2:$W$1001,$W825,Clean_Data!$V$2:$V$1001,1)*$AL825^2)/(COUNTIFS(Clean_Data!$F$2:$F$1001,$F825,Clean_Data!$W$2:$W$1001,$W825,Clean_Data!$V$2:$V$1001,1)-1))),""))</f>
        <v>0.836469936666842</v>
      </c>
      <c r="AN825" s="5" t="str">
        <f>IF($AM825="","",IF($AM825&gt;=Lookups!$K$6,"High spike",IF($AM825&lt;=-Lookups!$K$6,"Unusual low","Normal")))</f>
        <v>Normal</v>
      </c>
      <c r="AO825" s="20">
        <f>IF($V825&lt;&gt;1,"",$P825+ROW()/100000)</f>
        <v>78.00825</v>
      </c>
      <c r="AP825" s="5">
        <f>IF($A825="","",IFERROR(MATCH($A825,Raw_D1!$A$2:$A$1001,0),""))</f>
        <v/>
      </c>
      <c r="AQ825" s="5">
        <f>IF($A825="","",IFERROR(MATCH($A825,Raw_D2!$B$2:$B$1001,0),""))</f>
        <v/>
      </c>
      <c r="AR825" s="5">
        <f>IF($A825="","",IFERROR(MATCH($A825,Raw_D3!$A$2:$A$1001,0),""))</f>
        <v>205</v>
      </c>
    </row>
    <row r="826" spans="1:44" x14ac:dyDescent="0.25">
      <c r="A826" s="5">
        <v>825</v>
      </c>
      <c r="B826" s="11">
        <f>IF($A826="","",IF($AP826&lt;&gt;"",INDEX(Raw_D1!$B$2:$B$1001,$AP826),IF($AR826&lt;&gt;"",INDEX(Raw_D3!$B$2:$B$1001,$AR826),"")))</f>
        <v>40580.0</v>
      </c>
      <c r="C826" s="5">
        <f>IF($A826="","",IF($AP826&lt;&gt;"",INDEX(Raw_D1!$C$2:$C$1001,$AP826),IF($AR826&lt;&gt;"",INDEX(Raw_D3!$C$2:$C$1001,$AR826),"")))</f>
        <v>1</v>
      </c>
      <c r="D826" s="5">
        <f>IF($A826="","",IF($AP826&lt;&gt;"",INDEX(Raw_D1!$D$2:$D$1001,$AP826),IF($AR826&lt;&gt;"",INDEX(Raw_D3!$D$2:$D$1001,$AR826),"")))</f>
        <v>0</v>
      </c>
      <c r="E826" s="5">
        <f>IF($A826="","",IF($AP826&lt;&gt;"",INDEX(Raw_D1!$E$2:$E$1001,$AP826),IF($AR826&lt;&gt;"",INDEX(Raw_D3!$E$2:$E$1001,$AR826),"")))</f>
        <v>2</v>
      </c>
      <c r="F826" s="5">
        <f>IF($A826="","",IF($AP826&lt;&gt;"",INDEX(Raw_D1!$F$2:$F$1001,$AP826),IF($AR826&lt;&gt;"",INDEX(Raw_D3!$F$2:$F$1001,$AR826),"")))</f>
        <v>19</v>
      </c>
      <c r="G826" s="5">
        <f>IF($A826="","",IF($AP826&lt;&gt;"",IF(INDEX(Raw_D1!$G$2:$G$1001,$AP826),1,0),IF($AR826&lt;&gt;"",IF(INDEX(Raw_D3!$G$2:$G$1001,$AR826),1,0),"")))</f>
        <v>0</v>
      </c>
      <c r="H826" s="5">
        <f>IF($A826="","",IF($AP826&lt;&gt;"",INDEX(Raw_D1!$H$2:$H$1001,$AP826),IF($AR826&lt;&gt;"",INDEX(Raw_D3!$H$2:$H$1001,$AR826),"")))</f>
        <v>0</v>
      </c>
      <c r="I826" s="5">
        <f>IF($A826="","",IF($AP826&lt;&gt;"",INDEX(Raw_D1!$I$2:$I$1001,$AP826),IF($AR826&lt;&gt;"",INDEX(Raw_D3!$I$2:$I$1001,$AR826),"")))</f>
        <v>1</v>
      </c>
      <c r="J826" s="16">
        <f>IF($A826="","",IF($AP826&lt;&gt;"",INDEX(Raw_D1!$J$2:$J$1001,$AP826),IF($AR826&lt;&gt;"",INDEX(Raw_D3!$J$2:$J$1001,$AR826),"")))</f>
        <v>0.28</v>
      </c>
      <c r="K826" s="17">
        <f>IF($A826="","",IF($AQ826&lt;&gt;"",IF(INDEX(Raw_D2!$C$2:$C$1001,$AQ826)="","",INDEX(Raw_D2!$C$2:$C$1001,$AQ826)),IF($AR826&lt;&gt;"",IF(INDEX(Raw_D3!$K$2:$K$1001,$AR826)="","",INDEX(Raw_D3!$K$2:$K$1001,$AR826)),"")))</f>
        <v>0.2879</v>
      </c>
      <c r="L826" s="16">
        <f>IF($A826="","",IF($AQ826&lt;&gt;"",IF(INDEX(Raw_D2!$D$2:$D$1001,$AQ826)="","",INDEX(Raw_D2!$D$2:$D$1001,$AQ826)),IF($AR826&lt;&gt;"",IF(INDEX(Raw_D3!$L$2:$L$1001,$AR826)="","",INDEX(Raw_D3!$L$2:$L$1001,$AR826)),"")))</f>
        <v>0.61</v>
      </c>
      <c r="M826" s="17">
        <f>IF($A826="","",IF($AQ826&lt;&gt;"",IF(INDEX(Raw_D2!$E$2:$E$1001,$AQ826)="","",INDEX(Raw_D2!$E$2:$E$1001,$AQ826)),IF($AR826&lt;&gt;"",IF(INDEX(Raw_D3!$M$2:$M$1001,$AR826)="","",INDEX(Raw_D3!$M$2:$M$1001,$AR826)),"")))</f>
        <v>0.1343</v>
      </c>
      <c r="N826" s="5">
        <f>IF($A826="","",IF($AQ826&lt;&gt;"",IF(INDEX(Raw_D2!$F$2:$F$1001,$AQ826)="","",INDEX(Raw_D2!$F$2:$F$1001,$AQ826)),IF($AR826&lt;&gt;"",IF(INDEX(Raw_D3!$N$2:$N$1001,$AR826)="","",INDEX(Raw_D3!$N$2:$N$1001,$AR826)),"")))</f>
        <v>1</v>
      </c>
      <c r="O826" s="5">
        <f>IF($A826="","",IF($AQ826&lt;&gt;"",IF(INDEX(Raw_D2!$G$2:$G$1001,$AQ826)="","",INDEX(Raw_D2!$G$2:$G$1001,$AQ826)),IF($AR826&lt;&gt;"",IF(INDEX(Raw_D3!$O$2:$O$1001,$AR826)="","",INDEX(Raw_D3!$O$2:$O$1001,$AR826)),"")))</f>
        <v>20</v>
      </c>
      <c r="P826" s="5">
        <f>IF($A826="","",IF($AQ826&lt;&gt;"",IF(INDEX(Raw_D2!$H$2:$H$1001,$AQ826)="","",INDEX(Raw_D2!$H$2:$H$1001,$AQ826)),IF($AR826&lt;&gt;"",IF(INDEX(Raw_D3!$P$2:$P$1001,$AR826)="","",INDEX(Raw_D3!$P$2:$P$1001,$AR826)),"")))</f>
        <v>21</v>
      </c>
      <c r="Q826" s="5" t="str">
        <f>IF($A826="","",IF(AND($AP826&lt;&gt;"",$AQ826&lt;&gt;""),"D1+D2",IF($AR826&lt;&gt;"","D3","Incomplete")))</f>
        <v>D3</v>
      </c>
      <c r="R826" s="17">
        <f>IF($A826="","",IF($K826="",IF($J826="","",ROUND(Lookups!$K$5+Lookups!$K$4*$J826,4)),$K826))</f>
        <v>0.2879</v>
      </c>
      <c r="S826" s="5" t="str">
        <f>IF($A826="","",IF($K826="","Imputed","Original"))</f>
        <v>Original</v>
      </c>
      <c r="T826" s="5" t="str">
        <f>IF($A826="","",IF($P826="","Missing",IF($P826=$N826+$O826,"OK","Mismatch")))</f>
        <v>OK</v>
      </c>
      <c r="U826" s="5" t="str">
        <f>IF($A826="","",IF(COUNTIF($A$2:$A826,$A826)&gt;1,"Duplicate","Unique"))</f>
        <v>Unique</v>
      </c>
      <c r="V826" s="5">
        <f>IF($A826="","",IF(AND($U826="Unique",ISNUMBER($P826)),1,0))</f>
        <v>1</v>
      </c>
      <c r="W826" s="5" t="str">
        <f>IF($A826="","",IF(OR($H826=0,$H826=6),"Weekend","Weekday"))</f>
        <v>Weekend</v>
      </c>
      <c r="X826" s="5" t="str">
        <f>IF($A826="","",TEXT($B826,"ddd"))</f>
        <v>Sun</v>
      </c>
      <c r="Y826" s="5" t="str">
        <f>IF($A826="","",TEXT($B826,"mmm"))</f>
        <v>Feb</v>
      </c>
      <c r="Z826" s="5" t="str">
        <f>IF($A826="","",IFERROR(VLOOKUP($C826,Lookups!$D$4:$E$7,2,FALSE),"Unknown"))</f>
        <v>Winter</v>
      </c>
      <c r="AA826" s="5" t="str">
        <f>IF($A826="","",IFERROR(VLOOKUP($I826,Lookups!$A$4:$B$7,2,FALSE),"Unknown"))</f>
        <v>Clear</v>
      </c>
      <c r="AB826" s="5" t="str">
        <f>IF($A826="","",TEXT($F826,"00")&amp;":00")</f>
        <v>19:00</v>
      </c>
      <c r="AC826" s="5" t="str">
        <f>IF($A826="","",VLOOKUP($F826,Lookups!$G$4:$H$8,2,TRUE))</f>
        <v>Evening Peak (16-19)</v>
      </c>
      <c r="AD826" s="18">
        <f>IF($A826="","",IF($J826="","",ROUND($J826*41,1)))</f>
        <v>11.5</v>
      </c>
      <c r="AE826" s="18">
        <f>IF($A826="","",IF($R826="","",ROUND($R826*50,1)))</f>
        <v>14.4</v>
      </c>
      <c r="AF826" s="5">
        <f>IF($A826="","",IF($L826="","",ROUND($L826*100,0)))</f>
        <v>61</v>
      </c>
      <c r="AG826" s="18">
        <f>IF($A826="","",IF($M826="","",ROUND($M826*67,1)))</f>
        <v>9</v>
      </c>
      <c r="AH826" s="19">
        <f>IF($A826="","",IF($P826="","",IF($P826=0,0,$O826/$P826)))</f>
        <v>0.952380952380952</v>
      </c>
      <c r="AI826" s="5" t="str">
        <f>IF($A826="","",IF($P826="","",IF($P826&gt;=Lookups!$K$7,"High",IF($P826&lt;=Lookups!$K$8,"Low","Medium"))))</f>
        <v>Medium</v>
      </c>
      <c r="AJ826" s="5" t="str">
        <f>IF($A826="","",IF($AD826="","",IF($AD826&lt;5,"Under 5 C",IF($AD826&lt;10,"5-10 C",IF($AD826&lt;15,"10-15 C","15 C and above")))))</f>
        <v>10-15 C</v>
      </c>
      <c r="AK826" s="5">
        <f>IF($A826="","",IF($P826="","",$P826^2))</f>
        <v>441</v>
      </c>
      <c r="AL826" s="18">
        <f>IF($V826&lt;&gt;1,"",AVERAGEIFS(Clean_Data!$P$2:$P$1001,Clean_Data!$F$2:$F$1001,$F826,Clean_Data!$W$2:$W$1001,$W826,Clean_Data!$V$2:$V$1001,1))</f>
        <v>50.1428571428571</v>
      </c>
      <c r="AM826" s="16">
        <f>IF($V826&lt;&gt;1,"",IFERROR(($P826-$AL826)/SQRT(MAX(0,(SUMIFS(Clean_Data!$AK$2:$AK$1001,Clean_Data!$F$2:$F$1001,$F826,Clean_Data!$W$2:$W$1001,$W826,Clean_Data!$V$2:$V$1001,1)-COUNTIFS(Clean_Data!$F$2:$F$1001,$F826,Clean_Data!$W$2:$W$1001,$W826,Clean_Data!$V$2:$V$1001,1)*$AL826^2)/(COUNTIFS(Clean_Data!$F$2:$F$1001,$F826,Clean_Data!$W$2:$W$1001,$W826,Clean_Data!$V$2:$V$1001,1)-1))),""))</f>
        <v>-1.63787666091326</v>
      </c>
      <c r="AN826" s="5" t="str">
        <f>IF($AM826="","",IF($AM826&gt;=Lookups!$K$6,"High spike",IF($AM826&lt;=-Lookups!$K$6,"Unusual low","Normal")))</f>
        <v>Normal</v>
      </c>
      <c r="AO826" s="20">
        <f>IF($V826&lt;&gt;1,"",$P826+ROW()/100000)</f>
        <v>21.00826</v>
      </c>
      <c r="AP826" s="5">
        <f>IF($A826="","",IFERROR(MATCH($A826,Raw_D1!$A$2:$A$1001,0),""))</f>
        <v/>
      </c>
      <c r="AQ826" s="5">
        <f>IF($A826="","",IFERROR(MATCH($A826,Raw_D2!$B$2:$B$1001,0),""))</f>
        <v/>
      </c>
      <c r="AR826" s="5">
        <f>IF($A826="","",IFERROR(MATCH($A826,Raw_D3!$A$2:$A$1001,0),""))</f>
        <v>206</v>
      </c>
    </row>
    <row r="827" spans="1:44" x14ac:dyDescent="0.25">
      <c r="A827" s="5">
        <v>826</v>
      </c>
      <c r="B827" s="11">
        <f>IF($A827="","",IF($AP827&lt;&gt;"",INDEX(Raw_D1!$B$2:$B$1001,$AP827),IF($AR827&lt;&gt;"",INDEX(Raw_D3!$B$2:$B$1001,$AR827),"")))</f>
        <v>40580.0</v>
      </c>
      <c r="C827" s="5">
        <f>IF($A827="","",IF($AP827&lt;&gt;"",INDEX(Raw_D1!$C$2:$C$1001,$AP827),IF($AR827&lt;&gt;"",INDEX(Raw_D3!$C$2:$C$1001,$AR827),"")))</f>
        <v>1</v>
      </c>
      <c r="D827" s="5">
        <f>IF($A827="","",IF($AP827&lt;&gt;"",INDEX(Raw_D1!$D$2:$D$1001,$AP827),IF($AR827&lt;&gt;"",INDEX(Raw_D3!$D$2:$D$1001,$AR827),"")))</f>
        <v>0</v>
      </c>
      <c r="E827" s="5">
        <f>IF($A827="","",IF($AP827&lt;&gt;"",INDEX(Raw_D1!$E$2:$E$1001,$AP827),IF($AR827&lt;&gt;"",INDEX(Raw_D3!$E$2:$E$1001,$AR827),"")))</f>
        <v>2</v>
      </c>
      <c r="F827" s="5">
        <f>IF($A827="","",IF($AP827&lt;&gt;"",INDEX(Raw_D1!$F$2:$F$1001,$AP827),IF($AR827&lt;&gt;"",INDEX(Raw_D3!$F$2:$F$1001,$AR827),"")))</f>
        <v>20</v>
      </c>
      <c r="G827" s="5">
        <f>IF($A827="","",IF($AP827&lt;&gt;"",IF(INDEX(Raw_D1!$G$2:$G$1001,$AP827),1,0),IF($AR827&lt;&gt;"",IF(INDEX(Raw_D3!$G$2:$G$1001,$AR827),1,0),"")))</f>
        <v>0</v>
      </c>
      <c r="H827" s="5">
        <f>IF($A827="","",IF($AP827&lt;&gt;"",INDEX(Raw_D1!$H$2:$H$1001,$AP827),IF($AR827&lt;&gt;"",INDEX(Raw_D3!$H$2:$H$1001,$AR827),"")))</f>
        <v>0</v>
      </c>
      <c r="I827" s="5">
        <f>IF($A827="","",IF($AP827&lt;&gt;"",INDEX(Raw_D1!$I$2:$I$1001,$AP827),IF($AR827&lt;&gt;"",INDEX(Raw_D3!$I$2:$I$1001,$AR827),"")))</f>
        <v>1</v>
      </c>
      <c r="J827" s="16">
        <f>IF($A827="","",IF($AP827&lt;&gt;"",INDEX(Raw_D1!$J$2:$J$1001,$AP827),IF($AR827&lt;&gt;"",INDEX(Raw_D3!$J$2:$J$1001,$AR827),"")))</f>
        <v>0.28</v>
      </c>
      <c r="K827" s="17">
        <f>IF($A827="","",IF($AQ827&lt;&gt;"",IF(INDEX(Raw_D2!$C$2:$C$1001,$AQ827)="","",INDEX(Raw_D2!$C$2:$C$1001,$AQ827)),IF($AR827&lt;&gt;"",IF(INDEX(Raw_D3!$K$2:$K$1001,$AR827)="","",INDEX(Raw_D3!$K$2:$K$1001,$AR827)),"")))</f>
        <v>0.2879</v>
      </c>
      <c r="L827" s="16">
        <f>IF($A827="","",IF($AQ827&lt;&gt;"",IF(INDEX(Raw_D2!$D$2:$D$1001,$AQ827)="","",INDEX(Raw_D2!$D$2:$D$1001,$AQ827)),IF($AR827&lt;&gt;"",IF(INDEX(Raw_D3!$L$2:$L$1001,$AR827)="","",INDEX(Raw_D3!$L$2:$L$1001,$AR827)),"")))</f>
        <v>0.61</v>
      </c>
      <c r="M827" s="17">
        <f>IF($A827="","",IF($AQ827&lt;&gt;"",IF(INDEX(Raw_D2!$E$2:$E$1001,$AQ827)="","",INDEX(Raw_D2!$E$2:$E$1001,$AQ827)),IF($AR827&lt;&gt;"",IF(INDEX(Raw_D3!$M$2:$M$1001,$AR827)="","",INDEX(Raw_D3!$M$2:$M$1001,$AR827)),"")))</f>
        <v>0.1045</v>
      </c>
      <c r="N827" s="5">
        <f>IF($A827="","",IF($AQ827&lt;&gt;"",IF(INDEX(Raw_D2!$F$2:$F$1001,$AQ827)="","",INDEX(Raw_D2!$F$2:$F$1001,$AQ827)),IF($AR827&lt;&gt;"",IF(INDEX(Raw_D3!$N$2:$N$1001,$AR827)="","",INDEX(Raw_D3!$N$2:$N$1001,$AR827)),"")))</f>
        <v>5</v>
      </c>
      <c r="O827" s="5">
        <f>IF($A827="","",IF($AQ827&lt;&gt;"",IF(INDEX(Raw_D2!$G$2:$G$1001,$AQ827)="","",INDEX(Raw_D2!$G$2:$G$1001,$AQ827)),IF($AR827&lt;&gt;"",IF(INDEX(Raw_D3!$O$2:$O$1001,$AR827)="","",INDEX(Raw_D3!$O$2:$O$1001,$AR827)),"")))</f>
        <v>21</v>
      </c>
      <c r="P827" s="5">
        <f>IF($A827="","",IF($AQ827&lt;&gt;"",IF(INDEX(Raw_D2!$H$2:$H$1001,$AQ827)="","",INDEX(Raw_D2!$H$2:$H$1001,$AQ827)),IF($AR827&lt;&gt;"",IF(INDEX(Raw_D3!$P$2:$P$1001,$AR827)="","",INDEX(Raw_D3!$P$2:$P$1001,$AR827)),"")))</f>
        <v>26</v>
      </c>
      <c r="Q827" s="5" t="str">
        <f>IF($A827="","",IF(AND($AP827&lt;&gt;"",$AQ827&lt;&gt;""),"D1+D2",IF($AR827&lt;&gt;"","D3","Incomplete")))</f>
        <v>D3</v>
      </c>
      <c r="R827" s="17">
        <f>IF($A827="","",IF($K827="",IF($J827="","",ROUND(Lookups!$K$5+Lookups!$K$4*$J827,4)),$K827))</f>
        <v>0.2879</v>
      </c>
      <c r="S827" s="5" t="str">
        <f>IF($A827="","",IF($K827="","Imputed","Original"))</f>
        <v>Original</v>
      </c>
      <c r="T827" s="5" t="str">
        <f>IF($A827="","",IF($P827="","Missing",IF($P827=$N827+$O827,"OK","Mismatch")))</f>
        <v>OK</v>
      </c>
      <c r="U827" s="5" t="str">
        <f>IF($A827="","",IF(COUNTIF($A$2:$A827,$A827)&gt;1,"Duplicate","Unique"))</f>
        <v>Unique</v>
      </c>
      <c r="V827" s="5">
        <f>IF($A827="","",IF(AND($U827="Unique",ISNUMBER($P827)),1,0))</f>
        <v>1</v>
      </c>
      <c r="W827" s="5" t="str">
        <f>IF($A827="","",IF(OR($H827=0,$H827=6),"Weekend","Weekday"))</f>
        <v>Weekend</v>
      </c>
      <c r="X827" s="5" t="str">
        <f>IF($A827="","",TEXT($B827,"ddd"))</f>
        <v>Sun</v>
      </c>
      <c r="Y827" s="5" t="str">
        <f>IF($A827="","",TEXT($B827,"mmm"))</f>
        <v>Feb</v>
      </c>
      <c r="Z827" s="5" t="str">
        <f>IF($A827="","",IFERROR(VLOOKUP($C827,Lookups!$D$4:$E$7,2,FALSE),"Unknown"))</f>
        <v>Winter</v>
      </c>
      <c r="AA827" s="5" t="str">
        <f>IF($A827="","",IFERROR(VLOOKUP($I827,Lookups!$A$4:$B$7,2,FALSE),"Unknown"))</f>
        <v>Clear</v>
      </c>
      <c r="AB827" s="5" t="str">
        <f>IF($A827="","",TEXT($F827,"00")&amp;":00")</f>
        <v>20:00</v>
      </c>
      <c r="AC827" s="5" t="str">
        <f>IF($A827="","",VLOOKUP($F827,Lookups!$G$4:$H$8,2,TRUE))</f>
        <v>Late Evening (20-23)</v>
      </c>
      <c r="AD827" s="18">
        <f>IF($A827="","",IF($J827="","",ROUND($J827*41,1)))</f>
        <v>11.5</v>
      </c>
      <c r="AE827" s="18">
        <f>IF($A827="","",IF($R827="","",ROUND($R827*50,1)))</f>
        <v>14.4</v>
      </c>
      <c r="AF827" s="5">
        <f>IF($A827="","",IF($L827="","",ROUND($L827*100,0)))</f>
        <v>61</v>
      </c>
      <c r="AG827" s="18">
        <f>IF($A827="","",IF($M827="","",ROUND($M827*67,1)))</f>
        <v>7</v>
      </c>
      <c r="AH827" s="19">
        <f>IF($A827="","",IF($P827="","",IF($P827=0,0,$O827/$P827)))</f>
        <v>0.807692307692308</v>
      </c>
      <c r="AI827" s="5" t="str">
        <f>IF($A827="","",IF($P827="","",IF($P827&gt;=Lookups!$K$7,"High",IF($P827&lt;=Lookups!$K$8,"Low","Medium"))))</f>
        <v>Medium</v>
      </c>
      <c r="AJ827" s="5" t="str">
        <f>IF($A827="","",IF($AD827="","",IF($AD827&lt;5,"Under 5 C",IF($AD827&lt;10,"5-10 C",IF($AD827&lt;15,"10-15 C","15 C and above")))))</f>
        <v>10-15 C</v>
      </c>
      <c r="AK827" s="5">
        <f>IF($A827="","",IF($P827="","",$P827^2))</f>
        <v>676</v>
      </c>
      <c r="AL827" s="18">
        <f>IF($V827&lt;&gt;1,"",AVERAGEIFS(Clean_Data!$P$2:$P$1001,Clean_Data!$F$2:$F$1001,$F827,Clean_Data!$W$2:$W$1001,$W827,Clean_Data!$V$2:$V$1001,1))</f>
        <v>40</v>
      </c>
      <c r="AM827" s="16">
        <f>IF($V827&lt;&gt;1,"",IFERROR(($P827-$AL827)/SQRT(MAX(0,(SUMIFS(Clean_Data!$AK$2:$AK$1001,Clean_Data!$F$2:$F$1001,$F827,Clean_Data!$W$2:$W$1001,$W827,Clean_Data!$V$2:$V$1001,1)-COUNTIFS(Clean_Data!$F$2:$F$1001,$F827,Clean_Data!$W$2:$W$1001,$W827,Clean_Data!$V$2:$V$1001,1)*$AL827^2)/(COUNTIFS(Clean_Data!$F$2:$F$1001,$F827,Clean_Data!$W$2:$W$1001,$W827,Clean_Data!$V$2:$V$1001,1)-1))),""))</f>
        <v>-1.13670103786919</v>
      </c>
      <c r="AN827" s="5" t="str">
        <f>IF($AM827="","",IF($AM827&gt;=Lookups!$K$6,"High spike",IF($AM827&lt;=-Lookups!$K$6,"Unusual low","Normal")))</f>
        <v>Normal</v>
      </c>
      <c r="AO827" s="20">
        <f>IF($V827&lt;&gt;1,"",$P827+ROW()/100000)</f>
        <v>26.00827</v>
      </c>
      <c r="AP827" s="5">
        <f>IF($A827="","",IFERROR(MATCH($A827,Raw_D1!$A$2:$A$1001,0),""))</f>
        <v/>
      </c>
      <c r="AQ827" s="5">
        <f>IF($A827="","",IFERROR(MATCH($A827,Raw_D2!$B$2:$B$1001,0),""))</f>
        <v/>
      </c>
      <c r="AR827" s="5">
        <f>IF($A827="","",IFERROR(MATCH($A827,Raw_D3!$A$2:$A$1001,0),""))</f>
        <v>207</v>
      </c>
    </row>
    <row r="828" spans="1:44" x14ac:dyDescent="0.25">
      <c r="A828" s="5">
        <v>827</v>
      </c>
      <c r="B828" s="11">
        <f>IF($A828="","",IF($AP828&lt;&gt;"",INDEX(Raw_D1!$B$2:$B$1001,$AP828),IF($AR828&lt;&gt;"",INDEX(Raw_D3!$B$2:$B$1001,$AR828),"")))</f>
        <v>40580.0</v>
      </c>
      <c r="C828" s="5">
        <f>IF($A828="","",IF($AP828&lt;&gt;"",INDEX(Raw_D1!$C$2:$C$1001,$AP828),IF($AR828&lt;&gt;"",INDEX(Raw_D3!$C$2:$C$1001,$AR828),"")))</f>
        <v>1</v>
      </c>
      <c r="D828" s="5">
        <f>IF($A828="","",IF($AP828&lt;&gt;"",INDEX(Raw_D1!$D$2:$D$1001,$AP828),IF($AR828&lt;&gt;"",INDEX(Raw_D3!$D$2:$D$1001,$AR828),"")))</f>
        <v>0</v>
      </c>
      <c r="E828" s="5">
        <f>IF($A828="","",IF($AP828&lt;&gt;"",INDEX(Raw_D1!$E$2:$E$1001,$AP828),IF($AR828&lt;&gt;"",INDEX(Raw_D3!$E$2:$E$1001,$AR828),"")))</f>
        <v>2</v>
      </c>
      <c r="F828" s="5">
        <f>IF($A828="","",IF($AP828&lt;&gt;"",INDEX(Raw_D1!$F$2:$F$1001,$AP828),IF($AR828&lt;&gt;"",INDEX(Raw_D3!$F$2:$F$1001,$AR828),"")))</f>
        <v>21</v>
      </c>
      <c r="G828" s="5">
        <f>IF($A828="","",IF($AP828&lt;&gt;"",IF(INDEX(Raw_D1!$G$2:$G$1001,$AP828),1,0),IF($AR828&lt;&gt;"",IF(INDEX(Raw_D3!$G$2:$G$1001,$AR828),1,0),"")))</f>
        <v>0</v>
      </c>
      <c r="H828" s="5">
        <f>IF($A828="","",IF($AP828&lt;&gt;"",INDEX(Raw_D1!$H$2:$H$1001,$AP828),IF($AR828&lt;&gt;"",INDEX(Raw_D3!$H$2:$H$1001,$AR828),"")))</f>
        <v>0</v>
      </c>
      <c r="I828" s="5">
        <f>IF($A828="","",IF($AP828&lt;&gt;"",INDEX(Raw_D1!$I$2:$I$1001,$AP828),IF($AR828&lt;&gt;"",INDEX(Raw_D3!$I$2:$I$1001,$AR828),"")))</f>
        <v>1</v>
      </c>
      <c r="J828" s="16">
        <f>IF($A828="","",IF($AP828&lt;&gt;"",INDEX(Raw_D1!$J$2:$J$1001,$AP828),IF($AR828&lt;&gt;"",INDEX(Raw_D3!$J$2:$J$1001,$AR828),"")))</f>
        <v>0.26</v>
      </c>
      <c r="K828" s="17">
        <f>IF($A828="","",IF($AQ828&lt;&gt;"",IF(INDEX(Raw_D2!$C$2:$C$1001,$AQ828)="","",INDEX(Raw_D2!$C$2:$C$1001,$AQ828)),IF($AR828&lt;&gt;"",IF(INDEX(Raw_D3!$K$2:$K$1001,$AR828)="","",INDEX(Raw_D3!$K$2:$K$1001,$AR828)),"")))</f>
        <v>0.303</v>
      </c>
      <c r="L828" s="16">
        <f>IF($A828="","",IF($AQ828&lt;&gt;"",IF(INDEX(Raw_D2!$D$2:$D$1001,$AQ828)="","",INDEX(Raw_D2!$D$2:$D$1001,$AQ828)),IF($AR828&lt;&gt;"",IF(INDEX(Raw_D3!$L$2:$L$1001,$AR828)="","",INDEX(Raw_D3!$L$2:$L$1001,$AR828)),"")))</f>
        <v>0.6</v>
      </c>
      <c r="M828" s="17">
        <f>IF($A828="","",IF($AQ828&lt;&gt;"",IF(INDEX(Raw_D2!$E$2:$E$1001,$AQ828)="","",INDEX(Raw_D2!$E$2:$E$1001,$AQ828)),IF($AR828&lt;&gt;"",IF(INDEX(Raw_D3!$M$2:$M$1001,$AR828)="","",INDEX(Raw_D3!$M$2:$M$1001,$AR828)),"")))</f>
        <v>0</v>
      </c>
      <c r="N828" s="5">
        <f>IF($A828="","",IF($AQ828&lt;&gt;"",IF(INDEX(Raw_D2!$F$2:$F$1001,$AQ828)="","",INDEX(Raw_D2!$F$2:$F$1001,$AQ828)),IF($AR828&lt;&gt;"",IF(INDEX(Raw_D3!$N$2:$N$1001,$AR828)="","",INDEX(Raw_D3!$N$2:$N$1001,$AR828)),"")))</f>
        <v>5</v>
      </c>
      <c r="O828" s="5">
        <f>IF($A828="","",IF($AQ828&lt;&gt;"",IF(INDEX(Raw_D2!$G$2:$G$1001,$AQ828)="","",INDEX(Raw_D2!$G$2:$G$1001,$AQ828)),IF($AR828&lt;&gt;"",IF(INDEX(Raw_D3!$O$2:$O$1001,$AR828)="","",INDEX(Raw_D3!$O$2:$O$1001,$AR828)),"")))</f>
        <v>22</v>
      </c>
      <c r="P828" s="5">
        <f>IF($A828="","",IF($AQ828&lt;&gt;"",IF(INDEX(Raw_D2!$H$2:$H$1001,$AQ828)="","",INDEX(Raw_D2!$H$2:$H$1001,$AQ828)),IF($AR828&lt;&gt;"",IF(INDEX(Raw_D3!$P$2:$P$1001,$AR828)="","",INDEX(Raw_D3!$P$2:$P$1001,$AR828)),"")))</f>
        <v>27</v>
      </c>
      <c r="Q828" s="5" t="str">
        <f>IF($A828="","",IF(AND($AP828&lt;&gt;"",$AQ828&lt;&gt;""),"D1+D2",IF($AR828&lt;&gt;"","D3","Incomplete")))</f>
        <v>D3</v>
      </c>
      <c r="R828" s="17">
        <f>IF($A828="","",IF($K828="",IF($J828="","",ROUND(Lookups!$K$5+Lookups!$K$4*$J828,4)),$K828))</f>
        <v>0.303</v>
      </c>
      <c r="S828" s="5" t="str">
        <f>IF($A828="","",IF($K828="","Imputed","Original"))</f>
        <v>Original</v>
      </c>
      <c r="T828" s="5" t="str">
        <f>IF($A828="","",IF($P828="","Missing",IF($P828=$N828+$O828,"OK","Mismatch")))</f>
        <v>OK</v>
      </c>
      <c r="U828" s="5" t="str">
        <f>IF($A828="","",IF(COUNTIF($A$2:$A828,$A828)&gt;1,"Duplicate","Unique"))</f>
        <v>Unique</v>
      </c>
      <c r="V828" s="5">
        <f>IF($A828="","",IF(AND($U828="Unique",ISNUMBER($P828)),1,0))</f>
        <v>1</v>
      </c>
      <c r="W828" s="5" t="str">
        <f>IF($A828="","",IF(OR($H828=0,$H828=6),"Weekend","Weekday"))</f>
        <v>Weekend</v>
      </c>
      <c r="X828" s="5" t="str">
        <f>IF($A828="","",TEXT($B828,"ddd"))</f>
        <v>Sun</v>
      </c>
      <c r="Y828" s="5" t="str">
        <f>IF($A828="","",TEXT($B828,"mmm"))</f>
        <v>Feb</v>
      </c>
      <c r="Z828" s="5" t="str">
        <f>IF($A828="","",IFERROR(VLOOKUP($C828,Lookups!$D$4:$E$7,2,FALSE),"Unknown"))</f>
        <v>Winter</v>
      </c>
      <c r="AA828" s="5" t="str">
        <f>IF($A828="","",IFERROR(VLOOKUP($I828,Lookups!$A$4:$B$7,2,FALSE),"Unknown"))</f>
        <v>Clear</v>
      </c>
      <c r="AB828" s="5" t="str">
        <f>IF($A828="","",TEXT($F828,"00")&amp;":00")</f>
        <v>21:00</v>
      </c>
      <c r="AC828" s="5" t="str">
        <f>IF($A828="","",VLOOKUP($F828,Lookups!$G$4:$H$8,2,TRUE))</f>
        <v>Late Evening (20-23)</v>
      </c>
      <c r="AD828" s="18">
        <f>IF($A828="","",IF($J828="","",ROUND($J828*41,1)))</f>
        <v>10.7</v>
      </c>
      <c r="AE828" s="18">
        <f>IF($A828="","",IF($R828="","",ROUND($R828*50,1)))</f>
        <v>15.2</v>
      </c>
      <c r="AF828" s="5">
        <f>IF($A828="","",IF($L828="","",ROUND($L828*100,0)))</f>
        <v>60</v>
      </c>
      <c r="AG828" s="18">
        <f>IF($A828="","",IF($M828="","",ROUND($M828*67,1)))</f>
        <v>0</v>
      </c>
      <c r="AH828" s="19">
        <f>IF($A828="","",IF($P828="","",IF($P828=0,0,$O828/$P828)))</f>
        <v>0.814814814814815</v>
      </c>
      <c r="AI828" s="5" t="str">
        <f>IF($A828="","",IF($P828="","",IF($P828&gt;=Lookups!$K$7,"High",IF($P828&lt;=Lookups!$K$8,"Low","Medium"))))</f>
        <v>Medium</v>
      </c>
      <c r="AJ828" s="5" t="str">
        <f>IF($A828="","",IF($AD828="","",IF($AD828&lt;5,"Under 5 C",IF($AD828&lt;10,"5-10 C",IF($AD828&lt;15,"10-15 C","15 C and above")))))</f>
        <v>10-15 C</v>
      </c>
      <c r="AK828" s="5">
        <f>IF($A828="","",IF($P828="","",$P828^2))</f>
        <v>729</v>
      </c>
      <c r="AL828" s="18">
        <f>IF($V828&lt;&gt;1,"",AVERAGEIFS(Clean_Data!$P$2:$P$1001,Clean_Data!$F$2:$F$1001,$F828,Clean_Data!$W$2:$W$1001,$W828,Clean_Data!$V$2:$V$1001,1))</f>
        <v>37.1428571428571</v>
      </c>
      <c r="AM828" s="16">
        <f>IF($V828&lt;&gt;1,"",IFERROR(($P828-$AL828)/SQRT(MAX(0,(SUMIFS(Clean_Data!$AK$2:$AK$1001,Clean_Data!$F$2:$F$1001,$F828,Clean_Data!$W$2:$W$1001,$W828,Clean_Data!$V$2:$V$1001,1)-COUNTIFS(Clean_Data!$F$2:$F$1001,$F828,Clean_Data!$W$2:$W$1001,$W828,Clean_Data!$V$2:$V$1001,1)*$AL828^2)/(COUNTIFS(Clean_Data!$F$2:$F$1001,$F828,Clean_Data!$W$2:$W$1001,$W828,Clean_Data!$V$2:$V$1001,1)-1))),""))</f>
        <v>-0.839492018458659</v>
      </c>
      <c r="AN828" s="5" t="str">
        <f>IF($AM828="","",IF($AM828&gt;=Lookups!$K$6,"High spike",IF($AM828&lt;=-Lookups!$K$6,"Unusual low","Normal")))</f>
        <v>Normal</v>
      </c>
      <c r="AO828" s="20">
        <f>IF($V828&lt;&gt;1,"",$P828+ROW()/100000)</f>
        <v>27.00828</v>
      </c>
      <c r="AP828" s="5">
        <f>IF($A828="","",IFERROR(MATCH($A828,Raw_D1!$A$2:$A$1001,0),""))</f>
        <v/>
      </c>
      <c r="AQ828" s="5">
        <f>IF($A828="","",IFERROR(MATCH($A828,Raw_D2!$B$2:$B$1001,0),""))</f>
        <v/>
      </c>
      <c r="AR828" s="5">
        <f>IF($A828="","",IFERROR(MATCH($A828,Raw_D3!$A$2:$A$1001,0),""))</f>
        <v>208</v>
      </c>
    </row>
    <row r="829" spans="1:44" x14ac:dyDescent="0.25">
      <c r="A829" s="5">
        <v>828</v>
      </c>
      <c r="B829" s="11">
        <f>IF($A829="","",IF($AP829&lt;&gt;"",INDEX(Raw_D1!$B$2:$B$1001,$AP829),IF($AR829&lt;&gt;"",INDEX(Raw_D3!$B$2:$B$1001,$AR829),"")))</f>
        <v>40580.0</v>
      </c>
      <c r="C829" s="5">
        <f>IF($A829="","",IF($AP829&lt;&gt;"",INDEX(Raw_D1!$C$2:$C$1001,$AP829),IF($AR829&lt;&gt;"",INDEX(Raw_D3!$C$2:$C$1001,$AR829),"")))</f>
        <v>1</v>
      </c>
      <c r="D829" s="5">
        <f>IF($A829="","",IF($AP829&lt;&gt;"",INDEX(Raw_D1!$D$2:$D$1001,$AP829),IF($AR829&lt;&gt;"",INDEX(Raw_D3!$D$2:$D$1001,$AR829),"")))</f>
        <v>0</v>
      </c>
      <c r="E829" s="5">
        <f>IF($A829="","",IF($AP829&lt;&gt;"",INDEX(Raw_D1!$E$2:$E$1001,$AP829),IF($AR829&lt;&gt;"",INDEX(Raw_D3!$E$2:$E$1001,$AR829),"")))</f>
        <v>2</v>
      </c>
      <c r="F829" s="5">
        <f>IF($A829="","",IF($AP829&lt;&gt;"",INDEX(Raw_D1!$F$2:$F$1001,$AP829),IF($AR829&lt;&gt;"",INDEX(Raw_D3!$F$2:$F$1001,$AR829),"")))</f>
        <v>22</v>
      </c>
      <c r="G829" s="5">
        <f>IF($A829="","",IF($AP829&lt;&gt;"",IF(INDEX(Raw_D1!$G$2:$G$1001,$AP829),1,0),IF($AR829&lt;&gt;"",IF(INDEX(Raw_D3!$G$2:$G$1001,$AR829),1,0),"")))</f>
        <v>0</v>
      </c>
      <c r="H829" s="5">
        <f>IF($A829="","",IF($AP829&lt;&gt;"",INDEX(Raw_D1!$H$2:$H$1001,$AP829),IF($AR829&lt;&gt;"",INDEX(Raw_D3!$H$2:$H$1001,$AR829),"")))</f>
        <v>0</v>
      </c>
      <c r="I829" s="5">
        <f>IF($A829="","",IF($AP829&lt;&gt;"",INDEX(Raw_D1!$I$2:$I$1001,$AP829),IF($AR829&lt;&gt;"",INDEX(Raw_D3!$I$2:$I$1001,$AR829),"")))</f>
        <v>1</v>
      </c>
      <c r="J829" s="16">
        <f>IF($A829="","",IF($AP829&lt;&gt;"",INDEX(Raw_D1!$J$2:$J$1001,$AP829),IF($AR829&lt;&gt;"",INDEX(Raw_D3!$J$2:$J$1001,$AR829),"")))</f>
        <v>0.26</v>
      </c>
      <c r="K829" s="17">
        <f>IF($A829="","",IF($AQ829&lt;&gt;"",IF(INDEX(Raw_D2!$C$2:$C$1001,$AQ829)="","",INDEX(Raw_D2!$C$2:$C$1001,$AQ829)),IF($AR829&lt;&gt;"",IF(INDEX(Raw_D3!$K$2:$K$1001,$AR829)="","",INDEX(Raw_D3!$K$2:$K$1001,$AR829)),"")))</f>
        <v>0.303</v>
      </c>
      <c r="L829" s="16">
        <f>IF($A829="","",IF($AQ829&lt;&gt;"",IF(INDEX(Raw_D2!$D$2:$D$1001,$AQ829)="","",INDEX(Raw_D2!$D$2:$D$1001,$AQ829)),IF($AR829&lt;&gt;"",IF(INDEX(Raw_D3!$L$2:$L$1001,$AR829)="","",INDEX(Raw_D3!$L$2:$L$1001,$AR829)),"")))</f>
        <v>0.6</v>
      </c>
      <c r="M829" s="17">
        <f>IF($A829="","",IF($AQ829&lt;&gt;"",IF(INDEX(Raw_D2!$E$2:$E$1001,$AQ829)="","",INDEX(Raw_D2!$E$2:$E$1001,$AQ829)),IF($AR829&lt;&gt;"",IF(INDEX(Raw_D3!$M$2:$M$1001,$AR829)="","",INDEX(Raw_D3!$M$2:$M$1001,$AR829)),"")))</f>
        <v>0</v>
      </c>
      <c r="N829" s="5">
        <f>IF($A829="","",IF($AQ829&lt;&gt;"",IF(INDEX(Raw_D2!$F$2:$F$1001,$AQ829)="","",INDEX(Raw_D2!$F$2:$F$1001,$AQ829)),IF($AR829&lt;&gt;"",IF(INDEX(Raw_D3!$N$2:$N$1001,$AR829)="","",INDEX(Raw_D3!$N$2:$N$1001,$AR829)),"")))</f>
        <v>5</v>
      </c>
      <c r="O829" s="5">
        <f>IF($A829="","",IF($AQ829&lt;&gt;"",IF(INDEX(Raw_D2!$G$2:$G$1001,$AQ829)="","",INDEX(Raw_D2!$G$2:$G$1001,$AQ829)),IF($AR829&lt;&gt;"",IF(INDEX(Raw_D3!$O$2:$O$1001,$AR829)="","",INDEX(Raw_D3!$O$2:$O$1001,$AR829)),"")))</f>
        <v>57</v>
      </c>
      <c r="P829" s="5">
        <f>IF($A829="","",IF($AQ829&lt;&gt;"",IF(INDEX(Raw_D2!$H$2:$H$1001,$AQ829)="","",INDEX(Raw_D2!$H$2:$H$1001,$AQ829)),IF($AR829&lt;&gt;"",IF(INDEX(Raw_D3!$P$2:$P$1001,$AR829)="","",INDEX(Raw_D3!$P$2:$P$1001,$AR829)),"")))</f>
        <v>62</v>
      </c>
      <c r="Q829" s="5" t="str">
        <f>IF($A829="","",IF(AND($AP829&lt;&gt;"",$AQ829&lt;&gt;""),"D1+D2",IF($AR829&lt;&gt;"","D3","Incomplete")))</f>
        <v>D3</v>
      </c>
      <c r="R829" s="17">
        <f>IF($A829="","",IF($K829="",IF($J829="","",ROUND(Lookups!$K$5+Lookups!$K$4*$J829,4)),$K829))</f>
        <v>0.303</v>
      </c>
      <c r="S829" s="5" t="str">
        <f>IF($A829="","",IF($K829="","Imputed","Original"))</f>
        <v>Original</v>
      </c>
      <c r="T829" s="5" t="str">
        <f>IF($A829="","",IF($P829="","Missing",IF($P829=$N829+$O829,"OK","Mismatch")))</f>
        <v>OK</v>
      </c>
      <c r="U829" s="5" t="str">
        <f>IF($A829="","",IF(COUNTIF($A$2:$A829,$A829)&gt;1,"Duplicate","Unique"))</f>
        <v>Unique</v>
      </c>
      <c r="V829" s="5">
        <f>IF($A829="","",IF(AND($U829="Unique",ISNUMBER($P829)),1,0))</f>
        <v>1</v>
      </c>
      <c r="W829" s="5" t="str">
        <f>IF($A829="","",IF(OR($H829=0,$H829=6),"Weekend","Weekday"))</f>
        <v>Weekend</v>
      </c>
      <c r="X829" s="5" t="str">
        <f>IF($A829="","",TEXT($B829,"ddd"))</f>
        <v>Sun</v>
      </c>
      <c r="Y829" s="5" t="str">
        <f>IF($A829="","",TEXT($B829,"mmm"))</f>
        <v>Feb</v>
      </c>
      <c r="Z829" s="5" t="str">
        <f>IF($A829="","",IFERROR(VLOOKUP($C829,Lookups!$D$4:$E$7,2,FALSE),"Unknown"))</f>
        <v>Winter</v>
      </c>
      <c r="AA829" s="5" t="str">
        <f>IF($A829="","",IFERROR(VLOOKUP($I829,Lookups!$A$4:$B$7,2,FALSE),"Unknown"))</f>
        <v>Clear</v>
      </c>
      <c r="AB829" s="5" t="str">
        <f>IF($A829="","",TEXT($F829,"00")&amp;":00")</f>
        <v>22:00</v>
      </c>
      <c r="AC829" s="5" t="str">
        <f>IF($A829="","",VLOOKUP($F829,Lookups!$G$4:$H$8,2,TRUE))</f>
        <v>Late Evening (20-23)</v>
      </c>
      <c r="AD829" s="18">
        <f>IF($A829="","",IF($J829="","",ROUND($J829*41,1)))</f>
        <v>10.7</v>
      </c>
      <c r="AE829" s="18">
        <f>IF($A829="","",IF($R829="","",ROUND($R829*50,1)))</f>
        <v>15.2</v>
      </c>
      <c r="AF829" s="5">
        <f>IF($A829="","",IF($L829="","",ROUND($L829*100,0)))</f>
        <v>60</v>
      </c>
      <c r="AG829" s="18">
        <f>IF($A829="","",IF($M829="","",ROUND($M829*67,1)))</f>
        <v>0</v>
      </c>
      <c r="AH829" s="19">
        <f>IF($A829="","",IF($P829="","",IF($P829=0,0,$O829/$P829)))</f>
        <v>0.919354838709677</v>
      </c>
      <c r="AI829" s="5" t="str">
        <f>IF($A829="","",IF($P829="","",IF($P829&gt;=Lookups!$K$7,"High",IF($P829&lt;=Lookups!$K$8,"Low","Medium"))))</f>
        <v>Medium</v>
      </c>
      <c r="AJ829" s="5" t="str">
        <f>IF($A829="","",IF($AD829="","",IF($AD829&lt;5,"Under 5 C",IF($AD829&lt;10,"5-10 C",IF($AD829&lt;15,"10-15 C","15 C and above")))))</f>
        <v>10-15 C</v>
      </c>
      <c r="AK829" s="5">
        <f>IF($A829="","",IF($P829="","",$P829^2))</f>
        <v>3844</v>
      </c>
      <c r="AL829" s="18">
        <f>IF($V829&lt;&gt;1,"",AVERAGEIFS(Clean_Data!$P$2:$P$1001,Clean_Data!$F$2:$F$1001,$F829,Clean_Data!$W$2:$W$1001,$W829,Clean_Data!$V$2:$V$1001,1))</f>
        <v>30.8571428571429</v>
      </c>
      <c r="AM829" s="16">
        <f>IF($V829&lt;&gt;1,"",IFERROR(($P829-$AL829)/SQRT(MAX(0,(SUMIFS(Clean_Data!$AK$2:$AK$1001,Clean_Data!$F$2:$F$1001,$F829,Clean_Data!$W$2:$W$1001,$W829,Clean_Data!$V$2:$V$1001,1)-COUNTIFS(Clean_Data!$F$2:$F$1001,$F829,Clean_Data!$W$2:$W$1001,$W829,Clean_Data!$V$2:$V$1001,1)*$AL829^2)/(COUNTIFS(Clean_Data!$F$2:$F$1001,$F829,Clean_Data!$W$2:$W$1001,$W829,Clean_Data!$V$2:$V$1001,1)-1))),""))</f>
        <v>2.30567953586033</v>
      </c>
      <c r="AN829" s="5" t="str">
        <f>IF($AM829="","",IF($AM829&gt;=Lookups!$K$6,"High spike",IF($AM829&lt;=-Lookups!$K$6,"Unusual low","Normal")))</f>
        <v>Normal</v>
      </c>
      <c r="AO829" s="20">
        <f>IF($V829&lt;&gt;1,"",$P829+ROW()/100000)</f>
        <v>62.00829</v>
      </c>
      <c r="AP829" s="5">
        <f>IF($A829="","",IFERROR(MATCH($A829,Raw_D1!$A$2:$A$1001,0),""))</f>
        <v/>
      </c>
      <c r="AQ829" s="5">
        <f>IF($A829="","",IFERROR(MATCH($A829,Raw_D2!$B$2:$B$1001,0),""))</f>
        <v/>
      </c>
      <c r="AR829" s="5">
        <f>IF($A829="","",IFERROR(MATCH($A829,Raw_D3!$A$2:$A$1001,0),""))</f>
        <v>209</v>
      </c>
    </row>
    <row r="830" spans="1:44" x14ac:dyDescent="0.25">
      <c r="A830" s="5">
        <v>829</v>
      </c>
      <c r="B830" s="11">
        <f>IF($A830="","",IF($AP830&lt;&gt;"",INDEX(Raw_D1!$B$2:$B$1001,$AP830),IF($AR830&lt;&gt;"",INDEX(Raw_D3!$B$2:$B$1001,$AR830),"")))</f>
        <v>40580.0</v>
      </c>
      <c r="C830" s="5">
        <f>IF($A830="","",IF($AP830&lt;&gt;"",INDEX(Raw_D1!$C$2:$C$1001,$AP830),IF($AR830&lt;&gt;"",INDEX(Raw_D3!$C$2:$C$1001,$AR830),"")))</f>
        <v>1</v>
      </c>
      <c r="D830" s="5">
        <f>IF($A830="","",IF($AP830&lt;&gt;"",INDEX(Raw_D1!$D$2:$D$1001,$AP830),IF($AR830&lt;&gt;"",INDEX(Raw_D3!$D$2:$D$1001,$AR830),"")))</f>
        <v>0</v>
      </c>
      <c r="E830" s="5">
        <f>IF($A830="","",IF($AP830&lt;&gt;"",INDEX(Raw_D1!$E$2:$E$1001,$AP830),IF($AR830&lt;&gt;"",INDEX(Raw_D3!$E$2:$E$1001,$AR830),"")))</f>
        <v>2</v>
      </c>
      <c r="F830" s="5">
        <f>IF($A830="","",IF($AP830&lt;&gt;"",INDEX(Raw_D1!$F$2:$F$1001,$AP830),IF($AR830&lt;&gt;"",INDEX(Raw_D3!$F$2:$F$1001,$AR830),"")))</f>
        <v>23</v>
      </c>
      <c r="G830" s="5">
        <f>IF($A830="","",IF($AP830&lt;&gt;"",IF(INDEX(Raw_D1!$G$2:$G$1001,$AP830),1,0),IF($AR830&lt;&gt;"",IF(INDEX(Raw_D3!$G$2:$G$1001,$AR830),1,0),"")))</f>
        <v>0</v>
      </c>
      <c r="H830" s="5">
        <f>IF($A830="","",IF($AP830&lt;&gt;"",INDEX(Raw_D1!$H$2:$H$1001,$AP830),IF($AR830&lt;&gt;"",INDEX(Raw_D3!$H$2:$H$1001,$AR830),"")))</f>
        <v>0</v>
      </c>
      <c r="I830" s="5">
        <f>IF($A830="","",IF($AP830&lt;&gt;"",INDEX(Raw_D1!$I$2:$I$1001,$AP830),IF($AR830&lt;&gt;"",INDEX(Raw_D3!$I$2:$I$1001,$AR830),"")))</f>
        <v>1</v>
      </c>
      <c r="J830" s="16">
        <f>IF($A830="","",IF($AP830&lt;&gt;"",INDEX(Raw_D1!$J$2:$J$1001,$AP830),IF($AR830&lt;&gt;"",INDEX(Raw_D3!$J$2:$J$1001,$AR830),"")))</f>
        <v>0.24</v>
      </c>
      <c r="K830" s="17">
        <f>IF($A830="","",IF($AQ830&lt;&gt;"",IF(INDEX(Raw_D2!$C$2:$C$1001,$AQ830)="","",INDEX(Raw_D2!$C$2:$C$1001,$AQ830)),IF($AR830&lt;&gt;"",IF(INDEX(Raw_D3!$K$2:$K$1001,$AR830)="","",INDEX(Raw_D3!$K$2:$K$1001,$AR830)),"")))</f>
        <v>0.2879</v>
      </c>
      <c r="L830" s="16">
        <f>IF($A830="","",IF($AQ830&lt;&gt;"",IF(INDEX(Raw_D2!$D$2:$D$1001,$AQ830)="","",INDEX(Raw_D2!$D$2:$D$1001,$AQ830)),IF($AR830&lt;&gt;"",IF(INDEX(Raw_D3!$L$2:$L$1001,$AR830)="","",INDEX(Raw_D3!$L$2:$L$1001,$AR830)),"")))</f>
        <v>0.65</v>
      </c>
      <c r="M830" s="17">
        <f>IF($A830="","",IF($AQ830&lt;&gt;"",IF(INDEX(Raw_D2!$E$2:$E$1001,$AQ830)="","",INDEX(Raw_D2!$E$2:$E$1001,$AQ830)),IF($AR830&lt;&gt;"",IF(INDEX(Raw_D3!$M$2:$M$1001,$AR830)="","",INDEX(Raw_D3!$M$2:$M$1001,$AR830)),"")))</f>
        <v>0</v>
      </c>
      <c r="N830" s="5">
        <f>IF($A830="","",IF($AQ830&lt;&gt;"",IF(INDEX(Raw_D2!$F$2:$F$1001,$AQ830)="","",INDEX(Raw_D2!$F$2:$F$1001,$AQ830)),IF($AR830&lt;&gt;"",IF(INDEX(Raw_D3!$N$2:$N$1001,$AR830)="","",INDEX(Raw_D3!$N$2:$N$1001,$AR830)),"")))</f>
        <v>4</v>
      </c>
      <c r="O830" s="5">
        <f>IF($A830="","",IF($AQ830&lt;&gt;"",IF(INDEX(Raw_D2!$G$2:$G$1001,$AQ830)="","",INDEX(Raw_D2!$G$2:$G$1001,$AQ830)),IF($AR830&lt;&gt;"",IF(INDEX(Raw_D3!$O$2:$O$1001,$AR830)="","",INDEX(Raw_D3!$O$2:$O$1001,$AR830)),"")))</f>
        <v>26</v>
      </c>
      <c r="P830" s="5">
        <f>IF($A830="","",IF($AQ830&lt;&gt;"",IF(INDEX(Raw_D2!$H$2:$H$1001,$AQ830)="","",INDEX(Raw_D2!$H$2:$H$1001,$AQ830)),IF($AR830&lt;&gt;"",IF(INDEX(Raw_D3!$P$2:$P$1001,$AR830)="","",INDEX(Raw_D3!$P$2:$P$1001,$AR830)),"")))</f>
        <v>30</v>
      </c>
      <c r="Q830" s="5" t="str">
        <f>IF($A830="","",IF(AND($AP830&lt;&gt;"",$AQ830&lt;&gt;""),"D1+D2",IF($AR830&lt;&gt;"","D3","Incomplete")))</f>
        <v>D3</v>
      </c>
      <c r="R830" s="17">
        <f>IF($A830="","",IF($K830="",IF($J830="","",ROUND(Lookups!$K$5+Lookups!$K$4*$J830,4)),$K830))</f>
        <v>0.2879</v>
      </c>
      <c r="S830" s="5" t="str">
        <f>IF($A830="","",IF($K830="","Imputed","Original"))</f>
        <v>Original</v>
      </c>
      <c r="T830" s="5" t="str">
        <f>IF($A830="","",IF($P830="","Missing",IF($P830=$N830+$O830,"OK","Mismatch")))</f>
        <v>OK</v>
      </c>
      <c r="U830" s="5" t="str">
        <f>IF($A830="","",IF(COUNTIF($A$2:$A830,$A830)&gt;1,"Duplicate","Unique"))</f>
        <v>Unique</v>
      </c>
      <c r="V830" s="5">
        <f>IF($A830="","",IF(AND($U830="Unique",ISNUMBER($P830)),1,0))</f>
        <v>1</v>
      </c>
      <c r="W830" s="5" t="str">
        <f>IF($A830="","",IF(OR($H830=0,$H830=6),"Weekend","Weekday"))</f>
        <v>Weekend</v>
      </c>
      <c r="X830" s="5" t="str">
        <f>IF($A830="","",TEXT($B830,"ddd"))</f>
        <v>Sun</v>
      </c>
      <c r="Y830" s="5" t="str">
        <f>IF($A830="","",TEXT($B830,"mmm"))</f>
        <v>Feb</v>
      </c>
      <c r="Z830" s="5" t="str">
        <f>IF($A830="","",IFERROR(VLOOKUP($C830,Lookups!$D$4:$E$7,2,FALSE),"Unknown"))</f>
        <v>Winter</v>
      </c>
      <c r="AA830" s="5" t="str">
        <f>IF($A830="","",IFERROR(VLOOKUP($I830,Lookups!$A$4:$B$7,2,FALSE),"Unknown"))</f>
        <v>Clear</v>
      </c>
      <c r="AB830" s="5" t="str">
        <f>IF($A830="","",TEXT($F830,"00")&amp;":00")</f>
        <v>23:00</v>
      </c>
      <c r="AC830" s="5" t="str">
        <f>IF($A830="","",VLOOKUP($F830,Lookups!$G$4:$H$8,2,TRUE))</f>
        <v>Late Evening (20-23)</v>
      </c>
      <c r="AD830" s="18">
        <f>IF($A830="","",IF($J830="","",ROUND($J830*41,1)))</f>
        <v>9.8</v>
      </c>
      <c r="AE830" s="18">
        <f>IF($A830="","",IF($R830="","",ROUND($R830*50,1)))</f>
        <v>14.4</v>
      </c>
      <c r="AF830" s="5">
        <f>IF($A830="","",IF($L830="","",ROUND($L830*100,0)))</f>
        <v>65</v>
      </c>
      <c r="AG830" s="18">
        <f>IF($A830="","",IF($M830="","",ROUND($M830*67,1)))</f>
        <v>0</v>
      </c>
      <c r="AH830" s="19">
        <f>IF($A830="","",IF($P830="","",IF($P830=0,0,$O830/$P830)))</f>
        <v>0.866666666666667</v>
      </c>
      <c r="AI830" s="5" t="str">
        <f>IF($A830="","",IF($P830="","",IF($P830&gt;=Lookups!$K$7,"High",IF($P830&lt;=Lookups!$K$8,"Low","Medium"))))</f>
        <v>Medium</v>
      </c>
      <c r="AJ830" s="5" t="str">
        <f>IF($A830="","",IF($AD830="","",IF($AD830&lt;5,"Under 5 C",IF($AD830&lt;10,"5-10 C",IF($AD830&lt;15,"10-15 C","15 C and above")))))</f>
        <v>5-10 C</v>
      </c>
      <c r="AK830" s="5">
        <f>IF($A830="","",IF($P830="","",$P830^2))</f>
        <v>900</v>
      </c>
      <c r="AL830" s="18">
        <f>IF($V830&lt;&gt;1,"",AVERAGEIFS(Clean_Data!$P$2:$P$1001,Clean_Data!$F$2:$F$1001,$F830,Clean_Data!$W$2:$W$1001,$W830,Clean_Data!$V$2:$V$1001,1))</f>
        <v>28.2857142857143</v>
      </c>
      <c r="AM830" s="16">
        <f>IF($V830&lt;&gt;1,"",IFERROR(($P830-$AL830)/SQRT(MAX(0,(SUMIFS(Clean_Data!$AK$2:$AK$1001,Clean_Data!$F$2:$F$1001,$F830,Clean_Data!$W$2:$W$1001,$W830,Clean_Data!$V$2:$V$1001,1)-COUNTIFS(Clean_Data!$F$2:$F$1001,$F830,Clean_Data!$W$2:$W$1001,$W830,Clean_Data!$V$2:$V$1001,1)*$AL830^2)/(COUNTIFS(Clean_Data!$F$2:$F$1001,$F830,Clean_Data!$W$2:$W$1001,$W830,Clean_Data!$V$2:$V$1001,1)-1))),""))</f>
        <v>0.122911560903238</v>
      </c>
      <c r="AN830" s="5" t="str">
        <f>IF($AM830="","",IF($AM830&gt;=Lookups!$K$6,"High spike",IF($AM830&lt;=-Lookups!$K$6,"Unusual low","Normal")))</f>
        <v>Normal</v>
      </c>
      <c r="AO830" s="20">
        <f>IF($V830&lt;&gt;1,"",$P830+ROW()/100000)</f>
        <v>30.0083</v>
      </c>
      <c r="AP830" s="5">
        <f>IF($A830="","",IFERROR(MATCH($A830,Raw_D1!$A$2:$A$1001,0),""))</f>
        <v/>
      </c>
      <c r="AQ830" s="5">
        <f>IF($A830="","",IFERROR(MATCH($A830,Raw_D2!$B$2:$B$1001,0),""))</f>
        <v/>
      </c>
      <c r="AR830" s="5">
        <f>IF($A830="","",IFERROR(MATCH($A830,Raw_D3!$A$2:$A$1001,0),""))</f>
        <v>210</v>
      </c>
    </row>
    <row r="831" spans="1:44" x14ac:dyDescent="0.25">
      <c r="A831" s="5">
        <v>830</v>
      </c>
      <c r="B831" s="11">
        <f>IF($A831="","",IF($AP831&lt;&gt;"",INDEX(Raw_D1!$B$2:$B$1001,$AP831),IF($AR831&lt;&gt;"",INDEX(Raw_D3!$B$2:$B$1001,$AR831),"")))</f>
        <v>40581.0</v>
      </c>
      <c r="C831" s="5">
        <f>IF($A831="","",IF($AP831&lt;&gt;"",INDEX(Raw_D1!$C$2:$C$1001,$AP831),IF($AR831&lt;&gt;"",INDEX(Raw_D3!$C$2:$C$1001,$AR831),"")))</f>
        <v>1</v>
      </c>
      <c r="D831" s="5">
        <f>IF($A831="","",IF($AP831&lt;&gt;"",INDEX(Raw_D1!$D$2:$D$1001,$AP831),IF($AR831&lt;&gt;"",INDEX(Raw_D3!$D$2:$D$1001,$AR831),"")))</f>
        <v>0</v>
      </c>
      <c r="E831" s="5">
        <f>IF($A831="","",IF($AP831&lt;&gt;"",INDEX(Raw_D1!$E$2:$E$1001,$AP831),IF($AR831&lt;&gt;"",INDEX(Raw_D3!$E$2:$E$1001,$AR831),"")))</f>
        <v>2</v>
      </c>
      <c r="F831" s="5">
        <f>IF($A831="","",IF($AP831&lt;&gt;"",INDEX(Raw_D1!$F$2:$F$1001,$AP831),IF($AR831&lt;&gt;"",INDEX(Raw_D3!$F$2:$F$1001,$AR831),"")))</f>
        <v>0</v>
      </c>
      <c r="G831" s="5">
        <f>IF($A831="","",IF($AP831&lt;&gt;"",IF(INDEX(Raw_D1!$G$2:$G$1001,$AP831),1,0),IF($AR831&lt;&gt;"",IF(INDEX(Raw_D3!$G$2:$G$1001,$AR831),1,0),"")))</f>
        <v>0</v>
      </c>
      <c r="H831" s="5">
        <f>IF($A831="","",IF($AP831&lt;&gt;"",INDEX(Raw_D1!$H$2:$H$1001,$AP831),IF($AR831&lt;&gt;"",INDEX(Raw_D3!$H$2:$H$1001,$AR831),"")))</f>
        <v>1</v>
      </c>
      <c r="I831" s="5">
        <f>IF($A831="","",IF($AP831&lt;&gt;"",INDEX(Raw_D1!$I$2:$I$1001,$AP831),IF($AR831&lt;&gt;"",INDEX(Raw_D3!$I$2:$I$1001,$AR831),"")))</f>
        <v>1</v>
      </c>
      <c r="J831" s="16">
        <f>IF($A831="","",IF($AP831&lt;&gt;"",INDEX(Raw_D1!$J$2:$J$1001,$AP831),IF($AR831&lt;&gt;"",INDEX(Raw_D3!$J$2:$J$1001,$AR831),"")))</f>
        <v>0.24</v>
      </c>
      <c r="K831" s="17">
        <f>IF($A831="","",IF($AQ831&lt;&gt;"",IF(INDEX(Raw_D2!$C$2:$C$1001,$AQ831)="","",INDEX(Raw_D2!$C$2:$C$1001,$AQ831)),IF($AR831&lt;&gt;"",IF(INDEX(Raw_D3!$K$2:$K$1001,$AR831)="","",INDEX(Raw_D3!$K$2:$K$1001,$AR831)),"")))</f>
        <v>0.2879</v>
      </c>
      <c r="L831" s="16">
        <f>IF($A831="","",IF($AQ831&lt;&gt;"",IF(INDEX(Raw_D2!$D$2:$D$1001,$AQ831)="","",INDEX(Raw_D2!$D$2:$D$1001,$AQ831)),IF($AR831&lt;&gt;"",IF(INDEX(Raw_D3!$L$2:$L$1001,$AR831)="","",INDEX(Raw_D3!$L$2:$L$1001,$AR831)),"")))</f>
        <v>0.65</v>
      </c>
      <c r="M831" s="17">
        <f>IF($A831="","",IF($AQ831&lt;&gt;"",IF(INDEX(Raw_D2!$E$2:$E$1001,$AQ831)="","",INDEX(Raw_D2!$E$2:$E$1001,$AQ831)),IF($AR831&lt;&gt;"",IF(INDEX(Raw_D3!$M$2:$M$1001,$AR831)="","",INDEX(Raw_D3!$M$2:$M$1001,$AR831)),"")))</f>
        <v>0</v>
      </c>
      <c r="N831" s="5">
        <f>IF($A831="","",IF($AQ831&lt;&gt;"",IF(INDEX(Raw_D2!$F$2:$F$1001,$AQ831)="","",INDEX(Raw_D2!$F$2:$F$1001,$AQ831)),IF($AR831&lt;&gt;"",IF(INDEX(Raw_D3!$N$2:$N$1001,$AR831)="","",INDEX(Raw_D3!$N$2:$N$1001,$AR831)),"")))</f>
        <v>1</v>
      </c>
      <c r="O831" s="5">
        <f>IF($A831="","",IF($AQ831&lt;&gt;"",IF(INDEX(Raw_D2!$G$2:$G$1001,$AQ831)="","",INDEX(Raw_D2!$G$2:$G$1001,$AQ831)),IF($AR831&lt;&gt;"",IF(INDEX(Raw_D3!$O$2:$O$1001,$AR831)="","",INDEX(Raw_D3!$O$2:$O$1001,$AR831)),"")))</f>
        <v>14</v>
      </c>
      <c r="P831" s="5">
        <f>IF($A831="","",IF($AQ831&lt;&gt;"",IF(INDEX(Raw_D2!$H$2:$H$1001,$AQ831)="","",INDEX(Raw_D2!$H$2:$H$1001,$AQ831)),IF($AR831&lt;&gt;"",IF(INDEX(Raw_D3!$P$2:$P$1001,$AR831)="","",INDEX(Raw_D3!$P$2:$P$1001,$AR831)),"")))</f>
        <v>15</v>
      </c>
      <c r="Q831" s="5" t="str">
        <f>IF($A831="","",IF(AND($AP831&lt;&gt;"",$AQ831&lt;&gt;""),"D1+D2",IF($AR831&lt;&gt;"","D3","Incomplete")))</f>
        <v>D3</v>
      </c>
      <c r="R831" s="17">
        <f>IF($A831="","",IF($K831="",IF($J831="","",ROUND(Lookups!$K$5+Lookups!$K$4*$J831,4)),$K831))</f>
        <v>0.2879</v>
      </c>
      <c r="S831" s="5" t="str">
        <f>IF($A831="","",IF($K831="","Imputed","Original"))</f>
        <v>Original</v>
      </c>
      <c r="T831" s="5" t="str">
        <f>IF($A831="","",IF($P831="","Missing",IF($P831=$N831+$O831,"OK","Mismatch")))</f>
        <v>OK</v>
      </c>
      <c r="U831" s="5" t="str">
        <f>IF($A831="","",IF(COUNTIF($A$2:$A831,$A831)&gt;1,"Duplicate","Unique"))</f>
        <v>Unique</v>
      </c>
      <c r="V831" s="5">
        <f>IF($A831="","",IF(AND($U831="Unique",ISNUMBER($P831)),1,0))</f>
        <v>1</v>
      </c>
      <c r="W831" s="5" t="str">
        <f>IF($A831="","",IF(OR($H831=0,$H831=6),"Weekend","Weekday"))</f>
        <v>Weekday</v>
      </c>
      <c r="X831" s="5" t="str">
        <f>IF($A831="","",TEXT($B831,"ddd"))</f>
        <v>Mon</v>
      </c>
      <c r="Y831" s="5" t="str">
        <f>IF($A831="","",TEXT($B831,"mmm"))</f>
        <v>Feb</v>
      </c>
      <c r="Z831" s="5" t="str">
        <f>IF($A831="","",IFERROR(VLOOKUP($C831,Lookups!$D$4:$E$7,2,FALSE),"Unknown"))</f>
        <v>Winter</v>
      </c>
      <c r="AA831" s="5" t="str">
        <f>IF($A831="","",IFERROR(VLOOKUP($I831,Lookups!$A$4:$B$7,2,FALSE),"Unknown"))</f>
        <v>Clear</v>
      </c>
      <c r="AB831" s="5" t="str">
        <f>IF($A831="","",TEXT($F831,"00")&amp;":00")</f>
        <v>00:00</v>
      </c>
      <c r="AC831" s="5" t="str">
        <f>IF($A831="","",VLOOKUP($F831,Lookups!$G$4:$H$8,2,TRUE))</f>
        <v>Night (00-05)</v>
      </c>
      <c r="AD831" s="18">
        <f>IF($A831="","",IF($J831="","",ROUND($J831*41,1)))</f>
        <v>9.8</v>
      </c>
      <c r="AE831" s="18">
        <f>IF($A831="","",IF($R831="","",ROUND($R831*50,1)))</f>
        <v>14.4</v>
      </c>
      <c r="AF831" s="5">
        <f>IF($A831="","",IF($L831="","",ROUND($L831*100,0)))</f>
        <v>65</v>
      </c>
      <c r="AG831" s="18">
        <f>IF($A831="","",IF($M831="","",ROUND($M831*67,1)))</f>
        <v>0</v>
      </c>
      <c r="AH831" s="19">
        <f>IF($A831="","",IF($P831="","",IF($P831=0,0,$O831/$P831)))</f>
        <v>0.933333333333333</v>
      </c>
      <c r="AI831" s="5" t="str">
        <f>IF($A831="","",IF($P831="","",IF($P831&gt;=Lookups!$K$7,"High",IF($P831&lt;=Lookups!$K$8,"Low","Medium"))))</f>
        <v>Low</v>
      </c>
      <c r="AJ831" s="5" t="str">
        <f>IF($A831="","",IF($AD831="","",IF($AD831&lt;5,"Under 5 C",IF($AD831&lt;10,"5-10 C",IF($AD831&lt;15,"10-15 C","15 C and above")))))</f>
        <v>5-10 C</v>
      </c>
      <c r="AK831" s="5">
        <f>IF($A831="","",IF($P831="","",$P831^2))</f>
        <v>225</v>
      </c>
      <c r="AL831" s="18">
        <f>IF($V831&lt;&gt;1,"",AVERAGEIFS(Clean_Data!$P$2:$P$1001,Clean_Data!$F$2:$F$1001,$F831,Clean_Data!$W$2:$W$1001,$W831,Clean_Data!$V$2:$V$1001,1))</f>
        <v>10.6896551724138</v>
      </c>
      <c r="AM831" s="16">
        <f>IF($V831&lt;&gt;1,"",IFERROR(($P831-$AL831)/SQRT(MAX(0,(SUMIFS(Clean_Data!$AK$2:$AK$1001,Clean_Data!$F$2:$F$1001,$F831,Clean_Data!$W$2:$W$1001,$W831,Clean_Data!$V$2:$V$1001,1)-COUNTIFS(Clean_Data!$F$2:$F$1001,$F831,Clean_Data!$W$2:$W$1001,$W831,Clean_Data!$V$2:$V$1001,1)*$AL831^2)/(COUNTIFS(Clean_Data!$F$2:$F$1001,$F831,Clean_Data!$W$2:$W$1001,$W831,Clean_Data!$V$2:$V$1001,1)-1))),""))</f>
        <v>0.881021657607039</v>
      </c>
      <c r="AN831" s="5" t="str">
        <f>IF($AM831="","",IF($AM831&gt;=Lookups!$K$6,"High spike",IF($AM831&lt;=-Lookups!$K$6,"Unusual low","Normal")))</f>
        <v>Normal</v>
      </c>
      <c r="AO831" s="20">
        <f>IF($V831&lt;&gt;1,"",$P831+ROW()/100000)</f>
        <v>15.00831</v>
      </c>
      <c r="AP831" s="5">
        <f>IF($A831="","",IFERROR(MATCH($A831,Raw_D1!$A$2:$A$1001,0),""))</f>
        <v/>
      </c>
      <c r="AQ831" s="5">
        <f>IF($A831="","",IFERROR(MATCH($A831,Raw_D2!$B$2:$B$1001,0),""))</f>
        <v/>
      </c>
      <c r="AR831" s="5">
        <f>IF($A831="","",IFERROR(MATCH($A831,Raw_D3!$A$2:$A$1001,0),""))</f>
        <v>211</v>
      </c>
    </row>
    <row r="832" spans="1:44" x14ac:dyDescent="0.25">
      <c r="A832" s="5">
        <v>831</v>
      </c>
      <c r="B832" s="11">
        <f>IF($A832="","",IF($AP832&lt;&gt;"",INDEX(Raw_D1!$B$2:$B$1001,$AP832),IF($AR832&lt;&gt;"",INDEX(Raw_D3!$B$2:$B$1001,$AR832),"")))</f>
        <v>40581.0</v>
      </c>
      <c r="C832" s="5">
        <f>IF($A832="","",IF($AP832&lt;&gt;"",INDEX(Raw_D1!$C$2:$C$1001,$AP832),IF($AR832&lt;&gt;"",INDEX(Raw_D3!$C$2:$C$1001,$AR832),"")))</f>
        <v>1</v>
      </c>
      <c r="D832" s="5">
        <f>IF($A832="","",IF($AP832&lt;&gt;"",INDEX(Raw_D1!$D$2:$D$1001,$AP832),IF($AR832&lt;&gt;"",INDEX(Raw_D3!$D$2:$D$1001,$AR832),"")))</f>
        <v>0</v>
      </c>
      <c r="E832" s="5">
        <f>IF($A832="","",IF($AP832&lt;&gt;"",INDEX(Raw_D1!$E$2:$E$1001,$AP832),IF($AR832&lt;&gt;"",INDEX(Raw_D3!$E$2:$E$1001,$AR832),"")))</f>
        <v>2</v>
      </c>
      <c r="F832" s="5">
        <f>IF($A832="","",IF($AP832&lt;&gt;"",INDEX(Raw_D1!$F$2:$F$1001,$AP832),IF($AR832&lt;&gt;"",INDEX(Raw_D3!$F$2:$F$1001,$AR832),"")))</f>
        <v>1</v>
      </c>
      <c r="G832" s="5">
        <f>IF($A832="","",IF($AP832&lt;&gt;"",IF(INDEX(Raw_D1!$G$2:$G$1001,$AP832),1,0),IF($AR832&lt;&gt;"",IF(INDEX(Raw_D3!$G$2:$G$1001,$AR832),1,0),"")))</f>
        <v>0</v>
      </c>
      <c r="H832" s="5">
        <f>IF($A832="","",IF($AP832&lt;&gt;"",INDEX(Raw_D1!$H$2:$H$1001,$AP832),IF($AR832&lt;&gt;"",INDEX(Raw_D3!$H$2:$H$1001,$AR832),"")))</f>
        <v>1</v>
      </c>
      <c r="I832" s="5">
        <f>IF($A832="","",IF($AP832&lt;&gt;"",INDEX(Raw_D1!$I$2:$I$1001,$AP832),IF($AR832&lt;&gt;"",INDEX(Raw_D3!$I$2:$I$1001,$AR832),"")))</f>
        <v>1</v>
      </c>
      <c r="J832" s="16">
        <f>IF($A832="","",IF($AP832&lt;&gt;"",INDEX(Raw_D1!$J$2:$J$1001,$AP832),IF($AR832&lt;&gt;"",INDEX(Raw_D3!$J$2:$J$1001,$AR832),"")))</f>
        <v>0.22</v>
      </c>
      <c r="K832" s="17">
        <f>IF($A832="","",IF($AQ832&lt;&gt;"",IF(INDEX(Raw_D2!$C$2:$C$1001,$AQ832)="","",INDEX(Raw_D2!$C$2:$C$1001,$AQ832)),IF($AR832&lt;&gt;"",IF(INDEX(Raw_D3!$K$2:$K$1001,$AR832)="","",INDEX(Raw_D3!$K$2:$K$1001,$AR832)),"")))</f>
        <v>0.2727</v>
      </c>
      <c r="L832" s="16">
        <f>IF($A832="","",IF($AQ832&lt;&gt;"",IF(INDEX(Raw_D2!$D$2:$D$1001,$AQ832)="","",INDEX(Raw_D2!$D$2:$D$1001,$AQ832)),IF($AR832&lt;&gt;"",IF(INDEX(Raw_D3!$L$2:$L$1001,$AR832)="","",INDEX(Raw_D3!$L$2:$L$1001,$AR832)),"")))</f>
        <v>0.75</v>
      </c>
      <c r="M832" s="17">
        <f>IF($A832="","",IF($AQ832&lt;&gt;"",IF(INDEX(Raw_D2!$E$2:$E$1001,$AQ832)="","",INDEX(Raw_D2!$E$2:$E$1001,$AQ832)),IF($AR832&lt;&gt;"",IF(INDEX(Raw_D3!$M$2:$M$1001,$AR832)="","",INDEX(Raw_D3!$M$2:$M$1001,$AR832)),"")))</f>
        <v>0</v>
      </c>
      <c r="N832" s="5">
        <f>IF($A832="","",IF($AQ832&lt;&gt;"",IF(INDEX(Raw_D2!$F$2:$F$1001,$AQ832)="","",INDEX(Raw_D2!$F$2:$F$1001,$AQ832)),IF($AR832&lt;&gt;"",IF(INDEX(Raw_D3!$N$2:$N$1001,$AR832)="","",INDEX(Raw_D3!$N$2:$N$1001,$AR832)),"")))</f>
        <v>1</v>
      </c>
      <c r="O832" s="5">
        <f>IF($A832="","",IF($AQ832&lt;&gt;"",IF(INDEX(Raw_D2!$G$2:$G$1001,$AQ832)="","",INDEX(Raw_D2!$G$2:$G$1001,$AQ832)),IF($AR832&lt;&gt;"",IF(INDEX(Raw_D3!$O$2:$O$1001,$AR832)="","",INDEX(Raw_D3!$O$2:$O$1001,$AR832)),"")))</f>
        <v>4</v>
      </c>
      <c r="P832" s="5">
        <f>IF($A832="","",IF($AQ832&lt;&gt;"",IF(INDEX(Raw_D2!$H$2:$H$1001,$AQ832)="","",INDEX(Raw_D2!$H$2:$H$1001,$AQ832)),IF($AR832&lt;&gt;"",IF(INDEX(Raw_D3!$P$2:$P$1001,$AR832)="","",INDEX(Raw_D3!$P$2:$P$1001,$AR832)),"")))</f>
        <v>5</v>
      </c>
      <c r="Q832" s="5" t="str">
        <f>IF($A832="","",IF(AND($AP832&lt;&gt;"",$AQ832&lt;&gt;""),"D1+D2",IF($AR832&lt;&gt;"","D3","Incomplete")))</f>
        <v>D3</v>
      </c>
      <c r="R832" s="17">
        <f>IF($A832="","",IF($K832="",IF($J832="","",ROUND(Lookups!$K$5+Lookups!$K$4*$J832,4)),$K832))</f>
        <v>0.2727</v>
      </c>
      <c r="S832" s="5" t="str">
        <f>IF($A832="","",IF($K832="","Imputed","Original"))</f>
        <v>Original</v>
      </c>
      <c r="T832" s="5" t="str">
        <f>IF($A832="","",IF($P832="","Missing",IF($P832=$N832+$O832,"OK","Mismatch")))</f>
        <v>OK</v>
      </c>
      <c r="U832" s="5" t="str">
        <f>IF($A832="","",IF(COUNTIF($A$2:$A832,$A832)&gt;1,"Duplicate","Unique"))</f>
        <v>Unique</v>
      </c>
      <c r="V832" s="5">
        <f>IF($A832="","",IF(AND($U832="Unique",ISNUMBER($P832)),1,0))</f>
        <v>1</v>
      </c>
      <c r="W832" s="5" t="str">
        <f>IF($A832="","",IF(OR($H832=0,$H832=6),"Weekend","Weekday"))</f>
        <v>Weekday</v>
      </c>
      <c r="X832" s="5" t="str">
        <f>IF($A832="","",TEXT($B832,"ddd"))</f>
        <v>Mon</v>
      </c>
      <c r="Y832" s="5" t="str">
        <f>IF($A832="","",TEXT($B832,"mmm"))</f>
        <v>Feb</v>
      </c>
      <c r="Z832" s="5" t="str">
        <f>IF($A832="","",IFERROR(VLOOKUP($C832,Lookups!$D$4:$E$7,2,FALSE),"Unknown"))</f>
        <v>Winter</v>
      </c>
      <c r="AA832" s="5" t="str">
        <f>IF($A832="","",IFERROR(VLOOKUP($I832,Lookups!$A$4:$B$7,2,FALSE),"Unknown"))</f>
        <v>Clear</v>
      </c>
      <c r="AB832" s="5" t="str">
        <f>IF($A832="","",TEXT($F832,"00")&amp;":00")</f>
        <v>01:00</v>
      </c>
      <c r="AC832" s="5" t="str">
        <f>IF($A832="","",VLOOKUP($F832,Lookups!$G$4:$H$8,2,TRUE))</f>
        <v>Night (00-05)</v>
      </c>
      <c r="AD832" s="18">
        <f>IF($A832="","",IF($J832="","",ROUND($J832*41,1)))</f>
        <v>9</v>
      </c>
      <c r="AE832" s="18">
        <f>IF($A832="","",IF($R832="","",ROUND($R832*50,1)))</f>
        <v>13.6</v>
      </c>
      <c r="AF832" s="5">
        <f>IF($A832="","",IF($L832="","",ROUND($L832*100,0)))</f>
        <v>75</v>
      </c>
      <c r="AG832" s="18">
        <f>IF($A832="","",IF($M832="","",ROUND($M832*67,1)))</f>
        <v>0</v>
      </c>
      <c r="AH832" s="19">
        <f>IF($A832="","",IF($P832="","",IF($P832=0,0,$O832/$P832)))</f>
        <v>0.8</v>
      </c>
      <c r="AI832" s="5" t="str">
        <f>IF($A832="","",IF($P832="","",IF($P832&gt;=Lookups!$K$7,"High",IF($P832&lt;=Lookups!$K$8,"Low","Medium"))))</f>
        <v>Low</v>
      </c>
      <c r="AJ832" s="5" t="str">
        <f>IF($A832="","",IF($AD832="","",IF($AD832&lt;5,"Under 5 C",IF($AD832&lt;10,"5-10 C",IF($AD832&lt;15,"10-15 C","15 C and above")))))</f>
        <v>5-10 C</v>
      </c>
      <c r="AK832" s="5">
        <f>IF($A832="","",IF($P832="","",$P832^2))</f>
        <v>25</v>
      </c>
      <c r="AL832" s="18">
        <f>IF($V832&lt;&gt;1,"",AVERAGEIFS(Clean_Data!$P$2:$P$1001,Clean_Data!$F$2:$F$1001,$F832,Clean_Data!$W$2:$W$1001,$W832,Clean_Data!$V$2:$V$1001,1))</f>
        <v>5.10344827586207</v>
      </c>
      <c r="AM832" s="16">
        <f>IF($V832&lt;&gt;1,"",IFERROR(($P832-$AL832)/SQRT(MAX(0,(SUMIFS(Clean_Data!$AK$2:$AK$1001,Clean_Data!$F$2:$F$1001,$F832,Clean_Data!$W$2:$W$1001,$W832,Clean_Data!$V$2:$V$1001,1)-COUNTIFS(Clean_Data!$F$2:$F$1001,$F832,Clean_Data!$W$2:$W$1001,$W832,Clean_Data!$V$2:$V$1001,1)*$AL832^2)/(COUNTIFS(Clean_Data!$F$2:$F$1001,$F832,Clean_Data!$W$2:$W$1001,$W832,Clean_Data!$V$2:$V$1001,1)-1))),""))</f>
        <v>-0.0358850647735475</v>
      </c>
      <c r="AN832" s="5" t="str">
        <f>IF($AM832="","",IF($AM832&gt;=Lookups!$K$6,"High spike",IF($AM832&lt;=-Lookups!$K$6,"Unusual low","Normal")))</f>
        <v>Normal</v>
      </c>
      <c r="AO832" s="20">
        <f>IF($V832&lt;&gt;1,"",$P832+ROW()/100000)</f>
        <v>5.00832</v>
      </c>
      <c r="AP832" s="5">
        <f>IF($A832="","",IFERROR(MATCH($A832,Raw_D1!$A$2:$A$1001,0),""))</f>
        <v/>
      </c>
      <c r="AQ832" s="5">
        <f>IF($A832="","",IFERROR(MATCH($A832,Raw_D2!$B$2:$B$1001,0),""))</f>
        <v/>
      </c>
      <c r="AR832" s="5">
        <f>IF($A832="","",IFERROR(MATCH($A832,Raw_D3!$A$2:$A$1001,0),""))</f>
        <v>212</v>
      </c>
    </row>
    <row r="833" spans="1:44" x14ac:dyDescent="0.25">
      <c r="A833" s="5">
        <v>832</v>
      </c>
      <c r="B833" s="11">
        <f>IF($A833="","",IF($AP833&lt;&gt;"",INDEX(Raw_D1!$B$2:$B$1001,$AP833),IF($AR833&lt;&gt;"",INDEX(Raw_D3!$B$2:$B$1001,$AR833),"")))</f>
        <v>40581.0</v>
      </c>
      <c r="C833" s="5">
        <f>IF($A833="","",IF($AP833&lt;&gt;"",INDEX(Raw_D1!$C$2:$C$1001,$AP833),IF($AR833&lt;&gt;"",INDEX(Raw_D3!$C$2:$C$1001,$AR833),"")))</f>
        <v>1</v>
      </c>
      <c r="D833" s="5">
        <f>IF($A833="","",IF($AP833&lt;&gt;"",INDEX(Raw_D1!$D$2:$D$1001,$AP833),IF($AR833&lt;&gt;"",INDEX(Raw_D3!$D$2:$D$1001,$AR833),"")))</f>
        <v>0</v>
      </c>
      <c r="E833" s="5">
        <f>IF($A833="","",IF($AP833&lt;&gt;"",INDEX(Raw_D1!$E$2:$E$1001,$AP833),IF($AR833&lt;&gt;"",INDEX(Raw_D3!$E$2:$E$1001,$AR833),"")))</f>
        <v>2</v>
      </c>
      <c r="F833" s="5">
        <f>IF($A833="","",IF($AP833&lt;&gt;"",INDEX(Raw_D1!$F$2:$F$1001,$AP833),IF($AR833&lt;&gt;"",INDEX(Raw_D3!$F$2:$F$1001,$AR833),"")))</f>
        <v>2</v>
      </c>
      <c r="G833" s="5">
        <f>IF($A833="","",IF($AP833&lt;&gt;"",IF(INDEX(Raw_D1!$G$2:$G$1001,$AP833),1,0),IF($AR833&lt;&gt;"",IF(INDEX(Raw_D3!$G$2:$G$1001,$AR833),1,0),"")))</f>
        <v>0</v>
      </c>
      <c r="H833" s="5">
        <f>IF($A833="","",IF($AP833&lt;&gt;"",INDEX(Raw_D1!$H$2:$H$1001,$AP833),IF($AR833&lt;&gt;"",INDEX(Raw_D3!$H$2:$H$1001,$AR833),"")))</f>
        <v>1</v>
      </c>
      <c r="I833" s="5">
        <f>IF($A833="","",IF($AP833&lt;&gt;"",INDEX(Raw_D1!$I$2:$I$1001,$AP833),IF($AR833&lt;&gt;"",INDEX(Raw_D3!$I$2:$I$1001,$AR833),"")))</f>
        <v>1</v>
      </c>
      <c r="J833" s="16">
        <f>IF($A833="","",IF($AP833&lt;&gt;"",INDEX(Raw_D1!$J$2:$J$1001,$AP833),IF($AR833&lt;&gt;"",INDEX(Raw_D3!$J$2:$J$1001,$AR833),"")))</f>
        <v>0.2</v>
      </c>
      <c r="K833" s="17">
        <f>IF($A833="","",IF($AQ833&lt;&gt;"",IF(INDEX(Raw_D2!$C$2:$C$1001,$AQ833)="","",INDEX(Raw_D2!$C$2:$C$1001,$AQ833)),IF($AR833&lt;&gt;"",IF(INDEX(Raw_D3!$K$2:$K$1001,$AR833)="","",INDEX(Raw_D3!$K$2:$K$1001,$AR833)),"")))</f>
        <v>0.2576</v>
      </c>
      <c r="L833" s="16">
        <f>IF($A833="","",IF($AQ833&lt;&gt;"",IF(INDEX(Raw_D2!$D$2:$D$1001,$AQ833)="","",INDEX(Raw_D2!$D$2:$D$1001,$AQ833)),IF($AR833&lt;&gt;"",IF(INDEX(Raw_D3!$L$2:$L$1001,$AR833)="","",INDEX(Raw_D3!$L$2:$L$1001,$AR833)),"")))</f>
        <v>0.8</v>
      </c>
      <c r="M833" s="17">
        <f>IF($A833="","",IF($AQ833&lt;&gt;"",IF(INDEX(Raw_D2!$E$2:$E$1001,$AQ833)="","",INDEX(Raw_D2!$E$2:$E$1001,$AQ833)),IF($AR833&lt;&gt;"",IF(INDEX(Raw_D3!$M$2:$M$1001,$AR833)="","",INDEX(Raw_D3!$M$2:$M$1001,$AR833)),"")))</f>
        <v>0</v>
      </c>
      <c r="N833" s="5">
        <f>IF($A833="","",IF($AQ833&lt;&gt;"",IF(INDEX(Raw_D2!$F$2:$F$1001,$AQ833)="","",INDEX(Raw_D2!$F$2:$F$1001,$AQ833)),IF($AR833&lt;&gt;"",IF(INDEX(Raw_D3!$N$2:$N$1001,$AR833)="","",INDEX(Raw_D3!$N$2:$N$1001,$AR833)),"")))</f>
        <v>0</v>
      </c>
      <c r="O833" s="5">
        <f>IF($A833="","",IF($AQ833&lt;&gt;"",IF(INDEX(Raw_D2!$G$2:$G$1001,$AQ833)="","",INDEX(Raw_D2!$G$2:$G$1001,$AQ833)),IF($AR833&lt;&gt;"",IF(INDEX(Raw_D3!$O$2:$O$1001,$AR833)="","",INDEX(Raw_D3!$O$2:$O$1001,$AR833)),"")))</f>
        <v>3</v>
      </c>
      <c r="P833" s="5">
        <f>IF($A833="","",IF($AQ833&lt;&gt;"",IF(INDEX(Raw_D2!$H$2:$H$1001,$AQ833)="","",INDEX(Raw_D2!$H$2:$H$1001,$AQ833)),IF($AR833&lt;&gt;"",IF(INDEX(Raw_D3!$P$2:$P$1001,$AR833)="","",INDEX(Raw_D3!$P$2:$P$1001,$AR833)),"")))</f>
        <v>3</v>
      </c>
      <c r="Q833" s="5" t="str">
        <f>IF($A833="","",IF(AND($AP833&lt;&gt;"",$AQ833&lt;&gt;""),"D1+D2",IF($AR833&lt;&gt;"","D3","Incomplete")))</f>
        <v>D3</v>
      </c>
      <c r="R833" s="17">
        <f>IF($A833="","",IF($K833="",IF($J833="","",ROUND(Lookups!$K$5+Lookups!$K$4*$J833,4)),$K833))</f>
        <v>0.2576</v>
      </c>
      <c r="S833" s="5" t="str">
        <f>IF($A833="","",IF($K833="","Imputed","Original"))</f>
        <v>Original</v>
      </c>
      <c r="T833" s="5" t="str">
        <f>IF($A833="","",IF($P833="","Missing",IF($P833=$N833+$O833,"OK","Mismatch")))</f>
        <v>OK</v>
      </c>
      <c r="U833" s="5" t="str">
        <f>IF($A833="","",IF(COUNTIF($A$2:$A833,$A833)&gt;1,"Duplicate","Unique"))</f>
        <v>Unique</v>
      </c>
      <c r="V833" s="5">
        <f>IF($A833="","",IF(AND($U833="Unique",ISNUMBER($P833)),1,0))</f>
        <v>1</v>
      </c>
      <c r="W833" s="5" t="str">
        <f>IF($A833="","",IF(OR($H833=0,$H833=6),"Weekend","Weekday"))</f>
        <v>Weekday</v>
      </c>
      <c r="X833" s="5" t="str">
        <f>IF($A833="","",TEXT($B833,"ddd"))</f>
        <v>Mon</v>
      </c>
      <c r="Y833" s="5" t="str">
        <f>IF($A833="","",TEXT($B833,"mmm"))</f>
        <v>Feb</v>
      </c>
      <c r="Z833" s="5" t="str">
        <f>IF($A833="","",IFERROR(VLOOKUP($C833,Lookups!$D$4:$E$7,2,FALSE),"Unknown"))</f>
        <v>Winter</v>
      </c>
      <c r="AA833" s="5" t="str">
        <f>IF($A833="","",IFERROR(VLOOKUP($I833,Lookups!$A$4:$B$7,2,FALSE),"Unknown"))</f>
        <v>Clear</v>
      </c>
      <c r="AB833" s="5" t="str">
        <f>IF($A833="","",TEXT($F833,"00")&amp;":00")</f>
        <v>02:00</v>
      </c>
      <c r="AC833" s="5" t="str">
        <f>IF($A833="","",VLOOKUP($F833,Lookups!$G$4:$H$8,2,TRUE))</f>
        <v>Night (00-05)</v>
      </c>
      <c r="AD833" s="18">
        <f>IF($A833="","",IF($J833="","",ROUND($J833*41,1)))</f>
        <v>8.2</v>
      </c>
      <c r="AE833" s="18">
        <f>IF($A833="","",IF($R833="","",ROUND($R833*50,1)))</f>
        <v>12.9</v>
      </c>
      <c r="AF833" s="5">
        <f>IF($A833="","",IF($L833="","",ROUND($L833*100,0)))</f>
        <v>80</v>
      </c>
      <c r="AG833" s="18">
        <f>IF($A833="","",IF($M833="","",ROUND($M833*67,1)))</f>
        <v>0</v>
      </c>
      <c r="AH833" s="19">
        <f>IF($A833="","",IF($P833="","",IF($P833=0,0,$O833/$P833)))</f>
        <v>1</v>
      </c>
      <c r="AI833" s="5" t="str">
        <f>IF($A833="","",IF($P833="","",IF($P833&gt;=Lookups!$K$7,"High",IF($P833&lt;=Lookups!$K$8,"Low","Medium"))))</f>
        <v>Low</v>
      </c>
      <c r="AJ833" s="5" t="str">
        <f>IF($A833="","",IF($AD833="","",IF($AD833&lt;5,"Under 5 C",IF($AD833&lt;10,"5-10 C",IF($AD833&lt;15,"10-15 C","15 C and above")))))</f>
        <v>5-10 C</v>
      </c>
      <c r="AK833" s="5">
        <f>IF($A833="","",IF($P833="","",$P833^2))</f>
        <v>9</v>
      </c>
      <c r="AL833" s="18">
        <f>IF($V833&lt;&gt;1,"",AVERAGEIFS(Clean_Data!$P$2:$P$1001,Clean_Data!$F$2:$F$1001,$F833,Clean_Data!$W$2:$W$1001,$W833,Clean_Data!$V$2:$V$1001,1))</f>
        <v>2.62962962962963</v>
      </c>
      <c r="AM833" s="16">
        <f>IF($V833&lt;&gt;1,"",IFERROR(($P833-$AL833)/SQRT(MAX(0,(SUMIFS(Clean_Data!$AK$2:$AK$1001,Clean_Data!$F$2:$F$1001,$F833,Clean_Data!$W$2:$W$1001,$W833,Clean_Data!$V$2:$V$1001,1)-COUNTIFS(Clean_Data!$F$2:$F$1001,$F833,Clean_Data!$W$2:$W$1001,$W833,Clean_Data!$V$2:$V$1001,1)*$AL833^2)/(COUNTIFS(Clean_Data!$F$2:$F$1001,$F833,Clean_Data!$W$2:$W$1001,$W833,Clean_Data!$V$2:$V$1001,1)-1))),""))</f>
        <v>0.183174006014898</v>
      </c>
      <c r="AN833" s="5" t="str">
        <f>IF($AM833="","",IF($AM833&gt;=Lookups!$K$6,"High spike",IF($AM833&lt;=-Lookups!$K$6,"Unusual low","Normal")))</f>
        <v>Normal</v>
      </c>
      <c r="AO833" s="20">
        <f>IF($V833&lt;&gt;1,"",$P833+ROW()/100000)</f>
        <v>3.00833</v>
      </c>
      <c r="AP833" s="5">
        <f>IF($A833="","",IFERROR(MATCH($A833,Raw_D1!$A$2:$A$1001,0),""))</f>
        <v/>
      </c>
      <c r="AQ833" s="5">
        <f>IF($A833="","",IFERROR(MATCH($A833,Raw_D2!$B$2:$B$1001,0),""))</f>
        <v/>
      </c>
      <c r="AR833" s="5">
        <f>IF($A833="","",IFERROR(MATCH($A833,Raw_D3!$A$2:$A$1001,0),""))</f>
        <v>213</v>
      </c>
    </row>
    <row r="834" spans="1:44" x14ac:dyDescent="0.25">
      <c r="A834" s="5">
        <v>833</v>
      </c>
      <c r="B834" s="11">
        <f>IF($A834="","",IF($AP834&lt;&gt;"",INDEX(Raw_D1!$B$2:$B$1001,$AP834),IF($AR834&lt;&gt;"",INDEX(Raw_D3!$B$2:$B$1001,$AR834),"")))</f>
        <v>40581.0</v>
      </c>
      <c r="C834" s="5">
        <f>IF($A834="","",IF($AP834&lt;&gt;"",INDEX(Raw_D1!$C$2:$C$1001,$AP834),IF($AR834&lt;&gt;"",INDEX(Raw_D3!$C$2:$C$1001,$AR834),"")))</f>
        <v>1</v>
      </c>
      <c r="D834" s="5">
        <f>IF($A834="","",IF($AP834&lt;&gt;"",INDEX(Raw_D1!$D$2:$D$1001,$AP834),IF($AR834&lt;&gt;"",INDEX(Raw_D3!$D$2:$D$1001,$AR834),"")))</f>
        <v>0</v>
      </c>
      <c r="E834" s="5">
        <f>IF($A834="","",IF($AP834&lt;&gt;"",INDEX(Raw_D1!$E$2:$E$1001,$AP834),IF($AR834&lt;&gt;"",INDEX(Raw_D3!$E$2:$E$1001,$AR834),"")))</f>
        <v>2</v>
      </c>
      <c r="F834" s="5">
        <f>IF($A834="","",IF($AP834&lt;&gt;"",INDEX(Raw_D1!$F$2:$F$1001,$AP834),IF($AR834&lt;&gt;"",INDEX(Raw_D3!$F$2:$F$1001,$AR834),"")))</f>
        <v>3</v>
      </c>
      <c r="G834" s="5">
        <f>IF($A834="","",IF($AP834&lt;&gt;"",IF(INDEX(Raw_D1!$G$2:$G$1001,$AP834),1,0),IF($AR834&lt;&gt;"",IF(INDEX(Raw_D3!$G$2:$G$1001,$AR834),1,0),"")))</f>
        <v>0</v>
      </c>
      <c r="H834" s="5">
        <f>IF($A834="","",IF($AP834&lt;&gt;"",INDEX(Raw_D1!$H$2:$H$1001,$AP834),IF($AR834&lt;&gt;"",INDEX(Raw_D3!$H$2:$H$1001,$AR834),"")))</f>
        <v>1</v>
      </c>
      <c r="I834" s="5">
        <f>IF($A834="","",IF($AP834&lt;&gt;"",INDEX(Raw_D1!$I$2:$I$1001,$AP834),IF($AR834&lt;&gt;"",INDEX(Raw_D3!$I$2:$I$1001,$AR834),"")))</f>
        <v>1</v>
      </c>
      <c r="J834" s="16">
        <f>IF($A834="","",IF($AP834&lt;&gt;"",INDEX(Raw_D1!$J$2:$J$1001,$AP834),IF($AR834&lt;&gt;"",INDEX(Raw_D3!$J$2:$J$1001,$AR834),"")))</f>
        <v>0.2</v>
      </c>
      <c r="K834" s="17">
        <f>IF($A834="","",IF($AQ834&lt;&gt;"",IF(INDEX(Raw_D2!$C$2:$C$1001,$AQ834)="","",INDEX(Raw_D2!$C$2:$C$1001,$AQ834)),IF($AR834&lt;&gt;"",IF(INDEX(Raw_D3!$K$2:$K$1001,$AR834)="","",INDEX(Raw_D3!$K$2:$K$1001,$AR834)),"")))</f>
        <v>0.2576</v>
      </c>
      <c r="L834" s="16">
        <f>IF($A834="","",IF($AQ834&lt;&gt;"",IF(INDEX(Raw_D2!$D$2:$D$1001,$AQ834)="","",INDEX(Raw_D2!$D$2:$D$1001,$AQ834)),IF($AR834&lt;&gt;"",IF(INDEX(Raw_D3!$L$2:$L$1001,$AR834)="","",INDEX(Raw_D3!$L$2:$L$1001,$AR834)),"")))</f>
        <v>0.86</v>
      </c>
      <c r="M834" s="17">
        <f>IF($A834="","",IF($AQ834&lt;&gt;"",IF(INDEX(Raw_D2!$E$2:$E$1001,$AQ834)="","",INDEX(Raw_D2!$E$2:$E$1001,$AQ834)),IF($AR834&lt;&gt;"",IF(INDEX(Raw_D3!$M$2:$M$1001,$AR834)="","",INDEX(Raw_D3!$M$2:$M$1001,$AR834)),"")))</f>
        <v>0</v>
      </c>
      <c r="N834" s="5">
        <f>IF($A834="","",IF($AQ834&lt;&gt;"",IF(INDEX(Raw_D2!$F$2:$F$1001,$AQ834)="","",INDEX(Raw_D2!$F$2:$F$1001,$AQ834)),IF($AR834&lt;&gt;"",IF(INDEX(Raw_D3!$N$2:$N$1001,$AR834)="","",INDEX(Raw_D3!$N$2:$N$1001,$AR834)),"")))</f>
        <v>0</v>
      </c>
      <c r="O834" s="5">
        <f>IF($A834="","",IF($AQ834&lt;&gt;"",IF(INDEX(Raw_D2!$G$2:$G$1001,$AQ834)="","",INDEX(Raw_D2!$G$2:$G$1001,$AQ834)),IF($AR834&lt;&gt;"",IF(INDEX(Raw_D3!$O$2:$O$1001,$AR834)="","",INDEX(Raw_D3!$O$2:$O$1001,$AR834)),"")))</f>
        <v>1</v>
      </c>
      <c r="P834" s="5">
        <f>IF($A834="","",IF($AQ834&lt;&gt;"",IF(INDEX(Raw_D2!$H$2:$H$1001,$AQ834)="","",INDEX(Raw_D2!$H$2:$H$1001,$AQ834)),IF($AR834&lt;&gt;"",IF(INDEX(Raw_D3!$P$2:$P$1001,$AR834)="","",INDEX(Raw_D3!$P$2:$P$1001,$AR834)),"")))</f>
        <v>1</v>
      </c>
      <c r="Q834" s="5" t="str">
        <f>IF($A834="","",IF(AND($AP834&lt;&gt;"",$AQ834&lt;&gt;""),"D1+D2",IF($AR834&lt;&gt;"","D3","Incomplete")))</f>
        <v>D3</v>
      </c>
      <c r="R834" s="17">
        <f>IF($A834="","",IF($K834="",IF($J834="","",ROUND(Lookups!$K$5+Lookups!$K$4*$J834,4)),$K834))</f>
        <v>0.2576</v>
      </c>
      <c r="S834" s="5" t="str">
        <f>IF($A834="","",IF($K834="","Imputed","Original"))</f>
        <v>Original</v>
      </c>
      <c r="T834" s="5" t="str">
        <f>IF($A834="","",IF($P834="","Missing",IF($P834=$N834+$O834,"OK","Mismatch")))</f>
        <v>OK</v>
      </c>
      <c r="U834" s="5" t="str">
        <f>IF($A834="","",IF(COUNTIF($A$2:$A834,$A834)&gt;1,"Duplicate","Unique"))</f>
        <v>Unique</v>
      </c>
      <c r="V834" s="5">
        <f>IF($A834="","",IF(AND($U834="Unique",ISNUMBER($P834)),1,0))</f>
        <v>1</v>
      </c>
      <c r="W834" s="5" t="str">
        <f>IF($A834="","",IF(OR($H834=0,$H834=6),"Weekend","Weekday"))</f>
        <v>Weekday</v>
      </c>
      <c r="X834" s="5" t="str">
        <f>IF($A834="","",TEXT($B834,"ddd"))</f>
        <v>Mon</v>
      </c>
      <c r="Y834" s="5" t="str">
        <f>IF($A834="","",TEXT($B834,"mmm"))</f>
        <v>Feb</v>
      </c>
      <c r="Z834" s="5" t="str">
        <f>IF($A834="","",IFERROR(VLOOKUP($C834,Lookups!$D$4:$E$7,2,FALSE),"Unknown"))</f>
        <v>Winter</v>
      </c>
      <c r="AA834" s="5" t="str">
        <f>IF($A834="","",IFERROR(VLOOKUP($I834,Lookups!$A$4:$B$7,2,FALSE),"Unknown"))</f>
        <v>Clear</v>
      </c>
      <c r="AB834" s="5" t="str">
        <f>IF($A834="","",TEXT($F834,"00")&amp;":00")</f>
        <v>03:00</v>
      </c>
      <c r="AC834" s="5" t="str">
        <f>IF($A834="","",VLOOKUP($F834,Lookups!$G$4:$H$8,2,TRUE))</f>
        <v>Night (00-05)</v>
      </c>
      <c r="AD834" s="18">
        <f>IF($A834="","",IF($J834="","",ROUND($J834*41,1)))</f>
        <v>8.2</v>
      </c>
      <c r="AE834" s="18">
        <f>IF($A834="","",IF($R834="","",ROUND($R834*50,1)))</f>
        <v>12.9</v>
      </c>
      <c r="AF834" s="5">
        <f>IF($A834="","",IF($L834="","",ROUND($L834*100,0)))</f>
        <v>86</v>
      </c>
      <c r="AG834" s="18">
        <f>IF($A834="","",IF($M834="","",ROUND($M834*67,1)))</f>
        <v>0</v>
      </c>
      <c r="AH834" s="19">
        <f>IF($A834="","",IF($P834="","",IF($P834=0,0,$O834/$P834)))</f>
        <v>1</v>
      </c>
      <c r="AI834" s="5" t="str">
        <f>IF($A834="","",IF($P834="","",IF($P834&gt;=Lookups!$K$7,"High",IF($P834&lt;=Lookups!$K$8,"Low","Medium"))))</f>
        <v>Low</v>
      </c>
      <c r="AJ834" s="5" t="str">
        <f>IF($A834="","",IF($AD834="","",IF($AD834&lt;5,"Under 5 C",IF($AD834&lt;10,"5-10 C",IF($AD834&lt;15,"10-15 C","15 C and above")))))</f>
        <v>5-10 C</v>
      </c>
      <c r="AK834" s="5">
        <f>IF($A834="","",IF($P834="","",$P834^2))</f>
        <v>1</v>
      </c>
      <c r="AL834" s="18">
        <f>IF($V834&lt;&gt;1,"",AVERAGEIFS(Clean_Data!$P$2:$P$1001,Clean_Data!$F$2:$F$1001,$F834,Clean_Data!$W$2:$W$1001,$W834,Clean_Data!$V$2:$V$1001,1))</f>
        <v>1.41176470588235</v>
      </c>
      <c r="AM834" s="16">
        <f>IF($V834&lt;&gt;1,"",IFERROR(($P834-$AL834)/SQRT(MAX(0,(SUMIFS(Clean_Data!$AK$2:$AK$1001,Clean_Data!$F$2:$F$1001,$F834,Clean_Data!$W$2:$W$1001,$W834,Clean_Data!$V$2:$V$1001,1)-COUNTIFS(Clean_Data!$F$2:$F$1001,$F834,Clean_Data!$W$2:$W$1001,$W834,Clean_Data!$V$2:$V$1001,1)*$AL834^2)/(COUNTIFS(Clean_Data!$F$2:$F$1001,$F834,Clean_Data!$W$2:$W$1001,$W834,Clean_Data!$V$2:$V$1001,1)-1))),""))</f>
        <v>-0.665912091816292</v>
      </c>
      <c r="AN834" s="5" t="str">
        <f>IF($AM834="","",IF($AM834&gt;=Lookups!$K$6,"High spike",IF($AM834&lt;=-Lookups!$K$6,"Unusual low","Normal")))</f>
        <v>Normal</v>
      </c>
      <c r="AO834" s="20">
        <f>IF($V834&lt;&gt;1,"",$P834+ROW()/100000)</f>
        <v>1.00834</v>
      </c>
      <c r="AP834" s="5">
        <f>IF($A834="","",IFERROR(MATCH($A834,Raw_D1!$A$2:$A$1001,0),""))</f>
        <v/>
      </c>
      <c r="AQ834" s="5">
        <f>IF($A834="","",IFERROR(MATCH($A834,Raw_D2!$B$2:$B$1001,0),""))</f>
        <v/>
      </c>
      <c r="AR834" s="5">
        <f>IF($A834="","",IFERROR(MATCH($A834,Raw_D3!$A$2:$A$1001,0),""))</f>
        <v>214</v>
      </c>
    </row>
    <row r="835" spans="1:44" x14ac:dyDescent="0.25">
      <c r="A835" s="5">
        <v>834</v>
      </c>
      <c r="B835" s="11">
        <f>IF($A835="","",IF($AP835&lt;&gt;"",INDEX(Raw_D1!$B$2:$B$1001,$AP835),IF($AR835&lt;&gt;"",INDEX(Raw_D3!$B$2:$B$1001,$AR835),"")))</f>
        <v>40581.0</v>
      </c>
      <c r="C835" s="5">
        <f>IF($A835="","",IF($AP835&lt;&gt;"",INDEX(Raw_D1!$C$2:$C$1001,$AP835),IF($AR835&lt;&gt;"",INDEX(Raw_D3!$C$2:$C$1001,$AR835),"")))</f>
        <v>1</v>
      </c>
      <c r="D835" s="5">
        <f>IF($A835="","",IF($AP835&lt;&gt;"",INDEX(Raw_D1!$D$2:$D$1001,$AP835),IF($AR835&lt;&gt;"",INDEX(Raw_D3!$D$2:$D$1001,$AR835),"")))</f>
        <v>0</v>
      </c>
      <c r="E835" s="5">
        <f>IF($A835="","",IF($AP835&lt;&gt;"",INDEX(Raw_D1!$E$2:$E$1001,$AP835),IF($AR835&lt;&gt;"",INDEX(Raw_D3!$E$2:$E$1001,$AR835),"")))</f>
        <v>2</v>
      </c>
      <c r="F835" s="5">
        <f>IF($A835="","",IF($AP835&lt;&gt;"",INDEX(Raw_D1!$F$2:$F$1001,$AP835),IF($AR835&lt;&gt;"",INDEX(Raw_D3!$F$2:$F$1001,$AR835),"")))</f>
        <v>4</v>
      </c>
      <c r="G835" s="5">
        <f>IF($A835="","",IF($AP835&lt;&gt;"",IF(INDEX(Raw_D1!$G$2:$G$1001,$AP835),1,0),IF($AR835&lt;&gt;"",IF(INDEX(Raw_D3!$G$2:$G$1001,$AR835),1,0),"")))</f>
        <v>0</v>
      </c>
      <c r="H835" s="5">
        <f>IF($A835="","",IF($AP835&lt;&gt;"",INDEX(Raw_D1!$H$2:$H$1001,$AP835),IF($AR835&lt;&gt;"",INDEX(Raw_D3!$H$2:$H$1001,$AR835),"")))</f>
        <v>1</v>
      </c>
      <c r="I835" s="5">
        <f>IF($A835="","",IF($AP835&lt;&gt;"",INDEX(Raw_D1!$I$2:$I$1001,$AP835),IF($AR835&lt;&gt;"",INDEX(Raw_D3!$I$2:$I$1001,$AR835),"")))</f>
        <v>1</v>
      </c>
      <c r="J835" s="16">
        <f>IF($A835="","",IF($AP835&lt;&gt;"",INDEX(Raw_D1!$J$2:$J$1001,$AP835),IF($AR835&lt;&gt;"",INDEX(Raw_D3!$J$2:$J$1001,$AR835),"")))</f>
        <v>0.2</v>
      </c>
      <c r="K835" s="17">
        <f>IF($A835="","",IF($AQ835&lt;&gt;"",IF(INDEX(Raw_D2!$C$2:$C$1001,$AQ835)="","",INDEX(Raw_D2!$C$2:$C$1001,$AQ835)),IF($AR835&lt;&gt;"",IF(INDEX(Raw_D3!$K$2:$K$1001,$AR835)="","",INDEX(Raw_D3!$K$2:$K$1001,$AR835)),"")))</f>
        <v>0.2576</v>
      </c>
      <c r="L835" s="16">
        <f>IF($A835="","",IF($AQ835&lt;&gt;"",IF(INDEX(Raw_D2!$D$2:$D$1001,$AQ835)="","",INDEX(Raw_D2!$D$2:$D$1001,$AQ835)),IF($AR835&lt;&gt;"",IF(INDEX(Raw_D3!$L$2:$L$1001,$AR835)="","",INDEX(Raw_D3!$L$2:$L$1001,$AR835)),"")))</f>
        <v>0.86</v>
      </c>
      <c r="M835" s="17">
        <f>IF($A835="","",IF($AQ835&lt;&gt;"",IF(INDEX(Raw_D2!$E$2:$E$1001,$AQ835)="","",INDEX(Raw_D2!$E$2:$E$1001,$AQ835)),IF($AR835&lt;&gt;"",IF(INDEX(Raw_D3!$M$2:$M$1001,$AR835)="","",INDEX(Raw_D3!$M$2:$M$1001,$AR835)),"")))</f>
        <v>0</v>
      </c>
      <c r="N835" s="5">
        <f>IF($A835="","",IF($AQ835&lt;&gt;"",IF(INDEX(Raw_D2!$F$2:$F$1001,$AQ835)="","",INDEX(Raw_D2!$F$2:$F$1001,$AQ835)),IF($AR835&lt;&gt;"",IF(INDEX(Raw_D3!$N$2:$N$1001,$AR835)="","",INDEX(Raw_D3!$N$2:$N$1001,$AR835)),"")))</f>
        <v>1</v>
      </c>
      <c r="O835" s="5">
        <f>IF($A835="","",IF($AQ835&lt;&gt;"",IF(INDEX(Raw_D2!$G$2:$G$1001,$AQ835)="","",INDEX(Raw_D2!$G$2:$G$1001,$AQ835)),IF($AR835&lt;&gt;"",IF(INDEX(Raw_D3!$O$2:$O$1001,$AR835)="","",INDEX(Raw_D3!$O$2:$O$1001,$AR835)),"")))</f>
        <v>1</v>
      </c>
      <c r="P835" s="5">
        <f>IF($A835="","",IF($AQ835&lt;&gt;"",IF(INDEX(Raw_D2!$H$2:$H$1001,$AQ835)="","",INDEX(Raw_D2!$H$2:$H$1001,$AQ835)),IF($AR835&lt;&gt;"",IF(INDEX(Raw_D3!$P$2:$P$1001,$AR835)="","",INDEX(Raw_D3!$P$2:$P$1001,$AR835)),"")))</f>
        <v>2</v>
      </c>
      <c r="Q835" s="5" t="str">
        <f>IF($A835="","",IF(AND($AP835&lt;&gt;"",$AQ835&lt;&gt;""),"D1+D2",IF($AR835&lt;&gt;"","D3","Incomplete")))</f>
        <v>D3</v>
      </c>
      <c r="R835" s="17">
        <f>IF($A835="","",IF($K835="",IF($J835="","",ROUND(Lookups!$K$5+Lookups!$K$4*$J835,4)),$K835))</f>
        <v>0.2576</v>
      </c>
      <c r="S835" s="5" t="str">
        <f>IF($A835="","",IF($K835="","Imputed","Original"))</f>
        <v>Original</v>
      </c>
      <c r="T835" s="5" t="str">
        <f>IF($A835="","",IF($P835="","Missing",IF($P835=$N835+$O835,"OK","Mismatch")))</f>
        <v>OK</v>
      </c>
      <c r="U835" s="5" t="str">
        <f>IF($A835="","",IF(COUNTIF($A$2:$A835,$A835)&gt;1,"Duplicate","Unique"))</f>
        <v>Unique</v>
      </c>
      <c r="V835" s="5">
        <f>IF($A835="","",IF(AND($U835="Unique",ISNUMBER($P835)),1,0))</f>
        <v>1</v>
      </c>
      <c r="W835" s="5" t="str">
        <f>IF($A835="","",IF(OR($H835=0,$H835=6),"Weekend","Weekday"))</f>
        <v>Weekday</v>
      </c>
      <c r="X835" s="5" t="str">
        <f>IF($A835="","",TEXT($B835,"ddd"))</f>
        <v>Mon</v>
      </c>
      <c r="Y835" s="5" t="str">
        <f>IF($A835="","",TEXT($B835,"mmm"))</f>
        <v>Feb</v>
      </c>
      <c r="Z835" s="5" t="str">
        <f>IF($A835="","",IFERROR(VLOOKUP($C835,Lookups!$D$4:$E$7,2,FALSE),"Unknown"))</f>
        <v>Winter</v>
      </c>
      <c r="AA835" s="5" t="str">
        <f>IF($A835="","",IFERROR(VLOOKUP($I835,Lookups!$A$4:$B$7,2,FALSE),"Unknown"))</f>
        <v>Clear</v>
      </c>
      <c r="AB835" s="5" t="str">
        <f>IF($A835="","",TEXT($F835,"00")&amp;":00")</f>
        <v>04:00</v>
      </c>
      <c r="AC835" s="5" t="str">
        <f>IF($A835="","",VLOOKUP($F835,Lookups!$G$4:$H$8,2,TRUE))</f>
        <v>Night (00-05)</v>
      </c>
      <c r="AD835" s="18">
        <f>IF($A835="","",IF($J835="","",ROUND($J835*41,1)))</f>
        <v>8.2</v>
      </c>
      <c r="AE835" s="18">
        <f>IF($A835="","",IF($R835="","",ROUND($R835*50,1)))</f>
        <v>12.9</v>
      </c>
      <c r="AF835" s="5">
        <f>IF($A835="","",IF($L835="","",ROUND($L835*100,0)))</f>
        <v>86</v>
      </c>
      <c r="AG835" s="18">
        <f>IF($A835="","",IF($M835="","",ROUND($M835*67,1)))</f>
        <v>0</v>
      </c>
      <c r="AH835" s="19">
        <f>IF($A835="","",IF($P835="","",IF($P835=0,0,$O835/$P835)))</f>
        <v>0.5</v>
      </c>
      <c r="AI835" s="5" t="str">
        <f>IF($A835="","",IF($P835="","",IF($P835&gt;=Lookups!$K$7,"High",IF($P835&lt;=Lookups!$K$8,"Low","Medium"))))</f>
        <v>Low</v>
      </c>
      <c r="AJ835" s="5" t="str">
        <f>IF($A835="","",IF($AD835="","",IF($AD835&lt;5,"Under 5 C",IF($AD835&lt;10,"5-10 C",IF($AD835&lt;15,"10-15 C","15 C and above")))))</f>
        <v>5-10 C</v>
      </c>
      <c r="AK835" s="5">
        <f>IF($A835="","",IF($P835="","",$P835^2))</f>
        <v>4</v>
      </c>
      <c r="AL835" s="18">
        <f>IF($V835&lt;&gt;1,"",AVERAGEIFS(Clean_Data!$P$2:$P$1001,Clean_Data!$F$2:$F$1001,$F835,Clean_Data!$W$2:$W$1001,$W835,Clean_Data!$V$2:$V$1001,1))</f>
        <v>1.78947368421053</v>
      </c>
      <c r="AM835" s="16">
        <f>IF($V835&lt;&gt;1,"",IFERROR(($P835-$AL835)/SQRT(MAX(0,(SUMIFS(Clean_Data!$AK$2:$AK$1001,Clean_Data!$F$2:$F$1001,$F835,Clean_Data!$W$2:$W$1001,$W835,Clean_Data!$V$2:$V$1001,1)-COUNTIFS(Clean_Data!$F$2:$F$1001,$F835,Clean_Data!$W$2:$W$1001,$W835,Clean_Data!$V$2:$V$1001,1)*$AL835^2)/(COUNTIFS(Clean_Data!$F$2:$F$1001,$F835,Clean_Data!$W$2:$W$1001,$W835,Clean_Data!$V$2:$V$1001,1)-1))),""))</f>
        <v>0.229415733870562</v>
      </c>
      <c r="AN835" s="5" t="str">
        <f>IF($AM835="","",IF($AM835&gt;=Lookups!$K$6,"High spike",IF($AM835&lt;=-Lookups!$K$6,"Unusual low","Normal")))</f>
        <v>Normal</v>
      </c>
      <c r="AO835" s="20">
        <f>IF($V835&lt;&gt;1,"",$P835+ROW()/100000)</f>
        <v>2.00835</v>
      </c>
      <c r="AP835" s="5">
        <f>IF($A835="","",IFERROR(MATCH($A835,Raw_D1!$A$2:$A$1001,0),""))</f>
        <v/>
      </c>
      <c r="AQ835" s="5">
        <f>IF($A835="","",IFERROR(MATCH($A835,Raw_D2!$B$2:$B$1001,0),""))</f>
        <v/>
      </c>
      <c r="AR835" s="5">
        <f>IF($A835="","",IFERROR(MATCH($A835,Raw_D3!$A$2:$A$1001,0),""))</f>
        <v>215</v>
      </c>
    </row>
    <row r="836" spans="1:44" x14ac:dyDescent="0.25">
      <c r="A836" s="5">
        <v>835</v>
      </c>
      <c r="B836" s="11">
        <f>IF($A836="","",IF($AP836&lt;&gt;"",INDEX(Raw_D1!$B$2:$B$1001,$AP836),IF($AR836&lt;&gt;"",INDEX(Raw_D3!$B$2:$B$1001,$AR836),"")))</f>
        <v>40581.0</v>
      </c>
      <c r="C836" s="5">
        <f>IF($A836="","",IF($AP836&lt;&gt;"",INDEX(Raw_D1!$C$2:$C$1001,$AP836),IF($AR836&lt;&gt;"",INDEX(Raw_D3!$C$2:$C$1001,$AR836),"")))</f>
        <v>1</v>
      </c>
      <c r="D836" s="5">
        <f>IF($A836="","",IF($AP836&lt;&gt;"",INDEX(Raw_D1!$D$2:$D$1001,$AP836),IF($AR836&lt;&gt;"",INDEX(Raw_D3!$D$2:$D$1001,$AR836),"")))</f>
        <v>0</v>
      </c>
      <c r="E836" s="5">
        <f>IF($A836="","",IF($AP836&lt;&gt;"",INDEX(Raw_D1!$E$2:$E$1001,$AP836),IF($AR836&lt;&gt;"",INDEX(Raw_D3!$E$2:$E$1001,$AR836),"")))</f>
        <v>2</v>
      </c>
      <c r="F836" s="5">
        <f>IF($A836="","",IF($AP836&lt;&gt;"",INDEX(Raw_D1!$F$2:$F$1001,$AP836),IF($AR836&lt;&gt;"",INDEX(Raw_D3!$F$2:$F$1001,$AR836),"")))</f>
        <v>5</v>
      </c>
      <c r="G836" s="5">
        <f>IF($A836="","",IF($AP836&lt;&gt;"",IF(INDEX(Raw_D1!$G$2:$G$1001,$AP836),1,0),IF($AR836&lt;&gt;"",IF(INDEX(Raw_D3!$G$2:$G$1001,$AR836),1,0),"")))</f>
        <v>0</v>
      </c>
      <c r="H836" s="5">
        <f>IF($A836="","",IF($AP836&lt;&gt;"",INDEX(Raw_D1!$H$2:$H$1001,$AP836),IF($AR836&lt;&gt;"",INDEX(Raw_D3!$H$2:$H$1001,$AR836),"")))</f>
        <v>1</v>
      </c>
      <c r="I836" s="5">
        <f>IF($A836="","",IF($AP836&lt;&gt;"",INDEX(Raw_D1!$I$2:$I$1001,$AP836),IF($AR836&lt;&gt;"",INDEX(Raw_D3!$I$2:$I$1001,$AR836),"")))</f>
        <v>1</v>
      </c>
      <c r="J836" s="16">
        <f>IF($A836="","",IF($AP836&lt;&gt;"",INDEX(Raw_D1!$J$2:$J$1001,$AP836),IF($AR836&lt;&gt;"",INDEX(Raw_D3!$J$2:$J$1001,$AR836),"")))</f>
        <v>0.2</v>
      </c>
      <c r="K836" s="17">
        <f>IF($A836="","",IF($AQ836&lt;&gt;"",IF(INDEX(Raw_D2!$C$2:$C$1001,$AQ836)="","",INDEX(Raw_D2!$C$2:$C$1001,$AQ836)),IF($AR836&lt;&gt;"",IF(INDEX(Raw_D3!$K$2:$K$1001,$AR836)="","",INDEX(Raw_D3!$K$2:$K$1001,$AR836)),"")))</f>
        <v>0.2576</v>
      </c>
      <c r="L836" s="16">
        <f>IF($A836="","",IF($AQ836&lt;&gt;"",IF(INDEX(Raw_D2!$D$2:$D$1001,$AQ836)="","",INDEX(Raw_D2!$D$2:$D$1001,$AQ836)),IF($AR836&lt;&gt;"",IF(INDEX(Raw_D3!$L$2:$L$1001,$AR836)="","",INDEX(Raw_D3!$L$2:$L$1001,$AR836)),"")))</f>
        <v>0.86</v>
      </c>
      <c r="M836" s="17">
        <f>IF($A836="","",IF($AQ836&lt;&gt;"",IF(INDEX(Raw_D2!$E$2:$E$1001,$AQ836)="","",INDEX(Raw_D2!$E$2:$E$1001,$AQ836)),IF($AR836&lt;&gt;"",IF(INDEX(Raw_D3!$M$2:$M$1001,$AR836)="","",INDEX(Raw_D3!$M$2:$M$1001,$AR836)),"")))</f>
        <v>0</v>
      </c>
      <c r="N836" s="5">
        <f>IF($A836="","",IF($AQ836&lt;&gt;"",IF(INDEX(Raw_D2!$F$2:$F$1001,$AQ836)="","",INDEX(Raw_D2!$F$2:$F$1001,$AQ836)),IF($AR836&lt;&gt;"",IF(INDEX(Raw_D3!$N$2:$N$1001,$AR836)="","",INDEX(Raw_D3!$N$2:$N$1001,$AR836)),"")))</f>
        <v>1</v>
      </c>
      <c r="O836" s="5">
        <f>IF($A836="","",IF($AQ836&lt;&gt;"",IF(INDEX(Raw_D2!$G$2:$G$1001,$AQ836)="","",INDEX(Raw_D2!$G$2:$G$1001,$AQ836)),IF($AR836&lt;&gt;"",IF(INDEX(Raw_D3!$O$2:$O$1001,$AR836)="","",INDEX(Raw_D3!$O$2:$O$1001,$AR836)),"")))</f>
        <v>9</v>
      </c>
      <c r="P836" s="5">
        <f>IF($A836="","",IF($AQ836&lt;&gt;"",IF(INDEX(Raw_D2!$H$2:$H$1001,$AQ836)="","",INDEX(Raw_D2!$H$2:$H$1001,$AQ836)),IF($AR836&lt;&gt;"",IF(INDEX(Raw_D3!$P$2:$P$1001,$AR836)="","",INDEX(Raw_D3!$P$2:$P$1001,$AR836)),"")))</f>
        <v>10</v>
      </c>
      <c r="Q836" s="5" t="str">
        <f>IF($A836="","",IF(AND($AP836&lt;&gt;"",$AQ836&lt;&gt;""),"D1+D2",IF($AR836&lt;&gt;"","D3","Incomplete")))</f>
        <v>D3</v>
      </c>
      <c r="R836" s="17">
        <f>IF($A836="","",IF($K836="",IF($J836="","",ROUND(Lookups!$K$5+Lookups!$K$4*$J836,4)),$K836))</f>
        <v>0.2576</v>
      </c>
      <c r="S836" s="5" t="str">
        <f>IF($A836="","",IF($K836="","Imputed","Original"))</f>
        <v>Original</v>
      </c>
      <c r="T836" s="5" t="str">
        <f>IF($A836="","",IF($P836="","Missing",IF($P836=$N836+$O836,"OK","Mismatch")))</f>
        <v>OK</v>
      </c>
      <c r="U836" s="5" t="str">
        <f>IF($A836="","",IF(COUNTIF($A$2:$A836,$A836)&gt;1,"Duplicate","Unique"))</f>
        <v>Unique</v>
      </c>
      <c r="V836" s="5">
        <f>IF($A836="","",IF(AND($U836="Unique",ISNUMBER($P836)),1,0))</f>
        <v>1</v>
      </c>
      <c r="W836" s="5" t="str">
        <f>IF($A836="","",IF(OR($H836=0,$H836=6),"Weekend","Weekday"))</f>
        <v>Weekday</v>
      </c>
      <c r="X836" s="5" t="str">
        <f>IF($A836="","",TEXT($B836,"ddd"))</f>
        <v>Mon</v>
      </c>
      <c r="Y836" s="5" t="str">
        <f>IF($A836="","",TEXT($B836,"mmm"))</f>
        <v>Feb</v>
      </c>
      <c r="Z836" s="5" t="str">
        <f>IF($A836="","",IFERROR(VLOOKUP($C836,Lookups!$D$4:$E$7,2,FALSE),"Unknown"))</f>
        <v>Winter</v>
      </c>
      <c r="AA836" s="5" t="str">
        <f>IF($A836="","",IFERROR(VLOOKUP($I836,Lookups!$A$4:$B$7,2,FALSE),"Unknown"))</f>
        <v>Clear</v>
      </c>
      <c r="AB836" s="5" t="str">
        <f>IF($A836="","",TEXT($F836,"00")&amp;":00")</f>
        <v>05:00</v>
      </c>
      <c r="AC836" s="5" t="str">
        <f>IF($A836="","",VLOOKUP($F836,Lookups!$G$4:$H$8,2,TRUE))</f>
        <v>Night (00-05)</v>
      </c>
      <c r="AD836" s="18">
        <f>IF($A836="","",IF($J836="","",ROUND($J836*41,1)))</f>
        <v>8.2</v>
      </c>
      <c r="AE836" s="18">
        <f>IF($A836="","",IF($R836="","",ROUND($R836*50,1)))</f>
        <v>12.9</v>
      </c>
      <c r="AF836" s="5">
        <f>IF($A836="","",IF($L836="","",ROUND($L836*100,0)))</f>
        <v>86</v>
      </c>
      <c r="AG836" s="18">
        <f>IF($A836="","",IF($M836="","",ROUND($M836*67,1)))</f>
        <v>0</v>
      </c>
      <c r="AH836" s="19">
        <f>IF($A836="","",IF($P836="","",IF($P836=0,0,$O836/$P836)))</f>
        <v>0.9</v>
      </c>
      <c r="AI836" s="5" t="str">
        <f>IF($A836="","",IF($P836="","",IF($P836&gt;=Lookups!$K$7,"High",IF($P836&lt;=Lookups!$K$8,"Low","Medium"))))</f>
        <v>Low</v>
      </c>
      <c r="AJ836" s="5" t="str">
        <f>IF($A836="","",IF($AD836="","",IF($AD836&lt;5,"Under 5 C",IF($AD836&lt;10,"5-10 C",IF($AD836&lt;15,"10-15 C","15 C and above")))))</f>
        <v>5-10 C</v>
      </c>
      <c r="AK836" s="5">
        <f>IF($A836="","",IF($P836="","",$P836^2))</f>
        <v>100</v>
      </c>
      <c r="AL836" s="18">
        <f>IF($V836&lt;&gt;1,"",AVERAGEIFS(Clean_Data!$P$2:$P$1001,Clean_Data!$F$2:$F$1001,$F836,Clean_Data!$W$2:$W$1001,$W836,Clean_Data!$V$2:$V$1001,1))</f>
        <v>4.72413793103448</v>
      </c>
      <c r="AM836" s="16">
        <f>IF($V836&lt;&gt;1,"",IFERROR(($P836-$AL836)/SQRT(MAX(0,(SUMIFS(Clean_Data!$AK$2:$AK$1001,Clean_Data!$F$2:$F$1001,$F836,Clean_Data!$W$2:$W$1001,$W836,Clean_Data!$V$2:$V$1001,1)-COUNTIFS(Clean_Data!$F$2:$F$1001,$F836,Clean_Data!$W$2:$W$1001,$W836,Clean_Data!$V$2:$V$1001,1)*$AL836^2)/(COUNTIFS(Clean_Data!$F$2:$F$1001,$F836,Clean_Data!$W$2:$W$1001,$W836,Clean_Data!$V$2:$V$1001,1)-1))),""))</f>
        <v>2.25114784390607</v>
      </c>
      <c r="AN836" s="5" t="str">
        <f>IF($AM836="","",IF($AM836&gt;=Lookups!$K$6,"High spike",IF($AM836&lt;=-Lookups!$K$6,"Unusual low","Normal")))</f>
        <v>Normal</v>
      </c>
      <c r="AO836" s="20">
        <f>IF($V836&lt;&gt;1,"",$P836+ROW()/100000)</f>
        <v>10.00836</v>
      </c>
      <c r="AP836" s="5">
        <f>IF($A836="","",IFERROR(MATCH($A836,Raw_D1!$A$2:$A$1001,0),""))</f>
        <v/>
      </c>
      <c r="AQ836" s="5">
        <f>IF($A836="","",IFERROR(MATCH($A836,Raw_D2!$B$2:$B$1001,0),""))</f>
        <v/>
      </c>
      <c r="AR836" s="5">
        <f>IF($A836="","",IFERROR(MATCH($A836,Raw_D3!$A$2:$A$1001,0),""))</f>
        <v>216</v>
      </c>
    </row>
    <row r="837" spans="1:44" x14ac:dyDescent="0.25">
      <c r="A837" s="5">
        <v>836</v>
      </c>
      <c r="B837" s="11">
        <f>IF($A837="","",IF($AP837&lt;&gt;"",INDEX(Raw_D1!$B$2:$B$1001,$AP837),IF($AR837&lt;&gt;"",INDEX(Raw_D3!$B$2:$B$1001,$AR837),"")))</f>
        <v>40581.0</v>
      </c>
      <c r="C837" s="5">
        <f>IF($A837="","",IF($AP837&lt;&gt;"",INDEX(Raw_D1!$C$2:$C$1001,$AP837),IF($AR837&lt;&gt;"",INDEX(Raw_D3!$C$2:$C$1001,$AR837),"")))</f>
        <v>1</v>
      </c>
      <c r="D837" s="5">
        <f>IF($A837="","",IF($AP837&lt;&gt;"",INDEX(Raw_D1!$D$2:$D$1001,$AP837),IF($AR837&lt;&gt;"",INDEX(Raw_D3!$D$2:$D$1001,$AR837),"")))</f>
        <v>0</v>
      </c>
      <c r="E837" s="5">
        <f>IF($A837="","",IF($AP837&lt;&gt;"",INDEX(Raw_D1!$E$2:$E$1001,$AP837),IF($AR837&lt;&gt;"",INDEX(Raw_D3!$E$2:$E$1001,$AR837),"")))</f>
        <v>2</v>
      </c>
      <c r="F837" s="5">
        <f>IF($A837="","",IF($AP837&lt;&gt;"",INDEX(Raw_D1!$F$2:$F$1001,$AP837),IF($AR837&lt;&gt;"",INDEX(Raw_D3!$F$2:$F$1001,$AR837),"")))</f>
        <v>6</v>
      </c>
      <c r="G837" s="5">
        <f>IF($A837="","",IF($AP837&lt;&gt;"",IF(INDEX(Raw_D1!$G$2:$G$1001,$AP837),1,0),IF($AR837&lt;&gt;"",IF(INDEX(Raw_D3!$G$2:$G$1001,$AR837),1,0),"")))</f>
        <v>0</v>
      </c>
      <c r="H837" s="5">
        <f>IF($A837="","",IF($AP837&lt;&gt;"",INDEX(Raw_D1!$H$2:$H$1001,$AP837),IF($AR837&lt;&gt;"",INDEX(Raw_D3!$H$2:$H$1001,$AR837),"")))</f>
        <v>1</v>
      </c>
      <c r="I837" s="5">
        <f>IF($A837="","",IF($AP837&lt;&gt;"",INDEX(Raw_D1!$I$2:$I$1001,$AP837),IF($AR837&lt;&gt;"",INDEX(Raw_D3!$I$2:$I$1001,$AR837),"")))</f>
        <v>1</v>
      </c>
      <c r="J837" s="16">
        <f>IF($A837="","",IF($AP837&lt;&gt;"",INDEX(Raw_D1!$J$2:$J$1001,$AP837),IF($AR837&lt;&gt;"",INDEX(Raw_D3!$J$2:$J$1001,$AR837),"")))</f>
        <v>0.18</v>
      </c>
      <c r="K837" s="17">
        <f>IF($A837="","",IF($AQ837&lt;&gt;"",IF(INDEX(Raw_D2!$C$2:$C$1001,$AQ837)="","",INDEX(Raw_D2!$C$2:$C$1001,$AQ837)),IF($AR837&lt;&gt;"",IF(INDEX(Raw_D3!$K$2:$K$1001,$AR837)="","",INDEX(Raw_D3!$K$2:$K$1001,$AR837)),"")))</f>
        <v>0.2424</v>
      </c>
      <c r="L837" s="16">
        <f>IF($A837="","",IF($AQ837&lt;&gt;"",IF(INDEX(Raw_D2!$D$2:$D$1001,$AQ837)="","",INDEX(Raw_D2!$D$2:$D$1001,$AQ837)),IF($AR837&lt;&gt;"",IF(INDEX(Raw_D3!$L$2:$L$1001,$AR837)="","",INDEX(Raw_D3!$L$2:$L$1001,$AR837)),"")))</f>
        <v>0.93</v>
      </c>
      <c r="M837" s="17">
        <f>IF($A837="","",IF($AQ837&lt;&gt;"",IF(INDEX(Raw_D2!$E$2:$E$1001,$AQ837)="","",INDEX(Raw_D2!$E$2:$E$1001,$AQ837)),IF($AR837&lt;&gt;"",IF(INDEX(Raw_D3!$M$2:$M$1001,$AR837)="","",INDEX(Raw_D3!$M$2:$M$1001,$AR837)),"")))</f>
        <v>0</v>
      </c>
      <c r="N837" s="5">
        <f>IF($A837="","",IF($AQ837&lt;&gt;"",IF(INDEX(Raw_D2!$F$2:$F$1001,$AQ837)="","",INDEX(Raw_D2!$F$2:$F$1001,$AQ837)),IF($AR837&lt;&gt;"",IF(INDEX(Raw_D3!$N$2:$N$1001,$AR837)="","",INDEX(Raw_D3!$N$2:$N$1001,$AR837)),"")))</f>
        <v>1</v>
      </c>
      <c r="O837" s="5">
        <f>IF($A837="","",IF($AQ837&lt;&gt;"",IF(INDEX(Raw_D2!$G$2:$G$1001,$AQ837)="","",INDEX(Raw_D2!$G$2:$G$1001,$AQ837)),IF($AR837&lt;&gt;"",IF(INDEX(Raw_D3!$O$2:$O$1001,$AR837)="","",INDEX(Raw_D3!$O$2:$O$1001,$AR837)),"")))</f>
        <v>29</v>
      </c>
      <c r="P837" s="5">
        <f>IF($A837="","",IF($AQ837&lt;&gt;"",IF(INDEX(Raw_D2!$H$2:$H$1001,$AQ837)="","",INDEX(Raw_D2!$H$2:$H$1001,$AQ837)),IF($AR837&lt;&gt;"",IF(INDEX(Raw_D3!$P$2:$P$1001,$AR837)="","",INDEX(Raw_D3!$P$2:$P$1001,$AR837)),"")))</f>
        <v>30</v>
      </c>
      <c r="Q837" s="5" t="str">
        <f>IF($A837="","",IF(AND($AP837&lt;&gt;"",$AQ837&lt;&gt;""),"D1+D2",IF($AR837&lt;&gt;"","D3","Incomplete")))</f>
        <v>D3</v>
      </c>
      <c r="R837" s="17">
        <f>IF($A837="","",IF($K837="",IF($J837="","",ROUND(Lookups!$K$5+Lookups!$K$4*$J837,4)),$K837))</f>
        <v>0.2424</v>
      </c>
      <c r="S837" s="5" t="str">
        <f>IF($A837="","",IF($K837="","Imputed","Original"))</f>
        <v>Original</v>
      </c>
      <c r="T837" s="5" t="str">
        <f>IF($A837="","",IF($P837="","Missing",IF($P837=$N837+$O837,"OK","Mismatch")))</f>
        <v>OK</v>
      </c>
      <c r="U837" s="5" t="str">
        <f>IF($A837="","",IF(COUNTIF($A$2:$A837,$A837)&gt;1,"Duplicate","Unique"))</f>
        <v>Unique</v>
      </c>
      <c r="V837" s="5">
        <f>IF($A837="","",IF(AND($U837="Unique",ISNUMBER($P837)),1,0))</f>
        <v>1</v>
      </c>
      <c r="W837" s="5" t="str">
        <f>IF($A837="","",IF(OR($H837=0,$H837=6),"Weekend","Weekday"))</f>
        <v>Weekday</v>
      </c>
      <c r="X837" s="5" t="str">
        <f>IF($A837="","",TEXT($B837,"ddd"))</f>
        <v>Mon</v>
      </c>
      <c r="Y837" s="5" t="str">
        <f>IF($A837="","",TEXT($B837,"mmm"))</f>
        <v>Feb</v>
      </c>
      <c r="Z837" s="5" t="str">
        <f>IF($A837="","",IFERROR(VLOOKUP($C837,Lookups!$D$4:$E$7,2,FALSE),"Unknown"))</f>
        <v>Winter</v>
      </c>
      <c r="AA837" s="5" t="str">
        <f>IF($A837="","",IFERROR(VLOOKUP($I837,Lookups!$A$4:$B$7,2,FALSE),"Unknown"))</f>
        <v>Clear</v>
      </c>
      <c r="AB837" s="5" t="str">
        <f>IF($A837="","",TEXT($F837,"00")&amp;":00")</f>
        <v>06:00</v>
      </c>
      <c r="AC837" s="5" t="str">
        <f>IF($A837="","",VLOOKUP($F837,Lookups!$G$4:$H$8,2,TRUE))</f>
        <v>Morning Peak (06-09)</v>
      </c>
      <c r="AD837" s="18">
        <f>IF($A837="","",IF($J837="","",ROUND($J837*41,1)))</f>
        <v>7.4</v>
      </c>
      <c r="AE837" s="18">
        <f>IF($A837="","",IF($R837="","",ROUND($R837*50,1)))</f>
        <v>12.1</v>
      </c>
      <c r="AF837" s="5">
        <f>IF($A837="","",IF($L837="","",ROUND($L837*100,0)))</f>
        <v>93</v>
      </c>
      <c r="AG837" s="18">
        <f>IF($A837="","",IF($M837="","",ROUND($M837*67,1)))</f>
        <v>0</v>
      </c>
      <c r="AH837" s="19">
        <f>IF($A837="","",IF($P837="","",IF($P837=0,0,$O837/$P837)))</f>
        <v>0.966666666666667</v>
      </c>
      <c r="AI837" s="5" t="str">
        <f>IF($A837="","",IF($P837="","",IF($P837&gt;=Lookups!$K$7,"High",IF($P837&lt;=Lookups!$K$8,"Low","Medium"))))</f>
        <v>Medium</v>
      </c>
      <c r="AJ837" s="5" t="str">
        <f>IF($A837="","",IF($AD837="","",IF($AD837&lt;5,"Under 5 C",IF($AD837&lt;10,"5-10 C",IF($AD837&lt;15,"10-15 C","15 C and above")))))</f>
        <v>5-10 C</v>
      </c>
      <c r="AK837" s="5">
        <f>IF($A837="","",IF($P837="","",$P837^2))</f>
        <v>900</v>
      </c>
      <c r="AL837" s="18">
        <f>IF($V837&lt;&gt;1,"",AVERAGEIFS(Clean_Data!$P$2:$P$1001,Clean_Data!$F$2:$F$1001,$F837,Clean_Data!$W$2:$W$1001,$W837,Clean_Data!$V$2:$V$1001,1))</f>
        <v>27.3793103448276</v>
      </c>
      <c r="AM837" s="16">
        <f>IF($V837&lt;&gt;1,"",IFERROR(($P837-$AL837)/SQRT(MAX(0,(SUMIFS(Clean_Data!$AK$2:$AK$1001,Clean_Data!$F$2:$F$1001,$F837,Clean_Data!$W$2:$W$1001,$W837,Clean_Data!$V$2:$V$1001,1)-COUNTIFS(Clean_Data!$F$2:$F$1001,$F837,Clean_Data!$W$2:$W$1001,$W837,Clean_Data!$V$2:$V$1001,1)*$AL837^2)/(COUNTIFS(Clean_Data!$F$2:$F$1001,$F837,Clean_Data!$W$2:$W$1001,$W837,Clean_Data!$V$2:$V$1001,1)-1))),""))</f>
        <v>0.275110402359366</v>
      </c>
      <c r="AN837" s="5" t="str">
        <f>IF($AM837="","",IF($AM837&gt;=Lookups!$K$6,"High spike",IF($AM837&lt;=-Lookups!$K$6,"Unusual low","Normal")))</f>
        <v>Normal</v>
      </c>
      <c r="AO837" s="20">
        <f>IF($V837&lt;&gt;1,"",$P837+ROW()/100000)</f>
        <v>30.00837</v>
      </c>
      <c r="AP837" s="5">
        <f>IF($A837="","",IFERROR(MATCH($A837,Raw_D1!$A$2:$A$1001,0),""))</f>
        <v/>
      </c>
      <c r="AQ837" s="5">
        <f>IF($A837="","",IFERROR(MATCH($A837,Raw_D2!$B$2:$B$1001,0),""))</f>
        <v/>
      </c>
      <c r="AR837" s="5">
        <f>IF($A837="","",IFERROR(MATCH($A837,Raw_D3!$A$2:$A$1001,0),""))</f>
        <v>217</v>
      </c>
    </row>
    <row r="838" spans="1:44" x14ac:dyDescent="0.25">
      <c r="A838" s="5">
        <v>837</v>
      </c>
      <c r="B838" s="11">
        <f>IF($A838="","",IF($AP838&lt;&gt;"",INDEX(Raw_D1!$B$2:$B$1001,$AP838),IF($AR838&lt;&gt;"",INDEX(Raw_D3!$B$2:$B$1001,$AR838),"")))</f>
        <v>40581.0</v>
      </c>
      <c r="C838" s="5">
        <f>IF($A838="","",IF($AP838&lt;&gt;"",INDEX(Raw_D1!$C$2:$C$1001,$AP838),IF($AR838&lt;&gt;"",INDEX(Raw_D3!$C$2:$C$1001,$AR838),"")))</f>
        <v>1</v>
      </c>
      <c r="D838" s="5">
        <f>IF($A838="","",IF($AP838&lt;&gt;"",INDEX(Raw_D1!$D$2:$D$1001,$AP838),IF($AR838&lt;&gt;"",INDEX(Raw_D3!$D$2:$D$1001,$AR838),"")))</f>
        <v>0</v>
      </c>
      <c r="E838" s="5">
        <f>IF($A838="","",IF($AP838&lt;&gt;"",INDEX(Raw_D1!$E$2:$E$1001,$AP838),IF($AR838&lt;&gt;"",INDEX(Raw_D3!$E$2:$E$1001,$AR838),"")))</f>
        <v>2</v>
      </c>
      <c r="F838" s="5">
        <f>IF($A838="","",IF($AP838&lt;&gt;"",INDEX(Raw_D1!$F$2:$F$1001,$AP838),IF($AR838&lt;&gt;"",INDEX(Raw_D3!$F$2:$F$1001,$AR838),"")))</f>
        <v>7</v>
      </c>
      <c r="G838" s="5">
        <f>IF($A838="","",IF($AP838&lt;&gt;"",IF(INDEX(Raw_D1!$G$2:$G$1001,$AP838),1,0),IF($AR838&lt;&gt;"",IF(INDEX(Raw_D3!$G$2:$G$1001,$AR838),1,0),"")))</f>
        <v>0</v>
      </c>
      <c r="H838" s="5">
        <f>IF($A838="","",IF($AP838&lt;&gt;"",INDEX(Raw_D1!$H$2:$H$1001,$AP838),IF($AR838&lt;&gt;"",INDEX(Raw_D3!$H$2:$H$1001,$AR838),"")))</f>
        <v>1</v>
      </c>
      <c r="I838" s="5">
        <f>IF($A838="","",IF($AP838&lt;&gt;"",INDEX(Raw_D1!$I$2:$I$1001,$AP838),IF($AR838&lt;&gt;"",INDEX(Raw_D3!$I$2:$I$1001,$AR838),"")))</f>
        <v>1</v>
      </c>
      <c r="J838" s="16">
        <f>IF($A838="","",IF($AP838&lt;&gt;"",INDEX(Raw_D1!$J$2:$J$1001,$AP838),IF($AR838&lt;&gt;"",INDEX(Raw_D3!$J$2:$J$1001,$AR838),"")))</f>
        <v>0.18</v>
      </c>
      <c r="K838" s="17">
        <f>IF($A838="","",IF($AQ838&lt;&gt;"",IF(INDEX(Raw_D2!$C$2:$C$1001,$AQ838)="","",INDEX(Raw_D2!$C$2:$C$1001,$AQ838)),IF($AR838&lt;&gt;"",IF(INDEX(Raw_D3!$K$2:$K$1001,$AR838)="","",INDEX(Raw_D3!$K$2:$K$1001,$AR838)),"")))</f>
        <v>0.2424</v>
      </c>
      <c r="L838" s="16">
        <f>IF($A838="","",IF($AQ838&lt;&gt;"",IF(INDEX(Raw_D2!$D$2:$D$1001,$AQ838)="","",INDEX(Raw_D2!$D$2:$D$1001,$AQ838)),IF($AR838&lt;&gt;"",IF(INDEX(Raw_D3!$L$2:$L$1001,$AR838)="","",INDEX(Raw_D3!$L$2:$L$1001,$AR838)),"")))</f>
        <v>0.86</v>
      </c>
      <c r="M838" s="17">
        <f>IF($A838="","",IF($AQ838&lt;&gt;"",IF(INDEX(Raw_D2!$E$2:$E$1001,$AQ838)="","",INDEX(Raw_D2!$E$2:$E$1001,$AQ838)),IF($AR838&lt;&gt;"",IF(INDEX(Raw_D3!$M$2:$M$1001,$AR838)="","",INDEX(Raw_D3!$M$2:$M$1001,$AR838)),"")))</f>
        <v>0</v>
      </c>
      <c r="N838" s="5">
        <f>IF($A838="","",IF($AQ838&lt;&gt;"",IF(INDEX(Raw_D2!$F$2:$F$1001,$AQ838)="","",INDEX(Raw_D2!$F$2:$F$1001,$AQ838)),IF($AR838&lt;&gt;"",IF(INDEX(Raw_D3!$N$2:$N$1001,$AR838)="","",INDEX(Raw_D3!$N$2:$N$1001,$AR838)),"")))</f>
        <v>6</v>
      </c>
      <c r="O838" s="5">
        <f>IF($A838="","",IF($AQ838&lt;&gt;"",IF(INDEX(Raw_D2!$G$2:$G$1001,$AQ838)="","",INDEX(Raw_D2!$G$2:$G$1001,$AQ838)),IF($AR838&lt;&gt;"",IF(INDEX(Raw_D3!$O$2:$O$1001,$AR838)="","",INDEX(Raw_D3!$O$2:$O$1001,$AR838)),"")))</f>
        <v>89</v>
      </c>
      <c r="P838" s="5">
        <f>IF($A838="","",IF($AQ838&lt;&gt;"",IF(INDEX(Raw_D2!$H$2:$H$1001,$AQ838)="","",INDEX(Raw_D2!$H$2:$H$1001,$AQ838)),IF($AR838&lt;&gt;"",IF(INDEX(Raw_D3!$P$2:$P$1001,$AR838)="","",INDEX(Raw_D3!$P$2:$P$1001,$AR838)),"")))</f>
        <v>95</v>
      </c>
      <c r="Q838" s="5" t="str">
        <f>IF($A838="","",IF(AND($AP838&lt;&gt;"",$AQ838&lt;&gt;""),"D1+D2",IF($AR838&lt;&gt;"","D3","Incomplete")))</f>
        <v>D3</v>
      </c>
      <c r="R838" s="17">
        <f>IF($A838="","",IF($K838="",IF($J838="","",ROUND(Lookups!$K$5+Lookups!$K$4*$J838,4)),$K838))</f>
        <v>0.2424</v>
      </c>
      <c r="S838" s="5" t="str">
        <f>IF($A838="","",IF($K838="","Imputed","Original"))</f>
        <v>Original</v>
      </c>
      <c r="T838" s="5" t="str">
        <f>IF($A838="","",IF($P838="","Missing",IF($P838=$N838+$O838,"OK","Mismatch")))</f>
        <v>OK</v>
      </c>
      <c r="U838" s="5" t="str">
        <f>IF($A838="","",IF(COUNTIF($A$2:$A838,$A838)&gt;1,"Duplicate","Unique"))</f>
        <v>Unique</v>
      </c>
      <c r="V838" s="5">
        <f>IF($A838="","",IF(AND($U838="Unique",ISNUMBER($P838)),1,0))</f>
        <v>1</v>
      </c>
      <c r="W838" s="5" t="str">
        <f>IF($A838="","",IF(OR($H838=0,$H838=6),"Weekend","Weekday"))</f>
        <v>Weekday</v>
      </c>
      <c r="X838" s="5" t="str">
        <f>IF($A838="","",TEXT($B838,"ddd"))</f>
        <v>Mon</v>
      </c>
      <c r="Y838" s="5" t="str">
        <f>IF($A838="","",TEXT($B838,"mmm"))</f>
        <v>Feb</v>
      </c>
      <c r="Z838" s="5" t="str">
        <f>IF($A838="","",IFERROR(VLOOKUP($C838,Lookups!$D$4:$E$7,2,FALSE),"Unknown"))</f>
        <v>Winter</v>
      </c>
      <c r="AA838" s="5" t="str">
        <f>IF($A838="","",IFERROR(VLOOKUP($I838,Lookups!$A$4:$B$7,2,FALSE),"Unknown"))</f>
        <v>Clear</v>
      </c>
      <c r="AB838" s="5" t="str">
        <f>IF($A838="","",TEXT($F838,"00")&amp;":00")</f>
        <v>07:00</v>
      </c>
      <c r="AC838" s="5" t="str">
        <f>IF($A838="","",VLOOKUP($F838,Lookups!$G$4:$H$8,2,TRUE))</f>
        <v>Morning Peak (06-09)</v>
      </c>
      <c r="AD838" s="18">
        <f>IF($A838="","",IF($J838="","",ROUND($J838*41,1)))</f>
        <v>7.4</v>
      </c>
      <c r="AE838" s="18">
        <f>IF($A838="","",IF($R838="","",ROUND($R838*50,1)))</f>
        <v>12.1</v>
      </c>
      <c r="AF838" s="5">
        <f>IF($A838="","",IF($L838="","",ROUND($L838*100,0)))</f>
        <v>86</v>
      </c>
      <c r="AG838" s="18">
        <f>IF($A838="","",IF($M838="","",ROUND($M838*67,1)))</f>
        <v>0</v>
      </c>
      <c r="AH838" s="19">
        <f>IF($A838="","",IF($P838="","",IF($P838=0,0,$O838/$P838)))</f>
        <v>0.936842105263158</v>
      </c>
      <c r="AI838" s="5" t="str">
        <f>IF($A838="","",IF($P838="","",IF($P838&gt;=Lookups!$K$7,"High",IF($P838&lt;=Lookups!$K$8,"Low","Medium"))))</f>
        <v>High</v>
      </c>
      <c r="AJ838" s="5" t="str">
        <f>IF($A838="","",IF($AD838="","",IF($AD838&lt;5,"Under 5 C",IF($AD838&lt;10,"5-10 C",IF($AD838&lt;15,"10-15 C","15 C and above")))))</f>
        <v>5-10 C</v>
      </c>
      <c r="AK838" s="5">
        <f>IF($A838="","",IF($P838="","",$P838^2))</f>
        <v>9025</v>
      </c>
      <c r="AL838" s="18">
        <f>IF($V838&lt;&gt;1,"",AVERAGEIFS(Clean_Data!$P$2:$P$1001,Clean_Data!$F$2:$F$1001,$F838,Clean_Data!$W$2:$W$1001,$W838,Clean_Data!$V$2:$V$1001,1))</f>
        <v>78.0344827586207</v>
      </c>
      <c r="AM838" s="16">
        <f>IF($V838&lt;&gt;1,"",IFERROR(($P838-$AL838)/SQRT(MAX(0,(SUMIFS(Clean_Data!$AK$2:$AK$1001,Clean_Data!$F$2:$F$1001,$F838,Clean_Data!$W$2:$W$1001,$W838,Clean_Data!$V$2:$V$1001,1)-COUNTIFS(Clean_Data!$F$2:$F$1001,$F838,Clean_Data!$W$2:$W$1001,$W838,Clean_Data!$V$2:$V$1001,1)*$AL838^2)/(COUNTIFS(Clean_Data!$F$2:$F$1001,$F838,Clean_Data!$W$2:$W$1001,$W838,Clean_Data!$V$2:$V$1001,1)-1))),""))</f>
        <v>0.749594935031323</v>
      </c>
      <c r="AN838" s="5" t="str">
        <f>IF($AM838="","",IF($AM838&gt;=Lookups!$K$6,"High spike",IF($AM838&lt;=-Lookups!$K$6,"Unusual low","Normal")))</f>
        <v>Normal</v>
      </c>
      <c r="AO838" s="20">
        <f>IF($V838&lt;&gt;1,"",$P838+ROW()/100000)</f>
        <v>95.00838</v>
      </c>
      <c r="AP838" s="5">
        <f>IF($A838="","",IFERROR(MATCH($A838,Raw_D1!$A$2:$A$1001,0),""))</f>
        <v/>
      </c>
      <c r="AQ838" s="5">
        <f>IF($A838="","",IFERROR(MATCH($A838,Raw_D2!$B$2:$B$1001,0),""))</f>
        <v/>
      </c>
      <c r="AR838" s="5">
        <f>IF($A838="","",IFERROR(MATCH($A838,Raw_D3!$A$2:$A$1001,0),""))</f>
        <v>218</v>
      </c>
    </row>
    <row r="839" spans="1:44" x14ac:dyDescent="0.25">
      <c r="A839" s="5">
        <v>838</v>
      </c>
      <c r="B839" s="11">
        <f>IF($A839="","",IF($AP839&lt;&gt;"",INDEX(Raw_D1!$B$2:$B$1001,$AP839),IF($AR839&lt;&gt;"",INDEX(Raw_D3!$B$2:$B$1001,$AR839),"")))</f>
        <v>40581.0</v>
      </c>
      <c r="C839" s="5">
        <f>IF($A839="","",IF($AP839&lt;&gt;"",INDEX(Raw_D1!$C$2:$C$1001,$AP839),IF($AR839&lt;&gt;"",INDEX(Raw_D3!$C$2:$C$1001,$AR839),"")))</f>
        <v>1</v>
      </c>
      <c r="D839" s="5">
        <f>IF($A839="","",IF($AP839&lt;&gt;"",INDEX(Raw_D1!$D$2:$D$1001,$AP839),IF($AR839&lt;&gt;"",INDEX(Raw_D3!$D$2:$D$1001,$AR839),"")))</f>
        <v>0</v>
      </c>
      <c r="E839" s="5">
        <f>IF($A839="","",IF($AP839&lt;&gt;"",INDEX(Raw_D1!$E$2:$E$1001,$AP839),IF($AR839&lt;&gt;"",INDEX(Raw_D3!$E$2:$E$1001,$AR839),"")))</f>
        <v>2</v>
      </c>
      <c r="F839" s="5">
        <f>IF($A839="","",IF($AP839&lt;&gt;"",INDEX(Raw_D1!$F$2:$F$1001,$AP839),IF($AR839&lt;&gt;"",INDEX(Raw_D3!$F$2:$F$1001,$AR839),"")))</f>
        <v>8</v>
      </c>
      <c r="G839" s="5">
        <f>IF($A839="","",IF($AP839&lt;&gt;"",IF(INDEX(Raw_D1!$G$2:$G$1001,$AP839),1,0),IF($AR839&lt;&gt;"",IF(INDEX(Raw_D3!$G$2:$G$1001,$AR839),1,0),"")))</f>
        <v>0</v>
      </c>
      <c r="H839" s="5">
        <f>IF($A839="","",IF($AP839&lt;&gt;"",INDEX(Raw_D1!$H$2:$H$1001,$AP839),IF($AR839&lt;&gt;"",INDEX(Raw_D3!$H$2:$H$1001,$AR839),"")))</f>
        <v>1</v>
      </c>
      <c r="I839" s="5">
        <f>IF($A839="","",IF($AP839&lt;&gt;"",INDEX(Raw_D1!$I$2:$I$1001,$AP839),IF($AR839&lt;&gt;"",INDEX(Raw_D3!$I$2:$I$1001,$AR839),"")))</f>
        <v>2</v>
      </c>
      <c r="J839" s="16">
        <f>IF($A839="","",IF($AP839&lt;&gt;"",INDEX(Raw_D1!$J$2:$J$1001,$AP839),IF($AR839&lt;&gt;"",INDEX(Raw_D3!$J$2:$J$1001,$AR839),"")))</f>
        <v>0.16</v>
      </c>
      <c r="K839" s="17">
        <f>IF($A839="","",IF($AQ839&lt;&gt;"",IF(INDEX(Raw_D2!$C$2:$C$1001,$AQ839)="","",INDEX(Raw_D2!$C$2:$C$1001,$AQ839)),IF($AR839&lt;&gt;"",IF(INDEX(Raw_D3!$K$2:$K$1001,$AR839)="","",INDEX(Raw_D3!$K$2:$K$1001,$AR839)),"")))</f>
        <v>0.2273</v>
      </c>
      <c r="L839" s="16">
        <f>IF($A839="","",IF($AQ839&lt;&gt;"",IF(INDEX(Raw_D2!$D$2:$D$1001,$AQ839)="","",INDEX(Raw_D2!$D$2:$D$1001,$AQ839)),IF($AR839&lt;&gt;"",IF(INDEX(Raw_D3!$L$2:$L$1001,$AR839)="","",INDEX(Raw_D3!$L$2:$L$1001,$AR839)),"")))</f>
        <v>1</v>
      </c>
      <c r="M839" s="17">
        <f>IF($A839="","",IF($AQ839&lt;&gt;"",IF(INDEX(Raw_D2!$E$2:$E$1001,$AQ839)="","",INDEX(Raw_D2!$E$2:$E$1001,$AQ839)),IF($AR839&lt;&gt;"",IF(INDEX(Raw_D3!$M$2:$M$1001,$AR839)="","",INDEX(Raw_D3!$M$2:$M$1001,$AR839)),"")))</f>
        <v>0</v>
      </c>
      <c r="N839" s="5">
        <f>IF($A839="","",IF($AQ839&lt;&gt;"",IF(INDEX(Raw_D2!$F$2:$F$1001,$AQ839)="","",INDEX(Raw_D2!$F$2:$F$1001,$AQ839)),IF($AR839&lt;&gt;"",IF(INDEX(Raw_D3!$N$2:$N$1001,$AR839)="","",INDEX(Raw_D3!$N$2:$N$1001,$AR839)),"")))</f>
        <v>7</v>
      </c>
      <c r="O839" s="5">
        <f>IF($A839="","",IF($AQ839&lt;&gt;"",IF(INDEX(Raw_D2!$G$2:$G$1001,$AQ839)="","",INDEX(Raw_D2!$G$2:$G$1001,$AQ839)),IF($AR839&lt;&gt;"",IF(INDEX(Raw_D3!$O$2:$O$1001,$AR839)="","",INDEX(Raw_D3!$O$2:$O$1001,$AR839)),"")))</f>
        <v>223</v>
      </c>
      <c r="P839" s="5">
        <f>IF($A839="","",IF($AQ839&lt;&gt;"",IF(INDEX(Raw_D2!$H$2:$H$1001,$AQ839)="","",INDEX(Raw_D2!$H$2:$H$1001,$AQ839)),IF($AR839&lt;&gt;"",IF(INDEX(Raw_D3!$P$2:$P$1001,$AR839)="","",INDEX(Raw_D3!$P$2:$P$1001,$AR839)),"")))</f>
        <v>230</v>
      </c>
      <c r="Q839" s="5" t="str">
        <f>IF($A839="","",IF(AND($AP839&lt;&gt;"",$AQ839&lt;&gt;""),"D1+D2",IF($AR839&lt;&gt;"","D3","Incomplete")))</f>
        <v>D3</v>
      </c>
      <c r="R839" s="17">
        <f>IF($A839="","",IF($K839="",IF($J839="","",ROUND(Lookups!$K$5+Lookups!$K$4*$J839,4)),$K839))</f>
        <v>0.2273</v>
      </c>
      <c r="S839" s="5" t="str">
        <f>IF($A839="","",IF($K839="","Imputed","Original"))</f>
        <v>Original</v>
      </c>
      <c r="T839" s="5" t="str">
        <f>IF($A839="","",IF($P839="","Missing",IF($P839=$N839+$O839,"OK","Mismatch")))</f>
        <v>OK</v>
      </c>
      <c r="U839" s="5" t="str">
        <f>IF($A839="","",IF(COUNTIF($A$2:$A839,$A839)&gt;1,"Duplicate","Unique"))</f>
        <v>Unique</v>
      </c>
      <c r="V839" s="5">
        <f>IF($A839="","",IF(AND($U839="Unique",ISNUMBER($P839)),1,0))</f>
        <v>1</v>
      </c>
      <c r="W839" s="5" t="str">
        <f>IF($A839="","",IF(OR($H839=0,$H839=6),"Weekend","Weekday"))</f>
        <v>Weekday</v>
      </c>
      <c r="X839" s="5" t="str">
        <f>IF($A839="","",TEXT($B839,"ddd"))</f>
        <v>Mon</v>
      </c>
      <c r="Y839" s="5" t="str">
        <f>IF($A839="","",TEXT($B839,"mmm"))</f>
        <v>Feb</v>
      </c>
      <c r="Z839" s="5" t="str">
        <f>IF($A839="","",IFERROR(VLOOKUP($C839,Lookups!$D$4:$E$7,2,FALSE),"Unknown"))</f>
        <v>Winter</v>
      </c>
      <c r="AA839" s="5" t="str">
        <f>IF($A839="","",IFERROR(VLOOKUP($I839,Lookups!$A$4:$B$7,2,FALSE),"Unknown"))</f>
        <v>Mist/Cloudy</v>
      </c>
      <c r="AB839" s="5" t="str">
        <f>IF($A839="","",TEXT($F839,"00")&amp;":00")</f>
        <v>08:00</v>
      </c>
      <c r="AC839" s="5" t="str">
        <f>IF($A839="","",VLOOKUP($F839,Lookups!$G$4:$H$8,2,TRUE))</f>
        <v>Morning Peak (06-09)</v>
      </c>
      <c r="AD839" s="18">
        <f>IF($A839="","",IF($J839="","",ROUND($J839*41,1)))</f>
        <v>6.6</v>
      </c>
      <c r="AE839" s="18">
        <f>IF($A839="","",IF($R839="","",ROUND($R839*50,1)))</f>
        <v>11.4</v>
      </c>
      <c r="AF839" s="5">
        <f>IF($A839="","",IF($L839="","",ROUND($L839*100,0)))</f>
        <v>100</v>
      </c>
      <c r="AG839" s="18">
        <f>IF($A839="","",IF($M839="","",ROUND($M839*67,1)))</f>
        <v>0</v>
      </c>
      <c r="AH839" s="19">
        <f>IF($A839="","",IF($P839="","",IF($P839=0,0,$O839/$P839)))</f>
        <v>0.969565217391304</v>
      </c>
      <c r="AI839" s="5" t="str">
        <f>IF($A839="","",IF($P839="","",IF($P839&gt;=Lookups!$K$7,"High",IF($P839&lt;=Lookups!$K$8,"Low","Medium"))))</f>
        <v>High</v>
      </c>
      <c r="AJ839" s="5" t="str">
        <f>IF($A839="","",IF($AD839="","",IF($AD839&lt;5,"Under 5 C",IF($AD839&lt;10,"5-10 C",IF($AD839&lt;15,"10-15 C","15 C and above")))))</f>
        <v>5-10 C</v>
      </c>
      <c r="AK839" s="5">
        <f>IF($A839="","",IF($P839="","",$P839^2))</f>
        <v>52900</v>
      </c>
      <c r="AL839" s="18">
        <f>IF($V839&lt;&gt;1,"",AVERAGEIFS(Clean_Data!$P$2:$P$1001,Clean_Data!$F$2:$F$1001,$F839,Clean_Data!$W$2:$W$1001,$W839,Clean_Data!$V$2:$V$1001,1))</f>
        <v>183.535714285714</v>
      </c>
      <c r="AM839" s="16">
        <f>IF($V839&lt;&gt;1,"",IFERROR(($P839-$AL839)/SQRT(MAX(0,(SUMIFS(Clean_Data!$AK$2:$AK$1001,Clean_Data!$F$2:$F$1001,$F839,Clean_Data!$W$2:$W$1001,$W839,Clean_Data!$V$2:$V$1001,1)-COUNTIFS(Clean_Data!$F$2:$F$1001,$F839,Clean_Data!$W$2:$W$1001,$W839,Clean_Data!$V$2:$V$1001,1)*$AL839^2)/(COUNTIFS(Clean_Data!$F$2:$F$1001,$F839,Clean_Data!$W$2:$W$1001,$W839,Clean_Data!$V$2:$V$1001,1)-1))),""))</f>
        <v>0.953308367357098</v>
      </c>
      <c r="AN839" s="5" t="str">
        <f>IF($AM839="","",IF($AM839&gt;=Lookups!$K$6,"High spike",IF($AM839&lt;=-Lookups!$K$6,"Unusual low","Normal")))</f>
        <v>Normal</v>
      </c>
      <c r="AO839" s="20">
        <f>IF($V839&lt;&gt;1,"",$P839+ROW()/100000)</f>
        <v>230.00839</v>
      </c>
      <c r="AP839" s="5">
        <f>IF($A839="","",IFERROR(MATCH($A839,Raw_D1!$A$2:$A$1001,0),""))</f>
        <v/>
      </c>
      <c r="AQ839" s="5">
        <f>IF($A839="","",IFERROR(MATCH($A839,Raw_D2!$B$2:$B$1001,0),""))</f>
        <v/>
      </c>
      <c r="AR839" s="5">
        <f>IF($A839="","",IFERROR(MATCH($A839,Raw_D3!$A$2:$A$1001,0),""))</f>
        <v>219</v>
      </c>
    </row>
    <row r="840" spans="1:44" x14ac:dyDescent="0.25">
      <c r="A840" s="5">
        <v>839</v>
      </c>
      <c r="B840" s="11">
        <f>IF($A840="","",IF($AP840&lt;&gt;"",INDEX(Raw_D1!$B$2:$B$1001,$AP840),IF($AR840&lt;&gt;"",INDEX(Raw_D3!$B$2:$B$1001,$AR840),"")))</f>
        <v>40581.0</v>
      </c>
      <c r="C840" s="5">
        <f>IF($A840="","",IF($AP840&lt;&gt;"",INDEX(Raw_D1!$C$2:$C$1001,$AP840),IF($AR840&lt;&gt;"",INDEX(Raw_D3!$C$2:$C$1001,$AR840),"")))</f>
        <v>1</v>
      </c>
      <c r="D840" s="5">
        <f>IF($A840="","",IF($AP840&lt;&gt;"",INDEX(Raw_D1!$D$2:$D$1001,$AP840),IF($AR840&lt;&gt;"",INDEX(Raw_D3!$D$2:$D$1001,$AR840),"")))</f>
        <v>0</v>
      </c>
      <c r="E840" s="5">
        <f>IF($A840="","",IF($AP840&lt;&gt;"",INDEX(Raw_D1!$E$2:$E$1001,$AP840),IF($AR840&lt;&gt;"",INDEX(Raw_D3!$E$2:$E$1001,$AR840),"")))</f>
        <v>2</v>
      </c>
      <c r="F840" s="5">
        <f>IF($A840="","",IF($AP840&lt;&gt;"",INDEX(Raw_D1!$F$2:$F$1001,$AP840),IF($AR840&lt;&gt;"",INDEX(Raw_D3!$F$2:$F$1001,$AR840),"")))</f>
        <v>9</v>
      </c>
      <c r="G840" s="5">
        <f>IF($A840="","",IF($AP840&lt;&gt;"",IF(INDEX(Raw_D1!$G$2:$G$1001,$AP840),1,0),IF($AR840&lt;&gt;"",IF(INDEX(Raw_D3!$G$2:$G$1001,$AR840),1,0),"")))</f>
        <v>0</v>
      </c>
      <c r="H840" s="5">
        <f>IF($A840="","",IF($AP840&lt;&gt;"",INDEX(Raw_D1!$H$2:$H$1001,$AP840),IF($AR840&lt;&gt;"",INDEX(Raw_D3!$H$2:$H$1001,$AR840),"")))</f>
        <v>1</v>
      </c>
      <c r="I840" s="5">
        <f>IF($A840="","",IF($AP840&lt;&gt;"",INDEX(Raw_D1!$I$2:$I$1001,$AP840),IF($AR840&lt;&gt;"",INDEX(Raw_D3!$I$2:$I$1001,$AR840),"")))</f>
        <v>1</v>
      </c>
      <c r="J840" s="16">
        <f>IF($A840="","",IF($AP840&lt;&gt;"",INDEX(Raw_D1!$J$2:$J$1001,$AP840),IF($AR840&lt;&gt;"",INDEX(Raw_D3!$J$2:$J$1001,$AR840),"")))</f>
        <v>0.22</v>
      </c>
      <c r="K840" s="17">
        <f>IF($A840="","",IF($AQ840&lt;&gt;"",IF(INDEX(Raw_D2!$C$2:$C$1001,$AQ840)="","",INDEX(Raw_D2!$C$2:$C$1001,$AQ840)),IF($AR840&lt;&gt;"",IF(INDEX(Raw_D3!$K$2:$K$1001,$AR840)="","",INDEX(Raw_D3!$K$2:$K$1001,$AR840)),"")))</f>
        <v>0.2727</v>
      </c>
      <c r="L840" s="16">
        <f>IF($A840="","",IF($AQ840&lt;&gt;"",IF(INDEX(Raw_D2!$D$2:$D$1001,$AQ840)="","",INDEX(Raw_D2!$D$2:$D$1001,$AQ840)),IF($AR840&lt;&gt;"",IF(INDEX(Raw_D3!$L$2:$L$1001,$AR840)="","",INDEX(Raw_D3!$L$2:$L$1001,$AR840)),"")))</f>
        <v>0.8</v>
      </c>
      <c r="M840" s="17">
        <f>IF($A840="","",IF($AQ840&lt;&gt;"",IF(INDEX(Raw_D2!$E$2:$E$1001,$AQ840)="","",INDEX(Raw_D2!$E$2:$E$1001,$AQ840)),IF($AR840&lt;&gt;"",IF(INDEX(Raw_D3!$M$2:$M$1001,$AR840)="","",INDEX(Raw_D3!$M$2:$M$1001,$AR840)),"")))</f>
        <v>0</v>
      </c>
      <c r="N840" s="5">
        <f>IF($A840="","",IF($AQ840&lt;&gt;"",IF(INDEX(Raw_D2!$F$2:$F$1001,$AQ840)="","",INDEX(Raw_D2!$F$2:$F$1001,$AQ840)),IF($AR840&lt;&gt;"",IF(INDEX(Raw_D3!$N$2:$N$1001,$AR840)="","",INDEX(Raw_D3!$N$2:$N$1001,$AR840)),"")))</f>
        <v>3</v>
      </c>
      <c r="O840" s="5">
        <f>IF($A840="","",IF($AQ840&lt;&gt;"",IF(INDEX(Raw_D2!$G$2:$G$1001,$AQ840)="","",INDEX(Raw_D2!$G$2:$G$1001,$AQ840)),IF($AR840&lt;&gt;"",IF(INDEX(Raw_D3!$O$2:$O$1001,$AR840)="","",INDEX(Raw_D3!$O$2:$O$1001,$AR840)),"")))</f>
        <v>115</v>
      </c>
      <c r="P840" s="5">
        <f>IF($A840="","",IF($AQ840&lt;&gt;"",IF(INDEX(Raw_D2!$H$2:$H$1001,$AQ840)="","",INDEX(Raw_D2!$H$2:$H$1001,$AQ840)),IF($AR840&lt;&gt;"",IF(INDEX(Raw_D3!$P$2:$P$1001,$AR840)="","",INDEX(Raw_D3!$P$2:$P$1001,$AR840)),"")))</f>
        <v>118</v>
      </c>
      <c r="Q840" s="5" t="str">
        <f>IF($A840="","",IF(AND($AP840&lt;&gt;"",$AQ840&lt;&gt;""),"D1+D2",IF($AR840&lt;&gt;"","D3","Incomplete")))</f>
        <v>D3</v>
      </c>
      <c r="R840" s="17">
        <f>IF($A840="","",IF($K840="",IF($J840="","",ROUND(Lookups!$K$5+Lookups!$K$4*$J840,4)),$K840))</f>
        <v>0.2727</v>
      </c>
      <c r="S840" s="5" t="str">
        <f>IF($A840="","",IF($K840="","Imputed","Original"))</f>
        <v>Original</v>
      </c>
      <c r="T840" s="5" t="str">
        <f>IF($A840="","",IF($P840="","Missing",IF($P840=$N840+$O840,"OK","Mismatch")))</f>
        <v>OK</v>
      </c>
      <c r="U840" s="5" t="str">
        <f>IF($A840="","",IF(COUNTIF($A$2:$A840,$A840)&gt;1,"Duplicate","Unique"))</f>
        <v>Unique</v>
      </c>
      <c r="V840" s="5">
        <f>IF($A840="","",IF(AND($U840="Unique",ISNUMBER($P840)),1,0))</f>
        <v>1</v>
      </c>
      <c r="W840" s="5" t="str">
        <f>IF($A840="","",IF(OR($H840=0,$H840=6),"Weekend","Weekday"))</f>
        <v>Weekday</v>
      </c>
      <c r="X840" s="5" t="str">
        <f>IF($A840="","",TEXT($B840,"ddd"))</f>
        <v>Mon</v>
      </c>
      <c r="Y840" s="5" t="str">
        <f>IF($A840="","",TEXT($B840,"mmm"))</f>
        <v>Feb</v>
      </c>
      <c r="Z840" s="5" t="str">
        <f>IF($A840="","",IFERROR(VLOOKUP($C840,Lookups!$D$4:$E$7,2,FALSE),"Unknown"))</f>
        <v>Winter</v>
      </c>
      <c r="AA840" s="5" t="str">
        <f>IF($A840="","",IFERROR(VLOOKUP($I840,Lookups!$A$4:$B$7,2,FALSE),"Unknown"))</f>
        <v>Clear</v>
      </c>
      <c r="AB840" s="5" t="str">
        <f>IF($A840="","",TEXT($F840,"00")&amp;":00")</f>
        <v>09:00</v>
      </c>
      <c r="AC840" s="5" t="str">
        <f>IF($A840="","",VLOOKUP($F840,Lookups!$G$4:$H$8,2,TRUE))</f>
        <v>Morning Peak (06-09)</v>
      </c>
      <c r="AD840" s="18">
        <f>IF($A840="","",IF($J840="","",ROUND($J840*41,1)))</f>
        <v>9</v>
      </c>
      <c r="AE840" s="18">
        <f>IF($A840="","",IF($R840="","",ROUND($R840*50,1)))</f>
        <v>13.6</v>
      </c>
      <c r="AF840" s="5">
        <f>IF($A840="","",IF($L840="","",ROUND($L840*100,0)))</f>
        <v>80</v>
      </c>
      <c r="AG840" s="18">
        <f>IF($A840="","",IF($M840="","",ROUND($M840*67,1)))</f>
        <v>0</v>
      </c>
      <c r="AH840" s="19">
        <f>IF($A840="","",IF($P840="","",IF($P840=0,0,$O840/$P840)))</f>
        <v>0.974576271186441</v>
      </c>
      <c r="AI840" s="5" t="str">
        <f>IF($A840="","",IF($P840="","",IF($P840&gt;=Lookups!$K$7,"High",IF($P840&lt;=Lookups!$K$8,"Low","Medium"))))</f>
        <v>High</v>
      </c>
      <c r="AJ840" s="5" t="str">
        <f>IF($A840="","",IF($AD840="","",IF($AD840&lt;5,"Under 5 C",IF($AD840&lt;10,"5-10 C",IF($AD840&lt;15,"10-15 C","15 C and above")))))</f>
        <v>5-10 C</v>
      </c>
      <c r="AK840" s="5">
        <f>IF($A840="","",IF($P840="","",$P840^2))</f>
        <v>13924</v>
      </c>
      <c r="AL840" s="18">
        <f>IF($V840&lt;&gt;1,"",AVERAGEIFS(Clean_Data!$P$2:$P$1001,Clean_Data!$F$2:$F$1001,$F840,Clean_Data!$W$2:$W$1001,$W840,Clean_Data!$V$2:$V$1001,1))</f>
        <v>115.678571428571</v>
      </c>
      <c r="AM840" s="16">
        <f>IF($V840&lt;&gt;1,"",IFERROR(($P840-$AL840)/SQRT(MAX(0,(SUMIFS(Clean_Data!$AK$2:$AK$1001,Clean_Data!$F$2:$F$1001,$F840,Clean_Data!$W$2:$W$1001,$W840,Clean_Data!$V$2:$V$1001,1)-COUNTIFS(Clean_Data!$F$2:$F$1001,$F840,Clean_Data!$W$2:$W$1001,$W840,Clean_Data!$V$2:$V$1001,1)*$AL840^2)/(COUNTIFS(Clean_Data!$F$2:$F$1001,$F840,Clean_Data!$W$2:$W$1001,$W840,Clean_Data!$V$2:$V$1001,1)-1))),""))</f>
        <v>0.090053476737384</v>
      </c>
      <c r="AN840" s="5" t="str">
        <f>IF($AM840="","",IF($AM840&gt;=Lookups!$K$6,"High spike",IF($AM840&lt;=-Lookups!$K$6,"Unusual low","Normal")))</f>
        <v>Normal</v>
      </c>
      <c r="AO840" s="20">
        <f>IF($V840&lt;&gt;1,"",$P840+ROW()/100000)</f>
        <v>118.0084</v>
      </c>
      <c r="AP840" s="5">
        <f>IF($A840="","",IFERROR(MATCH($A840,Raw_D1!$A$2:$A$1001,0),""))</f>
        <v/>
      </c>
      <c r="AQ840" s="5">
        <f>IF($A840="","",IFERROR(MATCH($A840,Raw_D2!$B$2:$B$1001,0),""))</f>
        <v/>
      </c>
      <c r="AR840" s="5">
        <f>IF($A840="","",IFERROR(MATCH($A840,Raw_D3!$A$2:$A$1001,0),""))</f>
        <v>220</v>
      </c>
    </row>
    <row r="841" spans="1:44" x14ac:dyDescent="0.25">
      <c r="A841" s="5">
        <v>840</v>
      </c>
      <c r="B841" s="11">
        <f>IF($A841="","",IF($AP841&lt;&gt;"",INDEX(Raw_D1!$B$2:$B$1001,$AP841),IF($AR841&lt;&gt;"",INDEX(Raw_D3!$B$2:$B$1001,$AR841),"")))</f>
        <v>40581.0</v>
      </c>
      <c r="C841" s="5">
        <f>IF($A841="","",IF($AP841&lt;&gt;"",INDEX(Raw_D1!$C$2:$C$1001,$AP841),IF($AR841&lt;&gt;"",INDEX(Raw_D3!$C$2:$C$1001,$AR841),"")))</f>
        <v>1</v>
      </c>
      <c r="D841" s="5">
        <f>IF($A841="","",IF($AP841&lt;&gt;"",INDEX(Raw_D1!$D$2:$D$1001,$AP841),IF($AR841&lt;&gt;"",INDEX(Raw_D3!$D$2:$D$1001,$AR841),"")))</f>
        <v>0</v>
      </c>
      <c r="E841" s="5">
        <f>IF($A841="","",IF($AP841&lt;&gt;"",INDEX(Raw_D1!$E$2:$E$1001,$AP841),IF($AR841&lt;&gt;"",INDEX(Raw_D3!$E$2:$E$1001,$AR841),"")))</f>
        <v>2</v>
      </c>
      <c r="F841" s="5">
        <f>IF($A841="","",IF($AP841&lt;&gt;"",INDEX(Raw_D1!$F$2:$F$1001,$AP841),IF($AR841&lt;&gt;"",INDEX(Raw_D3!$F$2:$F$1001,$AR841),"")))</f>
        <v>10</v>
      </c>
      <c r="G841" s="5">
        <f>IF($A841="","",IF($AP841&lt;&gt;"",IF(INDEX(Raw_D1!$G$2:$G$1001,$AP841),1,0),IF($AR841&lt;&gt;"",IF(INDEX(Raw_D3!$G$2:$G$1001,$AR841),1,0),"")))</f>
        <v>0</v>
      </c>
      <c r="H841" s="5">
        <f>IF($A841="","",IF($AP841&lt;&gt;"",INDEX(Raw_D1!$H$2:$H$1001,$AP841),IF($AR841&lt;&gt;"",INDEX(Raw_D3!$H$2:$H$1001,$AR841),"")))</f>
        <v>1</v>
      </c>
      <c r="I841" s="5">
        <f>IF($A841="","",IF($AP841&lt;&gt;"",INDEX(Raw_D1!$I$2:$I$1001,$AP841),IF($AR841&lt;&gt;"",INDEX(Raw_D3!$I$2:$I$1001,$AR841),"")))</f>
        <v>1</v>
      </c>
      <c r="J841" s="16">
        <f>IF($A841="","",IF($AP841&lt;&gt;"",INDEX(Raw_D1!$J$2:$J$1001,$AP841),IF($AR841&lt;&gt;"",INDEX(Raw_D3!$J$2:$J$1001,$AR841),"")))</f>
        <v>0.24</v>
      </c>
      <c r="K841" s="17">
        <f>IF($A841="","",IF($AQ841&lt;&gt;"",IF(INDEX(Raw_D2!$C$2:$C$1001,$AQ841)="","",INDEX(Raw_D2!$C$2:$C$1001,$AQ841)),IF($AR841&lt;&gt;"",IF(INDEX(Raw_D3!$K$2:$K$1001,$AR841)="","",INDEX(Raw_D3!$K$2:$K$1001,$AR841)),"")))</f>
        <v>0.2576</v>
      </c>
      <c r="L841" s="16">
        <f>IF($A841="","",IF($AQ841&lt;&gt;"",IF(INDEX(Raw_D2!$D$2:$D$1001,$AQ841)="","",INDEX(Raw_D2!$D$2:$D$1001,$AQ841)),IF($AR841&lt;&gt;"",IF(INDEX(Raw_D3!$L$2:$L$1001,$AR841)="","",INDEX(Raw_D3!$L$2:$L$1001,$AR841)),"")))</f>
        <v>0.75</v>
      </c>
      <c r="M841" s="17">
        <f>IF($A841="","",IF($AQ841&lt;&gt;"",IF(INDEX(Raw_D2!$E$2:$E$1001,$AQ841)="","",INDEX(Raw_D2!$E$2:$E$1001,$AQ841)),IF($AR841&lt;&gt;"",IF(INDEX(Raw_D3!$M$2:$M$1001,$AR841)="","",INDEX(Raw_D3!$M$2:$M$1001,$AR841)),"")))</f>
        <v>0.1045</v>
      </c>
      <c r="N841" s="5">
        <f>IF($A841="","",IF($AQ841&lt;&gt;"",IF(INDEX(Raw_D2!$F$2:$F$1001,$AQ841)="","",INDEX(Raw_D2!$F$2:$F$1001,$AQ841)),IF($AR841&lt;&gt;"",IF(INDEX(Raw_D3!$N$2:$N$1001,$AR841)="","",INDEX(Raw_D3!$N$2:$N$1001,$AR841)),"")))</f>
        <v>6</v>
      </c>
      <c r="O841" s="5">
        <f>IF($A841="","",IF($AQ841&lt;&gt;"",IF(INDEX(Raw_D2!$G$2:$G$1001,$AQ841)="","",INDEX(Raw_D2!$G$2:$G$1001,$AQ841)),IF($AR841&lt;&gt;"",IF(INDEX(Raw_D3!$O$2:$O$1001,$AR841)="","",INDEX(Raw_D3!$O$2:$O$1001,$AR841)),"")))</f>
        <v>49</v>
      </c>
      <c r="P841" s="5">
        <f>IF($A841="","",IF($AQ841&lt;&gt;"",IF(INDEX(Raw_D2!$H$2:$H$1001,$AQ841)="","",INDEX(Raw_D2!$H$2:$H$1001,$AQ841)),IF($AR841&lt;&gt;"",IF(INDEX(Raw_D3!$P$2:$P$1001,$AR841)="","",INDEX(Raw_D3!$P$2:$P$1001,$AR841)),"")))</f>
        <v>55</v>
      </c>
      <c r="Q841" s="5" t="str">
        <f>IF($A841="","",IF(AND($AP841&lt;&gt;"",$AQ841&lt;&gt;""),"D1+D2",IF($AR841&lt;&gt;"","D3","Incomplete")))</f>
        <v>D3</v>
      </c>
      <c r="R841" s="17">
        <f>IF($A841="","",IF($K841="",IF($J841="","",ROUND(Lookups!$K$5+Lookups!$K$4*$J841,4)),$K841))</f>
        <v>0.2576</v>
      </c>
      <c r="S841" s="5" t="str">
        <f>IF($A841="","",IF($K841="","Imputed","Original"))</f>
        <v>Original</v>
      </c>
      <c r="T841" s="5" t="str">
        <f>IF($A841="","",IF($P841="","Missing",IF($P841=$N841+$O841,"OK","Mismatch")))</f>
        <v>OK</v>
      </c>
      <c r="U841" s="5" t="str">
        <f>IF($A841="","",IF(COUNTIF($A$2:$A841,$A841)&gt;1,"Duplicate","Unique"))</f>
        <v>Unique</v>
      </c>
      <c r="V841" s="5">
        <f>IF($A841="","",IF(AND($U841="Unique",ISNUMBER($P841)),1,0))</f>
        <v>1</v>
      </c>
      <c r="W841" s="5" t="str">
        <f>IF($A841="","",IF(OR($H841=0,$H841=6),"Weekend","Weekday"))</f>
        <v>Weekday</v>
      </c>
      <c r="X841" s="5" t="str">
        <f>IF($A841="","",TEXT($B841,"ddd"))</f>
        <v>Mon</v>
      </c>
      <c r="Y841" s="5" t="str">
        <f>IF($A841="","",TEXT($B841,"mmm"))</f>
        <v>Feb</v>
      </c>
      <c r="Z841" s="5" t="str">
        <f>IF($A841="","",IFERROR(VLOOKUP($C841,Lookups!$D$4:$E$7,2,FALSE),"Unknown"))</f>
        <v>Winter</v>
      </c>
      <c r="AA841" s="5" t="str">
        <f>IF($A841="","",IFERROR(VLOOKUP($I841,Lookups!$A$4:$B$7,2,FALSE),"Unknown"))</f>
        <v>Clear</v>
      </c>
      <c r="AB841" s="5" t="str">
        <f>IF($A841="","",TEXT($F841,"00")&amp;":00")</f>
        <v>10:00</v>
      </c>
      <c r="AC841" s="5" t="str">
        <f>IF($A841="","",VLOOKUP($F841,Lookups!$G$4:$H$8,2,TRUE))</f>
        <v>Midday (10-15)</v>
      </c>
      <c r="AD841" s="18">
        <f>IF($A841="","",IF($J841="","",ROUND($J841*41,1)))</f>
        <v>9.8</v>
      </c>
      <c r="AE841" s="18">
        <f>IF($A841="","",IF($R841="","",ROUND($R841*50,1)))</f>
        <v>12.9</v>
      </c>
      <c r="AF841" s="5">
        <f>IF($A841="","",IF($L841="","",ROUND($L841*100,0)))</f>
        <v>75</v>
      </c>
      <c r="AG841" s="18">
        <f>IF($A841="","",IF($M841="","",ROUND($M841*67,1)))</f>
        <v>7</v>
      </c>
      <c r="AH841" s="19">
        <f>IF($A841="","",IF($P841="","",IF($P841=0,0,$O841/$P841)))</f>
        <v>0.890909090909091</v>
      </c>
      <c r="AI841" s="5" t="str">
        <f>IF($A841="","",IF($P841="","",IF($P841&gt;=Lookups!$K$7,"High",IF($P841&lt;=Lookups!$K$8,"Low","Medium"))))</f>
        <v>Medium</v>
      </c>
      <c r="AJ841" s="5" t="str">
        <f>IF($A841="","",IF($AD841="","",IF($AD841&lt;5,"Under 5 C",IF($AD841&lt;10,"5-10 C",IF($AD841&lt;15,"10-15 C","15 C and above")))))</f>
        <v>5-10 C</v>
      </c>
      <c r="AK841" s="5">
        <f>IF($A841="","",IF($P841="","",$P841^2))</f>
        <v>3025</v>
      </c>
      <c r="AL841" s="18">
        <f>IF($V841&lt;&gt;1,"",AVERAGEIFS(Clean_Data!$P$2:$P$1001,Clean_Data!$F$2:$F$1001,$F841,Clean_Data!$W$2:$W$1001,$W841,Clean_Data!$V$2:$V$1001,1))</f>
        <v>49.0714285714286</v>
      </c>
      <c r="AM841" s="16">
        <f>IF($V841&lt;&gt;1,"",IFERROR(($P841-$AL841)/SQRT(MAX(0,(SUMIFS(Clean_Data!$AK$2:$AK$1001,Clean_Data!$F$2:$F$1001,$F841,Clean_Data!$W$2:$W$1001,$W841,Clean_Data!$V$2:$V$1001,1)-COUNTIFS(Clean_Data!$F$2:$F$1001,$F841,Clean_Data!$W$2:$W$1001,$W841,Clean_Data!$V$2:$V$1001,1)*$AL841^2)/(COUNTIFS(Clean_Data!$F$2:$F$1001,$F841,Clean_Data!$W$2:$W$1001,$W841,Clean_Data!$V$2:$V$1001,1)-1))),""))</f>
        <v>0.587458067813131</v>
      </c>
      <c r="AN841" s="5" t="str">
        <f>IF($AM841="","",IF($AM841&gt;=Lookups!$K$6,"High spike",IF($AM841&lt;=-Lookups!$K$6,"Unusual low","Normal")))</f>
        <v>Normal</v>
      </c>
      <c r="AO841" s="20">
        <f>IF($V841&lt;&gt;1,"",$P841+ROW()/100000)</f>
        <v>55.00841</v>
      </c>
      <c r="AP841" s="5">
        <f>IF($A841="","",IFERROR(MATCH($A841,Raw_D1!$A$2:$A$1001,0),""))</f>
        <v/>
      </c>
      <c r="AQ841" s="5">
        <f>IF($A841="","",IFERROR(MATCH($A841,Raw_D2!$B$2:$B$1001,0),""))</f>
        <v/>
      </c>
      <c r="AR841" s="5">
        <f>IF($A841="","",IFERROR(MATCH($A841,Raw_D3!$A$2:$A$1001,0),""))</f>
        <v>221</v>
      </c>
    </row>
    <row r="842" spans="1:44" x14ac:dyDescent="0.25">
      <c r="A842" s="5">
        <v>841</v>
      </c>
      <c r="B842" s="11">
        <f>IF($A842="","",IF($AP842&lt;&gt;"",INDEX(Raw_D1!$B$2:$B$1001,$AP842),IF($AR842&lt;&gt;"",INDEX(Raw_D3!$B$2:$B$1001,$AR842),"")))</f>
        <v>40581.0</v>
      </c>
      <c r="C842" s="5">
        <f>IF($A842="","",IF($AP842&lt;&gt;"",INDEX(Raw_D1!$C$2:$C$1001,$AP842),IF($AR842&lt;&gt;"",INDEX(Raw_D3!$C$2:$C$1001,$AR842),"")))</f>
        <v>1</v>
      </c>
      <c r="D842" s="5">
        <f>IF($A842="","",IF($AP842&lt;&gt;"",INDEX(Raw_D1!$D$2:$D$1001,$AP842),IF($AR842&lt;&gt;"",INDEX(Raw_D3!$D$2:$D$1001,$AR842),"")))</f>
        <v>0</v>
      </c>
      <c r="E842" s="5">
        <f>IF($A842="","",IF($AP842&lt;&gt;"",INDEX(Raw_D1!$E$2:$E$1001,$AP842),IF($AR842&lt;&gt;"",INDEX(Raw_D3!$E$2:$E$1001,$AR842),"")))</f>
        <v>2</v>
      </c>
      <c r="F842" s="5">
        <f>IF($A842="","",IF($AP842&lt;&gt;"",INDEX(Raw_D1!$F$2:$F$1001,$AP842),IF($AR842&lt;&gt;"",INDEX(Raw_D3!$F$2:$F$1001,$AR842),"")))</f>
        <v>11</v>
      </c>
      <c r="G842" s="5">
        <f>IF($A842="","",IF($AP842&lt;&gt;"",IF(INDEX(Raw_D1!$G$2:$G$1001,$AP842),1,0),IF($AR842&lt;&gt;"",IF(INDEX(Raw_D3!$G$2:$G$1001,$AR842),1,0),"")))</f>
        <v>0</v>
      </c>
      <c r="H842" s="5">
        <f>IF($A842="","",IF($AP842&lt;&gt;"",INDEX(Raw_D1!$H$2:$H$1001,$AP842),IF($AR842&lt;&gt;"",INDEX(Raw_D3!$H$2:$H$1001,$AR842),"")))</f>
        <v>1</v>
      </c>
      <c r="I842" s="5">
        <f>IF($A842="","",IF($AP842&lt;&gt;"",INDEX(Raw_D1!$I$2:$I$1001,$AP842),IF($AR842&lt;&gt;"",INDEX(Raw_D3!$I$2:$I$1001,$AR842),"")))</f>
        <v>1</v>
      </c>
      <c r="J842" s="16">
        <f>IF($A842="","",IF($AP842&lt;&gt;"",INDEX(Raw_D1!$J$2:$J$1001,$AP842),IF($AR842&lt;&gt;"",INDEX(Raw_D3!$J$2:$J$1001,$AR842),"")))</f>
        <v>0.3</v>
      </c>
      <c r="K842" s="17">
        <f>IF($A842="","",IF($AQ842&lt;&gt;"",IF(INDEX(Raw_D2!$C$2:$C$1001,$AQ842)="","",INDEX(Raw_D2!$C$2:$C$1001,$AQ842)),IF($AR842&lt;&gt;"",IF(INDEX(Raw_D3!$K$2:$K$1001,$AR842)="","",INDEX(Raw_D3!$K$2:$K$1001,$AR842)),"")))</f>
        <v>0.3182</v>
      </c>
      <c r="L842" s="16">
        <f>IF($A842="","",IF($AQ842&lt;&gt;"",IF(INDEX(Raw_D2!$D$2:$D$1001,$AQ842)="","",INDEX(Raw_D2!$D$2:$D$1001,$AQ842)),IF($AR842&lt;&gt;"",IF(INDEX(Raw_D3!$L$2:$L$1001,$AR842)="","",INDEX(Raw_D3!$L$2:$L$1001,$AR842)),"")))</f>
        <v>0.65</v>
      </c>
      <c r="M842" s="17">
        <f>IF($A842="","",IF($AQ842&lt;&gt;"",IF(INDEX(Raw_D2!$E$2:$E$1001,$AQ842)="","",INDEX(Raw_D2!$E$2:$E$1001,$AQ842)),IF($AR842&lt;&gt;"",IF(INDEX(Raw_D3!$M$2:$M$1001,$AR842)="","",INDEX(Raw_D3!$M$2:$M$1001,$AR842)),"")))</f>
        <v>0.0896</v>
      </c>
      <c r="N842" s="5">
        <f>IF($A842="","",IF($AQ842&lt;&gt;"",IF(INDEX(Raw_D2!$F$2:$F$1001,$AQ842)="","",INDEX(Raw_D2!$F$2:$F$1001,$AQ842)),IF($AR842&lt;&gt;"",IF(INDEX(Raw_D3!$N$2:$N$1001,$AR842)="","",INDEX(Raw_D3!$N$2:$N$1001,$AR842)),"")))</f>
        <v>11</v>
      </c>
      <c r="O842" s="5">
        <f>IF($A842="","",IF($AQ842&lt;&gt;"",IF(INDEX(Raw_D2!$G$2:$G$1001,$AQ842)="","",INDEX(Raw_D2!$G$2:$G$1001,$AQ842)),IF($AR842&lt;&gt;"",IF(INDEX(Raw_D3!$O$2:$O$1001,$AR842)="","",INDEX(Raw_D3!$O$2:$O$1001,$AR842)),"")))</f>
        <v>36</v>
      </c>
      <c r="P842" s="5">
        <f>IF($A842="","",IF($AQ842&lt;&gt;"",IF(INDEX(Raw_D2!$H$2:$H$1001,$AQ842)="","",INDEX(Raw_D2!$H$2:$H$1001,$AQ842)),IF($AR842&lt;&gt;"",IF(INDEX(Raw_D3!$P$2:$P$1001,$AR842)="","",INDEX(Raw_D3!$P$2:$P$1001,$AR842)),"")))</f>
        <v>47</v>
      </c>
      <c r="Q842" s="5" t="str">
        <f>IF($A842="","",IF(AND($AP842&lt;&gt;"",$AQ842&lt;&gt;""),"D1+D2",IF($AR842&lt;&gt;"","D3","Incomplete")))</f>
        <v>D3</v>
      </c>
      <c r="R842" s="17">
        <f>IF($A842="","",IF($K842="",IF($J842="","",ROUND(Lookups!$K$5+Lookups!$K$4*$J842,4)),$K842))</f>
        <v>0.3182</v>
      </c>
      <c r="S842" s="5" t="str">
        <f>IF($A842="","",IF($K842="","Imputed","Original"))</f>
        <v>Original</v>
      </c>
      <c r="T842" s="5" t="str">
        <f>IF($A842="","",IF($P842="","Missing",IF($P842=$N842+$O842,"OK","Mismatch")))</f>
        <v>OK</v>
      </c>
      <c r="U842" s="5" t="str">
        <f>IF($A842="","",IF(COUNTIF($A$2:$A842,$A842)&gt;1,"Duplicate","Unique"))</f>
        <v>Unique</v>
      </c>
      <c r="V842" s="5">
        <f>IF($A842="","",IF(AND($U842="Unique",ISNUMBER($P842)),1,0))</f>
        <v>1</v>
      </c>
      <c r="W842" s="5" t="str">
        <f>IF($A842="","",IF(OR($H842=0,$H842=6),"Weekend","Weekday"))</f>
        <v>Weekday</v>
      </c>
      <c r="X842" s="5" t="str">
        <f>IF($A842="","",TEXT($B842,"ddd"))</f>
        <v>Mon</v>
      </c>
      <c r="Y842" s="5" t="str">
        <f>IF($A842="","",TEXT($B842,"mmm"))</f>
        <v>Feb</v>
      </c>
      <c r="Z842" s="5" t="str">
        <f>IF($A842="","",IFERROR(VLOOKUP($C842,Lookups!$D$4:$E$7,2,FALSE),"Unknown"))</f>
        <v>Winter</v>
      </c>
      <c r="AA842" s="5" t="str">
        <f>IF($A842="","",IFERROR(VLOOKUP($I842,Lookups!$A$4:$B$7,2,FALSE),"Unknown"))</f>
        <v>Clear</v>
      </c>
      <c r="AB842" s="5" t="str">
        <f>IF($A842="","",TEXT($F842,"00")&amp;":00")</f>
        <v>11:00</v>
      </c>
      <c r="AC842" s="5" t="str">
        <f>IF($A842="","",VLOOKUP($F842,Lookups!$G$4:$H$8,2,TRUE))</f>
        <v>Midday (10-15)</v>
      </c>
      <c r="AD842" s="18">
        <f>IF($A842="","",IF($J842="","",ROUND($J842*41,1)))</f>
        <v>12.3</v>
      </c>
      <c r="AE842" s="18">
        <f>IF($A842="","",IF($R842="","",ROUND($R842*50,1)))</f>
        <v>15.9</v>
      </c>
      <c r="AF842" s="5">
        <f>IF($A842="","",IF($L842="","",ROUND($L842*100,0)))</f>
        <v>65</v>
      </c>
      <c r="AG842" s="18">
        <f>IF($A842="","",IF($M842="","",ROUND($M842*67,1)))</f>
        <v>6</v>
      </c>
      <c r="AH842" s="19">
        <f>IF($A842="","",IF($P842="","",IF($P842=0,0,$O842/$P842)))</f>
        <v>0.765957446808511</v>
      </c>
      <c r="AI842" s="5" t="str">
        <f>IF($A842="","",IF($P842="","",IF($P842&gt;=Lookups!$K$7,"High",IF($P842&lt;=Lookups!$K$8,"Low","Medium"))))</f>
        <v>Medium</v>
      </c>
      <c r="AJ842" s="5" t="str">
        <f>IF($A842="","",IF($AD842="","",IF($AD842&lt;5,"Under 5 C",IF($AD842&lt;10,"5-10 C",IF($AD842&lt;15,"10-15 C","15 C and above")))))</f>
        <v>10-15 C</v>
      </c>
      <c r="AK842" s="5">
        <f>IF($A842="","",IF($P842="","",$P842^2))</f>
        <v>2209</v>
      </c>
      <c r="AL842" s="18">
        <f>IF($V842&lt;&gt;1,"",AVERAGEIFS(Clean_Data!$P$2:$P$1001,Clean_Data!$F$2:$F$1001,$F842,Clean_Data!$W$2:$W$1001,$W842,Clean_Data!$V$2:$V$1001,1))</f>
        <v>50.6071428571429</v>
      </c>
      <c r="AM842" s="16">
        <f>IF($V842&lt;&gt;1,"",IFERROR(($P842-$AL842)/SQRT(MAX(0,(SUMIFS(Clean_Data!$AK$2:$AK$1001,Clean_Data!$F$2:$F$1001,$F842,Clean_Data!$W$2:$W$1001,$W842,Clean_Data!$V$2:$V$1001,1)-COUNTIFS(Clean_Data!$F$2:$F$1001,$F842,Clean_Data!$W$2:$W$1001,$W842,Clean_Data!$V$2:$V$1001,1)*$AL842^2)/(COUNTIFS(Clean_Data!$F$2:$F$1001,$F842,Clean_Data!$W$2:$W$1001,$W842,Clean_Data!$V$2:$V$1001,1)-1))),""))</f>
        <v>-0.321980845396453</v>
      </c>
      <c r="AN842" s="5" t="str">
        <f>IF($AM842="","",IF($AM842&gt;=Lookups!$K$6,"High spike",IF($AM842&lt;=-Lookups!$K$6,"Unusual low","Normal")))</f>
        <v>Normal</v>
      </c>
      <c r="AO842" s="20">
        <f>IF($V842&lt;&gt;1,"",$P842+ROW()/100000)</f>
        <v>47.00842</v>
      </c>
      <c r="AP842" s="5">
        <f>IF($A842="","",IFERROR(MATCH($A842,Raw_D1!$A$2:$A$1001,0),""))</f>
        <v/>
      </c>
      <c r="AQ842" s="5">
        <f>IF($A842="","",IFERROR(MATCH($A842,Raw_D2!$B$2:$B$1001,0),""))</f>
        <v/>
      </c>
      <c r="AR842" s="5">
        <f>IF($A842="","",IFERROR(MATCH($A842,Raw_D3!$A$2:$A$1001,0),""))</f>
        <v>222</v>
      </c>
    </row>
    <row r="843" spans="1:44" x14ac:dyDescent="0.25">
      <c r="A843" s="5">
        <v>842</v>
      </c>
      <c r="B843" s="11">
        <f>IF($A843="","",IF($AP843&lt;&gt;"",INDEX(Raw_D1!$B$2:$B$1001,$AP843),IF($AR843&lt;&gt;"",INDEX(Raw_D3!$B$2:$B$1001,$AR843),"")))</f>
        <v>40581.0</v>
      </c>
      <c r="C843" s="5">
        <f>IF($A843="","",IF($AP843&lt;&gt;"",INDEX(Raw_D1!$C$2:$C$1001,$AP843),IF($AR843&lt;&gt;"",INDEX(Raw_D3!$C$2:$C$1001,$AR843),"")))</f>
        <v>1</v>
      </c>
      <c r="D843" s="5">
        <f>IF($A843="","",IF($AP843&lt;&gt;"",INDEX(Raw_D1!$D$2:$D$1001,$AP843),IF($AR843&lt;&gt;"",INDEX(Raw_D3!$D$2:$D$1001,$AR843),"")))</f>
        <v>0</v>
      </c>
      <c r="E843" s="5">
        <f>IF($A843="","",IF($AP843&lt;&gt;"",INDEX(Raw_D1!$E$2:$E$1001,$AP843),IF($AR843&lt;&gt;"",INDEX(Raw_D3!$E$2:$E$1001,$AR843),"")))</f>
        <v>2</v>
      </c>
      <c r="F843" s="5">
        <f>IF($A843="","",IF($AP843&lt;&gt;"",INDEX(Raw_D1!$F$2:$F$1001,$AP843),IF($AR843&lt;&gt;"",INDEX(Raw_D3!$F$2:$F$1001,$AR843),"")))</f>
        <v>12</v>
      </c>
      <c r="G843" s="5">
        <f>IF($A843="","",IF($AP843&lt;&gt;"",IF(INDEX(Raw_D1!$G$2:$G$1001,$AP843),1,0),IF($AR843&lt;&gt;"",IF(INDEX(Raw_D3!$G$2:$G$1001,$AR843),1,0),"")))</f>
        <v>0</v>
      </c>
      <c r="H843" s="5">
        <f>IF($A843="","",IF($AP843&lt;&gt;"",INDEX(Raw_D1!$H$2:$H$1001,$AP843),IF($AR843&lt;&gt;"",INDEX(Raw_D3!$H$2:$H$1001,$AR843),"")))</f>
        <v>1</v>
      </c>
      <c r="I843" s="5">
        <f>IF($A843="","",IF($AP843&lt;&gt;"",INDEX(Raw_D1!$I$2:$I$1001,$AP843),IF($AR843&lt;&gt;"",INDEX(Raw_D3!$I$2:$I$1001,$AR843),"")))</f>
        <v>2</v>
      </c>
      <c r="J843" s="16">
        <f>IF($A843="","",IF($AP843&lt;&gt;"",INDEX(Raw_D1!$J$2:$J$1001,$AP843),IF($AR843&lt;&gt;"",INDEX(Raw_D3!$J$2:$J$1001,$AR843),"")))</f>
        <v>0.32</v>
      </c>
      <c r="K843" s="17">
        <f>IF($A843="","",IF($AQ843&lt;&gt;"",IF(INDEX(Raw_D2!$C$2:$C$1001,$AQ843)="","",INDEX(Raw_D2!$C$2:$C$1001,$AQ843)),IF($AR843&lt;&gt;"",IF(INDEX(Raw_D3!$K$2:$K$1001,$AR843)="","",INDEX(Raw_D3!$K$2:$K$1001,$AR843)),"")))</f>
        <v>0.3485</v>
      </c>
      <c r="L843" s="16">
        <f>IF($A843="","",IF($AQ843&lt;&gt;"",IF(INDEX(Raw_D2!$D$2:$D$1001,$AQ843)="","",INDEX(Raw_D2!$D$2:$D$1001,$AQ843)),IF($AR843&lt;&gt;"",IF(INDEX(Raw_D3!$L$2:$L$1001,$AR843)="","",INDEX(Raw_D3!$L$2:$L$1001,$AR843)),"")))</f>
        <v>0.62</v>
      </c>
      <c r="M843" s="17">
        <f>IF($A843="","",IF($AQ843&lt;&gt;"",IF(INDEX(Raw_D2!$E$2:$E$1001,$AQ843)="","",INDEX(Raw_D2!$E$2:$E$1001,$AQ843)),IF($AR843&lt;&gt;"",IF(INDEX(Raw_D3!$M$2:$M$1001,$AR843)="","",INDEX(Raw_D3!$M$2:$M$1001,$AR843)),"")))</f>
        <v>0</v>
      </c>
      <c r="N843" s="5">
        <f>IF($A843="","",IF($AQ843&lt;&gt;"",IF(INDEX(Raw_D2!$F$2:$F$1001,$AQ843)="","",INDEX(Raw_D2!$F$2:$F$1001,$AQ843)),IF($AR843&lt;&gt;"",IF(INDEX(Raw_D3!$N$2:$N$1001,$AR843)="","",INDEX(Raw_D3!$N$2:$N$1001,$AR843)),"")))</f>
        <v>7</v>
      </c>
      <c r="O843" s="5">
        <f>IF($A843="","",IF($AQ843&lt;&gt;"",IF(INDEX(Raw_D2!$G$2:$G$1001,$AQ843)="","",INDEX(Raw_D2!$G$2:$G$1001,$AQ843)),IF($AR843&lt;&gt;"",IF(INDEX(Raw_D3!$O$2:$O$1001,$AR843)="","",INDEX(Raw_D3!$O$2:$O$1001,$AR843)),"")))</f>
        <v>59</v>
      </c>
      <c r="P843" s="5">
        <f>IF($A843="","",IF($AQ843&lt;&gt;"",IF(INDEX(Raw_D2!$H$2:$H$1001,$AQ843)="","",INDEX(Raw_D2!$H$2:$H$1001,$AQ843)),IF($AR843&lt;&gt;"",IF(INDEX(Raw_D3!$P$2:$P$1001,$AR843)="","",INDEX(Raw_D3!$P$2:$P$1001,$AR843)),"")))</f>
        <v>66</v>
      </c>
      <c r="Q843" s="5" t="str">
        <f>IF($A843="","",IF(AND($AP843&lt;&gt;"",$AQ843&lt;&gt;""),"D1+D2",IF($AR843&lt;&gt;"","D3","Incomplete")))</f>
        <v>D3</v>
      </c>
      <c r="R843" s="17">
        <f>IF($A843="","",IF($K843="",IF($J843="","",ROUND(Lookups!$K$5+Lookups!$K$4*$J843,4)),$K843))</f>
        <v>0.3485</v>
      </c>
      <c r="S843" s="5" t="str">
        <f>IF($A843="","",IF($K843="","Imputed","Original"))</f>
        <v>Original</v>
      </c>
      <c r="T843" s="5" t="str">
        <f>IF($A843="","",IF($P843="","Missing",IF($P843=$N843+$O843,"OK","Mismatch")))</f>
        <v>OK</v>
      </c>
      <c r="U843" s="5" t="str">
        <f>IF($A843="","",IF(COUNTIF($A$2:$A843,$A843)&gt;1,"Duplicate","Unique"))</f>
        <v>Unique</v>
      </c>
      <c r="V843" s="5">
        <f>IF($A843="","",IF(AND($U843="Unique",ISNUMBER($P843)),1,0))</f>
        <v>1</v>
      </c>
      <c r="W843" s="5" t="str">
        <f>IF($A843="","",IF(OR($H843=0,$H843=6),"Weekend","Weekday"))</f>
        <v>Weekday</v>
      </c>
      <c r="X843" s="5" t="str">
        <f>IF($A843="","",TEXT($B843,"ddd"))</f>
        <v>Mon</v>
      </c>
      <c r="Y843" s="5" t="str">
        <f>IF($A843="","",TEXT($B843,"mmm"))</f>
        <v>Feb</v>
      </c>
      <c r="Z843" s="5" t="str">
        <f>IF($A843="","",IFERROR(VLOOKUP($C843,Lookups!$D$4:$E$7,2,FALSE),"Unknown"))</f>
        <v>Winter</v>
      </c>
      <c r="AA843" s="5" t="str">
        <f>IF($A843="","",IFERROR(VLOOKUP($I843,Lookups!$A$4:$B$7,2,FALSE),"Unknown"))</f>
        <v>Mist/Cloudy</v>
      </c>
      <c r="AB843" s="5" t="str">
        <f>IF($A843="","",TEXT($F843,"00")&amp;":00")</f>
        <v>12:00</v>
      </c>
      <c r="AC843" s="5" t="str">
        <f>IF($A843="","",VLOOKUP($F843,Lookups!$G$4:$H$8,2,TRUE))</f>
        <v>Midday (10-15)</v>
      </c>
      <c r="AD843" s="18">
        <f>IF($A843="","",IF($J843="","",ROUND($J843*41,1)))</f>
        <v>13.1</v>
      </c>
      <c r="AE843" s="18">
        <f>IF($A843="","",IF($R843="","",ROUND($R843*50,1)))</f>
        <v>17.4</v>
      </c>
      <c r="AF843" s="5">
        <f>IF($A843="","",IF($L843="","",ROUND($L843*100,0)))</f>
        <v>62</v>
      </c>
      <c r="AG843" s="18">
        <f>IF($A843="","",IF($M843="","",ROUND($M843*67,1)))</f>
        <v>0</v>
      </c>
      <c r="AH843" s="19">
        <f>IF($A843="","",IF($P843="","",IF($P843=0,0,$O843/$P843)))</f>
        <v>0.893939393939394</v>
      </c>
      <c r="AI843" s="5" t="str">
        <f>IF($A843="","",IF($P843="","",IF($P843&gt;=Lookups!$K$7,"High",IF($P843&lt;=Lookups!$K$8,"Low","Medium"))))</f>
        <v>Medium</v>
      </c>
      <c r="AJ843" s="5" t="str">
        <f>IF($A843="","",IF($AD843="","",IF($AD843&lt;5,"Under 5 C",IF($AD843&lt;10,"5-10 C",IF($AD843&lt;15,"10-15 C","15 C and above")))))</f>
        <v>10-15 C</v>
      </c>
      <c r="AK843" s="5">
        <f>IF($A843="","",IF($P843="","",$P843^2))</f>
        <v>4356</v>
      </c>
      <c r="AL843" s="18">
        <f>IF($V843&lt;&gt;1,"",AVERAGEIFS(Clean_Data!$P$2:$P$1001,Clean_Data!$F$2:$F$1001,$F843,Clean_Data!$W$2:$W$1001,$W843,Clean_Data!$V$2:$V$1001,1))</f>
        <v>64.5862068965517</v>
      </c>
      <c r="AM843" s="16">
        <f>IF($V843&lt;&gt;1,"",IFERROR(($P843-$AL843)/SQRT(MAX(0,(SUMIFS(Clean_Data!$AK$2:$AK$1001,Clean_Data!$F$2:$F$1001,$F843,Clean_Data!$W$2:$W$1001,$W843,Clean_Data!$V$2:$V$1001,1)-COUNTIFS(Clean_Data!$F$2:$F$1001,$F843,Clean_Data!$W$2:$W$1001,$W843,Clean_Data!$V$2:$V$1001,1)*$AL843^2)/(COUNTIFS(Clean_Data!$F$2:$F$1001,$F843,Clean_Data!$W$2:$W$1001,$W843,Clean_Data!$V$2:$V$1001,1)-1))),""))</f>
        <v>0.0754894491890532</v>
      </c>
      <c r="AN843" s="5" t="str">
        <f>IF($AM843="","",IF($AM843&gt;=Lookups!$K$6,"High spike",IF($AM843&lt;=-Lookups!$K$6,"Unusual low","Normal")))</f>
        <v>Normal</v>
      </c>
      <c r="AO843" s="20">
        <f>IF($V843&lt;&gt;1,"",$P843+ROW()/100000)</f>
        <v>66.00843</v>
      </c>
      <c r="AP843" s="5">
        <f>IF($A843="","",IFERROR(MATCH($A843,Raw_D1!$A$2:$A$1001,0),""))</f>
        <v/>
      </c>
      <c r="AQ843" s="5">
        <f>IF($A843="","",IFERROR(MATCH($A843,Raw_D2!$B$2:$B$1001,0),""))</f>
        <v/>
      </c>
      <c r="AR843" s="5">
        <f>IF($A843="","",IFERROR(MATCH($A843,Raw_D3!$A$2:$A$1001,0),""))</f>
        <v>223</v>
      </c>
    </row>
    <row r="844" spans="1:44" x14ac:dyDescent="0.25">
      <c r="A844" s="5">
        <v>843</v>
      </c>
      <c r="B844" s="11">
        <f>IF($A844="","",IF($AP844&lt;&gt;"",INDEX(Raw_D1!$B$2:$B$1001,$AP844),IF($AR844&lt;&gt;"",INDEX(Raw_D3!$B$2:$B$1001,$AR844),"")))</f>
        <v>40581.0</v>
      </c>
      <c r="C844" s="5">
        <f>IF($A844="","",IF($AP844&lt;&gt;"",INDEX(Raw_D1!$C$2:$C$1001,$AP844),IF($AR844&lt;&gt;"",INDEX(Raw_D3!$C$2:$C$1001,$AR844),"")))</f>
        <v>1</v>
      </c>
      <c r="D844" s="5">
        <f>IF($A844="","",IF($AP844&lt;&gt;"",INDEX(Raw_D1!$D$2:$D$1001,$AP844),IF($AR844&lt;&gt;"",INDEX(Raw_D3!$D$2:$D$1001,$AR844),"")))</f>
        <v>0</v>
      </c>
      <c r="E844" s="5">
        <f>IF($A844="","",IF($AP844&lt;&gt;"",INDEX(Raw_D1!$E$2:$E$1001,$AP844),IF($AR844&lt;&gt;"",INDEX(Raw_D3!$E$2:$E$1001,$AR844),"")))</f>
        <v>2</v>
      </c>
      <c r="F844" s="5">
        <f>IF($A844="","",IF($AP844&lt;&gt;"",INDEX(Raw_D1!$F$2:$F$1001,$AP844),IF($AR844&lt;&gt;"",INDEX(Raw_D3!$F$2:$F$1001,$AR844),"")))</f>
        <v>13</v>
      </c>
      <c r="G844" s="5">
        <f>IF($A844="","",IF($AP844&lt;&gt;"",IF(INDEX(Raw_D1!$G$2:$G$1001,$AP844),1,0),IF($AR844&lt;&gt;"",IF(INDEX(Raw_D3!$G$2:$G$1001,$AR844),1,0),"")))</f>
        <v>0</v>
      </c>
      <c r="H844" s="5">
        <f>IF($A844="","",IF($AP844&lt;&gt;"",INDEX(Raw_D1!$H$2:$H$1001,$AP844),IF($AR844&lt;&gt;"",INDEX(Raw_D3!$H$2:$H$1001,$AR844),"")))</f>
        <v>1</v>
      </c>
      <c r="I844" s="5">
        <f>IF($A844="","",IF($AP844&lt;&gt;"",INDEX(Raw_D1!$I$2:$I$1001,$AP844),IF($AR844&lt;&gt;"",INDEX(Raw_D3!$I$2:$I$1001,$AR844),"")))</f>
        <v>2</v>
      </c>
      <c r="J844" s="16">
        <f>IF($A844="","",IF($AP844&lt;&gt;"",INDEX(Raw_D1!$J$2:$J$1001,$AP844),IF($AR844&lt;&gt;"",INDEX(Raw_D3!$J$2:$J$1001,$AR844),"")))</f>
        <v>0.36</v>
      </c>
      <c r="K844" s="17">
        <f>IF($A844="","",IF($AQ844&lt;&gt;"",IF(INDEX(Raw_D2!$C$2:$C$1001,$AQ844)="","",INDEX(Raw_D2!$C$2:$C$1001,$AQ844)),IF($AR844&lt;&gt;"",IF(INDEX(Raw_D3!$K$2:$K$1001,$AR844)="","",INDEX(Raw_D3!$K$2:$K$1001,$AR844)),"")))</f>
        <v>0.3636</v>
      </c>
      <c r="L844" s="16">
        <f>IF($A844="","",IF($AQ844&lt;&gt;"",IF(INDEX(Raw_D2!$D$2:$D$1001,$AQ844)="","",INDEX(Raw_D2!$D$2:$D$1001,$AQ844)),IF($AR844&lt;&gt;"",IF(INDEX(Raw_D3!$L$2:$L$1001,$AR844)="","",INDEX(Raw_D3!$L$2:$L$1001,$AR844)),"")))</f>
        <v>0.57</v>
      </c>
      <c r="M844" s="17">
        <f>IF($A844="","",IF($AQ844&lt;&gt;"",IF(INDEX(Raw_D2!$E$2:$E$1001,$AQ844)="","",INDEX(Raw_D2!$E$2:$E$1001,$AQ844)),IF($AR844&lt;&gt;"",IF(INDEX(Raw_D3!$M$2:$M$1001,$AR844)="","",INDEX(Raw_D3!$M$2:$M$1001,$AR844)),"")))</f>
        <v>0.0896</v>
      </c>
      <c r="N844" s="5">
        <f>IF($A844="","",IF($AQ844&lt;&gt;"",IF(INDEX(Raw_D2!$F$2:$F$1001,$AQ844)="","",INDEX(Raw_D2!$F$2:$F$1001,$AQ844)),IF($AR844&lt;&gt;"",IF(INDEX(Raw_D3!$N$2:$N$1001,$AR844)="","",INDEX(Raw_D3!$N$2:$N$1001,$AR844)),"")))</f>
        <v>10</v>
      </c>
      <c r="O844" s="5">
        <f>IF($A844="","",IF($AQ844&lt;&gt;"",IF(INDEX(Raw_D2!$G$2:$G$1001,$AQ844)="","",INDEX(Raw_D2!$G$2:$G$1001,$AQ844)),IF($AR844&lt;&gt;"",IF(INDEX(Raw_D3!$O$2:$O$1001,$AR844)="","",INDEX(Raw_D3!$O$2:$O$1001,$AR844)),"")))</f>
        <v>54</v>
      </c>
      <c r="P844" s="5">
        <f>IF($A844="","",IF($AQ844&lt;&gt;"",IF(INDEX(Raw_D2!$H$2:$H$1001,$AQ844)="","",INDEX(Raw_D2!$H$2:$H$1001,$AQ844)),IF($AR844&lt;&gt;"",IF(INDEX(Raw_D3!$P$2:$P$1001,$AR844)="","",INDEX(Raw_D3!$P$2:$P$1001,$AR844)),"")))</f>
        <v>64</v>
      </c>
      <c r="Q844" s="5" t="str">
        <f>IF($A844="","",IF(AND($AP844&lt;&gt;"",$AQ844&lt;&gt;""),"D1+D2",IF($AR844&lt;&gt;"","D3","Incomplete")))</f>
        <v>D3</v>
      </c>
      <c r="R844" s="17">
        <f>IF($A844="","",IF($K844="",IF($J844="","",ROUND(Lookups!$K$5+Lookups!$K$4*$J844,4)),$K844))</f>
        <v>0.3636</v>
      </c>
      <c r="S844" s="5" t="str">
        <f>IF($A844="","",IF($K844="","Imputed","Original"))</f>
        <v>Original</v>
      </c>
      <c r="T844" s="5" t="str">
        <f>IF($A844="","",IF($P844="","Missing",IF($P844=$N844+$O844,"OK","Mismatch")))</f>
        <v>OK</v>
      </c>
      <c r="U844" s="5" t="str">
        <f>IF($A844="","",IF(COUNTIF($A$2:$A844,$A844)&gt;1,"Duplicate","Unique"))</f>
        <v>Unique</v>
      </c>
      <c r="V844" s="5">
        <f>IF($A844="","",IF(AND($U844="Unique",ISNUMBER($P844)),1,0))</f>
        <v>1</v>
      </c>
      <c r="W844" s="5" t="str">
        <f>IF($A844="","",IF(OR($H844=0,$H844=6),"Weekend","Weekday"))</f>
        <v>Weekday</v>
      </c>
      <c r="X844" s="5" t="str">
        <f>IF($A844="","",TEXT($B844,"ddd"))</f>
        <v>Mon</v>
      </c>
      <c r="Y844" s="5" t="str">
        <f>IF($A844="","",TEXT($B844,"mmm"))</f>
        <v>Feb</v>
      </c>
      <c r="Z844" s="5" t="str">
        <f>IF($A844="","",IFERROR(VLOOKUP($C844,Lookups!$D$4:$E$7,2,FALSE),"Unknown"))</f>
        <v>Winter</v>
      </c>
      <c r="AA844" s="5" t="str">
        <f>IF($A844="","",IFERROR(VLOOKUP($I844,Lookups!$A$4:$B$7,2,FALSE),"Unknown"))</f>
        <v>Mist/Cloudy</v>
      </c>
      <c r="AB844" s="5" t="str">
        <f>IF($A844="","",TEXT($F844,"00")&amp;":00")</f>
        <v>13:00</v>
      </c>
      <c r="AC844" s="5" t="str">
        <f>IF($A844="","",VLOOKUP($F844,Lookups!$G$4:$H$8,2,TRUE))</f>
        <v>Midday (10-15)</v>
      </c>
      <c r="AD844" s="18">
        <f>IF($A844="","",IF($J844="","",ROUND($J844*41,1)))</f>
        <v>14.8</v>
      </c>
      <c r="AE844" s="18">
        <f>IF($A844="","",IF($R844="","",ROUND($R844*50,1)))</f>
        <v>18.2</v>
      </c>
      <c r="AF844" s="5">
        <f>IF($A844="","",IF($L844="","",ROUND($L844*100,0)))</f>
        <v>57</v>
      </c>
      <c r="AG844" s="18">
        <f>IF($A844="","",IF($M844="","",ROUND($M844*67,1)))</f>
        <v>6</v>
      </c>
      <c r="AH844" s="19">
        <f>IF($A844="","",IF($P844="","",IF($P844=0,0,$O844/$P844)))</f>
        <v>0.84375</v>
      </c>
      <c r="AI844" s="5" t="str">
        <f>IF($A844="","",IF($P844="","",IF($P844&gt;=Lookups!$K$7,"High",IF($P844&lt;=Lookups!$K$8,"Low","Medium"))))</f>
        <v>Medium</v>
      </c>
      <c r="AJ844" s="5" t="str">
        <f>IF($A844="","",IF($AD844="","",IF($AD844&lt;5,"Under 5 C",IF($AD844&lt;10,"5-10 C",IF($AD844&lt;15,"10-15 C","15 C and above")))))</f>
        <v>10-15 C</v>
      </c>
      <c r="AK844" s="5">
        <f>IF($A844="","",IF($P844="","",$P844^2))</f>
        <v>4096</v>
      </c>
      <c r="AL844" s="18">
        <f>IF($V844&lt;&gt;1,"",AVERAGEIFS(Clean_Data!$P$2:$P$1001,Clean_Data!$F$2:$F$1001,$F844,Clean_Data!$W$2:$W$1001,$W844,Clean_Data!$V$2:$V$1001,1))</f>
        <v>67.1724137931034</v>
      </c>
      <c r="AM844" s="16">
        <f>IF($V844&lt;&gt;1,"",IFERROR(($P844-$AL844)/SQRT(MAX(0,(SUMIFS(Clean_Data!$AK$2:$AK$1001,Clean_Data!$F$2:$F$1001,$F844,Clean_Data!$W$2:$W$1001,$W844,Clean_Data!$V$2:$V$1001,1)-COUNTIFS(Clean_Data!$F$2:$F$1001,$F844,Clean_Data!$W$2:$W$1001,$W844,Clean_Data!$V$2:$V$1001,1)*$AL844^2)/(COUNTIFS(Clean_Data!$F$2:$F$1001,$F844,Clean_Data!$W$2:$W$1001,$W844,Clean_Data!$V$2:$V$1001,1)-1))),""))</f>
        <v>-0.157111958153152</v>
      </c>
      <c r="AN844" s="5" t="str">
        <f>IF($AM844="","",IF($AM844&gt;=Lookups!$K$6,"High spike",IF($AM844&lt;=-Lookups!$K$6,"Unusual low","Normal")))</f>
        <v>Normal</v>
      </c>
      <c r="AO844" s="20">
        <f>IF($V844&lt;&gt;1,"",$P844+ROW()/100000)</f>
        <v>64.00844</v>
      </c>
      <c r="AP844" s="5">
        <f>IF($A844="","",IFERROR(MATCH($A844,Raw_D1!$A$2:$A$1001,0),""))</f>
        <v/>
      </c>
      <c r="AQ844" s="5">
        <f>IF($A844="","",IFERROR(MATCH($A844,Raw_D2!$B$2:$B$1001,0),""))</f>
        <v/>
      </c>
      <c r="AR844" s="5">
        <f>IF($A844="","",IFERROR(MATCH($A844,Raw_D3!$A$2:$A$1001,0),""))</f>
        <v>224</v>
      </c>
    </row>
    <row r="845" spans="1:44" x14ac:dyDescent="0.25">
      <c r="A845" s="5">
        <v>844</v>
      </c>
      <c r="B845" s="11">
        <f>IF($A845="","",IF($AP845&lt;&gt;"",INDEX(Raw_D1!$B$2:$B$1001,$AP845),IF($AR845&lt;&gt;"",INDEX(Raw_D3!$B$2:$B$1001,$AR845),"")))</f>
        <v>40581.0</v>
      </c>
      <c r="C845" s="5">
        <f>IF($A845="","",IF($AP845&lt;&gt;"",INDEX(Raw_D1!$C$2:$C$1001,$AP845),IF($AR845&lt;&gt;"",INDEX(Raw_D3!$C$2:$C$1001,$AR845),"")))</f>
        <v>1</v>
      </c>
      <c r="D845" s="5">
        <f>IF($A845="","",IF($AP845&lt;&gt;"",INDEX(Raw_D1!$D$2:$D$1001,$AP845),IF($AR845&lt;&gt;"",INDEX(Raw_D3!$D$2:$D$1001,$AR845),"")))</f>
        <v>0</v>
      </c>
      <c r="E845" s="5">
        <f>IF($A845="","",IF($AP845&lt;&gt;"",INDEX(Raw_D1!$E$2:$E$1001,$AP845),IF($AR845&lt;&gt;"",INDEX(Raw_D3!$E$2:$E$1001,$AR845),"")))</f>
        <v>2</v>
      </c>
      <c r="F845" s="5">
        <f>IF($A845="","",IF($AP845&lt;&gt;"",INDEX(Raw_D1!$F$2:$F$1001,$AP845),IF($AR845&lt;&gt;"",INDEX(Raw_D3!$F$2:$F$1001,$AR845),"")))</f>
        <v>14</v>
      </c>
      <c r="G845" s="5">
        <f>IF($A845="","",IF($AP845&lt;&gt;"",IF(INDEX(Raw_D1!$G$2:$G$1001,$AP845),1,0),IF($AR845&lt;&gt;"",IF(INDEX(Raw_D3!$G$2:$G$1001,$AR845),1,0),"")))</f>
        <v>0</v>
      </c>
      <c r="H845" s="5">
        <f>IF($A845="","",IF($AP845&lt;&gt;"",INDEX(Raw_D1!$H$2:$H$1001,$AP845),IF($AR845&lt;&gt;"",INDEX(Raw_D3!$H$2:$H$1001,$AR845),"")))</f>
        <v>1</v>
      </c>
      <c r="I845" s="5">
        <f>IF($A845="","",IF($AP845&lt;&gt;"",INDEX(Raw_D1!$I$2:$I$1001,$AP845),IF($AR845&lt;&gt;"",INDEX(Raw_D3!$I$2:$I$1001,$AR845),"")))</f>
        <v>2</v>
      </c>
      <c r="J845" s="16">
        <f>IF($A845="","",IF($AP845&lt;&gt;"",INDEX(Raw_D1!$J$2:$J$1001,$AP845),IF($AR845&lt;&gt;"",INDEX(Raw_D3!$J$2:$J$1001,$AR845),"")))</f>
        <v>0.36</v>
      </c>
      <c r="K845" s="17">
        <f>IF($A845="","",IF($AQ845&lt;&gt;"",IF(INDEX(Raw_D2!$C$2:$C$1001,$AQ845)="","",INDEX(Raw_D2!$C$2:$C$1001,$AQ845)),IF($AR845&lt;&gt;"",IF(INDEX(Raw_D3!$K$2:$K$1001,$AR845)="","",INDEX(Raw_D3!$K$2:$K$1001,$AR845)),"")))</f>
        <v>0.3636</v>
      </c>
      <c r="L845" s="16">
        <f>IF($A845="","",IF($AQ845&lt;&gt;"",IF(INDEX(Raw_D2!$D$2:$D$1001,$AQ845)="","",INDEX(Raw_D2!$D$2:$D$1001,$AQ845)),IF($AR845&lt;&gt;"",IF(INDEX(Raw_D3!$L$2:$L$1001,$AR845)="","",INDEX(Raw_D3!$L$2:$L$1001,$AR845)),"")))</f>
        <v>0.57</v>
      </c>
      <c r="M845" s="17">
        <f>IF($A845="","",IF($AQ845&lt;&gt;"",IF(INDEX(Raw_D2!$E$2:$E$1001,$AQ845)="","",INDEX(Raw_D2!$E$2:$E$1001,$AQ845)),IF($AR845&lt;&gt;"",IF(INDEX(Raw_D3!$M$2:$M$1001,$AR845)="","",INDEX(Raw_D3!$M$2:$M$1001,$AR845)),"")))</f>
        <v>0.0896</v>
      </c>
      <c r="N845" s="5">
        <f>IF($A845="","",IF($AQ845&lt;&gt;"",IF(INDEX(Raw_D2!$F$2:$F$1001,$AQ845)="","",INDEX(Raw_D2!$F$2:$F$1001,$AQ845)),IF($AR845&lt;&gt;"",IF(INDEX(Raw_D3!$N$2:$N$1001,$AR845)="","",INDEX(Raw_D3!$N$2:$N$1001,$AR845)),"")))</f>
        <v>8</v>
      </c>
      <c r="O845" s="5">
        <f>IF($A845="","",IF($AQ845&lt;&gt;"",IF(INDEX(Raw_D2!$G$2:$G$1001,$AQ845)="","",INDEX(Raw_D2!$G$2:$G$1001,$AQ845)),IF($AR845&lt;&gt;"",IF(INDEX(Raw_D3!$O$2:$O$1001,$AR845)="","",INDEX(Raw_D3!$O$2:$O$1001,$AR845)),"")))</f>
        <v>52</v>
      </c>
      <c r="P845" s="5">
        <f>IF($A845="","",IF($AQ845&lt;&gt;"",IF(INDEX(Raw_D2!$H$2:$H$1001,$AQ845)="","",INDEX(Raw_D2!$H$2:$H$1001,$AQ845)),IF($AR845&lt;&gt;"",IF(INDEX(Raw_D3!$P$2:$P$1001,$AR845)="","",INDEX(Raw_D3!$P$2:$P$1001,$AR845)),"")))</f>
        <v>60</v>
      </c>
      <c r="Q845" s="5" t="str">
        <f>IF($A845="","",IF(AND($AP845&lt;&gt;"",$AQ845&lt;&gt;""),"D1+D2",IF($AR845&lt;&gt;"","D3","Incomplete")))</f>
        <v>D3</v>
      </c>
      <c r="R845" s="17">
        <f>IF($A845="","",IF($K845="",IF($J845="","",ROUND(Lookups!$K$5+Lookups!$K$4*$J845,4)),$K845))</f>
        <v>0.3636</v>
      </c>
      <c r="S845" s="5" t="str">
        <f>IF($A845="","",IF($K845="","Imputed","Original"))</f>
        <v>Original</v>
      </c>
      <c r="T845" s="5" t="str">
        <f>IF($A845="","",IF($P845="","Missing",IF($P845=$N845+$O845,"OK","Mismatch")))</f>
        <v>OK</v>
      </c>
      <c r="U845" s="5" t="str">
        <f>IF($A845="","",IF(COUNTIF($A$2:$A845,$A845)&gt;1,"Duplicate","Unique"))</f>
        <v>Unique</v>
      </c>
      <c r="V845" s="5">
        <f>IF($A845="","",IF(AND($U845="Unique",ISNUMBER($P845)),1,0))</f>
        <v>1</v>
      </c>
      <c r="W845" s="5" t="str">
        <f>IF($A845="","",IF(OR($H845=0,$H845=6),"Weekend","Weekday"))</f>
        <v>Weekday</v>
      </c>
      <c r="X845" s="5" t="str">
        <f>IF($A845="","",TEXT($B845,"ddd"))</f>
        <v>Mon</v>
      </c>
      <c r="Y845" s="5" t="str">
        <f>IF($A845="","",TEXT($B845,"mmm"))</f>
        <v>Feb</v>
      </c>
      <c r="Z845" s="5" t="str">
        <f>IF($A845="","",IFERROR(VLOOKUP($C845,Lookups!$D$4:$E$7,2,FALSE),"Unknown"))</f>
        <v>Winter</v>
      </c>
      <c r="AA845" s="5" t="str">
        <f>IF($A845="","",IFERROR(VLOOKUP($I845,Lookups!$A$4:$B$7,2,FALSE),"Unknown"))</f>
        <v>Mist/Cloudy</v>
      </c>
      <c r="AB845" s="5" t="str">
        <f>IF($A845="","",TEXT($F845,"00")&amp;":00")</f>
        <v>14:00</v>
      </c>
      <c r="AC845" s="5" t="str">
        <f>IF($A845="","",VLOOKUP($F845,Lookups!$G$4:$H$8,2,TRUE))</f>
        <v>Midday (10-15)</v>
      </c>
      <c r="AD845" s="18">
        <f>IF($A845="","",IF($J845="","",ROUND($J845*41,1)))</f>
        <v>14.8</v>
      </c>
      <c r="AE845" s="18">
        <f>IF($A845="","",IF($R845="","",ROUND($R845*50,1)))</f>
        <v>18.2</v>
      </c>
      <c r="AF845" s="5">
        <f>IF($A845="","",IF($L845="","",ROUND($L845*100,0)))</f>
        <v>57</v>
      </c>
      <c r="AG845" s="18">
        <f>IF($A845="","",IF($M845="","",ROUND($M845*67,1)))</f>
        <v>6</v>
      </c>
      <c r="AH845" s="19">
        <f>IF($A845="","",IF($P845="","",IF($P845=0,0,$O845/$P845)))</f>
        <v>0.866666666666667</v>
      </c>
      <c r="AI845" s="5" t="str">
        <f>IF($A845="","",IF($P845="","",IF($P845&gt;=Lookups!$K$7,"High",IF($P845&lt;=Lookups!$K$8,"Low","Medium"))))</f>
        <v>Medium</v>
      </c>
      <c r="AJ845" s="5" t="str">
        <f>IF($A845="","",IF($AD845="","",IF($AD845&lt;5,"Under 5 C",IF($AD845&lt;10,"5-10 C",IF($AD845&lt;15,"10-15 C","15 C and above")))))</f>
        <v>10-15 C</v>
      </c>
      <c r="AK845" s="5">
        <f>IF($A845="","",IF($P845="","",$P845^2))</f>
        <v>3600</v>
      </c>
      <c r="AL845" s="18">
        <f>IF($V845&lt;&gt;1,"",AVERAGEIFS(Clean_Data!$P$2:$P$1001,Clean_Data!$F$2:$F$1001,$F845,Clean_Data!$W$2:$W$1001,$W845,Clean_Data!$V$2:$V$1001,1))</f>
        <v>60.551724137931</v>
      </c>
      <c r="AM845" s="16">
        <f>IF($V845&lt;&gt;1,"",IFERROR(($P845-$AL845)/SQRT(MAX(0,(SUMIFS(Clean_Data!$AK$2:$AK$1001,Clean_Data!$F$2:$F$1001,$F845,Clean_Data!$W$2:$W$1001,$W845,Clean_Data!$V$2:$V$1001,1)-COUNTIFS(Clean_Data!$F$2:$F$1001,$F845,Clean_Data!$W$2:$W$1001,$W845,Clean_Data!$V$2:$V$1001,1)*$AL845^2)/(COUNTIFS(Clean_Data!$F$2:$F$1001,$F845,Clean_Data!$W$2:$W$1001,$W845,Clean_Data!$V$2:$V$1001,1)-1))),""))</f>
        <v>-0.033538791966206</v>
      </c>
      <c r="AN845" s="5" t="str">
        <f>IF($AM845="","",IF($AM845&gt;=Lookups!$K$6,"High spike",IF($AM845&lt;=-Lookups!$K$6,"Unusual low","Normal")))</f>
        <v>Normal</v>
      </c>
      <c r="AO845" s="20">
        <f>IF($V845&lt;&gt;1,"",$P845+ROW()/100000)</f>
        <v>60.00845</v>
      </c>
      <c r="AP845" s="5">
        <f>IF($A845="","",IFERROR(MATCH($A845,Raw_D1!$A$2:$A$1001,0),""))</f>
        <v/>
      </c>
      <c r="AQ845" s="5">
        <f>IF($A845="","",IFERROR(MATCH($A845,Raw_D2!$B$2:$B$1001,0),""))</f>
        <v/>
      </c>
      <c r="AR845" s="5">
        <f>IF($A845="","",IFERROR(MATCH($A845,Raw_D3!$A$2:$A$1001,0),""))</f>
        <v>225</v>
      </c>
    </row>
    <row r="846" spans="1:44" x14ac:dyDescent="0.25">
      <c r="A846" s="5">
        <v>845</v>
      </c>
      <c r="B846" s="11">
        <f>IF($A846="","",IF($AP846&lt;&gt;"",INDEX(Raw_D1!$B$2:$B$1001,$AP846),IF($AR846&lt;&gt;"",INDEX(Raw_D3!$B$2:$B$1001,$AR846),"")))</f>
        <v>40581.0</v>
      </c>
      <c r="C846" s="5">
        <f>IF($A846="","",IF($AP846&lt;&gt;"",INDEX(Raw_D1!$C$2:$C$1001,$AP846),IF($AR846&lt;&gt;"",INDEX(Raw_D3!$C$2:$C$1001,$AR846),"")))</f>
        <v>1</v>
      </c>
      <c r="D846" s="5">
        <f>IF($A846="","",IF($AP846&lt;&gt;"",INDEX(Raw_D1!$D$2:$D$1001,$AP846),IF($AR846&lt;&gt;"",INDEX(Raw_D3!$D$2:$D$1001,$AR846),"")))</f>
        <v>0</v>
      </c>
      <c r="E846" s="5">
        <f>IF($A846="","",IF($AP846&lt;&gt;"",INDEX(Raw_D1!$E$2:$E$1001,$AP846),IF($AR846&lt;&gt;"",INDEX(Raw_D3!$E$2:$E$1001,$AR846),"")))</f>
        <v>2</v>
      </c>
      <c r="F846" s="5">
        <f>IF($A846="","",IF($AP846&lt;&gt;"",INDEX(Raw_D1!$F$2:$F$1001,$AP846),IF($AR846&lt;&gt;"",INDEX(Raw_D3!$F$2:$F$1001,$AR846),"")))</f>
        <v>15</v>
      </c>
      <c r="G846" s="5">
        <f>IF($A846="","",IF($AP846&lt;&gt;"",IF(INDEX(Raw_D1!$G$2:$G$1001,$AP846),1,0),IF($AR846&lt;&gt;"",IF(INDEX(Raw_D3!$G$2:$G$1001,$AR846),1,0),"")))</f>
        <v>0</v>
      </c>
      <c r="H846" s="5">
        <f>IF($A846="","",IF($AP846&lt;&gt;"",INDEX(Raw_D1!$H$2:$H$1001,$AP846),IF($AR846&lt;&gt;"",INDEX(Raw_D3!$H$2:$H$1001,$AR846),"")))</f>
        <v>1</v>
      </c>
      <c r="I846" s="5">
        <f>IF($A846="","",IF($AP846&lt;&gt;"",INDEX(Raw_D1!$I$2:$I$1001,$AP846),IF($AR846&lt;&gt;"",INDEX(Raw_D3!$I$2:$I$1001,$AR846),"")))</f>
        <v>2</v>
      </c>
      <c r="J846" s="16">
        <f>IF($A846="","",IF($AP846&lt;&gt;"",INDEX(Raw_D1!$J$2:$J$1001,$AP846),IF($AR846&lt;&gt;"",INDEX(Raw_D3!$J$2:$J$1001,$AR846),"")))</f>
        <v>0.38</v>
      </c>
      <c r="K846" s="17">
        <f>IF($A846="","",IF($AQ846&lt;&gt;"",IF(INDEX(Raw_D2!$C$2:$C$1001,$AQ846)="","",INDEX(Raw_D2!$C$2:$C$1001,$AQ846)),IF($AR846&lt;&gt;"",IF(INDEX(Raw_D3!$K$2:$K$1001,$AR846)="","",INDEX(Raw_D3!$K$2:$K$1001,$AR846)),"")))</f>
        <v>0.3939</v>
      </c>
      <c r="L846" s="16">
        <f>IF($A846="","",IF($AQ846&lt;&gt;"",IF(INDEX(Raw_D2!$D$2:$D$1001,$AQ846)="","",INDEX(Raw_D2!$D$2:$D$1001,$AQ846)),IF($AR846&lt;&gt;"",IF(INDEX(Raw_D3!$L$2:$L$1001,$AR846)="","",INDEX(Raw_D3!$L$2:$L$1001,$AR846)),"")))</f>
        <v>0.54</v>
      </c>
      <c r="M846" s="17">
        <f>IF($A846="","",IF($AQ846&lt;&gt;"",IF(INDEX(Raw_D2!$E$2:$E$1001,$AQ846)="","",INDEX(Raw_D2!$E$2:$E$1001,$AQ846)),IF($AR846&lt;&gt;"",IF(INDEX(Raw_D3!$M$2:$M$1001,$AR846)="","",INDEX(Raw_D3!$M$2:$M$1001,$AR846)),"")))</f>
        <v>0.0896</v>
      </c>
      <c r="N846" s="5">
        <f>IF($A846="","",IF($AQ846&lt;&gt;"",IF(INDEX(Raw_D2!$F$2:$F$1001,$AQ846)="","",INDEX(Raw_D2!$F$2:$F$1001,$AQ846)),IF($AR846&lt;&gt;"",IF(INDEX(Raw_D3!$N$2:$N$1001,$AR846)="","",INDEX(Raw_D3!$N$2:$N$1001,$AR846)),"")))</f>
        <v>4</v>
      </c>
      <c r="O846" s="5">
        <f>IF($A846="","",IF($AQ846&lt;&gt;"",IF(INDEX(Raw_D2!$G$2:$G$1001,$AQ846)="","",INDEX(Raw_D2!$G$2:$G$1001,$AQ846)),IF($AR846&lt;&gt;"",IF(INDEX(Raw_D3!$O$2:$O$1001,$AR846)="","",INDEX(Raw_D3!$O$2:$O$1001,$AR846)),"")))</f>
        <v>46</v>
      </c>
      <c r="P846" s="5">
        <f>IF($A846="","",IF($AQ846&lt;&gt;"",IF(INDEX(Raw_D2!$H$2:$H$1001,$AQ846)="","",INDEX(Raw_D2!$H$2:$H$1001,$AQ846)),IF($AR846&lt;&gt;"",IF(INDEX(Raw_D3!$P$2:$P$1001,$AR846)="","",INDEX(Raw_D3!$P$2:$P$1001,$AR846)),"")))</f>
        <v>50</v>
      </c>
      <c r="Q846" s="5" t="str">
        <f>IF($A846="","",IF(AND($AP846&lt;&gt;"",$AQ846&lt;&gt;""),"D1+D2",IF($AR846&lt;&gt;"","D3","Incomplete")))</f>
        <v>D3</v>
      </c>
      <c r="R846" s="17">
        <f>IF($A846="","",IF($K846="",IF($J846="","",ROUND(Lookups!$K$5+Lookups!$K$4*$J846,4)),$K846))</f>
        <v>0.3939</v>
      </c>
      <c r="S846" s="5" t="str">
        <f>IF($A846="","",IF($K846="","Imputed","Original"))</f>
        <v>Original</v>
      </c>
      <c r="T846" s="5" t="str">
        <f>IF($A846="","",IF($P846="","Missing",IF($P846=$N846+$O846,"OK","Mismatch")))</f>
        <v>OK</v>
      </c>
      <c r="U846" s="5" t="str">
        <f>IF($A846="","",IF(COUNTIF($A$2:$A846,$A846)&gt;1,"Duplicate","Unique"))</f>
        <v>Unique</v>
      </c>
      <c r="V846" s="5">
        <f>IF($A846="","",IF(AND($U846="Unique",ISNUMBER($P846)),1,0))</f>
        <v>1</v>
      </c>
      <c r="W846" s="5" t="str">
        <f>IF($A846="","",IF(OR($H846=0,$H846=6),"Weekend","Weekday"))</f>
        <v>Weekday</v>
      </c>
      <c r="X846" s="5" t="str">
        <f>IF($A846="","",TEXT($B846,"ddd"))</f>
        <v>Mon</v>
      </c>
      <c r="Y846" s="5" t="str">
        <f>IF($A846="","",TEXT($B846,"mmm"))</f>
        <v>Feb</v>
      </c>
      <c r="Z846" s="5" t="str">
        <f>IF($A846="","",IFERROR(VLOOKUP($C846,Lookups!$D$4:$E$7,2,FALSE),"Unknown"))</f>
        <v>Winter</v>
      </c>
      <c r="AA846" s="5" t="str">
        <f>IF($A846="","",IFERROR(VLOOKUP($I846,Lookups!$A$4:$B$7,2,FALSE),"Unknown"))</f>
        <v>Mist/Cloudy</v>
      </c>
      <c r="AB846" s="5" t="str">
        <f>IF($A846="","",TEXT($F846,"00")&amp;":00")</f>
        <v>15:00</v>
      </c>
      <c r="AC846" s="5" t="str">
        <f>IF($A846="","",VLOOKUP($F846,Lookups!$G$4:$H$8,2,TRUE))</f>
        <v>Midday (10-15)</v>
      </c>
      <c r="AD846" s="18">
        <f>IF($A846="","",IF($J846="","",ROUND($J846*41,1)))</f>
        <v>15.6</v>
      </c>
      <c r="AE846" s="18">
        <f>IF($A846="","",IF($R846="","",ROUND($R846*50,1)))</f>
        <v>19.7</v>
      </c>
      <c r="AF846" s="5">
        <f>IF($A846="","",IF($L846="","",ROUND($L846*100,0)))</f>
        <v>54</v>
      </c>
      <c r="AG846" s="18">
        <f>IF($A846="","",IF($M846="","",ROUND($M846*67,1)))</f>
        <v>6</v>
      </c>
      <c r="AH846" s="19">
        <f>IF($A846="","",IF($P846="","",IF($P846=0,0,$O846/$P846)))</f>
        <v>0.92</v>
      </c>
      <c r="AI846" s="5" t="str">
        <f>IF($A846="","",IF($P846="","",IF($P846&gt;=Lookups!$K$7,"High",IF($P846&lt;=Lookups!$K$8,"Low","Medium"))))</f>
        <v>Medium</v>
      </c>
      <c r="AJ846" s="5" t="str">
        <f>IF($A846="","",IF($AD846="","",IF($AD846&lt;5,"Under 5 C",IF($AD846&lt;10,"5-10 C",IF($AD846&lt;15,"10-15 C","15 C and above")))))</f>
        <v>15 C and above</v>
      </c>
      <c r="AK846" s="5">
        <f>IF($A846="","",IF($P846="","",$P846^2))</f>
        <v>2500</v>
      </c>
      <c r="AL846" s="18">
        <f>IF($V846&lt;&gt;1,"",AVERAGEIFS(Clean_Data!$P$2:$P$1001,Clean_Data!$F$2:$F$1001,$F846,Clean_Data!$W$2:$W$1001,$W846,Clean_Data!$V$2:$V$1001,1))</f>
        <v>61.4827586206897</v>
      </c>
      <c r="AM846" s="16">
        <f>IF($V846&lt;&gt;1,"",IFERROR(($P846-$AL846)/SQRT(MAX(0,(SUMIFS(Clean_Data!$AK$2:$AK$1001,Clean_Data!$F$2:$F$1001,$F846,Clean_Data!$W$2:$W$1001,$W846,Clean_Data!$V$2:$V$1001,1)-COUNTIFS(Clean_Data!$F$2:$F$1001,$F846,Clean_Data!$W$2:$W$1001,$W846,Clean_Data!$V$2:$V$1001,1)*$AL846^2)/(COUNTIFS(Clean_Data!$F$2:$F$1001,$F846,Clean_Data!$W$2:$W$1001,$W846,Clean_Data!$V$2:$V$1001,1)-1))),""))</f>
        <v>-0.761703677507402</v>
      </c>
      <c r="AN846" s="5" t="str">
        <f>IF($AM846="","",IF($AM846&gt;=Lookups!$K$6,"High spike",IF($AM846&lt;=-Lookups!$K$6,"Unusual low","Normal")))</f>
        <v>Normal</v>
      </c>
      <c r="AO846" s="20">
        <f>IF($V846&lt;&gt;1,"",$P846+ROW()/100000)</f>
        <v>50.00846</v>
      </c>
      <c r="AP846" s="5">
        <f>IF($A846="","",IFERROR(MATCH($A846,Raw_D1!$A$2:$A$1001,0),""))</f>
        <v/>
      </c>
      <c r="AQ846" s="5">
        <f>IF($A846="","",IFERROR(MATCH($A846,Raw_D2!$B$2:$B$1001,0),""))</f>
        <v/>
      </c>
      <c r="AR846" s="5">
        <f>IF($A846="","",IFERROR(MATCH($A846,Raw_D3!$A$2:$A$1001,0),""))</f>
        <v>226</v>
      </c>
    </row>
    <row r="847" spans="1:44" x14ac:dyDescent="0.25">
      <c r="A847" s="5">
        <v>846</v>
      </c>
      <c r="B847" s="11">
        <f>IF($A847="","",IF($AP847&lt;&gt;"",INDEX(Raw_D1!$B$2:$B$1001,$AP847),IF($AR847&lt;&gt;"",INDEX(Raw_D3!$B$2:$B$1001,$AR847),"")))</f>
        <v>40581.0</v>
      </c>
      <c r="C847" s="5">
        <f>IF($A847="","",IF($AP847&lt;&gt;"",INDEX(Raw_D1!$C$2:$C$1001,$AP847),IF($AR847&lt;&gt;"",INDEX(Raw_D3!$C$2:$C$1001,$AR847),"")))</f>
        <v>1</v>
      </c>
      <c r="D847" s="5">
        <f>IF($A847="","",IF($AP847&lt;&gt;"",INDEX(Raw_D1!$D$2:$D$1001,$AP847),IF($AR847&lt;&gt;"",INDEX(Raw_D3!$D$2:$D$1001,$AR847),"")))</f>
        <v>0</v>
      </c>
      <c r="E847" s="5">
        <f>IF($A847="","",IF($AP847&lt;&gt;"",INDEX(Raw_D1!$E$2:$E$1001,$AP847),IF($AR847&lt;&gt;"",INDEX(Raw_D3!$E$2:$E$1001,$AR847),"")))</f>
        <v>2</v>
      </c>
      <c r="F847" s="5">
        <f>IF($A847="","",IF($AP847&lt;&gt;"",INDEX(Raw_D1!$F$2:$F$1001,$AP847),IF($AR847&lt;&gt;"",INDEX(Raw_D3!$F$2:$F$1001,$AR847),"")))</f>
        <v>16</v>
      </c>
      <c r="G847" s="5">
        <f>IF($A847="","",IF($AP847&lt;&gt;"",IF(INDEX(Raw_D1!$G$2:$G$1001,$AP847),1,0),IF($AR847&lt;&gt;"",IF(INDEX(Raw_D3!$G$2:$G$1001,$AR847),1,0),"")))</f>
        <v>0</v>
      </c>
      <c r="H847" s="5">
        <f>IF($A847="","",IF($AP847&lt;&gt;"",INDEX(Raw_D1!$H$2:$H$1001,$AP847),IF($AR847&lt;&gt;"",INDEX(Raw_D3!$H$2:$H$1001,$AR847),"")))</f>
        <v>1</v>
      </c>
      <c r="I847" s="5">
        <f>IF($A847="","",IF($AP847&lt;&gt;"",INDEX(Raw_D1!$I$2:$I$1001,$AP847),IF($AR847&lt;&gt;"",INDEX(Raw_D3!$I$2:$I$1001,$AR847),"")))</f>
        <v>2</v>
      </c>
      <c r="J847" s="16">
        <f>IF($A847="","",IF($AP847&lt;&gt;"",INDEX(Raw_D1!$J$2:$J$1001,$AP847),IF($AR847&lt;&gt;"",INDEX(Raw_D3!$J$2:$J$1001,$AR847),"")))</f>
        <v>0.36</v>
      </c>
      <c r="K847" s="17">
        <f>IF($A847="","",IF($AQ847&lt;&gt;"",IF(INDEX(Raw_D2!$C$2:$C$1001,$AQ847)="","",INDEX(Raw_D2!$C$2:$C$1001,$AQ847)),IF($AR847&lt;&gt;"",IF(INDEX(Raw_D3!$K$2:$K$1001,$AR847)="","",INDEX(Raw_D3!$K$2:$K$1001,$AR847)),"")))</f>
        <v>0.3485</v>
      </c>
      <c r="L847" s="16">
        <f>IF($A847="","",IF($AQ847&lt;&gt;"",IF(INDEX(Raw_D2!$D$2:$D$1001,$AQ847)="","",INDEX(Raw_D2!$D$2:$D$1001,$AQ847)),IF($AR847&lt;&gt;"",IF(INDEX(Raw_D3!$L$2:$L$1001,$AR847)="","",INDEX(Raw_D3!$L$2:$L$1001,$AR847)),"")))</f>
        <v>0.57</v>
      </c>
      <c r="M847" s="17">
        <f>IF($A847="","",IF($AQ847&lt;&gt;"",IF(INDEX(Raw_D2!$E$2:$E$1001,$AQ847)="","",INDEX(Raw_D2!$E$2:$E$1001,$AQ847)),IF($AR847&lt;&gt;"",IF(INDEX(Raw_D3!$M$2:$M$1001,$AR847)="","",INDEX(Raw_D3!$M$2:$M$1001,$AR847)),"")))</f>
        <v>0.1343</v>
      </c>
      <c r="N847" s="5">
        <f>IF($A847="","",IF($AQ847&lt;&gt;"",IF(INDEX(Raw_D2!$F$2:$F$1001,$AQ847)="","",INDEX(Raw_D2!$F$2:$F$1001,$AQ847)),IF($AR847&lt;&gt;"",IF(INDEX(Raw_D3!$N$2:$N$1001,$AR847)="","",INDEX(Raw_D3!$N$2:$N$1001,$AR847)),"")))</f>
        <v>16</v>
      </c>
      <c r="O847" s="5">
        <f>IF($A847="","",IF($AQ847&lt;&gt;"",IF(INDEX(Raw_D2!$G$2:$G$1001,$AQ847)="","",INDEX(Raw_D2!$G$2:$G$1001,$AQ847)),IF($AR847&lt;&gt;"",IF(INDEX(Raw_D3!$O$2:$O$1001,$AR847)="","",INDEX(Raw_D3!$O$2:$O$1001,$AR847)),"")))</f>
        <v>98</v>
      </c>
      <c r="P847" s="5">
        <f>IF($A847="","",IF($AQ847&lt;&gt;"",IF(INDEX(Raw_D2!$H$2:$H$1001,$AQ847)="","",INDEX(Raw_D2!$H$2:$H$1001,$AQ847)),IF($AR847&lt;&gt;"",IF(INDEX(Raw_D3!$P$2:$P$1001,$AR847)="","",INDEX(Raw_D3!$P$2:$P$1001,$AR847)),"")))</f>
        <v>114</v>
      </c>
      <c r="Q847" s="5" t="str">
        <f>IF($A847="","",IF(AND($AP847&lt;&gt;"",$AQ847&lt;&gt;""),"D1+D2",IF($AR847&lt;&gt;"","D3","Incomplete")))</f>
        <v>D3</v>
      </c>
      <c r="R847" s="17">
        <f>IF($A847="","",IF($K847="",IF($J847="","",ROUND(Lookups!$K$5+Lookups!$K$4*$J847,4)),$K847))</f>
        <v>0.3485</v>
      </c>
      <c r="S847" s="5" t="str">
        <f>IF($A847="","",IF($K847="","Imputed","Original"))</f>
        <v>Original</v>
      </c>
      <c r="T847" s="5" t="str">
        <f>IF($A847="","",IF($P847="","Missing",IF($P847=$N847+$O847,"OK","Mismatch")))</f>
        <v>OK</v>
      </c>
      <c r="U847" s="5" t="str">
        <f>IF($A847="","",IF(COUNTIF($A$2:$A847,$A847)&gt;1,"Duplicate","Unique"))</f>
        <v>Unique</v>
      </c>
      <c r="V847" s="5">
        <f>IF($A847="","",IF(AND($U847="Unique",ISNUMBER($P847)),1,0))</f>
        <v>1</v>
      </c>
      <c r="W847" s="5" t="str">
        <f>IF($A847="","",IF(OR($H847=0,$H847=6),"Weekend","Weekday"))</f>
        <v>Weekday</v>
      </c>
      <c r="X847" s="5" t="str">
        <f>IF($A847="","",TEXT($B847,"ddd"))</f>
        <v>Mon</v>
      </c>
      <c r="Y847" s="5" t="str">
        <f>IF($A847="","",TEXT($B847,"mmm"))</f>
        <v>Feb</v>
      </c>
      <c r="Z847" s="5" t="str">
        <f>IF($A847="","",IFERROR(VLOOKUP($C847,Lookups!$D$4:$E$7,2,FALSE),"Unknown"))</f>
        <v>Winter</v>
      </c>
      <c r="AA847" s="5" t="str">
        <f>IF($A847="","",IFERROR(VLOOKUP($I847,Lookups!$A$4:$B$7,2,FALSE),"Unknown"))</f>
        <v>Mist/Cloudy</v>
      </c>
      <c r="AB847" s="5" t="str">
        <f>IF($A847="","",TEXT($F847,"00")&amp;":00")</f>
        <v>16:00</v>
      </c>
      <c r="AC847" s="5" t="str">
        <f>IF($A847="","",VLOOKUP($F847,Lookups!$G$4:$H$8,2,TRUE))</f>
        <v>Evening Peak (16-19)</v>
      </c>
      <c r="AD847" s="18">
        <f>IF($A847="","",IF($J847="","",ROUND($J847*41,1)))</f>
        <v>14.8</v>
      </c>
      <c r="AE847" s="18">
        <f>IF($A847="","",IF($R847="","",ROUND($R847*50,1)))</f>
        <v>17.4</v>
      </c>
      <c r="AF847" s="5">
        <f>IF($A847="","",IF($L847="","",ROUND($L847*100,0)))</f>
        <v>57</v>
      </c>
      <c r="AG847" s="18">
        <f>IF($A847="","",IF($M847="","",ROUND($M847*67,1)))</f>
        <v>9</v>
      </c>
      <c r="AH847" s="19">
        <f>IF($A847="","",IF($P847="","",IF($P847=0,0,$O847/$P847)))</f>
        <v>0.859649122807018</v>
      </c>
      <c r="AI847" s="5" t="str">
        <f>IF($A847="","",IF($P847="","",IF($P847&gt;=Lookups!$K$7,"High",IF($P847&lt;=Lookups!$K$8,"Low","Medium"))))</f>
        <v>High</v>
      </c>
      <c r="AJ847" s="5" t="str">
        <f>IF($A847="","",IF($AD847="","",IF($AD847&lt;5,"Under 5 C",IF($AD847&lt;10,"5-10 C",IF($AD847&lt;15,"10-15 C","15 C and above")))))</f>
        <v>10-15 C</v>
      </c>
      <c r="AK847" s="5">
        <f>IF($A847="","",IF($P847="","",$P847^2))</f>
        <v>12996</v>
      </c>
      <c r="AL847" s="18">
        <f>IF($V847&lt;&gt;1,"",AVERAGEIFS(Clean_Data!$P$2:$P$1001,Clean_Data!$F$2:$F$1001,$F847,Clean_Data!$W$2:$W$1001,$W847,Clean_Data!$V$2:$V$1001,1))</f>
        <v>82.6333333333333</v>
      </c>
      <c r="AM847" s="16">
        <f>IF($V847&lt;&gt;1,"",IFERROR(($P847-$AL847)/SQRT(MAX(0,(SUMIFS(Clean_Data!$AK$2:$AK$1001,Clean_Data!$F$2:$F$1001,$F847,Clean_Data!$W$2:$W$1001,$W847,Clean_Data!$V$2:$V$1001,1)-COUNTIFS(Clean_Data!$F$2:$F$1001,$F847,Clean_Data!$W$2:$W$1001,$W847,Clean_Data!$V$2:$V$1001,1)*$AL847^2)/(COUNTIFS(Clean_Data!$F$2:$F$1001,$F847,Clean_Data!$W$2:$W$1001,$W847,Clean_Data!$V$2:$V$1001,1)-1))),""))</f>
        <v>1.51209144169689</v>
      </c>
      <c r="AN847" s="5" t="str">
        <f>IF($AM847="","",IF($AM847&gt;=Lookups!$K$6,"High spike",IF($AM847&lt;=-Lookups!$K$6,"Unusual low","Normal")))</f>
        <v>Normal</v>
      </c>
      <c r="AO847" s="20">
        <f>IF($V847&lt;&gt;1,"",$P847+ROW()/100000)</f>
        <v>114.00847</v>
      </c>
      <c r="AP847" s="5">
        <f>IF($A847="","",IFERROR(MATCH($A847,Raw_D1!$A$2:$A$1001,0),""))</f>
        <v/>
      </c>
      <c r="AQ847" s="5">
        <f>IF($A847="","",IFERROR(MATCH($A847,Raw_D2!$B$2:$B$1001,0),""))</f>
        <v/>
      </c>
      <c r="AR847" s="5">
        <f>IF($A847="","",IFERROR(MATCH($A847,Raw_D3!$A$2:$A$1001,0),""))</f>
        <v>227</v>
      </c>
    </row>
    <row r="848" spans="1:44" x14ac:dyDescent="0.25">
      <c r="A848" s="5">
        <v>847</v>
      </c>
      <c r="B848" s="11">
        <f>IF($A848="","",IF($AP848&lt;&gt;"",INDEX(Raw_D1!$B$2:$B$1001,$AP848),IF($AR848&lt;&gt;"",INDEX(Raw_D3!$B$2:$B$1001,$AR848),"")))</f>
        <v>40581.0</v>
      </c>
      <c r="C848" s="5">
        <f>IF($A848="","",IF($AP848&lt;&gt;"",INDEX(Raw_D1!$C$2:$C$1001,$AP848),IF($AR848&lt;&gt;"",INDEX(Raw_D3!$C$2:$C$1001,$AR848),"")))</f>
        <v>1</v>
      </c>
      <c r="D848" s="5">
        <f>IF($A848="","",IF($AP848&lt;&gt;"",INDEX(Raw_D1!$D$2:$D$1001,$AP848),IF($AR848&lt;&gt;"",INDEX(Raw_D3!$D$2:$D$1001,$AR848),"")))</f>
        <v>0</v>
      </c>
      <c r="E848" s="5">
        <f>IF($A848="","",IF($AP848&lt;&gt;"",INDEX(Raw_D1!$E$2:$E$1001,$AP848),IF($AR848&lt;&gt;"",INDEX(Raw_D3!$E$2:$E$1001,$AR848),"")))</f>
        <v>2</v>
      </c>
      <c r="F848" s="5">
        <f>IF($A848="","",IF($AP848&lt;&gt;"",INDEX(Raw_D1!$F$2:$F$1001,$AP848),IF($AR848&lt;&gt;"",INDEX(Raw_D3!$F$2:$F$1001,$AR848),"")))</f>
        <v>17</v>
      </c>
      <c r="G848" s="5">
        <f>IF($A848="","",IF($AP848&lt;&gt;"",IF(INDEX(Raw_D1!$G$2:$G$1001,$AP848),1,0),IF($AR848&lt;&gt;"",IF(INDEX(Raw_D3!$G$2:$G$1001,$AR848),1,0),"")))</f>
        <v>0</v>
      </c>
      <c r="H848" s="5">
        <f>IF($A848="","",IF($AP848&lt;&gt;"",INDEX(Raw_D1!$H$2:$H$1001,$AP848),IF($AR848&lt;&gt;"",INDEX(Raw_D3!$H$2:$H$1001,$AR848),"")))</f>
        <v>1</v>
      </c>
      <c r="I848" s="5">
        <f>IF($A848="","",IF($AP848&lt;&gt;"",INDEX(Raw_D1!$I$2:$I$1001,$AP848),IF($AR848&lt;&gt;"",INDEX(Raw_D3!$I$2:$I$1001,$AR848),"")))</f>
        <v>2</v>
      </c>
      <c r="J848" s="16">
        <f>IF($A848="","",IF($AP848&lt;&gt;"",INDEX(Raw_D1!$J$2:$J$1001,$AP848),IF($AR848&lt;&gt;"",INDEX(Raw_D3!$J$2:$J$1001,$AR848),"")))</f>
        <v>0.32</v>
      </c>
      <c r="K848" s="17">
        <f>IF($A848="","",IF($AQ848&lt;&gt;"",IF(INDEX(Raw_D2!$C$2:$C$1001,$AQ848)="","",INDEX(Raw_D2!$C$2:$C$1001,$AQ848)),IF($AR848&lt;&gt;"",IF(INDEX(Raw_D3!$K$2:$K$1001,$AR848)="","",INDEX(Raw_D3!$K$2:$K$1001,$AR848)),"")))</f>
        <v>0.3182</v>
      </c>
      <c r="L848" s="16">
        <f>IF($A848="","",IF($AQ848&lt;&gt;"",IF(INDEX(Raw_D2!$D$2:$D$1001,$AQ848)="","",INDEX(Raw_D2!$D$2:$D$1001,$AQ848)),IF($AR848&lt;&gt;"",IF(INDEX(Raw_D3!$L$2:$L$1001,$AR848)="","",INDEX(Raw_D3!$L$2:$L$1001,$AR848)),"")))</f>
        <v>0.7</v>
      </c>
      <c r="M848" s="17">
        <f>IF($A848="","",IF($AQ848&lt;&gt;"",IF(INDEX(Raw_D2!$E$2:$E$1001,$AQ848)="","",INDEX(Raw_D2!$E$2:$E$1001,$AQ848)),IF($AR848&lt;&gt;"",IF(INDEX(Raw_D3!$M$2:$M$1001,$AR848)="","",INDEX(Raw_D3!$M$2:$M$1001,$AR848)),"")))</f>
        <v>0.1642</v>
      </c>
      <c r="N848" s="5">
        <f>IF($A848="","",IF($AQ848&lt;&gt;"",IF(INDEX(Raw_D2!$F$2:$F$1001,$AQ848)="","",INDEX(Raw_D2!$F$2:$F$1001,$AQ848)),IF($AR848&lt;&gt;"",IF(INDEX(Raw_D3!$N$2:$N$1001,$AR848)="","",INDEX(Raw_D3!$N$2:$N$1001,$AR848)),"")))</f>
        <v>9</v>
      </c>
      <c r="O848" s="5">
        <f>IF($A848="","",IF($AQ848&lt;&gt;"",IF(INDEX(Raw_D2!$G$2:$G$1001,$AQ848)="","",INDEX(Raw_D2!$G$2:$G$1001,$AQ848)),IF($AR848&lt;&gt;"",IF(INDEX(Raw_D3!$O$2:$O$1001,$AR848)="","",INDEX(Raw_D3!$O$2:$O$1001,$AR848)),"")))</f>
        <v>207</v>
      </c>
      <c r="P848" s="5">
        <f>IF($A848="","",IF($AQ848&lt;&gt;"",IF(INDEX(Raw_D2!$H$2:$H$1001,$AQ848)="","",INDEX(Raw_D2!$H$2:$H$1001,$AQ848)),IF($AR848&lt;&gt;"",IF(INDEX(Raw_D3!$P$2:$P$1001,$AR848)="","",INDEX(Raw_D3!$P$2:$P$1001,$AR848)),"")))</f>
        <v>216</v>
      </c>
      <c r="Q848" s="5" t="str">
        <f>IF($A848="","",IF(AND($AP848&lt;&gt;"",$AQ848&lt;&gt;""),"D1+D2",IF($AR848&lt;&gt;"","D3","Incomplete")))</f>
        <v>D3</v>
      </c>
      <c r="R848" s="17">
        <f>IF($A848="","",IF($K848="",IF($J848="","",ROUND(Lookups!$K$5+Lookups!$K$4*$J848,4)),$K848))</f>
        <v>0.3182</v>
      </c>
      <c r="S848" s="5" t="str">
        <f>IF($A848="","",IF($K848="","Imputed","Original"))</f>
        <v>Original</v>
      </c>
      <c r="T848" s="5" t="str">
        <f>IF($A848="","",IF($P848="","Missing",IF($P848=$N848+$O848,"OK","Mismatch")))</f>
        <v>OK</v>
      </c>
      <c r="U848" s="5" t="str">
        <f>IF($A848="","",IF(COUNTIF($A$2:$A848,$A848)&gt;1,"Duplicate","Unique"))</f>
        <v>Unique</v>
      </c>
      <c r="V848" s="5">
        <f>IF($A848="","",IF(AND($U848="Unique",ISNUMBER($P848)),1,0))</f>
        <v>1</v>
      </c>
      <c r="W848" s="5" t="str">
        <f>IF($A848="","",IF(OR($H848=0,$H848=6),"Weekend","Weekday"))</f>
        <v>Weekday</v>
      </c>
      <c r="X848" s="5" t="str">
        <f>IF($A848="","",TEXT($B848,"ddd"))</f>
        <v>Mon</v>
      </c>
      <c r="Y848" s="5" t="str">
        <f>IF($A848="","",TEXT($B848,"mmm"))</f>
        <v>Feb</v>
      </c>
      <c r="Z848" s="5" t="str">
        <f>IF($A848="","",IFERROR(VLOOKUP($C848,Lookups!$D$4:$E$7,2,FALSE),"Unknown"))</f>
        <v>Winter</v>
      </c>
      <c r="AA848" s="5" t="str">
        <f>IF($A848="","",IFERROR(VLOOKUP($I848,Lookups!$A$4:$B$7,2,FALSE),"Unknown"))</f>
        <v>Mist/Cloudy</v>
      </c>
      <c r="AB848" s="5" t="str">
        <f>IF($A848="","",TEXT($F848,"00")&amp;":00")</f>
        <v>17:00</v>
      </c>
      <c r="AC848" s="5" t="str">
        <f>IF($A848="","",VLOOKUP($F848,Lookups!$G$4:$H$8,2,TRUE))</f>
        <v>Evening Peak (16-19)</v>
      </c>
      <c r="AD848" s="18">
        <f>IF($A848="","",IF($J848="","",ROUND($J848*41,1)))</f>
        <v>13.1</v>
      </c>
      <c r="AE848" s="18">
        <f>IF($A848="","",IF($R848="","",ROUND($R848*50,1)))</f>
        <v>15.9</v>
      </c>
      <c r="AF848" s="5">
        <f>IF($A848="","",IF($L848="","",ROUND($L848*100,0)))</f>
        <v>70</v>
      </c>
      <c r="AG848" s="18">
        <f>IF($A848="","",IF($M848="","",ROUND($M848*67,1)))</f>
        <v>11</v>
      </c>
      <c r="AH848" s="19">
        <f>IF($A848="","",IF($P848="","",IF($P848=0,0,$O848/$P848)))</f>
        <v>0.958333333333333</v>
      </c>
      <c r="AI848" s="5" t="str">
        <f>IF($A848="","",IF($P848="","",IF($P848&gt;=Lookups!$K$7,"High",IF($P848&lt;=Lookups!$K$8,"Low","Medium"))))</f>
        <v>High</v>
      </c>
      <c r="AJ848" s="5" t="str">
        <f>IF($A848="","",IF($AD848="","",IF($AD848&lt;5,"Under 5 C",IF($AD848&lt;10,"5-10 C",IF($AD848&lt;15,"10-15 C","15 C and above")))))</f>
        <v>10-15 C</v>
      </c>
      <c r="AK848" s="5">
        <f>IF($A848="","",IF($P848="","",$P848^2))</f>
        <v>46656</v>
      </c>
      <c r="AL848" s="18">
        <f>IF($V848&lt;&gt;1,"",AVERAGEIFS(Clean_Data!$P$2:$P$1001,Clean_Data!$F$2:$F$1001,$F848,Clean_Data!$W$2:$W$1001,$W848,Clean_Data!$V$2:$V$1001,1))</f>
        <v>165.566666666667</v>
      </c>
      <c r="AM848" s="16">
        <f>IF($V848&lt;&gt;1,"",IFERROR(($P848-$AL848)/SQRT(MAX(0,(SUMIFS(Clean_Data!$AK$2:$AK$1001,Clean_Data!$F$2:$F$1001,$F848,Clean_Data!$W$2:$W$1001,$W848,Clean_Data!$V$2:$V$1001,1)-COUNTIFS(Clean_Data!$F$2:$F$1001,$F848,Clean_Data!$W$2:$W$1001,$W848,Clean_Data!$V$2:$V$1001,1)*$AL848^2)/(COUNTIFS(Clean_Data!$F$2:$F$1001,$F848,Clean_Data!$W$2:$W$1001,$W848,Clean_Data!$V$2:$V$1001,1)-1))),""))</f>
        <v>1.14587167308594</v>
      </c>
      <c r="AN848" s="5" t="str">
        <f>IF($AM848="","",IF($AM848&gt;=Lookups!$K$6,"High spike",IF($AM848&lt;=-Lookups!$K$6,"Unusual low","Normal")))</f>
        <v>Normal</v>
      </c>
      <c r="AO848" s="20">
        <f>IF($V848&lt;&gt;1,"",$P848+ROW()/100000)</f>
        <v>216.00848</v>
      </c>
      <c r="AP848" s="5">
        <f>IF($A848="","",IFERROR(MATCH($A848,Raw_D1!$A$2:$A$1001,0),""))</f>
        <v/>
      </c>
      <c r="AQ848" s="5">
        <f>IF($A848="","",IFERROR(MATCH($A848,Raw_D2!$B$2:$B$1001,0),""))</f>
        <v/>
      </c>
      <c r="AR848" s="5">
        <f>IF($A848="","",IFERROR(MATCH($A848,Raw_D3!$A$2:$A$1001,0),""))</f>
        <v>228</v>
      </c>
    </row>
    <row r="849" spans="1:44" x14ac:dyDescent="0.25">
      <c r="A849" s="5">
        <v>848</v>
      </c>
      <c r="B849" s="11">
        <f>IF($A849="","",IF($AP849&lt;&gt;"",INDEX(Raw_D1!$B$2:$B$1001,$AP849),IF($AR849&lt;&gt;"",INDEX(Raw_D3!$B$2:$B$1001,$AR849),"")))</f>
        <v>40581.0</v>
      </c>
      <c r="C849" s="5">
        <f>IF($A849="","",IF($AP849&lt;&gt;"",INDEX(Raw_D1!$C$2:$C$1001,$AP849),IF($AR849&lt;&gt;"",INDEX(Raw_D3!$C$2:$C$1001,$AR849),"")))</f>
        <v>1</v>
      </c>
      <c r="D849" s="5">
        <f>IF($A849="","",IF($AP849&lt;&gt;"",INDEX(Raw_D1!$D$2:$D$1001,$AP849),IF($AR849&lt;&gt;"",INDEX(Raw_D3!$D$2:$D$1001,$AR849),"")))</f>
        <v>0</v>
      </c>
      <c r="E849" s="5">
        <f>IF($A849="","",IF($AP849&lt;&gt;"",INDEX(Raw_D1!$E$2:$E$1001,$AP849),IF($AR849&lt;&gt;"",INDEX(Raw_D3!$E$2:$E$1001,$AR849),"")))</f>
        <v>2</v>
      </c>
      <c r="F849" s="5">
        <f>IF($A849="","",IF($AP849&lt;&gt;"",INDEX(Raw_D1!$F$2:$F$1001,$AP849),IF($AR849&lt;&gt;"",INDEX(Raw_D3!$F$2:$F$1001,$AR849),"")))</f>
        <v>18</v>
      </c>
      <c r="G849" s="5">
        <f>IF($A849="","",IF($AP849&lt;&gt;"",IF(INDEX(Raw_D1!$G$2:$G$1001,$AP849),1,0),IF($AR849&lt;&gt;"",IF(INDEX(Raw_D3!$G$2:$G$1001,$AR849),1,0),"")))</f>
        <v>0</v>
      </c>
      <c r="H849" s="5">
        <f>IF($A849="","",IF($AP849&lt;&gt;"",INDEX(Raw_D1!$H$2:$H$1001,$AP849),IF($AR849&lt;&gt;"",INDEX(Raw_D3!$H$2:$H$1001,$AR849),"")))</f>
        <v>1</v>
      </c>
      <c r="I849" s="5">
        <f>IF($A849="","",IF($AP849&lt;&gt;"",INDEX(Raw_D1!$I$2:$I$1001,$AP849),IF($AR849&lt;&gt;"",INDEX(Raw_D3!$I$2:$I$1001,$AR849),"")))</f>
        <v>2</v>
      </c>
      <c r="J849" s="16">
        <f>IF($A849="","",IF($AP849&lt;&gt;"",INDEX(Raw_D1!$J$2:$J$1001,$AP849),IF($AR849&lt;&gt;"",INDEX(Raw_D3!$J$2:$J$1001,$AR849),"")))</f>
        <v>0.34</v>
      </c>
      <c r="K849" s="17">
        <f>IF($A849="","",IF($AQ849&lt;&gt;"",IF(INDEX(Raw_D2!$C$2:$C$1001,$AQ849)="","",INDEX(Raw_D2!$C$2:$C$1001,$AQ849)),IF($AR849&lt;&gt;"",IF(INDEX(Raw_D3!$K$2:$K$1001,$AR849)="","",INDEX(Raw_D3!$K$2:$K$1001,$AR849)),"")))</f>
        <v>0.3333</v>
      </c>
      <c r="L849" s="16">
        <f>IF($A849="","",IF($AQ849&lt;&gt;"",IF(INDEX(Raw_D2!$D$2:$D$1001,$AQ849)="","",INDEX(Raw_D2!$D$2:$D$1001,$AQ849)),IF($AR849&lt;&gt;"",IF(INDEX(Raw_D3!$L$2:$L$1001,$AR849)="","",INDEX(Raw_D3!$L$2:$L$1001,$AR849)),"")))</f>
        <v>0.66</v>
      </c>
      <c r="M849" s="17">
        <f>IF($A849="","",IF($AQ849&lt;&gt;"",IF(INDEX(Raw_D2!$E$2:$E$1001,$AQ849)="","",INDEX(Raw_D2!$E$2:$E$1001,$AQ849)),IF($AR849&lt;&gt;"",IF(INDEX(Raw_D3!$M$2:$M$1001,$AR849)="","",INDEX(Raw_D3!$M$2:$M$1001,$AR849)),"")))</f>
        <v>0.1343</v>
      </c>
      <c r="N849" s="5">
        <f>IF($A849="","",IF($AQ849&lt;&gt;"",IF(INDEX(Raw_D2!$F$2:$F$1001,$AQ849)="","",INDEX(Raw_D2!$F$2:$F$1001,$AQ849)),IF($AR849&lt;&gt;"",IF(INDEX(Raw_D3!$N$2:$N$1001,$AR849)="","",INDEX(Raw_D3!$N$2:$N$1001,$AR849)),"")))</f>
        <v>5</v>
      </c>
      <c r="O849" s="5">
        <f>IF($A849="","",IF($AQ849&lt;&gt;"",IF(INDEX(Raw_D2!$G$2:$G$1001,$AQ849)="","",INDEX(Raw_D2!$G$2:$G$1001,$AQ849)),IF($AR849&lt;&gt;"",IF(INDEX(Raw_D3!$O$2:$O$1001,$AR849)="","",INDEX(Raw_D3!$O$2:$O$1001,$AR849)),"")))</f>
        <v>170</v>
      </c>
      <c r="P849" s="5">
        <f>IF($A849="","",IF($AQ849&lt;&gt;"",IF(INDEX(Raw_D2!$H$2:$H$1001,$AQ849)="","",INDEX(Raw_D2!$H$2:$H$1001,$AQ849)),IF($AR849&lt;&gt;"",IF(INDEX(Raw_D3!$P$2:$P$1001,$AR849)="","",INDEX(Raw_D3!$P$2:$P$1001,$AR849)),"")))</f>
        <v>175</v>
      </c>
      <c r="Q849" s="5" t="str">
        <f>IF($A849="","",IF(AND($AP849&lt;&gt;"",$AQ849&lt;&gt;""),"D1+D2",IF($AR849&lt;&gt;"","D3","Incomplete")))</f>
        <v>D3</v>
      </c>
      <c r="R849" s="17">
        <f>IF($A849="","",IF($K849="",IF($J849="","",ROUND(Lookups!$K$5+Lookups!$K$4*$J849,4)),$K849))</f>
        <v>0.3333</v>
      </c>
      <c r="S849" s="5" t="str">
        <f>IF($A849="","",IF($K849="","Imputed","Original"))</f>
        <v>Original</v>
      </c>
      <c r="T849" s="5" t="str">
        <f>IF($A849="","",IF($P849="","Missing",IF($P849=$N849+$O849,"OK","Mismatch")))</f>
        <v>OK</v>
      </c>
      <c r="U849" s="5" t="str">
        <f>IF($A849="","",IF(COUNTIF($A$2:$A849,$A849)&gt;1,"Duplicate","Unique"))</f>
        <v>Unique</v>
      </c>
      <c r="V849" s="5">
        <f>IF($A849="","",IF(AND($U849="Unique",ISNUMBER($P849)),1,0))</f>
        <v>1</v>
      </c>
      <c r="W849" s="5" t="str">
        <f>IF($A849="","",IF(OR($H849=0,$H849=6),"Weekend","Weekday"))</f>
        <v>Weekday</v>
      </c>
      <c r="X849" s="5" t="str">
        <f>IF($A849="","",TEXT($B849,"ddd"))</f>
        <v>Mon</v>
      </c>
      <c r="Y849" s="5" t="str">
        <f>IF($A849="","",TEXT($B849,"mmm"))</f>
        <v>Feb</v>
      </c>
      <c r="Z849" s="5" t="str">
        <f>IF($A849="","",IFERROR(VLOOKUP($C849,Lookups!$D$4:$E$7,2,FALSE),"Unknown"))</f>
        <v>Winter</v>
      </c>
      <c r="AA849" s="5" t="str">
        <f>IF($A849="","",IFERROR(VLOOKUP($I849,Lookups!$A$4:$B$7,2,FALSE),"Unknown"))</f>
        <v>Mist/Cloudy</v>
      </c>
      <c r="AB849" s="5" t="str">
        <f>IF($A849="","",TEXT($F849,"00")&amp;":00")</f>
        <v>18:00</v>
      </c>
      <c r="AC849" s="5" t="str">
        <f>IF($A849="","",VLOOKUP($F849,Lookups!$G$4:$H$8,2,TRUE))</f>
        <v>Evening Peak (16-19)</v>
      </c>
      <c r="AD849" s="18">
        <f>IF($A849="","",IF($J849="","",ROUND($J849*41,1)))</f>
        <v>13.9</v>
      </c>
      <c r="AE849" s="18">
        <f>IF($A849="","",IF($R849="","",ROUND($R849*50,1)))</f>
        <v>16.7</v>
      </c>
      <c r="AF849" s="5">
        <f>IF($A849="","",IF($L849="","",ROUND($L849*100,0)))</f>
        <v>66</v>
      </c>
      <c r="AG849" s="18">
        <f>IF($A849="","",IF($M849="","",ROUND($M849*67,1)))</f>
        <v>9</v>
      </c>
      <c r="AH849" s="19">
        <f>IF($A849="","",IF($P849="","",IF($P849=0,0,$O849/$P849)))</f>
        <v>0.971428571428571</v>
      </c>
      <c r="AI849" s="5" t="str">
        <f>IF($A849="","",IF($P849="","",IF($P849&gt;=Lookups!$K$7,"High",IF($P849&lt;=Lookups!$K$8,"Low","Medium"))))</f>
        <v>High</v>
      </c>
      <c r="AJ849" s="5" t="str">
        <f>IF($A849="","",IF($AD849="","",IF($AD849&lt;5,"Under 5 C",IF($AD849&lt;10,"5-10 C",IF($AD849&lt;15,"10-15 C","15 C and above")))))</f>
        <v>10-15 C</v>
      </c>
      <c r="AK849" s="5">
        <f>IF($A849="","",IF($P849="","",$P849^2))</f>
        <v>30625</v>
      </c>
      <c r="AL849" s="18">
        <f>IF($V849&lt;&gt;1,"",AVERAGEIFS(Clean_Data!$P$2:$P$1001,Clean_Data!$F$2:$F$1001,$F849,Clean_Data!$W$2:$W$1001,$W849,Clean_Data!$V$2:$V$1001,1))</f>
        <v>151.206896551724</v>
      </c>
      <c r="AM849" s="16">
        <f>IF($V849&lt;&gt;1,"",IFERROR(($P849-$AL849)/SQRT(MAX(0,(SUMIFS(Clean_Data!$AK$2:$AK$1001,Clean_Data!$F$2:$F$1001,$F849,Clean_Data!$W$2:$W$1001,$W849,Clean_Data!$V$2:$V$1001,1)-COUNTIFS(Clean_Data!$F$2:$F$1001,$F849,Clean_Data!$W$2:$W$1001,$W849,Clean_Data!$V$2:$V$1001,1)*$AL849^2)/(COUNTIFS(Clean_Data!$F$2:$F$1001,$F849,Clean_Data!$W$2:$W$1001,$W849,Clean_Data!$V$2:$V$1001,1)-1))),""))</f>
        <v>0.810685925011882</v>
      </c>
      <c r="AN849" s="5" t="str">
        <f>IF($AM849="","",IF($AM849&gt;=Lookups!$K$6,"High spike",IF($AM849&lt;=-Lookups!$K$6,"Unusual low","Normal")))</f>
        <v>Normal</v>
      </c>
      <c r="AO849" s="20">
        <f>IF($V849&lt;&gt;1,"",$P849+ROW()/100000)</f>
        <v>175.00849</v>
      </c>
      <c r="AP849" s="5">
        <f>IF($A849="","",IFERROR(MATCH($A849,Raw_D1!$A$2:$A$1001,0),""))</f>
        <v/>
      </c>
      <c r="AQ849" s="5">
        <f>IF($A849="","",IFERROR(MATCH($A849,Raw_D2!$B$2:$B$1001,0),""))</f>
        <v/>
      </c>
      <c r="AR849" s="5">
        <f>IF($A849="","",IFERROR(MATCH($A849,Raw_D3!$A$2:$A$1001,0),""))</f>
        <v>229</v>
      </c>
    </row>
    <row r="850" spans="1:44" x14ac:dyDescent="0.25">
      <c r="A850" s="5">
        <v>849</v>
      </c>
      <c r="B850" s="11">
        <f>IF($A850="","",IF($AP850&lt;&gt;"",INDEX(Raw_D1!$B$2:$B$1001,$AP850),IF($AR850&lt;&gt;"",INDEX(Raw_D3!$B$2:$B$1001,$AR850),"")))</f>
        <v>40581.0</v>
      </c>
      <c r="C850" s="5">
        <f>IF($A850="","",IF($AP850&lt;&gt;"",INDEX(Raw_D1!$C$2:$C$1001,$AP850),IF($AR850&lt;&gt;"",INDEX(Raw_D3!$C$2:$C$1001,$AR850),"")))</f>
        <v>1</v>
      </c>
      <c r="D850" s="5">
        <f>IF($A850="","",IF($AP850&lt;&gt;"",INDEX(Raw_D1!$D$2:$D$1001,$AP850),IF($AR850&lt;&gt;"",INDEX(Raw_D3!$D$2:$D$1001,$AR850),"")))</f>
        <v>0</v>
      </c>
      <c r="E850" s="5">
        <f>IF($A850="","",IF($AP850&lt;&gt;"",INDEX(Raw_D1!$E$2:$E$1001,$AP850),IF($AR850&lt;&gt;"",INDEX(Raw_D3!$E$2:$E$1001,$AR850),"")))</f>
        <v>2</v>
      </c>
      <c r="F850" s="5">
        <f>IF($A850="","",IF($AP850&lt;&gt;"",INDEX(Raw_D1!$F$2:$F$1001,$AP850),IF($AR850&lt;&gt;"",INDEX(Raw_D3!$F$2:$F$1001,$AR850),"")))</f>
        <v>19</v>
      </c>
      <c r="G850" s="5">
        <f>IF($A850="","",IF($AP850&lt;&gt;"",IF(INDEX(Raw_D1!$G$2:$G$1001,$AP850),1,0),IF($AR850&lt;&gt;"",IF(INDEX(Raw_D3!$G$2:$G$1001,$AR850),1,0),"")))</f>
        <v>0</v>
      </c>
      <c r="H850" s="5">
        <f>IF($A850="","",IF($AP850&lt;&gt;"",INDEX(Raw_D1!$H$2:$H$1001,$AP850),IF($AR850&lt;&gt;"",INDEX(Raw_D3!$H$2:$H$1001,$AR850),"")))</f>
        <v>1</v>
      </c>
      <c r="I850" s="5">
        <f>IF($A850="","",IF($AP850&lt;&gt;"",INDEX(Raw_D1!$I$2:$I$1001,$AP850),IF($AR850&lt;&gt;"",INDEX(Raw_D3!$I$2:$I$1001,$AR850),"")))</f>
        <v>2</v>
      </c>
      <c r="J850" s="16">
        <f>IF($A850="","",IF($AP850&lt;&gt;"",INDEX(Raw_D1!$J$2:$J$1001,$AP850),IF($AR850&lt;&gt;"",INDEX(Raw_D3!$J$2:$J$1001,$AR850),"")))</f>
        <v>0.32</v>
      </c>
      <c r="K850" s="17">
        <f>IF($A850="","",IF($AQ850&lt;&gt;"",IF(INDEX(Raw_D2!$C$2:$C$1001,$AQ850)="","",INDEX(Raw_D2!$C$2:$C$1001,$AQ850)),IF($AR850&lt;&gt;"",IF(INDEX(Raw_D3!$K$2:$K$1001,$AR850)="","",INDEX(Raw_D3!$K$2:$K$1001,$AR850)),"")))</f>
        <v>0.3485</v>
      </c>
      <c r="L850" s="16">
        <f>IF($A850="","",IF($AQ850&lt;&gt;"",IF(INDEX(Raw_D2!$D$2:$D$1001,$AQ850)="","",INDEX(Raw_D2!$D$2:$D$1001,$AQ850)),IF($AR850&lt;&gt;"",IF(INDEX(Raw_D3!$L$2:$L$1001,$AR850)="","",INDEX(Raw_D3!$L$2:$L$1001,$AR850)),"")))</f>
        <v>0.7</v>
      </c>
      <c r="M850" s="17">
        <f>IF($A850="","",IF($AQ850&lt;&gt;"",IF(INDEX(Raw_D2!$E$2:$E$1001,$AQ850)="","",INDEX(Raw_D2!$E$2:$E$1001,$AQ850)),IF($AR850&lt;&gt;"",IF(INDEX(Raw_D3!$M$2:$M$1001,$AR850)="","",INDEX(Raw_D3!$M$2:$M$1001,$AR850)),"")))</f>
        <v>0</v>
      </c>
      <c r="N850" s="5">
        <f>IF($A850="","",IF($AQ850&lt;&gt;"",IF(INDEX(Raw_D2!$F$2:$F$1001,$AQ850)="","",INDEX(Raw_D2!$F$2:$F$1001,$AQ850)),IF($AR850&lt;&gt;"",IF(INDEX(Raw_D3!$N$2:$N$1001,$AR850)="","",INDEX(Raw_D3!$N$2:$N$1001,$AR850)),"")))</f>
        <v>5</v>
      </c>
      <c r="O850" s="5">
        <f>IF($A850="","",IF($AQ850&lt;&gt;"",IF(INDEX(Raw_D2!$G$2:$G$1001,$AQ850)="","",INDEX(Raw_D2!$G$2:$G$1001,$AQ850)),IF($AR850&lt;&gt;"",IF(INDEX(Raw_D3!$O$2:$O$1001,$AR850)="","",INDEX(Raw_D3!$O$2:$O$1001,$AR850)),"")))</f>
        <v>123</v>
      </c>
      <c r="P850" s="5">
        <f>IF($A850="","",IF($AQ850&lt;&gt;"",IF(INDEX(Raw_D2!$H$2:$H$1001,$AQ850)="","",INDEX(Raw_D2!$H$2:$H$1001,$AQ850)),IF($AR850&lt;&gt;"",IF(INDEX(Raw_D3!$P$2:$P$1001,$AR850)="","",INDEX(Raw_D3!$P$2:$P$1001,$AR850)),"")))</f>
        <v>128</v>
      </c>
      <c r="Q850" s="5" t="str">
        <f>IF($A850="","",IF(AND($AP850&lt;&gt;"",$AQ850&lt;&gt;""),"D1+D2",IF($AR850&lt;&gt;"","D3","Incomplete")))</f>
        <v>D3</v>
      </c>
      <c r="R850" s="17">
        <f>IF($A850="","",IF($K850="",IF($J850="","",ROUND(Lookups!$K$5+Lookups!$K$4*$J850,4)),$K850))</f>
        <v>0.3485</v>
      </c>
      <c r="S850" s="5" t="str">
        <f>IF($A850="","",IF($K850="","Imputed","Original"))</f>
        <v>Original</v>
      </c>
      <c r="T850" s="5" t="str">
        <f>IF($A850="","",IF($P850="","Missing",IF($P850=$N850+$O850,"OK","Mismatch")))</f>
        <v>OK</v>
      </c>
      <c r="U850" s="5" t="str">
        <f>IF($A850="","",IF(COUNTIF($A$2:$A850,$A850)&gt;1,"Duplicate","Unique"))</f>
        <v>Unique</v>
      </c>
      <c r="V850" s="5">
        <f>IF($A850="","",IF(AND($U850="Unique",ISNUMBER($P850)),1,0))</f>
        <v>1</v>
      </c>
      <c r="W850" s="5" t="str">
        <f>IF($A850="","",IF(OR($H850=0,$H850=6),"Weekend","Weekday"))</f>
        <v>Weekday</v>
      </c>
      <c r="X850" s="5" t="str">
        <f>IF($A850="","",TEXT($B850,"ddd"))</f>
        <v>Mon</v>
      </c>
      <c r="Y850" s="5" t="str">
        <f>IF($A850="","",TEXT($B850,"mmm"))</f>
        <v>Feb</v>
      </c>
      <c r="Z850" s="5" t="str">
        <f>IF($A850="","",IFERROR(VLOOKUP($C850,Lookups!$D$4:$E$7,2,FALSE),"Unknown"))</f>
        <v>Winter</v>
      </c>
      <c r="AA850" s="5" t="str">
        <f>IF($A850="","",IFERROR(VLOOKUP($I850,Lookups!$A$4:$B$7,2,FALSE),"Unknown"))</f>
        <v>Mist/Cloudy</v>
      </c>
      <c r="AB850" s="5" t="str">
        <f>IF($A850="","",TEXT($F850,"00")&amp;":00")</f>
        <v>19:00</v>
      </c>
      <c r="AC850" s="5" t="str">
        <f>IF($A850="","",VLOOKUP($F850,Lookups!$G$4:$H$8,2,TRUE))</f>
        <v>Evening Peak (16-19)</v>
      </c>
      <c r="AD850" s="18">
        <f>IF($A850="","",IF($J850="","",ROUND($J850*41,1)))</f>
        <v>13.1</v>
      </c>
      <c r="AE850" s="18">
        <f>IF($A850="","",IF($R850="","",ROUND($R850*50,1)))</f>
        <v>17.4</v>
      </c>
      <c r="AF850" s="5">
        <f>IF($A850="","",IF($L850="","",ROUND($L850*100,0)))</f>
        <v>70</v>
      </c>
      <c r="AG850" s="18">
        <f>IF($A850="","",IF($M850="","",ROUND($M850*67,1)))</f>
        <v>0</v>
      </c>
      <c r="AH850" s="19">
        <f>IF($A850="","",IF($P850="","",IF($P850=0,0,$O850/$P850)))</f>
        <v>0.9609375</v>
      </c>
      <c r="AI850" s="5" t="str">
        <f>IF($A850="","",IF($P850="","",IF($P850&gt;=Lookups!$K$7,"High",IF($P850&lt;=Lookups!$K$8,"Low","Medium"))))</f>
        <v>High</v>
      </c>
      <c r="AJ850" s="5" t="str">
        <f>IF($A850="","",IF($AD850="","",IF($AD850&lt;5,"Under 5 C",IF($AD850&lt;10,"5-10 C",IF($AD850&lt;15,"10-15 C","15 C and above")))))</f>
        <v>10-15 C</v>
      </c>
      <c r="AK850" s="5">
        <f>IF($A850="","",IF($P850="","",$P850^2))</f>
        <v>16384</v>
      </c>
      <c r="AL850" s="18">
        <f>IF($V850&lt;&gt;1,"",AVERAGEIFS(Clean_Data!$P$2:$P$1001,Clean_Data!$F$2:$F$1001,$F850,Clean_Data!$W$2:$W$1001,$W850,Clean_Data!$V$2:$V$1001,1))</f>
        <v>102.034482758621</v>
      </c>
      <c r="AM850" s="16">
        <f>IF($V850&lt;&gt;1,"",IFERROR(($P850-$AL850)/SQRT(MAX(0,(SUMIFS(Clean_Data!$AK$2:$AK$1001,Clean_Data!$F$2:$F$1001,$F850,Clean_Data!$W$2:$W$1001,$W850,Clean_Data!$V$2:$V$1001,1)-COUNTIFS(Clean_Data!$F$2:$F$1001,$F850,Clean_Data!$W$2:$W$1001,$W850,Clean_Data!$V$2:$V$1001,1)*$AL850^2)/(COUNTIFS(Clean_Data!$F$2:$F$1001,$F850,Clean_Data!$W$2:$W$1001,$W850,Clean_Data!$V$2:$V$1001,1)-1))),""))</f>
        <v>1.22204126376411</v>
      </c>
      <c r="AN850" s="5" t="str">
        <f>IF($AM850="","",IF($AM850&gt;=Lookups!$K$6,"High spike",IF($AM850&lt;=-Lookups!$K$6,"Unusual low","Normal")))</f>
        <v>Normal</v>
      </c>
      <c r="AO850" s="20">
        <f>IF($V850&lt;&gt;1,"",$P850+ROW()/100000)</f>
        <v>128.0085</v>
      </c>
      <c r="AP850" s="5">
        <f>IF($A850="","",IFERROR(MATCH($A850,Raw_D1!$A$2:$A$1001,0),""))</f>
        <v/>
      </c>
      <c r="AQ850" s="5">
        <f>IF($A850="","",IFERROR(MATCH($A850,Raw_D2!$B$2:$B$1001,0),""))</f>
        <v/>
      </c>
      <c r="AR850" s="5">
        <f>IF($A850="","",IFERROR(MATCH($A850,Raw_D3!$A$2:$A$1001,0),""))</f>
        <v>230</v>
      </c>
    </row>
    <row r="851" spans="1:44" x14ac:dyDescent="0.25">
      <c r="A851" s="5">
        <v>850</v>
      </c>
      <c r="B851" s="11">
        <f>IF($A851="","",IF($AP851&lt;&gt;"",INDEX(Raw_D1!$B$2:$B$1001,$AP851),IF($AR851&lt;&gt;"",INDEX(Raw_D3!$B$2:$B$1001,$AR851),"")))</f>
        <v>40581.0</v>
      </c>
      <c r="C851" s="5">
        <f>IF($A851="","",IF($AP851&lt;&gt;"",INDEX(Raw_D1!$C$2:$C$1001,$AP851),IF($AR851&lt;&gt;"",INDEX(Raw_D3!$C$2:$C$1001,$AR851),"")))</f>
        <v>1</v>
      </c>
      <c r="D851" s="5">
        <f>IF($A851="","",IF($AP851&lt;&gt;"",INDEX(Raw_D1!$D$2:$D$1001,$AP851),IF($AR851&lt;&gt;"",INDEX(Raw_D3!$D$2:$D$1001,$AR851),"")))</f>
        <v>0</v>
      </c>
      <c r="E851" s="5">
        <f>IF($A851="","",IF($AP851&lt;&gt;"",INDEX(Raw_D1!$E$2:$E$1001,$AP851),IF($AR851&lt;&gt;"",INDEX(Raw_D3!$E$2:$E$1001,$AR851),"")))</f>
        <v>2</v>
      </c>
      <c r="F851" s="5">
        <f>IF($A851="","",IF($AP851&lt;&gt;"",INDEX(Raw_D1!$F$2:$F$1001,$AP851),IF($AR851&lt;&gt;"",INDEX(Raw_D3!$F$2:$F$1001,$AR851),"")))</f>
        <v>20</v>
      </c>
      <c r="G851" s="5">
        <f>IF($A851="","",IF($AP851&lt;&gt;"",IF(INDEX(Raw_D1!$G$2:$G$1001,$AP851),1,0),IF($AR851&lt;&gt;"",IF(INDEX(Raw_D3!$G$2:$G$1001,$AR851),1,0),"")))</f>
        <v>0</v>
      </c>
      <c r="H851" s="5">
        <f>IF($A851="","",IF($AP851&lt;&gt;"",INDEX(Raw_D1!$H$2:$H$1001,$AP851),IF($AR851&lt;&gt;"",INDEX(Raw_D3!$H$2:$H$1001,$AR851),"")))</f>
        <v>1</v>
      </c>
      <c r="I851" s="5">
        <f>IF($A851="","",IF($AP851&lt;&gt;"",INDEX(Raw_D1!$I$2:$I$1001,$AP851),IF($AR851&lt;&gt;"",INDEX(Raw_D3!$I$2:$I$1001,$AR851),"")))</f>
        <v>2</v>
      </c>
      <c r="J851" s="16">
        <f>IF($A851="","",IF($AP851&lt;&gt;"",INDEX(Raw_D1!$J$2:$J$1001,$AP851),IF($AR851&lt;&gt;"",INDEX(Raw_D3!$J$2:$J$1001,$AR851),"")))</f>
        <v>0.32</v>
      </c>
      <c r="K851" s="17">
        <f>IF($A851="","",IF($AQ851&lt;&gt;"",IF(INDEX(Raw_D2!$C$2:$C$1001,$AQ851)="","",INDEX(Raw_D2!$C$2:$C$1001,$AQ851)),IF($AR851&lt;&gt;"",IF(INDEX(Raw_D3!$K$2:$K$1001,$AR851)="","",INDEX(Raw_D3!$K$2:$K$1001,$AR851)),"")))</f>
        <v>0.3333</v>
      </c>
      <c r="L851" s="16">
        <f>IF($A851="","",IF($AQ851&lt;&gt;"",IF(INDEX(Raw_D2!$D$2:$D$1001,$AQ851)="","",INDEX(Raw_D2!$D$2:$D$1001,$AQ851)),IF($AR851&lt;&gt;"",IF(INDEX(Raw_D3!$L$2:$L$1001,$AR851)="","",INDEX(Raw_D3!$L$2:$L$1001,$AR851)),"")))</f>
        <v>0.7</v>
      </c>
      <c r="M851" s="17">
        <f>IF($A851="","",IF($AQ851&lt;&gt;"",IF(INDEX(Raw_D2!$E$2:$E$1001,$AQ851)="","",INDEX(Raw_D2!$E$2:$E$1001,$AQ851)),IF($AR851&lt;&gt;"",IF(INDEX(Raw_D3!$M$2:$M$1001,$AR851)="","",INDEX(Raw_D3!$M$2:$M$1001,$AR851)),"")))</f>
        <v>0.1045</v>
      </c>
      <c r="N851" s="5">
        <f>IF($A851="","",IF($AQ851&lt;&gt;"",IF(INDEX(Raw_D2!$F$2:$F$1001,$AQ851)="","",INDEX(Raw_D2!$F$2:$F$1001,$AQ851)),IF($AR851&lt;&gt;"",IF(INDEX(Raw_D3!$N$2:$N$1001,$AR851)="","",INDEX(Raw_D3!$N$2:$N$1001,$AR851)),"")))</f>
        <v>6</v>
      </c>
      <c r="O851" s="5">
        <f>IF($A851="","",IF($AQ851&lt;&gt;"",IF(INDEX(Raw_D2!$G$2:$G$1001,$AQ851)="","",INDEX(Raw_D2!$G$2:$G$1001,$AQ851)),IF($AR851&lt;&gt;"",IF(INDEX(Raw_D3!$O$2:$O$1001,$AR851)="","",INDEX(Raw_D3!$O$2:$O$1001,$AR851)),"")))</f>
        <v>82</v>
      </c>
      <c r="P851" s="5">
        <f>IF($A851="","",IF($AQ851&lt;&gt;"",IF(INDEX(Raw_D2!$H$2:$H$1001,$AQ851)="","",INDEX(Raw_D2!$H$2:$H$1001,$AQ851)),IF($AR851&lt;&gt;"",IF(INDEX(Raw_D3!$P$2:$P$1001,$AR851)="","",INDEX(Raw_D3!$P$2:$P$1001,$AR851)),"")))</f>
        <v>88</v>
      </c>
      <c r="Q851" s="5" t="str">
        <f>IF($A851="","",IF(AND($AP851&lt;&gt;"",$AQ851&lt;&gt;""),"D1+D2",IF($AR851&lt;&gt;"","D3","Incomplete")))</f>
        <v>D3</v>
      </c>
      <c r="R851" s="17">
        <f>IF($A851="","",IF($K851="",IF($J851="","",ROUND(Lookups!$K$5+Lookups!$K$4*$J851,4)),$K851))</f>
        <v>0.3333</v>
      </c>
      <c r="S851" s="5" t="str">
        <f>IF($A851="","",IF($K851="","Imputed","Original"))</f>
        <v>Original</v>
      </c>
      <c r="T851" s="5" t="str">
        <f>IF($A851="","",IF($P851="","Missing",IF($P851=$N851+$O851,"OK","Mismatch")))</f>
        <v>OK</v>
      </c>
      <c r="U851" s="5" t="str">
        <f>IF($A851="","",IF(COUNTIF($A$2:$A851,$A851)&gt;1,"Duplicate","Unique"))</f>
        <v>Unique</v>
      </c>
      <c r="V851" s="5">
        <f>IF($A851="","",IF(AND($U851="Unique",ISNUMBER($P851)),1,0))</f>
        <v>1</v>
      </c>
      <c r="W851" s="5" t="str">
        <f>IF($A851="","",IF(OR($H851=0,$H851=6),"Weekend","Weekday"))</f>
        <v>Weekday</v>
      </c>
      <c r="X851" s="5" t="str">
        <f>IF($A851="","",TEXT($B851,"ddd"))</f>
        <v>Mon</v>
      </c>
      <c r="Y851" s="5" t="str">
        <f>IF($A851="","",TEXT($B851,"mmm"))</f>
        <v>Feb</v>
      </c>
      <c r="Z851" s="5" t="str">
        <f>IF($A851="","",IFERROR(VLOOKUP($C851,Lookups!$D$4:$E$7,2,FALSE),"Unknown"))</f>
        <v>Winter</v>
      </c>
      <c r="AA851" s="5" t="str">
        <f>IF($A851="","",IFERROR(VLOOKUP($I851,Lookups!$A$4:$B$7,2,FALSE),"Unknown"))</f>
        <v>Mist/Cloudy</v>
      </c>
      <c r="AB851" s="5" t="str">
        <f>IF($A851="","",TEXT($F851,"00")&amp;":00")</f>
        <v>20:00</v>
      </c>
      <c r="AC851" s="5" t="str">
        <f>IF($A851="","",VLOOKUP($F851,Lookups!$G$4:$H$8,2,TRUE))</f>
        <v>Late Evening (20-23)</v>
      </c>
      <c r="AD851" s="18">
        <f>IF($A851="","",IF($J851="","",ROUND($J851*41,1)))</f>
        <v>13.1</v>
      </c>
      <c r="AE851" s="18">
        <f>IF($A851="","",IF($R851="","",ROUND($R851*50,1)))</f>
        <v>16.7</v>
      </c>
      <c r="AF851" s="5">
        <f>IF($A851="","",IF($L851="","",ROUND($L851*100,0)))</f>
        <v>70</v>
      </c>
      <c r="AG851" s="18">
        <f>IF($A851="","",IF($M851="","",ROUND($M851*67,1)))</f>
        <v>7</v>
      </c>
      <c r="AH851" s="19">
        <f>IF($A851="","",IF($P851="","",IF($P851=0,0,$O851/$P851)))</f>
        <v>0.931818181818182</v>
      </c>
      <c r="AI851" s="5" t="str">
        <f>IF($A851="","",IF($P851="","",IF($P851&gt;=Lookups!$K$7,"High",IF($P851&lt;=Lookups!$K$8,"Low","Medium"))))</f>
        <v>High</v>
      </c>
      <c r="AJ851" s="5" t="str">
        <f>IF($A851="","",IF($AD851="","",IF($AD851&lt;5,"Under 5 C",IF($AD851&lt;10,"5-10 C",IF($AD851&lt;15,"10-15 C","15 C and above")))))</f>
        <v>10-15 C</v>
      </c>
      <c r="AK851" s="5">
        <f>IF($A851="","",IF($P851="","",$P851^2))</f>
        <v>7744</v>
      </c>
      <c r="AL851" s="18">
        <f>IF($V851&lt;&gt;1,"",AVERAGEIFS(Clean_Data!$P$2:$P$1001,Clean_Data!$F$2:$F$1001,$F851,Clean_Data!$W$2:$W$1001,$W851,Clean_Data!$V$2:$V$1001,1))</f>
        <v>72.2758620689655</v>
      </c>
      <c r="AM851" s="16">
        <f>IF($V851&lt;&gt;1,"",IFERROR(($P851-$AL851)/SQRT(MAX(0,(SUMIFS(Clean_Data!$AK$2:$AK$1001,Clean_Data!$F$2:$F$1001,$F851,Clean_Data!$W$2:$W$1001,$W851,Clean_Data!$V$2:$V$1001,1)-COUNTIFS(Clean_Data!$F$2:$F$1001,$F851,Clean_Data!$W$2:$W$1001,$W851,Clean_Data!$V$2:$V$1001,1)*$AL851^2)/(COUNTIFS(Clean_Data!$F$2:$F$1001,$F851,Clean_Data!$W$2:$W$1001,$W851,Clean_Data!$V$2:$V$1001,1)-1))),""))</f>
        <v>0.711491309056102</v>
      </c>
      <c r="AN851" s="5" t="str">
        <f>IF($AM851="","",IF($AM851&gt;=Lookups!$K$6,"High spike",IF($AM851&lt;=-Lookups!$K$6,"Unusual low","Normal")))</f>
        <v>Normal</v>
      </c>
      <c r="AO851" s="20">
        <f>IF($V851&lt;&gt;1,"",$P851+ROW()/100000)</f>
        <v>88.00851</v>
      </c>
      <c r="AP851" s="5">
        <f>IF($A851="","",IFERROR(MATCH($A851,Raw_D1!$A$2:$A$1001,0),""))</f>
        <v/>
      </c>
      <c r="AQ851" s="5">
        <f>IF($A851="","",IFERROR(MATCH($A851,Raw_D2!$B$2:$B$1001,0),""))</f>
        <v/>
      </c>
      <c r="AR851" s="5">
        <f>IF($A851="","",IFERROR(MATCH($A851,Raw_D3!$A$2:$A$1001,0),""))</f>
        <v>231</v>
      </c>
    </row>
    <row r="852" spans="1:44" x14ac:dyDescent="0.25">
      <c r="A852" s="5">
        <v>851</v>
      </c>
      <c r="B852" s="11">
        <f>IF($A852="","",IF($AP852&lt;&gt;"",INDEX(Raw_D1!$B$2:$B$1001,$AP852),IF($AR852&lt;&gt;"",INDEX(Raw_D3!$B$2:$B$1001,$AR852),"")))</f>
        <v>40581.0</v>
      </c>
      <c r="C852" s="5">
        <f>IF($A852="","",IF($AP852&lt;&gt;"",INDEX(Raw_D1!$C$2:$C$1001,$AP852),IF($AR852&lt;&gt;"",INDEX(Raw_D3!$C$2:$C$1001,$AR852),"")))</f>
        <v>1</v>
      </c>
      <c r="D852" s="5">
        <f>IF($A852="","",IF($AP852&lt;&gt;"",INDEX(Raw_D1!$D$2:$D$1001,$AP852),IF($AR852&lt;&gt;"",INDEX(Raw_D3!$D$2:$D$1001,$AR852),"")))</f>
        <v>0</v>
      </c>
      <c r="E852" s="5">
        <f>IF($A852="","",IF($AP852&lt;&gt;"",INDEX(Raw_D1!$E$2:$E$1001,$AP852),IF($AR852&lt;&gt;"",INDEX(Raw_D3!$E$2:$E$1001,$AR852),"")))</f>
        <v>2</v>
      </c>
      <c r="F852" s="5">
        <f>IF($A852="","",IF($AP852&lt;&gt;"",INDEX(Raw_D1!$F$2:$F$1001,$AP852),IF($AR852&lt;&gt;"",INDEX(Raw_D3!$F$2:$F$1001,$AR852),"")))</f>
        <v>21</v>
      </c>
      <c r="G852" s="5">
        <f>IF($A852="","",IF($AP852&lt;&gt;"",IF(INDEX(Raw_D1!$G$2:$G$1001,$AP852),1,0),IF($AR852&lt;&gt;"",IF(INDEX(Raw_D3!$G$2:$G$1001,$AR852),1,0),"")))</f>
        <v>0</v>
      </c>
      <c r="H852" s="5">
        <f>IF($A852="","",IF($AP852&lt;&gt;"",INDEX(Raw_D1!$H$2:$H$1001,$AP852),IF($AR852&lt;&gt;"",INDEX(Raw_D3!$H$2:$H$1001,$AR852),"")))</f>
        <v>1</v>
      </c>
      <c r="I852" s="5">
        <f>IF($A852="","",IF($AP852&lt;&gt;"",INDEX(Raw_D1!$I$2:$I$1001,$AP852),IF($AR852&lt;&gt;"",INDEX(Raw_D3!$I$2:$I$1001,$AR852),"")))</f>
        <v>1</v>
      </c>
      <c r="J852" s="16">
        <f>IF($A852="","",IF($AP852&lt;&gt;"",INDEX(Raw_D1!$J$2:$J$1001,$AP852),IF($AR852&lt;&gt;"",INDEX(Raw_D3!$J$2:$J$1001,$AR852),"")))</f>
        <v>0.32</v>
      </c>
      <c r="K852" s="17">
        <f>IF($A852="","",IF($AQ852&lt;&gt;"",IF(INDEX(Raw_D2!$C$2:$C$1001,$AQ852)="","",INDEX(Raw_D2!$C$2:$C$1001,$AQ852)),IF($AR852&lt;&gt;"",IF(INDEX(Raw_D3!$K$2:$K$1001,$AR852)="","",INDEX(Raw_D3!$K$2:$K$1001,$AR852)),"")))</f>
        <v>0.3485</v>
      </c>
      <c r="L852" s="16">
        <f>IF($A852="","",IF($AQ852&lt;&gt;"",IF(INDEX(Raw_D2!$D$2:$D$1001,$AQ852)="","",INDEX(Raw_D2!$D$2:$D$1001,$AQ852)),IF($AR852&lt;&gt;"",IF(INDEX(Raw_D3!$L$2:$L$1001,$AR852)="","",INDEX(Raw_D3!$L$2:$L$1001,$AR852)),"")))</f>
        <v>0.7</v>
      </c>
      <c r="M852" s="17">
        <f>IF($A852="","",IF($AQ852&lt;&gt;"",IF(INDEX(Raw_D2!$E$2:$E$1001,$AQ852)="","",INDEX(Raw_D2!$E$2:$E$1001,$AQ852)),IF($AR852&lt;&gt;"",IF(INDEX(Raw_D3!$M$2:$M$1001,$AR852)="","",INDEX(Raw_D3!$M$2:$M$1001,$AR852)),"")))</f>
        <v>0</v>
      </c>
      <c r="N852" s="5">
        <f>IF($A852="","",IF($AQ852&lt;&gt;"",IF(INDEX(Raw_D2!$F$2:$F$1001,$AQ852)="","",INDEX(Raw_D2!$F$2:$F$1001,$AQ852)),IF($AR852&lt;&gt;"",IF(INDEX(Raw_D3!$N$2:$N$1001,$AR852)="","",INDEX(Raw_D3!$N$2:$N$1001,$AR852)),"")))</f>
        <v>3</v>
      </c>
      <c r="O852" s="5">
        <f>IF($A852="","",IF($AQ852&lt;&gt;"",IF(INDEX(Raw_D2!$G$2:$G$1001,$AQ852)="","",INDEX(Raw_D2!$G$2:$G$1001,$AQ852)),IF($AR852&lt;&gt;"",IF(INDEX(Raw_D3!$O$2:$O$1001,$AR852)="","",INDEX(Raw_D3!$O$2:$O$1001,$AR852)),"")))</f>
        <v>75</v>
      </c>
      <c r="P852" s="5">
        <f>IF($A852="","",IF($AQ852&lt;&gt;"",IF(INDEX(Raw_D2!$H$2:$H$1001,$AQ852)="","",INDEX(Raw_D2!$H$2:$H$1001,$AQ852)),IF($AR852&lt;&gt;"",IF(INDEX(Raw_D3!$P$2:$P$1001,$AR852)="","",INDEX(Raw_D3!$P$2:$P$1001,$AR852)),"")))</f>
        <v>78</v>
      </c>
      <c r="Q852" s="5" t="str">
        <f>IF($A852="","",IF(AND($AP852&lt;&gt;"",$AQ852&lt;&gt;""),"D1+D2",IF($AR852&lt;&gt;"","D3","Incomplete")))</f>
        <v>D3</v>
      </c>
      <c r="R852" s="17">
        <f>IF($A852="","",IF($K852="",IF($J852="","",ROUND(Lookups!$K$5+Lookups!$K$4*$J852,4)),$K852))</f>
        <v>0.3485</v>
      </c>
      <c r="S852" s="5" t="str">
        <f>IF($A852="","",IF($K852="","Imputed","Original"))</f>
        <v>Original</v>
      </c>
      <c r="T852" s="5" t="str">
        <f>IF($A852="","",IF($P852="","Missing",IF($P852=$N852+$O852,"OK","Mismatch")))</f>
        <v>OK</v>
      </c>
      <c r="U852" s="5" t="str">
        <f>IF($A852="","",IF(COUNTIF($A$2:$A852,$A852)&gt;1,"Duplicate","Unique"))</f>
        <v>Unique</v>
      </c>
      <c r="V852" s="5">
        <f>IF($A852="","",IF(AND($U852="Unique",ISNUMBER($P852)),1,0))</f>
        <v>1</v>
      </c>
      <c r="W852" s="5" t="str">
        <f>IF($A852="","",IF(OR($H852=0,$H852=6),"Weekend","Weekday"))</f>
        <v>Weekday</v>
      </c>
      <c r="X852" s="5" t="str">
        <f>IF($A852="","",TEXT($B852,"ddd"))</f>
        <v>Mon</v>
      </c>
      <c r="Y852" s="5" t="str">
        <f>IF($A852="","",TEXT($B852,"mmm"))</f>
        <v>Feb</v>
      </c>
      <c r="Z852" s="5" t="str">
        <f>IF($A852="","",IFERROR(VLOOKUP($C852,Lookups!$D$4:$E$7,2,FALSE),"Unknown"))</f>
        <v>Winter</v>
      </c>
      <c r="AA852" s="5" t="str">
        <f>IF($A852="","",IFERROR(VLOOKUP($I852,Lookups!$A$4:$B$7,2,FALSE),"Unknown"))</f>
        <v>Clear</v>
      </c>
      <c r="AB852" s="5" t="str">
        <f>IF($A852="","",TEXT($F852,"00")&amp;":00")</f>
        <v>21:00</v>
      </c>
      <c r="AC852" s="5" t="str">
        <f>IF($A852="","",VLOOKUP($F852,Lookups!$G$4:$H$8,2,TRUE))</f>
        <v>Late Evening (20-23)</v>
      </c>
      <c r="AD852" s="18">
        <f>IF($A852="","",IF($J852="","",ROUND($J852*41,1)))</f>
        <v>13.1</v>
      </c>
      <c r="AE852" s="18">
        <f>IF($A852="","",IF($R852="","",ROUND($R852*50,1)))</f>
        <v>17.4</v>
      </c>
      <c r="AF852" s="5">
        <f>IF($A852="","",IF($L852="","",ROUND($L852*100,0)))</f>
        <v>70</v>
      </c>
      <c r="AG852" s="18">
        <f>IF($A852="","",IF($M852="","",ROUND($M852*67,1)))</f>
        <v>0</v>
      </c>
      <c r="AH852" s="19">
        <f>IF($A852="","",IF($P852="","",IF($P852=0,0,$O852/$P852)))</f>
        <v>0.961538461538462</v>
      </c>
      <c r="AI852" s="5" t="str">
        <f>IF($A852="","",IF($P852="","",IF($P852&gt;=Lookups!$K$7,"High",IF($P852&lt;=Lookups!$K$8,"Low","Medium"))))</f>
        <v>Medium</v>
      </c>
      <c r="AJ852" s="5" t="str">
        <f>IF($A852="","",IF($AD852="","",IF($AD852&lt;5,"Under 5 C",IF($AD852&lt;10,"5-10 C",IF($AD852&lt;15,"10-15 C","15 C and above")))))</f>
        <v>10-15 C</v>
      </c>
      <c r="AK852" s="5">
        <f>IF($A852="","",IF($P852="","",$P852^2))</f>
        <v>6084</v>
      </c>
      <c r="AL852" s="18">
        <f>IF($V852&lt;&gt;1,"",AVERAGEIFS(Clean_Data!$P$2:$P$1001,Clean_Data!$F$2:$F$1001,$F852,Clean_Data!$W$2:$W$1001,$W852,Clean_Data!$V$2:$V$1001,1))</f>
        <v>50.8965517241379</v>
      </c>
      <c r="AM852" s="16">
        <f>IF($V852&lt;&gt;1,"",IFERROR(($P852-$AL852)/SQRT(MAX(0,(SUMIFS(Clean_Data!$AK$2:$AK$1001,Clean_Data!$F$2:$F$1001,$F852,Clean_Data!$W$2:$W$1001,$W852,Clean_Data!$V$2:$V$1001,1)-COUNTIFS(Clean_Data!$F$2:$F$1001,$F852,Clean_Data!$W$2:$W$1001,$W852,Clean_Data!$V$2:$V$1001,1)*$AL852^2)/(COUNTIFS(Clean_Data!$F$2:$F$1001,$F852,Clean_Data!$W$2:$W$1001,$W852,Clean_Data!$V$2:$V$1001,1)-1))),""))</f>
        <v>1.96284599451433</v>
      </c>
      <c r="AN852" s="5" t="str">
        <f>IF($AM852="","",IF($AM852&gt;=Lookups!$K$6,"High spike",IF($AM852&lt;=-Lookups!$K$6,"Unusual low","Normal")))</f>
        <v>Normal</v>
      </c>
      <c r="AO852" s="20">
        <f>IF($V852&lt;&gt;1,"",$P852+ROW()/100000)</f>
        <v>78.00852</v>
      </c>
      <c r="AP852" s="5">
        <f>IF($A852="","",IFERROR(MATCH($A852,Raw_D1!$A$2:$A$1001,0),""))</f>
        <v/>
      </c>
      <c r="AQ852" s="5">
        <f>IF($A852="","",IFERROR(MATCH($A852,Raw_D2!$B$2:$B$1001,0),""))</f>
        <v/>
      </c>
      <c r="AR852" s="5">
        <f>IF($A852="","",IFERROR(MATCH($A852,Raw_D3!$A$2:$A$1001,0),""))</f>
        <v>232</v>
      </c>
    </row>
    <row r="853" spans="1:44" x14ac:dyDescent="0.25">
      <c r="A853" s="5">
        <v>852</v>
      </c>
      <c r="B853" s="11">
        <f>IF($A853="","",IF($AP853&lt;&gt;"",INDEX(Raw_D1!$B$2:$B$1001,$AP853),IF($AR853&lt;&gt;"",INDEX(Raw_D3!$B$2:$B$1001,$AR853),"")))</f>
        <v>40581.0</v>
      </c>
      <c r="C853" s="5">
        <f>IF($A853="","",IF($AP853&lt;&gt;"",INDEX(Raw_D1!$C$2:$C$1001,$AP853),IF($AR853&lt;&gt;"",INDEX(Raw_D3!$C$2:$C$1001,$AR853),"")))</f>
        <v>1</v>
      </c>
      <c r="D853" s="5">
        <f>IF($A853="","",IF($AP853&lt;&gt;"",INDEX(Raw_D1!$D$2:$D$1001,$AP853),IF($AR853&lt;&gt;"",INDEX(Raw_D3!$D$2:$D$1001,$AR853),"")))</f>
        <v>0</v>
      </c>
      <c r="E853" s="5">
        <f>IF($A853="","",IF($AP853&lt;&gt;"",INDEX(Raw_D1!$E$2:$E$1001,$AP853),IF($AR853&lt;&gt;"",INDEX(Raw_D3!$E$2:$E$1001,$AR853),"")))</f>
        <v>2</v>
      </c>
      <c r="F853" s="5">
        <f>IF($A853="","",IF($AP853&lt;&gt;"",INDEX(Raw_D1!$F$2:$F$1001,$AP853),IF($AR853&lt;&gt;"",INDEX(Raw_D3!$F$2:$F$1001,$AR853),"")))</f>
        <v>22</v>
      </c>
      <c r="G853" s="5">
        <f>IF($A853="","",IF($AP853&lt;&gt;"",IF(INDEX(Raw_D1!$G$2:$G$1001,$AP853),1,0),IF($AR853&lt;&gt;"",IF(INDEX(Raw_D3!$G$2:$G$1001,$AR853),1,0),"")))</f>
        <v>0</v>
      </c>
      <c r="H853" s="5">
        <f>IF($A853="","",IF($AP853&lt;&gt;"",INDEX(Raw_D1!$H$2:$H$1001,$AP853),IF($AR853&lt;&gt;"",INDEX(Raw_D3!$H$2:$H$1001,$AR853),"")))</f>
        <v>1</v>
      </c>
      <c r="I853" s="5">
        <f>IF($A853="","",IF($AP853&lt;&gt;"",INDEX(Raw_D1!$I$2:$I$1001,$AP853),IF($AR853&lt;&gt;"",INDEX(Raw_D3!$I$2:$I$1001,$AR853),"")))</f>
        <v>1</v>
      </c>
      <c r="J853" s="16">
        <f>IF($A853="","",IF($AP853&lt;&gt;"",INDEX(Raw_D1!$J$2:$J$1001,$AP853),IF($AR853&lt;&gt;"",INDEX(Raw_D3!$J$2:$J$1001,$AR853),"")))</f>
        <v>0.28</v>
      </c>
      <c r="K853" s="17">
        <f>IF($A853="","",IF($AQ853&lt;&gt;"",IF(INDEX(Raw_D2!$C$2:$C$1001,$AQ853)="","",INDEX(Raw_D2!$C$2:$C$1001,$AQ853)),IF($AR853&lt;&gt;"",IF(INDEX(Raw_D3!$K$2:$K$1001,$AR853)="","",INDEX(Raw_D3!$K$2:$K$1001,$AR853)),"")))</f>
        <v>0.303</v>
      </c>
      <c r="L853" s="16">
        <f>IF($A853="","",IF($AQ853&lt;&gt;"",IF(INDEX(Raw_D2!$D$2:$D$1001,$AQ853)="","",INDEX(Raw_D2!$D$2:$D$1001,$AQ853)),IF($AR853&lt;&gt;"",IF(INDEX(Raw_D3!$L$2:$L$1001,$AR853)="","",INDEX(Raw_D3!$L$2:$L$1001,$AR853)),"")))</f>
        <v>0.81</v>
      </c>
      <c r="M853" s="17">
        <f>IF($A853="","",IF($AQ853&lt;&gt;"",IF(INDEX(Raw_D2!$E$2:$E$1001,$AQ853)="","",INDEX(Raw_D2!$E$2:$E$1001,$AQ853)),IF($AR853&lt;&gt;"",IF(INDEX(Raw_D3!$M$2:$M$1001,$AR853)="","",INDEX(Raw_D3!$M$2:$M$1001,$AR853)),"")))</f>
        <v>0.0896</v>
      </c>
      <c r="N853" s="5">
        <f>IF($A853="","",IF($AQ853&lt;&gt;"",IF(INDEX(Raw_D2!$F$2:$F$1001,$AQ853)="","",INDEX(Raw_D2!$F$2:$F$1001,$AQ853)),IF($AR853&lt;&gt;"",IF(INDEX(Raw_D3!$N$2:$N$1001,$AR853)="","",INDEX(Raw_D3!$N$2:$N$1001,$AR853)),"")))</f>
        <v>3</v>
      </c>
      <c r="O853" s="5">
        <f>IF($A853="","",IF($AQ853&lt;&gt;"",IF(INDEX(Raw_D2!$G$2:$G$1001,$AQ853)="","",INDEX(Raw_D2!$G$2:$G$1001,$AQ853)),IF($AR853&lt;&gt;"",IF(INDEX(Raw_D3!$O$2:$O$1001,$AR853)="","",INDEX(Raw_D3!$O$2:$O$1001,$AR853)),"")))</f>
        <v>34</v>
      </c>
      <c r="P853" s="5">
        <f>IF($A853="","",IF($AQ853&lt;&gt;"",IF(INDEX(Raw_D2!$H$2:$H$1001,$AQ853)="","",INDEX(Raw_D2!$H$2:$H$1001,$AQ853)),IF($AR853&lt;&gt;"",IF(INDEX(Raw_D3!$P$2:$P$1001,$AR853)="","",INDEX(Raw_D3!$P$2:$P$1001,$AR853)),"")))</f>
        <v>37</v>
      </c>
      <c r="Q853" s="5" t="str">
        <f>IF($A853="","",IF(AND($AP853&lt;&gt;"",$AQ853&lt;&gt;""),"D1+D2",IF($AR853&lt;&gt;"","D3","Incomplete")))</f>
        <v>D3</v>
      </c>
      <c r="R853" s="17">
        <f>IF($A853="","",IF($K853="",IF($J853="","",ROUND(Lookups!$K$5+Lookups!$K$4*$J853,4)),$K853))</f>
        <v>0.303</v>
      </c>
      <c r="S853" s="5" t="str">
        <f>IF($A853="","",IF($K853="","Imputed","Original"))</f>
        <v>Original</v>
      </c>
      <c r="T853" s="5" t="str">
        <f>IF($A853="","",IF($P853="","Missing",IF($P853=$N853+$O853,"OK","Mismatch")))</f>
        <v>OK</v>
      </c>
      <c r="U853" s="5" t="str">
        <f>IF($A853="","",IF(COUNTIF($A$2:$A853,$A853)&gt;1,"Duplicate","Unique"))</f>
        <v>Unique</v>
      </c>
      <c r="V853" s="5">
        <f>IF($A853="","",IF(AND($U853="Unique",ISNUMBER($P853)),1,0))</f>
        <v>1</v>
      </c>
      <c r="W853" s="5" t="str">
        <f>IF($A853="","",IF(OR($H853=0,$H853=6),"Weekend","Weekday"))</f>
        <v>Weekday</v>
      </c>
      <c r="X853" s="5" t="str">
        <f>IF($A853="","",TEXT($B853,"ddd"))</f>
        <v>Mon</v>
      </c>
      <c r="Y853" s="5" t="str">
        <f>IF($A853="","",TEXT($B853,"mmm"))</f>
        <v>Feb</v>
      </c>
      <c r="Z853" s="5" t="str">
        <f>IF($A853="","",IFERROR(VLOOKUP($C853,Lookups!$D$4:$E$7,2,FALSE),"Unknown"))</f>
        <v>Winter</v>
      </c>
      <c r="AA853" s="5" t="str">
        <f>IF($A853="","",IFERROR(VLOOKUP($I853,Lookups!$A$4:$B$7,2,FALSE),"Unknown"))</f>
        <v>Clear</v>
      </c>
      <c r="AB853" s="5" t="str">
        <f>IF($A853="","",TEXT($F853,"00")&amp;":00")</f>
        <v>22:00</v>
      </c>
      <c r="AC853" s="5" t="str">
        <f>IF($A853="","",VLOOKUP($F853,Lookups!$G$4:$H$8,2,TRUE))</f>
        <v>Late Evening (20-23)</v>
      </c>
      <c r="AD853" s="18">
        <f>IF($A853="","",IF($J853="","",ROUND($J853*41,1)))</f>
        <v>11.5</v>
      </c>
      <c r="AE853" s="18">
        <f>IF($A853="","",IF($R853="","",ROUND($R853*50,1)))</f>
        <v>15.2</v>
      </c>
      <c r="AF853" s="5">
        <f>IF($A853="","",IF($L853="","",ROUND($L853*100,0)))</f>
        <v>81</v>
      </c>
      <c r="AG853" s="18">
        <f>IF($A853="","",IF($M853="","",ROUND($M853*67,1)))</f>
        <v>6</v>
      </c>
      <c r="AH853" s="19">
        <f>IF($A853="","",IF($P853="","",IF($P853=0,0,$O853/$P853)))</f>
        <v>0.918918918918919</v>
      </c>
      <c r="AI853" s="5" t="str">
        <f>IF($A853="","",IF($P853="","",IF($P853&gt;=Lookups!$K$7,"High",IF($P853&lt;=Lookups!$K$8,"Low","Medium"))))</f>
        <v>Medium</v>
      </c>
      <c r="AJ853" s="5" t="str">
        <f>IF($A853="","",IF($AD853="","",IF($AD853&lt;5,"Under 5 C",IF($AD853&lt;10,"5-10 C",IF($AD853&lt;15,"10-15 C","15 C and above")))))</f>
        <v>10-15 C</v>
      </c>
      <c r="AK853" s="5">
        <f>IF($A853="","",IF($P853="","",$P853^2))</f>
        <v>1369</v>
      </c>
      <c r="AL853" s="18">
        <f>IF($V853&lt;&gt;1,"",AVERAGEIFS(Clean_Data!$P$2:$P$1001,Clean_Data!$F$2:$F$1001,$F853,Clean_Data!$W$2:$W$1001,$W853,Clean_Data!$V$2:$V$1001,1))</f>
        <v>37.1034482758621</v>
      </c>
      <c r="AM853" s="16">
        <f>IF($V853&lt;&gt;1,"",IFERROR(($P853-$AL853)/SQRT(MAX(0,(SUMIFS(Clean_Data!$AK$2:$AK$1001,Clean_Data!$F$2:$F$1001,$F853,Clean_Data!$W$2:$W$1001,$W853,Clean_Data!$V$2:$V$1001,1)-COUNTIFS(Clean_Data!$F$2:$F$1001,$F853,Clean_Data!$W$2:$W$1001,$W853,Clean_Data!$V$2:$V$1001,1)*$AL853^2)/(COUNTIFS(Clean_Data!$F$2:$F$1001,$F853,Clean_Data!$W$2:$W$1001,$W853,Clean_Data!$V$2:$V$1001,1)-1))),""))</f>
        <v>-0.00958328468154399</v>
      </c>
      <c r="AN853" s="5" t="str">
        <f>IF($AM853="","",IF($AM853&gt;=Lookups!$K$6,"High spike",IF($AM853&lt;=-Lookups!$K$6,"Unusual low","Normal")))</f>
        <v>Normal</v>
      </c>
      <c r="AO853" s="20">
        <f>IF($V853&lt;&gt;1,"",$P853+ROW()/100000)</f>
        <v>37.00853</v>
      </c>
      <c r="AP853" s="5">
        <f>IF($A853="","",IFERROR(MATCH($A853,Raw_D1!$A$2:$A$1001,0),""))</f>
        <v/>
      </c>
      <c r="AQ853" s="5">
        <f>IF($A853="","",IFERROR(MATCH($A853,Raw_D2!$B$2:$B$1001,0),""))</f>
        <v/>
      </c>
      <c r="AR853" s="5">
        <f>IF($A853="","",IFERROR(MATCH($A853,Raw_D3!$A$2:$A$1001,0),""))</f>
        <v>233</v>
      </c>
    </row>
    <row r="854" spans="1:44" x14ac:dyDescent="0.25">
      <c r="A854" s="5">
        <v>853</v>
      </c>
      <c r="B854" s="11">
        <f>IF($A854="","",IF($AP854&lt;&gt;"",INDEX(Raw_D1!$B$2:$B$1001,$AP854),IF($AR854&lt;&gt;"",INDEX(Raw_D3!$B$2:$B$1001,$AR854),"")))</f>
        <v>40581.0</v>
      </c>
      <c r="C854" s="5">
        <f>IF($A854="","",IF($AP854&lt;&gt;"",INDEX(Raw_D1!$C$2:$C$1001,$AP854),IF($AR854&lt;&gt;"",INDEX(Raw_D3!$C$2:$C$1001,$AR854),"")))</f>
        <v>1</v>
      </c>
      <c r="D854" s="5">
        <f>IF($A854="","",IF($AP854&lt;&gt;"",INDEX(Raw_D1!$D$2:$D$1001,$AP854),IF($AR854&lt;&gt;"",INDEX(Raw_D3!$D$2:$D$1001,$AR854),"")))</f>
        <v>0</v>
      </c>
      <c r="E854" s="5">
        <f>IF($A854="","",IF($AP854&lt;&gt;"",INDEX(Raw_D1!$E$2:$E$1001,$AP854),IF($AR854&lt;&gt;"",INDEX(Raw_D3!$E$2:$E$1001,$AR854),"")))</f>
        <v>2</v>
      </c>
      <c r="F854" s="5">
        <f>IF($A854="","",IF($AP854&lt;&gt;"",INDEX(Raw_D1!$F$2:$F$1001,$AP854),IF($AR854&lt;&gt;"",INDEX(Raw_D3!$F$2:$F$1001,$AR854),"")))</f>
        <v>23</v>
      </c>
      <c r="G854" s="5">
        <f>IF($A854="","",IF($AP854&lt;&gt;"",IF(INDEX(Raw_D1!$G$2:$G$1001,$AP854),1,0),IF($AR854&lt;&gt;"",IF(INDEX(Raw_D3!$G$2:$G$1001,$AR854),1,0),"")))</f>
        <v>0</v>
      </c>
      <c r="H854" s="5">
        <f>IF($A854="","",IF($AP854&lt;&gt;"",INDEX(Raw_D1!$H$2:$H$1001,$AP854),IF($AR854&lt;&gt;"",INDEX(Raw_D3!$H$2:$H$1001,$AR854),"")))</f>
        <v>1</v>
      </c>
      <c r="I854" s="5">
        <f>IF($A854="","",IF($AP854&lt;&gt;"",INDEX(Raw_D1!$I$2:$I$1001,$AP854),IF($AR854&lt;&gt;"",INDEX(Raw_D3!$I$2:$I$1001,$AR854),"")))</f>
        <v>2</v>
      </c>
      <c r="J854" s="16">
        <f>IF($A854="","",IF($AP854&lt;&gt;"",INDEX(Raw_D1!$J$2:$J$1001,$AP854),IF($AR854&lt;&gt;"",INDEX(Raw_D3!$J$2:$J$1001,$AR854),"")))</f>
        <v>0.3</v>
      </c>
      <c r="K854" s="17">
        <f>IF($A854="","",IF($AQ854&lt;&gt;"",IF(INDEX(Raw_D2!$C$2:$C$1001,$AQ854)="","",INDEX(Raw_D2!$C$2:$C$1001,$AQ854)),IF($AR854&lt;&gt;"",IF(INDEX(Raw_D3!$K$2:$K$1001,$AR854)="","",INDEX(Raw_D3!$K$2:$K$1001,$AR854)),"")))</f>
        <v>0.3333</v>
      </c>
      <c r="L854" s="16">
        <f>IF($A854="","",IF($AQ854&lt;&gt;"",IF(INDEX(Raw_D2!$D$2:$D$1001,$AQ854)="","",INDEX(Raw_D2!$D$2:$D$1001,$AQ854)),IF($AR854&lt;&gt;"",IF(INDEX(Raw_D3!$L$2:$L$1001,$AR854)="","",INDEX(Raw_D3!$L$2:$L$1001,$AR854)),"")))</f>
        <v>0.81</v>
      </c>
      <c r="M854" s="17">
        <f>IF($A854="","",IF($AQ854&lt;&gt;"",IF(INDEX(Raw_D2!$E$2:$E$1001,$AQ854)="","",INDEX(Raw_D2!$E$2:$E$1001,$AQ854)),IF($AR854&lt;&gt;"",IF(INDEX(Raw_D3!$M$2:$M$1001,$AR854)="","",INDEX(Raw_D3!$M$2:$M$1001,$AR854)),"")))</f>
        <v>0</v>
      </c>
      <c r="N854" s="5">
        <f>IF($A854="","",IF($AQ854&lt;&gt;"",IF(INDEX(Raw_D2!$F$2:$F$1001,$AQ854)="","",INDEX(Raw_D2!$F$2:$F$1001,$AQ854)),IF($AR854&lt;&gt;"",IF(INDEX(Raw_D3!$N$2:$N$1001,$AR854)="","",INDEX(Raw_D3!$N$2:$N$1001,$AR854)),"")))</f>
        <v>6</v>
      </c>
      <c r="O854" s="5">
        <f>IF($A854="","",IF($AQ854&lt;&gt;"",IF(INDEX(Raw_D2!$G$2:$G$1001,$AQ854)="","",INDEX(Raw_D2!$G$2:$G$1001,$AQ854)),IF($AR854&lt;&gt;"",IF(INDEX(Raw_D3!$O$2:$O$1001,$AR854)="","",INDEX(Raw_D3!$O$2:$O$1001,$AR854)),"")))</f>
        <v>19</v>
      </c>
      <c r="P854" s="5">
        <f>IF($A854="","",IF($AQ854&lt;&gt;"",IF(INDEX(Raw_D2!$H$2:$H$1001,$AQ854)="","",INDEX(Raw_D2!$H$2:$H$1001,$AQ854)),IF($AR854&lt;&gt;"",IF(INDEX(Raw_D3!$P$2:$P$1001,$AR854)="","",INDEX(Raw_D3!$P$2:$P$1001,$AR854)),"")))</f>
        <v>25</v>
      </c>
      <c r="Q854" s="5" t="str">
        <f>IF($A854="","",IF(AND($AP854&lt;&gt;"",$AQ854&lt;&gt;""),"D1+D2",IF($AR854&lt;&gt;"","D3","Incomplete")))</f>
        <v>D3</v>
      </c>
      <c r="R854" s="17">
        <f>IF($A854="","",IF($K854="",IF($J854="","",ROUND(Lookups!$K$5+Lookups!$K$4*$J854,4)),$K854))</f>
        <v>0.3333</v>
      </c>
      <c r="S854" s="5" t="str">
        <f>IF($A854="","",IF($K854="","Imputed","Original"))</f>
        <v>Original</v>
      </c>
      <c r="T854" s="5" t="str">
        <f>IF($A854="","",IF($P854="","Missing",IF($P854=$N854+$O854,"OK","Mismatch")))</f>
        <v>OK</v>
      </c>
      <c r="U854" s="5" t="str">
        <f>IF($A854="","",IF(COUNTIF($A$2:$A854,$A854)&gt;1,"Duplicate","Unique"))</f>
        <v>Unique</v>
      </c>
      <c r="V854" s="5">
        <f>IF($A854="","",IF(AND($U854="Unique",ISNUMBER($P854)),1,0))</f>
        <v>1</v>
      </c>
      <c r="W854" s="5" t="str">
        <f>IF($A854="","",IF(OR($H854=0,$H854=6),"Weekend","Weekday"))</f>
        <v>Weekday</v>
      </c>
      <c r="X854" s="5" t="str">
        <f>IF($A854="","",TEXT($B854,"ddd"))</f>
        <v>Mon</v>
      </c>
      <c r="Y854" s="5" t="str">
        <f>IF($A854="","",TEXT($B854,"mmm"))</f>
        <v>Feb</v>
      </c>
      <c r="Z854" s="5" t="str">
        <f>IF($A854="","",IFERROR(VLOOKUP($C854,Lookups!$D$4:$E$7,2,FALSE),"Unknown"))</f>
        <v>Winter</v>
      </c>
      <c r="AA854" s="5" t="str">
        <f>IF($A854="","",IFERROR(VLOOKUP($I854,Lookups!$A$4:$B$7,2,FALSE),"Unknown"))</f>
        <v>Mist/Cloudy</v>
      </c>
      <c r="AB854" s="5" t="str">
        <f>IF($A854="","",TEXT($F854,"00")&amp;":00")</f>
        <v>23:00</v>
      </c>
      <c r="AC854" s="5" t="str">
        <f>IF($A854="","",VLOOKUP($F854,Lookups!$G$4:$H$8,2,TRUE))</f>
        <v>Late Evening (20-23)</v>
      </c>
      <c r="AD854" s="18">
        <f>IF($A854="","",IF($J854="","",ROUND($J854*41,1)))</f>
        <v>12.3</v>
      </c>
      <c r="AE854" s="18">
        <f>IF($A854="","",IF($R854="","",ROUND($R854*50,1)))</f>
        <v>16.7</v>
      </c>
      <c r="AF854" s="5">
        <f>IF($A854="","",IF($L854="","",ROUND($L854*100,0)))</f>
        <v>81</v>
      </c>
      <c r="AG854" s="18">
        <f>IF($A854="","",IF($M854="","",ROUND($M854*67,1)))</f>
        <v>0</v>
      </c>
      <c r="AH854" s="19">
        <f>IF($A854="","",IF($P854="","",IF($P854=0,0,$O854/$P854)))</f>
        <v>0.76</v>
      </c>
      <c r="AI854" s="5" t="str">
        <f>IF($A854="","",IF($P854="","",IF($P854&gt;=Lookups!$K$7,"High",IF($P854&lt;=Lookups!$K$8,"Low","Medium"))))</f>
        <v>Medium</v>
      </c>
      <c r="AJ854" s="5" t="str">
        <f>IF($A854="","",IF($AD854="","",IF($AD854&lt;5,"Under 5 C",IF($AD854&lt;10,"5-10 C",IF($AD854&lt;15,"10-15 C","15 C and above")))))</f>
        <v>10-15 C</v>
      </c>
      <c r="AK854" s="5">
        <f>IF($A854="","",IF($P854="","",$P854^2))</f>
        <v>625</v>
      </c>
      <c r="AL854" s="18">
        <f>IF($V854&lt;&gt;1,"",AVERAGEIFS(Clean_Data!$P$2:$P$1001,Clean_Data!$F$2:$F$1001,$F854,Clean_Data!$W$2:$W$1001,$W854,Clean_Data!$V$2:$V$1001,1))</f>
        <v>23.6896551724138</v>
      </c>
      <c r="AM854" s="16">
        <f>IF($V854&lt;&gt;1,"",IFERROR(($P854-$AL854)/SQRT(MAX(0,(SUMIFS(Clean_Data!$AK$2:$AK$1001,Clean_Data!$F$2:$F$1001,$F854,Clean_Data!$W$2:$W$1001,$W854,Clean_Data!$V$2:$V$1001,1)-COUNTIFS(Clean_Data!$F$2:$F$1001,$F854,Clean_Data!$W$2:$W$1001,$W854,Clean_Data!$V$2:$V$1001,1)*$AL854^2)/(COUNTIFS(Clean_Data!$F$2:$F$1001,$F854,Clean_Data!$W$2:$W$1001,$W854,Clean_Data!$V$2:$V$1001,1)-1))),""))</f>
        <v>0.125094836700129</v>
      </c>
      <c r="AN854" s="5" t="str">
        <f>IF($AM854="","",IF($AM854&gt;=Lookups!$K$6,"High spike",IF($AM854&lt;=-Lookups!$K$6,"Unusual low","Normal")))</f>
        <v>Normal</v>
      </c>
      <c r="AO854" s="20">
        <f>IF($V854&lt;&gt;1,"",$P854+ROW()/100000)</f>
        <v>25.00854</v>
      </c>
      <c r="AP854" s="5">
        <f>IF($A854="","",IFERROR(MATCH($A854,Raw_D1!$A$2:$A$1001,0),""))</f>
        <v/>
      </c>
      <c r="AQ854" s="5">
        <f>IF($A854="","",IFERROR(MATCH($A854,Raw_D2!$B$2:$B$1001,0),""))</f>
        <v/>
      </c>
      <c r="AR854" s="5">
        <f>IF($A854="","",IFERROR(MATCH($A854,Raw_D3!$A$2:$A$1001,0),""))</f>
        <v>234</v>
      </c>
    </row>
    <row r="855" spans="1:44" x14ac:dyDescent="0.25">
      <c r="A855" s="5">
        <v>854</v>
      </c>
      <c r="B855" s="11">
        <f>IF($A855="","",IF($AP855&lt;&gt;"",INDEX(Raw_D1!$B$2:$B$1001,$AP855),IF($AR855&lt;&gt;"",INDEX(Raw_D3!$B$2:$B$1001,$AR855),"")))</f>
        <v>40582.0</v>
      </c>
      <c r="C855" s="5">
        <f>IF($A855="","",IF($AP855&lt;&gt;"",INDEX(Raw_D1!$C$2:$C$1001,$AP855),IF($AR855&lt;&gt;"",INDEX(Raw_D3!$C$2:$C$1001,$AR855),"")))</f>
        <v>1</v>
      </c>
      <c r="D855" s="5">
        <f>IF($A855="","",IF($AP855&lt;&gt;"",INDEX(Raw_D1!$D$2:$D$1001,$AP855),IF($AR855&lt;&gt;"",INDEX(Raw_D3!$D$2:$D$1001,$AR855),"")))</f>
        <v>0</v>
      </c>
      <c r="E855" s="5">
        <f>IF($A855="","",IF($AP855&lt;&gt;"",INDEX(Raw_D1!$E$2:$E$1001,$AP855),IF($AR855&lt;&gt;"",INDEX(Raw_D3!$E$2:$E$1001,$AR855),"")))</f>
        <v>2</v>
      </c>
      <c r="F855" s="5">
        <f>IF($A855="","",IF($AP855&lt;&gt;"",INDEX(Raw_D1!$F$2:$F$1001,$AP855),IF($AR855&lt;&gt;"",INDEX(Raw_D3!$F$2:$F$1001,$AR855),"")))</f>
        <v>0</v>
      </c>
      <c r="G855" s="5">
        <f>IF($A855="","",IF($AP855&lt;&gt;"",IF(INDEX(Raw_D1!$G$2:$G$1001,$AP855),1,0),IF($AR855&lt;&gt;"",IF(INDEX(Raw_D3!$G$2:$G$1001,$AR855),1,0),"")))</f>
        <v>0</v>
      </c>
      <c r="H855" s="5">
        <f>IF($A855="","",IF($AP855&lt;&gt;"",INDEX(Raw_D1!$H$2:$H$1001,$AP855),IF($AR855&lt;&gt;"",INDEX(Raw_D3!$H$2:$H$1001,$AR855),"")))</f>
        <v>2</v>
      </c>
      <c r="I855" s="5">
        <f>IF($A855="","",IF($AP855&lt;&gt;"",INDEX(Raw_D1!$I$2:$I$1001,$AP855),IF($AR855&lt;&gt;"",INDEX(Raw_D3!$I$2:$I$1001,$AR855),"")))</f>
        <v>2</v>
      </c>
      <c r="J855" s="16">
        <f>IF($A855="","",IF($AP855&lt;&gt;"",INDEX(Raw_D1!$J$2:$J$1001,$AP855),IF($AR855&lt;&gt;"",INDEX(Raw_D3!$J$2:$J$1001,$AR855),"")))</f>
        <v>0.28</v>
      </c>
      <c r="K855" s="17">
        <f>IF($A855="","",IF($AQ855&lt;&gt;"",IF(INDEX(Raw_D2!$C$2:$C$1001,$AQ855)="","",INDEX(Raw_D2!$C$2:$C$1001,$AQ855)),IF($AR855&lt;&gt;"",IF(INDEX(Raw_D3!$K$2:$K$1001,$AR855)="","",INDEX(Raw_D3!$K$2:$K$1001,$AR855)),"")))</f>
        <v>0.3182</v>
      </c>
      <c r="L855" s="16">
        <f>IF($A855="","",IF($AQ855&lt;&gt;"",IF(INDEX(Raw_D2!$D$2:$D$1001,$AQ855)="","",INDEX(Raw_D2!$D$2:$D$1001,$AQ855)),IF($AR855&lt;&gt;"",IF(INDEX(Raw_D3!$L$2:$L$1001,$AR855)="","",INDEX(Raw_D3!$L$2:$L$1001,$AR855)),"")))</f>
        <v>0.87</v>
      </c>
      <c r="M855" s="17">
        <f>IF($A855="","",IF($AQ855&lt;&gt;"",IF(INDEX(Raw_D2!$E$2:$E$1001,$AQ855)="","",INDEX(Raw_D2!$E$2:$E$1001,$AQ855)),IF($AR855&lt;&gt;"",IF(INDEX(Raw_D3!$M$2:$M$1001,$AR855)="","",INDEX(Raw_D3!$M$2:$M$1001,$AR855)),"")))</f>
        <v>0</v>
      </c>
      <c r="N855" s="5">
        <f>IF($A855="","",IF($AQ855&lt;&gt;"",IF(INDEX(Raw_D2!$F$2:$F$1001,$AQ855)="","",INDEX(Raw_D2!$F$2:$F$1001,$AQ855)),IF($AR855&lt;&gt;"",IF(INDEX(Raw_D3!$N$2:$N$1001,$AR855)="","",INDEX(Raw_D3!$N$2:$N$1001,$AR855)),"")))</f>
        <v>4</v>
      </c>
      <c r="O855" s="5">
        <f>IF($A855="","",IF($AQ855&lt;&gt;"",IF(INDEX(Raw_D2!$G$2:$G$1001,$AQ855)="","",INDEX(Raw_D2!$G$2:$G$1001,$AQ855)),IF($AR855&lt;&gt;"",IF(INDEX(Raw_D3!$O$2:$O$1001,$AR855)="","",INDEX(Raw_D3!$O$2:$O$1001,$AR855)),"")))</f>
        <v>6</v>
      </c>
      <c r="P855" s="5">
        <f>IF($A855="","",IF($AQ855&lt;&gt;"",IF(INDEX(Raw_D2!$H$2:$H$1001,$AQ855)="","",INDEX(Raw_D2!$H$2:$H$1001,$AQ855)),IF($AR855&lt;&gt;"",IF(INDEX(Raw_D3!$P$2:$P$1001,$AR855)="","",INDEX(Raw_D3!$P$2:$P$1001,$AR855)),"")))</f>
        <v>10</v>
      </c>
      <c r="Q855" s="5" t="str">
        <f>IF($A855="","",IF(AND($AP855&lt;&gt;"",$AQ855&lt;&gt;""),"D1+D2",IF($AR855&lt;&gt;"","D3","Incomplete")))</f>
        <v>D3</v>
      </c>
      <c r="R855" s="17">
        <f>IF($A855="","",IF($K855="",IF($J855="","",ROUND(Lookups!$K$5+Lookups!$K$4*$J855,4)),$K855))</f>
        <v>0.3182</v>
      </c>
      <c r="S855" s="5" t="str">
        <f>IF($A855="","",IF($K855="","Imputed","Original"))</f>
        <v>Original</v>
      </c>
      <c r="T855" s="5" t="str">
        <f>IF($A855="","",IF($P855="","Missing",IF($P855=$N855+$O855,"OK","Mismatch")))</f>
        <v>OK</v>
      </c>
      <c r="U855" s="5" t="str">
        <f>IF($A855="","",IF(COUNTIF($A$2:$A855,$A855)&gt;1,"Duplicate","Unique"))</f>
        <v>Unique</v>
      </c>
      <c r="V855" s="5">
        <f>IF($A855="","",IF(AND($U855="Unique",ISNUMBER($P855)),1,0))</f>
        <v>1</v>
      </c>
      <c r="W855" s="5" t="str">
        <f>IF($A855="","",IF(OR($H855=0,$H855=6),"Weekend","Weekday"))</f>
        <v>Weekday</v>
      </c>
      <c r="X855" s="5" t="str">
        <f>IF($A855="","",TEXT($B855,"ddd"))</f>
        <v>Tue</v>
      </c>
      <c r="Y855" s="5" t="str">
        <f>IF($A855="","",TEXT($B855,"mmm"))</f>
        <v>Feb</v>
      </c>
      <c r="Z855" s="5" t="str">
        <f>IF($A855="","",IFERROR(VLOOKUP($C855,Lookups!$D$4:$E$7,2,FALSE),"Unknown"))</f>
        <v>Winter</v>
      </c>
      <c r="AA855" s="5" t="str">
        <f>IF($A855="","",IFERROR(VLOOKUP($I855,Lookups!$A$4:$B$7,2,FALSE),"Unknown"))</f>
        <v>Mist/Cloudy</v>
      </c>
      <c r="AB855" s="5" t="str">
        <f>IF($A855="","",TEXT($F855,"00")&amp;":00")</f>
        <v>00:00</v>
      </c>
      <c r="AC855" s="5" t="str">
        <f>IF($A855="","",VLOOKUP($F855,Lookups!$G$4:$H$8,2,TRUE))</f>
        <v>Night (00-05)</v>
      </c>
      <c r="AD855" s="18">
        <f>IF($A855="","",IF($J855="","",ROUND($J855*41,1)))</f>
        <v>11.5</v>
      </c>
      <c r="AE855" s="18">
        <f>IF($A855="","",IF($R855="","",ROUND($R855*50,1)))</f>
        <v>15.9</v>
      </c>
      <c r="AF855" s="5">
        <f>IF($A855="","",IF($L855="","",ROUND($L855*100,0)))</f>
        <v>87</v>
      </c>
      <c r="AG855" s="18">
        <f>IF($A855="","",IF($M855="","",ROUND($M855*67,1)))</f>
        <v>0</v>
      </c>
      <c r="AH855" s="19">
        <f>IF($A855="","",IF($P855="","",IF($P855=0,0,$O855/$P855)))</f>
        <v>0.6</v>
      </c>
      <c r="AI855" s="5" t="str">
        <f>IF($A855="","",IF($P855="","",IF($P855&gt;=Lookups!$K$7,"High",IF($P855&lt;=Lookups!$K$8,"Low","Medium"))))</f>
        <v>Low</v>
      </c>
      <c r="AJ855" s="5" t="str">
        <f>IF($A855="","",IF($AD855="","",IF($AD855&lt;5,"Under 5 C",IF($AD855&lt;10,"5-10 C",IF($AD855&lt;15,"10-15 C","15 C and above")))))</f>
        <v>10-15 C</v>
      </c>
      <c r="AK855" s="5">
        <f>IF($A855="","",IF($P855="","",$P855^2))</f>
        <v>100</v>
      </c>
      <c r="AL855" s="18">
        <f>IF($V855&lt;&gt;1,"",AVERAGEIFS(Clean_Data!$P$2:$P$1001,Clean_Data!$F$2:$F$1001,$F855,Clean_Data!$W$2:$W$1001,$W855,Clean_Data!$V$2:$V$1001,1))</f>
        <v>10.6896551724138</v>
      </c>
      <c r="AM855" s="16">
        <f>IF($V855&lt;&gt;1,"",IFERROR(($P855-$AL855)/SQRT(MAX(0,(SUMIFS(Clean_Data!$AK$2:$AK$1001,Clean_Data!$F$2:$F$1001,$F855,Clean_Data!$W$2:$W$1001,$W855,Clean_Data!$V$2:$V$1001,1)-COUNTIFS(Clean_Data!$F$2:$F$1001,$F855,Clean_Data!$W$2:$W$1001,$W855,Clean_Data!$V$2:$V$1001,1)*$AL855^2)/(COUNTIFS(Clean_Data!$F$2:$F$1001,$F855,Clean_Data!$W$2:$W$1001,$W855,Clean_Data!$V$2:$V$1001,1)-1))),""))</f>
        <v>-0.140963465217126</v>
      </c>
      <c r="AN855" s="5" t="str">
        <f>IF($AM855="","",IF($AM855&gt;=Lookups!$K$6,"High spike",IF($AM855&lt;=-Lookups!$K$6,"Unusual low","Normal")))</f>
        <v>Normal</v>
      </c>
      <c r="AO855" s="20">
        <f>IF($V855&lt;&gt;1,"",$P855+ROW()/100000)</f>
        <v>10.00855</v>
      </c>
      <c r="AP855" s="5">
        <f>IF($A855="","",IFERROR(MATCH($A855,Raw_D1!$A$2:$A$1001,0),""))</f>
        <v/>
      </c>
      <c r="AQ855" s="5">
        <f>IF($A855="","",IFERROR(MATCH($A855,Raw_D2!$B$2:$B$1001,0),""))</f>
        <v/>
      </c>
      <c r="AR855" s="5">
        <f>IF($A855="","",IFERROR(MATCH($A855,Raw_D3!$A$2:$A$1001,0),""))</f>
        <v>235</v>
      </c>
    </row>
    <row r="856" spans="1:44" x14ac:dyDescent="0.25">
      <c r="A856" s="5">
        <v>855</v>
      </c>
      <c r="B856" s="11">
        <f>IF($A856="","",IF($AP856&lt;&gt;"",INDEX(Raw_D1!$B$2:$B$1001,$AP856),IF($AR856&lt;&gt;"",INDEX(Raw_D3!$B$2:$B$1001,$AR856),"")))</f>
        <v>40582.0</v>
      </c>
      <c r="C856" s="5">
        <f>IF($A856="","",IF($AP856&lt;&gt;"",INDEX(Raw_D1!$C$2:$C$1001,$AP856),IF($AR856&lt;&gt;"",INDEX(Raw_D3!$C$2:$C$1001,$AR856),"")))</f>
        <v>1</v>
      </c>
      <c r="D856" s="5">
        <f>IF($A856="","",IF($AP856&lt;&gt;"",INDEX(Raw_D1!$D$2:$D$1001,$AP856),IF($AR856&lt;&gt;"",INDEX(Raw_D3!$D$2:$D$1001,$AR856),"")))</f>
        <v>0</v>
      </c>
      <c r="E856" s="5">
        <f>IF($A856="","",IF($AP856&lt;&gt;"",INDEX(Raw_D1!$E$2:$E$1001,$AP856),IF($AR856&lt;&gt;"",INDEX(Raw_D3!$E$2:$E$1001,$AR856),"")))</f>
        <v>2</v>
      </c>
      <c r="F856" s="5">
        <f>IF($A856="","",IF($AP856&lt;&gt;"",INDEX(Raw_D1!$F$2:$F$1001,$AP856),IF($AR856&lt;&gt;"",INDEX(Raw_D3!$F$2:$F$1001,$AR856),"")))</f>
        <v>1</v>
      </c>
      <c r="G856" s="5">
        <f>IF($A856="","",IF($AP856&lt;&gt;"",IF(INDEX(Raw_D1!$G$2:$G$1001,$AP856),1,0),IF($AR856&lt;&gt;"",IF(INDEX(Raw_D3!$G$2:$G$1001,$AR856),1,0),"")))</f>
        <v>0</v>
      </c>
      <c r="H856" s="5">
        <f>IF($A856="","",IF($AP856&lt;&gt;"",INDEX(Raw_D1!$H$2:$H$1001,$AP856),IF($AR856&lt;&gt;"",INDEX(Raw_D3!$H$2:$H$1001,$AR856),"")))</f>
        <v>2</v>
      </c>
      <c r="I856" s="5">
        <f>IF($A856="","",IF($AP856&lt;&gt;"",INDEX(Raw_D1!$I$2:$I$1001,$AP856),IF($AR856&lt;&gt;"",INDEX(Raw_D3!$I$2:$I$1001,$AR856),"")))</f>
        <v>2</v>
      </c>
      <c r="J856" s="16">
        <f>IF($A856="","",IF($AP856&lt;&gt;"",INDEX(Raw_D1!$J$2:$J$1001,$AP856),IF($AR856&lt;&gt;"",INDEX(Raw_D3!$J$2:$J$1001,$AR856),"")))</f>
        <v>0.28</v>
      </c>
      <c r="K856" s="17">
        <f>IF($A856="","",IF($AQ856&lt;&gt;"",IF(INDEX(Raw_D2!$C$2:$C$1001,$AQ856)="","",INDEX(Raw_D2!$C$2:$C$1001,$AQ856)),IF($AR856&lt;&gt;"",IF(INDEX(Raw_D3!$K$2:$K$1001,$AR856)="","",INDEX(Raw_D3!$K$2:$K$1001,$AR856)),"")))</f>
        <v>0.3182</v>
      </c>
      <c r="L856" s="16">
        <f>IF($A856="","",IF($AQ856&lt;&gt;"",IF(INDEX(Raw_D2!$D$2:$D$1001,$AQ856)="","",INDEX(Raw_D2!$D$2:$D$1001,$AQ856)),IF($AR856&lt;&gt;"",IF(INDEX(Raw_D3!$L$2:$L$1001,$AR856)="","",INDEX(Raw_D3!$L$2:$L$1001,$AR856)),"")))</f>
        <v>0.87</v>
      </c>
      <c r="M856" s="17">
        <f>IF($A856="","",IF($AQ856&lt;&gt;"",IF(INDEX(Raw_D2!$E$2:$E$1001,$AQ856)="","",INDEX(Raw_D2!$E$2:$E$1001,$AQ856)),IF($AR856&lt;&gt;"",IF(INDEX(Raw_D3!$M$2:$M$1001,$AR856)="","",INDEX(Raw_D3!$M$2:$M$1001,$AR856)),"")))</f>
        <v>0</v>
      </c>
      <c r="N856" s="5">
        <f>IF($A856="","",IF($AQ856&lt;&gt;"",IF(INDEX(Raw_D2!$F$2:$F$1001,$AQ856)="","",INDEX(Raw_D2!$F$2:$F$1001,$AQ856)),IF($AR856&lt;&gt;"",IF(INDEX(Raw_D3!$N$2:$N$1001,$AR856)="","",INDEX(Raw_D3!$N$2:$N$1001,$AR856)),"")))</f>
        <v>0</v>
      </c>
      <c r="O856" s="5">
        <f>IF($A856="","",IF($AQ856&lt;&gt;"",IF(INDEX(Raw_D2!$G$2:$G$1001,$AQ856)="","",INDEX(Raw_D2!$G$2:$G$1001,$AQ856)),IF($AR856&lt;&gt;"",IF(INDEX(Raw_D3!$O$2:$O$1001,$AR856)="","",INDEX(Raw_D3!$O$2:$O$1001,$AR856)),"")))</f>
        <v>4</v>
      </c>
      <c r="P856" s="5">
        <f>IF($A856="","",IF($AQ856&lt;&gt;"",IF(INDEX(Raw_D2!$H$2:$H$1001,$AQ856)="","",INDEX(Raw_D2!$H$2:$H$1001,$AQ856)),IF($AR856&lt;&gt;"",IF(INDEX(Raw_D3!$P$2:$P$1001,$AR856)="","",INDEX(Raw_D3!$P$2:$P$1001,$AR856)),"")))</f>
        <v>4</v>
      </c>
      <c r="Q856" s="5" t="str">
        <f>IF($A856="","",IF(AND($AP856&lt;&gt;"",$AQ856&lt;&gt;""),"D1+D2",IF($AR856&lt;&gt;"","D3","Incomplete")))</f>
        <v>D3</v>
      </c>
      <c r="R856" s="17">
        <f>IF($A856="","",IF($K856="",IF($J856="","",ROUND(Lookups!$K$5+Lookups!$K$4*$J856,4)),$K856))</f>
        <v>0.3182</v>
      </c>
      <c r="S856" s="5" t="str">
        <f>IF($A856="","",IF($K856="","Imputed","Original"))</f>
        <v>Original</v>
      </c>
      <c r="T856" s="5" t="str">
        <f>IF($A856="","",IF($P856="","Missing",IF($P856=$N856+$O856,"OK","Mismatch")))</f>
        <v>OK</v>
      </c>
      <c r="U856" s="5" t="str">
        <f>IF($A856="","",IF(COUNTIF($A$2:$A856,$A856)&gt;1,"Duplicate","Unique"))</f>
        <v>Unique</v>
      </c>
      <c r="V856" s="5">
        <f>IF($A856="","",IF(AND($U856="Unique",ISNUMBER($P856)),1,0))</f>
        <v>1</v>
      </c>
      <c r="W856" s="5" t="str">
        <f>IF($A856="","",IF(OR($H856=0,$H856=6),"Weekend","Weekday"))</f>
        <v>Weekday</v>
      </c>
      <c r="X856" s="5" t="str">
        <f>IF($A856="","",TEXT($B856,"ddd"))</f>
        <v>Tue</v>
      </c>
      <c r="Y856" s="5" t="str">
        <f>IF($A856="","",TEXT($B856,"mmm"))</f>
        <v>Feb</v>
      </c>
      <c r="Z856" s="5" t="str">
        <f>IF($A856="","",IFERROR(VLOOKUP($C856,Lookups!$D$4:$E$7,2,FALSE),"Unknown"))</f>
        <v>Winter</v>
      </c>
      <c r="AA856" s="5" t="str">
        <f>IF($A856="","",IFERROR(VLOOKUP($I856,Lookups!$A$4:$B$7,2,FALSE),"Unknown"))</f>
        <v>Mist/Cloudy</v>
      </c>
      <c r="AB856" s="5" t="str">
        <f>IF($A856="","",TEXT($F856,"00")&amp;":00")</f>
        <v>01:00</v>
      </c>
      <c r="AC856" s="5" t="str">
        <f>IF($A856="","",VLOOKUP($F856,Lookups!$G$4:$H$8,2,TRUE))</f>
        <v>Night (00-05)</v>
      </c>
      <c r="AD856" s="18">
        <f>IF($A856="","",IF($J856="","",ROUND($J856*41,1)))</f>
        <v>11.5</v>
      </c>
      <c r="AE856" s="18">
        <f>IF($A856="","",IF($R856="","",ROUND($R856*50,1)))</f>
        <v>15.9</v>
      </c>
      <c r="AF856" s="5">
        <f>IF($A856="","",IF($L856="","",ROUND($L856*100,0)))</f>
        <v>87</v>
      </c>
      <c r="AG856" s="18">
        <f>IF($A856="","",IF($M856="","",ROUND($M856*67,1)))</f>
        <v>0</v>
      </c>
      <c r="AH856" s="19">
        <f>IF($A856="","",IF($P856="","",IF($P856=0,0,$O856/$P856)))</f>
        <v>1</v>
      </c>
      <c r="AI856" s="5" t="str">
        <f>IF($A856="","",IF($P856="","",IF($P856&gt;=Lookups!$K$7,"High",IF($P856&lt;=Lookups!$K$8,"Low","Medium"))))</f>
        <v>Low</v>
      </c>
      <c r="AJ856" s="5" t="str">
        <f>IF($A856="","",IF($AD856="","",IF($AD856&lt;5,"Under 5 C",IF($AD856&lt;10,"5-10 C",IF($AD856&lt;15,"10-15 C","15 C and above")))))</f>
        <v>10-15 C</v>
      </c>
      <c r="AK856" s="5">
        <f>IF($A856="","",IF($P856="","",$P856^2))</f>
        <v>16</v>
      </c>
      <c r="AL856" s="18">
        <f>IF($V856&lt;&gt;1,"",AVERAGEIFS(Clean_Data!$P$2:$P$1001,Clean_Data!$F$2:$F$1001,$F856,Clean_Data!$W$2:$W$1001,$W856,Clean_Data!$V$2:$V$1001,1))</f>
        <v>5.10344827586207</v>
      </c>
      <c r="AM856" s="16">
        <f>IF($V856&lt;&gt;1,"",IFERROR(($P856-$AL856)/SQRT(MAX(0,(SUMIFS(Clean_Data!$AK$2:$AK$1001,Clean_Data!$F$2:$F$1001,$F856,Clean_Data!$W$2:$W$1001,$W856,Clean_Data!$V$2:$V$1001,1)-COUNTIFS(Clean_Data!$F$2:$F$1001,$F856,Clean_Data!$W$2:$W$1001,$W856,Clean_Data!$V$2:$V$1001,1)*$AL856^2)/(COUNTIFS(Clean_Data!$F$2:$F$1001,$F856,Clean_Data!$W$2:$W$1001,$W856,Clean_Data!$V$2:$V$1001,1)-1))),""))</f>
        <v>-0.382774024251172</v>
      </c>
      <c r="AN856" s="5" t="str">
        <f>IF($AM856="","",IF($AM856&gt;=Lookups!$K$6,"High spike",IF($AM856&lt;=-Lookups!$K$6,"Unusual low","Normal")))</f>
        <v>Normal</v>
      </c>
      <c r="AO856" s="20">
        <f>IF($V856&lt;&gt;1,"",$P856+ROW()/100000)</f>
        <v>4.00856</v>
      </c>
      <c r="AP856" s="5">
        <f>IF($A856="","",IFERROR(MATCH($A856,Raw_D1!$A$2:$A$1001,0),""))</f>
        <v/>
      </c>
      <c r="AQ856" s="5">
        <f>IF($A856="","",IFERROR(MATCH($A856,Raw_D2!$B$2:$B$1001,0),""))</f>
        <v/>
      </c>
      <c r="AR856" s="5">
        <f>IF($A856="","",IFERROR(MATCH($A856,Raw_D3!$A$2:$A$1001,0),""))</f>
        <v>236</v>
      </c>
    </row>
    <row r="857" spans="1:44" x14ac:dyDescent="0.25">
      <c r="A857" s="5">
        <v>856</v>
      </c>
      <c r="B857" s="11">
        <f>IF($A857="","",IF($AP857&lt;&gt;"",INDEX(Raw_D1!$B$2:$B$1001,$AP857),IF($AR857&lt;&gt;"",INDEX(Raw_D3!$B$2:$B$1001,$AR857),"")))</f>
        <v>40582.0</v>
      </c>
      <c r="C857" s="5">
        <f>IF($A857="","",IF($AP857&lt;&gt;"",INDEX(Raw_D1!$C$2:$C$1001,$AP857),IF($AR857&lt;&gt;"",INDEX(Raw_D3!$C$2:$C$1001,$AR857),"")))</f>
        <v>1</v>
      </c>
      <c r="D857" s="5">
        <f>IF($A857="","",IF($AP857&lt;&gt;"",INDEX(Raw_D1!$D$2:$D$1001,$AP857),IF($AR857&lt;&gt;"",INDEX(Raw_D3!$D$2:$D$1001,$AR857),"")))</f>
        <v>0</v>
      </c>
      <c r="E857" s="5">
        <f>IF($A857="","",IF($AP857&lt;&gt;"",INDEX(Raw_D1!$E$2:$E$1001,$AP857),IF($AR857&lt;&gt;"",INDEX(Raw_D3!$E$2:$E$1001,$AR857),"")))</f>
        <v>2</v>
      </c>
      <c r="F857" s="5">
        <f>IF($A857="","",IF($AP857&lt;&gt;"",INDEX(Raw_D1!$F$2:$F$1001,$AP857),IF($AR857&lt;&gt;"",INDEX(Raw_D3!$F$2:$F$1001,$AR857),"")))</f>
        <v>2</v>
      </c>
      <c r="G857" s="5">
        <f>IF($A857="","",IF($AP857&lt;&gt;"",IF(INDEX(Raw_D1!$G$2:$G$1001,$AP857),1,0),IF($AR857&lt;&gt;"",IF(INDEX(Raw_D3!$G$2:$G$1001,$AR857),1,0),"")))</f>
        <v>0</v>
      </c>
      <c r="H857" s="5">
        <f>IF($A857="","",IF($AP857&lt;&gt;"",INDEX(Raw_D1!$H$2:$H$1001,$AP857),IF($AR857&lt;&gt;"",INDEX(Raw_D3!$H$2:$H$1001,$AR857),"")))</f>
        <v>2</v>
      </c>
      <c r="I857" s="5">
        <f>IF($A857="","",IF($AP857&lt;&gt;"",INDEX(Raw_D1!$I$2:$I$1001,$AP857),IF($AR857&lt;&gt;"",INDEX(Raw_D3!$I$2:$I$1001,$AR857),"")))</f>
        <v>2</v>
      </c>
      <c r="J857" s="16">
        <f>IF($A857="","",IF($AP857&lt;&gt;"",INDEX(Raw_D1!$J$2:$J$1001,$AP857),IF($AR857&lt;&gt;"",INDEX(Raw_D3!$J$2:$J$1001,$AR857),"")))</f>
        <v>0.26</v>
      </c>
      <c r="K857" s="17">
        <f>IF($A857="","",IF($AQ857&lt;&gt;"",IF(INDEX(Raw_D2!$C$2:$C$1001,$AQ857)="","",INDEX(Raw_D2!$C$2:$C$1001,$AQ857)),IF($AR857&lt;&gt;"",IF(INDEX(Raw_D3!$K$2:$K$1001,$AR857)="","",INDEX(Raw_D3!$K$2:$K$1001,$AR857)),"")))</f>
        <v>0.2727</v>
      </c>
      <c r="L857" s="16">
        <f>IF($A857="","",IF($AQ857&lt;&gt;"",IF(INDEX(Raw_D2!$D$2:$D$1001,$AQ857)="","",INDEX(Raw_D2!$D$2:$D$1001,$AQ857)),IF($AR857&lt;&gt;"",IF(INDEX(Raw_D3!$L$2:$L$1001,$AR857)="","",INDEX(Raw_D3!$L$2:$L$1001,$AR857)),"")))</f>
        <v>0.93</v>
      </c>
      <c r="M857" s="17">
        <f>IF($A857="","",IF($AQ857&lt;&gt;"",IF(INDEX(Raw_D2!$E$2:$E$1001,$AQ857)="","",INDEX(Raw_D2!$E$2:$E$1001,$AQ857)),IF($AR857&lt;&gt;"",IF(INDEX(Raw_D3!$M$2:$M$1001,$AR857)="","",INDEX(Raw_D3!$M$2:$M$1001,$AR857)),"")))</f>
        <v>0.1045</v>
      </c>
      <c r="N857" s="5">
        <f>IF($A857="","",IF($AQ857&lt;&gt;"",IF(INDEX(Raw_D2!$F$2:$F$1001,$AQ857)="","",INDEX(Raw_D2!$F$2:$F$1001,$AQ857)),IF($AR857&lt;&gt;"",IF(INDEX(Raw_D3!$N$2:$N$1001,$AR857)="","",INDEX(Raw_D3!$N$2:$N$1001,$AR857)),"")))</f>
        <v>1</v>
      </c>
      <c r="O857" s="5">
        <f>IF($A857="","",IF($AQ857&lt;&gt;"",IF(INDEX(Raw_D2!$G$2:$G$1001,$AQ857)="","",INDEX(Raw_D2!$G$2:$G$1001,$AQ857)),IF($AR857&lt;&gt;"",IF(INDEX(Raw_D3!$O$2:$O$1001,$AR857)="","",INDEX(Raw_D3!$O$2:$O$1001,$AR857)),"")))</f>
        <v>1</v>
      </c>
      <c r="P857" s="5">
        <f>IF($A857="","",IF($AQ857&lt;&gt;"",IF(INDEX(Raw_D2!$H$2:$H$1001,$AQ857)="","",INDEX(Raw_D2!$H$2:$H$1001,$AQ857)),IF($AR857&lt;&gt;"",IF(INDEX(Raw_D3!$P$2:$P$1001,$AR857)="","",INDEX(Raw_D3!$P$2:$P$1001,$AR857)),"")))</f>
        <v>2</v>
      </c>
      <c r="Q857" s="5" t="str">
        <f>IF($A857="","",IF(AND($AP857&lt;&gt;"",$AQ857&lt;&gt;""),"D1+D2",IF($AR857&lt;&gt;"","D3","Incomplete")))</f>
        <v>D3</v>
      </c>
      <c r="R857" s="17">
        <f>IF($A857="","",IF($K857="",IF($J857="","",ROUND(Lookups!$K$5+Lookups!$K$4*$J857,4)),$K857))</f>
        <v>0.2727</v>
      </c>
      <c r="S857" s="5" t="str">
        <f>IF($A857="","",IF($K857="","Imputed","Original"))</f>
        <v>Original</v>
      </c>
      <c r="T857" s="5" t="str">
        <f>IF($A857="","",IF($P857="","Missing",IF($P857=$N857+$O857,"OK","Mismatch")))</f>
        <v>OK</v>
      </c>
      <c r="U857" s="5" t="str">
        <f>IF($A857="","",IF(COUNTIF($A$2:$A857,$A857)&gt;1,"Duplicate","Unique"))</f>
        <v>Unique</v>
      </c>
      <c r="V857" s="5">
        <f>IF($A857="","",IF(AND($U857="Unique",ISNUMBER($P857)),1,0))</f>
        <v>1</v>
      </c>
      <c r="W857" s="5" t="str">
        <f>IF($A857="","",IF(OR($H857=0,$H857=6),"Weekend","Weekday"))</f>
        <v>Weekday</v>
      </c>
      <c r="X857" s="5" t="str">
        <f>IF($A857="","",TEXT($B857,"ddd"))</f>
        <v>Tue</v>
      </c>
      <c r="Y857" s="5" t="str">
        <f>IF($A857="","",TEXT($B857,"mmm"))</f>
        <v>Feb</v>
      </c>
      <c r="Z857" s="5" t="str">
        <f>IF($A857="","",IFERROR(VLOOKUP($C857,Lookups!$D$4:$E$7,2,FALSE),"Unknown"))</f>
        <v>Winter</v>
      </c>
      <c r="AA857" s="5" t="str">
        <f>IF($A857="","",IFERROR(VLOOKUP($I857,Lookups!$A$4:$B$7,2,FALSE),"Unknown"))</f>
        <v>Mist/Cloudy</v>
      </c>
      <c r="AB857" s="5" t="str">
        <f>IF($A857="","",TEXT($F857,"00")&amp;":00")</f>
        <v>02:00</v>
      </c>
      <c r="AC857" s="5" t="str">
        <f>IF($A857="","",VLOOKUP($F857,Lookups!$G$4:$H$8,2,TRUE))</f>
        <v>Night (00-05)</v>
      </c>
      <c r="AD857" s="18">
        <f>IF($A857="","",IF($J857="","",ROUND($J857*41,1)))</f>
        <v>10.7</v>
      </c>
      <c r="AE857" s="18">
        <f>IF($A857="","",IF($R857="","",ROUND($R857*50,1)))</f>
        <v>13.6</v>
      </c>
      <c r="AF857" s="5">
        <f>IF($A857="","",IF($L857="","",ROUND($L857*100,0)))</f>
        <v>93</v>
      </c>
      <c r="AG857" s="18">
        <f>IF($A857="","",IF($M857="","",ROUND($M857*67,1)))</f>
        <v>7</v>
      </c>
      <c r="AH857" s="19">
        <f>IF($A857="","",IF($P857="","",IF($P857=0,0,$O857/$P857)))</f>
        <v>0.5</v>
      </c>
      <c r="AI857" s="5" t="str">
        <f>IF($A857="","",IF($P857="","",IF($P857&gt;=Lookups!$K$7,"High",IF($P857&lt;=Lookups!$K$8,"Low","Medium"))))</f>
        <v>Low</v>
      </c>
      <c r="AJ857" s="5" t="str">
        <f>IF($A857="","",IF($AD857="","",IF($AD857&lt;5,"Under 5 C",IF($AD857&lt;10,"5-10 C",IF($AD857&lt;15,"10-15 C","15 C and above")))))</f>
        <v>10-15 C</v>
      </c>
      <c r="AK857" s="5">
        <f>IF($A857="","",IF($P857="","",$P857^2))</f>
        <v>4</v>
      </c>
      <c r="AL857" s="18">
        <f>IF($V857&lt;&gt;1,"",AVERAGEIFS(Clean_Data!$P$2:$P$1001,Clean_Data!$F$2:$F$1001,$F857,Clean_Data!$W$2:$W$1001,$W857,Clean_Data!$V$2:$V$1001,1))</f>
        <v>2.62962962962963</v>
      </c>
      <c r="AM857" s="16">
        <f>IF($V857&lt;&gt;1,"",IFERROR(($P857-$AL857)/SQRT(MAX(0,(SUMIFS(Clean_Data!$AK$2:$AK$1001,Clean_Data!$F$2:$F$1001,$F857,Clean_Data!$W$2:$W$1001,$W857,Clean_Data!$V$2:$V$1001,1)-COUNTIFS(Clean_Data!$F$2:$F$1001,$F857,Clean_Data!$W$2:$W$1001,$W857,Clean_Data!$V$2:$V$1001,1)*$AL857^2)/(COUNTIFS(Clean_Data!$F$2:$F$1001,$F857,Clean_Data!$W$2:$W$1001,$W857,Clean_Data!$V$2:$V$1001,1)-1))),""))</f>
        <v>-0.311395810225326</v>
      </c>
      <c r="AN857" s="5" t="str">
        <f>IF($AM857="","",IF($AM857&gt;=Lookups!$K$6,"High spike",IF($AM857&lt;=-Lookups!$K$6,"Unusual low","Normal")))</f>
        <v>Normal</v>
      </c>
      <c r="AO857" s="20">
        <f>IF($V857&lt;&gt;1,"",$P857+ROW()/100000)</f>
        <v>2.00857</v>
      </c>
      <c r="AP857" s="5">
        <f>IF($A857="","",IFERROR(MATCH($A857,Raw_D1!$A$2:$A$1001,0),""))</f>
        <v/>
      </c>
      <c r="AQ857" s="5">
        <f>IF($A857="","",IFERROR(MATCH($A857,Raw_D2!$B$2:$B$1001,0),""))</f>
        <v/>
      </c>
      <c r="AR857" s="5">
        <f>IF($A857="","",IFERROR(MATCH($A857,Raw_D3!$A$2:$A$1001,0),""))</f>
        <v>237</v>
      </c>
    </row>
    <row r="858" spans="1:44" x14ac:dyDescent="0.25">
      <c r="A858" s="5">
        <v>857</v>
      </c>
      <c r="B858" s="11">
        <f>IF($A858="","",IF($AP858&lt;&gt;"",INDEX(Raw_D1!$B$2:$B$1001,$AP858),IF($AR858&lt;&gt;"",INDEX(Raw_D3!$B$2:$B$1001,$AR858),"")))</f>
        <v>40582.0</v>
      </c>
      <c r="C858" s="5">
        <f>IF($A858="","",IF($AP858&lt;&gt;"",INDEX(Raw_D1!$C$2:$C$1001,$AP858),IF($AR858&lt;&gt;"",INDEX(Raw_D3!$C$2:$C$1001,$AR858),"")))</f>
        <v>1</v>
      </c>
      <c r="D858" s="5">
        <f>IF($A858="","",IF($AP858&lt;&gt;"",INDEX(Raw_D1!$D$2:$D$1001,$AP858),IF($AR858&lt;&gt;"",INDEX(Raw_D3!$D$2:$D$1001,$AR858),"")))</f>
        <v>0</v>
      </c>
      <c r="E858" s="5">
        <f>IF($A858="","",IF($AP858&lt;&gt;"",INDEX(Raw_D1!$E$2:$E$1001,$AP858),IF($AR858&lt;&gt;"",INDEX(Raw_D3!$E$2:$E$1001,$AR858),"")))</f>
        <v>2</v>
      </c>
      <c r="F858" s="5">
        <f>IF($A858="","",IF($AP858&lt;&gt;"",INDEX(Raw_D1!$F$2:$F$1001,$AP858),IF($AR858&lt;&gt;"",INDEX(Raw_D3!$F$2:$F$1001,$AR858),"")))</f>
        <v>3</v>
      </c>
      <c r="G858" s="5">
        <f>IF($A858="","",IF($AP858&lt;&gt;"",IF(INDEX(Raw_D1!$G$2:$G$1001,$AP858),1,0),IF($AR858&lt;&gt;"",IF(INDEX(Raw_D3!$G$2:$G$1001,$AR858),1,0),"")))</f>
        <v>0</v>
      </c>
      <c r="H858" s="5">
        <f>IF($A858="","",IF($AP858&lt;&gt;"",INDEX(Raw_D1!$H$2:$H$1001,$AP858),IF($AR858&lt;&gt;"",INDEX(Raw_D3!$H$2:$H$1001,$AR858),"")))</f>
        <v>2</v>
      </c>
      <c r="I858" s="5">
        <f>IF($A858="","",IF($AP858&lt;&gt;"",INDEX(Raw_D1!$I$2:$I$1001,$AP858),IF($AR858&lt;&gt;"",INDEX(Raw_D3!$I$2:$I$1001,$AR858),"")))</f>
        <v>3</v>
      </c>
      <c r="J858" s="16">
        <f>IF($A858="","",IF($AP858&lt;&gt;"",INDEX(Raw_D1!$J$2:$J$1001,$AP858),IF($AR858&lt;&gt;"",INDEX(Raw_D3!$J$2:$J$1001,$AR858),"")))</f>
        <v>0.28</v>
      </c>
      <c r="K858" s="17">
        <f>IF($A858="","",IF($AQ858&lt;&gt;"",IF(INDEX(Raw_D2!$C$2:$C$1001,$AQ858)="","",INDEX(Raw_D2!$C$2:$C$1001,$AQ858)),IF($AR858&lt;&gt;"",IF(INDEX(Raw_D3!$K$2:$K$1001,$AR858)="","",INDEX(Raw_D3!$K$2:$K$1001,$AR858)),"")))</f>
        <v>0.2727</v>
      </c>
      <c r="L858" s="16">
        <f>IF($A858="","",IF($AQ858&lt;&gt;"",IF(INDEX(Raw_D2!$D$2:$D$1001,$AQ858)="","",INDEX(Raw_D2!$D$2:$D$1001,$AQ858)),IF($AR858&lt;&gt;"",IF(INDEX(Raw_D3!$L$2:$L$1001,$AR858)="","",INDEX(Raw_D3!$L$2:$L$1001,$AR858)),"")))</f>
        <v>0.93</v>
      </c>
      <c r="M858" s="17">
        <f>IF($A858="","",IF($AQ858&lt;&gt;"",IF(INDEX(Raw_D2!$E$2:$E$1001,$AQ858)="","",INDEX(Raw_D2!$E$2:$E$1001,$AQ858)),IF($AR858&lt;&gt;"",IF(INDEX(Raw_D3!$M$2:$M$1001,$AR858)="","",INDEX(Raw_D3!$M$2:$M$1001,$AR858)),"")))</f>
        <v>0.1642</v>
      </c>
      <c r="N858" s="5">
        <f>IF($A858="","",IF($AQ858&lt;&gt;"",IF(INDEX(Raw_D2!$F$2:$F$1001,$AQ858)="","",INDEX(Raw_D2!$F$2:$F$1001,$AQ858)),IF($AR858&lt;&gt;"",IF(INDEX(Raw_D3!$N$2:$N$1001,$AR858)="","",INDEX(Raw_D3!$N$2:$N$1001,$AR858)),"")))</f>
        <v>0</v>
      </c>
      <c r="O858" s="5">
        <f>IF($A858="","",IF($AQ858&lt;&gt;"",IF(INDEX(Raw_D2!$G$2:$G$1001,$AQ858)="","",INDEX(Raw_D2!$G$2:$G$1001,$AQ858)),IF($AR858&lt;&gt;"",IF(INDEX(Raw_D3!$O$2:$O$1001,$AR858)="","",INDEX(Raw_D3!$O$2:$O$1001,$AR858)),"")))</f>
        <v>1</v>
      </c>
      <c r="P858" s="5">
        <f>IF($A858="","",IF($AQ858&lt;&gt;"",IF(INDEX(Raw_D2!$H$2:$H$1001,$AQ858)="","",INDEX(Raw_D2!$H$2:$H$1001,$AQ858)),IF($AR858&lt;&gt;"",IF(INDEX(Raw_D3!$P$2:$P$1001,$AR858)="","",INDEX(Raw_D3!$P$2:$P$1001,$AR858)),"")))</f>
        <v>1</v>
      </c>
      <c r="Q858" s="5" t="str">
        <f>IF($A858="","",IF(AND($AP858&lt;&gt;"",$AQ858&lt;&gt;""),"D1+D2",IF($AR858&lt;&gt;"","D3","Incomplete")))</f>
        <v>D3</v>
      </c>
      <c r="R858" s="17">
        <f>IF($A858="","",IF($K858="",IF($J858="","",ROUND(Lookups!$K$5+Lookups!$K$4*$J858,4)),$K858))</f>
        <v>0.2727</v>
      </c>
      <c r="S858" s="5" t="str">
        <f>IF($A858="","",IF($K858="","Imputed","Original"))</f>
        <v>Original</v>
      </c>
      <c r="T858" s="5" t="str">
        <f>IF($A858="","",IF($P858="","Missing",IF($P858=$N858+$O858,"OK","Mismatch")))</f>
        <v>OK</v>
      </c>
      <c r="U858" s="5" t="str">
        <f>IF($A858="","",IF(COUNTIF($A$2:$A858,$A858)&gt;1,"Duplicate","Unique"))</f>
        <v>Unique</v>
      </c>
      <c r="V858" s="5">
        <f>IF($A858="","",IF(AND($U858="Unique",ISNUMBER($P858)),1,0))</f>
        <v>1</v>
      </c>
      <c r="W858" s="5" t="str">
        <f>IF($A858="","",IF(OR($H858=0,$H858=6),"Weekend","Weekday"))</f>
        <v>Weekday</v>
      </c>
      <c r="X858" s="5" t="str">
        <f>IF($A858="","",TEXT($B858,"ddd"))</f>
        <v>Tue</v>
      </c>
      <c r="Y858" s="5" t="str">
        <f>IF($A858="","",TEXT($B858,"mmm"))</f>
        <v>Feb</v>
      </c>
      <c r="Z858" s="5" t="str">
        <f>IF($A858="","",IFERROR(VLOOKUP($C858,Lookups!$D$4:$E$7,2,FALSE),"Unknown"))</f>
        <v>Winter</v>
      </c>
      <c r="AA858" s="5" t="str">
        <f>IF($A858="","",IFERROR(VLOOKUP($I858,Lookups!$A$4:$B$7,2,FALSE),"Unknown"))</f>
        <v>Light Rain/Snow</v>
      </c>
      <c r="AB858" s="5" t="str">
        <f>IF($A858="","",TEXT($F858,"00")&amp;":00")</f>
        <v>03:00</v>
      </c>
      <c r="AC858" s="5" t="str">
        <f>IF($A858="","",VLOOKUP($F858,Lookups!$G$4:$H$8,2,TRUE))</f>
        <v>Night (00-05)</v>
      </c>
      <c r="AD858" s="18">
        <f>IF($A858="","",IF($J858="","",ROUND($J858*41,1)))</f>
        <v>11.5</v>
      </c>
      <c r="AE858" s="18">
        <f>IF($A858="","",IF($R858="","",ROUND($R858*50,1)))</f>
        <v>13.6</v>
      </c>
      <c r="AF858" s="5">
        <f>IF($A858="","",IF($L858="","",ROUND($L858*100,0)))</f>
        <v>93</v>
      </c>
      <c r="AG858" s="18">
        <f>IF($A858="","",IF($M858="","",ROUND($M858*67,1)))</f>
        <v>11</v>
      </c>
      <c r="AH858" s="19">
        <f>IF($A858="","",IF($P858="","",IF($P858=0,0,$O858/$P858)))</f>
        <v>1</v>
      </c>
      <c r="AI858" s="5" t="str">
        <f>IF($A858="","",IF($P858="","",IF($P858&gt;=Lookups!$K$7,"High",IF($P858&lt;=Lookups!$K$8,"Low","Medium"))))</f>
        <v>Low</v>
      </c>
      <c r="AJ858" s="5" t="str">
        <f>IF($A858="","",IF($AD858="","",IF($AD858&lt;5,"Under 5 C",IF($AD858&lt;10,"5-10 C",IF($AD858&lt;15,"10-15 C","15 C and above")))))</f>
        <v>10-15 C</v>
      </c>
      <c r="AK858" s="5">
        <f>IF($A858="","",IF($P858="","",$P858^2))</f>
        <v>1</v>
      </c>
      <c r="AL858" s="18">
        <f>IF($V858&lt;&gt;1,"",AVERAGEIFS(Clean_Data!$P$2:$P$1001,Clean_Data!$F$2:$F$1001,$F858,Clean_Data!$W$2:$W$1001,$W858,Clean_Data!$V$2:$V$1001,1))</f>
        <v>1.41176470588235</v>
      </c>
      <c r="AM858" s="16">
        <f>IF($V858&lt;&gt;1,"",IFERROR(($P858-$AL858)/SQRT(MAX(0,(SUMIFS(Clean_Data!$AK$2:$AK$1001,Clean_Data!$F$2:$F$1001,$F858,Clean_Data!$W$2:$W$1001,$W858,Clean_Data!$V$2:$V$1001,1)-COUNTIFS(Clean_Data!$F$2:$F$1001,$F858,Clean_Data!$W$2:$W$1001,$W858,Clean_Data!$V$2:$V$1001,1)*$AL858^2)/(COUNTIFS(Clean_Data!$F$2:$F$1001,$F858,Clean_Data!$W$2:$W$1001,$W858,Clean_Data!$V$2:$V$1001,1)-1))),""))</f>
        <v>-0.665912091816292</v>
      </c>
      <c r="AN858" s="5" t="str">
        <f>IF($AM858="","",IF($AM858&gt;=Lookups!$K$6,"High spike",IF($AM858&lt;=-Lookups!$K$6,"Unusual low","Normal")))</f>
        <v>Normal</v>
      </c>
      <c r="AO858" s="20">
        <f>IF($V858&lt;&gt;1,"",$P858+ROW()/100000)</f>
        <v>1.00858</v>
      </c>
      <c r="AP858" s="5">
        <f>IF($A858="","",IFERROR(MATCH($A858,Raw_D1!$A$2:$A$1001,0),""))</f>
        <v/>
      </c>
      <c r="AQ858" s="5">
        <f>IF($A858="","",IFERROR(MATCH($A858,Raw_D2!$B$2:$B$1001,0),""))</f>
        <v/>
      </c>
      <c r="AR858" s="5">
        <f>IF($A858="","",IFERROR(MATCH($A858,Raw_D3!$A$2:$A$1001,0),""))</f>
        <v>238</v>
      </c>
    </row>
    <row r="859" spans="1:44" x14ac:dyDescent="0.25">
      <c r="A859" s="5">
        <v>858</v>
      </c>
      <c r="B859" s="11">
        <f>IF($A859="","",IF($AP859&lt;&gt;"",INDEX(Raw_D1!$B$2:$B$1001,$AP859),IF($AR859&lt;&gt;"",INDEX(Raw_D3!$B$2:$B$1001,$AR859),"")))</f>
        <v>40582.0</v>
      </c>
      <c r="C859" s="5">
        <f>IF($A859="","",IF($AP859&lt;&gt;"",INDEX(Raw_D1!$C$2:$C$1001,$AP859),IF($AR859&lt;&gt;"",INDEX(Raw_D3!$C$2:$C$1001,$AR859),"")))</f>
        <v>1</v>
      </c>
      <c r="D859" s="5">
        <f>IF($A859="","",IF($AP859&lt;&gt;"",INDEX(Raw_D1!$D$2:$D$1001,$AP859),IF($AR859&lt;&gt;"",INDEX(Raw_D3!$D$2:$D$1001,$AR859),"")))</f>
        <v>0</v>
      </c>
      <c r="E859" s="5">
        <f>IF($A859="","",IF($AP859&lt;&gt;"",INDEX(Raw_D1!$E$2:$E$1001,$AP859),IF($AR859&lt;&gt;"",INDEX(Raw_D3!$E$2:$E$1001,$AR859),"")))</f>
        <v>2</v>
      </c>
      <c r="F859" s="5">
        <f>IF($A859="","",IF($AP859&lt;&gt;"",INDEX(Raw_D1!$F$2:$F$1001,$AP859),IF($AR859&lt;&gt;"",INDEX(Raw_D3!$F$2:$F$1001,$AR859),"")))</f>
        <v>4</v>
      </c>
      <c r="G859" s="5">
        <f>IF($A859="","",IF($AP859&lt;&gt;"",IF(INDEX(Raw_D1!$G$2:$G$1001,$AP859),1,0),IF($AR859&lt;&gt;"",IF(INDEX(Raw_D3!$G$2:$G$1001,$AR859),1,0),"")))</f>
        <v>0</v>
      </c>
      <c r="H859" s="5">
        <f>IF($A859="","",IF($AP859&lt;&gt;"",INDEX(Raw_D1!$H$2:$H$1001,$AP859),IF($AR859&lt;&gt;"",INDEX(Raw_D3!$H$2:$H$1001,$AR859),"")))</f>
        <v>2</v>
      </c>
      <c r="I859" s="5">
        <f>IF($A859="","",IF($AP859&lt;&gt;"",INDEX(Raw_D1!$I$2:$I$1001,$AP859),IF($AR859&lt;&gt;"",INDEX(Raw_D3!$I$2:$I$1001,$AR859),"")))</f>
        <v>1</v>
      </c>
      <c r="J859" s="16">
        <f>IF($A859="","",IF($AP859&lt;&gt;"",INDEX(Raw_D1!$J$2:$J$1001,$AP859),IF($AR859&lt;&gt;"",INDEX(Raw_D3!$J$2:$J$1001,$AR859),"")))</f>
        <v>0.26</v>
      </c>
      <c r="K859" s="17">
        <f>IF($A859="","",IF($AQ859&lt;&gt;"",IF(INDEX(Raw_D2!$C$2:$C$1001,$AQ859)="","",INDEX(Raw_D2!$C$2:$C$1001,$AQ859)),IF($AR859&lt;&gt;"",IF(INDEX(Raw_D3!$K$2:$K$1001,$AR859)="","",INDEX(Raw_D3!$K$2:$K$1001,$AR859)),"")))</f>
        <v>0.2576</v>
      </c>
      <c r="L859" s="16">
        <f>IF($A859="","",IF($AQ859&lt;&gt;"",IF(INDEX(Raw_D2!$D$2:$D$1001,$AQ859)="","",INDEX(Raw_D2!$D$2:$D$1001,$AQ859)),IF($AR859&lt;&gt;"",IF(INDEX(Raw_D3!$L$2:$L$1001,$AR859)="","",INDEX(Raw_D3!$L$2:$L$1001,$AR859)),"")))</f>
        <v>0.93</v>
      </c>
      <c r="M859" s="17">
        <f>IF($A859="","",IF($AQ859&lt;&gt;"",IF(INDEX(Raw_D2!$E$2:$E$1001,$AQ859)="","",INDEX(Raw_D2!$E$2:$E$1001,$AQ859)),IF($AR859&lt;&gt;"",IF(INDEX(Raw_D3!$M$2:$M$1001,$AR859)="","",INDEX(Raw_D3!$M$2:$M$1001,$AR859)),"")))</f>
        <v>0.1642</v>
      </c>
      <c r="N859" s="5">
        <f>IF($A859="","",IF($AQ859&lt;&gt;"",IF(INDEX(Raw_D2!$F$2:$F$1001,$AQ859)="","",INDEX(Raw_D2!$F$2:$F$1001,$AQ859)),IF($AR859&lt;&gt;"",IF(INDEX(Raw_D3!$N$2:$N$1001,$AR859)="","",INDEX(Raw_D3!$N$2:$N$1001,$AR859)),"")))</f>
        <v>0</v>
      </c>
      <c r="O859" s="5">
        <f>IF($A859="","",IF($AQ859&lt;&gt;"",IF(INDEX(Raw_D2!$G$2:$G$1001,$AQ859)="","",INDEX(Raw_D2!$G$2:$G$1001,$AQ859)),IF($AR859&lt;&gt;"",IF(INDEX(Raw_D3!$O$2:$O$1001,$AR859)="","",INDEX(Raw_D3!$O$2:$O$1001,$AR859)),"")))</f>
        <v>3</v>
      </c>
      <c r="P859" s="5">
        <f>IF($A859="","",IF($AQ859&lt;&gt;"",IF(INDEX(Raw_D2!$H$2:$H$1001,$AQ859)="","",INDEX(Raw_D2!$H$2:$H$1001,$AQ859)),IF($AR859&lt;&gt;"",IF(INDEX(Raw_D3!$P$2:$P$1001,$AR859)="","",INDEX(Raw_D3!$P$2:$P$1001,$AR859)),"")))</f>
        <v>3</v>
      </c>
      <c r="Q859" s="5" t="str">
        <f>IF($A859="","",IF(AND($AP859&lt;&gt;"",$AQ859&lt;&gt;""),"D1+D2",IF($AR859&lt;&gt;"","D3","Incomplete")))</f>
        <v>D3</v>
      </c>
      <c r="R859" s="17">
        <f>IF($A859="","",IF($K859="",IF($J859="","",ROUND(Lookups!$K$5+Lookups!$K$4*$J859,4)),$K859))</f>
        <v>0.2576</v>
      </c>
      <c r="S859" s="5" t="str">
        <f>IF($A859="","",IF($K859="","Imputed","Original"))</f>
        <v>Original</v>
      </c>
      <c r="T859" s="5" t="str">
        <f>IF($A859="","",IF($P859="","Missing",IF($P859=$N859+$O859,"OK","Mismatch")))</f>
        <v>OK</v>
      </c>
      <c r="U859" s="5" t="str">
        <f>IF($A859="","",IF(COUNTIF($A$2:$A859,$A859)&gt;1,"Duplicate","Unique"))</f>
        <v>Unique</v>
      </c>
      <c r="V859" s="5">
        <f>IF($A859="","",IF(AND($U859="Unique",ISNUMBER($P859)),1,0))</f>
        <v>1</v>
      </c>
      <c r="W859" s="5" t="str">
        <f>IF($A859="","",IF(OR($H859=0,$H859=6),"Weekend","Weekday"))</f>
        <v>Weekday</v>
      </c>
      <c r="X859" s="5" t="str">
        <f>IF($A859="","",TEXT($B859,"ddd"))</f>
        <v>Tue</v>
      </c>
      <c r="Y859" s="5" t="str">
        <f>IF($A859="","",TEXT($B859,"mmm"))</f>
        <v>Feb</v>
      </c>
      <c r="Z859" s="5" t="str">
        <f>IF($A859="","",IFERROR(VLOOKUP($C859,Lookups!$D$4:$E$7,2,FALSE),"Unknown"))</f>
        <v>Winter</v>
      </c>
      <c r="AA859" s="5" t="str">
        <f>IF($A859="","",IFERROR(VLOOKUP($I859,Lookups!$A$4:$B$7,2,FALSE),"Unknown"))</f>
        <v>Clear</v>
      </c>
      <c r="AB859" s="5" t="str">
        <f>IF($A859="","",TEXT($F859,"00")&amp;":00")</f>
        <v>04:00</v>
      </c>
      <c r="AC859" s="5" t="str">
        <f>IF($A859="","",VLOOKUP($F859,Lookups!$G$4:$H$8,2,TRUE))</f>
        <v>Night (00-05)</v>
      </c>
      <c r="AD859" s="18">
        <f>IF($A859="","",IF($J859="","",ROUND($J859*41,1)))</f>
        <v>10.7</v>
      </c>
      <c r="AE859" s="18">
        <f>IF($A859="","",IF($R859="","",ROUND($R859*50,1)))</f>
        <v>12.9</v>
      </c>
      <c r="AF859" s="5">
        <f>IF($A859="","",IF($L859="","",ROUND($L859*100,0)))</f>
        <v>93</v>
      </c>
      <c r="AG859" s="18">
        <f>IF($A859="","",IF($M859="","",ROUND($M859*67,1)))</f>
        <v>11</v>
      </c>
      <c r="AH859" s="19">
        <f>IF($A859="","",IF($P859="","",IF($P859=0,0,$O859/$P859)))</f>
        <v>1</v>
      </c>
      <c r="AI859" s="5" t="str">
        <f>IF($A859="","",IF($P859="","",IF($P859&gt;=Lookups!$K$7,"High",IF($P859&lt;=Lookups!$K$8,"Low","Medium"))))</f>
        <v>Low</v>
      </c>
      <c r="AJ859" s="5" t="str">
        <f>IF($A859="","",IF($AD859="","",IF($AD859&lt;5,"Under 5 C",IF($AD859&lt;10,"5-10 C",IF($AD859&lt;15,"10-15 C","15 C and above")))))</f>
        <v>10-15 C</v>
      </c>
      <c r="AK859" s="5">
        <f>IF($A859="","",IF($P859="","",$P859^2))</f>
        <v>9</v>
      </c>
      <c r="AL859" s="18">
        <f>IF($V859&lt;&gt;1,"",AVERAGEIFS(Clean_Data!$P$2:$P$1001,Clean_Data!$F$2:$F$1001,$F859,Clean_Data!$W$2:$W$1001,$W859,Clean_Data!$V$2:$V$1001,1))</f>
        <v>1.78947368421053</v>
      </c>
      <c r="AM859" s="16">
        <f>IF($V859&lt;&gt;1,"",IFERROR(($P859-$AL859)/SQRT(MAX(0,(SUMIFS(Clean_Data!$AK$2:$AK$1001,Clean_Data!$F$2:$F$1001,$F859,Clean_Data!$W$2:$W$1001,$W859,Clean_Data!$V$2:$V$1001,1)-COUNTIFS(Clean_Data!$F$2:$F$1001,$F859,Clean_Data!$W$2:$W$1001,$W859,Clean_Data!$V$2:$V$1001,1)*$AL859^2)/(COUNTIFS(Clean_Data!$F$2:$F$1001,$F859,Clean_Data!$W$2:$W$1001,$W859,Clean_Data!$V$2:$V$1001,1)-1))),""))</f>
        <v>1.31914046975573</v>
      </c>
      <c r="AN859" s="5" t="str">
        <f>IF($AM859="","",IF($AM859&gt;=Lookups!$K$6,"High spike",IF($AM859&lt;=-Lookups!$K$6,"Unusual low","Normal")))</f>
        <v>Normal</v>
      </c>
      <c r="AO859" s="20">
        <f>IF($V859&lt;&gt;1,"",$P859+ROW()/100000)</f>
        <v>3.00859</v>
      </c>
      <c r="AP859" s="5">
        <f>IF($A859="","",IFERROR(MATCH($A859,Raw_D1!$A$2:$A$1001,0),""))</f>
        <v/>
      </c>
      <c r="AQ859" s="5">
        <f>IF($A859="","",IFERROR(MATCH($A859,Raw_D2!$B$2:$B$1001,0),""))</f>
        <v/>
      </c>
      <c r="AR859" s="5">
        <f>IF($A859="","",IFERROR(MATCH($A859,Raw_D3!$A$2:$A$1001,0),""))</f>
        <v>239</v>
      </c>
    </row>
    <row r="860" spans="1:44" x14ac:dyDescent="0.25">
      <c r="A860" s="5">
        <v>859</v>
      </c>
      <c r="B860" s="11">
        <f>IF($A860="","",IF($AP860&lt;&gt;"",INDEX(Raw_D1!$B$2:$B$1001,$AP860),IF($AR860&lt;&gt;"",INDEX(Raw_D3!$B$2:$B$1001,$AR860),"")))</f>
        <v>40582.0</v>
      </c>
      <c r="C860" s="5">
        <f>IF($A860="","",IF($AP860&lt;&gt;"",INDEX(Raw_D1!$C$2:$C$1001,$AP860),IF($AR860&lt;&gt;"",INDEX(Raw_D3!$C$2:$C$1001,$AR860),"")))</f>
        <v>1</v>
      </c>
      <c r="D860" s="5">
        <f>IF($A860="","",IF($AP860&lt;&gt;"",INDEX(Raw_D1!$D$2:$D$1001,$AP860),IF($AR860&lt;&gt;"",INDEX(Raw_D3!$D$2:$D$1001,$AR860),"")))</f>
        <v>0</v>
      </c>
      <c r="E860" s="5">
        <f>IF($A860="","",IF($AP860&lt;&gt;"",INDEX(Raw_D1!$E$2:$E$1001,$AP860),IF($AR860&lt;&gt;"",INDEX(Raw_D3!$E$2:$E$1001,$AR860),"")))</f>
        <v>2</v>
      </c>
      <c r="F860" s="5">
        <f>IF($A860="","",IF($AP860&lt;&gt;"",INDEX(Raw_D1!$F$2:$F$1001,$AP860),IF($AR860&lt;&gt;"",INDEX(Raw_D3!$F$2:$F$1001,$AR860),"")))</f>
        <v>5</v>
      </c>
      <c r="G860" s="5">
        <f>IF($A860="","",IF($AP860&lt;&gt;"",IF(INDEX(Raw_D1!$G$2:$G$1001,$AP860),1,0),IF($AR860&lt;&gt;"",IF(INDEX(Raw_D3!$G$2:$G$1001,$AR860),1,0),"")))</f>
        <v>0</v>
      </c>
      <c r="H860" s="5">
        <f>IF($A860="","",IF($AP860&lt;&gt;"",INDEX(Raw_D1!$H$2:$H$1001,$AP860),IF($AR860&lt;&gt;"",INDEX(Raw_D3!$H$2:$H$1001,$AR860),"")))</f>
        <v>2</v>
      </c>
      <c r="I860" s="5">
        <f>IF($A860="","",IF($AP860&lt;&gt;"",INDEX(Raw_D1!$I$2:$I$1001,$AP860),IF($AR860&lt;&gt;"",INDEX(Raw_D3!$I$2:$I$1001,$AR860),"")))</f>
        <v>1</v>
      </c>
      <c r="J860" s="16">
        <f>IF($A860="","",IF($AP860&lt;&gt;"",INDEX(Raw_D1!$J$2:$J$1001,$AP860),IF($AR860&lt;&gt;"",INDEX(Raw_D3!$J$2:$J$1001,$AR860),"")))</f>
        <v>0.26</v>
      </c>
      <c r="K860" s="17">
        <f>IF($A860="","",IF($AQ860&lt;&gt;"",IF(INDEX(Raw_D2!$C$2:$C$1001,$AQ860)="","",INDEX(Raw_D2!$C$2:$C$1001,$AQ860)),IF($AR860&lt;&gt;"",IF(INDEX(Raw_D3!$K$2:$K$1001,$AR860)="","",INDEX(Raw_D3!$K$2:$K$1001,$AR860)),"")))</f>
        <v>0.2273</v>
      </c>
      <c r="L860" s="16">
        <f>IF($A860="","",IF($AQ860&lt;&gt;"",IF(INDEX(Raw_D2!$D$2:$D$1001,$AQ860)="","",INDEX(Raw_D2!$D$2:$D$1001,$AQ860)),IF($AR860&lt;&gt;"",IF(INDEX(Raw_D3!$L$2:$L$1001,$AR860)="","",INDEX(Raw_D3!$L$2:$L$1001,$AR860)),"")))</f>
        <v>0.81</v>
      </c>
      <c r="M860" s="17">
        <f>IF($A860="","",IF($AQ860&lt;&gt;"",IF(INDEX(Raw_D2!$E$2:$E$1001,$AQ860)="","",INDEX(Raw_D2!$E$2:$E$1001,$AQ860)),IF($AR860&lt;&gt;"",IF(INDEX(Raw_D3!$M$2:$M$1001,$AR860)="","",INDEX(Raw_D3!$M$2:$M$1001,$AR860)),"")))</f>
        <v>0.3284</v>
      </c>
      <c r="N860" s="5">
        <f>IF($A860="","",IF($AQ860&lt;&gt;"",IF(INDEX(Raw_D2!$F$2:$F$1001,$AQ860)="","",INDEX(Raw_D2!$F$2:$F$1001,$AQ860)),IF($AR860&lt;&gt;"",IF(INDEX(Raw_D3!$N$2:$N$1001,$AR860)="","",INDEX(Raw_D3!$N$2:$N$1001,$AR860)),"")))</f>
        <v>0</v>
      </c>
      <c r="O860" s="5">
        <f>IF($A860="","",IF($AQ860&lt;&gt;"",IF(INDEX(Raw_D2!$G$2:$G$1001,$AQ860)="","",INDEX(Raw_D2!$G$2:$G$1001,$AQ860)),IF($AR860&lt;&gt;"",IF(INDEX(Raw_D3!$O$2:$O$1001,$AR860)="","",INDEX(Raw_D3!$O$2:$O$1001,$AR860)),"")))</f>
        <v>2</v>
      </c>
      <c r="P860" s="5">
        <f>IF($A860="","",IF($AQ860&lt;&gt;"",IF(INDEX(Raw_D2!$H$2:$H$1001,$AQ860)="","",INDEX(Raw_D2!$H$2:$H$1001,$AQ860)),IF($AR860&lt;&gt;"",IF(INDEX(Raw_D3!$P$2:$P$1001,$AR860)="","",INDEX(Raw_D3!$P$2:$P$1001,$AR860)),"")))</f>
        <v>2</v>
      </c>
      <c r="Q860" s="5" t="str">
        <f>IF($A860="","",IF(AND($AP860&lt;&gt;"",$AQ860&lt;&gt;""),"D1+D2",IF($AR860&lt;&gt;"","D3","Incomplete")))</f>
        <v>D3</v>
      </c>
      <c r="R860" s="17">
        <f>IF($A860="","",IF($K860="",IF($J860="","",ROUND(Lookups!$K$5+Lookups!$K$4*$J860,4)),$K860))</f>
        <v>0.2273</v>
      </c>
      <c r="S860" s="5" t="str">
        <f>IF($A860="","",IF($K860="","Imputed","Original"))</f>
        <v>Original</v>
      </c>
      <c r="T860" s="5" t="str">
        <f>IF($A860="","",IF($P860="","Missing",IF($P860=$N860+$O860,"OK","Mismatch")))</f>
        <v>OK</v>
      </c>
      <c r="U860" s="5" t="str">
        <f>IF($A860="","",IF(COUNTIF($A$2:$A860,$A860)&gt;1,"Duplicate","Unique"))</f>
        <v>Unique</v>
      </c>
      <c r="V860" s="5">
        <f>IF($A860="","",IF(AND($U860="Unique",ISNUMBER($P860)),1,0))</f>
        <v>1</v>
      </c>
      <c r="W860" s="5" t="str">
        <f>IF($A860="","",IF(OR($H860=0,$H860=6),"Weekend","Weekday"))</f>
        <v>Weekday</v>
      </c>
      <c r="X860" s="5" t="str">
        <f>IF($A860="","",TEXT($B860,"ddd"))</f>
        <v>Tue</v>
      </c>
      <c r="Y860" s="5" t="str">
        <f>IF($A860="","",TEXT($B860,"mmm"))</f>
        <v>Feb</v>
      </c>
      <c r="Z860" s="5" t="str">
        <f>IF($A860="","",IFERROR(VLOOKUP($C860,Lookups!$D$4:$E$7,2,FALSE),"Unknown"))</f>
        <v>Winter</v>
      </c>
      <c r="AA860" s="5" t="str">
        <f>IF($A860="","",IFERROR(VLOOKUP($I860,Lookups!$A$4:$B$7,2,FALSE),"Unknown"))</f>
        <v>Clear</v>
      </c>
      <c r="AB860" s="5" t="str">
        <f>IF($A860="","",TEXT($F860,"00")&amp;":00")</f>
        <v>05:00</v>
      </c>
      <c r="AC860" s="5" t="str">
        <f>IF($A860="","",VLOOKUP($F860,Lookups!$G$4:$H$8,2,TRUE))</f>
        <v>Night (00-05)</v>
      </c>
      <c r="AD860" s="18">
        <f>IF($A860="","",IF($J860="","",ROUND($J860*41,1)))</f>
        <v>10.7</v>
      </c>
      <c r="AE860" s="18">
        <f>IF($A860="","",IF($R860="","",ROUND($R860*50,1)))</f>
        <v>11.4</v>
      </c>
      <c r="AF860" s="5">
        <f>IF($A860="","",IF($L860="","",ROUND($L860*100,0)))</f>
        <v>81</v>
      </c>
      <c r="AG860" s="18">
        <f>IF($A860="","",IF($M860="","",ROUND($M860*67,1)))</f>
        <v>22</v>
      </c>
      <c r="AH860" s="19">
        <f>IF($A860="","",IF($P860="","",IF($P860=0,0,$O860/$P860)))</f>
        <v>1</v>
      </c>
      <c r="AI860" s="5" t="str">
        <f>IF($A860="","",IF($P860="","",IF($P860&gt;=Lookups!$K$7,"High",IF($P860&lt;=Lookups!$K$8,"Low","Medium"))))</f>
        <v>Low</v>
      </c>
      <c r="AJ860" s="5" t="str">
        <f>IF($A860="","",IF($AD860="","",IF($AD860&lt;5,"Under 5 C",IF($AD860&lt;10,"5-10 C",IF($AD860&lt;15,"10-15 C","15 C and above")))))</f>
        <v>10-15 C</v>
      </c>
      <c r="AK860" s="5">
        <f>IF($A860="","",IF($P860="","",$P860^2))</f>
        <v>4</v>
      </c>
      <c r="AL860" s="18">
        <f>IF($V860&lt;&gt;1,"",AVERAGEIFS(Clean_Data!$P$2:$P$1001,Clean_Data!$F$2:$F$1001,$F860,Clean_Data!$W$2:$W$1001,$W860,Clean_Data!$V$2:$V$1001,1))</f>
        <v>4.72413793103448</v>
      </c>
      <c r="AM860" s="16">
        <f>IF($V860&lt;&gt;1,"",IFERROR(($P860-$AL860)/SQRT(MAX(0,(SUMIFS(Clean_Data!$AK$2:$AK$1001,Clean_Data!$F$2:$F$1001,$F860,Clean_Data!$W$2:$W$1001,$W860,Clean_Data!$V$2:$V$1001,1)-COUNTIFS(Clean_Data!$F$2:$F$1001,$F860,Clean_Data!$W$2:$W$1001,$W860,Clean_Data!$V$2:$V$1001,1)*$AL860^2)/(COUNTIFS(Clean_Data!$F$2:$F$1001,$F860,Clean_Data!$W$2:$W$1001,$W860,Clean_Data!$V$2:$V$1001,1)-1))),""))</f>
        <v>-1.16235738345477</v>
      </c>
      <c r="AN860" s="5" t="str">
        <f>IF($AM860="","",IF($AM860&gt;=Lookups!$K$6,"High spike",IF($AM860&lt;=-Lookups!$K$6,"Unusual low","Normal")))</f>
        <v>Normal</v>
      </c>
      <c r="AO860" s="20">
        <f>IF($V860&lt;&gt;1,"",$P860+ROW()/100000)</f>
        <v>2.0086</v>
      </c>
      <c r="AP860" s="5">
        <f>IF($A860="","",IFERROR(MATCH($A860,Raw_D1!$A$2:$A$1001,0),""))</f>
        <v/>
      </c>
      <c r="AQ860" s="5">
        <f>IF($A860="","",IFERROR(MATCH($A860,Raw_D2!$B$2:$B$1001,0),""))</f>
        <v/>
      </c>
      <c r="AR860" s="5">
        <f>IF($A860="","",IFERROR(MATCH($A860,Raw_D3!$A$2:$A$1001,0),""))</f>
        <v>240</v>
      </c>
    </row>
    <row r="861" spans="1:44" x14ac:dyDescent="0.25">
      <c r="A861" s="5">
        <v>860</v>
      </c>
      <c r="B861" s="11">
        <f>IF($A861="","",IF($AP861&lt;&gt;"",INDEX(Raw_D1!$B$2:$B$1001,$AP861),IF($AR861&lt;&gt;"",INDEX(Raw_D3!$B$2:$B$1001,$AR861),"")))</f>
        <v>40582.0</v>
      </c>
      <c r="C861" s="5">
        <f>IF($A861="","",IF($AP861&lt;&gt;"",INDEX(Raw_D1!$C$2:$C$1001,$AP861),IF($AR861&lt;&gt;"",INDEX(Raw_D3!$C$2:$C$1001,$AR861),"")))</f>
        <v>1</v>
      </c>
      <c r="D861" s="5">
        <f>IF($A861="","",IF($AP861&lt;&gt;"",INDEX(Raw_D1!$D$2:$D$1001,$AP861),IF($AR861&lt;&gt;"",INDEX(Raw_D3!$D$2:$D$1001,$AR861),"")))</f>
        <v>0</v>
      </c>
      <c r="E861" s="5">
        <f>IF($A861="","",IF($AP861&lt;&gt;"",INDEX(Raw_D1!$E$2:$E$1001,$AP861),IF($AR861&lt;&gt;"",INDEX(Raw_D3!$E$2:$E$1001,$AR861),"")))</f>
        <v>2</v>
      </c>
      <c r="F861" s="5">
        <f>IF($A861="","",IF($AP861&lt;&gt;"",INDEX(Raw_D1!$F$2:$F$1001,$AP861),IF($AR861&lt;&gt;"",INDEX(Raw_D3!$F$2:$F$1001,$AR861),"")))</f>
        <v>6</v>
      </c>
      <c r="G861" s="5">
        <f>IF($A861="","",IF($AP861&lt;&gt;"",IF(INDEX(Raw_D1!$G$2:$G$1001,$AP861),1,0),IF($AR861&lt;&gt;"",IF(INDEX(Raw_D3!$G$2:$G$1001,$AR861),1,0),"")))</f>
        <v>0</v>
      </c>
      <c r="H861" s="5">
        <f>IF($A861="","",IF($AP861&lt;&gt;"",INDEX(Raw_D1!$H$2:$H$1001,$AP861),IF($AR861&lt;&gt;"",INDEX(Raw_D3!$H$2:$H$1001,$AR861),"")))</f>
        <v>2</v>
      </c>
      <c r="I861" s="5">
        <f>IF($A861="","",IF($AP861&lt;&gt;"",INDEX(Raw_D1!$I$2:$I$1001,$AP861),IF($AR861&lt;&gt;"",INDEX(Raw_D3!$I$2:$I$1001,$AR861),"")))</f>
        <v>1</v>
      </c>
      <c r="J861" s="16">
        <f>IF($A861="","",IF($AP861&lt;&gt;"",INDEX(Raw_D1!$J$2:$J$1001,$AP861),IF($AR861&lt;&gt;"",INDEX(Raw_D3!$J$2:$J$1001,$AR861),"")))</f>
        <v>0.26</v>
      </c>
      <c r="K861" s="17">
        <f>IF($A861="","",IF($AQ861&lt;&gt;"",IF(INDEX(Raw_D2!$C$2:$C$1001,$AQ861)="","",INDEX(Raw_D2!$C$2:$C$1001,$AQ861)),IF($AR861&lt;&gt;"",IF(INDEX(Raw_D3!$K$2:$K$1001,$AR861)="","",INDEX(Raw_D3!$K$2:$K$1001,$AR861)),"")))</f>
        <v>0.2273</v>
      </c>
      <c r="L861" s="16">
        <f>IF($A861="","",IF($AQ861&lt;&gt;"",IF(INDEX(Raw_D2!$D$2:$D$1001,$AQ861)="","",INDEX(Raw_D2!$D$2:$D$1001,$AQ861)),IF($AR861&lt;&gt;"",IF(INDEX(Raw_D3!$L$2:$L$1001,$AR861)="","",INDEX(Raw_D3!$L$2:$L$1001,$AR861)),"")))</f>
        <v>0.7</v>
      </c>
      <c r="M861" s="17">
        <f>IF($A861="","",IF($AQ861&lt;&gt;"",IF(INDEX(Raw_D2!$E$2:$E$1001,$AQ861)="","",INDEX(Raw_D2!$E$2:$E$1001,$AQ861)),IF($AR861&lt;&gt;"",IF(INDEX(Raw_D3!$M$2:$M$1001,$AR861)="","",INDEX(Raw_D3!$M$2:$M$1001,$AR861)),"")))</f>
        <v>0.3284</v>
      </c>
      <c r="N861" s="5">
        <f>IF($A861="","",IF($AQ861&lt;&gt;"",IF(INDEX(Raw_D2!$F$2:$F$1001,$AQ861)="","",INDEX(Raw_D2!$F$2:$F$1001,$AQ861)),IF($AR861&lt;&gt;"",IF(INDEX(Raw_D3!$N$2:$N$1001,$AR861)="","",INDEX(Raw_D3!$N$2:$N$1001,$AR861)),"")))</f>
        <v>0</v>
      </c>
      <c r="O861" s="5">
        <f>IF($A861="","",IF($AQ861&lt;&gt;"",IF(INDEX(Raw_D2!$G$2:$G$1001,$AQ861)="","",INDEX(Raw_D2!$G$2:$G$1001,$AQ861)),IF($AR861&lt;&gt;"",IF(INDEX(Raw_D3!$O$2:$O$1001,$AR861)="","",INDEX(Raw_D3!$O$2:$O$1001,$AR861)),"")))</f>
        <v>39</v>
      </c>
      <c r="P861" s="5">
        <f>IF($A861="","",IF($AQ861&lt;&gt;"",IF(INDEX(Raw_D2!$H$2:$H$1001,$AQ861)="","",INDEX(Raw_D2!$H$2:$H$1001,$AQ861)),IF($AR861&lt;&gt;"",IF(INDEX(Raw_D3!$P$2:$P$1001,$AR861)="","",INDEX(Raw_D3!$P$2:$P$1001,$AR861)),"")))</f>
        <v>39</v>
      </c>
      <c r="Q861" s="5" t="str">
        <f>IF($A861="","",IF(AND($AP861&lt;&gt;"",$AQ861&lt;&gt;""),"D1+D2",IF($AR861&lt;&gt;"","D3","Incomplete")))</f>
        <v>D3</v>
      </c>
      <c r="R861" s="17">
        <f>IF($A861="","",IF($K861="",IF($J861="","",ROUND(Lookups!$K$5+Lookups!$K$4*$J861,4)),$K861))</f>
        <v>0.2273</v>
      </c>
      <c r="S861" s="5" t="str">
        <f>IF($A861="","",IF($K861="","Imputed","Original"))</f>
        <v>Original</v>
      </c>
      <c r="T861" s="5" t="str">
        <f>IF($A861="","",IF($P861="","Missing",IF($P861=$N861+$O861,"OK","Mismatch")))</f>
        <v>OK</v>
      </c>
      <c r="U861" s="5" t="str">
        <f>IF($A861="","",IF(COUNTIF($A$2:$A861,$A861)&gt;1,"Duplicate","Unique"))</f>
        <v>Unique</v>
      </c>
      <c r="V861" s="5">
        <f>IF($A861="","",IF(AND($U861="Unique",ISNUMBER($P861)),1,0))</f>
        <v>1</v>
      </c>
      <c r="W861" s="5" t="str">
        <f>IF($A861="","",IF(OR($H861=0,$H861=6),"Weekend","Weekday"))</f>
        <v>Weekday</v>
      </c>
      <c r="X861" s="5" t="str">
        <f>IF($A861="","",TEXT($B861,"ddd"))</f>
        <v>Tue</v>
      </c>
      <c r="Y861" s="5" t="str">
        <f>IF($A861="","",TEXT($B861,"mmm"))</f>
        <v>Feb</v>
      </c>
      <c r="Z861" s="5" t="str">
        <f>IF($A861="","",IFERROR(VLOOKUP($C861,Lookups!$D$4:$E$7,2,FALSE),"Unknown"))</f>
        <v>Winter</v>
      </c>
      <c r="AA861" s="5" t="str">
        <f>IF($A861="","",IFERROR(VLOOKUP($I861,Lookups!$A$4:$B$7,2,FALSE),"Unknown"))</f>
        <v>Clear</v>
      </c>
      <c r="AB861" s="5" t="str">
        <f>IF($A861="","",TEXT($F861,"00")&amp;":00")</f>
        <v>06:00</v>
      </c>
      <c r="AC861" s="5" t="str">
        <f>IF($A861="","",VLOOKUP($F861,Lookups!$G$4:$H$8,2,TRUE))</f>
        <v>Morning Peak (06-09)</v>
      </c>
      <c r="AD861" s="18">
        <f>IF($A861="","",IF($J861="","",ROUND($J861*41,1)))</f>
        <v>10.7</v>
      </c>
      <c r="AE861" s="18">
        <f>IF($A861="","",IF($R861="","",ROUND($R861*50,1)))</f>
        <v>11.4</v>
      </c>
      <c r="AF861" s="5">
        <f>IF($A861="","",IF($L861="","",ROUND($L861*100,0)))</f>
        <v>70</v>
      </c>
      <c r="AG861" s="18">
        <f>IF($A861="","",IF($M861="","",ROUND($M861*67,1)))</f>
        <v>22</v>
      </c>
      <c r="AH861" s="19">
        <f>IF($A861="","",IF($P861="","",IF($P861=0,0,$O861/$P861)))</f>
        <v>1</v>
      </c>
      <c r="AI861" s="5" t="str">
        <f>IF($A861="","",IF($P861="","",IF($P861&gt;=Lookups!$K$7,"High",IF($P861&lt;=Lookups!$K$8,"Low","Medium"))))</f>
        <v>Medium</v>
      </c>
      <c r="AJ861" s="5" t="str">
        <f>IF($A861="","",IF($AD861="","",IF($AD861&lt;5,"Under 5 C",IF($AD861&lt;10,"5-10 C",IF($AD861&lt;15,"10-15 C","15 C and above")))))</f>
        <v>10-15 C</v>
      </c>
      <c r="AK861" s="5">
        <f>IF($A861="","",IF($P861="","",$P861^2))</f>
        <v>1521</v>
      </c>
      <c r="AL861" s="18">
        <f>IF($V861&lt;&gt;1,"",AVERAGEIFS(Clean_Data!$P$2:$P$1001,Clean_Data!$F$2:$F$1001,$F861,Clean_Data!$W$2:$W$1001,$W861,Clean_Data!$V$2:$V$1001,1))</f>
        <v>27.3793103448276</v>
      </c>
      <c r="AM861" s="16">
        <f>IF($V861&lt;&gt;1,"",IFERROR(($P861-$AL861)/SQRT(MAX(0,(SUMIFS(Clean_Data!$AK$2:$AK$1001,Clean_Data!$F$2:$F$1001,$F861,Clean_Data!$W$2:$W$1001,$W861,Clean_Data!$V$2:$V$1001,1)-COUNTIFS(Clean_Data!$F$2:$F$1001,$F861,Clean_Data!$W$2:$W$1001,$W861,Clean_Data!$V$2:$V$1001,1)*$AL861^2)/(COUNTIFS(Clean_Data!$F$2:$F$1001,$F861,Clean_Data!$W$2:$W$1001,$W861,Clean_Data!$V$2:$V$1001,1)-1))),""))</f>
        <v>1.21989744204087</v>
      </c>
      <c r="AN861" s="5" t="str">
        <f>IF($AM861="","",IF($AM861&gt;=Lookups!$K$6,"High spike",IF($AM861&lt;=-Lookups!$K$6,"Unusual low","Normal")))</f>
        <v>Normal</v>
      </c>
      <c r="AO861" s="20">
        <f>IF($V861&lt;&gt;1,"",$P861+ROW()/100000)</f>
        <v>39.00861</v>
      </c>
      <c r="AP861" s="5">
        <f>IF($A861="","",IFERROR(MATCH($A861,Raw_D1!$A$2:$A$1001,0),""))</f>
        <v/>
      </c>
      <c r="AQ861" s="5">
        <f>IF($A861="","",IFERROR(MATCH($A861,Raw_D2!$B$2:$B$1001,0),""))</f>
        <v/>
      </c>
      <c r="AR861" s="5">
        <f>IF($A861="","",IFERROR(MATCH($A861,Raw_D3!$A$2:$A$1001,0),""))</f>
        <v>241</v>
      </c>
    </row>
    <row r="862" spans="1:44" x14ac:dyDescent="0.25">
      <c r="A862" s="5">
        <v>861</v>
      </c>
      <c r="B862" s="11">
        <f>IF($A862="","",IF($AP862&lt;&gt;"",INDEX(Raw_D1!$B$2:$B$1001,$AP862),IF($AR862&lt;&gt;"",INDEX(Raw_D3!$B$2:$B$1001,$AR862),"")))</f>
        <v>40582.0</v>
      </c>
      <c r="C862" s="5">
        <f>IF($A862="","",IF($AP862&lt;&gt;"",INDEX(Raw_D1!$C$2:$C$1001,$AP862),IF($AR862&lt;&gt;"",INDEX(Raw_D3!$C$2:$C$1001,$AR862),"")))</f>
        <v>1</v>
      </c>
      <c r="D862" s="5">
        <f>IF($A862="","",IF($AP862&lt;&gt;"",INDEX(Raw_D1!$D$2:$D$1001,$AP862),IF($AR862&lt;&gt;"",INDEX(Raw_D3!$D$2:$D$1001,$AR862),"")))</f>
        <v>0</v>
      </c>
      <c r="E862" s="5">
        <f>IF($A862="","",IF($AP862&lt;&gt;"",INDEX(Raw_D1!$E$2:$E$1001,$AP862),IF($AR862&lt;&gt;"",INDEX(Raw_D3!$E$2:$E$1001,$AR862),"")))</f>
        <v>2</v>
      </c>
      <c r="F862" s="5">
        <f>IF($A862="","",IF($AP862&lt;&gt;"",INDEX(Raw_D1!$F$2:$F$1001,$AP862),IF($AR862&lt;&gt;"",INDEX(Raw_D3!$F$2:$F$1001,$AR862),"")))</f>
        <v>7</v>
      </c>
      <c r="G862" s="5">
        <f>IF($A862="","",IF($AP862&lt;&gt;"",IF(INDEX(Raw_D1!$G$2:$G$1001,$AP862),1,0),IF($AR862&lt;&gt;"",IF(INDEX(Raw_D3!$G$2:$G$1001,$AR862),1,0),"")))</f>
        <v>0</v>
      </c>
      <c r="H862" s="5">
        <f>IF($A862="","",IF($AP862&lt;&gt;"",INDEX(Raw_D1!$H$2:$H$1001,$AP862),IF($AR862&lt;&gt;"",INDEX(Raw_D3!$H$2:$H$1001,$AR862),"")))</f>
        <v>2</v>
      </c>
      <c r="I862" s="5">
        <f>IF($A862="","",IF($AP862&lt;&gt;"",INDEX(Raw_D1!$I$2:$I$1001,$AP862),IF($AR862&lt;&gt;"",INDEX(Raw_D3!$I$2:$I$1001,$AR862),"")))</f>
        <v>1</v>
      </c>
      <c r="J862" s="16">
        <f>IF($A862="","",IF($AP862&lt;&gt;"",INDEX(Raw_D1!$J$2:$J$1001,$AP862),IF($AR862&lt;&gt;"",INDEX(Raw_D3!$J$2:$J$1001,$AR862),"")))</f>
        <v>0.24</v>
      </c>
      <c r="K862" s="17">
        <f>IF($A862="","",IF($AQ862&lt;&gt;"",IF(INDEX(Raw_D2!$C$2:$C$1001,$AQ862)="","",INDEX(Raw_D2!$C$2:$C$1001,$AQ862)),IF($AR862&lt;&gt;"",IF(INDEX(Raw_D3!$K$2:$K$1001,$AR862)="","",INDEX(Raw_D3!$K$2:$K$1001,$AR862)),"")))</f>
        <v>0.197</v>
      </c>
      <c r="L862" s="16">
        <f>IF($A862="","",IF($AQ862&lt;&gt;"",IF(INDEX(Raw_D2!$D$2:$D$1001,$AQ862)="","",INDEX(Raw_D2!$D$2:$D$1001,$AQ862)),IF($AR862&lt;&gt;"",IF(INDEX(Raw_D3!$L$2:$L$1001,$AR862)="","",INDEX(Raw_D3!$L$2:$L$1001,$AR862)),"")))</f>
        <v>0.65</v>
      </c>
      <c r="M862" s="17">
        <f>IF($A862="","",IF($AQ862&lt;&gt;"",IF(INDEX(Raw_D2!$E$2:$E$1001,$AQ862)="","",INDEX(Raw_D2!$E$2:$E$1001,$AQ862)),IF($AR862&lt;&gt;"",IF(INDEX(Raw_D3!$M$2:$M$1001,$AR862)="","",INDEX(Raw_D3!$M$2:$M$1001,$AR862)),"")))</f>
        <v>0.4179</v>
      </c>
      <c r="N862" s="5">
        <f>IF($A862="","",IF($AQ862&lt;&gt;"",IF(INDEX(Raw_D2!$F$2:$F$1001,$AQ862)="","",INDEX(Raw_D2!$F$2:$F$1001,$AQ862)),IF($AR862&lt;&gt;"",IF(INDEX(Raw_D3!$N$2:$N$1001,$AR862)="","",INDEX(Raw_D3!$N$2:$N$1001,$AR862)),"")))</f>
        <v>3</v>
      </c>
      <c r="O862" s="5">
        <f>IF($A862="","",IF($AQ862&lt;&gt;"",IF(INDEX(Raw_D2!$G$2:$G$1001,$AQ862)="","",INDEX(Raw_D2!$G$2:$G$1001,$AQ862)),IF($AR862&lt;&gt;"",IF(INDEX(Raw_D3!$O$2:$O$1001,$AR862)="","",INDEX(Raw_D3!$O$2:$O$1001,$AR862)),"")))</f>
        <v>97</v>
      </c>
      <c r="P862" s="5">
        <f>IF($A862="","",IF($AQ862&lt;&gt;"",IF(INDEX(Raw_D2!$H$2:$H$1001,$AQ862)="","",INDEX(Raw_D2!$H$2:$H$1001,$AQ862)),IF($AR862&lt;&gt;"",IF(INDEX(Raw_D3!$P$2:$P$1001,$AR862)="","",INDEX(Raw_D3!$P$2:$P$1001,$AR862)),"")))</f>
        <v>100</v>
      </c>
      <c r="Q862" s="5" t="str">
        <f>IF($A862="","",IF(AND($AP862&lt;&gt;"",$AQ862&lt;&gt;""),"D1+D2",IF($AR862&lt;&gt;"","D3","Incomplete")))</f>
        <v>D3</v>
      </c>
      <c r="R862" s="17">
        <f>IF($A862="","",IF($K862="",IF($J862="","",ROUND(Lookups!$K$5+Lookups!$K$4*$J862,4)),$K862))</f>
        <v>0.197</v>
      </c>
      <c r="S862" s="5" t="str">
        <f>IF($A862="","",IF($K862="","Imputed","Original"))</f>
        <v>Original</v>
      </c>
      <c r="T862" s="5" t="str">
        <f>IF($A862="","",IF($P862="","Missing",IF($P862=$N862+$O862,"OK","Mismatch")))</f>
        <v>OK</v>
      </c>
      <c r="U862" s="5" t="str">
        <f>IF($A862="","",IF(COUNTIF($A$2:$A862,$A862)&gt;1,"Duplicate","Unique"))</f>
        <v>Unique</v>
      </c>
      <c r="V862" s="5">
        <f>IF($A862="","",IF(AND($U862="Unique",ISNUMBER($P862)),1,0))</f>
        <v>1</v>
      </c>
      <c r="W862" s="5" t="str">
        <f>IF($A862="","",IF(OR($H862=0,$H862=6),"Weekend","Weekday"))</f>
        <v>Weekday</v>
      </c>
      <c r="X862" s="5" t="str">
        <f>IF($A862="","",TEXT($B862,"ddd"))</f>
        <v>Tue</v>
      </c>
      <c r="Y862" s="5" t="str">
        <f>IF($A862="","",TEXT($B862,"mmm"))</f>
        <v>Feb</v>
      </c>
      <c r="Z862" s="5" t="str">
        <f>IF($A862="","",IFERROR(VLOOKUP($C862,Lookups!$D$4:$E$7,2,FALSE),"Unknown"))</f>
        <v>Winter</v>
      </c>
      <c r="AA862" s="5" t="str">
        <f>IF($A862="","",IFERROR(VLOOKUP($I862,Lookups!$A$4:$B$7,2,FALSE),"Unknown"))</f>
        <v>Clear</v>
      </c>
      <c r="AB862" s="5" t="str">
        <f>IF($A862="","",TEXT($F862,"00")&amp;":00")</f>
        <v>07:00</v>
      </c>
      <c r="AC862" s="5" t="str">
        <f>IF($A862="","",VLOOKUP($F862,Lookups!$G$4:$H$8,2,TRUE))</f>
        <v>Morning Peak (06-09)</v>
      </c>
      <c r="AD862" s="18">
        <f>IF($A862="","",IF($J862="","",ROUND($J862*41,1)))</f>
        <v>9.8</v>
      </c>
      <c r="AE862" s="18">
        <f>IF($A862="","",IF($R862="","",ROUND($R862*50,1)))</f>
        <v>9.9</v>
      </c>
      <c r="AF862" s="5">
        <f>IF($A862="","",IF($L862="","",ROUND($L862*100,0)))</f>
        <v>65</v>
      </c>
      <c r="AG862" s="18">
        <f>IF($A862="","",IF($M862="","",ROUND($M862*67,1)))</f>
        <v>28</v>
      </c>
      <c r="AH862" s="19">
        <f>IF($A862="","",IF($P862="","",IF($P862=0,0,$O862/$P862)))</f>
        <v>0.97</v>
      </c>
      <c r="AI862" s="5" t="str">
        <f>IF($A862="","",IF($P862="","",IF($P862&gt;=Lookups!$K$7,"High",IF($P862&lt;=Lookups!$K$8,"Low","Medium"))))</f>
        <v>High</v>
      </c>
      <c r="AJ862" s="5" t="str">
        <f>IF($A862="","",IF($AD862="","",IF($AD862&lt;5,"Under 5 C",IF($AD862&lt;10,"5-10 C",IF($AD862&lt;15,"10-15 C","15 C and above")))))</f>
        <v>5-10 C</v>
      </c>
      <c r="AK862" s="5">
        <f>IF($A862="","",IF($P862="","",$P862^2))</f>
        <v>10000</v>
      </c>
      <c r="AL862" s="18">
        <f>IF($V862&lt;&gt;1,"",AVERAGEIFS(Clean_Data!$P$2:$P$1001,Clean_Data!$F$2:$F$1001,$F862,Clean_Data!$W$2:$W$1001,$W862,Clean_Data!$V$2:$V$1001,1))</f>
        <v>78.0344827586207</v>
      </c>
      <c r="AM862" s="16">
        <f>IF($V862&lt;&gt;1,"",IFERROR(($P862-$AL862)/SQRT(MAX(0,(SUMIFS(Clean_Data!$AK$2:$AK$1001,Clean_Data!$F$2:$F$1001,$F862,Clean_Data!$W$2:$W$1001,$W862,Clean_Data!$V$2:$V$1001,1)-COUNTIFS(Clean_Data!$F$2:$F$1001,$F862,Clean_Data!$W$2:$W$1001,$W862,Clean_Data!$V$2:$V$1001,1)*$AL862^2)/(COUNTIFS(Clean_Data!$F$2:$F$1001,$F862,Clean_Data!$W$2:$W$1001,$W862,Clean_Data!$V$2:$V$1001,1)-1))),""))</f>
        <v>0.970512141493806</v>
      </c>
      <c r="AN862" s="5" t="str">
        <f>IF($AM862="","",IF($AM862&gt;=Lookups!$K$6,"High spike",IF($AM862&lt;=-Lookups!$K$6,"Unusual low","Normal")))</f>
        <v>Normal</v>
      </c>
      <c r="AO862" s="20">
        <f>IF($V862&lt;&gt;1,"",$P862+ROW()/100000)</f>
        <v>100.00862</v>
      </c>
      <c r="AP862" s="5">
        <f>IF($A862="","",IFERROR(MATCH($A862,Raw_D1!$A$2:$A$1001,0),""))</f>
        <v/>
      </c>
      <c r="AQ862" s="5">
        <f>IF($A862="","",IFERROR(MATCH($A862,Raw_D2!$B$2:$B$1001,0),""))</f>
        <v/>
      </c>
      <c r="AR862" s="5">
        <f>IF($A862="","",IFERROR(MATCH($A862,Raw_D3!$A$2:$A$1001,0),""))</f>
        <v>242</v>
      </c>
    </row>
    <row r="863" spans="1:44" x14ac:dyDescent="0.25">
      <c r="A863" s="5">
        <v>862</v>
      </c>
      <c r="B863" s="11">
        <f>IF($A863="","",IF($AP863&lt;&gt;"",INDEX(Raw_D1!$B$2:$B$1001,$AP863),IF($AR863&lt;&gt;"",INDEX(Raw_D3!$B$2:$B$1001,$AR863),"")))</f>
        <v>40582.0</v>
      </c>
      <c r="C863" s="5">
        <f>IF($A863="","",IF($AP863&lt;&gt;"",INDEX(Raw_D1!$C$2:$C$1001,$AP863),IF($AR863&lt;&gt;"",INDEX(Raw_D3!$C$2:$C$1001,$AR863),"")))</f>
        <v>1</v>
      </c>
      <c r="D863" s="5">
        <f>IF($A863="","",IF($AP863&lt;&gt;"",INDEX(Raw_D1!$D$2:$D$1001,$AP863),IF($AR863&lt;&gt;"",INDEX(Raw_D3!$D$2:$D$1001,$AR863),"")))</f>
        <v>0</v>
      </c>
      <c r="E863" s="5">
        <f>IF($A863="","",IF($AP863&lt;&gt;"",INDEX(Raw_D1!$E$2:$E$1001,$AP863),IF($AR863&lt;&gt;"",INDEX(Raw_D3!$E$2:$E$1001,$AR863),"")))</f>
        <v>2</v>
      </c>
      <c r="F863" s="5">
        <f>IF($A863="","",IF($AP863&lt;&gt;"",INDEX(Raw_D1!$F$2:$F$1001,$AP863),IF($AR863&lt;&gt;"",INDEX(Raw_D3!$F$2:$F$1001,$AR863),"")))</f>
        <v>8</v>
      </c>
      <c r="G863" s="5">
        <f>IF($A863="","",IF($AP863&lt;&gt;"",IF(INDEX(Raw_D1!$G$2:$G$1001,$AP863),1,0),IF($AR863&lt;&gt;"",IF(INDEX(Raw_D3!$G$2:$G$1001,$AR863),1,0),"")))</f>
        <v>0</v>
      </c>
      <c r="H863" s="5">
        <f>IF($A863="","",IF($AP863&lt;&gt;"",INDEX(Raw_D1!$H$2:$H$1001,$AP863),IF($AR863&lt;&gt;"",INDEX(Raw_D3!$H$2:$H$1001,$AR863),"")))</f>
        <v>2</v>
      </c>
      <c r="I863" s="5">
        <f>IF($A863="","",IF($AP863&lt;&gt;"",INDEX(Raw_D1!$I$2:$I$1001,$AP863),IF($AR863&lt;&gt;"",INDEX(Raw_D3!$I$2:$I$1001,$AR863),"")))</f>
        <v>1</v>
      </c>
      <c r="J863" s="16">
        <f>IF($A863="","",IF($AP863&lt;&gt;"",INDEX(Raw_D1!$J$2:$J$1001,$AP863),IF($AR863&lt;&gt;"",INDEX(Raw_D3!$J$2:$J$1001,$AR863),"")))</f>
        <v>0.24</v>
      </c>
      <c r="K863" s="17">
        <f>IF($A863="","",IF($AQ863&lt;&gt;"",IF(INDEX(Raw_D2!$C$2:$C$1001,$AQ863)="","",INDEX(Raw_D2!$C$2:$C$1001,$AQ863)),IF($AR863&lt;&gt;"",IF(INDEX(Raw_D3!$K$2:$K$1001,$AR863)="","",INDEX(Raw_D3!$K$2:$K$1001,$AR863)),"")))</f>
        <v>0.197</v>
      </c>
      <c r="L863" s="16">
        <f>IF($A863="","",IF($AQ863&lt;&gt;"",IF(INDEX(Raw_D2!$D$2:$D$1001,$AQ863)="","",INDEX(Raw_D2!$D$2:$D$1001,$AQ863)),IF($AR863&lt;&gt;"",IF(INDEX(Raw_D3!$L$2:$L$1001,$AR863)="","",INDEX(Raw_D3!$L$2:$L$1001,$AR863)),"")))</f>
        <v>0.56</v>
      </c>
      <c r="M863" s="17">
        <f>IF($A863="","",IF($AQ863&lt;&gt;"",IF(INDEX(Raw_D2!$E$2:$E$1001,$AQ863)="","",INDEX(Raw_D2!$E$2:$E$1001,$AQ863)),IF($AR863&lt;&gt;"",IF(INDEX(Raw_D3!$M$2:$M$1001,$AR863)="","",INDEX(Raw_D3!$M$2:$M$1001,$AR863)),"")))</f>
        <v>0.4925</v>
      </c>
      <c r="N863" s="5">
        <f>IF($A863="","",IF($AQ863&lt;&gt;"",IF(INDEX(Raw_D2!$F$2:$F$1001,$AQ863)="","",INDEX(Raw_D2!$F$2:$F$1001,$AQ863)),IF($AR863&lt;&gt;"",IF(INDEX(Raw_D3!$N$2:$N$1001,$AR863)="","",INDEX(Raw_D3!$N$2:$N$1001,$AR863)),"")))</f>
        <v>7</v>
      </c>
      <c r="O863" s="5">
        <f>IF($A863="","",IF($AQ863&lt;&gt;"",IF(INDEX(Raw_D2!$G$2:$G$1001,$AQ863)="","",INDEX(Raw_D2!$G$2:$G$1001,$AQ863)),IF($AR863&lt;&gt;"",IF(INDEX(Raw_D3!$O$2:$O$1001,$AR863)="","",INDEX(Raw_D3!$O$2:$O$1001,$AR863)),"")))</f>
        <v>236</v>
      </c>
      <c r="P863" s="5">
        <f>IF($A863="","",IF($AQ863&lt;&gt;"",IF(INDEX(Raw_D2!$H$2:$H$1001,$AQ863)="","",INDEX(Raw_D2!$H$2:$H$1001,$AQ863)),IF($AR863&lt;&gt;"",IF(INDEX(Raw_D3!$P$2:$P$1001,$AR863)="","",INDEX(Raw_D3!$P$2:$P$1001,$AR863)),"")))</f>
        <v>243</v>
      </c>
      <c r="Q863" s="5" t="str">
        <f>IF($A863="","",IF(AND($AP863&lt;&gt;"",$AQ863&lt;&gt;""),"D1+D2",IF($AR863&lt;&gt;"","D3","Incomplete")))</f>
        <v>D3</v>
      </c>
      <c r="R863" s="17">
        <f>IF($A863="","",IF($K863="",IF($J863="","",ROUND(Lookups!$K$5+Lookups!$K$4*$J863,4)),$K863))</f>
        <v>0.197</v>
      </c>
      <c r="S863" s="5" t="str">
        <f>IF($A863="","",IF($K863="","Imputed","Original"))</f>
        <v>Original</v>
      </c>
      <c r="T863" s="5" t="str">
        <f>IF($A863="","",IF($P863="","Missing",IF($P863=$N863+$O863,"OK","Mismatch")))</f>
        <v>OK</v>
      </c>
      <c r="U863" s="5" t="str">
        <f>IF($A863="","",IF(COUNTIF($A$2:$A863,$A863)&gt;1,"Duplicate","Unique"))</f>
        <v>Unique</v>
      </c>
      <c r="V863" s="5">
        <f>IF($A863="","",IF(AND($U863="Unique",ISNUMBER($P863)),1,0))</f>
        <v>1</v>
      </c>
      <c r="W863" s="5" t="str">
        <f>IF($A863="","",IF(OR($H863=0,$H863=6),"Weekend","Weekday"))</f>
        <v>Weekday</v>
      </c>
      <c r="X863" s="5" t="str">
        <f>IF($A863="","",TEXT($B863,"ddd"))</f>
        <v>Tue</v>
      </c>
      <c r="Y863" s="5" t="str">
        <f>IF($A863="","",TEXT($B863,"mmm"))</f>
        <v>Feb</v>
      </c>
      <c r="Z863" s="5" t="str">
        <f>IF($A863="","",IFERROR(VLOOKUP($C863,Lookups!$D$4:$E$7,2,FALSE),"Unknown"))</f>
        <v>Winter</v>
      </c>
      <c r="AA863" s="5" t="str">
        <f>IF($A863="","",IFERROR(VLOOKUP($I863,Lookups!$A$4:$B$7,2,FALSE),"Unknown"))</f>
        <v>Clear</v>
      </c>
      <c r="AB863" s="5" t="str">
        <f>IF($A863="","",TEXT($F863,"00")&amp;":00")</f>
        <v>08:00</v>
      </c>
      <c r="AC863" s="5" t="str">
        <f>IF($A863="","",VLOOKUP($F863,Lookups!$G$4:$H$8,2,TRUE))</f>
        <v>Morning Peak (06-09)</v>
      </c>
      <c r="AD863" s="18">
        <f>IF($A863="","",IF($J863="","",ROUND($J863*41,1)))</f>
        <v>9.8</v>
      </c>
      <c r="AE863" s="18">
        <f>IF($A863="","",IF($R863="","",ROUND($R863*50,1)))</f>
        <v>9.9</v>
      </c>
      <c r="AF863" s="5">
        <f>IF($A863="","",IF($L863="","",ROUND($L863*100,0)))</f>
        <v>56</v>
      </c>
      <c r="AG863" s="18">
        <f>IF($A863="","",IF($M863="","",ROUND($M863*67,1)))</f>
        <v>33</v>
      </c>
      <c r="AH863" s="19">
        <f>IF($A863="","",IF($P863="","",IF($P863=0,0,$O863/$P863)))</f>
        <v>0.97119341563786</v>
      </c>
      <c r="AI863" s="5" t="str">
        <f>IF($A863="","",IF($P863="","",IF($P863&gt;=Lookups!$K$7,"High",IF($P863&lt;=Lookups!$K$8,"Low","Medium"))))</f>
        <v>High</v>
      </c>
      <c r="AJ863" s="5" t="str">
        <f>IF($A863="","",IF($AD863="","",IF($AD863&lt;5,"Under 5 C",IF($AD863&lt;10,"5-10 C",IF($AD863&lt;15,"10-15 C","15 C and above")))))</f>
        <v>5-10 C</v>
      </c>
      <c r="AK863" s="5">
        <f>IF($A863="","",IF($P863="","",$P863^2))</f>
        <v>59049</v>
      </c>
      <c r="AL863" s="18">
        <f>IF($V863&lt;&gt;1,"",AVERAGEIFS(Clean_Data!$P$2:$P$1001,Clean_Data!$F$2:$F$1001,$F863,Clean_Data!$W$2:$W$1001,$W863,Clean_Data!$V$2:$V$1001,1))</f>
        <v>183.535714285714</v>
      </c>
      <c r="AM863" s="16">
        <f>IF($V863&lt;&gt;1,"",IFERROR(($P863-$AL863)/SQRT(MAX(0,(SUMIFS(Clean_Data!$AK$2:$AK$1001,Clean_Data!$F$2:$F$1001,$F863,Clean_Data!$W$2:$W$1001,$W863,Clean_Data!$V$2:$V$1001,1)-COUNTIFS(Clean_Data!$F$2:$F$1001,$F863,Clean_Data!$W$2:$W$1001,$W863,Clean_Data!$V$2:$V$1001,1)*$AL863^2)/(COUNTIFS(Clean_Data!$F$2:$F$1001,$F863,Clean_Data!$W$2:$W$1001,$W863,Clean_Data!$V$2:$V$1001,1)-1))),""))</f>
        <v>1.22002954008422</v>
      </c>
      <c r="AN863" s="5" t="str">
        <f>IF($AM863="","",IF($AM863&gt;=Lookups!$K$6,"High spike",IF($AM863&lt;=-Lookups!$K$6,"Unusual low","Normal")))</f>
        <v>Normal</v>
      </c>
      <c r="AO863" s="20">
        <f>IF($V863&lt;&gt;1,"",$P863+ROW()/100000)</f>
        <v>243.00863</v>
      </c>
      <c r="AP863" s="5">
        <f>IF($A863="","",IFERROR(MATCH($A863,Raw_D1!$A$2:$A$1001,0),""))</f>
        <v/>
      </c>
      <c r="AQ863" s="5">
        <f>IF($A863="","",IFERROR(MATCH($A863,Raw_D2!$B$2:$B$1001,0),""))</f>
        <v/>
      </c>
      <c r="AR863" s="5">
        <f>IF($A863="","",IFERROR(MATCH($A863,Raw_D3!$A$2:$A$1001,0),""))</f>
        <v>243</v>
      </c>
    </row>
    <row r="864" spans="1:44" x14ac:dyDescent="0.25">
      <c r="A864" s="5">
        <v>863</v>
      </c>
      <c r="B864" s="11">
        <f>IF($A864="","",IF($AP864&lt;&gt;"",INDEX(Raw_D1!$B$2:$B$1001,$AP864),IF($AR864&lt;&gt;"",INDEX(Raw_D3!$B$2:$B$1001,$AR864),"")))</f>
        <v>40582.0</v>
      </c>
      <c r="C864" s="5">
        <f>IF($A864="","",IF($AP864&lt;&gt;"",INDEX(Raw_D1!$C$2:$C$1001,$AP864),IF($AR864&lt;&gt;"",INDEX(Raw_D3!$C$2:$C$1001,$AR864),"")))</f>
        <v>1</v>
      </c>
      <c r="D864" s="5">
        <f>IF($A864="","",IF($AP864&lt;&gt;"",INDEX(Raw_D1!$D$2:$D$1001,$AP864),IF($AR864&lt;&gt;"",INDEX(Raw_D3!$D$2:$D$1001,$AR864),"")))</f>
        <v>0</v>
      </c>
      <c r="E864" s="5">
        <f>IF($A864="","",IF($AP864&lt;&gt;"",INDEX(Raw_D1!$E$2:$E$1001,$AP864),IF($AR864&lt;&gt;"",INDEX(Raw_D3!$E$2:$E$1001,$AR864),"")))</f>
        <v>2</v>
      </c>
      <c r="F864" s="5">
        <f>IF($A864="","",IF($AP864&lt;&gt;"",INDEX(Raw_D1!$F$2:$F$1001,$AP864),IF($AR864&lt;&gt;"",INDEX(Raw_D3!$F$2:$F$1001,$AR864),"")))</f>
        <v>9</v>
      </c>
      <c r="G864" s="5">
        <f>IF($A864="","",IF($AP864&lt;&gt;"",IF(INDEX(Raw_D1!$G$2:$G$1001,$AP864),1,0),IF($AR864&lt;&gt;"",IF(INDEX(Raw_D3!$G$2:$G$1001,$AR864),1,0),"")))</f>
        <v>0</v>
      </c>
      <c r="H864" s="5">
        <f>IF($A864="","",IF($AP864&lt;&gt;"",INDEX(Raw_D1!$H$2:$H$1001,$AP864),IF($AR864&lt;&gt;"",INDEX(Raw_D3!$H$2:$H$1001,$AR864),"")))</f>
        <v>2</v>
      </c>
      <c r="I864" s="5">
        <f>IF($A864="","",IF($AP864&lt;&gt;"",INDEX(Raw_D1!$I$2:$I$1001,$AP864),IF($AR864&lt;&gt;"",INDEX(Raw_D3!$I$2:$I$1001,$AR864),"")))</f>
        <v>1</v>
      </c>
      <c r="J864" s="16">
        <f>IF($A864="","",IF($AP864&lt;&gt;"",INDEX(Raw_D1!$J$2:$J$1001,$AP864),IF($AR864&lt;&gt;"",INDEX(Raw_D3!$J$2:$J$1001,$AR864),"")))</f>
        <v>0.24</v>
      </c>
      <c r="K864" s="17">
        <f>IF($A864="","",IF($AQ864&lt;&gt;"",IF(INDEX(Raw_D2!$C$2:$C$1001,$AQ864)="","",INDEX(Raw_D2!$C$2:$C$1001,$AQ864)),IF($AR864&lt;&gt;"",IF(INDEX(Raw_D3!$K$2:$K$1001,$AR864)="","",INDEX(Raw_D3!$K$2:$K$1001,$AR864)),"")))</f>
        <v>0.197</v>
      </c>
      <c r="L864" s="16">
        <f>IF($A864="","",IF($AQ864&lt;&gt;"",IF(INDEX(Raw_D2!$D$2:$D$1001,$AQ864)="","",INDEX(Raw_D2!$D$2:$D$1001,$AQ864)),IF($AR864&lt;&gt;"",IF(INDEX(Raw_D3!$L$2:$L$1001,$AR864)="","",INDEX(Raw_D3!$L$2:$L$1001,$AR864)),"")))</f>
        <v>0.52</v>
      </c>
      <c r="M864" s="17">
        <f>IF($A864="","",IF($AQ864&lt;&gt;"",IF(INDEX(Raw_D2!$E$2:$E$1001,$AQ864)="","",INDEX(Raw_D2!$E$2:$E$1001,$AQ864)),IF($AR864&lt;&gt;"",IF(INDEX(Raw_D3!$M$2:$M$1001,$AR864)="","",INDEX(Raw_D3!$M$2:$M$1001,$AR864)),"")))</f>
        <v>0.4925</v>
      </c>
      <c r="N864" s="5">
        <f>IF($A864="","",IF($AQ864&lt;&gt;"",IF(INDEX(Raw_D2!$F$2:$F$1001,$AQ864)="","",INDEX(Raw_D2!$F$2:$F$1001,$AQ864)),IF($AR864&lt;&gt;"",IF(INDEX(Raw_D3!$N$2:$N$1001,$AR864)="","",INDEX(Raw_D3!$N$2:$N$1001,$AR864)),"")))</f>
        <v>7</v>
      </c>
      <c r="O864" s="5">
        <f>IF($A864="","",IF($AQ864&lt;&gt;"",IF(INDEX(Raw_D2!$G$2:$G$1001,$AQ864)="","",INDEX(Raw_D2!$G$2:$G$1001,$AQ864)),IF($AR864&lt;&gt;"",IF(INDEX(Raw_D3!$O$2:$O$1001,$AR864)="","",INDEX(Raw_D3!$O$2:$O$1001,$AR864)),"")))</f>
        <v>128</v>
      </c>
      <c r="P864" s="5">
        <f>IF($A864="","",IF($AQ864&lt;&gt;"",IF(INDEX(Raw_D2!$H$2:$H$1001,$AQ864)="","",INDEX(Raw_D2!$H$2:$H$1001,$AQ864)),IF($AR864&lt;&gt;"",IF(INDEX(Raw_D3!$P$2:$P$1001,$AR864)="","",INDEX(Raw_D3!$P$2:$P$1001,$AR864)),"")))</f>
        <v>135</v>
      </c>
      <c r="Q864" s="5" t="str">
        <f>IF($A864="","",IF(AND($AP864&lt;&gt;"",$AQ864&lt;&gt;""),"D1+D2",IF($AR864&lt;&gt;"","D3","Incomplete")))</f>
        <v>D3</v>
      </c>
      <c r="R864" s="17">
        <f>IF($A864="","",IF($K864="",IF($J864="","",ROUND(Lookups!$K$5+Lookups!$K$4*$J864,4)),$K864))</f>
        <v>0.197</v>
      </c>
      <c r="S864" s="5" t="str">
        <f>IF($A864="","",IF($K864="","Imputed","Original"))</f>
        <v>Original</v>
      </c>
      <c r="T864" s="5" t="str">
        <f>IF($A864="","",IF($P864="","Missing",IF($P864=$N864+$O864,"OK","Mismatch")))</f>
        <v>OK</v>
      </c>
      <c r="U864" s="5" t="str">
        <f>IF($A864="","",IF(COUNTIF($A$2:$A864,$A864)&gt;1,"Duplicate","Unique"))</f>
        <v>Unique</v>
      </c>
      <c r="V864" s="5">
        <f>IF($A864="","",IF(AND($U864="Unique",ISNUMBER($P864)),1,0))</f>
        <v>1</v>
      </c>
      <c r="W864" s="5" t="str">
        <f>IF($A864="","",IF(OR($H864=0,$H864=6),"Weekend","Weekday"))</f>
        <v>Weekday</v>
      </c>
      <c r="X864" s="5" t="str">
        <f>IF($A864="","",TEXT($B864,"ddd"))</f>
        <v>Tue</v>
      </c>
      <c r="Y864" s="5" t="str">
        <f>IF($A864="","",TEXT($B864,"mmm"))</f>
        <v>Feb</v>
      </c>
      <c r="Z864" s="5" t="str">
        <f>IF($A864="","",IFERROR(VLOOKUP($C864,Lookups!$D$4:$E$7,2,FALSE),"Unknown"))</f>
        <v>Winter</v>
      </c>
      <c r="AA864" s="5" t="str">
        <f>IF($A864="","",IFERROR(VLOOKUP($I864,Lookups!$A$4:$B$7,2,FALSE),"Unknown"))</f>
        <v>Clear</v>
      </c>
      <c r="AB864" s="5" t="str">
        <f>IF($A864="","",TEXT($F864,"00")&amp;":00")</f>
        <v>09:00</v>
      </c>
      <c r="AC864" s="5" t="str">
        <f>IF($A864="","",VLOOKUP($F864,Lookups!$G$4:$H$8,2,TRUE))</f>
        <v>Morning Peak (06-09)</v>
      </c>
      <c r="AD864" s="18">
        <f>IF($A864="","",IF($J864="","",ROUND($J864*41,1)))</f>
        <v>9.8</v>
      </c>
      <c r="AE864" s="18">
        <f>IF($A864="","",IF($R864="","",ROUND($R864*50,1)))</f>
        <v>9.9</v>
      </c>
      <c r="AF864" s="5">
        <f>IF($A864="","",IF($L864="","",ROUND($L864*100,0)))</f>
        <v>52</v>
      </c>
      <c r="AG864" s="18">
        <f>IF($A864="","",IF($M864="","",ROUND($M864*67,1)))</f>
        <v>33</v>
      </c>
      <c r="AH864" s="19">
        <f>IF($A864="","",IF($P864="","",IF($P864=0,0,$O864/$P864)))</f>
        <v>0.948148148148148</v>
      </c>
      <c r="AI864" s="5" t="str">
        <f>IF($A864="","",IF($P864="","",IF($P864&gt;=Lookups!$K$7,"High",IF($P864&lt;=Lookups!$K$8,"Low","Medium"))))</f>
        <v>High</v>
      </c>
      <c r="AJ864" s="5" t="str">
        <f>IF($A864="","",IF($AD864="","",IF($AD864&lt;5,"Under 5 C",IF($AD864&lt;10,"5-10 C",IF($AD864&lt;15,"10-15 C","15 C and above")))))</f>
        <v>5-10 C</v>
      </c>
      <c r="AK864" s="5">
        <f>IF($A864="","",IF($P864="","",$P864^2))</f>
        <v>18225</v>
      </c>
      <c r="AL864" s="18">
        <f>IF($V864&lt;&gt;1,"",AVERAGEIFS(Clean_Data!$P$2:$P$1001,Clean_Data!$F$2:$F$1001,$F864,Clean_Data!$W$2:$W$1001,$W864,Clean_Data!$V$2:$V$1001,1))</f>
        <v>115.678571428571</v>
      </c>
      <c r="AM864" s="16">
        <f>IF($V864&lt;&gt;1,"",IFERROR(($P864-$AL864)/SQRT(MAX(0,(SUMIFS(Clean_Data!$AK$2:$AK$1001,Clean_Data!$F$2:$F$1001,$F864,Clean_Data!$W$2:$W$1001,$W864,Clean_Data!$V$2:$V$1001,1)-COUNTIFS(Clean_Data!$F$2:$F$1001,$F864,Clean_Data!$W$2:$W$1001,$W864,Clean_Data!$V$2:$V$1001,1)*$AL864^2)/(COUNTIFS(Clean_Data!$F$2:$F$1001,$F864,Clean_Data!$W$2:$W$1001,$W864,Clean_Data!$V$2:$V$1001,1)-1))),""))</f>
        <v>0.749522014075766</v>
      </c>
      <c r="AN864" s="5" t="str">
        <f>IF($AM864="","",IF($AM864&gt;=Lookups!$K$6,"High spike",IF($AM864&lt;=-Lookups!$K$6,"Unusual low","Normal")))</f>
        <v>Normal</v>
      </c>
      <c r="AO864" s="20">
        <f>IF($V864&lt;&gt;1,"",$P864+ROW()/100000)</f>
        <v>135.00864</v>
      </c>
      <c r="AP864" s="5">
        <f>IF($A864="","",IFERROR(MATCH($A864,Raw_D1!$A$2:$A$1001,0),""))</f>
        <v/>
      </c>
      <c r="AQ864" s="5">
        <f>IF($A864="","",IFERROR(MATCH($A864,Raw_D2!$B$2:$B$1001,0),""))</f>
        <v/>
      </c>
      <c r="AR864" s="5">
        <f>IF($A864="","",IFERROR(MATCH($A864,Raw_D3!$A$2:$A$1001,0),""))</f>
        <v>244</v>
      </c>
    </row>
    <row r="865" spans="1:44" x14ac:dyDescent="0.25">
      <c r="A865" s="5">
        <v>864</v>
      </c>
      <c r="B865" s="11">
        <f>IF($A865="","",IF($AP865&lt;&gt;"",INDEX(Raw_D1!$B$2:$B$1001,$AP865),IF($AR865&lt;&gt;"",INDEX(Raw_D3!$B$2:$B$1001,$AR865),"")))</f>
        <v>40582.0</v>
      </c>
      <c r="C865" s="5">
        <f>IF($A865="","",IF($AP865&lt;&gt;"",INDEX(Raw_D1!$C$2:$C$1001,$AP865),IF($AR865&lt;&gt;"",INDEX(Raw_D3!$C$2:$C$1001,$AR865),"")))</f>
        <v>1</v>
      </c>
      <c r="D865" s="5">
        <f>IF($A865="","",IF($AP865&lt;&gt;"",INDEX(Raw_D1!$D$2:$D$1001,$AP865),IF($AR865&lt;&gt;"",INDEX(Raw_D3!$D$2:$D$1001,$AR865),"")))</f>
        <v>0</v>
      </c>
      <c r="E865" s="5">
        <f>IF($A865="","",IF($AP865&lt;&gt;"",INDEX(Raw_D1!$E$2:$E$1001,$AP865),IF($AR865&lt;&gt;"",INDEX(Raw_D3!$E$2:$E$1001,$AR865),"")))</f>
        <v>2</v>
      </c>
      <c r="F865" s="5">
        <f>IF($A865="","",IF($AP865&lt;&gt;"",INDEX(Raw_D1!$F$2:$F$1001,$AP865),IF($AR865&lt;&gt;"",INDEX(Raw_D3!$F$2:$F$1001,$AR865),"")))</f>
        <v>10</v>
      </c>
      <c r="G865" s="5">
        <f>IF($A865="","",IF($AP865&lt;&gt;"",IF(INDEX(Raw_D1!$G$2:$G$1001,$AP865),1,0),IF($AR865&lt;&gt;"",IF(INDEX(Raw_D3!$G$2:$G$1001,$AR865),1,0),"")))</f>
        <v>0</v>
      </c>
      <c r="H865" s="5">
        <f>IF($A865="","",IF($AP865&lt;&gt;"",INDEX(Raw_D1!$H$2:$H$1001,$AP865),IF($AR865&lt;&gt;"",INDEX(Raw_D3!$H$2:$H$1001,$AR865),"")))</f>
        <v>2</v>
      </c>
      <c r="I865" s="5">
        <f>IF($A865="","",IF($AP865&lt;&gt;"",INDEX(Raw_D1!$I$2:$I$1001,$AP865),IF($AR865&lt;&gt;"",INDEX(Raw_D3!$I$2:$I$1001,$AR865),"")))</f>
        <v>1</v>
      </c>
      <c r="J865" s="16">
        <f>IF($A865="","",IF($AP865&lt;&gt;"",INDEX(Raw_D1!$J$2:$J$1001,$AP865),IF($AR865&lt;&gt;"",INDEX(Raw_D3!$J$2:$J$1001,$AR865),"")))</f>
        <v>0.22</v>
      </c>
      <c r="K865" s="17">
        <f>IF($A865="","",IF($AQ865&lt;&gt;"",IF(INDEX(Raw_D2!$C$2:$C$1001,$AQ865)="","",INDEX(Raw_D2!$C$2:$C$1001,$AQ865)),IF($AR865&lt;&gt;"",IF(INDEX(Raw_D3!$K$2:$K$1001,$AR865)="","",INDEX(Raw_D3!$K$2:$K$1001,$AR865)),"")))</f>
        <v>0.1818</v>
      </c>
      <c r="L865" s="16">
        <f>IF($A865="","",IF($AQ865&lt;&gt;"",IF(INDEX(Raw_D2!$D$2:$D$1001,$AQ865)="","",INDEX(Raw_D2!$D$2:$D$1001,$AQ865)),IF($AR865&lt;&gt;"",IF(INDEX(Raw_D3!$L$2:$L$1001,$AR865)="","",INDEX(Raw_D3!$L$2:$L$1001,$AR865)),"")))</f>
        <v>0.47</v>
      </c>
      <c r="M865" s="17">
        <f>IF($A865="","",IF($AQ865&lt;&gt;"",IF(INDEX(Raw_D2!$E$2:$E$1001,$AQ865)="","",INDEX(Raw_D2!$E$2:$E$1001,$AQ865)),IF($AR865&lt;&gt;"",IF(INDEX(Raw_D3!$M$2:$M$1001,$AR865)="","",INDEX(Raw_D3!$M$2:$M$1001,$AR865)),"")))</f>
        <v>0.5522</v>
      </c>
      <c r="N865" s="5">
        <f>IF($A865="","",IF($AQ865&lt;&gt;"",IF(INDEX(Raw_D2!$F$2:$F$1001,$AQ865)="","",INDEX(Raw_D2!$F$2:$F$1001,$AQ865)),IF($AR865&lt;&gt;"",IF(INDEX(Raw_D3!$N$2:$N$1001,$AR865)="","",INDEX(Raw_D3!$N$2:$N$1001,$AR865)),"")))</f>
        <v>4</v>
      </c>
      <c r="O865" s="5">
        <f>IF($A865="","",IF($AQ865&lt;&gt;"",IF(INDEX(Raw_D2!$G$2:$G$1001,$AQ865)="","",INDEX(Raw_D2!$G$2:$G$1001,$AQ865)),IF($AR865&lt;&gt;"",IF(INDEX(Raw_D3!$O$2:$O$1001,$AR865)="","",INDEX(Raw_D3!$O$2:$O$1001,$AR865)),"")))</f>
        <v>44</v>
      </c>
      <c r="P865" s="5">
        <f>IF($A865="","",IF($AQ865&lt;&gt;"",IF(INDEX(Raw_D2!$H$2:$H$1001,$AQ865)="","",INDEX(Raw_D2!$H$2:$H$1001,$AQ865)),IF($AR865&lt;&gt;"",IF(INDEX(Raw_D3!$P$2:$P$1001,$AR865)="","",INDEX(Raw_D3!$P$2:$P$1001,$AR865)),"")))</f>
        <v>48</v>
      </c>
      <c r="Q865" s="5" t="str">
        <f>IF($A865="","",IF(AND($AP865&lt;&gt;"",$AQ865&lt;&gt;""),"D1+D2",IF($AR865&lt;&gt;"","D3","Incomplete")))</f>
        <v>D3</v>
      </c>
      <c r="R865" s="17">
        <f>IF($A865="","",IF($K865="",IF($J865="","",ROUND(Lookups!$K$5+Lookups!$K$4*$J865,4)),$K865))</f>
        <v>0.1818</v>
      </c>
      <c r="S865" s="5" t="str">
        <f>IF($A865="","",IF($K865="","Imputed","Original"))</f>
        <v>Original</v>
      </c>
      <c r="T865" s="5" t="str">
        <f>IF($A865="","",IF($P865="","Missing",IF($P865=$N865+$O865,"OK","Mismatch")))</f>
        <v>OK</v>
      </c>
      <c r="U865" s="5" t="str">
        <f>IF($A865="","",IF(COUNTIF($A$2:$A865,$A865)&gt;1,"Duplicate","Unique"))</f>
        <v>Unique</v>
      </c>
      <c r="V865" s="5">
        <f>IF($A865="","",IF(AND($U865="Unique",ISNUMBER($P865)),1,0))</f>
        <v>1</v>
      </c>
      <c r="W865" s="5" t="str">
        <f>IF($A865="","",IF(OR($H865=0,$H865=6),"Weekend","Weekday"))</f>
        <v>Weekday</v>
      </c>
      <c r="X865" s="5" t="str">
        <f>IF($A865="","",TEXT($B865,"ddd"))</f>
        <v>Tue</v>
      </c>
      <c r="Y865" s="5" t="str">
        <f>IF($A865="","",TEXT($B865,"mmm"))</f>
        <v>Feb</v>
      </c>
      <c r="Z865" s="5" t="str">
        <f>IF($A865="","",IFERROR(VLOOKUP($C865,Lookups!$D$4:$E$7,2,FALSE),"Unknown"))</f>
        <v>Winter</v>
      </c>
      <c r="AA865" s="5" t="str">
        <f>IF($A865="","",IFERROR(VLOOKUP($I865,Lookups!$A$4:$B$7,2,FALSE),"Unknown"))</f>
        <v>Clear</v>
      </c>
      <c r="AB865" s="5" t="str">
        <f>IF($A865="","",TEXT($F865,"00")&amp;":00")</f>
        <v>10:00</v>
      </c>
      <c r="AC865" s="5" t="str">
        <f>IF($A865="","",VLOOKUP($F865,Lookups!$G$4:$H$8,2,TRUE))</f>
        <v>Midday (10-15)</v>
      </c>
      <c r="AD865" s="18">
        <f>IF($A865="","",IF($J865="","",ROUND($J865*41,1)))</f>
        <v>9</v>
      </c>
      <c r="AE865" s="18">
        <f>IF($A865="","",IF($R865="","",ROUND($R865*50,1)))</f>
        <v>9.1</v>
      </c>
      <c r="AF865" s="5">
        <f>IF($A865="","",IF($L865="","",ROUND($L865*100,0)))</f>
        <v>47</v>
      </c>
      <c r="AG865" s="18">
        <f>IF($A865="","",IF($M865="","",ROUND($M865*67,1)))</f>
        <v>37</v>
      </c>
      <c r="AH865" s="19">
        <f>IF($A865="","",IF($P865="","",IF($P865=0,0,$O865/$P865)))</f>
        <v>0.916666666666667</v>
      </c>
      <c r="AI865" s="5" t="str">
        <f>IF($A865="","",IF($P865="","",IF($P865&gt;=Lookups!$K$7,"High",IF($P865&lt;=Lookups!$K$8,"Low","Medium"))))</f>
        <v>Medium</v>
      </c>
      <c r="AJ865" s="5" t="str">
        <f>IF($A865="","",IF($AD865="","",IF($AD865&lt;5,"Under 5 C",IF($AD865&lt;10,"5-10 C",IF($AD865&lt;15,"10-15 C","15 C and above")))))</f>
        <v>5-10 C</v>
      </c>
      <c r="AK865" s="5">
        <f>IF($A865="","",IF($P865="","",$P865^2))</f>
        <v>2304</v>
      </c>
      <c r="AL865" s="18">
        <f>IF($V865&lt;&gt;1,"",AVERAGEIFS(Clean_Data!$P$2:$P$1001,Clean_Data!$F$2:$F$1001,$F865,Clean_Data!$W$2:$W$1001,$W865,Clean_Data!$V$2:$V$1001,1))</f>
        <v>49.0714285714286</v>
      </c>
      <c r="AM865" s="16">
        <f>IF($V865&lt;&gt;1,"",IFERROR(($P865-$AL865)/SQRT(MAX(0,(SUMIFS(Clean_Data!$AK$2:$AK$1001,Clean_Data!$F$2:$F$1001,$F865,Clean_Data!$W$2:$W$1001,$W865,Clean_Data!$V$2:$V$1001,1)-COUNTIFS(Clean_Data!$F$2:$F$1001,$F865,Clean_Data!$W$2:$W$1001,$W865,Clean_Data!$V$2:$V$1001,1)*$AL865^2)/(COUNTIFS(Clean_Data!$F$2:$F$1001,$F865,Clean_Data!$W$2:$W$1001,$W865,Clean_Data!$V$2:$V$1001,1)-1))),""))</f>
        <v>-0.10616712068912</v>
      </c>
      <c r="AN865" s="5" t="str">
        <f>IF($AM865="","",IF($AM865&gt;=Lookups!$K$6,"High spike",IF($AM865&lt;=-Lookups!$K$6,"Unusual low","Normal")))</f>
        <v>Normal</v>
      </c>
      <c r="AO865" s="20">
        <f>IF($V865&lt;&gt;1,"",$P865+ROW()/100000)</f>
        <v>48.00865</v>
      </c>
      <c r="AP865" s="5">
        <f>IF($A865="","",IFERROR(MATCH($A865,Raw_D1!$A$2:$A$1001,0),""))</f>
        <v/>
      </c>
      <c r="AQ865" s="5">
        <f>IF($A865="","",IFERROR(MATCH($A865,Raw_D2!$B$2:$B$1001,0),""))</f>
        <v/>
      </c>
      <c r="AR865" s="5">
        <f>IF($A865="","",IFERROR(MATCH($A865,Raw_D3!$A$2:$A$1001,0),""))</f>
        <v>245</v>
      </c>
    </row>
    <row r="866" spans="1:44" x14ac:dyDescent="0.25">
      <c r="A866" s="5">
        <v>865</v>
      </c>
      <c r="B866" s="11">
        <f>IF($A866="","",IF($AP866&lt;&gt;"",INDEX(Raw_D1!$B$2:$B$1001,$AP866),IF($AR866&lt;&gt;"",INDEX(Raw_D3!$B$2:$B$1001,$AR866),"")))</f>
        <v>40582.0</v>
      </c>
      <c r="C866" s="5">
        <f>IF($A866="","",IF($AP866&lt;&gt;"",INDEX(Raw_D1!$C$2:$C$1001,$AP866),IF($AR866&lt;&gt;"",INDEX(Raw_D3!$C$2:$C$1001,$AR866),"")))</f>
        <v>1</v>
      </c>
      <c r="D866" s="5">
        <f>IF($A866="","",IF($AP866&lt;&gt;"",INDEX(Raw_D1!$D$2:$D$1001,$AP866),IF($AR866&lt;&gt;"",INDEX(Raw_D3!$D$2:$D$1001,$AR866),"")))</f>
        <v>0</v>
      </c>
      <c r="E866" s="5">
        <f>IF($A866="","",IF($AP866&lt;&gt;"",INDEX(Raw_D1!$E$2:$E$1001,$AP866),IF($AR866&lt;&gt;"",INDEX(Raw_D3!$E$2:$E$1001,$AR866),"")))</f>
        <v>2</v>
      </c>
      <c r="F866" s="5">
        <f>IF($A866="","",IF($AP866&lt;&gt;"",INDEX(Raw_D1!$F$2:$F$1001,$AP866),IF($AR866&lt;&gt;"",INDEX(Raw_D3!$F$2:$F$1001,$AR866),"")))</f>
        <v>11</v>
      </c>
      <c r="G866" s="5">
        <f>IF($A866="","",IF($AP866&lt;&gt;"",IF(INDEX(Raw_D1!$G$2:$G$1001,$AP866),1,0),IF($AR866&lt;&gt;"",IF(INDEX(Raw_D3!$G$2:$G$1001,$AR866),1,0),"")))</f>
        <v>0</v>
      </c>
      <c r="H866" s="5">
        <f>IF($A866="","",IF($AP866&lt;&gt;"",INDEX(Raw_D1!$H$2:$H$1001,$AP866),IF($AR866&lt;&gt;"",INDEX(Raw_D3!$H$2:$H$1001,$AR866),"")))</f>
        <v>2</v>
      </c>
      <c r="I866" s="5">
        <f>IF($A866="","",IF($AP866&lt;&gt;"",INDEX(Raw_D1!$I$2:$I$1001,$AP866),IF($AR866&lt;&gt;"",INDEX(Raw_D3!$I$2:$I$1001,$AR866),"")))</f>
        <v>1</v>
      </c>
      <c r="J866" s="16">
        <f>IF($A866="","",IF($AP866&lt;&gt;"",INDEX(Raw_D1!$J$2:$J$1001,$AP866),IF($AR866&lt;&gt;"",INDEX(Raw_D3!$J$2:$J$1001,$AR866),"")))</f>
        <v>0.22</v>
      </c>
      <c r="K866" s="17">
        <f>IF($A866="","",IF($AQ866&lt;&gt;"",IF(INDEX(Raw_D2!$C$2:$C$1001,$AQ866)="","",INDEX(Raw_D2!$C$2:$C$1001,$AQ866)),IF($AR866&lt;&gt;"",IF(INDEX(Raw_D3!$K$2:$K$1001,$AR866)="","",INDEX(Raw_D3!$K$2:$K$1001,$AR866)),"")))</f>
        <v>0.1818</v>
      </c>
      <c r="L866" s="16">
        <f>IF($A866="","",IF($AQ866&lt;&gt;"",IF(INDEX(Raw_D2!$D$2:$D$1001,$AQ866)="","",INDEX(Raw_D2!$D$2:$D$1001,$AQ866)),IF($AR866&lt;&gt;"",IF(INDEX(Raw_D3!$L$2:$L$1001,$AR866)="","",INDEX(Raw_D3!$L$2:$L$1001,$AR866)),"")))</f>
        <v>0.47</v>
      </c>
      <c r="M866" s="17">
        <f>IF($A866="","",IF($AQ866&lt;&gt;"",IF(INDEX(Raw_D2!$E$2:$E$1001,$AQ866)="","",INDEX(Raw_D2!$E$2:$E$1001,$AQ866)),IF($AR866&lt;&gt;"",IF(INDEX(Raw_D3!$M$2:$M$1001,$AR866)="","",INDEX(Raw_D3!$M$2:$M$1001,$AR866)),"")))</f>
        <v>0.4627</v>
      </c>
      <c r="N866" s="5">
        <f>IF($A866="","",IF($AQ866&lt;&gt;"",IF(INDEX(Raw_D2!$F$2:$F$1001,$AQ866)="","",INDEX(Raw_D2!$F$2:$F$1001,$AQ866)),IF($AR866&lt;&gt;"",IF(INDEX(Raw_D3!$N$2:$N$1001,$AR866)="","",INDEX(Raw_D3!$N$2:$N$1001,$AR866)),"")))</f>
        <v>1</v>
      </c>
      <c r="O866" s="5">
        <f>IF($A866="","",IF($AQ866&lt;&gt;"",IF(INDEX(Raw_D2!$G$2:$G$1001,$AQ866)="","",INDEX(Raw_D2!$G$2:$G$1001,$AQ866)),IF($AR866&lt;&gt;"",IF(INDEX(Raw_D3!$O$2:$O$1001,$AR866)="","",INDEX(Raw_D3!$O$2:$O$1001,$AR866)),"")))</f>
        <v>49</v>
      </c>
      <c r="P866" s="5">
        <f>IF($A866="","",IF($AQ866&lt;&gt;"",IF(INDEX(Raw_D2!$H$2:$H$1001,$AQ866)="","",INDEX(Raw_D2!$H$2:$H$1001,$AQ866)),IF($AR866&lt;&gt;"",IF(INDEX(Raw_D3!$P$2:$P$1001,$AR866)="","",INDEX(Raw_D3!$P$2:$P$1001,$AR866)),"")))</f>
        <v>50</v>
      </c>
      <c r="Q866" s="5" t="str">
        <f>IF($A866="","",IF(AND($AP866&lt;&gt;"",$AQ866&lt;&gt;""),"D1+D2",IF($AR866&lt;&gt;"","D3","Incomplete")))</f>
        <v>D3</v>
      </c>
      <c r="R866" s="17">
        <f>IF($A866="","",IF($K866="",IF($J866="","",ROUND(Lookups!$K$5+Lookups!$K$4*$J866,4)),$K866))</f>
        <v>0.1818</v>
      </c>
      <c r="S866" s="5" t="str">
        <f>IF($A866="","",IF($K866="","Imputed","Original"))</f>
        <v>Original</v>
      </c>
      <c r="T866" s="5" t="str">
        <f>IF($A866="","",IF($P866="","Missing",IF($P866=$N866+$O866,"OK","Mismatch")))</f>
        <v>OK</v>
      </c>
      <c r="U866" s="5" t="str">
        <f>IF($A866="","",IF(COUNTIF($A$2:$A866,$A866)&gt;1,"Duplicate","Unique"))</f>
        <v>Unique</v>
      </c>
      <c r="V866" s="5">
        <f>IF($A866="","",IF(AND($U866="Unique",ISNUMBER($P866)),1,0))</f>
        <v>1</v>
      </c>
      <c r="W866" s="5" t="str">
        <f>IF($A866="","",IF(OR($H866=0,$H866=6),"Weekend","Weekday"))</f>
        <v>Weekday</v>
      </c>
      <c r="X866" s="5" t="str">
        <f>IF($A866="","",TEXT($B866,"ddd"))</f>
        <v>Tue</v>
      </c>
      <c r="Y866" s="5" t="str">
        <f>IF($A866="","",TEXT($B866,"mmm"))</f>
        <v>Feb</v>
      </c>
      <c r="Z866" s="5" t="str">
        <f>IF($A866="","",IFERROR(VLOOKUP($C866,Lookups!$D$4:$E$7,2,FALSE),"Unknown"))</f>
        <v>Winter</v>
      </c>
      <c r="AA866" s="5" t="str">
        <f>IF($A866="","",IFERROR(VLOOKUP($I866,Lookups!$A$4:$B$7,2,FALSE),"Unknown"))</f>
        <v>Clear</v>
      </c>
      <c r="AB866" s="5" t="str">
        <f>IF($A866="","",TEXT($F866,"00")&amp;":00")</f>
        <v>11:00</v>
      </c>
      <c r="AC866" s="5" t="str">
        <f>IF($A866="","",VLOOKUP($F866,Lookups!$G$4:$H$8,2,TRUE))</f>
        <v>Midday (10-15)</v>
      </c>
      <c r="AD866" s="18">
        <f>IF($A866="","",IF($J866="","",ROUND($J866*41,1)))</f>
        <v>9</v>
      </c>
      <c r="AE866" s="18">
        <f>IF($A866="","",IF($R866="","",ROUND($R866*50,1)))</f>
        <v>9.1</v>
      </c>
      <c r="AF866" s="5">
        <f>IF($A866="","",IF($L866="","",ROUND($L866*100,0)))</f>
        <v>47</v>
      </c>
      <c r="AG866" s="18">
        <f>IF($A866="","",IF($M866="","",ROUND($M866*67,1)))</f>
        <v>31</v>
      </c>
      <c r="AH866" s="19">
        <f>IF($A866="","",IF($P866="","",IF($P866=0,0,$O866/$P866)))</f>
        <v>0.98</v>
      </c>
      <c r="AI866" s="5" t="str">
        <f>IF($A866="","",IF($P866="","",IF($P866&gt;=Lookups!$K$7,"High",IF($P866&lt;=Lookups!$K$8,"Low","Medium"))))</f>
        <v>Medium</v>
      </c>
      <c r="AJ866" s="5" t="str">
        <f>IF($A866="","",IF($AD866="","",IF($AD866&lt;5,"Under 5 C",IF($AD866&lt;10,"5-10 C",IF($AD866&lt;15,"10-15 C","15 C and above")))))</f>
        <v>5-10 C</v>
      </c>
      <c r="AK866" s="5">
        <f>IF($A866="","",IF($P866="","",$P866^2))</f>
        <v>2500</v>
      </c>
      <c r="AL866" s="18">
        <f>IF($V866&lt;&gt;1,"",AVERAGEIFS(Clean_Data!$P$2:$P$1001,Clean_Data!$F$2:$F$1001,$F866,Clean_Data!$W$2:$W$1001,$W866,Clean_Data!$V$2:$V$1001,1))</f>
        <v>50.6071428571429</v>
      </c>
      <c r="AM866" s="16">
        <f>IF($V866&lt;&gt;1,"",IFERROR(($P866-$AL866)/SQRT(MAX(0,(SUMIFS(Clean_Data!$AK$2:$AK$1001,Clean_Data!$F$2:$F$1001,$F866,Clean_Data!$W$2:$W$1001,$W866,Clean_Data!$V$2:$V$1001,1)-COUNTIFS(Clean_Data!$F$2:$F$1001,$F866,Clean_Data!$W$2:$W$1001,$W866,Clean_Data!$V$2:$V$1001,1)*$AL866^2)/(COUNTIFS(Clean_Data!$F$2:$F$1001,$F866,Clean_Data!$W$2:$W$1001,$W866,Clean_Data!$V$2:$V$1001,1)-1))),""))</f>
        <v>-0.0541947957597988</v>
      </c>
      <c r="AN866" s="5" t="str">
        <f>IF($AM866="","",IF($AM866&gt;=Lookups!$K$6,"High spike",IF($AM866&lt;=-Lookups!$K$6,"Unusual low","Normal")))</f>
        <v>Normal</v>
      </c>
      <c r="AO866" s="20">
        <f>IF($V866&lt;&gt;1,"",$P866+ROW()/100000)</f>
        <v>50.00866</v>
      </c>
      <c r="AP866" s="5">
        <f>IF($A866="","",IFERROR(MATCH($A866,Raw_D1!$A$2:$A$1001,0),""))</f>
        <v/>
      </c>
      <c r="AQ866" s="5">
        <f>IF($A866="","",IFERROR(MATCH($A866,Raw_D2!$B$2:$B$1001,0),""))</f>
        <v/>
      </c>
      <c r="AR866" s="5">
        <f>IF($A866="","",IFERROR(MATCH($A866,Raw_D3!$A$2:$A$1001,0),""))</f>
        <v>246</v>
      </c>
    </row>
    <row r="867" spans="1:44" x14ac:dyDescent="0.25">
      <c r="A867" s="5">
        <v>866</v>
      </c>
      <c r="B867" s="11">
        <f>IF($A867="","",IF($AP867&lt;&gt;"",INDEX(Raw_D1!$B$2:$B$1001,$AP867),IF($AR867&lt;&gt;"",INDEX(Raw_D3!$B$2:$B$1001,$AR867),"")))</f>
        <v>40582.0</v>
      </c>
      <c r="C867" s="5">
        <f>IF($A867="","",IF($AP867&lt;&gt;"",INDEX(Raw_D1!$C$2:$C$1001,$AP867),IF($AR867&lt;&gt;"",INDEX(Raw_D3!$C$2:$C$1001,$AR867),"")))</f>
        <v>1</v>
      </c>
      <c r="D867" s="5">
        <f>IF($A867="","",IF($AP867&lt;&gt;"",INDEX(Raw_D1!$D$2:$D$1001,$AP867),IF($AR867&lt;&gt;"",INDEX(Raw_D3!$D$2:$D$1001,$AR867),"")))</f>
        <v>0</v>
      </c>
      <c r="E867" s="5">
        <f>IF($A867="","",IF($AP867&lt;&gt;"",INDEX(Raw_D1!$E$2:$E$1001,$AP867),IF($AR867&lt;&gt;"",INDEX(Raw_D3!$E$2:$E$1001,$AR867),"")))</f>
        <v>2</v>
      </c>
      <c r="F867" s="5">
        <f>IF($A867="","",IF($AP867&lt;&gt;"",INDEX(Raw_D1!$F$2:$F$1001,$AP867),IF($AR867&lt;&gt;"",INDEX(Raw_D3!$F$2:$F$1001,$AR867),"")))</f>
        <v>12</v>
      </c>
      <c r="G867" s="5">
        <f>IF($A867="","",IF($AP867&lt;&gt;"",IF(INDEX(Raw_D1!$G$2:$G$1001,$AP867),1,0),IF($AR867&lt;&gt;"",IF(INDEX(Raw_D3!$G$2:$G$1001,$AR867),1,0),"")))</f>
        <v>0</v>
      </c>
      <c r="H867" s="5">
        <f>IF($A867="","",IF($AP867&lt;&gt;"",INDEX(Raw_D1!$H$2:$H$1001,$AP867),IF($AR867&lt;&gt;"",INDEX(Raw_D3!$H$2:$H$1001,$AR867),"")))</f>
        <v>2</v>
      </c>
      <c r="I867" s="5">
        <f>IF($A867="","",IF($AP867&lt;&gt;"",INDEX(Raw_D1!$I$2:$I$1001,$AP867),IF($AR867&lt;&gt;"",INDEX(Raw_D3!$I$2:$I$1001,$AR867),"")))</f>
        <v>1</v>
      </c>
      <c r="J867" s="16">
        <f>IF($A867="","",IF($AP867&lt;&gt;"",INDEX(Raw_D1!$J$2:$J$1001,$AP867),IF($AR867&lt;&gt;"",INDEX(Raw_D3!$J$2:$J$1001,$AR867),"")))</f>
        <v>0.24</v>
      </c>
      <c r="K867" s="17">
        <f>IF($A867="","",IF($AQ867&lt;&gt;"",IF(INDEX(Raw_D2!$C$2:$C$1001,$AQ867)="","",INDEX(Raw_D2!$C$2:$C$1001,$AQ867)),IF($AR867&lt;&gt;"",IF(INDEX(Raw_D3!$K$2:$K$1001,$AR867)="","",INDEX(Raw_D3!$K$2:$K$1001,$AR867)),"")))</f>
        <v>0.197</v>
      </c>
      <c r="L867" s="16">
        <f>IF($A867="","",IF($AQ867&lt;&gt;"",IF(INDEX(Raw_D2!$D$2:$D$1001,$AQ867)="","",INDEX(Raw_D2!$D$2:$D$1001,$AQ867)),IF($AR867&lt;&gt;"",IF(INDEX(Raw_D3!$L$2:$L$1001,$AR867)="","",INDEX(Raw_D3!$L$2:$L$1001,$AR867)),"")))</f>
        <v>0.38</v>
      </c>
      <c r="M867" s="17">
        <f>IF($A867="","",IF($AQ867&lt;&gt;"",IF(INDEX(Raw_D2!$E$2:$E$1001,$AQ867)="","",INDEX(Raw_D2!$E$2:$E$1001,$AQ867)),IF($AR867&lt;&gt;"",IF(INDEX(Raw_D3!$M$2:$M$1001,$AR867)="","",INDEX(Raw_D3!$M$2:$M$1001,$AR867)),"")))</f>
        <v>0.4925</v>
      </c>
      <c r="N867" s="5">
        <f>IF($A867="","",IF($AQ867&lt;&gt;"",IF(INDEX(Raw_D2!$F$2:$F$1001,$AQ867)="","",INDEX(Raw_D2!$F$2:$F$1001,$AQ867)),IF($AR867&lt;&gt;"",IF(INDEX(Raw_D3!$N$2:$N$1001,$AR867)="","",INDEX(Raw_D3!$N$2:$N$1001,$AR867)),"")))</f>
        <v>2</v>
      </c>
      <c r="O867" s="5">
        <f>IF($A867="","",IF($AQ867&lt;&gt;"",IF(INDEX(Raw_D2!$G$2:$G$1001,$AQ867)="","",INDEX(Raw_D2!$G$2:$G$1001,$AQ867)),IF($AR867&lt;&gt;"",IF(INDEX(Raw_D3!$O$2:$O$1001,$AR867)="","",INDEX(Raw_D3!$O$2:$O$1001,$AR867)),"")))</f>
        <v>63</v>
      </c>
      <c r="P867" s="5">
        <f>IF($A867="","",IF($AQ867&lt;&gt;"",IF(INDEX(Raw_D2!$H$2:$H$1001,$AQ867)="","",INDEX(Raw_D2!$H$2:$H$1001,$AQ867)),IF($AR867&lt;&gt;"",IF(INDEX(Raw_D3!$P$2:$P$1001,$AR867)="","",INDEX(Raw_D3!$P$2:$P$1001,$AR867)),"")))</f>
        <v>65</v>
      </c>
      <c r="Q867" s="5" t="str">
        <f>IF($A867="","",IF(AND($AP867&lt;&gt;"",$AQ867&lt;&gt;""),"D1+D2",IF($AR867&lt;&gt;"","D3","Incomplete")))</f>
        <v>D3</v>
      </c>
      <c r="R867" s="17">
        <f>IF($A867="","",IF($K867="",IF($J867="","",ROUND(Lookups!$K$5+Lookups!$K$4*$J867,4)),$K867))</f>
        <v>0.197</v>
      </c>
      <c r="S867" s="5" t="str">
        <f>IF($A867="","",IF($K867="","Imputed","Original"))</f>
        <v>Original</v>
      </c>
      <c r="T867" s="5" t="str">
        <f>IF($A867="","",IF($P867="","Missing",IF($P867=$N867+$O867,"OK","Mismatch")))</f>
        <v>OK</v>
      </c>
      <c r="U867" s="5" t="str">
        <f>IF($A867="","",IF(COUNTIF($A$2:$A867,$A867)&gt;1,"Duplicate","Unique"))</f>
        <v>Unique</v>
      </c>
      <c r="V867" s="5">
        <f>IF($A867="","",IF(AND($U867="Unique",ISNUMBER($P867)),1,0))</f>
        <v>1</v>
      </c>
      <c r="W867" s="5" t="str">
        <f>IF($A867="","",IF(OR($H867=0,$H867=6),"Weekend","Weekday"))</f>
        <v>Weekday</v>
      </c>
      <c r="X867" s="5" t="str">
        <f>IF($A867="","",TEXT($B867,"ddd"))</f>
        <v>Tue</v>
      </c>
      <c r="Y867" s="5" t="str">
        <f>IF($A867="","",TEXT($B867,"mmm"))</f>
        <v>Feb</v>
      </c>
      <c r="Z867" s="5" t="str">
        <f>IF($A867="","",IFERROR(VLOOKUP($C867,Lookups!$D$4:$E$7,2,FALSE),"Unknown"))</f>
        <v>Winter</v>
      </c>
      <c r="AA867" s="5" t="str">
        <f>IF($A867="","",IFERROR(VLOOKUP($I867,Lookups!$A$4:$B$7,2,FALSE),"Unknown"))</f>
        <v>Clear</v>
      </c>
      <c r="AB867" s="5" t="str">
        <f>IF($A867="","",TEXT($F867,"00")&amp;":00")</f>
        <v>12:00</v>
      </c>
      <c r="AC867" s="5" t="str">
        <f>IF($A867="","",VLOOKUP($F867,Lookups!$G$4:$H$8,2,TRUE))</f>
        <v>Midday (10-15)</v>
      </c>
      <c r="AD867" s="18">
        <f>IF($A867="","",IF($J867="","",ROUND($J867*41,1)))</f>
        <v>9.8</v>
      </c>
      <c r="AE867" s="18">
        <f>IF($A867="","",IF($R867="","",ROUND($R867*50,1)))</f>
        <v>9.9</v>
      </c>
      <c r="AF867" s="5">
        <f>IF($A867="","",IF($L867="","",ROUND($L867*100,0)))</f>
        <v>38</v>
      </c>
      <c r="AG867" s="18">
        <f>IF($A867="","",IF($M867="","",ROUND($M867*67,1)))</f>
        <v>33</v>
      </c>
      <c r="AH867" s="19">
        <f>IF($A867="","",IF($P867="","",IF($P867=0,0,$O867/$P867)))</f>
        <v>0.969230769230769</v>
      </c>
      <c r="AI867" s="5" t="str">
        <f>IF($A867="","",IF($P867="","",IF($P867&gt;=Lookups!$K$7,"High",IF($P867&lt;=Lookups!$K$8,"Low","Medium"))))</f>
        <v>Medium</v>
      </c>
      <c r="AJ867" s="5" t="str">
        <f>IF($A867="","",IF($AD867="","",IF($AD867&lt;5,"Under 5 C",IF($AD867&lt;10,"5-10 C",IF($AD867&lt;15,"10-15 C","15 C and above")))))</f>
        <v>5-10 C</v>
      </c>
      <c r="AK867" s="5">
        <f>IF($A867="","",IF($P867="","",$P867^2))</f>
        <v>4225</v>
      </c>
      <c r="AL867" s="18">
        <f>IF($V867&lt;&gt;1,"",AVERAGEIFS(Clean_Data!$P$2:$P$1001,Clean_Data!$F$2:$F$1001,$F867,Clean_Data!$W$2:$W$1001,$W867,Clean_Data!$V$2:$V$1001,1))</f>
        <v>64.5862068965517</v>
      </c>
      <c r="AM867" s="16">
        <f>IF($V867&lt;&gt;1,"",IFERROR(($P867-$AL867)/SQRT(MAX(0,(SUMIFS(Clean_Data!$AK$2:$AK$1001,Clean_Data!$F$2:$F$1001,$F867,Clean_Data!$W$2:$W$1001,$W867,Clean_Data!$V$2:$V$1001,1)-COUNTIFS(Clean_Data!$F$2:$F$1001,$F867,Clean_Data!$W$2:$W$1001,$W867,Clean_Data!$V$2:$V$1001,1)*$AL867^2)/(COUNTIFS(Clean_Data!$F$2:$F$1001,$F867,Clean_Data!$W$2:$W$1001,$W867,Clean_Data!$V$2:$V$1001,1)-1))),""))</f>
        <v>0.0220944729333812</v>
      </c>
      <c r="AN867" s="5" t="str">
        <f>IF($AM867="","",IF($AM867&gt;=Lookups!$K$6,"High spike",IF($AM867&lt;=-Lookups!$K$6,"Unusual low","Normal")))</f>
        <v>Normal</v>
      </c>
      <c r="AO867" s="20">
        <f>IF($V867&lt;&gt;1,"",$P867+ROW()/100000)</f>
        <v>65.00867</v>
      </c>
      <c r="AP867" s="5">
        <f>IF($A867="","",IFERROR(MATCH($A867,Raw_D1!$A$2:$A$1001,0),""))</f>
        <v/>
      </c>
      <c r="AQ867" s="5">
        <f>IF($A867="","",IFERROR(MATCH($A867,Raw_D2!$B$2:$B$1001,0),""))</f>
        <v/>
      </c>
      <c r="AR867" s="5">
        <f>IF($A867="","",IFERROR(MATCH($A867,Raw_D3!$A$2:$A$1001,0),""))</f>
        <v>247</v>
      </c>
    </row>
    <row r="868" spans="1:44" x14ac:dyDescent="0.25">
      <c r="A868" s="5">
        <v>867</v>
      </c>
      <c r="B868" s="11">
        <f>IF($A868="","",IF($AP868&lt;&gt;"",INDEX(Raw_D1!$B$2:$B$1001,$AP868),IF($AR868&lt;&gt;"",INDEX(Raw_D3!$B$2:$B$1001,$AR868),"")))</f>
        <v>40582.0</v>
      </c>
      <c r="C868" s="5">
        <f>IF($A868="","",IF($AP868&lt;&gt;"",INDEX(Raw_D1!$C$2:$C$1001,$AP868),IF($AR868&lt;&gt;"",INDEX(Raw_D3!$C$2:$C$1001,$AR868),"")))</f>
        <v>1</v>
      </c>
      <c r="D868" s="5">
        <f>IF($A868="","",IF($AP868&lt;&gt;"",INDEX(Raw_D1!$D$2:$D$1001,$AP868),IF($AR868&lt;&gt;"",INDEX(Raw_D3!$D$2:$D$1001,$AR868),"")))</f>
        <v>0</v>
      </c>
      <c r="E868" s="5">
        <f>IF($A868="","",IF($AP868&lt;&gt;"",INDEX(Raw_D1!$E$2:$E$1001,$AP868),IF($AR868&lt;&gt;"",INDEX(Raw_D3!$E$2:$E$1001,$AR868),"")))</f>
        <v>2</v>
      </c>
      <c r="F868" s="5">
        <f>IF($A868="","",IF($AP868&lt;&gt;"",INDEX(Raw_D1!$F$2:$F$1001,$AP868),IF($AR868&lt;&gt;"",INDEX(Raw_D3!$F$2:$F$1001,$AR868),"")))</f>
        <v>13</v>
      </c>
      <c r="G868" s="5">
        <f>IF($A868="","",IF($AP868&lt;&gt;"",IF(INDEX(Raw_D1!$G$2:$G$1001,$AP868),1,0),IF($AR868&lt;&gt;"",IF(INDEX(Raw_D3!$G$2:$G$1001,$AR868),1,0),"")))</f>
        <v>0</v>
      </c>
      <c r="H868" s="5">
        <f>IF($A868="","",IF($AP868&lt;&gt;"",INDEX(Raw_D1!$H$2:$H$1001,$AP868),IF($AR868&lt;&gt;"",INDEX(Raw_D3!$H$2:$H$1001,$AR868),"")))</f>
        <v>2</v>
      </c>
      <c r="I868" s="5">
        <f>IF($A868="","",IF($AP868&lt;&gt;"",INDEX(Raw_D1!$I$2:$I$1001,$AP868),IF($AR868&lt;&gt;"",INDEX(Raw_D3!$I$2:$I$1001,$AR868),"")))</f>
        <v>2</v>
      </c>
      <c r="J868" s="16">
        <f>IF($A868="","",IF($AP868&lt;&gt;"",INDEX(Raw_D1!$J$2:$J$1001,$AP868),IF($AR868&lt;&gt;"",INDEX(Raw_D3!$J$2:$J$1001,$AR868),"")))</f>
        <v>0.24</v>
      </c>
      <c r="K868" s="17">
        <f>IF($A868="","",IF($AQ868&lt;&gt;"",IF(INDEX(Raw_D2!$C$2:$C$1001,$AQ868)="","",INDEX(Raw_D2!$C$2:$C$1001,$AQ868)),IF($AR868&lt;&gt;"",IF(INDEX(Raw_D3!$K$2:$K$1001,$AR868)="","",INDEX(Raw_D3!$K$2:$K$1001,$AR868)),"")))</f>
        <v>0.197</v>
      </c>
      <c r="L868" s="16">
        <f>IF($A868="","",IF($AQ868&lt;&gt;"",IF(INDEX(Raw_D2!$D$2:$D$1001,$AQ868)="","",INDEX(Raw_D2!$D$2:$D$1001,$AQ868)),IF($AR868&lt;&gt;"",IF(INDEX(Raw_D3!$L$2:$L$1001,$AR868)="","",INDEX(Raw_D3!$L$2:$L$1001,$AR868)),"")))</f>
        <v>0.32</v>
      </c>
      <c r="M868" s="17">
        <f>IF($A868="","",IF($AQ868&lt;&gt;"",IF(INDEX(Raw_D2!$E$2:$E$1001,$AQ868)="","",INDEX(Raw_D2!$E$2:$E$1001,$AQ868)),IF($AR868&lt;&gt;"",IF(INDEX(Raw_D3!$M$2:$M$1001,$AR868)="","",INDEX(Raw_D3!$M$2:$M$1001,$AR868)),"")))</f>
        <v>0.4478</v>
      </c>
      <c r="N868" s="5">
        <f>IF($A868="","",IF($AQ868&lt;&gt;"",IF(INDEX(Raw_D2!$F$2:$F$1001,$AQ868)="","",INDEX(Raw_D2!$F$2:$F$1001,$AQ868)),IF($AR868&lt;&gt;"",IF(INDEX(Raw_D3!$N$2:$N$1001,$AR868)="","",INDEX(Raw_D3!$N$2:$N$1001,$AR868)),"")))</f>
        <v>2</v>
      </c>
      <c r="O868" s="5">
        <f>IF($A868="","",IF($AQ868&lt;&gt;"",IF(INDEX(Raw_D2!$G$2:$G$1001,$AQ868)="","",INDEX(Raw_D2!$G$2:$G$1001,$AQ868)),IF($AR868&lt;&gt;"",IF(INDEX(Raw_D3!$O$2:$O$1001,$AR868)="","",INDEX(Raw_D3!$O$2:$O$1001,$AR868)),"")))</f>
        <v>48</v>
      </c>
      <c r="P868" s="5">
        <f>IF($A868="","",IF($AQ868&lt;&gt;"",IF(INDEX(Raw_D2!$H$2:$H$1001,$AQ868)="","",INDEX(Raw_D2!$H$2:$H$1001,$AQ868)),IF($AR868&lt;&gt;"",IF(INDEX(Raw_D3!$P$2:$P$1001,$AR868)="","",INDEX(Raw_D3!$P$2:$P$1001,$AR868)),"")))</f>
        <v>50</v>
      </c>
      <c r="Q868" s="5" t="str">
        <f>IF($A868="","",IF(AND($AP868&lt;&gt;"",$AQ868&lt;&gt;""),"D1+D2",IF($AR868&lt;&gt;"","D3","Incomplete")))</f>
        <v>D3</v>
      </c>
      <c r="R868" s="17">
        <f>IF($A868="","",IF($K868="",IF($J868="","",ROUND(Lookups!$K$5+Lookups!$K$4*$J868,4)),$K868))</f>
        <v>0.197</v>
      </c>
      <c r="S868" s="5" t="str">
        <f>IF($A868="","",IF($K868="","Imputed","Original"))</f>
        <v>Original</v>
      </c>
      <c r="T868" s="5" t="str">
        <f>IF($A868="","",IF($P868="","Missing",IF($P868=$N868+$O868,"OK","Mismatch")))</f>
        <v>OK</v>
      </c>
      <c r="U868" s="5" t="str">
        <f>IF($A868="","",IF(COUNTIF($A$2:$A868,$A868)&gt;1,"Duplicate","Unique"))</f>
        <v>Unique</v>
      </c>
      <c r="V868" s="5">
        <f>IF($A868="","",IF(AND($U868="Unique",ISNUMBER($P868)),1,0))</f>
        <v>1</v>
      </c>
      <c r="W868" s="5" t="str">
        <f>IF($A868="","",IF(OR($H868=0,$H868=6),"Weekend","Weekday"))</f>
        <v>Weekday</v>
      </c>
      <c r="X868" s="5" t="str">
        <f>IF($A868="","",TEXT($B868,"ddd"))</f>
        <v>Tue</v>
      </c>
      <c r="Y868" s="5" t="str">
        <f>IF($A868="","",TEXT($B868,"mmm"))</f>
        <v>Feb</v>
      </c>
      <c r="Z868" s="5" t="str">
        <f>IF($A868="","",IFERROR(VLOOKUP($C868,Lookups!$D$4:$E$7,2,FALSE),"Unknown"))</f>
        <v>Winter</v>
      </c>
      <c r="AA868" s="5" t="str">
        <f>IF($A868="","",IFERROR(VLOOKUP($I868,Lookups!$A$4:$B$7,2,FALSE),"Unknown"))</f>
        <v>Mist/Cloudy</v>
      </c>
      <c r="AB868" s="5" t="str">
        <f>IF($A868="","",TEXT($F868,"00")&amp;":00")</f>
        <v>13:00</v>
      </c>
      <c r="AC868" s="5" t="str">
        <f>IF($A868="","",VLOOKUP($F868,Lookups!$G$4:$H$8,2,TRUE))</f>
        <v>Midday (10-15)</v>
      </c>
      <c r="AD868" s="18">
        <f>IF($A868="","",IF($J868="","",ROUND($J868*41,1)))</f>
        <v>9.8</v>
      </c>
      <c r="AE868" s="18">
        <f>IF($A868="","",IF($R868="","",ROUND($R868*50,1)))</f>
        <v>9.9</v>
      </c>
      <c r="AF868" s="5">
        <f>IF($A868="","",IF($L868="","",ROUND($L868*100,0)))</f>
        <v>32</v>
      </c>
      <c r="AG868" s="18">
        <f>IF($A868="","",IF($M868="","",ROUND($M868*67,1)))</f>
        <v>30</v>
      </c>
      <c r="AH868" s="19">
        <f>IF($A868="","",IF($P868="","",IF($P868=0,0,$O868/$P868)))</f>
        <v>0.96</v>
      </c>
      <c r="AI868" s="5" t="str">
        <f>IF($A868="","",IF($P868="","",IF($P868&gt;=Lookups!$K$7,"High",IF($P868&lt;=Lookups!$K$8,"Low","Medium"))))</f>
        <v>Medium</v>
      </c>
      <c r="AJ868" s="5" t="str">
        <f>IF($A868="","",IF($AD868="","",IF($AD868&lt;5,"Under 5 C",IF($AD868&lt;10,"5-10 C",IF($AD868&lt;15,"10-15 C","15 C and above")))))</f>
        <v>5-10 C</v>
      </c>
      <c r="AK868" s="5">
        <f>IF($A868="","",IF($P868="","",$P868^2))</f>
        <v>2500</v>
      </c>
      <c r="AL868" s="18">
        <f>IF($V868&lt;&gt;1,"",AVERAGEIFS(Clean_Data!$P$2:$P$1001,Clean_Data!$F$2:$F$1001,$F868,Clean_Data!$W$2:$W$1001,$W868,Clean_Data!$V$2:$V$1001,1))</f>
        <v>67.1724137931034</v>
      </c>
      <c r="AM868" s="16">
        <f>IF($V868&lt;&gt;1,"",IFERROR(($P868-$AL868)/SQRT(MAX(0,(SUMIFS(Clean_Data!$AK$2:$AK$1001,Clean_Data!$F$2:$F$1001,$F868,Clean_Data!$W$2:$W$1001,$W868,Clean_Data!$V$2:$V$1001,1)-COUNTIFS(Clean_Data!$F$2:$F$1001,$F868,Clean_Data!$W$2:$W$1001,$W868,Clean_Data!$V$2:$V$1001,1)*$AL868^2)/(COUNTIFS(Clean_Data!$F$2:$F$1001,$F868,Clean_Data!$W$2:$W$1001,$W868,Clean_Data!$V$2:$V$1001,1)-1))),""))</f>
        <v>-0.850453860437716</v>
      </c>
      <c r="AN868" s="5" t="str">
        <f>IF($AM868="","",IF($AM868&gt;=Lookups!$K$6,"High spike",IF($AM868&lt;=-Lookups!$K$6,"Unusual low","Normal")))</f>
        <v>Normal</v>
      </c>
      <c r="AO868" s="20">
        <f>IF($V868&lt;&gt;1,"",$P868+ROW()/100000)</f>
        <v>50.00868</v>
      </c>
      <c r="AP868" s="5">
        <f>IF($A868="","",IFERROR(MATCH($A868,Raw_D1!$A$2:$A$1001,0),""))</f>
        <v/>
      </c>
      <c r="AQ868" s="5">
        <f>IF($A868="","",IFERROR(MATCH($A868,Raw_D2!$B$2:$B$1001,0),""))</f>
        <v/>
      </c>
      <c r="AR868" s="5">
        <f>IF($A868="","",IFERROR(MATCH($A868,Raw_D3!$A$2:$A$1001,0),""))</f>
        <v>248</v>
      </c>
    </row>
    <row r="869" spans="1:44" x14ac:dyDescent="0.25">
      <c r="A869" s="5">
        <v>868</v>
      </c>
      <c r="B869" s="11">
        <f>IF($A869="","",IF($AP869&lt;&gt;"",INDEX(Raw_D1!$B$2:$B$1001,$AP869),IF($AR869&lt;&gt;"",INDEX(Raw_D3!$B$2:$B$1001,$AR869),"")))</f>
        <v>40582.0</v>
      </c>
      <c r="C869" s="5">
        <f>IF($A869="","",IF($AP869&lt;&gt;"",INDEX(Raw_D1!$C$2:$C$1001,$AP869),IF($AR869&lt;&gt;"",INDEX(Raw_D3!$C$2:$C$1001,$AR869),"")))</f>
        <v>1</v>
      </c>
      <c r="D869" s="5">
        <f>IF($A869="","",IF($AP869&lt;&gt;"",INDEX(Raw_D1!$D$2:$D$1001,$AP869),IF($AR869&lt;&gt;"",INDEX(Raw_D3!$D$2:$D$1001,$AR869),"")))</f>
        <v>0</v>
      </c>
      <c r="E869" s="5">
        <f>IF($A869="","",IF($AP869&lt;&gt;"",INDEX(Raw_D1!$E$2:$E$1001,$AP869),IF($AR869&lt;&gt;"",INDEX(Raw_D3!$E$2:$E$1001,$AR869),"")))</f>
        <v>2</v>
      </c>
      <c r="F869" s="5">
        <f>IF($A869="","",IF($AP869&lt;&gt;"",INDEX(Raw_D1!$F$2:$F$1001,$AP869),IF($AR869&lt;&gt;"",INDEX(Raw_D3!$F$2:$F$1001,$AR869),"")))</f>
        <v>14</v>
      </c>
      <c r="G869" s="5">
        <f>IF($A869="","",IF($AP869&lt;&gt;"",IF(INDEX(Raw_D1!$G$2:$G$1001,$AP869),1,0),IF($AR869&lt;&gt;"",IF(INDEX(Raw_D3!$G$2:$G$1001,$AR869),1,0),"")))</f>
        <v>0</v>
      </c>
      <c r="H869" s="5">
        <f>IF($A869="","",IF($AP869&lt;&gt;"",INDEX(Raw_D1!$H$2:$H$1001,$AP869),IF($AR869&lt;&gt;"",INDEX(Raw_D3!$H$2:$H$1001,$AR869),"")))</f>
        <v>2</v>
      </c>
      <c r="I869" s="5">
        <f>IF($A869="","",IF($AP869&lt;&gt;"",INDEX(Raw_D1!$I$2:$I$1001,$AP869),IF($AR869&lt;&gt;"",INDEX(Raw_D3!$I$2:$I$1001,$AR869),"")))</f>
        <v>1</v>
      </c>
      <c r="J869" s="16">
        <f>IF($A869="","",IF($AP869&lt;&gt;"",INDEX(Raw_D1!$J$2:$J$1001,$AP869),IF($AR869&lt;&gt;"",INDEX(Raw_D3!$J$2:$J$1001,$AR869),"")))</f>
        <v>0.22</v>
      </c>
      <c r="K869" s="17">
        <f>IF($A869="","",IF($AQ869&lt;&gt;"",IF(INDEX(Raw_D2!$C$2:$C$1001,$AQ869)="","",INDEX(Raw_D2!$C$2:$C$1001,$AQ869)),IF($AR869&lt;&gt;"",IF(INDEX(Raw_D3!$K$2:$K$1001,$AR869)="","",INDEX(Raw_D3!$K$2:$K$1001,$AR869)),"")))</f>
        <v>0.197</v>
      </c>
      <c r="L869" s="16">
        <f>IF($A869="","",IF($AQ869&lt;&gt;"",IF(INDEX(Raw_D2!$D$2:$D$1001,$AQ869)="","",INDEX(Raw_D2!$D$2:$D$1001,$AQ869)),IF($AR869&lt;&gt;"",IF(INDEX(Raw_D3!$L$2:$L$1001,$AR869)="","",INDEX(Raw_D3!$L$2:$L$1001,$AR869)),"")))</f>
        <v>0.37</v>
      </c>
      <c r="M869" s="17">
        <f>IF($A869="","",IF($AQ869&lt;&gt;"",IF(INDEX(Raw_D2!$E$2:$E$1001,$AQ869)="","",INDEX(Raw_D2!$E$2:$E$1001,$AQ869)),IF($AR869&lt;&gt;"",IF(INDEX(Raw_D3!$M$2:$M$1001,$AR869)="","",INDEX(Raw_D3!$M$2:$M$1001,$AR869)),"")))</f>
        <v>0.4179</v>
      </c>
      <c r="N869" s="5">
        <f>IF($A869="","",IF($AQ869&lt;&gt;"",IF(INDEX(Raw_D2!$F$2:$F$1001,$AQ869)="","",INDEX(Raw_D2!$F$2:$F$1001,$AQ869)),IF($AR869&lt;&gt;"",IF(INDEX(Raw_D3!$N$2:$N$1001,$AR869)="","",INDEX(Raw_D3!$N$2:$N$1001,$AR869)),"")))</f>
        <v>3</v>
      </c>
      <c r="O869" s="5">
        <f>IF($A869="","",IF($AQ869&lt;&gt;"",IF(INDEX(Raw_D2!$G$2:$G$1001,$AQ869)="","",INDEX(Raw_D2!$G$2:$G$1001,$AQ869)),IF($AR869&lt;&gt;"",IF(INDEX(Raw_D3!$O$2:$O$1001,$AR869)="","",INDEX(Raw_D3!$O$2:$O$1001,$AR869)),"")))</f>
        <v>61</v>
      </c>
      <c r="P869" s="5">
        <f>IF($A869="","",IF($AQ869&lt;&gt;"",IF(INDEX(Raw_D2!$H$2:$H$1001,$AQ869)="","",INDEX(Raw_D2!$H$2:$H$1001,$AQ869)),IF($AR869&lt;&gt;"",IF(INDEX(Raw_D3!$P$2:$P$1001,$AR869)="","",INDEX(Raw_D3!$P$2:$P$1001,$AR869)),"")))</f>
        <v>64</v>
      </c>
      <c r="Q869" s="5" t="str">
        <f>IF($A869="","",IF(AND($AP869&lt;&gt;"",$AQ869&lt;&gt;""),"D1+D2",IF($AR869&lt;&gt;"","D3","Incomplete")))</f>
        <v>D3</v>
      </c>
      <c r="R869" s="17">
        <f>IF($A869="","",IF($K869="",IF($J869="","",ROUND(Lookups!$K$5+Lookups!$K$4*$J869,4)),$K869))</f>
        <v>0.197</v>
      </c>
      <c r="S869" s="5" t="str">
        <f>IF($A869="","",IF($K869="","Imputed","Original"))</f>
        <v>Original</v>
      </c>
      <c r="T869" s="5" t="str">
        <f>IF($A869="","",IF($P869="","Missing",IF($P869=$N869+$O869,"OK","Mismatch")))</f>
        <v>OK</v>
      </c>
      <c r="U869" s="5" t="str">
        <f>IF($A869="","",IF(COUNTIF($A$2:$A869,$A869)&gt;1,"Duplicate","Unique"))</f>
        <v>Unique</v>
      </c>
      <c r="V869" s="5">
        <f>IF($A869="","",IF(AND($U869="Unique",ISNUMBER($P869)),1,0))</f>
        <v>1</v>
      </c>
      <c r="W869" s="5" t="str">
        <f>IF($A869="","",IF(OR($H869=0,$H869=6),"Weekend","Weekday"))</f>
        <v>Weekday</v>
      </c>
      <c r="X869" s="5" t="str">
        <f>IF($A869="","",TEXT($B869,"ddd"))</f>
        <v>Tue</v>
      </c>
      <c r="Y869" s="5" t="str">
        <f>IF($A869="","",TEXT($B869,"mmm"))</f>
        <v>Feb</v>
      </c>
      <c r="Z869" s="5" t="str">
        <f>IF($A869="","",IFERROR(VLOOKUP($C869,Lookups!$D$4:$E$7,2,FALSE),"Unknown"))</f>
        <v>Winter</v>
      </c>
      <c r="AA869" s="5" t="str">
        <f>IF($A869="","",IFERROR(VLOOKUP($I869,Lookups!$A$4:$B$7,2,FALSE),"Unknown"))</f>
        <v>Clear</v>
      </c>
      <c r="AB869" s="5" t="str">
        <f>IF($A869="","",TEXT($F869,"00")&amp;":00")</f>
        <v>14:00</v>
      </c>
      <c r="AC869" s="5" t="str">
        <f>IF($A869="","",VLOOKUP($F869,Lookups!$G$4:$H$8,2,TRUE))</f>
        <v>Midday (10-15)</v>
      </c>
      <c r="AD869" s="18">
        <f>IF($A869="","",IF($J869="","",ROUND($J869*41,1)))</f>
        <v>9</v>
      </c>
      <c r="AE869" s="18">
        <f>IF($A869="","",IF($R869="","",ROUND($R869*50,1)))</f>
        <v>9.9</v>
      </c>
      <c r="AF869" s="5">
        <f>IF($A869="","",IF($L869="","",ROUND($L869*100,0)))</f>
        <v>37</v>
      </c>
      <c r="AG869" s="18">
        <f>IF($A869="","",IF($M869="","",ROUND($M869*67,1)))</f>
        <v>28</v>
      </c>
      <c r="AH869" s="19">
        <f>IF($A869="","",IF($P869="","",IF($P869=0,0,$O869/$P869)))</f>
        <v>0.953125</v>
      </c>
      <c r="AI869" s="5" t="str">
        <f>IF($A869="","",IF($P869="","",IF($P869&gt;=Lookups!$K$7,"High",IF($P869&lt;=Lookups!$K$8,"Low","Medium"))))</f>
        <v>Medium</v>
      </c>
      <c r="AJ869" s="5" t="str">
        <f>IF($A869="","",IF($AD869="","",IF($AD869&lt;5,"Under 5 C",IF($AD869&lt;10,"5-10 C",IF($AD869&lt;15,"10-15 C","15 C and above")))))</f>
        <v>5-10 C</v>
      </c>
      <c r="AK869" s="5">
        <f>IF($A869="","",IF($P869="","",$P869^2))</f>
        <v>4096</v>
      </c>
      <c r="AL869" s="18">
        <f>IF($V869&lt;&gt;1,"",AVERAGEIFS(Clean_Data!$P$2:$P$1001,Clean_Data!$F$2:$F$1001,$F869,Clean_Data!$W$2:$W$1001,$W869,Clean_Data!$V$2:$V$1001,1))</f>
        <v>60.551724137931</v>
      </c>
      <c r="AM869" s="16">
        <f>IF($V869&lt;&gt;1,"",IFERROR(($P869-$AL869)/SQRT(MAX(0,(SUMIFS(Clean_Data!$AK$2:$AK$1001,Clean_Data!$F$2:$F$1001,$F869,Clean_Data!$W$2:$W$1001,$W869,Clean_Data!$V$2:$V$1001,1)-COUNTIFS(Clean_Data!$F$2:$F$1001,$F869,Clean_Data!$W$2:$W$1001,$W869,Clean_Data!$V$2:$V$1001,1)*$AL869^2)/(COUNTIFS(Clean_Data!$F$2:$F$1001,$F869,Clean_Data!$W$2:$W$1001,$W869,Clean_Data!$V$2:$V$1001,1)-1))),""))</f>
        <v>0.209617449788789</v>
      </c>
      <c r="AN869" s="5" t="str">
        <f>IF($AM869="","",IF($AM869&gt;=Lookups!$K$6,"High spike",IF($AM869&lt;=-Lookups!$K$6,"Unusual low","Normal")))</f>
        <v>Normal</v>
      </c>
      <c r="AO869" s="20">
        <f>IF($V869&lt;&gt;1,"",$P869+ROW()/100000)</f>
        <v>64.00869</v>
      </c>
      <c r="AP869" s="5">
        <f>IF($A869="","",IFERROR(MATCH($A869,Raw_D1!$A$2:$A$1001,0),""))</f>
        <v/>
      </c>
      <c r="AQ869" s="5">
        <f>IF($A869="","",IFERROR(MATCH($A869,Raw_D2!$B$2:$B$1001,0),""))</f>
        <v/>
      </c>
      <c r="AR869" s="5">
        <f>IF($A869="","",IFERROR(MATCH($A869,Raw_D3!$A$2:$A$1001,0),""))</f>
        <v>249</v>
      </c>
    </row>
    <row r="870" spans="1:44" x14ac:dyDescent="0.25">
      <c r="A870" s="5">
        <v>869</v>
      </c>
      <c r="B870" s="11">
        <f>IF($A870="","",IF($AP870&lt;&gt;"",INDEX(Raw_D1!$B$2:$B$1001,$AP870),IF($AR870&lt;&gt;"",INDEX(Raw_D3!$B$2:$B$1001,$AR870),"")))</f>
        <v>40582.0</v>
      </c>
      <c r="C870" s="5">
        <f>IF($A870="","",IF($AP870&lt;&gt;"",INDEX(Raw_D1!$C$2:$C$1001,$AP870),IF($AR870&lt;&gt;"",INDEX(Raw_D3!$C$2:$C$1001,$AR870),"")))</f>
        <v>1</v>
      </c>
      <c r="D870" s="5">
        <f>IF($A870="","",IF($AP870&lt;&gt;"",INDEX(Raw_D1!$D$2:$D$1001,$AP870),IF($AR870&lt;&gt;"",INDEX(Raw_D3!$D$2:$D$1001,$AR870),"")))</f>
        <v>0</v>
      </c>
      <c r="E870" s="5">
        <f>IF($A870="","",IF($AP870&lt;&gt;"",INDEX(Raw_D1!$E$2:$E$1001,$AP870),IF($AR870&lt;&gt;"",INDEX(Raw_D3!$E$2:$E$1001,$AR870),"")))</f>
        <v>2</v>
      </c>
      <c r="F870" s="5">
        <f>IF($A870="","",IF($AP870&lt;&gt;"",INDEX(Raw_D1!$F$2:$F$1001,$AP870),IF($AR870&lt;&gt;"",INDEX(Raw_D3!$F$2:$F$1001,$AR870),"")))</f>
        <v>15</v>
      </c>
      <c r="G870" s="5">
        <f>IF($A870="","",IF($AP870&lt;&gt;"",IF(INDEX(Raw_D1!$G$2:$G$1001,$AP870),1,0),IF($AR870&lt;&gt;"",IF(INDEX(Raw_D3!$G$2:$G$1001,$AR870),1,0),"")))</f>
        <v>0</v>
      </c>
      <c r="H870" s="5">
        <f>IF($A870="","",IF($AP870&lt;&gt;"",INDEX(Raw_D1!$H$2:$H$1001,$AP870),IF($AR870&lt;&gt;"",INDEX(Raw_D3!$H$2:$H$1001,$AR870),"")))</f>
        <v>2</v>
      </c>
      <c r="I870" s="5">
        <f>IF($A870="","",IF($AP870&lt;&gt;"",INDEX(Raw_D1!$I$2:$I$1001,$AP870),IF($AR870&lt;&gt;"",INDEX(Raw_D3!$I$2:$I$1001,$AR870),"")))</f>
        <v>1</v>
      </c>
      <c r="J870" s="16">
        <f>IF($A870="","",IF($AP870&lt;&gt;"",INDEX(Raw_D1!$J$2:$J$1001,$AP870),IF($AR870&lt;&gt;"",INDEX(Raw_D3!$J$2:$J$1001,$AR870),"")))</f>
        <v>0.22</v>
      </c>
      <c r="K870" s="17">
        <f>IF($A870="","",IF($AQ870&lt;&gt;"",IF(INDEX(Raw_D2!$C$2:$C$1001,$AQ870)="","",INDEX(Raw_D2!$C$2:$C$1001,$AQ870)),IF($AR870&lt;&gt;"",IF(INDEX(Raw_D3!$K$2:$K$1001,$AR870)="","",INDEX(Raw_D3!$K$2:$K$1001,$AR870)),"")))</f>
        <v>0.197</v>
      </c>
      <c r="L870" s="16">
        <f>IF($A870="","",IF($AQ870&lt;&gt;"",IF(INDEX(Raw_D2!$D$2:$D$1001,$AQ870)="","",INDEX(Raw_D2!$D$2:$D$1001,$AQ870)),IF($AR870&lt;&gt;"",IF(INDEX(Raw_D3!$L$2:$L$1001,$AR870)="","",INDEX(Raw_D3!$L$2:$L$1001,$AR870)),"")))</f>
        <v>0.35</v>
      </c>
      <c r="M870" s="17">
        <f>IF($A870="","",IF($AQ870&lt;&gt;"",IF(INDEX(Raw_D2!$E$2:$E$1001,$AQ870)="","",INDEX(Raw_D2!$E$2:$E$1001,$AQ870)),IF($AR870&lt;&gt;"",IF(INDEX(Raw_D3!$M$2:$M$1001,$AR870)="","",INDEX(Raw_D3!$M$2:$M$1001,$AR870)),"")))</f>
        <v>0.3881</v>
      </c>
      <c r="N870" s="5">
        <f>IF($A870="","",IF($AQ870&lt;&gt;"",IF(INDEX(Raw_D2!$F$2:$F$1001,$AQ870)="","",INDEX(Raw_D2!$F$2:$F$1001,$AQ870)),IF($AR870&lt;&gt;"",IF(INDEX(Raw_D3!$N$2:$N$1001,$AR870)="","",INDEX(Raw_D3!$N$2:$N$1001,$AR870)),"")))</f>
        <v>6</v>
      </c>
      <c r="O870" s="5">
        <f>IF($A870="","",IF($AQ870&lt;&gt;"",IF(INDEX(Raw_D2!$G$2:$G$1001,$AQ870)="","",INDEX(Raw_D2!$G$2:$G$1001,$AQ870)),IF($AR870&lt;&gt;"",IF(INDEX(Raw_D3!$O$2:$O$1001,$AR870)="","",INDEX(Raw_D3!$O$2:$O$1001,$AR870)),"")))</f>
        <v>45</v>
      </c>
      <c r="P870" s="5">
        <f>IF($A870="","",IF($AQ870&lt;&gt;"",IF(INDEX(Raw_D2!$H$2:$H$1001,$AQ870)="","",INDEX(Raw_D2!$H$2:$H$1001,$AQ870)),IF($AR870&lt;&gt;"",IF(INDEX(Raw_D3!$P$2:$P$1001,$AR870)="","",INDEX(Raw_D3!$P$2:$P$1001,$AR870)),"")))</f>
        <v>51</v>
      </c>
      <c r="Q870" s="5" t="str">
        <f>IF($A870="","",IF(AND($AP870&lt;&gt;"",$AQ870&lt;&gt;""),"D1+D2",IF($AR870&lt;&gt;"","D3","Incomplete")))</f>
        <v>D3</v>
      </c>
      <c r="R870" s="17">
        <f>IF($A870="","",IF($K870="",IF($J870="","",ROUND(Lookups!$K$5+Lookups!$K$4*$J870,4)),$K870))</f>
        <v>0.197</v>
      </c>
      <c r="S870" s="5" t="str">
        <f>IF($A870="","",IF($K870="","Imputed","Original"))</f>
        <v>Original</v>
      </c>
      <c r="T870" s="5" t="str">
        <f>IF($A870="","",IF($P870="","Missing",IF($P870=$N870+$O870,"OK","Mismatch")))</f>
        <v>OK</v>
      </c>
      <c r="U870" s="5" t="str">
        <f>IF($A870="","",IF(COUNTIF($A$2:$A870,$A870)&gt;1,"Duplicate","Unique"))</f>
        <v>Unique</v>
      </c>
      <c r="V870" s="5">
        <f>IF($A870="","",IF(AND($U870="Unique",ISNUMBER($P870)),1,0))</f>
        <v>1</v>
      </c>
      <c r="W870" s="5" t="str">
        <f>IF($A870="","",IF(OR($H870=0,$H870=6),"Weekend","Weekday"))</f>
        <v>Weekday</v>
      </c>
      <c r="X870" s="5" t="str">
        <f>IF($A870="","",TEXT($B870,"ddd"))</f>
        <v>Tue</v>
      </c>
      <c r="Y870" s="5" t="str">
        <f>IF($A870="","",TEXT($B870,"mmm"))</f>
        <v>Feb</v>
      </c>
      <c r="Z870" s="5" t="str">
        <f>IF($A870="","",IFERROR(VLOOKUP($C870,Lookups!$D$4:$E$7,2,FALSE),"Unknown"))</f>
        <v>Winter</v>
      </c>
      <c r="AA870" s="5" t="str">
        <f>IF($A870="","",IFERROR(VLOOKUP($I870,Lookups!$A$4:$B$7,2,FALSE),"Unknown"))</f>
        <v>Clear</v>
      </c>
      <c r="AB870" s="5" t="str">
        <f>IF($A870="","",TEXT($F870,"00")&amp;":00")</f>
        <v>15:00</v>
      </c>
      <c r="AC870" s="5" t="str">
        <f>IF($A870="","",VLOOKUP($F870,Lookups!$G$4:$H$8,2,TRUE))</f>
        <v>Midday (10-15)</v>
      </c>
      <c r="AD870" s="18">
        <f>IF($A870="","",IF($J870="","",ROUND($J870*41,1)))</f>
        <v>9</v>
      </c>
      <c r="AE870" s="18">
        <f>IF($A870="","",IF($R870="","",ROUND($R870*50,1)))</f>
        <v>9.9</v>
      </c>
      <c r="AF870" s="5">
        <f>IF($A870="","",IF($L870="","",ROUND($L870*100,0)))</f>
        <v>35</v>
      </c>
      <c r="AG870" s="18">
        <f>IF($A870="","",IF($M870="","",ROUND($M870*67,1)))</f>
        <v>26</v>
      </c>
      <c r="AH870" s="19">
        <f>IF($A870="","",IF($P870="","",IF($P870=0,0,$O870/$P870)))</f>
        <v>0.882352941176471</v>
      </c>
      <c r="AI870" s="5" t="str">
        <f>IF($A870="","",IF($P870="","",IF($P870&gt;=Lookups!$K$7,"High",IF($P870&lt;=Lookups!$K$8,"Low","Medium"))))</f>
        <v>Medium</v>
      </c>
      <c r="AJ870" s="5" t="str">
        <f>IF($A870="","",IF($AD870="","",IF($AD870&lt;5,"Under 5 C",IF($AD870&lt;10,"5-10 C",IF($AD870&lt;15,"10-15 C","15 C and above")))))</f>
        <v>5-10 C</v>
      </c>
      <c r="AK870" s="5">
        <f>IF($A870="","",IF($P870="","",$P870^2))</f>
        <v>2601</v>
      </c>
      <c r="AL870" s="18">
        <f>IF($V870&lt;&gt;1,"",AVERAGEIFS(Clean_Data!$P$2:$P$1001,Clean_Data!$F$2:$F$1001,$F870,Clean_Data!$W$2:$W$1001,$W870,Clean_Data!$V$2:$V$1001,1))</f>
        <v>61.4827586206897</v>
      </c>
      <c r="AM870" s="16">
        <f>IF($V870&lt;&gt;1,"",IFERROR(($P870-$AL870)/SQRT(MAX(0,(SUMIFS(Clean_Data!$AK$2:$AK$1001,Clean_Data!$F$2:$F$1001,$F870,Clean_Data!$W$2:$W$1001,$W870,Clean_Data!$V$2:$V$1001,1)-COUNTIFS(Clean_Data!$F$2:$F$1001,$F870,Clean_Data!$W$2:$W$1001,$W870,Clean_Data!$V$2:$V$1001,1)*$AL870^2)/(COUNTIFS(Clean_Data!$F$2:$F$1001,$F870,Clean_Data!$W$2:$W$1001,$W870,Clean_Data!$V$2:$V$1001,1)-1))),""))</f>
        <v>-0.695369123009761</v>
      </c>
      <c r="AN870" s="5" t="str">
        <f>IF($AM870="","",IF($AM870&gt;=Lookups!$K$6,"High spike",IF($AM870&lt;=-Lookups!$K$6,"Unusual low","Normal")))</f>
        <v>Normal</v>
      </c>
      <c r="AO870" s="20">
        <f>IF($V870&lt;&gt;1,"",$P870+ROW()/100000)</f>
        <v>51.0087</v>
      </c>
      <c r="AP870" s="5">
        <f>IF($A870="","",IFERROR(MATCH($A870,Raw_D1!$A$2:$A$1001,0),""))</f>
        <v/>
      </c>
      <c r="AQ870" s="5">
        <f>IF($A870="","",IFERROR(MATCH($A870,Raw_D2!$B$2:$B$1001,0),""))</f>
        <v/>
      </c>
      <c r="AR870" s="5">
        <f>IF($A870="","",IFERROR(MATCH($A870,Raw_D3!$A$2:$A$1001,0),""))</f>
        <v>250</v>
      </c>
    </row>
    <row r="871" spans="1:44" x14ac:dyDescent="0.25">
      <c r="A871" s="5">
        <v>870</v>
      </c>
      <c r="B871" s="11">
        <f>IF($A871="","",IF($AP871&lt;&gt;"",INDEX(Raw_D1!$B$2:$B$1001,$AP871),IF($AR871&lt;&gt;"",INDEX(Raw_D3!$B$2:$B$1001,$AR871),"")))</f>
        <v>40582.0</v>
      </c>
      <c r="C871" s="5">
        <f>IF($A871="","",IF($AP871&lt;&gt;"",INDEX(Raw_D1!$C$2:$C$1001,$AP871),IF($AR871&lt;&gt;"",INDEX(Raw_D3!$C$2:$C$1001,$AR871),"")))</f>
        <v>1</v>
      </c>
      <c r="D871" s="5">
        <f>IF($A871="","",IF($AP871&lt;&gt;"",INDEX(Raw_D1!$D$2:$D$1001,$AP871),IF($AR871&lt;&gt;"",INDEX(Raw_D3!$D$2:$D$1001,$AR871),"")))</f>
        <v>0</v>
      </c>
      <c r="E871" s="5">
        <f>IF($A871="","",IF($AP871&lt;&gt;"",INDEX(Raw_D1!$E$2:$E$1001,$AP871),IF($AR871&lt;&gt;"",INDEX(Raw_D3!$E$2:$E$1001,$AR871),"")))</f>
        <v>2</v>
      </c>
      <c r="F871" s="5">
        <f>IF($A871="","",IF($AP871&lt;&gt;"",INDEX(Raw_D1!$F$2:$F$1001,$AP871),IF($AR871&lt;&gt;"",INDEX(Raw_D3!$F$2:$F$1001,$AR871),"")))</f>
        <v>16</v>
      </c>
      <c r="G871" s="5">
        <f>IF($A871="","",IF($AP871&lt;&gt;"",IF(INDEX(Raw_D1!$G$2:$G$1001,$AP871),1,0),IF($AR871&lt;&gt;"",IF(INDEX(Raw_D3!$G$2:$G$1001,$AR871),1,0),"")))</f>
        <v>0</v>
      </c>
      <c r="H871" s="5">
        <f>IF($A871="","",IF($AP871&lt;&gt;"",INDEX(Raw_D1!$H$2:$H$1001,$AP871),IF($AR871&lt;&gt;"",INDEX(Raw_D3!$H$2:$H$1001,$AR871),"")))</f>
        <v>2</v>
      </c>
      <c r="I871" s="5">
        <f>IF($A871="","",IF($AP871&lt;&gt;"",INDEX(Raw_D1!$I$2:$I$1001,$AP871),IF($AR871&lt;&gt;"",INDEX(Raw_D3!$I$2:$I$1001,$AR871),"")))</f>
        <v>1</v>
      </c>
      <c r="J871" s="16">
        <f>IF($A871="","",IF($AP871&lt;&gt;"",INDEX(Raw_D1!$J$2:$J$1001,$AP871),IF($AR871&lt;&gt;"",INDEX(Raw_D3!$J$2:$J$1001,$AR871),"")))</f>
        <v>0.22</v>
      </c>
      <c r="K871" s="17">
        <f>IF($A871="","",IF($AQ871&lt;&gt;"",IF(INDEX(Raw_D2!$C$2:$C$1001,$AQ871)="","",INDEX(Raw_D2!$C$2:$C$1001,$AQ871)),IF($AR871&lt;&gt;"",IF(INDEX(Raw_D3!$K$2:$K$1001,$AR871)="","",INDEX(Raw_D3!$K$2:$K$1001,$AR871)),"")))</f>
        <v>0.1818</v>
      </c>
      <c r="L871" s="16">
        <f>IF($A871="","",IF($AQ871&lt;&gt;"",IF(INDEX(Raw_D2!$D$2:$D$1001,$AQ871)="","",INDEX(Raw_D2!$D$2:$D$1001,$AQ871)),IF($AR871&lt;&gt;"",IF(INDEX(Raw_D3!$L$2:$L$1001,$AR871)="","",INDEX(Raw_D3!$L$2:$L$1001,$AR871)),"")))</f>
        <v>0.35</v>
      </c>
      <c r="M871" s="17">
        <f>IF($A871="","",IF($AQ871&lt;&gt;"",IF(INDEX(Raw_D2!$E$2:$E$1001,$AQ871)="","",INDEX(Raw_D2!$E$2:$E$1001,$AQ871)),IF($AR871&lt;&gt;"",IF(INDEX(Raw_D3!$M$2:$M$1001,$AR871)="","",INDEX(Raw_D3!$M$2:$M$1001,$AR871)),"")))</f>
        <v>0.5224</v>
      </c>
      <c r="N871" s="5">
        <f>IF($A871="","",IF($AQ871&lt;&gt;"",IF(INDEX(Raw_D2!$F$2:$F$1001,$AQ871)="","",INDEX(Raw_D2!$F$2:$F$1001,$AQ871)),IF($AR871&lt;&gt;"",IF(INDEX(Raw_D3!$N$2:$N$1001,$AR871)="","",INDEX(Raw_D3!$N$2:$N$1001,$AR871)),"")))</f>
        <v>4</v>
      </c>
      <c r="O871" s="5">
        <f>IF($A871="","",IF($AQ871&lt;&gt;"",IF(INDEX(Raw_D2!$G$2:$G$1001,$AQ871)="","",INDEX(Raw_D2!$G$2:$G$1001,$AQ871)),IF($AR871&lt;&gt;"",IF(INDEX(Raw_D3!$O$2:$O$1001,$AR871)="","",INDEX(Raw_D3!$O$2:$O$1001,$AR871)),"")))</f>
        <v>79</v>
      </c>
      <c r="P871" s="5">
        <f>IF($A871="","",IF($AQ871&lt;&gt;"",IF(INDEX(Raw_D2!$H$2:$H$1001,$AQ871)="","",INDEX(Raw_D2!$H$2:$H$1001,$AQ871)),IF($AR871&lt;&gt;"",IF(INDEX(Raw_D3!$P$2:$P$1001,$AR871)="","",INDEX(Raw_D3!$P$2:$P$1001,$AR871)),"")))</f>
        <v>83</v>
      </c>
      <c r="Q871" s="5" t="str">
        <f>IF($A871="","",IF(AND($AP871&lt;&gt;"",$AQ871&lt;&gt;""),"D1+D2",IF($AR871&lt;&gt;"","D3","Incomplete")))</f>
        <v>D3</v>
      </c>
      <c r="R871" s="17">
        <f>IF($A871="","",IF($K871="",IF($J871="","",ROUND(Lookups!$K$5+Lookups!$K$4*$J871,4)),$K871))</f>
        <v>0.1818</v>
      </c>
      <c r="S871" s="5" t="str">
        <f>IF($A871="","",IF($K871="","Imputed","Original"))</f>
        <v>Original</v>
      </c>
      <c r="T871" s="5" t="str">
        <f>IF($A871="","",IF($P871="","Missing",IF($P871=$N871+$O871,"OK","Mismatch")))</f>
        <v>OK</v>
      </c>
      <c r="U871" s="5" t="str">
        <f>IF($A871="","",IF(COUNTIF($A$2:$A871,$A871)&gt;1,"Duplicate","Unique"))</f>
        <v>Unique</v>
      </c>
      <c r="V871" s="5">
        <f>IF($A871="","",IF(AND($U871="Unique",ISNUMBER($P871)),1,0))</f>
        <v>1</v>
      </c>
      <c r="W871" s="5" t="str">
        <f>IF($A871="","",IF(OR($H871=0,$H871=6),"Weekend","Weekday"))</f>
        <v>Weekday</v>
      </c>
      <c r="X871" s="5" t="str">
        <f>IF($A871="","",TEXT($B871,"ddd"))</f>
        <v>Tue</v>
      </c>
      <c r="Y871" s="5" t="str">
        <f>IF($A871="","",TEXT($B871,"mmm"))</f>
        <v>Feb</v>
      </c>
      <c r="Z871" s="5" t="str">
        <f>IF($A871="","",IFERROR(VLOOKUP($C871,Lookups!$D$4:$E$7,2,FALSE),"Unknown"))</f>
        <v>Winter</v>
      </c>
      <c r="AA871" s="5" t="str">
        <f>IF($A871="","",IFERROR(VLOOKUP($I871,Lookups!$A$4:$B$7,2,FALSE),"Unknown"))</f>
        <v>Clear</v>
      </c>
      <c r="AB871" s="5" t="str">
        <f>IF($A871="","",TEXT($F871,"00")&amp;":00")</f>
        <v>16:00</v>
      </c>
      <c r="AC871" s="5" t="str">
        <f>IF($A871="","",VLOOKUP($F871,Lookups!$G$4:$H$8,2,TRUE))</f>
        <v>Evening Peak (16-19)</v>
      </c>
      <c r="AD871" s="18">
        <f>IF($A871="","",IF($J871="","",ROUND($J871*41,1)))</f>
        <v>9</v>
      </c>
      <c r="AE871" s="18">
        <f>IF($A871="","",IF($R871="","",ROUND($R871*50,1)))</f>
        <v>9.1</v>
      </c>
      <c r="AF871" s="5">
        <f>IF($A871="","",IF($L871="","",ROUND($L871*100,0)))</f>
        <v>35</v>
      </c>
      <c r="AG871" s="18">
        <f>IF($A871="","",IF($M871="","",ROUND($M871*67,1)))</f>
        <v>35</v>
      </c>
      <c r="AH871" s="19">
        <f>IF($A871="","",IF($P871="","",IF($P871=0,0,$O871/$P871)))</f>
        <v>0.951807228915663</v>
      </c>
      <c r="AI871" s="5" t="str">
        <f>IF($A871="","",IF($P871="","",IF($P871&gt;=Lookups!$K$7,"High",IF($P871&lt;=Lookups!$K$8,"Low","Medium"))))</f>
        <v>High</v>
      </c>
      <c r="AJ871" s="5" t="str">
        <f>IF($A871="","",IF($AD871="","",IF($AD871&lt;5,"Under 5 C",IF($AD871&lt;10,"5-10 C",IF($AD871&lt;15,"10-15 C","15 C and above")))))</f>
        <v>5-10 C</v>
      </c>
      <c r="AK871" s="5">
        <f>IF($A871="","",IF($P871="","",$P871^2))</f>
        <v>6889</v>
      </c>
      <c r="AL871" s="18">
        <f>IF($V871&lt;&gt;1,"",AVERAGEIFS(Clean_Data!$P$2:$P$1001,Clean_Data!$F$2:$F$1001,$F871,Clean_Data!$W$2:$W$1001,$W871,Clean_Data!$V$2:$V$1001,1))</f>
        <v>82.6333333333333</v>
      </c>
      <c r="AM871" s="16">
        <f>IF($V871&lt;&gt;1,"",IFERROR(($P871-$AL871)/SQRT(MAX(0,(SUMIFS(Clean_Data!$AK$2:$AK$1001,Clean_Data!$F$2:$F$1001,$F871,Clean_Data!$W$2:$W$1001,$W871,Clean_Data!$V$2:$V$1001,1)-COUNTIFS(Clean_Data!$F$2:$F$1001,$F871,Clean_Data!$W$2:$W$1001,$W871,Clean_Data!$V$2:$V$1001,1)*$AL871^2)/(COUNTIFS(Clean_Data!$F$2:$F$1001,$F871,Clean_Data!$W$2:$W$1001,$W871,Clean_Data!$V$2:$V$1001,1)-1))),""))</f>
        <v>0.0176758829528858</v>
      </c>
      <c r="AN871" s="5" t="str">
        <f>IF($AM871="","",IF($AM871&gt;=Lookups!$K$6,"High spike",IF($AM871&lt;=-Lookups!$K$6,"Unusual low","Normal")))</f>
        <v>Normal</v>
      </c>
      <c r="AO871" s="20">
        <f>IF($V871&lt;&gt;1,"",$P871+ROW()/100000)</f>
        <v>83.00871</v>
      </c>
      <c r="AP871" s="5">
        <f>IF($A871="","",IFERROR(MATCH($A871,Raw_D1!$A$2:$A$1001,0),""))</f>
        <v/>
      </c>
      <c r="AQ871" s="5">
        <f>IF($A871="","",IFERROR(MATCH($A871,Raw_D2!$B$2:$B$1001,0),""))</f>
        <v/>
      </c>
      <c r="AR871" s="5">
        <f>IF($A871="","",IFERROR(MATCH($A871,Raw_D3!$A$2:$A$1001,0),""))</f>
        <v>251</v>
      </c>
    </row>
    <row r="872" spans="1:44" x14ac:dyDescent="0.25">
      <c r="A872" s="5">
        <v>871</v>
      </c>
      <c r="B872" s="11">
        <f>IF($A872="","",IF($AP872&lt;&gt;"",INDEX(Raw_D1!$B$2:$B$1001,$AP872),IF($AR872&lt;&gt;"",INDEX(Raw_D3!$B$2:$B$1001,$AR872),"")))</f>
        <v>40582.0</v>
      </c>
      <c r="C872" s="5">
        <f>IF($A872="","",IF($AP872&lt;&gt;"",INDEX(Raw_D1!$C$2:$C$1001,$AP872),IF($AR872&lt;&gt;"",INDEX(Raw_D3!$C$2:$C$1001,$AR872),"")))</f>
        <v>1</v>
      </c>
      <c r="D872" s="5">
        <f>IF($A872="","",IF($AP872&lt;&gt;"",INDEX(Raw_D1!$D$2:$D$1001,$AP872),IF($AR872&lt;&gt;"",INDEX(Raw_D3!$D$2:$D$1001,$AR872),"")))</f>
        <v>0</v>
      </c>
      <c r="E872" s="5">
        <f>IF($A872="","",IF($AP872&lt;&gt;"",INDEX(Raw_D1!$E$2:$E$1001,$AP872),IF($AR872&lt;&gt;"",INDEX(Raw_D3!$E$2:$E$1001,$AR872),"")))</f>
        <v>2</v>
      </c>
      <c r="F872" s="5">
        <f>IF($A872="","",IF($AP872&lt;&gt;"",INDEX(Raw_D1!$F$2:$F$1001,$AP872),IF($AR872&lt;&gt;"",INDEX(Raw_D3!$F$2:$F$1001,$AR872),"")))</f>
        <v>17</v>
      </c>
      <c r="G872" s="5">
        <f>IF($A872="","",IF($AP872&lt;&gt;"",IF(INDEX(Raw_D1!$G$2:$G$1001,$AP872),1,0),IF($AR872&lt;&gt;"",IF(INDEX(Raw_D3!$G$2:$G$1001,$AR872),1,0),"")))</f>
        <v>0</v>
      </c>
      <c r="H872" s="5">
        <f>IF($A872="","",IF($AP872&lt;&gt;"",INDEX(Raw_D1!$H$2:$H$1001,$AP872),IF($AR872&lt;&gt;"",INDEX(Raw_D3!$H$2:$H$1001,$AR872),"")))</f>
        <v>2</v>
      </c>
      <c r="I872" s="5">
        <f>IF($A872="","",IF($AP872&lt;&gt;"",INDEX(Raw_D1!$I$2:$I$1001,$AP872),IF($AR872&lt;&gt;"",INDEX(Raw_D3!$I$2:$I$1001,$AR872),"")))</f>
        <v>1</v>
      </c>
      <c r="J872" s="16">
        <f>IF($A872="","",IF($AP872&lt;&gt;"",INDEX(Raw_D1!$J$2:$J$1001,$AP872),IF($AR872&lt;&gt;"",INDEX(Raw_D3!$J$2:$J$1001,$AR872),"")))</f>
        <v>0.22</v>
      </c>
      <c r="K872" s="17">
        <f>IF($A872="","",IF($AQ872&lt;&gt;"",IF(INDEX(Raw_D2!$C$2:$C$1001,$AQ872)="","",INDEX(Raw_D2!$C$2:$C$1001,$AQ872)),IF($AR872&lt;&gt;"",IF(INDEX(Raw_D3!$K$2:$K$1001,$AR872)="","",INDEX(Raw_D3!$K$2:$K$1001,$AR872)),"")))</f>
        <v>0.1818</v>
      </c>
      <c r="L872" s="16">
        <f>IF($A872="","",IF($AQ872&lt;&gt;"",IF(INDEX(Raw_D2!$D$2:$D$1001,$AQ872)="","",INDEX(Raw_D2!$D$2:$D$1001,$AQ872)),IF($AR872&lt;&gt;"",IF(INDEX(Raw_D3!$L$2:$L$1001,$AR872)="","",INDEX(Raw_D3!$L$2:$L$1001,$AR872)),"")))</f>
        <v>0.32</v>
      </c>
      <c r="M872" s="17">
        <f>IF($A872="","",IF($AQ872&lt;&gt;"",IF(INDEX(Raw_D2!$E$2:$E$1001,$AQ872)="","",INDEX(Raw_D2!$E$2:$E$1001,$AQ872)),IF($AR872&lt;&gt;"",IF(INDEX(Raw_D3!$M$2:$M$1001,$AR872)="","",INDEX(Raw_D3!$M$2:$M$1001,$AR872)),"")))</f>
        <v>0.5821</v>
      </c>
      <c r="N872" s="5">
        <f>IF($A872="","",IF($AQ872&lt;&gt;"",IF(INDEX(Raw_D2!$F$2:$F$1001,$AQ872)="","",INDEX(Raw_D2!$F$2:$F$1001,$AQ872)),IF($AR872&lt;&gt;"",IF(INDEX(Raw_D3!$N$2:$N$1001,$AR872)="","",INDEX(Raw_D3!$N$2:$N$1001,$AR872)),"")))</f>
        <v>4</v>
      </c>
      <c r="O872" s="5">
        <f>IF($A872="","",IF($AQ872&lt;&gt;"",IF(INDEX(Raw_D2!$G$2:$G$1001,$AQ872)="","",INDEX(Raw_D2!$G$2:$G$1001,$AQ872)),IF($AR872&lt;&gt;"",IF(INDEX(Raw_D3!$O$2:$O$1001,$AR872)="","",INDEX(Raw_D3!$O$2:$O$1001,$AR872)),"")))</f>
        <v>172</v>
      </c>
      <c r="P872" s="5">
        <f>IF($A872="","",IF($AQ872&lt;&gt;"",IF(INDEX(Raw_D2!$H$2:$H$1001,$AQ872)="","",INDEX(Raw_D2!$H$2:$H$1001,$AQ872)),IF($AR872&lt;&gt;"",IF(INDEX(Raw_D3!$P$2:$P$1001,$AR872)="","",INDEX(Raw_D3!$P$2:$P$1001,$AR872)),"")))</f>
        <v>176</v>
      </c>
      <c r="Q872" s="5" t="str">
        <f>IF($A872="","",IF(AND($AP872&lt;&gt;"",$AQ872&lt;&gt;""),"D1+D2",IF($AR872&lt;&gt;"","D3","Incomplete")))</f>
        <v>D3</v>
      </c>
      <c r="R872" s="17">
        <f>IF($A872="","",IF($K872="",IF($J872="","",ROUND(Lookups!$K$5+Lookups!$K$4*$J872,4)),$K872))</f>
        <v>0.1818</v>
      </c>
      <c r="S872" s="5" t="str">
        <f>IF($A872="","",IF($K872="","Imputed","Original"))</f>
        <v>Original</v>
      </c>
      <c r="T872" s="5" t="str">
        <f>IF($A872="","",IF($P872="","Missing",IF($P872=$N872+$O872,"OK","Mismatch")))</f>
        <v>OK</v>
      </c>
      <c r="U872" s="5" t="str">
        <f>IF($A872="","",IF(COUNTIF($A$2:$A872,$A872)&gt;1,"Duplicate","Unique"))</f>
        <v>Unique</v>
      </c>
      <c r="V872" s="5">
        <f>IF($A872="","",IF(AND($U872="Unique",ISNUMBER($P872)),1,0))</f>
        <v>1</v>
      </c>
      <c r="W872" s="5" t="str">
        <f>IF($A872="","",IF(OR($H872=0,$H872=6),"Weekend","Weekday"))</f>
        <v>Weekday</v>
      </c>
      <c r="X872" s="5" t="str">
        <f>IF($A872="","",TEXT($B872,"ddd"))</f>
        <v>Tue</v>
      </c>
      <c r="Y872" s="5" t="str">
        <f>IF($A872="","",TEXT($B872,"mmm"))</f>
        <v>Feb</v>
      </c>
      <c r="Z872" s="5" t="str">
        <f>IF($A872="","",IFERROR(VLOOKUP($C872,Lookups!$D$4:$E$7,2,FALSE),"Unknown"))</f>
        <v>Winter</v>
      </c>
      <c r="AA872" s="5" t="str">
        <f>IF($A872="","",IFERROR(VLOOKUP($I872,Lookups!$A$4:$B$7,2,FALSE),"Unknown"))</f>
        <v>Clear</v>
      </c>
      <c r="AB872" s="5" t="str">
        <f>IF($A872="","",TEXT($F872,"00")&amp;":00")</f>
        <v>17:00</v>
      </c>
      <c r="AC872" s="5" t="str">
        <f>IF($A872="","",VLOOKUP($F872,Lookups!$G$4:$H$8,2,TRUE))</f>
        <v>Evening Peak (16-19)</v>
      </c>
      <c r="AD872" s="18">
        <f>IF($A872="","",IF($J872="","",ROUND($J872*41,1)))</f>
        <v>9</v>
      </c>
      <c r="AE872" s="18">
        <f>IF($A872="","",IF($R872="","",ROUND($R872*50,1)))</f>
        <v>9.1</v>
      </c>
      <c r="AF872" s="5">
        <f>IF($A872="","",IF($L872="","",ROUND($L872*100,0)))</f>
        <v>32</v>
      </c>
      <c r="AG872" s="18">
        <f>IF($A872="","",IF($M872="","",ROUND($M872*67,1)))</f>
        <v>39</v>
      </c>
      <c r="AH872" s="19">
        <f>IF($A872="","",IF($P872="","",IF($P872=0,0,$O872/$P872)))</f>
        <v>0.977272727272727</v>
      </c>
      <c r="AI872" s="5" t="str">
        <f>IF($A872="","",IF($P872="","",IF($P872&gt;=Lookups!$K$7,"High",IF($P872&lt;=Lookups!$K$8,"Low","Medium"))))</f>
        <v>High</v>
      </c>
      <c r="AJ872" s="5" t="str">
        <f>IF($A872="","",IF($AD872="","",IF($AD872&lt;5,"Under 5 C",IF($AD872&lt;10,"5-10 C",IF($AD872&lt;15,"10-15 C","15 C and above")))))</f>
        <v>5-10 C</v>
      </c>
      <c r="AK872" s="5">
        <f>IF($A872="","",IF($P872="","",$P872^2))</f>
        <v>30976</v>
      </c>
      <c r="AL872" s="18">
        <f>IF($V872&lt;&gt;1,"",AVERAGEIFS(Clean_Data!$P$2:$P$1001,Clean_Data!$F$2:$F$1001,$F872,Clean_Data!$W$2:$W$1001,$W872,Clean_Data!$V$2:$V$1001,1))</f>
        <v>165.566666666667</v>
      </c>
      <c r="AM872" s="16">
        <f>IF($V872&lt;&gt;1,"",IFERROR(($P872-$AL872)/SQRT(MAX(0,(SUMIFS(Clean_Data!$AK$2:$AK$1001,Clean_Data!$F$2:$F$1001,$F872,Clean_Data!$W$2:$W$1001,$W872,Clean_Data!$V$2:$V$1001,1)-COUNTIFS(Clean_Data!$F$2:$F$1001,$F872,Clean_Data!$W$2:$W$1001,$W872,Clean_Data!$V$2:$V$1001,1)*$AL872^2)/(COUNTIFS(Clean_Data!$F$2:$F$1001,$F872,Clean_Data!$W$2:$W$1001,$W872,Clean_Data!$V$2:$V$1001,1)-1))),""))</f>
        <v>0.237050782337012</v>
      </c>
      <c r="AN872" s="5" t="str">
        <f>IF($AM872="","",IF($AM872&gt;=Lookups!$K$6,"High spike",IF($AM872&lt;=-Lookups!$K$6,"Unusual low","Normal")))</f>
        <v>Normal</v>
      </c>
      <c r="AO872" s="20">
        <f>IF($V872&lt;&gt;1,"",$P872+ROW()/100000)</f>
        <v>176.00872</v>
      </c>
      <c r="AP872" s="5">
        <f>IF($A872="","",IFERROR(MATCH($A872,Raw_D1!$A$2:$A$1001,0),""))</f>
        <v/>
      </c>
      <c r="AQ872" s="5">
        <f>IF($A872="","",IFERROR(MATCH($A872,Raw_D2!$B$2:$B$1001,0),""))</f>
        <v/>
      </c>
      <c r="AR872" s="5">
        <f>IF($A872="","",IFERROR(MATCH($A872,Raw_D3!$A$2:$A$1001,0),""))</f>
        <v>252</v>
      </c>
    </row>
    <row r="873" spans="1:44" x14ac:dyDescent="0.25">
      <c r="A873" s="5">
        <v>872</v>
      </c>
      <c r="B873" s="11">
        <f>IF($A873="","",IF($AP873&lt;&gt;"",INDEX(Raw_D1!$B$2:$B$1001,$AP873),IF($AR873&lt;&gt;"",INDEX(Raw_D3!$B$2:$B$1001,$AR873),"")))</f>
        <v>40582.0</v>
      </c>
      <c r="C873" s="5">
        <f>IF($A873="","",IF($AP873&lt;&gt;"",INDEX(Raw_D1!$C$2:$C$1001,$AP873),IF($AR873&lt;&gt;"",INDEX(Raw_D3!$C$2:$C$1001,$AR873),"")))</f>
        <v>1</v>
      </c>
      <c r="D873" s="5">
        <f>IF($A873="","",IF($AP873&lt;&gt;"",INDEX(Raw_D1!$D$2:$D$1001,$AP873),IF($AR873&lt;&gt;"",INDEX(Raw_D3!$D$2:$D$1001,$AR873),"")))</f>
        <v>0</v>
      </c>
      <c r="E873" s="5">
        <f>IF($A873="","",IF($AP873&lt;&gt;"",INDEX(Raw_D1!$E$2:$E$1001,$AP873),IF($AR873&lt;&gt;"",INDEX(Raw_D3!$E$2:$E$1001,$AR873),"")))</f>
        <v>2</v>
      </c>
      <c r="F873" s="5">
        <f>IF($A873="","",IF($AP873&lt;&gt;"",INDEX(Raw_D1!$F$2:$F$1001,$AP873),IF($AR873&lt;&gt;"",INDEX(Raw_D3!$F$2:$F$1001,$AR873),"")))</f>
        <v>18</v>
      </c>
      <c r="G873" s="5">
        <f>IF($A873="","",IF($AP873&lt;&gt;"",IF(INDEX(Raw_D1!$G$2:$G$1001,$AP873),1,0),IF($AR873&lt;&gt;"",IF(INDEX(Raw_D3!$G$2:$G$1001,$AR873),1,0),"")))</f>
        <v>0</v>
      </c>
      <c r="H873" s="5">
        <f>IF($A873="","",IF($AP873&lt;&gt;"",INDEX(Raw_D1!$H$2:$H$1001,$AP873),IF($AR873&lt;&gt;"",INDEX(Raw_D3!$H$2:$H$1001,$AR873),"")))</f>
        <v>2</v>
      </c>
      <c r="I873" s="5">
        <f>IF($A873="","",IF($AP873&lt;&gt;"",INDEX(Raw_D1!$I$2:$I$1001,$AP873),IF($AR873&lt;&gt;"",INDEX(Raw_D3!$I$2:$I$1001,$AR873),"")))</f>
        <v>1</v>
      </c>
      <c r="J873" s="16">
        <f>IF($A873="","",IF($AP873&lt;&gt;"",INDEX(Raw_D1!$J$2:$J$1001,$AP873),IF($AR873&lt;&gt;"",INDEX(Raw_D3!$J$2:$J$1001,$AR873),"")))</f>
        <v>0.2</v>
      </c>
      <c r="K873" s="17">
        <f>IF($A873="","",IF($AQ873&lt;&gt;"",IF(INDEX(Raw_D2!$C$2:$C$1001,$AQ873)="","",INDEX(Raw_D2!$C$2:$C$1001,$AQ873)),IF($AR873&lt;&gt;"",IF(INDEX(Raw_D3!$K$2:$K$1001,$AR873)="","",INDEX(Raw_D3!$K$2:$K$1001,$AR873)),"")))</f>
        <v>0.1818</v>
      </c>
      <c r="L873" s="16">
        <f>IF($A873="","",IF($AQ873&lt;&gt;"",IF(INDEX(Raw_D2!$D$2:$D$1001,$AQ873)="","",INDEX(Raw_D2!$D$2:$D$1001,$AQ873)),IF($AR873&lt;&gt;"",IF(INDEX(Raw_D3!$L$2:$L$1001,$AR873)="","",INDEX(Raw_D3!$L$2:$L$1001,$AR873)),"")))</f>
        <v>0.32</v>
      </c>
      <c r="M873" s="17">
        <f>IF($A873="","",IF($AQ873&lt;&gt;"",IF(INDEX(Raw_D2!$E$2:$E$1001,$AQ873)="","",INDEX(Raw_D2!$E$2:$E$1001,$AQ873)),IF($AR873&lt;&gt;"",IF(INDEX(Raw_D3!$M$2:$M$1001,$AR873)="","",INDEX(Raw_D3!$M$2:$M$1001,$AR873)),"")))</f>
        <v>0.3881</v>
      </c>
      <c r="N873" s="5">
        <f>IF($A873="","",IF($AQ873&lt;&gt;"",IF(INDEX(Raw_D2!$F$2:$F$1001,$AQ873)="","",INDEX(Raw_D2!$F$2:$F$1001,$AQ873)),IF($AR873&lt;&gt;"",IF(INDEX(Raw_D3!$N$2:$N$1001,$AR873)="","",INDEX(Raw_D3!$N$2:$N$1001,$AR873)),"")))</f>
        <v>1</v>
      </c>
      <c r="O873" s="5">
        <f>IF($A873="","",IF($AQ873&lt;&gt;"",IF(INDEX(Raw_D2!$G$2:$G$1001,$AQ873)="","",INDEX(Raw_D2!$G$2:$G$1001,$AQ873)),IF($AR873&lt;&gt;"",IF(INDEX(Raw_D3!$O$2:$O$1001,$AR873)="","",INDEX(Raw_D3!$O$2:$O$1001,$AR873)),"")))</f>
        <v>151</v>
      </c>
      <c r="P873" s="5">
        <f>IF($A873="","",IF($AQ873&lt;&gt;"",IF(INDEX(Raw_D2!$H$2:$H$1001,$AQ873)="","",INDEX(Raw_D2!$H$2:$H$1001,$AQ873)),IF($AR873&lt;&gt;"",IF(INDEX(Raw_D3!$P$2:$P$1001,$AR873)="","",INDEX(Raw_D3!$P$2:$P$1001,$AR873)),"")))</f>
        <v>152</v>
      </c>
      <c r="Q873" s="5" t="str">
        <f>IF($A873="","",IF(AND($AP873&lt;&gt;"",$AQ873&lt;&gt;""),"D1+D2",IF($AR873&lt;&gt;"","D3","Incomplete")))</f>
        <v>D3</v>
      </c>
      <c r="R873" s="17">
        <f>IF($A873="","",IF($K873="",IF($J873="","",ROUND(Lookups!$K$5+Lookups!$K$4*$J873,4)),$K873))</f>
        <v>0.1818</v>
      </c>
      <c r="S873" s="5" t="str">
        <f>IF($A873="","",IF($K873="","Imputed","Original"))</f>
        <v>Original</v>
      </c>
      <c r="T873" s="5" t="str">
        <f>IF($A873="","",IF($P873="","Missing",IF($P873=$N873+$O873,"OK","Mismatch")))</f>
        <v>OK</v>
      </c>
      <c r="U873" s="5" t="str">
        <f>IF($A873="","",IF(COUNTIF($A$2:$A873,$A873)&gt;1,"Duplicate","Unique"))</f>
        <v>Unique</v>
      </c>
      <c r="V873" s="5">
        <f>IF($A873="","",IF(AND($U873="Unique",ISNUMBER($P873)),1,0))</f>
        <v>1</v>
      </c>
      <c r="W873" s="5" t="str">
        <f>IF($A873="","",IF(OR($H873=0,$H873=6),"Weekend","Weekday"))</f>
        <v>Weekday</v>
      </c>
      <c r="X873" s="5" t="str">
        <f>IF($A873="","",TEXT($B873,"ddd"))</f>
        <v>Tue</v>
      </c>
      <c r="Y873" s="5" t="str">
        <f>IF($A873="","",TEXT($B873,"mmm"))</f>
        <v>Feb</v>
      </c>
      <c r="Z873" s="5" t="str">
        <f>IF($A873="","",IFERROR(VLOOKUP($C873,Lookups!$D$4:$E$7,2,FALSE),"Unknown"))</f>
        <v>Winter</v>
      </c>
      <c r="AA873" s="5" t="str">
        <f>IF($A873="","",IFERROR(VLOOKUP($I873,Lookups!$A$4:$B$7,2,FALSE),"Unknown"))</f>
        <v>Clear</v>
      </c>
      <c r="AB873" s="5" t="str">
        <f>IF($A873="","",TEXT($F873,"00")&amp;":00")</f>
        <v>18:00</v>
      </c>
      <c r="AC873" s="5" t="str">
        <f>IF($A873="","",VLOOKUP($F873,Lookups!$G$4:$H$8,2,TRUE))</f>
        <v>Evening Peak (16-19)</v>
      </c>
      <c r="AD873" s="18">
        <f>IF($A873="","",IF($J873="","",ROUND($J873*41,1)))</f>
        <v>8.2</v>
      </c>
      <c r="AE873" s="18">
        <f>IF($A873="","",IF($R873="","",ROUND($R873*50,1)))</f>
        <v>9.1</v>
      </c>
      <c r="AF873" s="5">
        <f>IF($A873="","",IF($L873="","",ROUND($L873*100,0)))</f>
        <v>32</v>
      </c>
      <c r="AG873" s="18">
        <f>IF($A873="","",IF($M873="","",ROUND($M873*67,1)))</f>
        <v>26</v>
      </c>
      <c r="AH873" s="19">
        <f>IF($A873="","",IF($P873="","",IF($P873=0,0,$O873/$P873)))</f>
        <v>0.993421052631579</v>
      </c>
      <c r="AI873" s="5" t="str">
        <f>IF($A873="","",IF($P873="","",IF($P873&gt;=Lookups!$K$7,"High",IF($P873&lt;=Lookups!$K$8,"Low","Medium"))))</f>
        <v>High</v>
      </c>
      <c r="AJ873" s="5" t="str">
        <f>IF($A873="","",IF($AD873="","",IF($AD873&lt;5,"Under 5 C",IF($AD873&lt;10,"5-10 C",IF($AD873&lt;15,"10-15 C","15 C and above")))))</f>
        <v>5-10 C</v>
      </c>
      <c r="AK873" s="5">
        <f>IF($A873="","",IF($P873="","",$P873^2))</f>
        <v>23104</v>
      </c>
      <c r="AL873" s="18">
        <f>IF($V873&lt;&gt;1,"",AVERAGEIFS(Clean_Data!$P$2:$P$1001,Clean_Data!$F$2:$F$1001,$F873,Clean_Data!$W$2:$W$1001,$W873,Clean_Data!$V$2:$V$1001,1))</f>
        <v>151.206896551724</v>
      </c>
      <c r="AM873" s="16">
        <f>IF($V873&lt;&gt;1,"",IFERROR(($P873-$AL873)/SQRT(MAX(0,(SUMIFS(Clean_Data!$AK$2:$AK$1001,Clean_Data!$F$2:$F$1001,$F873,Clean_Data!$W$2:$W$1001,$W873,Clean_Data!$V$2:$V$1001,1)-COUNTIFS(Clean_Data!$F$2:$F$1001,$F873,Clean_Data!$W$2:$W$1001,$W873,Clean_Data!$V$2:$V$1001,1)*$AL873^2)/(COUNTIFS(Clean_Data!$F$2:$F$1001,$F873,Clean_Data!$W$2:$W$1001,$W873,Clean_Data!$V$2:$V$1001,1)-1))),""))</f>
        <v>0.0270228641670631</v>
      </c>
      <c r="AN873" s="5" t="str">
        <f>IF($AM873="","",IF($AM873&gt;=Lookups!$K$6,"High spike",IF($AM873&lt;=-Lookups!$K$6,"Unusual low","Normal")))</f>
        <v>Normal</v>
      </c>
      <c r="AO873" s="20">
        <f>IF($V873&lt;&gt;1,"",$P873+ROW()/100000)</f>
        <v>152.00873</v>
      </c>
      <c r="AP873" s="5">
        <f>IF($A873="","",IFERROR(MATCH($A873,Raw_D1!$A$2:$A$1001,0),""))</f>
        <v/>
      </c>
      <c r="AQ873" s="5">
        <f>IF($A873="","",IFERROR(MATCH($A873,Raw_D2!$B$2:$B$1001,0),""))</f>
        <v/>
      </c>
      <c r="AR873" s="5">
        <f>IF($A873="","",IFERROR(MATCH($A873,Raw_D3!$A$2:$A$1001,0),""))</f>
        <v>253</v>
      </c>
    </row>
    <row r="874" spans="1:44" x14ac:dyDescent="0.25">
      <c r="A874" s="5">
        <v>873</v>
      </c>
      <c r="B874" s="11">
        <f>IF($A874="","",IF($AP874&lt;&gt;"",INDEX(Raw_D1!$B$2:$B$1001,$AP874),IF($AR874&lt;&gt;"",INDEX(Raw_D3!$B$2:$B$1001,$AR874),"")))</f>
        <v>40582.0</v>
      </c>
      <c r="C874" s="5">
        <f>IF($A874="","",IF($AP874&lt;&gt;"",INDEX(Raw_D1!$C$2:$C$1001,$AP874),IF($AR874&lt;&gt;"",INDEX(Raw_D3!$C$2:$C$1001,$AR874),"")))</f>
        <v>1</v>
      </c>
      <c r="D874" s="5">
        <f>IF($A874="","",IF($AP874&lt;&gt;"",INDEX(Raw_D1!$D$2:$D$1001,$AP874),IF($AR874&lt;&gt;"",INDEX(Raw_D3!$D$2:$D$1001,$AR874),"")))</f>
        <v>0</v>
      </c>
      <c r="E874" s="5">
        <f>IF($A874="","",IF($AP874&lt;&gt;"",INDEX(Raw_D1!$E$2:$E$1001,$AP874),IF($AR874&lt;&gt;"",INDEX(Raw_D3!$E$2:$E$1001,$AR874),"")))</f>
        <v>2</v>
      </c>
      <c r="F874" s="5">
        <f>IF($A874="","",IF($AP874&lt;&gt;"",INDEX(Raw_D1!$F$2:$F$1001,$AP874),IF($AR874&lt;&gt;"",INDEX(Raw_D3!$F$2:$F$1001,$AR874),"")))</f>
        <v>19</v>
      </c>
      <c r="G874" s="5">
        <f>IF($A874="","",IF($AP874&lt;&gt;"",IF(INDEX(Raw_D1!$G$2:$G$1001,$AP874),1,0),IF($AR874&lt;&gt;"",IF(INDEX(Raw_D3!$G$2:$G$1001,$AR874),1,0),"")))</f>
        <v>0</v>
      </c>
      <c r="H874" s="5">
        <f>IF($A874="","",IF($AP874&lt;&gt;"",INDEX(Raw_D1!$H$2:$H$1001,$AP874),IF($AR874&lt;&gt;"",INDEX(Raw_D3!$H$2:$H$1001,$AR874),"")))</f>
        <v>2</v>
      </c>
      <c r="I874" s="5">
        <f>IF($A874="","",IF($AP874&lt;&gt;"",INDEX(Raw_D1!$I$2:$I$1001,$AP874),IF($AR874&lt;&gt;"",INDEX(Raw_D3!$I$2:$I$1001,$AR874),"")))</f>
        <v>1</v>
      </c>
      <c r="J874" s="16">
        <f>IF($A874="","",IF($AP874&lt;&gt;"",INDEX(Raw_D1!$J$2:$J$1001,$AP874),IF($AR874&lt;&gt;"",INDEX(Raw_D3!$J$2:$J$1001,$AR874),"")))</f>
        <v>0.16</v>
      </c>
      <c r="K874" s="17">
        <f>IF($A874="","",IF($AQ874&lt;&gt;"",IF(INDEX(Raw_D2!$C$2:$C$1001,$AQ874)="","",INDEX(Raw_D2!$C$2:$C$1001,$AQ874)),IF($AR874&lt;&gt;"",IF(INDEX(Raw_D3!$K$2:$K$1001,$AR874)="","",INDEX(Raw_D3!$K$2:$K$1001,$AR874)),"")))</f>
        <v>0.1212</v>
      </c>
      <c r="L874" s="16">
        <f>IF($A874="","",IF($AQ874&lt;&gt;"",IF(INDEX(Raw_D2!$D$2:$D$1001,$AQ874)="","",INDEX(Raw_D2!$D$2:$D$1001,$AQ874)),IF($AR874&lt;&gt;"",IF(INDEX(Raw_D3!$L$2:$L$1001,$AR874)="","",INDEX(Raw_D3!$L$2:$L$1001,$AR874)),"")))</f>
        <v>0.4</v>
      </c>
      <c r="M874" s="17">
        <f>IF($A874="","",IF($AQ874&lt;&gt;"",IF(INDEX(Raw_D2!$E$2:$E$1001,$AQ874)="","",INDEX(Raw_D2!$E$2:$E$1001,$AQ874)),IF($AR874&lt;&gt;"",IF(INDEX(Raw_D3!$M$2:$M$1001,$AR874)="","",INDEX(Raw_D3!$M$2:$M$1001,$AR874)),"")))</f>
        <v>0.4627</v>
      </c>
      <c r="N874" s="5">
        <f>IF($A874="","",IF($AQ874&lt;&gt;"",IF(INDEX(Raw_D2!$F$2:$F$1001,$AQ874)="","",INDEX(Raw_D2!$F$2:$F$1001,$AQ874)),IF($AR874&lt;&gt;"",IF(INDEX(Raw_D3!$N$2:$N$1001,$AR874)="","",INDEX(Raw_D3!$N$2:$N$1001,$AR874)),"")))</f>
        <v>1</v>
      </c>
      <c r="O874" s="5">
        <f>IF($A874="","",IF($AQ874&lt;&gt;"",IF(INDEX(Raw_D2!$G$2:$G$1001,$AQ874)="","",INDEX(Raw_D2!$G$2:$G$1001,$AQ874)),IF($AR874&lt;&gt;"",IF(INDEX(Raw_D3!$O$2:$O$1001,$AR874)="","",INDEX(Raw_D3!$O$2:$O$1001,$AR874)),"")))</f>
        <v>100</v>
      </c>
      <c r="P874" s="5">
        <f>IF($A874="","",IF($AQ874&lt;&gt;"",IF(INDEX(Raw_D2!$H$2:$H$1001,$AQ874)="","",INDEX(Raw_D2!$H$2:$H$1001,$AQ874)),IF($AR874&lt;&gt;"",IF(INDEX(Raw_D3!$P$2:$P$1001,$AR874)="","",INDEX(Raw_D3!$P$2:$P$1001,$AR874)),"")))</f>
        <v>101</v>
      </c>
      <c r="Q874" s="5" t="str">
        <f>IF($A874="","",IF(AND($AP874&lt;&gt;"",$AQ874&lt;&gt;""),"D1+D2",IF($AR874&lt;&gt;"","D3","Incomplete")))</f>
        <v>D3</v>
      </c>
      <c r="R874" s="17">
        <f>IF($A874="","",IF($K874="",IF($J874="","",ROUND(Lookups!$K$5+Lookups!$K$4*$J874,4)),$K874))</f>
        <v>0.1212</v>
      </c>
      <c r="S874" s="5" t="str">
        <f>IF($A874="","",IF($K874="","Imputed","Original"))</f>
        <v>Original</v>
      </c>
      <c r="T874" s="5" t="str">
        <f>IF($A874="","",IF($P874="","Missing",IF($P874=$N874+$O874,"OK","Mismatch")))</f>
        <v>OK</v>
      </c>
      <c r="U874" s="5" t="str">
        <f>IF($A874="","",IF(COUNTIF($A$2:$A874,$A874)&gt;1,"Duplicate","Unique"))</f>
        <v>Unique</v>
      </c>
      <c r="V874" s="5">
        <f>IF($A874="","",IF(AND($U874="Unique",ISNUMBER($P874)),1,0))</f>
        <v>1</v>
      </c>
      <c r="W874" s="5" t="str">
        <f>IF($A874="","",IF(OR($H874=0,$H874=6),"Weekend","Weekday"))</f>
        <v>Weekday</v>
      </c>
      <c r="X874" s="5" t="str">
        <f>IF($A874="","",TEXT($B874,"ddd"))</f>
        <v>Tue</v>
      </c>
      <c r="Y874" s="5" t="str">
        <f>IF($A874="","",TEXT($B874,"mmm"))</f>
        <v>Feb</v>
      </c>
      <c r="Z874" s="5" t="str">
        <f>IF($A874="","",IFERROR(VLOOKUP($C874,Lookups!$D$4:$E$7,2,FALSE),"Unknown"))</f>
        <v>Winter</v>
      </c>
      <c r="AA874" s="5" t="str">
        <f>IF($A874="","",IFERROR(VLOOKUP($I874,Lookups!$A$4:$B$7,2,FALSE),"Unknown"))</f>
        <v>Clear</v>
      </c>
      <c r="AB874" s="5" t="str">
        <f>IF($A874="","",TEXT($F874,"00")&amp;":00")</f>
        <v>19:00</v>
      </c>
      <c r="AC874" s="5" t="str">
        <f>IF($A874="","",VLOOKUP($F874,Lookups!$G$4:$H$8,2,TRUE))</f>
        <v>Evening Peak (16-19)</v>
      </c>
      <c r="AD874" s="18">
        <f>IF($A874="","",IF($J874="","",ROUND($J874*41,1)))</f>
        <v>6.6</v>
      </c>
      <c r="AE874" s="18">
        <f>IF($A874="","",IF($R874="","",ROUND($R874*50,1)))</f>
        <v>6.1</v>
      </c>
      <c r="AF874" s="5">
        <f>IF($A874="","",IF($L874="","",ROUND($L874*100,0)))</f>
        <v>40</v>
      </c>
      <c r="AG874" s="18">
        <f>IF($A874="","",IF($M874="","",ROUND($M874*67,1)))</f>
        <v>31</v>
      </c>
      <c r="AH874" s="19">
        <f>IF($A874="","",IF($P874="","",IF($P874=0,0,$O874/$P874)))</f>
        <v>0.99009900990099</v>
      </c>
      <c r="AI874" s="5" t="str">
        <f>IF($A874="","",IF($P874="","",IF($P874&gt;=Lookups!$K$7,"High",IF($P874&lt;=Lookups!$K$8,"Low","Medium"))))</f>
        <v>High</v>
      </c>
      <c r="AJ874" s="5" t="str">
        <f>IF($A874="","",IF($AD874="","",IF($AD874&lt;5,"Under 5 C",IF($AD874&lt;10,"5-10 C",IF($AD874&lt;15,"10-15 C","15 C and above")))))</f>
        <v>5-10 C</v>
      </c>
      <c r="AK874" s="5">
        <f>IF($A874="","",IF($P874="","",$P874^2))</f>
        <v>10201</v>
      </c>
      <c r="AL874" s="18">
        <f>IF($V874&lt;&gt;1,"",AVERAGEIFS(Clean_Data!$P$2:$P$1001,Clean_Data!$F$2:$F$1001,$F874,Clean_Data!$W$2:$W$1001,$W874,Clean_Data!$V$2:$V$1001,1))</f>
        <v>102.034482758621</v>
      </c>
      <c r="AM874" s="16">
        <f>IF($V874&lt;&gt;1,"",IFERROR(($P874-$AL874)/SQRT(MAX(0,(SUMIFS(Clean_Data!$AK$2:$AK$1001,Clean_Data!$F$2:$F$1001,$F874,Clean_Data!$W$2:$W$1001,$W874,Clean_Data!$V$2:$V$1001,1)-COUNTIFS(Clean_Data!$F$2:$F$1001,$F874,Clean_Data!$W$2:$W$1001,$W874,Clean_Data!$V$2:$V$1001,1)*$AL874^2)/(COUNTIFS(Clean_Data!$F$2:$F$1001,$F874,Clean_Data!$W$2:$W$1001,$W874,Clean_Data!$V$2:$V$1001,1)-1))),""))</f>
        <v>-0.0486869029388089</v>
      </c>
      <c r="AN874" s="5" t="str">
        <f>IF($AM874="","",IF($AM874&gt;=Lookups!$K$6,"High spike",IF($AM874&lt;=-Lookups!$K$6,"Unusual low","Normal")))</f>
        <v>Normal</v>
      </c>
      <c r="AO874" s="20">
        <f>IF($V874&lt;&gt;1,"",$P874+ROW()/100000)</f>
        <v>101.00874</v>
      </c>
      <c r="AP874" s="5">
        <f>IF($A874="","",IFERROR(MATCH($A874,Raw_D1!$A$2:$A$1001,0),""))</f>
        <v/>
      </c>
      <c r="AQ874" s="5">
        <f>IF($A874="","",IFERROR(MATCH($A874,Raw_D2!$B$2:$B$1001,0),""))</f>
        <v/>
      </c>
      <c r="AR874" s="5">
        <f>IF($A874="","",IFERROR(MATCH($A874,Raw_D3!$A$2:$A$1001,0),""))</f>
        <v>254</v>
      </c>
    </row>
    <row r="875" spans="1:44" x14ac:dyDescent="0.25">
      <c r="A875" s="5">
        <v>874</v>
      </c>
      <c r="B875" s="11">
        <f>IF($A875="","",IF($AP875&lt;&gt;"",INDEX(Raw_D1!$B$2:$B$1001,$AP875),IF($AR875&lt;&gt;"",INDEX(Raw_D3!$B$2:$B$1001,$AR875),"")))</f>
        <v>40582.0</v>
      </c>
      <c r="C875" s="5">
        <f>IF($A875="","",IF($AP875&lt;&gt;"",INDEX(Raw_D1!$C$2:$C$1001,$AP875),IF($AR875&lt;&gt;"",INDEX(Raw_D3!$C$2:$C$1001,$AR875),"")))</f>
        <v>1</v>
      </c>
      <c r="D875" s="5">
        <f>IF($A875="","",IF($AP875&lt;&gt;"",INDEX(Raw_D1!$D$2:$D$1001,$AP875),IF($AR875&lt;&gt;"",INDEX(Raw_D3!$D$2:$D$1001,$AR875),"")))</f>
        <v>0</v>
      </c>
      <c r="E875" s="5">
        <f>IF($A875="","",IF($AP875&lt;&gt;"",INDEX(Raw_D1!$E$2:$E$1001,$AP875),IF($AR875&lt;&gt;"",INDEX(Raw_D3!$E$2:$E$1001,$AR875),"")))</f>
        <v>2</v>
      </c>
      <c r="F875" s="5">
        <f>IF($A875="","",IF($AP875&lt;&gt;"",INDEX(Raw_D1!$F$2:$F$1001,$AP875),IF($AR875&lt;&gt;"",INDEX(Raw_D3!$F$2:$F$1001,$AR875),"")))</f>
        <v>20</v>
      </c>
      <c r="G875" s="5">
        <f>IF($A875="","",IF($AP875&lt;&gt;"",IF(INDEX(Raw_D1!$G$2:$G$1001,$AP875),1,0),IF($AR875&lt;&gt;"",IF(INDEX(Raw_D3!$G$2:$G$1001,$AR875),1,0),"")))</f>
        <v>0</v>
      </c>
      <c r="H875" s="5">
        <f>IF($A875="","",IF($AP875&lt;&gt;"",INDEX(Raw_D1!$H$2:$H$1001,$AP875),IF($AR875&lt;&gt;"",INDEX(Raw_D3!$H$2:$H$1001,$AR875),"")))</f>
        <v>2</v>
      </c>
      <c r="I875" s="5">
        <f>IF($A875="","",IF($AP875&lt;&gt;"",INDEX(Raw_D1!$I$2:$I$1001,$AP875),IF($AR875&lt;&gt;"",INDEX(Raw_D3!$I$2:$I$1001,$AR875),"")))</f>
        <v>1</v>
      </c>
      <c r="J875" s="16">
        <f>IF($A875="","",IF($AP875&lt;&gt;"",INDEX(Raw_D1!$J$2:$J$1001,$AP875),IF($AR875&lt;&gt;"",INDEX(Raw_D3!$J$2:$J$1001,$AR875),"")))</f>
        <v>0.16</v>
      </c>
      <c r="K875" s="17">
        <f>IF($A875="","",IF($AQ875&lt;&gt;"",IF(INDEX(Raw_D2!$C$2:$C$1001,$AQ875)="","",INDEX(Raw_D2!$C$2:$C$1001,$AQ875)),IF($AR875&lt;&gt;"",IF(INDEX(Raw_D3!$K$2:$K$1001,$AR875)="","",INDEX(Raw_D3!$K$2:$K$1001,$AR875)),"")))</f>
        <v>0.1364</v>
      </c>
      <c r="L875" s="16">
        <f>IF($A875="","",IF($AQ875&lt;&gt;"",IF(INDEX(Raw_D2!$D$2:$D$1001,$AQ875)="","",INDEX(Raw_D2!$D$2:$D$1001,$AQ875)),IF($AR875&lt;&gt;"",IF(INDEX(Raw_D3!$L$2:$L$1001,$AR875)="","",INDEX(Raw_D3!$L$2:$L$1001,$AR875)),"")))</f>
        <v>0.4</v>
      </c>
      <c r="M875" s="17">
        <f>IF($A875="","",IF($AQ875&lt;&gt;"",IF(INDEX(Raw_D2!$E$2:$E$1001,$AQ875)="","",INDEX(Raw_D2!$E$2:$E$1001,$AQ875)),IF($AR875&lt;&gt;"",IF(INDEX(Raw_D3!$M$2:$M$1001,$AR875)="","",INDEX(Raw_D3!$M$2:$M$1001,$AR875)),"")))</f>
        <v>0.3284</v>
      </c>
      <c r="N875" s="5">
        <f>IF($A875="","",IF($AQ875&lt;&gt;"",IF(INDEX(Raw_D2!$F$2:$F$1001,$AQ875)="","",INDEX(Raw_D2!$F$2:$F$1001,$AQ875)),IF($AR875&lt;&gt;"",IF(INDEX(Raw_D3!$N$2:$N$1001,$AR875)="","",INDEX(Raw_D3!$N$2:$N$1001,$AR875)),"")))</f>
        <v>3</v>
      </c>
      <c r="O875" s="5">
        <f>IF($A875="","",IF($AQ875&lt;&gt;"",IF(INDEX(Raw_D2!$G$2:$G$1001,$AQ875)="","",INDEX(Raw_D2!$G$2:$G$1001,$AQ875)),IF($AR875&lt;&gt;"",IF(INDEX(Raw_D3!$O$2:$O$1001,$AR875)="","",INDEX(Raw_D3!$O$2:$O$1001,$AR875)),"")))</f>
        <v>53</v>
      </c>
      <c r="P875" s="5">
        <f>IF($A875="","",IF($AQ875&lt;&gt;"",IF(INDEX(Raw_D2!$H$2:$H$1001,$AQ875)="","",INDEX(Raw_D2!$H$2:$H$1001,$AQ875)),IF($AR875&lt;&gt;"",IF(INDEX(Raw_D3!$P$2:$P$1001,$AR875)="","",INDEX(Raw_D3!$P$2:$P$1001,$AR875)),"")))</f>
        <v>56</v>
      </c>
      <c r="Q875" s="5" t="str">
        <f>IF($A875="","",IF(AND($AP875&lt;&gt;"",$AQ875&lt;&gt;""),"D1+D2",IF($AR875&lt;&gt;"","D3","Incomplete")))</f>
        <v>D3</v>
      </c>
      <c r="R875" s="17">
        <f>IF($A875="","",IF($K875="",IF($J875="","",ROUND(Lookups!$K$5+Lookups!$K$4*$J875,4)),$K875))</f>
        <v>0.1364</v>
      </c>
      <c r="S875" s="5" t="str">
        <f>IF($A875="","",IF($K875="","Imputed","Original"))</f>
        <v>Original</v>
      </c>
      <c r="T875" s="5" t="str">
        <f>IF($A875="","",IF($P875="","Missing",IF($P875=$N875+$O875,"OK","Mismatch")))</f>
        <v>OK</v>
      </c>
      <c r="U875" s="5" t="str">
        <f>IF($A875="","",IF(COUNTIF($A$2:$A875,$A875)&gt;1,"Duplicate","Unique"))</f>
        <v>Unique</v>
      </c>
      <c r="V875" s="5">
        <f>IF($A875="","",IF(AND($U875="Unique",ISNUMBER($P875)),1,0))</f>
        <v>1</v>
      </c>
      <c r="W875" s="5" t="str">
        <f>IF($A875="","",IF(OR($H875=0,$H875=6),"Weekend","Weekday"))</f>
        <v>Weekday</v>
      </c>
      <c r="X875" s="5" t="str">
        <f>IF($A875="","",TEXT($B875,"ddd"))</f>
        <v>Tue</v>
      </c>
      <c r="Y875" s="5" t="str">
        <f>IF($A875="","",TEXT($B875,"mmm"))</f>
        <v>Feb</v>
      </c>
      <c r="Z875" s="5" t="str">
        <f>IF($A875="","",IFERROR(VLOOKUP($C875,Lookups!$D$4:$E$7,2,FALSE),"Unknown"))</f>
        <v>Winter</v>
      </c>
      <c r="AA875" s="5" t="str">
        <f>IF($A875="","",IFERROR(VLOOKUP($I875,Lookups!$A$4:$B$7,2,FALSE),"Unknown"))</f>
        <v>Clear</v>
      </c>
      <c r="AB875" s="5" t="str">
        <f>IF($A875="","",TEXT($F875,"00")&amp;":00")</f>
        <v>20:00</v>
      </c>
      <c r="AC875" s="5" t="str">
        <f>IF($A875="","",VLOOKUP($F875,Lookups!$G$4:$H$8,2,TRUE))</f>
        <v>Late Evening (20-23)</v>
      </c>
      <c r="AD875" s="18">
        <f>IF($A875="","",IF($J875="","",ROUND($J875*41,1)))</f>
        <v>6.6</v>
      </c>
      <c r="AE875" s="18">
        <f>IF($A875="","",IF($R875="","",ROUND($R875*50,1)))</f>
        <v>6.8</v>
      </c>
      <c r="AF875" s="5">
        <f>IF($A875="","",IF($L875="","",ROUND($L875*100,0)))</f>
        <v>40</v>
      </c>
      <c r="AG875" s="18">
        <f>IF($A875="","",IF($M875="","",ROUND($M875*67,1)))</f>
        <v>22</v>
      </c>
      <c r="AH875" s="19">
        <f>IF($A875="","",IF($P875="","",IF($P875=0,0,$O875/$P875)))</f>
        <v>0.946428571428571</v>
      </c>
      <c r="AI875" s="5" t="str">
        <f>IF($A875="","",IF($P875="","",IF($P875&gt;=Lookups!$K$7,"High",IF($P875&lt;=Lookups!$K$8,"Low","Medium"))))</f>
        <v>Medium</v>
      </c>
      <c r="AJ875" s="5" t="str">
        <f>IF($A875="","",IF($AD875="","",IF($AD875&lt;5,"Under 5 C",IF($AD875&lt;10,"5-10 C",IF($AD875&lt;15,"10-15 C","15 C and above")))))</f>
        <v>5-10 C</v>
      </c>
      <c r="AK875" s="5">
        <f>IF($A875="","",IF($P875="","",$P875^2))</f>
        <v>3136</v>
      </c>
      <c r="AL875" s="18">
        <f>IF($V875&lt;&gt;1,"",AVERAGEIFS(Clean_Data!$P$2:$P$1001,Clean_Data!$F$2:$F$1001,$F875,Clean_Data!$W$2:$W$1001,$W875,Clean_Data!$V$2:$V$1001,1))</f>
        <v>72.2758620689655</v>
      </c>
      <c r="AM875" s="16">
        <f>IF($V875&lt;&gt;1,"",IFERROR(($P875-$AL875)/SQRT(MAX(0,(SUMIFS(Clean_Data!$AK$2:$AK$1001,Clean_Data!$F$2:$F$1001,$F875,Clean_Data!$W$2:$W$1001,$W875,Clean_Data!$V$2:$V$1001,1)-COUNTIFS(Clean_Data!$F$2:$F$1001,$F875,Clean_Data!$W$2:$W$1001,$W875,Clean_Data!$V$2:$V$1001,1)*$AL875^2)/(COUNTIFS(Clean_Data!$F$2:$F$1001,$F875,Clean_Data!$W$2:$W$1001,$W875,Clean_Data!$V$2:$V$1001,1)-1))),""))</f>
        <v>-0.736455916391404</v>
      </c>
      <c r="AN875" s="5" t="str">
        <f>IF($AM875="","",IF($AM875&gt;=Lookups!$K$6,"High spike",IF($AM875&lt;=-Lookups!$K$6,"Unusual low","Normal")))</f>
        <v>Normal</v>
      </c>
      <c r="AO875" s="20">
        <f>IF($V875&lt;&gt;1,"",$P875+ROW()/100000)</f>
        <v>56.00875</v>
      </c>
      <c r="AP875" s="5">
        <f>IF($A875="","",IFERROR(MATCH($A875,Raw_D1!$A$2:$A$1001,0),""))</f>
        <v/>
      </c>
      <c r="AQ875" s="5">
        <f>IF($A875="","",IFERROR(MATCH($A875,Raw_D2!$B$2:$B$1001,0),""))</f>
        <v/>
      </c>
      <c r="AR875" s="5">
        <f>IF($A875="","",IFERROR(MATCH($A875,Raw_D3!$A$2:$A$1001,0),""))</f>
        <v>255</v>
      </c>
    </row>
    <row r="876" spans="1:44" x14ac:dyDescent="0.25">
      <c r="A876" s="5">
        <v>875</v>
      </c>
      <c r="B876" s="11">
        <f>IF($A876="","",IF($AP876&lt;&gt;"",INDEX(Raw_D1!$B$2:$B$1001,$AP876),IF($AR876&lt;&gt;"",INDEX(Raw_D3!$B$2:$B$1001,$AR876),"")))</f>
        <v>40582.0</v>
      </c>
      <c r="C876" s="5">
        <f>IF($A876="","",IF($AP876&lt;&gt;"",INDEX(Raw_D1!$C$2:$C$1001,$AP876),IF($AR876&lt;&gt;"",INDEX(Raw_D3!$C$2:$C$1001,$AR876),"")))</f>
        <v>1</v>
      </c>
      <c r="D876" s="5">
        <f>IF($A876="","",IF($AP876&lt;&gt;"",INDEX(Raw_D1!$D$2:$D$1001,$AP876),IF($AR876&lt;&gt;"",INDEX(Raw_D3!$D$2:$D$1001,$AR876),"")))</f>
        <v>0</v>
      </c>
      <c r="E876" s="5">
        <f>IF($A876="","",IF($AP876&lt;&gt;"",INDEX(Raw_D1!$E$2:$E$1001,$AP876),IF($AR876&lt;&gt;"",INDEX(Raw_D3!$E$2:$E$1001,$AR876),"")))</f>
        <v>2</v>
      </c>
      <c r="F876" s="5">
        <f>IF($A876="","",IF($AP876&lt;&gt;"",INDEX(Raw_D1!$F$2:$F$1001,$AP876),IF($AR876&lt;&gt;"",INDEX(Raw_D3!$F$2:$F$1001,$AR876),"")))</f>
        <v>21</v>
      </c>
      <c r="G876" s="5">
        <f>IF($A876="","",IF($AP876&lt;&gt;"",IF(INDEX(Raw_D1!$G$2:$G$1001,$AP876),1,0),IF($AR876&lt;&gt;"",IF(INDEX(Raw_D3!$G$2:$G$1001,$AR876),1,0),"")))</f>
        <v>0</v>
      </c>
      <c r="H876" s="5">
        <f>IF($A876="","",IF($AP876&lt;&gt;"",INDEX(Raw_D1!$H$2:$H$1001,$AP876),IF($AR876&lt;&gt;"",INDEX(Raw_D3!$H$2:$H$1001,$AR876),"")))</f>
        <v>2</v>
      </c>
      <c r="I876" s="5">
        <f>IF($A876="","",IF($AP876&lt;&gt;"",INDEX(Raw_D1!$I$2:$I$1001,$AP876),IF($AR876&lt;&gt;"",INDEX(Raw_D3!$I$2:$I$1001,$AR876),"")))</f>
        <v>1</v>
      </c>
      <c r="J876" s="16">
        <f>IF($A876="","",IF($AP876&lt;&gt;"",INDEX(Raw_D1!$J$2:$J$1001,$AP876),IF($AR876&lt;&gt;"",INDEX(Raw_D3!$J$2:$J$1001,$AR876),"")))</f>
        <v>0.14</v>
      </c>
      <c r="K876" s="17">
        <f>IF($A876="","",IF($AQ876&lt;&gt;"",IF(INDEX(Raw_D2!$C$2:$C$1001,$AQ876)="","",INDEX(Raw_D2!$C$2:$C$1001,$AQ876)),IF($AR876&lt;&gt;"",IF(INDEX(Raw_D3!$K$2:$K$1001,$AR876)="","",INDEX(Raw_D3!$K$2:$K$1001,$AR876)),"")))</f>
        <v>0.1061</v>
      </c>
      <c r="L876" s="16">
        <f>IF($A876="","",IF($AQ876&lt;&gt;"",IF(INDEX(Raw_D2!$D$2:$D$1001,$AQ876)="","",INDEX(Raw_D2!$D$2:$D$1001,$AQ876)),IF($AR876&lt;&gt;"",IF(INDEX(Raw_D3!$L$2:$L$1001,$AR876)="","",INDEX(Raw_D3!$L$2:$L$1001,$AR876)),"")))</f>
        <v>0.33</v>
      </c>
      <c r="M876" s="17">
        <f>IF($A876="","",IF($AQ876&lt;&gt;"",IF(INDEX(Raw_D2!$E$2:$E$1001,$AQ876)="","",INDEX(Raw_D2!$E$2:$E$1001,$AQ876)),IF($AR876&lt;&gt;"",IF(INDEX(Raw_D3!$M$2:$M$1001,$AR876)="","",INDEX(Raw_D3!$M$2:$M$1001,$AR876)),"")))</f>
        <v>0.4627</v>
      </c>
      <c r="N876" s="5">
        <f>IF($A876="","",IF($AQ876&lt;&gt;"",IF(INDEX(Raw_D2!$F$2:$F$1001,$AQ876)="","",INDEX(Raw_D2!$F$2:$F$1001,$AQ876)),IF($AR876&lt;&gt;"",IF(INDEX(Raw_D3!$N$2:$N$1001,$AR876)="","",INDEX(Raw_D3!$N$2:$N$1001,$AR876)),"")))</f>
        <v>8</v>
      </c>
      <c r="O876" s="5">
        <f>IF($A876="","",IF($AQ876&lt;&gt;"",IF(INDEX(Raw_D2!$G$2:$G$1001,$AQ876)="","",INDEX(Raw_D2!$G$2:$G$1001,$AQ876)),IF($AR876&lt;&gt;"",IF(INDEX(Raw_D3!$O$2:$O$1001,$AR876)="","",INDEX(Raw_D3!$O$2:$O$1001,$AR876)),"")))</f>
        <v>46</v>
      </c>
      <c r="P876" s="5">
        <f>IF($A876="","",IF($AQ876&lt;&gt;"",IF(INDEX(Raw_D2!$H$2:$H$1001,$AQ876)="","",INDEX(Raw_D2!$H$2:$H$1001,$AQ876)),IF($AR876&lt;&gt;"",IF(INDEX(Raw_D3!$P$2:$P$1001,$AR876)="","",INDEX(Raw_D3!$P$2:$P$1001,$AR876)),"")))</f>
        <v>54</v>
      </c>
      <c r="Q876" s="5" t="str">
        <f>IF($A876="","",IF(AND($AP876&lt;&gt;"",$AQ876&lt;&gt;""),"D1+D2",IF($AR876&lt;&gt;"","D3","Incomplete")))</f>
        <v>D3</v>
      </c>
      <c r="R876" s="17">
        <f>IF($A876="","",IF($K876="",IF($J876="","",ROUND(Lookups!$K$5+Lookups!$K$4*$J876,4)),$K876))</f>
        <v>0.1061</v>
      </c>
      <c r="S876" s="5" t="str">
        <f>IF($A876="","",IF($K876="","Imputed","Original"))</f>
        <v>Original</v>
      </c>
      <c r="T876" s="5" t="str">
        <f>IF($A876="","",IF($P876="","Missing",IF($P876=$N876+$O876,"OK","Mismatch")))</f>
        <v>OK</v>
      </c>
      <c r="U876" s="5" t="str">
        <f>IF($A876="","",IF(COUNTIF($A$2:$A876,$A876)&gt;1,"Duplicate","Unique"))</f>
        <v>Unique</v>
      </c>
      <c r="V876" s="5">
        <f>IF($A876="","",IF(AND($U876="Unique",ISNUMBER($P876)),1,0))</f>
        <v>1</v>
      </c>
      <c r="W876" s="5" t="str">
        <f>IF($A876="","",IF(OR($H876=0,$H876=6),"Weekend","Weekday"))</f>
        <v>Weekday</v>
      </c>
      <c r="X876" s="5" t="str">
        <f>IF($A876="","",TEXT($B876,"ddd"))</f>
        <v>Tue</v>
      </c>
      <c r="Y876" s="5" t="str">
        <f>IF($A876="","",TEXT($B876,"mmm"))</f>
        <v>Feb</v>
      </c>
      <c r="Z876" s="5" t="str">
        <f>IF($A876="","",IFERROR(VLOOKUP($C876,Lookups!$D$4:$E$7,2,FALSE),"Unknown"))</f>
        <v>Winter</v>
      </c>
      <c r="AA876" s="5" t="str">
        <f>IF($A876="","",IFERROR(VLOOKUP($I876,Lookups!$A$4:$B$7,2,FALSE),"Unknown"))</f>
        <v>Clear</v>
      </c>
      <c r="AB876" s="5" t="str">
        <f>IF($A876="","",TEXT($F876,"00")&amp;":00")</f>
        <v>21:00</v>
      </c>
      <c r="AC876" s="5" t="str">
        <f>IF($A876="","",VLOOKUP($F876,Lookups!$G$4:$H$8,2,TRUE))</f>
        <v>Late Evening (20-23)</v>
      </c>
      <c r="AD876" s="18">
        <f>IF($A876="","",IF($J876="","",ROUND($J876*41,1)))</f>
        <v>5.7</v>
      </c>
      <c r="AE876" s="18">
        <f>IF($A876="","",IF($R876="","",ROUND($R876*50,1)))</f>
        <v>5.3</v>
      </c>
      <c r="AF876" s="5">
        <f>IF($A876="","",IF($L876="","",ROUND($L876*100,0)))</f>
        <v>33</v>
      </c>
      <c r="AG876" s="18">
        <f>IF($A876="","",IF($M876="","",ROUND($M876*67,1)))</f>
        <v>31</v>
      </c>
      <c r="AH876" s="19">
        <f>IF($A876="","",IF($P876="","",IF($P876=0,0,$O876/$P876)))</f>
        <v>0.851851851851852</v>
      </c>
      <c r="AI876" s="5" t="str">
        <f>IF($A876="","",IF($P876="","",IF($P876&gt;=Lookups!$K$7,"High",IF($P876&lt;=Lookups!$K$8,"Low","Medium"))))</f>
        <v>Medium</v>
      </c>
      <c r="AJ876" s="5" t="str">
        <f>IF($A876="","",IF($AD876="","",IF($AD876&lt;5,"Under 5 C",IF($AD876&lt;10,"5-10 C",IF($AD876&lt;15,"10-15 C","15 C and above")))))</f>
        <v>5-10 C</v>
      </c>
      <c r="AK876" s="5">
        <f>IF($A876="","",IF($P876="","",$P876^2))</f>
        <v>2916</v>
      </c>
      <c r="AL876" s="18">
        <f>IF($V876&lt;&gt;1,"",AVERAGEIFS(Clean_Data!$P$2:$P$1001,Clean_Data!$F$2:$F$1001,$F876,Clean_Data!$W$2:$W$1001,$W876,Clean_Data!$V$2:$V$1001,1))</f>
        <v>50.8965517241379</v>
      </c>
      <c r="AM876" s="16">
        <f>IF($V876&lt;&gt;1,"",IFERROR(($P876-$AL876)/SQRT(MAX(0,(SUMIFS(Clean_Data!$AK$2:$AK$1001,Clean_Data!$F$2:$F$1001,$F876,Clean_Data!$W$2:$W$1001,$W876,Clean_Data!$V$2:$V$1001,1)-COUNTIFS(Clean_Data!$F$2:$F$1001,$F876,Clean_Data!$W$2:$W$1001,$W876,Clean_Data!$V$2:$V$1001,1)*$AL876^2)/(COUNTIFS(Clean_Data!$F$2:$F$1001,$F876,Clean_Data!$W$2:$W$1001,$W876,Clean_Data!$V$2:$V$1001,1)-1))),""))</f>
        <v>0.224753358150496</v>
      </c>
      <c r="AN876" s="5" t="str">
        <f>IF($AM876="","",IF($AM876&gt;=Lookups!$K$6,"High spike",IF($AM876&lt;=-Lookups!$K$6,"Unusual low","Normal")))</f>
        <v>Normal</v>
      </c>
      <c r="AO876" s="20">
        <f>IF($V876&lt;&gt;1,"",$P876+ROW()/100000)</f>
        <v>54.00876</v>
      </c>
      <c r="AP876" s="5">
        <f>IF($A876="","",IFERROR(MATCH($A876,Raw_D1!$A$2:$A$1001,0),""))</f>
        <v/>
      </c>
      <c r="AQ876" s="5">
        <f>IF($A876="","",IFERROR(MATCH($A876,Raw_D2!$B$2:$B$1001,0),""))</f>
        <v/>
      </c>
      <c r="AR876" s="5">
        <f>IF($A876="","",IFERROR(MATCH($A876,Raw_D3!$A$2:$A$1001,0),""))</f>
        <v>256</v>
      </c>
    </row>
    <row r="877" spans="1:44" x14ac:dyDescent="0.25">
      <c r="A877" s="5">
        <v>876</v>
      </c>
      <c r="B877" s="11">
        <f>IF($A877="","",IF($AP877&lt;&gt;"",INDEX(Raw_D1!$B$2:$B$1001,$AP877),IF($AR877&lt;&gt;"",INDEX(Raw_D3!$B$2:$B$1001,$AR877),"")))</f>
        <v>40582.0</v>
      </c>
      <c r="C877" s="5">
        <f>IF($A877="","",IF($AP877&lt;&gt;"",INDEX(Raw_D1!$C$2:$C$1001,$AP877),IF($AR877&lt;&gt;"",INDEX(Raw_D3!$C$2:$C$1001,$AR877),"")))</f>
        <v>1</v>
      </c>
      <c r="D877" s="5">
        <f>IF($A877="","",IF($AP877&lt;&gt;"",INDEX(Raw_D1!$D$2:$D$1001,$AP877),IF($AR877&lt;&gt;"",INDEX(Raw_D3!$D$2:$D$1001,$AR877),"")))</f>
        <v>0</v>
      </c>
      <c r="E877" s="5">
        <f>IF($A877="","",IF($AP877&lt;&gt;"",INDEX(Raw_D1!$E$2:$E$1001,$AP877),IF($AR877&lt;&gt;"",INDEX(Raw_D3!$E$2:$E$1001,$AR877),"")))</f>
        <v>2</v>
      </c>
      <c r="F877" s="5">
        <f>IF($A877="","",IF($AP877&lt;&gt;"",INDEX(Raw_D1!$F$2:$F$1001,$AP877),IF($AR877&lt;&gt;"",INDEX(Raw_D3!$F$2:$F$1001,$AR877),"")))</f>
        <v>22</v>
      </c>
      <c r="G877" s="5">
        <f>IF($A877="","",IF($AP877&lt;&gt;"",IF(INDEX(Raw_D1!$G$2:$G$1001,$AP877),1,0),IF($AR877&lt;&gt;"",IF(INDEX(Raw_D3!$G$2:$G$1001,$AR877),1,0),"")))</f>
        <v>0</v>
      </c>
      <c r="H877" s="5">
        <f>IF($A877="","",IF($AP877&lt;&gt;"",INDEX(Raw_D1!$H$2:$H$1001,$AP877),IF($AR877&lt;&gt;"",INDEX(Raw_D3!$H$2:$H$1001,$AR877),"")))</f>
        <v>2</v>
      </c>
      <c r="I877" s="5">
        <f>IF($A877="","",IF($AP877&lt;&gt;"",INDEX(Raw_D1!$I$2:$I$1001,$AP877),IF($AR877&lt;&gt;"",INDEX(Raw_D3!$I$2:$I$1001,$AR877),"")))</f>
        <v>1</v>
      </c>
      <c r="J877" s="16">
        <f>IF($A877="","",IF($AP877&lt;&gt;"",INDEX(Raw_D1!$J$2:$J$1001,$AP877),IF($AR877&lt;&gt;"",INDEX(Raw_D3!$J$2:$J$1001,$AR877),"")))</f>
        <v>0.12</v>
      </c>
      <c r="K877" s="17">
        <f>IF($A877="","",IF($AQ877&lt;&gt;"",IF(INDEX(Raw_D2!$C$2:$C$1001,$AQ877)="","",INDEX(Raw_D2!$C$2:$C$1001,$AQ877)),IF($AR877&lt;&gt;"",IF(INDEX(Raw_D3!$K$2:$K$1001,$AR877)="","",INDEX(Raw_D3!$K$2:$K$1001,$AR877)),"")))</f>
        <v>0.1061</v>
      </c>
      <c r="L877" s="16">
        <f>IF($A877="","",IF($AQ877&lt;&gt;"",IF(INDEX(Raw_D2!$D$2:$D$1001,$AQ877)="","",INDEX(Raw_D2!$D$2:$D$1001,$AQ877)),IF($AR877&lt;&gt;"",IF(INDEX(Raw_D3!$L$2:$L$1001,$AR877)="","",INDEX(Raw_D3!$L$2:$L$1001,$AR877)),"")))</f>
        <v>0.33</v>
      </c>
      <c r="M877" s="17">
        <f>IF($A877="","",IF($AQ877&lt;&gt;"",IF(INDEX(Raw_D2!$E$2:$E$1001,$AQ877)="","",INDEX(Raw_D2!$E$2:$E$1001,$AQ877)),IF($AR877&lt;&gt;"",IF(INDEX(Raw_D3!$M$2:$M$1001,$AR877)="","",INDEX(Raw_D3!$M$2:$M$1001,$AR877)),"")))</f>
        <v>0.3582</v>
      </c>
      <c r="N877" s="5">
        <f>IF($A877="","",IF($AQ877&lt;&gt;"",IF(INDEX(Raw_D2!$F$2:$F$1001,$AQ877)="","",INDEX(Raw_D2!$F$2:$F$1001,$AQ877)),IF($AR877&lt;&gt;"",IF(INDEX(Raw_D3!$N$2:$N$1001,$AR877)="","",INDEX(Raw_D3!$N$2:$N$1001,$AR877)),"")))</f>
        <v>0</v>
      </c>
      <c r="O877" s="5">
        <f>IF($A877="","",IF($AQ877&lt;&gt;"",IF(INDEX(Raw_D2!$G$2:$G$1001,$AQ877)="","",INDEX(Raw_D2!$G$2:$G$1001,$AQ877)),IF($AR877&lt;&gt;"",IF(INDEX(Raw_D3!$O$2:$O$1001,$AR877)="","",INDEX(Raw_D3!$O$2:$O$1001,$AR877)),"")))</f>
        <v>29</v>
      </c>
      <c r="P877" s="5">
        <f>IF($A877="","",IF($AQ877&lt;&gt;"",IF(INDEX(Raw_D2!$H$2:$H$1001,$AQ877)="","",INDEX(Raw_D2!$H$2:$H$1001,$AQ877)),IF($AR877&lt;&gt;"",IF(INDEX(Raw_D3!$P$2:$P$1001,$AR877)="","",INDEX(Raw_D3!$P$2:$P$1001,$AR877)),"")))</f>
        <v>29</v>
      </c>
      <c r="Q877" s="5" t="str">
        <f>IF($A877="","",IF(AND($AP877&lt;&gt;"",$AQ877&lt;&gt;""),"D1+D2",IF($AR877&lt;&gt;"","D3","Incomplete")))</f>
        <v>D3</v>
      </c>
      <c r="R877" s="17">
        <f>IF($A877="","",IF($K877="",IF($J877="","",ROUND(Lookups!$K$5+Lookups!$K$4*$J877,4)),$K877))</f>
        <v>0.1061</v>
      </c>
      <c r="S877" s="5" t="str">
        <f>IF($A877="","",IF($K877="","Imputed","Original"))</f>
        <v>Original</v>
      </c>
      <c r="T877" s="5" t="str">
        <f>IF($A877="","",IF($P877="","Missing",IF($P877=$N877+$O877,"OK","Mismatch")))</f>
        <v>OK</v>
      </c>
      <c r="U877" s="5" t="str">
        <f>IF($A877="","",IF(COUNTIF($A$2:$A877,$A877)&gt;1,"Duplicate","Unique"))</f>
        <v>Unique</v>
      </c>
      <c r="V877" s="5">
        <f>IF($A877="","",IF(AND($U877="Unique",ISNUMBER($P877)),1,0))</f>
        <v>1</v>
      </c>
      <c r="W877" s="5" t="str">
        <f>IF($A877="","",IF(OR($H877=0,$H877=6),"Weekend","Weekday"))</f>
        <v>Weekday</v>
      </c>
      <c r="X877" s="5" t="str">
        <f>IF($A877="","",TEXT($B877,"ddd"))</f>
        <v>Tue</v>
      </c>
      <c r="Y877" s="5" t="str">
        <f>IF($A877="","",TEXT($B877,"mmm"))</f>
        <v>Feb</v>
      </c>
      <c r="Z877" s="5" t="str">
        <f>IF($A877="","",IFERROR(VLOOKUP($C877,Lookups!$D$4:$E$7,2,FALSE),"Unknown"))</f>
        <v>Winter</v>
      </c>
      <c r="AA877" s="5" t="str">
        <f>IF($A877="","",IFERROR(VLOOKUP($I877,Lookups!$A$4:$B$7,2,FALSE),"Unknown"))</f>
        <v>Clear</v>
      </c>
      <c r="AB877" s="5" t="str">
        <f>IF($A877="","",TEXT($F877,"00")&amp;":00")</f>
        <v>22:00</v>
      </c>
      <c r="AC877" s="5" t="str">
        <f>IF($A877="","",VLOOKUP($F877,Lookups!$G$4:$H$8,2,TRUE))</f>
        <v>Late Evening (20-23)</v>
      </c>
      <c r="AD877" s="18">
        <f>IF($A877="","",IF($J877="","",ROUND($J877*41,1)))</f>
        <v>4.9</v>
      </c>
      <c r="AE877" s="18">
        <f>IF($A877="","",IF($R877="","",ROUND($R877*50,1)))</f>
        <v>5.3</v>
      </c>
      <c r="AF877" s="5">
        <f>IF($A877="","",IF($L877="","",ROUND($L877*100,0)))</f>
        <v>33</v>
      </c>
      <c r="AG877" s="18">
        <f>IF($A877="","",IF($M877="","",ROUND($M877*67,1)))</f>
        <v>24</v>
      </c>
      <c r="AH877" s="19">
        <f>IF($A877="","",IF($P877="","",IF($P877=0,0,$O877/$P877)))</f>
        <v>1</v>
      </c>
      <c r="AI877" s="5" t="str">
        <f>IF($A877="","",IF($P877="","",IF($P877&gt;=Lookups!$K$7,"High",IF($P877&lt;=Lookups!$K$8,"Low","Medium"))))</f>
        <v>Medium</v>
      </c>
      <c r="AJ877" s="5" t="str">
        <f>IF($A877="","",IF($AD877="","",IF($AD877&lt;5,"Under 5 C",IF($AD877&lt;10,"5-10 C",IF($AD877&lt;15,"10-15 C","15 C and above")))))</f>
        <v>Under 5 C</v>
      </c>
      <c r="AK877" s="5">
        <f>IF($A877="","",IF($P877="","",$P877^2))</f>
        <v>841</v>
      </c>
      <c r="AL877" s="18">
        <f>IF($V877&lt;&gt;1,"",AVERAGEIFS(Clean_Data!$P$2:$P$1001,Clean_Data!$F$2:$F$1001,$F877,Clean_Data!$W$2:$W$1001,$W877,Clean_Data!$V$2:$V$1001,1))</f>
        <v>37.1034482758621</v>
      </c>
      <c r="AM877" s="16">
        <f>IF($V877&lt;&gt;1,"",IFERROR(($P877-$AL877)/SQRT(MAX(0,(SUMIFS(Clean_Data!$AK$2:$AK$1001,Clean_Data!$F$2:$F$1001,$F877,Clean_Data!$W$2:$W$1001,$W877,Clean_Data!$V$2:$V$1001,1)-COUNTIFS(Clean_Data!$F$2:$F$1001,$F877,Clean_Data!$W$2:$W$1001,$W877,Clean_Data!$V$2:$V$1001,1)*$AL877^2)/(COUNTIFS(Clean_Data!$F$2:$F$1001,$F877,Clean_Data!$W$2:$W$1001,$W877,Clean_Data!$V$2:$V$1001,1)-1))),""))</f>
        <v>-0.750690633387597</v>
      </c>
      <c r="AN877" s="5" t="str">
        <f>IF($AM877="","",IF($AM877&gt;=Lookups!$K$6,"High spike",IF($AM877&lt;=-Lookups!$K$6,"Unusual low","Normal")))</f>
        <v>Normal</v>
      </c>
      <c r="AO877" s="20">
        <f>IF($V877&lt;&gt;1,"",$P877+ROW()/100000)</f>
        <v>29.00877</v>
      </c>
      <c r="AP877" s="5">
        <f>IF($A877="","",IFERROR(MATCH($A877,Raw_D1!$A$2:$A$1001,0),""))</f>
        <v/>
      </c>
      <c r="AQ877" s="5">
        <f>IF($A877="","",IFERROR(MATCH($A877,Raw_D2!$B$2:$B$1001,0),""))</f>
        <v/>
      </c>
      <c r="AR877" s="5">
        <f>IF($A877="","",IFERROR(MATCH($A877,Raw_D3!$A$2:$A$1001,0),""))</f>
        <v>257</v>
      </c>
    </row>
    <row r="878" spans="1:44" x14ac:dyDescent="0.25">
      <c r="A878" s="5">
        <v>877</v>
      </c>
      <c r="B878" s="11">
        <f>IF($A878="","",IF($AP878&lt;&gt;"",INDEX(Raw_D1!$B$2:$B$1001,$AP878),IF($AR878&lt;&gt;"",INDEX(Raw_D3!$B$2:$B$1001,$AR878),"")))</f>
        <v>40582.0</v>
      </c>
      <c r="C878" s="5">
        <f>IF($A878="","",IF($AP878&lt;&gt;"",INDEX(Raw_D1!$C$2:$C$1001,$AP878),IF($AR878&lt;&gt;"",INDEX(Raw_D3!$C$2:$C$1001,$AR878),"")))</f>
        <v>1</v>
      </c>
      <c r="D878" s="5">
        <f>IF($A878="","",IF($AP878&lt;&gt;"",INDEX(Raw_D1!$D$2:$D$1001,$AP878),IF($AR878&lt;&gt;"",INDEX(Raw_D3!$D$2:$D$1001,$AR878),"")))</f>
        <v>0</v>
      </c>
      <c r="E878" s="5">
        <f>IF($A878="","",IF($AP878&lt;&gt;"",INDEX(Raw_D1!$E$2:$E$1001,$AP878),IF($AR878&lt;&gt;"",INDEX(Raw_D3!$E$2:$E$1001,$AR878),"")))</f>
        <v>2</v>
      </c>
      <c r="F878" s="5">
        <f>IF($A878="","",IF($AP878&lt;&gt;"",INDEX(Raw_D1!$F$2:$F$1001,$AP878),IF($AR878&lt;&gt;"",INDEX(Raw_D3!$F$2:$F$1001,$AR878),"")))</f>
        <v>23</v>
      </c>
      <c r="G878" s="5">
        <f>IF($A878="","",IF($AP878&lt;&gt;"",IF(INDEX(Raw_D1!$G$2:$G$1001,$AP878),1,0),IF($AR878&lt;&gt;"",IF(INDEX(Raw_D3!$G$2:$G$1001,$AR878),1,0),"")))</f>
        <v>0</v>
      </c>
      <c r="H878" s="5">
        <f>IF($A878="","",IF($AP878&lt;&gt;"",INDEX(Raw_D1!$H$2:$H$1001,$AP878),IF($AR878&lt;&gt;"",INDEX(Raw_D3!$H$2:$H$1001,$AR878),"")))</f>
        <v>2</v>
      </c>
      <c r="I878" s="5">
        <f>IF($A878="","",IF($AP878&lt;&gt;"",INDEX(Raw_D1!$I$2:$I$1001,$AP878),IF($AR878&lt;&gt;"",INDEX(Raw_D3!$I$2:$I$1001,$AR878),"")))</f>
        <v>1</v>
      </c>
      <c r="J878" s="16">
        <f>IF($A878="","",IF($AP878&lt;&gt;"",INDEX(Raw_D1!$J$2:$J$1001,$AP878),IF($AR878&lt;&gt;"",INDEX(Raw_D3!$J$2:$J$1001,$AR878),"")))</f>
        <v>0.12</v>
      </c>
      <c r="K878" s="17">
        <f>IF($A878="","",IF($AQ878&lt;&gt;"",IF(INDEX(Raw_D2!$C$2:$C$1001,$AQ878)="","",INDEX(Raw_D2!$C$2:$C$1001,$AQ878)),IF($AR878&lt;&gt;"",IF(INDEX(Raw_D3!$K$2:$K$1001,$AR878)="","",INDEX(Raw_D3!$K$2:$K$1001,$AR878)),"")))</f>
        <v>0.1061</v>
      </c>
      <c r="L878" s="16">
        <f>IF($A878="","",IF($AQ878&lt;&gt;"",IF(INDEX(Raw_D2!$D$2:$D$1001,$AQ878)="","",INDEX(Raw_D2!$D$2:$D$1001,$AQ878)),IF($AR878&lt;&gt;"",IF(INDEX(Raw_D3!$L$2:$L$1001,$AR878)="","",INDEX(Raw_D3!$L$2:$L$1001,$AR878)),"")))</f>
        <v>0.33</v>
      </c>
      <c r="M878" s="17">
        <f>IF($A878="","",IF($AQ878&lt;&gt;"",IF(INDEX(Raw_D2!$E$2:$E$1001,$AQ878)="","",INDEX(Raw_D2!$E$2:$E$1001,$AQ878)),IF($AR878&lt;&gt;"",IF(INDEX(Raw_D3!$M$2:$M$1001,$AR878)="","",INDEX(Raw_D3!$M$2:$M$1001,$AR878)),"")))</f>
        <v>0.3284</v>
      </c>
      <c r="N878" s="5">
        <f>IF($A878="","",IF($AQ878&lt;&gt;"",IF(INDEX(Raw_D2!$F$2:$F$1001,$AQ878)="","",INDEX(Raw_D2!$F$2:$F$1001,$AQ878)),IF($AR878&lt;&gt;"",IF(INDEX(Raw_D3!$N$2:$N$1001,$AR878)="","",INDEX(Raw_D3!$N$2:$N$1001,$AR878)),"")))</f>
        <v>3</v>
      </c>
      <c r="O878" s="5">
        <f>IF($A878="","",IF($AQ878&lt;&gt;"",IF(INDEX(Raw_D2!$G$2:$G$1001,$AQ878)="","",INDEX(Raw_D2!$G$2:$G$1001,$AQ878)),IF($AR878&lt;&gt;"",IF(INDEX(Raw_D3!$O$2:$O$1001,$AR878)="","",INDEX(Raw_D3!$O$2:$O$1001,$AR878)),"")))</f>
        <v>9</v>
      </c>
      <c r="P878" s="5">
        <f>IF($A878="","",IF($AQ878&lt;&gt;"",IF(INDEX(Raw_D2!$H$2:$H$1001,$AQ878)="","",INDEX(Raw_D2!$H$2:$H$1001,$AQ878)),IF($AR878&lt;&gt;"",IF(INDEX(Raw_D3!$P$2:$P$1001,$AR878)="","",INDEX(Raw_D3!$P$2:$P$1001,$AR878)),"")))</f>
        <v>12</v>
      </c>
      <c r="Q878" s="5" t="str">
        <f>IF($A878="","",IF(AND($AP878&lt;&gt;"",$AQ878&lt;&gt;""),"D1+D2",IF($AR878&lt;&gt;"","D3","Incomplete")))</f>
        <v>D3</v>
      </c>
      <c r="R878" s="17">
        <f>IF($A878="","",IF($K878="",IF($J878="","",ROUND(Lookups!$K$5+Lookups!$K$4*$J878,4)),$K878))</f>
        <v>0.1061</v>
      </c>
      <c r="S878" s="5" t="str">
        <f>IF($A878="","",IF($K878="","Imputed","Original"))</f>
        <v>Original</v>
      </c>
      <c r="T878" s="5" t="str">
        <f>IF($A878="","",IF($P878="","Missing",IF($P878=$N878+$O878,"OK","Mismatch")))</f>
        <v>OK</v>
      </c>
      <c r="U878" s="5" t="str">
        <f>IF($A878="","",IF(COUNTIF($A$2:$A878,$A878)&gt;1,"Duplicate","Unique"))</f>
        <v>Unique</v>
      </c>
      <c r="V878" s="5">
        <f>IF($A878="","",IF(AND($U878="Unique",ISNUMBER($P878)),1,0))</f>
        <v>1</v>
      </c>
      <c r="W878" s="5" t="str">
        <f>IF($A878="","",IF(OR($H878=0,$H878=6),"Weekend","Weekday"))</f>
        <v>Weekday</v>
      </c>
      <c r="X878" s="5" t="str">
        <f>IF($A878="","",TEXT($B878,"ddd"))</f>
        <v>Tue</v>
      </c>
      <c r="Y878" s="5" t="str">
        <f>IF($A878="","",TEXT($B878,"mmm"))</f>
        <v>Feb</v>
      </c>
      <c r="Z878" s="5" t="str">
        <f>IF($A878="","",IFERROR(VLOOKUP($C878,Lookups!$D$4:$E$7,2,FALSE),"Unknown"))</f>
        <v>Winter</v>
      </c>
      <c r="AA878" s="5" t="str">
        <f>IF($A878="","",IFERROR(VLOOKUP($I878,Lookups!$A$4:$B$7,2,FALSE),"Unknown"))</f>
        <v>Clear</v>
      </c>
      <c r="AB878" s="5" t="str">
        <f>IF($A878="","",TEXT($F878,"00")&amp;":00")</f>
        <v>23:00</v>
      </c>
      <c r="AC878" s="5" t="str">
        <f>IF($A878="","",VLOOKUP($F878,Lookups!$G$4:$H$8,2,TRUE))</f>
        <v>Late Evening (20-23)</v>
      </c>
      <c r="AD878" s="18">
        <f>IF($A878="","",IF($J878="","",ROUND($J878*41,1)))</f>
        <v>4.9</v>
      </c>
      <c r="AE878" s="18">
        <f>IF($A878="","",IF($R878="","",ROUND($R878*50,1)))</f>
        <v>5.3</v>
      </c>
      <c r="AF878" s="5">
        <f>IF($A878="","",IF($L878="","",ROUND($L878*100,0)))</f>
        <v>33</v>
      </c>
      <c r="AG878" s="18">
        <f>IF($A878="","",IF($M878="","",ROUND($M878*67,1)))</f>
        <v>22</v>
      </c>
      <c r="AH878" s="19">
        <f>IF($A878="","",IF($P878="","",IF($P878=0,0,$O878/$P878)))</f>
        <v>0.75</v>
      </c>
      <c r="AI878" s="5" t="str">
        <f>IF($A878="","",IF($P878="","",IF($P878&gt;=Lookups!$K$7,"High",IF($P878&lt;=Lookups!$K$8,"Low","Medium"))))</f>
        <v>Low</v>
      </c>
      <c r="AJ878" s="5" t="str">
        <f>IF($A878="","",IF($AD878="","",IF($AD878&lt;5,"Under 5 C",IF($AD878&lt;10,"5-10 C",IF($AD878&lt;15,"10-15 C","15 C and above")))))</f>
        <v>Under 5 C</v>
      </c>
      <c r="AK878" s="5">
        <f>IF($A878="","",IF($P878="","",$P878^2))</f>
        <v>144</v>
      </c>
      <c r="AL878" s="18">
        <f>IF($V878&lt;&gt;1,"",AVERAGEIFS(Clean_Data!$P$2:$P$1001,Clean_Data!$F$2:$F$1001,$F878,Clean_Data!$W$2:$W$1001,$W878,Clean_Data!$V$2:$V$1001,1))</f>
        <v>23.6896551724138</v>
      </c>
      <c r="AM878" s="16">
        <f>IF($V878&lt;&gt;1,"",IFERROR(($P878-$AL878)/SQRT(MAX(0,(SUMIFS(Clean_Data!$AK$2:$AK$1001,Clean_Data!$F$2:$F$1001,$F878,Clean_Data!$W$2:$W$1001,$W878,Clean_Data!$V$2:$V$1001,1)-COUNTIFS(Clean_Data!$F$2:$F$1001,$F878,Clean_Data!$W$2:$W$1001,$W878,Clean_Data!$V$2:$V$1001,1)*$AL878^2)/(COUNTIFS(Clean_Data!$F$2:$F$1001,$F878,Clean_Data!$W$2:$W$1001,$W878,Clean_Data!$V$2:$V$1001,1)-1))),""))</f>
        <v>-1.11597762214062</v>
      </c>
      <c r="AN878" s="5" t="str">
        <f>IF($AM878="","",IF($AM878&gt;=Lookups!$K$6,"High spike",IF($AM878&lt;=-Lookups!$K$6,"Unusual low","Normal")))</f>
        <v>Normal</v>
      </c>
      <c r="AO878" s="20">
        <f>IF($V878&lt;&gt;1,"",$P878+ROW()/100000)</f>
        <v>12.00878</v>
      </c>
      <c r="AP878" s="5">
        <f>IF($A878="","",IFERROR(MATCH($A878,Raw_D1!$A$2:$A$1001,0),""))</f>
        <v/>
      </c>
      <c r="AQ878" s="5">
        <f>IF($A878="","",IFERROR(MATCH($A878,Raw_D2!$B$2:$B$1001,0),""))</f>
        <v/>
      </c>
      <c r="AR878" s="5">
        <f>IF($A878="","",IFERROR(MATCH($A878,Raw_D3!$A$2:$A$1001,0),""))</f>
        <v>258</v>
      </c>
    </row>
    <row r="879" spans="1:44" x14ac:dyDescent="0.25">
      <c r="A879" s="5">
        <v>878</v>
      </c>
      <c r="B879" s="11">
        <f>IF($A879="","",IF($AP879&lt;&gt;"",INDEX(Raw_D1!$B$2:$B$1001,$AP879),IF($AR879&lt;&gt;"",INDEX(Raw_D3!$B$2:$B$1001,$AR879),"")))</f>
        <v>40583.0</v>
      </c>
      <c r="C879" s="5">
        <f>IF($A879="","",IF($AP879&lt;&gt;"",INDEX(Raw_D1!$C$2:$C$1001,$AP879),IF($AR879&lt;&gt;"",INDEX(Raw_D3!$C$2:$C$1001,$AR879),"")))</f>
        <v>1</v>
      </c>
      <c r="D879" s="5">
        <f>IF($A879="","",IF($AP879&lt;&gt;"",INDEX(Raw_D1!$D$2:$D$1001,$AP879),IF($AR879&lt;&gt;"",INDEX(Raw_D3!$D$2:$D$1001,$AR879),"")))</f>
        <v>0</v>
      </c>
      <c r="E879" s="5">
        <f>IF($A879="","",IF($AP879&lt;&gt;"",INDEX(Raw_D1!$E$2:$E$1001,$AP879),IF($AR879&lt;&gt;"",INDEX(Raw_D3!$E$2:$E$1001,$AR879),"")))</f>
        <v>2</v>
      </c>
      <c r="F879" s="5">
        <f>IF($A879="","",IF($AP879&lt;&gt;"",INDEX(Raw_D1!$F$2:$F$1001,$AP879),IF($AR879&lt;&gt;"",INDEX(Raw_D3!$F$2:$F$1001,$AR879),"")))</f>
        <v>0</v>
      </c>
      <c r="G879" s="5">
        <f>IF($A879="","",IF($AP879&lt;&gt;"",IF(INDEX(Raw_D1!$G$2:$G$1001,$AP879),1,0),IF($AR879&lt;&gt;"",IF(INDEX(Raw_D3!$G$2:$G$1001,$AR879),1,0),"")))</f>
        <v>0</v>
      </c>
      <c r="H879" s="5">
        <f>IF($A879="","",IF($AP879&lt;&gt;"",INDEX(Raw_D1!$H$2:$H$1001,$AP879),IF($AR879&lt;&gt;"",INDEX(Raw_D3!$H$2:$H$1001,$AR879),"")))</f>
        <v>3</v>
      </c>
      <c r="I879" s="5">
        <f>IF($A879="","",IF($AP879&lt;&gt;"",INDEX(Raw_D1!$I$2:$I$1001,$AP879),IF($AR879&lt;&gt;"",INDEX(Raw_D3!$I$2:$I$1001,$AR879),"")))</f>
        <v>1</v>
      </c>
      <c r="J879" s="16">
        <f>IF($A879="","",IF($AP879&lt;&gt;"",INDEX(Raw_D1!$J$2:$J$1001,$AP879),IF($AR879&lt;&gt;"",INDEX(Raw_D3!$J$2:$J$1001,$AR879),"")))</f>
        <v>0.1</v>
      </c>
      <c r="K879" s="17">
        <f>IF($A879="","",IF($AQ879&lt;&gt;"",IF(INDEX(Raw_D2!$C$2:$C$1001,$AQ879)="","",INDEX(Raw_D2!$C$2:$C$1001,$AQ879)),IF($AR879&lt;&gt;"",IF(INDEX(Raw_D3!$K$2:$K$1001,$AR879)="","",INDEX(Raw_D3!$K$2:$K$1001,$AR879)),"")))</f>
        <v>0.0758</v>
      </c>
      <c r="L879" s="16">
        <f>IF($A879="","",IF($AQ879&lt;&gt;"",IF(INDEX(Raw_D2!$D$2:$D$1001,$AQ879)="","",INDEX(Raw_D2!$D$2:$D$1001,$AQ879)),IF($AR879&lt;&gt;"",IF(INDEX(Raw_D3!$L$2:$L$1001,$AR879)="","",INDEX(Raw_D3!$L$2:$L$1001,$AR879)),"")))</f>
        <v>0.36</v>
      </c>
      <c r="M879" s="17">
        <f>IF($A879="","",IF($AQ879&lt;&gt;"",IF(INDEX(Raw_D2!$E$2:$E$1001,$AQ879)="","",INDEX(Raw_D2!$E$2:$E$1001,$AQ879)),IF($AR879&lt;&gt;"",IF(INDEX(Raw_D3!$M$2:$M$1001,$AR879)="","",INDEX(Raw_D3!$M$2:$M$1001,$AR879)),"")))</f>
        <v>0.3582</v>
      </c>
      <c r="N879" s="5">
        <f>IF($A879="","",IF($AQ879&lt;&gt;"",IF(INDEX(Raw_D2!$F$2:$F$1001,$AQ879)="","",INDEX(Raw_D2!$F$2:$F$1001,$AQ879)),IF($AR879&lt;&gt;"",IF(INDEX(Raw_D3!$N$2:$N$1001,$AR879)="","",INDEX(Raw_D3!$N$2:$N$1001,$AR879)),"")))</f>
        <v>0</v>
      </c>
      <c r="O879" s="5">
        <f>IF($A879="","",IF($AQ879&lt;&gt;"",IF(INDEX(Raw_D2!$G$2:$G$1001,$AQ879)="","",INDEX(Raw_D2!$G$2:$G$1001,$AQ879)),IF($AR879&lt;&gt;"",IF(INDEX(Raw_D3!$O$2:$O$1001,$AR879)="","",INDEX(Raw_D3!$O$2:$O$1001,$AR879)),"")))</f>
        <v>17</v>
      </c>
      <c r="P879" s="5">
        <f>IF($A879="","",IF($AQ879&lt;&gt;"",IF(INDEX(Raw_D2!$H$2:$H$1001,$AQ879)="","",INDEX(Raw_D2!$H$2:$H$1001,$AQ879)),IF($AR879&lt;&gt;"",IF(INDEX(Raw_D3!$P$2:$P$1001,$AR879)="","",INDEX(Raw_D3!$P$2:$P$1001,$AR879)),"")))</f>
        <v>17</v>
      </c>
      <c r="Q879" s="5" t="str">
        <f>IF($A879="","",IF(AND($AP879&lt;&gt;"",$AQ879&lt;&gt;""),"D1+D2",IF($AR879&lt;&gt;"","D3","Incomplete")))</f>
        <v>D3</v>
      </c>
      <c r="R879" s="17">
        <f>IF($A879="","",IF($K879="",IF($J879="","",ROUND(Lookups!$K$5+Lookups!$K$4*$J879,4)),$K879))</f>
        <v>0.0758</v>
      </c>
      <c r="S879" s="5" t="str">
        <f>IF($A879="","",IF($K879="","Imputed","Original"))</f>
        <v>Original</v>
      </c>
      <c r="T879" s="5" t="str">
        <f>IF($A879="","",IF($P879="","Missing",IF($P879=$N879+$O879,"OK","Mismatch")))</f>
        <v>OK</v>
      </c>
      <c r="U879" s="5" t="str">
        <f>IF($A879="","",IF(COUNTIF($A$2:$A879,$A879)&gt;1,"Duplicate","Unique"))</f>
        <v>Unique</v>
      </c>
      <c r="V879" s="5">
        <f>IF($A879="","",IF(AND($U879="Unique",ISNUMBER($P879)),1,0))</f>
        <v>1</v>
      </c>
      <c r="W879" s="5" t="str">
        <f>IF($A879="","",IF(OR($H879=0,$H879=6),"Weekend","Weekday"))</f>
        <v>Weekday</v>
      </c>
      <c r="X879" s="5" t="str">
        <f>IF($A879="","",TEXT($B879,"ddd"))</f>
        <v>Wed</v>
      </c>
      <c r="Y879" s="5" t="str">
        <f>IF($A879="","",TEXT($B879,"mmm"))</f>
        <v>Feb</v>
      </c>
      <c r="Z879" s="5" t="str">
        <f>IF($A879="","",IFERROR(VLOOKUP($C879,Lookups!$D$4:$E$7,2,FALSE),"Unknown"))</f>
        <v>Winter</v>
      </c>
      <c r="AA879" s="5" t="str">
        <f>IF($A879="","",IFERROR(VLOOKUP($I879,Lookups!$A$4:$B$7,2,FALSE),"Unknown"))</f>
        <v>Clear</v>
      </c>
      <c r="AB879" s="5" t="str">
        <f>IF($A879="","",TEXT($F879,"00")&amp;":00")</f>
        <v>00:00</v>
      </c>
      <c r="AC879" s="5" t="str">
        <f>IF($A879="","",VLOOKUP($F879,Lookups!$G$4:$H$8,2,TRUE))</f>
        <v>Night (00-05)</v>
      </c>
      <c r="AD879" s="18">
        <f>IF($A879="","",IF($J879="","",ROUND($J879*41,1)))</f>
        <v>4.1</v>
      </c>
      <c r="AE879" s="18">
        <f>IF($A879="","",IF($R879="","",ROUND($R879*50,1)))</f>
        <v>3.8</v>
      </c>
      <c r="AF879" s="5">
        <f>IF($A879="","",IF($L879="","",ROUND($L879*100,0)))</f>
        <v>36</v>
      </c>
      <c r="AG879" s="18">
        <f>IF($A879="","",IF($M879="","",ROUND($M879*67,1)))</f>
        <v>24</v>
      </c>
      <c r="AH879" s="19">
        <f>IF($A879="","",IF($P879="","",IF($P879=0,0,$O879/$P879)))</f>
        <v>1</v>
      </c>
      <c r="AI879" s="5" t="str">
        <f>IF($A879="","",IF($P879="","",IF($P879&gt;=Lookups!$K$7,"High",IF($P879&lt;=Lookups!$K$8,"Low","Medium"))))</f>
        <v>Medium</v>
      </c>
      <c r="AJ879" s="5" t="str">
        <f>IF($A879="","",IF($AD879="","",IF($AD879&lt;5,"Under 5 C",IF($AD879&lt;10,"5-10 C",IF($AD879&lt;15,"10-15 C","15 C and above")))))</f>
        <v>Under 5 C</v>
      </c>
      <c r="AK879" s="5">
        <f>IF($A879="","",IF($P879="","",$P879^2))</f>
        <v>289</v>
      </c>
      <c r="AL879" s="18">
        <f>IF($V879&lt;&gt;1,"",AVERAGEIFS(Clean_Data!$P$2:$P$1001,Clean_Data!$F$2:$F$1001,$F879,Clean_Data!$W$2:$W$1001,$W879,Clean_Data!$V$2:$V$1001,1))</f>
        <v>10.6896551724138</v>
      </c>
      <c r="AM879" s="16">
        <f>IF($V879&lt;&gt;1,"",IFERROR(($P879-$AL879)/SQRT(MAX(0,(SUMIFS(Clean_Data!$AK$2:$AK$1001,Clean_Data!$F$2:$F$1001,$F879,Clean_Data!$W$2:$W$1001,$W879,Clean_Data!$V$2:$V$1001,1)-COUNTIFS(Clean_Data!$F$2:$F$1001,$F879,Clean_Data!$W$2:$W$1001,$W879,Clean_Data!$V$2:$V$1001,1)*$AL879^2)/(COUNTIFS(Clean_Data!$F$2:$F$1001,$F879,Clean_Data!$W$2:$W$1001,$W879,Clean_Data!$V$2:$V$1001,1)-1))),""))</f>
        <v>1.28981570673671</v>
      </c>
      <c r="AN879" s="5" t="str">
        <f>IF($AM879="","",IF($AM879&gt;=Lookups!$K$6,"High spike",IF($AM879&lt;=-Lookups!$K$6,"Unusual low","Normal")))</f>
        <v>Normal</v>
      </c>
      <c r="AO879" s="20">
        <f>IF($V879&lt;&gt;1,"",$P879+ROW()/100000)</f>
        <v>17.00879</v>
      </c>
      <c r="AP879" s="5">
        <f>IF($A879="","",IFERROR(MATCH($A879,Raw_D1!$A$2:$A$1001,0),""))</f>
        <v/>
      </c>
      <c r="AQ879" s="5">
        <f>IF($A879="","",IFERROR(MATCH($A879,Raw_D2!$B$2:$B$1001,0),""))</f>
        <v/>
      </c>
      <c r="AR879" s="5">
        <f>IF($A879="","",IFERROR(MATCH($A879,Raw_D3!$A$2:$A$1001,0),""))</f>
        <v>259</v>
      </c>
    </row>
    <row r="880" spans="1:44" x14ac:dyDescent="0.25">
      <c r="A880" s="5">
        <v>879</v>
      </c>
      <c r="B880" s="11">
        <f>IF($A880="","",IF($AP880&lt;&gt;"",INDEX(Raw_D1!$B$2:$B$1001,$AP880),IF($AR880&lt;&gt;"",INDEX(Raw_D3!$B$2:$B$1001,$AR880),"")))</f>
        <v>40583.0</v>
      </c>
      <c r="C880" s="5">
        <f>IF($A880="","",IF($AP880&lt;&gt;"",INDEX(Raw_D1!$C$2:$C$1001,$AP880),IF($AR880&lt;&gt;"",INDEX(Raw_D3!$C$2:$C$1001,$AR880),"")))</f>
        <v>1</v>
      </c>
      <c r="D880" s="5">
        <f>IF($A880="","",IF($AP880&lt;&gt;"",INDEX(Raw_D1!$D$2:$D$1001,$AP880),IF($AR880&lt;&gt;"",INDEX(Raw_D3!$D$2:$D$1001,$AR880),"")))</f>
        <v>0</v>
      </c>
      <c r="E880" s="5">
        <f>IF($A880="","",IF($AP880&lt;&gt;"",INDEX(Raw_D1!$E$2:$E$1001,$AP880),IF($AR880&lt;&gt;"",INDEX(Raw_D3!$E$2:$E$1001,$AR880),"")))</f>
        <v>2</v>
      </c>
      <c r="F880" s="5">
        <f>IF($A880="","",IF($AP880&lt;&gt;"",INDEX(Raw_D1!$F$2:$F$1001,$AP880),IF($AR880&lt;&gt;"",INDEX(Raw_D3!$F$2:$F$1001,$AR880),"")))</f>
        <v>1</v>
      </c>
      <c r="G880" s="5">
        <f>IF($A880="","",IF($AP880&lt;&gt;"",IF(INDEX(Raw_D1!$G$2:$G$1001,$AP880),1,0),IF($AR880&lt;&gt;"",IF(INDEX(Raw_D3!$G$2:$G$1001,$AR880),1,0),"")))</f>
        <v>0</v>
      </c>
      <c r="H880" s="5">
        <f>IF($A880="","",IF($AP880&lt;&gt;"",INDEX(Raw_D1!$H$2:$H$1001,$AP880),IF($AR880&lt;&gt;"",INDEX(Raw_D3!$H$2:$H$1001,$AR880),"")))</f>
        <v>3</v>
      </c>
      <c r="I880" s="5">
        <f>IF($A880="","",IF($AP880&lt;&gt;"",INDEX(Raw_D1!$I$2:$I$1001,$AP880),IF($AR880&lt;&gt;"",INDEX(Raw_D3!$I$2:$I$1001,$AR880),"")))</f>
        <v>1</v>
      </c>
      <c r="J880" s="16">
        <f>IF($A880="","",IF($AP880&lt;&gt;"",INDEX(Raw_D1!$J$2:$J$1001,$AP880),IF($AR880&lt;&gt;"",INDEX(Raw_D3!$J$2:$J$1001,$AR880),"")))</f>
        <v>0.1</v>
      </c>
      <c r="K880" s="17">
        <f>IF($A880="","",IF($AQ880&lt;&gt;"",IF(INDEX(Raw_D2!$C$2:$C$1001,$AQ880)="","",INDEX(Raw_D2!$C$2:$C$1001,$AQ880)),IF($AR880&lt;&gt;"",IF(INDEX(Raw_D3!$K$2:$K$1001,$AR880)="","",INDEX(Raw_D3!$K$2:$K$1001,$AR880)),"")))</f>
        <v>0.1061</v>
      </c>
      <c r="L880" s="16">
        <f>IF($A880="","",IF($AQ880&lt;&gt;"",IF(INDEX(Raw_D2!$D$2:$D$1001,$AQ880)="","",INDEX(Raw_D2!$D$2:$D$1001,$AQ880)),IF($AR880&lt;&gt;"",IF(INDEX(Raw_D3!$L$2:$L$1001,$AR880)="","",INDEX(Raw_D3!$L$2:$L$1001,$AR880)),"")))</f>
        <v>0.36</v>
      </c>
      <c r="M880" s="17">
        <f>IF($A880="","",IF($AQ880&lt;&gt;"",IF(INDEX(Raw_D2!$E$2:$E$1001,$AQ880)="","",INDEX(Raw_D2!$E$2:$E$1001,$AQ880)),IF($AR880&lt;&gt;"",IF(INDEX(Raw_D3!$M$2:$M$1001,$AR880)="","",INDEX(Raw_D3!$M$2:$M$1001,$AR880)),"")))</f>
        <v>0.2239</v>
      </c>
      <c r="N880" s="5">
        <f>IF($A880="","",IF($AQ880&lt;&gt;"",IF(INDEX(Raw_D2!$F$2:$F$1001,$AQ880)="","",INDEX(Raw_D2!$F$2:$F$1001,$AQ880)),IF($AR880&lt;&gt;"",IF(INDEX(Raw_D3!$N$2:$N$1001,$AR880)="","",INDEX(Raw_D3!$N$2:$N$1001,$AR880)),"")))</f>
        <v>0</v>
      </c>
      <c r="O880" s="5">
        <f>IF($A880="","",IF($AQ880&lt;&gt;"",IF(INDEX(Raw_D2!$G$2:$G$1001,$AQ880)="","",INDEX(Raw_D2!$G$2:$G$1001,$AQ880)),IF($AR880&lt;&gt;"",IF(INDEX(Raw_D3!$O$2:$O$1001,$AR880)="","",INDEX(Raw_D3!$O$2:$O$1001,$AR880)),"")))</f>
        <v>7</v>
      </c>
      <c r="P880" s="5">
        <f>IF($A880="","",IF($AQ880&lt;&gt;"",IF(INDEX(Raw_D2!$H$2:$H$1001,$AQ880)="","",INDEX(Raw_D2!$H$2:$H$1001,$AQ880)),IF($AR880&lt;&gt;"",IF(INDEX(Raw_D3!$P$2:$P$1001,$AR880)="","",INDEX(Raw_D3!$P$2:$P$1001,$AR880)),"")))</f>
        <v>7</v>
      </c>
      <c r="Q880" s="5" t="str">
        <f>IF($A880="","",IF(AND($AP880&lt;&gt;"",$AQ880&lt;&gt;""),"D1+D2",IF($AR880&lt;&gt;"","D3","Incomplete")))</f>
        <v>D3</v>
      </c>
      <c r="R880" s="17">
        <f>IF($A880="","",IF($K880="",IF($J880="","",ROUND(Lookups!$K$5+Lookups!$K$4*$J880,4)),$K880))</f>
        <v>0.1061</v>
      </c>
      <c r="S880" s="5" t="str">
        <f>IF($A880="","",IF($K880="","Imputed","Original"))</f>
        <v>Original</v>
      </c>
      <c r="T880" s="5" t="str">
        <f>IF($A880="","",IF($P880="","Missing",IF($P880=$N880+$O880,"OK","Mismatch")))</f>
        <v>OK</v>
      </c>
      <c r="U880" s="5" t="str">
        <f>IF($A880="","",IF(COUNTIF($A$2:$A880,$A880)&gt;1,"Duplicate","Unique"))</f>
        <v>Unique</v>
      </c>
      <c r="V880" s="5">
        <f>IF($A880="","",IF(AND($U880="Unique",ISNUMBER($P880)),1,0))</f>
        <v>1</v>
      </c>
      <c r="W880" s="5" t="str">
        <f>IF($A880="","",IF(OR($H880=0,$H880=6),"Weekend","Weekday"))</f>
        <v>Weekday</v>
      </c>
      <c r="X880" s="5" t="str">
        <f>IF($A880="","",TEXT($B880,"ddd"))</f>
        <v>Wed</v>
      </c>
      <c r="Y880" s="5" t="str">
        <f>IF($A880="","",TEXT($B880,"mmm"))</f>
        <v>Feb</v>
      </c>
      <c r="Z880" s="5" t="str">
        <f>IF($A880="","",IFERROR(VLOOKUP($C880,Lookups!$D$4:$E$7,2,FALSE),"Unknown"))</f>
        <v>Winter</v>
      </c>
      <c r="AA880" s="5" t="str">
        <f>IF($A880="","",IFERROR(VLOOKUP($I880,Lookups!$A$4:$B$7,2,FALSE),"Unknown"))</f>
        <v>Clear</v>
      </c>
      <c r="AB880" s="5" t="str">
        <f>IF($A880="","",TEXT($F880,"00")&amp;":00")</f>
        <v>01:00</v>
      </c>
      <c r="AC880" s="5" t="str">
        <f>IF($A880="","",VLOOKUP($F880,Lookups!$G$4:$H$8,2,TRUE))</f>
        <v>Night (00-05)</v>
      </c>
      <c r="AD880" s="18">
        <f>IF($A880="","",IF($J880="","",ROUND($J880*41,1)))</f>
        <v>4.1</v>
      </c>
      <c r="AE880" s="18">
        <f>IF($A880="","",IF($R880="","",ROUND($R880*50,1)))</f>
        <v>5.3</v>
      </c>
      <c r="AF880" s="5">
        <f>IF($A880="","",IF($L880="","",ROUND($L880*100,0)))</f>
        <v>36</v>
      </c>
      <c r="AG880" s="18">
        <f>IF($A880="","",IF($M880="","",ROUND($M880*67,1)))</f>
        <v>15</v>
      </c>
      <c r="AH880" s="19">
        <f>IF($A880="","",IF($P880="","",IF($P880=0,0,$O880/$P880)))</f>
        <v>1</v>
      </c>
      <c r="AI880" s="5" t="str">
        <f>IF($A880="","",IF($P880="","",IF($P880&gt;=Lookups!$K$7,"High",IF($P880&lt;=Lookups!$K$8,"Low","Medium"))))</f>
        <v>Low</v>
      </c>
      <c r="AJ880" s="5" t="str">
        <f>IF($A880="","",IF($AD880="","",IF($AD880&lt;5,"Under 5 C",IF($AD880&lt;10,"5-10 C",IF($AD880&lt;15,"10-15 C","15 C and above")))))</f>
        <v>Under 5 C</v>
      </c>
      <c r="AK880" s="5">
        <f>IF($A880="","",IF($P880="","",$P880^2))</f>
        <v>49</v>
      </c>
      <c r="AL880" s="18">
        <f>IF($V880&lt;&gt;1,"",AVERAGEIFS(Clean_Data!$P$2:$P$1001,Clean_Data!$F$2:$F$1001,$F880,Clean_Data!$W$2:$W$1001,$W880,Clean_Data!$V$2:$V$1001,1))</f>
        <v>5.10344827586207</v>
      </c>
      <c r="AM880" s="16">
        <f>IF($V880&lt;&gt;1,"",IFERROR(($P880-$AL880)/SQRT(MAX(0,(SUMIFS(Clean_Data!$AK$2:$AK$1001,Clean_Data!$F$2:$F$1001,$F880,Clean_Data!$W$2:$W$1001,$W880,Clean_Data!$V$2:$V$1001,1)-COUNTIFS(Clean_Data!$F$2:$F$1001,$F880,Clean_Data!$W$2:$W$1001,$W880,Clean_Data!$V$2:$V$1001,1)*$AL880^2)/(COUNTIFS(Clean_Data!$F$2:$F$1001,$F880,Clean_Data!$W$2:$W$1001,$W880,Clean_Data!$V$2:$V$1001,1)-1))),""))</f>
        <v>0.657892854181701</v>
      </c>
      <c r="AN880" s="5" t="str">
        <f>IF($AM880="","",IF($AM880&gt;=Lookups!$K$6,"High spike",IF($AM880&lt;=-Lookups!$K$6,"Unusual low","Normal")))</f>
        <v>Normal</v>
      </c>
      <c r="AO880" s="20">
        <f>IF($V880&lt;&gt;1,"",$P880+ROW()/100000)</f>
        <v>7.0088</v>
      </c>
      <c r="AP880" s="5">
        <f>IF($A880="","",IFERROR(MATCH($A880,Raw_D1!$A$2:$A$1001,0),""))</f>
        <v/>
      </c>
      <c r="AQ880" s="5">
        <f>IF($A880="","",IFERROR(MATCH($A880,Raw_D2!$B$2:$B$1001,0),""))</f>
        <v/>
      </c>
      <c r="AR880" s="5">
        <f>IF($A880="","",IFERROR(MATCH($A880,Raw_D3!$A$2:$A$1001,0),""))</f>
        <v>260</v>
      </c>
    </row>
    <row r="881" spans="1:44" x14ac:dyDescent="0.25">
      <c r="A881" s="5">
        <v>880</v>
      </c>
      <c r="B881" s="11">
        <f>IF($A881="","",IF($AP881&lt;&gt;"",INDEX(Raw_D1!$B$2:$B$1001,$AP881),IF($AR881&lt;&gt;"",INDEX(Raw_D3!$B$2:$B$1001,$AR881),"")))</f>
        <v>40583.0</v>
      </c>
      <c r="C881" s="5">
        <f>IF($A881="","",IF($AP881&lt;&gt;"",INDEX(Raw_D1!$C$2:$C$1001,$AP881),IF($AR881&lt;&gt;"",INDEX(Raw_D3!$C$2:$C$1001,$AR881),"")))</f>
        <v>1</v>
      </c>
      <c r="D881" s="5">
        <f>IF($A881="","",IF($AP881&lt;&gt;"",INDEX(Raw_D1!$D$2:$D$1001,$AP881),IF($AR881&lt;&gt;"",INDEX(Raw_D3!$D$2:$D$1001,$AR881),"")))</f>
        <v>0</v>
      </c>
      <c r="E881" s="5">
        <f>IF($A881="","",IF($AP881&lt;&gt;"",INDEX(Raw_D1!$E$2:$E$1001,$AP881),IF($AR881&lt;&gt;"",INDEX(Raw_D3!$E$2:$E$1001,$AR881),"")))</f>
        <v>2</v>
      </c>
      <c r="F881" s="5">
        <f>IF($A881="","",IF($AP881&lt;&gt;"",INDEX(Raw_D1!$F$2:$F$1001,$AP881),IF($AR881&lt;&gt;"",INDEX(Raw_D3!$F$2:$F$1001,$AR881),"")))</f>
        <v>2</v>
      </c>
      <c r="G881" s="5">
        <f>IF($A881="","",IF($AP881&lt;&gt;"",IF(INDEX(Raw_D1!$G$2:$G$1001,$AP881),1,0),IF($AR881&lt;&gt;"",IF(INDEX(Raw_D3!$G$2:$G$1001,$AR881),1,0),"")))</f>
        <v>0</v>
      </c>
      <c r="H881" s="5">
        <f>IF($A881="","",IF($AP881&lt;&gt;"",INDEX(Raw_D1!$H$2:$H$1001,$AP881),IF($AR881&lt;&gt;"",INDEX(Raw_D3!$H$2:$H$1001,$AR881),"")))</f>
        <v>3</v>
      </c>
      <c r="I881" s="5">
        <f>IF($A881="","",IF($AP881&lt;&gt;"",INDEX(Raw_D1!$I$2:$I$1001,$AP881),IF($AR881&lt;&gt;"",INDEX(Raw_D3!$I$2:$I$1001,$AR881),"")))</f>
        <v>1</v>
      </c>
      <c r="J881" s="16">
        <f>IF($A881="","",IF($AP881&lt;&gt;"",INDEX(Raw_D1!$J$2:$J$1001,$AP881),IF($AR881&lt;&gt;"",INDEX(Raw_D3!$J$2:$J$1001,$AR881),"")))</f>
        <v>0.08</v>
      </c>
      <c r="K881" s="17">
        <f>IF($A881="","",IF($AQ881&lt;&gt;"",IF(INDEX(Raw_D2!$C$2:$C$1001,$AQ881)="","",INDEX(Raw_D2!$C$2:$C$1001,$AQ881)),IF($AR881&lt;&gt;"",IF(INDEX(Raw_D3!$K$2:$K$1001,$AR881)="","",INDEX(Raw_D3!$K$2:$K$1001,$AR881)),"")))</f>
        <v>0.0758</v>
      </c>
      <c r="L881" s="16">
        <f>IF($A881="","",IF($AQ881&lt;&gt;"",IF(INDEX(Raw_D2!$D$2:$D$1001,$AQ881)="","",INDEX(Raw_D2!$D$2:$D$1001,$AQ881)),IF($AR881&lt;&gt;"",IF(INDEX(Raw_D3!$L$2:$L$1001,$AR881)="","",INDEX(Raw_D3!$L$2:$L$1001,$AR881)),"")))</f>
        <v>0.38</v>
      </c>
      <c r="M881" s="17">
        <f>IF($A881="","",IF($AQ881&lt;&gt;"",IF(INDEX(Raw_D2!$E$2:$E$1001,$AQ881)="","",INDEX(Raw_D2!$E$2:$E$1001,$AQ881)),IF($AR881&lt;&gt;"",IF(INDEX(Raw_D3!$M$2:$M$1001,$AR881)="","",INDEX(Raw_D3!$M$2:$M$1001,$AR881)),"")))</f>
        <v>0.2836</v>
      </c>
      <c r="N881" s="5">
        <f>IF($A881="","",IF($AQ881&lt;&gt;"",IF(INDEX(Raw_D2!$F$2:$F$1001,$AQ881)="","",INDEX(Raw_D2!$F$2:$F$1001,$AQ881)),IF($AR881&lt;&gt;"",IF(INDEX(Raw_D3!$N$2:$N$1001,$AR881)="","",INDEX(Raw_D3!$N$2:$N$1001,$AR881)),"")))</f>
        <v>1</v>
      </c>
      <c r="O881" s="5">
        <f>IF($A881="","",IF($AQ881&lt;&gt;"",IF(INDEX(Raw_D2!$G$2:$G$1001,$AQ881)="","",INDEX(Raw_D2!$G$2:$G$1001,$AQ881)),IF($AR881&lt;&gt;"",IF(INDEX(Raw_D3!$O$2:$O$1001,$AR881)="","",INDEX(Raw_D3!$O$2:$O$1001,$AR881)),"")))</f>
        <v>2</v>
      </c>
      <c r="P881" s="5">
        <f>IF($A881="","",IF($AQ881&lt;&gt;"",IF(INDEX(Raw_D2!$H$2:$H$1001,$AQ881)="","",INDEX(Raw_D2!$H$2:$H$1001,$AQ881)),IF($AR881&lt;&gt;"",IF(INDEX(Raw_D3!$P$2:$P$1001,$AR881)="","",INDEX(Raw_D3!$P$2:$P$1001,$AR881)),"")))</f>
        <v>3</v>
      </c>
      <c r="Q881" s="5" t="str">
        <f>IF($A881="","",IF(AND($AP881&lt;&gt;"",$AQ881&lt;&gt;""),"D1+D2",IF($AR881&lt;&gt;"","D3","Incomplete")))</f>
        <v>D3</v>
      </c>
      <c r="R881" s="17">
        <f>IF($A881="","",IF($K881="",IF($J881="","",ROUND(Lookups!$K$5+Lookups!$K$4*$J881,4)),$K881))</f>
        <v>0.0758</v>
      </c>
      <c r="S881" s="5" t="str">
        <f>IF($A881="","",IF($K881="","Imputed","Original"))</f>
        <v>Original</v>
      </c>
      <c r="T881" s="5" t="str">
        <f>IF($A881="","",IF($P881="","Missing",IF($P881=$N881+$O881,"OK","Mismatch")))</f>
        <v>OK</v>
      </c>
      <c r="U881" s="5" t="str">
        <f>IF($A881="","",IF(COUNTIF($A$2:$A881,$A881)&gt;1,"Duplicate","Unique"))</f>
        <v>Unique</v>
      </c>
      <c r="V881" s="5">
        <f>IF($A881="","",IF(AND($U881="Unique",ISNUMBER($P881)),1,0))</f>
        <v>1</v>
      </c>
      <c r="W881" s="5" t="str">
        <f>IF($A881="","",IF(OR($H881=0,$H881=6),"Weekend","Weekday"))</f>
        <v>Weekday</v>
      </c>
      <c r="X881" s="5" t="str">
        <f>IF($A881="","",TEXT($B881,"ddd"))</f>
        <v>Wed</v>
      </c>
      <c r="Y881" s="5" t="str">
        <f>IF($A881="","",TEXT($B881,"mmm"))</f>
        <v>Feb</v>
      </c>
      <c r="Z881" s="5" t="str">
        <f>IF($A881="","",IFERROR(VLOOKUP($C881,Lookups!$D$4:$E$7,2,FALSE),"Unknown"))</f>
        <v>Winter</v>
      </c>
      <c r="AA881" s="5" t="str">
        <f>IF($A881="","",IFERROR(VLOOKUP($I881,Lookups!$A$4:$B$7,2,FALSE),"Unknown"))</f>
        <v>Clear</v>
      </c>
      <c r="AB881" s="5" t="str">
        <f>IF($A881="","",TEXT($F881,"00")&amp;":00")</f>
        <v>02:00</v>
      </c>
      <c r="AC881" s="5" t="str">
        <f>IF($A881="","",VLOOKUP($F881,Lookups!$G$4:$H$8,2,TRUE))</f>
        <v>Night (00-05)</v>
      </c>
      <c r="AD881" s="18">
        <f>IF($A881="","",IF($J881="","",ROUND($J881*41,1)))</f>
        <v>3.3</v>
      </c>
      <c r="AE881" s="18">
        <f>IF($A881="","",IF($R881="","",ROUND($R881*50,1)))</f>
        <v>3.8</v>
      </c>
      <c r="AF881" s="5">
        <f>IF($A881="","",IF($L881="","",ROUND($L881*100,0)))</f>
        <v>38</v>
      </c>
      <c r="AG881" s="18">
        <f>IF($A881="","",IF($M881="","",ROUND($M881*67,1)))</f>
        <v>19</v>
      </c>
      <c r="AH881" s="19">
        <f>IF($A881="","",IF($P881="","",IF($P881=0,0,$O881/$P881)))</f>
        <v>0.666666666666667</v>
      </c>
      <c r="AI881" s="5" t="str">
        <f>IF($A881="","",IF($P881="","",IF($P881&gt;=Lookups!$K$7,"High",IF($P881&lt;=Lookups!$K$8,"Low","Medium"))))</f>
        <v>Low</v>
      </c>
      <c r="AJ881" s="5" t="str">
        <f>IF($A881="","",IF($AD881="","",IF($AD881&lt;5,"Under 5 C",IF($AD881&lt;10,"5-10 C",IF($AD881&lt;15,"10-15 C","15 C and above")))))</f>
        <v>Under 5 C</v>
      </c>
      <c r="AK881" s="5">
        <f>IF($A881="","",IF($P881="","",$P881^2))</f>
        <v>9</v>
      </c>
      <c r="AL881" s="18">
        <f>IF($V881&lt;&gt;1,"",AVERAGEIFS(Clean_Data!$P$2:$P$1001,Clean_Data!$F$2:$F$1001,$F881,Clean_Data!$W$2:$W$1001,$W881,Clean_Data!$V$2:$V$1001,1))</f>
        <v>2.62962962962963</v>
      </c>
      <c r="AM881" s="16">
        <f>IF($V881&lt;&gt;1,"",IFERROR(($P881-$AL881)/SQRT(MAX(0,(SUMIFS(Clean_Data!$AK$2:$AK$1001,Clean_Data!$F$2:$F$1001,$F881,Clean_Data!$W$2:$W$1001,$W881,Clean_Data!$V$2:$V$1001,1)-COUNTIFS(Clean_Data!$F$2:$F$1001,$F881,Clean_Data!$W$2:$W$1001,$W881,Clean_Data!$V$2:$V$1001,1)*$AL881^2)/(COUNTIFS(Clean_Data!$F$2:$F$1001,$F881,Clean_Data!$W$2:$W$1001,$W881,Clean_Data!$V$2:$V$1001,1)-1))),""))</f>
        <v>0.183174006014898</v>
      </c>
      <c r="AN881" s="5" t="str">
        <f>IF($AM881="","",IF($AM881&gt;=Lookups!$K$6,"High spike",IF($AM881&lt;=-Lookups!$K$6,"Unusual low","Normal")))</f>
        <v>Normal</v>
      </c>
      <c r="AO881" s="20">
        <f>IF($V881&lt;&gt;1,"",$P881+ROW()/100000)</f>
        <v>3.00881</v>
      </c>
      <c r="AP881" s="5">
        <f>IF($A881="","",IFERROR(MATCH($A881,Raw_D1!$A$2:$A$1001,0),""))</f>
        <v/>
      </c>
      <c r="AQ881" s="5">
        <f>IF($A881="","",IFERROR(MATCH($A881,Raw_D2!$B$2:$B$1001,0),""))</f>
        <v/>
      </c>
      <c r="AR881" s="5">
        <f>IF($A881="","",IFERROR(MATCH($A881,Raw_D3!$A$2:$A$1001,0),""))</f>
        <v>261</v>
      </c>
    </row>
    <row r="882" spans="1:44" x14ac:dyDescent="0.25">
      <c r="A882" s="5">
        <v>881</v>
      </c>
      <c r="B882" s="11">
        <f>IF($A882="","",IF($AP882&lt;&gt;"",INDEX(Raw_D1!$B$2:$B$1001,$AP882),IF($AR882&lt;&gt;"",INDEX(Raw_D3!$B$2:$B$1001,$AR882),"")))</f>
        <v>40583.0</v>
      </c>
      <c r="C882" s="5">
        <f>IF($A882="","",IF($AP882&lt;&gt;"",INDEX(Raw_D1!$C$2:$C$1001,$AP882),IF($AR882&lt;&gt;"",INDEX(Raw_D3!$C$2:$C$1001,$AR882),"")))</f>
        <v>1</v>
      </c>
      <c r="D882" s="5">
        <f>IF($A882="","",IF($AP882&lt;&gt;"",INDEX(Raw_D1!$D$2:$D$1001,$AP882),IF($AR882&lt;&gt;"",INDEX(Raw_D3!$D$2:$D$1001,$AR882),"")))</f>
        <v>0</v>
      </c>
      <c r="E882" s="5">
        <f>IF($A882="","",IF($AP882&lt;&gt;"",INDEX(Raw_D1!$E$2:$E$1001,$AP882),IF($AR882&lt;&gt;"",INDEX(Raw_D3!$E$2:$E$1001,$AR882),"")))</f>
        <v>2</v>
      </c>
      <c r="F882" s="5">
        <f>IF($A882="","",IF($AP882&lt;&gt;"",INDEX(Raw_D1!$F$2:$F$1001,$AP882),IF($AR882&lt;&gt;"",INDEX(Raw_D3!$F$2:$F$1001,$AR882),"")))</f>
        <v>3</v>
      </c>
      <c r="G882" s="5">
        <f>IF($A882="","",IF($AP882&lt;&gt;"",IF(INDEX(Raw_D1!$G$2:$G$1001,$AP882),1,0),IF($AR882&lt;&gt;"",IF(INDEX(Raw_D3!$G$2:$G$1001,$AR882),1,0),"")))</f>
        <v>0</v>
      </c>
      <c r="H882" s="5">
        <f>IF($A882="","",IF($AP882&lt;&gt;"",INDEX(Raw_D1!$H$2:$H$1001,$AP882),IF($AR882&lt;&gt;"",INDEX(Raw_D3!$H$2:$H$1001,$AR882),"")))</f>
        <v>3</v>
      </c>
      <c r="I882" s="5">
        <f>IF($A882="","",IF($AP882&lt;&gt;"",INDEX(Raw_D1!$I$2:$I$1001,$AP882),IF($AR882&lt;&gt;"",INDEX(Raw_D3!$I$2:$I$1001,$AR882),"")))</f>
        <v>1</v>
      </c>
      <c r="J882" s="16">
        <f>IF($A882="","",IF($AP882&lt;&gt;"",INDEX(Raw_D1!$J$2:$J$1001,$AP882),IF($AR882&lt;&gt;"",INDEX(Raw_D3!$J$2:$J$1001,$AR882),"")))</f>
        <v>0.06</v>
      </c>
      <c r="K882" s="17">
        <f>IF($A882="","",IF($AQ882&lt;&gt;"",IF(INDEX(Raw_D2!$C$2:$C$1001,$AQ882)="","",INDEX(Raw_D2!$C$2:$C$1001,$AQ882)),IF($AR882&lt;&gt;"",IF(INDEX(Raw_D3!$K$2:$K$1001,$AR882)="","",INDEX(Raw_D3!$K$2:$K$1001,$AR882)),"")))</f>
        <v>0.0758</v>
      </c>
      <c r="L882" s="16">
        <f>IF($A882="","",IF($AQ882&lt;&gt;"",IF(INDEX(Raw_D2!$D$2:$D$1001,$AQ882)="","",INDEX(Raw_D2!$D$2:$D$1001,$AQ882)),IF($AR882&lt;&gt;"",IF(INDEX(Raw_D3!$L$2:$L$1001,$AR882)="","",INDEX(Raw_D3!$L$2:$L$1001,$AR882)),"")))</f>
        <v>0.45</v>
      </c>
      <c r="M882" s="17">
        <f>IF($A882="","",IF($AQ882&lt;&gt;"",IF(INDEX(Raw_D2!$E$2:$E$1001,$AQ882)="","",INDEX(Raw_D2!$E$2:$E$1001,$AQ882)),IF($AR882&lt;&gt;"",IF(INDEX(Raw_D3!$M$2:$M$1001,$AR882)="","",INDEX(Raw_D3!$M$2:$M$1001,$AR882)),"")))</f>
        <v>0.1343</v>
      </c>
      <c r="N882" s="5">
        <f>IF($A882="","",IF($AQ882&lt;&gt;"",IF(INDEX(Raw_D2!$F$2:$F$1001,$AQ882)="","",INDEX(Raw_D2!$F$2:$F$1001,$AQ882)),IF($AR882&lt;&gt;"",IF(INDEX(Raw_D3!$N$2:$N$1001,$AR882)="","",INDEX(Raw_D3!$N$2:$N$1001,$AR882)),"")))</f>
        <v>0</v>
      </c>
      <c r="O882" s="5">
        <f>IF($A882="","",IF($AQ882&lt;&gt;"",IF(INDEX(Raw_D2!$G$2:$G$1001,$AQ882)="","",INDEX(Raw_D2!$G$2:$G$1001,$AQ882)),IF($AR882&lt;&gt;"",IF(INDEX(Raw_D3!$O$2:$O$1001,$AR882)="","",INDEX(Raw_D3!$O$2:$O$1001,$AR882)),"")))</f>
        <v>2</v>
      </c>
      <c r="P882" s="5">
        <f>IF($A882="","",IF($AQ882&lt;&gt;"",IF(INDEX(Raw_D2!$H$2:$H$1001,$AQ882)="","",INDEX(Raw_D2!$H$2:$H$1001,$AQ882)),IF($AR882&lt;&gt;"",IF(INDEX(Raw_D3!$P$2:$P$1001,$AR882)="","",INDEX(Raw_D3!$P$2:$P$1001,$AR882)),"")))</f>
        <v>2</v>
      </c>
      <c r="Q882" s="5" t="str">
        <f>IF($A882="","",IF(AND($AP882&lt;&gt;"",$AQ882&lt;&gt;""),"D1+D2",IF($AR882&lt;&gt;"","D3","Incomplete")))</f>
        <v>D3</v>
      </c>
      <c r="R882" s="17">
        <f>IF($A882="","",IF($K882="",IF($J882="","",ROUND(Lookups!$K$5+Lookups!$K$4*$J882,4)),$K882))</f>
        <v>0.0758</v>
      </c>
      <c r="S882" s="5" t="str">
        <f>IF($A882="","",IF($K882="","Imputed","Original"))</f>
        <v>Original</v>
      </c>
      <c r="T882" s="5" t="str">
        <f>IF($A882="","",IF($P882="","Missing",IF($P882=$N882+$O882,"OK","Mismatch")))</f>
        <v>OK</v>
      </c>
      <c r="U882" s="5" t="str">
        <f>IF($A882="","",IF(COUNTIF($A$2:$A882,$A882)&gt;1,"Duplicate","Unique"))</f>
        <v>Unique</v>
      </c>
      <c r="V882" s="5">
        <f>IF($A882="","",IF(AND($U882="Unique",ISNUMBER($P882)),1,0))</f>
        <v>1</v>
      </c>
      <c r="W882" s="5" t="str">
        <f>IF($A882="","",IF(OR($H882=0,$H882=6),"Weekend","Weekday"))</f>
        <v>Weekday</v>
      </c>
      <c r="X882" s="5" t="str">
        <f>IF($A882="","",TEXT($B882,"ddd"))</f>
        <v>Wed</v>
      </c>
      <c r="Y882" s="5" t="str">
        <f>IF($A882="","",TEXT($B882,"mmm"))</f>
        <v>Feb</v>
      </c>
      <c r="Z882" s="5" t="str">
        <f>IF($A882="","",IFERROR(VLOOKUP($C882,Lookups!$D$4:$E$7,2,FALSE),"Unknown"))</f>
        <v>Winter</v>
      </c>
      <c r="AA882" s="5" t="str">
        <f>IF($A882="","",IFERROR(VLOOKUP($I882,Lookups!$A$4:$B$7,2,FALSE),"Unknown"))</f>
        <v>Clear</v>
      </c>
      <c r="AB882" s="5" t="str">
        <f>IF($A882="","",TEXT($F882,"00")&amp;":00")</f>
        <v>03:00</v>
      </c>
      <c r="AC882" s="5" t="str">
        <f>IF($A882="","",VLOOKUP($F882,Lookups!$G$4:$H$8,2,TRUE))</f>
        <v>Night (00-05)</v>
      </c>
      <c r="AD882" s="18">
        <f>IF($A882="","",IF($J882="","",ROUND($J882*41,1)))</f>
        <v>2.5</v>
      </c>
      <c r="AE882" s="18">
        <f>IF($A882="","",IF($R882="","",ROUND($R882*50,1)))</f>
        <v>3.8</v>
      </c>
      <c r="AF882" s="5">
        <f>IF($A882="","",IF($L882="","",ROUND($L882*100,0)))</f>
        <v>45</v>
      </c>
      <c r="AG882" s="18">
        <f>IF($A882="","",IF($M882="","",ROUND($M882*67,1)))</f>
        <v>9</v>
      </c>
      <c r="AH882" s="19">
        <f>IF($A882="","",IF($P882="","",IF($P882=0,0,$O882/$P882)))</f>
        <v>1</v>
      </c>
      <c r="AI882" s="5" t="str">
        <f>IF($A882="","",IF($P882="","",IF($P882&gt;=Lookups!$K$7,"High",IF($P882&lt;=Lookups!$K$8,"Low","Medium"))))</f>
        <v>Low</v>
      </c>
      <c r="AJ882" s="5" t="str">
        <f>IF($A882="","",IF($AD882="","",IF($AD882&lt;5,"Under 5 C",IF($AD882&lt;10,"5-10 C",IF($AD882&lt;15,"10-15 C","15 C and above")))))</f>
        <v>Under 5 C</v>
      </c>
      <c r="AK882" s="5">
        <f>IF($A882="","",IF($P882="","",$P882^2))</f>
        <v>4</v>
      </c>
      <c r="AL882" s="18">
        <f>IF($V882&lt;&gt;1,"",AVERAGEIFS(Clean_Data!$P$2:$P$1001,Clean_Data!$F$2:$F$1001,$F882,Clean_Data!$W$2:$W$1001,$W882,Clean_Data!$V$2:$V$1001,1))</f>
        <v>1.41176470588235</v>
      </c>
      <c r="AM882" s="16">
        <f>IF($V882&lt;&gt;1,"",IFERROR(($P882-$AL882)/SQRT(MAX(0,(SUMIFS(Clean_Data!$AK$2:$AK$1001,Clean_Data!$F$2:$F$1001,$F882,Clean_Data!$W$2:$W$1001,$W882,Clean_Data!$V$2:$V$1001,1)-COUNTIFS(Clean_Data!$F$2:$F$1001,$F882,Clean_Data!$W$2:$W$1001,$W882,Clean_Data!$V$2:$V$1001,1)*$AL882^2)/(COUNTIFS(Clean_Data!$F$2:$F$1001,$F882,Clean_Data!$W$2:$W$1001,$W882,Clean_Data!$V$2:$V$1001,1)-1))),""))</f>
        <v>0.951302988308989</v>
      </c>
      <c r="AN882" s="5" t="str">
        <f>IF($AM882="","",IF($AM882&gt;=Lookups!$K$6,"High spike",IF($AM882&lt;=-Lookups!$K$6,"Unusual low","Normal")))</f>
        <v>Normal</v>
      </c>
      <c r="AO882" s="20">
        <f>IF($V882&lt;&gt;1,"",$P882+ROW()/100000)</f>
        <v>2.00882</v>
      </c>
      <c r="AP882" s="5">
        <f>IF($A882="","",IFERROR(MATCH($A882,Raw_D1!$A$2:$A$1001,0),""))</f>
        <v/>
      </c>
      <c r="AQ882" s="5">
        <f>IF($A882="","",IFERROR(MATCH($A882,Raw_D2!$B$2:$B$1001,0),""))</f>
        <v/>
      </c>
      <c r="AR882" s="5">
        <f>IF($A882="","",IFERROR(MATCH($A882,Raw_D3!$A$2:$A$1001,0),""))</f>
        <v>262</v>
      </c>
    </row>
    <row r="883" spans="1:44" x14ac:dyDescent="0.25">
      <c r="A883" s="5">
        <v>882</v>
      </c>
      <c r="B883" s="11">
        <f>IF($A883="","",IF($AP883&lt;&gt;"",INDEX(Raw_D1!$B$2:$B$1001,$AP883),IF($AR883&lt;&gt;"",INDEX(Raw_D3!$B$2:$B$1001,$AR883),"")))</f>
        <v>40583.0</v>
      </c>
      <c r="C883" s="5">
        <f>IF($A883="","",IF($AP883&lt;&gt;"",INDEX(Raw_D1!$C$2:$C$1001,$AP883),IF($AR883&lt;&gt;"",INDEX(Raw_D3!$C$2:$C$1001,$AR883),"")))</f>
        <v>1</v>
      </c>
      <c r="D883" s="5">
        <f>IF($A883="","",IF($AP883&lt;&gt;"",INDEX(Raw_D1!$D$2:$D$1001,$AP883),IF($AR883&lt;&gt;"",INDEX(Raw_D3!$D$2:$D$1001,$AR883),"")))</f>
        <v>0</v>
      </c>
      <c r="E883" s="5">
        <f>IF($A883="","",IF($AP883&lt;&gt;"",INDEX(Raw_D1!$E$2:$E$1001,$AP883),IF($AR883&lt;&gt;"",INDEX(Raw_D3!$E$2:$E$1001,$AR883),"")))</f>
        <v>2</v>
      </c>
      <c r="F883" s="5">
        <f>IF($A883="","",IF($AP883&lt;&gt;"",INDEX(Raw_D1!$F$2:$F$1001,$AP883),IF($AR883&lt;&gt;"",INDEX(Raw_D3!$F$2:$F$1001,$AR883),"")))</f>
        <v>5</v>
      </c>
      <c r="G883" s="5">
        <f>IF($A883="","",IF($AP883&lt;&gt;"",IF(INDEX(Raw_D1!$G$2:$G$1001,$AP883),1,0),IF($AR883&lt;&gt;"",IF(INDEX(Raw_D3!$G$2:$G$1001,$AR883),1,0),"")))</f>
        <v>0</v>
      </c>
      <c r="H883" s="5">
        <f>IF($A883="","",IF($AP883&lt;&gt;"",INDEX(Raw_D1!$H$2:$H$1001,$AP883),IF($AR883&lt;&gt;"",INDEX(Raw_D3!$H$2:$H$1001,$AR883),"")))</f>
        <v>3</v>
      </c>
      <c r="I883" s="5">
        <f>IF($A883="","",IF($AP883&lt;&gt;"",INDEX(Raw_D1!$I$2:$I$1001,$AP883),IF($AR883&lt;&gt;"",INDEX(Raw_D3!$I$2:$I$1001,$AR883),"")))</f>
        <v>1</v>
      </c>
      <c r="J883" s="16">
        <f>IF($A883="","",IF($AP883&lt;&gt;"",INDEX(Raw_D1!$J$2:$J$1001,$AP883),IF($AR883&lt;&gt;"",INDEX(Raw_D3!$J$2:$J$1001,$AR883),"")))</f>
        <v>0.06</v>
      </c>
      <c r="K883" s="17">
        <f>IF($A883="","",IF($AQ883&lt;&gt;"",IF(INDEX(Raw_D2!$C$2:$C$1001,$AQ883)="","",INDEX(Raw_D2!$C$2:$C$1001,$AQ883)),IF($AR883&lt;&gt;"",IF(INDEX(Raw_D3!$K$2:$K$1001,$AR883)="","",INDEX(Raw_D3!$K$2:$K$1001,$AR883)),"")))</f>
        <v>0.1061</v>
      </c>
      <c r="L883" s="16">
        <f>IF($A883="","",IF($AQ883&lt;&gt;"",IF(INDEX(Raw_D2!$D$2:$D$1001,$AQ883)="","",INDEX(Raw_D2!$D$2:$D$1001,$AQ883)),IF($AR883&lt;&gt;"",IF(INDEX(Raw_D3!$L$2:$L$1001,$AR883)="","",INDEX(Raw_D3!$L$2:$L$1001,$AR883)),"")))</f>
        <v>0.45</v>
      </c>
      <c r="M883" s="17">
        <f>IF($A883="","",IF($AQ883&lt;&gt;"",IF(INDEX(Raw_D2!$E$2:$E$1001,$AQ883)="","",INDEX(Raw_D2!$E$2:$E$1001,$AQ883)),IF($AR883&lt;&gt;"",IF(INDEX(Raw_D3!$M$2:$M$1001,$AR883)="","",INDEX(Raw_D3!$M$2:$M$1001,$AR883)),"")))</f>
        <v>0.1045</v>
      </c>
      <c r="N883" s="5">
        <f>IF($A883="","",IF($AQ883&lt;&gt;"",IF(INDEX(Raw_D2!$F$2:$F$1001,$AQ883)="","",INDEX(Raw_D2!$F$2:$F$1001,$AQ883)),IF($AR883&lt;&gt;"",IF(INDEX(Raw_D3!$N$2:$N$1001,$AR883)="","",INDEX(Raw_D3!$N$2:$N$1001,$AR883)),"")))</f>
        <v>0</v>
      </c>
      <c r="O883" s="5">
        <f>IF($A883="","",IF($AQ883&lt;&gt;"",IF(INDEX(Raw_D2!$G$2:$G$1001,$AQ883)="","",INDEX(Raw_D2!$G$2:$G$1001,$AQ883)),IF($AR883&lt;&gt;"",IF(INDEX(Raw_D3!$O$2:$O$1001,$AR883)="","",INDEX(Raw_D3!$O$2:$O$1001,$AR883)),"")))</f>
        <v>7</v>
      </c>
      <c r="P883" s="5">
        <f>IF($A883="","",IF($AQ883&lt;&gt;"",IF(INDEX(Raw_D2!$H$2:$H$1001,$AQ883)="","",INDEX(Raw_D2!$H$2:$H$1001,$AQ883)),IF($AR883&lt;&gt;"",IF(INDEX(Raw_D3!$P$2:$P$1001,$AR883)="","",INDEX(Raw_D3!$P$2:$P$1001,$AR883)),"")))</f>
        <v>7</v>
      </c>
      <c r="Q883" s="5" t="str">
        <f>IF($A883="","",IF(AND($AP883&lt;&gt;"",$AQ883&lt;&gt;""),"D1+D2",IF($AR883&lt;&gt;"","D3","Incomplete")))</f>
        <v>D3</v>
      </c>
      <c r="R883" s="17">
        <f>IF($A883="","",IF($K883="",IF($J883="","",ROUND(Lookups!$K$5+Lookups!$K$4*$J883,4)),$K883))</f>
        <v>0.1061</v>
      </c>
      <c r="S883" s="5" t="str">
        <f>IF($A883="","",IF($K883="","Imputed","Original"))</f>
        <v>Original</v>
      </c>
      <c r="T883" s="5" t="str">
        <f>IF($A883="","",IF($P883="","Missing",IF($P883=$N883+$O883,"OK","Mismatch")))</f>
        <v>OK</v>
      </c>
      <c r="U883" s="5" t="str">
        <f>IF($A883="","",IF(COUNTIF($A$2:$A883,$A883)&gt;1,"Duplicate","Unique"))</f>
        <v>Unique</v>
      </c>
      <c r="V883" s="5">
        <f>IF($A883="","",IF(AND($U883="Unique",ISNUMBER($P883)),1,0))</f>
        <v>1</v>
      </c>
      <c r="W883" s="5" t="str">
        <f>IF($A883="","",IF(OR($H883=0,$H883=6),"Weekend","Weekday"))</f>
        <v>Weekday</v>
      </c>
      <c r="X883" s="5" t="str">
        <f>IF($A883="","",TEXT($B883,"ddd"))</f>
        <v>Wed</v>
      </c>
      <c r="Y883" s="5" t="str">
        <f>IF($A883="","",TEXT($B883,"mmm"))</f>
        <v>Feb</v>
      </c>
      <c r="Z883" s="5" t="str">
        <f>IF($A883="","",IFERROR(VLOOKUP($C883,Lookups!$D$4:$E$7,2,FALSE),"Unknown"))</f>
        <v>Winter</v>
      </c>
      <c r="AA883" s="5" t="str">
        <f>IF($A883="","",IFERROR(VLOOKUP($I883,Lookups!$A$4:$B$7,2,FALSE),"Unknown"))</f>
        <v>Clear</v>
      </c>
      <c r="AB883" s="5" t="str">
        <f>IF($A883="","",TEXT($F883,"00")&amp;":00")</f>
        <v>05:00</v>
      </c>
      <c r="AC883" s="5" t="str">
        <f>IF($A883="","",VLOOKUP($F883,Lookups!$G$4:$H$8,2,TRUE))</f>
        <v>Night (00-05)</v>
      </c>
      <c r="AD883" s="18">
        <f>IF($A883="","",IF($J883="","",ROUND($J883*41,1)))</f>
        <v>2.5</v>
      </c>
      <c r="AE883" s="18">
        <f>IF($A883="","",IF($R883="","",ROUND($R883*50,1)))</f>
        <v>5.3</v>
      </c>
      <c r="AF883" s="5">
        <f>IF($A883="","",IF($L883="","",ROUND($L883*100,0)))</f>
        <v>45</v>
      </c>
      <c r="AG883" s="18">
        <f>IF($A883="","",IF($M883="","",ROUND($M883*67,1)))</f>
        <v>7</v>
      </c>
      <c r="AH883" s="19">
        <f>IF($A883="","",IF($P883="","",IF($P883=0,0,$O883/$P883)))</f>
        <v>1</v>
      </c>
      <c r="AI883" s="5" t="str">
        <f>IF($A883="","",IF($P883="","",IF($P883&gt;=Lookups!$K$7,"High",IF($P883&lt;=Lookups!$K$8,"Low","Medium"))))</f>
        <v>Low</v>
      </c>
      <c r="AJ883" s="5" t="str">
        <f>IF($A883="","",IF($AD883="","",IF($AD883&lt;5,"Under 5 C",IF($AD883&lt;10,"5-10 C",IF($AD883&lt;15,"10-15 C","15 C and above")))))</f>
        <v>Under 5 C</v>
      </c>
      <c r="AK883" s="5">
        <f>IF($A883="","",IF($P883="","",$P883^2))</f>
        <v>49</v>
      </c>
      <c r="AL883" s="18">
        <f>IF($V883&lt;&gt;1,"",AVERAGEIFS(Clean_Data!$P$2:$P$1001,Clean_Data!$F$2:$F$1001,$F883,Clean_Data!$W$2:$W$1001,$W883,Clean_Data!$V$2:$V$1001,1))</f>
        <v>4.72413793103448</v>
      </c>
      <c r="AM883" s="16">
        <f>IF($V883&lt;&gt;1,"",IFERROR(($P883-$AL883)/SQRT(MAX(0,(SUMIFS(Clean_Data!$AK$2:$AK$1001,Clean_Data!$F$2:$F$1001,$F883,Clean_Data!$W$2:$W$1001,$W883,Clean_Data!$V$2:$V$1001,1)-COUNTIFS(Clean_Data!$F$2:$F$1001,$F883,Clean_Data!$W$2:$W$1001,$W883,Clean_Data!$V$2:$V$1001,1)*$AL883^2)/(COUNTIFS(Clean_Data!$F$2:$F$1001,$F883,Clean_Data!$W$2:$W$1001,$W883,Clean_Data!$V$2:$V$1001,1)-1))),""))</f>
        <v>0.971083383645754</v>
      </c>
      <c r="AN883" s="5" t="str">
        <f>IF($AM883="","",IF($AM883&gt;=Lookups!$K$6,"High spike",IF($AM883&lt;=-Lookups!$K$6,"Unusual low","Normal")))</f>
        <v>Normal</v>
      </c>
      <c r="AO883" s="20">
        <f>IF($V883&lt;&gt;1,"",$P883+ROW()/100000)</f>
        <v>7.00883</v>
      </c>
      <c r="AP883" s="5">
        <f>IF($A883="","",IFERROR(MATCH($A883,Raw_D1!$A$2:$A$1001,0),""))</f>
        <v/>
      </c>
      <c r="AQ883" s="5">
        <f>IF($A883="","",IFERROR(MATCH($A883,Raw_D2!$B$2:$B$1001,0),""))</f>
        <v/>
      </c>
      <c r="AR883" s="5">
        <f>IF($A883="","",IFERROR(MATCH($A883,Raw_D3!$A$2:$A$1001,0),""))</f>
        <v>263</v>
      </c>
    </row>
    <row r="884" spans="1:44" x14ac:dyDescent="0.25">
      <c r="A884" s="5">
        <v>883</v>
      </c>
      <c r="B884" s="11">
        <f>IF($A884="","",IF($AP884&lt;&gt;"",INDEX(Raw_D1!$B$2:$B$1001,$AP884),IF($AR884&lt;&gt;"",INDEX(Raw_D3!$B$2:$B$1001,$AR884),"")))</f>
        <v>40583.0</v>
      </c>
      <c r="C884" s="5">
        <f>IF($A884="","",IF($AP884&lt;&gt;"",INDEX(Raw_D1!$C$2:$C$1001,$AP884),IF($AR884&lt;&gt;"",INDEX(Raw_D3!$C$2:$C$1001,$AR884),"")))</f>
        <v>1</v>
      </c>
      <c r="D884" s="5">
        <f>IF($A884="","",IF($AP884&lt;&gt;"",INDEX(Raw_D1!$D$2:$D$1001,$AP884),IF($AR884&lt;&gt;"",INDEX(Raw_D3!$D$2:$D$1001,$AR884),"")))</f>
        <v>0</v>
      </c>
      <c r="E884" s="5">
        <f>IF($A884="","",IF($AP884&lt;&gt;"",INDEX(Raw_D1!$E$2:$E$1001,$AP884),IF($AR884&lt;&gt;"",INDEX(Raw_D3!$E$2:$E$1001,$AR884),"")))</f>
        <v>2</v>
      </c>
      <c r="F884" s="5">
        <f>IF($A884="","",IF($AP884&lt;&gt;"",INDEX(Raw_D1!$F$2:$F$1001,$AP884),IF($AR884&lt;&gt;"",INDEX(Raw_D3!$F$2:$F$1001,$AR884),"")))</f>
        <v>6</v>
      </c>
      <c r="G884" s="5">
        <f>IF($A884="","",IF($AP884&lt;&gt;"",IF(INDEX(Raw_D1!$G$2:$G$1001,$AP884),1,0),IF($AR884&lt;&gt;"",IF(INDEX(Raw_D3!$G$2:$G$1001,$AR884),1,0),"")))</f>
        <v>0</v>
      </c>
      <c r="H884" s="5">
        <f>IF($A884="","",IF($AP884&lt;&gt;"",INDEX(Raw_D1!$H$2:$H$1001,$AP884),IF($AR884&lt;&gt;"",INDEX(Raw_D3!$H$2:$H$1001,$AR884),"")))</f>
        <v>3</v>
      </c>
      <c r="I884" s="5">
        <f>IF($A884="","",IF($AP884&lt;&gt;"",INDEX(Raw_D1!$I$2:$I$1001,$AP884),IF($AR884&lt;&gt;"",INDEX(Raw_D3!$I$2:$I$1001,$AR884),"")))</f>
        <v>1</v>
      </c>
      <c r="J884" s="16">
        <f>IF($A884="","",IF($AP884&lt;&gt;"",INDEX(Raw_D1!$J$2:$J$1001,$AP884),IF($AR884&lt;&gt;"",INDEX(Raw_D3!$J$2:$J$1001,$AR884),"")))</f>
        <v>0.06</v>
      </c>
      <c r="K884" s="17">
        <f>IF($A884="","",IF($AQ884&lt;&gt;"",IF(INDEX(Raw_D2!$C$2:$C$1001,$AQ884)="","",INDEX(Raw_D2!$C$2:$C$1001,$AQ884)),IF($AR884&lt;&gt;"",IF(INDEX(Raw_D3!$K$2:$K$1001,$AR884)="","",INDEX(Raw_D3!$K$2:$K$1001,$AR884)),"")))</f>
        <v>0.1515</v>
      </c>
      <c r="L884" s="16">
        <f>IF($A884="","",IF($AQ884&lt;&gt;"",IF(INDEX(Raw_D2!$D$2:$D$1001,$AQ884)="","",INDEX(Raw_D2!$D$2:$D$1001,$AQ884)),IF($AR884&lt;&gt;"",IF(INDEX(Raw_D3!$L$2:$L$1001,$AR884)="","",INDEX(Raw_D3!$L$2:$L$1001,$AR884)),"")))</f>
        <v>0.45</v>
      </c>
      <c r="M884" s="17">
        <f>IF($A884="","",IF($AQ884&lt;&gt;"",IF(INDEX(Raw_D2!$E$2:$E$1001,$AQ884)="","",INDEX(Raw_D2!$E$2:$E$1001,$AQ884)),IF($AR884&lt;&gt;"",IF(INDEX(Raw_D3!$M$2:$M$1001,$AR884)="","",INDEX(Raw_D3!$M$2:$M$1001,$AR884)),"")))</f>
        <v>0</v>
      </c>
      <c r="N884" s="5">
        <f>IF($A884="","",IF($AQ884&lt;&gt;"",IF(INDEX(Raw_D2!$F$2:$F$1001,$AQ884)="","",INDEX(Raw_D2!$F$2:$F$1001,$AQ884)),IF($AR884&lt;&gt;"",IF(INDEX(Raw_D3!$N$2:$N$1001,$AR884)="","",INDEX(Raw_D3!$N$2:$N$1001,$AR884)),"")))</f>
        <v>0</v>
      </c>
      <c r="O884" s="5">
        <f>IF($A884="","",IF($AQ884&lt;&gt;"",IF(INDEX(Raw_D2!$G$2:$G$1001,$AQ884)="","",INDEX(Raw_D2!$G$2:$G$1001,$AQ884)),IF($AR884&lt;&gt;"",IF(INDEX(Raw_D3!$O$2:$O$1001,$AR884)="","",INDEX(Raw_D3!$O$2:$O$1001,$AR884)),"")))</f>
        <v>43</v>
      </c>
      <c r="P884" s="5">
        <f>IF($A884="","",IF($AQ884&lt;&gt;"",IF(INDEX(Raw_D2!$H$2:$H$1001,$AQ884)="","",INDEX(Raw_D2!$H$2:$H$1001,$AQ884)),IF($AR884&lt;&gt;"",IF(INDEX(Raw_D3!$P$2:$P$1001,$AR884)="","",INDEX(Raw_D3!$P$2:$P$1001,$AR884)),"")))</f>
        <v>43</v>
      </c>
      <c r="Q884" s="5" t="str">
        <f>IF($A884="","",IF(AND($AP884&lt;&gt;"",$AQ884&lt;&gt;""),"D1+D2",IF($AR884&lt;&gt;"","D3","Incomplete")))</f>
        <v>D3</v>
      </c>
      <c r="R884" s="17">
        <f>IF($A884="","",IF($K884="",IF($J884="","",ROUND(Lookups!$K$5+Lookups!$K$4*$J884,4)),$K884))</f>
        <v>0.1515</v>
      </c>
      <c r="S884" s="5" t="str">
        <f>IF($A884="","",IF($K884="","Imputed","Original"))</f>
        <v>Original</v>
      </c>
      <c r="T884" s="5" t="str">
        <f>IF($A884="","",IF($P884="","Missing",IF($P884=$N884+$O884,"OK","Mismatch")))</f>
        <v>OK</v>
      </c>
      <c r="U884" s="5" t="str">
        <f>IF($A884="","",IF(COUNTIF($A$2:$A884,$A884)&gt;1,"Duplicate","Unique"))</f>
        <v>Unique</v>
      </c>
      <c r="V884" s="5">
        <f>IF($A884="","",IF(AND($U884="Unique",ISNUMBER($P884)),1,0))</f>
        <v>1</v>
      </c>
      <c r="W884" s="5" t="str">
        <f>IF($A884="","",IF(OR($H884=0,$H884=6),"Weekend","Weekday"))</f>
        <v>Weekday</v>
      </c>
      <c r="X884" s="5" t="str">
        <f>IF($A884="","",TEXT($B884,"ddd"))</f>
        <v>Wed</v>
      </c>
      <c r="Y884" s="5" t="str">
        <f>IF($A884="","",TEXT($B884,"mmm"))</f>
        <v>Feb</v>
      </c>
      <c r="Z884" s="5" t="str">
        <f>IF($A884="","",IFERROR(VLOOKUP($C884,Lookups!$D$4:$E$7,2,FALSE),"Unknown"))</f>
        <v>Winter</v>
      </c>
      <c r="AA884" s="5" t="str">
        <f>IF($A884="","",IFERROR(VLOOKUP($I884,Lookups!$A$4:$B$7,2,FALSE),"Unknown"))</f>
        <v>Clear</v>
      </c>
      <c r="AB884" s="5" t="str">
        <f>IF($A884="","",TEXT($F884,"00")&amp;":00")</f>
        <v>06:00</v>
      </c>
      <c r="AC884" s="5" t="str">
        <f>IF($A884="","",VLOOKUP($F884,Lookups!$G$4:$H$8,2,TRUE))</f>
        <v>Morning Peak (06-09)</v>
      </c>
      <c r="AD884" s="18">
        <f>IF($A884="","",IF($J884="","",ROUND($J884*41,1)))</f>
        <v>2.5</v>
      </c>
      <c r="AE884" s="18">
        <f>IF($A884="","",IF($R884="","",ROUND($R884*50,1)))</f>
        <v>7.6</v>
      </c>
      <c r="AF884" s="5">
        <f>IF($A884="","",IF($L884="","",ROUND($L884*100,0)))</f>
        <v>45</v>
      </c>
      <c r="AG884" s="18">
        <f>IF($A884="","",IF($M884="","",ROUND($M884*67,1)))</f>
        <v>0</v>
      </c>
      <c r="AH884" s="19">
        <f>IF($A884="","",IF($P884="","",IF($P884=0,0,$O884/$P884)))</f>
        <v>1</v>
      </c>
      <c r="AI884" s="5" t="str">
        <f>IF($A884="","",IF($P884="","",IF($P884&gt;=Lookups!$K$7,"High",IF($P884&lt;=Lookups!$K$8,"Low","Medium"))))</f>
        <v>Medium</v>
      </c>
      <c r="AJ884" s="5" t="str">
        <f>IF($A884="","",IF($AD884="","",IF($AD884&lt;5,"Under 5 C",IF($AD884&lt;10,"5-10 C",IF($AD884&lt;15,"10-15 C","15 C and above")))))</f>
        <v>Under 5 C</v>
      </c>
      <c r="AK884" s="5">
        <f>IF($A884="","",IF($P884="","",$P884^2))</f>
        <v>1849</v>
      </c>
      <c r="AL884" s="18">
        <f>IF($V884&lt;&gt;1,"",AVERAGEIFS(Clean_Data!$P$2:$P$1001,Clean_Data!$F$2:$F$1001,$F884,Clean_Data!$W$2:$W$1001,$W884,Clean_Data!$V$2:$V$1001,1))</f>
        <v>27.3793103448276</v>
      </c>
      <c r="AM884" s="16">
        <f>IF($V884&lt;&gt;1,"",IFERROR(($P884-$AL884)/SQRT(MAX(0,(SUMIFS(Clean_Data!$AK$2:$AK$1001,Clean_Data!$F$2:$F$1001,$F884,Clean_Data!$W$2:$W$1001,$W884,Clean_Data!$V$2:$V$1001,1)-COUNTIFS(Clean_Data!$F$2:$F$1001,$F884,Clean_Data!$W$2:$W$1001,$W884,Clean_Data!$V$2:$V$1001,1)*$AL884^2)/(COUNTIFS(Clean_Data!$F$2:$F$1001,$F884,Clean_Data!$W$2:$W$1001,$W884,Clean_Data!$V$2:$V$1001,1)-1))),""))</f>
        <v>1.63980279301043</v>
      </c>
      <c r="AN884" s="5" t="str">
        <f>IF($AM884="","",IF($AM884&gt;=Lookups!$K$6,"High spike",IF($AM884&lt;=-Lookups!$K$6,"Unusual low","Normal")))</f>
        <v>Normal</v>
      </c>
      <c r="AO884" s="20">
        <f>IF($V884&lt;&gt;1,"",$P884+ROW()/100000)</f>
        <v>43.00884</v>
      </c>
      <c r="AP884" s="5">
        <f>IF($A884="","",IFERROR(MATCH($A884,Raw_D1!$A$2:$A$1001,0),""))</f>
        <v/>
      </c>
      <c r="AQ884" s="5">
        <f>IF($A884="","",IFERROR(MATCH($A884,Raw_D2!$B$2:$B$1001,0),""))</f>
        <v/>
      </c>
      <c r="AR884" s="5">
        <f>IF($A884="","",IFERROR(MATCH($A884,Raw_D3!$A$2:$A$1001,0),""))</f>
        <v>264</v>
      </c>
    </row>
    <row r="885" spans="1:44" x14ac:dyDescent="0.25">
      <c r="A885" s="5">
        <v>884</v>
      </c>
      <c r="B885" s="11">
        <f>IF($A885="","",IF($AP885&lt;&gt;"",INDEX(Raw_D1!$B$2:$B$1001,$AP885),IF($AR885&lt;&gt;"",INDEX(Raw_D3!$B$2:$B$1001,$AR885),"")))</f>
        <v>40583.0</v>
      </c>
      <c r="C885" s="5">
        <f>IF($A885="","",IF($AP885&lt;&gt;"",INDEX(Raw_D1!$C$2:$C$1001,$AP885),IF($AR885&lt;&gt;"",INDEX(Raw_D3!$C$2:$C$1001,$AR885),"")))</f>
        <v>1</v>
      </c>
      <c r="D885" s="5">
        <f>IF($A885="","",IF($AP885&lt;&gt;"",INDEX(Raw_D1!$D$2:$D$1001,$AP885),IF($AR885&lt;&gt;"",INDEX(Raw_D3!$D$2:$D$1001,$AR885),"")))</f>
        <v>0</v>
      </c>
      <c r="E885" s="5">
        <f>IF($A885="","",IF($AP885&lt;&gt;"",INDEX(Raw_D1!$E$2:$E$1001,$AP885),IF($AR885&lt;&gt;"",INDEX(Raw_D3!$E$2:$E$1001,$AR885),"")))</f>
        <v>2</v>
      </c>
      <c r="F885" s="5">
        <f>IF($A885="","",IF($AP885&lt;&gt;"",INDEX(Raw_D1!$F$2:$F$1001,$AP885),IF($AR885&lt;&gt;"",INDEX(Raw_D3!$F$2:$F$1001,$AR885),"")))</f>
        <v>7</v>
      </c>
      <c r="G885" s="5">
        <f>IF($A885="","",IF($AP885&lt;&gt;"",IF(INDEX(Raw_D1!$G$2:$G$1001,$AP885),1,0),IF($AR885&lt;&gt;"",IF(INDEX(Raw_D3!$G$2:$G$1001,$AR885),1,0),"")))</f>
        <v>0</v>
      </c>
      <c r="H885" s="5">
        <f>IF($A885="","",IF($AP885&lt;&gt;"",INDEX(Raw_D1!$H$2:$H$1001,$AP885),IF($AR885&lt;&gt;"",INDEX(Raw_D3!$H$2:$H$1001,$AR885),"")))</f>
        <v>3</v>
      </c>
      <c r="I885" s="5">
        <f>IF($A885="","",IF($AP885&lt;&gt;"",INDEX(Raw_D1!$I$2:$I$1001,$AP885),IF($AR885&lt;&gt;"",INDEX(Raw_D3!$I$2:$I$1001,$AR885),"")))</f>
        <v>1</v>
      </c>
      <c r="J885" s="16">
        <f>IF($A885="","",IF($AP885&lt;&gt;"",INDEX(Raw_D1!$J$2:$J$1001,$AP885),IF($AR885&lt;&gt;"",INDEX(Raw_D3!$J$2:$J$1001,$AR885),"")))</f>
        <v>0.06</v>
      </c>
      <c r="K885" s="17">
        <f>IF($A885="","",IF($AQ885&lt;&gt;"",IF(INDEX(Raw_D2!$C$2:$C$1001,$AQ885)="","",INDEX(Raw_D2!$C$2:$C$1001,$AQ885)),IF($AR885&lt;&gt;"",IF(INDEX(Raw_D3!$K$2:$K$1001,$AR885)="","",INDEX(Raw_D3!$K$2:$K$1001,$AR885)),"")))</f>
        <v>0.1061</v>
      </c>
      <c r="L885" s="16">
        <f>IF($A885="","",IF($AQ885&lt;&gt;"",IF(INDEX(Raw_D2!$D$2:$D$1001,$AQ885)="","",INDEX(Raw_D2!$D$2:$D$1001,$AQ885)),IF($AR885&lt;&gt;"",IF(INDEX(Raw_D3!$L$2:$L$1001,$AR885)="","",INDEX(Raw_D3!$L$2:$L$1001,$AR885)),"")))</f>
        <v>0.49</v>
      </c>
      <c r="M885" s="17">
        <f>IF($A885="","",IF($AQ885&lt;&gt;"",IF(INDEX(Raw_D2!$E$2:$E$1001,$AQ885)="","",INDEX(Raw_D2!$E$2:$E$1001,$AQ885)),IF($AR885&lt;&gt;"",IF(INDEX(Raw_D3!$M$2:$M$1001,$AR885)="","",INDEX(Raw_D3!$M$2:$M$1001,$AR885)),"")))</f>
        <v>0.1045</v>
      </c>
      <c r="N885" s="5">
        <f>IF($A885="","",IF($AQ885&lt;&gt;"",IF(INDEX(Raw_D2!$F$2:$F$1001,$AQ885)="","",INDEX(Raw_D2!$F$2:$F$1001,$AQ885)),IF($AR885&lt;&gt;"",IF(INDEX(Raw_D3!$N$2:$N$1001,$AR885)="","",INDEX(Raw_D3!$N$2:$N$1001,$AR885)),"")))</f>
        <v>4</v>
      </c>
      <c r="O885" s="5">
        <f>IF($A885="","",IF($AQ885&lt;&gt;"",IF(INDEX(Raw_D2!$G$2:$G$1001,$AQ885)="","",INDEX(Raw_D2!$G$2:$G$1001,$AQ885)),IF($AR885&lt;&gt;"",IF(INDEX(Raw_D3!$O$2:$O$1001,$AR885)="","",INDEX(Raw_D3!$O$2:$O$1001,$AR885)),"")))</f>
        <v>95</v>
      </c>
      <c r="P885" s="5">
        <f>IF($A885="","",IF($AQ885&lt;&gt;"",IF(INDEX(Raw_D2!$H$2:$H$1001,$AQ885)="","",INDEX(Raw_D2!$H$2:$H$1001,$AQ885)),IF($AR885&lt;&gt;"",IF(INDEX(Raw_D3!$P$2:$P$1001,$AR885)="","",INDEX(Raw_D3!$P$2:$P$1001,$AR885)),"")))</f>
        <v>99</v>
      </c>
      <c r="Q885" s="5" t="str">
        <f>IF($A885="","",IF(AND($AP885&lt;&gt;"",$AQ885&lt;&gt;""),"D1+D2",IF($AR885&lt;&gt;"","D3","Incomplete")))</f>
        <v>D3</v>
      </c>
      <c r="R885" s="17">
        <f>IF($A885="","",IF($K885="",IF($J885="","",ROUND(Lookups!$K$5+Lookups!$K$4*$J885,4)),$K885))</f>
        <v>0.1061</v>
      </c>
      <c r="S885" s="5" t="str">
        <f>IF($A885="","",IF($K885="","Imputed","Original"))</f>
        <v>Original</v>
      </c>
      <c r="T885" s="5" t="str">
        <f>IF($A885="","",IF($P885="","Missing",IF($P885=$N885+$O885,"OK","Mismatch")))</f>
        <v>OK</v>
      </c>
      <c r="U885" s="5" t="str">
        <f>IF($A885="","",IF(COUNTIF($A$2:$A885,$A885)&gt;1,"Duplicate","Unique"))</f>
        <v>Unique</v>
      </c>
      <c r="V885" s="5">
        <f>IF($A885="","",IF(AND($U885="Unique",ISNUMBER($P885)),1,0))</f>
        <v>1</v>
      </c>
      <c r="W885" s="5" t="str">
        <f>IF($A885="","",IF(OR($H885=0,$H885=6),"Weekend","Weekday"))</f>
        <v>Weekday</v>
      </c>
      <c r="X885" s="5" t="str">
        <f>IF($A885="","",TEXT($B885,"ddd"))</f>
        <v>Wed</v>
      </c>
      <c r="Y885" s="5" t="str">
        <f>IF($A885="","",TEXT($B885,"mmm"))</f>
        <v>Feb</v>
      </c>
      <c r="Z885" s="5" t="str">
        <f>IF($A885="","",IFERROR(VLOOKUP($C885,Lookups!$D$4:$E$7,2,FALSE),"Unknown"))</f>
        <v>Winter</v>
      </c>
      <c r="AA885" s="5" t="str">
        <f>IF($A885="","",IFERROR(VLOOKUP($I885,Lookups!$A$4:$B$7,2,FALSE),"Unknown"))</f>
        <v>Clear</v>
      </c>
      <c r="AB885" s="5" t="str">
        <f>IF($A885="","",TEXT($F885,"00")&amp;":00")</f>
        <v>07:00</v>
      </c>
      <c r="AC885" s="5" t="str">
        <f>IF($A885="","",VLOOKUP($F885,Lookups!$G$4:$H$8,2,TRUE))</f>
        <v>Morning Peak (06-09)</v>
      </c>
      <c r="AD885" s="18">
        <f>IF($A885="","",IF($J885="","",ROUND($J885*41,1)))</f>
        <v>2.5</v>
      </c>
      <c r="AE885" s="18">
        <f>IF($A885="","",IF($R885="","",ROUND($R885*50,1)))</f>
        <v>5.3</v>
      </c>
      <c r="AF885" s="5">
        <f>IF($A885="","",IF($L885="","",ROUND($L885*100,0)))</f>
        <v>49</v>
      </c>
      <c r="AG885" s="18">
        <f>IF($A885="","",IF($M885="","",ROUND($M885*67,1)))</f>
        <v>7</v>
      </c>
      <c r="AH885" s="19">
        <f>IF($A885="","",IF($P885="","",IF($P885=0,0,$O885/$P885)))</f>
        <v>0.95959595959596</v>
      </c>
      <c r="AI885" s="5" t="str">
        <f>IF($A885="","",IF($P885="","",IF($P885&gt;=Lookups!$K$7,"High",IF($P885&lt;=Lookups!$K$8,"Low","Medium"))))</f>
        <v>High</v>
      </c>
      <c r="AJ885" s="5" t="str">
        <f>IF($A885="","",IF($AD885="","",IF($AD885&lt;5,"Under 5 C",IF($AD885&lt;10,"5-10 C",IF($AD885&lt;15,"10-15 C","15 C and above")))))</f>
        <v>Under 5 C</v>
      </c>
      <c r="AK885" s="5">
        <f>IF($A885="","",IF($P885="","",$P885^2))</f>
        <v>9801</v>
      </c>
      <c r="AL885" s="18">
        <f>IF($V885&lt;&gt;1,"",AVERAGEIFS(Clean_Data!$P$2:$P$1001,Clean_Data!$F$2:$F$1001,$F885,Clean_Data!$W$2:$W$1001,$W885,Clean_Data!$V$2:$V$1001,1))</f>
        <v>78.0344827586207</v>
      </c>
      <c r="AM885" s="16">
        <f>IF($V885&lt;&gt;1,"",IFERROR(($P885-$AL885)/SQRT(MAX(0,(SUMIFS(Clean_Data!$AK$2:$AK$1001,Clean_Data!$F$2:$F$1001,$F885,Clean_Data!$W$2:$W$1001,$W885,Clean_Data!$V$2:$V$1001,1)-COUNTIFS(Clean_Data!$F$2:$F$1001,$F885,Clean_Data!$W$2:$W$1001,$W885,Clean_Data!$V$2:$V$1001,1)*$AL885^2)/(COUNTIFS(Clean_Data!$F$2:$F$1001,$F885,Clean_Data!$W$2:$W$1001,$W885,Clean_Data!$V$2:$V$1001,1)-1))),""))</f>
        <v>0.92632870020131</v>
      </c>
      <c r="AN885" s="5" t="str">
        <f>IF($AM885="","",IF($AM885&gt;=Lookups!$K$6,"High spike",IF($AM885&lt;=-Lookups!$K$6,"Unusual low","Normal")))</f>
        <v>Normal</v>
      </c>
      <c r="AO885" s="20">
        <f>IF($V885&lt;&gt;1,"",$P885+ROW()/100000)</f>
        <v>99.00885</v>
      </c>
      <c r="AP885" s="5">
        <f>IF($A885="","",IFERROR(MATCH($A885,Raw_D1!$A$2:$A$1001,0),""))</f>
        <v/>
      </c>
      <c r="AQ885" s="5">
        <f>IF($A885="","",IFERROR(MATCH($A885,Raw_D2!$B$2:$B$1001,0),""))</f>
        <v/>
      </c>
      <c r="AR885" s="5">
        <f>IF($A885="","",IFERROR(MATCH($A885,Raw_D3!$A$2:$A$1001,0),""))</f>
        <v>265</v>
      </c>
    </row>
    <row r="886" spans="1:44" x14ac:dyDescent="0.25">
      <c r="A886" s="5">
        <v>885</v>
      </c>
      <c r="B886" s="11">
        <f>IF($A886="","",IF($AP886&lt;&gt;"",INDEX(Raw_D1!$B$2:$B$1001,$AP886),IF($AR886&lt;&gt;"",INDEX(Raw_D3!$B$2:$B$1001,$AR886),"")))</f>
        <v>40583.0</v>
      </c>
      <c r="C886" s="5">
        <f>IF($A886="","",IF($AP886&lt;&gt;"",INDEX(Raw_D1!$C$2:$C$1001,$AP886),IF($AR886&lt;&gt;"",INDEX(Raw_D3!$C$2:$C$1001,$AR886),"")))</f>
        <v>1</v>
      </c>
      <c r="D886" s="5">
        <f>IF($A886="","",IF($AP886&lt;&gt;"",INDEX(Raw_D1!$D$2:$D$1001,$AP886),IF($AR886&lt;&gt;"",INDEX(Raw_D3!$D$2:$D$1001,$AR886),"")))</f>
        <v>0</v>
      </c>
      <c r="E886" s="5">
        <f>IF($A886="","",IF($AP886&lt;&gt;"",INDEX(Raw_D1!$E$2:$E$1001,$AP886),IF($AR886&lt;&gt;"",INDEX(Raw_D3!$E$2:$E$1001,$AR886),"")))</f>
        <v>2</v>
      </c>
      <c r="F886" s="5">
        <f>IF($A886="","",IF($AP886&lt;&gt;"",INDEX(Raw_D1!$F$2:$F$1001,$AP886),IF($AR886&lt;&gt;"",INDEX(Raw_D3!$F$2:$F$1001,$AR886),"")))</f>
        <v>8</v>
      </c>
      <c r="G886" s="5">
        <f>IF($A886="","",IF($AP886&lt;&gt;"",IF(INDEX(Raw_D1!$G$2:$G$1001,$AP886),1,0),IF($AR886&lt;&gt;"",IF(INDEX(Raw_D3!$G$2:$G$1001,$AR886),1,0),"")))</f>
        <v>0</v>
      </c>
      <c r="H886" s="5">
        <f>IF($A886="","",IF($AP886&lt;&gt;"",INDEX(Raw_D1!$H$2:$H$1001,$AP886),IF($AR886&lt;&gt;"",INDEX(Raw_D3!$H$2:$H$1001,$AR886),"")))</f>
        <v>3</v>
      </c>
      <c r="I886" s="5">
        <f>IF($A886="","",IF($AP886&lt;&gt;"",INDEX(Raw_D1!$I$2:$I$1001,$AP886),IF($AR886&lt;&gt;"",INDEX(Raw_D3!$I$2:$I$1001,$AR886),"")))</f>
        <v>1</v>
      </c>
      <c r="J886" s="16">
        <f>IF($A886="","",IF($AP886&lt;&gt;"",INDEX(Raw_D1!$J$2:$J$1001,$AP886),IF($AR886&lt;&gt;"",INDEX(Raw_D3!$J$2:$J$1001,$AR886),"")))</f>
        <v>0.1</v>
      </c>
      <c r="K886" s="17">
        <f>IF($A886="","",IF($AQ886&lt;&gt;"",IF(INDEX(Raw_D2!$C$2:$C$1001,$AQ886)="","",INDEX(Raw_D2!$C$2:$C$1001,$AQ886)),IF($AR886&lt;&gt;"",IF(INDEX(Raw_D3!$K$2:$K$1001,$AR886)="","",INDEX(Raw_D3!$K$2:$K$1001,$AR886)),"")))</f>
        <v>0.1364</v>
      </c>
      <c r="L886" s="16">
        <f>IF($A886="","",IF($AQ886&lt;&gt;"",IF(INDEX(Raw_D2!$D$2:$D$1001,$AQ886)="","",INDEX(Raw_D2!$D$2:$D$1001,$AQ886)),IF($AR886&lt;&gt;"",IF(INDEX(Raw_D3!$L$2:$L$1001,$AR886)="","",INDEX(Raw_D3!$L$2:$L$1001,$AR886)),"")))</f>
        <v>0.42</v>
      </c>
      <c r="M886" s="17">
        <f>IF($A886="","",IF($AQ886&lt;&gt;"",IF(INDEX(Raw_D2!$E$2:$E$1001,$AQ886)="","",INDEX(Raw_D2!$E$2:$E$1001,$AQ886)),IF($AR886&lt;&gt;"",IF(INDEX(Raw_D3!$M$2:$M$1001,$AR886)="","",INDEX(Raw_D3!$M$2:$M$1001,$AR886)),"")))</f>
        <v>0</v>
      </c>
      <c r="N886" s="5">
        <f>IF($A886="","",IF($AQ886&lt;&gt;"",IF(INDEX(Raw_D2!$F$2:$F$1001,$AQ886)="","",INDEX(Raw_D2!$F$2:$F$1001,$AQ886)),IF($AR886&lt;&gt;"",IF(INDEX(Raw_D3!$N$2:$N$1001,$AR886)="","",INDEX(Raw_D3!$N$2:$N$1001,$AR886)),"")))</f>
        <v>1</v>
      </c>
      <c r="O886" s="5">
        <f>IF($A886="","",IF($AQ886&lt;&gt;"",IF(INDEX(Raw_D2!$G$2:$G$1001,$AQ886)="","",INDEX(Raw_D2!$G$2:$G$1001,$AQ886)),IF($AR886&lt;&gt;"",IF(INDEX(Raw_D3!$O$2:$O$1001,$AR886)="","",INDEX(Raw_D3!$O$2:$O$1001,$AR886)),"")))</f>
        <v>198</v>
      </c>
      <c r="P886" s="5">
        <f>IF($A886="","",IF($AQ886&lt;&gt;"",IF(INDEX(Raw_D2!$H$2:$H$1001,$AQ886)="","",INDEX(Raw_D2!$H$2:$H$1001,$AQ886)),IF($AR886&lt;&gt;"",IF(INDEX(Raw_D3!$P$2:$P$1001,$AR886)="","",INDEX(Raw_D3!$P$2:$P$1001,$AR886)),"")))</f>
        <v>199</v>
      </c>
      <c r="Q886" s="5" t="str">
        <f>IF($A886="","",IF(AND($AP886&lt;&gt;"",$AQ886&lt;&gt;""),"D1+D2",IF($AR886&lt;&gt;"","D3","Incomplete")))</f>
        <v>D3</v>
      </c>
      <c r="R886" s="17">
        <f>IF($A886="","",IF($K886="",IF($J886="","",ROUND(Lookups!$K$5+Lookups!$K$4*$J886,4)),$K886))</f>
        <v>0.1364</v>
      </c>
      <c r="S886" s="5" t="str">
        <f>IF($A886="","",IF($K886="","Imputed","Original"))</f>
        <v>Original</v>
      </c>
      <c r="T886" s="5" t="str">
        <f>IF($A886="","",IF($P886="","Missing",IF($P886=$N886+$O886,"OK","Mismatch")))</f>
        <v>OK</v>
      </c>
      <c r="U886" s="5" t="str">
        <f>IF($A886="","",IF(COUNTIF($A$2:$A886,$A886)&gt;1,"Duplicate","Unique"))</f>
        <v>Unique</v>
      </c>
      <c r="V886" s="5">
        <f>IF($A886="","",IF(AND($U886="Unique",ISNUMBER($P886)),1,0))</f>
        <v>1</v>
      </c>
      <c r="W886" s="5" t="str">
        <f>IF($A886="","",IF(OR($H886=0,$H886=6),"Weekend","Weekday"))</f>
        <v>Weekday</v>
      </c>
      <c r="X886" s="5" t="str">
        <f>IF($A886="","",TEXT($B886,"ddd"))</f>
        <v>Wed</v>
      </c>
      <c r="Y886" s="5" t="str">
        <f>IF($A886="","",TEXT($B886,"mmm"))</f>
        <v>Feb</v>
      </c>
      <c r="Z886" s="5" t="str">
        <f>IF($A886="","",IFERROR(VLOOKUP($C886,Lookups!$D$4:$E$7,2,FALSE),"Unknown"))</f>
        <v>Winter</v>
      </c>
      <c r="AA886" s="5" t="str">
        <f>IF($A886="","",IFERROR(VLOOKUP($I886,Lookups!$A$4:$B$7,2,FALSE),"Unknown"))</f>
        <v>Clear</v>
      </c>
      <c r="AB886" s="5" t="str">
        <f>IF($A886="","",TEXT($F886,"00")&amp;":00")</f>
        <v>08:00</v>
      </c>
      <c r="AC886" s="5" t="str">
        <f>IF($A886="","",VLOOKUP($F886,Lookups!$G$4:$H$8,2,TRUE))</f>
        <v>Morning Peak (06-09)</v>
      </c>
      <c r="AD886" s="18">
        <f>IF($A886="","",IF($J886="","",ROUND($J886*41,1)))</f>
        <v>4.1</v>
      </c>
      <c r="AE886" s="18">
        <f>IF($A886="","",IF($R886="","",ROUND($R886*50,1)))</f>
        <v>6.8</v>
      </c>
      <c r="AF886" s="5">
        <f>IF($A886="","",IF($L886="","",ROUND($L886*100,0)))</f>
        <v>42</v>
      </c>
      <c r="AG886" s="18">
        <f>IF($A886="","",IF($M886="","",ROUND($M886*67,1)))</f>
        <v>0</v>
      </c>
      <c r="AH886" s="19">
        <f>IF($A886="","",IF($P886="","",IF($P886=0,0,$O886/$P886)))</f>
        <v>0.994974874371859</v>
      </c>
      <c r="AI886" s="5" t="str">
        <f>IF($A886="","",IF($P886="","",IF($P886&gt;=Lookups!$K$7,"High",IF($P886&lt;=Lookups!$K$8,"Low","Medium"))))</f>
        <v>High</v>
      </c>
      <c r="AJ886" s="5" t="str">
        <f>IF($A886="","",IF($AD886="","",IF($AD886&lt;5,"Under 5 C",IF($AD886&lt;10,"5-10 C",IF($AD886&lt;15,"10-15 C","15 C and above")))))</f>
        <v>Under 5 C</v>
      </c>
      <c r="AK886" s="5">
        <f>IF($A886="","",IF($P886="","",$P886^2))</f>
        <v>39601</v>
      </c>
      <c r="AL886" s="18">
        <f>IF($V886&lt;&gt;1,"",AVERAGEIFS(Clean_Data!$P$2:$P$1001,Clean_Data!$F$2:$F$1001,$F886,Clean_Data!$W$2:$W$1001,$W886,Clean_Data!$V$2:$V$1001,1))</f>
        <v>183.535714285714</v>
      </c>
      <c r="AM886" s="16">
        <f>IF($V886&lt;&gt;1,"",IFERROR(($P886-$AL886)/SQRT(MAX(0,(SUMIFS(Clean_Data!$AK$2:$AK$1001,Clean_Data!$F$2:$F$1001,$F886,Clean_Data!$W$2:$W$1001,$W886,Clean_Data!$V$2:$V$1001,1)-COUNTIFS(Clean_Data!$F$2:$F$1001,$F886,Clean_Data!$W$2:$W$1001,$W886,Clean_Data!$V$2:$V$1001,1)*$AL886^2)/(COUNTIFS(Clean_Data!$F$2:$F$1001,$F886,Clean_Data!$W$2:$W$1001,$W886,Clean_Data!$V$2:$V$1001,1)-1))),""))</f>
        <v>0.317280955469349</v>
      </c>
      <c r="AN886" s="5" t="str">
        <f>IF($AM886="","",IF($AM886&gt;=Lookups!$K$6,"High spike",IF($AM886&lt;=-Lookups!$K$6,"Unusual low","Normal")))</f>
        <v>Normal</v>
      </c>
      <c r="AO886" s="20">
        <f>IF($V886&lt;&gt;1,"",$P886+ROW()/100000)</f>
        <v>199.00886</v>
      </c>
      <c r="AP886" s="5">
        <f>IF($A886="","",IFERROR(MATCH($A886,Raw_D1!$A$2:$A$1001,0),""))</f>
        <v/>
      </c>
      <c r="AQ886" s="5">
        <f>IF($A886="","",IFERROR(MATCH($A886,Raw_D2!$B$2:$B$1001,0),""))</f>
        <v/>
      </c>
      <c r="AR886" s="5">
        <f>IF($A886="","",IFERROR(MATCH($A886,Raw_D3!$A$2:$A$1001,0),""))</f>
        <v>266</v>
      </c>
    </row>
    <row r="887" spans="1:44" x14ac:dyDescent="0.25">
      <c r="A887" s="5">
        <v>886</v>
      </c>
      <c r="B887" s="11">
        <f>IF($A887="","",IF($AP887&lt;&gt;"",INDEX(Raw_D1!$B$2:$B$1001,$AP887),IF($AR887&lt;&gt;"",INDEX(Raw_D3!$B$2:$B$1001,$AR887),"")))</f>
        <v>40583.0</v>
      </c>
      <c r="C887" s="5">
        <f>IF($A887="","",IF($AP887&lt;&gt;"",INDEX(Raw_D1!$C$2:$C$1001,$AP887),IF($AR887&lt;&gt;"",INDEX(Raw_D3!$C$2:$C$1001,$AR887),"")))</f>
        <v>1</v>
      </c>
      <c r="D887" s="5">
        <f>IF($A887="","",IF($AP887&lt;&gt;"",INDEX(Raw_D1!$D$2:$D$1001,$AP887),IF($AR887&lt;&gt;"",INDEX(Raw_D3!$D$2:$D$1001,$AR887),"")))</f>
        <v>0</v>
      </c>
      <c r="E887" s="5">
        <f>IF($A887="","",IF($AP887&lt;&gt;"",INDEX(Raw_D1!$E$2:$E$1001,$AP887),IF($AR887&lt;&gt;"",INDEX(Raw_D3!$E$2:$E$1001,$AR887),"")))</f>
        <v>2</v>
      </c>
      <c r="F887" s="5">
        <f>IF($A887="","",IF($AP887&lt;&gt;"",INDEX(Raw_D1!$F$2:$F$1001,$AP887),IF($AR887&lt;&gt;"",INDEX(Raw_D3!$F$2:$F$1001,$AR887),"")))</f>
        <v>9</v>
      </c>
      <c r="G887" s="5">
        <f>IF($A887="","",IF($AP887&lt;&gt;"",IF(INDEX(Raw_D1!$G$2:$G$1001,$AP887),1,0),IF($AR887&lt;&gt;"",IF(INDEX(Raw_D3!$G$2:$G$1001,$AR887),1,0),"")))</f>
        <v>0</v>
      </c>
      <c r="H887" s="5">
        <f>IF($A887="","",IF($AP887&lt;&gt;"",INDEX(Raw_D1!$H$2:$H$1001,$AP887),IF($AR887&lt;&gt;"",INDEX(Raw_D3!$H$2:$H$1001,$AR887),"")))</f>
        <v>3</v>
      </c>
      <c r="I887" s="5">
        <f>IF($A887="","",IF($AP887&lt;&gt;"",INDEX(Raw_D1!$I$2:$I$1001,$AP887),IF($AR887&lt;&gt;"",INDEX(Raw_D3!$I$2:$I$1001,$AR887),"")))</f>
        <v>1</v>
      </c>
      <c r="J887" s="16">
        <f>IF($A887="","",IF($AP887&lt;&gt;"",INDEX(Raw_D1!$J$2:$J$1001,$AP887),IF($AR887&lt;&gt;"",INDEX(Raw_D3!$J$2:$J$1001,$AR887),"")))</f>
        <v>0.12</v>
      </c>
      <c r="K887" s="17">
        <f>IF($A887="","",IF($AQ887&lt;&gt;"",IF(INDEX(Raw_D2!$C$2:$C$1001,$AQ887)="","",INDEX(Raw_D2!$C$2:$C$1001,$AQ887)),IF($AR887&lt;&gt;"",IF(INDEX(Raw_D3!$K$2:$K$1001,$AR887)="","",INDEX(Raw_D3!$K$2:$K$1001,$AR887)),"")))</f>
        <v>0.1364</v>
      </c>
      <c r="L887" s="16">
        <f>IF($A887="","",IF($AQ887&lt;&gt;"",IF(INDEX(Raw_D2!$D$2:$D$1001,$AQ887)="","",INDEX(Raw_D2!$D$2:$D$1001,$AQ887)),IF($AR887&lt;&gt;"",IF(INDEX(Raw_D3!$L$2:$L$1001,$AR887)="","",INDEX(Raw_D3!$L$2:$L$1001,$AR887)),"")))</f>
        <v>0.39</v>
      </c>
      <c r="M887" s="17">
        <f>IF($A887="","",IF($AQ887&lt;&gt;"",IF(INDEX(Raw_D2!$E$2:$E$1001,$AQ887)="","",INDEX(Raw_D2!$E$2:$E$1001,$AQ887)),IF($AR887&lt;&gt;"",IF(INDEX(Raw_D3!$M$2:$M$1001,$AR887)="","",INDEX(Raw_D3!$M$2:$M$1001,$AR887)),"")))</f>
        <v>0.1642</v>
      </c>
      <c r="N887" s="5">
        <f>IF($A887="","",IF($AQ887&lt;&gt;"",IF(INDEX(Raw_D2!$F$2:$F$1001,$AQ887)="","",INDEX(Raw_D2!$F$2:$F$1001,$AQ887)),IF($AR887&lt;&gt;"",IF(INDEX(Raw_D3!$N$2:$N$1001,$AR887)="","",INDEX(Raw_D3!$N$2:$N$1001,$AR887)),"")))</f>
        <v>4</v>
      </c>
      <c r="O887" s="5">
        <f>IF($A887="","",IF($AQ887&lt;&gt;"",IF(INDEX(Raw_D2!$G$2:$G$1001,$AQ887)="","",INDEX(Raw_D2!$G$2:$G$1001,$AQ887)),IF($AR887&lt;&gt;"",IF(INDEX(Raw_D3!$O$2:$O$1001,$AR887)="","",INDEX(Raw_D3!$O$2:$O$1001,$AR887)),"")))</f>
        <v>119</v>
      </c>
      <c r="P887" s="5">
        <f>IF($A887="","",IF($AQ887&lt;&gt;"",IF(INDEX(Raw_D2!$H$2:$H$1001,$AQ887)="","",INDEX(Raw_D2!$H$2:$H$1001,$AQ887)),IF($AR887&lt;&gt;"",IF(INDEX(Raw_D3!$P$2:$P$1001,$AR887)="","",INDEX(Raw_D3!$P$2:$P$1001,$AR887)),"")))</f>
        <v>123</v>
      </c>
      <c r="Q887" s="5" t="str">
        <f>IF($A887="","",IF(AND($AP887&lt;&gt;"",$AQ887&lt;&gt;""),"D1+D2",IF($AR887&lt;&gt;"","D3","Incomplete")))</f>
        <v>D3</v>
      </c>
      <c r="R887" s="17">
        <f>IF($A887="","",IF($K887="",IF($J887="","",ROUND(Lookups!$K$5+Lookups!$K$4*$J887,4)),$K887))</f>
        <v>0.1364</v>
      </c>
      <c r="S887" s="5" t="str">
        <f>IF($A887="","",IF($K887="","Imputed","Original"))</f>
        <v>Original</v>
      </c>
      <c r="T887" s="5" t="str">
        <f>IF($A887="","",IF($P887="","Missing",IF($P887=$N887+$O887,"OK","Mismatch")))</f>
        <v>OK</v>
      </c>
      <c r="U887" s="5" t="str">
        <f>IF($A887="","",IF(COUNTIF($A$2:$A887,$A887)&gt;1,"Duplicate","Unique"))</f>
        <v>Unique</v>
      </c>
      <c r="V887" s="5">
        <f>IF($A887="","",IF(AND($U887="Unique",ISNUMBER($P887)),1,0))</f>
        <v>1</v>
      </c>
      <c r="W887" s="5" t="str">
        <f>IF($A887="","",IF(OR($H887=0,$H887=6),"Weekend","Weekday"))</f>
        <v>Weekday</v>
      </c>
      <c r="X887" s="5" t="str">
        <f>IF($A887="","",TEXT($B887,"ddd"))</f>
        <v>Wed</v>
      </c>
      <c r="Y887" s="5" t="str">
        <f>IF($A887="","",TEXT($B887,"mmm"))</f>
        <v>Feb</v>
      </c>
      <c r="Z887" s="5" t="str">
        <f>IF($A887="","",IFERROR(VLOOKUP($C887,Lookups!$D$4:$E$7,2,FALSE),"Unknown"))</f>
        <v>Winter</v>
      </c>
      <c r="AA887" s="5" t="str">
        <f>IF($A887="","",IFERROR(VLOOKUP($I887,Lookups!$A$4:$B$7,2,FALSE),"Unknown"))</f>
        <v>Clear</v>
      </c>
      <c r="AB887" s="5" t="str">
        <f>IF($A887="","",TEXT($F887,"00")&amp;":00")</f>
        <v>09:00</v>
      </c>
      <c r="AC887" s="5" t="str">
        <f>IF($A887="","",VLOOKUP($F887,Lookups!$G$4:$H$8,2,TRUE))</f>
        <v>Morning Peak (06-09)</v>
      </c>
      <c r="AD887" s="18">
        <f>IF($A887="","",IF($J887="","",ROUND($J887*41,1)))</f>
        <v>4.9</v>
      </c>
      <c r="AE887" s="18">
        <f>IF($A887="","",IF($R887="","",ROUND($R887*50,1)))</f>
        <v>6.8</v>
      </c>
      <c r="AF887" s="5">
        <f>IF($A887="","",IF($L887="","",ROUND($L887*100,0)))</f>
        <v>39</v>
      </c>
      <c r="AG887" s="18">
        <f>IF($A887="","",IF($M887="","",ROUND($M887*67,1)))</f>
        <v>11</v>
      </c>
      <c r="AH887" s="19">
        <f>IF($A887="","",IF($P887="","",IF($P887=0,0,$O887/$P887)))</f>
        <v>0.967479674796748</v>
      </c>
      <c r="AI887" s="5" t="str">
        <f>IF($A887="","",IF($P887="","",IF($P887&gt;=Lookups!$K$7,"High",IF($P887&lt;=Lookups!$K$8,"Low","Medium"))))</f>
        <v>High</v>
      </c>
      <c r="AJ887" s="5" t="str">
        <f>IF($A887="","",IF($AD887="","",IF($AD887&lt;5,"Under 5 C",IF($AD887&lt;10,"5-10 C",IF($AD887&lt;15,"10-15 C","15 C and above")))))</f>
        <v>Under 5 C</v>
      </c>
      <c r="AK887" s="5">
        <f>IF($A887="","",IF($P887="","",$P887^2))</f>
        <v>15129</v>
      </c>
      <c r="AL887" s="18">
        <f>IF($V887&lt;&gt;1,"",AVERAGEIFS(Clean_Data!$P$2:$P$1001,Clean_Data!$F$2:$F$1001,$F887,Clean_Data!$W$2:$W$1001,$W887,Clean_Data!$V$2:$V$1001,1))</f>
        <v>115.678571428571</v>
      </c>
      <c r="AM887" s="16">
        <f>IF($V887&lt;&gt;1,"",IFERROR(($P887-$AL887)/SQRT(MAX(0,(SUMIFS(Clean_Data!$AK$2:$AK$1001,Clean_Data!$F$2:$F$1001,$F887,Clean_Data!$W$2:$W$1001,$W887,Clean_Data!$V$2:$V$1001,1)-COUNTIFS(Clean_Data!$F$2:$F$1001,$F887,Clean_Data!$W$2:$W$1001,$W887,Clean_Data!$V$2:$V$1001,1)*$AL887^2)/(COUNTIFS(Clean_Data!$F$2:$F$1001,$F887,Clean_Data!$W$2:$W$1001,$W887,Clean_Data!$V$2:$V$1001,1)-1))),""))</f>
        <v>0.284014811248673</v>
      </c>
      <c r="AN887" s="5" t="str">
        <f>IF($AM887="","",IF($AM887&gt;=Lookups!$K$6,"High spike",IF($AM887&lt;=-Lookups!$K$6,"Unusual low","Normal")))</f>
        <v>Normal</v>
      </c>
      <c r="AO887" s="20">
        <f>IF($V887&lt;&gt;1,"",$P887+ROW()/100000)</f>
        <v>123.00887</v>
      </c>
      <c r="AP887" s="5">
        <f>IF($A887="","",IFERROR(MATCH($A887,Raw_D1!$A$2:$A$1001,0),""))</f>
        <v/>
      </c>
      <c r="AQ887" s="5">
        <f>IF($A887="","",IFERROR(MATCH($A887,Raw_D2!$B$2:$B$1001,0),""))</f>
        <v/>
      </c>
      <c r="AR887" s="5">
        <f>IF($A887="","",IFERROR(MATCH($A887,Raw_D3!$A$2:$A$1001,0),""))</f>
        <v>267</v>
      </c>
    </row>
    <row r="888" spans="1:44" x14ac:dyDescent="0.25">
      <c r="A888" s="5">
        <v>887</v>
      </c>
      <c r="B888" s="11">
        <f>IF($A888="","",IF($AP888&lt;&gt;"",INDEX(Raw_D1!$B$2:$B$1001,$AP888),IF($AR888&lt;&gt;"",INDEX(Raw_D3!$B$2:$B$1001,$AR888),"")))</f>
        <v>40583.0</v>
      </c>
      <c r="C888" s="5">
        <f>IF($A888="","",IF($AP888&lt;&gt;"",INDEX(Raw_D1!$C$2:$C$1001,$AP888),IF($AR888&lt;&gt;"",INDEX(Raw_D3!$C$2:$C$1001,$AR888),"")))</f>
        <v>1</v>
      </c>
      <c r="D888" s="5">
        <f>IF($A888="","",IF($AP888&lt;&gt;"",INDEX(Raw_D1!$D$2:$D$1001,$AP888),IF($AR888&lt;&gt;"",INDEX(Raw_D3!$D$2:$D$1001,$AR888),"")))</f>
        <v>0</v>
      </c>
      <c r="E888" s="5">
        <f>IF($A888="","",IF($AP888&lt;&gt;"",INDEX(Raw_D1!$E$2:$E$1001,$AP888),IF($AR888&lt;&gt;"",INDEX(Raw_D3!$E$2:$E$1001,$AR888),"")))</f>
        <v>2</v>
      </c>
      <c r="F888" s="5">
        <f>IF($A888="","",IF($AP888&lt;&gt;"",INDEX(Raw_D1!$F$2:$F$1001,$AP888),IF($AR888&lt;&gt;"",INDEX(Raw_D3!$F$2:$F$1001,$AR888),"")))</f>
        <v>10</v>
      </c>
      <c r="G888" s="5">
        <f>IF($A888="","",IF($AP888&lt;&gt;"",IF(INDEX(Raw_D1!$G$2:$G$1001,$AP888),1,0),IF($AR888&lt;&gt;"",IF(INDEX(Raw_D3!$G$2:$G$1001,$AR888),1,0),"")))</f>
        <v>0</v>
      </c>
      <c r="H888" s="5">
        <f>IF($A888="","",IF($AP888&lt;&gt;"",INDEX(Raw_D1!$H$2:$H$1001,$AP888),IF($AR888&lt;&gt;"",INDEX(Raw_D3!$H$2:$H$1001,$AR888),"")))</f>
        <v>3</v>
      </c>
      <c r="I888" s="5">
        <f>IF($A888="","",IF($AP888&lt;&gt;"",INDEX(Raw_D1!$I$2:$I$1001,$AP888),IF($AR888&lt;&gt;"",INDEX(Raw_D3!$I$2:$I$1001,$AR888),"")))</f>
        <v>1</v>
      </c>
      <c r="J888" s="16">
        <f>IF($A888="","",IF($AP888&lt;&gt;"",INDEX(Raw_D1!$J$2:$J$1001,$AP888),IF($AR888&lt;&gt;"",INDEX(Raw_D3!$J$2:$J$1001,$AR888),"")))</f>
        <v>0.14</v>
      </c>
      <c r="K888" s="17">
        <f>IF($A888="","",IF($AQ888&lt;&gt;"",IF(INDEX(Raw_D2!$C$2:$C$1001,$AQ888)="","",INDEX(Raw_D2!$C$2:$C$1001,$AQ888)),IF($AR888&lt;&gt;"",IF(INDEX(Raw_D3!$K$2:$K$1001,$AR888)="","",INDEX(Raw_D3!$K$2:$K$1001,$AR888)),"")))</f>
        <v>0.1818</v>
      </c>
      <c r="L888" s="16">
        <f>IF($A888="","",IF($AQ888&lt;&gt;"",IF(INDEX(Raw_D2!$D$2:$D$1001,$AQ888)="","",INDEX(Raw_D2!$D$2:$D$1001,$AQ888)),IF($AR888&lt;&gt;"",IF(INDEX(Raw_D3!$L$2:$L$1001,$AR888)="","",INDEX(Raw_D3!$L$2:$L$1001,$AR888)),"")))</f>
        <v>0.36</v>
      </c>
      <c r="M888" s="17">
        <f>IF($A888="","",IF($AQ888&lt;&gt;"",IF(INDEX(Raw_D2!$E$2:$E$1001,$AQ888)="","",INDEX(Raw_D2!$E$2:$E$1001,$AQ888)),IF($AR888&lt;&gt;"",IF(INDEX(Raw_D3!$M$2:$M$1001,$AR888)="","",INDEX(Raw_D3!$M$2:$M$1001,$AR888)),"")))</f>
        <v>0</v>
      </c>
      <c r="N888" s="5">
        <f>IF($A888="","",IF($AQ888&lt;&gt;"",IF(INDEX(Raw_D2!$F$2:$F$1001,$AQ888)="","",INDEX(Raw_D2!$F$2:$F$1001,$AQ888)),IF($AR888&lt;&gt;"",IF(INDEX(Raw_D3!$N$2:$N$1001,$AR888)="","",INDEX(Raw_D3!$N$2:$N$1001,$AR888)),"")))</f>
        <v>8</v>
      </c>
      <c r="O888" s="5">
        <f>IF($A888="","",IF($AQ888&lt;&gt;"",IF(INDEX(Raw_D2!$G$2:$G$1001,$AQ888)="","",INDEX(Raw_D2!$G$2:$G$1001,$AQ888)),IF($AR888&lt;&gt;"",IF(INDEX(Raw_D3!$O$2:$O$1001,$AR888)="","",INDEX(Raw_D3!$O$2:$O$1001,$AR888)),"")))</f>
        <v>51</v>
      </c>
      <c r="P888" s="5">
        <f>IF($A888="","",IF($AQ888&lt;&gt;"",IF(INDEX(Raw_D2!$H$2:$H$1001,$AQ888)="","",INDEX(Raw_D2!$H$2:$H$1001,$AQ888)),IF($AR888&lt;&gt;"",IF(INDEX(Raw_D3!$P$2:$P$1001,$AR888)="","",INDEX(Raw_D3!$P$2:$P$1001,$AR888)),"")))</f>
        <v>59</v>
      </c>
      <c r="Q888" s="5" t="str">
        <f>IF($A888="","",IF(AND($AP888&lt;&gt;"",$AQ888&lt;&gt;""),"D1+D2",IF($AR888&lt;&gt;"","D3","Incomplete")))</f>
        <v>D3</v>
      </c>
      <c r="R888" s="17">
        <f>IF($A888="","",IF($K888="",IF($J888="","",ROUND(Lookups!$K$5+Lookups!$K$4*$J888,4)),$K888))</f>
        <v>0.1818</v>
      </c>
      <c r="S888" s="5" t="str">
        <f>IF($A888="","",IF($K888="","Imputed","Original"))</f>
        <v>Original</v>
      </c>
      <c r="T888" s="5" t="str">
        <f>IF($A888="","",IF($P888="","Missing",IF($P888=$N888+$O888,"OK","Mismatch")))</f>
        <v>OK</v>
      </c>
      <c r="U888" s="5" t="str">
        <f>IF($A888="","",IF(COUNTIF($A$2:$A888,$A888)&gt;1,"Duplicate","Unique"))</f>
        <v>Unique</v>
      </c>
      <c r="V888" s="5">
        <f>IF($A888="","",IF(AND($U888="Unique",ISNUMBER($P888)),1,0))</f>
        <v>1</v>
      </c>
      <c r="W888" s="5" t="str">
        <f>IF($A888="","",IF(OR($H888=0,$H888=6),"Weekend","Weekday"))</f>
        <v>Weekday</v>
      </c>
      <c r="X888" s="5" t="str">
        <f>IF($A888="","",TEXT($B888,"ddd"))</f>
        <v>Wed</v>
      </c>
      <c r="Y888" s="5" t="str">
        <f>IF($A888="","",TEXT($B888,"mmm"))</f>
        <v>Feb</v>
      </c>
      <c r="Z888" s="5" t="str">
        <f>IF($A888="","",IFERROR(VLOOKUP($C888,Lookups!$D$4:$E$7,2,FALSE),"Unknown"))</f>
        <v>Winter</v>
      </c>
      <c r="AA888" s="5" t="str">
        <f>IF($A888="","",IFERROR(VLOOKUP($I888,Lookups!$A$4:$B$7,2,FALSE),"Unknown"))</f>
        <v>Clear</v>
      </c>
      <c r="AB888" s="5" t="str">
        <f>IF($A888="","",TEXT($F888,"00")&amp;":00")</f>
        <v>10:00</v>
      </c>
      <c r="AC888" s="5" t="str">
        <f>IF($A888="","",VLOOKUP($F888,Lookups!$G$4:$H$8,2,TRUE))</f>
        <v>Midday (10-15)</v>
      </c>
      <c r="AD888" s="18">
        <f>IF($A888="","",IF($J888="","",ROUND($J888*41,1)))</f>
        <v>5.7</v>
      </c>
      <c r="AE888" s="18">
        <f>IF($A888="","",IF($R888="","",ROUND($R888*50,1)))</f>
        <v>9.1</v>
      </c>
      <c r="AF888" s="5">
        <f>IF($A888="","",IF($L888="","",ROUND($L888*100,0)))</f>
        <v>36</v>
      </c>
      <c r="AG888" s="18">
        <f>IF($A888="","",IF($M888="","",ROUND($M888*67,1)))</f>
        <v>0</v>
      </c>
      <c r="AH888" s="19">
        <f>IF($A888="","",IF($P888="","",IF($P888=0,0,$O888/$P888)))</f>
        <v>0.864406779661017</v>
      </c>
      <c r="AI888" s="5" t="str">
        <f>IF($A888="","",IF($P888="","",IF($P888&gt;=Lookups!$K$7,"High",IF($P888&lt;=Lookups!$K$8,"Low","Medium"))))</f>
        <v>Medium</v>
      </c>
      <c r="AJ888" s="5" t="str">
        <f>IF($A888="","",IF($AD888="","",IF($AD888&lt;5,"Under 5 C",IF($AD888&lt;10,"5-10 C",IF($AD888&lt;15,"10-15 C","15 C and above")))))</f>
        <v>5-10 C</v>
      </c>
      <c r="AK888" s="5">
        <f>IF($A888="","",IF($P888="","",$P888^2))</f>
        <v>3481</v>
      </c>
      <c r="AL888" s="18">
        <f>IF($V888&lt;&gt;1,"",AVERAGEIFS(Clean_Data!$P$2:$P$1001,Clean_Data!$F$2:$F$1001,$F888,Clean_Data!$W$2:$W$1001,$W888,Clean_Data!$V$2:$V$1001,1))</f>
        <v>49.0714285714286</v>
      </c>
      <c r="AM888" s="16">
        <f>IF($V888&lt;&gt;1,"",IFERROR(($P888-$AL888)/SQRT(MAX(0,(SUMIFS(Clean_Data!$AK$2:$AK$1001,Clean_Data!$F$2:$F$1001,$F888,Clean_Data!$W$2:$W$1001,$W888,Clean_Data!$V$2:$V$1001,1)-COUNTIFS(Clean_Data!$F$2:$F$1001,$F888,Clean_Data!$W$2:$W$1001,$W888,Clean_Data!$V$2:$V$1001,1)*$AL888^2)/(COUNTIFS(Clean_Data!$F$2:$F$1001,$F888,Clean_Data!$W$2:$W$1001,$W888,Clean_Data!$V$2:$V$1001,1)-1))),""))</f>
        <v>0.983815318385846</v>
      </c>
      <c r="AN888" s="5" t="str">
        <f>IF($AM888="","",IF($AM888&gt;=Lookups!$K$6,"High spike",IF($AM888&lt;=-Lookups!$K$6,"Unusual low","Normal")))</f>
        <v>Normal</v>
      </c>
      <c r="AO888" s="20">
        <f>IF($V888&lt;&gt;1,"",$P888+ROW()/100000)</f>
        <v>59.00888</v>
      </c>
      <c r="AP888" s="5">
        <f>IF($A888="","",IFERROR(MATCH($A888,Raw_D1!$A$2:$A$1001,0),""))</f>
        <v/>
      </c>
      <c r="AQ888" s="5">
        <f>IF($A888="","",IFERROR(MATCH($A888,Raw_D2!$B$2:$B$1001,0),""))</f>
        <v/>
      </c>
      <c r="AR888" s="5">
        <f>IF($A888="","",IFERROR(MATCH($A888,Raw_D3!$A$2:$A$1001,0),""))</f>
        <v>268</v>
      </c>
    </row>
    <row r="889" spans="1:44" x14ac:dyDescent="0.25">
      <c r="A889" s="5">
        <v>888</v>
      </c>
      <c r="B889" s="11">
        <f>IF($A889="","",IF($AP889&lt;&gt;"",INDEX(Raw_D1!$B$2:$B$1001,$AP889),IF($AR889&lt;&gt;"",INDEX(Raw_D3!$B$2:$B$1001,$AR889),"")))</f>
        <v>40583.0</v>
      </c>
      <c r="C889" s="5">
        <f>IF($A889="","",IF($AP889&lt;&gt;"",INDEX(Raw_D1!$C$2:$C$1001,$AP889),IF($AR889&lt;&gt;"",INDEX(Raw_D3!$C$2:$C$1001,$AR889),"")))</f>
        <v>1</v>
      </c>
      <c r="D889" s="5">
        <f>IF($A889="","",IF($AP889&lt;&gt;"",INDEX(Raw_D1!$D$2:$D$1001,$AP889),IF($AR889&lt;&gt;"",INDEX(Raw_D3!$D$2:$D$1001,$AR889),"")))</f>
        <v>0</v>
      </c>
      <c r="E889" s="5">
        <f>IF($A889="","",IF($AP889&lt;&gt;"",INDEX(Raw_D1!$E$2:$E$1001,$AP889),IF($AR889&lt;&gt;"",INDEX(Raw_D3!$E$2:$E$1001,$AR889),"")))</f>
        <v>2</v>
      </c>
      <c r="F889" s="5">
        <f>IF($A889="","",IF($AP889&lt;&gt;"",INDEX(Raw_D1!$F$2:$F$1001,$AP889),IF($AR889&lt;&gt;"",INDEX(Raw_D3!$F$2:$F$1001,$AR889),"")))</f>
        <v>11</v>
      </c>
      <c r="G889" s="5">
        <f>IF($A889="","",IF($AP889&lt;&gt;"",IF(INDEX(Raw_D1!$G$2:$G$1001,$AP889),1,0),IF($AR889&lt;&gt;"",IF(INDEX(Raw_D3!$G$2:$G$1001,$AR889),1,0),"")))</f>
        <v>0</v>
      </c>
      <c r="H889" s="5">
        <f>IF($A889="","",IF($AP889&lt;&gt;"",INDEX(Raw_D1!$H$2:$H$1001,$AP889),IF($AR889&lt;&gt;"",INDEX(Raw_D3!$H$2:$H$1001,$AR889),"")))</f>
        <v>3</v>
      </c>
      <c r="I889" s="5">
        <f>IF($A889="","",IF($AP889&lt;&gt;"",INDEX(Raw_D1!$I$2:$I$1001,$AP889),IF($AR889&lt;&gt;"",INDEX(Raw_D3!$I$2:$I$1001,$AR889),"")))</f>
        <v>2</v>
      </c>
      <c r="J889" s="16">
        <f>IF($A889="","",IF($AP889&lt;&gt;"",INDEX(Raw_D1!$J$2:$J$1001,$AP889),IF($AR889&lt;&gt;"",INDEX(Raw_D3!$J$2:$J$1001,$AR889),"")))</f>
        <v>0.14</v>
      </c>
      <c r="K889" s="17">
        <f>IF($A889="","",IF($AQ889&lt;&gt;"",IF(INDEX(Raw_D2!$C$2:$C$1001,$AQ889)="","",INDEX(Raw_D2!$C$2:$C$1001,$AQ889)),IF($AR889&lt;&gt;"",IF(INDEX(Raw_D3!$K$2:$K$1001,$AR889)="","",INDEX(Raw_D3!$K$2:$K$1001,$AR889)),"")))</f>
        <v>0.1515</v>
      </c>
      <c r="L889" s="16">
        <f>IF($A889="","",IF($AQ889&lt;&gt;"",IF(INDEX(Raw_D2!$D$2:$D$1001,$AQ889)="","",INDEX(Raw_D2!$D$2:$D$1001,$AQ889)),IF($AR889&lt;&gt;"",IF(INDEX(Raw_D3!$L$2:$L$1001,$AR889)="","",INDEX(Raw_D3!$L$2:$L$1001,$AR889)),"")))</f>
        <v>0.43</v>
      </c>
      <c r="M889" s="17">
        <f>IF($A889="","",IF($AQ889&lt;&gt;"",IF(INDEX(Raw_D2!$E$2:$E$1001,$AQ889)="","",INDEX(Raw_D2!$E$2:$E$1001,$AQ889)),IF($AR889&lt;&gt;"",IF(INDEX(Raw_D3!$M$2:$M$1001,$AR889)="","",INDEX(Raw_D3!$M$2:$M$1001,$AR889)),"")))</f>
        <v>0.1642</v>
      </c>
      <c r="N889" s="5">
        <f>IF($A889="","",IF($AQ889&lt;&gt;"",IF(INDEX(Raw_D2!$F$2:$F$1001,$AQ889)="","",INDEX(Raw_D2!$F$2:$F$1001,$AQ889)),IF($AR889&lt;&gt;"",IF(INDEX(Raw_D3!$N$2:$N$1001,$AR889)="","",INDEX(Raw_D3!$N$2:$N$1001,$AR889)),"")))</f>
        <v>1</v>
      </c>
      <c r="O889" s="5">
        <f>IF($A889="","",IF($AQ889&lt;&gt;"",IF(INDEX(Raw_D2!$G$2:$G$1001,$AQ889)="","",INDEX(Raw_D2!$G$2:$G$1001,$AQ889)),IF($AR889&lt;&gt;"",IF(INDEX(Raw_D3!$O$2:$O$1001,$AR889)="","",INDEX(Raw_D3!$O$2:$O$1001,$AR889)),"")))</f>
        <v>40</v>
      </c>
      <c r="P889" s="5">
        <f>IF($A889="","",IF($AQ889&lt;&gt;"",IF(INDEX(Raw_D2!$H$2:$H$1001,$AQ889)="","",INDEX(Raw_D2!$H$2:$H$1001,$AQ889)),IF($AR889&lt;&gt;"",IF(INDEX(Raw_D3!$P$2:$P$1001,$AR889)="","",INDEX(Raw_D3!$P$2:$P$1001,$AR889)),"")))</f>
        <v>41</v>
      </c>
      <c r="Q889" s="5" t="str">
        <f>IF($A889="","",IF(AND($AP889&lt;&gt;"",$AQ889&lt;&gt;""),"D1+D2",IF($AR889&lt;&gt;"","D3","Incomplete")))</f>
        <v>D3</v>
      </c>
      <c r="R889" s="17">
        <f>IF($A889="","",IF($K889="",IF($J889="","",ROUND(Lookups!$K$5+Lookups!$K$4*$J889,4)),$K889))</f>
        <v>0.1515</v>
      </c>
      <c r="S889" s="5" t="str">
        <f>IF($A889="","",IF($K889="","Imputed","Original"))</f>
        <v>Original</v>
      </c>
      <c r="T889" s="5" t="str">
        <f>IF($A889="","",IF($P889="","Missing",IF($P889=$N889+$O889,"OK","Mismatch")))</f>
        <v>OK</v>
      </c>
      <c r="U889" s="5" t="str">
        <f>IF($A889="","",IF(COUNTIF($A$2:$A889,$A889)&gt;1,"Duplicate","Unique"))</f>
        <v>Unique</v>
      </c>
      <c r="V889" s="5">
        <f>IF($A889="","",IF(AND($U889="Unique",ISNUMBER($P889)),1,0))</f>
        <v>1</v>
      </c>
      <c r="W889" s="5" t="str">
        <f>IF($A889="","",IF(OR($H889=0,$H889=6),"Weekend","Weekday"))</f>
        <v>Weekday</v>
      </c>
      <c r="X889" s="5" t="str">
        <f>IF($A889="","",TEXT($B889,"ddd"))</f>
        <v>Wed</v>
      </c>
      <c r="Y889" s="5" t="str">
        <f>IF($A889="","",TEXT($B889,"mmm"))</f>
        <v>Feb</v>
      </c>
      <c r="Z889" s="5" t="str">
        <f>IF($A889="","",IFERROR(VLOOKUP($C889,Lookups!$D$4:$E$7,2,FALSE),"Unknown"))</f>
        <v>Winter</v>
      </c>
      <c r="AA889" s="5" t="str">
        <f>IF($A889="","",IFERROR(VLOOKUP($I889,Lookups!$A$4:$B$7,2,FALSE),"Unknown"))</f>
        <v>Mist/Cloudy</v>
      </c>
      <c r="AB889" s="5" t="str">
        <f>IF($A889="","",TEXT($F889,"00")&amp;":00")</f>
        <v>11:00</v>
      </c>
      <c r="AC889" s="5" t="str">
        <f>IF($A889="","",VLOOKUP($F889,Lookups!$G$4:$H$8,2,TRUE))</f>
        <v>Midday (10-15)</v>
      </c>
      <c r="AD889" s="18">
        <f>IF($A889="","",IF($J889="","",ROUND($J889*41,1)))</f>
        <v>5.7</v>
      </c>
      <c r="AE889" s="18">
        <f>IF($A889="","",IF($R889="","",ROUND($R889*50,1)))</f>
        <v>7.6</v>
      </c>
      <c r="AF889" s="5">
        <f>IF($A889="","",IF($L889="","",ROUND($L889*100,0)))</f>
        <v>43</v>
      </c>
      <c r="AG889" s="18">
        <f>IF($A889="","",IF($M889="","",ROUND($M889*67,1)))</f>
        <v>11</v>
      </c>
      <c r="AH889" s="19">
        <f>IF($A889="","",IF($P889="","",IF($P889=0,0,$O889/$P889)))</f>
        <v>0.975609756097561</v>
      </c>
      <c r="AI889" s="5" t="str">
        <f>IF($A889="","",IF($P889="","",IF($P889&gt;=Lookups!$K$7,"High",IF($P889&lt;=Lookups!$K$8,"Low","Medium"))))</f>
        <v>Medium</v>
      </c>
      <c r="AJ889" s="5" t="str">
        <f>IF($A889="","",IF($AD889="","",IF($AD889&lt;5,"Under 5 C",IF($AD889&lt;10,"5-10 C",IF($AD889&lt;15,"10-15 C","15 C and above")))))</f>
        <v>5-10 C</v>
      </c>
      <c r="AK889" s="5">
        <f>IF($A889="","",IF($P889="","",$P889^2))</f>
        <v>1681</v>
      </c>
      <c r="AL889" s="18">
        <f>IF($V889&lt;&gt;1,"",AVERAGEIFS(Clean_Data!$P$2:$P$1001,Clean_Data!$F$2:$F$1001,$F889,Clean_Data!$W$2:$W$1001,$W889,Clean_Data!$V$2:$V$1001,1))</f>
        <v>50.6071428571429</v>
      </c>
      <c r="AM889" s="16">
        <f>IF($V889&lt;&gt;1,"",IFERROR(($P889-$AL889)/SQRT(MAX(0,(SUMIFS(Clean_Data!$AK$2:$AK$1001,Clean_Data!$F$2:$F$1001,$F889,Clean_Data!$W$2:$W$1001,$W889,Clean_Data!$V$2:$V$1001,1)-COUNTIFS(Clean_Data!$F$2:$F$1001,$F889,Clean_Data!$W$2:$W$1001,$W889,Clean_Data!$V$2:$V$1001,1)*$AL889^2)/(COUNTIFS(Clean_Data!$F$2:$F$1001,$F889,Clean_Data!$W$2:$W$1001,$W889,Clean_Data!$V$2:$V$1001,1)-1))),""))</f>
        <v>-0.857552944669762</v>
      </c>
      <c r="AN889" s="5" t="str">
        <f>IF($AM889="","",IF($AM889&gt;=Lookups!$K$6,"High spike",IF($AM889&lt;=-Lookups!$K$6,"Unusual low","Normal")))</f>
        <v>Normal</v>
      </c>
      <c r="AO889" s="20">
        <f>IF($V889&lt;&gt;1,"",$P889+ROW()/100000)</f>
        <v>41.00889</v>
      </c>
      <c r="AP889" s="5">
        <f>IF($A889="","",IFERROR(MATCH($A889,Raw_D1!$A$2:$A$1001,0),""))</f>
        <v/>
      </c>
      <c r="AQ889" s="5">
        <f>IF($A889="","",IFERROR(MATCH($A889,Raw_D2!$B$2:$B$1001,0),""))</f>
        <v/>
      </c>
      <c r="AR889" s="5">
        <f>IF($A889="","",IFERROR(MATCH($A889,Raw_D3!$A$2:$A$1001,0),""))</f>
        <v>269</v>
      </c>
    </row>
    <row r="890" spans="1:44" x14ac:dyDescent="0.25">
      <c r="A890" s="5">
        <v>889</v>
      </c>
      <c r="B890" s="11">
        <f>IF($A890="","",IF($AP890&lt;&gt;"",INDEX(Raw_D1!$B$2:$B$1001,$AP890),IF($AR890&lt;&gt;"",INDEX(Raw_D3!$B$2:$B$1001,$AR890),"")))</f>
        <v>40583.0</v>
      </c>
      <c r="C890" s="5">
        <f>IF($A890="","",IF($AP890&lt;&gt;"",INDEX(Raw_D1!$C$2:$C$1001,$AP890),IF($AR890&lt;&gt;"",INDEX(Raw_D3!$C$2:$C$1001,$AR890),"")))</f>
        <v>1</v>
      </c>
      <c r="D890" s="5">
        <f>IF($A890="","",IF($AP890&lt;&gt;"",INDEX(Raw_D1!$D$2:$D$1001,$AP890),IF($AR890&lt;&gt;"",INDEX(Raw_D3!$D$2:$D$1001,$AR890),"")))</f>
        <v>0</v>
      </c>
      <c r="E890" s="5">
        <f>IF($A890="","",IF($AP890&lt;&gt;"",INDEX(Raw_D1!$E$2:$E$1001,$AP890),IF($AR890&lt;&gt;"",INDEX(Raw_D3!$E$2:$E$1001,$AR890),"")))</f>
        <v>2</v>
      </c>
      <c r="F890" s="5">
        <f>IF($A890="","",IF($AP890&lt;&gt;"",INDEX(Raw_D1!$F$2:$F$1001,$AP890),IF($AR890&lt;&gt;"",INDEX(Raw_D3!$F$2:$F$1001,$AR890),"")))</f>
        <v>12</v>
      </c>
      <c r="G890" s="5">
        <f>IF($A890="","",IF($AP890&lt;&gt;"",IF(INDEX(Raw_D1!$G$2:$G$1001,$AP890),1,0),IF($AR890&lt;&gt;"",IF(INDEX(Raw_D3!$G$2:$G$1001,$AR890),1,0),"")))</f>
        <v>0</v>
      </c>
      <c r="H890" s="5">
        <f>IF($A890="","",IF($AP890&lt;&gt;"",INDEX(Raw_D1!$H$2:$H$1001,$AP890),IF($AR890&lt;&gt;"",INDEX(Raw_D3!$H$2:$H$1001,$AR890),"")))</f>
        <v>3</v>
      </c>
      <c r="I890" s="5">
        <f>IF($A890="","",IF($AP890&lt;&gt;"",INDEX(Raw_D1!$I$2:$I$1001,$AP890),IF($AR890&lt;&gt;"",INDEX(Raw_D3!$I$2:$I$1001,$AR890),"")))</f>
        <v>2</v>
      </c>
      <c r="J890" s="16">
        <f>IF($A890="","",IF($AP890&lt;&gt;"",INDEX(Raw_D1!$J$2:$J$1001,$AP890),IF($AR890&lt;&gt;"",INDEX(Raw_D3!$J$2:$J$1001,$AR890),"")))</f>
        <v>0.18</v>
      </c>
      <c r="K890" s="17">
        <f>IF($A890="","",IF($AQ890&lt;&gt;"",IF(INDEX(Raw_D2!$C$2:$C$1001,$AQ890)="","",INDEX(Raw_D2!$C$2:$C$1001,$AQ890)),IF($AR890&lt;&gt;"",IF(INDEX(Raw_D3!$K$2:$K$1001,$AR890)="","",INDEX(Raw_D3!$K$2:$K$1001,$AR890)),"")))</f>
        <v>0.1818</v>
      </c>
      <c r="L890" s="16">
        <f>IF($A890="","",IF($AQ890&lt;&gt;"",IF(INDEX(Raw_D2!$D$2:$D$1001,$AQ890)="","",INDEX(Raw_D2!$D$2:$D$1001,$AQ890)),IF($AR890&lt;&gt;"",IF(INDEX(Raw_D3!$L$2:$L$1001,$AR890)="","",INDEX(Raw_D3!$L$2:$L$1001,$AR890)),"")))</f>
        <v>0.4</v>
      </c>
      <c r="M890" s="17">
        <f>IF($A890="","",IF($AQ890&lt;&gt;"",IF(INDEX(Raw_D2!$E$2:$E$1001,$AQ890)="","",INDEX(Raw_D2!$E$2:$E$1001,$AQ890)),IF($AR890&lt;&gt;"",IF(INDEX(Raw_D3!$M$2:$M$1001,$AR890)="","",INDEX(Raw_D3!$M$2:$M$1001,$AR890)),"")))</f>
        <v>0.2239</v>
      </c>
      <c r="N890" s="5">
        <f>IF($A890="","",IF($AQ890&lt;&gt;"",IF(INDEX(Raw_D2!$F$2:$F$1001,$AQ890)="","",INDEX(Raw_D2!$F$2:$F$1001,$AQ890)),IF($AR890&lt;&gt;"",IF(INDEX(Raw_D3!$N$2:$N$1001,$AR890)="","",INDEX(Raw_D3!$N$2:$N$1001,$AR890)),"")))</f>
        <v>4</v>
      </c>
      <c r="O890" s="5">
        <f>IF($A890="","",IF($AQ890&lt;&gt;"",IF(INDEX(Raw_D2!$G$2:$G$1001,$AQ890)="","",INDEX(Raw_D2!$G$2:$G$1001,$AQ890)),IF($AR890&lt;&gt;"",IF(INDEX(Raw_D3!$O$2:$O$1001,$AR890)="","",INDEX(Raw_D3!$O$2:$O$1001,$AR890)),"")))</f>
        <v>57</v>
      </c>
      <c r="P890" s="5">
        <f>IF($A890="","",IF($AQ890&lt;&gt;"",IF(INDEX(Raw_D2!$H$2:$H$1001,$AQ890)="","",INDEX(Raw_D2!$H$2:$H$1001,$AQ890)),IF($AR890&lt;&gt;"",IF(INDEX(Raw_D3!$P$2:$P$1001,$AR890)="","",INDEX(Raw_D3!$P$2:$P$1001,$AR890)),"")))</f>
        <v>61</v>
      </c>
      <c r="Q890" s="5" t="str">
        <f>IF($A890="","",IF(AND($AP890&lt;&gt;"",$AQ890&lt;&gt;""),"D1+D2",IF($AR890&lt;&gt;"","D3","Incomplete")))</f>
        <v>D3</v>
      </c>
      <c r="R890" s="17">
        <f>IF($A890="","",IF($K890="",IF($J890="","",ROUND(Lookups!$K$5+Lookups!$K$4*$J890,4)),$K890))</f>
        <v>0.1818</v>
      </c>
      <c r="S890" s="5" t="str">
        <f>IF($A890="","",IF($K890="","Imputed","Original"))</f>
        <v>Original</v>
      </c>
      <c r="T890" s="5" t="str">
        <f>IF($A890="","",IF($P890="","Missing",IF($P890=$N890+$O890,"OK","Mismatch")))</f>
        <v>OK</v>
      </c>
      <c r="U890" s="5" t="str">
        <f>IF($A890="","",IF(COUNTIF($A$2:$A890,$A890)&gt;1,"Duplicate","Unique"))</f>
        <v>Unique</v>
      </c>
      <c r="V890" s="5">
        <f>IF($A890="","",IF(AND($U890="Unique",ISNUMBER($P890)),1,0))</f>
        <v>1</v>
      </c>
      <c r="W890" s="5" t="str">
        <f>IF($A890="","",IF(OR($H890=0,$H890=6),"Weekend","Weekday"))</f>
        <v>Weekday</v>
      </c>
      <c r="X890" s="5" t="str">
        <f>IF($A890="","",TEXT($B890,"ddd"))</f>
        <v>Wed</v>
      </c>
      <c r="Y890" s="5" t="str">
        <f>IF($A890="","",TEXT($B890,"mmm"))</f>
        <v>Feb</v>
      </c>
      <c r="Z890" s="5" t="str">
        <f>IF($A890="","",IFERROR(VLOOKUP($C890,Lookups!$D$4:$E$7,2,FALSE),"Unknown"))</f>
        <v>Winter</v>
      </c>
      <c r="AA890" s="5" t="str">
        <f>IF($A890="","",IFERROR(VLOOKUP($I890,Lookups!$A$4:$B$7,2,FALSE),"Unknown"))</f>
        <v>Mist/Cloudy</v>
      </c>
      <c r="AB890" s="5" t="str">
        <f>IF($A890="","",TEXT($F890,"00")&amp;":00")</f>
        <v>12:00</v>
      </c>
      <c r="AC890" s="5" t="str">
        <f>IF($A890="","",VLOOKUP($F890,Lookups!$G$4:$H$8,2,TRUE))</f>
        <v>Midday (10-15)</v>
      </c>
      <c r="AD890" s="18">
        <f>IF($A890="","",IF($J890="","",ROUND($J890*41,1)))</f>
        <v>7.4</v>
      </c>
      <c r="AE890" s="18">
        <f>IF($A890="","",IF($R890="","",ROUND($R890*50,1)))</f>
        <v>9.1</v>
      </c>
      <c r="AF890" s="5">
        <f>IF($A890="","",IF($L890="","",ROUND($L890*100,0)))</f>
        <v>40</v>
      </c>
      <c r="AG890" s="18">
        <f>IF($A890="","",IF($M890="","",ROUND($M890*67,1)))</f>
        <v>15</v>
      </c>
      <c r="AH890" s="19">
        <f>IF($A890="","",IF($P890="","",IF($P890=0,0,$O890/$P890)))</f>
        <v>0.934426229508197</v>
      </c>
      <c r="AI890" s="5" t="str">
        <f>IF($A890="","",IF($P890="","",IF($P890&gt;=Lookups!$K$7,"High",IF($P890&lt;=Lookups!$K$8,"Low","Medium"))))</f>
        <v>Medium</v>
      </c>
      <c r="AJ890" s="5" t="str">
        <f>IF($A890="","",IF($AD890="","",IF($AD890&lt;5,"Under 5 C",IF($AD890&lt;10,"5-10 C",IF($AD890&lt;15,"10-15 C","15 C and above")))))</f>
        <v>5-10 C</v>
      </c>
      <c r="AK890" s="5">
        <f>IF($A890="","",IF($P890="","",$P890^2))</f>
        <v>3721</v>
      </c>
      <c r="AL890" s="18">
        <f>IF($V890&lt;&gt;1,"",AVERAGEIFS(Clean_Data!$P$2:$P$1001,Clean_Data!$F$2:$F$1001,$F890,Clean_Data!$W$2:$W$1001,$W890,Clean_Data!$V$2:$V$1001,1))</f>
        <v>64.5862068965517</v>
      </c>
      <c r="AM890" s="16">
        <f>IF($V890&lt;&gt;1,"",IFERROR(($P890-$AL890)/SQRT(MAX(0,(SUMIFS(Clean_Data!$AK$2:$AK$1001,Clean_Data!$F$2:$F$1001,$F890,Clean_Data!$W$2:$W$1001,$W890,Clean_Data!$V$2:$V$1001,1)-COUNTIFS(Clean_Data!$F$2:$F$1001,$F890,Clean_Data!$W$2:$W$1001,$W890,Clean_Data!$V$2:$V$1001,1)*$AL890^2)/(COUNTIFS(Clean_Data!$F$2:$F$1001,$F890,Clean_Data!$W$2:$W$1001,$W890,Clean_Data!$V$2:$V$1001,1)-1))),""))</f>
        <v>-0.191485432089307</v>
      </c>
      <c r="AN890" s="5" t="str">
        <f>IF($AM890="","",IF($AM890&gt;=Lookups!$K$6,"High spike",IF($AM890&lt;=-Lookups!$K$6,"Unusual low","Normal")))</f>
        <v>Normal</v>
      </c>
      <c r="AO890" s="20">
        <f>IF($V890&lt;&gt;1,"",$P890+ROW()/100000)</f>
        <v>61.0089</v>
      </c>
      <c r="AP890" s="5">
        <f>IF($A890="","",IFERROR(MATCH($A890,Raw_D1!$A$2:$A$1001,0),""))</f>
        <v/>
      </c>
      <c r="AQ890" s="5">
        <f>IF($A890="","",IFERROR(MATCH($A890,Raw_D2!$B$2:$B$1001,0),""))</f>
        <v/>
      </c>
      <c r="AR890" s="5">
        <f>IF($A890="","",IFERROR(MATCH($A890,Raw_D3!$A$2:$A$1001,0),""))</f>
        <v>270</v>
      </c>
    </row>
    <row r="891" spans="1:44" x14ac:dyDescent="0.25">
      <c r="A891" s="5">
        <v>890</v>
      </c>
      <c r="B891" s="11">
        <f>IF($A891="","",IF($AP891&lt;&gt;"",INDEX(Raw_D1!$B$2:$B$1001,$AP891),IF($AR891&lt;&gt;"",INDEX(Raw_D3!$B$2:$B$1001,$AR891),"")))</f>
        <v>40583.0</v>
      </c>
      <c r="C891" s="5">
        <f>IF($A891="","",IF($AP891&lt;&gt;"",INDEX(Raw_D1!$C$2:$C$1001,$AP891),IF($AR891&lt;&gt;"",INDEX(Raw_D3!$C$2:$C$1001,$AR891),"")))</f>
        <v>1</v>
      </c>
      <c r="D891" s="5">
        <f>IF($A891="","",IF($AP891&lt;&gt;"",INDEX(Raw_D1!$D$2:$D$1001,$AP891),IF($AR891&lt;&gt;"",INDEX(Raw_D3!$D$2:$D$1001,$AR891),"")))</f>
        <v>0</v>
      </c>
      <c r="E891" s="5">
        <f>IF($A891="","",IF($AP891&lt;&gt;"",INDEX(Raw_D1!$E$2:$E$1001,$AP891),IF($AR891&lt;&gt;"",INDEX(Raw_D3!$E$2:$E$1001,$AR891),"")))</f>
        <v>2</v>
      </c>
      <c r="F891" s="5">
        <f>IF($A891="","",IF($AP891&lt;&gt;"",INDEX(Raw_D1!$F$2:$F$1001,$AP891),IF($AR891&lt;&gt;"",INDEX(Raw_D3!$F$2:$F$1001,$AR891),"")))</f>
        <v>13</v>
      </c>
      <c r="G891" s="5">
        <f>IF($A891="","",IF($AP891&lt;&gt;"",IF(INDEX(Raw_D1!$G$2:$G$1001,$AP891),1,0),IF($AR891&lt;&gt;"",IF(INDEX(Raw_D3!$G$2:$G$1001,$AR891),1,0),"")))</f>
        <v>0</v>
      </c>
      <c r="H891" s="5">
        <f>IF($A891="","",IF($AP891&lt;&gt;"",INDEX(Raw_D1!$H$2:$H$1001,$AP891),IF($AR891&lt;&gt;"",INDEX(Raw_D3!$H$2:$H$1001,$AR891),"")))</f>
        <v>3</v>
      </c>
      <c r="I891" s="5">
        <f>IF($A891="","",IF($AP891&lt;&gt;"",INDEX(Raw_D1!$I$2:$I$1001,$AP891),IF($AR891&lt;&gt;"",INDEX(Raw_D3!$I$2:$I$1001,$AR891),"")))</f>
        <v>1</v>
      </c>
      <c r="J891" s="16">
        <f>IF($A891="","",IF($AP891&lt;&gt;"",INDEX(Raw_D1!$J$2:$J$1001,$AP891),IF($AR891&lt;&gt;"",INDEX(Raw_D3!$J$2:$J$1001,$AR891),"")))</f>
        <v>0.18</v>
      </c>
      <c r="K891" s="17">
        <f>IF($A891="","",IF($AQ891&lt;&gt;"",IF(INDEX(Raw_D2!$C$2:$C$1001,$AQ891)="","",INDEX(Raw_D2!$C$2:$C$1001,$AQ891)),IF($AR891&lt;&gt;"",IF(INDEX(Raw_D3!$K$2:$K$1001,$AR891)="","",INDEX(Raw_D3!$K$2:$K$1001,$AR891)),"")))</f>
        <v>0.1667</v>
      </c>
      <c r="L891" s="16">
        <f>IF($A891="","",IF($AQ891&lt;&gt;"",IF(INDEX(Raw_D2!$D$2:$D$1001,$AQ891)="","",INDEX(Raw_D2!$D$2:$D$1001,$AQ891)),IF($AR891&lt;&gt;"",IF(INDEX(Raw_D3!$L$2:$L$1001,$AR891)="","",INDEX(Raw_D3!$L$2:$L$1001,$AR891)),"")))</f>
        <v>0.4</v>
      </c>
      <c r="M891" s="17">
        <f>IF($A891="","",IF($AQ891&lt;&gt;"",IF(INDEX(Raw_D2!$E$2:$E$1001,$AQ891)="","",INDEX(Raw_D2!$E$2:$E$1001,$AQ891)),IF($AR891&lt;&gt;"",IF(INDEX(Raw_D3!$M$2:$M$1001,$AR891)="","",INDEX(Raw_D3!$M$2:$M$1001,$AR891)),"")))</f>
        <v>0.2537</v>
      </c>
      <c r="N891" s="5">
        <f>IF($A891="","",IF($AQ891&lt;&gt;"",IF(INDEX(Raw_D2!$F$2:$F$1001,$AQ891)="","",INDEX(Raw_D2!$F$2:$F$1001,$AQ891)),IF($AR891&lt;&gt;"",IF(INDEX(Raw_D3!$N$2:$N$1001,$AR891)="","",INDEX(Raw_D3!$N$2:$N$1001,$AR891)),"")))</f>
        <v>2</v>
      </c>
      <c r="O891" s="5">
        <f>IF($A891="","",IF($AQ891&lt;&gt;"",IF(INDEX(Raw_D2!$G$2:$G$1001,$AQ891)="","",INDEX(Raw_D2!$G$2:$G$1001,$AQ891)),IF($AR891&lt;&gt;"",IF(INDEX(Raw_D3!$O$2:$O$1001,$AR891)="","",INDEX(Raw_D3!$O$2:$O$1001,$AR891)),"")))</f>
        <v>67</v>
      </c>
      <c r="P891" s="5">
        <f>IF($A891="","",IF($AQ891&lt;&gt;"",IF(INDEX(Raw_D2!$H$2:$H$1001,$AQ891)="","",INDEX(Raw_D2!$H$2:$H$1001,$AQ891)),IF($AR891&lt;&gt;"",IF(INDEX(Raw_D3!$P$2:$P$1001,$AR891)="","",INDEX(Raw_D3!$P$2:$P$1001,$AR891)),"")))</f>
        <v>69</v>
      </c>
      <c r="Q891" s="5" t="str">
        <f>IF($A891="","",IF(AND($AP891&lt;&gt;"",$AQ891&lt;&gt;""),"D1+D2",IF($AR891&lt;&gt;"","D3","Incomplete")))</f>
        <v>D3</v>
      </c>
      <c r="R891" s="17">
        <f>IF($A891="","",IF($K891="",IF($J891="","",ROUND(Lookups!$K$5+Lookups!$K$4*$J891,4)),$K891))</f>
        <v>0.1667</v>
      </c>
      <c r="S891" s="5" t="str">
        <f>IF($A891="","",IF($K891="","Imputed","Original"))</f>
        <v>Original</v>
      </c>
      <c r="T891" s="5" t="str">
        <f>IF($A891="","",IF($P891="","Missing",IF($P891=$N891+$O891,"OK","Mismatch")))</f>
        <v>OK</v>
      </c>
      <c r="U891" s="5" t="str">
        <f>IF($A891="","",IF(COUNTIF($A$2:$A891,$A891)&gt;1,"Duplicate","Unique"))</f>
        <v>Unique</v>
      </c>
      <c r="V891" s="5">
        <f>IF($A891="","",IF(AND($U891="Unique",ISNUMBER($P891)),1,0))</f>
        <v>1</v>
      </c>
      <c r="W891" s="5" t="str">
        <f>IF($A891="","",IF(OR($H891=0,$H891=6),"Weekend","Weekday"))</f>
        <v>Weekday</v>
      </c>
      <c r="X891" s="5" t="str">
        <f>IF($A891="","",TEXT($B891,"ddd"))</f>
        <v>Wed</v>
      </c>
      <c r="Y891" s="5" t="str">
        <f>IF($A891="","",TEXT($B891,"mmm"))</f>
        <v>Feb</v>
      </c>
      <c r="Z891" s="5" t="str">
        <f>IF($A891="","",IFERROR(VLOOKUP($C891,Lookups!$D$4:$E$7,2,FALSE),"Unknown"))</f>
        <v>Winter</v>
      </c>
      <c r="AA891" s="5" t="str">
        <f>IF($A891="","",IFERROR(VLOOKUP($I891,Lookups!$A$4:$B$7,2,FALSE),"Unknown"))</f>
        <v>Clear</v>
      </c>
      <c r="AB891" s="5" t="str">
        <f>IF($A891="","",TEXT($F891,"00")&amp;":00")</f>
        <v>13:00</v>
      </c>
      <c r="AC891" s="5" t="str">
        <f>IF($A891="","",VLOOKUP($F891,Lookups!$G$4:$H$8,2,TRUE))</f>
        <v>Midday (10-15)</v>
      </c>
      <c r="AD891" s="18">
        <f>IF($A891="","",IF($J891="","",ROUND($J891*41,1)))</f>
        <v>7.4</v>
      </c>
      <c r="AE891" s="18">
        <f>IF($A891="","",IF($R891="","",ROUND($R891*50,1)))</f>
        <v>8.3</v>
      </c>
      <c r="AF891" s="5">
        <f>IF($A891="","",IF($L891="","",ROUND($L891*100,0)))</f>
        <v>40</v>
      </c>
      <c r="AG891" s="18">
        <f>IF($A891="","",IF($M891="","",ROUND($M891*67,1)))</f>
        <v>17</v>
      </c>
      <c r="AH891" s="19">
        <f>IF($A891="","",IF($P891="","",IF($P891=0,0,$O891/$P891)))</f>
        <v>0.971014492753623</v>
      </c>
      <c r="AI891" s="5" t="str">
        <f>IF($A891="","",IF($P891="","",IF($P891&gt;=Lookups!$K$7,"High",IF($P891&lt;=Lookups!$K$8,"Low","Medium"))))</f>
        <v>Medium</v>
      </c>
      <c r="AJ891" s="5" t="str">
        <f>IF($A891="","",IF($AD891="","",IF($AD891&lt;5,"Under 5 C",IF($AD891&lt;10,"5-10 C",IF($AD891&lt;15,"10-15 C","15 C and above")))))</f>
        <v>5-10 C</v>
      </c>
      <c r="AK891" s="5">
        <f>IF($A891="","",IF($P891="","",$P891^2))</f>
        <v>4761</v>
      </c>
      <c r="AL891" s="18">
        <f>IF($V891&lt;&gt;1,"",AVERAGEIFS(Clean_Data!$P$2:$P$1001,Clean_Data!$F$2:$F$1001,$F891,Clean_Data!$W$2:$W$1001,$W891,Clean_Data!$V$2:$V$1001,1))</f>
        <v>67.1724137931034</v>
      </c>
      <c r="AM891" s="16">
        <f>IF($V891&lt;&gt;1,"",IFERROR(($P891-$AL891)/SQRT(MAX(0,(SUMIFS(Clean_Data!$AK$2:$AK$1001,Clean_Data!$F$2:$F$1001,$F891,Clean_Data!$W$2:$W$1001,$W891,Clean_Data!$V$2:$V$1001,1)-COUNTIFS(Clean_Data!$F$2:$F$1001,$F891,Clean_Data!$W$2:$W$1001,$W891,Clean_Data!$V$2:$V$1001,1)*$AL891^2)/(COUNTIFS(Clean_Data!$F$2:$F$1001,$F891,Clean_Data!$W$2:$W$1001,$W891,Clean_Data!$V$2:$V$1001,1)-1))),""))</f>
        <v>0.0905101498056206</v>
      </c>
      <c r="AN891" s="5" t="str">
        <f>IF($AM891="","",IF($AM891&gt;=Lookups!$K$6,"High spike",IF($AM891&lt;=-Lookups!$K$6,"Unusual low","Normal")))</f>
        <v>Normal</v>
      </c>
      <c r="AO891" s="20">
        <f>IF($V891&lt;&gt;1,"",$P891+ROW()/100000)</f>
        <v>69.00891</v>
      </c>
      <c r="AP891" s="5">
        <f>IF($A891="","",IFERROR(MATCH($A891,Raw_D1!$A$2:$A$1001,0),""))</f>
        <v/>
      </c>
      <c r="AQ891" s="5">
        <f>IF($A891="","",IFERROR(MATCH($A891,Raw_D2!$B$2:$B$1001,0),""))</f>
        <v/>
      </c>
      <c r="AR891" s="5">
        <f>IF($A891="","",IFERROR(MATCH($A891,Raw_D3!$A$2:$A$1001,0),""))</f>
        <v>271</v>
      </c>
    </row>
    <row r="892" spans="1:44" x14ac:dyDescent="0.25">
      <c r="A892" s="5">
        <v>891</v>
      </c>
      <c r="B892" s="11">
        <f>IF($A892="","",IF($AP892&lt;&gt;"",INDEX(Raw_D1!$B$2:$B$1001,$AP892),IF($AR892&lt;&gt;"",INDEX(Raw_D3!$B$2:$B$1001,$AR892),"")))</f>
        <v>40583.0</v>
      </c>
      <c r="C892" s="5">
        <f>IF($A892="","",IF($AP892&lt;&gt;"",INDEX(Raw_D1!$C$2:$C$1001,$AP892),IF($AR892&lt;&gt;"",INDEX(Raw_D3!$C$2:$C$1001,$AR892),"")))</f>
        <v>1</v>
      </c>
      <c r="D892" s="5">
        <f>IF($A892="","",IF($AP892&lt;&gt;"",INDEX(Raw_D1!$D$2:$D$1001,$AP892),IF($AR892&lt;&gt;"",INDEX(Raw_D3!$D$2:$D$1001,$AR892),"")))</f>
        <v>0</v>
      </c>
      <c r="E892" s="5">
        <f>IF($A892="","",IF($AP892&lt;&gt;"",INDEX(Raw_D1!$E$2:$E$1001,$AP892),IF($AR892&lt;&gt;"",INDEX(Raw_D3!$E$2:$E$1001,$AR892),"")))</f>
        <v>2</v>
      </c>
      <c r="F892" s="5">
        <f>IF($A892="","",IF($AP892&lt;&gt;"",INDEX(Raw_D1!$F$2:$F$1001,$AP892),IF($AR892&lt;&gt;"",INDEX(Raw_D3!$F$2:$F$1001,$AR892),"")))</f>
        <v>14</v>
      </c>
      <c r="G892" s="5">
        <f>IF($A892="","",IF($AP892&lt;&gt;"",IF(INDEX(Raw_D1!$G$2:$G$1001,$AP892),1,0),IF($AR892&lt;&gt;"",IF(INDEX(Raw_D3!$G$2:$G$1001,$AR892),1,0),"")))</f>
        <v>0</v>
      </c>
      <c r="H892" s="5">
        <f>IF($A892="","",IF($AP892&lt;&gt;"",INDEX(Raw_D1!$H$2:$H$1001,$AP892),IF($AR892&lt;&gt;"",INDEX(Raw_D3!$H$2:$H$1001,$AR892),"")))</f>
        <v>3</v>
      </c>
      <c r="I892" s="5">
        <f>IF($A892="","",IF($AP892&lt;&gt;"",INDEX(Raw_D1!$I$2:$I$1001,$AP892),IF($AR892&lt;&gt;"",INDEX(Raw_D3!$I$2:$I$1001,$AR892),"")))</f>
        <v>1</v>
      </c>
      <c r="J892" s="16">
        <f>IF($A892="","",IF($AP892&lt;&gt;"",INDEX(Raw_D1!$J$2:$J$1001,$AP892),IF($AR892&lt;&gt;"",INDEX(Raw_D3!$J$2:$J$1001,$AR892),"")))</f>
        <v>0.2</v>
      </c>
      <c r="K892" s="17">
        <f>IF($A892="","",IF($AQ892&lt;&gt;"",IF(INDEX(Raw_D2!$C$2:$C$1001,$AQ892)="","",INDEX(Raw_D2!$C$2:$C$1001,$AQ892)),IF($AR892&lt;&gt;"",IF(INDEX(Raw_D3!$K$2:$K$1001,$AR892)="","",INDEX(Raw_D3!$K$2:$K$1001,$AR892)),"")))</f>
        <v>0.1818</v>
      </c>
      <c r="L892" s="16">
        <f>IF($A892="","",IF($AQ892&lt;&gt;"",IF(INDEX(Raw_D2!$D$2:$D$1001,$AQ892)="","",INDEX(Raw_D2!$D$2:$D$1001,$AQ892)),IF($AR892&lt;&gt;"",IF(INDEX(Raw_D3!$L$2:$L$1001,$AR892)="","",INDEX(Raw_D3!$L$2:$L$1001,$AR892)),"")))</f>
        <v>0.34</v>
      </c>
      <c r="M892" s="17">
        <f>IF($A892="","",IF($AQ892&lt;&gt;"",IF(INDEX(Raw_D2!$E$2:$E$1001,$AQ892)="","",INDEX(Raw_D2!$E$2:$E$1001,$AQ892)),IF($AR892&lt;&gt;"",IF(INDEX(Raw_D3!$M$2:$M$1001,$AR892)="","",INDEX(Raw_D3!$M$2:$M$1001,$AR892)),"")))</f>
        <v>0.2985</v>
      </c>
      <c r="N892" s="5">
        <f>IF($A892="","",IF($AQ892&lt;&gt;"",IF(INDEX(Raw_D2!$F$2:$F$1001,$AQ892)="","",INDEX(Raw_D2!$F$2:$F$1001,$AQ892)),IF($AR892&lt;&gt;"",IF(INDEX(Raw_D3!$N$2:$N$1001,$AR892)="","",INDEX(Raw_D3!$N$2:$N$1001,$AR892)),"")))</f>
        <v>2</v>
      </c>
      <c r="O892" s="5">
        <f>IF($A892="","",IF($AQ892&lt;&gt;"",IF(INDEX(Raw_D2!$G$2:$G$1001,$AQ892)="","",INDEX(Raw_D2!$G$2:$G$1001,$AQ892)),IF($AR892&lt;&gt;"",IF(INDEX(Raw_D3!$O$2:$O$1001,$AR892)="","",INDEX(Raw_D3!$O$2:$O$1001,$AR892)),"")))</f>
        <v>56</v>
      </c>
      <c r="P892" s="5">
        <f>IF($A892="","",IF($AQ892&lt;&gt;"",IF(INDEX(Raw_D2!$H$2:$H$1001,$AQ892)="","",INDEX(Raw_D2!$H$2:$H$1001,$AQ892)),IF($AR892&lt;&gt;"",IF(INDEX(Raw_D3!$P$2:$P$1001,$AR892)="","",INDEX(Raw_D3!$P$2:$P$1001,$AR892)),"")))</f>
        <v>58</v>
      </c>
      <c r="Q892" s="5" t="str">
        <f>IF($A892="","",IF(AND($AP892&lt;&gt;"",$AQ892&lt;&gt;""),"D1+D2",IF($AR892&lt;&gt;"","D3","Incomplete")))</f>
        <v>D3</v>
      </c>
      <c r="R892" s="17">
        <f>IF($A892="","",IF($K892="",IF($J892="","",ROUND(Lookups!$K$5+Lookups!$K$4*$J892,4)),$K892))</f>
        <v>0.1818</v>
      </c>
      <c r="S892" s="5" t="str">
        <f>IF($A892="","",IF($K892="","Imputed","Original"))</f>
        <v>Original</v>
      </c>
      <c r="T892" s="5" t="str">
        <f>IF($A892="","",IF($P892="","Missing",IF($P892=$N892+$O892,"OK","Mismatch")))</f>
        <v>OK</v>
      </c>
      <c r="U892" s="5" t="str">
        <f>IF($A892="","",IF(COUNTIF($A$2:$A892,$A892)&gt;1,"Duplicate","Unique"))</f>
        <v>Unique</v>
      </c>
      <c r="V892" s="5">
        <f>IF($A892="","",IF(AND($U892="Unique",ISNUMBER($P892)),1,0))</f>
        <v>1</v>
      </c>
      <c r="W892" s="5" t="str">
        <f>IF($A892="","",IF(OR($H892=0,$H892=6),"Weekend","Weekday"))</f>
        <v>Weekday</v>
      </c>
      <c r="X892" s="5" t="str">
        <f>IF($A892="","",TEXT($B892,"ddd"))</f>
        <v>Wed</v>
      </c>
      <c r="Y892" s="5" t="str">
        <f>IF($A892="","",TEXT($B892,"mmm"))</f>
        <v>Feb</v>
      </c>
      <c r="Z892" s="5" t="str">
        <f>IF($A892="","",IFERROR(VLOOKUP($C892,Lookups!$D$4:$E$7,2,FALSE),"Unknown"))</f>
        <v>Winter</v>
      </c>
      <c r="AA892" s="5" t="str">
        <f>IF($A892="","",IFERROR(VLOOKUP($I892,Lookups!$A$4:$B$7,2,FALSE),"Unknown"))</f>
        <v>Clear</v>
      </c>
      <c r="AB892" s="5" t="str">
        <f>IF($A892="","",TEXT($F892,"00")&amp;":00")</f>
        <v>14:00</v>
      </c>
      <c r="AC892" s="5" t="str">
        <f>IF($A892="","",VLOOKUP($F892,Lookups!$G$4:$H$8,2,TRUE))</f>
        <v>Midday (10-15)</v>
      </c>
      <c r="AD892" s="18">
        <f>IF($A892="","",IF($J892="","",ROUND($J892*41,1)))</f>
        <v>8.2</v>
      </c>
      <c r="AE892" s="18">
        <f>IF($A892="","",IF($R892="","",ROUND($R892*50,1)))</f>
        <v>9.1</v>
      </c>
      <c r="AF892" s="5">
        <f>IF($A892="","",IF($L892="","",ROUND($L892*100,0)))</f>
        <v>34</v>
      </c>
      <c r="AG892" s="18">
        <f>IF($A892="","",IF($M892="","",ROUND($M892*67,1)))</f>
        <v>20</v>
      </c>
      <c r="AH892" s="19">
        <f>IF($A892="","",IF($P892="","",IF($P892=0,0,$O892/$P892)))</f>
        <v>0.96551724137931</v>
      </c>
      <c r="AI892" s="5" t="str">
        <f>IF($A892="","",IF($P892="","",IF($P892&gt;=Lookups!$K$7,"High",IF($P892&lt;=Lookups!$K$8,"Low","Medium"))))</f>
        <v>Medium</v>
      </c>
      <c r="AJ892" s="5" t="str">
        <f>IF($A892="","",IF($AD892="","",IF($AD892&lt;5,"Under 5 C",IF($AD892&lt;10,"5-10 C",IF($AD892&lt;15,"10-15 C","15 C and above")))))</f>
        <v>5-10 C</v>
      </c>
      <c r="AK892" s="5">
        <f>IF($A892="","",IF($P892="","",$P892^2))</f>
        <v>3364</v>
      </c>
      <c r="AL892" s="18">
        <f>IF($V892&lt;&gt;1,"",AVERAGEIFS(Clean_Data!$P$2:$P$1001,Clean_Data!$F$2:$F$1001,$F892,Clean_Data!$W$2:$W$1001,$W892,Clean_Data!$V$2:$V$1001,1))</f>
        <v>60.551724137931</v>
      </c>
      <c r="AM892" s="16">
        <f>IF($V892&lt;&gt;1,"",IFERROR(($P892-$AL892)/SQRT(MAX(0,(SUMIFS(Clean_Data!$AK$2:$AK$1001,Clean_Data!$F$2:$F$1001,$F892,Clean_Data!$W$2:$W$1001,$W892,Clean_Data!$V$2:$V$1001,1)-COUNTIFS(Clean_Data!$F$2:$F$1001,$F892,Clean_Data!$W$2:$W$1001,$W892,Clean_Data!$V$2:$V$1001,1)*$AL892^2)/(COUNTIFS(Clean_Data!$F$2:$F$1001,$F892,Clean_Data!$W$2:$W$1001,$W892,Clean_Data!$V$2:$V$1001,1)-1))),""))</f>
        <v>-0.155116912843703</v>
      </c>
      <c r="AN892" s="5" t="str">
        <f>IF($AM892="","",IF($AM892&gt;=Lookups!$K$6,"High spike",IF($AM892&lt;=-Lookups!$K$6,"Unusual low","Normal")))</f>
        <v>Normal</v>
      </c>
      <c r="AO892" s="20">
        <f>IF($V892&lt;&gt;1,"",$P892+ROW()/100000)</f>
        <v>58.00892</v>
      </c>
      <c r="AP892" s="5">
        <f>IF($A892="","",IFERROR(MATCH($A892,Raw_D1!$A$2:$A$1001,0),""))</f>
        <v/>
      </c>
      <c r="AQ892" s="5">
        <f>IF($A892="","",IFERROR(MATCH($A892,Raw_D2!$B$2:$B$1001,0),""))</f>
        <v/>
      </c>
      <c r="AR892" s="5">
        <f>IF($A892="","",IFERROR(MATCH($A892,Raw_D3!$A$2:$A$1001,0),""))</f>
        <v>272</v>
      </c>
    </row>
    <row r="893" spans="1:44" x14ac:dyDescent="0.25">
      <c r="A893" s="5">
        <v>892</v>
      </c>
      <c r="B893" s="11">
        <f>IF($A893="","",IF($AP893&lt;&gt;"",INDEX(Raw_D1!$B$2:$B$1001,$AP893),IF($AR893&lt;&gt;"",INDEX(Raw_D3!$B$2:$B$1001,$AR893),"")))</f>
        <v>40583.0</v>
      </c>
      <c r="C893" s="5">
        <f>IF($A893="","",IF($AP893&lt;&gt;"",INDEX(Raw_D1!$C$2:$C$1001,$AP893),IF($AR893&lt;&gt;"",INDEX(Raw_D3!$C$2:$C$1001,$AR893),"")))</f>
        <v>1</v>
      </c>
      <c r="D893" s="5">
        <f>IF($A893="","",IF($AP893&lt;&gt;"",INDEX(Raw_D1!$D$2:$D$1001,$AP893),IF($AR893&lt;&gt;"",INDEX(Raw_D3!$D$2:$D$1001,$AR893),"")))</f>
        <v>0</v>
      </c>
      <c r="E893" s="5">
        <f>IF($A893="","",IF($AP893&lt;&gt;"",INDEX(Raw_D1!$E$2:$E$1001,$AP893),IF($AR893&lt;&gt;"",INDEX(Raw_D3!$E$2:$E$1001,$AR893),"")))</f>
        <v>2</v>
      </c>
      <c r="F893" s="5">
        <f>IF($A893="","",IF($AP893&lt;&gt;"",INDEX(Raw_D1!$F$2:$F$1001,$AP893),IF($AR893&lt;&gt;"",INDEX(Raw_D3!$F$2:$F$1001,$AR893),"")))</f>
        <v>15</v>
      </c>
      <c r="G893" s="5">
        <f>IF($A893="","",IF($AP893&lt;&gt;"",IF(INDEX(Raw_D1!$G$2:$G$1001,$AP893),1,0),IF($AR893&lt;&gt;"",IF(INDEX(Raw_D3!$G$2:$G$1001,$AR893),1,0),"")))</f>
        <v>0</v>
      </c>
      <c r="H893" s="5">
        <f>IF($A893="","",IF($AP893&lt;&gt;"",INDEX(Raw_D1!$H$2:$H$1001,$AP893),IF($AR893&lt;&gt;"",INDEX(Raw_D3!$H$2:$H$1001,$AR893),"")))</f>
        <v>3</v>
      </c>
      <c r="I893" s="5">
        <f>IF($A893="","",IF($AP893&lt;&gt;"",INDEX(Raw_D1!$I$2:$I$1001,$AP893),IF($AR893&lt;&gt;"",INDEX(Raw_D3!$I$2:$I$1001,$AR893),"")))</f>
        <v>2</v>
      </c>
      <c r="J893" s="16">
        <f>IF($A893="","",IF($AP893&lt;&gt;"",INDEX(Raw_D1!$J$2:$J$1001,$AP893),IF($AR893&lt;&gt;"",INDEX(Raw_D3!$J$2:$J$1001,$AR893),"")))</f>
        <v>0.2</v>
      </c>
      <c r="K893" s="17">
        <f>IF($A893="","",IF($AQ893&lt;&gt;"",IF(INDEX(Raw_D2!$C$2:$C$1001,$AQ893)="","",INDEX(Raw_D2!$C$2:$C$1001,$AQ893)),IF($AR893&lt;&gt;"",IF(INDEX(Raw_D3!$K$2:$K$1001,$AR893)="","",INDEX(Raw_D3!$K$2:$K$1001,$AR893)),"")))</f>
        <v>0.1818</v>
      </c>
      <c r="L893" s="16">
        <f>IF($A893="","",IF($AQ893&lt;&gt;"",IF(INDEX(Raw_D2!$D$2:$D$1001,$AQ893)="","",INDEX(Raw_D2!$D$2:$D$1001,$AQ893)),IF($AR893&lt;&gt;"",IF(INDEX(Raw_D3!$L$2:$L$1001,$AR893)="","",INDEX(Raw_D3!$L$2:$L$1001,$AR893)),"")))</f>
        <v>0.34</v>
      </c>
      <c r="M893" s="17">
        <f>IF($A893="","",IF($AQ893&lt;&gt;"",IF(INDEX(Raw_D2!$E$2:$E$1001,$AQ893)="","",INDEX(Raw_D2!$E$2:$E$1001,$AQ893)),IF($AR893&lt;&gt;"",IF(INDEX(Raw_D3!$M$2:$M$1001,$AR893)="","",INDEX(Raw_D3!$M$2:$M$1001,$AR893)),"")))</f>
        <v>0.2836</v>
      </c>
      <c r="N893" s="5">
        <f>IF($A893="","",IF($AQ893&lt;&gt;"",IF(INDEX(Raw_D2!$F$2:$F$1001,$AQ893)="","",INDEX(Raw_D2!$F$2:$F$1001,$AQ893)),IF($AR893&lt;&gt;"",IF(INDEX(Raw_D3!$N$2:$N$1001,$AR893)="","",INDEX(Raw_D3!$N$2:$N$1001,$AR893)),"")))</f>
        <v>3</v>
      </c>
      <c r="O893" s="5">
        <f>IF($A893="","",IF($AQ893&lt;&gt;"",IF(INDEX(Raw_D2!$G$2:$G$1001,$AQ893)="","",INDEX(Raw_D2!$G$2:$G$1001,$AQ893)),IF($AR893&lt;&gt;"",IF(INDEX(Raw_D3!$O$2:$O$1001,$AR893)="","",INDEX(Raw_D3!$O$2:$O$1001,$AR893)),"")))</f>
        <v>61</v>
      </c>
      <c r="P893" s="5">
        <f>IF($A893="","",IF($AQ893&lt;&gt;"",IF(INDEX(Raw_D2!$H$2:$H$1001,$AQ893)="","",INDEX(Raw_D2!$H$2:$H$1001,$AQ893)),IF($AR893&lt;&gt;"",IF(INDEX(Raw_D3!$P$2:$P$1001,$AR893)="","",INDEX(Raw_D3!$P$2:$P$1001,$AR893)),"")))</f>
        <v>64</v>
      </c>
      <c r="Q893" s="5" t="str">
        <f>IF($A893="","",IF(AND($AP893&lt;&gt;"",$AQ893&lt;&gt;""),"D1+D2",IF($AR893&lt;&gt;"","D3","Incomplete")))</f>
        <v>D3</v>
      </c>
      <c r="R893" s="17">
        <f>IF($A893="","",IF($K893="",IF($J893="","",ROUND(Lookups!$K$5+Lookups!$K$4*$J893,4)),$K893))</f>
        <v>0.1818</v>
      </c>
      <c r="S893" s="5" t="str">
        <f>IF($A893="","",IF($K893="","Imputed","Original"))</f>
        <v>Original</v>
      </c>
      <c r="T893" s="5" t="str">
        <f>IF($A893="","",IF($P893="","Missing",IF($P893=$N893+$O893,"OK","Mismatch")))</f>
        <v>OK</v>
      </c>
      <c r="U893" s="5" t="str">
        <f>IF($A893="","",IF(COUNTIF($A$2:$A893,$A893)&gt;1,"Duplicate","Unique"))</f>
        <v>Unique</v>
      </c>
      <c r="V893" s="5">
        <f>IF($A893="","",IF(AND($U893="Unique",ISNUMBER($P893)),1,0))</f>
        <v>1</v>
      </c>
      <c r="W893" s="5" t="str">
        <f>IF($A893="","",IF(OR($H893=0,$H893=6),"Weekend","Weekday"))</f>
        <v>Weekday</v>
      </c>
      <c r="X893" s="5" t="str">
        <f>IF($A893="","",TEXT($B893,"ddd"))</f>
        <v>Wed</v>
      </c>
      <c r="Y893" s="5" t="str">
        <f>IF($A893="","",TEXT($B893,"mmm"))</f>
        <v>Feb</v>
      </c>
      <c r="Z893" s="5" t="str">
        <f>IF($A893="","",IFERROR(VLOOKUP($C893,Lookups!$D$4:$E$7,2,FALSE),"Unknown"))</f>
        <v>Winter</v>
      </c>
      <c r="AA893" s="5" t="str">
        <f>IF($A893="","",IFERROR(VLOOKUP($I893,Lookups!$A$4:$B$7,2,FALSE),"Unknown"))</f>
        <v>Mist/Cloudy</v>
      </c>
      <c r="AB893" s="5" t="str">
        <f>IF($A893="","",TEXT($F893,"00")&amp;":00")</f>
        <v>15:00</v>
      </c>
      <c r="AC893" s="5" t="str">
        <f>IF($A893="","",VLOOKUP($F893,Lookups!$G$4:$H$8,2,TRUE))</f>
        <v>Midday (10-15)</v>
      </c>
      <c r="AD893" s="18">
        <f>IF($A893="","",IF($J893="","",ROUND($J893*41,1)))</f>
        <v>8.2</v>
      </c>
      <c r="AE893" s="18">
        <f>IF($A893="","",IF($R893="","",ROUND($R893*50,1)))</f>
        <v>9.1</v>
      </c>
      <c r="AF893" s="5">
        <f>IF($A893="","",IF($L893="","",ROUND($L893*100,0)))</f>
        <v>34</v>
      </c>
      <c r="AG893" s="18">
        <f>IF($A893="","",IF($M893="","",ROUND($M893*67,1)))</f>
        <v>19</v>
      </c>
      <c r="AH893" s="19">
        <f>IF($A893="","",IF($P893="","",IF($P893=0,0,$O893/$P893)))</f>
        <v>0.953125</v>
      </c>
      <c r="AI893" s="5" t="str">
        <f>IF($A893="","",IF($P893="","",IF($P893&gt;=Lookups!$K$7,"High",IF($P893&lt;=Lookups!$K$8,"Low","Medium"))))</f>
        <v>Medium</v>
      </c>
      <c r="AJ893" s="5" t="str">
        <f>IF($A893="","",IF($AD893="","",IF($AD893&lt;5,"Under 5 C",IF($AD893&lt;10,"5-10 C",IF($AD893&lt;15,"10-15 C","15 C and above")))))</f>
        <v>5-10 C</v>
      </c>
      <c r="AK893" s="5">
        <f>IF($A893="","",IF($P893="","",$P893^2))</f>
        <v>4096</v>
      </c>
      <c r="AL893" s="18">
        <f>IF($V893&lt;&gt;1,"",AVERAGEIFS(Clean_Data!$P$2:$P$1001,Clean_Data!$F$2:$F$1001,$F893,Clean_Data!$W$2:$W$1001,$W893,Clean_Data!$V$2:$V$1001,1))</f>
        <v>61.4827586206897</v>
      </c>
      <c r="AM893" s="16">
        <f>IF($V893&lt;&gt;1,"",IFERROR(($P893-$AL893)/SQRT(MAX(0,(SUMIFS(Clean_Data!$AK$2:$AK$1001,Clean_Data!$F$2:$F$1001,$F893,Clean_Data!$W$2:$W$1001,$W893,Clean_Data!$V$2:$V$1001,1)-COUNTIFS(Clean_Data!$F$2:$F$1001,$F893,Clean_Data!$W$2:$W$1001,$W893,Clean_Data!$V$2:$V$1001,1)*$AL893^2)/(COUNTIFS(Clean_Data!$F$2:$F$1001,$F893,Clean_Data!$W$2:$W$1001,$W893,Clean_Data!$V$2:$V$1001,1)-1))),""))</f>
        <v>0.16698008545958</v>
      </c>
      <c r="AN893" s="5" t="str">
        <f>IF($AM893="","",IF($AM893&gt;=Lookups!$K$6,"High spike",IF($AM893&lt;=-Lookups!$K$6,"Unusual low","Normal")))</f>
        <v>Normal</v>
      </c>
      <c r="AO893" s="20">
        <f>IF($V893&lt;&gt;1,"",$P893+ROW()/100000)</f>
        <v>64.00893</v>
      </c>
      <c r="AP893" s="5">
        <f>IF($A893="","",IFERROR(MATCH($A893,Raw_D1!$A$2:$A$1001,0),""))</f>
        <v/>
      </c>
      <c r="AQ893" s="5">
        <f>IF($A893="","",IFERROR(MATCH($A893,Raw_D2!$B$2:$B$1001,0),""))</f>
        <v/>
      </c>
      <c r="AR893" s="5">
        <f>IF($A893="","",IFERROR(MATCH($A893,Raw_D3!$A$2:$A$1001,0),""))</f>
        <v>273</v>
      </c>
    </row>
    <row r="894" spans="1:44" x14ac:dyDescent="0.25">
      <c r="A894" s="5">
        <v>893</v>
      </c>
      <c r="B894" s="11">
        <f>IF($A894="","",IF($AP894&lt;&gt;"",INDEX(Raw_D1!$B$2:$B$1001,$AP894),IF($AR894&lt;&gt;"",INDEX(Raw_D3!$B$2:$B$1001,$AR894),"")))</f>
        <v>40583.0</v>
      </c>
      <c r="C894" s="5">
        <f>IF($A894="","",IF($AP894&lt;&gt;"",INDEX(Raw_D1!$C$2:$C$1001,$AP894),IF($AR894&lt;&gt;"",INDEX(Raw_D3!$C$2:$C$1001,$AR894),"")))</f>
        <v>1</v>
      </c>
      <c r="D894" s="5">
        <f>IF($A894="","",IF($AP894&lt;&gt;"",INDEX(Raw_D1!$D$2:$D$1001,$AP894),IF($AR894&lt;&gt;"",INDEX(Raw_D3!$D$2:$D$1001,$AR894),"")))</f>
        <v>0</v>
      </c>
      <c r="E894" s="5">
        <f>IF($A894="","",IF($AP894&lt;&gt;"",INDEX(Raw_D1!$E$2:$E$1001,$AP894),IF($AR894&lt;&gt;"",INDEX(Raw_D3!$E$2:$E$1001,$AR894),"")))</f>
        <v>2</v>
      </c>
      <c r="F894" s="5">
        <f>IF($A894="","",IF($AP894&lt;&gt;"",INDEX(Raw_D1!$F$2:$F$1001,$AP894),IF($AR894&lt;&gt;"",INDEX(Raw_D3!$F$2:$F$1001,$AR894),"")))</f>
        <v>16</v>
      </c>
      <c r="G894" s="5">
        <f>IF($A894="","",IF($AP894&lt;&gt;"",IF(INDEX(Raw_D1!$G$2:$G$1001,$AP894),1,0),IF($AR894&lt;&gt;"",IF(INDEX(Raw_D3!$G$2:$G$1001,$AR894),1,0),"")))</f>
        <v>0</v>
      </c>
      <c r="H894" s="5">
        <f>IF($A894="","",IF($AP894&lt;&gt;"",INDEX(Raw_D1!$H$2:$H$1001,$AP894),IF($AR894&lt;&gt;"",INDEX(Raw_D3!$H$2:$H$1001,$AR894),"")))</f>
        <v>3</v>
      </c>
      <c r="I894" s="5">
        <f>IF($A894="","",IF($AP894&lt;&gt;"",INDEX(Raw_D1!$I$2:$I$1001,$AP894),IF($AR894&lt;&gt;"",INDEX(Raw_D3!$I$2:$I$1001,$AR894),"")))</f>
        <v>2</v>
      </c>
      <c r="J894" s="16">
        <f>IF($A894="","",IF($AP894&lt;&gt;"",INDEX(Raw_D1!$J$2:$J$1001,$AP894),IF($AR894&lt;&gt;"",INDEX(Raw_D3!$J$2:$J$1001,$AR894),"")))</f>
        <v>0.2</v>
      </c>
      <c r="K894" s="17">
        <f>IF($A894="","",IF($AQ894&lt;&gt;"",IF(INDEX(Raw_D2!$C$2:$C$1001,$AQ894)="","",INDEX(Raw_D2!$C$2:$C$1001,$AQ894)),IF($AR894&lt;&gt;"",IF(INDEX(Raw_D3!$K$2:$K$1001,$AR894)="","",INDEX(Raw_D3!$K$2:$K$1001,$AR894)),"")))</f>
        <v>0.197</v>
      </c>
      <c r="L894" s="16">
        <f>IF($A894="","",IF($AQ894&lt;&gt;"",IF(INDEX(Raw_D2!$D$2:$D$1001,$AQ894)="","",INDEX(Raw_D2!$D$2:$D$1001,$AQ894)),IF($AR894&lt;&gt;"",IF(INDEX(Raw_D3!$L$2:$L$1001,$AR894)="","",INDEX(Raw_D3!$L$2:$L$1001,$AR894)),"")))</f>
        <v>0.37</v>
      </c>
      <c r="M894" s="17">
        <f>IF($A894="","",IF($AQ894&lt;&gt;"",IF(INDEX(Raw_D2!$E$2:$E$1001,$AQ894)="","",INDEX(Raw_D2!$E$2:$E$1001,$AQ894)),IF($AR894&lt;&gt;"",IF(INDEX(Raw_D3!$M$2:$M$1001,$AR894)="","",INDEX(Raw_D3!$M$2:$M$1001,$AR894)),"")))</f>
        <v>0.2537</v>
      </c>
      <c r="N894" s="5">
        <f>IF($A894="","",IF($AQ894&lt;&gt;"",IF(INDEX(Raw_D2!$F$2:$F$1001,$AQ894)="","",INDEX(Raw_D2!$F$2:$F$1001,$AQ894)),IF($AR894&lt;&gt;"",IF(INDEX(Raw_D3!$N$2:$N$1001,$AR894)="","",INDEX(Raw_D3!$N$2:$N$1001,$AR894)),"")))</f>
        <v>7</v>
      </c>
      <c r="O894" s="5">
        <f>IF($A894="","",IF($AQ894&lt;&gt;"",IF(INDEX(Raw_D2!$G$2:$G$1001,$AQ894)="","",INDEX(Raw_D2!$G$2:$G$1001,$AQ894)),IF($AR894&lt;&gt;"",IF(INDEX(Raw_D3!$O$2:$O$1001,$AR894)="","",INDEX(Raw_D3!$O$2:$O$1001,$AR894)),"")))</f>
        <v>72</v>
      </c>
      <c r="P894" s="5">
        <f>IF($A894="","",IF($AQ894&lt;&gt;"",IF(INDEX(Raw_D2!$H$2:$H$1001,$AQ894)="","",INDEX(Raw_D2!$H$2:$H$1001,$AQ894)),IF($AR894&lt;&gt;"",IF(INDEX(Raw_D3!$P$2:$P$1001,$AR894)="","",INDEX(Raw_D3!$P$2:$P$1001,$AR894)),"")))</f>
        <v>79</v>
      </c>
      <c r="Q894" s="5" t="str">
        <f>IF($A894="","",IF(AND($AP894&lt;&gt;"",$AQ894&lt;&gt;""),"D1+D2",IF($AR894&lt;&gt;"","D3","Incomplete")))</f>
        <v>D3</v>
      </c>
      <c r="R894" s="17">
        <f>IF($A894="","",IF($K894="",IF($J894="","",ROUND(Lookups!$K$5+Lookups!$K$4*$J894,4)),$K894))</f>
        <v>0.197</v>
      </c>
      <c r="S894" s="5" t="str">
        <f>IF($A894="","",IF($K894="","Imputed","Original"))</f>
        <v>Original</v>
      </c>
      <c r="T894" s="5" t="str">
        <f>IF($A894="","",IF($P894="","Missing",IF($P894=$N894+$O894,"OK","Mismatch")))</f>
        <v>OK</v>
      </c>
      <c r="U894" s="5" t="str">
        <f>IF($A894="","",IF(COUNTIF($A$2:$A894,$A894)&gt;1,"Duplicate","Unique"))</f>
        <v>Unique</v>
      </c>
      <c r="V894" s="5">
        <f>IF($A894="","",IF(AND($U894="Unique",ISNUMBER($P894)),1,0))</f>
        <v>1</v>
      </c>
      <c r="W894" s="5" t="str">
        <f>IF($A894="","",IF(OR($H894=0,$H894=6),"Weekend","Weekday"))</f>
        <v>Weekday</v>
      </c>
      <c r="X894" s="5" t="str">
        <f>IF($A894="","",TEXT($B894,"ddd"))</f>
        <v>Wed</v>
      </c>
      <c r="Y894" s="5" t="str">
        <f>IF($A894="","",TEXT($B894,"mmm"))</f>
        <v>Feb</v>
      </c>
      <c r="Z894" s="5" t="str">
        <f>IF($A894="","",IFERROR(VLOOKUP($C894,Lookups!$D$4:$E$7,2,FALSE),"Unknown"))</f>
        <v>Winter</v>
      </c>
      <c r="AA894" s="5" t="str">
        <f>IF($A894="","",IFERROR(VLOOKUP($I894,Lookups!$A$4:$B$7,2,FALSE),"Unknown"))</f>
        <v>Mist/Cloudy</v>
      </c>
      <c r="AB894" s="5" t="str">
        <f>IF($A894="","",TEXT($F894,"00")&amp;":00")</f>
        <v>16:00</v>
      </c>
      <c r="AC894" s="5" t="str">
        <f>IF($A894="","",VLOOKUP($F894,Lookups!$G$4:$H$8,2,TRUE))</f>
        <v>Evening Peak (16-19)</v>
      </c>
      <c r="AD894" s="18">
        <f>IF($A894="","",IF($J894="","",ROUND($J894*41,1)))</f>
        <v>8.2</v>
      </c>
      <c r="AE894" s="18">
        <f>IF($A894="","",IF($R894="","",ROUND($R894*50,1)))</f>
        <v>9.9</v>
      </c>
      <c r="AF894" s="5">
        <f>IF($A894="","",IF($L894="","",ROUND($L894*100,0)))</f>
        <v>37</v>
      </c>
      <c r="AG894" s="18">
        <f>IF($A894="","",IF($M894="","",ROUND($M894*67,1)))</f>
        <v>17</v>
      </c>
      <c r="AH894" s="19">
        <f>IF($A894="","",IF($P894="","",IF($P894=0,0,$O894/$P894)))</f>
        <v>0.911392405063291</v>
      </c>
      <c r="AI894" s="5" t="str">
        <f>IF($A894="","",IF($P894="","",IF($P894&gt;=Lookups!$K$7,"High",IF($P894&lt;=Lookups!$K$8,"Low","Medium"))))</f>
        <v>Medium</v>
      </c>
      <c r="AJ894" s="5" t="str">
        <f>IF($A894="","",IF($AD894="","",IF($AD894&lt;5,"Under 5 C",IF($AD894&lt;10,"5-10 C",IF($AD894&lt;15,"10-15 C","15 C and above")))))</f>
        <v>5-10 C</v>
      </c>
      <c r="AK894" s="5">
        <f>IF($A894="","",IF($P894="","",$P894^2))</f>
        <v>6241</v>
      </c>
      <c r="AL894" s="18">
        <f>IF($V894&lt;&gt;1,"",AVERAGEIFS(Clean_Data!$P$2:$P$1001,Clean_Data!$F$2:$F$1001,$F894,Clean_Data!$W$2:$W$1001,$W894,Clean_Data!$V$2:$V$1001,1))</f>
        <v>82.6333333333333</v>
      </c>
      <c r="AM894" s="16">
        <f>IF($V894&lt;&gt;1,"",IFERROR(($P894-$AL894)/SQRT(MAX(0,(SUMIFS(Clean_Data!$AK$2:$AK$1001,Clean_Data!$F$2:$F$1001,$F894,Clean_Data!$W$2:$W$1001,$W894,Clean_Data!$V$2:$V$1001,1)-COUNTIFS(Clean_Data!$F$2:$F$1001,$F894,Clean_Data!$W$2:$W$1001,$W894,Clean_Data!$V$2:$V$1001,1)*$AL894^2)/(COUNTIFS(Clean_Data!$F$2:$F$1001,$F894,Clean_Data!$W$2:$W$1001,$W894,Clean_Data!$V$2:$V$1001,1)-1))),""))</f>
        <v>-0.175151931078599</v>
      </c>
      <c r="AN894" s="5" t="str">
        <f>IF($AM894="","",IF($AM894&gt;=Lookups!$K$6,"High spike",IF($AM894&lt;=-Lookups!$K$6,"Unusual low","Normal")))</f>
        <v>Normal</v>
      </c>
      <c r="AO894" s="20">
        <f>IF($V894&lt;&gt;1,"",$P894+ROW()/100000)</f>
        <v>79.00894</v>
      </c>
      <c r="AP894" s="5">
        <f>IF($A894="","",IFERROR(MATCH($A894,Raw_D1!$A$2:$A$1001,0),""))</f>
        <v/>
      </c>
      <c r="AQ894" s="5">
        <f>IF($A894="","",IFERROR(MATCH($A894,Raw_D2!$B$2:$B$1001,0),""))</f>
        <v/>
      </c>
      <c r="AR894" s="5">
        <f>IF($A894="","",IFERROR(MATCH($A894,Raw_D3!$A$2:$A$1001,0),""))</f>
        <v>274</v>
      </c>
    </row>
    <row r="895" spans="1:44" x14ac:dyDescent="0.25">
      <c r="A895" s="5">
        <v>894</v>
      </c>
      <c r="B895" s="11">
        <f>IF($A895="","",IF($AP895&lt;&gt;"",INDEX(Raw_D1!$B$2:$B$1001,$AP895),IF($AR895&lt;&gt;"",INDEX(Raw_D3!$B$2:$B$1001,$AR895),"")))</f>
        <v>40583.0</v>
      </c>
      <c r="C895" s="5">
        <f>IF($A895="","",IF($AP895&lt;&gt;"",INDEX(Raw_D1!$C$2:$C$1001,$AP895),IF($AR895&lt;&gt;"",INDEX(Raw_D3!$C$2:$C$1001,$AR895),"")))</f>
        <v>1</v>
      </c>
      <c r="D895" s="5">
        <f>IF($A895="","",IF($AP895&lt;&gt;"",INDEX(Raw_D1!$D$2:$D$1001,$AP895),IF($AR895&lt;&gt;"",INDEX(Raw_D3!$D$2:$D$1001,$AR895),"")))</f>
        <v>0</v>
      </c>
      <c r="E895" s="5">
        <f>IF($A895="","",IF($AP895&lt;&gt;"",INDEX(Raw_D1!$E$2:$E$1001,$AP895),IF($AR895&lt;&gt;"",INDEX(Raw_D3!$E$2:$E$1001,$AR895),"")))</f>
        <v>2</v>
      </c>
      <c r="F895" s="5">
        <f>IF($A895="","",IF($AP895&lt;&gt;"",INDEX(Raw_D1!$F$2:$F$1001,$AP895),IF($AR895&lt;&gt;"",INDEX(Raw_D3!$F$2:$F$1001,$AR895),"")))</f>
        <v>17</v>
      </c>
      <c r="G895" s="5">
        <f>IF($A895="","",IF($AP895&lt;&gt;"",IF(INDEX(Raw_D1!$G$2:$G$1001,$AP895),1,0),IF($AR895&lt;&gt;"",IF(INDEX(Raw_D3!$G$2:$G$1001,$AR895),1,0),"")))</f>
        <v>0</v>
      </c>
      <c r="H895" s="5">
        <f>IF($A895="","",IF($AP895&lt;&gt;"",INDEX(Raw_D1!$H$2:$H$1001,$AP895),IF($AR895&lt;&gt;"",INDEX(Raw_D3!$H$2:$H$1001,$AR895),"")))</f>
        <v>3</v>
      </c>
      <c r="I895" s="5">
        <f>IF($A895="","",IF($AP895&lt;&gt;"",INDEX(Raw_D1!$I$2:$I$1001,$AP895),IF($AR895&lt;&gt;"",INDEX(Raw_D3!$I$2:$I$1001,$AR895),"")))</f>
        <v>2</v>
      </c>
      <c r="J895" s="16">
        <f>IF($A895="","",IF($AP895&lt;&gt;"",INDEX(Raw_D1!$J$2:$J$1001,$AP895),IF($AR895&lt;&gt;"",INDEX(Raw_D3!$J$2:$J$1001,$AR895),"")))</f>
        <v>0.2</v>
      </c>
      <c r="K895" s="17">
        <f>IF($A895="","",IF($AQ895&lt;&gt;"",IF(INDEX(Raw_D2!$C$2:$C$1001,$AQ895)="","",INDEX(Raw_D2!$C$2:$C$1001,$AQ895)),IF($AR895&lt;&gt;"",IF(INDEX(Raw_D3!$K$2:$K$1001,$AR895)="","",INDEX(Raw_D3!$K$2:$K$1001,$AR895)),"")))</f>
        <v>0.197</v>
      </c>
      <c r="L895" s="16">
        <f>IF($A895="","",IF($AQ895&lt;&gt;"",IF(INDEX(Raw_D2!$D$2:$D$1001,$AQ895)="","",INDEX(Raw_D2!$D$2:$D$1001,$AQ895)),IF($AR895&lt;&gt;"",IF(INDEX(Raw_D3!$L$2:$L$1001,$AR895)="","",INDEX(Raw_D3!$L$2:$L$1001,$AR895)),"")))</f>
        <v>0.34</v>
      </c>
      <c r="M895" s="17">
        <f>IF($A895="","",IF($AQ895&lt;&gt;"",IF(INDEX(Raw_D2!$E$2:$E$1001,$AQ895)="","",INDEX(Raw_D2!$E$2:$E$1001,$AQ895)),IF($AR895&lt;&gt;"",IF(INDEX(Raw_D3!$M$2:$M$1001,$AR895)="","",INDEX(Raw_D3!$M$2:$M$1001,$AR895)),"")))</f>
        <v>0.2537</v>
      </c>
      <c r="N895" s="5">
        <f>IF($A895="","",IF($AQ895&lt;&gt;"",IF(INDEX(Raw_D2!$F$2:$F$1001,$AQ895)="","",INDEX(Raw_D2!$F$2:$F$1001,$AQ895)),IF($AR895&lt;&gt;"",IF(INDEX(Raw_D3!$N$2:$N$1001,$AR895)="","",INDEX(Raw_D3!$N$2:$N$1001,$AR895)),"")))</f>
        <v>9</v>
      </c>
      <c r="O895" s="5">
        <f>IF($A895="","",IF($AQ895&lt;&gt;"",IF(INDEX(Raw_D2!$G$2:$G$1001,$AQ895)="","",INDEX(Raw_D2!$G$2:$G$1001,$AQ895)),IF($AR895&lt;&gt;"",IF(INDEX(Raw_D3!$O$2:$O$1001,$AR895)="","",INDEX(Raw_D3!$O$2:$O$1001,$AR895)),"")))</f>
        <v>157</v>
      </c>
      <c r="P895" s="5">
        <f>IF($A895="","",IF($AQ895&lt;&gt;"",IF(INDEX(Raw_D2!$H$2:$H$1001,$AQ895)="","",INDEX(Raw_D2!$H$2:$H$1001,$AQ895)),IF($AR895&lt;&gt;"",IF(INDEX(Raw_D3!$P$2:$P$1001,$AR895)="","",INDEX(Raw_D3!$P$2:$P$1001,$AR895)),"")))</f>
        <v>166</v>
      </c>
      <c r="Q895" s="5" t="str">
        <f>IF($A895="","",IF(AND($AP895&lt;&gt;"",$AQ895&lt;&gt;""),"D1+D2",IF($AR895&lt;&gt;"","D3","Incomplete")))</f>
        <v>D3</v>
      </c>
      <c r="R895" s="17">
        <f>IF($A895="","",IF($K895="",IF($J895="","",ROUND(Lookups!$K$5+Lookups!$K$4*$J895,4)),$K895))</f>
        <v>0.197</v>
      </c>
      <c r="S895" s="5" t="str">
        <f>IF($A895="","",IF($K895="","Imputed","Original"))</f>
        <v>Original</v>
      </c>
      <c r="T895" s="5" t="str">
        <f>IF($A895="","",IF($P895="","Missing",IF($P895=$N895+$O895,"OK","Mismatch")))</f>
        <v>OK</v>
      </c>
      <c r="U895" s="5" t="str">
        <f>IF($A895="","",IF(COUNTIF($A$2:$A895,$A895)&gt;1,"Duplicate","Unique"))</f>
        <v>Unique</v>
      </c>
      <c r="V895" s="5">
        <f>IF($A895="","",IF(AND($U895="Unique",ISNUMBER($P895)),1,0))</f>
        <v>1</v>
      </c>
      <c r="W895" s="5" t="str">
        <f>IF($A895="","",IF(OR($H895=0,$H895=6),"Weekend","Weekday"))</f>
        <v>Weekday</v>
      </c>
      <c r="X895" s="5" t="str">
        <f>IF($A895="","",TEXT($B895,"ddd"))</f>
        <v>Wed</v>
      </c>
      <c r="Y895" s="5" t="str">
        <f>IF($A895="","",TEXT($B895,"mmm"))</f>
        <v>Feb</v>
      </c>
      <c r="Z895" s="5" t="str">
        <f>IF($A895="","",IFERROR(VLOOKUP($C895,Lookups!$D$4:$E$7,2,FALSE),"Unknown"))</f>
        <v>Winter</v>
      </c>
      <c r="AA895" s="5" t="str">
        <f>IF($A895="","",IFERROR(VLOOKUP($I895,Lookups!$A$4:$B$7,2,FALSE),"Unknown"))</f>
        <v>Mist/Cloudy</v>
      </c>
      <c r="AB895" s="5" t="str">
        <f>IF($A895="","",TEXT($F895,"00")&amp;":00")</f>
        <v>17:00</v>
      </c>
      <c r="AC895" s="5" t="str">
        <f>IF($A895="","",VLOOKUP($F895,Lookups!$G$4:$H$8,2,TRUE))</f>
        <v>Evening Peak (16-19)</v>
      </c>
      <c r="AD895" s="18">
        <f>IF($A895="","",IF($J895="","",ROUND($J895*41,1)))</f>
        <v>8.2</v>
      </c>
      <c r="AE895" s="18">
        <f>IF($A895="","",IF($R895="","",ROUND($R895*50,1)))</f>
        <v>9.9</v>
      </c>
      <c r="AF895" s="5">
        <f>IF($A895="","",IF($L895="","",ROUND($L895*100,0)))</f>
        <v>34</v>
      </c>
      <c r="AG895" s="18">
        <f>IF($A895="","",IF($M895="","",ROUND($M895*67,1)))</f>
        <v>17</v>
      </c>
      <c r="AH895" s="19">
        <f>IF($A895="","",IF($P895="","",IF($P895=0,0,$O895/$P895)))</f>
        <v>0.945783132530121</v>
      </c>
      <c r="AI895" s="5" t="str">
        <f>IF($A895="","",IF($P895="","",IF($P895&gt;=Lookups!$K$7,"High",IF($P895&lt;=Lookups!$K$8,"Low","Medium"))))</f>
        <v>High</v>
      </c>
      <c r="AJ895" s="5" t="str">
        <f>IF($A895="","",IF($AD895="","",IF($AD895&lt;5,"Under 5 C",IF($AD895&lt;10,"5-10 C",IF($AD895&lt;15,"10-15 C","15 C and above")))))</f>
        <v>5-10 C</v>
      </c>
      <c r="AK895" s="5">
        <f>IF($A895="","",IF($P895="","",$P895^2))</f>
        <v>27556</v>
      </c>
      <c r="AL895" s="18">
        <f>IF($V895&lt;&gt;1,"",AVERAGEIFS(Clean_Data!$P$2:$P$1001,Clean_Data!$F$2:$F$1001,$F895,Clean_Data!$W$2:$W$1001,$W895,Clean_Data!$V$2:$V$1001,1))</f>
        <v>165.566666666667</v>
      </c>
      <c r="AM895" s="16">
        <f>IF($V895&lt;&gt;1,"",IFERROR(($P895-$AL895)/SQRT(MAX(0,(SUMIFS(Clean_Data!$AK$2:$AK$1001,Clean_Data!$F$2:$F$1001,$F895,Clean_Data!$W$2:$W$1001,$W895,Clean_Data!$V$2:$V$1001,1)-COUNTIFS(Clean_Data!$F$2:$F$1001,$F895,Clean_Data!$W$2:$W$1001,$W895,Clean_Data!$V$2:$V$1001,1)*$AL895^2)/(COUNTIFS(Clean_Data!$F$2:$F$1001,$F895,Clean_Data!$W$2:$W$1001,$W895,Clean_Data!$V$2:$V$1001,1)-1))),""))</f>
        <v>0.00984555964978013</v>
      </c>
      <c r="AN895" s="5" t="str">
        <f>IF($AM895="","",IF($AM895&gt;=Lookups!$K$6,"High spike",IF($AM895&lt;=-Lookups!$K$6,"Unusual low","Normal")))</f>
        <v>Normal</v>
      </c>
      <c r="AO895" s="20">
        <f>IF($V895&lt;&gt;1,"",$P895+ROW()/100000)</f>
        <v>166.00895</v>
      </c>
      <c r="AP895" s="5">
        <f>IF($A895="","",IFERROR(MATCH($A895,Raw_D1!$A$2:$A$1001,0),""))</f>
        <v/>
      </c>
      <c r="AQ895" s="5">
        <f>IF($A895="","",IFERROR(MATCH($A895,Raw_D2!$B$2:$B$1001,0),""))</f>
        <v/>
      </c>
      <c r="AR895" s="5">
        <f>IF($A895="","",IFERROR(MATCH($A895,Raw_D3!$A$2:$A$1001,0),""))</f>
        <v>275</v>
      </c>
    </row>
    <row r="896" spans="1:44" x14ac:dyDescent="0.25">
      <c r="A896" s="5">
        <v>895</v>
      </c>
      <c r="B896" s="11">
        <f>IF($A896="","",IF($AP896&lt;&gt;"",INDEX(Raw_D1!$B$2:$B$1001,$AP896),IF($AR896&lt;&gt;"",INDEX(Raw_D3!$B$2:$B$1001,$AR896),"")))</f>
        <v>40583.0</v>
      </c>
      <c r="C896" s="5">
        <f>IF($A896="","",IF($AP896&lt;&gt;"",INDEX(Raw_D1!$C$2:$C$1001,$AP896),IF($AR896&lt;&gt;"",INDEX(Raw_D3!$C$2:$C$1001,$AR896),"")))</f>
        <v>1</v>
      </c>
      <c r="D896" s="5">
        <f>IF($A896="","",IF($AP896&lt;&gt;"",INDEX(Raw_D1!$D$2:$D$1001,$AP896),IF($AR896&lt;&gt;"",INDEX(Raw_D3!$D$2:$D$1001,$AR896),"")))</f>
        <v>0</v>
      </c>
      <c r="E896" s="5">
        <f>IF($A896="","",IF($AP896&lt;&gt;"",INDEX(Raw_D1!$E$2:$E$1001,$AP896),IF($AR896&lt;&gt;"",INDEX(Raw_D3!$E$2:$E$1001,$AR896),"")))</f>
        <v>2</v>
      </c>
      <c r="F896" s="5">
        <f>IF($A896="","",IF($AP896&lt;&gt;"",INDEX(Raw_D1!$F$2:$F$1001,$AP896),IF($AR896&lt;&gt;"",INDEX(Raw_D3!$F$2:$F$1001,$AR896),"")))</f>
        <v>18</v>
      </c>
      <c r="G896" s="5">
        <f>IF($A896="","",IF($AP896&lt;&gt;"",IF(INDEX(Raw_D1!$G$2:$G$1001,$AP896),1,0),IF($AR896&lt;&gt;"",IF(INDEX(Raw_D3!$G$2:$G$1001,$AR896),1,0),"")))</f>
        <v>0</v>
      </c>
      <c r="H896" s="5">
        <f>IF($A896="","",IF($AP896&lt;&gt;"",INDEX(Raw_D1!$H$2:$H$1001,$AP896),IF($AR896&lt;&gt;"",INDEX(Raw_D3!$H$2:$H$1001,$AR896),"")))</f>
        <v>3</v>
      </c>
      <c r="I896" s="5">
        <f>IF($A896="","",IF($AP896&lt;&gt;"",INDEX(Raw_D1!$I$2:$I$1001,$AP896),IF($AR896&lt;&gt;"",INDEX(Raw_D3!$I$2:$I$1001,$AR896),"")))</f>
        <v>2</v>
      </c>
      <c r="J896" s="16">
        <f>IF($A896="","",IF($AP896&lt;&gt;"",INDEX(Raw_D1!$J$2:$J$1001,$AP896),IF($AR896&lt;&gt;"",INDEX(Raw_D3!$J$2:$J$1001,$AR896),"")))</f>
        <v>0.18</v>
      </c>
      <c r="K896" s="17">
        <f>IF($A896="","",IF($AQ896&lt;&gt;"",IF(INDEX(Raw_D2!$C$2:$C$1001,$AQ896)="","",INDEX(Raw_D2!$C$2:$C$1001,$AQ896)),IF($AR896&lt;&gt;"",IF(INDEX(Raw_D3!$K$2:$K$1001,$AR896)="","",INDEX(Raw_D3!$K$2:$K$1001,$AR896)),"")))</f>
        <v>0.1667</v>
      </c>
      <c r="L896" s="16">
        <f>IF($A896="","",IF($AQ896&lt;&gt;"",IF(INDEX(Raw_D2!$D$2:$D$1001,$AQ896)="","",INDEX(Raw_D2!$D$2:$D$1001,$AQ896)),IF($AR896&lt;&gt;"",IF(INDEX(Raw_D3!$L$2:$L$1001,$AR896)="","",INDEX(Raw_D3!$L$2:$L$1001,$AR896)),"")))</f>
        <v>0.47</v>
      </c>
      <c r="M896" s="17">
        <f>IF($A896="","",IF($AQ896&lt;&gt;"",IF(INDEX(Raw_D2!$E$2:$E$1001,$AQ896)="","",INDEX(Raw_D2!$E$2:$E$1001,$AQ896)),IF($AR896&lt;&gt;"",IF(INDEX(Raw_D3!$M$2:$M$1001,$AR896)="","",INDEX(Raw_D3!$M$2:$M$1001,$AR896)),"")))</f>
        <v>0.2985</v>
      </c>
      <c r="N896" s="5">
        <f>IF($A896="","",IF($AQ896&lt;&gt;"",IF(INDEX(Raw_D2!$F$2:$F$1001,$AQ896)="","",INDEX(Raw_D2!$F$2:$F$1001,$AQ896)),IF($AR896&lt;&gt;"",IF(INDEX(Raw_D3!$N$2:$N$1001,$AR896)="","",INDEX(Raw_D3!$N$2:$N$1001,$AR896)),"")))</f>
        <v>2</v>
      </c>
      <c r="O896" s="5">
        <f>IF($A896="","",IF($AQ896&lt;&gt;"",IF(INDEX(Raw_D2!$G$2:$G$1001,$AQ896)="","",INDEX(Raw_D2!$G$2:$G$1001,$AQ896)),IF($AR896&lt;&gt;"",IF(INDEX(Raw_D3!$O$2:$O$1001,$AR896)="","",INDEX(Raw_D3!$O$2:$O$1001,$AR896)),"")))</f>
        <v>168</v>
      </c>
      <c r="P896" s="5">
        <f>IF($A896="","",IF($AQ896&lt;&gt;"",IF(INDEX(Raw_D2!$H$2:$H$1001,$AQ896)="","",INDEX(Raw_D2!$H$2:$H$1001,$AQ896)),IF($AR896&lt;&gt;"",IF(INDEX(Raw_D3!$P$2:$P$1001,$AR896)="","",INDEX(Raw_D3!$P$2:$P$1001,$AR896)),"")))</f>
        <v>170</v>
      </c>
      <c r="Q896" s="5" t="str">
        <f>IF($A896="","",IF(AND($AP896&lt;&gt;"",$AQ896&lt;&gt;""),"D1+D2",IF($AR896&lt;&gt;"","D3","Incomplete")))</f>
        <v>D3</v>
      </c>
      <c r="R896" s="17">
        <f>IF($A896="","",IF($K896="",IF($J896="","",ROUND(Lookups!$K$5+Lookups!$K$4*$J896,4)),$K896))</f>
        <v>0.1667</v>
      </c>
      <c r="S896" s="5" t="str">
        <f>IF($A896="","",IF($K896="","Imputed","Original"))</f>
        <v>Original</v>
      </c>
      <c r="T896" s="5" t="str">
        <f>IF($A896="","",IF($P896="","Missing",IF($P896=$N896+$O896,"OK","Mismatch")))</f>
        <v>OK</v>
      </c>
      <c r="U896" s="5" t="str">
        <f>IF($A896="","",IF(COUNTIF($A$2:$A896,$A896)&gt;1,"Duplicate","Unique"))</f>
        <v>Unique</v>
      </c>
      <c r="V896" s="5">
        <f>IF($A896="","",IF(AND($U896="Unique",ISNUMBER($P896)),1,0))</f>
        <v>1</v>
      </c>
      <c r="W896" s="5" t="str">
        <f>IF($A896="","",IF(OR($H896=0,$H896=6),"Weekend","Weekday"))</f>
        <v>Weekday</v>
      </c>
      <c r="X896" s="5" t="str">
        <f>IF($A896="","",TEXT($B896,"ddd"))</f>
        <v>Wed</v>
      </c>
      <c r="Y896" s="5" t="str">
        <f>IF($A896="","",TEXT($B896,"mmm"))</f>
        <v>Feb</v>
      </c>
      <c r="Z896" s="5" t="str">
        <f>IF($A896="","",IFERROR(VLOOKUP($C896,Lookups!$D$4:$E$7,2,FALSE),"Unknown"))</f>
        <v>Winter</v>
      </c>
      <c r="AA896" s="5" t="str">
        <f>IF($A896="","",IFERROR(VLOOKUP($I896,Lookups!$A$4:$B$7,2,FALSE),"Unknown"))</f>
        <v>Mist/Cloudy</v>
      </c>
      <c r="AB896" s="5" t="str">
        <f>IF($A896="","",TEXT($F896,"00")&amp;":00")</f>
        <v>18:00</v>
      </c>
      <c r="AC896" s="5" t="str">
        <f>IF($A896="","",VLOOKUP($F896,Lookups!$G$4:$H$8,2,TRUE))</f>
        <v>Evening Peak (16-19)</v>
      </c>
      <c r="AD896" s="18">
        <f>IF($A896="","",IF($J896="","",ROUND($J896*41,1)))</f>
        <v>7.4</v>
      </c>
      <c r="AE896" s="18">
        <f>IF($A896="","",IF($R896="","",ROUND($R896*50,1)))</f>
        <v>8.3</v>
      </c>
      <c r="AF896" s="5">
        <f>IF($A896="","",IF($L896="","",ROUND($L896*100,0)))</f>
        <v>47</v>
      </c>
      <c r="AG896" s="18">
        <f>IF($A896="","",IF($M896="","",ROUND($M896*67,1)))</f>
        <v>20</v>
      </c>
      <c r="AH896" s="19">
        <f>IF($A896="","",IF($P896="","",IF($P896=0,0,$O896/$P896)))</f>
        <v>0.988235294117647</v>
      </c>
      <c r="AI896" s="5" t="str">
        <f>IF($A896="","",IF($P896="","",IF($P896&gt;=Lookups!$K$7,"High",IF($P896&lt;=Lookups!$K$8,"Low","Medium"))))</f>
        <v>High</v>
      </c>
      <c r="AJ896" s="5" t="str">
        <f>IF($A896="","",IF($AD896="","",IF($AD896&lt;5,"Under 5 C",IF($AD896&lt;10,"5-10 C",IF($AD896&lt;15,"10-15 C","15 C and above")))))</f>
        <v>5-10 C</v>
      </c>
      <c r="AK896" s="5">
        <f>IF($A896="","",IF($P896="","",$P896^2))</f>
        <v>28900</v>
      </c>
      <c r="AL896" s="18">
        <f>IF($V896&lt;&gt;1,"",AVERAGEIFS(Clean_Data!$P$2:$P$1001,Clean_Data!$F$2:$F$1001,$F896,Clean_Data!$W$2:$W$1001,$W896,Clean_Data!$V$2:$V$1001,1))</f>
        <v>151.206896551724</v>
      </c>
      <c r="AM896" s="16">
        <f>IF($V896&lt;&gt;1,"",IFERROR(($P896-$AL896)/SQRT(MAX(0,(SUMIFS(Clean_Data!$AK$2:$AK$1001,Clean_Data!$F$2:$F$1001,$F896,Clean_Data!$W$2:$W$1001,$W896,Clean_Data!$V$2:$V$1001,1)-COUNTIFS(Clean_Data!$F$2:$F$1001,$F896,Clean_Data!$W$2:$W$1001,$W896,Clean_Data!$V$2:$V$1001,1)*$AL896^2)/(COUNTIFS(Clean_Data!$F$2:$F$1001,$F896,Clean_Data!$W$2:$W$1001,$W896,Clean_Data!$V$2:$V$1001,1)-1))),""))</f>
        <v>0.640324390045617</v>
      </c>
      <c r="AN896" s="5" t="str">
        <f>IF($AM896="","",IF($AM896&gt;=Lookups!$K$6,"High spike",IF($AM896&lt;=-Lookups!$K$6,"Unusual low","Normal")))</f>
        <v>Normal</v>
      </c>
      <c r="AO896" s="20">
        <f>IF($V896&lt;&gt;1,"",$P896+ROW()/100000)</f>
        <v>170.00896</v>
      </c>
      <c r="AP896" s="5">
        <f>IF($A896="","",IFERROR(MATCH($A896,Raw_D1!$A$2:$A$1001,0),""))</f>
        <v/>
      </c>
      <c r="AQ896" s="5">
        <f>IF($A896="","",IFERROR(MATCH($A896,Raw_D2!$B$2:$B$1001,0),""))</f>
        <v/>
      </c>
      <c r="AR896" s="5">
        <f>IF($A896="","",IFERROR(MATCH($A896,Raw_D3!$A$2:$A$1001,0),""))</f>
        <v>276</v>
      </c>
    </row>
    <row r="897" spans="1:44" x14ac:dyDescent="0.25">
      <c r="A897" s="5">
        <v>896</v>
      </c>
      <c r="B897" s="11">
        <f>IF($A897="","",IF($AP897&lt;&gt;"",INDEX(Raw_D1!$B$2:$B$1001,$AP897),IF($AR897&lt;&gt;"",INDEX(Raw_D3!$B$2:$B$1001,$AR897),"")))</f>
        <v>40583.0</v>
      </c>
      <c r="C897" s="5">
        <f>IF($A897="","",IF($AP897&lt;&gt;"",INDEX(Raw_D1!$C$2:$C$1001,$AP897),IF($AR897&lt;&gt;"",INDEX(Raw_D3!$C$2:$C$1001,$AR897),"")))</f>
        <v>1</v>
      </c>
      <c r="D897" s="5">
        <f>IF($A897="","",IF($AP897&lt;&gt;"",INDEX(Raw_D1!$D$2:$D$1001,$AP897),IF($AR897&lt;&gt;"",INDEX(Raw_D3!$D$2:$D$1001,$AR897),"")))</f>
        <v>0</v>
      </c>
      <c r="E897" s="5">
        <f>IF($A897="","",IF($AP897&lt;&gt;"",INDEX(Raw_D1!$E$2:$E$1001,$AP897),IF($AR897&lt;&gt;"",INDEX(Raw_D3!$E$2:$E$1001,$AR897),"")))</f>
        <v>2</v>
      </c>
      <c r="F897" s="5">
        <f>IF($A897="","",IF($AP897&lt;&gt;"",INDEX(Raw_D1!$F$2:$F$1001,$AP897),IF($AR897&lt;&gt;"",INDEX(Raw_D3!$F$2:$F$1001,$AR897),"")))</f>
        <v>19</v>
      </c>
      <c r="G897" s="5">
        <f>IF($A897="","",IF($AP897&lt;&gt;"",IF(INDEX(Raw_D1!$G$2:$G$1001,$AP897),1,0),IF($AR897&lt;&gt;"",IF(INDEX(Raw_D3!$G$2:$G$1001,$AR897),1,0),"")))</f>
        <v>0</v>
      </c>
      <c r="H897" s="5">
        <f>IF($A897="","",IF($AP897&lt;&gt;"",INDEX(Raw_D1!$H$2:$H$1001,$AP897),IF($AR897&lt;&gt;"",INDEX(Raw_D3!$H$2:$H$1001,$AR897),"")))</f>
        <v>3</v>
      </c>
      <c r="I897" s="5">
        <f>IF($A897="","",IF($AP897&lt;&gt;"",INDEX(Raw_D1!$I$2:$I$1001,$AP897),IF($AR897&lt;&gt;"",INDEX(Raw_D3!$I$2:$I$1001,$AR897),"")))</f>
        <v>3</v>
      </c>
      <c r="J897" s="16">
        <f>IF($A897="","",IF($AP897&lt;&gt;"",INDEX(Raw_D1!$J$2:$J$1001,$AP897),IF($AR897&lt;&gt;"",INDEX(Raw_D3!$J$2:$J$1001,$AR897),"")))</f>
        <v>0.14</v>
      </c>
      <c r="K897" s="17">
        <f>IF($A897="","",IF($AQ897&lt;&gt;"",IF(INDEX(Raw_D2!$C$2:$C$1001,$AQ897)="","",INDEX(Raw_D2!$C$2:$C$1001,$AQ897)),IF($AR897&lt;&gt;"",IF(INDEX(Raw_D3!$K$2:$K$1001,$AR897)="","",INDEX(Raw_D3!$K$2:$K$1001,$AR897)),"")))</f>
        <v>0.1212</v>
      </c>
      <c r="L897" s="16">
        <f>IF($A897="","",IF($AQ897&lt;&gt;"",IF(INDEX(Raw_D2!$D$2:$D$1001,$AQ897)="","",INDEX(Raw_D2!$D$2:$D$1001,$AQ897)),IF($AR897&lt;&gt;"",IF(INDEX(Raw_D3!$L$2:$L$1001,$AR897)="","",INDEX(Raw_D3!$L$2:$L$1001,$AR897)),"")))</f>
        <v>0.86</v>
      </c>
      <c r="M897" s="17">
        <f>IF($A897="","",IF($AQ897&lt;&gt;"",IF(INDEX(Raw_D2!$E$2:$E$1001,$AQ897)="","",INDEX(Raw_D2!$E$2:$E$1001,$AQ897)),IF($AR897&lt;&gt;"",IF(INDEX(Raw_D3!$M$2:$M$1001,$AR897)="","",INDEX(Raw_D3!$M$2:$M$1001,$AR897)),"")))</f>
        <v>0.2537</v>
      </c>
      <c r="N897" s="5">
        <f>IF($A897="","",IF($AQ897&lt;&gt;"",IF(INDEX(Raw_D2!$F$2:$F$1001,$AQ897)="","",INDEX(Raw_D2!$F$2:$F$1001,$AQ897)),IF($AR897&lt;&gt;"",IF(INDEX(Raw_D3!$N$2:$N$1001,$AR897)="","",INDEX(Raw_D3!$N$2:$N$1001,$AR897)),"")))</f>
        <v>1</v>
      </c>
      <c r="O897" s="5">
        <f>IF($A897="","",IF($AQ897&lt;&gt;"",IF(INDEX(Raw_D2!$G$2:$G$1001,$AQ897)="","",INDEX(Raw_D2!$G$2:$G$1001,$AQ897)),IF($AR897&lt;&gt;"",IF(INDEX(Raw_D3!$O$2:$O$1001,$AR897)="","",INDEX(Raw_D3!$O$2:$O$1001,$AR897)),"")))</f>
        <v>87</v>
      </c>
      <c r="P897" s="5">
        <f>IF($A897="","",IF($AQ897&lt;&gt;"",IF(INDEX(Raw_D2!$H$2:$H$1001,$AQ897)="","",INDEX(Raw_D2!$H$2:$H$1001,$AQ897)),IF($AR897&lt;&gt;"",IF(INDEX(Raw_D3!$P$2:$P$1001,$AR897)="","",INDEX(Raw_D3!$P$2:$P$1001,$AR897)),"")))</f>
        <v>88</v>
      </c>
      <c r="Q897" s="5" t="str">
        <f>IF($A897="","",IF(AND($AP897&lt;&gt;"",$AQ897&lt;&gt;""),"D1+D2",IF($AR897&lt;&gt;"","D3","Incomplete")))</f>
        <v>D3</v>
      </c>
      <c r="R897" s="17">
        <f>IF($A897="","",IF($K897="",IF($J897="","",ROUND(Lookups!$K$5+Lookups!$K$4*$J897,4)),$K897))</f>
        <v>0.1212</v>
      </c>
      <c r="S897" s="5" t="str">
        <f>IF($A897="","",IF($K897="","Imputed","Original"))</f>
        <v>Original</v>
      </c>
      <c r="T897" s="5" t="str">
        <f>IF($A897="","",IF($P897="","Missing",IF($P897=$N897+$O897,"OK","Mismatch")))</f>
        <v>OK</v>
      </c>
      <c r="U897" s="5" t="str">
        <f>IF($A897="","",IF(COUNTIF($A$2:$A897,$A897)&gt;1,"Duplicate","Unique"))</f>
        <v>Unique</v>
      </c>
      <c r="V897" s="5">
        <f>IF($A897="","",IF(AND($U897="Unique",ISNUMBER($P897)),1,0))</f>
        <v>1</v>
      </c>
      <c r="W897" s="5" t="str">
        <f>IF($A897="","",IF(OR($H897=0,$H897=6),"Weekend","Weekday"))</f>
        <v>Weekday</v>
      </c>
      <c r="X897" s="5" t="str">
        <f>IF($A897="","",TEXT($B897,"ddd"))</f>
        <v>Wed</v>
      </c>
      <c r="Y897" s="5" t="str">
        <f>IF($A897="","",TEXT($B897,"mmm"))</f>
        <v>Feb</v>
      </c>
      <c r="Z897" s="5" t="str">
        <f>IF($A897="","",IFERROR(VLOOKUP($C897,Lookups!$D$4:$E$7,2,FALSE),"Unknown"))</f>
        <v>Winter</v>
      </c>
      <c r="AA897" s="5" t="str">
        <f>IF($A897="","",IFERROR(VLOOKUP($I897,Lookups!$A$4:$B$7,2,FALSE),"Unknown"))</f>
        <v>Light Rain/Snow</v>
      </c>
      <c r="AB897" s="5" t="str">
        <f>IF($A897="","",TEXT($F897,"00")&amp;":00")</f>
        <v>19:00</v>
      </c>
      <c r="AC897" s="5" t="str">
        <f>IF($A897="","",VLOOKUP($F897,Lookups!$G$4:$H$8,2,TRUE))</f>
        <v>Evening Peak (16-19)</v>
      </c>
      <c r="AD897" s="18">
        <f>IF($A897="","",IF($J897="","",ROUND($J897*41,1)))</f>
        <v>5.7</v>
      </c>
      <c r="AE897" s="18">
        <f>IF($A897="","",IF($R897="","",ROUND($R897*50,1)))</f>
        <v>6.1</v>
      </c>
      <c r="AF897" s="5">
        <f>IF($A897="","",IF($L897="","",ROUND($L897*100,0)))</f>
        <v>86</v>
      </c>
      <c r="AG897" s="18">
        <f>IF($A897="","",IF($M897="","",ROUND($M897*67,1)))</f>
        <v>17</v>
      </c>
      <c r="AH897" s="19">
        <f>IF($A897="","",IF($P897="","",IF($P897=0,0,$O897/$P897)))</f>
        <v>0.988636363636364</v>
      </c>
      <c r="AI897" s="5" t="str">
        <f>IF($A897="","",IF($P897="","",IF($P897&gt;=Lookups!$K$7,"High",IF($P897&lt;=Lookups!$K$8,"Low","Medium"))))</f>
        <v>High</v>
      </c>
      <c r="AJ897" s="5" t="str">
        <f>IF($A897="","",IF($AD897="","",IF($AD897&lt;5,"Under 5 C",IF($AD897&lt;10,"5-10 C",IF($AD897&lt;15,"10-15 C","15 C and above")))))</f>
        <v>5-10 C</v>
      </c>
      <c r="AK897" s="5">
        <f>IF($A897="","",IF($P897="","",$P897^2))</f>
        <v>7744</v>
      </c>
      <c r="AL897" s="18">
        <f>IF($V897&lt;&gt;1,"",AVERAGEIFS(Clean_Data!$P$2:$P$1001,Clean_Data!$F$2:$F$1001,$F897,Clean_Data!$W$2:$W$1001,$W897,Clean_Data!$V$2:$V$1001,1))</f>
        <v>102.034482758621</v>
      </c>
      <c r="AM897" s="16">
        <f>IF($V897&lt;&gt;1,"",IFERROR(($P897-$AL897)/SQRT(MAX(0,(SUMIFS(Clean_Data!$AK$2:$AK$1001,Clean_Data!$F$2:$F$1001,$F897,Clean_Data!$W$2:$W$1001,$W897,Clean_Data!$V$2:$V$1001,1)-COUNTIFS(Clean_Data!$F$2:$F$1001,$F897,Clean_Data!$W$2:$W$1001,$W897,Clean_Data!$V$2:$V$1001,1)*$AL897^2)/(COUNTIFS(Clean_Data!$F$2:$F$1001,$F897,Clean_Data!$W$2:$W$1001,$W897,Clean_Data!$V$2:$V$1001,1)-1))),""))</f>
        <v>-0.660518983203178</v>
      </c>
      <c r="AN897" s="5" t="str">
        <f>IF($AM897="","",IF($AM897&gt;=Lookups!$K$6,"High spike",IF($AM897&lt;=-Lookups!$K$6,"Unusual low","Normal")))</f>
        <v>Normal</v>
      </c>
      <c r="AO897" s="20">
        <f>IF($V897&lt;&gt;1,"",$P897+ROW()/100000)</f>
        <v>88.00897</v>
      </c>
      <c r="AP897" s="5">
        <f>IF($A897="","",IFERROR(MATCH($A897,Raw_D1!$A$2:$A$1001,0),""))</f>
        <v/>
      </c>
      <c r="AQ897" s="5">
        <f>IF($A897="","",IFERROR(MATCH($A897,Raw_D2!$B$2:$B$1001,0),""))</f>
        <v/>
      </c>
      <c r="AR897" s="5">
        <f>IF($A897="","",IFERROR(MATCH($A897,Raw_D3!$A$2:$A$1001,0),""))</f>
        <v>277</v>
      </c>
    </row>
    <row r="898" spans="1:44" x14ac:dyDescent="0.25">
      <c r="A898" s="5">
        <v>897</v>
      </c>
      <c r="B898" s="11">
        <f>IF($A898="","",IF($AP898&lt;&gt;"",INDEX(Raw_D1!$B$2:$B$1001,$AP898),IF($AR898&lt;&gt;"",INDEX(Raw_D3!$B$2:$B$1001,$AR898),"")))</f>
        <v>40583.0</v>
      </c>
      <c r="C898" s="5">
        <f>IF($A898="","",IF($AP898&lt;&gt;"",INDEX(Raw_D1!$C$2:$C$1001,$AP898),IF($AR898&lt;&gt;"",INDEX(Raw_D3!$C$2:$C$1001,$AR898),"")))</f>
        <v>1</v>
      </c>
      <c r="D898" s="5">
        <f>IF($A898="","",IF($AP898&lt;&gt;"",INDEX(Raw_D1!$D$2:$D$1001,$AP898),IF($AR898&lt;&gt;"",INDEX(Raw_D3!$D$2:$D$1001,$AR898),"")))</f>
        <v>0</v>
      </c>
      <c r="E898" s="5">
        <f>IF($A898="","",IF($AP898&lt;&gt;"",INDEX(Raw_D1!$E$2:$E$1001,$AP898),IF($AR898&lt;&gt;"",INDEX(Raw_D3!$E$2:$E$1001,$AR898),"")))</f>
        <v>2</v>
      </c>
      <c r="F898" s="5">
        <f>IF($A898="","",IF($AP898&lt;&gt;"",INDEX(Raw_D1!$F$2:$F$1001,$AP898),IF($AR898&lt;&gt;"",INDEX(Raw_D3!$F$2:$F$1001,$AR898),"")))</f>
        <v>20</v>
      </c>
      <c r="G898" s="5">
        <f>IF($A898="","",IF($AP898&lt;&gt;"",IF(INDEX(Raw_D1!$G$2:$G$1001,$AP898),1,0),IF($AR898&lt;&gt;"",IF(INDEX(Raw_D3!$G$2:$G$1001,$AR898),1,0),"")))</f>
        <v>0</v>
      </c>
      <c r="H898" s="5">
        <f>IF($A898="","",IF($AP898&lt;&gt;"",INDEX(Raw_D1!$H$2:$H$1001,$AP898),IF($AR898&lt;&gt;"",INDEX(Raw_D3!$H$2:$H$1001,$AR898),"")))</f>
        <v>3</v>
      </c>
      <c r="I898" s="5">
        <f>IF($A898="","",IF($AP898&lt;&gt;"",INDEX(Raw_D1!$I$2:$I$1001,$AP898),IF($AR898&lt;&gt;"",INDEX(Raw_D3!$I$2:$I$1001,$AR898),"")))</f>
        <v>3</v>
      </c>
      <c r="J898" s="16">
        <f>IF($A898="","",IF($AP898&lt;&gt;"",INDEX(Raw_D1!$J$2:$J$1001,$AP898),IF($AR898&lt;&gt;"",INDEX(Raw_D3!$J$2:$J$1001,$AR898),"")))</f>
        <v>0.14</v>
      </c>
      <c r="K898" s="17">
        <f>IF($A898="","",IF($AQ898&lt;&gt;"",IF(INDEX(Raw_D2!$C$2:$C$1001,$AQ898)="","",INDEX(Raw_D2!$C$2:$C$1001,$AQ898)),IF($AR898&lt;&gt;"",IF(INDEX(Raw_D3!$K$2:$K$1001,$AR898)="","",INDEX(Raw_D3!$K$2:$K$1001,$AR898)),"")))</f>
        <v>0.1515</v>
      </c>
      <c r="L898" s="16">
        <f>IF($A898="","",IF($AQ898&lt;&gt;"",IF(INDEX(Raw_D2!$D$2:$D$1001,$AQ898)="","",INDEX(Raw_D2!$D$2:$D$1001,$AQ898)),IF($AR898&lt;&gt;"",IF(INDEX(Raw_D3!$L$2:$L$1001,$AR898)="","",INDEX(Raw_D3!$L$2:$L$1001,$AR898)),"")))</f>
        <v>0.86</v>
      </c>
      <c r="M898" s="17">
        <f>IF($A898="","",IF($AQ898&lt;&gt;"",IF(INDEX(Raw_D2!$E$2:$E$1001,$AQ898)="","",INDEX(Raw_D2!$E$2:$E$1001,$AQ898)),IF($AR898&lt;&gt;"",IF(INDEX(Raw_D3!$M$2:$M$1001,$AR898)="","",INDEX(Raw_D3!$M$2:$M$1001,$AR898)),"")))</f>
        <v>0.1642</v>
      </c>
      <c r="N898" s="5">
        <f>IF($A898="","",IF($AQ898&lt;&gt;"",IF(INDEX(Raw_D2!$F$2:$F$1001,$AQ898)="","",INDEX(Raw_D2!$F$2:$F$1001,$AQ898)),IF($AR898&lt;&gt;"",IF(INDEX(Raw_D3!$N$2:$N$1001,$AR898)="","",INDEX(Raw_D3!$N$2:$N$1001,$AR898)),"")))</f>
        <v>0</v>
      </c>
      <c r="O898" s="5">
        <f>IF($A898="","",IF($AQ898&lt;&gt;"",IF(INDEX(Raw_D2!$G$2:$G$1001,$AQ898)="","",INDEX(Raw_D2!$G$2:$G$1001,$AQ898)),IF($AR898&lt;&gt;"",IF(INDEX(Raw_D3!$O$2:$O$1001,$AR898)="","",INDEX(Raw_D3!$O$2:$O$1001,$AR898)),"")))</f>
        <v>84</v>
      </c>
      <c r="P898" s="5">
        <f>IF($A898="","",IF($AQ898&lt;&gt;"",IF(INDEX(Raw_D2!$H$2:$H$1001,$AQ898)="","",INDEX(Raw_D2!$H$2:$H$1001,$AQ898)),IF($AR898&lt;&gt;"",IF(INDEX(Raw_D3!$P$2:$P$1001,$AR898)="","",INDEX(Raw_D3!$P$2:$P$1001,$AR898)),"")))</f>
        <v>84</v>
      </c>
      <c r="Q898" s="5" t="str">
        <f>IF($A898="","",IF(AND($AP898&lt;&gt;"",$AQ898&lt;&gt;""),"D1+D2",IF($AR898&lt;&gt;"","D3","Incomplete")))</f>
        <v>D3</v>
      </c>
      <c r="R898" s="17">
        <f>IF($A898="","",IF($K898="",IF($J898="","",ROUND(Lookups!$K$5+Lookups!$K$4*$J898,4)),$K898))</f>
        <v>0.1515</v>
      </c>
      <c r="S898" s="5" t="str">
        <f>IF($A898="","",IF($K898="","Imputed","Original"))</f>
        <v>Original</v>
      </c>
      <c r="T898" s="5" t="str">
        <f>IF($A898="","",IF($P898="","Missing",IF($P898=$N898+$O898,"OK","Mismatch")))</f>
        <v>OK</v>
      </c>
      <c r="U898" s="5" t="str">
        <f>IF($A898="","",IF(COUNTIF($A$2:$A898,$A898)&gt;1,"Duplicate","Unique"))</f>
        <v>Unique</v>
      </c>
      <c r="V898" s="5">
        <f>IF($A898="","",IF(AND($U898="Unique",ISNUMBER($P898)),1,0))</f>
        <v>1</v>
      </c>
      <c r="W898" s="5" t="str">
        <f>IF($A898="","",IF(OR($H898=0,$H898=6),"Weekend","Weekday"))</f>
        <v>Weekday</v>
      </c>
      <c r="X898" s="5" t="str">
        <f>IF($A898="","",TEXT($B898,"ddd"))</f>
        <v>Wed</v>
      </c>
      <c r="Y898" s="5" t="str">
        <f>IF($A898="","",TEXT($B898,"mmm"))</f>
        <v>Feb</v>
      </c>
      <c r="Z898" s="5" t="str">
        <f>IF($A898="","",IFERROR(VLOOKUP($C898,Lookups!$D$4:$E$7,2,FALSE),"Unknown"))</f>
        <v>Winter</v>
      </c>
      <c r="AA898" s="5" t="str">
        <f>IF($A898="","",IFERROR(VLOOKUP($I898,Lookups!$A$4:$B$7,2,FALSE),"Unknown"))</f>
        <v>Light Rain/Snow</v>
      </c>
      <c r="AB898" s="5" t="str">
        <f>IF($A898="","",TEXT($F898,"00")&amp;":00")</f>
        <v>20:00</v>
      </c>
      <c r="AC898" s="5" t="str">
        <f>IF($A898="","",VLOOKUP($F898,Lookups!$G$4:$H$8,2,TRUE))</f>
        <v>Late Evening (20-23)</v>
      </c>
      <c r="AD898" s="18">
        <f>IF($A898="","",IF($J898="","",ROUND($J898*41,1)))</f>
        <v>5.7</v>
      </c>
      <c r="AE898" s="18">
        <f>IF($A898="","",IF($R898="","",ROUND($R898*50,1)))</f>
        <v>7.6</v>
      </c>
      <c r="AF898" s="5">
        <f>IF($A898="","",IF($L898="","",ROUND($L898*100,0)))</f>
        <v>86</v>
      </c>
      <c r="AG898" s="18">
        <f>IF($A898="","",IF($M898="","",ROUND($M898*67,1)))</f>
        <v>11</v>
      </c>
      <c r="AH898" s="19">
        <f>IF($A898="","",IF($P898="","",IF($P898=0,0,$O898/$P898)))</f>
        <v>1</v>
      </c>
      <c r="AI898" s="5" t="str">
        <f>IF($A898="","",IF($P898="","",IF($P898&gt;=Lookups!$K$7,"High",IF($P898&lt;=Lookups!$K$8,"Low","Medium"))))</f>
        <v>High</v>
      </c>
      <c r="AJ898" s="5" t="str">
        <f>IF($A898="","",IF($AD898="","",IF($AD898&lt;5,"Under 5 C",IF($AD898&lt;10,"5-10 C",IF($AD898&lt;15,"10-15 C","15 C and above")))))</f>
        <v>5-10 C</v>
      </c>
      <c r="AK898" s="5">
        <f>IF($A898="","",IF($P898="","",$P898^2))</f>
        <v>7056</v>
      </c>
      <c r="AL898" s="18">
        <f>IF($V898&lt;&gt;1,"",AVERAGEIFS(Clean_Data!$P$2:$P$1001,Clean_Data!$F$2:$F$1001,$F898,Clean_Data!$W$2:$W$1001,$W898,Clean_Data!$V$2:$V$1001,1))</f>
        <v>72.2758620689655</v>
      </c>
      <c r="AM898" s="16">
        <f>IF($V898&lt;&gt;1,"",IFERROR(($P898-$AL898)/SQRT(MAX(0,(SUMIFS(Clean_Data!$AK$2:$AK$1001,Clean_Data!$F$2:$F$1001,$F898,Clean_Data!$W$2:$W$1001,$W898,Clean_Data!$V$2:$V$1001,1)-COUNTIFS(Clean_Data!$F$2:$F$1001,$F898,Clean_Data!$W$2:$W$1001,$W898,Clean_Data!$V$2:$V$1001,1)*$AL898^2)/(COUNTIFS(Clean_Data!$F$2:$F$1001,$F898,Clean_Data!$W$2:$W$1001,$W898,Clean_Data!$V$2:$V$1001,1)-1))),""))</f>
        <v>0.530497905875164</v>
      </c>
      <c r="AN898" s="5" t="str">
        <f>IF($AM898="","",IF($AM898&gt;=Lookups!$K$6,"High spike",IF($AM898&lt;=-Lookups!$K$6,"Unusual low","Normal")))</f>
        <v>Normal</v>
      </c>
      <c r="AO898" s="20">
        <f>IF($V898&lt;&gt;1,"",$P898+ROW()/100000)</f>
        <v>84.00898</v>
      </c>
      <c r="AP898" s="5">
        <f>IF($A898="","",IFERROR(MATCH($A898,Raw_D1!$A$2:$A$1001,0),""))</f>
        <v/>
      </c>
      <c r="AQ898" s="5">
        <f>IF($A898="","",IFERROR(MATCH($A898,Raw_D2!$B$2:$B$1001,0),""))</f>
        <v/>
      </c>
      <c r="AR898" s="5">
        <f>IF($A898="","",IFERROR(MATCH($A898,Raw_D3!$A$2:$A$1001,0),""))</f>
        <v>278</v>
      </c>
    </row>
    <row r="899" spans="1:44" x14ac:dyDescent="0.25">
      <c r="A899" s="5">
        <v>898</v>
      </c>
      <c r="B899" s="11">
        <f>IF($A899="","",IF($AP899&lt;&gt;"",INDEX(Raw_D1!$B$2:$B$1001,$AP899),IF($AR899&lt;&gt;"",INDEX(Raw_D3!$B$2:$B$1001,$AR899),"")))</f>
        <v>40583.0</v>
      </c>
      <c r="C899" s="5">
        <f>IF($A899="","",IF($AP899&lt;&gt;"",INDEX(Raw_D1!$C$2:$C$1001,$AP899),IF($AR899&lt;&gt;"",INDEX(Raw_D3!$C$2:$C$1001,$AR899),"")))</f>
        <v>1</v>
      </c>
      <c r="D899" s="5">
        <f>IF($A899="","",IF($AP899&lt;&gt;"",INDEX(Raw_D1!$D$2:$D$1001,$AP899),IF($AR899&lt;&gt;"",INDEX(Raw_D3!$D$2:$D$1001,$AR899),"")))</f>
        <v>0</v>
      </c>
      <c r="E899" s="5">
        <f>IF($A899="","",IF($AP899&lt;&gt;"",INDEX(Raw_D1!$E$2:$E$1001,$AP899),IF($AR899&lt;&gt;"",INDEX(Raw_D3!$E$2:$E$1001,$AR899),"")))</f>
        <v>2</v>
      </c>
      <c r="F899" s="5">
        <f>IF($A899="","",IF($AP899&lt;&gt;"",INDEX(Raw_D1!$F$2:$F$1001,$AP899),IF($AR899&lt;&gt;"",INDEX(Raw_D3!$F$2:$F$1001,$AR899),"")))</f>
        <v>21</v>
      </c>
      <c r="G899" s="5">
        <f>IF($A899="","",IF($AP899&lt;&gt;"",IF(INDEX(Raw_D1!$G$2:$G$1001,$AP899),1,0),IF($AR899&lt;&gt;"",IF(INDEX(Raw_D3!$G$2:$G$1001,$AR899),1,0),"")))</f>
        <v>0</v>
      </c>
      <c r="H899" s="5">
        <f>IF($A899="","",IF($AP899&lt;&gt;"",INDEX(Raw_D1!$H$2:$H$1001,$AP899),IF($AR899&lt;&gt;"",INDEX(Raw_D3!$H$2:$H$1001,$AR899),"")))</f>
        <v>3</v>
      </c>
      <c r="I899" s="5">
        <f>IF($A899="","",IF($AP899&lt;&gt;"",INDEX(Raw_D1!$I$2:$I$1001,$AP899),IF($AR899&lt;&gt;"",INDEX(Raw_D3!$I$2:$I$1001,$AR899),"")))</f>
        <v>2</v>
      </c>
      <c r="J899" s="16">
        <f>IF($A899="","",IF($AP899&lt;&gt;"",INDEX(Raw_D1!$J$2:$J$1001,$AP899),IF($AR899&lt;&gt;"",INDEX(Raw_D3!$J$2:$J$1001,$AR899),"")))</f>
        <v>0.14</v>
      </c>
      <c r="K899" s="17">
        <f>IF($A899="","",IF($AQ899&lt;&gt;"",IF(INDEX(Raw_D2!$C$2:$C$1001,$AQ899)="","",INDEX(Raw_D2!$C$2:$C$1001,$AQ899)),IF($AR899&lt;&gt;"",IF(INDEX(Raw_D3!$K$2:$K$1001,$AR899)="","",INDEX(Raw_D3!$K$2:$K$1001,$AR899)),"")))</f>
        <v>0.1515</v>
      </c>
      <c r="L899" s="16">
        <f>IF($A899="","",IF($AQ899&lt;&gt;"",IF(INDEX(Raw_D2!$D$2:$D$1001,$AQ899)="","",INDEX(Raw_D2!$D$2:$D$1001,$AQ899)),IF($AR899&lt;&gt;"",IF(INDEX(Raw_D3!$L$2:$L$1001,$AR899)="","",INDEX(Raw_D3!$L$2:$L$1001,$AR899)),"")))</f>
        <v>0.86</v>
      </c>
      <c r="M899" s="17">
        <f>IF($A899="","",IF($AQ899&lt;&gt;"",IF(INDEX(Raw_D2!$E$2:$E$1001,$AQ899)="","",INDEX(Raw_D2!$E$2:$E$1001,$AQ899)),IF($AR899&lt;&gt;"",IF(INDEX(Raw_D3!$M$2:$M$1001,$AR899)="","",INDEX(Raw_D3!$M$2:$M$1001,$AR899)),"")))</f>
        <v>0.1642</v>
      </c>
      <c r="N899" s="5">
        <f>IF($A899="","",IF($AQ899&lt;&gt;"",IF(INDEX(Raw_D2!$F$2:$F$1001,$AQ899)="","",INDEX(Raw_D2!$F$2:$F$1001,$AQ899)),IF($AR899&lt;&gt;"",IF(INDEX(Raw_D3!$N$2:$N$1001,$AR899)="","",INDEX(Raw_D3!$N$2:$N$1001,$AR899)),"")))</f>
        <v>0</v>
      </c>
      <c r="O899" s="5">
        <f>IF($A899="","",IF($AQ899&lt;&gt;"",IF(INDEX(Raw_D2!$G$2:$G$1001,$AQ899)="","",INDEX(Raw_D2!$G$2:$G$1001,$AQ899)),IF($AR899&lt;&gt;"",IF(INDEX(Raw_D3!$O$2:$O$1001,$AR899)="","",INDEX(Raw_D3!$O$2:$O$1001,$AR899)),"")))</f>
        <v>83</v>
      </c>
      <c r="P899" s="5">
        <f>IF($A899="","",IF($AQ899&lt;&gt;"",IF(INDEX(Raw_D2!$H$2:$H$1001,$AQ899)="","",INDEX(Raw_D2!$H$2:$H$1001,$AQ899)),IF($AR899&lt;&gt;"",IF(INDEX(Raw_D3!$P$2:$P$1001,$AR899)="","",INDEX(Raw_D3!$P$2:$P$1001,$AR899)),"")))</f>
        <v>83</v>
      </c>
      <c r="Q899" s="5" t="str">
        <f>IF($A899="","",IF(AND($AP899&lt;&gt;"",$AQ899&lt;&gt;""),"D1+D2",IF($AR899&lt;&gt;"","D3","Incomplete")))</f>
        <v>D3</v>
      </c>
      <c r="R899" s="17">
        <f>IF($A899="","",IF($K899="",IF($J899="","",ROUND(Lookups!$K$5+Lookups!$K$4*$J899,4)),$K899))</f>
        <v>0.1515</v>
      </c>
      <c r="S899" s="5" t="str">
        <f>IF($A899="","",IF($K899="","Imputed","Original"))</f>
        <v>Original</v>
      </c>
      <c r="T899" s="5" t="str">
        <f>IF($A899="","",IF($P899="","Missing",IF($P899=$N899+$O899,"OK","Mismatch")))</f>
        <v>OK</v>
      </c>
      <c r="U899" s="5" t="str">
        <f>IF($A899="","",IF(COUNTIF($A$2:$A899,$A899)&gt;1,"Duplicate","Unique"))</f>
        <v>Unique</v>
      </c>
      <c r="V899" s="5">
        <f>IF($A899="","",IF(AND($U899="Unique",ISNUMBER($P899)),1,0))</f>
        <v>1</v>
      </c>
      <c r="W899" s="5" t="str">
        <f>IF($A899="","",IF(OR($H899=0,$H899=6),"Weekend","Weekday"))</f>
        <v>Weekday</v>
      </c>
      <c r="X899" s="5" t="str">
        <f>IF($A899="","",TEXT($B899,"ddd"))</f>
        <v>Wed</v>
      </c>
      <c r="Y899" s="5" t="str">
        <f>IF($A899="","",TEXT($B899,"mmm"))</f>
        <v>Feb</v>
      </c>
      <c r="Z899" s="5" t="str">
        <f>IF($A899="","",IFERROR(VLOOKUP($C899,Lookups!$D$4:$E$7,2,FALSE),"Unknown"))</f>
        <v>Winter</v>
      </c>
      <c r="AA899" s="5" t="str">
        <f>IF($A899="","",IFERROR(VLOOKUP($I899,Lookups!$A$4:$B$7,2,FALSE),"Unknown"))</f>
        <v>Mist/Cloudy</v>
      </c>
      <c r="AB899" s="5" t="str">
        <f>IF($A899="","",TEXT($F899,"00")&amp;":00")</f>
        <v>21:00</v>
      </c>
      <c r="AC899" s="5" t="str">
        <f>IF($A899="","",VLOOKUP($F899,Lookups!$G$4:$H$8,2,TRUE))</f>
        <v>Late Evening (20-23)</v>
      </c>
      <c r="AD899" s="18">
        <f>IF($A899="","",IF($J899="","",ROUND($J899*41,1)))</f>
        <v>5.7</v>
      </c>
      <c r="AE899" s="18">
        <f>IF($A899="","",IF($R899="","",ROUND($R899*50,1)))</f>
        <v>7.6</v>
      </c>
      <c r="AF899" s="5">
        <f>IF($A899="","",IF($L899="","",ROUND($L899*100,0)))</f>
        <v>86</v>
      </c>
      <c r="AG899" s="18">
        <f>IF($A899="","",IF($M899="","",ROUND($M899*67,1)))</f>
        <v>11</v>
      </c>
      <c r="AH899" s="19">
        <f>IF($A899="","",IF($P899="","",IF($P899=0,0,$O899/$P899)))</f>
        <v>1</v>
      </c>
      <c r="AI899" s="5" t="str">
        <f>IF($A899="","",IF($P899="","",IF($P899&gt;=Lookups!$K$7,"High",IF($P899&lt;=Lookups!$K$8,"Low","Medium"))))</f>
        <v>High</v>
      </c>
      <c r="AJ899" s="5" t="str">
        <f>IF($A899="","",IF($AD899="","",IF($AD899&lt;5,"Under 5 C",IF($AD899&lt;10,"5-10 C",IF($AD899&lt;15,"10-15 C","15 C and above")))))</f>
        <v>5-10 C</v>
      </c>
      <c r="AK899" s="5">
        <f>IF($A899="","",IF($P899="","",$P899^2))</f>
        <v>6889</v>
      </c>
      <c r="AL899" s="18">
        <f>IF($V899&lt;&gt;1,"",AVERAGEIFS(Clean_Data!$P$2:$P$1001,Clean_Data!$F$2:$F$1001,$F899,Clean_Data!$W$2:$W$1001,$W899,Clean_Data!$V$2:$V$1001,1))</f>
        <v>50.8965517241379</v>
      </c>
      <c r="AM899" s="16">
        <f>IF($V899&lt;&gt;1,"",IFERROR(($P899-$AL899)/SQRT(MAX(0,(SUMIFS(Clean_Data!$AK$2:$AK$1001,Clean_Data!$F$2:$F$1001,$F899,Clean_Data!$W$2:$W$1001,$W899,Clean_Data!$V$2:$V$1001,1)-COUNTIFS(Clean_Data!$F$2:$F$1001,$F899,Clean_Data!$W$2:$W$1001,$W899,Clean_Data!$V$2:$V$1001,1)*$AL899^2)/(COUNTIFS(Clean_Data!$F$2:$F$1001,$F899,Clean_Data!$W$2:$W$1001,$W899,Clean_Data!$V$2:$V$1001,1)-1))),""))</f>
        <v>2.32494862709013</v>
      </c>
      <c r="AN899" s="5" t="str">
        <f>IF($AM899="","",IF($AM899&gt;=Lookups!$K$6,"High spike",IF($AM899&lt;=-Lookups!$K$6,"Unusual low","Normal")))</f>
        <v>Normal</v>
      </c>
      <c r="AO899" s="20">
        <f>IF($V899&lt;&gt;1,"",$P899+ROW()/100000)</f>
        <v>83.00899</v>
      </c>
      <c r="AP899" s="5">
        <f>IF($A899="","",IFERROR(MATCH($A899,Raw_D1!$A$2:$A$1001,0),""))</f>
        <v/>
      </c>
      <c r="AQ899" s="5">
        <f>IF($A899="","",IFERROR(MATCH($A899,Raw_D2!$B$2:$B$1001,0),""))</f>
        <v/>
      </c>
      <c r="AR899" s="5">
        <f>IF($A899="","",IFERROR(MATCH($A899,Raw_D3!$A$2:$A$1001,0),""))</f>
        <v>279</v>
      </c>
    </row>
    <row r="900" spans="1:44" x14ac:dyDescent="0.25">
      <c r="A900" s="5">
        <v>899</v>
      </c>
      <c r="B900" s="11">
        <f>IF($A900="","",IF($AP900&lt;&gt;"",INDEX(Raw_D1!$B$2:$B$1001,$AP900),IF($AR900&lt;&gt;"",INDEX(Raw_D3!$B$2:$B$1001,$AR900),"")))</f>
        <v>40583.0</v>
      </c>
      <c r="C900" s="5">
        <f>IF($A900="","",IF($AP900&lt;&gt;"",INDEX(Raw_D1!$C$2:$C$1001,$AP900),IF($AR900&lt;&gt;"",INDEX(Raw_D3!$C$2:$C$1001,$AR900),"")))</f>
        <v>1</v>
      </c>
      <c r="D900" s="5">
        <f>IF($A900="","",IF($AP900&lt;&gt;"",INDEX(Raw_D1!$D$2:$D$1001,$AP900),IF($AR900&lt;&gt;"",INDEX(Raw_D3!$D$2:$D$1001,$AR900),"")))</f>
        <v>0</v>
      </c>
      <c r="E900" s="5">
        <f>IF($A900="","",IF($AP900&lt;&gt;"",INDEX(Raw_D1!$E$2:$E$1001,$AP900),IF($AR900&lt;&gt;"",INDEX(Raw_D3!$E$2:$E$1001,$AR900),"")))</f>
        <v>2</v>
      </c>
      <c r="F900" s="5">
        <f>IF($A900="","",IF($AP900&lt;&gt;"",INDEX(Raw_D1!$F$2:$F$1001,$AP900),IF($AR900&lt;&gt;"",INDEX(Raw_D3!$F$2:$F$1001,$AR900),"")))</f>
        <v>22</v>
      </c>
      <c r="G900" s="5">
        <f>IF($A900="","",IF($AP900&lt;&gt;"",IF(INDEX(Raw_D1!$G$2:$G$1001,$AP900),1,0),IF($AR900&lt;&gt;"",IF(INDEX(Raw_D3!$G$2:$G$1001,$AR900),1,0),"")))</f>
        <v>0</v>
      </c>
      <c r="H900" s="5">
        <f>IF($A900="","",IF($AP900&lt;&gt;"",INDEX(Raw_D1!$H$2:$H$1001,$AP900),IF($AR900&lt;&gt;"",INDEX(Raw_D3!$H$2:$H$1001,$AR900),"")))</f>
        <v>3</v>
      </c>
      <c r="I900" s="5">
        <f>IF($A900="","",IF($AP900&lt;&gt;"",INDEX(Raw_D1!$I$2:$I$1001,$AP900),IF($AR900&lt;&gt;"",INDEX(Raw_D3!$I$2:$I$1001,$AR900),"")))</f>
        <v>3</v>
      </c>
      <c r="J900" s="16">
        <f>IF($A900="","",IF($AP900&lt;&gt;"",INDEX(Raw_D1!$J$2:$J$1001,$AP900),IF($AR900&lt;&gt;"",INDEX(Raw_D3!$J$2:$J$1001,$AR900),"")))</f>
        <v>0.16</v>
      </c>
      <c r="K900" s="17">
        <f>IF($A900="","",IF($AQ900&lt;&gt;"",IF(INDEX(Raw_D2!$C$2:$C$1001,$AQ900)="","",INDEX(Raw_D2!$C$2:$C$1001,$AQ900)),IF($AR900&lt;&gt;"",IF(INDEX(Raw_D3!$K$2:$K$1001,$AR900)="","",INDEX(Raw_D3!$K$2:$K$1001,$AR900)),"")))</f>
        <v>0.1667</v>
      </c>
      <c r="L900" s="16">
        <f>IF($A900="","",IF($AQ900&lt;&gt;"",IF(INDEX(Raw_D2!$D$2:$D$1001,$AQ900)="","",INDEX(Raw_D2!$D$2:$D$1001,$AQ900)),IF($AR900&lt;&gt;"",IF(INDEX(Raw_D3!$L$2:$L$1001,$AR900)="","",INDEX(Raw_D3!$L$2:$L$1001,$AR900)),"")))</f>
        <v>0.8</v>
      </c>
      <c r="M900" s="17">
        <f>IF($A900="","",IF($AQ900&lt;&gt;"",IF(INDEX(Raw_D2!$E$2:$E$1001,$AQ900)="","",INDEX(Raw_D2!$E$2:$E$1001,$AQ900)),IF($AR900&lt;&gt;"",IF(INDEX(Raw_D3!$M$2:$M$1001,$AR900)="","",INDEX(Raw_D3!$M$2:$M$1001,$AR900)),"")))</f>
        <v>0.1642</v>
      </c>
      <c r="N900" s="5">
        <f>IF($A900="","",IF($AQ900&lt;&gt;"",IF(INDEX(Raw_D2!$F$2:$F$1001,$AQ900)="","",INDEX(Raw_D2!$F$2:$F$1001,$AQ900)),IF($AR900&lt;&gt;"",IF(INDEX(Raw_D3!$N$2:$N$1001,$AR900)="","",INDEX(Raw_D3!$N$2:$N$1001,$AR900)),"")))</f>
        <v>4</v>
      </c>
      <c r="O900" s="5">
        <f>IF($A900="","",IF($AQ900&lt;&gt;"",IF(INDEX(Raw_D2!$G$2:$G$1001,$AQ900)="","",INDEX(Raw_D2!$G$2:$G$1001,$AQ900)),IF($AR900&lt;&gt;"",IF(INDEX(Raw_D3!$O$2:$O$1001,$AR900)="","",INDEX(Raw_D3!$O$2:$O$1001,$AR900)),"")))</f>
        <v>42</v>
      </c>
      <c r="P900" s="5">
        <f>IF($A900="","",IF($AQ900&lt;&gt;"",IF(INDEX(Raw_D2!$H$2:$H$1001,$AQ900)="","",INDEX(Raw_D2!$H$2:$H$1001,$AQ900)),IF($AR900&lt;&gt;"",IF(INDEX(Raw_D3!$P$2:$P$1001,$AR900)="","",INDEX(Raw_D3!$P$2:$P$1001,$AR900)),"")))</f>
        <v>46</v>
      </c>
      <c r="Q900" s="5" t="str">
        <f>IF($A900="","",IF(AND($AP900&lt;&gt;"",$AQ900&lt;&gt;""),"D1+D2",IF($AR900&lt;&gt;"","D3","Incomplete")))</f>
        <v>D3</v>
      </c>
      <c r="R900" s="17">
        <f>IF($A900="","",IF($K900="",IF($J900="","",ROUND(Lookups!$K$5+Lookups!$K$4*$J900,4)),$K900))</f>
        <v>0.1667</v>
      </c>
      <c r="S900" s="5" t="str">
        <f>IF($A900="","",IF($K900="","Imputed","Original"))</f>
        <v>Original</v>
      </c>
      <c r="T900" s="5" t="str">
        <f>IF($A900="","",IF($P900="","Missing",IF($P900=$N900+$O900,"OK","Mismatch")))</f>
        <v>OK</v>
      </c>
      <c r="U900" s="5" t="str">
        <f>IF($A900="","",IF(COUNTIF($A$2:$A900,$A900)&gt;1,"Duplicate","Unique"))</f>
        <v>Unique</v>
      </c>
      <c r="V900" s="5">
        <f>IF($A900="","",IF(AND($U900="Unique",ISNUMBER($P900)),1,0))</f>
        <v>1</v>
      </c>
      <c r="W900" s="5" t="str">
        <f>IF($A900="","",IF(OR($H900=0,$H900=6),"Weekend","Weekday"))</f>
        <v>Weekday</v>
      </c>
      <c r="X900" s="5" t="str">
        <f>IF($A900="","",TEXT($B900,"ddd"))</f>
        <v>Wed</v>
      </c>
      <c r="Y900" s="5" t="str">
        <f>IF($A900="","",TEXT($B900,"mmm"))</f>
        <v>Feb</v>
      </c>
      <c r="Z900" s="5" t="str">
        <f>IF($A900="","",IFERROR(VLOOKUP($C900,Lookups!$D$4:$E$7,2,FALSE),"Unknown"))</f>
        <v>Winter</v>
      </c>
      <c r="AA900" s="5" t="str">
        <f>IF($A900="","",IFERROR(VLOOKUP($I900,Lookups!$A$4:$B$7,2,FALSE),"Unknown"))</f>
        <v>Light Rain/Snow</v>
      </c>
      <c r="AB900" s="5" t="str">
        <f>IF($A900="","",TEXT($F900,"00")&amp;":00")</f>
        <v>22:00</v>
      </c>
      <c r="AC900" s="5" t="str">
        <f>IF($A900="","",VLOOKUP($F900,Lookups!$G$4:$H$8,2,TRUE))</f>
        <v>Late Evening (20-23)</v>
      </c>
      <c r="AD900" s="18">
        <f>IF($A900="","",IF($J900="","",ROUND($J900*41,1)))</f>
        <v>6.6</v>
      </c>
      <c r="AE900" s="18">
        <f>IF($A900="","",IF($R900="","",ROUND($R900*50,1)))</f>
        <v>8.3</v>
      </c>
      <c r="AF900" s="5">
        <f>IF($A900="","",IF($L900="","",ROUND($L900*100,0)))</f>
        <v>80</v>
      </c>
      <c r="AG900" s="18">
        <f>IF($A900="","",IF($M900="","",ROUND($M900*67,1)))</f>
        <v>11</v>
      </c>
      <c r="AH900" s="19">
        <f>IF($A900="","",IF($P900="","",IF($P900=0,0,$O900/$P900)))</f>
        <v>0.91304347826087</v>
      </c>
      <c r="AI900" s="5" t="str">
        <f>IF($A900="","",IF($P900="","",IF($P900&gt;=Lookups!$K$7,"High",IF($P900&lt;=Lookups!$K$8,"Low","Medium"))))</f>
        <v>Medium</v>
      </c>
      <c r="AJ900" s="5" t="str">
        <f>IF($A900="","",IF($AD900="","",IF($AD900&lt;5,"Under 5 C",IF($AD900&lt;10,"5-10 C",IF($AD900&lt;15,"10-15 C","15 C and above")))))</f>
        <v>5-10 C</v>
      </c>
      <c r="AK900" s="5">
        <f>IF($A900="","",IF($P900="","",$P900^2))</f>
        <v>2116</v>
      </c>
      <c r="AL900" s="18">
        <f>IF($V900&lt;&gt;1,"",AVERAGEIFS(Clean_Data!$P$2:$P$1001,Clean_Data!$F$2:$F$1001,$F900,Clean_Data!$W$2:$W$1001,$W900,Clean_Data!$V$2:$V$1001,1))</f>
        <v>37.1034482758621</v>
      </c>
      <c r="AM900" s="16">
        <f>IF($V900&lt;&gt;1,"",IFERROR(($P900-$AL900)/SQRT(MAX(0,(SUMIFS(Clean_Data!$AK$2:$AK$1001,Clean_Data!$F$2:$F$1001,$F900,Clean_Data!$W$2:$W$1001,$W900,Clean_Data!$V$2:$V$1001,1)-COUNTIFS(Clean_Data!$F$2:$F$1001,$F900,Clean_Data!$W$2:$W$1001,$W900,Clean_Data!$V$2:$V$1001,1)*$AL900^2)/(COUNTIFS(Clean_Data!$F$2:$F$1001,$F900,Clean_Data!$W$2:$W$1001,$W900,Clean_Data!$V$2:$V$1001,1)-1))),""))</f>
        <v>0.824162482612766</v>
      </c>
      <c r="AN900" s="5" t="str">
        <f>IF($AM900="","",IF($AM900&gt;=Lookups!$K$6,"High spike",IF($AM900&lt;=-Lookups!$K$6,"Unusual low","Normal")))</f>
        <v>Normal</v>
      </c>
      <c r="AO900" s="20">
        <f>IF($V900&lt;&gt;1,"",$P900+ROW()/100000)</f>
        <v>46.009</v>
      </c>
      <c r="AP900" s="5">
        <f>IF($A900="","",IFERROR(MATCH($A900,Raw_D1!$A$2:$A$1001,0),""))</f>
        <v/>
      </c>
      <c r="AQ900" s="5">
        <f>IF($A900="","",IFERROR(MATCH($A900,Raw_D2!$B$2:$B$1001,0),""))</f>
        <v/>
      </c>
      <c r="AR900" s="5">
        <f>IF($A900="","",IFERROR(MATCH($A900,Raw_D3!$A$2:$A$1001,0),""))</f>
        <v>280</v>
      </c>
    </row>
    <row r="901" spans="1:44" x14ac:dyDescent="0.25">
      <c r="A901" s="5">
        <v>900</v>
      </c>
      <c r="B901" s="11">
        <f>IF($A901="","",IF($AP901&lt;&gt;"",INDEX(Raw_D1!$B$2:$B$1001,$AP901),IF($AR901&lt;&gt;"",INDEX(Raw_D3!$B$2:$B$1001,$AR901),"")))</f>
        <v>40583.0</v>
      </c>
      <c r="C901" s="5">
        <f>IF($A901="","",IF($AP901&lt;&gt;"",INDEX(Raw_D1!$C$2:$C$1001,$AP901),IF($AR901&lt;&gt;"",INDEX(Raw_D3!$C$2:$C$1001,$AR901),"")))</f>
        <v>1</v>
      </c>
      <c r="D901" s="5">
        <f>IF($A901="","",IF($AP901&lt;&gt;"",INDEX(Raw_D1!$D$2:$D$1001,$AP901),IF($AR901&lt;&gt;"",INDEX(Raw_D3!$D$2:$D$1001,$AR901),"")))</f>
        <v>0</v>
      </c>
      <c r="E901" s="5">
        <f>IF($A901="","",IF($AP901&lt;&gt;"",INDEX(Raw_D1!$E$2:$E$1001,$AP901),IF($AR901&lt;&gt;"",INDEX(Raw_D3!$E$2:$E$1001,$AR901),"")))</f>
        <v>2</v>
      </c>
      <c r="F901" s="5">
        <f>IF($A901="","",IF($AP901&lt;&gt;"",INDEX(Raw_D1!$F$2:$F$1001,$AP901),IF($AR901&lt;&gt;"",INDEX(Raw_D3!$F$2:$F$1001,$AR901),"")))</f>
        <v>23</v>
      </c>
      <c r="G901" s="5">
        <f>IF($A901="","",IF($AP901&lt;&gt;"",IF(INDEX(Raw_D1!$G$2:$G$1001,$AP901),1,0),IF($AR901&lt;&gt;"",IF(INDEX(Raw_D3!$G$2:$G$1001,$AR901),1,0),"")))</f>
        <v>0</v>
      </c>
      <c r="H901" s="5">
        <f>IF($A901="","",IF($AP901&lt;&gt;"",INDEX(Raw_D1!$H$2:$H$1001,$AP901),IF($AR901&lt;&gt;"",INDEX(Raw_D3!$H$2:$H$1001,$AR901),"")))</f>
        <v>3</v>
      </c>
      <c r="I901" s="5">
        <f>IF($A901="","",IF($AP901&lt;&gt;"",INDEX(Raw_D1!$I$2:$I$1001,$AP901),IF($AR901&lt;&gt;"",INDEX(Raw_D3!$I$2:$I$1001,$AR901),"")))</f>
        <v>3</v>
      </c>
      <c r="J901" s="16">
        <f>IF($A901="","",IF($AP901&lt;&gt;"",INDEX(Raw_D1!$J$2:$J$1001,$AP901),IF($AR901&lt;&gt;"",INDEX(Raw_D3!$J$2:$J$1001,$AR901),"")))</f>
        <v>0.16</v>
      </c>
      <c r="K901" s="17">
        <f>IF($A901="","",IF($AQ901&lt;&gt;"",IF(INDEX(Raw_D2!$C$2:$C$1001,$AQ901)="","",INDEX(Raw_D2!$C$2:$C$1001,$AQ901)),IF($AR901&lt;&gt;"",IF(INDEX(Raw_D3!$K$2:$K$1001,$AR901)="","",INDEX(Raw_D3!$K$2:$K$1001,$AR901)),"")))</f>
        <v>0.1515</v>
      </c>
      <c r="L901" s="16">
        <f>IF($A901="","",IF($AQ901&lt;&gt;"",IF(INDEX(Raw_D2!$D$2:$D$1001,$AQ901)="","",INDEX(Raw_D2!$D$2:$D$1001,$AQ901)),IF($AR901&lt;&gt;"",IF(INDEX(Raw_D3!$L$2:$L$1001,$AR901)="","",INDEX(Raw_D3!$L$2:$L$1001,$AR901)),"")))</f>
        <v>0.8</v>
      </c>
      <c r="M901" s="17">
        <f>IF($A901="","",IF($AQ901&lt;&gt;"",IF(INDEX(Raw_D2!$E$2:$E$1001,$AQ901)="","",INDEX(Raw_D2!$E$2:$E$1001,$AQ901)),IF($AR901&lt;&gt;"",IF(INDEX(Raw_D3!$M$2:$M$1001,$AR901)="","",INDEX(Raw_D3!$M$2:$M$1001,$AR901)),"")))</f>
        <v>0.194</v>
      </c>
      <c r="N901" s="5">
        <f>IF($A901="","",IF($AQ901&lt;&gt;"",IF(INDEX(Raw_D2!$F$2:$F$1001,$AQ901)="","",INDEX(Raw_D2!$F$2:$F$1001,$AQ901)),IF($AR901&lt;&gt;"",IF(INDEX(Raw_D3!$N$2:$N$1001,$AR901)="","",INDEX(Raw_D3!$N$2:$N$1001,$AR901)),"")))</f>
        <v>0</v>
      </c>
      <c r="O901" s="5">
        <f>IF($A901="","",IF($AQ901&lt;&gt;"",IF(INDEX(Raw_D2!$G$2:$G$1001,$AQ901)="","",INDEX(Raw_D2!$G$2:$G$1001,$AQ901)),IF($AR901&lt;&gt;"",IF(INDEX(Raw_D3!$O$2:$O$1001,$AR901)="","",INDEX(Raw_D3!$O$2:$O$1001,$AR901)),"")))</f>
        <v>37</v>
      </c>
      <c r="P901" s="5">
        <f>IF($A901="","",IF($AQ901&lt;&gt;"",IF(INDEX(Raw_D2!$H$2:$H$1001,$AQ901)="","",INDEX(Raw_D2!$H$2:$H$1001,$AQ901)),IF($AR901&lt;&gt;"",IF(INDEX(Raw_D3!$P$2:$P$1001,$AR901)="","",INDEX(Raw_D3!$P$2:$P$1001,$AR901)),"")))</f>
        <v>37</v>
      </c>
      <c r="Q901" s="5" t="str">
        <f>IF($A901="","",IF(AND($AP901&lt;&gt;"",$AQ901&lt;&gt;""),"D1+D2",IF($AR901&lt;&gt;"","D3","Incomplete")))</f>
        <v>D3</v>
      </c>
      <c r="R901" s="17">
        <f>IF($A901="","",IF($K901="",IF($J901="","",ROUND(Lookups!$K$5+Lookups!$K$4*$J901,4)),$K901))</f>
        <v>0.1515</v>
      </c>
      <c r="S901" s="5" t="str">
        <f>IF($A901="","",IF($K901="","Imputed","Original"))</f>
        <v>Original</v>
      </c>
      <c r="T901" s="5" t="str">
        <f>IF($A901="","",IF($P901="","Missing",IF($P901=$N901+$O901,"OK","Mismatch")))</f>
        <v>OK</v>
      </c>
      <c r="U901" s="5" t="str">
        <f>IF($A901="","",IF(COUNTIF($A$2:$A901,$A901)&gt;1,"Duplicate","Unique"))</f>
        <v>Unique</v>
      </c>
      <c r="V901" s="5">
        <f>IF($A901="","",IF(AND($U901="Unique",ISNUMBER($P901)),1,0))</f>
        <v>1</v>
      </c>
      <c r="W901" s="5" t="str">
        <f>IF($A901="","",IF(OR($H901=0,$H901=6),"Weekend","Weekday"))</f>
        <v>Weekday</v>
      </c>
      <c r="X901" s="5" t="str">
        <f>IF($A901="","",TEXT($B901,"ddd"))</f>
        <v>Wed</v>
      </c>
      <c r="Y901" s="5" t="str">
        <f>IF($A901="","",TEXT($B901,"mmm"))</f>
        <v>Feb</v>
      </c>
      <c r="Z901" s="5" t="str">
        <f>IF($A901="","",IFERROR(VLOOKUP($C901,Lookups!$D$4:$E$7,2,FALSE),"Unknown"))</f>
        <v>Winter</v>
      </c>
      <c r="AA901" s="5" t="str">
        <f>IF($A901="","",IFERROR(VLOOKUP($I901,Lookups!$A$4:$B$7,2,FALSE),"Unknown"))</f>
        <v>Light Rain/Snow</v>
      </c>
      <c r="AB901" s="5" t="str">
        <f>IF($A901="","",TEXT($F901,"00")&amp;":00")</f>
        <v>23:00</v>
      </c>
      <c r="AC901" s="5" t="str">
        <f>IF($A901="","",VLOOKUP($F901,Lookups!$G$4:$H$8,2,TRUE))</f>
        <v>Late Evening (20-23)</v>
      </c>
      <c r="AD901" s="18">
        <f>IF($A901="","",IF($J901="","",ROUND($J901*41,1)))</f>
        <v>6.6</v>
      </c>
      <c r="AE901" s="18">
        <f>IF($A901="","",IF($R901="","",ROUND($R901*50,1)))</f>
        <v>7.6</v>
      </c>
      <c r="AF901" s="5">
        <f>IF($A901="","",IF($L901="","",ROUND($L901*100,0)))</f>
        <v>80</v>
      </c>
      <c r="AG901" s="18">
        <f>IF($A901="","",IF($M901="","",ROUND($M901*67,1)))</f>
        <v>13</v>
      </c>
      <c r="AH901" s="19">
        <f>IF($A901="","",IF($P901="","",IF($P901=0,0,$O901/$P901)))</f>
        <v>1</v>
      </c>
      <c r="AI901" s="5" t="str">
        <f>IF($A901="","",IF($P901="","",IF($P901&gt;=Lookups!$K$7,"High",IF($P901&lt;=Lookups!$K$8,"Low","Medium"))))</f>
        <v>Medium</v>
      </c>
      <c r="AJ901" s="5" t="str">
        <f>IF($A901="","",IF($AD901="","",IF($AD901&lt;5,"Under 5 C",IF($AD901&lt;10,"5-10 C",IF($AD901&lt;15,"10-15 C","15 C and above")))))</f>
        <v>5-10 C</v>
      </c>
      <c r="AK901" s="5">
        <f>IF($A901="","",IF($P901="","",$P901^2))</f>
        <v>1369</v>
      </c>
      <c r="AL901" s="18">
        <f>IF($V901&lt;&gt;1,"",AVERAGEIFS(Clean_Data!$P$2:$P$1001,Clean_Data!$F$2:$F$1001,$F901,Clean_Data!$W$2:$W$1001,$W901,Clean_Data!$V$2:$V$1001,1))</f>
        <v>23.6896551724138</v>
      </c>
      <c r="AM901" s="16">
        <f>IF($V901&lt;&gt;1,"",IFERROR(($P901-$AL901)/SQRT(MAX(0,(SUMIFS(Clean_Data!$AK$2:$AK$1001,Clean_Data!$F$2:$F$1001,$F901,Clean_Data!$W$2:$W$1001,$W901,Clean_Data!$V$2:$V$1001,1)-COUNTIFS(Clean_Data!$F$2:$F$1001,$F901,Clean_Data!$W$2:$W$1001,$W901,Clean_Data!$V$2:$V$1001,1)*$AL901^2)/(COUNTIFS(Clean_Data!$F$2:$F$1001,$F901,Clean_Data!$W$2:$W$1001,$W901,Clean_Data!$V$2:$V$1001,1)-1))),""))</f>
        <v>1.27070018332236</v>
      </c>
      <c r="AN901" s="5" t="str">
        <f>IF($AM901="","",IF($AM901&gt;=Lookups!$K$6,"High spike",IF($AM901&lt;=-Lookups!$K$6,"Unusual low","Normal")))</f>
        <v>Normal</v>
      </c>
      <c r="AO901" s="20">
        <f>IF($V901&lt;&gt;1,"",$P901+ROW()/100000)</f>
        <v>37.00901</v>
      </c>
      <c r="AP901" s="5">
        <f>IF($A901="","",IFERROR(MATCH($A901,Raw_D1!$A$2:$A$1001,0),""))</f>
        <v/>
      </c>
      <c r="AQ901" s="5">
        <f>IF($A901="","",IFERROR(MATCH($A901,Raw_D2!$B$2:$B$1001,0),""))</f>
        <v/>
      </c>
      <c r="AR901" s="5">
        <f>IF($A901="","",IFERROR(MATCH($A901,Raw_D3!$A$2:$A$1001,0),""))</f>
        <v>281</v>
      </c>
    </row>
    <row r="902" spans="1:44" x14ac:dyDescent="0.25">
      <c r="A902" s="5">
        <v>901</v>
      </c>
      <c r="B902" s="11">
        <f>IF($A902="","",IF($AP902&lt;&gt;"",INDEX(Raw_D1!$B$2:$B$1001,$AP902),IF($AR902&lt;&gt;"",INDEX(Raw_D3!$B$2:$B$1001,$AR902),"")))</f>
        <v>40584.0</v>
      </c>
      <c r="C902" s="5">
        <f>IF($A902="","",IF($AP902&lt;&gt;"",INDEX(Raw_D1!$C$2:$C$1001,$AP902),IF($AR902&lt;&gt;"",INDEX(Raw_D3!$C$2:$C$1001,$AR902),"")))</f>
        <v>1</v>
      </c>
      <c r="D902" s="5">
        <f>IF($A902="","",IF($AP902&lt;&gt;"",INDEX(Raw_D1!$D$2:$D$1001,$AP902),IF($AR902&lt;&gt;"",INDEX(Raw_D3!$D$2:$D$1001,$AR902),"")))</f>
        <v>0</v>
      </c>
      <c r="E902" s="5">
        <f>IF($A902="","",IF($AP902&lt;&gt;"",INDEX(Raw_D1!$E$2:$E$1001,$AP902),IF($AR902&lt;&gt;"",INDEX(Raw_D3!$E$2:$E$1001,$AR902),"")))</f>
        <v>2</v>
      </c>
      <c r="F902" s="5">
        <f>IF($A902="","",IF($AP902&lt;&gt;"",INDEX(Raw_D1!$F$2:$F$1001,$AP902),IF($AR902&lt;&gt;"",INDEX(Raw_D3!$F$2:$F$1001,$AR902),"")))</f>
        <v>0</v>
      </c>
      <c r="G902" s="5">
        <f>IF($A902="","",IF($AP902&lt;&gt;"",IF(INDEX(Raw_D1!$G$2:$G$1001,$AP902),1,0),IF($AR902&lt;&gt;"",IF(INDEX(Raw_D3!$G$2:$G$1001,$AR902),1,0),"")))</f>
        <v>0</v>
      </c>
      <c r="H902" s="5">
        <f>IF($A902="","",IF($AP902&lt;&gt;"",INDEX(Raw_D1!$H$2:$H$1001,$AP902),IF($AR902&lt;&gt;"",INDEX(Raw_D3!$H$2:$H$1001,$AR902),"")))</f>
        <v>4</v>
      </c>
      <c r="I902" s="5">
        <f>IF($A902="","",IF($AP902&lt;&gt;"",INDEX(Raw_D1!$I$2:$I$1001,$AP902),IF($AR902&lt;&gt;"",INDEX(Raw_D3!$I$2:$I$1001,$AR902),"")))</f>
        <v>3</v>
      </c>
      <c r="J902" s="16">
        <f>IF($A902="","",IF($AP902&lt;&gt;"",INDEX(Raw_D1!$J$2:$J$1001,$AP902),IF($AR902&lt;&gt;"",INDEX(Raw_D3!$J$2:$J$1001,$AR902),"")))</f>
        <v>0.14</v>
      </c>
      <c r="K902" s="17">
        <f>IF($A902="","",IF($AQ902&lt;&gt;"",IF(INDEX(Raw_D2!$C$2:$C$1001,$AQ902)="","",INDEX(Raw_D2!$C$2:$C$1001,$AQ902)),IF($AR902&lt;&gt;"",IF(INDEX(Raw_D3!$K$2:$K$1001,$AR902)="","",INDEX(Raw_D3!$K$2:$K$1001,$AR902)),"")))</f>
        <v>0.1364</v>
      </c>
      <c r="L902" s="16">
        <f>IF($A902="","",IF($AQ902&lt;&gt;"",IF(INDEX(Raw_D2!$D$2:$D$1001,$AQ902)="","",INDEX(Raw_D2!$D$2:$D$1001,$AQ902)),IF($AR902&lt;&gt;"",IF(INDEX(Raw_D3!$L$2:$L$1001,$AR902)="","",INDEX(Raw_D3!$L$2:$L$1001,$AR902)),"")))</f>
        <v>0.86</v>
      </c>
      <c r="M902" s="17">
        <f>IF($A902="","",IF($AQ902&lt;&gt;"",IF(INDEX(Raw_D2!$E$2:$E$1001,$AQ902)="","",INDEX(Raw_D2!$E$2:$E$1001,$AQ902)),IF($AR902&lt;&gt;"",IF(INDEX(Raw_D3!$M$2:$M$1001,$AR902)="","",INDEX(Raw_D3!$M$2:$M$1001,$AR902)),"")))</f>
        <v>0.194</v>
      </c>
      <c r="N902" s="5">
        <f>IF($A902="","",IF($AQ902&lt;&gt;"",IF(INDEX(Raw_D2!$F$2:$F$1001,$AQ902)="","",INDEX(Raw_D2!$F$2:$F$1001,$AQ902)),IF($AR902&lt;&gt;"",IF(INDEX(Raw_D3!$N$2:$N$1001,$AR902)="","",INDEX(Raw_D3!$N$2:$N$1001,$AR902)),"")))</f>
        <v>0</v>
      </c>
      <c r="O902" s="5">
        <f>IF($A902="","",IF($AQ902&lt;&gt;"",IF(INDEX(Raw_D2!$G$2:$G$1001,$AQ902)="","",INDEX(Raw_D2!$G$2:$G$1001,$AQ902)),IF($AR902&lt;&gt;"",IF(INDEX(Raw_D3!$O$2:$O$1001,$AR902)="","",INDEX(Raw_D3!$O$2:$O$1001,$AR902)),"")))</f>
        <v>16</v>
      </c>
      <c r="P902" s="5">
        <f>IF($A902="","",IF($AQ902&lt;&gt;"",IF(INDEX(Raw_D2!$H$2:$H$1001,$AQ902)="","",INDEX(Raw_D2!$H$2:$H$1001,$AQ902)),IF($AR902&lt;&gt;"",IF(INDEX(Raw_D3!$P$2:$P$1001,$AR902)="","",INDEX(Raw_D3!$P$2:$P$1001,$AR902)),"")))</f>
        <v>16</v>
      </c>
      <c r="Q902" s="5" t="str">
        <f>IF($A902="","",IF(AND($AP902&lt;&gt;"",$AQ902&lt;&gt;""),"D1+D2",IF($AR902&lt;&gt;"","D3","Incomplete")))</f>
        <v>D3</v>
      </c>
      <c r="R902" s="17">
        <f>IF($A902="","",IF($K902="",IF($J902="","",ROUND(Lookups!$K$5+Lookups!$K$4*$J902,4)),$K902))</f>
        <v>0.1364</v>
      </c>
      <c r="S902" s="5" t="str">
        <f>IF($A902="","",IF($K902="","Imputed","Original"))</f>
        <v>Original</v>
      </c>
      <c r="T902" s="5" t="str">
        <f>IF($A902="","",IF($P902="","Missing",IF($P902=$N902+$O902,"OK","Mismatch")))</f>
        <v>OK</v>
      </c>
      <c r="U902" s="5" t="str">
        <f>IF($A902="","",IF(COUNTIF($A$2:$A902,$A902)&gt;1,"Duplicate","Unique"))</f>
        <v>Unique</v>
      </c>
      <c r="V902" s="5">
        <f>IF($A902="","",IF(AND($U902="Unique",ISNUMBER($P902)),1,0))</f>
        <v>1</v>
      </c>
      <c r="W902" s="5" t="str">
        <f>IF($A902="","",IF(OR($H902=0,$H902=6),"Weekend","Weekday"))</f>
        <v>Weekday</v>
      </c>
      <c r="X902" s="5" t="str">
        <f>IF($A902="","",TEXT($B902,"ddd"))</f>
        <v>Thu</v>
      </c>
      <c r="Y902" s="5" t="str">
        <f>IF($A902="","",TEXT($B902,"mmm"))</f>
        <v>Feb</v>
      </c>
      <c r="Z902" s="5" t="str">
        <f>IF($A902="","",IFERROR(VLOOKUP($C902,Lookups!$D$4:$E$7,2,FALSE),"Unknown"))</f>
        <v>Winter</v>
      </c>
      <c r="AA902" s="5" t="str">
        <f>IF($A902="","",IFERROR(VLOOKUP($I902,Lookups!$A$4:$B$7,2,FALSE),"Unknown"))</f>
        <v>Light Rain/Snow</v>
      </c>
      <c r="AB902" s="5" t="str">
        <f>IF($A902="","",TEXT($F902,"00")&amp;":00")</f>
        <v>00:00</v>
      </c>
      <c r="AC902" s="5" t="str">
        <f>IF($A902="","",VLOOKUP($F902,Lookups!$G$4:$H$8,2,TRUE))</f>
        <v>Night (00-05)</v>
      </c>
      <c r="AD902" s="18">
        <f>IF($A902="","",IF($J902="","",ROUND($J902*41,1)))</f>
        <v>5.7</v>
      </c>
      <c r="AE902" s="18">
        <f>IF($A902="","",IF($R902="","",ROUND($R902*50,1)))</f>
        <v>6.8</v>
      </c>
      <c r="AF902" s="5">
        <f>IF($A902="","",IF($L902="","",ROUND($L902*100,0)))</f>
        <v>86</v>
      </c>
      <c r="AG902" s="18">
        <f>IF($A902="","",IF($M902="","",ROUND($M902*67,1)))</f>
        <v>13</v>
      </c>
      <c r="AH902" s="19">
        <f>IF($A902="","",IF($P902="","",IF($P902=0,0,$O902/$P902)))</f>
        <v>1</v>
      </c>
      <c r="AI902" s="5" t="str">
        <f>IF($A902="","",IF($P902="","",IF($P902&gt;=Lookups!$K$7,"High",IF($P902&lt;=Lookups!$K$8,"Low","Medium"))))</f>
        <v>Low</v>
      </c>
      <c r="AJ902" s="5" t="str">
        <f>IF($A902="","",IF($AD902="","",IF($AD902&lt;5,"Under 5 C",IF($AD902&lt;10,"5-10 C",IF($AD902&lt;15,"10-15 C","15 C and above")))))</f>
        <v>5-10 C</v>
      </c>
      <c r="AK902" s="5">
        <f>IF($A902="","",IF($P902="","",$P902^2))</f>
        <v>256</v>
      </c>
      <c r="AL902" s="18">
        <f>IF($V902&lt;&gt;1,"",AVERAGEIFS(Clean_Data!$P$2:$P$1001,Clean_Data!$F$2:$F$1001,$F902,Clean_Data!$W$2:$W$1001,$W902,Clean_Data!$V$2:$V$1001,1))</f>
        <v>10.6896551724138</v>
      </c>
      <c r="AM902" s="16">
        <f>IF($V902&lt;&gt;1,"",IFERROR(($P902-$AL902)/SQRT(MAX(0,(SUMIFS(Clean_Data!$AK$2:$AK$1001,Clean_Data!$F$2:$F$1001,$F902,Clean_Data!$W$2:$W$1001,$W902,Clean_Data!$V$2:$V$1001,1)-COUNTIFS(Clean_Data!$F$2:$F$1001,$F902,Clean_Data!$W$2:$W$1001,$W902,Clean_Data!$V$2:$V$1001,1)*$AL902^2)/(COUNTIFS(Clean_Data!$F$2:$F$1001,$F902,Clean_Data!$W$2:$W$1001,$W902,Clean_Data!$V$2:$V$1001,1)-1))),""))</f>
        <v>1.08541868217187</v>
      </c>
      <c r="AN902" s="5" t="str">
        <f>IF($AM902="","",IF($AM902&gt;=Lookups!$K$6,"High spike",IF($AM902&lt;=-Lookups!$K$6,"Unusual low","Normal")))</f>
        <v>Normal</v>
      </c>
      <c r="AO902" s="20">
        <f>IF($V902&lt;&gt;1,"",$P902+ROW()/100000)</f>
        <v>16.00902</v>
      </c>
      <c r="AP902" s="5">
        <f>IF($A902="","",IFERROR(MATCH($A902,Raw_D1!$A$2:$A$1001,0),""))</f>
        <v/>
      </c>
      <c r="AQ902" s="5">
        <f>IF($A902="","",IFERROR(MATCH($A902,Raw_D2!$B$2:$B$1001,0),""))</f>
        <v/>
      </c>
      <c r="AR902" s="5">
        <f>IF($A902="","",IFERROR(MATCH($A902,Raw_D3!$A$2:$A$1001,0),""))</f>
        <v>282</v>
      </c>
    </row>
    <row r="903" spans="1:44" x14ac:dyDescent="0.25">
      <c r="A903" s="5">
        <v>902</v>
      </c>
      <c r="B903" s="11">
        <f>IF($A903="","",IF($AP903&lt;&gt;"",INDEX(Raw_D1!$B$2:$B$1001,$AP903),IF($AR903&lt;&gt;"",INDEX(Raw_D3!$B$2:$B$1001,$AR903),"")))</f>
        <v>40584.0</v>
      </c>
      <c r="C903" s="5">
        <f>IF($A903="","",IF($AP903&lt;&gt;"",INDEX(Raw_D1!$C$2:$C$1001,$AP903),IF($AR903&lt;&gt;"",INDEX(Raw_D3!$C$2:$C$1001,$AR903),"")))</f>
        <v>1</v>
      </c>
      <c r="D903" s="5">
        <f>IF($A903="","",IF($AP903&lt;&gt;"",INDEX(Raw_D1!$D$2:$D$1001,$AP903),IF($AR903&lt;&gt;"",INDEX(Raw_D3!$D$2:$D$1001,$AR903),"")))</f>
        <v>0</v>
      </c>
      <c r="E903" s="5">
        <f>IF($A903="","",IF($AP903&lt;&gt;"",INDEX(Raw_D1!$E$2:$E$1001,$AP903),IF($AR903&lt;&gt;"",INDEX(Raw_D3!$E$2:$E$1001,$AR903),"")))</f>
        <v>2</v>
      </c>
      <c r="F903" s="5">
        <f>IF($A903="","",IF($AP903&lt;&gt;"",INDEX(Raw_D1!$F$2:$F$1001,$AP903),IF($AR903&lt;&gt;"",INDEX(Raw_D3!$F$2:$F$1001,$AR903),"")))</f>
        <v>1</v>
      </c>
      <c r="G903" s="5">
        <f>IF($A903="","",IF($AP903&lt;&gt;"",IF(INDEX(Raw_D1!$G$2:$G$1001,$AP903),1,0),IF($AR903&lt;&gt;"",IF(INDEX(Raw_D3!$G$2:$G$1001,$AR903),1,0),"")))</f>
        <v>0</v>
      </c>
      <c r="H903" s="5">
        <f>IF($A903="","",IF($AP903&lt;&gt;"",INDEX(Raw_D1!$H$2:$H$1001,$AP903),IF($AR903&lt;&gt;"",INDEX(Raw_D3!$H$2:$H$1001,$AR903),"")))</f>
        <v>4</v>
      </c>
      <c r="I903" s="5">
        <f>IF($A903="","",IF($AP903&lt;&gt;"",INDEX(Raw_D1!$I$2:$I$1001,$AP903),IF($AR903&lt;&gt;"",INDEX(Raw_D3!$I$2:$I$1001,$AR903),"")))</f>
        <v>3</v>
      </c>
      <c r="J903" s="16">
        <f>IF($A903="","",IF($AP903&lt;&gt;"",INDEX(Raw_D1!$J$2:$J$1001,$AP903),IF($AR903&lt;&gt;"",INDEX(Raw_D3!$J$2:$J$1001,$AR903),"")))</f>
        <v>0.14</v>
      </c>
      <c r="K903" s="17">
        <f>IF($A903="","",IF($AQ903&lt;&gt;"",IF(INDEX(Raw_D2!$C$2:$C$1001,$AQ903)="","",INDEX(Raw_D2!$C$2:$C$1001,$AQ903)),IF($AR903&lt;&gt;"",IF(INDEX(Raw_D3!$K$2:$K$1001,$AR903)="","",INDEX(Raw_D3!$K$2:$K$1001,$AR903)),"")))</f>
        <v>0.1515</v>
      </c>
      <c r="L903" s="16">
        <f>IF($A903="","",IF($AQ903&lt;&gt;"",IF(INDEX(Raw_D2!$D$2:$D$1001,$AQ903)="","",INDEX(Raw_D2!$D$2:$D$1001,$AQ903)),IF($AR903&lt;&gt;"",IF(INDEX(Raw_D3!$L$2:$L$1001,$AR903)="","",INDEX(Raw_D3!$L$2:$L$1001,$AR903)),"")))</f>
        <v>0.8</v>
      </c>
      <c r="M903" s="17">
        <f>IF($A903="","",IF($AQ903&lt;&gt;"",IF(INDEX(Raw_D2!$E$2:$E$1001,$AQ903)="","",INDEX(Raw_D2!$E$2:$E$1001,$AQ903)),IF($AR903&lt;&gt;"",IF(INDEX(Raw_D3!$M$2:$M$1001,$AR903)="","",INDEX(Raw_D3!$M$2:$M$1001,$AR903)),"")))</f>
        <v>0.1343</v>
      </c>
      <c r="N903" s="5">
        <f>IF($A903="","",IF($AQ903&lt;&gt;"",IF(INDEX(Raw_D2!$F$2:$F$1001,$AQ903)="","",INDEX(Raw_D2!$F$2:$F$1001,$AQ903)),IF($AR903&lt;&gt;"",IF(INDEX(Raw_D3!$N$2:$N$1001,$AR903)="","",INDEX(Raw_D3!$N$2:$N$1001,$AR903)),"")))</f>
        <v>0</v>
      </c>
      <c r="O903" s="5">
        <f>IF($A903="","",IF($AQ903&lt;&gt;"",IF(INDEX(Raw_D2!$G$2:$G$1001,$AQ903)="","",INDEX(Raw_D2!$G$2:$G$1001,$AQ903)),IF($AR903&lt;&gt;"",IF(INDEX(Raw_D3!$O$2:$O$1001,$AR903)="","",INDEX(Raw_D3!$O$2:$O$1001,$AR903)),"")))</f>
        <v>7</v>
      </c>
      <c r="P903" s="5">
        <f>IF($A903="","",IF($AQ903&lt;&gt;"",IF(INDEX(Raw_D2!$H$2:$H$1001,$AQ903)="","",INDEX(Raw_D2!$H$2:$H$1001,$AQ903)),IF($AR903&lt;&gt;"",IF(INDEX(Raw_D3!$P$2:$P$1001,$AR903)="","",INDEX(Raw_D3!$P$2:$P$1001,$AR903)),"")))</f>
        <v>7</v>
      </c>
      <c r="Q903" s="5" t="str">
        <f>IF($A903="","",IF(AND($AP903&lt;&gt;"",$AQ903&lt;&gt;""),"D1+D2",IF($AR903&lt;&gt;"","D3","Incomplete")))</f>
        <v>D3</v>
      </c>
      <c r="R903" s="17">
        <f>IF($A903="","",IF($K903="",IF($J903="","",ROUND(Lookups!$K$5+Lookups!$K$4*$J903,4)),$K903))</f>
        <v>0.1515</v>
      </c>
      <c r="S903" s="5" t="str">
        <f>IF($A903="","",IF($K903="","Imputed","Original"))</f>
        <v>Original</v>
      </c>
      <c r="T903" s="5" t="str">
        <f>IF($A903="","",IF($P903="","Missing",IF($P903=$N903+$O903,"OK","Mismatch")))</f>
        <v>OK</v>
      </c>
      <c r="U903" s="5" t="str">
        <f>IF($A903="","",IF(COUNTIF($A$2:$A903,$A903)&gt;1,"Duplicate","Unique"))</f>
        <v>Unique</v>
      </c>
      <c r="V903" s="5">
        <f>IF($A903="","",IF(AND($U903="Unique",ISNUMBER($P903)),1,0))</f>
        <v>1</v>
      </c>
      <c r="W903" s="5" t="str">
        <f>IF($A903="","",IF(OR($H903=0,$H903=6),"Weekend","Weekday"))</f>
        <v>Weekday</v>
      </c>
      <c r="X903" s="5" t="str">
        <f>IF($A903="","",TEXT($B903,"ddd"))</f>
        <v>Thu</v>
      </c>
      <c r="Y903" s="5" t="str">
        <f>IF($A903="","",TEXT($B903,"mmm"))</f>
        <v>Feb</v>
      </c>
      <c r="Z903" s="5" t="str">
        <f>IF($A903="","",IFERROR(VLOOKUP($C903,Lookups!$D$4:$E$7,2,FALSE),"Unknown"))</f>
        <v>Winter</v>
      </c>
      <c r="AA903" s="5" t="str">
        <f>IF($A903="","",IFERROR(VLOOKUP($I903,Lookups!$A$4:$B$7,2,FALSE),"Unknown"))</f>
        <v>Light Rain/Snow</v>
      </c>
      <c r="AB903" s="5" t="str">
        <f>IF($A903="","",TEXT($F903,"00")&amp;":00")</f>
        <v>01:00</v>
      </c>
      <c r="AC903" s="5" t="str">
        <f>IF($A903="","",VLOOKUP($F903,Lookups!$G$4:$H$8,2,TRUE))</f>
        <v>Night (00-05)</v>
      </c>
      <c r="AD903" s="18">
        <f>IF($A903="","",IF($J903="","",ROUND($J903*41,1)))</f>
        <v>5.7</v>
      </c>
      <c r="AE903" s="18">
        <f>IF($A903="","",IF($R903="","",ROUND($R903*50,1)))</f>
        <v>7.6</v>
      </c>
      <c r="AF903" s="5">
        <f>IF($A903="","",IF($L903="","",ROUND($L903*100,0)))</f>
        <v>80</v>
      </c>
      <c r="AG903" s="18">
        <f>IF($A903="","",IF($M903="","",ROUND($M903*67,1)))</f>
        <v>9</v>
      </c>
      <c r="AH903" s="19">
        <f>IF($A903="","",IF($P903="","",IF($P903=0,0,$O903/$P903)))</f>
        <v>1</v>
      </c>
      <c r="AI903" s="5" t="str">
        <f>IF($A903="","",IF($P903="","",IF($P903&gt;=Lookups!$K$7,"High",IF($P903&lt;=Lookups!$K$8,"Low","Medium"))))</f>
        <v>Low</v>
      </c>
      <c r="AJ903" s="5" t="str">
        <f>IF($A903="","",IF($AD903="","",IF($AD903&lt;5,"Under 5 C",IF($AD903&lt;10,"5-10 C",IF($AD903&lt;15,"10-15 C","15 C and above")))))</f>
        <v>5-10 C</v>
      </c>
      <c r="AK903" s="5">
        <f>IF($A903="","",IF($P903="","",$P903^2))</f>
        <v>49</v>
      </c>
      <c r="AL903" s="18">
        <f>IF($V903&lt;&gt;1,"",AVERAGEIFS(Clean_Data!$P$2:$P$1001,Clean_Data!$F$2:$F$1001,$F903,Clean_Data!$W$2:$W$1001,$W903,Clean_Data!$V$2:$V$1001,1))</f>
        <v>5.10344827586207</v>
      </c>
      <c r="AM903" s="16">
        <f>IF($V903&lt;&gt;1,"",IFERROR(($P903-$AL903)/SQRT(MAX(0,(SUMIFS(Clean_Data!$AK$2:$AK$1001,Clean_Data!$F$2:$F$1001,$F903,Clean_Data!$W$2:$W$1001,$W903,Clean_Data!$V$2:$V$1001,1)-COUNTIFS(Clean_Data!$F$2:$F$1001,$F903,Clean_Data!$W$2:$W$1001,$W903,Clean_Data!$V$2:$V$1001,1)*$AL903^2)/(COUNTIFS(Clean_Data!$F$2:$F$1001,$F903,Clean_Data!$W$2:$W$1001,$W903,Clean_Data!$V$2:$V$1001,1)-1))),""))</f>
        <v>0.657892854181701</v>
      </c>
      <c r="AN903" s="5" t="str">
        <f>IF($AM903="","",IF($AM903&gt;=Lookups!$K$6,"High spike",IF($AM903&lt;=-Lookups!$K$6,"Unusual low","Normal")))</f>
        <v>Normal</v>
      </c>
      <c r="AO903" s="20">
        <f>IF($V903&lt;&gt;1,"",$P903+ROW()/100000)</f>
        <v>7.00903</v>
      </c>
      <c r="AP903" s="5">
        <f>IF($A903="","",IFERROR(MATCH($A903,Raw_D1!$A$2:$A$1001,0),""))</f>
        <v/>
      </c>
      <c r="AQ903" s="5">
        <f>IF($A903="","",IFERROR(MATCH($A903,Raw_D2!$B$2:$B$1001,0),""))</f>
        <v/>
      </c>
      <c r="AR903" s="5">
        <f>IF($A903="","",IFERROR(MATCH($A903,Raw_D3!$A$2:$A$1001,0),""))</f>
        <v>283</v>
      </c>
    </row>
    <row r="904" spans="1:44" x14ac:dyDescent="0.25">
      <c r="A904" s="5">
        <v>903</v>
      </c>
      <c r="B904" s="11">
        <f>IF($A904="","",IF($AP904&lt;&gt;"",INDEX(Raw_D1!$B$2:$B$1001,$AP904),IF($AR904&lt;&gt;"",INDEX(Raw_D3!$B$2:$B$1001,$AR904),"")))</f>
        <v>40584.0</v>
      </c>
      <c r="C904" s="5">
        <f>IF($A904="","",IF($AP904&lt;&gt;"",INDEX(Raw_D1!$C$2:$C$1001,$AP904),IF($AR904&lt;&gt;"",INDEX(Raw_D3!$C$2:$C$1001,$AR904),"")))</f>
        <v>1</v>
      </c>
      <c r="D904" s="5">
        <f>IF($A904="","",IF($AP904&lt;&gt;"",INDEX(Raw_D1!$D$2:$D$1001,$AP904),IF($AR904&lt;&gt;"",INDEX(Raw_D3!$D$2:$D$1001,$AR904),"")))</f>
        <v>0</v>
      </c>
      <c r="E904" s="5">
        <f>IF($A904="","",IF($AP904&lt;&gt;"",INDEX(Raw_D1!$E$2:$E$1001,$AP904),IF($AR904&lt;&gt;"",INDEX(Raw_D3!$E$2:$E$1001,$AR904),"")))</f>
        <v>2</v>
      </c>
      <c r="F904" s="5">
        <f>IF($A904="","",IF($AP904&lt;&gt;"",INDEX(Raw_D1!$F$2:$F$1001,$AP904),IF($AR904&lt;&gt;"",INDEX(Raw_D3!$F$2:$F$1001,$AR904),"")))</f>
        <v>2</v>
      </c>
      <c r="G904" s="5">
        <f>IF($A904="","",IF($AP904&lt;&gt;"",IF(INDEX(Raw_D1!$G$2:$G$1001,$AP904),1,0),IF($AR904&lt;&gt;"",IF(INDEX(Raw_D3!$G$2:$G$1001,$AR904),1,0),"")))</f>
        <v>0</v>
      </c>
      <c r="H904" s="5">
        <f>IF($A904="","",IF($AP904&lt;&gt;"",INDEX(Raw_D1!$H$2:$H$1001,$AP904),IF($AR904&lt;&gt;"",INDEX(Raw_D3!$H$2:$H$1001,$AR904),"")))</f>
        <v>4</v>
      </c>
      <c r="I904" s="5">
        <f>IF($A904="","",IF($AP904&lt;&gt;"",INDEX(Raw_D1!$I$2:$I$1001,$AP904),IF($AR904&lt;&gt;"",INDEX(Raw_D3!$I$2:$I$1001,$AR904),"")))</f>
        <v>3</v>
      </c>
      <c r="J904" s="16">
        <f>IF($A904="","",IF($AP904&lt;&gt;"",INDEX(Raw_D1!$J$2:$J$1001,$AP904),IF($AR904&lt;&gt;"",INDEX(Raw_D3!$J$2:$J$1001,$AR904),"")))</f>
        <v>0.14</v>
      </c>
      <c r="K904" s="17">
        <f>IF($A904="","",IF($AQ904&lt;&gt;"",IF(INDEX(Raw_D2!$C$2:$C$1001,$AQ904)="","",INDEX(Raw_D2!$C$2:$C$1001,$AQ904)),IF($AR904&lt;&gt;"",IF(INDEX(Raw_D3!$K$2:$K$1001,$AR904)="","",INDEX(Raw_D3!$K$2:$K$1001,$AR904)),"")))</f>
        <v>0.1515</v>
      </c>
      <c r="L904" s="16">
        <f>IF($A904="","",IF($AQ904&lt;&gt;"",IF(INDEX(Raw_D2!$D$2:$D$1001,$AQ904)="","",INDEX(Raw_D2!$D$2:$D$1001,$AQ904)),IF($AR904&lt;&gt;"",IF(INDEX(Raw_D3!$L$2:$L$1001,$AR904)="","",INDEX(Raw_D3!$L$2:$L$1001,$AR904)),"")))</f>
        <v>0.8</v>
      </c>
      <c r="M904" s="17">
        <f>IF($A904="","",IF($AQ904&lt;&gt;"",IF(INDEX(Raw_D2!$E$2:$E$1001,$AQ904)="","",INDEX(Raw_D2!$E$2:$E$1001,$AQ904)),IF($AR904&lt;&gt;"",IF(INDEX(Raw_D3!$M$2:$M$1001,$AR904)="","",INDEX(Raw_D3!$M$2:$M$1001,$AR904)),"")))</f>
        <v>0.1343</v>
      </c>
      <c r="N904" s="5">
        <f>IF($A904="","",IF($AQ904&lt;&gt;"",IF(INDEX(Raw_D2!$F$2:$F$1001,$AQ904)="","",INDEX(Raw_D2!$F$2:$F$1001,$AQ904)),IF($AR904&lt;&gt;"",IF(INDEX(Raw_D3!$N$2:$N$1001,$AR904)="","",INDEX(Raw_D3!$N$2:$N$1001,$AR904)),"")))</f>
        <v>0</v>
      </c>
      <c r="O904" s="5">
        <f>IF($A904="","",IF($AQ904&lt;&gt;"",IF(INDEX(Raw_D2!$G$2:$G$1001,$AQ904)="","",INDEX(Raw_D2!$G$2:$G$1001,$AQ904)),IF($AR904&lt;&gt;"",IF(INDEX(Raw_D3!$O$2:$O$1001,$AR904)="","",INDEX(Raw_D3!$O$2:$O$1001,$AR904)),"")))</f>
        <v>3</v>
      </c>
      <c r="P904" s="5">
        <f>IF($A904="","",IF($AQ904&lt;&gt;"",IF(INDEX(Raw_D2!$H$2:$H$1001,$AQ904)="","",INDEX(Raw_D2!$H$2:$H$1001,$AQ904)),IF($AR904&lt;&gt;"",IF(INDEX(Raw_D3!$P$2:$P$1001,$AR904)="","",INDEX(Raw_D3!$P$2:$P$1001,$AR904)),"")))</f>
        <v>3</v>
      </c>
      <c r="Q904" s="5" t="str">
        <f>IF($A904="","",IF(AND($AP904&lt;&gt;"",$AQ904&lt;&gt;""),"D1+D2",IF($AR904&lt;&gt;"","D3","Incomplete")))</f>
        <v>D3</v>
      </c>
      <c r="R904" s="17">
        <f>IF($A904="","",IF($K904="",IF($J904="","",ROUND(Lookups!$K$5+Lookups!$K$4*$J904,4)),$K904))</f>
        <v>0.1515</v>
      </c>
      <c r="S904" s="5" t="str">
        <f>IF($A904="","",IF($K904="","Imputed","Original"))</f>
        <v>Original</v>
      </c>
      <c r="T904" s="5" t="str">
        <f>IF($A904="","",IF($P904="","Missing",IF($P904=$N904+$O904,"OK","Mismatch")))</f>
        <v>OK</v>
      </c>
      <c r="U904" s="5" t="str">
        <f>IF($A904="","",IF(COUNTIF($A$2:$A904,$A904)&gt;1,"Duplicate","Unique"))</f>
        <v>Unique</v>
      </c>
      <c r="V904" s="5">
        <f>IF($A904="","",IF(AND($U904="Unique",ISNUMBER($P904)),1,0))</f>
        <v>1</v>
      </c>
      <c r="W904" s="5" t="str">
        <f>IF($A904="","",IF(OR($H904=0,$H904=6),"Weekend","Weekday"))</f>
        <v>Weekday</v>
      </c>
      <c r="X904" s="5" t="str">
        <f>IF($A904="","",TEXT($B904,"ddd"))</f>
        <v>Thu</v>
      </c>
      <c r="Y904" s="5" t="str">
        <f>IF($A904="","",TEXT($B904,"mmm"))</f>
        <v>Feb</v>
      </c>
      <c r="Z904" s="5" t="str">
        <f>IF($A904="","",IFERROR(VLOOKUP($C904,Lookups!$D$4:$E$7,2,FALSE),"Unknown"))</f>
        <v>Winter</v>
      </c>
      <c r="AA904" s="5" t="str">
        <f>IF($A904="","",IFERROR(VLOOKUP($I904,Lookups!$A$4:$B$7,2,FALSE),"Unknown"))</f>
        <v>Light Rain/Snow</v>
      </c>
      <c r="AB904" s="5" t="str">
        <f>IF($A904="","",TEXT($F904,"00")&amp;":00")</f>
        <v>02:00</v>
      </c>
      <c r="AC904" s="5" t="str">
        <f>IF($A904="","",VLOOKUP($F904,Lookups!$G$4:$H$8,2,TRUE))</f>
        <v>Night (00-05)</v>
      </c>
      <c r="AD904" s="18">
        <f>IF($A904="","",IF($J904="","",ROUND($J904*41,1)))</f>
        <v>5.7</v>
      </c>
      <c r="AE904" s="18">
        <f>IF($A904="","",IF($R904="","",ROUND($R904*50,1)))</f>
        <v>7.6</v>
      </c>
      <c r="AF904" s="5">
        <f>IF($A904="","",IF($L904="","",ROUND($L904*100,0)))</f>
        <v>80</v>
      </c>
      <c r="AG904" s="18">
        <f>IF($A904="","",IF($M904="","",ROUND($M904*67,1)))</f>
        <v>9</v>
      </c>
      <c r="AH904" s="19">
        <f>IF($A904="","",IF($P904="","",IF($P904=0,0,$O904/$P904)))</f>
        <v>1</v>
      </c>
      <c r="AI904" s="5" t="str">
        <f>IF($A904="","",IF($P904="","",IF($P904&gt;=Lookups!$K$7,"High",IF($P904&lt;=Lookups!$K$8,"Low","Medium"))))</f>
        <v>Low</v>
      </c>
      <c r="AJ904" s="5" t="str">
        <f>IF($A904="","",IF($AD904="","",IF($AD904&lt;5,"Under 5 C",IF($AD904&lt;10,"5-10 C",IF($AD904&lt;15,"10-15 C","15 C and above")))))</f>
        <v>5-10 C</v>
      </c>
      <c r="AK904" s="5">
        <f>IF($A904="","",IF($P904="","",$P904^2))</f>
        <v>9</v>
      </c>
      <c r="AL904" s="18">
        <f>IF($V904&lt;&gt;1,"",AVERAGEIFS(Clean_Data!$P$2:$P$1001,Clean_Data!$F$2:$F$1001,$F904,Clean_Data!$W$2:$W$1001,$W904,Clean_Data!$V$2:$V$1001,1))</f>
        <v>2.62962962962963</v>
      </c>
      <c r="AM904" s="16">
        <f>IF($V904&lt;&gt;1,"",IFERROR(($P904-$AL904)/SQRT(MAX(0,(SUMIFS(Clean_Data!$AK$2:$AK$1001,Clean_Data!$F$2:$F$1001,$F904,Clean_Data!$W$2:$W$1001,$W904,Clean_Data!$V$2:$V$1001,1)-COUNTIFS(Clean_Data!$F$2:$F$1001,$F904,Clean_Data!$W$2:$W$1001,$W904,Clean_Data!$V$2:$V$1001,1)*$AL904^2)/(COUNTIFS(Clean_Data!$F$2:$F$1001,$F904,Clean_Data!$W$2:$W$1001,$W904,Clean_Data!$V$2:$V$1001,1)-1))),""))</f>
        <v>0.183174006014898</v>
      </c>
      <c r="AN904" s="5" t="str">
        <f>IF($AM904="","",IF($AM904&gt;=Lookups!$K$6,"High spike",IF($AM904&lt;=-Lookups!$K$6,"Unusual low","Normal")))</f>
        <v>Normal</v>
      </c>
      <c r="AO904" s="20">
        <f>IF($V904&lt;&gt;1,"",$P904+ROW()/100000)</f>
        <v>3.00904</v>
      </c>
      <c r="AP904" s="5">
        <f>IF($A904="","",IFERROR(MATCH($A904,Raw_D1!$A$2:$A$1001,0),""))</f>
        <v/>
      </c>
      <c r="AQ904" s="5">
        <f>IF($A904="","",IFERROR(MATCH($A904,Raw_D2!$B$2:$B$1001,0),""))</f>
        <v/>
      </c>
      <c r="AR904" s="5">
        <f>IF($A904="","",IFERROR(MATCH($A904,Raw_D3!$A$2:$A$1001,0),""))</f>
        <v>284</v>
      </c>
    </row>
    <row r="905" spans="1:44" x14ac:dyDescent="0.25">
      <c r="A905" s="5">
        <v>904</v>
      </c>
      <c r="B905" s="11">
        <f>IF($A905="","",IF($AP905&lt;&gt;"",INDEX(Raw_D1!$B$2:$B$1001,$AP905),IF($AR905&lt;&gt;"",INDEX(Raw_D3!$B$2:$B$1001,$AR905),"")))</f>
        <v>40584.0</v>
      </c>
      <c r="C905" s="5">
        <f>IF($A905="","",IF($AP905&lt;&gt;"",INDEX(Raw_D1!$C$2:$C$1001,$AP905),IF($AR905&lt;&gt;"",INDEX(Raw_D3!$C$2:$C$1001,$AR905),"")))</f>
        <v>1</v>
      </c>
      <c r="D905" s="5">
        <f>IF($A905="","",IF($AP905&lt;&gt;"",INDEX(Raw_D1!$D$2:$D$1001,$AP905),IF($AR905&lt;&gt;"",INDEX(Raw_D3!$D$2:$D$1001,$AR905),"")))</f>
        <v>0</v>
      </c>
      <c r="E905" s="5">
        <f>IF($A905="","",IF($AP905&lt;&gt;"",INDEX(Raw_D1!$E$2:$E$1001,$AP905),IF($AR905&lt;&gt;"",INDEX(Raw_D3!$E$2:$E$1001,$AR905),"")))</f>
        <v>2</v>
      </c>
      <c r="F905" s="5">
        <f>IF($A905="","",IF($AP905&lt;&gt;"",INDEX(Raw_D1!$F$2:$F$1001,$AP905),IF($AR905&lt;&gt;"",INDEX(Raw_D3!$F$2:$F$1001,$AR905),"")))</f>
        <v>4</v>
      </c>
      <c r="G905" s="5">
        <f>IF($A905="","",IF($AP905&lt;&gt;"",IF(INDEX(Raw_D1!$G$2:$G$1001,$AP905),1,0),IF($AR905&lt;&gt;"",IF(INDEX(Raw_D3!$G$2:$G$1001,$AR905),1,0),"")))</f>
        <v>0</v>
      </c>
      <c r="H905" s="5">
        <f>IF($A905="","",IF($AP905&lt;&gt;"",INDEX(Raw_D1!$H$2:$H$1001,$AP905),IF($AR905&lt;&gt;"",INDEX(Raw_D3!$H$2:$H$1001,$AR905),"")))</f>
        <v>4</v>
      </c>
      <c r="I905" s="5">
        <f>IF($A905="","",IF($AP905&lt;&gt;"",INDEX(Raw_D1!$I$2:$I$1001,$AP905),IF($AR905&lt;&gt;"",INDEX(Raw_D3!$I$2:$I$1001,$AR905),"")))</f>
        <v>2</v>
      </c>
      <c r="J905" s="16">
        <f>IF($A905="","",IF($AP905&lt;&gt;"",INDEX(Raw_D1!$J$2:$J$1001,$AP905),IF($AR905&lt;&gt;"",INDEX(Raw_D3!$J$2:$J$1001,$AR905),"")))</f>
        <v>0.14</v>
      </c>
      <c r="K905" s="17">
        <f>IF($A905="","",IF($AQ905&lt;&gt;"",IF(INDEX(Raw_D2!$C$2:$C$1001,$AQ905)="","",INDEX(Raw_D2!$C$2:$C$1001,$AQ905)),IF($AR905&lt;&gt;"",IF(INDEX(Raw_D3!$K$2:$K$1001,$AR905)="","",INDEX(Raw_D3!$K$2:$K$1001,$AR905)),"")))</f>
        <v>0.1364</v>
      </c>
      <c r="L905" s="16">
        <f>IF($A905="","",IF($AQ905&lt;&gt;"",IF(INDEX(Raw_D2!$D$2:$D$1001,$AQ905)="","",INDEX(Raw_D2!$D$2:$D$1001,$AQ905)),IF($AR905&lt;&gt;"",IF(INDEX(Raw_D3!$L$2:$L$1001,$AR905)="","",INDEX(Raw_D3!$L$2:$L$1001,$AR905)),"")))</f>
        <v>0.59</v>
      </c>
      <c r="M905" s="17">
        <f>IF($A905="","",IF($AQ905&lt;&gt;"",IF(INDEX(Raw_D2!$E$2:$E$1001,$AQ905)="","",INDEX(Raw_D2!$E$2:$E$1001,$AQ905)),IF($AR905&lt;&gt;"",IF(INDEX(Raw_D3!$M$2:$M$1001,$AR905)="","",INDEX(Raw_D3!$M$2:$M$1001,$AR905)),"")))</f>
        <v>0.2239</v>
      </c>
      <c r="N905" s="5">
        <f>IF($A905="","",IF($AQ905&lt;&gt;"",IF(INDEX(Raw_D2!$F$2:$F$1001,$AQ905)="","",INDEX(Raw_D2!$F$2:$F$1001,$AQ905)),IF($AR905&lt;&gt;"",IF(INDEX(Raw_D3!$N$2:$N$1001,$AR905)="","",INDEX(Raw_D3!$N$2:$N$1001,$AR905)),"")))</f>
        <v>0</v>
      </c>
      <c r="O905" s="5">
        <f>IF($A905="","",IF($AQ905&lt;&gt;"",IF(INDEX(Raw_D2!$G$2:$G$1001,$AQ905)="","",INDEX(Raw_D2!$G$2:$G$1001,$AQ905)),IF($AR905&lt;&gt;"",IF(INDEX(Raw_D3!$O$2:$O$1001,$AR905)="","",INDEX(Raw_D3!$O$2:$O$1001,$AR905)),"")))</f>
        <v>1</v>
      </c>
      <c r="P905" s="5">
        <f>IF($A905="","",IF($AQ905&lt;&gt;"",IF(INDEX(Raw_D2!$H$2:$H$1001,$AQ905)="","",INDEX(Raw_D2!$H$2:$H$1001,$AQ905)),IF($AR905&lt;&gt;"",IF(INDEX(Raw_D3!$P$2:$P$1001,$AR905)="","",INDEX(Raw_D3!$P$2:$P$1001,$AR905)),"")))</f>
        <v>1</v>
      </c>
      <c r="Q905" s="5" t="str">
        <f>IF($A905="","",IF(AND($AP905&lt;&gt;"",$AQ905&lt;&gt;""),"D1+D2",IF($AR905&lt;&gt;"","D3","Incomplete")))</f>
        <v>D3</v>
      </c>
      <c r="R905" s="17">
        <f>IF($A905="","",IF($K905="",IF($J905="","",ROUND(Lookups!$K$5+Lookups!$K$4*$J905,4)),$K905))</f>
        <v>0.1364</v>
      </c>
      <c r="S905" s="5" t="str">
        <f>IF($A905="","",IF($K905="","Imputed","Original"))</f>
        <v>Original</v>
      </c>
      <c r="T905" s="5" t="str">
        <f>IF($A905="","",IF($P905="","Missing",IF($P905=$N905+$O905,"OK","Mismatch")))</f>
        <v>OK</v>
      </c>
      <c r="U905" s="5" t="str">
        <f>IF($A905="","",IF(COUNTIF($A$2:$A905,$A905)&gt;1,"Duplicate","Unique"))</f>
        <v>Unique</v>
      </c>
      <c r="V905" s="5">
        <f>IF($A905="","",IF(AND($U905="Unique",ISNUMBER($P905)),1,0))</f>
        <v>1</v>
      </c>
      <c r="W905" s="5" t="str">
        <f>IF($A905="","",IF(OR($H905=0,$H905=6),"Weekend","Weekday"))</f>
        <v>Weekday</v>
      </c>
      <c r="X905" s="5" t="str">
        <f>IF($A905="","",TEXT($B905,"ddd"))</f>
        <v>Thu</v>
      </c>
      <c r="Y905" s="5" t="str">
        <f>IF($A905="","",TEXT($B905,"mmm"))</f>
        <v>Feb</v>
      </c>
      <c r="Z905" s="5" t="str">
        <f>IF($A905="","",IFERROR(VLOOKUP($C905,Lookups!$D$4:$E$7,2,FALSE),"Unknown"))</f>
        <v>Winter</v>
      </c>
      <c r="AA905" s="5" t="str">
        <f>IF($A905="","",IFERROR(VLOOKUP($I905,Lookups!$A$4:$B$7,2,FALSE),"Unknown"))</f>
        <v>Mist/Cloudy</v>
      </c>
      <c r="AB905" s="5" t="str">
        <f>IF($A905="","",TEXT($F905,"00")&amp;":00")</f>
        <v>04:00</v>
      </c>
      <c r="AC905" s="5" t="str">
        <f>IF($A905="","",VLOOKUP($F905,Lookups!$G$4:$H$8,2,TRUE))</f>
        <v>Night (00-05)</v>
      </c>
      <c r="AD905" s="18">
        <f>IF($A905="","",IF($J905="","",ROUND($J905*41,1)))</f>
        <v>5.7</v>
      </c>
      <c r="AE905" s="18">
        <f>IF($A905="","",IF($R905="","",ROUND($R905*50,1)))</f>
        <v>6.8</v>
      </c>
      <c r="AF905" s="5">
        <f>IF($A905="","",IF($L905="","",ROUND($L905*100,0)))</f>
        <v>59</v>
      </c>
      <c r="AG905" s="18">
        <f>IF($A905="","",IF($M905="","",ROUND($M905*67,1)))</f>
        <v>15</v>
      </c>
      <c r="AH905" s="19">
        <f>IF($A905="","",IF($P905="","",IF($P905=0,0,$O905/$P905)))</f>
        <v>1</v>
      </c>
      <c r="AI905" s="5" t="str">
        <f>IF($A905="","",IF($P905="","",IF($P905&gt;=Lookups!$K$7,"High",IF($P905&lt;=Lookups!$K$8,"Low","Medium"))))</f>
        <v>Low</v>
      </c>
      <c r="AJ905" s="5" t="str">
        <f>IF($A905="","",IF($AD905="","",IF($AD905&lt;5,"Under 5 C",IF($AD905&lt;10,"5-10 C",IF($AD905&lt;15,"10-15 C","15 C and above")))))</f>
        <v>5-10 C</v>
      </c>
      <c r="AK905" s="5">
        <f>IF($A905="","",IF($P905="","",$P905^2))</f>
        <v>1</v>
      </c>
      <c r="AL905" s="18">
        <f>IF($V905&lt;&gt;1,"",AVERAGEIFS(Clean_Data!$P$2:$P$1001,Clean_Data!$F$2:$F$1001,$F905,Clean_Data!$W$2:$W$1001,$W905,Clean_Data!$V$2:$V$1001,1))</f>
        <v>1.78947368421053</v>
      </c>
      <c r="AM905" s="16">
        <f>IF($V905&lt;&gt;1,"",IFERROR(($P905-$AL905)/SQRT(MAX(0,(SUMIFS(Clean_Data!$AK$2:$AK$1001,Clean_Data!$F$2:$F$1001,$F905,Clean_Data!$W$2:$W$1001,$W905,Clean_Data!$V$2:$V$1001,1)-COUNTIFS(Clean_Data!$F$2:$F$1001,$F905,Clean_Data!$W$2:$W$1001,$W905,Clean_Data!$V$2:$V$1001,1)*$AL905^2)/(COUNTIFS(Clean_Data!$F$2:$F$1001,$F905,Clean_Data!$W$2:$W$1001,$W905,Clean_Data!$V$2:$V$1001,1)-1))),""))</f>
        <v>-0.860309002014607</v>
      </c>
      <c r="AN905" s="5" t="str">
        <f>IF($AM905="","",IF($AM905&gt;=Lookups!$K$6,"High spike",IF($AM905&lt;=-Lookups!$K$6,"Unusual low","Normal")))</f>
        <v>Normal</v>
      </c>
      <c r="AO905" s="20">
        <f>IF($V905&lt;&gt;1,"",$P905+ROW()/100000)</f>
        <v>1.00905</v>
      </c>
      <c r="AP905" s="5">
        <f>IF($A905="","",IFERROR(MATCH($A905,Raw_D1!$A$2:$A$1001,0),""))</f>
        <v/>
      </c>
      <c r="AQ905" s="5">
        <f>IF($A905="","",IFERROR(MATCH($A905,Raw_D2!$B$2:$B$1001,0),""))</f>
        <v/>
      </c>
      <c r="AR905" s="5">
        <f>IF($A905="","",IFERROR(MATCH($A905,Raw_D3!$A$2:$A$1001,0),""))</f>
        <v>285</v>
      </c>
    </row>
    <row r="906" spans="1:44" x14ac:dyDescent="0.25">
      <c r="A906" s="5">
        <v>905</v>
      </c>
      <c r="B906" s="11">
        <f>IF($A906="","",IF($AP906&lt;&gt;"",INDEX(Raw_D1!$B$2:$B$1001,$AP906),IF($AR906&lt;&gt;"",INDEX(Raw_D3!$B$2:$B$1001,$AR906),"")))</f>
        <v>40584.0</v>
      </c>
      <c r="C906" s="5">
        <f>IF($A906="","",IF($AP906&lt;&gt;"",INDEX(Raw_D1!$C$2:$C$1001,$AP906),IF($AR906&lt;&gt;"",INDEX(Raw_D3!$C$2:$C$1001,$AR906),"")))</f>
        <v>1</v>
      </c>
      <c r="D906" s="5">
        <f>IF($A906="","",IF($AP906&lt;&gt;"",INDEX(Raw_D1!$D$2:$D$1001,$AP906),IF($AR906&lt;&gt;"",INDEX(Raw_D3!$D$2:$D$1001,$AR906),"")))</f>
        <v>0</v>
      </c>
      <c r="E906" s="5">
        <f>IF($A906="","",IF($AP906&lt;&gt;"",INDEX(Raw_D1!$E$2:$E$1001,$AP906),IF($AR906&lt;&gt;"",INDEX(Raw_D3!$E$2:$E$1001,$AR906),"")))</f>
        <v>2</v>
      </c>
      <c r="F906" s="5">
        <f>IF($A906="","",IF($AP906&lt;&gt;"",INDEX(Raw_D1!$F$2:$F$1001,$AP906),IF($AR906&lt;&gt;"",INDEX(Raw_D3!$F$2:$F$1001,$AR906),"")))</f>
        <v>5</v>
      </c>
      <c r="G906" s="5">
        <f>IF($A906="","",IF($AP906&lt;&gt;"",IF(INDEX(Raw_D1!$G$2:$G$1001,$AP906),1,0),IF($AR906&lt;&gt;"",IF(INDEX(Raw_D3!$G$2:$G$1001,$AR906),1,0),"")))</f>
        <v>0</v>
      </c>
      <c r="H906" s="5">
        <f>IF($A906="","",IF($AP906&lt;&gt;"",INDEX(Raw_D1!$H$2:$H$1001,$AP906),IF($AR906&lt;&gt;"",INDEX(Raw_D3!$H$2:$H$1001,$AR906),"")))</f>
        <v>4</v>
      </c>
      <c r="I906" s="5">
        <f>IF($A906="","",IF($AP906&lt;&gt;"",INDEX(Raw_D1!$I$2:$I$1001,$AP906),IF($AR906&lt;&gt;"",INDEX(Raw_D3!$I$2:$I$1001,$AR906),"")))</f>
        <v>2</v>
      </c>
      <c r="J906" s="16">
        <f>IF($A906="","",IF($AP906&lt;&gt;"",INDEX(Raw_D1!$J$2:$J$1001,$AP906),IF($AR906&lt;&gt;"",INDEX(Raw_D3!$J$2:$J$1001,$AR906),"")))</f>
        <v>0.12</v>
      </c>
      <c r="K906" s="17">
        <f>IF($A906="","",IF($AQ906&lt;&gt;"",IF(INDEX(Raw_D2!$C$2:$C$1001,$AQ906)="","",INDEX(Raw_D2!$C$2:$C$1001,$AQ906)),IF($AR906&lt;&gt;"",IF(INDEX(Raw_D3!$K$2:$K$1001,$AR906)="","",INDEX(Raw_D3!$K$2:$K$1001,$AR906)),"")))</f>
        <v>0.1212</v>
      </c>
      <c r="L906" s="16">
        <f>IF($A906="","",IF($AQ906&lt;&gt;"",IF(INDEX(Raw_D2!$D$2:$D$1001,$AQ906)="","",INDEX(Raw_D2!$D$2:$D$1001,$AQ906)),IF($AR906&lt;&gt;"",IF(INDEX(Raw_D3!$L$2:$L$1001,$AR906)="","",INDEX(Raw_D3!$L$2:$L$1001,$AR906)),"")))</f>
        <v>0.5</v>
      </c>
      <c r="M906" s="17">
        <f>IF($A906="","",IF($AQ906&lt;&gt;"",IF(INDEX(Raw_D2!$E$2:$E$1001,$AQ906)="","",INDEX(Raw_D2!$E$2:$E$1001,$AQ906)),IF($AR906&lt;&gt;"",IF(INDEX(Raw_D3!$M$2:$M$1001,$AR906)="","",INDEX(Raw_D3!$M$2:$M$1001,$AR906)),"")))</f>
        <v>0.2239</v>
      </c>
      <c r="N906" s="5">
        <f>IF($A906="","",IF($AQ906&lt;&gt;"",IF(INDEX(Raw_D2!$F$2:$F$1001,$AQ906)="","",INDEX(Raw_D2!$F$2:$F$1001,$AQ906)),IF($AR906&lt;&gt;"",IF(INDEX(Raw_D3!$N$2:$N$1001,$AR906)="","",INDEX(Raw_D3!$N$2:$N$1001,$AR906)),"")))</f>
        <v>0</v>
      </c>
      <c r="O906" s="5">
        <f>IF($A906="","",IF($AQ906&lt;&gt;"",IF(INDEX(Raw_D2!$G$2:$G$1001,$AQ906)="","",INDEX(Raw_D2!$G$2:$G$1001,$AQ906)),IF($AR906&lt;&gt;"",IF(INDEX(Raw_D3!$O$2:$O$1001,$AR906)="","",INDEX(Raw_D3!$O$2:$O$1001,$AR906)),"")))</f>
        <v>6</v>
      </c>
      <c r="P906" s="5">
        <f>IF($A906="","",IF($AQ906&lt;&gt;"",IF(INDEX(Raw_D2!$H$2:$H$1001,$AQ906)="","",INDEX(Raw_D2!$H$2:$H$1001,$AQ906)),IF($AR906&lt;&gt;"",IF(INDEX(Raw_D3!$P$2:$P$1001,$AR906)="","",INDEX(Raw_D3!$P$2:$P$1001,$AR906)),"")))</f>
        <v>6</v>
      </c>
      <c r="Q906" s="5" t="str">
        <f>IF($A906="","",IF(AND($AP906&lt;&gt;"",$AQ906&lt;&gt;""),"D1+D2",IF($AR906&lt;&gt;"","D3","Incomplete")))</f>
        <v>D3</v>
      </c>
      <c r="R906" s="17">
        <f>IF($A906="","",IF($K906="",IF($J906="","",ROUND(Lookups!$K$5+Lookups!$K$4*$J906,4)),$K906))</f>
        <v>0.1212</v>
      </c>
      <c r="S906" s="5" t="str">
        <f>IF($A906="","",IF($K906="","Imputed","Original"))</f>
        <v>Original</v>
      </c>
      <c r="T906" s="5" t="str">
        <f>IF($A906="","",IF($P906="","Missing",IF($P906=$N906+$O906,"OK","Mismatch")))</f>
        <v>OK</v>
      </c>
      <c r="U906" s="5" t="str">
        <f>IF($A906="","",IF(COUNTIF($A$2:$A906,$A906)&gt;1,"Duplicate","Unique"))</f>
        <v>Unique</v>
      </c>
      <c r="V906" s="5">
        <f>IF($A906="","",IF(AND($U906="Unique",ISNUMBER($P906)),1,0))</f>
        <v>1</v>
      </c>
      <c r="W906" s="5" t="str">
        <f>IF($A906="","",IF(OR($H906=0,$H906=6),"Weekend","Weekday"))</f>
        <v>Weekday</v>
      </c>
      <c r="X906" s="5" t="str">
        <f>IF($A906="","",TEXT($B906,"ddd"))</f>
        <v>Thu</v>
      </c>
      <c r="Y906" s="5" t="str">
        <f>IF($A906="","",TEXT($B906,"mmm"))</f>
        <v>Feb</v>
      </c>
      <c r="Z906" s="5" t="str">
        <f>IF($A906="","",IFERROR(VLOOKUP($C906,Lookups!$D$4:$E$7,2,FALSE),"Unknown"))</f>
        <v>Winter</v>
      </c>
      <c r="AA906" s="5" t="str">
        <f>IF($A906="","",IFERROR(VLOOKUP($I906,Lookups!$A$4:$B$7,2,FALSE),"Unknown"))</f>
        <v>Mist/Cloudy</v>
      </c>
      <c r="AB906" s="5" t="str">
        <f>IF($A906="","",TEXT($F906,"00")&amp;":00")</f>
        <v>05:00</v>
      </c>
      <c r="AC906" s="5" t="str">
        <f>IF($A906="","",VLOOKUP($F906,Lookups!$G$4:$H$8,2,TRUE))</f>
        <v>Night (00-05)</v>
      </c>
      <c r="AD906" s="18">
        <f>IF($A906="","",IF($J906="","",ROUND($J906*41,1)))</f>
        <v>4.9</v>
      </c>
      <c r="AE906" s="18">
        <f>IF($A906="","",IF($R906="","",ROUND($R906*50,1)))</f>
        <v>6.1</v>
      </c>
      <c r="AF906" s="5">
        <f>IF($A906="","",IF($L906="","",ROUND($L906*100,0)))</f>
        <v>50</v>
      </c>
      <c r="AG906" s="18">
        <f>IF($A906="","",IF($M906="","",ROUND($M906*67,1)))</f>
        <v>15</v>
      </c>
      <c r="AH906" s="19">
        <f>IF($A906="","",IF($P906="","",IF($P906=0,0,$O906/$P906)))</f>
        <v>1</v>
      </c>
      <c r="AI906" s="5" t="str">
        <f>IF($A906="","",IF($P906="","",IF($P906&gt;=Lookups!$K$7,"High",IF($P906&lt;=Lookups!$K$8,"Low","Medium"))))</f>
        <v>Low</v>
      </c>
      <c r="AJ906" s="5" t="str">
        <f>IF($A906="","",IF($AD906="","",IF($AD906&lt;5,"Under 5 C",IF($AD906&lt;10,"5-10 C",IF($AD906&lt;15,"10-15 C","15 C and above")))))</f>
        <v>Under 5 C</v>
      </c>
      <c r="AK906" s="5">
        <f>IF($A906="","",IF($P906="","",$P906^2))</f>
        <v>36</v>
      </c>
      <c r="AL906" s="18">
        <f>IF($V906&lt;&gt;1,"",AVERAGEIFS(Clean_Data!$P$2:$P$1001,Clean_Data!$F$2:$F$1001,$F906,Clean_Data!$W$2:$W$1001,$W906,Clean_Data!$V$2:$V$1001,1))</f>
        <v>4.72413793103448</v>
      </c>
      <c r="AM906" s="16">
        <f>IF($V906&lt;&gt;1,"",IFERROR(($P906-$AL906)/SQRT(MAX(0,(SUMIFS(Clean_Data!$AK$2:$AK$1001,Clean_Data!$F$2:$F$1001,$F906,Clean_Data!$W$2:$W$1001,$W906,Clean_Data!$V$2:$V$1001,1)-COUNTIFS(Clean_Data!$F$2:$F$1001,$F906,Clean_Data!$W$2:$W$1001,$W906,Clean_Data!$V$2:$V$1001,1)*$AL906^2)/(COUNTIFS(Clean_Data!$F$2:$F$1001,$F906,Clean_Data!$W$2:$W$1001,$W906,Clean_Data!$V$2:$V$1001,1)-1))),""))</f>
        <v>0.54439523022565</v>
      </c>
      <c r="AN906" s="5" t="str">
        <f>IF($AM906="","",IF($AM906&gt;=Lookups!$K$6,"High spike",IF($AM906&lt;=-Lookups!$K$6,"Unusual low","Normal")))</f>
        <v>Normal</v>
      </c>
      <c r="AO906" s="20">
        <f>IF($V906&lt;&gt;1,"",$P906+ROW()/100000)</f>
        <v>6.00906</v>
      </c>
      <c r="AP906" s="5">
        <f>IF($A906="","",IFERROR(MATCH($A906,Raw_D1!$A$2:$A$1001,0),""))</f>
        <v/>
      </c>
      <c r="AQ906" s="5">
        <f>IF($A906="","",IFERROR(MATCH($A906,Raw_D2!$B$2:$B$1001,0),""))</f>
        <v/>
      </c>
      <c r="AR906" s="5">
        <f>IF($A906="","",IFERROR(MATCH($A906,Raw_D3!$A$2:$A$1001,0),""))</f>
        <v>286</v>
      </c>
    </row>
    <row r="907" spans="1:44" x14ac:dyDescent="0.25">
      <c r="A907" s="5">
        <v>906</v>
      </c>
      <c r="B907" s="11">
        <f>IF($A907="","",IF($AP907&lt;&gt;"",INDEX(Raw_D1!$B$2:$B$1001,$AP907),IF($AR907&lt;&gt;"",INDEX(Raw_D3!$B$2:$B$1001,$AR907),"")))</f>
        <v>40584.0</v>
      </c>
      <c r="C907" s="5">
        <f>IF($A907="","",IF($AP907&lt;&gt;"",INDEX(Raw_D1!$C$2:$C$1001,$AP907),IF($AR907&lt;&gt;"",INDEX(Raw_D3!$C$2:$C$1001,$AR907),"")))</f>
        <v>1</v>
      </c>
      <c r="D907" s="5">
        <f>IF($A907="","",IF($AP907&lt;&gt;"",INDEX(Raw_D1!$D$2:$D$1001,$AP907),IF($AR907&lt;&gt;"",INDEX(Raw_D3!$D$2:$D$1001,$AR907),"")))</f>
        <v>0</v>
      </c>
      <c r="E907" s="5">
        <f>IF($A907="","",IF($AP907&lt;&gt;"",INDEX(Raw_D1!$E$2:$E$1001,$AP907),IF($AR907&lt;&gt;"",INDEX(Raw_D3!$E$2:$E$1001,$AR907),"")))</f>
        <v>2</v>
      </c>
      <c r="F907" s="5">
        <f>IF($A907="","",IF($AP907&lt;&gt;"",INDEX(Raw_D1!$F$2:$F$1001,$AP907),IF($AR907&lt;&gt;"",INDEX(Raw_D3!$F$2:$F$1001,$AR907),"")))</f>
        <v>6</v>
      </c>
      <c r="G907" s="5">
        <f>IF($A907="","",IF($AP907&lt;&gt;"",IF(INDEX(Raw_D1!$G$2:$G$1001,$AP907),1,0),IF($AR907&lt;&gt;"",IF(INDEX(Raw_D3!$G$2:$G$1001,$AR907),1,0),"")))</f>
        <v>0</v>
      </c>
      <c r="H907" s="5">
        <f>IF($A907="","",IF($AP907&lt;&gt;"",INDEX(Raw_D1!$H$2:$H$1001,$AP907),IF($AR907&lt;&gt;"",INDEX(Raw_D3!$H$2:$H$1001,$AR907),"")))</f>
        <v>4</v>
      </c>
      <c r="I907" s="5">
        <f>IF($A907="","",IF($AP907&lt;&gt;"",INDEX(Raw_D1!$I$2:$I$1001,$AP907),IF($AR907&lt;&gt;"",INDEX(Raw_D3!$I$2:$I$1001,$AR907),"")))</f>
        <v>2</v>
      </c>
      <c r="J907" s="16">
        <f>IF($A907="","",IF($AP907&lt;&gt;"",INDEX(Raw_D1!$J$2:$J$1001,$AP907),IF($AR907&lt;&gt;"",INDEX(Raw_D3!$J$2:$J$1001,$AR907),"")))</f>
        <v>0.12</v>
      </c>
      <c r="K907" s="17">
        <f>IF($A907="","",IF($AQ907&lt;&gt;"",IF(INDEX(Raw_D2!$C$2:$C$1001,$AQ907)="","",INDEX(Raw_D2!$C$2:$C$1001,$AQ907)),IF($AR907&lt;&gt;"",IF(INDEX(Raw_D3!$K$2:$K$1001,$AR907)="","",INDEX(Raw_D3!$K$2:$K$1001,$AR907)),"")))</f>
        <v>0.1212</v>
      </c>
      <c r="L907" s="16">
        <f>IF($A907="","",IF($AQ907&lt;&gt;"",IF(INDEX(Raw_D2!$D$2:$D$1001,$AQ907)="","",INDEX(Raw_D2!$D$2:$D$1001,$AQ907)),IF($AR907&lt;&gt;"",IF(INDEX(Raw_D3!$L$2:$L$1001,$AR907)="","",INDEX(Raw_D3!$L$2:$L$1001,$AR907)),"")))</f>
        <v>0.54</v>
      </c>
      <c r="M907" s="17">
        <f>IF($A907="","",IF($AQ907&lt;&gt;"",IF(INDEX(Raw_D2!$E$2:$E$1001,$AQ907)="","",INDEX(Raw_D2!$E$2:$E$1001,$AQ907)),IF($AR907&lt;&gt;"",IF(INDEX(Raw_D3!$M$2:$M$1001,$AR907)="","",INDEX(Raw_D3!$M$2:$M$1001,$AR907)),"")))</f>
        <v>0.2836</v>
      </c>
      <c r="N907" s="5">
        <f>IF($A907="","",IF($AQ907&lt;&gt;"",IF(INDEX(Raw_D2!$F$2:$F$1001,$AQ907)="","",INDEX(Raw_D2!$F$2:$F$1001,$AQ907)),IF($AR907&lt;&gt;"",IF(INDEX(Raw_D3!$N$2:$N$1001,$AR907)="","",INDEX(Raw_D3!$N$2:$N$1001,$AR907)),"")))</f>
        <v>0</v>
      </c>
      <c r="O907" s="5">
        <f>IF($A907="","",IF($AQ907&lt;&gt;"",IF(INDEX(Raw_D2!$G$2:$G$1001,$AQ907)="","",INDEX(Raw_D2!$G$2:$G$1001,$AQ907)),IF($AR907&lt;&gt;"",IF(INDEX(Raw_D3!$O$2:$O$1001,$AR907)="","",INDEX(Raw_D3!$O$2:$O$1001,$AR907)),"")))</f>
        <v>26</v>
      </c>
      <c r="P907" s="5">
        <f>IF($A907="","",IF($AQ907&lt;&gt;"",IF(INDEX(Raw_D2!$H$2:$H$1001,$AQ907)="","",INDEX(Raw_D2!$H$2:$H$1001,$AQ907)),IF($AR907&lt;&gt;"",IF(INDEX(Raw_D3!$P$2:$P$1001,$AR907)="","",INDEX(Raw_D3!$P$2:$P$1001,$AR907)),"")))</f>
        <v>26</v>
      </c>
      <c r="Q907" s="5" t="str">
        <f>IF($A907="","",IF(AND($AP907&lt;&gt;"",$AQ907&lt;&gt;""),"D1+D2",IF($AR907&lt;&gt;"","D3","Incomplete")))</f>
        <v>D3</v>
      </c>
      <c r="R907" s="17">
        <f>IF($A907="","",IF($K907="",IF($J907="","",ROUND(Lookups!$K$5+Lookups!$K$4*$J907,4)),$K907))</f>
        <v>0.1212</v>
      </c>
      <c r="S907" s="5" t="str">
        <f>IF($A907="","",IF($K907="","Imputed","Original"))</f>
        <v>Original</v>
      </c>
      <c r="T907" s="5" t="str">
        <f>IF($A907="","",IF($P907="","Missing",IF($P907=$N907+$O907,"OK","Mismatch")))</f>
        <v>OK</v>
      </c>
      <c r="U907" s="5" t="str">
        <f>IF($A907="","",IF(COUNTIF($A$2:$A907,$A907)&gt;1,"Duplicate","Unique"))</f>
        <v>Unique</v>
      </c>
      <c r="V907" s="5">
        <f>IF($A907="","",IF(AND($U907="Unique",ISNUMBER($P907)),1,0))</f>
        <v>1</v>
      </c>
      <c r="W907" s="5" t="str">
        <f>IF($A907="","",IF(OR($H907=0,$H907=6),"Weekend","Weekday"))</f>
        <v>Weekday</v>
      </c>
      <c r="X907" s="5" t="str">
        <f>IF($A907="","",TEXT($B907,"ddd"))</f>
        <v>Thu</v>
      </c>
      <c r="Y907" s="5" t="str">
        <f>IF($A907="","",TEXT($B907,"mmm"))</f>
        <v>Feb</v>
      </c>
      <c r="Z907" s="5" t="str">
        <f>IF($A907="","",IFERROR(VLOOKUP($C907,Lookups!$D$4:$E$7,2,FALSE),"Unknown"))</f>
        <v>Winter</v>
      </c>
      <c r="AA907" s="5" t="str">
        <f>IF($A907="","",IFERROR(VLOOKUP($I907,Lookups!$A$4:$B$7,2,FALSE),"Unknown"))</f>
        <v>Mist/Cloudy</v>
      </c>
      <c r="AB907" s="5" t="str">
        <f>IF($A907="","",TEXT($F907,"00")&amp;":00")</f>
        <v>06:00</v>
      </c>
      <c r="AC907" s="5" t="str">
        <f>IF($A907="","",VLOOKUP($F907,Lookups!$G$4:$H$8,2,TRUE))</f>
        <v>Morning Peak (06-09)</v>
      </c>
      <c r="AD907" s="18">
        <f>IF($A907="","",IF($J907="","",ROUND($J907*41,1)))</f>
        <v>4.9</v>
      </c>
      <c r="AE907" s="18">
        <f>IF($A907="","",IF($R907="","",ROUND($R907*50,1)))</f>
        <v>6.1</v>
      </c>
      <c r="AF907" s="5">
        <f>IF($A907="","",IF($L907="","",ROUND($L907*100,0)))</f>
        <v>54</v>
      </c>
      <c r="AG907" s="18">
        <f>IF($A907="","",IF($M907="","",ROUND($M907*67,1)))</f>
        <v>19</v>
      </c>
      <c r="AH907" s="19">
        <f>IF($A907="","",IF($P907="","",IF($P907=0,0,$O907/$P907)))</f>
        <v>1</v>
      </c>
      <c r="AI907" s="5" t="str">
        <f>IF($A907="","",IF($P907="","",IF($P907&gt;=Lookups!$K$7,"High",IF($P907&lt;=Lookups!$K$8,"Low","Medium"))))</f>
        <v>Medium</v>
      </c>
      <c r="AJ907" s="5" t="str">
        <f>IF($A907="","",IF($AD907="","",IF($AD907&lt;5,"Under 5 C",IF($AD907&lt;10,"5-10 C",IF($AD907&lt;15,"10-15 C","15 C and above")))))</f>
        <v>Under 5 C</v>
      </c>
      <c r="AK907" s="5">
        <f>IF($A907="","",IF($P907="","",$P907^2))</f>
        <v>676</v>
      </c>
      <c r="AL907" s="18">
        <f>IF($V907&lt;&gt;1,"",AVERAGEIFS(Clean_Data!$P$2:$P$1001,Clean_Data!$F$2:$F$1001,$F907,Clean_Data!$W$2:$W$1001,$W907,Clean_Data!$V$2:$V$1001,1))</f>
        <v>27.3793103448276</v>
      </c>
      <c r="AM907" s="16">
        <f>IF($V907&lt;&gt;1,"",IFERROR(($P907-$AL907)/SQRT(MAX(0,(SUMIFS(Clean_Data!$AK$2:$AK$1001,Clean_Data!$F$2:$F$1001,$F907,Clean_Data!$W$2:$W$1001,$W907,Clean_Data!$V$2:$V$1001,1)-COUNTIFS(Clean_Data!$F$2:$F$1001,$F907,Clean_Data!$W$2:$W$1001,$W907,Clean_Data!$V$2:$V$1001,1)*$AL907^2)/(COUNTIFS(Clean_Data!$F$2:$F$1001,$F907,Clean_Data!$W$2:$W$1001,$W907,Clean_Data!$V$2:$V$1001,1)-1))),""))</f>
        <v>-0.144794948610193</v>
      </c>
      <c r="AN907" s="5" t="str">
        <f>IF($AM907="","",IF($AM907&gt;=Lookups!$K$6,"High spike",IF($AM907&lt;=-Lookups!$K$6,"Unusual low","Normal")))</f>
        <v>Normal</v>
      </c>
      <c r="AO907" s="20">
        <f>IF($V907&lt;&gt;1,"",$P907+ROW()/100000)</f>
        <v>26.00907</v>
      </c>
      <c r="AP907" s="5">
        <f>IF($A907="","",IFERROR(MATCH($A907,Raw_D1!$A$2:$A$1001,0),""))</f>
        <v/>
      </c>
      <c r="AQ907" s="5">
        <f>IF($A907="","",IFERROR(MATCH($A907,Raw_D2!$B$2:$B$1001,0),""))</f>
        <v/>
      </c>
      <c r="AR907" s="5">
        <f>IF($A907="","",IFERROR(MATCH($A907,Raw_D3!$A$2:$A$1001,0),""))</f>
        <v>287</v>
      </c>
    </row>
    <row r="908" spans="1:44" x14ac:dyDescent="0.25">
      <c r="A908" s="5">
        <v>907</v>
      </c>
      <c r="B908" s="11">
        <f>IF($A908="","",IF($AP908&lt;&gt;"",INDEX(Raw_D1!$B$2:$B$1001,$AP908),IF($AR908&lt;&gt;"",INDEX(Raw_D3!$B$2:$B$1001,$AR908),"")))</f>
        <v>40584.0</v>
      </c>
      <c r="C908" s="5">
        <f>IF($A908="","",IF($AP908&lt;&gt;"",INDEX(Raw_D1!$C$2:$C$1001,$AP908),IF($AR908&lt;&gt;"",INDEX(Raw_D3!$C$2:$C$1001,$AR908),"")))</f>
        <v>1</v>
      </c>
      <c r="D908" s="5">
        <f>IF($A908="","",IF($AP908&lt;&gt;"",INDEX(Raw_D1!$D$2:$D$1001,$AP908),IF($AR908&lt;&gt;"",INDEX(Raw_D3!$D$2:$D$1001,$AR908),"")))</f>
        <v>0</v>
      </c>
      <c r="E908" s="5">
        <f>IF($A908="","",IF($AP908&lt;&gt;"",INDEX(Raw_D1!$E$2:$E$1001,$AP908),IF($AR908&lt;&gt;"",INDEX(Raw_D3!$E$2:$E$1001,$AR908),"")))</f>
        <v>2</v>
      </c>
      <c r="F908" s="5">
        <f>IF($A908="","",IF($AP908&lt;&gt;"",INDEX(Raw_D1!$F$2:$F$1001,$AP908),IF($AR908&lt;&gt;"",INDEX(Raw_D3!$F$2:$F$1001,$AR908),"")))</f>
        <v>7</v>
      </c>
      <c r="G908" s="5">
        <f>IF($A908="","",IF($AP908&lt;&gt;"",IF(INDEX(Raw_D1!$G$2:$G$1001,$AP908),1,0),IF($AR908&lt;&gt;"",IF(INDEX(Raw_D3!$G$2:$G$1001,$AR908),1,0),"")))</f>
        <v>0</v>
      </c>
      <c r="H908" s="5">
        <f>IF($A908="","",IF($AP908&lt;&gt;"",INDEX(Raw_D1!$H$2:$H$1001,$AP908),IF($AR908&lt;&gt;"",INDEX(Raw_D3!$H$2:$H$1001,$AR908),"")))</f>
        <v>4</v>
      </c>
      <c r="I908" s="5">
        <f>IF($A908="","",IF($AP908&lt;&gt;"",INDEX(Raw_D1!$I$2:$I$1001,$AP908),IF($AR908&lt;&gt;"",INDEX(Raw_D3!$I$2:$I$1001,$AR908),"")))</f>
        <v>1</v>
      </c>
      <c r="J908" s="16">
        <f>IF($A908="","",IF($AP908&lt;&gt;"",INDEX(Raw_D1!$J$2:$J$1001,$AP908),IF($AR908&lt;&gt;"",INDEX(Raw_D3!$J$2:$J$1001,$AR908),"")))</f>
        <v>0.1</v>
      </c>
      <c r="K908" s="17">
        <f>IF($A908="","",IF($AQ908&lt;&gt;"",IF(INDEX(Raw_D2!$C$2:$C$1001,$AQ908)="","",INDEX(Raw_D2!$C$2:$C$1001,$AQ908)),IF($AR908&lt;&gt;"",IF(INDEX(Raw_D3!$K$2:$K$1001,$AR908)="","",INDEX(Raw_D3!$K$2:$K$1001,$AR908)),"")))</f>
        <v>0.0758</v>
      </c>
      <c r="L908" s="16">
        <f>IF($A908="","",IF($AQ908&lt;&gt;"",IF(INDEX(Raw_D2!$D$2:$D$1001,$AQ908)="","",INDEX(Raw_D2!$D$2:$D$1001,$AQ908)),IF($AR908&lt;&gt;"",IF(INDEX(Raw_D3!$L$2:$L$1001,$AR908)="","",INDEX(Raw_D3!$L$2:$L$1001,$AR908)),"")))</f>
        <v>0.5</v>
      </c>
      <c r="M908" s="17">
        <f>IF($A908="","",IF($AQ908&lt;&gt;"",IF(INDEX(Raw_D2!$E$2:$E$1001,$AQ908)="","",INDEX(Raw_D2!$E$2:$E$1001,$AQ908)),IF($AR908&lt;&gt;"",IF(INDEX(Raw_D3!$M$2:$M$1001,$AR908)="","",INDEX(Raw_D3!$M$2:$M$1001,$AR908)),"")))</f>
        <v>0.4179</v>
      </c>
      <c r="N908" s="5">
        <f>IF($A908="","",IF($AQ908&lt;&gt;"",IF(INDEX(Raw_D2!$F$2:$F$1001,$AQ908)="","",INDEX(Raw_D2!$F$2:$F$1001,$AQ908)),IF($AR908&lt;&gt;"",IF(INDEX(Raw_D3!$N$2:$N$1001,$AR908)="","",INDEX(Raw_D3!$N$2:$N$1001,$AR908)),"")))</f>
        <v>0</v>
      </c>
      <c r="O908" s="5">
        <f>IF($A908="","",IF($AQ908&lt;&gt;"",IF(INDEX(Raw_D2!$G$2:$G$1001,$AQ908)="","",INDEX(Raw_D2!$G$2:$G$1001,$AQ908)),IF($AR908&lt;&gt;"",IF(INDEX(Raw_D3!$O$2:$O$1001,$AR908)="","",INDEX(Raw_D3!$O$2:$O$1001,$AR908)),"")))</f>
        <v>99</v>
      </c>
      <c r="P908" s="5">
        <f>IF($A908="","",IF($AQ908&lt;&gt;"",IF(INDEX(Raw_D2!$H$2:$H$1001,$AQ908)="","",INDEX(Raw_D2!$H$2:$H$1001,$AQ908)),IF($AR908&lt;&gt;"",IF(INDEX(Raw_D3!$P$2:$P$1001,$AR908)="","",INDEX(Raw_D3!$P$2:$P$1001,$AR908)),"")))</f>
        <v>99</v>
      </c>
      <c r="Q908" s="5" t="str">
        <f>IF($A908="","",IF(AND($AP908&lt;&gt;"",$AQ908&lt;&gt;""),"D1+D2",IF($AR908&lt;&gt;"","D3","Incomplete")))</f>
        <v>D3</v>
      </c>
      <c r="R908" s="17">
        <f>IF($A908="","",IF($K908="",IF($J908="","",ROUND(Lookups!$K$5+Lookups!$K$4*$J908,4)),$K908))</f>
        <v>0.0758</v>
      </c>
      <c r="S908" s="5" t="str">
        <f>IF($A908="","",IF($K908="","Imputed","Original"))</f>
        <v>Original</v>
      </c>
      <c r="T908" s="5" t="str">
        <f>IF($A908="","",IF($P908="","Missing",IF($P908=$N908+$O908,"OK","Mismatch")))</f>
        <v>OK</v>
      </c>
      <c r="U908" s="5" t="str">
        <f>IF($A908="","",IF(COUNTIF($A$2:$A908,$A908)&gt;1,"Duplicate","Unique"))</f>
        <v>Unique</v>
      </c>
      <c r="V908" s="5">
        <f>IF($A908="","",IF(AND($U908="Unique",ISNUMBER($P908)),1,0))</f>
        <v>1</v>
      </c>
      <c r="W908" s="5" t="str">
        <f>IF($A908="","",IF(OR($H908=0,$H908=6),"Weekend","Weekday"))</f>
        <v>Weekday</v>
      </c>
      <c r="X908" s="5" t="str">
        <f>IF($A908="","",TEXT($B908,"ddd"))</f>
        <v>Thu</v>
      </c>
      <c r="Y908" s="5" t="str">
        <f>IF($A908="","",TEXT($B908,"mmm"))</f>
        <v>Feb</v>
      </c>
      <c r="Z908" s="5" t="str">
        <f>IF($A908="","",IFERROR(VLOOKUP($C908,Lookups!$D$4:$E$7,2,FALSE),"Unknown"))</f>
        <v>Winter</v>
      </c>
      <c r="AA908" s="5" t="str">
        <f>IF($A908="","",IFERROR(VLOOKUP($I908,Lookups!$A$4:$B$7,2,FALSE),"Unknown"))</f>
        <v>Clear</v>
      </c>
      <c r="AB908" s="5" t="str">
        <f>IF($A908="","",TEXT($F908,"00")&amp;":00")</f>
        <v>07:00</v>
      </c>
      <c r="AC908" s="5" t="str">
        <f>IF($A908="","",VLOOKUP($F908,Lookups!$G$4:$H$8,2,TRUE))</f>
        <v>Morning Peak (06-09)</v>
      </c>
      <c r="AD908" s="18">
        <f>IF($A908="","",IF($J908="","",ROUND($J908*41,1)))</f>
        <v>4.1</v>
      </c>
      <c r="AE908" s="18">
        <f>IF($A908="","",IF($R908="","",ROUND($R908*50,1)))</f>
        <v>3.8</v>
      </c>
      <c r="AF908" s="5">
        <f>IF($A908="","",IF($L908="","",ROUND($L908*100,0)))</f>
        <v>50</v>
      </c>
      <c r="AG908" s="18">
        <f>IF($A908="","",IF($M908="","",ROUND($M908*67,1)))</f>
        <v>28</v>
      </c>
      <c r="AH908" s="19">
        <f>IF($A908="","",IF($P908="","",IF($P908=0,0,$O908/$P908)))</f>
        <v>1</v>
      </c>
      <c r="AI908" s="5" t="str">
        <f>IF($A908="","",IF($P908="","",IF($P908&gt;=Lookups!$K$7,"High",IF($P908&lt;=Lookups!$K$8,"Low","Medium"))))</f>
        <v>High</v>
      </c>
      <c r="AJ908" s="5" t="str">
        <f>IF($A908="","",IF($AD908="","",IF($AD908&lt;5,"Under 5 C",IF($AD908&lt;10,"5-10 C",IF($AD908&lt;15,"10-15 C","15 C and above")))))</f>
        <v>Under 5 C</v>
      </c>
      <c r="AK908" s="5">
        <f>IF($A908="","",IF($P908="","",$P908^2))</f>
        <v>9801</v>
      </c>
      <c r="AL908" s="18">
        <f>IF($V908&lt;&gt;1,"",AVERAGEIFS(Clean_Data!$P$2:$P$1001,Clean_Data!$F$2:$F$1001,$F908,Clean_Data!$W$2:$W$1001,$W908,Clean_Data!$V$2:$V$1001,1))</f>
        <v>78.0344827586207</v>
      </c>
      <c r="AM908" s="16">
        <f>IF($V908&lt;&gt;1,"",IFERROR(($P908-$AL908)/SQRT(MAX(0,(SUMIFS(Clean_Data!$AK$2:$AK$1001,Clean_Data!$F$2:$F$1001,$F908,Clean_Data!$W$2:$W$1001,$W908,Clean_Data!$V$2:$V$1001,1)-COUNTIFS(Clean_Data!$F$2:$F$1001,$F908,Clean_Data!$W$2:$W$1001,$W908,Clean_Data!$V$2:$V$1001,1)*$AL908^2)/(COUNTIFS(Clean_Data!$F$2:$F$1001,$F908,Clean_Data!$W$2:$W$1001,$W908,Clean_Data!$V$2:$V$1001,1)-1))),""))</f>
        <v>0.92632870020131</v>
      </c>
      <c r="AN908" s="5" t="str">
        <f>IF($AM908="","",IF($AM908&gt;=Lookups!$K$6,"High spike",IF($AM908&lt;=-Lookups!$K$6,"Unusual low","Normal")))</f>
        <v>Normal</v>
      </c>
      <c r="AO908" s="20">
        <f>IF($V908&lt;&gt;1,"",$P908+ROW()/100000)</f>
        <v>99.00908</v>
      </c>
      <c r="AP908" s="5">
        <f>IF($A908="","",IFERROR(MATCH($A908,Raw_D1!$A$2:$A$1001,0),""))</f>
        <v/>
      </c>
      <c r="AQ908" s="5">
        <f>IF($A908="","",IFERROR(MATCH($A908,Raw_D2!$B$2:$B$1001,0),""))</f>
        <v/>
      </c>
      <c r="AR908" s="5">
        <f>IF($A908="","",IFERROR(MATCH($A908,Raw_D3!$A$2:$A$1001,0),""))</f>
        <v>288</v>
      </c>
    </row>
    <row r="909" spans="1:44" x14ac:dyDescent="0.25">
      <c r="A909" s="5">
        <v>908</v>
      </c>
      <c r="B909" s="11">
        <f>IF($A909="","",IF($AP909&lt;&gt;"",INDEX(Raw_D1!$B$2:$B$1001,$AP909),IF($AR909&lt;&gt;"",INDEX(Raw_D3!$B$2:$B$1001,$AR909),"")))</f>
        <v>40584.0</v>
      </c>
      <c r="C909" s="5">
        <f>IF($A909="","",IF($AP909&lt;&gt;"",INDEX(Raw_D1!$C$2:$C$1001,$AP909),IF($AR909&lt;&gt;"",INDEX(Raw_D3!$C$2:$C$1001,$AR909),"")))</f>
        <v>1</v>
      </c>
      <c r="D909" s="5">
        <f>IF($A909="","",IF($AP909&lt;&gt;"",INDEX(Raw_D1!$D$2:$D$1001,$AP909),IF($AR909&lt;&gt;"",INDEX(Raw_D3!$D$2:$D$1001,$AR909),"")))</f>
        <v>0</v>
      </c>
      <c r="E909" s="5">
        <f>IF($A909="","",IF($AP909&lt;&gt;"",INDEX(Raw_D1!$E$2:$E$1001,$AP909),IF($AR909&lt;&gt;"",INDEX(Raw_D3!$E$2:$E$1001,$AR909),"")))</f>
        <v>2</v>
      </c>
      <c r="F909" s="5">
        <f>IF($A909="","",IF($AP909&lt;&gt;"",INDEX(Raw_D1!$F$2:$F$1001,$AP909),IF($AR909&lt;&gt;"",INDEX(Raw_D3!$F$2:$F$1001,$AR909),"")))</f>
        <v>8</v>
      </c>
      <c r="G909" s="5">
        <f>IF($A909="","",IF($AP909&lt;&gt;"",IF(INDEX(Raw_D1!$G$2:$G$1001,$AP909),1,0),IF($AR909&lt;&gt;"",IF(INDEX(Raw_D3!$G$2:$G$1001,$AR909),1,0),"")))</f>
        <v>0</v>
      </c>
      <c r="H909" s="5">
        <f>IF($A909="","",IF($AP909&lt;&gt;"",INDEX(Raw_D1!$H$2:$H$1001,$AP909),IF($AR909&lt;&gt;"",INDEX(Raw_D3!$H$2:$H$1001,$AR909),"")))</f>
        <v>4</v>
      </c>
      <c r="I909" s="5">
        <f>IF($A909="","",IF($AP909&lt;&gt;"",INDEX(Raw_D1!$I$2:$I$1001,$AP909),IF($AR909&lt;&gt;"",INDEX(Raw_D3!$I$2:$I$1001,$AR909),"")))</f>
        <v>1</v>
      </c>
      <c r="J909" s="16">
        <f>IF($A909="","",IF($AP909&lt;&gt;"",INDEX(Raw_D1!$J$2:$J$1001,$AP909),IF($AR909&lt;&gt;"",INDEX(Raw_D3!$J$2:$J$1001,$AR909),"")))</f>
        <v>0.1</v>
      </c>
      <c r="K909" s="17">
        <f>IF($A909="","",IF($AQ909&lt;&gt;"",IF(INDEX(Raw_D2!$C$2:$C$1001,$AQ909)="","",INDEX(Raw_D2!$C$2:$C$1001,$AQ909)),IF($AR909&lt;&gt;"",IF(INDEX(Raw_D3!$K$2:$K$1001,$AR909)="","",INDEX(Raw_D3!$K$2:$K$1001,$AR909)),"")))</f>
        <v>0.0758</v>
      </c>
      <c r="L909" s="16">
        <f>IF($A909="","",IF($AQ909&lt;&gt;"",IF(INDEX(Raw_D2!$D$2:$D$1001,$AQ909)="","",INDEX(Raw_D2!$D$2:$D$1001,$AQ909)),IF($AR909&lt;&gt;"",IF(INDEX(Raw_D3!$L$2:$L$1001,$AR909)="","",INDEX(Raw_D3!$L$2:$L$1001,$AR909)),"")))</f>
        <v>0.49</v>
      </c>
      <c r="M909" s="17">
        <f>IF($A909="","",IF($AQ909&lt;&gt;"",IF(INDEX(Raw_D2!$E$2:$E$1001,$AQ909)="","",INDEX(Raw_D2!$E$2:$E$1001,$AQ909)),IF($AR909&lt;&gt;"",IF(INDEX(Raw_D3!$M$2:$M$1001,$AR909)="","",INDEX(Raw_D3!$M$2:$M$1001,$AR909)),"")))</f>
        <v>0.3284</v>
      </c>
      <c r="N909" s="5">
        <f>IF($A909="","",IF($AQ909&lt;&gt;"",IF(INDEX(Raw_D2!$F$2:$F$1001,$AQ909)="","",INDEX(Raw_D2!$F$2:$F$1001,$AQ909)),IF($AR909&lt;&gt;"",IF(INDEX(Raw_D3!$N$2:$N$1001,$AR909)="","",INDEX(Raw_D3!$N$2:$N$1001,$AR909)),"")))</f>
        <v>5</v>
      </c>
      <c r="O909" s="5">
        <f>IF($A909="","",IF($AQ909&lt;&gt;"",IF(INDEX(Raw_D2!$G$2:$G$1001,$AQ909)="","",INDEX(Raw_D2!$G$2:$G$1001,$AQ909)),IF($AR909&lt;&gt;"",IF(INDEX(Raw_D3!$O$2:$O$1001,$AR909)="","",INDEX(Raw_D3!$O$2:$O$1001,$AR909)),"")))</f>
        <v>173</v>
      </c>
      <c r="P909" s="5">
        <f>IF($A909="","",IF($AQ909&lt;&gt;"",IF(INDEX(Raw_D2!$H$2:$H$1001,$AQ909)="","",INDEX(Raw_D2!$H$2:$H$1001,$AQ909)),IF($AR909&lt;&gt;"",IF(INDEX(Raw_D3!$P$2:$P$1001,$AR909)="","",INDEX(Raw_D3!$P$2:$P$1001,$AR909)),"")))</f>
        <v>178</v>
      </c>
      <c r="Q909" s="5" t="str">
        <f>IF($A909="","",IF(AND($AP909&lt;&gt;"",$AQ909&lt;&gt;""),"D1+D2",IF($AR909&lt;&gt;"","D3","Incomplete")))</f>
        <v>D3</v>
      </c>
      <c r="R909" s="17">
        <f>IF($A909="","",IF($K909="",IF($J909="","",ROUND(Lookups!$K$5+Lookups!$K$4*$J909,4)),$K909))</f>
        <v>0.0758</v>
      </c>
      <c r="S909" s="5" t="str">
        <f>IF($A909="","",IF($K909="","Imputed","Original"))</f>
        <v>Original</v>
      </c>
      <c r="T909" s="5" t="str">
        <f>IF($A909="","",IF($P909="","Missing",IF($P909=$N909+$O909,"OK","Mismatch")))</f>
        <v>OK</v>
      </c>
      <c r="U909" s="5" t="str">
        <f>IF($A909="","",IF(COUNTIF($A$2:$A909,$A909)&gt;1,"Duplicate","Unique"))</f>
        <v>Unique</v>
      </c>
      <c r="V909" s="5">
        <f>IF($A909="","",IF(AND($U909="Unique",ISNUMBER($P909)),1,0))</f>
        <v>1</v>
      </c>
      <c r="W909" s="5" t="str">
        <f>IF($A909="","",IF(OR($H909=0,$H909=6),"Weekend","Weekday"))</f>
        <v>Weekday</v>
      </c>
      <c r="X909" s="5" t="str">
        <f>IF($A909="","",TEXT($B909,"ddd"))</f>
        <v>Thu</v>
      </c>
      <c r="Y909" s="5" t="str">
        <f>IF($A909="","",TEXT($B909,"mmm"))</f>
        <v>Feb</v>
      </c>
      <c r="Z909" s="5" t="str">
        <f>IF($A909="","",IFERROR(VLOOKUP($C909,Lookups!$D$4:$E$7,2,FALSE),"Unknown"))</f>
        <v>Winter</v>
      </c>
      <c r="AA909" s="5" t="str">
        <f>IF($A909="","",IFERROR(VLOOKUP($I909,Lookups!$A$4:$B$7,2,FALSE),"Unknown"))</f>
        <v>Clear</v>
      </c>
      <c r="AB909" s="5" t="str">
        <f>IF($A909="","",TEXT($F909,"00")&amp;":00")</f>
        <v>08:00</v>
      </c>
      <c r="AC909" s="5" t="str">
        <f>IF($A909="","",VLOOKUP($F909,Lookups!$G$4:$H$8,2,TRUE))</f>
        <v>Morning Peak (06-09)</v>
      </c>
      <c r="AD909" s="18">
        <f>IF($A909="","",IF($J909="","",ROUND($J909*41,1)))</f>
        <v>4.1</v>
      </c>
      <c r="AE909" s="18">
        <f>IF($A909="","",IF($R909="","",ROUND($R909*50,1)))</f>
        <v>3.8</v>
      </c>
      <c r="AF909" s="5">
        <f>IF($A909="","",IF($L909="","",ROUND($L909*100,0)))</f>
        <v>49</v>
      </c>
      <c r="AG909" s="18">
        <f>IF($A909="","",IF($M909="","",ROUND($M909*67,1)))</f>
        <v>22</v>
      </c>
      <c r="AH909" s="19">
        <f>IF($A909="","",IF($P909="","",IF($P909=0,0,$O909/$P909)))</f>
        <v>0.971910112359551</v>
      </c>
      <c r="AI909" s="5" t="str">
        <f>IF($A909="","",IF($P909="","",IF($P909&gt;=Lookups!$K$7,"High",IF($P909&lt;=Lookups!$K$8,"Low","Medium"))))</f>
        <v>High</v>
      </c>
      <c r="AJ909" s="5" t="str">
        <f>IF($A909="","",IF($AD909="","",IF($AD909&lt;5,"Under 5 C",IF($AD909&lt;10,"5-10 C",IF($AD909&lt;15,"10-15 C","15 C and above")))))</f>
        <v>Under 5 C</v>
      </c>
      <c r="AK909" s="5">
        <f>IF($A909="","",IF($P909="","",$P909^2))</f>
        <v>31684</v>
      </c>
      <c r="AL909" s="18">
        <f>IF($V909&lt;&gt;1,"",AVERAGEIFS(Clean_Data!$P$2:$P$1001,Clean_Data!$F$2:$F$1001,$F909,Clean_Data!$W$2:$W$1001,$W909,Clean_Data!$V$2:$V$1001,1))</f>
        <v>183.535714285714</v>
      </c>
      <c r="AM909" s="16">
        <f>IF($V909&lt;&gt;1,"",IFERROR(($P909-$AL909)/SQRT(MAX(0,(SUMIFS(Clean_Data!$AK$2:$AK$1001,Clean_Data!$F$2:$F$1001,$F909,Clean_Data!$W$2:$W$1001,$W909,Clean_Data!$V$2:$V$1001,1)-COUNTIFS(Clean_Data!$F$2:$F$1001,$F909,Clean_Data!$W$2:$W$1001,$W909,Clean_Data!$V$2:$V$1001,1)*$AL909^2)/(COUNTIFS(Clean_Data!$F$2:$F$1001,$F909,Clean_Data!$W$2:$W$1001,$W909,Clean_Data!$V$2:$V$1001,1)-1))),""))</f>
        <v>-0.113576323551383</v>
      </c>
      <c r="AN909" s="5" t="str">
        <f>IF($AM909="","",IF($AM909&gt;=Lookups!$K$6,"High spike",IF($AM909&lt;=-Lookups!$K$6,"Unusual low","Normal")))</f>
        <v>Normal</v>
      </c>
      <c r="AO909" s="20">
        <f>IF($V909&lt;&gt;1,"",$P909+ROW()/100000)</f>
        <v>178.00909</v>
      </c>
      <c r="AP909" s="5">
        <f>IF($A909="","",IFERROR(MATCH($A909,Raw_D1!$A$2:$A$1001,0),""))</f>
        <v/>
      </c>
      <c r="AQ909" s="5">
        <f>IF($A909="","",IFERROR(MATCH($A909,Raw_D2!$B$2:$B$1001,0),""))</f>
        <v/>
      </c>
      <c r="AR909" s="5">
        <f>IF($A909="","",IFERROR(MATCH($A909,Raw_D3!$A$2:$A$1001,0),""))</f>
        <v>289</v>
      </c>
    </row>
    <row r="910" spans="1:44" x14ac:dyDescent="0.25">
      <c r="A910" s="5">
        <v>909</v>
      </c>
      <c r="B910" s="11">
        <f>IF($A910="","",IF($AP910&lt;&gt;"",INDEX(Raw_D1!$B$2:$B$1001,$AP910),IF($AR910&lt;&gt;"",INDEX(Raw_D3!$B$2:$B$1001,$AR910),"")))</f>
        <v>40584.0</v>
      </c>
      <c r="C910" s="5">
        <f>IF($A910="","",IF($AP910&lt;&gt;"",INDEX(Raw_D1!$C$2:$C$1001,$AP910),IF($AR910&lt;&gt;"",INDEX(Raw_D3!$C$2:$C$1001,$AR910),"")))</f>
        <v>1</v>
      </c>
      <c r="D910" s="5">
        <f>IF($A910="","",IF($AP910&lt;&gt;"",INDEX(Raw_D1!$D$2:$D$1001,$AP910),IF($AR910&lt;&gt;"",INDEX(Raw_D3!$D$2:$D$1001,$AR910),"")))</f>
        <v>0</v>
      </c>
      <c r="E910" s="5">
        <f>IF($A910="","",IF($AP910&lt;&gt;"",INDEX(Raw_D1!$E$2:$E$1001,$AP910),IF($AR910&lt;&gt;"",INDEX(Raw_D3!$E$2:$E$1001,$AR910),"")))</f>
        <v>2</v>
      </c>
      <c r="F910" s="5">
        <f>IF($A910="","",IF($AP910&lt;&gt;"",INDEX(Raw_D1!$F$2:$F$1001,$AP910),IF($AR910&lt;&gt;"",INDEX(Raw_D3!$F$2:$F$1001,$AR910),"")))</f>
        <v>9</v>
      </c>
      <c r="G910" s="5">
        <f>IF($A910="","",IF($AP910&lt;&gt;"",IF(INDEX(Raw_D1!$G$2:$G$1001,$AP910),1,0),IF($AR910&lt;&gt;"",IF(INDEX(Raw_D3!$G$2:$G$1001,$AR910),1,0),"")))</f>
        <v>0</v>
      </c>
      <c r="H910" s="5">
        <f>IF($A910="","",IF($AP910&lt;&gt;"",INDEX(Raw_D1!$H$2:$H$1001,$AP910),IF($AR910&lt;&gt;"",INDEX(Raw_D3!$H$2:$H$1001,$AR910),"")))</f>
        <v>4</v>
      </c>
      <c r="I910" s="5">
        <f>IF($A910="","",IF($AP910&lt;&gt;"",INDEX(Raw_D1!$I$2:$I$1001,$AP910),IF($AR910&lt;&gt;"",INDEX(Raw_D3!$I$2:$I$1001,$AR910),"")))</f>
        <v>1</v>
      </c>
      <c r="J910" s="16">
        <f>IF($A910="","",IF($AP910&lt;&gt;"",INDEX(Raw_D1!$J$2:$J$1001,$AP910),IF($AR910&lt;&gt;"",INDEX(Raw_D3!$J$2:$J$1001,$AR910),"")))</f>
        <v>0.12</v>
      </c>
      <c r="K910" s="17">
        <f>IF($A910="","",IF($AQ910&lt;&gt;"",IF(INDEX(Raw_D2!$C$2:$C$1001,$AQ910)="","",INDEX(Raw_D2!$C$2:$C$1001,$AQ910)),IF($AR910&lt;&gt;"",IF(INDEX(Raw_D3!$K$2:$K$1001,$AR910)="","",INDEX(Raw_D3!$K$2:$K$1001,$AR910)),"")))</f>
        <v>0.1061</v>
      </c>
      <c r="L910" s="16">
        <f>IF($A910="","",IF($AQ910&lt;&gt;"",IF(INDEX(Raw_D2!$D$2:$D$1001,$AQ910)="","",INDEX(Raw_D2!$D$2:$D$1001,$AQ910)),IF($AR910&lt;&gt;"",IF(INDEX(Raw_D3!$L$2:$L$1001,$AR910)="","",INDEX(Raw_D3!$L$2:$L$1001,$AR910)),"")))</f>
        <v>0.42</v>
      </c>
      <c r="M910" s="17">
        <f>IF($A910="","",IF($AQ910&lt;&gt;"",IF(INDEX(Raw_D2!$E$2:$E$1001,$AQ910)="","",INDEX(Raw_D2!$E$2:$E$1001,$AQ910)),IF($AR910&lt;&gt;"",IF(INDEX(Raw_D3!$M$2:$M$1001,$AR910)="","",INDEX(Raw_D3!$M$2:$M$1001,$AR910)),"")))</f>
        <v>0.3582</v>
      </c>
      <c r="N910" s="5">
        <f>IF($A910="","",IF($AQ910&lt;&gt;"",IF(INDEX(Raw_D2!$F$2:$F$1001,$AQ910)="","",INDEX(Raw_D2!$F$2:$F$1001,$AQ910)),IF($AR910&lt;&gt;"",IF(INDEX(Raw_D3!$N$2:$N$1001,$AR910)="","",INDEX(Raw_D3!$N$2:$N$1001,$AR910)),"")))</f>
        <v>1</v>
      </c>
      <c r="O910" s="5">
        <f>IF($A910="","",IF($AQ910&lt;&gt;"",IF(INDEX(Raw_D2!$G$2:$G$1001,$AQ910)="","",INDEX(Raw_D2!$G$2:$G$1001,$AQ910)),IF($AR910&lt;&gt;"",IF(INDEX(Raw_D3!$O$2:$O$1001,$AR910)="","",INDEX(Raw_D3!$O$2:$O$1001,$AR910)),"")))</f>
        <v>121</v>
      </c>
      <c r="P910" s="5">
        <f>IF($A910="","",IF($AQ910&lt;&gt;"",IF(INDEX(Raw_D2!$H$2:$H$1001,$AQ910)="","",INDEX(Raw_D2!$H$2:$H$1001,$AQ910)),IF($AR910&lt;&gt;"",IF(INDEX(Raw_D3!$P$2:$P$1001,$AR910)="","",INDEX(Raw_D3!$P$2:$P$1001,$AR910)),"")))</f>
        <v>122</v>
      </c>
      <c r="Q910" s="5" t="str">
        <f>IF($A910="","",IF(AND($AP910&lt;&gt;"",$AQ910&lt;&gt;""),"D1+D2",IF($AR910&lt;&gt;"","D3","Incomplete")))</f>
        <v>D3</v>
      </c>
      <c r="R910" s="17">
        <f>IF($A910="","",IF($K910="",IF($J910="","",ROUND(Lookups!$K$5+Lookups!$K$4*$J910,4)),$K910))</f>
        <v>0.1061</v>
      </c>
      <c r="S910" s="5" t="str">
        <f>IF($A910="","",IF($K910="","Imputed","Original"))</f>
        <v>Original</v>
      </c>
      <c r="T910" s="5" t="str">
        <f>IF($A910="","",IF($P910="","Missing",IF($P910=$N910+$O910,"OK","Mismatch")))</f>
        <v>OK</v>
      </c>
      <c r="U910" s="5" t="str">
        <f>IF($A910="","",IF(COUNTIF($A$2:$A910,$A910)&gt;1,"Duplicate","Unique"))</f>
        <v>Unique</v>
      </c>
      <c r="V910" s="5">
        <f>IF($A910="","",IF(AND($U910="Unique",ISNUMBER($P910)),1,0))</f>
        <v>1</v>
      </c>
      <c r="W910" s="5" t="str">
        <f>IF($A910="","",IF(OR($H910=0,$H910=6),"Weekend","Weekday"))</f>
        <v>Weekday</v>
      </c>
      <c r="X910" s="5" t="str">
        <f>IF($A910="","",TEXT($B910,"ddd"))</f>
        <v>Thu</v>
      </c>
      <c r="Y910" s="5" t="str">
        <f>IF($A910="","",TEXT($B910,"mmm"))</f>
        <v>Feb</v>
      </c>
      <c r="Z910" s="5" t="str">
        <f>IF($A910="","",IFERROR(VLOOKUP($C910,Lookups!$D$4:$E$7,2,FALSE),"Unknown"))</f>
        <v>Winter</v>
      </c>
      <c r="AA910" s="5" t="str">
        <f>IF($A910="","",IFERROR(VLOOKUP($I910,Lookups!$A$4:$B$7,2,FALSE),"Unknown"))</f>
        <v>Clear</v>
      </c>
      <c r="AB910" s="5" t="str">
        <f>IF($A910="","",TEXT($F910,"00")&amp;":00")</f>
        <v>09:00</v>
      </c>
      <c r="AC910" s="5" t="str">
        <f>IF($A910="","",VLOOKUP($F910,Lookups!$G$4:$H$8,2,TRUE))</f>
        <v>Morning Peak (06-09)</v>
      </c>
      <c r="AD910" s="18">
        <f>IF($A910="","",IF($J910="","",ROUND($J910*41,1)))</f>
        <v>4.9</v>
      </c>
      <c r="AE910" s="18">
        <f>IF($A910="","",IF($R910="","",ROUND($R910*50,1)))</f>
        <v>5.3</v>
      </c>
      <c r="AF910" s="5">
        <f>IF($A910="","",IF($L910="","",ROUND($L910*100,0)))</f>
        <v>42</v>
      </c>
      <c r="AG910" s="18">
        <f>IF($A910="","",IF($M910="","",ROUND($M910*67,1)))</f>
        <v>24</v>
      </c>
      <c r="AH910" s="19">
        <f>IF($A910="","",IF($P910="","",IF($P910=0,0,$O910/$P910)))</f>
        <v>0.991803278688525</v>
      </c>
      <c r="AI910" s="5" t="str">
        <f>IF($A910="","",IF($P910="","",IF($P910&gt;=Lookups!$K$7,"High",IF($P910&lt;=Lookups!$K$8,"Low","Medium"))))</f>
        <v>High</v>
      </c>
      <c r="AJ910" s="5" t="str">
        <f>IF($A910="","",IF($AD910="","",IF($AD910&lt;5,"Under 5 C",IF($AD910&lt;10,"5-10 C",IF($AD910&lt;15,"10-15 C","15 C and above")))))</f>
        <v>Under 5 C</v>
      </c>
      <c r="AK910" s="5">
        <f>IF($A910="","",IF($P910="","",$P910^2))</f>
        <v>14884</v>
      </c>
      <c r="AL910" s="18">
        <f>IF($V910&lt;&gt;1,"",AVERAGEIFS(Clean_Data!$P$2:$P$1001,Clean_Data!$F$2:$F$1001,$F910,Clean_Data!$W$2:$W$1001,$W910,Clean_Data!$V$2:$V$1001,1))</f>
        <v>115.678571428571</v>
      </c>
      <c r="AM910" s="16">
        <f>IF($V910&lt;&gt;1,"",IFERROR(($P910-$AL910)/SQRT(MAX(0,(SUMIFS(Clean_Data!$AK$2:$AK$1001,Clean_Data!$F$2:$F$1001,$F910,Clean_Data!$W$2:$W$1001,$W910,Clean_Data!$V$2:$V$1001,1)-COUNTIFS(Clean_Data!$F$2:$F$1001,$F910,Clean_Data!$W$2:$W$1001,$W910,Clean_Data!$V$2:$V$1001,1)*$AL910^2)/(COUNTIFS(Clean_Data!$F$2:$F$1001,$F910,Clean_Data!$W$2:$W$1001,$W910,Clean_Data!$V$2:$V$1001,1)-1))),""))</f>
        <v>0.245222544346415</v>
      </c>
      <c r="AN910" s="5" t="str">
        <f>IF($AM910="","",IF($AM910&gt;=Lookups!$K$6,"High spike",IF($AM910&lt;=-Lookups!$K$6,"Unusual low","Normal")))</f>
        <v>Normal</v>
      </c>
      <c r="AO910" s="20">
        <f>IF($V910&lt;&gt;1,"",$P910+ROW()/100000)</f>
        <v>122.0091</v>
      </c>
      <c r="AP910" s="5">
        <f>IF($A910="","",IFERROR(MATCH($A910,Raw_D1!$A$2:$A$1001,0),""))</f>
        <v/>
      </c>
      <c r="AQ910" s="5">
        <f>IF($A910="","",IFERROR(MATCH($A910,Raw_D2!$B$2:$B$1001,0),""))</f>
        <v/>
      </c>
      <c r="AR910" s="5">
        <f>IF($A910="","",IFERROR(MATCH($A910,Raw_D3!$A$2:$A$1001,0),""))</f>
        <v>290</v>
      </c>
    </row>
    <row r="911" spans="1:44" x14ac:dyDescent="0.25">
      <c r="A911" s="5">
        <v>910</v>
      </c>
      <c r="B911" s="11">
        <f>IF($A911="","",IF($AP911&lt;&gt;"",INDEX(Raw_D1!$B$2:$B$1001,$AP911),IF($AR911&lt;&gt;"",INDEX(Raw_D3!$B$2:$B$1001,$AR911),"")))</f>
        <v>40584.0</v>
      </c>
      <c r="C911" s="5">
        <f>IF($A911="","",IF($AP911&lt;&gt;"",INDEX(Raw_D1!$C$2:$C$1001,$AP911),IF($AR911&lt;&gt;"",INDEX(Raw_D3!$C$2:$C$1001,$AR911),"")))</f>
        <v>1</v>
      </c>
      <c r="D911" s="5">
        <f>IF($A911="","",IF($AP911&lt;&gt;"",INDEX(Raw_D1!$D$2:$D$1001,$AP911),IF($AR911&lt;&gt;"",INDEX(Raw_D3!$D$2:$D$1001,$AR911),"")))</f>
        <v>0</v>
      </c>
      <c r="E911" s="5">
        <f>IF($A911="","",IF($AP911&lt;&gt;"",INDEX(Raw_D1!$E$2:$E$1001,$AP911),IF($AR911&lt;&gt;"",INDEX(Raw_D3!$E$2:$E$1001,$AR911),"")))</f>
        <v>2</v>
      </c>
      <c r="F911" s="5">
        <f>IF($A911="","",IF($AP911&lt;&gt;"",INDEX(Raw_D1!$F$2:$F$1001,$AP911),IF($AR911&lt;&gt;"",INDEX(Raw_D3!$F$2:$F$1001,$AR911),"")))</f>
        <v>10</v>
      </c>
      <c r="G911" s="5">
        <f>IF($A911="","",IF($AP911&lt;&gt;"",IF(INDEX(Raw_D1!$G$2:$G$1001,$AP911),1,0),IF($AR911&lt;&gt;"",IF(INDEX(Raw_D3!$G$2:$G$1001,$AR911),1,0),"")))</f>
        <v>0</v>
      </c>
      <c r="H911" s="5">
        <f>IF($A911="","",IF($AP911&lt;&gt;"",INDEX(Raw_D1!$H$2:$H$1001,$AP911),IF($AR911&lt;&gt;"",INDEX(Raw_D3!$H$2:$H$1001,$AR911),"")))</f>
        <v>4</v>
      </c>
      <c r="I911" s="5">
        <f>IF($A911="","",IF($AP911&lt;&gt;"",INDEX(Raw_D1!$I$2:$I$1001,$AP911),IF($AR911&lt;&gt;"",INDEX(Raw_D3!$I$2:$I$1001,$AR911),"")))</f>
        <v>1</v>
      </c>
      <c r="J911" s="16">
        <f>IF($A911="","",IF($AP911&lt;&gt;"",INDEX(Raw_D1!$J$2:$J$1001,$AP911),IF($AR911&lt;&gt;"",INDEX(Raw_D3!$J$2:$J$1001,$AR911),"")))</f>
        <v>0.12</v>
      </c>
      <c r="K911" s="17">
        <f>IF($A911="","",IF($AQ911&lt;&gt;"",IF(INDEX(Raw_D2!$C$2:$C$1001,$AQ911)="","",INDEX(Raw_D2!$C$2:$C$1001,$AQ911)),IF($AR911&lt;&gt;"",IF(INDEX(Raw_D3!$K$2:$K$1001,$AR911)="","",INDEX(Raw_D3!$K$2:$K$1001,$AR911)),"")))</f>
        <v>0.1061</v>
      </c>
      <c r="L911" s="16">
        <f>IF($A911="","",IF($AQ911&lt;&gt;"",IF(INDEX(Raw_D2!$D$2:$D$1001,$AQ911)="","",INDEX(Raw_D2!$D$2:$D$1001,$AQ911)),IF($AR911&lt;&gt;"",IF(INDEX(Raw_D3!$L$2:$L$1001,$AR911)="","",INDEX(Raw_D3!$L$2:$L$1001,$AR911)),"")))</f>
        <v>0.42</v>
      </c>
      <c r="M911" s="17">
        <f>IF($A911="","",IF($AQ911&lt;&gt;"",IF(INDEX(Raw_D2!$E$2:$E$1001,$AQ911)="","",INDEX(Raw_D2!$E$2:$E$1001,$AQ911)),IF($AR911&lt;&gt;"",IF(INDEX(Raw_D3!$M$2:$M$1001,$AR911)="","",INDEX(Raw_D3!$M$2:$M$1001,$AR911)),"")))</f>
        <v>0.2985</v>
      </c>
      <c r="N911" s="5">
        <f>IF($A911="","",IF($AQ911&lt;&gt;"",IF(INDEX(Raw_D2!$F$2:$F$1001,$AQ911)="","",INDEX(Raw_D2!$F$2:$F$1001,$AQ911)),IF($AR911&lt;&gt;"",IF(INDEX(Raw_D3!$N$2:$N$1001,$AR911)="","",INDEX(Raw_D3!$N$2:$N$1001,$AR911)),"")))</f>
        <v>1</v>
      </c>
      <c r="O911" s="5">
        <f>IF($A911="","",IF($AQ911&lt;&gt;"",IF(INDEX(Raw_D2!$G$2:$G$1001,$AQ911)="","",INDEX(Raw_D2!$G$2:$G$1001,$AQ911)),IF($AR911&lt;&gt;"",IF(INDEX(Raw_D3!$O$2:$O$1001,$AR911)="","",INDEX(Raw_D3!$O$2:$O$1001,$AR911)),"")))</f>
        <v>34</v>
      </c>
      <c r="P911" s="5">
        <f>IF($A911="","",IF($AQ911&lt;&gt;"",IF(INDEX(Raw_D2!$H$2:$H$1001,$AQ911)="","",INDEX(Raw_D2!$H$2:$H$1001,$AQ911)),IF($AR911&lt;&gt;"",IF(INDEX(Raw_D3!$P$2:$P$1001,$AR911)="","",INDEX(Raw_D3!$P$2:$P$1001,$AR911)),"")))</f>
        <v>35</v>
      </c>
      <c r="Q911" s="5" t="str">
        <f>IF($A911="","",IF(AND($AP911&lt;&gt;"",$AQ911&lt;&gt;""),"D1+D2",IF($AR911&lt;&gt;"","D3","Incomplete")))</f>
        <v>D3</v>
      </c>
      <c r="R911" s="17">
        <f>IF($A911="","",IF($K911="",IF($J911="","",ROUND(Lookups!$K$5+Lookups!$K$4*$J911,4)),$K911))</f>
        <v>0.1061</v>
      </c>
      <c r="S911" s="5" t="str">
        <f>IF($A911="","",IF($K911="","Imputed","Original"))</f>
        <v>Original</v>
      </c>
      <c r="T911" s="5" t="str">
        <f>IF($A911="","",IF($P911="","Missing",IF($P911=$N911+$O911,"OK","Mismatch")))</f>
        <v>OK</v>
      </c>
      <c r="U911" s="5" t="str">
        <f>IF($A911="","",IF(COUNTIF($A$2:$A911,$A911)&gt;1,"Duplicate","Unique"))</f>
        <v>Unique</v>
      </c>
      <c r="V911" s="5">
        <f>IF($A911="","",IF(AND($U911="Unique",ISNUMBER($P911)),1,0))</f>
        <v>1</v>
      </c>
      <c r="W911" s="5" t="str">
        <f>IF($A911="","",IF(OR($H911=0,$H911=6),"Weekend","Weekday"))</f>
        <v>Weekday</v>
      </c>
      <c r="X911" s="5" t="str">
        <f>IF($A911="","",TEXT($B911,"ddd"))</f>
        <v>Thu</v>
      </c>
      <c r="Y911" s="5" t="str">
        <f>IF($A911="","",TEXT($B911,"mmm"))</f>
        <v>Feb</v>
      </c>
      <c r="Z911" s="5" t="str">
        <f>IF($A911="","",IFERROR(VLOOKUP($C911,Lookups!$D$4:$E$7,2,FALSE),"Unknown"))</f>
        <v>Winter</v>
      </c>
      <c r="AA911" s="5" t="str">
        <f>IF($A911="","",IFERROR(VLOOKUP($I911,Lookups!$A$4:$B$7,2,FALSE),"Unknown"))</f>
        <v>Clear</v>
      </c>
      <c r="AB911" s="5" t="str">
        <f>IF($A911="","",TEXT($F911,"00")&amp;":00")</f>
        <v>10:00</v>
      </c>
      <c r="AC911" s="5" t="str">
        <f>IF($A911="","",VLOOKUP($F911,Lookups!$G$4:$H$8,2,TRUE))</f>
        <v>Midday (10-15)</v>
      </c>
      <c r="AD911" s="18">
        <f>IF($A911="","",IF($J911="","",ROUND($J911*41,1)))</f>
        <v>4.9</v>
      </c>
      <c r="AE911" s="18">
        <f>IF($A911="","",IF($R911="","",ROUND($R911*50,1)))</f>
        <v>5.3</v>
      </c>
      <c r="AF911" s="5">
        <f>IF($A911="","",IF($L911="","",ROUND($L911*100,0)))</f>
        <v>42</v>
      </c>
      <c r="AG911" s="18">
        <f>IF($A911="","",IF($M911="","",ROUND($M911*67,1)))</f>
        <v>20</v>
      </c>
      <c r="AH911" s="19">
        <f>IF($A911="","",IF($P911="","",IF($P911=0,0,$O911/$P911)))</f>
        <v>0.971428571428571</v>
      </c>
      <c r="AI911" s="5" t="str">
        <f>IF($A911="","",IF($P911="","",IF($P911&gt;=Lookups!$K$7,"High",IF($P911&lt;=Lookups!$K$8,"Low","Medium"))))</f>
        <v>Medium</v>
      </c>
      <c r="AJ911" s="5" t="str">
        <f>IF($A911="","",IF($AD911="","",IF($AD911&lt;5,"Under 5 C",IF($AD911&lt;10,"5-10 C",IF($AD911&lt;15,"10-15 C","15 C and above")))))</f>
        <v>Under 5 C</v>
      </c>
      <c r="AK911" s="5">
        <f>IF($A911="","",IF($P911="","",$P911^2))</f>
        <v>1225</v>
      </c>
      <c r="AL911" s="18">
        <f>IF($V911&lt;&gt;1,"",AVERAGEIFS(Clean_Data!$P$2:$P$1001,Clean_Data!$F$2:$F$1001,$F911,Clean_Data!$W$2:$W$1001,$W911,Clean_Data!$V$2:$V$1001,1))</f>
        <v>49.0714285714286</v>
      </c>
      <c r="AM911" s="16">
        <f>IF($V911&lt;&gt;1,"",IFERROR(($P911-$AL911)/SQRT(MAX(0,(SUMIFS(Clean_Data!$AK$2:$AK$1001,Clean_Data!$F$2:$F$1001,$F911,Clean_Data!$W$2:$W$1001,$W911,Clean_Data!$V$2:$V$1001,1)-COUNTIFS(Clean_Data!$F$2:$F$1001,$F911,Clean_Data!$W$2:$W$1001,$W911,Clean_Data!$V$2:$V$1001,1)*$AL911^2)/(COUNTIFS(Clean_Data!$F$2:$F$1001,$F911,Clean_Data!$W$2:$W$1001,$W911,Clean_Data!$V$2:$V$1001,1)-1))),""))</f>
        <v>-1.39432818505044</v>
      </c>
      <c r="AN911" s="5" t="str">
        <f>IF($AM911="","",IF($AM911&gt;=Lookups!$K$6,"High spike",IF($AM911&lt;=-Lookups!$K$6,"Unusual low","Normal")))</f>
        <v>Normal</v>
      </c>
      <c r="AO911" s="20">
        <f>IF($V911&lt;&gt;1,"",$P911+ROW()/100000)</f>
        <v>35.00911</v>
      </c>
      <c r="AP911" s="5">
        <f>IF($A911="","",IFERROR(MATCH($A911,Raw_D1!$A$2:$A$1001,0),""))</f>
        <v/>
      </c>
      <c r="AQ911" s="5">
        <f>IF($A911="","",IFERROR(MATCH($A911,Raw_D2!$B$2:$B$1001,0),""))</f>
        <v/>
      </c>
      <c r="AR911" s="5">
        <f>IF($A911="","",IFERROR(MATCH($A911,Raw_D3!$A$2:$A$1001,0),""))</f>
        <v>291</v>
      </c>
    </row>
    <row r="912" spans="1:44" x14ac:dyDescent="0.25">
      <c r="A912" s="5">
        <v>911</v>
      </c>
      <c r="B912" s="11">
        <f>IF($A912="","",IF($AP912&lt;&gt;"",INDEX(Raw_D1!$B$2:$B$1001,$AP912),IF($AR912&lt;&gt;"",INDEX(Raw_D3!$B$2:$B$1001,$AR912),"")))</f>
        <v>40584.0</v>
      </c>
      <c r="C912" s="5">
        <f>IF($A912="","",IF($AP912&lt;&gt;"",INDEX(Raw_D1!$C$2:$C$1001,$AP912),IF($AR912&lt;&gt;"",INDEX(Raw_D3!$C$2:$C$1001,$AR912),"")))</f>
        <v>1</v>
      </c>
      <c r="D912" s="5">
        <f>IF($A912="","",IF($AP912&lt;&gt;"",INDEX(Raw_D1!$D$2:$D$1001,$AP912),IF($AR912&lt;&gt;"",INDEX(Raw_D3!$D$2:$D$1001,$AR912),"")))</f>
        <v>0</v>
      </c>
      <c r="E912" s="5">
        <f>IF($A912="","",IF($AP912&lt;&gt;"",INDEX(Raw_D1!$E$2:$E$1001,$AP912),IF($AR912&lt;&gt;"",INDEX(Raw_D3!$E$2:$E$1001,$AR912),"")))</f>
        <v>2</v>
      </c>
      <c r="F912" s="5">
        <f>IF($A912="","",IF($AP912&lt;&gt;"",INDEX(Raw_D1!$F$2:$F$1001,$AP912),IF($AR912&lt;&gt;"",INDEX(Raw_D3!$F$2:$F$1001,$AR912),"")))</f>
        <v>11</v>
      </c>
      <c r="G912" s="5">
        <f>IF($A912="","",IF($AP912&lt;&gt;"",IF(INDEX(Raw_D1!$G$2:$G$1001,$AP912),1,0),IF($AR912&lt;&gt;"",IF(INDEX(Raw_D3!$G$2:$G$1001,$AR912),1,0),"")))</f>
        <v>0</v>
      </c>
      <c r="H912" s="5">
        <f>IF($A912="","",IF($AP912&lt;&gt;"",INDEX(Raw_D1!$H$2:$H$1001,$AP912),IF($AR912&lt;&gt;"",INDEX(Raw_D3!$H$2:$H$1001,$AR912),"")))</f>
        <v>4</v>
      </c>
      <c r="I912" s="5">
        <f>IF($A912="","",IF($AP912&lt;&gt;"",INDEX(Raw_D1!$I$2:$I$1001,$AP912),IF($AR912&lt;&gt;"",INDEX(Raw_D3!$I$2:$I$1001,$AR912),"")))</f>
        <v>1</v>
      </c>
      <c r="J912" s="16">
        <f>IF($A912="","",IF($AP912&lt;&gt;"",INDEX(Raw_D1!$J$2:$J$1001,$AP912),IF($AR912&lt;&gt;"",INDEX(Raw_D3!$J$2:$J$1001,$AR912),"")))</f>
        <v>0.14</v>
      </c>
      <c r="K912" s="17">
        <f>IF($A912="","",IF($AQ912&lt;&gt;"",IF(INDEX(Raw_D2!$C$2:$C$1001,$AQ912)="","",INDEX(Raw_D2!$C$2:$C$1001,$AQ912)),IF($AR912&lt;&gt;"",IF(INDEX(Raw_D3!$K$2:$K$1001,$AR912)="","",INDEX(Raw_D3!$K$2:$K$1001,$AR912)),"")))</f>
        <v>0.1212</v>
      </c>
      <c r="L912" s="16">
        <f>IF($A912="","",IF($AQ912&lt;&gt;"",IF(INDEX(Raw_D2!$D$2:$D$1001,$AQ912)="","",INDEX(Raw_D2!$D$2:$D$1001,$AQ912)),IF($AR912&lt;&gt;"",IF(INDEX(Raw_D3!$L$2:$L$1001,$AR912)="","",INDEX(Raw_D3!$L$2:$L$1001,$AR912)),"")))</f>
        <v>0.39</v>
      </c>
      <c r="M912" s="17">
        <f>IF($A912="","",IF($AQ912&lt;&gt;"",IF(INDEX(Raw_D2!$E$2:$E$1001,$AQ912)="","",INDEX(Raw_D2!$E$2:$E$1001,$AQ912)),IF($AR912&lt;&gt;"",IF(INDEX(Raw_D3!$M$2:$M$1001,$AR912)="","",INDEX(Raw_D3!$M$2:$M$1001,$AR912)),"")))</f>
        <v>0.3582</v>
      </c>
      <c r="N912" s="5">
        <f>IF($A912="","",IF($AQ912&lt;&gt;"",IF(INDEX(Raw_D2!$F$2:$F$1001,$AQ912)="","",INDEX(Raw_D2!$F$2:$F$1001,$AQ912)),IF($AR912&lt;&gt;"",IF(INDEX(Raw_D3!$N$2:$N$1001,$AR912)="","",INDEX(Raw_D3!$N$2:$N$1001,$AR912)),"")))</f>
        <v>1</v>
      </c>
      <c r="O912" s="5">
        <f>IF($A912="","",IF($AQ912&lt;&gt;"",IF(INDEX(Raw_D2!$G$2:$G$1001,$AQ912)="","",INDEX(Raw_D2!$G$2:$G$1001,$AQ912)),IF($AR912&lt;&gt;"",IF(INDEX(Raw_D3!$O$2:$O$1001,$AR912)="","",INDEX(Raw_D3!$O$2:$O$1001,$AR912)),"")))</f>
        <v>44</v>
      </c>
      <c r="P912" s="5">
        <f>IF($A912="","",IF($AQ912&lt;&gt;"",IF(INDEX(Raw_D2!$H$2:$H$1001,$AQ912)="","",INDEX(Raw_D2!$H$2:$H$1001,$AQ912)),IF($AR912&lt;&gt;"",IF(INDEX(Raw_D3!$P$2:$P$1001,$AR912)="","",INDEX(Raw_D3!$P$2:$P$1001,$AR912)),"")))</f>
        <v>45</v>
      </c>
      <c r="Q912" s="5" t="str">
        <f>IF($A912="","",IF(AND($AP912&lt;&gt;"",$AQ912&lt;&gt;""),"D1+D2",IF($AR912&lt;&gt;"","D3","Incomplete")))</f>
        <v>D3</v>
      </c>
      <c r="R912" s="17">
        <f>IF($A912="","",IF($K912="",IF($J912="","",ROUND(Lookups!$K$5+Lookups!$K$4*$J912,4)),$K912))</f>
        <v>0.1212</v>
      </c>
      <c r="S912" s="5" t="str">
        <f>IF($A912="","",IF($K912="","Imputed","Original"))</f>
        <v>Original</v>
      </c>
      <c r="T912" s="5" t="str">
        <f>IF($A912="","",IF($P912="","Missing",IF($P912=$N912+$O912,"OK","Mismatch")))</f>
        <v>OK</v>
      </c>
      <c r="U912" s="5" t="str">
        <f>IF($A912="","",IF(COUNTIF($A$2:$A912,$A912)&gt;1,"Duplicate","Unique"))</f>
        <v>Unique</v>
      </c>
      <c r="V912" s="5">
        <f>IF($A912="","",IF(AND($U912="Unique",ISNUMBER($P912)),1,0))</f>
        <v>1</v>
      </c>
      <c r="W912" s="5" t="str">
        <f>IF($A912="","",IF(OR($H912=0,$H912=6),"Weekend","Weekday"))</f>
        <v>Weekday</v>
      </c>
      <c r="X912" s="5" t="str">
        <f>IF($A912="","",TEXT($B912,"ddd"))</f>
        <v>Thu</v>
      </c>
      <c r="Y912" s="5" t="str">
        <f>IF($A912="","",TEXT($B912,"mmm"))</f>
        <v>Feb</v>
      </c>
      <c r="Z912" s="5" t="str">
        <f>IF($A912="","",IFERROR(VLOOKUP($C912,Lookups!$D$4:$E$7,2,FALSE),"Unknown"))</f>
        <v>Winter</v>
      </c>
      <c r="AA912" s="5" t="str">
        <f>IF($A912="","",IFERROR(VLOOKUP($I912,Lookups!$A$4:$B$7,2,FALSE),"Unknown"))</f>
        <v>Clear</v>
      </c>
      <c r="AB912" s="5" t="str">
        <f>IF($A912="","",TEXT($F912,"00")&amp;":00")</f>
        <v>11:00</v>
      </c>
      <c r="AC912" s="5" t="str">
        <f>IF($A912="","",VLOOKUP($F912,Lookups!$G$4:$H$8,2,TRUE))</f>
        <v>Midday (10-15)</v>
      </c>
      <c r="AD912" s="18">
        <f>IF($A912="","",IF($J912="","",ROUND($J912*41,1)))</f>
        <v>5.7</v>
      </c>
      <c r="AE912" s="18">
        <f>IF($A912="","",IF($R912="","",ROUND($R912*50,1)))</f>
        <v>6.1</v>
      </c>
      <c r="AF912" s="5">
        <f>IF($A912="","",IF($L912="","",ROUND($L912*100,0)))</f>
        <v>39</v>
      </c>
      <c r="AG912" s="18">
        <f>IF($A912="","",IF($M912="","",ROUND($M912*67,1)))</f>
        <v>24</v>
      </c>
      <c r="AH912" s="19">
        <f>IF($A912="","",IF($P912="","",IF($P912=0,0,$O912/$P912)))</f>
        <v>0.977777777777778</v>
      </c>
      <c r="AI912" s="5" t="str">
        <f>IF($A912="","",IF($P912="","",IF($P912&gt;=Lookups!$K$7,"High",IF($P912&lt;=Lookups!$K$8,"Low","Medium"))))</f>
        <v>Medium</v>
      </c>
      <c r="AJ912" s="5" t="str">
        <f>IF($A912="","",IF($AD912="","",IF($AD912&lt;5,"Under 5 C",IF($AD912&lt;10,"5-10 C",IF($AD912&lt;15,"10-15 C","15 C and above")))))</f>
        <v>5-10 C</v>
      </c>
      <c r="AK912" s="5">
        <f>IF($A912="","",IF($P912="","",$P912^2))</f>
        <v>2025</v>
      </c>
      <c r="AL912" s="18">
        <f>IF($V912&lt;&gt;1,"",AVERAGEIFS(Clean_Data!$P$2:$P$1001,Clean_Data!$F$2:$F$1001,$F912,Clean_Data!$W$2:$W$1001,$W912,Clean_Data!$V$2:$V$1001,1))</f>
        <v>50.6071428571429</v>
      </c>
      <c r="AM912" s="16">
        <f>IF($V912&lt;&gt;1,"",IFERROR(($P912-$AL912)/SQRT(MAX(0,(SUMIFS(Clean_Data!$AK$2:$AK$1001,Clean_Data!$F$2:$F$1001,$F912,Clean_Data!$W$2:$W$1001,$W912,Clean_Data!$V$2:$V$1001,1)-COUNTIFS(Clean_Data!$F$2:$F$1001,$F912,Clean_Data!$W$2:$W$1001,$W912,Clean_Data!$V$2:$V$1001,1)*$AL912^2)/(COUNTIFS(Clean_Data!$F$2:$F$1001,$F912,Clean_Data!$W$2:$W$1001,$W912,Clean_Data!$V$2:$V$1001,1)-1))),""))</f>
        <v>-0.500504878487556</v>
      </c>
      <c r="AN912" s="5" t="str">
        <f>IF($AM912="","",IF($AM912&gt;=Lookups!$K$6,"High spike",IF($AM912&lt;=-Lookups!$K$6,"Unusual low","Normal")))</f>
        <v>Normal</v>
      </c>
      <c r="AO912" s="20">
        <f>IF($V912&lt;&gt;1,"",$P912+ROW()/100000)</f>
        <v>45.00912</v>
      </c>
      <c r="AP912" s="5">
        <f>IF($A912="","",IFERROR(MATCH($A912,Raw_D1!$A$2:$A$1001,0),""))</f>
        <v/>
      </c>
      <c r="AQ912" s="5">
        <f>IF($A912="","",IFERROR(MATCH($A912,Raw_D2!$B$2:$B$1001,0),""))</f>
        <v/>
      </c>
      <c r="AR912" s="5">
        <f>IF($A912="","",IFERROR(MATCH($A912,Raw_D3!$A$2:$A$1001,0),""))</f>
        <v>292</v>
      </c>
    </row>
    <row r="913" spans="1:44" x14ac:dyDescent="0.25">
      <c r="A913" s="5">
        <v>912</v>
      </c>
      <c r="B913" s="11">
        <f>IF($A913="","",IF($AP913&lt;&gt;"",INDEX(Raw_D1!$B$2:$B$1001,$AP913),IF($AR913&lt;&gt;"",INDEX(Raw_D3!$B$2:$B$1001,$AR913),"")))</f>
        <v>40584.0</v>
      </c>
      <c r="C913" s="5">
        <f>IF($A913="","",IF($AP913&lt;&gt;"",INDEX(Raw_D1!$C$2:$C$1001,$AP913),IF($AR913&lt;&gt;"",INDEX(Raw_D3!$C$2:$C$1001,$AR913),"")))</f>
        <v>1</v>
      </c>
      <c r="D913" s="5">
        <f>IF($A913="","",IF($AP913&lt;&gt;"",INDEX(Raw_D1!$D$2:$D$1001,$AP913),IF($AR913&lt;&gt;"",INDEX(Raw_D3!$D$2:$D$1001,$AR913),"")))</f>
        <v>0</v>
      </c>
      <c r="E913" s="5">
        <f>IF($A913="","",IF($AP913&lt;&gt;"",INDEX(Raw_D1!$E$2:$E$1001,$AP913),IF($AR913&lt;&gt;"",INDEX(Raw_D3!$E$2:$E$1001,$AR913),"")))</f>
        <v>2</v>
      </c>
      <c r="F913" s="5">
        <f>IF($A913="","",IF($AP913&lt;&gt;"",INDEX(Raw_D1!$F$2:$F$1001,$AP913),IF($AR913&lt;&gt;"",INDEX(Raw_D3!$F$2:$F$1001,$AR913),"")))</f>
        <v>12</v>
      </c>
      <c r="G913" s="5">
        <f>IF($A913="","",IF($AP913&lt;&gt;"",IF(INDEX(Raw_D1!$G$2:$G$1001,$AP913),1,0),IF($AR913&lt;&gt;"",IF(INDEX(Raw_D3!$G$2:$G$1001,$AR913),1,0),"")))</f>
        <v>0</v>
      </c>
      <c r="H913" s="5">
        <f>IF($A913="","",IF($AP913&lt;&gt;"",INDEX(Raw_D1!$H$2:$H$1001,$AP913),IF($AR913&lt;&gt;"",INDEX(Raw_D3!$H$2:$H$1001,$AR913),"")))</f>
        <v>4</v>
      </c>
      <c r="I913" s="5">
        <f>IF($A913="","",IF($AP913&lt;&gt;"",INDEX(Raw_D1!$I$2:$I$1001,$AP913),IF($AR913&lt;&gt;"",INDEX(Raw_D3!$I$2:$I$1001,$AR913),"")))</f>
        <v>1</v>
      </c>
      <c r="J913" s="16">
        <f>IF($A913="","",IF($AP913&lt;&gt;"",INDEX(Raw_D1!$J$2:$J$1001,$AP913),IF($AR913&lt;&gt;"",INDEX(Raw_D3!$J$2:$J$1001,$AR913),"")))</f>
        <v>0.16</v>
      </c>
      <c r="K913" s="17">
        <f>IF($A913="","",IF($AQ913&lt;&gt;"",IF(INDEX(Raw_D2!$C$2:$C$1001,$AQ913)="","",INDEX(Raw_D2!$C$2:$C$1001,$AQ913)),IF($AR913&lt;&gt;"",IF(INDEX(Raw_D3!$K$2:$K$1001,$AR913)="","",INDEX(Raw_D3!$K$2:$K$1001,$AR913)),"")))</f>
        <v>0.1364</v>
      </c>
      <c r="L913" s="16">
        <f>IF($A913="","",IF($AQ913&lt;&gt;"",IF(INDEX(Raw_D2!$D$2:$D$1001,$AQ913)="","",INDEX(Raw_D2!$D$2:$D$1001,$AQ913)),IF($AR913&lt;&gt;"",IF(INDEX(Raw_D3!$L$2:$L$1001,$AR913)="","",INDEX(Raw_D3!$L$2:$L$1001,$AR913)),"")))</f>
        <v>0.34</v>
      </c>
      <c r="M913" s="17">
        <f>IF($A913="","",IF($AQ913&lt;&gt;"",IF(INDEX(Raw_D2!$E$2:$E$1001,$AQ913)="","",INDEX(Raw_D2!$E$2:$E$1001,$AQ913)),IF($AR913&lt;&gt;"",IF(INDEX(Raw_D3!$M$2:$M$1001,$AR913)="","",INDEX(Raw_D3!$M$2:$M$1001,$AR913)),"")))</f>
        <v>0.3881</v>
      </c>
      <c r="N913" s="5">
        <f>IF($A913="","",IF($AQ913&lt;&gt;"",IF(INDEX(Raw_D2!$F$2:$F$1001,$AQ913)="","",INDEX(Raw_D2!$F$2:$F$1001,$AQ913)),IF($AR913&lt;&gt;"",IF(INDEX(Raw_D3!$N$2:$N$1001,$AR913)="","",INDEX(Raw_D3!$N$2:$N$1001,$AR913)),"")))</f>
        <v>4</v>
      </c>
      <c r="O913" s="5">
        <f>IF($A913="","",IF($AQ913&lt;&gt;"",IF(INDEX(Raw_D2!$G$2:$G$1001,$AQ913)="","",INDEX(Raw_D2!$G$2:$G$1001,$AQ913)),IF($AR913&lt;&gt;"",IF(INDEX(Raw_D3!$O$2:$O$1001,$AR913)="","",INDEX(Raw_D3!$O$2:$O$1001,$AR913)),"")))</f>
        <v>65</v>
      </c>
      <c r="P913" s="5">
        <f>IF($A913="","",IF($AQ913&lt;&gt;"",IF(INDEX(Raw_D2!$H$2:$H$1001,$AQ913)="","",INDEX(Raw_D2!$H$2:$H$1001,$AQ913)),IF($AR913&lt;&gt;"",IF(INDEX(Raw_D3!$P$2:$P$1001,$AR913)="","",INDEX(Raw_D3!$P$2:$P$1001,$AR913)),"")))</f>
        <v>69</v>
      </c>
      <c r="Q913" s="5" t="str">
        <f>IF($A913="","",IF(AND($AP913&lt;&gt;"",$AQ913&lt;&gt;""),"D1+D2",IF($AR913&lt;&gt;"","D3","Incomplete")))</f>
        <v>D3</v>
      </c>
      <c r="R913" s="17">
        <f>IF($A913="","",IF($K913="",IF($J913="","",ROUND(Lookups!$K$5+Lookups!$K$4*$J913,4)),$K913))</f>
        <v>0.1364</v>
      </c>
      <c r="S913" s="5" t="str">
        <f>IF($A913="","",IF($K913="","Imputed","Original"))</f>
        <v>Original</v>
      </c>
      <c r="T913" s="5" t="str">
        <f>IF($A913="","",IF($P913="","Missing",IF($P913=$N913+$O913,"OK","Mismatch")))</f>
        <v>OK</v>
      </c>
      <c r="U913" s="5" t="str">
        <f>IF($A913="","",IF(COUNTIF($A$2:$A913,$A913)&gt;1,"Duplicate","Unique"))</f>
        <v>Unique</v>
      </c>
      <c r="V913" s="5">
        <f>IF($A913="","",IF(AND($U913="Unique",ISNUMBER($P913)),1,0))</f>
        <v>1</v>
      </c>
      <c r="W913" s="5" t="str">
        <f>IF($A913="","",IF(OR($H913=0,$H913=6),"Weekend","Weekday"))</f>
        <v>Weekday</v>
      </c>
      <c r="X913" s="5" t="str">
        <f>IF($A913="","",TEXT($B913,"ddd"))</f>
        <v>Thu</v>
      </c>
      <c r="Y913" s="5" t="str">
        <f>IF($A913="","",TEXT($B913,"mmm"))</f>
        <v>Feb</v>
      </c>
      <c r="Z913" s="5" t="str">
        <f>IF($A913="","",IFERROR(VLOOKUP($C913,Lookups!$D$4:$E$7,2,FALSE),"Unknown"))</f>
        <v>Winter</v>
      </c>
      <c r="AA913" s="5" t="str">
        <f>IF($A913="","",IFERROR(VLOOKUP($I913,Lookups!$A$4:$B$7,2,FALSE),"Unknown"))</f>
        <v>Clear</v>
      </c>
      <c r="AB913" s="5" t="str">
        <f>IF($A913="","",TEXT($F913,"00")&amp;":00")</f>
        <v>12:00</v>
      </c>
      <c r="AC913" s="5" t="str">
        <f>IF($A913="","",VLOOKUP($F913,Lookups!$G$4:$H$8,2,TRUE))</f>
        <v>Midday (10-15)</v>
      </c>
      <c r="AD913" s="18">
        <f>IF($A913="","",IF($J913="","",ROUND($J913*41,1)))</f>
        <v>6.6</v>
      </c>
      <c r="AE913" s="18">
        <f>IF($A913="","",IF($R913="","",ROUND($R913*50,1)))</f>
        <v>6.8</v>
      </c>
      <c r="AF913" s="5">
        <f>IF($A913="","",IF($L913="","",ROUND($L913*100,0)))</f>
        <v>34</v>
      </c>
      <c r="AG913" s="18">
        <f>IF($A913="","",IF($M913="","",ROUND($M913*67,1)))</f>
        <v>26</v>
      </c>
      <c r="AH913" s="19">
        <f>IF($A913="","",IF($P913="","",IF($P913=0,0,$O913/$P913)))</f>
        <v>0.942028985507246</v>
      </c>
      <c r="AI913" s="5" t="str">
        <f>IF($A913="","",IF($P913="","",IF($P913&gt;=Lookups!$K$7,"High",IF($P913&lt;=Lookups!$K$8,"Low","Medium"))))</f>
        <v>Medium</v>
      </c>
      <c r="AJ913" s="5" t="str">
        <f>IF($A913="","",IF($AD913="","",IF($AD913&lt;5,"Under 5 C",IF($AD913&lt;10,"5-10 C",IF($AD913&lt;15,"10-15 C","15 C and above")))))</f>
        <v>5-10 C</v>
      </c>
      <c r="AK913" s="5">
        <f>IF($A913="","",IF($P913="","",$P913^2))</f>
        <v>4761</v>
      </c>
      <c r="AL913" s="18">
        <f>IF($V913&lt;&gt;1,"",AVERAGEIFS(Clean_Data!$P$2:$P$1001,Clean_Data!$F$2:$F$1001,$F913,Clean_Data!$W$2:$W$1001,$W913,Clean_Data!$V$2:$V$1001,1))</f>
        <v>64.5862068965517</v>
      </c>
      <c r="AM913" s="16">
        <f>IF($V913&lt;&gt;1,"",IFERROR(($P913-$AL913)/SQRT(MAX(0,(SUMIFS(Clean_Data!$AK$2:$AK$1001,Clean_Data!$F$2:$F$1001,$F913,Clean_Data!$W$2:$W$1001,$W913,Clean_Data!$V$2:$V$1001,1)-COUNTIFS(Clean_Data!$F$2:$F$1001,$F913,Clean_Data!$W$2:$W$1001,$W913,Clean_Data!$V$2:$V$1001,1)*$AL913^2)/(COUNTIFS(Clean_Data!$F$2:$F$1001,$F913,Clean_Data!$W$2:$W$1001,$W913,Clean_Data!$V$2:$V$1001,1)-1))),""))</f>
        <v>0.235674377956069</v>
      </c>
      <c r="AN913" s="5" t="str">
        <f>IF($AM913="","",IF($AM913&gt;=Lookups!$K$6,"High spike",IF($AM913&lt;=-Lookups!$K$6,"Unusual low","Normal")))</f>
        <v>Normal</v>
      </c>
      <c r="AO913" s="20">
        <f>IF($V913&lt;&gt;1,"",$P913+ROW()/100000)</f>
        <v>69.00913</v>
      </c>
      <c r="AP913" s="5">
        <f>IF($A913="","",IFERROR(MATCH($A913,Raw_D1!$A$2:$A$1001,0),""))</f>
        <v/>
      </c>
      <c r="AQ913" s="5">
        <f>IF($A913="","",IFERROR(MATCH($A913,Raw_D2!$B$2:$B$1001,0),""))</f>
        <v/>
      </c>
      <c r="AR913" s="5">
        <f>IF($A913="","",IFERROR(MATCH($A913,Raw_D3!$A$2:$A$1001,0),""))</f>
        <v>293</v>
      </c>
    </row>
    <row r="914" spans="1:44" x14ac:dyDescent="0.25">
      <c r="A914" s="5">
        <v>913</v>
      </c>
      <c r="B914" s="11">
        <f>IF($A914="","",IF($AP914&lt;&gt;"",INDEX(Raw_D1!$B$2:$B$1001,$AP914),IF($AR914&lt;&gt;"",INDEX(Raw_D3!$B$2:$B$1001,$AR914),"")))</f>
        <v>40584.0</v>
      </c>
      <c r="C914" s="5">
        <f>IF($A914="","",IF($AP914&lt;&gt;"",INDEX(Raw_D1!$C$2:$C$1001,$AP914),IF($AR914&lt;&gt;"",INDEX(Raw_D3!$C$2:$C$1001,$AR914),"")))</f>
        <v>1</v>
      </c>
      <c r="D914" s="5">
        <f>IF($A914="","",IF($AP914&lt;&gt;"",INDEX(Raw_D1!$D$2:$D$1001,$AP914),IF($AR914&lt;&gt;"",INDEX(Raw_D3!$D$2:$D$1001,$AR914),"")))</f>
        <v>0</v>
      </c>
      <c r="E914" s="5">
        <f>IF($A914="","",IF($AP914&lt;&gt;"",INDEX(Raw_D1!$E$2:$E$1001,$AP914),IF($AR914&lt;&gt;"",INDEX(Raw_D3!$E$2:$E$1001,$AR914),"")))</f>
        <v>2</v>
      </c>
      <c r="F914" s="5">
        <f>IF($A914="","",IF($AP914&lt;&gt;"",INDEX(Raw_D1!$F$2:$F$1001,$AP914),IF($AR914&lt;&gt;"",INDEX(Raw_D3!$F$2:$F$1001,$AR914),"")))</f>
        <v>13</v>
      </c>
      <c r="G914" s="5">
        <f>IF($A914="","",IF($AP914&lt;&gt;"",IF(INDEX(Raw_D1!$G$2:$G$1001,$AP914),1,0),IF($AR914&lt;&gt;"",IF(INDEX(Raw_D3!$G$2:$G$1001,$AR914),1,0),"")))</f>
        <v>0</v>
      </c>
      <c r="H914" s="5">
        <f>IF($A914="","",IF($AP914&lt;&gt;"",INDEX(Raw_D1!$H$2:$H$1001,$AP914),IF($AR914&lt;&gt;"",INDEX(Raw_D3!$H$2:$H$1001,$AR914),"")))</f>
        <v>4</v>
      </c>
      <c r="I914" s="5">
        <f>IF($A914="","",IF($AP914&lt;&gt;"",INDEX(Raw_D1!$I$2:$I$1001,$AP914),IF($AR914&lt;&gt;"",INDEX(Raw_D3!$I$2:$I$1001,$AR914),"")))</f>
        <v>1</v>
      </c>
      <c r="J914" s="16">
        <f>IF($A914="","",IF($AP914&lt;&gt;"",INDEX(Raw_D1!$J$2:$J$1001,$AP914),IF($AR914&lt;&gt;"",INDEX(Raw_D3!$J$2:$J$1001,$AR914),"")))</f>
        <v>0.18</v>
      </c>
      <c r="K914" s="17">
        <f>IF($A914="","",IF($AQ914&lt;&gt;"",IF(INDEX(Raw_D2!$C$2:$C$1001,$AQ914)="","",INDEX(Raw_D2!$C$2:$C$1001,$AQ914)),IF($AR914&lt;&gt;"",IF(INDEX(Raw_D3!$K$2:$K$1001,$AR914)="","",INDEX(Raw_D3!$K$2:$K$1001,$AR914)),"")))</f>
        <v>0.1667</v>
      </c>
      <c r="L914" s="16">
        <f>IF($A914="","",IF($AQ914&lt;&gt;"",IF(INDEX(Raw_D2!$D$2:$D$1001,$AQ914)="","",INDEX(Raw_D2!$D$2:$D$1001,$AQ914)),IF($AR914&lt;&gt;"",IF(INDEX(Raw_D3!$L$2:$L$1001,$AR914)="","",INDEX(Raw_D3!$L$2:$L$1001,$AR914)),"")))</f>
        <v>0.29</v>
      </c>
      <c r="M914" s="17">
        <f>IF($A914="","",IF($AQ914&lt;&gt;"",IF(INDEX(Raw_D2!$E$2:$E$1001,$AQ914)="","",INDEX(Raw_D2!$E$2:$E$1001,$AQ914)),IF($AR914&lt;&gt;"",IF(INDEX(Raw_D3!$M$2:$M$1001,$AR914)="","",INDEX(Raw_D3!$M$2:$M$1001,$AR914)),"")))</f>
        <v>0.2985</v>
      </c>
      <c r="N914" s="5">
        <f>IF($A914="","",IF($AQ914&lt;&gt;"",IF(INDEX(Raw_D2!$F$2:$F$1001,$AQ914)="","",INDEX(Raw_D2!$F$2:$F$1001,$AQ914)),IF($AR914&lt;&gt;"",IF(INDEX(Raw_D3!$N$2:$N$1001,$AR914)="","",INDEX(Raw_D3!$N$2:$N$1001,$AR914)),"")))</f>
        <v>3</v>
      </c>
      <c r="O914" s="5">
        <f>IF($A914="","",IF($AQ914&lt;&gt;"",IF(INDEX(Raw_D2!$G$2:$G$1001,$AQ914)="","",INDEX(Raw_D2!$G$2:$G$1001,$AQ914)),IF($AR914&lt;&gt;"",IF(INDEX(Raw_D3!$O$2:$O$1001,$AR914)="","",INDEX(Raw_D3!$O$2:$O$1001,$AR914)),"")))</f>
        <v>59</v>
      </c>
      <c r="P914" s="5">
        <f>IF($A914="","",IF($AQ914&lt;&gt;"",IF(INDEX(Raw_D2!$H$2:$H$1001,$AQ914)="","",INDEX(Raw_D2!$H$2:$H$1001,$AQ914)),IF($AR914&lt;&gt;"",IF(INDEX(Raw_D3!$P$2:$P$1001,$AR914)="","",INDEX(Raw_D3!$P$2:$P$1001,$AR914)),"")))</f>
        <v>62</v>
      </c>
      <c r="Q914" s="5" t="str">
        <f>IF($A914="","",IF(AND($AP914&lt;&gt;"",$AQ914&lt;&gt;""),"D1+D2",IF($AR914&lt;&gt;"","D3","Incomplete")))</f>
        <v>D3</v>
      </c>
      <c r="R914" s="17">
        <f>IF($A914="","",IF($K914="",IF($J914="","",ROUND(Lookups!$K$5+Lookups!$K$4*$J914,4)),$K914))</f>
        <v>0.1667</v>
      </c>
      <c r="S914" s="5" t="str">
        <f>IF($A914="","",IF($K914="","Imputed","Original"))</f>
        <v>Original</v>
      </c>
      <c r="T914" s="5" t="str">
        <f>IF($A914="","",IF($P914="","Missing",IF($P914=$N914+$O914,"OK","Mismatch")))</f>
        <v>OK</v>
      </c>
      <c r="U914" s="5" t="str">
        <f>IF($A914="","",IF(COUNTIF($A$2:$A914,$A914)&gt;1,"Duplicate","Unique"))</f>
        <v>Unique</v>
      </c>
      <c r="V914" s="5">
        <f>IF($A914="","",IF(AND($U914="Unique",ISNUMBER($P914)),1,0))</f>
        <v>1</v>
      </c>
      <c r="W914" s="5" t="str">
        <f>IF($A914="","",IF(OR($H914=0,$H914=6),"Weekend","Weekday"))</f>
        <v>Weekday</v>
      </c>
      <c r="X914" s="5" t="str">
        <f>IF($A914="","",TEXT($B914,"ddd"))</f>
        <v>Thu</v>
      </c>
      <c r="Y914" s="5" t="str">
        <f>IF($A914="","",TEXT($B914,"mmm"))</f>
        <v>Feb</v>
      </c>
      <c r="Z914" s="5" t="str">
        <f>IF($A914="","",IFERROR(VLOOKUP($C914,Lookups!$D$4:$E$7,2,FALSE),"Unknown"))</f>
        <v>Winter</v>
      </c>
      <c r="AA914" s="5" t="str">
        <f>IF($A914="","",IFERROR(VLOOKUP($I914,Lookups!$A$4:$B$7,2,FALSE),"Unknown"))</f>
        <v>Clear</v>
      </c>
      <c r="AB914" s="5" t="str">
        <f>IF($A914="","",TEXT($F914,"00")&amp;":00")</f>
        <v>13:00</v>
      </c>
      <c r="AC914" s="5" t="str">
        <f>IF($A914="","",VLOOKUP($F914,Lookups!$G$4:$H$8,2,TRUE))</f>
        <v>Midday (10-15)</v>
      </c>
      <c r="AD914" s="18">
        <f>IF($A914="","",IF($J914="","",ROUND($J914*41,1)))</f>
        <v>7.4</v>
      </c>
      <c r="AE914" s="18">
        <f>IF($A914="","",IF($R914="","",ROUND($R914*50,1)))</f>
        <v>8.3</v>
      </c>
      <c r="AF914" s="5">
        <f>IF($A914="","",IF($L914="","",ROUND($L914*100,0)))</f>
        <v>29</v>
      </c>
      <c r="AG914" s="18">
        <f>IF($A914="","",IF($M914="","",ROUND($M914*67,1)))</f>
        <v>20</v>
      </c>
      <c r="AH914" s="19">
        <f>IF($A914="","",IF($P914="","",IF($P914=0,0,$O914/$P914)))</f>
        <v>0.951612903225807</v>
      </c>
      <c r="AI914" s="5" t="str">
        <f>IF($A914="","",IF($P914="","",IF($P914&gt;=Lookups!$K$7,"High",IF($P914&lt;=Lookups!$K$8,"Low","Medium"))))</f>
        <v>Medium</v>
      </c>
      <c r="AJ914" s="5" t="str">
        <f>IF($A914="","",IF($AD914="","",IF($AD914&lt;5,"Under 5 C",IF($AD914&lt;10,"5-10 C",IF($AD914&lt;15,"10-15 C","15 C and above")))))</f>
        <v>5-10 C</v>
      </c>
      <c r="AK914" s="5">
        <f>IF($A914="","",IF($P914="","",$P914^2))</f>
        <v>3844</v>
      </c>
      <c r="AL914" s="18">
        <f>IF($V914&lt;&gt;1,"",AVERAGEIFS(Clean_Data!$P$2:$P$1001,Clean_Data!$F$2:$F$1001,$F914,Clean_Data!$W$2:$W$1001,$W914,Clean_Data!$V$2:$V$1001,1))</f>
        <v>67.1724137931034</v>
      </c>
      <c r="AM914" s="16">
        <f>IF($V914&lt;&gt;1,"",IFERROR(($P914-$AL914)/SQRT(MAX(0,(SUMIFS(Clean_Data!$AK$2:$AK$1001,Clean_Data!$F$2:$F$1001,$F914,Clean_Data!$W$2:$W$1001,$W914,Clean_Data!$V$2:$V$1001,1)-COUNTIFS(Clean_Data!$F$2:$F$1001,$F914,Clean_Data!$W$2:$W$1001,$W914,Clean_Data!$V$2:$V$1001,1)*$AL914^2)/(COUNTIFS(Clean_Data!$F$2:$F$1001,$F914,Clean_Data!$W$2:$W$1001,$W914,Clean_Data!$V$2:$V$1001,1)-1))),""))</f>
        <v>-0.256160801336661</v>
      </c>
      <c r="AN914" s="5" t="str">
        <f>IF($AM914="","",IF($AM914&gt;=Lookups!$K$6,"High spike",IF($AM914&lt;=-Lookups!$K$6,"Unusual low","Normal")))</f>
        <v>Normal</v>
      </c>
      <c r="AO914" s="20">
        <f>IF($V914&lt;&gt;1,"",$P914+ROW()/100000)</f>
        <v>62.00914</v>
      </c>
      <c r="AP914" s="5">
        <f>IF($A914="","",IFERROR(MATCH($A914,Raw_D1!$A$2:$A$1001,0),""))</f>
        <v/>
      </c>
      <c r="AQ914" s="5">
        <f>IF($A914="","",IFERROR(MATCH($A914,Raw_D2!$B$2:$B$1001,0),""))</f>
        <v/>
      </c>
      <c r="AR914" s="5">
        <f>IF($A914="","",IFERROR(MATCH($A914,Raw_D3!$A$2:$A$1001,0),""))</f>
        <v>294</v>
      </c>
    </row>
    <row r="915" spans="1:44" x14ac:dyDescent="0.25">
      <c r="A915" s="5">
        <v>914</v>
      </c>
      <c r="B915" s="11">
        <f>IF($A915="","",IF($AP915&lt;&gt;"",INDEX(Raw_D1!$B$2:$B$1001,$AP915),IF($AR915&lt;&gt;"",INDEX(Raw_D3!$B$2:$B$1001,$AR915),"")))</f>
        <v>40584.0</v>
      </c>
      <c r="C915" s="5">
        <f>IF($A915="","",IF($AP915&lt;&gt;"",INDEX(Raw_D1!$C$2:$C$1001,$AP915),IF($AR915&lt;&gt;"",INDEX(Raw_D3!$C$2:$C$1001,$AR915),"")))</f>
        <v>1</v>
      </c>
      <c r="D915" s="5">
        <f>IF($A915="","",IF($AP915&lt;&gt;"",INDEX(Raw_D1!$D$2:$D$1001,$AP915),IF($AR915&lt;&gt;"",INDEX(Raw_D3!$D$2:$D$1001,$AR915),"")))</f>
        <v>0</v>
      </c>
      <c r="E915" s="5">
        <f>IF($A915="","",IF($AP915&lt;&gt;"",INDEX(Raw_D1!$E$2:$E$1001,$AP915),IF($AR915&lt;&gt;"",INDEX(Raw_D3!$E$2:$E$1001,$AR915),"")))</f>
        <v>2</v>
      </c>
      <c r="F915" s="5">
        <f>IF($A915="","",IF($AP915&lt;&gt;"",INDEX(Raw_D1!$F$2:$F$1001,$AP915),IF($AR915&lt;&gt;"",INDEX(Raw_D3!$F$2:$F$1001,$AR915),"")))</f>
        <v>14</v>
      </c>
      <c r="G915" s="5">
        <f>IF($A915="","",IF($AP915&lt;&gt;"",IF(INDEX(Raw_D1!$G$2:$G$1001,$AP915),1,0),IF($AR915&lt;&gt;"",IF(INDEX(Raw_D3!$G$2:$G$1001,$AR915),1,0),"")))</f>
        <v>0</v>
      </c>
      <c r="H915" s="5">
        <f>IF($A915="","",IF($AP915&lt;&gt;"",INDEX(Raw_D1!$H$2:$H$1001,$AP915),IF($AR915&lt;&gt;"",INDEX(Raw_D3!$H$2:$H$1001,$AR915),"")))</f>
        <v>4</v>
      </c>
      <c r="I915" s="5">
        <f>IF($A915="","",IF($AP915&lt;&gt;"",INDEX(Raw_D1!$I$2:$I$1001,$AP915),IF($AR915&lt;&gt;"",INDEX(Raw_D3!$I$2:$I$1001,$AR915),"")))</f>
        <v>1</v>
      </c>
      <c r="J915" s="16">
        <f>IF($A915="","",IF($AP915&lt;&gt;"",INDEX(Raw_D1!$J$2:$J$1001,$AP915),IF($AR915&lt;&gt;"",INDEX(Raw_D3!$J$2:$J$1001,$AR915),"")))</f>
        <v>0.2</v>
      </c>
      <c r="K915" s="17">
        <f>IF($A915="","",IF($AQ915&lt;&gt;"",IF(INDEX(Raw_D2!$C$2:$C$1001,$AQ915)="","",INDEX(Raw_D2!$C$2:$C$1001,$AQ915)),IF($AR915&lt;&gt;"",IF(INDEX(Raw_D3!$K$2:$K$1001,$AR915)="","",INDEX(Raw_D3!$K$2:$K$1001,$AR915)),"")))</f>
        <v>0.1818</v>
      </c>
      <c r="L915" s="16">
        <f>IF($A915="","",IF($AQ915&lt;&gt;"",IF(INDEX(Raw_D2!$D$2:$D$1001,$AQ915)="","",INDEX(Raw_D2!$D$2:$D$1001,$AQ915)),IF($AR915&lt;&gt;"",IF(INDEX(Raw_D3!$L$2:$L$1001,$AR915)="","",INDEX(Raw_D3!$L$2:$L$1001,$AR915)),"")))</f>
        <v>0.27</v>
      </c>
      <c r="M915" s="17">
        <f>IF($A915="","",IF($AQ915&lt;&gt;"",IF(INDEX(Raw_D2!$E$2:$E$1001,$AQ915)="","",INDEX(Raw_D2!$E$2:$E$1001,$AQ915)),IF($AR915&lt;&gt;"",IF(INDEX(Raw_D3!$M$2:$M$1001,$AR915)="","",INDEX(Raw_D3!$M$2:$M$1001,$AR915)),"")))</f>
        <v>0.2836</v>
      </c>
      <c r="N915" s="5">
        <f>IF($A915="","",IF($AQ915&lt;&gt;"",IF(INDEX(Raw_D2!$F$2:$F$1001,$AQ915)="","",INDEX(Raw_D2!$F$2:$F$1001,$AQ915)),IF($AR915&lt;&gt;"",IF(INDEX(Raw_D3!$N$2:$N$1001,$AR915)="","",INDEX(Raw_D3!$N$2:$N$1001,$AR915)),"")))</f>
        <v>6</v>
      </c>
      <c r="O915" s="5">
        <f>IF($A915="","",IF($AQ915&lt;&gt;"",IF(INDEX(Raw_D2!$G$2:$G$1001,$AQ915)="","",INDEX(Raw_D2!$G$2:$G$1001,$AQ915)),IF($AR915&lt;&gt;"",IF(INDEX(Raw_D3!$O$2:$O$1001,$AR915)="","",INDEX(Raw_D3!$O$2:$O$1001,$AR915)),"")))</f>
        <v>42</v>
      </c>
      <c r="P915" s="5">
        <f>IF($A915="","",IF($AQ915&lt;&gt;"",IF(INDEX(Raw_D2!$H$2:$H$1001,$AQ915)="","",INDEX(Raw_D2!$H$2:$H$1001,$AQ915)),IF($AR915&lt;&gt;"",IF(INDEX(Raw_D3!$P$2:$P$1001,$AR915)="","",INDEX(Raw_D3!$P$2:$P$1001,$AR915)),"")))</f>
        <v>48</v>
      </c>
      <c r="Q915" s="5" t="str">
        <f>IF($A915="","",IF(AND($AP915&lt;&gt;"",$AQ915&lt;&gt;""),"D1+D2",IF($AR915&lt;&gt;"","D3","Incomplete")))</f>
        <v>D3</v>
      </c>
      <c r="R915" s="17">
        <f>IF($A915="","",IF($K915="",IF($J915="","",ROUND(Lookups!$K$5+Lookups!$K$4*$J915,4)),$K915))</f>
        <v>0.1818</v>
      </c>
      <c r="S915" s="5" t="str">
        <f>IF($A915="","",IF($K915="","Imputed","Original"))</f>
        <v>Original</v>
      </c>
      <c r="T915" s="5" t="str">
        <f>IF($A915="","",IF($P915="","Missing",IF($P915=$N915+$O915,"OK","Mismatch")))</f>
        <v>OK</v>
      </c>
      <c r="U915" s="5" t="str">
        <f>IF($A915="","",IF(COUNTIF($A$2:$A915,$A915)&gt;1,"Duplicate","Unique"))</f>
        <v>Unique</v>
      </c>
      <c r="V915" s="5">
        <f>IF($A915="","",IF(AND($U915="Unique",ISNUMBER($P915)),1,0))</f>
        <v>1</v>
      </c>
      <c r="W915" s="5" t="str">
        <f>IF($A915="","",IF(OR($H915=0,$H915=6),"Weekend","Weekday"))</f>
        <v>Weekday</v>
      </c>
      <c r="X915" s="5" t="str">
        <f>IF($A915="","",TEXT($B915,"ddd"))</f>
        <v>Thu</v>
      </c>
      <c r="Y915" s="5" t="str">
        <f>IF($A915="","",TEXT($B915,"mmm"))</f>
        <v>Feb</v>
      </c>
      <c r="Z915" s="5" t="str">
        <f>IF($A915="","",IFERROR(VLOOKUP($C915,Lookups!$D$4:$E$7,2,FALSE),"Unknown"))</f>
        <v>Winter</v>
      </c>
      <c r="AA915" s="5" t="str">
        <f>IF($A915="","",IFERROR(VLOOKUP($I915,Lookups!$A$4:$B$7,2,FALSE),"Unknown"))</f>
        <v>Clear</v>
      </c>
      <c r="AB915" s="5" t="str">
        <f>IF($A915="","",TEXT($F915,"00")&amp;":00")</f>
        <v>14:00</v>
      </c>
      <c r="AC915" s="5" t="str">
        <f>IF($A915="","",VLOOKUP($F915,Lookups!$G$4:$H$8,2,TRUE))</f>
        <v>Midday (10-15)</v>
      </c>
      <c r="AD915" s="18">
        <f>IF($A915="","",IF($J915="","",ROUND($J915*41,1)))</f>
        <v>8.2</v>
      </c>
      <c r="AE915" s="18">
        <f>IF($A915="","",IF($R915="","",ROUND($R915*50,1)))</f>
        <v>9.1</v>
      </c>
      <c r="AF915" s="5">
        <f>IF($A915="","",IF($L915="","",ROUND($L915*100,0)))</f>
        <v>27</v>
      </c>
      <c r="AG915" s="18">
        <f>IF($A915="","",IF($M915="","",ROUND($M915*67,1)))</f>
        <v>19</v>
      </c>
      <c r="AH915" s="19">
        <f>IF($A915="","",IF($P915="","",IF($P915=0,0,$O915/$P915)))</f>
        <v>0.875</v>
      </c>
      <c r="AI915" s="5" t="str">
        <f>IF($A915="","",IF($P915="","",IF($P915&gt;=Lookups!$K$7,"High",IF($P915&lt;=Lookups!$K$8,"Low","Medium"))))</f>
        <v>Medium</v>
      </c>
      <c r="AJ915" s="5" t="str">
        <f>IF($A915="","",IF($AD915="","",IF($AD915&lt;5,"Under 5 C",IF($AD915&lt;10,"5-10 C",IF($AD915&lt;15,"10-15 C","15 C and above")))))</f>
        <v>5-10 C</v>
      </c>
      <c r="AK915" s="5">
        <f>IF($A915="","",IF($P915="","",$P915^2))</f>
        <v>2304</v>
      </c>
      <c r="AL915" s="18">
        <f>IF($V915&lt;&gt;1,"",AVERAGEIFS(Clean_Data!$P$2:$P$1001,Clean_Data!$F$2:$F$1001,$F915,Clean_Data!$W$2:$W$1001,$W915,Clean_Data!$V$2:$V$1001,1))</f>
        <v>60.551724137931</v>
      </c>
      <c r="AM915" s="16">
        <f>IF($V915&lt;&gt;1,"",IFERROR(($P915-$AL915)/SQRT(MAX(0,(SUMIFS(Clean_Data!$AK$2:$AK$1001,Clean_Data!$F$2:$F$1001,$F915,Clean_Data!$W$2:$W$1001,$W915,Clean_Data!$V$2:$V$1001,1)-COUNTIFS(Clean_Data!$F$2:$F$1001,$F915,Clean_Data!$W$2:$W$1001,$W915,Clean_Data!$V$2:$V$1001,1)*$AL915^2)/(COUNTIFS(Clean_Data!$F$2:$F$1001,$F915,Clean_Data!$W$2:$W$1001,$W915,Clean_Data!$V$2:$V$1001,1)-1))),""))</f>
        <v>-0.76300751723119</v>
      </c>
      <c r="AN915" s="5" t="str">
        <f>IF($AM915="","",IF($AM915&gt;=Lookups!$K$6,"High spike",IF($AM915&lt;=-Lookups!$K$6,"Unusual low","Normal")))</f>
        <v>Normal</v>
      </c>
      <c r="AO915" s="20">
        <f>IF($V915&lt;&gt;1,"",$P915+ROW()/100000)</f>
        <v>48.00915</v>
      </c>
      <c r="AP915" s="5">
        <f>IF($A915="","",IFERROR(MATCH($A915,Raw_D1!$A$2:$A$1001,0),""))</f>
        <v/>
      </c>
      <c r="AQ915" s="5">
        <f>IF($A915="","",IFERROR(MATCH($A915,Raw_D2!$B$2:$B$1001,0),""))</f>
        <v/>
      </c>
      <c r="AR915" s="5">
        <f>IF($A915="","",IFERROR(MATCH($A915,Raw_D3!$A$2:$A$1001,0),""))</f>
        <v>295</v>
      </c>
    </row>
    <row r="916" spans="1:44" x14ac:dyDescent="0.25">
      <c r="A916" s="5">
        <v>915</v>
      </c>
      <c r="B916" s="11">
        <f>IF($A916="","",IF($AP916&lt;&gt;"",INDEX(Raw_D1!$B$2:$B$1001,$AP916),IF($AR916&lt;&gt;"",INDEX(Raw_D3!$B$2:$B$1001,$AR916),"")))</f>
        <v>40584.0</v>
      </c>
      <c r="C916" s="5">
        <f>IF($A916="","",IF($AP916&lt;&gt;"",INDEX(Raw_D1!$C$2:$C$1001,$AP916),IF($AR916&lt;&gt;"",INDEX(Raw_D3!$C$2:$C$1001,$AR916),"")))</f>
        <v>1</v>
      </c>
      <c r="D916" s="5">
        <f>IF($A916="","",IF($AP916&lt;&gt;"",INDEX(Raw_D1!$D$2:$D$1001,$AP916),IF($AR916&lt;&gt;"",INDEX(Raw_D3!$D$2:$D$1001,$AR916),"")))</f>
        <v>0</v>
      </c>
      <c r="E916" s="5">
        <f>IF($A916="","",IF($AP916&lt;&gt;"",INDEX(Raw_D1!$E$2:$E$1001,$AP916),IF($AR916&lt;&gt;"",INDEX(Raw_D3!$E$2:$E$1001,$AR916),"")))</f>
        <v>2</v>
      </c>
      <c r="F916" s="5">
        <f>IF($A916="","",IF($AP916&lt;&gt;"",INDEX(Raw_D1!$F$2:$F$1001,$AP916),IF($AR916&lt;&gt;"",INDEX(Raw_D3!$F$2:$F$1001,$AR916),"")))</f>
        <v>15</v>
      </c>
      <c r="G916" s="5">
        <f>IF($A916="","",IF($AP916&lt;&gt;"",IF(INDEX(Raw_D1!$G$2:$G$1001,$AP916),1,0),IF($AR916&lt;&gt;"",IF(INDEX(Raw_D3!$G$2:$G$1001,$AR916),1,0),"")))</f>
        <v>0</v>
      </c>
      <c r="H916" s="5">
        <f>IF($A916="","",IF($AP916&lt;&gt;"",INDEX(Raw_D1!$H$2:$H$1001,$AP916),IF($AR916&lt;&gt;"",INDEX(Raw_D3!$H$2:$H$1001,$AR916),"")))</f>
        <v>4</v>
      </c>
      <c r="I916" s="5">
        <f>IF($A916="","",IF($AP916&lt;&gt;"",INDEX(Raw_D1!$I$2:$I$1001,$AP916),IF($AR916&lt;&gt;"",INDEX(Raw_D3!$I$2:$I$1001,$AR916),"")))</f>
        <v>1</v>
      </c>
      <c r="J916" s="16">
        <f>IF($A916="","",IF($AP916&lt;&gt;"",INDEX(Raw_D1!$J$2:$J$1001,$AP916),IF($AR916&lt;&gt;"",INDEX(Raw_D3!$J$2:$J$1001,$AR916),"")))</f>
        <v>0.2</v>
      </c>
      <c r="K916" s="17">
        <f>IF($A916="","",IF($AQ916&lt;&gt;"",IF(INDEX(Raw_D2!$C$2:$C$1001,$AQ916)="","",INDEX(Raw_D2!$C$2:$C$1001,$AQ916)),IF($AR916&lt;&gt;"",IF(INDEX(Raw_D3!$K$2:$K$1001,$AR916)="","",INDEX(Raw_D3!$K$2:$K$1001,$AR916)),"")))</f>
        <v>0.197</v>
      </c>
      <c r="L916" s="16">
        <f>IF($A916="","",IF($AQ916&lt;&gt;"",IF(INDEX(Raw_D2!$D$2:$D$1001,$AQ916)="","",INDEX(Raw_D2!$D$2:$D$1001,$AQ916)),IF($AR916&lt;&gt;"",IF(INDEX(Raw_D3!$L$2:$L$1001,$AR916)="","",INDEX(Raw_D3!$L$2:$L$1001,$AR916)),"")))</f>
        <v>0.25</v>
      </c>
      <c r="M916" s="17">
        <f>IF($A916="","",IF($AQ916&lt;&gt;"",IF(INDEX(Raw_D2!$E$2:$E$1001,$AQ916)="","",INDEX(Raw_D2!$E$2:$E$1001,$AQ916)),IF($AR916&lt;&gt;"",IF(INDEX(Raw_D3!$M$2:$M$1001,$AR916)="","",INDEX(Raw_D3!$M$2:$M$1001,$AR916)),"")))</f>
        <v>0.2537</v>
      </c>
      <c r="N916" s="5">
        <f>IF($A916="","",IF($AQ916&lt;&gt;"",IF(INDEX(Raw_D2!$F$2:$F$1001,$AQ916)="","",INDEX(Raw_D2!$F$2:$F$1001,$AQ916)),IF($AR916&lt;&gt;"",IF(INDEX(Raw_D3!$N$2:$N$1001,$AR916)="","",INDEX(Raw_D3!$N$2:$N$1001,$AR916)),"")))</f>
        <v>0</v>
      </c>
      <c r="O916" s="5">
        <f>IF($A916="","",IF($AQ916&lt;&gt;"",IF(INDEX(Raw_D2!$G$2:$G$1001,$AQ916)="","",INDEX(Raw_D2!$G$2:$G$1001,$AQ916)),IF($AR916&lt;&gt;"",IF(INDEX(Raw_D3!$O$2:$O$1001,$AR916)="","",INDEX(Raw_D3!$O$2:$O$1001,$AR916)),"")))</f>
        <v>50</v>
      </c>
      <c r="P916" s="5">
        <f>IF($A916="","",IF($AQ916&lt;&gt;"",IF(INDEX(Raw_D2!$H$2:$H$1001,$AQ916)="","",INDEX(Raw_D2!$H$2:$H$1001,$AQ916)),IF($AR916&lt;&gt;"",IF(INDEX(Raw_D3!$P$2:$P$1001,$AR916)="","",INDEX(Raw_D3!$P$2:$P$1001,$AR916)),"")))</f>
        <v>50</v>
      </c>
      <c r="Q916" s="5" t="str">
        <f>IF($A916="","",IF(AND($AP916&lt;&gt;"",$AQ916&lt;&gt;""),"D1+D2",IF($AR916&lt;&gt;"","D3","Incomplete")))</f>
        <v>D3</v>
      </c>
      <c r="R916" s="17">
        <f>IF($A916="","",IF($K916="",IF($J916="","",ROUND(Lookups!$K$5+Lookups!$K$4*$J916,4)),$K916))</f>
        <v>0.197</v>
      </c>
      <c r="S916" s="5" t="str">
        <f>IF($A916="","",IF($K916="","Imputed","Original"))</f>
        <v>Original</v>
      </c>
      <c r="T916" s="5" t="str">
        <f>IF($A916="","",IF($P916="","Missing",IF($P916=$N916+$O916,"OK","Mismatch")))</f>
        <v>OK</v>
      </c>
      <c r="U916" s="5" t="str">
        <f>IF($A916="","",IF(COUNTIF($A$2:$A916,$A916)&gt;1,"Duplicate","Unique"))</f>
        <v>Unique</v>
      </c>
      <c r="V916" s="5">
        <f>IF($A916="","",IF(AND($U916="Unique",ISNUMBER($P916)),1,0))</f>
        <v>1</v>
      </c>
      <c r="W916" s="5" t="str">
        <f>IF($A916="","",IF(OR($H916=0,$H916=6),"Weekend","Weekday"))</f>
        <v>Weekday</v>
      </c>
      <c r="X916" s="5" t="str">
        <f>IF($A916="","",TEXT($B916,"ddd"))</f>
        <v>Thu</v>
      </c>
      <c r="Y916" s="5" t="str">
        <f>IF($A916="","",TEXT($B916,"mmm"))</f>
        <v>Feb</v>
      </c>
      <c r="Z916" s="5" t="str">
        <f>IF($A916="","",IFERROR(VLOOKUP($C916,Lookups!$D$4:$E$7,2,FALSE),"Unknown"))</f>
        <v>Winter</v>
      </c>
      <c r="AA916" s="5" t="str">
        <f>IF($A916="","",IFERROR(VLOOKUP($I916,Lookups!$A$4:$B$7,2,FALSE),"Unknown"))</f>
        <v>Clear</v>
      </c>
      <c r="AB916" s="5" t="str">
        <f>IF($A916="","",TEXT($F916,"00")&amp;":00")</f>
        <v>15:00</v>
      </c>
      <c r="AC916" s="5" t="str">
        <f>IF($A916="","",VLOOKUP($F916,Lookups!$G$4:$H$8,2,TRUE))</f>
        <v>Midday (10-15)</v>
      </c>
      <c r="AD916" s="18">
        <f>IF($A916="","",IF($J916="","",ROUND($J916*41,1)))</f>
        <v>8.2</v>
      </c>
      <c r="AE916" s="18">
        <f>IF($A916="","",IF($R916="","",ROUND($R916*50,1)))</f>
        <v>9.9</v>
      </c>
      <c r="AF916" s="5">
        <f>IF($A916="","",IF($L916="","",ROUND($L916*100,0)))</f>
        <v>25</v>
      </c>
      <c r="AG916" s="18">
        <f>IF($A916="","",IF($M916="","",ROUND($M916*67,1)))</f>
        <v>17</v>
      </c>
      <c r="AH916" s="19">
        <f>IF($A916="","",IF($P916="","",IF($P916=0,0,$O916/$P916)))</f>
        <v>1</v>
      </c>
      <c r="AI916" s="5" t="str">
        <f>IF($A916="","",IF($P916="","",IF($P916&gt;=Lookups!$K$7,"High",IF($P916&lt;=Lookups!$K$8,"Low","Medium"))))</f>
        <v>Medium</v>
      </c>
      <c r="AJ916" s="5" t="str">
        <f>IF($A916="","",IF($AD916="","",IF($AD916&lt;5,"Under 5 C",IF($AD916&lt;10,"5-10 C",IF($AD916&lt;15,"10-15 C","15 C and above")))))</f>
        <v>5-10 C</v>
      </c>
      <c r="AK916" s="5">
        <f>IF($A916="","",IF($P916="","",$P916^2))</f>
        <v>2500</v>
      </c>
      <c r="AL916" s="18">
        <f>IF($V916&lt;&gt;1,"",AVERAGEIFS(Clean_Data!$P$2:$P$1001,Clean_Data!$F$2:$F$1001,$F916,Clean_Data!$W$2:$W$1001,$W916,Clean_Data!$V$2:$V$1001,1))</f>
        <v>61.4827586206897</v>
      </c>
      <c r="AM916" s="16">
        <f>IF($V916&lt;&gt;1,"",IFERROR(($P916-$AL916)/SQRT(MAX(0,(SUMIFS(Clean_Data!$AK$2:$AK$1001,Clean_Data!$F$2:$F$1001,$F916,Clean_Data!$W$2:$W$1001,$W916,Clean_Data!$V$2:$V$1001,1)-COUNTIFS(Clean_Data!$F$2:$F$1001,$F916,Clean_Data!$W$2:$W$1001,$W916,Clean_Data!$V$2:$V$1001,1)*$AL916^2)/(COUNTIFS(Clean_Data!$F$2:$F$1001,$F916,Clean_Data!$W$2:$W$1001,$W916,Clean_Data!$V$2:$V$1001,1)-1))),""))</f>
        <v>-0.761703677507402</v>
      </c>
      <c r="AN916" s="5" t="str">
        <f>IF($AM916="","",IF($AM916&gt;=Lookups!$K$6,"High spike",IF($AM916&lt;=-Lookups!$K$6,"Unusual low","Normal")))</f>
        <v>Normal</v>
      </c>
      <c r="AO916" s="20">
        <f>IF($V916&lt;&gt;1,"",$P916+ROW()/100000)</f>
        <v>50.00916</v>
      </c>
      <c r="AP916" s="5">
        <f>IF($A916="","",IFERROR(MATCH($A916,Raw_D1!$A$2:$A$1001,0),""))</f>
        <v/>
      </c>
      <c r="AQ916" s="5">
        <f>IF($A916="","",IFERROR(MATCH($A916,Raw_D2!$B$2:$B$1001,0),""))</f>
        <v/>
      </c>
      <c r="AR916" s="5">
        <f>IF($A916="","",IFERROR(MATCH($A916,Raw_D3!$A$2:$A$1001,0),""))</f>
        <v>296</v>
      </c>
    </row>
    <row r="917" spans="1:44" x14ac:dyDescent="0.25">
      <c r="A917" s="5">
        <v>916</v>
      </c>
      <c r="B917" s="11">
        <f>IF($A917="","",IF($AP917&lt;&gt;"",INDEX(Raw_D1!$B$2:$B$1001,$AP917),IF($AR917&lt;&gt;"",INDEX(Raw_D3!$B$2:$B$1001,$AR917),"")))</f>
        <v>40584.0</v>
      </c>
      <c r="C917" s="5">
        <f>IF($A917="","",IF($AP917&lt;&gt;"",INDEX(Raw_D1!$C$2:$C$1001,$AP917),IF($AR917&lt;&gt;"",INDEX(Raw_D3!$C$2:$C$1001,$AR917),"")))</f>
        <v>1</v>
      </c>
      <c r="D917" s="5">
        <f>IF($A917="","",IF($AP917&lt;&gt;"",INDEX(Raw_D1!$D$2:$D$1001,$AP917),IF($AR917&lt;&gt;"",INDEX(Raw_D3!$D$2:$D$1001,$AR917),"")))</f>
        <v>0</v>
      </c>
      <c r="E917" s="5">
        <f>IF($A917="","",IF($AP917&lt;&gt;"",INDEX(Raw_D1!$E$2:$E$1001,$AP917),IF($AR917&lt;&gt;"",INDEX(Raw_D3!$E$2:$E$1001,$AR917),"")))</f>
        <v>2</v>
      </c>
      <c r="F917" s="5">
        <f>IF($A917="","",IF($AP917&lt;&gt;"",INDEX(Raw_D1!$F$2:$F$1001,$AP917),IF($AR917&lt;&gt;"",INDEX(Raw_D3!$F$2:$F$1001,$AR917),"")))</f>
        <v>16</v>
      </c>
      <c r="G917" s="5">
        <f>IF($A917="","",IF($AP917&lt;&gt;"",IF(INDEX(Raw_D1!$G$2:$G$1001,$AP917),1,0),IF($AR917&lt;&gt;"",IF(INDEX(Raw_D3!$G$2:$G$1001,$AR917),1,0),"")))</f>
        <v>0</v>
      </c>
      <c r="H917" s="5">
        <f>IF($A917="","",IF($AP917&lt;&gt;"",INDEX(Raw_D1!$H$2:$H$1001,$AP917),IF($AR917&lt;&gt;"",INDEX(Raw_D3!$H$2:$H$1001,$AR917),"")))</f>
        <v>4</v>
      </c>
      <c r="I917" s="5">
        <f>IF($A917="","",IF($AP917&lt;&gt;"",INDEX(Raw_D1!$I$2:$I$1001,$AP917),IF($AR917&lt;&gt;"",INDEX(Raw_D3!$I$2:$I$1001,$AR917),"")))</f>
        <v>1</v>
      </c>
      <c r="J917" s="16">
        <f>IF($A917="","",IF($AP917&lt;&gt;"",INDEX(Raw_D1!$J$2:$J$1001,$AP917),IF($AR917&lt;&gt;"",INDEX(Raw_D3!$J$2:$J$1001,$AR917),"")))</f>
        <v>0.2</v>
      </c>
      <c r="K917" s="17">
        <f>IF($A917="","",IF($AQ917&lt;&gt;"",IF(INDEX(Raw_D2!$C$2:$C$1001,$AQ917)="","",INDEX(Raw_D2!$C$2:$C$1001,$AQ917)),IF($AR917&lt;&gt;"",IF(INDEX(Raw_D3!$K$2:$K$1001,$AR917)="","",INDEX(Raw_D3!$K$2:$K$1001,$AR917)),"")))</f>
        <v>0.1818</v>
      </c>
      <c r="L917" s="16">
        <f>IF($A917="","",IF($AQ917&lt;&gt;"",IF(INDEX(Raw_D2!$D$2:$D$1001,$AQ917)="","",INDEX(Raw_D2!$D$2:$D$1001,$AQ917)),IF($AR917&lt;&gt;"",IF(INDEX(Raw_D3!$L$2:$L$1001,$AR917)="","",INDEX(Raw_D3!$L$2:$L$1001,$AR917)),"")))</f>
        <v>0.27</v>
      </c>
      <c r="M917" s="17">
        <f>IF($A917="","",IF($AQ917&lt;&gt;"",IF(INDEX(Raw_D2!$E$2:$E$1001,$AQ917)="","",INDEX(Raw_D2!$E$2:$E$1001,$AQ917)),IF($AR917&lt;&gt;"",IF(INDEX(Raw_D3!$M$2:$M$1001,$AR917)="","",INDEX(Raw_D3!$M$2:$M$1001,$AR917)),"")))</f>
        <v>0.2985</v>
      </c>
      <c r="N917" s="5">
        <f>IF($A917="","",IF($AQ917&lt;&gt;"",IF(INDEX(Raw_D2!$F$2:$F$1001,$AQ917)="","",INDEX(Raw_D2!$F$2:$F$1001,$AQ917)),IF($AR917&lt;&gt;"",IF(INDEX(Raw_D3!$N$2:$N$1001,$AR917)="","",INDEX(Raw_D3!$N$2:$N$1001,$AR917)),"")))</f>
        <v>4</v>
      </c>
      <c r="O917" s="5">
        <f>IF($A917="","",IF($AQ917&lt;&gt;"",IF(INDEX(Raw_D2!$G$2:$G$1001,$AQ917)="","",INDEX(Raw_D2!$G$2:$G$1001,$AQ917)),IF($AR917&lt;&gt;"",IF(INDEX(Raw_D3!$O$2:$O$1001,$AR917)="","",INDEX(Raw_D3!$O$2:$O$1001,$AR917)),"")))</f>
        <v>76</v>
      </c>
      <c r="P917" s="5">
        <f>IF($A917="","",IF($AQ917&lt;&gt;"",IF(INDEX(Raw_D2!$H$2:$H$1001,$AQ917)="","",INDEX(Raw_D2!$H$2:$H$1001,$AQ917)),IF($AR917&lt;&gt;"",IF(INDEX(Raw_D3!$P$2:$P$1001,$AR917)="","",INDEX(Raw_D3!$P$2:$P$1001,$AR917)),"")))</f>
        <v>80</v>
      </c>
      <c r="Q917" s="5" t="str">
        <f>IF($A917="","",IF(AND($AP917&lt;&gt;"",$AQ917&lt;&gt;""),"D1+D2",IF($AR917&lt;&gt;"","D3","Incomplete")))</f>
        <v>D3</v>
      </c>
      <c r="R917" s="17">
        <f>IF($A917="","",IF($K917="",IF($J917="","",ROUND(Lookups!$K$5+Lookups!$K$4*$J917,4)),$K917))</f>
        <v>0.1818</v>
      </c>
      <c r="S917" s="5" t="str">
        <f>IF($A917="","",IF($K917="","Imputed","Original"))</f>
        <v>Original</v>
      </c>
      <c r="T917" s="5" t="str">
        <f>IF($A917="","",IF($P917="","Missing",IF($P917=$N917+$O917,"OK","Mismatch")))</f>
        <v>OK</v>
      </c>
      <c r="U917" s="5" t="str">
        <f>IF($A917="","",IF(COUNTIF($A$2:$A917,$A917)&gt;1,"Duplicate","Unique"))</f>
        <v>Unique</v>
      </c>
      <c r="V917" s="5">
        <f>IF($A917="","",IF(AND($U917="Unique",ISNUMBER($P917)),1,0))</f>
        <v>1</v>
      </c>
      <c r="W917" s="5" t="str">
        <f>IF($A917="","",IF(OR($H917=0,$H917=6),"Weekend","Weekday"))</f>
        <v>Weekday</v>
      </c>
      <c r="X917" s="5" t="str">
        <f>IF($A917="","",TEXT($B917,"ddd"))</f>
        <v>Thu</v>
      </c>
      <c r="Y917" s="5" t="str">
        <f>IF($A917="","",TEXT($B917,"mmm"))</f>
        <v>Feb</v>
      </c>
      <c r="Z917" s="5" t="str">
        <f>IF($A917="","",IFERROR(VLOOKUP($C917,Lookups!$D$4:$E$7,2,FALSE),"Unknown"))</f>
        <v>Winter</v>
      </c>
      <c r="AA917" s="5" t="str">
        <f>IF($A917="","",IFERROR(VLOOKUP($I917,Lookups!$A$4:$B$7,2,FALSE),"Unknown"))</f>
        <v>Clear</v>
      </c>
      <c r="AB917" s="5" t="str">
        <f>IF($A917="","",TEXT($F917,"00")&amp;":00")</f>
        <v>16:00</v>
      </c>
      <c r="AC917" s="5" t="str">
        <f>IF($A917="","",VLOOKUP($F917,Lookups!$G$4:$H$8,2,TRUE))</f>
        <v>Evening Peak (16-19)</v>
      </c>
      <c r="AD917" s="18">
        <f>IF($A917="","",IF($J917="","",ROUND($J917*41,1)))</f>
        <v>8.2</v>
      </c>
      <c r="AE917" s="18">
        <f>IF($A917="","",IF($R917="","",ROUND($R917*50,1)))</f>
        <v>9.1</v>
      </c>
      <c r="AF917" s="5">
        <f>IF($A917="","",IF($L917="","",ROUND($L917*100,0)))</f>
        <v>27</v>
      </c>
      <c r="AG917" s="18">
        <f>IF($A917="","",IF($M917="","",ROUND($M917*67,1)))</f>
        <v>20</v>
      </c>
      <c r="AH917" s="19">
        <f>IF($A917="","",IF($P917="","",IF($P917=0,0,$O917/$P917)))</f>
        <v>0.95</v>
      </c>
      <c r="AI917" s="5" t="str">
        <f>IF($A917="","",IF($P917="","",IF($P917&gt;=Lookups!$K$7,"High",IF($P917&lt;=Lookups!$K$8,"Low","Medium"))))</f>
        <v>Medium</v>
      </c>
      <c r="AJ917" s="5" t="str">
        <f>IF($A917="","",IF($AD917="","",IF($AD917&lt;5,"Under 5 C",IF($AD917&lt;10,"5-10 C",IF($AD917&lt;15,"10-15 C","15 C and above")))))</f>
        <v>5-10 C</v>
      </c>
      <c r="AK917" s="5">
        <f>IF($A917="","",IF($P917="","",$P917^2))</f>
        <v>6400</v>
      </c>
      <c r="AL917" s="18">
        <f>IF($V917&lt;&gt;1,"",AVERAGEIFS(Clean_Data!$P$2:$P$1001,Clean_Data!$F$2:$F$1001,$F917,Clean_Data!$W$2:$W$1001,$W917,Clean_Data!$V$2:$V$1001,1))</f>
        <v>82.6333333333333</v>
      </c>
      <c r="AM917" s="16">
        <f>IF($V917&lt;&gt;1,"",IFERROR(($P917-$AL917)/SQRT(MAX(0,(SUMIFS(Clean_Data!$AK$2:$AK$1001,Clean_Data!$F$2:$F$1001,$F917,Clean_Data!$W$2:$W$1001,$W917,Clean_Data!$V$2:$V$1001,1)-COUNTIFS(Clean_Data!$F$2:$F$1001,$F917,Clean_Data!$W$2:$W$1001,$W917,Clean_Data!$V$2:$V$1001,1)*$AL917^2)/(COUNTIFS(Clean_Data!$F$2:$F$1001,$F917,Clean_Data!$W$2:$W$1001,$W917,Clean_Data!$V$2:$V$1001,1)-1))),""))</f>
        <v>-0.126944977570728</v>
      </c>
      <c r="AN917" s="5" t="str">
        <f>IF($AM917="","",IF($AM917&gt;=Lookups!$K$6,"High spike",IF($AM917&lt;=-Lookups!$K$6,"Unusual low","Normal")))</f>
        <v>Normal</v>
      </c>
      <c r="AO917" s="20">
        <f>IF($V917&lt;&gt;1,"",$P917+ROW()/100000)</f>
        <v>80.00917</v>
      </c>
      <c r="AP917" s="5">
        <f>IF($A917="","",IFERROR(MATCH($A917,Raw_D1!$A$2:$A$1001,0),""))</f>
        <v/>
      </c>
      <c r="AQ917" s="5">
        <f>IF($A917="","",IFERROR(MATCH($A917,Raw_D2!$B$2:$B$1001,0),""))</f>
        <v/>
      </c>
      <c r="AR917" s="5">
        <f>IF($A917="","",IFERROR(MATCH($A917,Raw_D3!$A$2:$A$1001,0),""))</f>
        <v>297</v>
      </c>
    </row>
    <row r="918" spans="1:44" x14ac:dyDescent="0.25">
      <c r="A918" s="5">
        <v>917</v>
      </c>
      <c r="B918" s="11">
        <f>IF($A918="","",IF($AP918&lt;&gt;"",INDEX(Raw_D1!$B$2:$B$1001,$AP918),IF($AR918&lt;&gt;"",INDEX(Raw_D3!$B$2:$B$1001,$AR918),"")))</f>
        <v>40584.0</v>
      </c>
      <c r="C918" s="5">
        <f>IF($A918="","",IF($AP918&lt;&gt;"",INDEX(Raw_D1!$C$2:$C$1001,$AP918),IF($AR918&lt;&gt;"",INDEX(Raw_D3!$C$2:$C$1001,$AR918),"")))</f>
        <v>1</v>
      </c>
      <c r="D918" s="5">
        <f>IF($A918="","",IF($AP918&lt;&gt;"",INDEX(Raw_D1!$D$2:$D$1001,$AP918),IF($AR918&lt;&gt;"",INDEX(Raw_D3!$D$2:$D$1001,$AR918),"")))</f>
        <v>0</v>
      </c>
      <c r="E918" s="5">
        <f>IF($A918="","",IF($AP918&lt;&gt;"",INDEX(Raw_D1!$E$2:$E$1001,$AP918),IF($AR918&lt;&gt;"",INDEX(Raw_D3!$E$2:$E$1001,$AR918),"")))</f>
        <v>2</v>
      </c>
      <c r="F918" s="5">
        <f>IF($A918="","",IF($AP918&lt;&gt;"",INDEX(Raw_D1!$F$2:$F$1001,$AP918),IF($AR918&lt;&gt;"",INDEX(Raw_D3!$F$2:$F$1001,$AR918),"")))</f>
        <v>17</v>
      </c>
      <c r="G918" s="5">
        <f>IF($A918="","",IF($AP918&lt;&gt;"",IF(INDEX(Raw_D1!$G$2:$G$1001,$AP918),1,0),IF($AR918&lt;&gt;"",IF(INDEX(Raw_D3!$G$2:$G$1001,$AR918),1,0),"")))</f>
        <v>0</v>
      </c>
      <c r="H918" s="5">
        <f>IF($A918="","",IF($AP918&lt;&gt;"",INDEX(Raw_D1!$H$2:$H$1001,$AP918),IF($AR918&lt;&gt;"",INDEX(Raw_D3!$H$2:$H$1001,$AR918),"")))</f>
        <v>4</v>
      </c>
      <c r="I918" s="5">
        <f>IF($A918="","",IF($AP918&lt;&gt;"",INDEX(Raw_D1!$I$2:$I$1001,$AP918),IF($AR918&lt;&gt;"",INDEX(Raw_D3!$I$2:$I$1001,$AR918),"")))</f>
        <v>1</v>
      </c>
      <c r="J918" s="16">
        <f>IF($A918="","",IF($AP918&lt;&gt;"",INDEX(Raw_D1!$J$2:$J$1001,$AP918),IF($AR918&lt;&gt;"",INDEX(Raw_D3!$J$2:$J$1001,$AR918),"")))</f>
        <v>0.18</v>
      </c>
      <c r="K918" s="17">
        <f>IF($A918="","",IF($AQ918&lt;&gt;"",IF(INDEX(Raw_D2!$C$2:$C$1001,$AQ918)="","",INDEX(Raw_D2!$C$2:$C$1001,$AQ918)),IF($AR918&lt;&gt;"",IF(INDEX(Raw_D3!$K$2:$K$1001,$AR918)="","",INDEX(Raw_D3!$K$2:$K$1001,$AR918)),"")))</f>
        <v>0.1818</v>
      </c>
      <c r="L918" s="16">
        <f>IF($A918="","",IF($AQ918&lt;&gt;"",IF(INDEX(Raw_D2!$D$2:$D$1001,$AQ918)="","",INDEX(Raw_D2!$D$2:$D$1001,$AQ918)),IF($AR918&lt;&gt;"",IF(INDEX(Raw_D3!$L$2:$L$1001,$AR918)="","",INDEX(Raw_D3!$L$2:$L$1001,$AR918)),"")))</f>
        <v>0.26</v>
      </c>
      <c r="M918" s="17">
        <f>IF($A918="","",IF($AQ918&lt;&gt;"",IF(INDEX(Raw_D2!$E$2:$E$1001,$AQ918)="","",INDEX(Raw_D2!$E$2:$E$1001,$AQ918)),IF($AR918&lt;&gt;"",IF(INDEX(Raw_D3!$M$2:$M$1001,$AR918)="","",INDEX(Raw_D3!$M$2:$M$1001,$AR918)),"")))</f>
        <v>0.194</v>
      </c>
      <c r="N918" s="5">
        <f>IF($A918="","",IF($AQ918&lt;&gt;"",IF(INDEX(Raw_D2!$F$2:$F$1001,$AQ918)="","",INDEX(Raw_D2!$F$2:$F$1001,$AQ918)),IF($AR918&lt;&gt;"",IF(INDEX(Raw_D3!$N$2:$N$1001,$AR918)="","",INDEX(Raw_D3!$N$2:$N$1001,$AR918)),"")))</f>
        <v>6</v>
      </c>
      <c r="O918" s="5">
        <f>IF($A918="","",IF($AQ918&lt;&gt;"",IF(INDEX(Raw_D2!$G$2:$G$1001,$AQ918)="","",INDEX(Raw_D2!$G$2:$G$1001,$AQ918)),IF($AR918&lt;&gt;"",IF(INDEX(Raw_D3!$O$2:$O$1001,$AR918)="","",INDEX(Raw_D3!$O$2:$O$1001,$AR918)),"")))</f>
        <v>159</v>
      </c>
      <c r="P918" s="5">
        <f>IF($A918="","",IF($AQ918&lt;&gt;"",IF(INDEX(Raw_D2!$H$2:$H$1001,$AQ918)="","",INDEX(Raw_D2!$H$2:$H$1001,$AQ918)),IF($AR918&lt;&gt;"",IF(INDEX(Raw_D3!$P$2:$P$1001,$AR918)="","",INDEX(Raw_D3!$P$2:$P$1001,$AR918)),"")))</f>
        <v>165</v>
      </c>
      <c r="Q918" s="5" t="str">
        <f>IF($A918="","",IF(AND($AP918&lt;&gt;"",$AQ918&lt;&gt;""),"D1+D2",IF($AR918&lt;&gt;"","D3","Incomplete")))</f>
        <v>D3</v>
      </c>
      <c r="R918" s="17">
        <f>IF($A918="","",IF($K918="",IF($J918="","",ROUND(Lookups!$K$5+Lookups!$K$4*$J918,4)),$K918))</f>
        <v>0.1818</v>
      </c>
      <c r="S918" s="5" t="str">
        <f>IF($A918="","",IF($K918="","Imputed","Original"))</f>
        <v>Original</v>
      </c>
      <c r="T918" s="5" t="str">
        <f>IF($A918="","",IF($P918="","Missing",IF($P918=$N918+$O918,"OK","Mismatch")))</f>
        <v>OK</v>
      </c>
      <c r="U918" s="5" t="str">
        <f>IF($A918="","",IF(COUNTIF($A$2:$A918,$A918)&gt;1,"Duplicate","Unique"))</f>
        <v>Unique</v>
      </c>
      <c r="V918" s="5">
        <f>IF($A918="","",IF(AND($U918="Unique",ISNUMBER($P918)),1,0))</f>
        <v>1</v>
      </c>
      <c r="W918" s="5" t="str">
        <f>IF($A918="","",IF(OR($H918=0,$H918=6),"Weekend","Weekday"))</f>
        <v>Weekday</v>
      </c>
      <c r="X918" s="5" t="str">
        <f>IF($A918="","",TEXT($B918,"ddd"))</f>
        <v>Thu</v>
      </c>
      <c r="Y918" s="5" t="str">
        <f>IF($A918="","",TEXT($B918,"mmm"))</f>
        <v>Feb</v>
      </c>
      <c r="Z918" s="5" t="str">
        <f>IF($A918="","",IFERROR(VLOOKUP($C918,Lookups!$D$4:$E$7,2,FALSE),"Unknown"))</f>
        <v>Winter</v>
      </c>
      <c r="AA918" s="5" t="str">
        <f>IF($A918="","",IFERROR(VLOOKUP($I918,Lookups!$A$4:$B$7,2,FALSE),"Unknown"))</f>
        <v>Clear</v>
      </c>
      <c r="AB918" s="5" t="str">
        <f>IF($A918="","",TEXT($F918,"00")&amp;":00")</f>
        <v>17:00</v>
      </c>
      <c r="AC918" s="5" t="str">
        <f>IF($A918="","",VLOOKUP($F918,Lookups!$G$4:$H$8,2,TRUE))</f>
        <v>Evening Peak (16-19)</v>
      </c>
      <c r="AD918" s="18">
        <f>IF($A918="","",IF($J918="","",ROUND($J918*41,1)))</f>
        <v>7.4</v>
      </c>
      <c r="AE918" s="18">
        <f>IF($A918="","",IF($R918="","",ROUND($R918*50,1)))</f>
        <v>9.1</v>
      </c>
      <c r="AF918" s="5">
        <f>IF($A918="","",IF($L918="","",ROUND($L918*100,0)))</f>
        <v>26</v>
      </c>
      <c r="AG918" s="18">
        <f>IF($A918="","",IF($M918="","",ROUND($M918*67,1)))</f>
        <v>13</v>
      </c>
      <c r="AH918" s="19">
        <f>IF($A918="","",IF($P918="","",IF($P918=0,0,$O918/$P918)))</f>
        <v>0.963636363636364</v>
      </c>
      <c r="AI918" s="5" t="str">
        <f>IF($A918="","",IF($P918="","",IF($P918&gt;=Lookups!$K$7,"High",IF($P918&lt;=Lookups!$K$8,"Low","Medium"))))</f>
        <v>High</v>
      </c>
      <c r="AJ918" s="5" t="str">
        <f>IF($A918="","",IF($AD918="","",IF($AD918&lt;5,"Under 5 C",IF($AD918&lt;10,"5-10 C",IF($AD918&lt;15,"10-15 C","15 C and above")))))</f>
        <v>5-10 C</v>
      </c>
      <c r="AK918" s="5">
        <f>IF($A918="","",IF($P918="","",$P918^2))</f>
        <v>27225</v>
      </c>
      <c r="AL918" s="18">
        <f>IF($V918&lt;&gt;1,"",AVERAGEIFS(Clean_Data!$P$2:$P$1001,Clean_Data!$F$2:$F$1001,$F918,Clean_Data!$W$2:$W$1001,$W918,Clean_Data!$V$2:$V$1001,1))</f>
        <v>165.566666666667</v>
      </c>
      <c r="AM918" s="16">
        <f>IF($V918&lt;&gt;1,"",IFERROR(($P918-$AL918)/SQRT(MAX(0,(SUMIFS(Clean_Data!$AK$2:$AK$1001,Clean_Data!$F$2:$F$1001,$F918,Clean_Data!$W$2:$W$1001,$W918,Clean_Data!$V$2:$V$1001,1)-COUNTIFS(Clean_Data!$F$2:$F$1001,$F918,Clean_Data!$W$2:$W$1001,$W918,Clean_Data!$V$2:$V$1001,1)*$AL918^2)/(COUNTIFS(Clean_Data!$F$2:$F$1001,$F918,Clean_Data!$W$2:$W$1001,$W918,Clean_Data!$V$2:$V$1001,1)-1))),""))</f>
        <v>-0.0128749626189431</v>
      </c>
      <c r="AN918" s="5" t="str">
        <f>IF($AM918="","",IF($AM918&gt;=Lookups!$K$6,"High spike",IF($AM918&lt;=-Lookups!$K$6,"Unusual low","Normal")))</f>
        <v>Normal</v>
      </c>
      <c r="AO918" s="20">
        <f>IF($V918&lt;&gt;1,"",$P918+ROW()/100000)</f>
        <v>165.00918</v>
      </c>
      <c r="AP918" s="5">
        <f>IF($A918="","",IFERROR(MATCH($A918,Raw_D1!$A$2:$A$1001,0),""))</f>
        <v/>
      </c>
      <c r="AQ918" s="5">
        <f>IF($A918="","",IFERROR(MATCH($A918,Raw_D2!$B$2:$B$1001,0),""))</f>
        <v/>
      </c>
      <c r="AR918" s="5">
        <f>IF($A918="","",IFERROR(MATCH($A918,Raw_D3!$A$2:$A$1001,0),""))</f>
        <v>298</v>
      </c>
    </row>
    <row r="919" spans="1:44" x14ac:dyDescent="0.25">
      <c r="A919" s="5">
        <v>918</v>
      </c>
      <c r="B919" s="11">
        <f>IF($A919="","",IF($AP919&lt;&gt;"",INDEX(Raw_D1!$B$2:$B$1001,$AP919),IF($AR919&lt;&gt;"",INDEX(Raw_D3!$B$2:$B$1001,$AR919),"")))</f>
        <v>40584.0</v>
      </c>
      <c r="C919" s="5">
        <f>IF($A919="","",IF($AP919&lt;&gt;"",INDEX(Raw_D1!$C$2:$C$1001,$AP919),IF($AR919&lt;&gt;"",INDEX(Raw_D3!$C$2:$C$1001,$AR919),"")))</f>
        <v>1</v>
      </c>
      <c r="D919" s="5">
        <f>IF($A919="","",IF($AP919&lt;&gt;"",INDEX(Raw_D1!$D$2:$D$1001,$AP919),IF($AR919&lt;&gt;"",INDEX(Raw_D3!$D$2:$D$1001,$AR919),"")))</f>
        <v>0</v>
      </c>
      <c r="E919" s="5">
        <f>IF($A919="","",IF($AP919&lt;&gt;"",INDEX(Raw_D1!$E$2:$E$1001,$AP919),IF($AR919&lt;&gt;"",INDEX(Raw_D3!$E$2:$E$1001,$AR919),"")))</f>
        <v>2</v>
      </c>
      <c r="F919" s="5">
        <f>IF($A919="","",IF($AP919&lt;&gt;"",INDEX(Raw_D1!$F$2:$F$1001,$AP919),IF($AR919&lt;&gt;"",INDEX(Raw_D3!$F$2:$F$1001,$AR919),"")))</f>
        <v>18</v>
      </c>
      <c r="G919" s="5">
        <f>IF($A919="","",IF($AP919&lt;&gt;"",IF(INDEX(Raw_D1!$G$2:$G$1001,$AP919),1,0),IF($AR919&lt;&gt;"",IF(INDEX(Raw_D3!$G$2:$G$1001,$AR919),1,0),"")))</f>
        <v>0</v>
      </c>
      <c r="H919" s="5">
        <f>IF($A919="","",IF($AP919&lt;&gt;"",INDEX(Raw_D1!$H$2:$H$1001,$AP919),IF($AR919&lt;&gt;"",INDEX(Raw_D3!$H$2:$H$1001,$AR919),"")))</f>
        <v>4</v>
      </c>
      <c r="I919" s="5">
        <f>IF($A919="","",IF($AP919&lt;&gt;"",INDEX(Raw_D1!$I$2:$I$1001,$AP919),IF($AR919&lt;&gt;"",INDEX(Raw_D3!$I$2:$I$1001,$AR919),"")))</f>
        <v>1</v>
      </c>
      <c r="J919" s="16">
        <f>IF($A919="","",IF($AP919&lt;&gt;"",INDEX(Raw_D1!$J$2:$J$1001,$AP919),IF($AR919&lt;&gt;"",INDEX(Raw_D3!$J$2:$J$1001,$AR919),"")))</f>
        <v>0.16</v>
      </c>
      <c r="K919" s="17">
        <f>IF($A919="","",IF($AQ919&lt;&gt;"",IF(INDEX(Raw_D2!$C$2:$C$1001,$AQ919)="","",INDEX(Raw_D2!$C$2:$C$1001,$AQ919)),IF($AR919&lt;&gt;"",IF(INDEX(Raw_D3!$K$2:$K$1001,$AR919)="","",INDEX(Raw_D3!$K$2:$K$1001,$AR919)),"")))</f>
        <v>0.1818</v>
      </c>
      <c r="L919" s="16">
        <f>IF($A919="","",IF($AQ919&lt;&gt;"",IF(INDEX(Raw_D2!$D$2:$D$1001,$AQ919)="","",INDEX(Raw_D2!$D$2:$D$1001,$AQ919)),IF($AR919&lt;&gt;"",IF(INDEX(Raw_D3!$L$2:$L$1001,$AR919)="","",INDEX(Raw_D3!$L$2:$L$1001,$AR919)),"")))</f>
        <v>0.28</v>
      </c>
      <c r="M919" s="17">
        <f>IF($A919="","",IF($AQ919&lt;&gt;"",IF(INDEX(Raw_D2!$E$2:$E$1001,$AQ919)="","",INDEX(Raw_D2!$E$2:$E$1001,$AQ919)),IF($AR919&lt;&gt;"",IF(INDEX(Raw_D3!$M$2:$M$1001,$AR919)="","",INDEX(Raw_D3!$M$2:$M$1001,$AR919)),"")))</f>
        <v>0.1343</v>
      </c>
      <c r="N919" s="5">
        <f>IF($A919="","",IF($AQ919&lt;&gt;"",IF(INDEX(Raw_D2!$F$2:$F$1001,$AQ919)="","",INDEX(Raw_D2!$F$2:$F$1001,$AQ919)),IF($AR919&lt;&gt;"",IF(INDEX(Raw_D3!$N$2:$N$1001,$AR919)="","",INDEX(Raw_D3!$N$2:$N$1001,$AR919)),"")))</f>
        <v>3</v>
      </c>
      <c r="O919" s="5">
        <f>IF($A919="","",IF($AQ919&lt;&gt;"",IF(INDEX(Raw_D2!$G$2:$G$1001,$AQ919)="","",INDEX(Raw_D2!$G$2:$G$1001,$AQ919)),IF($AR919&lt;&gt;"",IF(INDEX(Raw_D3!$O$2:$O$1001,$AR919)="","",INDEX(Raw_D3!$O$2:$O$1001,$AR919)),"")))</f>
        <v>157</v>
      </c>
      <c r="P919" s="5">
        <f>IF($A919="","",IF($AQ919&lt;&gt;"",IF(INDEX(Raw_D2!$H$2:$H$1001,$AQ919)="","",INDEX(Raw_D2!$H$2:$H$1001,$AQ919)),IF($AR919&lt;&gt;"",IF(INDEX(Raw_D3!$P$2:$P$1001,$AR919)="","",INDEX(Raw_D3!$P$2:$P$1001,$AR919)),"")))</f>
        <v>160</v>
      </c>
      <c r="Q919" s="5" t="str">
        <f>IF($A919="","",IF(AND($AP919&lt;&gt;"",$AQ919&lt;&gt;""),"D1+D2",IF($AR919&lt;&gt;"","D3","Incomplete")))</f>
        <v>D3</v>
      </c>
      <c r="R919" s="17">
        <f>IF($A919="","",IF($K919="",IF($J919="","",ROUND(Lookups!$K$5+Lookups!$K$4*$J919,4)),$K919))</f>
        <v>0.1818</v>
      </c>
      <c r="S919" s="5" t="str">
        <f>IF($A919="","",IF($K919="","Imputed","Original"))</f>
        <v>Original</v>
      </c>
      <c r="T919" s="5" t="str">
        <f>IF($A919="","",IF($P919="","Missing",IF($P919=$N919+$O919,"OK","Mismatch")))</f>
        <v>OK</v>
      </c>
      <c r="U919" s="5" t="str">
        <f>IF($A919="","",IF(COUNTIF($A$2:$A919,$A919)&gt;1,"Duplicate","Unique"))</f>
        <v>Unique</v>
      </c>
      <c r="V919" s="5">
        <f>IF($A919="","",IF(AND($U919="Unique",ISNUMBER($P919)),1,0))</f>
        <v>1</v>
      </c>
      <c r="W919" s="5" t="str">
        <f>IF($A919="","",IF(OR($H919=0,$H919=6),"Weekend","Weekday"))</f>
        <v>Weekday</v>
      </c>
      <c r="X919" s="5" t="str">
        <f>IF($A919="","",TEXT($B919,"ddd"))</f>
        <v>Thu</v>
      </c>
      <c r="Y919" s="5" t="str">
        <f>IF($A919="","",TEXT($B919,"mmm"))</f>
        <v>Feb</v>
      </c>
      <c r="Z919" s="5" t="str">
        <f>IF($A919="","",IFERROR(VLOOKUP($C919,Lookups!$D$4:$E$7,2,FALSE),"Unknown"))</f>
        <v>Winter</v>
      </c>
      <c r="AA919" s="5" t="str">
        <f>IF($A919="","",IFERROR(VLOOKUP($I919,Lookups!$A$4:$B$7,2,FALSE),"Unknown"))</f>
        <v>Clear</v>
      </c>
      <c r="AB919" s="5" t="str">
        <f>IF($A919="","",TEXT($F919,"00")&amp;":00")</f>
        <v>18:00</v>
      </c>
      <c r="AC919" s="5" t="str">
        <f>IF($A919="","",VLOOKUP($F919,Lookups!$G$4:$H$8,2,TRUE))</f>
        <v>Evening Peak (16-19)</v>
      </c>
      <c r="AD919" s="18">
        <f>IF($A919="","",IF($J919="","",ROUND($J919*41,1)))</f>
        <v>6.6</v>
      </c>
      <c r="AE919" s="18">
        <f>IF($A919="","",IF($R919="","",ROUND($R919*50,1)))</f>
        <v>9.1</v>
      </c>
      <c r="AF919" s="5">
        <f>IF($A919="","",IF($L919="","",ROUND($L919*100,0)))</f>
        <v>28</v>
      </c>
      <c r="AG919" s="18">
        <f>IF($A919="","",IF($M919="","",ROUND($M919*67,1)))</f>
        <v>9</v>
      </c>
      <c r="AH919" s="19">
        <f>IF($A919="","",IF($P919="","",IF($P919=0,0,$O919/$P919)))</f>
        <v>0.98125</v>
      </c>
      <c r="AI919" s="5" t="str">
        <f>IF($A919="","",IF($P919="","",IF($P919&gt;=Lookups!$K$7,"High",IF($P919&lt;=Lookups!$K$8,"Low","Medium"))))</f>
        <v>High</v>
      </c>
      <c r="AJ919" s="5" t="str">
        <f>IF($A919="","",IF($AD919="","",IF($AD919&lt;5,"Under 5 C",IF($AD919&lt;10,"5-10 C",IF($AD919&lt;15,"10-15 C","15 C and above")))))</f>
        <v>5-10 C</v>
      </c>
      <c r="AK919" s="5">
        <f>IF($A919="","",IF($P919="","",$P919^2))</f>
        <v>25600</v>
      </c>
      <c r="AL919" s="18">
        <f>IF($V919&lt;&gt;1,"",AVERAGEIFS(Clean_Data!$P$2:$P$1001,Clean_Data!$F$2:$F$1001,$F919,Clean_Data!$W$2:$W$1001,$W919,Clean_Data!$V$2:$V$1001,1))</f>
        <v>151.206896551724</v>
      </c>
      <c r="AM919" s="16">
        <f>IF($V919&lt;&gt;1,"",IFERROR(($P919-$AL919)/SQRT(MAX(0,(SUMIFS(Clean_Data!$AK$2:$AK$1001,Clean_Data!$F$2:$F$1001,$F919,Clean_Data!$W$2:$W$1001,$W919,Clean_Data!$V$2:$V$1001,1)-COUNTIFS(Clean_Data!$F$2:$F$1001,$F919,Clean_Data!$W$2:$W$1001,$W919,Clean_Data!$V$2:$V$1001,1)*$AL919^2)/(COUNTIFS(Clean_Data!$F$2:$F$1001,$F919,Clean_Data!$W$2:$W$1001,$W919,Clean_Data!$V$2:$V$1001,1)-1))),""))</f>
        <v>0.299601320113087</v>
      </c>
      <c r="AN919" s="5" t="str">
        <f>IF($AM919="","",IF($AM919&gt;=Lookups!$K$6,"High spike",IF($AM919&lt;=-Lookups!$K$6,"Unusual low","Normal")))</f>
        <v>Normal</v>
      </c>
      <c r="AO919" s="20">
        <f>IF($V919&lt;&gt;1,"",$P919+ROW()/100000)</f>
        <v>160.00919</v>
      </c>
      <c r="AP919" s="5">
        <f>IF($A919="","",IFERROR(MATCH($A919,Raw_D1!$A$2:$A$1001,0),""))</f>
        <v/>
      </c>
      <c r="AQ919" s="5">
        <f>IF($A919="","",IFERROR(MATCH($A919,Raw_D2!$B$2:$B$1001,0),""))</f>
        <v/>
      </c>
      <c r="AR919" s="5">
        <f>IF($A919="","",IFERROR(MATCH($A919,Raw_D3!$A$2:$A$1001,0),""))</f>
        <v>299</v>
      </c>
    </row>
    <row r="920" spans="1:44" x14ac:dyDescent="0.25">
      <c r="A920" s="5">
        <v>919</v>
      </c>
      <c r="B920" s="11">
        <f>IF($A920="","",IF($AP920&lt;&gt;"",INDEX(Raw_D1!$B$2:$B$1001,$AP920),IF($AR920&lt;&gt;"",INDEX(Raw_D3!$B$2:$B$1001,$AR920),"")))</f>
        <v>40584.0</v>
      </c>
      <c r="C920" s="5">
        <f>IF($A920="","",IF($AP920&lt;&gt;"",INDEX(Raw_D1!$C$2:$C$1001,$AP920),IF($AR920&lt;&gt;"",INDEX(Raw_D3!$C$2:$C$1001,$AR920),"")))</f>
        <v>1</v>
      </c>
      <c r="D920" s="5">
        <f>IF($A920="","",IF($AP920&lt;&gt;"",INDEX(Raw_D1!$D$2:$D$1001,$AP920),IF($AR920&lt;&gt;"",INDEX(Raw_D3!$D$2:$D$1001,$AR920),"")))</f>
        <v>0</v>
      </c>
      <c r="E920" s="5">
        <f>IF($A920="","",IF($AP920&lt;&gt;"",INDEX(Raw_D1!$E$2:$E$1001,$AP920),IF($AR920&lt;&gt;"",INDEX(Raw_D3!$E$2:$E$1001,$AR920),"")))</f>
        <v>2</v>
      </c>
      <c r="F920" s="5">
        <f>IF($A920="","",IF($AP920&lt;&gt;"",INDEX(Raw_D1!$F$2:$F$1001,$AP920),IF($AR920&lt;&gt;"",INDEX(Raw_D3!$F$2:$F$1001,$AR920),"")))</f>
        <v>19</v>
      </c>
      <c r="G920" s="5">
        <f>IF($A920="","",IF($AP920&lt;&gt;"",IF(INDEX(Raw_D1!$G$2:$G$1001,$AP920),1,0),IF($AR920&lt;&gt;"",IF(INDEX(Raw_D3!$G$2:$G$1001,$AR920),1,0),"")))</f>
        <v>0</v>
      </c>
      <c r="H920" s="5">
        <f>IF($A920="","",IF($AP920&lt;&gt;"",INDEX(Raw_D1!$H$2:$H$1001,$AP920),IF($AR920&lt;&gt;"",INDEX(Raw_D3!$H$2:$H$1001,$AR920),"")))</f>
        <v>4</v>
      </c>
      <c r="I920" s="5">
        <f>IF($A920="","",IF($AP920&lt;&gt;"",INDEX(Raw_D1!$I$2:$I$1001,$AP920),IF($AR920&lt;&gt;"",INDEX(Raw_D3!$I$2:$I$1001,$AR920),"")))</f>
        <v>1</v>
      </c>
      <c r="J920" s="16">
        <f>IF($A920="","",IF($AP920&lt;&gt;"",INDEX(Raw_D1!$J$2:$J$1001,$AP920),IF($AR920&lt;&gt;"",INDEX(Raw_D3!$J$2:$J$1001,$AR920),"")))</f>
        <v>0.14</v>
      </c>
      <c r="K920" s="17">
        <f>IF($A920="","",IF($AQ920&lt;&gt;"",IF(INDEX(Raw_D2!$C$2:$C$1001,$AQ920)="","",INDEX(Raw_D2!$C$2:$C$1001,$AQ920)),IF($AR920&lt;&gt;"",IF(INDEX(Raw_D3!$K$2:$K$1001,$AR920)="","",INDEX(Raw_D3!$K$2:$K$1001,$AR920)),"")))</f>
        <v>0.1667</v>
      </c>
      <c r="L920" s="16">
        <f>IF($A920="","",IF($AQ920&lt;&gt;"",IF(INDEX(Raw_D2!$D$2:$D$1001,$AQ920)="","",INDEX(Raw_D2!$D$2:$D$1001,$AQ920)),IF($AR920&lt;&gt;"",IF(INDEX(Raw_D3!$L$2:$L$1001,$AR920)="","",INDEX(Raw_D3!$L$2:$L$1001,$AR920)),"")))</f>
        <v>0.28</v>
      </c>
      <c r="M920" s="17">
        <f>IF($A920="","",IF($AQ920&lt;&gt;"",IF(INDEX(Raw_D2!$E$2:$E$1001,$AQ920)="","",INDEX(Raw_D2!$E$2:$E$1001,$AQ920)),IF($AR920&lt;&gt;"",IF(INDEX(Raw_D3!$M$2:$M$1001,$AR920)="","",INDEX(Raw_D3!$M$2:$M$1001,$AR920)),"")))</f>
        <v>0.1045</v>
      </c>
      <c r="N920" s="5">
        <f>IF($A920="","",IF($AQ920&lt;&gt;"",IF(INDEX(Raw_D2!$F$2:$F$1001,$AQ920)="","",INDEX(Raw_D2!$F$2:$F$1001,$AQ920)),IF($AR920&lt;&gt;"",IF(INDEX(Raw_D3!$N$2:$N$1001,$AR920)="","",INDEX(Raw_D3!$N$2:$N$1001,$AR920)),"")))</f>
        <v>2</v>
      </c>
      <c r="O920" s="5">
        <f>IF($A920="","",IF($AQ920&lt;&gt;"",IF(INDEX(Raw_D2!$G$2:$G$1001,$AQ920)="","",INDEX(Raw_D2!$G$2:$G$1001,$AQ920)),IF($AR920&lt;&gt;"",IF(INDEX(Raw_D3!$O$2:$O$1001,$AR920)="","",INDEX(Raw_D3!$O$2:$O$1001,$AR920)),"")))</f>
        <v>110</v>
      </c>
      <c r="P920" s="5">
        <f>IF($A920="","",IF($AQ920&lt;&gt;"",IF(INDEX(Raw_D2!$H$2:$H$1001,$AQ920)="","",INDEX(Raw_D2!$H$2:$H$1001,$AQ920)),IF($AR920&lt;&gt;"",IF(INDEX(Raw_D3!$P$2:$P$1001,$AR920)="","",INDEX(Raw_D3!$P$2:$P$1001,$AR920)),"")))</f>
        <v>112</v>
      </c>
      <c r="Q920" s="5" t="str">
        <f>IF($A920="","",IF(AND($AP920&lt;&gt;"",$AQ920&lt;&gt;""),"D1+D2",IF($AR920&lt;&gt;"","D3","Incomplete")))</f>
        <v>D3</v>
      </c>
      <c r="R920" s="17">
        <f>IF($A920="","",IF($K920="",IF($J920="","",ROUND(Lookups!$K$5+Lookups!$K$4*$J920,4)),$K920))</f>
        <v>0.1667</v>
      </c>
      <c r="S920" s="5" t="str">
        <f>IF($A920="","",IF($K920="","Imputed","Original"))</f>
        <v>Original</v>
      </c>
      <c r="T920" s="5" t="str">
        <f>IF($A920="","",IF($P920="","Missing",IF($P920=$N920+$O920,"OK","Mismatch")))</f>
        <v>OK</v>
      </c>
      <c r="U920" s="5" t="str">
        <f>IF($A920="","",IF(COUNTIF($A$2:$A920,$A920)&gt;1,"Duplicate","Unique"))</f>
        <v>Unique</v>
      </c>
      <c r="V920" s="5">
        <f>IF($A920="","",IF(AND($U920="Unique",ISNUMBER($P920)),1,0))</f>
        <v>1</v>
      </c>
      <c r="W920" s="5" t="str">
        <f>IF($A920="","",IF(OR($H920=0,$H920=6),"Weekend","Weekday"))</f>
        <v>Weekday</v>
      </c>
      <c r="X920" s="5" t="str">
        <f>IF($A920="","",TEXT($B920,"ddd"))</f>
        <v>Thu</v>
      </c>
      <c r="Y920" s="5" t="str">
        <f>IF($A920="","",TEXT($B920,"mmm"))</f>
        <v>Feb</v>
      </c>
      <c r="Z920" s="5" t="str">
        <f>IF($A920="","",IFERROR(VLOOKUP($C920,Lookups!$D$4:$E$7,2,FALSE),"Unknown"))</f>
        <v>Winter</v>
      </c>
      <c r="AA920" s="5" t="str">
        <f>IF($A920="","",IFERROR(VLOOKUP($I920,Lookups!$A$4:$B$7,2,FALSE),"Unknown"))</f>
        <v>Clear</v>
      </c>
      <c r="AB920" s="5" t="str">
        <f>IF($A920="","",TEXT($F920,"00")&amp;":00")</f>
        <v>19:00</v>
      </c>
      <c r="AC920" s="5" t="str">
        <f>IF($A920="","",VLOOKUP($F920,Lookups!$G$4:$H$8,2,TRUE))</f>
        <v>Evening Peak (16-19)</v>
      </c>
      <c r="AD920" s="18">
        <f>IF($A920="","",IF($J920="","",ROUND($J920*41,1)))</f>
        <v>5.7</v>
      </c>
      <c r="AE920" s="18">
        <f>IF($A920="","",IF($R920="","",ROUND($R920*50,1)))</f>
        <v>8.3</v>
      </c>
      <c r="AF920" s="5">
        <f>IF($A920="","",IF($L920="","",ROUND($L920*100,0)))</f>
        <v>28</v>
      </c>
      <c r="AG920" s="18">
        <f>IF($A920="","",IF($M920="","",ROUND($M920*67,1)))</f>
        <v>7</v>
      </c>
      <c r="AH920" s="19">
        <f>IF($A920="","",IF($P920="","",IF($P920=0,0,$O920/$P920)))</f>
        <v>0.982142857142857</v>
      </c>
      <c r="AI920" s="5" t="str">
        <f>IF($A920="","",IF($P920="","",IF($P920&gt;=Lookups!$K$7,"High",IF($P920&lt;=Lookups!$K$8,"Low","Medium"))))</f>
        <v>High</v>
      </c>
      <c r="AJ920" s="5" t="str">
        <f>IF($A920="","",IF($AD920="","",IF($AD920&lt;5,"Under 5 C",IF($AD920&lt;10,"5-10 C",IF($AD920&lt;15,"10-15 C","15 C and above")))))</f>
        <v>5-10 C</v>
      </c>
      <c r="AK920" s="5">
        <f>IF($A920="","",IF($P920="","",$P920^2))</f>
        <v>12544</v>
      </c>
      <c r="AL920" s="18">
        <f>IF($V920&lt;&gt;1,"",AVERAGEIFS(Clean_Data!$P$2:$P$1001,Clean_Data!$F$2:$F$1001,$F920,Clean_Data!$W$2:$W$1001,$W920,Clean_Data!$V$2:$V$1001,1))</f>
        <v>102.034482758621</v>
      </c>
      <c r="AM920" s="16">
        <f>IF($V920&lt;&gt;1,"",IFERROR(($P920-$AL920)/SQRT(MAX(0,(SUMIFS(Clean_Data!$AK$2:$AK$1001,Clean_Data!$F$2:$F$1001,$F920,Clean_Data!$W$2:$W$1001,$W920,Clean_Data!$V$2:$V$1001,1)-COUNTIFS(Clean_Data!$F$2:$F$1001,$F920,Clean_Data!$W$2:$W$1001,$W920,Clean_Data!$V$2:$V$1001,1)*$AL920^2)/(COUNTIFS(Clean_Data!$F$2:$F$1001,$F920,Clean_Data!$W$2:$W$1001,$W920,Clean_Data!$V$2:$V$1001,1)-1))),""))</f>
        <v>0.469017164977196</v>
      </c>
      <c r="AN920" s="5" t="str">
        <f>IF($AM920="","",IF($AM920&gt;=Lookups!$K$6,"High spike",IF($AM920&lt;=-Lookups!$K$6,"Unusual low","Normal")))</f>
        <v>Normal</v>
      </c>
      <c r="AO920" s="20">
        <f>IF($V920&lt;&gt;1,"",$P920+ROW()/100000)</f>
        <v>112.0092</v>
      </c>
      <c r="AP920" s="5">
        <f>IF($A920="","",IFERROR(MATCH($A920,Raw_D1!$A$2:$A$1001,0),""))</f>
        <v/>
      </c>
      <c r="AQ920" s="5">
        <f>IF($A920="","",IFERROR(MATCH($A920,Raw_D2!$B$2:$B$1001,0),""))</f>
        <v/>
      </c>
      <c r="AR920" s="5">
        <f>IF($A920="","",IFERROR(MATCH($A920,Raw_D3!$A$2:$A$1001,0),""))</f>
        <v>300</v>
      </c>
    </row>
    <row r="921" spans="1:44" x14ac:dyDescent="0.25">
      <c r="A921" s="5">
        <v>920</v>
      </c>
      <c r="B921" s="11">
        <f>IF($A921="","",IF($AP921&lt;&gt;"",INDEX(Raw_D1!$B$2:$B$1001,$AP921),IF($AR921&lt;&gt;"",INDEX(Raw_D3!$B$2:$B$1001,$AR921),"")))</f>
        <v>40584.0</v>
      </c>
      <c r="C921" s="5">
        <f>IF($A921="","",IF($AP921&lt;&gt;"",INDEX(Raw_D1!$C$2:$C$1001,$AP921),IF($AR921&lt;&gt;"",INDEX(Raw_D3!$C$2:$C$1001,$AR921),"")))</f>
        <v>1</v>
      </c>
      <c r="D921" s="5">
        <f>IF($A921="","",IF($AP921&lt;&gt;"",INDEX(Raw_D1!$D$2:$D$1001,$AP921),IF($AR921&lt;&gt;"",INDEX(Raw_D3!$D$2:$D$1001,$AR921),"")))</f>
        <v>0</v>
      </c>
      <c r="E921" s="5">
        <f>IF($A921="","",IF($AP921&lt;&gt;"",INDEX(Raw_D1!$E$2:$E$1001,$AP921),IF($AR921&lt;&gt;"",INDEX(Raw_D3!$E$2:$E$1001,$AR921),"")))</f>
        <v>2</v>
      </c>
      <c r="F921" s="5">
        <f>IF($A921="","",IF($AP921&lt;&gt;"",INDEX(Raw_D1!$F$2:$F$1001,$AP921),IF($AR921&lt;&gt;"",INDEX(Raw_D3!$F$2:$F$1001,$AR921),"")))</f>
        <v>20</v>
      </c>
      <c r="G921" s="5">
        <f>IF($A921="","",IF($AP921&lt;&gt;"",IF(INDEX(Raw_D1!$G$2:$G$1001,$AP921),1,0),IF($AR921&lt;&gt;"",IF(INDEX(Raw_D3!$G$2:$G$1001,$AR921),1,0),"")))</f>
        <v>0</v>
      </c>
      <c r="H921" s="5">
        <f>IF($A921="","",IF($AP921&lt;&gt;"",INDEX(Raw_D1!$H$2:$H$1001,$AP921),IF($AR921&lt;&gt;"",INDEX(Raw_D3!$H$2:$H$1001,$AR921),"")))</f>
        <v>4</v>
      </c>
      <c r="I921" s="5">
        <f>IF($A921="","",IF($AP921&lt;&gt;"",INDEX(Raw_D1!$I$2:$I$1001,$AP921),IF($AR921&lt;&gt;"",INDEX(Raw_D3!$I$2:$I$1001,$AR921),"")))</f>
        <v>1</v>
      </c>
      <c r="J921" s="16">
        <f>IF($A921="","",IF($AP921&lt;&gt;"",INDEX(Raw_D1!$J$2:$J$1001,$AP921),IF($AR921&lt;&gt;"",INDEX(Raw_D3!$J$2:$J$1001,$AR921),"")))</f>
        <v>0.14</v>
      </c>
      <c r="K921" s="17">
        <f>IF($A921="","",IF($AQ921&lt;&gt;"",IF(INDEX(Raw_D2!$C$2:$C$1001,$AQ921)="","",INDEX(Raw_D2!$C$2:$C$1001,$AQ921)),IF($AR921&lt;&gt;"",IF(INDEX(Raw_D3!$K$2:$K$1001,$AR921)="","",INDEX(Raw_D3!$K$2:$K$1001,$AR921)),"")))</f>
        <v>0.1818</v>
      </c>
      <c r="L921" s="16">
        <f>IF($A921="","",IF($AQ921&lt;&gt;"",IF(INDEX(Raw_D2!$D$2:$D$1001,$AQ921)="","",INDEX(Raw_D2!$D$2:$D$1001,$AQ921)),IF($AR921&lt;&gt;"",IF(INDEX(Raw_D3!$L$2:$L$1001,$AR921)="","",INDEX(Raw_D3!$L$2:$L$1001,$AR921)),"")))</f>
        <v>0.31</v>
      </c>
      <c r="M921" s="17">
        <f>IF($A921="","",IF($AQ921&lt;&gt;"",IF(INDEX(Raw_D2!$E$2:$E$1001,$AQ921)="","",INDEX(Raw_D2!$E$2:$E$1001,$AQ921)),IF($AR921&lt;&gt;"",IF(INDEX(Raw_D3!$M$2:$M$1001,$AR921)="","",INDEX(Raw_D3!$M$2:$M$1001,$AR921)),"")))</f>
        <v>0.0896</v>
      </c>
      <c r="N921" s="5">
        <f>IF($A921="","",IF($AQ921&lt;&gt;"",IF(INDEX(Raw_D2!$F$2:$F$1001,$AQ921)="","",INDEX(Raw_D2!$F$2:$F$1001,$AQ921)),IF($AR921&lt;&gt;"",IF(INDEX(Raw_D3!$N$2:$N$1001,$AR921)="","",INDEX(Raw_D3!$N$2:$N$1001,$AR921)),"")))</f>
        <v>4</v>
      </c>
      <c r="O921" s="5">
        <f>IF($A921="","",IF($AQ921&lt;&gt;"",IF(INDEX(Raw_D2!$G$2:$G$1001,$AQ921)="","",INDEX(Raw_D2!$G$2:$G$1001,$AQ921)),IF($AR921&lt;&gt;"",IF(INDEX(Raw_D3!$O$2:$O$1001,$AR921)="","",INDEX(Raw_D3!$O$2:$O$1001,$AR921)),"")))</f>
        <v>93</v>
      </c>
      <c r="P921" s="5">
        <f>IF($A921="","",IF($AQ921&lt;&gt;"",IF(INDEX(Raw_D2!$H$2:$H$1001,$AQ921)="","",INDEX(Raw_D2!$H$2:$H$1001,$AQ921)),IF($AR921&lt;&gt;"",IF(INDEX(Raw_D3!$P$2:$P$1001,$AR921)="","",INDEX(Raw_D3!$P$2:$P$1001,$AR921)),"")))</f>
        <v>97</v>
      </c>
      <c r="Q921" s="5" t="str">
        <f>IF($A921="","",IF(AND($AP921&lt;&gt;"",$AQ921&lt;&gt;""),"D1+D2",IF($AR921&lt;&gt;"","D3","Incomplete")))</f>
        <v>D3</v>
      </c>
      <c r="R921" s="17">
        <f>IF($A921="","",IF($K921="",IF($J921="","",ROUND(Lookups!$K$5+Lookups!$K$4*$J921,4)),$K921))</f>
        <v>0.1818</v>
      </c>
      <c r="S921" s="5" t="str">
        <f>IF($A921="","",IF($K921="","Imputed","Original"))</f>
        <v>Original</v>
      </c>
      <c r="T921" s="5" t="str">
        <f>IF($A921="","",IF($P921="","Missing",IF($P921=$N921+$O921,"OK","Mismatch")))</f>
        <v>OK</v>
      </c>
      <c r="U921" s="5" t="str">
        <f>IF($A921="","",IF(COUNTIF($A$2:$A921,$A921)&gt;1,"Duplicate","Unique"))</f>
        <v>Unique</v>
      </c>
      <c r="V921" s="5">
        <f>IF($A921="","",IF(AND($U921="Unique",ISNUMBER($P921)),1,0))</f>
        <v>1</v>
      </c>
      <c r="W921" s="5" t="str">
        <f>IF($A921="","",IF(OR($H921=0,$H921=6),"Weekend","Weekday"))</f>
        <v>Weekday</v>
      </c>
      <c r="X921" s="5" t="str">
        <f>IF($A921="","",TEXT($B921,"ddd"))</f>
        <v>Thu</v>
      </c>
      <c r="Y921" s="5" t="str">
        <f>IF($A921="","",TEXT($B921,"mmm"))</f>
        <v>Feb</v>
      </c>
      <c r="Z921" s="5" t="str">
        <f>IF($A921="","",IFERROR(VLOOKUP($C921,Lookups!$D$4:$E$7,2,FALSE),"Unknown"))</f>
        <v>Winter</v>
      </c>
      <c r="AA921" s="5" t="str">
        <f>IF($A921="","",IFERROR(VLOOKUP($I921,Lookups!$A$4:$B$7,2,FALSE),"Unknown"))</f>
        <v>Clear</v>
      </c>
      <c r="AB921" s="5" t="str">
        <f>IF($A921="","",TEXT($F921,"00")&amp;":00")</f>
        <v>20:00</v>
      </c>
      <c r="AC921" s="5" t="str">
        <f>IF($A921="","",VLOOKUP($F921,Lookups!$G$4:$H$8,2,TRUE))</f>
        <v>Late Evening (20-23)</v>
      </c>
      <c r="AD921" s="18">
        <f>IF($A921="","",IF($J921="","",ROUND($J921*41,1)))</f>
        <v>5.7</v>
      </c>
      <c r="AE921" s="18">
        <f>IF($A921="","",IF($R921="","",ROUND($R921*50,1)))</f>
        <v>9.1</v>
      </c>
      <c r="AF921" s="5">
        <f>IF($A921="","",IF($L921="","",ROUND($L921*100,0)))</f>
        <v>31</v>
      </c>
      <c r="AG921" s="18">
        <f>IF($A921="","",IF($M921="","",ROUND($M921*67,1)))</f>
        <v>6</v>
      </c>
      <c r="AH921" s="19">
        <f>IF($A921="","",IF($P921="","",IF($P921=0,0,$O921/$P921)))</f>
        <v>0.958762886597938</v>
      </c>
      <c r="AI921" s="5" t="str">
        <f>IF($A921="","",IF($P921="","",IF($P921&gt;=Lookups!$K$7,"High",IF($P921&lt;=Lookups!$K$8,"Low","Medium"))))</f>
        <v>High</v>
      </c>
      <c r="AJ921" s="5" t="str">
        <f>IF($A921="","",IF($AD921="","",IF($AD921&lt;5,"Under 5 C",IF($AD921&lt;10,"5-10 C",IF($AD921&lt;15,"10-15 C","15 C and above")))))</f>
        <v>5-10 C</v>
      </c>
      <c r="AK921" s="5">
        <f>IF($A921="","",IF($P921="","",$P921^2))</f>
        <v>9409</v>
      </c>
      <c r="AL921" s="18">
        <f>IF($V921&lt;&gt;1,"",AVERAGEIFS(Clean_Data!$P$2:$P$1001,Clean_Data!$F$2:$F$1001,$F921,Clean_Data!$W$2:$W$1001,$W921,Clean_Data!$V$2:$V$1001,1))</f>
        <v>72.2758620689655</v>
      </c>
      <c r="AM921" s="16">
        <f>IF($V921&lt;&gt;1,"",IFERROR(($P921-$AL921)/SQRT(MAX(0,(SUMIFS(Clean_Data!$AK$2:$AK$1001,Clean_Data!$F$2:$F$1001,$F921,Clean_Data!$W$2:$W$1001,$W921,Clean_Data!$V$2:$V$1001,1)-COUNTIFS(Clean_Data!$F$2:$F$1001,$F921,Clean_Data!$W$2:$W$1001,$W921,Clean_Data!$V$2:$V$1001,1)*$AL921^2)/(COUNTIFS(Clean_Data!$F$2:$F$1001,$F921,Clean_Data!$W$2:$W$1001,$W921,Clean_Data!$V$2:$V$1001,1)-1))),""))</f>
        <v>1.11872646621321</v>
      </c>
      <c r="AN921" s="5" t="str">
        <f>IF($AM921="","",IF($AM921&gt;=Lookups!$K$6,"High spike",IF($AM921&lt;=-Lookups!$K$6,"Unusual low","Normal")))</f>
        <v>Normal</v>
      </c>
      <c r="AO921" s="20">
        <f>IF($V921&lt;&gt;1,"",$P921+ROW()/100000)</f>
        <v>97.00921</v>
      </c>
      <c r="AP921" s="5">
        <f>IF($A921="","",IFERROR(MATCH($A921,Raw_D1!$A$2:$A$1001,0),""))</f>
        <v/>
      </c>
      <c r="AQ921" s="5">
        <f>IF($A921="","",IFERROR(MATCH($A921,Raw_D2!$B$2:$B$1001,0),""))</f>
        <v/>
      </c>
      <c r="AR921" s="5">
        <f>IF($A921="","",IFERROR(MATCH($A921,Raw_D3!$A$2:$A$1001,0),""))</f>
        <v>301</v>
      </c>
    </row>
    <row r="922" spans="1:44" x14ac:dyDescent="0.25">
      <c r="A922" s="5">
        <v>921</v>
      </c>
      <c r="B922" s="11">
        <f>IF($A922="","",IF($AP922&lt;&gt;"",INDEX(Raw_D1!$B$2:$B$1001,$AP922),IF($AR922&lt;&gt;"",INDEX(Raw_D3!$B$2:$B$1001,$AR922),"")))</f>
        <v>40584.0</v>
      </c>
      <c r="C922" s="5">
        <f>IF($A922="","",IF($AP922&lt;&gt;"",INDEX(Raw_D1!$C$2:$C$1001,$AP922),IF($AR922&lt;&gt;"",INDEX(Raw_D3!$C$2:$C$1001,$AR922),"")))</f>
        <v>1</v>
      </c>
      <c r="D922" s="5">
        <f>IF($A922="","",IF($AP922&lt;&gt;"",INDEX(Raw_D1!$D$2:$D$1001,$AP922),IF($AR922&lt;&gt;"",INDEX(Raw_D3!$D$2:$D$1001,$AR922),"")))</f>
        <v>0</v>
      </c>
      <c r="E922" s="5">
        <f>IF($A922="","",IF($AP922&lt;&gt;"",INDEX(Raw_D1!$E$2:$E$1001,$AP922),IF($AR922&lt;&gt;"",INDEX(Raw_D3!$E$2:$E$1001,$AR922),"")))</f>
        <v>2</v>
      </c>
      <c r="F922" s="5">
        <f>IF($A922="","",IF($AP922&lt;&gt;"",INDEX(Raw_D1!$F$2:$F$1001,$AP922),IF($AR922&lt;&gt;"",INDEX(Raw_D3!$F$2:$F$1001,$AR922),"")))</f>
        <v>21</v>
      </c>
      <c r="G922" s="5">
        <f>IF($A922="","",IF($AP922&lt;&gt;"",IF(INDEX(Raw_D1!$G$2:$G$1001,$AP922),1,0),IF($AR922&lt;&gt;"",IF(INDEX(Raw_D3!$G$2:$G$1001,$AR922),1,0),"")))</f>
        <v>0</v>
      </c>
      <c r="H922" s="5">
        <f>IF($A922="","",IF($AP922&lt;&gt;"",INDEX(Raw_D1!$H$2:$H$1001,$AP922),IF($AR922&lt;&gt;"",INDEX(Raw_D3!$H$2:$H$1001,$AR922),"")))</f>
        <v>4</v>
      </c>
      <c r="I922" s="5">
        <f>IF($A922="","",IF($AP922&lt;&gt;"",INDEX(Raw_D1!$I$2:$I$1001,$AP922),IF($AR922&lt;&gt;"",INDEX(Raw_D3!$I$2:$I$1001,$AR922),"")))</f>
        <v>1</v>
      </c>
      <c r="J922" s="16">
        <f>IF($A922="","",IF($AP922&lt;&gt;"",INDEX(Raw_D1!$J$2:$J$1001,$AP922),IF($AR922&lt;&gt;"",INDEX(Raw_D3!$J$2:$J$1001,$AR922),"")))</f>
        <v>0.14</v>
      </c>
      <c r="K922" s="17">
        <f>IF($A922="","",IF($AQ922&lt;&gt;"",IF(INDEX(Raw_D2!$C$2:$C$1001,$AQ922)="","",INDEX(Raw_D2!$C$2:$C$1001,$AQ922)),IF($AR922&lt;&gt;"",IF(INDEX(Raw_D3!$K$2:$K$1001,$AR922)="","",INDEX(Raw_D3!$K$2:$K$1001,$AR922)),"")))</f>
        <v>0.2121</v>
      </c>
      <c r="L922" s="16">
        <f>IF($A922="","",IF($AQ922&lt;&gt;"",IF(INDEX(Raw_D2!$D$2:$D$1001,$AQ922)="","",INDEX(Raw_D2!$D$2:$D$1001,$AQ922)),IF($AR922&lt;&gt;"",IF(INDEX(Raw_D3!$L$2:$L$1001,$AR922)="","",INDEX(Raw_D3!$L$2:$L$1001,$AR922)),"")))</f>
        <v>0.39</v>
      </c>
      <c r="M922" s="17">
        <f>IF($A922="","",IF($AQ922&lt;&gt;"",IF(INDEX(Raw_D2!$E$2:$E$1001,$AQ922)="","",INDEX(Raw_D2!$E$2:$E$1001,$AQ922)),IF($AR922&lt;&gt;"",IF(INDEX(Raw_D3!$M$2:$M$1001,$AR922)="","",INDEX(Raw_D3!$M$2:$M$1001,$AR922)),"")))</f>
        <v>0</v>
      </c>
      <c r="N922" s="5">
        <f>IF($A922="","",IF($AQ922&lt;&gt;"",IF(INDEX(Raw_D2!$F$2:$F$1001,$AQ922)="","",INDEX(Raw_D2!$F$2:$F$1001,$AQ922)),IF($AR922&lt;&gt;"",IF(INDEX(Raw_D3!$N$2:$N$1001,$AR922)="","",INDEX(Raw_D3!$N$2:$N$1001,$AR922)),"")))</f>
        <v>2</v>
      </c>
      <c r="O922" s="5">
        <f>IF($A922="","",IF($AQ922&lt;&gt;"",IF(INDEX(Raw_D2!$G$2:$G$1001,$AQ922)="","",INDEX(Raw_D2!$G$2:$G$1001,$AQ922)),IF($AR922&lt;&gt;"",IF(INDEX(Raw_D3!$O$2:$O$1001,$AR922)="","",INDEX(Raw_D3!$O$2:$O$1001,$AR922)),"")))</f>
        <v>70</v>
      </c>
      <c r="P922" s="5">
        <f>IF($A922="","",IF($AQ922&lt;&gt;"",IF(INDEX(Raw_D2!$H$2:$H$1001,$AQ922)="","",INDEX(Raw_D2!$H$2:$H$1001,$AQ922)),IF($AR922&lt;&gt;"",IF(INDEX(Raw_D3!$P$2:$P$1001,$AR922)="","",INDEX(Raw_D3!$P$2:$P$1001,$AR922)),"")))</f>
        <v>72</v>
      </c>
      <c r="Q922" s="5" t="str">
        <f>IF($A922="","",IF(AND($AP922&lt;&gt;"",$AQ922&lt;&gt;""),"D1+D2",IF($AR922&lt;&gt;"","D3","Incomplete")))</f>
        <v>D3</v>
      </c>
      <c r="R922" s="17">
        <f>IF($A922="","",IF($K922="",IF($J922="","",ROUND(Lookups!$K$5+Lookups!$K$4*$J922,4)),$K922))</f>
        <v>0.2121</v>
      </c>
      <c r="S922" s="5" t="str">
        <f>IF($A922="","",IF($K922="","Imputed","Original"))</f>
        <v>Original</v>
      </c>
      <c r="T922" s="5" t="str">
        <f>IF($A922="","",IF($P922="","Missing",IF($P922=$N922+$O922,"OK","Mismatch")))</f>
        <v>OK</v>
      </c>
      <c r="U922" s="5" t="str">
        <f>IF($A922="","",IF(COUNTIF($A$2:$A922,$A922)&gt;1,"Duplicate","Unique"))</f>
        <v>Unique</v>
      </c>
      <c r="V922" s="5">
        <f>IF($A922="","",IF(AND($U922="Unique",ISNUMBER($P922)),1,0))</f>
        <v>1</v>
      </c>
      <c r="W922" s="5" t="str">
        <f>IF($A922="","",IF(OR($H922=0,$H922=6),"Weekend","Weekday"))</f>
        <v>Weekday</v>
      </c>
      <c r="X922" s="5" t="str">
        <f>IF($A922="","",TEXT($B922,"ddd"))</f>
        <v>Thu</v>
      </c>
      <c r="Y922" s="5" t="str">
        <f>IF($A922="","",TEXT($B922,"mmm"))</f>
        <v>Feb</v>
      </c>
      <c r="Z922" s="5" t="str">
        <f>IF($A922="","",IFERROR(VLOOKUP($C922,Lookups!$D$4:$E$7,2,FALSE),"Unknown"))</f>
        <v>Winter</v>
      </c>
      <c r="AA922" s="5" t="str">
        <f>IF($A922="","",IFERROR(VLOOKUP($I922,Lookups!$A$4:$B$7,2,FALSE),"Unknown"))</f>
        <v>Clear</v>
      </c>
      <c r="AB922" s="5" t="str">
        <f>IF($A922="","",TEXT($F922,"00")&amp;":00")</f>
        <v>21:00</v>
      </c>
      <c r="AC922" s="5" t="str">
        <f>IF($A922="","",VLOOKUP($F922,Lookups!$G$4:$H$8,2,TRUE))</f>
        <v>Late Evening (20-23)</v>
      </c>
      <c r="AD922" s="18">
        <f>IF($A922="","",IF($J922="","",ROUND($J922*41,1)))</f>
        <v>5.7</v>
      </c>
      <c r="AE922" s="18">
        <f>IF($A922="","",IF($R922="","",ROUND($R922*50,1)))</f>
        <v>10.6</v>
      </c>
      <c r="AF922" s="5">
        <f>IF($A922="","",IF($L922="","",ROUND($L922*100,0)))</f>
        <v>39</v>
      </c>
      <c r="AG922" s="18">
        <f>IF($A922="","",IF($M922="","",ROUND($M922*67,1)))</f>
        <v>0</v>
      </c>
      <c r="AH922" s="19">
        <f>IF($A922="","",IF($P922="","",IF($P922=0,0,$O922/$P922)))</f>
        <v>0.972222222222222</v>
      </c>
      <c r="AI922" s="5" t="str">
        <f>IF($A922="","",IF($P922="","",IF($P922&gt;=Lookups!$K$7,"High",IF($P922&lt;=Lookups!$K$8,"Low","Medium"))))</f>
        <v>Medium</v>
      </c>
      <c r="AJ922" s="5" t="str">
        <f>IF($A922="","",IF($AD922="","",IF($AD922&lt;5,"Under 5 C",IF($AD922&lt;10,"5-10 C",IF($AD922&lt;15,"10-15 C","15 C and above")))))</f>
        <v>5-10 C</v>
      </c>
      <c r="AK922" s="5">
        <f>IF($A922="","",IF($P922="","",$P922^2))</f>
        <v>5184</v>
      </c>
      <c r="AL922" s="18">
        <f>IF($V922&lt;&gt;1,"",AVERAGEIFS(Clean_Data!$P$2:$P$1001,Clean_Data!$F$2:$F$1001,$F922,Clean_Data!$W$2:$W$1001,$W922,Clean_Data!$V$2:$V$1001,1))</f>
        <v>50.8965517241379</v>
      </c>
      <c r="AM922" s="16">
        <f>IF($V922&lt;&gt;1,"",IFERROR(($P922-$AL922)/SQRT(MAX(0,(SUMIFS(Clean_Data!$AK$2:$AK$1001,Clean_Data!$F$2:$F$1001,$F922,Clean_Data!$W$2:$W$1001,$W922,Clean_Data!$V$2:$V$1001,1)-COUNTIFS(Clean_Data!$F$2:$F$1001,$F922,Clean_Data!$W$2:$W$1001,$W922,Clean_Data!$V$2:$V$1001,1)*$AL922^2)/(COUNTIFS(Clean_Data!$F$2:$F$1001,$F922,Clean_Data!$W$2:$W$1001,$W922,Clean_Data!$V$2:$V$1001,1)-1))),""))</f>
        <v>1.52832283542337</v>
      </c>
      <c r="AN922" s="5" t="str">
        <f>IF($AM922="","",IF($AM922&gt;=Lookups!$K$6,"High spike",IF($AM922&lt;=-Lookups!$K$6,"Unusual low","Normal")))</f>
        <v>Normal</v>
      </c>
      <c r="AO922" s="20">
        <f>IF($V922&lt;&gt;1,"",$P922+ROW()/100000)</f>
        <v>72.00922</v>
      </c>
      <c r="AP922" s="5">
        <f>IF($A922="","",IFERROR(MATCH($A922,Raw_D1!$A$2:$A$1001,0),""))</f>
        <v/>
      </c>
      <c r="AQ922" s="5">
        <f>IF($A922="","",IFERROR(MATCH($A922,Raw_D2!$B$2:$B$1001,0),""))</f>
        <v/>
      </c>
      <c r="AR922" s="5">
        <f>IF($A922="","",IFERROR(MATCH($A922,Raw_D3!$A$2:$A$1001,0),""))</f>
        <v>302</v>
      </c>
    </row>
    <row r="923" spans="1:44" x14ac:dyDescent="0.25">
      <c r="A923" s="5">
        <v>922</v>
      </c>
      <c r="B923" s="11">
        <f>IF($A923="","",IF($AP923&lt;&gt;"",INDEX(Raw_D1!$B$2:$B$1001,$AP923),IF($AR923&lt;&gt;"",INDEX(Raw_D3!$B$2:$B$1001,$AR923),"")))</f>
        <v>40584.0</v>
      </c>
      <c r="C923" s="5">
        <f>IF($A923="","",IF($AP923&lt;&gt;"",INDEX(Raw_D1!$C$2:$C$1001,$AP923),IF($AR923&lt;&gt;"",INDEX(Raw_D3!$C$2:$C$1001,$AR923),"")))</f>
        <v>1</v>
      </c>
      <c r="D923" s="5">
        <f>IF($A923="","",IF($AP923&lt;&gt;"",INDEX(Raw_D1!$D$2:$D$1001,$AP923),IF($AR923&lt;&gt;"",INDEX(Raw_D3!$D$2:$D$1001,$AR923),"")))</f>
        <v>0</v>
      </c>
      <c r="E923" s="5">
        <f>IF($A923="","",IF($AP923&lt;&gt;"",INDEX(Raw_D1!$E$2:$E$1001,$AP923),IF($AR923&lt;&gt;"",INDEX(Raw_D3!$E$2:$E$1001,$AR923),"")))</f>
        <v>2</v>
      </c>
      <c r="F923" s="5">
        <f>IF($A923="","",IF($AP923&lt;&gt;"",INDEX(Raw_D1!$F$2:$F$1001,$AP923),IF($AR923&lt;&gt;"",INDEX(Raw_D3!$F$2:$F$1001,$AR923),"")))</f>
        <v>22</v>
      </c>
      <c r="G923" s="5">
        <f>IF($A923="","",IF($AP923&lt;&gt;"",IF(INDEX(Raw_D1!$G$2:$G$1001,$AP923),1,0),IF($AR923&lt;&gt;"",IF(INDEX(Raw_D3!$G$2:$G$1001,$AR923),1,0),"")))</f>
        <v>0</v>
      </c>
      <c r="H923" s="5">
        <f>IF($A923="","",IF($AP923&lt;&gt;"",INDEX(Raw_D1!$H$2:$H$1001,$AP923),IF($AR923&lt;&gt;"",INDEX(Raw_D3!$H$2:$H$1001,$AR923),"")))</f>
        <v>4</v>
      </c>
      <c r="I923" s="5">
        <f>IF($A923="","",IF($AP923&lt;&gt;"",INDEX(Raw_D1!$I$2:$I$1001,$AP923),IF($AR923&lt;&gt;"",INDEX(Raw_D3!$I$2:$I$1001,$AR923),"")))</f>
        <v>1</v>
      </c>
      <c r="J923" s="16">
        <f>IF($A923="","",IF($AP923&lt;&gt;"",INDEX(Raw_D1!$J$2:$J$1001,$AP923),IF($AR923&lt;&gt;"",INDEX(Raw_D3!$J$2:$J$1001,$AR923),"")))</f>
        <v>0.12</v>
      </c>
      <c r="K923" s="17">
        <f>IF($A923="","",IF($AQ923&lt;&gt;"",IF(INDEX(Raw_D2!$C$2:$C$1001,$AQ923)="","",INDEX(Raw_D2!$C$2:$C$1001,$AQ923)),IF($AR923&lt;&gt;"",IF(INDEX(Raw_D3!$K$2:$K$1001,$AR923)="","",INDEX(Raw_D3!$K$2:$K$1001,$AR923)),"")))</f>
        <v>0.197</v>
      </c>
      <c r="L923" s="16">
        <f>IF($A923="","",IF($AQ923&lt;&gt;"",IF(INDEX(Raw_D2!$D$2:$D$1001,$AQ923)="","",INDEX(Raw_D2!$D$2:$D$1001,$AQ923)),IF($AR923&lt;&gt;"",IF(INDEX(Raw_D3!$L$2:$L$1001,$AR923)="","",INDEX(Raw_D3!$L$2:$L$1001,$AR923)),"")))</f>
        <v>0.39</v>
      </c>
      <c r="M923" s="17">
        <f>IF($A923="","",IF($AQ923&lt;&gt;"",IF(INDEX(Raw_D2!$E$2:$E$1001,$AQ923)="","",INDEX(Raw_D2!$E$2:$E$1001,$AQ923)),IF($AR923&lt;&gt;"",IF(INDEX(Raw_D3!$M$2:$M$1001,$AR923)="","",INDEX(Raw_D3!$M$2:$M$1001,$AR923)),"")))</f>
        <v>0</v>
      </c>
      <c r="N923" s="5">
        <f>IF($A923="","",IF($AQ923&lt;&gt;"",IF(INDEX(Raw_D2!$F$2:$F$1001,$AQ923)="","",INDEX(Raw_D2!$F$2:$F$1001,$AQ923)),IF($AR923&lt;&gt;"",IF(INDEX(Raw_D3!$N$2:$N$1001,$AR923)="","",INDEX(Raw_D3!$N$2:$N$1001,$AR923)),"")))</f>
        <v>4</v>
      </c>
      <c r="O923" s="5">
        <f>IF($A923="","",IF($AQ923&lt;&gt;"",IF(INDEX(Raw_D2!$G$2:$G$1001,$AQ923)="","",INDEX(Raw_D2!$G$2:$G$1001,$AQ923)),IF($AR923&lt;&gt;"",IF(INDEX(Raw_D3!$O$2:$O$1001,$AR923)="","",INDEX(Raw_D3!$O$2:$O$1001,$AR923)),"")))</f>
        <v>47</v>
      </c>
      <c r="P923" s="5">
        <f>IF($A923="","",IF($AQ923&lt;&gt;"",IF(INDEX(Raw_D2!$H$2:$H$1001,$AQ923)="","",INDEX(Raw_D2!$H$2:$H$1001,$AQ923)),IF($AR923&lt;&gt;"",IF(INDEX(Raw_D3!$P$2:$P$1001,$AR923)="","",INDEX(Raw_D3!$P$2:$P$1001,$AR923)),"")))</f>
        <v>51</v>
      </c>
      <c r="Q923" s="5" t="str">
        <f>IF($A923="","",IF(AND($AP923&lt;&gt;"",$AQ923&lt;&gt;""),"D1+D2",IF($AR923&lt;&gt;"","D3","Incomplete")))</f>
        <v>D3</v>
      </c>
      <c r="R923" s="17">
        <f>IF($A923="","",IF($K923="",IF($J923="","",ROUND(Lookups!$K$5+Lookups!$K$4*$J923,4)),$K923))</f>
        <v>0.197</v>
      </c>
      <c r="S923" s="5" t="str">
        <f>IF($A923="","",IF($K923="","Imputed","Original"))</f>
        <v>Original</v>
      </c>
      <c r="T923" s="5" t="str">
        <f>IF($A923="","",IF($P923="","Missing",IF($P923=$N923+$O923,"OK","Mismatch")))</f>
        <v>OK</v>
      </c>
      <c r="U923" s="5" t="str">
        <f>IF($A923="","",IF(COUNTIF($A$2:$A923,$A923)&gt;1,"Duplicate","Unique"))</f>
        <v>Unique</v>
      </c>
      <c r="V923" s="5">
        <f>IF($A923="","",IF(AND($U923="Unique",ISNUMBER($P923)),1,0))</f>
        <v>1</v>
      </c>
      <c r="W923" s="5" t="str">
        <f>IF($A923="","",IF(OR($H923=0,$H923=6),"Weekend","Weekday"))</f>
        <v>Weekday</v>
      </c>
      <c r="X923" s="5" t="str">
        <f>IF($A923="","",TEXT($B923,"ddd"))</f>
        <v>Thu</v>
      </c>
      <c r="Y923" s="5" t="str">
        <f>IF($A923="","",TEXT($B923,"mmm"))</f>
        <v>Feb</v>
      </c>
      <c r="Z923" s="5" t="str">
        <f>IF($A923="","",IFERROR(VLOOKUP($C923,Lookups!$D$4:$E$7,2,FALSE),"Unknown"))</f>
        <v>Winter</v>
      </c>
      <c r="AA923" s="5" t="str">
        <f>IF($A923="","",IFERROR(VLOOKUP($I923,Lookups!$A$4:$B$7,2,FALSE),"Unknown"))</f>
        <v>Clear</v>
      </c>
      <c r="AB923" s="5" t="str">
        <f>IF($A923="","",TEXT($F923,"00")&amp;":00")</f>
        <v>22:00</v>
      </c>
      <c r="AC923" s="5" t="str">
        <f>IF($A923="","",VLOOKUP($F923,Lookups!$G$4:$H$8,2,TRUE))</f>
        <v>Late Evening (20-23)</v>
      </c>
      <c r="AD923" s="18">
        <f>IF($A923="","",IF($J923="","",ROUND($J923*41,1)))</f>
        <v>4.9</v>
      </c>
      <c r="AE923" s="18">
        <f>IF($A923="","",IF($R923="","",ROUND($R923*50,1)))</f>
        <v>9.9</v>
      </c>
      <c r="AF923" s="5">
        <f>IF($A923="","",IF($L923="","",ROUND($L923*100,0)))</f>
        <v>39</v>
      </c>
      <c r="AG923" s="18">
        <f>IF($A923="","",IF($M923="","",ROUND($M923*67,1)))</f>
        <v>0</v>
      </c>
      <c r="AH923" s="19">
        <f>IF($A923="","",IF($P923="","",IF($P923=0,0,$O923/$P923)))</f>
        <v>0.92156862745098</v>
      </c>
      <c r="AI923" s="5" t="str">
        <f>IF($A923="","",IF($P923="","",IF($P923&gt;=Lookups!$K$7,"High",IF($P923&lt;=Lookups!$K$8,"Low","Medium"))))</f>
        <v>Medium</v>
      </c>
      <c r="AJ923" s="5" t="str">
        <f>IF($A923="","",IF($AD923="","",IF($AD923&lt;5,"Under 5 C",IF($AD923&lt;10,"5-10 C",IF($AD923&lt;15,"10-15 C","15 C and above")))))</f>
        <v>Under 5 C</v>
      </c>
      <c r="AK923" s="5">
        <f>IF($A923="","",IF($P923="","",$P923^2))</f>
        <v>2601</v>
      </c>
      <c r="AL923" s="18">
        <f>IF($V923&lt;&gt;1,"",AVERAGEIFS(Clean_Data!$P$2:$P$1001,Clean_Data!$F$2:$F$1001,$F923,Clean_Data!$W$2:$W$1001,$W923,Clean_Data!$V$2:$V$1001,1))</f>
        <v>37.1034482758621</v>
      </c>
      <c r="AM923" s="16">
        <f>IF($V923&lt;&gt;1,"",IFERROR(($P923-$AL923)/SQRT(MAX(0,(SUMIFS(Clean_Data!$AK$2:$AK$1001,Clean_Data!$F$2:$F$1001,$F923,Clean_Data!$W$2:$W$1001,$W923,Clean_Data!$V$2:$V$1001,1)-COUNTIFS(Clean_Data!$F$2:$F$1001,$F923,Clean_Data!$W$2:$W$1001,$W923,Clean_Data!$V$2:$V$1001,1)*$AL923^2)/(COUNTIFS(Clean_Data!$F$2:$F$1001,$F923,Clean_Data!$W$2:$W$1001,$W923,Clean_Data!$V$2:$V$1001,1)-1))),""))</f>
        <v>1.28735457555405</v>
      </c>
      <c r="AN923" s="5" t="str">
        <f>IF($AM923="","",IF($AM923&gt;=Lookups!$K$6,"High spike",IF($AM923&lt;=-Lookups!$K$6,"Unusual low","Normal")))</f>
        <v>Normal</v>
      </c>
      <c r="AO923" s="20">
        <f>IF($V923&lt;&gt;1,"",$P923+ROW()/100000)</f>
        <v>51.00923</v>
      </c>
      <c r="AP923" s="5">
        <f>IF($A923="","",IFERROR(MATCH($A923,Raw_D1!$A$2:$A$1001,0),""))</f>
        <v/>
      </c>
      <c r="AQ923" s="5">
        <f>IF($A923="","",IFERROR(MATCH($A923,Raw_D2!$B$2:$B$1001,0),""))</f>
        <v/>
      </c>
      <c r="AR923" s="5">
        <f>IF($A923="","",IFERROR(MATCH($A923,Raw_D3!$A$2:$A$1001,0),""))</f>
        <v>303</v>
      </c>
    </row>
    <row r="924" spans="1:44" x14ac:dyDescent="0.25">
      <c r="A924" s="5">
        <v>923</v>
      </c>
      <c r="B924" s="11">
        <f>IF($A924="","",IF($AP924&lt;&gt;"",INDEX(Raw_D1!$B$2:$B$1001,$AP924),IF($AR924&lt;&gt;"",INDEX(Raw_D3!$B$2:$B$1001,$AR924),"")))</f>
        <v>40584.0</v>
      </c>
      <c r="C924" s="5">
        <f>IF($A924="","",IF($AP924&lt;&gt;"",INDEX(Raw_D1!$C$2:$C$1001,$AP924),IF($AR924&lt;&gt;"",INDEX(Raw_D3!$C$2:$C$1001,$AR924),"")))</f>
        <v>1</v>
      </c>
      <c r="D924" s="5">
        <f>IF($A924="","",IF($AP924&lt;&gt;"",INDEX(Raw_D1!$D$2:$D$1001,$AP924),IF($AR924&lt;&gt;"",INDEX(Raw_D3!$D$2:$D$1001,$AR924),"")))</f>
        <v>0</v>
      </c>
      <c r="E924" s="5">
        <f>IF($A924="","",IF($AP924&lt;&gt;"",INDEX(Raw_D1!$E$2:$E$1001,$AP924),IF($AR924&lt;&gt;"",INDEX(Raw_D3!$E$2:$E$1001,$AR924),"")))</f>
        <v>2</v>
      </c>
      <c r="F924" s="5">
        <f>IF($A924="","",IF($AP924&lt;&gt;"",INDEX(Raw_D1!$F$2:$F$1001,$AP924),IF($AR924&lt;&gt;"",INDEX(Raw_D3!$F$2:$F$1001,$AR924),"")))</f>
        <v>23</v>
      </c>
      <c r="G924" s="5">
        <f>IF($A924="","",IF($AP924&lt;&gt;"",IF(INDEX(Raw_D1!$G$2:$G$1001,$AP924),1,0),IF($AR924&lt;&gt;"",IF(INDEX(Raw_D3!$G$2:$G$1001,$AR924),1,0),"")))</f>
        <v>0</v>
      </c>
      <c r="H924" s="5">
        <f>IF($A924="","",IF($AP924&lt;&gt;"",INDEX(Raw_D1!$H$2:$H$1001,$AP924),IF($AR924&lt;&gt;"",INDEX(Raw_D3!$H$2:$H$1001,$AR924),"")))</f>
        <v>4</v>
      </c>
      <c r="I924" s="5">
        <f>IF($A924="","",IF($AP924&lt;&gt;"",INDEX(Raw_D1!$I$2:$I$1001,$AP924),IF($AR924&lt;&gt;"",INDEX(Raw_D3!$I$2:$I$1001,$AR924),"")))</f>
        <v>1</v>
      </c>
      <c r="J924" s="16">
        <f>IF($A924="","",IF($AP924&lt;&gt;"",INDEX(Raw_D1!$J$2:$J$1001,$AP924),IF($AR924&lt;&gt;"",INDEX(Raw_D3!$J$2:$J$1001,$AR924),"")))</f>
        <v>0.12</v>
      </c>
      <c r="K924" s="17">
        <f>IF($A924="","",IF($AQ924&lt;&gt;"",IF(INDEX(Raw_D2!$C$2:$C$1001,$AQ924)="","",INDEX(Raw_D2!$C$2:$C$1001,$AQ924)),IF($AR924&lt;&gt;"",IF(INDEX(Raw_D3!$K$2:$K$1001,$AR924)="","",INDEX(Raw_D3!$K$2:$K$1001,$AR924)),"")))</f>
        <v>0.1515</v>
      </c>
      <c r="L924" s="16">
        <f>IF($A924="","",IF($AQ924&lt;&gt;"",IF(INDEX(Raw_D2!$D$2:$D$1001,$AQ924)="","",INDEX(Raw_D2!$D$2:$D$1001,$AQ924)),IF($AR924&lt;&gt;"",IF(INDEX(Raw_D3!$L$2:$L$1001,$AR924)="","",INDEX(Raw_D3!$L$2:$L$1001,$AR924)),"")))</f>
        <v>0.42</v>
      </c>
      <c r="M924" s="17">
        <f>IF($A924="","",IF($AQ924&lt;&gt;"",IF(INDEX(Raw_D2!$E$2:$E$1001,$AQ924)="","",INDEX(Raw_D2!$E$2:$E$1001,$AQ924)),IF($AR924&lt;&gt;"",IF(INDEX(Raw_D3!$M$2:$M$1001,$AR924)="","",INDEX(Raw_D3!$M$2:$M$1001,$AR924)),"")))</f>
        <v>0.1045</v>
      </c>
      <c r="N924" s="5">
        <f>IF($A924="","",IF($AQ924&lt;&gt;"",IF(INDEX(Raw_D2!$F$2:$F$1001,$AQ924)="","",INDEX(Raw_D2!$F$2:$F$1001,$AQ924)),IF($AR924&lt;&gt;"",IF(INDEX(Raw_D3!$N$2:$N$1001,$AR924)="","",INDEX(Raw_D3!$N$2:$N$1001,$AR924)),"")))</f>
        <v>1</v>
      </c>
      <c r="O924" s="5">
        <f>IF($A924="","",IF($AQ924&lt;&gt;"",IF(INDEX(Raw_D2!$G$2:$G$1001,$AQ924)="","",INDEX(Raw_D2!$G$2:$G$1001,$AQ924)),IF($AR924&lt;&gt;"",IF(INDEX(Raw_D3!$O$2:$O$1001,$AR924)="","",INDEX(Raw_D3!$O$2:$O$1001,$AR924)),"")))</f>
        <v>33</v>
      </c>
      <c r="P924" s="5">
        <f>IF($A924="","",IF($AQ924&lt;&gt;"",IF(INDEX(Raw_D2!$H$2:$H$1001,$AQ924)="","",INDEX(Raw_D2!$H$2:$H$1001,$AQ924)),IF($AR924&lt;&gt;"",IF(INDEX(Raw_D3!$P$2:$P$1001,$AR924)="","",INDEX(Raw_D3!$P$2:$P$1001,$AR924)),"")))</f>
        <v>34</v>
      </c>
      <c r="Q924" s="5" t="str">
        <f>IF($A924="","",IF(AND($AP924&lt;&gt;"",$AQ924&lt;&gt;""),"D1+D2",IF($AR924&lt;&gt;"","D3","Incomplete")))</f>
        <v>D3</v>
      </c>
      <c r="R924" s="17">
        <f>IF($A924="","",IF($K924="",IF($J924="","",ROUND(Lookups!$K$5+Lookups!$K$4*$J924,4)),$K924))</f>
        <v>0.1515</v>
      </c>
      <c r="S924" s="5" t="str">
        <f>IF($A924="","",IF($K924="","Imputed","Original"))</f>
        <v>Original</v>
      </c>
      <c r="T924" s="5" t="str">
        <f>IF($A924="","",IF($P924="","Missing",IF($P924=$N924+$O924,"OK","Mismatch")))</f>
        <v>OK</v>
      </c>
      <c r="U924" s="5" t="str">
        <f>IF($A924="","",IF(COUNTIF($A$2:$A924,$A924)&gt;1,"Duplicate","Unique"))</f>
        <v>Unique</v>
      </c>
      <c r="V924" s="5">
        <f>IF($A924="","",IF(AND($U924="Unique",ISNUMBER($P924)),1,0))</f>
        <v>1</v>
      </c>
      <c r="W924" s="5" t="str">
        <f>IF($A924="","",IF(OR($H924=0,$H924=6),"Weekend","Weekday"))</f>
        <v>Weekday</v>
      </c>
      <c r="X924" s="5" t="str">
        <f>IF($A924="","",TEXT($B924,"ddd"))</f>
        <v>Thu</v>
      </c>
      <c r="Y924" s="5" t="str">
        <f>IF($A924="","",TEXT($B924,"mmm"))</f>
        <v>Feb</v>
      </c>
      <c r="Z924" s="5" t="str">
        <f>IF($A924="","",IFERROR(VLOOKUP($C924,Lookups!$D$4:$E$7,2,FALSE),"Unknown"))</f>
        <v>Winter</v>
      </c>
      <c r="AA924" s="5" t="str">
        <f>IF($A924="","",IFERROR(VLOOKUP($I924,Lookups!$A$4:$B$7,2,FALSE),"Unknown"))</f>
        <v>Clear</v>
      </c>
      <c r="AB924" s="5" t="str">
        <f>IF($A924="","",TEXT($F924,"00")&amp;":00")</f>
        <v>23:00</v>
      </c>
      <c r="AC924" s="5" t="str">
        <f>IF($A924="","",VLOOKUP($F924,Lookups!$G$4:$H$8,2,TRUE))</f>
        <v>Late Evening (20-23)</v>
      </c>
      <c r="AD924" s="18">
        <f>IF($A924="","",IF($J924="","",ROUND($J924*41,1)))</f>
        <v>4.9</v>
      </c>
      <c r="AE924" s="18">
        <f>IF($A924="","",IF($R924="","",ROUND($R924*50,1)))</f>
        <v>7.6</v>
      </c>
      <c r="AF924" s="5">
        <f>IF($A924="","",IF($L924="","",ROUND($L924*100,0)))</f>
        <v>42</v>
      </c>
      <c r="AG924" s="18">
        <f>IF($A924="","",IF($M924="","",ROUND($M924*67,1)))</f>
        <v>7</v>
      </c>
      <c r="AH924" s="19">
        <f>IF($A924="","",IF($P924="","",IF($P924=0,0,$O924/$P924)))</f>
        <v>0.970588235294118</v>
      </c>
      <c r="AI924" s="5" t="str">
        <f>IF($A924="","",IF($P924="","",IF($P924&gt;=Lookups!$K$7,"High",IF($P924&lt;=Lookups!$K$8,"Low","Medium"))))</f>
        <v>Medium</v>
      </c>
      <c r="AJ924" s="5" t="str">
        <f>IF($A924="","",IF($AD924="","",IF($AD924&lt;5,"Under 5 C",IF($AD924&lt;10,"5-10 C",IF($AD924&lt;15,"10-15 C","15 C and above")))))</f>
        <v>Under 5 C</v>
      </c>
      <c r="AK924" s="5">
        <f>IF($A924="","",IF($P924="","",$P924^2))</f>
        <v>1156</v>
      </c>
      <c r="AL924" s="18">
        <f>IF($V924&lt;&gt;1,"",AVERAGEIFS(Clean_Data!$P$2:$P$1001,Clean_Data!$F$2:$F$1001,$F924,Clean_Data!$W$2:$W$1001,$W924,Clean_Data!$V$2:$V$1001,1))</f>
        <v>23.6896551724138</v>
      </c>
      <c r="AM924" s="16">
        <f>IF($V924&lt;&gt;1,"",IFERROR(($P924-$AL924)/SQRT(MAX(0,(SUMIFS(Clean_Data!$AK$2:$AK$1001,Clean_Data!$F$2:$F$1001,$F924,Clean_Data!$W$2:$W$1001,$W924,Clean_Data!$V$2:$V$1001,1)-COUNTIFS(Clean_Data!$F$2:$F$1001,$F924,Clean_Data!$W$2:$W$1001,$W924,Clean_Data!$V$2:$V$1001,1)*$AL924^2)/(COUNTIFS(Clean_Data!$F$2:$F$1001,$F924,Clean_Data!$W$2:$W$1001,$W924,Clean_Data!$V$2:$V$1001,1)-1))),""))</f>
        <v>0.984298846666802</v>
      </c>
      <c r="AN924" s="5" t="str">
        <f>IF($AM924="","",IF($AM924&gt;=Lookups!$K$6,"High spike",IF($AM924&lt;=-Lookups!$K$6,"Unusual low","Normal")))</f>
        <v>Normal</v>
      </c>
      <c r="AO924" s="20">
        <f>IF($V924&lt;&gt;1,"",$P924+ROW()/100000)</f>
        <v>34.00924</v>
      </c>
      <c r="AP924" s="5">
        <f>IF($A924="","",IFERROR(MATCH($A924,Raw_D1!$A$2:$A$1001,0),""))</f>
        <v/>
      </c>
      <c r="AQ924" s="5">
        <f>IF($A924="","",IFERROR(MATCH($A924,Raw_D2!$B$2:$B$1001,0),""))</f>
        <v/>
      </c>
      <c r="AR924" s="5">
        <f>IF($A924="","",IFERROR(MATCH($A924,Raw_D3!$A$2:$A$1001,0),""))</f>
        <v>304</v>
      </c>
    </row>
    <row r="925" spans="1:44" x14ac:dyDescent="0.25">
      <c r="A925" s="5">
        <v>924</v>
      </c>
      <c r="B925" s="11">
        <f>IF($A925="","",IF($AP925&lt;&gt;"",INDEX(Raw_D1!$B$2:$B$1001,$AP925),IF($AR925&lt;&gt;"",INDEX(Raw_D3!$B$2:$B$1001,$AR925),"")))</f>
        <v>40585.0</v>
      </c>
      <c r="C925" s="5">
        <f>IF($A925="","",IF($AP925&lt;&gt;"",INDEX(Raw_D1!$C$2:$C$1001,$AP925),IF($AR925&lt;&gt;"",INDEX(Raw_D3!$C$2:$C$1001,$AR925),"")))</f>
        <v>1</v>
      </c>
      <c r="D925" s="5">
        <f>IF($A925="","",IF($AP925&lt;&gt;"",INDEX(Raw_D1!$D$2:$D$1001,$AP925),IF($AR925&lt;&gt;"",INDEX(Raw_D3!$D$2:$D$1001,$AR925),"")))</f>
        <v>0</v>
      </c>
      <c r="E925" s="5">
        <f>IF($A925="","",IF($AP925&lt;&gt;"",INDEX(Raw_D1!$E$2:$E$1001,$AP925),IF($AR925&lt;&gt;"",INDEX(Raw_D3!$E$2:$E$1001,$AR925),"")))</f>
        <v>2</v>
      </c>
      <c r="F925" s="5">
        <f>IF($A925="","",IF($AP925&lt;&gt;"",INDEX(Raw_D1!$F$2:$F$1001,$AP925),IF($AR925&lt;&gt;"",INDEX(Raw_D3!$F$2:$F$1001,$AR925),"")))</f>
        <v>0</v>
      </c>
      <c r="G925" s="5">
        <f>IF($A925="","",IF($AP925&lt;&gt;"",IF(INDEX(Raw_D1!$G$2:$G$1001,$AP925),1,0),IF($AR925&lt;&gt;"",IF(INDEX(Raw_D3!$G$2:$G$1001,$AR925),1,0),"")))</f>
        <v>0</v>
      </c>
      <c r="H925" s="5">
        <f>IF($A925="","",IF($AP925&lt;&gt;"",INDEX(Raw_D1!$H$2:$H$1001,$AP925),IF($AR925&lt;&gt;"",INDEX(Raw_D3!$H$2:$H$1001,$AR925),"")))</f>
        <v>5</v>
      </c>
      <c r="I925" s="5">
        <f>IF($A925="","",IF($AP925&lt;&gt;"",INDEX(Raw_D1!$I$2:$I$1001,$AP925),IF($AR925&lt;&gt;"",INDEX(Raw_D3!$I$2:$I$1001,$AR925),"")))</f>
        <v>1</v>
      </c>
      <c r="J925" s="16">
        <f>IF($A925="","",IF($AP925&lt;&gt;"",INDEX(Raw_D1!$J$2:$J$1001,$AP925),IF($AR925&lt;&gt;"",INDEX(Raw_D3!$J$2:$J$1001,$AR925),"")))</f>
        <v>0.1</v>
      </c>
      <c r="K925" s="17">
        <f>IF($A925="","",IF($AQ925&lt;&gt;"",IF(INDEX(Raw_D2!$C$2:$C$1001,$AQ925)="","",INDEX(Raw_D2!$C$2:$C$1001,$AQ925)),IF($AR925&lt;&gt;"",IF(INDEX(Raw_D3!$K$2:$K$1001,$AR925)="","",INDEX(Raw_D3!$K$2:$K$1001,$AR925)),"")))</f>
        <v>0.1364</v>
      </c>
      <c r="L925" s="16">
        <f>IF($A925="","",IF($AQ925&lt;&gt;"",IF(INDEX(Raw_D2!$D$2:$D$1001,$AQ925)="","",INDEX(Raw_D2!$D$2:$D$1001,$AQ925)),IF($AR925&lt;&gt;"",IF(INDEX(Raw_D3!$L$2:$L$1001,$AR925)="","",INDEX(Raw_D3!$L$2:$L$1001,$AR925)),"")))</f>
        <v>0.49</v>
      </c>
      <c r="M925" s="17">
        <f>IF($A925="","",IF($AQ925&lt;&gt;"",IF(INDEX(Raw_D2!$E$2:$E$1001,$AQ925)="","",INDEX(Raw_D2!$E$2:$E$1001,$AQ925)),IF($AR925&lt;&gt;"",IF(INDEX(Raw_D3!$M$2:$M$1001,$AR925)="","",INDEX(Raw_D3!$M$2:$M$1001,$AR925)),"")))</f>
        <v>0.1045</v>
      </c>
      <c r="N925" s="5">
        <f>IF($A925="","",IF($AQ925&lt;&gt;"",IF(INDEX(Raw_D2!$F$2:$F$1001,$AQ925)="","",INDEX(Raw_D2!$F$2:$F$1001,$AQ925)),IF($AR925&lt;&gt;"",IF(INDEX(Raw_D3!$N$2:$N$1001,$AR925)="","",INDEX(Raw_D3!$N$2:$N$1001,$AR925)),"")))</f>
        <v>2</v>
      </c>
      <c r="O925" s="5">
        <f>IF($A925="","",IF($AQ925&lt;&gt;"",IF(INDEX(Raw_D2!$G$2:$G$1001,$AQ925)="","",INDEX(Raw_D2!$G$2:$G$1001,$AQ925)),IF($AR925&lt;&gt;"",IF(INDEX(Raw_D3!$O$2:$O$1001,$AR925)="","",INDEX(Raw_D3!$O$2:$O$1001,$AR925)),"")))</f>
        <v>12</v>
      </c>
      <c r="P925" s="5">
        <f>IF($A925="","",IF($AQ925&lt;&gt;"",IF(INDEX(Raw_D2!$H$2:$H$1001,$AQ925)="","",INDEX(Raw_D2!$H$2:$H$1001,$AQ925)),IF($AR925&lt;&gt;"",IF(INDEX(Raw_D3!$P$2:$P$1001,$AR925)="","",INDEX(Raw_D3!$P$2:$P$1001,$AR925)),"")))</f>
        <v>14</v>
      </c>
      <c r="Q925" s="5" t="str">
        <f>IF($A925="","",IF(AND($AP925&lt;&gt;"",$AQ925&lt;&gt;""),"D1+D2",IF($AR925&lt;&gt;"","D3","Incomplete")))</f>
        <v>D3</v>
      </c>
      <c r="R925" s="17">
        <f>IF($A925="","",IF($K925="",IF($J925="","",ROUND(Lookups!$K$5+Lookups!$K$4*$J925,4)),$K925))</f>
        <v>0.1364</v>
      </c>
      <c r="S925" s="5" t="str">
        <f>IF($A925="","",IF($K925="","Imputed","Original"))</f>
        <v>Original</v>
      </c>
      <c r="T925" s="5" t="str">
        <f>IF($A925="","",IF($P925="","Missing",IF($P925=$N925+$O925,"OK","Mismatch")))</f>
        <v>OK</v>
      </c>
      <c r="U925" s="5" t="str">
        <f>IF($A925="","",IF(COUNTIF($A$2:$A925,$A925)&gt;1,"Duplicate","Unique"))</f>
        <v>Unique</v>
      </c>
      <c r="V925" s="5">
        <f>IF($A925="","",IF(AND($U925="Unique",ISNUMBER($P925)),1,0))</f>
        <v>1</v>
      </c>
      <c r="W925" s="5" t="str">
        <f>IF($A925="","",IF(OR($H925=0,$H925=6),"Weekend","Weekday"))</f>
        <v>Weekday</v>
      </c>
      <c r="X925" s="5" t="str">
        <f>IF($A925="","",TEXT($B925,"ddd"))</f>
        <v>Fri</v>
      </c>
      <c r="Y925" s="5" t="str">
        <f>IF($A925="","",TEXT($B925,"mmm"))</f>
        <v>Feb</v>
      </c>
      <c r="Z925" s="5" t="str">
        <f>IF($A925="","",IFERROR(VLOOKUP($C925,Lookups!$D$4:$E$7,2,FALSE),"Unknown"))</f>
        <v>Winter</v>
      </c>
      <c r="AA925" s="5" t="str">
        <f>IF($A925="","",IFERROR(VLOOKUP($I925,Lookups!$A$4:$B$7,2,FALSE),"Unknown"))</f>
        <v>Clear</v>
      </c>
      <c r="AB925" s="5" t="str">
        <f>IF($A925="","",TEXT($F925,"00")&amp;":00")</f>
        <v>00:00</v>
      </c>
      <c r="AC925" s="5" t="str">
        <f>IF($A925="","",VLOOKUP($F925,Lookups!$G$4:$H$8,2,TRUE))</f>
        <v>Night (00-05)</v>
      </c>
      <c r="AD925" s="18">
        <f>IF($A925="","",IF($J925="","",ROUND($J925*41,1)))</f>
        <v>4.1</v>
      </c>
      <c r="AE925" s="18">
        <f>IF($A925="","",IF($R925="","",ROUND($R925*50,1)))</f>
        <v>6.8</v>
      </c>
      <c r="AF925" s="5">
        <f>IF($A925="","",IF($L925="","",ROUND($L925*100,0)))</f>
        <v>49</v>
      </c>
      <c r="AG925" s="18">
        <f>IF($A925="","",IF($M925="","",ROUND($M925*67,1)))</f>
        <v>7</v>
      </c>
      <c r="AH925" s="19">
        <f>IF($A925="","",IF($P925="","",IF($P925=0,0,$O925/$P925)))</f>
        <v>0.857142857142857</v>
      </c>
      <c r="AI925" s="5" t="str">
        <f>IF($A925="","",IF($P925="","",IF($P925&gt;=Lookups!$K$7,"High",IF($P925&lt;=Lookups!$K$8,"Low","Medium"))))</f>
        <v>Low</v>
      </c>
      <c r="AJ925" s="5" t="str">
        <f>IF($A925="","",IF($AD925="","",IF($AD925&lt;5,"Under 5 C",IF($AD925&lt;10,"5-10 C",IF($AD925&lt;15,"10-15 C","15 C and above")))))</f>
        <v>Under 5 C</v>
      </c>
      <c r="AK925" s="5">
        <f>IF($A925="","",IF($P925="","",$P925^2))</f>
        <v>196</v>
      </c>
      <c r="AL925" s="18">
        <f>IF($V925&lt;&gt;1,"",AVERAGEIFS(Clean_Data!$P$2:$P$1001,Clean_Data!$F$2:$F$1001,$F925,Clean_Data!$W$2:$W$1001,$W925,Clean_Data!$V$2:$V$1001,1))</f>
        <v>10.6896551724138</v>
      </c>
      <c r="AM925" s="16">
        <f>IF($V925&lt;&gt;1,"",IFERROR(($P925-$AL925)/SQRT(MAX(0,(SUMIFS(Clean_Data!$AK$2:$AK$1001,Clean_Data!$F$2:$F$1001,$F925,Clean_Data!$W$2:$W$1001,$W925,Clean_Data!$V$2:$V$1001,1)-COUNTIFS(Clean_Data!$F$2:$F$1001,$F925,Clean_Data!$W$2:$W$1001,$W925,Clean_Data!$V$2:$V$1001,1)*$AL925^2)/(COUNTIFS(Clean_Data!$F$2:$F$1001,$F925,Clean_Data!$W$2:$W$1001,$W925,Clean_Data!$V$2:$V$1001,1)-1))),""))</f>
        <v>0.676624633042206</v>
      </c>
      <c r="AN925" s="5" t="str">
        <f>IF($AM925="","",IF($AM925&gt;=Lookups!$K$6,"High spike",IF($AM925&lt;=-Lookups!$K$6,"Unusual low","Normal")))</f>
        <v>Normal</v>
      </c>
      <c r="AO925" s="20">
        <f>IF($V925&lt;&gt;1,"",$P925+ROW()/100000)</f>
        <v>14.00925</v>
      </c>
      <c r="AP925" s="5">
        <f>IF($A925="","",IFERROR(MATCH($A925,Raw_D1!$A$2:$A$1001,0),""))</f>
        <v/>
      </c>
      <c r="AQ925" s="5">
        <f>IF($A925="","",IFERROR(MATCH($A925,Raw_D2!$B$2:$B$1001,0),""))</f>
        <v/>
      </c>
      <c r="AR925" s="5">
        <f>IF($A925="","",IFERROR(MATCH($A925,Raw_D3!$A$2:$A$1001,0),""))</f>
        <v>305</v>
      </c>
    </row>
    <row r="926" spans="1:44" x14ac:dyDescent="0.25">
      <c r="A926" s="5">
        <v>925</v>
      </c>
      <c r="B926" s="11">
        <f>IF($A926="","",IF($AP926&lt;&gt;"",INDEX(Raw_D1!$B$2:$B$1001,$AP926),IF($AR926&lt;&gt;"",INDEX(Raw_D3!$B$2:$B$1001,$AR926),"")))</f>
        <v>40585.0</v>
      </c>
      <c r="C926" s="5">
        <f>IF($A926="","",IF($AP926&lt;&gt;"",INDEX(Raw_D1!$C$2:$C$1001,$AP926),IF($AR926&lt;&gt;"",INDEX(Raw_D3!$C$2:$C$1001,$AR926),"")))</f>
        <v>1</v>
      </c>
      <c r="D926" s="5">
        <f>IF($A926="","",IF($AP926&lt;&gt;"",INDEX(Raw_D1!$D$2:$D$1001,$AP926),IF($AR926&lt;&gt;"",INDEX(Raw_D3!$D$2:$D$1001,$AR926),"")))</f>
        <v>0</v>
      </c>
      <c r="E926" s="5">
        <f>IF($A926="","",IF($AP926&lt;&gt;"",INDEX(Raw_D1!$E$2:$E$1001,$AP926),IF($AR926&lt;&gt;"",INDEX(Raw_D3!$E$2:$E$1001,$AR926),"")))</f>
        <v>2</v>
      </c>
      <c r="F926" s="5">
        <f>IF($A926="","",IF($AP926&lt;&gt;"",INDEX(Raw_D1!$F$2:$F$1001,$AP926),IF($AR926&lt;&gt;"",INDEX(Raw_D3!$F$2:$F$1001,$AR926),"")))</f>
        <v>1</v>
      </c>
      <c r="G926" s="5">
        <f>IF($A926="","",IF($AP926&lt;&gt;"",IF(INDEX(Raw_D1!$G$2:$G$1001,$AP926),1,0),IF($AR926&lt;&gt;"",IF(INDEX(Raw_D3!$G$2:$G$1001,$AR926),1,0),"")))</f>
        <v>0</v>
      </c>
      <c r="H926" s="5">
        <f>IF($A926="","",IF($AP926&lt;&gt;"",INDEX(Raw_D1!$H$2:$H$1001,$AP926),IF($AR926&lt;&gt;"",INDEX(Raw_D3!$H$2:$H$1001,$AR926),"")))</f>
        <v>5</v>
      </c>
      <c r="I926" s="5">
        <f>IF($A926="","",IF($AP926&lt;&gt;"",INDEX(Raw_D1!$I$2:$I$1001,$AP926),IF($AR926&lt;&gt;"",INDEX(Raw_D3!$I$2:$I$1001,$AR926),"")))</f>
        <v>1</v>
      </c>
      <c r="J926" s="16">
        <f>IF($A926="","",IF($AP926&lt;&gt;"",INDEX(Raw_D1!$J$2:$J$1001,$AP926),IF($AR926&lt;&gt;"",INDEX(Raw_D3!$J$2:$J$1001,$AR926),"")))</f>
        <v>0.1</v>
      </c>
      <c r="K926" s="17">
        <f>IF($A926="","",IF($AQ926&lt;&gt;"",IF(INDEX(Raw_D2!$C$2:$C$1001,$AQ926)="","",INDEX(Raw_D2!$C$2:$C$1001,$AQ926)),IF($AR926&lt;&gt;"",IF(INDEX(Raw_D3!$K$2:$K$1001,$AR926)="","",INDEX(Raw_D3!$K$2:$K$1001,$AR926)),"")))</f>
        <v>0.1364</v>
      </c>
      <c r="L926" s="16">
        <f>IF($A926="","",IF($AQ926&lt;&gt;"",IF(INDEX(Raw_D2!$D$2:$D$1001,$AQ926)="","",INDEX(Raw_D2!$D$2:$D$1001,$AQ926)),IF($AR926&lt;&gt;"",IF(INDEX(Raw_D3!$L$2:$L$1001,$AR926)="","",INDEX(Raw_D3!$L$2:$L$1001,$AR926)),"")))</f>
        <v>0.54</v>
      </c>
      <c r="M926" s="17">
        <f>IF($A926="","",IF($AQ926&lt;&gt;"",IF(INDEX(Raw_D2!$E$2:$E$1001,$AQ926)="","",INDEX(Raw_D2!$E$2:$E$1001,$AQ926)),IF($AR926&lt;&gt;"",IF(INDEX(Raw_D3!$M$2:$M$1001,$AR926)="","",INDEX(Raw_D3!$M$2:$M$1001,$AR926)),"")))</f>
        <v>0.0896</v>
      </c>
      <c r="N926" s="5">
        <f>IF($A926="","",IF($AQ926&lt;&gt;"",IF(INDEX(Raw_D2!$F$2:$F$1001,$AQ926)="","",INDEX(Raw_D2!$F$2:$F$1001,$AQ926)),IF($AR926&lt;&gt;"",IF(INDEX(Raw_D3!$N$2:$N$1001,$AR926)="","",INDEX(Raw_D3!$N$2:$N$1001,$AR926)),"")))</f>
        <v>1</v>
      </c>
      <c r="O926" s="5">
        <f>IF($A926="","",IF($AQ926&lt;&gt;"",IF(INDEX(Raw_D2!$G$2:$G$1001,$AQ926)="","",INDEX(Raw_D2!$G$2:$G$1001,$AQ926)),IF($AR926&lt;&gt;"",IF(INDEX(Raw_D3!$O$2:$O$1001,$AR926)="","",INDEX(Raw_D3!$O$2:$O$1001,$AR926)),"")))</f>
        <v>6</v>
      </c>
      <c r="P926" s="5">
        <f>IF($A926="","",IF($AQ926&lt;&gt;"",IF(INDEX(Raw_D2!$H$2:$H$1001,$AQ926)="","",INDEX(Raw_D2!$H$2:$H$1001,$AQ926)),IF($AR926&lt;&gt;"",IF(INDEX(Raw_D3!$P$2:$P$1001,$AR926)="","",INDEX(Raw_D3!$P$2:$P$1001,$AR926)),"")))</f>
        <v>7</v>
      </c>
      <c r="Q926" s="5" t="str">
        <f>IF($A926="","",IF(AND($AP926&lt;&gt;"",$AQ926&lt;&gt;""),"D1+D2",IF($AR926&lt;&gt;"","D3","Incomplete")))</f>
        <v>D3</v>
      </c>
      <c r="R926" s="17">
        <f>IF($A926="","",IF($K926="",IF($J926="","",ROUND(Lookups!$K$5+Lookups!$K$4*$J926,4)),$K926))</f>
        <v>0.1364</v>
      </c>
      <c r="S926" s="5" t="str">
        <f>IF($A926="","",IF($K926="","Imputed","Original"))</f>
        <v>Original</v>
      </c>
      <c r="T926" s="5" t="str">
        <f>IF($A926="","",IF($P926="","Missing",IF($P926=$N926+$O926,"OK","Mismatch")))</f>
        <v>OK</v>
      </c>
      <c r="U926" s="5" t="str">
        <f>IF($A926="","",IF(COUNTIF($A$2:$A926,$A926)&gt;1,"Duplicate","Unique"))</f>
        <v>Unique</v>
      </c>
      <c r="V926" s="5">
        <f>IF($A926="","",IF(AND($U926="Unique",ISNUMBER($P926)),1,0))</f>
        <v>1</v>
      </c>
      <c r="W926" s="5" t="str">
        <f>IF($A926="","",IF(OR($H926=0,$H926=6),"Weekend","Weekday"))</f>
        <v>Weekday</v>
      </c>
      <c r="X926" s="5" t="str">
        <f>IF($A926="","",TEXT($B926,"ddd"))</f>
        <v>Fri</v>
      </c>
      <c r="Y926" s="5" t="str">
        <f>IF($A926="","",TEXT($B926,"mmm"))</f>
        <v>Feb</v>
      </c>
      <c r="Z926" s="5" t="str">
        <f>IF($A926="","",IFERROR(VLOOKUP($C926,Lookups!$D$4:$E$7,2,FALSE),"Unknown"))</f>
        <v>Winter</v>
      </c>
      <c r="AA926" s="5" t="str">
        <f>IF($A926="","",IFERROR(VLOOKUP($I926,Lookups!$A$4:$B$7,2,FALSE),"Unknown"))</f>
        <v>Clear</v>
      </c>
      <c r="AB926" s="5" t="str">
        <f>IF($A926="","",TEXT($F926,"00")&amp;":00")</f>
        <v>01:00</v>
      </c>
      <c r="AC926" s="5" t="str">
        <f>IF($A926="","",VLOOKUP($F926,Lookups!$G$4:$H$8,2,TRUE))</f>
        <v>Night (00-05)</v>
      </c>
      <c r="AD926" s="18">
        <f>IF($A926="","",IF($J926="","",ROUND($J926*41,1)))</f>
        <v>4.1</v>
      </c>
      <c r="AE926" s="18">
        <f>IF($A926="","",IF($R926="","",ROUND($R926*50,1)))</f>
        <v>6.8</v>
      </c>
      <c r="AF926" s="5">
        <f>IF($A926="","",IF($L926="","",ROUND($L926*100,0)))</f>
        <v>54</v>
      </c>
      <c r="AG926" s="18">
        <f>IF($A926="","",IF($M926="","",ROUND($M926*67,1)))</f>
        <v>6</v>
      </c>
      <c r="AH926" s="19">
        <f>IF($A926="","",IF($P926="","",IF($P926=0,0,$O926/$P926)))</f>
        <v>0.857142857142857</v>
      </c>
      <c r="AI926" s="5" t="str">
        <f>IF($A926="","",IF($P926="","",IF($P926&gt;=Lookups!$K$7,"High",IF($P926&lt;=Lookups!$K$8,"Low","Medium"))))</f>
        <v>Low</v>
      </c>
      <c r="AJ926" s="5" t="str">
        <f>IF($A926="","",IF($AD926="","",IF($AD926&lt;5,"Under 5 C",IF($AD926&lt;10,"5-10 C",IF($AD926&lt;15,"10-15 C","15 C and above")))))</f>
        <v>Under 5 C</v>
      </c>
      <c r="AK926" s="5">
        <f>IF($A926="","",IF($P926="","",$P926^2))</f>
        <v>49</v>
      </c>
      <c r="AL926" s="18">
        <f>IF($V926&lt;&gt;1,"",AVERAGEIFS(Clean_Data!$P$2:$P$1001,Clean_Data!$F$2:$F$1001,$F926,Clean_Data!$W$2:$W$1001,$W926,Clean_Data!$V$2:$V$1001,1))</f>
        <v>5.10344827586207</v>
      </c>
      <c r="AM926" s="16">
        <f>IF($V926&lt;&gt;1,"",IFERROR(($P926-$AL926)/SQRT(MAX(0,(SUMIFS(Clean_Data!$AK$2:$AK$1001,Clean_Data!$F$2:$F$1001,$F926,Clean_Data!$W$2:$W$1001,$W926,Clean_Data!$V$2:$V$1001,1)-COUNTIFS(Clean_Data!$F$2:$F$1001,$F926,Clean_Data!$W$2:$W$1001,$W926,Clean_Data!$V$2:$V$1001,1)*$AL926^2)/(COUNTIFS(Clean_Data!$F$2:$F$1001,$F926,Clean_Data!$W$2:$W$1001,$W926,Clean_Data!$V$2:$V$1001,1)-1))),""))</f>
        <v>0.657892854181701</v>
      </c>
      <c r="AN926" s="5" t="str">
        <f>IF($AM926="","",IF($AM926&gt;=Lookups!$K$6,"High spike",IF($AM926&lt;=-Lookups!$K$6,"Unusual low","Normal")))</f>
        <v>Normal</v>
      </c>
      <c r="AO926" s="20">
        <f>IF($V926&lt;&gt;1,"",$P926+ROW()/100000)</f>
        <v>7.00926</v>
      </c>
      <c r="AP926" s="5">
        <f>IF($A926="","",IFERROR(MATCH($A926,Raw_D1!$A$2:$A$1001,0),""))</f>
        <v/>
      </c>
      <c r="AQ926" s="5">
        <f>IF($A926="","",IFERROR(MATCH($A926,Raw_D2!$B$2:$B$1001,0),""))</f>
        <v/>
      </c>
      <c r="AR926" s="5">
        <f>IF($A926="","",IFERROR(MATCH($A926,Raw_D3!$A$2:$A$1001,0),""))</f>
        <v>306</v>
      </c>
    </row>
    <row r="927" spans="1:44" x14ac:dyDescent="0.25">
      <c r="A927" s="5">
        <v>926</v>
      </c>
      <c r="B927" s="11">
        <f>IF($A927="","",IF($AP927&lt;&gt;"",INDEX(Raw_D1!$B$2:$B$1001,$AP927),IF($AR927&lt;&gt;"",INDEX(Raw_D3!$B$2:$B$1001,$AR927),"")))</f>
        <v>40585.0</v>
      </c>
      <c r="C927" s="5">
        <f>IF($A927="","",IF($AP927&lt;&gt;"",INDEX(Raw_D1!$C$2:$C$1001,$AP927),IF($AR927&lt;&gt;"",INDEX(Raw_D3!$C$2:$C$1001,$AR927),"")))</f>
        <v>1</v>
      </c>
      <c r="D927" s="5">
        <f>IF($A927="","",IF($AP927&lt;&gt;"",INDEX(Raw_D1!$D$2:$D$1001,$AP927),IF($AR927&lt;&gt;"",INDEX(Raw_D3!$D$2:$D$1001,$AR927),"")))</f>
        <v>0</v>
      </c>
      <c r="E927" s="5">
        <f>IF($A927="","",IF($AP927&lt;&gt;"",INDEX(Raw_D1!$E$2:$E$1001,$AP927),IF($AR927&lt;&gt;"",INDEX(Raw_D3!$E$2:$E$1001,$AR927),"")))</f>
        <v>2</v>
      </c>
      <c r="F927" s="5">
        <f>IF($A927="","",IF($AP927&lt;&gt;"",INDEX(Raw_D1!$F$2:$F$1001,$AP927),IF($AR927&lt;&gt;"",INDEX(Raw_D3!$F$2:$F$1001,$AR927),"")))</f>
        <v>2</v>
      </c>
      <c r="G927" s="5">
        <f>IF($A927="","",IF($AP927&lt;&gt;"",IF(INDEX(Raw_D1!$G$2:$G$1001,$AP927),1,0),IF($AR927&lt;&gt;"",IF(INDEX(Raw_D3!$G$2:$G$1001,$AR927),1,0),"")))</f>
        <v>0</v>
      </c>
      <c r="H927" s="5">
        <f>IF($A927="","",IF($AP927&lt;&gt;"",INDEX(Raw_D1!$H$2:$H$1001,$AP927),IF($AR927&lt;&gt;"",INDEX(Raw_D3!$H$2:$H$1001,$AR927),"")))</f>
        <v>5</v>
      </c>
      <c r="I927" s="5">
        <f>IF($A927="","",IF($AP927&lt;&gt;"",INDEX(Raw_D1!$I$2:$I$1001,$AP927),IF($AR927&lt;&gt;"",INDEX(Raw_D3!$I$2:$I$1001,$AR927),"")))</f>
        <v>1</v>
      </c>
      <c r="J927" s="16">
        <f>IF($A927="","",IF($AP927&lt;&gt;"",INDEX(Raw_D1!$J$2:$J$1001,$AP927),IF($AR927&lt;&gt;"",INDEX(Raw_D3!$J$2:$J$1001,$AR927),"")))</f>
        <v>0.1</v>
      </c>
      <c r="K927" s="17">
        <f>IF($A927="","",IF($AQ927&lt;&gt;"",IF(INDEX(Raw_D2!$C$2:$C$1001,$AQ927)="","",INDEX(Raw_D2!$C$2:$C$1001,$AQ927)),IF($AR927&lt;&gt;"",IF(INDEX(Raw_D3!$K$2:$K$1001,$AR927)="","",INDEX(Raw_D3!$K$2:$K$1001,$AR927)),"")))</f>
        <v>0.1364</v>
      </c>
      <c r="L927" s="16">
        <f>IF($A927="","",IF($AQ927&lt;&gt;"",IF(INDEX(Raw_D2!$D$2:$D$1001,$AQ927)="","",INDEX(Raw_D2!$D$2:$D$1001,$AQ927)),IF($AR927&lt;&gt;"",IF(INDEX(Raw_D3!$L$2:$L$1001,$AR927)="","",INDEX(Raw_D3!$L$2:$L$1001,$AR927)),"")))</f>
        <v>0.54</v>
      </c>
      <c r="M927" s="17">
        <f>IF($A927="","",IF($AQ927&lt;&gt;"",IF(INDEX(Raw_D2!$E$2:$E$1001,$AQ927)="","",INDEX(Raw_D2!$E$2:$E$1001,$AQ927)),IF($AR927&lt;&gt;"",IF(INDEX(Raw_D3!$M$2:$M$1001,$AR927)="","",INDEX(Raw_D3!$M$2:$M$1001,$AR927)),"")))</f>
        <v>0.0896</v>
      </c>
      <c r="N927" s="5">
        <f>IF($A927="","",IF($AQ927&lt;&gt;"",IF(INDEX(Raw_D2!$F$2:$F$1001,$AQ927)="","",INDEX(Raw_D2!$F$2:$F$1001,$AQ927)),IF($AR927&lt;&gt;"",IF(INDEX(Raw_D3!$N$2:$N$1001,$AR927)="","",INDEX(Raw_D3!$N$2:$N$1001,$AR927)),"")))</f>
        <v>0</v>
      </c>
      <c r="O927" s="5">
        <f>IF($A927="","",IF($AQ927&lt;&gt;"",IF(INDEX(Raw_D2!$G$2:$G$1001,$AQ927)="","",INDEX(Raw_D2!$G$2:$G$1001,$AQ927)),IF($AR927&lt;&gt;"",IF(INDEX(Raw_D3!$O$2:$O$1001,$AR927)="","",INDEX(Raw_D3!$O$2:$O$1001,$AR927)),"")))</f>
        <v>3</v>
      </c>
      <c r="P927" s="5">
        <f>IF($A927="","",IF($AQ927&lt;&gt;"",IF(INDEX(Raw_D2!$H$2:$H$1001,$AQ927)="","",INDEX(Raw_D2!$H$2:$H$1001,$AQ927)),IF($AR927&lt;&gt;"",IF(INDEX(Raw_D3!$P$2:$P$1001,$AR927)="","",INDEX(Raw_D3!$P$2:$P$1001,$AR927)),"")))</f>
        <v>3</v>
      </c>
      <c r="Q927" s="5" t="str">
        <f>IF($A927="","",IF(AND($AP927&lt;&gt;"",$AQ927&lt;&gt;""),"D1+D2",IF($AR927&lt;&gt;"","D3","Incomplete")))</f>
        <v>D3</v>
      </c>
      <c r="R927" s="17">
        <f>IF($A927="","",IF($K927="",IF($J927="","",ROUND(Lookups!$K$5+Lookups!$K$4*$J927,4)),$K927))</f>
        <v>0.1364</v>
      </c>
      <c r="S927" s="5" t="str">
        <f>IF($A927="","",IF($K927="","Imputed","Original"))</f>
        <v>Original</v>
      </c>
      <c r="T927" s="5" t="str">
        <f>IF($A927="","",IF($P927="","Missing",IF($P927=$N927+$O927,"OK","Mismatch")))</f>
        <v>OK</v>
      </c>
      <c r="U927" s="5" t="str">
        <f>IF($A927="","",IF(COUNTIF($A$2:$A927,$A927)&gt;1,"Duplicate","Unique"))</f>
        <v>Unique</v>
      </c>
      <c r="V927" s="5">
        <f>IF($A927="","",IF(AND($U927="Unique",ISNUMBER($P927)),1,0))</f>
        <v>1</v>
      </c>
      <c r="W927" s="5" t="str">
        <f>IF($A927="","",IF(OR($H927=0,$H927=6),"Weekend","Weekday"))</f>
        <v>Weekday</v>
      </c>
      <c r="X927" s="5" t="str">
        <f>IF($A927="","",TEXT($B927,"ddd"))</f>
        <v>Fri</v>
      </c>
      <c r="Y927" s="5" t="str">
        <f>IF($A927="","",TEXT($B927,"mmm"))</f>
        <v>Feb</v>
      </c>
      <c r="Z927" s="5" t="str">
        <f>IF($A927="","",IFERROR(VLOOKUP($C927,Lookups!$D$4:$E$7,2,FALSE),"Unknown"))</f>
        <v>Winter</v>
      </c>
      <c r="AA927" s="5" t="str">
        <f>IF($A927="","",IFERROR(VLOOKUP($I927,Lookups!$A$4:$B$7,2,FALSE),"Unknown"))</f>
        <v>Clear</v>
      </c>
      <c r="AB927" s="5" t="str">
        <f>IF($A927="","",TEXT($F927,"00")&amp;":00")</f>
        <v>02:00</v>
      </c>
      <c r="AC927" s="5" t="str">
        <f>IF($A927="","",VLOOKUP($F927,Lookups!$G$4:$H$8,2,TRUE))</f>
        <v>Night (00-05)</v>
      </c>
      <c r="AD927" s="18">
        <f>IF($A927="","",IF($J927="","",ROUND($J927*41,1)))</f>
        <v>4.1</v>
      </c>
      <c r="AE927" s="18">
        <f>IF($A927="","",IF($R927="","",ROUND($R927*50,1)))</f>
        <v>6.8</v>
      </c>
      <c r="AF927" s="5">
        <f>IF($A927="","",IF($L927="","",ROUND($L927*100,0)))</f>
        <v>54</v>
      </c>
      <c r="AG927" s="18">
        <f>IF($A927="","",IF($M927="","",ROUND($M927*67,1)))</f>
        <v>6</v>
      </c>
      <c r="AH927" s="19">
        <f>IF($A927="","",IF($P927="","",IF($P927=0,0,$O927/$P927)))</f>
        <v>1</v>
      </c>
      <c r="AI927" s="5" t="str">
        <f>IF($A927="","",IF($P927="","",IF($P927&gt;=Lookups!$K$7,"High",IF($P927&lt;=Lookups!$K$8,"Low","Medium"))))</f>
        <v>Low</v>
      </c>
      <c r="AJ927" s="5" t="str">
        <f>IF($A927="","",IF($AD927="","",IF($AD927&lt;5,"Under 5 C",IF($AD927&lt;10,"5-10 C",IF($AD927&lt;15,"10-15 C","15 C and above")))))</f>
        <v>Under 5 C</v>
      </c>
      <c r="AK927" s="5">
        <f>IF($A927="","",IF($P927="","",$P927^2))</f>
        <v>9</v>
      </c>
      <c r="AL927" s="18">
        <f>IF($V927&lt;&gt;1,"",AVERAGEIFS(Clean_Data!$P$2:$P$1001,Clean_Data!$F$2:$F$1001,$F927,Clean_Data!$W$2:$W$1001,$W927,Clean_Data!$V$2:$V$1001,1))</f>
        <v>2.62962962962963</v>
      </c>
      <c r="AM927" s="16">
        <f>IF($V927&lt;&gt;1,"",IFERROR(($P927-$AL927)/SQRT(MAX(0,(SUMIFS(Clean_Data!$AK$2:$AK$1001,Clean_Data!$F$2:$F$1001,$F927,Clean_Data!$W$2:$W$1001,$W927,Clean_Data!$V$2:$V$1001,1)-COUNTIFS(Clean_Data!$F$2:$F$1001,$F927,Clean_Data!$W$2:$W$1001,$W927,Clean_Data!$V$2:$V$1001,1)*$AL927^2)/(COUNTIFS(Clean_Data!$F$2:$F$1001,$F927,Clean_Data!$W$2:$W$1001,$W927,Clean_Data!$V$2:$V$1001,1)-1))),""))</f>
        <v>0.183174006014898</v>
      </c>
      <c r="AN927" s="5" t="str">
        <f>IF($AM927="","",IF($AM927&gt;=Lookups!$K$6,"High spike",IF($AM927&lt;=-Lookups!$K$6,"Unusual low","Normal")))</f>
        <v>Normal</v>
      </c>
      <c r="AO927" s="20">
        <f>IF($V927&lt;&gt;1,"",$P927+ROW()/100000)</f>
        <v>3.00927</v>
      </c>
      <c r="AP927" s="5">
        <f>IF($A927="","",IFERROR(MATCH($A927,Raw_D1!$A$2:$A$1001,0),""))</f>
        <v/>
      </c>
      <c r="AQ927" s="5">
        <f>IF($A927="","",IFERROR(MATCH($A927,Raw_D2!$B$2:$B$1001,0),""))</f>
        <v/>
      </c>
      <c r="AR927" s="5">
        <f>IF($A927="","",IFERROR(MATCH($A927,Raw_D3!$A$2:$A$1001,0),""))</f>
        <v>307</v>
      </c>
    </row>
    <row r="928" spans="1:44" x14ac:dyDescent="0.25">
      <c r="A928" s="5">
        <v>927</v>
      </c>
      <c r="B928" s="11">
        <f>IF($A928="","",IF($AP928&lt;&gt;"",INDEX(Raw_D1!$B$2:$B$1001,$AP928),IF($AR928&lt;&gt;"",INDEX(Raw_D3!$B$2:$B$1001,$AR928),"")))</f>
        <v>40585.0</v>
      </c>
      <c r="C928" s="5">
        <f>IF($A928="","",IF($AP928&lt;&gt;"",INDEX(Raw_D1!$C$2:$C$1001,$AP928),IF($AR928&lt;&gt;"",INDEX(Raw_D3!$C$2:$C$1001,$AR928),"")))</f>
        <v>1</v>
      </c>
      <c r="D928" s="5">
        <f>IF($A928="","",IF($AP928&lt;&gt;"",INDEX(Raw_D1!$D$2:$D$1001,$AP928),IF($AR928&lt;&gt;"",INDEX(Raw_D3!$D$2:$D$1001,$AR928),"")))</f>
        <v>0</v>
      </c>
      <c r="E928" s="5">
        <f>IF($A928="","",IF($AP928&lt;&gt;"",INDEX(Raw_D1!$E$2:$E$1001,$AP928),IF($AR928&lt;&gt;"",INDEX(Raw_D3!$E$2:$E$1001,$AR928),"")))</f>
        <v>2</v>
      </c>
      <c r="F928" s="5">
        <f>IF($A928="","",IF($AP928&lt;&gt;"",INDEX(Raw_D1!$F$2:$F$1001,$AP928),IF($AR928&lt;&gt;"",INDEX(Raw_D3!$F$2:$F$1001,$AR928),"")))</f>
        <v>5</v>
      </c>
      <c r="G928" s="5">
        <f>IF($A928="","",IF($AP928&lt;&gt;"",IF(INDEX(Raw_D1!$G$2:$G$1001,$AP928),1,0),IF($AR928&lt;&gt;"",IF(INDEX(Raw_D3!$G$2:$G$1001,$AR928),1,0),"")))</f>
        <v>0</v>
      </c>
      <c r="H928" s="5">
        <f>IF($A928="","",IF($AP928&lt;&gt;"",INDEX(Raw_D1!$H$2:$H$1001,$AP928),IF($AR928&lt;&gt;"",INDEX(Raw_D3!$H$2:$H$1001,$AR928),"")))</f>
        <v>5</v>
      </c>
      <c r="I928" s="5">
        <f>IF($A928="","",IF($AP928&lt;&gt;"",INDEX(Raw_D1!$I$2:$I$1001,$AP928),IF($AR928&lt;&gt;"",INDEX(Raw_D3!$I$2:$I$1001,$AR928),"")))</f>
        <v>1</v>
      </c>
      <c r="J928" s="16">
        <f>IF($A928="","",IF($AP928&lt;&gt;"",INDEX(Raw_D1!$J$2:$J$1001,$AP928),IF($AR928&lt;&gt;"",INDEX(Raw_D3!$J$2:$J$1001,$AR928),"")))</f>
        <v>0.08</v>
      </c>
      <c r="K928" s="17">
        <f>IF($A928="","",IF($AQ928&lt;&gt;"",IF(INDEX(Raw_D2!$C$2:$C$1001,$AQ928)="","",INDEX(Raw_D2!$C$2:$C$1001,$AQ928)),IF($AR928&lt;&gt;"",IF(INDEX(Raw_D3!$K$2:$K$1001,$AR928)="","",INDEX(Raw_D3!$K$2:$K$1001,$AR928)),"")))</f>
        <v>0.1212</v>
      </c>
      <c r="L928" s="16">
        <f>IF($A928="","",IF($AQ928&lt;&gt;"",IF(INDEX(Raw_D2!$D$2:$D$1001,$AQ928)="","",INDEX(Raw_D2!$D$2:$D$1001,$AQ928)),IF($AR928&lt;&gt;"",IF(INDEX(Raw_D3!$L$2:$L$1001,$AR928)="","",INDEX(Raw_D3!$L$2:$L$1001,$AR928)),"")))</f>
        <v>0.63</v>
      </c>
      <c r="M928" s="17">
        <f>IF($A928="","",IF($AQ928&lt;&gt;"",IF(INDEX(Raw_D2!$E$2:$E$1001,$AQ928)="","",INDEX(Raw_D2!$E$2:$E$1001,$AQ928)),IF($AR928&lt;&gt;"",IF(INDEX(Raw_D3!$M$2:$M$1001,$AR928)="","",INDEX(Raw_D3!$M$2:$M$1001,$AR928)),"")))</f>
        <v>0.0896</v>
      </c>
      <c r="N928" s="5">
        <f>IF($A928="","",IF($AQ928&lt;&gt;"",IF(INDEX(Raw_D2!$F$2:$F$1001,$AQ928)="","",INDEX(Raw_D2!$F$2:$F$1001,$AQ928)),IF($AR928&lt;&gt;"",IF(INDEX(Raw_D3!$N$2:$N$1001,$AR928)="","",INDEX(Raw_D3!$N$2:$N$1001,$AR928)),"")))</f>
        <v>0</v>
      </c>
      <c r="O928" s="5">
        <f>IF($A928="","",IF($AQ928&lt;&gt;"",IF(INDEX(Raw_D2!$G$2:$G$1001,$AQ928)="","",INDEX(Raw_D2!$G$2:$G$1001,$AQ928)),IF($AR928&lt;&gt;"",IF(INDEX(Raw_D3!$O$2:$O$1001,$AR928)="","",INDEX(Raw_D3!$O$2:$O$1001,$AR928)),"")))</f>
        <v>4</v>
      </c>
      <c r="P928" s="5">
        <f>IF($A928="","",IF($AQ928&lt;&gt;"",IF(INDEX(Raw_D2!$H$2:$H$1001,$AQ928)="","",INDEX(Raw_D2!$H$2:$H$1001,$AQ928)),IF($AR928&lt;&gt;"",IF(INDEX(Raw_D3!$P$2:$P$1001,$AR928)="","",INDEX(Raw_D3!$P$2:$P$1001,$AR928)),"")))</f>
        <v>4</v>
      </c>
      <c r="Q928" s="5" t="str">
        <f>IF($A928="","",IF(AND($AP928&lt;&gt;"",$AQ928&lt;&gt;""),"D1+D2",IF($AR928&lt;&gt;"","D3","Incomplete")))</f>
        <v>D3</v>
      </c>
      <c r="R928" s="17">
        <f>IF($A928="","",IF($K928="",IF($J928="","",ROUND(Lookups!$K$5+Lookups!$K$4*$J928,4)),$K928))</f>
        <v>0.1212</v>
      </c>
      <c r="S928" s="5" t="str">
        <f>IF($A928="","",IF($K928="","Imputed","Original"))</f>
        <v>Original</v>
      </c>
      <c r="T928" s="5" t="str">
        <f>IF($A928="","",IF($P928="","Missing",IF($P928=$N928+$O928,"OK","Mismatch")))</f>
        <v>OK</v>
      </c>
      <c r="U928" s="5" t="str">
        <f>IF($A928="","",IF(COUNTIF($A$2:$A928,$A928)&gt;1,"Duplicate","Unique"))</f>
        <v>Unique</v>
      </c>
      <c r="V928" s="5">
        <f>IF($A928="","",IF(AND($U928="Unique",ISNUMBER($P928)),1,0))</f>
        <v>1</v>
      </c>
      <c r="W928" s="5" t="str">
        <f>IF($A928="","",IF(OR($H928=0,$H928=6),"Weekend","Weekday"))</f>
        <v>Weekday</v>
      </c>
      <c r="X928" s="5" t="str">
        <f>IF($A928="","",TEXT($B928,"ddd"))</f>
        <v>Fri</v>
      </c>
      <c r="Y928" s="5" t="str">
        <f>IF($A928="","",TEXT($B928,"mmm"))</f>
        <v>Feb</v>
      </c>
      <c r="Z928" s="5" t="str">
        <f>IF($A928="","",IFERROR(VLOOKUP($C928,Lookups!$D$4:$E$7,2,FALSE),"Unknown"))</f>
        <v>Winter</v>
      </c>
      <c r="AA928" s="5" t="str">
        <f>IF($A928="","",IFERROR(VLOOKUP($I928,Lookups!$A$4:$B$7,2,FALSE),"Unknown"))</f>
        <v>Clear</v>
      </c>
      <c r="AB928" s="5" t="str">
        <f>IF($A928="","",TEXT($F928,"00")&amp;":00")</f>
        <v>05:00</v>
      </c>
      <c r="AC928" s="5" t="str">
        <f>IF($A928="","",VLOOKUP($F928,Lookups!$G$4:$H$8,2,TRUE))</f>
        <v>Night (00-05)</v>
      </c>
      <c r="AD928" s="18">
        <f>IF($A928="","",IF($J928="","",ROUND($J928*41,1)))</f>
        <v>3.3</v>
      </c>
      <c r="AE928" s="18">
        <f>IF($A928="","",IF($R928="","",ROUND($R928*50,1)))</f>
        <v>6.1</v>
      </c>
      <c r="AF928" s="5">
        <f>IF($A928="","",IF($L928="","",ROUND($L928*100,0)))</f>
        <v>63</v>
      </c>
      <c r="AG928" s="18">
        <f>IF($A928="","",IF($M928="","",ROUND($M928*67,1)))</f>
        <v>6</v>
      </c>
      <c r="AH928" s="19">
        <f>IF($A928="","",IF($P928="","",IF($P928=0,0,$O928/$P928)))</f>
        <v>1</v>
      </c>
      <c r="AI928" s="5" t="str">
        <f>IF($A928="","",IF($P928="","",IF($P928&gt;=Lookups!$K$7,"High",IF($P928&lt;=Lookups!$K$8,"Low","Medium"))))</f>
        <v>Low</v>
      </c>
      <c r="AJ928" s="5" t="str">
        <f>IF($A928="","",IF($AD928="","",IF($AD928&lt;5,"Under 5 C",IF($AD928&lt;10,"5-10 C",IF($AD928&lt;15,"10-15 C","15 C and above")))))</f>
        <v>Under 5 C</v>
      </c>
      <c r="AK928" s="5">
        <f>IF($A928="","",IF($P928="","",$P928^2))</f>
        <v>16</v>
      </c>
      <c r="AL928" s="18">
        <f>IF($V928&lt;&gt;1,"",AVERAGEIFS(Clean_Data!$P$2:$P$1001,Clean_Data!$F$2:$F$1001,$F928,Clean_Data!$W$2:$W$1001,$W928,Clean_Data!$V$2:$V$1001,1))</f>
        <v>4.72413793103448</v>
      </c>
      <c r="AM928" s="16">
        <f>IF($V928&lt;&gt;1,"",IFERROR(($P928-$AL928)/SQRT(MAX(0,(SUMIFS(Clean_Data!$AK$2:$AK$1001,Clean_Data!$F$2:$F$1001,$F928,Clean_Data!$W$2:$W$1001,$W928,Clean_Data!$V$2:$V$1001,1)-COUNTIFS(Clean_Data!$F$2:$F$1001,$F928,Clean_Data!$W$2:$W$1001,$W928,Clean_Data!$V$2:$V$1001,1)*$AL928^2)/(COUNTIFS(Clean_Data!$F$2:$F$1001,$F928,Clean_Data!$W$2:$W$1001,$W928,Clean_Data!$V$2:$V$1001,1)-1))),""))</f>
        <v>-0.308981076614558</v>
      </c>
      <c r="AN928" s="5" t="str">
        <f>IF($AM928="","",IF($AM928&gt;=Lookups!$K$6,"High spike",IF($AM928&lt;=-Lookups!$K$6,"Unusual low","Normal")))</f>
        <v>Normal</v>
      </c>
      <c r="AO928" s="20">
        <f>IF($V928&lt;&gt;1,"",$P928+ROW()/100000)</f>
        <v>4.00928</v>
      </c>
      <c r="AP928" s="5">
        <f>IF($A928="","",IFERROR(MATCH($A928,Raw_D1!$A$2:$A$1001,0),""))</f>
        <v/>
      </c>
      <c r="AQ928" s="5">
        <f>IF($A928="","",IFERROR(MATCH($A928,Raw_D2!$B$2:$B$1001,0),""))</f>
        <v/>
      </c>
      <c r="AR928" s="5">
        <f>IF($A928="","",IFERROR(MATCH($A928,Raw_D3!$A$2:$A$1001,0),""))</f>
        <v>308</v>
      </c>
    </row>
    <row r="929" spans="1:44" x14ac:dyDescent="0.25">
      <c r="A929" s="5">
        <v>928</v>
      </c>
      <c r="B929" s="11">
        <f>IF($A929="","",IF($AP929&lt;&gt;"",INDEX(Raw_D1!$B$2:$B$1001,$AP929),IF($AR929&lt;&gt;"",INDEX(Raw_D3!$B$2:$B$1001,$AR929),"")))</f>
        <v>40585.0</v>
      </c>
      <c r="C929" s="5">
        <f>IF($A929="","",IF($AP929&lt;&gt;"",INDEX(Raw_D1!$C$2:$C$1001,$AP929),IF($AR929&lt;&gt;"",INDEX(Raw_D3!$C$2:$C$1001,$AR929),"")))</f>
        <v>1</v>
      </c>
      <c r="D929" s="5">
        <f>IF($A929="","",IF($AP929&lt;&gt;"",INDEX(Raw_D1!$D$2:$D$1001,$AP929),IF($AR929&lt;&gt;"",INDEX(Raw_D3!$D$2:$D$1001,$AR929),"")))</f>
        <v>0</v>
      </c>
      <c r="E929" s="5">
        <f>IF($A929="","",IF($AP929&lt;&gt;"",INDEX(Raw_D1!$E$2:$E$1001,$AP929),IF($AR929&lt;&gt;"",INDEX(Raw_D3!$E$2:$E$1001,$AR929),"")))</f>
        <v>2</v>
      </c>
      <c r="F929" s="5">
        <f>IF($A929="","",IF($AP929&lt;&gt;"",INDEX(Raw_D1!$F$2:$F$1001,$AP929),IF($AR929&lt;&gt;"",INDEX(Raw_D3!$F$2:$F$1001,$AR929),"")))</f>
        <v>6</v>
      </c>
      <c r="G929" s="5">
        <f>IF($A929="","",IF($AP929&lt;&gt;"",IF(INDEX(Raw_D1!$G$2:$G$1001,$AP929),1,0),IF($AR929&lt;&gt;"",IF(INDEX(Raw_D3!$G$2:$G$1001,$AR929),1,0),"")))</f>
        <v>0</v>
      </c>
      <c r="H929" s="5">
        <f>IF($A929="","",IF($AP929&lt;&gt;"",INDEX(Raw_D1!$H$2:$H$1001,$AP929),IF($AR929&lt;&gt;"",INDEX(Raw_D3!$H$2:$H$1001,$AR929),"")))</f>
        <v>5</v>
      </c>
      <c r="I929" s="5">
        <f>IF($A929="","",IF($AP929&lt;&gt;"",INDEX(Raw_D1!$I$2:$I$1001,$AP929),IF($AR929&lt;&gt;"",INDEX(Raw_D3!$I$2:$I$1001,$AR929),"")))</f>
        <v>1</v>
      </c>
      <c r="J929" s="16">
        <f>IF($A929="","",IF($AP929&lt;&gt;"",INDEX(Raw_D1!$J$2:$J$1001,$AP929),IF($AR929&lt;&gt;"",INDEX(Raw_D3!$J$2:$J$1001,$AR929),"")))</f>
        <v>0.1</v>
      </c>
      <c r="K929" s="17">
        <f>IF($A929="","",IF($AQ929&lt;&gt;"",IF(INDEX(Raw_D2!$C$2:$C$1001,$AQ929)="","",INDEX(Raw_D2!$C$2:$C$1001,$AQ929)),IF($AR929&lt;&gt;"",IF(INDEX(Raw_D3!$K$2:$K$1001,$AR929)="","",INDEX(Raw_D3!$K$2:$K$1001,$AR929)),"")))</f>
        <v>0.1818</v>
      </c>
      <c r="L929" s="16">
        <f>IF($A929="","",IF($AQ929&lt;&gt;"",IF(INDEX(Raw_D2!$D$2:$D$1001,$AQ929)="","",INDEX(Raw_D2!$D$2:$D$1001,$AQ929)),IF($AR929&lt;&gt;"",IF(INDEX(Raw_D3!$L$2:$L$1001,$AR929)="","",INDEX(Raw_D3!$L$2:$L$1001,$AR929)),"")))</f>
        <v>0.68</v>
      </c>
      <c r="M929" s="17">
        <f>IF($A929="","",IF($AQ929&lt;&gt;"",IF(INDEX(Raw_D2!$E$2:$E$1001,$AQ929)="","",INDEX(Raw_D2!$E$2:$E$1001,$AQ929)),IF($AR929&lt;&gt;"",IF(INDEX(Raw_D3!$M$2:$M$1001,$AR929)="","",INDEX(Raw_D3!$M$2:$M$1001,$AR929)),"")))</f>
        <v>0</v>
      </c>
      <c r="N929" s="5">
        <f>IF($A929="","",IF($AQ929&lt;&gt;"",IF(INDEX(Raw_D2!$F$2:$F$1001,$AQ929)="","",INDEX(Raw_D2!$F$2:$F$1001,$AQ929)),IF($AR929&lt;&gt;"",IF(INDEX(Raw_D3!$N$2:$N$1001,$AR929)="","",INDEX(Raw_D3!$N$2:$N$1001,$AR929)),"")))</f>
        <v>1</v>
      </c>
      <c r="O929" s="5">
        <f>IF($A929="","",IF($AQ929&lt;&gt;"",IF(INDEX(Raw_D2!$G$2:$G$1001,$AQ929)="","",INDEX(Raw_D2!$G$2:$G$1001,$AQ929)),IF($AR929&lt;&gt;"",IF(INDEX(Raw_D3!$O$2:$O$1001,$AR929)="","",INDEX(Raw_D3!$O$2:$O$1001,$AR929)),"")))</f>
        <v>23</v>
      </c>
      <c r="P929" s="5">
        <f>IF($A929="","",IF($AQ929&lt;&gt;"",IF(INDEX(Raw_D2!$H$2:$H$1001,$AQ929)="","",INDEX(Raw_D2!$H$2:$H$1001,$AQ929)),IF($AR929&lt;&gt;"",IF(INDEX(Raw_D3!$P$2:$P$1001,$AR929)="","",INDEX(Raw_D3!$P$2:$P$1001,$AR929)),"")))</f>
        <v>24</v>
      </c>
      <c r="Q929" s="5" t="str">
        <f>IF($A929="","",IF(AND($AP929&lt;&gt;"",$AQ929&lt;&gt;""),"D1+D2",IF($AR929&lt;&gt;"","D3","Incomplete")))</f>
        <v>D3</v>
      </c>
      <c r="R929" s="17">
        <f>IF($A929="","",IF($K929="",IF($J929="","",ROUND(Lookups!$K$5+Lookups!$K$4*$J929,4)),$K929))</f>
        <v>0.1818</v>
      </c>
      <c r="S929" s="5" t="str">
        <f>IF($A929="","",IF($K929="","Imputed","Original"))</f>
        <v>Original</v>
      </c>
      <c r="T929" s="5" t="str">
        <f>IF($A929="","",IF($P929="","Missing",IF($P929=$N929+$O929,"OK","Mismatch")))</f>
        <v>OK</v>
      </c>
      <c r="U929" s="5" t="str">
        <f>IF($A929="","",IF(COUNTIF($A$2:$A929,$A929)&gt;1,"Duplicate","Unique"))</f>
        <v>Unique</v>
      </c>
      <c r="V929" s="5">
        <f>IF($A929="","",IF(AND($U929="Unique",ISNUMBER($P929)),1,0))</f>
        <v>1</v>
      </c>
      <c r="W929" s="5" t="str">
        <f>IF($A929="","",IF(OR($H929=0,$H929=6),"Weekend","Weekday"))</f>
        <v>Weekday</v>
      </c>
      <c r="X929" s="5" t="str">
        <f>IF($A929="","",TEXT($B929,"ddd"))</f>
        <v>Fri</v>
      </c>
      <c r="Y929" s="5" t="str">
        <f>IF($A929="","",TEXT($B929,"mmm"))</f>
        <v>Feb</v>
      </c>
      <c r="Z929" s="5" t="str">
        <f>IF($A929="","",IFERROR(VLOOKUP($C929,Lookups!$D$4:$E$7,2,FALSE),"Unknown"))</f>
        <v>Winter</v>
      </c>
      <c r="AA929" s="5" t="str">
        <f>IF($A929="","",IFERROR(VLOOKUP($I929,Lookups!$A$4:$B$7,2,FALSE),"Unknown"))</f>
        <v>Clear</v>
      </c>
      <c r="AB929" s="5" t="str">
        <f>IF($A929="","",TEXT($F929,"00")&amp;":00")</f>
        <v>06:00</v>
      </c>
      <c r="AC929" s="5" t="str">
        <f>IF($A929="","",VLOOKUP($F929,Lookups!$G$4:$H$8,2,TRUE))</f>
        <v>Morning Peak (06-09)</v>
      </c>
      <c r="AD929" s="18">
        <f>IF($A929="","",IF($J929="","",ROUND($J929*41,1)))</f>
        <v>4.1</v>
      </c>
      <c r="AE929" s="18">
        <f>IF($A929="","",IF($R929="","",ROUND($R929*50,1)))</f>
        <v>9.1</v>
      </c>
      <c r="AF929" s="5">
        <f>IF($A929="","",IF($L929="","",ROUND($L929*100,0)))</f>
        <v>68</v>
      </c>
      <c r="AG929" s="18">
        <f>IF($A929="","",IF($M929="","",ROUND($M929*67,1)))</f>
        <v>0</v>
      </c>
      <c r="AH929" s="19">
        <f>IF($A929="","",IF($P929="","",IF($P929=0,0,$O929/$P929)))</f>
        <v>0.958333333333333</v>
      </c>
      <c r="AI929" s="5" t="str">
        <f>IF($A929="","",IF($P929="","",IF($P929&gt;=Lookups!$K$7,"High",IF($P929&lt;=Lookups!$K$8,"Low","Medium"))))</f>
        <v>Medium</v>
      </c>
      <c r="AJ929" s="5" t="str">
        <f>IF($A929="","",IF($AD929="","",IF($AD929&lt;5,"Under 5 C",IF($AD929&lt;10,"5-10 C",IF($AD929&lt;15,"10-15 C","15 C and above")))))</f>
        <v>Under 5 C</v>
      </c>
      <c r="AK929" s="5">
        <f>IF($A929="","",IF($P929="","",$P929^2))</f>
        <v>576</v>
      </c>
      <c r="AL929" s="18">
        <f>IF($V929&lt;&gt;1,"",AVERAGEIFS(Clean_Data!$P$2:$P$1001,Clean_Data!$F$2:$F$1001,$F929,Clean_Data!$W$2:$W$1001,$W929,Clean_Data!$V$2:$V$1001,1))</f>
        <v>27.3793103448276</v>
      </c>
      <c r="AM929" s="16">
        <f>IF($V929&lt;&gt;1,"",IFERROR(($P929-$AL929)/SQRT(MAX(0,(SUMIFS(Clean_Data!$AK$2:$AK$1001,Clean_Data!$F$2:$F$1001,$F929,Clean_Data!$W$2:$W$1001,$W929,Clean_Data!$V$2:$V$1001,1)-COUNTIFS(Clean_Data!$F$2:$F$1001,$F929,Clean_Data!$W$2:$W$1001,$W929,Clean_Data!$V$2:$V$1001,1)*$AL929^2)/(COUNTIFS(Clean_Data!$F$2:$F$1001,$F929,Clean_Data!$W$2:$W$1001,$W929,Clean_Data!$V$2:$V$1001,1)-1))),""))</f>
        <v>-0.354747624094972</v>
      </c>
      <c r="AN929" s="5" t="str">
        <f>IF($AM929="","",IF($AM929&gt;=Lookups!$K$6,"High spike",IF($AM929&lt;=-Lookups!$K$6,"Unusual low","Normal")))</f>
        <v>Normal</v>
      </c>
      <c r="AO929" s="20">
        <f>IF($V929&lt;&gt;1,"",$P929+ROW()/100000)</f>
        <v>24.00929</v>
      </c>
      <c r="AP929" s="5">
        <f>IF($A929="","",IFERROR(MATCH($A929,Raw_D1!$A$2:$A$1001,0),""))</f>
        <v/>
      </c>
      <c r="AQ929" s="5">
        <f>IF($A929="","",IFERROR(MATCH($A929,Raw_D2!$B$2:$B$1001,0),""))</f>
        <v/>
      </c>
      <c r="AR929" s="5">
        <f>IF($A929="","",IFERROR(MATCH($A929,Raw_D3!$A$2:$A$1001,0),""))</f>
        <v>309</v>
      </c>
    </row>
    <row r="930" spans="1:44" x14ac:dyDescent="0.25">
      <c r="A930" s="5">
        <v>929</v>
      </c>
      <c r="B930" s="11">
        <f>IF($A930="","",IF($AP930&lt;&gt;"",INDEX(Raw_D1!$B$2:$B$1001,$AP930),IF($AR930&lt;&gt;"",INDEX(Raw_D3!$B$2:$B$1001,$AR930),"")))</f>
        <v>40585.0</v>
      </c>
      <c r="C930" s="5">
        <f>IF($A930="","",IF($AP930&lt;&gt;"",INDEX(Raw_D1!$C$2:$C$1001,$AP930),IF($AR930&lt;&gt;"",INDEX(Raw_D3!$C$2:$C$1001,$AR930),"")))</f>
        <v>1</v>
      </c>
      <c r="D930" s="5">
        <f>IF($A930="","",IF($AP930&lt;&gt;"",INDEX(Raw_D1!$D$2:$D$1001,$AP930),IF($AR930&lt;&gt;"",INDEX(Raw_D3!$D$2:$D$1001,$AR930),"")))</f>
        <v>0</v>
      </c>
      <c r="E930" s="5">
        <f>IF($A930="","",IF($AP930&lt;&gt;"",INDEX(Raw_D1!$E$2:$E$1001,$AP930),IF($AR930&lt;&gt;"",INDEX(Raw_D3!$E$2:$E$1001,$AR930),"")))</f>
        <v>2</v>
      </c>
      <c r="F930" s="5">
        <f>IF($A930="","",IF($AP930&lt;&gt;"",INDEX(Raw_D1!$F$2:$F$1001,$AP930),IF($AR930&lt;&gt;"",INDEX(Raw_D3!$F$2:$F$1001,$AR930),"")))</f>
        <v>7</v>
      </c>
      <c r="G930" s="5">
        <f>IF($A930="","",IF($AP930&lt;&gt;"",IF(INDEX(Raw_D1!$G$2:$G$1001,$AP930),1,0),IF($AR930&lt;&gt;"",IF(INDEX(Raw_D3!$G$2:$G$1001,$AR930),1,0),"")))</f>
        <v>0</v>
      </c>
      <c r="H930" s="5">
        <f>IF($A930="","",IF($AP930&lt;&gt;"",INDEX(Raw_D1!$H$2:$H$1001,$AP930),IF($AR930&lt;&gt;"",INDEX(Raw_D3!$H$2:$H$1001,$AR930),"")))</f>
        <v>5</v>
      </c>
      <c r="I930" s="5">
        <f>IF($A930="","",IF($AP930&lt;&gt;"",INDEX(Raw_D1!$I$2:$I$1001,$AP930),IF($AR930&lt;&gt;"",INDEX(Raw_D3!$I$2:$I$1001,$AR930),"")))</f>
        <v>1</v>
      </c>
      <c r="J930" s="16">
        <f>IF($A930="","",IF($AP930&lt;&gt;"",INDEX(Raw_D1!$J$2:$J$1001,$AP930),IF($AR930&lt;&gt;"",INDEX(Raw_D3!$J$2:$J$1001,$AR930),"")))</f>
        <v>0.08</v>
      </c>
      <c r="K930" s="17">
        <f>IF($A930="","",IF($AQ930&lt;&gt;"",IF(INDEX(Raw_D2!$C$2:$C$1001,$AQ930)="","",INDEX(Raw_D2!$C$2:$C$1001,$AQ930)),IF($AR930&lt;&gt;"",IF(INDEX(Raw_D3!$K$2:$K$1001,$AR930)="","",INDEX(Raw_D3!$K$2:$K$1001,$AR930)),"")))</f>
        <v>0.1667</v>
      </c>
      <c r="L930" s="16">
        <f>IF($A930="","",IF($AQ930&lt;&gt;"",IF(INDEX(Raw_D2!$D$2:$D$1001,$AQ930)="","",INDEX(Raw_D2!$D$2:$D$1001,$AQ930)),IF($AR930&lt;&gt;"",IF(INDEX(Raw_D3!$L$2:$L$1001,$AR930)="","",INDEX(Raw_D3!$L$2:$L$1001,$AR930)),"")))</f>
        <v>0.73</v>
      </c>
      <c r="M930" s="17">
        <f>IF($A930="","",IF($AQ930&lt;&gt;"",IF(INDEX(Raw_D2!$E$2:$E$1001,$AQ930)="","",INDEX(Raw_D2!$E$2:$E$1001,$AQ930)),IF($AR930&lt;&gt;"",IF(INDEX(Raw_D3!$M$2:$M$1001,$AR930)="","",INDEX(Raw_D3!$M$2:$M$1001,$AR930)),"")))</f>
        <v>0</v>
      </c>
      <c r="N930" s="5">
        <f>IF($A930="","",IF($AQ930&lt;&gt;"",IF(INDEX(Raw_D2!$F$2:$F$1001,$AQ930)="","",INDEX(Raw_D2!$F$2:$F$1001,$AQ930)),IF($AR930&lt;&gt;"",IF(INDEX(Raw_D3!$N$2:$N$1001,$AR930)="","",INDEX(Raw_D3!$N$2:$N$1001,$AR930)),"")))</f>
        <v>1</v>
      </c>
      <c r="O930" s="5">
        <f>IF($A930="","",IF($AQ930&lt;&gt;"",IF(INDEX(Raw_D2!$G$2:$G$1001,$AQ930)="","",INDEX(Raw_D2!$G$2:$G$1001,$AQ930)),IF($AR930&lt;&gt;"",IF(INDEX(Raw_D3!$O$2:$O$1001,$AR930)="","",INDEX(Raw_D3!$O$2:$O$1001,$AR930)),"")))</f>
        <v>73</v>
      </c>
      <c r="P930" s="5">
        <f>IF($A930="","",IF($AQ930&lt;&gt;"",IF(INDEX(Raw_D2!$H$2:$H$1001,$AQ930)="","",INDEX(Raw_D2!$H$2:$H$1001,$AQ930)),IF($AR930&lt;&gt;"",IF(INDEX(Raw_D3!$P$2:$P$1001,$AR930)="","",INDEX(Raw_D3!$P$2:$P$1001,$AR930)),"")))</f>
        <v>74</v>
      </c>
      <c r="Q930" s="5" t="str">
        <f>IF($A930="","",IF(AND($AP930&lt;&gt;"",$AQ930&lt;&gt;""),"D1+D2",IF($AR930&lt;&gt;"","D3","Incomplete")))</f>
        <v>D3</v>
      </c>
      <c r="R930" s="17">
        <f>IF($A930="","",IF($K930="",IF($J930="","",ROUND(Lookups!$K$5+Lookups!$K$4*$J930,4)),$K930))</f>
        <v>0.1667</v>
      </c>
      <c r="S930" s="5" t="str">
        <f>IF($A930="","",IF($K930="","Imputed","Original"))</f>
        <v>Original</v>
      </c>
      <c r="T930" s="5" t="str">
        <f>IF($A930="","",IF($P930="","Missing",IF($P930=$N930+$O930,"OK","Mismatch")))</f>
        <v>OK</v>
      </c>
      <c r="U930" s="5" t="str">
        <f>IF($A930="","",IF(COUNTIF($A$2:$A930,$A930)&gt;1,"Duplicate","Unique"))</f>
        <v>Unique</v>
      </c>
      <c r="V930" s="5">
        <f>IF($A930="","",IF(AND($U930="Unique",ISNUMBER($P930)),1,0))</f>
        <v>1</v>
      </c>
      <c r="W930" s="5" t="str">
        <f>IF($A930="","",IF(OR($H930=0,$H930=6),"Weekend","Weekday"))</f>
        <v>Weekday</v>
      </c>
      <c r="X930" s="5" t="str">
        <f>IF($A930="","",TEXT($B930,"ddd"))</f>
        <v>Fri</v>
      </c>
      <c r="Y930" s="5" t="str">
        <f>IF($A930="","",TEXT($B930,"mmm"))</f>
        <v>Feb</v>
      </c>
      <c r="Z930" s="5" t="str">
        <f>IF($A930="","",IFERROR(VLOOKUP($C930,Lookups!$D$4:$E$7,2,FALSE),"Unknown"))</f>
        <v>Winter</v>
      </c>
      <c r="AA930" s="5" t="str">
        <f>IF($A930="","",IFERROR(VLOOKUP($I930,Lookups!$A$4:$B$7,2,FALSE),"Unknown"))</f>
        <v>Clear</v>
      </c>
      <c r="AB930" s="5" t="str">
        <f>IF($A930="","",TEXT($F930,"00")&amp;":00")</f>
        <v>07:00</v>
      </c>
      <c r="AC930" s="5" t="str">
        <f>IF($A930="","",VLOOKUP($F930,Lookups!$G$4:$H$8,2,TRUE))</f>
        <v>Morning Peak (06-09)</v>
      </c>
      <c r="AD930" s="18">
        <f>IF($A930="","",IF($J930="","",ROUND($J930*41,1)))</f>
        <v>3.3</v>
      </c>
      <c r="AE930" s="18">
        <f>IF($A930="","",IF($R930="","",ROUND($R930*50,1)))</f>
        <v>8.3</v>
      </c>
      <c r="AF930" s="5">
        <f>IF($A930="","",IF($L930="","",ROUND($L930*100,0)))</f>
        <v>73</v>
      </c>
      <c r="AG930" s="18">
        <f>IF($A930="","",IF($M930="","",ROUND($M930*67,1)))</f>
        <v>0</v>
      </c>
      <c r="AH930" s="19">
        <f>IF($A930="","",IF($P930="","",IF($P930=0,0,$O930/$P930)))</f>
        <v>0.986486486486487</v>
      </c>
      <c r="AI930" s="5" t="str">
        <f>IF($A930="","",IF($P930="","",IF($P930&gt;=Lookups!$K$7,"High",IF($P930&lt;=Lookups!$K$8,"Low","Medium"))))</f>
        <v>Medium</v>
      </c>
      <c r="AJ930" s="5" t="str">
        <f>IF($A930="","",IF($AD930="","",IF($AD930&lt;5,"Under 5 C",IF($AD930&lt;10,"5-10 C",IF($AD930&lt;15,"10-15 C","15 C and above")))))</f>
        <v>Under 5 C</v>
      </c>
      <c r="AK930" s="5">
        <f>IF($A930="","",IF($P930="","",$P930^2))</f>
        <v>5476</v>
      </c>
      <c r="AL930" s="18">
        <f>IF($V930&lt;&gt;1,"",AVERAGEIFS(Clean_Data!$P$2:$P$1001,Clean_Data!$F$2:$F$1001,$F930,Clean_Data!$W$2:$W$1001,$W930,Clean_Data!$V$2:$V$1001,1))</f>
        <v>78.0344827586207</v>
      </c>
      <c r="AM930" s="16">
        <f>IF($V930&lt;&gt;1,"",IFERROR(($P930-$AL930)/SQRT(MAX(0,(SUMIFS(Clean_Data!$AK$2:$AK$1001,Clean_Data!$F$2:$F$1001,$F930,Clean_Data!$W$2:$W$1001,$W930,Clean_Data!$V$2:$V$1001,1)-COUNTIFS(Clean_Data!$F$2:$F$1001,$F930,Clean_Data!$W$2:$W$1001,$W930,Clean_Data!$V$2:$V$1001,1)*$AL930^2)/(COUNTIFS(Clean_Data!$F$2:$F$1001,$F930,Clean_Data!$W$2:$W$1001,$W930,Clean_Data!$V$2:$V$1001,1)-1))),""))</f>
        <v>-0.178257332111107</v>
      </c>
      <c r="AN930" s="5" t="str">
        <f>IF($AM930="","",IF($AM930&gt;=Lookups!$K$6,"High spike",IF($AM930&lt;=-Lookups!$K$6,"Unusual low","Normal")))</f>
        <v>Normal</v>
      </c>
      <c r="AO930" s="20">
        <f>IF($V930&lt;&gt;1,"",$P930+ROW()/100000)</f>
        <v>74.0093</v>
      </c>
      <c r="AP930" s="5">
        <f>IF($A930="","",IFERROR(MATCH($A930,Raw_D1!$A$2:$A$1001,0),""))</f>
        <v/>
      </c>
      <c r="AQ930" s="5">
        <f>IF($A930="","",IFERROR(MATCH($A930,Raw_D2!$B$2:$B$1001,0),""))</f>
        <v/>
      </c>
      <c r="AR930" s="5">
        <f>IF($A930="","",IFERROR(MATCH($A930,Raw_D3!$A$2:$A$1001,0),""))</f>
        <v>310</v>
      </c>
    </row>
    <row r="931" spans="1:44" x14ac:dyDescent="0.25">
      <c r="A931" s="5">
        <v>930</v>
      </c>
      <c r="B931" s="11">
        <f>IF($A931="","",IF($AP931&lt;&gt;"",INDEX(Raw_D1!$B$2:$B$1001,$AP931),IF($AR931&lt;&gt;"",INDEX(Raw_D3!$B$2:$B$1001,$AR931),"")))</f>
        <v>40585.0</v>
      </c>
      <c r="C931" s="5">
        <f>IF($A931="","",IF($AP931&lt;&gt;"",INDEX(Raw_D1!$C$2:$C$1001,$AP931),IF($AR931&lt;&gt;"",INDEX(Raw_D3!$C$2:$C$1001,$AR931),"")))</f>
        <v>1</v>
      </c>
      <c r="D931" s="5">
        <f>IF($A931="","",IF($AP931&lt;&gt;"",INDEX(Raw_D1!$D$2:$D$1001,$AP931),IF($AR931&lt;&gt;"",INDEX(Raw_D3!$D$2:$D$1001,$AR931),"")))</f>
        <v>0</v>
      </c>
      <c r="E931" s="5">
        <f>IF($A931="","",IF($AP931&lt;&gt;"",INDEX(Raw_D1!$E$2:$E$1001,$AP931),IF($AR931&lt;&gt;"",INDEX(Raw_D3!$E$2:$E$1001,$AR931),"")))</f>
        <v>2</v>
      </c>
      <c r="F931" s="5">
        <f>IF($A931="","",IF($AP931&lt;&gt;"",INDEX(Raw_D1!$F$2:$F$1001,$AP931),IF($AR931&lt;&gt;"",INDEX(Raw_D3!$F$2:$F$1001,$AR931),"")))</f>
        <v>8</v>
      </c>
      <c r="G931" s="5">
        <f>IF($A931="","",IF($AP931&lt;&gt;"",IF(INDEX(Raw_D1!$G$2:$G$1001,$AP931),1,0),IF($AR931&lt;&gt;"",IF(INDEX(Raw_D3!$G$2:$G$1001,$AR931),1,0),"")))</f>
        <v>0</v>
      </c>
      <c r="H931" s="5">
        <f>IF($A931="","",IF($AP931&lt;&gt;"",INDEX(Raw_D1!$H$2:$H$1001,$AP931),IF($AR931&lt;&gt;"",INDEX(Raw_D3!$H$2:$H$1001,$AR931),"")))</f>
        <v>5</v>
      </c>
      <c r="I931" s="5">
        <f>IF($A931="","",IF($AP931&lt;&gt;"",INDEX(Raw_D1!$I$2:$I$1001,$AP931),IF($AR931&lt;&gt;"",INDEX(Raw_D3!$I$2:$I$1001,$AR931),"")))</f>
        <v>1</v>
      </c>
      <c r="J931" s="16">
        <f>IF($A931="","",IF($AP931&lt;&gt;"",INDEX(Raw_D1!$J$2:$J$1001,$AP931),IF($AR931&lt;&gt;"",INDEX(Raw_D3!$J$2:$J$1001,$AR931),"")))</f>
        <v>0.1</v>
      </c>
      <c r="K931" s="17">
        <f>IF($A931="","",IF($AQ931&lt;&gt;"",IF(INDEX(Raw_D2!$C$2:$C$1001,$AQ931)="","",INDEX(Raw_D2!$C$2:$C$1001,$AQ931)),IF($AR931&lt;&gt;"",IF(INDEX(Raw_D3!$K$2:$K$1001,$AR931)="","",INDEX(Raw_D3!$K$2:$K$1001,$AR931)),"")))</f>
        <v>0.1212</v>
      </c>
      <c r="L931" s="16">
        <f>IF($A931="","",IF($AQ931&lt;&gt;"",IF(INDEX(Raw_D2!$D$2:$D$1001,$AQ931)="","",INDEX(Raw_D2!$D$2:$D$1001,$AQ931)),IF($AR931&lt;&gt;"",IF(INDEX(Raw_D3!$L$2:$L$1001,$AR931)="","",INDEX(Raw_D3!$L$2:$L$1001,$AR931)),"")))</f>
        <v>0.74</v>
      </c>
      <c r="M931" s="17">
        <f>IF($A931="","",IF($AQ931&lt;&gt;"",IF(INDEX(Raw_D2!$E$2:$E$1001,$AQ931)="","",INDEX(Raw_D2!$E$2:$E$1001,$AQ931)),IF($AR931&lt;&gt;"",IF(INDEX(Raw_D3!$M$2:$M$1001,$AR931)="","",INDEX(Raw_D3!$M$2:$M$1001,$AR931)),"")))</f>
        <v>0.1642</v>
      </c>
      <c r="N931" s="5">
        <f>IF($A931="","",IF($AQ931&lt;&gt;"",IF(INDEX(Raw_D2!$F$2:$F$1001,$AQ931)="","",INDEX(Raw_D2!$F$2:$F$1001,$AQ931)),IF($AR931&lt;&gt;"",IF(INDEX(Raw_D3!$N$2:$N$1001,$AR931)="","",INDEX(Raw_D3!$N$2:$N$1001,$AR931)),"")))</f>
        <v>4</v>
      </c>
      <c r="O931" s="5">
        <f>IF($A931="","",IF($AQ931&lt;&gt;"",IF(INDEX(Raw_D2!$G$2:$G$1001,$AQ931)="","",INDEX(Raw_D2!$G$2:$G$1001,$AQ931)),IF($AR931&lt;&gt;"",IF(INDEX(Raw_D3!$O$2:$O$1001,$AR931)="","",INDEX(Raw_D3!$O$2:$O$1001,$AR931)),"")))</f>
        <v>212</v>
      </c>
      <c r="P931" s="5">
        <f>IF($A931="","",IF($AQ931&lt;&gt;"",IF(INDEX(Raw_D2!$H$2:$H$1001,$AQ931)="","",INDEX(Raw_D2!$H$2:$H$1001,$AQ931)),IF($AR931&lt;&gt;"",IF(INDEX(Raw_D3!$P$2:$P$1001,$AR931)="","",INDEX(Raw_D3!$P$2:$P$1001,$AR931)),"")))</f>
        <v>216</v>
      </c>
      <c r="Q931" s="5" t="str">
        <f>IF($A931="","",IF(AND($AP931&lt;&gt;"",$AQ931&lt;&gt;""),"D1+D2",IF($AR931&lt;&gt;"","D3","Incomplete")))</f>
        <v>D3</v>
      </c>
      <c r="R931" s="17">
        <f>IF($A931="","",IF($K931="",IF($J931="","",ROUND(Lookups!$K$5+Lookups!$K$4*$J931,4)),$K931))</f>
        <v>0.1212</v>
      </c>
      <c r="S931" s="5" t="str">
        <f>IF($A931="","",IF($K931="","Imputed","Original"))</f>
        <v>Original</v>
      </c>
      <c r="T931" s="5" t="str">
        <f>IF($A931="","",IF($P931="","Missing",IF($P931=$N931+$O931,"OK","Mismatch")))</f>
        <v>OK</v>
      </c>
      <c r="U931" s="5" t="str">
        <f>IF($A931="","",IF(COUNTIF($A$2:$A931,$A931)&gt;1,"Duplicate","Unique"))</f>
        <v>Unique</v>
      </c>
      <c r="V931" s="5">
        <f>IF($A931="","",IF(AND($U931="Unique",ISNUMBER($P931)),1,0))</f>
        <v>1</v>
      </c>
      <c r="W931" s="5" t="str">
        <f>IF($A931="","",IF(OR($H931=0,$H931=6),"Weekend","Weekday"))</f>
        <v>Weekday</v>
      </c>
      <c r="X931" s="5" t="str">
        <f>IF($A931="","",TEXT($B931,"ddd"))</f>
        <v>Fri</v>
      </c>
      <c r="Y931" s="5" t="str">
        <f>IF($A931="","",TEXT($B931,"mmm"))</f>
        <v>Feb</v>
      </c>
      <c r="Z931" s="5" t="str">
        <f>IF($A931="","",IFERROR(VLOOKUP($C931,Lookups!$D$4:$E$7,2,FALSE),"Unknown"))</f>
        <v>Winter</v>
      </c>
      <c r="AA931" s="5" t="str">
        <f>IF($A931="","",IFERROR(VLOOKUP($I931,Lookups!$A$4:$B$7,2,FALSE),"Unknown"))</f>
        <v>Clear</v>
      </c>
      <c r="AB931" s="5" t="str">
        <f>IF($A931="","",TEXT($F931,"00")&amp;":00")</f>
        <v>08:00</v>
      </c>
      <c r="AC931" s="5" t="str">
        <f>IF($A931="","",VLOOKUP($F931,Lookups!$G$4:$H$8,2,TRUE))</f>
        <v>Morning Peak (06-09)</v>
      </c>
      <c r="AD931" s="18">
        <f>IF($A931="","",IF($J931="","",ROUND($J931*41,1)))</f>
        <v>4.1</v>
      </c>
      <c r="AE931" s="18">
        <f>IF($A931="","",IF($R931="","",ROUND($R931*50,1)))</f>
        <v>6.1</v>
      </c>
      <c r="AF931" s="5">
        <f>IF($A931="","",IF($L931="","",ROUND($L931*100,0)))</f>
        <v>74</v>
      </c>
      <c r="AG931" s="18">
        <f>IF($A931="","",IF($M931="","",ROUND($M931*67,1)))</f>
        <v>11</v>
      </c>
      <c r="AH931" s="19">
        <f>IF($A931="","",IF($P931="","",IF($P931=0,0,$O931/$P931)))</f>
        <v>0.981481481481482</v>
      </c>
      <c r="AI931" s="5" t="str">
        <f>IF($A931="","",IF($P931="","",IF($P931&gt;=Lookups!$K$7,"High",IF($P931&lt;=Lookups!$K$8,"Low","Medium"))))</f>
        <v>High</v>
      </c>
      <c r="AJ931" s="5" t="str">
        <f>IF($A931="","",IF($AD931="","",IF($AD931&lt;5,"Under 5 C",IF($AD931&lt;10,"5-10 C",IF($AD931&lt;15,"10-15 C","15 C and above")))))</f>
        <v>Under 5 C</v>
      </c>
      <c r="AK931" s="5">
        <f>IF($A931="","",IF($P931="","",$P931^2))</f>
        <v>46656</v>
      </c>
      <c r="AL931" s="18">
        <f>IF($V931&lt;&gt;1,"",AVERAGEIFS(Clean_Data!$P$2:$P$1001,Clean_Data!$F$2:$F$1001,$F931,Clean_Data!$W$2:$W$1001,$W931,Clean_Data!$V$2:$V$1001,1))</f>
        <v>183.535714285714</v>
      </c>
      <c r="AM931" s="16">
        <f>IF($V931&lt;&gt;1,"",IFERROR(($P931-$AL931)/SQRT(MAX(0,(SUMIFS(Clean_Data!$AK$2:$AK$1001,Clean_Data!$F$2:$F$1001,$F931,Clean_Data!$W$2:$W$1001,$W931,Clean_Data!$V$2:$V$1001,1)-COUNTIFS(Clean_Data!$F$2:$F$1001,$F931,Clean_Data!$W$2:$W$1001,$W931,Clean_Data!$V$2:$V$1001,1)*$AL931^2)/(COUNTIFS(Clean_Data!$F$2:$F$1001,$F931,Clean_Data!$W$2:$W$1001,$W931,Clean_Data!$V$2:$V$1001,1)-1))),""))</f>
        <v>0.666070181343276</v>
      </c>
      <c r="AN931" s="5" t="str">
        <f>IF($AM931="","",IF($AM931&gt;=Lookups!$K$6,"High spike",IF($AM931&lt;=-Lookups!$K$6,"Unusual low","Normal")))</f>
        <v>Normal</v>
      </c>
      <c r="AO931" s="20">
        <f>IF($V931&lt;&gt;1,"",$P931+ROW()/100000)</f>
        <v>216.00931</v>
      </c>
      <c r="AP931" s="5">
        <f>IF($A931="","",IFERROR(MATCH($A931,Raw_D1!$A$2:$A$1001,0),""))</f>
        <v/>
      </c>
      <c r="AQ931" s="5">
        <f>IF($A931="","",IFERROR(MATCH($A931,Raw_D2!$B$2:$B$1001,0),""))</f>
        <v/>
      </c>
      <c r="AR931" s="5">
        <f>IF($A931="","",IFERROR(MATCH($A931,Raw_D3!$A$2:$A$1001,0),""))</f>
        <v>311</v>
      </c>
    </row>
    <row r="932" spans="1:44" x14ac:dyDescent="0.25">
      <c r="A932" s="5">
        <v>931</v>
      </c>
      <c r="B932" s="11">
        <f>IF($A932="","",IF($AP932&lt;&gt;"",INDEX(Raw_D1!$B$2:$B$1001,$AP932),IF($AR932&lt;&gt;"",INDEX(Raw_D3!$B$2:$B$1001,$AR932),"")))</f>
        <v>40585.0</v>
      </c>
      <c r="C932" s="5">
        <f>IF($A932="","",IF($AP932&lt;&gt;"",INDEX(Raw_D1!$C$2:$C$1001,$AP932),IF($AR932&lt;&gt;"",INDEX(Raw_D3!$C$2:$C$1001,$AR932),"")))</f>
        <v>1</v>
      </c>
      <c r="D932" s="5">
        <f>IF($A932="","",IF($AP932&lt;&gt;"",INDEX(Raw_D1!$D$2:$D$1001,$AP932),IF($AR932&lt;&gt;"",INDEX(Raw_D3!$D$2:$D$1001,$AR932),"")))</f>
        <v>0</v>
      </c>
      <c r="E932" s="5">
        <f>IF($A932="","",IF($AP932&lt;&gt;"",INDEX(Raw_D1!$E$2:$E$1001,$AP932),IF($AR932&lt;&gt;"",INDEX(Raw_D3!$E$2:$E$1001,$AR932),"")))</f>
        <v>2</v>
      </c>
      <c r="F932" s="5">
        <f>IF($A932="","",IF($AP932&lt;&gt;"",INDEX(Raw_D1!$F$2:$F$1001,$AP932),IF($AR932&lt;&gt;"",INDEX(Raw_D3!$F$2:$F$1001,$AR932),"")))</f>
        <v>9</v>
      </c>
      <c r="G932" s="5">
        <f>IF($A932="","",IF($AP932&lt;&gt;"",IF(INDEX(Raw_D1!$G$2:$G$1001,$AP932),1,0),IF($AR932&lt;&gt;"",IF(INDEX(Raw_D3!$G$2:$G$1001,$AR932),1,0),"")))</f>
        <v>0</v>
      </c>
      <c r="H932" s="5">
        <f>IF($A932="","",IF($AP932&lt;&gt;"",INDEX(Raw_D1!$H$2:$H$1001,$AP932),IF($AR932&lt;&gt;"",INDEX(Raw_D3!$H$2:$H$1001,$AR932),"")))</f>
        <v>5</v>
      </c>
      <c r="I932" s="5">
        <f>IF($A932="","",IF($AP932&lt;&gt;"",INDEX(Raw_D1!$I$2:$I$1001,$AP932),IF($AR932&lt;&gt;"",INDEX(Raw_D3!$I$2:$I$1001,$AR932),"")))</f>
        <v>1</v>
      </c>
      <c r="J932" s="16">
        <f>IF($A932="","",IF($AP932&lt;&gt;"",INDEX(Raw_D1!$J$2:$J$1001,$AP932),IF($AR932&lt;&gt;"",INDEX(Raw_D3!$J$2:$J$1001,$AR932),"")))</f>
        <v>0.12</v>
      </c>
      <c r="K932" s="17">
        <f>IF($A932="","",IF($AQ932&lt;&gt;"",IF(INDEX(Raw_D2!$C$2:$C$1001,$AQ932)="","",INDEX(Raw_D2!$C$2:$C$1001,$AQ932)),IF($AR932&lt;&gt;"",IF(INDEX(Raw_D3!$K$2:$K$1001,$AR932)="","",INDEX(Raw_D3!$K$2:$K$1001,$AR932)),"")))</f>
        <v>0.1212</v>
      </c>
      <c r="L932" s="16">
        <f>IF($A932="","",IF($AQ932&lt;&gt;"",IF(INDEX(Raw_D2!$D$2:$D$1001,$AQ932)="","",INDEX(Raw_D2!$D$2:$D$1001,$AQ932)),IF($AR932&lt;&gt;"",IF(INDEX(Raw_D3!$L$2:$L$1001,$AR932)="","",INDEX(Raw_D3!$L$2:$L$1001,$AR932)),"")))</f>
        <v>0.74</v>
      </c>
      <c r="M932" s="17">
        <f>IF($A932="","",IF($AQ932&lt;&gt;"",IF(INDEX(Raw_D2!$E$2:$E$1001,$AQ932)="","",INDEX(Raw_D2!$E$2:$E$1001,$AQ932)),IF($AR932&lt;&gt;"",IF(INDEX(Raw_D3!$M$2:$M$1001,$AR932)="","",INDEX(Raw_D3!$M$2:$M$1001,$AR932)),"")))</f>
        <v>0.2239</v>
      </c>
      <c r="N932" s="5">
        <f>IF($A932="","",IF($AQ932&lt;&gt;"",IF(INDEX(Raw_D2!$F$2:$F$1001,$AQ932)="","",INDEX(Raw_D2!$F$2:$F$1001,$AQ932)),IF($AR932&lt;&gt;"",IF(INDEX(Raw_D3!$N$2:$N$1001,$AR932)="","",INDEX(Raw_D3!$N$2:$N$1001,$AR932)),"")))</f>
        <v>8</v>
      </c>
      <c r="O932" s="5">
        <f>IF($A932="","",IF($AQ932&lt;&gt;"",IF(INDEX(Raw_D2!$G$2:$G$1001,$AQ932)="","",INDEX(Raw_D2!$G$2:$G$1001,$AQ932)),IF($AR932&lt;&gt;"",IF(INDEX(Raw_D3!$O$2:$O$1001,$AR932)="","",INDEX(Raw_D3!$O$2:$O$1001,$AR932)),"")))</f>
        <v>132</v>
      </c>
      <c r="P932" s="5">
        <f>IF($A932="","",IF($AQ932&lt;&gt;"",IF(INDEX(Raw_D2!$H$2:$H$1001,$AQ932)="","",INDEX(Raw_D2!$H$2:$H$1001,$AQ932)),IF($AR932&lt;&gt;"",IF(INDEX(Raw_D3!$P$2:$P$1001,$AR932)="","",INDEX(Raw_D3!$P$2:$P$1001,$AR932)),"")))</f>
        <v>140</v>
      </c>
      <c r="Q932" s="5" t="str">
        <f>IF($A932="","",IF(AND($AP932&lt;&gt;"",$AQ932&lt;&gt;""),"D1+D2",IF($AR932&lt;&gt;"","D3","Incomplete")))</f>
        <v>D3</v>
      </c>
      <c r="R932" s="17">
        <f>IF($A932="","",IF($K932="",IF($J932="","",ROUND(Lookups!$K$5+Lookups!$K$4*$J932,4)),$K932))</f>
        <v>0.1212</v>
      </c>
      <c r="S932" s="5" t="str">
        <f>IF($A932="","",IF($K932="","Imputed","Original"))</f>
        <v>Original</v>
      </c>
      <c r="T932" s="5" t="str">
        <f>IF($A932="","",IF($P932="","Missing",IF($P932=$N932+$O932,"OK","Mismatch")))</f>
        <v>OK</v>
      </c>
      <c r="U932" s="5" t="str">
        <f>IF($A932="","",IF(COUNTIF($A$2:$A932,$A932)&gt;1,"Duplicate","Unique"))</f>
        <v>Unique</v>
      </c>
      <c r="V932" s="5">
        <f>IF($A932="","",IF(AND($U932="Unique",ISNUMBER($P932)),1,0))</f>
        <v>1</v>
      </c>
      <c r="W932" s="5" t="str">
        <f>IF($A932="","",IF(OR($H932=0,$H932=6),"Weekend","Weekday"))</f>
        <v>Weekday</v>
      </c>
      <c r="X932" s="5" t="str">
        <f>IF($A932="","",TEXT($B932,"ddd"))</f>
        <v>Fri</v>
      </c>
      <c r="Y932" s="5" t="str">
        <f>IF($A932="","",TEXT($B932,"mmm"))</f>
        <v>Feb</v>
      </c>
      <c r="Z932" s="5" t="str">
        <f>IF($A932="","",IFERROR(VLOOKUP($C932,Lookups!$D$4:$E$7,2,FALSE),"Unknown"))</f>
        <v>Winter</v>
      </c>
      <c r="AA932" s="5" t="str">
        <f>IF($A932="","",IFERROR(VLOOKUP($I932,Lookups!$A$4:$B$7,2,FALSE),"Unknown"))</f>
        <v>Clear</v>
      </c>
      <c r="AB932" s="5" t="str">
        <f>IF($A932="","",TEXT($F932,"00")&amp;":00")</f>
        <v>09:00</v>
      </c>
      <c r="AC932" s="5" t="str">
        <f>IF($A932="","",VLOOKUP($F932,Lookups!$G$4:$H$8,2,TRUE))</f>
        <v>Morning Peak (06-09)</v>
      </c>
      <c r="AD932" s="18">
        <f>IF($A932="","",IF($J932="","",ROUND($J932*41,1)))</f>
        <v>4.9</v>
      </c>
      <c r="AE932" s="18">
        <f>IF($A932="","",IF($R932="","",ROUND($R932*50,1)))</f>
        <v>6.1</v>
      </c>
      <c r="AF932" s="5">
        <f>IF($A932="","",IF($L932="","",ROUND($L932*100,0)))</f>
        <v>74</v>
      </c>
      <c r="AG932" s="18">
        <f>IF($A932="","",IF($M932="","",ROUND($M932*67,1)))</f>
        <v>15</v>
      </c>
      <c r="AH932" s="19">
        <f>IF($A932="","",IF($P932="","",IF($P932=0,0,$O932/$P932)))</f>
        <v>0.942857142857143</v>
      </c>
      <c r="AI932" s="5" t="str">
        <f>IF($A932="","",IF($P932="","",IF($P932&gt;=Lookups!$K$7,"High",IF($P932&lt;=Lookups!$K$8,"Low","Medium"))))</f>
        <v>High</v>
      </c>
      <c r="AJ932" s="5" t="str">
        <f>IF($A932="","",IF($AD932="","",IF($AD932&lt;5,"Under 5 C",IF($AD932&lt;10,"5-10 C",IF($AD932&lt;15,"10-15 C","15 C and above")))))</f>
        <v>Under 5 C</v>
      </c>
      <c r="AK932" s="5">
        <f>IF($A932="","",IF($P932="","",$P932^2))</f>
        <v>19600</v>
      </c>
      <c r="AL932" s="18">
        <f>IF($V932&lt;&gt;1,"",AVERAGEIFS(Clean_Data!$P$2:$P$1001,Clean_Data!$F$2:$F$1001,$F932,Clean_Data!$W$2:$W$1001,$W932,Clean_Data!$V$2:$V$1001,1))</f>
        <v>115.678571428571</v>
      </c>
      <c r="AM932" s="16">
        <f>IF($V932&lt;&gt;1,"",IFERROR(($P932-$AL932)/SQRT(MAX(0,(SUMIFS(Clean_Data!$AK$2:$AK$1001,Clean_Data!$F$2:$F$1001,$F932,Clean_Data!$W$2:$W$1001,$W932,Clean_Data!$V$2:$V$1001,1)-COUNTIFS(Clean_Data!$F$2:$F$1001,$F932,Clean_Data!$W$2:$W$1001,$W932,Clean_Data!$V$2:$V$1001,1)*$AL932^2)/(COUNTIFS(Clean_Data!$F$2:$F$1001,$F932,Clean_Data!$W$2:$W$1001,$W932,Clean_Data!$V$2:$V$1001,1)-1))),""))</f>
        <v>0.943483348587054</v>
      </c>
      <c r="AN932" s="5" t="str">
        <f>IF($AM932="","",IF($AM932&gt;=Lookups!$K$6,"High spike",IF($AM932&lt;=-Lookups!$K$6,"Unusual low","Normal")))</f>
        <v>Normal</v>
      </c>
      <c r="AO932" s="20">
        <f>IF($V932&lt;&gt;1,"",$P932+ROW()/100000)</f>
        <v>140.00932</v>
      </c>
      <c r="AP932" s="5">
        <f>IF($A932="","",IFERROR(MATCH($A932,Raw_D1!$A$2:$A$1001,0),""))</f>
        <v/>
      </c>
      <c r="AQ932" s="5">
        <f>IF($A932="","",IFERROR(MATCH($A932,Raw_D2!$B$2:$B$1001,0),""))</f>
        <v/>
      </c>
      <c r="AR932" s="5">
        <f>IF($A932="","",IFERROR(MATCH($A932,Raw_D3!$A$2:$A$1001,0),""))</f>
        <v>312</v>
      </c>
    </row>
    <row r="933" spans="1:44" x14ac:dyDescent="0.25">
      <c r="A933" s="5">
        <v>932</v>
      </c>
      <c r="B933" s="11">
        <f>IF($A933="","",IF($AP933&lt;&gt;"",INDEX(Raw_D1!$B$2:$B$1001,$AP933),IF($AR933&lt;&gt;"",INDEX(Raw_D3!$B$2:$B$1001,$AR933),"")))</f>
        <v>40585.0</v>
      </c>
      <c r="C933" s="5">
        <f>IF($A933="","",IF($AP933&lt;&gt;"",INDEX(Raw_D1!$C$2:$C$1001,$AP933),IF($AR933&lt;&gt;"",INDEX(Raw_D3!$C$2:$C$1001,$AR933),"")))</f>
        <v>1</v>
      </c>
      <c r="D933" s="5">
        <f>IF($A933="","",IF($AP933&lt;&gt;"",INDEX(Raw_D1!$D$2:$D$1001,$AP933),IF($AR933&lt;&gt;"",INDEX(Raw_D3!$D$2:$D$1001,$AR933),"")))</f>
        <v>0</v>
      </c>
      <c r="E933" s="5">
        <f>IF($A933="","",IF($AP933&lt;&gt;"",INDEX(Raw_D1!$E$2:$E$1001,$AP933),IF($AR933&lt;&gt;"",INDEX(Raw_D3!$E$2:$E$1001,$AR933),"")))</f>
        <v>2</v>
      </c>
      <c r="F933" s="5">
        <f>IF($A933="","",IF($AP933&lt;&gt;"",INDEX(Raw_D1!$F$2:$F$1001,$AP933),IF($AR933&lt;&gt;"",INDEX(Raw_D3!$F$2:$F$1001,$AR933),"")))</f>
        <v>10</v>
      </c>
      <c r="G933" s="5">
        <f>IF($A933="","",IF($AP933&lt;&gt;"",IF(INDEX(Raw_D1!$G$2:$G$1001,$AP933),1,0),IF($AR933&lt;&gt;"",IF(INDEX(Raw_D3!$G$2:$G$1001,$AR933),1,0),"")))</f>
        <v>0</v>
      </c>
      <c r="H933" s="5">
        <f>IF($A933="","",IF($AP933&lt;&gt;"",INDEX(Raw_D1!$H$2:$H$1001,$AP933),IF($AR933&lt;&gt;"",INDEX(Raw_D3!$H$2:$H$1001,$AR933),"")))</f>
        <v>5</v>
      </c>
      <c r="I933" s="5">
        <f>IF($A933="","",IF($AP933&lt;&gt;"",INDEX(Raw_D1!$I$2:$I$1001,$AP933),IF($AR933&lt;&gt;"",INDEX(Raw_D3!$I$2:$I$1001,$AR933),"")))</f>
        <v>1</v>
      </c>
      <c r="J933" s="16">
        <f>IF($A933="","",IF($AP933&lt;&gt;"",INDEX(Raw_D1!$J$2:$J$1001,$AP933),IF($AR933&lt;&gt;"",INDEX(Raw_D3!$J$2:$J$1001,$AR933),"")))</f>
        <v>0.14</v>
      </c>
      <c r="K933" s="17">
        <f>IF($A933="","",IF($AQ933&lt;&gt;"",IF(INDEX(Raw_D2!$C$2:$C$1001,$AQ933)="","",INDEX(Raw_D2!$C$2:$C$1001,$AQ933)),IF($AR933&lt;&gt;"",IF(INDEX(Raw_D3!$K$2:$K$1001,$AR933)="","",INDEX(Raw_D3!$K$2:$K$1001,$AR933)),"")))</f>
        <v>0.1364</v>
      </c>
      <c r="L933" s="16">
        <f>IF($A933="","",IF($AQ933&lt;&gt;"",IF(INDEX(Raw_D2!$D$2:$D$1001,$AQ933)="","",INDEX(Raw_D2!$D$2:$D$1001,$AQ933)),IF($AR933&lt;&gt;"",IF(INDEX(Raw_D3!$L$2:$L$1001,$AR933)="","",INDEX(Raw_D3!$L$2:$L$1001,$AR933)),"")))</f>
        <v>0.69</v>
      </c>
      <c r="M933" s="17">
        <f>IF($A933="","",IF($AQ933&lt;&gt;"",IF(INDEX(Raw_D2!$E$2:$E$1001,$AQ933)="","",INDEX(Raw_D2!$E$2:$E$1001,$AQ933)),IF($AR933&lt;&gt;"",IF(INDEX(Raw_D3!$M$2:$M$1001,$AR933)="","",INDEX(Raw_D3!$M$2:$M$1001,$AR933)),"")))</f>
        <v>0.194</v>
      </c>
      <c r="N933" s="5">
        <f>IF($A933="","",IF($AQ933&lt;&gt;"",IF(INDEX(Raw_D2!$F$2:$F$1001,$AQ933)="","",INDEX(Raw_D2!$F$2:$F$1001,$AQ933)),IF($AR933&lt;&gt;"",IF(INDEX(Raw_D3!$N$2:$N$1001,$AR933)="","",INDEX(Raw_D3!$N$2:$N$1001,$AR933)),"")))</f>
        <v>5</v>
      </c>
      <c r="O933" s="5">
        <f>IF($A933="","",IF($AQ933&lt;&gt;"",IF(INDEX(Raw_D2!$G$2:$G$1001,$AQ933)="","",INDEX(Raw_D2!$G$2:$G$1001,$AQ933)),IF($AR933&lt;&gt;"",IF(INDEX(Raw_D3!$O$2:$O$1001,$AR933)="","",INDEX(Raw_D3!$O$2:$O$1001,$AR933)),"")))</f>
        <v>39</v>
      </c>
      <c r="P933" s="5">
        <f>IF($A933="","",IF($AQ933&lt;&gt;"",IF(INDEX(Raw_D2!$H$2:$H$1001,$AQ933)="","",INDEX(Raw_D2!$H$2:$H$1001,$AQ933)),IF($AR933&lt;&gt;"",IF(INDEX(Raw_D3!$P$2:$P$1001,$AR933)="","",INDEX(Raw_D3!$P$2:$P$1001,$AR933)),"")))</f>
        <v>44</v>
      </c>
      <c r="Q933" s="5" t="str">
        <f>IF($A933="","",IF(AND($AP933&lt;&gt;"",$AQ933&lt;&gt;""),"D1+D2",IF($AR933&lt;&gt;"","D3","Incomplete")))</f>
        <v>D3</v>
      </c>
      <c r="R933" s="17">
        <f>IF($A933="","",IF($K933="",IF($J933="","",ROUND(Lookups!$K$5+Lookups!$K$4*$J933,4)),$K933))</f>
        <v>0.1364</v>
      </c>
      <c r="S933" s="5" t="str">
        <f>IF($A933="","",IF($K933="","Imputed","Original"))</f>
        <v>Original</v>
      </c>
      <c r="T933" s="5" t="str">
        <f>IF($A933="","",IF($P933="","Missing",IF($P933=$N933+$O933,"OK","Mismatch")))</f>
        <v>OK</v>
      </c>
      <c r="U933" s="5" t="str">
        <f>IF($A933="","",IF(COUNTIF($A$2:$A933,$A933)&gt;1,"Duplicate","Unique"))</f>
        <v>Unique</v>
      </c>
      <c r="V933" s="5">
        <f>IF($A933="","",IF(AND($U933="Unique",ISNUMBER($P933)),1,0))</f>
        <v>1</v>
      </c>
      <c r="W933" s="5" t="str">
        <f>IF($A933="","",IF(OR($H933=0,$H933=6),"Weekend","Weekday"))</f>
        <v>Weekday</v>
      </c>
      <c r="X933" s="5" t="str">
        <f>IF($A933="","",TEXT($B933,"ddd"))</f>
        <v>Fri</v>
      </c>
      <c r="Y933" s="5" t="str">
        <f>IF($A933="","",TEXT($B933,"mmm"))</f>
        <v>Feb</v>
      </c>
      <c r="Z933" s="5" t="str">
        <f>IF($A933="","",IFERROR(VLOOKUP($C933,Lookups!$D$4:$E$7,2,FALSE),"Unknown"))</f>
        <v>Winter</v>
      </c>
      <c r="AA933" s="5" t="str">
        <f>IF($A933="","",IFERROR(VLOOKUP($I933,Lookups!$A$4:$B$7,2,FALSE),"Unknown"))</f>
        <v>Clear</v>
      </c>
      <c r="AB933" s="5" t="str">
        <f>IF($A933="","",TEXT($F933,"00")&amp;":00")</f>
        <v>10:00</v>
      </c>
      <c r="AC933" s="5" t="str">
        <f>IF($A933="","",VLOOKUP($F933,Lookups!$G$4:$H$8,2,TRUE))</f>
        <v>Midday (10-15)</v>
      </c>
      <c r="AD933" s="18">
        <f>IF($A933="","",IF($J933="","",ROUND($J933*41,1)))</f>
        <v>5.7</v>
      </c>
      <c r="AE933" s="18">
        <f>IF($A933="","",IF($R933="","",ROUND($R933*50,1)))</f>
        <v>6.8</v>
      </c>
      <c r="AF933" s="5">
        <f>IF($A933="","",IF($L933="","",ROUND($L933*100,0)))</f>
        <v>69</v>
      </c>
      <c r="AG933" s="18">
        <f>IF($A933="","",IF($M933="","",ROUND($M933*67,1)))</f>
        <v>13</v>
      </c>
      <c r="AH933" s="19">
        <f>IF($A933="","",IF($P933="","",IF($P933=0,0,$O933/$P933)))</f>
        <v>0.886363636363636</v>
      </c>
      <c r="AI933" s="5" t="str">
        <f>IF($A933="","",IF($P933="","",IF($P933&gt;=Lookups!$K$7,"High",IF($P933&lt;=Lookups!$K$8,"Low","Medium"))))</f>
        <v>Medium</v>
      </c>
      <c r="AJ933" s="5" t="str">
        <f>IF($A933="","",IF($AD933="","",IF($AD933&lt;5,"Under 5 C",IF($AD933&lt;10,"5-10 C",IF($AD933&lt;15,"10-15 C","15 C and above")))))</f>
        <v>5-10 C</v>
      </c>
      <c r="AK933" s="5">
        <f>IF($A933="","",IF($P933="","",$P933^2))</f>
        <v>1936</v>
      </c>
      <c r="AL933" s="18">
        <f>IF($V933&lt;&gt;1,"",AVERAGEIFS(Clean_Data!$P$2:$P$1001,Clean_Data!$F$2:$F$1001,$F933,Clean_Data!$W$2:$W$1001,$W933,Clean_Data!$V$2:$V$1001,1))</f>
        <v>49.0714285714286</v>
      </c>
      <c r="AM933" s="16">
        <f>IF($V933&lt;&gt;1,"",IFERROR(($P933-$AL933)/SQRT(MAX(0,(SUMIFS(Clean_Data!$AK$2:$AK$1001,Clean_Data!$F$2:$F$1001,$F933,Clean_Data!$W$2:$W$1001,$W933,Clean_Data!$V$2:$V$1001,1)-COUNTIFS(Clean_Data!$F$2:$F$1001,$F933,Clean_Data!$W$2:$W$1001,$W933,Clean_Data!$V$2:$V$1001,1)*$AL933^2)/(COUNTIFS(Clean_Data!$F$2:$F$1001,$F933,Clean_Data!$W$2:$W$1001,$W933,Clean_Data!$V$2:$V$1001,1)-1))),""))</f>
        <v>-0.502524371261835</v>
      </c>
      <c r="AN933" s="5" t="str">
        <f>IF($AM933="","",IF($AM933&gt;=Lookups!$K$6,"High spike",IF($AM933&lt;=-Lookups!$K$6,"Unusual low","Normal")))</f>
        <v>Normal</v>
      </c>
      <c r="AO933" s="20">
        <f>IF($V933&lt;&gt;1,"",$P933+ROW()/100000)</f>
        <v>44.00933</v>
      </c>
      <c r="AP933" s="5">
        <f>IF($A933="","",IFERROR(MATCH($A933,Raw_D1!$A$2:$A$1001,0),""))</f>
        <v/>
      </c>
      <c r="AQ933" s="5">
        <f>IF($A933="","",IFERROR(MATCH($A933,Raw_D2!$B$2:$B$1001,0),""))</f>
        <v/>
      </c>
      <c r="AR933" s="5">
        <f>IF($A933="","",IFERROR(MATCH($A933,Raw_D3!$A$2:$A$1001,0),""))</f>
        <v>313</v>
      </c>
    </row>
    <row r="934" spans="1:44" x14ac:dyDescent="0.25">
      <c r="A934" s="5">
        <v>933</v>
      </c>
      <c r="B934" s="11">
        <f>IF($A934="","",IF($AP934&lt;&gt;"",INDEX(Raw_D1!$B$2:$B$1001,$AP934),IF($AR934&lt;&gt;"",INDEX(Raw_D3!$B$2:$B$1001,$AR934),"")))</f>
        <v>40585.0</v>
      </c>
      <c r="C934" s="5">
        <f>IF($A934="","",IF($AP934&lt;&gt;"",INDEX(Raw_D1!$C$2:$C$1001,$AP934),IF($AR934&lt;&gt;"",INDEX(Raw_D3!$C$2:$C$1001,$AR934),"")))</f>
        <v>1</v>
      </c>
      <c r="D934" s="5">
        <f>IF($A934="","",IF($AP934&lt;&gt;"",INDEX(Raw_D1!$D$2:$D$1001,$AP934),IF($AR934&lt;&gt;"",INDEX(Raw_D3!$D$2:$D$1001,$AR934),"")))</f>
        <v>0</v>
      </c>
      <c r="E934" s="5">
        <f>IF($A934="","",IF($AP934&lt;&gt;"",INDEX(Raw_D1!$E$2:$E$1001,$AP934),IF($AR934&lt;&gt;"",INDEX(Raw_D3!$E$2:$E$1001,$AR934),"")))</f>
        <v>2</v>
      </c>
      <c r="F934" s="5">
        <f>IF($A934="","",IF($AP934&lt;&gt;"",INDEX(Raw_D1!$F$2:$F$1001,$AP934),IF($AR934&lt;&gt;"",INDEX(Raw_D3!$F$2:$F$1001,$AR934),"")))</f>
        <v>11</v>
      </c>
      <c r="G934" s="5">
        <f>IF($A934="","",IF($AP934&lt;&gt;"",IF(INDEX(Raw_D1!$G$2:$G$1001,$AP934),1,0),IF($AR934&lt;&gt;"",IF(INDEX(Raw_D3!$G$2:$G$1001,$AR934),1,0),"")))</f>
        <v>0</v>
      </c>
      <c r="H934" s="5">
        <f>IF($A934="","",IF($AP934&lt;&gt;"",INDEX(Raw_D1!$H$2:$H$1001,$AP934),IF($AR934&lt;&gt;"",INDEX(Raw_D3!$H$2:$H$1001,$AR934),"")))</f>
        <v>5</v>
      </c>
      <c r="I934" s="5">
        <f>IF($A934="","",IF($AP934&lt;&gt;"",INDEX(Raw_D1!$I$2:$I$1001,$AP934),IF($AR934&lt;&gt;"",INDEX(Raw_D3!$I$2:$I$1001,$AR934),"")))</f>
        <v>1</v>
      </c>
      <c r="J934" s="16">
        <f>IF($A934="","",IF($AP934&lt;&gt;"",INDEX(Raw_D1!$J$2:$J$1001,$AP934),IF($AR934&lt;&gt;"",INDEX(Raw_D3!$J$2:$J$1001,$AR934),"")))</f>
        <v>0.22</v>
      </c>
      <c r="K934" s="17">
        <f>IF($A934="","",IF($AQ934&lt;&gt;"",IF(INDEX(Raw_D2!$C$2:$C$1001,$AQ934)="","",INDEX(Raw_D2!$C$2:$C$1001,$AQ934)),IF($AR934&lt;&gt;"",IF(INDEX(Raw_D3!$K$2:$K$1001,$AR934)="","",INDEX(Raw_D3!$K$2:$K$1001,$AR934)),"")))</f>
        <v>0.2273</v>
      </c>
      <c r="L934" s="16">
        <f>IF($A934="","",IF($AQ934&lt;&gt;"",IF(INDEX(Raw_D2!$D$2:$D$1001,$AQ934)="","",INDEX(Raw_D2!$D$2:$D$1001,$AQ934)),IF($AR934&lt;&gt;"",IF(INDEX(Raw_D3!$L$2:$L$1001,$AR934)="","",INDEX(Raw_D3!$L$2:$L$1001,$AR934)),"")))</f>
        <v>0.47</v>
      </c>
      <c r="M934" s="17">
        <f>IF($A934="","",IF($AQ934&lt;&gt;"",IF(INDEX(Raw_D2!$E$2:$E$1001,$AQ934)="","",INDEX(Raw_D2!$E$2:$E$1001,$AQ934)),IF($AR934&lt;&gt;"",IF(INDEX(Raw_D3!$M$2:$M$1001,$AR934)="","",INDEX(Raw_D3!$M$2:$M$1001,$AR934)),"")))</f>
        <v>0.1343</v>
      </c>
      <c r="N934" s="5">
        <f>IF($A934="","",IF($AQ934&lt;&gt;"",IF(INDEX(Raw_D2!$F$2:$F$1001,$AQ934)="","",INDEX(Raw_D2!$F$2:$F$1001,$AQ934)),IF($AR934&lt;&gt;"",IF(INDEX(Raw_D3!$N$2:$N$1001,$AR934)="","",INDEX(Raw_D3!$N$2:$N$1001,$AR934)),"")))</f>
        <v>12</v>
      </c>
      <c r="O934" s="5">
        <f>IF($A934="","",IF($AQ934&lt;&gt;"",IF(INDEX(Raw_D2!$G$2:$G$1001,$AQ934)="","",INDEX(Raw_D2!$G$2:$G$1001,$AQ934)),IF($AR934&lt;&gt;"",IF(INDEX(Raw_D3!$O$2:$O$1001,$AR934)="","",INDEX(Raw_D3!$O$2:$O$1001,$AR934)),"")))</f>
        <v>52</v>
      </c>
      <c r="P934" s="5">
        <f>IF($A934="","",IF($AQ934&lt;&gt;"",IF(INDEX(Raw_D2!$H$2:$H$1001,$AQ934)="","",INDEX(Raw_D2!$H$2:$H$1001,$AQ934)),IF($AR934&lt;&gt;"",IF(INDEX(Raw_D3!$P$2:$P$1001,$AR934)="","",INDEX(Raw_D3!$P$2:$P$1001,$AR934)),"")))</f>
        <v>64</v>
      </c>
      <c r="Q934" s="5" t="str">
        <f>IF($A934="","",IF(AND($AP934&lt;&gt;"",$AQ934&lt;&gt;""),"D1+D2",IF($AR934&lt;&gt;"","D3","Incomplete")))</f>
        <v>D3</v>
      </c>
      <c r="R934" s="17">
        <f>IF($A934="","",IF($K934="",IF($J934="","",ROUND(Lookups!$K$5+Lookups!$K$4*$J934,4)),$K934))</f>
        <v>0.2273</v>
      </c>
      <c r="S934" s="5" t="str">
        <f>IF($A934="","",IF($K934="","Imputed","Original"))</f>
        <v>Original</v>
      </c>
      <c r="T934" s="5" t="str">
        <f>IF($A934="","",IF($P934="","Missing",IF($P934=$N934+$O934,"OK","Mismatch")))</f>
        <v>OK</v>
      </c>
      <c r="U934" s="5" t="str">
        <f>IF($A934="","",IF(COUNTIF($A$2:$A934,$A934)&gt;1,"Duplicate","Unique"))</f>
        <v>Unique</v>
      </c>
      <c r="V934" s="5">
        <f>IF($A934="","",IF(AND($U934="Unique",ISNUMBER($P934)),1,0))</f>
        <v>1</v>
      </c>
      <c r="W934" s="5" t="str">
        <f>IF($A934="","",IF(OR($H934=0,$H934=6),"Weekend","Weekday"))</f>
        <v>Weekday</v>
      </c>
      <c r="X934" s="5" t="str">
        <f>IF($A934="","",TEXT($B934,"ddd"))</f>
        <v>Fri</v>
      </c>
      <c r="Y934" s="5" t="str">
        <f>IF($A934="","",TEXT($B934,"mmm"))</f>
        <v>Feb</v>
      </c>
      <c r="Z934" s="5" t="str">
        <f>IF($A934="","",IFERROR(VLOOKUP($C934,Lookups!$D$4:$E$7,2,FALSE),"Unknown"))</f>
        <v>Winter</v>
      </c>
      <c r="AA934" s="5" t="str">
        <f>IF($A934="","",IFERROR(VLOOKUP($I934,Lookups!$A$4:$B$7,2,FALSE),"Unknown"))</f>
        <v>Clear</v>
      </c>
      <c r="AB934" s="5" t="str">
        <f>IF($A934="","",TEXT($F934,"00")&amp;":00")</f>
        <v>11:00</v>
      </c>
      <c r="AC934" s="5" t="str">
        <f>IF($A934="","",VLOOKUP($F934,Lookups!$G$4:$H$8,2,TRUE))</f>
        <v>Midday (10-15)</v>
      </c>
      <c r="AD934" s="18">
        <f>IF($A934="","",IF($J934="","",ROUND($J934*41,1)))</f>
        <v>9</v>
      </c>
      <c r="AE934" s="18">
        <f>IF($A934="","",IF($R934="","",ROUND($R934*50,1)))</f>
        <v>11.4</v>
      </c>
      <c r="AF934" s="5">
        <f>IF($A934="","",IF($L934="","",ROUND($L934*100,0)))</f>
        <v>47</v>
      </c>
      <c r="AG934" s="18">
        <f>IF($A934="","",IF($M934="","",ROUND($M934*67,1)))</f>
        <v>9</v>
      </c>
      <c r="AH934" s="19">
        <f>IF($A934="","",IF($P934="","",IF($P934=0,0,$O934/$P934)))</f>
        <v>0.8125</v>
      </c>
      <c r="AI934" s="5" t="str">
        <f>IF($A934="","",IF($P934="","",IF($P934&gt;=Lookups!$K$7,"High",IF($P934&lt;=Lookups!$K$8,"Low","Medium"))))</f>
        <v>Medium</v>
      </c>
      <c r="AJ934" s="5" t="str">
        <f>IF($A934="","",IF($AD934="","",IF($AD934&lt;5,"Under 5 C",IF($AD934&lt;10,"5-10 C",IF($AD934&lt;15,"10-15 C","15 C and above")))))</f>
        <v>5-10 C</v>
      </c>
      <c r="AK934" s="5">
        <f>IF($A934="","",IF($P934="","",$P934^2))</f>
        <v>4096</v>
      </c>
      <c r="AL934" s="18">
        <f>IF($V934&lt;&gt;1,"",AVERAGEIFS(Clean_Data!$P$2:$P$1001,Clean_Data!$F$2:$F$1001,$F934,Clean_Data!$W$2:$W$1001,$W934,Clean_Data!$V$2:$V$1001,1))</f>
        <v>50.6071428571429</v>
      </c>
      <c r="AM934" s="16">
        <f>IF($V934&lt;&gt;1,"",IFERROR(($P934-$AL934)/SQRT(MAX(0,(SUMIFS(Clean_Data!$AK$2:$AK$1001,Clean_Data!$F$2:$F$1001,$F934,Clean_Data!$W$2:$W$1001,$W934,Clean_Data!$V$2:$V$1001,1)-COUNTIFS(Clean_Data!$F$2:$F$1001,$F934,Clean_Data!$W$2:$W$1001,$W934,Clean_Data!$V$2:$V$1001,1)*$AL934^2)/(COUNTIFS(Clean_Data!$F$2:$F$1001,$F934,Clean_Data!$W$2:$W$1001,$W934,Clean_Data!$V$2:$V$1001,1)-1))),""))</f>
        <v>1.19547343587792</v>
      </c>
      <c r="AN934" s="5" t="str">
        <f>IF($AM934="","",IF($AM934&gt;=Lookups!$K$6,"High spike",IF($AM934&lt;=-Lookups!$K$6,"Unusual low","Normal")))</f>
        <v>Normal</v>
      </c>
      <c r="AO934" s="20">
        <f>IF($V934&lt;&gt;1,"",$P934+ROW()/100000)</f>
        <v>64.00934</v>
      </c>
      <c r="AP934" s="5">
        <f>IF($A934="","",IFERROR(MATCH($A934,Raw_D1!$A$2:$A$1001,0),""))</f>
        <v/>
      </c>
      <c r="AQ934" s="5">
        <f>IF($A934="","",IFERROR(MATCH($A934,Raw_D2!$B$2:$B$1001,0),""))</f>
        <v/>
      </c>
      <c r="AR934" s="5">
        <f>IF($A934="","",IFERROR(MATCH($A934,Raw_D3!$A$2:$A$1001,0),""))</f>
        <v>314</v>
      </c>
    </row>
    <row r="935" spans="1:44" x14ac:dyDescent="0.25">
      <c r="A935" s="5">
        <v>934</v>
      </c>
      <c r="B935" s="11">
        <f>IF($A935="","",IF($AP935&lt;&gt;"",INDEX(Raw_D1!$B$2:$B$1001,$AP935),IF($AR935&lt;&gt;"",INDEX(Raw_D3!$B$2:$B$1001,$AR935),"")))</f>
        <v>40585.0</v>
      </c>
      <c r="C935" s="5">
        <f>IF($A935="","",IF($AP935&lt;&gt;"",INDEX(Raw_D1!$C$2:$C$1001,$AP935),IF($AR935&lt;&gt;"",INDEX(Raw_D3!$C$2:$C$1001,$AR935),"")))</f>
        <v>1</v>
      </c>
      <c r="D935" s="5">
        <f>IF($A935="","",IF($AP935&lt;&gt;"",INDEX(Raw_D1!$D$2:$D$1001,$AP935),IF($AR935&lt;&gt;"",INDEX(Raw_D3!$D$2:$D$1001,$AR935),"")))</f>
        <v>0</v>
      </c>
      <c r="E935" s="5">
        <f>IF($A935="","",IF($AP935&lt;&gt;"",INDEX(Raw_D1!$E$2:$E$1001,$AP935),IF($AR935&lt;&gt;"",INDEX(Raw_D3!$E$2:$E$1001,$AR935),"")))</f>
        <v>2</v>
      </c>
      <c r="F935" s="5">
        <f>IF($A935="","",IF($AP935&lt;&gt;"",INDEX(Raw_D1!$F$2:$F$1001,$AP935),IF($AR935&lt;&gt;"",INDEX(Raw_D3!$F$2:$F$1001,$AR935),"")))</f>
        <v>12</v>
      </c>
      <c r="G935" s="5">
        <f>IF($A935="","",IF($AP935&lt;&gt;"",IF(INDEX(Raw_D1!$G$2:$G$1001,$AP935),1,0),IF($AR935&lt;&gt;"",IF(INDEX(Raw_D3!$G$2:$G$1001,$AR935),1,0),"")))</f>
        <v>0</v>
      </c>
      <c r="H935" s="5">
        <f>IF($A935="","",IF($AP935&lt;&gt;"",INDEX(Raw_D1!$H$2:$H$1001,$AP935),IF($AR935&lt;&gt;"",INDEX(Raw_D3!$H$2:$H$1001,$AR935),"")))</f>
        <v>5</v>
      </c>
      <c r="I935" s="5">
        <f>IF($A935="","",IF($AP935&lt;&gt;"",INDEX(Raw_D1!$I$2:$I$1001,$AP935),IF($AR935&lt;&gt;"",INDEX(Raw_D3!$I$2:$I$1001,$AR935),"")))</f>
        <v>1</v>
      </c>
      <c r="J935" s="16">
        <f>IF($A935="","",IF($AP935&lt;&gt;"",INDEX(Raw_D1!$J$2:$J$1001,$AP935),IF($AR935&lt;&gt;"",INDEX(Raw_D3!$J$2:$J$1001,$AR935),"")))</f>
        <v>0.22</v>
      </c>
      <c r="K935" s="17">
        <f>IF($A935="","",IF($AQ935&lt;&gt;"",IF(INDEX(Raw_D2!$C$2:$C$1001,$AQ935)="","",INDEX(Raw_D2!$C$2:$C$1001,$AQ935)),IF($AR935&lt;&gt;"",IF(INDEX(Raw_D3!$K$2:$K$1001,$AR935)="","",INDEX(Raw_D3!$K$2:$K$1001,$AR935)),"")))</f>
        <v>0.2273</v>
      </c>
      <c r="L935" s="16">
        <f>IF($A935="","",IF($AQ935&lt;&gt;"",IF(INDEX(Raw_D2!$D$2:$D$1001,$AQ935)="","",INDEX(Raw_D2!$D$2:$D$1001,$AQ935)),IF($AR935&lt;&gt;"",IF(INDEX(Raw_D3!$L$2:$L$1001,$AR935)="","",INDEX(Raw_D3!$L$2:$L$1001,$AR935)),"")))</f>
        <v>0.47</v>
      </c>
      <c r="M935" s="17">
        <f>IF($A935="","",IF($AQ935&lt;&gt;"",IF(INDEX(Raw_D2!$E$2:$E$1001,$AQ935)="","",INDEX(Raw_D2!$E$2:$E$1001,$AQ935)),IF($AR935&lt;&gt;"",IF(INDEX(Raw_D3!$M$2:$M$1001,$AR935)="","",INDEX(Raw_D3!$M$2:$M$1001,$AR935)),"")))</f>
        <v>0.1343</v>
      </c>
      <c r="N935" s="5">
        <f>IF($A935="","",IF($AQ935&lt;&gt;"",IF(INDEX(Raw_D2!$F$2:$F$1001,$AQ935)="","",INDEX(Raw_D2!$F$2:$F$1001,$AQ935)),IF($AR935&lt;&gt;"",IF(INDEX(Raw_D3!$N$2:$N$1001,$AR935)="","",INDEX(Raw_D3!$N$2:$N$1001,$AR935)),"")))</f>
        <v>7</v>
      </c>
      <c r="O935" s="5">
        <f>IF($A935="","",IF($AQ935&lt;&gt;"",IF(INDEX(Raw_D2!$G$2:$G$1001,$AQ935)="","",INDEX(Raw_D2!$G$2:$G$1001,$AQ935)),IF($AR935&lt;&gt;"",IF(INDEX(Raw_D3!$O$2:$O$1001,$AR935)="","",INDEX(Raw_D3!$O$2:$O$1001,$AR935)),"")))</f>
        <v>64</v>
      </c>
      <c r="P935" s="5">
        <f>IF($A935="","",IF($AQ935&lt;&gt;"",IF(INDEX(Raw_D2!$H$2:$H$1001,$AQ935)="","",INDEX(Raw_D2!$H$2:$H$1001,$AQ935)),IF($AR935&lt;&gt;"",IF(INDEX(Raw_D3!$P$2:$P$1001,$AR935)="","",INDEX(Raw_D3!$P$2:$P$1001,$AR935)),"")))</f>
        <v>71</v>
      </c>
      <c r="Q935" s="5" t="str">
        <f>IF($A935="","",IF(AND($AP935&lt;&gt;"",$AQ935&lt;&gt;""),"D1+D2",IF($AR935&lt;&gt;"","D3","Incomplete")))</f>
        <v>D3</v>
      </c>
      <c r="R935" s="17">
        <f>IF($A935="","",IF($K935="",IF($J935="","",ROUND(Lookups!$K$5+Lookups!$K$4*$J935,4)),$K935))</f>
        <v>0.2273</v>
      </c>
      <c r="S935" s="5" t="str">
        <f>IF($A935="","",IF($K935="","Imputed","Original"))</f>
        <v>Original</v>
      </c>
      <c r="T935" s="5" t="str">
        <f>IF($A935="","",IF($P935="","Missing",IF($P935=$N935+$O935,"OK","Mismatch")))</f>
        <v>OK</v>
      </c>
      <c r="U935" s="5" t="str">
        <f>IF($A935="","",IF(COUNTIF($A$2:$A935,$A935)&gt;1,"Duplicate","Unique"))</f>
        <v>Unique</v>
      </c>
      <c r="V935" s="5">
        <f>IF($A935="","",IF(AND($U935="Unique",ISNUMBER($P935)),1,0))</f>
        <v>1</v>
      </c>
      <c r="W935" s="5" t="str">
        <f>IF($A935="","",IF(OR($H935=0,$H935=6),"Weekend","Weekday"))</f>
        <v>Weekday</v>
      </c>
      <c r="X935" s="5" t="str">
        <f>IF($A935="","",TEXT($B935,"ddd"))</f>
        <v>Fri</v>
      </c>
      <c r="Y935" s="5" t="str">
        <f>IF($A935="","",TEXT($B935,"mmm"))</f>
        <v>Feb</v>
      </c>
      <c r="Z935" s="5" t="str">
        <f>IF($A935="","",IFERROR(VLOOKUP($C935,Lookups!$D$4:$E$7,2,FALSE),"Unknown"))</f>
        <v>Winter</v>
      </c>
      <c r="AA935" s="5" t="str">
        <f>IF($A935="","",IFERROR(VLOOKUP($I935,Lookups!$A$4:$B$7,2,FALSE),"Unknown"))</f>
        <v>Clear</v>
      </c>
      <c r="AB935" s="5" t="str">
        <f>IF($A935="","",TEXT($F935,"00")&amp;":00")</f>
        <v>12:00</v>
      </c>
      <c r="AC935" s="5" t="str">
        <f>IF($A935="","",VLOOKUP($F935,Lookups!$G$4:$H$8,2,TRUE))</f>
        <v>Midday (10-15)</v>
      </c>
      <c r="AD935" s="18">
        <f>IF($A935="","",IF($J935="","",ROUND($J935*41,1)))</f>
        <v>9</v>
      </c>
      <c r="AE935" s="18">
        <f>IF($A935="","",IF($R935="","",ROUND($R935*50,1)))</f>
        <v>11.4</v>
      </c>
      <c r="AF935" s="5">
        <f>IF($A935="","",IF($L935="","",ROUND($L935*100,0)))</f>
        <v>47</v>
      </c>
      <c r="AG935" s="18">
        <f>IF($A935="","",IF($M935="","",ROUND($M935*67,1)))</f>
        <v>9</v>
      </c>
      <c r="AH935" s="19">
        <f>IF($A935="","",IF($P935="","",IF($P935=0,0,$O935/$P935)))</f>
        <v>0.901408450704225</v>
      </c>
      <c r="AI935" s="5" t="str">
        <f>IF($A935="","",IF($P935="","",IF($P935&gt;=Lookups!$K$7,"High",IF($P935&lt;=Lookups!$K$8,"Low","Medium"))))</f>
        <v>Medium</v>
      </c>
      <c r="AJ935" s="5" t="str">
        <f>IF($A935="","",IF($AD935="","",IF($AD935&lt;5,"Under 5 C",IF($AD935&lt;10,"5-10 C",IF($AD935&lt;15,"10-15 C","15 C and above")))))</f>
        <v>5-10 C</v>
      </c>
      <c r="AK935" s="5">
        <f>IF($A935="","",IF($P935="","",$P935^2))</f>
        <v>5041</v>
      </c>
      <c r="AL935" s="18">
        <f>IF($V935&lt;&gt;1,"",AVERAGEIFS(Clean_Data!$P$2:$P$1001,Clean_Data!$F$2:$F$1001,$F935,Clean_Data!$W$2:$W$1001,$W935,Clean_Data!$V$2:$V$1001,1))</f>
        <v>64.5862068965517</v>
      </c>
      <c r="AM935" s="16">
        <f>IF($V935&lt;&gt;1,"",IFERROR(($P935-$AL935)/SQRT(MAX(0,(SUMIFS(Clean_Data!$AK$2:$AK$1001,Clean_Data!$F$2:$F$1001,$F935,Clean_Data!$W$2:$W$1001,$W935,Clean_Data!$V$2:$V$1001,1)-COUNTIFS(Clean_Data!$F$2:$F$1001,$F935,Clean_Data!$W$2:$W$1001,$W935,Clean_Data!$V$2:$V$1001,1)*$AL935^2)/(COUNTIFS(Clean_Data!$F$2:$F$1001,$F935,Clean_Data!$W$2:$W$1001,$W935,Clean_Data!$V$2:$V$1001,1)-1))),""))</f>
        <v>0.342464330467413</v>
      </c>
      <c r="AN935" s="5" t="str">
        <f>IF($AM935="","",IF($AM935&gt;=Lookups!$K$6,"High spike",IF($AM935&lt;=-Lookups!$K$6,"Unusual low","Normal")))</f>
        <v>Normal</v>
      </c>
      <c r="AO935" s="20">
        <f>IF($V935&lt;&gt;1,"",$P935+ROW()/100000)</f>
        <v>71.00935</v>
      </c>
      <c r="AP935" s="5">
        <f>IF($A935="","",IFERROR(MATCH($A935,Raw_D1!$A$2:$A$1001,0),""))</f>
        <v/>
      </c>
      <c r="AQ935" s="5">
        <f>IF($A935="","",IFERROR(MATCH($A935,Raw_D2!$B$2:$B$1001,0),""))</f>
        <v/>
      </c>
      <c r="AR935" s="5">
        <f>IF($A935="","",IFERROR(MATCH($A935,Raw_D3!$A$2:$A$1001,0),""))</f>
        <v>315</v>
      </c>
    </row>
    <row r="936" spans="1:44" x14ac:dyDescent="0.25">
      <c r="A936" s="5">
        <v>935</v>
      </c>
      <c r="B936" s="11">
        <f>IF($A936="","",IF($AP936&lt;&gt;"",INDEX(Raw_D1!$B$2:$B$1001,$AP936),IF($AR936&lt;&gt;"",INDEX(Raw_D3!$B$2:$B$1001,$AR936),"")))</f>
        <v>40585.0</v>
      </c>
      <c r="C936" s="5">
        <f>IF($A936="","",IF($AP936&lt;&gt;"",INDEX(Raw_D1!$C$2:$C$1001,$AP936),IF($AR936&lt;&gt;"",INDEX(Raw_D3!$C$2:$C$1001,$AR936),"")))</f>
        <v>1</v>
      </c>
      <c r="D936" s="5">
        <f>IF($A936="","",IF($AP936&lt;&gt;"",INDEX(Raw_D1!$D$2:$D$1001,$AP936),IF($AR936&lt;&gt;"",INDEX(Raw_D3!$D$2:$D$1001,$AR936),"")))</f>
        <v>0</v>
      </c>
      <c r="E936" s="5">
        <f>IF($A936="","",IF($AP936&lt;&gt;"",INDEX(Raw_D1!$E$2:$E$1001,$AP936),IF($AR936&lt;&gt;"",INDEX(Raw_D3!$E$2:$E$1001,$AR936),"")))</f>
        <v>2</v>
      </c>
      <c r="F936" s="5">
        <f>IF($A936="","",IF($AP936&lt;&gt;"",INDEX(Raw_D1!$F$2:$F$1001,$AP936),IF($AR936&lt;&gt;"",INDEX(Raw_D3!$F$2:$F$1001,$AR936),"")))</f>
        <v>13</v>
      </c>
      <c r="G936" s="5">
        <f>IF($A936="","",IF($AP936&lt;&gt;"",IF(INDEX(Raw_D1!$G$2:$G$1001,$AP936),1,0),IF($AR936&lt;&gt;"",IF(INDEX(Raw_D3!$G$2:$G$1001,$AR936),1,0),"")))</f>
        <v>0</v>
      </c>
      <c r="H936" s="5">
        <f>IF($A936="","",IF($AP936&lt;&gt;"",INDEX(Raw_D1!$H$2:$H$1001,$AP936),IF($AR936&lt;&gt;"",INDEX(Raw_D3!$H$2:$H$1001,$AR936),"")))</f>
        <v>5</v>
      </c>
      <c r="I936" s="5">
        <f>IF($A936="","",IF($AP936&lt;&gt;"",INDEX(Raw_D1!$I$2:$I$1001,$AP936),IF($AR936&lt;&gt;"",INDEX(Raw_D3!$I$2:$I$1001,$AR936),"")))</f>
        <v>1</v>
      </c>
      <c r="J936" s="16">
        <f>IF($A936="","",IF($AP936&lt;&gt;"",INDEX(Raw_D1!$J$2:$J$1001,$AP936),IF($AR936&lt;&gt;"",INDEX(Raw_D3!$J$2:$J$1001,$AR936),"")))</f>
        <v>0.24</v>
      </c>
      <c r="K936" s="17">
        <f>IF($A936="","",IF($AQ936&lt;&gt;"",IF(INDEX(Raw_D2!$C$2:$C$1001,$AQ936)="","",INDEX(Raw_D2!$C$2:$C$1001,$AQ936)),IF($AR936&lt;&gt;"",IF(INDEX(Raw_D3!$K$2:$K$1001,$AR936)="","",INDEX(Raw_D3!$K$2:$K$1001,$AR936)),"")))</f>
        <v>0.2273</v>
      </c>
      <c r="L936" s="16">
        <f>IF($A936="","",IF($AQ936&lt;&gt;"",IF(INDEX(Raw_D2!$D$2:$D$1001,$AQ936)="","",INDEX(Raw_D2!$D$2:$D$1001,$AQ936)),IF($AR936&lt;&gt;"",IF(INDEX(Raw_D3!$L$2:$L$1001,$AR936)="","",INDEX(Raw_D3!$L$2:$L$1001,$AR936)),"")))</f>
        <v>0.35</v>
      </c>
      <c r="M936" s="17">
        <f>IF($A936="","",IF($AQ936&lt;&gt;"",IF(INDEX(Raw_D2!$E$2:$E$1001,$AQ936)="","",INDEX(Raw_D2!$E$2:$E$1001,$AQ936)),IF($AR936&lt;&gt;"",IF(INDEX(Raw_D3!$M$2:$M$1001,$AR936)="","",INDEX(Raw_D3!$M$2:$M$1001,$AR936)),"")))</f>
        <v>0.194</v>
      </c>
      <c r="N936" s="5">
        <f>IF($A936="","",IF($AQ936&lt;&gt;"",IF(INDEX(Raw_D2!$F$2:$F$1001,$AQ936)="","",INDEX(Raw_D2!$F$2:$F$1001,$AQ936)),IF($AR936&lt;&gt;"",IF(INDEX(Raw_D3!$N$2:$N$1001,$AR936)="","",INDEX(Raw_D3!$N$2:$N$1001,$AR936)),"")))</f>
        <v>21</v>
      </c>
      <c r="O936" s="5">
        <f>IF($A936="","",IF($AQ936&lt;&gt;"",IF(INDEX(Raw_D2!$G$2:$G$1001,$AQ936)="","",INDEX(Raw_D2!$G$2:$G$1001,$AQ936)),IF($AR936&lt;&gt;"",IF(INDEX(Raw_D3!$O$2:$O$1001,$AR936)="","",INDEX(Raw_D3!$O$2:$O$1001,$AR936)),"")))</f>
        <v>89</v>
      </c>
      <c r="P936" s="5">
        <f>IF($A936="","",IF($AQ936&lt;&gt;"",IF(INDEX(Raw_D2!$H$2:$H$1001,$AQ936)="","",INDEX(Raw_D2!$H$2:$H$1001,$AQ936)),IF($AR936&lt;&gt;"",IF(INDEX(Raw_D3!$P$2:$P$1001,$AR936)="","",INDEX(Raw_D3!$P$2:$P$1001,$AR936)),"")))</f>
        <v>110</v>
      </c>
      <c r="Q936" s="5" t="str">
        <f>IF($A936="","",IF(AND($AP936&lt;&gt;"",$AQ936&lt;&gt;""),"D1+D2",IF($AR936&lt;&gt;"","D3","Incomplete")))</f>
        <v>D3</v>
      </c>
      <c r="R936" s="17">
        <f>IF($A936="","",IF($K936="",IF($J936="","",ROUND(Lookups!$K$5+Lookups!$K$4*$J936,4)),$K936))</f>
        <v>0.2273</v>
      </c>
      <c r="S936" s="5" t="str">
        <f>IF($A936="","",IF($K936="","Imputed","Original"))</f>
        <v>Original</v>
      </c>
      <c r="T936" s="5" t="str">
        <f>IF($A936="","",IF($P936="","Missing",IF($P936=$N936+$O936,"OK","Mismatch")))</f>
        <v>OK</v>
      </c>
      <c r="U936" s="5" t="str">
        <f>IF($A936="","",IF(COUNTIF($A$2:$A936,$A936)&gt;1,"Duplicate","Unique"))</f>
        <v>Unique</v>
      </c>
      <c r="V936" s="5">
        <f>IF($A936="","",IF(AND($U936="Unique",ISNUMBER($P936)),1,0))</f>
        <v>1</v>
      </c>
      <c r="W936" s="5" t="str">
        <f>IF($A936="","",IF(OR($H936=0,$H936=6),"Weekend","Weekday"))</f>
        <v>Weekday</v>
      </c>
      <c r="X936" s="5" t="str">
        <f>IF($A936="","",TEXT($B936,"ddd"))</f>
        <v>Fri</v>
      </c>
      <c r="Y936" s="5" t="str">
        <f>IF($A936="","",TEXT($B936,"mmm"))</f>
        <v>Feb</v>
      </c>
      <c r="Z936" s="5" t="str">
        <f>IF($A936="","",IFERROR(VLOOKUP($C936,Lookups!$D$4:$E$7,2,FALSE),"Unknown"))</f>
        <v>Winter</v>
      </c>
      <c r="AA936" s="5" t="str">
        <f>IF($A936="","",IFERROR(VLOOKUP($I936,Lookups!$A$4:$B$7,2,FALSE),"Unknown"))</f>
        <v>Clear</v>
      </c>
      <c r="AB936" s="5" t="str">
        <f>IF($A936="","",TEXT($F936,"00")&amp;":00")</f>
        <v>13:00</v>
      </c>
      <c r="AC936" s="5" t="str">
        <f>IF($A936="","",VLOOKUP($F936,Lookups!$G$4:$H$8,2,TRUE))</f>
        <v>Midday (10-15)</v>
      </c>
      <c r="AD936" s="18">
        <f>IF($A936="","",IF($J936="","",ROUND($J936*41,1)))</f>
        <v>9.8</v>
      </c>
      <c r="AE936" s="18">
        <f>IF($A936="","",IF($R936="","",ROUND($R936*50,1)))</f>
        <v>11.4</v>
      </c>
      <c r="AF936" s="5">
        <f>IF($A936="","",IF($L936="","",ROUND($L936*100,0)))</f>
        <v>35</v>
      </c>
      <c r="AG936" s="18">
        <f>IF($A936="","",IF($M936="","",ROUND($M936*67,1)))</f>
        <v>13</v>
      </c>
      <c r="AH936" s="19">
        <f>IF($A936="","",IF($P936="","",IF($P936=0,0,$O936/$P936)))</f>
        <v>0.809090909090909</v>
      </c>
      <c r="AI936" s="5" t="str">
        <f>IF($A936="","",IF($P936="","",IF($P936&gt;=Lookups!$K$7,"High",IF($P936&lt;=Lookups!$K$8,"Low","Medium"))))</f>
        <v>High</v>
      </c>
      <c r="AJ936" s="5" t="str">
        <f>IF($A936="","",IF($AD936="","",IF($AD936&lt;5,"Under 5 C",IF($AD936&lt;10,"5-10 C",IF($AD936&lt;15,"10-15 C","15 C and above")))))</f>
        <v>5-10 C</v>
      </c>
      <c r="AK936" s="5">
        <f>IF($A936="","",IF($P936="","",$P936^2))</f>
        <v>12100</v>
      </c>
      <c r="AL936" s="18">
        <f>IF($V936&lt;&gt;1,"",AVERAGEIFS(Clean_Data!$P$2:$P$1001,Clean_Data!$F$2:$F$1001,$F936,Clean_Data!$W$2:$W$1001,$W936,Clean_Data!$V$2:$V$1001,1))</f>
        <v>67.1724137931034</v>
      </c>
      <c r="AM936" s="16">
        <f>IF($V936&lt;&gt;1,"",IFERROR(($P936-$AL936)/SQRT(MAX(0,(SUMIFS(Clean_Data!$AK$2:$AK$1001,Clean_Data!$F$2:$F$1001,$F936,Clean_Data!$W$2:$W$1001,$W936,Clean_Data!$V$2:$V$1001,1)-COUNTIFS(Clean_Data!$F$2:$F$1001,$F936,Clean_Data!$W$2:$W$1001,$W936,Clean_Data!$V$2:$V$1001,1)*$AL936^2)/(COUNTIFS(Clean_Data!$F$2:$F$1001,$F936,Clean_Data!$W$2:$W$1001,$W936,Clean_Data!$V$2:$V$1001,1)-1))),""))</f>
        <v>2.12101143506756</v>
      </c>
      <c r="AN936" s="5" t="str">
        <f>IF($AM936="","",IF($AM936&gt;=Lookups!$K$6,"High spike",IF($AM936&lt;=-Lookups!$K$6,"Unusual low","Normal")))</f>
        <v>Normal</v>
      </c>
      <c r="AO936" s="20">
        <f>IF($V936&lt;&gt;1,"",$P936+ROW()/100000)</f>
        <v>110.00936</v>
      </c>
      <c r="AP936" s="5">
        <f>IF($A936="","",IFERROR(MATCH($A936,Raw_D1!$A$2:$A$1001,0),""))</f>
        <v/>
      </c>
      <c r="AQ936" s="5">
        <f>IF($A936="","",IFERROR(MATCH($A936,Raw_D2!$B$2:$B$1001,0),""))</f>
        <v/>
      </c>
      <c r="AR936" s="5">
        <f>IF($A936="","",IFERROR(MATCH($A936,Raw_D3!$A$2:$A$1001,0),""))</f>
        <v>316</v>
      </c>
    </row>
    <row r="937" spans="1:44" x14ac:dyDescent="0.25">
      <c r="A937" s="5">
        <v>936</v>
      </c>
      <c r="B937" s="11">
        <f>IF($A937="","",IF($AP937&lt;&gt;"",INDEX(Raw_D1!$B$2:$B$1001,$AP937),IF($AR937&lt;&gt;"",INDEX(Raw_D3!$B$2:$B$1001,$AR937),"")))</f>
        <v>40585.0</v>
      </c>
      <c r="C937" s="5">
        <f>IF($A937="","",IF($AP937&lt;&gt;"",INDEX(Raw_D1!$C$2:$C$1001,$AP937),IF($AR937&lt;&gt;"",INDEX(Raw_D3!$C$2:$C$1001,$AR937),"")))</f>
        <v>1</v>
      </c>
      <c r="D937" s="5">
        <f>IF($A937="","",IF($AP937&lt;&gt;"",INDEX(Raw_D1!$D$2:$D$1001,$AP937),IF($AR937&lt;&gt;"",INDEX(Raw_D3!$D$2:$D$1001,$AR937),"")))</f>
        <v>0</v>
      </c>
      <c r="E937" s="5">
        <f>IF($A937="","",IF($AP937&lt;&gt;"",INDEX(Raw_D1!$E$2:$E$1001,$AP937),IF($AR937&lt;&gt;"",INDEX(Raw_D3!$E$2:$E$1001,$AR937),"")))</f>
        <v>2</v>
      </c>
      <c r="F937" s="5">
        <f>IF($A937="","",IF($AP937&lt;&gt;"",INDEX(Raw_D1!$F$2:$F$1001,$AP937),IF($AR937&lt;&gt;"",INDEX(Raw_D3!$F$2:$F$1001,$AR937),"")))</f>
        <v>14</v>
      </c>
      <c r="G937" s="5">
        <f>IF($A937="","",IF($AP937&lt;&gt;"",IF(INDEX(Raw_D1!$G$2:$G$1001,$AP937),1,0),IF($AR937&lt;&gt;"",IF(INDEX(Raw_D3!$G$2:$G$1001,$AR937),1,0),"")))</f>
        <v>0</v>
      </c>
      <c r="H937" s="5">
        <f>IF($A937="","",IF($AP937&lt;&gt;"",INDEX(Raw_D1!$H$2:$H$1001,$AP937),IF($AR937&lt;&gt;"",INDEX(Raw_D3!$H$2:$H$1001,$AR937),"")))</f>
        <v>5</v>
      </c>
      <c r="I937" s="5">
        <f>IF($A937="","",IF($AP937&lt;&gt;"",INDEX(Raw_D1!$I$2:$I$1001,$AP937),IF($AR937&lt;&gt;"",INDEX(Raw_D3!$I$2:$I$1001,$AR937),"")))</f>
        <v>1</v>
      </c>
      <c r="J937" s="16">
        <f>IF($A937="","",IF($AP937&lt;&gt;"",INDEX(Raw_D1!$J$2:$J$1001,$AP937),IF($AR937&lt;&gt;"",INDEX(Raw_D3!$J$2:$J$1001,$AR937),"")))</f>
        <v>0.3</v>
      </c>
      <c r="K937" s="17">
        <f>IF($A937="","",IF($AQ937&lt;&gt;"",IF(INDEX(Raw_D2!$C$2:$C$1001,$AQ937)="","",INDEX(Raw_D2!$C$2:$C$1001,$AQ937)),IF($AR937&lt;&gt;"",IF(INDEX(Raw_D3!$K$2:$K$1001,$AR937)="","",INDEX(Raw_D3!$K$2:$K$1001,$AR937)),"")))</f>
        <v>0.2879</v>
      </c>
      <c r="L937" s="16">
        <f>IF($A937="","",IF($AQ937&lt;&gt;"",IF(INDEX(Raw_D2!$D$2:$D$1001,$AQ937)="","",INDEX(Raw_D2!$D$2:$D$1001,$AQ937)),IF($AR937&lt;&gt;"",IF(INDEX(Raw_D3!$L$2:$L$1001,$AR937)="","",INDEX(Raw_D3!$L$2:$L$1001,$AR937)),"")))</f>
        <v>0.26</v>
      </c>
      <c r="M937" s="17">
        <f>IF($A937="","",IF($AQ937&lt;&gt;"",IF(INDEX(Raw_D2!$E$2:$E$1001,$AQ937)="","",INDEX(Raw_D2!$E$2:$E$1001,$AQ937)),IF($AR937&lt;&gt;"",IF(INDEX(Raw_D3!$M$2:$M$1001,$AR937)="","",INDEX(Raw_D3!$M$2:$M$1001,$AR937)),"")))</f>
        <v>0.2537</v>
      </c>
      <c r="N937" s="5">
        <f>IF($A937="","",IF($AQ937&lt;&gt;"",IF(INDEX(Raw_D2!$F$2:$F$1001,$AQ937)="","",INDEX(Raw_D2!$F$2:$F$1001,$AQ937)),IF($AR937&lt;&gt;"",IF(INDEX(Raw_D3!$N$2:$N$1001,$AR937)="","",INDEX(Raw_D3!$N$2:$N$1001,$AR937)),"")))</f>
        <v>17</v>
      </c>
      <c r="O937" s="5">
        <f>IF($A937="","",IF($AQ937&lt;&gt;"",IF(INDEX(Raw_D2!$G$2:$G$1001,$AQ937)="","",INDEX(Raw_D2!$G$2:$G$1001,$AQ937)),IF($AR937&lt;&gt;"",IF(INDEX(Raw_D3!$O$2:$O$1001,$AR937)="","",INDEX(Raw_D3!$O$2:$O$1001,$AR937)),"")))</f>
        <v>67</v>
      </c>
      <c r="P937" s="5">
        <f>IF($A937="","",IF($AQ937&lt;&gt;"",IF(INDEX(Raw_D2!$H$2:$H$1001,$AQ937)="","",INDEX(Raw_D2!$H$2:$H$1001,$AQ937)),IF($AR937&lt;&gt;"",IF(INDEX(Raw_D3!$P$2:$P$1001,$AR937)="","",INDEX(Raw_D3!$P$2:$P$1001,$AR937)),"")))</f>
        <v>84</v>
      </c>
      <c r="Q937" s="5" t="str">
        <f>IF($A937="","",IF(AND($AP937&lt;&gt;"",$AQ937&lt;&gt;""),"D1+D2",IF($AR937&lt;&gt;"","D3","Incomplete")))</f>
        <v>D3</v>
      </c>
      <c r="R937" s="17">
        <f>IF($A937="","",IF($K937="",IF($J937="","",ROUND(Lookups!$K$5+Lookups!$K$4*$J937,4)),$K937))</f>
        <v>0.2879</v>
      </c>
      <c r="S937" s="5" t="str">
        <f>IF($A937="","",IF($K937="","Imputed","Original"))</f>
        <v>Original</v>
      </c>
      <c r="T937" s="5" t="str">
        <f>IF($A937="","",IF($P937="","Missing",IF($P937=$N937+$O937,"OK","Mismatch")))</f>
        <v>OK</v>
      </c>
      <c r="U937" s="5" t="str">
        <f>IF($A937="","",IF(COUNTIF($A$2:$A937,$A937)&gt;1,"Duplicate","Unique"))</f>
        <v>Unique</v>
      </c>
      <c r="V937" s="5">
        <f>IF($A937="","",IF(AND($U937="Unique",ISNUMBER($P937)),1,0))</f>
        <v>1</v>
      </c>
      <c r="W937" s="5" t="str">
        <f>IF($A937="","",IF(OR($H937=0,$H937=6),"Weekend","Weekday"))</f>
        <v>Weekday</v>
      </c>
      <c r="X937" s="5" t="str">
        <f>IF($A937="","",TEXT($B937,"ddd"))</f>
        <v>Fri</v>
      </c>
      <c r="Y937" s="5" t="str">
        <f>IF($A937="","",TEXT($B937,"mmm"))</f>
        <v>Feb</v>
      </c>
      <c r="Z937" s="5" t="str">
        <f>IF($A937="","",IFERROR(VLOOKUP($C937,Lookups!$D$4:$E$7,2,FALSE),"Unknown"))</f>
        <v>Winter</v>
      </c>
      <c r="AA937" s="5" t="str">
        <f>IF($A937="","",IFERROR(VLOOKUP($I937,Lookups!$A$4:$B$7,2,FALSE),"Unknown"))</f>
        <v>Clear</v>
      </c>
      <c r="AB937" s="5" t="str">
        <f>IF($A937="","",TEXT($F937,"00")&amp;":00")</f>
        <v>14:00</v>
      </c>
      <c r="AC937" s="5" t="str">
        <f>IF($A937="","",VLOOKUP($F937,Lookups!$G$4:$H$8,2,TRUE))</f>
        <v>Midday (10-15)</v>
      </c>
      <c r="AD937" s="18">
        <f>IF($A937="","",IF($J937="","",ROUND($J937*41,1)))</f>
        <v>12.3</v>
      </c>
      <c r="AE937" s="18">
        <f>IF($A937="","",IF($R937="","",ROUND($R937*50,1)))</f>
        <v>14.4</v>
      </c>
      <c r="AF937" s="5">
        <f>IF($A937="","",IF($L937="","",ROUND($L937*100,0)))</f>
        <v>26</v>
      </c>
      <c r="AG937" s="18">
        <f>IF($A937="","",IF($M937="","",ROUND($M937*67,1)))</f>
        <v>17</v>
      </c>
      <c r="AH937" s="19">
        <f>IF($A937="","",IF($P937="","",IF($P937=0,0,$O937/$P937)))</f>
        <v>0.797619047619048</v>
      </c>
      <c r="AI937" s="5" t="str">
        <f>IF($A937="","",IF($P937="","",IF($P937&gt;=Lookups!$K$7,"High",IF($P937&lt;=Lookups!$K$8,"Low","Medium"))))</f>
        <v>High</v>
      </c>
      <c r="AJ937" s="5" t="str">
        <f>IF($A937="","",IF($AD937="","",IF($AD937&lt;5,"Under 5 C",IF($AD937&lt;10,"5-10 C",IF($AD937&lt;15,"10-15 C","15 C and above")))))</f>
        <v>10-15 C</v>
      </c>
      <c r="AK937" s="5">
        <f>IF($A937="","",IF($P937="","",$P937^2))</f>
        <v>7056</v>
      </c>
      <c r="AL937" s="18">
        <f>IF($V937&lt;&gt;1,"",AVERAGEIFS(Clean_Data!$P$2:$P$1001,Clean_Data!$F$2:$F$1001,$F937,Clean_Data!$W$2:$W$1001,$W937,Clean_Data!$V$2:$V$1001,1))</f>
        <v>60.551724137931</v>
      </c>
      <c r="AM937" s="16">
        <f>IF($V937&lt;&gt;1,"",IFERROR(($P937-$AL937)/SQRT(MAX(0,(SUMIFS(Clean_Data!$AK$2:$AK$1001,Clean_Data!$F$2:$F$1001,$F937,Clean_Data!$W$2:$W$1001,$W937,Clean_Data!$V$2:$V$1001,1)-COUNTIFS(Clean_Data!$F$2:$F$1001,$F937,Clean_Data!$W$2:$W$1001,$W937,Clean_Data!$V$2:$V$1001,1)*$AL937^2)/(COUNTIFS(Clean_Data!$F$2:$F$1001,$F937,Clean_Data!$W$2:$W$1001,$W937,Clean_Data!$V$2:$V$1001,1)-1))),""))</f>
        <v>1.42539865856376</v>
      </c>
      <c r="AN937" s="5" t="str">
        <f>IF($AM937="","",IF($AM937&gt;=Lookups!$K$6,"High spike",IF($AM937&lt;=-Lookups!$K$6,"Unusual low","Normal")))</f>
        <v>Normal</v>
      </c>
      <c r="AO937" s="20">
        <f>IF($V937&lt;&gt;1,"",$P937+ROW()/100000)</f>
        <v>84.00937</v>
      </c>
      <c r="AP937" s="5">
        <f>IF($A937="","",IFERROR(MATCH($A937,Raw_D1!$A$2:$A$1001,0),""))</f>
        <v/>
      </c>
      <c r="AQ937" s="5">
        <f>IF($A937="","",IFERROR(MATCH($A937,Raw_D2!$B$2:$B$1001,0),""))</f>
        <v/>
      </c>
      <c r="AR937" s="5">
        <f>IF($A937="","",IFERROR(MATCH($A937,Raw_D3!$A$2:$A$1001,0),""))</f>
        <v>317</v>
      </c>
    </row>
    <row r="938" spans="1:44" x14ac:dyDescent="0.25">
      <c r="A938" s="5">
        <v>937</v>
      </c>
      <c r="B938" s="11">
        <f>IF($A938="","",IF($AP938&lt;&gt;"",INDEX(Raw_D1!$B$2:$B$1001,$AP938),IF($AR938&lt;&gt;"",INDEX(Raw_D3!$B$2:$B$1001,$AR938),"")))</f>
        <v>40585.0</v>
      </c>
      <c r="C938" s="5">
        <f>IF($A938="","",IF($AP938&lt;&gt;"",INDEX(Raw_D1!$C$2:$C$1001,$AP938),IF($AR938&lt;&gt;"",INDEX(Raw_D3!$C$2:$C$1001,$AR938),"")))</f>
        <v>1</v>
      </c>
      <c r="D938" s="5">
        <f>IF($A938="","",IF($AP938&lt;&gt;"",INDEX(Raw_D1!$D$2:$D$1001,$AP938),IF($AR938&lt;&gt;"",INDEX(Raw_D3!$D$2:$D$1001,$AR938),"")))</f>
        <v>0</v>
      </c>
      <c r="E938" s="5">
        <f>IF($A938="","",IF($AP938&lt;&gt;"",INDEX(Raw_D1!$E$2:$E$1001,$AP938),IF($AR938&lt;&gt;"",INDEX(Raw_D3!$E$2:$E$1001,$AR938),"")))</f>
        <v>2</v>
      </c>
      <c r="F938" s="5">
        <f>IF($A938="","",IF($AP938&lt;&gt;"",INDEX(Raw_D1!$F$2:$F$1001,$AP938),IF($AR938&lt;&gt;"",INDEX(Raw_D3!$F$2:$F$1001,$AR938),"")))</f>
        <v>15</v>
      </c>
      <c r="G938" s="5">
        <f>IF($A938="","",IF($AP938&lt;&gt;"",IF(INDEX(Raw_D1!$G$2:$G$1001,$AP938),1,0),IF($AR938&lt;&gt;"",IF(INDEX(Raw_D3!$G$2:$G$1001,$AR938),1,0),"")))</f>
        <v>0</v>
      </c>
      <c r="H938" s="5">
        <f>IF($A938="","",IF($AP938&lt;&gt;"",INDEX(Raw_D1!$H$2:$H$1001,$AP938),IF($AR938&lt;&gt;"",INDEX(Raw_D3!$H$2:$H$1001,$AR938),"")))</f>
        <v>5</v>
      </c>
      <c r="I938" s="5">
        <f>IF($A938="","",IF($AP938&lt;&gt;"",INDEX(Raw_D1!$I$2:$I$1001,$AP938),IF($AR938&lt;&gt;"",INDEX(Raw_D3!$I$2:$I$1001,$AR938),"")))</f>
        <v>1</v>
      </c>
      <c r="J938" s="16">
        <f>IF($A938="","",IF($AP938&lt;&gt;"",INDEX(Raw_D1!$J$2:$J$1001,$AP938),IF($AR938&lt;&gt;"",INDEX(Raw_D3!$J$2:$J$1001,$AR938),"")))</f>
        <v>0.32</v>
      </c>
      <c r="K938" s="17">
        <f>IF($A938="","",IF($AQ938&lt;&gt;"",IF(INDEX(Raw_D2!$C$2:$C$1001,$AQ938)="","",INDEX(Raw_D2!$C$2:$C$1001,$AQ938)),IF($AR938&lt;&gt;"",IF(INDEX(Raw_D3!$K$2:$K$1001,$AR938)="","",INDEX(Raw_D3!$K$2:$K$1001,$AR938)),"")))</f>
        <v>0.3182</v>
      </c>
      <c r="L938" s="16">
        <f>IF($A938="","",IF($AQ938&lt;&gt;"",IF(INDEX(Raw_D2!$D$2:$D$1001,$AQ938)="","",INDEX(Raw_D2!$D$2:$D$1001,$AQ938)),IF($AR938&lt;&gt;"",IF(INDEX(Raw_D3!$L$2:$L$1001,$AR938)="","",INDEX(Raw_D3!$L$2:$L$1001,$AR938)),"")))</f>
        <v>0.21</v>
      </c>
      <c r="M938" s="17">
        <f>IF($A938="","",IF($AQ938&lt;&gt;"",IF(INDEX(Raw_D2!$E$2:$E$1001,$AQ938)="","",INDEX(Raw_D2!$E$2:$E$1001,$AQ938)),IF($AR938&lt;&gt;"",IF(INDEX(Raw_D3!$M$2:$M$1001,$AR938)="","",INDEX(Raw_D3!$M$2:$M$1001,$AR938)),"")))</f>
        <v>0.1642</v>
      </c>
      <c r="N938" s="5">
        <f>IF($A938="","",IF($AQ938&lt;&gt;"",IF(INDEX(Raw_D2!$F$2:$F$1001,$AQ938)="","",INDEX(Raw_D2!$F$2:$F$1001,$AQ938)),IF($AR938&lt;&gt;"",IF(INDEX(Raw_D3!$N$2:$N$1001,$AR938)="","",INDEX(Raw_D3!$N$2:$N$1001,$AR938)),"")))</f>
        <v>12</v>
      </c>
      <c r="O938" s="5">
        <f>IF($A938="","",IF($AQ938&lt;&gt;"",IF(INDEX(Raw_D2!$G$2:$G$1001,$AQ938)="","",INDEX(Raw_D2!$G$2:$G$1001,$AQ938)),IF($AR938&lt;&gt;"",IF(INDEX(Raw_D3!$O$2:$O$1001,$AR938)="","",INDEX(Raw_D3!$O$2:$O$1001,$AR938)),"")))</f>
        <v>62</v>
      </c>
      <c r="P938" s="5">
        <f>IF($A938="","",IF($AQ938&lt;&gt;"",IF(INDEX(Raw_D2!$H$2:$H$1001,$AQ938)="","",INDEX(Raw_D2!$H$2:$H$1001,$AQ938)),IF($AR938&lt;&gt;"",IF(INDEX(Raw_D3!$P$2:$P$1001,$AR938)="","",INDEX(Raw_D3!$P$2:$P$1001,$AR938)),"")))</f>
        <v>74</v>
      </c>
      <c r="Q938" s="5" t="str">
        <f>IF($A938="","",IF(AND($AP938&lt;&gt;"",$AQ938&lt;&gt;""),"D1+D2",IF($AR938&lt;&gt;"","D3","Incomplete")))</f>
        <v>D3</v>
      </c>
      <c r="R938" s="17">
        <f>IF($A938="","",IF($K938="",IF($J938="","",ROUND(Lookups!$K$5+Lookups!$K$4*$J938,4)),$K938))</f>
        <v>0.3182</v>
      </c>
      <c r="S938" s="5" t="str">
        <f>IF($A938="","",IF($K938="","Imputed","Original"))</f>
        <v>Original</v>
      </c>
      <c r="T938" s="5" t="str">
        <f>IF($A938="","",IF($P938="","Missing",IF($P938=$N938+$O938,"OK","Mismatch")))</f>
        <v>OK</v>
      </c>
      <c r="U938" s="5" t="str">
        <f>IF($A938="","",IF(COUNTIF($A$2:$A938,$A938)&gt;1,"Duplicate","Unique"))</f>
        <v>Unique</v>
      </c>
      <c r="V938" s="5">
        <f>IF($A938="","",IF(AND($U938="Unique",ISNUMBER($P938)),1,0))</f>
        <v>1</v>
      </c>
      <c r="W938" s="5" t="str">
        <f>IF($A938="","",IF(OR($H938=0,$H938=6),"Weekend","Weekday"))</f>
        <v>Weekday</v>
      </c>
      <c r="X938" s="5" t="str">
        <f>IF($A938="","",TEXT($B938,"ddd"))</f>
        <v>Fri</v>
      </c>
      <c r="Y938" s="5" t="str">
        <f>IF($A938="","",TEXT($B938,"mmm"))</f>
        <v>Feb</v>
      </c>
      <c r="Z938" s="5" t="str">
        <f>IF($A938="","",IFERROR(VLOOKUP($C938,Lookups!$D$4:$E$7,2,FALSE),"Unknown"))</f>
        <v>Winter</v>
      </c>
      <c r="AA938" s="5" t="str">
        <f>IF($A938="","",IFERROR(VLOOKUP($I938,Lookups!$A$4:$B$7,2,FALSE),"Unknown"))</f>
        <v>Clear</v>
      </c>
      <c r="AB938" s="5" t="str">
        <f>IF($A938="","",TEXT($F938,"00")&amp;":00")</f>
        <v>15:00</v>
      </c>
      <c r="AC938" s="5" t="str">
        <f>IF($A938="","",VLOOKUP($F938,Lookups!$G$4:$H$8,2,TRUE))</f>
        <v>Midday (10-15)</v>
      </c>
      <c r="AD938" s="18">
        <f>IF($A938="","",IF($J938="","",ROUND($J938*41,1)))</f>
        <v>13.1</v>
      </c>
      <c r="AE938" s="18">
        <f>IF($A938="","",IF($R938="","",ROUND($R938*50,1)))</f>
        <v>15.9</v>
      </c>
      <c r="AF938" s="5">
        <f>IF($A938="","",IF($L938="","",ROUND($L938*100,0)))</f>
        <v>21</v>
      </c>
      <c r="AG938" s="18">
        <f>IF($A938="","",IF($M938="","",ROUND($M938*67,1)))</f>
        <v>11</v>
      </c>
      <c r="AH938" s="19">
        <f>IF($A938="","",IF($P938="","",IF($P938=0,0,$O938/$P938)))</f>
        <v>0.837837837837838</v>
      </c>
      <c r="AI938" s="5" t="str">
        <f>IF($A938="","",IF($P938="","",IF($P938&gt;=Lookups!$K$7,"High",IF($P938&lt;=Lookups!$K$8,"Low","Medium"))))</f>
        <v>Medium</v>
      </c>
      <c r="AJ938" s="5" t="str">
        <f>IF($A938="","",IF($AD938="","",IF($AD938&lt;5,"Under 5 C",IF($AD938&lt;10,"5-10 C",IF($AD938&lt;15,"10-15 C","15 C and above")))))</f>
        <v>10-15 C</v>
      </c>
      <c r="AK938" s="5">
        <f>IF($A938="","",IF($P938="","",$P938^2))</f>
        <v>5476</v>
      </c>
      <c r="AL938" s="18">
        <f>IF($V938&lt;&gt;1,"",AVERAGEIFS(Clean_Data!$P$2:$P$1001,Clean_Data!$F$2:$F$1001,$F938,Clean_Data!$W$2:$W$1001,$W938,Clean_Data!$V$2:$V$1001,1))</f>
        <v>61.4827586206897</v>
      </c>
      <c r="AM938" s="16">
        <f>IF($V938&lt;&gt;1,"",IFERROR(($P938-$AL938)/SQRT(MAX(0,(SUMIFS(Clean_Data!$AK$2:$AK$1001,Clean_Data!$F$2:$F$1001,$F938,Clean_Data!$W$2:$W$1001,$W938,Clean_Data!$V$2:$V$1001,1)-COUNTIFS(Clean_Data!$F$2:$F$1001,$F938,Clean_Data!$W$2:$W$1001,$W938,Clean_Data!$V$2:$V$1001,1)*$AL938^2)/(COUNTIFS(Clean_Data!$F$2:$F$1001,$F938,Clean_Data!$W$2:$W$1001,$W938,Clean_Data!$V$2:$V$1001,1)-1))),""))</f>
        <v>0.830325630435997</v>
      </c>
      <c r="AN938" s="5" t="str">
        <f>IF($AM938="","",IF($AM938&gt;=Lookups!$K$6,"High spike",IF($AM938&lt;=-Lookups!$K$6,"Unusual low","Normal")))</f>
        <v>Normal</v>
      </c>
      <c r="AO938" s="20">
        <f>IF($V938&lt;&gt;1,"",$P938+ROW()/100000)</f>
        <v>74.00938</v>
      </c>
      <c r="AP938" s="5">
        <f>IF($A938="","",IFERROR(MATCH($A938,Raw_D1!$A$2:$A$1001,0),""))</f>
        <v/>
      </c>
      <c r="AQ938" s="5">
        <f>IF($A938="","",IFERROR(MATCH($A938,Raw_D2!$B$2:$B$1001,0),""))</f>
        <v/>
      </c>
      <c r="AR938" s="5">
        <f>IF($A938="","",IFERROR(MATCH($A938,Raw_D3!$A$2:$A$1001,0),""))</f>
        <v>318</v>
      </c>
    </row>
    <row r="939" spans="1:44" x14ac:dyDescent="0.25">
      <c r="A939" s="5">
        <v>938</v>
      </c>
      <c r="B939" s="11">
        <f>IF($A939="","",IF($AP939&lt;&gt;"",INDEX(Raw_D1!$B$2:$B$1001,$AP939),IF($AR939&lt;&gt;"",INDEX(Raw_D3!$B$2:$B$1001,$AR939),"")))</f>
        <v>40585.0</v>
      </c>
      <c r="C939" s="5">
        <f>IF($A939="","",IF($AP939&lt;&gt;"",INDEX(Raw_D1!$C$2:$C$1001,$AP939),IF($AR939&lt;&gt;"",INDEX(Raw_D3!$C$2:$C$1001,$AR939),"")))</f>
        <v>1</v>
      </c>
      <c r="D939" s="5">
        <f>IF($A939="","",IF($AP939&lt;&gt;"",INDEX(Raw_D1!$D$2:$D$1001,$AP939),IF($AR939&lt;&gt;"",INDEX(Raw_D3!$D$2:$D$1001,$AR939),"")))</f>
        <v>0</v>
      </c>
      <c r="E939" s="5">
        <f>IF($A939="","",IF($AP939&lt;&gt;"",INDEX(Raw_D1!$E$2:$E$1001,$AP939),IF($AR939&lt;&gt;"",INDEX(Raw_D3!$E$2:$E$1001,$AR939),"")))</f>
        <v>2</v>
      </c>
      <c r="F939" s="5">
        <f>IF($A939="","",IF($AP939&lt;&gt;"",INDEX(Raw_D1!$F$2:$F$1001,$AP939),IF($AR939&lt;&gt;"",INDEX(Raw_D3!$F$2:$F$1001,$AR939),"")))</f>
        <v>16</v>
      </c>
      <c r="G939" s="5">
        <f>IF($A939="","",IF($AP939&lt;&gt;"",IF(INDEX(Raw_D1!$G$2:$G$1001,$AP939),1,0),IF($AR939&lt;&gt;"",IF(INDEX(Raw_D3!$G$2:$G$1001,$AR939),1,0),"")))</f>
        <v>0</v>
      </c>
      <c r="H939" s="5">
        <f>IF($A939="","",IF($AP939&lt;&gt;"",INDEX(Raw_D1!$H$2:$H$1001,$AP939),IF($AR939&lt;&gt;"",INDEX(Raw_D3!$H$2:$H$1001,$AR939),"")))</f>
        <v>5</v>
      </c>
      <c r="I939" s="5">
        <f>IF($A939="","",IF($AP939&lt;&gt;"",INDEX(Raw_D1!$I$2:$I$1001,$AP939),IF($AR939&lt;&gt;"",INDEX(Raw_D3!$I$2:$I$1001,$AR939),"")))</f>
        <v>1</v>
      </c>
      <c r="J939" s="16">
        <f>IF($A939="","",IF($AP939&lt;&gt;"",INDEX(Raw_D1!$J$2:$J$1001,$AP939),IF($AR939&lt;&gt;"",INDEX(Raw_D3!$J$2:$J$1001,$AR939),"")))</f>
        <v>0.3</v>
      </c>
      <c r="K939" s="17">
        <f>IF($A939="","",IF($AQ939&lt;&gt;"",IF(INDEX(Raw_D2!$C$2:$C$1001,$AQ939)="","",INDEX(Raw_D2!$C$2:$C$1001,$AQ939)),IF($AR939&lt;&gt;"",IF(INDEX(Raw_D3!$K$2:$K$1001,$AR939)="","",INDEX(Raw_D3!$K$2:$K$1001,$AR939)),"")))</f>
        <v>0.2879</v>
      </c>
      <c r="L939" s="16">
        <f>IF($A939="","",IF($AQ939&lt;&gt;"",IF(INDEX(Raw_D2!$D$2:$D$1001,$AQ939)="","",INDEX(Raw_D2!$D$2:$D$1001,$AQ939)),IF($AR939&lt;&gt;"",IF(INDEX(Raw_D3!$L$2:$L$1001,$AR939)="","",INDEX(Raw_D3!$L$2:$L$1001,$AR939)),"")))</f>
        <v>0.28</v>
      </c>
      <c r="M939" s="17">
        <f>IF($A939="","",IF($AQ939&lt;&gt;"",IF(INDEX(Raw_D2!$E$2:$E$1001,$AQ939)="","",INDEX(Raw_D2!$E$2:$E$1001,$AQ939)),IF($AR939&lt;&gt;"",IF(INDEX(Raw_D3!$M$2:$M$1001,$AR939)="","",INDEX(Raw_D3!$M$2:$M$1001,$AR939)),"")))</f>
        <v>0.194</v>
      </c>
      <c r="N939" s="5">
        <f>IF($A939="","",IF($AQ939&lt;&gt;"",IF(INDEX(Raw_D2!$F$2:$F$1001,$AQ939)="","",INDEX(Raw_D2!$F$2:$F$1001,$AQ939)),IF($AR939&lt;&gt;"",IF(INDEX(Raw_D3!$N$2:$N$1001,$AR939)="","",INDEX(Raw_D3!$N$2:$N$1001,$AR939)),"")))</f>
        <v>14</v>
      </c>
      <c r="O939" s="5">
        <f>IF($A939="","",IF($AQ939&lt;&gt;"",IF(INDEX(Raw_D2!$G$2:$G$1001,$AQ939)="","",INDEX(Raw_D2!$G$2:$G$1001,$AQ939)),IF($AR939&lt;&gt;"",IF(INDEX(Raw_D3!$O$2:$O$1001,$AR939)="","",INDEX(Raw_D3!$O$2:$O$1001,$AR939)),"")))</f>
        <v>111</v>
      </c>
      <c r="P939" s="5">
        <f>IF($A939="","",IF($AQ939&lt;&gt;"",IF(INDEX(Raw_D2!$H$2:$H$1001,$AQ939)="","",INDEX(Raw_D2!$H$2:$H$1001,$AQ939)),IF($AR939&lt;&gt;"",IF(INDEX(Raw_D3!$P$2:$P$1001,$AR939)="","",INDEX(Raw_D3!$P$2:$P$1001,$AR939)),"")))</f>
        <v>125</v>
      </c>
      <c r="Q939" s="5" t="str">
        <f>IF($A939="","",IF(AND($AP939&lt;&gt;"",$AQ939&lt;&gt;""),"D1+D2",IF($AR939&lt;&gt;"","D3","Incomplete")))</f>
        <v>D3</v>
      </c>
      <c r="R939" s="17">
        <f>IF($A939="","",IF($K939="",IF($J939="","",ROUND(Lookups!$K$5+Lookups!$K$4*$J939,4)),$K939))</f>
        <v>0.2879</v>
      </c>
      <c r="S939" s="5" t="str">
        <f>IF($A939="","",IF($K939="","Imputed","Original"))</f>
        <v>Original</v>
      </c>
      <c r="T939" s="5" t="str">
        <f>IF($A939="","",IF($P939="","Missing",IF($P939=$N939+$O939,"OK","Mismatch")))</f>
        <v>OK</v>
      </c>
      <c r="U939" s="5" t="str">
        <f>IF($A939="","",IF(COUNTIF($A$2:$A939,$A939)&gt;1,"Duplicate","Unique"))</f>
        <v>Unique</v>
      </c>
      <c r="V939" s="5">
        <f>IF($A939="","",IF(AND($U939="Unique",ISNUMBER($P939)),1,0))</f>
        <v>1</v>
      </c>
      <c r="W939" s="5" t="str">
        <f>IF($A939="","",IF(OR($H939=0,$H939=6),"Weekend","Weekday"))</f>
        <v>Weekday</v>
      </c>
      <c r="X939" s="5" t="str">
        <f>IF($A939="","",TEXT($B939,"ddd"))</f>
        <v>Fri</v>
      </c>
      <c r="Y939" s="5" t="str">
        <f>IF($A939="","",TEXT($B939,"mmm"))</f>
        <v>Feb</v>
      </c>
      <c r="Z939" s="5" t="str">
        <f>IF($A939="","",IFERROR(VLOOKUP($C939,Lookups!$D$4:$E$7,2,FALSE),"Unknown"))</f>
        <v>Winter</v>
      </c>
      <c r="AA939" s="5" t="str">
        <f>IF($A939="","",IFERROR(VLOOKUP($I939,Lookups!$A$4:$B$7,2,FALSE),"Unknown"))</f>
        <v>Clear</v>
      </c>
      <c r="AB939" s="5" t="str">
        <f>IF($A939="","",TEXT($F939,"00")&amp;":00")</f>
        <v>16:00</v>
      </c>
      <c r="AC939" s="5" t="str">
        <f>IF($A939="","",VLOOKUP($F939,Lookups!$G$4:$H$8,2,TRUE))</f>
        <v>Evening Peak (16-19)</v>
      </c>
      <c r="AD939" s="18">
        <f>IF($A939="","",IF($J939="","",ROUND($J939*41,1)))</f>
        <v>12.3</v>
      </c>
      <c r="AE939" s="18">
        <f>IF($A939="","",IF($R939="","",ROUND($R939*50,1)))</f>
        <v>14.4</v>
      </c>
      <c r="AF939" s="5">
        <f>IF($A939="","",IF($L939="","",ROUND($L939*100,0)))</f>
        <v>28</v>
      </c>
      <c r="AG939" s="18">
        <f>IF($A939="","",IF($M939="","",ROUND($M939*67,1)))</f>
        <v>13</v>
      </c>
      <c r="AH939" s="19">
        <f>IF($A939="","",IF($P939="","",IF($P939=0,0,$O939/$P939)))</f>
        <v>0.888</v>
      </c>
      <c r="AI939" s="5" t="str">
        <f>IF($A939="","",IF($P939="","",IF($P939&gt;=Lookups!$K$7,"High",IF($P939&lt;=Lookups!$K$8,"Low","Medium"))))</f>
        <v>High</v>
      </c>
      <c r="AJ939" s="5" t="str">
        <f>IF($A939="","",IF($AD939="","",IF($AD939&lt;5,"Under 5 C",IF($AD939&lt;10,"5-10 C",IF($AD939&lt;15,"10-15 C","15 C and above")))))</f>
        <v>10-15 C</v>
      </c>
      <c r="AK939" s="5">
        <f>IF($A939="","",IF($P939="","",$P939^2))</f>
        <v>15625</v>
      </c>
      <c r="AL939" s="18">
        <f>IF($V939&lt;&gt;1,"",AVERAGEIFS(Clean_Data!$P$2:$P$1001,Clean_Data!$F$2:$F$1001,$F939,Clean_Data!$W$2:$W$1001,$W939,Clean_Data!$V$2:$V$1001,1))</f>
        <v>82.6333333333333</v>
      </c>
      <c r="AM939" s="16">
        <f>IF($V939&lt;&gt;1,"",IFERROR(($P939-$AL939)/SQRT(MAX(0,(SUMIFS(Clean_Data!$AK$2:$AK$1001,Clean_Data!$F$2:$F$1001,$F939,Clean_Data!$W$2:$W$1001,$W939,Clean_Data!$V$2:$V$1001,1)-COUNTIFS(Clean_Data!$F$2:$F$1001,$F939,Clean_Data!$W$2:$W$1001,$W939,Clean_Data!$V$2:$V$1001,1)*$AL939^2)/(COUNTIFS(Clean_Data!$F$2:$F$1001,$F939,Clean_Data!$W$2:$W$1001,$W939,Clean_Data!$V$2:$V$1001,1)-1))),""))</f>
        <v>2.04236793028348</v>
      </c>
      <c r="AN939" s="5" t="str">
        <f>IF($AM939="","",IF($AM939&gt;=Lookups!$K$6,"High spike",IF($AM939&lt;=-Lookups!$K$6,"Unusual low","Normal")))</f>
        <v>Normal</v>
      </c>
      <c r="AO939" s="20">
        <f>IF($V939&lt;&gt;1,"",$P939+ROW()/100000)</f>
        <v>125.00939</v>
      </c>
      <c r="AP939" s="5">
        <f>IF($A939="","",IFERROR(MATCH($A939,Raw_D1!$A$2:$A$1001,0),""))</f>
        <v/>
      </c>
      <c r="AQ939" s="5">
        <f>IF($A939="","",IFERROR(MATCH($A939,Raw_D2!$B$2:$B$1001,0),""))</f>
        <v/>
      </c>
      <c r="AR939" s="5">
        <f>IF($A939="","",IFERROR(MATCH($A939,Raw_D3!$A$2:$A$1001,0),""))</f>
        <v>319</v>
      </c>
    </row>
    <row r="940" spans="1:44" x14ac:dyDescent="0.25">
      <c r="A940" s="5">
        <v>939</v>
      </c>
      <c r="B940" s="11">
        <f>IF($A940="","",IF($AP940&lt;&gt;"",INDEX(Raw_D1!$B$2:$B$1001,$AP940),IF($AR940&lt;&gt;"",INDEX(Raw_D3!$B$2:$B$1001,$AR940),"")))</f>
        <v>40585.0</v>
      </c>
      <c r="C940" s="5">
        <f>IF($A940="","",IF($AP940&lt;&gt;"",INDEX(Raw_D1!$C$2:$C$1001,$AP940),IF($AR940&lt;&gt;"",INDEX(Raw_D3!$C$2:$C$1001,$AR940),"")))</f>
        <v>1</v>
      </c>
      <c r="D940" s="5">
        <f>IF($A940="","",IF($AP940&lt;&gt;"",INDEX(Raw_D1!$D$2:$D$1001,$AP940),IF($AR940&lt;&gt;"",INDEX(Raw_D3!$D$2:$D$1001,$AR940),"")))</f>
        <v>0</v>
      </c>
      <c r="E940" s="5">
        <f>IF($A940="","",IF($AP940&lt;&gt;"",INDEX(Raw_D1!$E$2:$E$1001,$AP940),IF($AR940&lt;&gt;"",INDEX(Raw_D3!$E$2:$E$1001,$AR940),"")))</f>
        <v>2</v>
      </c>
      <c r="F940" s="5">
        <f>IF($A940="","",IF($AP940&lt;&gt;"",INDEX(Raw_D1!$F$2:$F$1001,$AP940),IF($AR940&lt;&gt;"",INDEX(Raw_D3!$F$2:$F$1001,$AR940),"")))</f>
        <v>17</v>
      </c>
      <c r="G940" s="5">
        <f>IF($A940="","",IF($AP940&lt;&gt;"",IF(INDEX(Raw_D1!$G$2:$G$1001,$AP940),1,0),IF($AR940&lt;&gt;"",IF(INDEX(Raw_D3!$G$2:$G$1001,$AR940),1,0),"")))</f>
        <v>0</v>
      </c>
      <c r="H940" s="5">
        <f>IF($A940="","",IF($AP940&lt;&gt;"",INDEX(Raw_D1!$H$2:$H$1001,$AP940),IF($AR940&lt;&gt;"",INDEX(Raw_D3!$H$2:$H$1001,$AR940),"")))</f>
        <v>5</v>
      </c>
      <c r="I940" s="5">
        <f>IF($A940="","",IF($AP940&lt;&gt;"",INDEX(Raw_D1!$I$2:$I$1001,$AP940),IF($AR940&lt;&gt;"",INDEX(Raw_D3!$I$2:$I$1001,$AR940),"")))</f>
        <v>1</v>
      </c>
      <c r="J940" s="16">
        <f>IF($A940="","",IF($AP940&lt;&gt;"",INDEX(Raw_D1!$J$2:$J$1001,$AP940),IF($AR940&lt;&gt;"",INDEX(Raw_D3!$J$2:$J$1001,$AR940),"")))</f>
        <v>0.3</v>
      </c>
      <c r="K940" s="17">
        <f>IF($A940="","",IF($AQ940&lt;&gt;"",IF(INDEX(Raw_D2!$C$2:$C$1001,$AQ940)="","",INDEX(Raw_D2!$C$2:$C$1001,$AQ940)),IF($AR940&lt;&gt;"",IF(INDEX(Raw_D3!$K$2:$K$1001,$AR940)="","",INDEX(Raw_D3!$K$2:$K$1001,$AR940)),"")))</f>
        <v>0.3333</v>
      </c>
      <c r="L940" s="16">
        <f>IF($A940="","",IF($AQ940&lt;&gt;"",IF(INDEX(Raw_D2!$D$2:$D$1001,$AQ940)="","",INDEX(Raw_D2!$D$2:$D$1001,$AQ940)),IF($AR940&lt;&gt;"",IF(INDEX(Raw_D3!$L$2:$L$1001,$AR940)="","",INDEX(Raw_D3!$L$2:$L$1001,$AR940)),"")))</f>
        <v>0.24</v>
      </c>
      <c r="M940" s="17">
        <f>IF($A940="","",IF($AQ940&lt;&gt;"",IF(INDEX(Raw_D2!$E$2:$E$1001,$AQ940)="","",INDEX(Raw_D2!$E$2:$E$1001,$AQ940)),IF($AR940&lt;&gt;"",IF(INDEX(Raw_D3!$M$2:$M$1001,$AR940)="","",INDEX(Raw_D3!$M$2:$M$1001,$AR940)),"")))</f>
        <v>0</v>
      </c>
      <c r="N940" s="5">
        <f>IF($A940="","",IF($AQ940&lt;&gt;"",IF(INDEX(Raw_D2!$F$2:$F$1001,$AQ940)="","",INDEX(Raw_D2!$F$2:$F$1001,$AQ940)),IF($AR940&lt;&gt;"",IF(INDEX(Raw_D3!$N$2:$N$1001,$AR940)="","",INDEX(Raw_D3!$N$2:$N$1001,$AR940)),"")))</f>
        <v>18</v>
      </c>
      <c r="O940" s="5">
        <f>IF($A940="","",IF($AQ940&lt;&gt;"",IF(INDEX(Raw_D2!$G$2:$G$1001,$AQ940)="","",INDEX(Raw_D2!$G$2:$G$1001,$AQ940)),IF($AR940&lt;&gt;"",IF(INDEX(Raw_D3!$O$2:$O$1001,$AR940)="","",INDEX(Raw_D3!$O$2:$O$1001,$AR940)),"")))</f>
        <v>193</v>
      </c>
      <c r="P940" s="5">
        <f>IF($A940="","",IF($AQ940&lt;&gt;"",IF(INDEX(Raw_D2!$H$2:$H$1001,$AQ940)="","",INDEX(Raw_D2!$H$2:$H$1001,$AQ940)),IF($AR940&lt;&gt;"",IF(INDEX(Raw_D3!$P$2:$P$1001,$AR940)="","",INDEX(Raw_D3!$P$2:$P$1001,$AR940)),"")))</f>
        <v>211</v>
      </c>
      <c r="Q940" s="5" t="str">
        <f>IF($A940="","",IF(AND($AP940&lt;&gt;"",$AQ940&lt;&gt;""),"D1+D2",IF($AR940&lt;&gt;"","D3","Incomplete")))</f>
        <v>D3</v>
      </c>
      <c r="R940" s="17">
        <f>IF($A940="","",IF($K940="",IF($J940="","",ROUND(Lookups!$K$5+Lookups!$K$4*$J940,4)),$K940))</f>
        <v>0.3333</v>
      </c>
      <c r="S940" s="5" t="str">
        <f>IF($A940="","",IF($K940="","Imputed","Original"))</f>
        <v>Original</v>
      </c>
      <c r="T940" s="5" t="str">
        <f>IF($A940="","",IF($P940="","Missing",IF($P940=$N940+$O940,"OK","Mismatch")))</f>
        <v>OK</v>
      </c>
      <c r="U940" s="5" t="str">
        <f>IF($A940="","",IF(COUNTIF($A$2:$A940,$A940)&gt;1,"Duplicate","Unique"))</f>
        <v>Unique</v>
      </c>
      <c r="V940" s="5">
        <f>IF($A940="","",IF(AND($U940="Unique",ISNUMBER($P940)),1,0))</f>
        <v>1</v>
      </c>
      <c r="W940" s="5" t="str">
        <f>IF($A940="","",IF(OR($H940=0,$H940=6),"Weekend","Weekday"))</f>
        <v>Weekday</v>
      </c>
      <c r="X940" s="5" t="str">
        <f>IF($A940="","",TEXT($B940,"ddd"))</f>
        <v>Fri</v>
      </c>
      <c r="Y940" s="5" t="str">
        <f>IF($A940="","",TEXT($B940,"mmm"))</f>
        <v>Feb</v>
      </c>
      <c r="Z940" s="5" t="str">
        <f>IF($A940="","",IFERROR(VLOOKUP($C940,Lookups!$D$4:$E$7,2,FALSE),"Unknown"))</f>
        <v>Winter</v>
      </c>
      <c r="AA940" s="5" t="str">
        <f>IF($A940="","",IFERROR(VLOOKUP($I940,Lookups!$A$4:$B$7,2,FALSE),"Unknown"))</f>
        <v>Clear</v>
      </c>
      <c r="AB940" s="5" t="str">
        <f>IF($A940="","",TEXT($F940,"00")&amp;":00")</f>
        <v>17:00</v>
      </c>
      <c r="AC940" s="5" t="str">
        <f>IF($A940="","",VLOOKUP($F940,Lookups!$G$4:$H$8,2,TRUE))</f>
        <v>Evening Peak (16-19)</v>
      </c>
      <c r="AD940" s="18">
        <f>IF($A940="","",IF($J940="","",ROUND($J940*41,1)))</f>
        <v>12.3</v>
      </c>
      <c r="AE940" s="18">
        <f>IF($A940="","",IF($R940="","",ROUND($R940*50,1)))</f>
        <v>16.7</v>
      </c>
      <c r="AF940" s="5">
        <f>IF($A940="","",IF($L940="","",ROUND($L940*100,0)))</f>
        <v>24</v>
      </c>
      <c r="AG940" s="18">
        <f>IF($A940="","",IF($M940="","",ROUND($M940*67,1)))</f>
        <v>0</v>
      </c>
      <c r="AH940" s="19">
        <f>IF($A940="","",IF($P940="","",IF($P940=0,0,$O940/$P940)))</f>
        <v>0.914691943127962</v>
      </c>
      <c r="AI940" s="5" t="str">
        <f>IF($A940="","",IF($P940="","",IF($P940&gt;=Lookups!$K$7,"High",IF($P940&lt;=Lookups!$K$8,"Low","Medium"))))</f>
        <v>High</v>
      </c>
      <c r="AJ940" s="5" t="str">
        <f>IF($A940="","",IF($AD940="","",IF($AD940&lt;5,"Under 5 C",IF($AD940&lt;10,"5-10 C",IF($AD940&lt;15,"10-15 C","15 C and above")))))</f>
        <v>10-15 C</v>
      </c>
      <c r="AK940" s="5">
        <f>IF($A940="","",IF($P940="","",$P940^2))</f>
        <v>44521</v>
      </c>
      <c r="AL940" s="18">
        <f>IF($V940&lt;&gt;1,"",AVERAGEIFS(Clean_Data!$P$2:$P$1001,Clean_Data!$F$2:$F$1001,$F940,Clean_Data!$W$2:$W$1001,$W940,Clean_Data!$V$2:$V$1001,1))</f>
        <v>165.566666666667</v>
      </c>
      <c r="AM940" s="16">
        <f>IF($V940&lt;&gt;1,"",IFERROR(($P940-$AL940)/SQRT(MAX(0,(SUMIFS(Clean_Data!$AK$2:$AK$1001,Clean_Data!$F$2:$F$1001,$F940,Clean_Data!$W$2:$W$1001,$W940,Clean_Data!$V$2:$V$1001,1)-COUNTIFS(Clean_Data!$F$2:$F$1001,$F940,Clean_Data!$W$2:$W$1001,$W940,Clean_Data!$V$2:$V$1001,1)*$AL940^2)/(COUNTIFS(Clean_Data!$F$2:$F$1001,$F940,Clean_Data!$W$2:$W$1001,$W940,Clean_Data!$V$2:$V$1001,1)-1))),""))</f>
        <v>1.03226906174232</v>
      </c>
      <c r="AN940" s="5" t="str">
        <f>IF($AM940="","",IF($AM940&gt;=Lookups!$K$6,"High spike",IF($AM940&lt;=-Lookups!$K$6,"Unusual low","Normal")))</f>
        <v>Normal</v>
      </c>
      <c r="AO940" s="20">
        <f>IF($V940&lt;&gt;1,"",$P940+ROW()/100000)</f>
        <v>211.0094</v>
      </c>
      <c r="AP940" s="5">
        <f>IF($A940="","",IFERROR(MATCH($A940,Raw_D1!$A$2:$A$1001,0),""))</f>
        <v/>
      </c>
      <c r="AQ940" s="5">
        <f>IF($A940="","",IFERROR(MATCH($A940,Raw_D2!$B$2:$B$1001,0),""))</f>
        <v/>
      </c>
      <c r="AR940" s="5">
        <f>IF($A940="","",IFERROR(MATCH($A940,Raw_D3!$A$2:$A$1001,0),""))</f>
        <v>320</v>
      </c>
    </row>
    <row r="941" spans="1:44" x14ac:dyDescent="0.25">
      <c r="A941" s="5">
        <v>940</v>
      </c>
      <c r="B941" s="11">
        <f>IF($A941="","",IF($AP941&lt;&gt;"",INDEX(Raw_D1!$B$2:$B$1001,$AP941),IF($AR941&lt;&gt;"",INDEX(Raw_D3!$B$2:$B$1001,$AR941),"")))</f>
        <v>40585.0</v>
      </c>
      <c r="C941" s="5">
        <f>IF($A941="","",IF($AP941&lt;&gt;"",INDEX(Raw_D1!$C$2:$C$1001,$AP941),IF($AR941&lt;&gt;"",INDEX(Raw_D3!$C$2:$C$1001,$AR941),"")))</f>
        <v>1</v>
      </c>
      <c r="D941" s="5">
        <f>IF($A941="","",IF($AP941&lt;&gt;"",INDEX(Raw_D1!$D$2:$D$1001,$AP941),IF($AR941&lt;&gt;"",INDEX(Raw_D3!$D$2:$D$1001,$AR941),"")))</f>
        <v>0</v>
      </c>
      <c r="E941" s="5">
        <f>IF($A941="","",IF($AP941&lt;&gt;"",INDEX(Raw_D1!$E$2:$E$1001,$AP941),IF($AR941&lt;&gt;"",INDEX(Raw_D3!$E$2:$E$1001,$AR941),"")))</f>
        <v>2</v>
      </c>
      <c r="F941" s="5">
        <f>IF($A941="","",IF($AP941&lt;&gt;"",INDEX(Raw_D1!$F$2:$F$1001,$AP941),IF($AR941&lt;&gt;"",INDEX(Raw_D3!$F$2:$F$1001,$AR941),"")))</f>
        <v>18</v>
      </c>
      <c r="G941" s="5">
        <f>IF($A941="","",IF($AP941&lt;&gt;"",IF(INDEX(Raw_D1!$G$2:$G$1001,$AP941),1,0),IF($AR941&lt;&gt;"",IF(INDEX(Raw_D3!$G$2:$G$1001,$AR941),1,0),"")))</f>
        <v>0</v>
      </c>
      <c r="H941" s="5">
        <f>IF($A941="","",IF($AP941&lt;&gt;"",INDEX(Raw_D1!$H$2:$H$1001,$AP941),IF($AR941&lt;&gt;"",INDEX(Raw_D3!$H$2:$H$1001,$AR941),"")))</f>
        <v>5</v>
      </c>
      <c r="I941" s="5">
        <f>IF($A941="","",IF($AP941&lt;&gt;"",INDEX(Raw_D1!$I$2:$I$1001,$AP941),IF($AR941&lt;&gt;"",INDEX(Raw_D3!$I$2:$I$1001,$AR941),"")))</f>
        <v>1</v>
      </c>
      <c r="J941" s="16">
        <f>IF($A941="","",IF($AP941&lt;&gt;"",INDEX(Raw_D1!$J$2:$J$1001,$AP941),IF($AR941&lt;&gt;"",INDEX(Raw_D3!$J$2:$J$1001,$AR941),"")))</f>
        <v>0.28</v>
      </c>
      <c r="K941" s="17">
        <f>IF($A941="","",IF($AQ941&lt;&gt;"",IF(INDEX(Raw_D2!$C$2:$C$1001,$AQ941)="","",INDEX(Raw_D2!$C$2:$C$1001,$AQ941)),IF($AR941&lt;&gt;"",IF(INDEX(Raw_D3!$K$2:$K$1001,$AR941)="","",INDEX(Raw_D3!$K$2:$K$1001,$AR941)),"")))</f>
        <v>0.3182</v>
      </c>
      <c r="L941" s="16">
        <f>IF($A941="","",IF($AQ941&lt;&gt;"",IF(INDEX(Raw_D2!$D$2:$D$1001,$AQ941)="","",INDEX(Raw_D2!$D$2:$D$1001,$AQ941)),IF($AR941&lt;&gt;"",IF(INDEX(Raw_D3!$L$2:$L$1001,$AR941)="","",INDEX(Raw_D3!$L$2:$L$1001,$AR941)),"")))</f>
        <v>0.28</v>
      </c>
      <c r="M941" s="17">
        <f>IF($A941="","",IF($AQ941&lt;&gt;"",IF(INDEX(Raw_D2!$E$2:$E$1001,$AQ941)="","",INDEX(Raw_D2!$E$2:$E$1001,$AQ941)),IF($AR941&lt;&gt;"",IF(INDEX(Raw_D3!$M$2:$M$1001,$AR941)="","",INDEX(Raw_D3!$M$2:$M$1001,$AR941)),"")))</f>
        <v>0</v>
      </c>
      <c r="N941" s="5">
        <f>IF($A941="","",IF($AQ941&lt;&gt;"",IF(INDEX(Raw_D2!$F$2:$F$1001,$AQ941)="","",INDEX(Raw_D2!$F$2:$F$1001,$AQ941)),IF($AR941&lt;&gt;"",IF(INDEX(Raw_D3!$N$2:$N$1001,$AR941)="","",INDEX(Raw_D3!$N$2:$N$1001,$AR941)),"")))</f>
        <v>9</v>
      </c>
      <c r="O941" s="5">
        <f>IF($A941="","",IF($AQ941&lt;&gt;"",IF(INDEX(Raw_D2!$G$2:$G$1001,$AQ941)="","",INDEX(Raw_D2!$G$2:$G$1001,$AQ941)),IF($AR941&lt;&gt;"",IF(INDEX(Raw_D3!$O$2:$O$1001,$AR941)="","",INDEX(Raw_D3!$O$2:$O$1001,$AR941)),"")))</f>
        <v>165</v>
      </c>
      <c r="P941" s="5">
        <f>IF($A941="","",IF($AQ941&lt;&gt;"",IF(INDEX(Raw_D2!$H$2:$H$1001,$AQ941)="","",INDEX(Raw_D2!$H$2:$H$1001,$AQ941)),IF($AR941&lt;&gt;"",IF(INDEX(Raw_D3!$P$2:$P$1001,$AR941)="","",INDEX(Raw_D3!$P$2:$P$1001,$AR941)),"")))</f>
        <v>174</v>
      </c>
      <c r="Q941" s="5" t="str">
        <f>IF($A941="","",IF(AND($AP941&lt;&gt;"",$AQ941&lt;&gt;""),"D1+D2",IF($AR941&lt;&gt;"","D3","Incomplete")))</f>
        <v>D3</v>
      </c>
      <c r="R941" s="17">
        <f>IF($A941="","",IF($K941="",IF($J941="","",ROUND(Lookups!$K$5+Lookups!$K$4*$J941,4)),$K941))</f>
        <v>0.3182</v>
      </c>
      <c r="S941" s="5" t="str">
        <f>IF($A941="","",IF($K941="","Imputed","Original"))</f>
        <v>Original</v>
      </c>
      <c r="T941" s="5" t="str">
        <f>IF($A941="","",IF($P941="","Missing",IF($P941=$N941+$O941,"OK","Mismatch")))</f>
        <v>OK</v>
      </c>
      <c r="U941" s="5" t="str">
        <f>IF($A941="","",IF(COUNTIF($A$2:$A941,$A941)&gt;1,"Duplicate","Unique"))</f>
        <v>Unique</v>
      </c>
      <c r="V941" s="5">
        <f>IF($A941="","",IF(AND($U941="Unique",ISNUMBER($P941)),1,0))</f>
        <v>1</v>
      </c>
      <c r="W941" s="5" t="str">
        <f>IF($A941="","",IF(OR($H941=0,$H941=6),"Weekend","Weekday"))</f>
        <v>Weekday</v>
      </c>
      <c r="X941" s="5" t="str">
        <f>IF($A941="","",TEXT($B941,"ddd"))</f>
        <v>Fri</v>
      </c>
      <c r="Y941" s="5" t="str">
        <f>IF($A941="","",TEXT($B941,"mmm"))</f>
        <v>Feb</v>
      </c>
      <c r="Z941" s="5" t="str">
        <f>IF($A941="","",IFERROR(VLOOKUP($C941,Lookups!$D$4:$E$7,2,FALSE),"Unknown"))</f>
        <v>Winter</v>
      </c>
      <c r="AA941" s="5" t="str">
        <f>IF($A941="","",IFERROR(VLOOKUP($I941,Lookups!$A$4:$B$7,2,FALSE),"Unknown"))</f>
        <v>Clear</v>
      </c>
      <c r="AB941" s="5" t="str">
        <f>IF($A941="","",TEXT($F941,"00")&amp;":00")</f>
        <v>18:00</v>
      </c>
      <c r="AC941" s="5" t="str">
        <f>IF($A941="","",VLOOKUP($F941,Lookups!$G$4:$H$8,2,TRUE))</f>
        <v>Evening Peak (16-19)</v>
      </c>
      <c r="AD941" s="18">
        <f>IF($A941="","",IF($J941="","",ROUND($J941*41,1)))</f>
        <v>11.5</v>
      </c>
      <c r="AE941" s="18">
        <f>IF($A941="","",IF($R941="","",ROUND($R941*50,1)))</f>
        <v>15.9</v>
      </c>
      <c r="AF941" s="5">
        <f>IF($A941="","",IF($L941="","",ROUND($L941*100,0)))</f>
        <v>28</v>
      </c>
      <c r="AG941" s="18">
        <f>IF($A941="","",IF($M941="","",ROUND($M941*67,1)))</f>
        <v>0</v>
      </c>
      <c r="AH941" s="19">
        <f>IF($A941="","",IF($P941="","",IF($P941=0,0,$O941/$P941)))</f>
        <v>0.948275862068966</v>
      </c>
      <c r="AI941" s="5" t="str">
        <f>IF($A941="","",IF($P941="","",IF($P941&gt;=Lookups!$K$7,"High",IF($P941&lt;=Lookups!$K$8,"Low","Medium"))))</f>
        <v>High</v>
      </c>
      <c r="AJ941" s="5" t="str">
        <f>IF($A941="","",IF($AD941="","",IF($AD941&lt;5,"Under 5 C",IF($AD941&lt;10,"5-10 C",IF($AD941&lt;15,"10-15 C","15 C and above")))))</f>
        <v>10-15 C</v>
      </c>
      <c r="AK941" s="5">
        <f>IF($A941="","",IF($P941="","",$P941^2))</f>
        <v>30276</v>
      </c>
      <c r="AL941" s="18">
        <f>IF($V941&lt;&gt;1,"",AVERAGEIFS(Clean_Data!$P$2:$P$1001,Clean_Data!$F$2:$F$1001,$F941,Clean_Data!$W$2:$W$1001,$W941,Clean_Data!$V$2:$V$1001,1))</f>
        <v>151.206896551724</v>
      </c>
      <c r="AM941" s="16">
        <f>IF($V941&lt;&gt;1,"",IFERROR(($P941-$AL941)/SQRT(MAX(0,(SUMIFS(Clean_Data!$AK$2:$AK$1001,Clean_Data!$F$2:$F$1001,$F941,Clean_Data!$W$2:$W$1001,$W941,Clean_Data!$V$2:$V$1001,1)-COUNTIFS(Clean_Data!$F$2:$F$1001,$F941,Clean_Data!$W$2:$W$1001,$W941,Clean_Data!$V$2:$V$1001,1)*$AL941^2)/(COUNTIFS(Clean_Data!$F$2:$F$1001,$F941,Clean_Data!$W$2:$W$1001,$W941,Clean_Data!$V$2:$V$1001,1)-1))),""))</f>
        <v>0.776613618018629</v>
      </c>
      <c r="AN941" s="5" t="str">
        <f>IF($AM941="","",IF($AM941&gt;=Lookups!$K$6,"High spike",IF($AM941&lt;=-Lookups!$K$6,"Unusual low","Normal")))</f>
        <v>Normal</v>
      </c>
      <c r="AO941" s="20">
        <f>IF($V941&lt;&gt;1,"",$P941+ROW()/100000)</f>
        <v>174.00941</v>
      </c>
      <c r="AP941" s="5">
        <f>IF($A941="","",IFERROR(MATCH($A941,Raw_D1!$A$2:$A$1001,0),""))</f>
        <v/>
      </c>
      <c r="AQ941" s="5">
        <f>IF($A941="","",IFERROR(MATCH($A941,Raw_D2!$B$2:$B$1001,0),""))</f>
        <v/>
      </c>
      <c r="AR941" s="5">
        <f>IF($A941="","",IFERROR(MATCH($A941,Raw_D3!$A$2:$A$1001,0),""))</f>
        <v>321</v>
      </c>
    </row>
    <row r="942" spans="1:44" x14ac:dyDescent="0.25">
      <c r="A942" s="5">
        <v>941</v>
      </c>
      <c r="B942" s="11">
        <f>IF($A942="","",IF($AP942&lt;&gt;"",INDEX(Raw_D1!$B$2:$B$1001,$AP942),IF($AR942&lt;&gt;"",INDEX(Raw_D3!$B$2:$B$1001,$AR942),"")))</f>
        <v>40585.0</v>
      </c>
      <c r="C942" s="5">
        <f>IF($A942="","",IF($AP942&lt;&gt;"",INDEX(Raw_D1!$C$2:$C$1001,$AP942),IF($AR942&lt;&gt;"",INDEX(Raw_D3!$C$2:$C$1001,$AR942),"")))</f>
        <v>1</v>
      </c>
      <c r="D942" s="5">
        <f>IF($A942="","",IF($AP942&lt;&gt;"",INDEX(Raw_D1!$D$2:$D$1001,$AP942),IF($AR942&lt;&gt;"",INDEX(Raw_D3!$D$2:$D$1001,$AR942),"")))</f>
        <v>0</v>
      </c>
      <c r="E942" s="5">
        <f>IF($A942="","",IF($AP942&lt;&gt;"",INDEX(Raw_D1!$E$2:$E$1001,$AP942),IF($AR942&lt;&gt;"",INDEX(Raw_D3!$E$2:$E$1001,$AR942),"")))</f>
        <v>2</v>
      </c>
      <c r="F942" s="5">
        <f>IF($A942="","",IF($AP942&lt;&gt;"",INDEX(Raw_D1!$F$2:$F$1001,$AP942),IF($AR942&lt;&gt;"",INDEX(Raw_D3!$F$2:$F$1001,$AR942),"")))</f>
        <v>19</v>
      </c>
      <c r="G942" s="5">
        <f>IF($A942="","",IF($AP942&lt;&gt;"",IF(INDEX(Raw_D1!$G$2:$G$1001,$AP942),1,0),IF($AR942&lt;&gt;"",IF(INDEX(Raw_D3!$G$2:$G$1001,$AR942),1,0),"")))</f>
        <v>0</v>
      </c>
      <c r="H942" s="5">
        <f>IF($A942="","",IF($AP942&lt;&gt;"",INDEX(Raw_D1!$H$2:$H$1001,$AP942),IF($AR942&lt;&gt;"",INDEX(Raw_D3!$H$2:$H$1001,$AR942),"")))</f>
        <v>5</v>
      </c>
      <c r="I942" s="5">
        <f>IF($A942="","",IF($AP942&lt;&gt;"",INDEX(Raw_D1!$I$2:$I$1001,$AP942),IF($AR942&lt;&gt;"",INDEX(Raw_D3!$I$2:$I$1001,$AR942),"")))</f>
        <v>1</v>
      </c>
      <c r="J942" s="16">
        <f>IF($A942="","",IF($AP942&lt;&gt;"",INDEX(Raw_D1!$J$2:$J$1001,$AP942),IF($AR942&lt;&gt;"",INDEX(Raw_D3!$J$2:$J$1001,$AR942),"")))</f>
        <v>0.26</v>
      </c>
      <c r="K942" s="17">
        <f>IF($A942="","",IF($AQ942&lt;&gt;"",IF(INDEX(Raw_D2!$C$2:$C$1001,$AQ942)="","",INDEX(Raw_D2!$C$2:$C$1001,$AQ942)),IF($AR942&lt;&gt;"",IF(INDEX(Raw_D3!$K$2:$K$1001,$AR942)="","",INDEX(Raw_D3!$K$2:$K$1001,$AR942)),"")))</f>
        <v>0.303</v>
      </c>
      <c r="L942" s="16">
        <f>IF($A942="","",IF($AQ942&lt;&gt;"",IF(INDEX(Raw_D2!$D$2:$D$1001,$AQ942)="","",INDEX(Raw_D2!$D$2:$D$1001,$AQ942)),IF($AR942&lt;&gt;"",IF(INDEX(Raw_D3!$L$2:$L$1001,$AR942)="","",INDEX(Raw_D3!$L$2:$L$1001,$AR942)),"")))</f>
        <v>0.33</v>
      </c>
      <c r="M942" s="17">
        <f>IF($A942="","",IF($AQ942&lt;&gt;"",IF(INDEX(Raw_D2!$E$2:$E$1001,$AQ942)="","",INDEX(Raw_D2!$E$2:$E$1001,$AQ942)),IF($AR942&lt;&gt;"",IF(INDEX(Raw_D3!$M$2:$M$1001,$AR942)="","",INDEX(Raw_D3!$M$2:$M$1001,$AR942)),"")))</f>
        <v>0</v>
      </c>
      <c r="N942" s="5">
        <f>IF($A942="","",IF($AQ942&lt;&gt;"",IF(INDEX(Raw_D2!$F$2:$F$1001,$AQ942)="","",INDEX(Raw_D2!$F$2:$F$1001,$AQ942)),IF($AR942&lt;&gt;"",IF(INDEX(Raw_D3!$N$2:$N$1001,$AR942)="","",INDEX(Raw_D3!$N$2:$N$1001,$AR942)),"")))</f>
        <v>7</v>
      </c>
      <c r="O942" s="5">
        <f>IF($A942="","",IF($AQ942&lt;&gt;"",IF(INDEX(Raw_D2!$G$2:$G$1001,$AQ942)="","",INDEX(Raw_D2!$G$2:$G$1001,$AQ942)),IF($AR942&lt;&gt;"",IF(INDEX(Raw_D3!$O$2:$O$1001,$AR942)="","",INDEX(Raw_D3!$O$2:$O$1001,$AR942)),"")))</f>
        <v>94</v>
      </c>
      <c r="P942" s="5">
        <f>IF($A942="","",IF($AQ942&lt;&gt;"",IF(INDEX(Raw_D2!$H$2:$H$1001,$AQ942)="","",INDEX(Raw_D2!$H$2:$H$1001,$AQ942)),IF($AR942&lt;&gt;"",IF(INDEX(Raw_D3!$P$2:$P$1001,$AR942)="","",INDEX(Raw_D3!$P$2:$P$1001,$AR942)),"")))</f>
        <v>101</v>
      </c>
      <c r="Q942" s="5" t="str">
        <f>IF($A942="","",IF(AND($AP942&lt;&gt;"",$AQ942&lt;&gt;""),"D1+D2",IF($AR942&lt;&gt;"","D3","Incomplete")))</f>
        <v>D3</v>
      </c>
      <c r="R942" s="17">
        <f>IF($A942="","",IF($K942="",IF($J942="","",ROUND(Lookups!$K$5+Lookups!$K$4*$J942,4)),$K942))</f>
        <v>0.303</v>
      </c>
      <c r="S942" s="5" t="str">
        <f>IF($A942="","",IF($K942="","Imputed","Original"))</f>
        <v>Original</v>
      </c>
      <c r="T942" s="5" t="str">
        <f>IF($A942="","",IF($P942="","Missing",IF($P942=$N942+$O942,"OK","Mismatch")))</f>
        <v>OK</v>
      </c>
      <c r="U942" s="5" t="str">
        <f>IF($A942="","",IF(COUNTIF($A$2:$A942,$A942)&gt;1,"Duplicate","Unique"))</f>
        <v>Unique</v>
      </c>
      <c r="V942" s="5">
        <f>IF($A942="","",IF(AND($U942="Unique",ISNUMBER($P942)),1,0))</f>
        <v>1</v>
      </c>
      <c r="W942" s="5" t="str">
        <f>IF($A942="","",IF(OR($H942=0,$H942=6),"Weekend","Weekday"))</f>
        <v>Weekday</v>
      </c>
      <c r="X942" s="5" t="str">
        <f>IF($A942="","",TEXT($B942,"ddd"))</f>
        <v>Fri</v>
      </c>
      <c r="Y942" s="5" t="str">
        <f>IF($A942="","",TEXT($B942,"mmm"))</f>
        <v>Feb</v>
      </c>
      <c r="Z942" s="5" t="str">
        <f>IF($A942="","",IFERROR(VLOOKUP($C942,Lookups!$D$4:$E$7,2,FALSE),"Unknown"))</f>
        <v>Winter</v>
      </c>
      <c r="AA942" s="5" t="str">
        <f>IF($A942="","",IFERROR(VLOOKUP($I942,Lookups!$A$4:$B$7,2,FALSE),"Unknown"))</f>
        <v>Clear</v>
      </c>
      <c r="AB942" s="5" t="str">
        <f>IF($A942="","",TEXT($F942,"00")&amp;":00")</f>
        <v>19:00</v>
      </c>
      <c r="AC942" s="5" t="str">
        <f>IF($A942="","",VLOOKUP($F942,Lookups!$G$4:$H$8,2,TRUE))</f>
        <v>Evening Peak (16-19)</v>
      </c>
      <c r="AD942" s="18">
        <f>IF($A942="","",IF($J942="","",ROUND($J942*41,1)))</f>
        <v>10.7</v>
      </c>
      <c r="AE942" s="18">
        <f>IF($A942="","",IF($R942="","",ROUND($R942*50,1)))</f>
        <v>15.2</v>
      </c>
      <c r="AF942" s="5">
        <f>IF($A942="","",IF($L942="","",ROUND($L942*100,0)))</f>
        <v>33</v>
      </c>
      <c r="AG942" s="18">
        <f>IF($A942="","",IF($M942="","",ROUND($M942*67,1)))</f>
        <v>0</v>
      </c>
      <c r="AH942" s="19">
        <f>IF($A942="","",IF($P942="","",IF($P942=0,0,$O942/$P942)))</f>
        <v>0.930693069306931</v>
      </c>
      <c r="AI942" s="5" t="str">
        <f>IF($A942="","",IF($P942="","",IF($P942&gt;=Lookups!$K$7,"High",IF($P942&lt;=Lookups!$K$8,"Low","Medium"))))</f>
        <v>High</v>
      </c>
      <c r="AJ942" s="5" t="str">
        <f>IF($A942="","",IF($AD942="","",IF($AD942&lt;5,"Under 5 C",IF($AD942&lt;10,"5-10 C",IF($AD942&lt;15,"10-15 C","15 C and above")))))</f>
        <v>10-15 C</v>
      </c>
      <c r="AK942" s="5">
        <f>IF($A942="","",IF($P942="","",$P942^2))</f>
        <v>10201</v>
      </c>
      <c r="AL942" s="18">
        <f>IF($V942&lt;&gt;1,"",AVERAGEIFS(Clean_Data!$P$2:$P$1001,Clean_Data!$F$2:$F$1001,$F942,Clean_Data!$W$2:$W$1001,$W942,Clean_Data!$V$2:$V$1001,1))</f>
        <v>102.034482758621</v>
      </c>
      <c r="AM942" s="16">
        <f>IF($V942&lt;&gt;1,"",IFERROR(($P942-$AL942)/SQRT(MAX(0,(SUMIFS(Clean_Data!$AK$2:$AK$1001,Clean_Data!$F$2:$F$1001,$F942,Clean_Data!$W$2:$W$1001,$W942,Clean_Data!$V$2:$V$1001,1)-COUNTIFS(Clean_Data!$F$2:$F$1001,$F942,Clean_Data!$W$2:$W$1001,$W942,Clean_Data!$V$2:$V$1001,1)*$AL942^2)/(COUNTIFS(Clean_Data!$F$2:$F$1001,$F942,Clean_Data!$W$2:$W$1001,$W942,Clean_Data!$V$2:$V$1001,1)-1))),""))</f>
        <v>-0.0486869029388089</v>
      </c>
      <c r="AN942" s="5" t="str">
        <f>IF($AM942="","",IF($AM942&gt;=Lookups!$K$6,"High spike",IF($AM942&lt;=-Lookups!$K$6,"Unusual low","Normal")))</f>
        <v>Normal</v>
      </c>
      <c r="AO942" s="20">
        <f>IF($V942&lt;&gt;1,"",$P942+ROW()/100000)</f>
        <v>101.00942</v>
      </c>
      <c r="AP942" s="5">
        <f>IF($A942="","",IFERROR(MATCH($A942,Raw_D1!$A$2:$A$1001,0),""))</f>
        <v/>
      </c>
      <c r="AQ942" s="5">
        <f>IF($A942="","",IFERROR(MATCH($A942,Raw_D2!$B$2:$B$1001,0),""))</f>
        <v/>
      </c>
      <c r="AR942" s="5">
        <f>IF($A942="","",IFERROR(MATCH($A942,Raw_D3!$A$2:$A$1001,0),""))</f>
        <v>322</v>
      </c>
    </row>
    <row r="943" spans="1:44" x14ac:dyDescent="0.25">
      <c r="A943" s="5">
        <v>942</v>
      </c>
      <c r="B943" s="11">
        <f>IF($A943="","",IF($AP943&lt;&gt;"",INDEX(Raw_D1!$B$2:$B$1001,$AP943),IF($AR943&lt;&gt;"",INDEX(Raw_D3!$B$2:$B$1001,$AR943),"")))</f>
        <v>40585.0</v>
      </c>
      <c r="C943" s="5">
        <f>IF($A943="","",IF($AP943&lt;&gt;"",INDEX(Raw_D1!$C$2:$C$1001,$AP943),IF($AR943&lt;&gt;"",INDEX(Raw_D3!$C$2:$C$1001,$AR943),"")))</f>
        <v>1</v>
      </c>
      <c r="D943" s="5">
        <f>IF($A943="","",IF($AP943&lt;&gt;"",INDEX(Raw_D1!$D$2:$D$1001,$AP943),IF($AR943&lt;&gt;"",INDEX(Raw_D3!$D$2:$D$1001,$AR943),"")))</f>
        <v>0</v>
      </c>
      <c r="E943" s="5">
        <f>IF($A943="","",IF($AP943&lt;&gt;"",INDEX(Raw_D1!$E$2:$E$1001,$AP943),IF($AR943&lt;&gt;"",INDEX(Raw_D3!$E$2:$E$1001,$AR943),"")))</f>
        <v>2</v>
      </c>
      <c r="F943" s="5">
        <f>IF($A943="","",IF($AP943&lt;&gt;"",INDEX(Raw_D1!$F$2:$F$1001,$AP943),IF($AR943&lt;&gt;"",INDEX(Raw_D3!$F$2:$F$1001,$AR943),"")))</f>
        <v>20</v>
      </c>
      <c r="G943" s="5">
        <f>IF($A943="","",IF($AP943&lt;&gt;"",IF(INDEX(Raw_D1!$G$2:$G$1001,$AP943),1,0),IF($AR943&lt;&gt;"",IF(INDEX(Raw_D3!$G$2:$G$1001,$AR943),1,0),"")))</f>
        <v>0</v>
      </c>
      <c r="H943" s="5">
        <f>IF($A943="","",IF($AP943&lt;&gt;"",INDEX(Raw_D1!$H$2:$H$1001,$AP943),IF($AR943&lt;&gt;"",INDEX(Raw_D3!$H$2:$H$1001,$AR943),"")))</f>
        <v>5</v>
      </c>
      <c r="I943" s="5">
        <f>IF($A943="","",IF($AP943&lt;&gt;"",INDEX(Raw_D1!$I$2:$I$1001,$AP943),IF($AR943&lt;&gt;"",INDEX(Raw_D3!$I$2:$I$1001,$AR943),"")))</f>
        <v>1</v>
      </c>
      <c r="J943" s="16">
        <f>IF($A943="","",IF($AP943&lt;&gt;"",INDEX(Raw_D1!$J$2:$J$1001,$AP943),IF($AR943&lt;&gt;"",INDEX(Raw_D3!$J$2:$J$1001,$AR943),"")))</f>
        <v>0.22</v>
      </c>
      <c r="K943" s="17">
        <f>IF($A943="","",IF($AQ943&lt;&gt;"",IF(INDEX(Raw_D2!$C$2:$C$1001,$AQ943)="","",INDEX(Raw_D2!$C$2:$C$1001,$AQ943)),IF($AR943&lt;&gt;"",IF(INDEX(Raw_D3!$K$2:$K$1001,$AR943)="","",INDEX(Raw_D3!$K$2:$K$1001,$AR943)),"")))</f>
        <v>0.2273</v>
      </c>
      <c r="L943" s="16">
        <f>IF($A943="","",IF($AQ943&lt;&gt;"",IF(INDEX(Raw_D2!$D$2:$D$1001,$AQ943)="","",INDEX(Raw_D2!$D$2:$D$1001,$AQ943)),IF($AR943&lt;&gt;"",IF(INDEX(Raw_D3!$L$2:$L$1001,$AR943)="","",INDEX(Raw_D3!$L$2:$L$1001,$AR943)),"")))</f>
        <v>0.55</v>
      </c>
      <c r="M943" s="17">
        <f>IF($A943="","",IF($AQ943&lt;&gt;"",IF(INDEX(Raw_D2!$E$2:$E$1001,$AQ943)="","",INDEX(Raw_D2!$E$2:$E$1001,$AQ943)),IF($AR943&lt;&gt;"",IF(INDEX(Raw_D3!$M$2:$M$1001,$AR943)="","",INDEX(Raw_D3!$M$2:$M$1001,$AR943)),"")))</f>
        <v>0.1343</v>
      </c>
      <c r="N943" s="5">
        <f>IF($A943="","",IF($AQ943&lt;&gt;"",IF(INDEX(Raw_D2!$F$2:$F$1001,$AQ943)="","",INDEX(Raw_D2!$F$2:$F$1001,$AQ943)),IF($AR943&lt;&gt;"",IF(INDEX(Raw_D3!$N$2:$N$1001,$AR943)="","",INDEX(Raw_D3!$N$2:$N$1001,$AR943)),"")))</f>
        <v>2</v>
      </c>
      <c r="O943" s="5">
        <f>IF($A943="","",IF($AQ943&lt;&gt;"",IF(INDEX(Raw_D2!$G$2:$G$1001,$AQ943)="","",INDEX(Raw_D2!$G$2:$G$1001,$AQ943)),IF($AR943&lt;&gt;"",IF(INDEX(Raw_D3!$O$2:$O$1001,$AR943)="","",INDEX(Raw_D3!$O$2:$O$1001,$AR943)),"")))</f>
        <v>61</v>
      </c>
      <c r="P943" s="5">
        <f>IF($A943="","",IF($AQ943&lt;&gt;"",IF(INDEX(Raw_D2!$H$2:$H$1001,$AQ943)="","",INDEX(Raw_D2!$H$2:$H$1001,$AQ943)),IF($AR943&lt;&gt;"",IF(INDEX(Raw_D3!$P$2:$P$1001,$AR943)="","",INDEX(Raw_D3!$P$2:$P$1001,$AR943)),"")))</f>
        <v>63</v>
      </c>
      <c r="Q943" s="5" t="str">
        <f>IF($A943="","",IF(AND($AP943&lt;&gt;"",$AQ943&lt;&gt;""),"D1+D2",IF($AR943&lt;&gt;"","D3","Incomplete")))</f>
        <v>D3</v>
      </c>
      <c r="R943" s="17">
        <f>IF($A943="","",IF($K943="",IF($J943="","",ROUND(Lookups!$K$5+Lookups!$K$4*$J943,4)),$K943))</f>
        <v>0.2273</v>
      </c>
      <c r="S943" s="5" t="str">
        <f>IF($A943="","",IF($K943="","Imputed","Original"))</f>
        <v>Original</v>
      </c>
      <c r="T943" s="5" t="str">
        <f>IF($A943="","",IF($P943="","Missing",IF($P943=$N943+$O943,"OK","Mismatch")))</f>
        <v>OK</v>
      </c>
      <c r="U943" s="5" t="str">
        <f>IF($A943="","",IF(COUNTIF($A$2:$A943,$A943)&gt;1,"Duplicate","Unique"))</f>
        <v>Unique</v>
      </c>
      <c r="V943" s="5">
        <f>IF($A943="","",IF(AND($U943="Unique",ISNUMBER($P943)),1,0))</f>
        <v>1</v>
      </c>
      <c r="W943" s="5" t="str">
        <f>IF($A943="","",IF(OR($H943=0,$H943=6),"Weekend","Weekday"))</f>
        <v>Weekday</v>
      </c>
      <c r="X943" s="5" t="str">
        <f>IF($A943="","",TEXT($B943,"ddd"))</f>
        <v>Fri</v>
      </c>
      <c r="Y943" s="5" t="str">
        <f>IF($A943="","",TEXT($B943,"mmm"))</f>
        <v>Feb</v>
      </c>
      <c r="Z943" s="5" t="str">
        <f>IF($A943="","",IFERROR(VLOOKUP($C943,Lookups!$D$4:$E$7,2,FALSE),"Unknown"))</f>
        <v>Winter</v>
      </c>
      <c r="AA943" s="5" t="str">
        <f>IF($A943="","",IFERROR(VLOOKUP($I943,Lookups!$A$4:$B$7,2,FALSE),"Unknown"))</f>
        <v>Clear</v>
      </c>
      <c r="AB943" s="5" t="str">
        <f>IF($A943="","",TEXT($F943,"00")&amp;":00")</f>
        <v>20:00</v>
      </c>
      <c r="AC943" s="5" t="str">
        <f>IF($A943="","",VLOOKUP($F943,Lookups!$G$4:$H$8,2,TRUE))</f>
        <v>Late Evening (20-23)</v>
      </c>
      <c r="AD943" s="18">
        <f>IF($A943="","",IF($J943="","",ROUND($J943*41,1)))</f>
        <v>9</v>
      </c>
      <c r="AE943" s="18">
        <f>IF($A943="","",IF($R943="","",ROUND($R943*50,1)))</f>
        <v>11.4</v>
      </c>
      <c r="AF943" s="5">
        <f>IF($A943="","",IF($L943="","",ROUND($L943*100,0)))</f>
        <v>55</v>
      </c>
      <c r="AG943" s="18">
        <f>IF($A943="","",IF($M943="","",ROUND($M943*67,1)))</f>
        <v>9</v>
      </c>
      <c r="AH943" s="19">
        <f>IF($A943="","",IF($P943="","",IF($P943=0,0,$O943/$P943)))</f>
        <v>0.968253968253968</v>
      </c>
      <c r="AI943" s="5" t="str">
        <f>IF($A943="","",IF($P943="","",IF($P943&gt;=Lookups!$K$7,"High",IF($P943&lt;=Lookups!$K$8,"Low","Medium"))))</f>
        <v>Medium</v>
      </c>
      <c r="AJ943" s="5" t="str">
        <f>IF($A943="","",IF($AD943="","",IF($AD943&lt;5,"Under 5 C",IF($AD943&lt;10,"5-10 C",IF($AD943&lt;15,"10-15 C","15 C and above")))))</f>
        <v>5-10 C</v>
      </c>
      <c r="AK943" s="5">
        <f>IF($A943="","",IF($P943="","",$P943^2))</f>
        <v>3969</v>
      </c>
      <c r="AL943" s="18">
        <f>IF($V943&lt;&gt;1,"",AVERAGEIFS(Clean_Data!$P$2:$P$1001,Clean_Data!$F$2:$F$1001,$F943,Clean_Data!$W$2:$W$1001,$W943,Clean_Data!$V$2:$V$1001,1))</f>
        <v>72.2758620689655</v>
      </c>
      <c r="AM943" s="16">
        <f>IF($V943&lt;&gt;1,"",IFERROR(($P943-$AL943)/SQRT(MAX(0,(SUMIFS(Clean_Data!$AK$2:$AK$1001,Clean_Data!$F$2:$F$1001,$F943,Clean_Data!$W$2:$W$1001,$W943,Clean_Data!$V$2:$V$1001,1)-COUNTIFS(Clean_Data!$F$2:$F$1001,$F943,Clean_Data!$W$2:$W$1001,$W943,Clean_Data!$V$2:$V$1001,1)*$AL943^2)/(COUNTIFS(Clean_Data!$F$2:$F$1001,$F943,Clean_Data!$W$2:$W$1001,$W943,Clean_Data!$V$2:$V$1001,1)-1))),""))</f>
        <v>-0.419717460824762</v>
      </c>
      <c r="AN943" s="5" t="str">
        <f>IF($AM943="","",IF($AM943&gt;=Lookups!$K$6,"High spike",IF($AM943&lt;=-Lookups!$K$6,"Unusual low","Normal")))</f>
        <v>Normal</v>
      </c>
      <c r="AO943" s="20">
        <f>IF($V943&lt;&gt;1,"",$P943+ROW()/100000)</f>
        <v>63.00943</v>
      </c>
      <c r="AP943" s="5">
        <f>IF($A943="","",IFERROR(MATCH($A943,Raw_D1!$A$2:$A$1001,0),""))</f>
        <v/>
      </c>
      <c r="AQ943" s="5">
        <f>IF($A943="","",IFERROR(MATCH($A943,Raw_D2!$B$2:$B$1001,0),""))</f>
        <v/>
      </c>
      <c r="AR943" s="5">
        <f>IF($A943="","",IFERROR(MATCH($A943,Raw_D3!$A$2:$A$1001,0),""))</f>
        <v>323</v>
      </c>
    </row>
    <row r="944" spans="1:44" x14ac:dyDescent="0.25">
      <c r="A944" s="5">
        <v>943</v>
      </c>
      <c r="B944" s="11">
        <f>IF($A944="","",IF($AP944&lt;&gt;"",INDEX(Raw_D1!$B$2:$B$1001,$AP944),IF($AR944&lt;&gt;"",INDEX(Raw_D3!$B$2:$B$1001,$AR944),"")))</f>
        <v>40585.0</v>
      </c>
      <c r="C944" s="5">
        <f>IF($A944="","",IF($AP944&lt;&gt;"",INDEX(Raw_D1!$C$2:$C$1001,$AP944),IF($AR944&lt;&gt;"",INDEX(Raw_D3!$C$2:$C$1001,$AR944),"")))</f>
        <v>1</v>
      </c>
      <c r="D944" s="5">
        <f>IF($A944="","",IF($AP944&lt;&gt;"",INDEX(Raw_D1!$D$2:$D$1001,$AP944),IF($AR944&lt;&gt;"",INDEX(Raw_D3!$D$2:$D$1001,$AR944),"")))</f>
        <v>0</v>
      </c>
      <c r="E944" s="5">
        <f>IF($A944="","",IF($AP944&lt;&gt;"",INDEX(Raw_D1!$E$2:$E$1001,$AP944),IF($AR944&lt;&gt;"",INDEX(Raw_D3!$E$2:$E$1001,$AR944),"")))</f>
        <v>2</v>
      </c>
      <c r="F944" s="5">
        <f>IF($A944="","",IF($AP944&lt;&gt;"",INDEX(Raw_D1!$F$2:$F$1001,$AP944),IF($AR944&lt;&gt;"",INDEX(Raw_D3!$F$2:$F$1001,$AR944),"")))</f>
        <v>21</v>
      </c>
      <c r="G944" s="5">
        <f>IF($A944="","",IF($AP944&lt;&gt;"",IF(INDEX(Raw_D1!$G$2:$G$1001,$AP944),1,0),IF($AR944&lt;&gt;"",IF(INDEX(Raw_D3!$G$2:$G$1001,$AR944),1,0),"")))</f>
        <v>0</v>
      </c>
      <c r="H944" s="5">
        <f>IF($A944="","",IF($AP944&lt;&gt;"",INDEX(Raw_D1!$H$2:$H$1001,$AP944),IF($AR944&lt;&gt;"",INDEX(Raw_D3!$H$2:$H$1001,$AR944),"")))</f>
        <v>5</v>
      </c>
      <c r="I944" s="5">
        <f>IF($A944="","",IF($AP944&lt;&gt;"",INDEX(Raw_D1!$I$2:$I$1001,$AP944),IF($AR944&lt;&gt;"",INDEX(Raw_D3!$I$2:$I$1001,$AR944),"")))</f>
        <v>1</v>
      </c>
      <c r="J944" s="16">
        <f>IF($A944="","",IF($AP944&lt;&gt;"",INDEX(Raw_D1!$J$2:$J$1001,$AP944),IF($AR944&lt;&gt;"",INDEX(Raw_D3!$J$2:$J$1001,$AR944),"")))</f>
        <v>0.2</v>
      </c>
      <c r="K944" s="17">
        <f>IF($A944="","",IF($AQ944&lt;&gt;"",IF(INDEX(Raw_D2!$C$2:$C$1001,$AQ944)="","",INDEX(Raw_D2!$C$2:$C$1001,$AQ944)),IF($AR944&lt;&gt;"",IF(INDEX(Raw_D3!$K$2:$K$1001,$AR944)="","",INDEX(Raw_D3!$K$2:$K$1001,$AR944)),"")))</f>
        <v>0.2121</v>
      </c>
      <c r="L944" s="16">
        <f>IF($A944="","",IF($AQ944&lt;&gt;"",IF(INDEX(Raw_D2!$D$2:$D$1001,$AQ944)="","",INDEX(Raw_D2!$D$2:$D$1001,$AQ944)),IF($AR944&lt;&gt;"",IF(INDEX(Raw_D3!$L$2:$L$1001,$AR944)="","",INDEX(Raw_D3!$L$2:$L$1001,$AR944)),"")))</f>
        <v>0.59</v>
      </c>
      <c r="M944" s="17">
        <f>IF($A944="","",IF($AQ944&lt;&gt;"",IF(INDEX(Raw_D2!$E$2:$E$1001,$AQ944)="","",INDEX(Raw_D2!$E$2:$E$1001,$AQ944)),IF($AR944&lt;&gt;"",IF(INDEX(Raw_D3!$M$2:$M$1001,$AR944)="","",INDEX(Raw_D3!$M$2:$M$1001,$AR944)),"")))</f>
        <v>0.1343</v>
      </c>
      <c r="N944" s="5">
        <f>IF($A944="","",IF($AQ944&lt;&gt;"",IF(INDEX(Raw_D2!$F$2:$F$1001,$AQ944)="","",INDEX(Raw_D2!$F$2:$F$1001,$AQ944)),IF($AR944&lt;&gt;"",IF(INDEX(Raw_D3!$N$2:$N$1001,$AR944)="","",INDEX(Raw_D3!$N$2:$N$1001,$AR944)),"")))</f>
        <v>1</v>
      </c>
      <c r="O944" s="5">
        <f>IF($A944="","",IF($AQ944&lt;&gt;"",IF(INDEX(Raw_D2!$G$2:$G$1001,$AQ944)="","",INDEX(Raw_D2!$G$2:$G$1001,$AQ944)),IF($AR944&lt;&gt;"",IF(INDEX(Raw_D3!$O$2:$O$1001,$AR944)="","",INDEX(Raw_D3!$O$2:$O$1001,$AR944)),"")))</f>
        <v>46</v>
      </c>
      <c r="P944" s="5">
        <f>IF($A944="","",IF($AQ944&lt;&gt;"",IF(INDEX(Raw_D2!$H$2:$H$1001,$AQ944)="","",INDEX(Raw_D2!$H$2:$H$1001,$AQ944)),IF($AR944&lt;&gt;"",IF(INDEX(Raw_D3!$P$2:$P$1001,$AR944)="","",INDEX(Raw_D3!$P$2:$P$1001,$AR944)),"")))</f>
        <v>47</v>
      </c>
      <c r="Q944" s="5" t="str">
        <f>IF($A944="","",IF(AND($AP944&lt;&gt;"",$AQ944&lt;&gt;""),"D1+D2",IF($AR944&lt;&gt;"","D3","Incomplete")))</f>
        <v>D3</v>
      </c>
      <c r="R944" s="17">
        <f>IF($A944="","",IF($K944="",IF($J944="","",ROUND(Lookups!$K$5+Lookups!$K$4*$J944,4)),$K944))</f>
        <v>0.2121</v>
      </c>
      <c r="S944" s="5" t="str">
        <f>IF($A944="","",IF($K944="","Imputed","Original"))</f>
        <v>Original</v>
      </c>
      <c r="T944" s="5" t="str">
        <f>IF($A944="","",IF($P944="","Missing",IF($P944=$N944+$O944,"OK","Mismatch")))</f>
        <v>OK</v>
      </c>
      <c r="U944" s="5" t="str">
        <f>IF($A944="","",IF(COUNTIF($A$2:$A944,$A944)&gt;1,"Duplicate","Unique"))</f>
        <v>Unique</v>
      </c>
      <c r="V944" s="5">
        <f>IF($A944="","",IF(AND($U944="Unique",ISNUMBER($P944)),1,0))</f>
        <v>1</v>
      </c>
      <c r="W944" s="5" t="str">
        <f>IF($A944="","",IF(OR($H944=0,$H944=6),"Weekend","Weekday"))</f>
        <v>Weekday</v>
      </c>
      <c r="X944" s="5" t="str">
        <f>IF($A944="","",TEXT($B944,"ddd"))</f>
        <v>Fri</v>
      </c>
      <c r="Y944" s="5" t="str">
        <f>IF($A944="","",TEXT($B944,"mmm"))</f>
        <v>Feb</v>
      </c>
      <c r="Z944" s="5" t="str">
        <f>IF($A944="","",IFERROR(VLOOKUP($C944,Lookups!$D$4:$E$7,2,FALSE),"Unknown"))</f>
        <v>Winter</v>
      </c>
      <c r="AA944" s="5" t="str">
        <f>IF($A944="","",IFERROR(VLOOKUP($I944,Lookups!$A$4:$B$7,2,FALSE),"Unknown"))</f>
        <v>Clear</v>
      </c>
      <c r="AB944" s="5" t="str">
        <f>IF($A944="","",TEXT($F944,"00")&amp;":00")</f>
        <v>21:00</v>
      </c>
      <c r="AC944" s="5" t="str">
        <f>IF($A944="","",VLOOKUP($F944,Lookups!$G$4:$H$8,2,TRUE))</f>
        <v>Late Evening (20-23)</v>
      </c>
      <c r="AD944" s="18">
        <f>IF($A944="","",IF($J944="","",ROUND($J944*41,1)))</f>
        <v>8.2</v>
      </c>
      <c r="AE944" s="18">
        <f>IF($A944="","",IF($R944="","",ROUND($R944*50,1)))</f>
        <v>10.6</v>
      </c>
      <c r="AF944" s="5">
        <f>IF($A944="","",IF($L944="","",ROUND($L944*100,0)))</f>
        <v>59</v>
      </c>
      <c r="AG944" s="18">
        <f>IF($A944="","",IF($M944="","",ROUND($M944*67,1)))</f>
        <v>9</v>
      </c>
      <c r="AH944" s="19">
        <f>IF($A944="","",IF($P944="","",IF($P944=0,0,$O944/$P944)))</f>
        <v>0.978723404255319</v>
      </c>
      <c r="AI944" s="5" t="str">
        <f>IF($A944="","",IF($P944="","",IF($P944&gt;=Lookups!$K$7,"High",IF($P944&lt;=Lookups!$K$8,"Low","Medium"))))</f>
        <v>Medium</v>
      </c>
      <c r="AJ944" s="5" t="str">
        <f>IF($A944="","",IF($AD944="","",IF($AD944&lt;5,"Under 5 C",IF($AD944&lt;10,"5-10 C",IF($AD944&lt;15,"10-15 C","15 C and above")))))</f>
        <v>5-10 C</v>
      </c>
      <c r="AK944" s="5">
        <f>IF($A944="","",IF($P944="","",$P944^2))</f>
        <v>2209</v>
      </c>
      <c r="AL944" s="18">
        <f>IF($V944&lt;&gt;1,"",AVERAGEIFS(Clean_Data!$P$2:$P$1001,Clean_Data!$F$2:$F$1001,$F944,Clean_Data!$W$2:$W$1001,$W944,Clean_Data!$V$2:$V$1001,1))</f>
        <v>50.8965517241379</v>
      </c>
      <c r="AM944" s="16">
        <f>IF($V944&lt;&gt;1,"",IFERROR(($P944-$AL944)/SQRT(MAX(0,(SUMIFS(Clean_Data!$AK$2:$AK$1001,Clean_Data!$F$2:$F$1001,$F944,Clean_Data!$W$2:$W$1001,$W944,Clean_Data!$V$2:$V$1001,1)-COUNTIFS(Clean_Data!$F$2:$F$1001,$F944,Clean_Data!$W$2:$W$1001,$W944,Clean_Data!$V$2:$V$1001,1)*$AL944^2)/(COUNTIFS(Clean_Data!$F$2:$F$1001,$F944,Clean_Data!$W$2:$W$1001,$W944,Clean_Data!$V$2:$V$1001,1)-1))),""))</f>
        <v>-0.282190327455623</v>
      </c>
      <c r="AN944" s="5" t="str">
        <f>IF($AM944="","",IF($AM944&gt;=Lookups!$K$6,"High spike",IF($AM944&lt;=-Lookups!$K$6,"Unusual low","Normal")))</f>
        <v>Normal</v>
      </c>
      <c r="AO944" s="20">
        <f>IF($V944&lt;&gt;1,"",$P944+ROW()/100000)</f>
        <v>47.00944</v>
      </c>
      <c r="AP944" s="5">
        <f>IF($A944="","",IFERROR(MATCH($A944,Raw_D1!$A$2:$A$1001,0),""))</f>
        <v/>
      </c>
      <c r="AQ944" s="5">
        <f>IF($A944="","",IFERROR(MATCH($A944,Raw_D2!$B$2:$B$1001,0),""))</f>
        <v/>
      </c>
      <c r="AR944" s="5">
        <f>IF($A944="","",IFERROR(MATCH($A944,Raw_D3!$A$2:$A$1001,0),""))</f>
        <v>324</v>
      </c>
    </row>
    <row r="945" spans="1:44" x14ac:dyDescent="0.25">
      <c r="A945" s="5">
        <v>944</v>
      </c>
      <c r="B945" s="11">
        <f>IF($A945="","",IF($AP945&lt;&gt;"",INDEX(Raw_D1!$B$2:$B$1001,$AP945),IF($AR945&lt;&gt;"",INDEX(Raw_D3!$B$2:$B$1001,$AR945),"")))</f>
        <v>40585.0</v>
      </c>
      <c r="C945" s="5">
        <f>IF($A945="","",IF($AP945&lt;&gt;"",INDEX(Raw_D1!$C$2:$C$1001,$AP945),IF($AR945&lt;&gt;"",INDEX(Raw_D3!$C$2:$C$1001,$AR945),"")))</f>
        <v>1</v>
      </c>
      <c r="D945" s="5">
        <f>IF($A945="","",IF($AP945&lt;&gt;"",INDEX(Raw_D1!$D$2:$D$1001,$AP945),IF($AR945&lt;&gt;"",INDEX(Raw_D3!$D$2:$D$1001,$AR945),"")))</f>
        <v>0</v>
      </c>
      <c r="E945" s="5">
        <f>IF($A945="","",IF($AP945&lt;&gt;"",INDEX(Raw_D1!$E$2:$E$1001,$AP945),IF($AR945&lt;&gt;"",INDEX(Raw_D3!$E$2:$E$1001,$AR945),"")))</f>
        <v>2</v>
      </c>
      <c r="F945" s="5">
        <f>IF($A945="","",IF($AP945&lt;&gt;"",INDEX(Raw_D1!$F$2:$F$1001,$AP945),IF($AR945&lt;&gt;"",INDEX(Raw_D3!$F$2:$F$1001,$AR945),"")))</f>
        <v>22</v>
      </c>
      <c r="G945" s="5">
        <f>IF($A945="","",IF($AP945&lt;&gt;"",IF(INDEX(Raw_D1!$G$2:$G$1001,$AP945),1,0),IF($AR945&lt;&gt;"",IF(INDEX(Raw_D3!$G$2:$G$1001,$AR945),1,0),"")))</f>
        <v>0</v>
      </c>
      <c r="H945" s="5">
        <f>IF($A945="","",IF($AP945&lt;&gt;"",INDEX(Raw_D1!$H$2:$H$1001,$AP945),IF($AR945&lt;&gt;"",INDEX(Raw_D3!$H$2:$H$1001,$AR945),"")))</f>
        <v>5</v>
      </c>
      <c r="I945" s="5">
        <f>IF($A945="","",IF($AP945&lt;&gt;"",INDEX(Raw_D1!$I$2:$I$1001,$AP945),IF($AR945&lt;&gt;"",INDEX(Raw_D3!$I$2:$I$1001,$AR945),"")))</f>
        <v>1</v>
      </c>
      <c r="J945" s="16">
        <f>IF($A945="","",IF($AP945&lt;&gt;"",INDEX(Raw_D1!$J$2:$J$1001,$AP945),IF($AR945&lt;&gt;"",INDEX(Raw_D3!$J$2:$J$1001,$AR945),"")))</f>
        <v>0.2</v>
      </c>
      <c r="K945" s="17">
        <f>IF($A945="","",IF($AQ945&lt;&gt;"",IF(INDEX(Raw_D2!$C$2:$C$1001,$AQ945)="","",INDEX(Raw_D2!$C$2:$C$1001,$AQ945)),IF($AR945&lt;&gt;"",IF(INDEX(Raw_D3!$K$2:$K$1001,$AR945)="","",INDEX(Raw_D3!$K$2:$K$1001,$AR945)),"")))</f>
        <v>0.2273</v>
      </c>
      <c r="L945" s="16">
        <f>IF($A945="","",IF($AQ945&lt;&gt;"",IF(INDEX(Raw_D2!$D$2:$D$1001,$AQ945)="","",INDEX(Raw_D2!$D$2:$D$1001,$AQ945)),IF($AR945&lt;&gt;"",IF(INDEX(Raw_D3!$L$2:$L$1001,$AR945)="","",INDEX(Raw_D3!$L$2:$L$1001,$AR945)),"")))</f>
        <v>0.64</v>
      </c>
      <c r="M945" s="17">
        <f>IF($A945="","",IF($AQ945&lt;&gt;"",IF(INDEX(Raw_D2!$E$2:$E$1001,$AQ945)="","",INDEX(Raw_D2!$E$2:$E$1001,$AQ945)),IF($AR945&lt;&gt;"",IF(INDEX(Raw_D3!$M$2:$M$1001,$AR945)="","",INDEX(Raw_D3!$M$2:$M$1001,$AR945)),"")))</f>
        <v>0.0896</v>
      </c>
      <c r="N945" s="5">
        <f>IF($A945="","",IF($AQ945&lt;&gt;"",IF(INDEX(Raw_D2!$F$2:$F$1001,$AQ945)="","",INDEX(Raw_D2!$F$2:$F$1001,$AQ945)),IF($AR945&lt;&gt;"",IF(INDEX(Raw_D3!$N$2:$N$1001,$AR945)="","",INDEX(Raw_D3!$N$2:$N$1001,$AR945)),"")))</f>
        <v>2</v>
      </c>
      <c r="O945" s="5">
        <f>IF($A945="","",IF($AQ945&lt;&gt;"",IF(INDEX(Raw_D2!$G$2:$G$1001,$AQ945)="","",INDEX(Raw_D2!$G$2:$G$1001,$AQ945)),IF($AR945&lt;&gt;"",IF(INDEX(Raw_D3!$O$2:$O$1001,$AR945)="","",INDEX(Raw_D3!$O$2:$O$1001,$AR945)),"")))</f>
        <v>41</v>
      </c>
      <c r="P945" s="5">
        <f>IF($A945="","",IF($AQ945&lt;&gt;"",IF(INDEX(Raw_D2!$H$2:$H$1001,$AQ945)="","",INDEX(Raw_D2!$H$2:$H$1001,$AQ945)),IF($AR945&lt;&gt;"",IF(INDEX(Raw_D3!$P$2:$P$1001,$AR945)="","",INDEX(Raw_D3!$P$2:$P$1001,$AR945)),"")))</f>
        <v>43</v>
      </c>
      <c r="Q945" s="5" t="str">
        <f>IF($A945="","",IF(AND($AP945&lt;&gt;"",$AQ945&lt;&gt;""),"D1+D2",IF($AR945&lt;&gt;"","D3","Incomplete")))</f>
        <v>D3</v>
      </c>
      <c r="R945" s="17">
        <f>IF($A945="","",IF($K945="",IF($J945="","",ROUND(Lookups!$K$5+Lookups!$K$4*$J945,4)),$K945))</f>
        <v>0.2273</v>
      </c>
      <c r="S945" s="5" t="str">
        <f>IF($A945="","",IF($K945="","Imputed","Original"))</f>
        <v>Original</v>
      </c>
      <c r="T945" s="5" t="str">
        <f>IF($A945="","",IF($P945="","Missing",IF($P945=$N945+$O945,"OK","Mismatch")))</f>
        <v>OK</v>
      </c>
      <c r="U945" s="5" t="str">
        <f>IF($A945="","",IF(COUNTIF($A$2:$A945,$A945)&gt;1,"Duplicate","Unique"))</f>
        <v>Unique</v>
      </c>
      <c r="V945" s="5">
        <f>IF($A945="","",IF(AND($U945="Unique",ISNUMBER($P945)),1,0))</f>
        <v>1</v>
      </c>
      <c r="W945" s="5" t="str">
        <f>IF($A945="","",IF(OR($H945=0,$H945=6),"Weekend","Weekday"))</f>
        <v>Weekday</v>
      </c>
      <c r="X945" s="5" t="str">
        <f>IF($A945="","",TEXT($B945,"ddd"))</f>
        <v>Fri</v>
      </c>
      <c r="Y945" s="5" t="str">
        <f>IF($A945="","",TEXT($B945,"mmm"))</f>
        <v>Feb</v>
      </c>
      <c r="Z945" s="5" t="str">
        <f>IF($A945="","",IFERROR(VLOOKUP($C945,Lookups!$D$4:$E$7,2,FALSE),"Unknown"))</f>
        <v>Winter</v>
      </c>
      <c r="AA945" s="5" t="str">
        <f>IF($A945="","",IFERROR(VLOOKUP($I945,Lookups!$A$4:$B$7,2,FALSE),"Unknown"))</f>
        <v>Clear</v>
      </c>
      <c r="AB945" s="5" t="str">
        <f>IF($A945="","",TEXT($F945,"00")&amp;":00")</f>
        <v>22:00</v>
      </c>
      <c r="AC945" s="5" t="str">
        <f>IF($A945="","",VLOOKUP($F945,Lookups!$G$4:$H$8,2,TRUE))</f>
        <v>Late Evening (20-23)</v>
      </c>
      <c r="AD945" s="18">
        <f>IF($A945="","",IF($J945="","",ROUND($J945*41,1)))</f>
        <v>8.2</v>
      </c>
      <c r="AE945" s="18">
        <f>IF($A945="","",IF($R945="","",ROUND($R945*50,1)))</f>
        <v>11.4</v>
      </c>
      <c r="AF945" s="5">
        <f>IF($A945="","",IF($L945="","",ROUND($L945*100,0)))</f>
        <v>64</v>
      </c>
      <c r="AG945" s="18">
        <f>IF($A945="","",IF($M945="","",ROUND($M945*67,1)))</f>
        <v>6</v>
      </c>
      <c r="AH945" s="19">
        <f>IF($A945="","",IF($P945="","",IF($P945=0,0,$O945/$P945)))</f>
        <v>0.953488372093023</v>
      </c>
      <c r="AI945" s="5" t="str">
        <f>IF($A945="","",IF($P945="","",IF($P945&gt;=Lookups!$K$7,"High",IF($P945&lt;=Lookups!$K$8,"Low","Medium"))))</f>
        <v>Medium</v>
      </c>
      <c r="AJ945" s="5" t="str">
        <f>IF($A945="","",IF($AD945="","",IF($AD945&lt;5,"Under 5 C",IF($AD945&lt;10,"5-10 C",IF($AD945&lt;15,"10-15 C","15 C and above")))))</f>
        <v>5-10 C</v>
      </c>
      <c r="AK945" s="5">
        <f>IF($A945="","",IF($P945="","",$P945^2))</f>
        <v>1849</v>
      </c>
      <c r="AL945" s="18">
        <f>IF($V945&lt;&gt;1,"",AVERAGEIFS(Clean_Data!$P$2:$P$1001,Clean_Data!$F$2:$F$1001,$F945,Clean_Data!$W$2:$W$1001,$W945,Clean_Data!$V$2:$V$1001,1))</f>
        <v>37.1034482758621</v>
      </c>
      <c r="AM945" s="16">
        <f>IF($V945&lt;&gt;1,"",IFERROR(($P945-$AL945)/SQRT(MAX(0,(SUMIFS(Clean_Data!$AK$2:$AK$1001,Clean_Data!$F$2:$F$1001,$F945,Clean_Data!$W$2:$W$1001,$W945,Clean_Data!$V$2:$V$1001,1)-COUNTIFS(Clean_Data!$F$2:$F$1001,$F945,Clean_Data!$W$2:$W$1001,$W945,Clean_Data!$V$2:$V$1001,1)*$AL945^2)/(COUNTIFS(Clean_Data!$F$2:$F$1001,$F945,Clean_Data!$W$2:$W$1001,$W945,Clean_Data!$V$2:$V$1001,1)-1))),""))</f>
        <v>0.546247226847996</v>
      </c>
      <c r="AN945" s="5" t="str">
        <f>IF($AM945="","",IF($AM945&gt;=Lookups!$K$6,"High spike",IF($AM945&lt;=-Lookups!$K$6,"Unusual low","Normal")))</f>
        <v>Normal</v>
      </c>
      <c r="AO945" s="20">
        <f>IF($V945&lt;&gt;1,"",$P945+ROW()/100000)</f>
        <v>43.00945</v>
      </c>
      <c r="AP945" s="5">
        <f>IF($A945="","",IFERROR(MATCH($A945,Raw_D1!$A$2:$A$1001,0),""))</f>
        <v/>
      </c>
      <c r="AQ945" s="5">
        <f>IF($A945="","",IFERROR(MATCH($A945,Raw_D2!$B$2:$B$1001,0),""))</f>
        <v/>
      </c>
      <c r="AR945" s="5">
        <f>IF($A945="","",IFERROR(MATCH($A945,Raw_D3!$A$2:$A$1001,0),""))</f>
        <v>325</v>
      </c>
    </row>
    <row r="946" spans="1:44" x14ac:dyDescent="0.25">
      <c r="A946" s="5">
        <v>945</v>
      </c>
      <c r="B946" s="11">
        <f>IF($A946="","",IF($AP946&lt;&gt;"",INDEX(Raw_D1!$B$2:$B$1001,$AP946),IF($AR946&lt;&gt;"",INDEX(Raw_D3!$B$2:$B$1001,$AR946),"")))</f>
        <v>40585.0</v>
      </c>
      <c r="C946" s="5">
        <f>IF($A946="","",IF($AP946&lt;&gt;"",INDEX(Raw_D1!$C$2:$C$1001,$AP946),IF($AR946&lt;&gt;"",INDEX(Raw_D3!$C$2:$C$1001,$AR946),"")))</f>
        <v>1</v>
      </c>
      <c r="D946" s="5">
        <f>IF($A946="","",IF($AP946&lt;&gt;"",INDEX(Raw_D1!$D$2:$D$1001,$AP946),IF($AR946&lt;&gt;"",INDEX(Raw_D3!$D$2:$D$1001,$AR946),"")))</f>
        <v>0</v>
      </c>
      <c r="E946" s="5">
        <f>IF($A946="","",IF($AP946&lt;&gt;"",INDEX(Raw_D1!$E$2:$E$1001,$AP946),IF($AR946&lt;&gt;"",INDEX(Raw_D3!$E$2:$E$1001,$AR946),"")))</f>
        <v>2</v>
      </c>
      <c r="F946" s="5">
        <f>IF($A946="","",IF($AP946&lt;&gt;"",INDEX(Raw_D1!$F$2:$F$1001,$AP946),IF($AR946&lt;&gt;"",INDEX(Raw_D3!$F$2:$F$1001,$AR946),"")))</f>
        <v>23</v>
      </c>
      <c r="G946" s="5">
        <f>IF($A946="","",IF($AP946&lt;&gt;"",IF(INDEX(Raw_D1!$G$2:$G$1001,$AP946),1,0),IF($AR946&lt;&gt;"",IF(INDEX(Raw_D3!$G$2:$G$1001,$AR946),1,0),"")))</f>
        <v>0</v>
      </c>
      <c r="H946" s="5">
        <f>IF($A946="","",IF($AP946&lt;&gt;"",INDEX(Raw_D1!$H$2:$H$1001,$AP946),IF($AR946&lt;&gt;"",INDEX(Raw_D3!$H$2:$H$1001,$AR946),"")))</f>
        <v>5</v>
      </c>
      <c r="I946" s="5">
        <f>IF($A946="","",IF($AP946&lt;&gt;"",INDEX(Raw_D1!$I$2:$I$1001,$AP946),IF($AR946&lt;&gt;"",INDEX(Raw_D3!$I$2:$I$1001,$AR946),"")))</f>
        <v>1</v>
      </c>
      <c r="J946" s="16">
        <f>IF($A946="","",IF($AP946&lt;&gt;"",INDEX(Raw_D1!$J$2:$J$1001,$AP946),IF($AR946&lt;&gt;"",INDEX(Raw_D3!$J$2:$J$1001,$AR946),"")))</f>
        <v>0.18</v>
      </c>
      <c r="K946" s="17">
        <f>IF($A946="","",IF($AQ946&lt;&gt;"",IF(INDEX(Raw_D2!$C$2:$C$1001,$AQ946)="","",INDEX(Raw_D2!$C$2:$C$1001,$AQ946)),IF($AR946&lt;&gt;"",IF(INDEX(Raw_D3!$K$2:$K$1001,$AR946)="","",INDEX(Raw_D3!$K$2:$K$1001,$AR946)),"")))</f>
        <v>0.2424</v>
      </c>
      <c r="L946" s="16">
        <f>IF($A946="","",IF($AQ946&lt;&gt;"",IF(INDEX(Raw_D2!$D$2:$D$1001,$AQ946)="","",INDEX(Raw_D2!$D$2:$D$1001,$AQ946)),IF($AR946&lt;&gt;"",IF(INDEX(Raw_D3!$L$2:$L$1001,$AR946)="","",INDEX(Raw_D3!$L$2:$L$1001,$AR946)),"")))</f>
        <v>0.69</v>
      </c>
      <c r="M946" s="17">
        <f>IF($A946="","",IF($AQ946&lt;&gt;"",IF(INDEX(Raw_D2!$E$2:$E$1001,$AQ946)="","",INDEX(Raw_D2!$E$2:$E$1001,$AQ946)),IF($AR946&lt;&gt;"",IF(INDEX(Raw_D3!$M$2:$M$1001,$AR946)="","",INDEX(Raw_D3!$M$2:$M$1001,$AR946)),"")))</f>
        <v>0</v>
      </c>
      <c r="N946" s="5">
        <f>IF($A946="","",IF($AQ946&lt;&gt;"",IF(INDEX(Raw_D2!$F$2:$F$1001,$AQ946)="","",INDEX(Raw_D2!$F$2:$F$1001,$AQ946)),IF($AR946&lt;&gt;"",IF(INDEX(Raw_D3!$N$2:$N$1001,$AR946)="","",INDEX(Raw_D3!$N$2:$N$1001,$AR946)),"")))</f>
        <v>5</v>
      </c>
      <c r="O946" s="5">
        <f>IF($A946="","",IF($AQ946&lt;&gt;"",IF(INDEX(Raw_D2!$G$2:$G$1001,$AQ946)="","",INDEX(Raw_D2!$G$2:$G$1001,$AQ946)),IF($AR946&lt;&gt;"",IF(INDEX(Raw_D3!$O$2:$O$1001,$AR946)="","",INDEX(Raw_D3!$O$2:$O$1001,$AR946)),"")))</f>
        <v>48</v>
      </c>
      <c r="P946" s="5">
        <f>IF($A946="","",IF($AQ946&lt;&gt;"",IF(INDEX(Raw_D2!$H$2:$H$1001,$AQ946)="","",INDEX(Raw_D2!$H$2:$H$1001,$AQ946)),IF($AR946&lt;&gt;"",IF(INDEX(Raw_D3!$P$2:$P$1001,$AR946)="","",INDEX(Raw_D3!$P$2:$P$1001,$AR946)),"")))</f>
        <v>53</v>
      </c>
      <c r="Q946" s="5" t="str">
        <f>IF($A946="","",IF(AND($AP946&lt;&gt;"",$AQ946&lt;&gt;""),"D1+D2",IF($AR946&lt;&gt;"","D3","Incomplete")))</f>
        <v>D3</v>
      </c>
      <c r="R946" s="17">
        <f>IF($A946="","",IF($K946="",IF($J946="","",ROUND(Lookups!$K$5+Lookups!$K$4*$J946,4)),$K946))</f>
        <v>0.2424</v>
      </c>
      <c r="S946" s="5" t="str">
        <f>IF($A946="","",IF($K946="","Imputed","Original"))</f>
        <v>Original</v>
      </c>
      <c r="T946" s="5" t="str">
        <f>IF($A946="","",IF($P946="","Missing",IF($P946=$N946+$O946,"OK","Mismatch")))</f>
        <v>OK</v>
      </c>
      <c r="U946" s="5" t="str">
        <f>IF($A946="","",IF(COUNTIF($A$2:$A946,$A946)&gt;1,"Duplicate","Unique"))</f>
        <v>Unique</v>
      </c>
      <c r="V946" s="5">
        <f>IF($A946="","",IF(AND($U946="Unique",ISNUMBER($P946)),1,0))</f>
        <v>1</v>
      </c>
      <c r="W946" s="5" t="str">
        <f>IF($A946="","",IF(OR($H946=0,$H946=6),"Weekend","Weekday"))</f>
        <v>Weekday</v>
      </c>
      <c r="X946" s="5" t="str">
        <f>IF($A946="","",TEXT($B946,"ddd"))</f>
        <v>Fri</v>
      </c>
      <c r="Y946" s="5" t="str">
        <f>IF($A946="","",TEXT($B946,"mmm"))</f>
        <v>Feb</v>
      </c>
      <c r="Z946" s="5" t="str">
        <f>IF($A946="","",IFERROR(VLOOKUP($C946,Lookups!$D$4:$E$7,2,FALSE),"Unknown"))</f>
        <v>Winter</v>
      </c>
      <c r="AA946" s="5" t="str">
        <f>IF($A946="","",IFERROR(VLOOKUP($I946,Lookups!$A$4:$B$7,2,FALSE),"Unknown"))</f>
        <v>Clear</v>
      </c>
      <c r="AB946" s="5" t="str">
        <f>IF($A946="","",TEXT($F946,"00")&amp;":00")</f>
        <v>23:00</v>
      </c>
      <c r="AC946" s="5" t="str">
        <f>IF($A946="","",VLOOKUP($F946,Lookups!$G$4:$H$8,2,TRUE))</f>
        <v>Late Evening (20-23)</v>
      </c>
      <c r="AD946" s="18">
        <f>IF($A946="","",IF($J946="","",ROUND($J946*41,1)))</f>
        <v>7.4</v>
      </c>
      <c r="AE946" s="18">
        <f>IF($A946="","",IF($R946="","",ROUND($R946*50,1)))</f>
        <v>12.1</v>
      </c>
      <c r="AF946" s="5">
        <f>IF($A946="","",IF($L946="","",ROUND($L946*100,0)))</f>
        <v>69</v>
      </c>
      <c r="AG946" s="18">
        <f>IF($A946="","",IF($M946="","",ROUND($M946*67,1)))</f>
        <v>0</v>
      </c>
      <c r="AH946" s="19">
        <f>IF($A946="","",IF($P946="","",IF($P946=0,0,$O946/$P946)))</f>
        <v>0.905660377358491</v>
      </c>
      <c r="AI946" s="5" t="str">
        <f>IF($A946="","",IF($P946="","",IF($P946&gt;=Lookups!$K$7,"High",IF($P946&lt;=Lookups!$K$8,"Low","Medium"))))</f>
        <v>Medium</v>
      </c>
      <c r="AJ946" s="5" t="str">
        <f>IF($A946="","",IF($AD946="","",IF($AD946&lt;5,"Under 5 C",IF($AD946&lt;10,"5-10 C",IF($AD946&lt;15,"10-15 C","15 C and above")))))</f>
        <v>5-10 C</v>
      </c>
      <c r="AK946" s="5">
        <f>IF($A946="","",IF($P946="","",$P946^2))</f>
        <v>2809</v>
      </c>
      <c r="AL946" s="18">
        <f>IF($V946&lt;&gt;1,"",AVERAGEIFS(Clean_Data!$P$2:$P$1001,Clean_Data!$F$2:$F$1001,$F946,Clean_Data!$W$2:$W$1001,$W946,Clean_Data!$V$2:$V$1001,1))</f>
        <v>23.6896551724138</v>
      </c>
      <c r="AM946" s="16">
        <f>IF($V946&lt;&gt;1,"",IFERROR(($P946-$AL946)/SQRT(MAX(0,(SUMIFS(Clean_Data!$AK$2:$AK$1001,Clean_Data!$F$2:$F$1001,$F946,Clean_Data!$W$2:$W$1001,$W946,Clean_Data!$V$2:$V$1001,1)-COUNTIFS(Clean_Data!$F$2:$F$1001,$F946,Clean_Data!$W$2:$W$1001,$W946,Clean_Data!$V$2:$V$1001,1)*$AL946^2)/(COUNTIFS(Clean_Data!$F$2:$F$1001,$F946,Clean_Data!$W$2:$W$1001,$W946,Clean_Data!$V$2:$V$1001,1)-1))),""))</f>
        <v>2.79817397881867</v>
      </c>
      <c r="AN946" s="5" t="str">
        <f>IF($AM946="","",IF($AM946&gt;=Lookups!$K$6,"High spike",IF($AM946&lt;=-Lookups!$K$6,"Unusual low","Normal")))</f>
        <v>Normal</v>
      </c>
      <c r="AO946" s="20">
        <f>IF($V946&lt;&gt;1,"",$P946+ROW()/100000)</f>
        <v>53.00946</v>
      </c>
      <c r="AP946" s="5">
        <f>IF($A946="","",IFERROR(MATCH($A946,Raw_D1!$A$2:$A$1001,0),""))</f>
        <v/>
      </c>
      <c r="AQ946" s="5">
        <f>IF($A946="","",IFERROR(MATCH($A946,Raw_D2!$B$2:$B$1001,0),""))</f>
        <v/>
      </c>
      <c r="AR946" s="5">
        <f>IF($A946="","",IFERROR(MATCH($A946,Raw_D3!$A$2:$A$1001,0),""))</f>
        <v>326</v>
      </c>
    </row>
    <row r="947" spans="1:44" x14ac:dyDescent="0.25">
      <c r="A947" s="5">
        <v>946</v>
      </c>
      <c r="B947" s="11">
        <f>IF($A947="","",IF($AP947&lt;&gt;"",INDEX(Raw_D1!$B$2:$B$1001,$AP947),IF($AR947&lt;&gt;"",INDEX(Raw_D3!$B$2:$B$1001,$AR947),"")))</f>
        <v>40586.0</v>
      </c>
      <c r="C947" s="5">
        <f>IF($A947="","",IF($AP947&lt;&gt;"",INDEX(Raw_D1!$C$2:$C$1001,$AP947),IF($AR947&lt;&gt;"",INDEX(Raw_D3!$C$2:$C$1001,$AR947),"")))</f>
        <v>1</v>
      </c>
      <c r="D947" s="5">
        <f>IF($A947="","",IF($AP947&lt;&gt;"",INDEX(Raw_D1!$D$2:$D$1001,$AP947),IF($AR947&lt;&gt;"",INDEX(Raw_D3!$D$2:$D$1001,$AR947),"")))</f>
        <v>0</v>
      </c>
      <c r="E947" s="5">
        <f>IF($A947="","",IF($AP947&lt;&gt;"",INDEX(Raw_D1!$E$2:$E$1001,$AP947),IF($AR947&lt;&gt;"",INDEX(Raw_D3!$E$2:$E$1001,$AR947),"")))</f>
        <v>2</v>
      </c>
      <c r="F947" s="5">
        <f>IF($A947="","",IF($AP947&lt;&gt;"",INDEX(Raw_D1!$F$2:$F$1001,$AP947),IF($AR947&lt;&gt;"",INDEX(Raw_D3!$F$2:$F$1001,$AR947),"")))</f>
        <v>0</v>
      </c>
      <c r="G947" s="5">
        <f>IF($A947="","",IF($AP947&lt;&gt;"",IF(INDEX(Raw_D1!$G$2:$G$1001,$AP947),1,0),IF($AR947&lt;&gt;"",IF(INDEX(Raw_D3!$G$2:$G$1001,$AR947),1,0),"")))</f>
        <v>0</v>
      </c>
      <c r="H947" s="5">
        <f>IF($A947="","",IF($AP947&lt;&gt;"",INDEX(Raw_D1!$H$2:$H$1001,$AP947),IF($AR947&lt;&gt;"",INDEX(Raw_D3!$H$2:$H$1001,$AR947),"")))</f>
        <v>6</v>
      </c>
      <c r="I947" s="5">
        <f>IF($A947="","",IF($AP947&lt;&gt;"",INDEX(Raw_D1!$I$2:$I$1001,$AP947),IF($AR947&lt;&gt;"",INDEX(Raw_D3!$I$2:$I$1001,$AR947),"")))</f>
        <v>1</v>
      </c>
      <c r="J947" s="16">
        <f>IF($A947="","",IF($AP947&lt;&gt;"",INDEX(Raw_D1!$J$2:$J$1001,$AP947),IF($AR947&lt;&gt;"",INDEX(Raw_D3!$J$2:$J$1001,$AR947),"")))</f>
        <v>0.16</v>
      </c>
      <c r="K947" s="17">
        <f>IF($A947="","",IF($AQ947&lt;&gt;"",IF(INDEX(Raw_D2!$C$2:$C$1001,$AQ947)="","",INDEX(Raw_D2!$C$2:$C$1001,$AQ947)),IF($AR947&lt;&gt;"",IF(INDEX(Raw_D3!$K$2:$K$1001,$AR947)="","",INDEX(Raw_D3!$K$2:$K$1001,$AR947)),"")))</f>
        <v>0.197</v>
      </c>
      <c r="L947" s="16">
        <f>IF($A947="","",IF($AQ947&lt;&gt;"",IF(INDEX(Raw_D2!$D$2:$D$1001,$AQ947)="","",INDEX(Raw_D2!$D$2:$D$1001,$AQ947)),IF($AR947&lt;&gt;"",IF(INDEX(Raw_D3!$L$2:$L$1001,$AR947)="","",INDEX(Raw_D3!$L$2:$L$1001,$AR947)),"")))</f>
        <v>0.69</v>
      </c>
      <c r="M947" s="17">
        <f>IF($A947="","",IF($AQ947&lt;&gt;"",IF(INDEX(Raw_D2!$E$2:$E$1001,$AQ947)="","",INDEX(Raw_D2!$E$2:$E$1001,$AQ947)),IF($AR947&lt;&gt;"",IF(INDEX(Raw_D3!$M$2:$M$1001,$AR947)="","",INDEX(Raw_D3!$M$2:$M$1001,$AR947)),"")))</f>
        <v>0.0896</v>
      </c>
      <c r="N947" s="5">
        <f>IF($A947="","",IF($AQ947&lt;&gt;"",IF(INDEX(Raw_D2!$F$2:$F$1001,$AQ947)="","",INDEX(Raw_D2!$F$2:$F$1001,$AQ947)),IF($AR947&lt;&gt;"",IF(INDEX(Raw_D3!$N$2:$N$1001,$AR947)="","",INDEX(Raw_D3!$N$2:$N$1001,$AR947)),"")))</f>
        <v>3</v>
      </c>
      <c r="O947" s="5">
        <f>IF($A947="","",IF($AQ947&lt;&gt;"",IF(INDEX(Raw_D2!$G$2:$G$1001,$AQ947)="","",INDEX(Raw_D2!$G$2:$G$1001,$AQ947)),IF($AR947&lt;&gt;"",IF(INDEX(Raw_D3!$O$2:$O$1001,$AR947)="","",INDEX(Raw_D3!$O$2:$O$1001,$AR947)),"")))</f>
        <v>27</v>
      </c>
      <c r="P947" s="5">
        <f>IF($A947="","",IF($AQ947&lt;&gt;"",IF(INDEX(Raw_D2!$H$2:$H$1001,$AQ947)="","",INDEX(Raw_D2!$H$2:$H$1001,$AQ947)),IF($AR947&lt;&gt;"",IF(INDEX(Raw_D3!$P$2:$P$1001,$AR947)="","",INDEX(Raw_D3!$P$2:$P$1001,$AR947)),"")))</f>
        <v>30</v>
      </c>
      <c r="Q947" s="5" t="str">
        <f>IF($A947="","",IF(AND($AP947&lt;&gt;"",$AQ947&lt;&gt;""),"D1+D2",IF($AR947&lt;&gt;"","D3","Incomplete")))</f>
        <v>D3</v>
      </c>
      <c r="R947" s="17">
        <f>IF($A947="","",IF($K947="",IF($J947="","",ROUND(Lookups!$K$5+Lookups!$K$4*$J947,4)),$K947))</f>
        <v>0.197</v>
      </c>
      <c r="S947" s="5" t="str">
        <f>IF($A947="","",IF($K947="","Imputed","Original"))</f>
        <v>Original</v>
      </c>
      <c r="T947" s="5" t="str">
        <f>IF($A947="","",IF($P947="","Missing",IF($P947=$N947+$O947,"OK","Mismatch")))</f>
        <v>OK</v>
      </c>
      <c r="U947" s="5" t="str">
        <f>IF($A947="","",IF(COUNTIF($A$2:$A947,$A947)&gt;1,"Duplicate","Unique"))</f>
        <v>Unique</v>
      </c>
      <c r="V947" s="5">
        <f>IF($A947="","",IF(AND($U947="Unique",ISNUMBER($P947)),1,0))</f>
        <v>1</v>
      </c>
      <c r="W947" s="5" t="str">
        <f>IF($A947="","",IF(OR($H947=0,$H947=6),"Weekend","Weekday"))</f>
        <v>Weekend</v>
      </c>
      <c r="X947" s="5" t="str">
        <f>IF($A947="","",TEXT($B947,"ddd"))</f>
        <v>Sat</v>
      </c>
      <c r="Y947" s="5" t="str">
        <f>IF($A947="","",TEXT($B947,"mmm"))</f>
        <v>Feb</v>
      </c>
      <c r="Z947" s="5" t="str">
        <f>IF($A947="","",IFERROR(VLOOKUP($C947,Lookups!$D$4:$E$7,2,FALSE),"Unknown"))</f>
        <v>Winter</v>
      </c>
      <c r="AA947" s="5" t="str">
        <f>IF($A947="","",IFERROR(VLOOKUP($I947,Lookups!$A$4:$B$7,2,FALSE),"Unknown"))</f>
        <v>Clear</v>
      </c>
      <c r="AB947" s="5" t="str">
        <f>IF($A947="","",TEXT($F947,"00")&amp;":00")</f>
        <v>00:00</v>
      </c>
      <c r="AC947" s="5" t="str">
        <f>IF($A947="","",VLOOKUP($F947,Lookups!$G$4:$H$8,2,TRUE))</f>
        <v>Night (00-05)</v>
      </c>
      <c r="AD947" s="18">
        <f>IF($A947="","",IF($J947="","",ROUND($J947*41,1)))</f>
        <v>6.6</v>
      </c>
      <c r="AE947" s="18">
        <f>IF($A947="","",IF($R947="","",ROUND($R947*50,1)))</f>
        <v>9.9</v>
      </c>
      <c r="AF947" s="5">
        <f>IF($A947="","",IF($L947="","",ROUND($L947*100,0)))</f>
        <v>69</v>
      </c>
      <c r="AG947" s="18">
        <f>IF($A947="","",IF($M947="","",ROUND($M947*67,1)))</f>
        <v>6</v>
      </c>
      <c r="AH947" s="19">
        <f>IF($A947="","",IF($P947="","",IF($P947=0,0,$O947/$P947)))</f>
        <v>0.9</v>
      </c>
      <c r="AI947" s="5" t="str">
        <f>IF($A947="","",IF($P947="","",IF($P947&gt;=Lookups!$K$7,"High",IF($P947&lt;=Lookups!$K$8,"Low","Medium"))))</f>
        <v>Medium</v>
      </c>
      <c r="AJ947" s="5" t="str">
        <f>IF($A947="","",IF($AD947="","",IF($AD947&lt;5,"Under 5 C",IF($AD947&lt;10,"5-10 C",IF($AD947&lt;15,"10-15 C","15 C and above")))))</f>
        <v>5-10 C</v>
      </c>
      <c r="AK947" s="5">
        <f>IF($A947="","",IF($P947="","",$P947^2))</f>
        <v>900</v>
      </c>
      <c r="AL947" s="18">
        <f>IF($V947&lt;&gt;1,"",AVERAGEIFS(Clean_Data!$P$2:$P$1001,Clean_Data!$F$2:$F$1001,$F947,Clean_Data!$W$2:$W$1001,$W947,Clean_Data!$V$2:$V$1001,1))</f>
        <v>28.0714285714286</v>
      </c>
      <c r="AM947" s="16">
        <f>IF($V947&lt;&gt;1,"",IFERROR(($P947-$AL947)/SQRT(MAX(0,(SUMIFS(Clean_Data!$AK$2:$AK$1001,Clean_Data!$F$2:$F$1001,$F947,Clean_Data!$W$2:$W$1001,$W947,Clean_Data!$V$2:$V$1001,1)-COUNTIFS(Clean_Data!$F$2:$F$1001,$F947,Clean_Data!$W$2:$W$1001,$W947,Clean_Data!$V$2:$V$1001,1)*$AL947^2)/(COUNTIFS(Clean_Data!$F$2:$F$1001,$F947,Clean_Data!$W$2:$W$1001,$W947,Clean_Data!$V$2:$V$1001,1)-1))),""))</f>
        <v>0.213887096779718</v>
      </c>
      <c r="AN947" s="5" t="str">
        <f>IF($AM947="","",IF($AM947&gt;=Lookups!$K$6,"High spike",IF($AM947&lt;=-Lookups!$K$6,"Unusual low","Normal")))</f>
        <v>Normal</v>
      </c>
      <c r="AO947" s="20">
        <f>IF($V947&lt;&gt;1,"",$P947+ROW()/100000)</f>
        <v>30.00947</v>
      </c>
      <c r="AP947" s="5">
        <f>IF($A947="","",IFERROR(MATCH($A947,Raw_D1!$A$2:$A$1001,0),""))</f>
        <v/>
      </c>
      <c r="AQ947" s="5">
        <f>IF($A947="","",IFERROR(MATCH($A947,Raw_D2!$B$2:$B$1001,0),""))</f>
        <v/>
      </c>
      <c r="AR947" s="5">
        <f>IF($A947="","",IFERROR(MATCH($A947,Raw_D3!$A$2:$A$1001,0),""))</f>
        <v>327</v>
      </c>
    </row>
    <row r="948" spans="1:44" x14ac:dyDescent="0.25">
      <c r="A948" s="5">
        <v>947</v>
      </c>
      <c r="B948" s="11">
        <f>IF($A948="","",IF($AP948&lt;&gt;"",INDEX(Raw_D1!$B$2:$B$1001,$AP948),IF($AR948&lt;&gt;"",INDEX(Raw_D3!$B$2:$B$1001,$AR948),"")))</f>
        <v>40586.0</v>
      </c>
      <c r="C948" s="5">
        <f>IF($A948="","",IF($AP948&lt;&gt;"",INDEX(Raw_D1!$C$2:$C$1001,$AP948),IF($AR948&lt;&gt;"",INDEX(Raw_D3!$C$2:$C$1001,$AR948),"")))</f>
        <v>1</v>
      </c>
      <c r="D948" s="5">
        <f>IF($A948="","",IF($AP948&lt;&gt;"",INDEX(Raw_D1!$D$2:$D$1001,$AP948),IF($AR948&lt;&gt;"",INDEX(Raw_D3!$D$2:$D$1001,$AR948),"")))</f>
        <v>0</v>
      </c>
      <c r="E948" s="5">
        <f>IF($A948="","",IF($AP948&lt;&gt;"",INDEX(Raw_D1!$E$2:$E$1001,$AP948),IF($AR948&lt;&gt;"",INDEX(Raw_D3!$E$2:$E$1001,$AR948),"")))</f>
        <v>2</v>
      </c>
      <c r="F948" s="5">
        <f>IF($A948="","",IF($AP948&lt;&gt;"",INDEX(Raw_D1!$F$2:$F$1001,$AP948),IF($AR948&lt;&gt;"",INDEX(Raw_D3!$F$2:$F$1001,$AR948),"")))</f>
        <v>1</v>
      </c>
      <c r="G948" s="5">
        <f>IF($A948="","",IF($AP948&lt;&gt;"",IF(INDEX(Raw_D1!$G$2:$G$1001,$AP948),1,0),IF($AR948&lt;&gt;"",IF(INDEX(Raw_D3!$G$2:$G$1001,$AR948),1,0),"")))</f>
        <v>0</v>
      </c>
      <c r="H948" s="5">
        <f>IF($A948="","",IF($AP948&lt;&gt;"",INDEX(Raw_D1!$H$2:$H$1001,$AP948),IF($AR948&lt;&gt;"",INDEX(Raw_D3!$H$2:$H$1001,$AR948),"")))</f>
        <v>6</v>
      </c>
      <c r="I948" s="5">
        <f>IF($A948="","",IF($AP948&lt;&gt;"",INDEX(Raw_D1!$I$2:$I$1001,$AP948),IF($AR948&lt;&gt;"",INDEX(Raw_D3!$I$2:$I$1001,$AR948),"")))</f>
        <v>1</v>
      </c>
      <c r="J948" s="16">
        <f>IF($A948="","",IF($AP948&lt;&gt;"",INDEX(Raw_D1!$J$2:$J$1001,$AP948),IF($AR948&lt;&gt;"",INDEX(Raw_D3!$J$2:$J$1001,$AR948),"")))</f>
        <v>0.14</v>
      </c>
      <c r="K948" s="17">
        <f>IF($A948="","",IF($AQ948&lt;&gt;"",IF(INDEX(Raw_D2!$C$2:$C$1001,$AQ948)="","",INDEX(Raw_D2!$C$2:$C$1001,$AQ948)),IF($AR948&lt;&gt;"",IF(INDEX(Raw_D3!$K$2:$K$1001,$AR948)="","",INDEX(Raw_D3!$K$2:$K$1001,$AR948)),"")))</f>
        <v>0.2121</v>
      </c>
      <c r="L948" s="16">
        <f>IF($A948="","",IF($AQ948&lt;&gt;"",IF(INDEX(Raw_D2!$D$2:$D$1001,$AQ948)="","",INDEX(Raw_D2!$D$2:$D$1001,$AQ948)),IF($AR948&lt;&gt;"",IF(INDEX(Raw_D3!$L$2:$L$1001,$AR948)="","",INDEX(Raw_D3!$L$2:$L$1001,$AR948)),"")))</f>
        <v>0.86</v>
      </c>
      <c r="M948" s="17">
        <f>IF($A948="","",IF($AQ948&lt;&gt;"",IF(INDEX(Raw_D2!$E$2:$E$1001,$AQ948)="","",INDEX(Raw_D2!$E$2:$E$1001,$AQ948)),IF($AR948&lt;&gt;"",IF(INDEX(Raw_D3!$M$2:$M$1001,$AR948)="","",INDEX(Raw_D3!$M$2:$M$1001,$AR948)),"")))</f>
        <v>0</v>
      </c>
      <c r="N948" s="5">
        <f>IF($A948="","",IF($AQ948&lt;&gt;"",IF(INDEX(Raw_D2!$F$2:$F$1001,$AQ948)="","",INDEX(Raw_D2!$F$2:$F$1001,$AQ948)),IF($AR948&lt;&gt;"",IF(INDEX(Raw_D3!$N$2:$N$1001,$AR948)="","",INDEX(Raw_D3!$N$2:$N$1001,$AR948)),"")))</f>
        <v>2</v>
      </c>
      <c r="O948" s="5">
        <f>IF($A948="","",IF($AQ948&lt;&gt;"",IF(INDEX(Raw_D2!$G$2:$G$1001,$AQ948)="","",INDEX(Raw_D2!$G$2:$G$1001,$AQ948)),IF($AR948&lt;&gt;"",IF(INDEX(Raw_D3!$O$2:$O$1001,$AR948)="","",INDEX(Raw_D3!$O$2:$O$1001,$AR948)),"")))</f>
        <v>22</v>
      </c>
      <c r="P948" s="5">
        <f>IF($A948="","",IF($AQ948&lt;&gt;"",IF(INDEX(Raw_D2!$H$2:$H$1001,$AQ948)="","",INDEX(Raw_D2!$H$2:$H$1001,$AQ948)),IF($AR948&lt;&gt;"",IF(INDEX(Raw_D3!$P$2:$P$1001,$AR948)="","",INDEX(Raw_D3!$P$2:$P$1001,$AR948)),"")))</f>
        <v>24</v>
      </c>
      <c r="Q948" s="5" t="str">
        <f>IF($A948="","",IF(AND($AP948&lt;&gt;"",$AQ948&lt;&gt;""),"D1+D2",IF($AR948&lt;&gt;"","D3","Incomplete")))</f>
        <v>D3</v>
      </c>
      <c r="R948" s="17">
        <f>IF($A948="","",IF($K948="",IF($J948="","",ROUND(Lookups!$K$5+Lookups!$K$4*$J948,4)),$K948))</f>
        <v>0.2121</v>
      </c>
      <c r="S948" s="5" t="str">
        <f>IF($A948="","",IF($K948="","Imputed","Original"))</f>
        <v>Original</v>
      </c>
      <c r="T948" s="5" t="str">
        <f>IF($A948="","",IF($P948="","Missing",IF($P948=$N948+$O948,"OK","Mismatch")))</f>
        <v>OK</v>
      </c>
      <c r="U948" s="5" t="str">
        <f>IF($A948="","",IF(COUNTIF($A$2:$A948,$A948)&gt;1,"Duplicate","Unique"))</f>
        <v>Unique</v>
      </c>
      <c r="V948" s="5">
        <f>IF($A948="","",IF(AND($U948="Unique",ISNUMBER($P948)),1,0))</f>
        <v>1</v>
      </c>
      <c r="W948" s="5" t="str">
        <f>IF($A948="","",IF(OR($H948=0,$H948=6),"Weekend","Weekday"))</f>
        <v>Weekend</v>
      </c>
      <c r="X948" s="5" t="str">
        <f>IF($A948="","",TEXT($B948,"ddd"))</f>
        <v>Sat</v>
      </c>
      <c r="Y948" s="5" t="str">
        <f>IF($A948="","",TEXT($B948,"mmm"))</f>
        <v>Feb</v>
      </c>
      <c r="Z948" s="5" t="str">
        <f>IF($A948="","",IFERROR(VLOOKUP($C948,Lookups!$D$4:$E$7,2,FALSE),"Unknown"))</f>
        <v>Winter</v>
      </c>
      <c r="AA948" s="5" t="str">
        <f>IF($A948="","",IFERROR(VLOOKUP($I948,Lookups!$A$4:$B$7,2,FALSE),"Unknown"))</f>
        <v>Clear</v>
      </c>
      <c r="AB948" s="5" t="str">
        <f>IF($A948="","",TEXT($F948,"00")&amp;":00")</f>
        <v>01:00</v>
      </c>
      <c r="AC948" s="5" t="str">
        <f>IF($A948="","",VLOOKUP($F948,Lookups!$G$4:$H$8,2,TRUE))</f>
        <v>Night (00-05)</v>
      </c>
      <c r="AD948" s="18">
        <f>IF($A948="","",IF($J948="","",ROUND($J948*41,1)))</f>
        <v>5.7</v>
      </c>
      <c r="AE948" s="18">
        <f>IF($A948="","",IF($R948="","",ROUND($R948*50,1)))</f>
        <v>10.6</v>
      </c>
      <c r="AF948" s="5">
        <f>IF($A948="","",IF($L948="","",ROUND($L948*100,0)))</f>
        <v>86</v>
      </c>
      <c r="AG948" s="18">
        <f>IF($A948="","",IF($M948="","",ROUND($M948*67,1)))</f>
        <v>0</v>
      </c>
      <c r="AH948" s="19">
        <f>IF($A948="","",IF($P948="","",IF($P948=0,0,$O948/$P948)))</f>
        <v>0.916666666666667</v>
      </c>
      <c r="AI948" s="5" t="str">
        <f>IF($A948="","",IF($P948="","",IF($P948&gt;=Lookups!$K$7,"High",IF($P948&lt;=Lookups!$K$8,"Low","Medium"))))</f>
        <v>Medium</v>
      </c>
      <c r="AJ948" s="5" t="str">
        <f>IF($A948="","",IF($AD948="","",IF($AD948&lt;5,"Under 5 C",IF($AD948&lt;10,"5-10 C",IF($AD948&lt;15,"10-15 C","15 C and above")))))</f>
        <v>5-10 C</v>
      </c>
      <c r="AK948" s="5">
        <f>IF($A948="","",IF($P948="","",$P948^2))</f>
        <v>576</v>
      </c>
      <c r="AL948" s="18">
        <f>IF($V948&lt;&gt;1,"",AVERAGEIFS(Clean_Data!$P$2:$P$1001,Clean_Data!$F$2:$F$1001,$F948,Clean_Data!$W$2:$W$1001,$W948,Clean_Data!$V$2:$V$1001,1))</f>
        <v>22.2857142857143</v>
      </c>
      <c r="AM948" s="16">
        <f>IF($V948&lt;&gt;1,"",IFERROR(($P948-$AL948)/SQRT(MAX(0,(SUMIFS(Clean_Data!$AK$2:$AK$1001,Clean_Data!$F$2:$F$1001,$F948,Clean_Data!$W$2:$W$1001,$W948,Clean_Data!$V$2:$V$1001,1)-COUNTIFS(Clean_Data!$F$2:$F$1001,$F948,Clean_Data!$W$2:$W$1001,$W948,Clean_Data!$V$2:$V$1001,1)*$AL948^2)/(COUNTIFS(Clean_Data!$F$2:$F$1001,$F948,Clean_Data!$W$2:$W$1001,$W948,Clean_Data!$V$2:$V$1001,1)-1))),""))</f>
        <v>0.17617774911641</v>
      </c>
      <c r="AN948" s="5" t="str">
        <f>IF($AM948="","",IF($AM948&gt;=Lookups!$K$6,"High spike",IF($AM948&lt;=-Lookups!$K$6,"Unusual low","Normal")))</f>
        <v>Normal</v>
      </c>
      <c r="AO948" s="20">
        <f>IF($V948&lt;&gt;1,"",$P948+ROW()/100000)</f>
        <v>24.00948</v>
      </c>
      <c r="AP948" s="5">
        <f>IF($A948="","",IFERROR(MATCH($A948,Raw_D1!$A$2:$A$1001,0),""))</f>
        <v/>
      </c>
      <c r="AQ948" s="5">
        <f>IF($A948="","",IFERROR(MATCH($A948,Raw_D2!$B$2:$B$1001,0),""))</f>
        <v/>
      </c>
      <c r="AR948" s="5">
        <f>IF($A948="","",IFERROR(MATCH($A948,Raw_D3!$A$2:$A$1001,0),""))</f>
        <v>328</v>
      </c>
    </row>
    <row r="949" spans="1:44" x14ac:dyDescent="0.25">
      <c r="A949" s="5">
        <v>948</v>
      </c>
      <c r="B949" s="11">
        <f>IF($A949="","",IF($AP949&lt;&gt;"",INDEX(Raw_D1!$B$2:$B$1001,$AP949),IF($AR949&lt;&gt;"",INDEX(Raw_D3!$B$2:$B$1001,$AR949),"")))</f>
        <v>40586.0</v>
      </c>
      <c r="C949" s="5">
        <f>IF($A949="","",IF($AP949&lt;&gt;"",INDEX(Raw_D1!$C$2:$C$1001,$AP949),IF($AR949&lt;&gt;"",INDEX(Raw_D3!$C$2:$C$1001,$AR949),"")))</f>
        <v>1</v>
      </c>
      <c r="D949" s="5">
        <f>IF($A949="","",IF($AP949&lt;&gt;"",INDEX(Raw_D1!$D$2:$D$1001,$AP949),IF($AR949&lt;&gt;"",INDEX(Raw_D3!$D$2:$D$1001,$AR949),"")))</f>
        <v>0</v>
      </c>
      <c r="E949" s="5">
        <f>IF($A949="","",IF($AP949&lt;&gt;"",INDEX(Raw_D1!$E$2:$E$1001,$AP949),IF($AR949&lt;&gt;"",INDEX(Raw_D3!$E$2:$E$1001,$AR949),"")))</f>
        <v>2</v>
      </c>
      <c r="F949" s="5">
        <f>IF($A949="","",IF($AP949&lt;&gt;"",INDEX(Raw_D1!$F$2:$F$1001,$AP949),IF($AR949&lt;&gt;"",INDEX(Raw_D3!$F$2:$F$1001,$AR949),"")))</f>
        <v>2</v>
      </c>
      <c r="G949" s="5">
        <f>IF($A949="","",IF($AP949&lt;&gt;"",IF(INDEX(Raw_D1!$G$2:$G$1001,$AP949),1,0),IF($AR949&lt;&gt;"",IF(INDEX(Raw_D3!$G$2:$G$1001,$AR949),1,0),"")))</f>
        <v>0</v>
      </c>
      <c r="H949" s="5">
        <f>IF($A949="","",IF($AP949&lt;&gt;"",INDEX(Raw_D1!$H$2:$H$1001,$AP949),IF($AR949&lt;&gt;"",INDEX(Raw_D3!$H$2:$H$1001,$AR949),"")))</f>
        <v>6</v>
      </c>
      <c r="I949" s="5">
        <f>IF($A949="","",IF($AP949&lt;&gt;"",INDEX(Raw_D1!$I$2:$I$1001,$AP949),IF($AR949&lt;&gt;"",INDEX(Raw_D3!$I$2:$I$1001,$AR949),"")))</f>
        <v>1</v>
      </c>
      <c r="J949" s="16">
        <f>IF($A949="","",IF($AP949&lt;&gt;"",INDEX(Raw_D1!$J$2:$J$1001,$AP949),IF($AR949&lt;&gt;"",INDEX(Raw_D3!$J$2:$J$1001,$AR949),"")))</f>
        <v>0.14</v>
      </c>
      <c r="K949" s="17">
        <f>IF($A949="","",IF($AQ949&lt;&gt;"",IF(INDEX(Raw_D2!$C$2:$C$1001,$AQ949)="","",INDEX(Raw_D2!$C$2:$C$1001,$AQ949)),IF($AR949&lt;&gt;"",IF(INDEX(Raw_D3!$K$2:$K$1001,$AR949)="","",INDEX(Raw_D3!$K$2:$K$1001,$AR949)),"")))</f>
        <v>0.2121</v>
      </c>
      <c r="L949" s="16">
        <f>IF($A949="","",IF($AQ949&lt;&gt;"",IF(INDEX(Raw_D2!$D$2:$D$1001,$AQ949)="","",INDEX(Raw_D2!$D$2:$D$1001,$AQ949)),IF($AR949&lt;&gt;"",IF(INDEX(Raw_D3!$L$2:$L$1001,$AR949)="","",INDEX(Raw_D3!$L$2:$L$1001,$AR949)),"")))</f>
        <v>0.8</v>
      </c>
      <c r="M949" s="17">
        <f>IF($A949="","",IF($AQ949&lt;&gt;"",IF(INDEX(Raw_D2!$E$2:$E$1001,$AQ949)="","",INDEX(Raw_D2!$E$2:$E$1001,$AQ949)),IF($AR949&lt;&gt;"",IF(INDEX(Raw_D3!$M$2:$M$1001,$AR949)="","",INDEX(Raw_D3!$M$2:$M$1001,$AR949)),"")))</f>
        <v>0</v>
      </c>
      <c r="N949" s="5">
        <f>IF($A949="","",IF($AQ949&lt;&gt;"",IF(INDEX(Raw_D2!$F$2:$F$1001,$AQ949)="","",INDEX(Raw_D2!$F$2:$F$1001,$AQ949)),IF($AR949&lt;&gt;"",IF(INDEX(Raw_D3!$N$2:$N$1001,$AR949)="","",INDEX(Raw_D3!$N$2:$N$1001,$AR949)),"")))</f>
        <v>2</v>
      </c>
      <c r="O949" s="5">
        <f>IF($A949="","",IF($AQ949&lt;&gt;"",IF(INDEX(Raw_D2!$G$2:$G$1001,$AQ949)="","",INDEX(Raw_D2!$G$2:$G$1001,$AQ949)),IF($AR949&lt;&gt;"",IF(INDEX(Raw_D3!$O$2:$O$1001,$AR949)="","",INDEX(Raw_D3!$O$2:$O$1001,$AR949)),"")))</f>
        <v>13</v>
      </c>
      <c r="P949" s="5">
        <f>IF($A949="","",IF($AQ949&lt;&gt;"",IF(INDEX(Raw_D2!$H$2:$H$1001,$AQ949)="","",INDEX(Raw_D2!$H$2:$H$1001,$AQ949)),IF($AR949&lt;&gt;"",IF(INDEX(Raw_D3!$P$2:$P$1001,$AR949)="","",INDEX(Raw_D3!$P$2:$P$1001,$AR949)),"")))</f>
        <v>15</v>
      </c>
      <c r="Q949" s="5" t="str">
        <f>IF($A949="","",IF(AND($AP949&lt;&gt;"",$AQ949&lt;&gt;""),"D1+D2",IF($AR949&lt;&gt;"","D3","Incomplete")))</f>
        <v>D3</v>
      </c>
      <c r="R949" s="17">
        <f>IF($A949="","",IF($K949="",IF($J949="","",ROUND(Lookups!$K$5+Lookups!$K$4*$J949,4)),$K949))</f>
        <v>0.2121</v>
      </c>
      <c r="S949" s="5" t="str">
        <f>IF($A949="","",IF($K949="","Imputed","Original"))</f>
        <v>Original</v>
      </c>
      <c r="T949" s="5" t="str">
        <f>IF($A949="","",IF($P949="","Missing",IF($P949=$N949+$O949,"OK","Mismatch")))</f>
        <v>OK</v>
      </c>
      <c r="U949" s="5" t="str">
        <f>IF($A949="","",IF(COUNTIF($A$2:$A949,$A949)&gt;1,"Duplicate","Unique"))</f>
        <v>Unique</v>
      </c>
      <c r="V949" s="5">
        <f>IF($A949="","",IF(AND($U949="Unique",ISNUMBER($P949)),1,0))</f>
        <v>1</v>
      </c>
      <c r="W949" s="5" t="str">
        <f>IF($A949="","",IF(OR($H949=0,$H949=6),"Weekend","Weekday"))</f>
        <v>Weekend</v>
      </c>
      <c r="X949" s="5" t="str">
        <f>IF($A949="","",TEXT($B949,"ddd"))</f>
        <v>Sat</v>
      </c>
      <c r="Y949" s="5" t="str">
        <f>IF($A949="","",TEXT($B949,"mmm"))</f>
        <v>Feb</v>
      </c>
      <c r="Z949" s="5" t="str">
        <f>IF($A949="","",IFERROR(VLOOKUP($C949,Lookups!$D$4:$E$7,2,FALSE),"Unknown"))</f>
        <v>Winter</v>
      </c>
      <c r="AA949" s="5" t="str">
        <f>IF($A949="","",IFERROR(VLOOKUP($I949,Lookups!$A$4:$B$7,2,FALSE),"Unknown"))</f>
        <v>Clear</v>
      </c>
      <c r="AB949" s="5" t="str">
        <f>IF($A949="","",TEXT($F949,"00")&amp;":00")</f>
        <v>02:00</v>
      </c>
      <c r="AC949" s="5" t="str">
        <f>IF($A949="","",VLOOKUP($F949,Lookups!$G$4:$H$8,2,TRUE))</f>
        <v>Night (00-05)</v>
      </c>
      <c r="AD949" s="18">
        <f>IF($A949="","",IF($J949="","",ROUND($J949*41,1)))</f>
        <v>5.7</v>
      </c>
      <c r="AE949" s="18">
        <f>IF($A949="","",IF($R949="","",ROUND($R949*50,1)))</f>
        <v>10.6</v>
      </c>
      <c r="AF949" s="5">
        <f>IF($A949="","",IF($L949="","",ROUND($L949*100,0)))</f>
        <v>80</v>
      </c>
      <c r="AG949" s="18">
        <f>IF($A949="","",IF($M949="","",ROUND($M949*67,1)))</f>
        <v>0</v>
      </c>
      <c r="AH949" s="19">
        <f>IF($A949="","",IF($P949="","",IF($P949=0,0,$O949/$P949)))</f>
        <v>0.866666666666667</v>
      </c>
      <c r="AI949" s="5" t="str">
        <f>IF($A949="","",IF($P949="","",IF($P949&gt;=Lookups!$K$7,"High",IF($P949&lt;=Lookups!$K$8,"Low","Medium"))))</f>
        <v>Low</v>
      </c>
      <c r="AJ949" s="5" t="str">
        <f>IF($A949="","",IF($AD949="","",IF($AD949&lt;5,"Under 5 C",IF($AD949&lt;10,"5-10 C",IF($AD949&lt;15,"10-15 C","15 C and above")))))</f>
        <v>5-10 C</v>
      </c>
      <c r="AK949" s="5">
        <f>IF($A949="","",IF($P949="","",$P949^2))</f>
        <v>225</v>
      </c>
      <c r="AL949" s="18">
        <f>IF($V949&lt;&gt;1,"",AVERAGEIFS(Clean_Data!$P$2:$P$1001,Clean_Data!$F$2:$F$1001,$F949,Clean_Data!$W$2:$W$1001,$W949,Clean_Data!$V$2:$V$1001,1))</f>
        <v>15.9285714285714</v>
      </c>
      <c r="AM949" s="16">
        <f>IF($V949&lt;&gt;1,"",IFERROR(($P949-$AL949)/SQRT(MAX(0,(SUMIFS(Clean_Data!$AK$2:$AK$1001,Clean_Data!$F$2:$F$1001,$F949,Clean_Data!$W$2:$W$1001,$W949,Clean_Data!$V$2:$V$1001,1)-COUNTIFS(Clean_Data!$F$2:$F$1001,$F949,Clean_Data!$W$2:$W$1001,$W949,Clean_Data!$V$2:$V$1001,1)*$AL949^2)/(COUNTIFS(Clean_Data!$F$2:$F$1001,$F949,Clean_Data!$W$2:$W$1001,$W949,Clean_Data!$V$2:$V$1001,1)-1))),""))</f>
        <v>-0.160538064839883</v>
      </c>
      <c r="AN949" s="5" t="str">
        <f>IF($AM949="","",IF($AM949&gt;=Lookups!$K$6,"High spike",IF($AM949&lt;=-Lookups!$K$6,"Unusual low","Normal")))</f>
        <v>Normal</v>
      </c>
      <c r="AO949" s="20">
        <f>IF($V949&lt;&gt;1,"",$P949+ROW()/100000)</f>
        <v>15.00949</v>
      </c>
      <c r="AP949" s="5">
        <f>IF($A949="","",IFERROR(MATCH($A949,Raw_D1!$A$2:$A$1001,0),""))</f>
        <v/>
      </c>
      <c r="AQ949" s="5">
        <f>IF($A949="","",IFERROR(MATCH($A949,Raw_D2!$B$2:$B$1001,0),""))</f>
        <v/>
      </c>
      <c r="AR949" s="5">
        <f>IF($A949="","",IFERROR(MATCH($A949,Raw_D3!$A$2:$A$1001,0),""))</f>
        <v>329</v>
      </c>
    </row>
    <row r="950" spans="1:44" x14ac:dyDescent="0.25">
      <c r="A950" s="5">
        <v>949</v>
      </c>
      <c r="B950" s="11">
        <f>IF($A950="","",IF($AP950&lt;&gt;"",INDEX(Raw_D1!$B$2:$B$1001,$AP950),IF($AR950&lt;&gt;"",INDEX(Raw_D3!$B$2:$B$1001,$AR950),"")))</f>
        <v>40586.0</v>
      </c>
      <c r="C950" s="5">
        <f>IF($A950="","",IF($AP950&lt;&gt;"",INDEX(Raw_D1!$C$2:$C$1001,$AP950),IF($AR950&lt;&gt;"",INDEX(Raw_D3!$C$2:$C$1001,$AR950),"")))</f>
        <v>1</v>
      </c>
      <c r="D950" s="5">
        <f>IF($A950="","",IF($AP950&lt;&gt;"",INDEX(Raw_D1!$D$2:$D$1001,$AP950),IF($AR950&lt;&gt;"",INDEX(Raw_D3!$D$2:$D$1001,$AR950),"")))</f>
        <v>0</v>
      </c>
      <c r="E950" s="5">
        <f>IF($A950="","",IF($AP950&lt;&gt;"",INDEX(Raw_D1!$E$2:$E$1001,$AP950),IF($AR950&lt;&gt;"",INDEX(Raw_D3!$E$2:$E$1001,$AR950),"")))</f>
        <v>2</v>
      </c>
      <c r="F950" s="5">
        <f>IF($A950="","",IF($AP950&lt;&gt;"",INDEX(Raw_D1!$F$2:$F$1001,$AP950),IF($AR950&lt;&gt;"",INDEX(Raw_D3!$F$2:$F$1001,$AR950),"")))</f>
        <v>3</v>
      </c>
      <c r="G950" s="5">
        <f>IF($A950="","",IF($AP950&lt;&gt;"",IF(INDEX(Raw_D1!$G$2:$G$1001,$AP950),1,0),IF($AR950&lt;&gt;"",IF(INDEX(Raw_D3!$G$2:$G$1001,$AR950),1,0),"")))</f>
        <v>0</v>
      </c>
      <c r="H950" s="5">
        <f>IF($A950="","",IF($AP950&lt;&gt;"",INDEX(Raw_D1!$H$2:$H$1001,$AP950),IF($AR950&lt;&gt;"",INDEX(Raw_D3!$H$2:$H$1001,$AR950),"")))</f>
        <v>6</v>
      </c>
      <c r="I950" s="5">
        <f>IF($A950="","",IF($AP950&lt;&gt;"",INDEX(Raw_D1!$I$2:$I$1001,$AP950),IF($AR950&lt;&gt;"",INDEX(Raw_D3!$I$2:$I$1001,$AR950),"")))</f>
        <v>1</v>
      </c>
      <c r="J950" s="16">
        <f>IF($A950="","",IF($AP950&lt;&gt;"",INDEX(Raw_D1!$J$2:$J$1001,$AP950),IF($AR950&lt;&gt;"",INDEX(Raw_D3!$J$2:$J$1001,$AR950),"")))</f>
        <v>0.12</v>
      </c>
      <c r="K950" s="17">
        <f>IF($A950="","",IF($AQ950&lt;&gt;"",IF(INDEX(Raw_D2!$C$2:$C$1001,$AQ950)="","",INDEX(Raw_D2!$C$2:$C$1001,$AQ950)),IF($AR950&lt;&gt;"",IF(INDEX(Raw_D3!$K$2:$K$1001,$AR950)="","",INDEX(Raw_D3!$K$2:$K$1001,$AR950)),"")))</f>
        <v>0.197</v>
      </c>
      <c r="L950" s="16">
        <f>IF($A950="","",IF($AQ950&lt;&gt;"",IF(INDEX(Raw_D2!$D$2:$D$1001,$AQ950)="","",INDEX(Raw_D2!$D$2:$D$1001,$AQ950)),IF($AR950&lt;&gt;"",IF(INDEX(Raw_D3!$L$2:$L$1001,$AR950)="","",INDEX(Raw_D3!$L$2:$L$1001,$AR950)),"")))</f>
        <v>0.8</v>
      </c>
      <c r="M950" s="17">
        <f>IF($A950="","",IF($AQ950&lt;&gt;"",IF(INDEX(Raw_D2!$E$2:$E$1001,$AQ950)="","",INDEX(Raw_D2!$E$2:$E$1001,$AQ950)),IF($AR950&lt;&gt;"",IF(INDEX(Raw_D3!$M$2:$M$1001,$AR950)="","",INDEX(Raw_D3!$M$2:$M$1001,$AR950)),"")))</f>
        <v>0</v>
      </c>
      <c r="N950" s="5">
        <f>IF($A950="","",IF($AQ950&lt;&gt;"",IF(INDEX(Raw_D2!$F$2:$F$1001,$AQ950)="","",INDEX(Raw_D2!$F$2:$F$1001,$AQ950)),IF($AR950&lt;&gt;"",IF(INDEX(Raw_D3!$N$2:$N$1001,$AR950)="","",INDEX(Raw_D3!$N$2:$N$1001,$AR950)),"")))</f>
        <v>3</v>
      </c>
      <c r="O950" s="5">
        <f>IF($A950="","",IF($AQ950&lt;&gt;"",IF(INDEX(Raw_D2!$G$2:$G$1001,$AQ950)="","",INDEX(Raw_D2!$G$2:$G$1001,$AQ950)),IF($AR950&lt;&gt;"",IF(INDEX(Raw_D3!$O$2:$O$1001,$AR950)="","",INDEX(Raw_D3!$O$2:$O$1001,$AR950)),"")))</f>
        <v>7</v>
      </c>
      <c r="P950" s="5">
        <f>IF($A950="","",IF($AQ950&lt;&gt;"",IF(INDEX(Raw_D2!$H$2:$H$1001,$AQ950)="","",INDEX(Raw_D2!$H$2:$H$1001,$AQ950)),IF($AR950&lt;&gt;"",IF(INDEX(Raw_D3!$P$2:$P$1001,$AR950)="","",INDEX(Raw_D3!$P$2:$P$1001,$AR950)),"")))</f>
        <v>10</v>
      </c>
      <c r="Q950" s="5" t="str">
        <f>IF($A950="","",IF(AND($AP950&lt;&gt;"",$AQ950&lt;&gt;""),"D1+D2",IF($AR950&lt;&gt;"","D3","Incomplete")))</f>
        <v>D3</v>
      </c>
      <c r="R950" s="17">
        <f>IF($A950="","",IF($K950="",IF($J950="","",ROUND(Lookups!$K$5+Lookups!$K$4*$J950,4)),$K950))</f>
        <v>0.197</v>
      </c>
      <c r="S950" s="5" t="str">
        <f>IF($A950="","",IF($K950="","Imputed","Original"))</f>
        <v>Original</v>
      </c>
      <c r="T950" s="5" t="str">
        <f>IF($A950="","",IF($P950="","Missing",IF($P950=$N950+$O950,"OK","Mismatch")))</f>
        <v>OK</v>
      </c>
      <c r="U950" s="5" t="str">
        <f>IF($A950="","",IF(COUNTIF($A$2:$A950,$A950)&gt;1,"Duplicate","Unique"))</f>
        <v>Unique</v>
      </c>
      <c r="V950" s="5">
        <f>IF($A950="","",IF(AND($U950="Unique",ISNUMBER($P950)),1,0))</f>
        <v>1</v>
      </c>
      <c r="W950" s="5" t="str">
        <f>IF($A950="","",IF(OR($H950=0,$H950=6),"Weekend","Weekday"))</f>
        <v>Weekend</v>
      </c>
      <c r="X950" s="5" t="str">
        <f>IF($A950="","",TEXT($B950,"ddd"))</f>
        <v>Sat</v>
      </c>
      <c r="Y950" s="5" t="str">
        <f>IF($A950="","",TEXT($B950,"mmm"))</f>
        <v>Feb</v>
      </c>
      <c r="Z950" s="5" t="str">
        <f>IF($A950="","",IFERROR(VLOOKUP($C950,Lookups!$D$4:$E$7,2,FALSE),"Unknown"))</f>
        <v>Winter</v>
      </c>
      <c r="AA950" s="5" t="str">
        <f>IF($A950="","",IFERROR(VLOOKUP($I950,Lookups!$A$4:$B$7,2,FALSE),"Unknown"))</f>
        <v>Clear</v>
      </c>
      <c r="AB950" s="5" t="str">
        <f>IF($A950="","",TEXT($F950,"00")&amp;":00")</f>
        <v>03:00</v>
      </c>
      <c r="AC950" s="5" t="str">
        <f>IF($A950="","",VLOOKUP($F950,Lookups!$G$4:$H$8,2,TRUE))</f>
        <v>Night (00-05)</v>
      </c>
      <c r="AD950" s="18">
        <f>IF($A950="","",IF($J950="","",ROUND($J950*41,1)))</f>
        <v>4.9</v>
      </c>
      <c r="AE950" s="18">
        <f>IF($A950="","",IF($R950="","",ROUND($R950*50,1)))</f>
        <v>9.9</v>
      </c>
      <c r="AF950" s="5">
        <f>IF($A950="","",IF($L950="","",ROUND($L950*100,0)))</f>
        <v>80</v>
      </c>
      <c r="AG950" s="18">
        <f>IF($A950="","",IF($M950="","",ROUND($M950*67,1)))</f>
        <v>0</v>
      </c>
      <c r="AH950" s="19">
        <f>IF($A950="","",IF($P950="","",IF($P950=0,0,$O950/$P950)))</f>
        <v>0.7</v>
      </c>
      <c r="AI950" s="5" t="str">
        <f>IF($A950="","",IF($P950="","",IF($P950&gt;=Lookups!$K$7,"High",IF($P950&lt;=Lookups!$K$8,"Low","Medium"))))</f>
        <v>Low</v>
      </c>
      <c r="AJ950" s="5" t="str">
        <f>IF($A950="","",IF($AD950="","",IF($AD950&lt;5,"Under 5 C",IF($AD950&lt;10,"5-10 C",IF($AD950&lt;15,"10-15 C","15 C and above")))))</f>
        <v>Under 5 C</v>
      </c>
      <c r="AK950" s="5">
        <f>IF($A950="","",IF($P950="","",$P950^2))</f>
        <v>100</v>
      </c>
      <c r="AL950" s="18">
        <f>IF($V950&lt;&gt;1,"",AVERAGEIFS(Clean_Data!$P$2:$P$1001,Clean_Data!$F$2:$F$1001,$F950,Clean_Data!$W$2:$W$1001,$W950,Clean_Data!$V$2:$V$1001,1))</f>
        <v>9.07142857142857</v>
      </c>
      <c r="AM950" s="16">
        <f>IF($V950&lt;&gt;1,"",IFERROR(($P950-$AL950)/SQRT(MAX(0,(SUMIFS(Clean_Data!$AK$2:$AK$1001,Clean_Data!$F$2:$F$1001,$F950,Clean_Data!$W$2:$W$1001,$W950,Clean_Data!$V$2:$V$1001,1)-COUNTIFS(Clean_Data!$F$2:$F$1001,$F950,Clean_Data!$W$2:$W$1001,$W950,Clean_Data!$V$2:$V$1001,1)*$AL950^2)/(COUNTIFS(Clean_Data!$F$2:$F$1001,$F950,Clean_Data!$W$2:$W$1001,$W950,Clean_Data!$V$2:$V$1001,1)-1))),""))</f>
        <v>0.280044769952407</v>
      </c>
      <c r="AN950" s="5" t="str">
        <f>IF($AM950="","",IF($AM950&gt;=Lookups!$K$6,"High spike",IF($AM950&lt;=-Lookups!$K$6,"Unusual low","Normal")))</f>
        <v>Normal</v>
      </c>
      <c r="AO950" s="20">
        <f>IF($V950&lt;&gt;1,"",$P950+ROW()/100000)</f>
        <v>10.0095</v>
      </c>
      <c r="AP950" s="5">
        <f>IF($A950="","",IFERROR(MATCH($A950,Raw_D1!$A$2:$A$1001,0),""))</f>
        <v/>
      </c>
      <c r="AQ950" s="5">
        <f>IF($A950="","",IFERROR(MATCH($A950,Raw_D2!$B$2:$B$1001,0),""))</f>
        <v/>
      </c>
      <c r="AR950" s="5">
        <f>IF($A950="","",IFERROR(MATCH($A950,Raw_D3!$A$2:$A$1001,0),""))</f>
        <v>330</v>
      </c>
    </row>
    <row r="951" spans="1:44" x14ac:dyDescent="0.25">
      <c r="A951" s="5">
        <v>950</v>
      </c>
      <c r="B951" s="11">
        <f>IF($A951="","",IF($AP951&lt;&gt;"",INDEX(Raw_D1!$B$2:$B$1001,$AP951),IF($AR951&lt;&gt;"",INDEX(Raw_D3!$B$2:$B$1001,$AR951),"")))</f>
        <v>40586.0</v>
      </c>
      <c r="C951" s="5">
        <f>IF($A951="","",IF($AP951&lt;&gt;"",INDEX(Raw_D1!$C$2:$C$1001,$AP951),IF($AR951&lt;&gt;"",INDEX(Raw_D3!$C$2:$C$1001,$AR951),"")))</f>
        <v>1</v>
      </c>
      <c r="D951" s="5">
        <f>IF($A951="","",IF($AP951&lt;&gt;"",INDEX(Raw_D1!$D$2:$D$1001,$AP951),IF($AR951&lt;&gt;"",INDEX(Raw_D3!$D$2:$D$1001,$AR951),"")))</f>
        <v>0</v>
      </c>
      <c r="E951" s="5">
        <f>IF($A951="","",IF($AP951&lt;&gt;"",INDEX(Raw_D1!$E$2:$E$1001,$AP951),IF($AR951&lt;&gt;"",INDEX(Raw_D3!$E$2:$E$1001,$AR951),"")))</f>
        <v>2</v>
      </c>
      <c r="F951" s="5">
        <f>IF($A951="","",IF($AP951&lt;&gt;"",INDEX(Raw_D1!$F$2:$F$1001,$AP951),IF($AR951&lt;&gt;"",INDEX(Raw_D3!$F$2:$F$1001,$AR951),"")))</f>
        <v>4</v>
      </c>
      <c r="G951" s="5">
        <f>IF($A951="","",IF($AP951&lt;&gt;"",IF(INDEX(Raw_D1!$G$2:$G$1001,$AP951),1,0),IF($AR951&lt;&gt;"",IF(INDEX(Raw_D3!$G$2:$G$1001,$AR951),1,0),"")))</f>
        <v>0</v>
      </c>
      <c r="H951" s="5">
        <f>IF($A951="","",IF($AP951&lt;&gt;"",INDEX(Raw_D1!$H$2:$H$1001,$AP951),IF($AR951&lt;&gt;"",INDEX(Raw_D3!$H$2:$H$1001,$AR951),"")))</f>
        <v>6</v>
      </c>
      <c r="I951" s="5">
        <f>IF($A951="","",IF($AP951&lt;&gt;"",INDEX(Raw_D1!$I$2:$I$1001,$AP951),IF($AR951&lt;&gt;"",INDEX(Raw_D3!$I$2:$I$1001,$AR951),"")))</f>
        <v>1</v>
      </c>
      <c r="J951" s="16">
        <f>IF($A951="","",IF($AP951&lt;&gt;"",INDEX(Raw_D1!$J$2:$J$1001,$AP951),IF($AR951&lt;&gt;"",INDEX(Raw_D3!$J$2:$J$1001,$AR951),"")))</f>
        <v>0.12</v>
      </c>
      <c r="K951" s="17">
        <f>IF($A951="","",IF($AQ951&lt;&gt;"",IF(INDEX(Raw_D2!$C$2:$C$1001,$AQ951)="","",INDEX(Raw_D2!$C$2:$C$1001,$AQ951)),IF($AR951&lt;&gt;"",IF(INDEX(Raw_D3!$K$2:$K$1001,$AR951)="","",INDEX(Raw_D3!$K$2:$K$1001,$AR951)),"")))</f>
        <v>0.1667</v>
      </c>
      <c r="L951" s="16">
        <f>IF($A951="","",IF($AQ951&lt;&gt;"",IF(INDEX(Raw_D2!$D$2:$D$1001,$AQ951)="","",INDEX(Raw_D2!$D$2:$D$1001,$AQ951)),IF($AR951&lt;&gt;"",IF(INDEX(Raw_D3!$L$2:$L$1001,$AR951)="","",INDEX(Raw_D3!$L$2:$L$1001,$AR951)),"")))</f>
        <v>0.74</v>
      </c>
      <c r="M951" s="17">
        <f>IF($A951="","",IF($AQ951&lt;&gt;"",IF(INDEX(Raw_D2!$E$2:$E$1001,$AQ951)="","",INDEX(Raw_D2!$E$2:$E$1001,$AQ951)),IF($AR951&lt;&gt;"",IF(INDEX(Raw_D3!$M$2:$M$1001,$AR951)="","",INDEX(Raw_D3!$M$2:$M$1001,$AR951)),"")))</f>
        <v>0.0896</v>
      </c>
      <c r="N951" s="5">
        <f>IF($A951="","",IF($AQ951&lt;&gt;"",IF(INDEX(Raw_D2!$F$2:$F$1001,$AQ951)="","",INDEX(Raw_D2!$F$2:$F$1001,$AQ951)),IF($AR951&lt;&gt;"",IF(INDEX(Raw_D3!$N$2:$N$1001,$AR951)="","",INDEX(Raw_D3!$N$2:$N$1001,$AR951)),"")))</f>
        <v>0</v>
      </c>
      <c r="O951" s="5">
        <f>IF($A951="","",IF($AQ951&lt;&gt;"",IF(INDEX(Raw_D2!$G$2:$G$1001,$AQ951)="","",INDEX(Raw_D2!$G$2:$G$1001,$AQ951)),IF($AR951&lt;&gt;"",IF(INDEX(Raw_D3!$O$2:$O$1001,$AR951)="","",INDEX(Raw_D3!$O$2:$O$1001,$AR951)),"")))</f>
        <v>4</v>
      </c>
      <c r="P951" s="5">
        <f>IF($A951="","",IF($AQ951&lt;&gt;"",IF(INDEX(Raw_D2!$H$2:$H$1001,$AQ951)="","",INDEX(Raw_D2!$H$2:$H$1001,$AQ951)),IF($AR951&lt;&gt;"",IF(INDEX(Raw_D3!$P$2:$P$1001,$AR951)="","",INDEX(Raw_D3!$P$2:$P$1001,$AR951)),"")))</f>
        <v>4</v>
      </c>
      <c r="Q951" s="5" t="str">
        <f>IF($A951="","",IF(AND($AP951&lt;&gt;"",$AQ951&lt;&gt;""),"D1+D2",IF($AR951&lt;&gt;"","D3","Incomplete")))</f>
        <v>D3</v>
      </c>
      <c r="R951" s="17">
        <f>IF($A951="","",IF($K951="",IF($J951="","",ROUND(Lookups!$K$5+Lookups!$K$4*$J951,4)),$K951))</f>
        <v>0.1667</v>
      </c>
      <c r="S951" s="5" t="str">
        <f>IF($A951="","",IF($K951="","Imputed","Original"))</f>
        <v>Original</v>
      </c>
      <c r="T951" s="5" t="str">
        <f>IF($A951="","",IF($P951="","Missing",IF($P951=$N951+$O951,"OK","Mismatch")))</f>
        <v>OK</v>
      </c>
      <c r="U951" s="5" t="str">
        <f>IF($A951="","",IF(COUNTIF($A$2:$A951,$A951)&gt;1,"Duplicate","Unique"))</f>
        <v>Unique</v>
      </c>
      <c r="V951" s="5">
        <f>IF($A951="","",IF(AND($U951="Unique",ISNUMBER($P951)),1,0))</f>
        <v>1</v>
      </c>
      <c r="W951" s="5" t="str">
        <f>IF($A951="","",IF(OR($H951=0,$H951=6),"Weekend","Weekday"))</f>
        <v>Weekend</v>
      </c>
      <c r="X951" s="5" t="str">
        <f>IF($A951="","",TEXT($B951,"ddd"))</f>
        <v>Sat</v>
      </c>
      <c r="Y951" s="5" t="str">
        <f>IF($A951="","",TEXT($B951,"mmm"))</f>
        <v>Feb</v>
      </c>
      <c r="Z951" s="5" t="str">
        <f>IF($A951="","",IFERROR(VLOOKUP($C951,Lookups!$D$4:$E$7,2,FALSE),"Unknown"))</f>
        <v>Winter</v>
      </c>
      <c r="AA951" s="5" t="str">
        <f>IF($A951="","",IFERROR(VLOOKUP($I951,Lookups!$A$4:$B$7,2,FALSE),"Unknown"))</f>
        <v>Clear</v>
      </c>
      <c r="AB951" s="5" t="str">
        <f>IF($A951="","",TEXT($F951,"00")&amp;":00")</f>
        <v>04:00</v>
      </c>
      <c r="AC951" s="5" t="str">
        <f>IF($A951="","",VLOOKUP($F951,Lookups!$G$4:$H$8,2,TRUE))</f>
        <v>Night (00-05)</v>
      </c>
      <c r="AD951" s="18">
        <f>IF($A951="","",IF($J951="","",ROUND($J951*41,1)))</f>
        <v>4.9</v>
      </c>
      <c r="AE951" s="18">
        <f>IF($A951="","",IF($R951="","",ROUND($R951*50,1)))</f>
        <v>8.3</v>
      </c>
      <c r="AF951" s="5">
        <f>IF($A951="","",IF($L951="","",ROUND($L951*100,0)))</f>
        <v>74</v>
      </c>
      <c r="AG951" s="18">
        <f>IF($A951="","",IF($M951="","",ROUND($M951*67,1)))</f>
        <v>6</v>
      </c>
      <c r="AH951" s="19">
        <f>IF($A951="","",IF($P951="","",IF($P951=0,0,$O951/$P951)))</f>
        <v>1</v>
      </c>
      <c r="AI951" s="5" t="str">
        <f>IF($A951="","",IF($P951="","",IF($P951&gt;=Lookups!$K$7,"High",IF($P951&lt;=Lookups!$K$8,"Low","Medium"))))</f>
        <v>Low</v>
      </c>
      <c r="AJ951" s="5" t="str">
        <f>IF($A951="","",IF($AD951="","",IF($AD951&lt;5,"Under 5 C",IF($AD951&lt;10,"5-10 C",IF($AD951&lt;15,"10-15 C","15 C and above")))))</f>
        <v>Under 5 C</v>
      </c>
      <c r="AK951" s="5">
        <f>IF($A951="","",IF($P951="","",$P951^2))</f>
        <v>16</v>
      </c>
      <c r="AL951" s="18">
        <f>IF($V951&lt;&gt;1,"",AVERAGEIFS(Clean_Data!$P$2:$P$1001,Clean_Data!$F$2:$F$1001,$F951,Clean_Data!$W$2:$W$1001,$W951,Clean_Data!$V$2:$V$1001,1))</f>
        <v>2.69230769230769</v>
      </c>
      <c r="AM951" s="16">
        <f>IF($V951&lt;&gt;1,"",IFERROR(($P951-$AL951)/SQRT(MAX(0,(SUMIFS(Clean_Data!$AK$2:$AK$1001,Clean_Data!$F$2:$F$1001,$F951,Clean_Data!$W$2:$W$1001,$W951,Clean_Data!$V$2:$V$1001,1)-COUNTIFS(Clean_Data!$F$2:$F$1001,$F951,Clean_Data!$W$2:$W$1001,$W951,Clean_Data!$V$2:$V$1001,1)*$AL951^2)/(COUNTIFS(Clean_Data!$F$2:$F$1001,$F951,Clean_Data!$W$2:$W$1001,$W951,Clean_Data!$V$2:$V$1001,1)-1))),""))</f>
        <v>0.635763953205751</v>
      </c>
      <c r="AN951" s="5" t="str">
        <f>IF($AM951="","",IF($AM951&gt;=Lookups!$K$6,"High spike",IF($AM951&lt;=-Lookups!$K$6,"Unusual low","Normal")))</f>
        <v>Normal</v>
      </c>
      <c r="AO951" s="20">
        <f>IF($V951&lt;&gt;1,"",$P951+ROW()/100000)</f>
        <v>4.00951</v>
      </c>
      <c r="AP951" s="5">
        <f>IF($A951="","",IFERROR(MATCH($A951,Raw_D1!$A$2:$A$1001,0),""))</f>
        <v/>
      </c>
      <c r="AQ951" s="5">
        <f>IF($A951="","",IFERROR(MATCH($A951,Raw_D2!$B$2:$B$1001,0),""))</f>
        <v/>
      </c>
      <c r="AR951" s="5">
        <f>IF($A951="","",IFERROR(MATCH($A951,Raw_D3!$A$2:$A$1001,0),""))</f>
        <v>331</v>
      </c>
    </row>
    <row r="952" spans="1:44" x14ac:dyDescent="0.25">
      <c r="A952" s="5">
        <v>951</v>
      </c>
      <c r="B952" s="11">
        <f>IF($A952="","",IF($AP952&lt;&gt;"",INDEX(Raw_D1!$B$2:$B$1001,$AP952),IF($AR952&lt;&gt;"",INDEX(Raw_D3!$B$2:$B$1001,$AR952),"")))</f>
        <v>40586.0</v>
      </c>
      <c r="C952" s="5">
        <f>IF($A952="","",IF($AP952&lt;&gt;"",INDEX(Raw_D1!$C$2:$C$1001,$AP952),IF($AR952&lt;&gt;"",INDEX(Raw_D3!$C$2:$C$1001,$AR952),"")))</f>
        <v>1</v>
      </c>
      <c r="D952" s="5">
        <f>IF($A952="","",IF($AP952&lt;&gt;"",INDEX(Raw_D1!$D$2:$D$1001,$AP952),IF($AR952&lt;&gt;"",INDEX(Raw_D3!$D$2:$D$1001,$AR952),"")))</f>
        <v>0</v>
      </c>
      <c r="E952" s="5">
        <f>IF($A952="","",IF($AP952&lt;&gt;"",INDEX(Raw_D1!$E$2:$E$1001,$AP952),IF($AR952&lt;&gt;"",INDEX(Raw_D3!$E$2:$E$1001,$AR952),"")))</f>
        <v>2</v>
      </c>
      <c r="F952" s="5">
        <f>IF($A952="","",IF($AP952&lt;&gt;"",INDEX(Raw_D1!$F$2:$F$1001,$AP952),IF($AR952&lt;&gt;"",INDEX(Raw_D3!$F$2:$F$1001,$AR952),"")))</f>
        <v>5</v>
      </c>
      <c r="G952" s="5">
        <f>IF($A952="","",IF($AP952&lt;&gt;"",IF(INDEX(Raw_D1!$G$2:$G$1001,$AP952),1,0),IF($AR952&lt;&gt;"",IF(INDEX(Raw_D3!$G$2:$G$1001,$AR952),1,0),"")))</f>
        <v>0</v>
      </c>
      <c r="H952" s="5">
        <f>IF($A952="","",IF($AP952&lt;&gt;"",INDEX(Raw_D1!$H$2:$H$1001,$AP952),IF($AR952&lt;&gt;"",INDEX(Raw_D3!$H$2:$H$1001,$AR952),"")))</f>
        <v>6</v>
      </c>
      <c r="I952" s="5">
        <f>IF($A952="","",IF($AP952&lt;&gt;"",INDEX(Raw_D1!$I$2:$I$1001,$AP952),IF($AR952&lt;&gt;"",INDEX(Raw_D3!$I$2:$I$1001,$AR952),"")))</f>
        <v>1</v>
      </c>
      <c r="J952" s="16">
        <f>IF($A952="","",IF($AP952&lt;&gt;"",INDEX(Raw_D1!$J$2:$J$1001,$AP952),IF($AR952&lt;&gt;"",INDEX(Raw_D3!$J$2:$J$1001,$AR952),"")))</f>
        <v>0.12</v>
      </c>
      <c r="K952" s="17">
        <f>IF($A952="","",IF($AQ952&lt;&gt;"",IF(INDEX(Raw_D2!$C$2:$C$1001,$AQ952)="","",INDEX(Raw_D2!$C$2:$C$1001,$AQ952)),IF($AR952&lt;&gt;"",IF(INDEX(Raw_D3!$K$2:$K$1001,$AR952)="","",INDEX(Raw_D3!$K$2:$K$1001,$AR952)),"")))</f>
        <v>0.1667</v>
      </c>
      <c r="L952" s="16">
        <f>IF($A952="","",IF($AQ952&lt;&gt;"",IF(INDEX(Raw_D2!$D$2:$D$1001,$AQ952)="","",INDEX(Raw_D2!$D$2:$D$1001,$AQ952)),IF($AR952&lt;&gt;"",IF(INDEX(Raw_D3!$L$2:$L$1001,$AR952)="","",INDEX(Raw_D3!$L$2:$L$1001,$AR952)),"")))</f>
        <v>0.74</v>
      </c>
      <c r="M952" s="17">
        <f>IF($A952="","",IF($AQ952&lt;&gt;"",IF(INDEX(Raw_D2!$E$2:$E$1001,$AQ952)="","",INDEX(Raw_D2!$E$2:$E$1001,$AQ952)),IF($AR952&lt;&gt;"",IF(INDEX(Raw_D3!$M$2:$M$1001,$AR952)="","",INDEX(Raw_D3!$M$2:$M$1001,$AR952)),"")))</f>
        <v>0.0896</v>
      </c>
      <c r="N952" s="5">
        <f>IF($A952="","",IF($AQ952&lt;&gt;"",IF(INDEX(Raw_D2!$F$2:$F$1001,$AQ952)="","",INDEX(Raw_D2!$F$2:$F$1001,$AQ952)),IF($AR952&lt;&gt;"",IF(INDEX(Raw_D3!$N$2:$N$1001,$AR952)="","",INDEX(Raw_D3!$N$2:$N$1001,$AR952)),"")))</f>
        <v>0</v>
      </c>
      <c r="O952" s="5">
        <f>IF($A952="","",IF($AQ952&lt;&gt;"",IF(INDEX(Raw_D2!$G$2:$G$1001,$AQ952)="","",INDEX(Raw_D2!$G$2:$G$1001,$AQ952)),IF($AR952&lt;&gt;"",IF(INDEX(Raw_D3!$O$2:$O$1001,$AR952)="","",INDEX(Raw_D3!$O$2:$O$1001,$AR952)),"")))</f>
        <v>1</v>
      </c>
      <c r="P952" s="5">
        <f>IF($A952="","",IF($AQ952&lt;&gt;"",IF(INDEX(Raw_D2!$H$2:$H$1001,$AQ952)="","",INDEX(Raw_D2!$H$2:$H$1001,$AQ952)),IF($AR952&lt;&gt;"",IF(INDEX(Raw_D3!$P$2:$P$1001,$AR952)="","",INDEX(Raw_D3!$P$2:$P$1001,$AR952)),"")))</f>
        <v>1</v>
      </c>
      <c r="Q952" s="5" t="str">
        <f>IF($A952="","",IF(AND($AP952&lt;&gt;"",$AQ952&lt;&gt;""),"D1+D2",IF($AR952&lt;&gt;"","D3","Incomplete")))</f>
        <v>D3</v>
      </c>
      <c r="R952" s="17">
        <f>IF($A952="","",IF($K952="",IF($J952="","",ROUND(Lookups!$K$5+Lookups!$K$4*$J952,4)),$K952))</f>
        <v>0.1667</v>
      </c>
      <c r="S952" s="5" t="str">
        <f>IF($A952="","",IF($K952="","Imputed","Original"))</f>
        <v>Original</v>
      </c>
      <c r="T952" s="5" t="str">
        <f>IF($A952="","",IF($P952="","Missing",IF($P952=$N952+$O952,"OK","Mismatch")))</f>
        <v>OK</v>
      </c>
      <c r="U952" s="5" t="str">
        <f>IF($A952="","",IF(COUNTIF($A$2:$A952,$A952)&gt;1,"Duplicate","Unique"))</f>
        <v>Unique</v>
      </c>
      <c r="V952" s="5">
        <f>IF($A952="","",IF(AND($U952="Unique",ISNUMBER($P952)),1,0))</f>
        <v>1</v>
      </c>
      <c r="W952" s="5" t="str">
        <f>IF($A952="","",IF(OR($H952=0,$H952=6),"Weekend","Weekday"))</f>
        <v>Weekend</v>
      </c>
      <c r="X952" s="5" t="str">
        <f>IF($A952="","",TEXT($B952,"ddd"))</f>
        <v>Sat</v>
      </c>
      <c r="Y952" s="5" t="str">
        <f>IF($A952="","",TEXT($B952,"mmm"))</f>
        <v>Feb</v>
      </c>
      <c r="Z952" s="5" t="str">
        <f>IF($A952="","",IFERROR(VLOOKUP($C952,Lookups!$D$4:$E$7,2,FALSE),"Unknown"))</f>
        <v>Winter</v>
      </c>
      <c r="AA952" s="5" t="str">
        <f>IF($A952="","",IFERROR(VLOOKUP($I952,Lookups!$A$4:$B$7,2,FALSE),"Unknown"))</f>
        <v>Clear</v>
      </c>
      <c r="AB952" s="5" t="str">
        <f>IF($A952="","",TEXT($F952,"00")&amp;":00")</f>
        <v>05:00</v>
      </c>
      <c r="AC952" s="5" t="str">
        <f>IF($A952="","",VLOOKUP($F952,Lookups!$G$4:$H$8,2,TRUE))</f>
        <v>Night (00-05)</v>
      </c>
      <c r="AD952" s="18">
        <f>IF($A952="","",IF($J952="","",ROUND($J952*41,1)))</f>
        <v>4.9</v>
      </c>
      <c r="AE952" s="18">
        <f>IF($A952="","",IF($R952="","",ROUND($R952*50,1)))</f>
        <v>8.3</v>
      </c>
      <c r="AF952" s="5">
        <f>IF($A952="","",IF($L952="","",ROUND($L952*100,0)))</f>
        <v>74</v>
      </c>
      <c r="AG952" s="18">
        <f>IF($A952="","",IF($M952="","",ROUND($M952*67,1)))</f>
        <v>6</v>
      </c>
      <c r="AH952" s="19">
        <f>IF($A952="","",IF($P952="","",IF($P952=0,0,$O952/$P952)))</f>
        <v>1</v>
      </c>
      <c r="AI952" s="5" t="str">
        <f>IF($A952="","",IF($P952="","",IF($P952&gt;=Lookups!$K$7,"High",IF($P952&lt;=Lookups!$K$8,"Low","Medium"))))</f>
        <v>Low</v>
      </c>
      <c r="AJ952" s="5" t="str">
        <f>IF($A952="","",IF($AD952="","",IF($AD952&lt;5,"Under 5 C",IF($AD952&lt;10,"5-10 C",IF($AD952&lt;15,"10-15 C","15 C and above")))))</f>
        <v>Under 5 C</v>
      </c>
      <c r="AK952" s="5">
        <f>IF($A952="","",IF($P952="","",$P952^2))</f>
        <v>1</v>
      </c>
      <c r="AL952" s="18">
        <f>IF($V952&lt;&gt;1,"",AVERAGEIFS(Clean_Data!$P$2:$P$1001,Clean_Data!$F$2:$F$1001,$F952,Clean_Data!$W$2:$W$1001,$W952,Clean_Data!$V$2:$V$1001,1))</f>
        <v>2.7</v>
      </c>
      <c r="AM952" s="16">
        <f>IF($V952&lt;&gt;1,"",IFERROR(($P952-$AL952)/SQRT(MAX(0,(SUMIFS(Clean_Data!$AK$2:$AK$1001,Clean_Data!$F$2:$F$1001,$F952,Clean_Data!$W$2:$W$1001,$W952,Clean_Data!$V$2:$V$1001,1)-COUNTIFS(Clean_Data!$F$2:$F$1001,$F952,Clean_Data!$W$2:$W$1001,$W952,Clean_Data!$V$2:$V$1001,1)*$AL952^2)/(COUNTIFS(Clean_Data!$F$2:$F$1001,$F952,Clean_Data!$W$2:$W$1001,$W952,Clean_Data!$V$2:$V$1001,1)-1))),""))</f>
        <v>-0.65785918110418</v>
      </c>
      <c r="AN952" s="5" t="str">
        <f>IF($AM952="","",IF($AM952&gt;=Lookups!$K$6,"High spike",IF($AM952&lt;=-Lookups!$K$6,"Unusual low","Normal")))</f>
        <v>Normal</v>
      </c>
      <c r="AO952" s="20">
        <f>IF($V952&lt;&gt;1,"",$P952+ROW()/100000)</f>
        <v>1.00952</v>
      </c>
      <c r="AP952" s="5">
        <f>IF($A952="","",IFERROR(MATCH($A952,Raw_D1!$A$2:$A$1001,0),""))</f>
        <v/>
      </c>
      <c r="AQ952" s="5">
        <f>IF($A952="","",IFERROR(MATCH($A952,Raw_D2!$B$2:$B$1001,0),""))</f>
        <v/>
      </c>
      <c r="AR952" s="5">
        <f>IF($A952="","",IFERROR(MATCH($A952,Raw_D3!$A$2:$A$1001,0),""))</f>
        <v>332</v>
      </c>
    </row>
    <row r="953" spans="1:44" x14ac:dyDescent="0.25">
      <c r="A953" s="5">
        <v>952</v>
      </c>
      <c r="B953" s="11">
        <f>IF($A953="","",IF($AP953&lt;&gt;"",INDEX(Raw_D1!$B$2:$B$1001,$AP953),IF($AR953&lt;&gt;"",INDEX(Raw_D3!$B$2:$B$1001,$AR953),"")))</f>
        <v>40586.0</v>
      </c>
      <c r="C953" s="5">
        <f>IF($A953="","",IF($AP953&lt;&gt;"",INDEX(Raw_D1!$C$2:$C$1001,$AP953),IF($AR953&lt;&gt;"",INDEX(Raw_D3!$C$2:$C$1001,$AR953),"")))</f>
        <v>1</v>
      </c>
      <c r="D953" s="5">
        <f>IF($A953="","",IF($AP953&lt;&gt;"",INDEX(Raw_D1!$D$2:$D$1001,$AP953),IF($AR953&lt;&gt;"",INDEX(Raw_D3!$D$2:$D$1001,$AR953),"")))</f>
        <v>0</v>
      </c>
      <c r="E953" s="5">
        <f>IF($A953="","",IF($AP953&lt;&gt;"",INDEX(Raw_D1!$E$2:$E$1001,$AP953),IF($AR953&lt;&gt;"",INDEX(Raw_D3!$E$2:$E$1001,$AR953),"")))</f>
        <v>2</v>
      </c>
      <c r="F953" s="5">
        <f>IF($A953="","",IF($AP953&lt;&gt;"",INDEX(Raw_D1!$F$2:$F$1001,$AP953),IF($AR953&lt;&gt;"",INDEX(Raw_D3!$F$2:$F$1001,$AR953),"")))</f>
        <v>6</v>
      </c>
      <c r="G953" s="5">
        <f>IF($A953="","",IF($AP953&lt;&gt;"",IF(INDEX(Raw_D1!$G$2:$G$1001,$AP953),1,0),IF($AR953&lt;&gt;"",IF(INDEX(Raw_D3!$G$2:$G$1001,$AR953),1,0),"")))</f>
        <v>0</v>
      </c>
      <c r="H953" s="5">
        <f>IF($A953="","",IF($AP953&lt;&gt;"",INDEX(Raw_D1!$H$2:$H$1001,$AP953),IF($AR953&lt;&gt;"",INDEX(Raw_D3!$H$2:$H$1001,$AR953),"")))</f>
        <v>6</v>
      </c>
      <c r="I953" s="5">
        <f>IF($A953="","",IF($AP953&lt;&gt;"",INDEX(Raw_D1!$I$2:$I$1001,$AP953),IF($AR953&lt;&gt;"",INDEX(Raw_D3!$I$2:$I$1001,$AR953),"")))</f>
        <v>1</v>
      </c>
      <c r="J953" s="16">
        <f>IF($A953="","",IF($AP953&lt;&gt;"",INDEX(Raw_D1!$J$2:$J$1001,$AP953),IF($AR953&lt;&gt;"",INDEX(Raw_D3!$J$2:$J$1001,$AR953),"")))</f>
        <v>0.12</v>
      </c>
      <c r="K953" s="17">
        <f>IF($A953="","",IF($AQ953&lt;&gt;"",IF(INDEX(Raw_D2!$C$2:$C$1001,$AQ953)="","",INDEX(Raw_D2!$C$2:$C$1001,$AQ953)),IF($AR953&lt;&gt;"",IF(INDEX(Raw_D3!$K$2:$K$1001,$AR953)="","",INDEX(Raw_D3!$K$2:$K$1001,$AR953)),"")))</f>
        <v>0.1364</v>
      </c>
      <c r="L953" s="16">
        <f>IF($A953="","",IF($AQ953&lt;&gt;"",IF(INDEX(Raw_D2!$D$2:$D$1001,$AQ953)="","",INDEX(Raw_D2!$D$2:$D$1001,$AQ953)),IF($AR953&lt;&gt;"",IF(INDEX(Raw_D3!$L$2:$L$1001,$AR953)="","",INDEX(Raw_D3!$L$2:$L$1001,$AR953)),"")))</f>
        <v>0.93</v>
      </c>
      <c r="M953" s="17">
        <f>IF($A953="","",IF($AQ953&lt;&gt;"",IF(INDEX(Raw_D2!$E$2:$E$1001,$AQ953)="","",INDEX(Raw_D2!$E$2:$E$1001,$AQ953)),IF($AR953&lt;&gt;"",IF(INDEX(Raw_D3!$M$2:$M$1001,$AR953)="","",INDEX(Raw_D3!$M$2:$M$1001,$AR953)),"")))</f>
        <v>0.194</v>
      </c>
      <c r="N953" s="5">
        <f>IF($A953="","",IF($AQ953&lt;&gt;"",IF(INDEX(Raw_D2!$F$2:$F$1001,$AQ953)="","",INDEX(Raw_D2!$F$2:$F$1001,$AQ953)),IF($AR953&lt;&gt;"",IF(INDEX(Raw_D3!$N$2:$N$1001,$AR953)="","",INDEX(Raw_D3!$N$2:$N$1001,$AR953)),"")))</f>
        <v>1</v>
      </c>
      <c r="O953" s="5">
        <f>IF($A953="","",IF($AQ953&lt;&gt;"",IF(INDEX(Raw_D2!$G$2:$G$1001,$AQ953)="","",INDEX(Raw_D2!$G$2:$G$1001,$AQ953)),IF($AR953&lt;&gt;"",IF(INDEX(Raw_D3!$O$2:$O$1001,$AR953)="","",INDEX(Raw_D3!$O$2:$O$1001,$AR953)),"")))</f>
        <v>1</v>
      </c>
      <c r="P953" s="5">
        <f>IF($A953="","",IF($AQ953&lt;&gt;"",IF(INDEX(Raw_D2!$H$2:$H$1001,$AQ953)="","",INDEX(Raw_D2!$H$2:$H$1001,$AQ953)),IF($AR953&lt;&gt;"",IF(INDEX(Raw_D3!$P$2:$P$1001,$AR953)="","",INDEX(Raw_D3!$P$2:$P$1001,$AR953)),"")))</f>
        <v>2</v>
      </c>
      <c r="Q953" s="5" t="str">
        <f>IF($A953="","",IF(AND($AP953&lt;&gt;"",$AQ953&lt;&gt;""),"D1+D2",IF($AR953&lt;&gt;"","D3","Incomplete")))</f>
        <v>D3</v>
      </c>
      <c r="R953" s="17">
        <f>IF($A953="","",IF($K953="",IF($J953="","",ROUND(Lookups!$K$5+Lookups!$K$4*$J953,4)),$K953))</f>
        <v>0.1364</v>
      </c>
      <c r="S953" s="5" t="str">
        <f>IF($A953="","",IF($K953="","Imputed","Original"))</f>
        <v>Original</v>
      </c>
      <c r="T953" s="5" t="str">
        <f>IF($A953="","",IF($P953="","Missing",IF($P953=$N953+$O953,"OK","Mismatch")))</f>
        <v>OK</v>
      </c>
      <c r="U953" s="5" t="str">
        <f>IF($A953="","",IF(COUNTIF($A$2:$A953,$A953)&gt;1,"Duplicate","Unique"))</f>
        <v>Unique</v>
      </c>
      <c r="V953" s="5">
        <f>IF($A953="","",IF(AND($U953="Unique",ISNUMBER($P953)),1,0))</f>
        <v>1</v>
      </c>
      <c r="W953" s="5" t="str">
        <f>IF($A953="","",IF(OR($H953=0,$H953=6),"Weekend","Weekday"))</f>
        <v>Weekend</v>
      </c>
      <c r="X953" s="5" t="str">
        <f>IF($A953="","",TEXT($B953,"ddd"))</f>
        <v>Sat</v>
      </c>
      <c r="Y953" s="5" t="str">
        <f>IF($A953="","",TEXT($B953,"mmm"))</f>
        <v>Feb</v>
      </c>
      <c r="Z953" s="5" t="str">
        <f>IF($A953="","",IFERROR(VLOOKUP($C953,Lookups!$D$4:$E$7,2,FALSE),"Unknown"))</f>
        <v>Winter</v>
      </c>
      <c r="AA953" s="5" t="str">
        <f>IF($A953="","",IFERROR(VLOOKUP($I953,Lookups!$A$4:$B$7,2,FALSE),"Unknown"))</f>
        <v>Clear</v>
      </c>
      <c r="AB953" s="5" t="str">
        <f>IF($A953="","",TEXT($F953,"00")&amp;":00")</f>
        <v>06:00</v>
      </c>
      <c r="AC953" s="5" t="str">
        <f>IF($A953="","",VLOOKUP($F953,Lookups!$G$4:$H$8,2,TRUE))</f>
        <v>Morning Peak (06-09)</v>
      </c>
      <c r="AD953" s="18">
        <f>IF($A953="","",IF($J953="","",ROUND($J953*41,1)))</f>
        <v>4.9</v>
      </c>
      <c r="AE953" s="18">
        <f>IF($A953="","",IF($R953="","",ROUND($R953*50,1)))</f>
        <v>6.8</v>
      </c>
      <c r="AF953" s="5">
        <f>IF($A953="","",IF($L953="","",ROUND($L953*100,0)))</f>
        <v>93</v>
      </c>
      <c r="AG953" s="18">
        <f>IF($A953="","",IF($M953="","",ROUND($M953*67,1)))</f>
        <v>13</v>
      </c>
      <c r="AH953" s="19">
        <f>IF($A953="","",IF($P953="","",IF($P953=0,0,$O953/$P953)))</f>
        <v>0.5</v>
      </c>
      <c r="AI953" s="5" t="str">
        <f>IF($A953="","",IF($P953="","",IF($P953&gt;=Lookups!$K$7,"High",IF($P953&lt;=Lookups!$K$8,"Low","Medium"))))</f>
        <v>Low</v>
      </c>
      <c r="AJ953" s="5" t="str">
        <f>IF($A953="","",IF($AD953="","",IF($AD953&lt;5,"Under 5 C",IF($AD953&lt;10,"5-10 C",IF($AD953&lt;15,"10-15 C","15 C and above")))))</f>
        <v>Under 5 C</v>
      </c>
      <c r="AK953" s="5">
        <f>IF($A953="","",IF($P953="","",$P953^2))</f>
        <v>4</v>
      </c>
      <c r="AL953" s="18">
        <f>IF($V953&lt;&gt;1,"",AVERAGEIFS(Clean_Data!$P$2:$P$1001,Clean_Data!$F$2:$F$1001,$F953,Clean_Data!$W$2:$W$1001,$W953,Clean_Data!$V$2:$V$1001,1))</f>
        <v>2.15384615384615</v>
      </c>
      <c r="AM953" s="16">
        <f>IF($V953&lt;&gt;1,"",IFERROR(($P953-$AL953)/SQRT(MAX(0,(SUMIFS(Clean_Data!$AK$2:$AK$1001,Clean_Data!$F$2:$F$1001,$F953,Clean_Data!$W$2:$W$1001,$W953,Clean_Data!$V$2:$V$1001,1)-COUNTIFS(Clean_Data!$F$2:$F$1001,$F953,Clean_Data!$W$2:$W$1001,$W953,Clean_Data!$V$2:$V$1001,1)*$AL953^2)/(COUNTIFS(Clean_Data!$F$2:$F$1001,$F953,Clean_Data!$W$2:$W$1001,$W953,Clean_Data!$V$2:$V$1001,1)-1))),""))</f>
        <v>-0.12670245343199</v>
      </c>
      <c r="AN953" s="5" t="str">
        <f>IF($AM953="","",IF($AM953&gt;=Lookups!$K$6,"High spike",IF($AM953&lt;=-Lookups!$K$6,"Unusual low","Normal")))</f>
        <v>Normal</v>
      </c>
      <c r="AO953" s="20">
        <f>IF($V953&lt;&gt;1,"",$P953+ROW()/100000)</f>
        <v>2.00953</v>
      </c>
      <c r="AP953" s="5">
        <f>IF($A953="","",IFERROR(MATCH($A953,Raw_D1!$A$2:$A$1001,0),""))</f>
        <v/>
      </c>
      <c r="AQ953" s="5">
        <f>IF($A953="","",IFERROR(MATCH($A953,Raw_D2!$B$2:$B$1001,0),""))</f>
        <v/>
      </c>
      <c r="AR953" s="5">
        <f>IF($A953="","",IFERROR(MATCH($A953,Raw_D3!$A$2:$A$1001,0),""))</f>
        <v>333</v>
      </c>
    </row>
    <row r="954" spans="1:44" x14ac:dyDescent="0.25">
      <c r="A954" s="5">
        <v>953</v>
      </c>
      <c r="B954" s="11">
        <f>IF($A954="","",IF($AP954&lt;&gt;"",INDEX(Raw_D1!$B$2:$B$1001,$AP954),IF($AR954&lt;&gt;"",INDEX(Raw_D3!$B$2:$B$1001,$AR954),"")))</f>
        <v>40586.0</v>
      </c>
      <c r="C954" s="5">
        <f>IF($A954="","",IF($AP954&lt;&gt;"",INDEX(Raw_D1!$C$2:$C$1001,$AP954),IF($AR954&lt;&gt;"",INDEX(Raw_D3!$C$2:$C$1001,$AR954),"")))</f>
        <v>1</v>
      </c>
      <c r="D954" s="5">
        <f>IF($A954="","",IF($AP954&lt;&gt;"",INDEX(Raw_D1!$D$2:$D$1001,$AP954),IF($AR954&lt;&gt;"",INDEX(Raw_D3!$D$2:$D$1001,$AR954),"")))</f>
        <v>0</v>
      </c>
      <c r="E954" s="5">
        <f>IF($A954="","",IF($AP954&lt;&gt;"",INDEX(Raw_D1!$E$2:$E$1001,$AP954),IF($AR954&lt;&gt;"",INDEX(Raw_D3!$E$2:$E$1001,$AR954),"")))</f>
        <v>2</v>
      </c>
      <c r="F954" s="5">
        <f>IF($A954="","",IF($AP954&lt;&gt;"",INDEX(Raw_D1!$F$2:$F$1001,$AP954),IF($AR954&lt;&gt;"",INDEX(Raw_D3!$F$2:$F$1001,$AR954),"")))</f>
        <v>7</v>
      </c>
      <c r="G954" s="5">
        <f>IF($A954="","",IF($AP954&lt;&gt;"",IF(INDEX(Raw_D1!$G$2:$G$1001,$AP954),1,0),IF($AR954&lt;&gt;"",IF(INDEX(Raw_D3!$G$2:$G$1001,$AR954),1,0),"")))</f>
        <v>0</v>
      </c>
      <c r="H954" s="5">
        <f>IF($A954="","",IF($AP954&lt;&gt;"",INDEX(Raw_D1!$H$2:$H$1001,$AP954),IF($AR954&lt;&gt;"",INDEX(Raw_D3!$H$2:$H$1001,$AR954),"")))</f>
        <v>6</v>
      </c>
      <c r="I954" s="5">
        <f>IF($A954="","",IF($AP954&lt;&gt;"",INDEX(Raw_D1!$I$2:$I$1001,$AP954),IF($AR954&lt;&gt;"",INDEX(Raw_D3!$I$2:$I$1001,$AR954),"")))</f>
        <v>1</v>
      </c>
      <c r="J954" s="16">
        <f>IF($A954="","",IF($AP954&lt;&gt;"",INDEX(Raw_D1!$J$2:$J$1001,$AP954),IF($AR954&lt;&gt;"",INDEX(Raw_D3!$J$2:$J$1001,$AR954),"")))</f>
        <v>0.12</v>
      </c>
      <c r="K954" s="17">
        <f>IF($A954="","",IF($AQ954&lt;&gt;"",IF(INDEX(Raw_D2!$C$2:$C$1001,$AQ954)="","",INDEX(Raw_D2!$C$2:$C$1001,$AQ954)),IF($AR954&lt;&gt;"",IF(INDEX(Raw_D3!$K$2:$K$1001,$AR954)="","",INDEX(Raw_D3!$K$2:$K$1001,$AR954)),"")))</f>
        <v>0.1515</v>
      </c>
      <c r="L954" s="16">
        <f>IF($A954="","",IF($AQ954&lt;&gt;"",IF(INDEX(Raw_D2!$D$2:$D$1001,$AQ954)="","",INDEX(Raw_D2!$D$2:$D$1001,$AQ954)),IF($AR954&lt;&gt;"",IF(INDEX(Raw_D3!$L$2:$L$1001,$AR954)="","",INDEX(Raw_D3!$L$2:$L$1001,$AR954)),"")))</f>
        <v>0.8</v>
      </c>
      <c r="M954" s="17">
        <f>IF($A954="","",IF($AQ954&lt;&gt;"",IF(INDEX(Raw_D2!$E$2:$E$1001,$AQ954)="","",INDEX(Raw_D2!$E$2:$E$1001,$AQ954)),IF($AR954&lt;&gt;"",IF(INDEX(Raw_D3!$M$2:$M$1001,$AR954)="","",INDEX(Raw_D3!$M$2:$M$1001,$AR954)),"")))</f>
        <v>0.1045</v>
      </c>
      <c r="N954" s="5">
        <f>IF($A954="","",IF($AQ954&lt;&gt;"",IF(INDEX(Raw_D2!$F$2:$F$1001,$AQ954)="","",INDEX(Raw_D2!$F$2:$F$1001,$AQ954)),IF($AR954&lt;&gt;"",IF(INDEX(Raw_D3!$N$2:$N$1001,$AR954)="","",INDEX(Raw_D3!$N$2:$N$1001,$AR954)),"")))</f>
        <v>2</v>
      </c>
      <c r="O954" s="5">
        <f>IF($A954="","",IF($AQ954&lt;&gt;"",IF(INDEX(Raw_D2!$G$2:$G$1001,$AQ954)="","",INDEX(Raw_D2!$G$2:$G$1001,$AQ954)),IF($AR954&lt;&gt;"",IF(INDEX(Raw_D3!$O$2:$O$1001,$AR954)="","",INDEX(Raw_D3!$O$2:$O$1001,$AR954)),"")))</f>
        <v>9</v>
      </c>
      <c r="P954" s="5">
        <f>IF($A954="","",IF($AQ954&lt;&gt;"",IF(INDEX(Raw_D2!$H$2:$H$1001,$AQ954)="","",INDEX(Raw_D2!$H$2:$H$1001,$AQ954)),IF($AR954&lt;&gt;"",IF(INDEX(Raw_D3!$P$2:$P$1001,$AR954)="","",INDEX(Raw_D3!$P$2:$P$1001,$AR954)),"")))</f>
        <v>11</v>
      </c>
      <c r="Q954" s="5" t="str">
        <f>IF($A954="","",IF(AND($AP954&lt;&gt;"",$AQ954&lt;&gt;""),"D1+D2",IF($AR954&lt;&gt;"","D3","Incomplete")))</f>
        <v>D3</v>
      </c>
      <c r="R954" s="17">
        <f>IF($A954="","",IF($K954="",IF($J954="","",ROUND(Lookups!$K$5+Lookups!$K$4*$J954,4)),$K954))</f>
        <v>0.1515</v>
      </c>
      <c r="S954" s="5" t="str">
        <f>IF($A954="","",IF($K954="","Imputed","Original"))</f>
        <v>Original</v>
      </c>
      <c r="T954" s="5" t="str">
        <f>IF($A954="","",IF($P954="","Missing",IF($P954=$N954+$O954,"OK","Mismatch")))</f>
        <v>OK</v>
      </c>
      <c r="U954" s="5" t="str">
        <f>IF($A954="","",IF(COUNTIF($A$2:$A954,$A954)&gt;1,"Duplicate","Unique"))</f>
        <v>Unique</v>
      </c>
      <c r="V954" s="5">
        <f>IF($A954="","",IF(AND($U954="Unique",ISNUMBER($P954)),1,0))</f>
        <v>1</v>
      </c>
      <c r="W954" s="5" t="str">
        <f>IF($A954="","",IF(OR($H954=0,$H954=6),"Weekend","Weekday"))</f>
        <v>Weekend</v>
      </c>
      <c r="X954" s="5" t="str">
        <f>IF($A954="","",TEXT($B954,"ddd"))</f>
        <v>Sat</v>
      </c>
      <c r="Y954" s="5" t="str">
        <f>IF($A954="","",TEXT($B954,"mmm"))</f>
        <v>Feb</v>
      </c>
      <c r="Z954" s="5" t="str">
        <f>IF($A954="","",IFERROR(VLOOKUP($C954,Lookups!$D$4:$E$7,2,FALSE),"Unknown"))</f>
        <v>Winter</v>
      </c>
      <c r="AA954" s="5" t="str">
        <f>IF($A954="","",IFERROR(VLOOKUP($I954,Lookups!$A$4:$B$7,2,FALSE),"Unknown"))</f>
        <v>Clear</v>
      </c>
      <c r="AB954" s="5" t="str">
        <f>IF($A954="","",TEXT($F954,"00")&amp;":00")</f>
        <v>07:00</v>
      </c>
      <c r="AC954" s="5" t="str">
        <f>IF($A954="","",VLOOKUP($F954,Lookups!$G$4:$H$8,2,TRUE))</f>
        <v>Morning Peak (06-09)</v>
      </c>
      <c r="AD954" s="18">
        <f>IF($A954="","",IF($J954="","",ROUND($J954*41,1)))</f>
        <v>4.9</v>
      </c>
      <c r="AE954" s="18">
        <f>IF($A954="","",IF($R954="","",ROUND($R954*50,1)))</f>
        <v>7.6</v>
      </c>
      <c r="AF954" s="5">
        <f>IF($A954="","",IF($L954="","",ROUND($L954*100,0)))</f>
        <v>80</v>
      </c>
      <c r="AG954" s="18">
        <f>IF($A954="","",IF($M954="","",ROUND($M954*67,1)))</f>
        <v>7</v>
      </c>
      <c r="AH954" s="19">
        <f>IF($A954="","",IF($P954="","",IF($P954=0,0,$O954/$P954)))</f>
        <v>0.818181818181818</v>
      </c>
      <c r="AI954" s="5" t="str">
        <f>IF($A954="","",IF($P954="","",IF($P954&gt;=Lookups!$K$7,"High",IF($P954&lt;=Lookups!$K$8,"Low","Medium"))))</f>
        <v>Low</v>
      </c>
      <c r="AJ954" s="5" t="str">
        <f>IF($A954="","",IF($AD954="","",IF($AD954&lt;5,"Under 5 C",IF($AD954&lt;10,"5-10 C",IF($AD954&lt;15,"10-15 C","15 C and above")))))</f>
        <v>Under 5 C</v>
      </c>
      <c r="AK954" s="5">
        <f>IF($A954="","",IF($P954="","",$P954^2))</f>
        <v>121</v>
      </c>
      <c r="AL954" s="18">
        <f>IF($V954&lt;&gt;1,"",AVERAGEIFS(Clean_Data!$P$2:$P$1001,Clean_Data!$F$2:$F$1001,$F954,Clean_Data!$W$2:$W$1001,$W954,Clean_Data!$V$2:$V$1001,1))</f>
        <v>5.42857142857143</v>
      </c>
      <c r="AM954" s="16">
        <f>IF($V954&lt;&gt;1,"",IFERROR(($P954-$AL954)/SQRT(MAX(0,(SUMIFS(Clean_Data!$AK$2:$AK$1001,Clean_Data!$F$2:$F$1001,$F954,Clean_Data!$W$2:$W$1001,$W954,Clean_Data!$V$2:$V$1001,1)-COUNTIFS(Clean_Data!$F$2:$F$1001,$F954,Clean_Data!$W$2:$W$1001,$W954,Clean_Data!$V$2:$V$1001,1)*$AL954^2)/(COUNTIFS(Clean_Data!$F$2:$F$1001,$F954,Clean_Data!$W$2:$W$1001,$W954,Clean_Data!$V$2:$V$1001,1)-1))),""))</f>
        <v>1.7261681318834</v>
      </c>
      <c r="AN954" s="5" t="str">
        <f>IF($AM954="","",IF($AM954&gt;=Lookups!$K$6,"High spike",IF($AM954&lt;=-Lookups!$K$6,"Unusual low","Normal")))</f>
        <v>Normal</v>
      </c>
      <c r="AO954" s="20">
        <f>IF($V954&lt;&gt;1,"",$P954+ROW()/100000)</f>
        <v>11.00954</v>
      </c>
      <c r="AP954" s="5">
        <f>IF($A954="","",IFERROR(MATCH($A954,Raw_D1!$A$2:$A$1001,0),""))</f>
        <v/>
      </c>
      <c r="AQ954" s="5">
        <f>IF($A954="","",IFERROR(MATCH($A954,Raw_D2!$B$2:$B$1001,0),""))</f>
        <v/>
      </c>
      <c r="AR954" s="5">
        <f>IF($A954="","",IFERROR(MATCH($A954,Raw_D3!$A$2:$A$1001,0),""))</f>
        <v>334</v>
      </c>
    </row>
    <row r="955" spans="1:44" x14ac:dyDescent="0.25">
      <c r="A955" s="5">
        <v>954</v>
      </c>
      <c r="B955" s="11">
        <f>IF($A955="","",IF($AP955&lt;&gt;"",INDEX(Raw_D1!$B$2:$B$1001,$AP955),IF($AR955&lt;&gt;"",INDEX(Raw_D3!$B$2:$B$1001,$AR955),"")))</f>
        <v>40586.0</v>
      </c>
      <c r="C955" s="5">
        <f>IF($A955="","",IF($AP955&lt;&gt;"",INDEX(Raw_D1!$C$2:$C$1001,$AP955),IF($AR955&lt;&gt;"",INDEX(Raw_D3!$C$2:$C$1001,$AR955),"")))</f>
        <v>1</v>
      </c>
      <c r="D955" s="5">
        <f>IF($A955="","",IF($AP955&lt;&gt;"",INDEX(Raw_D1!$D$2:$D$1001,$AP955),IF($AR955&lt;&gt;"",INDEX(Raw_D3!$D$2:$D$1001,$AR955),"")))</f>
        <v>0</v>
      </c>
      <c r="E955" s="5">
        <f>IF($A955="","",IF($AP955&lt;&gt;"",INDEX(Raw_D1!$E$2:$E$1001,$AP955),IF($AR955&lt;&gt;"",INDEX(Raw_D3!$E$2:$E$1001,$AR955),"")))</f>
        <v>2</v>
      </c>
      <c r="F955" s="5">
        <f>IF($A955="","",IF($AP955&lt;&gt;"",INDEX(Raw_D1!$F$2:$F$1001,$AP955),IF($AR955&lt;&gt;"",INDEX(Raw_D3!$F$2:$F$1001,$AR955),"")))</f>
        <v>8</v>
      </c>
      <c r="G955" s="5">
        <f>IF($A955="","",IF($AP955&lt;&gt;"",IF(INDEX(Raw_D1!$G$2:$G$1001,$AP955),1,0),IF($AR955&lt;&gt;"",IF(INDEX(Raw_D3!$G$2:$G$1001,$AR955),1,0),"")))</f>
        <v>0</v>
      </c>
      <c r="H955" s="5">
        <f>IF($A955="","",IF($AP955&lt;&gt;"",INDEX(Raw_D1!$H$2:$H$1001,$AP955),IF($AR955&lt;&gt;"",INDEX(Raw_D3!$H$2:$H$1001,$AR955),"")))</f>
        <v>6</v>
      </c>
      <c r="I955" s="5">
        <f>IF($A955="","",IF($AP955&lt;&gt;"",INDEX(Raw_D1!$I$2:$I$1001,$AP955),IF($AR955&lt;&gt;"",INDEX(Raw_D3!$I$2:$I$1001,$AR955),"")))</f>
        <v>1</v>
      </c>
      <c r="J955" s="16">
        <f>IF($A955="","",IF($AP955&lt;&gt;"",INDEX(Raw_D1!$J$2:$J$1001,$AP955),IF($AR955&lt;&gt;"",INDEX(Raw_D3!$J$2:$J$1001,$AR955),"")))</f>
        <v>0.14</v>
      </c>
      <c r="K955" s="17">
        <f>IF($A955="","",IF($AQ955&lt;&gt;"",IF(INDEX(Raw_D2!$C$2:$C$1001,$AQ955)="","",INDEX(Raw_D2!$C$2:$C$1001,$AQ955)),IF($AR955&lt;&gt;"",IF(INDEX(Raw_D3!$K$2:$K$1001,$AR955)="","",INDEX(Raw_D3!$K$2:$K$1001,$AR955)),"")))</f>
        <v>0.1515</v>
      </c>
      <c r="L955" s="16">
        <f>IF($A955="","",IF($AQ955&lt;&gt;"",IF(INDEX(Raw_D2!$D$2:$D$1001,$AQ955)="","",INDEX(Raw_D2!$D$2:$D$1001,$AQ955)),IF($AR955&lt;&gt;"",IF(INDEX(Raw_D3!$L$2:$L$1001,$AR955)="","",INDEX(Raw_D3!$L$2:$L$1001,$AR955)),"")))</f>
        <v>0.86</v>
      </c>
      <c r="M955" s="17">
        <f>IF($A955="","",IF($AQ955&lt;&gt;"",IF(INDEX(Raw_D2!$E$2:$E$1001,$AQ955)="","",INDEX(Raw_D2!$E$2:$E$1001,$AQ955)),IF($AR955&lt;&gt;"",IF(INDEX(Raw_D3!$M$2:$M$1001,$AR955)="","",INDEX(Raw_D3!$M$2:$M$1001,$AR955)),"")))</f>
        <v>0.1343</v>
      </c>
      <c r="N955" s="5">
        <f>IF($A955="","",IF($AQ955&lt;&gt;"",IF(INDEX(Raw_D2!$F$2:$F$1001,$AQ955)="","",INDEX(Raw_D2!$F$2:$F$1001,$AQ955)),IF($AR955&lt;&gt;"",IF(INDEX(Raw_D3!$N$2:$N$1001,$AR955)="","",INDEX(Raw_D3!$N$2:$N$1001,$AR955)),"")))</f>
        <v>2</v>
      </c>
      <c r="O955" s="5">
        <f>IF($A955="","",IF($AQ955&lt;&gt;"",IF(INDEX(Raw_D2!$G$2:$G$1001,$AQ955)="","",INDEX(Raw_D2!$G$2:$G$1001,$AQ955)),IF($AR955&lt;&gt;"",IF(INDEX(Raw_D3!$O$2:$O$1001,$AR955)="","",INDEX(Raw_D3!$O$2:$O$1001,$AR955)),"")))</f>
        <v>28</v>
      </c>
      <c r="P955" s="5">
        <f>IF($A955="","",IF($AQ955&lt;&gt;"",IF(INDEX(Raw_D2!$H$2:$H$1001,$AQ955)="","",INDEX(Raw_D2!$H$2:$H$1001,$AQ955)),IF($AR955&lt;&gt;"",IF(INDEX(Raw_D3!$P$2:$P$1001,$AR955)="","",INDEX(Raw_D3!$P$2:$P$1001,$AR955)),"")))</f>
        <v>30</v>
      </c>
      <c r="Q955" s="5" t="str">
        <f>IF($A955="","",IF(AND($AP955&lt;&gt;"",$AQ955&lt;&gt;""),"D1+D2",IF($AR955&lt;&gt;"","D3","Incomplete")))</f>
        <v>D3</v>
      </c>
      <c r="R955" s="17">
        <f>IF($A955="","",IF($K955="",IF($J955="","",ROUND(Lookups!$K$5+Lookups!$K$4*$J955,4)),$K955))</f>
        <v>0.1515</v>
      </c>
      <c r="S955" s="5" t="str">
        <f>IF($A955="","",IF($K955="","Imputed","Original"))</f>
        <v>Original</v>
      </c>
      <c r="T955" s="5" t="str">
        <f>IF($A955="","",IF($P955="","Missing",IF($P955=$N955+$O955,"OK","Mismatch")))</f>
        <v>OK</v>
      </c>
      <c r="U955" s="5" t="str">
        <f>IF($A955="","",IF(COUNTIF($A$2:$A955,$A955)&gt;1,"Duplicate","Unique"))</f>
        <v>Unique</v>
      </c>
      <c r="V955" s="5">
        <f>IF($A955="","",IF(AND($U955="Unique",ISNUMBER($P955)),1,0))</f>
        <v>1</v>
      </c>
      <c r="W955" s="5" t="str">
        <f>IF($A955="","",IF(OR($H955=0,$H955=6),"Weekend","Weekday"))</f>
        <v>Weekend</v>
      </c>
      <c r="X955" s="5" t="str">
        <f>IF($A955="","",TEXT($B955,"ddd"))</f>
        <v>Sat</v>
      </c>
      <c r="Y955" s="5" t="str">
        <f>IF($A955="","",TEXT($B955,"mmm"))</f>
        <v>Feb</v>
      </c>
      <c r="Z955" s="5" t="str">
        <f>IF($A955="","",IFERROR(VLOOKUP($C955,Lookups!$D$4:$E$7,2,FALSE),"Unknown"))</f>
        <v>Winter</v>
      </c>
      <c r="AA955" s="5" t="str">
        <f>IF($A955="","",IFERROR(VLOOKUP($I955,Lookups!$A$4:$B$7,2,FALSE),"Unknown"))</f>
        <v>Clear</v>
      </c>
      <c r="AB955" s="5" t="str">
        <f>IF($A955="","",TEXT($F955,"00")&amp;":00")</f>
        <v>08:00</v>
      </c>
      <c r="AC955" s="5" t="str">
        <f>IF($A955="","",VLOOKUP($F955,Lookups!$G$4:$H$8,2,TRUE))</f>
        <v>Morning Peak (06-09)</v>
      </c>
      <c r="AD955" s="18">
        <f>IF($A955="","",IF($J955="","",ROUND($J955*41,1)))</f>
        <v>5.7</v>
      </c>
      <c r="AE955" s="18">
        <f>IF($A955="","",IF($R955="","",ROUND($R955*50,1)))</f>
        <v>7.6</v>
      </c>
      <c r="AF955" s="5">
        <f>IF($A955="","",IF($L955="","",ROUND($L955*100,0)))</f>
        <v>86</v>
      </c>
      <c r="AG955" s="18">
        <f>IF($A955="","",IF($M955="","",ROUND($M955*67,1)))</f>
        <v>9</v>
      </c>
      <c r="AH955" s="19">
        <f>IF($A955="","",IF($P955="","",IF($P955=0,0,$O955/$P955)))</f>
        <v>0.933333333333333</v>
      </c>
      <c r="AI955" s="5" t="str">
        <f>IF($A955="","",IF($P955="","",IF($P955&gt;=Lookups!$K$7,"High",IF($P955&lt;=Lookups!$K$8,"Low","Medium"))))</f>
        <v>Medium</v>
      </c>
      <c r="AJ955" s="5" t="str">
        <f>IF($A955="","",IF($AD955="","",IF($AD955&lt;5,"Under 5 C",IF($AD955&lt;10,"5-10 C",IF($AD955&lt;15,"10-15 C","15 C and above")))))</f>
        <v>5-10 C</v>
      </c>
      <c r="AK955" s="5">
        <f>IF($A955="","",IF($P955="","",$P955^2))</f>
        <v>900</v>
      </c>
      <c r="AL955" s="18">
        <f>IF($V955&lt;&gt;1,"",AVERAGEIFS(Clean_Data!$P$2:$P$1001,Clean_Data!$F$2:$F$1001,$F955,Clean_Data!$W$2:$W$1001,$W955,Clean_Data!$V$2:$V$1001,1))</f>
        <v>17.7857142857143</v>
      </c>
      <c r="AM955" s="16">
        <f>IF($V955&lt;&gt;1,"",IFERROR(($P955-$AL955)/SQRT(MAX(0,(SUMIFS(Clean_Data!$AK$2:$AK$1001,Clean_Data!$F$2:$F$1001,$F955,Clean_Data!$W$2:$W$1001,$W955,Clean_Data!$V$2:$V$1001,1)-COUNTIFS(Clean_Data!$F$2:$F$1001,$F955,Clean_Data!$W$2:$W$1001,$W955,Clean_Data!$V$2:$V$1001,1)*$AL955^2)/(COUNTIFS(Clean_Data!$F$2:$F$1001,$F955,Clean_Data!$W$2:$W$1001,$W955,Clean_Data!$V$2:$V$1001,1)-1))),""))</f>
        <v>1.43612861942617</v>
      </c>
      <c r="AN955" s="5" t="str">
        <f>IF($AM955="","",IF($AM955&gt;=Lookups!$K$6,"High spike",IF($AM955&lt;=-Lookups!$K$6,"Unusual low","Normal")))</f>
        <v>Normal</v>
      </c>
      <c r="AO955" s="20">
        <f>IF($V955&lt;&gt;1,"",$P955+ROW()/100000)</f>
        <v>30.00955</v>
      </c>
      <c r="AP955" s="5">
        <f>IF($A955="","",IFERROR(MATCH($A955,Raw_D1!$A$2:$A$1001,0),""))</f>
        <v/>
      </c>
      <c r="AQ955" s="5">
        <f>IF($A955="","",IFERROR(MATCH($A955,Raw_D2!$B$2:$B$1001,0),""))</f>
        <v/>
      </c>
      <c r="AR955" s="5">
        <f>IF($A955="","",IFERROR(MATCH($A955,Raw_D3!$A$2:$A$1001,0),""))</f>
        <v>335</v>
      </c>
    </row>
    <row r="956" spans="1:44" x14ac:dyDescent="0.25">
      <c r="A956" s="5">
        <v>955</v>
      </c>
      <c r="B956" s="11">
        <f>IF($A956="","",IF($AP956&lt;&gt;"",INDEX(Raw_D1!$B$2:$B$1001,$AP956),IF($AR956&lt;&gt;"",INDEX(Raw_D3!$B$2:$B$1001,$AR956),"")))</f>
        <v>40586.0</v>
      </c>
      <c r="C956" s="5">
        <f>IF($A956="","",IF($AP956&lt;&gt;"",INDEX(Raw_D1!$C$2:$C$1001,$AP956),IF($AR956&lt;&gt;"",INDEX(Raw_D3!$C$2:$C$1001,$AR956),"")))</f>
        <v>1</v>
      </c>
      <c r="D956" s="5">
        <f>IF($A956="","",IF($AP956&lt;&gt;"",INDEX(Raw_D1!$D$2:$D$1001,$AP956),IF($AR956&lt;&gt;"",INDEX(Raw_D3!$D$2:$D$1001,$AR956),"")))</f>
        <v>0</v>
      </c>
      <c r="E956" s="5">
        <f>IF($A956="","",IF($AP956&lt;&gt;"",INDEX(Raw_D1!$E$2:$E$1001,$AP956),IF($AR956&lt;&gt;"",INDEX(Raw_D3!$E$2:$E$1001,$AR956),"")))</f>
        <v>2</v>
      </c>
      <c r="F956" s="5">
        <f>IF($A956="","",IF($AP956&lt;&gt;"",INDEX(Raw_D1!$F$2:$F$1001,$AP956),IF($AR956&lt;&gt;"",INDEX(Raw_D3!$F$2:$F$1001,$AR956),"")))</f>
        <v>9</v>
      </c>
      <c r="G956" s="5">
        <f>IF($A956="","",IF($AP956&lt;&gt;"",IF(INDEX(Raw_D1!$G$2:$G$1001,$AP956),1,0),IF($AR956&lt;&gt;"",IF(INDEX(Raw_D3!$G$2:$G$1001,$AR956),1,0),"")))</f>
        <v>0</v>
      </c>
      <c r="H956" s="5">
        <f>IF($A956="","",IF($AP956&lt;&gt;"",INDEX(Raw_D1!$H$2:$H$1001,$AP956),IF($AR956&lt;&gt;"",INDEX(Raw_D3!$H$2:$H$1001,$AR956),"")))</f>
        <v>6</v>
      </c>
      <c r="I956" s="5">
        <f>IF($A956="","",IF($AP956&lt;&gt;"",INDEX(Raw_D1!$I$2:$I$1001,$AP956),IF($AR956&lt;&gt;"",INDEX(Raw_D3!$I$2:$I$1001,$AR956),"")))</f>
        <v>1</v>
      </c>
      <c r="J956" s="16">
        <f>IF($A956="","",IF($AP956&lt;&gt;"",INDEX(Raw_D1!$J$2:$J$1001,$AP956),IF($AR956&lt;&gt;"",INDEX(Raw_D3!$J$2:$J$1001,$AR956),"")))</f>
        <v>0.16</v>
      </c>
      <c r="K956" s="17">
        <f>IF($A956="","",IF($AQ956&lt;&gt;"",IF(INDEX(Raw_D2!$C$2:$C$1001,$AQ956)="","",INDEX(Raw_D2!$C$2:$C$1001,$AQ956)),IF($AR956&lt;&gt;"",IF(INDEX(Raw_D3!$K$2:$K$1001,$AR956)="","",INDEX(Raw_D3!$K$2:$K$1001,$AR956)),"")))</f>
        <v>0.1818</v>
      </c>
      <c r="L956" s="16">
        <f>IF($A956="","",IF($AQ956&lt;&gt;"",IF(INDEX(Raw_D2!$D$2:$D$1001,$AQ956)="","",INDEX(Raw_D2!$D$2:$D$1001,$AQ956)),IF($AR956&lt;&gt;"",IF(INDEX(Raw_D3!$L$2:$L$1001,$AR956)="","",INDEX(Raw_D3!$L$2:$L$1001,$AR956)),"")))</f>
        <v>0.64</v>
      </c>
      <c r="M956" s="17">
        <f>IF($A956="","",IF($AQ956&lt;&gt;"",IF(INDEX(Raw_D2!$E$2:$E$1001,$AQ956)="","",INDEX(Raw_D2!$E$2:$E$1001,$AQ956)),IF($AR956&lt;&gt;"",IF(INDEX(Raw_D3!$M$2:$M$1001,$AR956)="","",INDEX(Raw_D3!$M$2:$M$1001,$AR956)),"")))</f>
        <v>0.1343</v>
      </c>
      <c r="N956" s="5">
        <f>IF($A956="","",IF($AQ956&lt;&gt;"",IF(INDEX(Raw_D2!$F$2:$F$1001,$AQ956)="","",INDEX(Raw_D2!$F$2:$F$1001,$AQ956)),IF($AR956&lt;&gt;"",IF(INDEX(Raw_D3!$N$2:$N$1001,$AR956)="","",INDEX(Raw_D3!$N$2:$N$1001,$AR956)),"")))</f>
        <v>5</v>
      </c>
      <c r="O956" s="5">
        <f>IF($A956="","",IF($AQ956&lt;&gt;"",IF(INDEX(Raw_D2!$G$2:$G$1001,$AQ956)="","",INDEX(Raw_D2!$G$2:$G$1001,$AQ956)),IF($AR956&lt;&gt;"",IF(INDEX(Raw_D3!$O$2:$O$1001,$AR956)="","",INDEX(Raw_D3!$O$2:$O$1001,$AR956)),"")))</f>
        <v>38</v>
      </c>
      <c r="P956" s="5">
        <f>IF($A956="","",IF($AQ956&lt;&gt;"",IF(INDEX(Raw_D2!$H$2:$H$1001,$AQ956)="","",INDEX(Raw_D2!$H$2:$H$1001,$AQ956)),IF($AR956&lt;&gt;"",IF(INDEX(Raw_D3!$P$2:$P$1001,$AR956)="","",INDEX(Raw_D3!$P$2:$P$1001,$AR956)),"")))</f>
        <v>43</v>
      </c>
      <c r="Q956" s="5" t="str">
        <f>IF($A956="","",IF(AND($AP956&lt;&gt;"",$AQ956&lt;&gt;""),"D1+D2",IF($AR956&lt;&gt;"","D3","Incomplete")))</f>
        <v>D3</v>
      </c>
      <c r="R956" s="17">
        <f>IF($A956="","",IF($K956="",IF($J956="","",ROUND(Lookups!$K$5+Lookups!$K$4*$J956,4)),$K956))</f>
        <v>0.1818</v>
      </c>
      <c r="S956" s="5" t="str">
        <f>IF($A956="","",IF($K956="","Imputed","Original"))</f>
        <v>Original</v>
      </c>
      <c r="T956" s="5" t="str">
        <f>IF($A956="","",IF($P956="","Missing",IF($P956=$N956+$O956,"OK","Mismatch")))</f>
        <v>OK</v>
      </c>
      <c r="U956" s="5" t="str">
        <f>IF($A956="","",IF(COUNTIF($A$2:$A956,$A956)&gt;1,"Duplicate","Unique"))</f>
        <v>Unique</v>
      </c>
      <c r="V956" s="5">
        <f>IF($A956="","",IF(AND($U956="Unique",ISNUMBER($P956)),1,0))</f>
        <v>1</v>
      </c>
      <c r="W956" s="5" t="str">
        <f>IF($A956="","",IF(OR($H956=0,$H956=6),"Weekend","Weekday"))</f>
        <v>Weekend</v>
      </c>
      <c r="X956" s="5" t="str">
        <f>IF($A956="","",TEXT($B956,"ddd"))</f>
        <v>Sat</v>
      </c>
      <c r="Y956" s="5" t="str">
        <f>IF($A956="","",TEXT($B956,"mmm"))</f>
        <v>Feb</v>
      </c>
      <c r="Z956" s="5" t="str">
        <f>IF($A956="","",IFERROR(VLOOKUP($C956,Lookups!$D$4:$E$7,2,FALSE),"Unknown"))</f>
        <v>Winter</v>
      </c>
      <c r="AA956" s="5" t="str">
        <f>IF($A956="","",IFERROR(VLOOKUP($I956,Lookups!$A$4:$B$7,2,FALSE),"Unknown"))</f>
        <v>Clear</v>
      </c>
      <c r="AB956" s="5" t="str">
        <f>IF($A956="","",TEXT($F956,"00")&amp;":00")</f>
        <v>09:00</v>
      </c>
      <c r="AC956" s="5" t="str">
        <f>IF($A956="","",VLOOKUP($F956,Lookups!$G$4:$H$8,2,TRUE))</f>
        <v>Morning Peak (06-09)</v>
      </c>
      <c r="AD956" s="18">
        <f>IF($A956="","",IF($J956="","",ROUND($J956*41,1)))</f>
        <v>6.6</v>
      </c>
      <c r="AE956" s="18">
        <f>IF($A956="","",IF($R956="","",ROUND($R956*50,1)))</f>
        <v>9.1</v>
      </c>
      <c r="AF956" s="5">
        <f>IF($A956="","",IF($L956="","",ROUND($L956*100,0)))</f>
        <v>64</v>
      </c>
      <c r="AG956" s="18">
        <f>IF($A956="","",IF($M956="","",ROUND($M956*67,1)))</f>
        <v>9</v>
      </c>
      <c r="AH956" s="19">
        <f>IF($A956="","",IF($P956="","",IF($P956=0,0,$O956/$P956)))</f>
        <v>0.883720930232558</v>
      </c>
      <c r="AI956" s="5" t="str">
        <f>IF($A956="","",IF($P956="","",IF($P956&gt;=Lookups!$K$7,"High",IF($P956&lt;=Lookups!$K$8,"Low","Medium"))))</f>
        <v>Medium</v>
      </c>
      <c r="AJ956" s="5" t="str">
        <f>IF($A956="","",IF($AD956="","",IF($AD956&lt;5,"Under 5 C",IF($AD956&lt;10,"5-10 C",IF($AD956&lt;15,"10-15 C","15 C and above")))))</f>
        <v>5-10 C</v>
      </c>
      <c r="AK956" s="5">
        <f>IF($A956="","",IF($P956="","",$P956^2))</f>
        <v>1849</v>
      </c>
      <c r="AL956" s="18">
        <f>IF($V956&lt;&gt;1,"",AVERAGEIFS(Clean_Data!$P$2:$P$1001,Clean_Data!$F$2:$F$1001,$F956,Clean_Data!$W$2:$W$1001,$W956,Clean_Data!$V$2:$V$1001,1))</f>
        <v>30.9285714285714</v>
      </c>
      <c r="AM956" s="16">
        <f>IF($V956&lt;&gt;1,"",IFERROR(($P956-$AL956)/SQRT(MAX(0,(SUMIFS(Clean_Data!$AK$2:$AK$1001,Clean_Data!$F$2:$F$1001,$F956,Clean_Data!$W$2:$W$1001,$W956,Clean_Data!$V$2:$V$1001,1)-COUNTIFS(Clean_Data!$F$2:$F$1001,$F956,Clean_Data!$W$2:$W$1001,$W956,Clean_Data!$V$2:$V$1001,1)*$AL956^2)/(COUNTIFS(Clean_Data!$F$2:$F$1001,$F956,Clean_Data!$W$2:$W$1001,$W956,Clean_Data!$V$2:$V$1001,1)-1))),""))</f>
        <v>1.10732764544896</v>
      </c>
      <c r="AN956" s="5" t="str">
        <f>IF($AM956="","",IF($AM956&gt;=Lookups!$K$6,"High spike",IF($AM956&lt;=-Lookups!$K$6,"Unusual low","Normal")))</f>
        <v>Normal</v>
      </c>
      <c r="AO956" s="20">
        <f>IF($V956&lt;&gt;1,"",$P956+ROW()/100000)</f>
        <v>43.00956</v>
      </c>
      <c r="AP956" s="5">
        <f>IF($A956="","",IFERROR(MATCH($A956,Raw_D1!$A$2:$A$1001,0),""))</f>
        <v/>
      </c>
      <c r="AQ956" s="5">
        <f>IF($A956="","",IFERROR(MATCH($A956,Raw_D2!$B$2:$B$1001,0),""))</f>
        <v/>
      </c>
      <c r="AR956" s="5">
        <f>IF($A956="","",IFERROR(MATCH($A956,Raw_D3!$A$2:$A$1001,0),""))</f>
        <v>336</v>
      </c>
    </row>
    <row r="957" spans="1:44" x14ac:dyDescent="0.25">
      <c r="A957" s="5">
        <v>956</v>
      </c>
      <c r="B957" s="11">
        <f>IF($A957="","",IF($AP957&lt;&gt;"",INDEX(Raw_D1!$B$2:$B$1001,$AP957),IF($AR957&lt;&gt;"",INDEX(Raw_D3!$B$2:$B$1001,$AR957),"")))</f>
        <v>40586.0</v>
      </c>
      <c r="C957" s="5">
        <f>IF($A957="","",IF($AP957&lt;&gt;"",INDEX(Raw_D1!$C$2:$C$1001,$AP957),IF($AR957&lt;&gt;"",INDEX(Raw_D3!$C$2:$C$1001,$AR957),"")))</f>
        <v>1</v>
      </c>
      <c r="D957" s="5">
        <f>IF($A957="","",IF($AP957&lt;&gt;"",INDEX(Raw_D1!$D$2:$D$1001,$AP957),IF($AR957&lt;&gt;"",INDEX(Raw_D3!$D$2:$D$1001,$AR957),"")))</f>
        <v>0</v>
      </c>
      <c r="E957" s="5">
        <f>IF($A957="","",IF($AP957&lt;&gt;"",INDEX(Raw_D1!$E$2:$E$1001,$AP957),IF($AR957&lt;&gt;"",INDEX(Raw_D3!$E$2:$E$1001,$AR957),"")))</f>
        <v>2</v>
      </c>
      <c r="F957" s="5">
        <f>IF($A957="","",IF($AP957&lt;&gt;"",INDEX(Raw_D1!$F$2:$F$1001,$AP957),IF($AR957&lt;&gt;"",INDEX(Raw_D3!$F$2:$F$1001,$AR957),"")))</f>
        <v>10</v>
      </c>
      <c r="G957" s="5">
        <f>IF($A957="","",IF($AP957&lt;&gt;"",IF(INDEX(Raw_D1!$G$2:$G$1001,$AP957),1,0),IF($AR957&lt;&gt;"",IF(INDEX(Raw_D3!$G$2:$G$1001,$AR957),1,0),"")))</f>
        <v>0</v>
      </c>
      <c r="H957" s="5">
        <f>IF($A957="","",IF($AP957&lt;&gt;"",INDEX(Raw_D1!$H$2:$H$1001,$AP957),IF($AR957&lt;&gt;"",INDEX(Raw_D3!$H$2:$H$1001,$AR957),"")))</f>
        <v>6</v>
      </c>
      <c r="I957" s="5">
        <f>IF($A957="","",IF($AP957&lt;&gt;"",INDEX(Raw_D1!$I$2:$I$1001,$AP957),IF($AR957&lt;&gt;"",INDEX(Raw_D3!$I$2:$I$1001,$AR957),"")))</f>
        <v>1</v>
      </c>
      <c r="J957" s="16">
        <f>IF($A957="","",IF($AP957&lt;&gt;"",INDEX(Raw_D1!$J$2:$J$1001,$AP957),IF($AR957&lt;&gt;"",INDEX(Raw_D3!$J$2:$J$1001,$AR957),"")))</f>
        <v>0.22</v>
      </c>
      <c r="K957" s="17">
        <f>IF($A957="","",IF($AQ957&lt;&gt;"",IF(INDEX(Raw_D2!$C$2:$C$1001,$AQ957)="","",INDEX(Raw_D2!$C$2:$C$1001,$AQ957)),IF($AR957&lt;&gt;"",IF(INDEX(Raw_D3!$K$2:$K$1001,$AR957)="","",INDEX(Raw_D3!$K$2:$K$1001,$AR957)),"")))</f>
        <v>0.2121</v>
      </c>
      <c r="L957" s="16">
        <f>IF($A957="","",IF($AQ957&lt;&gt;"",IF(INDEX(Raw_D2!$D$2:$D$1001,$AQ957)="","",INDEX(Raw_D2!$D$2:$D$1001,$AQ957)),IF($AR957&lt;&gt;"",IF(INDEX(Raw_D3!$L$2:$L$1001,$AR957)="","",INDEX(Raw_D3!$L$2:$L$1001,$AR957)),"")))</f>
        <v>0.41</v>
      </c>
      <c r="M957" s="17">
        <f>IF($A957="","",IF($AQ957&lt;&gt;"",IF(INDEX(Raw_D2!$E$2:$E$1001,$AQ957)="","",INDEX(Raw_D2!$E$2:$E$1001,$AQ957)),IF($AR957&lt;&gt;"",IF(INDEX(Raw_D3!$M$2:$M$1001,$AR957)="","",INDEX(Raw_D3!$M$2:$M$1001,$AR957)),"")))</f>
        <v>0.2537</v>
      </c>
      <c r="N957" s="5">
        <f>IF($A957="","",IF($AQ957&lt;&gt;"",IF(INDEX(Raw_D2!$F$2:$F$1001,$AQ957)="","",INDEX(Raw_D2!$F$2:$F$1001,$AQ957)),IF($AR957&lt;&gt;"",IF(INDEX(Raw_D3!$N$2:$N$1001,$AR957)="","",INDEX(Raw_D3!$N$2:$N$1001,$AR957)),"")))</f>
        <v>13</v>
      </c>
      <c r="O957" s="5">
        <f>IF($A957="","",IF($AQ957&lt;&gt;"",IF(INDEX(Raw_D2!$G$2:$G$1001,$AQ957)="","",INDEX(Raw_D2!$G$2:$G$1001,$AQ957)),IF($AR957&lt;&gt;"",IF(INDEX(Raw_D3!$O$2:$O$1001,$AR957)="","",INDEX(Raw_D3!$O$2:$O$1001,$AR957)),"")))</f>
        <v>71</v>
      </c>
      <c r="P957" s="5">
        <f>IF($A957="","",IF($AQ957&lt;&gt;"",IF(INDEX(Raw_D2!$H$2:$H$1001,$AQ957)="","",INDEX(Raw_D2!$H$2:$H$1001,$AQ957)),IF($AR957&lt;&gt;"",IF(INDEX(Raw_D3!$P$2:$P$1001,$AR957)="","",INDEX(Raw_D3!$P$2:$P$1001,$AR957)),"")))</f>
        <v>84</v>
      </c>
      <c r="Q957" s="5" t="str">
        <f>IF($A957="","",IF(AND($AP957&lt;&gt;"",$AQ957&lt;&gt;""),"D1+D2",IF($AR957&lt;&gt;"","D3","Incomplete")))</f>
        <v>D3</v>
      </c>
      <c r="R957" s="17">
        <f>IF($A957="","",IF($K957="",IF($J957="","",ROUND(Lookups!$K$5+Lookups!$K$4*$J957,4)),$K957))</f>
        <v>0.2121</v>
      </c>
      <c r="S957" s="5" t="str">
        <f>IF($A957="","",IF($K957="","Imputed","Original"))</f>
        <v>Original</v>
      </c>
      <c r="T957" s="5" t="str">
        <f>IF($A957="","",IF($P957="","Missing",IF($P957=$N957+$O957,"OK","Mismatch")))</f>
        <v>OK</v>
      </c>
      <c r="U957" s="5" t="str">
        <f>IF($A957="","",IF(COUNTIF($A$2:$A957,$A957)&gt;1,"Duplicate","Unique"))</f>
        <v>Unique</v>
      </c>
      <c r="V957" s="5">
        <f>IF($A957="","",IF(AND($U957="Unique",ISNUMBER($P957)),1,0))</f>
        <v>1</v>
      </c>
      <c r="W957" s="5" t="str">
        <f>IF($A957="","",IF(OR($H957=0,$H957=6),"Weekend","Weekday"))</f>
        <v>Weekend</v>
      </c>
      <c r="X957" s="5" t="str">
        <f>IF($A957="","",TEXT($B957,"ddd"))</f>
        <v>Sat</v>
      </c>
      <c r="Y957" s="5" t="str">
        <f>IF($A957="","",TEXT($B957,"mmm"))</f>
        <v>Feb</v>
      </c>
      <c r="Z957" s="5" t="str">
        <f>IF($A957="","",IFERROR(VLOOKUP($C957,Lookups!$D$4:$E$7,2,FALSE),"Unknown"))</f>
        <v>Winter</v>
      </c>
      <c r="AA957" s="5" t="str">
        <f>IF($A957="","",IFERROR(VLOOKUP($I957,Lookups!$A$4:$B$7,2,FALSE),"Unknown"))</f>
        <v>Clear</v>
      </c>
      <c r="AB957" s="5" t="str">
        <f>IF($A957="","",TEXT($F957,"00")&amp;":00")</f>
        <v>10:00</v>
      </c>
      <c r="AC957" s="5" t="str">
        <f>IF($A957="","",VLOOKUP($F957,Lookups!$G$4:$H$8,2,TRUE))</f>
        <v>Midday (10-15)</v>
      </c>
      <c r="AD957" s="18">
        <f>IF($A957="","",IF($J957="","",ROUND($J957*41,1)))</f>
        <v>9</v>
      </c>
      <c r="AE957" s="18">
        <f>IF($A957="","",IF($R957="","",ROUND($R957*50,1)))</f>
        <v>10.6</v>
      </c>
      <c r="AF957" s="5">
        <f>IF($A957="","",IF($L957="","",ROUND($L957*100,0)))</f>
        <v>41</v>
      </c>
      <c r="AG957" s="18">
        <f>IF($A957="","",IF($M957="","",ROUND($M957*67,1)))</f>
        <v>17</v>
      </c>
      <c r="AH957" s="19">
        <f>IF($A957="","",IF($P957="","",IF($P957=0,0,$O957/$P957)))</f>
        <v>0.845238095238095</v>
      </c>
      <c r="AI957" s="5" t="str">
        <f>IF($A957="","",IF($P957="","",IF($P957&gt;=Lookups!$K$7,"High",IF($P957&lt;=Lookups!$K$8,"Low","Medium"))))</f>
        <v>High</v>
      </c>
      <c r="AJ957" s="5" t="str">
        <f>IF($A957="","",IF($AD957="","",IF($AD957&lt;5,"Under 5 C",IF($AD957&lt;10,"5-10 C",IF($AD957&lt;15,"10-15 C","15 C and above")))))</f>
        <v>5-10 C</v>
      </c>
      <c r="AK957" s="5">
        <f>IF($A957="","",IF($P957="","",$P957^2))</f>
        <v>7056</v>
      </c>
      <c r="AL957" s="18">
        <f>IF($V957&lt;&gt;1,"",AVERAGEIFS(Clean_Data!$P$2:$P$1001,Clean_Data!$F$2:$F$1001,$F957,Clean_Data!$W$2:$W$1001,$W957,Clean_Data!$V$2:$V$1001,1))</f>
        <v>62.7857142857143</v>
      </c>
      <c r="AM957" s="16">
        <f>IF($V957&lt;&gt;1,"",IFERROR(($P957-$AL957)/SQRT(MAX(0,(SUMIFS(Clean_Data!$AK$2:$AK$1001,Clean_Data!$F$2:$F$1001,$F957,Clean_Data!$W$2:$W$1001,$W957,Clean_Data!$V$2:$V$1001,1)-COUNTIFS(Clean_Data!$F$2:$F$1001,$F957,Clean_Data!$W$2:$W$1001,$W957,Clean_Data!$V$2:$V$1001,1)*$AL957^2)/(COUNTIFS(Clean_Data!$F$2:$F$1001,$F957,Clean_Data!$W$2:$W$1001,$W957,Clean_Data!$V$2:$V$1001,1)-1))),""))</f>
        <v>1.05945620080378</v>
      </c>
      <c r="AN957" s="5" t="str">
        <f>IF($AM957="","",IF($AM957&gt;=Lookups!$K$6,"High spike",IF($AM957&lt;=-Lookups!$K$6,"Unusual low","Normal")))</f>
        <v>Normal</v>
      </c>
      <c r="AO957" s="20">
        <f>IF($V957&lt;&gt;1,"",$P957+ROW()/100000)</f>
        <v>84.00957</v>
      </c>
      <c r="AP957" s="5">
        <f>IF($A957="","",IFERROR(MATCH($A957,Raw_D1!$A$2:$A$1001,0),""))</f>
        <v/>
      </c>
      <c r="AQ957" s="5">
        <f>IF($A957="","",IFERROR(MATCH($A957,Raw_D2!$B$2:$B$1001,0),""))</f>
        <v/>
      </c>
      <c r="AR957" s="5">
        <f>IF($A957="","",IFERROR(MATCH($A957,Raw_D3!$A$2:$A$1001,0),""))</f>
        <v>337</v>
      </c>
    </row>
    <row r="958" spans="1:44" x14ac:dyDescent="0.25">
      <c r="A958" s="5">
        <v>957</v>
      </c>
      <c r="B958" s="11">
        <f>IF($A958="","",IF($AP958&lt;&gt;"",INDEX(Raw_D1!$B$2:$B$1001,$AP958),IF($AR958&lt;&gt;"",INDEX(Raw_D3!$B$2:$B$1001,$AR958),"")))</f>
        <v>40586.0</v>
      </c>
      <c r="C958" s="5">
        <f>IF($A958="","",IF($AP958&lt;&gt;"",INDEX(Raw_D1!$C$2:$C$1001,$AP958),IF($AR958&lt;&gt;"",INDEX(Raw_D3!$C$2:$C$1001,$AR958),"")))</f>
        <v>1</v>
      </c>
      <c r="D958" s="5">
        <f>IF($A958="","",IF($AP958&lt;&gt;"",INDEX(Raw_D1!$D$2:$D$1001,$AP958),IF($AR958&lt;&gt;"",INDEX(Raw_D3!$D$2:$D$1001,$AR958),"")))</f>
        <v>0</v>
      </c>
      <c r="E958" s="5">
        <f>IF($A958="","",IF($AP958&lt;&gt;"",INDEX(Raw_D1!$E$2:$E$1001,$AP958),IF($AR958&lt;&gt;"",INDEX(Raw_D3!$E$2:$E$1001,$AR958),"")))</f>
        <v>2</v>
      </c>
      <c r="F958" s="5">
        <f>IF($A958="","",IF($AP958&lt;&gt;"",INDEX(Raw_D1!$F$2:$F$1001,$AP958),IF($AR958&lt;&gt;"",INDEX(Raw_D3!$F$2:$F$1001,$AR958),"")))</f>
        <v>11</v>
      </c>
      <c r="G958" s="5">
        <f>IF($A958="","",IF($AP958&lt;&gt;"",IF(INDEX(Raw_D1!$G$2:$G$1001,$AP958),1,0),IF($AR958&lt;&gt;"",IF(INDEX(Raw_D3!$G$2:$G$1001,$AR958),1,0),"")))</f>
        <v>0</v>
      </c>
      <c r="H958" s="5">
        <f>IF($A958="","",IF($AP958&lt;&gt;"",INDEX(Raw_D1!$H$2:$H$1001,$AP958),IF($AR958&lt;&gt;"",INDEX(Raw_D3!$H$2:$H$1001,$AR958),"")))</f>
        <v>6</v>
      </c>
      <c r="I958" s="5">
        <f>IF($A958="","",IF($AP958&lt;&gt;"",INDEX(Raw_D1!$I$2:$I$1001,$AP958),IF($AR958&lt;&gt;"",INDEX(Raw_D3!$I$2:$I$1001,$AR958),"")))</f>
        <v>1</v>
      </c>
      <c r="J958" s="16">
        <f>IF($A958="","",IF($AP958&lt;&gt;"",INDEX(Raw_D1!$J$2:$J$1001,$AP958),IF($AR958&lt;&gt;"",INDEX(Raw_D3!$J$2:$J$1001,$AR958),"")))</f>
        <v>0.3</v>
      </c>
      <c r="K958" s="17">
        <f>IF($A958="","",IF($AQ958&lt;&gt;"",IF(INDEX(Raw_D2!$C$2:$C$1001,$AQ958)="","",INDEX(Raw_D2!$C$2:$C$1001,$AQ958)),IF($AR958&lt;&gt;"",IF(INDEX(Raw_D3!$K$2:$K$1001,$AR958)="","",INDEX(Raw_D3!$K$2:$K$1001,$AR958)),"")))</f>
        <v>0.2727</v>
      </c>
      <c r="L958" s="16">
        <f>IF($A958="","",IF($AQ958&lt;&gt;"",IF(INDEX(Raw_D2!$D$2:$D$1001,$AQ958)="","",INDEX(Raw_D2!$D$2:$D$1001,$AQ958)),IF($AR958&lt;&gt;"",IF(INDEX(Raw_D3!$L$2:$L$1001,$AR958)="","",INDEX(Raw_D3!$L$2:$L$1001,$AR958)),"")))</f>
        <v>0.28</v>
      </c>
      <c r="M958" s="17">
        <f>IF($A958="","",IF($AQ958&lt;&gt;"",IF(INDEX(Raw_D2!$E$2:$E$1001,$AQ958)="","",INDEX(Raw_D2!$E$2:$E$1001,$AQ958)),IF($AR958&lt;&gt;"",IF(INDEX(Raw_D3!$M$2:$M$1001,$AR958)="","",INDEX(Raw_D3!$M$2:$M$1001,$AR958)),"")))</f>
        <v>0.3284</v>
      </c>
      <c r="N958" s="5">
        <f>IF($A958="","",IF($AQ958&lt;&gt;"",IF(INDEX(Raw_D2!$F$2:$F$1001,$AQ958)="","",INDEX(Raw_D2!$F$2:$F$1001,$AQ958)),IF($AR958&lt;&gt;"",IF(INDEX(Raw_D3!$N$2:$N$1001,$AR958)="","",INDEX(Raw_D3!$N$2:$N$1001,$AR958)),"")))</f>
        <v>30</v>
      </c>
      <c r="O958" s="5">
        <f>IF($A958="","",IF($AQ958&lt;&gt;"",IF(INDEX(Raw_D2!$G$2:$G$1001,$AQ958)="","",INDEX(Raw_D2!$G$2:$G$1001,$AQ958)),IF($AR958&lt;&gt;"",IF(INDEX(Raw_D3!$O$2:$O$1001,$AR958)="","",INDEX(Raw_D3!$O$2:$O$1001,$AR958)),"")))</f>
        <v>84</v>
      </c>
      <c r="P958" s="5">
        <f>IF($A958="","",IF($AQ958&lt;&gt;"",IF(INDEX(Raw_D2!$H$2:$H$1001,$AQ958)="","",INDEX(Raw_D2!$H$2:$H$1001,$AQ958)),IF($AR958&lt;&gt;"",IF(INDEX(Raw_D3!$P$2:$P$1001,$AR958)="","",INDEX(Raw_D3!$P$2:$P$1001,$AR958)),"")))</f>
        <v>114</v>
      </c>
      <c r="Q958" s="5" t="str">
        <f>IF($A958="","",IF(AND($AP958&lt;&gt;"",$AQ958&lt;&gt;""),"D1+D2",IF($AR958&lt;&gt;"","D3","Incomplete")))</f>
        <v>D3</v>
      </c>
      <c r="R958" s="17">
        <f>IF($A958="","",IF($K958="",IF($J958="","",ROUND(Lookups!$K$5+Lookups!$K$4*$J958,4)),$K958))</f>
        <v>0.2727</v>
      </c>
      <c r="S958" s="5" t="str">
        <f>IF($A958="","",IF($K958="","Imputed","Original"))</f>
        <v>Original</v>
      </c>
      <c r="T958" s="5" t="str">
        <f>IF($A958="","",IF($P958="","Missing",IF($P958=$N958+$O958,"OK","Mismatch")))</f>
        <v>OK</v>
      </c>
      <c r="U958" s="5" t="str">
        <f>IF($A958="","",IF(COUNTIF($A$2:$A958,$A958)&gt;1,"Duplicate","Unique"))</f>
        <v>Unique</v>
      </c>
      <c r="V958" s="5">
        <f>IF($A958="","",IF(AND($U958="Unique",ISNUMBER($P958)),1,0))</f>
        <v>1</v>
      </c>
      <c r="W958" s="5" t="str">
        <f>IF($A958="","",IF(OR($H958=0,$H958=6),"Weekend","Weekday"))</f>
        <v>Weekend</v>
      </c>
      <c r="X958" s="5" t="str">
        <f>IF($A958="","",TEXT($B958,"ddd"))</f>
        <v>Sat</v>
      </c>
      <c r="Y958" s="5" t="str">
        <f>IF($A958="","",TEXT($B958,"mmm"))</f>
        <v>Feb</v>
      </c>
      <c r="Z958" s="5" t="str">
        <f>IF($A958="","",IFERROR(VLOOKUP($C958,Lookups!$D$4:$E$7,2,FALSE),"Unknown"))</f>
        <v>Winter</v>
      </c>
      <c r="AA958" s="5" t="str">
        <f>IF($A958="","",IFERROR(VLOOKUP($I958,Lookups!$A$4:$B$7,2,FALSE),"Unknown"))</f>
        <v>Clear</v>
      </c>
      <c r="AB958" s="5" t="str">
        <f>IF($A958="","",TEXT($F958,"00")&amp;":00")</f>
        <v>11:00</v>
      </c>
      <c r="AC958" s="5" t="str">
        <f>IF($A958="","",VLOOKUP($F958,Lookups!$G$4:$H$8,2,TRUE))</f>
        <v>Midday (10-15)</v>
      </c>
      <c r="AD958" s="18">
        <f>IF($A958="","",IF($J958="","",ROUND($J958*41,1)))</f>
        <v>12.3</v>
      </c>
      <c r="AE958" s="18">
        <f>IF($A958="","",IF($R958="","",ROUND($R958*50,1)))</f>
        <v>13.6</v>
      </c>
      <c r="AF958" s="5">
        <f>IF($A958="","",IF($L958="","",ROUND($L958*100,0)))</f>
        <v>28</v>
      </c>
      <c r="AG958" s="18">
        <f>IF($A958="","",IF($M958="","",ROUND($M958*67,1)))</f>
        <v>22</v>
      </c>
      <c r="AH958" s="19">
        <f>IF($A958="","",IF($P958="","",IF($P958=0,0,$O958/$P958)))</f>
        <v>0.736842105263158</v>
      </c>
      <c r="AI958" s="5" t="str">
        <f>IF($A958="","",IF($P958="","",IF($P958&gt;=Lookups!$K$7,"High",IF($P958&lt;=Lookups!$K$8,"Low","Medium"))))</f>
        <v>High</v>
      </c>
      <c r="AJ958" s="5" t="str">
        <f>IF($A958="","",IF($AD958="","",IF($AD958&lt;5,"Under 5 C",IF($AD958&lt;10,"5-10 C",IF($AD958&lt;15,"10-15 C","15 C and above")))))</f>
        <v>10-15 C</v>
      </c>
      <c r="AK958" s="5">
        <f>IF($A958="","",IF($P958="","",$P958^2))</f>
        <v>12996</v>
      </c>
      <c r="AL958" s="18">
        <f>IF($V958&lt;&gt;1,"",AVERAGEIFS(Clean_Data!$P$2:$P$1001,Clean_Data!$F$2:$F$1001,$F958,Clean_Data!$W$2:$W$1001,$W958,Clean_Data!$V$2:$V$1001,1))</f>
        <v>76.9285714285714</v>
      </c>
      <c r="AM958" s="16">
        <f>IF($V958&lt;&gt;1,"",IFERROR(($P958-$AL958)/SQRT(MAX(0,(SUMIFS(Clean_Data!$AK$2:$AK$1001,Clean_Data!$F$2:$F$1001,$F958,Clean_Data!$W$2:$W$1001,$W958,Clean_Data!$V$2:$V$1001,1)-COUNTIFS(Clean_Data!$F$2:$F$1001,$F958,Clean_Data!$W$2:$W$1001,$W958,Clean_Data!$V$2:$V$1001,1)*$AL958^2)/(COUNTIFS(Clean_Data!$F$2:$F$1001,$F958,Clean_Data!$W$2:$W$1001,$W958,Clean_Data!$V$2:$V$1001,1)-1))),""))</f>
        <v>1.49003313123635</v>
      </c>
      <c r="AN958" s="5" t="str">
        <f>IF($AM958="","",IF($AM958&gt;=Lookups!$K$6,"High spike",IF($AM958&lt;=-Lookups!$K$6,"Unusual low","Normal")))</f>
        <v>Normal</v>
      </c>
      <c r="AO958" s="20">
        <f>IF($V958&lt;&gt;1,"",$P958+ROW()/100000)</f>
        <v>114.00958</v>
      </c>
      <c r="AP958" s="5">
        <f>IF($A958="","",IFERROR(MATCH($A958,Raw_D1!$A$2:$A$1001,0),""))</f>
        <v/>
      </c>
      <c r="AQ958" s="5">
        <f>IF($A958="","",IFERROR(MATCH($A958,Raw_D2!$B$2:$B$1001,0),""))</f>
        <v/>
      </c>
      <c r="AR958" s="5">
        <f>IF($A958="","",IFERROR(MATCH($A958,Raw_D3!$A$2:$A$1001,0),""))</f>
        <v>338</v>
      </c>
    </row>
    <row r="959" spans="1:44" x14ac:dyDescent="0.25">
      <c r="A959" s="5">
        <v>958</v>
      </c>
      <c r="B959" s="11">
        <f>IF($A959="","",IF($AP959&lt;&gt;"",INDEX(Raw_D1!$B$2:$B$1001,$AP959),IF($AR959&lt;&gt;"",INDEX(Raw_D3!$B$2:$B$1001,$AR959),"")))</f>
        <v>40586.0</v>
      </c>
      <c r="C959" s="5">
        <f>IF($A959="","",IF($AP959&lt;&gt;"",INDEX(Raw_D1!$C$2:$C$1001,$AP959),IF($AR959&lt;&gt;"",INDEX(Raw_D3!$C$2:$C$1001,$AR959),"")))</f>
        <v>1</v>
      </c>
      <c r="D959" s="5">
        <f>IF($A959="","",IF($AP959&lt;&gt;"",INDEX(Raw_D1!$D$2:$D$1001,$AP959),IF($AR959&lt;&gt;"",INDEX(Raw_D3!$D$2:$D$1001,$AR959),"")))</f>
        <v>0</v>
      </c>
      <c r="E959" s="5">
        <f>IF($A959="","",IF($AP959&lt;&gt;"",INDEX(Raw_D1!$E$2:$E$1001,$AP959),IF($AR959&lt;&gt;"",INDEX(Raw_D3!$E$2:$E$1001,$AR959),"")))</f>
        <v>2</v>
      </c>
      <c r="F959" s="5">
        <f>IF($A959="","",IF($AP959&lt;&gt;"",INDEX(Raw_D1!$F$2:$F$1001,$AP959),IF($AR959&lt;&gt;"",INDEX(Raw_D3!$F$2:$F$1001,$AR959),"")))</f>
        <v>12</v>
      </c>
      <c r="G959" s="5">
        <f>IF($A959="","",IF($AP959&lt;&gt;"",IF(INDEX(Raw_D1!$G$2:$G$1001,$AP959),1,0),IF($AR959&lt;&gt;"",IF(INDEX(Raw_D3!$G$2:$G$1001,$AR959),1,0),"")))</f>
        <v>0</v>
      </c>
      <c r="H959" s="5">
        <f>IF($A959="","",IF($AP959&lt;&gt;"",INDEX(Raw_D1!$H$2:$H$1001,$AP959),IF($AR959&lt;&gt;"",INDEX(Raw_D3!$H$2:$H$1001,$AR959),"")))</f>
        <v>6</v>
      </c>
      <c r="I959" s="5">
        <f>IF($A959="","",IF($AP959&lt;&gt;"",INDEX(Raw_D1!$I$2:$I$1001,$AP959),IF($AR959&lt;&gt;"",INDEX(Raw_D3!$I$2:$I$1001,$AR959),"")))</f>
        <v>1</v>
      </c>
      <c r="J959" s="16">
        <f>IF($A959="","",IF($AP959&lt;&gt;"",INDEX(Raw_D1!$J$2:$J$1001,$AP959),IF($AR959&lt;&gt;"",INDEX(Raw_D3!$J$2:$J$1001,$AR959),"")))</f>
        <v>0.3</v>
      </c>
      <c r="K959" s="17">
        <f>IF($A959="","",IF($AQ959&lt;&gt;"",IF(INDEX(Raw_D2!$C$2:$C$1001,$AQ959)="","",INDEX(Raw_D2!$C$2:$C$1001,$AQ959)),IF($AR959&lt;&gt;"",IF(INDEX(Raw_D3!$K$2:$K$1001,$AR959)="","",INDEX(Raw_D3!$K$2:$K$1001,$AR959)),"")))</f>
        <v>0.2727</v>
      </c>
      <c r="L959" s="16">
        <f>IF($A959="","",IF($AQ959&lt;&gt;"",IF(INDEX(Raw_D2!$D$2:$D$1001,$AQ959)="","",INDEX(Raw_D2!$D$2:$D$1001,$AQ959)),IF($AR959&lt;&gt;"",IF(INDEX(Raw_D3!$L$2:$L$1001,$AR959)="","",INDEX(Raw_D3!$L$2:$L$1001,$AR959)),"")))</f>
        <v>0.39</v>
      </c>
      <c r="M959" s="17">
        <f>IF($A959="","",IF($AQ959&lt;&gt;"",IF(INDEX(Raw_D2!$E$2:$E$1001,$AQ959)="","",INDEX(Raw_D2!$E$2:$E$1001,$AQ959)),IF($AR959&lt;&gt;"",IF(INDEX(Raw_D3!$M$2:$M$1001,$AR959)="","",INDEX(Raw_D3!$M$2:$M$1001,$AR959)),"")))</f>
        <v>0.4627</v>
      </c>
      <c r="N959" s="5">
        <f>IF($A959="","",IF($AQ959&lt;&gt;"",IF(INDEX(Raw_D2!$F$2:$F$1001,$AQ959)="","",INDEX(Raw_D2!$F$2:$F$1001,$AQ959)),IF($AR959&lt;&gt;"",IF(INDEX(Raw_D3!$N$2:$N$1001,$AR959)="","",INDEX(Raw_D3!$N$2:$N$1001,$AR959)),"")))</f>
        <v>27</v>
      </c>
      <c r="O959" s="5">
        <f>IF($A959="","",IF($AQ959&lt;&gt;"",IF(INDEX(Raw_D2!$G$2:$G$1001,$AQ959)="","",INDEX(Raw_D2!$G$2:$G$1001,$AQ959)),IF($AR959&lt;&gt;"",IF(INDEX(Raw_D3!$O$2:$O$1001,$AR959)="","",INDEX(Raw_D3!$O$2:$O$1001,$AR959)),"")))</f>
        <v>93</v>
      </c>
      <c r="P959" s="5">
        <f>IF($A959="","",IF($AQ959&lt;&gt;"",IF(INDEX(Raw_D2!$H$2:$H$1001,$AQ959)="","",INDEX(Raw_D2!$H$2:$H$1001,$AQ959)),IF($AR959&lt;&gt;"",IF(INDEX(Raw_D3!$P$2:$P$1001,$AR959)="","",INDEX(Raw_D3!$P$2:$P$1001,$AR959)),"")))</f>
        <v>120</v>
      </c>
      <c r="Q959" s="5" t="str">
        <f>IF($A959="","",IF(AND($AP959&lt;&gt;"",$AQ959&lt;&gt;""),"D1+D2",IF($AR959&lt;&gt;"","D3","Incomplete")))</f>
        <v>D3</v>
      </c>
      <c r="R959" s="17">
        <f>IF($A959="","",IF($K959="",IF($J959="","",ROUND(Lookups!$K$5+Lookups!$K$4*$J959,4)),$K959))</f>
        <v>0.2727</v>
      </c>
      <c r="S959" s="5" t="str">
        <f>IF($A959="","",IF($K959="","Imputed","Original"))</f>
        <v>Original</v>
      </c>
      <c r="T959" s="5" t="str">
        <f>IF($A959="","",IF($P959="","Missing",IF($P959=$N959+$O959,"OK","Mismatch")))</f>
        <v>OK</v>
      </c>
      <c r="U959" s="5" t="str">
        <f>IF($A959="","",IF(COUNTIF($A$2:$A959,$A959)&gt;1,"Duplicate","Unique"))</f>
        <v>Unique</v>
      </c>
      <c r="V959" s="5">
        <f>IF($A959="","",IF(AND($U959="Unique",ISNUMBER($P959)),1,0))</f>
        <v>1</v>
      </c>
      <c r="W959" s="5" t="str">
        <f>IF($A959="","",IF(OR($H959=0,$H959=6),"Weekend","Weekday"))</f>
        <v>Weekend</v>
      </c>
      <c r="X959" s="5" t="str">
        <f>IF($A959="","",TEXT($B959,"ddd"))</f>
        <v>Sat</v>
      </c>
      <c r="Y959" s="5" t="str">
        <f>IF($A959="","",TEXT($B959,"mmm"))</f>
        <v>Feb</v>
      </c>
      <c r="Z959" s="5" t="str">
        <f>IF($A959="","",IFERROR(VLOOKUP($C959,Lookups!$D$4:$E$7,2,FALSE),"Unknown"))</f>
        <v>Winter</v>
      </c>
      <c r="AA959" s="5" t="str">
        <f>IF($A959="","",IFERROR(VLOOKUP($I959,Lookups!$A$4:$B$7,2,FALSE),"Unknown"))</f>
        <v>Clear</v>
      </c>
      <c r="AB959" s="5" t="str">
        <f>IF($A959="","",TEXT($F959,"00")&amp;":00")</f>
        <v>12:00</v>
      </c>
      <c r="AC959" s="5" t="str">
        <f>IF($A959="","",VLOOKUP($F959,Lookups!$G$4:$H$8,2,TRUE))</f>
        <v>Midday (10-15)</v>
      </c>
      <c r="AD959" s="18">
        <f>IF($A959="","",IF($J959="","",ROUND($J959*41,1)))</f>
        <v>12.3</v>
      </c>
      <c r="AE959" s="18">
        <f>IF($A959="","",IF($R959="","",ROUND($R959*50,1)))</f>
        <v>13.6</v>
      </c>
      <c r="AF959" s="5">
        <f>IF($A959="","",IF($L959="","",ROUND($L959*100,0)))</f>
        <v>39</v>
      </c>
      <c r="AG959" s="18">
        <f>IF($A959="","",IF($M959="","",ROUND($M959*67,1)))</f>
        <v>31</v>
      </c>
      <c r="AH959" s="19">
        <f>IF($A959="","",IF($P959="","",IF($P959=0,0,$O959/$P959)))</f>
        <v>0.775</v>
      </c>
      <c r="AI959" s="5" t="str">
        <f>IF($A959="","",IF($P959="","",IF($P959&gt;=Lookups!$K$7,"High",IF($P959&lt;=Lookups!$K$8,"Low","Medium"))))</f>
        <v>High</v>
      </c>
      <c r="AJ959" s="5" t="str">
        <f>IF($A959="","",IF($AD959="","",IF($AD959&lt;5,"Under 5 C",IF($AD959&lt;10,"5-10 C",IF($AD959&lt;15,"10-15 C","15 C and above")))))</f>
        <v>10-15 C</v>
      </c>
      <c r="AK959" s="5">
        <f>IF($A959="","",IF($P959="","",$P959^2))</f>
        <v>14400</v>
      </c>
      <c r="AL959" s="18">
        <f>IF($V959&lt;&gt;1,"",AVERAGEIFS(Clean_Data!$P$2:$P$1001,Clean_Data!$F$2:$F$1001,$F959,Clean_Data!$W$2:$W$1001,$W959,Clean_Data!$V$2:$V$1001,1))</f>
        <v>100.714285714286</v>
      </c>
      <c r="AM959" s="16">
        <f>IF($V959&lt;&gt;1,"",IFERROR(($P959-$AL959)/SQRT(MAX(0,(SUMIFS(Clean_Data!$AK$2:$AK$1001,Clean_Data!$F$2:$F$1001,$F959,Clean_Data!$W$2:$W$1001,$W959,Clean_Data!$V$2:$V$1001,1)-COUNTIFS(Clean_Data!$F$2:$F$1001,$F959,Clean_Data!$W$2:$W$1001,$W959,Clean_Data!$V$2:$V$1001,1)*$AL959^2)/(COUNTIFS(Clean_Data!$F$2:$F$1001,$F959,Clean_Data!$W$2:$W$1001,$W959,Clean_Data!$V$2:$V$1001,1)-1))),""))</f>
        <v>0.603839621676201</v>
      </c>
      <c r="AN959" s="5" t="str">
        <f>IF($AM959="","",IF($AM959&gt;=Lookups!$K$6,"High spike",IF($AM959&lt;=-Lookups!$K$6,"Unusual low","Normal")))</f>
        <v>Normal</v>
      </c>
      <c r="AO959" s="20">
        <f>IF($V959&lt;&gt;1,"",$P959+ROW()/100000)</f>
        <v>120.00959</v>
      </c>
      <c r="AP959" s="5">
        <f>IF($A959="","",IFERROR(MATCH($A959,Raw_D1!$A$2:$A$1001,0),""))</f>
        <v/>
      </c>
      <c r="AQ959" s="5">
        <f>IF($A959="","",IFERROR(MATCH($A959,Raw_D2!$B$2:$B$1001,0),""))</f>
        <v/>
      </c>
      <c r="AR959" s="5">
        <f>IF($A959="","",IFERROR(MATCH($A959,Raw_D3!$A$2:$A$1001,0),""))</f>
        <v>339</v>
      </c>
    </row>
    <row r="960" spans="1:44" x14ac:dyDescent="0.25">
      <c r="A960" s="5">
        <v>959</v>
      </c>
      <c r="B960" s="11">
        <f>IF($A960="","",IF($AP960&lt;&gt;"",INDEX(Raw_D1!$B$2:$B$1001,$AP960),IF($AR960&lt;&gt;"",INDEX(Raw_D3!$B$2:$B$1001,$AR960),"")))</f>
        <v>40586.0</v>
      </c>
      <c r="C960" s="5">
        <f>IF($A960="","",IF($AP960&lt;&gt;"",INDEX(Raw_D1!$C$2:$C$1001,$AP960),IF($AR960&lt;&gt;"",INDEX(Raw_D3!$C$2:$C$1001,$AR960),"")))</f>
        <v>1</v>
      </c>
      <c r="D960" s="5">
        <f>IF($A960="","",IF($AP960&lt;&gt;"",INDEX(Raw_D1!$D$2:$D$1001,$AP960),IF($AR960&lt;&gt;"",INDEX(Raw_D3!$D$2:$D$1001,$AR960),"")))</f>
        <v>0</v>
      </c>
      <c r="E960" s="5">
        <f>IF($A960="","",IF($AP960&lt;&gt;"",INDEX(Raw_D1!$E$2:$E$1001,$AP960),IF($AR960&lt;&gt;"",INDEX(Raw_D3!$E$2:$E$1001,$AR960),"")))</f>
        <v>2</v>
      </c>
      <c r="F960" s="5">
        <f>IF($A960="","",IF($AP960&lt;&gt;"",INDEX(Raw_D1!$F$2:$F$1001,$AP960),IF($AR960&lt;&gt;"",INDEX(Raw_D3!$F$2:$F$1001,$AR960),"")))</f>
        <v>13</v>
      </c>
      <c r="G960" s="5">
        <f>IF($A960="","",IF($AP960&lt;&gt;"",IF(INDEX(Raw_D1!$G$2:$G$1001,$AP960),1,0),IF($AR960&lt;&gt;"",IF(INDEX(Raw_D3!$G$2:$G$1001,$AR960),1,0),"")))</f>
        <v>0</v>
      </c>
      <c r="H960" s="5">
        <f>IF($A960="","",IF($AP960&lt;&gt;"",INDEX(Raw_D1!$H$2:$H$1001,$AP960),IF($AR960&lt;&gt;"",INDEX(Raw_D3!$H$2:$H$1001,$AR960),"")))</f>
        <v>6</v>
      </c>
      <c r="I960" s="5">
        <f>IF($A960="","",IF($AP960&lt;&gt;"",INDEX(Raw_D1!$I$2:$I$1001,$AP960),IF($AR960&lt;&gt;"",INDEX(Raw_D3!$I$2:$I$1001,$AR960),"")))</f>
        <v>1</v>
      </c>
      <c r="J960" s="16">
        <f>IF($A960="","",IF($AP960&lt;&gt;"",INDEX(Raw_D1!$J$2:$J$1001,$AP960),IF($AR960&lt;&gt;"",INDEX(Raw_D3!$J$2:$J$1001,$AR960),"")))</f>
        <v>0.3</v>
      </c>
      <c r="K960" s="17">
        <f>IF($A960="","",IF($AQ960&lt;&gt;"",IF(INDEX(Raw_D2!$C$2:$C$1001,$AQ960)="","",INDEX(Raw_D2!$C$2:$C$1001,$AQ960)),IF($AR960&lt;&gt;"",IF(INDEX(Raw_D3!$K$2:$K$1001,$AR960)="","",INDEX(Raw_D3!$K$2:$K$1001,$AR960)),"")))</f>
        <v>0.2727</v>
      </c>
      <c r="L960" s="16">
        <f>IF($A960="","",IF($AQ960&lt;&gt;"",IF(INDEX(Raw_D2!$D$2:$D$1001,$AQ960)="","",INDEX(Raw_D2!$D$2:$D$1001,$AQ960)),IF($AR960&lt;&gt;"",IF(INDEX(Raw_D3!$L$2:$L$1001,$AR960)="","",INDEX(Raw_D3!$L$2:$L$1001,$AR960)),"")))</f>
        <v>0.39</v>
      </c>
      <c r="M960" s="17">
        <f>IF($A960="","",IF($AQ960&lt;&gt;"",IF(INDEX(Raw_D2!$E$2:$E$1001,$AQ960)="","",INDEX(Raw_D2!$E$2:$E$1001,$AQ960)),IF($AR960&lt;&gt;"",IF(INDEX(Raw_D3!$M$2:$M$1001,$AR960)="","",INDEX(Raw_D3!$M$2:$M$1001,$AR960)),"")))</f>
        <v>0.4179</v>
      </c>
      <c r="N960" s="5">
        <f>IF($A960="","",IF($AQ960&lt;&gt;"",IF(INDEX(Raw_D2!$F$2:$F$1001,$AQ960)="","",INDEX(Raw_D2!$F$2:$F$1001,$AQ960)),IF($AR960&lt;&gt;"",IF(INDEX(Raw_D3!$N$2:$N$1001,$AR960)="","",INDEX(Raw_D3!$N$2:$N$1001,$AR960)),"")))</f>
        <v>32</v>
      </c>
      <c r="O960" s="5">
        <f>IF($A960="","",IF($AQ960&lt;&gt;"",IF(INDEX(Raw_D2!$G$2:$G$1001,$AQ960)="","",INDEX(Raw_D2!$G$2:$G$1001,$AQ960)),IF($AR960&lt;&gt;"",IF(INDEX(Raw_D3!$O$2:$O$1001,$AR960)="","",INDEX(Raw_D3!$O$2:$O$1001,$AR960)),"")))</f>
        <v>103</v>
      </c>
      <c r="P960" s="5">
        <f>IF($A960="","",IF($AQ960&lt;&gt;"",IF(INDEX(Raw_D2!$H$2:$H$1001,$AQ960)="","",INDEX(Raw_D2!$H$2:$H$1001,$AQ960)),IF($AR960&lt;&gt;"",IF(INDEX(Raw_D3!$P$2:$P$1001,$AR960)="","",INDEX(Raw_D3!$P$2:$P$1001,$AR960)),"")))</f>
        <v>135</v>
      </c>
      <c r="Q960" s="5" t="str">
        <f>IF($A960="","",IF(AND($AP960&lt;&gt;"",$AQ960&lt;&gt;""),"D1+D2",IF($AR960&lt;&gt;"","D3","Incomplete")))</f>
        <v>D3</v>
      </c>
      <c r="R960" s="17">
        <f>IF($A960="","",IF($K960="",IF($J960="","",ROUND(Lookups!$K$5+Lookups!$K$4*$J960,4)),$K960))</f>
        <v>0.2727</v>
      </c>
      <c r="S960" s="5" t="str">
        <f>IF($A960="","",IF($K960="","Imputed","Original"))</f>
        <v>Original</v>
      </c>
      <c r="T960" s="5" t="str">
        <f>IF($A960="","",IF($P960="","Missing",IF($P960=$N960+$O960,"OK","Mismatch")))</f>
        <v>OK</v>
      </c>
      <c r="U960" s="5" t="str">
        <f>IF($A960="","",IF(COUNTIF($A$2:$A960,$A960)&gt;1,"Duplicate","Unique"))</f>
        <v>Unique</v>
      </c>
      <c r="V960" s="5">
        <f>IF($A960="","",IF(AND($U960="Unique",ISNUMBER($P960)),1,0))</f>
        <v>1</v>
      </c>
      <c r="W960" s="5" t="str">
        <f>IF($A960="","",IF(OR($H960=0,$H960=6),"Weekend","Weekday"))</f>
        <v>Weekend</v>
      </c>
      <c r="X960" s="5" t="str">
        <f>IF($A960="","",TEXT($B960,"ddd"))</f>
        <v>Sat</v>
      </c>
      <c r="Y960" s="5" t="str">
        <f>IF($A960="","",TEXT($B960,"mmm"))</f>
        <v>Feb</v>
      </c>
      <c r="Z960" s="5" t="str">
        <f>IF($A960="","",IFERROR(VLOOKUP($C960,Lookups!$D$4:$E$7,2,FALSE),"Unknown"))</f>
        <v>Winter</v>
      </c>
      <c r="AA960" s="5" t="str">
        <f>IF($A960="","",IFERROR(VLOOKUP($I960,Lookups!$A$4:$B$7,2,FALSE),"Unknown"))</f>
        <v>Clear</v>
      </c>
      <c r="AB960" s="5" t="str">
        <f>IF($A960="","",TEXT($F960,"00")&amp;":00")</f>
        <v>13:00</v>
      </c>
      <c r="AC960" s="5" t="str">
        <f>IF($A960="","",VLOOKUP($F960,Lookups!$G$4:$H$8,2,TRUE))</f>
        <v>Midday (10-15)</v>
      </c>
      <c r="AD960" s="18">
        <f>IF($A960="","",IF($J960="","",ROUND($J960*41,1)))</f>
        <v>12.3</v>
      </c>
      <c r="AE960" s="18">
        <f>IF($A960="","",IF($R960="","",ROUND($R960*50,1)))</f>
        <v>13.6</v>
      </c>
      <c r="AF960" s="5">
        <f>IF($A960="","",IF($L960="","",ROUND($L960*100,0)))</f>
        <v>39</v>
      </c>
      <c r="AG960" s="18">
        <f>IF($A960="","",IF($M960="","",ROUND($M960*67,1)))</f>
        <v>28</v>
      </c>
      <c r="AH960" s="19">
        <f>IF($A960="","",IF($P960="","",IF($P960=0,0,$O960/$P960)))</f>
        <v>0.762962962962963</v>
      </c>
      <c r="AI960" s="5" t="str">
        <f>IF($A960="","",IF($P960="","",IF($P960&gt;=Lookups!$K$7,"High",IF($P960&lt;=Lookups!$K$8,"Low","Medium"))))</f>
        <v>High</v>
      </c>
      <c r="AJ960" s="5" t="str">
        <f>IF($A960="","",IF($AD960="","",IF($AD960&lt;5,"Under 5 C",IF($AD960&lt;10,"5-10 C",IF($AD960&lt;15,"10-15 C","15 C and above")))))</f>
        <v>10-15 C</v>
      </c>
      <c r="AK960" s="5">
        <f>IF($A960="","",IF($P960="","",$P960^2))</f>
        <v>18225</v>
      </c>
      <c r="AL960" s="18">
        <f>IF($V960&lt;&gt;1,"",AVERAGEIFS(Clean_Data!$P$2:$P$1001,Clean_Data!$F$2:$F$1001,$F960,Clean_Data!$W$2:$W$1001,$W960,Clean_Data!$V$2:$V$1001,1))</f>
        <v>102</v>
      </c>
      <c r="AM960" s="16">
        <f>IF($V960&lt;&gt;1,"",IFERROR(($P960-$AL960)/SQRT(MAX(0,(SUMIFS(Clean_Data!$AK$2:$AK$1001,Clean_Data!$F$2:$F$1001,$F960,Clean_Data!$W$2:$W$1001,$W960,Clean_Data!$V$2:$V$1001,1)-COUNTIFS(Clean_Data!$F$2:$F$1001,$F960,Clean_Data!$W$2:$W$1001,$W960,Clean_Data!$V$2:$V$1001,1)*$AL960^2)/(COUNTIFS(Clean_Data!$F$2:$F$1001,$F960,Clean_Data!$W$2:$W$1001,$W960,Clean_Data!$V$2:$V$1001,1)-1))),""))</f>
        <v>0.967822929418095</v>
      </c>
      <c r="AN960" s="5" t="str">
        <f>IF($AM960="","",IF($AM960&gt;=Lookups!$K$6,"High spike",IF($AM960&lt;=-Lookups!$K$6,"Unusual low","Normal")))</f>
        <v>Normal</v>
      </c>
      <c r="AO960" s="20">
        <f>IF($V960&lt;&gt;1,"",$P960+ROW()/100000)</f>
        <v>135.0096</v>
      </c>
      <c r="AP960" s="5">
        <f>IF($A960="","",IFERROR(MATCH($A960,Raw_D1!$A$2:$A$1001,0),""))</f>
        <v/>
      </c>
      <c r="AQ960" s="5">
        <f>IF($A960="","",IFERROR(MATCH($A960,Raw_D2!$B$2:$B$1001,0),""))</f>
        <v/>
      </c>
      <c r="AR960" s="5">
        <f>IF($A960="","",IFERROR(MATCH($A960,Raw_D3!$A$2:$A$1001,0),""))</f>
        <v>340</v>
      </c>
    </row>
    <row r="961" spans="1:44" x14ac:dyDescent="0.25">
      <c r="A961" s="5">
        <v>960</v>
      </c>
      <c r="B961" s="11">
        <f>IF($A961="","",IF($AP961&lt;&gt;"",INDEX(Raw_D1!$B$2:$B$1001,$AP961),IF($AR961&lt;&gt;"",INDEX(Raw_D3!$B$2:$B$1001,$AR961),"")))</f>
        <v>40586.0</v>
      </c>
      <c r="C961" s="5">
        <f>IF($A961="","",IF($AP961&lt;&gt;"",INDEX(Raw_D1!$C$2:$C$1001,$AP961),IF($AR961&lt;&gt;"",INDEX(Raw_D3!$C$2:$C$1001,$AR961),"")))</f>
        <v>1</v>
      </c>
      <c r="D961" s="5">
        <f>IF($A961="","",IF($AP961&lt;&gt;"",INDEX(Raw_D1!$D$2:$D$1001,$AP961),IF($AR961&lt;&gt;"",INDEX(Raw_D3!$D$2:$D$1001,$AR961),"")))</f>
        <v>0</v>
      </c>
      <c r="E961" s="5">
        <f>IF($A961="","",IF($AP961&lt;&gt;"",INDEX(Raw_D1!$E$2:$E$1001,$AP961),IF($AR961&lt;&gt;"",INDEX(Raw_D3!$E$2:$E$1001,$AR961),"")))</f>
        <v>2</v>
      </c>
      <c r="F961" s="5">
        <f>IF($A961="","",IF($AP961&lt;&gt;"",INDEX(Raw_D1!$F$2:$F$1001,$AP961),IF($AR961&lt;&gt;"",INDEX(Raw_D3!$F$2:$F$1001,$AR961),"")))</f>
        <v>14</v>
      </c>
      <c r="G961" s="5">
        <f>IF($A961="","",IF($AP961&lt;&gt;"",IF(INDEX(Raw_D1!$G$2:$G$1001,$AP961),1,0),IF($AR961&lt;&gt;"",IF(INDEX(Raw_D3!$G$2:$G$1001,$AR961),1,0),"")))</f>
        <v>0</v>
      </c>
      <c r="H961" s="5">
        <f>IF($A961="","",IF($AP961&lt;&gt;"",INDEX(Raw_D1!$H$2:$H$1001,$AP961),IF($AR961&lt;&gt;"",INDEX(Raw_D3!$H$2:$H$1001,$AR961),"")))</f>
        <v>6</v>
      </c>
      <c r="I961" s="5">
        <f>IF($A961="","",IF($AP961&lt;&gt;"",INDEX(Raw_D1!$I$2:$I$1001,$AP961),IF($AR961&lt;&gt;"",INDEX(Raw_D3!$I$2:$I$1001,$AR961),"")))</f>
        <v>1</v>
      </c>
      <c r="J961" s="16">
        <f>IF($A961="","",IF($AP961&lt;&gt;"",INDEX(Raw_D1!$J$2:$J$1001,$AP961),IF($AR961&lt;&gt;"",INDEX(Raw_D3!$J$2:$J$1001,$AR961),"")))</f>
        <v>0.34</v>
      </c>
      <c r="K961" s="17">
        <f>IF($A961="","",IF($AQ961&lt;&gt;"",IF(INDEX(Raw_D2!$C$2:$C$1001,$AQ961)="","",INDEX(Raw_D2!$C$2:$C$1001,$AQ961)),IF($AR961&lt;&gt;"",IF(INDEX(Raw_D3!$K$2:$K$1001,$AR961)="","",INDEX(Raw_D3!$K$2:$K$1001,$AR961)),"")))</f>
        <v>0.3182</v>
      </c>
      <c r="L961" s="16">
        <f>IF($A961="","",IF($AQ961&lt;&gt;"",IF(INDEX(Raw_D2!$D$2:$D$1001,$AQ961)="","",INDEX(Raw_D2!$D$2:$D$1001,$AQ961)),IF($AR961&lt;&gt;"",IF(INDEX(Raw_D3!$L$2:$L$1001,$AR961)="","",INDEX(Raw_D3!$L$2:$L$1001,$AR961)),"")))</f>
        <v>0.31</v>
      </c>
      <c r="M961" s="17">
        <f>IF($A961="","",IF($AQ961&lt;&gt;"",IF(INDEX(Raw_D2!$E$2:$E$1001,$AQ961)="","",INDEX(Raw_D2!$E$2:$E$1001,$AQ961)),IF($AR961&lt;&gt;"",IF(INDEX(Raw_D3!$M$2:$M$1001,$AR961)="","",INDEX(Raw_D3!$M$2:$M$1001,$AR961)),"")))</f>
        <v>0.2836</v>
      </c>
      <c r="N961" s="5">
        <f>IF($A961="","",IF($AQ961&lt;&gt;"",IF(INDEX(Raw_D2!$F$2:$F$1001,$AQ961)="","",INDEX(Raw_D2!$F$2:$F$1001,$AQ961)),IF($AR961&lt;&gt;"",IF(INDEX(Raw_D3!$N$2:$N$1001,$AR961)="","",INDEX(Raw_D3!$N$2:$N$1001,$AR961)),"")))</f>
        <v>30</v>
      </c>
      <c r="O961" s="5">
        <f>IF($A961="","",IF($AQ961&lt;&gt;"",IF(INDEX(Raw_D2!$G$2:$G$1001,$AQ961)="","",INDEX(Raw_D2!$G$2:$G$1001,$AQ961)),IF($AR961&lt;&gt;"",IF(INDEX(Raw_D3!$O$2:$O$1001,$AR961)="","",INDEX(Raw_D3!$O$2:$O$1001,$AR961)),"")))</f>
        <v>90</v>
      </c>
      <c r="P961" s="5">
        <f>IF($A961="","",IF($AQ961&lt;&gt;"",IF(INDEX(Raw_D2!$H$2:$H$1001,$AQ961)="","",INDEX(Raw_D2!$H$2:$H$1001,$AQ961)),IF($AR961&lt;&gt;"",IF(INDEX(Raw_D3!$P$2:$P$1001,$AR961)="","",INDEX(Raw_D3!$P$2:$P$1001,$AR961)),"")))</f>
        <v>120</v>
      </c>
      <c r="Q961" s="5" t="str">
        <f>IF($A961="","",IF(AND($AP961&lt;&gt;"",$AQ961&lt;&gt;""),"D1+D2",IF($AR961&lt;&gt;"","D3","Incomplete")))</f>
        <v>D3</v>
      </c>
      <c r="R961" s="17">
        <f>IF($A961="","",IF($K961="",IF($J961="","",ROUND(Lookups!$K$5+Lookups!$K$4*$J961,4)),$K961))</f>
        <v>0.3182</v>
      </c>
      <c r="S961" s="5" t="str">
        <f>IF($A961="","",IF($K961="","Imputed","Original"))</f>
        <v>Original</v>
      </c>
      <c r="T961" s="5" t="str">
        <f>IF($A961="","",IF($P961="","Missing",IF($P961=$N961+$O961,"OK","Mismatch")))</f>
        <v>OK</v>
      </c>
      <c r="U961" s="5" t="str">
        <f>IF($A961="","",IF(COUNTIF($A$2:$A961,$A961)&gt;1,"Duplicate","Unique"))</f>
        <v>Unique</v>
      </c>
      <c r="V961" s="5">
        <f>IF($A961="","",IF(AND($U961="Unique",ISNUMBER($P961)),1,0))</f>
        <v>1</v>
      </c>
      <c r="W961" s="5" t="str">
        <f>IF($A961="","",IF(OR($H961=0,$H961=6),"Weekend","Weekday"))</f>
        <v>Weekend</v>
      </c>
      <c r="X961" s="5" t="str">
        <f>IF($A961="","",TEXT($B961,"ddd"))</f>
        <v>Sat</v>
      </c>
      <c r="Y961" s="5" t="str">
        <f>IF($A961="","",TEXT($B961,"mmm"))</f>
        <v>Feb</v>
      </c>
      <c r="Z961" s="5" t="str">
        <f>IF($A961="","",IFERROR(VLOOKUP($C961,Lookups!$D$4:$E$7,2,FALSE),"Unknown"))</f>
        <v>Winter</v>
      </c>
      <c r="AA961" s="5" t="str">
        <f>IF($A961="","",IFERROR(VLOOKUP($I961,Lookups!$A$4:$B$7,2,FALSE),"Unknown"))</f>
        <v>Clear</v>
      </c>
      <c r="AB961" s="5" t="str">
        <f>IF($A961="","",TEXT($F961,"00")&amp;":00")</f>
        <v>14:00</v>
      </c>
      <c r="AC961" s="5" t="str">
        <f>IF($A961="","",VLOOKUP($F961,Lookups!$G$4:$H$8,2,TRUE))</f>
        <v>Midday (10-15)</v>
      </c>
      <c r="AD961" s="18">
        <f>IF($A961="","",IF($J961="","",ROUND($J961*41,1)))</f>
        <v>13.9</v>
      </c>
      <c r="AE961" s="18">
        <f>IF($A961="","",IF($R961="","",ROUND($R961*50,1)))</f>
        <v>15.9</v>
      </c>
      <c r="AF961" s="5">
        <f>IF($A961="","",IF($L961="","",ROUND($L961*100,0)))</f>
        <v>31</v>
      </c>
      <c r="AG961" s="18">
        <f>IF($A961="","",IF($M961="","",ROUND($M961*67,1)))</f>
        <v>19</v>
      </c>
      <c r="AH961" s="19">
        <f>IF($A961="","",IF($P961="","",IF($P961=0,0,$O961/$P961)))</f>
        <v>0.75</v>
      </c>
      <c r="AI961" s="5" t="str">
        <f>IF($A961="","",IF($P961="","",IF($P961&gt;=Lookups!$K$7,"High",IF($P961&lt;=Lookups!$K$8,"Low","Medium"))))</f>
        <v>High</v>
      </c>
      <c r="AJ961" s="5" t="str">
        <f>IF($A961="","",IF($AD961="","",IF($AD961&lt;5,"Under 5 C",IF($AD961&lt;10,"5-10 C",IF($AD961&lt;15,"10-15 C","15 C and above")))))</f>
        <v>10-15 C</v>
      </c>
      <c r="AK961" s="5">
        <f>IF($A961="","",IF($P961="","",$P961^2))</f>
        <v>14400</v>
      </c>
      <c r="AL961" s="18">
        <f>IF($V961&lt;&gt;1,"",AVERAGEIFS(Clean_Data!$P$2:$P$1001,Clean_Data!$F$2:$F$1001,$F961,Clean_Data!$W$2:$W$1001,$W961,Clean_Data!$V$2:$V$1001,1))</f>
        <v>103.142857142857</v>
      </c>
      <c r="AM961" s="16">
        <f>IF($V961&lt;&gt;1,"",IFERROR(($P961-$AL961)/SQRT(MAX(0,(SUMIFS(Clean_Data!$AK$2:$AK$1001,Clean_Data!$F$2:$F$1001,$F961,Clean_Data!$W$2:$W$1001,$W961,Clean_Data!$V$2:$V$1001,1)-COUNTIFS(Clean_Data!$F$2:$F$1001,$F961,Clean_Data!$W$2:$W$1001,$W961,Clean_Data!$V$2:$V$1001,1)*$AL961^2)/(COUNTIFS(Clean_Data!$F$2:$F$1001,$F961,Clean_Data!$W$2:$W$1001,$W961,Clean_Data!$V$2:$V$1001,1)-1))),""))</f>
        <v>0.51608577190858</v>
      </c>
      <c r="AN961" s="5" t="str">
        <f>IF($AM961="","",IF($AM961&gt;=Lookups!$K$6,"High spike",IF($AM961&lt;=-Lookups!$K$6,"Unusual low","Normal")))</f>
        <v>Normal</v>
      </c>
      <c r="AO961" s="20">
        <f>IF($V961&lt;&gt;1,"",$P961+ROW()/100000)</f>
        <v>120.00961</v>
      </c>
      <c r="AP961" s="5">
        <f>IF($A961="","",IFERROR(MATCH($A961,Raw_D1!$A$2:$A$1001,0),""))</f>
        <v/>
      </c>
      <c r="AQ961" s="5">
        <f>IF($A961="","",IFERROR(MATCH($A961,Raw_D2!$B$2:$B$1001,0),""))</f>
        <v/>
      </c>
      <c r="AR961" s="5">
        <f>IF($A961="","",IFERROR(MATCH($A961,Raw_D3!$A$2:$A$1001,0),""))</f>
        <v>341</v>
      </c>
    </row>
    <row r="962" spans="1:44" x14ac:dyDescent="0.25">
      <c r="A962" s="5">
        <v>961</v>
      </c>
      <c r="B962" s="11">
        <f>IF($A962="","",IF($AP962&lt;&gt;"",INDEX(Raw_D1!$B$2:$B$1001,$AP962),IF($AR962&lt;&gt;"",INDEX(Raw_D3!$B$2:$B$1001,$AR962),"")))</f>
        <v>40586.0</v>
      </c>
      <c r="C962" s="5">
        <f>IF($A962="","",IF($AP962&lt;&gt;"",INDEX(Raw_D1!$C$2:$C$1001,$AP962),IF($AR962&lt;&gt;"",INDEX(Raw_D3!$C$2:$C$1001,$AR962),"")))</f>
        <v>1</v>
      </c>
      <c r="D962" s="5">
        <f>IF($A962="","",IF($AP962&lt;&gt;"",INDEX(Raw_D1!$D$2:$D$1001,$AP962),IF($AR962&lt;&gt;"",INDEX(Raw_D3!$D$2:$D$1001,$AR962),"")))</f>
        <v>0</v>
      </c>
      <c r="E962" s="5">
        <f>IF($A962="","",IF($AP962&lt;&gt;"",INDEX(Raw_D1!$E$2:$E$1001,$AP962),IF($AR962&lt;&gt;"",INDEX(Raw_D3!$E$2:$E$1001,$AR962),"")))</f>
        <v>2</v>
      </c>
      <c r="F962" s="5">
        <f>IF($A962="","",IF($AP962&lt;&gt;"",INDEX(Raw_D1!$F$2:$F$1001,$AP962),IF($AR962&lt;&gt;"",INDEX(Raw_D3!$F$2:$F$1001,$AR962),"")))</f>
        <v>15</v>
      </c>
      <c r="G962" s="5">
        <f>IF($A962="","",IF($AP962&lt;&gt;"",IF(INDEX(Raw_D1!$G$2:$G$1001,$AP962),1,0),IF($AR962&lt;&gt;"",IF(INDEX(Raw_D3!$G$2:$G$1001,$AR962),1,0),"")))</f>
        <v>0</v>
      </c>
      <c r="H962" s="5">
        <f>IF($A962="","",IF($AP962&lt;&gt;"",INDEX(Raw_D1!$H$2:$H$1001,$AP962),IF($AR962&lt;&gt;"",INDEX(Raw_D3!$H$2:$H$1001,$AR962),"")))</f>
        <v>6</v>
      </c>
      <c r="I962" s="5">
        <f>IF($A962="","",IF($AP962&lt;&gt;"",INDEX(Raw_D1!$I$2:$I$1001,$AP962),IF($AR962&lt;&gt;"",INDEX(Raw_D3!$I$2:$I$1001,$AR962),"")))</f>
        <v>1</v>
      </c>
      <c r="J962" s="16">
        <f>IF($A962="","",IF($AP962&lt;&gt;"",INDEX(Raw_D1!$J$2:$J$1001,$AP962),IF($AR962&lt;&gt;"",INDEX(Raw_D3!$J$2:$J$1001,$AR962),"")))</f>
        <v>0.34</v>
      </c>
      <c r="K962" s="17">
        <f>IF($A962="","",IF($AQ962&lt;&gt;"",IF(INDEX(Raw_D2!$C$2:$C$1001,$AQ962)="","",INDEX(Raw_D2!$C$2:$C$1001,$AQ962)),IF($AR962&lt;&gt;"",IF(INDEX(Raw_D3!$K$2:$K$1001,$AR962)="","",INDEX(Raw_D3!$K$2:$K$1001,$AR962)),"")))</f>
        <v>0.303</v>
      </c>
      <c r="L962" s="16">
        <f>IF($A962="","",IF($AQ962&lt;&gt;"",IF(INDEX(Raw_D2!$D$2:$D$1001,$AQ962)="","",INDEX(Raw_D2!$D$2:$D$1001,$AQ962)),IF($AR962&lt;&gt;"",IF(INDEX(Raw_D3!$L$2:$L$1001,$AR962)="","",INDEX(Raw_D3!$L$2:$L$1001,$AR962)),"")))</f>
        <v>0.29</v>
      </c>
      <c r="M962" s="17">
        <f>IF($A962="","",IF($AQ962&lt;&gt;"",IF(INDEX(Raw_D2!$E$2:$E$1001,$AQ962)="","",INDEX(Raw_D2!$E$2:$E$1001,$AQ962)),IF($AR962&lt;&gt;"",IF(INDEX(Raw_D3!$M$2:$M$1001,$AR962)="","",INDEX(Raw_D3!$M$2:$M$1001,$AR962)),"")))</f>
        <v>0.4179</v>
      </c>
      <c r="N962" s="5">
        <f>IF($A962="","",IF($AQ962&lt;&gt;"",IF(INDEX(Raw_D2!$F$2:$F$1001,$AQ962)="","",INDEX(Raw_D2!$F$2:$F$1001,$AQ962)),IF($AR962&lt;&gt;"",IF(INDEX(Raw_D3!$N$2:$N$1001,$AR962)="","",INDEX(Raw_D3!$N$2:$N$1001,$AR962)),"")))</f>
        <v>47</v>
      </c>
      <c r="O962" s="5">
        <f>IF($A962="","",IF($AQ962&lt;&gt;"",IF(INDEX(Raw_D2!$G$2:$G$1001,$AQ962)="","",INDEX(Raw_D2!$G$2:$G$1001,$AQ962)),IF($AR962&lt;&gt;"",IF(INDEX(Raw_D3!$O$2:$O$1001,$AR962)="","",INDEX(Raw_D3!$O$2:$O$1001,$AR962)),"")))</f>
        <v>127</v>
      </c>
      <c r="P962" s="5">
        <f>IF($A962="","",IF($AQ962&lt;&gt;"",IF(INDEX(Raw_D2!$H$2:$H$1001,$AQ962)="","",INDEX(Raw_D2!$H$2:$H$1001,$AQ962)),IF($AR962&lt;&gt;"",IF(INDEX(Raw_D3!$P$2:$P$1001,$AR962)="","",INDEX(Raw_D3!$P$2:$P$1001,$AR962)),"")))</f>
        <v>174</v>
      </c>
      <c r="Q962" s="5" t="str">
        <f>IF($A962="","",IF(AND($AP962&lt;&gt;"",$AQ962&lt;&gt;""),"D1+D2",IF($AR962&lt;&gt;"","D3","Incomplete")))</f>
        <v>D3</v>
      </c>
      <c r="R962" s="17">
        <f>IF($A962="","",IF($K962="",IF($J962="","",ROUND(Lookups!$K$5+Lookups!$K$4*$J962,4)),$K962))</f>
        <v>0.303</v>
      </c>
      <c r="S962" s="5" t="str">
        <f>IF($A962="","",IF($K962="","Imputed","Original"))</f>
        <v>Original</v>
      </c>
      <c r="T962" s="5" t="str">
        <f>IF($A962="","",IF($P962="","Missing",IF($P962=$N962+$O962,"OK","Mismatch")))</f>
        <v>OK</v>
      </c>
      <c r="U962" s="5" t="str">
        <f>IF($A962="","",IF(COUNTIF($A$2:$A962,$A962)&gt;1,"Duplicate","Unique"))</f>
        <v>Unique</v>
      </c>
      <c r="V962" s="5">
        <f>IF($A962="","",IF(AND($U962="Unique",ISNUMBER($P962)),1,0))</f>
        <v>1</v>
      </c>
      <c r="W962" s="5" t="str">
        <f>IF($A962="","",IF(OR($H962=0,$H962=6),"Weekend","Weekday"))</f>
        <v>Weekend</v>
      </c>
      <c r="X962" s="5" t="str">
        <f>IF($A962="","",TEXT($B962,"ddd"))</f>
        <v>Sat</v>
      </c>
      <c r="Y962" s="5" t="str">
        <f>IF($A962="","",TEXT($B962,"mmm"))</f>
        <v>Feb</v>
      </c>
      <c r="Z962" s="5" t="str">
        <f>IF($A962="","",IFERROR(VLOOKUP($C962,Lookups!$D$4:$E$7,2,FALSE),"Unknown"))</f>
        <v>Winter</v>
      </c>
      <c r="AA962" s="5" t="str">
        <f>IF($A962="","",IFERROR(VLOOKUP($I962,Lookups!$A$4:$B$7,2,FALSE),"Unknown"))</f>
        <v>Clear</v>
      </c>
      <c r="AB962" s="5" t="str">
        <f>IF($A962="","",TEXT($F962,"00")&amp;":00")</f>
        <v>15:00</v>
      </c>
      <c r="AC962" s="5" t="str">
        <f>IF($A962="","",VLOOKUP($F962,Lookups!$G$4:$H$8,2,TRUE))</f>
        <v>Midday (10-15)</v>
      </c>
      <c r="AD962" s="18">
        <f>IF($A962="","",IF($J962="","",ROUND($J962*41,1)))</f>
        <v>13.9</v>
      </c>
      <c r="AE962" s="18">
        <f>IF($A962="","",IF($R962="","",ROUND($R962*50,1)))</f>
        <v>15.2</v>
      </c>
      <c r="AF962" s="5">
        <f>IF($A962="","",IF($L962="","",ROUND($L962*100,0)))</f>
        <v>29</v>
      </c>
      <c r="AG962" s="18">
        <f>IF($A962="","",IF($M962="","",ROUND($M962*67,1)))</f>
        <v>28</v>
      </c>
      <c r="AH962" s="19">
        <f>IF($A962="","",IF($P962="","",IF($P962=0,0,$O962/$P962)))</f>
        <v>0.729885057471264</v>
      </c>
      <c r="AI962" s="5" t="str">
        <f>IF($A962="","",IF($P962="","",IF($P962&gt;=Lookups!$K$7,"High",IF($P962&lt;=Lookups!$K$8,"Low","Medium"))))</f>
        <v>High</v>
      </c>
      <c r="AJ962" s="5" t="str">
        <f>IF($A962="","",IF($AD962="","",IF($AD962&lt;5,"Under 5 C",IF($AD962&lt;10,"5-10 C",IF($AD962&lt;15,"10-15 C","15 C and above")))))</f>
        <v>10-15 C</v>
      </c>
      <c r="AK962" s="5">
        <f>IF($A962="","",IF($P962="","",$P962^2))</f>
        <v>30276</v>
      </c>
      <c r="AL962" s="18">
        <f>IF($V962&lt;&gt;1,"",AVERAGEIFS(Clean_Data!$P$2:$P$1001,Clean_Data!$F$2:$F$1001,$F962,Clean_Data!$W$2:$W$1001,$W962,Clean_Data!$V$2:$V$1001,1))</f>
        <v>112.071428571429</v>
      </c>
      <c r="AM962" s="16">
        <f>IF($V962&lt;&gt;1,"",IFERROR(($P962-$AL962)/SQRT(MAX(0,(SUMIFS(Clean_Data!$AK$2:$AK$1001,Clean_Data!$F$2:$F$1001,$F962,Clean_Data!$W$2:$W$1001,$W962,Clean_Data!$V$2:$V$1001,1)-COUNTIFS(Clean_Data!$F$2:$F$1001,$F962,Clean_Data!$W$2:$W$1001,$W962,Clean_Data!$V$2:$V$1001,1)*$AL962^2)/(COUNTIFS(Clean_Data!$F$2:$F$1001,$F962,Clean_Data!$W$2:$W$1001,$W962,Clean_Data!$V$2:$V$1001,1)-1))),""))</f>
        <v>1.60273587118435</v>
      </c>
      <c r="AN962" s="5" t="str">
        <f>IF($AM962="","",IF($AM962&gt;=Lookups!$K$6,"High spike",IF($AM962&lt;=-Lookups!$K$6,"Unusual low","Normal")))</f>
        <v>Normal</v>
      </c>
      <c r="AO962" s="20">
        <f>IF($V962&lt;&gt;1,"",$P962+ROW()/100000)</f>
        <v>174.00962</v>
      </c>
      <c r="AP962" s="5">
        <f>IF($A962="","",IFERROR(MATCH($A962,Raw_D1!$A$2:$A$1001,0),""))</f>
        <v/>
      </c>
      <c r="AQ962" s="5">
        <f>IF($A962="","",IFERROR(MATCH($A962,Raw_D2!$B$2:$B$1001,0),""))</f>
        <v/>
      </c>
      <c r="AR962" s="5">
        <f>IF($A962="","",IFERROR(MATCH($A962,Raw_D3!$A$2:$A$1001,0),""))</f>
        <v>342</v>
      </c>
    </row>
    <row r="963" spans="1:44" x14ac:dyDescent="0.25">
      <c r="A963" s="5">
        <v>962</v>
      </c>
      <c r="B963" s="11">
        <f>IF($A963="","",IF($AP963&lt;&gt;"",INDEX(Raw_D1!$B$2:$B$1001,$AP963),IF($AR963&lt;&gt;"",INDEX(Raw_D3!$B$2:$B$1001,$AR963),"")))</f>
        <v>40586.0</v>
      </c>
      <c r="C963" s="5">
        <f>IF($A963="","",IF($AP963&lt;&gt;"",INDEX(Raw_D1!$C$2:$C$1001,$AP963),IF($AR963&lt;&gt;"",INDEX(Raw_D3!$C$2:$C$1001,$AR963),"")))</f>
        <v>1</v>
      </c>
      <c r="D963" s="5">
        <f>IF($A963="","",IF($AP963&lt;&gt;"",INDEX(Raw_D1!$D$2:$D$1001,$AP963),IF($AR963&lt;&gt;"",INDEX(Raw_D3!$D$2:$D$1001,$AR963),"")))</f>
        <v>0</v>
      </c>
      <c r="E963" s="5">
        <f>IF($A963="","",IF($AP963&lt;&gt;"",INDEX(Raw_D1!$E$2:$E$1001,$AP963),IF($AR963&lt;&gt;"",INDEX(Raw_D3!$E$2:$E$1001,$AR963),"")))</f>
        <v>2</v>
      </c>
      <c r="F963" s="5">
        <f>IF($A963="","",IF($AP963&lt;&gt;"",INDEX(Raw_D1!$F$2:$F$1001,$AP963),IF($AR963&lt;&gt;"",INDEX(Raw_D3!$F$2:$F$1001,$AR963),"")))</f>
        <v>16</v>
      </c>
      <c r="G963" s="5">
        <f>IF($A963="","",IF($AP963&lt;&gt;"",IF(INDEX(Raw_D1!$G$2:$G$1001,$AP963),1,0),IF($AR963&lt;&gt;"",IF(INDEX(Raw_D3!$G$2:$G$1001,$AR963),1,0),"")))</f>
        <v>0</v>
      </c>
      <c r="H963" s="5">
        <f>IF($A963="","",IF($AP963&lt;&gt;"",INDEX(Raw_D1!$H$2:$H$1001,$AP963),IF($AR963&lt;&gt;"",INDEX(Raw_D3!$H$2:$H$1001,$AR963),"")))</f>
        <v>6</v>
      </c>
      <c r="I963" s="5">
        <f>IF($A963="","",IF($AP963&lt;&gt;"",INDEX(Raw_D1!$I$2:$I$1001,$AP963),IF($AR963&lt;&gt;"",INDEX(Raw_D3!$I$2:$I$1001,$AR963),"")))</f>
        <v>1</v>
      </c>
      <c r="J963" s="16">
        <f>IF($A963="","",IF($AP963&lt;&gt;"",INDEX(Raw_D1!$J$2:$J$1001,$AP963),IF($AR963&lt;&gt;"",INDEX(Raw_D3!$J$2:$J$1001,$AR963),"")))</f>
        <v>0.34</v>
      </c>
      <c r="K963" s="17">
        <f>IF($A963="","",IF($AQ963&lt;&gt;"",IF(INDEX(Raw_D2!$C$2:$C$1001,$AQ963)="","",INDEX(Raw_D2!$C$2:$C$1001,$AQ963)),IF($AR963&lt;&gt;"",IF(INDEX(Raw_D3!$K$2:$K$1001,$AR963)="","",INDEX(Raw_D3!$K$2:$K$1001,$AR963)),"")))</f>
        <v>0.303</v>
      </c>
      <c r="L963" s="16">
        <f>IF($A963="","",IF($AQ963&lt;&gt;"",IF(INDEX(Raw_D2!$D$2:$D$1001,$AQ963)="","",INDEX(Raw_D2!$D$2:$D$1001,$AQ963)),IF($AR963&lt;&gt;"",IF(INDEX(Raw_D3!$L$2:$L$1001,$AR963)="","",INDEX(Raw_D3!$L$2:$L$1001,$AR963)),"")))</f>
        <v>0.29</v>
      </c>
      <c r="M963" s="17">
        <f>IF($A963="","",IF($AQ963&lt;&gt;"",IF(INDEX(Raw_D2!$E$2:$E$1001,$AQ963)="","",INDEX(Raw_D2!$E$2:$E$1001,$AQ963)),IF($AR963&lt;&gt;"",IF(INDEX(Raw_D3!$M$2:$M$1001,$AR963)="","",INDEX(Raw_D3!$M$2:$M$1001,$AR963)),"")))</f>
        <v>0.4179</v>
      </c>
      <c r="N963" s="5">
        <f>IF($A963="","",IF($AQ963&lt;&gt;"",IF(INDEX(Raw_D2!$F$2:$F$1001,$AQ963)="","",INDEX(Raw_D2!$F$2:$F$1001,$AQ963)),IF($AR963&lt;&gt;"",IF(INDEX(Raw_D3!$N$2:$N$1001,$AR963)="","",INDEX(Raw_D3!$N$2:$N$1001,$AR963)),"")))</f>
        <v>42</v>
      </c>
      <c r="O963" s="5">
        <f>IF($A963="","",IF($AQ963&lt;&gt;"",IF(INDEX(Raw_D2!$G$2:$G$1001,$AQ963)="","",INDEX(Raw_D2!$G$2:$G$1001,$AQ963)),IF($AR963&lt;&gt;"",IF(INDEX(Raw_D3!$O$2:$O$1001,$AR963)="","",INDEX(Raw_D3!$O$2:$O$1001,$AR963)),"")))</f>
        <v>103</v>
      </c>
      <c r="P963" s="5">
        <f>IF($A963="","",IF($AQ963&lt;&gt;"",IF(INDEX(Raw_D2!$H$2:$H$1001,$AQ963)="","",INDEX(Raw_D2!$H$2:$H$1001,$AQ963)),IF($AR963&lt;&gt;"",IF(INDEX(Raw_D3!$P$2:$P$1001,$AR963)="","",INDEX(Raw_D3!$P$2:$P$1001,$AR963)),"")))</f>
        <v>145</v>
      </c>
      <c r="Q963" s="5" t="str">
        <f>IF($A963="","",IF(AND($AP963&lt;&gt;"",$AQ963&lt;&gt;""),"D1+D2",IF($AR963&lt;&gt;"","D3","Incomplete")))</f>
        <v>D3</v>
      </c>
      <c r="R963" s="17">
        <f>IF($A963="","",IF($K963="",IF($J963="","",ROUND(Lookups!$K$5+Lookups!$K$4*$J963,4)),$K963))</f>
        <v>0.303</v>
      </c>
      <c r="S963" s="5" t="str">
        <f>IF($A963="","",IF($K963="","Imputed","Original"))</f>
        <v>Original</v>
      </c>
      <c r="T963" s="5" t="str">
        <f>IF($A963="","",IF($P963="","Missing",IF($P963=$N963+$O963,"OK","Mismatch")))</f>
        <v>OK</v>
      </c>
      <c r="U963" s="5" t="str">
        <f>IF($A963="","",IF(COUNTIF($A$2:$A963,$A963)&gt;1,"Duplicate","Unique"))</f>
        <v>Unique</v>
      </c>
      <c r="V963" s="5">
        <f>IF($A963="","",IF(AND($U963="Unique",ISNUMBER($P963)),1,0))</f>
        <v>1</v>
      </c>
      <c r="W963" s="5" t="str">
        <f>IF($A963="","",IF(OR($H963=0,$H963=6),"Weekend","Weekday"))</f>
        <v>Weekend</v>
      </c>
      <c r="X963" s="5" t="str">
        <f>IF($A963="","",TEXT($B963,"ddd"))</f>
        <v>Sat</v>
      </c>
      <c r="Y963" s="5" t="str">
        <f>IF($A963="","",TEXT($B963,"mmm"))</f>
        <v>Feb</v>
      </c>
      <c r="Z963" s="5" t="str">
        <f>IF($A963="","",IFERROR(VLOOKUP($C963,Lookups!$D$4:$E$7,2,FALSE),"Unknown"))</f>
        <v>Winter</v>
      </c>
      <c r="AA963" s="5" t="str">
        <f>IF($A963="","",IFERROR(VLOOKUP($I963,Lookups!$A$4:$B$7,2,FALSE),"Unknown"))</f>
        <v>Clear</v>
      </c>
      <c r="AB963" s="5" t="str">
        <f>IF($A963="","",TEXT($F963,"00")&amp;":00")</f>
        <v>16:00</v>
      </c>
      <c r="AC963" s="5" t="str">
        <f>IF($A963="","",VLOOKUP($F963,Lookups!$G$4:$H$8,2,TRUE))</f>
        <v>Evening Peak (16-19)</v>
      </c>
      <c r="AD963" s="18">
        <f>IF($A963="","",IF($J963="","",ROUND($J963*41,1)))</f>
        <v>13.9</v>
      </c>
      <c r="AE963" s="18">
        <f>IF($A963="","",IF($R963="","",ROUND($R963*50,1)))</f>
        <v>15.2</v>
      </c>
      <c r="AF963" s="5">
        <f>IF($A963="","",IF($L963="","",ROUND($L963*100,0)))</f>
        <v>29</v>
      </c>
      <c r="AG963" s="18">
        <f>IF($A963="","",IF($M963="","",ROUND($M963*67,1)))</f>
        <v>28</v>
      </c>
      <c r="AH963" s="19">
        <f>IF($A963="","",IF($P963="","",IF($P963=0,0,$O963/$P963)))</f>
        <v>0.710344827586207</v>
      </c>
      <c r="AI963" s="5" t="str">
        <f>IF($A963="","",IF($P963="","",IF($P963&gt;=Lookups!$K$7,"High",IF($P963&lt;=Lookups!$K$8,"Low","Medium"))))</f>
        <v>High</v>
      </c>
      <c r="AJ963" s="5" t="str">
        <f>IF($A963="","",IF($AD963="","",IF($AD963&lt;5,"Under 5 C",IF($AD963&lt;10,"5-10 C",IF($AD963&lt;15,"10-15 C","15 C and above")))))</f>
        <v>10-15 C</v>
      </c>
      <c r="AK963" s="5">
        <f>IF($A963="","",IF($P963="","",$P963^2))</f>
        <v>21025</v>
      </c>
      <c r="AL963" s="18">
        <f>IF($V963&lt;&gt;1,"",AVERAGEIFS(Clean_Data!$P$2:$P$1001,Clean_Data!$F$2:$F$1001,$F963,Clean_Data!$W$2:$W$1001,$W963,Clean_Data!$V$2:$V$1001,1))</f>
        <v>103.5</v>
      </c>
      <c r="AM963" s="16">
        <f>IF($V963&lt;&gt;1,"",IFERROR(($P963-$AL963)/SQRT(MAX(0,(SUMIFS(Clean_Data!$AK$2:$AK$1001,Clean_Data!$F$2:$F$1001,$F963,Clean_Data!$W$2:$W$1001,$W963,Clean_Data!$V$2:$V$1001,1)-COUNTIFS(Clean_Data!$F$2:$F$1001,$F963,Clean_Data!$W$2:$W$1001,$W963,Clean_Data!$V$2:$V$1001,1)*$AL963^2)/(COUNTIFS(Clean_Data!$F$2:$F$1001,$F963,Clean_Data!$W$2:$W$1001,$W963,Clean_Data!$V$2:$V$1001,1)-1))),""))</f>
        <v>1.41126197625018</v>
      </c>
      <c r="AN963" s="5" t="str">
        <f>IF($AM963="","",IF($AM963&gt;=Lookups!$K$6,"High spike",IF($AM963&lt;=-Lookups!$K$6,"Unusual low","Normal")))</f>
        <v>Normal</v>
      </c>
      <c r="AO963" s="20">
        <f>IF($V963&lt;&gt;1,"",$P963+ROW()/100000)</f>
        <v>145.00963</v>
      </c>
      <c r="AP963" s="5">
        <f>IF($A963="","",IFERROR(MATCH($A963,Raw_D1!$A$2:$A$1001,0),""))</f>
        <v/>
      </c>
      <c r="AQ963" s="5">
        <f>IF($A963="","",IFERROR(MATCH($A963,Raw_D2!$B$2:$B$1001,0),""))</f>
        <v/>
      </c>
      <c r="AR963" s="5">
        <f>IF($A963="","",IFERROR(MATCH($A963,Raw_D3!$A$2:$A$1001,0),""))</f>
        <v>343</v>
      </c>
    </row>
    <row r="964" spans="1:44" x14ac:dyDescent="0.25">
      <c r="A964" s="5">
        <v>963</v>
      </c>
      <c r="B964" s="11">
        <f>IF($A964="","",IF($AP964&lt;&gt;"",INDEX(Raw_D1!$B$2:$B$1001,$AP964),IF($AR964&lt;&gt;"",INDEX(Raw_D3!$B$2:$B$1001,$AR964),"")))</f>
        <v>40586.0</v>
      </c>
      <c r="C964" s="5">
        <f>IF($A964="","",IF($AP964&lt;&gt;"",INDEX(Raw_D1!$C$2:$C$1001,$AP964),IF($AR964&lt;&gt;"",INDEX(Raw_D3!$C$2:$C$1001,$AR964),"")))</f>
        <v>1</v>
      </c>
      <c r="D964" s="5">
        <f>IF($A964="","",IF($AP964&lt;&gt;"",INDEX(Raw_D1!$D$2:$D$1001,$AP964),IF($AR964&lt;&gt;"",INDEX(Raw_D3!$D$2:$D$1001,$AR964),"")))</f>
        <v>0</v>
      </c>
      <c r="E964" s="5">
        <f>IF($A964="","",IF($AP964&lt;&gt;"",INDEX(Raw_D1!$E$2:$E$1001,$AP964),IF($AR964&lt;&gt;"",INDEX(Raw_D3!$E$2:$E$1001,$AR964),"")))</f>
        <v>2</v>
      </c>
      <c r="F964" s="5">
        <f>IF($A964="","",IF($AP964&lt;&gt;"",INDEX(Raw_D1!$F$2:$F$1001,$AP964),IF($AR964&lt;&gt;"",INDEX(Raw_D3!$F$2:$F$1001,$AR964),"")))</f>
        <v>17</v>
      </c>
      <c r="G964" s="5">
        <f>IF($A964="","",IF($AP964&lt;&gt;"",IF(INDEX(Raw_D1!$G$2:$G$1001,$AP964),1,0),IF($AR964&lt;&gt;"",IF(INDEX(Raw_D3!$G$2:$G$1001,$AR964),1,0),"")))</f>
        <v>0</v>
      </c>
      <c r="H964" s="5">
        <f>IF($A964="","",IF($AP964&lt;&gt;"",INDEX(Raw_D1!$H$2:$H$1001,$AP964),IF($AR964&lt;&gt;"",INDEX(Raw_D3!$H$2:$H$1001,$AR964),"")))</f>
        <v>6</v>
      </c>
      <c r="I964" s="5">
        <f>IF($A964="","",IF($AP964&lt;&gt;"",INDEX(Raw_D1!$I$2:$I$1001,$AP964),IF($AR964&lt;&gt;"",INDEX(Raw_D3!$I$2:$I$1001,$AR964),"")))</f>
        <v>1</v>
      </c>
      <c r="J964" s="16">
        <f>IF($A964="","",IF($AP964&lt;&gt;"",INDEX(Raw_D1!$J$2:$J$1001,$AP964),IF($AR964&lt;&gt;"",INDEX(Raw_D3!$J$2:$J$1001,$AR964),"")))</f>
        <v>0.32</v>
      </c>
      <c r="K964" s="17">
        <f>IF($A964="","",IF($AQ964&lt;&gt;"",IF(INDEX(Raw_D2!$C$2:$C$1001,$AQ964)="","",INDEX(Raw_D2!$C$2:$C$1001,$AQ964)),IF($AR964&lt;&gt;"",IF(INDEX(Raw_D3!$K$2:$K$1001,$AR964)="","",INDEX(Raw_D3!$K$2:$K$1001,$AR964)),"")))</f>
        <v>0.2879</v>
      </c>
      <c r="L964" s="16">
        <f>IF($A964="","",IF($AQ964&lt;&gt;"",IF(INDEX(Raw_D2!$D$2:$D$1001,$AQ964)="","",INDEX(Raw_D2!$D$2:$D$1001,$AQ964)),IF($AR964&lt;&gt;"",IF(INDEX(Raw_D3!$L$2:$L$1001,$AR964)="","",INDEX(Raw_D3!$L$2:$L$1001,$AR964)),"")))</f>
        <v>0.31</v>
      </c>
      <c r="M964" s="17">
        <f>IF($A964="","",IF($AQ964&lt;&gt;"",IF(INDEX(Raw_D2!$E$2:$E$1001,$AQ964)="","",INDEX(Raw_D2!$E$2:$E$1001,$AQ964)),IF($AR964&lt;&gt;"",IF(INDEX(Raw_D3!$M$2:$M$1001,$AR964)="","",INDEX(Raw_D3!$M$2:$M$1001,$AR964)),"")))</f>
        <v>0.5224</v>
      </c>
      <c r="N964" s="5">
        <f>IF($A964="","",IF($AQ964&lt;&gt;"",IF(INDEX(Raw_D2!$F$2:$F$1001,$AQ964)="","",INDEX(Raw_D2!$F$2:$F$1001,$AQ964)),IF($AR964&lt;&gt;"",IF(INDEX(Raw_D3!$N$2:$N$1001,$AR964)="","",INDEX(Raw_D3!$N$2:$N$1001,$AR964)),"")))</f>
        <v>24</v>
      </c>
      <c r="O964" s="5">
        <f>IF($A964="","",IF($AQ964&lt;&gt;"",IF(INDEX(Raw_D2!$G$2:$G$1001,$AQ964)="","",INDEX(Raw_D2!$G$2:$G$1001,$AQ964)),IF($AR964&lt;&gt;"",IF(INDEX(Raw_D3!$O$2:$O$1001,$AR964)="","",INDEX(Raw_D3!$O$2:$O$1001,$AR964)),"")))</f>
        <v>113</v>
      </c>
      <c r="P964" s="5">
        <f>IF($A964="","",IF($AQ964&lt;&gt;"",IF(INDEX(Raw_D2!$H$2:$H$1001,$AQ964)="","",INDEX(Raw_D2!$H$2:$H$1001,$AQ964)),IF($AR964&lt;&gt;"",IF(INDEX(Raw_D3!$P$2:$P$1001,$AR964)="","",INDEX(Raw_D3!$P$2:$P$1001,$AR964)),"")))</f>
        <v>137</v>
      </c>
      <c r="Q964" s="5" t="str">
        <f>IF($A964="","",IF(AND($AP964&lt;&gt;"",$AQ964&lt;&gt;""),"D1+D2",IF($AR964&lt;&gt;"","D3","Incomplete")))</f>
        <v>D3</v>
      </c>
      <c r="R964" s="17">
        <f>IF($A964="","",IF($K964="",IF($J964="","",ROUND(Lookups!$K$5+Lookups!$K$4*$J964,4)),$K964))</f>
        <v>0.2879</v>
      </c>
      <c r="S964" s="5" t="str">
        <f>IF($A964="","",IF($K964="","Imputed","Original"))</f>
        <v>Original</v>
      </c>
      <c r="T964" s="5" t="str">
        <f>IF($A964="","",IF($P964="","Missing",IF($P964=$N964+$O964,"OK","Mismatch")))</f>
        <v>OK</v>
      </c>
      <c r="U964" s="5" t="str">
        <f>IF($A964="","",IF(COUNTIF($A$2:$A964,$A964)&gt;1,"Duplicate","Unique"))</f>
        <v>Unique</v>
      </c>
      <c r="V964" s="5">
        <f>IF($A964="","",IF(AND($U964="Unique",ISNUMBER($P964)),1,0))</f>
        <v>1</v>
      </c>
      <c r="W964" s="5" t="str">
        <f>IF($A964="","",IF(OR($H964=0,$H964=6),"Weekend","Weekday"))</f>
        <v>Weekend</v>
      </c>
      <c r="X964" s="5" t="str">
        <f>IF($A964="","",TEXT($B964,"ddd"))</f>
        <v>Sat</v>
      </c>
      <c r="Y964" s="5" t="str">
        <f>IF($A964="","",TEXT($B964,"mmm"))</f>
        <v>Feb</v>
      </c>
      <c r="Z964" s="5" t="str">
        <f>IF($A964="","",IFERROR(VLOOKUP($C964,Lookups!$D$4:$E$7,2,FALSE),"Unknown"))</f>
        <v>Winter</v>
      </c>
      <c r="AA964" s="5" t="str">
        <f>IF($A964="","",IFERROR(VLOOKUP($I964,Lookups!$A$4:$B$7,2,FALSE),"Unknown"))</f>
        <v>Clear</v>
      </c>
      <c r="AB964" s="5" t="str">
        <f>IF($A964="","",TEXT($F964,"00")&amp;":00")</f>
        <v>17:00</v>
      </c>
      <c r="AC964" s="5" t="str">
        <f>IF($A964="","",VLOOKUP($F964,Lookups!$G$4:$H$8,2,TRUE))</f>
        <v>Evening Peak (16-19)</v>
      </c>
      <c r="AD964" s="18">
        <f>IF($A964="","",IF($J964="","",ROUND($J964*41,1)))</f>
        <v>13.1</v>
      </c>
      <c r="AE964" s="18">
        <f>IF($A964="","",IF($R964="","",ROUND($R964*50,1)))</f>
        <v>14.4</v>
      </c>
      <c r="AF964" s="5">
        <f>IF($A964="","",IF($L964="","",ROUND($L964*100,0)))</f>
        <v>31</v>
      </c>
      <c r="AG964" s="18">
        <f>IF($A964="","",IF($M964="","",ROUND($M964*67,1)))</f>
        <v>35</v>
      </c>
      <c r="AH964" s="19">
        <f>IF($A964="","",IF($P964="","",IF($P964=0,0,$O964/$P964)))</f>
        <v>0.824817518248175</v>
      </c>
      <c r="AI964" s="5" t="str">
        <f>IF($A964="","",IF($P964="","",IF($P964&gt;=Lookups!$K$7,"High",IF($P964&lt;=Lookups!$K$8,"Low","Medium"))))</f>
        <v>High</v>
      </c>
      <c r="AJ964" s="5" t="str">
        <f>IF($A964="","",IF($AD964="","",IF($AD964&lt;5,"Under 5 C",IF($AD964&lt;10,"5-10 C",IF($AD964&lt;15,"10-15 C","15 C and above")))))</f>
        <v>10-15 C</v>
      </c>
      <c r="AK964" s="5">
        <f>IF($A964="","",IF($P964="","",$P964^2))</f>
        <v>18769</v>
      </c>
      <c r="AL964" s="18">
        <f>IF($V964&lt;&gt;1,"",AVERAGEIFS(Clean_Data!$P$2:$P$1001,Clean_Data!$F$2:$F$1001,$F964,Clean_Data!$W$2:$W$1001,$W964,Clean_Data!$V$2:$V$1001,1))</f>
        <v>85.8571428571429</v>
      </c>
      <c r="AM964" s="16">
        <f>IF($V964&lt;&gt;1,"",IFERROR(($P964-$AL964)/SQRT(MAX(0,(SUMIFS(Clean_Data!$AK$2:$AK$1001,Clean_Data!$F$2:$F$1001,$F964,Clean_Data!$W$2:$W$1001,$W964,Clean_Data!$V$2:$V$1001,1)-COUNTIFS(Clean_Data!$F$2:$F$1001,$F964,Clean_Data!$W$2:$W$1001,$W964,Clean_Data!$V$2:$V$1001,1)*$AL964^2)/(COUNTIFS(Clean_Data!$F$2:$F$1001,$F964,Clean_Data!$W$2:$W$1001,$W964,Clean_Data!$V$2:$V$1001,1)-1))),""))</f>
        <v>1.95728922812422</v>
      </c>
      <c r="AN964" s="5" t="str">
        <f>IF($AM964="","",IF($AM964&gt;=Lookups!$K$6,"High spike",IF($AM964&lt;=-Lookups!$K$6,"Unusual low","Normal")))</f>
        <v>Normal</v>
      </c>
      <c r="AO964" s="20">
        <f>IF($V964&lt;&gt;1,"",$P964+ROW()/100000)</f>
        <v>137.00964</v>
      </c>
      <c r="AP964" s="5">
        <f>IF($A964="","",IFERROR(MATCH($A964,Raw_D1!$A$2:$A$1001,0),""))</f>
        <v/>
      </c>
      <c r="AQ964" s="5">
        <f>IF($A964="","",IFERROR(MATCH($A964,Raw_D2!$B$2:$B$1001,0),""))</f>
        <v/>
      </c>
      <c r="AR964" s="5">
        <f>IF($A964="","",IFERROR(MATCH($A964,Raw_D3!$A$2:$A$1001,0),""))</f>
        <v>344</v>
      </c>
    </row>
    <row r="965" spans="1:44" x14ac:dyDescent="0.25">
      <c r="A965" s="5">
        <v>964</v>
      </c>
      <c r="B965" s="11">
        <f>IF($A965="","",IF($AP965&lt;&gt;"",INDEX(Raw_D1!$B$2:$B$1001,$AP965),IF($AR965&lt;&gt;"",INDEX(Raw_D3!$B$2:$B$1001,$AR965),"")))</f>
        <v>40586.0</v>
      </c>
      <c r="C965" s="5">
        <f>IF($A965="","",IF($AP965&lt;&gt;"",INDEX(Raw_D1!$C$2:$C$1001,$AP965),IF($AR965&lt;&gt;"",INDEX(Raw_D3!$C$2:$C$1001,$AR965),"")))</f>
        <v>1</v>
      </c>
      <c r="D965" s="5">
        <f>IF($A965="","",IF($AP965&lt;&gt;"",INDEX(Raw_D1!$D$2:$D$1001,$AP965),IF($AR965&lt;&gt;"",INDEX(Raw_D3!$D$2:$D$1001,$AR965),"")))</f>
        <v>0</v>
      </c>
      <c r="E965" s="5">
        <f>IF($A965="","",IF($AP965&lt;&gt;"",INDEX(Raw_D1!$E$2:$E$1001,$AP965),IF($AR965&lt;&gt;"",INDEX(Raw_D3!$E$2:$E$1001,$AR965),"")))</f>
        <v>2</v>
      </c>
      <c r="F965" s="5">
        <f>IF($A965="","",IF($AP965&lt;&gt;"",INDEX(Raw_D1!$F$2:$F$1001,$AP965),IF($AR965&lt;&gt;"",INDEX(Raw_D3!$F$2:$F$1001,$AR965),"")))</f>
        <v>18</v>
      </c>
      <c r="G965" s="5">
        <f>IF($A965="","",IF($AP965&lt;&gt;"",IF(INDEX(Raw_D1!$G$2:$G$1001,$AP965),1,0),IF($AR965&lt;&gt;"",IF(INDEX(Raw_D3!$G$2:$G$1001,$AR965),1,0),"")))</f>
        <v>0</v>
      </c>
      <c r="H965" s="5">
        <f>IF($A965="","",IF($AP965&lt;&gt;"",INDEX(Raw_D1!$H$2:$H$1001,$AP965),IF($AR965&lt;&gt;"",INDEX(Raw_D3!$H$2:$H$1001,$AR965),"")))</f>
        <v>6</v>
      </c>
      <c r="I965" s="5">
        <f>IF($A965="","",IF($AP965&lt;&gt;"",INDEX(Raw_D1!$I$2:$I$1001,$AP965),IF($AR965&lt;&gt;"",INDEX(Raw_D3!$I$2:$I$1001,$AR965),"")))</f>
        <v>1</v>
      </c>
      <c r="J965" s="16">
        <f>IF($A965="","",IF($AP965&lt;&gt;"",INDEX(Raw_D1!$J$2:$J$1001,$AP965),IF($AR965&lt;&gt;"",INDEX(Raw_D3!$J$2:$J$1001,$AR965),"")))</f>
        <v>0.28</v>
      </c>
      <c r="K965" s="17">
        <f>IF($A965="","",IF($AQ965&lt;&gt;"",IF(INDEX(Raw_D2!$C$2:$C$1001,$AQ965)="","",INDEX(Raw_D2!$C$2:$C$1001,$AQ965)),IF($AR965&lt;&gt;"",IF(INDEX(Raw_D3!$K$2:$K$1001,$AR965)="","",INDEX(Raw_D3!$K$2:$K$1001,$AR965)),"")))</f>
        <v>0.2576</v>
      </c>
      <c r="L965" s="16">
        <f>IF($A965="","",IF($AQ965&lt;&gt;"",IF(INDEX(Raw_D2!$D$2:$D$1001,$AQ965)="","",INDEX(Raw_D2!$D$2:$D$1001,$AQ965)),IF($AR965&lt;&gt;"",IF(INDEX(Raw_D3!$L$2:$L$1001,$AR965)="","",INDEX(Raw_D3!$L$2:$L$1001,$AR965)),"")))</f>
        <v>0.38</v>
      </c>
      <c r="M965" s="17">
        <f>IF($A965="","",IF($AQ965&lt;&gt;"",IF(INDEX(Raw_D2!$E$2:$E$1001,$AQ965)="","",INDEX(Raw_D2!$E$2:$E$1001,$AQ965)),IF($AR965&lt;&gt;"",IF(INDEX(Raw_D3!$M$2:$M$1001,$AR965)="","",INDEX(Raw_D3!$M$2:$M$1001,$AR965)),"")))</f>
        <v>0.3284</v>
      </c>
      <c r="N965" s="5">
        <f>IF($A965="","",IF($AQ965&lt;&gt;"",IF(INDEX(Raw_D2!$F$2:$F$1001,$AQ965)="","",INDEX(Raw_D2!$F$2:$F$1001,$AQ965)),IF($AR965&lt;&gt;"",IF(INDEX(Raw_D3!$N$2:$N$1001,$AR965)="","",INDEX(Raw_D3!$N$2:$N$1001,$AR965)),"")))</f>
        <v>4</v>
      </c>
      <c r="O965" s="5">
        <f>IF($A965="","",IF($AQ965&lt;&gt;"",IF(INDEX(Raw_D2!$G$2:$G$1001,$AQ965)="","",INDEX(Raw_D2!$G$2:$G$1001,$AQ965)),IF($AR965&lt;&gt;"",IF(INDEX(Raw_D3!$O$2:$O$1001,$AR965)="","",INDEX(Raw_D3!$O$2:$O$1001,$AR965)),"")))</f>
        <v>60</v>
      </c>
      <c r="P965" s="5">
        <f>IF($A965="","",IF($AQ965&lt;&gt;"",IF(INDEX(Raw_D2!$H$2:$H$1001,$AQ965)="","",INDEX(Raw_D2!$H$2:$H$1001,$AQ965)),IF($AR965&lt;&gt;"",IF(INDEX(Raw_D3!$P$2:$P$1001,$AR965)="","",INDEX(Raw_D3!$P$2:$P$1001,$AR965)),"")))</f>
        <v>64</v>
      </c>
      <c r="Q965" s="5" t="str">
        <f>IF($A965="","",IF(AND($AP965&lt;&gt;"",$AQ965&lt;&gt;""),"D1+D2",IF($AR965&lt;&gt;"","D3","Incomplete")))</f>
        <v>D3</v>
      </c>
      <c r="R965" s="17">
        <f>IF($A965="","",IF($K965="",IF($J965="","",ROUND(Lookups!$K$5+Lookups!$K$4*$J965,4)),$K965))</f>
        <v>0.2576</v>
      </c>
      <c r="S965" s="5" t="str">
        <f>IF($A965="","",IF($K965="","Imputed","Original"))</f>
        <v>Original</v>
      </c>
      <c r="T965" s="5" t="str">
        <f>IF($A965="","",IF($P965="","Missing",IF($P965=$N965+$O965,"OK","Mismatch")))</f>
        <v>OK</v>
      </c>
      <c r="U965" s="5" t="str">
        <f>IF($A965="","",IF(COUNTIF($A$2:$A965,$A965)&gt;1,"Duplicate","Unique"))</f>
        <v>Unique</v>
      </c>
      <c r="V965" s="5">
        <f>IF($A965="","",IF(AND($U965="Unique",ISNUMBER($P965)),1,0))</f>
        <v>1</v>
      </c>
      <c r="W965" s="5" t="str">
        <f>IF($A965="","",IF(OR($H965=0,$H965=6),"Weekend","Weekday"))</f>
        <v>Weekend</v>
      </c>
      <c r="X965" s="5" t="str">
        <f>IF($A965="","",TEXT($B965,"ddd"))</f>
        <v>Sat</v>
      </c>
      <c r="Y965" s="5" t="str">
        <f>IF($A965="","",TEXT($B965,"mmm"))</f>
        <v>Feb</v>
      </c>
      <c r="Z965" s="5" t="str">
        <f>IF($A965="","",IFERROR(VLOOKUP($C965,Lookups!$D$4:$E$7,2,FALSE),"Unknown"))</f>
        <v>Winter</v>
      </c>
      <c r="AA965" s="5" t="str">
        <f>IF($A965="","",IFERROR(VLOOKUP($I965,Lookups!$A$4:$B$7,2,FALSE),"Unknown"))</f>
        <v>Clear</v>
      </c>
      <c r="AB965" s="5" t="str">
        <f>IF($A965="","",TEXT($F965,"00")&amp;":00")</f>
        <v>18:00</v>
      </c>
      <c r="AC965" s="5" t="str">
        <f>IF($A965="","",VLOOKUP($F965,Lookups!$G$4:$H$8,2,TRUE))</f>
        <v>Evening Peak (16-19)</v>
      </c>
      <c r="AD965" s="18">
        <f>IF($A965="","",IF($J965="","",ROUND($J965*41,1)))</f>
        <v>11.5</v>
      </c>
      <c r="AE965" s="18">
        <f>IF($A965="","",IF($R965="","",ROUND($R965*50,1)))</f>
        <v>12.9</v>
      </c>
      <c r="AF965" s="5">
        <f>IF($A965="","",IF($L965="","",ROUND($L965*100,0)))</f>
        <v>38</v>
      </c>
      <c r="AG965" s="18">
        <f>IF($A965="","",IF($M965="","",ROUND($M965*67,1)))</f>
        <v>22</v>
      </c>
      <c r="AH965" s="19">
        <f>IF($A965="","",IF($P965="","",IF($P965=0,0,$O965/$P965)))</f>
        <v>0.9375</v>
      </c>
      <c r="AI965" s="5" t="str">
        <f>IF($A965="","",IF($P965="","",IF($P965&gt;=Lookups!$K$7,"High",IF($P965&lt;=Lookups!$K$8,"Low","Medium"))))</f>
        <v>Medium</v>
      </c>
      <c r="AJ965" s="5" t="str">
        <f>IF($A965="","",IF($AD965="","",IF($AD965&lt;5,"Under 5 C",IF($AD965&lt;10,"5-10 C",IF($AD965&lt;15,"10-15 C","15 C and above")))))</f>
        <v>10-15 C</v>
      </c>
      <c r="AK965" s="5">
        <f>IF($A965="","",IF($P965="","",$P965^2))</f>
        <v>4096</v>
      </c>
      <c r="AL965" s="18">
        <f>IF($V965&lt;&gt;1,"",AVERAGEIFS(Clean_Data!$P$2:$P$1001,Clean_Data!$F$2:$F$1001,$F965,Clean_Data!$W$2:$W$1001,$W965,Clean_Data!$V$2:$V$1001,1))</f>
        <v>64.1428571428571</v>
      </c>
      <c r="AM965" s="16">
        <f>IF($V965&lt;&gt;1,"",IFERROR(($P965-$AL965)/SQRT(MAX(0,(SUMIFS(Clean_Data!$AK$2:$AK$1001,Clean_Data!$F$2:$F$1001,$F965,Clean_Data!$W$2:$W$1001,$W965,Clean_Data!$V$2:$V$1001,1)-COUNTIFS(Clean_Data!$F$2:$F$1001,$F965,Clean_Data!$W$2:$W$1001,$W965,Clean_Data!$V$2:$V$1001,1)*$AL965^2)/(COUNTIFS(Clean_Data!$F$2:$F$1001,$F965,Clean_Data!$W$2:$W$1001,$W965,Clean_Data!$V$2:$V$1001,1)-1))),""))</f>
        <v>-0.00862340140893627</v>
      </c>
      <c r="AN965" s="5" t="str">
        <f>IF($AM965="","",IF($AM965&gt;=Lookups!$K$6,"High spike",IF($AM965&lt;=-Lookups!$K$6,"Unusual low","Normal")))</f>
        <v>Normal</v>
      </c>
      <c r="AO965" s="20">
        <f>IF($V965&lt;&gt;1,"",$P965+ROW()/100000)</f>
        <v>64.00965</v>
      </c>
      <c r="AP965" s="5">
        <f>IF($A965="","",IFERROR(MATCH($A965,Raw_D1!$A$2:$A$1001,0),""))</f>
        <v/>
      </c>
      <c r="AQ965" s="5">
        <f>IF($A965="","",IFERROR(MATCH($A965,Raw_D2!$B$2:$B$1001,0),""))</f>
        <v/>
      </c>
      <c r="AR965" s="5">
        <f>IF($A965="","",IFERROR(MATCH($A965,Raw_D3!$A$2:$A$1001,0),""))</f>
        <v>345</v>
      </c>
    </row>
    <row r="966" spans="1:44" x14ac:dyDescent="0.25">
      <c r="A966" s="5">
        <v>965</v>
      </c>
      <c r="B966" s="11">
        <f>IF($A966="","",IF($AP966&lt;&gt;"",INDEX(Raw_D1!$B$2:$B$1001,$AP966),IF($AR966&lt;&gt;"",INDEX(Raw_D3!$B$2:$B$1001,$AR966),"")))</f>
        <v>40586.0</v>
      </c>
      <c r="C966" s="5">
        <f>IF($A966="","",IF($AP966&lt;&gt;"",INDEX(Raw_D1!$C$2:$C$1001,$AP966),IF($AR966&lt;&gt;"",INDEX(Raw_D3!$C$2:$C$1001,$AR966),"")))</f>
        <v>1</v>
      </c>
      <c r="D966" s="5">
        <f>IF($A966="","",IF($AP966&lt;&gt;"",INDEX(Raw_D1!$D$2:$D$1001,$AP966),IF($AR966&lt;&gt;"",INDEX(Raw_D3!$D$2:$D$1001,$AR966),"")))</f>
        <v>0</v>
      </c>
      <c r="E966" s="5">
        <f>IF($A966="","",IF($AP966&lt;&gt;"",INDEX(Raw_D1!$E$2:$E$1001,$AP966),IF($AR966&lt;&gt;"",INDEX(Raw_D3!$E$2:$E$1001,$AR966),"")))</f>
        <v>2</v>
      </c>
      <c r="F966" s="5">
        <f>IF($A966="","",IF($AP966&lt;&gt;"",INDEX(Raw_D1!$F$2:$F$1001,$AP966),IF($AR966&lt;&gt;"",INDEX(Raw_D3!$F$2:$F$1001,$AR966),"")))</f>
        <v>19</v>
      </c>
      <c r="G966" s="5">
        <f>IF($A966="","",IF($AP966&lt;&gt;"",IF(INDEX(Raw_D1!$G$2:$G$1001,$AP966),1,0),IF($AR966&lt;&gt;"",IF(INDEX(Raw_D3!$G$2:$G$1001,$AR966),1,0),"")))</f>
        <v>0</v>
      </c>
      <c r="H966" s="5">
        <f>IF($A966="","",IF($AP966&lt;&gt;"",INDEX(Raw_D1!$H$2:$H$1001,$AP966),IF($AR966&lt;&gt;"",INDEX(Raw_D3!$H$2:$H$1001,$AR966),"")))</f>
        <v>6</v>
      </c>
      <c r="I966" s="5">
        <f>IF($A966="","",IF($AP966&lt;&gt;"",INDEX(Raw_D1!$I$2:$I$1001,$AP966),IF($AR966&lt;&gt;"",INDEX(Raw_D3!$I$2:$I$1001,$AR966),"")))</f>
        <v>1</v>
      </c>
      <c r="J966" s="16">
        <f>IF($A966="","",IF($AP966&lt;&gt;"",INDEX(Raw_D1!$J$2:$J$1001,$AP966),IF($AR966&lt;&gt;"",INDEX(Raw_D3!$J$2:$J$1001,$AR966),"")))</f>
        <v>0.28</v>
      </c>
      <c r="K966" s="17">
        <f>IF($A966="","",IF($AQ966&lt;&gt;"",IF(INDEX(Raw_D2!$C$2:$C$1001,$AQ966)="","",INDEX(Raw_D2!$C$2:$C$1001,$AQ966)),IF($AR966&lt;&gt;"",IF(INDEX(Raw_D3!$K$2:$K$1001,$AR966)="","",INDEX(Raw_D3!$K$2:$K$1001,$AR966)),"")))</f>
        <v>0.2727</v>
      </c>
      <c r="L966" s="16">
        <f>IF($A966="","",IF($AQ966&lt;&gt;"",IF(INDEX(Raw_D2!$D$2:$D$1001,$AQ966)="","",INDEX(Raw_D2!$D$2:$D$1001,$AQ966)),IF($AR966&lt;&gt;"",IF(INDEX(Raw_D3!$L$2:$L$1001,$AR966)="","",INDEX(Raw_D3!$L$2:$L$1001,$AR966)),"")))</f>
        <v>0.38</v>
      </c>
      <c r="M966" s="17">
        <f>IF($A966="","",IF($AQ966&lt;&gt;"",IF(INDEX(Raw_D2!$E$2:$E$1001,$AQ966)="","",INDEX(Raw_D2!$E$2:$E$1001,$AQ966)),IF($AR966&lt;&gt;"",IF(INDEX(Raw_D3!$M$2:$M$1001,$AR966)="","",INDEX(Raw_D3!$M$2:$M$1001,$AR966)),"")))</f>
        <v>0.1642</v>
      </c>
      <c r="N966" s="5">
        <f>IF($A966="","",IF($AQ966&lt;&gt;"",IF(INDEX(Raw_D2!$F$2:$F$1001,$AQ966)="","",INDEX(Raw_D2!$F$2:$F$1001,$AQ966)),IF($AR966&lt;&gt;"",IF(INDEX(Raw_D3!$N$2:$N$1001,$AR966)="","",INDEX(Raw_D3!$N$2:$N$1001,$AR966)),"")))</f>
        <v>2</v>
      </c>
      <c r="O966" s="5">
        <f>IF($A966="","",IF($AQ966&lt;&gt;"",IF(INDEX(Raw_D2!$G$2:$G$1001,$AQ966)="","",INDEX(Raw_D2!$G$2:$G$1001,$AQ966)),IF($AR966&lt;&gt;"",IF(INDEX(Raw_D3!$O$2:$O$1001,$AR966)="","",INDEX(Raw_D3!$O$2:$O$1001,$AR966)),"")))</f>
        <v>39</v>
      </c>
      <c r="P966" s="5">
        <f>IF($A966="","",IF($AQ966&lt;&gt;"",IF(INDEX(Raw_D2!$H$2:$H$1001,$AQ966)="","",INDEX(Raw_D2!$H$2:$H$1001,$AQ966)),IF($AR966&lt;&gt;"",IF(INDEX(Raw_D3!$P$2:$P$1001,$AR966)="","",INDEX(Raw_D3!$P$2:$P$1001,$AR966)),"")))</f>
        <v>41</v>
      </c>
      <c r="Q966" s="5" t="str">
        <f>IF($A966="","",IF(AND($AP966&lt;&gt;"",$AQ966&lt;&gt;""),"D1+D2",IF($AR966&lt;&gt;"","D3","Incomplete")))</f>
        <v>D3</v>
      </c>
      <c r="R966" s="17">
        <f>IF($A966="","",IF($K966="",IF($J966="","",ROUND(Lookups!$K$5+Lookups!$K$4*$J966,4)),$K966))</f>
        <v>0.2727</v>
      </c>
      <c r="S966" s="5" t="str">
        <f>IF($A966="","",IF($K966="","Imputed","Original"))</f>
        <v>Original</v>
      </c>
      <c r="T966" s="5" t="str">
        <f>IF($A966="","",IF($P966="","Missing",IF($P966=$N966+$O966,"OK","Mismatch")))</f>
        <v>OK</v>
      </c>
      <c r="U966" s="5" t="str">
        <f>IF($A966="","",IF(COUNTIF($A$2:$A966,$A966)&gt;1,"Duplicate","Unique"))</f>
        <v>Unique</v>
      </c>
      <c r="V966" s="5">
        <f>IF($A966="","",IF(AND($U966="Unique",ISNUMBER($P966)),1,0))</f>
        <v>1</v>
      </c>
      <c r="W966" s="5" t="str">
        <f>IF($A966="","",IF(OR($H966=0,$H966=6),"Weekend","Weekday"))</f>
        <v>Weekend</v>
      </c>
      <c r="X966" s="5" t="str">
        <f>IF($A966="","",TEXT($B966,"ddd"))</f>
        <v>Sat</v>
      </c>
      <c r="Y966" s="5" t="str">
        <f>IF($A966="","",TEXT($B966,"mmm"))</f>
        <v>Feb</v>
      </c>
      <c r="Z966" s="5" t="str">
        <f>IF($A966="","",IFERROR(VLOOKUP($C966,Lookups!$D$4:$E$7,2,FALSE),"Unknown"))</f>
        <v>Winter</v>
      </c>
      <c r="AA966" s="5" t="str">
        <f>IF($A966="","",IFERROR(VLOOKUP($I966,Lookups!$A$4:$B$7,2,FALSE),"Unknown"))</f>
        <v>Clear</v>
      </c>
      <c r="AB966" s="5" t="str">
        <f>IF($A966="","",TEXT($F966,"00")&amp;":00")</f>
        <v>19:00</v>
      </c>
      <c r="AC966" s="5" t="str">
        <f>IF($A966="","",VLOOKUP($F966,Lookups!$G$4:$H$8,2,TRUE))</f>
        <v>Evening Peak (16-19)</v>
      </c>
      <c r="AD966" s="18">
        <f>IF($A966="","",IF($J966="","",ROUND($J966*41,1)))</f>
        <v>11.5</v>
      </c>
      <c r="AE966" s="18">
        <f>IF($A966="","",IF($R966="","",ROUND($R966*50,1)))</f>
        <v>13.6</v>
      </c>
      <c r="AF966" s="5">
        <f>IF($A966="","",IF($L966="","",ROUND($L966*100,0)))</f>
        <v>38</v>
      </c>
      <c r="AG966" s="18">
        <f>IF($A966="","",IF($M966="","",ROUND($M966*67,1)))</f>
        <v>11</v>
      </c>
      <c r="AH966" s="19">
        <f>IF($A966="","",IF($P966="","",IF($P966=0,0,$O966/$P966)))</f>
        <v>0.951219512195122</v>
      </c>
      <c r="AI966" s="5" t="str">
        <f>IF($A966="","",IF($P966="","",IF($P966&gt;=Lookups!$K$7,"High",IF($P966&lt;=Lookups!$K$8,"Low","Medium"))))</f>
        <v>Medium</v>
      </c>
      <c r="AJ966" s="5" t="str">
        <f>IF($A966="","",IF($AD966="","",IF($AD966&lt;5,"Under 5 C",IF($AD966&lt;10,"5-10 C",IF($AD966&lt;15,"10-15 C","15 C and above")))))</f>
        <v>10-15 C</v>
      </c>
      <c r="AK966" s="5">
        <f>IF($A966="","",IF($P966="","",$P966^2))</f>
        <v>1681</v>
      </c>
      <c r="AL966" s="18">
        <f>IF($V966&lt;&gt;1,"",AVERAGEIFS(Clean_Data!$P$2:$P$1001,Clean_Data!$F$2:$F$1001,$F966,Clean_Data!$W$2:$W$1001,$W966,Clean_Data!$V$2:$V$1001,1))</f>
        <v>50.1428571428571</v>
      </c>
      <c r="AM966" s="16">
        <f>IF($V966&lt;&gt;1,"",IFERROR(($P966-$AL966)/SQRT(MAX(0,(SUMIFS(Clean_Data!$AK$2:$AK$1001,Clean_Data!$F$2:$F$1001,$F966,Clean_Data!$W$2:$W$1001,$W966,Clean_Data!$V$2:$V$1001,1)-COUNTIFS(Clean_Data!$F$2:$F$1001,$F966,Clean_Data!$W$2:$W$1001,$W966,Clean_Data!$V$2:$V$1001,1)*$AL966^2)/(COUNTIFS(Clean_Data!$F$2:$F$1001,$F966,Clean_Data!$W$2:$W$1001,$W966,Clean_Data!$V$2:$V$1001,1)-1))),""))</f>
        <v>-0.513843658325728</v>
      </c>
      <c r="AN966" s="5" t="str">
        <f>IF($AM966="","",IF($AM966&gt;=Lookups!$K$6,"High spike",IF($AM966&lt;=-Lookups!$K$6,"Unusual low","Normal")))</f>
        <v>Normal</v>
      </c>
      <c r="AO966" s="20">
        <f>IF($V966&lt;&gt;1,"",$P966+ROW()/100000)</f>
        <v>41.00966</v>
      </c>
      <c r="AP966" s="5">
        <f>IF($A966="","",IFERROR(MATCH($A966,Raw_D1!$A$2:$A$1001,0),""))</f>
        <v/>
      </c>
      <c r="AQ966" s="5">
        <f>IF($A966="","",IFERROR(MATCH($A966,Raw_D2!$B$2:$B$1001,0),""))</f>
        <v/>
      </c>
      <c r="AR966" s="5">
        <f>IF($A966="","",IFERROR(MATCH($A966,Raw_D3!$A$2:$A$1001,0),""))</f>
        <v>346</v>
      </c>
    </row>
    <row r="967" spans="1:44" x14ac:dyDescent="0.25">
      <c r="A967" s="5">
        <v>966</v>
      </c>
      <c r="B967" s="11">
        <f>IF($A967="","",IF($AP967&lt;&gt;"",INDEX(Raw_D1!$B$2:$B$1001,$AP967),IF($AR967&lt;&gt;"",INDEX(Raw_D3!$B$2:$B$1001,$AR967),"")))</f>
        <v>40586.0</v>
      </c>
      <c r="C967" s="5">
        <f>IF($A967="","",IF($AP967&lt;&gt;"",INDEX(Raw_D1!$C$2:$C$1001,$AP967),IF($AR967&lt;&gt;"",INDEX(Raw_D3!$C$2:$C$1001,$AR967),"")))</f>
        <v>1</v>
      </c>
      <c r="D967" s="5">
        <f>IF($A967="","",IF($AP967&lt;&gt;"",INDEX(Raw_D1!$D$2:$D$1001,$AP967),IF($AR967&lt;&gt;"",INDEX(Raw_D3!$D$2:$D$1001,$AR967),"")))</f>
        <v>0</v>
      </c>
      <c r="E967" s="5">
        <f>IF($A967="","",IF($AP967&lt;&gt;"",INDEX(Raw_D1!$E$2:$E$1001,$AP967),IF($AR967&lt;&gt;"",INDEX(Raw_D3!$E$2:$E$1001,$AR967),"")))</f>
        <v>2</v>
      </c>
      <c r="F967" s="5">
        <f>IF($A967="","",IF($AP967&lt;&gt;"",INDEX(Raw_D1!$F$2:$F$1001,$AP967),IF($AR967&lt;&gt;"",INDEX(Raw_D3!$F$2:$F$1001,$AR967),"")))</f>
        <v>20</v>
      </c>
      <c r="G967" s="5">
        <f>IF($A967="","",IF($AP967&lt;&gt;"",IF(INDEX(Raw_D1!$G$2:$G$1001,$AP967),1,0),IF($AR967&lt;&gt;"",IF(INDEX(Raw_D3!$G$2:$G$1001,$AR967),1,0),"")))</f>
        <v>0</v>
      </c>
      <c r="H967" s="5">
        <f>IF($A967="","",IF($AP967&lt;&gt;"",INDEX(Raw_D1!$H$2:$H$1001,$AP967),IF($AR967&lt;&gt;"",INDEX(Raw_D3!$H$2:$H$1001,$AR967),"")))</f>
        <v>6</v>
      </c>
      <c r="I967" s="5">
        <f>IF($A967="","",IF($AP967&lt;&gt;"",INDEX(Raw_D1!$I$2:$I$1001,$AP967),IF($AR967&lt;&gt;"",INDEX(Raw_D3!$I$2:$I$1001,$AR967),"")))</f>
        <v>1</v>
      </c>
      <c r="J967" s="16">
        <f>IF($A967="","",IF($AP967&lt;&gt;"",INDEX(Raw_D1!$J$2:$J$1001,$AP967),IF($AR967&lt;&gt;"",INDEX(Raw_D3!$J$2:$J$1001,$AR967),"")))</f>
        <v>0.26</v>
      </c>
      <c r="K967" s="17">
        <f>IF($A967="","",IF($AQ967&lt;&gt;"",IF(INDEX(Raw_D2!$C$2:$C$1001,$AQ967)="","",INDEX(Raw_D2!$C$2:$C$1001,$AQ967)),IF($AR967&lt;&gt;"",IF(INDEX(Raw_D3!$K$2:$K$1001,$AR967)="","",INDEX(Raw_D3!$K$2:$K$1001,$AR967)),"")))</f>
        <v>0.2576</v>
      </c>
      <c r="L967" s="16">
        <f>IF($A967="","",IF($AQ967&lt;&gt;"",IF(INDEX(Raw_D2!$D$2:$D$1001,$AQ967)="","",INDEX(Raw_D2!$D$2:$D$1001,$AQ967)),IF($AR967&lt;&gt;"",IF(INDEX(Raw_D3!$L$2:$L$1001,$AR967)="","",INDEX(Raw_D3!$L$2:$L$1001,$AR967)),"")))</f>
        <v>0.41</v>
      </c>
      <c r="M967" s="17">
        <f>IF($A967="","",IF($AQ967&lt;&gt;"",IF(INDEX(Raw_D2!$E$2:$E$1001,$AQ967)="","",INDEX(Raw_D2!$E$2:$E$1001,$AQ967)),IF($AR967&lt;&gt;"",IF(INDEX(Raw_D3!$M$2:$M$1001,$AR967)="","",INDEX(Raw_D3!$M$2:$M$1001,$AR967)),"")))</f>
        <v>0.2239</v>
      </c>
      <c r="N967" s="5">
        <f>IF($A967="","",IF($AQ967&lt;&gt;"",IF(INDEX(Raw_D2!$F$2:$F$1001,$AQ967)="","",INDEX(Raw_D2!$F$2:$F$1001,$AQ967)),IF($AR967&lt;&gt;"",IF(INDEX(Raw_D3!$N$2:$N$1001,$AR967)="","",INDEX(Raw_D3!$N$2:$N$1001,$AR967)),"")))</f>
        <v>1</v>
      </c>
      <c r="O967" s="5">
        <f>IF($A967="","",IF($AQ967&lt;&gt;"",IF(INDEX(Raw_D2!$G$2:$G$1001,$AQ967)="","",INDEX(Raw_D2!$G$2:$G$1001,$AQ967)),IF($AR967&lt;&gt;"",IF(INDEX(Raw_D3!$O$2:$O$1001,$AR967)="","",INDEX(Raw_D3!$O$2:$O$1001,$AR967)),"")))</f>
        <v>39</v>
      </c>
      <c r="P967" s="5">
        <f>IF($A967="","",IF($AQ967&lt;&gt;"",IF(INDEX(Raw_D2!$H$2:$H$1001,$AQ967)="","",INDEX(Raw_D2!$H$2:$H$1001,$AQ967)),IF($AR967&lt;&gt;"",IF(INDEX(Raw_D3!$P$2:$P$1001,$AR967)="","",INDEX(Raw_D3!$P$2:$P$1001,$AR967)),"")))</f>
        <v>40</v>
      </c>
      <c r="Q967" s="5" t="str">
        <f>IF($A967="","",IF(AND($AP967&lt;&gt;"",$AQ967&lt;&gt;""),"D1+D2",IF($AR967&lt;&gt;"","D3","Incomplete")))</f>
        <v>D3</v>
      </c>
      <c r="R967" s="17">
        <f>IF($A967="","",IF($K967="",IF($J967="","",ROUND(Lookups!$K$5+Lookups!$K$4*$J967,4)),$K967))</f>
        <v>0.2576</v>
      </c>
      <c r="S967" s="5" t="str">
        <f>IF($A967="","",IF($K967="","Imputed","Original"))</f>
        <v>Original</v>
      </c>
      <c r="T967" s="5" t="str">
        <f>IF($A967="","",IF($P967="","Missing",IF($P967=$N967+$O967,"OK","Mismatch")))</f>
        <v>OK</v>
      </c>
      <c r="U967" s="5" t="str">
        <f>IF($A967="","",IF(COUNTIF($A$2:$A967,$A967)&gt;1,"Duplicate","Unique"))</f>
        <v>Unique</v>
      </c>
      <c r="V967" s="5">
        <f>IF($A967="","",IF(AND($U967="Unique",ISNUMBER($P967)),1,0))</f>
        <v>1</v>
      </c>
      <c r="W967" s="5" t="str">
        <f>IF($A967="","",IF(OR($H967=0,$H967=6),"Weekend","Weekday"))</f>
        <v>Weekend</v>
      </c>
      <c r="X967" s="5" t="str">
        <f>IF($A967="","",TEXT($B967,"ddd"))</f>
        <v>Sat</v>
      </c>
      <c r="Y967" s="5" t="str">
        <f>IF($A967="","",TEXT($B967,"mmm"))</f>
        <v>Feb</v>
      </c>
      <c r="Z967" s="5" t="str">
        <f>IF($A967="","",IFERROR(VLOOKUP($C967,Lookups!$D$4:$E$7,2,FALSE),"Unknown"))</f>
        <v>Winter</v>
      </c>
      <c r="AA967" s="5" t="str">
        <f>IF($A967="","",IFERROR(VLOOKUP($I967,Lookups!$A$4:$B$7,2,FALSE),"Unknown"))</f>
        <v>Clear</v>
      </c>
      <c r="AB967" s="5" t="str">
        <f>IF($A967="","",TEXT($F967,"00")&amp;":00")</f>
        <v>20:00</v>
      </c>
      <c r="AC967" s="5" t="str">
        <f>IF($A967="","",VLOOKUP($F967,Lookups!$G$4:$H$8,2,TRUE))</f>
        <v>Late Evening (20-23)</v>
      </c>
      <c r="AD967" s="18">
        <f>IF($A967="","",IF($J967="","",ROUND($J967*41,1)))</f>
        <v>10.7</v>
      </c>
      <c r="AE967" s="18">
        <f>IF($A967="","",IF($R967="","",ROUND($R967*50,1)))</f>
        <v>12.9</v>
      </c>
      <c r="AF967" s="5">
        <f>IF($A967="","",IF($L967="","",ROUND($L967*100,0)))</f>
        <v>41</v>
      </c>
      <c r="AG967" s="18">
        <f>IF($A967="","",IF($M967="","",ROUND($M967*67,1)))</f>
        <v>15</v>
      </c>
      <c r="AH967" s="19">
        <f>IF($A967="","",IF($P967="","",IF($P967=0,0,$O967/$P967)))</f>
        <v>0.975</v>
      </c>
      <c r="AI967" s="5" t="str">
        <f>IF($A967="","",IF($P967="","",IF($P967&gt;=Lookups!$K$7,"High",IF($P967&lt;=Lookups!$K$8,"Low","Medium"))))</f>
        <v>Medium</v>
      </c>
      <c r="AJ967" s="5" t="str">
        <f>IF($A967="","",IF($AD967="","",IF($AD967&lt;5,"Under 5 C",IF($AD967&lt;10,"5-10 C",IF($AD967&lt;15,"10-15 C","15 C and above")))))</f>
        <v>10-15 C</v>
      </c>
      <c r="AK967" s="5">
        <f>IF($A967="","",IF($P967="","",$P967^2))</f>
        <v>1600</v>
      </c>
      <c r="AL967" s="18">
        <f>IF($V967&lt;&gt;1,"",AVERAGEIFS(Clean_Data!$P$2:$P$1001,Clean_Data!$F$2:$F$1001,$F967,Clean_Data!$W$2:$W$1001,$W967,Clean_Data!$V$2:$V$1001,1))</f>
        <v>40</v>
      </c>
      <c r="AM967" s="16">
        <f>IF($V967&lt;&gt;1,"",IFERROR(($P967-$AL967)/SQRT(MAX(0,(SUMIFS(Clean_Data!$AK$2:$AK$1001,Clean_Data!$F$2:$F$1001,$F967,Clean_Data!$W$2:$W$1001,$W967,Clean_Data!$V$2:$V$1001,1)-COUNTIFS(Clean_Data!$F$2:$F$1001,$F967,Clean_Data!$W$2:$W$1001,$W967,Clean_Data!$V$2:$V$1001,1)*$AL967^2)/(COUNTIFS(Clean_Data!$F$2:$F$1001,$F967,Clean_Data!$W$2:$W$1001,$W967,Clean_Data!$V$2:$V$1001,1)-1))),""))</f>
        <v>0</v>
      </c>
      <c r="AN967" s="5" t="str">
        <f>IF($AM967="","",IF($AM967&gt;=Lookups!$K$6,"High spike",IF($AM967&lt;=-Lookups!$K$6,"Unusual low","Normal")))</f>
        <v>Normal</v>
      </c>
      <c r="AO967" s="20">
        <f>IF($V967&lt;&gt;1,"",$P967+ROW()/100000)</f>
        <v>40.00967</v>
      </c>
      <c r="AP967" s="5">
        <f>IF($A967="","",IFERROR(MATCH($A967,Raw_D1!$A$2:$A$1001,0),""))</f>
        <v/>
      </c>
      <c r="AQ967" s="5">
        <f>IF($A967="","",IFERROR(MATCH($A967,Raw_D2!$B$2:$B$1001,0),""))</f>
        <v/>
      </c>
      <c r="AR967" s="5">
        <f>IF($A967="","",IFERROR(MATCH($A967,Raw_D3!$A$2:$A$1001,0),""))</f>
        <v>347</v>
      </c>
    </row>
    <row r="968" spans="1:44" x14ac:dyDescent="0.25">
      <c r="A968" s="5">
        <v>967</v>
      </c>
      <c r="B968" s="11">
        <f>IF($A968="","",IF($AP968&lt;&gt;"",INDEX(Raw_D1!$B$2:$B$1001,$AP968),IF($AR968&lt;&gt;"",INDEX(Raw_D3!$B$2:$B$1001,$AR968),"")))</f>
        <v>40586.0</v>
      </c>
      <c r="C968" s="5">
        <f>IF($A968="","",IF($AP968&lt;&gt;"",INDEX(Raw_D1!$C$2:$C$1001,$AP968),IF($AR968&lt;&gt;"",INDEX(Raw_D3!$C$2:$C$1001,$AR968),"")))</f>
        <v>1</v>
      </c>
      <c r="D968" s="5">
        <f>IF($A968="","",IF($AP968&lt;&gt;"",INDEX(Raw_D1!$D$2:$D$1001,$AP968),IF($AR968&lt;&gt;"",INDEX(Raw_D3!$D$2:$D$1001,$AR968),"")))</f>
        <v>0</v>
      </c>
      <c r="E968" s="5">
        <f>IF($A968="","",IF($AP968&lt;&gt;"",INDEX(Raw_D1!$E$2:$E$1001,$AP968),IF($AR968&lt;&gt;"",INDEX(Raw_D3!$E$2:$E$1001,$AR968),"")))</f>
        <v>2</v>
      </c>
      <c r="F968" s="5">
        <f>IF($A968="","",IF($AP968&lt;&gt;"",INDEX(Raw_D1!$F$2:$F$1001,$AP968),IF($AR968&lt;&gt;"",INDEX(Raw_D3!$F$2:$F$1001,$AR968),"")))</f>
        <v>21</v>
      </c>
      <c r="G968" s="5">
        <f>IF($A968="","",IF($AP968&lt;&gt;"",IF(INDEX(Raw_D1!$G$2:$G$1001,$AP968),1,0),IF($AR968&lt;&gt;"",IF(INDEX(Raw_D3!$G$2:$G$1001,$AR968),1,0),"")))</f>
        <v>0</v>
      </c>
      <c r="H968" s="5">
        <f>IF($A968="","",IF($AP968&lt;&gt;"",INDEX(Raw_D1!$H$2:$H$1001,$AP968),IF($AR968&lt;&gt;"",INDEX(Raw_D3!$H$2:$H$1001,$AR968),"")))</f>
        <v>6</v>
      </c>
      <c r="I968" s="5">
        <f>IF($A968="","",IF($AP968&lt;&gt;"",INDEX(Raw_D1!$I$2:$I$1001,$AP968),IF($AR968&lt;&gt;"",INDEX(Raw_D3!$I$2:$I$1001,$AR968),"")))</f>
        <v>1</v>
      </c>
      <c r="J968" s="16">
        <f>IF($A968="","",IF($AP968&lt;&gt;"",INDEX(Raw_D1!$J$2:$J$1001,$AP968),IF($AR968&lt;&gt;"",INDEX(Raw_D3!$J$2:$J$1001,$AR968),"")))</f>
        <v>0.26</v>
      </c>
      <c r="K968" s="17">
        <f>IF($A968="","",IF($AQ968&lt;&gt;"",IF(INDEX(Raw_D2!$C$2:$C$1001,$AQ968)="","",INDEX(Raw_D2!$C$2:$C$1001,$AQ968)),IF($AR968&lt;&gt;"",IF(INDEX(Raw_D3!$K$2:$K$1001,$AR968)="","",INDEX(Raw_D3!$K$2:$K$1001,$AR968)),"")))</f>
        <v>0.303</v>
      </c>
      <c r="L968" s="16">
        <f>IF($A968="","",IF($AQ968&lt;&gt;"",IF(INDEX(Raw_D2!$D$2:$D$1001,$AQ968)="","",INDEX(Raw_D2!$D$2:$D$1001,$AQ968)),IF($AR968&lt;&gt;"",IF(INDEX(Raw_D3!$L$2:$L$1001,$AR968)="","",INDEX(Raw_D3!$L$2:$L$1001,$AR968)),"")))</f>
        <v>0.41</v>
      </c>
      <c r="M968" s="17">
        <f>IF($A968="","",IF($AQ968&lt;&gt;"",IF(INDEX(Raw_D2!$E$2:$E$1001,$AQ968)="","",INDEX(Raw_D2!$E$2:$E$1001,$AQ968)),IF($AR968&lt;&gt;"",IF(INDEX(Raw_D3!$M$2:$M$1001,$AR968)="","",INDEX(Raw_D3!$M$2:$M$1001,$AR968)),"")))</f>
        <v>0</v>
      </c>
      <c r="N968" s="5">
        <f>IF($A968="","",IF($AQ968&lt;&gt;"",IF(INDEX(Raw_D2!$F$2:$F$1001,$AQ968)="","",INDEX(Raw_D2!$F$2:$F$1001,$AQ968)),IF($AR968&lt;&gt;"",IF(INDEX(Raw_D3!$N$2:$N$1001,$AR968)="","",INDEX(Raw_D3!$N$2:$N$1001,$AR968)),"")))</f>
        <v>9</v>
      </c>
      <c r="O968" s="5">
        <f>IF($A968="","",IF($AQ968&lt;&gt;"",IF(INDEX(Raw_D2!$G$2:$G$1001,$AQ968)="","",INDEX(Raw_D2!$G$2:$G$1001,$AQ968)),IF($AR968&lt;&gt;"",IF(INDEX(Raw_D3!$O$2:$O$1001,$AR968)="","",INDEX(Raw_D3!$O$2:$O$1001,$AR968)),"")))</f>
        <v>42</v>
      </c>
      <c r="P968" s="5">
        <f>IF($A968="","",IF($AQ968&lt;&gt;"",IF(INDEX(Raw_D2!$H$2:$H$1001,$AQ968)="","",INDEX(Raw_D2!$H$2:$H$1001,$AQ968)),IF($AR968&lt;&gt;"",IF(INDEX(Raw_D3!$P$2:$P$1001,$AR968)="","",INDEX(Raw_D3!$P$2:$P$1001,$AR968)),"")))</f>
        <v>51</v>
      </c>
      <c r="Q968" s="5" t="str">
        <f>IF($A968="","",IF(AND($AP968&lt;&gt;"",$AQ968&lt;&gt;""),"D1+D2",IF($AR968&lt;&gt;"","D3","Incomplete")))</f>
        <v>D3</v>
      </c>
      <c r="R968" s="17">
        <f>IF($A968="","",IF($K968="",IF($J968="","",ROUND(Lookups!$K$5+Lookups!$K$4*$J968,4)),$K968))</f>
        <v>0.303</v>
      </c>
      <c r="S968" s="5" t="str">
        <f>IF($A968="","",IF($K968="","Imputed","Original"))</f>
        <v>Original</v>
      </c>
      <c r="T968" s="5" t="str">
        <f>IF($A968="","",IF($P968="","Missing",IF($P968=$N968+$O968,"OK","Mismatch")))</f>
        <v>OK</v>
      </c>
      <c r="U968" s="5" t="str">
        <f>IF($A968="","",IF(COUNTIF($A$2:$A968,$A968)&gt;1,"Duplicate","Unique"))</f>
        <v>Unique</v>
      </c>
      <c r="V968" s="5">
        <f>IF($A968="","",IF(AND($U968="Unique",ISNUMBER($P968)),1,0))</f>
        <v>1</v>
      </c>
      <c r="W968" s="5" t="str">
        <f>IF($A968="","",IF(OR($H968=0,$H968=6),"Weekend","Weekday"))</f>
        <v>Weekend</v>
      </c>
      <c r="X968" s="5" t="str">
        <f>IF($A968="","",TEXT($B968,"ddd"))</f>
        <v>Sat</v>
      </c>
      <c r="Y968" s="5" t="str">
        <f>IF($A968="","",TEXT($B968,"mmm"))</f>
        <v>Feb</v>
      </c>
      <c r="Z968" s="5" t="str">
        <f>IF($A968="","",IFERROR(VLOOKUP($C968,Lookups!$D$4:$E$7,2,FALSE),"Unknown"))</f>
        <v>Winter</v>
      </c>
      <c r="AA968" s="5" t="str">
        <f>IF($A968="","",IFERROR(VLOOKUP($I968,Lookups!$A$4:$B$7,2,FALSE),"Unknown"))</f>
        <v>Clear</v>
      </c>
      <c r="AB968" s="5" t="str">
        <f>IF($A968="","",TEXT($F968,"00")&amp;":00")</f>
        <v>21:00</v>
      </c>
      <c r="AC968" s="5" t="str">
        <f>IF($A968="","",VLOOKUP($F968,Lookups!$G$4:$H$8,2,TRUE))</f>
        <v>Late Evening (20-23)</v>
      </c>
      <c r="AD968" s="18">
        <f>IF($A968="","",IF($J968="","",ROUND($J968*41,1)))</f>
        <v>10.7</v>
      </c>
      <c r="AE968" s="18">
        <f>IF($A968="","",IF($R968="","",ROUND($R968*50,1)))</f>
        <v>15.2</v>
      </c>
      <c r="AF968" s="5">
        <f>IF($A968="","",IF($L968="","",ROUND($L968*100,0)))</f>
        <v>41</v>
      </c>
      <c r="AG968" s="18">
        <f>IF($A968="","",IF($M968="","",ROUND($M968*67,1)))</f>
        <v>0</v>
      </c>
      <c r="AH968" s="19">
        <f>IF($A968="","",IF($P968="","",IF($P968=0,0,$O968/$P968)))</f>
        <v>0.823529411764706</v>
      </c>
      <c r="AI968" s="5" t="str">
        <f>IF($A968="","",IF($P968="","",IF($P968&gt;=Lookups!$K$7,"High",IF($P968&lt;=Lookups!$K$8,"Low","Medium"))))</f>
        <v>Medium</v>
      </c>
      <c r="AJ968" s="5" t="str">
        <f>IF($A968="","",IF($AD968="","",IF($AD968&lt;5,"Under 5 C",IF($AD968&lt;10,"5-10 C",IF($AD968&lt;15,"10-15 C","15 C and above")))))</f>
        <v>10-15 C</v>
      </c>
      <c r="AK968" s="5">
        <f>IF($A968="","",IF($P968="","",$P968^2))</f>
        <v>2601</v>
      </c>
      <c r="AL968" s="18">
        <f>IF($V968&lt;&gt;1,"",AVERAGEIFS(Clean_Data!$P$2:$P$1001,Clean_Data!$F$2:$F$1001,$F968,Clean_Data!$W$2:$W$1001,$W968,Clean_Data!$V$2:$V$1001,1))</f>
        <v>37.1428571428571</v>
      </c>
      <c r="AM968" s="16">
        <f>IF($V968&lt;&gt;1,"",IFERROR(($P968-$AL968)/SQRT(MAX(0,(SUMIFS(Clean_Data!$AK$2:$AK$1001,Clean_Data!$F$2:$F$1001,$F968,Clean_Data!$W$2:$W$1001,$W968,Clean_Data!$V$2:$V$1001,1)-COUNTIFS(Clean_Data!$F$2:$F$1001,$F968,Clean_Data!$W$2:$W$1001,$W968,Clean_Data!$V$2:$V$1001,1)*$AL968^2)/(COUNTIFS(Clean_Data!$F$2:$F$1001,$F968,Clean_Data!$W$2:$W$1001,$W968,Clean_Data!$V$2:$V$1001,1)-1))),""))</f>
        <v>1.14691163085197</v>
      </c>
      <c r="AN968" s="5" t="str">
        <f>IF($AM968="","",IF($AM968&gt;=Lookups!$K$6,"High spike",IF($AM968&lt;=-Lookups!$K$6,"Unusual low","Normal")))</f>
        <v>Normal</v>
      </c>
      <c r="AO968" s="20">
        <f>IF($V968&lt;&gt;1,"",$P968+ROW()/100000)</f>
        <v>51.00968</v>
      </c>
      <c r="AP968" s="5">
        <f>IF($A968="","",IFERROR(MATCH($A968,Raw_D1!$A$2:$A$1001,0),""))</f>
        <v/>
      </c>
      <c r="AQ968" s="5">
        <f>IF($A968="","",IFERROR(MATCH($A968,Raw_D2!$B$2:$B$1001,0),""))</f>
        <v/>
      </c>
      <c r="AR968" s="5">
        <f>IF($A968="","",IFERROR(MATCH($A968,Raw_D3!$A$2:$A$1001,0),""))</f>
        <v>348</v>
      </c>
    </row>
    <row r="969" spans="1:44" x14ac:dyDescent="0.25">
      <c r="A969" s="5">
        <v>968</v>
      </c>
      <c r="B969" s="11">
        <f>IF($A969="","",IF($AP969&lt;&gt;"",INDEX(Raw_D1!$B$2:$B$1001,$AP969),IF($AR969&lt;&gt;"",INDEX(Raw_D3!$B$2:$B$1001,$AR969),"")))</f>
        <v>40586.0</v>
      </c>
      <c r="C969" s="5">
        <f>IF($A969="","",IF($AP969&lt;&gt;"",INDEX(Raw_D1!$C$2:$C$1001,$AP969),IF($AR969&lt;&gt;"",INDEX(Raw_D3!$C$2:$C$1001,$AR969),"")))</f>
        <v>1</v>
      </c>
      <c r="D969" s="5">
        <f>IF($A969="","",IF($AP969&lt;&gt;"",INDEX(Raw_D1!$D$2:$D$1001,$AP969),IF($AR969&lt;&gt;"",INDEX(Raw_D3!$D$2:$D$1001,$AR969),"")))</f>
        <v>0</v>
      </c>
      <c r="E969" s="5">
        <f>IF($A969="","",IF($AP969&lt;&gt;"",INDEX(Raw_D1!$E$2:$E$1001,$AP969),IF($AR969&lt;&gt;"",INDEX(Raw_D3!$E$2:$E$1001,$AR969),"")))</f>
        <v>2</v>
      </c>
      <c r="F969" s="5">
        <f>IF($A969="","",IF($AP969&lt;&gt;"",INDEX(Raw_D1!$F$2:$F$1001,$AP969),IF($AR969&lt;&gt;"",INDEX(Raw_D3!$F$2:$F$1001,$AR969),"")))</f>
        <v>22</v>
      </c>
      <c r="G969" s="5">
        <f>IF($A969="","",IF($AP969&lt;&gt;"",IF(INDEX(Raw_D1!$G$2:$G$1001,$AP969),1,0),IF($AR969&lt;&gt;"",IF(INDEX(Raw_D3!$G$2:$G$1001,$AR969),1,0),"")))</f>
        <v>0</v>
      </c>
      <c r="H969" s="5">
        <f>IF($A969="","",IF($AP969&lt;&gt;"",INDEX(Raw_D1!$H$2:$H$1001,$AP969),IF($AR969&lt;&gt;"",INDEX(Raw_D3!$H$2:$H$1001,$AR969),"")))</f>
        <v>6</v>
      </c>
      <c r="I969" s="5">
        <f>IF($A969="","",IF($AP969&lt;&gt;"",INDEX(Raw_D1!$I$2:$I$1001,$AP969),IF($AR969&lt;&gt;"",INDEX(Raw_D3!$I$2:$I$1001,$AR969),"")))</f>
        <v>1</v>
      </c>
      <c r="J969" s="16">
        <f>IF($A969="","",IF($AP969&lt;&gt;"",INDEX(Raw_D1!$J$2:$J$1001,$AP969),IF($AR969&lt;&gt;"",INDEX(Raw_D3!$J$2:$J$1001,$AR969),"")))</f>
        <v>0.24</v>
      </c>
      <c r="K969" s="17">
        <f>IF($A969="","",IF($AQ969&lt;&gt;"",IF(INDEX(Raw_D2!$C$2:$C$1001,$AQ969)="","",INDEX(Raw_D2!$C$2:$C$1001,$AQ969)),IF($AR969&lt;&gt;"",IF(INDEX(Raw_D3!$K$2:$K$1001,$AR969)="","",INDEX(Raw_D3!$K$2:$K$1001,$AR969)),"")))</f>
        <v>0.2576</v>
      </c>
      <c r="L969" s="16">
        <f>IF($A969="","",IF($AQ969&lt;&gt;"",IF(INDEX(Raw_D2!$D$2:$D$1001,$AQ969)="","",INDEX(Raw_D2!$D$2:$D$1001,$AQ969)),IF($AR969&lt;&gt;"",IF(INDEX(Raw_D3!$L$2:$L$1001,$AR969)="","",INDEX(Raw_D3!$L$2:$L$1001,$AR969)),"")))</f>
        <v>0.44</v>
      </c>
      <c r="M969" s="17">
        <f>IF($A969="","",IF($AQ969&lt;&gt;"",IF(INDEX(Raw_D2!$E$2:$E$1001,$AQ969)="","",INDEX(Raw_D2!$E$2:$E$1001,$AQ969)),IF($AR969&lt;&gt;"",IF(INDEX(Raw_D3!$M$2:$M$1001,$AR969)="","",INDEX(Raw_D3!$M$2:$M$1001,$AR969)),"")))</f>
        <v>0.0896</v>
      </c>
      <c r="N969" s="5">
        <f>IF($A969="","",IF($AQ969&lt;&gt;"",IF(INDEX(Raw_D2!$F$2:$F$1001,$AQ969)="","",INDEX(Raw_D2!$F$2:$F$1001,$AQ969)),IF($AR969&lt;&gt;"",IF(INDEX(Raw_D3!$N$2:$N$1001,$AR969)="","",INDEX(Raw_D3!$N$2:$N$1001,$AR969)),"")))</f>
        <v>6</v>
      </c>
      <c r="O969" s="5">
        <f>IF($A969="","",IF($AQ969&lt;&gt;"",IF(INDEX(Raw_D2!$G$2:$G$1001,$AQ969)="","",INDEX(Raw_D2!$G$2:$G$1001,$AQ969)),IF($AR969&lt;&gt;"",IF(INDEX(Raw_D3!$O$2:$O$1001,$AR969)="","",INDEX(Raw_D3!$O$2:$O$1001,$AR969)),"")))</f>
        <v>39</v>
      </c>
      <c r="P969" s="5">
        <f>IF($A969="","",IF($AQ969&lt;&gt;"",IF(INDEX(Raw_D2!$H$2:$H$1001,$AQ969)="","",INDEX(Raw_D2!$H$2:$H$1001,$AQ969)),IF($AR969&lt;&gt;"",IF(INDEX(Raw_D3!$P$2:$P$1001,$AR969)="","",INDEX(Raw_D3!$P$2:$P$1001,$AR969)),"")))</f>
        <v>45</v>
      </c>
      <c r="Q969" s="5" t="str">
        <f>IF($A969="","",IF(AND($AP969&lt;&gt;"",$AQ969&lt;&gt;""),"D1+D2",IF($AR969&lt;&gt;"","D3","Incomplete")))</f>
        <v>D3</v>
      </c>
      <c r="R969" s="17">
        <f>IF($A969="","",IF($K969="",IF($J969="","",ROUND(Lookups!$K$5+Lookups!$K$4*$J969,4)),$K969))</f>
        <v>0.2576</v>
      </c>
      <c r="S969" s="5" t="str">
        <f>IF($A969="","",IF($K969="","Imputed","Original"))</f>
        <v>Original</v>
      </c>
      <c r="T969" s="5" t="str">
        <f>IF($A969="","",IF($P969="","Missing",IF($P969=$N969+$O969,"OK","Mismatch")))</f>
        <v>OK</v>
      </c>
      <c r="U969" s="5" t="str">
        <f>IF($A969="","",IF(COUNTIF($A$2:$A969,$A969)&gt;1,"Duplicate","Unique"))</f>
        <v>Unique</v>
      </c>
      <c r="V969" s="5">
        <f>IF($A969="","",IF(AND($U969="Unique",ISNUMBER($P969)),1,0))</f>
        <v>1</v>
      </c>
      <c r="W969" s="5" t="str">
        <f>IF($A969="","",IF(OR($H969=0,$H969=6),"Weekend","Weekday"))</f>
        <v>Weekend</v>
      </c>
      <c r="X969" s="5" t="str">
        <f>IF($A969="","",TEXT($B969,"ddd"))</f>
        <v>Sat</v>
      </c>
      <c r="Y969" s="5" t="str">
        <f>IF($A969="","",TEXT($B969,"mmm"))</f>
        <v>Feb</v>
      </c>
      <c r="Z969" s="5" t="str">
        <f>IF($A969="","",IFERROR(VLOOKUP($C969,Lookups!$D$4:$E$7,2,FALSE),"Unknown"))</f>
        <v>Winter</v>
      </c>
      <c r="AA969" s="5" t="str">
        <f>IF($A969="","",IFERROR(VLOOKUP($I969,Lookups!$A$4:$B$7,2,FALSE),"Unknown"))</f>
        <v>Clear</v>
      </c>
      <c r="AB969" s="5" t="str">
        <f>IF($A969="","",TEXT($F969,"00")&amp;":00")</f>
        <v>22:00</v>
      </c>
      <c r="AC969" s="5" t="str">
        <f>IF($A969="","",VLOOKUP($F969,Lookups!$G$4:$H$8,2,TRUE))</f>
        <v>Late Evening (20-23)</v>
      </c>
      <c r="AD969" s="18">
        <f>IF($A969="","",IF($J969="","",ROUND($J969*41,1)))</f>
        <v>9.8</v>
      </c>
      <c r="AE969" s="18">
        <f>IF($A969="","",IF($R969="","",ROUND($R969*50,1)))</f>
        <v>12.9</v>
      </c>
      <c r="AF969" s="5">
        <f>IF($A969="","",IF($L969="","",ROUND($L969*100,0)))</f>
        <v>44</v>
      </c>
      <c r="AG969" s="18">
        <f>IF($A969="","",IF($M969="","",ROUND($M969*67,1)))</f>
        <v>6</v>
      </c>
      <c r="AH969" s="19">
        <f>IF($A969="","",IF($P969="","",IF($P969=0,0,$O969/$P969)))</f>
        <v>0.866666666666667</v>
      </c>
      <c r="AI969" s="5" t="str">
        <f>IF($A969="","",IF($P969="","",IF($P969&gt;=Lookups!$K$7,"High",IF($P969&lt;=Lookups!$K$8,"Low","Medium"))))</f>
        <v>Medium</v>
      </c>
      <c r="AJ969" s="5" t="str">
        <f>IF($A969="","",IF($AD969="","",IF($AD969&lt;5,"Under 5 C",IF($AD969&lt;10,"5-10 C",IF($AD969&lt;15,"10-15 C","15 C and above")))))</f>
        <v>5-10 C</v>
      </c>
      <c r="AK969" s="5">
        <f>IF($A969="","",IF($P969="","",$P969^2))</f>
        <v>2025</v>
      </c>
      <c r="AL969" s="18">
        <f>IF($V969&lt;&gt;1,"",AVERAGEIFS(Clean_Data!$P$2:$P$1001,Clean_Data!$F$2:$F$1001,$F969,Clean_Data!$W$2:$W$1001,$W969,Clean_Data!$V$2:$V$1001,1))</f>
        <v>30.8571428571429</v>
      </c>
      <c r="AM969" s="16">
        <f>IF($V969&lt;&gt;1,"",IFERROR(($P969-$AL969)/SQRT(MAX(0,(SUMIFS(Clean_Data!$AK$2:$AK$1001,Clean_Data!$F$2:$F$1001,$F969,Clean_Data!$W$2:$W$1001,$W969,Clean_Data!$V$2:$V$1001,1)-COUNTIFS(Clean_Data!$F$2:$F$1001,$F969,Clean_Data!$W$2:$W$1001,$W969,Clean_Data!$V$2:$V$1001,1)*$AL969^2)/(COUNTIFS(Clean_Data!$F$2:$F$1001,$F969,Clean_Data!$W$2:$W$1001,$W969,Clean_Data!$V$2:$V$1001,1)-1))),""))</f>
        <v>1.0470746516063</v>
      </c>
      <c r="AN969" s="5" t="str">
        <f>IF($AM969="","",IF($AM969&gt;=Lookups!$K$6,"High spike",IF($AM969&lt;=-Lookups!$K$6,"Unusual low","Normal")))</f>
        <v>Normal</v>
      </c>
      <c r="AO969" s="20">
        <f>IF($V969&lt;&gt;1,"",$P969+ROW()/100000)</f>
        <v>45.00969</v>
      </c>
      <c r="AP969" s="5">
        <f>IF($A969="","",IFERROR(MATCH($A969,Raw_D1!$A$2:$A$1001,0),""))</f>
        <v/>
      </c>
      <c r="AQ969" s="5">
        <f>IF($A969="","",IFERROR(MATCH($A969,Raw_D2!$B$2:$B$1001,0),""))</f>
        <v/>
      </c>
      <c r="AR969" s="5">
        <f>IF($A969="","",IFERROR(MATCH($A969,Raw_D3!$A$2:$A$1001,0),""))</f>
        <v>349</v>
      </c>
    </row>
    <row r="970" spans="1:44" x14ac:dyDescent="0.25">
      <c r="A970" s="5">
        <v>969</v>
      </c>
      <c r="B970" s="11">
        <f>IF($A970="","",IF($AP970&lt;&gt;"",INDEX(Raw_D1!$B$2:$B$1001,$AP970),IF($AR970&lt;&gt;"",INDEX(Raw_D3!$B$2:$B$1001,$AR970),"")))</f>
        <v>40586.0</v>
      </c>
      <c r="C970" s="5">
        <f>IF($A970="","",IF($AP970&lt;&gt;"",INDEX(Raw_D1!$C$2:$C$1001,$AP970),IF($AR970&lt;&gt;"",INDEX(Raw_D3!$C$2:$C$1001,$AR970),"")))</f>
        <v>1</v>
      </c>
      <c r="D970" s="5">
        <f>IF($A970="","",IF($AP970&lt;&gt;"",INDEX(Raw_D1!$D$2:$D$1001,$AP970),IF($AR970&lt;&gt;"",INDEX(Raw_D3!$D$2:$D$1001,$AR970),"")))</f>
        <v>0</v>
      </c>
      <c r="E970" s="5">
        <f>IF($A970="","",IF($AP970&lt;&gt;"",INDEX(Raw_D1!$E$2:$E$1001,$AP970),IF($AR970&lt;&gt;"",INDEX(Raw_D3!$E$2:$E$1001,$AR970),"")))</f>
        <v>2</v>
      </c>
      <c r="F970" s="5">
        <f>IF($A970="","",IF($AP970&lt;&gt;"",INDEX(Raw_D1!$F$2:$F$1001,$AP970),IF($AR970&lt;&gt;"",INDEX(Raw_D3!$F$2:$F$1001,$AR970),"")))</f>
        <v>23</v>
      </c>
      <c r="G970" s="5">
        <f>IF($A970="","",IF($AP970&lt;&gt;"",IF(INDEX(Raw_D1!$G$2:$G$1001,$AP970),1,0),IF($AR970&lt;&gt;"",IF(INDEX(Raw_D3!$G$2:$G$1001,$AR970),1,0),"")))</f>
        <v>0</v>
      </c>
      <c r="H970" s="5">
        <f>IF($A970="","",IF($AP970&lt;&gt;"",INDEX(Raw_D1!$H$2:$H$1001,$AP970),IF($AR970&lt;&gt;"",INDEX(Raw_D3!$H$2:$H$1001,$AR970),"")))</f>
        <v>6</v>
      </c>
      <c r="I970" s="5">
        <f>IF($A970="","",IF($AP970&lt;&gt;"",INDEX(Raw_D1!$I$2:$I$1001,$AP970),IF($AR970&lt;&gt;"",INDEX(Raw_D3!$I$2:$I$1001,$AR970),"")))</f>
        <v>1</v>
      </c>
      <c r="J970" s="16">
        <f>IF($A970="","",IF($AP970&lt;&gt;"",INDEX(Raw_D1!$J$2:$J$1001,$AP970),IF($AR970&lt;&gt;"",INDEX(Raw_D3!$J$2:$J$1001,$AR970),"")))</f>
        <v>0.22</v>
      </c>
      <c r="K970" s="17">
        <f>IF($A970="","",IF($AQ970&lt;&gt;"",IF(INDEX(Raw_D2!$C$2:$C$1001,$AQ970)="","",INDEX(Raw_D2!$C$2:$C$1001,$AQ970)),IF($AR970&lt;&gt;"",IF(INDEX(Raw_D3!$K$2:$K$1001,$AR970)="","",INDEX(Raw_D3!$K$2:$K$1001,$AR970)),"")))</f>
        <v>0.2273</v>
      </c>
      <c r="L970" s="16">
        <f>IF($A970="","",IF($AQ970&lt;&gt;"",IF(INDEX(Raw_D2!$D$2:$D$1001,$AQ970)="","",INDEX(Raw_D2!$D$2:$D$1001,$AQ970)),IF($AR970&lt;&gt;"",IF(INDEX(Raw_D3!$L$2:$L$1001,$AR970)="","",INDEX(Raw_D3!$L$2:$L$1001,$AR970)),"")))</f>
        <v>0.51</v>
      </c>
      <c r="M970" s="17">
        <f>IF($A970="","",IF($AQ970&lt;&gt;"",IF(INDEX(Raw_D2!$E$2:$E$1001,$AQ970)="","",INDEX(Raw_D2!$E$2:$E$1001,$AQ970)),IF($AR970&lt;&gt;"",IF(INDEX(Raw_D3!$M$2:$M$1001,$AR970)="","",INDEX(Raw_D3!$M$2:$M$1001,$AR970)),"")))</f>
        <v>0.1343</v>
      </c>
      <c r="N970" s="5">
        <f>IF($A970="","",IF($AQ970&lt;&gt;"",IF(INDEX(Raw_D2!$F$2:$F$1001,$AQ970)="","",INDEX(Raw_D2!$F$2:$F$1001,$AQ970)),IF($AR970&lt;&gt;"",IF(INDEX(Raw_D3!$N$2:$N$1001,$AR970)="","",INDEX(Raw_D3!$N$2:$N$1001,$AR970)),"")))</f>
        <v>1</v>
      </c>
      <c r="O970" s="5">
        <f>IF($A970="","",IF($AQ970&lt;&gt;"",IF(INDEX(Raw_D2!$G$2:$G$1001,$AQ970)="","",INDEX(Raw_D2!$G$2:$G$1001,$AQ970)),IF($AR970&lt;&gt;"",IF(INDEX(Raw_D3!$O$2:$O$1001,$AR970)="","",INDEX(Raw_D3!$O$2:$O$1001,$AR970)),"")))</f>
        <v>31</v>
      </c>
      <c r="P970" s="5">
        <f>IF($A970="","",IF($AQ970&lt;&gt;"",IF(INDEX(Raw_D2!$H$2:$H$1001,$AQ970)="","",INDEX(Raw_D2!$H$2:$H$1001,$AQ970)),IF($AR970&lt;&gt;"",IF(INDEX(Raw_D3!$P$2:$P$1001,$AR970)="","",INDEX(Raw_D3!$P$2:$P$1001,$AR970)),"")))</f>
        <v>32</v>
      </c>
      <c r="Q970" s="5" t="str">
        <f>IF($A970="","",IF(AND($AP970&lt;&gt;"",$AQ970&lt;&gt;""),"D1+D2",IF($AR970&lt;&gt;"","D3","Incomplete")))</f>
        <v>D3</v>
      </c>
      <c r="R970" s="17">
        <f>IF($A970="","",IF($K970="",IF($J970="","",ROUND(Lookups!$K$5+Lookups!$K$4*$J970,4)),$K970))</f>
        <v>0.2273</v>
      </c>
      <c r="S970" s="5" t="str">
        <f>IF($A970="","",IF($K970="","Imputed","Original"))</f>
        <v>Original</v>
      </c>
      <c r="T970" s="5" t="str">
        <f>IF($A970="","",IF($P970="","Missing",IF($P970=$N970+$O970,"OK","Mismatch")))</f>
        <v>OK</v>
      </c>
      <c r="U970" s="5" t="str">
        <f>IF($A970="","",IF(COUNTIF($A$2:$A970,$A970)&gt;1,"Duplicate","Unique"))</f>
        <v>Unique</v>
      </c>
      <c r="V970" s="5">
        <f>IF($A970="","",IF(AND($U970="Unique",ISNUMBER($P970)),1,0))</f>
        <v>1</v>
      </c>
      <c r="W970" s="5" t="str">
        <f>IF($A970="","",IF(OR($H970=0,$H970=6),"Weekend","Weekday"))</f>
        <v>Weekend</v>
      </c>
      <c r="X970" s="5" t="str">
        <f>IF($A970="","",TEXT($B970,"ddd"))</f>
        <v>Sat</v>
      </c>
      <c r="Y970" s="5" t="str">
        <f>IF($A970="","",TEXT($B970,"mmm"))</f>
        <v>Feb</v>
      </c>
      <c r="Z970" s="5" t="str">
        <f>IF($A970="","",IFERROR(VLOOKUP($C970,Lookups!$D$4:$E$7,2,FALSE),"Unknown"))</f>
        <v>Winter</v>
      </c>
      <c r="AA970" s="5" t="str">
        <f>IF($A970="","",IFERROR(VLOOKUP($I970,Lookups!$A$4:$B$7,2,FALSE),"Unknown"))</f>
        <v>Clear</v>
      </c>
      <c r="AB970" s="5" t="str">
        <f>IF($A970="","",TEXT($F970,"00")&amp;":00")</f>
        <v>23:00</v>
      </c>
      <c r="AC970" s="5" t="str">
        <f>IF($A970="","",VLOOKUP($F970,Lookups!$G$4:$H$8,2,TRUE))</f>
        <v>Late Evening (20-23)</v>
      </c>
      <c r="AD970" s="18">
        <f>IF($A970="","",IF($J970="","",ROUND($J970*41,1)))</f>
        <v>9</v>
      </c>
      <c r="AE970" s="18">
        <f>IF($A970="","",IF($R970="","",ROUND($R970*50,1)))</f>
        <v>11.4</v>
      </c>
      <c r="AF970" s="5">
        <f>IF($A970="","",IF($L970="","",ROUND($L970*100,0)))</f>
        <v>51</v>
      </c>
      <c r="AG970" s="18">
        <f>IF($A970="","",IF($M970="","",ROUND($M970*67,1)))</f>
        <v>9</v>
      </c>
      <c r="AH970" s="19">
        <f>IF($A970="","",IF($P970="","",IF($P970=0,0,$O970/$P970)))</f>
        <v>0.96875</v>
      </c>
      <c r="AI970" s="5" t="str">
        <f>IF($A970="","",IF($P970="","",IF($P970&gt;=Lookups!$K$7,"High",IF($P970&lt;=Lookups!$K$8,"Low","Medium"))))</f>
        <v>Medium</v>
      </c>
      <c r="AJ970" s="5" t="str">
        <f>IF($A970="","",IF($AD970="","",IF($AD970&lt;5,"Under 5 C",IF($AD970&lt;10,"5-10 C",IF($AD970&lt;15,"10-15 C","15 C and above")))))</f>
        <v>5-10 C</v>
      </c>
      <c r="AK970" s="5">
        <f>IF($A970="","",IF($P970="","",$P970^2))</f>
        <v>1024</v>
      </c>
      <c r="AL970" s="18">
        <f>IF($V970&lt;&gt;1,"",AVERAGEIFS(Clean_Data!$P$2:$P$1001,Clean_Data!$F$2:$F$1001,$F970,Clean_Data!$W$2:$W$1001,$W970,Clean_Data!$V$2:$V$1001,1))</f>
        <v>28.2857142857143</v>
      </c>
      <c r="AM970" s="16">
        <f>IF($V970&lt;&gt;1,"",IFERROR(($P970-$AL970)/SQRT(MAX(0,(SUMIFS(Clean_Data!$AK$2:$AK$1001,Clean_Data!$F$2:$F$1001,$F970,Clean_Data!$W$2:$W$1001,$W970,Clean_Data!$V$2:$V$1001,1)-COUNTIFS(Clean_Data!$F$2:$F$1001,$F970,Clean_Data!$W$2:$W$1001,$W970,Clean_Data!$V$2:$V$1001,1)*$AL970^2)/(COUNTIFS(Clean_Data!$F$2:$F$1001,$F970,Clean_Data!$W$2:$W$1001,$W970,Clean_Data!$V$2:$V$1001,1)-1))),""))</f>
        <v>0.266308381957015</v>
      </c>
      <c r="AN970" s="5" t="str">
        <f>IF($AM970="","",IF($AM970&gt;=Lookups!$K$6,"High spike",IF($AM970&lt;=-Lookups!$K$6,"Unusual low","Normal")))</f>
        <v>Normal</v>
      </c>
      <c r="AO970" s="20">
        <f>IF($V970&lt;&gt;1,"",$P970+ROW()/100000)</f>
        <v>32.0097</v>
      </c>
      <c r="AP970" s="5">
        <f>IF($A970="","",IFERROR(MATCH($A970,Raw_D1!$A$2:$A$1001,0),""))</f>
        <v/>
      </c>
      <c r="AQ970" s="5">
        <f>IF($A970="","",IFERROR(MATCH($A970,Raw_D2!$B$2:$B$1001,0),""))</f>
        <v/>
      </c>
      <c r="AR970" s="5">
        <f>IF($A970="","",IFERROR(MATCH($A970,Raw_D3!$A$2:$A$1001,0),""))</f>
        <v>350</v>
      </c>
    </row>
    <row r="971" spans="1:44" x14ac:dyDescent="0.25">
      <c r="A971" s="5">
        <v>970</v>
      </c>
      <c r="B971" s="11">
        <f>IF($A971="","",IF($AP971&lt;&gt;"",INDEX(Raw_D1!$B$2:$B$1001,$AP971),IF($AR971&lt;&gt;"",INDEX(Raw_D3!$B$2:$B$1001,$AR971),"")))</f>
        <v>40587.0</v>
      </c>
      <c r="C971" s="5">
        <f>IF($A971="","",IF($AP971&lt;&gt;"",INDEX(Raw_D1!$C$2:$C$1001,$AP971),IF($AR971&lt;&gt;"",INDEX(Raw_D3!$C$2:$C$1001,$AR971),"")))</f>
        <v>1</v>
      </c>
      <c r="D971" s="5">
        <f>IF($A971="","",IF($AP971&lt;&gt;"",INDEX(Raw_D1!$D$2:$D$1001,$AP971),IF($AR971&lt;&gt;"",INDEX(Raw_D3!$D$2:$D$1001,$AR971),"")))</f>
        <v>0</v>
      </c>
      <c r="E971" s="5">
        <f>IF($A971="","",IF($AP971&lt;&gt;"",INDEX(Raw_D1!$E$2:$E$1001,$AP971),IF($AR971&lt;&gt;"",INDEX(Raw_D3!$E$2:$E$1001,$AR971),"")))</f>
        <v>2</v>
      </c>
      <c r="F971" s="5">
        <f>IF($A971="","",IF($AP971&lt;&gt;"",INDEX(Raw_D1!$F$2:$F$1001,$AP971),IF($AR971&lt;&gt;"",INDEX(Raw_D3!$F$2:$F$1001,$AR971),"")))</f>
        <v>0</v>
      </c>
      <c r="G971" s="5">
        <f>IF($A971="","",IF($AP971&lt;&gt;"",IF(INDEX(Raw_D1!$G$2:$G$1001,$AP971),1,0),IF($AR971&lt;&gt;"",IF(INDEX(Raw_D3!$G$2:$G$1001,$AR971),1,0),"")))</f>
        <v>0</v>
      </c>
      <c r="H971" s="5">
        <f>IF($A971="","",IF($AP971&lt;&gt;"",INDEX(Raw_D1!$H$2:$H$1001,$AP971),IF($AR971&lt;&gt;"",INDEX(Raw_D3!$H$2:$H$1001,$AR971),"")))</f>
        <v>0</v>
      </c>
      <c r="I971" s="5">
        <f>IF($A971="","",IF($AP971&lt;&gt;"",INDEX(Raw_D1!$I$2:$I$1001,$AP971),IF($AR971&lt;&gt;"",INDEX(Raw_D3!$I$2:$I$1001,$AR971),"")))</f>
        <v>1</v>
      </c>
      <c r="J971" s="16">
        <f>IF($A971="","",IF($AP971&lt;&gt;"",INDEX(Raw_D1!$J$2:$J$1001,$AP971),IF($AR971&lt;&gt;"",INDEX(Raw_D3!$J$2:$J$1001,$AR971),"")))</f>
        <v>0.2</v>
      </c>
      <c r="K971" s="17">
        <f>IF($A971="","",IF($AQ971&lt;&gt;"",IF(INDEX(Raw_D2!$C$2:$C$1001,$AQ971)="","",INDEX(Raw_D2!$C$2:$C$1001,$AQ971)),IF($AR971&lt;&gt;"",IF(INDEX(Raw_D3!$K$2:$K$1001,$AR971)="","",INDEX(Raw_D3!$K$2:$K$1001,$AR971)),"")))</f>
        <v>0.2273</v>
      </c>
      <c r="L971" s="16">
        <f>IF($A971="","",IF($AQ971&lt;&gt;"",IF(INDEX(Raw_D2!$D$2:$D$1001,$AQ971)="","",INDEX(Raw_D2!$D$2:$D$1001,$AQ971)),IF($AR971&lt;&gt;"",IF(INDEX(Raw_D3!$L$2:$L$1001,$AR971)="","",INDEX(Raw_D3!$L$2:$L$1001,$AR971)),"")))</f>
        <v>0.64</v>
      </c>
      <c r="M971" s="17">
        <f>IF($A971="","",IF($AQ971&lt;&gt;"",IF(INDEX(Raw_D2!$E$2:$E$1001,$AQ971)="","",INDEX(Raw_D2!$E$2:$E$1001,$AQ971)),IF($AR971&lt;&gt;"",IF(INDEX(Raw_D3!$M$2:$M$1001,$AR971)="","",INDEX(Raw_D3!$M$2:$M$1001,$AR971)),"")))</f>
        <v>0.1045</v>
      </c>
      <c r="N971" s="5">
        <f>IF($A971="","",IF($AQ971&lt;&gt;"",IF(INDEX(Raw_D2!$F$2:$F$1001,$AQ971)="","",INDEX(Raw_D2!$F$2:$F$1001,$AQ971)),IF($AR971&lt;&gt;"",IF(INDEX(Raw_D3!$N$2:$N$1001,$AR971)="","",INDEX(Raw_D3!$N$2:$N$1001,$AR971)),"")))</f>
        <v>5</v>
      </c>
      <c r="O971" s="5">
        <f>IF($A971="","",IF($AQ971&lt;&gt;"",IF(INDEX(Raw_D2!$G$2:$G$1001,$AQ971)="","",INDEX(Raw_D2!$G$2:$G$1001,$AQ971)),IF($AR971&lt;&gt;"",IF(INDEX(Raw_D3!$O$2:$O$1001,$AR971)="","",INDEX(Raw_D3!$O$2:$O$1001,$AR971)),"")))</f>
        <v>34</v>
      </c>
      <c r="P971" s="5">
        <f>IF($A971="","",IF($AQ971&lt;&gt;"",IF(INDEX(Raw_D2!$H$2:$H$1001,$AQ971)="","",INDEX(Raw_D2!$H$2:$H$1001,$AQ971)),IF($AR971&lt;&gt;"",IF(INDEX(Raw_D3!$P$2:$P$1001,$AR971)="","",INDEX(Raw_D3!$P$2:$P$1001,$AR971)),"")))</f>
        <v>39</v>
      </c>
      <c r="Q971" s="5" t="str">
        <f>IF($A971="","",IF(AND($AP971&lt;&gt;"",$AQ971&lt;&gt;""),"D1+D2",IF($AR971&lt;&gt;"","D3","Incomplete")))</f>
        <v>D3</v>
      </c>
      <c r="R971" s="17">
        <f>IF($A971="","",IF($K971="",IF($J971="","",ROUND(Lookups!$K$5+Lookups!$K$4*$J971,4)),$K971))</f>
        <v>0.2273</v>
      </c>
      <c r="S971" s="5" t="str">
        <f>IF($A971="","",IF($K971="","Imputed","Original"))</f>
        <v>Original</v>
      </c>
      <c r="T971" s="5" t="str">
        <f>IF($A971="","",IF($P971="","Missing",IF($P971=$N971+$O971,"OK","Mismatch")))</f>
        <v>OK</v>
      </c>
      <c r="U971" s="5" t="str">
        <f>IF($A971="","",IF(COUNTIF($A$2:$A971,$A971)&gt;1,"Duplicate","Unique"))</f>
        <v>Unique</v>
      </c>
      <c r="V971" s="5">
        <f>IF($A971="","",IF(AND($U971="Unique",ISNUMBER($P971)),1,0))</f>
        <v>1</v>
      </c>
      <c r="W971" s="5" t="str">
        <f>IF($A971="","",IF(OR($H971=0,$H971=6),"Weekend","Weekday"))</f>
        <v>Weekend</v>
      </c>
      <c r="X971" s="5" t="str">
        <f>IF($A971="","",TEXT($B971,"ddd"))</f>
        <v>Sun</v>
      </c>
      <c r="Y971" s="5" t="str">
        <f>IF($A971="","",TEXT($B971,"mmm"))</f>
        <v>Feb</v>
      </c>
      <c r="Z971" s="5" t="str">
        <f>IF($A971="","",IFERROR(VLOOKUP($C971,Lookups!$D$4:$E$7,2,FALSE),"Unknown"))</f>
        <v>Winter</v>
      </c>
      <c r="AA971" s="5" t="str">
        <f>IF($A971="","",IFERROR(VLOOKUP($I971,Lookups!$A$4:$B$7,2,FALSE),"Unknown"))</f>
        <v>Clear</v>
      </c>
      <c r="AB971" s="5" t="str">
        <f>IF($A971="","",TEXT($F971,"00")&amp;":00")</f>
        <v>00:00</v>
      </c>
      <c r="AC971" s="5" t="str">
        <f>IF($A971="","",VLOOKUP($F971,Lookups!$G$4:$H$8,2,TRUE))</f>
        <v>Night (00-05)</v>
      </c>
      <c r="AD971" s="18">
        <f>IF($A971="","",IF($J971="","",ROUND($J971*41,1)))</f>
        <v>8.2</v>
      </c>
      <c r="AE971" s="18">
        <f>IF($A971="","",IF($R971="","",ROUND($R971*50,1)))</f>
        <v>11.4</v>
      </c>
      <c r="AF971" s="5">
        <f>IF($A971="","",IF($L971="","",ROUND($L971*100,0)))</f>
        <v>64</v>
      </c>
      <c r="AG971" s="18">
        <f>IF($A971="","",IF($M971="","",ROUND($M971*67,1)))</f>
        <v>7</v>
      </c>
      <c r="AH971" s="19">
        <f>IF($A971="","",IF($P971="","",IF($P971=0,0,$O971/$P971)))</f>
        <v>0.871794871794872</v>
      </c>
      <c r="AI971" s="5" t="str">
        <f>IF($A971="","",IF($P971="","",IF($P971&gt;=Lookups!$K$7,"High",IF($P971&lt;=Lookups!$K$8,"Low","Medium"))))</f>
        <v>Medium</v>
      </c>
      <c r="AJ971" s="5" t="str">
        <f>IF($A971="","",IF($AD971="","",IF($AD971&lt;5,"Under 5 C",IF($AD971&lt;10,"5-10 C",IF($AD971&lt;15,"10-15 C","15 C and above")))))</f>
        <v>5-10 C</v>
      </c>
      <c r="AK971" s="5">
        <f>IF($A971="","",IF($P971="","",$P971^2))</f>
        <v>1521</v>
      </c>
      <c r="AL971" s="18">
        <f>IF($V971&lt;&gt;1,"",AVERAGEIFS(Clean_Data!$P$2:$P$1001,Clean_Data!$F$2:$F$1001,$F971,Clean_Data!$W$2:$W$1001,$W971,Clean_Data!$V$2:$V$1001,1))</f>
        <v>28.0714285714286</v>
      </c>
      <c r="AM971" s="16">
        <f>IF($V971&lt;&gt;1,"",IFERROR(($P971-$AL971)/SQRT(MAX(0,(SUMIFS(Clean_Data!$AK$2:$AK$1001,Clean_Data!$F$2:$F$1001,$F971,Clean_Data!$W$2:$W$1001,$W971,Clean_Data!$V$2:$V$1001,1)-COUNTIFS(Clean_Data!$F$2:$F$1001,$F971,Clean_Data!$W$2:$W$1001,$W971,Clean_Data!$V$2:$V$1001,1)*$AL971^2)/(COUNTIFS(Clean_Data!$F$2:$F$1001,$F971,Clean_Data!$W$2:$W$1001,$W971,Clean_Data!$V$2:$V$1001,1)-1))),""))</f>
        <v>1.21202688175174</v>
      </c>
      <c r="AN971" s="5" t="str">
        <f>IF($AM971="","",IF($AM971&gt;=Lookups!$K$6,"High spike",IF($AM971&lt;=-Lookups!$K$6,"Unusual low","Normal")))</f>
        <v>Normal</v>
      </c>
      <c r="AO971" s="20">
        <f>IF($V971&lt;&gt;1,"",$P971+ROW()/100000)</f>
        <v>39.00971</v>
      </c>
      <c r="AP971" s="5">
        <f>IF($A971="","",IFERROR(MATCH($A971,Raw_D1!$A$2:$A$1001,0),""))</f>
        <v/>
      </c>
      <c r="AQ971" s="5">
        <f>IF($A971="","",IFERROR(MATCH($A971,Raw_D2!$B$2:$B$1001,0),""))</f>
        <v/>
      </c>
      <c r="AR971" s="5">
        <f>IF($A971="","",IFERROR(MATCH($A971,Raw_D3!$A$2:$A$1001,0),""))</f>
        <v>351</v>
      </c>
    </row>
    <row r="972" spans="1:44" x14ac:dyDescent="0.25">
      <c r="A972" s="5">
        <v>971</v>
      </c>
      <c r="B972" s="11">
        <f>IF($A972="","",IF($AP972&lt;&gt;"",INDEX(Raw_D1!$B$2:$B$1001,$AP972),IF($AR972&lt;&gt;"",INDEX(Raw_D3!$B$2:$B$1001,$AR972),"")))</f>
        <v>40587.0</v>
      </c>
      <c r="C972" s="5">
        <f>IF($A972="","",IF($AP972&lt;&gt;"",INDEX(Raw_D1!$C$2:$C$1001,$AP972),IF($AR972&lt;&gt;"",INDEX(Raw_D3!$C$2:$C$1001,$AR972),"")))</f>
        <v>1</v>
      </c>
      <c r="D972" s="5">
        <f>IF($A972="","",IF($AP972&lt;&gt;"",INDEX(Raw_D1!$D$2:$D$1001,$AP972),IF($AR972&lt;&gt;"",INDEX(Raw_D3!$D$2:$D$1001,$AR972),"")))</f>
        <v>0</v>
      </c>
      <c r="E972" s="5">
        <f>IF($A972="","",IF($AP972&lt;&gt;"",INDEX(Raw_D1!$E$2:$E$1001,$AP972),IF($AR972&lt;&gt;"",INDEX(Raw_D3!$E$2:$E$1001,$AR972),"")))</f>
        <v>2</v>
      </c>
      <c r="F972" s="5">
        <f>IF($A972="","",IF($AP972&lt;&gt;"",INDEX(Raw_D1!$F$2:$F$1001,$AP972),IF($AR972&lt;&gt;"",INDEX(Raw_D3!$F$2:$F$1001,$AR972),"")))</f>
        <v>1</v>
      </c>
      <c r="G972" s="5">
        <f>IF($A972="","",IF($AP972&lt;&gt;"",IF(INDEX(Raw_D1!$G$2:$G$1001,$AP972),1,0),IF($AR972&lt;&gt;"",IF(INDEX(Raw_D3!$G$2:$G$1001,$AR972),1,0),"")))</f>
        <v>0</v>
      </c>
      <c r="H972" s="5">
        <f>IF($A972="","",IF($AP972&lt;&gt;"",INDEX(Raw_D1!$H$2:$H$1001,$AP972),IF($AR972&lt;&gt;"",INDEX(Raw_D3!$H$2:$H$1001,$AR972),"")))</f>
        <v>0</v>
      </c>
      <c r="I972" s="5">
        <f>IF($A972="","",IF($AP972&lt;&gt;"",INDEX(Raw_D1!$I$2:$I$1001,$AP972),IF($AR972&lt;&gt;"",INDEX(Raw_D3!$I$2:$I$1001,$AR972),"")))</f>
        <v>1</v>
      </c>
      <c r="J972" s="16">
        <f>IF($A972="","",IF($AP972&lt;&gt;"",INDEX(Raw_D1!$J$2:$J$1001,$AP972),IF($AR972&lt;&gt;"",INDEX(Raw_D3!$J$2:$J$1001,$AR972),"")))</f>
        <v>0.2</v>
      </c>
      <c r="K972" s="17">
        <f>IF($A972="","",IF($AQ972&lt;&gt;"",IF(INDEX(Raw_D2!$C$2:$C$1001,$AQ972)="","",INDEX(Raw_D2!$C$2:$C$1001,$AQ972)),IF($AR972&lt;&gt;"",IF(INDEX(Raw_D3!$K$2:$K$1001,$AR972)="","",INDEX(Raw_D3!$K$2:$K$1001,$AR972)),"")))</f>
        <v>0.2273</v>
      </c>
      <c r="L972" s="16">
        <f>IF($A972="","",IF($AQ972&lt;&gt;"",IF(INDEX(Raw_D2!$D$2:$D$1001,$AQ972)="","",INDEX(Raw_D2!$D$2:$D$1001,$AQ972)),IF($AR972&lt;&gt;"",IF(INDEX(Raw_D3!$L$2:$L$1001,$AR972)="","",INDEX(Raw_D3!$L$2:$L$1001,$AR972)),"")))</f>
        <v>0.59</v>
      </c>
      <c r="M972" s="17">
        <f>IF($A972="","",IF($AQ972&lt;&gt;"",IF(INDEX(Raw_D2!$E$2:$E$1001,$AQ972)="","",INDEX(Raw_D2!$E$2:$E$1001,$AQ972)),IF($AR972&lt;&gt;"",IF(INDEX(Raw_D3!$M$2:$M$1001,$AR972)="","",INDEX(Raw_D3!$M$2:$M$1001,$AR972)),"")))</f>
        <v>0.0896</v>
      </c>
      <c r="N972" s="5">
        <f>IF($A972="","",IF($AQ972&lt;&gt;"",IF(INDEX(Raw_D2!$F$2:$F$1001,$AQ972)="","",INDEX(Raw_D2!$F$2:$F$1001,$AQ972)),IF($AR972&lt;&gt;"",IF(INDEX(Raw_D3!$N$2:$N$1001,$AR972)="","",INDEX(Raw_D3!$N$2:$N$1001,$AR972)),"")))</f>
        <v>1</v>
      </c>
      <c r="O972" s="5">
        <f>IF($A972="","",IF($AQ972&lt;&gt;"",IF(INDEX(Raw_D2!$G$2:$G$1001,$AQ972)="","",INDEX(Raw_D2!$G$2:$G$1001,$AQ972)),IF($AR972&lt;&gt;"",IF(INDEX(Raw_D3!$O$2:$O$1001,$AR972)="","",INDEX(Raw_D3!$O$2:$O$1001,$AR972)),"")))</f>
        <v>23</v>
      </c>
      <c r="P972" s="5">
        <f>IF($A972="","",IF($AQ972&lt;&gt;"",IF(INDEX(Raw_D2!$H$2:$H$1001,$AQ972)="","",INDEX(Raw_D2!$H$2:$H$1001,$AQ972)),IF($AR972&lt;&gt;"",IF(INDEX(Raw_D3!$P$2:$P$1001,$AR972)="","",INDEX(Raw_D3!$P$2:$P$1001,$AR972)),"")))</f>
        <v>24</v>
      </c>
      <c r="Q972" s="5" t="str">
        <f>IF($A972="","",IF(AND($AP972&lt;&gt;"",$AQ972&lt;&gt;""),"D1+D2",IF($AR972&lt;&gt;"","D3","Incomplete")))</f>
        <v>D3</v>
      </c>
      <c r="R972" s="17">
        <f>IF($A972="","",IF($K972="",IF($J972="","",ROUND(Lookups!$K$5+Lookups!$K$4*$J972,4)),$K972))</f>
        <v>0.2273</v>
      </c>
      <c r="S972" s="5" t="str">
        <f>IF($A972="","",IF($K972="","Imputed","Original"))</f>
        <v>Original</v>
      </c>
      <c r="T972" s="5" t="str">
        <f>IF($A972="","",IF($P972="","Missing",IF($P972=$N972+$O972,"OK","Mismatch")))</f>
        <v>OK</v>
      </c>
      <c r="U972" s="5" t="str">
        <f>IF($A972="","",IF(COUNTIF($A$2:$A972,$A972)&gt;1,"Duplicate","Unique"))</f>
        <v>Unique</v>
      </c>
      <c r="V972" s="5">
        <f>IF($A972="","",IF(AND($U972="Unique",ISNUMBER($P972)),1,0))</f>
        <v>1</v>
      </c>
      <c r="W972" s="5" t="str">
        <f>IF($A972="","",IF(OR($H972=0,$H972=6),"Weekend","Weekday"))</f>
        <v>Weekend</v>
      </c>
      <c r="X972" s="5" t="str">
        <f>IF($A972="","",TEXT($B972,"ddd"))</f>
        <v>Sun</v>
      </c>
      <c r="Y972" s="5" t="str">
        <f>IF($A972="","",TEXT($B972,"mmm"))</f>
        <v>Feb</v>
      </c>
      <c r="Z972" s="5" t="str">
        <f>IF($A972="","",IFERROR(VLOOKUP($C972,Lookups!$D$4:$E$7,2,FALSE),"Unknown"))</f>
        <v>Winter</v>
      </c>
      <c r="AA972" s="5" t="str">
        <f>IF($A972="","",IFERROR(VLOOKUP($I972,Lookups!$A$4:$B$7,2,FALSE),"Unknown"))</f>
        <v>Clear</v>
      </c>
      <c r="AB972" s="5" t="str">
        <f>IF($A972="","",TEXT($F972,"00")&amp;":00")</f>
        <v>01:00</v>
      </c>
      <c r="AC972" s="5" t="str">
        <f>IF($A972="","",VLOOKUP($F972,Lookups!$G$4:$H$8,2,TRUE))</f>
        <v>Night (00-05)</v>
      </c>
      <c r="AD972" s="18">
        <f>IF($A972="","",IF($J972="","",ROUND($J972*41,1)))</f>
        <v>8.2</v>
      </c>
      <c r="AE972" s="18">
        <f>IF($A972="","",IF($R972="","",ROUND($R972*50,1)))</f>
        <v>11.4</v>
      </c>
      <c r="AF972" s="5">
        <f>IF($A972="","",IF($L972="","",ROUND($L972*100,0)))</f>
        <v>59</v>
      </c>
      <c r="AG972" s="18">
        <f>IF($A972="","",IF($M972="","",ROUND($M972*67,1)))</f>
        <v>6</v>
      </c>
      <c r="AH972" s="19">
        <f>IF($A972="","",IF($P972="","",IF($P972=0,0,$O972/$P972)))</f>
        <v>0.958333333333333</v>
      </c>
      <c r="AI972" s="5" t="str">
        <f>IF($A972="","",IF($P972="","",IF($P972&gt;=Lookups!$K$7,"High",IF($P972&lt;=Lookups!$K$8,"Low","Medium"))))</f>
        <v>Medium</v>
      </c>
      <c r="AJ972" s="5" t="str">
        <f>IF($A972="","",IF($AD972="","",IF($AD972&lt;5,"Under 5 C",IF($AD972&lt;10,"5-10 C",IF($AD972&lt;15,"10-15 C","15 C and above")))))</f>
        <v>5-10 C</v>
      </c>
      <c r="AK972" s="5">
        <f>IF($A972="","",IF($P972="","",$P972^2))</f>
        <v>576</v>
      </c>
      <c r="AL972" s="18">
        <f>IF($V972&lt;&gt;1,"",AVERAGEIFS(Clean_Data!$P$2:$P$1001,Clean_Data!$F$2:$F$1001,$F972,Clean_Data!$W$2:$W$1001,$W972,Clean_Data!$V$2:$V$1001,1))</f>
        <v>22.2857142857143</v>
      </c>
      <c r="AM972" s="16">
        <f>IF($V972&lt;&gt;1,"",IFERROR(($P972-$AL972)/SQRT(MAX(0,(SUMIFS(Clean_Data!$AK$2:$AK$1001,Clean_Data!$F$2:$F$1001,$F972,Clean_Data!$W$2:$W$1001,$W972,Clean_Data!$V$2:$V$1001,1)-COUNTIFS(Clean_Data!$F$2:$F$1001,$F972,Clean_Data!$W$2:$W$1001,$W972,Clean_Data!$V$2:$V$1001,1)*$AL972^2)/(COUNTIFS(Clean_Data!$F$2:$F$1001,$F972,Clean_Data!$W$2:$W$1001,$W972,Clean_Data!$V$2:$V$1001,1)-1))),""))</f>
        <v>0.17617774911641</v>
      </c>
      <c r="AN972" s="5" t="str">
        <f>IF($AM972="","",IF($AM972&gt;=Lookups!$K$6,"High spike",IF($AM972&lt;=-Lookups!$K$6,"Unusual low","Normal")))</f>
        <v>Normal</v>
      </c>
      <c r="AO972" s="20">
        <f>IF($V972&lt;&gt;1,"",$P972+ROW()/100000)</f>
        <v>24.00972</v>
      </c>
      <c r="AP972" s="5">
        <f>IF($A972="","",IFERROR(MATCH($A972,Raw_D1!$A$2:$A$1001,0),""))</f>
        <v/>
      </c>
      <c r="AQ972" s="5">
        <f>IF($A972="","",IFERROR(MATCH($A972,Raw_D2!$B$2:$B$1001,0),""))</f>
        <v/>
      </c>
      <c r="AR972" s="5">
        <f>IF($A972="","",IFERROR(MATCH($A972,Raw_D3!$A$2:$A$1001,0),""))</f>
        <v>352</v>
      </c>
    </row>
    <row r="973" spans="1:44" x14ac:dyDescent="0.25">
      <c r="A973" s="5">
        <v>972</v>
      </c>
      <c r="B973" s="11">
        <f>IF($A973="","",IF($AP973&lt;&gt;"",INDEX(Raw_D1!$B$2:$B$1001,$AP973),IF($AR973&lt;&gt;"",INDEX(Raw_D3!$B$2:$B$1001,$AR973),"")))</f>
        <v>40587.0</v>
      </c>
      <c r="C973" s="5">
        <f>IF($A973="","",IF($AP973&lt;&gt;"",INDEX(Raw_D1!$C$2:$C$1001,$AP973),IF($AR973&lt;&gt;"",INDEX(Raw_D3!$C$2:$C$1001,$AR973),"")))</f>
        <v>1</v>
      </c>
      <c r="D973" s="5">
        <f>IF($A973="","",IF($AP973&lt;&gt;"",INDEX(Raw_D1!$D$2:$D$1001,$AP973),IF($AR973&lt;&gt;"",INDEX(Raw_D3!$D$2:$D$1001,$AR973),"")))</f>
        <v>0</v>
      </c>
      <c r="E973" s="5">
        <f>IF($A973="","",IF($AP973&lt;&gt;"",INDEX(Raw_D1!$E$2:$E$1001,$AP973),IF($AR973&lt;&gt;"",INDEX(Raw_D3!$E$2:$E$1001,$AR973),"")))</f>
        <v>2</v>
      </c>
      <c r="F973" s="5">
        <f>IF($A973="","",IF($AP973&lt;&gt;"",INDEX(Raw_D1!$F$2:$F$1001,$AP973),IF($AR973&lt;&gt;"",INDEX(Raw_D3!$F$2:$F$1001,$AR973),"")))</f>
        <v>2</v>
      </c>
      <c r="G973" s="5">
        <f>IF($A973="","",IF($AP973&lt;&gt;"",IF(INDEX(Raw_D1!$G$2:$G$1001,$AP973),1,0),IF($AR973&lt;&gt;"",IF(INDEX(Raw_D3!$G$2:$G$1001,$AR973),1,0),"")))</f>
        <v>0</v>
      </c>
      <c r="H973" s="5">
        <f>IF($A973="","",IF($AP973&lt;&gt;"",INDEX(Raw_D1!$H$2:$H$1001,$AP973),IF($AR973&lt;&gt;"",INDEX(Raw_D3!$H$2:$H$1001,$AR973),"")))</f>
        <v>0</v>
      </c>
      <c r="I973" s="5">
        <f>IF($A973="","",IF($AP973&lt;&gt;"",INDEX(Raw_D1!$I$2:$I$1001,$AP973),IF($AR973&lt;&gt;"",INDEX(Raw_D3!$I$2:$I$1001,$AR973),"")))</f>
        <v>2</v>
      </c>
      <c r="J973" s="16">
        <f>IF($A973="","",IF($AP973&lt;&gt;"",INDEX(Raw_D1!$J$2:$J$1001,$AP973),IF($AR973&lt;&gt;"",INDEX(Raw_D3!$J$2:$J$1001,$AR973),"")))</f>
        <v>0.2</v>
      </c>
      <c r="K973" s="17">
        <f>IF($A973="","",IF($AQ973&lt;&gt;"",IF(INDEX(Raw_D2!$C$2:$C$1001,$AQ973)="","",INDEX(Raw_D2!$C$2:$C$1001,$AQ973)),IF($AR973&lt;&gt;"",IF(INDEX(Raw_D3!$K$2:$K$1001,$AR973)="","",INDEX(Raw_D3!$K$2:$K$1001,$AR973)),"")))</f>
        <v>0.2273</v>
      </c>
      <c r="L973" s="16">
        <f>IF($A973="","",IF($AQ973&lt;&gt;"",IF(INDEX(Raw_D2!$D$2:$D$1001,$AQ973)="","",INDEX(Raw_D2!$D$2:$D$1001,$AQ973)),IF($AR973&lt;&gt;"",IF(INDEX(Raw_D3!$L$2:$L$1001,$AR973)="","",INDEX(Raw_D3!$L$2:$L$1001,$AR973)),"")))</f>
        <v>0.75</v>
      </c>
      <c r="M973" s="17">
        <f>IF($A973="","",IF($AQ973&lt;&gt;"",IF(INDEX(Raw_D2!$E$2:$E$1001,$AQ973)="","",INDEX(Raw_D2!$E$2:$E$1001,$AQ973)),IF($AR973&lt;&gt;"",IF(INDEX(Raw_D3!$M$2:$M$1001,$AR973)="","",INDEX(Raw_D3!$M$2:$M$1001,$AR973)),"")))</f>
        <v>0.0896</v>
      </c>
      <c r="N973" s="5">
        <f>IF($A973="","",IF($AQ973&lt;&gt;"",IF(INDEX(Raw_D2!$F$2:$F$1001,$AQ973)="","",INDEX(Raw_D2!$F$2:$F$1001,$AQ973)),IF($AR973&lt;&gt;"",IF(INDEX(Raw_D3!$N$2:$N$1001,$AR973)="","",INDEX(Raw_D3!$N$2:$N$1001,$AR973)),"")))</f>
        <v>1</v>
      </c>
      <c r="O973" s="5">
        <f>IF($A973="","",IF($AQ973&lt;&gt;"",IF(INDEX(Raw_D2!$G$2:$G$1001,$AQ973)="","",INDEX(Raw_D2!$G$2:$G$1001,$AQ973)),IF($AR973&lt;&gt;"",IF(INDEX(Raw_D3!$O$2:$O$1001,$AR973)="","",INDEX(Raw_D3!$O$2:$O$1001,$AR973)),"")))</f>
        <v>19</v>
      </c>
      <c r="P973" s="5">
        <f>IF($A973="","",IF($AQ973&lt;&gt;"",IF(INDEX(Raw_D2!$H$2:$H$1001,$AQ973)="","",INDEX(Raw_D2!$H$2:$H$1001,$AQ973)),IF($AR973&lt;&gt;"",IF(INDEX(Raw_D3!$P$2:$P$1001,$AR973)="","",INDEX(Raw_D3!$P$2:$P$1001,$AR973)),"")))</f>
        <v>20</v>
      </c>
      <c r="Q973" s="5" t="str">
        <f>IF($A973="","",IF(AND($AP973&lt;&gt;"",$AQ973&lt;&gt;""),"D1+D2",IF($AR973&lt;&gt;"","D3","Incomplete")))</f>
        <v>D3</v>
      </c>
      <c r="R973" s="17">
        <f>IF($A973="","",IF($K973="",IF($J973="","",ROUND(Lookups!$K$5+Lookups!$K$4*$J973,4)),$K973))</f>
        <v>0.2273</v>
      </c>
      <c r="S973" s="5" t="str">
        <f>IF($A973="","",IF($K973="","Imputed","Original"))</f>
        <v>Original</v>
      </c>
      <c r="T973" s="5" t="str">
        <f>IF($A973="","",IF($P973="","Missing",IF($P973=$N973+$O973,"OK","Mismatch")))</f>
        <v>OK</v>
      </c>
      <c r="U973" s="5" t="str">
        <f>IF($A973="","",IF(COUNTIF($A$2:$A973,$A973)&gt;1,"Duplicate","Unique"))</f>
        <v>Unique</v>
      </c>
      <c r="V973" s="5">
        <f>IF($A973="","",IF(AND($U973="Unique",ISNUMBER($P973)),1,0))</f>
        <v>1</v>
      </c>
      <c r="W973" s="5" t="str">
        <f>IF($A973="","",IF(OR($H973=0,$H973=6),"Weekend","Weekday"))</f>
        <v>Weekend</v>
      </c>
      <c r="X973" s="5" t="str">
        <f>IF($A973="","",TEXT($B973,"ddd"))</f>
        <v>Sun</v>
      </c>
      <c r="Y973" s="5" t="str">
        <f>IF($A973="","",TEXT($B973,"mmm"))</f>
        <v>Feb</v>
      </c>
      <c r="Z973" s="5" t="str">
        <f>IF($A973="","",IFERROR(VLOOKUP($C973,Lookups!$D$4:$E$7,2,FALSE),"Unknown"))</f>
        <v>Winter</v>
      </c>
      <c r="AA973" s="5" t="str">
        <f>IF($A973="","",IFERROR(VLOOKUP($I973,Lookups!$A$4:$B$7,2,FALSE),"Unknown"))</f>
        <v>Mist/Cloudy</v>
      </c>
      <c r="AB973" s="5" t="str">
        <f>IF($A973="","",TEXT($F973,"00")&amp;":00")</f>
        <v>02:00</v>
      </c>
      <c r="AC973" s="5" t="str">
        <f>IF($A973="","",VLOOKUP($F973,Lookups!$G$4:$H$8,2,TRUE))</f>
        <v>Night (00-05)</v>
      </c>
      <c r="AD973" s="18">
        <f>IF($A973="","",IF($J973="","",ROUND($J973*41,1)))</f>
        <v>8.2</v>
      </c>
      <c r="AE973" s="18">
        <f>IF($A973="","",IF($R973="","",ROUND($R973*50,1)))</f>
        <v>11.4</v>
      </c>
      <c r="AF973" s="5">
        <f>IF($A973="","",IF($L973="","",ROUND($L973*100,0)))</f>
        <v>75</v>
      </c>
      <c r="AG973" s="18">
        <f>IF($A973="","",IF($M973="","",ROUND($M973*67,1)))</f>
        <v>6</v>
      </c>
      <c r="AH973" s="19">
        <f>IF($A973="","",IF($P973="","",IF($P973=0,0,$O973/$P973)))</f>
        <v>0.95</v>
      </c>
      <c r="AI973" s="5" t="str">
        <f>IF($A973="","",IF($P973="","",IF($P973&gt;=Lookups!$K$7,"High",IF($P973&lt;=Lookups!$K$8,"Low","Medium"))))</f>
        <v>Medium</v>
      </c>
      <c r="AJ973" s="5" t="str">
        <f>IF($A973="","",IF($AD973="","",IF($AD973&lt;5,"Under 5 C",IF($AD973&lt;10,"5-10 C",IF($AD973&lt;15,"10-15 C","15 C and above")))))</f>
        <v>5-10 C</v>
      </c>
      <c r="AK973" s="5">
        <f>IF($A973="","",IF($P973="","",$P973^2))</f>
        <v>400</v>
      </c>
      <c r="AL973" s="18">
        <f>IF($V973&lt;&gt;1,"",AVERAGEIFS(Clean_Data!$P$2:$P$1001,Clean_Data!$F$2:$F$1001,$F973,Clean_Data!$W$2:$W$1001,$W973,Clean_Data!$V$2:$V$1001,1))</f>
        <v>15.9285714285714</v>
      </c>
      <c r="AM973" s="16">
        <f>IF($V973&lt;&gt;1,"",IFERROR(($P973-$AL973)/SQRT(MAX(0,(SUMIFS(Clean_Data!$AK$2:$AK$1001,Clean_Data!$F$2:$F$1001,$F973,Clean_Data!$W$2:$W$1001,$W973,Clean_Data!$V$2:$V$1001,1)-COUNTIFS(Clean_Data!$F$2:$F$1001,$F973,Clean_Data!$W$2:$W$1001,$W973,Clean_Data!$V$2:$V$1001,1)*$AL973^2)/(COUNTIFS(Clean_Data!$F$2:$F$1001,$F973,Clean_Data!$W$2:$W$1001,$W973,Clean_Data!$V$2:$V$1001,1)-1))),""))</f>
        <v>0.703897668913331</v>
      </c>
      <c r="AN973" s="5" t="str">
        <f>IF($AM973="","",IF($AM973&gt;=Lookups!$K$6,"High spike",IF($AM973&lt;=-Lookups!$K$6,"Unusual low","Normal")))</f>
        <v>Normal</v>
      </c>
      <c r="AO973" s="20">
        <f>IF($V973&lt;&gt;1,"",$P973+ROW()/100000)</f>
        <v>20.00973</v>
      </c>
      <c r="AP973" s="5">
        <f>IF($A973="","",IFERROR(MATCH($A973,Raw_D1!$A$2:$A$1001,0),""))</f>
        <v/>
      </c>
      <c r="AQ973" s="5">
        <f>IF($A973="","",IFERROR(MATCH($A973,Raw_D2!$B$2:$B$1001,0),""))</f>
        <v/>
      </c>
      <c r="AR973" s="5">
        <f>IF($A973="","",IFERROR(MATCH($A973,Raw_D3!$A$2:$A$1001,0),""))</f>
        <v>353</v>
      </c>
    </row>
    <row r="974" spans="1:44" x14ac:dyDescent="0.25">
      <c r="A974" s="5">
        <v>973</v>
      </c>
      <c r="B974" s="11">
        <f>IF($A974="","",IF($AP974&lt;&gt;"",INDEX(Raw_D1!$B$2:$B$1001,$AP974),IF($AR974&lt;&gt;"",INDEX(Raw_D3!$B$2:$B$1001,$AR974),"")))</f>
        <v>40587.0</v>
      </c>
      <c r="C974" s="5">
        <f>IF($A974="","",IF($AP974&lt;&gt;"",INDEX(Raw_D1!$C$2:$C$1001,$AP974),IF($AR974&lt;&gt;"",INDEX(Raw_D3!$C$2:$C$1001,$AR974),"")))</f>
        <v>1</v>
      </c>
      <c r="D974" s="5">
        <f>IF($A974="","",IF($AP974&lt;&gt;"",INDEX(Raw_D1!$D$2:$D$1001,$AP974),IF($AR974&lt;&gt;"",INDEX(Raw_D3!$D$2:$D$1001,$AR974),"")))</f>
        <v>0</v>
      </c>
      <c r="E974" s="5">
        <f>IF($A974="","",IF($AP974&lt;&gt;"",INDEX(Raw_D1!$E$2:$E$1001,$AP974),IF($AR974&lt;&gt;"",INDEX(Raw_D3!$E$2:$E$1001,$AR974),"")))</f>
        <v>2</v>
      </c>
      <c r="F974" s="5">
        <f>IF($A974="","",IF($AP974&lt;&gt;"",INDEX(Raw_D1!$F$2:$F$1001,$AP974),IF($AR974&lt;&gt;"",INDEX(Raw_D3!$F$2:$F$1001,$AR974),"")))</f>
        <v>3</v>
      </c>
      <c r="G974" s="5">
        <f>IF($A974="","",IF($AP974&lt;&gt;"",IF(INDEX(Raw_D1!$G$2:$G$1001,$AP974),1,0),IF($AR974&lt;&gt;"",IF(INDEX(Raw_D3!$G$2:$G$1001,$AR974),1,0),"")))</f>
        <v>0</v>
      </c>
      <c r="H974" s="5">
        <f>IF($A974="","",IF($AP974&lt;&gt;"",INDEX(Raw_D1!$H$2:$H$1001,$AP974),IF($AR974&lt;&gt;"",INDEX(Raw_D3!$H$2:$H$1001,$AR974),"")))</f>
        <v>0</v>
      </c>
      <c r="I974" s="5">
        <f>IF($A974="","",IF($AP974&lt;&gt;"",INDEX(Raw_D1!$I$2:$I$1001,$AP974),IF($AR974&lt;&gt;"",INDEX(Raw_D3!$I$2:$I$1001,$AR974),"")))</f>
        <v>2</v>
      </c>
      <c r="J974" s="16">
        <f>IF($A974="","",IF($AP974&lt;&gt;"",INDEX(Raw_D1!$J$2:$J$1001,$AP974),IF($AR974&lt;&gt;"",INDEX(Raw_D3!$J$2:$J$1001,$AR974),"")))</f>
        <v>0.2</v>
      </c>
      <c r="K974" s="17">
        <f>IF($A974="","",IF($AQ974&lt;&gt;"",IF(INDEX(Raw_D2!$C$2:$C$1001,$AQ974)="","",INDEX(Raw_D2!$C$2:$C$1001,$AQ974)),IF($AR974&lt;&gt;"",IF(INDEX(Raw_D3!$K$2:$K$1001,$AR974)="","",INDEX(Raw_D3!$K$2:$K$1001,$AR974)),"")))</f>
        <v>0.2273</v>
      </c>
      <c r="L974" s="16">
        <f>IF($A974="","",IF($AQ974&lt;&gt;"",IF(INDEX(Raw_D2!$D$2:$D$1001,$AQ974)="","",INDEX(Raw_D2!$D$2:$D$1001,$AQ974)),IF($AR974&lt;&gt;"",IF(INDEX(Raw_D3!$L$2:$L$1001,$AR974)="","",INDEX(Raw_D3!$L$2:$L$1001,$AR974)),"")))</f>
        <v>0.69</v>
      </c>
      <c r="M974" s="17">
        <f>IF($A974="","",IF($AQ974&lt;&gt;"",IF(INDEX(Raw_D2!$E$2:$E$1001,$AQ974)="","",INDEX(Raw_D2!$E$2:$E$1001,$AQ974)),IF($AR974&lt;&gt;"",IF(INDEX(Raw_D3!$M$2:$M$1001,$AR974)="","",INDEX(Raw_D3!$M$2:$M$1001,$AR974)),"")))</f>
        <v>0.1045</v>
      </c>
      <c r="N974" s="5">
        <f>IF($A974="","",IF($AQ974&lt;&gt;"",IF(INDEX(Raw_D2!$F$2:$F$1001,$AQ974)="","",INDEX(Raw_D2!$F$2:$F$1001,$AQ974)),IF($AR974&lt;&gt;"",IF(INDEX(Raw_D3!$N$2:$N$1001,$AR974)="","",INDEX(Raw_D3!$N$2:$N$1001,$AR974)),"")))</f>
        <v>4</v>
      </c>
      <c r="O974" s="5">
        <f>IF($A974="","",IF($AQ974&lt;&gt;"",IF(INDEX(Raw_D2!$G$2:$G$1001,$AQ974)="","",INDEX(Raw_D2!$G$2:$G$1001,$AQ974)),IF($AR974&lt;&gt;"",IF(INDEX(Raw_D3!$O$2:$O$1001,$AR974)="","",INDEX(Raw_D3!$O$2:$O$1001,$AR974)),"")))</f>
        <v>8</v>
      </c>
      <c r="P974" s="5">
        <f>IF($A974="","",IF($AQ974&lt;&gt;"",IF(INDEX(Raw_D2!$H$2:$H$1001,$AQ974)="","",INDEX(Raw_D2!$H$2:$H$1001,$AQ974)),IF($AR974&lt;&gt;"",IF(INDEX(Raw_D3!$P$2:$P$1001,$AR974)="","",INDEX(Raw_D3!$P$2:$P$1001,$AR974)),"")))</f>
        <v>12</v>
      </c>
      <c r="Q974" s="5" t="str">
        <f>IF($A974="","",IF(AND($AP974&lt;&gt;"",$AQ974&lt;&gt;""),"D1+D2",IF($AR974&lt;&gt;"","D3","Incomplete")))</f>
        <v>D3</v>
      </c>
      <c r="R974" s="17">
        <f>IF($A974="","",IF($K974="",IF($J974="","",ROUND(Lookups!$K$5+Lookups!$K$4*$J974,4)),$K974))</f>
        <v>0.2273</v>
      </c>
      <c r="S974" s="5" t="str">
        <f>IF($A974="","",IF($K974="","Imputed","Original"))</f>
        <v>Original</v>
      </c>
      <c r="T974" s="5" t="str">
        <f>IF($A974="","",IF($P974="","Missing",IF($P974=$N974+$O974,"OK","Mismatch")))</f>
        <v>OK</v>
      </c>
      <c r="U974" s="5" t="str">
        <f>IF($A974="","",IF(COUNTIF($A$2:$A974,$A974)&gt;1,"Duplicate","Unique"))</f>
        <v>Unique</v>
      </c>
      <c r="V974" s="5">
        <f>IF($A974="","",IF(AND($U974="Unique",ISNUMBER($P974)),1,0))</f>
        <v>1</v>
      </c>
      <c r="W974" s="5" t="str">
        <f>IF($A974="","",IF(OR($H974=0,$H974=6),"Weekend","Weekday"))</f>
        <v>Weekend</v>
      </c>
      <c r="X974" s="5" t="str">
        <f>IF($A974="","",TEXT($B974,"ddd"))</f>
        <v>Sun</v>
      </c>
      <c r="Y974" s="5" t="str">
        <f>IF($A974="","",TEXT($B974,"mmm"))</f>
        <v>Feb</v>
      </c>
      <c r="Z974" s="5" t="str">
        <f>IF($A974="","",IFERROR(VLOOKUP($C974,Lookups!$D$4:$E$7,2,FALSE),"Unknown"))</f>
        <v>Winter</v>
      </c>
      <c r="AA974" s="5" t="str">
        <f>IF($A974="","",IFERROR(VLOOKUP($I974,Lookups!$A$4:$B$7,2,FALSE),"Unknown"))</f>
        <v>Mist/Cloudy</v>
      </c>
      <c r="AB974" s="5" t="str">
        <f>IF($A974="","",TEXT($F974,"00")&amp;":00")</f>
        <v>03:00</v>
      </c>
      <c r="AC974" s="5" t="str">
        <f>IF($A974="","",VLOOKUP($F974,Lookups!$G$4:$H$8,2,TRUE))</f>
        <v>Night (00-05)</v>
      </c>
      <c r="AD974" s="18">
        <f>IF($A974="","",IF($J974="","",ROUND($J974*41,1)))</f>
        <v>8.2</v>
      </c>
      <c r="AE974" s="18">
        <f>IF($A974="","",IF($R974="","",ROUND($R974*50,1)))</f>
        <v>11.4</v>
      </c>
      <c r="AF974" s="5">
        <f>IF($A974="","",IF($L974="","",ROUND($L974*100,0)))</f>
        <v>69</v>
      </c>
      <c r="AG974" s="18">
        <f>IF($A974="","",IF($M974="","",ROUND($M974*67,1)))</f>
        <v>7</v>
      </c>
      <c r="AH974" s="19">
        <f>IF($A974="","",IF($P974="","",IF($P974=0,0,$O974/$P974)))</f>
        <v>0.666666666666667</v>
      </c>
      <c r="AI974" s="5" t="str">
        <f>IF($A974="","",IF($P974="","",IF($P974&gt;=Lookups!$K$7,"High",IF($P974&lt;=Lookups!$K$8,"Low","Medium"))))</f>
        <v>Low</v>
      </c>
      <c r="AJ974" s="5" t="str">
        <f>IF($A974="","",IF($AD974="","",IF($AD974&lt;5,"Under 5 C",IF($AD974&lt;10,"5-10 C",IF($AD974&lt;15,"10-15 C","15 C and above")))))</f>
        <v>5-10 C</v>
      </c>
      <c r="AK974" s="5">
        <f>IF($A974="","",IF($P974="","",$P974^2))</f>
        <v>144</v>
      </c>
      <c r="AL974" s="18">
        <f>IF($V974&lt;&gt;1,"",AVERAGEIFS(Clean_Data!$P$2:$P$1001,Clean_Data!$F$2:$F$1001,$F974,Clean_Data!$W$2:$W$1001,$W974,Clean_Data!$V$2:$V$1001,1))</f>
        <v>9.07142857142857</v>
      </c>
      <c r="AM974" s="16">
        <f>IF($V974&lt;&gt;1,"",IFERROR(($P974-$AL974)/SQRT(MAX(0,(SUMIFS(Clean_Data!$AK$2:$AK$1001,Clean_Data!$F$2:$F$1001,$F974,Clean_Data!$W$2:$W$1001,$W974,Clean_Data!$V$2:$V$1001,1)-COUNTIFS(Clean_Data!$F$2:$F$1001,$F974,Clean_Data!$W$2:$W$1001,$W974,Clean_Data!$V$2:$V$1001,1)*$AL974^2)/(COUNTIFS(Clean_Data!$F$2:$F$1001,$F974,Clean_Data!$W$2:$W$1001,$W974,Clean_Data!$V$2:$V$1001,1)-1))),""))</f>
        <v>0.883218120619131</v>
      </c>
      <c r="AN974" s="5" t="str">
        <f>IF($AM974="","",IF($AM974&gt;=Lookups!$K$6,"High spike",IF($AM974&lt;=-Lookups!$K$6,"Unusual low","Normal")))</f>
        <v>Normal</v>
      </c>
      <c r="AO974" s="20">
        <f>IF($V974&lt;&gt;1,"",$P974+ROW()/100000)</f>
        <v>12.00974</v>
      </c>
      <c r="AP974" s="5">
        <f>IF($A974="","",IFERROR(MATCH($A974,Raw_D1!$A$2:$A$1001,0),""))</f>
        <v/>
      </c>
      <c r="AQ974" s="5">
        <f>IF($A974="","",IFERROR(MATCH($A974,Raw_D2!$B$2:$B$1001,0),""))</f>
        <v/>
      </c>
      <c r="AR974" s="5">
        <f>IF($A974="","",IFERROR(MATCH($A974,Raw_D3!$A$2:$A$1001,0),""))</f>
        <v>354</v>
      </c>
    </row>
    <row r="975" spans="1:44" x14ac:dyDescent="0.25">
      <c r="A975" s="5">
        <v>974</v>
      </c>
      <c r="B975" s="11">
        <f>IF($A975="","",IF($AP975&lt;&gt;"",INDEX(Raw_D1!$B$2:$B$1001,$AP975),IF($AR975&lt;&gt;"",INDEX(Raw_D3!$B$2:$B$1001,$AR975),"")))</f>
        <v>40587.0</v>
      </c>
      <c r="C975" s="5">
        <f>IF($A975="","",IF($AP975&lt;&gt;"",INDEX(Raw_D1!$C$2:$C$1001,$AP975),IF($AR975&lt;&gt;"",INDEX(Raw_D3!$C$2:$C$1001,$AR975),"")))</f>
        <v>1</v>
      </c>
      <c r="D975" s="5">
        <f>IF($A975="","",IF($AP975&lt;&gt;"",INDEX(Raw_D1!$D$2:$D$1001,$AP975),IF($AR975&lt;&gt;"",INDEX(Raw_D3!$D$2:$D$1001,$AR975),"")))</f>
        <v>0</v>
      </c>
      <c r="E975" s="5">
        <f>IF($A975="","",IF($AP975&lt;&gt;"",INDEX(Raw_D1!$E$2:$E$1001,$AP975),IF($AR975&lt;&gt;"",INDEX(Raw_D3!$E$2:$E$1001,$AR975),"")))</f>
        <v>2</v>
      </c>
      <c r="F975" s="5">
        <f>IF($A975="","",IF($AP975&lt;&gt;"",INDEX(Raw_D1!$F$2:$F$1001,$AP975),IF($AR975&lt;&gt;"",INDEX(Raw_D3!$F$2:$F$1001,$AR975),"")))</f>
        <v>4</v>
      </c>
      <c r="G975" s="5">
        <f>IF($A975="","",IF($AP975&lt;&gt;"",IF(INDEX(Raw_D1!$G$2:$G$1001,$AP975),1,0),IF($AR975&lt;&gt;"",IF(INDEX(Raw_D3!$G$2:$G$1001,$AR975),1,0),"")))</f>
        <v>0</v>
      </c>
      <c r="H975" s="5">
        <f>IF($A975="","",IF($AP975&lt;&gt;"",INDEX(Raw_D1!$H$2:$H$1001,$AP975),IF($AR975&lt;&gt;"",INDEX(Raw_D3!$H$2:$H$1001,$AR975),"")))</f>
        <v>0</v>
      </c>
      <c r="I975" s="5">
        <f>IF($A975="","",IF($AP975&lt;&gt;"",INDEX(Raw_D1!$I$2:$I$1001,$AP975),IF($AR975&lt;&gt;"",INDEX(Raw_D3!$I$2:$I$1001,$AR975),"")))</f>
        <v>2</v>
      </c>
      <c r="J975" s="16">
        <f>IF($A975="","",IF($AP975&lt;&gt;"",INDEX(Raw_D1!$J$2:$J$1001,$AP975),IF($AR975&lt;&gt;"",INDEX(Raw_D3!$J$2:$J$1001,$AR975),"")))</f>
        <v>0.2</v>
      </c>
      <c r="K975" s="17">
        <f>IF($A975="","",IF($AQ975&lt;&gt;"",IF(INDEX(Raw_D2!$C$2:$C$1001,$AQ975)="","",INDEX(Raw_D2!$C$2:$C$1001,$AQ975)),IF($AR975&lt;&gt;"",IF(INDEX(Raw_D3!$K$2:$K$1001,$AR975)="","",INDEX(Raw_D3!$K$2:$K$1001,$AR975)),"")))</f>
        <v>0.2121</v>
      </c>
      <c r="L975" s="16">
        <f>IF($A975="","",IF($AQ975&lt;&gt;"",IF(INDEX(Raw_D2!$D$2:$D$1001,$AQ975)="","",INDEX(Raw_D2!$D$2:$D$1001,$AQ975)),IF($AR975&lt;&gt;"",IF(INDEX(Raw_D3!$L$2:$L$1001,$AR975)="","",INDEX(Raw_D3!$L$2:$L$1001,$AR975)),"")))</f>
        <v>0.69</v>
      </c>
      <c r="M975" s="17">
        <f>IF($A975="","",IF($AQ975&lt;&gt;"",IF(INDEX(Raw_D2!$E$2:$E$1001,$AQ975)="","",INDEX(Raw_D2!$E$2:$E$1001,$AQ975)),IF($AR975&lt;&gt;"",IF(INDEX(Raw_D3!$M$2:$M$1001,$AR975)="","",INDEX(Raw_D3!$M$2:$M$1001,$AR975)),"")))</f>
        <v>0.1642</v>
      </c>
      <c r="N975" s="5">
        <f>IF($A975="","",IF($AQ975&lt;&gt;"",IF(INDEX(Raw_D2!$F$2:$F$1001,$AQ975)="","",INDEX(Raw_D2!$F$2:$F$1001,$AQ975)),IF($AR975&lt;&gt;"",IF(INDEX(Raw_D3!$N$2:$N$1001,$AR975)="","",INDEX(Raw_D3!$N$2:$N$1001,$AR975)),"")))</f>
        <v>0</v>
      </c>
      <c r="O975" s="5">
        <f>IF($A975="","",IF($AQ975&lt;&gt;"",IF(INDEX(Raw_D2!$G$2:$G$1001,$AQ975)="","",INDEX(Raw_D2!$G$2:$G$1001,$AQ975)),IF($AR975&lt;&gt;"",IF(INDEX(Raw_D3!$O$2:$O$1001,$AR975)="","",INDEX(Raw_D3!$O$2:$O$1001,$AR975)),"")))</f>
        <v>2</v>
      </c>
      <c r="P975" s="5">
        <f>IF($A975="","",IF($AQ975&lt;&gt;"",IF(INDEX(Raw_D2!$H$2:$H$1001,$AQ975)="","",INDEX(Raw_D2!$H$2:$H$1001,$AQ975)),IF($AR975&lt;&gt;"",IF(INDEX(Raw_D3!$P$2:$P$1001,$AR975)="","",INDEX(Raw_D3!$P$2:$P$1001,$AR975)),"")))</f>
        <v>2</v>
      </c>
      <c r="Q975" s="5" t="str">
        <f>IF($A975="","",IF(AND($AP975&lt;&gt;"",$AQ975&lt;&gt;""),"D1+D2",IF($AR975&lt;&gt;"","D3","Incomplete")))</f>
        <v>D3</v>
      </c>
      <c r="R975" s="17">
        <f>IF($A975="","",IF($K975="",IF($J975="","",ROUND(Lookups!$K$5+Lookups!$K$4*$J975,4)),$K975))</f>
        <v>0.2121</v>
      </c>
      <c r="S975" s="5" t="str">
        <f>IF($A975="","",IF($K975="","Imputed","Original"))</f>
        <v>Original</v>
      </c>
      <c r="T975" s="5" t="str">
        <f>IF($A975="","",IF($P975="","Missing",IF($P975=$N975+$O975,"OK","Mismatch")))</f>
        <v>OK</v>
      </c>
      <c r="U975" s="5" t="str">
        <f>IF($A975="","",IF(COUNTIF($A$2:$A975,$A975)&gt;1,"Duplicate","Unique"))</f>
        <v>Unique</v>
      </c>
      <c r="V975" s="5">
        <f>IF($A975="","",IF(AND($U975="Unique",ISNUMBER($P975)),1,0))</f>
        <v>1</v>
      </c>
      <c r="W975" s="5" t="str">
        <f>IF($A975="","",IF(OR($H975=0,$H975=6),"Weekend","Weekday"))</f>
        <v>Weekend</v>
      </c>
      <c r="X975" s="5" t="str">
        <f>IF($A975="","",TEXT($B975,"ddd"))</f>
        <v>Sun</v>
      </c>
      <c r="Y975" s="5" t="str">
        <f>IF($A975="","",TEXT($B975,"mmm"))</f>
        <v>Feb</v>
      </c>
      <c r="Z975" s="5" t="str">
        <f>IF($A975="","",IFERROR(VLOOKUP($C975,Lookups!$D$4:$E$7,2,FALSE),"Unknown"))</f>
        <v>Winter</v>
      </c>
      <c r="AA975" s="5" t="str">
        <f>IF($A975="","",IFERROR(VLOOKUP($I975,Lookups!$A$4:$B$7,2,FALSE),"Unknown"))</f>
        <v>Mist/Cloudy</v>
      </c>
      <c r="AB975" s="5" t="str">
        <f>IF($A975="","",TEXT($F975,"00")&amp;":00")</f>
        <v>04:00</v>
      </c>
      <c r="AC975" s="5" t="str">
        <f>IF($A975="","",VLOOKUP($F975,Lookups!$G$4:$H$8,2,TRUE))</f>
        <v>Night (00-05)</v>
      </c>
      <c r="AD975" s="18">
        <f>IF($A975="","",IF($J975="","",ROUND($J975*41,1)))</f>
        <v>8.2</v>
      </c>
      <c r="AE975" s="18">
        <f>IF($A975="","",IF($R975="","",ROUND($R975*50,1)))</f>
        <v>10.6</v>
      </c>
      <c r="AF975" s="5">
        <f>IF($A975="","",IF($L975="","",ROUND($L975*100,0)))</f>
        <v>69</v>
      </c>
      <c r="AG975" s="18">
        <f>IF($A975="","",IF($M975="","",ROUND($M975*67,1)))</f>
        <v>11</v>
      </c>
      <c r="AH975" s="19">
        <f>IF($A975="","",IF($P975="","",IF($P975=0,0,$O975/$P975)))</f>
        <v>1</v>
      </c>
      <c r="AI975" s="5" t="str">
        <f>IF($A975="","",IF($P975="","",IF($P975&gt;=Lookups!$K$7,"High",IF($P975&lt;=Lookups!$K$8,"Low","Medium"))))</f>
        <v>Low</v>
      </c>
      <c r="AJ975" s="5" t="str">
        <f>IF($A975="","",IF($AD975="","",IF($AD975&lt;5,"Under 5 C",IF($AD975&lt;10,"5-10 C",IF($AD975&lt;15,"10-15 C","15 C and above")))))</f>
        <v>5-10 C</v>
      </c>
      <c r="AK975" s="5">
        <f>IF($A975="","",IF($P975="","",$P975^2))</f>
        <v>4</v>
      </c>
      <c r="AL975" s="18">
        <f>IF($V975&lt;&gt;1,"",AVERAGEIFS(Clean_Data!$P$2:$P$1001,Clean_Data!$F$2:$F$1001,$F975,Clean_Data!$W$2:$W$1001,$W975,Clean_Data!$V$2:$V$1001,1))</f>
        <v>2.69230769230769</v>
      </c>
      <c r="AM975" s="16">
        <f>IF($V975&lt;&gt;1,"",IFERROR(($P975-$AL975)/SQRT(MAX(0,(SUMIFS(Clean_Data!$AK$2:$AK$1001,Clean_Data!$F$2:$F$1001,$F975,Clean_Data!$W$2:$W$1001,$W975,Clean_Data!$V$2:$V$1001,1)-COUNTIFS(Clean_Data!$F$2:$F$1001,$F975,Clean_Data!$W$2:$W$1001,$W975,Clean_Data!$V$2:$V$1001,1)*$AL975^2)/(COUNTIFS(Clean_Data!$F$2:$F$1001,$F975,Clean_Data!$W$2:$W$1001,$W975,Clean_Data!$V$2:$V$1001,1)-1))),""))</f>
        <v>-0.336580916403045</v>
      </c>
      <c r="AN975" s="5" t="str">
        <f>IF($AM975="","",IF($AM975&gt;=Lookups!$K$6,"High spike",IF($AM975&lt;=-Lookups!$K$6,"Unusual low","Normal")))</f>
        <v>Normal</v>
      </c>
      <c r="AO975" s="20">
        <f>IF($V975&lt;&gt;1,"",$P975+ROW()/100000)</f>
        <v>2.00975</v>
      </c>
      <c r="AP975" s="5">
        <f>IF($A975="","",IFERROR(MATCH($A975,Raw_D1!$A$2:$A$1001,0),""))</f>
        <v/>
      </c>
      <c r="AQ975" s="5">
        <f>IF($A975="","",IFERROR(MATCH($A975,Raw_D2!$B$2:$B$1001,0),""))</f>
        <v/>
      </c>
      <c r="AR975" s="5">
        <f>IF($A975="","",IFERROR(MATCH($A975,Raw_D3!$A$2:$A$1001,0),""))</f>
        <v>355</v>
      </c>
    </row>
    <row r="976" spans="1:44" x14ac:dyDescent="0.25">
      <c r="A976" s="5">
        <v>975</v>
      </c>
      <c r="B976" s="11">
        <f>IF($A976="","",IF($AP976&lt;&gt;"",INDEX(Raw_D1!$B$2:$B$1001,$AP976),IF($AR976&lt;&gt;"",INDEX(Raw_D3!$B$2:$B$1001,$AR976),"")))</f>
        <v>40587.0</v>
      </c>
      <c r="C976" s="5">
        <f>IF($A976="","",IF($AP976&lt;&gt;"",INDEX(Raw_D1!$C$2:$C$1001,$AP976),IF($AR976&lt;&gt;"",INDEX(Raw_D3!$C$2:$C$1001,$AR976),"")))</f>
        <v>1</v>
      </c>
      <c r="D976" s="5">
        <f>IF($A976="","",IF($AP976&lt;&gt;"",INDEX(Raw_D1!$D$2:$D$1001,$AP976),IF($AR976&lt;&gt;"",INDEX(Raw_D3!$D$2:$D$1001,$AR976),"")))</f>
        <v>0</v>
      </c>
      <c r="E976" s="5">
        <f>IF($A976="","",IF($AP976&lt;&gt;"",INDEX(Raw_D1!$E$2:$E$1001,$AP976),IF($AR976&lt;&gt;"",INDEX(Raw_D3!$E$2:$E$1001,$AR976),"")))</f>
        <v>2</v>
      </c>
      <c r="F976" s="5">
        <f>IF($A976="","",IF($AP976&lt;&gt;"",INDEX(Raw_D1!$F$2:$F$1001,$AP976),IF($AR976&lt;&gt;"",INDEX(Raw_D3!$F$2:$F$1001,$AR976),"")))</f>
        <v>6</v>
      </c>
      <c r="G976" s="5">
        <f>IF($A976="","",IF($AP976&lt;&gt;"",IF(INDEX(Raw_D1!$G$2:$G$1001,$AP976),1,0),IF($AR976&lt;&gt;"",IF(INDEX(Raw_D3!$G$2:$G$1001,$AR976),1,0),"")))</f>
        <v>0</v>
      </c>
      <c r="H976" s="5">
        <f>IF($A976="","",IF($AP976&lt;&gt;"",INDEX(Raw_D1!$H$2:$H$1001,$AP976),IF($AR976&lt;&gt;"",INDEX(Raw_D3!$H$2:$H$1001,$AR976),"")))</f>
        <v>0</v>
      </c>
      <c r="I976" s="5">
        <f>IF($A976="","",IF($AP976&lt;&gt;"",INDEX(Raw_D1!$I$2:$I$1001,$AP976),IF($AR976&lt;&gt;"",INDEX(Raw_D3!$I$2:$I$1001,$AR976),"")))</f>
        <v>2</v>
      </c>
      <c r="J976" s="16">
        <f>IF($A976="","",IF($AP976&lt;&gt;"",INDEX(Raw_D1!$J$2:$J$1001,$AP976),IF($AR976&lt;&gt;"",INDEX(Raw_D3!$J$2:$J$1001,$AR976),"")))</f>
        <v>0.2</v>
      </c>
      <c r="K976" s="17">
        <f>IF($A976="","",IF($AQ976&lt;&gt;"",IF(INDEX(Raw_D2!$C$2:$C$1001,$AQ976)="","",INDEX(Raw_D2!$C$2:$C$1001,$AQ976)),IF($AR976&lt;&gt;"",IF(INDEX(Raw_D3!$K$2:$K$1001,$AR976)="","",INDEX(Raw_D3!$K$2:$K$1001,$AR976)),"")))</f>
        <v>0.2121</v>
      </c>
      <c r="L976" s="16">
        <f>IF($A976="","",IF($AQ976&lt;&gt;"",IF(INDEX(Raw_D2!$D$2:$D$1001,$AQ976)="","",INDEX(Raw_D2!$D$2:$D$1001,$AQ976)),IF($AR976&lt;&gt;"",IF(INDEX(Raw_D3!$L$2:$L$1001,$AR976)="","",INDEX(Raw_D3!$L$2:$L$1001,$AR976)),"")))</f>
        <v>0.69</v>
      </c>
      <c r="M976" s="17">
        <f>IF($A976="","",IF($AQ976&lt;&gt;"",IF(INDEX(Raw_D2!$E$2:$E$1001,$AQ976)="","",INDEX(Raw_D2!$E$2:$E$1001,$AQ976)),IF($AR976&lt;&gt;"",IF(INDEX(Raw_D3!$M$2:$M$1001,$AR976)="","",INDEX(Raw_D3!$M$2:$M$1001,$AR976)),"")))</f>
        <v>0.1343</v>
      </c>
      <c r="N976" s="5">
        <f>IF($A976="","",IF($AQ976&lt;&gt;"",IF(INDEX(Raw_D2!$F$2:$F$1001,$AQ976)="","",INDEX(Raw_D2!$F$2:$F$1001,$AQ976)),IF($AR976&lt;&gt;"",IF(INDEX(Raw_D3!$N$2:$N$1001,$AR976)="","",INDEX(Raw_D3!$N$2:$N$1001,$AR976)),"")))</f>
        <v>2</v>
      </c>
      <c r="O976" s="5">
        <f>IF($A976="","",IF($AQ976&lt;&gt;"",IF(INDEX(Raw_D2!$G$2:$G$1001,$AQ976)="","",INDEX(Raw_D2!$G$2:$G$1001,$AQ976)),IF($AR976&lt;&gt;"",IF(INDEX(Raw_D3!$O$2:$O$1001,$AR976)="","",INDEX(Raw_D3!$O$2:$O$1001,$AR976)),"")))</f>
        <v>3</v>
      </c>
      <c r="P976" s="5">
        <f>IF($A976="","",IF($AQ976&lt;&gt;"",IF(INDEX(Raw_D2!$H$2:$H$1001,$AQ976)="","",INDEX(Raw_D2!$H$2:$H$1001,$AQ976)),IF($AR976&lt;&gt;"",IF(INDEX(Raw_D3!$P$2:$P$1001,$AR976)="","",INDEX(Raw_D3!$P$2:$P$1001,$AR976)),"")))</f>
        <v>5</v>
      </c>
      <c r="Q976" s="5" t="str">
        <f>IF($A976="","",IF(AND($AP976&lt;&gt;"",$AQ976&lt;&gt;""),"D1+D2",IF($AR976&lt;&gt;"","D3","Incomplete")))</f>
        <v>D3</v>
      </c>
      <c r="R976" s="17">
        <f>IF($A976="","",IF($K976="",IF($J976="","",ROUND(Lookups!$K$5+Lookups!$K$4*$J976,4)),$K976))</f>
        <v>0.2121</v>
      </c>
      <c r="S976" s="5" t="str">
        <f>IF($A976="","",IF($K976="","Imputed","Original"))</f>
        <v>Original</v>
      </c>
      <c r="T976" s="5" t="str">
        <f>IF($A976="","",IF($P976="","Missing",IF($P976=$N976+$O976,"OK","Mismatch")))</f>
        <v>OK</v>
      </c>
      <c r="U976" s="5" t="str">
        <f>IF($A976="","",IF(COUNTIF($A$2:$A976,$A976)&gt;1,"Duplicate","Unique"))</f>
        <v>Unique</v>
      </c>
      <c r="V976" s="5">
        <f>IF($A976="","",IF(AND($U976="Unique",ISNUMBER($P976)),1,0))</f>
        <v>1</v>
      </c>
      <c r="W976" s="5" t="str">
        <f>IF($A976="","",IF(OR($H976=0,$H976=6),"Weekend","Weekday"))</f>
        <v>Weekend</v>
      </c>
      <c r="X976" s="5" t="str">
        <f>IF($A976="","",TEXT($B976,"ddd"))</f>
        <v>Sun</v>
      </c>
      <c r="Y976" s="5" t="str">
        <f>IF($A976="","",TEXT($B976,"mmm"))</f>
        <v>Feb</v>
      </c>
      <c r="Z976" s="5" t="str">
        <f>IF($A976="","",IFERROR(VLOOKUP($C976,Lookups!$D$4:$E$7,2,FALSE),"Unknown"))</f>
        <v>Winter</v>
      </c>
      <c r="AA976" s="5" t="str">
        <f>IF($A976="","",IFERROR(VLOOKUP($I976,Lookups!$A$4:$B$7,2,FALSE),"Unknown"))</f>
        <v>Mist/Cloudy</v>
      </c>
      <c r="AB976" s="5" t="str">
        <f>IF($A976="","",TEXT($F976,"00")&amp;":00")</f>
        <v>06:00</v>
      </c>
      <c r="AC976" s="5" t="str">
        <f>IF($A976="","",VLOOKUP($F976,Lookups!$G$4:$H$8,2,TRUE))</f>
        <v>Morning Peak (06-09)</v>
      </c>
      <c r="AD976" s="18">
        <f>IF($A976="","",IF($J976="","",ROUND($J976*41,1)))</f>
        <v>8.2</v>
      </c>
      <c r="AE976" s="18">
        <f>IF($A976="","",IF($R976="","",ROUND($R976*50,1)))</f>
        <v>10.6</v>
      </c>
      <c r="AF976" s="5">
        <f>IF($A976="","",IF($L976="","",ROUND($L976*100,0)))</f>
        <v>69</v>
      </c>
      <c r="AG976" s="18">
        <f>IF($A976="","",IF($M976="","",ROUND($M976*67,1)))</f>
        <v>9</v>
      </c>
      <c r="AH976" s="19">
        <f>IF($A976="","",IF($P976="","",IF($P976=0,0,$O976/$P976)))</f>
        <v>0.6</v>
      </c>
      <c r="AI976" s="5" t="str">
        <f>IF($A976="","",IF($P976="","",IF($P976&gt;=Lookups!$K$7,"High",IF($P976&lt;=Lookups!$K$8,"Low","Medium"))))</f>
        <v>Low</v>
      </c>
      <c r="AJ976" s="5" t="str">
        <f>IF($A976="","",IF($AD976="","",IF($AD976&lt;5,"Under 5 C",IF($AD976&lt;10,"5-10 C",IF($AD976&lt;15,"10-15 C","15 C and above")))))</f>
        <v>5-10 C</v>
      </c>
      <c r="AK976" s="5">
        <f>IF($A976="","",IF($P976="","",$P976^2))</f>
        <v>25</v>
      </c>
      <c r="AL976" s="18">
        <f>IF($V976&lt;&gt;1,"",AVERAGEIFS(Clean_Data!$P$2:$P$1001,Clean_Data!$F$2:$F$1001,$F976,Clean_Data!$W$2:$W$1001,$W976,Clean_Data!$V$2:$V$1001,1))</f>
        <v>2.15384615384615</v>
      </c>
      <c r="AM976" s="16">
        <f>IF($V976&lt;&gt;1,"",IFERROR(($P976-$AL976)/SQRT(MAX(0,(SUMIFS(Clean_Data!$AK$2:$AK$1001,Clean_Data!$F$2:$F$1001,$F976,Clean_Data!$W$2:$W$1001,$W976,Clean_Data!$V$2:$V$1001,1)-COUNTIFS(Clean_Data!$F$2:$F$1001,$F976,Clean_Data!$W$2:$W$1001,$W976,Clean_Data!$V$2:$V$1001,1)*$AL976^2)/(COUNTIFS(Clean_Data!$F$2:$F$1001,$F976,Clean_Data!$W$2:$W$1001,$W976,Clean_Data!$V$2:$V$1001,1)-1))),""))</f>
        <v>2.34399538849182</v>
      </c>
      <c r="AN976" s="5" t="str">
        <f>IF($AM976="","",IF($AM976&gt;=Lookups!$K$6,"High spike",IF($AM976&lt;=-Lookups!$K$6,"Unusual low","Normal")))</f>
        <v>Normal</v>
      </c>
      <c r="AO976" s="20">
        <f>IF($V976&lt;&gt;1,"",$P976+ROW()/100000)</f>
        <v>5.00976</v>
      </c>
      <c r="AP976" s="5">
        <f>IF($A976="","",IFERROR(MATCH($A976,Raw_D1!$A$2:$A$1001,0),""))</f>
        <v/>
      </c>
      <c r="AQ976" s="5">
        <f>IF($A976="","",IFERROR(MATCH($A976,Raw_D2!$B$2:$B$1001,0),""))</f>
        <v/>
      </c>
      <c r="AR976" s="5">
        <f>IF($A976="","",IFERROR(MATCH($A976,Raw_D3!$A$2:$A$1001,0),""))</f>
        <v>356</v>
      </c>
    </row>
    <row r="977" spans="1:44" x14ac:dyDescent="0.25">
      <c r="A977" s="5">
        <v>976</v>
      </c>
      <c r="B977" s="11">
        <f>IF($A977="","",IF($AP977&lt;&gt;"",INDEX(Raw_D1!$B$2:$B$1001,$AP977),IF($AR977&lt;&gt;"",INDEX(Raw_D3!$B$2:$B$1001,$AR977),"")))</f>
        <v>40587.0</v>
      </c>
      <c r="C977" s="5">
        <f>IF($A977="","",IF($AP977&lt;&gt;"",INDEX(Raw_D1!$C$2:$C$1001,$AP977),IF($AR977&lt;&gt;"",INDEX(Raw_D3!$C$2:$C$1001,$AR977),"")))</f>
        <v>1</v>
      </c>
      <c r="D977" s="5">
        <f>IF($A977="","",IF($AP977&lt;&gt;"",INDEX(Raw_D1!$D$2:$D$1001,$AP977),IF($AR977&lt;&gt;"",INDEX(Raw_D3!$D$2:$D$1001,$AR977),"")))</f>
        <v>0</v>
      </c>
      <c r="E977" s="5">
        <f>IF($A977="","",IF($AP977&lt;&gt;"",INDEX(Raw_D1!$E$2:$E$1001,$AP977),IF($AR977&lt;&gt;"",INDEX(Raw_D3!$E$2:$E$1001,$AR977),"")))</f>
        <v>2</v>
      </c>
      <c r="F977" s="5">
        <f>IF($A977="","",IF($AP977&lt;&gt;"",INDEX(Raw_D1!$F$2:$F$1001,$AP977),IF($AR977&lt;&gt;"",INDEX(Raw_D3!$F$2:$F$1001,$AR977),"")))</f>
        <v>7</v>
      </c>
      <c r="G977" s="5">
        <f>IF($A977="","",IF($AP977&lt;&gt;"",IF(INDEX(Raw_D1!$G$2:$G$1001,$AP977),1,0),IF($AR977&lt;&gt;"",IF(INDEX(Raw_D3!$G$2:$G$1001,$AR977),1,0),"")))</f>
        <v>0</v>
      </c>
      <c r="H977" s="5">
        <f>IF($A977="","",IF($AP977&lt;&gt;"",INDEX(Raw_D1!$H$2:$H$1001,$AP977),IF($AR977&lt;&gt;"",INDEX(Raw_D3!$H$2:$H$1001,$AR977),"")))</f>
        <v>0</v>
      </c>
      <c r="I977" s="5">
        <f>IF($A977="","",IF($AP977&lt;&gt;"",INDEX(Raw_D1!$I$2:$I$1001,$AP977),IF($AR977&lt;&gt;"",INDEX(Raw_D3!$I$2:$I$1001,$AR977),"")))</f>
        <v>2</v>
      </c>
      <c r="J977" s="16">
        <f>IF($A977="","",IF($AP977&lt;&gt;"",INDEX(Raw_D1!$J$2:$J$1001,$AP977),IF($AR977&lt;&gt;"",INDEX(Raw_D3!$J$2:$J$1001,$AR977),"")))</f>
        <v>0.22</v>
      </c>
      <c r="K977" s="17">
        <f>IF($A977="","",IF($AQ977&lt;&gt;"",IF(INDEX(Raw_D2!$C$2:$C$1001,$AQ977)="","",INDEX(Raw_D2!$C$2:$C$1001,$AQ977)),IF($AR977&lt;&gt;"",IF(INDEX(Raw_D3!$K$2:$K$1001,$AR977)="","",INDEX(Raw_D3!$K$2:$K$1001,$AR977)),"")))</f>
        <v>0.2727</v>
      </c>
      <c r="L977" s="16">
        <f>IF($A977="","",IF($AQ977&lt;&gt;"",IF(INDEX(Raw_D2!$D$2:$D$1001,$AQ977)="","",INDEX(Raw_D2!$D$2:$D$1001,$AQ977)),IF($AR977&lt;&gt;"",IF(INDEX(Raw_D3!$L$2:$L$1001,$AR977)="","",INDEX(Raw_D3!$L$2:$L$1001,$AR977)),"")))</f>
        <v>0.55</v>
      </c>
      <c r="M977" s="17">
        <f>IF($A977="","",IF($AQ977&lt;&gt;"",IF(INDEX(Raw_D2!$E$2:$E$1001,$AQ977)="","",INDEX(Raw_D2!$E$2:$E$1001,$AQ977)),IF($AR977&lt;&gt;"",IF(INDEX(Raw_D3!$M$2:$M$1001,$AR977)="","",INDEX(Raw_D3!$M$2:$M$1001,$AR977)),"")))</f>
        <v>0</v>
      </c>
      <c r="N977" s="5">
        <f>IF($A977="","",IF($AQ977&lt;&gt;"",IF(INDEX(Raw_D2!$F$2:$F$1001,$AQ977)="","",INDEX(Raw_D2!$F$2:$F$1001,$AQ977)),IF($AR977&lt;&gt;"",IF(INDEX(Raw_D3!$N$2:$N$1001,$AR977)="","",INDEX(Raw_D3!$N$2:$N$1001,$AR977)),"")))</f>
        <v>0</v>
      </c>
      <c r="O977" s="5">
        <f>IF($A977="","",IF($AQ977&lt;&gt;"",IF(INDEX(Raw_D2!$G$2:$G$1001,$AQ977)="","",INDEX(Raw_D2!$G$2:$G$1001,$AQ977)),IF($AR977&lt;&gt;"",IF(INDEX(Raw_D3!$O$2:$O$1001,$AR977)="","",INDEX(Raw_D3!$O$2:$O$1001,$AR977)),"")))</f>
        <v>3</v>
      </c>
      <c r="P977" s="5">
        <f>IF($A977="","",IF($AQ977&lt;&gt;"",IF(INDEX(Raw_D2!$H$2:$H$1001,$AQ977)="","",INDEX(Raw_D2!$H$2:$H$1001,$AQ977)),IF($AR977&lt;&gt;"",IF(INDEX(Raw_D3!$P$2:$P$1001,$AR977)="","",INDEX(Raw_D3!$P$2:$P$1001,$AR977)),"")))</f>
        <v>3</v>
      </c>
      <c r="Q977" s="5" t="str">
        <f>IF($A977="","",IF(AND($AP977&lt;&gt;"",$AQ977&lt;&gt;""),"D1+D2",IF($AR977&lt;&gt;"","D3","Incomplete")))</f>
        <v>D3</v>
      </c>
      <c r="R977" s="17">
        <f>IF($A977="","",IF($K977="",IF($J977="","",ROUND(Lookups!$K$5+Lookups!$K$4*$J977,4)),$K977))</f>
        <v>0.2727</v>
      </c>
      <c r="S977" s="5" t="str">
        <f>IF($A977="","",IF($K977="","Imputed","Original"))</f>
        <v>Original</v>
      </c>
      <c r="T977" s="5" t="str">
        <f>IF($A977="","",IF($P977="","Missing",IF($P977=$N977+$O977,"OK","Mismatch")))</f>
        <v>OK</v>
      </c>
      <c r="U977" s="5" t="str">
        <f>IF($A977="","",IF(COUNTIF($A$2:$A977,$A977)&gt;1,"Duplicate","Unique"))</f>
        <v>Unique</v>
      </c>
      <c r="V977" s="5">
        <f>IF($A977="","",IF(AND($U977="Unique",ISNUMBER($P977)),1,0))</f>
        <v>1</v>
      </c>
      <c r="W977" s="5" t="str">
        <f>IF($A977="","",IF(OR($H977=0,$H977=6),"Weekend","Weekday"))</f>
        <v>Weekend</v>
      </c>
      <c r="X977" s="5" t="str">
        <f>IF($A977="","",TEXT($B977,"ddd"))</f>
        <v>Sun</v>
      </c>
      <c r="Y977" s="5" t="str">
        <f>IF($A977="","",TEXT($B977,"mmm"))</f>
        <v>Feb</v>
      </c>
      <c r="Z977" s="5" t="str">
        <f>IF($A977="","",IFERROR(VLOOKUP($C977,Lookups!$D$4:$E$7,2,FALSE),"Unknown"))</f>
        <v>Winter</v>
      </c>
      <c r="AA977" s="5" t="str">
        <f>IF($A977="","",IFERROR(VLOOKUP($I977,Lookups!$A$4:$B$7,2,FALSE),"Unknown"))</f>
        <v>Mist/Cloudy</v>
      </c>
      <c r="AB977" s="5" t="str">
        <f>IF($A977="","",TEXT($F977,"00")&amp;":00")</f>
        <v>07:00</v>
      </c>
      <c r="AC977" s="5" t="str">
        <f>IF($A977="","",VLOOKUP($F977,Lookups!$G$4:$H$8,2,TRUE))</f>
        <v>Morning Peak (06-09)</v>
      </c>
      <c r="AD977" s="18">
        <f>IF($A977="","",IF($J977="","",ROUND($J977*41,1)))</f>
        <v>9</v>
      </c>
      <c r="AE977" s="18">
        <f>IF($A977="","",IF($R977="","",ROUND($R977*50,1)))</f>
        <v>13.6</v>
      </c>
      <c r="AF977" s="5">
        <f>IF($A977="","",IF($L977="","",ROUND($L977*100,0)))</f>
        <v>55</v>
      </c>
      <c r="AG977" s="18">
        <f>IF($A977="","",IF($M977="","",ROUND($M977*67,1)))</f>
        <v>0</v>
      </c>
      <c r="AH977" s="19">
        <f>IF($A977="","",IF($P977="","",IF($P977=0,0,$O977/$P977)))</f>
        <v>1</v>
      </c>
      <c r="AI977" s="5" t="str">
        <f>IF($A977="","",IF($P977="","",IF($P977&gt;=Lookups!$K$7,"High",IF($P977&lt;=Lookups!$K$8,"Low","Medium"))))</f>
        <v>Low</v>
      </c>
      <c r="AJ977" s="5" t="str">
        <f>IF($A977="","",IF($AD977="","",IF($AD977&lt;5,"Under 5 C",IF($AD977&lt;10,"5-10 C",IF($AD977&lt;15,"10-15 C","15 C and above")))))</f>
        <v>5-10 C</v>
      </c>
      <c r="AK977" s="5">
        <f>IF($A977="","",IF($P977="","",$P977^2))</f>
        <v>9</v>
      </c>
      <c r="AL977" s="18">
        <f>IF($V977&lt;&gt;1,"",AVERAGEIFS(Clean_Data!$P$2:$P$1001,Clean_Data!$F$2:$F$1001,$F977,Clean_Data!$W$2:$W$1001,$W977,Clean_Data!$V$2:$V$1001,1))</f>
        <v>5.42857142857143</v>
      </c>
      <c r="AM977" s="16">
        <f>IF($V977&lt;&gt;1,"",IFERROR(($P977-$AL977)/SQRT(MAX(0,(SUMIFS(Clean_Data!$AK$2:$AK$1001,Clean_Data!$F$2:$F$1001,$F977,Clean_Data!$W$2:$W$1001,$W977,Clean_Data!$V$2:$V$1001,1)-COUNTIFS(Clean_Data!$F$2:$F$1001,$F977,Clean_Data!$W$2:$W$1001,$W977,Clean_Data!$V$2:$V$1001,1)*$AL977^2)/(COUNTIFS(Clean_Data!$F$2:$F$1001,$F977,Clean_Data!$W$2:$W$1001,$W977,Clean_Data!$V$2:$V$1001,1)-1))),""))</f>
        <v>-0.752432262615843</v>
      </c>
      <c r="AN977" s="5" t="str">
        <f>IF($AM977="","",IF($AM977&gt;=Lookups!$K$6,"High spike",IF($AM977&lt;=-Lookups!$K$6,"Unusual low","Normal")))</f>
        <v>Normal</v>
      </c>
      <c r="AO977" s="20">
        <f>IF($V977&lt;&gt;1,"",$P977+ROW()/100000)</f>
        <v>3.00977</v>
      </c>
      <c r="AP977" s="5">
        <f>IF($A977="","",IFERROR(MATCH($A977,Raw_D1!$A$2:$A$1001,0),""))</f>
        <v/>
      </c>
      <c r="AQ977" s="5">
        <f>IF($A977="","",IFERROR(MATCH($A977,Raw_D2!$B$2:$B$1001,0),""))</f>
        <v/>
      </c>
      <c r="AR977" s="5">
        <f>IF($A977="","",IFERROR(MATCH($A977,Raw_D3!$A$2:$A$1001,0),""))</f>
        <v>357</v>
      </c>
    </row>
    <row r="978" spans="1:44" x14ac:dyDescent="0.25">
      <c r="A978" s="5">
        <v>977</v>
      </c>
      <c r="B978" s="11">
        <f>IF($A978="","",IF($AP978&lt;&gt;"",INDEX(Raw_D1!$B$2:$B$1001,$AP978),IF($AR978&lt;&gt;"",INDEX(Raw_D3!$B$2:$B$1001,$AR978),"")))</f>
        <v>40587.0</v>
      </c>
      <c r="C978" s="5">
        <f>IF($A978="","",IF($AP978&lt;&gt;"",INDEX(Raw_D1!$C$2:$C$1001,$AP978),IF($AR978&lt;&gt;"",INDEX(Raw_D3!$C$2:$C$1001,$AR978),"")))</f>
        <v>1</v>
      </c>
      <c r="D978" s="5">
        <f>IF($A978="","",IF($AP978&lt;&gt;"",INDEX(Raw_D1!$D$2:$D$1001,$AP978),IF($AR978&lt;&gt;"",INDEX(Raw_D3!$D$2:$D$1001,$AR978),"")))</f>
        <v>0</v>
      </c>
      <c r="E978" s="5">
        <f>IF($A978="","",IF($AP978&lt;&gt;"",INDEX(Raw_D1!$E$2:$E$1001,$AP978),IF($AR978&lt;&gt;"",INDEX(Raw_D3!$E$2:$E$1001,$AR978),"")))</f>
        <v>2</v>
      </c>
      <c r="F978" s="5">
        <f>IF($A978="","",IF($AP978&lt;&gt;"",INDEX(Raw_D1!$F$2:$F$1001,$AP978),IF($AR978&lt;&gt;"",INDEX(Raw_D3!$F$2:$F$1001,$AR978),"")))</f>
        <v>8</v>
      </c>
      <c r="G978" s="5">
        <f>IF($A978="","",IF($AP978&lt;&gt;"",IF(INDEX(Raw_D1!$G$2:$G$1001,$AP978),1,0),IF($AR978&lt;&gt;"",IF(INDEX(Raw_D3!$G$2:$G$1001,$AR978),1,0),"")))</f>
        <v>0</v>
      </c>
      <c r="H978" s="5">
        <f>IF($A978="","",IF($AP978&lt;&gt;"",INDEX(Raw_D1!$H$2:$H$1001,$AP978),IF($AR978&lt;&gt;"",INDEX(Raw_D3!$H$2:$H$1001,$AR978),"")))</f>
        <v>0</v>
      </c>
      <c r="I978" s="5">
        <f>IF($A978="","",IF($AP978&lt;&gt;"",INDEX(Raw_D1!$I$2:$I$1001,$AP978),IF($AR978&lt;&gt;"",INDEX(Raw_D3!$I$2:$I$1001,$AR978),"")))</f>
        <v>2</v>
      </c>
      <c r="J978" s="16">
        <f>IF($A978="","",IF($AP978&lt;&gt;"",INDEX(Raw_D1!$J$2:$J$1001,$AP978),IF($AR978&lt;&gt;"",INDEX(Raw_D3!$J$2:$J$1001,$AR978),"")))</f>
        <v>0.22</v>
      </c>
      <c r="K978" s="17">
        <f>IF($A978="","",IF($AQ978&lt;&gt;"",IF(INDEX(Raw_D2!$C$2:$C$1001,$AQ978)="","",INDEX(Raw_D2!$C$2:$C$1001,$AQ978)),IF($AR978&lt;&gt;"",IF(INDEX(Raw_D3!$K$2:$K$1001,$AR978)="","",INDEX(Raw_D3!$K$2:$K$1001,$AR978)),"")))</f>
        <v>0.2273</v>
      </c>
      <c r="L978" s="16">
        <f>IF($A978="","",IF($AQ978&lt;&gt;"",IF(INDEX(Raw_D2!$D$2:$D$1001,$AQ978)="","",INDEX(Raw_D2!$D$2:$D$1001,$AQ978)),IF($AR978&lt;&gt;"",IF(INDEX(Raw_D3!$L$2:$L$1001,$AR978)="","",INDEX(Raw_D3!$L$2:$L$1001,$AR978)),"")))</f>
        <v>0.64</v>
      </c>
      <c r="M978" s="17">
        <f>IF($A978="","",IF($AQ978&lt;&gt;"",IF(INDEX(Raw_D2!$E$2:$E$1001,$AQ978)="","",INDEX(Raw_D2!$E$2:$E$1001,$AQ978)),IF($AR978&lt;&gt;"",IF(INDEX(Raw_D3!$M$2:$M$1001,$AR978)="","",INDEX(Raw_D3!$M$2:$M$1001,$AR978)),"")))</f>
        <v>0.194</v>
      </c>
      <c r="N978" s="5">
        <f>IF($A978="","",IF($AQ978&lt;&gt;"",IF(INDEX(Raw_D2!$F$2:$F$1001,$AQ978)="","",INDEX(Raw_D2!$F$2:$F$1001,$AQ978)),IF($AR978&lt;&gt;"",IF(INDEX(Raw_D3!$N$2:$N$1001,$AR978)="","",INDEX(Raw_D3!$N$2:$N$1001,$AR978)),"")))</f>
        <v>1</v>
      </c>
      <c r="O978" s="5">
        <f>IF($A978="","",IF($AQ978&lt;&gt;"",IF(INDEX(Raw_D2!$G$2:$G$1001,$AQ978)="","",INDEX(Raw_D2!$G$2:$G$1001,$AQ978)),IF($AR978&lt;&gt;"",IF(INDEX(Raw_D3!$O$2:$O$1001,$AR978)="","",INDEX(Raw_D3!$O$2:$O$1001,$AR978)),"")))</f>
        <v>11</v>
      </c>
      <c r="P978" s="5">
        <f>IF($A978="","",IF($AQ978&lt;&gt;"",IF(INDEX(Raw_D2!$H$2:$H$1001,$AQ978)="","",INDEX(Raw_D2!$H$2:$H$1001,$AQ978)),IF($AR978&lt;&gt;"",IF(INDEX(Raw_D3!$P$2:$P$1001,$AR978)="","",INDEX(Raw_D3!$P$2:$P$1001,$AR978)),"")))</f>
        <v>12</v>
      </c>
      <c r="Q978" s="5" t="str">
        <f>IF($A978="","",IF(AND($AP978&lt;&gt;"",$AQ978&lt;&gt;""),"D1+D2",IF($AR978&lt;&gt;"","D3","Incomplete")))</f>
        <v>D3</v>
      </c>
      <c r="R978" s="17">
        <f>IF($A978="","",IF($K978="",IF($J978="","",ROUND(Lookups!$K$5+Lookups!$K$4*$J978,4)),$K978))</f>
        <v>0.2273</v>
      </c>
      <c r="S978" s="5" t="str">
        <f>IF($A978="","",IF($K978="","Imputed","Original"))</f>
        <v>Original</v>
      </c>
      <c r="T978" s="5" t="str">
        <f>IF($A978="","",IF($P978="","Missing",IF($P978=$N978+$O978,"OK","Mismatch")))</f>
        <v>OK</v>
      </c>
      <c r="U978" s="5" t="str">
        <f>IF($A978="","",IF(COUNTIF($A$2:$A978,$A978)&gt;1,"Duplicate","Unique"))</f>
        <v>Unique</v>
      </c>
      <c r="V978" s="5">
        <f>IF($A978="","",IF(AND($U978="Unique",ISNUMBER($P978)),1,0))</f>
        <v>1</v>
      </c>
      <c r="W978" s="5" t="str">
        <f>IF($A978="","",IF(OR($H978=0,$H978=6),"Weekend","Weekday"))</f>
        <v>Weekend</v>
      </c>
      <c r="X978" s="5" t="str">
        <f>IF($A978="","",TEXT($B978,"ddd"))</f>
        <v>Sun</v>
      </c>
      <c r="Y978" s="5" t="str">
        <f>IF($A978="","",TEXT($B978,"mmm"))</f>
        <v>Feb</v>
      </c>
      <c r="Z978" s="5" t="str">
        <f>IF($A978="","",IFERROR(VLOOKUP($C978,Lookups!$D$4:$E$7,2,FALSE),"Unknown"))</f>
        <v>Winter</v>
      </c>
      <c r="AA978" s="5" t="str">
        <f>IF($A978="","",IFERROR(VLOOKUP($I978,Lookups!$A$4:$B$7,2,FALSE),"Unknown"))</f>
        <v>Mist/Cloudy</v>
      </c>
      <c r="AB978" s="5" t="str">
        <f>IF($A978="","",TEXT($F978,"00")&amp;":00")</f>
        <v>08:00</v>
      </c>
      <c r="AC978" s="5" t="str">
        <f>IF($A978="","",VLOOKUP($F978,Lookups!$G$4:$H$8,2,TRUE))</f>
        <v>Morning Peak (06-09)</v>
      </c>
      <c r="AD978" s="18">
        <f>IF($A978="","",IF($J978="","",ROUND($J978*41,1)))</f>
        <v>9</v>
      </c>
      <c r="AE978" s="18">
        <f>IF($A978="","",IF($R978="","",ROUND($R978*50,1)))</f>
        <v>11.4</v>
      </c>
      <c r="AF978" s="5">
        <f>IF($A978="","",IF($L978="","",ROUND($L978*100,0)))</f>
        <v>64</v>
      </c>
      <c r="AG978" s="18">
        <f>IF($A978="","",IF($M978="","",ROUND($M978*67,1)))</f>
        <v>13</v>
      </c>
      <c r="AH978" s="19">
        <f>IF($A978="","",IF($P978="","",IF($P978=0,0,$O978/$P978)))</f>
        <v>0.916666666666667</v>
      </c>
      <c r="AI978" s="5" t="str">
        <f>IF($A978="","",IF($P978="","",IF($P978&gt;=Lookups!$K$7,"High",IF($P978&lt;=Lookups!$K$8,"Low","Medium"))))</f>
        <v>Low</v>
      </c>
      <c r="AJ978" s="5" t="str">
        <f>IF($A978="","",IF($AD978="","",IF($AD978&lt;5,"Under 5 C",IF($AD978&lt;10,"5-10 C",IF($AD978&lt;15,"10-15 C","15 C and above")))))</f>
        <v>5-10 C</v>
      </c>
      <c r="AK978" s="5">
        <f>IF($A978="","",IF($P978="","",$P978^2))</f>
        <v>144</v>
      </c>
      <c r="AL978" s="18">
        <f>IF($V978&lt;&gt;1,"",AVERAGEIFS(Clean_Data!$P$2:$P$1001,Clean_Data!$F$2:$F$1001,$F978,Clean_Data!$W$2:$W$1001,$W978,Clean_Data!$V$2:$V$1001,1))</f>
        <v>17.7857142857143</v>
      </c>
      <c r="AM978" s="16">
        <f>IF($V978&lt;&gt;1,"",IFERROR(($P978-$AL978)/SQRT(MAX(0,(SUMIFS(Clean_Data!$AK$2:$AK$1001,Clean_Data!$F$2:$F$1001,$F978,Clean_Data!$W$2:$W$1001,$W978,Clean_Data!$V$2:$V$1001,1)-COUNTIFS(Clean_Data!$F$2:$F$1001,$F978,Clean_Data!$W$2:$W$1001,$W978,Clean_Data!$V$2:$V$1001,1)*$AL978^2)/(COUNTIFS(Clean_Data!$F$2:$F$1001,$F978,Clean_Data!$W$2:$W$1001,$W978,Clean_Data!$V$2:$V$1001,1)-1))),""))</f>
        <v>-0.680271451307132</v>
      </c>
      <c r="AN978" s="5" t="str">
        <f>IF($AM978="","",IF($AM978&gt;=Lookups!$K$6,"High spike",IF($AM978&lt;=-Lookups!$K$6,"Unusual low","Normal")))</f>
        <v>Normal</v>
      </c>
      <c r="AO978" s="20">
        <f>IF($V978&lt;&gt;1,"",$P978+ROW()/100000)</f>
        <v>12.00978</v>
      </c>
      <c r="AP978" s="5">
        <f>IF($A978="","",IFERROR(MATCH($A978,Raw_D1!$A$2:$A$1001,0),""))</f>
        <v/>
      </c>
      <c r="AQ978" s="5">
        <f>IF($A978="","",IFERROR(MATCH($A978,Raw_D2!$B$2:$B$1001,0),""))</f>
        <v/>
      </c>
      <c r="AR978" s="5">
        <f>IF($A978="","",IFERROR(MATCH($A978,Raw_D3!$A$2:$A$1001,0),""))</f>
        <v>358</v>
      </c>
    </row>
    <row r="979" spans="1:44" x14ac:dyDescent="0.25">
      <c r="A979" s="5">
        <v>978</v>
      </c>
      <c r="B979" s="11">
        <f>IF($A979="","",IF($AP979&lt;&gt;"",INDEX(Raw_D1!$B$2:$B$1001,$AP979),IF($AR979&lt;&gt;"",INDEX(Raw_D3!$B$2:$B$1001,$AR979),"")))</f>
        <v>40587.0</v>
      </c>
      <c r="C979" s="5">
        <f>IF($A979="","",IF($AP979&lt;&gt;"",INDEX(Raw_D1!$C$2:$C$1001,$AP979),IF($AR979&lt;&gt;"",INDEX(Raw_D3!$C$2:$C$1001,$AR979),"")))</f>
        <v>1</v>
      </c>
      <c r="D979" s="5">
        <f>IF($A979="","",IF($AP979&lt;&gt;"",INDEX(Raw_D1!$D$2:$D$1001,$AP979),IF($AR979&lt;&gt;"",INDEX(Raw_D3!$D$2:$D$1001,$AR979),"")))</f>
        <v>0</v>
      </c>
      <c r="E979" s="5">
        <f>IF($A979="","",IF($AP979&lt;&gt;"",INDEX(Raw_D1!$E$2:$E$1001,$AP979),IF($AR979&lt;&gt;"",INDEX(Raw_D3!$E$2:$E$1001,$AR979),"")))</f>
        <v>2</v>
      </c>
      <c r="F979" s="5">
        <f>IF($A979="","",IF($AP979&lt;&gt;"",INDEX(Raw_D1!$F$2:$F$1001,$AP979),IF($AR979&lt;&gt;"",INDEX(Raw_D3!$F$2:$F$1001,$AR979),"")))</f>
        <v>9</v>
      </c>
      <c r="G979" s="5">
        <f>IF($A979="","",IF($AP979&lt;&gt;"",IF(INDEX(Raw_D1!$G$2:$G$1001,$AP979),1,0),IF($AR979&lt;&gt;"",IF(INDEX(Raw_D3!$G$2:$G$1001,$AR979),1,0),"")))</f>
        <v>0</v>
      </c>
      <c r="H979" s="5">
        <f>IF($A979="","",IF($AP979&lt;&gt;"",INDEX(Raw_D1!$H$2:$H$1001,$AP979),IF($AR979&lt;&gt;"",INDEX(Raw_D3!$H$2:$H$1001,$AR979),"")))</f>
        <v>0</v>
      </c>
      <c r="I979" s="5">
        <f>IF($A979="","",IF($AP979&lt;&gt;"",INDEX(Raw_D1!$I$2:$I$1001,$AP979),IF($AR979&lt;&gt;"",INDEX(Raw_D3!$I$2:$I$1001,$AR979),"")))</f>
        <v>2</v>
      </c>
      <c r="J979" s="16">
        <f>IF($A979="","",IF($AP979&lt;&gt;"",INDEX(Raw_D1!$J$2:$J$1001,$AP979),IF($AR979&lt;&gt;"",INDEX(Raw_D3!$J$2:$J$1001,$AR979),"")))</f>
        <v>0.24</v>
      </c>
      <c r="K979" s="17">
        <f>IF($A979="","",IF($AQ979&lt;&gt;"",IF(INDEX(Raw_D2!$C$2:$C$1001,$AQ979)="","",INDEX(Raw_D2!$C$2:$C$1001,$AQ979)),IF($AR979&lt;&gt;"",IF(INDEX(Raw_D3!$K$2:$K$1001,$AR979)="","",INDEX(Raw_D3!$K$2:$K$1001,$AR979)),"")))</f>
        <v>0.2273</v>
      </c>
      <c r="L979" s="16">
        <f>IF($A979="","",IF($AQ979&lt;&gt;"",IF(INDEX(Raw_D2!$D$2:$D$1001,$AQ979)="","",INDEX(Raw_D2!$D$2:$D$1001,$AQ979)),IF($AR979&lt;&gt;"",IF(INDEX(Raw_D3!$L$2:$L$1001,$AR979)="","",INDEX(Raw_D3!$L$2:$L$1001,$AR979)),"")))</f>
        <v>0.6</v>
      </c>
      <c r="M979" s="17">
        <f>IF($A979="","",IF($AQ979&lt;&gt;"",IF(INDEX(Raw_D2!$E$2:$E$1001,$AQ979)="","",INDEX(Raw_D2!$E$2:$E$1001,$AQ979)),IF($AR979&lt;&gt;"",IF(INDEX(Raw_D3!$M$2:$M$1001,$AR979)="","",INDEX(Raw_D3!$M$2:$M$1001,$AR979)),"")))</f>
        <v>0.2239</v>
      </c>
      <c r="N979" s="5">
        <f>IF($A979="","",IF($AQ979&lt;&gt;"",IF(INDEX(Raw_D2!$F$2:$F$1001,$AQ979)="","",INDEX(Raw_D2!$F$2:$F$1001,$AQ979)),IF($AR979&lt;&gt;"",IF(INDEX(Raw_D3!$N$2:$N$1001,$AR979)="","",INDEX(Raw_D3!$N$2:$N$1001,$AR979)),"")))</f>
        <v>12</v>
      </c>
      <c r="O979" s="5">
        <f>IF($A979="","",IF($AQ979&lt;&gt;"",IF(INDEX(Raw_D2!$G$2:$G$1001,$AQ979)="","",INDEX(Raw_D2!$G$2:$G$1001,$AQ979)),IF($AR979&lt;&gt;"",IF(INDEX(Raw_D3!$O$2:$O$1001,$AR979)="","",INDEX(Raw_D3!$O$2:$O$1001,$AR979)),"")))</f>
        <v>35</v>
      </c>
      <c r="P979" s="5">
        <f>IF($A979="","",IF($AQ979&lt;&gt;"",IF(INDEX(Raw_D2!$H$2:$H$1001,$AQ979)="","",INDEX(Raw_D2!$H$2:$H$1001,$AQ979)),IF($AR979&lt;&gt;"",IF(INDEX(Raw_D3!$P$2:$P$1001,$AR979)="","",INDEX(Raw_D3!$P$2:$P$1001,$AR979)),"")))</f>
        <v>47</v>
      </c>
      <c r="Q979" s="5" t="str">
        <f>IF($A979="","",IF(AND($AP979&lt;&gt;"",$AQ979&lt;&gt;""),"D1+D2",IF($AR979&lt;&gt;"","D3","Incomplete")))</f>
        <v>D3</v>
      </c>
      <c r="R979" s="17">
        <f>IF($A979="","",IF($K979="",IF($J979="","",ROUND(Lookups!$K$5+Lookups!$K$4*$J979,4)),$K979))</f>
        <v>0.2273</v>
      </c>
      <c r="S979" s="5" t="str">
        <f>IF($A979="","",IF($K979="","Imputed","Original"))</f>
        <v>Original</v>
      </c>
      <c r="T979" s="5" t="str">
        <f>IF($A979="","",IF($P979="","Missing",IF($P979=$N979+$O979,"OK","Mismatch")))</f>
        <v>OK</v>
      </c>
      <c r="U979" s="5" t="str">
        <f>IF($A979="","",IF(COUNTIF($A$2:$A979,$A979)&gt;1,"Duplicate","Unique"))</f>
        <v>Unique</v>
      </c>
      <c r="V979" s="5">
        <f>IF($A979="","",IF(AND($U979="Unique",ISNUMBER($P979)),1,0))</f>
        <v>1</v>
      </c>
      <c r="W979" s="5" t="str">
        <f>IF($A979="","",IF(OR($H979=0,$H979=6),"Weekend","Weekday"))</f>
        <v>Weekend</v>
      </c>
      <c r="X979" s="5" t="str">
        <f>IF($A979="","",TEXT($B979,"ddd"))</f>
        <v>Sun</v>
      </c>
      <c r="Y979" s="5" t="str">
        <f>IF($A979="","",TEXT($B979,"mmm"))</f>
        <v>Feb</v>
      </c>
      <c r="Z979" s="5" t="str">
        <f>IF($A979="","",IFERROR(VLOOKUP($C979,Lookups!$D$4:$E$7,2,FALSE),"Unknown"))</f>
        <v>Winter</v>
      </c>
      <c r="AA979" s="5" t="str">
        <f>IF($A979="","",IFERROR(VLOOKUP($I979,Lookups!$A$4:$B$7,2,FALSE),"Unknown"))</f>
        <v>Mist/Cloudy</v>
      </c>
      <c r="AB979" s="5" t="str">
        <f>IF($A979="","",TEXT($F979,"00")&amp;":00")</f>
        <v>09:00</v>
      </c>
      <c r="AC979" s="5" t="str">
        <f>IF($A979="","",VLOOKUP($F979,Lookups!$G$4:$H$8,2,TRUE))</f>
        <v>Morning Peak (06-09)</v>
      </c>
      <c r="AD979" s="18">
        <f>IF($A979="","",IF($J979="","",ROUND($J979*41,1)))</f>
        <v>9.8</v>
      </c>
      <c r="AE979" s="18">
        <f>IF($A979="","",IF($R979="","",ROUND($R979*50,1)))</f>
        <v>11.4</v>
      </c>
      <c r="AF979" s="5">
        <f>IF($A979="","",IF($L979="","",ROUND($L979*100,0)))</f>
        <v>60</v>
      </c>
      <c r="AG979" s="18">
        <f>IF($A979="","",IF($M979="","",ROUND($M979*67,1)))</f>
        <v>15</v>
      </c>
      <c r="AH979" s="19">
        <f>IF($A979="","",IF($P979="","",IF($P979=0,0,$O979/$P979)))</f>
        <v>0.74468085106383</v>
      </c>
      <c r="AI979" s="5" t="str">
        <f>IF($A979="","",IF($P979="","",IF($P979&gt;=Lookups!$K$7,"High",IF($P979&lt;=Lookups!$K$8,"Low","Medium"))))</f>
        <v>Medium</v>
      </c>
      <c r="AJ979" s="5" t="str">
        <f>IF($A979="","",IF($AD979="","",IF($AD979&lt;5,"Under 5 C",IF($AD979&lt;10,"5-10 C",IF($AD979&lt;15,"10-15 C","15 C and above")))))</f>
        <v>5-10 C</v>
      </c>
      <c r="AK979" s="5">
        <f>IF($A979="","",IF($P979="","",$P979^2))</f>
        <v>2209</v>
      </c>
      <c r="AL979" s="18">
        <f>IF($V979&lt;&gt;1,"",AVERAGEIFS(Clean_Data!$P$2:$P$1001,Clean_Data!$F$2:$F$1001,$F979,Clean_Data!$W$2:$W$1001,$W979,Clean_Data!$V$2:$V$1001,1))</f>
        <v>30.9285714285714</v>
      </c>
      <c r="AM979" s="16">
        <f>IF($V979&lt;&gt;1,"",IFERROR(($P979-$AL979)/SQRT(MAX(0,(SUMIFS(Clean_Data!$AK$2:$AK$1001,Clean_Data!$F$2:$F$1001,$F979,Clean_Data!$W$2:$W$1001,$W979,Clean_Data!$V$2:$V$1001,1)-COUNTIFS(Clean_Data!$F$2:$F$1001,$F979,Clean_Data!$W$2:$W$1001,$W979,Clean_Data!$V$2:$V$1001,1)*$AL979^2)/(COUNTIFS(Clean_Data!$F$2:$F$1001,$F979,Clean_Data!$W$2:$W$1001,$W979,Clean_Data!$V$2:$V$1001,1)-1))),""))</f>
        <v>1.47425278240246</v>
      </c>
      <c r="AN979" s="5" t="str">
        <f>IF($AM979="","",IF($AM979&gt;=Lookups!$K$6,"High spike",IF($AM979&lt;=-Lookups!$K$6,"Unusual low","Normal")))</f>
        <v>Normal</v>
      </c>
      <c r="AO979" s="20">
        <f>IF($V979&lt;&gt;1,"",$P979+ROW()/100000)</f>
        <v>47.00979</v>
      </c>
      <c r="AP979" s="5">
        <f>IF($A979="","",IFERROR(MATCH($A979,Raw_D1!$A$2:$A$1001,0),""))</f>
        <v/>
      </c>
      <c r="AQ979" s="5">
        <f>IF($A979="","",IFERROR(MATCH($A979,Raw_D2!$B$2:$B$1001,0),""))</f>
        <v/>
      </c>
      <c r="AR979" s="5">
        <f>IF($A979="","",IFERROR(MATCH($A979,Raw_D3!$A$2:$A$1001,0),""))</f>
        <v>359</v>
      </c>
    </row>
    <row r="980" spans="1:44" x14ac:dyDescent="0.25">
      <c r="A980" s="5">
        <v>979</v>
      </c>
      <c r="B980" s="11">
        <f>IF($A980="","",IF($AP980&lt;&gt;"",INDEX(Raw_D1!$B$2:$B$1001,$AP980),IF($AR980&lt;&gt;"",INDEX(Raw_D3!$B$2:$B$1001,$AR980),"")))</f>
        <v>40587.0</v>
      </c>
      <c r="C980" s="5">
        <f>IF($A980="","",IF($AP980&lt;&gt;"",INDEX(Raw_D1!$C$2:$C$1001,$AP980),IF($AR980&lt;&gt;"",INDEX(Raw_D3!$C$2:$C$1001,$AR980),"")))</f>
        <v>1</v>
      </c>
      <c r="D980" s="5">
        <f>IF($A980="","",IF($AP980&lt;&gt;"",INDEX(Raw_D1!$D$2:$D$1001,$AP980),IF($AR980&lt;&gt;"",INDEX(Raw_D3!$D$2:$D$1001,$AR980),"")))</f>
        <v>0</v>
      </c>
      <c r="E980" s="5">
        <f>IF($A980="","",IF($AP980&lt;&gt;"",INDEX(Raw_D1!$E$2:$E$1001,$AP980),IF($AR980&lt;&gt;"",INDEX(Raw_D3!$E$2:$E$1001,$AR980),"")))</f>
        <v>2</v>
      </c>
      <c r="F980" s="5">
        <f>IF($A980="","",IF($AP980&lt;&gt;"",INDEX(Raw_D1!$F$2:$F$1001,$AP980),IF($AR980&lt;&gt;"",INDEX(Raw_D3!$F$2:$F$1001,$AR980),"")))</f>
        <v>10</v>
      </c>
      <c r="G980" s="5">
        <f>IF($A980="","",IF($AP980&lt;&gt;"",IF(INDEX(Raw_D1!$G$2:$G$1001,$AP980),1,0),IF($AR980&lt;&gt;"",IF(INDEX(Raw_D3!$G$2:$G$1001,$AR980),1,0),"")))</f>
        <v>0</v>
      </c>
      <c r="H980" s="5">
        <f>IF($A980="","",IF($AP980&lt;&gt;"",INDEX(Raw_D1!$H$2:$H$1001,$AP980),IF($AR980&lt;&gt;"",INDEX(Raw_D3!$H$2:$H$1001,$AR980),"")))</f>
        <v>0</v>
      </c>
      <c r="I980" s="5">
        <f>IF($A980="","",IF($AP980&lt;&gt;"",INDEX(Raw_D1!$I$2:$I$1001,$AP980),IF($AR980&lt;&gt;"",INDEX(Raw_D3!$I$2:$I$1001,$AR980),"")))</f>
        <v>1</v>
      </c>
      <c r="J980" s="16">
        <f>IF($A980="","",IF($AP980&lt;&gt;"",INDEX(Raw_D1!$J$2:$J$1001,$AP980),IF($AR980&lt;&gt;"",INDEX(Raw_D3!$J$2:$J$1001,$AR980),"")))</f>
        <v>0.3</v>
      </c>
      <c r="K980" s="17">
        <f>IF($A980="","",IF($AQ980&lt;&gt;"",IF(INDEX(Raw_D2!$C$2:$C$1001,$AQ980)="","",INDEX(Raw_D2!$C$2:$C$1001,$AQ980)),IF($AR980&lt;&gt;"",IF(INDEX(Raw_D3!$K$2:$K$1001,$AR980)="","",INDEX(Raw_D3!$K$2:$K$1001,$AR980)),"")))</f>
        <v>0.2727</v>
      </c>
      <c r="L980" s="16">
        <f>IF($A980="","",IF($AQ980&lt;&gt;"",IF(INDEX(Raw_D2!$D$2:$D$1001,$AQ980)="","",INDEX(Raw_D2!$D$2:$D$1001,$AQ980)),IF($AR980&lt;&gt;"",IF(INDEX(Raw_D3!$L$2:$L$1001,$AR980)="","",INDEX(Raw_D3!$L$2:$L$1001,$AR980)),"")))</f>
        <v>0.45</v>
      </c>
      <c r="M980" s="17">
        <f>IF($A980="","",IF($AQ980&lt;&gt;"",IF(INDEX(Raw_D2!$E$2:$E$1001,$AQ980)="","",INDEX(Raw_D2!$E$2:$E$1001,$AQ980)),IF($AR980&lt;&gt;"",IF(INDEX(Raw_D3!$M$2:$M$1001,$AR980)="","",INDEX(Raw_D3!$M$2:$M$1001,$AR980)),"")))</f>
        <v>0.3284</v>
      </c>
      <c r="N980" s="5">
        <f>IF($A980="","",IF($AQ980&lt;&gt;"",IF(INDEX(Raw_D2!$F$2:$F$1001,$AQ980)="","",INDEX(Raw_D2!$F$2:$F$1001,$AQ980)),IF($AR980&lt;&gt;"",IF(INDEX(Raw_D3!$N$2:$N$1001,$AR980)="","",INDEX(Raw_D3!$N$2:$N$1001,$AR980)),"")))</f>
        <v>19</v>
      </c>
      <c r="O980" s="5">
        <f>IF($A980="","",IF($AQ980&lt;&gt;"",IF(INDEX(Raw_D2!$G$2:$G$1001,$AQ980)="","",INDEX(Raw_D2!$G$2:$G$1001,$AQ980)),IF($AR980&lt;&gt;"",IF(INDEX(Raw_D3!$O$2:$O$1001,$AR980)="","",INDEX(Raw_D3!$O$2:$O$1001,$AR980)),"")))</f>
        <v>86</v>
      </c>
      <c r="P980" s="5">
        <f>IF($A980="","",IF($AQ980&lt;&gt;"",IF(INDEX(Raw_D2!$H$2:$H$1001,$AQ980)="","",INDEX(Raw_D2!$H$2:$H$1001,$AQ980)),IF($AR980&lt;&gt;"",IF(INDEX(Raw_D3!$P$2:$P$1001,$AR980)="","",INDEX(Raw_D3!$P$2:$P$1001,$AR980)),"")))</f>
        <v>105</v>
      </c>
      <c r="Q980" s="5" t="str">
        <f>IF($A980="","",IF(AND($AP980&lt;&gt;"",$AQ980&lt;&gt;""),"D1+D2",IF($AR980&lt;&gt;"","D3","Incomplete")))</f>
        <v>D3</v>
      </c>
      <c r="R980" s="17">
        <f>IF($A980="","",IF($K980="",IF($J980="","",ROUND(Lookups!$K$5+Lookups!$K$4*$J980,4)),$K980))</f>
        <v>0.2727</v>
      </c>
      <c r="S980" s="5" t="str">
        <f>IF($A980="","",IF($K980="","Imputed","Original"))</f>
        <v>Original</v>
      </c>
      <c r="T980" s="5" t="str">
        <f>IF($A980="","",IF($P980="","Missing",IF($P980=$N980+$O980,"OK","Mismatch")))</f>
        <v>OK</v>
      </c>
      <c r="U980" s="5" t="str">
        <f>IF($A980="","",IF(COUNTIF($A$2:$A980,$A980)&gt;1,"Duplicate","Unique"))</f>
        <v>Unique</v>
      </c>
      <c r="V980" s="5">
        <f>IF($A980="","",IF(AND($U980="Unique",ISNUMBER($P980)),1,0))</f>
        <v>1</v>
      </c>
      <c r="W980" s="5" t="str">
        <f>IF($A980="","",IF(OR($H980=0,$H980=6),"Weekend","Weekday"))</f>
        <v>Weekend</v>
      </c>
      <c r="X980" s="5" t="str">
        <f>IF($A980="","",TEXT($B980,"ddd"))</f>
        <v>Sun</v>
      </c>
      <c r="Y980" s="5" t="str">
        <f>IF($A980="","",TEXT($B980,"mmm"))</f>
        <v>Feb</v>
      </c>
      <c r="Z980" s="5" t="str">
        <f>IF($A980="","",IFERROR(VLOOKUP($C980,Lookups!$D$4:$E$7,2,FALSE),"Unknown"))</f>
        <v>Winter</v>
      </c>
      <c r="AA980" s="5" t="str">
        <f>IF($A980="","",IFERROR(VLOOKUP($I980,Lookups!$A$4:$B$7,2,FALSE),"Unknown"))</f>
        <v>Clear</v>
      </c>
      <c r="AB980" s="5" t="str">
        <f>IF($A980="","",TEXT($F980,"00")&amp;":00")</f>
        <v>10:00</v>
      </c>
      <c r="AC980" s="5" t="str">
        <f>IF($A980="","",VLOOKUP($F980,Lookups!$G$4:$H$8,2,TRUE))</f>
        <v>Midday (10-15)</v>
      </c>
      <c r="AD980" s="18">
        <f>IF($A980="","",IF($J980="","",ROUND($J980*41,1)))</f>
        <v>12.3</v>
      </c>
      <c r="AE980" s="18">
        <f>IF($A980="","",IF($R980="","",ROUND($R980*50,1)))</f>
        <v>13.6</v>
      </c>
      <c r="AF980" s="5">
        <f>IF($A980="","",IF($L980="","",ROUND($L980*100,0)))</f>
        <v>45</v>
      </c>
      <c r="AG980" s="18">
        <f>IF($A980="","",IF($M980="","",ROUND($M980*67,1)))</f>
        <v>22</v>
      </c>
      <c r="AH980" s="19">
        <f>IF($A980="","",IF($P980="","",IF($P980=0,0,$O980/$P980)))</f>
        <v>0.819047619047619</v>
      </c>
      <c r="AI980" s="5" t="str">
        <f>IF($A980="","",IF($P980="","",IF($P980&gt;=Lookups!$K$7,"High",IF($P980&lt;=Lookups!$K$8,"Low","Medium"))))</f>
        <v>High</v>
      </c>
      <c r="AJ980" s="5" t="str">
        <f>IF($A980="","",IF($AD980="","",IF($AD980&lt;5,"Under 5 C",IF($AD980&lt;10,"5-10 C",IF($AD980&lt;15,"10-15 C","15 C and above")))))</f>
        <v>10-15 C</v>
      </c>
      <c r="AK980" s="5">
        <f>IF($A980="","",IF($P980="","",$P980^2))</f>
        <v>11025</v>
      </c>
      <c r="AL980" s="18">
        <f>IF($V980&lt;&gt;1,"",AVERAGEIFS(Clean_Data!$P$2:$P$1001,Clean_Data!$F$2:$F$1001,$F980,Clean_Data!$W$2:$W$1001,$W980,Clean_Data!$V$2:$V$1001,1))</f>
        <v>62.7857142857143</v>
      </c>
      <c r="AM980" s="16">
        <f>IF($V980&lt;&gt;1,"",IFERROR(($P980-$AL980)/SQRT(MAX(0,(SUMIFS(Clean_Data!$AK$2:$AK$1001,Clean_Data!$F$2:$F$1001,$F980,Clean_Data!$W$2:$W$1001,$W980,Clean_Data!$V$2:$V$1001,1)-COUNTIFS(Clean_Data!$F$2:$F$1001,$F980,Clean_Data!$W$2:$W$1001,$W980,Clean_Data!$V$2:$V$1001,1)*$AL980^2)/(COUNTIFS(Clean_Data!$F$2:$F$1001,$F980,Clean_Data!$W$2:$W$1001,$W980,Clean_Data!$V$2:$V$1001,1)-1))),""))</f>
        <v>2.10821082382167</v>
      </c>
      <c r="AN980" s="5" t="str">
        <f>IF($AM980="","",IF($AM980&gt;=Lookups!$K$6,"High spike",IF($AM980&lt;=-Lookups!$K$6,"Unusual low","Normal")))</f>
        <v>Normal</v>
      </c>
      <c r="AO980" s="20">
        <f>IF($V980&lt;&gt;1,"",$P980+ROW()/100000)</f>
        <v>105.0098</v>
      </c>
      <c r="AP980" s="5">
        <f>IF($A980="","",IFERROR(MATCH($A980,Raw_D1!$A$2:$A$1001,0),""))</f>
        <v/>
      </c>
      <c r="AQ980" s="5">
        <f>IF($A980="","",IFERROR(MATCH($A980,Raw_D2!$B$2:$B$1001,0),""))</f>
        <v/>
      </c>
      <c r="AR980" s="5">
        <f>IF($A980="","",IFERROR(MATCH($A980,Raw_D3!$A$2:$A$1001,0),""))</f>
        <v>360</v>
      </c>
    </row>
    <row r="981" spans="1:44" x14ac:dyDescent="0.25">
      <c r="A981" s="5">
        <v>980</v>
      </c>
      <c r="B981" s="11">
        <f>IF($A981="","",IF($AP981&lt;&gt;"",INDEX(Raw_D1!$B$2:$B$1001,$AP981),IF($AR981&lt;&gt;"",INDEX(Raw_D3!$B$2:$B$1001,$AR981),"")))</f>
        <v>40587.0</v>
      </c>
      <c r="C981" s="5">
        <f>IF($A981="","",IF($AP981&lt;&gt;"",INDEX(Raw_D1!$C$2:$C$1001,$AP981),IF($AR981&lt;&gt;"",INDEX(Raw_D3!$C$2:$C$1001,$AR981),"")))</f>
        <v>1</v>
      </c>
      <c r="D981" s="5">
        <f>IF($A981="","",IF($AP981&lt;&gt;"",INDEX(Raw_D1!$D$2:$D$1001,$AP981),IF($AR981&lt;&gt;"",INDEX(Raw_D3!$D$2:$D$1001,$AR981),"")))</f>
        <v>0</v>
      </c>
      <c r="E981" s="5">
        <f>IF($A981="","",IF($AP981&lt;&gt;"",INDEX(Raw_D1!$E$2:$E$1001,$AP981),IF($AR981&lt;&gt;"",INDEX(Raw_D3!$E$2:$E$1001,$AR981),"")))</f>
        <v>2</v>
      </c>
      <c r="F981" s="5">
        <f>IF($A981="","",IF($AP981&lt;&gt;"",INDEX(Raw_D1!$F$2:$F$1001,$AP981),IF($AR981&lt;&gt;"",INDEX(Raw_D3!$F$2:$F$1001,$AR981),"")))</f>
        <v>11</v>
      </c>
      <c r="G981" s="5">
        <f>IF($A981="","",IF($AP981&lt;&gt;"",IF(INDEX(Raw_D1!$G$2:$G$1001,$AP981),1,0),IF($AR981&lt;&gt;"",IF(INDEX(Raw_D3!$G$2:$G$1001,$AR981),1,0),"")))</f>
        <v>0</v>
      </c>
      <c r="H981" s="5">
        <f>IF($A981="","",IF($AP981&lt;&gt;"",INDEX(Raw_D1!$H$2:$H$1001,$AP981),IF($AR981&lt;&gt;"",INDEX(Raw_D3!$H$2:$H$1001,$AR981),"")))</f>
        <v>0</v>
      </c>
      <c r="I981" s="5">
        <f>IF($A981="","",IF($AP981&lt;&gt;"",INDEX(Raw_D1!$I$2:$I$1001,$AP981),IF($AR981&lt;&gt;"",INDEX(Raw_D3!$I$2:$I$1001,$AR981),"")))</f>
        <v>1</v>
      </c>
      <c r="J981" s="16">
        <f>IF($A981="","",IF($AP981&lt;&gt;"",INDEX(Raw_D1!$J$2:$J$1001,$AP981),IF($AR981&lt;&gt;"",INDEX(Raw_D3!$J$2:$J$1001,$AR981),"")))</f>
        <v>0.32</v>
      </c>
      <c r="K981" s="17">
        <f>IF($A981="","",IF($AQ981&lt;&gt;"",IF(INDEX(Raw_D2!$C$2:$C$1001,$AQ981)="","",INDEX(Raw_D2!$C$2:$C$1001,$AQ981)),IF($AR981&lt;&gt;"",IF(INDEX(Raw_D3!$K$2:$K$1001,$AR981)="","",INDEX(Raw_D3!$K$2:$K$1001,$AR981)),"")))</f>
        <v>0.2879</v>
      </c>
      <c r="L981" s="16">
        <f>IF($A981="","",IF($AQ981&lt;&gt;"",IF(INDEX(Raw_D2!$D$2:$D$1001,$AQ981)="","",INDEX(Raw_D2!$D$2:$D$1001,$AQ981)),IF($AR981&lt;&gt;"",IF(INDEX(Raw_D3!$L$2:$L$1001,$AR981)="","",INDEX(Raw_D3!$L$2:$L$1001,$AR981)),"")))</f>
        <v>0.39</v>
      </c>
      <c r="M981" s="17">
        <f>IF($A981="","",IF($AQ981&lt;&gt;"",IF(INDEX(Raw_D2!$E$2:$E$1001,$AQ981)="","",INDEX(Raw_D2!$E$2:$E$1001,$AQ981)),IF($AR981&lt;&gt;"",IF(INDEX(Raw_D3!$M$2:$M$1001,$AR981)="","",INDEX(Raw_D3!$M$2:$M$1001,$AR981)),"")))</f>
        <v>0.4478</v>
      </c>
      <c r="N981" s="5">
        <f>IF($A981="","",IF($AQ981&lt;&gt;"",IF(INDEX(Raw_D2!$F$2:$F$1001,$AQ981)="","",INDEX(Raw_D2!$F$2:$F$1001,$AQ981)),IF($AR981&lt;&gt;"",IF(INDEX(Raw_D3!$N$2:$N$1001,$AR981)="","",INDEX(Raw_D3!$N$2:$N$1001,$AR981)),"")))</f>
        <v>26</v>
      </c>
      <c r="O981" s="5">
        <f>IF($A981="","",IF($AQ981&lt;&gt;"",IF(INDEX(Raw_D2!$G$2:$G$1001,$AQ981)="","",INDEX(Raw_D2!$G$2:$G$1001,$AQ981)),IF($AR981&lt;&gt;"",IF(INDEX(Raw_D3!$O$2:$O$1001,$AR981)="","",INDEX(Raw_D3!$O$2:$O$1001,$AR981)),"")))</f>
        <v>86</v>
      </c>
      <c r="P981" s="5">
        <f>IF($A981="","",IF($AQ981&lt;&gt;"",IF(INDEX(Raw_D2!$H$2:$H$1001,$AQ981)="","",INDEX(Raw_D2!$H$2:$H$1001,$AQ981)),IF($AR981&lt;&gt;"",IF(INDEX(Raw_D3!$P$2:$P$1001,$AR981)="","",INDEX(Raw_D3!$P$2:$P$1001,$AR981)),"")))</f>
        <v>112</v>
      </c>
      <c r="Q981" s="5" t="str">
        <f>IF($A981="","",IF(AND($AP981&lt;&gt;"",$AQ981&lt;&gt;""),"D1+D2",IF($AR981&lt;&gt;"","D3","Incomplete")))</f>
        <v>D3</v>
      </c>
      <c r="R981" s="17">
        <f>IF($A981="","",IF($K981="",IF($J981="","",ROUND(Lookups!$K$5+Lookups!$K$4*$J981,4)),$K981))</f>
        <v>0.2879</v>
      </c>
      <c r="S981" s="5" t="str">
        <f>IF($A981="","",IF($K981="","Imputed","Original"))</f>
        <v>Original</v>
      </c>
      <c r="T981" s="5" t="str">
        <f>IF($A981="","",IF($P981="","Missing",IF($P981=$N981+$O981,"OK","Mismatch")))</f>
        <v>OK</v>
      </c>
      <c r="U981" s="5" t="str">
        <f>IF($A981="","",IF(COUNTIF($A$2:$A981,$A981)&gt;1,"Duplicate","Unique"))</f>
        <v>Unique</v>
      </c>
      <c r="V981" s="5">
        <f>IF($A981="","",IF(AND($U981="Unique",ISNUMBER($P981)),1,0))</f>
        <v>1</v>
      </c>
      <c r="W981" s="5" t="str">
        <f>IF($A981="","",IF(OR($H981=0,$H981=6),"Weekend","Weekday"))</f>
        <v>Weekend</v>
      </c>
      <c r="X981" s="5" t="str">
        <f>IF($A981="","",TEXT($B981,"ddd"))</f>
        <v>Sun</v>
      </c>
      <c r="Y981" s="5" t="str">
        <f>IF($A981="","",TEXT($B981,"mmm"))</f>
        <v>Feb</v>
      </c>
      <c r="Z981" s="5" t="str">
        <f>IF($A981="","",IFERROR(VLOOKUP($C981,Lookups!$D$4:$E$7,2,FALSE),"Unknown"))</f>
        <v>Winter</v>
      </c>
      <c r="AA981" s="5" t="str">
        <f>IF($A981="","",IFERROR(VLOOKUP($I981,Lookups!$A$4:$B$7,2,FALSE),"Unknown"))</f>
        <v>Clear</v>
      </c>
      <c r="AB981" s="5" t="str">
        <f>IF($A981="","",TEXT($F981,"00")&amp;":00")</f>
        <v>11:00</v>
      </c>
      <c r="AC981" s="5" t="str">
        <f>IF($A981="","",VLOOKUP($F981,Lookups!$G$4:$H$8,2,TRUE))</f>
        <v>Midday (10-15)</v>
      </c>
      <c r="AD981" s="18">
        <f>IF($A981="","",IF($J981="","",ROUND($J981*41,1)))</f>
        <v>13.1</v>
      </c>
      <c r="AE981" s="18">
        <f>IF($A981="","",IF($R981="","",ROUND($R981*50,1)))</f>
        <v>14.4</v>
      </c>
      <c r="AF981" s="5">
        <f>IF($A981="","",IF($L981="","",ROUND($L981*100,0)))</f>
        <v>39</v>
      </c>
      <c r="AG981" s="18">
        <f>IF($A981="","",IF($M981="","",ROUND($M981*67,1)))</f>
        <v>30</v>
      </c>
      <c r="AH981" s="19">
        <f>IF($A981="","",IF($P981="","",IF($P981=0,0,$O981/$P981)))</f>
        <v>0.767857142857143</v>
      </c>
      <c r="AI981" s="5" t="str">
        <f>IF($A981="","",IF($P981="","",IF($P981&gt;=Lookups!$K$7,"High",IF($P981&lt;=Lookups!$K$8,"Low","Medium"))))</f>
        <v>High</v>
      </c>
      <c r="AJ981" s="5" t="str">
        <f>IF($A981="","",IF($AD981="","",IF($AD981&lt;5,"Under 5 C",IF($AD981&lt;10,"5-10 C",IF($AD981&lt;15,"10-15 C","15 C and above")))))</f>
        <v>10-15 C</v>
      </c>
      <c r="AK981" s="5">
        <f>IF($A981="","",IF($P981="","",$P981^2))</f>
        <v>12544</v>
      </c>
      <c r="AL981" s="18">
        <f>IF($V981&lt;&gt;1,"",AVERAGEIFS(Clean_Data!$P$2:$P$1001,Clean_Data!$F$2:$F$1001,$F981,Clean_Data!$W$2:$W$1001,$W981,Clean_Data!$V$2:$V$1001,1))</f>
        <v>76.9285714285714</v>
      </c>
      <c r="AM981" s="16">
        <f>IF($V981&lt;&gt;1,"",IFERROR(($P981-$AL981)/SQRT(MAX(0,(SUMIFS(Clean_Data!$AK$2:$AK$1001,Clean_Data!$F$2:$F$1001,$F981,Clean_Data!$W$2:$W$1001,$W981,Clean_Data!$V$2:$V$1001,1)-COUNTIFS(Clean_Data!$F$2:$F$1001,$F981,Clean_Data!$W$2:$W$1001,$W981,Clean_Data!$V$2:$V$1001,1)*$AL981^2)/(COUNTIFS(Clean_Data!$F$2:$F$1001,$F981,Clean_Data!$W$2:$W$1001,$W981,Clean_Data!$V$2:$V$1001,1)-1))),""))</f>
        <v>1.40964598735462</v>
      </c>
      <c r="AN981" s="5" t="str">
        <f>IF($AM981="","",IF($AM981&gt;=Lookups!$K$6,"High spike",IF($AM981&lt;=-Lookups!$K$6,"Unusual low","Normal")))</f>
        <v>Normal</v>
      </c>
      <c r="AO981" s="20">
        <f>IF($V981&lt;&gt;1,"",$P981+ROW()/100000)</f>
        <v>112.00981</v>
      </c>
      <c r="AP981" s="5">
        <f>IF($A981="","",IFERROR(MATCH($A981,Raw_D1!$A$2:$A$1001,0),""))</f>
        <v/>
      </c>
      <c r="AQ981" s="5">
        <f>IF($A981="","",IFERROR(MATCH($A981,Raw_D2!$B$2:$B$1001,0),""))</f>
        <v/>
      </c>
      <c r="AR981" s="5">
        <f>IF($A981="","",IFERROR(MATCH($A981,Raw_D3!$A$2:$A$1001,0),""))</f>
        <v>361</v>
      </c>
    </row>
    <row r="982" spans="1:44" x14ac:dyDescent="0.25">
      <c r="A982" s="5">
        <v>981</v>
      </c>
      <c r="B982" s="11">
        <f>IF($A982="","",IF($AP982&lt;&gt;"",INDEX(Raw_D1!$B$2:$B$1001,$AP982),IF($AR982&lt;&gt;"",INDEX(Raw_D3!$B$2:$B$1001,$AR982),"")))</f>
        <v>40587.0</v>
      </c>
      <c r="C982" s="5">
        <f>IF($A982="","",IF($AP982&lt;&gt;"",INDEX(Raw_D1!$C$2:$C$1001,$AP982),IF($AR982&lt;&gt;"",INDEX(Raw_D3!$C$2:$C$1001,$AR982),"")))</f>
        <v>1</v>
      </c>
      <c r="D982" s="5">
        <f>IF($A982="","",IF($AP982&lt;&gt;"",INDEX(Raw_D1!$D$2:$D$1001,$AP982),IF($AR982&lt;&gt;"",INDEX(Raw_D3!$D$2:$D$1001,$AR982),"")))</f>
        <v>0</v>
      </c>
      <c r="E982" s="5">
        <f>IF($A982="","",IF($AP982&lt;&gt;"",INDEX(Raw_D1!$E$2:$E$1001,$AP982),IF($AR982&lt;&gt;"",INDEX(Raw_D3!$E$2:$E$1001,$AR982),"")))</f>
        <v>2</v>
      </c>
      <c r="F982" s="5">
        <f>IF($A982="","",IF($AP982&lt;&gt;"",INDEX(Raw_D1!$F$2:$F$1001,$AP982),IF($AR982&lt;&gt;"",INDEX(Raw_D3!$F$2:$F$1001,$AR982),"")))</f>
        <v>12</v>
      </c>
      <c r="G982" s="5">
        <f>IF($A982="","",IF($AP982&lt;&gt;"",IF(INDEX(Raw_D1!$G$2:$G$1001,$AP982),1,0),IF($AR982&lt;&gt;"",IF(INDEX(Raw_D3!$G$2:$G$1001,$AR982),1,0),"")))</f>
        <v>0</v>
      </c>
      <c r="H982" s="5">
        <f>IF($A982="","",IF($AP982&lt;&gt;"",INDEX(Raw_D1!$H$2:$H$1001,$AP982),IF($AR982&lt;&gt;"",INDEX(Raw_D3!$H$2:$H$1001,$AR982),"")))</f>
        <v>0</v>
      </c>
      <c r="I982" s="5">
        <f>IF($A982="","",IF($AP982&lt;&gt;"",INDEX(Raw_D1!$I$2:$I$1001,$AP982),IF($AR982&lt;&gt;"",INDEX(Raw_D3!$I$2:$I$1001,$AR982),"")))</f>
        <v>1</v>
      </c>
      <c r="J982" s="16">
        <f>IF($A982="","",IF($AP982&lt;&gt;"",INDEX(Raw_D1!$J$2:$J$1001,$AP982),IF($AR982&lt;&gt;"",INDEX(Raw_D3!$J$2:$J$1001,$AR982),"")))</f>
        <v>0.36</v>
      </c>
      <c r="K982" s="17">
        <f>IF($A982="","",IF($AQ982&lt;&gt;"",IF(INDEX(Raw_D2!$C$2:$C$1001,$AQ982)="","",INDEX(Raw_D2!$C$2:$C$1001,$AQ982)),IF($AR982&lt;&gt;"",IF(INDEX(Raw_D3!$K$2:$K$1001,$AR982)="","",INDEX(Raw_D3!$K$2:$K$1001,$AR982)),"")))</f>
        <v>0.3182</v>
      </c>
      <c r="L982" s="16">
        <f>IF($A982="","",IF($AQ982&lt;&gt;"",IF(INDEX(Raw_D2!$D$2:$D$1001,$AQ982)="","",INDEX(Raw_D2!$D$2:$D$1001,$AQ982)),IF($AR982&lt;&gt;"",IF(INDEX(Raw_D3!$L$2:$L$1001,$AR982)="","",INDEX(Raw_D3!$L$2:$L$1001,$AR982)),"")))</f>
        <v>0.32</v>
      </c>
      <c r="M982" s="17">
        <f>IF($A982="","",IF($AQ982&lt;&gt;"",IF(INDEX(Raw_D2!$E$2:$E$1001,$AQ982)="","",INDEX(Raw_D2!$E$2:$E$1001,$AQ982)),IF($AR982&lt;&gt;"",IF(INDEX(Raw_D3!$M$2:$M$1001,$AR982)="","",INDEX(Raw_D3!$M$2:$M$1001,$AR982)),"")))</f>
        <v>0.4627</v>
      </c>
      <c r="N982" s="5">
        <f>IF($A982="","",IF($AQ982&lt;&gt;"",IF(INDEX(Raw_D2!$F$2:$F$1001,$AQ982)="","",INDEX(Raw_D2!$F$2:$F$1001,$AQ982)),IF($AR982&lt;&gt;"",IF(INDEX(Raw_D3!$N$2:$N$1001,$AR982)="","",INDEX(Raw_D3!$N$2:$N$1001,$AR982)),"")))</f>
        <v>58</v>
      </c>
      <c r="O982" s="5">
        <f>IF($A982="","",IF($AQ982&lt;&gt;"",IF(INDEX(Raw_D2!$G$2:$G$1001,$AQ982)="","",INDEX(Raw_D2!$G$2:$G$1001,$AQ982)),IF($AR982&lt;&gt;"",IF(INDEX(Raw_D3!$O$2:$O$1001,$AR982)="","",INDEX(Raw_D3!$O$2:$O$1001,$AR982)),"")))</f>
        <v>94</v>
      </c>
      <c r="P982" s="5">
        <f>IF($A982="","",IF($AQ982&lt;&gt;"",IF(INDEX(Raw_D2!$H$2:$H$1001,$AQ982)="","",INDEX(Raw_D2!$H$2:$H$1001,$AQ982)),IF($AR982&lt;&gt;"",IF(INDEX(Raw_D3!$P$2:$P$1001,$AR982)="","",INDEX(Raw_D3!$P$2:$P$1001,$AR982)),"")))</f>
        <v>152</v>
      </c>
      <c r="Q982" s="5" t="str">
        <f>IF($A982="","",IF(AND($AP982&lt;&gt;"",$AQ982&lt;&gt;""),"D1+D2",IF($AR982&lt;&gt;"","D3","Incomplete")))</f>
        <v>D3</v>
      </c>
      <c r="R982" s="17">
        <f>IF($A982="","",IF($K982="",IF($J982="","",ROUND(Lookups!$K$5+Lookups!$K$4*$J982,4)),$K982))</f>
        <v>0.3182</v>
      </c>
      <c r="S982" s="5" t="str">
        <f>IF($A982="","",IF($K982="","Imputed","Original"))</f>
        <v>Original</v>
      </c>
      <c r="T982" s="5" t="str">
        <f>IF($A982="","",IF($P982="","Missing",IF($P982=$N982+$O982,"OK","Mismatch")))</f>
        <v>OK</v>
      </c>
      <c r="U982" s="5" t="str">
        <f>IF($A982="","",IF(COUNTIF($A$2:$A982,$A982)&gt;1,"Duplicate","Unique"))</f>
        <v>Unique</v>
      </c>
      <c r="V982" s="5">
        <f>IF($A982="","",IF(AND($U982="Unique",ISNUMBER($P982)),1,0))</f>
        <v>1</v>
      </c>
      <c r="W982" s="5" t="str">
        <f>IF($A982="","",IF(OR($H982=0,$H982=6),"Weekend","Weekday"))</f>
        <v>Weekend</v>
      </c>
      <c r="X982" s="5" t="str">
        <f>IF($A982="","",TEXT($B982,"ddd"))</f>
        <v>Sun</v>
      </c>
      <c r="Y982" s="5" t="str">
        <f>IF($A982="","",TEXT($B982,"mmm"))</f>
        <v>Feb</v>
      </c>
      <c r="Z982" s="5" t="str">
        <f>IF($A982="","",IFERROR(VLOOKUP($C982,Lookups!$D$4:$E$7,2,FALSE),"Unknown"))</f>
        <v>Winter</v>
      </c>
      <c r="AA982" s="5" t="str">
        <f>IF($A982="","",IFERROR(VLOOKUP($I982,Lookups!$A$4:$B$7,2,FALSE),"Unknown"))</f>
        <v>Clear</v>
      </c>
      <c r="AB982" s="5" t="str">
        <f>IF($A982="","",TEXT($F982,"00")&amp;":00")</f>
        <v>12:00</v>
      </c>
      <c r="AC982" s="5" t="str">
        <f>IF($A982="","",VLOOKUP($F982,Lookups!$G$4:$H$8,2,TRUE))</f>
        <v>Midday (10-15)</v>
      </c>
      <c r="AD982" s="18">
        <f>IF($A982="","",IF($J982="","",ROUND($J982*41,1)))</f>
        <v>14.8</v>
      </c>
      <c r="AE982" s="18">
        <f>IF($A982="","",IF($R982="","",ROUND($R982*50,1)))</f>
        <v>15.9</v>
      </c>
      <c r="AF982" s="5">
        <f>IF($A982="","",IF($L982="","",ROUND($L982*100,0)))</f>
        <v>32</v>
      </c>
      <c r="AG982" s="18">
        <f>IF($A982="","",IF($M982="","",ROUND($M982*67,1)))</f>
        <v>31</v>
      </c>
      <c r="AH982" s="19">
        <f>IF($A982="","",IF($P982="","",IF($P982=0,0,$O982/$P982)))</f>
        <v>0.618421052631579</v>
      </c>
      <c r="AI982" s="5" t="str">
        <f>IF($A982="","",IF($P982="","",IF($P982&gt;=Lookups!$K$7,"High",IF($P982&lt;=Lookups!$K$8,"Low","Medium"))))</f>
        <v>High</v>
      </c>
      <c r="AJ982" s="5" t="str">
        <f>IF($A982="","",IF($AD982="","",IF($AD982&lt;5,"Under 5 C",IF($AD982&lt;10,"5-10 C",IF($AD982&lt;15,"10-15 C","15 C and above")))))</f>
        <v>10-15 C</v>
      </c>
      <c r="AK982" s="5">
        <f>IF($A982="","",IF($P982="","",$P982^2))</f>
        <v>23104</v>
      </c>
      <c r="AL982" s="18">
        <f>IF($V982&lt;&gt;1,"",AVERAGEIFS(Clean_Data!$P$2:$P$1001,Clean_Data!$F$2:$F$1001,$F982,Clean_Data!$W$2:$W$1001,$W982,Clean_Data!$V$2:$V$1001,1))</f>
        <v>100.714285714286</v>
      </c>
      <c r="AM982" s="16">
        <f>IF($V982&lt;&gt;1,"",IFERROR(($P982-$AL982)/SQRT(MAX(0,(SUMIFS(Clean_Data!$AK$2:$AK$1001,Clean_Data!$F$2:$F$1001,$F982,Clean_Data!$W$2:$W$1001,$W982,Clean_Data!$V$2:$V$1001,1)-COUNTIFS(Clean_Data!$F$2:$F$1001,$F982,Clean_Data!$W$2:$W$1001,$W982,Clean_Data!$V$2:$V$1001,1)*$AL982^2)/(COUNTIFS(Clean_Data!$F$2:$F$1001,$F982,Clean_Data!$W$2:$W$1001,$W982,Clean_Data!$V$2:$V$1001,1)-1))),""))</f>
        <v>1.60576610505005</v>
      </c>
      <c r="AN982" s="5" t="str">
        <f>IF($AM982="","",IF($AM982&gt;=Lookups!$K$6,"High spike",IF($AM982&lt;=-Lookups!$K$6,"Unusual low","Normal")))</f>
        <v>Normal</v>
      </c>
      <c r="AO982" s="20">
        <f>IF($V982&lt;&gt;1,"",$P982+ROW()/100000)</f>
        <v>152.00982</v>
      </c>
      <c r="AP982" s="5">
        <f>IF($A982="","",IFERROR(MATCH($A982,Raw_D1!$A$2:$A$1001,0),""))</f>
        <v/>
      </c>
      <c r="AQ982" s="5">
        <f>IF($A982="","",IFERROR(MATCH($A982,Raw_D2!$B$2:$B$1001,0),""))</f>
        <v/>
      </c>
      <c r="AR982" s="5">
        <f>IF($A982="","",IFERROR(MATCH($A982,Raw_D3!$A$2:$A$1001,0),""))</f>
        <v>362</v>
      </c>
    </row>
    <row r="983" spans="1:44" x14ac:dyDescent="0.25">
      <c r="A983" s="5">
        <v>982</v>
      </c>
      <c r="B983" s="11">
        <f>IF($A983="","",IF($AP983&lt;&gt;"",INDEX(Raw_D1!$B$2:$B$1001,$AP983),IF($AR983&lt;&gt;"",INDEX(Raw_D3!$B$2:$B$1001,$AR983),"")))</f>
        <v>40587.0</v>
      </c>
      <c r="C983" s="5">
        <f>IF($A983="","",IF($AP983&lt;&gt;"",INDEX(Raw_D1!$C$2:$C$1001,$AP983),IF($AR983&lt;&gt;"",INDEX(Raw_D3!$C$2:$C$1001,$AR983),"")))</f>
        <v>1</v>
      </c>
      <c r="D983" s="5">
        <f>IF($A983="","",IF($AP983&lt;&gt;"",INDEX(Raw_D1!$D$2:$D$1001,$AP983),IF($AR983&lt;&gt;"",INDEX(Raw_D3!$D$2:$D$1001,$AR983),"")))</f>
        <v>0</v>
      </c>
      <c r="E983" s="5">
        <f>IF($A983="","",IF($AP983&lt;&gt;"",INDEX(Raw_D1!$E$2:$E$1001,$AP983),IF($AR983&lt;&gt;"",INDEX(Raw_D3!$E$2:$E$1001,$AR983),"")))</f>
        <v>2</v>
      </c>
      <c r="F983" s="5">
        <f>IF($A983="","",IF($AP983&lt;&gt;"",INDEX(Raw_D1!$F$2:$F$1001,$AP983),IF($AR983&lt;&gt;"",INDEX(Raw_D3!$F$2:$F$1001,$AR983),"")))</f>
        <v>13</v>
      </c>
      <c r="G983" s="5">
        <f>IF($A983="","",IF($AP983&lt;&gt;"",IF(INDEX(Raw_D1!$G$2:$G$1001,$AP983),1,0),IF($AR983&lt;&gt;"",IF(INDEX(Raw_D3!$G$2:$G$1001,$AR983),1,0),"")))</f>
        <v>0</v>
      </c>
      <c r="H983" s="5">
        <f>IF($A983="","",IF($AP983&lt;&gt;"",INDEX(Raw_D1!$H$2:$H$1001,$AP983),IF($AR983&lt;&gt;"",INDEX(Raw_D3!$H$2:$H$1001,$AR983),"")))</f>
        <v>0</v>
      </c>
      <c r="I983" s="5">
        <f>IF($A983="","",IF($AP983&lt;&gt;"",INDEX(Raw_D1!$I$2:$I$1001,$AP983),IF($AR983&lt;&gt;"",INDEX(Raw_D3!$I$2:$I$1001,$AR983),"")))</f>
        <v>1</v>
      </c>
      <c r="J983" s="16">
        <f>IF($A983="","",IF($AP983&lt;&gt;"",INDEX(Raw_D1!$J$2:$J$1001,$AP983),IF($AR983&lt;&gt;"",INDEX(Raw_D3!$J$2:$J$1001,$AR983),"")))</f>
        <v>0.38</v>
      </c>
      <c r="K983" s="17">
        <f>IF($A983="","",IF($AQ983&lt;&gt;"",IF(INDEX(Raw_D2!$C$2:$C$1001,$AQ983)="","",INDEX(Raw_D2!$C$2:$C$1001,$AQ983)),IF($AR983&lt;&gt;"",IF(INDEX(Raw_D3!$K$2:$K$1001,$AR983)="","",INDEX(Raw_D3!$K$2:$K$1001,$AR983)),"")))</f>
        <v>0.3939</v>
      </c>
      <c r="L983" s="16">
        <f>IF($A983="","",IF($AQ983&lt;&gt;"",IF(INDEX(Raw_D2!$D$2:$D$1001,$AQ983)="","",INDEX(Raw_D2!$D$2:$D$1001,$AQ983)),IF($AR983&lt;&gt;"",IF(INDEX(Raw_D3!$L$2:$L$1001,$AR983)="","",INDEX(Raw_D3!$L$2:$L$1001,$AR983)),"")))</f>
        <v>0.29</v>
      </c>
      <c r="M983" s="17">
        <f>IF($A983="","",IF($AQ983&lt;&gt;"",IF(INDEX(Raw_D2!$E$2:$E$1001,$AQ983)="","",INDEX(Raw_D2!$E$2:$E$1001,$AQ983)),IF($AR983&lt;&gt;"",IF(INDEX(Raw_D3!$M$2:$M$1001,$AR983)="","",INDEX(Raw_D3!$M$2:$M$1001,$AR983)),"")))</f>
        <v>0.3582</v>
      </c>
      <c r="N983" s="5">
        <f>IF($A983="","",IF($AQ983&lt;&gt;"",IF(INDEX(Raw_D2!$F$2:$F$1001,$AQ983)="","",INDEX(Raw_D2!$F$2:$F$1001,$AQ983)),IF($AR983&lt;&gt;"",IF(INDEX(Raw_D3!$N$2:$N$1001,$AR983)="","",INDEX(Raw_D3!$N$2:$N$1001,$AR983)),"")))</f>
        <v>62</v>
      </c>
      <c r="O983" s="5">
        <f>IF($A983="","",IF($AQ983&lt;&gt;"",IF(INDEX(Raw_D2!$G$2:$G$1001,$AQ983)="","",INDEX(Raw_D2!$G$2:$G$1001,$AQ983)),IF($AR983&lt;&gt;"",IF(INDEX(Raw_D3!$O$2:$O$1001,$AR983)="","",INDEX(Raw_D3!$O$2:$O$1001,$AR983)),"")))</f>
        <v>92</v>
      </c>
      <c r="P983" s="5">
        <f>IF($A983="","",IF($AQ983&lt;&gt;"",IF(INDEX(Raw_D2!$H$2:$H$1001,$AQ983)="","",INDEX(Raw_D2!$H$2:$H$1001,$AQ983)),IF($AR983&lt;&gt;"",IF(INDEX(Raw_D3!$P$2:$P$1001,$AR983)="","",INDEX(Raw_D3!$P$2:$P$1001,$AR983)),"")))</f>
        <v>154</v>
      </c>
      <c r="Q983" s="5" t="str">
        <f>IF($A983="","",IF(AND($AP983&lt;&gt;"",$AQ983&lt;&gt;""),"D1+D2",IF($AR983&lt;&gt;"","D3","Incomplete")))</f>
        <v>D3</v>
      </c>
      <c r="R983" s="17">
        <f>IF($A983="","",IF($K983="",IF($J983="","",ROUND(Lookups!$K$5+Lookups!$K$4*$J983,4)),$K983))</f>
        <v>0.3939</v>
      </c>
      <c r="S983" s="5" t="str">
        <f>IF($A983="","",IF($K983="","Imputed","Original"))</f>
        <v>Original</v>
      </c>
      <c r="T983" s="5" t="str">
        <f>IF($A983="","",IF($P983="","Missing",IF($P983=$N983+$O983,"OK","Mismatch")))</f>
        <v>OK</v>
      </c>
      <c r="U983" s="5" t="str">
        <f>IF($A983="","",IF(COUNTIF($A$2:$A983,$A983)&gt;1,"Duplicate","Unique"))</f>
        <v>Unique</v>
      </c>
      <c r="V983" s="5">
        <f>IF($A983="","",IF(AND($U983="Unique",ISNUMBER($P983)),1,0))</f>
        <v>1</v>
      </c>
      <c r="W983" s="5" t="str">
        <f>IF($A983="","",IF(OR($H983=0,$H983=6),"Weekend","Weekday"))</f>
        <v>Weekend</v>
      </c>
      <c r="X983" s="5" t="str">
        <f>IF($A983="","",TEXT($B983,"ddd"))</f>
        <v>Sun</v>
      </c>
      <c r="Y983" s="5" t="str">
        <f>IF($A983="","",TEXT($B983,"mmm"))</f>
        <v>Feb</v>
      </c>
      <c r="Z983" s="5" t="str">
        <f>IF($A983="","",IFERROR(VLOOKUP($C983,Lookups!$D$4:$E$7,2,FALSE),"Unknown"))</f>
        <v>Winter</v>
      </c>
      <c r="AA983" s="5" t="str">
        <f>IF($A983="","",IFERROR(VLOOKUP($I983,Lookups!$A$4:$B$7,2,FALSE),"Unknown"))</f>
        <v>Clear</v>
      </c>
      <c r="AB983" s="5" t="str">
        <f>IF($A983="","",TEXT($F983,"00")&amp;":00")</f>
        <v>13:00</v>
      </c>
      <c r="AC983" s="5" t="str">
        <f>IF($A983="","",VLOOKUP($F983,Lookups!$G$4:$H$8,2,TRUE))</f>
        <v>Midday (10-15)</v>
      </c>
      <c r="AD983" s="18">
        <f>IF($A983="","",IF($J983="","",ROUND($J983*41,1)))</f>
        <v>15.6</v>
      </c>
      <c r="AE983" s="18">
        <f>IF($A983="","",IF($R983="","",ROUND($R983*50,1)))</f>
        <v>19.7</v>
      </c>
      <c r="AF983" s="5">
        <f>IF($A983="","",IF($L983="","",ROUND($L983*100,0)))</f>
        <v>29</v>
      </c>
      <c r="AG983" s="18">
        <f>IF($A983="","",IF($M983="","",ROUND($M983*67,1)))</f>
        <v>24</v>
      </c>
      <c r="AH983" s="19">
        <f>IF($A983="","",IF($P983="","",IF($P983=0,0,$O983/$P983)))</f>
        <v>0.597402597402597</v>
      </c>
      <c r="AI983" s="5" t="str">
        <f>IF($A983="","",IF($P983="","",IF($P983&gt;=Lookups!$K$7,"High",IF($P983&lt;=Lookups!$K$8,"Low","Medium"))))</f>
        <v>High</v>
      </c>
      <c r="AJ983" s="5" t="str">
        <f>IF($A983="","",IF($AD983="","",IF($AD983&lt;5,"Under 5 C",IF($AD983&lt;10,"5-10 C",IF($AD983&lt;15,"10-15 C","15 C and above")))))</f>
        <v>15 C and above</v>
      </c>
      <c r="AK983" s="5">
        <f>IF($A983="","",IF($P983="","",$P983^2))</f>
        <v>23716</v>
      </c>
      <c r="AL983" s="18">
        <f>IF($V983&lt;&gt;1,"",AVERAGEIFS(Clean_Data!$P$2:$P$1001,Clean_Data!$F$2:$F$1001,$F983,Clean_Data!$W$2:$W$1001,$W983,Clean_Data!$V$2:$V$1001,1))</f>
        <v>102</v>
      </c>
      <c r="AM983" s="16">
        <f>IF($V983&lt;&gt;1,"",IFERROR(($P983-$AL983)/SQRT(MAX(0,(SUMIFS(Clean_Data!$AK$2:$AK$1001,Clean_Data!$F$2:$F$1001,$F983,Clean_Data!$W$2:$W$1001,$W983,Clean_Data!$V$2:$V$1001,1)-COUNTIFS(Clean_Data!$F$2:$F$1001,$F983,Clean_Data!$W$2:$W$1001,$W983,Clean_Data!$V$2:$V$1001,1)*$AL983^2)/(COUNTIFS(Clean_Data!$F$2:$F$1001,$F983,Clean_Data!$W$2:$W$1001,$W983,Clean_Data!$V$2:$V$1001,1)-1))),""))</f>
        <v>1.52505431302245</v>
      </c>
      <c r="AN983" s="5" t="str">
        <f>IF($AM983="","",IF($AM983&gt;=Lookups!$K$6,"High spike",IF($AM983&lt;=-Lookups!$K$6,"Unusual low","Normal")))</f>
        <v>Normal</v>
      </c>
      <c r="AO983" s="20">
        <f>IF($V983&lt;&gt;1,"",$P983+ROW()/100000)</f>
        <v>154.00983</v>
      </c>
      <c r="AP983" s="5">
        <f>IF($A983="","",IFERROR(MATCH($A983,Raw_D1!$A$2:$A$1001,0),""))</f>
        <v/>
      </c>
      <c r="AQ983" s="5">
        <f>IF($A983="","",IFERROR(MATCH($A983,Raw_D2!$B$2:$B$1001,0),""))</f>
        <v/>
      </c>
      <c r="AR983" s="5">
        <f>IF($A983="","",IFERROR(MATCH($A983,Raw_D3!$A$2:$A$1001,0),""))</f>
        <v>363</v>
      </c>
    </row>
    <row r="984" spans="1:44" x14ac:dyDescent="0.25">
      <c r="A984" s="5">
        <v>983</v>
      </c>
      <c r="B984" s="11">
        <f>IF($A984="","",IF($AP984&lt;&gt;"",INDEX(Raw_D1!$B$2:$B$1001,$AP984),IF($AR984&lt;&gt;"",INDEX(Raw_D3!$B$2:$B$1001,$AR984),"")))</f>
        <v>40587.0</v>
      </c>
      <c r="C984" s="5">
        <f>IF($A984="","",IF($AP984&lt;&gt;"",INDEX(Raw_D1!$C$2:$C$1001,$AP984),IF($AR984&lt;&gt;"",INDEX(Raw_D3!$C$2:$C$1001,$AR984),"")))</f>
        <v>1</v>
      </c>
      <c r="D984" s="5">
        <f>IF($A984="","",IF($AP984&lt;&gt;"",INDEX(Raw_D1!$D$2:$D$1001,$AP984),IF($AR984&lt;&gt;"",INDEX(Raw_D3!$D$2:$D$1001,$AR984),"")))</f>
        <v>0</v>
      </c>
      <c r="E984" s="5">
        <f>IF($A984="","",IF($AP984&lt;&gt;"",INDEX(Raw_D1!$E$2:$E$1001,$AP984),IF($AR984&lt;&gt;"",INDEX(Raw_D3!$E$2:$E$1001,$AR984),"")))</f>
        <v>2</v>
      </c>
      <c r="F984" s="5">
        <f>IF($A984="","",IF($AP984&lt;&gt;"",INDEX(Raw_D1!$F$2:$F$1001,$AP984),IF($AR984&lt;&gt;"",INDEX(Raw_D3!$F$2:$F$1001,$AR984),"")))</f>
        <v>14</v>
      </c>
      <c r="G984" s="5">
        <f>IF($A984="","",IF($AP984&lt;&gt;"",IF(INDEX(Raw_D1!$G$2:$G$1001,$AP984),1,0),IF($AR984&lt;&gt;"",IF(INDEX(Raw_D3!$G$2:$G$1001,$AR984),1,0),"")))</f>
        <v>0</v>
      </c>
      <c r="H984" s="5">
        <f>IF($A984="","",IF($AP984&lt;&gt;"",INDEX(Raw_D1!$H$2:$H$1001,$AP984),IF($AR984&lt;&gt;"",INDEX(Raw_D3!$H$2:$H$1001,$AR984),"")))</f>
        <v>0</v>
      </c>
      <c r="I984" s="5">
        <f>IF($A984="","",IF($AP984&lt;&gt;"",INDEX(Raw_D1!$I$2:$I$1001,$AP984),IF($AR984&lt;&gt;"",INDEX(Raw_D3!$I$2:$I$1001,$AR984),"")))</f>
        <v>2</v>
      </c>
      <c r="J984" s="16">
        <f>IF($A984="","",IF($AP984&lt;&gt;"",INDEX(Raw_D1!$J$2:$J$1001,$AP984),IF($AR984&lt;&gt;"",INDEX(Raw_D3!$J$2:$J$1001,$AR984),"")))</f>
        <v>0.4</v>
      </c>
      <c r="K984" s="17">
        <f>IF($A984="","",IF($AQ984&lt;&gt;"",IF(INDEX(Raw_D2!$C$2:$C$1001,$AQ984)="","",INDEX(Raw_D2!$C$2:$C$1001,$AQ984)),IF($AR984&lt;&gt;"",IF(INDEX(Raw_D3!$K$2:$K$1001,$AR984)="","",INDEX(Raw_D3!$K$2:$K$1001,$AR984)),"")))</f>
        <v>0.4091</v>
      </c>
      <c r="L984" s="16">
        <f>IF($A984="","",IF($AQ984&lt;&gt;"",IF(INDEX(Raw_D2!$D$2:$D$1001,$AQ984)="","",INDEX(Raw_D2!$D$2:$D$1001,$AQ984)),IF($AR984&lt;&gt;"",IF(INDEX(Raw_D3!$L$2:$L$1001,$AR984)="","",INDEX(Raw_D3!$L$2:$L$1001,$AR984)),"")))</f>
        <v>0.3</v>
      </c>
      <c r="M984" s="17">
        <f>IF($A984="","",IF($AQ984&lt;&gt;"",IF(INDEX(Raw_D2!$E$2:$E$1001,$AQ984)="","",INDEX(Raw_D2!$E$2:$E$1001,$AQ984)),IF($AR984&lt;&gt;"",IF(INDEX(Raw_D3!$M$2:$M$1001,$AR984)="","",INDEX(Raw_D3!$M$2:$M$1001,$AR984)),"")))</f>
        <v>0.4179</v>
      </c>
      <c r="N984" s="5">
        <f>IF($A984="","",IF($AQ984&lt;&gt;"",IF(INDEX(Raw_D2!$F$2:$F$1001,$AQ984)="","",INDEX(Raw_D2!$F$2:$F$1001,$AQ984)),IF($AR984&lt;&gt;"",IF(INDEX(Raw_D3!$N$2:$N$1001,$AR984)="","",INDEX(Raw_D3!$N$2:$N$1001,$AR984)),"")))</f>
        <v>51</v>
      </c>
      <c r="O984" s="5">
        <f>IF($A984="","",IF($AQ984&lt;&gt;"",IF(INDEX(Raw_D2!$G$2:$G$1001,$AQ984)="","",INDEX(Raw_D2!$G$2:$G$1001,$AQ984)),IF($AR984&lt;&gt;"",IF(INDEX(Raw_D3!$O$2:$O$1001,$AR984)="","",INDEX(Raw_D3!$O$2:$O$1001,$AR984)),"")))</f>
        <v>110</v>
      </c>
      <c r="P984" s="5">
        <f>IF($A984="","",IF($AQ984&lt;&gt;"",IF(INDEX(Raw_D2!$H$2:$H$1001,$AQ984)="","",INDEX(Raw_D2!$H$2:$H$1001,$AQ984)),IF($AR984&lt;&gt;"",IF(INDEX(Raw_D3!$P$2:$P$1001,$AR984)="","",INDEX(Raw_D3!$P$2:$P$1001,$AR984)),"")))</f>
        <v>161</v>
      </c>
      <c r="Q984" s="5" t="str">
        <f>IF($A984="","",IF(AND($AP984&lt;&gt;"",$AQ984&lt;&gt;""),"D1+D2",IF($AR984&lt;&gt;"","D3","Incomplete")))</f>
        <v>D3</v>
      </c>
      <c r="R984" s="17">
        <f>IF($A984="","",IF($K984="",IF($J984="","",ROUND(Lookups!$K$5+Lookups!$K$4*$J984,4)),$K984))</f>
        <v>0.4091</v>
      </c>
      <c r="S984" s="5" t="str">
        <f>IF($A984="","",IF($K984="","Imputed","Original"))</f>
        <v>Original</v>
      </c>
      <c r="T984" s="5" t="str">
        <f>IF($A984="","",IF($P984="","Missing",IF($P984=$N984+$O984,"OK","Mismatch")))</f>
        <v>OK</v>
      </c>
      <c r="U984" s="5" t="str">
        <f>IF($A984="","",IF(COUNTIF($A$2:$A984,$A984)&gt;1,"Duplicate","Unique"))</f>
        <v>Unique</v>
      </c>
      <c r="V984" s="5">
        <f>IF($A984="","",IF(AND($U984="Unique",ISNUMBER($P984)),1,0))</f>
        <v>1</v>
      </c>
      <c r="W984" s="5" t="str">
        <f>IF($A984="","",IF(OR($H984=0,$H984=6),"Weekend","Weekday"))</f>
        <v>Weekend</v>
      </c>
      <c r="X984" s="5" t="str">
        <f>IF($A984="","",TEXT($B984,"ddd"))</f>
        <v>Sun</v>
      </c>
      <c r="Y984" s="5" t="str">
        <f>IF($A984="","",TEXT($B984,"mmm"))</f>
        <v>Feb</v>
      </c>
      <c r="Z984" s="5" t="str">
        <f>IF($A984="","",IFERROR(VLOOKUP($C984,Lookups!$D$4:$E$7,2,FALSE),"Unknown"))</f>
        <v>Winter</v>
      </c>
      <c r="AA984" s="5" t="str">
        <f>IF($A984="","",IFERROR(VLOOKUP($I984,Lookups!$A$4:$B$7,2,FALSE),"Unknown"))</f>
        <v>Mist/Cloudy</v>
      </c>
      <c r="AB984" s="5" t="str">
        <f>IF($A984="","",TEXT($F984,"00")&amp;":00")</f>
        <v>14:00</v>
      </c>
      <c r="AC984" s="5" t="str">
        <f>IF($A984="","",VLOOKUP($F984,Lookups!$G$4:$H$8,2,TRUE))</f>
        <v>Midday (10-15)</v>
      </c>
      <c r="AD984" s="18">
        <f>IF($A984="","",IF($J984="","",ROUND($J984*41,1)))</f>
        <v>16.4</v>
      </c>
      <c r="AE984" s="18">
        <f>IF($A984="","",IF($R984="","",ROUND($R984*50,1)))</f>
        <v>20.5</v>
      </c>
      <c r="AF984" s="5">
        <f>IF($A984="","",IF($L984="","",ROUND($L984*100,0)))</f>
        <v>30</v>
      </c>
      <c r="AG984" s="18">
        <f>IF($A984="","",IF($M984="","",ROUND($M984*67,1)))</f>
        <v>28</v>
      </c>
      <c r="AH984" s="19">
        <f>IF($A984="","",IF($P984="","",IF($P984=0,0,$O984/$P984)))</f>
        <v>0.683229813664596</v>
      </c>
      <c r="AI984" s="5" t="str">
        <f>IF($A984="","",IF($P984="","",IF($P984&gt;=Lookups!$K$7,"High",IF($P984&lt;=Lookups!$K$8,"Low","Medium"))))</f>
        <v>High</v>
      </c>
      <c r="AJ984" s="5" t="str">
        <f>IF($A984="","",IF($AD984="","",IF($AD984&lt;5,"Under 5 C",IF($AD984&lt;10,"5-10 C",IF($AD984&lt;15,"10-15 C","15 C and above")))))</f>
        <v>15 C and above</v>
      </c>
      <c r="AK984" s="5">
        <f>IF($A984="","",IF($P984="","",$P984^2))</f>
        <v>25921</v>
      </c>
      <c r="AL984" s="18">
        <f>IF($V984&lt;&gt;1,"",AVERAGEIFS(Clean_Data!$P$2:$P$1001,Clean_Data!$F$2:$F$1001,$F984,Clean_Data!$W$2:$W$1001,$W984,Clean_Data!$V$2:$V$1001,1))</f>
        <v>103.142857142857</v>
      </c>
      <c r="AM984" s="16">
        <f>IF($V984&lt;&gt;1,"",IFERROR(($P984-$AL984)/SQRT(MAX(0,(SUMIFS(Clean_Data!$AK$2:$AK$1001,Clean_Data!$F$2:$F$1001,$F984,Clean_Data!$W$2:$W$1001,$W984,Clean_Data!$V$2:$V$1001,1)-COUNTIFS(Clean_Data!$F$2:$F$1001,$F984,Clean_Data!$W$2:$W$1001,$W984,Clean_Data!$V$2:$V$1001,1)*$AL984^2)/(COUNTIFS(Clean_Data!$F$2:$F$1001,$F984,Clean_Data!$W$2:$W$1001,$W984,Clean_Data!$V$2:$V$1001,1)-1))),""))</f>
        <v>1.77131133578792</v>
      </c>
      <c r="AN984" s="5" t="str">
        <f>IF($AM984="","",IF($AM984&gt;=Lookups!$K$6,"High spike",IF($AM984&lt;=-Lookups!$K$6,"Unusual low","Normal")))</f>
        <v>Normal</v>
      </c>
      <c r="AO984" s="20">
        <f>IF($V984&lt;&gt;1,"",$P984+ROW()/100000)</f>
        <v>161.00984</v>
      </c>
      <c r="AP984" s="5">
        <f>IF($A984="","",IFERROR(MATCH($A984,Raw_D1!$A$2:$A$1001,0),""))</f>
        <v/>
      </c>
      <c r="AQ984" s="5">
        <f>IF($A984="","",IFERROR(MATCH($A984,Raw_D2!$B$2:$B$1001,0),""))</f>
        <v/>
      </c>
      <c r="AR984" s="5">
        <f>IF($A984="","",IFERROR(MATCH($A984,Raw_D3!$A$2:$A$1001,0),""))</f>
        <v>364</v>
      </c>
    </row>
    <row r="985" spans="1:44" x14ac:dyDescent="0.25">
      <c r="A985" s="5">
        <v>984</v>
      </c>
      <c r="B985" s="11">
        <f>IF($A985="","",IF($AP985&lt;&gt;"",INDEX(Raw_D1!$B$2:$B$1001,$AP985),IF($AR985&lt;&gt;"",INDEX(Raw_D3!$B$2:$B$1001,$AR985),"")))</f>
        <v>40587.0</v>
      </c>
      <c r="C985" s="5">
        <f>IF($A985="","",IF($AP985&lt;&gt;"",INDEX(Raw_D1!$C$2:$C$1001,$AP985),IF($AR985&lt;&gt;"",INDEX(Raw_D3!$C$2:$C$1001,$AR985),"")))</f>
        <v>1</v>
      </c>
      <c r="D985" s="5">
        <f>IF($A985="","",IF($AP985&lt;&gt;"",INDEX(Raw_D1!$D$2:$D$1001,$AP985),IF($AR985&lt;&gt;"",INDEX(Raw_D3!$D$2:$D$1001,$AR985),"")))</f>
        <v>0</v>
      </c>
      <c r="E985" s="5">
        <f>IF($A985="","",IF($AP985&lt;&gt;"",INDEX(Raw_D1!$E$2:$E$1001,$AP985),IF($AR985&lt;&gt;"",INDEX(Raw_D3!$E$2:$E$1001,$AR985),"")))</f>
        <v>2</v>
      </c>
      <c r="F985" s="5">
        <f>IF($A985="","",IF($AP985&lt;&gt;"",INDEX(Raw_D1!$F$2:$F$1001,$AP985),IF($AR985&lt;&gt;"",INDEX(Raw_D3!$F$2:$F$1001,$AR985),"")))</f>
        <v>15</v>
      </c>
      <c r="G985" s="5">
        <f>IF($A985="","",IF($AP985&lt;&gt;"",IF(INDEX(Raw_D1!$G$2:$G$1001,$AP985),1,0),IF($AR985&lt;&gt;"",IF(INDEX(Raw_D3!$G$2:$G$1001,$AR985),1,0),"")))</f>
        <v>0</v>
      </c>
      <c r="H985" s="5">
        <f>IF($A985="","",IF($AP985&lt;&gt;"",INDEX(Raw_D1!$H$2:$H$1001,$AP985),IF($AR985&lt;&gt;"",INDEX(Raw_D3!$H$2:$H$1001,$AR985),"")))</f>
        <v>0</v>
      </c>
      <c r="I985" s="5">
        <f>IF($A985="","",IF($AP985&lt;&gt;"",INDEX(Raw_D1!$I$2:$I$1001,$AP985),IF($AR985&lt;&gt;"",INDEX(Raw_D3!$I$2:$I$1001,$AR985),"")))</f>
        <v>2</v>
      </c>
      <c r="J985" s="16">
        <f>IF($A985="","",IF($AP985&lt;&gt;"",INDEX(Raw_D1!$J$2:$J$1001,$AP985),IF($AR985&lt;&gt;"",INDEX(Raw_D3!$J$2:$J$1001,$AR985),"")))</f>
        <v>0.4</v>
      </c>
      <c r="K985" s="17">
        <f>IF($A985="","",IF($AQ985&lt;&gt;"",IF(INDEX(Raw_D2!$C$2:$C$1001,$AQ985)="","",INDEX(Raw_D2!$C$2:$C$1001,$AQ985)),IF($AR985&lt;&gt;"",IF(INDEX(Raw_D3!$K$2:$K$1001,$AR985)="","",INDEX(Raw_D3!$K$2:$K$1001,$AR985)),"")))</f>
        <v>0.4091</v>
      </c>
      <c r="L985" s="16">
        <f>IF($A985="","",IF($AQ985&lt;&gt;"",IF(INDEX(Raw_D2!$D$2:$D$1001,$AQ985)="","",INDEX(Raw_D2!$D$2:$D$1001,$AQ985)),IF($AR985&lt;&gt;"",IF(INDEX(Raw_D3!$L$2:$L$1001,$AR985)="","",INDEX(Raw_D3!$L$2:$L$1001,$AR985)),"")))</f>
        <v>0.3</v>
      </c>
      <c r="M985" s="17">
        <f>IF($A985="","",IF($AQ985&lt;&gt;"",IF(INDEX(Raw_D2!$E$2:$E$1001,$AQ985)="","",INDEX(Raw_D2!$E$2:$E$1001,$AQ985)),IF($AR985&lt;&gt;"",IF(INDEX(Raw_D3!$M$2:$M$1001,$AR985)="","",INDEX(Raw_D3!$M$2:$M$1001,$AR985)),"")))</f>
        <v>0.2985</v>
      </c>
      <c r="N985" s="5">
        <f>IF($A985="","",IF($AQ985&lt;&gt;"",IF(INDEX(Raw_D2!$F$2:$F$1001,$AQ985)="","",INDEX(Raw_D2!$F$2:$F$1001,$AQ985)),IF($AR985&lt;&gt;"",IF(INDEX(Raw_D3!$N$2:$N$1001,$AR985)="","",INDEX(Raw_D3!$N$2:$N$1001,$AR985)),"")))</f>
        <v>40</v>
      </c>
      <c r="O985" s="5">
        <f>IF($A985="","",IF($AQ985&lt;&gt;"",IF(INDEX(Raw_D2!$G$2:$G$1001,$AQ985)="","",INDEX(Raw_D2!$G$2:$G$1001,$AQ985)),IF($AR985&lt;&gt;"",IF(INDEX(Raw_D3!$O$2:$O$1001,$AR985)="","",INDEX(Raw_D3!$O$2:$O$1001,$AR985)),"")))</f>
        <v>122</v>
      </c>
      <c r="P985" s="5">
        <f>IF($A985="","",IF($AQ985&lt;&gt;"",IF(INDEX(Raw_D2!$H$2:$H$1001,$AQ985)="","",INDEX(Raw_D2!$H$2:$H$1001,$AQ985)),IF($AR985&lt;&gt;"",IF(INDEX(Raw_D3!$P$2:$P$1001,$AR985)="","",INDEX(Raw_D3!$P$2:$P$1001,$AR985)),"")))</f>
        <v>162</v>
      </c>
      <c r="Q985" s="5" t="str">
        <f>IF($A985="","",IF(AND($AP985&lt;&gt;"",$AQ985&lt;&gt;""),"D1+D2",IF($AR985&lt;&gt;"","D3","Incomplete")))</f>
        <v>D3</v>
      </c>
      <c r="R985" s="17">
        <f>IF($A985="","",IF($K985="",IF($J985="","",ROUND(Lookups!$K$5+Lookups!$K$4*$J985,4)),$K985))</f>
        <v>0.4091</v>
      </c>
      <c r="S985" s="5" t="str">
        <f>IF($A985="","",IF($K985="","Imputed","Original"))</f>
        <v>Original</v>
      </c>
      <c r="T985" s="5" t="str">
        <f>IF($A985="","",IF($P985="","Missing",IF($P985=$N985+$O985,"OK","Mismatch")))</f>
        <v>OK</v>
      </c>
      <c r="U985" s="5" t="str">
        <f>IF($A985="","",IF(COUNTIF($A$2:$A985,$A985)&gt;1,"Duplicate","Unique"))</f>
        <v>Unique</v>
      </c>
      <c r="V985" s="5">
        <f>IF($A985="","",IF(AND($U985="Unique",ISNUMBER($P985)),1,0))</f>
        <v>1</v>
      </c>
      <c r="W985" s="5" t="str">
        <f>IF($A985="","",IF(OR($H985=0,$H985=6),"Weekend","Weekday"))</f>
        <v>Weekend</v>
      </c>
      <c r="X985" s="5" t="str">
        <f>IF($A985="","",TEXT($B985,"ddd"))</f>
        <v>Sun</v>
      </c>
      <c r="Y985" s="5" t="str">
        <f>IF($A985="","",TEXT($B985,"mmm"))</f>
        <v>Feb</v>
      </c>
      <c r="Z985" s="5" t="str">
        <f>IF($A985="","",IFERROR(VLOOKUP($C985,Lookups!$D$4:$E$7,2,FALSE),"Unknown"))</f>
        <v>Winter</v>
      </c>
      <c r="AA985" s="5" t="str">
        <f>IF($A985="","",IFERROR(VLOOKUP($I985,Lookups!$A$4:$B$7,2,FALSE),"Unknown"))</f>
        <v>Mist/Cloudy</v>
      </c>
      <c r="AB985" s="5" t="str">
        <f>IF($A985="","",TEXT($F985,"00")&amp;":00")</f>
        <v>15:00</v>
      </c>
      <c r="AC985" s="5" t="str">
        <f>IF($A985="","",VLOOKUP($F985,Lookups!$G$4:$H$8,2,TRUE))</f>
        <v>Midday (10-15)</v>
      </c>
      <c r="AD985" s="18">
        <f>IF($A985="","",IF($J985="","",ROUND($J985*41,1)))</f>
        <v>16.4</v>
      </c>
      <c r="AE985" s="18">
        <f>IF($A985="","",IF($R985="","",ROUND($R985*50,1)))</f>
        <v>20.5</v>
      </c>
      <c r="AF985" s="5">
        <f>IF($A985="","",IF($L985="","",ROUND($L985*100,0)))</f>
        <v>30</v>
      </c>
      <c r="AG985" s="18">
        <f>IF($A985="","",IF($M985="","",ROUND($M985*67,1)))</f>
        <v>20</v>
      </c>
      <c r="AH985" s="19">
        <f>IF($A985="","",IF($P985="","",IF($P985=0,0,$O985/$P985)))</f>
        <v>0.753086419753086</v>
      </c>
      <c r="AI985" s="5" t="str">
        <f>IF($A985="","",IF($P985="","",IF($P985&gt;=Lookups!$K$7,"High",IF($P985&lt;=Lookups!$K$8,"Low","Medium"))))</f>
        <v>High</v>
      </c>
      <c r="AJ985" s="5" t="str">
        <f>IF($A985="","",IF($AD985="","",IF($AD985&lt;5,"Under 5 C",IF($AD985&lt;10,"5-10 C",IF($AD985&lt;15,"10-15 C","15 C and above")))))</f>
        <v>15 C and above</v>
      </c>
      <c r="AK985" s="5">
        <f>IF($A985="","",IF($P985="","",$P985^2))</f>
        <v>26244</v>
      </c>
      <c r="AL985" s="18">
        <f>IF($V985&lt;&gt;1,"",AVERAGEIFS(Clean_Data!$P$2:$P$1001,Clean_Data!$F$2:$F$1001,$F985,Clean_Data!$W$2:$W$1001,$W985,Clean_Data!$V$2:$V$1001,1))</f>
        <v>112.071428571429</v>
      </c>
      <c r="AM985" s="16">
        <f>IF($V985&lt;&gt;1,"",IFERROR(($P985-$AL985)/SQRT(MAX(0,(SUMIFS(Clean_Data!$AK$2:$AK$1001,Clean_Data!$F$2:$F$1001,$F985,Clean_Data!$W$2:$W$1001,$W985,Clean_Data!$V$2:$V$1001,1)-COUNTIFS(Clean_Data!$F$2:$F$1001,$F985,Clean_Data!$W$2:$W$1001,$W985,Clean_Data!$V$2:$V$1001,1)*$AL985^2)/(COUNTIFS(Clean_Data!$F$2:$F$1001,$F985,Clean_Data!$W$2:$W$1001,$W985,Clean_Data!$V$2:$V$1001,1)-1))),""))</f>
        <v>1.29217113489949</v>
      </c>
      <c r="AN985" s="5" t="str">
        <f>IF($AM985="","",IF($AM985&gt;=Lookups!$K$6,"High spike",IF($AM985&lt;=-Lookups!$K$6,"Unusual low","Normal")))</f>
        <v>Normal</v>
      </c>
      <c r="AO985" s="20">
        <f>IF($V985&lt;&gt;1,"",$P985+ROW()/100000)</f>
        <v>162.00985</v>
      </c>
      <c r="AP985" s="5">
        <f>IF($A985="","",IFERROR(MATCH($A985,Raw_D1!$A$2:$A$1001,0),""))</f>
        <v/>
      </c>
      <c r="AQ985" s="5">
        <f>IF($A985="","",IFERROR(MATCH($A985,Raw_D2!$B$2:$B$1001,0),""))</f>
        <v/>
      </c>
      <c r="AR985" s="5">
        <f>IF($A985="","",IFERROR(MATCH($A985,Raw_D3!$A$2:$A$1001,0),""))</f>
        <v>365</v>
      </c>
    </row>
    <row r="986" spans="1:44" x14ac:dyDescent="0.25">
      <c r="A986" s="5">
        <v>985</v>
      </c>
      <c r="B986" s="11">
        <f>IF($A986="","",IF($AP986&lt;&gt;"",INDEX(Raw_D1!$B$2:$B$1001,$AP986),IF($AR986&lt;&gt;"",INDEX(Raw_D3!$B$2:$B$1001,$AR986),"")))</f>
        <v>40587.0</v>
      </c>
      <c r="C986" s="5">
        <f>IF($A986="","",IF($AP986&lt;&gt;"",INDEX(Raw_D1!$C$2:$C$1001,$AP986),IF($AR986&lt;&gt;"",INDEX(Raw_D3!$C$2:$C$1001,$AR986),"")))</f>
        <v>1</v>
      </c>
      <c r="D986" s="5">
        <f>IF($A986="","",IF($AP986&lt;&gt;"",INDEX(Raw_D1!$D$2:$D$1001,$AP986),IF($AR986&lt;&gt;"",INDEX(Raw_D3!$D$2:$D$1001,$AR986),"")))</f>
        <v>0</v>
      </c>
      <c r="E986" s="5">
        <f>IF($A986="","",IF($AP986&lt;&gt;"",INDEX(Raw_D1!$E$2:$E$1001,$AP986),IF($AR986&lt;&gt;"",INDEX(Raw_D3!$E$2:$E$1001,$AR986),"")))</f>
        <v>2</v>
      </c>
      <c r="F986" s="5">
        <f>IF($A986="","",IF($AP986&lt;&gt;"",INDEX(Raw_D1!$F$2:$F$1001,$AP986),IF($AR986&lt;&gt;"",INDEX(Raw_D3!$F$2:$F$1001,$AR986),"")))</f>
        <v>16</v>
      </c>
      <c r="G986" s="5">
        <f>IF($A986="","",IF($AP986&lt;&gt;"",IF(INDEX(Raw_D1!$G$2:$G$1001,$AP986),1,0),IF($AR986&lt;&gt;"",IF(INDEX(Raw_D3!$G$2:$G$1001,$AR986),1,0),"")))</f>
        <v>0</v>
      </c>
      <c r="H986" s="5">
        <f>IF($A986="","",IF($AP986&lt;&gt;"",INDEX(Raw_D1!$H$2:$H$1001,$AP986),IF($AR986&lt;&gt;"",INDEX(Raw_D3!$H$2:$H$1001,$AR986),"")))</f>
        <v>0</v>
      </c>
      <c r="I986" s="5">
        <f>IF($A986="","",IF($AP986&lt;&gt;"",INDEX(Raw_D1!$I$2:$I$1001,$AP986),IF($AR986&lt;&gt;"",INDEX(Raw_D3!$I$2:$I$1001,$AR986),"")))</f>
        <v>2</v>
      </c>
      <c r="J986" s="16">
        <f>IF($A986="","",IF($AP986&lt;&gt;"",INDEX(Raw_D1!$J$2:$J$1001,$AP986),IF($AR986&lt;&gt;"",INDEX(Raw_D3!$J$2:$J$1001,$AR986),"")))</f>
        <v>0.42</v>
      </c>
      <c r="K986" s="17">
        <f>IF($A986="","",IF($AQ986&lt;&gt;"",IF(INDEX(Raw_D2!$C$2:$C$1001,$AQ986)="","",INDEX(Raw_D2!$C$2:$C$1001,$AQ986)),IF($AR986&lt;&gt;"",IF(INDEX(Raw_D3!$K$2:$K$1001,$AR986)="","",INDEX(Raw_D3!$K$2:$K$1001,$AR986)),"")))</f>
        <v>0.4242</v>
      </c>
      <c r="L986" s="16">
        <f>IF($A986="","",IF($AQ986&lt;&gt;"",IF(INDEX(Raw_D2!$D$2:$D$1001,$AQ986)="","",INDEX(Raw_D2!$D$2:$D$1001,$AQ986)),IF($AR986&lt;&gt;"",IF(INDEX(Raw_D3!$L$2:$L$1001,$AR986)="","",INDEX(Raw_D3!$L$2:$L$1001,$AR986)),"")))</f>
        <v>0.28</v>
      </c>
      <c r="M986" s="17">
        <f>IF($A986="","",IF($AQ986&lt;&gt;"",IF(INDEX(Raw_D2!$E$2:$E$1001,$AQ986)="","",INDEX(Raw_D2!$E$2:$E$1001,$AQ986)),IF($AR986&lt;&gt;"",IF(INDEX(Raw_D3!$M$2:$M$1001,$AR986)="","",INDEX(Raw_D3!$M$2:$M$1001,$AR986)),"")))</f>
        <v>0.3284</v>
      </c>
      <c r="N986" s="5">
        <f>IF($A986="","",IF($AQ986&lt;&gt;"",IF(INDEX(Raw_D2!$F$2:$F$1001,$AQ986)="","",INDEX(Raw_D2!$F$2:$F$1001,$AQ986)),IF($AR986&lt;&gt;"",IF(INDEX(Raw_D3!$N$2:$N$1001,$AR986)="","",INDEX(Raw_D3!$N$2:$N$1001,$AR986)),"")))</f>
        <v>28</v>
      </c>
      <c r="O986" s="5">
        <f>IF($A986="","",IF($AQ986&lt;&gt;"",IF(INDEX(Raw_D2!$G$2:$G$1001,$AQ986)="","",INDEX(Raw_D2!$G$2:$G$1001,$AQ986)),IF($AR986&lt;&gt;"",IF(INDEX(Raw_D3!$O$2:$O$1001,$AR986)="","",INDEX(Raw_D3!$O$2:$O$1001,$AR986)),"")))</f>
        <v>106</v>
      </c>
      <c r="P986" s="5">
        <f>IF($A986="","",IF($AQ986&lt;&gt;"",IF(INDEX(Raw_D2!$H$2:$H$1001,$AQ986)="","",INDEX(Raw_D2!$H$2:$H$1001,$AQ986)),IF($AR986&lt;&gt;"",IF(INDEX(Raw_D3!$P$2:$P$1001,$AR986)="","",INDEX(Raw_D3!$P$2:$P$1001,$AR986)),"")))</f>
        <v>134</v>
      </c>
      <c r="Q986" s="5" t="str">
        <f>IF($A986="","",IF(AND($AP986&lt;&gt;"",$AQ986&lt;&gt;""),"D1+D2",IF($AR986&lt;&gt;"","D3","Incomplete")))</f>
        <v>D3</v>
      </c>
      <c r="R986" s="17">
        <f>IF($A986="","",IF($K986="",IF($J986="","",ROUND(Lookups!$K$5+Lookups!$K$4*$J986,4)),$K986))</f>
        <v>0.4242</v>
      </c>
      <c r="S986" s="5" t="str">
        <f>IF($A986="","",IF($K986="","Imputed","Original"))</f>
        <v>Original</v>
      </c>
      <c r="T986" s="5" t="str">
        <f>IF($A986="","",IF($P986="","Missing",IF($P986=$N986+$O986,"OK","Mismatch")))</f>
        <v>OK</v>
      </c>
      <c r="U986" s="5" t="str">
        <f>IF($A986="","",IF(COUNTIF($A$2:$A986,$A986)&gt;1,"Duplicate","Unique"))</f>
        <v>Unique</v>
      </c>
      <c r="V986" s="5">
        <f>IF($A986="","",IF(AND($U986="Unique",ISNUMBER($P986)),1,0))</f>
        <v>1</v>
      </c>
      <c r="W986" s="5" t="str">
        <f>IF($A986="","",IF(OR($H986=0,$H986=6),"Weekend","Weekday"))</f>
        <v>Weekend</v>
      </c>
      <c r="X986" s="5" t="str">
        <f>IF($A986="","",TEXT($B986,"ddd"))</f>
        <v>Sun</v>
      </c>
      <c r="Y986" s="5" t="str">
        <f>IF($A986="","",TEXT($B986,"mmm"))</f>
        <v>Feb</v>
      </c>
      <c r="Z986" s="5" t="str">
        <f>IF($A986="","",IFERROR(VLOOKUP($C986,Lookups!$D$4:$E$7,2,FALSE),"Unknown"))</f>
        <v>Winter</v>
      </c>
      <c r="AA986" s="5" t="str">
        <f>IF($A986="","",IFERROR(VLOOKUP($I986,Lookups!$A$4:$B$7,2,FALSE),"Unknown"))</f>
        <v>Mist/Cloudy</v>
      </c>
      <c r="AB986" s="5" t="str">
        <f>IF($A986="","",TEXT($F986,"00")&amp;":00")</f>
        <v>16:00</v>
      </c>
      <c r="AC986" s="5" t="str">
        <f>IF($A986="","",VLOOKUP($F986,Lookups!$G$4:$H$8,2,TRUE))</f>
        <v>Evening Peak (16-19)</v>
      </c>
      <c r="AD986" s="18">
        <f>IF($A986="","",IF($J986="","",ROUND($J986*41,1)))</f>
        <v>17.2</v>
      </c>
      <c r="AE986" s="18">
        <f>IF($A986="","",IF($R986="","",ROUND($R986*50,1)))</f>
        <v>21.2</v>
      </c>
      <c r="AF986" s="5">
        <f>IF($A986="","",IF($L986="","",ROUND($L986*100,0)))</f>
        <v>28</v>
      </c>
      <c r="AG986" s="18">
        <f>IF($A986="","",IF($M986="","",ROUND($M986*67,1)))</f>
        <v>22</v>
      </c>
      <c r="AH986" s="19">
        <f>IF($A986="","",IF($P986="","",IF($P986=0,0,$O986/$P986)))</f>
        <v>0.791044776119403</v>
      </c>
      <c r="AI986" s="5" t="str">
        <f>IF($A986="","",IF($P986="","",IF($P986&gt;=Lookups!$K$7,"High",IF($P986&lt;=Lookups!$K$8,"Low","Medium"))))</f>
        <v>High</v>
      </c>
      <c r="AJ986" s="5" t="str">
        <f>IF($A986="","",IF($AD986="","",IF($AD986&lt;5,"Under 5 C",IF($AD986&lt;10,"5-10 C",IF($AD986&lt;15,"10-15 C","15 C and above")))))</f>
        <v>15 C and above</v>
      </c>
      <c r="AK986" s="5">
        <f>IF($A986="","",IF($P986="","",$P986^2))</f>
        <v>17956</v>
      </c>
      <c r="AL986" s="18">
        <f>IF($V986&lt;&gt;1,"",AVERAGEIFS(Clean_Data!$P$2:$P$1001,Clean_Data!$F$2:$F$1001,$F986,Clean_Data!$W$2:$W$1001,$W986,Clean_Data!$V$2:$V$1001,1))</f>
        <v>103.5</v>
      </c>
      <c r="AM986" s="16">
        <f>IF($V986&lt;&gt;1,"",IFERROR(($P986-$AL986)/SQRT(MAX(0,(SUMIFS(Clean_Data!$AK$2:$AK$1001,Clean_Data!$F$2:$F$1001,$F986,Clean_Data!$W$2:$W$1001,$W986,Clean_Data!$V$2:$V$1001,1)-COUNTIFS(Clean_Data!$F$2:$F$1001,$F986,Clean_Data!$W$2:$W$1001,$W986,Clean_Data!$V$2:$V$1001,1)*$AL986^2)/(COUNTIFS(Clean_Data!$F$2:$F$1001,$F986,Clean_Data!$W$2:$W$1001,$W986,Clean_Data!$V$2:$V$1001,1)-1))),""))</f>
        <v>1.03719253676218</v>
      </c>
      <c r="AN986" s="5" t="str">
        <f>IF($AM986="","",IF($AM986&gt;=Lookups!$K$6,"High spike",IF($AM986&lt;=-Lookups!$K$6,"Unusual low","Normal")))</f>
        <v>Normal</v>
      </c>
      <c r="AO986" s="20">
        <f>IF($V986&lt;&gt;1,"",$P986+ROW()/100000)</f>
        <v>134.00986</v>
      </c>
      <c r="AP986" s="5">
        <f>IF($A986="","",IFERROR(MATCH($A986,Raw_D1!$A$2:$A$1001,0),""))</f>
        <v/>
      </c>
      <c r="AQ986" s="5">
        <f>IF($A986="","",IFERROR(MATCH($A986,Raw_D2!$B$2:$B$1001,0),""))</f>
        <v/>
      </c>
      <c r="AR986" s="5">
        <f>IF($A986="","",IFERROR(MATCH($A986,Raw_D3!$A$2:$A$1001,0),""))</f>
        <v>366</v>
      </c>
    </row>
    <row r="987" spans="1:44" x14ac:dyDescent="0.25">
      <c r="A987" s="5">
        <v>986</v>
      </c>
      <c r="B987" s="11">
        <f>IF($A987="","",IF($AP987&lt;&gt;"",INDEX(Raw_D1!$B$2:$B$1001,$AP987),IF($AR987&lt;&gt;"",INDEX(Raw_D3!$B$2:$B$1001,$AR987),"")))</f>
        <v>40587.0</v>
      </c>
      <c r="C987" s="5">
        <f>IF($A987="","",IF($AP987&lt;&gt;"",INDEX(Raw_D1!$C$2:$C$1001,$AP987),IF($AR987&lt;&gt;"",INDEX(Raw_D3!$C$2:$C$1001,$AR987),"")))</f>
        <v>1</v>
      </c>
      <c r="D987" s="5">
        <f>IF($A987="","",IF($AP987&lt;&gt;"",INDEX(Raw_D1!$D$2:$D$1001,$AP987),IF($AR987&lt;&gt;"",INDEX(Raw_D3!$D$2:$D$1001,$AR987),"")))</f>
        <v>0</v>
      </c>
      <c r="E987" s="5">
        <f>IF($A987="","",IF($AP987&lt;&gt;"",INDEX(Raw_D1!$E$2:$E$1001,$AP987),IF($AR987&lt;&gt;"",INDEX(Raw_D3!$E$2:$E$1001,$AR987),"")))</f>
        <v>2</v>
      </c>
      <c r="F987" s="5">
        <f>IF($A987="","",IF($AP987&lt;&gt;"",INDEX(Raw_D1!$F$2:$F$1001,$AP987),IF($AR987&lt;&gt;"",INDEX(Raw_D3!$F$2:$F$1001,$AR987),"")))</f>
        <v>17</v>
      </c>
      <c r="G987" s="5">
        <f>IF($A987="","",IF($AP987&lt;&gt;"",IF(INDEX(Raw_D1!$G$2:$G$1001,$AP987),1,0),IF($AR987&lt;&gt;"",IF(INDEX(Raw_D3!$G$2:$G$1001,$AR987),1,0),"")))</f>
        <v>0</v>
      </c>
      <c r="H987" s="5">
        <f>IF($A987="","",IF($AP987&lt;&gt;"",INDEX(Raw_D1!$H$2:$H$1001,$AP987),IF($AR987&lt;&gt;"",INDEX(Raw_D3!$H$2:$H$1001,$AR987),"")))</f>
        <v>0</v>
      </c>
      <c r="I987" s="5">
        <f>IF($A987="","",IF($AP987&lt;&gt;"",INDEX(Raw_D1!$I$2:$I$1001,$AP987),IF($AR987&lt;&gt;"",INDEX(Raw_D3!$I$2:$I$1001,$AR987),"")))</f>
        <v>1</v>
      </c>
      <c r="J987" s="16">
        <f>IF($A987="","",IF($AP987&lt;&gt;"",INDEX(Raw_D1!$J$2:$J$1001,$AP987),IF($AR987&lt;&gt;"",INDEX(Raw_D3!$J$2:$J$1001,$AR987),"")))</f>
        <v>0.42</v>
      </c>
      <c r="K987" s="17">
        <f>IF($A987="","",IF($AQ987&lt;&gt;"",IF(INDEX(Raw_D2!$C$2:$C$1001,$AQ987)="","",INDEX(Raw_D2!$C$2:$C$1001,$AQ987)),IF($AR987&lt;&gt;"",IF(INDEX(Raw_D3!$K$2:$K$1001,$AR987)="","",INDEX(Raw_D3!$K$2:$K$1001,$AR987)),"")))</f>
        <v>0.4242</v>
      </c>
      <c r="L987" s="16">
        <f>IF($A987="","",IF($AQ987&lt;&gt;"",IF(INDEX(Raw_D2!$D$2:$D$1001,$AQ987)="","",INDEX(Raw_D2!$D$2:$D$1001,$AQ987)),IF($AR987&lt;&gt;"",IF(INDEX(Raw_D3!$L$2:$L$1001,$AR987)="","",INDEX(Raw_D3!$L$2:$L$1001,$AR987)),"")))</f>
        <v>0.28</v>
      </c>
      <c r="M987" s="17">
        <f>IF($A987="","",IF($AQ987&lt;&gt;"",IF(INDEX(Raw_D2!$E$2:$E$1001,$AQ987)="","",INDEX(Raw_D2!$E$2:$E$1001,$AQ987)),IF($AR987&lt;&gt;"",IF(INDEX(Raw_D3!$M$2:$M$1001,$AR987)="","",INDEX(Raw_D3!$M$2:$M$1001,$AR987)),"")))</f>
        <v>0.3284</v>
      </c>
      <c r="N987" s="5">
        <f>IF($A987="","",IF($AQ987&lt;&gt;"",IF(INDEX(Raw_D2!$F$2:$F$1001,$AQ987)="","",INDEX(Raw_D2!$F$2:$F$1001,$AQ987)),IF($AR987&lt;&gt;"",IF(INDEX(Raw_D3!$N$2:$N$1001,$AR987)="","",INDEX(Raw_D3!$N$2:$N$1001,$AR987)),"")))</f>
        <v>30</v>
      </c>
      <c r="O987" s="5">
        <f>IF($A987="","",IF($AQ987&lt;&gt;"",IF(INDEX(Raw_D2!$G$2:$G$1001,$AQ987)="","",INDEX(Raw_D2!$G$2:$G$1001,$AQ987)),IF($AR987&lt;&gt;"",IF(INDEX(Raw_D3!$O$2:$O$1001,$AR987)="","",INDEX(Raw_D3!$O$2:$O$1001,$AR987)),"")))</f>
        <v>95</v>
      </c>
      <c r="P987" s="5">
        <f>IF($A987="","",IF($AQ987&lt;&gt;"",IF(INDEX(Raw_D2!$H$2:$H$1001,$AQ987)="","",INDEX(Raw_D2!$H$2:$H$1001,$AQ987)),IF($AR987&lt;&gt;"",IF(INDEX(Raw_D3!$P$2:$P$1001,$AR987)="","",INDEX(Raw_D3!$P$2:$P$1001,$AR987)),"")))</f>
        <v>125</v>
      </c>
      <c r="Q987" s="5" t="str">
        <f>IF($A987="","",IF(AND($AP987&lt;&gt;"",$AQ987&lt;&gt;""),"D1+D2",IF($AR987&lt;&gt;"","D3","Incomplete")))</f>
        <v>D3</v>
      </c>
      <c r="R987" s="17">
        <f>IF($A987="","",IF($K987="",IF($J987="","",ROUND(Lookups!$K$5+Lookups!$K$4*$J987,4)),$K987))</f>
        <v>0.4242</v>
      </c>
      <c r="S987" s="5" t="str">
        <f>IF($A987="","",IF($K987="","Imputed","Original"))</f>
        <v>Original</v>
      </c>
      <c r="T987" s="5" t="str">
        <f>IF($A987="","",IF($P987="","Missing",IF($P987=$N987+$O987,"OK","Mismatch")))</f>
        <v>OK</v>
      </c>
      <c r="U987" s="5" t="str">
        <f>IF($A987="","",IF(COUNTIF($A$2:$A987,$A987)&gt;1,"Duplicate","Unique"))</f>
        <v>Unique</v>
      </c>
      <c r="V987" s="5">
        <f>IF($A987="","",IF(AND($U987="Unique",ISNUMBER($P987)),1,0))</f>
        <v>1</v>
      </c>
      <c r="W987" s="5" t="str">
        <f>IF($A987="","",IF(OR($H987=0,$H987=6),"Weekend","Weekday"))</f>
        <v>Weekend</v>
      </c>
      <c r="X987" s="5" t="str">
        <f>IF($A987="","",TEXT($B987,"ddd"))</f>
        <v>Sun</v>
      </c>
      <c r="Y987" s="5" t="str">
        <f>IF($A987="","",TEXT($B987,"mmm"))</f>
        <v>Feb</v>
      </c>
      <c r="Z987" s="5" t="str">
        <f>IF($A987="","",IFERROR(VLOOKUP($C987,Lookups!$D$4:$E$7,2,FALSE),"Unknown"))</f>
        <v>Winter</v>
      </c>
      <c r="AA987" s="5" t="str">
        <f>IF($A987="","",IFERROR(VLOOKUP($I987,Lookups!$A$4:$B$7,2,FALSE),"Unknown"))</f>
        <v>Clear</v>
      </c>
      <c r="AB987" s="5" t="str">
        <f>IF($A987="","",TEXT($F987,"00")&amp;":00")</f>
        <v>17:00</v>
      </c>
      <c r="AC987" s="5" t="str">
        <f>IF($A987="","",VLOOKUP($F987,Lookups!$G$4:$H$8,2,TRUE))</f>
        <v>Evening Peak (16-19)</v>
      </c>
      <c r="AD987" s="18">
        <f>IF($A987="","",IF($J987="","",ROUND($J987*41,1)))</f>
        <v>17.2</v>
      </c>
      <c r="AE987" s="18">
        <f>IF($A987="","",IF($R987="","",ROUND($R987*50,1)))</f>
        <v>21.2</v>
      </c>
      <c r="AF987" s="5">
        <f>IF($A987="","",IF($L987="","",ROUND($L987*100,0)))</f>
        <v>28</v>
      </c>
      <c r="AG987" s="18">
        <f>IF($A987="","",IF($M987="","",ROUND($M987*67,1)))</f>
        <v>22</v>
      </c>
      <c r="AH987" s="19">
        <f>IF($A987="","",IF($P987="","",IF($P987=0,0,$O987/$P987)))</f>
        <v>0.76</v>
      </c>
      <c r="AI987" s="5" t="str">
        <f>IF($A987="","",IF($P987="","",IF($P987&gt;=Lookups!$K$7,"High",IF($P987&lt;=Lookups!$K$8,"Low","Medium"))))</f>
        <v>High</v>
      </c>
      <c r="AJ987" s="5" t="str">
        <f>IF($A987="","",IF($AD987="","",IF($AD987&lt;5,"Under 5 C",IF($AD987&lt;10,"5-10 C",IF($AD987&lt;15,"10-15 C","15 C and above")))))</f>
        <v>15 C and above</v>
      </c>
      <c r="AK987" s="5">
        <f>IF($A987="","",IF($P987="","",$P987^2))</f>
        <v>15625</v>
      </c>
      <c r="AL987" s="18">
        <f>IF($V987&lt;&gt;1,"",AVERAGEIFS(Clean_Data!$P$2:$P$1001,Clean_Data!$F$2:$F$1001,$F987,Clean_Data!$W$2:$W$1001,$W987,Clean_Data!$V$2:$V$1001,1))</f>
        <v>85.8571428571429</v>
      </c>
      <c r="AM987" s="16">
        <f>IF($V987&lt;&gt;1,"",IFERROR(($P987-$AL987)/SQRT(MAX(0,(SUMIFS(Clean_Data!$AK$2:$AK$1001,Clean_Data!$F$2:$F$1001,$F987,Clean_Data!$W$2:$W$1001,$W987,Clean_Data!$V$2:$V$1001,1)-COUNTIFS(Clean_Data!$F$2:$F$1001,$F987,Clean_Data!$W$2:$W$1001,$W987,Clean_Data!$V$2:$V$1001,1)*$AL987^2)/(COUNTIFS(Clean_Data!$F$2:$F$1001,$F987,Clean_Data!$W$2:$W$1001,$W987,Clean_Data!$V$2:$V$1001,1)-1))),""))</f>
        <v>1.4980370070001</v>
      </c>
      <c r="AN987" s="5" t="str">
        <f>IF($AM987="","",IF($AM987&gt;=Lookups!$K$6,"High spike",IF($AM987&lt;=-Lookups!$K$6,"Unusual low","Normal")))</f>
        <v>Normal</v>
      </c>
      <c r="AO987" s="20">
        <f>IF($V987&lt;&gt;1,"",$P987+ROW()/100000)</f>
        <v>125.00987</v>
      </c>
      <c r="AP987" s="5">
        <f>IF($A987="","",IFERROR(MATCH($A987,Raw_D1!$A$2:$A$1001,0),""))</f>
        <v/>
      </c>
      <c r="AQ987" s="5">
        <f>IF($A987="","",IFERROR(MATCH($A987,Raw_D2!$B$2:$B$1001,0),""))</f>
        <v/>
      </c>
      <c r="AR987" s="5">
        <f>IF($A987="","",IFERROR(MATCH($A987,Raw_D3!$A$2:$A$1001,0),""))</f>
        <v>367</v>
      </c>
    </row>
    <row r="988" spans="1:44" x14ac:dyDescent="0.25">
      <c r="A988" s="5">
        <v>987</v>
      </c>
      <c r="B988" s="11">
        <f>IF($A988="","",IF($AP988&lt;&gt;"",INDEX(Raw_D1!$B$2:$B$1001,$AP988),IF($AR988&lt;&gt;"",INDEX(Raw_D3!$B$2:$B$1001,$AR988),"")))</f>
        <v>40587.0</v>
      </c>
      <c r="C988" s="5">
        <f>IF($A988="","",IF($AP988&lt;&gt;"",INDEX(Raw_D1!$C$2:$C$1001,$AP988),IF($AR988&lt;&gt;"",INDEX(Raw_D3!$C$2:$C$1001,$AR988),"")))</f>
        <v>1</v>
      </c>
      <c r="D988" s="5">
        <f>IF($A988="","",IF($AP988&lt;&gt;"",INDEX(Raw_D1!$D$2:$D$1001,$AP988),IF($AR988&lt;&gt;"",INDEX(Raw_D3!$D$2:$D$1001,$AR988),"")))</f>
        <v>0</v>
      </c>
      <c r="E988" s="5">
        <f>IF($A988="","",IF($AP988&lt;&gt;"",INDEX(Raw_D1!$E$2:$E$1001,$AP988),IF($AR988&lt;&gt;"",INDEX(Raw_D3!$E$2:$E$1001,$AR988),"")))</f>
        <v>2</v>
      </c>
      <c r="F988" s="5">
        <f>IF($A988="","",IF($AP988&lt;&gt;"",INDEX(Raw_D1!$F$2:$F$1001,$AP988),IF($AR988&lt;&gt;"",INDEX(Raw_D3!$F$2:$F$1001,$AR988),"")))</f>
        <v>18</v>
      </c>
      <c r="G988" s="5">
        <f>IF($A988="","",IF($AP988&lt;&gt;"",IF(INDEX(Raw_D1!$G$2:$G$1001,$AP988),1,0),IF($AR988&lt;&gt;"",IF(INDEX(Raw_D3!$G$2:$G$1001,$AR988),1,0),"")))</f>
        <v>0</v>
      </c>
      <c r="H988" s="5">
        <f>IF($A988="","",IF($AP988&lt;&gt;"",INDEX(Raw_D1!$H$2:$H$1001,$AP988),IF($AR988&lt;&gt;"",INDEX(Raw_D3!$H$2:$H$1001,$AR988),"")))</f>
        <v>0</v>
      </c>
      <c r="I988" s="5">
        <f>IF($A988="","",IF($AP988&lt;&gt;"",INDEX(Raw_D1!$I$2:$I$1001,$AP988),IF($AR988&lt;&gt;"",INDEX(Raw_D3!$I$2:$I$1001,$AR988),"")))</f>
        <v>1</v>
      </c>
      <c r="J988" s="16">
        <f>IF($A988="","",IF($AP988&lt;&gt;"",INDEX(Raw_D1!$J$2:$J$1001,$AP988),IF($AR988&lt;&gt;"",INDEX(Raw_D3!$J$2:$J$1001,$AR988),"")))</f>
        <v>0.4</v>
      </c>
      <c r="K988" s="17">
        <f>IF($A988="","",IF($AQ988&lt;&gt;"",IF(INDEX(Raw_D2!$C$2:$C$1001,$AQ988)="","",INDEX(Raw_D2!$C$2:$C$1001,$AQ988)),IF($AR988&lt;&gt;"",IF(INDEX(Raw_D3!$K$2:$K$1001,$AR988)="","",INDEX(Raw_D3!$K$2:$K$1001,$AR988)),"")))</f>
        <v>0.4091</v>
      </c>
      <c r="L988" s="16">
        <f>IF($A988="","",IF($AQ988&lt;&gt;"",IF(INDEX(Raw_D2!$D$2:$D$1001,$AQ988)="","",INDEX(Raw_D2!$D$2:$D$1001,$AQ988)),IF($AR988&lt;&gt;"",IF(INDEX(Raw_D3!$L$2:$L$1001,$AR988)="","",INDEX(Raw_D3!$L$2:$L$1001,$AR988)),"")))</f>
        <v>0.32</v>
      </c>
      <c r="M988" s="17">
        <f>IF($A988="","",IF($AQ988&lt;&gt;"",IF(INDEX(Raw_D2!$E$2:$E$1001,$AQ988)="","",INDEX(Raw_D2!$E$2:$E$1001,$AQ988)),IF($AR988&lt;&gt;"",IF(INDEX(Raw_D3!$M$2:$M$1001,$AR988)="","",INDEX(Raw_D3!$M$2:$M$1001,$AR988)),"")))</f>
        <v>0.2985</v>
      </c>
      <c r="N988" s="5">
        <f>IF($A988="","",IF($AQ988&lt;&gt;"",IF(INDEX(Raw_D2!$F$2:$F$1001,$AQ988)="","",INDEX(Raw_D2!$F$2:$F$1001,$AQ988)),IF($AR988&lt;&gt;"",IF(INDEX(Raw_D3!$N$2:$N$1001,$AR988)="","",INDEX(Raw_D3!$N$2:$N$1001,$AR988)),"")))</f>
        <v>17</v>
      </c>
      <c r="O988" s="5">
        <f>IF($A988="","",IF($AQ988&lt;&gt;"",IF(INDEX(Raw_D2!$G$2:$G$1001,$AQ988)="","",INDEX(Raw_D2!$G$2:$G$1001,$AQ988)),IF($AR988&lt;&gt;"",IF(INDEX(Raw_D3!$O$2:$O$1001,$AR988)="","",INDEX(Raw_D3!$O$2:$O$1001,$AR988)),"")))</f>
        <v>78</v>
      </c>
      <c r="P988" s="5">
        <f>IF($A988="","",IF($AQ988&lt;&gt;"",IF(INDEX(Raw_D2!$H$2:$H$1001,$AQ988)="","",INDEX(Raw_D2!$H$2:$H$1001,$AQ988)),IF($AR988&lt;&gt;"",IF(INDEX(Raw_D3!$P$2:$P$1001,$AR988)="","",INDEX(Raw_D3!$P$2:$P$1001,$AR988)),"")))</f>
        <v>95</v>
      </c>
      <c r="Q988" s="5" t="str">
        <f>IF($A988="","",IF(AND($AP988&lt;&gt;"",$AQ988&lt;&gt;""),"D1+D2",IF($AR988&lt;&gt;"","D3","Incomplete")))</f>
        <v>D3</v>
      </c>
      <c r="R988" s="17">
        <f>IF($A988="","",IF($K988="",IF($J988="","",ROUND(Lookups!$K$5+Lookups!$K$4*$J988,4)),$K988))</f>
        <v>0.4091</v>
      </c>
      <c r="S988" s="5" t="str">
        <f>IF($A988="","",IF($K988="","Imputed","Original"))</f>
        <v>Original</v>
      </c>
      <c r="T988" s="5" t="str">
        <f>IF($A988="","",IF($P988="","Missing",IF($P988=$N988+$O988,"OK","Mismatch")))</f>
        <v>OK</v>
      </c>
      <c r="U988" s="5" t="str">
        <f>IF($A988="","",IF(COUNTIF($A$2:$A988,$A988)&gt;1,"Duplicate","Unique"))</f>
        <v>Unique</v>
      </c>
      <c r="V988" s="5">
        <f>IF($A988="","",IF(AND($U988="Unique",ISNUMBER($P988)),1,0))</f>
        <v>1</v>
      </c>
      <c r="W988" s="5" t="str">
        <f>IF($A988="","",IF(OR($H988=0,$H988=6),"Weekend","Weekday"))</f>
        <v>Weekend</v>
      </c>
      <c r="X988" s="5" t="str">
        <f>IF($A988="","",TEXT($B988,"ddd"))</f>
        <v>Sun</v>
      </c>
      <c r="Y988" s="5" t="str">
        <f>IF($A988="","",TEXT($B988,"mmm"))</f>
        <v>Feb</v>
      </c>
      <c r="Z988" s="5" t="str">
        <f>IF($A988="","",IFERROR(VLOOKUP($C988,Lookups!$D$4:$E$7,2,FALSE),"Unknown"))</f>
        <v>Winter</v>
      </c>
      <c r="AA988" s="5" t="str">
        <f>IF($A988="","",IFERROR(VLOOKUP($I988,Lookups!$A$4:$B$7,2,FALSE),"Unknown"))</f>
        <v>Clear</v>
      </c>
      <c r="AB988" s="5" t="str">
        <f>IF($A988="","",TEXT($F988,"00")&amp;":00")</f>
        <v>18:00</v>
      </c>
      <c r="AC988" s="5" t="str">
        <f>IF($A988="","",VLOOKUP($F988,Lookups!$G$4:$H$8,2,TRUE))</f>
        <v>Evening Peak (16-19)</v>
      </c>
      <c r="AD988" s="18">
        <f>IF($A988="","",IF($J988="","",ROUND($J988*41,1)))</f>
        <v>16.4</v>
      </c>
      <c r="AE988" s="18">
        <f>IF($A988="","",IF($R988="","",ROUND($R988*50,1)))</f>
        <v>20.5</v>
      </c>
      <c r="AF988" s="5">
        <f>IF($A988="","",IF($L988="","",ROUND($L988*100,0)))</f>
        <v>32</v>
      </c>
      <c r="AG988" s="18">
        <f>IF($A988="","",IF($M988="","",ROUND($M988*67,1)))</f>
        <v>20</v>
      </c>
      <c r="AH988" s="19">
        <f>IF($A988="","",IF($P988="","",IF($P988=0,0,$O988/$P988)))</f>
        <v>0.821052631578947</v>
      </c>
      <c r="AI988" s="5" t="str">
        <f>IF($A988="","",IF($P988="","",IF($P988&gt;=Lookups!$K$7,"High",IF($P988&lt;=Lookups!$K$8,"Low","Medium"))))</f>
        <v>High</v>
      </c>
      <c r="AJ988" s="5" t="str">
        <f>IF($A988="","",IF($AD988="","",IF($AD988&lt;5,"Under 5 C",IF($AD988&lt;10,"5-10 C",IF($AD988&lt;15,"10-15 C","15 C and above")))))</f>
        <v>15 C and above</v>
      </c>
      <c r="AK988" s="5">
        <f>IF($A988="","",IF($P988="","",$P988^2))</f>
        <v>9025</v>
      </c>
      <c r="AL988" s="18">
        <f>IF($V988&lt;&gt;1,"",AVERAGEIFS(Clean_Data!$P$2:$P$1001,Clean_Data!$F$2:$F$1001,$F988,Clean_Data!$W$2:$W$1001,$W988,Clean_Data!$V$2:$V$1001,1))</f>
        <v>64.1428571428571</v>
      </c>
      <c r="AM988" s="16">
        <f>IF($V988&lt;&gt;1,"",IFERROR(($P988-$AL988)/SQRT(MAX(0,(SUMIFS(Clean_Data!$AK$2:$AK$1001,Clean_Data!$F$2:$F$1001,$F988,Clean_Data!$W$2:$W$1001,$W988,Clean_Data!$V$2:$V$1001,1)-COUNTIFS(Clean_Data!$F$2:$F$1001,$F988,Clean_Data!$W$2:$W$1001,$W988,Clean_Data!$V$2:$V$1001,1)*$AL988^2)/(COUNTIFS(Clean_Data!$F$2:$F$1001,$F988,Clean_Data!$W$2:$W$1001,$W988,Clean_Data!$V$2:$V$1001,1)-1))),""))</f>
        <v>1.86265470433029</v>
      </c>
      <c r="AN988" s="5" t="str">
        <f>IF($AM988="","",IF($AM988&gt;=Lookups!$K$6,"High spike",IF($AM988&lt;=-Lookups!$K$6,"Unusual low","Normal")))</f>
        <v>Normal</v>
      </c>
      <c r="AO988" s="20">
        <f>IF($V988&lt;&gt;1,"",$P988+ROW()/100000)</f>
        <v>95.00988</v>
      </c>
      <c r="AP988" s="5">
        <f>IF($A988="","",IFERROR(MATCH($A988,Raw_D1!$A$2:$A$1001,0),""))</f>
        <v/>
      </c>
      <c r="AQ988" s="5">
        <f>IF($A988="","",IFERROR(MATCH($A988,Raw_D2!$B$2:$B$1001,0),""))</f>
        <v/>
      </c>
      <c r="AR988" s="5">
        <f>IF($A988="","",IFERROR(MATCH($A988,Raw_D3!$A$2:$A$1001,0),""))</f>
        <v>368</v>
      </c>
    </row>
    <row r="989" spans="1:44" x14ac:dyDescent="0.25">
      <c r="A989" s="5">
        <v>988</v>
      </c>
      <c r="B989" s="11">
        <f>IF($A989="","",IF($AP989&lt;&gt;"",INDEX(Raw_D1!$B$2:$B$1001,$AP989),IF($AR989&lt;&gt;"",INDEX(Raw_D3!$B$2:$B$1001,$AR989),"")))</f>
        <v>40587.0</v>
      </c>
      <c r="C989" s="5">
        <f>IF($A989="","",IF($AP989&lt;&gt;"",INDEX(Raw_D1!$C$2:$C$1001,$AP989),IF($AR989&lt;&gt;"",INDEX(Raw_D3!$C$2:$C$1001,$AR989),"")))</f>
        <v>1</v>
      </c>
      <c r="D989" s="5">
        <f>IF($A989="","",IF($AP989&lt;&gt;"",INDEX(Raw_D1!$D$2:$D$1001,$AP989),IF($AR989&lt;&gt;"",INDEX(Raw_D3!$D$2:$D$1001,$AR989),"")))</f>
        <v>0</v>
      </c>
      <c r="E989" s="5">
        <f>IF($A989="","",IF($AP989&lt;&gt;"",INDEX(Raw_D1!$E$2:$E$1001,$AP989),IF($AR989&lt;&gt;"",INDEX(Raw_D3!$E$2:$E$1001,$AR989),"")))</f>
        <v>2</v>
      </c>
      <c r="F989" s="5">
        <f>IF($A989="","",IF($AP989&lt;&gt;"",INDEX(Raw_D1!$F$2:$F$1001,$AP989),IF($AR989&lt;&gt;"",INDEX(Raw_D3!$F$2:$F$1001,$AR989),"")))</f>
        <v>19</v>
      </c>
      <c r="G989" s="5">
        <f>IF($A989="","",IF($AP989&lt;&gt;"",IF(INDEX(Raw_D1!$G$2:$G$1001,$AP989),1,0),IF($AR989&lt;&gt;"",IF(INDEX(Raw_D3!$G$2:$G$1001,$AR989),1,0),"")))</f>
        <v>0</v>
      </c>
      <c r="H989" s="5">
        <f>IF($A989="","",IF($AP989&lt;&gt;"",INDEX(Raw_D1!$H$2:$H$1001,$AP989),IF($AR989&lt;&gt;"",INDEX(Raw_D3!$H$2:$H$1001,$AR989),"")))</f>
        <v>0</v>
      </c>
      <c r="I989" s="5">
        <f>IF($A989="","",IF($AP989&lt;&gt;"",INDEX(Raw_D1!$I$2:$I$1001,$AP989),IF($AR989&lt;&gt;"",INDEX(Raw_D3!$I$2:$I$1001,$AR989),"")))</f>
        <v>1</v>
      </c>
      <c r="J989" s="16">
        <f>IF($A989="","",IF($AP989&lt;&gt;"",INDEX(Raw_D1!$J$2:$J$1001,$AP989),IF($AR989&lt;&gt;"",INDEX(Raw_D3!$J$2:$J$1001,$AR989),"")))</f>
        <v>0.4</v>
      </c>
      <c r="K989" s="17">
        <f>IF($A989="","",IF($AQ989&lt;&gt;"",IF(INDEX(Raw_D2!$C$2:$C$1001,$AQ989)="","",INDEX(Raw_D2!$C$2:$C$1001,$AQ989)),IF($AR989&lt;&gt;"",IF(INDEX(Raw_D3!$K$2:$K$1001,$AR989)="","",INDEX(Raw_D3!$K$2:$K$1001,$AR989)),"")))</f>
        <v>0.4091</v>
      </c>
      <c r="L989" s="16">
        <f>IF($A989="","",IF($AQ989&lt;&gt;"",IF(INDEX(Raw_D2!$D$2:$D$1001,$AQ989)="","",INDEX(Raw_D2!$D$2:$D$1001,$AQ989)),IF($AR989&lt;&gt;"",IF(INDEX(Raw_D3!$L$2:$L$1001,$AR989)="","",INDEX(Raw_D3!$L$2:$L$1001,$AR989)),"")))</f>
        <v>0.35</v>
      </c>
      <c r="M989" s="17">
        <f>IF($A989="","",IF($AQ989&lt;&gt;"",IF(INDEX(Raw_D2!$E$2:$E$1001,$AQ989)="","",INDEX(Raw_D2!$E$2:$E$1001,$AQ989)),IF($AR989&lt;&gt;"",IF(INDEX(Raw_D3!$M$2:$M$1001,$AR989)="","",INDEX(Raw_D3!$M$2:$M$1001,$AR989)),"")))</f>
        <v>0.2836</v>
      </c>
      <c r="N989" s="5">
        <f>IF($A989="","",IF($AQ989&lt;&gt;"",IF(INDEX(Raw_D2!$F$2:$F$1001,$AQ989)="","",INDEX(Raw_D2!$F$2:$F$1001,$AQ989)),IF($AR989&lt;&gt;"",IF(INDEX(Raw_D3!$N$2:$N$1001,$AR989)="","",INDEX(Raw_D3!$N$2:$N$1001,$AR989)),"")))</f>
        <v>11</v>
      </c>
      <c r="O989" s="5">
        <f>IF($A989="","",IF($AQ989&lt;&gt;"",IF(INDEX(Raw_D2!$G$2:$G$1001,$AQ989)="","",INDEX(Raw_D2!$G$2:$G$1001,$AQ989)),IF($AR989&lt;&gt;"",IF(INDEX(Raw_D3!$O$2:$O$1001,$AR989)="","",INDEX(Raw_D3!$O$2:$O$1001,$AR989)),"")))</f>
        <v>50</v>
      </c>
      <c r="P989" s="5">
        <f>IF($A989="","",IF($AQ989&lt;&gt;"",IF(INDEX(Raw_D2!$H$2:$H$1001,$AQ989)="","",INDEX(Raw_D2!$H$2:$H$1001,$AQ989)),IF($AR989&lt;&gt;"",IF(INDEX(Raw_D3!$P$2:$P$1001,$AR989)="","",INDEX(Raw_D3!$P$2:$P$1001,$AR989)),"")))</f>
        <v>61</v>
      </c>
      <c r="Q989" s="5" t="str">
        <f>IF($A989="","",IF(AND($AP989&lt;&gt;"",$AQ989&lt;&gt;""),"D1+D2",IF($AR989&lt;&gt;"","D3","Incomplete")))</f>
        <v>D3</v>
      </c>
      <c r="R989" s="17">
        <f>IF($A989="","",IF($K989="",IF($J989="","",ROUND(Lookups!$K$5+Lookups!$K$4*$J989,4)),$K989))</f>
        <v>0.4091</v>
      </c>
      <c r="S989" s="5" t="str">
        <f>IF($A989="","",IF($K989="","Imputed","Original"))</f>
        <v>Original</v>
      </c>
      <c r="T989" s="5" t="str">
        <f>IF($A989="","",IF($P989="","Missing",IF($P989=$N989+$O989,"OK","Mismatch")))</f>
        <v>OK</v>
      </c>
      <c r="U989" s="5" t="str">
        <f>IF($A989="","",IF(COUNTIF($A$2:$A989,$A989)&gt;1,"Duplicate","Unique"))</f>
        <v>Unique</v>
      </c>
      <c r="V989" s="5">
        <f>IF($A989="","",IF(AND($U989="Unique",ISNUMBER($P989)),1,0))</f>
        <v>1</v>
      </c>
      <c r="W989" s="5" t="str">
        <f>IF($A989="","",IF(OR($H989=0,$H989=6),"Weekend","Weekday"))</f>
        <v>Weekend</v>
      </c>
      <c r="X989" s="5" t="str">
        <f>IF($A989="","",TEXT($B989,"ddd"))</f>
        <v>Sun</v>
      </c>
      <c r="Y989" s="5" t="str">
        <f>IF($A989="","",TEXT($B989,"mmm"))</f>
        <v>Feb</v>
      </c>
      <c r="Z989" s="5" t="str">
        <f>IF($A989="","",IFERROR(VLOOKUP($C989,Lookups!$D$4:$E$7,2,FALSE),"Unknown"))</f>
        <v>Winter</v>
      </c>
      <c r="AA989" s="5" t="str">
        <f>IF($A989="","",IFERROR(VLOOKUP($I989,Lookups!$A$4:$B$7,2,FALSE),"Unknown"))</f>
        <v>Clear</v>
      </c>
      <c r="AB989" s="5" t="str">
        <f>IF($A989="","",TEXT($F989,"00")&amp;":00")</f>
        <v>19:00</v>
      </c>
      <c r="AC989" s="5" t="str">
        <f>IF($A989="","",VLOOKUP($F989,Lookups!$G$4:$H$8,2,TRUE))</f>
        <v>Evening Peak (16-19)</v>
      </c>
      <c r="AD989" s="18">
        <f>IF($A989="","",IF($J989="","",ROUND($J989*41,1)))</f>
        <v>16.4</v>
      </c>
      <c r="AE989" s="18">
        <f>IF($A989="","",IF($R989="","",ROUND($R989*50,1)))</f>
        <v>20.5</v>
      </c>
      <c r="AF989" s="5">
        <f>IF($A989="","",IF($L989="","",ROUND($L989*100,0)))</f>
        <v>35</v>
      </c>
      <c r="AG989" s="18">
        <f>IF($A989="","",IF($M989="","",ROUND($M989*67,1)))</f>
        <v>19</v>
      </c>
      <c r="AH989" s="19">
        <f>IF($A989="","",IF($P989="","",IF($P989=0,0,$O989/$P989)))</f>
        <v>0.819672131147541</v>
      </c>
      <c r="AI989" s="5" t="str">
        <f>IF($A989="","",IF($P989="","",IF($P989&gt;=Lookups!$K$7,"High",IF($P989&lt;=Lookups!$K$8,"Low","Medium"))))</f>
        <v>Medium</v>
      </c>
      <c r="AJ989" s="5" t="str">
        <f>IF($A989="","",IF($AD989="","",IF($AD989&lt;5,"Under 5 C",IF($AD989&lt;10,"5-10 C",IF($AD989&lt;15,"10-15 C","15 C and above")))))</f>
        <v>15 C and above</v>
      </c>
      <c r="AK989" s="5">
        <f>IF($A989="","",IF($P989="","",$P989^2))</f>
        <v>3721</v>
      </c>
      <c r="AL989" s="18">
        <f>IF($V989&lt;&gt;1,"",AVERAGEIFS(Clean_Data!$P$2:$P$1001,Clean_Data!$F$2:$F$1001,$F989,Clean_Data!$W$2:$W$1001,$W989,Clean_Data!$V$2:$V$1001,1))</f>
        <v>50.1428571428571</v>
      </c>
      <c r="AM989" s="16">
        <f>IF($V989&lt;&gt;1,"",IFERROR(($P989-$AL989)/SQRT(MAX(0,(SUMIFS(Clean_Data!$AK$2:$AK$1001,Clean_Data!$F$2:$F$1001,$F989,Clean_Data!$W$2:$W$1001,$W989,Clean_Data!$V$2:$V$1001,1)-COUNTIFS(Clean_Data!$F$2:$F$1001,$F989,Clean_Data!$W$2:$W$1001,$W989,Clean_Data!$V$2:$V$1001,1)*$AL989^2)/(COUNTIFS(Clean_Data!$F$2:$F$1001,$F989,Clean_Data!$W$2:$W$1001,$W989,Clean_Data!$V$2:$V$1001,1)-1))),""))</f>
        <v>0.610189344261801</v>
      </c>
      <c r="AN989" s="5" t="str">
        <f>IF($AM989="","",IF($AM989&gt;=Lookups!$K$6,"High spike",IF($AM989&lt;=-Lookups!$K$6,"Unusual low","Normal")))</f>
        <v>Normal</v>
      </c>
      <c r="AO989" s="20">
        <f>IF($V989&lt;&gt;1,"",$P989+ROW()/100000)</f>
        <v>61.00989</v>
      </c>
      <c r="AP989" s="5">
        <f>IF($A989="","",IFERROR(MATCH($A989,Raw_D1!$A$2:$A$1001,0),""))</f>
        <v/>
      </c>
      <c r="AQ989" s="5">
        <f>IF($A989="","",IFERROR(MATCH($A989,Raw_D2!$B$2:$B$1001,0),""))</f>
        <v/>
      </c>
      <c r="AR989" s="5">
        <f>IF($A989="","",IFERROR(MATCH($A989,Raw_D3!$A$2:$A$1001,0),""))</f>
        <v>369</v>
      </c>
    </row>
    <row r="990" spans="1:44" x14ac:dyDescent="0.25">
      <c r="A990" s="5">
        <v>989</v>
      </c>
      <c r="B990" s="11">
        <f>IF($A990="","",IF($AP990&lt;&gt;"",INDEX(Raw_D1!$B$2:$B$1001,$AP990),IF($AR990&lt;&gt;"",INDEX(Raw_D3!$B$2:$B$1001,$AR990),"")))</f>
        <v>40587.0</v>
      </c>
      <c r="C990" s="5">
        <f>IF($A990="","",IF($AP990&lt;&gt;"",INDEX(Raw_D1!$C$2:$C$1001,$AP990),IF($AR990&lt;&gt;"",INDEX(Raw_D3!$C$2:$C$1001,$AR990),"")))</f>
        <v>1</v>
      </c>
      <c r="D990" s="5">
        <f>IF($A990="","",IF($AP990&lt;&gt;"",INDEX(Raw_D1!$D$2:$D$1001,$AP990),IF($AR990&lt;&gt;"",INDEX(Raw_D3!$D$2:$D$1001,$AR990),"")))</f>
        <v>0</v>
      </c>
      <c r="E990" s="5">
        <f>IF($A990="","",IF($AP990&lt;&gt;"",INDEX(Raw_D1!$E$2:$E$1001,$AP990),IF($AR990&lt;&gt;"",INDEX(Raw_D3!$E$2:$E$1001,$AR990),"")))</f>
        <v>2</v>
      </c>
      <c r="F990" s="5">
        <f>IF($A990="","",IF($AP990&lt;&gt;"",INDEX(Raw_D1!$F$2:$F$1001,$AP990),IF($AR990&lt;&gt;"",INDEX(Raw_D3!$F$2:$F$1001,$AR990),"")))</f>
        <v>20</v>
      </c>
      <c r="G990" s="5">
        <f>IF($A990="","",IF($AP990&lt;&gt;"",IF(INDEX(Raw_D1!$G$2:$G$1001,$AP990),1,0),IF($AR990&lt;&gt;"",IF(INDEX(Raw_D3!$G$2:$G$1001,$AR990),1,0),"")))</f>
        <v>0</v>
      </c>
      <c r="H990" s="5">
        <f>IF($A990="","",IF($AP990&lt;&gt;"",INDEX(Raw_D1!$H$2:$H$1001,$AP990),IF($AR990&lt;&gt;"",INDEX(Raw_D3!$H$2:$H$1001,$AR990),"")))</f>
        <v>0</v>
      </c>
      <c r="I990" s="5">
        <f>IF($A990="","",IF($AP990&lt;&gt;"",INDEX(Raw_D1!$I$2:$I$1001,$AP990),IF($AR990&lt;&gt;"",INDEX(Raw_D3!$I$2:$I$1001,$AR990),"")))</f>
        <v>1</v>
      </c>
      <c r="J990" s="16">
        <f>IF($A990="","",IF($AP990&lt;&gt;"",INDEX(Raw_D1!$J$2:$J$1001,$AP990),IF($AR990&lt;&gt;"",INDEX(Raw_D3!$J$2:$J$1001,$AR990),"")))</f>
        <v>0.4</v>
      </c>
      <c r="K990" s="17">
        <f>IF($A990="","",IF($AQ990&lt;&gt;"",IF(INDEX(Raw_D2!$C$2:$C$1001,$AQ990)="","",INDEX(Raw_D2!$C$2:$C$1001,$AQ990)),IF($AR990&lt;&gt;"",IF(INDEX(Raw_D3!$K$2:$K$1001,$AR990)="","",INDEX(Raw_D3!$K$2:$K$1001,$AR990)),"")))</f>
        <v>0.4091</v>
      </c>
      <c r="L990" s="16">
        <f>IF($A990="","",IF($AQ990&lt;&gt;"",IF(INDEX(Raw_D2!$D$2:$D$1001,$AQ990)="","",INDEX(Raw_D2!$D$2:$D$1001,$AQ990)),IF($AR990&lt;&gt;"",IF(INDEX(Raw_D3!$L$2:$L$1001,$AR990)="","",INDEX(Raw_D3!$L$2:$L$1001,$AR990)),"")))</f>
        <v>0.35</v>
      </c>
      <c r="M990" s="17">
        <f>IF($A990="","",IF($AQ990&lt;&gt;"",IF(INDEX(Raw_D2!$E$2:$E$1001,$AQ990)="","",INDEX(Raw_D2!$E$2:$E$1001,$AQ990)),IF($AR990&lt;&gt;"",IF(INDEX(Raw_D3!$M$2:$M$1001,$AR990)="","",INDEX(Raw_D3!$M$2:$M$1001,$AR990)),"")))</f>
        <v>0.3284</v>
      </c>
      <c r="N990" s="5">
        <f>IF($A990="","",IF($AQ990&lt;&gt;"",IF(INDEX(Raw_D2!$F$2:$F$1001,$AQ990)="","",INDEX(Raw_D2!$F$2:$F$1001,$AQ990)),IF($AR990&lt;&gt;"",IF(INDEX(Raw_D3!$N$2:$N$1001,$AR990)="","",INDEX(Raw_D3!$N$2:$N$1001,$AR990)),"")))</f>
        <v>15</v>
      </c>
      <c r="O990" s="5">
        <f>IF($A990="","",IF($AQ990&lt;&gt;"",IF(INDEX(Raw_D2!$G$2:$G$1001,$AQ990)="","",INDEX(Raw_D2!$G$2:$G$1001,$AQ990)),IF($AR990&lt;&gt;"",IF(INDEX(Raw_D3!$O$2:$O$1001,$AR990)="","",INDEX(Raw_D3!$O$2:$O$1001,$AR990)),"")))</f>
        <v>32</v>
      </c>
      <c r="P990" s="5">
        <f>IF($A990="","",IF($AQ990&lt;&gt;"",IF(INDEX(Raw_D2!$H$2:$H$1001,$AQ990)="","",INDEX(Raw_D2!$H$2:$H$1001,$AQ990)),IF($AR990&lt;&gt;"",IF(INDEX(Raw_D3!$P$2:$P$1001,$AR990)="","",INDEX(Raw_D3!$P$2:$P$1001,$AR990)),"")))</f>
        <v>47</v>
      </c>
      <c r="Q990" s="5" t="str">
        <f>IF($A990="","",IF(AND($AP990&lt;&gt;"",$AQ990&lt;&gt;""),"D1+D2",IF($AR990&lt;&gt;"","D3","Incomplete")))</f>
        <v>D3</v>
      </c>
      <c r="R990" s="17">
        <f>IF($A990="","",IF($K990="",IF($J990="","",ROUND(Lookups!$K$5+Lookups!$K$4*$J990,4)),$K990))</f>
        <v>0.4091</v>
      </c>
      <c r="S990" s="5" t="str">
        <f>IF($A990="","",IF($K990="","Imputed","Original"))</f>
        <v>Original</v>
      </c>
      <c r="T990" s="5" t="str">
        <f>IF($A990="","",IF($P990="","Missing",IF($P990=$N990+$O990,"OK","Mismatch")))</f>
        <v>OK</v>
      </c>
      <c r="U990" s="5" t="str">
        <f>IF($A990="","",IF(COUNTIF($A$2:$A990,$A990)&gt;1,"Duplicate","Unique"))</f>
        <v>Unique</v>
      </c>
      <c r="V990" s="5">
        <f>IF($A990="","",IF(AND($U990="Unique",ISNUMBER($P990)),1,0))</f>
        <v>1</v>
      </c>
      <c r="W990" s="5" t="str">
        <f>IF($A990="","",IF(OR($H990=0,$H990=6),"Weekend","Weekday"))</f>
        <v>Weekend</v>
      </c>
      <c r="X990" s="5" t="str">
        <f>IF($A990="","",TEXT($B990,"ddd"))</f>
        <v>Sun</v>
      </c>
      <c r="Y990" s="5" t="str">
        <f>IF($A990="","",TEXT($B990,"mmm"))</f>
        <v>Feb</v>
      </c>
      <c r="Z990" s="5" t="str">
        <f>IF($A990="","",IFERROR(VLOOKUP($C990,Lookups!$D$4:$E$7,2,FALSE),"Unknown"))</f>
        <v>Winter</v>
      </c>
      <c r="AA990" s="5" t="str">
        <f>IF($A990="","",IFERROR(VLOOKUP($I990,Lookups!$A$4:$B$7,2,FALSE),"Unknown"))</f>
        <v>Clear</v>
      </c>
      <c r="AB990" s="5" t="str">
        <f>IF($A990="","",TEXT($F990,"00")&amp;":00")</f>
        <v>20:00</v>
      </c>
      <c r="AC990" s="5" t="str">
        <f>IF($A990="","",VLOOKUP($F990,Lookups!$G$4:$H$8,2,TRUE))</f>
        <v>Late Evening (20-23)</v>
      </c>
      <c r="AD990" s="18">
        <f>IF($A990="","",IF($J990="","",ROUND($J990*41,1)))</f>
        <v>16.4</v>
      </c>
      <c r="AE990" s="18">
        <f>IF($A990="","",IF($R990="","",ROUND($R990*50,1)))</f>
        <v>20.5</v>
      </c>
      <c r="AF990" s="5">
        <f>IF($A990="","",IF($L990="","",ROUND($L990*100,0)))</f>
        <v>35</v>
      </c>
      <c r="AG990" s="18">
        <f>IF($A990="","",IF($M990="","",ROUND($M990*67,1)))</f>
        <v>22</v>
      </c>
      <c r="AH990" s="19">
        <f>IF($A990="","",IF($P990="","",IF($P990=0,0,$O990/$P990)))</f>
        <v>0.680851063829787</v>
      </c>
      <c r="AI990" s="5" t="str">
        <f>IF($A990="","",IF($P990="","",IF($P990&gt;=Lookups!$K$7,"High",IF($P990&lt;=Lookups!$K$8,"Low","Medium"))))</f>
        <v>Medium</v>
      </c>
      <c r="AJ990" s="5" t="str">
        <f>IF($A990="","",IF($AD990="","",IF($AD990&lt;5,"Under 5 C",IF($AD990&lt;10,"5-10 C",IF($AD990&lt;15,"10-15 C","15 C and above")))))</f>
        <v>15 C and above</v>
      </c>
      <c r="AK990" s="5">
        <f>IF($A990="","",IF($P990="","",$P990^2))</f>
        <v>2209</v>
      </c>
      <c r="AL990" s="18">
        <f>IF($V990&lt;&gt;1,"",AVERAGEIFS(Clean_Data!$P$2:$P$1001,Clean_Data!$F$2:$F$1001,$F990,Clean_Data!$W$2:$W$1001,$W990,Clean_Data!$V$2:$V$1001,1))</f>
        <v>40</v>
      </c>
      <c r="AM990" s="16">
        <f>IF($V990&lt;&gt;1,"",IFERROR(($P990-$AL990)/SQRT(MAX(0,(SUMIFS(Clean_Data!$AK$2:$AK$1001,Clean_Data!$F$2:$F$1001,$F990,Clean_Data!$W$2:$W$1001,$W990,Clean_Data!$V$2:$V$1001,1)-COUNTIFS(Clean_Data!$F$2:$F$1001,$F990,Clean_Data!$W$2:$W$1001,$W990,Clean_Data!$V$2:$V$1001,1)*$AL990^2)/(COUNTIFS(Clean_Data!$F$2:$F$1001,$F990,Clean_Data!$W$2:$W$1001,$W990,Clean_Data!$V$2:$V$1001,1)-1))),""))</f>
        <v>0.568350518934597</v>
      </c>
      <c r="AN990" s="5" t="str">
        <f>IF($AM990="","",IF($AM990&gt;=Lookups!$K$6,"High spike",IF($AM990&lt;=-Lookups!$K$6,"Unusual low","Normal")))</f>
        <v>Normal</v>
      </c>
      <c r="AO990" s="20">
        <f>IF($V990&lt;&gt;1,"",$P990+ROW()/100000)</f>
        <v>47.0099</v>
      </c>
      <c r="AP990" s="5">
        <f>IF($A990="","",IFERROR(MATCH($A990,Raw_D1!$A$2:$A$1001,0),""))</f>
        <v/>
      </c>
      <c r="AQ990" s="5">
        <f>IF($A990="","",IFERROR(MATCH($A990,Raw_D2!$B$2:$B$1001,0),""))</f>
        <v/>
      </c>
      <c r="AR990" s="5">
        <f>IF($A990="","",IFERROR(MATCH($A990,Raw_D3!$A$2:$A$1001,0),""))</f>
        <v>370</v>
      </c>
    </row>
    <row r="991" spans="1:44" x14ac:dyDescent="0.25">
      <c r="A991" s="5">
        <v>990</v>
      </c>
      <c r="B991" s="11">
        <f>IF($A991="","",IF($AP991&lt;&gt;"",INDEX(Raw_D1!$B$2:$B$1001,$AP991),IF($AR991&lt;&gt;"",INDEX(Raw_D3!$B$2:$B$1001,$AR991),"")))</f>
        <v>40587.0</v>
      </c>
      <c r="C991" s="5">
        <f>IF($A991="","",IF($AP991&lt;&gt;"",INDEX(Raw_D1!$C$2:$C$1001,$AP991),IF($AR991&lt;&gt;"",INDEX(Raw_D3!$C$2:$C$1001,$AR991),"")))</f>
        <v>1</v>
      </c>
      <c r="D991" s="5">
        <f>IF($A991="","",IF($AP991&lt;&gt;"",INDEX(Raw_D1!$D$2:$D$1001,$AP991),IF($AR991&lt;&gt;"",INDEX(Raw_D3!$D$2:$D$1001,$AR991),"")))</f>
        <v>0</v>
      </c>
      <c r="E991" s="5">
        <f>IF($A991="","",IF($AP991&lt;&gt;"",INDEX(Raw_D1!$E$2:$E$1001,$AP991),IF($AR991&lt;&gt;"",INDEX(Raw_D3!$E$2:$E$1001,$AR991),"")))</f>
        <v>2</v>
      </c>
      <c r="F991" s="5">
        <f>IF($A991="","",IF($AP991&lt;&gt;"",INDEX(Raw_D1!$F$2:$F$1001,$AP991),IF($AR991&lt;&gt;"",INDEX(Raw_D3!$F$2:$F$1001,$AR991),"")))</f>
        <v>21</v>
      </c>
      <c r="G991" s="5">
        <f>IF($A991="","",IF($AP991&lt;&gt;"",IF(INDEX(Raw_D1!$G$2:$G$1001,$AP991),1,0),IF($AR991&lt;&gt;"",IF(INDEX(Raw_D3!$G$2:$G$1001,$AR991),1,0),"")))</f>
        <v>0</v>
      </c>
      <c r="H991" s="5">
        <f>IF($A991="","",IF($AP991&lt;&gt;"",INDEX(Raw_D1!$H$2:$H$1001,$AP991),IF($AR991&lt;&gt;"",INDEX(Raw_D3!$H$2:$H$1001,$AR991),"")))</f>
        <v>0</v>
      </c>
      <c r="I991" s="5">
        <f>IF($A991="","",IF($AP991&lt;&gt;"",INDEX(Raw_D1!$I$2:$I$1001,$AP991),IF($AR991&lt;&gt;"",INDEX(Raw_D3!$I$2:$I$1001,$AR991),"")))</f>
        <v>1</v>
      </c>
      <c r="J991" s="16">
        <f>IF($A991="","",IF($AP991&lt;&gt;"",INDEX(Raw_D1!$J$2:$J$1001,$AP991),IF($AR991&lt;&gt;"",INDEX(Raw_D3!$J$2:$J$1001,$AR991),"")))</f>
        <v>0.4</v>
      </c>
      <c r="K991" s="17">
        <f>IF($A991="","",IF($AQ991&lt;&gt;"",IF(INDEX(Raw_D2!$C$2:$C$1001,$AQ991)="","",INDEX(Raw_D2!$C$2:$C$1001,$AQ991)),IF($AR991&lt;&gt;"",IF(INDEX(Raw_D3!$K$2:$K$1001,$AR991)="","",INDEX(Raw_D3!$K$2:$K$1001,$AR991)),"")))</f>
        <v>0.4091</v>
      </c>
      <c r="L991" s="16">
        <f>IF($A991="","",IF($AQ991&lt;&gt;"",IF(INDEX(Raw_D2!$D$2:$D$1001,$AQ991)="","",INDEX(Raw_D2!$D$2:$D$1001,$AQ991)),IF($AR991&lt;&gt;"",IF(INDEX(Raw_D3!$L$2:$L$1001,$AR991)="","",INDEX(Raw_D3!$L$2:$L$1001,$AR991)),"")))</f>
        <v>0.35</v>
      </c>
      <c r="M991" s="17">
        <f>IF($A991="","",IF($AQ991&lt;&gt;"",IF(INDEX(Raw_D2!$E$2:$E$1001,$AQ991)="","",INDEX(Raw_D2!$E$2:$E$1001,$AQ991)),IF($AR991&lt;&gt;"",IF(INDEX(Raw_D3!$M$2:$M$1001,$AR991)="","",INDEX(Raw_D3!$M$2:$M$1001,$AR991)),"")))</f>
        <v>0.3582</v>
      </c>
      <c r="N991" s="5">
        <f>IF($A991="","",IF($AQ991&lt;&gt;"",IF(INDEX(Raw_D2!$F$2:$F$1001,$AQ991)="","",INDEX(Raw_D2!$F$2:$F$1001,$AQ991)),IF($AR991&lt;&gt;"",IF(INDEX(Raw_D3!$N$2:$N$1001,$AR991)="","",INDEX(Raw_D3!$N$2:$N$1001,$AR991)),"")))</f>
        <v>6</v>
      </c>
      <c r="O991" s="5">
        <f>IF($A991="","",IF($AQ991&lt;&gt;"",IF(INDEX(Raw_D2!$G$2:$G$1001,$AQ991)="","",INDEX(Raw_D2!$G$2:$G$1001,$AQ991)),IF($AR991&lt;&gt;"",IF(INDEX(Raw_D3!$O$2:$O$1001,$AR991)="","",INDEX(Raw_D3!$O$2:$O$1001,$AR991)),"")))</f>
        <v>45</v>
      </c>
      <c r="P991" s="5">
        <f>IF($A991="","",IF($AQ991&lt;&gt;"",IF(INDEX(Raw_D2!$H$2:$H$1001,$AQ991)="","",INDEX(Raw_D2!$H$2:$H$1001,$AQ991)),IF($AR991&lt;&gt;"",IF(INDEX(Raw_D3!$P$2:$P$1001,$AR991)="","",INDEX(Raw_D3!$P$2:$P$1001,$AR991)),"")))</f>
        <v>51</v>
      </c>
      <c r="Q991" s="5" t="str">
        <f>IF($A991="","",IF(AND($AP991&lt;&gt;"",$AQ991&lt;&gt;""),"D1+D2",IF($AR991&lt;&gt;"","D3","Incomplete")))</f>
        <v>D3</v>
      </c>
      <c r="R991" s="17">
        <f>IF($A991="","",IF($K991="",IF($J991="","",ROUND(Lookups!$K$5+Lookups!$K$4*$J991,4)),$K991))</f>
        <v>0.4091</v>
      </c>
      <c r="S991" s="5" t="str">
        <f>IF($A991="","",IF($K991="","Imputed","Original"))</f>
        <v>Original</v>
      </c>
      <c r="T991" s="5" t="str">
        <f>IF($A991="","",IF($P991="","Missing",IF($P991=$N991+$O991,"OK","Mismatch")))</f>
        <v>OK</v>
      </c>
      <c r="U991" s="5" t="str">
        <f>IF($A991="","",IF(COUNTIF($A$2:$A991,$A991)&gt;1,"Duplicate","Unique"))</f>
        <v>Unique</v>
      </c>
      <c r="V991" s="5">
        <f>IF($A991="","",IF(AND($U991="Unique",ISNUMBER($P991)),1,0))</f>
        <v>1</v>
      </c>
      <c r="W991" s="5" t="str">
        <f>IF($A991="","",IF(OR($H991=0,$H991=6),"Weekend","Weekday"))</f>
        <v>Weekend</v>
      </c>
      <c r="X991" s="5" t="str">
        <f>IF($A991="","",TEXT($B991,"ddd"))</f>
        <v>Sun</v>
      </c>
      <c r="Y991" s="5" t="str">
        <f>IF($A991="","",TEXT($B991,"mmm"))</f>
        <v>Feb</v>
      </c>
      <c r="Z991" s="5" t="str">
        <f>IF($A991="","",IFERROR(VLOOKUP($C991,Lookups!$D$4:$E$7,2,FALSE),"Unknown"))</f>
        <v>Winter</v>
      </c>
      <c r="AA991" s="5" t="str">
        <f>IF($A991="","",IFERROR(VLOOKUP($I991,Lookups!$A$4:$B$7,2,FALSE),"Unknown"))</f>
        <v>Clear</v>
      </c>
      <c r="AB991" s="5" t="str">
        <f>IF($A991="","",TEXT($F991,"00")&amp;":00")</f>
        <v>21:00</v>
      </c>
      <c r="AC991" s="5" t="str">
        <f>IF($A991="","",VLOOKUP($F991,Lookups!$G$4:$H$8,2,TRUE))</f>
        <v>Late Evening (20-23)</v>
      </c>
      <c r="AD991" s="18">
        <f>IF($A991="","",IF($J991="","",ROUND($J991*41,1)))</f>
        <v>16.4</v>
      </c>
      <c r="AE991" s="18">
        <f>IF($A991="","",IF($R991="","",ROUND($R991*50,1)))</f>
        <v>20.5</v>
      </c>
      <c r="AF991" s="5">
        <f>IF($A991="","",IF($L991="","",ROUND($L991*100,0)))</f>
        <v>35</v>
      </c>
      <c r="AG991" s="18">
        <f>IF($A991="","",IF($M991="","",ROUND($M991*67,1)))</f>
        <v>24</v>
      </c>
      <c r="AH991" s="19">
        <f>IF($A991="","",IF($P991="","",IF($P991=0,0,$O991/$P991)))</f>
        <v>0.882352941176471</v>
      </c>
      <c r="AI991" s="5" t="str">
        <f>IF($A991="","",IF($P991="","",IF($P991&gt;=Lookups!$K$7,"High",IF($P991&lt;=Lookups!$K$8,"Low","Medium"))))</f>
        <v>Medium</v>
      </c>
      <c r="AJ991" s="5" t="str">
        <f>IF($A991="","",IF($AD991="","",IF($AD991&lt;5,"Under 5 C",IF($AD991&lt;10,"5-10 C",IF($AD991&lt;15,"10-15 C","15 C and above")))))</f>
        <v>15 C and above</v>
      </c>
      <c r="AK991" s="5">
        <f>IF($A991="","",IF($P991="","",$P991^2))</f>
        <v>2601</v>
      </c>
      <c r="AL991" s="18">
        <f>IF($V991&lt;&gt;1,"",AVERAGEIFS(Clean_Data!$P$2:$P$1001,Clean_Data!$F$2:$F$1001,$F991,Clean_Data!$W$2:$W$1001,$W991,Clean_Data!$V$2:$V$1001,1))</f>
        <v>37.1428571428571</v>
      </c>
      <c r="AM991" s="16">
        <f>IF($V991&lt;&gt;1,"",IFERROR(($P991-$AL991)/SQRT(MAX(0,(SUMIFS(Clean_Data!$AK$2:$AK$1001,Clean_Data!$F$2:$F$1001,$F991,Clean_Data!$W$2:$W$1001,$W991,Clean_Data!$V$2:$V$1001,1)-COUNTIFS(Clean_Data!$F$2:$F$1001,$F991,Clean_Data!$W$2:$W$1001,$W991,Clean_Data!$V$2:$V$1001,1)*$AL991^2)/(COUNTIFS(Clean_Data!$F$2:$F$1001,$F991,Clean_Data!$W$2:$W$1001,$W991,Clean_Data!$V$2:$V$1001,1)-1))),""))</f>
        <v>1.14691163085197</v>
      </c>
      <c r="AN991" s="5" t="str">
        <f>IF($AM991="","",IF($AM991&gt;=Lookups!$K$6,"High spike",IF($AM991&lt;=-Lookups!$K$6,"Unusual low","Normal")))</f>
        <v>Normal</v>
      </c>
      <c r="AO991" s="20">
        <f>IF($V991&lt;&gt;1,"",$P991+ROW()/100000)</f>
        <v>51.00991</v>
      </c>
      <c r="AP991" s="5">
        <f>IF($A991="","",IFERROR(MATCH($A991,Raw_D1!$A$2:$A$1001,0),""))</f>
        <v/>
      </c>
      <c r="AQ991" s="5">
        <f>IF($A991="","",IFERROR(MATCH($A991,Raw_D2!$B$2:$B$1001,0),""))</f>
        <v/>
      </c>
      <c r="AR991" s="5">
        <f>IF($A991="","",IFERROR(MATCH($A991,Raw_D3!$A$2:$A$1001,0),""))</f>
        <v>371</v>
      </c>
    </row>
    <row r="992" spans="1:44" x14ac:dyDescent="0.25">
      <c r="A992" s="5">
        <v>991</v>
      </c>
      <c r="B992" s="11">
        <f>IF($A992="","",IF($AP992&lt;&gt;"",INDEX(Raw_D1!$B$2:$B$1001,$AP992),IF($AR992&lt;&gt;"",INDEX(Raw_D3!$B$2:$B$1001,$AR992),"")))</f>
        <v>40587.0</v>
      </c>
      <c r="C992" s="5">
        <f>IF($A992="","",IF($AP992&lt;&gt;"",INDEX(Raw_D1!$C$2:$C$1001,$AP992),IF($AR992&lt;&gt;"",INDEX(Raw_D3!$C$2:$C$1001,$AR992),"")))</f>
        <v>1</v>
      </c>
      <c r="D992" s="5">
        <f>IF($A992="","",IF($AP992&lt;&gt;"",INDEX(Raw_D1!$D$2:$D$1001,$AP992),IF($AR992&lt;&gt;"",INDEX(Raw_D3!$D$2:$D$1001,$AR992),"")))</f>
        <v>0</v>
      </c>
      <c r="E992" s="5">
        <f>IF($A992="","",IF($AP992&lt;&gt;"",INDEX(Raw_D1!$E$2:$E$1001,$AP992),IF($AR992&lt;&gt;"",INDEX(Raw_D3!$E$2:$E$1001,$AR992),"")))</f>
        <v>2</v>
      </c>
      <c r="F992" s="5">
        <f>IF($A992="","",IF($AP992&lt;&gt;"",INDEX(Raw_D1!$F$2:$F$1001,$AP992),IF($AR992&lt;&gt;"",INDEX(Raw_D3!$F$2:$F$1001,$AR992),"")))</f>
        <v>22</v>
      </c>
      <c r="G992" s="5">
        <f>IF($A992="","",IF($AP992&lt;&gt;"",IF(INDEX(Raw_D1!$G$2:$G$1001,$AP992),1,0),IF($AR992&lt;&gt;"",IF(INDEX(Raw_D3!$G$2:$G$1001,$AR992),1,0),"")))</f>
        <v>0</v>
      </c>
      <c r="H992" s="5">
        <f>IF($A992="","",IF($AP992&lt;&gt;"",INDEX(Raw_D1!$H$2:$H$1001,$AP992),IF($AR992&lt;&gt;"",INDEX(Raw_D3!$H$2:$H$1001,$AR992),"")))</f>
        <v>0</v>
      </c>
      <c r="I992" s="5">
        <f>IF($A992="","",IF($AP992&lt;&gt;"",INDEX(Raw_D1!$I$2:$I$1001,$AP992),IF($AR992&lt;&gt;"",INDEX(Raw_D3!$I$2:$I$1001,$AR992),"")))</f>
        <v>1</v>
      </c>
      <c r="J992" s="16">
        <f>IF($A992="","",IF($AP992&lt;&gt;"",INDEX(Raw_D1!$J$2:$J$1001,$AP992),IF($AR992&lt;&gt;"",INDEX(Raw_D3!$J$2:$J$1001,$AR992),"")))</f>
        <v>0.4</v>
      </c>
      <c r="K992" s="17">
        <f>IF($A992="","",IF($AQ992&lt;&gt;"",IF(INDEX(Raw_D2!$C$2:$C$1001,$AQ992)="","",INDEX(Raw_D2!$C$2:$C$1001,$AQ992)),IF($AR992&lt;&gt;"",IF(INDEX(Raw_D3!$K$2:$K$1001,$AR992)="","",INDEX(Raw_D3!$K$2:$K$1001,$AR992)),"")))</f>
        <v>0.4091</v>
      </c>
      <c r="L992" s="16">
        <f>IF($A992="","",IF($AQ992&lt;&gt;"",IF(INDEX(Raw_D2!$D$2:$D$1001,$AQ992)="","",INDEX(Raw_D2!$D$2:$D$1001,$AQ992)),IF($AR992&lt;&gt;"",IF(INDEX(Raw_D3!$L$2:$L$1001,$AR992)="","",INDEX(Raw_D3!$L$2:$L$1001,$AR992)),"")))</f>
        <v>0.35</v>
      </c>
      <c r="M992" s="17">
        <f>IF($A992="","",IF($AQ992&lt;&gt;"",IF(INDEX(Raw_D2!$E$2:$E$1001,$AQ992)="","",INDEX(Raw_D2!$E$2:$E$1001,$AQ992)),IF($AR992&lt;&gt;"",IF(INDEX(Raw_D3!$M$2:$M$1001,$AR992)="","",INDEX(Raw_D3!$M$2:$M$1001,$AR992)),"")))</f>
        <v>0.2985</v>
      </c>
      <c r="N992" s="5">
        <f>IF($A992="","",IF($AQ992&lt;&gt;"",IF(INDEX(Raw_D2!$F$2:$F$1001,$AQ992)="","",INDEX(Raw_D2!$F$2:$F$1001,$AQ992)),IF($AR992&lt;&gt;"",IF(INDEX(Raw_D3!$N$2:$N$1001,$AR992)="","",INDEX(Raw_D3!$N$2:$N$1001,$AR992)),"")))</f>
        <v>5</v>
      </c>
      <c r="O992" s="5">
        <f>IF($A992="","",IF($AQ992&lt;&gt;"",IF(INDEX(Raw_D2!$G$2:$G$1001,$AQ992)="","",INDEX(Raw_D2!$G$2:$G$1001,$AQ992)),IF($AR992&lt;&gt;"",IF(INDEX(Raw_D3!$O$2:$O$1001,$AR992)="","",INDEX(Raw_D3!$O$2:$O$1001,$AR992)),"")))</f>
        <v>31</v>
      </c>
      <c r="P992" s="5">
        <f>IF($A992="","",IF($AQ992&lt;&gt;"",IF(INDEX(Raw_D2!$H$2:$H$1001,$AQ992)="","",INDEX(Raw_D2!$H$2:$H$1001,$AQ992)),IF($AR992&lt;&gt;"",IF(INDEX(Raw_D3!$P$2:$P$1001,$AR992)="","",INDEX(Raw_D3!$P$2:$P$1001,$AR992)),"")))</f>
        <v>36</v>
      </c>
      <c r="Q992" s="5" t="str">
        <f>IF($A992="","",IF(AND($AP992&lt;&gt;"",$AQ992&lt;&gt;""),"D1+D2",IF($AR992&lt;&gt;"","D3","Incomplete")))</f>
        <v>D3</v>
      </c>
      <c r="R992" s="17">
        <f>IF($A992="","",IF($K992="",IF($J992="","",ROUND(Lookups!$K$5+Lookups!$K$4*$J992,4)),$K992))</f>
        <v>0.4091</v>
      </c>
      <c r="S992" s="5" t="str">
        <f>IF($A992="","",IF($K992="","Imputed","Original"))</f>
        <v>Original</v>
      </c>
      <c r="T992" s="5" t="str">
        <f>IF($A992="","",IF($P992="","Missing",IF($P992=$N992+$O992,"OK","Mismatch")))</f>
        <v>OK</v>
      </c>
      <c r="U992" s="5" t="str">
        <f>IF($A992="","",IF(COUNTIF($A$2:$A992,$A992)&gt;1,"Duplicate","Unique"))</f>
        <v>Unique</v>
      </c>
      <c r="V992" s="5">
        <f>IF($A992="","",IF(AND($U992="Unique",ISNUMBER($P992)),1,0))</f>
        <v>1</v>
      </c>
      <c r="W992" s="5" t="str">
        <f>IF($A992="","",IF(OR($H992=0,$H992=6),"Weekend","Weekday"))</f>
        <v>Weekend</v>
      </c>
      <c r="X992" s="5" t="str">
        <f>IF($A992="","",TEXT($B992,"ddd"))</f>
        <v>Sun</v>
      </c>
      <c r="Y992" s="5" t="str">
        <f>IF($A992="","",TEXT($B992,"mmm"))</f>
        <v>Feb</v>
      </c>
      <c r="Z992" s="5" t="str">
        <f>IF($A992="","",IFERROR(VLOOKUP($C992,Lookups!$D$4:$E$7,2,FALSE),"Unknown"))</f>
        <v>Winter</v>
      </c>
      <c r="AA992" s="5" t="str">
        <f>IF($A992="","",IFERROR(VLOOKUP($I992,Lookups!$A$4:$B$7,2,FALSE),"Unknown"))</f>
        <v>Clear</v>
      </c>
      <c r="AB992" s="5" t="str">
        <f>IF($A992="","",TEXT($F992,"00")&amp;":00")</f>
        <v>22:00</v>
      </c>
      <c r="AC992" s="5" t="str">
        <f>IF($A992="","",VLOOKUP($F992,Lookups!$G$4:$H$8,2,TRUE))</f>
        <v>Late Evening (20-23)</v>
      </c>
      <c r="AD992" s="18">
        <f>IF($A992="","",IF($J992="","",ROUND($J992*41,1)))</f>
        <v>16.4</v>
      </c>
      <c r="AE992" s="18">
        <f>IF($A992="","",IF($R992="","",ROUND($R992*50,1)))</f>
        <v>20.5</v>
      </c>
      <c r="AF992" s="5">
        <f>IF($A992="","",IF($L992="","",ROUND($L992*100,0)))</f>
        <v>35</v>
      </c>
      <c r="AG992" s="18">
        <f>IF($A992="","",IF($M992="","",ROUND($M992*67,1)))</f>
        <v>20</v>
      </c>
      <c r="AH992" s="19">
        <f>IF($A992="","",IF($P992="","",IF($P992=0,0,$O992/$P992)))</f>
        <v>0.861111111111111</v>
      </c>
      <c r="AI992" s="5" t="str">
        <f>IF($A992="","",IF($P992="","",IF($P992&gt;=Lookups!$K$7,"High",IF($P992&lt;=Lookups!$K$8,"Low","Medium"))))</f>
        <v>Medium</v>
      </c>
      <c r="AJ992" s="5" t="str">
        <f>IF($A992="","",IF($AD992="","",IF($AD992&lt;5,"Under 5 C",IF($AD992&lt;10,"5-10 C",IF($AD992&lt;15,"10-15 C","15 C and above")))))</f>
        <v>15 C and above</v>
      </c>
      <c r="AK992" s="5">
        <f>IF($A992="","",IF($P992="","",$P992^2))</f>
        <v>1296</v>
      </c>
      <c r="AL992" s="18">
        <f>IF($V992&lt;&gt;1,"",AVERAGEIFS(Clean_Data!$P$2:$P$1001,Clean_Data!$F$2:$F$1001,$F992,Clean_Data!$W$2:$W$1001,$W992,Clean_Data!$V$2:$V$1001,1))</f>
        <v>30.8571428571429</v>
      </c>
      <c r="AM992" s="16">
        <f>IF($V992&lt;&gt;1,"",IFERROR(($P992-$AL992)/SQRT(MAX(0,(SUMIFS(Clean_Data!$AK$2:$AK$1001,Clean_Data!$F$2:$F$1001,$F992,Clean_Data!$W$2:$W$1001,$W992,Clean_Data!$V$2:$V$1001,1)-COUNTIFS(Clean_Data!$F$2:$F$1001,$F992,Clean_Data!$W$2:$W$1001,$W992,Clean_Data!$V$2:$V$1001,1)*$AL992^2)/(COUNTIFS(Clean_Data!$F$2:$F$1001,$F992,Clean_Data!$W$2:$W$1001,$W992,Clean_Data!$V$2:$V$1001,1)-1))),""))</f>
        <v>0.380754418765927</v>
      </c>
      <c r="AN992" s="5" t="str">
        <f>IF($AM992="","",IF($AM992&gt;=Lookups!$K$6,"High spike",IF($AM992&lt;=-Lookups!$K$6,"Unusual low","Normal")))</f>
        <v>Normal</v>
      </c>
      <c r="AO992" s="20">
        <f>IF($V992&lt;&gt;1,"",$P992+ROW()/100000)</f>
        <v>36.00992</v>
      </c>
      <c r="AP992" s="5">
        <f>IF($A992="","",IFERROR(MATCH($A992,Raw_D1!$A$2:$A$1001,0),""))</f>
        <v/>
      </c>
      <c r="AQ992" s="5">
        <f>IF($A992="","",IFERROR(MATCH($A992,Raw_D2!$B$2:$B$1001,0),""))</f>
        <v/>
      </c>
      <c r="AR992" s="5">
        <f>IF($A992="","",IFERROR(MATCH($A992,Raw_D3!$A$2:$A$1001,0),""))</f>
        <v>372</v>
      </c>
    </row>
    <row r="993" spans="1:44" x14ac:dyDescent="0.25">
      <c r="A993" s="5">
        <v>992</v>
      </c>
      <c r="B993" s="11">
        <f>IF($A993="","",IF($AP993&lt;&gt;"",INDEX(Raw_D1!$B$2:$B$1001,$AP993),IF($AR993&lt;&gt;"",INDEX(Raw_D3!$B$2:$B$1001,$AR993),"")))</f>
        <v>40587.0</v>
      </c>
      <c r="C993" s="5">
        <f>IF($A993="","",IF($AP993&lt;&gt;"",INDEX(Raw_D1!$C$2:$C$1001,$AP993),IF($AR993&lt;&gt;"",INDEX(Raw_D3!$C$2:$C$1001,$AR993),"")))</f>
        <v>1</v>
      </c>
      <c r="D993" s="5">
        <f>IF($A993="","",IF($AP993&lt;&gt;"",INDEX(Raw_D1!$D$2:$D$1001,$AP993),IF($AR993&lt;&gt;"",INDEX(Raw_D3!$D$2:$D$1001,$AR993),"")))</f>
        <v>0</v>
      </c>
      <c r="E993" s="5">
        <f>IF($A993="","",IF($AP993&lt;&gt;"",INDEX(Raw_D1!$E$2:$E$1001,$AP993),IF($AR993&lt;&gt;"",INDEX(Raw_D3!$E$2:$E$1001,$AR993),"")))</f>
        <v>2</v>
      </c>
      <c r="F993" s="5">
        <f>IF($A993="","",IF($AP993&lt;&gt;"",INDEX(Raw_D1!$F$2:$F$1001,$AP993),IF($AR993&lt;&gt;"",INDEX(Raw_D3!$F$2:$F$1001,$AR993),"")))</f>
        <v>23</v>
      </c>
      <c r="G993" s="5">
        <f>IF($A993="","",IF($AP993&lt;&gt;"",IF(INDEX(Raw_D1!$G$2:$G$1001,$AP993),1,0),IF($AR993&lt;&gt;"",IF(INDEX(Raw_D3!$G$2:$G$1001,$AR993),1,0),"")))</f>
        <v>0</v>
      </c>
      <c r="H993" s="5">
        <f>IF($A993="","",IF($AP993&lt;&gt;"",INDEX(Raw_D1!$H$2:$H$1001,$AP993),IF($AR993&lt;&gt;"",INDEX(Raw_D3!$H$2:$H$1001,$AR993),"")))</f>
        <v>0</v>
      </c>
      <c r="I993" s="5">
        <f>IF($A993="","",IF($AP993&lt;&gt;"",INDEX(Raw_D1!$I$2:$I$1001,$AP993),IF($AR993&lt;&gt;"",INDEX(Raw_D3!$I$2:$I$1001,$AR993),"")))</f>
        <v>1</v>
      </c>
      <c r="J993" s="16">
        <f>IF($A993="","",IF($AP993&lt;&gt;"",INDEX(Raw_D1!$J$2:$J$1001,$AP993),IF($AR993&lt;&gt;"",INDEX(Raw_D3!$J$2:$J$1001,$AR993),"")))</f>
        <v>0.4</v>
      </c>
      <c r="K993" s="17">
        <f>IF($A993="","",IF($AQ993&lt;&gt;"",IF(INDEX(Raw_D2!$C$2:$C$1001,$AQ993)="","",INDEX(Raw_D2!$C$2:$C$1001,$AQ993)),IF($AR993&lt;&gt;"",IF(INDEX(Raw_D3!$K$2:$K$1001,$AR993)="","",INDEX(Raw_D3!$K$2:$K$1001,$AR993)),"")))</f>
        <v>0.4091</v>
      </c>
      <c r="L993" s="16">
        <f>IF($A993="","",IF($AQ993&lt;&gt;"",IF(INDEX(Raw_D2!$D$2:$D$1001,$AQ993)="","",INDEX(Raw_D2!$D$2:$D$1001,$AQ993)),IF($AR993&lt;&gt;"",IF(INDEX(Raw_D3!$L$2:$L$1001,$AR993)="","",INDEX(Raw_D3!$L$2:$L$1001,$AR993)),"")))</f>
        <v>0.35</v>
      </c>
      <c r="M993" s="17">
        <f>IF($A993="","",IF($AQ993&lt;&gt;"",IF(INDEX(Raw_D2!$E$2:$E$1001,$AQ993)="","",INDEX(Raw_D2!$E$2:$E$1001,$AQ993)),IF($AR993&lt;&gt;"",IF(INDEX(Raw_D3!$M$2:$M$1001,$AR993)="","",INDEX(Raw_D3!$M$2:$M$1001,$AR993)),"")))</f>
        <v>0.3582</v>
      </c>
      <c r="N993" s="5">
        <f>IF($A993="","",IF($AQ993&lt;&gt;"",IF(INDEX(Raw_D2!$F$2:$F$1001,$AQ993)="","",INDEX(Raw_D2!$F$2:$F$1001,$AQ993)),IF($AR993&lt;&gt;"",IF(INDEX(Raw_D3!$N$2:$N$1001,$AR993)="","",INDEX(Raw_D3!$N$2:$N$1001,$AR993)),"")))</f>
        <v>3</v>
      </c>
      <c r="O993" s="5">
        <f>IF($A993="","",IF($AQ993&lt;&gt;"",IF(INDEX(Raw_D2!$G$2:$G$1001,$AQ993)="","",INDEX(Raw_D2!$G$2:$G$1001,$AQ993)),IF($AR993&lt;&gt;"",IF(INDEX(Raw_D3!$O$2:$O$1001,$AR993)="","",INDEX(Raw_D3!$O$2:$O$1001,$AR993)),"")))</f>
        <v>27</v>
      </c>
      <c r="P993" s="5">
        <f>IF($A993="","",IF($AQ993&lt;&gt;"",IF(INDEX(Raw_D2!$H$2:$H$1001,$AQ993)="","",INDEX(Raw_D2!$H$2:$H$1001,$AQ993)),IF($AR993&lt;&gt;"",IF(INDEX(Raw_D3!$P$2:$P$1001,$AR993)="","",INDEX(Raw_D3!$P$2:$P$1001,$AR993)),"")))</f>
        <v>30</v>
      </c>
      <c r="Q993" s="5" t="str">
        <f>IF($A993="","",IF(AND($AP993&lt;&gt;"",$AQ993&lt;&gt;""),"D1+D2",IF($AR993&lt;&gt;"","D3","Incomplete")))</f>
        <v>D3</v>
      </c>
      <c r="R993" s="17">
        <f>IF($A993="","",IF($K993="",IF($J993="","",ROUND(Lookups!$K$5+Lookups!$K$4*$J993,4)),$K993))</f>
        <v>0.4091</v>
      </c>
      <c r="S993" s="5" t="str">
        <f>IF($A993="","",IF($K993="","Imputed","Original"))</f>
        <v>Original</v>
      </c>
      <c r="T993" s="5" t="str">
        <f>IF($A993="","",IF($P993="","Missing",IF($P993=$N993+$O993,"OK","Mismatch")))</f>
        <v>OK</v>
      </c>
      <c r="U993" s="5" t="str">
        <f>IF($A993="","",IF(COUNTIF($A$2:$A993,$A993)&gt;1,"Duplicate","Unique"))</f>
        <v>Unique</v>
      </c>
      <c r="V993" s="5">
        <f>IF($A993="","",IF(AND($U993="Unique",ISNUMBER($P993)),1,0))</f>
        <v>1</v>
      </c>
      <c r="W993" s="5" t="str">
        <f>IF($A993="","",IF(OR($H993=0,$H993=6),"Weekend","Weekday"))</f>
        <v>Weekend</v>
      </c>
      <c r="X993" s="5" t="str">
        <f>IF($A993="","",TEXT($B993,"ddd"))</f>
        <v>Sun</v>
      </c>
      <c r="Y993" s="5" t="str">
        <f>IF($A993="","",TEXT($B993,"mmm"))</f>
        <v>Feb</v>
      </c>
      <c r="Z993" s="5" t="str">
        <f>IF($A993="","",IFERROR(VLOOKUP($C993,Lookups!$D$4:$E$7,2,FALSE),"Unknown"))</f>
        <v>Winter</v>
      </c>
      <c r="AA993" s="5" t="str">
        <f>IF($A993="","",IFERROR(VLOOKUP($I993,Lookups!$A$4:$B$7,2,FALSE),"Unknown"))</f>
        <v>Clear</v>
      </c>
      <c r="AB993" s="5" t="str">
        <f>IF($A993="","",TEXT($F993,"00")&amp;":00")</f>
        <v>23:00</v>
      </c>
      <c r="AC993" s="5" t="str">
        <f>IF($A993="","",VLOOKUP($F993,Lookups!$G$4:$H$8,2,TRUE))</f>
        <v>Late Evening (20-23)</v>
      </c>
      <c r="AD993" s="18">
        <f>IF($A993="","",IF($J993="","",ROUND($J993*41,1)))</f>
        <v>16.4</v>
      </c>
      <c r="AE993" s="18">
        <f>IF($A993="","",IF($R993="","",ROUND($R993*50,1)))</f>
        <v>20.5</v>
      </c>
      <c r="AF993" s="5">
        <f>IF($A993="","",IF($L993="","",ROUND($L993*100,0)))</f>
        <v>35</v>
      </c>
      <c r="AG993" s="18">
        <f>IF($A993="","",IF($M993="","",ROUND($M993*67,1)))</f>
        <v>24</v>
      </c>
      <c r="AH993" s="19">
        <f>IF($A993="","",IF($P993="","",IF($P993=0,0,$O993/$P993)))</f>
        <v>0.9</v>
      </c>
      <c r="AI993" s="5" t="str">
        <f>IF($A993="","",IF($P993="","",IF($P993&gt;=Lookups!$K$7,"High",IF($P993&lt;=Lookups!$K$8,"Low","Medium"))))</f>
        <v>Medium</v>
      </c>
      <c r="AJ993" s="5" t="str">
        <f>IF($A993="","",IF($AD993="","",IF($AD993&lt;5,"Under 5 C",IF($AD993&lt;10,"5-10 C",IF($AD993&lt;15,"10-15 C","15 C and above")))))</f>
        <v>15 C and above</v>
      </c>
      <c r="AK993" s="5">
        <f>IF($A993="","",IF($P993="","",$P993^2))</f>
        <v>900</v>
      </c>
      <c r="AL993" s="18">
        <f>IF($V993&lt;&gt;1,"",AVERAGEIFS(Clean_Data!$P$2:$P$1001,Clean_Data!$F$2:$F$1001,$F993,Clean_Data!$W$2:$W$1001,$W993,Clean_Data!$V$2:$V$1001,1))</f>
        <v>28.2857142857143</v>
      </c>
      <c r="AM993" s="16">
        <f>IF($V993&lt;&gt;1,"",IFERROR(($P993-$AL993)/SQRT(MAX(0,(SUMIFS(Clean_Data!$AK$2:$AK$1001,Clean_Data!$F$2:$F$1001,$F993,Clean_Data!$W$2:$W$1001,$W993,Clean_Data!$V$2:$V$1001,1)-COUNTIFS(Clean_Data!$F$2:$F$1001,$F993,Clean_Data!$W$2:$W$1001,$W993,Clean_Data!$V$2:$V$1001,1)*$AL993^2)/(COUNTIFS(Clean_Data!$F$2:$F$1001,$F993,Clean_Data!$W$2:$W$1001,$W993,Clean_Data!$V$2:$V$1001,1)-1))),""))</f>
        <v>0.122911560903238</v>
      </c>
      <c r="AN993" s="5" t="str">
        <f>IF($AM993="","",IF($AM993&gt;=Lookups!$K$6,"High spike",IF($AM993&lt;=-Lookups!$K$6,"Unusual low","Normal")))</f>
        <v>Normal</v>
      </c>
      <c r="AO993" s="20">
        <f>IF($V993&lt;&gt;1,"",$P993+ROW()/100000)</f>
        <v>30.00993</v>
      </c>
      <c r="AP993" s="5">
        <f>IF($A993="","",IFERROR(MATCH($A993,Raw_D1!$A$2:$A$1001,0),""))</f>
        <v/>
      </c>
      <c r="AQ993" s="5">
        <f>IF($A993="","",IFERROR(MATCH($A993,Raw_D2!$B$2:$B$1001,0),""))</f>
        <v/>
      </c>
      <c r="AR993" s="5">
        <f>IF($A993="","",IFERROR(MATCH($A993,Raw_D3!$A$2:$A$1001,0),""))</f>
        <v>373</v>
      </c>
    </row>
    <row r="994" spans="1:44" x14ac:dyDescent="0.25">
      <c r="A994" s="5">
        <v>993</v>
      </c>
      <c r="B994" s="11">
        <f>IF($A994="","",IF($AP994&lt;&gt;"",INDEX(Raw_D1!$B$2:$B$1001,$AP994),IF($AR994&lt;&gt;"",INDEX(Raw_D3!$B$2:$B$1001,$AR994),"")))</f>
        <v>40588.0</v>
      </c>
      <c r="C994" s="5">
        <f>IF($A994="","",IF($AP994&lt;&gt;"",INDEX(Raw_D1!$C$2:$C$1001,$AP994),IF($AR994&lt;&gt;"",INDEX(Raw_D3!$C$2:$C$1001,$AR994),"")))</f>
        <v>1</v>
      </c>
      <c r="D994" s="5">
        <f>IF($A994="","",IF($AP994&lt;&gt;"",INDEX(Raw_D1!$D$2:$D$1001,$AP994),IF($AR994&lt;&gt;"",INDEX(Raw_D3!$D$2:$D$1001,$AR994),"")))</f>
        <v>0</v>
      </c>
      <c r="E994" s="5">
        <f>IF($A994="","",IF($AP994&lt;&gt;"",INDEX(Raw_D1!$E$2:$E$1001,$AP994),IF($AR994&lt;&gt;"",INDEX(Raw_D3!$E$2:$E$1001,$AR994),"")))</f>
        <v>2</v>
      </c>
      <c r="F994" s="5">
        <f>IF($A994="","",IF($AP994&lt;&gt;"",INDEX(Raw_D1!$F$2:$F$1001,$AP994),IF($AR994&lt;&gt;"",INDEX(Raw_D3!$F$2:$F$1001,$AR994),"")))</f>
        <v>0</v>
      </c>
      <c r="G994" s="5">
        <f>IF($A994="","",IF($AP994&lt;&gt;"",IF(INDEX(Raw_D1!$G$2:$G$1001,$AP994),1,0),IF($AR994&lt;&gt;"",IF(INDEX(Raw_D3!$G$2:$G$1001,$AR994),1,0),"")))</f>
        <v>0</v>
      </c>
      <c r="H994" s="5">
        <f>IF($A994="","",IF($AP994&lt;&gt;"",INDEX(Raw_D1!$H$2:$H$1001,$AP994),IF($AR994&lt;&gt;"",INDEX(Raw_D3!$H$2:$H$1001,$AR994),"")))</f>
        <v>1</v>
      </c>
      <c r="I994" s="5">
        <f>IF($A994="","",IF($AP994&lt;&gt;"",INDEX(Raw_D1!$I$2:$I$1001,$AP994),IF($AR994&lt;&gt;"",INDEX(Raw_D3!$I$2:$I$1001,$AR994),"")))</f>
        <v>1</v>
      </c>
      <c r="J994" s="16">
        <f>IF($A994="","",IF($AP994&lt;&gt;"",INDEX(Raw_D1!$J$2:$J$1001,$AP994),IF($AR994&lt;&gt;"",INDEX(Raw_D3!$J$2:$J$1001,$AR994),"")))</f>
        <v>0.38</v>
      </c>
      <c r="K994" s="17">
        <f>IF($A994="","",IF($AQ994&lt;&gt;"",IF(INDEX(Raw_D2!$C$2:$C$1001,$AQ994)="","",INDEX(Raw_D2!$C$2:$C$1001,$AQ994)),IF($AR994&lt;&gt;"",IF(INDEX(Raw_D3!$K$2:$K$1001,$AR994)="","",INDEX(Raw_D3!$K$2:$K$1001,$AR994)),"")))</f>
        <v>0.3939</v>
      </c>
      <c r="L994" s="16">
        <f>IF($A994="","",IF($AQ994&lt;&gt;"",IF(INDEX(Raw_D2!$D$2:$D$1001,$AQ994)="","",INDEX(Raw_D2!$D$2:$D$1001,$AQ994)),IF($AR994&lt;&gt;"",IF(INDEX(Raw_D3!$L$2:$L$1001,$AR994)="","",INDEX(Raw_D3!$L$2:$L$1001,$AR994)),"")))</f>
        <v>0.37</v>
      </c>
      <c r="M994" s="17">
        <f>IF($A994="","",IF($AQ994&lt;&gt;"",IF(INDEX(Raw_D2!$E$2:$E$1001,$AQ994)="","",INDEX(Raw_D2!$E$2:$E$1001,$AQ994)),IF($AR994&lt;&gt;"",IF(INDEX(Raw_D3!$M$2:$M$1001,$AR994)="","",INDEX(Raw_D3!$M$2:$M$1001,$AR994)),"")))</f>
        <v>0.3582</v>
      </c>
      <c r="N994" s="5">
        <f>IF($A994="","",IF($AQ994&lt;&gt;"",IF(INDEX(Raw_D2!$F$2:$F$1001,$AQ994)="","",INDEX(Raw_D2!$F$2:$F$1001,$AQ994)),IF($AR994&lt;&gt;"",IF(INDEX(Raw_D3!$N$2:$N$1001,$AR994)="","",INDEX(Raw_D3!$N$2:$N$1001,$AR994)),"")))</f>
        <v>3</v>
      </c>
      <c r="O994" s="5">
        <f>IF($A994="","",IF($AQ994&lt;&gt;"",IF(INDEX(Raw_D2!$G$2:$G$1001,$AQ994)="","",INDEX(Raw_D2!$G$2:$G$1001,$AQ994)),IF($AR994&lt;&gt;"",IF(INDEX(Raw_D3!$O$2:$O$1001,$AR994)="","",INDEX(Raw_D3!$O$2:$O$1001,$AR994)),"")))</f>
        <v>8</v>
      </c>
      <c r="P994" s="5">
        <f>IF($A994="","",IF($AQ994&lt;&gt;"",IF(INDEX(Raw_D2!$H$2:$H$1001,$AQ994)="","",INDEX(Raw_D2!$H$2:$H$1001,$AQ994)),IF($AR994&lt;&gt;"",IF(INDEX(Raw_D3!$P$2:$P$1001,$AR994)="","",INDEX(Raw_D3!$P$2:$P$1001,$AR994)),"")))</f>
        <v>11</v>
      </c>
      <c r="Q994" s="5" t="str">
        <f>IF($A994="","",IF(AND($AP994&lt;&gt;"",$AQ994&lt;&gt;""),"D1+D2",IF($AR994&lt;&gt;"","D3","Incomplete")))</f>
        <v>D3</v>
      </c>
      <c r="R994" s="17">
        <f>IF($A994="","",IF($K994="",IF($J994="","",ROUND(Lookups!$K$5+Lookups!$K$4*$J994,4)),$K994))</f>
        <v>0.3939</v>
      </c>
      <c r="S994" s="5" t="str">
        <f>IF($A994="","",IF($K994="","Imputed","Original"))</f>
        <v>Original</v>
      </c>
      <c r="T994" s="5" t="str">
        <f>IF($A994="","",IF($P994="","Missing",IF($P994=$N994+$O994,"OK","Mismatch")))</f>
        <v>OK</v>
      </c>
      <c r="U994" s="5" t="str">
        <f>IF($A994="","",IF(COUNTIF($A$2:$A994,$A994)&gt;1,"Duplicate","Unique"))</f>
        <v>Unique</v>
      </c>
      <c r="V994" s="5">
        <f>IF($A994="","",IF(AND($U994="Unique",ISNUMBER($P994)),1,0))</f>
        <v>1</v>
      </c>
      <c r="W994" s="5" t="str">
        <f>IF($A994="","",IF(OR($H994=0,$H994=6),"Weekend","Weekday"))</f>
        <v>Weekday</v>
      </c>
      <c r="X994" s="5" t="str">
        <f>IF($A994="","",TEXT($B994,"ddd"))</f>
        <v>Mon</v>
      </c>
      <c r="Y994" s="5" t="str">
        <f>IF($A994="","",TEXT($B994,"mmm"))</f>
        <v>Feb</v>
      </c>
      <c r="Z994" s="5" t="str">
        <f>IF($A994="","",IFERROR(VLOOKUP($C994,Lookups!$D$4:$E$7,2,FALSE),"Unknown"))</f>
        <v>Winter</v>
      </c>
      <c r="AA994" s="5" t="str">
        <f>IF($A994="","",IFERROR(VLOOKUP($I994,Lookups!$A$4:$B$7,2,FALSE),"Unknown"))</f>
        <v>Clear</v>
      </c>
      <c r="AB994" s="5" t="str">
        <f>IF($A994="","",TEXT($F994,"00")&amp;":00")</f>
        <v>00:00</v>
      </c>
      <c r="AC994" s="5" t="str">
        <f>IF($A994="","",VLOOKUP($F994,Lookups!$G$4:$H$8,2,TRUE))</f>
        <v>Night (00-05)</v>
      </c>
      <c r="AD994" s="18">
        <f>IF($A994="","",IF($J994="","",ROUND($J994*41,1)))</f>
        <v>15.6</v>
      </c>
      <c r="AE994" s="18">
        <f>IF($A994="","",IF($R994="","",ROUND($R994*50,1)))</f>
        <v>19.7</v>
      </c>
      <c r="AF994" s="5">
        <f>IF($A994="","",IF($L994="","",ROUND($L994*100,0)))</f>
        <v>37</v>
      </c>
      <c r="AG994" s="18">
        <f>IF($A994="","",IF($M994="","",ROUND($M994*67,1)))</f>
        <v>24</v>
      </c>
      <c r="AH994" s="19">
        <f>IF($A994="","",IF($P994="","",IF($P994=0,0,$O994/$P994)))</f>
        <v>0.727272727272727</v>
      </c>
      <c r="AI994" s="5" t="str">
        <f>IF($A994="","",IF($P994="","",IF($P994&gt;=Lookups!$K$7,"High",IF($P994&lt;=Lookups!$K$8,"Low","Medium"))))</f>
        <v>Low</v>
      </c>
      <c r="AJ994" s="5" t="str">
        <f>IF($A994="","",IF($AD994="","",IF($AD994&lt;5,"Under 5 C",IF($AD994&lt;10,"5-10 C",IF($AD994&lt;15,"10-15 C","15 C and above")))))</f>
        <v>15 C and above</v>
      </c>
      <c r="AK994" s="5">
        <f>IF($A994="","",IF($P994="","",$P994^2))</f>
        <v>121</v>
      </c>
      <c r="AL994" s="18">
        <f>IF($V994&lt;&gt;1,"",AVERAGEIFS(Clean_Data!$P$2:$P$1001,Clean_Data!$F$2:$F$1001,$F994,Clean_Data!$W$2:$W$1001,$W994,Clean_Data!$V$2:$V$1001,1))</f>
        <v>10.6896551724138</v>
      </c>
      <c r="AM994" s="16">
        <f>IF($V994&lt;&gt;1,"",IFERROR(($P994-$AL994)/SQRT(MAX(0,(SUMIFS(Clean_Data!$AK$2:$AK$1001,Clean_Data!$F$2:$F$1001,$F994,Clean_Data!$W$2:$W$1001,$W994,Clean_Data!$V$2:$V$1001,1)-COUNTIFS(Clean_Data!$F$2:$F$1001,$F994,Clean_Data!$W$2:$W$1001,$W994,Clean_Data!$V$2:$V$1001,1)*$AL994^2)/(COUNTIFS(Clean_Data!$F$2:$F$1001,$F994,Clean_Data!$W$2:$W$1001,$W994,Clean_Data!$V$2:$V$1001,1)-1))),""))</f>
        <v>0.0634335593477067</v>
      </c>
      <c r="AN994" s="5" t="str">
        <f>IF($AM994="","",IF($AM994&gt;=Lookups!$K$6,"High spike",IF($AM994&lt;=-Lookups!$K$6,"Unusual low","Normal")))</f>
        <v>Normal</v>
      </c>
      <c r="AO994" s="20">
        <f>IF($V994&lt;&gt;1,"",$P994+ROW()/100000)</f>
        <v>11.00994</v>
      </c>
      <c r="AP994" s="5">
        <f>IF($A994="","",IFERROR(MATCH($A994,Raw_D1!$A$2:$A$1001,0),""))</f>
        <v/>
      </c>
      <c r="AQ994" s="5">
        <f>IF($A994="","",IFERROR(MATCH($A994,Raw_D2!$B$2:$B$1001,0),""))</f>
        <v/>
      </c>
      <c r="AR994" s="5">
        <f>IF($A994="","",IFERROR(MATCH($A994,Raw_D3!$A$2:$A$1001,0),""))</f>
        <v>374</v>
      </c>
    </row>
    <row r="995" spans="1:44" x14ac:dyDescent="0.25">
      <c r="A995" s="5">
        <v>994</v>
      </c>
      <c r="B995" s="11">
        <f>IF($A995="","",IF($AP995&lt;&gt;"",INDEX(Raw_D1!$B$2:$B$1001,$AP995),IF($AR995&lt;&gt;"",INDEX(Raw_D3!$B$2:$B$1001,$AR995),"")))</f>
        <v>40588.0</v>
      </c>
      <c r="C995" s="5">
        <f>IF($A995="","",IF($AP995&lt;&gt;"",INDEX(Raw_D1!$C$2:$C$1001,$AP995),IF($AR995&lt;&gt;"",INDEX(Raw_D3!$C$2:$C$1001,$AR995),"")))</f>
        <v>1</v>
      </c>
      <c r="D995" s="5">
        <f>IF($A995="","",IF($AP995&lt;&gt;"",INDEX(Raw_D1!$D$2:$D$1001,$AP995),IF($AR995&lt;&gt;"",INDEX(Raw_D3!$D$2:$D$1001,$AR995),"")))</f>
        <v>0</v>
      </c>
      <c r="E995" s="5">
        <f>IF($A995="","",IF($AP995&lt;&gt;"",INDEX(Raw_D1!$E$2:$E$1001,$AP995),IF($AR995&lt;&gt;"",INDEX(Raw_D3!$E$2:$E$1001,$AR995),"")))</f>
        <v>2</v>
      </c>
      <c r="F995" s="5">
        <f>IF($A995="","",IF($AP995&lt;&gt;"",INDEX(Raw_D1!$F$2:$F$1001,$AP995),IF($AR995&lt;&gt;"",INDEX(Raw_D3!$F$2:$F$1001,$AR995),"")))</f>
        <v>1</v>
      </c>
      <c r="G995" s="5">
        <f>IF($A995="","",IF($AP995&lt;&gt;"",IF(INDEX(Raw_D1!$G$2:$G$1001,$AP995),1,0),IF($AR995&lt;&gt;"",IF(INDEX(Raw_D3!$G$2:$G$1001,$AR995),1,0),"")))</f>
        <v>0</v>
      </c>
      <c r="H995" s="5">
        <f>IF($A995="","",IF($AP995&lt;&gt;"",INDEX(Raw_D1!$H$2:$H$1001,$AP995),IF($AR995&lt;&gt;"",INDEX(Raw_D3!$H$2:$H$1001,$AR995),"")))</f>
        <v>1</v>
      </c>
      <c r="I995" s="5">
        <f>IF($A995="","",IF($AP995&lt;&gt;"",INDEX(Raw_D1!$I$2:$I$1001,$AP995),IF($AR995&lt;&gt;"",INDEX(Raw_D3!$I$2:$I$1001,$AR995),"")))</f>
        <v>1</v>
      </c>
      <c r="J995" s="16">
        <f>IF($A995="","",IF($AP995&lt;&gt;"",INDEX(Raw_D1!$J$2:$J$1001,$AP995),IF($AR995&lt;&gt;"",INDEX(Raw_D3!$J$2:$J$1001,$AR995),"")))</f>
        <v>0.38</v>
      </c>
      <c r="K995" s="17">
        <f>IF($A995="","",IF($AQ995&lt;&gt;"",IF(INDEX(Raw_D2!$C$2:$C$1001,$AQ995)="","",INDEX(Raw_D2!$C$2:$C$1001,$AQ995)),IF($AR995&lt;&gt;"",IF(INDEX(Raw_D3!$K$2:$K$1001,$AR995)="","",INDEX(Raw_D3!$K$2:$K$1001,$AR995)),"")))</f>
        <v>0.3939</v>
      </c>
      <c r="L995" s="16">
        <f>IF($A995="","",IF($AQ995&lt;&gt;"",IF(INDEX(Raw_D2!$D$2:$D$1001,$AQ995)="","",INDEX(Raw_D2!$D$2:$D$1001,$AQ995)),IF($AR995&lt;&gt;"",IF(INDEX(Raw_D3!$L$2:$L$1001,$AR995)="","",INDEX(Raw_D3!$L$2:$L$1001,$AR995)),"")))</f>
        <v>0.37</v>
      </c>
      <c r="M995" s="17">
        <f>IF($A995="","",IF($AQ995&lt;&gt;"",IF(INDEX(Raw_D2!$E$2:$E$1001,$AQ995)="","",INDEX(Raw_D2!$E$2:$E$1001,$AQ995)),IF($AR995&lt;&gt;"",IF(INDEX(Raw_D3!$M$2:$M$1001,$AR995)="","",INDEX(Raw_D3!$M$2:$M$1001,$AR995)),"")))</f>
        <v>0.3582</v>
      </c>
      <c r="N995" s="5">
        <f>IF($A995="","",IF($AQ995&lt;&gt;"",IF(INDEX(Raw_D2!$F$2:$F$1001,$AQ995)="","",INDEX(Raw_D2!$F$2:$F$1001,$AQ995)),IF($AR995&lt;&gt;"",IF(INDEX(Raw_D3!$N$2:$N$1001,$AR995)="","",INDEX(Raw_D3!$N$2:$N$1001,$AR995)),"")))</f>
        <v>1</v>
      </c>
      <c r="O995" s="5">
        <f>IF($A995="","",IF($AQ995&lt;&gt;"",IF(INDEX(Raw_D2!$G$2:$G$1001,$AQ995)="","",INDEX(Raw_D2!$G$2:$G$1001,$AQ995)),IF($AR995&lt;&gt;"",IF(INDEX(Raw_D3!$O$2:$O$1001,$AR995)="","",INDEX(Raw_D3!$O$2:$O$1001,$AR995)),"")))</f>
        <v>6</v>
      </c>
      <c r="P995" s="5">
        <f>IF($A995="","",IF($AQ995&lt;&gt;"",IF(INDEX(Raw_D2!$H$2:$H$1001,$AQ995)="","",INDEX(Raw_D2!$H$2:$H$1001,$AQ995)),IF($AR995&lt;&gt;"",IF(INDEX(Raw_D3!$P$2:$P$1001,$AR995)="","",INDEX(Raw_D3!$P$2:$P$1001,$AR995)),"")))</f>
        <v>7</v>
      </c>
      <c r="Q995" s="5" t="str">
        <f>IF($A995="","",IF(AND($AP995&lt;&gt;"",$AQ995&lt;&gt;""),"D1+D2",IF($AR995&lt;&gt;"","D3","Incomplete")))</f>
        <v>D3</v>
      </c>
      <c r="R995" s="17">
        <f>IF($A995="","",IF($K995="",IF($J995="","",ROUND(Lookups!$K$5+Lookups!$K$4*$J995,4)),$K995))</f>
        <v>0.3939</v>
      </c>
      <c r="S995" s="5" t="str">
        <f>IF($A995="","",IF($K995="","Imputed","Original"))</f>
        <v>Original</v>
      </c>
      <c r="T995" s="5" t="str">
        <f>IF($A995="","",IF($P995="","Missing",IF($P995=$N995+$O995,"OK","Mismatch")))</f>
        <v>OK</v>
      </c>
      <c r="U995" s="5" t="str">
        <f>IF($A995="","",IF(COUNTIF($A$2:$A995,$A995)&gt;1,"Duplicate","Unique"))</f>
        <v>Unique</v>
      </c>
      <c r="V995" s="5">
        <f>IF($A995="","",IF(AND($U995="Unique",ISNUMBER($P995)),1,0))</f>
        <v>1</v>
      </c>
      <c r="W995" s="5" t="str">
        <f>IF($A995="","",IF(OR($H995=0,$H995=6),"Weekend","Weekday"))</f>
        <v>Weekday</v>
      </c>
      <c r="X995" s="5" t="str">
        <f>IF($A995="","",TEXT($B995,"ddd"))</f>
        <v>Mon</v>
      </c>
      <c r="Y995" s="5" t="str">
        <f>IF($A995="","",TEXT($B995,"mmm"))</f>
        <v>Feb</v>
      </c>
      <c r="Z995" s="5" t="str">
        <f>IF($A995="","",IFERROR(VLOOKUP($C995,Lookups!$D$4:$E$7,2,FALSE),"Unknown"))</f>
        <v>Winter</v>
      </c>
      <c r="AA995" s="5" t="str">
        <f>IF($A995="","",IFERROR(VLOOKUP($I995,Lookups!$A$4:$B$7,2,FALSE),"Unknown"))</f>
        <v>Clear</v>
      </c>
      <c r="AB995" s="5" t="str">
        <f>IF($A995="","",TEXT($F995,"00")&amp;":00")</f>
        <v>01:00</v>
      </c>
      <c r="AC995" s="5" t="str">
        <f>IF($A995="","",VLOOKUP($F995,Lookups!$G$4:$H$8,2,TRUE))</f>
        <v>Night (00-05)</v>
      </c>
      <c r="AD995" s="18">
        <f>IF($A995="","",IF($J995="","",ROUND($J995*41,1)))</f>
        <v>15.6</v>
      </c>
      <c r="AE995" s="18">
        <f>IF($A995="","",IF($R995="","",ROUND($R995*50,1)))</f>
        <v>19.7</v>
      </c>
      <c r="AF995" s="5">
        <f>IF($A995="","",IF($L995="","",ROUND($L995*100,0)))</f>
        <v>37</v>
      </c>
      <c r="AG995" s="18">
        <f>IF($A995="","",IF($M995="","",ROUND($M995*67,1)))</f>
        <v>24</v>
      </c>
      <c r="AH995" s="19">
        <f>IF($A995="","",IF($P995="","",IF($P995=0,0,$O995/$P995)))</f>
        <v>0.857142857142857</v>
      </c>
      <c r="AI995" s="5" t="str">
        <f>IF($A995="","",IF($P995="","",IF($P995&gt;=Lookups!$K$7,"High",IF($P995&lt;=Lookups!$K$8,"Low","Medium"))))</f>
        <v>Low</v>
      </c>
      <c r="AJ995" s="5" t="str">
        <f>IF($A995="","",IF($AD995="","",IF($AD995&lt;5,"Under 5 C",IF($AD995&lt;10,"5-10 C",IF($AD995&lt;15,"10-15 C","15 C and above")))))</f>
        <v>15 C and above</v>
      </c>
      <c r="AK995" s="5">
        <f>IF($A995="","",IF($P995="","",$P995^2))</f>
        <v>49</v>
      </c>
      <c r="AL995" s="18">
        <f>IF($V995&lt;&gt;1,"",AVERAGEIFS(Clean_Data!$P$2:$P$1001,Clean_Data!$F$2:$F$1001,$F995,Clean_Data!$W$2:$W$1001,$W995,Clean_Data!$V$2:$V$1001,1))</f>
        <v>5.10344827586207</v>
      </c>
      <c r="AM995" s="16">
        <f>IF($V995&lt;&gt;1,"",IFERROR(($P995-$AL995)/SQRT(MAX(0,(SUMIFS(Clean_Data!$AK$2:$AK$1001,Clean_Data!$F$2:$F$1001,$F995,Clean_Data!$W$2:$W$1001,$W995,Clean_Data!$V$2:$V$1001,1)-COUNTIFS(Clean_Data!$F$2:$F$1001,$F995,Clean_Data!$W$2:$W$1001,$W995,Clean_Data!$V$2:$V$1001,1)*$AL995^2)/(COUNTIFS(Clean_Data!$F$2:$F$1001,$F995,Clean_Data!$W$2:$W$1001,$W995,Clean_Data!$V$2:$V$1001,1)-1))),""))</f>
        <v>0.657892854181701</v>
      </c>
      <c r="AN995" s="5" t="str">
        <f>IF($AM995="","",IF($AM995&gt;=Lookups!$K$6,"High spike",IF($AM995&lt;=-Lookups!$K$6,"Unusual low","Normal")))</f>
        <v>Normal</v>
      </c>
      <c r="AO995" s="20">
        <f>IF($V995&lt;&gt;1,"",$P995+ROW()/100000)</f>
        <v>7.00995</v>
      </c>
      <c r="AP995" s="5">
        <f>IF($A995="","",IFERROR(MATCH($A995,Raw_D1!$A$2:$A$1001,0),""))</f>
        <v/>
      </c>
      <c r="AQ995" s="5">
        <f>IF($A995="","",IFERROR(MATCH($A995,Raw_D2!$B$2:$B$1001,0),""))</f>
        <v/>
      </c>
      <c r="AR995" s="5">
        <f>IF($A995="","",IFERROR(MATCH($A995,Raw_D3!$A$2:$A$1001,0),""))</f>
        <v>375</v>
      </c>
    </row>
    <row r="996" spans="1:44" x14ac:dyDescent="0.25">
      <c r="A996" s="5">
        <v>995</v>
      </c>
      <c r="B996" s="11">
        <f>IF($A996="","",IF($AP996&lt;&gt;"",INDEX(Raw_D1!$B$2:$B$1001,$AP996),IF($AR996&lt;&gt;"",INDEX(Raw_D3!$B$2:$B$1001,$AR996),"")))</f>
        <v>40588.0</v>
      </c>
      <c r="C996" s="5">
        <f>IF($A996="","",IF($AP996&lt;&gt;"",INDEX(Raw_D1!$C$2:$C$1001,$AP996),IF($AR996&lt;&gt;"",INDEX(Raw_D3!$C$2:$C$1001,$AR996),"")))</f>
        <v>1</v>
      </c>
      <c r="D996" s="5">
        <f>IF($A996="","",IF($AP996&lt;&gt;"",INDEX(Raw_D1!$D$2:$D$1001,$AP996),IF($AR996&lt;&gt;"",INDEX(Raw_D3!$D$2:$D$1001,$AR996),"")))</f>
        <v>0</v>
      </c>
      <c r="E996" s="5">
        <f>IF($A996="","",IF($AP996&lt;&gt;"",INDEX(Raw_D1!$E$2:$E$1001,$AP996),IF($AR996&lt;&gt;"",INDEX(Raw_D3!$E$2:$E$1001,$AR996),"")))</f>
        <v>2</v>
      </c>
      <c r="F996" s="5">
        <f>IF($A996="","",IF($AP996&lt;&gt;"",INDEX(Raw_D1!$F$2:$F$1001,$AP996),IF($AR996&lt;&gt;"",INDEX(Raw_D3!$F$2:$F$1001,$AR996),"")))</f>
        <v>2</v>
      </c>
      <c r="G996" s="5">
        <f>IF($A996="","",IF($AP996&lt;&gt;"",IF(INDEX(Raw_D1!$G$2:$G$1001,$AP996),1,0),IF($AR996&lt;&gt;"",IF(INDEX(Raw_D3!$G$2:$G$1001,$AR996),1,0),"")))</f>
        <v>0</v>
      </c>
      <c r="H996" s="5">
        <f>IF($A996="","",IF($AP996&lt;&gt;"",INDEX(Raw_D1!$H$2:$H$1001,$AP996),IF($AR996&lt;&gt;"",INDEX(Raw_D3!$H$2:$H$1001,$AR996),"")))</f>
        <v>1</v>
      </c>
      <c r="I996" s="5">
        <f>IF($A996="","",IF($AP996&lt;&gt;"",INDEX(Raw_D1!$I$2:$I$1001,$AP996),IF($AR996&lt;&gt;"",INDEX(Raw_D3!$I$2:$I$1001,$AR996),"")))</f>
        <v>1</v>
      </c>
      <c r="J996" s="16">
        <f>IF($A996="","",IF($AP996&lt;&gt;"",INDEX(Raw_D1!$J$2:$J$1001,$AP996),IF($AR996&lt;&gt;"",INDEX(Raw_D3!$J$2:$J$1001,$AR996),"")))</f>
        <v>0.36</v>
      </c>
      <c r="K996" s="17">
        <f>IF($A996="","",IF($AQ996&lt;&gt;"",IF(INDEX(Raw_D2!$C$2:$C$1001,$AQ996)="","",INDEX(Raw_D2!$C$2:$C$1001,$AQ996)),IF($AR996&lt;&gt;"",IF(INDEX(Raw_D3!$K$2:$K$1001,$AR996)="","",INDEX(Raw_D3!$K$2:$K$1001,$AR996)),"")))</f>
        <v>0.3333</v>
      </c>
      <c r="L996" s="16">
        <f>IF($A996="","",IF($AQ996&lt;&gt;"",IF(INDEX(Raw_D2!$D$2:$D$1001,$AQ996)="","",INDEX(Raw_D2!$D$2:$D$1001,$AQ996)),IF($AR996&lt;&gt;"",IF(INDEX(Raw_D3!$L$2:$L$1001,$AR996)="","",INDEX(Raw_D3!$L$2:$L$1001,$AR996)),"")))</f>
        <v>0.4</v>
      </c>
      <c r="M996" s="17">
        <f>IF($A996="","",IF($AQ996&lt;&gt;"",IF(INDEX(Raw_D2!$E$2:$E$1001,$AQ996)="","",INDEX(Raw_D2!$E$2:$E$1001,$AQ996)),IF($AR996&lt;&gt;"",IF(INDEX(Raw_D3!$M$2:$M$1001,$AR996)="","",INDEX(Raw_D3!$M$2:$M$1001,$AR996)),"")))</f>
        <v>0.2985</v>
      </c>
      <c r="N996" s="5">
        <f>IF($A996="","",IF($AQ996&lt;&gt;"",IF(INDEX(Raw_D2!$F$2:$F$1001,$AQ996)="","",INDEX(Raw_D2!$F$2:$F$1001,$AQ996)),IF($AR996&lt;&gt;"",IF(INDEX(Raw_D3!$N$2:$N$1001,$AR996)="","",INDEX(Raw_D3!$N$2:$N$1001,$AR996)),"")))</f>
        <v>0</v>
      </c>
      <c r="O996" s="5">
        <f>IF($A996="","",IF($AQ996&lt;&gt;"",IF(INDEX(Raw_D2!$G$2:$G$1001,$AQ996)="","",INDEX(Raw_D2!$G$2:$G$1001,$AQ996)),IF($AR996&lt;&gt;"",IF(INDEX(Raw_D3!$O$2:$O$1001,$AR996)="","",INDEX(Raw_D3!$O$2:$O$1001,$AR996)),"")))</f>
        <v>2</v>
      </c>
      <c r="P996" s="5">
        <f>IF($A996="","",IF($AQ996&lt;&gt;"",IF(INDEX(Raw_D2!$H$2:$H$1001,$AQ996)="","",INDEX(Raw_D2!$H$2:$H$1001,$AQ996)),IF($AR996&lt;&gt;"",IF(INDEX(Raw_D3!$P$2:$P$1001,$AR996)="","",INDEX(Raw_D3!$P$2:$P$1001,$AR996)),"")))</f>
        <v>2</v>
      </c>
      <c r="Q996" s="5" t="str">
        <f>IF($A996="","",IF(AND($AP996&lt;&gt;"",$AQ996&lt;&gt;""),"D1+D2",IF($AR996&lt;&gt;"","D3","Incomplete")))</f>
        <v>D3</v>
      </c>
      <c r="R996" s="17">
        <f>IF($A996="","",IF($K996="",IF($J996="","",ROUND(Lookups!$K$5+Lookups!$K$4*$J996,4)),$K996))</f>
        <v>0.3333</v>
      </c>
      <c r="S996" s="5" t="str">
        <f>IF($A996="","",IF($K996="","Imputed","Original"))</f>
        <v>Original</v>
      </c>
      <c r="T996" s="5" t="str">
        <f>IF($A996="","",IF($P996="","Missing",IF($P996=$N996+$O996,"OK","Mismatch")))</f>
        <v>OK</v>
      </c>
      <c r="U996" s="5" t="str">
        <f>IF($A996="","",IF(COUNTIF($A$2:$A996,$A996)&gt;1,"Duplicate","Unique"))</f>
        <v>Unique</v>
      </c>
      <c r="V996" s="5">
        <f>IF($A996="","",IF(AND($U996="Unique",ISNUMBER($P996)),1,0))</f>
        <v>1</v>
      </c>
      <c r="W996" s="5" t="str">
        <f>IF($A996="","",IF(OR($H996=0,$H996=6),"Weekend","Weekday"))</f>
        <v>Weekday</v>
      </c>
      <c r="X996" s="5" t="str">
        <f>IF($A996="","",TEXT($B996,"ddd"))</f>
        <v>Mon</v>
      </c>
      <c r="Y996" s="5" t="str">
        <f>IF($A996="","",TEXT($B996,"mmm"))</f>
        <v>Feb</v>
      </c>
      <c r="Z996" s="5" t="str">
        <f>IF($A996="","",IFERROR(VLOOKUP($C996,Lookups!$D$4:$E$7,2,FALSE),"Unknown"))</f>
        <v>Winter</v>
      </c>
      <c r="AA996" s="5" t="str">
        <f>IF($A996="","",IFERROR(VLOOKUP($I996,Lookups!$A$4:$B$7,2,FALSE),"Unknown"))</f>
        <v>Clear</v>
      </c>
      <c r="AB996" s="5" t="str">
        <f>IF($A996="","",TEXT($F996,"00")&amp;":00")</f>
        <v>02:00</v>
      </c>
      <c r="AC996" s="5" t="str">
        <f>IF($A996="","",VLOOKUP($F996,Lookups!$G$4:$H$8,2,TRUE))</f>
        <v>Night (00-05)</v>
      </c>
      <c r="AD996" s="18">
        <f>IF($A996="","",IF($J996="","",ROUND($J996*41,1)))</f>
        <v>14.8</v>
      </c>
      <c r="AE996" s="18">
        <f>IF($A996="","",IF($R996="","",ROUND($R996*50,1)))</f>
        <v>16.7</v>
      </c>
      <c r="AF996" s="5">
        <f>IF($A996="","",IF($L996="","",ROUND($L996*100,0)))</f>
        <v>40</v>
      </c>
      <c r="AG996" s="18">
        <f>IF($A996="","",IF($M996="","",ROUND($M996*67,1)))</f>
        <v>20</v>
      </c>
      <c r="AH996" s="19">
        <f>IF($A996="","",IF($P996="","",IF($P996=0,0,$O996/$P996)))</f>
        <v>1</v>
      </c>
      <c r="AI996" s="5" t="str">
        <f>IF($A996="","",IF($P996="","",IF($P996&gt;=Lookups!$K$7,"High",IF($P996&lt;=Lookups!$K$8,"Low","Medium"))))</f>
        <v>Low</v>
      </c>
      <c r="AJ996" s="5" t="str">
        <f>IF($A996="","",IF($AD996="","",IF($AD996&lt;5,"Under 5 C",IF($AD996&lt;10,"5-10 C",IF($AD996&lt;15,"10-15 C","15 C and above")))))</f>
        <v>10-15 C</v>
      </c>
      <c r="AK996" s="5">
        <f>IF($A996="","",IF($P996="","",$P996^2))</f>
        <v>4</v>
      </c>
      <c r="AL996" s="18">
        <f>IF($V996&lt;&gt;1,"",AVERAGEIFS(Clean_Data!$P$2:$P$1001,Clean_Data!$F$2:$F$1001,$F996,Clean_Data!$W$2:$W$1001,$W996,Clean_Data!$V$2:$V$1001,1))</f>
        <v>2.62962962962963</v>
      </c>
      <c r="AM996" s="16">
        <f>IF($V996&lt;&gt;1,"",IFERROR(($P996-$AL996)/SQRT(MAX(0,(SUMIFS(Clean_Data!$AK$2:$AK$1001,Clean_Data!$F$2:$F$1001,$F996,Clean_Data!$W$2:$W$1001,$W996,Clean_Data!$V$2:$V$1001,1)-COUNTIFS(Clean_Data!$F$2:$F$1001,$F996,Clean_Data!$W$2:$W$1001,$W996,Clean_Data!$V$2:$V$1001,1)*$AL996^2)/(COUNTIFS(Clean_Data!$F$2:$F$1001,$F996,Clean_Data!$W$2:$W$1001,$W996,Clean_Data!$V$2:$V$1001,1)-1))),""))</f>
        <v>-0.311395810225326</v>
      </c>
      <c r="AN996" s="5" t="str">
        <f>IF($AM996="","",IF($AM996&gt;=Lookups!$K$6,"High spike",IF($AM996&lt;=-Lookups!$K$6,"Unusual low","Normal")))</f>
        <v>Normal</v>
      </c>
      <c r="AO996" s="20">
        <f>IF($V996&lt;&gt;1,"",$P996+ROW()/100000)</f>
        <v>2.00996</v>
      </c>
      <c r="AP996" s="5">
        <f>IF($A996="","",IFERROR(MATCH($A996,Raw_D1!$A$2:$A$1001,0),""))</f>
        <v/>
      </c>
      <c r="AQ996" s="5">
        <f>IF($A996="","",IFERROR(MATCH($A996,Raw_D2!$B$2:$B$1001,0),""))</f>
        <v/>
      </c>
      <c r="AR996" s="5">
        <f>IF($A996="","",IFERROR(MATCH($A996,Raw_D3!$A$2:$A$1001,0),""))</f>
        <v>376</v>
      </c>
    </row>
    <row r="997" spans="1:44" x14ac:dyDescent="0.25">
      <c r="A997" s="5">
        <v>996</v>
      </c>
      <c r="B997" s="11">
        <f>IF($A997="","",IF($AP997&lt;&gt;"",INDEX(Raw_D1!$B$2:$B$1001,$AP997),IF($AR997&lt;&gt;"",INDEX(Raw_D3!$B$2:$B$1001,$AR997),"")))</f>
        <v>40588.0</v>
      </c>
      <c r="C997" s="5">
        <f>IF($A997="","",IF($AP997&lt;&gt;"",INDEX(Raw_D1!$C$2:$C$1001,$AP997),IF($AR997&lt;&gt;"",INDEX(Raw_D3!$C$2:$C$1001,$AR997),"")))</f>
        <v>1</v>
      </c>
      <c r="D997" s="5">
        <f>IF($A997="","",IF($AP997&lt;&gt;"",INDEX(Raw_D1!$D$2:$D$1001,$AP997),IF($AR997&lt;&gt;"",INDEX(Raw_D3!$D$2:$D$1001,$AR997),"")))</f>
        <v>0</v>
      </c>
      <c r="E997" s="5">
        <f>IF($A997="","",IF($AP997&lt;&gt;"",INDEX(Raw_D1!$E$2:$E$1001,$AP997),IF($AR997&lt;&gt;"",INDEX(Raw_D3!$E$2:$E$1001,$AR997),"")))</f>
        <v>2</v>
      </c>
      <c r="F997" s="5">
        <f>IF($A997="","",IF($AP997&lt;&gt;"",INDEX(Raw_D1!$F$2:$F$1001,$AP997),IF($AR997&lt;&gt;"",INDEX(Raw_D3!$F$2:$F$1001,$AR997),"")))</f>
        <v>3</v>
      </c>
      <c r="G997" s="5">
        <f>IF($A997="","",IF($AP997&lt;&gt;"",IF(INDEX(Raw_D1!$G$2:$G$1001,$AP997),1,0),IF($AR997&lt;&gt;"",IF(INDEX(Raw_D3!$G$2:$G$1001,$AR997),1,0),"")))</f>
        <v>0</v>
      </c>
      <c r="H997" s="5">
        <f>IF($A997="","",IF($AP997&lt;&gt;"",INDEX(Raw_D1!$H$2:$H$1001,$AP997),IF($AR997&lt;&gt;"",INDEX(Raw_D3!$H$2:$H$1001,$AR997),"")))</f>
        <v>1</v>
      </c>
      <c r="I997" s="5">
        <f>IF($A997="","",IF($AP997&lt;&gt;"",INDEX(Raw_D1!$I$2:$I$1001,$AP997),IF($AR997&lt;&gt;"",INDEX(Raw_D3!$I$2:$I$1001,$AR997),"")))</f>
        <v>1</v>
      </c>
      <c r="J997" s="16">
        <f>IF($A997="","",IF($AP997&lt;&gt;"",INDEX(Raw_D1!$J$2:$J$1001,$AP997),IF($AR997&lt;&gt;"",INDEX(Raw_D3!$J$2:$J$1001,$AR997),"")))</f>
        <v>0.34</v>
      </c>
      <c r="K997" s="17">
        <f>IF($A997="","",IF($AQ997&lt;&gt;"",IF(INDEX(Raw_D2!$C$2:$C$1001,$AQ997)="","",INDEX(Raw_D2!$C$2:$C$1001,$AQ997)),IF($AR997&lt;&gt;"",IF(INDEX(Raw_D3!$K$2:$K$1001,$AR997)="","",INDEX(Raw_D3!$K$2:$K$1001,$AR997)),"")))</f>
        <v>0.3182</v>
      </c>
      <c r="L997" s="16">
        <f>IF($A997="","",IF($AQ997&lt;&gt;"",IF(INDEX(Raw_D2!$D$2:$D$1001,$AQ997)="","",INDEX(Raw_D2!$D$2:$D$1001,$AQ997)),IF($AR997&lt;&gt;"",IF(INDEX(Raw_D3!$L$2:$L$1001,$AR997)="","",INDEX(Raw_D3!$L$2:$L$1001,$AR997)),"")))</f>
        <v>0.46</v>
      </c>
      <c r="M997" s="17">
        <f>IF($A997="","",IF($AQ997&lt;&gt;"",IF(INDEX(Raw_D2!$E$2:$E$1001,$AQ997)="","",INDEX(Raw_D2!$E$2:$E$1001,$AQ997)),IF($AR997&lt;&gt;"",IF(INDEX(Raw_D3!$M$2:$M$1001,$AR997)="","",INDEX(Raw_D3!$M$2:$M$1001,$AR997)),"")))</f>
        <v>0.2239</v>
      </c>
      <c r="N997" s="5">
        <f>IF($A997="","",IF($AQ997&lt;&gt;"",IF(INDEX(Raw_D2!$F$2:$F$1001,$AQ997)="","",INDEX(Raw_D2!$F$2:$F$1001,$AQ997)),IF($AR997&lt;&gt;"",IF(INDEX(Raw_D3!$N$2:$N$1001,$AR997)="","",INDEX(Raw_D3!$N$2:$N$1001,$AR997)),"")))</f>
        <v>1</v>
      </c>
      <c r="O997" s="5">
        <f>IF($A997="","",IF($AQ997&lt;&gt;"",IF(INDEX(Raw_D2!$G$2:$G$1001,$AQ997)="","",INDEX(Raw_D2!$G$2:$G$1001,$AQ997)),IF($AR997&lt;&gt;"",IF(INDEX(Raw_D3!$O$2:$O$1001,$AR997)="","",INDEX(Raw_D3!$O$2:$O$1001,$AR997)),"")))</f>
        <v>1</v>
      </c>
      <c r="P997" s="5">
        <f>IF($A997="","",IF($AQ997&lt;&gt;"",IF(INDEX(Raw_D2!$H$2:$H$1001,$AQ997)="","",INDEX(Raw_D2!$H$2:$H$1001,$AQ997)),IF($AR997&lt;&gt;"",IF(INDEX(Raw_D3!$P$2:$P$1001,$AR997)="","",INDEX(Raw_D3!$P$2:$P$1001,$AR997)),"")))</f>
        <v>2</v>
      </c>
      <c r="Q997" s="5" t="str">
        <f>IF($A997="","",IF(AND($AP997&lt;&gt;"",$AQ997&lt;&gt;""),"D1+D2",IF($AR997&lt;&gt;"","D3","Incomplete")))</f>
        <v>D3</v>
      </c>
      <c r="R997" s="17">
        <f>IF($A997="","",IF($K997="",IF($J997="","",ROUND(Lookups!$K$5+Lookups!$K$4*$J997,4)),$K997))</f>
        <v>0.3182</v>
      </c>
      <c r="S997" s="5" t="str">
        <f>IF($A997="","",IF($K997="","Imputed","Original"))</f>
        <v>Original</v>
      </c>
      <c r="T997" s="5" t="str">
        <f>IF($A997="","",IF($P997="","Missing",IF($P997=$N997+$O997,"OK","Mismatch")))</f>
        <v>OK</v>
      </c>
      <c r="U997" s="5" t="str">
        <f>IF($A997="","",IF(COUNTIF($A$2:$A997,$A997)&gt;1,"Duplicate","Unique"))</f>
        <v>Unique</v>
      </c>
      <c r="V997" s="5">
        <f>IF($A997="","",IF(AND($U997="Unique",ISNUMBER($P997)),1,0))</f>
        <v>1</v>
      </c>
      <c r="W997" s="5" t="str">
        <f>IF($A997="","",IF(OR($H997=0,$H997=6),"Weekend","Weekday"))</f>
        <v>Weekday</v>
      </c>
      <c r="X997" s="5" t="str">
        <f>IF($A997="","",TEXT($B997,"ddd"))</f>
        <v>Mon</v>
      </c>
      <c r="Y997" s="5" t="str">
        <f>IF($A997="","",TEXT($B997,"mmm"))</f>
        <v>Feb</v>
      </c>
      <c r="Z997" s="5" t="str">
        <f>IF($A997="","",IFERROR(VLOOKUP($C997,Lookups!$D$4:$E$7,2,FALSE),"Unknown"))</f>
        <v>Winter</v>
      </c>
      <c r="AA997" s="5" t="str">
        <f>IF($A997="","",IFERROR(VLOOKUP($I997,Lookups!$A$4:$B$7,2,FALSE),"Unknown"))</f>
        <v>Clear</v>
      </c>
      <c r="AB997" s="5" t="str">
        <f>IF($A997="","",TEXT($F997,"00")&amp;":00")</f>
        <v>03:00</v>
      </c>
      <c r="AC997" s="5" t="str">
        <f>IF($A997="","",VLOOKUP($F997,Lookups!$G$4:$H$8,2,TRUE))</f>
        <v>Night (00-05)</v>
      </c>
      <c r="AD997" s="18">
        <f>IF($A997="","",IF($J997="","",ROUND($J997*41,1)))</f>
        <v>13.9</v>
      </c>
      <c r="AE997" s="18">
        <f>IF($A997="","",IF($R997="","",ROUND($R997*50,1)))</f>
        <v>15.9</v>
      </c>
      <c r="AF997" s="5">
        <f>IF($A997="","",IF($L997="","",ROUND($L997*100,0)))</f>
        <v>46</v>
      </c>
      <c r="AG997" s="18">
        <f>IF($A997="","",IF($M997="","",ROUND($M997*67,1)))</f>
        <v>15</v>
      </c>
      <c r="AH997" s="19">
        <f>IF($A997="","",IF($P997="","",IF($P997=0,0,$O997/$P997)))</f>
        <v>0.5</v>
      </c>
      <c r="AI997" s="5" t="str">
        <f>IF($A997="","",IF($P997="","",IF($P997&gt;=Lookups!$K$7,"High",IF($P997&lt;=Lookups!$K$8,"Low","Medium"))))</f>
        <v>Low</v>
      </c>
      <c r="AJ997" s="5" t="str">
        <f>IF($A997="","",IF($AD997="","",IF($AD997&lt;5,"Under 5 C",IF($AD997&lt;10,"5-10 C",IF($AD997&lt;15,"10-15 C","15 C and above")))))</f>
        <v>10-15 C</v>
      </c>
      <c r="AK997" s="5">
        <f>IF($A997="","",IF($P997="","",$P997^2))</f>
        <v>4</v>
      </c>
      <c r="AL997" s="18">
        <f>IF($V997&lt;&gt;1,"",AVERAGEIFS(Clean_Data!$P$2:$P$1001,Clean_Data!$F$2:$F$1001,$F997,Clean_Data!$W$2:$W$1001,$W997,Clean_Data!$V$2:$V$1001,1))</f>
        <v>1.41176470588235</v>
      </c>
      <c r="AM997" s="16">
        <f>IF($V997&lt;&gt;1,"",IFERROR(($P997-$AL997)/SQRT(MAX(0,(SUMIFS(Clean_Data!$AK$2:$AK$1001,Clean_Data!$F$2:$F$1001,$F997,Clean_Data!$W$2:$W$1001,$W997,Clean_Data!$V$2:$V$1001,1)-COUNTIFS(Clean_Data!$F$2:$F$1001,$F997,Clean_Data!$W$2:$W$1001,$W997,Clean_Data!$V$2:$V$1001,1)*$AL997^2)/(COUNTIFS(Clean_Data!$F$2:$F$1001,$F997,Clean_Data!$W$2:$W$1001,$W997,Clean_Data!$V$2:$V$1001,1)-1))),""))</f>
        <v>0.951302988308989</v>
      </c>
      <c r="AN997" s="5" t="str">
        <f>IF($AM997="","",IF($AM997&gt;=Lookups!$K$6,"High spike",IF($AM997&lt;=-Lookups!$K$6,"Unusual low","Normal")))</f>
        <v>Normal</v>
      </c>
      <c r="AO997" s="20">
        <f>IF($V997&lt;&gt;1,"",$P997+ROW()/100000)</f>
        <v>2.00997</v>
      </c>
      <c r="AP997" s="5">
        <f>IF($A997="","",IFERROR(MATCH($A997,Raw_D1!$A$2:$A$1001,0),""))</f>
        <v/>
      </c>
      <c r="AQ997" s="5">
        <f>IF($A997="","",IFERROR(MATCH($A997,Raw_D2!$B$2:$B$1001,0),""))</f>
        <v/>
      </c>
      <c r="AR997" s="5">
        <f>IF($A997="","",IFERROR(MATCH($A997,Raw_D3!$A$2:$A$1001,0),""))</f>
        <v>377</v>
      </c>
    </row>
    <row r="998" spans="1:44" x14ac:dyDescent="0.25">
      <c r="A998" s="5">
        <v>997</v>
      </c>
      <c r="B998" s="11">
        <f>IF($A998="","",IF($AP998&lt;&gt;"",INDEX(Raw_D1!$B$2:$B$1001,$AP998),IF($AR998&lt;&gt;"",INDEX(Raw_D3!$B$2:$B$1001,$AR998),"")))</f>
        <v>40588.0</v>
      </c>
      <c r="C998" s="5">
        <f>IF($A998="","",IF($AP998&lt;&gt;"",INDEX(Raw_D1!$C$2:$C$1001,$AP998),IF($AR998&lt;&gt;"",INDEX(Raw_D3!$C$2:$C$1001,$AR998),"")))</f>
        <v>1</v>
      </c>
      <c r="D998" s="5">
        <f>IF($A998="","",IF($AP998&lt;&gt;"",INDEX(Raw_D1!$D$2:$D$1001,$AP998),IF($AR998&lt;&gt;"",INDEX(Raw_D3!$D$2:$D$1001,$AR998),"")))</f>
        <v>0</v>
      </c>
      <c r="E998" s="5">
        <f>IF($A998="","",IF($AP998&lt;&gt;"",INDEX(Raw_D1!$E$2:$E$1001,$AP998),IF($AR998&lt;&gt;"",INDEX(Raw_D3!$E$2:$E$1001,$AR998),"")))</f>
        <v>2</v>
      </c>
      <c r="F998" s="5">
        <f>IF($A998="","",IF($AP998&lt;&gt;"",INDEX(Raw_D1!$F$2:$F$1001,$AP998),IF($AR998&lt;&gt;"",INDEX(Raw_D3!$F$2:$F$1001,$AR998),"")))</f>
        <v>4</v>
      </c>
      <c r="G998" s="5">
        <f>IF($A998="","",IF($AP998&lt;&gt;"",IF(INDEX(Raw_D1!$G$2:$G$1001,$AP998),1,0),IF($AR998&lt;&gt;"",IF(INDEX(Raw_D3!$G$2:$G$1001,$AR998),1,0),"")))</f>
        <v>0</v>
      </c>
      <c r="H998" s="5">
        <f>IF($A998="","",IF($AP998&lt;&gt;"",INDEX(Raw_D1!$H$2:$H$1001,$AP998),IF($AR998&lt;&gt;"",INDEX(Raw_D3!$H$2:$H$1001,$AR998),"")))</f>
        <v>1</v>
      </c>
      <c r="I998" s="5">
        <f>IF($A998="","",IF($AP998&lt;&gt;"",INDEX(Raw_D1!$I$2:$I$1001,$AP998),IF($AR998&lt;&gt;"",INDEX(Raw_D3!$I$2:$I$1001,$AR998),"")))</f>
        <v>1</v>
      </c>
      <c r="J998" s="16">
        <f>IF($A998="","",IF($AP998&lt;&gt;"",INDEX(Raw_D1!$J$2:$J$1001,$AP998),IF($AR998&lt;&gt;"",INDEX(Raw_D3!$J$2:$J$1001,$AR998),"")))</f>
        <v>0.32</v>
      </c>
      <c r="K998" s="17">
        <f>IF($A998="","",IF($AQ998&lt;&gt;"",IF(INDEX(Raw_D2!$C$2:$C$1001,$AQ998)="","",INDEX(Raw_D2!$C$2:$C$1001,$AQ998)),IF($AR998&lt;&gt;"",IF(INDEX(Raw_D3!$K$2:$K$1001,$AR998)="","",INDEX(Raw_D3!$K$2:$K$1001,$AR998)),"")))</f>
        <v>0.303</v>
      </c>
      <c r="L998" s="16">
        <f>IF($A998="","",IF($AQ998&lt;&gt;"",IF(INDEX(Raw_D2!$D$2:$D$1001,$AQ998)="","",INDEX(Raw_D2!$D$2:$D$1001,$AQ998)),IF($AR998&lt;&gt;"",IF(INDEX(Raw_D3!$L$2:$L$1001,$AR998)="","",INDEX(Raw_D3!$L$2:$L$1001,$AR998)),"")))</f>
        <v>0.53</v>
      </c>
      <c r="M998" s="17">
        <f>IF($A998="","",IF($AQ998&lt;&gt;"",IF(INDEX(Raw_D2!$E$2:$E$1001,$AQ998)="","",INDEX(Raw_D2!$E$2:$E$1001,$AQ998)),IF($AR998&lt;&gt;"",IF(INDEX(Raw_D3!$M$2:$M$1001,$AR998)="","",INDEX(Raw_D3!$M$2:$M$1001,$AR998)),"")))</f>
        <v>0.2836</v>
      </c>
      <c r="N998" s="5">
        <f>IF($A998="","",IF($AQ998&lt;&gt;"",IF(INDEX(Raw_D2!$F$2:$F$1001,$AQ998)="","",INDEX(Raw_D2!$F$2:$F$1001,$AQ998)),IF($AR998&lt;&gt;"",IF(INDEX(Raw_D3!$N$2:$N$1001,$AR998)="","",INDEX(Raw_D3!$N$2:$N$1001,$AR998)),"")))</f>
        <v>0</v>
      </c>
      <c r="O998" s="5">
        <f>IF($A998="","",IF($AQ998&lt;&gt;"",IF(INDEX(Raw_D2!$G$2:$G$1001,$AQ998)="","",INDEX(Raw_D2!$G$2:$G$1001,$AQ998)),IF($AR998&lt;&gt;"",IF(INDEX(Raw_D3!$O$2:$O$1001,$AR998)="","",INDEX(Raw_D3!$O$2:$O$1001,$AR998)),"")))</f>
        <v>2</v>
      </c>
      <c r="P998" s="5">
        <f>IF($A998="","",IF($AQ998&lt;&gt;"",IF(INDEX(Raw_D2!$H$2:$H$1001,$AQ998)="","",INDEX(Raw_D2!$H$2:$H$1001,$AQ998)),IF($AR998&lt;&gt;"",IF(INDEX(Raw_D3!$P$2:$P$1001,$AR998)="","",INDEX(Raw_D3!$P$2:$P$1001,$AR998)),"")))</f>
        <v>2</v>
      </c>
      <c r="Q998" s="5" t="str">
        <f>IF($A998="","",IF(AND($AP998&lt;&gt;"",$AQ998&lt;&gt;""),"D1+D2",IF($AR998&lt;&gt;"","D3","Incomplete")))</f>
        <v>D3</v>
      </c>
      <c r="R998" s="17">
        <f>IF($A998="","",IF($K998="",IF($J998="","",ROUND(Lookups!$K$5+Lookups!$K$4*$J998,4)),$K998))</f>
        <v>0.303</v>
      </c>
      <c r="S998" s="5" t="str">
        <f>IF($A998="","",IF($K998="","Imputed","Original"))</f>
        <v>Original</v>
      </c>
      <c r="T998" s="5" t="str">
        <f>IF($A998="","",IF($P998="","Missing",IF($P998=$N998+$O998,"OK","Mismatch")))</f>
        <v>OK</v>
      </c>
      <c r="U998" s="5" t="str">
        <f>IF($A998="","",IF(COUNTIF($A$2:$A998,$A998)&gt;1,"Duplicate","Unique"))</f>
        <v>Unique</v>
      </c>
      <c r="V998" s="5">
        <f>IF($A998="","",IF(AND($U998="Unique",ISNUMBER($P998)),1,0))</f>
        <v>1</v>
      </c>
      <c r="W998" s="5" t="str">
        <f>IF($A998="","",IF(OR($H998=0,$H998=6),"Weekend","Weekday"))</f>
        <v>Weekday</v>
      </c>
      <c r="X998" s="5" t="str">
        <f>IF($A998="","",TEXT($B998,"ddd"))</f>
        <v>Mon</v>
      </c>
      <c r="Y998" s="5" t="str">
        <f>IF($A998="","",TEXT($B998,"mmm"))</f>
        <v>Feb</v>
      </c>
      <c r="Z998" s="5" t="str">
        <f>IF($A998="","",IFERROR(VLOOKUP($C998,Lookups!$D$4:$E$7,2,FALSE),"Unknown"))</f>
        <v>Winter</v>
      </c>
      <c r="AA998" s="5" t="str">
        <f>IF($A998="","",IFERROR(VLOOKUP($I998,Lookups!$A$4:$B$7,2,FALSE),"Unknown"))</f>
        <v>Clear</v>
      </c>
      <c r="AB998" s="5" t="str">
        <f>IF($A998="","",TEXT($F998,"00")&amp;":00")</f>
        <v>04:00</v>
      </c>
      <c r="AC998" s="5" t="str">
        <f>IF($A998="","",VLOOKUP($F998,Lookups!$G$4:$H$8,2,TRUE))</f>
        <v>Night (00-05)</v>
      </c>
      <c r="AD998" s="18">
        <f>IF($A998="","",IF($J998="","",ROUND($J998*41,1)))</f>
        <v>13.1</v>
      </c>
      <c r="AE998" s="18">
        <f>IF($A998="","",IF($R998="","",ROUND($R998*50,1)))</f>
        <v>15.2</v>
      </c>
      <c r="AF998" s="5">
        <f>IF($A998="","",IF($L998="","",ROUND($L998*100,0)))</f>
        <v>53</v>
      </c>
      <c r="AG998" s="18">
        <f>IF($A998="","",IF($M998="","",ROUND($M998*67,1)))</f>
        <v>19</v>
      </c>
      <c r="AH998" s="19">
        <f>IF($A998="","",IF($P998="","",IF($P998=0,0,$O998/$P998)))</f>
        <v>1</v>
      </c>
      <c r="AI998" s="5" t="str">
        <f>IF($A998="","",IF($P998="","",IF($P998&gt;=Lookups!$K$7,"High",IF($P998&lt;=Lookups!$K$8,"Low","Medium"))))</f>
        <v>Low</v>
      </c>
      <c r="AJ998" s="5" t="str">
        <f>IF($A998="","",IF($AD998="","",IF($AD998&lt;5,"Under 5 C",IF($AD998&lt;10,"5-10 C",IF($AD998&lt;15,"10-15 C","15 C and above")))))</f>
        <v>10-15 C</v>
      </c>
      <c r="AK998" s="5">
        <f>IF($A998="","",IF($P998="","",$P998^2))</f>
        <v>4</v>
      </c>
      <c r="AL998" s="18">
        <f>IF($V998&lt;&gt;1,"",AVERAGEIFS(Clean_Data!$P$2:$P$1001,Clean_Data!$F$2:$F$1001,$F998,Clean_Data!$W$2:$W$1001,$W998,Clean_Data!$V$2:$V$1001,1))</f>
        <v>1.78947368421053</v>
      </c>
      <c r="AM998" s="16">
        <f>IF($V998&lt;&gt;1,"",IFERROR(($P998-$AL998)/SQRT(MAX(0,(SUMIFS(Clean_Data!$AK$2:$AK$1001,Clean_Data!$F$2:$F$1001,$F998,Clean_Data!$W$2:$W$1001,$W998,Clean_Data!$V$2:$V$1001,1)-COUNTIFS(Clean_Data!$F$2:$F$1001,$F998,Clean_Data!$W$2:$W$1001,$W998,Clean_Data!$V$2:$V$1001,1)*$AL998^2)/(COUNTIFS(Clean_Data!$F$2:$F$1001,$F998,Clean_Data!$W$2:$W$1001,$W998,Clean_Data!$V$2:$V$1001,1)-1))),""))</f>
        <v>0.229415733870562</v>
      </c>
      <c r="AN998" s="5" t="str">
        <f>IF($AM998="","",IF($AM998&gt;=Lookups!$K$6,"High spike",IF($AM998&lt;=-Lookups!$K$6,"Unusual low","Normal")))</f>
        <v>Normal</v>
      </c>
      <c r="AO998" s="20">
        <f>IF($V998&lt;&gt;1,"",$P998+ROW()/100000)</f>
        <v>2.00998</v>
      </c>
      <c r="AP998" s="5">
        <f>IF($A998="","",IFERROR(MATCH($A998,Raw_D1!$A$2:$A$1001,0),""))</f>
        <v/>
      </c>
      <c r="AQ998" s="5">
        <f>IF($A998="","",IFERROR(MATCH($A998,Raw_D2!$B$2:$B$1001,0),""))</f>
        <v/>
      </c>
      <c r="AR998" s="5">
        <f>IF($A998="","",IFERROR(MATCH($A998,Raw_D3!$A$2:$A$1001,0),""))</f>
        <v>378</v>
      </c>
    </row>
    <row r="999" spans="1:44" x14ac:dyDescent="0.25">
      <c r="A999" s="5">
        <v>998</v>
      </c>
      <c r="B999" s="11">
        <f>IF($A999="","",IF($AP999&lt;&gt;"",INDEX(Raw_D1!$B$2:$B$1001,$AP999),IF($AR999&lt;&gt;"",INDEX(Raw_D3!$B$2:$B$1001,$AR999),"")))</f>
        <v>40588.0</v>
      </c>
      <c r="C999" s="5">
        <f>IF($A999="","",IF($AP999&lt;&gt;"",INDEX(Raw_D1!$C$2:$C$1001,$AP999),IF($AR999&lt;&gt;"",INDEX(Raw_D3!$C$2:$C$1001,$AR999),"")))</f>
        <v>1</v>
      </c>
      <c r="D999" s="5">
        <f>IF($A999="","",IF($AP999&lt;&gt;"",INDEX(Raw_D1!$D$2:$D$1001,$AP999),IF($AR999&lt;&gt;"",INDEX(Raw_D3!$D$2:$D$1001,$AR999),"")))</f>
        <v>0</v>
      </c>
      <c r="E999" s="5">
        <f>IF($A999="","",IF($AP999&lt;&gt;"",INDEX(Raw_D1!$E$2:$E$1001,$AP999),IF($AR999&lt;&gt;"",INDEX(Raw_D3!$E$2:$E$1001,$AR999),"")))</f>
        <v>2</v>
      </c>
      <c r="F999" s="5">
        <f>IF($A999="","",IF($AP999&lt;&gt;"",INDEX(Raw_D1!$F$2:$F$1001,$AP999),IF($AR999&lt;&gt;"",INDEX(Raw_D3!$F$2:$F$1001,$AR999),"")))</f>
        <v>5</v>
      </c>
      <c r="G999" s="5">
        <f>IF($A999="","",IF($AP999&lt;&gt;"",IF(INDEX(Raw_D1!$G$2:$G$1001,$AP999),1,0),IF($AR999&lt;&gt;"",IF(INDEX(Raw_D3!$G$2:$G$1001,$AR999),1,0),"")))</f>
        <v>0</v>
      </c>
      <c r="H999" s="5">
        <f>IF($A999="","",IF($AP999&lt;&gt;"",INDEX(Raw_D1!$H$2:$H$1001,$AP999),IF($AR999&lt;&gt;"",INDEX(Raw_D3!$H$2:$H$1001,$AR999),"")))</f>
        <v>1</v>
      </c>
      <c r="I999" s="5">
        <f>IF($A999="","",IF($AP999&lt;&gt;"",INDEX(Raw_D1!$I$2:$I$1001,$AP999),IF($AR999&lt;&gt;"",INDEX(Raw_D3!$I$2:$I$1001,$AR999),"")))</f>
        <v>1</v>
      </c>
      <c r="J999" s="16">
        <f>IF($A999="","",IF($AP999&lt;&gt;"",INDEX(Raw_D1!$J$2:$J$1001,$AP999),IF($AR999&lt;&gt;"",INDEX(Raw_D3!$J$2:$J$1001,$AR999),"")))</f>
        <v>0.32</v>
      </c>
      <c r="K999" s="17">
        <f>IF($A999="","",IF($AQ999&lt;&gt;"",IF(INDEX(Raw_D2!$C$2:$C$1001,$AQ999)="","",INDEX(Raw_D2!$C$2:$C$1001,$AQ999)),IF($AR999&lt;&gt;"",IF(INDEX(Raw_D3!$K$2:$K$1001,$AR999)="","",INDEX(Raw_D3!$K$2:$K$1001,$AR999)),"")))</f>
        <v>0.303</v>
      </c>
      <c r="L999" s="16">
        <f>IF($A999="","",IF($AQ999&lt;&gt;"",IF(INDEX(Raw_D2!$D$2:$D$1001,$AQ999)="","",INDEX(Raw_D2!$D$2:$D$1001,$AQ999)),IF($AR999&lt;&gt;"",IF(INDEX(Raw_D3!$L$2:$L$1001,$AR999)="","",INDEX(Raw_D3!$L$2:$L$1001,$AR999)),"")))</f>
        <v>0.53</v>
      </c>
      <c r="M999" s="17">
        <f>IF($A999="","",IF($AQ999&lt;&gt;"",IF(INDEX(Raw_D2!$E$2:$E$1001,$AQ999)="","",INDEX(Raw_D2!$E$2:$E$1001,$AQ999)),IF($AR999&lt;&gt;"",IF(INDEX(Raw_D3!$M$2:$M$1001,$AR999)="","",INDEX(Raw_D3!$M$2:$M$1001,$AR999)),"")))</f>
        <v>0.2836</v>
      </c>
      <c r="N999" s="5">
        <f>IF($A999="","",IF($AQ999&lt;&gt;"",IF(INDEX(Raw_D2!$F$2:$F$1001,$AQ999)="","",INDEX(Raw_D2!$F$2:$F$1001,$AQ999)),IF($AR999&lt;&gt;"",IF(INDEX(Raw_D3!$N$2:$N$1001,$AR999)="","",INDEX(Raw_D3!$N$2:$N$1001,$AR999)),"")))</f>
        <v>0</v>
      </c>
      <c r="O999" s="5">
        <f>IF($A999="","",IF($AQ999&lt;&gt;"",IF(INDEX(Raw_D2!$G$2:$G$1001,$AQ999)="","",INDEX(Raw_D2!$G$2:$G$1001,$AQ999)),IF($AR999&lt;&gt;"",IF(INDEX(Raw_D3!$O$2:$O$1001,$AR999)="","",INDEX(Raw_D3!$O$2:$O$1001,$AR999)),"")))</f>
        <v>3</v>
      </c>
      <c r="P999" s="5">
        <f>IF($A999="","",IF($AQ999&lt;&gt;"",IF(INDEX(Raw_D2!$H$2:$H$1001,$AQ999)="","",INDEX(Raw_D2!$H$2:$H$1001,$AQ999)),IF($AR999&lt;&gt;"",IF(INDEX(Raw_D3!$P$2:$P$1001,$AR999)="","",INDEX(Raw_D3!$P$2:$P$1001,$AR999)),"")))</f>
        <v>3</v>
      </c>
      <c r="Q999" s="5" t="str">
        <f>IF($A999="","",IF(AND($AP999&lt;&gt;"",$AQ999&lt;&gt;""),"D1+D2",IF($AR999&lt;&gt;"","D3","Incomplete")))</f>
        <v>D3</v>
      </c>
      <c r="R999" s="17">
        <f>IF($A999="","",IF($K999="",IF($J999="","",ROUND(Lookups!$K$5+Lookups!$K$4*$J999,4)),$K999))</f>
        <v>0.303</v>
      </c>
      <c r="S999" s="5" t="str">
        <f>IF($A999="","",IF($K999="","Imputed","Original"))</f>
        <v>Original</v>
      </c>
      <c r="T999" s="5" t="str">
        <f>IF($A999="","",IF($P999="","Missing",IF($P999=$N999+$O999,"OK","Mismatch")))</f>
        <v>OK</v>
      </c>
      <c r="U999" s="5" t="str">
        <f>IF($A999="","",IF(COUNTIF($A$2:$A999,$A999)&gt;1,"Duplicate","Unique"))</f>
        <v>Unique</v>
      </c>
      <c r="V999" s="5">
        <f>IF($A999="","",IF(AND($U999="Unique",ISNUMBER($P999)),1,0))</f>
        <v>1</v>
      </c>
      <c r="W999" s="5" t="str">
        <f>IF($A999="","",IF(OR($H999=0,$H999=6),"Weekend","Weekday"))</f>
        <v>Weekday</v>
      </c>
      <c r="X999" s="5" t="str">
        <f>IF($A999="","",TEXT($B999,"ddd"))</f>
        <v>Mon</v>
      </c>
      <c r="Y999" s="5" t="str">
        <f>IF($A999="","",TEXT($B999,"mmm"))</f>
        <v>Feb</v>
      </c>
      <c r="Z999" s="5" t="str">
        <f>IF($A999="","",IFERROR(VLOOKUP($C999,Lookups!$D$4:$E$7,2,FALSE),"Unknown"))</f>
        <v>Winter</v>
      </c>
      <c r="AA999" s="5" t="str">
        <f>IF($A999="","",IFERROR(VLOOKUP($I999,Lookups!$A$4:$B$7,2,FALSE),"Unknown"))</f>
        <v>Clear</v>
      </c>
      <c r="AB999" s="5" t="str">
        <f>IF($A999="","",TEXT($F999,"00")&amp;":00")</f>
        <v>05:00</v>
      </c>
      <c r="AC999" s="5" t="str">
        <f>IF($A999="","",VLOOKUP($F999,Lookups!$G$4:$H$8,2,TRUE))</f>
        <v>Night (00-05)</v>
      </c>
      <c r="AD999" s="18">
        <f>IF($A999="","",IF($J999="","",ROUND($J999*41,1)))</f>
        <v>13.1</v>
      </c>
      <c r="AE999" s="18">
        <f>IF($A999="","",IF($R999="","",ROUND($R999*50,1)))</f>
        <v>15.2</v>
      </c>
      <c r="AF999" s="5">
        <f>IF($A999="","",IF($L999="","",ROUND($L999*100,0)))</f>
        <v>53</v>
      </c>
      <c r="AG999" s="18">
        <f>IF($A999="","",IF($M999="","",ROUND($M999*67,1)))</f>
        <v>19</v>
      </c>
      <c r="AH999" s="19">
        <f>IF($A999="","",IF($P999="","",IF($P999=0,0,$O999/$P999)))</f>
        <v>1</v>
      </c>
      <c r="AI999" s="5" t="str">
        <f>IF($A999="","",IF($P999="","",IF($P999&gt;=Lookups!$K$7,"High",IF($P999&lt;=Lookups!$K$8,"Low","Medium"))))</f>
        <v>Low</v>
      </c>
      <c r="AJ999" s="5" t="str">
        <f>IF($A999="","",IF($AD999="","",IF($AD999&lt;5,"Under 5 C",IF($AD999&lt;10,"5-10 C",IF($AD999&lt;15,"10-15 C","15 C and above")))))</f>
        <v>10-15 C</v>
      </c>
      <c r="AK999" s="5">
        <f>IF($A999="","",IF($P999="","",$P999^2))</f>
        <v>9</v>
      </c>
      <c r="AL999" s="18">
        <f>IF($V999&lt;&gt;1,"",AVERAGEIFS(Clean_Data!$P$2:$P$1001,Clean_Data!$F$2:$F$1001,$F999,Clean_Data!$W$2:$W$1001,$W999,Clean_Data!$V$2:$V$1001,1))</f>
        <v>4.72413793103448</v>
      </c>
      <c r="AM999" s="16">
        <f>IF($V999&lt;&gt;1,"",IFERROR(($P999-$AL999)/SQRT(MAX(0,(SUMIFS(Clean_Data!$AK$2:$AK$1001,Clean_Data!$F$2:$F$1001,$F999,Clean_Data!$W$2:$W$1001,$W999,Clean_Data!$V$2:$V$1001,1)-COUNTIFS(Clean_Data!$F$2:$F$1001,$F999,Clean_Data!$W$2:$W$1001,$W999,Clean_Data!$V$2:$V$1001,1)*$AL999^2)/(COUNTIFS(Clean_Data!$F$2:$F$1001,$F999,Clean_Data!$W$2:$W$1001,$W999,Clean_Data!$V$2:$V$1001,1)-1))),""))</f>
        <v>-0.735669230034663</v>
      </c>
      <c r="AN999" s="5" t="str">
        <f>IF($AM999="","",IF($AM999&gt;=Lookups!$K$6,"High spike",IF($AM999&lt;=-Lookups!$K$6,"Unusual low","Normal")))</f>
        <v>Normal</v>
      </c>
      <c r="AO999" s="20">
        <f>IF($V999&lt;&gt;1,"",$P999+ROW()/100000)</f>
        <v>3.00999</v>
      </c>
      <c r="AP999" s="5">
        <f>IF($A999="","",IFERROR(MATCH($A999,Raw_D1!$A$2:$A$1001,0),""))</f>
        <v/>
      </c>
      <c r="AQ999" s="5">
        <f>IF($A999="","",IFERROR(MATCH($A999,Raw_D2!$B$2:$B$1001,0),""))</f>
        <v/>
      </c>
      <c r="AR999" s="5">
        <f>IF($A999="","",IFERROR(MATCH($A999,Raw_D3!$A$2:$A$1001,0),""))</f>
        <v>379</v>
      </c>
    </row>
    <row r="1000" spans="1:44" x14ac:dyDescent="0.25">
      <c r="A1000" s="5">
        <v>999</v>
      </c>
      <c r="B1000" s="11">
        <f>IF($A1000="","",IF($AP1000&lt;&gt;"",INDEX(Raw_D1!$B$2:$B$1001,$AP1000),IF($AR1000&lt;&gt;"",INDEX(Raw_D3!$B$2:$B$1001,$AR1000),"")))</f>
        <v>40588.0</v>
      </c>
      <c r="C1000" s="5">
        <f>IF($A1000="","",IF($AP1000&lt;&gt;"",INDEX(Raw_D1!$C$2:$C$1001,$AP1000),IF($AR1000&lt;&gt;"",INDEX(Raw_D3!$C$2:$C$1001,$AR1000),"")))</f>
        <v>1</v>
      </c>
      <c r="D1000" s="5">
        <f>IF($A1000="","",IF($AP1000&lt;&gt;"",INDEX(Raw_D1!$D$2:$D$1001,$AP1000),IF($AR1000&lt;&gt;"",INDEX(Raw_D3!$D$2:$D$1001,$AR1000),"")))</f>
        <v>0</v>
      </c>
      <c r="E1000" s="5">
        <f>IF($A1000="","",IF($AP1000&lt;&gt;"",INDEX(Raw_D1!$E$2:$E$1001,$AP1000),IF($AR1000&lt;&gt;"",INDEX(Raw_D3!$E$2:$E$1001,$AR1000),"")))</f>
        <v>2</v>
      </c>
      <c r="F1000" s="5">
        <f>IF($A1000="","",IF($AP1000&lt;&gt;"",INDEX(Raw_D1!$F$2:$F$1001,$AP1000),IF($AR1000&lt;&gt;"",INDEX(Raw_D3!$F$2:$F$1001,$AR1000),"")))</f>
        <v>6</v>
      </c>
      <c r="G1000" s="5">
        <f>IF($A1000="","",IF($AP1000&lt;&gt;"",IF(INDEX(Raw_D1!$G$2:$G$1001,$AP1000),1,0),IF($AR1000&lt;&gt;"",IF(INDEX(Raw_D3!$G$2:$G$1001,$AR1000),1,0),"")))</f>
        <v>0</v>
      </c>
      <c r="H1000" s="5">
        <f>IF($A1000="","",IF($AP1000&lt;&gt;"",INDEX(Raw_D1!$H$2:$H$1001,$AP1000),IF($AR1000&lt;&gt;"",INDEX(Raw_D3!$H$2:$H$1001,$AR1000),"")))</f>
        <v>1</v>
      </c>
      <c r="I1000" s="5">
        <f>IF($A1000="","",IF($AP1000&lt;&gt;"",INDEX(Raw_D1!$I$2:$I$1001,$AP1000),IF($AR1000&lt;&gt;"",INDEX(Raw_D3!$I$2:$I$1001,$AR1000),"")))</f>
        <v>1</v>
      </c>
      <c r="J1000" s="16">
        <f>IF($A1000="","",IF($AP1000&lt;&gt;"",INDEX(Raw_D1!$J$2:$J$1001,$AP1000),IF($AR1000&lt;&gt;"",INDEX(Raw_D3!$J$2:$J$1001,$AR1000),"")))</f>
        <v>0.34</v>
      </c>
      <c r="K1000" s="17">
        <f>IF($A1000="","",IF($AQ1000&lt;&gt;"",IF(INDEX(Raw_D2!$C$2:$C$1001,$AQ1000)="","",INDEX(Raw_D2!$C$2:$C$1001,$AQ1000)),IF($AR1000&lt;&gt;"",IF(INDEX(Raw_D3!$K$2:$K$1001,$AR1000)="","",INDEX(Raw_D3!$K$2:$K$1001,$AR1000)),"")))</f>
        <v>0.303</v>
      </c>
      <c r="L1000" s="16">
        <f>IF($A1000="","",IF($AQ1000&lt;&gt;"",IF(INDEX(Raw_D2!$D$2:$D$1001,$AQ1000)="","",INDEX(Raw_D2!$D$2:$D$1001,$AQ1000)),IF($AR1000&lt;&gt;"",IF(INDEX(Raw_D3!$L$2:$L$1001,$AR1000)="","",INDEX(Raw_D3!$L$2:$L$1001,$AR1000)),"")))</f>
        <v>0.46</v>
      </c>
      <c r="M1000" s="17">
        <f>IF($A1000="","",IF($AQ1000&lt;&gt;"",IF(INDEX(Raw_D2!$E$2:$E$1001,$AQ1000)="","",INDEX(Raw_D2!$E$2:$E$1001,$AQ1000)),IF($AR1000&lt;&gt;"",IF(INDEX(Raw_D3!$M$2:$M$1001,$AR1000)="","",INDEX(Raw_D3!$M$2:$M$1001,$AR1000)),"")))</f>
        <v>0.2985</v>
      </c>
      <c r="N1000" s="5">
        <f>IF($A1000="","",IF($AQ1000&lt;&gt;"",IF(INDEX(Raw_D2!$F$2:$F$1001,$AQ1000)="","",INDEX(Raw_D2!$F$2:$F$1001,$AQ1000)),IF($AR1000&lt;&gt;"",IF(INDEX(Raw_D3!$N$2:$N$1001,$AR1000)="","",INDEX(Raw_D3!$N$2:$N$1001,$AR1000)),"")))</f>
        <v>1</v>
      </c>
      <c r="O1000" s="5">
        <f>IF($A1000="","",IF($AQ1000&lt;&gt;"",IF(INDEX(Raw_D2!$G$2:$G$1001,$AQ1000)="","",INDEX(Raw_D2!$G$2:$G$1001,$AQ1000)),IF($AR1000&lt;&gt;"",IF(INDEX(Raw_D3!$O$2:$O$1001,$AR1000)="","",INDEX(Raw_D3!$O$2:$O$1001,$AR1000)),"")))</f>
        <v>25</v>
      </c>
      <c r="P1000" s="5">
        <f>IF($A1000="","",IF($AQ1000&lt;&gt;"",IF(INDEX(Raw_D2!$H$2:$H$1001,$AQ1000)="","",INDEX(Raw_D2!$H$2:$H$1001,$AQ1000)),IF($AR1000&lt;&gt;"",IF(INDEX(Raw_D3!$P$2:$P$1001,$AR1000)="","",INDEX(Raw_D3!$P$2:$P$1001,$AR1000)),"")))</f>
        <v>26</v>
      </c>
      <c r="Q1000" s="5" t="str">
        <f>IF($A1000="","",IF(AND($AP1000&lt;&gt;"",$AQ1000&lt;&gt;""),"D1+D2",IF($AR1000&lt;&gt;"","D3","Incomplete")))</f>
        <v>D3</v>
      </c>
      <c r="R1000" s="17">
        <f>IF($A1000="","",IF($K1000="",IF($J1000="","",ROUND(Lookups!$K$5+Lookups!$K$4*$J1000,4)),$K1000))</f>
        <v>0.303</v>
      </c>
      <c r="S1000" s="5" t="str">
        <f>IF($A1000="","",IF($K1000="","Imputed","Original"))</f>
        <v>Original</v>
      </c>
      <c r="T1000" s="5" t="str">
        <f>IF($A1000="","",IF($P1000="","Missing",IF($P1000=$N1000+$O1000,"OK","Mismatch")))</f>
        <v>OK</v>
      </c>
      <c r="U1000" s="5" t="str">
        <f>IF($A1000="","",IF(COUNTIF($A$2:$A1000,$A1000)&gt;1,"Duplicate","Unique"))</f>
        <v>Unique</v>
      </c>
      <c r="V1000" s="5">
        <f>IF($A1000="","",IF(AND($U1000="Unique",ISNUMBER($P1000)),1,0))</f>
        <v>1</v>
      </c>
      <c r="W1000" s="5" t="str">
        <f>IF($A1000="","",IF(OR($H1000=0,$H1000=6),"Weekend","Weekday"))</f>
        <v>Weekday</v>
      </c>
      <c r="X1000" s="5" t="str">
        <f>IF($A1000="","",TEXT($B1000,"ddd"))</f>
        <v>Mon</v>
      </c>
      <c r="Y1000" s="5" t="str">
        <f>IF($A1000="","",TEXT($B1000,"mmm"))</f>
        <v>Feb</v>
      </c>
      <c r="Z1000" s="5" t="str">
        <f>IF($A1000="","",IFERROR(VLOOKUP($C1000,Lookups!$D$4:$E$7,2,FALSE),"Unknown"))</f>
        <v>Winter</v>
      </c>
      <c r="AA1000" s="5" t="str">
        <f>IF($A1000="","",IFERROR(VLOOKUP($I1000,Lookups!$A$4:$B$7,2,FALSE),"Unknown"))</f>
        <v>Clear</v>
      </c>
      <c r="AB1000" s="5" t="str">
        <f>IF($A1000="","",TEXT($F1000,"00")&amp;":00")</f>
        <v>06:00</v>
      </c>
      <c r="AC1000" s="5" t="str">
        <f>IF($A1000="","",VLOOKUP($F1000,Lookups!$G$4:$H$8,2,TRUE))</f>
        <v>Morning Peak (06-09)</v>
      </c>
      <c r="AD1000" s="18">
        <f>IF($A1000="","",IF($J1000="","",ROUND($J1000*41,1)))</f>
        <v>13.9</v>
      </c>
      <c r="AE1000" s="18">
        <f>IF($A1000="","",IF($R1000="","",ROUND($R1000*50,1)))</f>
        <v>15.2</v>
      </c>
      <c r="AF1000" s="5">
        <f>IF($A1000="","",IF($L1000="","",ROUND($L1000*100,0)))</f>
        <v>46</v>
      </c>
      <c r="AG1000" s="18">
        <f>IF($A1000="","",IF($M1000="","",ROUND($M1000*67,1)))</f>
        <v>20</v>
      </c>
      <c r="AH1000" s="19">
        <f>IF($A1000="","",IF($P1000="","",IF($P1000=0,0,$O1000/$P1000)))</f>
        <v>0.961538461538462</v>
      </c>
      <c r="AI1000" s="5" t="str">
        <f>IF($A1000="","",IF($P1000="","",IF($P1000&gt;=Lookups!$K$7,"High",IF($P1000&lt;=Lookups!$K$8,"Low","Medium"))))</f>
        <v>Medium</v>
      </c>
      <c r="AJ1000" s="5" t="str">
        <f>IF($A1000="","",IF($AD1000="","",IF($AD1000&lt;5,"Under 5 C",IF($AD1000&lt;10,"5-10 C",IF($AD1000&lt;15,"10-15 C","15 C and above")))))</f>
        <v>10-15 C</v>
      </c>
      <c r="AK1000" s="5">
        <f>IF($A1000="","",IF($P1000="","",$P1000^2))</f>
        <v>676</v>
      </c>
      <c r="AL1000" s="18">
        <f>IF($V1000&lt;&gt;1,"",AVERAGEIFS(Clean_Data!$P$2:$P$1001,Clean_Data!$F$2:$F$1001,$F1000,Clean_Data!$W$2:$W$1001,$W1000,Clean_Data!$V$2:$V$1001,1))</f>
        <v>27.3793103448276</v>
      </c>
      <c r="AM1000" s="16">
        <f>IF($V1000&lt;&gt;1,"",IFERROR(($P1000-$AL1000)/SQRT(MAX(0,(SUMIFS(Clean_Data!$AK$2:$AK$1001,Clean_Data!$F$2:$F$1001,$F1000,Clean_Data!$W$2:$W$1001,$W1000,Clean_Data!$V$2:$V$1001,1)-COUNTIFS(Clean_Data!$F$2:$F$1001,$F1000,Clean_Data!$W$2:$W$1001,$W1000,Clean_Data!$V$2:$V$1001,1)*$AL1000^2)/(COUNTIFS(Clean_Data!$F$2:$F$1001,$F1000,Clean_Data!$W$2:$W$1001,$W1000,Clean_Data!$V$2:$V$1001,1)-1))),""))</f>
        <v>-0.144794948610193</v>
      </c>
      <c r="AN1000" s="5" t="str">
        <f>IF($AM1000="","",IF($AM1000&gt;=Lookups!$K$6,"High spike",IF($AM1000&lt;=-Lookups!$K$6,"Unusual low","Normal")))</f>
        <v>Normal</v>
      </c>
      <c r="AO1000" s="20">
        <f>IF($V1000&lt;&gt;1,"",$P1000+ROW()/100000)</f>
        <v>26.01</v>
      </c>
      <c r="AP1000" s="5">
        <f>IF($A1000="","",IFERROR(MATCH($A1000,Raw_D1!$A$2:$A$1001,0),""))</f>
        <v/>
      </c>
      <c r="AQ1000" s="5">
        <f>IF($A1000="","",IFERROR(MATCH($A1000,Raw_D2!$B$2:$B$1001,0),""))</f>
        <v/>
      </c>
      <c r="AR1000" s="5">
        <f>IF($A1000="","",IFERROR(MATCH($A1000,Raw_D3!$A$2:$A$1001,0),""))</f>
        <v>380</v>
      </c>
    </row>
    <row r="1001" spans="1:44" x14ac:dyDescent="0.25">
      <c r="A1001" s="5">
        <v>1000</v>
      </c>
      <c r="B1001" s="11">
        <f>IF($A1001="","",IF($AP1001&lt;&gt;"",INDEX(Raw_D1!$B$2:$B$1001,$AP1001),IF($AR1001&lt;&gt;"",INDEX(Raw_D3!$B$2:$B$1001,$AR1001),"")))</f>
        <v>40588.0</v>
      </c>
      <c r="C1001" s="5">
        <f>IF($A1001="","",IF($AP1001&lt;&gt;"",INDEX(Raw_D1!$C$2:$C$1001,$AP1001),IF($AR1001&lt;&gt;"",INDEX(Raw_D3!$C$2:$C$1001,$AR1001),"")))</f>
        <v>1</v>
      </c>
      <c r="D1001" s="5">
        <f>IF($A1001="","",IF($AP1001&lt;&gt;"",INDEX(Raw_D1!$D$2:$D$1001,$AP1001),IF($AR1001&lt;&gt;"",INDEX(Raw_D3!$D$2:$D$1001,$AR1001),"")))</f>
        <v>0</v>
      </c>
      <c r="E1001" s="5">
        <f>IF($A1001="","",IF($AP1001&lt;&gt;"",INDEX(Raw_D1!$E$2:$E$1001,$AP1001),IF($AR1001&lt;&gt;"",INDEX(Raw_D3!$E$2:$E$1001,$AR1001),"")))</f>
        <v>2</v>
      </c>
      <c r="F1001" s="5">
        <f>IF($A1001="","",IF($AP1001&lt;&gt;"",INDEX(Raw_D1!$F$2:$F$1001,$AP1001),IF($AR1001&lt;&gt;"",INDEX(Raw_D3!$F$2:$F$1001,$AR1001),"")))</f>
        <v>7</v>
      </c>
      <c r="G1001" s="5">
        <f>IF($A1001="","",IF($AP1001&lt;&gt;"",IF(INDEX(Raw_D1!$G$2:$G$1001,$AP1001),1,0),IF($AR1001&lt;&gt;"",IF(INDEX(Raw_D3!$G$2:$G$1001,$AR1001),1,0),"")))</f>
        <v>0</v>
      </c>
      <c r="H1001" s="5">
        <f>IF($A1001="","",IF($AP1001&lt;&gt;"",INDEX(Raw_D1!$H$2:$H$1001,$AP1001),IF($AR1001&lt;&gt;"",INDEX(Raw_D3!$H$2:$H$1001,$AR1001),"")))</f>
        <v>1</v>
      </c>
      <c r="I1001" s="5">
        <f>IF($A1001="","",IF($AP1001&lt;&gt;"",INDEX(Raw_D1!$I$2:$I$1001,$AP1001),IF($AR1001&lt;&gt;"",INDEX(Raw_D3!$I$2:$I$1001,$AR1001),"")))</f>
        <v>1</v>
      </c>
      <c r="J1001" s="16">
        <f>IF($A1001="","",IF($AP1001&lt;&gt;"",INDEX(Raw_D1!$J$2:$J$1001,$AP1001),IF($AR1001&lt;&gt;"",INDEX(Raw_D3!$J$2:$J$1001,$AR1001),"")))</f>
        <v>0.34</v>
      </c>
      <c r="K1001" s="17">
        <f>IF($A1001="","",IF($AQ1001&lt;&gt;"",IF(INDEX(Raw_D2!$C$2:$C$1001,$AQ1001)="","",INDEX(Raw_D2!$C$2:$C$1001,$AQ1001)),IF($AR1001&lt;&gt;"",IF(INDEX(Raw_D3!$K$2:$K$1001,$AR1001)="","",INDEX(Raw_D3!$K$2:$K$1001,$AR1001)),"")))</f>
        <v>0.303</v>
      </c>
      <c r="L1001" s="16">
        <f>IF($A1001="","",IF($AQ1001&lt;&gt;"",IF(INDEX(Raw_D2!$D$2:$D$1001,$AQ1001)="","",INDEX(Raw_D2!$D$2:$D$1001,$AQ1001)),IF($AR1001&lt;&gt;"",IF(INDEX(Raw_D3!$L$2:$L$1001,$AR1001)="","",INDEX(Raw_D3!$L$2:$L$1001,$AR1001)),"")))</f>
        <v>0.46</v>
      </c>
      <c r="M1001" s="17">
        <f>IF($A1001="","",IF($AQ1001&lt;&gt;"",IF(INDEX(Raw_D2!$E$2:$E$1001,$AQ1001)="","",INDEX(Raw_D2!$E$2:$E$1001,$AQ1001)),IF($AR1001&lt;&gt;"",IF(INDEX(Raw_D3!$M$2:$M$1001,$AR1001)="","",INDEX(Raw_D3!$M$2:$M$1001,$AR1001)),"")))</f>
        <v>0.2985</v>
      </c>
      <c r="N1001" s="5">
        <f>IF($A1001="","",IF($AQ1001&lt;&gt;"",IF(INDEX(Raw_D2!$F$2:$F$1001,$AQ1001)="","",INDEX(Raw_D2!$F$2:$F$1001,$AQ1001)),IF($AR1001&lt;&gt;"",IF(INDEX(Raw_D3!$N$2:$N$1001,$AR1001)="","",INDEX(Raw_D3!$N$2:$N$1001,$AR1001)),"")))</f>
        <v>2</v>
      </c>
      <c r="O1001" s="5">
        <f>IF($A1001="","",IF($AQ1001&lt;&gt;"",IF(INDEX(Raw_D2!$G$2:$G$1001,$AQ1001)="","",INDEX(Raw_D2!$G$2:$G$1001,$AQ1001)),IF($AR1001&lt;&gt;"",IF(INDEX(Raw_D3!$O$2:$O$1001,$AR1001)="","",INDEX(Raw_D3!$O$2:$O$1001,$AR1001)),"")))</f>
        <v>96</v>
      </c>
      <c r="P1001" s="5">
        <f>IF($A1001="","",IF($AQ1001&lt;&gt;"",IF(INDEX(Raw_D2!$H$2:$H$1001,$AQ1001)="","",INDEX(Raw_D2!$H$2:$H$1001,$AQ1001)),IF($AR1001&lt;&gt;"",IF(INDEX(Raw_D3!$P$2:$P$1001,$AR1001)="","",INDEX(Raw_D3!$P$2:$P$1001,$AR1001)),"")))</f>
        <v>98</v>
      </c>
      <c r="Q1001" s="5" t="str">
        <f>IF($A1001="","",IF(AND($AP1001&lt;&gt;"",$AQ1001&lt;&gt;""),"D1+D2",IF($AR1001&lt;&gt;"","D3","Incomplete")))</f>
        <v>D3</v>
      </c>
      <c r="R1001" s="17">
        <f>IF($A1001="","",IF($K1001="",IF($J1001="","",ROUND(Lookups!$K$5+Lookups!$K$4*$J1001,4)),$K1001))</f>
        <v>0.303</v>
      </c>
      <c r="S1001" s="5" t="str">
        <f>IF($A1001="","",IF($K1001="","Imputed","Original"))</f>
        <v>Original</v>
      </c>
      <c r="T1001" s="5" t="str">
        <f>IF($A1001="","",IF($P1001="","Missing",IF($P1001=$N1001+$O1001,"OK","Mismatch")))</f>
        <v>OK</v>
      </c>
      <c r="U1001" s="5" t="str">
        <f>IF($A1001="","",IF(COUNTIF($A$2:$A1001,$A1001)&gt;1,"Duplicate","Unique"))</f>
        <v>Unique</v>
      </c>
      <c r="V1001" s="5">
        <f>IF($A1001="","",IF(AND($U1001="Unique",ISNUMBER($P1001)),1,0))</f>
        <v>1</v>
      </c>
      <c r="W1001" s="5" t="str">
        <f>IF($A1001="","",IF(OR($H1001=0,$H1001=6),"Weekend","Weekday"))</f>
        <v>Weekday</v>
      </c>
      <c r="X1001" s="5" t="str">
        <f>IF($A1001="","",TEXT($B1001,"ddd"))</f>
        <v>Mon</v>
      </c>
      <c r="Y1001" s="5" t="str">
        <f>IF($A1001="","",TEXT($B1001,"mmm"))</f>
        <v>Feb</v>
      </c>
      <c r="Z1001" s="5" t="str">
        <f>IF($A1001="","",IFERROR(VLOOKUP($C1001,Lookups!$D$4:$E$7,2,FALSE),"Unknown"))</f>
        <v>Winter</v>
      </c>
      <c r="AA1001" s="5" t="str">
        <f>IF($A1001="","",IFERROR(VLOOKUP($I1001,Lookups!$A$4:$B$7,2,FALSE),"Unknown"))</f>
        <v>Clear</v>
      </c>
      <c r="AB1001" s="5" t="str">
        <f>IF($A1001="","",TEXT($F1001,"00")&amp;":00")</f>
        <v>07:00</v>
      </c>
      <c r="AC1001" s="5" t="str">
        <f>IF($A1001="","",VLOOKUP($F1001,Lookups!$G$4:$H$8,2,TRUE))</f>
        <v>Morning Peak (06-09)</v>
      </c>
      <c r="AD1001" s="18">
        <f>IF($A1001="","",IF($J1001="","",ROUND($J1001*41,1)))</f>
        <v>13.9</v>
      </c>
      <c r="AE1001" s="18">
        <f>IF($A1001="","",IF($R1001="","",ROUND($R1001*50,1)))</f>
        <v>15.2</v>
      </c>
      <c r="AF1001" s="5">
        <f>IF($A1001="","",IF($L1001="","",ROUND($L1001*100,0)))</f>
        <v>46</v>
      </c>
      <c r="AG1001" s="18">
        <f>IF($A1001="","",IF($M1001="","",ROUND($M1001*67,1)))</f>
        <v>20</v>
      </c>
      <c r="AH1001" s="19">
        <f>IF($A1001="","",IF($P1001="","",IF($P1001=0,0,$O1001/$P1001)))</f>
        <v>0.979591836734694</v>
      </c>
      <c r="AI1001" s="5" t="str">
        <f>IF($A1001="","",IF($P1001="","",IF($P1001&gt;=Lookups!$K$7,"High",IF($P1001&lt;=Lookups!$K$8,"Low","Medium"))))</f>
        <v>High</v>
      </c>
      <c r="AJ1001" s="5" t="str">
        <f>IF($A1001="","",IF($AD1001="","",IF($AD1001&lt;5,"Under 5 C",IF($AD1001&lt;10,"5-10 C",IF($AD1001&lt;15,"10-15 C","15 C and above")))))</f>
        <v>10-15 C</v>
      </c>
      <c r="AK1001" s="5">
        <f>IF($A1001="","",IF($P1001="","",$P1001^2))</f>
        <v>9604</v>
      </c>
      <c r="AL1001" s="18">
        <f>IF($V1001&lt;&gt;1,"",AVERAGEIFS(Clean_Data!$P$2:$P$1001,Clean_Data!$F$2:$F$1001,$F1001,Clean_Data!$W$2:$W$1001,$W1001,Clean_Data!$V$2:$V$1001,1))</f>
        <v>78.0344827586207</v>
      </c>
      <c r="AM1001" s="16">
        <f>IF($V1001&lt;&gt;1,"",IFERROR(($P1001-$AL1001)/SQRT(MAX(0,(SUMIFS(Clean_Data!$AK$2:$AK$1001,Clean_Data!$F$2:$F$1001,$F1001,Clean_Data!$W$2:$W$1001,$W1001,Clean_Data!$V$2:$V$1001,1)-COUNTIFS(Clean_Data!$F$2:$F$1001,$F1001,Clean_Data!$W$2:$W$1001,$W1001,Clean_Data!$V$2:$V$1001,1)*$AL1001^2)/(COUNTIFS(Clean_Data!$F$2:$F$1001,$F1001,Clean_Data!$W$2:$W$1001,$W1001,Clean_Data!$V$2:$V$1001,1)-1))),""))</f>
        <v>0.882145258908813</v>
      </c>
      <c r="AN1001" s="5" t="str">
        <f>IF($AM1001="","",IF($AM1001&gt;=Lookups!$K$6,"High spike",IF($AM1001&lt;=-Lookups!$K$6,"Unusual low","Normal")))</f>
        <v>Normal</v>
      </c>
      <c r="AO1001" s="20">
        <f>IF($V1001&lt;&gt;1,"",$P1001+ROW()/100000)</f>
        <v>98.01001</v>
      </c>
      <c r="AP1001" s="5">
        <f>IF($A1001="","",IFERROR(MATCH($A1001,Raw_D1!$A$2:$A$1001,0),""))</f>
        <v/>
      </c>
      <c r="AQ1001" s="5">
        <f>IF($A1001="","",IFERROR(MATCH($A1001,Raw_D2!$B$2:$B$1001,0),""))</f>
        <v/>
      </c>
      <c r="AR1001" s="5">
        <f>IF($A1001="","",IFERROR(MATCH($A1001,Raw_D3!$A$2:$A$1001,0),""))</f>
        <v>381</v>
      </c>
    </row>
  </sheetData>
  <conditionalFormatting sqref="AA2:AA1001">
    <cfRule type="containsText" dxfId="4" priority="6" operator="containsText" text="Rain">
      <formula>NOT(ISERROR(SEARCH("Rain",AA2)))</formula>
    </cfRule>
  </conditionalFormatting>
  <conditionalFormatting sqref="AI2:AI1001">
    <cfRule type="cellIs" dxfId="5" priority="7" operator="equal">
      <formula>"High"</formula>
    </cfRule>
  </conditionalFormatting>
  <conditionalFormatting sqref="AN2:AN1001">
    <cfRule type="cellIs" dxfId="1" priority="3" operator="equal">
      <formula>"High spike"</formula>
    </cfRule>
    <cfRule type="cellIs" dxfId="2" priority="4" operator="equal">
      <formula>"Unusual low"</formula>
    </cfRule>
  </conditionalFormatting>
  <conditionalFormatting sqref="G2:G1001">
    <cfRule type="cellIs" dxfId="3" priority="5" operator="equal">
      <formula>1</formula>
    </cfRule>
  </conditionalFormatting>
  <conditionalFormatting sqref="P2:P1001">
    <cfRule type="dataBar" priority="1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S2:S1001">
    <cfRule type="cellIs" dxfId="0" priority="2" operator="equal">
      <formula>"Imputed"</formula>
    </cfRule>
  </conditionalFormatting>
  <conditionalFormatting sqref="T2:T1001">
    <cfRule type="cellIs" dxfId="6" priority="8" operator="notEqual">
      <formula>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P2:P1001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8553D"/>
  </sheetPr>
  <dimension ref="A1:D79"/>
  <sheetViews>
    <sheetView showGridLines="0" workbookViewId="0"/>
  </sheetViews>
  <sheetFormatPr defaultRowHeight="15"/>
  <cols>
    <col min="1" max="1" width="46.7109375" customWidth="1"/>
    <col min="2" max="2" width="14.7109375" customWidth="1"/>
    <col min="3" max="3" width="62.7109375" customWidth="1"/>
    <col min="4" max="4" width="40.7109375" customWidth="1"/>
  </cols>
  <sheetData>
    <row r="1" spans="1:4">
      <c r="A1" s="12" t="s">
        <v>82</v>
      </c>
    </row>
    <row r="2" spans="1:4">
      <c r="A2" s="2" t="s">
        <v>83</v>
      </c>
    </row>
    <row r="4" spans="1:4">
      <c r="A4" s="21" t="s">
        <v>84</v>
      </c>
      <c r="B4" s="21"/>
      <c r="C4" s="21"/>
      <c r="D4" s="21"/>
    </row>
    <row r="5" spans="1:4">
      <c r="A5" s="6" t="s">
        <v>85</v>
      </c>
      <c r="B5" s="6" t="s">
        <v>86</v>
      </c>
      <c r="C5" s="6" t="s">
        <v>87</v>
      </c>
    </row>
    <row r="6" spans="1:4">
      <c r="A6" s="9" t="s">
        <v>88</v>
      </c>
      <c r="B6" s="22">
        <f>COUNT(Raw_D1!$A$2:$A$1001)</f>
        <v>610</v>
      </c>
      <c r="C6" s="23" t="s">
        <v>89</v>
      </c>
    </row>
    <row r="7" spans="1:4">
      <c r="A7" s="9" t="s">
        <v>90</v>
      </c>
      <c r="B7" s="22">
        <f>COUNT(Raw_D2!$B$2:$B$1001)</f>
        <v>610</v>
      </c>
      <c r="C7" s="23" t="s">
        <v>91</v>
      </c>
    </row>
    <row r="8" spans="1:4">
      <c r="A8" s="9" t="s">
        <v>92</v>
      </c>
      <c r="B8" s="22">
        <f>COUNT(Raw_D3!$A$2:$A$1001)</f>
        <v>390</v>
      </c>
      <c r="C8" s="23" t="s">
        <v>93</v>
      </c>
    </row>
    <row r="9" spans="1:4">
      <c r="A9" s="9" t="s">
        <v>94</v>
      </c>
      <c r="B9" s="22">
        <f>B6+B8</f>
        <v>1000</v>
      </c>
      <c r="C9" s="23" t="s">
        <v>95</v>
      </c>
    </row>
    <row r="10" spans="1:4">
      <c r="A10" s="9" t="s">
        <v>96</v>
      </c>
      <c r="B10" s="22">
        <f>COUNT(Clean_Data!$A$2:$A$1001)</f>
        <v>1000</v>
      </c>
      <c r="C10" s="23" t="s">
        <v>97</v>
      </c>
    </row>
    <row r="11" spans="1:4">
      <c r="A11" s="9" t="s">
        <v>98</v>
      </c>
      <c r="B11" s="22">
        <f>B9-B10</f>
        <v>0</v>
      </c>
      <c r="C11" s="23" t="s">
        <v>99</v>
      </c>
    </row>
    <row r="12" spans="1:4">
      <c r="A12" s="9" t="s">
        <v>100</v>
      </c>
      <c r="B12" s="22">
        <f>SUMPRODUCT(--(COUNTIF(Raw_D2!$B$2:$B$1001,Raw_D1!$A$2:$A$1001)=0),--(Raw_D1!$A$2:$A$1001&lt;&gt;""))</f>
        <v>0</v>
      </c>
      <c r="C12" s="23" t="s">
        <v>101</v>
      </c>
    </row>
    <row r="13" spans="1:4">
      <c r="A13" s="9" t="s">
        <v>102</v>
      </c>
      <c r="B13" s="22">
        <f>SUMPRODUCT(--(COUNTIF(Raw_D1!$A$2:$A$1001,Raw_D2!$B$2:$B$1001)=0),--(Raw_D2!$B$2:$B$1001&lt;&gt;""))</f>
        <v>0</v>
      </c>
      <c r="C13" s="23" t="s">
        <v>101</v>
      </c>
    </row>
    <row r="14" spans="1:4">
      <c r="A14" s="9" t="s">
        <v>103</v>
      </c>
      <c r="B14" s="22">
        <f>SUMPRODUCT(--(COUNTIF(Raw_D3!$A$2:$A$1001,Raw_D1!$A$2:$A$1001)&gt;0),--(Raw_D1!$A$2:$A$1001&lt;&gt;""))</f>
        <v>0</v>
      </c>
      <c r="C14" s="23" t="s">
        <v>104</v>
      </c>
    </row>
    <row r="16" spans="1:4">
      <c r="A16" s="21" t="s">
        <v>105</v>
      </c>
      <c r="B16" s="21"/>
      <c r="C16" s="21"/>
      <c r="D16" s="21"/>
    </row>
    <row r="17" spans="1:3">
      <c r="A17" s="6" t="s">
        <v>106</v>
      </c>
      <c r="B17" s="6" t="s">
        <v>107</v>
      </c>
      <c r="C17" s="6" t="s">
        <v>108</v>
      </c>
    </row>
    <row r="18" spans="1:3">
      <c r="A18" s="9" t="s">
        <v>109</v>
      </c>
      <c r="B18" s="24">
        <f>COUNTBLANK(Raw_D1!$A$2:$A$611)</f>
        <v>0</v>
      </c>
      <c r="C18" s="23" t="s">
        <v>110</v>
      </c>
    </row>
    <row r="19" spans="1:3">
      <c r="A19" s="9" t="s">
        <v>111</v>
      </c>
      <c r="B19" s="24">
        <f>COUNTBLANK(Raw_D1!$B$2:$B$611)</f>
        <v>0</v>
      </c>
      <c r="C19" s="23" t="s">
        <v>110</v>
      </c>
    </row>
    <row r="20" spans="1:3">
      <c r="A20" s="9" t="s">
        <v>112</v>
      </c>
      <c r="B20" s="24">
        <f>COUNTBLANK(Raw_D1!$C$2:$C$611)</f>
        <v>0</v>
      </c>
      <c r="C20" s="23" t="s">
        <v>110</v>
      </c>
    </row>
    <row r="21" spans="1:3">
      <c r="A21" s="9" t="s">
        <v>113</v>
      </c>
      <c r="B21" s="24">
        <f>COUNTBLANK(Raw_D1!$D$2:$D$611)</f>
        <v>0</v>
      </c>
      <c r="C21" s="23" t="s">
        <v>110</v>
      </c>
    </row>
    <row r="22" spans="1:3">
      <c r="A22" s="9" t="s">
        <v>114</v>
      </c>
      <c r="B22" s="24">
        <f>COUNTBLANK(Raw_D1!$E$2:$E$611)</f>
        <v>0</v>
      </c>
      <c r="C22" s="23" t="s">
        <v>110</v>
      </c>
    </row>
    <row r="23" spans="1:3">
      <c r="A23" s="9" t="s">
        <v>115</v>
      </c>
      <c r="B23" s="24">
        <f>COUNTBLANK(Raw_D1!$F$2:$F$611)</f>
        <v>0</v>
      </c>
      <c r="C23" s="23" t="s">
        <v>110</v>
      </c>
    </row>
    <row r="24" spans="1:3">
      <c r="A24" s="9" t="s">
        <v>116</v>
      </c>
      <c r="B24" s="24">
        <f>COUNTBLANK(Raw_D1!$G$2:$G$611)</f>
        <v>0</v>
      </c>
      <c r="C24" s="23" t="s">
        <v>110</v>
      </c>
    </row>
    <row r="25" spans="1:3">
      <c r="A25" s="9" t="s">
        <v>117</v>
      </c>
      <c r="B25" s="24">
        <f>COUNTBLANK(Raw_D1!$H$2:$H$611)</f>
        <v>0</v>
      </c>
      <c r="C25" s="23" t="s">
        <v>110</v>
      </c>
    </row>
    <row r="26" spans="1:3">
      <c r="A26" s="9" t="s">
        <v>118</v>
      </c>
      <c r="B26" s="24">
        <f>COUNTBLANK(Raw_D1!$I$2:$I$611)</f>
        <v>0</v>
      </c>
      <c r="C26" s="23" t="s">
        <v>110</v>
      </c>
    </row>
    <row r="27" spans="1:3">
      <c r="A27" s="9" t="s">
        <v>119</v>
      </c>
      <c r="B27" s="24">
        <f>COUNTBLANK(Raw_D1!$J$2:$J$611)</f>
        <v>0</v>
      </c>
      <c r="C27" s="23" t="s">
        <v>110</v>
      </c>
    </row>
    <row r="28" spans="1:3">
      <c r="A28" s="9" t="s">
        <v>120</v>
      </c>
      <c r="B28" s="24">
        <f>COUNTBLANK(Raw_D2!$A$2:$A$611)</f>
        <v>0</v>
      </c>
      <c r="C28" s="23" t="s">
        <v>121</v>
      </c>
    </row>
    <row r="29" spans="1:3">
      <c r="A29" s="9" t="s">
        <v>122</v>
      </c>
      <c r="B29" s="24">
        <f>COUNTBLANK(Raw_D2!$B$2:$B$611)</f>
        <v>0</v>
      </c>
      <c r="C29" s="23" t="s">
        <v>110</v>
      </c>
    </row>
    <row r="30" spans="1:3">
      <c r="A30" s="9" t="s">
        <v>123</v>
      </c>
      <c r="B30" s="24">
        <f>COUNTBLANK(Raw_D2!$C$2:$C$611)</f>
        <v>11</v>
      </c>
      <c r="C30" s="23" t="s">
        <v>124</v>
      </c>
    </row>
    <row r="31" spans="1:3">
      <c r="A31" s="9" t="s">
        <v>125</v>
      </c>
      <c r="B31" s="24">
        <f>COUNTBLANK(Raw_D2!$D$2:$D$611)</f>
        <v>0</v>
      </c>
      <c r="C31" s="23" t="s">
        <v>110</v>
      </c>
    </row>
    <row r="32" spans="1:3">
      <c r="A32" s="9" t="s">
        <v>126</v>
      </c>
      <c r="B32" s="24">
        <f>COUNTBLANK(Raw_D2!$E$2:$E$611)</f>
        <v>0</v>
      </c>
      <c r="C32" s="23" t="s">
        <v>110</v>
      </c>
    </row>
    <row r="33" spans="1:3">
      <c r="A33" s="9" t="s">
        <v>127</v>
      </c>
      <c r="B33" s="24">
        <f>COUNTBLANK(Raw_D2!$F$2:$F$611)</f>
        <v>0</v>
      </c>
      <c r="C33" s="23" t="s">
        <v>110</v>
      </c>
    </row>
    <row r="34" spans="1:3">
      <c r="A34" s="9" t="s">
        <v>128</v>
      </c>
      <c r="B34" s="24">
        <f>COUNTBLANK(Raw_D2!$G$2:$G$611)</f>
        <v>0</v>
      </c>
      <c r="C34" s="23" t="s">
        <v>110</v>
      </c>
    </row>
    <row r="35" spans="1:3">
      <c r="A35" s="9" t="s">
        <v>129</v>
      </c>
      <c r="B35" s="24">
        <f>COUNTBLANK(Raw_D2!$H$2:$H$611)</f>
        <v>0</v>
      </c>
      <c r="C35" s="23" t="s">
        <v>110</v>
      </c>
    </row>
    <row r="36" spans="1:3">
      <c r="A36" s="9" t="s">
        <v>130</v>
      </c>
      <c r="B36" s="24">
        <f>COUNTBLANK(Raw_D3!$A$2:$A$391)</f>
        <v>0</v>
      </c>
      <c r="C36" s="23" t="s">
        <v>110</v>
      </c>
    </row>
    <row r="37" spans="1:3">
      <c r="A37" s="9" t="s">
        <v>131</v>
      </c>
      <c r="B37" s="24">
        <f>COUNTBLANK(Raw_D3!$B$2:$B$391)</f>
        <v>0</v>
      </c>
      <c r="C37" s="23" t="s">
        <v>110</v>
      </c>
    </row>
    <row r="38" spans="1:3">
      <c r="A38" s="9" t="s">
        <v>132</v>
      </c>
      <c r="B38" s="24">
        <f>COUNTBLANK(Raw_D3!$C$2:$C$391)</f>
        <v>0</v>
      </c>
      <c r="C38" s="23" t="s">
        <v>110</v>
      </c>
    </row>
    <row r="39" spans="1:3">
      <c r="A39" s="9" t="s">
        <v>133</v>
      </c>
      <c r="B39" s="24">
        <f>COUNTBLANK(Raw_D3!$D$2:$D$391)</f>
        <v>0</v>
      </c>
      <c r="C39" s="23" t="s">
        <v>110</v>
      </c>
    </row>
    <row r="40" spans="1:3">
      <c r="A40" s="9" t="s">
        <v>134</v>
      </c>
      <c r="B40" s="24">
        <f>COUNTBLANK(Raw_D3!$E$2:$E$391)</f>
        <v>0</v>
      </c>
      <c r="C40" s="23" t="s">
        <v>110</v>
      </c>
    </row>
    <row r="41" spans="1:3">
      <c r="A41" s="9" t="s">
        <v>135</v>
      </c>
      <c r="B41" s="24">
        <f>COUNTBLANK(Raw_D3!$F$2:$F$391)</f>
        <v>0</v>
      </c>
      <c r="C41" s="23" t="s">
        <v>110</v>
      </c>
    </row>
    <row r="42" spans="1:3">
      <c r="A42" s="9" t="s">
        <v>136</v>
      </c>
      <c r="B42" s="24">
        <f>COUNTBLANK(Raw_D3!$G$2:$G$391)</f>
        <v>0</v>
      </c>
      <c r="C42" s="23" t="s">
        <v>110</v>
      </c>
    </row>
    <row r="43" spans="1:3">
      <c r="A43" s="9" t="s">
        <v>137</v>
      </c>
      <c r="B43" s="24">
        <f>COUNTBLANK(Raw_D3!$H$2:$H$391)</f>
        <v>0</v>
      </c>
      <c r="C43" s="23" t="s">
        <v>110</v>
      </c>
    </row>
    <row r="44" spans="1:3">
      <c r="A44" s="9" t="s">
        <v>138</v>
      </c>
      <c r="B44" s="24">
        <f>COUNTBLANK(Raw_D3!$I$2:$I$391)</f>
        <v>0</v>
      </c>
      <c r="C44" s="23" t="s">
        <v>110</v>
      </c>
    </row>
    <row r="45" spans="1:3">
      <c r="A45" s="9" t="s">
        <v>139</v>
      </c>
      <c r="B45" s="24">
        <f>COUNTBLANK(Raw_D3!$J$2:$J$391)</f>
        <v>0</v>
      </c>
      <c r="C45" s="23" t="s">
        <v>110</v>
      </c>
    </row>
    <row r="46" spans="1:3">
      <c r="A46" s="9" t="s">
        <v>140</v>
      </c>
      <c r="B46" s="24">
        <f>COUNTBLANK(Raw_D3!$K$2:$K$391)</f>
        <v>0</v>
      </c>
      <c r="C46" s="23" t="s">
        <v>110</v>
      </c>
    </row>
    <row r="47" spans="1:3">
      <c r="A47" s="9" t="s">
        <v>141</v>
      </c>
      <c r="B47" s="24">
        <f>COUNTBLANK(Raw_D3!$L$2:$L$391)</f>
        <v>0</v>
      </c>
      <c r="C47" s="23" t="s">
        <v>110</v>
      </c>
    </row>
    <row r="48" spans="1:3">
      <c r="A48" s="9" t="s">
        <v>142</v>
      </c>
      <c r="B48" s="24">
        <f>COUNTBLANK(Raw_D3!$M$2:$M$391)</f>
        <v>0</v>
      </c>
      <c r="C48" s="23" t="s">
        <v>110</v>
      </c>
    </row>
    <row r="49" spans="1:4">
      <c r="A49" s="9" t="s">
        <v>143</v>
      </c>
      <c r="B49" s="24">
        <f>COUNTBLANK(Raw_D3!$N$2:$N$391)</f>
        <v>0</v>
      </c>
      <c r="C49" s="23" t="s">
        <v>110</v>
      </c>
    </row>
    <row r="50" spans="1:4">
      <c r="A50" s="9" t="s">
        <v>144</v>
      </c>
      <c r="B50" s="24">
        <f>COUNTBLANK(Raw_D3!$O$2:$O$391)</f>
        <v>0</v>
      </c>
      <c r="C50" s="23" t="s">
        <v>110</v>
      </c>
    </row>
    <row r="51" spans="1:4">
      <c r="A51" s="9" t="s">
        <v>145</v>
      </c>
      <c r="B51" s="24">
        <f>COUNTBLANK(Raw_D3!$P$2:$P$391)</f>
        <v>0</v>
      </c>
      <c r="C51" s="23" t="s">
        <v>110</v>
      </c>
    </row>
    <row r="53" spans="1:4">
      <c r="A53" s="21" t="s">
        <v>146</v>
      </c>
      <c r="B53" s="21"/>
      <c r="C53" s="21"/>
      <c r="D53" s="21"/>
    </row>
    <row r="54" spans="1:4">
      <c r="A54" s="6" t="s">
        <v>85</v>
      </c>
      <c r="B54" s="6" t="s">
        <v>147</v>
      </c>
      <c r="C54" s="6" t="s">
        <v>148</v>
      </c>
    </row>
    <row r="55" spans="1:4">
      <c r="A55" s="9" t="s">
        <v>149</v>
      </c>
      <c r="B55" s="22">
        <f>COUNTIF(Clean_Data!$U$2:$U$1001,"Duplicate")</f>
        <v>0</v>
      </c>
      <c r="C55" s="23" t="s">
        <v>150</v>
      </c>
    </row>
    <row r="56" spans="1:4">
      <c r="A56" s="9" t="s">
        <v>151</v>
      </c>
      <c r="B56" s="22">
        <f>SUMPRODUCT(--(COUNTIF(Raw_D1!$A$2:$A$1001,Raw_D1!$A$2:$A$1001)&gt;1),--(Raw_D1!$A$2:$A$1001&lt;&gt;""))</f>
        <v>0</v>
      </c>
      <c r="C56" s="23" t="s">
        <v>152</v>
      </c>
    </row>
    <row r="57" spans="1:4">
      <c r="A57" s="9" t="s">
        <v>153</v>
      </c>
      <c r="B57" s="22">
        <f>SUMPRODUCT(--(COUNTIF(Raw_D2!$B$2:$B$1001,Raw_D2!$B$2:$B$1001)&gt;1),--(Raw_D2!$B$2:$B$1001&lt;&gt;""))</f>
        <v>0</v>
      </c>
      <c r="C57" s="23" t="s">
        <v>152</v>
      </c>
    </row>
    <row r="58" spans="1:4">
      <c r="A58" s="9" t="s">
        <v>154</v>
      </c>
      <c r="B58" s="22">
        <f>SUMPRODUCT(--(COUNTIF(Raw_D3!$A$2:$A$1001,Raw_D3!$A$2:$A$1001)&gt;1),--(Raw_D3!$A$2:$A$1001&lt;&gt;""))</f>
        <v>0</v>
      </c>
      <c r="C58" s="23" t="s">
        <v>152</v>
      </c>
    </row>
    <row r="59" spans="1:4">
      <c r="A59" s="9" t="s">
        <v>155</v>
      </c>
      <c r="B59" s="22">
        <f>COUNTIF(Clean_Data!$T$2:$T$1001,"Mismatch")</f>
        <v>0</v>
      </c>
      <c r="C59" s="23" t="s">
        <v>156</v>
      </c>
    </row>
    <row r="60" spans="1:4">
      <c r="A60" s="9" t="s">
        <v>157</v>
      </c>
      <c r="B60" s="22">
        <f>ROWS(Clean_Data!$P$2:$P$1001)-COUNT(Clean_Data!$P$2:$P$1001)</f>
        <v>0</v>
      </c>
      <c r="C60" s="23" t="s">
        <v>158</v>
      </c>
    </row>
    <row r="61" spans="1:4">
      <c r="A61" s="9" t="s">
        <v>159</v>
      </c>
      <c r="B61" s="22">
        <f>COUNTIF(Clean_Data!$F$2:$F$1001,"&lt;0")+COUNTIF(Clean_Data!$F$2:$F$1001,"&gt;23")</f>
        <v>0</v>
      </c>
      <c r="C61" s="23" t="s">
        <v>160</v>
      </c>
    </row>
    <row r="62" spans="1:4">
      <c r="A62" s="9" t="s">
        <v>161</v>
      </c>
      <c r="B62" s="22">
        <f>COUNTIF(Clean_Data!$I$2:$I$1001,"&lt;1")+COUNTIF(Clean_Data!$I$2:$I$1001,"&gt;4")</f>
        <v>0</v>
      </c>
      <c r="C62" s="23" t="s">
        <v>162</v>
      </c>
    </row>
    <row r="63" spans="1:4">
      <c r="A63" s="9" t="s">
        <v>163</v>
      </c>
      <c r="B63" s="22">
        <f>COUNTIF(Clean_Data!$J$2:$J$1001,"&lt;0")+COUNTIF(Clean_Data!$J$2:$J$1001,"&gt;1")</f>
        <v>0</v>
      </c>
      <c r="C63" s="23" t="s">
        <v>164</v>
      </c>
    </row>
    <row r="64" spans="1:4">
      <c r="A64" s="9" t="s">
        <v>165</v>
      </c>
      <c r="B64" s="22">
        <f>COUNTIF(Clean_Data!$L$2:$L$1001,"&lt;0")+COUNTIF(Clean_Data!$L$2:$L$1001,"&gt;1")</f>
        <v>0</v>
      </c>
      <c r="C64" s="23" t="s">
        <v>164</v>
      </c>
    </row>
    <row r="65" spans="1:4">
      <c r="A65" s="9" t="s">
        <v>166</v>
      </c>
      <c r="B65" s="22">
        <f>COUNTIF(Clean_Data!$M$2:$M$1001,"&lt;0")+COUNTIF(Clean_Data!$M$2:$M$1001,"&gt;1")</f>
        <v>0</v>
      </c>
      <c r="C65" s="23" t="s">
        <v>164</v>
      </c>
    </row>
    <row r="66" spans="1:4">
      <c r="A66" s="9" t="s">
        <v>167</v>
      </c>
      <c r="B66" s="22">
        <f>SUMPRODUCT(--(MONTH(Clean_Data!$B$2:$B$1001)&lt;&gt;Clean_Data!$E$2:$E$1001))</f>
        <v>0</v>
      </c>
      <c r="C66" s="23" t="s">
        <v>168</v>
      </c>
    </row>
    <row r="67" spans="1:4">
      <c r="A67" s="9" t="s">
        <v>169</v>
      </c>
      <c r="B67" s="22">
        <f>SUMPRODUCT(--(WEEKDAY(Clean_Data!$B$2:$B$1001)-1&lt;&gt;Clean_Data!$H$2:$H$1001))</f>
        <v>0</v>
      </c>
      <c r="C67" s="23" t="s">
        <v>170</v>
      </c>
    </row>
    <row r="68" spans="1:4">
      <c r="A68" s="9" t="s">
        <v>171</v>
      </c>
      <c r="B68" s="22">
        <f>COUNTIF(Clean_Data!$R$2:$R$1001,0)</f>
        <v>2</v>
      </c>
      <c r="C68" s="23" t="s">
        <v>172</v>
      </c>
    </row>
    <row r="69" spans="1:4">
      <c r="A69" s="9" t="s">
        <v>173</v>
      </c>
      <c r="B69" s="22">
        <f>MAX(Clean_Data!$B$2:$B$1001)-MIN(Clean_Data!$B$2:$B$1001)+1</f>
        <v>45</v>
      </c>
      <c r="C69" s="23" t="s">
        <v>174</v>
      </c>
    </row>
    <row r="70" spans="1:4">
      <c r="A70" s="9" t="s">
        <v>175</v>
      </c>
      <c r="B70" s="22">
        <f>(MAX(Clean_Data!$B$2:$B$1001)-MIN(Clean_Data!$B$2:$B$1001)+1)*24-COUNT(Clean_Data!$A$2:$A$1001)</f>
        <v>80</v>
      </c>
      <c r="C70" s="23" t="s">
        <v>176</v>
      </c>
    </row>
    <row r="72" spans="1:4">
      <c r="A72" s="21" t="s">
        <v>177</v>
      </c>
      <c r="B72" s="21"/>
      <c r="C72" s="21"/>
      <c r="D72" s="21"/>
    </row>
    <row r="73" spans="1:4">
      <c r="A73" s="6" t="s">
        <v>178</v>
      </c>
      <c r="B73" s="6" t="s">
        <v>179</v>
      </c>
      <c r="C73" s="6" t="s">
        <v>108</v>
      </c>
      <c r="D73" s="6" t="s">
        <v>180</v>
      </c>
    </row>
    <row r="74" spans="1:4" ht="30" customHeight="1">
      <c r="A74" s="8" t="s">
        <v>181</v>
      </c>
      <c r="B74" s="25">
        <f>COUNTIF(Clean_Data!$S$2:$S$1001,"Imputed")</f>
        <v>11</v>
      </c>
      <c r="C74" s="8" t="s">
        <v>182</v>
      </c>
      <c r="D74" s="26" t="s">
        <v>183</v>
      </c>
    </row>
    <row r="75" spans="1:4" ht="30" customHeight="1">
      <c r="A75" s="8" t="s">
        <v>184</v>
      </c>
      <c r="B75" s="25">
        <v>1</v>
      </c>
      <c r="C75" s="8" t="s">
        <v>185</v>
      </c>
      <c r="D75" s="26" t="s">
        <v>186</v>
      </c>
    </row>
    <row r="76" spans="1:4" ht="30" customHeight="1">
      <c r="A76" s="8" t="s">
        <v>187</v>
      </c>
      <c r="B76" s="25">
        <v>1</v>
      </c>
      <c r="C76" s="8" t="s">
        <v>188</v>
      </c>
      <c r="D76" s="26" t="s">
        <v>189</v>
      </c>
    </row>
    <row r="77" spans="1:4" ht="30" customHeight="1">
      <c r="A77" s="8" t="s">
        <v>190</v>
      </c>
      <c r="B77" s="25">
        <v>1</v>
      </c>
      <c r="C77" s="8" t="s">
        <v>191</v>
      </c>
      <c r="D77" s="26" t="s">
        <v>192</v>
      </c>
    </row>
    <row r="78" spans="1:4" ht="30" customHeight="1">
      <c r="A78" s="8" t="s">
        <v>193</v>
      </c>
      <c r="B78" s="25">
        <f>COUNTIF(Clean_Data!$I$2:$I$1001,4)</f>
        <v>1</v>
      </c>
      <c r="C78" s="8" t="s">
        <v>194</v>
      </c>
      <c r="D78" s="26" t="s">
        <v>195</v>
      </c>
    </row>
    <row r="79" spans="1:4" ht="30" customHeight="1">
      <c r="A79" s="8" t="s">
        <v>196</v>
      </c>
      <c r="B79" s="25">
        <f>COUNTIF(Clean_Data!$U$2:$U$1001,"Duplicate")</f>
        <v>0</v>
      </c>
      <c r="C79" s="8" t="s">
        <v>197</v>
      </c>
      <c r="D79" s="26" t="s">
        <v>198</v>
      </c>
    </row>
  </sheetData>
  <mergeCells count="4">
    <mergeCell ref="A4:D4"/>
    <mergeCell ref="A16:D16"/>
    <mergeCell ref="A53:D53"/>
    <mergeCell ref="A72:D72"/>
  </mergeCells>
  <conditionalFormatting sqref="B18:B51">
    <cfRule type="cellIs" dxfId="7" priority="1" operator="greaterThan">
      <formula>0</formula>
    </cfRule>
  </conditionalFormatting>
  <conditionalFormatting sqref="B55:B67"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H83"/>
  <sheetViews>
    <sheetView showGridLines="0" workbookViewId="0"/>
  </sheetViews>
  <sheetFormatPr defaultRowHeight="15" x14ac:dyDescent="0.25"/>
  <cols>
    <col min="1" max="1" width="34.7109375" customWidth="1"/>
    <col min="2" max="8" width="15.7109375" customWidth="1"/>
  </cols>
  <sheetData>
    <row r="1" spans="1:8" x14ac:dyDescent="0.25">
      <c r="A1" s="12" t="s">
        <v>199</v>
      </c>
    </row>
    <row r="3" spans="1:8" x14ac:dyDescent="0.25">
      <c r="A3" s="21" t="s">
        <v>200</v>
      </c>
      <c r="B3" s="21"/>
      <c r="C3" s="21"/>
      <c r="D3" s="21"/>
      <c r="E3" s="21"/>
      <c r="F3" s="21"/>
      <c r="G3" s="21"/>
      <c r="H3" s="21"/>
    </row>
    <row r="4" spans="1:8" x14ac:dyDescent="0.25">
      <c r="A4" s="6" t="s">
        <v>201</v>
      </c>
      <c r="B4" s="6" t="s">
        <v>202</v>
      </c>
      <c r="C4" s="6"/>
      <c r="D4" s="6"/>
      <c r="E4" s="6" t="s">
        <v>203</v>
      </c>
    </row>
    <row r="5" spans="1:8" x14ac:dyDescent="0.25">
      <c r="A5" s="27" t="s">
        <v>204</v>
      </c>
      <c r="B5" s="9" t="s">
        <v>205</v>
      </c>
      <c r="C5" s="9"/>
      <c r="D5" s="9"/>
      <c r="E5" s="23" t="s">
        <v>206</v>
      </c>
      <c r="F5" s="23"/>
      <c r="G5" s="23"/>
      <c r="H5" s="23"/>
    </row>
    <row r="6" spans="1:8" x14ac:dyDescent="0.25">
      <c r="A6" s="27" t="s">
        <v>207</v>
      </c>
      <c r="B6" s="9" t="s">
        <v>208</v>
      </c>
      <c r="C6" s="9"/>
      <c r="D6" s="9"/>
      <c r="E6" s="23" t="s">
        <v>209</v>
      </c>
      <c r="F6" s="23"/>
      <c r="G6" s="23"/>
      <c r="H6" s="23"/>
    </row>
    <row r="7" spans="1:8" x14ac:dyDescent="0.25">
      <c r="A7" s="27" t="s">
        <v>210</v>
      </c>
      <c r="B7" s="9" t="s">
        <v>211</v>
      </c>
      <c r="C7" s="9"/>
      <c r="D7" s="9"/>
      <c r="E7" s="23" t="s">
        <v>212</v>
      </c>
      <c r="F7" s="23"/>
      <c r="G7" s="23"/>
      <c r="H7" s="23"/>
    </row>
    <row r="8" spans="1:8" x14ac:dyDescent="0.25">
      <c r="A8" s="27" t="s">
        <v>213</v>
      </c>
      <c r="B8" s="9" t="s">
        <v>214</v>
      </c>
      <c r="C8" s="9"/>
      <c r="D8" s="9"/>
      <c r="E8" s="23" t="s">
        <v>215</v>
      </c>
      <c r="F8" s="23"/>
      <c r="G8" s="23"/>
      <c r="H8" s="23"/>
    </row>
    <row r="9" spans="1:8" x14ac:dyDescent="0.25">
      <c r="A9" s="27" t="s">
        <v>216</v>
      </c>
      <c r="B9" s="9" t="s">
        <v>217</v>
      </c>
      <c r="C9" s="9"/>
      <c r="D9" s="9"/>
      <c r="E9" s="23" t="s">
        <v>218</v>
      </c>
      <c r="F9" s="23"/>
      <c r="G9" s="23"/>
      <c r="H9" s="23"/>
    </row>
    <row r="10" spans="1:8" x14ac:dyDescent="0.25">
      <c r="A10" s="27" t="s">
        <v>219</v>
      </c>
      <c r="B10" s="9" t="s">
        <v>220</v>
      </c>
      <c r="C10" s="9"/>
      <c r="D10" s="9"/>
      <c r="E10" s="23" t="s">
        <v>221</v>
      </c>
      <c r="F10" s="23"/>
      <c r="G10" s="23"/>
      <c r="H10" s="23"/>
    </row>
    <row r="11" spans="1:8" x14ac:dyDescent="0.25">
      <c r="A11" s="27" t="s">
        <v>222</v>
      </c>
      <c r="B11" s="9" t="s">
        <v>223</v>
      </c>
      <c r="C11" s="9"/>
      <c r="D11" s="9"/>
      <c r="E11" s="23" t="s">
        <v>224</v>
      </c>
      <c r="F11" s="23"/>
      <c r="G11" s="23"/>
      <c r="H11" s="23"/>
    </row>
    <row r="12" spans="1:8" x14ac:dyDescent="0.25">
      <c r="A12" s="27" t="s">
        <v>225</v>
      </c>
      <c r="B12" s="9" t="s">
        <v>226</v>
      </c>
      <c r="C12" s="9"/>
      <c r="D12" s="9"/>
      <c r="E12" s="23" t="s">
        <v>227</v>
      </c>
      <c r="F12" s="23"/>
      <c r="G12" s="23"/>
      <c r="H12" s="23"/>
    </row>
    <row r="13" spans="1:8" x14ac:dyDescent="0.25">
      <c r="A13" s="27" t="s">
        <v>228</v>
      </c>
      <c r="B13" s="9" t="s">
        <v>229</v>
      </c>
      <c r="C13" s="9"/>
      <c r="D13" s="9"/>
      <c r="E13" s="23" t="s">
        <v>230</v>
      </c>
      <c r="F13" s="23"/>
      <c r="G13" s="23"/>
      <c r="H13" s="23"/>
    </row>
    <row r="14" spans="1:8" x14ac:dyDescent="0.25">
      <c r="A14" s="27" t="s">
        <v>231</v>
      </c>
      <c r="B14" s="9" t="s">
        <v>232</v>
      </c>
      <c r="C14" s="9"/>
      <c r="D14" s="9"/>
      <c r="E14" s="23" t="s">
        <v>233</v>
      </c>
      <c r="F14" s="23"/>
      <c r="G14" s="23"/>
      <c r="H14" s="23"/>
    </row>
    <row r="15" spans="1:8" x14ac:dyDescent="0.25">
      <c r="A15" s="27" t="s">
        <v>234</v>
      </c>
      <c r="B15" s="9" t="s">
        <v>235</v>
      </c>
      <c r="C15" s="9"/>
      <c r="D15" s="9"/>
      <c r="E15" s="23" t="s">
        <v>236</v>
      </c>
      <c r="F15" s="23"/>
      <c r="G15" s="23"/>
      <c r="H15" s="23"/>
    </row>
    <row r="17" spans="1:8" x14ac:dyDescent="0.25">
      <c r="A17" s="21" t="s">
        <v>237</v>
      </c>
      <c r="B17" s="21"/>
      <c r="C17" s="21"/>
      <c r="D17" s="21"/>
      <c r="E17" s="21"/>
      <c r="F17" s="21"/>
      <c r="G17" s="21"/>
      <c r="H17" s="21"/>
    </row>
    <row r="18" spans="1:8" x14ac:dyDescent="0.25">
      <c r="A18" s="9" t="s">
        <v>238</v>
      </c>
      <c r="B18" s="9"/>
      <c r="C18" s="9"/>
      <c r="D18" s="9"/>
      <c r="E18" s="22">
        <f>COUNT(Clean_Data!$P$2:$P$1001)</f>
        <v>1000</v>
      </c>
    </row>
    <row r="19" spans="1:8" x14ac:dyDescent="0.25">
      <c r="A19" s="9" t="s">
        <v>239</v>
      </c>
      <c r="B19" s="9"/>
      <c r="C19" s="9"/>
      <c r="D19" s="9"/>
      <c r="E19" s="22">
        <f>SUM(Clean_Data!$P$2:$P$1001)</f>
        <v>58304</v>
      </c>
    </row>
    <row r="20" spans="1:8" x14ac:dyDescent="0.25">
      <c r="A20" s="9" t="s">
        <v>240</v>
      </c>
      <c r="B20" s="9"/>
      <c r="C20" s="9"/>
      <c r="D20" s="9"/>
      <c r="E20" s="22">
        <f>SUM(Clean_Data!$N$2:$N$1001)</f>
        <v>4921</v>
      </c>
    </row>
    <row r="21" spans="1:8" x14ac:dyDescent="0.25">
      <c r="A21" s="9" t="s">
        <v>241</v>
      </c>
      <c r="B21" s="9"/>
      <c r="C21" s="9"/>
      <c r="D21" s="9"/>
      <c r="E21" s="22">
        <f>SUM(Clean_Data!$O$2:$O$1001)</f>
        <v>53383</v>
      </c>
    </row>
    <row r="22" spans="1:8" x14ac:dyDescent="0.25">
      <c r="A22" s="9" t="s">
        <v>242</v>
      </c>
      <c r="B22" s="9"/>
      <c r="C22" s="9"/>
      <c r="D22" s="9"/>
      <c r="E22" s="28">
        <f>AVERAGE(Clean_Data!$P$2:$P$1001)</f>
        <v>58.304</v>
      </c>
    </row>
    <row r="23" spans="1:8" x14ac:dyDescent="0.25">
      <c r="A23" s="9" t="s">
        <v>243</v>
      </c>
      <c r="B23" s="9"/>
      <c r="C23" s="9"/>
      <c r="D23" s="9"/>
      <c r="E23" s="25">
        <f>MAX(Clean_Data!$P$2:$P$1001)</f>
        <v>249</v>
      </c>
    </row>
    <row r="24" spans="1:8" x14ac:dyDescent="0.25">
      <c r="A24" s="9" t="s">
        <v>244</v>
      </c>
      <c r="B24" s="9"/>
      <c r="C24" s="9"/>
      <c r="D24" s="9"/>
      <c r="E24" s="25">
        <f>MIN(Clean_Data!$P$2:$P$1001)</f>
        <v>1</v>
      </c>
    </row>
    <row r="25" spans="1:8" x14ac:dyDescent="0.25">
      <c r="A25" s="9" t="s">
        <v>245</v>
      </c>
      <c r="B25" s="9"/>
      <c r="C25" s="9"/>
      <c r="D25" s="9"/>
      <c r="E25" s="25">
        <f>COUNTBLANK(Raw_D2!$C$2:$C$611)</f>
        <v>11</v>
      </c>
    </row>
    <row r="26" spans="1:8" x14ac:dyDescent="0.25">
      <c r="A26" s="9" t="s">
        <v>246</v>
      </c>
      <c r="B26" s="9"/>
      <c r="C26" s="9"/>
      <c r="D26" s="9"/>
      <c r="E26" s="22">
        <f>SUBTOTAL(109,Clean_Data!$P$2:$P$1001)</f>
        <v>58304</v>
      </c>
    </row>
    <row r="27" spans="1:8" x14ac:dyDescent="0.25">
      <c r="A27" s="9" t="s">
        <v>247</v>
      </c>
      <c r="B27" s="9"/>
      <c r="C27" s="9"/>
      <c r="D27" s="9"/>
      <c r="E27" s="22">
        <f>SUBTOTAL(103,Clean_Data!$A$2:$A$1001)</f>
        <v>1000</v>
      </c>
    </row>
    <row r="29" spans="1:8" x14ac:dyDescent="0.25">
      <c r="A29" s="21" t="s">
        <v>248</v>
      </c>
      <c r="B29" s="21"/>
      <c r="C29" s="21"/>
      <c r="D29" s="21"/>
      <c r="E29" s="21"/>
      <c r="F29" s="21"/>
      <c r="G29" s="21"/>
      <c r="H29" s="21"/>
    </row>
    <row r="30" spans="1:8" ht="30" customHeight="1" x14ac:dyDescent="0.25">
      <c r="A30" s="6" t="s">
        <v>0</v>
      </c>
      <c r="B30" s="6" t="s">
        <v>249</v>
      </c>
      <c r="C30" s="6" t="s">
        <v>250</v>
      </c>
      <c r="D30" s="6" t="s">
        <v>251</v>
      </c>
      <c r="E30" s="6" t="s">
        <v>252</v>
      </c>
      <c r="F30" s="6" t="s">
        <v>253</v>
      </c>
      <c r="G30" s="6" t="s">
        <v>254</v>
      </c>
      <c r="H30" s="6" t="s">
        <v>255</v>
      </c>
    </row>
    <row r="31" spans="1:8" x14ac:dyDescent="0.25">
      <c r="A31" s="9">
        <f>Clean_Data!A2</f>
        <v>1</v>
      </c>
      <c r="B31" s="9" t="str">
        <f>TEXT(Clean_Data!B2,"yyyy-mm-dd")</f>
        <v>2011-01-01</v>
      </c>
      <c r="C31" s="9" t="str">
        <f>LEFT(B31,4)</f>
        <v>2011</v>
      </c>
      <c r="D31" s="9" t="str">
        <f>MID(B31,6,2)</f>
        <v>01</v>
      </c>
      <c r="E31" s="9" t="str">
        <f>RIGHT(B31,2)</f>
        <v>01</v>
      </c>
      <c r="F31" s="9">
        <f>LEN(Clean_Data!AA2)</f>
        <v>5</v>
      </c>
      <c r="G31" s="9" t="str">
        <f>UPPER(LEFT(Clean_Data!X2,3))</f>
        <v>SAT</v>
      </c>
      <c r="H31" s="9" t="str">
        <f>RIGHT(Clean_Data!AB2,5)</f>
        <v>00:00</v>
      </c>
    </row>
    <row r="32" spans="1:8" x14ac:dyDescent="0.25">
      <c r="A32" s="9">
        <f>Clean_Data!A3</f>
        <v>2</v>
      </c>
      <c r="B32" s="9" t="str">
        <f>TEXT(Clean_Data!B3,"yyyy-mm-dd")</f>
        <v>2011-01-01</v>
      </c>
      <c r="C32" s="9" t="str">
        <f>LEFT(B32,4)</f>
        <v>2011</v>
      </c>
      <c r="D32" s="9" t="str">
        <f>MID(B32,6,2)</f>
        <v>01</v>
      </c>
      <c r="E32" s="9" t="str">
        <f>RIGHT(B32,2)</f>
        <v>01</v>
      </c>
      <c r="F32" s="9">
        <f>LEN(Clean_Data!AA3)</f>
        <v>5</v>
      </c>
      <c r="G32" s="9" t="str">
        <f>UPPER(LEFT(Clean_Data!X3,3))</f>
        <v>SAT</v>
      </c>
      <c r="H32" s="9" t="str">
        <f>RIGHT(Clean_Data!AB3,5)</f>
        <v>01:00</v>
      </c>
    </row>
    <row r="33" spans="1:8" x14ac:dyDescent="0.25">
      <c r="A33" s="9">
        <f>Clean_Data!A4</f>
        <v>3</v>
      </c>
      <c r="B33" s="9" t="str">
        <f>TEXT(Clean_Data!B4,"yyyy-mm-dd")</f>
        <v>2011-01-01</v>
      </c>
      <c r="C33" s="9" t="str">
        <f>LEFT(B33,4)</f>
        <v>2011</v>
      </c>
      <c r="D33" s="9" t="str">
        <f>MID(B33,6,2)</f>
        <v>01</v>
      </c>
      <c r="E33" s="9" t="str">
        <f>RIGHT(B33,2)</f>
        <v>01</v>
      </c>
      <c r="F33" s="9">
        <f>LEN(Clean_Data!AA4)</f>
        <v>5</v>
      </c>
      <c r="G33" s="9" t="str">
        <f>UPPER(LEFT(Clean_Data!X4,3))</f>
        <v>SAT</v>
      </c>
      <c r="H33" s="9" t="str">
        <f>RIGHT(Clean_Data!AB4,5)</f>
        <v>02:00</v>
      </c>
    </row>
    <row r="34" spans="1:8" x14ac:dyDescent="0.25">
      <c r="A34" s="9">
        <f>Clean_Data!A5</f>
        <v>4</v>
      </c>
      <c r="B34" s="9" t="str">
        <f>TEXT(Clean_Data!B5,"yyyy-mm-dd")</f>
        <v>2011-01-01</v>
      </c>
      <c r="C34" s="9" t="str">
        <f>LEFT(B34,4)</f>
        <v>2011</v>
      </c>
      <c r="D34" s="9" t="str">
        <f>MID(B34,6,2)</f>
        <v>01</v>
      </c>
      <c r="E34" s="9" t="str">
        <f>RIGHT(B34,2)</f>
        <v>01</v>
      </c>
      <c r="F34" s="9">
        <f>LEN(Clean_Data!AA5)</f>
        <v>5</v>
      </c>
      <c r="G34" s="9" t="str">
        <f>UPPER(LEFT(Clean_Data!X5,3))</f>
        <v>SAT</v>
      </c>
      <c r="H34" s="9" t="str">
        <f>RIGHT(Clean_Data!AB5,5)</f>
        <v>03:00</v>
      </c>
    </row>
    <row r="35" spans="1:8" x14ac:dyDescent="0.25">
      <c r="A35" s="9">
        <f>Clean_Data!A6</f>
        <v>5</v>
      </c>
      <c r="B35" s="9" t="str">
        <f>TEXT(Clean_Data!B6,"yyyy-mm-dd")</f>
        <v>2011-01-01</v>
      </c>
      <c r="C35" s="9" t="str">
        <f>LEFT(B35,4)</f>
        <v>2011</v>
      </c>
      <c r="D35" s="9" t="str">
        <f>MID(B35,6,2)</f>
        <v>01</v>
      </c>
      <c r="E35" s="9" t="str">
        <f>RIGHT(B35,2)</f>
        <v>01</v>
      </c>
      <c r="F35" s="9">
        <f>LEN(Clean_Data!AA6)</f>
        <v>5</v>
      </c>
      <c r="G35" s="9" t="str">
        <f>UPPER(LEFT(Clean_Data!X6,3))</f>
        <v>SAT</v>
      </c>
      <c r="H35" s="9" t="str">
        <f>RIGHT(Clean_Data!AB6,5)</f>
        <v>04:00</v>
      </c>
    </row>
    <row r="36" spans="1:8" x14ac:dyDescent="0.25">
      <c r="A36" s="9">
        <f>Clean_Data!A7</f>
        <v>6</v>
      </c>
      <c r="B36" s="9" t="str">
        <f>TEXT(Clean_Data!B7,"yyyy-mm-dd")</f>
        <v>2011-01-01</v>
      </c>
      <c r="C36" s="9" t="str">
        <f>LEFT(B36,4)</f>
        <v>2011</v>
      </c>
      <c r="D36" s="9" t="str">
        <f>MID(B36,6,2)</f>
        <v>01</v>
      </c>
      <c r="E36" s="9" t="str">
        <f>RIGHT(B36,2)</f>
        <v>01</v>
      </c>
      <c r="F36" s="9">
        <f>LEN(Clean_Data!AA7)</f>
        <v>11</v>
      </c>
      <c r="G36" s="9" t="str">
        <f>UPPER(LEFT(Clean_Data!X7,3))</f>
        <v>SAT</v>
      </c>
      <c r="H36" s="9" t="str">
        <f>RIGHT(Clean_Data!AB7,5)</f>
        <v>05:00</v>
      </c>
    </row>
    <row r="37" spans="1:8" x14ac:dyDescent="0.25">
      <c r="A37" s="9">
        <f>Clean_Data!A8</f>
        <v>7</v>
      </c>
      <c r="B37" s="9" t="str">
        <f>TEXT(Clean_Data!B8,"yyyy-mm-dd")</f>
        <v>2011-01-01</v>
      </c>
      <c r="C37" s="9" t="str">
        <f>LEFT(B37,4)</f>
        <v>2011</v>
      </c>
      <c r="D37" s="9" t="str">
        <f>MID(B37,6,2)</f>
        <v>01</v>
      </c>
      <c r="E37" s="9" t="str">
        <f>RIGHT(B37,2)</f>
        <v>01</v>
      </c>
      <c r="F37" s="9">
        <f>LEN(Clean_Data!AA8)</f>
        <v>5</v>
      </c>
      <c r="G37" s="9" t="str">
        <f>UPPER(LEFT(Clean_Data!X8,3))</f>
        <v>SAT</v>
      </c>
      <c r="H37" s="9" t="str">
        <f>RIGHT(Clean_Data!AB8,5)</f>
        <v>06:00</v>
      </c>
    </row>
    <row r="38" spans="1:8" x14ac:dyDescent="0.25">
      <c r="A38" s="9">
        <f>Clean_Data!A9</f>
        <v>8</v>
      </c>
      <c r="B38" s="9" t="str">
        <f>TEXT(Clean_Data!B9,"yyyy-mm-dd")</f>
        <v>2011-01-01</v>
      </c>
      <c r="C38" s="9" t="str">
        <f>LEFT(B38,4)</f>
        <v>2011</v>
      </c>
      <c r="D38" s="9" t="str">
        <f>MID(B38,6,2)</f>
        <v>01</v>
      </c>
      <c r="E38" s="9" t="str">
        <f>RIGHT(B38,2)</f>
        <v>01</v>
      </c>
      <c r="F38" s="9">
        <f>LEN(Clean_Data!AA9)</f>
        <v>5</v>
      </c>
      <c r="G38" s="9" t="str">
        <f>UPPER(LEFT(Clean_Data!X9,3))</f>
        <v>SAT</v>
      </c>
      <c r="H38" s="9" t="str">
        <f>RIGHT(Clean_Data!AB9,5)</f>
        <v>07:00</v>
      </c>
    </row>
    <row r="39" spans="1:8" x14ac:dyDescent="0.25">
      <c r="A39" s="9">
        <f>Clean_Data!A10</f>
        <v>9</v>
      </c>
      <c r="B39" s="9" t="str">
        <f>TEXT(Clean_Data!B10,"yyyy-mm-dd")</f>
        <v>2011-01-01</v>
      </c>
      <c r="C39" s="9" t="str">
        <f>LEFT(B39,4)</f>
        <v>2011</v>
      </c>
      <c r="D39" s="9" t="str">
        <f>MID(B39,6,2)</f>
        <v>01</v>
      </c>
      <c r="E39" s="9" t="str">
        <f>RIGHT(B39,2)</f>
        <v>01</v>
      </c>
      <c r="F39" s="9">
        <f>LEN(Clean_Data!AA10)</f>
        <v>5</v>
      </c>
      <c r="G39" s="9" t="str">
        <f>UPPER(LEFT(Clean_Data!X10,3))</f>
        <v>SAT</v>
      </c>
      <c r="H39" s="9" t="str">
        <f>RIGHT(Clean_Data!AB10,5)</f>
        <v>08:00</v>
      </c>
    </row>
    <row r="40" spans="1:8" x14ac:dyDescent="0.25">
      <c r="A40" s="9">
        <f>Clean_Data!A11</f>
        <v>10</v>
      </c>
      <c r="B40" s="9" t="str">
        <f>TEXT(Clean_Data!B11,"yyyy-mm-dd")</f>
        <v>2011-01-01</v>
      </c>
      <c r="C40" s="9" t="str">
        <f>LEFT(B40,4)</f>
        <v>2011</v>
      </c>
      <c r="D40" s="9" t="str">
        <f>MID(B40,6,2)</f>
        <v>01</v>
      </c>
      <c r="E40" s="9" t="str">
        <f>RIGHT(B40,2)</f>
        <v>01</v>
      </c>
      <c r="F40" s="9">
        <f>LEN(Clean_Data!AA11)</f>
        <v>5</v>
      </c>
      <c r="G40" s="9" t="str">
        <f>UPPER(LEFT(Clean_Data!X11,3))</f>
        <v>SAT</v>
      </c>
      <c r="H40" s="9" t="str">
        <f>RIGHT(Clean_Data!AB11,5)</f>
        <v>09:00</v>
      </c>
    </row>
    <row r="42" spans="1:8" x14ac:dyDescent="0.25">
      <c r="A42" s="21" t="s">
        <v>256</v>
      </c>
      <c r="B42" s="21"/>
      <c r="C42" s="21"/>
      <c r="D42" s="21"/>
      <c r="E42" s="21"/>
      <c r="F42" s="21"/>
      <c r="G42" s="21"/>
      <c r="H42" s="21"/>
    </row>
    <row r="43" spans="1:8" x14ac:dyDescent="0.25">
      <c r="A43" s="6" t="s">
        <v>257</v>
      </c>
      <c r="B43" s="6" t="s">
        <v>258</v>
      </c>
      <c r="C43" s="6" t="s">
        <v>0</v>
      </c>
      <c r="D43" s="6" t="s">
        <v>259</v>
      </c>
      <c r="E43" s="6" t="s">
        <v>260</v>
      </c>
      <c r="F43" s="6" t="s">
        <v>261</v>
      </c>
      <c r="G43" s="6" t="s">
        <v>262</v>
      </c>
      <c r="H43" s="6" t="s">
        <v>263</v>
      </c>
    </row>
    <row r="44" spans="1:8" x14ac:dyDescent="0.25">
      <c r="A44" s="9">
        <v>1</v>
      </c>
      <c r="B44" s="27">
        <f>INT(LARGE(Clean_Data!$AO$2:$AO$1001,A44))</f>
        <v>249</v>
      </c>
      <c r="C44" s="9">
        <f>INDEX(Clean_Data!$A$2:$A$1001,MATCH(LARGE(Clean_Data!$AO$2:$AO$1001,$A44),Clean_Data!$AO$2:$AO$1001,0))</f>
        <v>440</v>
      </c>
      <c r="D44" s="29">
        <f>INDEX(Clean_Data!$B$2:$B$1001,MATCH(LARGE(Clean_Data!$AO$2:$AO$1001,$A44),Clean_Data!$AO$2:$AO$1001,0))</f>
        <v>40563.0</v>
      </c>
      <c r="E44" s="9" t="str">
        <f>INDEX(Clean_Data!$AB$2:$AB$1001,MATCH(LARGE(Clean_Data!$AO$2:$AO$1001,$A44),Clean_Data!$AO$2:$AO$1001,0))</f>
        <v>08:00</v>
      </c>
      <c r="F44" s="9" t="str">
        <f>INDEX(Clean_Data!$AA$2:$AA$1001,MATCH(LARGE(Clean_Data!$AO$2:$AO$1001,$A44),Clean_Data!$AO$2:$AO$1001,0))</f>
        <v>Clear</v>
      </c>
      <c r="G44" s="9" t="str">
        <f>INDEX(Clean_Data!$W$2:$W$1001,MATCH(LARGE(Clean_Data!$AO$2:$AO$1001,$A44),Clean_Data!$AO$2:$AO$1001,0))</f>
        <v>Weekday</v>
      </c>
      <c r="H44" s="15">
        <f>INDEX(Clean_Data!$AD$2:$AD$1001,MATCH(LARGE(Clean_Data!$AO$2:$AO$1001,$A44),Clean_Data!$AO$2:$AO$1001,0))</f>
        <v>9</v>
      </c>
    </row>
    <row r="45" spans="1:8" x14ac:dyDescent="0.25">
      <c r="A45" s="9">
        <v>2</v>
      </c>
      <c r="B45" s="27">
        <f>INT(LARGE(Clean_Data!$AO$2:$AO$1001,A45))</f>
        <v>243</v>
      </c>
      <c r="C45" s="9">
        <f>INDEX(Clean_Data!$A$2:$A$1001,MATCH(LARGE(Clean_Data!$AO$2:$AO$1001,$A45),Clean_Data!$AO$2:$AO$1001,0))</f>
        <v>862</v>
      </c>
      <c r="D45" s="29">
        <f>INDEX(Clean_Data!$B$2:$B$1001,MATCH(LARGE(Clean_Data!$AO$2:$AO$1001,$A45),Clean_Data!$AO$2:$AO$1001,0))</f>
        <v>40582.0</v>
      </c>
      <c r="E45" s="9" t="str">
        <f>INDEX(Clean_Data!$AB$2:$AB$1001,MATCH(LARGE(Clean_Data!$AO$2:$AO$1001,$A45),Clean_Data!$AO$2:$AO$1001,0))</f>
        <v>08:00</v>
      </c>
      <c r="F45" s="9" t="str">
        <f>INDEX(Clean_Data!$AA$2:$AA$1001,MATCH(LARGE(Clean_Data!$AO$2:$AO$1001,$A45),Clean_Data!$AO$2:$AO$1001,0))</f>
        <v>Clear</v>
      </c>
      <c r="G45" s="9" t="str">
        <f>INDEX(Clean_Data!$W$2:$W$1001,MATCH(LARGE(Clean_Data!$AO$2:$AO$1001,$A45),Clean_Data!$AO$2:$AO$1001,0))</f>
        <v>Weekday</v>
      </c>
      <c r="H45" s="15">
        <f>INDEX(Clean_Data!$AD$2:$AD$1001,MATCH(LARGE(Clean_Data!$AO$2:$AO$1001,$A45),Clean_Data!$AO$2:$AO$1001,0))</f>
        <v>9.8</v>
      </c>
    </row>
    <row r="46" spans="1:8" x14ac:dyDescent="0.25">
      <c r="A46" s="9">
        <v>3</v>
      </c>
      <c r="B46" s="27">
        <f>INT(LARGE(Clean_Data!$AO$2:$AO$1001,A46))</f>
        <v>238</v>
      </c>
      <c r="C46" s="9">
        <f>INDEX(Clean_Data!$A$2:$A$1001,MATCH(LARGE(Clean_Data!$AO$2:$AO$1001,$A46),Clean_Data!$AO$2:$AO$1001,0))</f>
        <v>556</v>
      </c>
      <c r="D46" s="29">
        <f>INDEX(Clean_Data!$B$2:$B$1001,MATCH(LARGE(Clean_Data!$AO$2:$AO$1001,$A46),Clean_Data!$AO$2:$AO$1001,0))</f>
        <v>40568.0</v>
      </c>
      <c r="E46" s="9" t="str">
        <f>INDEX(Clean_Data!$AB$2:$AB$1001,MATCH(LARGE(Clean_Data!$AO$2:$AO$1001,$A46),Clean_Data!$AO$2:$AO$1001,0))</f>
        <v>08:00</v>
      </c>
      <c r="F46" s="9" t="str">
        <f>INDEX(Clean_Data!$AA$2:$AA$1001,MATCH(LARGE(Clean_Data!$AO$2:$AO$1001,$A46),Clean_Data!$AO$2:$AO$1001,0))</f>
        <v>Mist/Cloudy</v>
      </c>
      <c r="G46" s="9" t="str">
        <f>INDEX(Clean_Data!$W$2:$W$1001,MATCH(LARGE(Clean_Data!$AO$2:$AO$1001,$A46),Clean_Data!$AO$2:$AO$1001,0))</f>
        <v>Weekday</v>
      </c>
      <c r="H46" s="15">
        <f>INDEX(Clean_Data!$AD$2:$AD$1001,MATCH(LARGE(Clean_Data!$AO$2:$AO$1001,$A46),Clean_Data!$AO$2:$AO$1001,0))</f>
        <v>6.6</v>
      </c>
    </row>
    <row r="47" spans="1:8" x14ac:dyDescent="0.25">
      <c r="A47" s="9">
        <v>4</v>
      </c>
      <c r="B47" s="27">
        <f>INT(LARGE(Clean_Data!$AO$2:$AO$1001,A47))</f>
        <v>230</v>
      </c>
      <c r="C47" s="9">
        <f>INDEX(Clean_Data!$A$2:$A$1001,MATCH(LARGE(Clean_Data!$AO$2:$AO$1001,$A47),Clean_Data!$AO$2:$AO$1001,0))</f>
        <v>838</v>
      </c>
      <c r="D47" s="29">
        <f>INDEX(Clean_Data!$B$2:$B$1001,MATCH(LARGE(Clean_Data!$AO$2:$AO$1001,$A47),Clean_Data!$AO$2:$AO$1001,0))</f>
        <v>40581.0</v>
      </c>
      <c r="E47" s="9" t="str">
        <f>INDEX(Clean_Data!$AB$2:$AB$1001,MATCH(LARGE(Clean_Data!$AO$2:$AO$1001,$A47),Clean_Data!$AO$2:$AO$1001,0))</f>
        <v>08:00</v>
      </c>
      <c r="F47" s="9" t="str">
        <f>INDEX(Clean_Data!$AA$2:$AA$1001,MATCH(LARGE(Clean_Data!$AO$2:$AO$1001,$A47),Clean_Data!$AO$2:$AO$1001,0))</f>
        <v>Mist/Cloudy</v>
      </c>
      <c r="G47" s="9" t="str">
        <f>INDEX(Clean_Data!$W$2:$W$1001,MATCH(LARGE(Clean_Data!$AO$2:$AO$1001,$A47),Clean_Data!$AO$2:$AO$1001,0))</f>
        <v>Weekday</v>
      </c>
      <c r="H47" s="15">
        <f>INDEX(Clean_Data!$AD$2:$AD$1001,MATCH(LARGE(Clean_Data!$AO$2:$AO$1001,$A47),Clean_Data!$AO$2:$AO$1001,0))</f>
        <v>6.6</v>
      </c>
    </row>
    <row r="48" spans="1:8" x14ac:dyDescent="0.25">
      <c r="A48" s="9">
        <v>5</v>
      </c>
      <c r="B48" s="27">
        <f>INT(LARGE(Clean_Data!$AO$2:$AO$1001,A48))</f>
        <v>225</v>
      </c>
      <c r="C48" s="9">
        <f>INDEX(Clean_Data!$A$2:$A$1001,MATCH(LARGE(Clean_Data!$AO$2:$AO$1001,$A48),Clean_Data!$AO$2:$AO$1001,0))</f>
        <v>566</v>
      </c>
      <c r="D48" s="29">
        <f>INDEX(Clean_Data!$B$2:$B$1001,MATCH(LARGE(Clean_Data!$AO$2:$AO$1001,$A48),Clean_Data!$AO$2:$AO$1001,0))</f>
        <v>40568.0</v>
      </c>
      <c r="E48" s="9" t="str">
        <f>INDEX(Clean_Data!$AB$2:$AB$1001,MATCH(LARGE(Clean_Data!$AO$2:$AO$1001,$A48),Clean_Data!$AO$2:$AO$1001,0))</f>
        <v>18:00</v>
      </c>
      <c r="F48" s="9" t="str">
        <f>INDEX(Clean_Data!$AA$2:$AA$1001,MATCH(LARGE(Clean_Data!$AO$2:$AO$1001,$A48),Clean_Data!$AO$2:$AO$1001,0))</f>
        <v>Mist/Cloudy</v>
      </c>
      <c r="G48" s="9" t="str">
        <f>INDEX(Clean_Data!$W$2:$W$1001,MATCH(LARGE(Clean_Data!$AO$2:$AO$1001,$A48),Clean_Data!$AO$2:$AO$1001,0))</f>
        <v>Weekday</v>
      </c>
      <c r="H48" s="15">
        <f>INDEX(Clean_Data!$AD$2:$AD$1001,MATCH(LARGE(Clean_Data!$AO$2:$AO$1001,$A48),Clean_Data!$AO$2:$AO$1001,0))</f>
        <v>12.3</v>
      </c>
    </row>
    <row r="49" spans="1:8" x14ac:dyDescent="0.25">
      <c r="A49" s="9">
        <v>6</v>
      </c>
      <c r="B49" s="27">
        <f>INT(LARGE(Clean_Data!$AO$2:$AO$1001,A49))</f>
        <v>222</v>
      </c>
      <c r="C49" s="9">
        <f>INDEX(Clean_Data!$A$2:$A$1001,MATCH(LARGE(Clean_Data!$AO$2:$AO$1001,$A49),Clean_Data!$AO$2:$AO$1001,0))</f>
        <v>565</v>
      </c>
      <c r="D49" s="29">
        <f>INDEX(Clean_Data!$B$2:$B$1001,MATCH(LARGE(Clean_Data!$AO$2:$AO$1001,$A49),Clean_Data!$AO$2:$AO$1001,0))</f>
        <v>40568.0</v>
      </c>
      <c r="E49" s="9" t="str">
        <f>INDEX(Clean_Data!$AB$2:$AB$1001,MATCH(LARGE(Clean_Data!$AO$2:$AO$1001,$A49),Clean_Data!$AO$2:$AO$1001,0))</f>
        <v>17:00</v>
      </c>
      <c r="F49" s="9" t="str">
        <f>INDEX(Clean_Data!$AA$2:$AA$1001,MATCH(LARGE(Clean_Data!$AO$2:$AO$1001,$A49),Clean_Data!$AO$2:$AO$1001,0))</f>
        <v>Clear</v>
      </c>
      <c r="G49" s="9" t="str">
        <f>INDEX(Clean_Data!$W$2:$W$1001,MATCH(LARGE(Clean_Data!$AO$2:$AO$1001,$A49),Clean_Data!$AO$2:$AO$1001,0))</f>
        <v>Weekday</v>
      </c>
      <c r="H49" s="15">
        <f>INDEX(Clean_Data!$AD$2:$AD$1001,MATCH(LARGE(Clean_Data!$AO$2:$AO$1001,$A49),Clean_Data!$AO$2:$AO$1001,0))</f>
        <v>12.3</v>
      </c>
    </row>
    <row r="50" spans="1:8" x14ac:dyDescent="0.25">
      <c r="A50" s="9">
        <v>7</v>
      </c>
      <c r="B50" s="27">
        <f>INT(LARGE(Clean_Data!$AO$2:$AO$1001,A50))</f>
        <v>220</v>
      </c>
      <c r="C50" s="9">
        <f>INDEX(Clean_Data!$A$2:$A$1001,MATCH(LARGE(Clean_Data!$AO$2:$AO$1001,$A50),Clean_Data!$AO$2:$AO$1001,0))</f>
        <v>766</v>
      </c>
      <c r="D50" s="29">
        <f>INDEX(Clean_Data!$B$2:$B$1001,MATCH(LARGE(Clean_Data!$AO$2:$AO$1001,$A50),Clean_Data!$AO$2:$AO$1001,0))</f>
        <v>40578.0</v>
      </c>
      <c r="E50" s="9" t="str">
        <f>INDEX(Clean_Data!$AB$2:$AB$1001,MATCH(LARGE(Clean_Data!$AO$2:$AO$1001,$A50),Clean_Data!$AO$2:$AO$1001,0))</f>
        <v>08:00</v>
      </c>
      <c r="F50" s="9" t="str">
        <f>INDEX(Clean_Data!$AA$2:$AA$1001,MATCH(LARGE(Clean_Data!$AO$2:$AO$1001,$A50),Clean_Data!$AO$2:$AO$1001,0))</f>
        <v>Clear</v>
      </c>
      <c r="G50" s="9" t="str">
        <f>INDEX(Clean_Data!$W$2:$W$1001,MATCH(LARGE(Clean_Data!$AO$2:$AO$1001,$A50),Clean_Data!$AO$2:$AO$1001,0))</f>
        <v>Weekday</v>
      </c>
      <c r="H50" s="15">
        <f>INDEX(Clean_Data!$AD$2:$AD$1001,MATCH(LARGE(Clean_Data!$AO$2:$AO$1001,$A50),Clean_Data!$AO$2:$AO$1001,0))</f>
        <v>5.7</v>
      </c>
    </row>
    <row r="51" spans="1:8" x14ac:dyDescent="0.25">
      <c r="A51" s="9">
        <v>8</v>
      </c>
      <c r="B51" s="27">
        <f>INT(LARGE(Clean_Data!$AO$2:$AO$1001,A51))</f>
        <v>219</v>
      </c>
      <c r="C51" s="9">
        <f>INDEX(Clean_Data!$A$2:$A$1001,MATCH(LARGE(Clean_Data!$AO$2:$AO$1001,$A51),Clean_Data!$AO$2:$AO$1001,0))</f>
        <v>123</v>
      </c>
      <c r="D51" s="29">
        <f>INDEX(Clean_Data!$B$2:$B$1001,MATCH(LARGE(Clean_Data!$AO$2:$AO$1001,$A51),Clean_Data!$AO$2:$AO$1001,0))</f>
        <v>40549.0</v>
      </c>
      <c r="E51" s="9" t="str">
        <f>INDEX(Clean_Data!$AB$2:$AB$1001,MATCH(LARGE(Clean_Data!$AO$2:$AO$1001,$A51),Clean_Data!$AO$2:$AO$1001,0))</f>
        <v>08:00</v>
      </c>
      <c r="F51" s="9" t="str">
        <f>INDEX(Clean_Data!$AA$2:$AA$1001,MATCH(LARGE(Clean_Data!$AO$2:$AO$1001,$A51),Clean_Data!$AO$2:$AO$1001,0))</f>
        <v>Clear</v>
      </c>
      <c r="G51" s="9" t="str">
        <f>INDEX(Clean_Data!$W$2:$W$1001,MATCH(LARGE(Clean_Data!$AO$2:$AO$1001,$A51),Clean_Data!$AO$2:$AO$1001,0))</f>
        <v>Weekday</v>
      </c>
      <c r="H51" s="15">
        <f>INDEX(Clean_Data!$AD$2:$AD$1001,MATCH(LARGE(Clean_Data!$AO$2:$AO$1001,$A51),Clean_Data!$AO$2:$AO$1001,0))</f>
        <v>6.6</v>
      </c>
    </row>
    <row r="52" spans="1:8" x14ac:dyDescent="0.25">
      <c r="A52" s="9">
        <v>9</v>
      </c>
      <c r="B52" s="27">
        <f>INT(LARGE(Clean_Data!$AO$2:$AO$1001,A52))</f>
        <v>217</v>
      </c>
      <c r="C52" s="9">
        <f>INDEX(Clean_Data!$A$2:$A$1001,MATCH(LARGE(Clean_Data!$AO$2:$AO$1001,$A52),Clean_Data!$AO$2:$AO$1001,0))</f>
        <v>464</v>
      </c>
      <c r="D52" s="29">
        <f>INDEX(Clean_Data!$B$2:$B$1001,MATCH(LARGE(Clean_Data!$AO$2:$AO$1001,$A52),Clean_Data!$AO$2:$AO$1001,0))</f>
        <v>40564.0</v>
      </c>
      <c r="E52" s="9" t="str">
        <f>INDEX(Clean_Data!$AB$2:$AB$1001,MATCH(LARGE(Clean_Data!$AO$2:$AO$1001,$A52),Clean_Data!$AO$2:$AO$1001,0))</f>
        <v>08:00</v>
      </c>
      <c r="F52" s="9" t="str">
        <f>INDEX(Clean_Data!$AA$2:$AA$1001,MATCH(LARGE(Clean_Data!$AO$2:$AO$1001,$A52),Clean_Data!$AO$2:$AO$1001,0))</f>
        <v>Clear</v>
      </c>
      <c r="G52" s="9" t="str">
        <f>INDEX(Clean_Data!$W$2:$W$1001,MATCH(LARGE(Clean_Data!$AO$2:$AO$1001,$A52),Clean_Data!$AO$2:$AO$1001,0))</f>
        <v>Weekday</v>
      </c>
      <c r="H52" s="15">
        <f>INDEX(Clean_Data!$AD$2:$AD$1001,MATCH(LARGE(Clean_Data!$AO$2:$AO$1001,$A52),Clean_Data!$AO$2:$AO$1001,0))</f>
        <v>8.2</v>
      </c>
    </row>
    <row r="53" spans="1:8" x14ac:dyDescent="0.25">
      <c r="A53" s="9">
        <v>10</v>
      </c>
      <c r="B53" s="27">
        <f>INT(LARGE(Clean_Data!$AO$2:$AO$1001,A53))</f>
        <v>217</v>
      </c>
      <c r="C53" s="9">
        <f>INDEX(Clean_Data!$A$2:$A$1001,MATCH(LARGE(Clean_Data!$AO$2:$AO$1001,$A53),Clean_Data!$AO$2:$AO$1001,0))</f>
        <v>240</v>
      </c>
      <c r="D53" s="29">
        <f>INDEX(Clean_Data!$B$2:$B$1001,MATCH(LARGE(Clean_Data!$AO$2:$AO$1001,$A53),Clean_Data!$AO$2:$AO$1001,0))</f>
        <v>40554.0</v>
      </c>
      <c r="E53" s="9" t="str">
        <f>INDEX(Clean_Data!$AB$2:$AB$1001,MATCH(LARGE(Clean_Data!$AO$2:$AO$1001,$A53),Clean_Data!$AO$2:$AO$1001,0))</f>
        <v>08:00</v>
      </c>
      <c r="F53" s="9" t="str">
        <f>INDEX(Clean_Data!$AA$2:$AA$1001,MATCH(LARGE(Clean_Data!$AO$2:$AO$1001,$A53),Clean_Data!$AO$2:$AO$1001,0))</f>
        <v>Mist/Cloudy</v>
      </c>
      <c r="G53" s="9" t="str">
        <f>INDEX(Clean_Data!$W$2:$W$1001,MATCH(LARGE(Clean_Data!$AO$2:$AO$1001,$A53),Clean_Data!$AO$2:$AO$1001,0))</f>
        <v>Weekday</v>
      </c>
      <c r="H53" s="15">
        <f>INDEX(Clean_Data!$AD$2:$AD$1001,MATCH(LARGE(Clean_Data!$AO$2:$AO$1001,$A53),Clean_Data!$AO$2:$AO$1001,0))</f>
        <v>7.4</v>
      </c>
    </row>
    <row r="56" spans="1:8" x14ac:dyDescent="0.25">
      <c r="A56" s="21" t="s">
        <v>264</v>
      </c>
      <c r="B56" s="21"/>
      <c r="C56" s="21"/>
      <c r="D56" s="21"/>
      <c r="E56" s="21"/>
      <c r="F56" s="21"/>
      <c r="G56" s="21"/>
      <c r="H56" s="21"/>
    </row>
    <row r="57" spans="1:8" x14ac:dyDescent="0.25">
      <c r="A57" s="6" t="s">
        <v>260</v>
      </c>
      <c r="B57" s="6" t="s">
        <v>265</v>
      </c>
      <c r="C57" s="6" t="s">
        <v>266</v>
      </c>
    </row>
    <row r="58" spans="1:8" x14ac:dyDescent="0.25">
      <c r="A58" s="9" t="str">
        <f>T4_Pivots!B9</f>
        <v>00:00</v>
      </c>
      <c r="B58" s="15">
        <f>T4_Pivots!E9</f>
        <v>16.3488372093023</v>
      </c>
      <c r="C58" s="30">
        <f>T4_Pivots!D9</f>
        <v>703</v>
      </c>
    </row>
    <row r="59" spans="1:8" x14ac:dyDescent="0.25">
      <c r="A59" s="9" t="str">
        <f>T4_Pivots!B10</f>
        <v>01:00</v>
      </c>
      <c r="B59" s="15">
        <f>T4_Pivots!E10</f>
        <v>10.6976744186047</v>
      </c>
      <c r="C59" s="30">
        <f>T4_Pivots!D10</f>
        <v>460</v>
      </c>
    </row>
    <row r="60" spans="1:8" x14ac:dyDescent="0.25">
      <c r="A60" s="9" t="str">
        <f>T4_Pivots!B11</f>
        <v>02:00</v>
      </c>
      <c r="B60" s="15">
        <f>T4_Pivots!E11</f>
        <v>7.17073170731707</v>
      </c>
      <c r="C60" s="30">
        <f>T4_Pivots!D11</f>
        <v>294</v>
      </c>
    </row>
    <row r="61" spans="1:8" x14ac:dyDescent="0.25">
      <c r="A61" s="9" t="str">
        <f>T4_Pivots!B12</f>
        <v>03:00</v>
      </c>
      <c r="B61" s="15">
        <f>T4_Pivots!E12</f>
        <v>4.87096774193548</v>
      </c>
      <c r="C61" s="30">
        <f>T4_Pivots!D12</f>
        <v>151</v>
      </c>
    </row>
    <row r="62" spans="1:8" x14ac:dyDescent="0.25">
      <c r="A62" s="9" t="str">
        <f>T4_Pivots!B13</f>
        <v>04:00</v>
      </c>
      <c r="B62" s="15">
        <f>T4_Pivots!E13</f>
        <v>2.15625</v>
      </c>
      <c r="C62" s="30">
        <f>T4_Pivots!D13</f>
        <v>69</v>
      </c>
    </row>
    <row r="63" spans="1:8" x14ac:dyDescent="0.25">
      <c r="A63" s="9" t="str">
        <f>T4_Pivots!B14</f>
        <v>05:00</v>
      </c>
      <c r="B63" s="15">
        <f>T4_Pivots!E14</f>
        <v>4.20512820512821</v>
      </c>
      <c r="C63" s="30">
        <f>T4_Pivots!D14</f>
        <v>164</v>
      </c>
    </row>
    <row r="64" spans="1:8" x14ac:dyDescent="0.25">
      <c r="A64" s="9" t="str">
        <f>T4_Pivots!B15</f>
        <v>06:00</v>
      </c>
      <c r="B64" s="15">
        <f>T4_Pivots!E15</f>
        <v>19.5714285714286</v>
      </c>
      <c r="C64" s="30">
        <f>T4_Pivots!D15</f>
        <v>822</v>
      </c>
    </row>
    <row r="65" spans="1:3" x14ac:dyDescent="0.25">
      <c r="A65" s="9" t="str">
        <f>T4_Pivots!B16</f>
        <v>07:00</v>
      </c>
      <c r="B65" s="15">
        <f>T4_Pivots!E16</f>
        <v>54.3953488372093</v>
      </c>
      <c r="C65" s="30">
        <f>T4_Pivots!D16</f>
        <v>2339</v>
      </c>
    </row>
    <row r="66" spans="1:3" x14ac:dyDescent="0.25">
      <c r="A66" s="9" t="str">
        <f>T4_Pivots!B17</f>
        <v>08:00</v>
      </c>
      <c r="B66" s="15">
        <f>T4_Pivots!E17</f>
        <v>128.285714285714</v>
      </c>
      <c r="C66" s="30">
        <f>T4_Pivots!D17</f>
        <v>5388</v>
      </c>
    </row>
    <row r="67" spans="1:3" x14ac:dyDescent="0.25">
      <c r="A67" s="9" t="str">
        <f>T4_Pivots!B18</f>
        <v>09:00</v>
      </c>
      <c r="B67" s="15">
        <f>T4_Pivots!E18</f>
        <v>87.4285714285714</v>
      </c>
      <c r="C67" s="30">
        <f>T4_Pivots!D18</f>
        <v>3672</v>
      </c>
    </row>
    <row r="68" spans="1:3" x14ac:dyDescent="0.25">
      <c r="A68" s="9" t="str">
        <f>T4_Pivots!B19</f>
        <v>10:00</v>
      </c>
      <c r="B68" s="15">
        <f>T4_Pivots!E19</f>
        <v>53.6428571428571</v>
      </c>
      <c r="C68" s="30">
        <f>T4_Pivots!D19</f>
        <v>2253</v>
      </c>
    </row>
    <row r="69" spans="1:3" x14ac:dyDescent="0.25">
      <c r="A69" s="9" t="str">
        <f>T4_Pivots!B20</f>
        <v>11:00</v>
      </c>
      <c r="B69" s="15">
        <f>T4_Pivots!E20</f>
        <v>59.3809523809524</v>
      </c>
      <c r="C69" s="30">
        <f>T4_Pivots!D20</f>
        <v>2494</v>
      </c>
    </row>
    <row r="70" spans="1:3" x14ac:dyDescent="0.25">
      <c r="A70" s="9" t="str">
        <f>T4_Pivots!B21</f>
        <v>12:00</v>
      </c>
      <c r="B70" s="15">
        <f>T4_Pivots!E21</f>
        <v>76.3488372093023</v>
      </c>
      <c r="C70" s="30">
        <f>T4_Pivots!D21</f>
        <v>3283</v>
      </c>
    </row>
    <row r="71" spans="1:3" x14ac:dyDescent="0.25">
      <c r="A71" s="9" t="str">
        <f>T4_Pivots!B22</f>
        <v>13:00</v>
      </c>
      <c r="B71" s="15">
        <f>T4_Pivots!E22</f>
        <v>78.5116279069767</v>
      </c>
      <c r="C71" s="30">
        <f>T4_Pivots!D22</f>
        <v>3376</v>
      </c>
    </row>
    <row r="72" spans="1:3" x14ac:dyDescent="0.25">
      <c r="A72" s="9" t="str">
        <f>T4_Pivots!B23</f>
        <v>14:00</v>
      </c>
      <c r="B72" s="15">
        <f>T4_Pivots!E23</f>
        <v>74.4186046511628</v>
      </c>
      <c r="C72" s="30">
        <f>T4_Pivots!D23</f>
        <v>3200</v>
      </c>
    </row>
    <row r="73" spans="1:3" x14ac:dyDescent="0.25">
      <c r="A73" s="9" t="str">
        <f>T4_Pivots!B24</f>
        <v>15:00</v>
      </c>
      <c r="B73" s="15">
        <f>T4_Pivots!E24</f>
        <v>77.953488372093</v>
      </c>
      <c r="C73" s="30">
        <f>T4_Pivots!D24</f>
        <v>3352</v>
      </c>
    </row>
    <row r="74" spans="1:3" x14ac:dyDescent="0.25">
      <c r="A74" s="9" t="str">
        <f>T4_Pivots!B25</f>
        <v>16:00</v>
      </c>
      <c r="B74" s="15">
        <f>T4_Pivots!E25</f>
        <v>89.2727272727273</v>
      </c>
      <c r="C74" s="30">
        <f>T4_Pivots!D25</f>
        <v>3928</v>
      </c>
    </row>
    <row r="75" spans="1:3" x14ac:dyDescent="0.25">
      <c r="A75" s="9" t="str">
        <f>T4_Pivots!B26</f>
        <v>17:00</v>
      </c>
      <c r="B75" s="15">
        <f>T4_Pivots!E26</f>
        <v>140.204545454545</v>
      </c>
      <c r="C75" s="30">
        <f>T4_Pivots!D26</f>
        <v>6169</v>
      </c>
    </row>
    <row r="76" spans="1:3" x14ac:dyDescent="0.25">
      <c r="A76" s="9" t="str">
        <f>T4_Pivots!B27</f>
        <v>18:00</v>
      </c>
      <c r="B76" s="15">
        <f>T4_Pivots!E27</f>
        <v>122.860465116279</v>
      </c>
      <c r="C76" s="30">
        <f>T4_Pivots!D27</f>
        <v>5283</v>
      </c>
    </row>
    <row r="77" spans="1:3" x14ac:dyDescent="0.25">
      <c r="A77" s="9" t="str">
        <f>T4_Pivots!B28</f>
        <v>19:00</v>
      </c>
      <c r="B77" s="15">
        <f>T4_Pivots!E28</f>
        <v>85.1395348837209</v>
      </c>
      <c r="C77" s="30">
        <f>T4_Pivots!D28</f>
        <v>3661</v>
      </c>
    </row>
    <row r="78" spans="1:3" x14ac:dyDescent="0.25">
      <c r="A78" s="9" t="str">
        <f>T4_Pivots!B29</f>
        <v>20:00</v>
      </c>
      <c r="B78" s="15">
        <f>T4_Pivots!E29</f>
        <v>61.7674418604651</v>
      </c>
      <c r="C78" s="30">
        <f>T4_Pivots!D29</f>
        <v>2656</v>
      </c>
    </row>
    <row r="79" spans="1:3" x14ac:dyDescent="0.25">
      <c r="A79" s="9" t="str">
        <f>T4_Pivots!B30</f>
        <v>21:00</v>
      </c>
      <c r="B79" s="15">
        <f>T4_Pivots!E30</f>
        <v>46.4186046511628</v>
      </c>
      <c r="C79" s="30">
        <f>T4_Pivots!D30</f>
        <v>1996</v>
      </c>
    </row>
    <row r="80" spans="1:3" x14ac:dyDescent="0.25">
      <c r="A80" s="9" t="str">
        <f>T4_Pivots!B31</f>
        <v>22:00</v>
      </c>
      <c r="B80" s="15">
        <f>T4_Pivots!E31</f>
        <v>35.0697674418605</v>
      </c>
      <c r="C80" s="30">
        <f>T4_Pivots!D31</f>
        <v>1508</v>
      </c>
    </row>
    <row r="81" spans="1:3" x14ac:dyDescent="0.25">
      <c r="A81" s="9" t="str">
        <f>T4_Pivots!B32</f>
        <v>23:00</v>
      </c>
      <c r="B81" s="15">
        <f>T4_Pivots!E32</f>
        <v>25.1860465116279</v>
      </c>
      <c r="C81" s="30">
        <f>T4_Pivots!D32</f>
        <v>1083</v>
      </c>
    </row>
    <row r="83" spans="1:3" x14ac:dyDescent="0.25">
      <c r="A83" s="2" t="s">
        <v>267</v>
      </c>
    </row>
  </sheetData>
  <mergeCells count="38">
    <mergeCell ref="A3:H3"/>
    <mergeCell ref="B4:D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A17:H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9:H29"/>
    <mergeCell ref="A42:H42"/>
    <mergeCell ref="A56:H56"/>
  </mergeCells>
  <conditionalFormatting sqref="B58:B81">
    <cfRule type="dataBar" priority="1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  <cfRule type="top10" dxfId="8" priority="2" rank="3"/>
    <cfRule type="top10" dxfId="1" priority="3" bottom="1" rank="3"/>
  </conditionalFormatting>
  <conditionalFormatting sqref="C58:C81">
    <cfRule type="iconSet" priority="4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B58:B81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F3A5F"/>
  </sheetPr>
  <dimension ref="A1:M40"/>
  <sheetViews>
    <sheetView showGridLines="0" workbookViewId="0"/>
  </sheetViews>
  <sheetFormatPr defaultRowHeight="15"/>
  <cols>
    <col min="1" max="13" width="14.7109375" customWidth="1"/>
  </cols>
  <sheetData>
    <row r="1" spans="1:13">
      <c r="A1" s="12" t="s">
        <v>268</v>
      </c>
    </row>
    <row r="2" spans="1:13">
      <c r="A2" s="2" t="s">
        <v>269</v>
      </c>
    </row>
    <row r="4" spans="1:13">
      <c r="A4" s="21" t="s">
        <v>270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ht="42" customHeight="1">
      <c r="A5" s="6" t="s">
        <v>0</v>
      </c>
      <c r="B5" s="6" t="s">
        <v>259</v>
      </c>
      <c r="C5" s="6" t="s">
        <v>260</v>
      </c>
      <c r="D5" s="6" t="s">
        <v>271</v>
      </c>
      <c r="E5" s="6" t="s">
        <v>272</v>
      </c>
      <c r="F5" s="6" t="s">
        <v>273</v>
      </c>
      <c r="G5" s="6" t="s">
        <v>274</v>
      </c>
      <c r="H5" s="6" t="s">
        <v>263</v>
      </c>
      <c r="I5" s="6" t="s">
        <v>275</v>
      </c>
      <c r="J5" s="6" t="s">
        <v>258</v>
      </c>
      <c r="K5" s="6" t="s">
        <v>276</v>
      </c>
      <c r="L5" s="6" t="s">
        <v>277</v>
      </c>
      <c r="M5" s="6" t="s">
        <v>278</v>
      </c>
    </row>
    <row r="6" spans="1:13">
      <c r="A6" s="31">
        <v>1</v>
      </c>
      <c r="B6" s="29">
        <f>INDEX(Clean_Data!$B$2:$B$1001,MATCH($A6,Clean_Data!$A$2:$A$1001,0))</f>
        <v>40544.0</v>
      </c>
      <c r="C6" s="9">
        <f>INDEX(Clean_Data!$F$2:$F$1001,MATCH($A6,Clean_Data!$A$2:$A$1001,0))</f>
        <v>0</v>
      </c>
      <c r="D6" s="9">
        <f>INDEX(Clean_Data!$H$2:$H$1001,MATCH($A6,Clean_Data!$A$2:$A$1001,0))</f>
        <v>6</v>
      </c>
      <c r="E6" s="9" t="str">
        <f>IF(OR(D6=0,D6=6),"Weekend","Weekday")</f>
        <v>Weekend</v>
      </c>
      <c r="F6" s="9">
        <f>INDEX(Clean_Data!$I$2:$I$1001,MATCH($A6,Clean_Data!$A$2:$A$1001,0))</f>
        <v>1</v>
      </c>
      <c r="G6" s="9" t="str">
        <f>VLOOKUP(F6,Lookups!$A$4:$B$7,2,FALSE)</f>
        <v>Clear</v>
      </c>
      <c r="H6" s="15">
        <f>INDEX(Clean_Data!$AD$2:$AD$1001,MATCH($A6,Clean_Data!$A$2:$A$1001,0))</f>
        <v>9.8</v>
      </c>
      <c r="I6" s="9" t="str">
        <f>IF(H6&lt;5,"Very cold",IF(H6&lt;10,"Cold",IF(H6&lt;15,"Cool","Mild")))</f>
        <v>Cold</v>
      </c>
      <c r="J6" s="9">
        <f>INDEX(Clean_Data!$P$2:$P$1001,MATCH($A6,Clean_Data!$A$2:$A$1001,0))</f>
        <v>16</v>
      </c>
      <c r="K6" s="9" t="str">
        <f>IF(J6&gt;=Lookups!$K$7,"High",IF(J6&lt;=Lookups!$K$8,"Low","Medium"))</f>
        <v>Low</v>
      </c>
      <c r="L6" s="9" t="str">
        <f>IF(OR(AND(C6&gt;=7,C6&lt;=9),AND(C6&gt;=16,C6&lt;=19)),"Peak","Off-peak")</f>
        <v>Off-peak</v>
      </c>
      <c r="M6" s="9" t="str">
        <f>VLOOKUP(C6,Lookups!$G$4:$H$8,2,TRUE)</f>
        <v>Night (00-05)</v>
      </c>
    </row>
    <row r="7" spans="1:13">
      <c r="A7" s="31">
        <v>8</v>
      </c>
      <c r="B7" s="29">
        <f>INDEX(Clean_Data!$B$2:$B$1001,MATCH($A7,Clean_Data!$A$2:$A$1001,0))</f>
        <v>40544.0</v>
      </c>
      <c r="C7" s="9">
        <f>INDEX(Clean_Data!$F$2:$F$1001,MATCH($A7,Clean_Data!$A$2:$A$1001,0))</f>
        <v>7</v>
      </c>
      <c r="D7" s="9">
        <f>INDEX(Clean_Data!$H$2:$H$1001,MATCH($A7,Clean_Data!$A$2:$A$1001,0))</f>
        <v>6</v>
      </c>
      <c r="E7" s="9" t="str">
        <f>IF(OR(D7=0,D7=6),"Weekend","Weekday")</f>
        <v>Weekend</v>
      </c>
      <c r="F7" s="9">
        <f>INDEX(Clean_Data!$I$2:$I$1001,MATCH($A7,Clean_Data!$A$2:$A$1001,0))</f>
        <v>1</v>
      </c>
      <c r="G7" s="9" t="str">
        <f>VLOOKUP(F7,Lookups!$A$4:$B$7,2,FALSE)</f>
        <v>Clear</v>
      </c>
      <c r="H7" s="15">
        <f>INDEX(Clean_Data!$AD$2:$AD$1001,MATCH($A7,Clean_Data!$A$2:$A$1001,0))</f>
        <v>8.2</v>
      </c>
      <c r="I7" s="9" t="str">
        <f>IF(H7&lt;5,"Very cold",IF(H7&lt;10,"Cold",IF(H7&lt;15,"Cool","Mild")))</f>
        <v>Cold</v>
      </c>
      <c r="J7" s="9">
        <f>INDEX(Clean_Data!$P$2:$P$1001,MATCH($A7,Clean_Data!$A$2:$A$1001,0))</f>
        <v>3</v>
      </c>
      <c r="K7" s="9" t="str">
        <f>IF(J7&gt;=Lookups!$K$7,"High",IF(J7&lt;=Lookups!$K$8,"Low","Medium"))</f>
        <v>Low</v>
      </c>
      <c r="L7" s="9" t="str">
        <f>IF(OR(AND(C7&gt;=7,C7&lt;=9),AND(C7&gt;=16,C7&lt;=19)),"Peak","Off-peak")</f>
        <v>Peak</v>
      </c>
      <c r="M7" s="9" t="str">
        <f>VLOOKUP(C7,Lookups!$G$4:$H$8,2,TRUE)</f>
        <v>Morning Peak (06-09)</v>
      </c>
    </row>
    <row r="8" spans="1:13">
      <c r="A8" s="31">
        <v>18</v>
      </c>
      <c r="B8" s="29">
        <f>INDEX(Clean_Data!$B$2:$B$1001,MATCH($A8,Clean_Data!$A$2:$A$1001,0))</f>
        <v>40544.0</v>
      </c>
      <c r="C8" s="9">
        <f>INDEX(Clean_Data!$F$2:$F$1001,MATCH($A8,Clean_Data!$A$2:$A$1001,0))</f>
        <v>17</v>
      </c>
      <c r="D8" s="9">
        <f>INDEX(Clean_Data!$H$2:$H$1001,MATCH($A8,Clean_Data!$A$2:$A$1001,0))</f>
        <v>6</v>
      </c>
      <c r="E8" s="9" t="str">
        <f>IF(OR(D8=0,D8=6),"Weekend","Weekday")</f>
        <v>Weekend</v>
      </c>
      <c r="F8" s="9">
        <f>INDEX(Clean_Data!$I$2:$I$1001,MATCH($A8,Clean_Data!$A$2:$A$1001,0))</f>
        <v>2</v>
      </c>
      <c r="G8" s="9" t="str">
        <f>VLOOKUP(F8,Lookups!$A$4:$B$7,2,FALSE)</f>
        <v>Mist/Cloudy</v>
      </c>
      <c r="H8" s="15">
        <f>INDEX(Clean_Data!$AD$2:$AD$1001,MATCH($A8,Clean_Data!$A$2:$A$1001,0))</f>
        <v>18</v>
      </c>
      <c r="I8" s="9" t="str">
        <f>IF(H8&lt;5,"Very cold",IF(H8&lt;10,"Cold",IF(H8&lt;15,"Cool","Mild")))</f>
        <v>Mild</v>
      </c>
      <c r="J8" s="9">
        <f>INDEX(Clean_Data!$P$2:$P$1001,MATCH($A8,Clean_Data!$A$2:$A$1001,0))</f>
        <v>67</v>
      </c>
      <c r="K8" s="9" t="str">
        <f>IF(J8&gt;=Lookups!$K$7,"High",IF(J8&lt;=Lookups!$K$8,"Low","Medium"))</f>
        <v>Medium</v>
      </c>
      <c r="L8" s="9" t="str">
        <f>IF(OR(AND(C8&gt;=7,C8&lt;=9),AND(C8&gt;=16,C8&lt;=19)),"Peak","Off-peak")</f>
        <v>Peak</v>
      </c>
      <c r="M8" s="9" t="str">
        <f>VLOOKUP(C8,Lookups!$G$4:$H$8,2,TRUE)</f>
        <v>Evening Peak (16-19)</v>
      </c>
    </row>
    <row r="9" spans="1:13">
      <c r="A9" s="31">
        <v>50</v>
      </c>
      <c r="B9" s="29">
        <f>INDEX(Clean_Data!$B$2:$B$1001,MATCH($A9,Clean_Data!$A$2:$A$1001,0))</f>
        <v>40546.0</v>
      </c>
      <c r="C9" s="9">
        <f>INDEX(Clean_Data!$F$2:$F$1001,MATCH($A9,Clean_Data!$A$2:$A$1001,0))</f>
        <v>4</v>
      </c>
      <c r="D9" s="9">
        <f>INDEX(Clean_Data!$H$2:$H$1001,MATCH($A9,Clean_Data!$A$2:$A$1001,0))</f>
        <v>1</v>
      </c>
      <c r="E9" s="9" t="str">
        <f>IF(OR(D9=0,D9=6),"Weekend","Weekday")</f>
        <v>Weekday</v>
      </c>
      <c r="F9" s="9">
        <f>INDEX(Clean_Data!$I$2:$I$1001,MATCH($A9,Clean_Data!$A$2:$A$1001,0))</f>
        <v>1</v>
      </c>
      <c r="G9" s="9" t="str">
        <f>VLOOKUP(F9,Lookups!$A$4:$B$7,2,FALSE)</f>
        <v>Clear</v>
      </c>
      <c r="H9" s="15">
        <f>INDEX(Clean_Data!$AD$2:$AD$1001,MATCH($A9,Clean_Data!$A$2:$A$1001,0))</f>
        <v>6.6</v>
      </c>
      <c r="I9" s="9" t="str">
        <f>IF(H9&lt;5,"Very cold",IF(H9&lt;10,"Cold",IF(H9&lt;15,"Cool","Mild")))</f>
        <v>Cold</v>
      </c>
      <c r="J9" s="9">
        <f>INDEX(Clean_Data!$P$2:$P$1001,MATCH($A9,Clean_Data!$A$2:$A$1001,0))</f>
        <v>1</v>
      </c>
      <c r="K9" s="9" t="str">
        <f>IF(J9&gt;=Lookups!$K$7,"High",IF(J9&lt;=Lookups!$K$8,"Low","Medium"))</f>
        <v>Low</v>
      </c>
      <c r="L9" s="9" t="str">
        <f>IF(OR(AND(C9&gt;=7,C9&lt;=9),AND(C9&gt;=16,C9&lt;=19)),"Peak","Off-peak")</f>
        <v>Off-peak</v>
      </c>
      <c r="M9" s="9" t="str">
        <f>VLOOKUP(C9,Lookups!$G$4:$H$8,2,TRUE)</f>
        <v>Night (00-05)</v>
      </c>
    </row>
    <row r="10" spans="1:13">
      <c r="A10" s="31">
        <v>120</v>
      </c>
      <c r="B10" s="29">
        <f>INDEX(Clean_Data!$B$2:$B$1001,MATCH($A10,Clean_Data!$A$2:$A$1001,0))</f>
        <v>40549.0</v>
      </c>
      <c r="C10" s="9">
        <f>INDEX(Clean_Data!$F$2:$F$1001,MATCH($A10,Clean_Data!$A$2:$A$1001,0))</f>
        <v>5</v>
      </c>
      <c r="D10" s="9">
        <f>INDEX(Clean_Data!$H$2:$H$1001,MATCH($A10,Clean_Data!$A$2:$A$1001,0))</f>
        <v>4</v>
      </c>
      <c r="E10" s="9" t="str">
        <f>IF(OR(D10=0,D10=6),"Weekend","Weekday")</f>
        <v>Weekday</v>
      </c>
      <c r="F10" s="9">
        <f>INDEX(Clean_Data!$I$2:$I$1001,MATCH($A10,Clean_Data!$A$2:$A$1001,0))</f>
        <v>2</v>
      </c>
      <c r="G10" s="9" t="str">
        <f>VLOOKUP(F10,Lookups!$A$4:$B$7,2,FALSE)</f>
        <v>Mist/Cloudy</v>
      </c>
      <c r="H10" s="15">
        <f>INDEX(Clean_Data!$AD$2:$AD$1001,MATCH($A10,Clean_Data!$A$2:$A$1001,0))</f>
        <v>5.7</v>
      </c>
      <c r="I10" s="9" t="str">
        <f>IF(H10&lt;5,"Very cold",IF(H10&lt;10,"Cold",IF(H10&lt;15,"Cool","Mild")))</f>
        <v>Cold</v>
      </c>
      <c r="J10" s="9">
        <f>INDEX(Clean_Data!$P$2:$P$1001,MATCH($A10,Clean_Data!$A$2:$A$1001,0))</f>
        <v>4</v>
      </c>
      <c r="K10" s="9" t="str">
        <f>IF(J10&gt;=Lookups!$K$7,"High",IF(J10&lt;=Lookups!$K$8,"Low","Medium"))</f>
        <v>Low</v>
      </c>
      <c r="L10" s="9" t="str">
        <f>IF(OR(AND(C10&gt;=7,C10&lt;=9),AND(C10&gt;=16,C10&lt;=19)),"Peak","Off-peak")</f>
        <v>Off-peak</v>
      </c>
      <c r="M10" s="9" t="str">
        <f>VLOOKUP(C10,Lookups!$G$4:$H$8,2,TRUE)</f>
        <v>Night (00-05)</v>
      </c>
    </row>
    <row r="11" spans="1:13">
      <c r="A11" s="31">
        <v>200</v>
      </c>
      <c r="B11" s="29">
        <f>INDEX(Clean_Data!$B$2:$B$1001,MATCH($A11,Clean_Data!$A$2:$A$1001,0))</f>
        <v>40552.0</v>
      </c>
      <c r="C11" s="9">
        <f>INDEX(Clean_Data!$F$2:$F$1001,MATCH($A11,Clean_Data!$A$2:$A$1001,0))</f>
        <v>14</v>
      </c>
      <c r="D11" s="9">
        <f>INDEX(Clean_Data!$H$2:$H$1001,MATCH($A11,Clean_Data!$A$2:$A$1001,0))</f>
        <v>0</v>
      </c>
      <c r="E11" s="9" t="str">
        <f>IF(OR(D11=0,D11=6),"Weekend","Weekday")</f>
        <v>Weekend</v>
      </c>
      <c r="F11" s="9">
        <f>INDEX(Clean_Data!$I$2:$I$1001,MATCH($A11,Clean_Data!$A$2:$A$1001,0))</f>
        <v>1</v>
      </c>
      <c r="G11" s="9" t="str">
        <f>VLOOKUP(F11,Lookups!$A$4:$B$7,2,FALSE)</f>
        <v>Clear</v>
      </c>
      <c r="H11" s="15">
        <f>INDEX(Clean_Data!$AD$2:$AD$1001,MATCH($A11,Clean_Data!$A$2:$A$1001,0))</f>
        <v>9</v>
      </c>
      <c r="I11" s="9" t="str">
        <f>IF(H11&lt;5,"Very cold",IF(H11&lt;10,"Cold",IF(H11&lt;15,"Cool","Mild")))</f>
        <v>Cold</v>
      </c>
      <c r="J11" s="9">
        <f>INDEX(Clean_Data!$P$2:$P$1001,MATCH($A11,Clean_Data!$A$2:$A$1001,0))</f>
        <v>72</v>
      </c>
      <c r="K11" s="9" t="str">
        <f>IF(J11&gt;=Lookups!$K$7,"High",IF(J11&lt;=Lookups!$K$8,"Low","Medium"))</f>
        <v>Medium</v>
      </c>
      <c r="L11" s="9" t="str">
        <f>IF(OR(AND(C11&gt;=7,C11&lt;=9),AND(C11&gt;=16,C11&lt;=19)),"Peak","Off-peak")</f>
        <v>Off-peak</v>
      </c>
      <c r="M11" s="9" t="str">
        <f>VLOOKUP(C11,Lookups!$G$4:$H$8,2,TRUE)</f>
        <v>Midday (10-15)</v>
      </c>
    </row>
    <row r="12" spans="1:13">
      <c r="A12" s="31">
        <v>305</v>
      </c>
      <c r="B12" s="29">
        <f>INDEX(Clean_Data!$B$2:$B$1001,MATCH($A12,Clean_Data!$A$2:$A$1001,0))</f>
        <v>40557.0</v>
      </c>
      <c r="C12" s="9">
        <f>INDEX(Clean_Data!$F$2:$F$1001,MATCH($A12,Clean_Data!$A$2:$A$1001,0))</f>
        <v>3</v>
      </c>
      <c r="D12" s="9">
        <f>INDEX(Clean_Data!$H$2:$H$1001,MATCH($A12,Clean_Data!$A$2:$A$1001,0))</f>
        <v>5</v>
      </c>
      <c r="E12" s="9" t="str">
        <f>IF(OR(D12=0,D12=6),"Weekend","Weekday")</f>
        <v>Weekday</v>
      </c>
      <c r="F12" s="9">
        <f>INDEX(Clean_Data!$I$2:$I$1001,MATCH($A12,Clean_Data!$A$2:$A$1001,0))</f>
        <v>1</v>
      </c>
      <c r="G12" s="9" t="str">
        <f>VLOOKUP(F12,Lookups!$A$4:$B$7,2,FALSE)</f>
        <v>Clear</v>
      </c>
      <c r="H12" s="15">
        <f>INDEX(Clean_Data!$AD$2:$AD$1001,MATCH($A12,Clean_Data!$A$2:$A$1001,0))</f>
        <v>4.1</v>
      </c>
      <c r="I12" s="9" t="str">
        <f>IF(H12&lt;5,"Very cold",IF(H12&lt;10,"Cold",IF(H12&lt;15,"Cool","Mild")))</f>
        <v>Very cold</v>
      </c>
      <c r="J12" s="9">
        <f>INDEX(Clean_Data!$P$2:$P$1001,MATCH($A12,Clean_Data!$A$2:$A$1001,0))</f>
        <v>1</v>
      </c>
      <c r="K12" s="9" t="str">
        <f>IF(J12&gt;=Lookups!$K$7,"High",IF(J12&lt;=Lookups!$K$8,"Low","Medium"))</f>
        <v>Low</v>
      </c>
      <c r="L12" s="9" t="str">
        <f>IF(OR(AND(C12&gt;=7,C12&lt;=9),AND(C12&gt;=16,C12&lt;=19)),"Peak","Off-peak")</f>
        <v>Off-peak</v>
      </c>
      <c r="M12" s="9" t="str">
        <f>VLOOKUP(C12,Lookups!$G$4:$H$8,2,TRUE)</f>
        <v>Night (00-05)</v>
      </c>
    </row>
    <row r="13" spans="1:13">
      <c r="A13" s="31">
        <v>400</v>
      </c>
      <c r="B13" s="29">
        <f>INDEX(Clean_Data!$B$2:$B$1001,MATCH($A13,Clean_Data!$A$2:$A$1001,0))</f>
        <v>40561.0</v>
      </c>
      <c r="C13" s="9">
        <f>INDEX(Clean_Data!$F$2:$F$1001,MATCH($A13,Clean_Data!$A$2:$A$1001,0))</f>
        <v>15</v>
      </c>
      <c r="D13" s="9">
        <f>INDEX(Clean_Data!$H$2:$H$1001,MATCH($A13,Clean_Data!$A$2:$A$1001,0))</f>
        <v>2</v>
      </c>
      <c r="E13" s="9" t="str">
        <f>IF(OR(D13=0,D13=6),"Weekend","Weekday")</f>
        <v>Weekday</v>
      </c>
      <c r="F13" s="9">
        <f>INDEX(Clean_Data!$I$2:$I$1001,MATCH($A13,Clean_Data!$A$2:$A$1001,0))</f>
        <v>2</v>
      </c>
      <c r="G13" s="9" t="str">
        <f>VLOOKUP(F13,Lookups!$A$4:$B$7,2,FALSE)</f>
        <v>Mist/Cloudy</v>
      </c>
      <c r="H13" s="15">
        <f>INDEX(Clean_Data!$AD$2:$AD$1001,MATCH($A13,Clean_Data!$A$2:$A$1001,0))</f>
        <v>9</v>
      </c>
      <c r="I13" s="9" t="str">
        <f>IF(H13&lt;5,"Very cold",IF(H13&lt;10,"Cold",IF(H13&lt;15,"Cool","Mild")))</f>
        <v>Cold</v>
      </c>
      <c r="J13" s="9">
        <f>INDEX(Clean_Data!$P$2:$P$1001,MATCH($A13,Clean_Data!$A$2:$A$1001,0))</f>
        <v>35</v>
      </c>
      <c r="K13" s="9" t="str">
        <f>IF(J13&gt;=Lookups!$K$7,"High",IF(J13&lt;=Lookups!$K$8,"Low","Medium"))</f>
        <v>Medium</v>
      </c>
      <c r="L13" s="9" t="str">
        <f>IF(OR(AND(C13&gt;=7,C13&lt;=9),AND(C13&gt;=16,C13&lt;=19)),"Peak","Off-peak")</f>
        <v>Off-peak</v>
      </c>
      <c r="M13" s="9" t="str">
        <f>VLOOKUP(C13,Lookups!$G$4:$H$8,2,TRUE)</f>
        <v>Midday (10-15)</v>
      </c>
    </row>
    <row r="14" spans="1:13">
      <c r="A14" s="31">
        <v>481</v>
      </c>
      <c r="B14" s="29">
        <f>INDEX(Clean_Data!$B$2:$B$1001,MATCH($A14,Clean_Data!$A$2:$A$1001,0))</f>
        <v>40565.0</v>
      </c>
      <c r="C14" s="9">
        <f>INDEX(Clean_Data!$F$2:$F$1001,MATCH($A14,Clean_Data!$A$2:$A$1001,0))</f>
        <v>1</v>
      </c>
      <c r="D14" s="9">
        <f>INDEX(Clean_Data!$H$2:$H$1001,MATCH($A14,Clean_Data!$A$2:$A$1001,0))</f>
        <v>6</v>
      </c>
      <c r="E14" s="9" t="str">
        <f>IF(OR(D14=0,D14=6),"Weekend","Weekday")</f>
        <v>Weekend</v>
      </c>
      <c r="F14" s="9">
        <f>INDEX(Clean_Data!$I$2:$I$1001,MATCH($A14,Clean_Data!$A$2:$A$1001,0))</f>
        <v>2</v>
      </c>
      <c r="G14" s="9" t="str">
        <f>VLOOKUP(F14,Lookups!$A$4:$B$7,2,FALSE)</f>
        <v>Mist/Cloudy</v>
      </c>
      <c r="H14" s="15">
        <f>INDEX(Clean_Data!$AD$2:$AD$1001,MATCH($A14,Clean_Data!$A$2:$A$1001,0))</f>
        <v>1.6</v>
      </c>
      <c r="I14" s="9" t="str">
        <f>IF(H14&lt;5,"Very cold",IF(H14&lt;10,"Cold",IF(H14&lt;15,"Cool","Mild")))</f>
        <v>Very cold</v>
      </c>
      <c r="J14" s="9">
        <f>INDEX(Clean_Data!$P$2:$P$1001,MATCH($A14,Clean_Data!$A$2:$A$1001,0))</f>
        <v>12</v>
      </c>
      <c r="K14" s="9" t="str">
        <f>IF(J14&gt;=Lookups!$K$7,"High",IF(J14&lt;=Lookups!$K$8,"Low","Medium"))</f>
        <v>Low</v>
      </c>
      <c r="L14" s="9" t="str">
        <f>IF(OR(AND(C14&gt;=7,C14&lt;=9),AND(C14&gt;=16,C14&lt;=19)),"Peak","Off-peak")</f>
        <v>Off-peak</v>
      </c>
      <c r="M14" s="9" t="str">
        <f>VLOOKUP(C14,Lookups!$G$4:$H$8,2,TRUE)</f>
        <v>Night (00-05)</v>
      </c>
    </row>
    <row r="15" spans="1:13">
      <c r="A15" s="31">
        <v>574</v>
      </c>
      <c r="B15" s="29">
        <f>INDEX(Clean_Data!$B$2:$B$1001,MATCH($A15,Clean_Data!$A$2:$A$1001,0))</f>
        <v>40569.0</v>
      </c>
      <c r="C15" s="9">
        <f>INDEX(Clean_Data!$F$2:$F$1001,MATCH($A15,Clean_Data!$A$2:$A$1001,0))</f>
        <v>2</v>
      </c>
      <c r="D15" s="9">
        <f>INDEX(Clean_Data!$H$2:$H$1001,MATCH($A15,Clean_Data!$A$2:$A$1001,0))</f>
        <v>3</v>
      </c>
      <c r="E15" s="9" t="str">
        <f>IF(OR(D15=0,D15=6),"Weekend","Weekday")</f>
        <v>Weekday</v>
      </c>
      <c r="F15" s="9">
        <f>INDEX(Clean_Data!$I$2:$I$1001,MATCH($A15,Clean_Data!$A$2:$A$1001,0))</f>
        <v>3</v>
      </c>
      <c r="G15" s="9" t="str">
        <f>VLOOKUP(F15,Lookups!$A$4:$B$7,2,FALSE)</f>
        <v>Light Rain/Snow</v>
      </c>
      <c r="H15" s="15">
        <f>INDEX(Clean_Data!$AD$2:$AD$1001,MATCH($A15,Clean_Data!$A$2:$A$1001,0))</f>
        <v>9</v>
      </c>
      <c r="I15" s="9" t="str">
        <f>IF(H15&lt;5,"Very cold",IF(H15&lt;10,"Cold",IF(H15&lt;15,"Cool","Mild")))</f>
        <v>Cold</v>
      </c>
      <c r="J15" s="9">
        <f>INDEX(Clean_Data!$P$2:$P$1001,MATCH($A15,Clean_Data!$A$2:$A$1001,0))</f>
        <v>10</v>
      </c>
      <c r="K15" s="9" t="str">
        <f>IF(J15&gt;=Lookups!$K$7,"High",IF(J15&lt;=Lookups!$K$8,"Low","Medium"))</f>
        <v>Low</v>
      </c>
      <c r="L15" s="9" t="str">
        <f>IF(OR(AND(C15&gt;=7,C15&lt;=9),AND(C15&gt;=16,C15&lt;=19)),"Peak","Off-peak")</f>
        <v>Off-peak</v>
      </c>
      <c r="M15" s="9" t="str">
        <f>VLOOKUP(C15,Lookups!$G$4:$H$8,2,TRUE)</f>
        <v>Night (00-05)</v>
      </c>
    </row>
    <row r="16" spans="1:13">
      <c r="A16" s="31">
        <v>586</v>
      </c>
      <c r="B16" s="29">
        <f>INDEX(Clean_Data!$B$2:$B$1001,MATCH($A16,Clean_Data!$A$2:$A$1001,0))</f>
        <v>40569.0</v>
      </c>
      <c r="C16" s="9">
        <f>INDEX(Clean_Data!$F$2:$F$1001,MATCH($A16,Clean_Data!$A$2:$A$1001,0))</f>
        <v>16</v>
      </c>
      <c r="D16" s="9">
        <f>INDEX(Clean_Data!$H$2:$H$1001,MATCH($A16,Clean_Data!$A$2:$A$1001,0))</f>
        <v>3</v>
      </c>
      <c r="E16" s="9" t="str">
        <f>IF(OR(D16=0,D16=6),"Weekend","Weekday")</f>
        <v>Weekday</v>
      </c>
      <c r="F16" s="9">
        <f>INDEX(Clean_Data!$I$2:$I$1001,MATCH($A16,Clean_Data!$A$2:$A$1001,0))</f>
        <v>4</v>
      </c>
      <c r="G16" s="9" t="str">
        <f>VLOOKUP(F16,Lookups!$A$4:$B$7,2,FALSE)</f>
        <v>Heavy Rain/Snow</v>
      </c>
      <c r="H16" s="15">
        <f>INDEX(Clean_Data!$AD$2:$AD$1001,MATCH($A16,Clean_Data!$A$2:$A$1001,0))</f>
        <v>9</v>
      </c>
      <c r="I16" s="9" t="str">
        <f>IF(H16&lt;5,"Very cold",IF(H16&lt;10,"Cold",IF(H16&lt;15,"Cool","Mild")))</f>
        <v>Cold</v>
      </c>
      <c r="J16" s="9">
        <f>INDEX(Clean_Data!$P$2:$P$1001,MATCH($A16,Clean_Data!$A$2:$A$1001,0))</f>
        <v>36</v>
      </c>
      <c r="K16" s="9" t="str">
        <f>IF(J16&gt;=Lookups!$K$7,"High",IF(J16&lt;=Lookups!$K$8,"Low","Medium"))</f>
        <v>Medium</v>
      </c>
      <c r="L16" s="9" t="str">
        <f>IF(OR(AND(C16&gt;=7,C16&lt;=9),AND(C16&gt;=16,C16&lt;=19)),"Peak","Off-peak")</f>
        <v>Peak</v>
      </c>
      <c r="M16" s="9" t="str">
        <f>VLOOKUP(C16,Lookups!$G$4:$H$8,2,TRUE)</f>
        <v>Evening Peak (16-19)</v>
      </c>
    </row>
    <row r="17" spans="1:13">
      <c r="A17" s="31">
        <v>620</v>
      </c>
      <c r="B17" s="29">
        <f>INDEX(Clean_Data!$B$2:$B$1001,MATCH($A17,Clean_Data!$A$2:$A$1001,0))</f>
        <v>40572.0</v>
      </c>
      <c r="C17" s="9">
        <f>INDEX(Clean_Data!$F$2:$F$1001,MATCH($A17,Clean_Data!$A$2:$A$1001,0))</f>
        <v>1</v>
      </c>
      <c r="D17" s="9">
        <f>INDEX(Clean_Data!$H$2:$H$1001,MATCH($A17,Clean_Data!$A$2:$A$1001,0))</f>
        <v>6</v>
      </c>
      <c r="E17" s="9" t="str">
        <f>IF(OR(D17=0,D17=6),"Weekend","Weekday")</f>
        <v>Weekend</v>
      </c>
      <c r="F17" s="9">
        <f>INDEX(Clean_Data!$I$2:$I$1001,MATCH($A17,Clean_Data!$A$2:$A$1001,0))</f>
        <v>1</v>
      </c>
      <c r="G17" s="9" t="str">
        <f>VLOOKUP(F17,Lookups!$A$4:$B$7,2,FALSE)</f>
        <v>Clear</v>
      </c>
      <c r="H17" s="15">
        <f>INDEX(Clean_Data!$AD$2:$AD$1001,MATCH($A17,Clean_Data!$A$2:$A$1001,0))</f>
        <v>9</v>
      </c>
      <c r="I17" s="9" t="str">
        <f>IF(H17&lt;5,"Very cold",IF(H17&lt;10,"Cold",IF(H17&lt;15,"Cool","Mild")))</f>
        <v>Cold</v>
      </c>
      <c r="J17" s="9">
        <f>INDEX(Clean_Data!$P$2:$P$1001,MATCH($A17,Clean_Data!$A$2:$A$1001,0))</f>
        <v>20</v>
      </c>
      <c r="K17" s="9" t="str">
        <f>IF(J17&gt;=Lookups!$K$7,"High",IF(J17&lt;=Lookups!$K$8,"Low","Medium"))</f>
        <v>Medium</v>
      </c>
      <c r="L17" s="9" t="str">
        <f>IF(OR(AND(C17&gt;=7,C17&lt;=9),AND(C17&gt;=16,C17&lt;=19)),"Peak","Off-peak")</f>
        <v>Off-peak</v>
      </c>
      <c r="M17" s="9" t="str">
        <f>VLOOKUP(C17,Lookups!$G$4:$H$8,2,TRUE)</f>
        <v>Night (00-05)</v>
      </c>
    </row>
    <row r="18" spans="1:13">
      <c r="A18" s="31">
        <v>700</v>
      </c>
      <c r="B18" s="29">
        <f>INDEX(Clean_Data!$B$2:$B$1001,MATCH($A18,Clean_Data!$A$2:$A$1001,0))</f>
        <v>40575.0</v>
      </c>
      <c r="C18" s="9">
        <f>INDEX(Clean_Data!$F$2:$F$1001,MATCH($A18,Clean_Data!$A$2:$A$1001,0))</f>
        <v>12</v>
      </c>
      <c r="D18" s="9">
        <f>INDEX(Clean_Data!$H$2:$H$1001,MATCH($A18,Clean_Data!$A$2:$A$1001,0))</f>
        <v>2</v>
      </c>
      <c r="E18" s="9" t="str">
        <f>IF(OR(D18=0,D18=6),"Weekend","Weekday")</f>
        <v>Weekday</v>
      </c>
      <c r="F18" s="9">
        <f>INDEX(Clean_Data!$I$2:$I$1001,MATCH($A18,Clean_Data!$A$2:$A$1001,0))</f>
        <v>2</v>
      </c>
      <c r="G18" s="9" t="str">
        <f>VLOOKUP(F18,Lookups!$A$4:$B$7,2,FALSE)</f>
        <v>Mist/Cloudy</v>
      </c>
      <c r="H18" s="15">
        <f>INDEX(Clean_Data!$AD$2:$AD$1001,MATCH($A18,Clean_Data!$A$2:$A$1001,0))</f>
        <v>8.2</v>
      </c>
      <c r="I18" s="9" t="str">
        <f>IF(H18&lt;5,"Very cold",IF(H18&lt;10,"Cold",IF(H18&lt;15,"Cool","Mild")))</f>
        <v>Cold</v>
      </c>
      <c r="J18" s="9">
        <f>INDEX(Clean_Data!$P$2:$P$1001,MATCH($A18,Clean_Data!$A$2:$A$1001,0))</f>
        <v>55</v>
      </c>
      <c r="K18" s="9" t="str">
        <f>IF(J18&gt;=Lookups!$K$7,"High",IF(J18&lt;=Lookups!$K$8,"Low","Medium"))</f>
        <v>Medium</v>
      </c>
      <c r="L18" s="9" t="str">
        <f>IF(OR(AND(C18&gt;=7,C18&lt;=9),AND(C18&gt;=16,C18&lt;=19)),"Peak","Off-peak")</f>
        <v>Off-peak</v>
      </c>
      <c r="M18" s="9" t="str">
        <f>VLOOKUP(C18,Lookups!$G$4:$H$8,2,TRUE)</f>
        <v>Midday (10-15)</v>
      </c>
    </row>
    <row r="19" spans="1:13">
      <c r="A19" s="31">
        <v>850</v>
      </c>
      <c r="B19" s="29">
        <f>INDEX(Clean_Data!$B$2:$B$1001,MATCH($A19,Clean_Data!$A$2:$A$1001,0))</f>
        <v>40581.0</v>
      </c>
      <c r="C19" s="9">
        <f>INDEX(Clean_Data!$F$2:$F$1001,MATCH($A19,Clean_Data!$A$2:$A$1001,0))</f>
        <v>20</v>
      </c>
      <c r="D19" s="9">
        <f>INDEX(Clean_Data!$H$2:$H$1001,MATCH($A19,Clean_Data!$A$2:$A$1001,0))</f>
        <v>1</v>
      </c>
      <c r="E19" s="9" t="str">
        <f>IF(OR(D19=0,D19=6),"Weekend","Weekday")</f>
        <v>Weekday</v>
      </c>
      <c r="F19" s="9">
        <f>INDEX(Clean_Data!$I$2:$I$1001,MATCH($A19,Clean_Data!$A$2:$A$1001,0))</f>
        <v>2</v>
      </c>
      <c r="G19" s="9" t="str">
        <f>VLOOKUP(F19,Lookups!$A$4:$B$7,2,FALSE)</f>
        <v>Mist/Cloudy</v>
      </c>
      <c r="H19" s="15">
        <f>INDEX(Clean_Data!$AD$2:$AD$1001,MATCH($A19,Clean_Data!$A$2:$A$1001,0))</f>
        <v>13.1</v>
      </c>
      <c r="I19" s="9" t="str">
        <f>IF(H19&lt;5,"Very cold",IF(H19&lt;10,"Cold",IF(H19&lt;15,"Cool","Mild")))</f>
        <v>Cool</v>
      </c>
      <c r="J19" s="9">
        <f>INDEX(Clean_Data!$P$2:$P$1001,MATCH($A19,Clean_Data!$A$2:$A$1001,0))</f>
        <v>88</v>
      </c>
      <c r="K19" s="9" t="str">
        <f>IF(J19&gt;=Lookups!$K$7,"High",IF(J19&lt;=Lookups!$K$8,"Low","Medium"))</f>
        <v>High</v>
      </c>
      <c r="L19" s="9" t="str">
        <f>IF(OR(AND(C19&gt;=7,C19&lt;=9),AND(C19&gt;=16,C19&lt;=19)),"Peak","Off-peak")</f>
        <v>Off-peak</v>
      </c>
      <c r="M19" s="9" t="str">
        <f>VLOOKUP(C19,Lookups!$G$4:$H$8,2,TRUE)</f>
        <v>Late Evening (20-23)</v>
      </c>
    </row>
    <row r="20" spans="1:13">
      <c r="A20" s="31">
        <v>1000</v>
      </c>
      <c r="B20" s="29">
        <f>INDEX(Clean_Data!$B$2:$B$1001,MATCH($A20,Clean_Data!$A$2:$A$1001,0))</f>
        <v>40588.0</v>
      </c>
      <c r="C20" s="9">
        <f>INDEX(Clean_Data!$F$2:$F$1001,MATCH($A20,Clean_Data!$A$2:$A$1001,0))</f>
        <v>7</v>
      </c>
      <c r="D20" s="9">
        <f>INDEX(Clean_Data!$H$2:$H$1001,MATCH($A20,Clean_Data!$A$2:$A$1001,0))</f>
        <v>1</v>
      </c>
      <c r="E20" s="9" t="str">
        <f>IF(OR(D20=0,D20=6),"Weekend","Weekday")</f>
        <v>Weekday</v>
      </c>
      <c r="F20" s="9">
        <f>INDEX(Clean_Data!$I$2:$I$1001,MATCH($A20,Clean_Data!$A$2:$A$1001,0))</f>
        <v>1</v>
      </c>
      <c r="G20" s="9" t="str">
        <f>VLOOKUP(F20,Lookups!$A$4:$B$7,2,FALSE)</f>
        <v>Clear</v>
      </c>
      <c r="H20" s="15">
        <f>INDEX(Clean_Data!$AD$2:$AD$1001,MATCH($A20,Clean_Data!$A$2:$A$1001,0))</f>
        <v>13.9</v>
      </c>
      <c r="I20" s="9" t="str">
        <f>IF(H20&lt;5,"Very cold",IF(H20&lt;10,"Cold",IF(H20&lt;15,"Cool","Mild")))</f>
        <v>Cool</v>
      </c>
      <c r="J20" s="9">
        <f>INDEX(Clean_Data!$P$2:$P$1001,MATCH($A20,Clean_Data!$A$2:$A$1001,0))</f>
        <v>98</v>
      </c>
      <c r="K20" s="9" t="str">
        <f>IF(J20&gt;=Lookups!$K$7,"High",IF(J20&lt;=Lookups!$K$8,"Low","Medium"))</f>
        <v>High</v>
      </c>
      <c r="L20" s="9" t="str">
        <f>IF(OR(AND(C20&gt;=7,C20&lt;=9),AND(C20&gt;=16,C20&lt;=19)),"Peak","Off-peak")</f>
        <v>Peak</v>
      </c>
      <c r="M20" s="9" t="str">
        <f>VLOOKUP(C20,Lookups!$G$4:$H$8,2,TRUE)</f>
        <v>Morning Peak (06-09)</v>
      </c>
    </row>
    <row r="22" spans="1:13">
      <c r="A22" s="21" t="s">
        <v>279</v>
      </c>
      <c r="B22" s="21"/>
      <c r="D22" s="21" t="s">
        <v>282</v>
      </c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32" t="s">
        <v>280</v>
      </c>
      <c r="B23" s="31">
        <v>500</v>
      </c>
      <c r="D23" s="32" t="s">
        <v>283</v>
      </c>
      <c r="E23" s="31" t="s">
        <v>42</v>
      </c>
      <c r="F23" s="32" t="s">
        <v>260</v>
      </c>
      <c r="G23" s="31">
        <v>17</v>
      </c>
    </row>
    <row r="24" spans="1:13">
      <c r="A24" s="6" t="s">
        <v>281</v>
      </c>
      <c r="B24" s="6" t="s">
        <v>45</v>
      </c>
      <c r="D24" s="32" t="s">
        <v>284</v>
      </c>
      <c r="E24" s="28">
        <f>INDEX(T4_Pivots!$B$157:$H$180,MATCH($G$23,T4_Pivots!$A$157:$A$180,0),MATCH($E$23,T4_Pivots!$B$156:$H$156,0))</f>
        <v>178.666666666667</v>
      </c>
    </row>
    <row r="25" spans="1:13">
      <c r="A25" s="27" t="s">
        <v>1</v>
      </c>
      <c r="B25" s="29">
        <f>INDEX(Clean_Data!$A$2:$AR$1001,MATCH($B$23,Clean_Data!$A$2:$A$1001,0),MATCH($A25,Clean_Data!$A$1:$AR$1,0))</f>
        <v>40565.0</v>
      </c>
    </row>
    <row r="26" spans="1:13">
      <c r="A26" s="27" t="s">
        <v>5</v>
      </c>
      <c r="B26" s="9">
        <f>INDEX(Clean_Data!$A$2:$AR$1001,MATCH($B$23,Clean_Data!$A$2:$A$1001,0),MATCH($A26,Clean_Data!$A$1:$AR$1,0))</f>
        <v>21</v>
      </c>
      <c r="D26" s="32" t="s">
        <v>285</v>
      </c>
    </row>
    <row r="27" spans="1:13">
      <c r="A27" s="27" t="s">
        <v>8</v>
      </c>
      <c r="B27" s="9">
        <f>INDEX(Clean_Data!$A$2:$AR$1001,MATCH($B$23,Clean_Data!$A$2:$A$1001,0),MATCH($A27,Clean_Data!$A$1:$AR$1,0))</f>
        <v>1</v>
      </c>
      <c r="D27" s="9" t="str">
        <f>VLOOKUP($G$23,Lookups!$G$4:$H$8,2,TRUE)</f>
        <v>Evening Peak (16-19)</v>
      </c>
    </row>
    <row r="28" spans="1:13">
      <c r="A28" s="27" t="s">
        <v>19</v>
      </c>
      <c r="B28" s="9" t="str">
        <f>INDEX(Clean_Data!$A$2:$AR$1001,MATCH($B$23,Clean_Data!$A$2:$A$1001,0),MATCH($A28,Clean_Data!$A$1:$AR$1,0))</f>
        <v>Clear</v>
      </c>
    </row>
    <row r="29" spans="1:13">
      <c r="A29" s="27" t="s">
        <v>67</v>
      </c>
      <c r="B29" s="9">
        <f>INDEX(Clean_Data!$A$2:$AR$1001,MATCH($B$23,Clean_Data!$A$2:$A$1001,0),MATCH($A29,Clean_Data!$A$1:$AR$1,0))</f>
        <v>2.5</v>
      </c>
      <c r="D29" s="32" t="s">
        <v>286</v>
      </c>
    </row>
    <row r="30" spans="1:13">
      <c r="A30" s="27" t="s">
        <v>68</v>
      </c>
      <c r="B30" s="9">
        <f>INDEX(Clean_Data!$A$2:$AR$1001,MATCH($B$23,Clean_Data!$A$2:$A$1001,0),MATCH($A30,Clean_Data!$A$1:$AR$1,0))</f>
        <v>5.3</v>
      </c>
      <c r="D30" s="5" t="s">
        <v>287</v>
      </c>
      <c r="E30" s="30">
        <f>INDEX(T4_Pivots!$D$9:$D$32,MATCH($G$23,T4_Pivots!$A$9:$A$32,0))</f>
        <v>6169</v>
      </c>
    </row>
    <row r="31" spans="1:13">
      <c r="A31" s="27" t="s">
        <v>69</v>
      </c>
      <c r="B31" s="9">
        <f>INDEX(Clean_Data!$A$2:$AR$1001,MATCH($B$23,Clean_Data!$A$2:$A$1001,0),MATCH($A31,Clean_Data!$A$1:$AR$1,0))</f>
        <v>41</v>
      </c>
    </row>
    <row r="32" spans="1:13">
      <c r="A32" s="27" t="s">
        <v>70</v>
      </c>
      <c r="B32" s="9">
        <f>INDEX(Clean_Data!$A$2:$AR$1001,MATCH($B$23,Clean_Data!$A$2:$A$1001,0),MATCH($A32,Clean_Data!$A$1:$AR$1,0))</f>
        <v>6</v>
      </c>
    </row>
    <row r="33" spans="1:2">
      <c r="A33" s="27" t="s">
        <v>14</v>
      </c>
      <c r="B33" s="9">
        <f>INDEX(Clean_Data!$A$2:$AR$1001,MATCH($B$23,Clean_Data!$A$2:$A$1001,0),MATCH($A33,Clean_Data!$A$1:$AR$1,0))</f>
        <v>0</v>
      </c>
    </row>
    <row r="34" spans="1:2">
      <c r="A34" s="27" t="s">
        <v>15</v>
      </c>
      <c r="B34" s="9">
        <f>INDEX(Clean_Data!$A$2:$AR$1001,MATCH($B$23,Clean_Data!$A$2:$A$1001,0),MATCH($A34,Clean_Data!$A$1:$AR$1,0))</f>
        <v>39</v>
      </c>
    </row>
    <row r="35" spans="1:2">
      <c r="A35" s="27" t="s">
        <v>16</v>
      </c>
      <c r="B35" s="9">
        <f>INDEX(Clean_Data!$A$2:$AR$1001,MATCH($B$23,Clean_Data!$A$2:$A$1001,0),MATCH($A35,Clean_Data!$A$1:$AR$1,0))</f>
        <v>39</v>
      </c>
    </row>
    <row r="36" spans="1:2">
      <c r="A36" s="27" t="s">
        <v>58</v>
      </c>
      <c r="B36" s="9" t="str">
        <f>INDEX(Clean_Data!$A$2:$AR$1001,MATCH($B$23,Clean_Data!$A$2:$A$1001,0),MATCH($A36,Clean_Data!$A$1:$AR$1,0))</f>
        <v>D1+D2</v>
      </c>
    </row>
    <row r="37" spans="1:2">
      <c r="A37" s="27" t="s">
        <v>59</v>
      </c>
      <c r="B37" s="9" t="str">
        <f>INDEX(Clean_Data!$A$2:$AR$1001,MATCH($B$23,Clean_Data!$A$2:$A$1001,0),MATCH($A37,Clean_Data!$A$1:$AR$1,0))</f>
        <v>Original</v>
      </c>
    </row>
    <row r="38" spans="1:2">
      <c r="A38" s="27" t="s">
        <v>63</v>
      </c>
      <c r="B38" s="9" t="str">
        <f>INDEX(Clean_Data!$A$2:$AR$1001,MATCH($B$23,Clean_Data!$A$2:$A$1001,0),MATCH($A38,Clean_Data!$A$1:$AR$1,0))</f>
        <v>Weekend</v>
      </c>
    </row>
    <row r="39" spans="1:2">
      <c r="A39" s="27" t="s">
        <v>72</v>
      </c>
      <c r="B39" s="9" t="str">
        <f>INDEX(Clean_Data!$A$2:$AR$1001,MATCH($B$23,Clean_Data!$A$2:$A$1001,0),MATCH($A39,Clean_Data!$A$1:$AR$1,0))</f>
        <v>Medium</v>
      </c>
    </row>
    <row r="40" spans="1:2">
      <c r="A40" s="27" t="s">
        <v>77</v>
      </c>
      <c r="B40" s="9" t="str">
        <f>INDEX(Clean_Data!$A$2:$AR$1001,MATCH($B$23,Clean_Data!$A$2:$A$1001,0),MATCH($A40,Clean_Data!$A$1:$AR$1,0))</f>
        <v>Normal</v>
      </c>
    </row>
  </sheetData>
  <mergeCells count="3">
    <mergeCell ref="A4:M4"/>
    <mergeCell ref="A22:B22"/>
    <mergeCell ref="D22:M22"/>
  </mergeCells>
  <conditionalFormatting sqref="K6:K20">
    <cfRule type="cellIs" dxfId="8" priority="1" operator="equal">
      <formula>"High"</formula>
    </cfRule>
    <cfRule type="cellIs" dxfId="6" priority="2" operator="equal">
      <formula>"Low"</formula>
    </cfRule>
  </conditionalFormatting>
  <dataValidations count="2">
    <dataValidation type="list" allowBlank="1" showInputMessage="1" showErrorMessage="1" sqref="E23">
      <formula1>"Sun,Mon,Tue,Wed,Thu,Fri,Sat"</formula1>
    </dataValidation>
    <dataValidation type="whole" allowBlank="1" showInputMessage="1" showErrorMessage="1" sqref="G23">
      <formula1>0</formula1>
      <formula2>23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A5F"/>
  </sheetPr>
  <dimension ref="A1:I18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17.7109375" customWidth="1"/>
    <col min="2" max="2" width="22.7109375" customWidth="1"/>
    <col min="3" max="9" width="12.7109375" customWidth="1"/>
    <col min="10" max="10" width="3.7109375" customWidth="1"/>
  </cols>
  <sheetData>
    <row r="1" spans="1:9" x14ac:dyDescent="0.25">
      <c r="A1" s="12" t="s">
        <v>288</v>
      </c>
    </row>
    <row r="2" spans="1:9" x14ac:dyDescent="0.25">
      <c r="A2" s="2" t="s">
        <v>289</v>
      </c>
    </row>
    <row r="3" spans="1:9" x14ac:dyDescent="0.25">
      <c r="A3" s="6" t="s">
        <v>290</v>
      </c>
      <c r="B3" s="6"/>
      <c r="C3" s="6" t="s">
        <v>291</v>
      </c>
      <c r="D3" s="6" t="s">
        <v>266</v>
      </c>
      <c r="E3" s="6" t="s">
        <v>292</v>
      </c>
      <c r="F3" s="6" t="s">
        <v>293</v>
      </c>
      <c r="G3" s="6" t="s">
        <v>294</v>
      </c>
      <c r="H3" s="6" t="s">
        <v>295</v>
      </c>
      <c r="I3" s="6" t="s">
        <v>296</v>
      </c>
    </row>
    <row r="4" spans="1:9" x14ac:dyDescent="0.25">
      <c r="A4" s="27" t="s">
        <v>297</v>
      </c>
      <c r="B4" s="9"/>
      <c r="C4" s="30">
        <f>COUNTIFS(Clean_Data!$V$2:$V$1001,1)</f>
        <v>1000</v>
      </c>
      <c r="D4" s="30">
        <f>SUMIFS(Clean_Data!$P$2:$P$1001,Clean_Data!$V$2:$V$1001,1)</f>
        <v>58304</v>
      </c>
      <c r="E4" s="15">
        <f>IFERROR(D4/C4,0)</f>
        <v>58.304</v>
      </c>
      <c r="F4" s="15">
        <f>IFERROR(SUMIFS(Clean_Data!$N$2:$N$1001,Clean_Data!$V$2:$V$1001,1)/C4,0)</f>
        <v>4.921</v>
      </c>
      <c r="G4" s="15">
        <f>IFERROR(SUMIFS(Clean_Data!$O$2:$O$1001,Clean_Data!$V$2:$V$1001,1)/C4,0)</f>
        <v>53.383</v>
      </c>
      <c r="H4" s="33">
        <f>IFERROR(SUMIFS(Clean_Data!$O$2:$O$1001,Clean_Data!$V$2:$V$1001,1)/D4,0)</f>
        <v>0.915597557628979</v>
      </c>
      <c r="I4" s="24">
        <v>100</v>
      </c>
    </row>
    <row r="7" spans="1:9" x14ac:dyDescent="0.25">
      <c r="A7" s="21" t="s">
        <v>298</v>
      </c>
      <c r="B7" s="21"/>
      <c r="C7" s="21"/>
      <c r="D7" s="21"/>
      <c r="E7" s="21"/>
      <c r="F7" s="21"/>
      <c r="G7" s="21"/>
      <c r="H7" s="21"/>
      <c r="I7" s="21"/>
    </row>
    <row r="8" spans="1:9" x14ac:dyDescent="0.25">
      <c r="A8" s="6" t="s">
        <v>299</v>
      </c>
      <c r="B8" s="6" t="s">
        <v>300</v>
      </c>
      <c r="C8" s="6" t="s">
        <v>291</v>
      </c>
      <c r="D8" s="6" t="s">
        <v>266</v>
      </c>
      <c r="E8" s="6" t="s">
        <v>292</v>
      </c>
      <c r="F8" s="6" t="s">
        <v>293</v>
      </c>
      <c r="G8" s="6" t="s">
        <v>294</v>
      </c>
      <c r="H8" s="6" t="s">
        <v>295</v>
      </c>
      <c r="I8" s="6" t="s">
        <v>301</v>
      </c>
    </row>
    <row r="9" spans="1:9" x14ac:dyDescent="0.25">
      <c r="A9" s="9">
        <v>0</v>
      </c>
      <c r="B9" s="9" t="str">
        <f>TEXT(A9,"00")&amp;":00"</f>
        <v>00:00</v>
      </c>
      <c r="C9" s="30">
        <f>COUNTIFS(Clean_Data!$F$2:$F$1001,$A9,Clean_Data!$V$2:$V$1001,1)</f>
        <v>43</v>
      </c>
      <c r="D9" s="30">
        <f>SUMIFS(Clean_Data!$P$2:$P$1001,Clean_Data!$F$2:$F$1001,$A9,Clean_Data!$V$2:$V$1001,1)</f>
        <v>703</v>
      </c>
      <c r="E9" s="15">
        <f>IFERROR(D9/C9,0)</f>
        <v>16.3488372093023</v>
      </c>
      <c r="F9" s="15">
        <f>IFERROR(SUMIFS(Clean_Data!$N$2:$N$1001,Clean_Data!$F$2:$F$1001,$A9,Clean_Data!$V$2:$V$1001,1)/C9,0)</f>
        <v>1.72093023255814</v>
      </c>
      <c r="G9" s="15">
        <f>IFERROR(SUMIFS(Clean_Data!$O$2:$O$1001,Clean_Data!$F$2:$F$1001,$A9,Clean_Data!$V$2:$V$1001,1)/C9,0)</f>
        <v>14.6279069767442</v>
      </c>
      <c r="H9" s="33">
        <f>IFERROR(SUMIFS(Clean_Data!$O$2:$O$1001,Clean_Data!$F$2:$F$1001,$A9,Clean_Data!$V$2:$V$1001,1)/D9,0)</f>
        <v>0.894736842105263</v>
      </c>
      <c r="I9" s="24">
        <f>IFERROR(E9/$E$4*100,0)</f>
        <v>28.0406785285784</v>
      </c>
    </row>
    <row r="10" spans="1:9" x14ac:dyDescent="0.25">
      <c r="A10" s="9">
        <v>1</v>
      </c>
      <c r="B10" s="9" t="str">
        <f>TEXT(A10,"00")&amp;":00"</f>
        <v>01:00</v>
      </c>
      <c r="C10" s="30">
        <f>COUNTIFS(Clean_Data!$F$2:$F$1001,$A10,Clean_Data!$V$2:$V$1001,1)</f>
        <v>43</v>
      </c>
      <c r="D10" s="30">
        <f>SUMIFS(Clean_Data!$P$2:$P$1001,Clean_Data!$F$2:$F$1001,$A10,Clean_Data!$V$2:$V$1001,1)</f>
        <v>460</v>
      </c>
      <c r="E10" s="15">
        <f>IFERROR(D10/C10,0)</f>
        <v>10.6976744186047</v>
      </c>
      <c r="F10" s="15">
        <f>IFERROR(SUMIFS(Clean_Data!$N$2:$N$1001,Clean_Data!$F$2:$F$1001,$A10,Clean_Data!$V$2:$V$1001,1)/C10,0)</f>
        <v>1.11627906976744</v>
      </c>
      <c r="G10" s="15">
        <f>IFERROR(SUMIFS(Clean_Data!$O$2:$O$1001,Clean_Data!$F$2:$F$1001,$A10,Clean_Data!$V$2:$V$1001,1)/C10,0)</f>
        <v>9.58139534883721</v>
      </c>
      <c r="H10" s="33">
        <f>IFERROR(SUMIFS(Clean_Data!$O$2:$O$1001,Clean_Data!$F$2:$F$1001,$A10,Clean_Data!$V$2:$V$1001,1)/D10,0)</f>
        <v>0.895652173913044</v>
      </c>
      <c r="I10" s="24">
        <f>IFERROR(E10/$E$4*100,0)</f>
        <v>18.3480969034794</v>
      </c>
    </row>
    <row r="11" spans="1:9" x14ac:dyDescent="0.25">
      <c r="A11" s="9">
        <v>2</v>
      </c>
      <c r="B11" s="9" t="str">
        <f>TEXT(A11,"00")&amp;":00"</f>
        <v>02:00</v>
      </c>
      <c r="C11" s="30">
        <f>COUNTIFS(Clean_Data!$F$2:$F$1001,$A11,Clean_Data!$V$2:$V$1001,1)</f>
        <v>41</v>
      </c>
      <c r="D11" s="30">
        <f>SUMIFS(Clean_Data!$P$2:$P$1001,Clean_Data!$F$2:$F$1001,$A11,Clean_Data!$V$2:$V$1001,1)</f>
        <v>294</v>
      </c>
      <c r="E11" s="15">
        <f>IFERROR(D11/C11,0)</f>
        <v>7.17073170731707</v>
      </c>
      <c r="F11" s="15">
        <f>IFERROR(SUMIFS(Clean_Data!$N$2:$N$1001,Clean_Data!$F$2:$F$1001,$A11,Clean_Data!$V$2:$V$1001,1)/C11,0)</f>
        <v>0.804878048780488</v>
      </c>
      <c r="G11" s="15">
        <f>IFERROR(SUMIFS(Clean_Data!$O$2:$O$1001,Clean_Data!$F$2:$F$1001,$A11,Clean_Data!$V$2:$V$1001,1)/C11,0)</f>
        <v>6.36585365853659</v>
      </c>
      <c r="H11" s="33">
        <f>IFERROR(SUMIFS(Clean_Data!$O$2:$O$1001,Clean_Data!$F$2:$F$1001,$A11,Clean_Data!$V$2:$V$1001,1)/D11,0)</f>
        <v>0.887755102040816</v>
      </c>
      <c r="I11" s="24">
        <f>IFERROR(E11/$E$4*100,0)</f>
        <v>12.2988675002008</v>
      </c>
    </row>
    <row r="12" spans="1:9" x14ac:dyDescent="0.25">
      <c r="A12" s="9">
        <v>3</v>
      </c>
      <c r="B12" s="9" t="str">
        <f>TEXT(A12,"00")&amp;":00"</f>
        <v>03:00</v>
      </c>
      <c r="C12" s="30">
        <f>COUNTIFS(Clean_Data!$F$2:$F$1001,$A12,Clean_Data!$V$2:$V$1001,1)</f>
        <v>31</v>
      </c>
      <c r="D12" s="30">
        <f>SUMIFS(Clean_Data!$P$2:$P$1001,Clean_Data!$F$2:$F$1001,$A12,Clean_Data!$V$2:$V$1001,1)</f>
        <v>151</v>
      </c>
      <c r="E12" s="15">
        <f>IFERROR(D12/C12,0)</f>
        <v>4.87096774193548</v>
      </c>
      <c r="F12" s="15">
        <f>IFERROR(SUMIFS(Clean_Data!$N$2:$N$1001,Clean_Data!$F$2:$F$1001,$A12,Clean_Data!$V$2:$V$1001,1)/C12,0)</f>
        <v>1.09677419354839</v>
      </c>
      <c r="G12" s="15">
        <f>IFERROR(SUMIFS(Clean_Data!$O$2:$O$1001,Clean_Data!$F$2:$F$1001,$A12,Clean_Data!$V$2:$V$1001,1)/C12,0)</f>
        <v>3.7741935483871</v>
      </c>
      <c r="H12" s="33">
        <f>IFERROR(SUMIFS(Clean_Data!$O$2:$O$1001,Clean_Data!$F$2:$F$1001,$A12,Clean_Data!$V$2:$V$1001,1)/D12,0)</f>
        <v>0.774834437086093</v>
      </c>
      <c r="I12" s="24">
        <f>IFERROR(E12/$E$4*100,0)</f>
        <v>8.35443150030098</v>
      </c>
    </row>
    <row r="13" spans="1:9" x14ac:dyDescent="0.25">
      <c r="A13" s="9">
        <v>4</v>
      </c>
      <c r="B13" s="9" t="str">
        <f>TEXT(A13,"00")&amp;":00"</f>
        <v>04:00</v>
      </c>
      <c r="C13" s="30">
        <f>COUNTIFS(Clean_Data!$F$2:$F$1001,$A13,Clean_Data!$V$2:$V$1001,1)</f>
        <v>32</v>
      </c>
      <c r="D13" s="30">
        <f>SUMIFS(Clean_Data!$P$2:$P$1001,Clean_Data!$F$2:$F$1001,$A13,Clean_Data!$V$2:$V$1001,1)</f>
        <v>69</v>
      </c>
      <c r="E13" s="15">
        <f>IFERROR(D13/C13,0)</f>
        <v>2.15625</v>
      </c>
      <c r="F13" s="15">
        <f>IFERROR(SUMIFS(Clean_Data!$N$2:$N$1001,Clean_Data!$F$2:$F$1001,$A13,Clean_Data!$V$2:$V$1001,1)/C13,0)</f>
        <v>0.21875</v>
      </c>
      <c r="G13" s="15">
        <f>IFERROR(SUMIFS(Clean_Data!$O$2:$O$1001,Clean_Data!$F$2:$F$1001,$A13,Clean_Data!$V$2:$V$1001,1)/C13,0)</f>
        <v>1.9375</v>
      </c>
      <c r="H13" s="33">
        <f>IFERROR(SUMIFS(Clean_Data!$O$2:$O$1001,Clean_Data!$F$2:$F$1001,$A13,Clean_Data!$V$2:$V$1001,1)/D13,0)</f>
        <v>0.898550724637681</v>
      </c>
      <c r="I13" s="24">
        <f>IFERROR(E13/$E$4*100,0)</f>
        <v>3.69828828210757</v>
      </c>
    </row>
    <row r="14" spans="1:9" x14ac:dyDescent="0.25">
      <c r="A14" s="9">
        <v>5</v>
      </c>
      <c r="B14" s="9" t="str">
        <f>TEXT(A14,"00")&amp;":00"</f>
        <v>05:00</v>
      </c>
      <c r="C14" s="30">
        <f>COUNTIFS(Clean_Data!$F$2:$F$1001,$A14,Clean_Data!$V$2:$V$1001,1)</f>
        <v>39</v>
      </c>
      <c r="D14" s="30">
        <f>SUMIFS(Clean_Data!$P$2:$P$1001,Clean_Data!$F$2:$F$1001,$A14,Clean_Data!$V$2:$V$1001,1)</f>
        <v>164</v>
      </c>
      <c r="E14" s="15">
        <f>IFERROR(D14/C14,0)</f>
        <v>4.20512820512821</v>
      </c>
      <c r="F14" s="15">
        <f>IFERROR(SUMIFS(Clean_Data!$N$2:$N$1001,Clean_Data!$F$2:$F$1001,$A14,Clean_Data!$V$2:$V$1001,1)/C14,0)</f>
        <v>0.0769230769230769</v>
      </c>
      <c r="G14" s="15">
        <f>IFERROR(SUMIFS(Clean_Data!$O$2:$O$1001,Clean_Data!$F$2:$F$1001,$A14,Clean_Data!$V$2:$V$1001,1)/C14,0)</f>
        <v>4.12820512820513</v>
      </c>
      <c r="H14" s="33">
        <f>IFERROR(SUMIFS(Clean_Data!$O$2:$O$1001,Clean_Data!$F$2:$F$1001,$A14,Clean_Data!$V$2:$V$1001,1)/D14,0)</f>
        <v>0.981707317073171</v>
      </c>
      <c r="I14" s="24">
        <f>IFERROR(E14/$E$4*100,0)</f>
        <v>7.21241802471221</v>
      </c>
    </row>
    <row r="15" spans="1:9" x14ac:dyDescent="0.25">
      <c r="A15" s="9">
        <v>6</v>
      </c>
      <c r="B15" s="9" t="str">
        <f>TEXT(A15,"00")&amp;":00"</f>
        <v>06:00</v>
      </c>
      <c r="C15" s="30">
        <f>COUNTIFS(Clean_Data!$F$2:$F$1001,$A15,Clean_Data!$V$2:$V$1001,1)</f>
        <v>42</v>
      </c>
      <c r="D15" s="30">
        <f>SUMIFS(Clean_Data!$P$2:$P$1001,Clean_Data!$F$2:$F$1001,$A15,Clean_Data!$V$2:$V$1001,1)</f>
        <v>822</v>
      </c>
      <c r="E15" s="15">
        <f>IFERROR(D15/C15,0)</f>
        <v>19.5714285714286</v>
      </c>
      <c r="F15" s="15">
        <f>IFERROR(SUMIFS(Clean_Data!$N$2:$N$1001,Clean_Data!$F$2:$F$1001,$A15,Clean_Data!$V$2:$V$1001,1)/C15,0)</f>
        <v>0.5</v>
      </c>
      <c r="G15" s="15">
        <f>IFERROR(SUMIFS(Clean_Data!$O$2:$O$1001,Clean_Data!$F$2:$F$1001,$A15,Clean_Data!$V$2:$V$1001,1)/C15,0)</f>
        <v>19.0714285714286</v>
      </c>
      <c r="H15" s="33">
        <f>IFERROR(SUMIFS(Clean_Data!$O$2:$O$1001,Clean_Data!$F$2:$F$1001,$A15,Clean_Data!$V$2:$V$1001,1)/D15,0)</f>
        <v>0.974452554744526</v>
      </c>
      <c r="I15" s="24">
        <f>IFERROR(E15/$E$4*100,0)</f>
        <v>33.567900266583</v>
      </c>
    </row>
    <row r="16" spans="1:9" x14ac:dyDescent="0.25">
      <c r="A16" s="9">
        <v>7</v>
      </c>
      <c r="B16" s="9" t="str">
        <f>TEXT(A16,"00")&amp;":00"</f>
        <v>07:00</v>
      </c>
      <c r="C16" s="30">
        <f>COUNTIFS(Clean_Data!$F$2:$F$1001,$A16,Clean_Data!$V$2:$V$1001,1)</f>
        <v>43</v>
      </c>
      <c r="D16" s="30">
        <f>SUMIFS(Clean_Data!$P$2:$P$1001,Clean_Data!$F$2:$F$1001,$A16,Clean_Data!$V$2:$V$1001,1)</f>
        <v>2339</v>
      </c>
      <c r="E16" s="15">
        <f>IFERROR(D16/C16,0)</f>
        <v>54.3953488372093</v>
      </c>
      <c r="F16" s="15">
        <f>IFERROR(SUMIFS(Clean_Data!$N$2:$N$1001,Clean_Data!$F$2:$F$1001,$A16,Clean_Data!$V$2:$V$1001,1)/C16,0)</f>
        <v>1.48837209302326</v>
      </c>
      <c r="G16" s="15">
        <f>IFERROR(SUMIFS(Clean_Data!$O$2:$O$1001,Clean_Data!$F$2:$F$1001,$A16,Clean_Data!$V$2:$V$1001,1)/C16,0)</f>
        <v>52.906976744186</v>
      </c>
      <c r="H16" s="33">
        <f>IFERROR(SUMIFS(Clean_Data!$O$2:$O$1001,Clean_Data!$F$2:$F$1001,$A16,Clean_Data!$V$2:$V$1001,1)/D16,0)</f>
        <v>0.972637879435656</v>
      </c>
      <c r="I16" s="24">
        <f>IFERROR(E16/$E$4*100,0)</f>
        <v>93.2960840374748</v>
      </c>
    </row>
    <row r="17" spans="1:9" x14ac:dyDescent="0.25">
      <c r="A17" s="9">
        <v>8</v>
      </c>
      <c r="B17" s="9" t="str">
        <f>TEXT(A17,"00")&amp;":00"</f>
        <v>08:00</v>
      </c>
      <c r="C17" s="30">
        <f>COUNTIFS(Clean_Data!$F$2:$F$1001,$A17,Clean_Data!$V$2:$V$1001,1)</f>
        <v>42</v>
      </c>
      <c r="D17" s="30">
        <f>SUMIFS(Clean_Data!$P$2:$P$1001,Clean_Data!$F$2:$F$1001,$A17,Clean_Data!$V$2:$V$1001,1)</f>
        <v>5388</v>
      </c>
      <c r="E17" s="15">
        <f>IFERROR(D17/C17,0)</f>
        <v>128.285714285714</v>
      </c>
      <c r="F17" s="15">
        <f>IFERROR(SUMIFS(Clean_Data!$N$2:$N$1001,Clean_Data!$F$2:$F$1001,$A17,Clean_Data!$V$2:$V$1001,1)/C17,0)</f>
        <v>3.02380952380952</v>
      </c>
      <c r="G17" s="15">
        <f>IFERROR(SUMIFS(Clean_Data!$O$2:$O$1001,Clean_Data!$F$2:$F$1001,$A17,Clean_Data!$V$2:$V$1001,1)/C17,0)</f>
        <v>125.261904761905</v>
      </c>
      <c r="H17" s="33">
        <f>IFERROR(SUMIFS(Clean_Data!$O$2:$O$1001,Clean_Data!$F$2:$F$1001,$A17,Clean_Data!$V$2:$V$1001,1)/D17,0)</f>
        <v>0.976429101707498</v>
      </c>
      <c r="I17" s="24">
        <f>IFERROR(E17/$E$4*100,0)</f>
        <v>220.029010506508</v>
      </c>
    </row>
    <row r="18" spans="1:9" x14ac:dyDescent="0.25">
      <c r="A18" s="9">
        <v>9</v>
      </c>
      <c r="B18" s="9" t="str">
        <f>TEXT(A18,"00")&amp;":00"</f>
        <v>09:00</v>
      </c>
      <c r="C18" s="30">
        <f>COUNTIFS(Clean_Data!$F$2:$F$1001,$A18,Clean_Data!$V$2:$V$1001,1)</f>
        <v>42</v>
      </c>
      <c r="D18" s="30">
        <f>SUMIFS(Clean_Data!$P$2:$P$1001,Clean_Data!$F$2:$F$1001,$A18,Clean_Data!$V$2:$V$1001,1)</f>
        <v>3672</v>
      </c>
      <c r="E18" s="15">
        <f>IFERROR(D18/C18,0)</f>
        <v>87.4285714285714</v>
      </c>
      <c r="F18" s="15">
        <f>IFERROR(SUMIFS(Clean_Data!$N$2:$N$1001,Clean_Data!$F$2:$F$1001,$A18,Clean_Data!$V$2:$V$1001,1)/C18,0)</f>
        <v>4.0952380952381</v>
      </c>
      <c r="G18" s="15">
        <f>IFERROR(SUMIFS(Clean_Data!$O$2:$O$1001,Clean_Data!$F$2:$F$1001,$A18,Clean_Data!$V$2:$V$1001,1)/C18,0)</f>
        <v>83.3333333333333</v>
      </c>
      <c r="H18" s="33">
        <f>IFERROR(SUMIFS(Clean_Data!$O$2:$O$1001,Clean_Data!$F$2:$F$1001,$A18,Clean_Data!$V$2:$V$1001,1)/D18,0)</f>
        <v>0.953159041394336</v>
      </c>
      <c r="I18" s="24">
        <f>IFERROR(E18/$E$4*100,0)</f>
        <v>149.952955935393</v>
      </c>
    </row>
    <row r="19" spans="1:9" x14ac:dyDescent="0.25">
      <c r="A19" s="9">
        <v>10</v>
      </c>
      <c r="B19" s="9" t="str">
        <f>TEXT(A19,"00")&amp;":00"</f>
        <v>10:00</v>
      </c>
      <c r="C19" s="30">
        <f>COUNTIFS(Clean_Data!$F$2:$F$1001,$A19,Clean_Data!$V$2:$V$1001,1)</f>
        <v>42</v>
      </c>
      <c r="D19" s="30">
        <f>SUMIFS(Clean_Data!$P$2:$P$1001,Clean_Data!$F$2:$F$1001,$A19,Clean_Data!$V$2:$V$1001,1)</f>
        <v>2253</v>
      </c>
      <c r="E19" s="15">
        <f>IFERROR(D19/C19,0)</f>
        <v>53.6428571428571</v>
      </c>
      <c r="F19" s="15">
        <f>IFERROR(SUMIFS(Clean_Data!$N$2:$N$1001,Clean_Data!$F$2:$F$1001,$A19,Clean_Data!$V$2:$V$1001,1)/C19,0)</f>
        <v>5.14285714285714</v>
      </c>
      <c r="G19" s="15">
        <f>IFERROR(SUMIFS(Clean_Data!$O$2:$O$1001,Clean_Data!$F$2:$F$1001,$A19,Clean_Data!$V$2:$V$1001,1)/C19,0)</f>
        <v>48.5</v>
      </c>
      <c r="H19" s="33">
        <f>IFERROR(SUMIFS(Clean_Data!$O$2:$O$1001,Clean_Data!$F$2:$F$1001,$A19,Clean_Data!$V$2:$V$1001,1)/D19,0)</f>
        <v>0.904127829560586</v>
      </c>
      <c r="I19" s="24">
        <f>IFERROR(E19/$E$4*100,0)</f>
        <v>92.005449270817</v>
      </c>
    </row>
    <row r="20" spans="1:9" x14ac:dyDescent="0.25">
      <c r="A20" s="9">
        <v>11</v>
      </c>
      <c r="B20" s="9" t="str">
        <f>TEXT(A20,"00")&amp;":00"</f>
        <v>11:00</v>
      </c>
      <c r="C20" s="30">
        <f>COUNTIFS(Clean_Data!$F$2:$F$1001,$A20,Clean_Data!$V$2:$V$1001,1)</f>
        <v>42</v>
      </c>
      <c r="D20" s="30">
        <f>SUMIFS(Clean_Data!$P$2:$P$1001,Clean_Data!$F$2:$F$1001,$A20,Clean_Data!$V$2:$V$1001,1)</f>
        <v>2494</v>
      </c>
      <c r="E20" s="15">
        <f>IFERROR(D20/C20,0)</f>
        <v>59.3809523809524</v>
      </c>
      <c r="F20" s="15">
        <f>IFERROR(SUMIFS(Clean_Data!$N$2:$N$1001,Clean_Data!$F$2:$F$1001,$A20,Clean_Data!$V$2:$V$1001,1)/C20,0)</f>
        <v>8.73809523809524</v>
      </c>
      <c r="G20" s="15">
        <f>IFERROR(SUMIFS(Clean_Data!$O$2:$O$1001,Clean_Data!$F$2:$F$1001,$A20,Clean_Data!$V$2:$V$1001,1)/C20,0)</f>
        <v>50.6428571428571</v>
      </c>
      <c r="H20" s="33">
        <f>IFERROR(SUMIFS(Clean_Data!$O$2:$O$1001,Clean_Data!$F$2:$F$1001,$A20,Clean_Data!$V$2:$V$1001,1)/D20,0)</f>
        <v>0.852846832397755</v>
      </c>
      <c r="I20" s="24">
        <f>IFERROR(E20/$E$4*100,0)</f>
        <v>101.847132925618</v>
      </c>
    </row>
    <row r="21" spans="1:9" x14ac:dyDescent="0.25">
      <c r="A21" s="9">
        <v>12</v>
      </c>
      <c r="B21" s="9" t="str">
        <f>TEXT(A21,"00")&amp;":00"</f>
        <v>12:00</v>
      </c>
      <c r="C21" s="30">
        <f>COUNTIFS(Clean_Data!$F$2:$F$1001,$A21,Clean_Data!$V$2:$V$1001,1)</f>
        <v>43</v>
      </c>
      <c r="D21" s="30">
        <f>SUMIFS(Clean_Data!$P$2:$P$1001,Clean_Data!$F$2:$F$1001,$A21,Clean_Data!$V$2:$V$1001,1)</f>
        <v>3283</v>
      </c>
      <c r="E21" s="15">
        <f>IFERROR(D21/C21,0)</f>
        <v>76.3488372093023</v>
      </c>
      <c r="F21" s="15">
        <f>IFERROR(SUMIFS(Clean_Data!$N$2:$N$1001,Clean_Data!$F$2:$F$1001,$A21,Clean_Data!$V$2:$V$1001,1)/C21,0)</f>
        <v>11.2093023255814</v>
      </c>
      <c r="G21" s="15">
        <f>IFERROR(SUMIFS(Clean_Data!$O$2:$O$1001,Clean_Data!$F$2:$F$1001,$A21,Clean_Data!$V$2:$V$1001,1)/C21,0)</f>
        <v>65.1395348837209</v>
      </c>
      <c r="H21" s="33">
        <f>IFERROR(SUMIFS(Clean_Data!$O$2:$O$1001,Clean_Data!$F$2:$F$1001,$A21,Clean_Data!$V$2:$V$1001,1)/D21,0)</f>
        <v>0.853183064270484</v>
      </c>
      <c r="I21" s="24">
        <f>IFERROR(E21/$E$4*100,0)</f>
        <v>130.949569856789</v>
      </c>
    </row>
    <row r="22" spans="1:9" x14ac:dyDescent="0.25">
      <c r="A22" s="9">
        <v>13</v>
      </c>
      <c r="B22" s="9" t="str">
        <f>TEXT(A22,"00")&amp;":00"</f>
        <v>13:00</v>
      </c>
      <c r="C22" s="30">
        <f>COUNTIFS(Clean_Data!$F$2:$F$1001,$A22,Clean_Data!$V$2:$V$1001,1)</f>
        <v>43</v>
      </c>
      <c r="D22" s="30">
        <f>SUMIFS(Clean_Data!$P$2:$P$1001,Clean_Data!$F$2:$F$1001,$A22,Clean_Data!$V$2:$V$1001,1)</f>
        <v>3376</v>
      </c>
      <c r="E22" s="15">
        <f>IFERROR(D22/C22,0)</f>
        <v>78.5116279069767</v>
      </c>
      <c r="F22" s="15">
        <f>IFERROR(SUMIFS(Clean_Data!$N$2:$N$1001,Clean_Data!$F$2:$F$1001,$A22,Clean_Data!$V$2:$V$1001,1)/C22,0)</f>
        <v>11.9302325581395</v>
      </c>
      <c r="G22" s="15">
        <f>IFERROR(SUMIFS(Clean_Data!$O$2:$O$1001,Clean_Data!$F$2:$F$1001,$A22,Clean_Data!$V$2:$V$1001,1)/C22,0)</f>
        <v>66.5813953488372</v>
      </c>
      <c r="H22" s="33">
        <f>IFERROR(SUMIFS(Clean_Data!$O$2:$O$1001,Clean_Data!$F$2:$F$1001,$A22,Clean_Data!$V$2:$V$1001,1)/D22,0)</f>
        <v>0.848045023696682</v>
      </c>
      <c r="I22" s="24">
        <f>IFERROR(E22/$E$4*100,0)</f>
        <v>134.659076404666</v>
      </c>
    </row>
    <row r="23" spans="1:9" x14ac:dyDescent="0.25">
      <c r="A23" s="9">
        <v>14</v>
      </c>
      <c r="B23" s="9" t="str">
        <f>TEXT(A23,"00")&amp;":00"</f>
        <v>14:00</v>
      </c>
      <c r="C23" s="30">
        <f>COUNTIFS(Clean_Data!$F$2:$F$1001,$A23,Clean_Data!$V$2:$V$1001,1)</f>
        <v>43</v>
      </c>
      <c r="D23" s="30">
        <f>SUMIFS(Clean_Data!$P$2:$P$1001,Clean_Data!$F$2:$F$1001,$A23,Clean_Data!$V$2:$V$1001,1)</f>
        <v>3200</v>
      </c>
      <c r="E23" s="15">
        <f>IFERROR(D23/C23,0)</f>
        <v>74.4186046511628</v>
      </c>
      <c r="F23" s="15">
        <f>IFERROR(SUMIFS(Clean_Data!$N$2:$N$1001,Clean_Data!$F$2:$F$1001,$A23,Clean_Data!$V$2:$V$1001,1)/C23,0)</f>
        <v>10.8372093023256</v>
      </c>
      <c r="G23" s="15">
        <f>IFERROR(SUMIFS(Clean_Data!$O$2:$O$1001,Clean_Data!$F$2:$F$1001,$A23,Clean_Data!$V$2:$V$1001,1)/C23,0)</f>
        <v>63.5813953488372</v>
      </c>
      <c r="H23" s="33">
        <f>IFERROR(SUMIFS(Clean_Data!$O$2:$O$1001,Clean_Data!$F$2:$F$1001,$A23,Clean_Data!$V$2:$V$1001,1)/D23,0)</f>
        <v>0.854375</v>
      </c>
      <c r="I23" s="24">
        <f>IFERROR(E23/$E$4*100,0)</f>
        <v>127.638934980727</v>
      </c>
    </row>
    <row r="24" spans="1:9" x14ac:dyDescent="0.25">
      <c r="A24" s="9">
        <v>15</v>
      </c>
      <c r="B24" s="9" t="str">
        <f>TEXT(A24,"00")&amp;":00"</f>
        <v>15:00</v>
      </c>
      <c r="C24" s="30">
        <f>COUNTIFS(Clean_Data!$F$2:$F$1001,$A24,Clean_Data!$V$2:$V$1001,1)</f>
        <v>43</v>
      </c>
      <c r="D24" s="30">
        <f>SUMIFS(Clean_Data!$P$2:$P$1001,Clean_Data!$F$2:$F$1001,$A24,Clean_Data!$V$2:$V$1001,1)</f>
        <v>3352</v>
      </c>
      <c r="E24" s="15">
        <f>IFERROR(D24/C24,0)</f>
        <v>77.953488372093</v>
      </c>
      <c r="F24" s="15">
        <f>IFERROR(SUMIFS(Clean_Data!$N$2:$N$1001,Clean_Data!$F$2:$F$1001,$A24,Clean_Data!$V$2:$V$1001,1)/C24,0)</f>
        <v>12.4651162790698</v>
      </c>
      <c r="G24" s="15">
        <f>IFERROR(SUMIFS(Clean_Data!$O$2:$O$1001,Clean_Data!$F$2:$F$1001,$A24,Clean_Data!$V$2:$V$1001,1)/C24,0)</f>
        <v>65.4883720930233</v>
      </c>
      <c r="H24" s="33">
        <f>IFERROR(SUMIFS(Clean_Data!$O$2:$O$1001,Clean_Data!$F$2:$F$1001,$A24,Clean_Data!$V$2:$V$1001,1)/D24,0)</f>
        <v>0.840095465393795</v>
      </c>
      <c r="I24" s="24">
        <f>IFERROR(E24/$E$4*100,0)</f>
        <v>133.701784392311</v>
      </c>
    </row>
    <row r="25" spans="1:9" x14ac:dyDescent="0.25">
      <c r="A25" s="9">
        <v>16</v>
      </c>
      <c r="B25" s="9" t="str">
        <f>TEXT(A25,"00")&amp;":00"</f>
        <v>16:00</v>
      </c>
      <c r="C25" s="30">
        <f>COUNTIFS(Clean_Data!$F$2:$F$1001,$A25,Clean_Data!$V$2:$V$1001,1)</f>
        <v>44</v>
      </c>
      <c r="D25" s="30">
        <f>SUMIFS(Clean_Data!$P$2:$P$1001,Clean_Data!$F$2:$F$1001,$A25,Clean_Data!$V$2:$V$1001,1)</f>
        <v>3928</v>
      </c>
      <c r="E25" s="15">
        <f>IFERROR(D25/C25,0)</f>
        <v>89.2727272727273</v>
      </c>
      <c r="F25" s="15">
        <f>IFERROR(SUMIFS(Clean_Data!$N$2:$N$1001,Clean_Data!$F$2:$F$1001,$A25,Clean_Data!$V$2:$V$1001,1)/C25,0)</f>
        <v>11.2045454545455</v>
      </c>
      <c r="G25" s="15">
        <f>IFERROR(SUMIFS(Clean_Data!$O$2:$O$1001,Clean_Data!$F$2:$F$1001,$A25,Clean_Data!$V$2:$V$1001,1)/C25,0)</f>
        <v>78.0681818181818</v>
      </c>
      <c r="H25" s="33">
        <f>IFERROR(SUMIFS(Clean_Data!$O$2:$O$1001,Clean_Data!$F$2:$F$1001,$A25,Clean_Data!$V$2:$V$1001,1)/D25,0)</f>
        <v>0.87449083503055</v>
      </c>
      <c r="I25" s="24">
        <f>IFERROR(E25/$E$4*100,0)</f>
        <v>153.115956491368</v>
      </c>
    </row>
    <row r="26" spans="1:9" x14ac:dyDescent="0.25">
      <c r="A26" s="9">
        <v>17</v>
      </c>
      <c r="B26" s="9" t="str">
        <f>TEXT(A26,"00")&amp;":00"</f>
        <v>17:00</v>
      </c>
      <c r="C26" s="30">
        <f>COUNTIFS(Clean_Data!$F$2:$F$1001,$A26,Clean_Data!$V$2:$V$1001,1)</f>
        <v>44</v>
      </c>
      <c r="D26" s="30">
        <f>SUMIFS(Clean_Data!$P$2:$P$1001,Clean_Data!$F$2:$F$1001,$A26,Clean_Data!$V$2:$V$1001,1)</f>
        <v>6169</v>
      </c>
      <c r="E26" s="15">
        <f>IFERROR(D26/C26,0)</f>
        <v>140.204545454545</v>
      </c>
      <c r="F26" s="15">
        <f>IFERROR(SUMIFS(Clean_Data!$N$2:$N$1001,Clean_Data!$F$2:$F$1001,$A26,Clean_Data!$V$2:$V$1001,1)/C26,0)</f>
        <v>8.97727272727273</v>
      </c>
      <c r="G26" s="15">
        <f>IFERROR(SUMIFS(Clean_Data!$O$2:$O$1001,Clean_Data!$F$2:$F$1001,$A26,Clean_Data!$V$2:$V$1001,1)/C26,0)</f>
        <v>131.227272727273</v>
      </c>
      <c r="H26" s="33">
        <f>IFERROR(SUMIFS(Clean_Data!$O$2:$O$1001,Clean_Data!$F$2:$F$1001,$A26,Clean_Data!$V$2:$V$1001,1)/D26,0)</f>
        <v>0.935970173447885</v>
      </c>
      <c r="I26" s="24">
        <f>IFERROR(E26/$E$4*100,0)</f>
        <v>240.471572198383</v>
      </c>
    </row>
    <row r="27" spans="1:9" x14ac:dyDescent="0.25">
      <c r="A27" s="9">
        <v>18</v>
      </c>
      <c r="B27" s="9" t="str">
        <f>TEXT(A27,"00")&amp;":00"</f>
        <v>18:00</v>
      </c>
      <c r="C27" s="30">
        <f>COUNTIFS(Clean_Data!$F$2:$F$1001,$A27,Clean_Data!$V$2:$V$1001,1)</f>
        <v>43</v>
      </c>
      <c r="D27" s="30">
        <f>SUMIFS(Clean_Data!$P$2:$P$1001,Clean_Data!$F$2:$F$1001,$A27,Clean_Data!$V$2:$V$1001,1)</f>
        <v>5283</v>
      </c>
      <c r="E27" s="15">
        <f>IFERROR(D27/C27,0)</f>
        <v>122.860465116279</v>
      </c>
      <c r="F27" s="15">
        <f>IFERROR(SUMIFS(Clean_Data!$N$2:$N$1001,Clean_Data!$F$2:$F$1001,$A27,Clean_Data!$V$2:$V$1001,1)/C27,0)</f>
        <v>5.16279069767442</v>
      </c>
      <c r="G27" s="15">
        <f>IFERROR(SUMIFS(Clean_Data!$O$2:$O$1001,Clean_Data!$F$2:$F$1001,$A27,Clean_Data!$V$2:$V$1001,1)/C27,0)</f>
        <v>117.697674418605</v>
      </c>
      <c r="H27" s="33">
        <f>IFERROR(SUMIFS(Clean_Data!$O$2:$O$1001,Clean_Data!$F$2:$F$1001,$A27,Clean_Data!$V$2:$V$1001,1)/D27,0)</f>
        <v>0.957978421351505</v>
      </c>
      <c r="I27" s="24">
        <f>IFERROR(E27/$E$4*100,0)</f>
        <v>210.723904219743</v>
      </c>
    </row>
    <row r="28" spans="1:9" x14ac:dyDescent="0.25">
      <c r="A28" s="9">
        <v>19</v>
      </c>
      <c r="B28" s="9" t="str">
        <f>TEXT(A28,"00")&amp;":00"</f>
        <v>19:00</v>
      </c>
      <c r="C28" s="30">
        <f>COUNTIFS(Clean_Data!$F$2:$F$1001,$A28,Clean_Data!$V$2:$V$1001,1)</f>
        <v>43</v>
      </c>
      <c r="D28" s="30">
        <f>SUMIFS(Clean_Data!$P$2:$P$1001,Clean_Data!$F$2:$F$1001,$A28,Clean_Data!$V$2:$V$1001,1)</f>
        <v>3661</v>
      </c>
      <c r="E28" s="15">
        <f>IFERROR(D28/C28,0)</f>
        <v>85.1395348837209</v>
      </c>
      <c r="F28" s="15">
        <f>IFERROR(SUMIFS(Clean_Data!$N$2:$N$1001,Clean_Data!$F$2:$F$1001,$A28,Clean_Data!$V$2:$V$1001,1)/C28,0)</f>
        <v>4.34883720930233</v>
      </c>
      <c r="G28" s="15">
        <f>IFERROR(SUMIFS(Clean_Data!$O$2:$O$1001,Clean_Data!$F$2:$F$1001,$A28,Clean_Data!$V$2:$V$1001,1)/C28,0)</f>
        <v>80.7906976744186</v>
      </c>
      <c r="H28" s="33">
        <f>IFERROR(SUMIFS(Clean_Data!$O$2:$O$1001,Clean_Data!$F$2:$F$1001,$A28,Clean_Data!$V$2:$V$1001,1)/D28,0)</f>
        <v>0.948921059819721</v>
      </c>
      <c r="I28" s="24">
        <f>IFERROR(E28/$E$4*100,0)</f>
        <v>146.026919051387</v>
      </c>
    </row>
    <row r="29" spans="1:9" x14ac:dyDescent="0.25">
      <c r="A29" s="9">
        <v>20</v>
      </c>
      <c r="B29" s="9" t="str">
        <f>TEXT(A29,"00")&amp;":00"</f>
        <v>20:00</v>
      </c>
      <c r="C29" s="30">
        <f>COUNTIFS(Clean_Data!$F$2:$F$1001,$A29,Clean_Data!$V$2:$V$1001,1)</f>
        <v>43</v>
      </c>
      <c r="D29" s="30">
        <f>SUMIFS(Clean_Data!$P$2:$P$1001,Clean_Data!$F$2:$F$1001,$A29,Clean_Data!$V$2:$V$1001,1)</f>
        <v>2656</v>
      </c>
      <c r="E29" s="15">
        <f>IFERROR(D29/C29,0)</f>
        <v>61.7674418604651</v>
      </c>
      <c r="F29" s="15">
        <f>IFERROR(SUMIFS(Clean_Data!$N$2:$N$1001,Clean_Data!$F$2:$F$1001,$A29,Clean_Data!$V$2:$V$1001,1)/C29,0)</f>
        <v>3.25581395348837</v>
      </c>
      <c r="G29" s="15">
        <f>IFERROR(SUMIFS(Clean_Data!$O$2:$O$1001,Clean_Data!$F$2:$F$1001,$A29,Clean_Data!$V$2:$V$1001,1)/C29,0)</f>
        <v>58.5116279069767</v>
      </c>
      <c r="H29" s="33">
        <f>IFERROR(SUMIFS(Clean_Data!$O$2:$O$1001,Clean_Data!$F$2:$F$1001,$A29,Clean_Data!$V$2:$V$1001,1)/D29,0)</f>
        <v>0.947289156626506</v>
      </c>
      <c r="I29" s="24">
        <f>IFERROR(E29/$E$4*100,0)</f>
        <v>105.940316034003</v>
      </c>
    </row>
    <row r="30" spans="1:9" x14ac:dyDescent="0.25">
      <c r="A30" s="9">
        <v>21</v>
      </c>
      <c r="B30" s="9" t="str">
        <f>TEXT(A30,"00")&amp;":00"</f>
        <v>21:00</v>
      </c>
      <c r="C30" s="30">
        <f>COUNTIFS(Clean_Data!$F$2:$F$1001,$A30,Clean_Data!$V$2:$V$1001,1)</f>
        <v>43</v>
      </c>
      <c r="D30" s="30">
        <f>SUMIFS(Clean_Data!$P$2:$P$1001,Clean_Data!$F$2:$F$1001,$A30,Clean_Data!$V$2:$V$1001,1)</f>
        <v>1996</v>
      </c>
      <c r="E30" s="15">
        <f>IFERROR(D30/C30,0)</f>
        <v>46.4186046511628</v>
      </c>
      <c r="F30" s="15">
        <f>IFERROR(SUMIFS(Clean_Data!$N$2:$N$1001,Clean_Data!$F$2:$F$1001,$A30,Clean_Data!$V$2:$V$1001,1)/C30,0)</f>
        <v>2.72093023255814</v>
      </c>
      <c r="G30" s="15">
        <f>IFERROR(SUMIFS(Clean_Data!$O$2:$O$1001,Clean_Data!$F$2:$F$1001,$A30,Clean_Data!$V$2:$V$1001,1)/C30,0)</f>
        <v>43.6976744186047</v>
      </c>
      <c r="H30" s="33">
        <f>IFERROR(SUMIFS(Clean_Data!$O$2:$O$1001,Clean_Data!$F$2:$F$1001,$A30,Clean_Data!$V$2:$V$1001,1)/D30,0)</f>
        <v>0.941382765531062</v>
      </c>
      <c r="I30" s="24">
        <f>IFERROR(E30/$E$4*100,0)</f>
        <v>79.6147856942282</v>
      </c>
    </row>
    <row r="31" spans="1:9" x14ac:dyDescent="0.25">
      <c r="A31" s="9">
        <v>22</v>
      </c>
      <c r="B31" s="9" t="str">
        <f>TEXT(A31,"00")&amp;":00"</f>
        <v>22:00</v>
      </c>
      <c r="C31" s="30">
        <f>COUNTIFS(Clean_Data!$F$2:$F$1001,$A31,Clean_Data!$V$2:$V$1001,1)</f>
        <v>43</v>
      </c>
      <c r="D31" s="30">
        <f>SUMIFS(Clean_Data!$P$2:$P$1001,Clean_Data!$F$2:$F$1001,$A31,Clean_Data!$V$2:$V$1001,1)</f>
        <v>1508</v>
      </c>
      <c r="E31" s="15">
        <f>IFERROR(D31/C31,0)</f>
        <v>35.0697674418605</v>
      </c>
      <c r="F31" s="15">
        <f>IFERROR(SUMIFS(Clean_Data!$N$2:$N$1001,Clean_Data!$F$2:$F$1001,$A31,Clean_Data!$V$2:$V$1001,1)/C31,0)</f>
        <v>2.3953488372093</v>
      </c>
      <c r="G31" s="15">
        <f>IFERROR(SUMIFS(Clean_Data!$O$2:$O$1001,Clean_Data!$F$2:$F$1001,$A31,Clean_Data!$V$2:$V$1001,1)/C31,0)</f>
        <v>32.6744186046512</v>
      </c>
      <c r="H31" s="33">
        <f>IFERROR(SUMIFS(Clean_Data!$O$2:$O$1001,Clean_Data!$F$2:$F$1001,$A31,Clean_Data!$V$2:$V$1001,1)/D31,0)</f>
        <v>0.931697612732096</v>
      </c>
      <c r="I31" s="24">
        <f>IFERROR(E31/$E$4*100,0)</f>
        <v>60.1498481096674</v>
      </c>
    </row>
    <row r="32" spans="1:9" x14ac:dyDescent="0.25">
      <c r="A32" s="9">
        <v>23</v>
      </c>
      <c r="B32" s="9" t="str">
        <f>TEXT(A32,"00")&amp;":00"</f>
        <v>23:00</v>
      </c>
      <c r="C32" s="30">
        <f>COUNTIFS(Clean_Data!$F$2:$F$1001,$A32,Clean_Data!$V$2:$V$1001,1)</f>
        <v>43</v>
      </c>
      <c r="D32" s="30">
        <f>SUMIFS(Clean_Data!$P$2:$P$1001,Clean_Data!$F$2:$F$1001,$A32,Clean_Data!$V$2:$V$1001,1)</f>
        <v>1083</v>
      </c>
      <c r="E32" s="15">
        <f>IFERROR(D32/C32,0)</f>
        <v>25.1860465116279</v>
      </c>
      <c r="F32" s="15">
        <f>IFERROR(SUMIFS(Clean_Data!$N$2:$N$1001,Clean_Data!$F$2:$F$1001,$A32,Clean_Data!$V$2:$V$1001,1)/C32,0)</f>
        <v>2.34883720930233</v>
      </c>
      <c r="G32" s="15">
        <f>IFERROR(SUMIFS(Clean_Data!$O$2:$O$1001,Clean_Data!$F$2:$F$1001,$A32,Clean_Data!$V$2:$V$1001,1)/C32,0)</f>
        <v>22.8372093023256</v>
      </c>
      <c r="H32" s="33">
        <f>IFERROR(SUMIFS(Clean_Data!$O$2:$O$1001,Clean_Data!$F$2:$F$1001,$A32,Clean_Data!$V$2:$V$1001,1)/D32,0)</f>
        <v>0.9067405355494</v>
      </c>
      <c r="I32" s="24">
        <f>IFERROR(E32/$E$4*100,0)</f>
        <v>43.1978020575396</v>
      </c>
    </row>
    <row r="35" spans="1:9" x14ac:dyDescent="0.25">
      <c r="A35" s="21" t="s">
        <v>302</v>
      </c>
      <c r="B35" s="21"/>
      <c r="C35" s="21"/>
      <c r="D35" s="21"/>
      <c r="E35" s="21"/>
      <c r="F35" s="21"/>
      <c r="G35" s="21"/>
      <c r="H35" s="21"/>
      <c r="I35" s="21"/>
    </row>
    <row r="36" spans="1:9" x14ac:dyDescent="0.25">
      <c r="A36" s="6" t="s">
        <v>299</v>
      </c>
      <c r="B36" s="6" t="s">
        <v>300</v>
      </c>
      <c r="C36" s="6" t="s">
        <v>291</v>
      </c>
      <c r="D36" s="6" t="s">
        <v>266</v>
      </c>
      <c r="E36" s="6" t="s">
        <v>292</v>
      </c>
      <c r="F36" s="6" t="s">
        <v>293</v>
      </c>
      <c r="G36" s="6" t="s">
        <v>294</v>
      </c>
      <c r="H36" s="6" t="s">
        <v>295</v>
      </c>
      <c r="I36" s="6" t="s">
        <v>301</v>
      </c>
    </row>
    <row r="37" spans="1:9" x14ac:dyDescent="0.25">
      <c r="A37" s="9">
        <v>0</v>
      </c>
      <c r="B37" s="9" t="str">
        <f>VLOOKUP(A37,Lookups!$M$4:$N$10,2,FALSE)</f>
        <v>Sun</v>
      </c>
      <c r="C37" s="30">
        <f>COUNTIFS(Clean_Data!$H$2:$H$1001,$A37,Clean_Data!$V$2:$V$1001,1)</f>
        <v>164</v>
      </c>
      <c r="D37" s="30">
        <f>SUMIFS(Clean_Data!$P$2:$P$1001,Clean_Data!$H$2:$H$1001,$A37,Clean_Data!$V$2:$V$1001,1)</f>
        <v>8121</v>
      </c>
      <c r="E37" s="15">
        <f>IFERROR(D37/C37,0)</f>
        <v>49.5182926829268</v>
      </c>
      <c r="F37" s="15">
        <f>IFERROR(SUMIFS(Clean_Data!$N$2:$N$1001,Clean_Data!$H$2:$H$1001,$A37,Clean_Data!$V$2:$V$1001,1)/C37,0)</f>
        <v>9.00609756097561</v>
      </c>
      <c r="G37" s="15">
        <f>IFERROR(SUMIFS(Clean_Data!$O$2:$O$1001,Clean_Data!$H$2:$H$1001,$A37,Clean_Data!$V$2:$V$1001,1)/C37,0)</f>
        <v>40.5121951219512</v>
      </c>
      <c r="H37" s="33">
        <f>IFERROR(SUMIFS(Clean_Data!$O$2:$O$1001,Clean_Data!$H$2:$H$1001,$A37,Clean_Data!$V$2:$V$1001,1)/D37,0)</f>
        <v>0.818125846570619</v>
      </c>
      <c r="I37" s="24">
        <f>IFERROR(E37/$E$4*100,0)</f>
        <v>84.9312100077642</v>
      </c>
    </row>
    <row r="38" spans="1:9" x14ac:dyDescent="0.25">
      <c r="A38" s="9">
        <v>1</v>
      </c>
      <c r="B38" s="9" t="str">
        <f>VLOOKUP(A38,Lookups!$M$4:$N$10,2,FALSE)</f>
        <v>Mon</v>
      </c>
      <c r="C38" s="30">
        <f>COUNTIFS(Clean_Data!$H$2:$H$1001,$A38,Clean_Data!$V$2:$V$1001,1)</f>
        <v>149</v>
      </c>
      <c r="D38" s="30">
        <f>SUMIFS(Clean_Data!$P$2:$P$1001,Clean_Data!$H$2:$H$1001,$A38,Clean_Data!$V$2:$V$1001,1)</f>
        <v>8450</v>
      </c>
      <c r="E38" s="15">
        <f>IFERROR(D38/C38,0)</f>
        <v>56.7114093959732</v>
      </c>
      <c r="F38" s="15">
        <f>IFERROR(SUMIFS(Clean_Data!$N$2:$N$1001,Clean_Data!$H$2:$H$1001,$A38,Clean_Data!$V$2:$V$1001,1)/C38,0)</f>
        <v>3.58389261744966</v>
      </c>
      <c r="G38" s="15">
        <f>IFERROR(SUMIFS(Clean_Data!$O$2:$O$1001,Clean_Data!$H$2:$H$1001,$A38,Clean_Data!$V$2:$V$1001,1)/C38,0)</f>
        <v>53.1275167785235</v>
      </c>
      <c r="H38" s="33">
        <f>IFERROR(SUMIFS(Clean_Data!$O$2:$O$1001,Clean_Data!$H$2:$H$1001,$A38,Clean_Data!$V$2:$V$1001,1)/D38,0)</f>
        <v>0.936804733727811</v>
      </c>
      <c r="I38" s="24">
        <f>IFERROR(E38/$E$4*100,0)</f>
        <v>97.2684711099979</v>
      </c>
    </row>
    <row r="39" spans="1:9" x14ac:dyDescent="0.25">
      <c r="A39" s="9">
        <v>2</v>
      </c>
      <c r="B39" s="9" t="str">
        <f>VLOOKUP(A39,Lookups!$M$4:$N$10,2,FALSE)</f>
        <v>Tue</v>
      </c>
      <c r="C39" s="30">
        <f>COUNTIFS(Clean_Data!$H$2:$H$1001,$A39,Clean_Data!$V$2:$V$1001,1)</f>
        <v>127</v>
      </c>
      <c r="D39" s="30">
        <f>SUMIFS(Clean_Data!$P$2:$P$1001,Clean_Data!$H$2:$H$1001,$A39,Clean_Data!$V$2:$V$1001,1)</f>
        <v>8383</v>
      </c>
      <c r="E39" s="15">
        <f>IFERROR(D39/C39,0)</f>
        <v>66.007874015748</v>
      </c>
      <c r="F39" s="15">
        <f>IFERROR(SUMIFS(Clean_Data!$N$2:$N$1001,Clean_Data!$H$2:$H$1001,$A39,Clean_Data!$V$2:$V$1001,1)/C39,0)</f>
        <v>3.59842519685039</v>
      </c>
      <c r="G39" s="15">
        <f>IFERROR(SUMIFS(Clean_Data!$O$2:$O$1001,Clean_Data!$H$2:$H$1001,$A39,Clean_Data!$V$2:$V$1001,1)/C39,0)</f>
        <v>62.4094488188976</v>
      </c>
      <c r="H39" s="33">
        <f>IFERROR(SUMIFS(Clean_Data!$O$2:$O$1001,Clean_Data!$H$2:$H$1001,$A39,Clean_Data!$V$2:$V$1001,1)/D39,0)</f>
        <v>0.945484909936777</v>
      </c>
      <c r="I39" s="24">
        <f>IFERROR(E39/$E$4*100,0)</f>
        <v>113.213285564881</v>
      </c>
    </row>
    <row r="40" spans="1:9" x14ac:dyDescent="0.25">
      <c r="A40" s="9">
        <v>3</v>
      </c>
      <c r="B40" s="9" t="str">
        <f>VLOOKUP(A40,Lookups!$M$4:$N$10,2,FALSE)</f>
        <v>Wed</v>
      </c>
      <c r="C40" s="30">
        <f>COUNTIFS(Clean_Data!$H$2:$H$1001,$A40,Clean_Data!$V$2:$V$1001,1)</f>
        <v>131</v>
      </c>
      <c r="D40" s="30">
        <f>SUMIFS(Clean_Data!$P$2:$P$1001,Clean_Data!$H$2:$H$1001,$A40,Clean_Data!$V$2:$V$1001,1)</f>
        <v>8049</v>
      </c>
      <c r="E40" s="15">
        <f>IFERROR(D40/C40,0)</f>
        <v>61.4427480916031</v>
      </c>
      <c r="F40" s="15">
        <f>IFERROR(SUMIFS(Clean_Data!$N$2:$N$1001,Clean_Data!$H$2:$H$1001,$A40,Clean_Data!$V$2:$V$1001,1)/C40,0)</f>
        <v>2.62595419847328</v>
      </c>
      <c r="G40" s="15">
        <f>IFERROR(SUMIFS(Clean_Data!$O$2:$O$1001,Clean_Data!$H$2:$H$1001,$A40,Clean_Data!$V$2:$V$1001,1)/C40,0)</f>
        <v>58.8167938931298</v>
      </c>
      <c r="H40" s="33">
        <f>IFERROR(SUMIFS(Clean_Data!$O$2:$O$1001,Clean_Data!$H$2:$H$1001,$A40,Clean_Data!$V$2:$V$1001,1)/D40,0)</f>
        <v>0.957261771648652</v>
      </c>
      <c r="I40" s="24">
        <f>IFERROR(E40/$E$4*100,0)</f>
        <v>105.383418104423</v>
      </c>
    </row>
    <row r="41" spans="1:9" x14ac:dyDescent="0.25">
      <c r="A41" s="9">
        <v>4</v>
      </c>
      <c r="B41" s="9" t="str">
        <f>VLOOKUP(A41,Lookups!$M$4:$N$10,2,FALSE)</f>
        <v>Thu</v>
      </c>
      <c r="C41" s="30">
        <f>COUNTIFS(Clean_Data!$H$2:$H$1001,$A41,Clean_Data!$V$2:$V$1001,1)</f>
        <v>125</v>
      </c>
      <c r="D41" s="30">
        <f>SUMIFS(Clean_Data!$P$2:$P$1001,Clean_Data!$H$2:$H$1001,$A41,Clean_Data!$V$2:$V$1001,1)</f>
        <v>8458</v>
      </c>
      <c r="E41" s="15">
        <f>IFERROR(D41/C41,0)</f>
        <v>67.664</v>
      </c>
      <c r="F41" s="15">
        <f>IFERROR(SUMIFS(Clean_Data!$N$2:$N$1001,Clean_Data!$H$2:$H$1001,$A41,Clean_Data!$V$2:$V$1001,1)/C41,0)</f>
        <v>2.656</v>
      </c>
      <c r="G41" s="15">
        <f>IFERROR(SUMIFS(Clean_Data!$O$2:$O$1001,Clean_Data!$H$2:$H$1001,$A41,Clean_Data!$V$2:$V$1001,1)/C41,0)</f>
        <v>65.008</v>
      </c>
      <c r="H41" s="33">
        <f>IFERROR(SUMIFS(Clean_Data!$O$2:$O$1001,Clean_Data!$H$2:$H$1001,$A41,Clean_Data!$V$2:$V$1001,1)/D41,0)</f>
        <v>0.960747221565382</v>
      </c>
      <c r="I41" s="24">
        <f>IFERROR(E41/$E$4*100,0)</f>
        <v>116.053787047201</v>
      </c>
    </row>
    <row r="42" spans="1:9" x14ac:dyDescent="0.25">
      <c r="A42" s="9">
        <v>5</v>
      </c>
      <c r="B42" s="9" t="str">
        <f>VLOOKUP(A42,Lookups!$M$4:$N$10,2,FALSE)</f>
        <v>Fri</v>
      </c>
      <c r="C42" s="30">
        <f>COUNTIFS(Clean_Data!$H$2:$H$1001,$A42,Clean_Data!$V$2:$V$1001,1)</f>
        <v>138</v>
      </c>
      <c r="D42" s="30">
        <f>SUMIFS(Clean_Data!$P$2:$P$1001,Clean_Data!$H$2:$H$1001,$A42,Clean_Data!$V$2:$V$1001,1)</f>
        <v>9095</v>
      </c>
      <c r="E42" s="15">
        <f>IFERROR(D42/C42,0)</f>
        <v>65.9057971014493</v>
      </c>
      <c r="F42" s="15">
        <f>IFERROR(SUMIFS(Clean_Data!$N$2:$N$1001,Clean_Data!$H$2:$H$1001,$A42,Clean_Data!$V$2:$V$1001,1)/C42,0)</f>
        <v>4</v>
      </c>
      <c r="G42" s="15">
        <f>IFERROR(SUMIFS(Clean_Data!$O$2:$O$1001,Clean_Data!$H$2:$H$1001,$A42,Clean_Data!$V$2:$V$1001,1)/C42,0)</f>
        <v>61.9057971014493</v>
      </c>
      <c r="H42" s="33">
        <f>IFERROR(SUMIFS(Clean_Data!$O$2:$O$1001,Clean_Data!$H$2:$H$1001,$A42,Clean_Data!$V$2:$V$1001,1)/D42,0)</f>
        <v>0.939307311709731</v>
      </c>
      <c r="I42" s="24">
        <f>IFERROR(E42/$E$4*100,0)</f>
        <v>113.038208530203</v>
      </c>
    </row>
    <row r="43" spans="1:9" x14ac:dyDescent="0.25">
      <c r="A43" s="9">
        <v>6</v>
      </c>
      <c r="B43" s="9" t="str">
        <f>VLOOKUP(A43,Lookups!$M$4:$N$10,2,FALSE)</f>
        <v>Sat</v>
      </c>
      <c r="C43" s="30">
        <f>COUNTIFS(Clean_Data!$H$2:$H$1001,$A43,Clean_Data!$V$2:$V$1001,1)</f>
        <v>166</v>
      </c>
      <c r="D43" s="30">
        <f>SUMIFS(Clean_Data!$P$2:$P$1001,Clean_Data!$H$2:$H$1001,$A43,Clean_Data!$V$2:$V$1001,1)</f>
        <v>7748</v>
      </c>
      <c r="E43" s="15">
        <f>IFERROR(D43/C43,0)</f>
        <v>46.6746987951807</v>
      </c>
      <c r="F43" s="15">
        <f>IFERROR(SUMIFS(Clean_Data!$N$2:$N$1001,Clean_Data!$H$2:$H$1001,$A43,Clean_Data!$V$2:$V$1001,1)/C43,0)</f>
        <v>7.37951807228916</v>
      </c>
      <c r="G43" s="15">
        <f>IFERROR(SUMIFS(Clean_Data!$O$2:$O$1001,Clean_Data!$H$2:$H$1001,$A43,Clean_Data!$V$2:$V$1001,1)/C43,0)</f>
        <v>39.2951807228916</v>
      </c>
      <c r="H43" s="33">
        <f>IFERROR(SUMIFS(Clean_Data!$O$2:$O$1001,Clean_Data!$H$2:$H$1001,$A43,Clean_Data!$V$2:$V$1001,1)/D43,0)</f>
        <v>0.841894682498709</v>
      </c>
      <c r="I43" s="24">
        <f>IFERROR(E43/$E$4*100,0)</f>
        <v>80.0540251015037</v>
      </c>
    </row>
    <row r="52" spans="1:9" x14ac:dyDescent="0.25">
      <c r="A52" s="21" t="s">
        <v>303</v>
      </c>
      <c r="B52" s="21"/>
      <c r="C52" s="21"/>
      <c r="D52" s="21"/>
      <c r="E52" s="21"/>
      <c r="F52" s="21"/>
      <c r="G52" s="21"/>
      <c r="H52" s="21"/>
      <c r="I52" s="21"/>
    </row>
    <row r="53" spans="1:9" x14ac:dyDescent="0.25">
      <c r="A53" s="6" t="s">
        <v>299</v>
      </c>
      <c r="B53" s="6" t="s">
        <v>300</v>
      </c>
      <c r="C53" s="6" t="s">
        <v>291</v>
      </c>
      <c r="D53" s="6" t="s">
        <v>266</v>
      </c>
      <c r="E53" s="6" t="s">
        <v>292</v>
      </c>
      <c r="F53" s="6" t="s">
        <v>293</v>
      </c>
      <c r="G53" s="6" t="s">
        <v>294</v>
      </c>
      <c r="H53" s="6" t="s">
        <v>295</v>
      </c>
      <c r="I53" s="6" t="s">
        <v>301</v>
      </c>
    </row>
    <row r="54" spans="1:9" x14ac:dyDescent="0.25">
      <c r="A54" s="9" t="s">
        <v>283</v>
      </c>
      <c r="B54" s="9" t="str">
        <f>A54</f>
        <v>Weekday</v>
      </c>
      <c r="C54" s="30">
        <f>COUNTIFS(Clean_Data!$W$2:$W$1001,$A54,Clean_Data!$V$2:$V$1001,1)</f>
        <v>670</v>
      </c>
      <c r="D54" s="30">
        <f>SUMIFS(Clean_Data!$P$2:$P$1001,Clean_Data!$W$2:$W$1001,$A54,Clean_Data!$V$2:$V$1001,1)</f>
        <v>42435</v>
      </c>
      <c r="E54" s="15">
        <f>IFERROR(D54/C54,0)</f>
        <v>63.3358208955224</v>
      </c>
      <c r="F54" s="15">
        <f>IFERROR(SUMIFS(Clean_Data!$N$2:$N$1001,Clean_Data!$W$2:$W$1001,$A54,Clean_Data!$V$2:$V$1001,1)/C54,0)</f>
        <v>3.31194029850746</v>
      </c>
      <c r="G54" s="15">
        <f>IFERROR(SUMIFS(Clean_Data!$O$2:$O$1001,Clean_Data!$W$2:$W$1001,$A54,Clean_Data!$V$2:$V$1001,1)/C54,0)</f>
        <v>60.0238805970149</v>
      </c>
      <c r="H54" s="33">
        <f>IFERROR(SUMIFS(Clean_Data!$O$2:$O$1001,Clean_Data!$W$2:$W$1001,$A54,Clean_Data!$V$2:$V$1001,1)/D54,0)</f>
        <v>0.947708259691293</v>
      </c>
      <c r="I54" s="24">
        <f>IFERROR(E54/$E$4*100,0)</f>
        <v>108.630318495339</v>
      </c>
    </row>
    <row r="55" spans="1:9" x14ac:dyDescent="0.25">
      <c r="A55" s="9" t="s">
        <v>304</v>
      </c>
      <c r="B55" s="9" t="str">
        <f>A55</f>
        <v>Weekend</v>
      </c>
      <c r="C55" s="30">
        <f>COUNTIFS(Clean_Data!$W$2:$W$1001,$A55,Clean_Data!$V$2:$V$1001,1)</f>
        <v>330</v>
      </c>
      <c r="D55" s="30">
        <f>SUMIFS(Clean_Data!$P$2:$P$1001,Clean_Data!$W$2:$W$1001,$A55,Clean_Data!$V$2:$V$1001,1)</f>
        <v>15869</v>
      </c>
      <c r="E55" s="15">
        <f>IFERROR(D55/C55,0)</f>
        <v>48.0878787878788</v>
      </c>
      <c r="F55" s="15">
        <f>IFERROR(SUMIFS(Clean_Data!$N$2:$N$1001,Clean_Data!$W$2:$W$1001,$A55,Clean_Data!$V$2:$V$1001,1)/C55,0)</f>
        <v>8.18787878787879</v>
      </c>
      <c r="G55" s="15">
        <f>IFERROR(SUMIFS(Clean_Data!$O$2:$O$1001,Clean_Data!$W$2:$W$1001,$A55,Clean_Data!$V$2:$V$1001,1)/C55,0)</f>
        <v>39.9</v>
      </c>
      <c r="H55" s="33">
        <f>IFERROR(SUMIFS(Clean_Data!$O$2:$O$1001,Clean_Data!$W$2:$W$1001,$A55,Clean_Data!$V$2:$V$1001,1)/D55,0)</f>
        <v>0.829730921923247</v>
      </c>
      <c r="I55" s="24">
        <f>IFERROR(E55/$E$4*100,0)</f>
        <v>82.4778382064332</v>
      </c>
    </row>
    <row r="69" spans="1:9" x14ac:dyDescent="0.25">
      <c r="A69" s="21" t="s">
        <v>305</v>
      </c>
      <c r="B69" s="21"/>
      <c r="C69" s="21"/>
      <c r="D69" s="21"/>
      <c r="E69" s="21"/>
      <c r="F69" s="21"/>
      <c r="G69" s="21"/>
      <c r="H69" s="21"/>
      <c r="I69" s="21"/>
    </row>
    <row r="70" spans="1:9" x14ac:dyDescent="0.25">
      <c r="A70" s="6" t="s">
        <v>299</v>
      </c>
      <c r="B70" s="6" t="s">
        <v>300</v>
      </c>
      <c r="C70" s="6" t="s">
        <v>291</v>
      </c>
      <c r="D70" s="6" t="s">
        <v>266</v>
      </c>
      <c r="E70" s="6" t="s">
        <v>292</v>
      </c>
      <c r="F70" s="6" t="s">
        <v>293</v>
      </c>
      <c r="G70" s="6" t="s">
        <v>294</v>
      </c>
      <c r="H70" s="6" t="s">
        <v>295</v>
      </c>
      <c r="I70" s="6" t="s">
        <v>301</v>
      </c>
    </row>
    <row r="71" spans="1:9" x14ac:dyDescent="0.25">
      <c r="A71" s="9">
        <v>1</v>
      </c>
      <c r="B71" s="9" t="str">
        <f>VLOOKUP(A71,Lookups!$A$4:$B$7,2,FALSE)</f>
        <v>Clear</v>
      </c>
      <c r="C71" s="30">
        <f>COUNTIFS(Clean_Data!$I$2:$I$1001,$A71,Clean_Data!$V$2:$V$1001,1)</f>
        <v>606</v>
      </c>
      <c r="D71" s="30">
        <f>SUMIFS(Clean_Data!$P$2:$P$1001,Clean_Data!$I$2:$I$1001,$A71,Clean_Data!$V$2:$V$1001,1)</f>
        <v>37373</v>
      </c>
      <c r="E71" s="15">
        <f>IFERROR(D71/C71,0)</f>
        <v>61.6716171617162</v>
      </c>
      <c r="F71" s="15">
        <f>IFERROR(SUMIFS(Clean_Data!$N$2:$N$1001,Clean_Data!$I$2:$I$1001,$A71,Clean_Data!$V$2:$V$1001,1)/C71,0)</f>
        <v>5.2986798679868</v>
      </c>
      <c r="G71" s="15">
        <f>IFERROR(SUMIFS(Clean_Data!$O$2:$O$1001,Clean_Data!$I$2:$I$1001,$A71,Clean_Data!$V$2:$V$1001,1)/C71,0)</f>
        <v>56.3729372937294</v>
      </c>
      <c r="H71" s="33">
        <f>IFERROR(SUMIFS(Clean_Data!$O$2:$O$1001,Clean_Data!$I$2:$I$1001,$A71,Clean_Data!$V$2:$V$1001,1)/D71,0)</f>
        <v>0.914082358922217</v>
      </c>
      <c r="I71" s="24">
        <f>IFERROR(E71/$E$4*100,0)</f>
        <v>105.775962475501</v>
      </c>
    </row>
    <row r="72" spans="1:9" x14ac:dyDescent="0.25">
      <c r="A72" s="9">
        <v>2</v>
      </c>
      <c r="B72" s="9" t="str">
        <f>VLOOKUP(A72,Lookups!$A$4:$B$7,2,FALSE)</f>
        <v>Mist/Cloudy</v>
      </c>
      <c r="C72" s="30">
        <f>COUNTIFS(Clean_Data!$I$2:$I$1001,$A72,Clean_Data!$V$2:$V$1001,1)</f>
        <v>309</v>
      </c>
      <c r="D72" s="30">
        <f>SUMIFS(Clean_Data!$P$2:$P$1001,Clean_Data!$I$2:$I$1001,$A72,Clean_Data!$V$2:$V$1001,1)</f>
        <v>18106</v>
      </c>
      <c r="E72" s="15">
        <f>IFERROR(D72/C72,0)</f>
        <v>58.5954692556634</v>
      </c>
      <c r="F72" s="15">
        <f>IFERROR(SUMIFS(Clean_Data!$N$2:$N$1001,Clean_Data!$I$2:$I$1001,$A72,Clean_Data!$V$2:$V$1001,1)/C72,0)</f>
        <v>4.97734627831715</v>
      </c>
      <c r="G72" s="15">
        <f>IFERROR(SUMIFS(Clean_Data!$O$2:$O$1001,Clean_Data!$I$2:$I$1001,$A72,Clean_Data!$V$2:$V$1001,1)/C72,0)</f>
        <v>53.6181229773463</v>
      </c>
      <c r="H72" s="33">
        <f>IFERROR(SUMIFS(Clean_Data!$O$2:$O$1001,Clean_Data!$I$2:$I$1001,$A72,Clean_Data!$V$2:$V$1001,1)/D72,0)</f>
        <v>0.915055782613498</v>
      </c>
      <c r="I72" s="24">
        <f>IFERROR(E72/$E$4*100,0)</f>
        <v>100.499912965943</v>
      </c>
    </row>
    <row r="73" spans="1:9" x14ac:dyDescent="0.25">
      <c r="A73" s="9">
        <v>3</v>
      </c>
      <c r="B73" s="9" t="str">
        <f>VLOOKUP(A73,Lookups!$A$4:$B$7,2,FALSE)</f>
        <v>Light Rain/Snow</v>
      </c>
      <c r="C73" s="30">
        <f>COUNTIFS(Clean_Data!$I$2:$I$1001,$A73,Clean_Data!$V$2:$V$1001,1)</f>
        <v>84</v>
      </c>
      <c r="D73" s="30">
        <f>SUMIFS(Clean_Data!$P$2:$P$1001,Clean_Data!$I$2:$I$1001,$A73,Clean_Data!$V$2:$V$1001,1)</f>
        <v>2789</v>
      </c>
      <c r="E73" s="15">
        <f>IFERROR(D73/C73,0)</f>
        <v>33.202380952381</v>
      </c>
      <c r="F73" s="15">
        <f>IFERROR(SUMIFS(Clean_Data!$N$2:$N$1001,Clean_Data!$I$2:$I$1001,$A73,Clean_Data!$V$2:$V$1001,1)/C73,0)</f>
        <v>2.03571428571429</v>
      </c>
      <c r="G73" s="15">
        <f>IFERROR(SUMIFS(Clean_Data!$O$2:$O$1001,Clean_Data!$I$2:$I$1001,$A73,Clean_Data!$V$2:$V$1001,1)/C73,0)</f>
        <v>31.1666666666667</v>
      </c>
      <c r="H73" s="33">
        <f>IFERROR(SUMIFS(Clean_Data!$O$2:$O$1001,Clean_Data!$I$2:$I$1001,$A73,Clean_Data!$V$2:$V$1001,1)/D73,0)</f>
        <v>0.938687701685192</v>
      </c>
      <c r="I73" s="24">
        <f>IFERROR(E73/$E$4*100,0)</f>
        <v>56.9470035544404</v>
      </c>
    </row>
    <row r="74" spans="1:9" x14ac:dyDescent="0.25">
      <c r="A74" s="9">
        <v>4</v>
      </c>
      <c r="B74" s="9" t="str">
        <f>VLOOKUP(A74,Lookups!$A$4:$B$7,2,FALSE)</f>
        <v>Heavy Rain/Snow</v>
      </c>
      <c r="C74" s="30">
        <f>COUNTIFS(Clean_Data!$I$2:$I$1001,$A74,Clean_Data!$V$2:$V$1001,1)</f>
        <v>1</v>
      </c>
      <c r="D74" s="30">
        <f>SUMIFS(Clean_Data!$P$2:$P$1001,Clean_Data!$I$2:$I$1001,$A74,Clean_Data!$V$2:$V$1001,1)</f>
        <v>36</v>
      </c>
      <c r="E74" s="15">
        <f>IFERROR(D74/C74,0)</f>
        <v>36</v>
      </c>
      <c r="F74" s="15">
        <f>IFERROR(SUMIFS(Clean_Data!$N$2:$N$1001,Clean_Data!$I$2:$I$1001,$A74,Clean_Data!$V$2:$V$1001,1)/C74,0)</f>
        <v>1</v>
      </c>
      <c r="G74" s="15">
        <f>IFERROR(SUMIFS(Clean_Data!$O$2:$O$1001,Clean_Data!$I$2:$I$1001,$A74,Clean_Data!$V$2:$V$1001,1)/C74,0)</f>
        <v>35</v>
      </c>
      <c r="H74" s="33">
        <f>IFERROR(SUMIFS(Clean_Data!$O$2:$O$1001,Clean_Data!$I$2:$I$1001,$A74,Clean_Data!$V$2:$V$1001,1)/D74,0)</f>
        <v>0.972222222222222</v>
      </c>
      <c r="I74" s="24">
        <f>IFERROR(E74/$E$4*100,0)</f>
        <v>61.7453347969265</v>
      </c>
    </row>
    <row r="86" spans="1:9" x14ac:dyDescent="0.25">
      <c r="A86" s="21" t="s">
        <v>306</v>
      </c>
      <c r="B86" s="21"/>
      <c r="C86" s="21"/>
      <c r="D86" s="21"/>
      <c r="E86" s="21"/>
      <c r="F86" s="21"/>
      <c r="G86" s="21"/>
      <c r="H86" s="21"/>
      <c r="I86" s="21"/>
    </row>
    <row r="87" spans="1:9" x14ac:dyDescent="0.25">
      <c r="A87" s="6" t="s">
        <v>299</v>
      </c>
      <c r="B87" s="6" t="s">
        <v>300</v>
      </c>
      <c r="C87" s="6" t="s">
        <v>291</v>
      </c>
      <c r="D87" s="6" t="s">
        <v>266</v>
      </c>
      <c r="E87" s="6" t="s">
        <v>292</v>
      </c>
      <c r="F87" s="6" t="s">
        <v>293</v>
      </c>
      <c r="G87" s="6" t="s">
        <v>294</v>
      </c>
      <c r="H87" s="6" t="s">
        <v>295</v>
      </c>
      <c r="I87" s="6" t="s">
        <v>301</v>
      </c>
    </row>
    <row r="88" spans="1:9" x14ac:dyDescent="0.25">
      <c r="A88" s="9" t="s">
        <v>31</v>
      </c>
      <c r="B88" s="9" t="str">
        <f>A88</f>
        <v>Night (00-05)</v>
      </c>
      <c r="C88" s="30">
        <f>COUNTIFS(Clean_Data!$AC$2:$AC$1001,$A88,Clean_Data!$V$2:$V$1001,1)</f>
        <v>229</v>
      </c>
      <c r="D88" s="30">
        <f>SUMIFS(Clean_Data!$P$2:$P$1001,Clean_Data!$AC$2:$AC$1001,$A88,Clean_Data!$V$2:$V$1001,1)</f>
        <v>1841</v>
      </c>
      <c r="E88" s="15">
        <f>IFERROR(D88/C88,0)</f>
        <v>8.03930131004367</v>
      </c>
      <c r="F88" s="15">
        <f>IFERROR(SUMIFS(Clean_Data!$N$2:$N$1001,Clean_Data!$AC$2:$AC$1001,$A88,Clean_Data!$V$2:$V$1001,1)/C88,0)</f>
        <v>0.868995633187773</v>
      </c>
      <c r="G88" s="15">
        <f>IFERROR(SUMIFS(Clean_Data!$O$2:$O$1001,Clean_Data!$AC$2:$AC$1001,$A88,Clean_Data!$V$2:$V$1001,1)/C88,0)</f>
        <v>7.1703056768559</v>
      </c>
      <c r="H88" s="33">
        <f>IFERROR(SUMIFS(Clean_Data!$O$2:$O$1001,Clean_Data!$AC$2:$AC$1001,$A88,Clean_Data!$V$2:$V$1001,1)/D88,0)</f>
        <v>0.891906572514938</v>
      </c>
      <c r="I88" s="24">
        <f>IFERROR(E88/$E$4*100,0)</f>
        <v>13.7885930811671</v>
      </c>
    </row>
    <row r="89" spans="1:9" x14ac:dyDescent="0.25">
      <c r="A89" s="9" t="s">
        <v>32</v>
      </c>
      <c r="B89" s="9" t="str">
        <f>A89</f>
        <v>Morning Peak (06-09)</v>
      </c>
      <c r="C89" s="30">
        <f>COUNTIFS(Clean_Data!$AC$2:$AC$1001,$A89,Clean_Data!$V$2:$V$1001,1)</f>
        <v>169</v>
      </c>
      <c r="D89" s="30">
        <f>SUMIFS(Clean_Data!$P$2:$P$1001,Clean_Data!$AC$2:$AC$1001,$A89,Clean_Data!$V$2:$V$1001,1)</f>
        <v>12221</v>
      </c>
      <c r="E89" s="15">
        <f>IFERROR(D89/C89,0)</f>
        <v>72.3136094674556</v>
      </c>
      <c r="F89" s="15">
        <f>IFERROR(SUMIFS(Clean_Data!$N$2:$N$1001,Clean_Data!$AC$2:$AC$1001,$A89,Clean_Data!$V$2:$V$1001,1)/C89,0)</f>
        <v>2.27218934911243</v>
      </c>
      <c r="G89" s="15">
        <f>IFERROR(SUMIFS(Clean_Data!$O$2:$O$1001,Clean_Data!$AC$2:$AC$1001,$A89,Clean_Data!$V$2:$V$1001,1)/C89,0)</f>
        <v>70.0414201183432</v>
      </c>
      <c r="H89" s="33">
        <f>IFERROR(SUMIFS(Clean_Data!$O$2:$O$1001,Clean_Data!$AC$2:$AC$1001,$A89,Clean_Data!$V$2:$V$1001,1)/D89,0)</f>
        <v>0.968578676049423</v>
      </c>
      <c r="I89" s="24">
        <f>IFERROR(E89/$E$4*100,0)</f>
        <v>124.028556303951</v>
      </c>
    </row>
    <row r="90" spans="1:9" x14ac:dyDescent="0.25">
      <c r="A90" s="9" t="s">
        <v>33</v>
      </c>
      <c r="B90" s="9" t="str">
        <f>A90</f>
        <v>Midday (10-15)</v>
      </c>
      <c r="C90" s="30">
        <f>COUNTIFS(Clean_Data!$AC$2:$AC$1001,$A90,Clean_Data!$V$2:$V$1001,1)</f>
        <v>256</v>
      </c>
      <c r="D90" s="30">
        <f>SUMIFS(Clean_Data!$P$2:$P$1001,Clean_Data!$AC$2:$AC$1001,$A90,Clean_Data!$V$2:$V$1001,1)</f>
        <v>17958</v>
      </c>
      <c r="E90" s="15">
        <f>IFERROR(D90/C90,0)</f>
        <v>70.1484375</v>
      </c>
      <c r="F90" s="15">
        <f>IFERROR(SUMIFS(Clean_Data!$N$2:$N$1001,Clean_Data!$AC$2:$AC$1001,$A90,Clean_Data!$V$2:$V$1001,1)/C90,0)</f>
        <v>10.078125</v>
      </c>
      <c r="G90" s="15">
        <f>IFERROR(SUMIFS(Clean_Data!$O$2:$O$1001,Clean_Data!$AC$2:$AC$1001,$A90,Clean_Data!$V$2:$V$1001,1)/C90,0)</f>
        <v>60.0703125</v>
      </c>
      <c r="H90" s="33">
        <f>IFERROR(SUMIFS(Clean_Data!$O$2:$O$1001,Clean_Data!$AC$2:$AC$1001,$A90,Clean_Data!$V$2:$V$1001,1)/D90,0)</f>
        <v>0.856331440026729</v>
      </c>
      <c r="I90" s="24">
        <f>IFERROR(E90/$E$4*100,0)</f>
        <v>120.314965525521</v>
      </c>
    </row>
    <row r="91" spans="1:9" x14ac:dyDescent="0.25">
      <c r="A91" s="9" t="s">
        <v>34</v>
      </c>
      <c r="B91" s="9" t="str">
        <f>A91</f>
        <v>Evening Peak (16-19)</v>
      </c>
      <c r="C91" s="30">
        <f>COUNTIFS(Clean_Data!$AC$2:$AC$1001,$A91,Clean_Data!$V$2:$V$1001,1)</f>
        <v>174</v>
      </c>
      <c r="D91" s="30">
        <f>SUMIFS(Clean_Data!$P$2:$P$1001,Clean_Data!$AC$2:$AC$1001,$A91,Clean_Data!$V$2:$V$1001,1)</f>
        <v>19041</v>
      </c>
      <c r="E91" s="15">
        <f>IFERROR(D91/C91,0)</f>
        <v>109.431034482759</v>
      </c>
      <c r="F91" s="15">
        <f>IFERROR(SUMIFS(Clean_Data!$N$2:$N$1001,Clean_Data!$AC$2:$AC$1001,$A91,Clean_Data!$V$2:$V$1001,1)/C91,0)</f>
        <v>7.45402298850575</v>
      </c>
      <c r="G91" s="15">
        <f>IFERROR(SUMIFS(Clean_Data!$O$2:$O$1001,Clean_Data!$AC$2:$AC$1001,$A91,Clean_Data!$V$2:$V$1001,1)/C91,0)</f>
        <v>101.977011494253</v>
      </c>
      <c r="H91" s="33">
        <f>IFERROR(SUMIFS(Clean_Data!$O$2:$O$1001,Clean_Data!$AC$2:$AC$1001,$A91,Clean_Data!$V$2:$V$1001,1)/D91,0)</f>
        <v>0.931883829630797</v>
      </c>
      <c r="I91" s="24">
        <f>IFERROR(E91/$E$4*100,0)</f>
        <v>187.690440591998</v>
      </c>
    </row>
    <row r="92" spans="1:9" x14ac:dyDescent="0.25">
      <c r="A92" s="9" t="s">
        <v>35</v>
      </c>
      <c r="B92" s="9" t="str">
        <f>A92</f>
        <v>Late Evening (20-23)</v>
      </c>
      <c r="C92" s="30">
        <f>COUNTIFS(Clean_Data!$AC$2:$AC$1001,$A92,Clean_Data!$V$2:$V$1001,1)</f>
        <v>172</v>
      </c>
      <c r="D92" s="30">
        <f>SUMIFS(Clean_Data!$P$2:$P$1001,Clean_Data!$AC$2:$AC$1001,$A92,Clean_Data!$V$2:$V$1001,1)</f>
        <v>7243</v>
      </c>
      <c r="E92" s="15">
        <f>IFERROR(D92/C92,0)</f>
        <v>42.1104651162791</v>
      </c>
      <c r="F92" s="15">
        <f>IFERROR(SUMIFS(Clean_Data!$N$2:$N$1001,Clean_Data!$AC$2:$AC$1001,$A92,Clean_Data!$V$2:$V$1001,1)/C92,0)</f>
        <v>2.68023255813953</v>
      </c>
      <c r="G92" s="15">
        <f>IFERROR(SUMIFS(Clean_Data!$O$2:$O$1001,Clean_Data!$AC$2:$AC$1001,$A92,Clean_Data!$V$2:$V$1001,1)/C92,0)</f>
        <v>39.4302325581395</v>
      </c>
      <c r="H92" s="33">
        <f>IFERROR(SUMIFS(Clean_Data!$O$2:$O$1001,Clean_Data!$AC$2:$AC$1001,$A92,Clean_Data!$V$2:$V$1001,1)/D92,0)</f>
        <v>0.936352340190529</v>
      </c>
      <c r="I92" s="24">
        <f>IFERROR(E92/$E$4*100,0)</f>
        <v>72.2256879738596</v>
      </c>
    </row>
    <row r="103" spans="1:9" x14ac:dyDescent="0.25">
      <c r="A103" s="21" t="s">
        <v>307</v>
      </c>
      <c r="B103" s="21"/>
      <c r="C103" s="21"/>
      <c r="D103" s="21"/>
      <c r="E103" s="21"/>
      <c r="F103" s="21"/>
      <c r="G103" s="21"/>
      <c r="H103" s="21"/>
      <c r="I103" s="21"/>
    </row>
    <row r="104" spans="1:9" x14ac:dyDescent="0.25">
      <c r="A104" s="6" t="s">
        <v>299</v>
      </c>
      <c r="B104" s="6" t="s">
        <v>300</v>
      </c>
      <c r="C104" s="6" t="s">
        <v>291</v>
      </c>
      <c r="D104" s="6" t="s">
        <v>266</v>
      </c>
      <c r="E104" s="6" t="s">
        <v>292</v>
      </c>
      <c r="F104" s="6" t="s">
        <v>293</v>
      </c>
      <c r="G104" s="6" t="s">
        <v>294</v>
      </c>
      <c r="H104" s="6" t="s">
        <v>295</v>
      </c>
      <c r="I104" s="6" t="s">
        <v>301</v>
      </c>
    </row>
    <row r="105" spans="1:9" x14ac:dyDescent="0.25">
      <c r="A105" s="9" t="s">
        <v>308</v>
      </c>
      <c r="B105" s="9" t="str">
        <f>A105</f>
        <v>Under 5 C</v>
      </c>
      <c r="C105" s="30">
        <f>COUNTIFS(Clean_Data!$AJ$2:$AJ$1001,$A105,Clean_Data!$V$2:$V$1001,1)</f>
        <v>127</v>
      </c>
      <c r="D105" s="30">
        <f>SUMIFS(Clean_Data!$P$2:$P$1001,Clean_Data!$AJ$2:$AJ$1001,$A105,Clean_Data!$V$2:$V$1001,1)</f>
        <v>4883</v>
      </c>
      <c r="E105" s="15">
        <f>IFERROR(D105/C105,0)</f>
        <v>38.4488188976378</v>
      </c>
      <c r="F105" s="15">
        <f>IFERROR(SUMIFS(Clean_Data!$N$2:$N$1001,Clean_Data!$AJ$2:$AJ$1001,$A105,Clean_Data!$V$2:$V$1001,1)/C105,0)</f>
        <v>1.91338582677165</v>
      </c>
      <c r="G105" s="15">
        <f>IFERROR(SUMIFS(Clean_Data!$O$2:$O$1001,Clean_Data!$AJ$2:$AJ$1001,$A105,Clean_Data!$V$2:$V$1001,1)/C105,0)</f>
        <v>36.5354330708661</v>
      </c>
      <c r="H105" s="33">
        <f>IFERROR(SUMIFS(Clean_Data!$O$2:$O$1001,Clean_Data!$AJ$2:$AJ$1001,$A105,Clean_Data!$V$2:$V$1001,1)/D105,0)</f>
        <v>0.950235510956379</v>
      </c>
      <c r="I105" s="24">
        <f>IFERROR(E105/$E$4*100,0)</f>
        <v>65.9454220939177</v>
      </c>
    </row>
    <row r="106" spans="1:9" x14ac:dyDescent="0.25">
      <c r="A106" s="9" t="s">
        <v>309</v>
      </c>
      <c r="B106" s="9" t="str">
        <f>A106</f>
        <v>5-10 C</v>
      </c>
      <c r="C106" s="30">
        <f>COUNTIFS(Clean_Data!$AJ$2:$AJ$1001,$A106,Clean_Data!$V$2:$V$1001,1)</f>
        <v>652</v>
      </c>
      <c r="D106" s="30">
        <f>SUMIFS(Clean_Data!$P$2:$P$1001,Clean_Data!$AJ$2:$AJ$1001,$A106,Clean_Data!$V$2:$V$1001,1)</f>
        <v>36486</v>
      </c>
      <c r="E106" s="15">
        <f>IFERROR(D106/C106,0)</f>
        <v>55.9601226993865</v>
      </c>
      <c r="F106" s="15">
        <f>IFERROR(SUMIFS(Clean_Data!$N$2:$N$1001,Clean_Data!$AJ$2:$AJ$1001,$A106,Clean_Data!$V$2:$V$1001,1)/C106,0)</f>
        <v>3.30674846625767</v>
      </c>
      <c r="G106" s="15">
        <f>IFERROR(SUMIFS(Clean_Data!$O$2:$O$1001,Clean_Data!$AJ$2:$AJ$1001,$A106,Clean_Data!$V$2:$V$1001,1)/C106,0)</f>
        <v>52.6533742331288</v>
      </c>
      <c r="H106" s="33">
        <f>IFERROR(SUMIFS(Clean_Data!$O$2:$O$1001,Clean_Data!$AJ$2:$AJ$1001,$A106,Clean_Data!$V$2:$V$1001,1)/D106,0)</f>
        <v>0.94090884174752</v>
      </c>
      <c r="I106" s="24">
        <f>IFERROR(E106/$E$4*100,0)</f>
        <v>95.9799030930751</v>
      </c>
    </row>
    <row r="107" spans="1:9" x14ac:dyDescent="0.25">
      <c r="A107" s="9" t="s">
        <v>310</v>
      </c>
      <c r="B107" s="9" t="str">
        <f>A107</f>
        <v>10-15 C</v>
      </c>
      <c r="C107" s="30">
        <f>COUNTIFS(Clean_Data!$AJ$2:$AJ$1001,$A107,Clean_Data!$V$2:$V$1001,1)</f>
        <v>179</v>
      </c>
      <c r="D107" s="30">
        <f>SUMIFS(Clean_Data!$P$2:$P$1001,Clean_Data!$AJ$2:$AJ$1001,$A107,Clean_Data!$V$2:$V$1001,1)</f>
        <v>14451</v>
      </c>
      <c r="E107" s="15">
        <f>IFERROR(D107/C107,0)</f>
        <v>80.731843575419</v>
      </c>
      <c r="F107" s="15">
        <f>IFERROR(SUMIFS(Clean_Data!$N$2:$N$1001,Clean_Data!$AJ$2:$AJ$1001,$A107,Clean_Data!$V$2:$V$1001,1)/C107,0)</f>
        <v>10.7094972067039</v>
      </c>
      <c r="G107" s="15">
        <f>IFERROR(SUMIFS(Clean_Data!$O$2:$O$1001,Clean_Data!$AJ$2:$AJ$1001,$A107,Clean_Data!$V$2:$V$1001,1)/C107,0)</f>
        <v>70.0223463687151</v>
      </c>
      <c r="H107" s="33">
        <f>IFERROR(SUMIFS(Clean_Data!$O$2:$O$1001,Clean_Data!$AJ$2:$AJ$1001,$A107,Clean_Data!$V$2:$V$1001,1)/D107,0)</f>
        <v>0.867344820427652</v>
      </c>
      <c r="I107" s="24">
        <f>IFERROR(E107/$E$4*100,0)</f>
        <v>138.467075287148</v>
      </c>
    </row>
    <row r="108" spans="1:9" x14ac:dyDescent="0.25">
      <c r="A108" s="9" t="s">
        <v>311</v>
      </c>
      <c r="B108" s="9" t="str">
        <f>A108</f>
        <v>15 C and above</v>
      </c>
      <c r="C108" s="30">
        <f>COUNTIFS(Clean_Data!$AJ$2:$AJ$1001,$A108,Clean_Data!$V$2:$V$1001,1)</f>
        <v>42</v>
      </c>
      <c r="D108" s="30">
        <f>SUMIFS(Clean_Data!$P$2:$P$1001,Clean_Data!$AJ$2:$AJ$1001,$A108,Clean_Data!$V$2:$V$1001,1)</f>
        <v>2484</v>
      </c>
      <c r="E108" s="15">
        <f>IFERROR(D108/C108,0)</f>
        <v>59.1428571428571</v>
      </c>
      <c r="F108" s="15">
        <f>IFERROR(SUMIFS(Clean_Data!$N$2:$N$1001,Clean_Data!$AJ$2:$AJ$1001,$A108,Clean_Data!$V$2:$V$1001,1)/C108,0)</f>
        <v>14.4047619047619</v>
      </c>
      <c r="G108" s="15">
        <f>IFERROR(SUMIFS(Clean_Data!$O$2:$O$1001,Clean_Data!$AJ$2:$AJ$1001,$A108,Clean_Data!$V$2:$V$1001,1)/C108,0)</f>
        <v>44.7380952380952</v>
      </c>
      <c r="H108" s="33">
        <f>IFERROR(SUMIFS(Clean_Data!$O$2:$O$1001,Clean_Data!$AJ$2:$AJ$1001,$A108,Clean_Data!$V$2:$V$1001,1)/D108,0)</f>
        <v>0.756441223832528</v>
      </c>
      <c r="I108" s="24">
        <f>IFERROR(E108/$E$4*100,0)</f>
        <v>101.438764309236</v>
      </c>
    </row>
    <row r="120" spans="1:9" x14ac:dyDescent="0.25">
      <c r="A120" s="21" t="s">
        <v>312</v>
      </c>
      <c r="B120" s="21"/>
      <c r="C120" s="21"/>
      <c r="D120" s="21"/>
      <c r="E120" s="21"/>
      <c r="F120" s="21"/>
      <c r="G120" s="21"/>
      <c r="H120" s="21"/>
      <c r="I120" s="21"/>
    </row>
    <row r="121" spans="1:9" x14ac:dyDescent="0.25">
      <c r="A121" s="6" t="s">
        <v>299</v>
      </c>
      <c r="B121" s="6" t="s">
        <v>300</v>
      </c>
      <c r="C121" s="6" t="s">
        <v>291</v>
      </c>
      <c r="D121" s="6" t="s">
        <v>266</v>
      </c>
      <c r="E121" s="6" t="s">
        <v>292</v>
      </c>
      <c r="F121" s="6" t="s">
        <v>293</v>
      </c>
      <c r="G121" s="6" t="s">
        <v>294</v>
      </c>
      <c r="H121" s="6" t="s">
        <v>295</v>
      </c>
      <c r="I121" s="6" t="s">
        <v>301</v>
      </c>
    </row>
    <row r="122" spans="1:9" x14ac:dyDescent="0.25">
      <c r="A122" s="9">
        <v>0</v>
      </c>
      <c r="B122" s="9" t="str">
        <f>IF(A122=1,"Holiday","Regular day")</f>
        <v>Regular day</v>
      </c>
      <c r="C122" s="30">
        <f>COUNTIFS(Clean_Data!$G$2:$G$1001,$A122,Clean_Data!$V$2:$V$1001,1)</f>
        <v>976</v>
      </c>
      <c r="D122" s="30">
        <f>SUMIFS(Clean_Data!$P$2:$P$1001,Clean_Data!$G$2:$G$1001,$A122,Clean_Data!$V$2:$V$1001,1)</f>
        <v>57304</v>
      </c>
      <c r="E122" s="15">
        <f>IFERROR(D122/C122,0)</f>
        <v>58.7131147540984</v>
      </c>
      <c r="F122" s="15">
        <f>IFERROR(SUMIFS(Clean_Data!$N$2:$N$1001,Clean_Data!$G$2:$G$1001,$A122,Clean_Data!$V$2:$V$1001,1)/C122,0)</f>
        <v>4.92213114754098</v>
      </c>
      <c r="G122" s="15">
        <f>IFERROR(SUMIFS(Clean_Data!$O$2:$O$1001,Clean_Data!$G$2:$G$1001,$A122,Clean_Data!$V$2:$V$1001,1)/C122,0)</f>
        <v>53.7909836065574</v>
      </c>
      <c r="H122" s="33">
        <f>IFERROR(SUMIFS(Clean_Data!$O$2:$O$1001,Clean_Data!$G$2:$G$1001,$A122,Clean_Data!$V$2:$V$1001,1)/D122,0)</f>
        <v>0.916166410721765</v>
      </c>
      <c r="I122" s="24">
        <f>IFERROR(E122/$E$4*100,0)</f>
        <v>100.701692429505</v>
      </c>
    </row>
    <row r="123" spans="1:9" x14ac:dyDescent="0.25">
      <c r="A123" s="9">
        <v>1</v>
      </c>
      <c r="B123" s="9" t="str">
        <f>IF(A123=1,"Holiday","Regular day")</f>
        <v>Holiday</v>
      </c>
      <c r="C123" s="30">
        <f>COUNTIFS(Clean_Data!$G$2:$G$1001,$A123,Clean_Data!$V$2:$V$1001,1)</f>
        <v>24</v>
      </c>
      <c r="D123" s="30">
        <f>SUMIFS(Clean_Data!$P$2:$P$1001,Clean_Data!$G$2:$G$1001,$A123,Clean_Data!$V$2:$V$1001,1)</f>
        <v>1000</v>
      </c>
      <c r="E123" s="15">
        <f>IFERROR(D123/C123,0)</f>
        <v>41.6666666666667</v>
      </c>
      <c r="F123" s="15">
        <f>IFERROR(SUMIFS(Clean_Data!$N$2:$N$1001,Clean_Data!$G$2:$G$1001,$A123,Clean_Data!$V$2:$V$1001,1)/C123,0)</f>
        <v>4.875</v>
      </c>
      <c r="G123" s="15">
        <f>IFERROR(SUMIFS(Clean_Data!$O$2:$O$1001,Clean_Data!$G$2:$G$1001,$A123,Clean_Data!$V$2:$V$1001,1)/C123,0)</f>
        <v>36.7916666666667</v>
      </c>
      <c r="H123" s="33">
        <f>IFERROR(SUMIFS(Clean_Data!$O$2:$O$1001,Clean_Data!$G$2:$G$1001,$A123,Clean_Data!$V$2:$V$1001,1)/D123,0)</f>
        <v>0.883</v>
      </c>
      <c r="I123" s="24">
        <f>IFERROR(E123/$E$4*100,0)</f>
        <v>71.464507866813</v>
      </c>
    </row>
    <row r="137" spans="1:9" x14ac:dyDescent="0.25">
      <c r="A137" s="21" t="s">
        <v>313</v>
      </c>
      <c r="B137" s="21"/>
      <c r="C137" s="21"/>
      <c r="D137" s="21"/>
      <c r="E137" s="21"/>
      <c r="F137" s="21"/>
      <c r="G137" s="21"/>
      <c r="H137" s="21"/>
      <c r="I137" s="21"/>
    </row>
    <row r="138" spans="1:9" x14ac:dyDescent="0.25">
      <c r="A138" s="6" t="s">
        <v>299</v>
      </c>
      <c r="B138" s="6" t="s">
        <v>314</v>
      </c>
      <c r="C138" s="6" t="s">
        <v>291</v>
      </c>
      <c r="D138" s="6" t="s">
        <v>266</v>
      </c>
      <c r="E138" s="6" t="s">
        <v>292</v>
      </c>
      <c r="F138" s="6"/>
      <c r="G138" s="6"/>
      <c r="H138" s="6" t="s">
        <v>315</v>
      </c>
      <c r="I138" s="6"/>
    </row>
    <row r="139" spans="1:9" x14ac:dyDescent="0.25">
      <c r="A139" s="9" t="s">
        <v>14</v>
      </c>
      <c r="B139" s="9" t="s">
        <v>316</v>
      </c>
      <c r="C139" s="30">
        <f>$C$4</f>
        <v>1000</v>
      </c>
      <c r="D139" s="30">
        <f>SUMIFS(Clean_Data!$N$2:$N$1001,Clean_Data!$V$2:$V$1001,1)</f>
        <v>4921</v>
      </c>
      <c r="E139" s="15">
        <f>IFERROR(D139/C139,0)</f>
        <v>4.921</v>
      </c>
      <c r="H139" s="33">
        <f>IFERROR(D139/$D$4,0)</f>
        <v>0.0844024423710209</v>
      </c>
    </row>
    <row r="140" spans="1:9" x14ac:dyDescent="0.25">
      <c r="A140" s="9" t="s">
        <v>15</v>
      </c>
      <c r="B140" s="9" t="s">
        <v>317</v>
      </c>
      <c r="C140" s="30">
        <f>$C$4</f>
        <v>1000</v>
      </c>
      <c r="D140" s="30">
        <f>SUMIFS(Clean_Data!$O$2:$O$1001,Clean_Data!$V$2:$V$1001,1)</f>
        <v>53383</v>
      </c>
      <c r="E140" s="15">
        <f>IFERROR(D140/C140,0)</f>
        <v>53.383</v>
      </c>
      <c r="H140" s="33">
        <f>IFERROR(D140/$D$4,0)</f>
        <v>0.915597557628979</v>
      </c>
    </row>
    <row r="154" spans="1:9" x14ac:dyDescent="0.25">
      <c r="A154" s="21" t="s">
        <v>318</v>
      </c>
      <c r="B154" s="21"/>
      <c r="C154" s="21"/>
      <c r="D154" s="21"/>
      <c r="E154" s="21"/>
      <c r="F154" s="21"/>
      <c r="G154" s="21"/>
      <c r="H154" s="21"/>
      <c r="I154" s="21"/>
    </row>
    <row r="155" spans="1:9" x14ac:dyDescent="0.25">
      <c r="A155" s="34" t="s">
        <v>319</v>
      </c>
      <c r="B155" s="35">
        <v>0</v>
      </c>
      <c r="C155" s="35">
        <v>1</v>
      </c>
      <c r="D155" s="35">
        <v>2</v>
      </c>
      <c r="E155" s="35">
        <v>3</v>
      </c>
      <c r="F155" s="35">
        <v>4</v>
      </c>
      <c r="G155" s="35">
        <v>5</v>
      </c>
      <c r="H155" s="35">
        <v>6</v>
      </c>
    </row>
    <row r="156" spans="1:9" x14ac:dyDescent="0.25">
      <c r="A156" s="6" t="s">
        <v>260</v>
      </c>
      <c r="B156" s="6" t="str">
        <f>VLOOKUP(B155,Lookups!$M$4:$N$10,2,FALSE)</f>
        <v>Sun</v>
      </c>
      <c r="C156" s="6" t="str">
        <f>VLOOKUP(C155,Lookups!$M$4:$N$10,2,FALSE)</f>
        <v>Mon</v>
      </c>
      <c r="D156" s="6" t="str">
        <f>VLOOKUP(D155,Lookups!$M$4:$N$10,2,FALSE)</f>
        <v>Tue</v>
      </c>
      <c r="E156" s="6" t="str">
        <f>VLOOKUP(E155,Lookups!$M$4:$N$10,2,FALSE)</f>
        <v>Wed</v>
      </c>
      <c r="F156" s="6" t="str">
        <f>VLOOKUP(F155,Lookups!$M$4:$N$10,2,FALSE)</f>
        <v>Thu</v>
      </c>
      <c r="G156" s="6" t="str">
        <f>VLOOKUP(G155,Lookups!$M$4:$N$10,2,FALSE)</f>
        <v>Fri</v>
      </c>
      <c r="H156" s="6" t="str">
        <f>VLOOKUP(H155,Lookups!$M$4:$N$10,2,FALSE)</f>
        <v>Sat</v>
      </c>
    </row>
    <row r="157" spans="1:9" x14ac:dyDescent="0.25">
      <c r="A157" s="36">
        <v>0</v>
      </c>
      <c r="B157" s="37">
        <f>IFERROR(AVERAGEIFS(Clean_Data!$P$2:$P$1001,Clean_Data!$F$2:$F$1001,$A157,Clean_Data!$H$2:$H$1001,B$155,Clean_Data!$V$2:$V$1001,1),"")</f>
        <v>30.5714285714286</v>
      </c>
      <c r="C157" s="37">
        <f>IFERROR(AVERAGEIFS(Clean_Data!$P$2:$P$1001,Clean_Data!$F$2:$F$1001,$A157,Clean_Data!$H$2:$H$1001,C$155,Clean_Data!$V$2:$V$1001,1),"")</f>
        <v>9.57142857142857</v>
      </c>
      <c r="D157" s="37">
        <f>IFERROR(AVERAGEIFS(Clean_Data!$P$2:$P$1001,Clean_Data!$F$2:$F$1001,$A157,Clean_Data!$H$2:$H$1001,D$155,Clean_Data!$V$2:$V$1001,1),"")</f>
        <v>8.8</v>
      </c>
      <c r="E157" s="37">
        <f>IFERROR(AVERAGEIFS(Clean_Data!$P$2:$P$1001,Clean_Data!$F$2:$F$1001,$A157,Clean_Data!$H$2:$H$1001,E$155,Clean_Data!$V$2:$V$1001,1),"")</f>
        <v>8.66666666666667</v>
      </c>
      <c r="F157" s="37">
        <f>IFERROR(AVERAGEIFS(Clean_Data!$P$2:$P$1001,Clean_Data!$F$2:$F$1001,$A157,Clean_Data!$H$2:$H$1001,F$155,Clean_Data!$V$2:$V$1001,1),"")</f>
        <v>11.8</v>
      </c>
      <c r="G157" s="37">
        <f>IFERROR(AVERAGEIFS(Clean_Data!$P$2:$P$1001,Clean_Data!$F$2:$F$1001,$A157,Clean_Data!$H$2:$H$1001,G$155,Clean_Data!$V$2:$V$1001,1),"")</f>
        <v>14.6666666666667</v>
      </c>
      <c r="H157" s="37">
        <f>IFERROR(AVERAGEIFS(Clean_Data!$P$2:$P$1001,Clean_Data!$F$2:$F$1001,$A157,Clean_Data!$H$2:$H$1001,H$155,Clean_Data!$V$2:$V$1001,1),"")</f>
        <v>25.5714285714286</v>
      </c>
    </row>
    <row r="158" spans="1:9" x14ac:dyDescent="0.25">
      <c r="A158" s="36">
        <v>1</v>
      </c>
      <c r="B158" s="37">
        <f>IFERROR(AVERAGEIFS(Clean_Data!$P$2:$P$1001,Clean_Data!$F$2:$F$1001,$A158,Clean_Data!$H$2:$H$1001,B$155,Clean_Data!$V$2:$V$1001,1),"")</f>
        <v>23.1428571428571</v>
      </c>
      <c r="C158" s="37">
        <f>IFERROR(AVERAGEIFS(Clean_Data!$P$2:$P$1001,Clean_Data!$F$2:$F$1001,$A158,Clean_Data!$H$2:$H$1001,C$155,Clean_Data!$V$2:$V$1001,1),"")</f>
        <v>5.57142857142857</v>
      </c>
      <c r="D158" s="37">
        <f>IFERROR(AVERAGEIFS(Clean_Data!$P$2:$P$1001,Clean_Data!$F$2:$F$1001,$A158,Clean_Data!$H$2:$H$1001,D$155,Clean_Data!$V$2:$V$1001,1),"")</f>
        <v>3.4</v>
      </c>
      <c r="E158" s="37">
        <f>IFERROR(AVERAGEIFS(Clean_Data!$P$2:$P$1001,Clean_Data!$F$2:$F$1001,$A158,Clean_Data!$H$2:$H$1001,E$155,Clean_Data!$V$2:$V$1001,1),"")</f>
        <v>5.66666666666667</v>
      </c>
      <c r="F158" s="37">
        <f>IFERROR(AVERAGEIFS(Clean_Data!$P$2:$P$1001,Clean_Data!$F$2:$F$1001,$A158,Clean_Data!$H$2:$H$1001,F$155,Clean_Data!$V$2:$V$1001,1),"")</f>
        <v>4.6</v>
      </c>
      <c r="G158" s="37">
        <f>IFERROR(AVERAGEIFS(Clean_Data!$P$2:$P$1001,Clean_Data!$F$2:$F$1001,$A158,Clean_Data!$H$2:$H$1001,G$155,Clean_Data!$V$2:$V$1001,1),"")</f>
        <v>5.83333333333333</v>
      </c>
      <c r="H158" s="37">
        <f>IFERROR(AVERAGEIFS(Clean_Data!$P$2:$P$1001,Clean_Data!$F$2:$F$1001,$A158,Clean_Data!$H$2:$H$1001,H$155,Clean_Data!$V$2:$V$1001,1),"")</f>
        <v>21.4285714285714</v>
      </c>
    </row>
    <row r="159" spans="1:9" x14ac:dyDescent="0.25">
      <c r="A159" s="36">
        <v>2</v>
      </c>
      <c r="B159" s="37">
        <f>IFERROR(AVERAGEIFS(Clean_Data!$P$2:$P$1001,Clean_Data!$F$2:$F$1001,$A159,Clean_Data!$H$2:$H$1001,B$155,Clean_Data!$V$2:$V$1001,1),"")</f>
        <v>15</v>
      </c>
      <c r="C159" s="37">
        <f>IFERROR(AVERAGEIFS(Clean_Data!$P$2:$P$1001,Clean_Data!$F$2:$F$1001,$A159,Clean_Data!$H$2:$H$1001,C$155,Clean_Data!$V$2:$V$1001,1),"")</f>
        <v>3.4</v>
      </c>
      <c r="D159" s="37">
        <f>IFERROR(AVERAGEIFS(Clean_Data!$P$2:$P$1001,Clean_Data!$F$2:$F$1001,$A159,Clean_Data!$H$2:$H$1001,D$155,Clean_Data!$V$2:$V$1001,1),"")</f>
        <v>2</v>
      </c>
      <c r="E159" s="37">
        <f>IFERROR(AVERAGEIFS(Clean_Data!$P$2:$P$1001,Clean_Data!$F$2:$F$1001,$A159,Clean_Data!$H$2:$H$1001,E$155,Clean_Data!$V$2:$V$1001,1),"")</f>
        <v>3.83333333333333</v>
      </c>
      <c r="F159" s="37">
        <f>IFERROR(AVERAGEIFS(Clean_Data!$P$2:$P$1001,Clean_Data!$F$2:$F$1001,$A159,Clean_Data!$H$2:$H$1001,F$155,Clean_Data!$V$2:$V$1001,1),"")</f>
        <v>2.2</v>
      </c>
      <c r="G159" s="37">
        <f>IFERROR(AVERAGEIFS(Clean_Data!$P$2:$P$1001,Clean_Data!$F$2:$F$1001,$A159,Clean_Data!$H$2:$H$1001,G$155,Clean_Data!$V$2:$V$1001,1),"")</f>
        <v>1.66666666666667</v>
      </c>
      <c r="H159" s="37">
        <f>IFERROR(AVERAGEIFS(Clean_Data!$P$2:$P$1001,Clean_Data!$F$2:$F$1001,$A159,Clean_Data!$H$2:$H$1001,H$155,Clean_Data!$V$2:$V$1001,1),"")</f>
        <v>16.8571428571429</v>
      </c>
    </row>
    <row r="160" spans="1:9" x14ac:dyDescent="0.25">
      <c r="A160" s="36">
        <v>3</v>
      </c>
      <c r="B160" s="37">
        <f>IFERROR(AVERAGEIFS(Clean_Data!$P$2:$P$1001,Clean_Data!$F$2:$F$1001,$A160,Clean_Data!$H$2:$H$1001,B$155,Clean_Data!$V$2:$V$1001,1),"")</f>
        <v>9</v>
      </c>
      <c r="C160" s="37">
        <f>IFERROR(AVERAGEIFS(Clean_Data!$P$2:$P$1001,Clean_Data!$F$2:$F$1001,$A160,Clean_Data!$H$2:$H$1001,C$155,Clean_Data!$V$2:$V$1001,1),"")</f>
        <v>1.5</v>
      </c>
      <c r="D160" s="37">
        <f>IFERROR(AVERAGEIFS(Clean_Data!$P$2:$P$1001,Clean_Data!$F$2:$F$1001,$A160,Clean_Data!$H$2:$H$1001,D$155,Clean_Data!$V$2:$V$1001,1),"")</f>
        <v>1.5</v>
      </c>
      <c r="E160" s="37">
        <f>IFERROR(AVERAGEIFS(Clean_Data!$P$2:$P$1001,Clean_Data!$F$2:$F$1001,$A160,Clean_Data!$H$2:$H$1001,E$155,Clean_Data!$V$2:$V$1001,1),"")</f>
        <v>1.5</v>
      </c>
      <c r="F160" s="37">
        <f>IFERROR(AVERAGEIFS(Clean_Data!$P$2:$P$1001,Clean_Data!$F$2:$F$1001,$A160,Clean_Data!$H$2:$H$1001,F$155,Clean_Data!$V$2:$V$1001,1),"")</f>
        <v>1.66666666666667</v>
      </c>
      <c r="G160" s="37">
        <f>IFERROR(AVERAGEIFS(Clean_Data!$P$2:$P$1001,Clean_Data!$F$2:$F$1001,$A160,Clean_Data!$H$2:$H$1001,G$155,Clean_Data!$V$2:$V$1001,1),"")</f>
        <v>1</v>
      </c>
      <c r="H160" s="37">
        <f>IFERROR(AVERAGEIFS(Clean_Data!$P$2:$P$1001,Clean_Data!$F$2:$F$1001,$A160,Clean_Data!$H$2:$H$1001,H$155,Clean_Data!$V$2:$V$1001,1),"")</f>
        <v>9.14285714285714</v>
      </c>
    </row>
    <row r="161" spans="1:8" x14ac:dyDescent="0.25">
      <c r="A161" s="36">
        <v>4</v>
      </c>
      <c r="B161" s="37">
        <f>IFERROR(AVERAGEIFS(Clean_Data!$P$2:$P$1001,Clean_Data!$F$2:$F$1001,$A161,Clean_Data!$H$2:$H$1001,B$155,Clean_Data!$V$2:$V$1001,1),"")</f>
        <v>1.66666666666667</v>
      </c>
      <c r="C161" s="37">
        <f>IFERROR(AVERAGEIFS(Clean_Data!$P$2:$P$1001,Clean_Data!$F$2:$F$1001,$A161,Clean_Data!$H$2:$H$1001,C$155,Clean_Data!$V$2:$V$1001,1),"")</f>
        <v>2</v>
      </c>
      <c r="D161" s="37">
        <f>IFERROR(AVERAGEIFS(Clean_Data!$P$2:$P$1001,Clean_Data!$F$2:$F$1001,$A161,Clean_Data!$H$2:$H$1001,D$155,Clean_Data!$V$2:$V$1001,1),"")</f>
        <v>2</v>
      </c>
      <c r="E161" s="37">
        <f>IFERROR(AVERAGEIFS(Clean_Data!$P$2:$P$1001,Clean_Data!$F$2:$F$1001,$A161,Clean_Data!$H$2:$H$1001,E$155,Clean_Data!$V$2:$V$1001,1),"")</f>
        <v>1.66666666666667</v>
      </c>
      <c r="F161" s="37">
        <f>IFERROR(AVERAGEIFS(Clean_Data!$P$2:$P$1001,Clean_Data!$F$2:$F$1001,$A161,Clean_Data!$H$2:$H$1001,F$155,Clean_Data!$V$2:$V$1001,1),"")</f>
        <v>1.75</v>
      </c>
      <c r="G161" s="37">
        <f>IFERROR(AVERAGEIFS(Clean_Data!$P$2:$P$1001,Clean_Data!$F$2:$F$1001,$A161,Clean_Data!$H$2:$H$1001,G$155,Clean_Data!$V$2:$V$1001,1),"")</f>
        <v>1</v>
      </c>
      <c r="H161" s="37">
        <f>IFERROR(AVERAGEIFS(Clean_Data!$P$2:$P$1001,Clean_Data!$F$2:$F$1001,$A161,Clean_Data!$H$2:$H$1001,H$155,Clean_Data!$V$2:$V$1001,1),"")</f>
        <v>3.57142857142857</v>
      </c>
    </row>
    <row r="162" spans="1:8" x14ac:dyDescent="0.25">
      <c r="A162" s="36">
        <v>5</v>
      </c>
      <c r="B162" s="37">
        <f>IFERROR(AVERAGEIFS(Clean_Data!$P$2:$P$1001,Clean_Data!$F$2:$F$1001,$A162,Clean_Data!$H$2:$H$1001,B$155,Clean_Data!$V$2:$V$1001,1),"")</f>
        <v>2</v>
      </c>
      <c r="C162" s="37">
        <f>IFERROR(AVERAGEIFS(Clean_Data!$P$2:$P$1001,Clean_Data!$F$2:$F$1001,$A162,Clean_Data!$H$2:$H$1001,C$155,Clean_Data!$V$2:$V$1001,1),"")</f>
        <v>4.71428571428571</v>
      </c>
      <c r="D162" s="37">
        <f>IFERROR(AVERAGEIFS(Clean_Data!$P$2:$P$1001,Clean_Data!$F$2:$F$1001,$A162,Clean_Data!$H$2:$H$1001,D$155,Clean_Data!$V$2:$V$1001,1),"")</f>
        <v>4.8</v>
      </c>
      <c r="E162" s="37">
        <f>IFERROR(AVERAGEIFS(Clean_Data!$P$2:$P$1001,Clean_Data!$F$2:$F$1001,$A162,Clean_Data!$H$2:$H$1001,E$155,Clean_Data!$V$2:$V$1001,1),"")</f>
        <v>4.33333333333333</v>
      </c>
      <c r="F162" s="37">
        <f>IFERROR(AVERAGEIFS(Clean_Data!$P$2:$P$1001,Clean_Data!$F$2:$F$1001,$A162,Clean_Data!$H$2:$H$1001,F$155,Clean_Data!$V$2:$V$1001,1),"")</f>
        <v>4.2</v>
      </c>
      <c r="G162" s="37">
        <f>IFERROR(AVERAGEIFS(Clean_Data!$P$2:$P$1001,Clean_Data!$F$2:$F$1001,$A162,Clean_Data!$H$2:$H$1001,G$155,Clean_Data!$V$2:$V$1001,1),"")</f>
        <v>5.5</v>
      </c>
      <c r="H162" s="37">
        <f>IFERROR(AVERAGEIFS(Clean_Data!$P$2:$P$1001,Clean_Data!$F$2:$F$1001,$A162,Clean_Data!$H$2:$H$1001,H$155,Clean_Data!$V$2:$V$1001,1),"")</f>
        <v>3.4</v>
      </c>
    </row>
    <row r="163" spans="1:8" x14ac:dyDescent="0.25">
      <c r="A163" s="36">
        <v>6</v>
      </c>
      <c r="B163" s="37">
        <f>IFERROR(AVERAGEIFS(Clean_Data!$P$2:$P$1001,Clean_Data!$F$2:$F$1001,$A163,Clean_Data!$H$2:$H$1001,B$155,Clean_Data!$V$2:$V$1001,1),"")</f>
        <v>1.83333333333333</v>
      </c>
      <c r="C163" s="37">
        <f>IFERROR(AVERAGEIFS(Clean_Data!$P$2:$P$1001,Clean_Data!$F$2:$F$1001,$A163,Clean_Data!$H$2:$H$1001,C$155,Clean_Data!$V$2:$V$1001,1),"")</f>
        <v>24.8571428571429</v>
      </c>
      <c r="D163" s="37">
        <f>IFERROR(AVERAGEIFS(Clean_Data!$P$2:$P$1001,Clean_Data!$F$2:$F$1001,$A163,Clean_Data!$H$2:$H$1001,D$155,Clean_Data!$V$2:$V$1001,1),"")</f>
        <v>32</v>
      </c>
      <c r="E163" s="37">
        <f>IFERROR(AVERAGEIFS(Clean_Data!$P$2:$P$1001,Clean_Data!$F$2:$F$1001,$A163,Clean_Data!$H$2:$H$1001,E$155,Clean_Data!$V$2:$V$1001,1),"")</f>
        <v>25</v>
      </c>
      <c r="F163" s="37">
        <f>IFERROR(AVERAGEIFS(Clean_Data!$P$2:$P$1001,Clean_Data!$F$2:$F$1001,$A163,Clean_Data!$H$2:$H$1001,F$155,Clean_Data!$V$2:$V$1001,1),"")</f>
        <v>32.8</v>
      </c>
      <c r="G163" s="37">
        <f>IFERROR(AVERAGEIFS(Clean_Data!$P$2:$P$1001,Clean_Data!$F$2:$F$1001,$A163,Clean_Data!$H$2:$H$1001,G$155,Clean_Data!$V$2:$V$1001,1),"")</f>
        <v>24.3333333333333</v>
      </c>
      <c r="H163" s="37">
        <f>IFERROR(AVERAGEIFS(Clean_Data!$P$2:$P$1001,Clean_Data!$F$2:$F$1001,$A163,Clean_Data!$H$2:$H$1001,H$155,Clean_Data!$V$2:$V$1001,1),"")</f>
        <v>2.42857142857143</v>
      </c>
    </row>
    <row r="164" spans="1:8" x14ac:dyDescent="0.25">
      <c r="A164" s="36">
        <v>7</v>
      </c>
      <c r="B164" s="37">
        <f>IFERROR(AVERAGEIFS(Clean_Data!$P$2:$P$1001,Clean_Data!$F$2:$F$1001,$A164,Clean_Data!$H$2:$H$1001,B$155,Clean_Data!$V$2:$V$1001,1),"")</f>
        <v>3.71428571428571</v>
      </c>
      <c r="C164" s="37">
        <f>IFERROR(AVERAGEIFS(Clean_Data!$P$2:$P$1001,Clean_Data!$F$2:$F$1001,$A164,Clean_Data!$H$2:$H$1001,C$155,Clean_Data!$V$2:$V$1001,1),"")</f>
        <v>71.8571428571429</v>
      </c>
      <c r="D164" s="37">
        <f>IFERROR(AVERAGEIFS(Clean_Data!$P$2:$P$1001,Clean_Data!$F$2:$F$1001,$A164,Clean_Data!$H$2:$H$1001,D$155,Clean_Data!$V$2:$V$1001,1),"")</f>
        <v>90.6</v>
      </c>
      <c r="E164" s="37">
        <f>IFERROR(AVERAGEIFS(Clean_Data!$P$2:$P$1001,Clean_Data!$F$2:$F$1001,$A164,Clean_Data!$H$2:$H$1001,E$155,Clean_Data!$V$2:$V$1001,1),"")</f>
        <v>68.3333333333333</v>
      </c>
      <c r="F164" s="37">
        <f>IFERROR(AVERAGEIFS(Clean_Data!$P$2:$P$1001,Clean_Data!$F$2:$F$1001,$A164,Clean_Data!$H$2:$H$1001,F$155,Clean_Data!$V$2:$V$1001,1),"")</f>
        <v>90.8</v>
      </c>
      <c r="G164" s="37">
        <f>IFERROR(AVERAGEIFS(Clean_Data!$P$2:$P$1001,Clean_Data!$F$2:$F$1001,$A164,Clean_Data!$H$2:$H$1001,G$155,Clean_Data!$V$2:$V$1001,1),"")</f>
        <v>73.8333333333333</v>
      </c>
      <c r="H164" s="37">
        <f>IFERROR(AVERAGEIFS(Clean_Data!$P$2:$P$1001,Clean_Data!$F$2:$F$1001,$A164,Clean_Data!$H$2:$H$1001,H$155,Clean_Data!$V$2:$V$1001,1),"")</f>
        <v>7.14285714285714</v>
      </c>
    </row>
    <row r="165" spans="1:8" x14ac:dyDescent="0.25">
      <c r="A165" s="36">
        <v>8</v>
      </c>
      <c r="B165" s="37">
        <f>IFERROR(AVERAGEIFS(Clean_Data!$P$2:$P$1001,Clean_Data!$F$2:$F$1001,$A165,Clean_Data!$H$2:$H$1001,B$155,Clean_Data!$V$2:$V$1001,1),"")</f>
        <v>14.5714285714286</v>
      </c>
      <c r="C165" s="37">
        <f>IFERROR(AVERAGEIFS(Clean_Data!$P$2:$P$1001,Clean_Data!$F$2:$F$1001,$A165,Clean_Data!$H$2:$H$1001,C$155,Clean_Data!$V$2:$V$1001,1),"")</f>
        <v>161.166666666667</v>
      </c>
      <c r="D165" s="37">
        <f>IFERROR(AVERAGEIFS(Clean_Data!$P$2:$P$1001,Clean_Data!$F$2:$F$1001,$A165,Clean_Data!$H$2:$H$1001,D$155,Clean_Data!$V$2:$V$1001,1),"")</f>
        <v>202.4</v>
      </c>
      <c r="E165" s="37">
        <f>IFERROR(AVERAGEIFS(Clean_Data!$P$2:$P$1001,Clean_Data!$F$2:$F$1001,$A165,Clean_Data!$H$2:$H$1001,E$155,Clean_Data!$V$2:$V$1001,1),"")</f>
        <v>157.666666666667</v>
      </c>
      <c r="F165" s="37">
        <f>IFERROR(AVERAGEIFS(Clean_Data!$P$2:$P$1001,Clean_Data!$F$2:$F$1001,$A165,Clean_Data!$H$2:$H$1001,F$155,Clean_Data!$V$2:$V$1001,1),"")</f>
        <v>207.2</v>
      </c>
      <c r="G165" s="37">
        <f>IFERROR(AVERAGEIFS(Clean_Data!$P$2:$P$1001,Clean_Data!$F$2:$F$1001,$A165,Clean_Data!$H$2:$H$1001,G$155,Clean_Data!$V$2:$V$1001,1),"")</f>
        <v>196.333333333333</v>
      </c>
      <c r="H165" s="37">
        <f>IFERROR(AVERAGEIFS(Clean_Data!$P$2:$P$1001,Clean_Data!$F$2:$F$1001,$A165,Clean_Data!$H$2:$H$1001,H$155,Clean_Data!$V$2:$V$1001,1),"")</f>
        <v>21</v>
      </c>
    </row>
    <row r="166" spans="1:8" x14ac:dyDescent="0.25">
      <c r="A166" s="36">
        <v>9</v>
      </c>
      <c r="B166" s="37">
        <f>IFERROR(AVERAGEIFS(Clean_Data!$P$2:$P$1001,Clean_Data!$F$2:$F$1001,$A166,Clean_Data!$H$2:$H$1001,B$155,Clean_Data!$V$2:$V$1001,1),"")</f>
        <v>32.7142857142857</v>
      </c>
      <c r="C166" s="37">
        <f>IFERROR(AVERAGEIFS(Clean_Data!$P$2:$P$1001,Clean_Data!$F$2:$F$1001,$A166,Clean_Data!$H$2:$H$1001,C$155,Clean_Data!$V$2:$V$1001,1),"")</f>
        <v>93.5</v>
      </c>
      <c r="D166" s="37">
        <f>IFERROR(AVERAGEIFS(Clean_Data!$P$2:$P$1001,Clean_Data!$F$2:$F$1001,$A166,Clean_Data!$H$2:$H$1001,D$155,Clean_Data!$V$2:$V$1001,1),"")</f>
        <v>125</v>
      </c>
      <c r="E166" s="37">
        <f>IFERROR(AVERAGEIFS(Clean_Data!$P$2:$P$1001,Clean_Data!$F$2:$F$1001,$A166,Clean_Data!$H$2:$H$1001,E$155,Clean_Data!$V$2:$V$1001,1),"")</f>
        <v>101.5</v>
      </c>
      <c r="F166" s="37">
        <f>IFERROR(AVERAGEIFS(Clean_Data!$P$2:$P$1001,Clean_Data!$F$2:$F$1001,$A166,Clean_Data!$H$2:$H$1001,F$155,Clean_Data!$V$2:$V$1001,1),"")</f>
        <v>131.8</v>
      </c>
      <c r="G166" s="37">
        <f>IFERROR(AVERAGEIFS(Clean_Data!$P$2:$P$1001,Clean_Data!$F$2:$F$1001,$A166,Clean_Data!$H$2:$H$1001,G$155,Clean_Data!$V$2:$V$1001,1),"")</f>
        <v>130.833333333333</v>
      </c>
      <c r="H166" s="37">
        <f>IFERROR(AVERAGEIFS(Clean_Data!$P$2:$P$1001,Clean_Data!$F$2:$F$1001,$A166,Clean_Data!$H$2:$H$1001,H$155,Clean_Data!$V$2:$V$1001,1),"")</f>
        <v>29.1428571428571</v>
      </c>
    </row>
    <row r="167" spans="1:8" x14ac:dyDescent="0.25">
      <c r="A167" s="36">
        <v>10</v>
      </c>
      <c r="B167" s="37">
        <f>IFERROR(AVERAGEIFS(Clean_Data!$P$2:$P$1001,Clean_Data!$F$2:$F$1001,$A167,Clean_Data!$H$2:$H$1001,B$155,Clean_Data!$V$2:$V$1001,1),"")</f>
        <v>71</v>
      </c>
      <c r="C167" s="37">
        <f>IFERROR(AVERAGEIFS(Clean_Data!$P$2:$P$1001,Clean_Data!$F$2:$F$1001,$A167,Clean_Data!$H$2:$H$1001,C$155,Clean_Data!$V$2:$V$1001,1),"")</f>
        <v>49.3333333333333</v>
      </c>
      <c r="D167" s="37">
        <f>IFERROR(AVERAGEIFS(Clean_Data!$P$2:$P$1001,Clean_Data!$F$2:$F$1001,$A167,Clean_Data!$H$2:$H$1001,D$155,Clean_Data!$V$2:$V$1001,1),"")</f>
        <v>49.2</v>
      </c>
      <c r="E167" s="37">
        <f>IFERROR(AVERAGEIFS(Clean_Data!$P$2:$P$1001,Clean_Data!$F$2:$F$1001,$A167,Clean_Data!$H$2:$H$1001,E$155,Clean_Data!$V$2:$V$1001,1),"")</f>
        <v>48.5</v>
      </c>
      <c r="F167" s="37">
        <f>IFERROR(AVERAGEIFS(Clean_Data!$P$2:$P$1001,Clean_Data!$F$2:$F$1001,$A167,Clean_Data!$H$2:$H$1001,F$155,Clean_Data!$V$2:$V$1001,1),"")</f>
        <v>45.4</v>
      </c>
      <c r="G167" s="37">
        <f>IFERROR(AVERAGEIFS(Clean_Data!$P$2:$P$1001,Clean_Data!$F$2:$F$1001,$A167,Clean_Data!$H$2:$H$1001,G$155,Clean_Data!$V$2:$V$1001,1),"")</f>
        <v>52.3333333333333</v>
      </c>
      <c r="H167" s="37">
        <f>IFERROR(AVERAGEIFS(Clean_Data!$P$2:$P$1001,Clean_Data!$F$2:$F$1001,$A167,Clean_Data!$H$2:$H$1001,H$155,Clean_Data!$V$2:$V$1001,1),"")</f>
        <v>54.5714285714286</v>
      </c>
    </row>
    <row r="168" spans="1:8" x14ac:dyDescent="0.25">
      <c r="A168" s="36">
        <v>11</v>
      </c>
      <c r="B168" s="37">
        <f>IFERROR(AVERAGEIFS(Clean_Data!$P$2:$P$1001,Clean_Data!$F$2:$F$1001,$A168,Clean_Data!$H$2:$H$1001,B$155,Clean_Data!$V$2:$V$1001,1),"")</f>
        <v>85.5714285714286</v>
      </c>
      <c r="C168" s="37">
        <f>IFERROR(AVERAGEIFS(Clean_Data!$P$2:$P$1001,Clean_Data!$F$2:$F$1001,$A168,Clean_Data!$H$2:$H$1001,C$155,Clean_Data!$V$2:$V$1001,1),"")</f>
        <v>47.6666666666667</v>
      </c>
      <c r="D168" s="37">
        <f>IFERROR(AVERAGEIFS(Clean_Data!$P$2:$P$1001,Clean_Data!$F$2:$F$1001,$A168,Clean_Data!$H$2:$H$1001,D$155,Clean_Data!$V$2:$V$1001,1),"")</f>
        <v>50.8</v>
      </c>
      <c r="E168" s="37">
        <f>IFERROR(AVERAGEIFS(Clean_Data!$P$2:$P$1001,Clean_Data!$F$2:$F$1001,$A168,Clean_Data!$H$2:$H$1001,E$155,Clean_Data!$V$2:$V$1001,1),"")</f>
        <v>44.5</v>
      </c>
      <c r="F168" s="37">
        <f>IFERROR(AVERAGEIFS(Clean_Data!$P$2:$P$1001,Clean_Data!$F$2:$F$1001,$A168,Clean_Data!$H$2:$H$1001,F$155,Clean_Data!$V$2:$V$1001,1),"")</f>
        <v>54.6</v>
      </c>
      <c r="G168" s="37">
        <f>IFERROR(AVERAGEIFS(Clean_Data!$P$2:$P$1001,Clean_Data!$F$2:$F$1001,$A168,Clean_Data!$H$2:$H$1001,G$155,Clean_Data!$V$2:$V$1001,1),"")</f>
        <v>56.1666666666667</v>
      </c>
      <c r="H168" s="37">
        <f>IFERROR(AVERAGEIFS(Clean_Data!$P$2:$P$1001,Clean_Data!$F$2:$F$1001,$A168,Clean_Data!$H$2:$H$1001,H$155,Clean_Data!$V$2:$V$1001,1),"")</f>
        <v>68.2857142857143</v>
      </c>
    </row>
    <row r="169" spans="1:8" x14ac:dyDescent="0.25">
      <c r="A169" s="36">
        <v>12</v>
      </c>
      <c r="B169" s="37">
        <f>IFERROR(AVERAGEIFS(Clean_Data!$P$2:$P$1001,Clean_Data!$F$2:$F$1001,$A169,Clean_Data!$H$2:$H$1001,B$155,Clean_Data!$V$2:$V$1001,1),"")</f>
        <v>117</v>
      </c>
      <c r="C169" s="37">
        <f>IFERROR(AVERAGEIFS(Clean_Data!$P$2:$P$1001,Clean_Data!$F$2:$F$1001,$A169,Clean_Data!$H$2:$H$1001,C$155,Clean_Data!$V$2:$V$1001,1),"")</f>
        <v>65</v>
      </c>
      <c r="D169" s="37">
        <f>IFERROR(AVERAGEIFS(Clean_Data!$P$2:$P$1001,Clean_Data!$F$2:$F$1001,$A169,Clean_Data!$H$2:$H$1001,D$155,Clean_Data!$V$2:$V$1001,1),"")</f>
        <v>60.6666666666667</v>
      </c>
      <c r="E169" s="37">
        <f>IFERROR(AVERAGEIFS(Clean_Data!$P$2:$P$1001,Clean_Data!$F$2:$F$1001,$A169,Clean_Data!$H$2:$H$1001,E$155,Clean_Data!$V$2:$V$1001,1),"")</f>
        <v>62.8333333333333</v>
      </c>
      <c r="F169" s="37">
        <f>IFERROR(AVERAGEIFS(Clean_Data!$P$2:$P$1001,Clean_Data!$F$2:$F$1001,$A169,Clean_Data!$H$2:$H$1001,F$155,Clean_Data!$V$2:$V$1001,1),"")</f>
        <v>71.6</v>
      </c>
      <c r="G169" s="37">
        <f>IFERROR(AVERAGEIFS(Clean_Data!$P$2:$P$1001,Clean_Data!$F$2:$F$1001,$A169,Clean_Data!$H$2:$H$1001,G$155,Clean_Data!$V$2:$V$1001,1),"")</f>
        <v>64</v>
      </c>
      <c r="H169" s="37">
        <f>IFERROR(AVERAGEIFS(Clean_Data!$P$2:$P$1001,Clean_Data!$F$2:$F$1001,$A169,Clean_Data!$H$2:$H$1001,H$155,Clean_Data!$V$2:$V$1001,1),"")</f>
        <v>84.4285714285714</v>
      </c>
    </row>
    <row r="170" spans="1:8" x14ac:dyDescent="0.25">
      <c r="A170" s="36">
        <v>13</v>
      </c>
      <c r="B170" s="37">
        <f>IFERROR(AVERAGEIFS(Clean_Data!$P$2:$P$1001,Clean_Data!$F$2:$F$1001,$A170,Clean_Data!$H$2:$H$1001,B$155,Clean_Data!$V$2:$V$1001,1),"")</f>
        <v>110.714285714286</v>
      </c>
      <c r="C170" s="37">
        <f>IFERROR(AVERAGEIFS(Clean_Data!$P$2:$P$1001,Clean_Data!$F$2:$F$1001,$A170,Clean_Data!$H$2:$H$1001,C$155,Clean_Data!$V$2:$V$1001,1),"")</f>
        <v>64.3333333333333</v>
      </c>
      <c r="D170" s="37">
        <f>IFERROR(AVERAGEIFS(Clean_Data!$P$2:$P$1001,Clean_Data!$F$2:$F$1001,$A170,Clean_Data!$H$2:$H$1001,D$155,Clean_Data!$V$2:$V$1001,1),"")</f>
        <v>61</v>
      </c>
      <c r="E170" s="37">
        <f>IFERROR(AVERAGEIFS(Clean_Data!$P$2:$P$1001,Clean_Data!$F$2:$F$1001,$A170,Clean_Data!$H$2:$H$1001,E$155,Clean_Data!$V$2:$V$1001,1),"")</f>
        <v>64.8333333333333</v>
      </c>
      <c r="F170" s="37">
        <f>IFERROR(AVERAGEIFS(Clean_Data!$P$2:$P$1001,Clean_Data!$F$2:$F$1001,$A170,Clean_Data!$H$2:$H$1001,F$155,Clean_Data!$V$2:$V$1001,1),"")</f>
        <v>72.2</v>
      </c>
      <c r="G170" s="37">
        <f>IFERROR(AVERAGEIFS(Clean_Data!$P$2:$P$1001,Clean_Data!$F$2:$F$1001,$A170,Clean_Data!$H$2:$H$1001,G$155,Clean_Data!$V$2:$V$1001,1),"")</f>
        <v>74.3333333333333</v>
      </c>
      <c r="H170" s="37">
        <f>IFERROR(AVERAGEIFS(Clean_Data!$P$2:$P$1001,Clean_Data!$F$2:$F$1001,$A170,Clean_Data!$H$2:$H$1001,H$155,Clean_Data!$V$2:$V$1001,1),"")</f>
        <v>93.2857142857143</v>
      </c>
    </row>
    <row r="171" spans="1:8" x14ac:dyDescent="0.25">
      <c r="A171" s="36">
        <v>14</v>
      </c>
      <c r="B171" s="37">
        <f>IFERROR(AVERAGEIFS(Clean_Data!$P$2:$P$1001,Clean_Data!$F$2:$F$1001,$A171,Clean_Data!$H$2:$H$1001,B$155,Clean_Data!$V$2:$V$1001,1),"")</f>
        <v>110.857142857143</v>
      </c>
      <c r="C171" s="37">
        <f>IFERROR(AVERAGEIFS(Clean_Data!$P$2:$P$1001,Clean_Data!$F$2:$F$1001,$A171,Clean_Data!$H$2:$H$1001,C$155,Clean_Data!$V$2:$V$1001,1),"")</f>
        <v>66.8333333333333</v>
      </c>
      <c r="D171" s="37">
        <f>IFERROR(AVERAGEIFS(Clean_Data!$P$2:$P$1001,Clean_Data!$F$2:$F$1001,$A171,Clean_Data!$H$2:$H$1001,D$155,Clean_Data!$V$2:$V$1001,1),"")</f>
        <v>56.6666666666667</v>
      </c>
      <c r="E171" s="37">
        <f>IFERROR(AVERAGEIFS(Clean_Data!$P$2:$P$1001,Clean_Data!$F$2:$F$1001,$A171,Clean_Data!$H$2:$H$1001,E$155,Clean_Data!$V$2:$V$1001,1),"")</f>
        <v>56.3333333333333</v>
      </c>
      <c r="F171" s="37">
        <f>IFERROR(AVERAGEIFS(Clean_Data!$P$2:$P$1001,Clean_Data!$F$2:$F$1001,$A171,Clean_Data!$H$2:$H$1001,F$155,Clean_Data!$V$2:$V$1001,1),"")</f>
        <v>57.6</v>
      </c>
      <c r="G171" s="37">
        <f>IFERROR(AVERAGEIFS(Clean_Data!$P$2:$P$1001,Clean_Data!$F$2:$F$1001,$A171,Clean_Data!$H$2:$H$1001,G$155,Clean_Data!$V$2:$V$1001,1),"")</f>
        <v>64.8333333333333</v>
      </c>
      <c r="H171" s="37">
        <f>IFERROR(AVERAGEIFS(Clean_Data!$P$2:$P$1001,Clean_Data!$F$2:$F$1001,$A171,Clean_Data!$H$2:$H$1001,H$155,Clean_Data!$V$2:$V$1001,1),"")</f>
        <v>95.4285714285714</v>
      </c>
    </row>
    <row r="172" spans="1:8" x14ac:dyDescent="0.25">
      <c r="A172" s="36">
        <v>15</v>
      </c>
      <c r="B172" s="37">
        <f>IFERROR(AVERAGEIFS(Clean_Data!$P$2:$P$1001,Clean_Data!$F$2:$F$1001,$A172,Clean_Data!$H$2:$H$1001,B$155,Clean_Data!$V$2:$V$1001,1),"")</f>
        <v>114.142857142857</v>
      </c>
      <c r="C172" s="37">
        <f>IFERROR(AVERAGEIFS(Clean_Data!$P$2:$P$1001,Clean_Data!$F$2:$F$1001,$A172,Clean_Data!$H$2:$H$1001,C$155,Clean_Data!$V$2:$V$1001,1),"")</f>
        <v>60.1666666666667</v>
      </c>
      <c r="D172" s="37">
        <f>IFERROR(AVERAGEIFS(Clean_Data!$P$2:$P$1001,Clean_Data!$F$2:$F$1001,$A172,Clean_Data!$H$2:$H$1001,D$155,Clean_Data!$V$2:$V$1001,1),"")</f>
        <v>55.6666666666667</v>
      </c>
      <c r="E172" s="37">
        <f>IFERROR(AVERAGEIFS(Clean_Data!$P$2:$P$1001,Clean_Data!$F$2:$F$1001,$A172,Clean_Data!$H$2:$H$1001,E$155,Clean_Data!$V$2:$V$1001,1),"")</f>
        <v>62.6666666666667</v>
      </c>
      <c r="F172" s="37">
        <f>IFERROR(AVERAGEIFS(Clean_Data!$P$2:$P$1001,Clean_Data!$F$2:$F$1001,$A172,Clean_Data!$H$2:$H$1001,F$155,Clean_Data!$V$2:$V$1001,1),"")</f>
        <v>60.4</v>
      </c>
      <c r="G172" s="37">
        <f>IFERROR(AVERAGEIFS(Clean_Data!$P$2:$P$1001,Clean_Data!$F$2:$F$1001,$A172,Clean_Data!$H$2:$H$1001,G$155,Clean_Data!$V$2:$V$1001,1),"")</f>
        <v>68.3333333333333</v>
      </c>
      <c r="H172" s="37">
        <f>IFERROR(AVERAGEIFS(Clean_Data!$P$2:$P$1001,Clean_Data!$F$2:$F$1001,$A172,Clean_Data!$H$2:$H$1001,H$155,Clean_Data!$V$2:$V$1001,1),"")</f>
        <v>110</v>
      </c>
    </row>
    <row r="173" spans="1:8" x14ac:dyDescent="0.25">
      <c r="A173" s="36">
        <v>16</v>
      </c>
      <c r="B173" s="37">
        <f>IFERROR(AVERAGEIFS(Clean_Data!$P$2:$P$1001,Clean_Data!$F$2:$F$1001,$A173,Clean_Data!$H$2:$H$1001,B$155,Clean_Data!$V$2:$V$1001,1),"")</f>
        <v>106.571428571429</v>
      </c>
      <c r="C173" s="37">
        <f>IFERROR(AVERAGEIFS(Clean_Data!$P$2:$P$1001,Clean_Data!$F$2:$F$1001,$A173,Clean_Data!$H$2:$H$1001,C$155,Clean_Data!$V$2:$V$1001,1),"")</f>
        <v>83.6666666666667</v>
      </c>
      <c r="D173" s="37">
        <f>IFERROR(AVERAGEIFS(Clean_Data!$P$2:$P$1001,Clean_Data!$F$2:$F$1001,$A173,Clean_Data!$H$2:$H$1001,D$155,Clean_Data!$V$2:$V$1001,1),"")</f>
        <v>80.5</v>
      </c>
      <c r="E173" s="37">
        <f>IFERROR(AVERAGEIFS(Clean_Data!$P$2:$P$1001,Clean_Data!$F$2:$F$1001,$A173,Clean_Data!$H$2:$H$1001,E$155,Clean_Data!$V$2:$V$1001,1),"")</f>
        <v>79.8333333333333</v>
      </c>
      <c r="F173" s="37">
        <f>IFERROR(AVERAGEIFS(Clean_Data!$P$2:$P$1001,Clean_Data!$F$2:$F$1001,$A173,Clean_Data!$H$2:$H$1001,F$155,Clean_Data!$V$2:$V$1001,1),"")</f>
        <v>72.8333333333333</v>
      </c>
      <c r="G173" s="37">
        <f>IFERROR(AVERAGEIFS(Clean_Data!$P$2:$P$1001,Clean_Data!$F$2:$F$1001,$A173,Clean_Data!$H$2:$H$1001,G$155,Clean_Data!$V$2:$V$1001,1),"")</f>
        <v>96.3333333333333</v>
      </c>
      <c r="H173" s="37">
        <f>IFERROR(AVERAGEIFS(Clean_Data!$P$2:$P$1001,Clean_Data!$F$2:$F$1001,$A173,Clean_Data!$H$2:$H$1001,H$155,Clean_Data!$V$2:$V$1001,1),"")</f>
        <v>100.428571428571</v>
      </c>
    </row>
    <row r="174" spans="1:8" x14ac:dyDescent="0.25">
      <c r="A174" s="36">
        <v>17</v>
      </c>
      <c r="B174" s="37">
        <f>IFERROR(AVERAGEIFS(Clean_Data!$P$2:$P$1001,Clean_Data!$F$2:$F$1001,$A174,Clean_Data!$H$2:$H$1001,B$155,Clean_Data!$V$2:$V$1001,1),"")</f>
        <v>87.1428571428571</v>
      </c>
      <c r="C174" s="37">
        <f>IFERROR(AVERAGEIFS(Clean_Data!$P$2:$P$1001,Clean_Data!$F$2:$F$1001,$A174,Clean_Data!$H$2:$H$1001,C$155,Clean_Data!$V$2:$V$1001,1),"")</f>
        <v>161.166666666667</v>
      </c>
      <c r="D174" s="37">
        <f>IFERROR(AVERAGEIFS(Clean_Data!$P$2:$P$1001,Clean_Data!$F$2:$F$1001,$A174,Clean_Data!$H$2:$H$1001,D$155,Clean_Data!$V$2:$V$1001,1),"")</f>
        <v>174.5</v>
      </c>
      <c r="E174" s="37">
        <f>IFERROR(AVERAGEIFS(Clean_Data!$P$2:$P$1001,Clean_Data!$F$2:$F$1001,$A174,Clean_Data!$H$2:$H$1001,E$155,Clean_Data!$V$2:$V$1001,1),"")</f>
        <v>151.333333333333</v>
      </c>
      <c r="F174" s="37">
        <f>IFERROR(AVERAGEIFS(Clean_Data!$P$2:$P$1001,Clean_Data!$F$2:$F$1001,$A174,Clean_Data!$H$2:$H$1001,F$155,Clean_Data!$V$2:$V$1001,1),"")</f>
        <v>162.166666666667</v>
      </c>
      <c r="G174" s="37">
        <f>IFERROR(AVERAGEIFS(Clean_Data!$P$2:$P$1001,Clean_Data!$F$2:$F$1001,$A174,Clean_Data!$H$2:$H$1001,G$155,Clean_Data!$V$2:$V$1001,1),"")</f>
        <v>178.666666666667</v>
      </c>
      <c r="H174" s="37">
        <f>IFERROR(AVERAGEIFS(Clean_Data!$P$2:$P$1001,Clean_Data!$F$2:$F$1001,$A174,Clean_Data!$H$2:$H$1001,H$155,Clean_Data!$V$2:$V$1001,1),"")</f>
        <v>84.5714285714286</v>
      </c>
    </row>
    <row r="175" spans="1:8" x14ac:dyDescent="0.25">
      <c r="A175" s="36">
        <v>18</v>
      </c>
      <c r="B175" s="37">
        <f>IFERROR(AVERAGEIFS(Clean_Data!$P$2:$P$1001,Clean_Data!$F$2:$F$1001,$A175,Clean_Data!$H$2:$H$1001,B$155,Clean_Data!$V$2:$V$1001,1),"")</f>
        <v>65</v>
      </c>
      <c r="C175" s="37">
        <f>IFERROR(AVERAGEIFS(Clean_Data!$P$2:$P$1001,Clean_Data!$F$2:$F$1001,$A175,Clean_Data!$H$2:$H$1001,C$155,Clean_Data!$V$2:$V$1001,1),"")</f>
        <v>148</v>
      </c>
      <c r="D175" s="37">
        <f>IFERROR(AVERAGEIFS(Clean_Data!$P$2:$P$1001,Clean_Data!$F$2:$F$1001,$A175,Clean_Data!$H$2:$H$1001,D$155,Clean_Data!$V$2:$V$1001,1),"")</f>
        <v>159.166666666667</v>
      </c>
      <c r="E175" s="37">
        <f>IFERROR(AVERAGEIFS(Clean_Data!$P$2:$P$1001,Clean_Data!$F$2:$F$1001,$A175,Clean_Data!$H$2:$H$1001,E$155,Clean_Data!$V$2:$V$1001,1),"")</f>
        <v>163.8</v>
      </c>
      <c r="F175" s="37">
        <f>IFERROR(AVERAGEIFS(Clean_Data!$P$2:$P$1001,Clean_Data!$F$2:$F$1001,$A175,Clean_Data!$H$2:$H$1001,F$155,Clean_Data!$V$2:$V$1001,1),"")</f>
        <v>150.5</v>
      </c>
      <c r="G175" s="37">
        <f>IFERROR(AVERAGEIFS(Clean_Data!$P$2:$P$1001,Clean_Data!$F$2:$F$1001,$A175,Clean_Data!$H$2:$H$1001,G$155,Clean_Data!$V$2:$V$1001,1),"")</f>
        <v>136.666666666667</v>
      </c>
      <c r="H175" s="37">
        <f>IFERROR(AVERAGEIFS(Clean_Data!$P$2:$P$1001,Clean_Data!$F$2:$F$1001,$A175,Clean_Data!$H$2:$H$1001,H$155,Clean_Data!$V$2:$V$1001,1),"")</f>
        <v>63.2857142857143</v>
      </c>
    </row>
    <row r="176" spans="1:8" x14ac:dyDescent="0.25">
      <c r="A176" s="36">
        <v>19</v>
      </c>
      <c r="B176" s="37">
        <f>IFERROR(AVERAGEIFS(Clean_Data!$P$2:$P$1001,Clean_Data!$F$2:$F$1001,$A176,Clean_Data!$H$2:$H$1001,B$155,Clean_Data!$V$2:$V$1001,1),"")</f>
        <v>45.5714285714286</v>
      </c>
      <c r="C176" s="37">
        <f>IFERROR(AVERAGEIFS(Clean_Data!$P$2:$P$1001,Clean_Data!$F$2:$F$1001,$A176,Clean_Data!$H$2:$H$1001,C$155,Clean_Data!$V$2:$V$1001,1),"")</f>
        <v>101.666666666667</v>
      </c>
      <c r="D176" s="37">
        <f>IFERROR(AVERAGEIFS(Clean_Data!$P$2:$P$1001,Clean_Data!$F$2:$F$1001,$A176,Clean_Data!$H$2:$H$1001,D$155,Clean_Data!$V$2:$V$1001,1),"")</f>
        <v>102.833333333333</v>
      </c>
      <c r="E176" s="37">
        <f>IFERROR(AVERAGEIFS(Clean_Data!$P$2:$P$1001,Clean_Data!$F$2:$F$1001,$A176,Clean_Data!$H$2:$H$1001,E$155,Clean_Data!$V$2:$V$1001,1),"")</f>
        <v>101.2</v>
      </c>
      <c r="F176" s="37">
        <f>IFERROR(AVERAGEIFS(Clean_Data!$P$2:$P$1001,Clean_Data!$F$2:$F$1001,$A176,Clean_Data!$H$2:$H$1001,F$155,Clean_Data!$V$2:$V$1001,1),"")</f>
        <v>108.333333333333</v>
      </c>
      <c r="G176" s="37">
        <f>IFERROR(AVERAGEIFS(Clean_Data!$P$2:$P$1001,Clean_Data!$F$2:$F$1001,$A176,Clean_Data!$H$2:$H$1001,G$155,Clean_Data!$V$2:$V$1001,1),"")</f>
        <v>96</v>
      </c>
      <c r="H176" s="37">
        <f>IFERROR(AVERAGEIFS(Clean_Data!$P$2:$P$1001,Clean_Data!$F$2:$F$1001,$A176,Clean_Data!$H$2:$H$1001,H$155,Clean_Data!$V$2:$V$1001,1),"")</f>
        <v>54.7142857142857</v>
      </c>
    </row>
    <row r="177" spans="1:8" x14ac:dyDescent="0.25">
      <c r="A177" s="36">
        <v>20</v>
      </c>
      <c r="B177" s="37">
        <f>IFERROR(AVERAGEIFS(Clean_Data!$P$2:$P$1001,Clean_Data!$F$2:$F$1001,$A177,Clean_Data!$H$2:$H$1001,B$155,Clean_Data!$V$2:$V$1001,1),"")</f>
        <v>36.8571428571429</v>
      </c>
      <c r="C177" s="37">
        <f>IFERROR(AVERAGEIFS(Clean_Data!$P$2:$P$1001,Clean_Data!$F$2:$F$1001,$A177,Clean_Data!$H$2:$H$1001,C$155,Clean_Data!$V$2:$V$1001,1),"")</f>
        <v>67.6666666666667</v>
      </c>
      <c r="D177" s="37">
        <f>IFERROR(AVERAGEIFS(Clean_Data!$P$2:$P$1001,Clean_Data!$F$2:$F$1001,$A177,Clean_Data!$H$2:$H$1001,D$155,Clean_Data!$V$2:$V$1001,1),"")</f>
        <v>69.6666666666667</v>
      </c>
      <c r="E177" s="37">
        <f>IFERROR(AVERAGEIFS(Clean_Data!$P$2:$P$1001,Clean_Data!$F$2:$F$1001,$A177,Clean_Data!$H$2:$H$1001,E$155,Clean_Data!$V$2:$V$1001,1),"")</f>
        <v>76</v>
      </c>
      <c r="F177" s="37">
        <f>IFERROR(AVERAGEIFS(Clean_Data!$P$2:$P$1001,Clean_Data!$F$2:$F$1001,$A177,Clean_Data!$H$2:$H$1001,F$155,Clean_Data!$V$2:$V$1001,1),"")</f>
        <v>87.3333333333333</v>
      </c>
      <c r="G177" s="37">
        <f>IFERROR(AVERAGEIFS(Clean_Data!$P$2:$P$1001,Clean_Data!$F$2:$F$1001,$A177,Clean_Data!$H$2:$H$1001,G$155,Clean_Data!$V$2:$V$1001,1),"")</f>
        <v>61.3333333333333</v>
      </c>
      <c r="H177" s="37">
        <f>IFERROR(AVERAGEIFS(Clean_Data!$P$2:$P$1001,Clean_Data!$F$2:$F$1001,$A177,Clean_Data!$H$2:$H$1001,H$155,Clean_Data!$V$2:$V$1001,1),"")</f>
        <v>43.1428571428571</v>
      </c>
    </row>
    <row r="178" spans="1:8" x14ac:dyDescent="0.25">
      <c r="A178" s="36">
        <v>21</v>
      </c>
      <c r="B178" s="37">
        <f>IFERROR(AVERAGEIFS(Clean_Data!$P$2:$P$1001,Clean_Data!$F$2:$F$1001,$A178,Clean_Data!$H$2:$H$1001,B$155,Clean_Data!$V$2:$V$1001,1),"")</f>
        <v>30</v>
      </c>
      <c r="C178" s="37">
        <f>IFERROR(AVERAGEIFS(Clean_Data!$P$2:$P$1001,Clean_Data!$F$2:$F$1001,$A178,Clean_Data!$H$2:$H$1001,C$155,Clean_Data!$V$2:$V$1001,1),"")</f>
        <v>51.6666666666667</v>
      </c>
      <c r="D178" s="37">
        <f>IFERROR(AVERAGEIFS(Clean_Data!$P$2:$P$1001,Clean_Data!$F$2:$F$1001,$A178,Clean_Data!$H$2:$H$1001,D$155,Clean_Data!$V$2:$V$1001,1),"")</f>
        <v>45.3333333333333</v>
      </c>
      <c r="E178" s="37">
        <f>IFERROR(AVERAGEIFS(Clean_Data!$P$2:$P$1001,Clean_Data!$F$2:$F$1001,$A178,Clean_Data!$H$2:$H$1001,E$155,Clean_Data!$V$2:$V$1001,1),"")</f>
        <v>61</v>
      </c>
      <c r="F178" s="37">
        <f>IFERROR(AVERAGEIFS(Clean_Data!$P$2:$P$1001,Clean_Data!$F$2:$F$1001,$A178,Clean_Data!$H$2:$H$1001,F$155,Clean_Data!$V$2:$V$1001,1),"")</f>
        <v>51.5</v>
      </c>
      <c r="G178" s="37">
        <f>IFERROR(AVERAGEIFS(Clean_Data!$P$2:$P$1001,Clean_Data!$F$2:$F$1001,$A178,Clean_Data!$H$2:$H$1001,G$155,Clean_Data!$V$2:$V$1001,1),"")</f>
        <v>46.6666666666667</v>
      </c>
      <c r="H178" s="37">
        <f>IFERROR(AVERAGEIFS(Clean_Data!$P$2:$P$1001,Clean_Data!$F$2:$F$1001,$A178,Clean_Data!$H$2:$H$1001,H$155,Clean_Data!$V$2:$V$1001,1),"")</f>
        <v>44.2857142857143</v>
      </c>
    </row>
    <row r="179" spans="1:8" x14ac:dyDescent="0.25">
      <c r="A179" s="36">
        <v>22</v>
      </c>
      <c r="B179" s="37">
        <f>IFERROR(AVERAGEIFS(Clean_Data!$P$2:$P$1001,Clean_Data!$F$2:$F$1001,$A179,Clean_Data!$H$2:$H$1001,B$155,Clean_Data!$V$2:$V$1001,1),"")</f>
        <v>27.4285714285714</v>
      </c>
      <c r="C179" s="37">
        <f>IFERROR(AVERAGEIFS(Clean_Data!$P$2:$P$1001,Clean_Data!$F$2:$F$1001,$A179,Clean_Data!$H$2:$H$1001,C$155,Clean_Data!$V$2:$V$1001,1),"")</f>
        <v>27.1666666666667</v>
      </c>
      <c r="D179" s="37">
        <f>IFERROR(AVERAGEIFS(Clean_Data!$P$2:$P$1001,Clean_Data!$F$2:$F$1001,$A179,Clean_Data!$H$2:$H$1001,D$155,Clean_Data!$V$2:$V$1001,1),"")</f>
        <v>35.8333333333333</v>
      </c>
      <c r="E179" s="37">
        <f>IFERROR(AVERAGEIFS(Clean_Data!$P$2:$P$1001,Clean_Data!$F$2:$F$1001,$A179,Clean_Data!$H$2:$H$1001,E$155,Clean_Data!$V$2:$V$1001,1),"")</f>
        <v>44</v>
      </c>
      <c r="F179" s="37">
        <f>IFERROR(AVERAGEIFS(Clean_Data!$P$2:$P$1001,Clean_Data!$F$2:$F$1001,$A179,Clean_Data!$H$2:$H$1001,F$155,Clean_Data!$V$2:$V$1001,1),"")</f>
        <v>42.8333333333333</v>
      </c>
      <c r="G179" s="37">
        <f>IFERROR(AVERAGEIFS(Clean_Data!$P$2:$P$1001,Clean_Data!$F$2:$F$1001,$A179,Clean_Data!$H$2:$H$1001,G$155,Clean_Data!$V$2:$V$1001,1),"")</f>
        <v>36.8333333333333</v>
      </c>
      <c r="H179" s="37">
        <f>IFERROR(AVERAGEIFS(Clean_Data!$P$2:$P$1001,Clean_Data!$F$2:$F$1001,$A179,Clean_Data!$H$2:$H$1001,H$155,Clean_Data!$V$2:$V$1001,1),"")</f>
        <v>34.2857142857143</v>
      </c>
    </row>
    <row r="180" spans="1:8" x14ac:dyDescent="0.25">
      <c r="A180" s="36">
        <v>23</v>
      </c>
      <c r="B180" s="37">
        <f>IFERROR(AVERAGEIFS(Clean_Data!$P$2:$P$1001,Clean_Data!$F$2:$F$1001,$A180,Clean_Data!$H$2:$H$1001,B$155,Clean_Data!$V$2:$V$1001,1),"")</f>
        <v>19.1428571428571</v>
      </c>
      <c r="C180" s="37">
        <f>IFERROR(AVERAGEIFS(Clean_Data!$P$2:$P$1001,Clean_Data!$F$2:$F$1001,$A180,Clean_Data!$H$2:$H$1001,C$155,Clean_Data!$V$2:$V$1001,1),"")</f>
        <v>16.6666666666667</v>
      </c>
      <c r="D180" s="37">
        <f>IFERROR(AVERAGEIFS(Clean_Data!$P$2:$P$1001,Clean_Data!$F$2:$F$1001,$A180,Clean_Data!$H$2:$H$1001,D$155,Clean_Data!$V$2:$V$1001,1),"")</f>
        <v>19.6666666666667</v>
      </c>
      <c r="E180" s="37">
        <f>IFERROR(AVERAGEIFS(Clean_Data!$P$2:$P$1001,Clean_Data!$F$2:$F$1001,$A180,Clean_Data!$H$2:$H$1001,E$155,Clean_Data!$V$2:$V$1001,1),"")</f>
        <v>27.2</v>
      </c>
      <c r="F180" s="37">
        <f>IFERROR(AVERAGEIFS(Clean_Data!$P$2:$P$1001,Clean_Data!$F$2:$F$1001,$A180,Clean_Data!$H$2:$H$1001,F$155,Clean_Data!$V$2:$V$1001,1),"")</f>
        <v>26.1666666666667</v>
      </c>
      <c r="G180" s="37">
        <f>IFERROR(AVERAGEIFS(Clean_Data!$P$2:$P$1001,Clean_Data!$F$2:$F$1001,$A180,Clean_Data!$H$2:$H$1001,G$155,Clean_Data!$V$2:$V$1001,1),"")</f>
        <v>29.3333333333333</v>
      </c>
      <c r="H180" s="37">
        <f>IFERROR(AVERAGEIFS(Clean_Data!$P$2:$P$1001,Clean_Data!$F$2:$F$1001,$A180,Clean_Data!$H$2:$H$1001,H$155,Clean_Data!$V$2:$V$1001,1),"")</f>
        <v>37.4285714285714</v>
      </c>
    </row>
  </sheetData>
  <mergeCells count="9">
    <mergeCell ref="A7:I7"/>
    <mergeCell ref="A35:I35"/>
    <mergeCell ref="A52:I52"/>
    <mergeCell ref="A69:I69"/>
    <mergeCell ref="A86:I86"/>
    <mergeCell ref="A103:I103"/>
    <mergeCell ref="A120:I120"/>
    <mergeCell ref="A137:I137"/>
    <mergeCell ref="A154:I154"/>
  </mergeCells>
  <conditionalFormatting sqref="B157:H180">
    <cfRule type="colorScale" priority="8">
      <colorScale>
        <cfvo type="min" val="0"/>
        <cfvo type="percentile" val="50"/>
        <cfvo type="max" val="0"/>
        <color rgb="FFF7FBFF"/>
        <color rgb="FF9ECAE1"/>
        <color rgb="FF08519C"/>
      </colorScale>
    </cfRule>
  </conditionalFormatting>
  <conditionalFormatting sqref="E105:E108">
    <cfRule type="dataBar" priority="6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E122:E123">
    <cfRule type="dataBar" priority="7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{DA7ABA51-AAAA-BBBB-000A-000000000002}</x14:id>
        </ext>
      </extLst>
    </cfRule>
  </conditionalFormatting>
  <conditionalFormatting sqref="E37:E43">
    <cfRule type="dataBar" priority="2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{DA7ABA51-AAAA-BBBB-000A-000000000003}</x14:id>
        </ext>
      </extLst>
    </cfRule>
  </conditionalFormatting>
  <conditionalFormatting sqref="E54:E55">
    <cfRule type="dataBar" priority="3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{DA7ABA51-AAAA-BBBB-000A-000000000004}</x14:id>
        </ext>
      </extLst>
    </cfRule>
  </conditionalFormatting>
  <conditionalFormatting sqref="E71:E74">
    <cfRule type="dataBar" priority="4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{DA7ABA51-AAAA-BBBB-000A-000000000005}</x14:id>
        </ext>
      </extLst>
    </cfRule>
  </conditionalFormatting>
  <conditionalFormatting sqref="E88:E92">
    <cfRule type="dataBar" priority="5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{DA7ABA51-AAAA-BBBB-000A-000000000006}</x14:id>
        </ext>
      </extLst>
    </cfRule>
  </conditionalFormatting>
  <conditionalFormatting sqref="E9:E32">
    <cfRule type="dataBar" priority="1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{DA7ABA51-AAAA-BBBB-000A-000000000007}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E105:E108</xm:sqref>
        </x14:conditionalFormatting>
        <x14:conditionalFormatting xmlns:xm="http://schemas.microsoft.com/office/excel/2006/main">
          <x14:cfRule type="dataBar" id="{DA7ABA51-AAAA-BBBB-000A-000000000002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E122:E123</xm:sqref>
        </x14:conditionalFormatting>
        <x14:conditionalFormatting xmlns:xm="http://schemas.microsoft.com/office/excel/2006/main">
          <x14:cfRule type="dataBar" id="{DA7ABA51-AAAA-BBBB-000A-000000000003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E37:E43</xm:sqref>
        </x14:conditionalFormatting>
        <x14:conditionalFormatting xmlns:xm="http://schemas.microsoft.com/office/excel/2006/main">
          <x14:cfRule type="dataBar" id="{DA7ABA51-AAAA-BBBB-000A-000000000004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E54:E55</xm:sqref>
        </x14:conditionalFormatting>
        <x14:conditionalFormatting xmlns:xm="http://schemas.microsoft.com/office/excel/2006/main">
          <x14:cfRule type="dataBar" id="{DA7ABA51-AAAA-BBBB-000A-000000000005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E71:E74</xm:sqref>
        </x14:conditionalFormatting>
        <x14:conditionalFormatting xmlns:xm="http://schemas.microsoft.com/office/excel/2006/main">
          <x14:cfRule type="dataBar" id="{DA7ABA51-AAAA-BBBB-000A-000000000006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E88:E92</xm:sqref>
        </x14:conditionalFormatting>
        <x14:conditionalFormatting xmlns:xm="http://schemas.microsoft.com/office/excel/2006/main">
          <x14:cfRule type="dataBar" id="{DA7ABA51-AAAA-BBBB-000A-000000000007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E9:E32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F3A5F"/>
  </sheetPr>
  <dimension ref="A1:K58"/>
  <sheetViews>
    <sheetView showGridLines="0" workbookViewId="0"/>
  </sheetViews>
  <sheetFormatPr defaultRowHeight="15"/>
  <cols>
    <col min="1" max="1" width="30.7109375" customWidth="1"/>
    <col min="2" max="11" width="13.7109375" customWidth="1"/>
  </cols>
  <sheetData>
    <row r="1" spans="1:11">
      <c r="A1" s="12" t="s">
        <v>320</v>
      </c>
    </row>
    <row r="2" spans="1:11">
      <c r="A2" s="2" t="s">
        <v>321</v>
      </c>
    </row>
    <row r="4" spans="1:11">
      <c r="A4" s="21" t="s">
        <v>322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>
      <c r="A5" s="6" t="s">
        <v>323</v>
      </c>
      <c r="B5" s="6" t="s">
        <v>179</v>
      </c>
      <c r="C5" s="6" t="s">
        <v>324</v>
      </c>
      <c r="D5" s="6" t="s">
        <v>325</v>
      </c>
      <c r="E5" s="6" t="s">
        <v>326</v>
      </c>
      <c r="F5" s="6" t="s">
        <v>327</v>
      </c>
      <c r="G5" s="6" t="s">
        <v>328</v>
      </c>
      <c r="H5" s="6" t="s">
        <v>329</v>
      </c>
      <c r="I5" s="6" t="s">
        <v>330</v>
      </c>
      <c r="J5" s="6" t="s">
        <v>331</v>
      </c>
      <c r="K5" s="6" t="s">
        <v>332</v>
      </c>
    </row>
    <row r="6" spans="1:11">
      <c r="A6" s="9" t="s">
        <v>333</v>
      </c>
      <c r="B6" s="30">
        <f t="array" ref="B6">COUNT(IF(Clean_Data!$V$2:$V$1001=1,Clean_Data!$P$2:$P$1001))</f>
        <v>1000</v>
      </c>
      <c r="C6" s="38">
        <f t="array" ref="C6">SUM(IF(Clean_Data!$V$2:$V$1001=1,Clean_Data!$P$2:$P$1001))</f>
        <v>58304</v>
      </c>
      <c r="D6" s="39">
        <f t="array" ref="D6">AVERAGE(IF(Clean_Data!$V$2:$V$1001=1,Clean_Data!$P$2:$P$1001))</f>
        <v>58.304</v>
      </c>
      <c r="E6" s="39">
        <f t="array" ref="E6">MEDIAN(IF(Clean_Data!$V$2:$V$1001=1,Clean_Data!$P$2:$P$1001))</f>
        <v>49</v>
      </c>
      <c r="F6" s="39">
        <f t="array" ref="F6">STDEV(IF(Clean_Data!$V$2:$V$1001=1,Clean_Data!$P$2:$P$1001))</f>
        <v>50.9855578679994</v>
      </c>
      <c r="G6" s="39">
        <f t="array" ref="G6">MIN(IF(Clean_Data!$V$2:$V$1001=1,Clean_Data!$P$2:$P$1001))</f>
        <v>1</v>
      </c>
      <c r="H6" s="39">
        <f t="array" ref="H6">MAX(IF(Clean_Data!$V$2:$V$1001=1,Clean_Data!$P$2:$P$1001))</f>
        <v>249</v>
      </c>
      <c r="I6" s="39">
        <f t="array" ref="I6">PERCENTILE(IF(Clean_Data!$V$2:$V$1001=1,Clean_Data!$P$2:$P$1001),0.25)</f>
        <v>16</v>
      </c>
      <c r="J6" s="39">
        <f t="array" ref="J6">PERCENTILE(IF(Clean_Data!$V$2:$V$1001=1,Clean_Data!$P$2:$P$1001),0.75)</f>
        <v>83</v>
      </c>
      <c r="K6" s="40">
        <f>IFERROR(F6/D6,0)</f>
        <v>0.874477872324359</v>
      </c>
    </row>
    <row r="7" spans="1:11">
      <c r="A7" s="9" t="s">
        <v>334</v>
      </c>
      <c r="B7" s="30">
        <f t="array" ref="B7">COUNT(IF(Clean_Data!$V$2:$V$1001=1,Clean_Data!$N$2:$N$1001))</f>
        <v>1000</v>
      </c>
      <c r="C7" s="38">
        <f t="array" ref="C7">SUM(IF(Clean_Data!$V$2:$V$1001=1,Clean_Data!$N$2:$N$1001))</f>
        <v>4921</v>
      </c>
      <c r="D7" s="39">
        <f t="array" ref="D7">AVERAGE(IF(Clean_Data!$V$2:$V$1001=1,Clean_Data!$N$2:$N$1001))</f>
        <v>4.921</v>
      </c>
      <c r="E7" s="39">
        <f t="array" ref="E7">MEDIAN(IF(Clean_Data!$V$2:$V$1001=1,Clean_Data!$N$2:$N$1001))</f>
        <v>3</v>
      </c>
      <c r="F7" s="39">
        <f t="array" ref="F7">STDEV(IF(Clean_Data!$V$2:$V$1001=1,Clean_Data!$N$2:$N$1001))</f>
        <v>7.64389875575208</v>
      </c>
      <c r="G7" s="39">
        <f t="array" ref="G7">MIN(IF(Clean_Data!$V$2:$V$1001=1,Clean_Data!$N$2:$N$1001))</f>
        <v>0</v>
      </c>
      <c r="H7" s="39">
        <f t="array" ref="H7">MAX(IF(Clean_Data!$V$2:$V$1001=1,Clean_Data!$N$2:$N$1001))</f>
        <v>62</v>
      </c>
      <c r="I7" s="39">
        <f t="array" ref="I7">PERCENTILE(IF(Clean_Data!$V$2:$V$1001=1,Clean_Data!$N$2:$N$1001),0.25)</f>
        <v>0</v>
      </c>
      <c r="J7" s="39">
        <f t="array" ref="J7">PERCENTILE(IF(Clean_Data!$V$2:$V$1001=1,Clean_Data!$N$2:$N$1001),0.75)</f>
        <v>6</v>
      </c>
      <c r="K7" s="40">
        <f>IFERROR(F7/D7,0)</f>
        <v>1.55332224258323</v>
      </c>
    </row>
    <row r="8" spans="1:11">
      <c r="A8" s="9" t="s">
        <v>335</v>
      </c>
      <c r="B8" s="30">
        <f t="array" ref="B8">COUNT(IF(Clean_Data!$V$2:$V$1001=1,Clean_Data!$O$2:$O$1001))</f>
        <v>1000</v>
      </c>
      <c r="C8" s="38">
        <f t="array" ref="C8">SUM(IF(Clean_Data!$V$2:$V$1001=1,Clean_Data!$O$2:$O$1001))</f>
        <v>53383</v>
      </c>
      <c r="D8" s="39">
        <f t="array" ref="D8">AVERAGE(IF(Clean_Data!$V$2:$V$1001=1,Clean_Data!$O$2:$O$1001))</f>
        <v>53.383</v>
      </c>
      <c r="E8" s="39">
        <f t="array" ref="E8">MEDIAN(IF(Clean_Data!$V$2:$V$1001=1,Clean_Data!$O$2:$O$1001))</f>
        <v>46</v>
      </c>
      <c r="F8" s="39">
        <f t="array" ref="F8">STDEV(IF(Clean_Data!$V$2:$V$1001=1,Clean_Data!$O$2:$O$1001))</f>
        <v>47.8939677114263</v>
      </c>
      <c r="G8" s="39">
        <f t="array" ref="G8">MIN(IF(Clean_Data!$V$2:$V$1001=1,Clean_Data!$O$2:$O$1001))</f>
        <v>0</v>
      </c>
      <c r="H8" s="39">
        <f t="array" ref="H8">MAX(IF(Clean_Data!$V$2:$V$1001=1,Clean_Data!$O$2:$O$1001))</f>
        <v>247</v>
      </c>
      <c r="I8" s="39">
        <f t="array" ref="I8">PERCENTILE(IF(Clean_Data!$V$2:$V$1001=1,Clean_Data!$O$2:$O$1001),0.25)</f>
        <v>15</v>
      </c>
      <c r="J8" s="39">
        <f t="array" ref="J8">PERCENTILE(IF(Clean_Data!$V$2:$V$1001=1,Clean_Data!$O$2:$O$1001),0.75)</f>
        <v>74</v>
      </c>
      <c r="K8" s="40">
        <f>IFERROR(F8/D8,0)</f>
        <v>0.897176399067611</v>
      </c>
    </row>
    <row r="9" spans="1:11">
      <c r="A9" s="9" t="s">
        <v>336</v>
      </c>
      <c r="B9" s="30">
        <f t="array" ref="B9">COUNT(IF(Clean_Data!$V$2:$V$1001=1,Clean_Data!$AD$2:$AD$1001))</f>
        <v>1000</v>
      </c>
      <c r="C9" s="38">
        <f t="array" ref="C9">SUM(IF(Clean_Data!$V$2:$V$1001=1,Clean_Data!$AD$2:$AD$1001))</f>
        <v>8440.4</v>
      </c>
      <c r="D9" s="39">
        <f t="array" ref="D9">AVERAGE(IF(Clean_Data!$V$2:$V$1001=1,Clean_Data!$AD$2:$AD$1001))</f>
        <v>8.4404</v>
      </c>
      <c r="E9" s="39">
        <f t="array" ref="E9">MEDIAN(IF(Clean_Data!$V$2:$V$1001=1,Clean_Data!$AD$2:$AD$1001))</f>
        <v>8.2</v>
      </c>
      <c r="F9" s="39">
        <f t="array" ref="F9">STDEV(IF(Clean_Data!$V$2:$V$1001=1,Clean_Data!$AD$2:$AD$1001))</f>
        <v>3.23831352937212</v>
      </c>
      <c r="G9" s="39">
        <f t="array" ref="G9">MIN(IF(Clean_Data!$V$2:$V$1001=1,Clean_Data!$AD$2:$AD$1001))</f>
        <v>0.8</v>
      </c>
      <c r="H9" s="39">
        <f t="array" ref="H9">MAX(IF(Clean_Data!$V$2:$V$1001=1,Clean_Data!$AD$2:$AD$1001))</f>
        <v>18.9</v>
      </c>
      <c r="I9" s="39">
        <f t="array" ref="I9">PERCENTILE(IF(Clean_Data!$V$2:$V$1001=1,Clean_Data!$AD$2:$AD$1001),0.25)</f>
        <v>6.6</v>
      </c>
      <c r="J9" s="39">
        <f t="array" ref="J9">PERCENTILE(IF(Clean_Data!$V$2:$V$1001=1,Clean_Data!$AD$2:$AD$1001),0.75)</f>
        <v>9.8</v>
      </c>
      <c r="K9" s="40">
        <f>IFERROR(F9/D9,0)</f>
        <v>0.383668253799834</v>
      </c>
    </row>
    <row r="10" spans="1:11">
      <c r="A10" s="9" t="s">
        <v>337</v>
      </c>
      <c r="B10" s="30">
        <f t="array" ref="B10">COUNT(IF(Clean_Data!$V$2:$V$1001=1,Clean_Data!$AE$2:$AE$1001))</f>
        <v>1000</v>
      </c>
      <c r="C10" s="38">
        <f t="array" ref="C10">SUM(IF(Clean_Data!$V$2:$V$1001=1,Clean_Data!$AE$2:$AE$1001))</f>
        <v>10663.6</v>
      </c>
      <c r="D10" s="39">
        <f t="array" ref="D10">AVERAGE(IF(Clean_Data!$V$2:$V$1001=1,Clean_Data!$AE$2:$AE$1001))</f>
        <v>10.6636</v>
      </c>
      <c r="E10" s="39">
        <f t="array" ref="E10">MEDIAN(IF(Clean_Data!$V$2:$V$1001=1,Clean_Data!$AE$2:$AE$1001))</f>
        <v>10.6</v>
      </c>
      <c r="F10" s="39">
        <f t="array" ref="F10">STDEV(IF(Clean_Data!$V$2:$V$1001=1,Clean_Data!$AE$2:$AE$1001))</f>
        <v>3.88492827574819</v>
      </c>
      <c r="G10" s="39">
        <f t="array" ref="G10">MIN(IF(Clean_Data!$V$2:$V$1001=1,Clean_Data!$AE$2:$AE$1001))</f>
        <v>0</v>
      </c>
      <c r="H10" s="39">
        <f t="array" ref="H10">MAX(IF(Clean_Data!$V$2:$V$1001=1,Clean_Data!$AE$2:$AE$1001))</f>
        <v>22.7</v>
      </c>
      <c r="I10" s="39">
        <f t="array" ref="I10">PERCENTILE(IF(Clean_Data!$V$2:$V$1001=1,Clean_Data!$AE$2:$AE$1001),0.25)</f>
        <v>8.3</v>
      </c>
      <c r="J10" s="39">
        <f t="array" ref="J10">PERCENTILE(IF(Clean_Data!$V$2:$V$1001=1,Clean_Data!$AE$2:$AE$1001),0.75)</f>
        <v>12.9</v>
      </c>
      <c r="K10" s="40">
        <f>IFERROR(F10/D10,0)</f>
        <v>0.364316766921883</v>
      </c>
    </row>
    <row r="11" spans="1:11">
      <c r="A11" s="9" t="s">
        <v>338</v>
      </c>
      <c r="B11" s="30">
        <f t="array" ref="B11">COUNT(IF(Clean_Data!$V$2:$V$1001=1,Clean_Data!$AF$2:$AF$1001))</f>
        <v>1000</v>
      </c>
      <c r="C11" s="38">
        <f t="array" ref="C11">SUM(IF(Clean_Data!$V$2:$V$1001=1,Clean_Data!$AF$2:$AF$1001))</f>
        <v>58248</v>
      </c>
      <c r="D11" s="39">
        <f t="array" ref="D11">AVERAGE(IF(Clean_Data!$V$2:$V$1001=1,Clean_Data!$AF$2:$AF$1001))</f>
        <v>58.248</v>
      </c>
      <c r="E11" s="39">
        <f t="array" ref="E11">MEDIAN(IF(Clean_Data!$V$2:$V$1001=1,Clean_Data!$AF$2:$AF$1001))</f>
        <v>55</v>
      </c>
      <c r="F11" s="39">
        <f t="array" ref="F11">STDEV(IF(Clean_Data!$V$2:$V$1001=1,Clean_Data!$AF$2:$AF$1001))</f>
        <v>18.7977086329651</v>
      </c>
      <c r="G11" s="39">
        <f t="array" ref="G11">MIN(IF(Clean_Data!$V$2:$V$1001=1,Clean_Data!$AF$2:$AF$1001))</f>
        <v>21</v>
      </c>
      <c r="H11" s="39">
        <f t="array" ref="H11">MAX(IF(Clean_Data!$V$2:$V$1001=1,Clean_Data!$AF$2:$AF$1001))</f>
        <v>100</v>
      </c>
      <c r="I11" s="39">
        <f t="array" ref="I11">PERCENTILE(IF(Clean_Data!$V$2:$V$1001=1,Clean_Data!$AF$2:$AF$1001),0.25)</f>
        <v>44</v>
      </c>
      <c r="J11" s="39">
        <f t="array" ref="J11">PERCENTILE(IF(Clean_Data!$V$2:$V$1001=1,Clean_Data!$AF$2:$AF$1001),0.75)</f>
        <v>70</v>
      </c>
      <c r="K11" s="40">
        <f>IFERROR(F11/D11,0)</f>
        <v>0.322718524807119</v>
      </c>
    </row>
    <row r="12" spans="1:11">
      <c r="A12" s="9" t="s">
        <v>339</v>
      </c>
      <c r="B12" s="30">
        <f t="array" ref="B12">COUNT(IF(Clean_Data!$V$2:$V$1001=1,Clean_Data!$AG$2:$AG$1001))</f>
        <v>1000</v>
      </c>
      <c r="C12" s="38">
        <f t="array" ref="C12">SUM(IF(Clean_Data!$V$2:$V$1001=1,Clean_Data!$AG$2:$AG$1001))</f>
        <v>13060</v>
      </c>
      <c r="D12" s="39">
        <f t="array" ref="D12">AVERAGE(IF(Clean_Data!$V$2:$V$1001=1,Clean_Data!$AG$2:$AG$1001))</f>
        <v>13.06</v>
      </c>
      <c r="E12" s="39">
        <f t="array" ref="E12">MEDIAN(IF(Clean_Data!$V$2:$V$1001=1,Clean_Data!$AG$2:$AG$1001))</f>
        <v>11</v>
      </c>
      <c r="F12" s="39">
        <f t="array" ref="F12">STDEV(IF(Clean_Data!$V$2:$V$1001=1,Clean_Data!$AG$2:$AG$1001))</f>
        <v>8.6514303584579</v>
      </c>
      <c r="G12" s="39">
        <f t="array" ref="G12">MIN(IF(Clean_Data!$V$2:$V$1001=1,Clean_Data!$AG$2:$AG$1001))</f>
        <v>0</v>
      </c>
      <c r="H12" s="39">
        <f t="array" ref="H12">MAX(IF(Clean_Data!$V$2:$V$1001=1,Clean_Data!$AG$2:$AG$1001))</f>
        <v>39</v>
      </c>
      <c r="I12" s="39">
        <f t="array" ref="I12">PERCENTILE(IF(Clean_Data!$V$2:$V$1001=1,Clean_Data!$AG$2:$AG$1001),0.25)</f>
        <v>7</v>
      </c>
      <c r="J12" s="39">
        <f t="array" ref="J12">PERCENTILE(IF(Clean_Data!$V$2:$V$1001=1,Clean_Data!$AG$2:$AG$1001),0.75)</f>
        <v>19</v>
      </c>
      <c r="K12" s="40">
        <f>IFERROR(F12/D12,0)</f>
        <v>0.662437240310712</v>
      </c>
    </row>
    <row r="15" spans="1:11">
      <c r="A15" s="21" t="s">
        <v>340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7" spans="1:8" ht="42" customHeight="1">
      <c r="A17" s="6" t="s">
        <v>341</v>
      </c>
      <c r="B17" s="6" t="s">
        <v>333</v>
      </c>
      <c r="C17" s="6" t="s">
        <v>334</v>
      </c>
      <c r="D17" s="6" t="s">
        <v>335</v>
      </c>
      <c r="E17" s="6" t="s">
        <v>336</v>
      </c>
      <c r="F17" s="6" t="s">
        <v>337</v>
      </c>
      <c r="G17" s="6" t="s">
        <v>338</v>
      </c>
      <c r="H17" s="6" t="s">
        <v>339</v>
      </c>
    </row>
    <row r="18" spans="1:8">
      <c r="A18" s="27" t="s">
        <v>333</v>
      </c>
      <c r="B18" s="41">
        <f t="array" ref="B18">CORREL(IF(Clean_Data!$V$2:$V$1001=1,Clean_Data!$P$2:$P$1001),IF(Clean_Data!$V$2:$V$1001=1,Clean_Data!$P$2:$P$1001))</f>
        <v>1</v>
      </c>
      <c r="C18" s="41">
        <f t="array" ref="C18">CORREL(IF(Clean_Data!$V$2:$V$1001=1,Clean_Data!$P$2:$P$1001),IF(Clean_Data!$V$2:$V$1001=1,Clean_Data!$N$2:$N$1001))</f>
        <v>0.467151119330582</v>
      </c>
      <c r="D18" s="41">
        <f t="array" ref="D18">CORREL(IF(Clean_Data!$V$2:$V$1001=1,Clean_Data!$P$2:$P$1001),IF(Clean_Data!$V$2:$V$1001=1,Clean_Data!$O$2:$O$1001))</f>
        <v>0.989993192752084</v>
      </c>
      <c r="E18" s="41">
        <f t="array" ref="E18">CORREL(IF(Clean_Data!$V$2:$V$1001=1,Clean_Data!$P$2:$P$1001),IF(Clean_Data!$V$2:$V$1001=1,Clean_Data!$AD$2:$AD$1001))</f>
        <v>0.228948916326973</v>
      </c>
      <c r="F18" s="41">
        <f t="array" ref="F18">CORREL(IF(Clean_Data!$V$2:$V$1001=1,Clean_Data!$P$2:$P$1001),IF(Clean_Data!$V$2:$V$1001=1,Clean_Data!$AE$2:$AE$1001))</f>
        <v>0.18309372121018</v>
      </c>
      <c r="G18" s="41">
        <f t="array" ref="G18">CORREL(IF(Clean_Data!$V$2:$V$1001=1,Clean_Data!$P$2:$P$1001),IF(Clean_Data!$V$2:$V$1001=1,Clean_Data!$AF$2:$AF$1001))</f>
        <v>-0.254353298287904</v>
      </c>
      <c r="H18" s="41">
        <f t="array" ref="H18">CORREL(IF(Clean_Data!$V$2:$V$1001=1,Clean_Data!$P$2:$P$1001),IF(Clean_Data!$V$2:$V$1001=1,Clean_Data!$AG$2:$AG$1001))</f>
        <v>0.104003272072611</v>
      </c>
    </row>
    <row r="19" spans="1:8">
      <c r="A19" s="27" t="s">
        <v>334</v>
      </c>
      <c r="B19" s="41">
        <f t="array" ref="B19">CORREL(IF(Clean_Data!$V$2:$V$1001=1,Clean_Data!$N$2:$N$1001),IF(Clean_Data!$V$2:$V$1001=1,Clean_Data!$P$2:$P$1001))</f>
        <v>0.467151119330582</v>
      </c>
      <c r="C19" s="41">
        <f t="array" ref="C19">CORREL(IF(Clean_Data!$V$2:$V$1001=1,Clean_Data!$N$2:$N$1001),IF(Clean_Data!$V$2:$V$1001=1,Clean_Data!$N$2:$N$1001))</f>
        <v>1</v>
      </c>
      <c r="D19" s="41">
        <f t="array" ref="D19">CORREL(IF(Clean_Data!$V$2:$V$1001=1,Clean_Data!$N$2:$N$1001),IF(Clean_Data!$V$2:$V$1001=1,Clean_Data!$O$2:$O$1001))</f>
        <v>0.33770561189315</v>
      </c>
      <c r="E19" s="41">
        <f t="array" ref="E19">CORREL(IF(Clean_Data!$V$2:$V$1001=1,Clean_Data!$N$2:$N$1001),IF(Clean_Data!$V$2:$V$1001=1,Clean_Data!$AD$2:$AD$1001))</f>
        <v>0.469901147363705</v>
      </c>
      <c r="F19" s="41">
        <f t="array" ref="F19">CORREL(IF(Clean_Data!$V$2:$V$1001=1,Clean_Data!$N$2:$N$1001),IF(Clean_Data!$V$2:$V$1001=1,Clean_Data!$AE$2:$AE$1001))</f>
        <v>0.421232960727211</v>
      </c>
      <c r="G19" s="41">
        <f t="array" ref="G19">CORREL(IF(Clean_Data!$V$2:$V$1001=1,Clean_Data!$N$2:$N$1001),IF(Clean_Data!$V$2:$V$1001=1,Clean_Data!$AF$2:$AF$1001))</f>
        <v>-0.259407454542862</v>
      </c>
      <c r="H19" s="41">
        <f t="array" ref="H19">CORREL(IF(Clean_Data!$V$2:$V$1001=1,Clean_Data!$N$2:$N$1001),IF(Clean_Data!$V$2:$V$1001=1,Clean_Data!$AG$2:$AG$1001))</f>
        <v>0.129399851568463</v>
      </c>
    </row>
    <row r="20" spans="1:8">
      <c r="A20" s="27" t="s">
        <v>335</v>
      </c>
      <c r="B20" s="41">
        <f t="array" ref="B20">CORREL(IF(Clean_Data!$V$2:$V$1001=1,Clean_Data!$O$2:$O$1001),IF(Clean_Data!$V$2:$V$1001=1,Clean_Data!$P$2:$P$1001))</f>
        <v>0.989993192752084</v>
      </c>
      <c r="C20" s="41">
        <f t="array" ref="C20">CORREL(IF(Clean_Data!$V$2:$V$1001=1,Clean_Data!$O$2:$O$1001),IF(Clean_Data!$V$2:$V$1001=1,Clean_Data!$N$2:$N$1001))</f>
        <v>0.33770561189315</v>
      </c>
      <c r="D20" s="41">
        <f t="array" ref="D20">CORREL(IF(Clean_Data!$V$2:$V$1001=1,Clean_Data!$O$2:$O$1001),IF(Clean_Data!$V$2:$V$1001=1,Clean_Data!$O$2:$O$1001))</f>
        <v>1</v>
      </c>
      <c r="E20" s="41">
        <f t="array" ref="E20">CORREL(IF(Clean_Data!$V$2:$V$1001=1,Clean_Data!$O$2:$O$1001),IF(Clean_Data!$V$2:$V$1001=1,Clean_Data!$AD$2:$AD$1001))</f>
        <v>0.168731299842104</v>
      </c>
      <c r="F20" s="41">
        <f t="array" ref="F20">CORREL(IF(Clean_Data!$V$2:$V$1001=1,Clean_Data!$O$2:$O$1001),IF(Clean_Data!$V$2:$V$1001=1,Clean_Data!$AE$2:$AE$1001))</f>
        <v>0.127683583253963</v>
      </c>
      <c r="G20" s="41">
        <f t="array" ref="G20">CORREL(IF(Clean_Data!$V$2:$V$1001=1,Clean_Data!$O$2:$O$1001),IF(Clean_Data!$V$2:$V$1001=1,Clean_Data!$AF$2:$AF$1001))</f>
        <v>-0.229370440886245</v>
      </c>
      <c r="H20" s="41">
        <f t="array" ref="H20">CORREL(IF(Clean_Data!$V$2:$V$1001=1,Clean_Data!$O$2:$O$1001),IF(Clean_Data!$V$2:$V$1001=1,Clean_Data!$AG$2:$AG$1001))</f>
        <v>0.0900644838680092</v>
      </c>
    </row>
    <row r="21" spans="1:8">
      <c r="A21" s="27" t="s">
        <v>336</v>
      </c>
      <c r="B21" s="41">
        <f t="array" ref="B21">CORREL(IF(Clean_Data!$V$2:$V$1001=1,Clean_Data!$AD$2:$AD$1001),IF(Clean_Data!$V$2:$V$1001=1,Clean_Data!$P$2:$P$1001))</f>
        <v>0.228948916326973</v>
      </c>
      <c r="C21" s="41">
        <f t="array" ref="C21">CORREL(IF(Clean_Data!$V$2:$V$1001=1,Clean_Data!$AD$2:$AD$1001),IF(Clean_Data!$V$2:$V$1001=1,Clean_Data!$N$2:$N$1001))</f>
        <v>0.469901147363705</v>
      </c>
      <c r="D21" s="41">
        <f t="array" ref="D21">CORREL(IF(Clean_Data!$V$2:$V$1001=1,Clean_Data!$AD$2:$AD$1001),IF(Clean_Data!$V$2:$V$1001=1,Clean_Data!$O$2:$O$1001))</f>
        <v>0.168731299842104</v>
      </c>
      <c r="E21" s="41">
        <f t="array" ref="E21">CORREL(IF(Clean_Data!$V$2:$V$1001=1,Clean_Data!$AD$2:$AD$1001),IF(Clean_Data!$V$2:$V$1001=1,Clean_Data!$AD$2:$AD$1001))</f>
        <v>1</v>
      </c>
      <c r="F21" s="41">
        <f t="array" ref="F21">CORREL(IF(Clean_Data!$V$2:$V$1001=1,Clean_Data!$AD$2:$AD$1001),IF(Clean_Data!$V$2:$V$1001=1,Clean_Data!$AE$2:$AE$1001))</f>
        <v>0.934281324936066</v>
      </c>
      <c r="G21" s="41">
        <f t="array" ref="G21">CORREL(IF(Clean_Data!$V$2:$V$1001=1,Clean_Data!$AD$2:$AD$1001),IF(Clean_Data!$V$2:$V$1001=1,Clean_Data!$AF$2:$AF$1001))</f>
        <v>0.0805413519410321</v>
      </c>
      <c r="H21" s="41">
        <f t="array" ref="H21">CORREL(IF(Clean_Data!$V$2:$V$1001=1,Clean_Data!$AD$2:$AD$1001),IF(Clean_Data!$V$2:$V$1001=1,Clean_Data!$AG$2:$AG$1001))</f>
        <v>0.122144225667939</v>
      </c>
    </row>
    <row r="22" spans="1:8">
      <c r="A22" s="27" t="s">
        <v>337</v>
      </c>
      <c r="B22" s="41">
        <f t="array" ref="B22">CORREL(IF(Clean_Data!$V$2:$V$1001=1,Clean_Data!$AE$2:$AE$1001),IF(Clean_Data!$V$2:$V$1001=1,Clean_Data!$P$2:$P$1001))</f>
        <v>0.18309372121018</v>
      </c>
      <c r="C22" s="41">
        <f t="array" ref="C22">CORREL(IF(Clean_Data!$V$2:$V$1001=1,Clean_Data!$AE$2:$AE$1001),IF(Clean_Data!$V$2:$V$1001=1,Clean_Data!$N$2:$N$1001))</f>
        <v>0.421232960727211</v>
      </c>
      <c r="D22" s="41">
        <f t="array" ref="D22">CORREL(IF(Clean_Data!$V$2:$V$1001=1,Clean_Data!$AE$2:$AE$1001),IF(Clean_Data!$V$2:$V$1001=1,Clean_Data!$O$2:$O$1001))</f>
        <v>0.127683583253963</v>
      </c>
      <c r="E22" s="41">
        <f t="array" ref="E22">CORREL(IF(Clean_Data!$V$2:$V$1001=1,Clean_Data!$AE$2:$AE$1001),IF(Clean_Data!$V$2:$V$1001=1,Clean_Data!$AD$2:$AD$1001))</f>
        <v>0.934281324936066</v>
      </c>
      <c r="F22" s="41">
        <f t="array" ref="F22">CORREL(IF(Clean_Data!$V$2:$V$1001=1,Clean_Data!$AE$2:$AE$1001),IF(Clean_Data!$V$2:$V$1001=1,Clean_Data!$AE$2:$AE$1001))</f>
        <v>1</v>
      </c>
      <c r="G22" s="41">
        <f t="array" ref="G22">CORREL(IF(Clean_Data!$V$2:$V$1001=1,Clean_Data!$AE$2:$AE$1001),IF(Clean_Data!$V$2:$V$1001=1,Clean_Data!$AF$2:$AF$1001))</f>
        <v>0.206261182000326</v>
      </c>
      <c r="H22" s="41">
        <f t="array" ref="H22">CORREL(IF(Clean_Data!$V$2:$V$1001=1,Clean_Data!$AE$2:$AE$1001),IF(Clean_Data!$V$2:$V$1001=1,Clean_Data!$AG$2:$AG$1001))</f>
        <v>-0.201495112303295</v>
      </c>
    </row>
    <row r="23" spans="1:8">
      <c r="A23" s="27" t="s">
        <v>338</v>
      </c>
      <c r="B23" s="41">
        <f t="array" ref="B23">CORREL(IF(Clean_Data!$V$2:$V$1001=1,Clean_Data!$AF$2:$AF$1001),IF(Clean_Data!$V$2:$V$1001=1,Clean_Data!$P$2:$P$1001))</f>
        <v>-0.254353298287904</v>
      </c>
      <c r="C23" s="41">
        <f t="array" ref="C23">CORREL(IF(Clean_Data!$V$2:$V$1001=1,Clean_Data!$AF$2:$AF$1001),IF(Clean_Data!$V$2:$V$1001=1,Clean_Data!$N$2:$N$1001))</f>
        <v>-0.259407454542862</v>
      </c>
      <c r="D23" s="41">
        <f t="array" ref="D23">CORREL(IF(Clean_Data!$V$2:$V$1001=1,Clean_Data!$AF$2:$AF$1001),IF(Clean_Data!$V$2:$V$1001=1,Clean_Data!$O$2:$O$1001))</f>
        <v>-0.229370440886245</v>
      </c>
      <c r="E23" s="41">
        <f t="array" ref="E23">CORREL(IF(Clean_Data!$V$2:$V$1001=1,Clean_Data!$AF$2:$AF$1001),IF(Clean_Data!$V$2:$V$1001=1,Clean_Data!$AD$2:$AD$1001))</f>
        <v>0.0805413519410321</v>
      </c>
      <c r="F23" s="41">
        <f t="array" ref="F23">CORREL(IF(Clean_Data!$V$2:$V$1001=1,Clean_Data!$AF$2:$AF$1001),IF(Clean_Data!$V$2:$V$1001=1,Clean_Data!$AE$2:$AE$1001))</f>
        <v>0.206261182000326</v>
      </c>
      <c r="G23" s="41">
        <f t="array" ref="G23">CORREL(IF(Clean_Data!$V$2:$V$1001=1,Clean_Data!$AF$2:$AF$1001),IF(Clean_Data!$V$2:$V$1001=1,Clean_Data!$AF$2:$AF$1001))</f>
        <v>1</v>
      </c>
      <c r="H23" s="41">
        <f t="array" ref="H23">CORREL(IF(Clean_Data!$V$2:$V$1001=1,Clean_Data!$AF$2:$AF$1001),IF(Clean_Data!$V$2:$V$1001=1,Clean_Data!$AG$2:$AG$1001))</f>
        <v>-0.385554401770548</v>
      </c>
    </row>
    <row r="24" spans="1:8">
      <c r="A24" s="27" t="s">
        <v>339</v>
      </c>
      <c r="B24" s="41">
        <f t="array" ref="B24">CORREL(IF(Clean_Data!$V$2:$V$1001=1,Clean_Data!$AG$2:$AG$1001),IF(Clean_Data!$V$2:$V$1001=1,Clean_Data!$P$2:$P$1001))</f>
        <v>0.104003272072611</v>
      </c>
      <c r="C24" s="41">
        <f t="array" ref="C24">CORREL(IF(Clean_Data!$V$2:$V$1001=1,Clean_Data!$AG$2:$AG$1001),IF(Clean_Data!$V$2:$V$1001=1,Clean_Data!$N$2:$N$1001))</f>
        <v>0.129399851568463</v>
      </c>
      <c r="D24" s="41">
        <f t="array" ref="D24">CORREL(IF(Clean_Data!$V$2:$V$1001=1,Clean_Data!$AG$2:$AG$1001),IF(Clean_Data!$V$2:$V$1001=1,Clean_Data!$O$2:$O$1001))</f>
        <v>0.0900644838680092</v>
      </c>
      <c r="E24" s="41">
        <f t="array" ref="E24">CORREL(IF(Clean_Data!$V$2:$V$1001=1,Clean_Data!$AG$2:$AG$1001),IF(Clean_Data!$V$2:$V$1001=1,Clean_Data!$AD$2:$AD$1001))</f>
        <v>0.122144225667939</v>
      </c>
      <c r="F24" s="41">
        <f t="array" ref="F24">CORREL(IF(Clean_Data!$V$2:$V$1001=1,Clean_Data!$AG$2:$AG$1001),IF(Clean_Data!$V$2:$V$1001=1,Clean_Data!$AE$2:$AE$1001))</f>
        <v>-0.201495112303295</v>
      </c>
      <c r="G24" s="41">
        <f t="array" ref="G24">CORREL(IF(Clean_Data!$V$2:$V$1001=1,Clean_Data!$AG$2:$AG$1001),IF(Clean_Data!$V$2:$V$1001=1,Clean_Data!$AF$2:$AF$1001))</f>
        <v>-0.385554401770548</v>
      </c>
      <c r="H24" s="41">
        <f t="array" ref="H24">CORREL(IF(Clean_Data!$V$2:$V$1001=1,Clean_Data!$AG$2:$AG$1001),IF(Clean_Data!$V$2:$V$1001=1,Clean_Data!$AG$2:$AG$1001))</f>
        <v>1</v>
      </c>
    </row>
    <row r="25" spans="1:8">
      <c r="A25" s="2" t="s">
        <v>342</v>
      </c>
    </row>
    <row r="27" spans="1:8">
      <c r="A27" s="6" t="s">
        <v>343</v>
      </c>
      <c r="B27" s="6" t="s">
        <v>344</v>
      </c>
      <c r="C27" s="6" t="s">
        <v>345</v>
      </c>
      <c r="D27" s="6" t="s">
        <v>346</v>
      </c>
    </row>
    <row r="28" spans="1:8">
      <c r="A28" s="9" t="s">
        <v>336</v>
      </c>
      <c r="B28" s="42">
        <f>E18</f>
        <v>0.228948916326973</v>
      </c>
      <c r="C28" s="9" t="str">
        <f>IF(ABS(B28)&gt;=0.7,"Strong",IF(ABS(B28)&gt;=0.4,"Moderate",IF(ABS(B28)&gt;=0.2,"Weak","Negligible")))</f>
        <v>Weak</v>
      </c>
      <c r="D28" s="9" t="str">
        <f>IF(B28&gt;0,"Positive","Negative")</f>
        <v>Positive</v>
      </c>
    </row>
    <row r="29" spans="1:8">
      <c r="A29" s="9" t="s">
        <v>337</v>
      </c>
      <c r="B29" s="42">
        <f>F18</f>
        <v>0.18309372121018</v>
      </c>
      <c r="C29" s="9" t="str">
        <f>IF(ABS(B29)&gt;=0.7,"Strong",IF(ABS(B29)&gt;=0.4,"Moderate",IF(ABS(B29)&gt;=0.2,"Weak","Negligible")))</f>
        <v>Negligible</v>
      </c>
      <c r="D29" s="9" t="str">
        <f>IF(B29&gt;0,"Positive","Negative")</f>
        <v>Positive</v>
      </c>
    </row>
    <row r="30" spans="1:8">
      <c r="A30" s="9" t="s">
        <v>338</v>
      </c>
      <c r="B30" s="42">
        <f>G18</f>
        <v>-0.254353298287904</v>
      </c>
      <c r="C30" s="9" t="str">
        <f>IF(ABS(B30)&gt;=0.7,"Strong",IF(ABS(B30)&gt;=0.4,"Moderate",IF(ABS(B30)&gt;=0.2,"Weak","Negligible")))</f>
        <v>Weak</v>
      </c>
      <c r="D30" s="9" t="str">
        <f>IF(B30&gt;0,"Positive","Negative")</f>
        <v>Negative</v>
      </c>
    </row>
    <row r="31" spans="1:8">
      <c r="A31" s="9" t="s">
        <v>339</v>
      </c>
      <c r="B31" s="42">
        <f>H18</f>
        <v>0.104003272072611</v>
      </c>
      <c r="C31" s="9" t="str">
        <f>IF(ABS(B31)&gt;=0.7,"Strong",IF(ABS(B31)&gt;=0.4,"Moderate",IF(ABS(B31)&gt;=0.2,"Weak","Negligible")))</f>
        <v>Negligible</v>
      </c>
      <c r="D31" s="9" t="str">
        <f>IF(B31&gt;0,"Positive","Negative")</f>
        <v>Positive</v>
      </c>
    </row>
    <row r="34" spans="1:11">
      <c r="A34" s="21" t="s">
        <v>347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6" spans="1:11">
      <c r="A36" s="6" t="s">
        <v>348</v>
      </c>
      <c r="B36" s="6"/>
      <c r="C36" s="6"/>
      <c r="D36" s="6"/>
      <c r="E36" s="6" t="s">
        <v>86</v>
      </c>
      <c r="F36" s="6" t="s">
        <v>349</v>
      </c>
    </row>
    <row r="37" spans="1:11">
      <c r="A37" s="9" t="s">
        <v>350</v>
      </c>
      <c r="B37" s="9"/>
      <c r="C37" s="9"/>
      <c r="D37" s="9"/>
      <c r="E37" s="30">
        <f>COUNTIFS(Clean_Data!$P$2:$P$1001,"&gt;100",Clean_Data!$V$2:$V$1001,1)</f>
        <v>170</v>
      </c>
      <c r="F37" s="23" t="s">
        <v>351</v>
      </c>
    </row>
    <row r="38" spans="1:11">
      <c r="A38" s="9" t="s">
        <v>352</v>
      </c>
      <c r="B38" s="9"/>
      <c r="C38" s="9"/>
      <c r="D38" s="9"/>
      <c r="E38" s="33">
        <f>IFERROR(E37/B6,0)</f>
        <v>0.17</v>
      </c>
      <c r="F38" s="23" t="s">
        <v>353</v>
      </c>
    </row>
    <row r="39" spans="1:11">
      <c r="A39" s="9" t="s">
        <v>354</v>
      </c>
      <c r="B39" s="9"/>
      <c r="C39" s="9"/>
      <c r="D39" s="9"/>
      <c r="E39" s="30">
        <f>COUNTIFS(Clean_Data!$N$2:$N$1001,0,Clean_Data!$V$2:$V$1001,1)</f>
        <v>255</v>
      </c>
      <c r="F39" s="23" t="s">
        <v>351</v>
      </c>
    </row>
    <row r="40" spans="1:11">
      <c r="A40" s="9" t="s">
        <v>355</v>
      </c>
      <c r="B40" s="9"/>
      <c r="C40" s="9"/>
      <c r="D40" s="9"/>
      <c r="E40" s="30">
        <f>COUNTIFS(Clean_Data!$I$2:$I$1001,"&gt;=3",Clean_Data!$V$2:$V$1001,1)</f>
        <v>85</v>
      </c>
      <c r="F40" s="23" t="s">
        <v>351</v>
      </c>
    </row>
    <row r="41" spans="1:11">
      <c r="A41" s="9" t="s">
        <v>356</v>
      </c>
      <c r="B41" s="9"/>
      <c r="C41" s="9"/>
      <c r="D41" s="9"/>
      <c r="E41" s="30">
        <f>SUMIFS(Clean_Data!$P$2:$P$1001,Clean_Data!$I$2:$I$1001,"&gt;=3",Clean_Data!$V$2:$V$1001,1)</f>
        <v>2825</v>
      </c>
      <c r="F41" s="23" t="s">
        <v>357</v>
      </c>
    </row>
    <row r="42" spans="1:11">
      <c r="A42" s="9" t="s">
        <v>358</v>
      </c>
      <c r="B42" s="9"/>
      <c r="C42" s="9"/>
      <c r="D42" s="9"/>
      <c r="E42" s="30">
        <f>SUMIFS(Clean_Data!$P$2:$P$1001,Clean_Data!$G$2:$G$1001,1,Clean_Data!$V$2:$V$1001,1)</f>
        <v>1000</v>
      </c>
      <c r="F42" s="23" t="s">
        <v>357</v>
      </c>
    </row>
    <row r="43" spans="1:11">
      <c r="A43" s="9" t="s">
        <v>359</v>
      </c>
      <c r="B43" s="9"/>
      <c r="C43" s="9"/>
      <c r="D43" s="9"/>
      <c r="E43" s="15">
        <f>AVERAGEIFS(Clean_Data!$P$2:$P$1001,Clean_Data!$AF$2:$AF$1001,"&gt;80",Clean_Data!$V$2:$V$1001,1)</f>
        <v>42.7402597402597</v>
      </c>
      <c r="F43" s="23" t="s">
        <v>360</v>
      </c>
    </row>
    <row r="44" spans="1:11">
      <c r="A44" s="9" t="s">
        <v>361</v>
      </c>
      <c r="B44" s="9"/>
      <c r="C44" s="9"/>
      <c r="D44" s="9"/>
      <c r="E44" s="15">
        <f>AVERAGEIFS(Clean_Data!$P$2:$P$1001,Clean_Data!$AF$2:$AF$1001,"&lt;=80",Clean_Data!$V$2:$V$1001,1)</f>
        <v>61.1371158392435</v>
      </c>
      <c r="F44" s="23" t="s">
        <v>360</v>
      </c>
    </row>
    <row r="45" spans="1:11">
      <c r="A45" s="9" t="s">
        <v>362</v>
      </c>
      <c r="B45" s="9"/>
      <c r="C45" s="9"/>
      <c r="D45" s="9"/>
      <c r="E45" s="15">
        <f>AVERAGEIFS(Clean_Data!$P$2:$P$1001,Clean_Data!$AG$2:$AG$1001,"&gt;20",Clean_Data!$V$2:$V$1001,1)</f>
        <v>68.9666666666667</v>
      </c>
      <c r="F45" s="23" t="s">
        <v>360</v>
      </c>
    </row>
    <row r="46" spans="1:11">
      <c r="A46" s="9" t="s">
        <v>363</v>
      </c>
      <c r="B46" s="9"/>
      <c r="C46" s="9"/>
      <c r="D46" s="9"/>
      <c r="E46" s="15">
        <f>AVERAGEIFS(Clean_Data!$P$2:$P$1001,Clean_Data!$AG$2:$AG$1001,"&lt;=20",Clean_Data!$V$2:$V$1001,1)</f>
        <v>55.9634146341463</v>
      </c>
      <c r="F46" s="23" t="s">
        <v>360</v>
      </c>
    </row>
    <row r="47" spans="1:11">
      <c r="A47" s="9" t="s">
        <v>364</v>
      </c>
      <c r="B47" s="9"/>
      <c r="C47" s="9"/>
      <c r="D47" s="9"/>
      <c r="E47" s="30">
        <f>COUNTIF(Clean_Data!$AN$2:$AN$1001,"High spike")+COUNTIF(Clean_Data!$AN$2:$AN$1001,"Unusual low")</f>
        <v>5</v>
      </c>
      <c r="F47" s="23" t="s">
        <v>351</v>
      </c>
    </row>
    <row r="50" spans="1:11">
      <c r="A50" s="21" t="s">
        <v>365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</row>
    <row r="52" spans="1:11">
      <c r="A52" s="6" t="s">
        <v>261</v>
      </c>
      <c r="B52" s="6" t="s">
        <v>291</v>
      </c>
      <c r="C52" s="6" t="s">
        <v>325</v>
      </c>
      <c r="D52" s="6" t="s">
        <v>327</v>
      </c>
      <c r="E52" s="6" t="s">
        <v>366</v>
      </c>
    </row>
    <row r="53" spans="1:11">
      <c r="A53" s="9" t="s">
        <v>20</v>
      </c>
      <c r="B53" s="30">
        <f>COUNTIFS(Clean_Data!$AA$2:$AA$1001,A53,Clean_Data!$V$2:$V$1001,1)</f>
        <v>606</v>
      </c>
      <c r="C53" s="15">
        <f>IFERROR(AVERAGEIFS(Clean_Data!$P$2:$P$1001,Clean_Data!$AA$2:$AA$1001,A53,Clean_Data!$V$2:$V$1001,1),0)</f>
        <v>61.6716171617162</v>
      </c>
      <c r="D53" s="15">
        <f t="array" ref="D53">IFERROR(STDEV(IF((Clean_Data!$AA$2:$AA$1001=A53)*(Clean_Data!$V$2:$V$1001=1),Clean_Data!$P$2:$P$1001)),0)</f>
        <v>52.0593058474117</v>
      </c>
      <c r="E53" s="40">
        <f>IFERROR(D53/C53,0)</f>
        <v>0.844137193790476</v>
      </c>
    </row>
    <row r="54" spans="1:11">
      <c r="A54" s="9" t="s">
        <v>21</v>
      </c>
      <c r="B54" s="30">
        <f>COUNTIFS(Clean_Data!$AA$2:$AA$1001,A54,Clean_Data!$V$2:$V$1001,1)</f>
        <v>309</v>
      </c>
      <c r="C54" s="15">
        <f>IFERROR(AVERAGEIFS(Clean_Data!$P$2:$P$1001,Clean_Data!$AA$2:$AA$1001,A54,Clean_Data!$V$2:$V$1001,1),0)</f>
        <v>58.5954692556634</v>
      </c>
      <c r="D54" s="15">
        <f t="array" ref="D54">IFERROR(STDEV(IF((Clean_Data!$AA$2:$AA$1001=A54)*(Clean_Data!$V$2:$V$1001=1),Clean_Data!$P$2:$P$1001)),0)</f>
        <v>51.424210834248</v>
      </c>
      <c r="E54" s="40">
        <f>IFERROR(D54/C54,0)</f>
        <v>0.877614113983355</v>
      </c>
    </row>
    <row r="55" spans="1:11">
      <c r="A55" s="9" t="s">
        <v>22</v>
      </c>
      <c r="B55" s="30">
        <f>COUNTIFS(Clean_Data!$AA$2:$AA$1001,A55,Clean_Data!$V$2:$V$1001,1)</f>
        <v>84</v>
      </c>
      <c r="C55" s="15">
        <f>IFERROR(AVERAGEIFS(Clean_Data!$P$2:$P$1001,Clean_Data!$AA$2:$AA$1001,A55,Clean_Data!$V$2:$V$1001,1),0)</f>
        <v>33.202380952381</v>
      </c>
      <c r="D55" s="15">
        <f t="array" ref="D55">IFERROR(STDEV(IF((Clean_Data!$AA$2:$AA$1001=A55)*(Clean_Data!$V$2:$V$1001=1),Clean_Data!$P$2:$P$1001)),0)</f>
        <v>31.5196552798656</v>
      </c>
      <c r="E55" s="40">
        <f>IFERROR(D55/C55,0)</f>
        <v>0.949319126392511</v>
      </c>
    </row>
    <row r="56" spans="1:11">
      <c r="A56" s="9" t="s">
        <v>23</v>
      </c>
      <c r="B56" s="30">
        <f>COUNTIFS(Clean_Data!$AA$2:$AA$1001,A56,Clean_Data!$V$2:$V$1001,1)</f>
        <v>1</v>
      </c>
      <c r="C56" s="15">
        <f>IFERROR(AVERAGEIFS(Clean_Data!$P$2:$P$1001,Clean_Data!$AA$2:$AA$1001,A56,Clean_Data!$V$2:$V$1001,1),0)</f>
        <v>36</v>
      </c>
      <c r="D56" s="15">
        <f t="array" ref="D56">IFERROR(STDEV(IF((Clean_Data!$AA$2:$AA$1001=A56)*(Clean_Data!$V$2:$V$1001=1),Clean_Data!$P$2:$P$1001)),0)</f>
        <v>0</v>
      </c>
      <c r="E56" s="40">
        <f>IFERROR(D56/C56,0)</f>
        <v>0</v>
      </c>
    </row>
    <row r="58" spans="1:11">
      <c r="A58" s="2" t="s">
        <v>367</v>
      </c>
    </row>
  </sheetData>
  <mergeCells count="16">
    <mergeCell ref="A4:K4"/>
    <mergeCell ref="A15:K15"/>
    <mergeCell ref="A34:K34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50:K50"/>
  </mergeCells>
  <conditionalFormatting sqref="B18:H24">
    <cfRule type="colorScale" priority="1">
      <colorScale>
        <cfvo type="num" val="-1"/>
        <cfvo type="num" val="0"/>
        <cfvo type="num" val="1"/>
        <color rgb="FFC8553D"/>
        <color rgb="FFFFFFFF"/>
        <color rgb="FF2A9D8F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5BA8"/>
  </sheetPr>
  <dimension ref="A1:Y81"/>
  <sheetViews>
    <sheetView showGridLines="0" workbookViewId="0">
      <pane xSplit="1" ySplit="18" topLeftCell="B19" activePane="bottomRight" state="frozen"/>
      <selection pane="topRight" activeCell="B1" sqref="B1"/>
      <selection pane="bottomLeft" activeCell="A19" sqref="A19"/>
      <selection pane="bottomRight"/>
    </sheetView>
  </sheetViews>
  <sheetFormatPr defaultRowHeight="15" x14ac:dyDescent="0.25"/>
  <cols>
    <col min="1" max="1" width="22.7109375" customWidth="1"/>
    <col min="2" max="2" width="16.7109375" customWidth="1"/>
    <col min="3" max="3" width="12.7109375" customWidth="1"/>
    <col min="4" max="16" width="11.7109375" customWidth="1"/>
    <col min="17" max="17" width="3.7109375" customWidth="1"/>
    <col min="18" max="25" width="13.7109375" customWidth="1"/>
  </cols>
  <sheetData>
    <row r="1" spans="1:3" x14ac:dyDescent="0.25">
      <c r="A1" s="12" t="s">
        <v>368</v>
      </c>
    </row>
    <row r="2" spans="1:3" x14ac:dyDescent="0.25">
      <c r="A2" s="2" t="s">
        <v>369</v>
      </c>
    </row>
    <row r="4" spans="1:3" x14ac:dyDescent="0.25">
      <c r="A4" s="9" t="s">
        <v>370</v>
      </c>
      <c r="B4" s="9"/>
      <c r="C4" s="29">
        <f>MIN(Clean_Data!$B$2:$B$1001)</f>
        <v>40544.0</v>
      </c>
    </row>
    <row r="5" spans="1:3" x14ac:dyDescent="0.25">
      <c r="A5" s="9" t="s">
        <v>371</v>
      </c>
      <c r="B5" s="9"/>
      <c r="C5" s="29">
        <f>MAX(Clean_Data!$B$2:$B$1001)</f>
        <v>40588.0</v>
      </c>
    </row>
    <row r="6" spans="1:3" x14ac:dyDescent="0.25">
      <c r="A6" s="9" t="s">
        <v>372</v>
      </c>
      <c r="B6" s="9"/>
      <c r="C6" s="24">
        <f>_xlfn.MAXIFS(Clean_Data!$F$2:$F$1001,Clean_Data!$B$2:$B$1001,C5,Clean_Data!$V$2:$V$1001,1)</f>
        <v>7</v>
      </c>
    </row>
    <row r="7" spans="1:3" x14ac:dyDescent="0.25">
      <c r="A7" s="9" t="s">
        <v>373</v>
      </c>
      <c r="B7" s="9"/>
      <c r="C7" s="24">
        <f>C5-C4+1</f>
        <v>45</v>
      </c>
    </row>
    <row r="8" spans="1:3" x14ac:dyDescent="0.25">
      <c r="A8" s="9" t="s">
        <v>374</v>
      </c>
      <c r="B8" s="9"/>
      <c r="C8" s="24">
        <f>C7-IF(C6&lt;23,1,0)</f>
        <v>44</v>
      </c>
    </row>
    <row r="9" spans="1:3" x14ac:dyDescent="0.25">
      <c r="A9" s="9" t="s">
        <v>375</v>
      </c>
      <c r="B9" s="9"/>
      <c r="C9" s="38">
        <f>INDEX(LINEST($E$19:INDEX($E$19:$E$63,$C$8),$J$19:INDEX($K$19:$K$63,$C$8),TRUE,TRUE),1,3)</f>
        <v>1237.54224806202</v>
      </c>
    </row>
    <row r="10" spans="1:3" x14ac:dyDescent="0.25">
      <c r="A10" s="9" t="s">
        <v>376</v>
      </c>
      <c r="B10" s="9"/>
      <c r="C10" s="38">
        <f>INDEX(LINEST($E$19:INDEX($E$19:$E$63,$C$8),$J$19:INDEX($K$19:$K$63,$C$8),TRUE,TRUE),1,1)</f>
        <v>7.64108527131783</v>
      </c>
    </row>
    <row r="11" spans="1:3" x14ac:dyDescent="0.25">
      <c r="A11" s="9" t="s">
        <v>377</v>
      </c>
      <c r="B11" s="9"/>
      <c r="C11" s="38">
        <f>INDEX(LINEST($E$19:INDEX($E$19:$E$63,$C$8),$J$19:INDEX($K$19:$K$63,$C$8),TRUE,TRUE),1,2)</f>
        <v>-275.966666666667</v>
      </c>
    </row>
    <row r="12" spans="1:3" x14ac:dyDescent="0.25">
      <c r="A12" s="9" t="s">
        <v>378</v>
      </c>
      <c r="B12" s="9"/>
      <c r="C12" s="42">
        <f>INDEX(LINEST($E$19:INDEX($E$19:$E$63,$C$8),$J$19:INDEX($K$19:$K$63,$C$8),TRUE,TRUE),3,1)</f>
        <v>0.209641470307169</v>
      </c>
    </row>
    <row r="13" spans="1:3" x14ac:dyDescent="0.25">
      <c r="A13" s="9" t="s">
        <v>379</v>
      </c>
      <c r="B13" s="9"/>
      <c r="C13" s="38">
        <f>INDEX(LINEST($E$19:INDEX($E$19:$E$63,$C$8),$J$19:INDEX($K$19:$K$63,$C$8),TRUE,TRUE),3,2)</f>
        <v>323.939658274014</v>
      </c>
    </row>
    <row r="14" spans="1:3" x14ac:dyDescent="0.25">
      <c r="A14" s="9" t="s">
        <v>380</v>
      </c>
      <c r="B14" s="9"/>
      <c r="C14" s="38">
        <f>AVERAGE($E$19:INDEX($E$19:$E$63,$C$8))</f>
        <v>1321.65909090909</v>
      </c>
    </row>
    <row r="15" spans="1:3" x14ac:dyDescent="0.25">
      <c r="A15" s="9" t="s">
        <v>381</v>
      </c>
      <c r="B15" s="9"/>
      <c r="C15" s="24">
        <f>COUNTIF($P$19:$P$63,"Anomaly")</f>
        <v>3</v>
      </c>
    </row>
    <row r="17" spans="1:25" x14ac:dyDescent="0.25">
      <c r="R17" s="21" t="s">
        <v>392</v>
      </c>
      <c r="S17" s="21"/>
      <c r="T17" s="21"/>
      <c r="U17" s="21"/>
      <c r="V17" s="21"/>
      <c r="W17" s="21"/>
      <c r="X17" s="21"/>
      <c r="Y17" s="21"/>
    </row>
    <row r="18" spans="1:25" ht="30" customHeight="1" x14ac:dyDescent="0.25">
      <c r="A18" s="6" t="s">
        <v>259</v>
      </c>
      <c r="B18" s="6" t="s">
        <v>382</v>
      </c>
      <c r="C18" s="6" t="s">
        <v>262</v>
      </c>
      <c r="D18" s="6" t="s">
        <v>291</v>
      </c>
      <c r="E18" s="6" t="s">
        <v>266</v>
      </c>
      <c r="F18" s="6" t="s">
        <v>316</v>
      </c>
      <c r="G18" s="6" t="s">
        <v>317</v>
      </c>
      <c r="H18" s="6" t="s">
        <v>383</v>
      </c>
      <c r="I18" s="6" t="s">
        <v>384</v>
      </c>
      <c r="J18" s="6" t="s">
        <v>385</v>
      </c>
      <c r="K18" s="6" t="s">
        <v>386</v>
      </c>
      <c r="L18" s="6" t="s">
        <v>387</v>
      </c>
      <c r="M18" s="6" t="s">
        <v>388</v>
      </c>
      <c r="N18" s="6" t="s">
        <v>389</v>
      </c>
      <c r="O18" s="6" t="s">
        <v>390</v>
      </c>
      <c r="P18" s="6" t="s">
        <v>391</v>
      </c>
      <c r="R18" s="6" t="s">
        <v>259</v>
      </c>
      <c r="S18" s="6" t="s">
        <v>382</v>
      </c>
      <c r="T18" s="6" t="s">
        <v>385</v>
      </c>
      <c r="U18" s="6" t="s">
        <v>386</v>
      </c>
      <c r="V18" s="6" t="s">
        <v>393</v>
      </c>
      <c r="W18" s="6" t="s">
        <v>394</v>
      </c>
      <c r="X18" s="6" t="s">
        <v>395</v>
      </c>
      <c r="Y18" s="6" t="s">
        <v>396</v>
      </c>
    </row>
    <row r="19" spans="1:25" x14ac:dyDescent="0.25">
      <c r="A19" s="29">
        <f>$C$4</f>
        <v>40544.0</v>
      </c>
      <c r="B19" s="9" t="str">
        <f>IF($A19="","",TEXT(A19,"ddd"))</f>
        <v>Sat</v>
      </c>
      <c r="C19" s="9" t="str">
        <f>IF($A19="","",IF(J19=1,"Weekend","Weekday"))</f>
        <v>Weekend</v>
      </c>
      <c r="D19" s="24">
        <f>IF($A19="","",COUNTIFS(Clean_Data!$B$2:$B$1001,$A19,Clean_Data!$V$2:$V$1001,1))</f>
        <v>24</v>
      </c>
      <c r="E19" s="30">
        <f>IF($A19="","",SUMIFS(Clean_Data!$P$2:$P$1001,Clean_Data!$B$2:$B$1001,$A19,Clean_Data!$V$2:$V$1001,1))</f>
        <v>985</v>
      </c>
      <c r="F19" s="30">
        <f>IF($A19="","",SUMIFS(Clean_Data!$N$2:$N$1001,Clean_Data!$B$2:$B$1001,$A19,Clean_Data!$V$2:$V$1001,1))</f>
        <v>331</v>
      </c>
      <c r="G19" s="30">
        <f>IF($A19="","",SUMIFS(Clean_Data!$O$2:$O$1001,Clean_Data!$B$2:$B$1001,$A19,Clean_Data!$V$2:$V$1001,1))</f>
        <v>654</v>
      </c>
      <c r="H19" s="15">
        <f>IF($A19="","",IFERROR(AVERAGEIFS(Clean_Data!$AD$2:$AD$1001,Clean_Data!$B$2:$B$1001,$A19,Clean_Data!$V$2:$V$1001,1),""))</f>
        <v>14.1</v>
      </c>
      <c r="I19" s="24">
        <f>IF($A19="","",IFERROR(AVERAGEIFS(Clean_Data!$AF$2:$AF$1001,Clean_Data!$B$2:$B$1001,$A19,Clean_Data!$V$2:$V$1001,1),""))</f>
        <v>80.5833333333333</v>
      </c>
      <c r="J19" s="24">
        <f>IF($A19="","",IF(OR(WEEKDAY(A19)=1,WEEKDAY(A19)=7),1,0))</f>
        <v>1</v>
      </c>
      <c r="K19" s="24">
        <f>IF($A19="","",A19-$C$4+1)</f>
        <v>1</v>
      </c>
      <c r="L19" s="9" t="str">
        <f>IF($A19="","",IF(AND(A19=$C$5,$C$6&lt;23),"Partial","Full"))</f>
        <v>Full</v>
      </c>
      <c r="M19" s="30">
        <f>IF($A19="","",$C$9+$C$10*K19+$C$11*J19)</f>
        <v>969.216666666667</v>
      </c>
      <c r="N19" s="30">
        <f>IF($A19="","",IF(L19="Full",E19-M19,""))</f>
        <v>15.7833333333332</v>
      </c>
      <c r="O19" s="40">
        <f>IF($A19="","",IF(N19="","",N19/$C$13))</f>
        <v>0.0487230659482341</v>
      </c>
      <c r="P19" s="9" t="str">
        <f>IF($A19="","",IF(O19="","",IF(ABS(O19)&gt;=Lookups!$K$12,"Anomaly","Normal")))</f>
        <v>Normal</v>
      </c>
      <c r="R19" s="29">
        <f>INDEX($A$19:$A$63,$C$8)+1</f>
        <v>40588.0</v>
      </c>
      <c r="S19" s="9" t="str">
        <f>TEXT(R19,"ddd")</f>
        <v>Mon</v>
      </c>
      <c r="T19" s="9">
        <f>IF(OR(WEEKDAY(R19)=1,WEEKDAY(R19)=7),1,0)</f>
        <v>0</v>
      </c>
      <c r="U19" s="9">
        <f>R19-$C$4+1</f>
        <v>45</v>
      </c>
      <c r="V19" s="22">
        <f>$C$9+$C$10*U19+$C$11*T19</f>
        <v>1581.39108527132</v>
      </c>
      <c r="W19" s="30">
        <f>V19-1.96*$C$13</f>
        <v>946.469355054251</v>
      </c>
      <c r="X19" s="30">
        <f>V19+1.96*$C$13</f>
        <v>2216.31281548839</v>
      </c>
      <c r="Y19" s="30">
        <f>IFERROR(_xlfn.FORECAST.ETS(R19,$E$19:INDEX($E$19:$E$63,$C$8),$A$19:INDEX($A$19:$A$63,$C$8)),"n/a")</f>
        <v>869.602996110317</v>
      </c>
    </row>
    <row r="20" spans="1:25" x14ac:dyDescent="0.25">
      <c r="A20" s="29">
        <f>IF(A19="","",IF(A19+1&gt;$C$5,"",A19+1))</f>
        <v>40545.0</v>
      </c>
      <c r="B20" s="9" t="str">
        <f>IF($A20="","",TEXT(A20,"ddd"))</f>
        <v>Sun</v>
      </c>
      <c r="C20" s="9" t="str">
        <f>IF($A20="","",IF(J20=1,"Weekend","Weekday"))</f>
        <v>Weekend</v>
      </c>
      <c r="D20" s="24">
        <f>IF($A20="","",COUNTIFS(Clean_Data!$B$2:$B$1001,$A20,Clean_Data!$V$2:$V$1001,1))</f>
        <v>23</v>
      </c>
      <c r="E20" s="30">
        <f>IF($A20="","",SUMIFS(Clean_Data!$P$2:$P$1001,Clean_Data!$B$2:$B$1001,$A20,Clean_Data!$V$2:$V$1001,1))</f>
        <v>801</v>
      </c>
      <c r="F20" s="30">
        <f>IF($A20="","",SUMIFS(Clean_Data!$N$2:$N$1001,Clean_Data!$B$2:$B$1001,$A20,Clean_Data!$V$2:$V$1001,1))</f>
        <v>131</v>
      </c>
      <c r="G20" s="30">
        <f>IF($A20="","",SUMIFS(Clean_Data!$O$2:$O$1001,Clean_Data!$B$2:$B$1001,$A20,Clean_Data!$V$2:$V$1001,1))</f>
        <v>670</v>
      </c>
      <c r="H20" s="15">
        <f>IF($A20="","",IFERROR(AVERAGEIFS(Clean_Data!$AD$2:$AD$1001,Clean_Data!$B$2:$B$1001,$A20,Clean_Data!$V$2:$V$1001,1),""))</f>
        <v>14.9086956521739</v>
      </c>
      <c r="I20" s="24">
        <f>IF($A20="","",IFERROR(AVERAGEIFS(Clean_Data!$AF$2:$AF$1001,Clean_Data!$B$2:$B$1001,$A20,Clean_Data!$V$2:$V$1001,1),""))</f>
        <v>69.6086956521739</v>
      </c>
      <c r="J20" s="24">
        <f>IF($A20="","",IF(OR(WEEKDAY(A20)=1,WEEKDAY(A20)=7),1,0))</f>
        <v>1</v>
      </c>
      <c r="K20" s="24">
        <f>IF($A20="","",A20-$C$4+1)</f>
        <v>2</v>
      </c>
      <c r="L20" s="9" t="str">
        <f>IF($A20="","",IF(AND(A20=$C$5,$C$6&lt;23),"Partial","Full"))</f>
        <v>Full</v>
      </c>
      <c r="M20" s="30">
        <f>IF($A20="","",$C$9+$C$10*K20+$C$11*J20)</f>
        <v>976.857751937985</v>
      </c>
      <c r="N20" s="30">
        <f>IF($A20="","",IF(L20="Full",E20-M20,""))</f>
        <v>-175.857751937985</v>
      </c>
      <c r="O20" s="40">
        <f>IF($A20="","",IF(N20="","",N20/$C$13))</f>
        <v>-0.542871943728576</v>
      </c>
      <c r="P20" s="9" t="str">
        <f>IF($A20="","",IF(O20="","",IF(ABS(O20)&gt;=Lookups!$K$12,"Anomaly","Normal")))</f>
        <v>Normal</v>
      </c>
      <c r="R20" s="29">
        <f>R19+1</f>
        <v>40589.0</v>
      </c>
      <c r="S20" s="9" t="str">
        <f>TEXT(R20,"ddd")</f>
        <v>Tue</v>
      </c>
      <c r="T20" s="9">
        <f>IF(OR(WEEKDAY(R20)=1,WEEKDAY(R20)=7),1,0)</f>
        <v>0</v>
      </c>
      <c r="U20" s="9">
        <f>R20-$C$4+1</f>
        <v>46</v>
      </c>
      <c r="V20" s="22">
        <f>$C$9+$C$10*U20+$C$11*T20</f>
        <v>1589.03217054264</v>
      </c>
      <c r="W20" s="30">
        <f>V20-1.96*$C$13</f>
        <v>954.110440325569</v>
      </c>
      <c r="X20" s="30">
        <f>V20+1.96*$C$13</f>
        <v>2223.9539007597</v>
      </c>
      <c r="Y20" s="30">
        <f>IFERROR(_xlfn.FORECAST.ETS(R20,$E$19:INDEX($E$19:$E$63,$C$8),$A$19:INDEX($A$19:$A$63,$C$8)),"n/a")</f>
        <v>1435.5283061999</v>
      </c>
    </row>
    <row r="21" spans="1:25" x14ac:dyDescent="0.25">
      <c r="A21" s="29">
        <f>IF(A20="","",IF(A20+1&gt;$C$5,"",A20+1))</f>
        <v>40546.0</v>
      </c>
      <c r="B21" s="9" t="str">
        <f>IF($A21="","",TEXT(A21,"ddd"))</f>
        <v>Mon</v>
      </c>
      <c r="C21" s="9" t="str">
        <f>IF($A21="","",IF(J21=1,"Weekend","Weekday"))</f>
        <v>Weekday</v>
      </c>
      <c r="D21" s="24">
        <f>IF($A21="","",COUNTIFS(Clean_Data!$B$2:$B$1001,$A21,Clean_Data!$V$2:$V$1001,1))</f>
        <v>22</v>
      </c>
      <c r="E21" s="30">
        <f>IF($A21="","",SUMIFS(Clean_Data!$P$2:$P$1001,Clean_Data!$B$2:$B$1001,$A21,Clean_Data!$V$2:$V$1001,1))</f>
        <v>1349</v>
      </c>
      <c r="F21" s="30">
        <f>IF($A21="","",SUMIFS(Clean_Data!$N$2:$N$1001,Clean_Data!$B$2:$B$1001,$A21,Clean_Data!$V$2:$V$1001,1))</f>
        <v>120</v>
      </c>
      <c r="G21" s="30">
        <f>IF($A21="","",SUMIFS(Clean_Data!$O$2:$O$1001,Clean_Data!$B$2:$B$1001,$A21,Clean_Data!$V$2:$V$1001,1))</f>
        <v>1229</v>
      </c>
      <c r="H21" s="15">
        <f>IF($A21="","",IFERROR(AVERAGEIFS(Clean_Data!$AD$2:$AD$1001,Clean_Data!$B$2:$B$1001,$A21,Clean_Data!$V$2:$V$1001,1),""))</f>
        <v>8.05</v>
      </c>
      <c r="I21" s="24">
        <f>IF($A21="","",IFERROR(AVERAGEIFS(Clean_Data!$AF$2:$AF$1001,Clean_Data!$B$2:$B$1001,$A21,Clean_Data!$V$2:$V$1001,1),""))</f>
        <v>43.7272727272727</v>
      </c>
      <c r="J21" s="24">
        <f>IF($A21="","",IF(OR(WEEKDAY(A21)=1,WEEKDAY(A21)=7),1,0))</f>
        <v>0</v>
      </c>
      <c r="K21" s="24">
        <f>IF($A21="","",A21-$C$4+1)</f>
        <v>3</v>
      </c>
      <c r="L21" s="9" t="str">
        <f>IF($A21="","",IF(AND(A21=$C$5,$C$6&lt;23),"Partial","Full"))</f>
        <v>Full</v>
      </c>
      <c r="M21" s="30">
        <f>IF($A21="","",$C$9+$C$10*K21+$C$11*J21)</f>
        <v>1260.46550387597</v>
      </c>
      <c r="N21" s="30">
        <f>IF($A21="","",IF(L21="Full",E21-M21,""))</f>
        <v>88.534496124031</v>
      </c>
      <c r="O21" s="40">
        <f>IF($A21="","",IF(N21="","",N21/$C$13))</f>
        <v>0.273305518057754</v>
      </c>
      <c r="P21" s="9" t="str">
        <f>IF($A21="","",IF(O21="","",IF(ABS(O21)&gt;=Lookups!$K$12,"Anomaly","Normal")))</f>
        <v>Normal</v>
      </c>
      <c r="R21" s="29">
        <f>R20+1</f>
        <v>40590.0</v>
      </c>
      <c r="S21" s="9" t="str">
        <f>TEXT(R21,"ddd")</f>
        <v>Wed</v>
      </c>
      <c r="T21" s="9">
        <f>IF(OR(WEEKDAY(R21)=1,WEEKDAY(R21)=7),1,0)</f>
        <v>0</v>
      </c>
      <c r="U21" s="9">
        <f>R21-$C$4+1</f>
        <v>47</v>
      </c>
      <c r="V21" s="22">
        <f>$C$9+$C$10*U21+$C$11*T21</f>
        <v>1596.67325581395</v>
      </c>
      <c r="W21" s="30">
        <f>V21-1.96*$C$13</f>
        <v>961.751525596886</v>
      </c>
      <c r="X21" s="30">
        <f>V21+1.96*$C$13</f>
        <v>2231.59498603102</v>
      </c>
      <c r="Y21" s="30">
        <f>IFERROR(_xlfn.FORECAST.ETS(R21,$E$19:INDEX($E$19:$E$63,$C$8),$A$19:INDEX($A$19:$A$63,$C$8)),"n/a")</f>
        <v>1375.46296203027</v>
      </c>
    </row>
    <row r="22" spans="1:25" x14ac:dyDescent="0.25">
      <c r="A22" s="29">
        <f>IF(A21="","",IF(A21+1&gt;$C$5,"",A21+1))</f>
        <v>40547.0</v>
      </c>
      <c r="B22" s="9" t="str">
        <f>IF($A22="","",TEXT(A22,"ddd"))</f>
        <v>Tue</v>
      </c>
      <c r="C22" s="9" t="str">
        <f>IF($A22="","",IF(J22=1,"Weekend","Weekday"))</f>
        <v>Weekday</v>
      </c>
      <c r="D22" s="24">
        <f>IF($A22="","",COUNTIFS(Clean_Data!$B$2:$B$1001,$A22,Clean_Data!$V$2:$V$1001,1))</f>
        <v>23</v>
      </c>
      <c r="E22" s="30">
        <f>IF($A22="","",SUMIFS(Clean_Data!$P$2:$P$1001,Clean_Data!$B$2:$B$1001,$A22,Clean_Data!$V$2:$V$1001,1))</f>
        <v>1562</v>
      </c>
      <c r="F22" s="30">
        <f>IF($A22="","",SUMIFS(Clean_Data!$N$2:$N$1001,Clean_Data!$B$2:$B$1001,$A22,Clean_Data!$V$2:$V$1001,1))</f>
        <v>108</v>
      </c>
      <c r="G22" s="30">
        <f>IF($A22="","",SUMIFS(Clean_Data!$O$2:$O$1001,Clean_Data!$B$2:$B$1001,$A22,Clean_Data!$V$2:$V$1001,1))</f>
        <v>1454</v>
      </c>
      <c r="H22" s="15">
        <f>IF($A22="","",IFERROR(AVERAGEIFS(Clean_Data!$AD$2:$AD$1001,Clean_Data!$B$2:$B$1001,$A22,Clean_Data!$V$2:$V$1001,1),""))</f>
        <v>8.19565217391304</v>
      </c>
      <c r="I22" s="24">
        <f>IF($A22="","",IFERROR(AVERAGEIFS(Clean_Data!$AF$2:$AF$1001,Clean_Data!$B$2:$B$1001,$A22,Clean_Data!$V$2:$V$1001,1),""))</f>
        <v>59.0434782608696</v>
      </c>
      <c r="J22" s="24">
        <f>IF($A22="","",IF(OR(WEEKDAY(A22)=1,WEEKDAY(A22)=7),1,0))</f>
        <v>0</v>
      </c>
      <c r="K22" s="24">
        <f>IF($A22="","",A22-$C$4+1)</f>
        <v>4</v>
      </c>
      <c r="L22" s="9" t="str">
        <f>IF($A22="","",IF(AND(A22=$C$5,$C$6&lt;23),"Partial","Full"))</f>
        <v>Full</v>
      </c>
      <c r="M22" s="30">
        <f>IF($A22="","",$C$9+$C$10*K22+$C$11*J22)</f>
        <v>1268.10658914729</v>
      </c>
      <c r="N22" s="30">
        <f>IF($A22="","",IF(L22="Full",E22-M22,""))</f>
        <v>293.893410852713</v>
      </c>
      <c r="O22" s="40">
        <f>IF($A22="","",IF(N22="","",N22/$C$13))</f>
        <v>0.907247394217213</v>
      </c>
      <c r="P22" s="9" t="str">
        <f>IF($A22="","",IF(O22="","",IF(ABS(O22)&gt;=Lookups!$K$12,"Anomaly","Normal")))</f>
        <v>Normal</v>
      </c>
      <c r="R22" s="29">
        <f>R21+1</f>
        <v>40591.0</v>
      </c>
      <c r="S22" s="9" t="str">
        <f>TEXT(R22,"ddd")</f>
        <v>Thu</v>
      </c>
      <c r="T22" s="9">
        <f>IF(OR(WEEKDAY(R22)=1,WEEKDAY(R22)=7),1,0)</f>
        <v>0</v>
      </c>
      <c r="U22" s="9">
        <f>R22-$C$4+1</f>
        <v>48</v>
      </c>
      <c r="V22" s="22">
        <f>$C$9+$C$10*U22+$C$11*T22</f>
        <v>1604.31434108527</v>
      </c>
      <c r="W22" s="30">
        <f>V22-1.96*$C$13</f>
        <v>969.392610868204</v>
      </c>
      <c r="X22" s="30">
        <f>V22+1.96*$C$13</f>
        <v>2239.23607130234</v>
      </c>
      <c r="Y22" s="30">
        <f>IFERROR(_xlfn.FORECAST.ETS(R22,$E$19:INDEX($E$19:$E$63,$C$8),$A$19:INDEX($A$19:$A$63,$C$8)),"n/a")</f>
        <v>1302.56676020118</v>
      </c>
    </row>
    <row r="23" spans="1:25" x14ac:dyDescent="0.25">
      <c r="A23" s="29">
        <f>IF(A22="","",IF(A22+1&gt;$C$5,"",A22+1))</f>
        <v>40548.0</v>
      </c>
      <c r="B23" s="9" t="str">
        <f>IF($A23="","",TEXT(A23,"ddd"))</f>
        <v>Wed</v>
      </c>
      <c r="C23" s="9" t="str">
        <f>IF($A23="","",IF(J23=1,"Weekend","Weekday"))</f>
        <v>Weekday</v>
      </c>
      <c r="D23" s="24">
        <f>IF($A23="","",COUNTIFS(Clean_Data!$B$2:$B$1001,$A23,Clean_Data!$V$2:$V$1001,1))</f>
        <v>23</v>
      </c>
      <c r="E23" s="30">
        <f>IF($A23="","",SUMIFS(Clean_Data!$P$2:$P$1001,Clean_Data!$B$2:$B$1001,$A23,Clean_Data!$V$2:$V$1001,1))</f>
        <v>1600</v>
      </c>
      <c r="F23" s="30">
        <f>IF($A23="","",SUMIFS(Clean_Data!$N$2:$N$1001,Clean_Data!$B$2:$B$1001,$A23,Clean_Data!$V$2:$V$1001,1))</f>
        <v>82</v>
      </c>
      <c r="G23" s="30">
        <f>IF($A23="","",SUMIFS(Clean_Data!$O$2:$O$1001,Clean_Data!$B$2:$B$1001,$A23,Clean_Data!$V$2:$V$1001,1))</f>
        <v>1518</v>
      </c>
      <c r="H23" s="15">
        <f>IF($A23="","",IFERROR(AVERAGEIFS(Clean_Data!$AD$2:$AD$1001,Clean_Data!$B$2:$B$1001,$A23,Clean_Data!$V$2:$V$1001,1),""))</f>
        <v>9.30434782608696</v>
      </c>
      <c r="I23" s="24">
        <f>IF($A23="","",IFERROR(AVERAGEIFS(Clean_Data!$AF$2:$AF$1001,Clean_Data!$B$2:$B$1001,$A23,Clean_Data!$V$2:$V$1001,1),""))</f>
        <v>43.6956521739131</v>
      </c>
      <c r="J23" s="24">
        <f>IF($A23="","",IF(OR(WEEKDAY(A23)=1,WEEKDAY(A23)=7),1,0))</f>
        <v>0</v>
      </c>
      <c r="K23" s="24">
        <f>IF($A23="","",A23-$C$4+1)</f>
        <v>5</v>
      </c>
      <c r="L23" s="9" t="str">
        <f>IF($A23="","",IF(AND(A23=$C$5,$C$6&lt;23),"Partial","Full"))</f>
        <v>Full</v>
      </c>
      <c r="M23" s="30">
        <f>IF($A23="","",$C$9+$C$10*K23+$C$11*J23)</f>
        <v>1275.7476744186</v>
      </c>
      <c r="N23" s="30">
        <f>IF($A23="","",IF(L23="Full",E23-M23,""))</f>
        <v>324.252325581395</v>
      </c>
      <c r="O23" s="40">
        <f>IF($A23="","",IF(N23="","",N23/$C$13))</f>
        <v>1.00096520231282</v>
      </c>
      <c r="P23" s="9" t="str">
        <f>IF($A23="","",IF(O23="","",IF(ABS(O23)&gt;=Lookups!$K$12,"Anomaly","Normal")))</f>
        <v>Normal</v>
      </c>
      <c r="R23" s="29">
        <f>R22+1</f>
        <v>40592.0</v>
      </c>
      <c r="S23" s="9" t="str">
        <f>TEXT(R23,"ddd")</f>
        <v>Fri</v>
      </c>
      <c r="T23" s="9">
        <f>IF(OR(WEEKDAY(R23)=1,WEEKDAY(R23)=7),1,0)</f>
        <v>0</v>
      </c>
      <c r="U23" s="9">
        <f>R23-$C$4+1</f>
        <v>49</v>
      </c>
      <c r="V23" s="22">
        <f>$C$9+$C$10*U23+$C$11*T23</f>
        <v>1611.95542635659</v>
      </c>
      <c r="W23" s="30">
        <f>V23-1.96*$C$13</f>
        <v>977.033696139522</v>
      </c>
      <c r="X23" s="30">
        <f>V23+1.96*$C$13</f>
        <v>2246.87715657366</v>
      </c>
      <c r="Y23" s="30">
        <f>IFERROR(_xlfn.FORECAST.ETS(R23,$E$19:INDEX($E$19:$E$63,$C$8),$A$19:INDEX($A$19:$A$63,$C$8)),"n/a")</f>
        <v>1591.21767309793</v>
      </c>
    </row>
    <row r="24" spans="1:25" x14ac:dyDescent="0.25">
      <c r="A24" s="29">
        <f>IF(A23="","",IF(A23+1&gt;$C$5,"",A23+1))</f>
        <v>40549.0</v>
      </c>
      <c r="B24" s="9" t="str">
        <f>IF($A24="","",TEXT(A24,"ddd"))</f>
        <v>Thu</v>
      </c>
      <c r="C24" s="9" t="str">
        <f>IF($A24="","",IF(J24=1,"Weekend","Weekday"))</f>
        <v>Weekday</v>
      </c>
      <c r="D24" s="24">
        <f>IF($A24="","",COUNTIFS(Clean_Data!$B$2:$B$1001,$A24,Clean_Data!$V$2:$V$1001,1))</f>
        <v>23</v>
      </c>
      <c r="E24" s="30">
        <f>IF($A24="","",SUMIFS(Clean_Data!$P$2:$P$1001,Clean_Data!$B$2:$B$1001,$A24,Clean_Data!$V$2:$V$1001,1))</f>
        <v>1606</v>
      </c>
      <c r="F24" s="30">
        <f>IF($A24="","",SUMIFS(Clean_Data!$N$2:$N$1001,Clean_Data!$B$2:$B$1001,$A24,Clean_Data!$V$2:$V$1001,1))</f>
        <v>88</v>
      </c>
      <c r="G24" s="30">
        <f>IF($A24="","",SUMIFS(Clean_Data!$O$2:$O$1001,Clean_Data!$B$2:$B$1001,$A24,Clean_Data!$V$2:$V$1001,1))</f>
        <v>1518</v>
      </c>
      <c r="H24" s="15">
        <f>IF($A24="","",IFERROR(AVERAGEIFS(Clean_Data!$AD$2:$AD$1001,Clean_Data!$B$2:$B$1001,$A24,Clean_Data!$V$2:$V$1001,1),""))</f>
        <v>8.38695652173913</v>
      </c>
      <c r="I24" s="24">
        <f>IF($A24="","",IFERROR(AVERAGEIFS(Clean_Data!$AF$2:$AF$1001,Clean_Data!$B$2:$B$1001,$A24,Clean_Data!$V$2:$V$1001,1),""))</f>
        <v>51.8260869565217</v>
      </c>
      <c r="J24" s="24">
        <f>IF($A24="","",IF(OR(WEEKDAY(A24)=1,WEEKDAY(A24)=7),1,0))</f>
        <v>0</v>
      </c>
      <c r="K24" s="24">
        <f>IF($A24="","",A24-$C$4+1)</f>
        <v>6</v>
      </c>
      <c r="L24" s="9" t="str">
        <f>IF($A24="","",IF(AND(A24=$C$5,$C$6&lt;23),"Partial","Full"))</f>
        <v>Full</v>
      </c>
      <c r="M24" s="30">
        <f>IF($A24="","",$C$9+$C$10*K24+$C$11*J24)</f>
        <v>1283.38875968992</v>
      </c>
      <c r="N24" s="30">
        <f>IF($A24="","",IF(L24="Full",E24-M24,""))</f>
        <v>322.611240310078</v>
      </c>
      <c r="O24" s="40">
        <f>IF($A24="","",IF(N24="","",N24/$C$13))</f>
        <v>0.995899180819619</v>
      </c>
      <c r="P24" s="9" t="str">
        <f>IF($A24="","",IF(O24="","",IF(ABS(O24)&gt;=Lookups!$K$12,"Anomaly","Normal")))</f>
        <v>Normal</v>
      </c>
      <c r="R24" s="29">
        <f>R23+1</f>
        <v>40593.0</v>
      </c>
      <c r="S24" s="9" t="str">
        <f>TEXT(R24,"ddd")</f>
        <v>Sat</v>
      </c>
      <c r="T24" s="9">
        <f>IF(OR(WEEKDAY(R24)=1,WEEKDAY(R24)=7),1,0)</f>
        <v>1</v>
      </c>
      <c r="U24" s="9">
        <f>R24-$C$4+1</f>
        <v>50</v>
      </c>
      <c r="V24" s="22">
        <f>$C$9+$C$10*U24+$C$11*T24</f>
        <v>1343.62984496124</v>
      </c>
      <c r="W24" s="30">
        <f>V24-1.96*$C$13</f>
        <v>708.708114744174</v>
      </c>
      <c r="X24" s="30">
        <f>V24+1.96*$C$13</f>
        <v>1978.55157517831</v>
      </c>
      <c r="Y24" s="30">
        <f>IFERROR(_xlfn.FORECAST.ETS(R24,$E$19:INDEX($E$19:$E$63,$C$8),$A$19:INDEX($A$19:$A$63,$C$8)),"n/a")</f>
        <v>1563.32193171602</v>
      </c>
    </row>
    <row r="25" spans="1:25" x14ac:dyDescent="0.25">
      <c r="A25" s="29">
        <f>IF(A24="","",IF(A24+1&gt;$C$5,"",A24+1))</f>
        <v>40550.0</v>
      </c>
      <c r="B25" s="9" t="str">
        <f>IF($A25="","",TEXT(A25,"ddd"))</f>
        <v>Fri</v>
      </c>
      <c r="C25" s="9" t="str">
        <f>IF($A25="","",IF(J25=1,"Weekend","Weekday"))</f>
        <v>Weekday</v>
      </c>
      <c r="D25" s="24">
        <f>IF($A25="","",COUNTIFS(Clean_Data!$B$2:$B$1001,$A25,Clean_Data!$V$2:$V$1001,1))</f>
        <v>23</v>
      </c>
      <c r="E25" s="30">
        <f>IF($A25="","",SUMIFS(Clean_Data!$P$2:$P$1001,Clean_Data!$B$2:$B$1001,$A25,Clean_Data!$V$2:$V$1001,1))</f>
        <v>1510</v>
      </c>
      <c r="F25" s="30">
        <f>IF($A25="","",SUMIFS(Clean_Data!$N$2:$N$1001,Clean_Data!$B$2:$B$1001,$A25,Clean_Data!$V$2:$V$1001,1))</f>
        <v>148</v>
      </c>
      <c r="G25" s="30">
        <f>IF($A25="","",SUMIFS(Clean_Data!$O$2:$O$1001,Clean_Data!$B$2:$B$1001,$A25,Clean_Data!$V$2:$V$1001,1))</f>
        <v>1362</v>
      </c>
      <c r="H25" s="15">
        <f>IF($A25="","",IFERROR(AVERAGEIFS(Clean_Data!$AD$2:$AD$1001,Clean_Data!$B$2:$B$1001,$A25,Clean_Data!$V$2:$V$1001,1),""))</f>
        <v>8.06086956521739</v>
      </c>
      <c r="I25" s="24">
        <f>IF($A25="","",IFERROR(AVERAGEIFS(Clean_Data!$AF$2:$AF$1001,Clean_Data!$B$2:$B$1001,$A25,Clean_Data!$V$2:$V$1001,1),""))</f>
        <v>49.8695652173913</v>
      </c>
      <c r="J25" s="24">
        <f>IF($A25="","",IF(OR(WEEKDAY(A25)=1,WEEKDAY(A25)=7),1,0))</f>
        <v>0</v>
      </c>
      <c r="K25" s="24">
        <f>IF($A25="","",A25-$C$4+1)</f>
        <v>7</v>
      </c>
      <c r="L25" s="9" t="str">
        <f>IF($A25="","",IF(AND(A25=$C$5,$C$6&lt;23),"Partial","Full"))</f>
        <v>Full</v>
      </c>
      <c r="M25" s="30">
        <f>IF($A25="","",$C$9+$C$10*K25+$C$11*J25)</f>
        <v>1291.02984496124</v>
      </c>
      <c r="N25" s="30">
        <f>IF($A25="","",IF(L25="Full",E25-M25,""))</f>
        <v>218.97015503876</v>
      </c>
      <c r="O25" s="40">
        <f>IF($A25="","",IF(N25="","",N25/$C$13))</f>
        <v>0.675959702512057</v>
      </c>
      <c r="P25" s="9" t="str">
        <f>IF($A25="","",IF(O25="","",IF(ABS(O25)&gt;=Lookups!$K$12,"Anomaly","Normal")))</f>
        <v>Normal</v>
      </c>
      <c r="R25" s="29">
        <f>R24+1</f>
        <v>40594.0</v>
      </c>
      <c r="S25" s="9" t="str">
        <f>TEXT(R25,"ddd")</f>
        <v>Sun</v>
      </c>
      <c r="T25" s="9">
        <f>IF(OR(WEEKDAY(R25)=1,WEEKDAY(R25)=7),1,0)</f>
        <v>1</v>
      </c>
      <c r="U25" s="9">
        <f>R25-$C$4+1</f>
        <v>51</v>
      </c>
      <c r="V25" s="22">
        <f>$C$9+$C$10*U25+$C$11*T25</f>
        <v>1351.27093023256</v>
      </c>
      <c r="W25" s="30">
        <f>V25-1.96*$C$13</f>
        <v>716.349200015491</v>
      </c>
      <c r="X25" s="30">
        <f>V25+1.96*$C$13</f>
        <v>1986.19266044962</v>
      </c>
      <c r="Y25" s="30">
        <f>IFERROR(_xlfn.FORECAST.ETS(R25,$E$19:INDEX($E$19:$E$63,$C$8),$A$19:INDEX($A$19:$A$63,$C$8)),"n/a")</f>
        <v>1483.71235731372</v>
      </c>
    </row>
    <row r="26" spans="1:25" x14ac:dyDescent="0.25">
      <c r="A26" s="29">
        <f>IF(A25="","",IF(A25+1&gt;$C$5,"",A25+1))</f>
        <v>40551.0</v>
      </c>
      <c r="B26" s="9" t="str">
        <f>IF($A26="","",TEXT(A26,"ddd"))</f>
        <v>Sat</v>
      </c>
      <c r="C26" s="9" t="str">
        <f>IF($A26="","",IF(J26=1,"Weekend","Weekday"))</f>
        <v>Weekend</v>
      </c>
      <c r="D26" s="24">
        <f>IF($A26="","",COUNTIFS(Clean_Data!$B$2:$B$1001,$A26,Clean_Data!$V$2:$V$1001,1))</f>
        <v>24</v>
      </c>
      <c r="E26" s="30">
        <f>IF($A26="","",SUMIFS(Clean_Data!$P$2:$P$1001,Clean_Data!$B$2:$B$1001,$A26,Clean_Data!$V$2:$V$1001,1))</f>
        <v>959</v>
      </c>
      <c r="F26" s="30">
        <f>IF($A26="","",SUMIFS(Clean_Data!$N$2:$N$1001,Clean_Data!$B$2:$B$1001,$A26,Clean_Data!$V$2:$V$1001,1))</f>
        <v>68</v>
      </c>
      <c r="G26" s="30">
        <f>IF($A26="","",SUMIFS(Clean_Data!$O$2:$O$1001,Clean_Data!$B$2:$B$1001,$A26,Clean_Data!$V$2:$V$1001,1))</f>
        <v>891</v>
      </c>
      <c r="H26" s="15">
        <f>IF($A26="","",IFERROR(AVERAGEIFS(Clean_Data!$AD$2:$AD$1001,Clean_Data!$B$2:$B$1001,$A26,Clean_Data!$V$2:$V$1001,1),""))</f>
        <v>6.775</v>
      </c>
      <c r="I26" s="24">
        <f>IF($A26="","",IFERROR(AVERAGEIFS(Clean_Data!$AF$2:$AF$1001,Clean_Data!$B$2:$B$1001,$A26,Clean_Data!$V$2:$V$1001,1),""))</f>
        <v>53.5833333333333</v>
      </c>
      <c r="J26" s="24">
        <f>IF($A26="","",IF(OR(WEEKDAY(A26)=1,WEEKDAY(A26)=7),1,0))</f>
        <v>1</v>
      </c>
      <c r="K26" s="24">
        <f>IF($A26="","",A26-$C$4+1)</f>
        <v>8</v>
      </c>
      <c r="L26" s="9" t="str">
        <f>IF($A26="","",IF(AND(A26=$C$5,$C$6&lt;23),"Partial","Full"))</f>
        <v>Full</v>
      </c>
      <c r="M26" s="30">
        <f>IF($A26="","",$C$9+$C$10*K26+$C$11*J26)</f>
        <v>1022.70426356589</v>
      </c>
      <c r="N26" s="30">
        <f>IF($A26="","",IF(L26="Full",E26-M26,""))</f>
        <v>-63.7042635658914</v>
      </c>
      <c r="O26" s="40">
        <f>IF($A26="","",IF(N26="","",N26/$C$13))</f>
        <v>-0.196654722380442</v>
      </c>
      <c r="P26" s="9" t="str">
        <f>IF($A26="","",IF(O26="","",IF(ABS(O26)&gt;=Lookups!$K$12,"Anomaly","Normal")))</f>
        <v>Normal</v>
      </c>
      <c r="R26" s="27" t="s">
        <v>397</v>
      </c>
      <c r="V26" s="22">
        <f>SUM(V19:V25)</f>
        <v>10678.2670542636</v>
      </c>
      <c r="Y26" s="22">
        <f>IFERROR(SUM(Y19:Y25),"n/a")</f>
        <v>9621.41298666933</v>
      </c>
    </row>
    <row r="27" spans="1:25" x14ac:dyDescent="0.25">
      <c r="A27" s="29">
        <f>IF(A26="","",IF(A26+1&gt;$C$5,"",A26+1))</f>
        <v>40552.0</v>
      </c>
      <c r="B27" s="9" t="str">
        <f>IF($A27="","",TEXT(A27,"ddd"))</f>
        <v>Sun</v>
      </c>
      <c r="C27" s="9" t="str">
        <f>IF($A27="","",IF(J27=1,"Weekend","Weekday"))</f>
        <v>Weekend</v>
      </c>
      <c r="D27" s="24">
        <f>IF($A27="","",COUNTIFS(Clean_Data!$B$2:$B$1001,$A27,Clean_Data!$V$2:$V$1001,1))</f>
        <v>24</v>
      </c>
      <c r="E27" s="30">
        <f>IF($A27="","",SUMIFS(Clean_Data!$P$2:$P$1001,Clean_Data!$B$2:$B$1001,$A27,Clean_Data!$V$2:$V$1001,1))</f>
        <v>822</v>
      </c>
      <c r="F27" s="30">
        <f>IF($A27="","",SUMIFS(Clean_Data!$N$2:$N$1001,Clean_Data!$B$2:$B$1001,$A27,Clean_Data!$V$2:$V$1001,1))</f>
        <v>54</v>
      </c>
      <c r="G27" s="30">
        <f>IF($A27="","",SUMIFS(Clean_Data!$O$2:$O$1001,Clean_Data!$B$2:$B$1001,$A27,Clean_Data!$V$2:$V$1001,1))</f>
        <v>768</v>
      </c>
      <c r="H27" s="15">
        <f>IF($A27="","",IFERROR(AVERAGEIFS(Clean_Data!$AD$2:$AD$1001,Clean_Data!$B$2:$B$1001,$A27,Clean_Data!$V$2:$V$1001,1),""))</f>
        <v>5.67083333333333</v>
      </c>
      <c r="I27" s="24">
        <f>IF($A27="","",IFERROR(AVERAGEIFS(Clean_Data!$AF$2:$AF$1001,Clean_Data!$B$2:$B$1001,$A27,Clean_Data!$V$2:$V$1001,1),""))</f>
        <v>43.4166666666667</v>
      </c>
      <c r="J27" s="24">
        <f>IF($A27="","",IF(OR(WEEKDAY(A27)=1,WEEKDAY(A27)=7),1,0))</f>
        <v>1</v>
      </c>
      <c r="K27" s="24">
        <f>IF($A27="","",A27-$C$4+1)</f>
        <v>9</v>
      </c>
      <c r="L27" s="9" t="str">
        <f>IF($A27="","",IF(AND(A27=$C$5,$C$6&lt;23),"Partial","Full"))</f>
        <v>Full</v>
      </c>
      <c r="M27" s="30">
        <f>IF($A27="","",$C$9+$C$10*K27+$C$11*J27)</f>
        <v>1030.34534883721</v>
      </c>
      <c r="N27" s="30">
        <f>IF($A27="","",IF(L27="Full",E27-M27,""))</f>
        <v>-208.345348837209</v>
      </c>
      <c r="O27" s="40">
        <f>IF($A27="","",IF(N27="","",N27/$C$13))</f>
        <v>-0.643160982348677</v>
      </c>
      <c r="P27" s="9" t="str">
        <f>IF($A27="","",IF(O27="","",IF(ABS(O27)&gt;=Lookups!$K$12,"Anomaly","Normal")))</f>
        <v>Normal</v>
      </c>
      <c r="R27" s="2" t="s">
        <v>398</v>
      </c>
    </row>
    <row r="28" spans="1:25" x14ac:dyDescent="0.25">
      <c r="A28" s="29">
        <f>IF(A27="","",IF(A27+1&gt;$C$5,"",A27+1))</f>
        <v>40553.0</v>
      </c>
      <c r="B28" s="9" t="str">
        <f>IF($A28="","",TEXT(A28,"ddd"))</f>
        <v>Mon</v>
      </c>
      <c r="C28" s="9" t="str">
        <f>IF($A28="","",IF(J28=1,"Weekend","Weekday"))</f>
        <v>Weekday</v>
      </c>
      <c r="D28" s="24">
        <f>IF($A28="","",COUNTIFS(Clean_Data!$B$2:$B$1001,$A28,Clean_Data!$V$2:$V$1001,1))</f>
        <v>24</v>
      </c>
      <c r="E28" s="30">
        <f>IF($A28="","",SUMIFS(Clean_Data!$P$2:$P$1001,Clean_Data!$B$2:$B$1001,$A28,Clean_Data!$V$2:$V$1001,1))</f>
        <v>1321</v>
      </c>
      <c r="F28" s="30">
        <f>IF($A28="","",SUMIFS(Clean_Data!$N$2:$N$1001,Clean_Data!$B$2:$B$1001,$A28,Clean_Data!$V$2:$V$1001,1))</f>
        <v>41</v>
      </c>
      <c r="G28" s="30">
        <f>IF($A28="","",SUMIFS(Clean_Data!$O$2:$O$1001,Clean_Data!$B$2:$B$1001,$A28,Clean_Data!$V$2:$V$1001,1))</f>
        <v>1280</v>
      </c>
      <c r="H28" s="15">
        <f>IF($A28="","",IFERROR(AVERAGEIFS(Clean_Data!$AD$2:$AD$1001,Clean_Data!$B$2:$B$1001,$A28,Clean_Data!$V$2:$V$1001,1),""))</f>
        <v>6.175</v>
      </c>
      <c r="I28" s="24">
        <f>IF($A28="","",IFERROR(AVERAGEIFS(Clean_Data!$AF$2:$AF$1001,Clean_Data!$B$2:$B$1001,$A28,Clean_Data!$V$2:$V$1001,1),""))</f>
        <v>48.2916666666667</v>
      </c>
      <c r="J28" s="24">
        <f>IF($A28="","",IF(OR(WEEKDAY(A28)=1,WEEKDAY(A28)=7),1,0))</f>
        <v>0</v>
      </c>
      <c r="K28" s="24">
        <f>IF($A28="","",A28-$C$4+1)</f>
        <v>10</v>
      </c>
      <c r="L28" s="9" t="str">
        <f>IF($A28="","",IF(AND(A28=$C$5,$C$6&lt;23),"Partial","Full"))</f>
        <v>Full</v>
      </c>
      <c r="M28" s="30">
        <f>IF($A28="","",$C$9+$C$10*K28+$C$11*J28)</f>
        <v>1313.95310077519</v>
      </c>
      <c r="N28" s="30">
        <f>IF($A28="","",IF(L28="Full",E28-M28,""))</f>
        <v>7.04689922480634</v>
      </c>
      <c r="O28" s="40">
        <f>IF($A28="","",IF(N28="","",N28/$C$13))</f>
        <v>0.0217537403797763</v>
      </c>
      <c r="P28" s="9" t="str">
        <f>IF($A28="","",IF(O28="","",IF(ABS(O28)&gt;=Lookups!$K$12,"Anomaly","Normal")))</f>
        <v>Normal</v>
      </c>
      <c r="R28" s="21" t="s">
        <v>399</v>
      </c>
      <c r="S28" s="21"/>
      <c r="T28" s="21"/>
      <c r="U28" s="21"/>
      <c r="V28" s="21"/>
    </row>
    <row r="29" spans="1:25" x14ac:dyDescent="0.25">
      <c r="A29" s="29">
        <f>IF(A28="","",IF(A28+1&gt;$C$5,"",A28+1))</f>
        <v>40554.0</v>
      </c>
      <c r="B29" s="9" t="str">
        <f>IF($A29="","",TEXT(A29,"ddd"))</f>
        <v>Tue</v>
      </c>
      <c r="C29" s="9" t="str">
        <f>IF($A29="","",IF(J29=1,"Weekend","Weekday"))</f>
        <v>Weekday</v>
      </c>
      <c r="D29" s="24">
        <f>IF($A29="","",COUNTIFS(Clean_Data!$B$2:$B$1001,$A29,Clean_Data!$V$2:$V$1001,1))</f>
        <v>22</v>
      </c>
      <c r="E29" s="30">
        <f>IF($A29="","",SUMIFS(Clean_Data!$P$2:$P$1001,Clean_Data!$B$2:$B$1001,$A29,Clean_Data!$V$2:$V$1001,1))</f>
        <v>1263</v>
      </c>
      <c r="F29" s="30">
        <f>IF($A29="","",SUMIFS(Clean_Data!$N$2:$N$1001,Clean_Data!$B$2:$B$1001,$A29,Clean_Data!$V$2:$V$1001,1))</f>
        <v>43</v>
      </c>
      <c r="G29" s="30">
        <f>IF($A29="","",SUMIFS(Clean_Data!$O$2:$O$1001,Clean_Data!$B$2:$B$1001,$A29,Clean_Data!$V$2:$V$1001,1))</f>
        <v>1220</v>
      </c>
      <c r="H29" s="15">
        <f>IF($A29="","",IFERROR(AVERAGEIFS(Clean_Data!$AD$2:$AD$1001,Clean_Data!$B$2:$B$1001,$A29,Clean_Data!$V$2:$V$1001,1),""))</f>
        <v>6.95454545454545</v>
      </c>
      <c r="I29" s="24">
        <f>IF($A29="","",IFERROR(AVERAGEIFS(Clean_Data!$AF$2:$AF$1001,Clean_Data!$B$2:$B$1001,$A29,Clean_Data!$V$2:$V$1001,1),""))</f>
        <v>68.6363636363636</v>
      </c>
      <c r="J29" s="24">
        <f>IF($A29="","",IF(OR(WEEKDAY(A29)=1,WEEKDAY(A29)=7),1,0))</f>
        <v>0</v>
      </c>
      <c r="K29" s="24">
        <f>IF($A29="","",A29-$C$4+1)</f>
        <v>11</v>
      </c>
      <c r="L29" s="9" t="str">
        <f>IF($A29="","",IF(AND(A29=$C$5,$C$6&lt;23),"Partial","Full"))</f>
        <v>Full</v>
      </c>
      <c r="M29" s="30">
        <f>IF($A29="","",$C$9+$C$10*K29+$C$11*J29)</f>
        <v>1321.59418604651</v>
      </c>
      <c r="N29" s="30">
        <f>IF($A29="","",IF(L29="Full",E29-M29,""))</f>
        <v>-58.5941860465116</v>
      </c>
      <c r="O29" s="40">
        <f>IF($A29="","",IF(N29="","",N29/$C$13))</f>
        <v>-0.180879940291065</v>
      </c>
      <c r="P29" s="9" t="str">
        <f>IF($A29="","",IF(O29="","",IF(ABS(O29)&gt;=Lookups!$K$12,"Anomaly","Normal")))</f>
        <v>Normal</v>
      </c>
      <c r="R29" s="6" t="s">
        <v>259</v>
      </c>
      <c r="S29" s="6" t="s">
        <v>400</v>
      </c>
      <c r="T29" s="6" t="s">
        <v>401</v>
      </c>
      <c r="U29" s="6" t="s">
        <v>402</v>
      </c>
      <c r="V29" s="6" t="s">
        <v>403</v>
      </c>
    </row>
    <row r="30" spans="1:25" x14ac:dyDescent="0.25">
      <c r="A30" s="29">
        <f>IF(A29="","",IF(A29+1&gt;$C$5,"",A29+1))</f>
        <v>40555.0</v>
      </c>
      <c r="B30" s="9" t="str">
        <f>IF($A30="","",TEXT(A30,"ddd"))</f>
        <v>Wed</v>
      </c>
      <c r="C30" s="9" t="str">
        <f>IF($A30="","",IF(J30=1,"Weekend","Weekday"))</f>
        <v>Weekday</v>
      </c>
      <c r="D30" s="24">
        <f>IF($A30="","",COUNTIFS(Clean_Data!$B$2:$B$1001,$A30,Clean_Data!$V$2:$V$1001,1))</f>
        <v>22</v>
      </c>
      <c r="E30" s="30">
        <f>IF($A30="","",SUMIFS(Clean_Data!$P$2:$P$1001,Clean_Data!$B$2:$B$1001,$A30,Clean_Data!$V$2:$V$1001,1))</f>
        <v>1162</v>
      </c>
      <c r="F30" s="30">
        <f>IF($A30="","",SUMIFS(Clean_Data!$N$2:$N$1001,Clean_Data!$B$2:$B$1001,$A30,Clean_Data!$V$2:$V$1001,1))</f>
        <v>25</v>
      </c>
      <c r="G30" s="30">
        <f>IF($A30="","",SUMIFS(Clean_Data!$O$2:$O$1001,Clean_Data!$B$2:$B$1001,$A30,Clean_Data!$V$2:$V$1001,1))</f>
        <v>1137</v>
      </c>
      <c r="H30" s="15">
        <f>IF($A30="","",IFERROR(AVERAGEIFS(Clean_Data!$AD$2:$AD$1001,Clean_Data!$B$2:$B$1001,$A30,Clean_Data!$V$2:$V$1001,1),""))</f>
        <v>7.08636363636364</v>
      </c>
      <c r="I30" s="24">
        <f>IF($A30="","",IFERROR(AVERAGEIFS(Clean_Data!$AF$2:$AF$1001,Clean_Data!$B$2:$B$1001,$A30,Clean_Data!$V$2:$V$1001,1),""))</f>
        <v>59.9545454545455</v>
      </c>
      <c r="J30" s="24">
        <f>IF($A30="","",IF(OR(WEEKDAY(A30)=1,WEEKDAY(A30)=7),1,0))</f>
        <v>0</v>
      </c>
      <c r="K30" s="24">
        <f>IF($A30="","",A30-$C$4+1)</f>
        <v>12</v>
      </c>
      <c r="L30" s="9" t="str">
        <f>IF($A30="","",IF(AND(A30=$C$5,$C$6&lt;23),"Partial","Full"))</f>
        <v>Full</v>
      </c>
      <c r="M30" s="30">
        <f>IF($A30="","",$C$9+$C$10*K30+$C$11*J30)</f>
        <v>1329.23527131783</v>
      </c>
      <c r="N30" s="30">
        <f>IF($A30="","",IF(L30="Full",E30-M30,""))</f>
        <v>-167.235271317829</v>
      </c>
      <c r="O30" s="40">
        <f>IF($A30="","",IF(N30="","",N30/$C$13))</f>
        <v>-0.516254391971879</v>
      </c>
      <c r="P30" s="9" t="str">
        <f>IF($A30="","",IF(O30="","",IF(ABS(O30)&gt;=Lookups!$K$12,"Anomaly","Normal")))</f>
        <v>Normal</v>
      </c>
      <c r="R30" s="43">
        <f>IF($C$4+0&gt;$R$25,"",$C$4+0)</f>
        <v>40544.0</v>
      </c>
      <c r="S30" s="30">
        <f>IF(R30="",NA(),IF(R30&gt;$C$5,NA(),IF(AND(R30=$C$5,$C$6&lt;23),NA(),SUMIFS(Clean_Data!$P$2:$P$1001,Clean_Data!$B$2:$B$1001,R30,Clean_Data!$V$2:$V$1001,1))))</f>
        <v>985</v>
      </c>
      <c r="T30" s="30">
        <f>IF(R30="",NA(),$C$9+$C$10*(R30-$C$4+1)+$C$11*IF(OR(WEEKDAY(R30)=1,WEEKDAY(R30)=7),1,0))</f>
        <v>969.216666666667</v>
      </c>
      <c r="U30" s="30" t="e">
        <f>IF(R30="",NA(),IF(R30&lt;$R$19,NA(),T30-1.96*$C$13))</f>
        <v>#N/A</v>
      </c>
      <c r="V30" s="30" t="e">
        <f>IF(R30="",NA(),IF(R30&lt;$R$19,NA(),T30+1.96*$C$13))</f>
        <v>#N/A</v>
      </c>
    </row>
    <row r="31" spans="1:25" x14ac:dyDescent="0.25">
      <c r="A31" s="29">
        <f>IF(A30="","",IF(A30+1&gt;$C$5,"",A30+1))</f>
        <v>40556.0</v>
      </c>
      <c r="B31" s="9" t="str">
        <f>IF($A31="","",TEXT(A31,"ddd"))</f>
        <v>Thu</v>
      </c>
      <c r="C31" s="9" t="str">
        <f>IF($A31="","",IF(J31=1,"Weekend","Weekday"))</f>
        <v>Weekday</v>
      </c>
      <c r="D31" s="24">
        <f>IF($A31="","",COUNTIFS(Clean_Data!$B$2:$B$1001,$A31,Clean_Data!$V$2:$V$1001,1))</f>
        <v>24</v>
      </c>
      <c r="E31" s="30">
        <f>IF($A31="","",SUMIFS(Clean_Data!$P$2:$P$1001,Clean_Data!$B$2:$B$1001,$A31,Clean_Data!$V$2:$V$1001,1))</f>
        <v>1406</v>
      </c>
      <c r="F31" s="30">
        <f>IF($A31="","",SUMIFS(Clean_Data!$N$2:$N$1001,Clean_Data!$B$2:$B$1001,$A31,Clean_Data!$V$2:$V$1001,1))</f>
        <v>38</v>
      </c>
      <c r="G31" s="30">
        <f>IF($A31="","",SUMIFS(Clean_Data!$O$2:$O$1001,Clean_Data!$B$2:$B$1001,$A31,Clean_Data!$V$2:$V$1001,1))</f>
        <v>1368</v>
      </c>
      <c r="H31" s="15">
        <f>IF($A31="","",IFERROR(AVERAGEIFS(Clean_Data!$AD$2:$AD$1001,Clean_Data!$B$2:$B$1001,$A31,Clean_Data!$V$2:$V$1001,1),""))</f>
        <v>6.74583333333333</v>
      </c>
      <c r="I31" s="24">
        <f>IF($A31="","",IFERROR(AVERAGEIFS(Clean_Data!$AF$2:$AF$1001,Clean_Data!$B$2:$B$1001,$A31,Clean_Data!$V$2:$V$1001,1),""))</f>
        <v>47.0416666666667</v>
      </c>
      <c r="J31" s="24">
        <f>IF($A31="","",IF(OR(WEEKDAY(A31)=1,WEEKDAY(A31)=7),1,0))</f>
        <v>0</v>
      </c>
      <c r="K31" s="24">
        <f>IF($A31="","",A31-$C$4+1)</f>
        <v>13</v>
      </c>
      <c r="L31" s="9" t="str">
        <f>IF($A31="","",IF(AND(A31=$C$5,$C$6&lt;23),"Partial","Full"))</f>
        <v>Full</v>
      </c>
      <c r="M31" s="30">
        <f>IF($A31="","",$C$9+$C$10*K31+$C$11*J31)</f>
        <v>1336.87635658915</v>
      </c>
      <c r="N31" s="30">
        <f>IF($A31="","",IF(L31="Full",E31-M31,""))</f>
        <v>69.1236434108528</v>
      </c>
      <c r="O31" s="40">
        <f>IF($A31="","",IF(N31="","",N31/$C$13))</f>
        <v>0.213384319101746</v>
      </c>
      <c r="P31" s="9" t="str">
        <f>IF($A31="","",IF(O31="","",IF(ABS(O31)&gt;=Lookups!$K$12,"Anomaly","Normal")))</f>
        <v>Normal</v>
      </c>
      <c r="R31" s="43">
        <f>IF($C$4+1&gt;$R$25,"",$C$4+1)</f>
        <v>40545.0</v>
      </c>
      <c r="S31" s="30">
        <f>IF(R31="",NA(),IF(R31&gt;$C$5,NA(),IF(AND(R31=$C$5,$C$6&lt;23),NA(),SUMIFS(Clean_Data!$P$2:$P$1001,Clean_Data!$B$2:$B$1001,R31,Clean_Data!$V$2:$V$1001,1))))</f>
        <v>801</v>
      </c>
      <c r="T31" s="30">
        <f>IF(R31="",NA(),$C$9+$C$10*(R31-$C$4+1)+$C$11*IF(OR(WEEKDAY(R31)=1,WEEKDAY(R31)=7),1,0))</f>
        <v>976.857751937985</v>
      </c>
      <c r="U31" s="30" t="e">
        <f>IF(R31="",NA(),IF(R31&lt;$R$19,NA(),T31-1.96*$C$13))</f>
        <v>#N/A</v>
      </c>
      <c r="V31" s="30" t="e">
        <f>IF(R31="",NA(),IF(R31&lt;$R$19,NA(),T31+1.96*$C$13))</f>
        <v>#N/A</v>
      </c>
    </row>
    <row r="32" spans="1:25" x14ac:dyDescent="0.25">
      <c r="A32" s="29">
        <f>IF(A31="","",IF(A31+1&gt;$C$5,"",A31+1))</f>
        <v>40557.0</v>
      </c>
      <c r="B32" s="9" t="str">
        <f>IF($A32="","",TEXT(A32,"ddd"))</f>
        <v>Fri</v>
      </c>
      <c r="C32" s="9" t="str">
        <f>IF($A32="","",IF(J32=1,"Weekend","Weekday"))</f>
        <v>Weekday</v>
      </c>
      <c r="D32" s="24">
        <f>IF($A32="","",COUNTIFS(Clean_Data!$B$2:$B$1001,$A32,Clean_Data!$V$2:$V$1001,1))</f>
        <v>23</v>
      </c>
      <c r="E32" s="30">
        <f>IF($A32="","",SUMIFS(Clean_Data!$P$2:$P$1001,Clean_Data!$B$2:$B$1001,$A32,Clean_Data!$V$2:$V$1001,1))</f>
        <v>1421</v>
      </c>
      <c r="F32" s="30">
        <f>IF($A32="","",SUMIFS(Clean_Data!$N$2:$N$1001,Clean_Data!$B$2:$B$1001,$A32,Clean_Data!$V$2:$V$1001,1))</f>
        <v>54</v>
      </c>
      <c r="G32" s="30">
        <f>IF($A32="","",SUMIFS(Clean_Data!$O$2:$O$1001,Clean_Data!$B$2:$B$1001,$A32,Clean_Data!$V$2:$V$1001,1))</f>
        <v>1367</v>
      </c>
      <c r="H32" s="15">
        <f>IF($A32="","",IFERROR(AVERAGEIFS(Clean_Data!$AD$2:$AD$1001,Clean_Data!$B$2:$B$1001,$A32,Clean_Data!$V$2:$V$1001,1),""))</f>
        <v>6.59565217391304</v>
      </c>
      <c r="I32" s="24">
        <f>IF($A32="","",IFERROR(AVERAGEIFS(Clean_Data!$AF$2:$AF$1001,Clean_Data!$B$2:$B$1001,$A32,Clean_Data!$V$2:$V$1001,1),""))</f>
        <v>53.7826086956522</v>
      </c>
      <c r="J32" s="24">
        <f>IF($A32="","",IF(OR(WEEKDAY(A32)=1,WEEKDAY(A32)=7),1,0))</f>
        <v>0</v>
      </c>
      <c r="K32" s="24">
        <f>IF($A32="","",A32-$C$4+1)</f>
        <v>14</v>
      </c>
      <c r="L32" s="9" t="str">
        <f>IF($A32="","",IF(AND(A32=$C$5,$C$6&lt;23),"Partial","Full"))</f>
        <v>Full</v>
      </c>
      <c r="M32" s="30">
        <f>IF($A32="","",$C$9+$C$10*K32+$C$11*J32)</f>
        <v>1344.51744186047</v>
      </c>
      <c r="N32" s="30">
        <f>IF($A32="","",IF(L32="Full",E32-M32,""))</f>
        <v>76.4825581395348</v>
      </c>
      <c r="O32" s="40">
        <f>IF($A32="","",IF(N32="","",N32/$C$13))</f>
        <v>0.236101249680395</v>
      </c>
      <c r="P32" s="9" t="str">
        <f>IF($A32="","",IF(O32="","",IF(ABS(O32)&gt;=Lookups!$K$12,"Anomaly","Normal")))</f>
        <v>Normal</v>
      </c>
      <c r="R32" s="43">
        <f>IF($C$4+2&gt;$R$25,"",$C$4+2)</f>
        <v>40546.0</v>
      </c>
      <c r="S32" s="30">
        <f>IF(R32="",NA(),IF(R32&gt;$C$5,NA(),IF(AND(R32=$C$5,$C$6&lt;23),NA(),SUMIFS(Clean_Data!$P$2:$P$1001,Clean_Data!$B$2:$B$1001,R32,Clean_Data!$V$2:$V$1001,1))))</f>
        <v>1349</v>
      </c>
      <c r="T32" s="30">
        <f>IF(R32="",NA(),$C$9+$C$10*(R32-$C$4+1)+$C$11*IF(OR(WEEKDAY(R32)=1,WEEKDAY(R32)=7),1,0))</f>
        <v>1260.46550387597</v>
      </c>
      <c r="U32" s="30" t="e">
        <f>IF(R32="",NA(),IF(R32&lt;$R$19,NA(),T32-1.96*$C$13))</f>
        <v>#N/A</v>
      </c>
      <c r="V32" s="30" t="e">
        <f>IF(R32="",NA(),IF(R32&lt;$R$19,NA(),T32+1.96*$C$13))</f>
        <v>#N/A</v>
      </c>
    </row>
    <row r="33" spans="1:22" x14ac:dyDescent="0.25">
      <c r="A33" s="29">
        <f>IF(A32="","",IF(A32+1&gt;$C$5,"",A32+1))</f>
        <v>40558.0</v>
      </c>
      <c r="B33" s="9" t="str">
        <f>IF($A33="","",TEXT(A33,"ddd"))</f>
        <v>Sat</v>
      </c>
      <c r="C33" s="9" t="str">
        <f>IF($A33="","",IF(J33=1,"Weekend","Weekday"))</f>
        <v>Weekend</v>
      </c>
      <c r="D33" s="24">
        <f>IF($A33="","",COUNTIFS(Clean_Data!$B$2:$B$1001,$A33,Clean_Data!$V$2:$V$1001,1))</f>
        <v>24</v>
      </c>
      <c r="E33" s="30">
        <f>IF($A33="","",SUMIFS(Clean_Data!$P$2:$P$1001,Clean_Data!$B$2:$B$1001,$A33,Clean_Data!$V$2:$V$1001,1))</f>
        <v>1248</v>
      </c>
      <c r="F33" s="30">
        <f>IF($A33="","",SUMIFS(Clean_Data!$N$2:$N$1001,Clean_Data!$B$2:$B$1001,$A33,Clean_Data!$V$2:$V$1001,1))</f>
        <v>222</v>
      </c>
      <c r="G33" s="30">
        <f>IF($A33="","",SUMIFS(Clean_Data!$O$2:$O$1001,Clean_Data!$B$2:$B$1001,$A33,Clean_Data!$V$2:$V$1001,1))</f>
        <v>1026</v>
      </c>
      <c r="H33" s="15">
        <f>IF($A33="","",IFERROR(AVERAGEIFS(Clean_Data!$AD$2:$AD$1001,Clean_Data!$B$2:$B$1001,$A33,Clean_Data!$V$2:$V$1001,1),""))</f>
        <v>9.56666666666667</v>
      </c>
      <c r="I33" s="24">
        <f>IF($A33="","",IFERROR(AVERAGEIFS(Clean_Data!$AF$2:$AF$1001,Clean_Data!$B$2:$B$1001,$A33,Clean_Data!$V$2:$V$1001,1),""))</f>
        <v>49.875</v>
      </c>
      <c r="J33" s="24">
        <f>IF($A33="","",IF(OR(WEEKDAY(A33)=1,WEEKDAY(A33)=7),1,0))</f>
        <v>1</v>
      </c>
      <c r="K33" s="24">
        <f>IF($A33="","",A33-$C$4+1)</f>
        <v>15</v>
      </c>
      <c r="L33" s="9" t="str">
        <f>IF($A33="","",IF(AND(A33=$C$5,$C$6&lt;23),"Partial","Full"))</f>
        <v>Full</v>
      </c>
      <c r="M33" s="30">
        <f>IF($A33="","",$C$9+$C$10*K33+$C$11*J33)</f>
        <v>1076.19186046512</v>
      </c>
      <c r="N33" s="30">
        <f>IF($A33="","",IF(L33="Full",E33-M33,""))</f>
        <v>171.808139534884</v>
      </c>
      <c r="O33" s="40">
        <f>IF($A33="","",IF(N33="","",N33/$C$13))</f>
        <v>0.530370811805805</v>
      </c>
      <c r="P33" s="9" t="str">
        <f>IF($A33="","",IF(O33="","",IF(ABS(O33)&gt;=Lookups!$K$12,"Anomaly","Normal")))</f>
        <v>Normal</v>
      </c>
      <c r="R33" s="43">
        <f>IF($C$4+3&gt;$R$25,"",$C$4+3)</f>
        <v>40547.0</v>
      </c>
      <c r="S33" s="30">
        <f>IF(R33="",NA(),IF(R33&gt;$C$5,NA(),IF(AND(R33=$C$5,$C$6&lt;23),NA(),SUMIFS(Clean_Data!$P$2:$P$1001,Clean_Data!$B$2:$B$1001,R33,Clean_Data!$V$2:$V$1001,1))))</f>
        <v>1562</v>
      </c>
      <c r="T33" s="30">
        <f>IF(R33="",NA(),$C$9+$C$10*(R33-$C$4+1)+$C$11*IF(OR(WEEKDAY(R33)=1,WEEKDAY(R33)=7),1,0))</f>
        <v>1268.10658914729</v>
      </c>
      <c r="U33" s="30" t="e">
        <f>IF(R33="",NA(),IF(R33&lt;$R$19,NA(),T33-1.96*$C$13))</f>
        <v>#N/A</v>
      </c>
      <c r="V33" s="30" t="e">
        <f>IF(R33="",NA(),IF(R33&lt;$R$19,NA(),T33+1.96*$C$13))</f>
        <v>#N/A</v>
      </c>
    </row>
    <row r="34" spans="1:22" x14ac:dyDescent="0.25">
      <c r="A34" s="29">
        <f>IF(A33="","",IF(A33+1&gt;$C$5,"",A33+1))</f>
        <v>40559.0</v>
      </c>
      <c r="B34" s="9" t="str">
        <f>IF($A34="","",TEXT(A34,"ddd"))</f>
        <v>Sun</v>
      </c>
      <c r="C34" s="9" t="str">
        <f>IF($A34="","",IF(J34=1,"Weekend","Weekday"))</f>
        <v>Weekend</v>
      </c>
      <c r="D34" s="24">
        <f>IF($A34="","",COUNTIFS(Clean_Data!$B$2:$B$1001,$A34,Clean_Data!$V$2:$V$1001,1))</f>
        <v>24</v>
      </c>
      <c r="E34" s="30">
        <f>IF($A34="","",SUMIFS(Clean_Data!$P$2:$P$1001,Clean_Data!$B$2:$B$1001,$A34,Clean_Data!$V$2:$V$1001,1))</f>
        <v>1204</v>
      </c>
      <c r="F34" s="30">
        <f>IF($A34="","",SUMIFS(Clean_Data!$N$2:$N$1001,Clean_Data!$B$2:$B$1001,$A34,Clean_Data!$V$2:$V$1001,1))</f>
        <v>251</v>
      </c>
      <c r="G34" s="30">
        <f>IF($A34="","",SUMIFS(Clean_Data!$O$2:$O$1001,Clean_Data!$B$2:$B$1001,$A34,Clean_Data!$V$2:$V$1001,1))</f>
        <v>953</v>
      </c>
      <c r="H34" s="15">
        <f>IF($A34="","",IFERROR(AVERAGEIFS(Clean_Data!$AD$2:$AD$1001,Clean_Data!$B$2:$B$1001,$A34,Clean_Data!$V$2:$V$1001,1),""))</f>
        <v>9.50416666666667</v>
      </c>
      <c r="I34" s="24">
        <f>IF($A34="","",IFERROR(AVERAGEIFS(Clean_Data!$AF$2:$AF$1001,Clean_Data!$B$2:$B$1001,$A34,Clean_Data!$V$2:$V$1001,1),""))</f>
        <v>48.375</v>
      </c>
      <c r="J34" s="24">
        <f>IF($A34="","",IF(OR(WEEKDAY(A34)=1,WEEKDAY(A34)=7),1,0))</f>
        <v>1</v>
      </c>
      <c r="K34" s="24">
        <f>IF($A34="","",A34-$C$4+1)</f>
        <v>16</v>
      </c>
      <c r="L34" s="9" t="str">
        <f>IF($A34="","",IF(AND(A34=$C$5,$C$6&lt;23),"Partial","Full"))</f>
        <v>Full</v>
      </c>
      <c r="M34" s="30">
        <f>IF($A34="","",$C$9+$C$10*K34+$C$11*J34)</f>
        <v>1083.83294573643</v>
      </c>
      <c r="N34" s="30">
        <f>IF($A34="","",IF(L34="Full",E34-M34,""))</f>
        <v>120.167054263566</v>
      </c>
      <c r="O34" s="40">
        <f>IF($A34="","",IF(N34="","",N34/$C$13))</f>
        <v>0.370955056580071</v>
      </c>
      <c r="P34" s="9" t="str">
        <f>IF($A34="","",IF(O34="","",IF(ABS(O34)&gt;=Lookups!$K$12,"Anomaly","Normal")))</f>
        <v>Normal</v>
      </c>
      <c r="R34" s="43">
        <f>IF($C$4+4&gt;$R$25,"",$C$4+4)</f>
        <v>40548.0</v>
      </c>
      <c r="S34" s="30">
        <f>IF(R34="",NA(),IF(R34&gt;$C$5,NA(),IF(AND(R34=$C$5,$C$6&lt;23),NA(),SUMIFS(Clean_Data!$P$2:$P$1001,Clean_Data!$B$2:$B$1001,R34,Clean_Data!$V$2:$V$1001,1))))</f>
        <v>1600</v>
      </c>
      <c r="T34" s="30">
        <f>IF(R34="",NA(),$C$9+$C$10*(R34-$C$4+1)+$C$11*IF(OR(WEEKDAY(R34)=1,WEEKDAY(R34)=7),1,0))</f>
        <v>1275.7476744186</v>
      </c>
      <c r="U34" s="30" t="e">
        <f>IF(R34="",NA(),IF(R34&lt;$R$19,NA(),T34-1.96*$C$13))</f>
        <v>#N/A</v>
      </c>
      <c r="V34" s="30" t="e">
        <f>IF(R34="",NA(),IF(R34&lt;$R$19,NA(),T34+1.96*$C$13))</f>
        <v>#N/A</v>
      </c>
    </row>
    <row r="35" spans="1:22" x14ac:dyDescent="0.25">
      <c r="A35" s="29">
        <f>IF(A34="","",IF(A34+1&gt;$C$5,"",A34+1))</f>
        <v>40560.0</v>
      </c>
      <c r="B35" s="9" t="str">
        <f>IF($A35="","",TEXT(A35,"ddd"))</f>
        <v>Mon</v>
      </c>
      <c r="C35" s="9" t="str">
        <f>IF($A35="","",IF(J35=1,"Weekend","Weekday"))</f>
        <v>Weekday</v>
      </c>
      <c r="D35" s="24">
        <f>IF($A35="","",COUNTIFS(Clean_Data!$B$2:$B$1001,$A35,Clean_Data!$V$2:$V$1001,1))</f>
        <v>24</v>
      </c>
      <c r="E35" s="30">
        <f>IF($A35="","",SUMIFS(Clean_Data!$P$2:$P$1001,Clean_Data!$B$2:$B$1001,$A35,Clean_Data!$V$2:$V$1001,1))</f>
        <v>1000</v>
      </c>
      <c r="F35" s="30">
        <f>IF($A35="","",SUMIFS(Clean_Data!$N$2:$N$1001,Clean_Data!$B$2:$B$1001,$A35,Clean_Data!$V$2:$V$1001,1))</f>
        <v>117</v>
      </c>
      <c r="G35" s="30">
        <f>IF($A35="","",SUMIFS(Clean_Data!$O$2:$O$1001,Clean_Data!$B$2:$B$1001,$A35,Clean_Data!$V$2:$V$1001,1))</f>
        <v>883</v>
      </c>
      <c r="H35" s="15">
        <f>IF($A35="","",IFERROR(AVERAGEIFS(Clean_Data!$AD$2:$AD$1001,Clean_Data!$B$2:$B$1001,$A35,Clean_Data!$V$2:$V$1001,1),""))</f>
        <v>7.22916666666667</v>
      </c>
      <c r="I35" s="24">
        <f>IF($A35="","",IFERROR(AVERAGEIFS(Clean_Data!$AF$2:$AF$1001,Clean_Data!$B$2:$B$1001,$A35,Clean_Data!$V$2:$V$1001,1),""))</f>
        <v>53.75</v>
      </c>
      <c r="J35" s="24">
        <f>IF($A35="","",IF(OR(WEEKDAY(A35)=1,WEEKDAY(A35)=7),1,0))</f>
        <v>0</v>
      </c>
      <c r="K35" s="24">
        <f>IF($A35="","",A35-$C$4+1)</f>
        <v>17</v>
      </c>
      <c r="L35" s="9" t="str">
        <f>IF($A35="","",IF(AND(A35=$C$5,$C$6&lt;23),"Partial","Full"))</f>
        <v>Full</v>
      </c>
      <c r="M35" s="30">
        <f>IF($A35="","",$C$9+$C$10*K35+$C$11*J35)</f>
        <v>1367.44069767442</v>
      </c>
      <c r="N35" s="30">
        <f>IF($A35="","",IF(L35="Full",E35-M35,""))</f>
        <v>-367.440697674419</v>
      </c>
      <c r="O35" s="40">
        <f>IF($A35="","",IF(N35="","",N35/$C$13))</f>
        <v>-1.13428747697081</v>
      </c>
      <c r="P35" s="9" t="str">
        <f>IF($A35="","",IF(O35="","",IF(ABS(O35)&gt;=Lookups!$K$12,"Anomaly","Normal")))</f>
        <v>Normal</v>
      </c>
      <c r="R35" s="43">
        <f>IF($C$4+5&gt;$R$25,"",$C$4+5)</f>
        <v>40549.0</v>
      </c>
      <c r="S35" s="30">
        <f>IF(R35="",NA(),IF(R35&gt;$C$5,NA(),IF(AND(R35=$C$5,$C$6&lt;23),NA(),SUMIFS(Clean_Data!$P$2:$P$1001,Clean_Data!$B$2:$B$1001,R35,Clean_Data!$V$2:$V$1001,1))))</f>
        <v>1606</v>
      </c>
      <c r="T35" s="30">
        <f>IF(R35="",NA(),$C$9+$C$10*(R35-$C$4+1)+$C$11*IF(OR(WEEKDAY(R35)=1,WEEKDAY(R35)=7),1,0))</f>
        <v>1283.38875968992</v>
      </c>
      <c r="U35" s="30" t="e">
        <f>IF(R35="",NA(),IF(R35&lt;$R$19,NA(),T35-1.96*$C$13))</f>
        <v>#N/A</v>
      </c>
      <c r="V35" s="30" t="e">
        <f>IF(R35="",NA(),IF(R35&lt;$R$19,NA(),T35+1.96*$C$13))</f>
        <v>#N/A</v>
      </c>
    </row>
    <row r="36" spans="1:22" x14ac:dyDescent="0.25">
      <c r="A36" s="29">
        <f>IF(A35="","",IF(A35+1&gt;$C$5,"",A35+1))</f>
        <v>40561.0</v>
      </c>
      <c r="B36" s="9" t="str">
        <f>IF($A36="","",TEXT(A36,"ddd"))</f>
        <v>Tue</v>
      </c>
      <c r="C36" s="9" t="str">
        <f>IF($A36="","",IF(J36=1,"Weekend","Weekday"))</f>
        <v>Weekday</v>
      </c>
      <c r="D36" s="24">
        <f>IF($A36="","",COUNTIFS(Clean_Data!$B$2:$B$1001,$A36,Clean_Data!$V$2:$V$1001,1))</f>
        <v>12</v>
      </c>
      <c r="E36" s="30">
        <f>IF($A36="","",SUMIFS(Clean_Data!$P$2:$P$1001,Clean_Data!$B$2:$B$1001,$A36,Clean_Data!$V$2:$V$1001,1))</f>
        <v>683</v>
      </c>
      <c r="F36" s="30">
        <f>IF($A36="","",SUMIFS(Clean_Data!$N$2:$N$1001,Clean_Data!$B$2:$B$1001,$A36,Clean_Data!$V$2:$V$1001,1))</f>
        <v>9</v>
      </c>
      <c r="G36" s="30">
        <f>IF($A36="","",SUMIFS(Clean_Data!$O$2:$O$1001,Clean_Data!$B$2:$B$1001,$A36,Clean_Data!$V$2:$V$1001,1))</f>
        <v>674</v>
      </c>
      <c r="H36" s="15">
        <f>IF($A36="","",IFERROR(AVERAGEIFS(Clean_Data!$AD$2:$AD$1001,Clean_Data!$B$2:$B$1001,$A36,Clean_Data!$V$2:$V$1001,1),""))</f>
        <v>8.86666666666667</v>
      </c>
      <c r="I36" s="24">
        <f>IF($A36="","",IFERROR(AVERAGEIFS(Clean_Data!$AF$2:$AF$1001,Clean_Data!$B$2:$B$1001,$A36,Clean_Data!$V$2:$V$1001,1),""))</f>
        <v>86.1666666666667</v>
      </c>
      <c r="J36" s="24">
        <f>IF($A36="","",IF(OR(WEEKDAY(A36)=1,WEEKDAY(A36)=7),1,0))</f>
        <v>0</v>
      </c>
      <c r="K36" s="24">
        <f>IF($A36="","",A36-$C$4+1)</f>
        <v>18</v>
      </c>
      <c r="L36" s="9" t="str">
        <f>IF($A36="","",IF(AND(A36=$C$5,$C$6&lt;23),"Partial","Full"))</f>
        <v>Full</v>
      </c>
      <c r="M36" s="30">
        <f>IF($A36="","",$C$9+$C$10*K36+$C$11*J36)</f>
        <v>1375.08178294574</v>
      </c>
      <c r="N36" s="30">
        <f>IF($A36="","",IF(L36="Full",E36-M36,""))</f>
        <v>-692.081782945736</v>
      </c>
      <c r="O36" s="40">
        <f>IF($A36="","",IF(N36="","",N36/$C$13))</f>
        <v>-2.13645277837615</v>
      </c>
      <c r="P36" s="9" t="str">
        <f>IF($A36="","",IF(O36="","",IF(ABS(O36)&gt;=Lookups!$K$12,"Anomaly","Normal")))</f>
        <v>Anomaly</v>
      </c>
      <c r="R36" s="43">
        <f>IF($C$4+6&gt;$R$25,"",$C$4+6)</f>
        <v>40550.0</v>
      </c>
      <c r="S36" s="30">
        <f>IF(R36="",NA(),IF(R36&gt;$C$5,NA(),IF(AND(R36=$C$5,$C$6&lt;23),NA(),SUMIFS(Clean_Data!$P$2:$P$1001,Clean_Data!$B$2:$B$1001,R36,Clean_Data!$V$2:$V$1001,1))))</f>
        <v>1510</v>
      </c>
      <c r="T36" s="30">
        <f>IF(R36="",NA(),$C$9+$C$10*(R36-$C$4+1)+$C$11*IF(OR(WEEKDAY(R36)=1,WEEKDAY(R36)=7),1,0))</f>
        <v>1291.02984496124</v>
      </c>
      <c r="U36" s="30" t="e">
        <f>IF(R36="",NA(),IF(R36&lt;$R$19,NA(),T36-1.96*$C$13))</f>
        <v>#N/A</v>
      </c>
      <c r="V36" s="30" t="e">
        <f>IF(R36="",NA(),IF(R36&lt;$R$19,NA(),T36+1.96*$C$13))</f>
        <v>#N/A</v>
      </c>
    </row>
    <row r="37" spans="1:22" x14ac:dyDescent="0.25">
      <c r="A37" s="29">
        <f>IF(A36="","",IF(A36+1&gt;$C$5,"",A36+1))</f>
        <v>40562.0</v>
      </c>
      <c r="B37" s="9" t="str">
        <f>IF($A37="","",TEXT(A37,"ddd"))</f>
        <v>Wed</v>
      </c>
      <c r="C37" s="9" t="str">
        <f>IF($A37="","",IF(J37=1,"Weekend","Weekday"))</f>
        <v>Weekday</v>
      </c>
      <c r="D37" s="24">
        <f>IF($A37="","",COUNTIFS(Clean_Data!$B$2:$B$1001,$A37,Clean_Data!$V$2:$V$1001,1))</f>
        <v>23</v>
      </c>
      <c r="E37" s="30">
        <f>IF($A37="","",SUMIFS(Clean_Data!$P$2:$P$1001,Clean_Data!$B$2:$B$1001,$A37,Clean_Data!$V$2:$V$1001,1))</f>
        <v>1650</v>
      </c>
      <c r="F37" s="30">
        <f>IF($A37="","",SUMIFS(Clean_Data!$N$2:$N$1001,Clean_Data!$B$2:$B$1001,$A37,Clean_Data!$V$2:$V$1001,1))</f>
        <v>78</v>
      </c>
      <c r="G37" s="30">
        <f>IF($A37="","",SUMIFS(Clean_Data!$O$2:$O$1001,Clean_Data!$B$2:$B$1001,$A37,Clean_Data!$V$2:$V$1001,1))</f>
        <v>1572</v>
      </c>
      <c r="H37" s="15">
        <f>IF($A37="","",IFERROR(AVERAGEIFS(Clean_Data!$AD$2:$AD$1001,Clean_Data!$B$2:$B$1001,$A37,Clean_Data!$V$2:$V$1001,1),""))</f>
        <v>11.9695652173913</v>
      </c>
      <c r="I37" s="24">
        <f>IF($A37="","",IFERROR(AVERAGEIFS(Clean_Data!$AF$2:$AF$1001,Clean_Data!$B$2:$B$1001,$A37,Clean_Data!$V$2:$V$1001,1),""))</f>
        <v>74.1739130434783</v>
      </c>
      <c r="J37" s="24">
        <f>IF($A37="","",IF(OR(WEEKDAY(A37)=1,WEEKDAY(A37)=7),1,0))</f>
        <v>0</v>
      </c>
      <c r="K37" s="24">
        <f>IF($A37="","",A37-$C$4+1)</f>
        <v>19</v>
      </c>
      <c r="L37" s="9" t="str">
        <f>IF($A37="","",IF(AND(A37=$C$5,$C$6&lt;23),"Partial","Full"))</f>
        <v>Full</v>
      </c>
      <c r="M37" s="30">
        <f>IF($A37="","",$C$9+$C$10*K37+$C$11*J37)</f>
        <v>1382.72286821705</v>
      </c>
      <c r="N37" s="30">
        <f>IF($A37="","",IF(L37="Full",E37-M37,""))</f>
        <v>267.277131782946</v>
      </c>
      <c r="O37" s="40">
        <f>IF($A37="","",IF(N37="","",N37/$C$13))</f>
        <v>0.825083082469828</v>
      </c>
      <c r="P37" s="9" t="str">
        <f>IF($A37="","",IF(O37="","",IF(ABS(O37)&gt;=Lookups!$K$12,"Anomaly","Normal")))</f>
        <v>Normal</v>
      </c>
      <c r="R37" s="43">
        <f>IF($C$4+7&gt;$R$25,"",$C$4+7)</f>
        <v>40551.0</v>
      </c>
      <c r="S37" s="30">
        <f>IF(R37="",NA(),IF(R37&gt;$C$5,NA(),IF(AND(R37=$C$5,$C$6&lt;23),NA(),SUMIFS(Clean_Data!$P$2:$P$1001,Clean_Data!$B$2:$B$1001,R37,Clean_Data!$V$2:$V$1001,1))))</f>
        <v>959</v>
      </c>
      <c r="T37" s="30">
        <f>IF(R37="",NA(),$C$9+$C$10*(R37-$C$4+1)+$C$11*IF(OR(WEEKDAY(R37)=1,WEEKDAY(R37)=7),1,0))</f>
        <v>1022.70426356589</v>
      </c>
      <c r="U37" s="30" t="e">
        <f>IF(R37="",NA(),IF(R37&lt;$R$19,NA(),T37-1.96*$C$13))</f>
        <v>#N/A</v>
      </c>
      <c r="V37" s="30" t="e">
        <f>IF(R37="",NA(),IF(R37&lt;$R$19,NA(),T37+1.96*$C$13))</f>
        <v>#N/A</v>
      </c>
    </row>
    <row r="38" spans="1:22" x14ac:dyDescent="0.25">
      <c r="A38" s="29">
        <f>IF(A37="","",IF(A37+1&gt;$C$5,"",A37+1))</f>
        <v>40563.0</v>
      </c>
      <c r="B38" s="9" t="str">
        <f>IF($A38="","",TEXT(A38,"ddd"))</f>
        <v>Thu</v>
      </c>
      <c r="C38" s="9" t="str">
        <f>IF($A38="","",IF(J38=1,"Weekend","Weekday"))</f>
        <v>Weekday</v>
      </c>
      <c r="D38" s="24">
        <f>IF($A38="","",COUNTIFS(Clean_Data!$B$2:$B$1001,$A38,Clean_Data!$V$2:$V$1001,1))</f>
        <v>24</v>
      </c>
      <c r="E38" s="30">
        <f>IF($A38="","",SUMIFS(Clean_Data!$P$2:$P$1001,Clean_Data!$B$2:$B$1001,$A38,Clean_Data!$V$2:$V$1001,1))</f>
        <v>1927</v>
      </c>
      <c r="F38" s="30">
        <f>IF($A38="","",SUMIFS(Clean_Data!$N$2:$N$1001,Clean_Data!$B$2:$B$1001,$A38,Clean_Data!$V$2:$V$1001,1))</f>
        <v>83</v>
      </c>
      <c r="G38" s="30">
        <f>IF($A38="","",SUMIFS(Clean_Data!$O$2:$O$1001,Clean_Data!$B$2:$B$1001,$A38,Clean_Data!$V$2:$V$1001,1))</f>
        <v>1844</v>
      </c>
      <c r="H38" s="15">
        <f>IF($A38="","",IFERROR(AVERAGEIFS(Clean_Data!$AD$2:$AD$1001,Clean_Data!$B$2:$B$1001,$A38,Clean_Data!$V$2:$V$1001,1),""))</f>
        <v>10.7333333333333</v>
      </c>
      <c r="I38" s="24">
        <f>IF($A38="","",IFERROR(AVERAGEIFS(Clean_Data!$AF$2:$AF$1001,Clean_Data!$B$2:$B$1001,$A38,Clean_Data!$V$2:$V$1001,1),""))</f>
        <v>53.8333333333333</v>
      </c>
      <c r="J38" s="24">
        <f>IF($A38="","",IF(OR(WEEKDAY(A38)=1,WEEKDAY(A38)=7),1,0))</f>
        <v>0</v>
      </c>
      <c r="K38" s="24">
        <f>IF($A38="","",A38-$C$4+1)</f>
        <v>20</v>
      </c>
      <c r="L38" s="9" t="str">
        <f>IF($A38="","",IF(AND(A38=$C$5,$C$6&lt;23),"Partial","Full"))</f>
        <v>Full</v>
      </c>
      <c r="M38" s="30">
        <f>IF($A38="","",$C$9+$C$10*K38+$C$11*J38)</f>
        <v>1390.36395348837</v>
      </c>
      <c r="N38" s="30">
        <f>IF($A38="","",IF(L38="Full",E38-M38,""))</f>
        <v>536.636046511628</v>
      </c>
      <c r="O38" s="40">
        <f>IF($A38="","",IF(N38="","",N38/$C$13))</f>
        <v>1.65659261780692</v>
      </c>
      <c r="P38" s="9" t="str">
        <f>IF($A38="","",IF(O38="","",IF(ABS(O38)&gt;=Lookups!$K$12,"Anomaly","Normal")))</f>
        <v>Normal</v>
      </c>
      <c r="R38" s="43">
        <f>IF($C$4+8&gt;$R$25,"",$C$4+8)</f>
        <v>40552.0</v>
      </c>
      <c r="S38" s="30">
        <f>IF(R38="",NA(),IF(R38&gt;$C$5,NA(),IF(AND(R38=$C$5,$C$6&lt;23),NA(),SUMIFS(Clean_Data!$P$2:$P$1001,Clean_Data!$B$2:$B$1001,R38,Clean_Data!$V$2:$V$1001,1))))</f>
        <v>822</v>
      </c>
      <c r="T38" s="30">
        <f>IF(R38="",NA(),$C$9+$C$10*(R38-$C$4+1)+$C$11*IF(OR(WEEKDAY(R38)=1,WEEKDAY(R38)=7),1,0))</f>
        <v>1030.34534883721</v>
      </c>
      <c r="U38" s="30" t="e">
        <f>IF(R38="",NA(),IF(R38&lt;$R$19,NA(),T38-1.96*$C$13))</f>
        <v>#N/A</v>
      </c>
      <c r="V38" s="30" t="e">
        <f>IF(R38="",NA(),IF(R38&lt;$R$19,NA(),T38+1.96*$C$13))</f>
        <v>#N/A</v>
      </c>
    </row>
    <row r="39" spans="1:22" x14ac:dyDescent="0.25">
      <c r="A39" s="29">
        <f>IF(A38="","",IF(A38+1&gt;$C$5,"",A38+1))</f>
        <v>40564.0</v>
      </c>
      <c r="B39" s="9" t="str">
        <f>IF($A39="","",TEXT(A39,"ddd"))</f>
        <v>Fri</v>
      </c>
      <c r="C39" s="9" t="str">
        <f>IF($A39="","",IF(J39=1,"Weekend","Weekday"))</f>
        <v>Weekday</v>
      </c>
      <c r="D39" s="24">
        <f>IF($A39="","",COUNTIFS(Clean_Data!$B$2:$B$1001,$A39,Clean_Data!$V$2:$V$1001,1))</f>
        <v>24</v>
      </c>
      <c r="E39" s="30">
        <f>IF($A39="","",SUMIFS(Clean_Data!$P$2:$P$1001,Clean_Data!$B$2:$B$1001,$A39,Clean_Data!$V$2:$V$1001,1))</f>
        <v>1543</v>
      </c>
      <c r="F39" s="30">
        <f>IF($A39="","",SUMIFS(Clean_Data!$N$2:$N$1001,Clean_Data!$B$2:$B$1001,$A39,Clean_Data!$V$2:$V$1001,1))</f>
        <v>75</v>
      </c>
      <c r="G39" s="30">
        <f>IF($A39="","",SUMIFS(Clean_Data!$O$2:$O$1001,Clean_Data!$B$2:$B$1001,$A39,Clean_Data!$V$2:$V$1001,1))</f>
        <v>1468</v>
      </c>
      <c r="H39" s="15">
        <f>IF($A39="","",IFERROR(AVERAGEIFS(Clean_Data!$AD$2:$AD$1001,Clean_Data!$B$2:$B$1001,$A39,Clean_Data!$V$2:$V$1001,1),""))</f>
        <v>7.27083333333333</v>
      </c>
      <c r="I39" s="24">
        <f>IF($A39="","",IFERROR(AVERAGEIFS(Clean_Data!$AF$2:$AF$1001,Clean_Data!$B$2:$B$1001,$A39,Clean_Data!$V$2:$V$1001,1),""))</f>
        <v>45.7083333333333</v>
      </c>
      <c r="J39" s="24">
        <f>IF($A39="","",IF(OR(WEEKDAY(A39)=1,WEEKDAY(A39)=7),1,0))</f>
        <v>0</v>
      </c>
      <c r="K39" s="24">
        <f>IF($A39="","",A39-$C$4+1)</f>
        <v>21</v>
      </c>
      <c r="L39" s="9" t="str">
        <f>IF($A39="","",IF(AND(A39=$C$5,$C$6&lt;23),"Partial","Full"))</f>
        <v>Full</v>
      </c>
      <c r="M39" s="30">
        <f>IF($A39="","",$C$9+$C$10*K39+$C$11*J39)</f>
        <v>1398.00503875969</v>
      </c>
      <c r="N39" s="30">
        <f>IF($A39="","",IF(L39="Full",E39-M39,""))</f>
        <v>144.99496124031</v>
      </c>
      <c r="O39" s="40">
        <f>IF($A39="","",IF(N39="","",N39/$C$13))</f>
        <v>0.447598673200001</v>
      </c>
      <c r="P39" s="9" t="str">
        <f>IF($A39="","",IF(O39="","",IF(ABS(O39)&gt;=Lookups!$K$12,"Anomaly","Normal")))</f>
        <v>Normal</v>
      </c>
      <c r="R39" s="43">
        <f>IF($C$4+9&gt;$R$25,"",$C$4+9)</f>
        <v>40553.0</v>
      </c>
      <c r="S39" s="30">
        <f>IF(R39="",NA(),IF(R39&gt;$C$5,NA(),IF(AND(R39=$C$5,$C$6&lt;23),NA(),SUMIFS(Clean_Data!$P$2:$P$1001,Clean_Data!$B$2:$B$1001,R39,Clean_Data!$V$2:$V$1001,1))))</f>
        <v>1321</v>
      </c>
      <c r="T39" s="30">
        <f>IF(R39="",NA(),$C$9+$C$10*(R39-$C$4+1)+$C$11*IF(OR(WEEKDAY(R39)=1,WEEKDAY(R39)=7),1,0))</f>
        <v>1313.95310077519</v>
      </c>
      <c r="U39" s="30" t="e">
        <f>IF(R39="",NA(),IF(R39&lt;$R$19,NA(),T39-1.96*$C$13))</f>
        <v>#N/A</v>
      </c>
      <c r="V39" s="30" t="e">
        <f>IF(R39="",NA(),IF(R39&lt;$R$19,NA(),T39+1.96*$C$13))</f>
        <v>#N/A</v>
      </c>
    </row>
    <row r="40" spans="1:22" x14ac:dyDescent="0.25">
      <c r="A40" s="29">
        <f>IF(A39="","",IF(A39+1&gt;$C$5,"",A39+1))</f>
        <v>40565.0</v>
      </c>
      <c r="B40" s="9" t="str">
        <f>IF($A40="","",TEXT(A40,"ddd"))</f>
        <v>Sat</v>
      </c>
      <c r="C40" s="9" t="str">
        <f>IF($A40="","",IF(J40=1,"Weekend","Weekday"))</f>
        <v>Weekend</v>
      </c>
      <c r="D40" s="24">
        <f>IF($A40="","",COUNTIFS(Clean_Data!$B$2:$B$1001,$A40,Clean_Data!$V$2:$V$1001,1))</f>
        <v>23</v>
      </c>
      <c r="E40" s="30">
        <f>IF($A40="","",SUMIFS(Clean_Data!$P$2:$P$1001,Clean_Data!$B$2:$B$1001,$A40,Clean_Data!$V$2:$V$1001,1))</f>
        <v>981</v>
      </c>
      <c r="F40" s="30">
        <f>IF($A40="","",SUMIFS(Clean_Data!$N$2:$N$1001,Clean_Data!$B$2:$B$1001,$A40,Clean_Data!$V$2:$V$1001,1))</f>
        <v>93</v>
      </c>
      <c r="G40" s="30">
        <f>IF($A40="","",SUMIFS(Clean_Data!$O$2:$O$1001,Clean_Data!$B$2:$B$1001,$A40,Clean_Data!$V$2:$V$1001,1))</f>
        <v>888</v>
      </c>
      <c r="H40" s="15">
        <f>IF($A40="","",IFERROR(AVERAGEIFS(Clean_Data!$AD$2:$AD$1001,Clean_Data!$B$2:$B$1001,$A40,Clean_Data!$V$2:$V$1001,1),""))</f>
        <v>2.41739130434783</v>
      </c>
      <c r="I40" s="24">
        <f>IF($A40="","",IFERROR(AVERAGEIFS(Clean_Data!$AF$2:$AF$1001,Clean_Data!$B$2:$B$1001,$A40,Clean_Data!$V$2:$V$1001,1),""))</f>
        <v>40</v>
      </c>
      <c r="J40" s="24">
        <f>IF($A40="","",IF(OR(WEEKDAY(A40)=1,WEEKDAY(A40)=7),1,0))</f>
        <v>1</v>
      </c>
      <c r="K40" s="24">
        <f>IF($A40="","",A40-$C$4+1)</f>
        <v>22</v>
      </c>
      <c r="L40" s="9" t="str">
        <f>IF($A40="","",IF(AND(A40=$C$5,$C$6&lt;23),"Partial","Full"))</f>
        <v>Full</v>
      </c>
      <c r="M40" s="30">
        <f>IF($A40="","",$C$9+$C$10*K40+$C$11*J40)</f>
        <v>1129.67945736434</v>
      </c>
      <c r="N40" s="30">
        <f>IF($A40="","",IF(L40="Full",E40-M40,""))</f>
        <v>-148.679457364341</v>
      </c>
      <c r="O40" s="40">
        <f>IF($A40="","",IF(N40="","",N40/$C$13))</f>
        <v>-0.458972693113655</v>
      </c>
      <c r="P40" s="9" t="str">
        <f>IF($A40="","",IF(O40="","",IF(ABS(O40)&gt;=Lookups!$K$12,"Anomaly","Normal")))</f>
        <v>Normal</v>
      </c>
      <c r="R40" s="43">
        <f>IF($C$4+10&gt;$R$25,"",$C$4+10)</f>
        <v>40554.0</v>
      </c>
      <c r="S40" s="30">
        <f>IF(R40="",NA(),IF(R40&gt;$C$5,NA(),IF(AND(R40=$C$5,$C$6&lt;23),NA(),SUMIFS(Clean_Data!$P$2:$P$1001,Clean_Data!$B$2:$B$1001,R40,Clean_Data!$V$2:$V$1001,1))))</f>
        <v>1263</v>
      </c>
      <c r="T40" s="30">
        <f>IF(R40="",NA(),$C$9+$C$10*(R40-$C$4+1)+$C$11*IF(OR(WEEKDAY(R40)=1,WEEKDAY(R40)=7),1,0))</f>
        <v>1321.59418604651</v>
      </c>
      <c r="U40" s="30" t="e">
        <f>IF(R40="",NA(),IF(R40&lt;$R$19,NA(),T40-1.96*$C$13))</f>
        <v>#N/A</v>
      </c>
      <c r="V40" s="30" t="e">
        <f>IF(R40="",NA(),IF(R40&lt;$R$19,NA(),T40+1.96*$C$13))</f>
        <v>#N/A</v>
      </c>
    </row>
    <row r="41" spans="1:22" x14ac:dyDescent="0.25">
      <c r="A41" s="29">
        <f>IF(A40="","",IF(A40+1&gt;$C$5,"",A40+1))</f>
        <v>40566.0</v>
      </c>
      <c r="B41" s="9" t="str">
        <f>IF($A41="","",TEXT(A41,"ddd"))</f>
        <v>Sun</v>
      </c>
      <c r="C41" s="9" t="str">
        <f>IF($A41="","",IF(J41=1,"Weekend","Weekday"))</f>
        <v>Weekend</v>
      </c>
      <c r="D41" s="24">
        <f>IF($A41="","",COUNTIFS(Clean_Data!$B$2:$B$1001,$A41,Clean_Data!$V$2:$V$1001,1))</f>
        <v>23</v>
      </c>
      <c r="E41" s="30">
        <f>IF($A41="","",SUMIFS(Clean_Data!$P$2:$P$1001,Clean_Data!$B$2:$B$1001,$A41,Clean_Data!$V$2:$V$1001,1))</f>
        <v>986</v>
      </c>
      <c r="F41" s="30">
        <f>IF($A41="","",SUMIFS(Clean_Data!$N$2:$N$1001,Clean_Data!$B$2:$B$1001,$A41,Clean_Data!$V$2:$V$1001,1))</f>
        <v>150</v>
      </c>
      <c r="G41" s="30">
        <f>IF($A41="","",SUMIFS(Clean_Data!$O$2:$O$1001,Clean_Data!$B$2:$B$1001,$A41,Clean_Data!$V$2:$V$1001,1))</f>
        <v>836</v>
      </c>
      <c r="H41" s="15">
        <f>IF($A41="","",IFERROR(AVERAGEIFS(Clean_Data!$AD$2:$AD$1001,Clean_Data!$B$2:$B$1001,$A41,Clean_Data!$V$2:$V$1001,1),""))</f>
        <v>3.95217391304348</v>
      </c>
      <c r="I41" s="24">
        <f>IF($A41="","",IFERROR(AVERAGEIFS(Clean_Data!$AF$2:$AF$1001,Clean_Data!$B$2:$B$1001,$A41,Clean_Data!$V$2:$V$1001,1),""))</f>
        <v>43.6521739130435</v>
      </c>
      <c r="J41" s="24">
        <f>IF($A41="","",IF(OR(WEEKDAY(A41)=1,WEEKDAY(A41)=7),1,0))</f>
        <v>1</v>
      </c>
      <c r="K41" s="24">
        <f>IF($A41="","",A41-$C$4+1)</f>
        <v>23</v>
      </c>
      <c r="L41" s="9" t="str">
        <f>IF($A41="","",IF(AND(A41=$C$5,$C$6&lt;23),"Partial","Full"))</f>
        <v>Full</v>
      </c>
      <c r="M41" s="30">
        <f>IF($A41="","",$C$9+$C$10*K41+$C$11*J41)</f>
        <v>1137.32054263566</v>
      </c>
      <c r="N41" s="30">
        <f>IF($A41="","",IF(L41="Full",E41-M41,""))</f>
        <v>-151.320542635659</v>
      </c>
      <c r="O41" s="40">
        <f>IF($A41="","",IF(N41="","",N41/$C$13))</f>
        <v>-0.467125709281511</v>
      </c>
      <c r="P41" s="9" t="str">
        <f>IF($A41="","",IF(O41="","",IF(ABS(O41)&gt;=Lookups!$K$12,"Anomaly","Normal")))</f>
        <v>Normal</v>
      </c>
      <c r="R41" s="43">
        <f>IF($C$4+11&gt;$R$25,"",$C$4+11)</f>
        <v>40555.0</v>
      </c>
      <c r="S41" s="30">
        <f>IF(R41="",NA(),IF(R41&gt;$C$5,NA(),IF(AND(R41=$C$5,$C$6&lt;23),NA(),SUMIFS(Clean_Data!$P$2:$P$1001,Clean_Data!$B$2:$B$1001,R41,Clean_Data!$V$2:$V$1001,1))))</f>
        <v>1162</v>
      </c>
      <c r="T41" s="30">
        <f>IF(R41="",NA(),$C$9+$C$10*(R41-$C$4+1)+$C$11*IF(OR(WEEKDAY(R41)=1,WEEKDAY(R41)=7),1,0))</f>
        <v>1329.23527131783</v>
      </c>
      <c r="U41" s="30" t="e">
        <f>IF(R41="",NA(),IF(R41&lt;$R$19,NA(),T41-1.96*$C$13))</f>
        <v>#N/A</v>
      </c>
      <c r="V41" s="30" t="e">
        <f>IF(R41="",NA(),IF(R41&lt;$R$19,NA(),T41+1.96*$C$13))</f>
        <v>#N/A</v>
      </c>
    </row>
    <row r="42" spans="1:22" x14ac:dyDescent="0.25">
      <c r="A42" s="29">
        <f>IF(A41="","",IF(A41+1&gt;$C$5,"",A41+1))</f>
        <v>40567.0</v>
      </c>
      <c r="B42" s="9" t="str">
        <f>IF($A42="","",TEXT(A42,"ddd"))</f>
        <v>Mon</v>
      </c>
      <c r="C42" s="9" t="str">
        <f>IF($A42="","",IF(J42=1,"Weekend","Weekday"))</f>
        <v>Weekday</v>
      </c>
      <c r="D42" s="24">
        <f>IF($A42="","",COUNTIFS(Clean_Data!$B$2:$B$1001,$A42,Clean_Data!$V$2:$V$1001,1))</f>
        <v>23</v>
      </c>
      <c r="E42" s="30">
        <f>IF($A42="","",SUMIFS(Clean_Data!$P$2:$P$1001,Clean_Data!$B$2:$B$1001,$A42,Clean_Data!$V$2:$V$1001,1))</f>
        <v>1416</v>
      </c>
      <c r="F42" s="30">
        <f>IF($A42="","",SUMIFS(Clean_Data!$N$2:$N$1001,Clean_Data!$B$2:$B$1001,$A42,Clean_Data!$V$2:$V$1001,1))</f>
        <v>86</v>
      </c>
      <c r="G42" s="30">
        <f>IF($A42="","",SUMIFS(Clean_Data!$O$2:$O$1001,Clean_Data!$B$2:$B$1001,$A42,Clean_Data!$V$2:$V$1001,1))</f>
        <v>1330</v>
      </c>
      <c r="H42" s="15">
        <f>IF($A42="","",IFERROR(AVERAGEIFS(Clean_Data!$AD$2:$AD$1001,Clean_Data!$B$2:$B$1001,$A42,Clean_Data!$V$2:$V$1001,1),""))</f>
        <v>3.97826086956522</v>
      </c>
      <c r="I42" s="24">
        <f>IF($A42="","",IFERROR(AVERAGEIFS(Clean_Data!$AF$2:$AF$1001,Clean_Data!$B$2:$B$1001,$A42,Clean_Data!$V$2:$V$1001,1),""))</f>
        <v>49.1739130434783</v>
      </c>
      <c r="J42" s="24">
        <f>IF($A42="","",IF(OR(WEEKDAY(A42)=1,WEEKDAY(A42)=7),1,0))</f>
        <v>0</v>
      </c>
      <c r="K42" s="24">
        <f>IF($A42="","",A42-$C$4+1)</f>
        <v>24</v>
      </c>
      <c r="L42" s="9" t="str">
        <f>IF($A42="","",IF(AND(A42=$C$5,$C$6&lt;23),"Partial","Full"))</f>
        <v>Full</v>
      </c>
      <c r="M42" s="30">
        <f>IF($A42="","",$C$9+$C$10*K42+$C$11*J42)</f>
        <v>1420.92829457364</v>
      </c>
      <c r="N42" s="30">
        <f>IF($A42="","",IF(L42="Full",E42-M42,""))</f>
        <v>-4.92829457364337</v>
      </c>
      <c r="O42" s="40">
        <f>IF($A42="","",IF(N42="","",N42/$C$13))</f>
        <v>-0.0152136191039463</v>
      </c>
      <c r="P42" s="9" t="str">
        <f>IF($A42="","",IF(O42="","",IF(ABS(O42)&gt;=Lookups!$K$12,"Anomaly","Normal")))</f>
        <v>Normal</v>
      </c>
      <c r="R42" s="43">
        <f>IF($C$4+12&gt;$R$25,"",$C$4+12)</f>
        <v>40556.0</v>
      </c>
      <c r="S42" s="30">
        <f>IF(R42="",NA(),IF(R42&gt;$C$5,NA(),IF(AND(R42=$C$5,$C$6&lt;23),NA(),SUMIFS(Clean_Data!$P$2:$P$1001,Clean_Data!$B$2:$B$1001,R42,Clean_Data!$V$2:$V$1001,1))))</f>
        <v>1406</v>
      </c>
      <c r="T42" s="30">
        <f>IF(R42="",NA(),$C$9+$C$10*(R42-$C$4+1)+$C$11*IF(OR(WEEKDAY(R42)=1,WEEKDAY(R42)=7),1,0))</f>
        <v>1336.87635658915</v>
      </c>
      <c r="U42" s="30" t="e">
        <f>IF(R42="",NA(),IF(R42&lt;$R$19,NA(),T42-1.96*$C$13))</f>
        <v>#N/A</v>
      </c>
      <c r="V42" s="30" t="e">
        <f>IF(R42="",NA(),IF(R42&lt;$R$19,NA(),T42+1.96*$C$13))</f>
        <v>#N/A</v>
      </c>
    </row>
    <row r="43" spans="1:22" x14ac:dyDescent="0.25">
      <c r="A43" s="29">
        <f>IF(A42="","",IF(A42+1&gt;$C$5,"",A42+1))</f>
        <v>40568.0</v>
      </c>
      <c r="B43" s="9" t="str">
        <f>IF($A43="","",TEXT(A43,"ddd"))</f>
        <v>Tue</v>
      </c>
      <c r="C43" s="9" t="str">
        <f>IF($A43="","",IF(J43=1,"Weekend","Weekday"))</f>
        <v>Weekday</v>
      </c>
      <c r="D43" s="24">
        <f>IF($A43="","",COUNTIFS(Clean_Data!$B$2:$B$1001,$A43,Clean_Data!$V$2:$V$1001,1))</f>
        <v>23</v>
      </c>
      <c r="E43" s="30">
        <f>IF($A43="","",SUMIFS(Clean_Data!$P$2:$P$1001,Clean_Data!$B$2:$B$1001,$A43,Clean_Data!$V$2:$V$1001,1))</f>
        <v>1985</v>
      </c>
      <c r="F43" s="30">
        <f>IF($A43="","",SUMIFS(Clean_Data!$N$2:$N$1001,Clean_Data!$B$2:$B$1001,$A43,Clean_Data!$V$2:$V$1001,1))</f>
        <v>186</v>
      </c>
      <c r="G43" s="30">
        <f>IF($A43="","",SUMIFS(Clean_Data!$O$2:$O$1001,Clean_Data!$B$2:$B$1001,$A43,Clean_Data!$V$2:$V$1001,1))</f>
        <v>1799</v>
      </c>
      <c r="H43" s="15">
        <f>IF($A43="","",IFERROR(AVERAGEIFS(Clean_Data!$AD$2:$AD$1001,Clean_Data!$B$2:$B$1001,$A43,Clean_Data!$V$2:$V$1001,1),""))</f>
        <v>9.16521739130435</v>
      </c>
      <c r="I43" s="24">
        <f>IF($A43="","",IFERROR(AVERAGEIFS(Clean_Data!$AF$2:$AF$1001,Clean_Data!$B$2:$B$1001,$A43,Clean_Data!$V$2:$V$1001,1),""))</f>
        <v>61.6956521739131</v>
      </c>
      <c r="J43" s="24">
        <f>IF($A43="","",IF(OR(WEEKDAY(A43)=1,WEEKDAY(A43)=7),1,0))</f>
        <v>0</v>
      </c>
      <c r="K43" s="24">
        <f>IF($A43="","",A43-$C$4+1)</f>
        <v>25</v>
      </c>
      <c r="L43" s="9" t="str">
        <f>IF($A43="","",IF(AND(A43=$C$5,$C$6&lt;23),"Partial","Full"))</f>
        <v>Full</v>
      </c>
      <c r="M43" s="30">
        <f>IF($A43="","",$C$9+$C$10*K43+$C$11*J43)</f>
        <v>1428.56937984496</v>
      </c>
      <c r="N43" s="30">
        <f>IF($A43="","",IF(L43="Full",E43-M43,""))</f>
        <v>556.430620155039</v>
      </c>
      <c r="O43" s="40">
        <f>IF($A43="","",IF(N43="","",N43/$C$13))</f>
        <v>1.71769836123111</v>
      </c>
      <c r="P43" s="9" t="str">
        <f>IF($A43="","",IF(O43="","",IF(ABS(O43)&gt;=Lookups!$K$12,"Anomaly","Normal")))</f>
        <v>Normal</v>
      </c>
      <c r="R43" s="43">
        <f>IF($C$4+13&gt;$R$25,"",$C$4+13)</f>
        <v>40557.0</v>
      </c>
      <c r="S43" s="30">
        <f>IF(R43="",NA(),IF(R43&gt;$C$5,NA(),IF(AND(R43=$C$5,$C$6&lt;23),NA(),SUMIFS(Clean_Data!$P$2:$P$1001,Clean_Data!$B$2:$B$1001,R43,Clean_Data!$V$2:$V$1001,1))))</f>
        <v>1421</v>
      </c>
      <c r="T43" s="30">
        <f>IF(R43="",NA(),$C$9+$C$10*(R43-$C$4+1)+$C$11*IF(OR(WEEKDAY(R43)=1,WEEKDAY(R43)=7),1,0))</f>
        <v>1344.51744186047</v>
      </c>
      <c r="U43" s="30" t="e">
        <f>IF(R43="",NA(),IF(R43&lt;$R$19,NA(),T43-1.96*$C$13))</f>
        <v>#N/A</v>
      </c>
      <c r="V43" s="30" t="e">
        <f>IF(R43="",NA(),IF(R43&lt;$R$19,NA(),T43+1.96*$C$13))</f>
        <v>#N/A</v>
      </c>
    </row>
    <row r="44" spans="1:22" x14ac:dyDescent="0.25">
      <c r="A44" s="29">
        <f>IF(A43="","",IF(A43+1&gt;$C$5,"",A43+1))</f>
        <v>40569.0</v>
      </c>
      <c r="B44" s="9" t="str">
        <f>IF($A44="","",TEXT(A44,"ddd"))</f>
        <v>Wed</v>
      </c>
      <c r="C44" s="9" t="str">
        <f>IF($A44="","",IF(J44=1,"Weekend","Weekday"))</f>
        <v>Weekday</v>
      </c>
      <c r="D44" s="24">
        <f>IF($A44="","",COUNTIFS(Clean_Data!$B$2:$B$1001,$A44,Clean_Data!$V$2:$V$1001,1))</f>
        <v>16</v>
      </c>
      <c r="E44" s="30">
        <f>IF($A44="","",SUMIFS(Clean_Data!$P$2:$P$1001,Clean_Data!$B$2:$B$1001,$A44,Clean_Data!$V$2:$V$1001,1))</f>
        <v>506</v>
      </c>
      <c r="F44" s="30">
        <f>IF($A44="","",SUMIFS(Clean_Data!$N$2:$N$1001,Clean_Data!$B$2:$B$1001,$A44,Clean_Data!$V$2:$V$1001,1))</f>
        <v>34</v>
      </c>
      <c r="G44" s="30">
        <f>IF($A44="","",SUMIFS(Clean_Data!$O$2:$O$1001,Clean_Data!$B$2:$B$1001,$A44,Clean_Data!$V$2:$V$1001,1))</f>
        <v>472</v>
      </c>
      <c r="H44" s="15">
        <f>IF($A44="","",IFERROR(AVERAGEIFS(Clean_Data!$AD$2:$AD$1001,Clean_Data!$B$2:$B$1001,$A44,Clean_Data!$V$2:$V$1001,1),""))</f>
        <v>8.9</v>
      </c>
      <c r="I44" s="24">
        <f>IF($A44="","",IFERROR(AVERAGEIFS(Clean_Data!$AF$2:$AF$1001,Clean_Data!$B$2:$B$1001,$A44,Clean_Data!$V$2:$V$1001,1),""))</f>
        <v>86.25</v>
      </c>
      <c r="J44" s="24">
        <f>IF($A44="","",IF(OR(WEEKDAY(A44)=1,WEEKDAY(A44)=7),1,0))</f>
        <v>0</v>
      </c>
      <c r="K44" s="24">
        <f>IF($A44="","",A44-$C$4+1)</f>
        <v>26</v>
      </c>
      <c r="L44" s="9" t="str">
        <f>IF($A44="","",IF(AND(A44=$C$5,$C$6&lt;23),"Partial","Full"))</f>
        <v>Full</v>
      </c>
      <c r="M44" s="30">
        <f>IF($A44="","",$C$9+$C$10*K44+$C$11*J44)</f>
        <v>1436.21046511628</v>
      </c>
      <c r="N44" s="30">
        <f>IF($A44="","",IF(L44="Full",E44-M44,""))</f>
        <v>-930.210465116279</v>
      </c>
      <c r="O44" s="40">
        <f>IF($A44="","",IF(N44="","",N44/$C$13))</f>
        <v>-2.87155475211817</v>
      </c>
      <c r="P44" s="9" t="str">
        <f>IF($A44="","",IF(O44="","",IF(ABS(O44)&gt;=Lookups!$K$12,"Anomaly","Normal")))</f>
        <v>Anomaly</v>
      </c>
      <c r="R44" s="43">
        <f>IF($C$4+14&gt;$R$25,"",$C$4+14)</f>
        <v>40558.0</v>
      </c>
      <c r="S44" s="30">
        <f>IF(R44="",NA(),IF(R44&gt;$C$5,NA(),IF(AND(R44=$C$5,$C$6&lt;23),NA(),SUMIFS(Clean_Data!$P$2:$P$1001,Clean_Data!$B$2:$B$1001,R44,Clean_Data!$V$2:$V$1001,1))))</f>
        <v>1248</v>
      </c>
      <c r="T44" s="30">
        <f>IF(R44="",NA(),$C$9+$C$10*(R44-$C$4+1)+$C$11*IF(OR(WEEKDAY(R44)=1,WEEKDAY(R44)=7),1,0))</f>
        <v>1076.19186046512</v>
      </c>
      <c r="U44" s="30" t="e">
        <f>IF(R44="",NA(),IF(R44&lt;$R$19,NA(),T44-1.96*$C$13))</f>
        <v>#N/A</v>
      </c>
      <c r="V44" s="30" t="e">
        <f>IF(R44="",NA(),IF(R44&lt;$R$19,NA(),T44+1.96*$C$13))</f>
        <v>#N/A</v>
      </c>
    </row>
    <row r="45" spans="1:22" x14ac:dyDescent="0.25">
      <c r="A45" s="29">
        <f>IF(A44="","",IF(A44+1&gt;$C$5,"",A44+1))</f>
        <v>40570.0</v>
      </c>
      <c r="B45" s="9" t="str">
        <f>IF($A45="","",TEXT(A45,"ddd"))</f>
        <v>Thu</v>
      </c>
      <c r="C45" s="9" t="str">
        <f>IF($A45="","",IF(J45=1,"Weekend","Weekday"))</f>
        <v>Weekday</v>
      </c>
      <c r="D45" s="24">
        <f>IF($A45="","",COUNTIFS(Clean_Data!$B$2:$B$1001,$A45,Clean_Data!$V$2:$V$1001,1))</f>
        <v>8</v>
      </c>
      <c r="E45" s="30">
        <f>IF($A45="","",SUMIFS(Clean_Data!$P$2:$P$1001,Clean_Data!$B$2:$B$1001,$A45,Clean_Data!$V$2:$V$1001,1))</f>
        <v>431</v>
      </c>
      <c r="F45" s="30">
        <f>IF($A45="","",SUMIFS(Clean_Data!$N$2:$N$1001,Clean_Data!$B$2:$B$1001,$A45,Clean_Data!$V$2:$V$1001,1))</f>
        <v>15</v>
      </c>
      <c r="G45" s="30">
        <f>IF($A45="","",SUMIFS(Clean_Data!$O$2:$O$1001,Clean_Data!$B$2:$B$1001,$A45,Clean_Data!$V$2:$V$1001,1))</f>
        <v>416</v>
      </c>
      <c r="H45" s="15">
        <f>IF($A45="","",IFERROR(AVERAGEIFS(Clean_Data!$AD$2:$AD$1001,Clean_Data!$B$2:$B$1001,$A45,Clean_Data!$V$2:$V$1001,1),""))</f>
        <v>8</v>
      </c>
      <c r="I45" s="24">
        <f>IF($A45="","",IFERROR(AVERAGEIFS(Clean_Data!$AF$2:$AF$1001,Clean_Data!$B$2:$B$1001,$A45,Clean_Data!$V$2:$V$1001,1),""))</f>
        <v>68.75</v>
      </c>
      <c r="J45" s="24">
        <f>IF($A45="","",IF(OR(WEEKDAY(A45)=1,WEEKDAY(A45)=7),1,0))</f>
        <v>0</v>
      </c>
      <c r="K45" s="24">
        <f>IF($A45="","",A45-$C$4+1)</f>
        <v>27</v>
      </c>
      <c r="L45" s="9" t="str">
        <f>IF($A45="","",IF(AND(A45=$C$5,$C$6&lt;23),"Partial","Full"))</f>
        <v>Full</v>
      </c>
      <c r="M45" s="30">
        <f>IF($A45="","",$C$9+$C$10*K45+$C$11*J45)</f>
        <v>1443.8515503876</v>
      </c>
      <c r="N45" s="30">
        <f>IF($A45="","",IF(L45="Full",E45-M45,""))</f>
        <v>-1012.8515503876</v>
      </c>
      <c r="O45" s="40">
        <f>IF($A45="","",IF(N45="","",N45/$C$13))</f>
        <v>-3.12666734225807</v>
      </c>
      <c r="P45" s="9" t="str">
        <f>IF($A45="","",IF(O45="","",IF(ABS(O45)&gt;=Lookups!$K$12,"Anomaly","Normal")))</f>
        <v>Anomaly</v>
      </c>
      <c r="R45" s="43">
        <f>IF($C$4+15&gt;$R$25,"",$C$4+15)</f>
        <v>40559.0</v>
      </c>
      <c r="S45" s="30">
        <f>IF(R45="",NA(),IF(R45&gt;$C$5,NA(),IF(AND(R45=$C$5,$C$6&lt;23),NA(),SUMIFS(Clean_Data!$P$2:$P$1001,Clean_Data!$B$2:$B$1001,R45,Clean_Data!$V$2:$V$1001,1))))</f>
        <v>1204</v>
      </c>
      <c r="T45" s="30">
        <f>IF(R45="",NA(),$C$9+$C$10*(R45-$C$4+1)+$C$11*IF(OR(WEEKDAY(R45)=1,WEEKDAY(R45)=7),1,0))</f>
        <v>1083.83294573643</v>
      </c>
      <c r="U45" s="30" t="e">
        <f>IF(R45="",NA(),IF(R45&lt;$R$19,NA(),T45-1.96*$C$13))</f>
        <v>#N/A</v>
      </c>
      <c r="V45" s="30" t="e">
        <f>IF(R45="",NA(),IF(R45&lt;$R$19,NA(),T45+1.96*$C$13))</f>
        <v>#N/A</v>
      </c>
    </row>
    <row r="46" spans="1:22" x14ac:dyDescent="0.25">
      <c r="A46" s="29">
        <f>IF(A45="","",IF(A45+1&gt;$C$5,"",A45+1))</f>
        <v>40571.0</v>
      </c>
      <c r="B46" s="9" t="str">
        <f>IF($A46="","",TEXT(A46,"ddd"))</f>
        <v>Fri</v>
      </c>
      <c r="C46" s="9" t="str">
        <f>IF($A46="","",IF(J46=1,"Weekend","Weekday"))</f>
        <v>Weekday</v>
      </c>
      <c r="D46" s="24">
        <f>IF($A46="","",COUNTIFS(Clean_Data!$B$2:$B$1001,$A46,Clean_Data!$V$2:$V$1001,1))</f>
        <v>23</v>
      </c>
      <c r="E46" s="30">
        <f>IF($A46="","",SUMIFS(Clean_Data!$P$2:$P$1001,Clean_Data!$B$2:$B$1001,$A46,Clean_Data!$V$2:$V$1001,1))</f>
        <v>1167</v>
      </c>
      <c r="F46" s="30">
        <f>IF($A46="","",SUMIFS(Clean_Data!$N$2:$N$1001,Clean_Data!$B$2:$B$1001,$A46,Clean_Data!$V$2:$V$1001,1))</f>
        <v>38</v>
      </c>
      <c r="G46" s="30">
        <f>IF($A46="","",SUMIFS(Clean_Data!$O$2:$O$1001,Clean_Data!$B$2:$B$1001,$A46,Clean_Data!$V$2:$V$1001,1))</f>
        <v>1129</v>
      </c>
      <c r="H46" s="15">
        <f>IF($A46="","",IFERROR(AVERAGEIFS(Clean_Data!$AD$2:$AD$1001,Clean_Data!$B$2:$B$1001,$A46,Clean_Data!$V$2:$V$1001,1),""))</f>
        <v>8.33913043478261</v>
      </c>
      <c r="I46" s="24">
        <f>IF($A46="","",IFERROR(AVERAGEIFS(Clean_Data!$AF$2:$AF$1001,Clean_Data!$B$2:$B$1001,$A46,Clean_Data!$V$2:$V$1001,1),""))</f>
        <v>79.304347826087</v>
      </c>
      <c r="J46" s="24">
        <f>IF($A46="","",IF(OR(WEEKDAY(A46)=1,WEEKDAY(A46)=7),1,0))</f>
        <v>0</v>
      </c>
      <c r="K46" s="24">
        <f>IF($A46="","",A46-$C$4+1)</f>
        <v>28</v>
      </c>
      <c r="L46" s="9" t="str">
        <f>IF($A46="","",IF(AND(A46=$C$5,$C$6&lt;23),"Partial","Full"))</f>
        <v>Full</v>
      </c>
      <c r="M46" s="30">
        <f>IF($A46="","",$C$9+$C$10*K46+$C$11*J46)</f>
        <v>1451.49263565891</v>
      </c>
      <c r="N46" s="30">
        <f>IF($A46="","",IF(L46="Full",E46-M46,""))</f>
        <v>-284.492635658915</v>
      </c>
      <c r="O46" s="40">
        <f>IF($A46="","",IF(N46="","",N46/$C$13))</f>
        <v>-0.878227251256369</v>
      </c>
      <c r="P46" s="9" t="str">
        <f>IF($A46="","",IF(O46="","",IF(ABS(O46)&gt;=Lookups!$K$12,"Anomaly","Normal")))</f>
        <v>Normal</v>
      </c>
      <c r="R46" s="43">
        <f>IF($C$4+16&gt;$R$25,"",$C$4+16)</f>
        <v>40560.0</v>
      </c>
      <c r="S46" s="30">
        <f>IF(R46="",NA(),IF(R46&gt;$C$5,NA(),IF(AND(R46=$C$5,$C$6&lt;23),NA(),SUMIFS(Clean_Data!$P$2:$P$1001,Clean_Data!$B$2:$B$1001,R46,Clean_Data!$V$2:$V$1001,1))))</f>
        <v>1000</v>
      </c>
      <c r="T46" s="30">
        <f>IF(R46="",NA(),$C$9+$C$10*(R46-$C$4+1)+$C$11*IF(OR(WEEKDAY(R46)=1,WEEKDAY(R46)=7),1,0))</f>
        <v>1367.44069767442</v>
      </c>
      <c r="U46" s="30" t="e">
        <f>IF(R46="",NA(),IF(R46&lt;$R$19,NA(),T46-1.96*$C$13))</f>
        <v>#N/A</v>
      </c>
      <c r="V46" s="30" t="e">
        <f>IF(R46="",NA(),IF(R46&lt;$R$19,NA(),T46+1.96*$C$13))</f>
        <v>#N/A</v>
      </c>
    </row>
    <row r="47" spans="1:22" x14ac:dyDescent="0.25">
      <c r="A47" s="29">
        <f>IF(A46="","",IF(A46+1&gt;$C$5,"",A46+1))</f>
        <v>40572.0</v>
      </c>
      <c r="B47" s="9" t="str">
        <f>IF($A47="","",TEXT(A47,"ddd"))</f>
        <v>Sat</v>
      </c>
      <c r="C47" s="9" t="str">
        <f>IF($A47="","",IF(J47=1,"Weekend","Weekday"))</f>
        <v>Weekend</v>
      </c>
      <c r="D47" s="24">
        <f>IF($A47="","",COUNTIFS(Clean_Data!$B$2:$B$1001,$A47,Clean_Data!$V$2:$V$1001,1))</f>
        <v>23</v>
      </c>
      <c r="E47" s="30">
        <f>IF($A47="","",SUMIFS(Clean_Data!$P$2:$P$1001,Clean_Data!$B$2:$B$1001,$A47,Clean_Data!$V$2:$V$1001,1))</f>
        <v>1098</v>
      </c>
      <c r="F47" s="30">
        <f>IF($A47="","",SUMIFS(Clean_Data!$N$2:$N$1001,Clean_Data!$B$2:$B$1001,$A47,Clean_Data!$V$2:$V$1001,1))</f>
        <v>123</v>
      </c>
      <c r="G47" s="30">
        <f>IF($A47="","",SUMIFS(Clean_Data!$O$2:$O$1001,Clean_Data!$B$2:$B$1001,$A47,Clean_Data!$V$2:$V$1001,1))</f>
        <v>975</v>
      </c>
      <c r="H47" s="15">
        <f>IF($A47="","",IFERROR(AVERAGEIFS(Clean_Data!$AD$2:$AD$1001,Clean_Data!$B$2:$B$1001,$A47,Clean_Data!$V$2:$V$1001,1),""))</f>
        <v>8.06086956521739</v>
      </c>
      <c r="I47" s="24">
        <f>IF($A47="","",IFERROR(AVERAGEIFS(Clean_Data!$AF$2:$AF$1001,Clean_Data!$B$2:$B$1001,$A47,Clean_Data!$V$2:$V$1001,1),""))</f>
        <v>65.1739130434783</v>
      </c>
      <c r="J47" s="24">
        <f>IF($A47="","",IF(OR(WEEKDAY(A47)=1,WEEKDAY(A47)=7),1,0))</f>
        <v>1</v>
      </c>
      <c r="K47" s="24">
        <f>IF($A47="","",A47-$C$4+1)</f>
        <v>29</v>
      </c>
      <c r="L47" s="9" t="str">
        <f>IF($A47="","",IF(AND(A47=$C$5,$C$6&lt;23),"Partial","Full"))</f>
        <v>Full</v>
      </c>
      <c r="M47" s="30">
        <f>IF($A47="","",$C$9+$C$10*K47+$C$11*J47)</f>
        <v>1183.16705426357</v>
      </c>
      <c r="N47" s="30">
        <f>IF($A47="","",IF(L47="Full",E47-M47,""))</f>
        <v>-85.1670542635661</v>
      </c>
      <c r="O47" s="40">
        <f>IF($A47="","",IF(N47="","",N47/$C$13))</f>
        <v>-0.262910242967303</v>
      </c>
      <c r="P47" s="9" t="str">
        <f>IF($A47="","",IF(O47="","",IF(ABS(O47)&gt;=Lookups!$K$12,"Anomaly","Normal")))</f>
        <v>Normal</v>
      </c>
      <c r="R47" s="43">
        <f>IF($C$4+17&gt;$R$25,"",$C$4+17)</f>
        <v>40561.0</v>
      </c>
      <c r="S47" s="30">
        <f>IF(R47="",NA(),IF(R47&gt;$C$5,NA(),IF(AND(R47=$C$5,$C$6&lt;23),NA(),SUMIFS(Clean_Data!$P$2:$P$1001,Clean_Data!$B$2:$B$1001,R47,Clean_Data!$V$2:$V$1001,1))))</f>
        <v>683</v>
      </c>
      <c r="T47" s="30">
        <f>IF(R47="",NA(),$C$9+$C$10*(R47-$C$4+1)+$C$11*IF(OR(WEEKDAY(R47)=1,WEEKDAY(R47)=7),1,0))</f>
        <v>1375.08178294574</v>
      </c>
      <c r="U47" s="30" t="e">
        <f>IF(R47="",NA(),IF(R47&lt;$R$19,NA(),T47-1.96*$C$13))</f>
        <v>#N/A</v>
      </c>
      <c r="V47" s="30" t="e">
        <f>IF(R47="",NA(),IF(R47&lt;$R$19,NA(),T47+1.96*$C$13))</f>
        <v>#N/A</v>
      </c>
    </row>
    <row r="48" spans="1:22" x14ac:dyDescent="0.25">
      <c r="A48" s="29">
        <f>IF(A47="","",IF(A47+1&gt;$C$5,"",A47+1))</f>
        <v>40573.0</v>
      </c>
      <c r="B48" s="9" t="str">
        <f>IF($A48="","",TEXT(A48,"ddd"))</f>
        <v>Sun</v>
      </c>
      <c r="C48" s="9" t="str">
        <f>IF($A48="","",IF(J48=1,"Weekend","Weekday"))</f>
        <v>Weekend</v>
      </c>
      <c r="D48" s="24">
        <f>IF($A48="","",COUNTIFS(Clean_Data!$B$2:$B$1001,$A48,Clean_Data!$V$2:$V$1001,1))</f>
        <v>23</v>
      </c>
      <c r="E48" s="30">
        <f>IF($A48="","",SUMIFS(Clean_Data!$P$2:$P$1001,Clean_Data!$B$2:$B$1001,$A48,Clean_Data!$V$2:$V$1001,1))</f>
        <v>1096</v>
      </c>
      <c r="F48" s="30">
        <f>IF($A48="","",SUMIFS(Clean_Data!$N$2:$N$1001,Clean_Data!$B$2:$B$1001,$A48,Clean_Data!$V$2:$V$1001,1))</f>
        <v>140</v>
      </c>
      <c r="G48" s="30">
        <f>IF($A48="","",SUMIFS(Clean_Data!$O$2:$O$1001,Clean_Data!$B$2:$B$1001,$A48,Clean_Data!$V$2:$V$1001,1))</f>
        <v>956</v>
      </c>
      <c r="H48" s="15">
        <f>IF($A48="","",IFERROR(AVERAGEIFS(Clean_Data!$AD$2:$AD$1001,Clean_Data!$B$2:$B$1001,$A48,Clean_Data!$V$2:$V$1001,1),""))</f>
        <v>8.87391304347826</v>
      </c>
      <c r="I48" s="24">
        <f>IF($A48="","",IFERROR(AVERAGEIFS(Clean_Data!$AF$2:$AF$1001,Clean_Data!$B$2:$B$1001,$A48,Clean_Data!$V$2:$V$1001,1),""))</f>
        <v>72.2173913043478</v>
      </c>
      <c r="J48" s="24">
        <f>IF($A48="","",IF(OR(WEEKDAY(A48)=1,WEEKDAY(A48)=7),1,0))</f>
        <v>1</v>
      </c>
      <c r="K48" s="24">
        <f>IF($A48="","",A48-$C$4+1)</f>
        <v>30</v>
      </c>
      <c r="L48" s="9" t="str">
        <f>IF($A48="","",IF(AND(A48=$C$5,$C$6&lt;23),"Partial","Full"))</f>
        <v>Full</v>
      </c>
      <c r="M48" s="30">
        <f>IF($A48="","",$C$9+$C$10*K48+$C$11*J48)</f>
        <v>1190.80813953488</v>
      </c>
      <c r="N48" s="30">
        <f>IF($A48="","",IF(L48="Full",E48-M48,""))</f>
        <v>-94.8081395348836</v>
      </c>
      <c r="O48" s="40">
        <f>IF($A48="","",IF(N48="","",N48/$C$13))</f>
        <v>-0.292672221857712</v>
      </c>
      <c r="P48" s="9" t="str">
        <f>IF($A48="","",IF(O48="","",IF(ABS(O48)&gt;=Lookups!$K$12,"Anomaly","Normal")))</f>
        <v>Normal</v>
      </c>
      <c r="R48" s="43">
        <f>IF($C$4+18&gt;$R$25,"",$C$4+18)</f>
        <v>40562.0</v>
      </c>
      <c r="S48" s="30">
        <f>IF(R48="",NA(),IF(R48&gt;$C$5,NA(),IF(AND(R48=$C$5,$C$6&lt;23),NA(),SUMIFS(Clean_Data!$P$2:$P$1001,Clean_Data!$B$2:$B$1001,R48,Clean_Data!$V$2:$V$1001,1))))</f>
        <v>1650</v>
      </c>
      <c r="T48" s="30">
        <f>IF(R48="",NA(),$C$9+$C$10*(R48-$C$4+1)+$C$11*IF(OR(WEEKDAY(R48)=1,WEEKDAY(R48)=7),1,0))</f>
        <v>1382.72286821705</v>
      </c>
      <c r="U48" s="30" t="e">
        <f>IF(R48="",NA(),IF(R48&lt;$R$19,NA(),T48-1.96*$C$13))</f>
        <v>#N/A</v>
      </c>
      <c r="V48" s="30" t="e">
        <f>IF(R48="",NA(),IF(R48&lt;$R$19,NA(),T48+1.96*$C$13))</f>
        <v>#N/A</v>
      </c>
    </row>
    <row r="49" spans="1:22" x14ac:dyDescent="0.25">
      <c r="A49" s="29">
        <f>IF(A48="","",IF(A48+1&gt;$C$5,"",A48+1))</f>
        <v>40574.0</v>
      </c>
      <c r="B49" s="9" t="str">
        <f>IF($A49="","",TEXT(A49,"ddd"))</f>
        <v>Mon</v>
      </c>
      <c r="C49" s="9" t="str">
        <f>IF($A49="","",IF(J49=1,"Weekend","Weekday"))</f>
        <v>Weekday</v>
      </c>
      <c r="D49" s="24">
        <f>IF($A49="","",COUNTIFS(Clean_Data!$B$2:$B$1001,$A49,Clean_Data!$V$2:$V$1001,1))</f>
        <v>24</v>
      </c>
      <c r="E49" s="30">
        <f>IF($A49="","",SUMIFS(Clean_Data!$P$2:$P$1001,Clean_Data!$B$2:$B$1001,$A49,Clean_Data!$V$2:$V$1001,1))</f>
        <v>1501</v>
      </c>
      <c r="F49" s="30">
        <f>IF($A49="","",SUMIFS(Clean_Data!$N$2:$N$1001,Clean_Data!$B$2:$B$1001,$A49,Clean_Data!$V$2:$V$1001,1))</f>
        <v>42</v>
      </c>
      <c r="G49" s="30">
        <f>IF($A49="","",SUMIFS(Clean_Data!$O$2:$O$1001,Clean_Data!$B$2:$B$1001,$A49,Clean_Data!$V$2:$V$1001,1))</f>
        <v>1459</v>
      </c>
      <c r="H49" s="15">
        <f>IF($A49="","",IFERROR(AVERAGEIFS(Clean_Data!$AD$2:$AD$1001,Clean_Data!$B$2:$B$1001,$A49,Clean_Data!$V$2:$V$1001,1),""))</f>
        <v>7.4375</v>
      </c>
      <c r="I49" s="24">
        <f>IF($A49="","",IFERROR(AVERAGEIFS(Clean_Data!$AF$2:$AF$1001,Clean_Data!$B$2:$B$1001,$A49,Clean_Data!$V$2:$V$1001,1),""))</f>
        <v>60.375</v>
      </c>
      <c r="J49" s="24">
        <f>IF($A49="","",IF(OR(WEEKDAY(A49)=1,WEEKDAY(A49)=7),1,0))</f>
        <v>0</v>
      </c>
      <c r="K49" s="24">
        <f>IF($A49="","",A49-$C$4+1)</f>
        <v>31</v>
      </c>
      <c r="L49" s="9" t="str">
        <f>IF($A49="","",IF(AND(A49=$C$5,$C$6&lt;23),"Partial","Full"))</f>
        <v>Full</v>
      </c>
      <c r="M49" s="30">
        <f>IF($A49="","",$C$9+$C$10*K49+$C$11*J49)</f>
        <v>1474.41589147287</v>
      </c>
      <c r="N49" s="30">
        <f>IF($A49="","",IF(L49="Full",E49-M49,""))</f>
        <v>26.5841085271318</v>
      </c>
      <c r="O49" s="40">
        <f>IF($A49="","",IF(N49="","",N49/$C$13))</f>
        <v>0.0820650014535881</v>
      </c>
      <c r="P49" s="9" t="str">
        <f>IF($A49="","",IF(O49="","",IF(ABS(O49)&gt;=Lookups!$K$12,"Anomaly","Normal")))</f>
        <v>Normal</v>
      </c>
      <c r="R49" s="43">
        <f>IF($C$4+19&gt;$R$25,"",$C$4+19)</f>
        <v>40563.0</v>
      </c>
      <c r="S49" s="30">
        <f>IF(R49="",NA(),IF(R49&gt;$C$5,NA(),IF(AND(R49=$C$5,$C$6&lt;23),NA(),SUMIFS(Clean_Data!$P$2:$P$1001,Clean_Data!$B$2:$B$1001,R49,Clean_Data!$V$2:$V$1001,1))))</f>
        <v>1927</v>
      </c>
      <c r="T49" s="30">
        <f>IF(R49="",NA(),$C$9+$C$10*(R49-$C$4+1)+$C$11*IF(OR(WEEKDAY(R49)=1,WEEKDAY(R49)=7),1,0))</f>
        <v>1390.36395348837</v>
      </c>
      <c r="U49" s="30" t="e">
        <f>IF(R49="",NA(),IF(R49&lt;$R$19,NA(),T49-1.96*$C$13))</f>
        <v>#N/A</v>
      </c>
      <c r="V49" s="30" t="e">
        <f>IF(R49="",NA(),IF(R49&lt;$R$19,NA(),T49+1.96*$C$13))</f>
        <v>#N/A</v>
      </c>
    </row>
    <row r="50" spans="1:22" x14ac:dyDescent="0.25">
      <c r="A50" s="29">
        <f>IF(A49="","",IF(A49+1&gt;$C$5,"",A49+1))</f>
        <v>40575.0</v>
      </c>
      <c r="B50" s="9" t="str">
        <f>IF($A50="","",TEXT(A50,"ddd"))</f>
        <v>Tue</v>
      </c>
      <c r="C50" s="9" t="str">
        <f>IF($A50="","",IF(J50=1,"Weekend","Weekday"))</f>
        <v>Weekday</v>
      </c>
      <c r="D50" s="24">
        <f>IF($A50="","",COUNTIFS(Clean_Data!$B$2:$B$1001,$A50,Clean_Data!$V$2:$V$1001,1))</f>
        <v>23</v>
      </c>
      <c r="E50" s="30">
        <f>IF($A50="","",SUMIFS(Clean_Data!$P$2:$P$1001,Clean_Data!$B$2:$B$1001,$A50,Clean_Data!$V$2:$V$1001,1))</f>
        <v>1360</v>
      </c>
      <c r="F50" s="30">
        <f>IF($A50="","",SUMIFS(Clean_Data!$N$2:$N$1001,Clean_Data!$B$2:$B$1001,$A50,Clean_Data!$V$2:$V$1001,1))</f>
        <v>47</v>
      </c>
      <c r="G50" s="30">
        <f>IF($A50="","",SUMIFS(Clean_Data!$O$2:$O$1001,Clean_Data!$B$2:$B$1001,$A50,Clean_Data!$V$2:$V$1001,1))</f>
        <v>1313</v>
      </c>
      <c r="H50" s="15">
        <f>IF($A50="","",IFERROR(AVERAGEIFS(Clean_Data!$AD$2:$AD$1001,Clean_Data!$B$2:$B$1001,$A50,Clean_Data!$V$2:$V$1001,1),""))</f>
        <v>7.87826086956522</v>
      </c>
      <c r="I50" s="24">
        <f>IF($A50="","",IFERROR(AVERAGEIFS(Clean_Data!$AF$2:$AF$1001,Clean_Data!$B$2:$B$1001,$A50,Clean_Data!$V$2:$V$1001,1),""))</f>
        <v>82.9565217391304</v>
      </c>
      <c r="J50" s="24">
        <f>IF($A50="","",IF(OR(WEEKDAY(A50)=1,WEEKDAY(A50)=7),1,0))</f>
        <v>0</v>
      </c>
      <c r="K50" s="24">
        <f>IF($A50="","",A50-$C$4+1)</f>
        <v>32</v>
      </c>
      <c r="L50" s="9" t="str">
        <f>IF($A50="","",IF(AND(A50=$C$5,$C$6&lt;23),"Partial","Full"))</f>
        <v>Full</v>
      </c>
      <c r="M50" s="30">
        <f>IF($A50="","",$C$9+$C$10*K50+$C$11*J50)</f>
        <v>1482.05697674419</v>
      </c>
      <c r="N50" s="30">
        <f>IF($A50="","",IF(L50="Full",E50-M50,""))</f>
        <v>-122.056976744186</v>
      </c>
      <c r="O50" s="40">
        <f>IF($A50="","",IF(N50="","",N50/$C$13))</f>
        <v>-0.376789237213248</v>
      </c>
      <c r="P50" s="9" t="str">
        <f>IF($A50="","",IF(O50="","",IF(ABS(O50)&gt;=Lookups!$K$12,"Anomaly","Normal")))</f>
        <v>Normal</v>
      </c>
      <c r="R50" s="43">
        <f>IF($C$4+20&gt;$R$25,"",$C$4+20)</f>
        <v>40564.0</v>
      </c>
      <c r="S50" s="30">
        <f>IF(R50="",NA(),IF(R50&gt;$C$5,NA(),IF(AND(R50=$C$5,$C$6&lt;23),NA(),SUMIFS(Clean_Data!$P$2:$P$1001,Clean_Data!$B$2:$B$1001,R50,Clean_Data!$V$2:$V$1001,1))))</f>
        <v>1543</v>
      </c>
      <c r="T50" s="30">
        <f>IF(R50="",NA(),$C$9+$C$10*(R50-$C$4+1)+$C$11*IF(OR(WEEKDAY(R50)=1,WEEKDAY(R50)=7),1,0))</f>
        <v>1398.00503875969</v>
      </c>
      <c r="U50" s="30" t="e">
        <f>IF(R50="",NA(),IF(R50&lt;$R$19,NA(),T50-1.96*$C$13))</f>
        <v>#N/A</v>
      </c>
      <c r="V50" s="30" t="e">
        <f>IF(R50="",NA(),IF(R50&lt;$R$19,NA(),T50+1.96*$C$13))</f>
        <v>#N/A</v>
      </c>
    </row>
    <row r="51" spans="1:22" x14ac:dyDescent="0.25">
      <c r="A51" s="29">
        <f>IF(A50="","",IF(A50+1&gt;$C$5,"",A50+1))</f>
        <v>40576.0</v>
      </c>
      <c r="B51" s="9" t="str">
        <f>IF($A51="","",TEXT(A51,"ddd"))</f>
        <v>Wed</v>
      </c>
      <c r="C51" s="9" t="str">
        <f>IF($A51="","",IF(J51=1,"Weekend","Weekday"))</f>
        <v>Weekday</v>
      </c>
      <c r="D51" s="24">
        <f>IF($A51="","",COUNTIFS(Clean_Data!$B$2:$B$1001,$A51,Clean_Data!$V$2:$V$1001,1))</f>
        <v>24</v>
      </c>
      <c r="E51" s="30">
        <f>IF($A51="","",SUMIFS(Clean_Data!$P$2:$P$1001,Clean_Data!$B$2:$B$1001,$A51,Clean_Data!$V$2:$V$1001,1))</f>
        <v>1526</v>
      </c>
      <c r="F51" s="30">
        <f>IF($A51="","",SUMIFS(Clean_Data!$N$2:$N$1001,Clean_Data!$B$2:$B$1001,$A51,Clean_Data!$V$2:$V$1001,1))</f>
        <v>72</v>
      </c>
      <c r="G51" s="30">
        <f>IF($A51="","",SUMIFS(Clean_Data!$O$2:$O$1001,Clean_Data!$B$2:$B$1001,$A51,Clean_Data!$V$2:$V$1001,1))</f>
        <v>1454</v>
      </c>
      <c r="H51" s="15">
        <f>IF($A51="","",IFERROR(AVERAGEIFS(Clean_Data!$AD$2:$AD$1001,Clean_Data!$B$2:$B$1001,$A51,Clean_Data!$V$2:$V$1001,1),""))</f>
        <v>10.6458333333333</v>
      </c>
      <c r="I51" s="24">
        <f>IF($A51="","",IFERROR(AVERAGEIFS(Clean_Data!$AF$2:$AF$1001,Clean_Data!$B$2:$B$1001,$A51,Clean_Data!$V$2:$V$1001,1),""))</f>
        <v>77.5416666666667</v>
      </c>
      <c r="J51" s="24">
        <f>IF($A51="","",IF(OR(WEEKDAY(A51)=1,WEEKDAY(A51)=7),1,0))</f>
        <v>0</v>
      </c>
      <c r="K51" s="24">
        <f>IF($A51="","",A51-$C$4+1)</f>
        <v>33</v>
      </c>
      <c r="L51" s="9" t="str">
        <f>IF($A51="","",IF(AND(A51=$C$5,$C$6&lt;23),"Partial","Full"))</f>
        <v>Full</v>
      </c>
      <c r="M51" s="30">
        <f>IF($A51="","",$C$9+$C$10*K51+$C$11*J51)</f>
        <v>1489.6980620155</v>
      </c>
      <c r="N51" s="30">
        <f>IF($A51="","",IF(L51="Full",E51-M51,""))</f>
        <v>36.3019379844961</v>
      </c>
      <c r="O51" s="40">
        <f>IF($A51="","",IF(N51="","",N51/$C$13))</f>
        <v>0.112063889237634</v>
      </c>
      <c r="P51" s="9" t="str">
        <f>IF($A51="","",IF(O51="","",IF(ABS(O51)&gt;=Lookups!$K$12,"Anomaly","Normal")))</f>
        <v>Normal</v>
      </c>
      <c r="R51" s="43">
        <f>IF($C$4+21&gt;$R$25,"",$C$4+21)</f>
        <v>40565.0</v>
      </c>
      <c r="S51" s="30">
        <f>IF(R51="",NA(),IF(R51&gt;$C$5,NA(),IF(AND(R51=$C$5,$C$6&lt;23),NA(),SUMIFS(Clean_Data!$P$2:$P$1001,Clean_Data!$B$2:$B$1001,R51,Clean_Data!$V$2:$V$1001,1))))</f>
        <v>981</v>
      </c>
      <c r="T51" s="30">
        <f>IF(R51="",NA(),$C$9+$C$10*(R51-$C$4+1)+$C$11*IF(OR(WEEKDAY(R51)=1,WEEKDAY(R51)=7),1,0))</f>
        <v>1129.67945736434</v>
      </c>
      <c r="U51" s="30" t="e">
        <f>IF(R51="",NA(),IF(R51&lt;$R$19,NA(),T51-1.96*$C$13))</f>
        <v>#N/A</v>
      </c>
      <c r="V51" s="30" t="e">
        <f>IF(R51="",NA(),IF(R51&lt;$R$19,NA(),T51+1.96*$C$13))</f>
        <v>#N/A</v>
      </c>
    </row>
    <row r="52" spans="1:22" x14ac:dyDescent="0.25">
      <c r="A52" s="29">
        <f>IF(A51="","",IF(A51+1&gt;$C$5,"",A51+1))</f>
        <v>40577.0</v>
      </c>
      <c r="B52" s="9" t="str">
        <f>IF($A52="","",TEXT(A52,"ddd"))</f>
        <v>Thu</v>
      </c>
      <c r="C52" s="9" t="str">
        <f>IF($A52="","",IF(J52=1,"Weekend","Weekday"))</f>
        <v>Weekday</v>
      </c>
      <c r="D52" s="24">
        <f>IF($A52="","",COUNTIFS(Clean_Data!$B$2:$B$1001,$A52,Clean_Data!$V$2:$V$1001,1))</f>
        <v>23</v>
      </c>
      <c r="E52" s="30">
        <f>IF($A52="","",SUMIFS(Clean_Data!$P$2:$P$1001,Clean_Data!$B$2:$B$1001,$A52,Clean_Data!$V$2:$V$1001,1))</f>
        <v>1550</v>
      </c>
      <c r="F52" s="30">
        <f>IF($A52="","",SUMIFS(Clean_Data!$N$2:$N$1001,Clean_Data!$B$2:$B$1001,$A52,Clean_Data!$V$2:$V$1001,1))</f>
        <v>61</v>
      </c>
      <c r="G52" s="30">
        <f>IF($A52="","",SUMIFS(Clean_Data!$O$2:$O$1001,Clean_Data!$B$2:$B$1001,$A52,Clean_Data!$V$2:$V$1001,1))</f>
        <v>1489</v>
      </c>
      <c r="H52" s="15">
        <f>IF($A52="","",IFERROR(AVERAGEIFS(Clean_Data!$AD$2:$AD$1001,Clean_Data!$B$2:$B$1001,$A52,Clean_Data!$V$2:$V$1001,1),""))</f>
        <v>7.6695652173913</v>
      </c>
      <c r="I52" s="24">
        <f>IF($A52="","",IFERROR(AVERAGEIFS(Clean_Data!$AF$2:$AF$1001,Clean_Data!$B$2:$B$1001,$A52,Clean_Data!$V$2:$V$1001,1),""))</f>
        <v>43.7826086956522</v>
      </c>
      <c r="J52" s="24">
        <f>IF($A52="","",IF(OR(WEEKDAY(A52)=1,WEEKDAY(A52)=7),1,0))</f>
        <v>0</v>
      </c>
      <c r="K52" s="24">
        <f>IF($A52="","",A52-$C$4+1)</f>
        <v>34</v>
      </c>
      <c r="L52" s="9" t="str">
        <f>IF($A52="","",IF(AND(A52=$C$5,$C$6&lt;23),"Partial","Full"))</f>
        <v>Full</v>
      </c>
      <c r="M52" s="30">
        <f>IF($A52="","",$C$9+$C$10*K52+$C$11*J52)</f>
        <v>1497.33914728682</v>
      </c>
      <c r="N52" s="30">
        <f>IF($A52="","",IF(L52="Full",E52-M52,""))</f>
        <v>52.6608527131784</v>
      </c>
      <c r="O52" s="40">
        <f>IF($A52="","",IF(N52="","",N52/$C$13))</f>
        <v>0.162563771888139</v>
      </c>
      <c r="P52" s="9" t="str">
        <f>IF($A52="","",IF(O52="","",IF(ABS(O52)&gt;=Lookups!$K$12,"Anomaly","Normal")))</f>
        <v>Normal</v>
      </c>
      <c r="R52" s="43">
        <f>IF($C$4+22&gt;$R$25,"",$C$4+22)</f>
        <v>40566.0</v>
      </c>
      <c r="S52" s="30">
        <f>IF(R52="",NA(),IF(R52&gt;$C$5,NA(),IF(AND(R52=$C$5,$C$6&lt;23),NA(),SUMIFS(Clean_Data!$P$2:$P$1001,Clean_Data!$B$2:$B$1001,R52,Clean_Data!$V$2:$V$1001,1))))</f>
        <v>986</v>
      </c>
      <c r="T52" s="30">
        <f>IF(R52="",NA(),$C$9+$C$10*(R52-$C$4+1)+$C$11*IF(OR(WEEKDAY(R52)=1,WEEKDAY(R52)=7),1,0))</f>
        <v>1137.32054263566</v>
      </c>
      <c r="U52" s="30" t="e">
        <f>IF(R52="",NA(),IF(R52&lt;$R$19,NA(),T52-1.96*$C$13))</f>
        <v>#N/A</v>
      </c>
      <c r="V52" s="30" t="e">
        <f>IF(R52="",NA(),IF(R52&lt;$R$19,NA(),T52+1.96*$C$13))</f>
        <v>#N/A</v>
      </c>
    </row>
    <row r="53" spans="1:22" x14ac:dyDescent="0.25">
      <c r="A53" s="29">
        <f>IF(A52="","",IF(A52+1&gt;$C$5,"",A52+1))</f>
        <v>40578.0</v>
      </c>
      <c r="B53" s="9" t="str">
        <f>IF($A53="","",TEXT(A53,"ddd"))</f>
        <v>Fri</v>
      </c>
      <c r="C53" s="9" t="str">
        <f>IF($A53="","",IF(J53=1,"Weekend","Weekday"))</f>
        <v>Weekday</v>
      </c>
      <c r="D53" s="24">
        <f>IF($A53="","",COUNTIFS(Clean_Data!$B$2:$B$1001,$A53,Clean_Data!$V$2:$V$1001,1))</f>
        <v>23</v>
      </c>
      <c r="E53" s="30">
        <f>IF($A53="","",SUMIFS(Clean_Data!$P$2:$P$1001,Clean_Data!$B$2:$B$1001,$A53,Clean_Data!$V$2:$V$1001,1))</f>
        <v>1708</v>
      </c>
      <c r="F53" s="30">
        <f>IF($A53="","",SUMIFS(Clean_Data!$N$2:$N$1001,Clean_Data!$B$2:$B$1001,$A53,Clean_Data!$V$2:$V$1001,1))</f>
        <v>88</v>
      </c>
      <c r="G53" s="30">
        <f>IF($A53="","",SUMIFS(Clean_Data!$O$2:$O$1001,Clean_Data!$B$2:$B$1001,$A53,Clean_Data!$V$2:$V$1001,1))</f>
        <v>1620</v>
      </c>
      <c r="H53" s="15">
        <f>IF($A53="","",IFERROR(AVERAGEIFS(Clean_Data!$AD$2:$AD$1001,Clean_Data!$B$2:$B$1001,$A53,Clean_Data!$V$2:$V$1001,1),""))</f>
        <v>8.65217391304348</v>
      </c>
      <c r="I53" s="24">
        <f>IF($A53="","",IFERROR(AVERAGEIFS(Clean_Data!$AF$2:$AF$1001,Clean_Data!$B$2:$B$1001,$A53,Clean_Data!$V$2:$V$1001,1),""))</f>
        <v>58.5217391304348</v>
      </c>
      <c r="J53" s="24">
        <f>IF($A53="","",IF(OR(WEEKDAY(A53)=1,WEEKDAY(A53)=7),1,0))</f>
        <v>0</v>
      </c>
      <c r="K53" s="24">
        <f>IF($A53="","",A53-$C$4+1)</f>
        <v>35</v>
      </c>
      <c r="L53" s="9" t="str">
        <f>IF($A53="","",IF(AND(A53=$C$5,$C$6&lt;23),"Partial","Full"))</f>
        <v>Full</v>
      </c>
      <c r="M53" s="30">
        <f>IF($A53="","",$C$9+$C$10*K53+$C$11*J53)</f>
        <v>1504.98023255814</v>
      </c>
      <c r="N53" s="30">
        <f>IF($A53="","",IF(L53="Full",E53-M53,""))</f>
        <v>203.019767441861</v>
      </c>
      <c r="O53" s="40">
        <f>IF($A53="","",IF(N53="","",N53/$C$13))</f>
        <v>0.626720940941817</v>
      </c>
      <c r="P53" s="9" t="str">
        <f>IF($A53="","",IF(O53="","",IF(ABS(O53)&gt;=Lookups!$K$12,"Anomaly","Normal")))</f>
        <v>Normal</v>
      </c>
      <c r="R53" s="43">
        <f>IF($C$4+23&gt;$R$25,"",$C$4+23)</f>
        <v>40567.0</v>
      </c>
      <c r="S53" s="30">
        <f>IF(R53="",NA(),IF(R53&gt;$C$5,NA(),IF(AND(R53=$C$5,$C$6&lt;23),NA(),SUMIFS(Clean_Data!$P$2:$P$1001,Clean_Data!$B$2:$B$1001,R53,Clean_Data!$V$2:$V$1001,1))))</f>
        <v>1416</v>
      </c>
      <c r="T53" s="30">
        <f>IF(R53="",NA(),$C$9+$C$10*(R53-$C$4+1)+$C$11*IF(OR(WEEKDAY(R53)=1,WEEKDAY(R53)=7),1,0))</f>
        <v>1420.92829457364</v>
      </c>
      <c r="U53" s="30" t="e">
        <f>IF(R53="",NA(),IF(R53&lt;$R$19,NA(),T53-1.96*$C$13))</f>
        <v>#N/A</v>
      </c>
      <c r="V53" s="30" t="e">
        <f>IF(R53="",NA(),IF(R53&lt;$R$19,NA(),T53+1.96*$C$13))</f>
        <v>#N/A</v>
      </c>
    </row>
    <row r="54" spans="1:22" x14ac:dyDescent="0.25">
      <c r="A54" s="29">
        <f>IF(A53="","",IF(A53+1&gt;$C$5,"",A53+1))</f>
        <v>40579.0</v>
      </c>
      <c r="B54" s="9" t="str">
        <f>IF($A54="","",TEXT(A54,"ddd"))</f>
        <v>Sat</v>
      </c>
      <c r="C54" s="9" t="str">
        <f>IF($A54="","",IF(J54=1,"Weekend","Weekday"))</f>
        <v>Weekend</v>
      </c>
      <c r="D54" s="24">
        <f>IF($A54="","",COUNTIFS(Clean_Data!$B$2:$B$1001,$A54,Clean_Data!$V$2:$V$1001,1))</f>
        <v>24</v>
      </c>
      <c r="E54" s="30">
        <f>IF($A54="","",SUMIFS(Clean_Data!$P$2:$P$1001,Clean_Data!$B$2:$B$1001,$A54,Clean_Data!$V$2:$V$1001,1))</f>
        <v>1005</v>
      </c>
      <c r="F54" s="30">
        <f>IF($A54="","",SUMIFS(Clean_Data!$N$2:$N$1001,Clean_Data!$B$2:$B$1001,$A54,Clean_Data!$V$2:$V$1001,1))</f>
        <v>100</v>
      </c>
      <c r="G54" s="30">
        <f>IF($A54="","",SUMIFS(Clean_Data!$O$2:$O$1001,Clean_Data!$B$2:$B$1001,$A54,Clean_Data!$V$2:$V$1001,1))</f>
        <v>905</v>
      </c>
      <c r="H54" s="15">
        <f>IF($A54="","",IFERROR(AVERAGEIFS(Clean_Data!$AD$2:$AD$1001,Clean_Data!$B$2:$B$1001,$A54,Clean_Data!$V$2:$V$1001,1),""))</f>
        <v>9.55833333333333</v>
      </c>
      <c r="I54" s="24">
        <f>IF($A54="","",IFERROR(AVERAGEIFS(Clean_Data!$AF$2:$AF$1001,Clean_Data!$B$2:$B$1001,$A54,Clean_Data!$V$2:$V$1001,1),""))</f>
        <v>92.9166666666667</v>
      </c>
      <c r="J54" s="24">
        <f>IF($A54="","",IF(OR(WEEKDAY(A54)=1,WEEKDAY(A54)=7),1,0))</f>
        <v>1</v>
      </c>
      <c r="K54" s="24">
        <f>IF($A54="","",A54-$C$4+1)</f>
        <v>36</v>
      </c>
      <c r="L54" s="9" t="str">
        <f>IF($A54="","",IF(AND(A54=$C$5,$C$6&lt;23),"Partial","Full"))</f>
        <v>Full</v>
      </c>
      <c r="M54" s="30">
        <f>IF($A54="","",$C$9+$C$10*K54+$C$11*J54)</f>
        <v>1236.65465116279</v>
      </c>
      <c r="N54" s="30">
        <f>IF($A54="","",IF(L54="Full",E54-M54,""))</f>
        <v>-231.654651162791</v>
      </c>
      <c r="O54" s="40">
        <f>IF($A54="","",IF(N54="","",N54/$C$13))</f>
        <v>-0.715116674497566</v>
      </c>
      <c r="P54" s="9" t="str">
        <f>IF($A54="","",IF(O54="","",IF(ABS(O54)&gt;=Lookups!$K$12,"Anomaly","Normal")))</f>
        <v>Normal</v>
      </c>
      <c r="R54" s="43">
        <f>IF($C$4+24&gt;$R$25,"",$C$4+24)</f>
        <v>40568.0</v>
      </c>
      <c r="S54" s="30">
        <f>IF(R54="",NA(),IF(R54&gt;$C$5,NA(),IF(AND(R54=$C$5,$C$6&lt;23),NA(),SUMIFS(Clean_Data!$P$2:$P$1001,Clean_Data!$B$2:$B$1001,R54,Clean_Data!$V$2:$V$1001,1))))</f>
        <v>1985</v>
      </c>
      <c r="T54" s="30">
        <f>IF(R54="",NA(),$C$9+$C$10*(R54-$C$4+1)+$C$11*IF(OR(WEEKDAY(R54)=1,WEEKDAY(R54)=7),1,0))</f>
        <v>1428.56937984496</v>
      </c>
      <c r="U54" s="30" t="e">
        <f>IF(R54="",NA(),IF(R54&lt;$R$19,NA(),T54-1.96*$C$13))</f>
        <v>#N/A</v>
      </c>
      <c r="V54" s="30" t="e">
        <f>IF(R54="",NA(),IF(R54&lt;$R$19,NA(),T54+1.96*$C$13))</f>
        <v>#N/A</v>
      </c>
    </row>
    <row r="55" spans="1:22" x14ac:dyDescent="0.25">
      <c r="A55" s="29">
        <f>IF(A54="","",IF(A54+1&gt;$C$5,"",A54+1))</f>
        <v>40580.0</v>
      </c>
      <c r="B55" s="9" t="str">
        <f>IF($A55="","",TEXT(A55,"ddd"))</f>
        <v>Sun</v>
      </c>
      <c r="C55" s="9" t="str">
        <f>IF($A55="","",IF(J55=1,"Weekend","Weekday"))</f>
        <v>Weekend</v>
      </c>
      <c r="D55" s="24">
        <f>IF($A55="","",COUNTIFS(Clean_Data!$B$2:$B$1001,$A55,Clean_Data!$V$2:$V$1001,1))</f>
        <v>24</v>
      </c>
      <c r="E55" s="30">
        <f>IF($A55="","",SUMIFS(Clean_Data!$P$2:$P$1001,Clean_Data!$B$2:$B$1001,$A55,Clean_Data!$V$2:$V$1001,1))</f>
        <v>1623</v>
      </c>
      <c r="F55" s="30">
        <f>IF($A55="","",SUMIFS(Clean_Data!$N$2:$N$1001,Clean_Data!$B$2:$B$1001,$A55,Clean_Data!$V$2:$V$1001,1))</f>
        <v>354</v>
      </c>
      <c r="G55" s="30">
        <f>IF($A55="","",SUMIFS(Clean_Data!$O$2:$O$1001,Clean_Data!$B$2:$B$1001,$A55,Clean_Data!$V$2:$V$1001,1))</f>
        <v>1269</v>
      </c>
      <c r="H55" s="15">
        <f>IF($A55="","",IFERROR(AVERAGEIFS(Clean_Data!$AD$2:$AD$1001,Clean_Data!$B$2:$B$1001,$A55,Clean_Data!$V$2:$V$1001,1),""))</f>
        <v>11.7208333333333</v>
      </c>
      <c r="I55" s="24">
        <f>IF($A55="","",IFERROR(AVERAGEIFS(Clean_Data!$AF$2:$AF$1001,Clean_Data!$B$2:$B$1001,$A55,Clean_Data!$V$2:$V$1001,1),""))</f>
        <v>56.8333333333333</v>
      </c>
      <c r="J55" s="24">
        <f>IF($A55="","",IF(OR(WEEKDAY(A55)=1,WEEKDAY(A55)=7),1,0))</f>
        <v>1</v>
      </c>
      <c r="K55" s="24">
        <f>IF($A55="","",A55-$C$4+1)</f>
        <v>37</v>
      </c>
      <c r="L55" s="9" t="str">
        <f>IF($A55="","",IF(AND(A55=$C$5,$C$6&lt;23),"Partial","Full"))</f>
        <v>Full</v>
      </c>
      <c r="M55" s="30">
        <f>IF($A55="","",$C$9+$C$10*K55+$C$11*J55)</f>
        <v>1244.29573643411</v>
      </c>
      <c r="N55" s="30">
        <f>IF($A55="","",IF(L55="Full",E55-M55,""))</f>
        <v>378.704263565891</v>
      </c>
      <c r="O55" s="40">
        <f>IF($A55="","",IF(N55="","",N55/$C$13))</f>
        <v>1.16905804489537</v>
      </c>
      <c r="P55" s="9" t="str">
        <f>IF($A55="","",IF(O55="","",IF(ABS(O55)&gt;=Lookups!$K$12,"Anomaly","Normal")))</f>
        <v>Normal</v>
      </c>
      <c r="R55" s="43">
        <f>IF($C$4+25&gt;$R$25,"",$C$4+25)</f>
        <v>40569.0</v>
      </c>
      <c r="S55" s="30">
        <f>IF(R55="",NA(),IF(R55&gt;$C$5,NA(),IF(AND(R55=$C$5,$C$6&lt;23),NA(),SUMIFS(Clean_Data!$P$2:$P$1001,Clean_Data!$B$2:$B$1001,R55,Clean_Data!$V$2:$V$1001,1))))</f>
        <v>506</v>
      </c>
      <c r="T55" s="30">
        <f>IF(R55="",NA(),$C$9+$C$10*(R55-$C$4+1)+$C$11*IF(OR(WEEKDAY(R55)=1,WEEKDAY(R55)=7),1,0))</f>
        <v>1436.21046511628</v>
      </c>
      <c r="U55" s="30" t="e">
        <f>IF(R55="",NA(),IF(R55&lt;$R$19,NA(),T55-1.96*$C$13))</f>
        <v>#N/A</v>
      </c>
      <c r="V55" s="30" t="e">
        <f>IF(R55="",NA(),IF(R55&lt;$R$19,NA(),T55+1.96*$C$13))</f>
        <v>#N/A</v>
      </c>
    </row>
    <row r="56" spans="1:22" x14ac:dyDescent="0.25">
      <c r="A56" s="29">
        <f>IF(A55="","",IF(A55+1&gt;$C$5,"",A55+1))</f>
        <v>40581.0</v>
      </c>
      <c r="B56" s="9" t="str">
        <f>IF($A56="","",TEXT(A56,"ddd"))</f>
        <v>Mon</v>
      </c>
      <c r="C56" s="9" t="str">
        <f>IF($A56="","",IF(J56=1,"Weekend","Weekday"))</f>
        <v>Weekday</v>
      </c>
      <c r="D56" s="24">
        <f>IF($A56="","",COUNTIFS(Clean_Data!$B$2:$B$1001,$A56,Clean_Data!$V$2:$V$1001,1))</f>
        <v>24</v>
      </c>
      <c r="E56" s="30">
        <f>IF($A56="","",SUMIFS(Clean_Data!$P$2:$P$1001,Clean_Data!$B$2:$B$1001,$A56,Clean_Data!$V$2:$V$1001,1))</f>
        <v>1712</v>
      </c>
      <c r="F56" s="30">
        <f>IF($A56="","",SUMIFS(Clean_Data!$N$2:$N$1001,Clean_Data!$B$2:$B$1001,$A56,Clean_Data!$V$2:$V$1001,1))</f>
        <v>120</v>
      </c>
      <c r="G56" s="30">
        <f>IF($A56="","",SUMIFS(Clean_Data!$O$2:$O$1001,Clean_Data!$B$2:$B$1001,$A56,Clean_Data!$V$2:$V$1001,1))</f>
        <v>1592</v>
      </c>
      <c r="H56" s="15">
        <f>IF($A56="","",IFERROR(AVERAGEIFS(Clean_Data!$AD$2:$AD$1001,Clean_Data!$B$2:$B$1001,$A56,Clean_Data!$V$2:$V$1001,1),""))</f>
        <v>11.1375</v>
      </c>
      <c r="I56" s="24">
        <f>IF($A56="","",IFERROR(AVERAGEIFS(Clean_Data!$AF$2:$AF$1001,Clean_Data!$B$2:$B$1001,$A56,Clean_Data!$V$2:$V$1001,1),""))</f>
        <v>73.8333333333333</v>
      </c>
      <c r="J56" s="24">
        <f>IF($A56="","",IF(OR(WEEKDAY(A56)=1,WEEKDAY(A56)=7),1,0))</f>
        <v>0</v>
      </c>
      <c r="K56" s="24">
        <f>IF($A56="","",A56-$C$4+1)</f>
        <v>38</v>
      </c>
      <c r="L56" s="9" t="str">
        <f>IF($A56="","",IF(AND(A56=$C$5,$C$6&lt;23),"Partial","Full"))</f>
        <v>Full</v>
      </c>
      <c r="M56" s="30">
        <f>IF($A56="","",$C$9+$C$10*K56+$C$11*J56)</f>
        <v>1527.90348837209</v>
      </c>
      <c r="N56" s="30">
        <f>IF($A56="","",IF(L56="Full",E56-M56,""))</f>
        <v>184.096511627907</v>
      </c>
      <c r="O56" s="40">
        <f>IF($A56="","",IF(N56="","",N56/$C$13))</f>
        <v>0.568304951017093</v>
      </c>
      <c r="P56" s="9" t="str">
        <f>IF($A56="","",IF(O56="","",IF(ABS(O56)&gt;=Lookups!$K$12,"Anomaly","Normal")))</f>
        <v>Normal</v>
      </c>
      <c r="R56" s="43">
        <f>IF($C$4+26&gt;$R$25,"",$C$4+26)</f>
        <v>40570.0</v>
      </c>
      <c r="S56" s="30">
        <f>IF(R56="",NA(),IF(R56&gt;$C$5,NA(),IF(AND(R56=$C$5,$C$6&lt;23),NA(),SUMIFS(Clean_Data!$P$2:$P$1001,Clean_Data!$B$2:$B$1001,R56,Clean_Data!$V$2:$V$1001,1))))</f>
        <v>431</v>
      </c>
      <c r="T56" s="30">
        <f>IF(R56="",NA(),$C$9+$C$10*(R56-$C$4+1)+$C$11*IF(OR(WEEKDAY(R56)=1,WEEKDAY(R56)=7),1,0))</f>
        <v>1443.8515503876</v>
      </c>
      <c r="U56" s="30" t="e">
        <f>IF(R56="",NA(),IF(R56&lt;$R$19,NA(),T56-1.96*$C$13))</f>
        <v>#N/A</v>
      </c>
      <c r="V56" s="30" t="e">
        <f>IF(R56="",NA(),IF(R56&lt;$R$19,NA(),T56+1.96*$C$13))</f>
        <v>#N/A</v>
      </c>
    </row>
    <row r="57" spans="1:22" x14ac:dyDescent="0.25">
      <c r="A57" s="29">
        <f>IF(A56="","",IF(A56+1&gt;$C$5,"",A56+1))</f>
        <v>40582.0</v>
      </c>
      <c r="B57" s="9" t="str">
        <f>IF($A57="","",TEXT(A57,"ddd"))</f>
        <v>Tue</v>
      </c>
      <c r="C57" s="9" t="str">
        <f>IF($A57="","",IF(J57=1,"Weekend","Weekday"))</f>
        <v>Weekday</v>
      </c>
      <c r="D57" s="24">
        <f>IF($A57="","",COUNTIFS(Clean_Data!$B$2:$B$1001,$A57,Clean_Data!$V$2:$V$1001,1))</f>
        <v>24</v>
      </c>
      <c r="E57" s="30">
        <f>IF($A57="","",SUMIFS(Clean_Data!$P$2:$P$1001,Clean_Data!$B$2:$B$1001,$A57,Clean_Data!$V$2:$V$1001,1))</f>
        <v>1530</v>
      </c>
      <c r="F57" s="30">
        <f>IF($A57="","",SUMIFS(Clean_Data!$N$2:$N$1001,Clean_Data!$B$2:$B$1001,$A57,Clean_Data!$V$2:$V$1001,1))</f>
        <v>64</v>
      </c>
      <c r="G57" s="30">
        <f>IF($A57="","",SUMIFS(Clean_Data!$O$2:$O$1001,Clean_Data!$B$2:$B$1001,$A57,Clean_Data!$V$2:$V$1001,1))</f>
        <v>1466</v>
      </c>
      <c r="H57" s="15">
        <f>IF($A57="","",IFERROR(AVERAGEIFS(Clean_Data!$AD$2:$AD$1001,Clean_Data!$B$2:$B$1001,$A57,Clean_Data!$V$2:$V$1001,1),""))</f>
        <v>9.05</v>
      </c>
      <c r="I57" s="24">
        <f>IF($A57="","",IFERROR(AVERAGEIFS(Clean_Data!$AF$2:$AF$1001,Clean_Data!$B$2:$B$1001,$A57,Clean_Data!$V$2:$V$1001,1),""))</f>
        <v>53.7916666666667</v>
      </c>
      <c r="J57" s="24">
        <f>IF($A57="","",IF(OR(WEEKDAY(A57)=1,WEEKDAY(A57)=7),1,0))</f>
        <v>0</v>
      </c>
      <c r="K57" s="24">
        <f>IF($A57="","",A57-$C$4+1)</f>
        <v>39</v>
      </c>
      <c r="L57" s="9" t="str">
        <f>IF($A57="","",IF(AND(A57=$C$5,$C$6&lt;23),"Partial","Full"))</f>
        <v>Full</v>
      </c>
      <c r="M57" s="30">
        <f>IF($A57="","",$C$9+$C$10*K57+$C$11*J57)</f>
        <v>1535.54457364341</v>
      </c>
      <c r="N57" s="30">
        <f>IF($A57="","",IF(L57="Full",E57-M57,""))</f>
        <v>-5.54457364341079</v>
      </c>
      <c r="O57" s="40">
        <f>IF($A57="","",IF(N57="","",N57/$C$13))</f>
        <v>-0.0171160693104169</v>
      </c>
      <c r="P57" s="9" t="str">
        <f>IF($A57="","",IF(O57="","",IF(ABS(O57)&gt;=Lookups!$K$12,"Anomaly","Normal")))</f>
        <v>Normal</v>
      </c>
      <c r="R57" s="43">
        <f>IF($C$4+27&gt;$R$25,"",$C$4+27)</f>
        <v>40571.0</v>
      </c>
      <c r="S57" s="30">
        <f>IF(R57="",NA(),IF(R57&gt;$C$5,NA(),IF(AND(R57=$C$5,$C$6&lt;23),NA(),SUMIFS(Clean_Data!$P$2:$P$1001,Clean_Data!$B$2:$B$1001,R57,Clean_Data!$V$2:$V$1001,1))))</f>
        <v>1167</v>
      </c>
      <c r="T57" s="30">
        <f>IF(R57="",NA(),$C$9+$C$10*(R57-$C$4+1)+$C$11*IF(OR(WEEKDAY(R57)=1,WEEKDAY(R57)=7),1,0))</f>
        <v>1451.49263565891</v>
      </c>
      <c r="U57" s="30" t="e">
        <f>IF(R57="",NA(),IF(R57&lt;$R$19,NA(),T57-1.96*$C$13))</f>
        <v>#N/A</v>
      </c>
      <c r="V57" s="30" t="e">
        <f>IF(R57="",NA(),IF(R57&lt;$R$19,NA(),T57+1.96*$C$13))</f>
        <v>#N/A</v>
      </c>
    </row>
    <row r="58" spans="1:22" x14ac:dyDescent="0.25">
      <c r="A58" s="29">
        <f>IF(A57="","",IF(A57+1&gt;$C$5,"",A57+1))</f>
        <v>40583.0</v>
      </c>
      <c r="B58" s="9" t="str">
        <f>IF($A58="","",TEXT(A58,"ddd"))</f>
        <v>Wed</v>
      </c>
      <c r="C58" s="9" t="str">
        <f>IF($A58="","",IF(J58=1,"Weekend","Weekday"))</f>
        <v>Weekday</v>
      </c>
      <c r="D58" s="24">
        <f>IF($A58="","",COUNTIFS(Clean_Data!$B$2:$B$1001,$A58,Clean_Data!$V$2:$V$1001,1))</f>
        <v>23</v>
      </c>
      <c r="E58" s="30">
        <f>IF($A58="","",SUMIFS(Clean_Data!$P$2:$P$1001,Clean_Data!$B$2:$B$1001,$A58,Clean_Data!$V$2:$V$1001,1))</f>
        <v>1605</v>
      </c>
      <c r="F58" s="30">
        <f>IF($A58="","",SUMIFS(Clean_Data!$N$2:$N$1001,Clean_Data!$B$2:$B$1001,$A58,Clean_Data!$V$2:$V$1001,1))</f>
        <v>53</v>
      </c>
      <c r="G58" s="30">
        <f>IF($A58="","",SUMIFS(Clean_Data!$O$2:$O$1001,Clean_Data!$B$2:$B$1001,$A58,Clean_Data!$V$2:$V$1001,1))</f>
        <v>1552</v>
      </c>
      <c r="H58" s="15">
        <f>IF($A58="","",IFERROR(AVERAGEIFS(Clean_Data!$AD$2:$AD$1001,Clean_Data!$B$2:$B$1001,$A58,Clean_Data!$V$2:$V$1001,1),""))</f>
        <v>5.5304347826087</v>
      </c>
      <c r="I58" s="24">
        <f>IF($A58="","",IFERROR(AVERAGEIFS(Clean_Data!$AF$2:$AF$1001,Clean_Data!$B$2:$B$1001,$A58,Clean_Data!$V$2:$V$1001,1),""))</f>
        <v>49.4782608695652</v>
      </c>
      <c r="J58" s="24">
        <f>IF($A58="","",IF(OR(WEEKDAY(A58)=1,WEEKDAY(A58)=7),1,0))</f>
        <v>0</v>
      </c>
      <c r="K58" s="24">
        <f>IF($A58="","",A58-$C$4+1)</f>
        <v>40</v>
      </c>
      <c r="L58" s="9" t="str">
        <f>IF($A58="","",IF(AND(A58=$C$5,$C$6&lt;23),"Partial","Full"))</f>
        <v>Full</v>
      </c>
      <c r="M58" s="30">
        <f>IF($A58="","",$C$9+$C$10*K58+$C$11*J58)</f>
        <v>1543.18565891473</v>
      </c>
      <c r="N58" s="30">
        <f>IF($A58="","",IF(L58="Full",E58-M58,""))</f>
        <v>61.8143410852713</v>
      </c>
      <c r="O58" s="40">
        <f>IF($A58="","",IF(N58="","",N58/$C$13))</f>
        <v>0.190820541747265</v>
      </c>
      <c r="P58" s="9" t="str">
        <f>IF($A58="","",IF(O58="","",IF(ABS(O58)&gt;=Lookups!$K$12,"Anomaly","Normal")))</f>
        <v>Normal</v>
      </c>
      <c r="R58" s="43">
        <f>IF($C$4+28&gt;$R$25,"",$C$4+28)</f>
        <v>40572.0</v>
      </c>
      <c r="S58" s="30">
        <f>IF(R58="",NA(),IF(R58&gt;$C$5,NA(),IF(AND(R58=$C$5,$C$6&lt;23),NA(),SUMIFS(Clean_Data!$P$2:$P$1001,Clean_Data!$B$2:$B$1001,R58,Clean_Data!$V$2:$V$1001,1))))</f>
        <v>1098</v>
      </c>
      <c r="T58" s="30">
        <f>IF(R58="",NA(),$C$9+$C$10*(R58-$C$4+1)+$C$11*IF(OR(WEEKDAY(R58)=1,WEEKDAY(R58)=7),1,0))</f>
        <v>1183.16705426357</v>
      </c>
      <c r="U58" s="30" t="e">
        <f>IF(R58="",NA(),IF(R58&lt;$R$19,NA(),T58-1.96*$C$13))</f>
        <v>#N/A</v>
      </c>
      <c r="V58" s="30" t="e">
        <f>IF(R58="",NA(),IF(R58&lt;$R$19,NA(),T58+1.96*$C$13))</f>
        <v>#N/A</v>
      </c>
    </row>
    <row r="59" spans="1:22" x14ac:dyDescent="0.25">
      <c r="A59" s="29">
        <f>IF(A58="","",IF(A58+1&gt;$C$5,"",A58+1))</f>
        <v>40584.0</v>
      </c>
      <c r="B59" s="9" t="str">
        <f>IF($A59="","",TEXT(A59,"ddd"))</f>
        <v>Thu</v>
      </c>
      <c r="C59" s="9" t="str">
        <f>IF($A59="","",IF(J59=1,"Weekend","Weekday"))</f>
        <v>Weekday</v>
      </c>
      <c r="D59" s="24">
        <f>IF($A59="","",COUNTIFS(Clean_Data!$B$2:$B$1001,$A59,Clean_Data!$V$2:$V$1001,1))</f>
        <v>23</v>
      </c>
      <c r="E59" s="30">
        <f>IF($A59="","",SUMIFS(Clean_Data!$P$2:$P$1001,Clean_Data!$B$2:$B$1001,$A59,Clean_Data!$V$2:$V$1001,1))</f>
        <v>1538</v>
      </c>
      <c r="F59" s="30">
        <f>IF($A59="","",SUMIFS(Clean_Data!$N$2:$N$1001,Clean_Data!$B$2:$B$1001,$A59,Clean_Data!$V$2:$V$1001,1))</f>
        <v>47</v>
      </c>
      <c r="G59" s="30">
        <f>IF($A59="","",SUMIFS(Clean_Data!$O$2:$O$1001,Clean_Data!$B$2:$B$1001,$A59,Clean_Data!$V$2:$V$1001,1))</f>
        <v>1491</v>
      </c>
      <c r="H59" s="15">
        <f>IF($A59="","",IFERROR(AVERAGEIFS(Clean_Data!$AD$2:$AD$1001,Clean_Data!$B$2:$B$1001,$A59,Clean_Data!$V$2:$V$1001,1),""))</f>
        <v>5.90434782608696</v>
      </c>
      <c r="I59" s="24">
        <f>IF($A59="","",IFERROR(AVERAGEIFS(Clean_Data!$AF$2:$AF$1001,Clean_Data!$B$2:$B$1001,$A59,Clean_Data!$V$2:$V$1001,1),""))</f>
        <v>43.7391304347826</v>
      </c>
      <c r="J59" s="24">
        <f>IF($A59="","",IF(OR(WEEKDAY(A59)=1,WEEKDAY(A59)=7),1,0))</f>
        <v>0</v>
      </c>
      <c r="K59" s="24">
        <f>IF($A59="","",A59-$C$4+1)</f>
        <v>41</v>
      </c>
      <c r="L59" s="9" t="str">
        <f>IF($A59="","",IF(AND(A59=$C$5,$C$6&lt;23),"Partial","Full"))</f>
        <v>Full</v>
      </c>
      <c r="M59" s="30">
        <f>IF($A59="","",$C$9+$C$10*K59+$C$11*J59)</f>
        <v>1550.82674418605</v>
      </c>
      <c r="N59" s="30">
        <f>IF($A59="","",IF(L59="Full",E59-M59,""))</f>
        <v>-12.8267441860464</v>
      </c>
      <c r="O59" s="40">
        <f>IF($A59="","",IF(N59="","",N59/$C$13))</f>
        <v>-0.0395960909954302</v>
      </c>
      <c r="P59" s="9" t="str">
        <f>IF($A59="","",IF(O59="","",IF(ABS(O59)&gt;=Lookups!$K$12,"Anomaly","Normal")))</f>
        <v>Normal</v>
      </c>
      <c r="R59" s="43">
        <f>IF($C$4+29&gt;$R$25,"",$C$4+29)</f>
        <v>40573.0</v>
      </c>
      <c r="S59" s="30">
        <f>IF(R59="",NA(),IF(R59&gt;$C$5,NA(),IF(AND(R59=$C$5,$C$6&lt;23),NA(),SUMIFS(Clean_Data!$P$2:$P$1001,Clean_Data!$B$2:$B$1001,R59,Clean_Data!$V$2:$V$1001,1))))</f>
        <v>1096</v>
      </c>
      <c r="T59" s="30">
        <f>IF(R59="",NA(),$C$9+$C$10*(R59-$C$4+1)+$C$11*IF(OR(WEEKDAY(R59)=1,WEEKDAY(R59)=7),1,0))</f>
        <v>1190.80813953488</v>
      </c>
      <c r="U59" s="30" t="e">
        <f>IF(R59="",NA(),IF(R59&lt;$R$19,NA(),T59-1.96*$C$13))</f>
        <v>#N/A</v>
      </c>
      <c r="V59" s="30" t="e">
        <f>IF(R59="",NA(),IF(R59&lt;$R$19,NA(),T59+1.96*$C$13))</f>
        <v>#N/A</v>
      </c>
    </row>
    <row r="60" spans="1:22" x14ac:dyDescent="0.25">
      <c r="A60" s="29">
        <f>IF(A59="","",IF(A59+1&gt;$C$5,"",A59+1))</f>
        <v>40585.0</v>
      </c>
      <c r="B60" s="9" t="str">
        <f>IF($A60="","",TEXT(A60,"ddd"))</f>
        <v>Fri</v>
      </c>
      <c r="C60" s="9" t="str">
        <f>IF($A60="","",IF(J60=1,"Weekend","Weekday"))</f>
        <v>Weekday</v>
      </c>
      <c r="D60" s="24">
        <f>IF($A60="","",COUNTIFS(Clean_Data!$B$2:$B$1001,$A60,Clean_Data!$V$2:$V$1001,1))</f>
        <v>22</v>
      </c>
      <c r="E60" s="30">
        <f>IF($A60="","",SUMIFS(Clean_Data!$P$2:$P$1001,Clean_Data!$B$2:$B$1001,$A60,Clean_Data!$V$2:$V$1001,1))</f>
        <v>1746</v>
      </c>
      <c r="F60" s="30">
        <f>IF($A60="","",SUMIFS(Clean_Data!$N$2:$N$1001,Clean_Data!$B$2:$B$1001,$A60,Clean_Data!$V$2:$V$1001,1))</f>
        <v>149</v>
      </c>
      <c r="G60" s="30">
        <f>IF($A60="","",SUMIFS(Clean_Data!$O$2:$O$1001,Clean_Data!$B$2:$B$1001,$A60,Clean_Data!$V$2:$V$1001,1))</f>
        <v>1597</v>
      </c>
      <c r="H60" s="15">
        <f>IF($A60="","",IFERROR(AVERAGEIFS(Clean_Data!$AD$2:$AD$1001,Clean_Data!$B$2:$B$1001,$A60,Clean_Data!$V$2:$V$1001,1),""))</f>
        <v>7.75</v>
      </c>
      <c r="I60" s="24">
        <f>IF($A60="","",IFERROR(AVERAGEIFS(Clean_Data!$AF$2:$AF$1001,Clean_Data!$B$2:$B$1001,$A60,Clean_Data!$V$2:$V$1001,1),""))</f>
        <v>50.6363636363636</v>
      </c>
      <c r="J60" s="24">
        <f>IF($A60="","",IF(OR(WEEKDAY(A60)=1,WEEKDAY(A60)=7),1,0))</f>
        <v>0</v>
      </c>
      <c r="K60" s="24">
        <f>IF($A60="","",A60-$C$4+1)</f>
        <v>42</v>
      </c>
      <c r="L60" s="9" t="str">
        <f>IF($A60="","",IF(AND(A60=$C$5,$C$6&lt;23),"Partial","Full"))</f>
        <v>Full</v>
      </c>
      <c r="M60" s="30">
        <f>IF($A60="","",$C$9+$C$10*K60+$C$11*J60)</f>
        <v>1558.46782945736</v>
      </c>
      <c r="N60" s="30">
        <f>IF($A60="","",IF(L60="Full",E60-M60,""))</f>
        <v>187.532170542636</v>
      </c>
      <c r="O60" s="40">
        <f>IF($A60="","",IF(N60="","",N60/$C$13))</f>
        <v>0.578910811790775</v>
      </c>
      <c r="P60" s="9" t="str">
        <f>IF($A60="","",IF(O60="","",IF(ABS(O60)&gt;=Lookups!$K$12,"Anomaly","Normal")))</f>
        <v>Normal</v>
      </c>
      <c r="R60" s="43">
        <f>IF($C$4+30&gt;$R$25,"",$C$4+30)</f>
        <v>40574.0</v>
      </c>
      <c r="S60" s="30">
        <f>IF(R60="",NA(),IF(R60&gt;$C$5,NA(),IF(AND(R60=$C$5,$C$6&lt;23),NA(),SUMIFS(Clean_Data!$P$2:$P$1001,Clean_Data!$B$2:$B$1001,R60,Clean_Data!$V$2:$V$1001,1))))</f>
        <v>1501</v>
      </c>
      <c r="T60" s="30">
        <f>IF(R60="",NA(),$C$9+$C$10*(R60-$C$4+1)+$C$11*IF(OR(WEEKDAY(R60)=1,WEEKDAY(R60)=7),1,0))</f>
        <v>1474.41589147287</v>
      </c>
      <c r="U60" s="30" t="e">
        <f>IF(R60="",NA(),IF(R60&lt;$R$19,NA(),T60-1.96*$C$13))</f>
        <v>#N/A</v>
      </c>
      <c r="V60" s="30" t="e">
        <f>IF(R60="",NA(),IF(R60&lt;$R$19,NA(),T60+1.96*$C$13))</f>
        <v>#N/A</v>
      </c>
    </row>
    <row r="61" spans="1:22" x14ac:dyDescent="0.25">
      <c r="A61" s="29">
        <f>IF(A60="","",IF(A60+1&gt;$C$5,"",A60+1))</f>
        <v>40586.0</v>
      </c>
      <c r="B61" s="9" t="str">
        <f>IF($A61="","",TEXT(A61,"ddd"))</f>
        <v>Sat</v>
      </c>
      <c r="C61" s="9" t="str">
        <f>IF($A61="","",IF(J61=1,"Weekend","Weekday"))</f>
        <v>Weekend</v>
      </c>
      <c r="D61" s="24">
        <f>IF($A61="","",COUNTIFS(Clean_Data!$B$2:$B$1001,$A61,Clean_Data!$V$2:$V$1001,1))</f>
        <v>24</v>
      </c>
      <c r="E61" s="30">
        <f>IF($A61="","",SUMIFS(Clean_Data!$P$2:$P$1001,Clean_Data!$B$2:$B$1001,$A61,Clean_Data!$V$2:$V$1001,1))</f>
        <v>1472</v>
      </c>
      <c r="F61" s="30">
        <f>IF($A61="","",SUMIFS(Clean_Data!$N$2:$N$1001,Clean_Data!$B$2:$B$1001,$A61,Clean_Data!$V$2:$V$1001,1))</f>
        <v>288</v>
      </c>
      <c r="G61" s="30">
        <f>IF($A61="","",SUMIFS(Clean_Data!$O$2:$O$1001,Clean_Data!$B$2:$B$1001,$A61,Clean_Data!$V$2:$V$1001,1))</f>
        <v>1184</v>
      </c>
      <c r="H61" s="15">
        <f>IF($A61="","",IFERROR(AVERAGEIFS(Clean_Data!$AD$2:$AD$1001,Clean_Data!$B$2:$B$1001,$A61,Clean_Data!$V$2:$V$1001,1),""))</f>
        <v>9.1125</v>
      </c>
      <c r="I61" s="24">
        <f>IF($A61="","",IFERROR(AVERAGEIFS(Clean_Data!$AF$2:$AF$1001,Clean_Data!$B$2:$B$1001,$A61,Clean_Data!$V$2:$V$1001,1),""))</f>
        <v>54.4166666666667</v>
      </c>
      <c r="J61" s="24">
        <f>IF($A61="","",IF(OR(WEEKDAY(A61)=1,WEEKDAY(A61)=7),1,0))</f>
        <v>1</v>
      </c>
      <c r="K61" s="24">
        <f>IF($A61="","",A61-$C$4+1)</f>
        <v>43</v>
      </c>
      <c r="L61" s="9" t="str">
        <f>IF($A61="","",IF(AND(A61=$C$5,$C$6&lt;23),"Partial","Full"))</f>
        <v>Full</v>
      </c>
      <c r="M61" s="30">
        <f>IF($A61="","",$C$9+$C$10*K61+$C$11*J61)</f>
        <v>1290.14224806202</v>
      </c>
      <c r="N61" s="30">
        <f>IF($A61="","",IF(L61="Full",E61-M61,""))</f>
        <v>181.857751937985</v>
      </c>
      <c r="O61" s="40">
        <f>IF($A61="","",IF(N61="","",N61/$C$13))</f>
        <v>0.56139391177648</v>
      </c>
      <c r="P61" s="9" t="str">
        <f>IF($A61="","",IF(O61="","",IF(ABS(O61)&gt;=Lookups!$K$12,"Anomaly","Normal")))</f>
        <v>Normal</v>
      </c>
      <c r="R61" s="43">
        <f>IF($C$4+31&gt;$R$25,"",$C$4+31)</f>
        <v>40575.0</v>
      </c>
      <c r="S61" s="30">
        <f>IF(R61="",NA(),IF(R61&gt;$C$5,NA(),IF(AND(R61=$C$5,$C$6&lt;23),NA(),SUMIFS(Clean_Data!$P$2:$P$1001,Clean_Data!$B$2:$B$1001,R61,Clean_Data!$V$2:$V$1001,1))))</f>
        <v>1360</v>
      </c>
      <c r="T61" s="30">
        <f>IF(R61="",NA(),$C$9+$C$10*(R61-$C$4+1)+$C$11*IF(OR(WEEKDAY(R61)=1,WEEKDAY(R61)=7),1,0))</f>
        <v>1482.05697674419</v>
      </c>
      <c r="U61" s="30" t="e">
        <f>IF(R61="",NA(),IF(R61&lt;$R$19,NA(),T61-1.96*$C$13))</f>
        <v>#N/A</v>
      </c>
      <c r="V61" s="30" t="e">
        <f>IF(R61="",NA(),IF(R61&lt;$R$19,NA(),T61+1.96*$C$13))</f>
        <v>#N/A</v>
      </c>
    </row>
    <row r="62" spans="1:22" x14ac:dyDescent="0.25">
      <c r="A62" s="29">
        <f>IF(A61="","",IF(A61+1&gt;$C$5,"",A61+1))</f>
        <v>40587.0</v>
      </c>
      <c r="B62" s="9" t="str">
        <f>IF($A62="","",TEXT(A62,"ddd"))</f>
        <v>Sun</v>
      </c>
      <c r="C62" s="9" t="str">
        <f>IF($A62="","",IF(J62=1,"Weekend","Weekday"))</f>
        <v>Weekend</v>
      </c>
      <c r="D62" s="24">
        <f>IF($A62="","",COUNTIFS(Clean_Data!$B$2:$B$1001,$A62,Clean_Data!$V$2:$V$1001,1))</f>
        <v>23</v>
      </c>
      <c r="E62" s="30">
        <f>IF($A62="","",SUMIFS(Clean_Data!$P$2:$P$1001,Clean_Data!$B$2:$B$1001,$A62,Clean_Data!$V$2:$V$1001,1))</f>
        <v>1589</v>
      </c>
      <c r="F62" s="30">
        <f>IF($A62="","",SUMIFS(Clean_Data!$N$2:$N$1001,Clean_Data!$B$2:$B$1001,$A62,Clean_Data!$V$2:$V$1001,1))</f>
        <v>397</v>
      </c>
      <c r="G62" s="30">
        <f>IF($A62="","",SUMIFS(Clean_Data!$O$2:$O$1001,Clean_Data!$B$2:$B$1001,$A62,Clean_Data!$V$2:$V$1001,1))</f>
        <v>1192</v>
      </c>
      <c r="H62" s="15">
        <f>IF($A62="","",IFERROR(AVERAGEIFS(Clean_Data!$AD$2:$AD$1001,Clean_Data!$B$2:$B$1001,$A62,Clean_Data!$V$2:$V$1001,1),""))</f>
        <v>12.9739130434783</v>
      </c>
      <c r="I62" s="24">
        <f>IF($A62="","",IFERROR(AVERAGEIFS(Clean_Data!$AF$2:$AF$1001,Clean_Data!$B$2:$B$1001,$A62,Clean_Data!$V$2:$V$1001,1),""))</f>
        <v>45.7391304347826</v>
      </c>
      <c r="J62" s="24">
        <f>IF($A62="","",IF(OR(WEEKDAY(A62)=1,WEEKDAY(A62)=7),1,0))</f>
        <v>1</v>
      </c>
      <c r="K62" s="24">
        <f>IF($A62="","",A62-$C$4+1)</f>
        <v>44</v>
      </c>
      <c r="L62" s="9" t="str">
        <f>IF($A62="","",IF(AND(A62=$C$5,$C$6&lt;23),"Partial","Full"))</f>
        <v>Full</v>
      </c>
      <c r="M62" s="30">
        <f>IF($A62="","",$C$9+$C$10*K62+$C$11*J62)</f>
        <v>1297.78333333333</v>
      </c>
      <c r="N62" s="30">
        <f>IF($A62="","",IF(L62="Full",E62-M62,""))</f>
        <v>291.216666666667</v>
      </c>
      <c r="O62" s="40">
        <f>IF($A62="","",IF(N62="","",N62/$C$13))</f>
        <v>0.898984299169485</v>
      </c>
      <c r="P62" s="9" t="str">
        <f>IF($A62="","",IF(O62="","",IF(ABS(O62)&gt;=Lookups!$K$12,"Anomaly","Normal")))</f>
        <v>Normal</v>
      </c>
      <c r="R62" s="43">
        <f>IF($C$4+32&gt;$R$25,"",$C$4+32)</f>
        <v>40576.0</v>
      </c>
      <c r="S62" s="30">
        <f>IF(R62="",NA(),IF(R62&gt;$C$5,NA(),IF(AND(R62=$C$5,$C$6&lt;23),NA(),SUMIFS(Clean_Data!$P$2:$P$1001,Clean_Data!$B$2:$B$1001,R62,Clean_Data!$V$2:$V$1001,1))))</f>
        <v>1526</v>
      </c>
      <c r="T62" s="30">
        <f>IF(R62="",NA(),$C$9+$C$10*(R62-$C$4+1)+$C$11*IF(OR(WEEKDAY(R62)=1,WEEKDAY(R62)=7),1,0))</f>
        <v>1489.6980620155</v>
      </c>
      <c r="U62" s="30" t="e">
        <f>IF(R62="",NA(),IF(R62&lt;$R$19,NA(),T62-1.96*$C$13))</f>
        <v>#N/A</v>
      </c>
      <c r="V62" s="30" t="e">
        <f>IF(R62="",NA(),IF(R62&lt;$R$19,NA(),T62+1.96*$C$13))</f>
        <v>#N/A</v>
      </c>
    </row>
    <row r="63" spans="1:22" x14ac:dyDescent="0.25">
      <c r="A63" s="29">
        <f>IF(A62="","",IF(A62+1&gt;$C$5,"",A62+1))</f>
        <v>40588.0</v>
      </c>
      <c r="B63" s="9" t="str">
        <f>IF($A63="","",TEXT(A63,"ddd"))</f>
        <v>Mon</v>
      </c>
      <c r="C63" s="9" t="str">
        <f>IF($A63="","",IF(J63=1,"Weekend","Weekday"))</f>
        <v>Weekday</v>
      </c>
      <c r="D63" s="24">
        <f>IF($A63="","",COUNTIFS(Clean_Data!$B$2:$B$1001,$A63,Clean_Data!$V$2:$V$1001,1))</f>
        <v>8</v>
      </c>
      <c r="E63" s="30">
        <f>IF($A63="","",SUMIFS(Clean_Data!$P$2:$P$1001,Clean_Data!$B$2:$B$1001,$A63,Clean_Data!$V$2:$V$1001,1))</f>
        <v>151</v>
      </c>
      <c r="F63" s="30">
        <f>IF($A63="","",SUMIFS(Clean_Data!$N$2:$N$1001,Clean_Data!$B$2:$B$1001,$A63,Clean_Data!$V$2:$V$1001,1))</f>
        <v>8</v>
      </c>
      <c r="G63" s="30">
        <f>IF($A63="","",SUMIFS(Clean_Data!$O$2:$O$1001,Clean_Data!$B$2:$B$1001,$A63,Clean_Data!$V$2:$V$1001,1))</f>
        <v>143</v>
      </c>
      <c r="H63" s="15">
        <f>IF($A63="","",IFERROR(AVERAGEIFS(Clean_Data!$AD$2:$AD$1001,Clean_Data!$B$2:$B$1001,$A63,Clean_Data!$V$2:$V$1001,1),""))</f>
        <v>14.2375</v>
      </c>
      <c r="I63" s="24">
        <f>IF($A63="","",IFERROR(AVERAGEIFS(Clean_Data!$AF$2:$AF$1001,Clean_Data!$B$2:$B$1001,$A63,Clean_Data!$V$2:$V$1001,1),""))</f>
        <v>44.75</v>
      </c>
      <c r="J63" s="24">
        <f>IF($A63="","",IF(OR(WEEKDAY(A63)=1,WEEKDAY(A63)=7),1,0))</f>
        <v>0</v>
      </c>
      <c r="K63" s="24">
        <f>IF($A63="","",A63-$C$4+1)</f>
        <v>45</v>
      </c>
      <c r="L63" s="9" t="str">
        <f>IF($A63="","",IF(AND(A63=$C$5,$C$6&lt;23),"Partial","Full"))</f>
        <v>Partial</v>
      </c>
      <c r="M63" s="30">
        <f>IF($A63="","",$C$9+$C$10*K63+$C$11*J63)</f>
        <v>1581.39108527132</v>
      </c>
      <c r="N63" s="30">
        <f>IF($A63="","",IF(L63="Full",E63-M63,""))</f>
        <v/>
      </c>
      <c r="O63" s="40">
        <f>IF($A63="","",IF(N63="","",N63/$C$13))</f>
        <v/>
      </c>
      <c r="P63" s="9">
        <f>IF($A63="","",IF(O63="","",IF(ABS(O63)&gt;=Lookups!$K$12,"Anomaly","Normal")))</f>
        <v/>
      </c>
      <c r="R63" s="43">
        <f>IF($C$4+33&gt;$R$25,"",$C$4+33)</f>
        <v>40577.0</v>
      </c>
      <c r="S63" s="30">
        <f>IF(R63="",NA(),IF(R63&gt;$C$5,NA(),IF(AND(R63=$C$5,$C$6&lt;23),NA(),SUMIFS(Clean_Data!$P$2:$P$1001,Clean_Data!$B$2:$B$1001,R63,Clean_Data!$V$2:$V$1001,1))))</f>
        <v>1550</v>
      </c>
      <c r="T63" s="30">
        <f>IF(R63="",NA(),$C$9+$C$10*(R63-$C$4+1)+$C$11*IF(OR(WEEKDAY(R63)=1,WEEKDAY(R63)=7),1,0))</f>
        <v>1497.33914728682</v>
      </c>
      <c r="U63" s="30" t="e">
        <f>IF(R63="",NA(),IF(R63&lt;$R$19,NA(),T63-1.96*$C$13))</f>
        <v>#N/A</v>
      </c>
      <c r="V63" s="30" t="e">
        <f>IF(R63="",NA(),IF(R63&lt;$R$19,NA(),T63+1.96*$C$13))</f>
        <v>#N/A</v>
      </c>
    </row>
    <row r="64" spans="1:22" x14ac:dyDescent="0.25">
      <c r="R64" s="43">
        <f>IF($C$4+34&gt;$R$25,"",$C$4+34)</f>
        <v>40578.0</v>
      </c>
      <c r="S64" s="30">
        <f>IF(R64="",NA(),IF(R64&gt;$C$5,NA(),IF(AND(R64=$C$5,$C$6&lt;23),NA(),SUMIFS(Clean_Data!$P$2:$P$1001,Clean_Data!$B$2:$B$1001,R64,Clean_Data!$V$2:$V$1001,1))))</f>
        <v>1708</v>
      </c>
      <c r="T64" s="30">
        <f>IF(R64="",NA(),$C$9+$C$10*(R64-$C$4+1)+$C$11*IF(OR(WEEKDAY(R64)=1,WEEKDAY(R64)=7),1,0))</f>
        <v>1504.98023255814</v>
      </c>
      <c r="U64" s="30" t="e">
        <f>IF(R64="",NA(),IF(R64&lt;$R$19,NA(),T64-1.96*$C$13))</f>
        <v>#N/A</v>
      </c>
      <c r="V64" s="30" t="e">
        <f>IF(R64="",NA(),IF(R64&lt;$R$19,NA(),T64+1.96*$C$13))</f>
        <v>#N/A</v>
      </c>
    </row>
    <row r="65" spans="18:22" x14ac:dyDescent="0.25">
      <c r="R65" s="43">
        <f>IF($C$4+35&gt;$R$25,"",$C$4+35)</f>
        <v>40579.0</v>
      </c>
      <c r="S65" s="30">
        <f>IF(R65="",NA(),IF(R65&gt;$C$5,NA(),IF(AND(R65=$C$5,$C$6&lt;23),NA(),SUMIFS(Clean_Data!$P$2:$P$1001,Clean_Data!$B$2:$B$1001,R65,Clean_Data!$V$2:$V$1001,1))))</f>
        <v>1005</v>
      </c>
      <c r="T65" s="30">
        <f>IF(R65="",NA(),$C$9+$C$10*(R65-$C$4+1)+$C$11*IF(OR(WEEKDAY(R65)=1,WEEKDAY(R65)=7),1,0))</f>
        <v>1236.65465116279</v>
      </c>
      <c r="U65" s="30" t="e">
        <f>IF(R65="",NA(),IF(R65&lt;$R$19,NA(),T65-1.96*$C$13))</f>
        <v>#N/A</v>
      </c>
      <c r="V65" s="30" t="e">
        <f>IF(R65="",NA(),IF(R65&lt;$R$19,NA(),T65+1.96*$C$13))</f>
        <v>#N/A</v>
      </c>
    </row>
    <row r="66" spans="18:22" x14ac:dyDescent="0.25">
      <c r="R66" s="43">
        <f>IF($C$4+36&gt;$R$25,"",$C$4+36)</f>
        <v>40580.0</v>
      </c>
      <c r="S66" s="30">
        <f>IF(R66="",NA(),IF(R66&gt;$C$5,NA(),IF(AND(R66=$C$5,$C$6&lt;23),NA(),SUMIFS(Clean_Data!$P$2:$P$1001,Clean_Data!$B$2:$B$1001,R66,Clean_Data!$V$2:$V$1001,1))))</f>
        <v>1623</v>
      </c>
      <c r="T66" s="30">
        <f>IF(R66="",NA(),$C$9+$C$10*(R66-$C$4+1)+$C$11*IF(OR(WEEKDAY(R66)=1,WEEKDAY(R66)=7),1,0))</f>
        <v>1244.29573643411</v>
      </c>
      <c r="U66" s="30" t="e">
        <f>IF(R66="",NA(),IF(R66&lt;$R$19,NA(),T66-1.96*$C$13))</f>
        <v>#N/A</v>
      </c>
      <c r="V66" s="30" t="e">
        <f>IF(R66="",NA(),IF(R66&lt;$R$19,NA(),T66+1.96*$C$13))</f>
        <v>#N/A</v>
      </c>
    </row>
    <row r="67" spans="18:22" x14ac:dyDescent="0.25">
      <c r="R67" s="43">
        <f>IF($C$4+37&gt;$R$25,"",$C$4+37)</f>
        <v>40581.0</v>
      </c>
      <c r="S67" s="30">
        <f>IF(R67="",NA(),IF(R67&gt;$C$5,NA(),IF(AND(R67=$C$5,$C$6&lt;23),NA(),SUMIFS(Clean_Data!$P$2:$P$1001,Clean_Data!$B$2:$B$1001,R67,Clean_Data!$V$2:$V$1001,1))))</f>
        <v>1712</v>
      </c>
      <c r="T67" s="30">
        <f>IF(R67="",NA(),$C$9+$C$10*(R67-$C$4+1)+$C$11*IF(OR(WEEKDAY(R67)=1,WEEKDAY(R67)=7),1,0))</f>
        <v>1527.90348837209</v>
      </c>
      <c r="U67" s="30" t="e">
        <f>IF(R67="",NA(),IF(R67&lt;$R$19,NA(),T67-1.96*$C$13))</f>
        <v>#N/A</v>
      </c>
      <c r="V67" s="30" t="e">
        <f>IF(R67="",NA(),IF(R67&lt;$R$19,NA(),T67+1.96*$C$13))</f>
        <v>#N/A</v>
      </c>
    </row>
    <row r="68" spans="18:22" x14ac:dyDescent="0.25">
      <c r="R68" s="43">
        <f>IF($C$4+38&gt;$R$25,"",$C$4+38)</f>
        <v>40582.0</v>
      </c>
      <c r="S68" s="30">
        <f>IF(R68="",NA(),IF(R68&gt;$C$5,NA(),IF(AND(R68=$C$5,$C$6&lt;23),NA(),SUMIFS(Clean_Data!$P$2:$P$1001,Clean_Data!$B$2:$B$1001,R68,Clean_Data!$V$2:$V$1001,1))))</f>
        <v>1530</v>
      </c>
      <c r="T68" s="30">
        <f>IF(R68="",NA(),$C$9+$C$10*(R68-$C$4+1)+$C$11*IF(OR(WEEKDAY(R68)=1,WEEKDAY(R68)=7),1,0))</f>
        <v>1535.54457364341</v>
      </c>
      <c r="U68" s="30" t="e">
        <f>IF(R68="",NA(),IF(R68&lt;$R$19,NA(),T68-1.96*$C$13))</f>
        <v>#N/A</v>
      </c>
      <c r="V68" s="30" t="e">
        <f>IF(R68="",NA(),IF(R68&lt;$R$19,NA(),T68+1.96*$C$13))</f>
        <v>#N/A</v>
      </c>
    </row>
    <row r="69" spans="18:22" x14ac:dyDescent="0.25">
      <c r="R69" s="43">
        <f>IF($C$4+39&gt;$R$25,"",$C$4+39)</f>
        <v>40583.0</v>
      </c>
      <c r="S69" s="30">
        <f>IF(R69="",NA(),IF(R69&gt;$C$5,NA(),IF(AND(R69=$C$5,$C$6&lt;23),NA(),SUMIFS(Clean_Data!$P$2:$P$1001,Clean_Data!$B$2:$B$1001,R69,Clean_Data!$V$2:$V$1001,1))))</f>
        <v>1605</v>
      </c>
      <c r="T69" s="30">
        <f>IF(R69="",NA(),$C$9+$C$10*(R69-$C$4+1)+$C$11*IF(OR(WEEKDAY(R69)=1,WEEKDAY(R69)=7),1,0))</f>
        <v>1543.18565891473</v>
      </c>
      <c r="U69" s="30" t="e">
        <f>IF(R69="",NA(),IF(R69&lt;$R$19,NA(),T69-1.96*$C$13))</f>
        <v>#N/A</v>
      </c>
      <c r="V69" s="30" t="e">
        <f>IF(R69="",NA(),IF(R69&lt;$R$19,NA(),T69+1.96*$C$13))</f>
        <v>#N/A</v>
      </c>
    </row>
    <row r="70" spans="18:22" x14ac:dyDescent="0.25">
      <c r="R70" s="43">
        <f>IF($C$4+40&gt;$R$25,"",$C$4+40)</f>
        <v>40584.0</v>
      </c>
      <c r="S70" s="30">
        <f>IF(R70="",NA(),IF(R70&gt;$C$5,NA(),IF(AND(R70=$C$5,$C$6&lt;23),NA(),SUMIFS(Clean_Data!$P$2:$P$1001,Clean_Data!$B$2:$B$1001,R70,Clean_Data!$V$2:$V$1001,1))))</f>
        <v>1538</v>
      </c>
      <c r="T70" s="30">
        <f>IF(R70="",NA(),$C$9+$C$10*(R70-$C$4+1)+$C$11*IF(OR(WEEKDAY(R70)=1,WEEKDAY(R70)=7),1,0))</f>
        <v>1550.82674418605</v>
      </c>
      <c r="U70" s="30" t="e">
        <f>IF(R70="",NA(),IF(R70&lt;$R$19,NA(),T70-1.96*$C$13))</f>
        <v>#N/A</v>
      </c>
      <c r="V70" s="30" t="e">
        <f>IF(R70="",NA(),IF(R70&lt;$R$19,NA(),T70+1.96*$C$13))</f>
        <v>#N/A</v>
      </c>
    </row>
    <row r="71" spans="18:22" x14ac:dyDescent="0.25">
      <c r="R71" s="43">
        <f>IF($C$4+41&gt;$R$25,"",$C$4+41)</f>
        <v>40585.0</v>
      </c>
      <c r="S71" s="30">
        <f>IF(R71="",NA(),IF(R71&gt;$C$5,NA(),IF(AND(R71=$C$5,$C$6&lt;23),NA(),SUMIFS(Clean_Data!$P$2:$P$1001,Clean_Data!$B$2:$B$1001,R71,Clean_Data!$V$2:$V$1001,1))))</f>
        <v>1746</v>
      </c>
      <c r="T71" s="30">
        <f>IF(R71="",NA(),$C$9+$C$10*(R71-$C$4+1)+$C$11*IF(OR(WEEKDAY(R71)=1,WEEKDAY(R71)=7),1,0))</f>
        <v>1558.46782945736</v>
      </c>
      <c r="U71" s="30" t="e">
        <f>IF(R71="",NA(),IF(R71&lt;$R$19,NA(),T71-1.96*$C$13))</f>
        <v>#N/A</v>
      </c>
      <c r="V71" s="30" t="e">
        <f>IF(R71="",NA(),IF(R71&lt;$R$19,NA(),T71+1.96*$C$13))</f>
        <v>#N/A</v>
      </c>
    </row>
    <row r="72" spans="18:22" x14ac:dyDescent="0.25">
      <c r="R72" s="43">
        <f>IF($C$4+42&gt;$R$25,"",$C$4+42)</f>
        <v>40586.0</v>
      </c>
      <c r="S72" s="30">
        <f>IF(R72="",NA(),IF(R72&gt;$C$5,NA(),IF(AND(R72=$C$5,$C$6&lt;23),NA(),SUMIFS(Clean_Data!$P$2:$P$1001,Clean_Data!$B$2:$B$1001,R72,Clean_Data!$V$2:$V$1001,1))))</f>
        <v>1472</v>
      </c>
      <c r="T72" s="30">
        <f>IF(R72="",NA(),$C$9+$C$10*(R72-$C$4+1)+$C$11*IF(OR(WEEKDAY(R72)=1,WEEKDAY(R72)=7),1,0))</f>
        <v>1290.14224806202</v>
      </c>
      <c r="U72" s="30" t="e">
        <f>IF(R72="",NA(),IF(R72&lt;$R$19,NA(),T72-1.96*$C$13))</f>
        <v>#N/A</v>
      </c>
      <c r="V72" s="30" t="e">
        <f>IF(R72="",NA(),IF(R72&lt;$R$19,NA(),T72+1.96*$C$13))</f>
        <v>#N/A</v>
      </c>
    </row>
    <row r="73" spans="18:22" x14ac:dyDescent="0.25">
      <c r="R73" s="43">
        <f>IF($C$4+43&gt;$R$25,"",$C$4+43)</f>
        <v>40587.0</v>
      </c>
      <c r="S73" s="30">
        <f>IF(R73="",NA(),IF(R73&gt;$C$5,NA(),IF(AND(R73=$C$5,$C$6&lt;23),NA(),SUMIFS(Clean_Data!$P$2:$P$1001,Clean_Data!$B$2:$B$1001,R73,Clean_Data!$V$2:$V$1001,1))))</f>
        <v>1589</v>
      </c>
      <c r="T73" s="30">
        <f>IF(R73="",NA(),$C$9+$C$10*(R73-$C$4+1)+$C$11*IF(OR(WEEKDAY(R73)=1,WEEKDAY(R73)=7),1,0))</f>
        <v>1297.78333333333</v>
      </c>
      <c r="U73" s="30" t="e">
        <f>IF(R73="",NA(),IF(R73&lt;$R$19,NA(),T73-1.96*$C$13))</f>
        <v>#N/A</v>
      </c>
      <c r="V73" s="30" t="e">
        <f>IF(R73="",NA(),IF(R73&lt;$R$19,NA(),T73+1.96*$C$13))</f>
        <v>#N/A</v>
      </c>
    </row>
    <row r="74" spans="18:22" x14ac:dyDescent="0.25">
      <c r="R74" s="43">
        <f>IF($C$4+44&gt;$R$25,"",$C$4+44)</f>
        <v>40588.0</v>
      </c>
      <c r="S74" s="30" t="e">
        <f>IF(R74="",NA(),IF(R74&gt;$C$5,NA(),IF(AND(R74=$C$5,$C$6&lt;23),NA(),SUMIFS(Clean_Data!$P$2:$P$1001,Clean_Data!$B$2:$B$1001,R74,Clean_Data!$V$2:$V$1001,1))))</f>
        <v>#N/A</v>
      </c>
      <c r="T74" s="30">
        <f>IF(R74="",NA(),$C$9+$C$10*(R74-$C$4+1)+$C$11*IF(OR(WEEKDAY(R74)=1,WEEKDAY(R74)=7),1,0))</f>
        <v>1581.39108527132</v>
      </c>
      <c r="U74" s="30">
        <f>IF(R74="",NA(),IF(R74&lt;$R$19,NA(),T74-1.96*$C$13))</f>
        <v>946.469355054251</v>
      </c>
      <c r="V74" s="30">
        <f>IF(R74="",NA(),IF(R74&lt;$R$19,NA(),T74+1.96*$C$13))</f>
        <v>2216.31281548839</v>
      </c>
    </row>
    <row r="75" spans="18:22" x14ac:dyDescent="0.25">
      <c r="R75" s="43">
        <f>IF($C$4+45&gt;$R$25,"",$C$4+45)</f>
        <v>40589.0</v>
      </c>
      <c r="S75" s="30" t="e">
        <f>IF(R75="",NA(),IF(R75&gt;$C$5,NA(),IF(AND(R75=$C$5,$C$6&lt;23),NA(),SUMIFS(Clean_Data!$P$2:$P$1001,Clean_Data!$B$2:$B$1001,R75,Clean_Data!$V$2:$V$1001,1))))</f>
        <v>#N/A</v>
      </c>
      <c r="T75" s="30">
        <f>IF(R75="",NA(),$C$9+$C$10*(R75-$C$4+1)+$C$11*IF(OR(WEEKDAY(R75)=1,WEEKDAY(R75)=7),1,0))</f>
        <v>1589.03217054264</v>
      </c>
      <c r="U75" s="30">
        <f>IF(R75="",NA(),IF(R75&lt;$R$19,NA(),T75-1.96*$C$13))</f>
        <v>954.110440325569</v>
      </c>
      <c r="V75" s="30">
        <f>IF(R75="",NA(),IF(R75&lt;$R$19,NA(),T75+1.96*$C$13))</f>
        <v>2223.9539007597</v>
      </c>
    </row>
    <row r="76" spans="18:22" x14ac:dyDescent="0.25">
      <c r="R76" s="43">
        <f>IF($C$4+46&gt;$R$25,"",$C$4+46)</f>
        <v>40590.0</v>
      </c>
      <c r="S76" s="30" t="e">
        <f>IF(R76="",NA(),IF(R76&gt;$C$5,NA(),IF(AND(R76=$C$5,$C$6&lt;23),NA(),SUMIFS(Clean_Data!$P$2:$P$1001,Clean_Data!$B$2:$B$1001,R76,Clean_Data!$V$2:$V$1001,1))))</f>
        <v>#N/A</v>
      </c>
      <c r="T76" s="30">
        <f>IF(R76="",NA(),$C$9+$C$10*(R76-$C$4+1)+$C$11*IF(OR(WEEKDAY(R76)=1,WEEKDAY(R76)=7),1,0))</f>
        <v>1596.67325581395</v>
      </c>
      <c r="U76" s="30">
        <f>IF(R76="",NA(),IF(R76&lt;$R$19,NA(),T76-1.96*$C$13))</f>
        <v>961.751525596886</v>
      </c>
      <c r="V76" s="30">
        <f>IF(R76="",NA(),IF(R76&lt;$R$19,NA(),T76+1.96*$C$13))</f>
        <v>2231.59498603102</v>
      </c>
    </row>
    <row r="77" spans="18:22" x14ac:dyDescent="0.25">
      <c r="R77" s="43">
        <f>IF($C$4+47&gt;$R$25,"",$C$4+47)</f>
        <v>40591.0</v>
      </c>
      <c r="S77" s="30" t="e">
        <f>IF(R77="",NA(),IF(R77&gt;$C$5,NA(),IF(AND(R77=$C$5,$C$6&lt;23),NA(),SUMIFS(Clean_Data!$P$2:$P$1001,Clean_Data!$B$2:$B$1001,R77,Clean_Data!$V$2:$V$1001,1))))</f>
        <v>#N/A</v>
      </c>
      <c r="T77" s="30">
        <f>IF(R77="",NA(),$C$9+$C$10*(R77-$C$4+1)+$C$11*IF(OR(WEEKDAY(R77)=1,WEEKDAY(R77)=7),1,0))</f>
        <v>1604.31434108527</v>
      </c>
      <c r="U77" s="30">
        <f>IF(R77="",NA(),IF(R77&lt;$R$19,NA(),T77-1.96*$C$13))</f>
        <v>969.392610868204</v>
      </c>
      <c r="V77" s="30">
        <f>IF(R77="",NA(),IF(R77&lt;$R$19,NA(),T77+1.96*$C$13))</f>
        <v>2239.23607130234</v>
      </c>
    </row>
    <row r="78" spans="18:22" x14ac:dyDescent="0.25">
      <c r="R78" s="43">
        <f>IF($C$4+48&gt;$R$25,"",$C$4+48)</f>
        <v>40592.0</v>
      </c>
      <c r="S78" s="30" t="e">
        <f>IF(R78="",NA(),IF(R78&gt;$C$5,NA(),IF(AND(R78=$C$5,$C$6&lt;23),NA(),SUMIFS(Clean_Data!$P$2:$P$1001,Clean_Data!$B$2:$B$1001,R78,Clean_Data!$V$2:$V$1001,1))))</f>
        <v>#N/A</v>
      </c>
      <c r="T78" s="30">
        <f>IF(R78="",NA(),$C$9+$C$10*(R78-$C$4+1)+$C$11*IF(OR(WEEKDAY(R78)=1,WEEKDAY(R78)=7),1,0))</f>
        <v>1611.95542635659</v>
      </c>
      <c r="U78" s="30">
        <f>IF(R78="",NA(),IF(R78&lt;$R$19,NA(),T78-1.96*$C$13))</f>
        <v>977.033696139522</v>
      </c>
      <c r="V78" s="30">
        <f>IF(R78="",NA(),IF(R78&lt;$R$19,NA(),T78+1.96*$C$13))</f>
        <v>2246.87715657366</v>
      </c>
    </row>
    <row r="79" spans="18:22" x14ac:dyDescent="0.25">
      <c r="R79" s="43">
        <f>IF($C$4+49&gt;$R$25,"",$C$4+49)</f>
        <v>40593.0</v>
      </c>
      <c r="S79" s="30" t="e">
        <f>IF(R79="",NA(),IF(R79&gt;$C$5,NA(),IF(AND(R79=$C$5,$C$6&lt;23),NA(),SUMIFS(Clean_Data!$P$2:$P$1001,Clean_Data!$B$2:$B$1001,R79,Clean_Data!$V$2:$V$1001,1))))</f>
        <v>#N/A</v>
      </c>
      <c r="T79" s="30">
        <f>IF(R79="",NA(),$C$9+$C$10*(R79-$C$4+1)+$C$11*IF(OR(WEEKDAY(R79)=1,WEEKDAY(R79)=7),1,0))</f>
        <v>1343.62984496124</v>
      </c>
      <c r="U79" s="30">
        <f>IF(R79="",NA(),IF(R79&lt;$R$19,NA(),T79-1.96*$C$13))</f>
        <v>708.708114744174</v>
      </c>
      <c r="V79" s="30">
        <f>IF(R79="",NA(),IF(R79&lt;$R$19,NA(),T79+1.96*$C$13))</f>
        <v>1978.55157517831</v>
      </c>
    </row>
    <row r="80" spans="18:22" x14ac:dyDescent="0.25">
      <c r="R80" s="43">
        <f>IF($C$4+50&gt;$R$25,"",$C$4+50)</f>
        <v>40594.0</v>
      </c>
      <c r="S80" s="30" t="e">
        <f>IF(R80="",NA(),IF(R80&gt;$C$5,NA(),IF(AND(R80=$C$5,$C$6&lt;23),NA(),SUMIFS(Clean_Data!$P$2:$P$1001,Clean_Data!$B$2:$B$1001,R80,Clean_Data!$V$2:$V$1001,1))))</f>
        <v>#N/A</v>
      </c>
      <c r="T80" s="30">
        <f>IF(R80="",NA(),$C$9+$C$10*(R80-$C$4+1)+$C$11*IF(OR(WEEKDAY(R80)=1,WEEKDAY(R80)=7),1,0))</f>
        <v>1351.27093023256</v>
      </c>
      <c r="U80" s="30">
        <f>IF(R80="",NA(),IF(R80&lt;$R$19,NA(),T80-1.96*$C$13))</f>
        <v>716.349200015491</v>
      </c>
      <c r="V80" s="30">
        <f>IF(R80="",NA(),IF(R80&lt;$R$19,NA(),T80+1.96*$C$13))</f>
        <v>1986.19266044962</v>
      </c>
    </row>
    <row r="81" spans="18:22" x14ac:dyDescent="0.25">
      <c r="R81" s="43">
        <f>IF($C$4+51&gt;$R$25,"",$C$4+51)</f>
        <v/>
      </c>
      <c r="S81" s="30" t="e">
        <f>IF(R81="",NA(),IF(R81&gt;$C$5,NA(),IF(AND(R81=$C$5,$C$6&lt;23),NA(),SUMIFS(Clean_Data!$P$2:$P$1001,Clean_Data!$B$2:$B$1001,R81,Clean_Data!$V$2:$V$1001,1))))</f>
        <v>#N/A</v>
      </c>
      <c r="T81" s="30" t="e">
        <f>IF(R81="",NA(),$C$9+$C$10*(R81-$C$4+1)+$C$11*IF(OR(WEEKDAY(R81)=1,WEEKDAY(R81)=7),1,0))</f>
        <v>#N/A</v>
      </c>
      <c r="U81" s="30" t="e">
        <f>IF(R81="",NA(),IF(R81&lt;$R$19,NA(),T81-1.96*$C$13))</f>
        <v>#N/A</v>
      </c>
      <c r="V81" s="30" t="e">
        <f>IF(R81="",NA(),IF(R81&lt;$R$19,NA(),T81+1.96*$C$13))</f>
        <v>#N/A</v>
      </c>
    </row>
  </sheetData>
  <mergeCells count="14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R17:Y17"/>
    <mergeCell ref="R28:V28"/>
  </mergeCells>
  <conditionalFormatting sqref="E19:E63">
    <cfRule type="dataBar" priority="3">
      <dataBar>
        <cfvo type="min"/>
        <cfvo type="max"/>
        <color rgb="FF7FB7BE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</conditionalFormatting>
  <conditionalFormatting sqref="L19:L63">
    <cfRule type="cellIs" dxfId="0" priority="2" operator="equal">
      <formula>"Partial"</formula>
    </cfRule>
  </conditionalFormatting>
  <conditionalFormatting sqref="P19:P63">
    <cfRule type="cellIs" dxfId="1" priority="1" operator="equal">
      <formula>"Anomaly"</formula>
    </cfRule>
  </conditionalFormatting>
  <conditionalFormatting sqref="S30:V81">
    <cfRule type="containsErrors" dxfId="9" priority="4">
      <formula>ISERROR(S30)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border="1" gradient="0" negativeBarBorderColorSameAsPositive="0">
              <x14:cfvo type="autoMin"/>
              <x14:cfvo type="autoMax"/>
              <x14:borderColor rgb="FF7FB7BE"/>
              <x14:negativeFillColor rgb="FFFF0000"/>
              <x14:negativeBorderColor rgb="FFFF0000"/>
              <x14:axisColor rgb="FF000000"/>
            </x14:dataBar>
          </x14:cfRule>
          <xm:sqref>E19:E63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C8553D"/>
  </sheetPr>
  <dimension ref="A1:L28"/>
  <sheetViews>
    <sheetView showGridLines="0" workbookViewId="0"/>
  </sheetViews>
  <sheetFormatPr defaultRowHeight="15"/>
  <cols>
    <col min="1" max="2" width="9.7109375" customWidth="1"/>
    <col min="3" max="6" width="13.7109375" customWidth="1"/>
    <col min="7" max="7" width="16.7109375" customWidth="1"/>
    <col min="8" max="12" width="13.7109375" customWidth="1"/>
  </cols>
  <sheetData>
    <row r="1" spans="1:12">
      <c r="A1" s="12" t="s">
        <v>404</v>
      </c>
    </row>
    <row r="2" spans="1:12">
      <c r="A2" s="2" t="s">
        <v>405</v>
      </c>
    </row>
    <row r="4" spans="1:12">
      <c r="A4" s="27" t="s">
        <v>406</v>
      </c>
      <c r="B4" s="15">
        <f>Lookups!$K$6</f>
        <v>3</v>
      </c>
      <c r="D4" s="27" t="s">
        <v>407</v>
      </c>
      <c r="E4" s="24">
        <f>COUNTIF(Clean_Data!$AN$2:$AN$1001,"High spike")+COUNTIF(Clean_Data!$AN$2:$AN$1001,"Unusual low")</f>
        <v>5</v>
      </c>
      <c r="G4" s="27" t="s">
        <v>408</v>
      </c>
      <c r="H4" s="33">
        <f>IFERROR(E4/COUNTIFS(Clean_Data!$V$2:$V$1001,1),0)</f>
        <v>0.005</v>
      </c>
    </row>
    <row r="6" spans="1:12" ht="28" customHeight="1">
      <c r="A6" s="6" t="s">
        <v>409</v>
      </c>
      <c r="B6" s="6" t="s">
        <v>410</v>
      </c>
      <c r="C6" s="6" t="s">
        <v>0</v>
      </c>
      <c r="D6" s="6" t="s">
        <v>259</v>
      </c>
      <c r="E6" s="6" t="s">
        <v>382</v>
      </c>
      <c r="F6" s="6" t="s">
        <v>260</v>
      </c>
      <c r="G6" s="6" t="s">
        <v>261</v>
      </c>
      <c r="H6" s="6" t="s">
        <v>411</v>
      </c>
      <c r="I6" s="6" t="s">
        <v>412</v>
      </c>
      <c r="J6" s="6" t="s">
        <v>413</v>
      </c>
      <c r="K6" s="6" t="s">
        <v>414</v>
      </c>
      <c r="L6" s="6" t="s">
        <v>415</v>
      </c>
    </row>
    <row r="7" spans="1:12">
      <c r="A7" s="9">
        <v>1</v>
      </c>
      <c r="B7" s="9">
        <f t="array" ref="B7">IFERROR(SMALL(IF((Clean_Data!$AN$2:$AN$1001="High spike")+(Clean_Data!$AN$2:$AN$1001="Unusual low"),ROW(Clean_Data!$AN$2:$AN$1001)-1),A7),"")</f>
        <v>374</v>
      </c>
      <c r="C7" s="9">
        <f>IF($B7="","",INDEX(Clean_Data!$A$2:$A$1001,$B7))</f>
        <v>374</v>
      </c>
      <c r="D7" s="29">
        <f>IF($B7="","",INDEX(Clean_Data!$B$2:$B$1001,$B7))</f>
        <v>40560.0</v>
      </c>
      <c r="E7" s="9" t="str">
        <f>IF($B7="","",INDEX(Clean_Data!$X$2:$X$1001,$B7))</f>
        <v>Mon</v>
      </c>
      <c r="F7" s="9" t="str">
        <f>IF($B7="","",INDEX(Clean_Data!$AB$2:$AB$1001,$B7))</f>
        <v>01:00</v>
      </c>
      <c r="G7" s="9" t="str">
        <f>IF($B7="","",INDEX(Clean_Data!$AA$2:$AA$1001,$B7))</f>
        <v>Mist/Cloudy</v>
      </c>
      <c r="H7" s="9" t="str">
        <f>IF($B7="","",IF(INDEX(Clean_Data!$G$2:$G$1001,$B7)=1,"Yes","No"))</f>
        <v>Yes</v>
      </c>
      <c r="I7" s="9">
        <f>IF($B7="","",INDEX(Clean_Data!$P$2:$P$1001,$B7))</f>
        <v>16</v>
      </c>
      <c r="J7" s="15">
        <f>IF($B7="","",INDEX(Clean_Data!$AL$2:$AL$1001,$B7))</f>
        <v>5.10344827586207</v>
      </c>
      <c r="K7" s="40">
        <f>IF($B7="","",INDEX(Clean_Data!$AM$2:$AM$1001,$B7))</f>
        <v>3.77989348948032</v>
      </c>
      <c r="L7" s="9" t="str">
        <f>IF($B7="","",INDEX(Clean_Data!$AN$2:$AN$1001,$B7))</f>
        <v>High spike</v>
      </c>
    </row>
    <row r="8" spans="1:12">
      <c r="A8" s="9">
        <v>2</v>
      </c>
      <c r="B8" s="9">
        <f t="array" ref="B8">IFERROR(SMALL(IF((Clean_Data!$AN$2:$AN$1001="High spike")+(Clean_Data!$AN$2:$AN$1001="Unusual low"),ROW(Clean_Data!$AN$2:$AN$1001)-1),A8),"")</f>
        <v>381</v>
      </c>
      <c r="C8" s="9">
        <f>IF($B8="","",INDEX(Clean_Data!$A$2:$A$1001,$B8))</f>
        <v>381</v>
      </c>
      <c r="D8" s="29">
        <f>IF($B8="","",INDEX(Clean_Data!$B$2:$B$1001,$B8))</f>
        <v>40560.0</v>
      </c>
      <c r="E8" s="9" t="str">
        <f>IF($B8="","",INDEX(Clean_Data!$X$2:$X$1001,$B8))</f>
        <v>Mon</v>
      </c>
      <c r="F8" s="9" t="str">
        <f>IF($B8="","",INDEX(Clean_Data!$AB$2:$AB$1001,$B8))</f>
        <v>08:00</v>
      </c>
      <c r="G8" s="9" t="str">
        <f>IF($B8="","",INDEX(Clean_Data!$AA$2:$AA$1001,$B8))</f>
        <v>Mist/Cloudy</v>
      </c>
      <c r="H8" s="9" t="str">
        <f>IF($B8="","",IF(INDEX(Clean_Data!$G$2:$G$1001,$B8)=1,"Yes","No"))</f>
        <v>Yes</v>
      </c>
      <c r="I8" s="9">
        <f>IF($B8="","",INDEX(Clean_Data!$P$2:$P$1001,$B8))</f>
        <v>33</v>
      </c>
      <c r="J8" s="15">
        <f>IF($B8="","",INDEX(Clean_Data!$AL$2:$AL$1001,$B8))</f>
        <v>183.535714285714</v>
      </c>
      <c r="K8" s="40">
        <f>IF($B8="","",INDEX(Clean_Data!$AM$2:$AM$1001,$B8))</f>
        <v>-3.08854325012311</v>
      </c>
      <c r="L8" s="9" t="str">
        <f>IF($B8="","",INDEX(Clean_Data!$AN$2:$AN$1001,$B8))</f>
        <v>Unusual low</v>
      </c>
    </row>
    <row r="9" spans="1:12">
      <c r="A9" s="9">
        <v>3</v>
      </c>
      <c r="B9" s="9">
        <f t="array" ref="B9">IFERROR(SMALL(IF((Clean_Data!$AN$2:$AN$1001="High spike")+(Clean_Data!$AN$2:$AN$1001="Unusual low"),ROW(Clean_Data!$AN$2:$AN$1001)-1),A9),"")</f>
        <v>397</v>
      </c>
      <c r="C9" s="9">
        <f>IF($B9="","",INDEX(Clean_Data!$A$2:$A$1001,$B9))</f>
        <v>397</v>
      </c>
      <c r="D9" s="29">
        <f>IF($B9="","",INDEX(Clean_Data!$B$2:$B$1001,$B9))</f>
        <v>40561.0</v>
      </c>
      <c r="E9" s="9" t="str">
        <f>IF($B9="","",INDEX(Clean_Data!$X$2:$X$1001,$B9))</f>
        <v>Tue</v>
      </c>
      <c r="F9" s="9" t="str">
        <f>IF($B9="","",INDEX(Clean_Data!$AB$2:$AB$1001,$B9))</f>
        <v>12:00</v>
      </c>
      <c r="G9" s="9" t="str">
        <f>IF($B9="","",INDEX(Clean_Data!$AA$2:$AA$1001,$B9))</f>
        <v>Mist/Cloudy</v>
      </c>
      <c r="H9" s="9" t="str">
        <f>IF($B9="","",IF(INDEX(Clean_Data!$G$2:$G$1001,$B9)=1,"Yes","No"))</f>
        <v>No</v>
      </c>
      <c r="I9" s="9">
        <f>IF($B9="","",INDEX(Clean_Data!$P$2:$P$1001,$B9))</f>
        <v>3</v>
      </c>
      <c r="J9" s="15">
        <f>IF($B9="","",INDEX(Clean_Data!$AL$2:$AL$1001,$B9))</f>
        <v>64.5862068965517</v>
      </c>
      <c r="K9" s="40">
        <f>IF($B9="","",INDEX(Clean_Data!$AM$2:$AM$1001,$B9))</f>
        <v>-3.28839405491828</v>
      </c>
      <c r="L9" s="9" t="str">
        <f>IF($B9="","",INDEX(Clean_Data!$AN$2:$AN$1001,$B9))</f>
        <v>Unusual low</v>
      </c>
    </row>
    <row r="10" spans="1:12">
      <c r="A10" s="9">
        <v>4</v>
      </c>
      <c r="B10" s="9">
        <f t="array" ref="B10">IFERROR(SMALL(IF((Clean_Data!$AN$2:$AN$1001="High spike")+(Clean_Data!$AN$2:$AN$1001="Unusual low"),ROW(Clean_Data!$AN$2:$AN$1001)-1),A10),"")</f>
        <v>574</v>
      </c>
      <c r="C10" s="9">
        <f>IF($B10="","",INDEX(Clean_Data!$A$2:$A$1001,$B10))</f>
        <v>574</v>
      </c>
      <c r="D10" s="29">
        <f>IF($B10="","",INDEX(Clean_Data!$B$2:$B$1001,$B10))</f>
        <v>40569.0</v>
      </c>
      <c r="E10" s="9" t="str">
        <f>IF($B10="","",INDEX(Clean_Data!$X$2:$X$1001,$B10))</f>
        <v>Wed</v>
      </c>
      <c r="F10" s="9" t="str">
        <f>IF($B10="","",INDEX(Clean_Data!$AB$2:$AB$1001,$B10))</f>
        <v>02:00</v>
      </c>
      <c r="G10" s="9" t="str">
        <f>IF($B10="","",INDEX(Clean_Data!$AA$2:$AA$1001,$B10))</f>
        <v>Light Rain/Snow</v>
      </c>
      <c r="H10" s="9" t="str">
        <f>IF($B10="","",IF(INDEX(Clean_Data!$G$2:$G$1001,$B10)=1,"Yes","No"))</f>
        <v>No</v>
      </c>
      <c r="I10" s="9">
        <f>IF($B10="","",INDEX(Clean_Data!$P$2:$P$1001,$B10))</f>
        <v>10</v>
      </c>
      <c r="J10" s="15">
        <f>IF($B10="","",INDEX(Clean_Data!$AL$2:$AL$1001,$B10))</f>
        <v>2.62962962962963</v>
      </c>
      <c r="K10" s="40">
        <f>IF($B10="","",INDEX(Clean_Data!$AM$2:$AM$1001,$B10))</f>
        <v>3.64516271969646</v>
      </c>
      <c r="L10" s="9" t="str">
        <f>IF($B10="","",INDEX(Clean_Data!$AN$2:$AN$1001,$B10))</f>
        <v>High spike</v>
      </c>
    </row>
    <row r="11" spans="1:12">
      <c r="A11" s="9">
        <v>5</v>
      </c>
      <c r="B11" s="9">
        <f t="array" ref="B11">IFERROR(SMALL(IF((Clean_Data!$AN$2:$AN$1001="High spike")+(Clean_Data!$AN$2:$AN$1001="Unusual low"),ROW(Clean_Data!$AN$2:$AN$1001)-1),A11),"")</f>
        <v>587</v>
      </c>
      <c r="C11" s="9">
        <f>IF($B11="","",INDEX(Clean_Data!$A$2:$A$1001,$B11))</f>
        <v>587</v>
      </c>
      <c r="D11" s="29">
        <f>IF($B11="","",INDEX(Clean_Data!$B$2:$B$1001,$B11))</f>
        <v>40569.0</v>
      </c>
      <c r="E11" s="9" t="str">
        <f>IF($B11="","",INDEX(Clean_Data!$X$2:$X$1001,$B11))</f>
        <v>Wed</v>
      </c>
      <c r="F11" s="9" t="str">
        <f>IF($B11="","",INDEX(Clean_Data!$AB$2:$AB$1001,$B11))</f>
        <v>17:00</v>
      </c>
      <c r="G11" s="9" t="str">
        <f>IF($B11="","",INDEX(Clean_Data!$AA$2:$AA$1001,$B11))</f>
        <v>Light Rain/Snow</v>
      </c>
      <c r="H11" s="9" t="str">
        <f>IF($B11="","",IF(INDEX(Clean_Data!$G$2:$G$1001,$B11)=1,"Yes","No"))</f>
        <v>No</v>
      </c>
      <c r="I11" s="9">
        <f>IF($B11="","",INDEX(Clean_Data!$P$2:$P$1001,$B11))</f>
        <v>26</v>
      </c>
      <c r="J11" s="15">
        <f>IF($B11="","",INDEX(Clean_Data!$AL$2:$AL$1001,$B11))</f>
        <v>165.566666666667</v>
      </c>
      <c r="K11" s="40">
        <f>IF($B11="","",INDEX(Clean_Data!$AM$2:$AM$1001,$B11))</f>
        <v>-3.17102755797147</v>
      </c>
      <c r="L11" s="9" t="str">
        <f>IF($B11="","",INDEX(Clean_Data!$AN$2:$AN$1001,$B11))</f>
        <v>Unusual low</v>
      </c>
    </row>
    <row r="12" spans="1:12">
      <c r="A12" s="9">
        <v>6</v>
      </c>
      <c r="B12" s="9" t="str">
        <f t="array" ref="B12">IFERROR(SMALL(IF((Clean_Data!$AN$2:$AN$1001="High spike")+(Clean_Data!$AN$2:$AN$1001="Unusual low"),ROW(Clean_Data!$AN$2:$AN$1001)-1),A12),"")</f>
        <v/>
      </c>
      <c r="C12" s="9">
        <f>IF($B12="","",INDEX(Clean_Data!$A$2:$A$1001,$B12))</f>
        <v/>
      </c>
      <c r="D12" s="29">
        <f>IF($B12="","",INDEX(Clean_Data!$B$2:$B$1001,$B12))</f>
        <v/>
      </c>
      <c r="E12" s="9">
        <f>IF($B12="","",INDEX(Clean_Data!$X$2:$X$1001,$B12))</f>
        <v/>
      </c>
      <c r="F12" s="9">
        <f>IF($B12="","",INDEX(Clean_Data!$AB$2:$AB$1001,$B12))</f>
        <v/>
      </c>
      <c r="G12" s="9">
        <f>IF($B12="","",INDEX(Clean_Data!$AA$2:$AA$1001,$B12))</f>
        <v/>
      </c>
      <c r="H12" s="9">
        <f>IF($B12="","",IF(INDEX(Clean_Data!$G$2:$G$1001,$B12)=1,"Yes","No"))</f>
        <v/>
      </c>
      <c r="I12" s="9">
        <f>IF($B12="","",INDEX(Clean_Data!$P$2:$P$1001,$B12))</f>
        <v/>
      </c>
      <c r="J12" s="15">
        <f>IF($B12="","",INDEX(Clean_Data!$AL$2:$AL$1001,$B12))</f>
        <v/>
      </c>
      <c r="K12" s="40">
        <f>IF($B12="","",INDEX(Clean_Data!$AM$2:$AM$1001,$B12))</f>
        <v/>
      </c>
      <c r="L12" s="9">
        <f>IF($B12="","",INDEX(Clean_Data!$AN$2:$AN$1001,$B12))</f>
        <v/>
      </c>
    </row>
    <row r="13" spans="1:12">
      <c r="A13" s="9">
        <v>7</v>
      </c>
      <c r="B13" s="9" t="str">
        <f t="array" ref="B13">IFERROR(SMALL(IF((Clean_Data!$AN$2:$AN$1001="High spike")+(Clean_Data!$AN$2:$AN$1001="Unusual low"),ROW(Clean_Data!$AN$2:$AN$1001)-1),A13),"")</f>
        <v/>
      </c>
      <c r="C13" s="9">
        <f>IF($B13="","",INDEX(Clean_Data!$A$2:$A$1001,$B13))</f>
        <v/>
      </c>
      <c r="D13" s="29">
        <f>IF($B13="","",INDEX(Clean_Data!$B$2:$B$1001,$B13))</f>
        <v/>
      </c>
      <c r="E13" s="9">
        <f>IF($B13="","",INDEX(Clean_Data!$X$2:$X$1001,$B13))</f>
        <v/>
      </c>
      <c r="F13" s="9">
        <f>IF($B13="","",INDEX(Clean_Data!$AB$2:$AB$1001,$B13))</f>
        <v/>
      </c>
      <c r="G13" s="9">
        <f>IF($B13="","",INDEX(Clean_Data!$AA$2:$AA$1001,$B13))</f>
        <v/>
      </c>
      <c r="H13" s="9">
        <f>IF($B13="","",IF(INDEX(Clean_Data!$G$2:$G$1001,$B13)=1,"Yes","No"))</f>
        <v/>
      </c>
      <c r="I13" s="9">
        <f>IF($B13="","",INDEX(Clean_Data!$P$2:$P$1001,$B13))</f>
        <v/>
      </c>
      <c r="J13" s="15">
        <f>IF($B13="","",INDEX(Clean_Data!$AL$2:$AL$1001,$B13))</f>
        <v/>
      </c>
      <c r="K13" s="40">
        <f>IF($B13="","",INDEX(Clean_Data!$AM$2:$AM$1001,$B13))</f>
        <v/>
      </c>
      <c r="L13" s="9">
        <f>IF($B13="","",INDEX(Clean_Data!$AN$2:$AN$1001,$B13))</f>
        <v/>
      </c>
    </row>
    <row r="14" spans="1:12">
      <c r="A14" s="9">
        <v>8</v>
      </c>
      <c r="B14" s="9" t="str">
        <f t="array" ref="B14">IFERROR(SMALL(IF((Clean_Data!$AN$2:$AN$1001="High spike")+(Clean_Data!$AN$2:$AN$1001="Unusual low"),ROW(Clean_Data!$AN$2:$AN$1001)-1),A14),"")</f>
        <v/>
      </c>
      <c r="C14" s="9">
        <f>IF($B14="","",INDEX(Clean_Data!$A$2:$A$1001,$B14))</f>
        <v/>
      </c>
      <c r="D14" s="29">
        <f>IF($B14="","",INDEX(Clean_Data!$B$2:$B$1001,$B14))</f>
        <v/>
      </c>
      <c r="E14" s="9">
        <f>IF($B14="","",INDEX(Clean_Data!$X$2:$X$1001,$B14))</f>
        <v/>
      </c>
      <c r="F14" s="9">
        <f>IF($B14="","",INDEX(Clean_Data!$AB$2:$AB$1001,$B14))</f>
        <v/>
      </c>
      <c r="G14" s="9">
        <f>IF($B14="","",INDEX(Clean_Data!$AA$2:$AA$1001,$B14))</f>
        <v/>
      </c>
      <c r="H14" s="9">
        <f>IF($B14="","",IF(INDEX(Clean_Data!$G$2:$G$1001,$B14)=1,"Yes","No"))</f>
        <v/>
      </c>
      <c r="I14" s="9">
        <f>IF($B14="","",INDEX(Clean_Data!$P$2:$P$1001,$B14))</f>
        <v/>
      </c>
      <c r="J14" s="15">
        <f>IF($B14="","",INDEX(Clean_Data!$AL$2:$AL$1001,$B14))</f>
        <v/>
      </c>
      <c r="K14" s="40">
        <f>IF($B14="","",INDEX(Clean_Data!$AM$2:$AM$1001,$B14))</f>
        <v/>
      </c>
      <c r="L14" s="9">
        <f>IF($B14="","",INDEX(Clean_Data!$AN$2:$AN$1001,$B14))</f>
        <v/>
      </c>
    </row>
    <row r="15" spans="1:12">
      <c r="A15" s="9">
        <v>9</v>
      </c>
      <c r="B15" s="9" t="str">
        <f t="array" ref="B15">IFERROR(SMALL(IF((Clean_Data!$AN$2:$AN$1001="High spike")+(Clean_Data!$AN$2:$AN$1001="Unusual low"),ROW(Clean_Data!$AN$2:$AN$1001)-1),A15),"")</f>
        <v/>
      </c>
      <c r="C15" s="9">
        <f>IF($B15="","",INDEX(Clean_Data!$A$2:$A$1001,$B15))</f>
        <v/>
      </c>
      <c r="D15" s="29">
        <f>IF($B15="","",INDEX(Clean_Data!$B$2:$B$1001,$B15))</f>
        <v/>
      </c>
      <c r="E15" s="9">
        <f>IF($B15="","",INDEX(Clean_Data!$X$2:$X$1001,$B15))</f>
        <v/>
      </c>
      <c r="F15" s="9">
        <f>IF($B15="","",INDEX(Clean_Data!$AB$2:$AB$1001,$B15))</f>
        <v/>
      </c>
      <c r="G15" s="9">
        <f>IF($B15="","",INDEX(Clean_Data!$AA$2:$AA$1001,$B15))</f>
        <v/>
      </c>
      <c r="H15" s="9">
        <f>IF($B15="","",IF(INDEX(Clean_Data!$G$2:$G$1001,$B15)=1,"Yes","No"))</f>
        <v/>
      </c>
      <c r="I15" s="9">
        <f>IF($B15="","",INDEX(Clean_Data!$P$2:$P$1001,$B15))</f>
        <v/>
      </c>
      <c r="J15" s="15">
        <f>IF($B15="","",INDEX(Clean_Data!$AL$2:$AL$1001,$B15))</f>
        <v/>
      </c>
      <c r="K15" s="40">
        <f>IF($B15="","",INDEX(Clean_Data!$AM$2:$AM$1001,$B15))</f>
        <v/>
      </c>
      <c r="L15" s="9">
        <f>IF($B15="","",INDEX(Clean_Data!$AN$2:$AN$1001,$B15))</f>
        <v/>
      </c>
    </row>
    <row r="16" spans="1:12">
      <c r="A16" s="9">
        <v>10</v>
      </c>
      <c r="B16" s="9" t="str">
        <f t="array" ref="B16">IFERROR(SMALL(IF((Clean_Data!$AN$2:$AN$1001="High spike")+(Clean_Data!$AN$2:$AN$1001="Unusual low"),ROW(Clean_Data!$AN$2:$AN$1001)-1),A16),"")</f>
        <v/>
      </c>
      <c r="C16" s="9">
        <f>IF($B16="","",INDEX(Clean_Data!$A$2:$A$1001,$B16))</f>
        <v/>
      </c>
      <c r="D16" s="29">
        <f>IF($B16="","",INDEX(Clean_Data!$B$2:$B$1001,$B16))</f>
        <v/>
      </c>
      <c r="E16" s="9">
        <f>IF($B16="","",INDEX(Clean_Data!$X$2:$X$1001,$B16))</f>
        <v/>
      </c>
      <c r="F16" s="9">
        <f>IF($B16="","",INDEX(Clean_Data!$AB$2:$AB$1001,$B16))</f>
        <v/>
      </c>
      <c r="G16" s="9">
        <f>IF($B16="","",INDEX(Clean_Data!$AA$2:$AA$1001,$B16))</f>
        <v/>
      </c>
      <c r="H16" s="9">
        <f>IF($B16="","",IF(INDEX(Clean_Data!$G$2:$G$1001,$B16)=1,"Yes","No"))</f>
        <v/>
      </c>
      <c r="I16" s="9">
        <f>IF($B16="","",INDEX(Clean_Data!$P$2:$P$1001,$B16))</f>
        <v/>
      </c>
      <c r="J16" s="15">
        <f>IF($B16="","",INDEX(Clean_Data!$AL$2:$AL$1001,$B16))</f>
        <v/>
      </c>
      <c r="K16" s="40">
        <f>IF($B16="","",INDEX(Clean_Data!$AM$2:$AM$1001,$B16))</f>
        <v/>
      </c>
      <c r="L16" s="9">
        <f>IF($B16="","",INDEX(Clean_Data!$AN$2:$AN$1001,$B16))</f>
        <v/>
      </c>
    </row>
    <row r="17" spans="1:12">
      <c r="A17" s="9">
        <v>11</v>
      </c>
      <c r="B17" s="9" t="str">
        <f t="array" ref="B17">IFERROR(SMALL(IF((Clean_Data!$AN$2:$AN$1001="High spike")+(Clean_Data!$AN$2:$AN$1001="Unusual low"),ROW(Clean_Data!$AN$2:$AN$1001)-1),A17),"")</f>
        <v/>
      </c>
      <c r="C17" s="9">
        <f>IF($B17="","",INDEX(Clean_Data!$A$2:$A$1001,$B17))</f>
        <v/>
      </c>
      <c r="D17" s="29">
        <f>IF($B17="","",INDEX(Clean_Data!$B$2:$B$1001,$B17))</f>
        <v/>
      </c>
      <c r="E17" s="9">
        <f>IF($B17="","",INDEX(Clean_Data!$X$2:$X$1001,$B17))</f>
        <v/>
      </c>
      <c r="F17" s="9">
        <f>IF($B17="","",INDEX(Clean_Data!$AB$2:$AB$1001,$B17))</f>
        <v/>
      </c>
      <c r="G17" s="9">
        <f>IF($B17="","",INDEX(Clean_Data!$AA$2:$AA$1001,$B17))</f>
        <v/>
      </c>
      <c r="H17" s="9">
        <f>IF($B17="","",IF(INDEX(Clean_Data!$G$2:$G$1001,$B17)=1,"Yes","No"))</f>
        <v/>
      </c>
      <c r="I17" s="9">
        <f>IF($B17="","",INDEX(Clean_Data!$P$2:$P$1001,$B17))</f>
        <v/>
      </c>
      <c r="J17" s="15">
        <f>IF($B17="","",INDEX(Clean_Data!$AL$2:$AL$1001,$B17))</f>
        <v/>
      </c>
      <c r="K17" s="40">
        <f>IF($B17="","",INDEX(Clean_Data!$AM$2:$AM$1001,$B17))</f>
        <v/>
      </c>
      <c r="L17" s="9">
        <f>IF($B17="","",INDEX(Clean_Data!$AN$2:$AN$1001,$B17))</f>
        <v/>
      </c>
    </row>
    <row r="18" spans="1:12">
      <c r="A18" s="9">
        <v>12</v>
      </c>
      <c r="B18" s="9" t="str">
        <f t="array" ref="B18">IFERROR(SMALL(IF((Clean_Data!$AN$2:$AN$1001="High spike")+(Clean_Data!$AN$2:$AN$1001="Unusual low"),ROW(Clean_Data!$AN$2:$AN$1001)-1),A18),"")</f>
        <v/>
      </c>
      <c r="C18" s="9">
        <f>IF($B18="","",INDEX(Clean_Data!$A$2:$A$1001,$B18))</f>
        <v/>
      </c>
      <c r="D18" s="29">
        <f>IF($B18="","",INDEX(Clean_Data!$B$2:$B$1001,$B18))</f>
        <v/>
      </c>
      <c r="E18" s="9">
        <f>IF($B18="","",INDEX(Clean_Data!$X$2:$X$1001,$B18))</f>
        <v/>
      </c>
      <c r="F18" s="9">
        <f>IF($B18="","",INDEX(Clean_Data!$AB$2:$AB$1001,$B18))</f>
        <v/>
      </c>
      <c r="G18" s="9">
        <f>IF($B18="","",INDEX(Clean_Data!$AA$2:$AA$1001,$B18))</f>
        <v/>
      </c>
      <c r="H18" s="9">
        <f>IF($B18="","",IF(INDEX(Clean_Data!$G$2:$G$1001,$B18)=1,"Yes","No"))</f>
        <v/>
      </c>
      <c r="I18" s="9">
        <f>IF($B18="","",INDEX(Clean_Data!$P$2:$P$1001,$B18))</f>
        <v/>
      </c>
      <c r="J18" s="15">
        <f>IF($B18="","",INDEX(Clean_Data!$AL$2:$AL$1001,$B18))</f>
        <v/>
      </c>
      <c r="K18" s="40">
        <f>IF($B18="","",INDEX(Clean_Data!$AM$2:$AM$1001,$B18))</f>
        <v/>
      </c>
      <c r="L18" s="9">
        <f>IF($B18="","",INDEX(Clean_Data!$AN$2:$AN$1001,$B18))</f>
        <v/>
      </c>
    </row>
    <row r="19" spans="1:12">
      <c r="A19" s="9">
        <v>13</v>
      </c>
      <c r="B19" s="9" t="str">
        <f t="array" ref="B19">IFERROR(SMALL(IF((Clean_Data!$AN$2:$AN$1001="High spike")+(Clean_Data!$AN$2:$AN$1001="Unusual low"),ROW(Clean_Data!$AN$2:$AN$1001)-1),A19),"")</f>
        <v/>
      </c>
      <c r="C19" s="9">
        <f>IF($B19="","",INDEX(Clean_Data!$A$2:$A$1001,$B19))</f>
        <v/>
      </c>
      <c r="D19" s="29">
        <f>IF($B19="","",INDEX(Clean_Data!$B$2:$B$1001,$B19))</f>
        <v/>
      </c>
      <c r="E19" s="9">
        <f>IF($B19="","",INDEX(Clean_Data!$X$2:$X$1001,$B19))</f>
        <v/>
      </c>
      <c r="F19" s="9">
        <f>IF($B19="","",INDEX(Clean_Data!$AB$2:$AB$1001,$B19))</f>
        <v/>
      </c>
      <c r="G19" s="9">
        <f>IF($B19="","",INDEX(Clean_Data!$AA$2:$AA$1001,$B19))</f>
        <v/>
      </c>
      <c r="H19" s="9">
        <f>IF($B19="","",IF(INDEX(Clean_Data!$G$2:$G$1001,$B19)=1,"Yes","No"))</f>
        <v/>
      </c>
      <c r="I19" s="9">
        <f>IF($B19="","",INDEX(Clean_Data!$P$2:$P$1001,$B19))</f>
        <v/>
      </c>
      <c r="J19" s="15">
        <f>IF($B19="","",INDEX(Clean_Data!$AL$2:$AL$1001,$B19))</f>
        <v/>
      </c>
      <c r="K19" s="40">
        <f>IF($B19="","",INDEX(Clean_Data!$AM$2:$AM$1001,$B19))</f>
        <v/>
      </c>
      <c r="L19" s="9">
        <f>IF($B19="","",INDEX(Clean_Data!$AN$2:$AN$1001,$B19))</f>
        <v/>
      </c>
    </row>
    <row r="20" spans="1:12">
      <c r="A20" s="9">
        <v>14</v>
      </c>
      <c r="B20" s="9" t="str">
        <f t="array" ref="B20">IFERROR(SMALL(IF((Clean_Data!$AN$2:$AN$1001="High spike")+(Clean_Data!$AN$2:$AN$1001="Unusual low"),ROW(Clean_Data!$AN$2:$AN$1001)-1),A20),"")</f>
        <v/>
      </c>
      <c r="C20" s="9">
        <f>IF($B20="","",INDEX(Clean_Data!$A$2:$A$1001,$B20))</f>
        <v/>
      </c>
      <c r="D20" s="29">
        <f>IF($B20="","",INDEX(Clean_Data!$B$2:$B$1001,$B20))</f>
        <v/>
      </c>
      <c r="E20" s="9">
        <f>IF($B20="","",INDEX(Clean_Data!$X$2:$X$1001,$B20))</f>
        <v/>
      </c>
      <c r="F20" s="9">
        <f>IF($B20="","",INDEX(Clean_Data!$AB$2:$AB$1001,$B20))</f>
        <v/>
      </c>
      <c r="G20" s="9">
        <f>IF($B20="","",INDEX(Clean_Data!$AA$2:$AA$1001,$B20))</f>
        <v/>
      </c>
      <c r="H20" s="9">
        <f>IF($B20="","",IF(INDEX(Clean_Data!$G$2:$G$1001,$B20)=1,"Yes","No"))</f>
        <v/>
      </c>
      <c r="I20" s="9">
        <f>IF($B20="","",INDEX(Clean_Data!$P$2:$P$1001,$B20))</f>
        <v/>
      </c>
      <c r="J20" s="15">
        <f>IF($B20="","",INDEX(Clean_Data!$AL$2:$AL$1001,$B20))</f>
        <v/>
      </c>
      <c r="K20" s="40">
        <f>IF($B20="","",INDEX(Clean_Data!$AM$2:$AM$1001,$B20))</f>
        <v/>
      </c>
      <c r="L20" s="9">
        <f>IF($B20="","",INDEX(Clean_Data!$AN$2:$AN$1001,$B20))</f>
        <v/>
      </c>
    </row>
    <row r="21" spans="1:12">
      <c r="A21" s="9">
        <v>15</v>
      </c>
      <c r="B21" s="9" t="str">
        <f t="array" ref="B21">IFERROR(SMALL(IF((Clean_Data!$AN$2:$AN$1001="High spike")+(Clean_Data!$AN$2:$AN$1001="Unusual low"),ROW(Clean_Data!$AN$2:$AN$1001)-1),A21),"")</f>
        <v/>
      </c>
      <c r="C21" s="9">
        <f>IF($B21="","",INDEX(Clean_Data!$A$2:$A$1001,$B21))</f>
        <v/>
      </c>
      <c r="D21" s="29">
        <f>IF($B21="","",INDEX(Clean_Data!$B$2:$B$1001,$B21))</f>
        <v/>
      </c>
      <c r="E21" s="9">
        <f>IF($B21="","",INDEX(Clean_Data!$X$2:$X$1001,$B21))</f>
        <v/>
      </c>
      <c r="F21" s="9">
        <f>IF($B21="","",INDEX(Clean_Data!$AB$2:$AB$1001,$B21))</f>
        <v/>
      </c>
      <c r="G21" s="9">
        <f>IF($B21="","",INDEX(Clean_Data!$AA$2:$AA$1001,$B21))</f>
        <v/>
      </c>
      <c r="H21" s="9">
        <f>IF($B21="","",IF(INDEX(Clean_Data!$G$2:$G$1001,$B21)=1,"Yes","No"))</f>
        <v/>
      </c>
      <c r="I21" s="9">
        <f>IF($B21="","",INDEX(Clean_Data!$P$2:$P$1001,$B21))</f>
        <v/>
      </c>
      <c r="J21" s="15">
        <f>IF($B21="","",INDEX(Clean_Data!$AL$2:$AL$1001,$B21))</f>
        <v/>
      </c>
      <c r="K21" s="40">
        <f>IF($B21="","",INDEX(Clean_Data!$AM$2:$AM$1001,$B21))</f>
        <v/>
      </c>
      <c r="L21" s="9">
        <f>IF($B21="","",INDEX(Clean_Data!$AN$2:$AN$1001,$B21))</f>
        <v/>
      </c>
    </row>
    <row r="22" spans="1:12">
      <c r="A22" s="9">
        <v>16</v>
      </c>
      <c r="B22" s="9" t="str">
        <f t="array" ref="B22">IFERROR(SMALL(IF((Clean_Data!$AN$2:$AN$1001="High spike")+(Clean_Data!$AN$2:$AN$1001="Unusual low"),ROW(Clean_Data!$AN$2:$AN$1001)-1),A22),"")</f>
        <v/>
      </c>
      <c r="C22" s="9">
        <f>IF($B22="","",INDEX(Clean_Data!$A$2:$A$1001,$B22))</f>
        <v/>
      </c>
      <c r="D22" s="29">
        <f>IF($B22="","",INDEX(Clean_Data!$B$2:$B$1001,$B22))</f>
        <v/>
      </c>
      <c r="E22" s="9">
        <f>IF($B22="","",INDEX(Clean_Data!$X$2:$X$1001,$B22))</f>
        <v/>
      </c>
      <c r="F22" s="9">
        <f>IF($B22="","",INDEX(Clean_Data!$AB$2:$AB$1001,$B22))</f>
        <v/>
      </c>
      <c r="G22" s="9">
        <f>IF($B22="","",INDEX(Clean_Data!$AA$2:$AA$1001,$B22))</f>
        <v/>
      </c>
      <c r="H22" s="9">
        <f>IF($B22="","",IF(INDEX(Clean_Data!$G$2:$G$1001,$B22)=1,"Yes","No"))</f>
        <v/>
      </c>
      <c r="I22" s="9">
        <f>IF($B22="","",INDEX(Clean_Data!$P$2:$P$1001,$B22))</f>
        <v/>
      </c>
      <c r="J22" s="15">
        <f>IF($B22="","",INDEX(Clean_Data!$AL$2:$AL$1001,$B22))</f>
        <v/>
      </c>
      <c r="K22" s="40">
        <f>IF($B22="","",INDEX(Clean_Data!$AM$2:$AM$1001,$B22))</f>
        <v/>
      </c>
      <c r="L22" s="9">
        <f>IF($B22="","",INDEX(Clean_Data!$AN$2:$AN$1001,$B22))</f>
        <v/>
      </c>
    </row>
    <row r="23" spans="1:12">
      <c r="A23" s="9">
        <v>17</v>
      </c>
      <c r="B23" s="9" t="str">
        <f t="array" ref="B23">IFERROR(SMALL(IF((Clean_Data!$AN$2:$AN$1001="High spike")+(Clean_Data!$AN$2:$AN$1001="Unusual low"),ROW(Clean_Data!$AN$2:$AN$1001)-1),A23),"")</f>
        <v/>
      </c>
      <c r="C23" s="9">
        <f>IF($B23="","",INDEX(Clean_Data!$A$2:$A$1001,$B23))</f>
        <v/>
      </c>
      <c r="D23" s="29">
        <f>IF($B23="","",INDEX(Clean_Data!$B$2:$B$1001,$B23))</f>
        <v/>
      </c>
      <c r="E23" s="9">
        <f>IF($B23="","",INDEX(Clean_Data!$X$2:$X$1001,$B23))</f>
        <v/>
      </c>
      <c r="F23" s="9">
        <f>IF($B23="","",INDEX(Clean_Data!$AB$2:$AB$1001,$B23))</f>
        <v/>
      </c>
      <c r="G23" s="9">
        <f>IF($B23="","",INDEX(Clean_Data!$AA$2:$AA$1001,$B23))</f>
        <v/>
      </c>
      <c r="H23" s="9">
        <f>IF($B23="","",IF(INDEX(Clean_Data!$G$2:$G$1001,$B23)=1,"Yes","No"))</f>
        <v/>
      </c>
      <c r="I23" s="9">
        <f>IF($B23="","",INDEX(Clean_Data!$P$2:$P$1001,$B23))</f>
        <v/>
      </c>
      <c r="J23" s="15">
        <f>IF($B23="","",INDEX(Clean_Data!$AL$2:$AL$1001,$B23))</f>
        <v/>
      </c>
      <c r="K23" s="40">
        <f>IF($B23="","",INDEX(Clean_Data!$AM$2:$AM$1001,$B23))</f>
        <v/>
      </c>
      <c r="L23" s="9">
        <f>IF($B23="","",INDEX(Clean_Data!$AN$2:$AN$1001,$B23))</f>
        <v/>
      </c>
    </row>
    <row r="24" spans="1:12">
      <c r="A24" s="9">
        <v>18</v>
      </c>
      <c r="B24" s="9" t="str">
        <f t="array" ref="B24">IFERROR(SMALL(IF((Clean_Data!$AN$2:$AN$1001="High spike")+(Clean_Data!$AN$2:$AN$1001="Unusual low"),ROW(Clean_Data!$AN$2:$AN$1001)-1),A24),"")</f>
        <v/>
      </c>
      <c r="C24" s="9">
        <f>IF($B24="","",INDEX(Clean_Data!$A$2:$A$1001,$B24))</f>
        <v/>
      </c>
      <c r="D24" s="29">
        <f>IF($B24="","",INDEX(Clean_Data!$B$2:$B$1001,$B24))</f>
        <v/>
      </c>
      <c r="E24" s="9">
        <f>IF($B24="","",INDEX(Clean_Data!$X$2:$X$1001,$B24))</f>
        <v/>
      </c>
      <c r="F24" s="9">
        <f>IF($B24="","",INDEX(Clean_Data!$AB$2:$AB$1001,$B24))</f>
        <v/>
      </c>
      <c r="G24" s="9">
        <f>IF($B24="","",INDEX(Clean_Data!$AA$2:$AA$1001,$B24))</f>
        <v/>
      </c>
      <c r="H24" s="9">
        <f>IF($B24="","",IF(INDEX(Clean_Data!$G$2:$G$1001,$B24)=1,"Yes","No"))</f>
        <v/>
      </c>
      <c r="I24" s="9">
        <f>IF($B24="","",INDEX(Clean_Data!$P$2:$P$1001,$B24))</f>
        <v/>
      </c>
      <c r="J24" s="15">
        <f>IF($B24="","",INDEX(Clean_Data!$AL$2:$AL$1001,$B24))</f>
        <v/>
      </c>
      <c r="K24" s="40">
        <f>IF($B24="","",INDEX(Clean_Data!$AM$2:$AM$1001,$B24))</f>
        <v/>
      </c>
      <c r="L24" s="9">
        <f>IF($B24="","",INDEX(Clean_Data!$AN$2:$AN$1001,$B24))</f>
        <v/>
      </c>
    </row>
    <row r="25" spans="1:12">
      <c r="A25" s="9">
        <v>19</v>
      </c>
      <c r="B25" s="9" t="str">
        <f t="array" ref="B25">IFERROR(SMALL(IF((Clean_Data!$AN$2:$AN$1001="High spike")+(Clean_Data!$AN$2:$AN$1001="Unusual low"),ROW(Clean_Data!$AN$2:$AN$1001)-1),A25),"")</f>
        <v/>
      </c>
      <c r="C25" s="9">
        <f>IF($B25="","",INDEX(Clean_Data!$A$2:$A$1001,$B25))</f>
        <v/>
      </c>
      <c r="D25" s="29">
        <f>IF($B25="","",INDEX(Clean_Data!$B$2:$B$1001,$B25))</f>
        <v/>
      </c>
      <c r="E25" s="9">
        <f>IF($B25="","",INDEX(Clean_Data!$X$2:$X$1001,$B25))</f>
        <v/>
      </c>
      <c r="F25" s="9">
        <f>IF($B25="","",INDEX(Clean_Data!$AB$2:$AB$1001,$B25))</f>
        <v/>
      </c>
      <c r="G25" s="9">
        <f>IF($B25="","",INDEX(Clean_Data!$AA$2:$AA$1001,$B25))</f>
        <v/>
      </c>
      <c r="H25" s="9">
        <f>IF($B25="","",IF(INDEX(Clean_Data!$G$2:$G$1001,$B25)=1,"Yes","No"))</f>
        <v/>
      </c>
      <c r="I25" s="9">
        <f>IF($B25="","",INDEX(Clean_Data!$P$2:$P$1001,$B25))</f>
        <v/>
      </c>
      <c r="J25" s="15">
        <f>IF($B25="","",INDEX(Clean_Data!$AL$2:$AL$1001,$B25))</f>
        <v/>
      </c>
      <c r="K25" s="40">
        <f>IF($B25="","",INDEX(Clean_Data!$AM$2:$AM$1001,$B25))</f>
        <v/>
      </c>
      <c r="L25" s="9">
        <f>IF($B25="","",INDEX(Clean_Data!$AN$2:$AN$1001,$B25))</f>
        <v/>
      </c>
    </row>
    <row r="26" spans="1:12">
      <c r="A26" s="9">
        <v>20</v>
      </c>
      <c r="B26" s="9" t="str">
        <f t="array" ref="B26">IFERROR(SMALL(IF((Clean_Data!$AN$2:$AN$1001="High spike")+(Clean_Data!$AN$2:$AN$1001="Unusual low"),ROW(Clean_Data!$AN$2:$AN$1001)-1),A26),"")</f>
        <v/>
      </c>
      <c r="C26" s="9">
        <f>IF($B26="","",INDEX(Clean_Data!$A$2:$A$1001,$B26))</f>
        <v/>
      </c>
      <c r="D26" s="29">
        <f>IF($B26="","",INDEX(Clean_Data!$B$2:$B$1001,$B26))</f>
        <v/>
      </c>
      <c r="E26" s="9">
        <f>IF($B26="","",INDEX(Clean_Data!$X$2:$X$1001,$B26))</f>
        <v/>
      </c>
      <c r="F26" s="9">
        <f>IF($B26="","",INDEX(Clean_Data!$AB$2:$AB$1001,$B26))</f>
        <v/>
      </c>
      <c r="G26" s="9">
        <f>IF($B26="","",INDEX(Clean_Data!$AA$2:$AA$1001,$B26))</f>
        <v/>
      </c>
      <c r="H26" s="9">
        <f>IF($B26="","",IF(INDEX(Clean_Data!$G$2:$G$1001,$B26)=1,"Yes","No"))</f>
        <v/>
      </c>
      <c r="I26" s="9">
        <f>IF($B26="","",INDEX(Clean_Data!$P$2:$P$1001,$B26))</f>
        <v/>
      </c>
      <c r="J26" s="15">
        <f>IF($B26="","",INDEX(Clean_Data!$AL$2:$AL$1001,$B26))</f>
        <v/>
      </c>
      <c r="K26" s="40">
        <f>IF($B26="","",INDEX(Clean_Data!$AM$2:$AM$1001,$B26))</f>
        <v/>
      </c>
      <c r="L26" s="9">
        <f>IF($B26="","",INDEX(Clean_Data!$AN$2:$AN$1001,$B26))</f>
        <v/>
      </c>
    </row>
    <row r="28" spans="1:12">
      <c r="A28" s="2" t="s">
        <v>416</v>
      </c>
    </row>
  </sheetData>
  <conditionalFormatting sqref="L7:L26">
    <cfRule type="cellIs" dxfId="1" priority="1" operator="equal">
      <formula>"High spike"</formula>
    </cfRule>
    <cfRule type="cellIs" dxfId="2" priority="2" operator="equal">
      <formula>"Unusual low"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E9A23B"/>
    <pageSetUpPr fitToPage="1"/>
  </sheetPr>
  <dimension ref="B1:S69"/>
  <sheetViews>
    <sheetView showGridLines="0" workbookViewId="0"/>
  </sheetViews>
  <sheetFormatPr defaultRowHeight="15"/>
  <cols>
    <col min="1" max="1" width="2.7109375" customWidth="1"/>
    <col min="2" max="19" width="9.85546875" customWidth="1"/>
  </cols>
  <sheetData>
    <row r="1" spans="2:19" ht="22" customHeight="1">
      <c r="B1" s="44" t="s">
        <v>436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2" spans="2:19" ht="22" customHeight="1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4" spans="2:19">
      <c r="B4" s="45" t="s">
        <v>262</v>
      </c>
      <c r="C4" s="46" t="s">
        <v>423</v>
      </c>
      <c r="D4" s="46"/>
      <c r="F4" s="45" t="s">
        <v>437</v>
      </c>
      <c r="G4" s="47">
        <v>40544</v>
      </c>
      <c r="H4" s="47"/>
      <c r="J4" s="48" t="s">
        <v>439</v>
      </c>
      <c r="K4" s="48"/>
      <c r="L4" s="48"/>
      <c r="M4" s="48"/>
      <c r="N4" s="48"/>
      <c r="O4" s="48"/>
      <c r="P4" s="48"/>
      <c r="Q4" s="48"/>
      <c r="R4" s="48"/>
      <c r="S4" s="48"/>
    </row>
    <row r="5" spans="2:19">
      <c r="B5" s="45" t="s">
        <v>261</v>
      </c>
      <c r="C5" s="46" t="s">
        <v>423</v>
      </c>
      <c r="D5" s="46"/>
      <c r="F5" s="45" t="s">
        <v>438</v>
      </c>
      <c r="G5" s="47">
        <v>40588</v>
      </c>
      <c r="H5" s="47"/>
      <c r="J5" s="48"/>
      <c r="K5" s="48"/>
      <c r="L5" s="48"/>
      <c r="M5" s="48"/>
      <c r="N5" s="48"/>
      <c r="O5" s="48"/>
      <c r="P5" s="48"/>
      <c r="Q5" s="48"/>
      <c r="R5" s="48"/>
      <c r="S5" s="48"/>
    </row>
    <row r="7" spans="2:19">
      <c r="B7" s="49" t="s">
        <v>440</v>
      </c>
      <c r="C7" s="49"/>
      <c r="D7" s="49"/>
      <c r="E7" s="49" t="s">
        <v>441</v>
      </c>
      <c r="F7" s="49"/>
      <c r="G7" s="49"/>
      <c r="H7" s="49" t="s">
        <v>442</v>
      </c>
      <c r="I7" s="49"/>
      <c r="J7" s="49"/>
      <c r="K7" s="49" t="s">
        <v>443</v>
      </c>
      <c r="L7" s="49"/>
      <c r="M7" s="49"/>
      <c r="N7" s="49" t="s">
        <v>444</v>
      </c>
      <c r="O7" s="49"/>
      <c r="P7" s="49"/>
      <c r="Q7" s="49" t="s">
        <v>445</v>
      </c>
      <c r="R7" s="49"/>
      <c r="S7" s="49"/>
    </row>
    <row r="8" spans="2:19" ht="32" customHeight="1">
      <c r="B8" s="50">
        <f>Dash_Calc!B11</f>
        <v>58304</v>
      </c>
      <c r="C8" s="50"/>
      <c r="D8" s="50"/>
      <c r="E8" s="51">
        <f>Dash_Calc!B12</f>
        <v>58.304</v>
      </c>
      <c r="F8" s="51"/>
      <c r="G8" s="51"/>
      <c r="H8" s="52" t="str">
        <f>Dash_Calc!B16</f>
        <v>17:00</v>
      </c>
      <c r="I8" s="52"/>
      <c r="J8" s="52"/>
      <c r="K8" s="53">
        <f>Dash_Calc!B15</f>
        <v>0.915597557628979</v>
      </c>
      <c r="L8" s="53"/>
      <c r="M8" s="53"/>
      <c r="N8" s="54">
        <f>Dash_Calc!B18</f>
        <v>8.4404</v>
      </c>
      <c r="O8" s="54"/>
      <c r="P8" s="54"/>
      <c r="Q8" s="55">
        <f>Dash_Calc!B19</f>
        <v>45</v>
      </c>
      <c r="R8" s="55"/>
      <c r="S8" s="55"/>
    </row>
    <row r="9" spans="2:19">
      <c r="B9" s="56" t="str">
        <f>"in selected period"</f>
        <v>in selected period</v>
      </c>
      <c r="C9" s="56"/>
      <c r="D9" s="56"/>
      <c r="E9" s="56" t="str">
        <f>TEXT(Dash_Calc!B10,"#,##0")&amp;" hourly records"</f>
        <v>1,000 hourly records</v>
      </c>
      <c r="F9" s="56"/>
      <c r="G9" s="56"/>
      <c r="H9" s="56" t="str">
        <f>"avg "&amp;TEXT(Dash_Calc!B17,"0")&amp;" rentals / hour"</f>
        <v>avg 140 rentals / hour</v>
      </c>
      <c r="I9" s="56"/>
      <c r="J9" s="56"/>
      <c r="K9" s="56" t="str">
        <f>"casual "&amp;TEXT(1-Dash_Calc!B15,"0.0%")</f>
        <v>casual 8.4%</v>
      </c>
      <c r="L9" s="56"/>
      <c r="M9" s="56"/>
      <c r="N9" s="56" t="str">
        <f>"selected period"</f>
        <v>selected period</v>
      </c>
      <c r="O9" s="56"/>
      <c r="P9" s="56"/>
      <c r="Q9" s="56" t="str">
        <f>"days with data"</f>
        <v>days with data</v>
      </c>
      <c r="R9" s="56"/>
      <c r="S9" s="56"/>
    </row>
    <row r="43" spans="2:19">
      <c r="B43" s="21" t="s">
        <v>446</v>
      </c>
      <c r="C43" s="21"/>
      <c r="D43" s="21"/>
      <c r="E43" s="21"/>
      <c r="F43" s="21"/>
      <c r="G43" s="21"/>
      <c r="H43" s="21"/>
      <c r="I43" s="21"/>
      <c r="K43" s="21" t="s">
        <v>448</v>
      </c>
      <c r="L43" s="21"/>
      <c r="M43" s="21"/>
      <c r="N43" s="21"/>
      <c r="O43" s="21"/>
      <c r="P43" s="21"/>
      <c r="Q43" s="21"/>
      <c r="R43" s="21"/>
      <c r="S43" s="21"/>
    </row>
    <row r="44" spans="2:19">
      <c r="B44" s="34" t="s">
        <v>447</v>
      </c>
      <c r="C44" s="35">
        <v>0</v>
      </c>
      <c r="D44" s="35">
        <v>1</v>
      </c>
      <c r="E44" s="35">
        <v>2</v>
      </c>
      <c r="F44" s="35">
        <v>3</v>
      </c>
      <c r="G44" s="35">
        <v>4</v>
      </c>
      <c r="H44" s="35">
        <v>5</v>
      </c>
      <c r="I44" s="35">
        <v>6</v>
      </c>
      <c r="K44" s="57" t="str">
        <f>Insights!B5</f>
        <v>Demand follows a commuter pattern. The evening peak is at 17:00 (average 140 rentals per hour) and the morning peak at 08:00 (average 128). The quietest hour is 04:00 with 2.2.</v>
      </c>
      <c r="L44" s="57"/>
      <c r="M44" s="57"/>
      <c r="N44" s="57"/>
      <c r="O44" s="57"/>
      <c r="P44" s="57"/>
      <c r="Q44" s="57"/>
      <c r="R44" s="57"/>
      <c r="S44" s="57"/>
    </row>
    <row r="45" spans="2:19">
      <c r="B45" s="6" t="s">
        <v>260</v>
      </c>
      <c r="C45" s="6" t="str">
        <f>VLOOKUP(C44,Lookups!$M$4:$N$10,2,FALSE)</f>
        <v>Sun</v>
      </c>
      <c r="D45" s="6" t="str">
        <f>VLOOKUP(D44,Lookups!$M$4:$N$10,2,FALSE)</f>
        <v>Mon</v>
      </c>
      <c r="E45" s="6" t="str">
        <f>VLOOKUP(E44,Lookups!$M$4:$N$10,2,FALSE)</f>
        <v>Tue</v>
      </c>
      <c r="F45" s="6" t="str">
        <f>VLOOKUP(F44,Lookups!$M$4:$N$10,2,FALSE)</f>
        <v>Wed</v>
      </c>
      <c r="G45" s="6" t="str">
        <f>VLOOKUP(G44,Lookups!$M$4:$N$10,2,FALSE)</f>
        <v>Thu</v>
      </c>
      <c r="H45" s="6" t="str">
        <f>VLOOKUP(H44,Lookups!$M$4:$N$10,2,FALSE)</f>
        <v>Fri</v>
      </c>
      <c r="I45" s="6" t="str">
        <f>VLOOKUP(I44,Lookups!$M$4:$N$10,2,FALSE)</f>
        <v>Sat</v>
      </c>
      <c r="K45" s="57"/>
      <c r="L45" s="57"/>
      <c r="M45" s="57"/>
      <c r="N45" s="57"/>
      <c r="O45" s="57"/>
      <c r="P45" s="57"/>
      <c r="Q45" s="57"/>
      <c r="R45" s="57"/>
      <c r="S45" s="57"/>
    </row>
    <row r="46" spans="2:19">
      <c r="B46" s="58">
        <v>0</v>
      </c>
      <c r="C46" s="59">
        <f>IFERROR(AVERAGEIFS(Clean_Data!$P$2:$P$1001,Clean_Data!$F$2:$F$1001,$B46,Clean_Data!$H$2:$H$1001,C$44,Clean_Data!$V$2:$V$1001,1,Clean_Data!$W$2:$W$1001,Dash_Calc!$B$2,Clean_Data!$AA$2:$AA$1001,Dash_Calc!$B$3,Clean_Data!$B$2:$B$1001,"&gt;="&amp;Dash_Calc!$B$4,Clean_Data!$B$2:$B$1001,"&lt;="&amp;Dash_Calc!$B$5),"")</f>
        <v>30.5714285714286</v>
      </c>
      <c r="D46" s="59">
        <f>IFERROR(AVERAGEIFS(Clean_Data!$P$2:$P$1001,Clean_Data!$F$2:$F$1001,$B46,Clean_Data!$H$2:$H$1001,D$44,Clean_Data!$V$2:$V$1001,1,Clean_Data!$W$2:$W$1001,Dash_Calc!$B$2,Clean_Data!$AA$2:$AA$1001,Dash_Calc!$B$3,Clean_Data!$B$2:$B$1001,"&gt;="&amp;Dash_Calc!$B$4,Clean_Data!$B$2:$B$1001,"&lt;="&amp;Dash_Calc!$B$5),"")</f>
        <v>9.57142857142857</v>
      </c>
      <c r="E46" s="59">
        <f>IFERROR(AVERAGEIFS(Clean_Data!$P$2:$P$1001,Clean_Data!$F$2:$F$1001,$B46,Clean_Data!$H$2:$H$1001,E$44,Clean_Data!$V$2:$V$1001,1,Clean_Data!$W$2:$W$1001,Dash_Calc!$B$2,Clean_Data!$AA$2:$AA$1001,Dash_Calc!$B$3,Clean_Data!$B$2:$B$1001,"&gt;="&amp;Dash_Calc!$B$4,Clean_Data!$B$2:$B$1001,"&lt;="&amp;Dash_Calc!$B$5),"")</f>
        <v>8.8</v>
      </c>
      <c r="F46" s="59">
        <f>IFERROR(AVERAGEIFS(Clean_Data!$P$2:$P$1001,Clean_Data!$F$2:$F$1001,$B46,Clean_Data!$H$2:$H$1001,F$44,Clean_Data!$V$2:$V$1001,1,Clean_Data!$W$2:$W$1001,Dash_Calc!$B$2,Clean_Data!$AA$2:$AA$1001,Dash_Calc!$B$3,Clean_Data!$B$2:$B$1001,"&gt;="&amp;Dash_Calc!$B$4,Clean_Data!$B$2:$B$1001,"&lt;="&amp;Dash_Calc!$B$5),"")</f>
        <v>8.66666666666667</v>
      </c>
      <c r="G46" s="59">
        <f>IFERROR(AVERAGEIFS(Clean_Data!$P$2:$P$1001,Clean_Data!$F$2:$F$1001,$B46,Clean_Data!$H$2:$H$1001,G$44,Clean_Data!$V$2:$V$1001,1,Clean_Data!$W$2:$W$1001,Dash_Calc!$B$2,Clean_Data!$AA$2:$AA$1001,Dash_Calc!$B$3,Clean_Data!$B$2:$B$1001,"&gt;="&amp;Dash_Calc!$B$4,Clean_Data!$B$2:$B$1001,"&lt;="&amp;Dash_Calc!$B$5),"")</f>
        <v>11.8</v>
      </c>
      <c r="H46" s="59">
        <f>IFERROR(AVERAGEIFS(Clean_Data!$P$2:$P$1001,Clean_Data!$F$2:$F$1001,$B46,Clean_Data!$H$2:$H$1001,H$44,Clean_Data!$V$2:$V$1001,1,Clean_Data!$W$2:$W$1001,Dash_Calc!$B$2,Clean_Data!$AA$2:$AA$1001,Dash_Calc!$B$3,Clean_Data!$B$2:$B$1001,"&gt;="&amp;Dash_Calc!$B$4,Clean_Data!$B$2:$B$1001,"&lt;="&amp;Dash_Calc!$B$5),"")</f>
        <v>14.6666666666667</v>
      </c>
      <c r="I46" s="59">
        <f>IFERROR(AVERAGEIFS(Clean_Data!$P$2:$P$1001,Clean_Data!$F$2:$F$1001,$B46,Clean_Data!$H$2:$H$1001,I$44,Clean_Data!$V$2:$V$1001,1,Clean_Data!$W$2:$W$1001,Dash_Calc!$B$2,Clean_Data!$AA$2:$AA$1001,Dash_Calc!$B$3,Clean_Data!$B$2:$B$1001,"&gt;="&amp;Dash_Calc!$B$4,Clean_Data!$B$2:$B$1001,"&lt;="&amp;Dash_Calc!$B$5),"")</f>
        <v>25.5714285714286</v>
      </c>
      <c r="K46" s="57"/>
      <c r="L46" s="57"/>
      <c r="M46" s="57"/>
      <c r="N46" s="57"/>
      <c r="O46" s="57"/>
      <c r="P46" s="57"/>
      <c r="Q46" s="57"/>
      <c r="R46" s="57"/>
      <c r="S46" s="57"/>
    </row>
    <row r="47" spans="2:19">
      <c r="B47" s="58">
        <v>1</v>
      </c>
      <c r="C47" s="59">
        <f>IFERROR(AVERAGEIFS(Clean_Data!$P$2:$P$1001,Clean_Data!$F$2:$F$1001,$B47,Clean_Data!$H$2:$H$1001,C$44,Clean_Data!$V$2:$V$1001,1,Clean_Data!$W$2:$W$1001,Dash_Calc!$B$2,Clean_Data!$AA$2:$AA$1001,Dash_Calc!$B$3,Clean_Data!$B$2:$B$1001,"&gt;="&amp;Dash_Calc!$B$4,Clean_Data!$B$2:$B$1001,"&lt;="&amp;Dash_Calc!$B$5),"")</f>
        <v>23.1428571428571</v>
      </c>
      <c r="D47" s="59">
        <f>IFERROR(AVERAGEIFS(Clean_Data!$P$2:$P$1001,Clean_Data!$F$2:$F$1001,$B47,Clean_Data!$H$2:$H$1001,D$44,Clean_Data!$V$2:$V$1001,1,Clean_Data!$W$2:$W$1001,Dash_Calc!$B$2,Clean_Data!$AA$2:$AA$1001,Dash_Calc!$B$3,Clean_Data!$B$2:$B$1001,"&gt;="&amp;Dash_Calc!$B$4,Clean_Data!$B$2:$B$1001,"&lt;="&amp;Dash_Calc!$B$5),"")</f>
        <v>5.57142857142857</v>
      </c>
      <c r="E47" s="59">
        <f>IFERROR(AVERAGEIFS(Clean_Data!$P$2:$P$1001,Clean_Data!$F$2:$F$1001,$B47,Clean_Data!$H$2:$H$1001,E$44,Clean_Data!$V$2:$V$1001,1,Clean_Data!$W$2:$W$1001,Dash_Calc!$B$2,Clean_Data!$AA$2:$AA$1001,Dash_Calc!$B$3,Clean_Data!$B$2:$B$1001,"&gt;="&amp;Dash_Calc!$B$4,Clean_Data!$B$2:$B$1001,"&lt;="&amp;Dash_Calc!$B$5),"")</f>
        <v>3.4</v>
      </c>
      <c r="F47" s="59">
        <f>IFERROR(AVERAGEIFS(Clean_Data!$P$2:$P$1001,Clean_Data!$F$2:$F$1001,$B47,Clean_Data!$H$2:$H$1001,F$44,Clean_Data!$V$2:$V$1001,1,Clean_Data!$W$2:$W$1001,Dash_Calc!$B$2,Clean_Data!$AA$2:$AA$1001,Dash_Calc!$B$3,Clean_Data!$B$2:$B$1001,"&gt;="&amp;Dash_Calc!$B$4,Clean_Data!$B$2:$B$1001,"&lt;="&amp;Dash_Calc!$B$5),"")</f>
        <v>5.66666666666667</v>
      </c>
      <c r="G47" s="59">
        <f>IFERROR(AVERAGEIFS(Clean_Data!$P$2:$P$1001,Clean_Data!$F$2:$F$1001,$B47,Clean_Data!$H$2:$H$1001,G$44,Clean_Data!$V$2:$V$1001,1,Clean_Data!$W$2:$W$1001,Dash_Calc!$B$2,Clean_Data!$AA$2:$AA$1001,Dash_Calc!$B$3,Clean_Data!$B$2:$B$1001,"&gt;="&amp;Dash_Calc!$B$4,Clean_Data!$B$2:$B$1001,"&lt;="&amp;Dash_Calc!$B$5),"")</f>
        <v>4.6</v>
      </c>
      <c r="H47" s="59">
        <f>IFERROR(AVERAGEIFS(Clean_Data!$P$2:$P$1001,Clean_Data!$F$2:$F$1001,$B47,Clean_Data!$H$2:$H$1001,H$44,Clean_Data!$V$2:$V$1001,1,Clean_Data!$W$2:$W$1001,Dash_Calc!$B$2,Clean_Data!$AA$2:$AA$1001,Dash_Calc!$B$3,Clean_Data!$B$2:$B$1001,"&gt;="&amp;Dash_Calc!$B$4,Clean_Data!$B$2:$B$1001,"&lt;="&amp;Dash_Calc!$B$5),"")</f>
        <v>5.83333333333333</v>
      </c>
      <c r="I47" s="59">
        <f>IFERROR(AVERAGEIFS(Clean_Data!$P$2:$P$1001,Clean_Data!$F$2:$F$1001,$B47,Clean_Data!$H$2:$H$1001,I$44,Clean_Data!$V$2:$V$1001,1,Clean_Data!$W$2:$W$1001,Dash_Calc!$B$2,Clean_Data!$AA$2:$AA$1001,Dash_Calc!$B$3,Clean_Data!$B$2:$B$1001,"&gt;="&amp;Dash_Calc!$B$4,Clean_Data!$B$2:$B$1001,"&lt;="&amp;Dash_Calc!$B$5),"")</f>
        <v>21.4285714285714</v>
      </c>
      <c r="K47" s="57"/>
      <c r="L47" s="57"/>
      <c r="M47" s="57"/>
      <c r="N47" s="57"/>
      <c r="O47" s="57"/>
      <c r="P47" s="57"/>
      <c r="Q47" s="57"/>
      <c r="R47" s="57"/>
      <c r="S47" s="57"/>
    </row>
    <row r="48" spans="2:19">
      <c r="B48" s="58">
        <v>2</v>
      </c>
      <c r="C48" s="59">
        <f>IFERROR(AVERAGEIFS(Clean_Data!$P$2:$P$1001,Clean_Data!$F$2:$F$1001,$B48,Clean_Data!$H$2:$H$1001,C$44,Clean_Data!$V$2:$V$1001,1,Clean_Data!$W$2:$W$1001,Dash_Calc!$B$2,Clean_Data!$AA$2:$AA$1001,Dash_Calc!$B$3,Clean_Data!$B$2:$B$1001,"&gt;="&amp;Dash_Calc!$B$4,Clean_Data!$B$2:$B$1001,"&lt;="&amp;Dash_Calc!$B$5),"")</f>
        <v>15</v>
      </c>
      <c r="D48" s="59">
        <f>IFERROR(AVERAGEIFS(Clean_Data!$P$2:$P$1001,Clean_Data!$F$2:$F$1001,$B48,Clean_Data!$H$2:$H$1001,D$44,Clean_Data!$V$2:$V$1001,1,Clean_Data!$W$2:$W$1001,Dash_Calc!$B$2,Clean_Data!$AA$2:$AA$1001,Dash_Calc!$B$3,Clean_Data!$B$2:$B$1001,"&gt;="&amp;Dash_Calc!$B$4,Clean_Data!$B$2:$B$1001,"&lt;="&amp;Dash_Calc!$B$5),"")</f>
        <v>3.4</v>
      </c>
      <c r="E48" s="59">
        <f>IFERROR(AVERAGEIFS(Clean_Data!$P$2:$P$1001,Clean_Data!$F$2:$F$1001,$B48,Clean_Data!$H$2:$H$1001,E$44,Clean_Data!$V$2:$V$1001,1,Clean_Data!$W$2:$W$1001,Dash_Calc!$B$2,Clean_Data!$AA$2:$AA$1001,Dash_Calc!$B$3,Clean_Data!$B$2:$B$1001,"&gt;="&amp;Dash_Calc!$B$4,Clean_Data!$B$2:$B$1001,"&lt;="&amp;Dash_Calc!$B$5),"")</f>
        <v>2</v>
      </c>
      <c r="F48" s="59">
        <f>IFERROR(AVERAGEIFS(Clean_Data!$P$2:$P$1001,Clean_Data!$F$2:$F$1001,$B48,Clean_Data!$H$2:$H$1001,F$44,Clean_Data!$V$2:$V$1001,1,Clean_Data!$W$2:$W$1001,Dash_Calc!$B$2,Clean_Data!$AA$2:$AA$1001,Dash_Calc!$B$3,Clean_Data!$B$2:$B$1001,"&gt;="&amp;Dash_Calc!$B$4,Clean_Data!$B$2:$B$1001,"&lt;="&amp;Dash_Calc!$B$5),"")</f>
        <v>3.83333333333333</v>
      </c>
      <c r="G48" s="59">
        <f>IFERROR(AVERAGEIFS(Clean_Data!$P$2:$P$1001,Clean_Data!$F$2:$F$1001,$B48,Clean_Data!$H$2:$H$1001,G$44,Clean_Data!$V$2:$V$1001,1,Clean_Data!$W$2:$W$1001,Dash_Calc!$B$2,Clean_Data!$AA$2:$AA$1001,Dash_Calc!$B$3,Clean_Data!$B$2:$B$1001,"&gt;="&amp;Dash_Calc!$B$4,Clean_Data!$B$2:$B$1001,"&lt;="&amp;Dash_Calc!$B$5),"")</f>
        <v>2.2</v>
      </c>
      <c r="H48" s="59">
        <f>IFERROR(AVERAGEIFS(Clean_Data!$P$2:$P$1001,Clean_Data!$F$2:$F$1001,$B48,Clean_Data!$H$2:$H$1001,H$44,Clean_Data!$V$2:$V$1001,1,Clean_Data!$W$2:$W$1001,Dash_Calc!$B$2,Clean_Data!$AA$2:$AA$1001,Dash_Calc!$B$3,Clean_Data!$B$2:$B$1001,"&gt;="&amp;Dash_Calc!$B$4,Clean_Data!$B$2:$B$1001,"&lt;="&amp;Dash_Calc!$B$5),"")</f>
        <v>1.66666666666667</v>
      </c>
      <c r="I48" s="59">
        <f>IFERROR(AVERAGEIFS(Clean_Data!$P$2:$P$1001,Clean_Data!$F$2:$F$1001,$B48,Clean_Data!$H$2:$H$1001,I$44,Clean_Data!$V$2:$V$1001,1,Clean_Data!$W$2:$W$1001,Dash_Calc!$B$2,Clean_Data!$AA$2:$AA$1001,Dash_Calc!$B$3,Clean_Data!$B$2:$B$1001,"&gt;="&amp;Dash_Calc!$B$4,Clean_Data!$B$2:$B$1001,"&lt;="&amp;Dash_Calc!$B$5),"")</f>
        <v>16.8571428571429</v>
      </c>
      <c r="K48" s="57"/>
      <c r="L48" s="57"/>
      <c r="M48" s="57"/>
      <c r="N48" s="57"/>
      <c r="O48" s="57"/>
      <c r="P48" s="57"/>
      <c r="Q48" s="57"/>
      <c r="R48" s="57"/>
      <c r="S48" s="57"/>
    </row>
    <row r="49" spans="2:19">
      <c r="B49" s="58">
        <v>3</v>
      </c>
      <c r="C49" s="59">
        <f>IFERROR(AVERAGEIFS(Clean_Data!$P$2:$P$1001,Clean_Data!$F$2:$F$1001,$B49,Clean_Data!$H$2:$H$1001,C$44,Clean_Data!$V$2:$V$1001,1,Clean_Data!$W$2:$W$1001,Dash_Calc!$B$2,Clean_Data!$AA$2:$AA$1001,Dash_Calc!$B$3,Clean_Data!$B$2:$B$1001,"&gt;="&amp;Dash_Calc!$B$4,Clean_Data!$B$2:$B$1001,"&lt;="&amp;Dash_Calc!$B$5),"")</f>
        <v>9</v>
      </c>
      <c r="D49" s="59">
        <f>IFERROR(AVERAGEIFS(Clean_Data!$P$2:$P$1001,Clean_Data!$F$2:$F$1001,$B49,Clean_Data!$H$2:$H$1001,D$44,Clean_Data!$V$2:$V$1001,1,Clean_Data!$W$2:$W$1001,Dash_Calc!$B$2,Clean_Data!$AA$2:$AA$1001,Dash_Calc!$B$3,Clean_Data!$B$2:$B$1001,"&gt;="&amp;Dash_Calc!$B$4,Clean_Data!$B$2:$B$1001,"&lt;="&amp;Dash_Calc!$B$5),"")</f>
        <v>1.5</v>
      </c>
      <c r="E49" s="59">
        <f>IFERROR(AVERAGEIFS(Clean_Data!$P$2:$P$1001,Clean_Data!$F$2:$F$1001,$B49,Clean_Data!$H$2:$H$1001,E$44,Clean_Data!$V$2:$V$1001,1,Clean_Data!$W$2:$W$1001,Dash_Calc!$B$2,Clean_Data!$AA$2:$AA$1001,Dash_Calc!$B$3,Clean_Data!$B$2:$B$1001,"&gt;="&amp;Dash_Calc!$B$4,Clean_Data!$B$2:$B$1001,"&lt;="&amp;Dash_Calc!$B$5),"")</f>
        <v>1.5</v>
      </c>
      <c r="F49" s="59">
        <f>IFERROR(AVERAGEIFS(Clean_Data!$P$2:$P$1001,Clean_Data!$F$2:$F$1001,$B49,Clean_Data!$H$2:$H$1001,F$44,Clean_Data!$V$2:$V$1001,1,Clean_Data!$W$2:$W$1001,Dash_Calc!$B$2,Clean_Data!$AA$2:$AA$1001,Dash_Calc!$B$3,Clean_Data!$B$2:$B$1001,"&gt;="&amp;Dash_Calc!$B$4,Clean_Data!$B$2:$B$1001,"&lt;="&amp;Dash_Calc!$B$5),"")</f>
        <v>1.5</v>
      </c>
      <c r="G49" s="59">
        <f>IFERROR(AVERAGEIFS(Clean_Data!$P$2:$P$1001,Clean_Data!$F$2:$F$1001,$B49,Clean_Data!$H$2:$H$1001,G$44,Clean_Data!$V$2:$V$1001,1,Clean_Data!$W$2:$W$1001,Dash_Calc!$B$2,Clean_Data!$AA$2:$AA$1001,Dash_Calc!$B$3,Clean_Data!$B$2:$B$1001,"&gt;="&amp;Dash_Calc!$B$4,Clean_Data!$B$2:$B$1001,"&lt;="&amp;Dash_Calc!$B$5),"")</f>
        <v>1.66666666666667</v>
      </c>
      <c r="H49" s="59">
        <f>IFERROR(AVERAGEIFS(Clean_Data!$P$2:$P$1001,Clean_Data!$F$2:$F$1001,$B49,Clean_Data!$H$2:$H$1001,H$44,Clean_Data!$V$2:$V$1001,1,Clean_Data!$W$2:$W$1001,Dash_Calc!$B$2,Clean_Data!$AA$2:$AA$1001,Dash_Calc!$B$3,Clean_Data!$B$2:$B$1001,"&gt;="&amp;Dash_Calc!$B$4,Clean_Data!$B$2:$B$1001,"&lt;="&amp;Dash_Calc!$B$5),"")</f>
        <v>1</v>
      </c>
      <c r="I49" s="59">
        <f>IFERROR(AVERAGEIFS(Clean_Data!$P$2:$P$1001,Clean_Data!$F$2:$F$1001,$B49,Clean_Data!$H$2:$H$1001,I$44,Clean_Data!$V$2:$V$1001,1,Clean_Data!$W$2:$W$1001,Dash_Calc!$B$2,Clean_Data!$AA$2:$AA$1001,Dash_Calc!$B$3,Clean_Data!$B$2:$B$1001,"&gt;="&amp;Dash_Calc!$B$4,Clean_Data!$B$2:$B$1001,"&lt;="&amp;Dash_Calc!$B$5),"")</f>
        <v>9.14285714285714</v>
      </c>
      <c r="K49" s="57" t="str">
        <f>Insights!B6</f>
        <v>Weekdays average 63.3 rentals per hour against 48.1 on weekends (-24%). Registered users account for 95% of weekday demand and 83% of weekend demand.</v>
      </c>
      <c r="L49" s="57"/>
      <c r="M49" s="57"/>
      <c r="N49" s="57"/>
      <c r="O49" s="57"/>
      <c r="P49" s="57"/>
      <c r="Q49" s="57"/>
      <c r="R49" s="57"/>
      <c r="S49" s="57"/>
    </row>
    <row r="50" spans="2:19">
      <c r="B50" s="58">
        <v>4</v>
      </c>
      <c r="C50" s="59">
        <f>IFERROR(AVERAGEIFS(Clean_Data!$P$2:$P$1001,Clean_Data!$F$2:$F$1001,$B50,Clean_Data!$H$2:$H$1001,C$44,Clean_Data!$V$2:$V$1001,1,Clean_Data!$W$2:$W$1001,Dash_Calc!$B$2,Clean_Data!$AA$2:$AA$1001,Dash_Calc!$B$3,Clean_Data!$B$2:$B$1001,"&gt;="&amp;Dash_Calc!$B$4,Clean_Data!$B$2:$B$1001,"&lt;="&amp;Dash_Calc!$B$5),"")</f>
        <v>1.66666666666667</v>
      </c>
      <c r="D50" s="59">
        <f>IFERROR(AVERAGEIFS(Clean_Data!$P$2:$P$1001,Clean_Data!$F$2:$F$1001,$B50,Clean_Data!$H$2:$H$1001,D$44,Clean_Data!$V$2:$V$1001,1,Clean_Data!$W$2:$W$1001,Dash_Calc!$B$2,Clean_Data!$AA$2:$AA$1001,Dash_Calc!$B$3,Clean_Data!$B$2:$B$1001,"&gt;="&amp;Dash_Calc!$B$4,Clean_Data!$B$2:$B$1001,"&lt;="&amp;Dash_Calc!$B$5),"")</f>
        <v>2</v>
      </c>
      <c r="E50" s="59">
        <f>IFERROR(AVERAGEIFS(Clean_Data!$P$2:$P$1001,Clean_Data!$F$2:$F$1001,$B50,Clean_Data!$H$2:$H$1001,E$44,Clean_Data!$V$2:$V$1001,1,Clean_Data!$W$2:$W$1001,Dash_Calc!$B$2,Clean_Data!$AA$2:$AA$1001,Dash_Calc!$B$3,Clean_Data!$B$2:$B$1001,"&gt;="&amp;Dash_Calc!$B$4,Clean_Data!$B$2:$B$1001,"&lt;="&amp;Dash_Calc!$B$5),"")</f>
        <v>2</v>
      </c>
      <c r="F50" s="59">
        <f>IFERROR(AVERAGEIFS(Clean_Data!$P$2:$P$1001,Clean_Data!$F$2:$F$1001,$B50,Clean_Data!$H$2:$H$1001,F$44,Clean_Data!$V$2:$V$1001,1,Clean_Data!$W$2:$W$1001,Dash_Calc!$B$2,Clean_Data!$AA$2:$AA$1001,Dash_Calc!$B$3,Clean_Data!$B$2:$B$1001,"&gt;="&amp;Dash_Calc!$B$4,Clean_Data!$B$2:$B$1001,"&lt;="&amp;Dash_Calc!$B$5),"")</f>
        <v>1.66666666666667</v>
      </c>
      <c r="G50" s="59">
        <f>IFERROR(AVERAGEIFS(Clean_Data!$P$2:$P$1001,Clean_Data!$F$2:$F$1001,$B50,Clean_Data!$H$2:$H$1001,G$44,Clean_Data!$V$2:$V$1001,1,Clean_Data!$W$2:$W$1001,Dash_Calc!$B$2,Clean_Data!$AA$2:$AA$1001,Dash_Calc!$B$3,Clean_Data!$B$2:$B$1001,"&gt;="&amp;Dash_Calc!$B$4,Clean_Data!$B$2:$B$1001,"&lt;="&amp;Dash_Calc!$B$5),"")</f>
        <v>1.75</v>
      </c>
      <c r="H50" s="59">
        <f>IFERROR(AVERAGEIFS(Clean_Data!$P$2:$P$1001,Clean_Data!$F$2:$F$1001,$B50,Clean_Data!$H$2:$H$1001,H$44,Clean_Data!$V$2:$V$1001,1,Clean_Data!$W$2:$W$1001,Dash_Calc!$B$2,Clean_Data!$AA$2:$AA$1001,Dash_Calc!$B$3,Clean_Data!$B$2:$B$1001,"&gt;="&amp;Dash_Calc!$B$4,Clean_Data!$B$2:$B$1001,"&lt;="&amp;Dash_Calc!$B$5),"")</f>
        <v>1</v>
      </c>
      <c r="I50" s="59">
        <f>IFERROR(AVERAGEIFS(Clean_Data!$P$2:$P$1001,Clean_Data!$F$2:$F$1001,$B50,Clean_Data!$H$2:$H$1001,I$44,Clean_Data!$V$2:$V$1001,1,Clean_Data!$W$2:$W$1001,Dash_Calc!$B$2,Clean_Data!$AA$2:$AA$1001,Dash_Calc!$B$3,Clean_Data!$B$2:$B$1001,"&gt;="&amp;Dash_Calc!$B$4,Clean_Data!$B$2:$B$1001,"&lt;="&amp;Dash_Calc!$B$5),"")</f>
        <v>3.57142857142857</v>
      </c>
      <c r="K50" s="57"/>
      <c r="L50" s="57"/>
      <c r="M50" s="57"/>
      <c r="N50" s="57"/>
      <c r="O50" s="57"/>
      <c r="P50" s="57"/>
      <c r="Q50" s="57"/>
      <c r="R50" s="57"/>
      <c r="S50" s="57"/>
    </row>
    <row r="51" spans="2:19">
      <c r="B51" s="58">
        <v>5</v>
      </c>
      <c r="C51" s="59">
        <f>IFERROR(AVERAGEIFS(Clean_Data!$P$2:$P$1001,Clean_Data!$F$2:$F$1001,$B51,Clean_Data!$H$2:$H$1001,C$44,Clean_Data!$V$2:$V$1001,1,Clean_Data!$W$2:$W$1001,Dash_Calc!$B$2,Clean_Data!$AA$2:$AA$1001,Dash_Calc!$B$3,Clean_Data!$B$2:$B$1001,"&gt;="&amp;Dash_Calc!$B$4,Clean_Data!$B$2:$B$1001,"&lt;="&amp;Dash_Calc!$B$5),"")</f>
        <v>2</v>
      </c>
      <c r="D51" s="59">
        <f>IFERROR(AVERAGEIFS(Clean_Data!$P$2:$P$1001,Clean_Data!$F$2:$F$1001,$B51,Clean_Data!$H$2:$H$1001,D$44,Clean_Data!$V$2:$V$1001,1,Clean_Data!$W$2:$W$1001,Dash_Calc!$B$2,Clean_Data!$AA$2:$AA$1001,Dash_Calc!$B$3,Clean_Data!$B$2:$B$1001,"&gt;="&amp;Dash_Calc!$B$4,Clean_Data!$B$2:$B$1001,"&lt;="&amp;Dash_Calc!$B$5),"")</f>
        <v>4.71428571428571</v>
      </c>
      <c r="E51" s="59">
        <f>IFERROR(AVERAGEIFS(Clean_Data!$P$2:$P$1001,Clean_Data!$F$2:$F$1001,$B51,Clean_Data!$H$2:$H$1001,E$44,Clean_Data!$V$2:$V$1001,1,Clean_Data!$W$2:$W$1001,Dash_Calc!$B$2,Clean_Data!$AA$2:$AA$1001,Dash_Calc!$B$3,Clean_Data!$B$2:$B$1001,"&gt;="&amp;Dash_Calc!$B$4,Clean_Data!$B$2:$B$1001,"&lt;="&amp;Dash_Calc!$B$5),"")</f>
        <v>4.8</v>
      </c>
      <c r="F51" s="59">
        <f>IFERROR(AVERAGEIFS(Clean_Data!$P$2:$P$1001,Clean_Data!$F$2:$F$1001,$B51,Clean_Data!$H$2:$H$1001,F$44,Clean_Data!$V$2:$V$1001,1,Clean_Data!$W$2:$W$1001,Dash_Calc!$B$2,Clean_Data!$AA$2:$AA$1001,Dash_Calc!$B$3,Clean_Data!$B$2:$B$1001,"&gt;="&amp;Dash_Calc!$B$4,Clean_Data!$B$2:$B$1001,"&lt;="&amp;Dash_Calc!$B$5),"")</f>
        <v>4.33333333333333</v>
      </c>
      <c r="G51" s="59">
        <f>IFERROR(AVERAGEIFS(Clean_Data!$P$2:$P$1001,Clean_Data!$F$2:$F$1001,$B51,Clean_Data!$H$2:$H$1001,G$44,Clean_Data!$V$2:$V$1001,1,Clean_Data!$W$2:$W$1001,Dash_Calc!$B$2,Clean_Data!$AA$2:$AA$1001,Dash_Calc!$B$3,Clean_Data!$B$2:$B$1001,"&gt;="&amp;Dash_Calc!$B$4,Clean_Data!$B$2:$B$1001,"&lt;="&amp;Dash_Calc!$B$5),"")</f>
        <v>4.2</v>
      </c>
      <c r="H51" s="59">
        <f>IFERROR(AVERAGEIFS(Clean_Data!$P$2:$P$1001,Clean_Data!$F$2:$F$1001,$B51,Clean_Data!$H$2:$H$1001,H$44,Clean_Data!$V$2:$V$1001,1,Clean_Data!$W$2:$W$1001,Dash_Calc!$B$2,Clean_Data!$AA$2:$AA$1001,Dash_Calc!$B$3,Clean_Data!$B$2:$B$1001,"&gt;="&amp;Dash_Calc!$B$4,Clean_Data!$B$2:$B$1001,"&lt;="&amp;Dash_Calc!$B$5),"")</f>
        <v>5.5</v>
      </c>
      <c r="I51" s="59">
        <f>IFERROR(AVERAGEIFS(Clean_Data!$P$2:$P$1001,Clean_Data!$F$2:$F$1001,$B51,Clean_Data!$H$2:$H$1001,I$44,Clean_Data!$V$2:$V$1001,1,Clean_Data!$W$2:$W$1001,Dash_Calc!$B$2,Clean_Data!$AA$2:$AA$1001,Dash_Calc!$B$3,Clean_Data!$B$2:$B$1001,"&gt;="&amp;Dash_Calc!$B$4,Clean_Data!$B$2:$B$1001,"&lt;="&amp;Dash_Calc!$B$5),"")</f>
        <v>3.4</v>
      </c>
      <c r="K51" s="57"/>
      <c r="L51" s="57"/>
      <c r="M51" s="57"/>
      <c r="N51" s="57"/>
      <c r="O51" s="57"/>
      <c r="P51" s="57"/>
      <c r="Q51" s="57"/>
      <c r="R51" s="57"/>
      <c r="S51" s="57"/>
    </row>
    <row r="52" spans="2:19">
      <c r="B52" s="58">
        <v>6</v>
      </c>
      <c r="C52" s="59">
        <f>IFERROR(AVERAGEIFS(Clean_Data!$P$2:$P$1001,Clean_Data!$F$2:$F$1001,$B52,Clean_Data!$H$2:$H$1001,C$44,Clean_Data!$V$2:$V$1001,1,Clean_Data!$W$2:$W$1001,Dash_Calc!$B$2,Clean_Data!$AA$2:$AA$1001,Dash_Calc!$B$3,Clean_Data!$B$2:$B$1001,"&gt;="&amp;Dash_Calc!$B$4,Clean_Data!$B$2:$B$1001,"&lt;="&amp;Dash_Calc!$B$5),"")</f>
        <v>1.83333333333333</v>
      </c>
      <c r="D52" s="59">
        <f>IFERROR(AVERAGEIFS(Clean_Data!$P$2:$P$1001,Clean_Data!$F$2:$F$1001,$B52,Clean_Data!$H$2:$H$1001,D$44,Clean_Data!$V$2:$V$1001,1,Clean_Data!$W$2:$W$1001,Dash_Calc!$B$2,Clean_Data!$AA$2:$AA$1001,Dash_Calc!$B$3,Clean_Data!$B$2:$B$1001,"&gt;="&amp;Dash_Calc!$B$4,Clean_Data!$B$2:$B$1001,"&lt;="&amp;Dash_Calc!$B$5),"")</f>
        <v>24.8571428571429</v>
      </c>
      <c r="E52" s="59">
        <f>IFERROR(AVERAGEIFS(Clean_Data!$P$2:$P$1001,Clean_Data!$F$2:$F$1001,$B52,Clean_Data!$H$2:$H$1001,E$44,Clean_Data!$V$2:$V$1001,1,Clean_Data!$W$2:$W$1001,Dash_Calc!$B$2,Clean_Data!$AA$2:$AA$1001,Dash_Calc!$B$3,Clean_Data!$B$2:$B$1001,"&gt;="&amp;Dash_Calc!$B$4,Clean_Data!$B$2:$B$1001,"&lt;="&amp;Dash_Calc!$B$5),"")</f>
        <v>32</v>
      </c>
      <c r="F52" s="59">
        <f>IFERROR(AVERAGEIFS(Clean_Data!$P$2:$P$1001,Clean_Data!$F$2:$F$1001,$B52,Clean_Data!$H$2:$H$1001,F$44,Clean_Data!$V$2:$V$1001,1,Clean_Data!$W$2:$W$1001,Dash_Calc!$B$2,Clean_Data!$AA$2:$AA$1001,Dash_Calc!$B$3,Clean_Data!$B$2:$B$1001,"&gt;="&amp;Dash_Calc!$B$4,Clean_Data!$B$2:$B$1001,"&lt;="&amp;Dash_Calc!$B$5),"")</f>
        <v>25</v>
      </c>
      <c r="G52" s="59">
        <f>IFERROR(AVERAGEIFS(Clean_Data!$P$2:$P$1001,Clean_Data!$F$2:$F$1001,$B52,Clean_Data!$H$2:$H$1001,G$44,Clean_Data!$V$2:$V$1001,1,Clean_Data!$W$2:$W$1001,Dash_Calc!$B$2,Clean_Data!$AA$2:$AA$1001,Dash_Calc!$B$3,Clean_Data!$B$2:$B$1001,"&gt;="&amp;Dash_Calc!$B$4,Clean_Data!$B$2:$B$1001,"&lt;="&amp;Dash_Calc!$B$5),"")</f>
        <v>32.8</v>
      </c>
      <c r="H52" s="59">
        <f>IFERROR(AVERAGEIFS(Clean_Data!$P$2:$P$1001,Clean_Data!$F$2:$F$1001,$B52,Clean_Data!$H$2:$H$1001,H$44,Clean_Data!$V$2:$V$1001,1,Clean_Data!$W$2:$W$1001,Dash_Calc!$B$2,Clean_Data!$AA$2:$AA$1001,Dash_Calc!$B$3,Clean_Data!$B$2:$B$1001,"&gt;="&amp;Dash_Calc!$B$4,Clean_Data!$B$2:$B$1001,"&lt;="&amp;Dash_Calc!$B$5),"")</f>
        <v>24.3333333333333</v>
      </c>
      <c r="I52" s="59">
        <f>IFERROR(AVERAGEIFS(Clean_Data!$P$2:$P$1001,Clean_Data!$F$2:$F$1001,$B52,Clean_Data!$H$2:$H$1001,I$44,Clean_Data!$V$2:$V$1001,1,Clean_Data!$W$2:$W$1001,Dash_Calc!$B$2,Clean_Data!$AA$2:$AA$1001,Dash_Calc!$B$3,Clean_Data!$B$2:$B$1001,"&gt;="&amp;Dash_Calc!$B$4,Clean_Data!$B$2:$B$1001,"&lt;="&amp;Dash_Calc!$B$5),"")</f>
        <v>2.42857142857143</v>
      </c>
      <c r="K52" s="57"/>
      <c r="L52" s="57"/>
      <c r="M52" s="57"/>
      <c r="N52" s="57"/>
      <c r="O52" s="57"/>
      <c r="P52" s="57"/>
      <c r="Q52" s="57"/>
      <c r="R52" s="57"/>
      <c r="S52" s="57"/>
    </row>
    <row r="53" spans="2:19">
      <c r="B53" s="58">
        <v>7</v>
      </c>
      <c r="C53" s="59">
        <f>IFERROR(AVERAGEIFS(Clean_Data!$P$2:$P$1001,Clean_Data!$F$2:$F$1001,$B53,Clean_Data!$H$2:$H$1001,C$44,Clean_Data!$V$2:$V$1001,1,Clean_Data!$W$2:$W$1001,Dash_Calc!$B$2,Clean_Data!$AA$2:$AA$1001,Dash_Calc!$B$3,Clean_Data!$B$2:$B$1001,"&gt;="&amp;Dash_Calc!$B$4,Clean_Data!$B$2:$B$1001,"&lt;="&amp;Dash_Calc!$B$5),"")</f>
        <v>3.71428571428571</v>
      </c>
      <c r="D53" s="59">
        <f>IFERROR(AVERAGEIFS(Clean_Data!$P$2:$P$1001,Clean_Data!$F$2:$F$1001,$B53,Clean_Data!$H$2:$H$1001,D$44,Clean_Data!$V$2:$V$1001,1,Clean_Data!$W$2:$W$1001,Dash_Calc!$B$2,Clean_Data!$AA$2:$AA$1001,Dash_Calc!$B$3,Clean_Data!$B$2:$B$1001,"&gt;="&amp;Dash_Calc!$B$4,Clean_Data!$B$2:$B$1001,"&lt;="&amp;Dash_Calc!$B$5),"")</f>
        <v>71.8571428571429</v>
      </c>
      <c r="E53" s="59">
        <f>IFERROR(AVERAGEIFS(Clean_Data!$P$2:$P$1001,Clean_Data!$F$2:$F$1001,$B53,Clean_Data!$H$2:$H$1001,E$44,Clean_Data!$V$2:$V$1001,1,Clean_Data!$W$2:$W$1001,Dash_Calc!$B$2,Clean_Data!$AA$2:$AA$1001,Dash_Calc!$B$3,Clean_Data!$B$2:$B$1001,"&gt;="&amp;Dash_Calc!$B$4,Clean_Data!$B$2:$B$1001,"&lt;="&amp;Dash_Calc!$B$5),"")</f>
        <v>90.6</v>
      </c>
      <c r="F53" s="59">
        <f>IFERROR(AVERAGEIFS(Clean_Data!$P$2:$P$1001,Clean_Data!$F$2:$F$1001,$B53,Clean_Data!$H$2:$H$1001,F$44,Clean_Data!$V$2:$V$1001,1,Clean_Data!$W$2:$W$1001,Dash_Calc!$B$2,Clean_Data!$AA$2:$AA$1001,Dash_Calc!$B$3,Clean_Data!$B$2:$B$1001,"&gt;="&amp;Dash_Calc!$B$4,Clean_Data!$B$2:$B$1001,"&lt;="&amp;Dash_Calc!$B$5),"")</f>
        <v>68.3333333333333</v>
      </c>
      <c r="G53" s="59">
        <f>IFERROR(AVERAGEIFS(Clean_Data!$P$2:$P$1001,Clean_Data!$F$2:$F$1001,$B53,Clean_Data!$H$2:$H$1001,G$44,Clean_Data!$V$2:$V$1001,1,Clean_Data!$W$2:$W$1001,Dash_Calc!$B$2,Clean_Data!$AA$2:$AA$1001,Dash_Calc!$B$3,Clean_Data!$B$2:$B$1001,"&gt;="&amp;Dash_Calc!$B$4,Clean_Data!$B$2:$B$1001,"&lt;="&amp;Dash_Calc!$B$5),"")</f>
        <v>90.8</v>
      </c>
      <c r="H53" s="59">
        <f>IFERROR(AVERAGEIFS(Clean_Data!$P$2:$P$1001,Clean_Data!$F$2:$F$1001,$B53,Clean_Data!$H$2:$H$1001,H$44,Clean_Data!$V$2:$V$1001,1,Clean_Data!$W$2:$W$1001,Dash_Calc!$B$2,Clean_Data!$AA$2:$AA$1001,Dash_Calc!$B$3,Clean_Data!$B$2:$B$1001,"&gt;="&amp;Dash_Calc!$B$4,Clean_Data!$B$2:$B$1001,"&lt;="&amp;Dash_Calc!$B$5),"")</f>
        <v>73.8333333333333</v>
      </c>
      <c r="I53" s="59">
        <f>IFERROR(AVERAGEIFS(Clean_Data!$P$2:$P$1001,Clean_Data!$F$2:$F$1001,$B53,Clean_Data!$H$2:$H$1001,I$44,Clean_Data!$V$2:$V$1001,1,Clean_Data!$W$2:$W$1001,Dash_Calc!$B$2,Clean_Data!$AA$2:$AA$1001,Dash_Calc!$B$3,Clean_Data!$B$2:$B$1001,"&gt;="&amp;Dash_Calc!$B$4,Clean_Data!$B$2:$B$1001,"&lt;="&amp;Dash_Calc!$B$5),"")</f>
        <v>7.14285714285714</v>
      </c>
      <c r="K53" s="57"/>
      <c r="L53" s="57"/>
      <c r="M53" s="57"/>
      <c r="N53" s="57"/>
      <c r="O53" s="57"/>
      <c r="P53" s="57"/>
      <c r="Q53" s="57"/>
      <c r="R53" s="57"/>
      <c r="S53" s="57"/>
    </row>
    <row r="54" spans="2:19">
      <c r="B54" s="58">
        <v>8</v>
      </c>
      <c r="C54" s="59">
        <f>IFERROR(AVERAGEIFS(Clean_Data!$P$2:$P$1001,Clean_Data!$F$2:$F$1001,$B54,Clean_Data!$H$2:$H$1001,C$44,Clean_Data!$V$2:$V$1001,1,Clean_Data!$W$2:$W$1001,Dash_Calc!$B$2,Clean_Data!$AA$2:$AA$1001,Dash_Calc!$B$3,Clean_Data!$B$2:$B$1001,"&gt;="&amp;Dash_Calc!$B$4,Clean_Data!$B$2:$B$1001,"&lt;="&amp;Dash_Calc!$B$5),"")</f>
        <v>14.5714285714286</v>
      </c>
      <c r="D54" s="59">
        <f>IFERROR(AVERAGEIFS(Clean_Data!$P$2:$P$1001,Clean_Data!$F$2:$F$1001,$B54,Clean_Data!$H$2:$H$1001,D$44,Clean_Data!$V$2:$V$1001,1,Clean_Data!$W$2:$W$1001,Dash_Calc!$B$2,Clean_Data!$AA$2:$AA$1001,Dash_Calc!$B$3,Clean_Data!$B$2:$B$1001,"&gt;="&amp;Dash_Calc!$B$4,Clean_Data!$B$2:$B$1001,"&lt;="&amp;Dash_Calc!$B$5),"")</f>
        <v>161.166666666667</v>
      </c>
      <c r="E54" s="59">
        <f>IFERROR(AVERAGEIFS(Clean_Data!$P$2:$P$1001,Clean_Data!$F$2:$F$1001,$B54,Clean_Data!$H$2:$H$1001,E$44,Clean_Data!$V$2:$V$1001,1,Clean_Data!$W$2:$W$1001,Dash_Calc!$B$2,Clean_Data!$AA$2:$AA$1001,Dash_Calc!$B$3,Clean_Data!$B$2:$B$1001,"&gt;="&amp;Dash_Calc!$B$4,Clean_Data!$B$2:$B$1001,"&lt;="&amp;Dash_Calc!$B$5),"")</f>
        <v>202.4</v>
      </c>
      <c r="F54" s="59">
        <f>IFERROR(AVERAGEIFS(Clean_Data!$P$2:$P$1001,Clean_Data!$F$2:$F$1001,$B54,Clean_Data!$H$2:$H$1001,F$44,Clean_Data!$V$2:$V$1001,1,Clean_Data!$W$2:$W$1001,Dash_Calc!$B$2,Clean_Data!$AA$2:$AA$1001,Dash_Calc!$B$3,Clean_Data!$B$2:$B$1001,"&gt;="&amp;Dash_Calc!$B$4,Clean_Data!$B$2:$B$1001,"&lt;="&amp;Dash_Calc!$B$5),"")</f>
        <v>157.666666666667</v>
      </c>
      <c r="G54" s="59">
        <f>IFERROR(AVERAGEIFS(Clean_Data!$P$2:$P$1001,Clean_Data!$F$2:$F$1001,$B54,Clean_Data!$H$2:$H$1001,G$44,Clean_Data!$V$2:$V$1001,1,Clean_Data!$W$2:$W$1001,Dash_Calc!$B$2,Clean_Data!$AA$2:$AA$1001,Dash_Calc!$B$3,Clean_Data!$B$2:$B$1001,"&gt;="&amp;Dash_Calc!$B$4,Clean_Data!$B$2:$B$1001,"&lt;="&amp;Dash_Calc!$B$5),"")</f>
        <v>207.2</v>
      </c>
      <c r="H54" s="59">
        <f>IFERROR(AVERAGEIFS(Clean_Data!$P$2:$P$1001,Clean_Data!$F$2:$F$1001,$B54,Clean_Data!$H$2:$H$1001,H$44,Clean_Data!$V$2:$V$1001,1,Clean_Data!$W$2:$W$1001,Dash_Calc!$B$2,Clean_Data!$AA$2:$AA$1001,Dash_Calc!$B$3,Clean_Data!$B$2:$B$1001,"&gt;="&amp;Dash_Calc!$B$4,Clean_Data!$B$2:$B$1001,"&lt;="&amp;Dash_Calc!$B$5),"")</f>
        <v>196.333333333333</v>
      </c>
      <c r="I54" s="59">
        <f>IFERROR(AVERAGEIFS(Clean_Data!$P$2:$P$1001,Clean_Data!$F$2:$F$1001,$B54,Clean_Data!$H$2:$H$1001,I$44,Clean_Data!$V$2:$V$1001,1,Clean_Data!$W$2:$W$1001,Dash_Calc!$B$2,Clean_Data!$AA$2:$AA$1001,Dash_Calc!$B$3,Clean_Data!$B$2:$B$1001,"&gt;="&amp;Dash_Calc!$B$4,Clean_Data!$B$2:$B$1001,"&lt;="&amp;Dash_Calc!$B$5),"")</f>
        <v>21</v>
      </c>
      <c r="K54" s="57" t="str">
        <f>Insights!B7</f>
        <v>Weather matters: average demand is 61.7 per hour in clear weather, 58.6 in mist/cloud (-5%) and 33.2 in light rain/snow (-46%). Heavy rain/snow has only 1 record(s), too few to judge.</v>
      </c>
      <c r="L54" s="57"/>
      <c r="M54" s="57"/>
      <c r="N54" s="57"/>
      <c r="O54" s="57"/>
      <c r="P54" s="57"/>
      <c r="Q54" s="57"/>
      <c r="R54" s="57"/>
      <c r="S54" s="57"/>
    </row>
    <row r="55" spans="2:19">
      <c r="B55" s="58">
        <v>9</v>
      </c>
      <c r="C55" s="59">
        <f>IFERROR(AVERAGEIFS(Clean_Data!$P$2:$P$1001,Clean_Data!$F$2:$F$1001,$B55,Clean_Data!$H$2:$H$1001,C$44,Clean_Data!$V$2:$V$1001,1,Clean_Data!$W$2:$W$1001,Dash_Calc!$B$2,Clean_Data!$AA$2:$AA$1001,Dash_Calc!$B$3,Clean_Data!$B$2:$B$1001,"&gt;="&amp;Dash_Calc!$B$4,Clean_Data!$B$2:$B$1001,"&lt;="&amp;Dash_Calc!$B$5),"")</f>
        <v>32.7142857142857</v>
      </c>
      <c r="D55" s="59">
        <f>IFERROR(AVERAGEIFS(Clean_Data!$P$2:$P$1001,Clean_Data!$F$2:$F$1001,$B55,Clean_Data!$H$2:$H$1001,D$44,Clean_Data!$V$2:$V$1001,1,Clean_Data!$W$2:$W$1001,Dash_Calc!$B$2,Clean_Data!$AA$2:$AA$1001,Dash_Calc!$B$3,Clean_Data!$B$2:$B$1001,"&gt;="&amp;Dash_Calc!$B$4,Clean_Data!$B$2:$B$1001,"&lt;="&amp;Dash_Calc!$B$5),"")</f>
        <v>93.5</v>
      </c>
      <c r="E55" s="59">
        <f>IFERROR(AVERAGEIFS(Clean_Data!$P$2:$P$1001,Clean_Data!$F$2:$F$1001,$B55,Clean_Data!$H$2:$H$1001,E$44,Clean_Data!$V$2:$V$1001,1,Clean_Data!$W$2:$W$1001,Dash_Calc!$B$2,Clean_Data!$AA$2:$AA$1001,Dash_Calc!$B$3,Clean_Data!$B$2:$B$1001,"&gt;="&amp;Dash_Calc!$B$4,Clean_Data!$B$2:$B$1001,"&lt;="&amp;Dash_Calc!$B$5),"")</f>
        <v>125</v>
      </c>
      <c r="F55" s="59">
        <f>IFERROR(AVERAGEIFS(Clean_Data!$P$2:$P$1001,Clean_Data!$F$2:$F$1001,$B55,Clean_Data!$H$2:$H$1001,F$44,Clean_Data!$V$2:$V$1001,1,Clean_Data!$W$2:$W$1001,Dash_Calc!$B$2,Clean_Data!$AA$2:$AA$1001,Dash_Calc!$B$3,Clean_Data!$B$2:$B$1001,"&gt;="&amp;Dash_Calc!$B$4,Clean_Data!$B$2:$B$1001,"&lt;="&amp;Dash_Calc!$B$5),"")</f>
        <v>101.5</v>
      </c>
      <c r="G55" s="59">
        <f>IFERROR(AVERAGEIFS(Clean_Data!$P$2:$P$1001,Clean_Data!$F$2:$F$1001,$B55,Clean_Data!$H$2:$H$1001,G$44,Clean_Data!$V$2:$V$1001,1,Clean_Data!$W$2:$W$1001,Dash_Calc!$B$2,Clean_Data!$AA$2:$AA$1001,Dash_Calc!$B$3,Clean_Data!$B$2:$B$1001,"&gt;="&amp;Dash_Calc!$B$4,Clean_Data!$B$2:$B$1001,"&lt;="&amp;Dash_Calc!$B$5),"")</f>
        <v>131.8</v>
      </c>
      <c r="H55" s="59">
        <f>IFERROR(AVERAGEIFS(Clean_Data!$P$2:$P$1001,Clean_Data!$F$2:$F$1001,$B55,Clean_Data!$H$2:$H$1001,H$44,Clean_Data!$V$2:$V$1001,1,Clean_Data!$W$2:$W$1001,Dash_Calc!$B$2,Clean_Data!$AA$2:$AA$1001,Dash_Calc!$B$3,Clean_Data!$B$2:$B$1001,"&gt;="&amp;Dash_Calc!$B$4,Clean_Data!$B$2:$B$1001,"&lt;="&amp;Dash_Calc!$B$5),"")</f>
        <v>130.833333333333</v>
      </c>
      <c r="I55" s="59">
        <f>IFERROR(AVERAGEIFS(Clean_Data!$P$2:$P$1001,Clean_Data!$F$2:$F$1001,$B55,Clean_Data!$H$2:$H$1001,I$44,Clean_Data!$V$2:$V$1001,1,Clean_Data!$W$2:$W$1001,Dash_Calc!$B$2,Clean_Data!$AA$2:$AA$1001,Dash_Calc!$B$3,Clean_Data!$B$2:$B$1001,"&gt;="&amp;Dash_Calc!$B$4,Clean_Data!$B$2:$B$1001,"&lt;="&amp;Dash_Calc!$B$5),"")</f>
        <v>29.1428571428571</v>
      </c>
      <c r="K55" s="57"/>
      <c r="L55" s="57"/>
      <c r="M55" s="57"/>
      <c r="N55" s="57"/>
      <c r="O55" s="57"/>
      <c r="P55" s="57"/>
      <c r="Q55" s="57"/>
      <c r="R55" s="57"/>
      <c r="S55" s="57"/>
    </row>
    <row r="56" spans="2:19">
      <c r="B56" s="58">
        <v>10</v>
      </c>
      <c r="C56" s="59">
        <f>IFERROR(AVERAGEIFS(Clean_Data!$P$2:$P$1001,Clean_Data!$F$2:$F$1001,$B56,Clean_Data!$H$2:$H$1001,C$44,Clean_Data!$V$2:$V$1001,1,Clean_Data!$W$2:$W$1001,Dash_Calc!$B$2,Clean_Data!$AA$2:$AA$1001,Dash_Calc!$B$3,Clean_Data!$B$2:$B$1001,"&gt;="&amp;Dash_Calc!$B$4,Clean_Data!$B$2:$B$1001,"&lt;="&amp;Dash_Calc!$B$5),"")</f>
        <v>71</v>
      </c>
      <c r="D56" s="59">
        <f>IFERROR(AVERAGEIFS(Clean_Data!$P$2:$P$1001,Clean_Data!$F$2:$F$1001,$B56,Clean_Data!$H$2:$H$1001,D$44,Clean_Data!$V$2:$V$1001,1,Clean_Data!$W$2:$W$1001,Dash_Calc!$B$2,Clean_Data!$AA$2:$AA$1001,Dash_Calc!$B$3,Clean_Data!$B$2:$B$1001,"&gt;="&amp;Dash_Calc!$B$4,Clean_Data!$B$2:$B$1001,"&lt;="&amp;Dash_Calc!$B$5),"")</f>
        <v>49.3333333333333</v>
      </c>
      <c r="E56" s="59">
        <f>IFERROR(AVERAGEIFS(Clean_Data!$P$2:$P$1001,Clean_Data!$F$2:$F$1001,$B56,Clean_Data!$H$2:$H$1001,E$44,Clean_Data!$V$2:$V$1001,1,Clean_Data!$W$2:$W$1001,Dash_Calc!$B$2,Clean_Data!$AA$2:$AA$1001,Dash_Calc!$B$3,Clean_Data!$B$2:$B$1001,"&gt;="&amp;Dash_Calc!$B$4,Clean_Data!$B$2:$B$1001,"&lt;="&amp;Dash_Calc!$B$5),"")</f>
        <v>49.2</v>
      </c>
      <c r="F56" s="59">
        <f>IFERROR(AVERAGEIFS(Clean_Data!$P$2:$P$1001,Clean_Data!$F$2:$F$1001,$B56,Clean_Data!$H$2:$H$1001,F$44,Clean_Data!$V$2:$V$1001,1,Clean_Data!$W$2:$W$1001,Dash_Calc!$B$2,Clean_Data!$AA$2:$AA$1001,Dash_Calc!$B$3,Clean_Data!$B$2:$B$1001,"&gt;="&amp;Dash_Calc!$B$4,Clean_Data!$B$2:$B$1001,"&lt;="&amp;Dash_Calc!$B$5),"")</f>
        <v>48.5</v>
      </c>
      <c r="G56" s="59">
        <f>IFERROR(AVERAGEIFS(Clean_Data!$P$2:$P$1001,Clean_Data!$F$2:$F$1001,$B56,Clean_Data!$H$2:$H$1001,G$44,Clean_Data!$V$2:$V$1001,1,Clean_Data!$W$2:$W$1001,Dash_Calc!$B$2,Clean_Data!$AA$2:$AA$1001,Dash_Calc!$B$3,Clean_Data!$B$2:$B$1001,"&gt;="&amp;Dash_Calc!$B$4,Clean_Data!$B$2:$B$1001,"&lt;="&amp;Dash_Calc!$B$5),"")</f>
        <v>45.4</v>
      </c>
      <c r="H56" s="59">
        <f>IFERROR(AVERAGEIFS(Clean_Data!$P$2:$P$1001,Clean_Data!$F$2:$F$1001,$B56,Clean_Data!$H$2:$H$1001,H$44,Clean_Data!$V$2:$V$1001,1,Clean_Data!$W$2:$W$1001,Dash_Calc!$B$2,Clean_Data!$AA$2:$AA$1001,Dash_Calc!$B$3,Clean_Data!$B$2:$B$1001,"&gt;="&amp;Dash_Calc!$B$4,Clean_Data!$B$2:$B$1001,"&lt;="&amp;Dash_Calc!$B$5),"")</f>
        <v>52.3333333333333</v>
      </c>
      <c r="I56" s="59">
        <f>IFERROR(AVERAGEIFS(Clean_Data!$P$2:$P$1001,Clean_Data!$F$2:$F$1001,$B56,Clean_Data!$H$2:$H$1001,I$44,Clean_Data!$V$2:$V$1001,1,Clean_Data!$W$2:$W$1001,Dash_Calc!$B$2,Clean_Data!$AA$2:$AA$1001,Dash_Calc!$B$3,Clean_Data!$B$2:$B$1001,"&gt;="&amp;Dash_Calc!$B$4,Clean_Data!$B$2:$B$1001,"&lt;="&amp;Dash_Calc!$B$5),"")</f>
        <v>54.5714285714286</v>
      </c>
      <c r="K56" s="57"/>
      <c r="L56" s="57"/>
      <c r="M56" s="57"/>
      <c r="N56" s="57"/>
      <c r="O56" s="57"/>
      <c r="P56" s="57"/>
      <c r="Q56" s="57"/>
      <c r="R56" s="57"/>
      <c r="S56" s="57"/>
    </row>
    <row r="57" spans="2:19">
      <c r="B57" s="58">
        <v>11</v>
      </c>
      <c r="C57" s="59">
        <f>IFERROR(AVERAGEIFS(Clean_Data!$P$2:$P$1001,Clean_Data!$F$2:$F$1001,$B57,Clean_Data!$H$2:$H$1001,C$44,Clean_Data!$V$2:$V$1001,1,Clean_Data!$W$2:$W$1001,Dash_Calc!$B$2,Clean_Data!$AA$2:$AA$1001,Dash_Calc!$B$3,Clean_Data!$B$2:$B$1001,"&gt;="&amp;Dash_Calc!$B$4,Clean_Data!$B$2:$B$1001,"&lt;="&amp;Dash_Calc!$B$5),"")</f>
        <v>85.5714285714286</v>
      </c>
      <c r="D57" s="59">
        <f>IFERROR(AVERAGEIFS(Clean_Data!$P$2:$P$1001,Clean_Data!$F$2:$F$1001,$B57,Clean_Data!$H$2:$H$1001,D$44,Clean_Data!$V$2:$V$1001,1,Clean_Data!$W$2:$W$1001,Dash_Calc!$B$2,Clean_Data!$AA$2:$AA$1001,Dash_Calc!$B$3,Clean_Data!$B$2:$B$1001,"&gt;="&amp;Dash_Calc!$B$4,Clean_Data!$B$2:$B$1001,"&lt;="&amp;Dash_Calc!$B$5),"")</f>
        <v>47.6666666666667</v>
      </c>
      <c r="E57" s="59">
        <f>IFERROR(AVERAGEIFS(Clean_Data!$P$2:$P$1001,Clean_Data!$F$2:$F$1001,$B57,Clean_Data!$H$2:$H$1001,E$44,Clean_Data!$V$2:$V$1001,1,Clean_Data!$W$2:$W$1001,Dash_Calc!$B$2,Clean_Data!$AA$2:$AA$1001,Dash_Calc!$B$3,Clean_Data!$B$2:$B$1001,"&gt;="&amp;Dash_Calc!$B$4,Clean_Data!$B$2:$B$1001,"&lt;="&amp;Dash_Calc!$B$5),"")</f>
        <v>50.8</v>
      </c>
      <c r="F57" s="59">
        <f>IFERROR(AVERAGEIFS(Clean_Data!$P$2:$P$1001,Clean_Data!$F$2:$F$1001,$B57,Clean_Data!$H$2:$H$1001,F$44,Clean_Data!$V$2:$V$1001,1,Clean_Data!$W$2:$W$1001,Dash_Calc!$B$2,Clean_Data!$AA$2:$AA$1001,Dash_Calc!$B$3,Clean_Data!$B$2:$B$1001,"&gt;="&amp;Dash_Calc!$B$4,Clean_Data!$B$2:$B$1001,"&lt;="&amp;Dash_Calc!$B$5),"")</f>
        <v>44.5</v>
      </c>
      <c r="G57" s="59">
        <f>IFERROR(AVERAGEIFS(Clean_Data!$P$2:$P$1001,Clean_Data!$F$2:$F$1001,$B57,Clean_Data!$H$2:$H$1001,G$44,Clean_Data!$V$2:$V$1001,1,Clean_Data!$W$2:$W$1001,Dash_Calc!$B$2,Clean_Data!$AA$2:$AA$1001,Dash_Calc!$B$3,Clean_Data!$B$2:$B$1001,"&gt;="&amp;Dash_Calc!$B$4,Clean_Data!$B$2:$B$1001,"&lt;="&amp;Dash_Calc!$B$5),"")</f>
        <v>54.6</v>
      </c>
      <c r="H57" s="59">
        <f>IFERROR(AVERAGEIFS(Clean_Data!$P$2:$P$1001,Clean_Data!$F$2:$F$1001,$B57,Clean_Data!$H$2:$H$1001,H$44,Clean_Data!$V$2:$V$1001,1,Clean_Data!$W$2:$W$1001,Dash_Calc!$B$2,Clean_Data!$AA$2:$AA$1001,Dash_Calc!$B$3,Clean_Data!$B$2:$B$1001,"&gt;="&amp;Dash_Calc!$B$4,Clean_Data!$B$2:$B$1001,"&lt;="&amp;Dash_Calc!$B$5),"")</f>
        <v>56.1666666666667</v>
      </c>
      <c r="I57" s="59">
        <f>IFERROR(AVERAGEIFS(Clean_Data!$P$2:$P$1001,Clean_Data!$F$2:$F$1001,$B57,Clean_Data!$H$2:$H$1001,I$44,Clean_Data!$V$2:$V$1001,1,Clean_Data!$W$2:$W$1001,Dash_Calc!$B$2,Clean_Data!$AA$2:$AA$1001,Dash_Calc!$B$3,Clean_Data!$B$2:$B$1001,"&gt;="&amp;Dash_Calc!$B$4,Clean_Data!$B$2:$B$1001,"&lt;="&amp;Dash_Calc!$B$5),"")</f>
        <v>68.2857142857143</v>
      </c>
      <c r="K57" s="57"/>
      <c r="L57" s="57"/>
      <c r="M57" s="57"/>
      <c r="N57" s="57"/>
      <c r="O57" s="57"/>
      <c r="P57" s="57"/>
      <c r="Q57" s="57"/>
      <c r="R57" s="57"/>
      <c r="S57" s="57"/>
    </row>
    <row r="58" spans="2:19">
      <c r="B58" s="58">
        <v>12</v>
      </c>
      <c r="C58" s="59">
        <f>IFERROR(AVERAGEIFS(Clean_Data!$P$2:$P$1001,Clean_Data!$F$2:$F$1001,$B58,Clean_Data!$H$2:$H$1001,C$44,Clean_Data!$V$2:$V$1001,1,Clean_Data!$W$2:$W$1001,Dash_Calc!$B$2,Clean_Data!$AA$2:$AA$1001,Dash_Calc!$B$3,Clean_Data!$B$2:$B$1001,"&gt;="&amp;Dash_Calc!$B$4,Clean_Data!$B$2:$B$1001,"&lt;="&amp;Dash_Calc!$B$5),"")</f>
        <v>117</v>
      </c>
      <c r="D58" s="59">
        <f>IFERROR(AVERAGEIFS(Clean_Data!$P$2:$P$1001,Clean_Data!$F$2:$F$1001,$B58,Clean_Data!$H$2:$H$1001,D$44,Clean_Data!$V$2:$V$1001,1,Clean_Data!$W$2:$W$1001,Dash_Calc!$B$2,Clean_Data!$AA$2:$AA$1001,Dash_Calc!$B$3,Clean_Data!$B$2:$B$1001,"&gt;="&amp;Dash_Calc!$B$4,Clean_Data!$B$2:$B$1001,"&lt;="&amp;Dash_Calc!$B$5),"")</f>
        <v>65</v>
      </c>
      <c r="E58" s="59">
        <f>IFERROR(AVERAGEIFS(Clean_Data!$P$2:$P$1001,Clean_Data!$F$2:$F$1001,$B58,Clean_Data!$H$2:$H$1001,E$44,Clean_Data!$V$2:$V$1001,1,Clean_Data!$W$2:$W$1001,Dash_Calc!$B$2,Clean_Data!$AA$2:$AA$1001,Dash_Calc!$B$3,Clean_Data!$B$2:$B$1001,"&gt;="&amp;Dash_Calc!$B$4,Clean_Data!$B$2:$B$1001,"&lt;="&amp;Dash_Calc!$B$5),"")</f>
        <v>60.6666666666667</v>
      </c>
      <c r="F58" s="59">
        <f>IFERROR(AVERAGEIFS(Clean_Data!$P$2:$P$1001,Clean_Data!$F$2:$F$1001,$B58,Clean_Data!$H$2:$H$1001,F$44,Clean_Data!$V$2:$V$1001,1,Clean_Data!$W$2:$W$1001,Dash_Calc!$B$2,Clean_Data!$AA$2:$AA$1001,Dash_Calc!$B$3,Clean_Data!$B$2:$B$1001,"&gt;="&amp;Dash_Calc!$B$4,Clean_Data!$B$2:$B$1001,"&lt;="&amp;Dash_Calc!$B$5),"")</f>
        <v>62.8333333333333</v>
      </c>
      <c r="G58" s="59">
        <f>IFERROR(AVERAGEIFS(Clean_Data!$P$2:$P$1001,Clean_Data!$F$2:$F$1001,$B58,Clean_Data!$H$2:$H$1001,G$44,Clean_Data!$V$2:$V$1001,1,Clean_Data!$W$2:$W$1001,Dash_Calc!$B$2,Clean_Data!$AA$2:$AA$1001,Dash_Calc!$B$3,Clean_Data!$B$2:$B$1001,"&gt;="&amp;Dash_Calc!$B$4,Clean_Data!$B$2:$B$1001,"&lt;="&amp;Dash_Calc!$B$5),"")</f>
        <v>71.6</v>
      </c>
      <c r="H58" s="59">
        <f>IFERROR(AVERAGEIFS(Clean_Data!$P$2:$P$1001,Clean_Data!$F$2:$F$1001,$B58,Clean_Data!$H$2:$H$1001,H$44,Clean_Data!$V$2:$V$1001,1,Clean_Data!$W$2:$W$1001,Dash_Calc!$B$2,Clean_Data!$AA$2:$AA$1001,Dash_Calc!$B$3,Clean_Data!$B$2:$B$1001,"&gt;="&amp;Dash_Calc!$B$4,Clean_Data!$B$2:$B$1001,"&lt;="&amp;Dash_Calc!$B$5),"")</f>
        <v>64</v>
      </c>
      <c r="I58" s="59">
        <f>IFERROR(AVERAGEIFS(Clean_Data!$P$2:$P$1001,Clean_Data!$F$2:$F$1001,$B58,Clean_Data!$H$2:$H$1001,I$44,Clean_Data!$V$2:$V$1001,1,Clean_Data!$W$2:$W$1001,Dash_Calc!$B$2,Clean_Data!$AA$2:$AA$1001,Dash_Calc!$B$3,Clean_Data!$B$2:$B$1001,"&gt;="&amp;Dash_Calc!$B$4,Clean_Data!$B$2:$B$1001,"&lt;="&amp;Dash_Calc!$B$5),"")</f>
        <v>84.4285714285714</v>
      </c>
      <c r="K58" s="57"/>
      <c r="L58" s="57"/>
      <c r="M58" s="57"/>
      <c r="N58" s="57"/>
      <c r="O58" s="57"/>
      <c r="P58" s="57"/>
      <c r="Q58" s="57"/>
      <c r="R58" s="57"/>
      <c r="S58" s="57"/>
    </row>
    <row r="59" spans="2:19">
      <c r="B59" s="58">
        <v>13</v>
      </c>
      <c r="C59" s="59">
        <f>IFERROR(AVERAGEIFS(Clean_Data!$P$2:$P$1001,Clean_Data!$F$2:$F$1001,$B59,Clean_Data!$H$2:$H$1001,C$44,Clean_Data!$V$2:$V$1001,1,Clean_Data!$W$2:$W$1001,Dash_Calc!$B$2,Clean_Data!$AA$2:$AA$1001,Dash_Calc!$B$3,Clean_Data!$B$2:$B$1001,"&gt;="&amp;Dash_Calc!$B$4,Clean_Data!$B$2:$B$1001,"&lt;="&amp;Dash_Calc!$B$5),"")</f>
        <v>110.714285714286</v>
      </c>
      <c r="D59" s="59">
        <f>IFERROR(AVERAGEIFS(Clean_Data!$P$2:$P$1001,Clean_Data!$F$2:$F$1001,$B59,Clean_Data!$H$2:$H$1001,D$44,Clean_Data!$V$2:$V$1001,1,Clean_Data!$W$2:$W$1001,Dash_Calc!$B$2,Clean_Data!$AA$2:$AA$1001,Dash_Calc!$B$3,Clean_Data!$B$2:$B$1001,"&gt;="&amp;Dash_Calc!$B$4,Clean_Data!$B$2:$B$1001,"&lt;="&amp;Dash_Calc!$B$5),"")</f>
        <v>64.3333333333333</v>
      </c>
      <c r="E59" s="59">
        <f>IFERROR(AVERAGEIFS(Clean_Data!$P$2:$P$1001,Clean_Data!$F$2:$F$1001,$B59,Clean_Data!$H$2:$H$1001,E$44,Clean_Data!$V$2:$V$1001,1,Clean_Data!$W$2:$W$1001,Dash_Calc!$B$2,Clean_Data!$AA$2:$AA$1001,Dash_Calc!$B$3,Clean_Data!$B$2:$B$1001,"&gt;="&amp;Dash_Calc!$B$4,Clean_Data!$B$2:$B$1001,"&lt;="&amp;Dash_Calc!$B$5),"")</f>
        <v>61</v>
      </c>
      <c r="F59" s="59">
        <f>IFERROR(AVERAGEIFS(Clean_Data!$P$2:$P$1001,Clean_Data!$F$2:$F$1001,$B59,Clean_Data!$H$2:$H$1001,F$44,Clean_Data!$V$2:$V$1001,1,Clean_Data!$W$2:$W$1001,Dash_Calc!$B$2,Clean_Data!$AA$2:$AA$1001,Dash_Calc!$B$3,Clean_Data!$B$2:$B$1001,"&gt;="&amp;Dash_Calc!$B$4,Clean_Data!$B$2:$B$1001,"&lt;="&amp;Dash_Calc!$B$5),"")</f>
        <v>64.8333333333333</v>
      </c>
      <c r="G59" s="59">
        <f>IFERROR(AVERAGEIFS(Clean_Data!$P$2:$P$1001,Clean_Data!$F$2:$F$1001,$B59,Clean_Data!$H$2:$H$1001,G$44,Clean_Data!$V$2:$V$1001,1,Clean_Data!$W$2:$W$1001,Dash_Calc!$B$2,Clean_Data!$AA$2:$AA$1001,Dash_Calc!$B$3,Clean_Data!$B$2:$B$1001,"&gt;="&amp;Dash_Calc!$B$4,Clean_Data!$B$2:$B$1001,"&lt;="&amp;Dash_Calc!$B$5),"")</f>
        <v>72.2</v>
      </c>
      <c r="H59" s="59">
        <f>IFERROR(AVERAGEIFS(Clean_Data!$P$2:$P$1001,Clean_Data!$F$2:$F$1001,$B59,Clean_Data!$H$2:$H$1001,H$44,Clean_Data!$V$2:$V$1001,1,Clean_Data!$W$2:$W$1001,Dash_Calc!$B$2,Clean_Data!$AA$2:$AA$1001,Dash_Calc!$B$3,Clean_Data!$B$2:$B$1001,"&gt;="&amp;Dash_Calc!$B$4,Clean_Data!$B$2:$B$1001,"&lt;="&amp;Dash_Calc!$B$5),"")</f>
        <v>74.3333333333333</v>
      </c>
      <c r="I59" s="59">
        <f>IFERROR(AVERAGEIFS(Clean_Data!$P$2:$P$1001,Clean_Data!$F$2:$F$1001,$B59,Clean_Data!$H$2:$H$1001,I$44,Clean_Data!$V$2:$V$1001,1,Clean_Data!$W$2:$W$1001,Dash_Calc!$B$2,Clean_Data!$AA$2:$AA$1001,Dash_Calc!$B$3,Clean_Data!$B$2:$B$1001,"&gt;="&amp;Dash_Calc!$B$4,Clean_Data!$B$2:$B$1001,"&lt;="&amp;Dash_Calc!$B$5),"")</f>
        <v>93.2857142857143</v>
      </c>
      <c r="K59" s="57" t="str">
        <f>Insights!B8</f>
        <v>Weather variables explain little on their own: correlation with total rentals is 0.23 for temperature, -0.25 for humidity and 0.10 for wind speed. The data covers a narrow winter temperature range, so temperature effects cannot be generalised.</v>
      </c>
      <c r="L59" s="57"/>
      <c r="M59" s="57"/>
      <c r="N59" s="57"/>
      <c r="O59" s="57"/>
      <c r="P59" s="57"/>
      <c r="Q59" s="57"/>
      <c r="R59" s="57"/>
      <c r="S59" s="57"/>
    </row>
    <row r="60" spans="2:19">
      <c r="B60" s="58">
        <v>14</v>
      </c>
      <c r="C60" s="59">
        <f>IFERROR(AVERAGEIFS(Clean_Data!$P$2:$P$1001,Clean_Data!$F$2:$F$1001,$B60,Clean_Data!$H$2:$H$1001,C$44,Clean_Data!$V$2:$V$1001,1,Clean_Data!$W$2:$W$1001,Dash_Calc!$B$2,Clean_Data!$AA$2:$AA$1001,Dash_Calc!$B$3,Clean_Data!$B$2:$B$1001,"&gt;="&amp;Dash_Calc!$B$4,Clean_Data!$B$2:$B$1001,"&lt;="&amp;Dash_Calc!$B$5),"")</f>
        <v>110.857142857143</v>
      </c>
      <c r="D60" s="59">
        <f>IFERROR(AVERAGEIFS(Clean_Data!$P$2:$P$1001,Clean_Data!$F$2:$F$1001,$B60,Clean_Data!$H$2:$H$1001,D$44,Clean_Data!$V$2:$V$1001,1,Clean_Data!$W$2:$W$1001,Dash_Calc!$B$2,Clean_Data!$AA$2:$AA$1001,Dash_Calc!$B$3,Clean_Data!$B$2:$B$1001,"&gt;="&amp;Dash_Calc!$B$4,Clean_Data!$B$2:$B$1001,"&lt;="&amp;Dash_Calc!$B$5),"")</f>
        <v>66.8333333333333</v>
      </c>
      <c r="E60" s="59">
        <f>IFERROR(AVERAGEIFS(Clean_Data!$P$2:$P$1001,Clean_Data!$F$2:$F$1001,$B60,Clean_Data!$H$2:$H$1001,E$44,Clean_Data!$V$2:$V$1001,1,Clean_Data!$W$2:$W$1001,Dash_Calc!$B$2,Clean_Data!$AA$2:$AA$1001,Dash_Calc!$B$3,Clean_Data!$B$2:$B$1001,"&gt;="&amp;Dash_Calc!$B$4,Clean_Data!$B$2:$B$1001,"&lt;="&amp;Dash_Calc!$B$5),"")</f>
        <v>56.6666666666667</v>
      </c>
      <c r="F60" s="59">
        <f>IFERROR(AVERAGEIFS(Clean_Data!$P$2:$P$1001,Clean_Data!$F$2:$F$1001,$B60,Clean_Data!$H$2:$H$1001,F$44,Clean_Data!$V$2:$V$1001,1,Clean_Data!$W$2:$W$1001,Dash_Calc!$B$2,Clean_Data!$AA$2:$AA$1001,Dash_Calc!$B$3,Clean_Data!$B$2:$B$1001,"&gt;="&amp;Dash_Calc!$B$4,Clean_Data!$B$2:$B$1001,"&lt;="&amp;Dash_Calc!$B$5),"")</f>
        <v>56.3333333333333</v>
      </c>
      <c r="G60" s="59">
        <f>IFERROR(AVERAGEIFS(Clean_Data!$P$2:$P$1001,Clean_Data!$F$2:$F$1001,$B60,Clean_Data!$H$2:$H$1001,G$44,Clean_Data!$V$2:$V$1001,1,Clean_Data!$W$2:$W$1001,Dash_Calc!$B$2,Clean_Data!$AA$2:$AA$1001,Dash_Calc!$B$3,Clean_Data!$B$2:$B$1001,"&gt;="&amp;Dash_Calc!$B$4,Clean_Data!$B$2:$B$1001,"&lt;="&amp;Dash_Calc!$B$5),"")</f>
        <v>57.6</v>
      </c>
      <c r="H60" s="59">
        <f>IFERROR(AVERAGEIFS(Clean_Data!$P$2:$P$1001,Clean_Data!$F$2:$F$1001,$B60,Clean_Data!$H$2:$H$1001,H$44,Clean_Data!$V$2:$V$1001,1,Clean_Data!$W$2:$W$1001,Dash_Calc!$B$2,Clean_Data!$AA$2:$AA$1001,Dash_Calc!$B$3,Clean_Data!$B$2:$B$1001,"&gt;="&amp;Dash_Calc!$B$4,Clean_Data!$B$2:$B$1001,"&lt;="&amp;Dash_Calc!$B$5),"")</f>
        <v>64.8333333333333</v>
      </c>
      <c r="I60" s="59">
        <f>IFERROR(AVERAGEIFS(Clean_Data!$P$2:$P$1001,Clean_Data!$F$2:$F$1001,$B60,Clean_Data!$H$2:$H$1001,I$44,Clean_Data!$V$2:$V$1001,1,Clean_Data!$W$2:$W$1001,Dash_Calc!$B$2,Clean_Data!$AA$2:$AA$1001,Dash_Calc!$B$3,Clean_Data!$B$2:$B$1001,"&gt;="&amp;Dash_Calc!$B$4,Clean_Data!$B$2:$B$1001,"&lt;="&amp;Dash_Calc!$B$5),"")</f>
        <v>95.4285714285714</v>
      </c>
      <c r="K60" s="57"/>
      <c r="L60" s="57"/>
      <c r="M60" s="57"/>
      <c r="N60" s="57"/>
      <c r="O60" s="57"/>
      <c r="P60" s="57"/>
      <c r="Q60" s="57"/>
      <c r="R60" s="57"/>
      <c r="S60" s="57"/>
    </row>
    <row r="61" spans="2:19">
      <c r="B61" s="58">
        <v>15</v>
      </c>
      <c r="C61" s="59">
        <f>IFERROR(AVERAGEIFS(Clean_Data!$P$2:$P$1001,Clean_Data!$F$2:$F$1001,$B61,Clean_Data!$H$2:$H$1001,C$44,Clean_Data!$V$2:$V$1001,1,Clean_Data!$W$2:$W$1001,Dash_Calc!$B$2,Clean_Data!$AA$2:$AA$1001,Dash_Calc!$B$3,Clean_Data!$B$2:$B$1001,"&gt;="&amp;Dash_Calc!$B$4,Clean_Data!$B$2:$B$1001,"&lt;="&amp;Dash_Calc!$B$5),"")</f>
        <v>114.142857142857</v>
      </c>
      <c r="D61" s="59">
        <f>IFERROR(AVERAGEIFS(Clean_Data!$P$2:$P$1001,Clean_Data!$F$2:$F$1001,$B61,Clean_Data!$H$2:$H$1001,D$44,Clean_Data!$V$2:$V$1001,1,Clean_Data!$W$2:$W$1001,Dash_Calc!$B$2,Clean_Data!$AA$2:$AA$1001,Dash_Calc!$B$3,Clean_Data!$B$2:$B$1001,"&gt;="&amp;Dash_Calc!$B$4,Clean_Data!$B$2:$B$1001,"&lt;="&amp;Dash_Calc!$B$5),"")</f>
        <v>60.1666666666667</v>
      </c>
      <c r="E61" s="59">
        <f>IFERROR(AVERAGEIFS(Clean_Data!$P$2:$P$1001,Clean_Data!$F$2:$F$1001,$B61,Clean_Data!$H$2:$H$1001,E$44,Clean_Data!$V$2:$V$1001,1,Clean_Data!$W$2:$W$1001,Dash_Calc!$B$2,Clean_Data!$AA$2:$AA$1001,Dash_Calc!$B$3,Clean_Data!$B$2:$B$1001,"&gt;="&amp;Dash_Calc!$B$4,Clean_Data!$B$2:$B$1001,"&lt;="&amp;Dash_Calc!$B$5),"")</f>
        <v>55.6666666666667</v>
      </c>
      <c r="F61" s="59">
        <f>IFERROR(AVERAGEIFS(Clean_Data!$P$2:$P$1001,Clean_Data!$F$2:$F$1001,$B61,Clean_Data!$H$2:$H$1001,F$44,Clean_Data!$V$2:$V$1001,1,Clean_Data!$W$2:$W$1001,Dash_Calc!$B$2,Clean_Data!$AA$2:$AA$1001,Dash_Calc!$B$3,Clean_Data!$B$2:$B$1001,"&gt;="&amp;Dash_Calc!$B$4,Clean_Data!$B$2:$B$1001,"&lt;="&amp;Dash_Calc!$B$5),"")</f>
        <v>62.6666666666667</v>
      </c>
      <c r="G61" s="59">
        <f>IFERROR(AVERAGEIFS(Clean_Data!$P$2:$P$1001,Clean_Data!$F$2:$F$1001,$B61,Clean_Data!$H$2:$H$1001,G$44,Clean_Data!$V$2:$V$1001,1,Clean_Data!$W$2:$W$1001,Dash_Calc!$B$2,Clean_Data!$AA$2:$AA$1001,Dash_Calc!$B$3,Clean_Data!$B$2:$B$1001,"&gt;="&amp;Dash_Calc!$B$4,Clean_Data!$B$2:$B$1001,"&lt;="&amp;Dash_Calc!$B$5),"")</f>
        <v>60.4</v>
      </c>
      <c r="H61" s="59">
        <f>IFERROR(AVERAGEIFS(Clean_Data!$P$2:$P$1001,Clean_Data!$F$2:$F$1001,$B61,Clean_Data!$H$2:$H$1001,H$44,Clean_Data!$V$2:$V$1001,1,Clean_Data!$W$2:$W$1001,Dash_Calc!$B$2,Clean_Data!$AA$2:$AA$1001,Dash_Calc!$B$3,Clean_Data!$B$2:$B$1001,"&gt;="&amp;Dash_Calc!$B$4,Clean_Data!$B$2:$B$1001,"&lt;="&amp;Dash_Calc!$B$5),"")</f>
        <v>68.3333333333333</v>
      </c>
      <c r="I61" s="59">
        <f>IFERROR(AVERAGEIFS(Clean_Data!$P$2:$P$1001,Clean_Data!$F$2:$F$1001,$B61,Clean_Data!$H$2:$H$1001,I$44,Clean_Data!$V$2:$V$1001,1,Clean_Data!$W$2:$W$1001,Dash_Calc!$B$2,Clean_Data!$AA$2:$AA$1001,Dash_Calc!$B$3,Clean_Data!$B$2:$B$1001,"&gt;="&amp;Dash_Calc!$B$4,Clean_Data!$B$2:$B$1001,"&lt;="&amp;Dash_Calc!$B$5),"")</f>
        <v>110</v>
      </c>
      <c r="K61" s="57"/>
      <c r="L61" s="57"/>
      <c r="M61" s="57"/>
      <c r="N61" s="57"/>
      <c r="O61" s="57"/>
      <c r="P61" s="57"/>
      <c r="Q61" s="57"/>
      <c r="R61" s="57"/>
      <c r="S61" s="57"/>
    </row>
    <row r="62" spans="2:19">
      <c r="B62" s="58">
        <v>16</v>
      </c>
      <c r="C62" s="59">
        <f>IFERROR(AVERAGEIFS(Clean_Data!$P$2:$P$1001,Clean_Data!$F$2:$F$1001,$B62,Clean_Data!$H$2:$H$1001,C$44,Clean_Data!$V$2:$V$1001,1,Clean_Data!$W$2:$W$1001,Dash_Calc!$B$2,Clean_Data!$AA$2:$AA$1001,Dash_Calc!$B$3,Clean_Data!$B$2:$B$1001,"&gt;="&amp;Dash_Calc!$B$4,Clean_Data!$B$2:$B$1001,"&lt;="&amp;Dash_Calc!$B$5),"")</f>
        <v>106.571428571429</v>
      </c>
      <c r="D62" s="59">
        <f>IFERROR(AVERAGEIFS(Clean_Data!$P$2:$P$1001,Clean_Data!$F$2:$F$1001,$B62,Clean_Data!$H$2:$H$1001,D$44,Clean_Data!$V$2:$V$1001,1,Clean_Data!$W$2:$W$1001,Dash_Calc!$B$2,Clean_Data!$AA$2:$AA$1001,Dash_Calc!$B$3,Clean_Data!$B$2:$B$1001,"&gt;="&amp;Dash_Calc!$B$4,Clean_Data!$B$2:$B$1001,"&lt;="&amp;Dash_Calc!$B$5),"")</f>
        <v>83.6666666666667</v>
      </c>
      <c r="E62" s="59">
        <f>IFERROR(AVERAGEIFS(Clean_Data!$P$2:$P$1001,Clean_Data!$F$2:$F$1001,$B62,Clean_Data!$H$2:$H$1001,E$44,Clean_Data!$V$2:$V$1001,1,Clean_Data!$W$2:$W$1001,Dash_Calc!$B$2,Clean_Data!$AA$2:$AA$1001,Dash_Calc!$B$3,Clean_Data!$B$2:$B$1001,"&gt;="&amp;Dash_Calc!$B$4,Clean_Data!$B$2:$B$1001,"&lt;="&amp;Dash_Calc!$B$5),"")</f>
        <v>80.5</v>
      </c>
      <c r="F62" s="59">
        <f>IFERROR(AVERAGEIFS(Clean_Data!$P$2:$P$1001,Clean_Data!$F$2:$F$1001,$B62,Clean_Data!$H$2:$H$1001,F$44,Clean_Data!$V$2:$V$1001,1,Clean_Data!$W$2:$W$1001,Dash_Calc!$B$2,Clean_Data!$AA$2:$AA$1001,Dash_Calc!$B$3,Clean_Data!$B$2:$B$1001,"&gt;="&amp;Dash_Calc!$B$4,Clean_Data!$B$2:$B$1001,"&lt;="&amp;Dash_Calc!$B$5),"")</f>
        <v>79.8333333333333</v>
      </c>
      <c r="G62" s="59">
        <f>IFERROR(AVERAGEIFS(Clean_Data!$P$2:$P$1001,Clean_Data!$F$2:$F$1001,$B62,Clean_Data!$H$2:$H$1001,G$44,Clean_Data!$V$2:$V$1001,1,Clean_Data!$W$2:$W$1001,Dash_Calc!$B$2,Clean_Data!$AA$2:$AA$1001,Dash_Calc!$B$3,Clean_Data!$B$2:$B$1001,"&gt;="&amp;Dash_Calc!$B$4,Clean_Data!$B$2:$B$1001,"&lt;="&amp;Dash_Calc!$B$5),"")</f>
        <v>72.8333333333333</v>
      </c>
      <c r="H62" s="59">
        <f>IFERROR(AVERAGEIFS(Clean_Data!$P$2:$P$1001,Clean_Data!$F$2:$F$1001,$B62,Clean_Data!$H$2:$H$1001,H$44,Clean_Data!$V$2:$V$1001,1,Clean_Data!$W$2:$W$1001,Dash_Calc!$B$2,Clean_Data!$AA$2:$AA$1001,Dash_Calc!$B$3,Clean_Data!$B$2:$B$1001,"&gt;="&amp;Dash_Calc!$B$4,Clean_Data!$B$2:$B$1001,"&lt;="&amp;Dash_Calc!$B$5),"")</f>
        <v>96.3333333333333</v>
      </c>
      <c r="I62" s="59">
        <f>IFERROR(AVERAGEIFS(Clean_Data!$P$2:$P$1001,Clean_Data!$F$2:$F$1001,$B62,Clean_Data!$H$2:$H$1001,I$44,Clean_Data!$V$2:$V$1001,1,Clean_Data!$W$2:$W$1001,Dash_Calc!$B$2,Clean_Data!$AA$2:$AA$1001,Dash_Calc!$B$3,Clean_Data!$B$2:$B$1001,"&gt;="&amp;Dash_Calc!$B$4,Clean_Data!$B$2:$B$1001,"&lt;="&amp;Dash_Calc!$B$5),"")</f>
        <v>100.428571428571</v>
      </c>
      <c r="K62" s="57"/>
      <c r="L62" s="57"/>
      <c r="M62" s="57"/>
      <c r="N62" s="57"/>
      <c r="O62" s="57"/>
      <c r="P62" s="57"/>
      <c r="Q62" s="57"/>
      <c r="R62" s="57"/>
      <c r="S62" s="57"/>
    </row>
    <row r="63" spans="2:19">
      <c r="B63" s="58">
        <v>17</v>
      </c>
      <c r="C63" s="59">
        <f>IFERROR(AVERAGEIFS(Clean_Data!$P$2:$P$1001,Clean_Data!$F$2:$F$1001,$B63,Clean_Data!$H$2:$H$1001,C$44,Clean_Data!$V$2:$V$1001,1,Clean_Data!$W$2:$W$1001,Dash_Calc!$B$2,Clean_Data!$AA$2:$AA$1001,Dash_Calc!$B$3,Clean_Data!$B$2:$B$1001,"&gt;="&amp;Dash_Calc!$B$4,Clean_Data!$B$2:$B$1001,"&lt;="&amp;Dash_Calc!$B$5),"")</f>
        <v>87.1428571428571</v>
      </c>
      <c r="D63" s="59">
        <f>IFERROR(AVERAGEIFS(Clean_Data!$P$2:$P$1001,Clean_Data!$F$2:$F$1001,$B63,Clean_Data!$H$2:$H$1001,D$44,Clean_Data!$V$2:$V$1001,1,Clean_Data!$W$2:$W$1001,Dash_Calc!$B$2,Clean_Data!$AA$2:$AA$1001,Dash_Calc!$B$3,Clean_Data!$B$2:$B$1001,"&gt;="&amp;Dash_Calc!$B$4,Clean_Data!$B$2:$B$1001,"&lt;="&amp;Dash_Calc!$B$5),"")</f>
        <v>161.166666666667</v>
      </c>
      <c r="E63" s="59">
        <f>IFERROR(AVERAGEIFS(Clean_Data!$P$2:$P$1001,Clean_Data!$F$2:$F$1001,$B63,Clean_Data!$H$2:$H$1001,E$44,Clean_Data!$V$2:$V$1001,1,Clean_Data!$W$2:$W$1001,Dash_Calc!$B$2,Clean_Data!$AA$2:$AA$1001,Dash_Calc!$B$3,Clean_Data!$B$2:$B$1001,"&gt;="&amp;Dash_Calc!$B$4,Clean_Data!$B$2:$B$1001,"&lt;="&amp;Dash_Calc!$B$5),"")</f>
        <v>174.5</v>
      </c>
      <c r="F63" s="59">
        <f>IFERROR(AVERAGEIFS(Clean_Data!$P$2:$P$1001,Clean_Data!$F$2:$F$1001,$B63,Clean_Data!$H$2:$H$1001,F$44,Clean_Data!$V$2:$V$1001,1,Clean_Data!$W$2:$W$1001,Dash_Calc!$B$2,Clean_Data!$AA$2:$AA$1001,Dash_Calc!$B$3,Clean_Data!$B$2:$B$1001,"&gt;="&amp;Dash_Calc!$B$4,Clean_Data!$B$2:$B$1001,"&lt;="&amp;Dash_Calc!$B$5),"")</f>
        <v>151.333333333333</v>
      </c>
      <c r="G63" s="59">
        <f>IFERROR(AVERAGEIFS(Clean_Data!$P$2:$P$1001,Clean_Data!$F$2:$F$1001,$B63,Clean_Data!$H$2:$H$1001,G$44,Clean_Data!$V$2:$V$1001,1,Clean_Data!$W$2:$W$1001,Dash_Calc!$B$2,Clean_Data!$AA$2:$AA$1001,Dash_Calc!$B$3,Clean_Data!$B$2:$B$1001,"&gt;="&amp;Dash_Calc!$B$4,Clean_Data!$B$2:$B$1001,"&lt;="&amp;Dash_Calc!$B$5),"")</f>
        <v>162.166666666667</v>
      </c>
      <c r="H63" s="59">
        <f>IFERROR(AVERAGEIFS(Clean_Data!$P$2:$P$1001,Clean_Data!$F$2:$F$1001,$B63,Clean_Data!$H$2:$H$1001,H$44,Clean_Data!$V$2:$V$1001,1,Clean_Data!$W$2:$W$1001,Dash_Calc!$B$2,Clean_Data!$AA$2:$AA$1001,Dash_Calc!$B$3,Clean_Data!$B$2:$B$1001,"&gt;="&amp;Dash_Calc!$B$4,Clean_Data!$B$2:$B$1001,"&lt;="&amp;Dash_Calc!$B$5),"")</f>
        <v>178.666666666667</v>
      </c>
      <c r="I63" s="59">
        <f>IFERROR(AVERAGEIFS(Clean_Data!$P$2:$P$1001,Clean_Data!$F$2:$F$1001,$B63,Clean_Data!$H$2:$H$1001,I$44,Clean_Data!$V$2:$V$1001,1,Clean_Data!$W$2:$W$1001,Dash_Calc!$B$2,Clean_Data!$AA$2:$AA$1001,Dash_Calc!$B$3,Clean_Data!$B$2:$B$1001,"&gt;="&amp;Dash_Calc!$B$4,Clean_Data!$B$2:$B$1001,"&lt;="&amp;Dash_Calc!$B$5),"")</f>
        <v>84.5714285714286</v>
      </c>
      <c r="K63" s="57"/>
      <c r="L63" s="57"/>
      <c r="M63" s="57"/>
      <c r="N63" s="57"/>
      <c r="O63" s="57"/>
      <c r="P63" s="57"/>
      <c r="Q63" s="57"/>
      <c r="R63" s="57"/>
      <c r="S63" s="57"/>
    </row>
    <row r="64" spans="2:19">
      <c r="B64" s="58">
        <v>18</v>
      </c>
      <c r="C64" s="59">
        <f>IFERROR(AVERAGEIFS(Clean_Data!$P$2:$P$1001,Clean_Data!$F$2:$F$1001,$B64,Clean_Data!$H$2:$H$1001,C$44,Clean_Data!$V$2:$V$1001,1,Clean_Data!$W$2:$W$1001,Dash_Calc!$B$2,Clean_Data!$AA$2:$AA$1001,Dash_Calc!$B$3,Clean_Data!$B$2:$B$1001,"&gt;="&amp;Dash_Calc!$B$4,Clean_Data!$B$2:$B$1001,"&lt;="&amp;Dash_Calc!$B$5),"")</f>
        <v>65</v>
      </c>
      <c r="D64" s="59">
        <f>IFERROR(AVERAGEIFS(Clean_Data!$P$2:$P$1001,Clean_Data!$F$2:$F$1001,$B64,Clean_Data!$H$2:$H$1001,D$44,Clean_Data!$V$2:$V$1001,1,Clean_Data!$W$2:$W$1001,Dash_Calc!$B$2,Clean_Data!$AA$2:$AA$1001,Dash_Calc!$B$3,Clean_Data!$B$2:$B$1001,"&gt;="&amp;Dash_Calc!$B$4,Clean_Data!$B$2:$B$1001,"&lt;="&amp;Dash_Calc!$B$5),"")</f>
        <v>148</v>
      </c>
      <c r="E64" s="59">
        <f>IFERROR(AVERAGEIFS(Clean_Data!$P$2:$P$1001,Clean_Data!$F$2:$F$1001,$B64,Clean_Data!$H$2:$H$1001,E$44,Clean_Data!$V$2:$V$1001,1,Clean_Data!$W$2:$W$1001,Dash_Calc!$B$2,Clean_Data!$AA$2:$AA$1001,Dash_Calc!$B$3,Clean_Data!$B$2:$B$1001,"&gt;="&amp;Dash_Calc!$B$4,Clean_Data!$B$2:$B$1001,"&lt;="&amp;Dash_Calc!$B$5),"")</f>
        <v>159.166666666667</v>
      </c>
      <c r="F64" s="59">
        <f>IFERROR(AVERAGEIFS(Clean_Data!$P$2:$P$1001,Clean_Data!$F$2:$F$1001,$B64,Clean_Data!$H$2:$H$1001,F$44,Clean_Data!$V$2:$V$1001,1,Clean_Data!$W$2:$W$1001,Dash_Calc!$B$2,Clean_Data!$AA$2:$AA$1001,Dash_Calc!$B$3,Clean_Data!$B$2:$B$1001,"&gt;="&amp;Dash_Calc!$B$4,Clean_Data!$B$2:$B$1001,"&lt;="&amp;Dash_Calc!$B$5),"")</f>
        <v>163.8</v>
      </c>
      <c r="G64" s="59">
        <f>IFERROR(AVERAGEIFS(Clean_Data!$P$2:$P$1001,Clean_Data!$F$2:$F$1001,$B64,Clean_Data!$H$2:$H$1001,G$44,Clean_Data!$V$2:$V$1001,1,Clean_Data!$W$2:$W$1001,Dash_Calc!$B$2,Clean_Data!$AA$2:$AA$1001,Dash_Calc!$B$3,Clean_Data!$B$2:$B$1001,"&gt;="&amp;Dash_Calc!$B$4,Clean_Data!$B$2:$B$1001,"&lt;="&amp;Dash_Calc!$B$5),"")</f>
        <v>150.5</v>
      </c>
      <c r="H64" s="59">
        <f>IFERROR(AVERAGEIFS(Clean_Data!$P$2:$P$1001,Clean_Data!$F$2:$F$1001,$B64,Clean_Data!$H$2:$H$1001,H$44,Clean_Data!$V$2:$V$1001,1,Clean_Data!$W$2:$W$1001,Dash_Calc!$B$2,Clean_Data!$AA$2:$AA$1001,Dash_Calc!$B$3,Clean_Data!$B$2:$B$1001,"&gt;="&amp;Dash_Calc!$B$4,Clean_Data!$B$2:$B$1001,"&lt;="&amp;Dash_Calc!$B$5),"")</f>
        <v>136.666666666667</v>
      </c>
      <c r="I64" s="59">
        <f>IFERROR(AVERAGEIFS(Clean_Data!$P$2:$P$1001,Clean_Data!$F$2:$F$1001,$B64,Clean_Data!$H$2:$H$1001,I$44,Clean_Data!$V$2:$V$1001,1,Clean_Data!$W$2:$W$1001,Dash_Calc!$B$2,Clean_Data!$AA$2:$AA$1001,Dash_Calc!$B$3,Clean_Data!$B$2:$B$1001,"&gt;="&amp;Dash_Calc!$B$4,Clean_Data!$B$2:$B$1001,"&lt;="&amp;Dash_Calc!$B$5),"")</f>
        <v>63.2857142857143</v>
      </c>
      <c r="K64" s="57" t="str">
        <f>Insights!B9</f>
        <v>Registered members generate 91.6% of all rentals and casual riders 8.4%. The casual share is 17% on weekends versus 5% on weekdays.</v>
      </c>
      <c r="L64" s="57"/>
      <c r="M64" s="57"/>
      <c r="N64" s="57"/>
      <c r="O64" s="57"/>
      <c r="P64" s="57"/>
      <c r="Q64" s="57"/>
      <c r="R64" s="57"/>
      <c r="S64" s="57"/>
    </row>
    <row r="65" spans="2:19">
      <c r="B65" s="58">
        <v>19</v>
      </c>
      <c r="C65" s="59">
        <f>IFERROR(AVERAGEIFS(Clean_Data!$P$2:$P$1001,Clean_Data!$F$2:$F$1001,$B65,Clean_Data!$H$2:$H$1001,C$44,Clean_Data!$V$2:$V$1001,1,Clean_Data!$W$2:$W$1001,Dash_Calc!$B$2,Clean_Data!$AA$2:$AA$1001,Dash_Calc!$B$3,Clean_Data!$B$2:$B$1001,"&gt;="&amp;Dash_Calc!$B$4,Clean_Data!$B$2:$B$1001,"&lt;="&amp;Dash_Calc!$B$5),"")</f>
        <v>45.5714285714286</v>
      </c>
      <c r="D65" s="59">
        <f>IFERROR(AVERAGEIFS(Clean_Data!$P$2:$P$1001,Clean_Data!$F$2:$F$1001,$B65,Clean_Data!$H$2:$H$1001,D$44,Clean_Data!$V$2:$V$1001,1,Clean_Data!$W$2:$W$1001,Dash_Calc!$B$2,Clean_Data!$AA$2:$AA$1001,Dash_Calc!$B$3,Clean_Data!$B$2:$B$1001,"&gt;="&amp;Dash_Calc!$B$4,Clean_Data!$B$2:$B$1001,"&lt;="&amp;Dash_Calc!$B$5),"")</f>
        <v>101.666666666667</v>
      </c>
      <c r="E65" s="59">
        <f>IFERROR(AVERAGEIFS(Clean_Data!$P$2:$P$1001,Clean_Data!$F$2:$F$1001,$B65,Clean_Data!$H$2:$H$1001,E$44,Clean_Data!$V$2:$V$1001,1,Clean_Data!$W$2:$W$1001,Dash_Calc!$B$2,Clean_Data!$AA$2:$AA$1001,Dash_Calc!$B$3,Clean_Data!$B$2:$B$1001,"&gt;="&amp;Dash_Calc!$B$4,Clean_Data!$B$2:$B$1001,"&lt;="&amp;Dash_Calc!$B$5),"")</f>
        <v>102.833333333333</v>
      </c>
      <c r="F65" s="59">
        <f>IFERROR(AVERAGEIFS(Clean_Data!$P$2:$P$1001,Clean_Data!$F$2:$F$1001,$B65,Clean_Data!$H$2:$H$1001,F$44,Clean_Data!$V$2:$V$1001,1,Clean_Data!$W$2:$W$1001,Dash_Calc!$B$2,Clean_Data!$AA$2:$AA$1001,Dash_Calc!$B$3,Clean_Data!$B$2:$B$1001,"&gt;="&amp;Dash_Calc!$B$4,Clean_Data!$B$2:$B$1001,"&lt;="&amp;Dash_Calc!$B$5),"")</f>
        <v>101.2</v>
      </c>
      <c r="G65" s="59">
        <f>IFERROR(AVERAGEIFS(Clean_Data!$P$2:$P$1001,Clean_Data!$F$2:$F$1001,$B65,Clean_Data!$H$2:$H$1001,G$44,Clean_Data!$V$2:$V$1001,1,Clean_Data!$W$2:$W$1001,Dash_Calc!$B$2,Clean_Data!$AA$2:$AA$1001,Dash_Calc!$B$3,Clean_Data!$B$2:$B$1001,"&gt;="&amp;Dash_Calc!$B$4,Clean_Data!$B$2:$B$1001,"&lt;="&amp;Dash_Calc!$B$5),"")</f>
        <v>108.333333333333</v>
      </c>
      <c r="H65" s="59">
        <f>IFERROR(AVERAGEIFS(Clean_Data!$P$2:$P$1001,Clean_Data!$F$2:$F$1001,$B65,Clean_Data!$H$2:$H$1001,H$44,Clean_Data!$V$2:$V$1001,1,Clean_Data!$W$2:$W$1001,Dash_Calc!$B$2,Clean_Data!$AA$2:$AA$1001,Dash_Calc!$B$3,Clean_Data!$B$2:$B$1001,"&gt;="&amp;Dash_Calc!$B$4,Clean_Data!$B$2:$B$1001,"&lt;="&amp;Dash_Calc!$B$5),"")</f>
        <v>96</v>
      </c>
      <c r="I65" s="59">
        <f>IFERROR(AVERAGEIFS(Clean_Data!$P$2:$P$1001,Clean_Data!$F$2:$F$1001,$B65,Clean_Data!$H$2:$H$1001,I$44,Clean_Data!$V$2:$V$1001,1,Clean_Data!$W$2:$W$1001,Dash_Calc!$B$2,Clean_Data!$AA$2:$AA$1001,Dash_Calc!$B$3,Clean_Data!$B$2:$B$1001,"&gt;="&amp;Dash_Calc!$B$4,Clean_Data!$B$2:$B$1001,"&lt;="&amp;Dash_Calc!$B$5),"")</f>
        <v>54.7142857142857</v>
      </c>
      <c r="K65" s="57"/>
      <c r="L65" s="57"/>
      <c r="M65" s="57"/>
      <c r="N65" s="57"/>
      <c r="O65" s="57"/>
      <c r="P65" s="57"/>
      <c r="Q65" s="57"/>
      <c r="R65" s="57"/>
      <c r="S65" s="57"/>
    </row>
    <row r="66" spans="2:19">
      <c r="B66" s="58">
        <v>20</v>
      </c>
      <c r="C66" s="59">
        <f>IFERROR(AVERAGEIFS(Clean_Data!$P$2:$P$1001,Clean_Data!$F$2:$F$1001,$B66,Clean_Data!$H$2:$H$1001,C$44,Clean_Data!$V$2:$V$1001,1,Clean_Data!$W$2:$W$1001,Dash_Calc!$B$2,Clean_Data!$AA$2:$AA$1001,Dash_Calc!$B$3,Clean_Data!$B$2:$B$1001,"&gt;="&amp;Dash_Calc!$B$4,Clean_Data!$B$2:$B$1001,"&lt;="&amp;Dash_Calc!$B$5),"")</f>
        <v>36.8571428571429</v>
      </c>
      <c r="D66" s="59">
        <f>IFERROR(AVERAGEIFS(Clean_Data!$P$2:$P$1001,Clean_Data!$F$2:$F$1001,$B66,Clean_Data!$H$2:$H$1001,D$44,Clean_Data!$V$2:$V$1001,1,Clean_Data!$W$2:$W$1001,Dash_Calc!$B$2,Clean_Data!$AA$2:$AA$1001,Dash_Calc!$B$3,Clean_Data!$B$2:$B$1001,"&gt;="&amp;Dash_Calc!$B$4,Clean_Data!$B$2:$B$1001,"&lt;="&amp;Dash_Calc!$B$5),"")</f>
        <v>67.6666666666667</v>
      </c>
      <c r="E66" s="59">
        <f>IFERROR(AVERAGEIFS(Clean_Data!$P$2:$P$1001,Clean_Data!$F$2:$F$1001,$B66,Clean_Data!$H$2:$H$1001,E$44,Clean_Data!$V$2:$V$1001,1,Clean_Data!$W$2:$W$1001,Dash_Calc!$B$2,Clean_Data!$AA$2:$AA$1001,Dash_Calc!$B$3,Clean_Data!$B$2:$B$1001,"&gt;="&amp;Dash_Calc!$B$4,Clean_Data!$B$2:$B$1001,"&lt;="&amp;Dash_Calc!$B$5),"")</f>
        <v>69.6666666666667</v>
      </c>
      <c r="F66" s="59">
        <f>IFERROR(AVERAGEIFS(Clean_Data!$P$2:$P$1001,Clean_Data!$F$2:$F$1001,$B66,Clean_Data!$H$2:$H$1001,F$44,Clean_Data!$V$2:$V$1001,1,Clean_Data!$W$2:$W$1001,Dash_Calc!$B$2,Clean_Data!$AA$2:$AA$1001,Dash_Calc!$B$3,Clean_Data!$B$2:$B$1001,"&gt;="&amp;Dash_Calc!$B$4,Clean_Data!$B$2:$B$1001,"&lt;="&amp;Dash_Calc!$B$5),"")</f>
        <v>76</v>
      </c>
      <c r="G66" s="59">
        <f>IFERROR(AVERAGEIFS(Clean_Data!$P$2:$P$1001,Clean_Data!$F$2:$F$1001,$B66,Clean_Data!$H$2:$H$1001,G$44,Clean_Data!$V$2:$V$1001,1,Clean_Data!$W$2:$W$1001,Dash_Calc!$B$2,Clean_Data!$AA$2:$AA$1001,Dash_Calc!$B$3,Clean_Data!$B$2:$B$1001,"&gt;="&amp;Dash_Calc!$B$4,Clean_Data!$B$2:$B$1001,"&lt;="&amp;Dash_Calc!$B$5),"")</f>
        <v>87.3333333333333</v>
      </c>
      <c r="H66" s="59">
        <f>IFERROR(AVERAGEIFS(Clean_Data!$P$2:$P$1001,Clean_Data!$F$2:$F$1001,$B66,Clean_Data!$H$2:$H$1001,H$44,Clean_Data!$V$2:$V$1001,1,Clean_Data!$W$2:$W$1001,Dash_Calc!$B$2,Clean_Data!$AA$2:$AA$1001,Dash_Calc!$B$3,Clean_Data!$B$2:$B$1001,"&gt;="&amp;Dash_Calc!$B$4,Clean_Data!$B$2:$B$1001,"&lt;="&amp;Dash_Calc!$B$5),"")</f>
        <v>61.3333333333333</v>
      </c>
      <c r="I66" s="59">
        <f>IFERROR(AVERAGEIFS(Clean_Data!$P$2:$P$1001,Clean_Data!$F$2:$F$1001,$B66,Clean_Data!$H$2:$H$1001,I$44,Clean_Data!$V$2:$V$1001,1,Clean_Data!$W$2:$W$1001,Dash_Calc!$B$2,Clean_Data!$AA$2:$AA$1001,Dash_Calc!$B$3,Clean_Data!$B$2:$B$1001,"&gt;="&amp;Dash_Calc!$B$4,Clean_Data!$B$2:$B$1001,"&lt;="&amp;Dash_Calc!$B$5),"")</f>
        <v>43.1428571428571</v>
      </c>
      <c r="K66" s="57"/>
      <c r="L66" s="57"/>
      <c r="M66" s="57"/>
      <c r="N66" s="57"/>
      <c r="O66" s="57"/>
      <c r="P66" s="57"/>
      <c r="Q66" s="57"/>
      <c r="R66" s="57"/>
      <c r="S66" s="57"/>
    </row>
    <row r="67" spans="2:19">
      <c r="B67" s="58">
        <v>21</v>
      </c>
      <c r="C67" s="59">
        <f>IFERROR(AVERAGEIFS(Clean_Data!$P$2:$P$1001,Clean_Data!$F$2:$F$1001,$B67,Clean_Data!$H$2:$H$1001,C$44,Clean_Data!$V$2:$V$1001,1,Clean_Data!$W$2:$W$1001,Dash_Calc!$B$2,Clean_Data!$AA$2:$AA$1001,Dash_Calc!$B$3,Clean_Data!$B$2:$B$1001,"&gt;="&amp;Dash_Calc!$B$4,Clean_Data!$B$2:$B$1001,"&lt;="&amp;Dash_Calc!$B$5),"")</f>
        <v>30</v>
      </c>
      <c r="D67" s="59">
        <f>IFERROR(AVERAGEIFS(Clean_Data!$P$2:$P$1001,Clean_Data!$F$2:$F$1001,$B67,Clean_Data!$H$2:$H$1001,D$44,Clean_Data!$V$2:$V$1001,1,Clean_Data!$W$2:$W$1001,Dash_Calc!$B$2,Clean_Data!$AA$2:$AA$1001,Dash_Calc!$B$3,Clean_Data!$B$2:$B$1001,"&gt;="&amp;Dash_Calc!$B$4,Clean_Data!$B$2:$B$1001,"&lt;="&amp;Dash_Calc!$B$5),"")</f>
        <v>51.6666666666667</v>
      </c>
      <c r="E67" s="59">
        <f>IFERROR(AVERAGEIFS(Clean_Data!$P$2:$P$1001,Clean_Data!$F$2:$F$1001,$B67,Clean_Data!$H$2:$H$1001,E$44,Clean_Data!$V$2:$V$1001,1,Clean_Data!$W$2:$W$1001,Dash_Calc!$B$2,Clean_Data!$AA$2:$AA$1001,Dash_Calc!$B$3,Clean_Data!$B$2:$B$1001,"&gt;="&amp;Dash_Calc!$B$4,Clean_Data!$B$2:$B$1001,"&lt;="&amp;Dash_Calc!$B$5),"")</f>
        <v>45.3333333333333</v>
      </c>
      <c r="F67" s="59">
        <f>IFERROR(AVERAGEIFS(Clean_Data!$P$2:$P$1001,Clean_Data!$F$2:$F$1001,$B67,Clean_Data!$H$2:$H$1001,F$44,Clean_Data!$V$2:$V$1001,1,Clean_Data!$W$2:$W$1001,Dash_Calc!$B$2,Clean_Data!$AA$2:$AA$1001,Dash_Calc!$B$3,Clean_Data!$B$2:$B$1001,"&gt;="&amp;Dash_Calc!$B$4,Clean_Data!$B$2:$B$1001,"&lt;="&amp;Dash_Calc!$B$5),"")</f>
        <v>61</v>
      </c>
      <c r="G67" s="59">
        <f>IFERROR(AVERAGEIFS(Clean_Data!$P$2:$P$1001,Clean_Data!$F$2:$F$1001,$B67,Clean_Data!$H$2:$H$1001,G$44,Clean_Data!$V$2:$V$1001,1,Clean_Data!$W$2:$W$1001,Dash_Calc!$B$2,Clean_Data!$AA$2:$AA$1001,Dash_Calc!$B$3,Clean_Data!$B$2:$B$1001,"&gt;="&amp;Dash_Calc!$B$4,Clean_Data!$B$2:$B$1001,"&lt;="&amp;Dash_Calc!$B$5),"")</f>
        <v>51.5</v>
      </c>
      <c r="H67" s="59">
        <f>IFERROR(AVERAGEIFS(Clean_Data!$P$2:$P$1001,Clean_Data!$F$2:$F$1001,$B67,Clean_Data!$H$2:$H$1001,H$44,Clean_Data!$V$2:$V$1001,1,Clean_Data!$W$2:$W$1001,Dash_Calc!$B$2,Clean_Data!$AA$2:$AA$1001,Dash_Calc!$B$3,Clean_Data!$B$2:$B$1001,"&gt;="&amp;Dash_Calc!$B$4,Clean_Data!$B$2:$B$1001,"&lt;="&amp;Dash_Calc!$B$5),"")</f>
        <v>46.6666666666667</v>
      </c>
      <c r="I67" s="59">
        <f>IFERROR(AVERAGEIFS(Clean_Data!$P$2:$P$1001,Clean_Data!$F$2:$F$1001,$B67,Clean_Data!$H$2:$H$1001,I$44,Clean_Data!$V$2:$V$1001,1,Clean_Data!$W$2:$W$1001,Dash_Calc!$B$2,Clean_Data!$AA$2:$AA$1001,Dash_Calc!$B$3,Clean_Data!$B$2:$B$1001,"&gt;="&amp;Dash_Calc!$B$4,Clean_Data!$B$2:$B$1001,"&lt;="&amp;Dash_Calc!$B$5),"")</f>
        <v>44.2857142857143</v>
      </c>
      <c r="K67" s="57"/>
      <c r="L67" s="57"/>
      <c r="M67" s="57"/>
      <c r="N67" s="57"/>
      <c r="O67" s="57"/>
      <c r="P67" s="57"/>
      <c r="Q67" s="57"/>
      <c r="R67" s="57"/>
      <c r="S67" s="57"/>
    </row>
    <row r="68" spans="2:19">
      <c r="B68" s="58">
        <v>22</v>
      </c>
      <c r="C68" s="59">
        <f>IFERROR(AVERAGEIFS(Clean_Data!$P$2:$P$1001,Clean_Data!$F$2:$F$1001,$B68,Clean_Data!$H$2:$H$1001,C$44,Clean_Data!$V$2:$V$1001,1,Clean_Data!$W$2:$W$1001,Dash_Calc!$B$2,Clean_Data!$AA$2:$AA$1001,Dash_Calc!$B$3,Clean_Data!$B$2:$B$1001,"&gt;="&amp;Dash_Calc!$B$4,Clean_Data!$B$2:$B$1001,"&lt;="&amp;Dash_Calc!$B$5),"")</f>
        <v>27.4285714285714</v>
      </c>
      <c r="D68" s="59">
        <f>IFERROR(AVERAGEIFS(Clean_Data!$P$2:$P$1001,Clean_Data!$F$2:$F$1001,$B68,Clean_Data!$H$2:$H$1001,D$44,Clean_Data!$V$2:$V$1001,1,Clean_Data!$W$2:$W$1001,Dash_Calc!$B$2,Clean_Data!$AA$2:$AA$1001,Dash_Calc!$B$3,Clean_Data!$B$2:$B$1001,"&gt;="&amp;Dash_Calc!$B$4,Clean_Data!$B$2:$B$1001,"&lt;="&amp;Dash_Calc!$B$5),"")</f>
        <v>27.1666666666667</v>
      </c>
      <c r="E68" s="59">
        <f>IFERROR(AVERAGEIFS(Clean_Data!$P$2:$P$1001,Clean_Data!$F$2:$F$1001,$B68,Clean_Data!$H$2:$H$1001,E$44,Clean_Data!$V$2:$V$1001,1,Clean_Data!$W$2:$W$1001,Dash_Calc!$B$2,Clean_Data!$AA$2:$AA$1001,Dash_Calc!$B$3,Clean_Data!$B$2:$B$1001,"&gt;="&amp;Dash_Calc!$B$4,Clean_Data!$B$2:$B$1001,"&lt;="&amp;Dash_Calc!$B$5),"")</f>
        <v>35.8333333333333</v>
      </c>
      <c r="F68" s="59">
        <f>IFERROR(AVERAGEIFS(Clean_Data!$P$2:$P$1001,Clean_Data!$F$2:$F$1001,$B68,Clean_Data!$H$2:$H$1001,F$44,Clean_Data!$V$2:$V$1001,1,Clean_Data!$W$2:$W$1001,Dash_Calc!$B$2,Clean_Data!$AA$2:$AA$1001,Dash_Calc!$B$3,Clean_Data!$B$2:$B$1001,"&gt;="&amp;Dash_Calc!$B$4,Clean_Data!$B$2:$B$1001,"&lt;="&amp;Dash_Calc!$B$5),"")</f>
        <v>44</v>
      </c>
      <c r="G68" s="59">
        <f>IFERROR(AVERAGEIFS(Clean_Data!$P$2:$P$1001,Clean_Data!$F$2:$F$1001,$B68,Clean_Data!$H$2:$H$1001,G$44,Clean_Data!$V$2:$V$1001,1,Clean_Data!$W$2:$W$1001,Dash_Calc!$B$2,Clean_Data!$AA$2:$AA$1001,Dash_Calc!$B$3,Clean_Data!$B$2:$B$1001,"&gt;="&amp;Dash_Calc!$B$4,Clean_Data!$B$2:$B$1001,"&lt;="&amp;Dash_Calc!$B$5),"")</f>
        <v>42.8333333333333</v>
      </c>
      <c r="H68" s="59">
        <f>IFERROR(AVERAGEIFS(Clean_Data!$P$2:$P$1001,Clean_Data!$F$2:$F$1001,$B68,Clean_Data!$H$2:$H$1001,H$44,Clean_Data!$V$2:$V$1001,1,Clean_Data!$W$2:$W$1001,Dash_Calc!$B$2,Clean_Data!$AA$2:$AA$1001,Dash_Calc!$B$3,Clean_Data!$B$2:$B$1001,"&gt;="&amp;Dash_Calc!$B$4,Clean_Data!$B$2:$B$1001,"&lt;="&amp;Dash_Calc!$B$5),"")</f>
        <v>36.8333333333333</v>
      </c>
      <c r="I68" s="59">
        <f>IFERROR(AVERAGEIFS(Clean_Data!$P$2:$P$1001,Clean_Data!$F$2:$F$1001,$B68,Clean_Data!$H$2:$H$1001,I$44,Clean_Data!$V$2:$V$1001,1,Clean_Data!$W$2:$W$1001,Dash_Calc!$B$2,Clean_Data!$AA$2:$AA$1001,Dash_Calc!$B$3,Clean_Data!$B$2:$B$1001,"&gt;="&amp;Dash_Calc!$B$4,Clean_Data!$B$2:$B$1001,"&lt;="&amp;Dash_Calc!$B$5),"")</f>
        <v>34.2857142857143</v>
      </c>
      <c r="K68" s="57"/>
      <c r="L68" s="57"/>
      <c r="M68" s="57"/>
      <c r="N68" s="57"/>
      <c r="O68" s="57"/>
      <c r="P68" s="57"/>
      <c r="Q68" s="57"/>
      <c r="R68" s="57"/>
      <c r="S68" s="57"/>
    </row>
    <row r="69" spans="2:19">
      <c r="B69" s="58">
        <v>23</v>
      </c>
      <c r="C69" s="59">
        <f>IFERROR(AVERAGEIFS(Clean_Data!$P$2:$P$1001,Clean_Data!$F$2:$F$1001,$B69,Clean_Data!$H$2:$H$1001,C$44,Clean_Data!$V$2:$V$1001,1,Clean_Data!$W$2:$W$1001,Dash_Calc!$B$2,Clean_Data!$AA$2:$AA$1001,Dash_Calc!$B$3,Clean_Data!$B$2:$B$1001,"&gt;="&amp;Dash_Calc!$B$4,Clean_Data!$B$2:$B$1001,"&lt;="&amp;Dash_Calc!$B$5),"")</f>
        <v>19.1428571428571</v>
      </c>
      <c r="D69" s="59">
        <f>IFERROR(AVERAGEIFS(Clean_Data!$P$2:$P$1001,Clean_Data!$F$2:$F$1001,$B69,Clean_Data!$H$2:$H$1001,D$44,Clean_Data!$V$2:$V$1001,1,Clean_Data!$W$2:$W$1001,Dash_Calc!$B$2,Clean_Data!$AA$2:$AA$1001,Dash_Calc!$B$3,Clean_Data!$B$2:$B$1001,"&gt;="&amp;Dash_Calc!$B$4,Clean_Data!$B$2:$B$1001,"&lt;="&amp;Dash_Calc!$B$5),"")</f>
        <v>16.6666666666667</v>
      </c>
      <c r="E69" s="59">
        <f>IFERROR(AVERAGEIFS(Clean_Data!$P$2:$P$1001,Clean_Data!$F$2:$F$1001,$B69,Clean_Data!$H$2:$H$1001,E$44,Clean_Data!$V$2:$V$1001,1,Clean_Data!$W$2:$W$1001,Dash_Calc!$B$2,Clean_Data!$AA$2:$AA$1001,Dash_Calc!$B$3,Clean_Data!$B$2:$B$1001,"&gt;="&amp;Dash_Calc!$B$4,Clean_Data!$B$2:$B$1001,"&lt;="&amp;Dash_Calc!$B$5),"")</f>
        <v>19.6666666666667</v>
      </c>
      <c r="F69" s="59">
        <f>IFERROR(AVERAGEIFS(Clean_Data!$P$2:$P$1001,Clean_Data!$F$2:$F$1001,$B69,Clean_Data!$H$2:$H$1001,F$44,Clean_Data!$V$2:$V$1001,1,Clean_Data!$W$2:$W$1001,Dash_Calc!$B$2,Clean_Data!$AA$2:$AA$1001,Dash_Calc!$B$3,Clean_Data!$B$2:$B$1001,"&gt;="&amp;Dash_Calc!$B$4,Clean_Data!$B$2:$B$1001,"&lt;="&amp;Dash_Calc!$B$5),"")</f>
        <v>27.2</v>
      </c>
      <c r="G69" s="59">
        <f>IFERROR(AVERAGEIFS(Clean_Data!$P$2:$P$1001,Clean_Data!$F$2:$F$1001,$B69,Clean_Data!$H$2:$H$1001,G$44,Clean_Data!$V$2:$V$1001,1,Clean_Data!$W$2:$W$1001,Dash_Calc!$B$2,Clean_Data!$AA$2:$AA$1001,Dash_Calc!$B$3,Clean_Data!$B$2:$B$1001,"&gt;="&amp;Dash_Calc!$B$4,Clean_Data!$B$2:$B$1001,"&lt;="&amp;Dash_Calc!$B$5),"")</f>
        <v>26.1666666666667</v>
      </c>
      <c r="H69" s="59">
        <f>IFERROR(AVERAGEIFS(Clean_Data!$P$2:$P$1001,Clean_Data!$F$2:$F$1001,$B69,Clean_Data!$H$2:$H$1001,H$44,Clean_Data!$V$2:$V$1001,1,Clean_Data!$W$2:$W$1001,Dash_Calc!$B$2,Clean_Data!$AA$2:$AA$1001,Dash_Calc!$B$3,Clean_Data!$B$2:$B$1001,"&gt;="&amp;Dash_Calc!$B$4,Clean_Data!$B$2:$B$1001,"&lt;="&amp;Dash_Calc!$B$5),"")</f>
        <v>29.3333333333333</v>
      </c>
      <c r="I69" s="59">
        <f>IFERROR(AVERAGEIFS(Clean_Data!$P$2:$P$1001,Clean_Data!$F$2:$F$1001,$B69,Clean_Data!$H$2:$H$1001,I$44,Clean_Data!$V$2:$V$1001,1,Clean_Data!$W$2:$W$1001,Dash_Calc!$B$2,Clean_Data!$AA$2:$AA$1001,Dash_Calc!$B$3,Clean_Data!$B$2:$B$1001,"&gt;="&amp;Dash_Calc!$B$4,Clean_Data!$B$2:$B$1001,"&lt;="&amp;Dash_Calc!$B$5),"")</f>
        <v>37.4285714285714</v>
      </c>
    </row>
  </sheetData>
  <mergeCells count="31">
    <mergeCell ref="B1:S2"/>
    <mergeCell ref="C4:D4"/>
    <mergeCell ref="C5:D5"/>
    <mergeCell ref="G4:H4"/>
    <mergeCell ref="G5:H5"/>
    <mergeCell ref="J4:S5"/>
    <mergeCell ref="B7:D7"/>
    <mergeCell ref="B8:D8"/>
    <mergeCell ref="B9:D9"/>
    <mergeCell ref="E7:G7"/>
    <mergeCell ref="E8:G8"/>
    <mergeCell ref="E9:G9"/>
    <mergeCell ref="H7:J7"/>
    <mergeCell ref="H8:J8"/>
    <mergeCell ref="H9:J9"/>
    <mergeCell ref="K7:M7"/>
    <mergeCell ref="K8:M8"/>
    <mergeCell ref="K9:M9"/>
    <mergeCell ref="N7:P7"/>
    <mergeCell ref="N8:P8"/>
    <mergeCell ref="N9:P9"/>
    <mergeCell ref="Q7:S7"/>
    <mergeCell ref="Q8:S8"/>
    <mergeCell ref="Q9:S9"/>
    <mergeCell ref="B43:I43"/>
    <mergeCell ref="K43:S43"/>
    <mergeCell ref="K44:S48"/>
    <mergeCell ref="K49:S53"/>
    <mergeCell ref="K54:S58"/>
    <mergeCell ref="K59:S63"/>
    <mergeCell ref="K64:S68"/>
  </mergeCells>
  <conditionalFormatting sqref="C46:I69">
    <cfRule type="colorScale" priority="1">
      <colorScale>
        <cfvo type="min" val="0"/>
        <cfvo type="percentile" val="50"/>
        <cfvo type="max" val="0"/>
        <color rgb="FFF7FBFF"/>
        <color rgb="FF9ECAE1"/>
        <color rgb="FF08519C"/>
      </colorScale>
    </cfRule>
  </conditionalFormatting>
  <dataValidations count="4">
    <dataValidation type="list" allowBlank="1" showInputMessage="1" showErrorMessage="1" sqref="C4">
      <formula1>"All,Weekday,Weekend"</formula1>
    </dataValidation>
    <dataValidation type="list" allowBlank="1" showInputMessage="1" showErrorMessage="1" sqref="C5">
      <formula1>Dash_Calc!$D$2:$D$6</formula1>
    </dataValidation>
    <dataValidation type="date" allowBlank="1" showInputMessage="1" showErrorMessage="1" promptTitle="Timeline" prompt="Start date of the period" sqref="G4">
      <formula1>Dash_Calc!$B$6</formula1>
      <formula2>Dash_Calc!$B$7</formula2>
    </dataValidation>
    <dataValidation type="date" allowBlank="1" showInputMessage="1" showErrorMessage="1" promptTitle="Timeline" prompt="End date of the period" sqref="G5">
      <formula1>Dash_Calc!$B$6</formula1>
      <formula2>Dash_Calc!$B$7</formula2>
    </dataValidation>
  </dataValidations>
  <pageMargins left="0.7" right="0.7" top="0.75" bottom="0.75" header="0.3" footer="0.3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6B7280"/>
  </sheetPr>
  <dimension ref="A1:F116"/>
  <sheetViews>
    <sheetView showGridLines="0" workbookViewId="0"/>
  </sheetViews>
  <sheetFormatPr defaultRowHeight="15"/>
  <cols>
    <col min="1" max="1" width="28.7109375" customWidth="1"/>
    <col min="2" max="6" width="14.7109375" customWidth="1"/>
  </cols>
  <sheetData>
    <row r="1" spans="1:6">
      <c r="A1" s="12" t="s">
        <v>417</v>
      </c>
      <c r="D1" s="27" t="s">
        <v>422</v>
      </c>
      <c r="F1" s="27" t="s">
        <v>424</v>
      </c>
    </row>
    <row r="2" spans="1:6">
      <c r="A2" s="27" t="s">
        <v>418</v>
      </c>
      <c r="B2" s="9" t="str">
        <f>IF(Dashboard!$C$4="All","*",Dashboard!$C$4)</f>
        <v>*</v>
      </c>
      <c r="D2" s="9" t="s">
        <v>423</v>
      </c>
      <c r="F2" s="9" t="s">
        <v>423</v>
      </c>
    </row>
    <row r="3" spans="1:6">
      <c r="A3" s="27" t="s">
        <v>419</v>
      </c>
      <c r="B3" s="9" t="str">
        <f>IF(Dashboard!$C$5="All","*",Dashboard!$C$5)</f>
        <v>*</v>
      </c>
      <c r="D3" s="9" t="str">
        <f>Lookups!$B$4</f>
        <v>Clear</v>
      </c>
      <c r="F3" s="9" t="s">
        <v>283</v>
      </c>
    </row>
    <row r="4" spans="1:6">
      <c r="A4" s="27" t="s">
        <v>420</v>
      </c>
      <c r="B4" s="29">
        <f>Dashboard!$G$4</f>
        <v>40544.0</v>
      </c>
      <c r="D4" s="9" t="str">
        <f>Lookups!$B$5</f>
        <v>Mist/Cloudy</v>
      </c>
      <c r="F4" s="9" t="s">
        <v>304</v>
      </c>
    </row>
    <row r="5" spans="1:6">
      <c r="A5" s="27" t="s">
        <v>421</v>
      </c>
      <c r="B5" s="29">
        <f>Dashboard!$G$5</f>
        <v>40588.0</v>
      </c>
      <c r="D5" s="9" t="str">
        <f>Lookups!$B$6</f>
        <v>Light Rain/Snow</v>
      </c>
    </row>
    <row r="6" spans="1:6">
      <c r="A6" s="27" t="s">
        <v>370</v>
      </c>
      <c r="B6" s="29">
        <f>MIN(Clean_Data!$B$2:$B$1001)</f>
        <v>40544.0</v>
      </c>
      <c r="D6" s="9" t="str">
        <f>Lookups!$B$7</f>
        <v>Heavy Rain/Snow</v>
      </c>
    </row>
    <row r="7" spans="1:6">
      <c r="A7" s="27" t="s">
        <v>371</v>
      </c>
      <c r="B7" s="29">
        <f>MAX(Clean_Data!$B$2:$B$1001)</f>
        <v>40588.0</v>
      </c>
    </row>
    <row r="9" spans="1:6">
      <c r="A9" s="21" t="s">
        <v>425</v>
      </c>
      <c r="B9" s="21"/>
    </row>
    <row r="10" spans="1:6">
      <c r="A10" s="9" t="s">
        <v>426</v>
      </c>
      <c r="B10" s="30">
        <f>COUNTIFS(Clean_Data!$V$2:$V$1001,1,Clean_Data!$W$2:$W$1001,$B$2,Clean_Data!$AA$2:$AA$1001,$B$3,Clean_Data!$B$2:$B$1001,"&gt;="&amp;$B$4,Clean_Data!$B$2:$B$1001,"&lt;="&amp;$B$5)</f>
        <v>1000</v>
      </c>
    </row>
    <row r="11" spans="1:6">
      <c r="A11" s="9" t="s">
        <v>266</v>
      </c>
      <c r="B11" s="30">
        <f>SUMIFS(Clean_Data!$P$2:$P$1001,Clean_Data!$V$2:$V$1001,1,Clean_Data!$W$2:$W$1001,$B$2,Clean_Data!$AA$2:$AA$1001,$B$3,Clean_Data!$B$2:$B$1001,"&gt;="&amp;$B$4,Clean_Data!$B$2:$B$1001,"&lt;="&amp;$B$5)</f>
        <v>58304</v>
      </c>
    </row>
    <row r="12" spans="1:6">
      <c r="A12" s="9" t="s">
        <v>427</v>
      </c>
      <c r="B12" s="15">
        <f>IFERROR(B11/B10,0)</f>
        <v>58.304</v>
      </c>
    </row>
    <row r="13" spans="1:6">
      <c r="A13" s="9" t="s">
        <v>334</v>
      </c>
      <c r="B13" s="30">
        <f>SUMIFS(Clean_Data!$N$2:$N$1001,Clean_Data!$V$2:$V$1001,1,Clean_Data!$W$2:$W$1001,$B$2,Clean_Data!$AA$2:$AA$1001,$B$3,Clean_Data!$B$2:$B$1001,"&gt;="&amp;$B$4,Clean_Data!$B$2:$B$1001,"&lt;="&amp;$B$5)</f>
        <v>4921</v>
      </c>
    </row>
    <row r="14" spans="1:6">
      <c r="A14" s="9" t="s">
        <v>335</v>
      </c>
      <c r="B14" s="30">
        <f>SUMIFS(Clean_Data!$O$2:$O$1001,Clean_Data!$V$2:$V$1001,1,Clean_Data!$W$2:$W$1001,$B$2,Clean_Data!$AA$2:$AA$1001,$B$3,Clean_Data!$B$2:$B$1001,"&gt;="&amp;$B$4,Clean_Data!$B$2:$B$1001,"&lt;="&amp;$B$5)</f>
        <v>53383</v>
      </c>
    </row>
    <row r="15" spans="1:6">
      <c r="A15" s="9" t="s">
        <v>295</v>
      </c>
      <c r="B15" s="33">
        <f>IFERROR(B14/B11,0)</f>
        <v>0.915597557628979</v>
      </c>
    </row>
    <row r="16" spans="1:6">
      <c r="A16" s="9" t="s">
        <v>428</v>
      </c>
      <c r="B16" s="60" t="str">
        <f>IF(B10=0,"-",INDEX(B24:B47,MATCH(MAX(C24:C47),C24:C47,0)))</f>
        <v>17:00</v>
      </c>
    </row>
    <row r="17" spans="1:6">
      <c r="A17" s="9" t="s">
        <v>429</v>
      </c>
      <c r="B17" s="15">
        <f>MAX(C24:C47)</f>
        <v>140.204545454545</v>
      </c>
    </row>
    <row r="18" spans="1:6">
      <c r="A18" s="9" t="s">
        <v>430</v>
      </c>
      <c r="B18" s="15">
        <f>IFERROR(AVERAGEIFS(Clean_Data!$AD$2:$AD$1001,Clean_Data!$V$2:$V$1001,1,Clean_Data!$W$2:$W$1001,$B$2,Clean_Data!$AA$2:$AA$1001,$B$3,Clean_Data!$B$2:$B$1001,"&gt;="&amp;$B$4,Clean_Data!$B$2:$B$1001,"&lt;="&amp;$B$5),0)</f>
        <v>8.4404</v>
      </c>
    </row>
    <row r="19" spans="1:6">
      <c r="A19" s="9" t="s">
        <v>431</v>
      </c>
      <c r="B19" s="24">
        <f>COUNTIF(C51:C95,"&gt;0")</f>
        <v>45</v>
      </c>
    </row>
    <row r="23" spans="1:6">
      <c r="A23" s="6" t="s">
        <v>260</v>
      </c>
      <c r="B23" s="6" t="s">
        <v>300</v>
      </c>
      <c r="C23" s="6" t="s">
        <v>432</v>
      </c>
      <c r="D23" s="6" t="s">
        <v>293</v>
      </c>
      <c r="E23" s="6" t="s">
        <v>294</v>
      </c>
      <c r="F23" s="6" t="s">
        <v>291</v>
      </c>
    </row>
    <row r="24" spans="1:6">
      <c r="A24" s="9">
        <v>0</v>
      </c>
      <c r="B24" s="9" t="str">
        <f>TEXT(A24,"00")&amp;":00"</f>
        <v>00:00</v>
      </c>
      <c r="C24" s="15">
        <f>IFERROR(SUMIFS(Clean_Data!$P$2:$P$1001,Clean_Data!$F$2:$F$1001,$A24,Clean_Data!$V$2:$V$1001,1,Clean_Data!$W$2:$W$1001,$B$2,Clean_Data!$AA$2:$AA$1001,$B$3,Clean_Data!$B$2:$B$1001,"&gt;="&amp;$B$4,Clean_Data!$B$2:$B$1001,"&lt;="&amp;$B$5)/F24,0)</f>
        <v>16.3488372093023</v>
      </c>
      <c r="D24" s="15">
        <f>IFERROR(SUMIFS(Clean_Data!$N$2:$N$1001,Clean_Data!$F$2:$F$1001,$A24,Clean_Data!$V$2:$V$1001,1,Clean_Data!$W$2:$W$1001,$B$2,Clean_Data!$AA$2:$AA$1001,$B$3,Clean_Data!$B$2:$B$1001,"&gt;="&amp;$B$4,Clean_Data!$B$2:$B$1001,"&lt;="&amp;$B$5)/F24,0)</f>
        <v>1.72093023255814</v>
      </c>
      <c r="E24" s="15">
        <f>IFERROR(SUMIFS(Clean_Data!$O$2:$O$1001,Clean_Data!$F$2:$F$1001,$A24,Clean_Data!$V$2:$V$1001,1,Clean_Data!$W$2:$W$1001,$B$2,Clean_Data!$AA$2:$AA$1001,$B$3,Clean_Data!$B$2:$B$1001,"&gt;="&amp;$B$4,Clean_Data!$B$2:$B$1001,"&lt;="&amp;$B$5)/F24,0)</f>
        <v>14.6279069767442</v>
      </c>
      <c r="F24" s="9">
        <f>COUNTIFS(Clean_Data!$F$2:$F$1001,$A24,Clean_Data!$V$2:$V$1001,1,Clean_Data!$W$2:$W$1001,$B$2,Clean_Data!$AA$2:$AA$1001,$B$3,Clean_Data!$B$2:$B$1001,"&gt;="&amp;$B$4,Clean_Data!$B$2:$B$1001,"&lt;="&amp;$B$5)</f>
        <v>43</v>
      </c>
    </row>
    <row r="25" spans="1:6">
      <c r="A25" s="9">
        <v>1</v>
      </c>
      <c r="B25" s="9" t="str">
        <f>TEXT(A25,"00")&amp;":00"</f>
        <v>01:00</v>
      </c>
      <c r="C25" s="15">
        <f>IFERROR(SUMIFS(Clean_Data!$P$2:$P$1001,Clean_Data!$F$2:$F$1001,$A25,Clean_Data!$V$2:$V$1001,1,Clean_Data!$W$2:$W$1001,$B$2,Clean_Data!$AA$2:$AA$1001,$B$3,Clean_Data!$B$2:$B$1001,"&gt;="&amp;$B$4,Clean_Data!$B$2:$B$1001,"&lt;="&amp;$B$5)/F25,0)</f>
        <v>10.6976744186047</v>
      </c>
      <c r="D25" s="15">
        <f>IFERROR(SUMIFS(Clean_Data!$N$2:$N$1001,Clean_Data!$F$2:$F$1001,$A25,Clean_Data!$V$2:$V$1001,1,Clean_Data!$W$2:$W$1001,$B$2,Clean_Data!$AA$2:$AA$1001,$B$3,Clean_Data!$B$2:$B$1001,"&gt;="&amp;$B$4,Clean_Data!$B$2:$B$1001,"&lt;="&amp;$B$5)/F25,0)</f>
        <v>1.11627906976744</v>
      </c>
      <c r="E25" s="15">
        <f>IFERROR(SUMIFS(Clean_Data!$O$2:$O$1001,Clean_Data!$F$2:$F$1001,$A25,Clean_Data!$V$2:$V$1001,1,Clean_Data!$W$2:$W$1001,$B$2,Clean_Data!$AA$2:$AA$1001,$B$3,Clean_Data!$B$2:$B$1001,"&gt;="&amp;$B$4,Clean_Data!$B$2:$B$1001,"&lt;="&amp;$B$5)/F25,0)</f>
        <v>9.58139534883721</v>
      </c>
      <c r="F25" s="9">
        <f>COUNTIFS(Clean_Data!$F$2:$F$1001,$A25,Clean_Data!$V$2:$V$1001,1,Clean_Data!$W$2:$W$1001,$B$2,Clean_Data!$AA$2:$AA$1001,$B$3,Clean_Data!$B$2:$B$1001,"&gt;="&amp;$B$4,Clean_Data!$B$2:$B$1001,"&lt;="&amp;$B$5)</f>
        <v>43</v>
      </c>
    </row>
    <row r="26" spans="1:6">
      <c r="A26" s="9">
        <v>2</v>
      </c>
      <c r="B26" s="9" t="str">
        <f>TEXT(A26,"00")&amp;":00"</f>
        <v>02:00</v>
      </c>
      <c r="C26" s="15">
        <f>IFERROR(SUMIFS(Clean_Data!$P$2:$P$1001,Clean_Data!$F$2:$F$1001,$A26,Clean_Data!$V$2:$V$1001,1,Clean_Data!$W$2:$W$1001,$B$2,Clean_Data!$AA$2:$AA$1001,$B$3,Clean_Data!$B$2:$B$1001,"&gt;="&amp;$B$4,Clean_Data!$B$2:$B$1001,"&lt;="&amp;$B$5)/F26,0)</f>
        <v>7.17073170731707</v>
      </c>
      <c r="D26" s="15">
        <f>IFERROR(SUMIFS(Clean_Data!$N$2:$N$1001,Clean_Data!$F$2:$F$1001,$A26,Clean_Data!$V$2:$V$1001,1,Clean_Data!$W$2:$W$1001,$B$2,Clean_Data!$AA$2:$AA$1001,$B$3,Clean_Data!$B$2:$B$1001,"&gt;="&amp;$B$4,Clean_Data!$B$2:$B$1001,"&lt;="&amp;$B$5)/F26,0)</f>
        <v>0.804878048780488</v>
      </c>
      <c r="E26" s="15">
        <f>IFERROR(SUMIFS(Clean_Data!$O$2:$O$1001,Clean_Data!$F$2:$F$1001,$A26,Clean_Data!$V$2:$V$1001,1,Clean_Data!$W$2:$W$1001,$B$2,Clean_Data!$AA$2:$AA$1001,$B$3,Clean_Data!$B$2:$B$1001,"&gt;="&amp;$B$4,Clean_Data!$B$2:$B$1001,"&lt;="&amp;$B$5)/F26,0)</f>
        <v>6.36585365853659</v>
      </c>
      <c r="F26" s="9">
        <f>COUNTIFS(Clean_Data!$F$2:$F$1001,$A26,Clean_Data!$V$2:$V$1001,1,Clean_Data!$W$2:$W$1001,$B$2,Clean_Data!$AA$2:$AA$1001,$B$3,Clean_Data!$B$2:$B$1001,"&gt;="&amp;$B$4,Clean_Data!$B$2:$B$1001,"&lt;="&amp;$B$5)</f>
        <v>41</v>
      </c>
    </row>
    <row r="27" spans="1:6">
      <c r="A27" s="9">
        <v>3</v>
      </c>
      <c r="B27" s="9" t="str">
        <f>TEXT(A27,"00")&amp;":00"</f>
        <v>03:00</v>
      </c>
      <c r="C27" s="15">
        <f>IFERROR(SUMIFS(Clean_Data!$P$2:$P$1001,Clean_Data!$F$2:$F$1001,$A27,Clean_Data!$V$2:$V$1001,1,Clean_Data!$W$2:$W$1001,$B$2,Clean_Data!$AA$2:$AA$1001,$B$3,Clean_Data!$B$2:$B$1001,"&gt;="&amp;$B$4,Clean_Data!$B$2:$B$1001,"&lt;="&amp;$B$5)/F27,0)</f>
        <v>4.87096774193548</v>
      </c>
      <c r="D27" s="15">
        <f>IFERROR(SUMIFS(Clean_Data!$N$2:$N$1001,Clean_Data!$F$2:$F$1001,$A27,Clean_Data!$V$2:$V$1001,1,Clean_Data!$W$2:$W$1001,$B$2,Clean_Data!$AA$2:$AA$1001,$B$3,Clean_Data!$B$2:$B$1001,"&gt;="&amp;$B$4,Clean_Data!$B$2:$B$1001,"&lt;="&amp;$B$5)/F27,0)</f>
        <v>1.09677419354839</v>
      </c>
      <c r="E27" s="15">
        <f>IFERROR(SUMIFS(Clean_Data!$O$2:$O$1001,Clean_Data!$F$2:$F$1001,$A27,Clean_Data!$V$2:$V$1001,1,Clean_Data!$W$2:$W$1001,$B$2,Clean_Data!$AA$2:$AA$1001,$B$3,Clean_Data!$B$2:$B$1001,"&gt;="&amp;$B$4,Clean_Data!$B$2:$B$1001,"&lt;="&amp;$B$5)/F27,0)</f>
        <v>3.7741935483871</v>
      </c>
      <c r="F27" s="9">
        <f>COUNTIFS(Clean_Data!$F$2:$F$1001,$A27,Clean_Data!$V$2:$V$1001,1,Clean_Data!$W$2:$W$1001,$B$2,Clean_Data!$AA$2:$AA$1001,$B$3,Clean_Data!$B$2:$B$1001,"&gt;="&amp;$B$4,Clean_Data!$B$2:$B$1001,"&lt;="&amp;$B$5)</f>
        <v>31</v>
      </c>
    </row>
    <row r="28" spans="1:6">
      <c r="A28" s="9">
        <v>4</v>
      </c>
      <c r="B28" s="9" t="str">
        <f>TEXT(A28,"00")&amp;":00"</f>
        <v>04:00</v>
      </c>
      <c r="C28" s="15">
        <f>IFERROR(SUMIFS(Clean_Data!$P$2:$P$1001,Clean_Data!$F$2:$F$1001,$A28,Clean_Data!$V$2:$V$1001,1,Clean_Data!$W$2:$W$1001,$B$2,Clean_Data!$AA$2:$AA$1001,$B$3,Clean_Data!$B$2:$B$1001,"&gt;="&amp;$B$4,Clean_Data!$B$2:$B$1001,"&lt;="&amp;$B$5)/F28,0)</f>
        <v>2.15625</v>
      </c>
      <c r="D28" s="15">
        <f>IFERROR(SUMIFS(Clean_Data!$N$2:$N$1001,Clean_Data!$F$2:$F$1001,$A28,Clean_Data!$V$2:$V$1001,1,Clean_Data!$W$2:$W$1001,$B$2,Clean_Data!$AA$2:$AA$1001,$B$3,Clean_Data!$B$2:$B$1001,"&gt;="&amp;$B$4,Clean_Data!$B$2:$B$1001,"&lt;="&amp;$B$5)/F28,0)</f>
        <v>0.21875</v>
      </c>
      <c r="E28" s="15">
        <f>IFERROR(SUMIFS(Clean_Data!$O$2:$O$1001,Clean_Data!$F$2:$F$1001,$A28,Clean_Data!$V$2:$V$1001,1,Clean_Data!$W$2:$W$1001,$B$2,Clean_Data!$AA$2:$AA$1001,$B$3,Clean_Data!$B$2:$B$1001,"&gt;="&amp;$B$4,Clean_Data!$B$2:$B$1001,"&lt;="&amp;$B$5)/F28,0)</f>
        <v>1.9375</v>
      </c>
      <c r="F28" s="9">
        <f>COUNTIFS(Clean_Data!$F$2:$F$1001,$A28,Clean_Data!$V$2:$V$1001,1,Clean_Data!$W$2:$W$1001,$B$2,Clean_Data!$AA$2:$AA$1001,$B$3,Clean_Data!$B$2:$B$1001,"&gt;="&amp;$B$4,Clean_Data!$B$2:$B$1001,"&lt;="&amp;$B$5)</f>
        <v>32</v>
      </c>
    </row>
    <row r="29" spans="1:6">
      <c r="A29" s="9">
        <v>5</v>
      </c>
      <c r="B29" s="9" t="str">
        <f>TEXT(A29,"00")&amp;":00"</f>
        <v>05:00</v>
      </c>
      <c r="C29" s="15">
        <f>IFERROR(SUMIFS(Clean_Data!$P$2:$P$1001,Clean_Data!$F$2:$F$1001,$A29,Clean_Data!$V$2:$V$1001,1,Clean_Data!$W$2:$W$1001,$B$2,Clean_Data!$AA$2:$AA$1001,$B$3,Clean_Data!$B$2:$B$1001,"&gt;="&amp;$B$4,Clean_Data!$B$2:$B$1001,"&lt;="&amp;$B$5)/F29,0)</f>
        <v>4.20512820512821</v>
      </c>
      <c r="D29" s="15">
        <f>IFERROR(SUMIFS(Clean_Data!$N$2:$N$1001,Clean_Data!$F$2:$F$1001,$A29,Clean_Data!$V$2:$V$1001,1,Clean_Data!$W$2:$W$1001,$B$2,Clean_Data!$AA$2:$AA$1001,$B$3,Clean_Data!$B$2:$B$1001,"&gt;="&amp;$B$4,Clean_Data!$B$2:$B$1001,"&lt;="&amp;$B$5)/F29,0)</f>
        <v>0.0769230769230769</v>
      </c>
      <c r="E29" s="15">
        <f>IFERROR(SUMIFS(Clean_Data!$O$2:$O$1001,Clean_Data!$F$2:$F$1001,$A29,Clean_Data!$V$2:$V$1001,1,Clean_Data!$W$2:$W$1001,$B$2,Clean_Data!$AA$2:$AA$1001,$B$3,Clean_Data!$B$2:$B$1001,"&gt;="&amp;$B$4,Clean_Data!$B$2:$B$1001,"&lt;="&amp;$B$5)/F29,0)</f>
        <v>4.12820512820513</v>
      </c>
      <c r="F29" s="9">
        <f>COUNTIFS(Clean_Data!$F$2:$F$1001,$A29,Clean_Data!$V$2:$V$1001,1,Clean_Data!$W$2:$W$1001,$B$2,Clean_Data!$AA$2:$AA$1001,$B$3,Clean_Data!$B$2:$B$1001,"&gt;="&amp;$B$4,Clean_Data!$B$2:$B$1001,"&lt;="&amp;$B$5)</f>
        <v>39</v>
      </c>
    </row>
    <row r="30" spans="1:6">
      <c r="A30" s="9">
        <v>6</v>
      </c>
      <c r="B30" s="9" t="str">
        <f>TEXT(A30,"00")&amp;":00"</f>
        <v>06:00</v>
      </c>
      <c r="C30" s="15">
        <f>IFERROR(SUMIFS(Clean_Data!$P$2:$P$1001,Clean_Data!$F$2:$F$1001,$A30,Clean_Data!$V$2:$V$1001,1,Clean_Data!$W$2:$W$1001,$B$2,Clean_Data!$AA$2:$AA$1001,$B$3,Clean_Data!$B$2:$B$1001,"&gt;="&amp;$B$4,Clean_Data!$B$2:$B$1001,"&lt;="&amp;$B$5)/F30,0)</f>
        <v>19.5714285714286</v>
      </c>
      <c r="D30" s="15">
        <f>IFERROR(SUMIFS(Clean_Data!$N$2:$N$1001,Clean_Data!$F$2:$F$1001,$A30,Clean_Data!$V$2:$V$1001,1,Clean_Data!$W$2:$W$1001,$B$2,Clean_Data!$AA$2:$AA$1001,$B$3,Clean_Data!$B$2:$B$1001,"&gt;="&amp;$B$4,Clean_Data!$B$2:$B$1001,"&lt;="&amp;$B$5)/F30,0)</f>
        <v>0.5</v>
      </c>
      <c r="E30" s="15">
        <f>IFERROR(SUMIFS(Clean_Data!$O$2:$O$1001,Clean_Data!$F$2:$F$1001,$A30,Clean_Data!$V$2:$V$1001,1,Clean_Data!$W$2:$W$1001,$B$2,Clean_Data!$AA$2:$AA$1001,$B$3,Clean_Data!$B$2:$B$1001,"&gt;="&amp;$B$4,Clean_Data!$B$2:$B$1001,"&lt;="&amp;$B$5)/F30,0)</f>
        <v>19.0714285714286</v>
      </c>
      <c r="F30" s="9">
        <f>COUNTIFS(Clean_Data!$F$2:$F$1001,$A30,Clean_Data!$V$2:$V$1001,1,Clean_Data!$W$2:$W$1001,$B$2,Clean_Data!$AA$2:$AA$1001,$B$3,Clean_Data!$B$2:$B$1001,"&gt;="&amp;$B$4,Clean_Data!$B$2:$B$1001,"&lt;="&amp;$B$5)</f>
        <v>42</v>
      </c>
    </row>
    <row r="31" spans="1:6">
      <c r="A31" s="9">
        <v>7</v>
      </c>
      <c r="B31" s="9" t="str">
        <f>TEXT(A31,"00")&amp;":00"</f>
        <v>07:00</v>
      </c>
      <c r="C31" s="15">
        <f>IFERROR(SUMIFS(Clean_Data!$P$2:$P$1001,Clean_Data!$F$2:$F$1001,$A31,Clean_Data!$V$2:$V$1001,1,Clean_Data!$W$2:$W$1001,$B$2,Clean_Data!$AA$2:$AA$1001,$B$3,Clean_Data!$B$2:$B$1001,"&gt;="&amp;$B$4,Clean_Data!$B$2:$B$1001,"&lt;="&amp;$B$5)/F31,0)</f>
        <v>54.3953488372093</v>
      </c>
      <c r="D31" s="15">
        <f>IFERROR(SUMIFS(Clean_Data!$N$2:$N$1001,Clean_Data!$F$2:$F$1001,$A31,Clean_Data!$V$2:$V$1001,1,Clean_Data!$W$2:$W$1001,$B$2,Clean_Data!$AA$2:$AA$1001,$B$3,Clean_Data!$B$2:$B$1001,"&gt;="&amp;$B$4,Clean_Data!$B$2:$B$1001,"&lt;="&amp;$B$5)/F31,0)</f>
        <v>1.48837209302326</v>
      </c>
      <c r="E31" s="15">
        <f>IFERROR(SUMIFS(Clean_Data!$O$2:$O$1001,Clean_Data!$F$2:$F$1001,$A31,Clean_Data!$V$2:$V$1001,1,Clean_Data!$W$2:$W$1001,$B$2,Clean_Data!$AA$2:$AA$1001,$B$3,Clean_Data!$B$2:$B$1001,"&gt;="&amp;$B$4,Clean_Data!$B$2:$B$1001,"&lt;="&amp;$B$5)/F31,0)</f>
        <v>52.906976744186</v>
      </c>
      <c r="F31" s="9">
        <f>COUNTIFS(Clean_Data!$F$2:$F$1001,$A31,Clean_Data!$V$2:$V$1001,1,Clean_Data!$W$2:$W$1001,$B$2,Clean_Data!$AA$2:$AA$1001,$B$3,Clean_Data!$B$2:$B$1001,"&gt;="&amp;$B$4,Clean_Data!$B$2:$B$1001,"&lt;="&amp;$B$5)</f>
        <v>43</v>
      </c>
    </row>
    <row r="32" spans="1:6">
      <c r="A32" s="9">
        <v>8</v>
      </c>
      <c r="B32" s="9" t="str">
        <f>TEXT(A32,"00")&amp;":00"</f>
        <v>08:00</v>
      </c>
      <c r="C32" s="15">
        <f>IFERROR(SUMIFS(Clean_Data!$P$2:$P$1001,Clean_Data!$F$2:$F$1001,$A32,Clean_Data!$V$2:$V$1001,1,Clean_Data!$W$2:$W$1001,$B$2,Clean_Data!$AA$2:$AA$1001,$B$3,Clean_Data!$B$2:$B$1001,"&gt;="&amp;$B$4,Clean_Data!$B$2:$B$1001,"&lt;="&amp;$B$5)/F32,0)</f>
        <v>128.285714285714</v>
      </c>
      <c r="D32" s="15">
        <f>IFERROR(SUMIFS(Clean_Data!$N$2:$N$1001,Clean_Data!$F$2:$F$1001,$A32,Clean_Data!$V$2:$V$1001,1,Clean_Data!$W$2:$W$1001,$B$2,Clean_Data!$AA$2:$AA$1001,$B$3,Clean_Data!$B$2:$B$1001,"&gt;="&amp;$B$4,Clean_Data!$B$2:$B$1001,"&lt;="&amp;$B$5)/F32,0)</f>
        <v>3.02380952380952</v>
      </c>
      <c r="E32" s="15">
        <f>IFERROR(SUMIFS(Clean_Data!$O$2:$O$1001,Clean_Data!$F$2:$F$1001,$A32,Clean_Data!$V$2:$V$1001,1,Clean_Data!$W$2:$W$1001,$B$2,Clean_Data!$AA$2:$AA$1001,$B$3,Clean_Data!$B$2:$B$1001,"&gt;="&amp;$B$4,Clean_Data!$B$2:$B$1001,"&lt;="&amp;$B$5)/F32,0)</f>
        <v>125.261904761905</v>
      </c>
      <c r="F32" s="9">
        <f>COUNTIFS(Clean_Data!$F$2:$F$1001,$A32,Clean_Data!$V$2:$V$1001,1,Clean_Data!$W$2:$W$1001,$B$2,Clean_Data!$AA$2:$AA$1001,$B$3,Clean_Data!$B$2:$B$1001,"&gt;="&amp;$B$4,Clean_Data!$B$2:$B$1001,"&lt;="&amp;$B$5)</f>
        <v>42</v>
      </c>
    </row>
    <row r="33" spans="1:6">
      <c r="A33" s="9">
        <v>9</v>
      </c>
      <c r="B33" s="9" t="str">
        <f>TEXT(A33,"00")&amp;":00"</f>
        <v>09:00</v>
      </c>
      <c r="C33" s="15">
        <f>IFERROR(SUMIFS(Clean_Data!$P$2:$P$1001,Clean_Data!$F$2:$F$1001,$A33,Clean_Data!$V$2:$V$1001,1,Clean_Data!$W$2:$W$1001,$B$2,Clean_Data!$AA$2:$AA$1001,$B$3,Clean_Data!$B$2:$B$1001,"&gt;="&amp;$B$4,Clean_Data!$B$2:$B$1001,"&lt;="&amp;$B$5)/F33,0)</f>
        <v>87.4285714285714</v>
      </c>
      <c r="D33" s="15">
        <f>IFERROR(SUMIFS(Clean_Data!$N$2:$N$1001,Clean_Data!$F$2:$F$1001,$A33,Clean_Data!$V$2:$V$1001,1,Clean_Data!$W$2:$W$1001,$B$2,Clean_Data!$AA$2:$AA$1001,$B$3,Clean_Data!$B$2:$B$1001,"&gt;="&amp;$B$4,Clean_Data!$B$2:$B$1001,"&lt;="&amp;$B$5)/F33,0)</f>
        <v>4.0952380952381</v>
      </c>
      <c r="E33" s="15">
        <f>IFERROR(SUMIFS(Clean_Data!$O$2:$O$1001,Clean_Data!$F$2:$F$1001,$A33,Clean_Data!$V$2:$V$1001,1,Clean_Data!$W$2:$W$1001,$B$2,Clean_Data!$AA$2:$AA$1001,$B$3,Clean_Data!$B$2:$B$1001,"&gt;="&amp;$B$4,Clean_Data!$B$2:$B$1001,"&lt;="&amp;$B$5)/F33,0)</f>
        <v>83.3333333333333</v>
      </c>
      <c r="F33" s="9">
        <f>COUNTIFS(Clean_Data!$F$2:$F$1001,$A33,Clean_Data!$V$2:$V$1001,1,Clean_Data!$W$2:$W$1001,$B$2,Clean_Data!$AA$2:$AA$1001,$B$3,Clean_Data!$B$2:$B$1001,"&gt;="&amp;$B$4,Clean_Data!$B$2:$B$1001,"&lt;="&amp;$B$5)</f>
        <v>42</v>
      </c>
    </row>
    <row r="34" spans="1:6">
      <c r="A34" s="9">
        <v>10</v>
      </c>
      <c r="B34" s="9" t="str">
        <f>TEXT(A34,"00")&amp;":00"</f>
        <v>10:00</v>
      </c>
      <c r="C34" s="15">
        <f>IFERROR(SUMIFS(Clean_Data!$P$2:$P$1001,Clean_Data!$F$2:$F$1001,$A34,Clean_Data!$V$2:$V$1001,1,Clean_Data!$W$2:$W$1001,$B$2,Clean_Data!$AA$2:$AA$1001,$B$3,Clean_Data!$B$2:$B$1001,"&gt;="&amp;$B$4,Clean_Data!$B$2:$B$1001,"&lt;="&amp;$B$5)/F34,0)</f>
        <v>53.6428571428571</v>
      </c>
      <c r="D34" s="15">
        <f>IFERROR(SUMIFS(Clean_Data!$N$2:$N$1001,Clean_Data!$F$2:$F$1001,$A34,Clean_Data!$V$2:$V$1001,1,Clean_Data!$W$2:$W$1001,$B$2,Clean_Data!$AA$2:$AA$1001,$B$3,Clean_Data!$B$2:$B$1001,"&gt;="&amp;$B$4,Clean_Data!$B$2:$B$1001,"&lt;="&amp;$B$5)/F34,0)</f>
        <v>5.14285714285714</v>
      </c>
      <c r="E34" s="15">
        <f>IFERROR(SUMIFS(Clean_Data!$O$2:$O$1001,Clean_Data!$F$2:$F$1001,$A34,Clean_Data!$V$2:$V$1001,1,Clean_Data!$W$2:$W$1001,$B$2,Clean_Data!$AA$2:$AA$1001,$B$3,Clean_Data!$B$2:$B$1001,"&gt;="&amp;$B$4,Clean_Data!$B$2:$B$1001,"&lt;="&amp;$B$5)/F34,0)</f>
        <v>48.5</v>
      </c>
      <c r="F34" s="9">
        <f>COUNTIFS(Clean_Data!$F$2:$F$1001,$A34,Clean_Data!$V$2:$V$1001,1,Clean_Data!$W$2:$W$1001,$B$2,Clean_Data!$AA$2:$AA$1001,$B$3,Clean_Data!$B$2:$B$1001,"&gt;="&amp;$B$4,Clean_Data!$B$2:$B$1001,"&lt;="&amp;$B$5)</f>
        <v>42</v>
      </c>
    </row>
    <row r="35" spans="1:6">
      <c r="A35" s="9">
        <v>11</v>
      </c>
      <c r="B35" s="9" t="str">
        <f>TEXT(A35,"00")&amp;":00"</f>
        <v>11:00</v>
      </c>
      <c r="C35" s="15">
        <f>IFERROR(SUMIFS(Clean_Data!$P$2:$P$1001,Clean_Data!$F$2:$F$1001,$A35,Clean_Data!$V$2:$V$1001,1,Clean_Data!$W$2:$W$1001,$B$2,Clean_Data!$AA$2:$AA$1001,$B$3,Clean_Data!$B$2:$B$1001,"&gt;="&amp;$B$4,Clean_Data!$B$2:$B$1001,"&lt;="&amp;$B$5)/F35,0)</f>
        <v>59.3809523809524</v>
      </c>
      <c r="D35" s="15">
        <f>IFERROR(SUMIFS(Clean_Data!$N$2:$N$1001,Clean_Data!$F$2:$F$1001,$A35,Clean_Data!$V$2:$V$1001,1,Clean_Data!$W$2:$W$1001,$B$2,Clean_Data!$AA$2:$AA$1001,$B$3,Clean_Data!$B$2:$B$1001,"&gt;="&amp;$B$4,Clean_Data!$B$2:$B$1001,"&lt;="&amp;$B$5)/F35,0)</f>
        <v>8.73809523809524</v>
      </c>
      <c r="E35" s="15">
        <f>IFERROR(SUMIFS(Clean_Data!$O$2:$O$1001,Clean_Data!$F$2:$F$1001,$A35,Clean_Data!$V$2:$V$1001,1,Clean_Data!$W$2:$W$1001,$B$2,Clean_Data!$AA$2:$AA$1001,$B$3,Clean_Data!$B$2:$B$1001,"&gt;="&amp;$B$4,Clean_Data!$B$2:$B$1001,"&lt;="&amp;$B$5)/F35,0)</f>
        <v>50.6428571428571</v>
      </c>
      <c r="F35" s="9">
        <f>COUNTIFS(Clean_Data!$F$2:$F$1001,$A35,Clean_Data!$V$2:$V$1001,1,Clean_Data!$W$2:$W$1001,$B$2,Clean_Data!$AA$2:$AA$1001,$B$3,Clean_Data!$B$2:$B$1001,"&gt;="&amp;$B$4,Clean_Data!$B$2:$B$1001,"&lt;="&amp;$B$5)</f>
        <v>42</v>
      </c>
    </row>
    <row r="36" spans="1:6">
      <c r="A36" s="9">
        <v>12</v>
      </c>
      <c r="B36" s="9" t="str">
        <f>TEXT(A36,"00")&amp;":00"</f>
        <v>12:00</v>
      </c>
      <c r="C36" s="15">
        <f>IFERROR(SUMIFS(Clean_Data!$P$2:$P$1001,Clean_Data!$F$2:$F$1001,$A36,Clean_Data!$V$2:$V$1001,1,Clean_Data!$W$2:$W$1001,$B$2,Clean_Data!$AA$2:$AA$1001,$B$3,Clean_Data!$B$2:$B$1001,"&gt;="&amp;$B$4,Clean_Data!$B$2:$B$1001,"&lt;="&amp;$B$5)/F36,0)</f>
        <v>76.3488372093023</v>
      </c>
      <c r="D36" s="15">
        <f>IFERROR(SUMIFS(Clean_Data!$N$2:$N$1001,Clean_Data!$F$2:$F$1001,$A36,Clean_Data!$V$2:$V$1001,1,Clean_Data!$W$2:$W$1001,$B$2,Clean_Data!$AA$2:$AA$1001,$B$3,Clean_Data!$B$2:$B$1001,"&gt;="&amp;$B$4,Clean_Data!$B$2:$B$1001,"&lt;="&amp;$B$5)/F36,0)</f>
        <v>11.2093023255814</v>
      </c>
      <c r="E36" s="15">
        <f>IFERROR(SUMIFS(Clean_Data!$O$2:$O$1001,Clean_Data!$F$2:$F$1001,$A36,Clean_Data!$V$2:$V$1001,1,Clean_Data!$W$2:$W$1001,$B$2,Clean_Data!$AA$2:$AA$1001,$B$3,Clean_Data!$B$2:$B$1001,"&gt;="&amp;$B$4,Clean_Data!$B$2:$B$1001,"&lt;="&amp;$B$5)/F36,0)</f>
        <v>65.1395348837209</v>
      </c>
      <c r="F36" s="9">
        <f>COUNTIFS(Clean_Data!$F$2:$F$1001,$A36,Clean_Data!$V$2:$V$1001,1,Clean_Data!$W$2:$W$1001,$B$2,Clean_Data!$AA$2:$AA$1001,$B$3,Clean_Data!$B$2:$B$1001,"&gt;="&amp;$B$4,Clean_Data!$B$2:$B$1001,"&lt;="&amp;$B$5)</f>
        <v>43</v>
      </c>
    </row>
    <row r="37" spans="1:6">
      <c r="A37" s="9">
        <v>13</v>
      </c>
      <c r="B37" s="9" t="str">
        <f>TEXT(A37,"00")&amp;":00"</f>
        <v>13:00</v>
      </c>
      <c r="C37" s="15">
        <f>IFERROR(SUMIFS(Clean_Data!$P$2:$P$1001,Clean_Data!$F$2:$F$1001,$A37,Clean_Data!$V$2:$V$1001,1,Clean_Data!$W$2:$W$1001,$B$2,Clean_Data!$AA$2:$AA$1001,$B$3,Clean_Data!$B$2:$B$1001,"&gt;="&amp;$B$4,Clean_Data!$B$2:$B$1001,"&lt;="&amp;$B$5)/F37,0)</f>
        <v>78.5116279069767</v>
      </c>
      <c r="D37" s="15">
        <f>IFERROR(SUMIFS(Clean_Data!$N$2:$N$1001,Clean_Data!$F$2:$F$1001,$A37,Clean_Data!$V$2:$V$1001,1,Clean_Data!$W$2:$W$1001,$B$2,Clean_Data!$AA$2:$AA$1001,$B$3,Clean_Data!$B$2:$B$1001,"&gt;="&amp;$B$4,Clean_Data!$B$2:$B$1001,"&lt;="&amp;$B$5)/F37,0)</f>
        <v>11.9302325581395</v>
      </c>
      <c r="E37" s="15">
        <f>IFERROR(SUMIFS(Clean_Data!$O$2:$O$1001,Clean_Data!$F$2:$F$1001,$A37,Clean_Data!$V$2:$V$1001,1,Clean_Data!$W$2:$W$1001,$B$2,Clean_Data!$AA$2:$AA$1001,$B$3,Clean_Data!$B$2:$B$1001,"&gt;="&amp;$B$4,Clean_Data!$B$2:$B$1001,"&lt;="&amp;$B$5)/F37,0)</f>
        <v>66.5813953488372</v>
      </c>
      <c r="F37" s="9">
        <f>COUNTIFS(Clean_Data!$F$2:$F$1001,$A37,Clean_Data!$V$2:$V$1001,1,Clean_Data!$W$2:$W$1001,$B$2,Clean_Data!$AA$2:$AA$1001,$B$3,Clean_Data!$B$2:$B$1001,"&gt;="&amp;$B$4,Clean_Data!$B$2:$B$1001,"&lt;="&amp;$B$5)</f>
        <v>43</v>
      </c>
    </row>
    <row r="38" spans="1:6">
      <c r="A38" s="9">
        <v>14</v>
      </c>
      <c r="B38" s="9" t="str">
        <f>TEXT(A38,"00")&amp;":00"</f>
        <v>14:00</v>
      </c>
      <c r="C38" s="15">
        <f>IFERROR(SUMIFS(Clean_Data!$P$2:$P$1001,Clean_Data!$F$2:$F$1001,$A38,Clean_Data!$V$2:$V$1001,1,Clean_Data!$W$2:$W$1001,$B$2,Clean_Data!$AA$2:$AA$1001,$B$3,Clean_Data!$B$2:$B$1001,"&gt;="&amp;$B$4,Clean_Data!$B$2:$B$1001,"&lt;="&amp;$B$5)/F38,0)</f>
        <v>74.4186046511628</v>
      </c>
      <c r="D38" s="15">
        <f>IFERROR(SUMIFS(Clean_Data!$N$2:$N$1001,Clean_Data!$F$2:$F$1001,$A38,Clean_Data!$V$2:$V$1001,1,Clean_Data!$W$2:$W$1001,$B$2,Clean_Data!$AA$2:$AA$1001,$B$3,Clean_Data!$B$2:$B$1001,"&gt;="&amp;$B$4,Clean_Data!$B$2:$B$1001,"&lt;="&amp;$B$5)/F38,0)</f>
        <v>10.8372093023256</v>
      </c>
      <c r="E38" s="15">
        <f>IFERROR(SUMIFS(Clean_Data!$O$2:$O$1001,Clean_Data!$F$2:$F$1001,$A38,Clean_Data!$V$2:$V$1001,1,Clean_Data!$W$2:$W$1001,$B$2,Clean_Data!$AA$2:$AA$1001,$B$3,Clean_Data!$B$2:$B$1001,"&gt;="&amp;$B$4,Clean_Data!$B$2:$B$1001,"&lt;="&amp;$B$5)/F38,0)</f>
        <v>63.5813953488372</v>
      </c>
      <c r="F38" s="9">
        <f>COUNTIFS(Clean_Data!$F$2:$F$1001,$A38,Clean_Data!$V$2:$V$1001,1,Clean_Data!$W$2:$W$1001,$B$2,Clean_Data!$AA$2:$AA$1001,$B$3,Clean_Data!$B$2:$B$1001,"&gt;="&amp;$B$4,Clean_Data!$B$2:$B$1001,"&lt;="&amp;$B$5)</f>
        <v>43</v>
      </c>
    </row>
    <row r="39" spans="1:6">
      <c r="A39" s="9">
        <v>15</v>
      </c>
      <c r="B39" s="9" t="str">
        <f>TEXT(A39,"00")&amp;":00"</f>
        <v>15:00</v>
      </c>
      <c r="C39" s="15">
        <f>IFERROR(SUMIFS(Clean_Data!$P$2:$P$1001,Clean_Data!$F$2:$F$1001,$A39,Clean_Data!$V$2:$V$1001,1,Clean_Data!$W$2:$W$1001,$B$2,Clean_Data!$AA$2:$AA$1001,$B$3,Clean_Data!$B$2:$B$1001,"&gt;="&amp;$B$4,Clean_Data!$B$2:$B$1001,"&lt;="&amp;$B$5)/F39,0)</f>
        <v>77.953488372093</v>
      </c>
      <c r="D39" s="15">
        <f>IFERROR(SUMIFS(Clean_Data!$N$2:$N$1001,Clean_Data!$F$2:$F$1001,$A39,Clean_Data!$V$2:$V$1001,1,Clean_Data!$W$2:$W$1001,$B$2,Clean_Data!$AA$2:$AA$1001,$B$3,Clean_Data!$B$2:$B$1001,"&gt;="&amp;$B$4,Clean_Data!$B$2:$B$1001,"&lt;="&amp;$B$5)/F39,0)</f>
        <v>12.4651162790698</v>
      </c>
      <c r="E39" s="15">
        <f>IFERROR(SUMIFS(Clean_Data!$O$2:$O$1001,Clean_Data!$F$2:$F$1001,$A39,Clean_Data!$V$2:$V$1001,1,Clean_Data!$W$2:$W$1001,$B$2,Clean_Data!$AA$2:$AA$1001,$B$3,Clean_Data!$B$2:$B$1001,"&gt;="&amp;$B$4,Clean_Data!$B$2:$B$1001,"&lt;="&amp;$B$5)/F39,0)</f>
        <v>65.4883720930233</v>
      </c>
      <c r="F39" s="9">
        <f>COUNTIFS(Clean_Data!$F$2:$F$1001,$A39,Clean_Data!$V$2:$V$1001,1,Clean_Data!$W$2:$W$1001,$B$2,Clean_Data!$AA$2:$AA$1001,$B$3,Clean_Data!$B$2:$B$1001,"&gt;="&amp;$B$4,Clean_Data!$B$2:$B$1001,"&lt;="&amp;$B$5)</f>
        <v>43</v>
      </c>
    </row>
    <row r="40" spans="1:6">
      <c r="A40" s="9">
        <v>16</v>
      </c>
      <c r="B40" s="9" t="str">
        <f>TEXT(A40,"00")&amp;":00"</f>
        <v>16:00</v>
      </c>
      <c r="C40" s="15">
        <f>IFERROR(SUMIFS(Clean_Data!$P$2:$P$1001,Clean_Data!$F$2:$F$1001,$A40,Clean_Data!$V$2:$V$1001,1,Clean_Data!$W$2:$W$1001,$B$2,Clean_Data!$AA$2:$AA$1001,$B$3,Clean_Data!$B$2:$B$1001,"&gt;="&amp;$B$4,Clean_Data!$B$2:$B$1001,"&lt;="&amp;$B$5)/F40,0)</f>
        <v>89.2727272727273</v>
      </c>
      <c r="D40" s="15">
        <f>IFERROR(SUMIFS(Clean_Data!$N$2:$N$1001,Clean_Data!$F$2:$F$1001,$A40,Clean_Data!$V$2:$V$1001,1,Clean_Data!$W$2:$W$1001,$B$2,Clean_Data!$AA$2:$AA$1001,$B$3,Clean_Data!$B$2:$B$1001,"&gt;="&amp;$B$4,Clean_Data!$B$2:$B$1001,"&lt;="&amp;$B$5)/F40,0)</f>
        <v>11.2045454545455</v>
      </c>
      <c r="E40" s="15">
        <f>IFERROR(SUMIFS(Clean_Data!$O$2:$O$1001,Clean_Data!$F$2:$F$1001,$A40,Clean_Data!$V$2:$V$1001,1,Clean_Data!$W$2:$W$1001,$B$2,Clean_Data!$AA$2:$AA$1001,$B$3,Clean_Data!$B$2:$B$1001,"&gt;="&amp;$B$4,Clean_Data!$B$2:$B$1001,"&lt;="&amp;$B$5)/F40,0)</f>
        <v>78.0681818181818</v>
      </c>
      <c r="F40" s="9">
        <f>COUNTIFS(Clean_Data!$F$2:$F$1001,$A40,Clean_Data!$V$2:$V$1001,1,Clean_Data!$W$2:$W$1001,$B$2,Clean_Data!$AA$2:$AA$1001,$B$3,Clean_Data!$B$2:$B$1001,"&gt;="&amp;$B$4,Clean_Data!$B$2:$B$1001,"&lt;="&amp;$B$5)</f>
        <v>44</v>
      </c>
    </row>
    <row r="41" spans="1:6">
      <c r="A41" s="9">
        <v>17</v>
      </c>
      <c r="B41" s="9" t="str">
        <f>TEXT(A41,"00")&amp;":00"</f>
        <v>17:00</v>
      </c>
      <c r="C41" s="15">
        <f>IFERROR(SUMIFS(Clean_Data!$P$2:$P$1001,Clean_Data!$F$2:$F$1001,$A41,Clean_Data!$V$2:$V$1001,1,Clean_Data!$W$2:$W$1001,$B$2,Clean_Data!$AA$2:$AA$1001,$B$3,Clean_Data!$B$2:$B$1001,"&gt;="&amp;$B$4,Clean_Data!$B$2:$B$1001,"&lt;="&amp;$B$5)/F41,0)</f>
        <v>140.204545454545</v>
      </c>
      <c r="D41" s="15">
        <f>IFERROR(SUMIFS(Clean_Data!$N$2:$N$1001,Clean_Data!$F$2:$F$1001,$A41,Clean_Data!$V$2:$V$1001,1,Clean_Data!$W$2:$W$1001,$B$2,Clean_Data!$AA$2:$AA$1001,$B$3,Clean_Data!$B$2:$B$1001,"&gt;="&amp;$B$4,Clean_Data!$B$2:$B$1001,"&lt;="&amp;$B$5)/F41,0)</f>
        <v>8.97727272727273</v>
      </c>
      <c r="E41" s="15">
        <f>IFERROR(SUMIFS(Clean_Data!$O$2:$O$1001,Clean_Data!$F$2:$F$1001,$A41,Clean_Data!$V$2:$V$1001,1,Clean_Data!$W$2:$W$1001,$B$2,Clean_Data!$AA$2:$AA$1001,$B$3,Clean_Data!$B$2:$B$1001,"&gt;="&amp;$B$4,Clean_Data!$B$2:$B$1001,"&lt;="&amp;$B$5)/F41,0)</f>
        <v>131.227272727273</v>
      </c>
      <c r="F41" s="9">
        <f>COUNTIFS(Clean_Data!$F$2:$F$1001,$A41,Clean_Data!$V$2:$V$1001,1,Clean_Data!$W$2:$W$1001,$B$2,Clean_Data!$AA$2:$AA$1001,$B$3,Clean_Data!$B$2:$B$1001,"&gt;="&amp;$B$4,Clean_Data!$B$2:$B$1001,"&lt;="&amp;$B$5)</f>
        <v>44</v>
      </c>
    </row>
    <row r="42" spans="1:6">
      <c r="A42" s="9">
        <v>18</v>
      </c>
      <c r="B42" s="9" t="str">
        <f>TEXT(A42,"00")&amp;":00"</f>
        <v>18:00</v>
      </c>
      <c r="C42" s="15">
        <f>IFERROR(SUMIFS(Clean_Data!$P$2:$P$1001,Clean_Data!$F$2:$F$1001,$A42,Clean_Data!$V$2:$V$1001,1,Clean_Data!$W$2:$W$1001,$B$2,Clean_Data!$AA$2:$AA$1001,$B$3,Clean_Data!$B$2:$B$1001,"&gt;="&amp;$B$4,Clean_Data!$B$2:$B$1001,"&lt;="&amp;$B$5)/F42,0)</f>
        <v>122.860465116279</v>
      </c>
      <c r="D42" s="15">
        <f>IFERROR(SUMIFS(Clean_Data!$N$2:$N$1001,Clean_Data!$F$2:$F$1001,$A42,Clean_Data!$V$2:$V$1001,1,Clean_Data!$W$2:$W$1001,$B$2,Clean_Data!$AA$2:$AA$1001,$B$3,Clean_Data!$B$2:$B$1001,"&gt;="&amp;$B$4,Clean_Data!$B$2:$B$1001,"&lt;="&amp;$B$5)/F42,0)</f>
        <v>5.16279069767442</v>
      </c>
      <c r="E42" s="15">
        <f>IFERROR(SUMIFS(Clean_Data!$O$2:$O$1001,Clean_Data!$F$2:$F$1001,$A42,Clean_Data!$V$2:$V$1001,1,Clean_Data!$W$2:$W$1001,$B$2,Clean_Data!$AA$2:$AA$1001,$B$3,Clean_Data!$B$2:$B$1001,"&gt;="&amp;$B$4,Clean_Data!$B$2:$B$1001,"&lt;="&amp;$B$5)/F42,0)</f>
        <v>117.697674418605</v>
      </c>
      <c r="F42" s="9">
        <f>COUNTIFS(Clean_Data!$F$2:$F$1001,$A42,Clean_Data!$V$2:$V$1001,1,Clean_Data!$W$2:$W$1001,$B$2,Clean_Data!$AA$2:$AA$1001,$B$3,Clean_Data!$B$2:$B$1001,"&gt;="&amp;$B$4,Clean_Data!$B$2:$B$1001,"&lt;="&amp;$B$5)</f>
        <v>43</v>
      </c>
    </row>
    <row r="43" spans="1:6">
      <c r="A43" s="9">
        <v>19</v>
      </c>
      <c r="B43" s="9" t="str">
        <f>TEXT(A43,"00")&amp;":00"</f>
        <v>19:00</v>
      </c>
      <c r="C43" s="15">
        <f>IFERROR(SUMIFS(Clean_Data!$P$2:$P$1001,Clean_Data!$F$2:$F$1001,$A43,Clean_Data!$V$2:$V$1001,1,Clean_Data!$W$2:$W$1001,$B$2,Clean_Data!$AA$2:$AA$1001,$B$3,Clean_Data!$B$2:$B$1001,"&gt;="&amp;$B$4,Clean_Data!$B$2:$B$1001,"&lt;="&amp;$B$5)/F43,0)</f>
        <v>85.1395348837209</v>
      </c>
      <c r="D43" s="15">
        <f>IFERROR(SUMIFS(Clean_Data!$N$2:$N$1001,Clean_Data!$F$2:$F$1001,$A43,Clean_Data!$V$2:$V$1001,1,Clean_Data!$W$2:$W$1001,$B$2,Clean_Data!$AA$2:$AA$1001,$B$3,Clean_Data!$B$2:$B$1001,"&gt;="&amp;$B$4,Clean_Data!$B$2:$B$1001,"&lt;="&amp;$B$5)/F43,0)</f>
        <v>4.34883720930233</v>
      </c>
      <c r="E43" s="15">
        <f>IFERROR(SUMIFS(Clean_Data!$O$2:$O$1001,Clean_Data!$F$2:$F$1001,$A43,Clean_Data!$V$2:$V$1001,1,Clean_Data!$W$2:$W$1001,$B$2,Clean_Data!$AA$2:$AA$1001,$B$3,Clean_Data!$B$2:$B$1001,"&gt;="&amp;$B$4,Clean_Data!$B$2:$B$1001,"&lt;="&amp;$B$5)/F43,0)</f>
        <v>80.7906976744186</v>
      </c>
      <c r="F43" s="9">
        <f>COUNTIFS(Clean_Data!$F$2:$F$1001,$A43,Clean_Data!$V$2:$V$1001,1,Clean_Data!$W$2:$W$1001,$B$2,Clean_Data!$AA$2:$AA$1001,$B$3,Clean_Data!$B$2:$B$1001,"&gt;="&amp;$B$4,Clean_Data!$B$2:$B$1001,"&lt;="&amp;$B$5)</f>
        <v>43</v>
      </c>
    </row>
    <row r="44" spans="1:6">
      <c r="A44" s="9">
        <v>20</v>
      </c>
      <c r="B44" s="9" t="str">
        <f>TEXT(A44,"00")&amp;":00"</f>
        <v>20:00</v>
      </c>
      <c r="C44" s="15">
        <f>IFERROR(SUMIFS(Clean_Data!$P$2:$P$1001,Clean_Data!$F$2:$F$1001,$A44,Clean_Data!$V$2:$V$1001,1,Clean_Data!$W$2:$W$1001,$B$2,Clean_Data!$AA$2:$AA$1001,$B$3,Clean_Data!$B$2:$B$1001,"&gt;="&amp;$B$4,Clean_Data!$B$2:$B$1001,"&lt;="&amp;$B$5)/F44,0)</f>
        <v>61.7674418604651</v>
      </c>
      <c r="D44" s="15">
        <f>IFERROR(SUMIFS(Clean_Data!$N$2:$N$1001,Clean_Data!$F$2:$F$1001,$A44,Clean_Data!$V$2:$V$1001,1,Clean_Data!$W$2:$W$1001,$B$2,Clean_Data!$AA$2:$AA$1001,$B$3,Clean_Data!$B$2:$B$1001,"&gt;="&amp;$B$4,Clean_Data!$B$2:$B$1001,"&lt;="&amp;$B$5)/F44,0)</f>
        <v>3.25581395348837</v>
      </c>
      <c r="E44" s="15">
        <f>IFERROR(SUMIFS(Clean_Data!$O$2:$O$1001,Clean_Data!$F$2:$F$1001,$A44,Clean_Data!$V$2:$V$1001,1,Clean_Data!$W$2:$W$1001,$B$2,Clean_Data!$AA$2:$AA$1001,$B$3,Clean_Data!$B$2:$B$1001,"&gt;="&amp;$B$4,Clean_Data!$B$2:$B$1001,"&lt;="&amp;$B$5)/F44,0)</f>
        <v>58.5116279069767</v>
      </c>
      <c r="F44" s="9">
        <f>COUNTIFS(Clean_Data!$F$2:$F$1001,$A44,Clean_Data!$V$2:$V$1001,1,Clean_Data!$W$2:$W$1001,$B$2,Clean_Data!$AA$2:$AA$1001,$B$3,Clean_Data!$B$2:$B$1001,"&gt;="&amp;$B$4,Clean_Data!$B$2:$B$1001,"&lt;="&amp;$B$5)</f>
        <v>43</v>
      </c>
    </row>
    <row r="45" spans="1:6">
      <c r="A45" s="9">
        <v>21</v>
      </c>
      <c r="B45" s="9" t="str">
        <f>TEXT(A45,"00")&amp;":00"</f>
        <v>21:00</v>
      </c>
      <c r="C45" s="15">
        <f>IFERROR(SUMIFS(Clean_Data!$P$2:$P$1001,Clean_Data!$F$2:$F$1001,$A45,Clean_Data!$V$2:$V$1001,1,Clean_Data!$W$2:$W$1001,$B$2,Clean_Data!$AA$2:$AA$1001,$B$3,Clean_Data!$B$2:$B$1001,"&gt;="&amp;$B$4,Clean_Data!$B$2:$B$1001,"&lt;="&amp;$B$5)/F45,0)</f>
        <v>46.4186046511628</v>
      </c>
      <c r="D45" s="15">
        <f>IFERROR(SUMIFS(Clean_Data!$N$2:$N$1001,Clean_Data!$F$2:$F$1001,$A45,Clean_Data!$V$2:$V$1001,1,Clean_Data!$W$2:$W$1001,$B$2,Clean_Data!$AA$2:$AA$1001,$B$3,Clean_Data!$B$2:$B$1001,"&gt;="&amp;$B$4,Clean_Data!$B$2:$B$1001,"&lt;="&amp;$B$5)/F45,0)</f>
        <v>2.72093023255814</v>
      </c>
      <c r="E45" s="15">
        <f>IFERROR(SUMIFS(Clean_Data!$O$2:$O$1001,Clean_Data!$F$2:$F$1001,$A45,Clean_Data!$V$2:$V$1001,1,Clean_Data!$W$2:$W$1001,$B$2,Clean_Data!$AA$2:$AA$1001,$B$3,Clean_Data!$B$2:$B$1001,"&gt;="&amp;$B$4,Clean_Data!$B$2:$B$1001,"&lt;="&amp;$B$5)/F45,0)</f>
        <v>43.6976744186047</v>
      </c>
      <c r="F45" s="9">
        <f>COUNTIFS(Clean_Data!$F$2:$F$1001,$A45,Clean_Data!$V$2:$V$1001,1,Clean_Data!$W$2:$W$1001,$B$2,Clean_Data!$AA$2:$AA$1001,$B$3,Clean_Data!$B$2:$B$1001,"&gt;="&amp;$B$4,Clean_Data!$B$2:$B$1001,"&lt;="&amp;$B$5)</f>
        <v>43</v>
      </c>
    </row>
    <row r="46" spans="1:6">
      <c r="A46" s="9">
        <v>22</v>
      </c>
      <c r="B46" s="9" t="str">
        <f>TEXT(A46,"00")&amp;":00"</f>
        <v>22:00</v>
      </c>
      <c r="C46" s="15">
        <f>IFERROR(SUMIFS(Clean_Data!$P$2:$P$1001,Clean_Data!$F$2:$F$1001,$A46,Clean_Data!$V$2:$V$1001,1,Clean_Data!$W$2:$W$1001,$B$2,Clean_Data!$AA$2:$AA$1001,$B$3,Clean_Data!$B$2:$B$1001,"&gt;="&amp;$B$4,Clean_Data!$B$2:$B$1001,"&lt;="&amp;$B$5)/F46,0)</f>
        <v>35.0697674418605</v>
      </c>
      <c r="D46" s="15">
        <f>IFERROR(SUMIFS(Clean_Data!$N$2:$N$1001,Clean_Data!$F$2:$F$1001,$A46,Clean_Data!$V$2:$V$1001,1,Clean_Data!$W$2:$W$1001,$B$2,Clean_Data!$AA$2:$AA$1001,$B$3,Clean_Data!$B$2:$B$1001,"&gt;="&amp;$B$4,Clean_Data!$B$2:$B$1001,"&lt;="&amp;$B$5)/F46,0)</f>
        <v>2.3953488372093</v>
      </c>
      <c r="E46" s="15">
        <f>IFERROR(SUMIFS(Clean_Data!$O$2:$O$1001,Clean_Data!$F$2:$F$1001,$A46,Clean_Data!$V$2:$V$1001,1,Clean_Data!$W$2:$W$1001,$B$2,Clean_Data!$AA$2:$AA$1001,$B$3,Clean_Data!$B$2:$B$1001,"&gt;="&amp;$B$4,Clean_Data!$B$2:$B$1001,"&lt;="&amp;$B$5)/F46,0)</f>
        <v>32.6744186046512</v>
      </c>
      <c r="F46" s="9">
        <f>COUNTIFS(Clean_Data!$F$2:$F$1001,$A46,Clean_Data!$V$2:$V$1001,1,Clean_Data!$W$2:$W$1001,$B$2,Clean_Data!$AA$2:$AA$1001,$B$3,Clean_Data!$B$2:$B$1001,"&gt;="&amp;$B$4,Clean_Data!$B$2:$B$1001,"&lt;="&amp;$B$5)</f>
        <v>43</v>
      </c>
    </row>
    <row r="47" spans="1:6">
      <c r="A47" s="9">
        <v>23</v>
      </c>
      <c r="B47" s="9" t="str">
        <f>TEXT(A47,"00")&amp;":00"</f>
        <v>23:00</v>
      </c>
      <c r="C47" s="15">
        <f>IFERROR(SUMIFS(Clean_Data!$P$2:$P$1001,Clean_Data!$F$2:$F$1001,$A47,Clean_Data!$V$2:$V$1001,1,Clean_Data!$W$2:$W$1001,$B$2,Clean_Data!$AA$2:$AA$1001,$B$3,Clean_Data!$B$2:$B$1001,"&gt;="&amp;$B$4,Clean_Data!$B$2:$B$1001,"&lt;="&amp;$B$5)/F47,0)</f>
        <v>25.1860465116279</v>
      </c>
      <c r="D47" s="15">
        <f>IFERROR(SUMIFS(Clean_Data!$N$2:$N$1001,Clean_Data!$F$2:$F$1001,$A47,Clean_Data!$V$2:$V$1001,1,Clean_Data!$W$2:$W$1001,$B$2,Clean_Data!$AA$2:$AA$1001,$B$3,Clean_Data!$B$2:$B$1001,"&gt;="&amp;$B$4,Clean_Data!$B$2:$B$1001,"&lt;="&amp;$B$5)/F47,0)</f>
        <v>2.34883720930233</v>
      </c>
      <c r="E47" s="15">
        <f>IFERROR(SUMIFS(Clean_Data!$O$2:$O$1001,Clean_Data!$F$2:$F$1001,$A47,Clean_Data!$V$2:$V$1001,1,Clean_Data!$W$2:$W$1001,$B$2,Clean_Data!$AA$2:$AA$1001,$B$3,Clean_Data!$B$2:$B$1001,"&gt;="&amp;$B$4,Clean_Data!$B$2:$B$1001,"&lt;="&amp;$B$5)/F47,0)</f>
        <v>22.8372093023256</v>
      </c>
      <c r="F47" s="9">
        <f>COUNTIFS(Clean_Data!$F$2:$F$1001,$A47,Clean_Data!$V$2:$V$1001,1,Clean_Data!$W$2:$W$1001,$B$2,Clean_Data!$AA$2:$AA$1001,$B$3,Clean_Data!$B$2:$B$1001,"&gt;="&amp;$B$4,Clean_Data!$B$2:$B$1001,"&lt;="&amp;$B$5)</f>
        <v>43</v>
      </c>
    </row>
    <row r="50" spans="1:3">
      <c r="A50" s="6" t="s">
        <v>259</v>
      </c>
      <c r="B50" s="6" t="s">
        <v>266</v>
      </c>
      <c r="C50" s="6" t="s">
        <v>291</v>
      </c>
    </row>
    <row r="51" spans="1:3">
      <c r="A51" s="43">
        <f>IF(Daily_Trend!A19="","",Daily_Trend!A19)</f>
        <v>40544.0</v>
      </c>
      <c r="B51" s="30">
        <f>IF(C51=0,NA(),SUMIFS(Clean_Data!$P$2:$P$1001,Clean_Data!$B$2:$B$1001,$A51,Clean_Data!$V$2:$V$1001,1,Clean_Data!$W$2:$W$1001,$B$2,Clean_Data!$AA$2:$AA$1001,$B$3))</f>
        <v>985</v>
      </c>
      <c r="C51" s="9">
        <f>IF(A51="",0,IF(OR(A51&lt;$B$4,A51&gt;$B$5),0,COUNTIFS(Clean_Data!$B$2:$B$1001,$A51,Clean_Data!$V$2:$V$1001,1,Clean_Data!$W$2:$W$1001,$B$2,Clean_Data!$AA$2:$AA$1001,$B$3)))</f>
        <v>24</v>
      </c>
    </row>
    <row r="52" spans="1:3">
      <c r="A52" s="43">
        <f>IF(Daily_Trend!A20="","",Daily_Trend!A20)</f>
        <v>40545.0</v>
      </c>
      <c r="B52" s="30">
        <f>IF(C52=0,NA(),SUMIFS(Clean_Data!$P$2:$P$1001,Clean_Data!$B$2:$B$1001,$A52,Clean_Data!$V$2:$V$1001,1,Clean_Data!$W$2:$W$1001,$B$2,Clean_Data!$AA$2:$AA$1001,$B$3))</f>
        <v>801</v>
      </c>
      <c r="C52" s="9">
        <f>IF(A52="",0,IF(OR(A52&lt;$B$4,A52&gt;$B$5),0,COUNTIFS(Clean_Data!$B$2:$B$1001,$A52,Clean_Data!$V$2:$V$1001,1,Clean_Data!$W$2:$W$1001,$B$2,Clean_Data!$AA$2:$AA$1001,$B$3)))</f>
        <v>23</v>
      </c>
    </row>
    <row r="53" spans="1:3">
      <c r="A53" s="43">
        <f>IF(Daily_Trend!A21="","",Daily_Trend!A21)</f>
        <v>40546.0</v>
      </c>
      <c r="B53" s="30">
        <f>IF(C53=0,NA(),SUMIFS(Clean_Data!$P$2:$P$1001,Clean_Data!$B$2:$B$1001,$A53,Clean_Data!$V$2:$V$1001,1,Clean_Data!$W$2:$W$1001,$B$2,Clean_Data!$AA$2:$AA$1001,$B$3))</f>
        <v>1349</v>
      </c>
      <c r="C53" s="9">
        <f>IF(A53="",0,IF(OR(A53&lt;$B$4,A53&gt;$B$5),0,COUNTIFS(Clean_Data!$B$2:$B$1001,$A53,Clean_Data!$V$2:$V$1001,1,Clean_Data!$W$2:$W$1001,$B$2,Clean_Data!$AA$2:$AA$1001,$B$3)))</f>
        <v>22</v>
      </c>
    </row>
    <row r="54" spans="1:3">
      <c r="A54" s="43">
        <f>IF(Daily_Trend!A22="","",Daily_Trend!A22)</f>
        <v>40547.0</v>
      </c>
      <c r="B54" s="30">
        <f>IF(C54=0,NA(),SUMIFS(Clean_Data!$P$2:$P$1001,Clean_Data!$B$2:$B$1001,$A54,Clean_Data!$V$2:$V$1001,1,Clean_Data!$W$2:$W$1001,$B$2,Clean_Data!$AA$2:$AA$1001,$B$3))</f>
        <v>1562</v>
      </c>
      <c r="C54" s="9">
        <f>IF(A54="",0,IF(OR(A54&lt;$B$4,A54&gt;$B$5),0,COUNTIFS(Clean_Data!$B$2:$B$1001,$A54,Clean_Data!$V$2:$V$1001,1,Clean_Data!$W$2:$W$1001,$B$2,Clean_Data!$AA$2:$AA$1001,$B$3)))</f>
        <v>23</v>
      </c>
    </row>
    <row r="55" spans="1:3">
      <c r="A55" s="43">
        <f>IF(Daily_Trend!A23="","",Daily_Trend!A23)</f>
        <v>40548.0</v>
      </c>
      <c r="B55" s="30">
        <f>IF(C55=0,NA(),SUMIFS(Clean_Data!$P$2:$P$1001,Clean_Data!$B$2:$B$1001,$A55,Clean_Data!$V$2:$V$1001,1,Clean_Data!$W$2:$W$1001,$B$2,Clean_Data!$AA$2:$AA$1001,$B$3))</f>
        <v>1600</v>
      </c>
      <c r="C55" s="9">
        <f>IF(A55="",0,IF(OR(A55&lt;$B$4,A55&gt;$B$5),0,COUNTIFS(Clean_Data!$B$2:$B$1001,$A55,Clean_Data!$V$2:$V$1001,1,Clean_Data!$W$2:$W$1001,$B$2,Clean_Data!$AA$2:$AA$1001,$B$3)))</f>
        <v>23</v>
      </c>
    </row>
    <row r="56" spans="1:3">
      <c r="A56" s="43">
        <f>IF(Daily_Trend!A24="","",Daily_Trend!A24)</f>
        <v>40549.0</v>
      </c>
      <c r="B56" s="30">
        <f>IF(C56=0,NA(),SUMIFS(Clean_Data!$P$2:$P$1001,Clean_Data!$B$2:$B$1001,$A56,Clean_Data!$V$2:$V$1001,1,Clean_Data!$W$2:$W$1001,$B$2,Clean_Data!$AA$2:$AA$1001,$B$3))</f>
        <v>1606</v>
      </c>
      <c r="C56" s="9">
        <f>IF(A56="",0,IF(OR(A56&lt;$B$4,A56&gt;$B$5),0,COUNTIFS(Clean_Data!$B$2:$B$1001,$A56,Clean_Data!$V$2:$V$1001,1,Clean_Data!$W$2:$W$1001,$B$2,Clean_Data!$AA$2:$AA$1001,$B$3)))</f>
        <v>23</v>
      </c>
    </row>
    <row r="57" spans="1:3">
      <c r="A57" s="43">
        <f>IF(Daily_Trend!A25="","",Daily_Trend!A25)</f>
        <v>40550.0</v>
      </c>
      <c r="B57" s="30">
        <f>IF(C57=0,NA(),SUMIFS(Clean_Data!$P$2:$P$1001,Clean_Data!$B$2:$B$1001,$A57,Clean_Data!$V$2:$V$1001,1,Clean_Data!$W$2:$W$1001,$B$2,Clean_Data!$AA$2:$AA$1001,$B$3))</f>
        <v>1510</v>
      </c>
      <c r="C57" s="9">
        <f>IF(A57="",0,IF(OR(A57&lt;$B$4,A57&gt;$B$5),0,COUNTIFS(Clean_Data!$B$2:$B$1001,$A57,Clean_Data!$V$2:$V$1001,1,Clean_Data!$W$2:$W$1001,$B$2,Clean_Data!$AA$2:$AA$1001,$B$3)))</f>
        <v>23</v>
      </c>
    </row>
    <row r="58" spans="1:3">
      <c r="A58" s="43">
        <f>IF(Daily_Trend!A26="","",Daily_Trend!A26)</f>
        <v>40551.0</v>
      </c>
      <c r="B58" s="30">
        <f>IF(C58=0,NA(),SUMIFS(Clean_Data!$P$2:$P$1001,Clean_Data!$B$2:$B$1001,$A58,Clean_Data!$V$2:$V$1001,1,Clean_Data!$W$2:$W$1001,$B$2,Clean_Data!$AA$2:$AA$1001,$B$3))</f>
        <v>959</v>
      </c>
      <c r="C58" s="9">
        <f>IF(A58="",0,IF(OR(A58&lt;$B$4,A58&gt;$B$5),0,COUNTIFS(Clean_Data!$B$2:$B$1001,$A58,Clean_Data!$V$2:$V$1001,1,Clean_Data!$W$2:$W$1001,$B$2,Clean_Data!$AA$2:$AA$1001,$B$3)))</f>
        <v>24</v>
      </c>
    </row>
    <row r="59" spans="1:3">
      <c r="A59" s="43">
        <f>IF(Daily_Trend!A27="","",Daily_Trend!A27)</f>
        <v>40552.0</v>
      </c>
      <c r="B59" s="30">
        <f>IF(C59=0,NA(),SUMIFS(Clean_Data!$P$2:$P$1001,Clean_Data!$B$2:$B$1001,$A59,Clean_Data!$V$2:$V$1001,1,Clean_Data!$W$2:$W$1001,$B$2,Clean_Data!$AA$2:$AA$1001,$B$3))</f>
        <v>822</v>
      </c>
      <c r="C59" s="9">
        <f>IF(A59="",0,IF(OR(A59&lt;$B$4,A59&gt;$B$5),0,COUNTIFS(Clean_Data!$B$2:$B$1001,$A59,Clean_Data!$V$2:$V$1001,1,Clean_Data!$W$2:$W$1001,$B$2,Clean_Data!$AA$2:$AA$1001,$B$3)))</f>
        <v>24</v>
      </c>
    </row>
    <row r="60" spans="1:3">
      <c r="A60" s="43">
        <f>IF(Daily_Trend!A28="","",Daily_Trend!A28)</f>
        <v>40553.0</v>
      </c>
      <c r="B60" s="30">
        <f>IF(C60=0,NA(),SUMIFS(Clean_Data!$P$2:$P$1001,Clean_Data!$B$2:$B$1001,$A60,Clean_Data!$V$2:$V$1001,1,Clean_Data!$W$2:$W$1001,$B$2,Clean_Data!$AA$2:$AA$1001,$B$3))</f>
        <v>1321</v>
      </c>
      <c r="C60" s="9">
        <f>IF(A60="",0,IF(OR(A60&lt;$B$4,A60&gt;$B$5),0,COUNTIFS(Clean_Data!$B$2:$B$1001,$A60,Clean_Data!$V$2:$V$1001,1,Clean_Data!$W$2:$W$1001,$B$2,Clean_Data!$AA$2:$AA$1001,$B$3)))</f>
        <v>24</v>
      </c>
    </row>
    <row r="61" spans="1:3">
      <c r="A61" s="43">
        <f>IF(Daily_Trend!A29="","",Daily_Trend!A29)</f>
        <v>40554.0</v>
      </c>
      <c r="B61" s="30">
        <f>IF(C61=0,NA(),SUMIFS(Clean_Data!$P$2:$P$1001,Clean_Data!$B$2:$B$1001,$A61,Clean_Data!$V$2:$V$1001,1,Clean_Data!$W$2:$W$1001,$B$2,Clean_Data!$AA$2:$AA$1001,$B$3))</f>
        <v>1263</v>
      </c>
      <c r="C61" s="9">
        <f>IF(A61="",0,IF(OR(A61&lt;$B$4,A61&gt;$B$5),0,COUNTIFS(Clean_Data!$B$2:$B$1001,$A61,Clean_Data!$V$2:$V$1001,1,Clean_Data!$W$2:$W$1001,$B$2,Clean_Data!$AA$2:$AA$1001,$B$3)))</f>
        <v>22</v>
      </c>
    </row>
    <row r="62" spans="1:3">
      <c r="A62" s="43">
        <f>IF(Daily_Trend!A30="","",Daily_Trend!A30)</f>
        <v>40555.0</v>
      </c>
      <c r="B62" s="30">
        <f>IF(C62=0,NA(),SUMIFS(Clean_Data!$P$2:$P$1001,Clean_Data!$B$2:$B$1001,$A62,Clean_Data!$V$2:$V$1001,1,Clean_Data!$W$2:$W$1001,$B$2,Clean_Data!$AA$2:$AA$1001,$B$3))</f>
        <v>1162</v>
      </c>
      <c r="C62" s="9">
        <f>IF(A62="",0,IF(OR(A62&lt;$B$4,A62&gt;$B$5),0,COUNTIFS(Clean_Data!$B$2:$B$1001,$A62,Clean_Data!$V$2:$V$1001,1,Clean_Data!$W$2:$W$1001,$B$2,Clean_Data!$AA$2:$AA$1001,$B$3)))</f>
        <v>22</v>
      </c>
    </row>
    <row r="63" spans="1:3">
      <c r="A63" s="43">
        <f>IF(Daily_Trend!A31="","",Daily_Trend!A31)</f>
        <v>40556.0</v>
      </c>
      <c r="B63" s="30">
        <f>IF(C63=0,NA(),SUMIFS(Clean_Data!$P$2:$P$1001,Clean_Data!$B$2:$B$1001,$A63,Clean_Data!$V$2:$V$1001,1,Clean_Data!$W$2:$W$1001,$B$2,Clean_Data!$AA$2:$AA$1001,$B$3))</f>
        <v>1406</v>
      </c>
      <c r="C63" s="9">
        <f>IF(A63="",0,IF(OR(A63&lt;$B$4,A63&gt;$B$5),0,COUNTIFS(Clean_Data!$B$2:$B$1001,$A63,Clean_Data!$V$2:$V$1001,1,Clean_Data!$W$2:$W$1001,$B$2,Clean_Data!$AA$2:$AA$1001,$B$3)))</f>
        <v>24</v>
      </c>
    </row>
    <row r="64" spans="1:3">
      <c r="A64" s="43">
        <f>IF(Daily_Trend!A32="","",Daily_Trend!A32)</f>
        <v>40557.0</v>
      </c>
      <c r="B64" s="30">
        <f>IF(C64=0,NA(),SUMIFS(Clean_Data!$P$2:$P$1001,Clean_Data!$B$2:$B$1001,$A64,Clean_Data!$V$2:$V$1001,1,Clean_Data!$W$2:$W$1001,$B$2,Clean_Data!$AA$2:$AA$1001,$B$3))</f>
        <v>1421</v>
      </c>
      <c r="C64" s="9">
        <f>IF(A64="",0,IF(OR(A64&lt;$B$4,A64&gt;$B$5),0,COUNTIFS(Clean_Data!$B$2:$B$1001,$A64,Clean_Data!$V$2:$V$1001,1,Clean_Data!$W$2:$W$1001,$B$2,Clean_Data!$AA$2:$AA$1001,$B$3)))</f>
        <v>23</v>
      </c>
    </row>
    <row r="65" spans="1:3">
      <c r="A65" s="43">
        <f>IF(Daily_Trend!A33="","",Daily_Trend!A33)</f>
        <v>40558.0</v>
      </c>
      <c r="B65" s="30">
        <f>IF(C65=0,NA(),SUMIFS(Clean_Data!$P$2:$P$1001,Clean_Data!$B$2:$B$1001,$A65,Clean_Data!$V$2:$V$1001,1,Clean_Data!$W$2:$W$1001,$B$2,Clean_Data!$AA$2:$AA$1001,$B$3))</f>
        <v>1248</v>
      </c>
      <c r="C65" s="9">
        <f>IF(A65="",0,IF(OR(A65&lt;$B$4,A65&gt;$B$5),0,COUNTIFS(Clean_Data!$B$2:$B$1001,$A65,Clean_Data!$V$2:$V$1001,1,Clean_Data!$W$2:$W$1001,$B$2,Clean_Data!$AA$2:$AA$1001,$B$3)))</f>
        <v>24</v>
      </c>
    </row>
    <row r="66" spans="1:3">
      <c r="A66" s="43">
        <f>IF(Daily_Trend!A34="","",Daily_Trend!A34)</f>
        <v>40559.0</v>
      </c>
      <c r="B66" s="30">
        <f>IF(C66=0,NA(),SUMIFS(Clean_Data!$P$2:$P$1001,Clean_Data!$B$2:$B$1001,$A66,Clean_Data!$V$2:$V$1001,1,Clean_Data!$W$2:$W$1001,$B$2,Clean_Data!$AA$2:$AA$1001,$B$3))</f>
        <v>1204</v>
      </c>
      <c r="C66" s="9">
        <f>IF(A66="",0,IF(OR(A66&lt;$B$4,A66&gt;$B$5),0,COUNTIFS(Clean_Data!$B$2:$B$1001,$A66,Clean_Data!$V$2:$V$1001,1,Clean_Data!$W$2:$W$1001,$B$2,Clean_Data!$AA$2:$AA$1001,$B$3)))</f>
        <v>24</v>
      </c>
    </row>
    <row r="67" spans="1:3">
      <c r="A67" s="43">
        <f>IF(Daily_Trend!A35="","",Daily_Trend!A35)</f>
        <v>40560.0</v>
      </c>
      <c r="B67" s="30">
        <f>IF(C67=0,NA(),SUMIFS(Clean_Data!$P$2:$P$1001,Clean_Data!$B$2:$B$1001,$A67,Clean_Data!$V$2:$V$1001,1,Clean_Data!$W$2:$W$1001,$B$2,Clean_Data!$AA$2:$AA$1001,$B$3))</f>
        <v>1000</v>
      </c>
      <c r="C67" s="9">
        <f>IF(A67="",0,IF(OR(A67&lt;$B$4,A67&gt;$B$5),0,COUNTIFS(Clean_Data!$B$2:$B$1001,$A67,Clean_Data!$V$2:$V$1001,1,Clean_Data!$W$2:$W$1001,$B$2,Clean_Data!$AA$2:$AA$1001,$B$3)))</f>
        <v>24</v>
      </c>
    </row>
    <row r="68" spans="1:3">
      <c r="A68" s="43">
        <f>IF(Daily_Trend!A36="","",Daily_Trend!A36)</f>
        <v>40561.0</v>
      </c>
      <c r="B68" s="30">
        <f>IF(C68=0,NA(),SUMIFS(Clean_Data!$P$2:$P$1001,Clean_Data!$B$2:$B$1001,$A68,Clean_Data!$V$2:$V$1001,1,Clean_Data!$W$2:$W$1001,$B$2,Clean_Data!$AA$2:$AA$1001,$B$3))</f>
        <v>683</v>
      </c>
      <c r="C68" s="9">
        <f>IF(A68="",0,IF(OR(A68&lt;$B$4,A68&gt;$B$5),0,COUNTIFS(Clean_Data!$B$2:$B$1001,$A68,Clean_Data!$V$2:$V$1001,1,Clean_Data!$W$2:$W$1001,$B$2,Clean_Data!$AA$2:$AA$1001,$B$3)))</f>
        <v>12</v>
      </c>
    </row>
    <row r="69" spans="1:3">
      <c r="A69" s="43">
        <f>IF(Daily_Trend!A37="","",Daily_Trend!A37)</f>
        <v>40562.0</v>
      </c>
      <c r="B69" s="30">
        <f>IF(C69=0,NA(),SUMIFS(Clean_Data!$P$2:$P$1001,Clean_Data!$B$2:$B$1001,$A69,Clean_Data!$V$2:$V$1001,1,Clean_Data!$W$2:$W$1001,$B$2,Clean_Data!$AA$2:$AA$1001,$B$3))</f>
        <v>1650</v>
      </c>
      <c r="C69" s="9">
        <f>IF(A69="",0,IF(OR(A69&lt;$B$4,A69&gt;$B$5),0,COUNTIFS(Clean_Data!$B$2:$B$1001,$A69,Clean_Data!$V$2:$V$1001,1,Clean_Data!$W$2:$W$1001,$B$2,Clean_Data!$AA$2:$AA$1001,$B$3)))</f>
        <v>23</v>
      </c>
    </row>
    <row r="70" spans="1:3">
      <c r="A70" s="43">
        <f>IF(Daily_Trend!A38="","",Daily_Trend!A38)</f>
        <v>40563.0</v>
      </c>
      <c r="B70" s="30">
        <f>IF(C70=0,NA(),SUMIFS(Clean_Data!$P$2:$P$1001,Clean_Data!$B$2:$B$1001,$A70,Clean_Data!$V$2:$V$1001,1,Clean_Data!$W$2:$W$1001,$B$2,Clean_Data!$AA$2:$AA$1001,$B$3))</f>
        <v>1927</v>
      </c>
      <c r="C70" s="9">
        <f>IF(A70="",0,IF(OR(A70&lt;$B$4,A70&gt;$B$5),0,COUNTIFS(Clean_Data!$B$2:$B$1001,$A70,Clean_Data!$V$2:$V$1001,1,Clean_Data!$W$2:$W$1001,$B$2,Clean_Data!$AA$2:$AA$1001,$B$3)))</f>
        <v>24</v>
      </c>
    </row>
    <row r="71" spans="1:3">
      <c r="A71" s="43">
        <f>IF(Daily_Trend!A39="","",Daily_Trend!A39)</f>
        <v>40564.0</v>
      </c>
      <c r="B71" s="30">
        <f>IF(C71=0,NA(),SUMIFS(Clean_Data!$P$2:$P$1001,Clean_Data!$B$2:$B$1001,$A71,Clean_Data!$V$2:$V$1001,1,Clean_Data!$W$2:$W$1001,$B$2,Clean_Data!$AA$2:$AA$1001,$B$3))</f>
        <v>1543</v>
      </c>
      <c r="C71" s="9">
        <f>IF(A71="",0,IF(OR(A71&lt;$B$4,A71&gt;$B$5),0,COUNTIFS(Clean_Data!$B$2:$B$1001,$A71,Clean_Data!$V$2:$V$1001,1,Clean_Data!$W$2:$W$1001,$B$2,Clean_Data!$AA$2:$AA$1001,$B$3)))</f>
        <v>24</v>
      </c>
    </row>
    <row r="72" spans="1:3">
      <c r="A72" s="43">
        <f>IF(Daily_Trend!A40="","",Daily_Trend!A40)</f>
        <v>40565.0</v>
      </c>
      <c r="B72" s="30">
        <f>IF(C72=0,NA(),SUMIFS(Clean_Data!$P$2:$P$1001,Clean_Data!$B$2:$B$1001,$A72,Clean_Data!$V$2:$V$1001,1,Clean_Data!$W$2:$W$1001,$B$2,Clean_Data!$AA$2:$AA$1001,$B$3))</f>
        <v>981</v>
      </c>
      <c r="C72" s="9">
        <f>IF(A72="",0,IF(OR(A72&lt;$B$4,A72&gt;$B$5),0,COUNTIFS(Clean_Data!$B$2:$B$1001,$A72,Clean_Data!$V$2:$V$1001,1,Clean_Data!$W$2:$W$1001,$B$2,Clean_Data!$AA$2:$AA$1001,$B$3)))</f>
        <v>23</v>
      </c>
    </row>
    <row r="73" spans="1:3">
      <c r="A73" s="43">
        <f>IF(Daily_Trend!A41="","",Daily_Trend!A41)</f>
        <v>40566.0</v>
      </c>
      <c r="B73" s="30">
        <f>IF(C73=0,NA(),SUMIFS(Clean_Data!$P$2:$P$1001,Clean_Data!$B$2:$B$1001,$A73,Clean_Data!$V$2:$V$1001,1,Clean_Data!$W$2:$W$1001,$B$2,Clean_Data!$AA$2:$AA$1001,$B$3))</f>
        <v>986</v>
      </c>
      <c r="C73" s="9">
        <f>IF(A73="",0,IF(OR(A73&lt;$B$4,A73&gt;$B$5),0,COUNTIFS(Clean_Data!$B$2:$B$1001,$A73,Clean_Data!$V$2:$V$1001,1,Clean_Data!$W$2:$W$1001,$B$2,Clean_Data!$AA$2:$AA$1001,$B$3)))</f>
        <v>23</v>
      </c>
    </row>
    <row r="74" spans="1:3">
      <c r="A74" s="43">
        <f>IF(Daily_Trend!A42="","",Daily_Trend!A42)</f>
        <v>40567.0</v>
      </c>
      <c r="B74" s="30">
        <f>IF(C74=0,NA(),SUMIFS(Clean_Data!$P$2:$P$1001,Clean_Data!$B$2:$B$1001,$A74,Clean_Data!$V$2:$V$1001,1,Clean_Data!$W$2:$W$1001,$B$2,Clean_Data!$AA$2:$AA$1001,$B$3))</f>
        <v>1416</v>
      </c>
      <c r="C74" s="9">
        <f>IF(A74="",0,IF(OR(A74&lt;$B$4,A74&gt;$B$5),0,COUNTIFS(Clean_Data!$B$2:$B$1001,$A74,Clean_Data!$V$2:$V$1001,1,Clean_Data!$W$2:$W$1001,$B$2,Clean_Data!$AA$2:$AA$1001,$B$3)))</f>
        <v>23</v>
      </c>
    </row>
    <row r="75" spans="1:3">
      <c r="A75" s="43">
        <f>IF(Daily_Trend!A43="","",Daily_Trend!A43)</f>
        <v>40568.0</v>
      </c>
      <c r="B75" s="30">
        <f>IF(C75=0,NA(),SUMIFS(Clean_Data!$P$2:$P$1001,Clean_Data!$B$2:$B$1001,$A75,Clean_Data!$V$2:$V$1001,1,Clean_Data!$W$2:$W$1001,$B$2,Clean_Data!$AA$2:$AA$1001,$B$3))</f>
        <v>1985</v>
      </c>
      <c r="C75" s="9">
        <f>IF(A75="",0,IF(OR(A75&lt;$B$4,A75&gt;$B$5),0,COUNTIFS(Clean_Data!$B$2:$B$1001,$A75,Clean_Data!$V$2:$V$1001,1,Clean_Data!$W$2:$W$1001,$B$2,Clean_Data!$AA$2:$AA$1001,$B$3)))</f>
        <v>23</v>
      </c>
    </row>
    <row r="76" spans="1:3">
      <c r="A76" s="43">
        <f>IF(Daily_Trend!A44="","",Daily_Trend!A44)</f>
        <v>40569.0</v>
      </c>
      <c r="B76" s="30">
        <f>IF(C76=0,NA(),SUMIFS(Clean_Data!$P$2:$P$1001,Clean_Data!$B$2:$B$1001,$A76,Clean_Data!$V$2:$V$1001,1,Clean_Data!$W$2:$W$1001,$B$2,Clean_Data!$AA$2:$AA$1001,$B$3))</f>
        <v>506</v>
      </c>
      <c r="C76" s="9">
        <f>IF(A76="",0,IF(OR(A76&lt;$B$4,A76&gt;$B$5),0,COUNTIFS(Clean_Data!$B$2:$B$1001,$A76,Clean_Data!$V$2:$V$1001,1,Clean_Data!$W$2:$W$1001,$B$2,Clean_Data!$AA$2:$AA$1001,$B$3)))</f>
        <v>16</v>
      </c>
    </row>
    <row r="77" spans="1:3">
      <c r="A77" s="43">
        <f>IF(Daily_Trend!A45="","",Daily_Trend!A45)</f>
        <v>40570.0</v>
      </c>
      <c r="B77" s="30">
        <f>IF(C77=0,NA(),SUMIFS(Clean_Data!$P$2:$P$1001,Clean_Data!$B$2:$B$1001,$A77,Clean_Data!$V$2:$V$1001,1,Clean_Data!$W$2:$W$1001,$B$2,Clean_Data!$AA$2:$AA$1001,$B$3))</f>
        <v>431</v>
      </c>
      <c r="C77" s="9">
        <f>IF(A77="",0,IF(OR(A77&lt;$B$4,A77&gt;$B$5),0,COUNTIFS(Clean_Data!$B$2:$B$1001,$A77,Clean_Data!$V$2:$V$1001,1,Clean_Data!$W$2:$W$1001,$B$2,Clean_Data!$AA$2:$AA$1001,$B$3)))</f>
        <v>8</v>
      </c>
    </row>
    <row r="78" spans="1:3">
      <c r="A78" s="43">
        <f>IF(Daily_Trend!A46="","",Daily_Trend!A46)</f>
        <v>40571.0</v>
      </c>
      <c r="B78" s="30">
        <f>IF(C78=0,NA(),SUMIFS(Clean_Data!$P$2:$P$1001,Clean_Data!$B$2:$B$1001,$A78,Clean_Data!$V$2:$V$1001,1,Clean_Data!$W$2:$W$1001,$B$2,Clean_Data!$AA$2:$AA$1001,$B$3))</f>
        <v>1167</v>
      </c>
      <c r="C78" s="9">
        <f>IF(A78="",0,IF(OR(A78&lt;$B$4,A78&gt;$B$5),0,COUNTIFS(Clean_Data!$B$2:$B$1001,$A78,Clean_Data!$V$2:$V$1001,1,Clean_Data!$W$2:$W$1001,$B$2,Clean_Data!$AA$2:$AA$1001,$B$3)))</f>
        <v>23</v>
      </c>
    </row>
    <row r="79" spans="1:3">
      <c r="A79" s="43">
        <f>IF(Daily_Trend!A47="","",Daily_Trend!A47)</f>
        <v>40572.0</v>
      </c>
      <c r="B79" s="30">
        <f>IF(C79=0,NA(),SUMIFS(Clean_Data!$P$2:$P$1001,Clean_Data!$B$2:$B$1001,$A79,Clean_Data!$V$2:$V$1001,1,Clean_Data!$W$2:$W$1001,$B$2,Clean_Data!$AA$2:$AA$1001,$B$3))</f>
        <v>1098</v>
      </c>
      <c r="C79" s="9">
        <f>IF(A79="",0,IF(OR(A79&lt;$B$4,A79&gt;$B$5),0,COUNTIFS(Clean_Data!$B$2:$B$1001,$A79,Clean_Data!$V$2:$V$1001,1,Clean_Data!$W$2:$W$1001,$B$2,Clean_Data!$AA$2:$AA$1001,$B$3)))</f>
        <v>23</v>
      </c>
    </row>
    <row r="80" spans="1:3">
      <c r="A80" s="43">
        <f>IF(Daily_Trend!A48="","",Daily_Trend!A48)</f>
        <v>40573.0</v>
      </c>
      <c r="B80" s="30">
        <f>IF(C80=0,NA(),SUMIFS(Clean_Data!$P$2:$P$1001,Clean_Data!$B$2:$B$1001,$A80,Clean_Data!$V$2:$V$1001,1,Clean_Data!$W$2:$W$1001,$B$2,Clean_Data!$AA$2:$AA$1001,$B$3))</f>
        <v>1096</v>
      </c>
      <c r="C80" s="9">
        <f>IF(A80="",0,IF(OR(A80&lt;$B$4,A80&gt;$B$5),0,COUNTIFS(Clean_Data!$B$2:$B$1001,$A80,Clean_Data!$V$2:$V$1001,1,Clean_Data!$W$2:$W$1001,$B$2,Clean_Data!$AA$2:$AA$1001,$B$3)))</f>
        <v>23</v>
      </c>
    </row>
    <row r="81" spans="1:3">
      <c r="A81" s="43">
        <f>IF(Daily_Trend!A49="","",Daily_Trend!A49)</f>
        <v>40574.0</v>
      </c>
      <c r="B81" s="30">
        <f>IF(C81=0,NA(),SUMIFS(Clean_Data!$P$2:$P$1001,Clean_Data!$B$2:$B$1001,$A81,Clean_Data!$V$2:$V$1001,1,Clean_Data!$W$2:$W$1001,$B$2,Clean_Data!$AA$2:$AA$1001,$B$3))</f>
        <v>1501</v>
      </c>
      <c r="C81" s="9">
        <f>IF(A81="",0,IF(OR(A81&lt;$B$4,A81&gt;$B$5),0,COUNTIFS(Clean_Data!$B$2:$B$1001,$A81,Clean_Data!$V$2:$V$1001,1,Clean_Data!$W$2:$W$1001,$B$2,Clean_Data!$AA$2:$AA$1001,$B$3)))</f>
        <v>24</v>
      </c>
    </row>
    <row r="82" spans="1:3">
      <c r="A82" s="43">
        <f>IF(Daily_Trend!A50="","",Daily_Trend!A50)</f>
        <v>40575.0</v>
      </c>
      <c r="B82" s="30">
        <f>IF(C82=0,NA(),SUMIFS(Clean_Data!$P$2:$P$1001,Clean_Data!$B$2:$B$1001,$A82,Clean_Data!$V$2:$V$1001,1,Clean_Data!$W$2:$W$1001,$B$2,Clean_Data!$AA$2:$AA$1001,$B$3))</f>
        <v>1360</v>
      </c>
      <c r="C82" s="9">
        <f>IF(A82="",0,IF(OR(A82&lt;$B$4,A82&gt;$B$5),0,COUNTIFS(Clean_Data!$B$2:$B$1001,$A82,Clean_Data!$V$2:$V$1001,1,Clean_Data!$W$2:$W$1001,$B$2,Clean_Data!$AA$2:$AA$1001,$B$3)))</f>
        <v>23</v>
      </c>
    </row>
    <row r="83" spans="1:3">
      <c r="A83" s="43">
        <f>IF(Daily_Trend!A51="","",Daily_Trend!A51)</f>
        <v>40576.0</v>
      </c>
      <c r="B83" s="30">
        <f>IF(C83=0,NA(),SUMIFS(Clean_Data!$P$2:$P$1001,Clean_Data!$B$2:$B$1001,$A83,Clean_Data!$V$2:$V$1001,1,Clean_Data!$W$2:$W$1001,$B$2,Clean_Data!$AA$2:$AA$1001,$B$3))</f>
        <v>1526</v>
      </c>
      <c r="C83" s="9">
        <f>IF(A83="",0,IF(OR(A83&lt;$B$4,A83&gt;$B$5),0,COUNTIFS(Clean_Data!$B$2:$B$1001,$A83,Clean_Data!$V$2:$V$1001,1,Clean_Data!$W$2:$W$1001,$B$2,Clean_Data!$AA$2:$AA$1001,$B$3)))</f>
        <v>24</v>
      </c>
    </row>
    <row r="84" spans="1:3">
      <c r="A84" s="43">
        <f>IF(Daily_Trend!A52="","",Daily_Trend!A52)</f>
        <v>40577.0</v>
      </c>
      <c r="B84" s="30">
        <f>IF(C84=0,NA(),SUMIFS(Clean_Data!$P$2:$P$1001,Clean_Data!$B$2:$B$1001,$A84,Clean_Data!$V$2:$V$1001,1,Clean_Data!$W$2:$W$1001,$B$2,Clean_Data!$AA$2:$AA$1001,$B$3))</f>
        <v>1550</v>
      </c>
      <c r="C84" s="9">
        <f>IF(A84="",0,IF(OR(A84&lt;$B$4,A84&gt;$B$5),0,COUNTIFS(Clean_Data!$B$2:$B$1001,$A84,Clean_Data!$V$2:$V$1001,1,Clean_Data!$W$2:$W$1001,$B$2,Clean_Data!$AA$2:$AA$1001,$B$3)))</f>
        <v>23</v>
      </c>
    </row>
    <row r="85" spans="1:3">
      <c r="A85" s="43">
        <f>IF(Daily_Trend!A53="","",Daily_Trend!A53)</f>
        <v>40578.0</v>
      </c>
      <c r="B85" s="30">
        <f>IF(C85=0,NA(),SUMIFS(Clean_Data!$P$2:$P$1001,Clean_Data!$B$2:$B$1001,$A85,Clean_Data!$V$2:$V$1001,1,Clean_Data!$W$2:$W$1001,$B$2,Clean_Data!$AA$2:$AA$1001,$B$3))</f>
        <v>1708</v>
      </c>
      <c r="C85" s="9">
        <f>IF(A85="",0,IF(OR(A85&lt;$B$4,A85&gt;$B$5),0,COUNTIFS(Clean_Data!$B$2:$B$1001,$A85,Clean_Data!$V$2:$V$1001,1,Clean_Data!$W$2:$W$1001,$B$2,Clean_Data!$AA$2:$AA$1001,$B$3)))</f>
        <v>23</v>
      </c>
    </row>
    <row r="86" spans="1:3">
      <c r="A86" s="43">
        <f>IF(Daily_Trend!A54="","",Daily_Trend!A54)</f>
        <v>40579.0</v>
      </c>
      <c r="B86" s="30">
        <f>IF(C86=0,NA(),SUMIFS(Clean_Data!$P$2:$P$1001,Clean_Data!$B$2:$B$1001,$A86,Clean_Data!$V$2:$V$1001,1,Clean_Data!$W$2:$W$1001,$B$2,Clean_Data!$AA$2:$AA$1001,$B$3))</f>
        <v>1005</v>
      </c>
      <c r="C86" s="9">
        <f>IF(A86="",0,IF(OR(A86&lt;$B$4,A86&gt;$B$5),0,COUNTIFS(Clean_Data!$B$2:$B$1001,$A86,Clean_Data!$V$2:$V$1001,1,Clean_Data!$W$2:$W$1001,$B$2,Clean_Data!$AA$2:$AA$1001,$B$3)))</f>
        <v>24</v>
      </c>
    </row>
    <row r="87" spans="1:3">
      <c r="A87" s="43">
        <f>IF(Daily_Trend!A55="","",Daily_Trend!A55)</f>
        <v>40580.0</v>
      </c>
      <c r="B87" s="30">
        <f>IF(C87=0,NA(),SUMIFS(Clean_Data!$P$2:$P$1001,Clean_Data!$B$2:$B$1001,$A87,Clean_Data!$V$2:$V$1001,1,Clean_Data!$W$2:$W$1001,$B$2,Clean_Data!$AA$2:$AA$1001,$B$3))</f>
        <v>1623</v>
      </c>
      <c r="C87" s="9">
        <f>IF(A87="",0,IF(OR(A87&lt;$B$4,A87&gt;$B$5),0,COUNTIFS(Clean_Data!$B$2:$B$1001,$A87,Clean_Data!$V$2:$V$1001,1,Clean_Data!$W$2:$W$1001,$B$2,Clean_Data!$AA$2:$AA$1001,$B$3)))</f>
        <v>24</v>
      </c>
    </row>
    <row r="88" spans="1:3">
      <c r="A88" s="43">
        <f>IF(Daily_Trend!A56="","",Daily_Trend!A56)</f>
        <v>40581.0</v>
      </c>
      <c r="B88" s="30">
        <f>IF(C88=0,NA(),SUMIFS(Clean_Data!$P$2:$P$1001,Clean_Data!$B$2:$B$1001,$A88,Clean_Data!$V$2:$V$1001,1,Clean_Data!$W$2:$W$1001,$B$2,Clean_Data!$AA$2:$AA$1001,$B$3))</f>
        <v>1712</v>
      </c>
      <c r="C88" s="9">
        <f>IF(A88="",0,IF(OR(A88&lt;$B$4,A88&gt;$B$5),0,COUNTIFS(Clean_Data!$B$2:$B$1001,$A88,Clean_Data!$V$2:$V$1001,1,Clean_Data!$W$2:$W$1001,$B$2,Clean_Data!$AA$2:$AA$1001,$B$3)))</f>
        <v>24</v>
      </c>
    </row>
    <row r="89" spans="1:3">
      <c r="A89" s="43">
        <f>IF(Daily_Trend!A57="","",Daily_Trend!A57)</f>
        <v>40582.0</v>
      </c>
      <c r="B89" s="30">
        <f>IF(C89=0,NA(),SUMIFS(Clean_Data!$P$2:$P$1001,Clean_Data!$B$2:$B$1001,$A89,Clean_Data!$V$2:$V$1001,1,Clean_Data!$W$2:$W$1001,$B$2,Clean_Data!$AA$2:$AA$1001,$B$3))</f>
        <v>1530</v>
      </c>
      <c r="C89" s="9">
        <f>IF(A89="",0,IF(OR(A89&lt;$B$4,A89&gt;$B$5),0,COUNTIFS(Clean_Data!$B$2:$B$1001,$A89,Clean_Data!$V$2:$V$1001,1,Clean_Data!$W$2:$W$1001,$B$2,Clean_Data!$AA$2:$AA$1001,$B$3)))</f>
        <v>24</v>
      </c>
    </row>
    <row r="90" spans="1:3">
      <c r="A90" s="43">
        <f>IF(Daily_Trend!A58="","",Daily_Trend!A58)</f>
        <v>40583.0</v>
      </c>
      <c r="B90" s="30">
        <f>IF(C90=0,NA(),SUMIFS(Clean_Data!$P$2:$P$1001,Clean_Data!$B$2:$B$1001,$A90,Clean_Data!$V$2:$V$1001,1,Clean_Data!$W$2:$W$1001,$B$2,Clean_Data!$AA$2:$AA$1001,$B$3))</f>
        <v>1605</v>
      </c>
      <c r="C90" s="9">
        <f>IF(A90="",0,IF(OR(A90&lt;$B$4,A90&gt;$B$5),0,COUNTIFS(Clean_Data!$B$2:$B$1001,$A90,Clean_Data!$V$2:$V$1001,1,Clean_Data!$W$2:$W$1001,$B$2,Clean_Data!$AA$2:$AA$1001,$B$3)))</f>
        <v>23</v>
      </c>
    </row>
    <row r="91" spans="1:3">
      <c r="A91" s="43">
        <f>IF(Daily_Trend!A59="","",Daily_Trend!A59)</f>
        <v>40584.0</v>
      </c>
      <c r="B91" s="30">
        <f>IF(C91=0,NA(),SUMIFS(Clean_Data!$P$2:$P$1001,Clean_Data!$B$2:$B$1001,$A91,Clean_Data!$V$2:$V$1001,1,Clean_Data!$W$2:$W$1001,$B$2,Clean_Data!$AA$2:$AA$1001,$B$3))</f>
        <v>1538</v>
      </c>
      <c r="C91" s="9">
        <f>IF(A91="",0,IF(OR(A91&lt;$B$4,A91&gt;$B$5),0,COUNTIFS(Clean_Data!$B$2:$B$1001,$A91,Clean_Data!$V$2:$V$1001,1,Clean_Data!$W$2:$W$1001,$B$2,Clean_Data!$AA$2:$AA$1001,$B$3)))</f>
        <v>23</v>
      </c>
    </row>
    <row r="92" spans="1:3">
      <c r="A92" s="43">
        <f>IF(Daily_Trend!A60="","",Daily_Trend!A60)</f>
        <v>40585.0</v>
      </c>
      <c r="B92" s="30">
        <f>IF(C92=0,NA(),SUMIFS(Clean_Data!$P$2:$P$1001,Clean_Data!$B$2:$B$1001,$A92,Clean_Data!$V$2:$V$1001,1,Clean_Data!$W$2:$W$1001,$B$2,Clean_Data!$AA$2:$AA$1001,$B$3))</f>
        <v>1746</v>
      </c>
      <c r="C92" s="9">
        <f>IF(A92="",0,IF(OR(A92&lt;$B$4,A92&gt;$B$5),0,COUNTIFS(Clean_Data!$B$2:$B$1001,$A92,Clean_Data!$V$2:$V$1001,1,Clean_Data!$W$2:$W$1001,$B$2,Clean_Data!$AA$2:$AA$1001,$B$3)))</f>
        <v>22</v>
      </c>
    </row>
    <row r="93" spans="1:3">
      <c r="A93" s="43">
        <f>IF(Daily_Trend!A61="","",Daily_Trend!A61)</f>
        <v>40586.0</v>
      </c>
      <c r="B93" s="30">
        <f>IF(C93=0,NA(),SUMIFS(Clean_Data!$P$2:$P$1001,Clean_Data!$B$2:$B$1001,$A93,Clean_Data!$V$2:$V$1001,1,Clean_Data!$W$2:$W$1001,$B$2,Clean_Data!$AA$2:$AA$1001,$B$3))</f>
        <v>1472</v>
      </c>
      <c r="C93" s="9">
        <f>IF(A93="",0,IF(OR(A93&lt;$B$4,A93&gt;$B$5),0,COUNTIFS(Clean_Data!$B$2:$B$1001,$A93,Clean_Data!$V$2:$V$1001,1,Clean_Data!$W$2:$W$1001,$B$2,Clean_Data!$AA$2:$AA$1001,$B$3)))</f>
        <v>24</v>
      </c>
    </row>
    <row r="94" spans="1:3">
      <c r="A94" s="43">
        <f>IF(Daily_Trend!A62="","",Daily_Trend!A62)</f>
        <v>40587.0</v>
      </c>
      <c r="B94" s="30">
        <f>IF(C94=0,NA(),SUMIFS(Clean_Data!$P$2:$P$1001,Clean_Data!$B$2:$B$1001,$A94,Clean_Data!$V$2:$V$1001,1,Clean_Data!$W$2:$W$1001,$B$2,Clean_Data!$AA$2:$AA$1001,$B$3))</f>
        <v>1589</v>
      </c>
      <c r="C94" s="9">
        <f>IF(A94="",0,IF(OR(A94&lt;$B$4,A94&gt;$B$5),0,COUNTIFS(Clean_Data!$B$2:$B$1001,$A94,Clean_Data!$V$2:$V$1001,1,Clean_Data!$W$2:$W$1001,$B$2,Clean_Data!$AA$2:$AA$1001,$B$3)))</f>
        <v>23</v>
      </c>
    </row>
    <row r="95" spans="1:3">
      <c r="A95" s="43">
        <f>IF(Daily_Trend!A63="","",Daily_Trend!A63)</f>
        <v>40588.0</v>
      </c>
      <c r="B95" s="30">
        <f>IF(C95=0,NA(),SUMIFS(Clean_Data!$P$2:$P$1001,Clean_Data!$B$2:$B$1001,$A95,Clean_Data!$V$2:$V$1001,1,Clean_Data!$W$2:$W$1001,$B$2,Clean_Data!$AA$2:$AA$1001,$B$3))</f>
        <v>151</v>
      </c>
      <c r="C95" s="9">
        <f>IF(A95="",0,IF(OR(A95&lt;$B$4,A95&gt;$B$5),0,COUNTIFS(Clean_Data!$B$2:$B$1001,$A95,Clean_Data!$V$2:$V$1001,1,Clean_Data!$W$2:$W$1001,$B$2,Clean_Data!$AA$2:$AA$1001,$B$3)))</f>
        <v>8</v>
      </c>
    </row>
    <row r="98" spans="1:5">
      <c r="A98" s="6" t="s">
        <v>261</v>
      </c>
      <c r="B98" s="6" t="s">
        <v>292</v>
      </c>
      <c r="C98" s="6" t="s">
        <v>291</v>
      </c>
      <c r="D98" s="6" t="s">
        <v>433</v>
      </c>
      <c r="E98" s="6" t="s">
        <v>434</v>
      </c>
    </row>
    <row r="99" spans="1:5">
      <c r="A99" s="9" t="str">
        <f>Lookups!$B$4</f>
        <v>Clear</v>
      </c>
      <c r="B99" s="15">
        <f>IFERROR(SUMIFS(Clean_Data!$P$2:$P$1001,Clean_Data!$AA$2:$AA$1001,$A99,Clean_Data!$V$2:$V$1001,1,Clean_Data!$W$2:$W$1001,$B$2,Clean_Data!$B$2:$B$1001,"&gt;="&amp;$B$4,Clean_Data!$B$2:$B$1001,"&lt;="&amp;$B$5)/C99,0)</f>
        <v>61.6716171617162</v>
      </c>
      <c r="C99" s="9">
        <f>COUNTIFS(Clean_Data!$AA$2:$AA$1001,$A99,Clean_Data!$V$2:$V$1001,1,Clean_Data!$W$2:$W$1001,$B$2,Clean_Data!$B$2:$B$1001,"&gt;="&amp;$B$4,Clean_Data!$B$2:$B$1001,"&lt;="&amp;$B$5)</f>
        <v>606</v>
      </c>
      <c r="D99" s="15">
        <f>(MAX($B$99:$B$102)-B99)/2</f>
        <v>0</v>
      </c>
      <c r="E99" s="9" t="str">
        <f>A99&amp;IF(C99&lt;5," (n="&amp;C99&amp;")","")</f>
        <v>Clear</v>
      </c>
    </row>
    <row r="100" spans="1:5">
      <c r="A100" s="9" t="str">
        <f>Lookups!$B$5</f>
        <v>Mist/Cloudy</v>
      </c>
      <c r="B100" s="15">
        <f>IFERROR(SUMIFS(Clean_Data!$P$2:$P$1001,Clean_Data!$AA$2:$AA$1001,$A100,Clean_Data!$V$2:$V$1001,1,Clean_Data!$W$2:$W$1001,$B$2,Clean_Data!$B$2:$B$1001,"&gt;="&amp;$B$4,Clean_Data!$B$2:$B$1001,"&lt;="&amp;$B$5)/C100,0)</f>
        <v>58.5954692556634</v>
      </c>
      <c r="C100" s="9">
        <f>COUNTIFS(Clean_Data!$AA$2:$AA$1001,$A100,Clean_Data!$V$2:$V$1001,1,Clean_Data!$W$2:$W$1001,$B$2,Clean_Data!$B$2:$B$1001,"&gt;="&amp;$B$4,Clean_Data!$B$2:$B$1001,"&lt;="&amp;$B$5)</f>
        <v>309</v>
      </c>
      <c r="D100" s="15">
        <f>(MAX($B$99:$B$102)-B100)/2</f>
        <v>1.53807395302637</v>
      </c>
      <c r="E100" s="9" t="str">
        <f>A100&amp;IF(C100&lt;5," (n="&amp;C100&amp;")","")</f>
        <v>Mist/Cloudy</v>
      </c>
    </row>
    <row r="101" spans="1:5">
      <c r="A101" s="9" t="str">
        <f>Lookups!$B$6</f>
        <v>Light Rain/Snow</v>
      </c>
      <c r="B101" s="15">
        <f>IFERROR(SUMIFS(Clean_Data!$P$2:$P$1001,Clean_Data!$AA$2:$AA$1001,$A101,Clean_Data!$V$2:$V$1001,1,Clean_Data!$W$2:$W$1001,$B$2,Clean_Data!$B$2:$B$1001,"&gt;="&amp;$B$4,Clean_Data!$B$2:$B$1001,"&lt;="&amp;$B$5)/C101,0)</f>
        <v>33.202380952381</v>
      </c>
      <c r="C101" s="9">
        <f>COUNTIFS(Clean_Data!$AA$2:$AA$1001,$A101,Clean_Data!$V$2:$V$1001,1,Clean_Data!$W$2:$W$1001,$B$2,Clean_Data!$B$2:$B$1001,"&gt;="&amp;$B$4,Clean_Data!$B$2:$B$1001,"&lt;="&amp;$B$5)</f>
        <v>84</v>
      </c>
      <c r="D101" s="15">
        <f>(MAX($B$99:$B$102)-B101)/2</f>
        <v>14.2346181046676</v>
      </c>
      <c r="E101" s="9" t="str">
        <f>A101&amp;IF(C101&lt;5," (n="&amp;C101&amp;")","")</f>
        <v>Light Rain/Snow</v>
      </c>
    </row>
    <row r="102" spans="1:5">
      <c r="A102" s="9" t="str">
        <f>Lookups!$B$7</f>
        <v>Heavy Rain/Snow</v>
      </c>
      <c r="B102" s="15">
        <f>IFERROR(SUMIFS(Clean_Data!$P$2:$P$1001,Clean_Data!$AA$2:$AA$1001,$A102,Clean_Data!$V$2:$V$1001,1,Clean_Data!$W$2:$W$1001,$B$2,Clean_Data!$B$2:$B$1001,"&gt;="&amp;$B$4,Clean_Data!$B$2:$B$1001,"&lt;="&amp;$B$5)/C102,0)</f>
        <v>36</v>
      </c>
      <c r="C102" s="9">
        <f>COUNTIFS(Clean_Data!$AA$2:$AA$1001,$A102,Clean_Data!$V$2:$V$1001,1,Clean_Data!$W$2:$W$1001,$B$2,Clean_Data!$B$2:$B$1001,"&gt;="&amp;$B$4,Clean_Data!$B$2:$B$1001,"&lt;="&amp;$B$5)</f>
        <v>1</v>
      </c>
      <c r="D102" s="15">
        <f>(MAX($B$99:$B$102)-B102)/2</f>
        <v>12.8358085808581</v>
      </c>
      <c r="E102" s="9" t="str">
        <f>A102&amp;IF(C102&lt;5," (n="&amp;C102&amp;")","")</f>
        <v>Heavy Rain/Snow (n=1)</v>
      </c>
    </row>
    <row r="106" spans="1:5">
      <c r="A106" s="6" t="s">
        <v>435</v>
      </c>
      <c r="B106" s="6" t="s">
        <v>292</v>
      </c>
      <c r="C106" s="6" t="s">
        <v>291</v>
      </c>
    </row>
    <row r="107" spans="1:5">
      <c r="A107" s="9" t="s">
        <v>31</v>
      </c>
      <c r="B107" s="15">
        <f>IFERROR(SUMIFS(Clean_Data!$P$2:$P$1001,Clean_Data!$AC$2:$AC$1001,$A107,Clean_Data!$V$2:$V$1001,1,Clean_Data!$W$2:$W$1001,$B$2,Clean_Data!$AA$2:$AA$1001,$B$3,Clean_Data!$B$2:$B$1001,"&gt;="&amp;$B$4,Clean_Data!$B$2:$B$1001,"&lt;="&amp;$B$5)/C107,0)</f>
        <v>8.03930131004367</v>
      </c>
      <c r="C107" s="9">
        <f>COUNTIFS(Clean_Data!$AC$2:$AC$1001,$A107,Clean_Data!$V$2:$V$1001,1,Clean_Data!$W$2:$W$1001,$B$2,Clean_Data!$AA$2:$AA$1001,$B$3,Clean_Data!$B$2:$B$1001,"&gt;="&amp;$B$4,Clean_Data!$B$2:$B$1001,"&lt;="&amp;$B$5)</f>
        <v>229</v>
      </c>
    </row>
    <row r="108" spans="1:5">
      <c r="A108" s="9" t="s">
        <v>32</v>
      </c>
      <c r="B108" s="15">
        <f>IFERROR(SUMIFS(Clean_Data!$P$2:$P$1001,Clean_Data!$AC$2:$AC$1001,$A108,Clean_Data!$V$2:$V$1001,1,Clean_Data!$W$2:$W$1001,$B$2,Clean_Data!$AA$2:$AA$1001,$B$3,Clean_Data!$B$2:$B$1001,"&gt;="&amp;$B$4,Clean_Data!$B$2:$B$1001,"&lt;="&amp;$B$5)/C108,0)</f>
        <v>72.3136094674556</v>
      </c>
      <c r="C108" s="9">
        <f>COUNTIFS(Clean_Data!$AC$2:$AC$1001,$A108,Clean_Data!$V$2:$V$1001,1,Clean_Data!$W$2:$W$1001,$B$2,Clean_Data!$AA$2:$AA$1001,$B$3,Clean_Data!$B$2:$B$1001,"&gt;="&amp;$B$4,Clean_Data!$B$2:$B$1001,"&lt;="&amp;$B$5)</f>
        <v>169</v>
      </c>
    </row>
    <row r="109" spans="1:5">
      <c r="A109" s="9" t="s">
        <v>33</v>
      </c>
      <c r="B109" s="15">
        <f>IFERROR(SUMIFS(Clean_Data!$P$2:$P$1001,Clean_Data!$AC$2:$AC$1001,$A109,Clean_Data!$V$2:$V$1001,1,Clean_Data!$W$2:$W$1001,$B$2,Clean_Data!$AA$2:$AA$1001,$B$3,Clean_Data!$B$2:$B$1001,"&gt;="&amp;$B$4,Clean_Data!$B$2:$B$1001,"&lt;="&amp;$B$5)/C109,0)</f>
        <v>70.1484375</v>
      </c>
      <c r="C109" s="9">
        <f>COUNTIFS(Clean_Data!$AC$2:$AC$1001,$A109,Clean_Data!$V$2:$V$1001,1,Clean_Data!$W$2:$W$1001,$B$2,Clean_Data!$AA$2:$AA$1001,$B$3,Clean_Data!$B$2:$B$1001,"&gt;="&amp;$B$4,Clean_Data!$B$2:$B$1001,"&lt;="&amp;$B$5)</f>
        <v>256</v>
      </c>
    </row>
    <row r="110" spans="1:5">
      <c r="A110" s="9" t="s">
        <v>34</v>
      </c>
      <c r="B110" s="15">
        <f>IFERROR(SUMIFS(Clean_Data!$P$2:$P$1001,Clean_Data!$AC$2:$AC$1001,$A110,Clean_Data!$V$2:$V$1001,1,Clean_Data!$W$2:$W$1001,$B$2,Clean_Data!$AA$2:$AA$1001,$B$3,Clean_Data!$B$2:$B$1001,"&gt;="&amp;$B$4,Clean_Data!$B$2:$B$1001,"&lt;="&amp;$B$5)/C110,0)</f>
        <v>109.431034482759</v>
      </c>
      <c r="C110" s="9">
        <f>COUNTIFS(Clean_Data!$AC$2:$AC$1001,$A110,Clean_Data!$V$2:$V$1001,1,Clean_Data!$W$2:$W$1001,$B$2,Clean_Data!$AA$2:$AA$1001,$B$3,Clean_Data!$B$2:$B$1001,"&gt;="&amp;$B$4,Clean_Data!$B$2:$B$1001,"&lt;="&amp;$B$5)</f>
        <v>174</v>
      </c>
    </row>
    <row r="111" spans="1:5">
      <c r="A111" s="9" t="s">
        <v>35</v>
      </c>
      <c r="B111" s="15">
        <f>IFERROR(SUMIFS(Clean_Data!$P$2:$P$1001,Clean_Data!$AC$2:$AC$1001,$A111,Clean_Data!$V$2:$V$1001,1,Clean_Data!$W$2:$W$1001,$B$2,Clean_Data!$AA$2:$AA$1001,$B$3,Clean_Data!$B$2:$B$1001,"&gt;="&amp;$B$4,Clean_Data!$B$2:$B$1001,"&lt;="&amp;$B$5)/C111,0)</f>
        <v>42.1104651162791</v>
      </c>
      <c r="C111" s="9">
        <f>COUNTIFS(Clean_Data!$AC$2:$AC$1001,$A111,Clean_Data!$V$2:$V$1001,1,Clean_Data!$W$2:$W$1001,$B$2,Clean_Data!$AA$2:$AA$1001,$B$3,Clean_Data!$B$2:$B$1001,"&gt;="&amp;$B$4,Clean_Data!$B$2:$B$1001,"&lt;="&amp;$B$5)</f>
        <v>172</v>
      </c>
    </row>
    <row r="114" spans="1:2">
      <c r="A114" s="6" t="s">
        <v>314</v>
      </c>
      <c r="B114" s="6" t="s">
        <v>266</v>
      </c>
    </row>
    <row r="115" spans="1:2">
      <c r="A115" s="9" t="s">
        <v>316</v>
      </c>
      <c r="B115" s="30">
        <f>B13</f>
        <v>4921</v>
      </c>
    </row>
    <row r="116" spans="1:2">
      <c r="A116" s="9" t="s">
        <v>317</v>
      </c>
      <c r="B116" s="30">
        <f>B14</f>
        <v>53383</v>
      </c>
    </row>
  </sheetData>
  <mergeCells count="1">
    <mergeCell ref="A9:B9"/>
  </mergeCells>
  <conditionalFormatting sqref="B51:B95">
    <cfRule type="containsErrors" dxfId="9" priority="1">
      <formula>ISERROR(B51)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1B7F5C"/>
  </sheetPr>
  <dimension ref="A1:B21"/>
  <sheetViews>
    <sheetView showGridLines="0" workbookViewId="0"/>
  </sheetViews>
  <sheetFormatPr defaultRowHeight="15"/>
  <cols>
    <col min="1" max="1" width="5.7109375" customWidth="1"/>
    <col min="2" max="2" width="130.7109375" customWidth="1"/>
  </cols>
  <sheetData>
    <row r="1" spans="1:2">
      <c r="A1" s="12" t="s">
        <v>449</v>
      </c>
    </row>
    <row r="2" spans="1:2">
      <c r="A2" s="2" t="s">
        <v>450</v>
      </c>
    </row>
    <row r="4" spans="1:2">
      <c r="A4" s="6" t="s">
        <v>409</v>
      </c>
      <c r="B4" s="6" t="s">
        <v>451</v>
      </c>
    </row>
    <row r="5" spans="1:2" ht="46" customHeight="1">
      <c r="A5" s="61">
        <v>1</v>
      </c>
      <c r="B5" s="62" t="str">
        <f>"Demand follows a commuter pattern. The evening peak is at "&amp;INDEX(T4_Pivots!$B$25:$B$29,MATCH(MAX(T4_Pivots!$E$25:$E$29),T4_Pivots!$E$25:$E$29,0))&amp;" (average "&amp;TEXT(MAX(T4_Pivots!$E$25:$E$29),"0")&amp;" rentals per hour) and the morning peak at "&amp;INDEX(T4_Pivots!$B$15:$B$19,MATCH(MAX(T4_Pivots!$E$15:$E$19),T4_Pivots!$E$15:$E$19,0))&amp;" (average "&amp;TEXT(MAX(T4_Pivots!$E$15:$E$19),"0")&amp;"). The quietest hour is "&amp;INDEX(T4_Pivots!$B$9:$B$32,MATCH(MIN(T4_Pivots!$E$9:$E$32),T4_Pivots!$E$9:$E$32,0))&amp;" with "&amp;TEXT(MIN(T4_Pivots!$E$9:$E$32),"0.0")&amp;"."</f>
        <v>Demand follows a commuter pattern. The evening peak is at 17:00 (average 140 rentals per hour) and the morning peak at 08:00 (average 128). The quietest hour is 04:00 with 2.2.</v>
      </c>
    </row>
    <row r="6" spans="1:2" ht="46" customHeight="1">
      <c r="A6" s="61">
        <v>2</v>
      </c>
      <c r="B6" s="62" t="str">
        <f>"Weekdays average "&amp;TEXT(T4_Pivots!$E$54,"0.0")&amp;" rentals per hour against "&amp;TEXT(T4_Pivots!$E$55,"0.0")&amp;" on weekends ("&amp;TEXT(T4_Pivots!$E$55/T4_Pivots!$E$54-1,"+0%;-0%")&amp;"). Registered users account for "&amp;TEXT(T4_Pivots!$H$54,"0%")&amp;" of weekday demand and "&amp;TEXT(T4_Pivots!$H$55,"0%")&amp;" of weekend demand."</f>
        <v>Weekdays average 63.3 rentals per hour against 48.1 on weekends (-24%). Registered users account for 95% of weekday demand and 83% of weekend demand.</v>
      </c>
    </row>
    <row r="7" spans="1:2" ht="46" customHeight="1">
      <c r="A7" s="61">
        <v>3</v>
      </c>
      <c r="B7" s="62" t="str">
        <f>"Weather matters: average demand is "&amp;TEXT(T4_Pivots!$E$71,"0.0")&amp;" per hour in clear weather, "&amp;TEXT(T4_Pivots!$E$72,"0.0")&amp;" in mist/cloud ("&amp;TEXT(T4_Pivots!$E$72/T4_Pivots!$E$71-1,"+0%;-0%")&amp;") and "&amp;TEXT(T4_Pivots!$E$73,"0.0")&amp;" in light rain/snow ("&amp;TEXT(T4_Pivots!$E$73/T4_Pivots!$E$71-1,"+0%;-0%")&amp;"). Heavy rain/snow has only "&amp;TEXT(T4_Pivots!$C$74,"0")&amp;" record(s), too few to judge."</f>
        <v>Weather matters: average demand is 61.7 per hour in clear weather, 58.6 in mist/cloud (-5%) and 33.2 in light rain/snow (-46%). Heavy rain/snow has only 1 record(s), too few to judge.</v>
      </c>
    </row>
    <row r="8" spans="1:2" ht="46" customHeight="1">
      <c r="A8" s="61">
        <v>4</v>
      </c>
      <c r="B8" s="62" t="str">
        <f>"Weather variables explain little on their own: correlation with total rentals is "&amp;TEXT(T4_Stats!$B$28,"0.00")&amp;" for temperature, "&amp;TEXT(T4_Stats!$B$30,"0.00")&amp;" for humidity and "&amp;TEXT(T4_Stats!$B$31,"0.00")&amp;" for wind speed. The data covers a narrow winter temperature range, so temperature effects cannot be generalised."</f>
        <v>Weather variables explain little on their own: correlation with total rentals is 0.23 for temperature, -0.25 for humidity and 0.10 for wind speed. The data covers a narrow winter temperature range, so temperature effects cannot be generalised.</v>
      </c>
    </row>
    <row r="9" spans="1:2" ht="46" customHeight="1">
      <c r="A9" s="61">
        <v>5</v>
      </c>
      <c r="B9" s="62" t="str">
        <f>"Registered members generate "&amp;TEXT(T4_Pivots!$H$4,"0.0%")&amp;" of all rentals and casual riders "&amp;TEXT(1-T4_Pivots!$H$4,"0.0%")&amp;". The casual share is "&amp;TEXT(1-T4_Pivots!$H$55,"0%")&amp;" on weekends versus "&amp;TEXT(1-T4_Pivots!$H$54,"0%")&amp;" on weekdays."</f>
        <v>Registered members generate 91.6% of all rentals and casual riders 8.4%. The casual share is 17% on weekends versus 5% on weekdays.</v>
      </c>
    </row>
    <row r="10" spans="1:2" ht="46" customHeight="1">
      <c r="A10" s="61">
        <v>6</v>
      </c>
      <c r="B10" s="62" t="str">
        <f>"The holiday in the data averaged "&amp;TEXT(T4_Pivots!$E$123,"0.0")&amp;" rentals per hour against "&amp;TEXT(T4_Pivots!$E$122,"0.0")&amp;" on regular days ("&amp;TEXT(T4_Pivots!$E$123/T4_Pivots!$E$122-1,"+0%;-0%")&amp;"); this is based on a single day."</f>
        <v>The holiday in the data averaged 41.7 rentals per hour against 58.7 on regular days (-29%); this is based on a single day.</v>
      </c>
    </row>
    <row r="11" spans="1:2" ht="46" customHeight="1">
      <c r="A11" s="61">
        <v>7</v>
      </c>
      <c r="B11" s="62" t="str">
        <f>"Daily demand rises by about "&amp;TEXT(Daily_Trend!$C$10,"0")&amp;" rentals per day (R-squared "&amp;TEXT(Daily_Trend!$C$12,"0.00")&amp;"); weekends run "&amp;TEXT(ABS(Daily_Trend!$C$11),"0")&amp;IF(Daily_Trend!$C$11&lt;0," lower"," higher")&amp;" than weekdays. The model projects "&amp;TEXT(Daily_Trend!$V$26,"#,##0")&amp;" rentals over the next 7 days."</f>
        <v>Daily demand rises by about 8 rentals per day (R-squared 0.21); weekends run 276 lower than weekdays. The model projects 10,678 rentals over the next 7 days.</v>
      </c>
    </row>
    <row r="12" spans="1:2" ht="46" customHeight="1">
      <c r="A12" s="61">
        <v>8</v>
      </c>
      <c r="B12" s="62" t="str">
        <f>"Anomaly test (|z| &gt;= "&amp;TEXT(Lookups!$K$6,"0.0")&amp;") flags "&amp;Anomaly_Report!$E$4&amp;" hourly records ("&amp;TEXT(Anomaly_Report!$H$4,"0.0%")&amp;"); the daily model flags "&amp;Daily_Trend!$C$15&amp;" day(s). See Anomaly_Report for the list."</f>
        <v>Anomaly test (|z| &gt;= 3.0) flags 5 hourly records (0.5%); the daily model flags 3 day(s). See Anomaly_Report for the list.</v>
      </c>
    </row>
    <row r="13" spans="1:2" ht="46" customHeight="1">
      <c r="A13" s="61">
        <v>9</v>
      </c>
      <c r="B13" s="62" t="str">
        <f>"Data quality: "&amp;COUNTIF(Clean_Data!$S$2:$S$1001,"Imputed")&amp;" missing atemp value(s) imputed by regression, "&amp;COUNTIF(Clean_Data!$U$2:$U$1001,"Duplicate")&amp;" duplicate row(s) excluded, "&amp;COUNTIF(Clean_Data!$T$2:$T$1001,"Mismatch")&amp;" count mismatch(es)."</f>
        <v>Data quality: 11 missing atemp value(s) imputed by regression, 0 duplicate row(s) excluded, 0 count mismatch(es).</v>
      </c>
    </row>
    <row r="15" spans="1:2">
      <c r="A15" s="12" t="s">
        <v>452</v>
      </c>
    </row>
    <row r="16" spans="1:2" ht="34" customHeight="1">
      <c r="A16" s="61">
        <v>1</v>
      </c>
      <c r="B16" s="62" t="s">
        <v>453</v>
      </c>
    </row>
    <row r="17" spans="1:2" ht="34" customHeight="1">
      <c r="A17" s="61">
        <v>2</v>
      </c>
      <c r="B17" s="62" t="s">
        <v>454</v>
      </c>
    </row>
    <row r="18" spans="1:2" ht="34" customHeight="1">
      <c r="A18" s="61">
        <v>3</v>
      </c>
      <c r="B18" s="62" t="s">
        <v>455</v>
      </c>
    </row>
    <row r="19" spans="1:2" ht="34" customHeight="1">
      <c r="A19" s="61">
        <v>4</v>
      </c>
      <c r="B19" s="62" t="s">
        <v>456</v>
      </c>
    </row>
    <row r="20" spans="1:2" ht="34" customHeight="1">
      <c r="A20" s="61">
        <v>5</v>
      </c>
      <c r="B20" s="62" t="s">
        <v>457</v>
      </c>
    </row>
    <row r="21" spans="1:2" ht="34" customHeight="1">
      <c r="A21" s="61">
        <v>6</v>
      </c>
      <c r="B21" s="62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Raw_D1</vt:lpstr>
      <vt:lpstr>Raw_D2</vt:lpstr>
      <vt:lpstr>Raw_D3</vt:lpstr>
      <vt:lpstr>Lookups</vt:lpstr>
      <vt:lpstr>Clean_Data</vt:lpstr>
      <vt:lpstr>DQ_Log</vt:lpstr>
      <vt:lpstr>T1_Foundations</vt:lpstr>
      <vt:lpstr>T3_Logic_Lookup</vt:lpstr>
      <vt:lpstr>T4_Pivots</vt:lpstr>
      <vt:lpstr>T4_Stats</vt:lpstr>
      <vt:lpstr>Daily_Trend</vt:lpstr>
      <vt:lpstr>Anomaly_Report</vt:lpstr>
      <vt:lpstr>Dashboard</vt:lpstr>
      <vt:lpstr>Dash_Calc</vt:lpstr>
      <vt:lpstr>Insights</vt:lpstr>
    </vt:vector>
  </TitlesOfParts>
  <Company>NextHikes IT Solutions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Bike Sharing Demand Analysis</dc:title>
  <dc:subject>NextHikes IT Solutions project</dc:subject>
  <dc:creator/>
  <cp:lastModifiedBy/>
  <dcterms:created xsi:type="dcterms:W3CDTF">2026-10-10T04:06:57Z</dcterms:created>
  <dcterms:modified xsi:type="dcterms:W3CDTF">2026-10-10T04:06:57Z</dcterms:modified>
</cp:coreProperties>
</file>